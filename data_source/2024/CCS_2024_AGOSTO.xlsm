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DESKTOP-EGV7T27\ccs\CCS\2.Certificado\2024\8.AGOSTO\"/>
    </mc:Choice>
  </mc:AlternateContent>
  <xr:revisionPtr revIDLastSave="0" documentId="13_ncr:1_{B1119851-5DAC-4F18-9E24-07FD4B061215}" xr6:coauthVersionLast="47" xr6:coauthVersionMax="47" xr10:uidLastSave="{00000000-0000-0000-0000-000000000000}"/>
  <bookViews>
    <workbookView xWindow="-120" yWindow="-120" windowWidth="21840" windowHeight="13140" tabRatio="574" activeTab="2" xr2:uid="{00000000-000D-0000-FFFF-FFFF00000000}"/>
  </bookViews>
  <sheets>
    <sheet name="INSCRITOS" sheetId="1" r:id="rId1"/>
    <sheet name="PROINSALUD" sheetId="9" r:id="rId2"/>
    <sheet name="CONTADERO" sheetId="10" r:id="rId3"/>
    <sheet name="TUQUERRES" sheetId="11" r:id="rId4"/>
    <sheet name="CURSOS" sheetId="2" r:id="rId5"/>
    <sheet name="LINK" sheetId="7" r:id="rId6"/>
  </sheets>
  <functionGroups builtInGroupCount="19"/>
  <externalReferences>
    <externalReference r:id="rId7"/>
  </externalReferences>
  <definedNames>
    <definedName name="_xlnm._FilterDatabase" localSheetId="2" hidden="1">CONTADERO!$A$1:$O$125</definedName>
    <definedName name="_xlnm._FilterDatabase" localSheetId="0" hidden="1">INSCRITOS!$A$1:$X$175</definedName>
    <definedName name="_xlnm._FilterDatabase" localSheetId="1" hidden="1">PROINSALUD!$A$1:$V$331</definedName>
    <definedName name="_xlnm._FilterDatabase" localSheetId="3" hidden="1">TUQUERRES!$A$1:$R$57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9" i="7" l="1"/>
  <c r="B189" i="7" s="1"/>
  <c r="C189" i="7"/>
  <c r="A190" i="7"/>
  <c r="B190" i="7" s="1"/>
  <c r="C190" i="7"/>
  <c r="A191" i="7"/>
  <c r="B191" i="7" s="1"/>
  <c r="C191" i="7"/>
  <c r="A192" i="7"/>
  <c r="B192" i="7" s="1"/>
  <c r="C192" i="7"/>
  <c r="O40" i="11"/>
  <c r="P40" i="11"/>
  <c r="Q40" i="11" s="1"/>
  <c r="A187" i="7"/>
  <c r="B187" i="7" s="1"/>
  <c r="C187" i="7"/>
  <c r="A188" i="7"/>
  <c r="B188" i="7" s="1"/>
  <c r="C188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D213" i="7" s="1"/>
  <c r="C213" i="7"/>
  <c r="A214" i="7"/>
  <c r="B214" i="7" s="1"/>
  <c r="C214" i="7"/>
  <c r="D214" i="7" s="1"/>
  <c r="A215" i="7"/>
  <c r="B215" i="7" s="1"/>
  <c r="C215" i="7"/>
  <c r="D215" i="7"/>
  <c r="A216" i="7"/>
  <c r="B216" i="7" s="1"/>
  <c r="D216" i="7" s="1"/>
  <c r="C216" i="7"/>
  <c r="A217" i="7"/>
  <c r="B217" i="7" s="1"/>
  <c r="C217" i="7"/>
  <c r="A218" i="7"/>
  <c r="B218" i="7" s="1"/>
  <c r="D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D223" i="7"/>
  <c r="A224" i="7"/>
  <c r="B224" i="7" s="1"/>
  <c r="D224" i="7" s="1"/>
  <c r="C224" i="7"/>
  <c r="A225" i="7"/>
  <c r="B225" i="7" s="1"/>
  <c r="C225" i="7"/>
  <c r="A226" i="7"/>
  <c r="B226" i="7" s="1"/>
  <c r="D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D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D235" i="7" s="1"/>
  <c r="C235" i="7"/>
  <c r="A236" i="7"/>
  <c r="B236" i="7" s="1"/>
  <c r="C236" i="7"/>
  <c r="A237" i="7"/>
  <c r="B237" i="7" s="1"/>
  <c r="D237" i="7" s="1"/>
  <c r="C237" i="7"/>
  <c r="A238" i="7"/>
  <c r="B238" i="7" s="1"/>
  <c r="C238" i="7"/>
  <c r="D238" i="7" s="1"/>
  <c r="A239" i="7"/>
  <c r="B239" i="7" s="1"/>
  <c r="D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D243" i="7" s="1"/>
  <c r="C243" i="7"/>
  <c r="A244" i="7"/>
  <c r="B244" i="7" s="1"/>
  <c r="C244" i="7"/>
  <c r="A245" i="7"/>
  <c r="B245" i="7" s="1"/>
  <c r="D245" i="7" s="1"/>
  <c r="C245" i="7"/>
  <c r="A246" i="7"/>
  <c r="B246" i="7" s="1"/>
  <c r="C246" i="7"/>
  <c r="D246" i="7" s="1"/>
  <c r="A247" i="7"/>
  <c r="B247" i="7" s="1"/>
  <c r="C247" i="7"/>
  <c r="D247" i="7"/>
  <c r="A248" i="7"/>
  <c r="B248" i="7" s="1"/>
  <c r="D248" i="7" s="1"/>
  <c r="C248" i="7"/>
  <c r="A249" i="7"/>
  <c r="B249" i="7" s="1"/>
  <c r="C249" i="7"/>
  <c r="A250" i="7"/>
  <c r="B250" i="7" s="1"/>
  <c r="D250" i="7" s="1"/>
  <c r="C250" i="7"/>
  <c r="A251" i="7"/>
  <c r="B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D255" i="7"/>
  <c r="A256" i="7"/>
  <c r="B256" i="7" s="1"/>
  <c r="D256" i="7" s="1"/>
  <c r="C256" i="7"/>
  <c r="A257" i="7"/>
  <c r="B257" i="7" s="1"/>
  <c r="C257" i="7"/>
  <c r="A258" i="7"/>
  <c r="B258" i="7" s="1"/>
  <c r="D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D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D267" i="7" s="1"/>
  <c r="C267" i="7"/>
  <c r="A268" i="7"/>
  <c r="B268" i="7" s="1"/>
  <c r="C268" i="7"/>
  <c r="A269" i="7"/>
  <c r="B269" i="7" s="1"/>
  <c r="D269" i="7" s="1"/>
  <c r="C269" i="7"/>
  <c r="A270" i="7"/>
  <c r="B270" i="7" s="1"/>
  <c r="C270" i="7"/>
  <c r="D270" i="7" s="1"/>
  <c r="A271" i="7"/>
  <c r="B271" i="7" s="1"/>
  <c r="D271" i="7" s="1"/>
  <c r="C271" i="7"/>
  <c r="A272" i="7"/>
  <c r="B272" i="7" s="1"/>
  <c r="C272" i="7"/>
  <c r="A273" i="7"/>
  <c r="B273" i="7" s="1"/>
  <c r="D273" i="7" s="1"/>
  <c r="C273" i="7"/>
  <c r="A274" i="7"/>
  <c r="B274" i="7" s="1"/>
  <c r="C274" i="7"/>
  <c r="A275" i="7"/>
  <c r="B275" i="7" s="1"/>
  <c r="D275" i="7" s="1"/>
  <c r="C275" i="7"/>
  <c r="A276" i="7"/>
  <c r="B276" i="7" s="1"/>
  <c r="D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D280" i="7" s="1"/>
  <c r="C280" i="7"/>
  <c r="A281" i="7"/>
  <c r="B281" i="7" s="1"/>
  <c r="C281" i="7"/>
  <c r="A282" i="7"/>
  <c r="B282" i="7" s="1"/>
  <c r="D282" i="7" s="1"/>
  <c r="C282" i="7"/>
  <c r="A283" i="7"/>
  <c r="B283" i="7" s="1"/>
  <c r="C283" i="7"/>
  <c r="D283" i="7" s="1"/>
  <c r="A284" i="7"/>
  <c r="B284" i="7" s="1"/>
  <c r="D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D288" i="7" s="1"/>
  <c r="C288" i="7"/>
  <c r="A289" i="7"/>
  <c r="B289" i="7" s="1"/>
  <c r="C289" i="7"/>
  <c r="A290" i="7"/>
  <c r="B290" i="7" s="1"/>
  <c r="D290" i="7" s="1"/>
  <c r="C290" i="7"/>
  <c r="A291" i="7"/>
  <c r="B291" i="7" s="1"/>
  <c r="C291" i="7"/>
  <c r="D291" i="7" s="1"/>
  <c r="A292" i="7"/>
  <c r="B292" i="7" s="1"/>
  <c r="C292" i="7"/>
  <c r="D292" i="7"/>
  <c r="A293" i="7"/>
  <c r="B293" i="7" s="1"/>
  <c r="D293" i="7" s="1"/>
  <c r="C293" i="7"/>
  <c r="A294" i="7"/>
  <c r="B294" i="7" s="1"/>
  <c r="C294" i="7"/>
  <c r="A295" i="7"/>
  <c r="B295" i="7" s="1"/>
  <c r="D295" i="7" s="1"/>
  <c r="C295" i="7"/>
  <c r="A296" i="7"/>
  <c r="B296" i="7" s="1"/>
  <c r="C296" i="7"/>
  <c r="A297" i="7"/>
  <c r="B297" i="7" s="1"/>
  <c r="C297" i="7"/>
  <c r="A298" i="7"/>
  <c r="B298" i="7" s="1"/>
  <c r="C298" i="7"/>
  <c r="A299" i="7"/>
  <c r="B299" i="7" s="1"/>
  <c r="C299" i="7"/>
  <c r="A300" i="7"/>
  <c r="B300" i="7" s="1"/>
  <c r="C300" i="7"/>
  <c r="A301" i="7"/>
  <c r="B301" i="7" s="1"/>
  <c r="D301" i="7" s="1"/>
  <c r="C301" i="7"/>
  <c r="A302" i="7"/>
  <c r="B302" i="7" s="1"/>
  <c r="C302" i="7"/>
  <c r="A303" i="7"/>
  <c r="B303" i="7" s="1"/>
  <c r="C303" i="7"/>
  <c r="A304" i="7"/>
  <c r="B304" i="7" s="1"/>
  <c r="C304" i="7"/>
  <c r="D304" i="7"/>
  <c r="A305" i="7"/>
  <c r="B305" i="7" s="1"/>
  <c r="D305" i="7" s="1"/>
  <c r="C305" i="7"/>
  <c r="A306" i="7"/>
  <c r="B306" i="7" s="1"/>
  <c r="C306" i="7"/>
  <c r="A307" i="7"/>
  <c r="B307" i="7" s="1"/>
  <c r="C307" i="7"/>
  <c r="A308" i="7"/>
  <c r="B308" i="7" s="1"/>
  <c r="C308" i="7"/>
  <c r="D308" i="7" s="1"/>
  <c r="A309" i="7"/>
  <c r="B309" i="7" s="1"/>
  <c r="C309" i="7"/>
  <c r="A310" i="7"/>
  <c r="B310" i="7" s="1"/>
  <c r="C310" i="7"/>
  <c r="A311" i="7"/>
  <c r="B311" i="7" s="1"/>
  <c r="C311" i="7"/>
  <c r="A312" i="7"/>
  <c r="B312" i="7" s="1"/>
  <c r="C312" i="7"/>
  <c r="A313" i="7"/>
  <c r="B313" i="7" s="1"/>
  <c r="C313" i="7"/>
  <c r="A314" i="7"/>
  <c r="B314" i="7" s="1"/>
  <c r="C314" i="7"/>
  <c r="A315" i="7"/>
  <c r="B315" i="7" s="1"/>
  <c r="C315" i="7"/>
  <c r="A316" i="7"/>
  <c r="B316" i="7" s="1"/>
  <c r="C316" i="7"/>
  <c r="A317" i="7"/>
  <c r="B317" i="7" s="1"/>
  <c r="D317" i="7" s="1"/>
  <c r="C317" i="7"/>
  <c r="A318" i="7"/>
  <c r="B318" i="7" s="1"/>
  <c r="C318" i="7"/>
  <c r="A319" i="7"/>
  <c r="B319" i="7" s="1"/>
  <c r="C319" i="7"/>
  <c r="A320" i="7"/>
  <c r="B320" i="7" s="1"/>
  <c r="D320" i="7" s="1"/>
  <c r="C320" i="7"/>
  <c r="A321" i="7"/>
  <c r="B321" i="7" s="1"/>
  <c r="C321" i="7"/>
  <c r="A322" i="7"/>
  <c r="B322" i="7" s="1"/>
  <c r="C322" i="7"/>
  <c r="A323" i="7"/>
  <c r="B323" i="7" s="1"/>
  <c r="C323" i="7"/>
  <c r="A324" i="7"/>
  <c r="B324" i="7" s="1"/>
  <c r="C324" i="7"/>
  <c r="A325" i="7"/>
  <c r="B325" i="7" s="1"/>
  <c r="C325" i="7"/>
  <c r="A326" i="7"/>
  <c r="B326" i="7" s="1"/>
  <c r="D326" i="7" s="1"/>
  <c r="C326" i="7"/>
  <c r="A327" i="7"/>
  <c r="B327" i="7" s="1"/>
  <c r="C327" i="7"/>
  <c r="D327" i="7" s="1"/>
  <c r="A328" i="7"/>
  <c r="B328" i="7" s="1"/>
  <c r="D328" i="7" s="1"/>
  <c r="C328" i="7"/>
  <c r="A329" i="7"/>
  <c r="B329" i="7" s="1"/>
  <c r="C329" i="7"/>
  <c r="A330" i="7"/>
  <c r="B330" i="7" s="1"/>
  <c r="D330" i="7" s="1"/>
  <c r="C330" i="7"/>
  <c r="A331" i="7"/>
  <c r="B331" i="7" s="1"/>
  <c r="C331" i="7"/>
  <c r="D331" i="7" s="1"/>
  <c r="A332" i="7"/>
  <c r="B332" i="7" s="1"/>
  <c r="D332" i="7" s="1"/>
  <c r="C332" i="7"/>
  <c r="A333" i="7"/>
  <c r="B333" i="7" s="1"/>
  <c r="C333" i="7"/>
  <c r="A334" i="7"/>
  <c r="B334" i="7" s="1"/>
  <c r="C334" i="7"/>
  <c r="A335" i="7"/>
  <c r="B335" i="7" s="1"/>
  <c r="C335" i="7"/>
  <c r="A336" i="7"/>
  <c r="B336" i="7" s="1"/>
  <c r="C336" i="7"/>
  <c r="A337" i="7"/>
  <c r="B337" i="7" s="1"/>
  <c r="C337" i="7"/>
  <c r="A338" i="7"/>
  <c r="B338" i="7" s="1"/>
  <c r="C338" i="7"/>
  <c r="A339" i="7"/>
  <c r="B339" i="7" s="1"/>
  <c r="C339" i="7"/>
  <c r="A340" i="7"/>
  <c r="B340" i="7" s="1"/>
  <c r="C340" i="7"/>
  <c r="A341" i="7"/>
  <c r="B341" i="7" s="1"/>
  <c r="C341" i="7"/>
  <c r="A342" i="7"/>
  <c r="B342" i="7" s="1"/>
  <c r="C342" i="7"/>
  <c r="A343" i="7"/>
  <c r="B343" i="7" s="1"/>
  <c r="C343" i="7"/>
  <c r="A344" i="7"/>
  <c r="B344" i="7" s="1"/>
  <c r="C344" i="7"/>
  <c r="A345" i="7"/>
  <c r="B345" i="7" s="1"/>
  <c r="C345" i="7"/>
  <c r="A346" i="7"/>
  <c r="B346" i="7" s="1"/>
  <c r="C346" i="7"/>
  <c r="A347" i="7"/>
  <c r="B347" i="7" s="1"/>
  <c r="C347" i="7"/>
  <c r="A348" i="7"/>
  <c r="B348" i="7" s="1"/>
  <c r="C348" i="7"/>
  <c r="A349" i="7"/>
  <c r="B349" i="7" s="1"/>
  <c r="C349" i="7"/>
  <c r="A350" i="7"/>
  <c r="B350" i="7" s="1"/>
  <c r="C350" i="7"/>
  <c r="A351" i="7"/>
  <c r="B351" i="7" s="1"/>
  <c r="C351" i="7"/>
  <c r="A352" i="7"/>
  <c r="B352" i="7" s="1"/>
  <c r="C352" i="7"/>
  <c r="A353" i="7"/>
  <c r="B353" i="7" s="1"/>
  <c r="C353" i="7"/>
  <c r="A354" i="7"/>
  <c r="B354" i="7" s="1"/>
  <c r="C354" i="7"/>
  <c r="U149" i="1"/>
  <c r="V149" i="1"/>
  <c r="W149" i="1" s="1"/>
  <c r="U150" i="1"/>
  <c r="V150" i="1"/>
  <c r="W150" i="1" s="1"/>
  <c r="U151" i="1"/>
  <c r="V151" i="1"/>
  <c r="W151" i="1" s="1"/>
  <c r="U152" i="1"/>
  <c r="V152" i="1"/>
  <c r="W152" i="1" s="1"/>
  <c r="U153" i="1"/>
  <c r="V153" i="1"/>
  <c r="W153" i="1" s="1"/>
  <c r="U154" i="1"/>
  <c r="V154" i="1"/>
  <c r="W154" i="1" s="1"/>
  <c r="U155" i="1"/>
  <c r="V155" i="1"/>
  <c r="W155" i="1" s="1"/>
  <c r="U156" i="1"/>
  <c r="V156" i="1"/>
  <c r="W156" i="1" s="1"/>
  <c r="U157" i="1"/>
  <c r="V157" i="1"/>
  <c r="W157" i="1" s="1"/>
  <c r="U158" i="1"/>
  <c r="V158" i="1"/>
  <c r="W158" i="1" s="1"/>
  <c r="U159" i="1"/>
  <c r="V159" i="1"/>
  <c r="W159" i="1" s="1"/>
  <c r="U160" i="1"/>
  <c r="V160" i="1"/>
  <c r="W160" i="1" s="1"/>
  <c r="J41" i="11"/>
  <c r="D314" i="7" l="1"/>
  <c r="D240" i="7"/>
  <c r="D227" i="7"/>
  <c r="D316" i="7"/>
  <c r="D310" i="7"/>
  <c r="D285" i="7"/>
  <c r="D272" i="7"/>
  <c r="D259" i="7"/>
  <c r="D353" i="7"/>
  <c r="D351" i="7"/>
  <c r="D349" i="7"/>
  <c r="D347" i="7"/>
  <c r="D345" i="7"/>
  <c r="D343" i="7"/>
  <c r="D341" i="7"/>
  <c r="D339" i="7"/>
  <c r="D337" i="7"/>
  <c r="D333" i="7"/>
  <c r="D321" i="7"/>
  <c r="D315" i="7"/>
  <c r="D311" i="7"/>
  <c r="D300" i="7"/>
  <c r="D298" i="7"/>
  <c r="D296" i="7"/>
  <c r="D279" i="7"/>
  <c r="D277" i="7"/>
  <c r="D266" i="7"/>
  <c r="D264" i="7"/>
  <c r="D262" i="7"/>
  <c r="D253" i="7"/>
  <c r="D251" i="7"/>
  <c r="D234" i="7"/>
  <c r="D232" i="7"/>
  <c r="D230" i="7"/>
  <c r="D221" i="7"/>
  <c r="D219" i="7"/>
  <c r="D312" i="7"/>
  <c r="D287" i="7"/>
  <c r="D261" i="7"/>
  <c r="D242" i="7"/>
  <c r="D229" i="7"/>
  <c r="D324" i="7"/>
  <c r="D299" i="7"/>
  <c r="D254" i="7"/>
  <c r="D222" i="7"/>
  <c r="D329" i="7"/>
  <c r="D322" i="7"/>
  <c r="D306" i="7"/>
  <c r="D297" i="7"/>
  <c r="D294" i="7"/>
  <c r="D289" i="7"/>
  <c r="D286" i="7"/>
  <c r="D281" i="7"/>
  <c r="D278" i="7"/>
  <c r="D268" i="7"/>
  <c r="D265" i="7"/>
  <c r="D260" i="7"/>
  <c r="D257" i="7"/>
  <c r="D252" i="7"/>
  <c r="D249" i="7"/>
  <c r="D244" i="7"/>
  <c r="D241" i="7"/>
  <c r="D236" i="7"/>
  <c r="D233" i="7"/>
  <c r="D228" i="7"/>
  <c r="D225" i="7"/>
  <c r="D220" i="7"/>
  <c r="D217" i="7"/>
  <c r="D313" i="7"/>
  <c r="D354" i="7"/>
  <c r="D352" i="7"/>
  <c r="D350" i="7"/>
  <c r="D348" i="7"/>
  <c r="D346" i="7"/>
  <c r="D344" i="7"/>
  <c r="D342" i="7"/>
  <c r="D340" i="7"/>
  <c r="D338" i="7"/>
  <c r="D336" i="7"/>
  <c r="D334" i="7"/>
  <c r="D325" i="7"/>
  <c r="D323" i="7"/>
  <c r="D318" i="7"/>
  <c r="D309" i="7"/>
  <c r="D307" i="7"/>
  <c r="D302" i="7"/>
  <c r="D274" i="7"/>
  <c r="D335" i="7"/>
  <c r="D319" i="7"/>
  <c r="D303" i="7"/>
  <c r="D191" i="7"/>
  <c r="D211" i="7"/>
  <c r="D207" i="7"/>
  <c r="D203" i="7"/>
  <c r="D195" i="7"/>
  <c r="D209" i="7"/>
  <c r="D210" i="7"/>
  <c r="D189" i="7"/>
  <c r="D193" i="7"/>
  <c r="D202" i="7"/>
  <c r="D198" i="7"/>
  <c r="D196" i="7"/>
  <c r="D194" i="7"/>
  <c r="D212" i="7"/>
  <c r="D187" i="7"/>
  <c r="D206" i="7"/>
  <c r="D204" i="7"/>
  <c r="D201" i="7"/>
  <c r="D199" i="7"/>
  <c r="D190" i="7"/>
  <c r="D192" i="7"/>
  <c r="D208" i="7"/>
  <c r="D205" i="7"/>
  <c r="D200" i="7"/>
  <c r="D197" i="7"/>
  <c r="D188" i="7"/>
  <c r="R40" i="11"/>
  <c r="X160" i="1"/>
  <c r="X159" i="1"/>
  <c r="X158" i="1"/>
  <c r="X157" i="1"/>
  <c r="X156" i="1"/>
  <c r="X155" i="1"/>
  <c r="X154" i="1"/>
  <c r="X153" i="1"/>
  <c r="X152" i="1"/>
  <c r="X151" i="1"/>
  <c r="X150" i="1"/>
  <c r="X149" i="1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D181" i="7" l="1"/>
  <c r="D182" i="7"/>
  <c r="D185" i="7"/>
  <c r="D183" i="7"/>
  <c r="D179" i="7"/>
  <c r="D180" i="7"/>
  <c r="D186" i="7"/>
  <c r="D184" i="7"/>
  <c r="P39" i="11"/>
  <c r="Q39" i="11" s="1"/>
  <c r="O39" i="11"/>
  <c r="P38" i="11"/>
  <c r="Q38" i="11" s="1"/>
  <c r="O38" i="11"/>
  <c r="P37" i="11"/>
  <c r="Q37" i="11" s="1"/>
  <c r="O37" i="11"/>
  <c r="P36" i="11"/>
  <c r="Q36" i="11" s="1"/>
  <c r="O36" i="11"/>
  <c r="P35" i="11"/>
  <c r="Q35" i="11" s="1"/>
  <c r="O35" i="11"/>
  <c r="P34" i="11"/>
  <c r="Q34" i="11" s="1"/>
  <c r="O34" i="11"/>
  <c r="P33" i="11"/>
  <c r="Q33" i="11" s="1"/>
  <c r="O33" i="11"/>
  <c r="P32" i="11"/>
  <c r="Q32" i="11" s="1"/>
  <c r="O32" i="11"/>
  <c r="P31" i="11"/>
  <c r="Q31" i="11" s="1"/>
  <c r="O31" i="11"/>
  <c r="P30" i="11"/>
  <c r="Q30" i="11" s="1"/>
  <c r="O30" i="11"/>
  <c r="P29" i="11"/>
  <c r="Q29" i="11" s="1"/>
  <c r="O29" i="11"/>
  <c r="P28" i="11"/>
  <c r="Q28" i="11" s="1"/>
  <c r="O28" i="11"/>
  <c r="P27" i="11"/>
  <c r="Q27" i="11" s="1"/>
  <c r="O27" i="11"/>
  <c r="P26" i="11"/>
  <c r="Q26" i="11" s="1"/>
  <c r="O26" i="11"/>
  <c r="P25" i="11"/>
  <c r="Q25" i="11" s="1"/>
  <c r="O25" i="11"/>
  <c r="P24" i="11"/>
  <c r="Q24" i="11" s="1"/>
  <c r="O24" i="11"/>
  <c r="P23" i="11"/>
  <c r="Q23" i="11" s="1"/>
  <c r="O23" i="11"/>
  <c r="P22" i="11"/>
  <c r="Q22" i="11" s="1"/>
  <c r="O22" i="11"/>
  <c r="P21" i="11"/>
  <c r="Q21" i="11" s="1"/>
  <c r="O21" i="11"/>
  <c r="P20" i="11"/>
  <c r="Q20" i="11" s="1"/>
  <c r="O20" i="11"/>
  <c r="P19" i="11"/>
  <c r="Q19" i="11" s="1"/>
  <c r="O19" i="11"/>
  <c r="P18" i="11"/>
  <c r="Q18" i="11" s="1"/>
  <c r="O18" i="11"/>
  <c r="P17" i="11"/>
  <c r="Q17" i="11" s="1"/>
  <c r="O17" i="11"/>
  <c r="P16" i="11"/>
  <c r="Q16" i="11" s="1"/>
  <c r="O16" i="11"/>
  <c r="P15" i="11"/>
  <c r="Q15" i="11" s="1"/>
  <c r="O15" i="11"/>
  <c r="P14" i="11"/>
  <c r="Q14" i="11" s="1"/>
  <c r="O14" i="11"/>
  <c r="P13" i="11"/>
  <c r="Q13" i="11" s="1"/>
  <c r="O13" i="11"/>
  <c r="P12" i="11"/>
  <c r="Q12" i="11" s="1"/>
  <c r="O12" i="11"/>
  <c r="P11" i="11"/>
  <c r="Q11" i="11" s="1"/>
  <c r="O11" i="11"/>
  <c r="P10" i="11"/>
  <c r="Q10" i="11" s="1"/>
  <c r="O10" i="11"/>
  <c r="P9" i="11"/>
  <c r="Q9" i="11" s="1"/>
  <c r="O9" i="11"/>
  <c r="P8" i="11"/>
  <c r="Q8" i="11" s="1"/>
  <c r="O8" i="11"/>
  <c r="P7" i="11"/>
  <c r="Q7" i="11" s="1"/>
  <c r="O7" i="11"/>
  <c r="P6" i="11"/>
  <c r="Q6" i="11" s="1"/>
  <c r="O6" i="11"/>
  <c r="P5" i="11"/>
  <c r="Q5" i="11" s="1"/>
  <c r="O5" i="11"/>
  <c r="P4" i="11"/>
  <c r="Q4" i="11" s="1"/>
  <c r="O4" i="11"/>
  <c r="P3" i="11"/>
  <c r="Q3" i="11" s="1"/>
  <c r="O3" i="11"/>
  <c r="P2" i="11"/>
  <c r="Q2" i="11" s="1"/>
  <c r="O2" i="11"/>
  <c r="U142" i="1"/>
  <c r="V142" i="1"/>
  <c r="W142" i="1" s="1"/>
  <c r="U143" i="1"/>
  <c r="V143" i="1"/>
  <c r="W143" i="1" s="1"/>
  <c r="U144" i="1"/>
  <c r="V144" i="1"/>
  <c r="W144" i="1" s="1"/>
  <c r="U145" i="1"/>
  <c r="V145" i="1"/>
  <c r="W145" i="1" s="1"/>
  <c r="U146" i="1"/>
  <c r="V146" i="1"/>
  <c r="W146" i="1" s="1"/>
  <c r="U147" i="1"/>
  <c r="V147" i="1"/>
  <c r="W147" i="1" s="1"/>
  <c r="U148" i="1"/>
  <c r="V148" i="1"/>
  <c r="W148" i="1" s="1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C177" i="7"/>
  <c r="A178" i="7"/>
  <c r="B178" i="7" s="1"/>
  <c r="C178" i="7"/>
  <c r="U114" i="1"/>
  <c r="V114" i="1"/>
  <c r="W114" i="1" s="1"/>
  <c r="U115" i="1"/>
  <c r="V115" i="1"/>
  <c r="W115" i="1" s="1"/>
  <c r="U116" i="1"/>
  <c r="V116" i="1"/>
  <c r="W116" i="1" s="1"/>
  <c r="U117" i="1"/>
  <c r="V117" i="1"/>
  <c r="W117" i="1" s="1"/>
  <c r="U118" i="1"/>
  <c r="V118" i="1"/>
  <c r="W118" i="1" s="1"/>
  <c r="U119" i="1"/>
  <c r="V119" i="1"/>
  <c r="W119" i="1" s="1"/>
  <c r="U120" i="1"/>
  <c r="V120" i="1"/>
  <c r="W120" i="1" s="1"/>
  <c r="U121" i="1"/>
  <c r="V121" i="1"/>
  <c r="W121" i="1" s="1"/>
  <c r="U122" i="1"/>
  <c r="V122" i="1"/>
  <c r="W122" i="1" s="1"/>
  <c r="U123" i="1"/>
  <c r="V123" i="1"/>
  <c r="W123" i="1" s="1"/>
  <c r="U124" i="1"/>
  <c r="V124" i="1"/>
  <c r="W124" i="1" s="1"/>
  <c r="U125" i="1"/>
  <c r="V125" i="1"/>
  <c r="W125" i="1" s="1"/>
  <c r="U126" i="1"/>
  <c r="V126" i="1"/>
  <c r="W126" i="1" s="1"/>
  <c r="U127" i="1"/>
  <c r="V127" i="1"/>
  <c r="W127" i="1" s="1"/>
  <c r="U128" i="1"/>
  <c r="V128" i="1"/>
  <c r="W128" i="1" s="1"/>
  <c r="U129" i="1"/>
  <c r="V129" i="1"/>
  <c r="W129" i="1" s="1"/>
  <c r="U130" i="1"/>
  <c r="V130" i="1"/>
  <c r="W130" i="1" s="1"/>
  <c r="U131" i="1"/>
  <c r="V131" i="1"/>
  <c r="W131" i="1" s="1"/>
  <c r="U132" i="1"/>
  <c r="V132" i="1"/>
  <c r="W132" i="1" s="1"/>
  <c r="U133" i="1"/>
  <c r="V133" i="1"/>
  <c r="W133" i="1" s="1"/>
  <c r="U134" i="1"/>
  <c r="V134" i="1"/>
  <c r="W134" i="1" s="1"/>
  <c r="U135" i="1"/>
  <c r="V135" i="1"/>
  <c r="W135" i="1" s="1"/>
  <c r="U136" i="1"/>
  <c r="V136" i="1"/>
  <c r="W136" i="1" s="1"/>
  <c r="U137" i="1"/>
  <c r="V137" i="1"/>
  <c r="W137" i="1" s="1"/>
  <c r="U138" i="1"/>
  <c r="V138" i="1"/>
  <c r="W138" i="1" s="1"/>
  <c r="U139" i="1"/>
  <c r="V139" i="1"/>
  <c r="W139" i="1" s="1"/>
  <c r="V140" i="1"/>
  <c r="W140" i="1" s="1"/>
  <c r="U141" i="1"/>
  <c r="V141" i="1"/>
  <c r="W141" i="1" s="1"/>
  <c r="L54" i="10"/>
  <c r="M54" i="10"/>
  <c r="N54" i="10" s="1"/>
  <c r="L55" i="10"/>
  <c r="M55" i="10"/>
  <c r="N55" i="10" s="1"/>
  <c r="L56" i="10"/>
  <c r="M56" i="10"/>
  <c r="N56" i="10" s="1"/>
  <c r="L57" i="10"/>
  <c r="M57" i="10"/>
  <c r="N57" i="10" s="1"/>
  <c r="L58" i="10"/>
  <c r="M58" i="10"/>
  <c r="N58" i="10" s="1"/>
  <c r="L59" i="10"/>
  <c r="M59" i="10"/>
  <c r="N59" i="10" s="1"/>
  <c r="L60" i="10"/>
  <c r="M60" i="10"/>
  <c r="N60" i="10" s="1"/>
  <c r="L61" i="10"/>
  <c r="M61" i="10"/>
  <c r="N61" i="10" s="1"/>
  <c r="L62" i="10"/>
  <c r="M62" i="10"/>
  <c r="N62" i="10" s="1"/>
  <c r="L63" i="10"/>
  <c r="M63" i="10"/>
  <c r="N63" i="10" s="1"/>
  <c r="L64" i="10"/>
  <c r="M64" i="10"/>
  <c r="N64" i="10" s="1"/>
  <c r="L65" i="10"/>
  <c r="M65" i="10"/>
  <c r="N65" i="10" s="1"/>
  <c r="L66" i="10"/>
  <c r="M66" i="10"/>
  <c r="N66" i="10" s="1"/>
  <c r="L67" i="10"/>
  <c r="M67" i="10"/>
  <c r="N67" i="10" s="1"/>
  <c r="L68" i="10"/>
  <c r="M68" i="10"/>
  <c r="N68" i="10" s="1"/>
  <c r="L69" i="10"/>
  <c r="M69" i="10"/>
  <c r="N69" i="10" s="1"/>
  <c r="L70" i="10"/>
  <c r="M70" i="10"/>
  <c r="N70" i="10" s="1"/>
  <c r="L71" i="10"/>
  <c r="M71" i="10"/>
  <c r="N71" i="10" s="1"/>
  <c r="L72" i="10"/>
  <c r="M72" i="10"/>
  <c r="N72" i="10" s="1"/>
  <c r="L73" i="10"/>
  <c r="M73" i="10"/>
  <c r="N73" i="10" s="1"/>
  <c r="L74" i="10"/>
  <c r="M74" i="10"/>
  <c r="N74" i="10" s="1"/>
  <c r="L75" i="10"/>
  <c r="M75" i="10"/>
  <c r="N75" i="10" s="1"/>
  <c r="L76" i="10"/>
  <c r="M76" i="10"/>
  <c r="N76" i="10" s="1"/>
  <c r="L77" i="10"/>
  <c r="M77" i="10"/>
  <c r="N77" i="10" s="1"/>
  <c r="L78" i="10"/>
  <c r="M78" i="10"/>
  <c r="N78" i="10" s="1"/>
  <c r="L79" i="10"/>
  <c r="M79" i="10"/>
  <c r="N79" i="10" s="1"/>
  <c r="L80" i="10"/>
  <c r="M80" i="10"/>
  <c r="N80" i="10" s="1"/>
  <c r="L81" i="10"/>
  <c r="M81" i="10"/>
  <c r="N81" i="10" s="1"/>
  <c r="L82" i="10"/>
  <c r="M82" i="10"/>
  <c r="N82" i="10" s="1"/>
  <c r="L83" i="10"/>
  <c r="M83" i="10"/>
  <c r="N83" i="10" s="1"/>
  <c r="L84" i="10"/>
  <c r="M84" i="10"/>
  <c r="N84" i="10" s="1"/>
  <c r="L85" i="10"/>
  <c r="M85" i="10"/>
  <c r="N85" i="10" s="1"/>
  <c r="L86" i="10"/>
  <c r="M86" i="10"/>
  <c r="N86" i="10" s="1"/>
  <c r="L87" i="10"/>
  <c r="M87" i="10"/>
  <c r="N87" i="10" s="1"/>
  <c r="L88" i="10"/>
  <c r="M88" i="10"/>
  <c r="N88" i="10" s="1"/>
  <c r="L89" i="10"/>
  <c r="M89" i="10"/>
  <c r="N89" i="10" s="1"/>
  <c r="L90" i="10"/>
  <c r="M90" i="10"/>
  <c r="N90" i="10" s="1"/>
  <c r="L91" i="10"/>
  <c r="M91" i="10"/>
  <c r="N91" i="10" s="1"/>
  <c r="L92" i="10"/>
  <c r="M92" i="10"/>
  <c r="N92" i="10" s="1"/>
  <c r="L93" i="10"/>
  <c r="M93" i="10"/>
  <c r="N93" i="10" s="1"/>
  <c r="L94" i="10"/>
  <c r="M94" i="10"/>
  <c r="N94" i="10" s="1"/>
  <c r="L95" i="10"/>
  <c r="M95" i="10"/>
  <c r="N95" i="10" s="1"/>
  <c r="L96" i="10"/>
  <c r="M96" i="10"/>
  <c r="N96" i="10" s="1"/>
  <c r="L97" i="10"/>
  <c r="M97" i="10"/>
  <c r="N97" i="10" s="1"/>
  <c r="L98" i="10"/>
  <c r="M98" i="10"/>
  <c r="N98" i="10" s="1"/>
  <c r="L99" i="10"/>
  <c r="M99" i="10"/>
  <c r="N99" i="10" s="1"/>
  <c r="L100" i="10"/>
  <c r="M100" i="10"/>
  <c r="N100" i="10" s="1"/>
  <c r="L101" i="10"/>
  <c r="M101" i="10"/>
  <c r="N101" i="10" s="1"/>
  <c r="L102" i="10"/>
  <c r="M102" i="10"/>
  <c r="N102" i="10" s="1"/>
  <c r="L103" i="10"/>
  <c r="M103" i="10"/>
  <c r="N103" i="10" s="1"/>
  <c r="L104" i="10"/>
  <c r="M104" i="10"/>
  <c r="N104" i="10" s="1"/>
  <c r="L105" i="10"/>
  <c r="M105" i="10"/>
  <c r="N105" i="10" s="1"/>
  <c r="L106" i="10"/>
  <c r="M106" i="10"/>
  <c r="N106" i="10" s="1"/>
  <c r="L107" i="10"/>
  <c r="M107" i="10"/>
  <c r="N107" i="10" s="1"/>
  <c r="L108" i="10"/>
  <c r="M108" i="10"/>
  <c r="N108" i="10" s="1"/>
  <c r="L109" i="10"/>
  <c r="M109" i="10"/>
  <c r="N109" i="10" s="1"/>
  <c r="L110" i="10"/>
  <c r="M110" i="10"/>
  <c r="N110" i="10" s="1"/>
  <c r="L111" i="10"/>
  <c r="M111" i="10"/>
  <c r="N111" i="10" s="1"/>
  <c r="L112" i="10"/>
  <c r="M112" i="10"/>
  <c r="N112" i="10" s="1"/>
  <c r="L113" i="10"/>
  <c r="M113" i="10"/>
  <c r="N113" i="10" s="1"/>
  <c r="L114" i="10"/>
  <c r="M114" i="10"/>
  <c r="N114" i="10" s="1"/>
  <c r="L115" i="10"/>
  <c r="M115" i="10"/>
  <c r="N115" i="10" s="1"/>
  <c r="L116" i="10"/>
  <c r="M116" i="10"/>
  <c r="N116" i="10" s="1"/>
  <c r="L117" i="10"/>
  <c r="M117" i="10"/>
  <c r="N117" i="10" s="1"/>
  <c r="L118" i="10"/>
  <c r="M118" i="10"/>
  <c r="N118" i="10" s="1"/>
  <c r="L119" i="10"/>
  <c r="M119" i="10"/>
  <c r="N119" i="10" s="1"/>
  <c r="L120" i="10"/>
  <c r="M120" i="10"/>
  <c r="N120" i="10" s="1"/>
  <c r="L121" i="10"/>
  <c r="M121" i="10"/>
  <c r="N121" i="10" s="1"/>
  <c r="L122" i="10"/>
  <c r="M122" i="10"/>
  <c r="N122" i="10" s="1"/>
  <c r="L123" i="10"/>
  <c r="M123" i="10"/>
  <c r="N123" i="10" s="1"/>
  <c r="L124" i="10"/>
  <c r="M124" i="10"/>
  <c r="N124" i="10" s="1"/>
  <c r="L125" i="10"/>
  <c r="M125" i="10"/>
  <c r="N125" i="10" s="1"/>
  <c r="L52" i="10"/>
  <c r="M52" i="10"/>
  <c r="N52" i="10" s="1"/>
  <c r="L53" i="10"/>
  <c r="M53" i="10"/>
  <c r="N53" i="10" s="1"/>
  <c r="L50" i="10"/>
  <c r="M50" i="10"/>
  <c r="N50" i="10" s="1"/>
  <c r="L51" i="10"/>
  <c r="M51" i="10"/>
  <c r="N51" i="10" s="1"/>
  <c r="U76" i="1"/>
  <c r="V76" i="1"/>
  <c r="W76" i="1" s="1"/>
  <c r="U77" i="1"/>
  <c r="V77" i="1"/>
  <c r="W77" i="1" s="1"/>
  <c r="U78" i="1"/>
  <c r="V78" i="1"/>
  <c r="W78" i="1" s="1"/>
  <c r="U79" i="1"/>
  <c r="V79" i="1"/>
  <c r="W79" i="1" s="1"/>
  <c r="U80" i="1"/>
  <c r="V80" i="1"/>
  <c r="W80" i="1" s="1"/>
  <c r="U81" i="1"/>
  <c r="V81" i="1"/>
  <c r="W81" i="1" s="1"/>
  <c r="U82" i="1"/>
  <c r="V82" i="1"/>
  <c r="W82" i="1" s="1"/>
  <c r="U83" i="1"/>
  <c r="V83" i="1"/>
  <c r="W83" i="1" s="1"/>
  <c r="U84" i="1"/>
  <c r="V84" i="1"/>
  <c r="W84" i="1" s="1"/>
  <c r="U85" i="1"/>
  <c r="V85" i="1"/>
  <c r="W85" i="1" s="1"/>
  <c r="U86" i="1"/>
  <c r="V86" i="1"/>
  <c r="W86" i="1" s="1"/>
  <c r="U87" i="1"/>
  <c r="V87" i="1"/>
  <c r="W87" i="1" s="1"/>
  <c r="U88" i="1"/>
  <c r="V88" i="1"/>
  <c r="W88" i="1" s="1"/>
  <c r="U89" i="1"/>
  <c r="V89" i="1"/>
  <c r="W89" i="1" s="1"/>
  <c r="U90" i="1"/>
  <c r="V90" i="1"/>
  <c r="W90" i="1" s="1"/>
  <c r="U91" i="1"/>
  <c r="V91" i="1"/>
  <c r="W91" i="1" s="1"/>
  <c r="U92" i="1"/>
  <c r="V92" i="1"/>
  <c r="W92" i="1" s="1"/>
  <c r="U93" i="1"/>
  <c r="V93" i="1"/>
  <c r="W93" i="1" s="1"/>
  <c r="U94" i="1"/>
  <c r="V94" i="1"/>
  <c r="W94" i="1" s="1"/>
  <c r="U95" i="1"/>
  <c r="V95" i="1"/>
  <c r="W95" i="1" s="1"/>
  <c r="U96" i="1"/>
  <c r="V96" i="1"/>
  <c r="W96" i="1" s="1"/>
  <c r="U97" i="1"/>
  <c r="V97" i="1"/>
  <c r="W97" i="1" s="1"/>
  <c r="U98" i="1"/>
  <c r="V98" i="1"/>
  <c r="W98" i="1" s="1"/>
  <c r="U99" i="1"/>
  <c r="V99" i="1"/>
  <c r="W99" i="1" s="1"/>
  <c r="U100" i="1"/>
  <c r="V100" i="1"/>
  <c r="W100" i="1" s="1"/>
  <c r="U101" i="1"/>
  <c r="V101" i="1"/>
  <c r="W101" i="1" s="1"/>
  <c r="U102" i="1"/>
  <c r="V102" i="1"/>
  <c r="W102" i="1" s="1"/>
  <c r="U103" i="1"/>
  <c r="V103" i="1"/>
  <c r="W103" i="1" s="1"/>
  <c r="U104" i="1"/>
  <c r="V104" i="1"/>
  <c r="W104" i="1" s="1"/>
  <c r="U105" i="1"/>
  <c r="V105" i="1"/>
  <c r="W105" i="1" s="1"/>
  <c r="U106" i="1"/>
  <c r="V106" i="1"/>
  <c r="W106" i="1" s="1"/>
  <c r="U107" i="1"/>
  <c r="V107" i="1"/>
  <c r="W107" i="1" s="1"/>
  <c r="U108" i="1"/>
  <c r="V108" i="1"/>
  <c r="W108" i="1" s="1"/>
  <c r="U109" i="1"/>
  <c r="V109" i="1"/>
  <c r="W109" i="1" s="1"/>
  <c r="U110" i="1"/>
  <c r="V110" i="1"/>
  <c r="W110" i="1" s="1"/>
  <c r="U111" i="1"/>
  <c r="V111" i="1"/>
  <c r="W111" i="1" s="1"/>
  <c r="U112" i="1"/>
  <c r="V112" i="1"/>
  <c r="W112" i="1" s="1"/>
  <c r="U113" i="1"/>
  <c r="V113" i="1"/>
  <c r="W113" i="1" s="1"/>
  <c r="B106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C131" i="7"/>
  <c r="A132" i="7"/>
  <c r="B132" i="7" s="1"/>
  <c r="C132" i="7"/>
  <c r="A133" i="7"/>
  <c r="B133" i="7" s="1"/>
  <c r="C133" i="7"/>
  <c r="A134" i="7"/>
  <c r="B134" i="7" s="1"/>
  <c r="C134" i="7"/>
  <c r="A135" i="7"/>
  <c r="C135" i="7"/>
  <c r="A136" i="7"/>
  <c r="B136" i="7" s="1"/>
  <c r="C136" i="7"/>
  <c r="A137" i="7"/>
  <c r="B137" i="7" s="1"/>
  <c r="C137" i="7"/>
  <c r="A138" i="7"/>
  <c r="B138" i="7" s="1"/>
  <c r="C138" i="7"/>
  <c r="A139" i="7"/>
  <c r="C139" i="7"/>
  <c r="A140" i="7"/>
  <c r="B140" i="7" s="1"/>
  <c r="C140" i="7"/>
  <c r="A141" i="7"/>
  <c r="B141" i="7" s="1"/>
  <c r="C141" i="7"/>
  <c r="A142" i="7"/>
  <c r="B142" i="7" s="1"/>
  <c r="C142" i="7"/>
  <c r="A143" i="7"/>
  <c r="C143" i="7"/>
  <c r="A144" i="7"/>
  <c r="B144" i="7" s="1"/>
  <c r="C144" i="7"/>
  <c r="A145" i="7"/>
  <c r="B145" i="7" s="1"/>
  <c r="C145" i="7"/>
  <c r="A146" i="7"/>
  <c r="B146" i="7" s="1"/>
  <c r="C146" i="7"/>
  <c r="A147" i="7"/>
  <c r="C147" i="7"/>
  <c r="A148" i="7"/>
  <c r="B148" i="7" s="1"/>
  <c r="C148" i="7"/>
  <c r="A149" i="7"/>
  <c r="B149" i="7" s="1"/>
  <c r="C149" i="7"/>
  <c r="A150" i="7"/>
  <c r="B150" i="7" s="1"/>
  <c r="C150" i="7"/>
  <c r="A151" i="7"/>
  <c r="C151" i="7"/>
  <c r="A152" i="7"/>
  <c r="B152" i="7" s="1"/>
  <c r="C152" i="7"/>
  <c r="A153" i="7"/>
  <c r="B153" i="7" s="1"/>
  <c r="C153" i="7"/>
  <c r="A154" i="7"/>
  <c r="B154" i="7" s="1"/>
  <c r="C154" i="7"/>
  <c r="A155" i="7"/>
  <c r="C155" i="7"/>
  <c r="A156" i="7"/>
  <c r="B156" i="7" s="1"/>
  <c r="C156" i="7"/>
  <c r="A157" i="7"/>
  <c r="B157" i="7" s="1"/>
  <c r="C157" i="7"/>
  <c r="A158" i="7"/>
  <c r="B158" i="7" s="1"/>
  <c r="C158" i="7"/>
  <c r="A159" i="7"/>
  <c r="C159" i="7"/>
  <c r="A160" i="7"/>
  <c r="B160" i="7" s="1"/>
  <c r="C160" i="7"/>
  <c r="A161" i="7"/>
  <c r="B161" i="7" s="1"/>
  <c r="C161" i="7"/>
  <c r="S61" i="9"/>
  <c r="T61" i="9"/>
  <c r="U61" i="9" s="1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X126" i="1" l="1"/>
  <c r="D167" i="7"/>
  <c r="D168" i="7"/>
  <c r="O110" i="10"/>
  <c r="X80" i="1"/>
  <c r="X114" i="1"/>
  <c r="O90" i="10"/>
  <c r="X130" i="1"/>
  <c r="D175" i="7"/>
  <c r="X148" i="1"/>
  <c r="X146" i="1"/>
  <c r="O102" i="10"/>
  <c r="O77" i="10"/>
  <c r="D172" i="7"/>
  <c r="D170" i="7"/>
  <c r="D165" i="7"/>
  <c r="X97" i="1"/>
  <c r="O122" i="10"/>
  <c r="X136" i="1"/>
  <c r="X129" i="1"/>
  <c r="X116" i="1"/>
  <c r="D173" i="7"/>
  <c r="D164" i="7"/>
  <c r="D162" i="7"/>
  <c r="X147" i="1"/>
  <c r="X144" i="1"/>
  <c r="X145" i="1"/>
  <c r="X143" i="1"/>
  <c r="X142" i="1"/>
  <c r="R18" i="11"/>
  <c r="R34" i="11"/>
  <c r="R2" i="11"/>
  <c r="R6" i="11"/>
  <c r="R22" i="11"/>
  <c r="R38" i="11"/>
  <c r="R10" i="11"/>
  <c r="R26" i="11"/>
  <c r="R14" i="11"/>
  <c r="R30" i="11"/>
  <c r="R5" i="11"/>
  <c r="R13" i="11"/>
  <c r="R21" i="11"/>
  <c r="R29" i="11"/>
  <c r="R33" i="11"/>
  <c r="R37" i="11"/>
  <c r="R4" i="11"/>
  <c r="R8" i="11"/>
  <c r="R12" i="11"/>
  <c r="R16" i="11"/>
  <c r="R20" i="11"/>
  <c r="R24" i="11"/>
  <c r="R28" i="11"/>
  <c r="R32" i="11"/>
  <c r="R36" i="11"/>
  <c r="R9" i="11"/>
  <c r="R17" i="11"/>
  <c r="R25" i="11"/>
  <c r="R3" i="11"/>
  <c r="R7" i="11"/>
  <c r="R11" i="11"/>
  <c r="R15" i="11"/>
  <c r="R19" i="11"/>
  <c r="R23" i="11"/>
  <c r="R27" i="11"/>
  <c r="R31" i="11"/>
  <c r="R35" i="11"/>
  <c r="R39" i="11"/>
  <c r="X141" i="1"/>
  <c r="D178" i="7"/>
  <c r="X139" i="1"/>
  <c r="D176" i="7"/>
  <c r="D174" i="7"/>
  <c r="D171" i="7"/>
  <c r="D166" i="7"/>
  <c r="D163" i="7"/>
  <c r="D141" i="7"/>
  <c r="D133" i="7"/>
  <c r="D129" i="7"/>
  <c r="X140" i="1"/>
  <c r="D177" i="7"/>
  <c r="D169" i="7"/>
  <c r="X138" i="1"/>
  <c r="X137" i="1"/>
  <c r="X135" i="1"/>
  <c r="X134" i="1"/>
  <c r="X133" i="1"/>
  <c r="X132" i="1"/>
  <c r="X131" i="1"/>
  <c r="X128" i="1"/>
  <c r="X127" i="1"/>
  <c r="X125" i="1"/>
  <c r="D161" i="7"/>
  <c r="X124" i="1"/>
  <c r="X123" i="1"/>
  <c r="X122" i="1"/>
  <c r="X121" i="1"/>
  <c r="D157" i="7"/>
  <c r="X120" i="1"/>
  <c r="X119" i="1"/>
  <c r="X118" i="1"/>
  <c r="X117" i="1"/>
  <c r="D153" i="7"/>
  <c r="X115" i="1"/>
  <c r="O114" i="10"/>
  <c r="O105" i="10"/>
  <c r="O98" i="10"/>
  <c r="O58" i="10"/>
  <c r="O52" i="10"/>
  <c r="O86" i="10"/>
  <c r="O82" i="10"/>
  <c r="O73" i="10"/>
  <c r="O118" i="10"/>
  <c r="O113" i="10"/>
  <c r="O106" i="10"/>
  <c r="O94" i="10"/>
  <c r="O121" i="10"/>
  <c r="O97" i="10"/>
  <c r="O89" i="10"/>
  <c r="O81" i="10"/>
  <c r="O74" i="10"/>
  <c r="O61" i="10"/>
  <c r="O69" i="10"/>
  <c r="O62" i="10"/>
  <c r="O125" i="10"/>
  <c r="O117" i="10"/>
  <c r="O109" i="10"/>
  <c r="O101" i="10"/>
  <c r="O93" i="10"/>
  <c r="O85" i="10"/>
  <c r="O70" i="10"/>
  <c r="O65" i="10"/>
  <c r="O57" i="10"/>
  <c r="O78" i="10"/>
  <c r="O66" i="10"/>
  <c r="O54" i="10"/>
  <c r="O51" i="10"/>
  <c r="O50" i="10"/>
  <c r="O53" i="10"/>
  <c r="O123" i="10"/>
  <c r="O119" i="10"/>
  <c r="O115" i="10"/>
  <c r="O111" i="10"/>
  <c r="O107" i="10"/>
  <c r="O103" i="10"/>
  <c r="O99" i="10"/>
  <c r="O95" i="10"/>
  <c r="O91" i="10"/>
  <c r="O87" i="10"/>
  <c r="O83" i="10"/>
  <c r="O79" i="10"/>
  <c r="O75" i="10"/>
  <c r="O71" i="10"/>
  <c r="O67" i="10"/>
  <c r="O63" i="10"/>
  <c r="O59" i="10"/>
  <c r="O55" i="10"/>
  <c r="O124" i="10"/>
  <c r="O120" i="10"/>
  <c r="O116" i="10"/>
  <c r="O112" i="10"/>
  <c r="O108" i="10"/>
  <c r="O104" i="10"/>
  <c r="O100" i="10"/>
  <c r="O96" i="10"/>
  <c r="O92" i="10"/>
  <c r="O88" i="10"/>
  <c r="O84" i="10"/>
  <c r="O80" i="10"/>
  <c r="O76" i="10"/>
  <c r="O72" i="10"/>
  <c r="O68" i="10"/>
  <c r="O64" i="10"/>
  <c r="O60" i="10"/>
  <c r="O56" i="10"/>
  <c r="D160" i="7"/>
  <c r="D156" i="7"/>
  <c r="D132" i="7"/>
  <c r="X89" i="1"/>
  <c r="X105" i="1"/>
  <c r="X81" i="1"/>
  <c r="X93" i="1"/>
  <c r="X84" i="1"/>
  <c r="X101" i="1"/>
  <c r="X85" i="1"/>
  <c r="X79" i="1"/>
  <c r="X112" i="1"/>
  <c r="X110" i="1"/>
  <c r="X107" i="1"/>
  <c r="X103" i="1"/>
  <c r="X99" i="1"/>
  <c r="X95" i="1"/>
  <c r="X91" i="1"/>
  <c r="X87" i="1"/>
  <c r="X83" i="1"/>
  <c r="D152" i="7"/>
  <c r="D148" i="7"/>
  <c r="D144" i="7"/>
  <c r="X113" i="1"/>
  <c r="X108" i="1"/>
  <c r="X104" i="1"/>
  <c r="X100" i="1"/>
  <c r="X96" i="1"/>
  <c r="X92" i="1"/>
  <c r="X88" i="1"/>
  <c r="X76" i="1"/>
  <c r="V61" i="9"/>
  <c r="X77" i="1"/>
  <c r="D149" i="7"/>
  <c r="D145" i="7"/>
  <c r="X111" i="1"/>
  <c r="X106" i="1"/>
  <c r="X102" i="1"/>
  <c r="X98" i="1"/>
  <c r="X94" i="1"/>
  <c r="X90" i="1"/>
  <c r="X86" i="1"/>
  <c r="X82" i="1"/>
  <c r="X78" i="1"/>
  <c r="X109" i="1"/>
  <c r="D140" i="7"/>
  <c r="D136" i="7"/>
  <c r="B155" i="7"/>
  <c r="D155" i="7" s="1"/>
  <c r="D137" i="7"/>
  <c r="B139" i="7"/>
  <c r="D139" i="7" s="1"/>
  <c r="B159" i="7"/>
  <c r="D159" i="7" s="1"/>
  <c r="B147" i="7"/>
  <c r="D147" i="7" s="1"/>
  <c r="B131" i="7"/>
  <c r="D131" i="7" s="1"/>
  <c r="B151" i="7"/>
  <c r="D151" i="7" s="1"/>
  <c r="B143" i="7"/>
  <c r="D143" i="7" s="1"/>
  <c r="B135" i="7"/>
  <c r="D135" i="7" s="1"/>
  <c r="D154" i="7"/>
  <c r="D146" i="7"/>
  <c r="D138" i="7"/>
  <c r="D130" i="7"/>
  <c r="D114" i="7"/>
  <c r="D126" i="7"/>
  <c r="D158" i="7"/>
  <c r="D150" i="7"/>
  <c r="D142" i="7"/>
  <c r="D134" i="7"/>
  <c r="D128" i="7"/>
  <c r="D127" i="7"/>
  <c r="D122" i="7"/>
  <c r="D124" i="7"/>
  <c r="D123" i="7"/>
  <c r="D120" i="7"/>
  <c r="D125" i="7"/>
  <c r="D118" i="7"/>
  <c r="D117" i="7"/>
  <c r="D116" i="7"/>
  <c r="D115" i="7"/>
  <c r="D119" i="7"/>
  <c r="D112" i="7"/>
  <c r="D111" i="7"/>
  <c r="D110" i="7"/>
  <c r="D121" i="7"/>
  <c r="D113" i="7"/>
  <c r="D109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C106" i="7"/>
  <c r="A107" i="7"/>
  <c r="B107" i="7" s="1"/>
  <c r="C107" i="7"/>
  <c r="A108" i="7"/>
  <c r="B108" i="7" s="1"/>
  <c r="C108" i="7"/>
  <c r="L49" i="10"/>
  <c r="M49" i="10"/>
  <c r="N49" i="10" s="1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U50" i="1"/>
  <c r="V50" i="1"/>
  <c r="W50" i="1" s="1"/>
  <c r="U51" i="1"/>
  <c r="V51" i="1"/>
  <c r="W51" i="1" s="1"/>
  <c r="U52" i="1"/>
  <c r="V52" i="1"/>
  <c r="W52" i="1" s="1"/>
  <c r="U53" i="1"/>
  <c r="V53" i="1"/>
  <c r="W53" i="1" s="1"/>
  <c r="U54" i="1"/>
  <c r="V54" i="1"/>
  <c r="W54" i="1" s="1"/>
  <c r="U55" i="1"/>
  <c r="V55" i="1"/>
  <c r="W55" i="1" s="1"/>
  <c r="U56" i="1"/>
  <c r="V56" i="1"/>
  <c r="W56" i="1" s="1"/>
  <c r="U57" i="1"/>
  <c r="V57" i="1"/>
  <c r="W57" i="1" s="1"/>
  <c r="U58" i="1"/>
  <c r="V58" i="1"/>
  <c r="W58" i="1" s="1"/>
  <c r="U59" i="1"/>
  <c r="V59" i="1"/>
  <c r="W59" i="1" s="1"/>
  <c r="U60" i="1"/>
  <c r="V60" i="1"/>
  <c r="W60" i="1" s="1"/>
  <c r="U61" i="1"/>
  <c r="V61" i="1"/>
  <c r="W61" i="1" s="1"/>
  <c r="U62" i="1"/>
  <c r="V62" i="1"/>
  <c r="W62" i="1" s="1"/>
  <c r="U63" i="1"/>
  <c r="V63" i="1"/>
  <c r="W63" i="1" s="1"/>
  <c r="U64" i="1"/>
  <c r="V64" i="1"/>
  <c r="W64" i="1" s="1"/>
  <c r="U65" i="1"/>
  <c r="V65" i="1"/>
  <c r="W65" i="1" s="1"/>
  <c r="U66" i="1"/>
  <c r="V66" i="1"/>
  <c r="W66" i="1" s="1"/>
  <c r="U67" i="1"/>
  <c r="V67" i="1"/>
  <c r="W67" i="1" s="1"/>
  <c r="U68" i="1"/>
  <c r="V68" i="1"/>
  <c r="W68" i="1" s="1"/>
  <c r="U69" i="1"/>
  <c r="V69" i="1"/>
  <c r="W69" i="1" s="1"/>
  <c r="U70" i="1"/>
  <c r="V70" i="1"/>
  <c r="W70" i="1" s="1"/>
  <c r="U71" i="1"/>
  <c r="V71" i="1"/>
  <c r="W71" i="1" s="1"/>
  <c r="U72" i="1"/>
  <c r="V72" i="1"/>
  <c r="W72" i="1" s="1"/>
  <c r="U73" i="1"/>
  <c r="V73" i="1"/>
  <c r="W73" i="1" s="1"/>
  <c r="U74" i="1"/>
  <c r="V74" i="1"/>
  <c r="W74" i="1" s="1"/>
  <c r="U75" i="1"/>
  <c r="V75" i="1"/>
  <c r="W75" i="1" s="1"/>
  <c r="O49" i="10" l="1"/>
  <c r="D108" i="7"/>
  <c r="X75" i="1"/>
  <c r="D79" i="7"/>
  <c r="X68" i="1"/>
  <c r="D96" i="7"/>
  <c r="D78" i="7"/>
  <c r="D103" i="7"/>
  <c r="X67" i="1"/>
  <c r="D84" i="7"/>
  <c r="D106" i="7"/>
  <c r="D104" i="7"/>
  <c r="D107" i="7"/>
  <c r="D95" i="7"/>
  <c r="X72" i="1"/>
  <c r="D101" i="7"/>
  <c r="X71" i="1"/>
  <c r="D100" i="7"/>
  <c r="D99" i="7"/>
  <c r="D98" i="7"/>
  <c r="D77" i="7"/>
  <c r="D105" i="7"/>
  <c r="D102" i="7"/>
  <c r="D85" i="7"/>
  <c r="X73" i="1"/>
  <c r="X69" i="1"/>
  <c r="X63" i="1"/>
  <c r="X50" i="1"/>
  <c r="X74" i="1"/>
  <c r="X70" i="1"/>
  <c r="X64" i="1"/>
  <c r="X57" i="1"/>
  <c r="D97" i="7"/>
  <c r="X66" i="1"/>
  <c r="X65" i="1"/>
  <c r="D94" i="7"/>
  <c r="D93" i="7"/>
  <c r="D92" i="7"/>
  <c r="D91" i="7"/>
  <c r="X62" i="1"/>
  <c r="X61" i="1"/>
  <c r="D90" i="7"/>
  <c r="X60" i="1"/>
  <c r="D89" i="7"/>
  <c r="D88" i="7"/>
  <c r="X59" i="1"/>
  <c r="D83" i="7"/>
  <c r="X58" i="1"/>
  <c r="D87" i="7"/>
  <c r="D86" i="7"/>
  <c r="X56" i="1"/>
  <c r="X55" i="1"/>
  <c r="X54" i="1"/>
  <c r="X53" i="1"/>
  <c r="D82" i="7"/>
  <c r="X52" i="1"/>
  <c r="D81" i="7"/>
  <c r="X51" i="1"/>
  <c r="D80" i="7"/>
  <c r="L3" i="10"/>
  <c r="M3" i="10"/>
  <c r="N3" i="10" s="1"/>
  <c r="L4" i="10"/>
  <c r="M4" i="10"/>
  <c r="N4" i="10" s="1"/>
  <c r="L5" i="10"/>
  <c r="M5" i="10"/>
  <c r="N5" i="10" s="1"/>
  <c r="L6" i="10"/>
  <c r="M6" i="10"/>
  <c r="N6" i="10" s="1"/>
  <c r="L7" i="10"/>
  <c r="M7" i="10"/>
  <c r="N7" i="10" s="1"/>
  <c r="L8" i="10"/>
  <c r="M8" i="10"/>
  <c r="N8" i="10" s="1"/>
  <c r="L9" i="10"/>
  <c r="M9" i="10"/>
  <c r="N9" i="10" s="1"/>
  <c r="L10" i="10"/>
  <c r="M10" i="10"/>
  <c r="N10" i="10" s="1"/>
  <c r="L11" i="10"/>
  <c r="M11" i="10"/>
  <c r="N11" i="10" s="1"/>
  <c r="L12" i="10"/>
  <c r="M12" i="10"/>
  <c r="N12" i="10" s="1"/>
  <c r="L13" i="10"/>
  <c r="M13" i="10"/>
  <c r="N13" i="10" s="1"/>
  <c r="L14" i="10"/>
  <c r="M14" i="10"/>
  <c r="N14" i="10" s="1"/>
  <c r="L15" i="10"/>
  <c r="M15" i="10"/>
  <c r="N15" i="10" s="1"/>
  <c r="L16" i="10"/>
  <c r="M16" i="10"/>
  <c r="N16" i="10" s="1"/>
  <c r="L17" i="10"/>
  <c r="M17" i="10"/>
  <c r="N17" i="10" s="1"/>
  <c r="L18" i="10"/>
  <c r="M18" i="10"/>
  <c r="N18" i="10" s="1"/>
  <c r="L19" i="10"/>
  <c r="M19" i="10"/>
  <c r="N19" i="10" s="1"/>
  <c r="L20" i="10"/>
  <c r="M20" i="10"/>
  <c r="N20" i="10" s="1"/>
  <c r="L21" i="10"/>
  <c r="M21" i="10"/>
  <c r="N21" i="10" s="1"/>
  <c r="L22" i="10"/>
  <c r="M22" i="10"/>
  <c r="N22" i="10" s="1"/>
  <c r="L23" i="10"/>
  <c r="M23" i="10"/>
  <c r="N23" i="10" s="1"/>
  <c r="L24" i="10"/>
  <c r="M24" i="10"/>
  <c r="N24" i="10" s="1"/>
  <c r="L25" i="10"/>
  <c r="M25" i="10"/>
  <c r="N25" i="10" s="1"/>
  <c r="L26" i="10"/>
  <c r="M26" i="10"/>
  <c r="N26" i="10" s="1"/>
  <c r="L27" i="10"/>
  <c r="M27" i="10"/>
  <c r="N27" i="10" s="1"/>
  <c r="L28" i="10"/>
  <c r="M28" i="10"/>
  <c r="N28" i="10" s="1"/>
  <c r="L29" i="10"/>
  <c r="M29" i="10"/>
  <c r="N29" i="10" s="1"/>
  <c r="L30" i="10"/>
  <c r="M30" i="10"/>
  <c r="N30" i="10" s="1"/>
  <c r="L31" i="10"/>
  <c r="M31" i="10"/>
  <c r="N31" i="10" s="1"/>
  <c r="L32" i="10"/>
  <c r="M32" i="10"/>
  <c r="N32" i="10" s="1"/>
  <c r="L33" i="10"/>
  <c r="M33" i="10"/>
  <c r="N33" i="10" s="1"/>
  <c r="L34" i="10"/>
  <c r="M34" i="10"/>
  <c r="N34" i="10" s="1"/>
  <c r="L35" i="10"/>
  <c r="M35" i="10"/>
  <c r="N35" i="10" s="1"/>
  <c r="L36" i="10"/>
  <c r="M36" i="10"/>
  <c r="N36" i="10" s="1"/>
  <c r="L37" i="10"/>
  <c r="M37" i="10"/>
  <c r="N37" i="10" s="1"/>
  <c r="L38" i="10"/>
  <c r="M38" i="10"/>
  <c r="N38" i="10" s="1"/>
  <c r="L39" i="10"/>
  <c r="M39" i="10"/>
  <c r="N39" i="10" s="1"/>
  <c r="L40" i="10"/>
  <c r="M40" i="10"/>
  <c r="N40" i="10" s="1"/>
  <c r="L41" i="10"/>
  <c r="M41" i="10"/>
  <c r="N41" i="10" s="1"/>
  <c r="L42" i="10"/>
  <c r="M42" i="10"/>
  <c r="N42" i="10" s="1"/>
  <c r="L43" i="10"/>
  <c r="M43" i="10"/>
  <c r="N43" i="10" s="1"/>
  <c r="L44" i="10"/>
  <c r="M44" i="10"/>
  <c r="N44" i="10" s="1"/>
  <c r="L45" i="10"/>
  <c r="M45" i="10"/>
  <c r="N45" i="10" s="1"/>
  <c r="L46" i="10"/>
  <c r="M46" i="10"/>
  <c r="N46" i="10" s="1"/>
  <c r="L47" i="10"/>
  <c r="M47" i="10"/>
  <c r="N47" i="10" s="1"/>
  <c r="L48" i="10"/>
  <c r="M48" i="10"/>
  <c r="N48" i="10" s="1"/>
  <c r="M2" i="10"/>
  <c r="O2" i="10" s="1"/>
  <c r="L2" i="10"/>
  <c r="U49" i="1"/>
  <c r="V49" i="1"/>
  <c r="W49" i="1" s="1"/>
  <c r="U3" i="1"/>
  <c r="V3" i="1"/>
  <c r="W3" i="1" s="1"/>
  <c r="U4" i="1"/>
  <c r="V4" i="1"/>
  <c r="W4" i="1" s="1"/>
  <c r="U5" i="1"/>
  <c r="V5" i="1"/>
  <c r="W5" i="1" s="1"/>
  <c r="U6" i="1"/>
  <c r="V6" i="1"/>
  <c r="W6" i="1" s="1"/>
  <c r="U7" i="1"/>
  <c r="V7" i="1"/>
  <c r="W7" i="1" s="1"/>
  <c r="U8" i="1"/>
  <c r="V8" i="1"/>
  <c r="W8" i="1" s="1"/>
  <c r="U9" i="1"/>
  <c r="V9" i="1"/>
  <c r="W9" i="1" s="1"/>
  <c r="U10" i="1"/>
  <c r="V10" i="1"/>
  <c r="W10" i="1" s="1"/>
  <c r="U11" i="1"/>
  <c r="V11" i="1"/>
  <c r="W11" i="1" s="1"/>
  <c r="U12" i="1"/>
  <c r="V12" i="1"/>
  <c r="W12" i="1" s="1"/>
  <c r="U13" i="1"/>
  <c r="V13" i="1"/>
  <c r="W13" i="1" s="1"/>
  <c r="U14" i="1"/>
  <c r="V14" i="1"/>
  <c r="W14" i="1" s="1"/>
  <c r="U15" i="1"/>
  <c r="V15" i="1"/>
  <c r="W15" i="1" s="1"/>
  <c r="U16" i="1"/>
  <c r="V16" i="1"/>
  <c r="W16" i="1" s="1"/>
  <c r="U17" i="1"/>
  <c r="V17" i="1"/>
  <c r="W17" i="1" s="1"/>
  <c r="U18" i="1"/>
  <c r="V18" i="1"/>
  <c r="W18" i="1" s="1"/>
  <c r="U19" i="1"/>
  <c r="V19" i="1"/>
  <c r="W19" i="1" s="1"/>
  <c r="U20" i="1"/>
  <c r="V20" i="1"/>
  <c r="W20" i="1" s="1"/>
  <c r="U21" i="1"/>
  <c r="V21" i="1"/>
  <c r="W21" i="1" s="1"/>
  <c r="U22" i="1"/>
  <c r="V22" i="1"/>
  <c r="W22" i="1" s="1"/>
  <c r="U23" i="1"/>
  <c r="V23" i="1"/>
  <c r="W23" i="1" s="1"/>
  <c r="U24" i="1"/>
  <c r="V24" i="1"/>
  <c r="W24" i="1" s="1"/>
  <c r="U25" i="1"/>
  <c r="V25" i="1"/>
  <c r="W25" i="1" s="1"/>
  <c r="U26" i="1"/>
  <c r="V26" i="1"/>
  <c r="W26" i="1" s="1"/>
  <c r="U27" i="1"/>
  <c r="V27" i="1"/>
  <c r="W27" i="1" s="1"/>
  <c r="U28" i="1"/>
  <c r="V28" i="1"/>
  <c r="W28" i="1" s="1"/>
  <c r="U29" i="1"/>
  <c r="V29" i="1"/>
  <c r="W29" i="1" s="1"/>
  <c r="U30" i="1"/>
  <c r="V30" i="1"/>
  <c r="W30" i="1" s="1"/>
  <c r="U31" i="1"/>
  <c r="V31" i="1"/>
  <c r="W31" i="1" s="1"/>
  <c r="U32" i="1"/>
  <c r="V32" i="1"/>
  <c r="W32" i="1" s="1"/>
  <c r="U33" i="1"/>
  <c r="V33" i="1"/>
  <c r="W33" i="1" s="1"/>
  <c r="U34" i="1"/>
  <c r="V34" i="1"/>
  <c r="W34" i="1" s="1"/>
  <c r="U35" i="1"/>
  <c r="V35" i="1"/>
  <c r="W35" i="1" s="1"/>
  <c r="U36" i="1"/>
  <c r="V36" i="1"/>
  <c r="W36" i="1" s="1"/>
  <c r="U37" i="1"/>
  <c r="V37" i="1"/>
  <c r="W37" i="1" s="1"/>
  <c r="U38" i="1"/>
  <c r="V38" i="1"/>
  <c r="W38" i="1" s="1"/>
  <c r="U39" i="1"/>
  <c r="V39" i="1"/>
  <c r="W39" i="1" s="1"/>
  <c r="U40" i="1"/>
  <c r="V40" i="1"/>
  <c r="W40" i="1" s="1"/>
  <c r="U41" i="1"/>
  <c r="V41" i="1"/>
  <c r="W41" i="1" s="1"/>
  <c r="U42" i="1"/>
  <c r="V42" i="1"/>
  <c r="W42" i="1" s="1"/>
  <c r="U43" i="1"/>
  <c r="V43" i="1"/>
  <c r="W43" i="1" s="1"/>
  <c r="U44" i="1"/>
  <c r="V44" i="1"/>
  <c r="W44" i="1" s="1"/>
  <c r="U45" i="1"/>
  <c r="V45" i="1"/>
  <c r="W45" i="1" s="1"/>
  <c r="U46" i="1"/>
  <c r="V46" i="1"/>
  <c r="W46" i="1" s="1"/>
  <c r="U47" i="1"/>
  <c r="V47" i="1"/>
  <c r="W47" i="1" s="1"/>
  <c r="U48" i="1"/>
  <c r="V48" i="1"/>
  <c r="W48" i="1" s="1"/>
  <c r="V2" i="1"/>
  <c r="X2" i="1" s="1"/>
  <c r="U2" i="1"/>
  <c r="O33" i="10" l="1"/>
  <c r="O9" i="10"/>
  <c r="O17" i="10"/>
  <c r="O41" i="10"/>
  <c r="O25" i="10"/>
  <c r="O45" i="10"/>
  <c r="O29" i="10"/>
  <c r="O13" i="10"/>
  <c r="O37" i="10"/>
  <c r="O21" i="10"/>
  <c r="O5" i="10"/>
  <c r="O47" i="10"/>
  <c r="O39" i="10"/>
  <c r="O31" i="10"/>
  <c r="O23" i="10"/>
  <c r="O15" i="10"/>
  <c r="O7" i="10"/>
  <c r="O43" i="10"/>
  <c r="O35" i="10"/>
  <c r="O27" i="10"/>
  <c r="O19" i="10"/>
  <c r="O11" i="10"/>
  <c r="O3" i="10"/>
  <c r="X4" i="1"/>
  <c r="X8" i="1"/>
  <c r="X5" i="1"/>
  <c r="O48" i="10"/>
  <c r="O44" i="10"/>
  <c r="O40" i="10"/>
  <c r="O36" i="10"/>
  <c r="O32" i="10"/>
  <c r="O28" i="10"/>
  <c r="O24" i="10"/>
  <c r="O20" i="10"/>
  <c r="O16" i="10"/>
  <c r="O12" i="10"/>
  <c r="O8" i="10"/>
  <c r="O4" i="10"/>
  <c r="X9" i="1"/>
  <c r="O46" i="10"/>
  <c r="O42" i="10"/>
  <c r="O38" i="10"/>
  <c r="O34" i="10"/>
  <c r="O30" i="10"/>
  <c r="O26" i="10"/>
  <c r="O22" i="10"/>
  <c r="O18" i="10"/>
  <c r="O14" i="10"/>
  <c r="O10" i="10"/>
  <c r="O6" i="10"/>
  <c r="N2" i="10"/>
  <c r="X10" i="1"/>
  <c r="X6" i="1"/>
  <c r="X49" i="1"/>
  <c r="X11" i="1"/>
  <c r="X7" i="1"/>
  <c r="X3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2" i="1"/>
  <c r="A58" i="7" l="1"/>
  <c r="B58" i="7" s="1"/>
  <c r="C58" i="7"/>
  <c r="A55" i="7"/>
  <c r="B55" i="7" s="1"/>
  <c r="C55" i="7"/>
  <c r="A56" i="7"/>
  <c r="B56" i="7" s="1"/>
  <c r="C56" i="7"/>
  <c r="A57" i="7"/>
  <c r="B57" i="7" s="1"/>
  <c r="C57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D71" i="7" l="1"/>
  <c r="D56" i="7"/>
  <c r="D70" i="7"/>
  <c r="D55" i="7"/>
  <c r="D75" i="7"/>
  <c r="D73" i="7"/>
  <c r="D74" i="7"/>
  <c r="D72" i="7"/>
  <c r="D69" i="7"/>
  <c r="D63" i="7"/>
  <c r="D76" i="7"/>
  <c r="D66" i="7"/>
  <c r="D62" i="7"/>
  <c r="D60" i="7"/>
  <c r="D57" i="7"/>
  <c r="D68" i="7"/>
  <c r="D67" i="7"/>
  <c r="D65" i="7"/>
  <c r="D64" i="7"/>
  <c r="D61" i="7"/>
  <c r="D59" i="7"/>
  <c r="D58" i="7"/>
  <c r="S32" i="9" l="1"/>
  <c r="T32" i="9"/>
  <c r="U32" i="9" s="1"/>
  <c r="S33" i="9"/>
  <c r="T33" i="9"/>
  <c r="U33" i="9" s="1"/>
  <c r="S34" i="9"/>
  <c r="T34" i="9"/>
  <c r="U34" i="9" s="1"/>
  <c r="S35" i="9"/>
  <c r="T35" i="9"/>
  <c r="U35" i="9" s="1"/>
  <c r="S36" i="9"/>
  <c r="T36" i="9"/>
  <c r="U36" i="9" s="1"/>
  <c r="S37" i="9"/>
  <c r="T37" i="9"/>
  <c r="U37" i="9" s="1"/>
  <c r="S38" i="9"/>
  <c r="T38" i="9"/>
  <c r="U38" i="9" s="1"/>
  <c r="S39" i="9"/>
  <c r="T39" i="9"/>
  <c r="U39" i="9" s="1"/>
  <c r="S40" i="9"/>
  <c r="T40" i="9"/>
  <c r="U40" i="9" s="1"/>
  <c r="S41" i="9"/>
  <c r="T41" i="9"/>
  <c r="U41" i="9" s="1"/>
  <c r="S42" i="9"/>
  <c r="T42" i="9"/>
  <c r="U42" i="9" s="1"/>
  <c r="S43" i="9"/>
  <c r="T43" i="9"/>
  <c r="U43" i="9" s="1"/>
  <c r="S44" i="9"/>
  <c r="T44" i="9"/>
  <c r="U44" i="9" s="1"/>
  <c r="S45" i="9"/>
  <c r="T45" i="9"/>
  <c r="U45" i="9" s="1"/>
  <c r="S46" i="9"/>
  <c r="T46" i="9"/>
  <c r="U46" i="9" s="1"/>
  <c r="S47" i="9"/>
  <c r="T47" i="9"/>
  <c r="U47" i="9" s="1"/>
  <c r="S48" i="9"/>
  <c r="T48" i="9"/>
  <c r="U48" i="9" s="1"/>
  <c r="S49" i="9"/>
  <c r="T49" i="9"/>
  <c r="U49" i="9" s="1"/>
  <c r="S50" i="9"/>
  <c r="T50" i="9"/>
  <c r="U50" i="9" s="1"/>
  <c r="S51" i="9"/>
  <c r="T51" i="9"/>
  <c r="U51" i="9" s="1"/>
  <c r="S52" i="9"/>
  <c r="T52" i="9"/>
  <c r="U52" i="9" s="1"/>
  <c r="S53" i="9"/>
  <c r="T53" i="9"/>
  <c r="U53" i="9" s="1"/>
  <c r="S54" i="9"/>
  <c r="T54" i="9"/>
  <c r="U54" i="9" s="1"/>
  <c r="S31" i="9"/>
  <c r="T31" i="9"/>
  <c r="U31" i="9" s="1"/>
  <c r="S55" i="9"/>
  <c r="T55" i="9"/>
  <c r="U55" i="9" s="1"/>
  <c r="S56" i="9"/>
  <c r="T56" i="9"/>
  <c r="U56" i="9" s="1"/>
  <c r="S57" i="9"/>
  <c r="T57" i="9"/>
  <c r="U57" i="9" s="1"/>
  <c r="S58" i="9"/>
  <c r="T58" i="9"/>
  <c r="U58" i="9" s="1"/>
  <c r="S59" i="9"/>
  <c r="T59" i="9"/>
  <c r="U59" i="9" s="1"/>
  <c r="S60" i="9"/>
  <c r="T60" i="9"/>
  <c r="U60" i="9" s="1"/>
  <c r="V44" i="9" l="1"/>
  <c r="V43" i="9"/>
  <c r="V42" i="9"/>
  <c r="V41" i="9"/>
  <c r="V40" i="9"/>
  <c r="V39" i="9"/>
  <c r="V38" i="9"/>
  <c r="V37" i="9"/>
  <c r="V36" i="9"/>
  <c r="V35" i="9"/>
  <c r="V34" i="9"/>
  <c r="V33" i="9"/>
  <c r="V32" i="9"/>
  <c r="V60" i="9"/>
  <c r="V59" i="9"/>
  <c r="V58" i="9"/>
  <c r="V57" i="9"/>
  <c r="V56" i="9"/>
  <c r="V55" i="9"/>
  <c r="V31" i="9"/>
  <c r="V54" i="9"/>
  <c r="V53" i="9"/>
  <c r="V52" i="9"/>
  <c r="V51" i="9"/>
  <c r="V50" i="9"/>
  <c r="V49" i="9"/>
  <c r="V48" i="9"/>
  <c r="V47" i="9"/>
  <c r="V46" i="9"/>
  <c r="V45" i="9"/>
  <c r="S3" i="9"/>
  <c r="T3" i="9"/>
  <c r="U3" i="9" s="1"/>
  <c r="S4" i="9"/>
  <c r="T4" i="9"/>
  <c r="U4" i="9" s="1"/>
  <c r="S5" i="9"/>
  <c r="T5" i="9"/>
  <c r="U5" i="9" s="1"/>
  <c r="S6" i="9"/>
  <c r="T6" i="9"/>
  <c r="U6" i="9" s="1"/>
  <c r="S7" i="9"/>
  <c r="T7" i="9"/>
  <c r="U7" i="9" s="1"/>
  <c r="S8" i="9"/>
  <c r="T8" i="9"/>
  <c r="U8" i="9" s="1"/>
  <c r="S9" i="9"/>
  <c r="T9" i="9"/>
  <c r="U9" i="9" s="1"/>
  <c r="S10" i="9"/>
  <c r="T10" i="9"/>
  <c r="U10" i="9" s="1"/>
  <c r="S11" i="9"/>
  <c r="T11" i="9"/>
  <c r="U11" i="9" s="1"/>
  <c r="S12" i="9"/>
  <c r="T12" i="9"/>
  <c r="U12" i="9" s="1"/>
  <c r="S13" i="9"/>
  <c r="T13" i="9"/>
  <c r="U13" i="9" s="1"/>
  <c r="S14" i="9"/>
  <c r="T14" i="9"/>
  <c r="U14" i="9" s="1"/>
  <c r="S15" i="9"/>
  <c r="T15" i="9"/>
  <c r="U15" i="9" s="1"/>
  <c r="S16" i="9"/>
  <c r="T16" i="9"/>
  <c r="U16" i="9" s="1"/>
  <c r="S17" i="9"/>
  <c r="T17" i="9"/>
  <c r="U17" i="9" s="1"/>
  <c r="S18" i="9"/>
  <c r="T18" i="9"/>
  <c r="U18" i="9" s="1"/>
  <c r="S19" i="9"/>
  <c r="T19" i="9"/>
  <c r="U19" i="9" s="1"/>
  <c r="S20" i="9"/>
  <c r="T20" i="9"/>
  <c r="U20" i="9" s="1"/>
  <c r="S21" i="9"/>
  <c r="T21" i="9"/>
  <c r="U21" i="9" s="1"/>
  <c r="S22" i="9"/>
  <c r="T22" i="9"/>
  <c r="U22" i="9" s="1"/>
  <c r="S23" i="9"/>
  <c r="T23" i="9"/>
  <c r="U23" i="9" s="1"/>
  <c r="S24" i="9"/>
  <c r="T24" i="9"/>
  <c r="U24" i="9" s="1"/>
  <c r="S25" i="9"/>
  <c r="T25" i="9"/>
  <c r="U25" i="9" s="1"/>
  <c r="S26" i="9"/>
  <c r="T26" i="9"/>
  <c r="U26" i="9" s="1"/>
  <c r="S27" i="9"/>
  <c r="T27" i="9"/>
  <c r="U27" i="9" s="1"/>
  <c r="S28" i="9"/>
  <c r="T28" i="9"/>
  <c r="U28" i="9" s="1"/>
  <c r="S29" i="9"/>
  <c r="T29" i="9"/>
  <c r="U29" i="9" s="1"/>
  <c r="S30" i="9"/>
  <c r="T30" i="9"/>
  <c r="U30" i="9" s="1"/>
  <c r="T2" i="9"/>
  <c r="V21" i="9" l="1"/>
  <c r="V30" i="9"/>
  <c r="V26" i="9"/>
  <c r="V9" i="9"/>
  <c r="V7" i="9"/>
  <c r="V18" i="9"/>
  <c r="V25" i="9"/>
  <c r="V19" i="9"/>
  <c r="V29" i="9"/>
  <c r="V27" i="9"/>
  <c r="V14" i="9"/>
  <c r="V11" i="9"/>
  <c r="V10" i="9"/>
  <c r="V5" i="9"/>
  <c r="V24" i="9"/>
  <c r="V22" i="9"/>
  <c r="V17" i="9"/>
  <c r="V15" i="9"/>
  <c r="V12" i="9"/>
  <c r="V6" i="9"/>
  <c r="V3" i="9"/>
  <c r="V28" i="9"/>
  <c r="V23" i="9"/>
  <c r="V20" i="9"/>
  <c r="V16" i="9"/>
  <c r="V13" i="9"/>
  <c r="V8" i="9"/>
  <c r="V4" i="9"/>
  <c r="V2" i="9"/>
  <c r="U2" i="9"/>
  <c r="S2" i="9"/>
  <c r="C39" i="7" l="1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A39" i="7"/>
  <c r="B39" i="7" s="1"/>
  <c r="A40" i="7"/>
  <c r="B40" i="7" s="1"/>
  <c r="A41" i="7"/>
  <c r="B41" i="7" s="1"/>
  <c r="A42" i="7"/>
  <c r="B42" i="7" s="1"/>
  <c r="A43" i="7"/>
  <c r="B43" i="7" s="1"/>
  <c r="A44" i="7"/>
  <c r="B44" i="7" s="1"/>
  <c r="A45" i="7"/>
  <c r="B45" i="7" s="1"/>
  <c r="A46" i="7"/>
  <c r="B46" i="7" s="1"/>
  <c r="A47" i="7"/>
  <c r="B47" i="7" s="1"/>
  <c r="A48" i="7"/>
  <c r="B48" i="7" s="1"/>
  <c r="A49" i="7"/>
  <c r="B49" i="7" s="1"/>
  <c r="A50" i="7"/>
  <c r="B50" i="7" s="1"/>
  <c r="A51" i="7"/>
  <c r="B51" i="7" s="1"/>
  <c r="A52" i="7"/>
  <c r="B52" i="7" s="1"/>
  <c r="A53" i="7"/>
  <c r="B53" i="7" s="1"/>
  <c r="A54" i="7"/>
  <c r="B54" i="7" s="1"/>
  <c r="D54" i="7" l="1"/>
  <c r="D50" i="7"/>
  <c r="D46" i="7"/>
  <c r="D42" i="7"/>
  <c r="D53" i="7"/>
  <c r="D49" i="7"/>
  <c r="D45" i="7"/>
  <c r="D41" i="7"/>
  <c r="D52" i="7"/>
  <c r="D48" i="7"/>
  <c r="D44" i="7"/>
  <c r="D40" i="7"/>
  <c r="D51" i="7"/>
  <c r="D47" i="7"/>
  <c r="D43" i="7"/>
  <c r="D39" i="7"/>
  <c r="A38" i="7"/>
  <c r="B38" i="7" s="1"/>
  <c r="C38" i="7"/>
  <c r="D38" i="7" l="1"/>
</calcChain>
</file>

<file path=xl/sharedStrings.xml><?xml version="1.0" encoding="utf-8"?>
<sst xmlns="http://schemas.openxmlformats.org/spreadsheetml/2006/main" count="4040" uniqueCount="802">
  <si>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</si>
  <si>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</si>
  <si>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</si>
  <si>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</si>
  <si>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</si>
  <si>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</si>
  <si>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</si>
  <si>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</si>
  <si>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</si>
  <si>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</si>
  <si>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</si>
  <si>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</si>
  <si>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</si>
  <si>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</si>
  <si>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</si>
  <si>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</si>
  <si>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</si>
  <si>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</si>
  <si>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</si>
  <si>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</si>
  <si>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</si>
  <si>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</si>
  <si>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</si>
  <si>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</si>
  <si>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</si>
  <si>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</si>
  <si>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</si>
  <si>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</si>
  <si>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</si>
  <si>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</si>
  <si>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</si>
  <si>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</si>
  <si>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</si>
  <si>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</si>
  <si>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</si>
  <si>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</si>
  <si>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</si>
  <si>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</si>
  <si>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</si>
  <si>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</si>
  <si>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</si>
  <si>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</si>
  <si>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</si>
  <si>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</si>
  <si>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</si>
  <si>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</si>
  <si>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</si>
  <si>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</si>
  <si>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</si>
  <si>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</si>
  <si>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</si>
  <si>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</si>
  <si>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</si>
  <si>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</si>
  <si>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</si>
  <si>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</si>
  <si>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</si>
  <si>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</si>
  <si>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</si>
  <si>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</si>
  <si>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</si>
  <si>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</si>
  <si>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</si>
  <si>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</si>
  <si>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</si>
  <si>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</si>
  <si>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</si>
  <si>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</si>
  <si>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</si>
  <si>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</si>
  <si>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</si>
  <si>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</si>
  <si>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</si>
  <si>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</si>
  <si>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</si>
  <si>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</si>
  <si>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</si>
  <si>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</si>
  <si>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</si>
  <si>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</si>
  <si>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 xml:space="preserve">ADMINISTRACION DE MEDICAMENTOS, INYECTOLOGIA  Y CANALIZACION </t>
  </si>
  <si>
    <t>ATENCION A PERSONAS CON DISCAPACIDAD</t>
  </si>
  <si>
    <t>DISCAPACIDAD</t>
  </si>
  <si>
    <t>ADULTO MAYOR</t>
  </si>
  <si>
    <t>CUIDADO INTEGRAL DEL PACIENTE ADULTO</t>
  </si>
  <si>
    <t>Burbano</t>
  </si>
  <si>
    <t>CAMILO</t>
  </si>
  <si>
    <t>Maria</t>
  </si>
  <si>
    <t>Del Carmen</t>
  </si>
  <si>
    <t>Mauricio</t>
  </si>
  <si>
    <t>Ingrid</t>
  </si>
  <si>
    <t>Fernanda</t>
  </si>
  <si>
    <t>Rosero</t>
  </si>
  <si>
    <t>Doris</t>
  </si>
  <si>
    <t>Elena</t>
  </si>
  <si>
    <t>Pantoja</t>
  </si>
  <si>
    <t>Benavides</t>
  </si>
  <si>
    <t>Andres</t>
  </si>
  <si>
    <t>Yaqueno</t>
  </si>
  <si>
    <t>Oscar</t>
  </si>
  <si>
    <t>Guerrero</t>
  </si>
  <si>
    <t>Luis</t>
  </si>
  <si>
    <t>Camilo</t>
  </si>
  <si>
    <t>Fuertes</t>
  </si>
  <si>
    <t>Paz</t>
  </si>
  <si>
    <t>Lopez</t>
  </si>
  <si>
    <t>Molina</t>
  </si>
  <si>
    <t>Yarpaz</t>
  </si>
  <si>
    <t>Sandra</t>
  </si>
  <si>
    <t>Vanessa</t>
  </si>
  <si>
    <t>Ramirez</t>
  </si>
  <si>
    <t>Zambrano</t>
  </si>
  <si>
    <t>Parra</t>
  </si>
  <si>
    <t>Cristina</t>
  </si>
  <si>
    <t>Martinez</t>
  </si>
  <si>
    <t>Alejandra</t>
  </si>
  <si>
    <t>Andrea</t>
  </si>
  <si>
    <t>Polo</t>
  </si>
  <si>
    <t>Castro</t>
  </si>
  <si>
    <t>Ceballos</t>
  </si>
  <si>
    <t>Coral</t>
  </si>
  <si>
    <t>Katherine</t>
  </si>
  <si>
    <t>Hernan</t>
  </si>
  <si>
    <t>Ibarra</t>
  </si>
  <si>
    <t>Pabon</t>
  </si>
  <si>
    <t>David</t>
  </si>
  <si>
    <t>Arturo</t>
  </si>
  <si>
    <t>Cabrera</t>
  </si>
  <si>
    <t>Milena</t>
  </si>
  <si>
    <t>MANEJO DEFENSIVO</t>
  </si>
  <si>
    <t>Mora</t>
  </si>
  <si>
    <t>ACLSN</t>
  </si>
  <si>
    <t>SOPORTE CARDIOVASCULAR AVANZADO NEONATAL</t>
  </si>
  <si>
    <t>Paola</t>
  </si>
  <si>
    <t>Lorena</t>
  </si>
  <si>
    <t>Delgado</t>
  </si>
  <si>
    <t>Carmenza</t>
  </si>
  <si>
    <t>Galindres</t>
  </si>
  <si>
    <t>Hernandez</t>
  </si>
  <si>
    <t>PROINSALUD</t>
  </si>
  <si>
    <t>Lizeth</t>
  </si>
  <si>
    <t>Yolanda</t>
  </si>
  <si>
    <t>Leidy</t>
  </si>
  <si>
    <t>Diana</t>
  </si>
  <si>
    <t>Rocio</t>
  </si>
  <si>
    <t>Meneses</t>
  </si>
  <si>
    <t>Jojoa</t>
  </si>
  <si>
    <t>Luisa</t>
  </si>
  <si>
    <t>Botina</t>
  </si>
  <si>
    <t>Viviana</t>
  </si>
  <si>
    <t>Bolaños</t>
  </si>
  <si>
    <t>Marisol</t>
  </si>
  <si>
    <t>Urbano</t>
  </si>
  <si>
    <t>Bacca</t>
  </si>
  <si>
    <t>Escobar</t>
  </si>
  <si>
    <t>Alberto</t>
  </si>
  <si>
    <t>Lara</t>
  </si>
  <si>
    <t>Narvaez</t>
  </si>
  <si>
    <t>Jimmy</t>
  </si>
  <si>
    <t>Jesus</t>
  </si>
  <si>
    <t>Christian</t>
  </si>
  <si>
    <t>Silvia</t>
  </si>
  <si>
    <t xml:space="preserve">HUMANIZACION EN EL SERVICIO DE LA SALUD Y BUENAS PRACTICAS EN PACIENTE </t>
  </si>
  <si>
    <t xml:space="preserve">TOMA DE MUESTRAS Y LABORATORIO </t>
  </si>
  <si>
    <t>SOPORTE CARDIOVASCULAR AVANZADO (ACLS)</t>
  </si>
  <si>
    <t>TOMA DE MUESTRAS Y LABORATORIO POCT</t>
  </si>
  <si>
    <t>IMPLANTE SUBDERMICO DE DISPOSITIVO INTRAUTERINO</t>
  </si>
  <si>
    <t>Magaly</t>
  </si>
  <si>
    <t>Bastidas</t>
  </si>
  <si>
    <t>Erazo</t>
  </si>
  <si>
    <t>Almeida</t>
  </si>
  <si>
    <t>Eraso</t>
  </si>
  <si>
    <t>Casanova</t>
  </si>
  <si>
    <t>SEGURIDAD DEL PACIENTE</t>
  </si>
  <si>
    <t>PACIENTE</t>
  </si>
  <si>
    <t>Pazmiño</t>
  </si>
  <si>
    <t>Gonzales</t>
  </si>
  <si>
    <t>Salazar</t>
  </si>
  <si>
    <t>Goyes</t>
  </si>
  <si>
    <t>Elida</t>
  </si>
  <si>
    <t>Villamil</t>
  </si>
  <si>
    <t>Agosto</t>
  </si>
  <si>
    <t>Rubio</t>
  </si>
  <si>
    <t>Guacas</t>
  </si>
  <si>
    <t>Enchuchala</t>
  </si>
  <si>
    <t>Velasquez</t>
  </si>
  <si>
    <t>Moncayo</t>
  </si>
  <si>
    <t>Marcillo</t>
  </si>
  <si>
    <t>Campaña</t>
  </si>
  <si>
    <t>Gomez</t>
  </si>
  <si>
    <t>Jurado</t>
  </si>
  <si>
    <t>Pasaje</t>
  </si>
  <si>
    <t>Ipiales</t>
  </si>
  <si>
    <t>Charfuelan</t>
  </si>
  <si>
    <t>Hache</t>
  </si>
  <si>
    <t>Insuasti</t>
  </si>
  <si>
    <t>Mueses</t>
  </si>
  <si>
    <t>Potosi</t>
  </si>
  <si>
    <t>Tongino</t>
  </si>
  <si>
    <t>Palechor</t>
  </si>
  <si>
    <t>Aza</t>
  </si>
  <si>
    <t>Yanguatin</t>
  </si>
  <si>
    <t>Tapie</t>
  </si>
  <si>
    <t>Valverde</t>
  </si>
  <si>
    <t>Hormaza</t>
  </si>
  <si>
    <t>Realpe</t>
  </si>
  <si>
    <t>Colimba</t>
  </si>
  <si>
    <t>Estrella</t>
  </si>
  <si>
    <t>Quiroz</t>
  </si>
  <si>
    <t>Moran</t>
  </si>
  <si>
    <t>Messa</t>
  </si>
  <si>
    <t>Leiton</t>
  </si>
  <si>
    <t>Onofre</t>
  </si>
  <si>
    <t>Acosta</t>
  </si>
  <si>
    <t>Lagos</t>
  </si>
  <si>
    <t>Yamues</t>
  </si>
  <si>
    <t>Matituy</t>
  </si>
  <si>
    <t>Lesley</t>
  </si>
  <si>
    <t>Dajhana</t>
  </si>
  <si>
    <t>Sonia</t>
  </si>
  <si>
    <t>Nayerly</t>
  </si>
  <si>
    <t>Yuliana</t>
  </si>
  <si>
    <t>Karem</t>
  </si>
  <si>
    <t>Anderson</t>
  </si>
  <si>
    <t>Wilson</t>
  </si>
  <si>
    <t>Heraldo</t>
  </si>
  <si>
    <t>Yanet</t>
  </si>
  <si>
    <t>Lady</t>
  </si>
  <si>
    <t>Luz</t>
  </si>
  <si>
    <t>Natalia</t>
  </si>
  <si>
    <t>Albeiro</t>
  </si>
  <si>
    <t>Mayerli</t>
  </si>
  <si>
    <t>Emer</t>
  </si>
  <si>
    <t>Rodrigo</t>
  </si>
  <si>
    <t>Yuliet</t>
  </si>
  <si>
    <t>Jessica</t>
  </si>
  <si>
    <t>Esteban</t>
  </si>
  <si>
    <t>Arley</t>
  </si>
  <si>
    <t>Yaqueline</t>
  </si>
  <si>
    <t>Gaby</t>
  </si>
  <si>
    <t>Elizabet</t>
  </si>
  <si>
    <t>Ayde</t>
  </si>
  <si>
    <t>Emili</t>
  </si>
  <si>
    <t>Bibiana</t>
  </si>
  <si>
    <t>Adrian</t>
  </si>
  <si>
    <t>Deima</t>
  </si>
  <si>
    <t>Gerardine</t>
  </si>
  <si>
    <t>Yiset</t>
  </si>
  <si>
    <t>Armando</t>
  </si>
  <si>
    <t>Andrey</t>
  </si>
  <si>
    <t>Edward</t>
  </si>
  <si>
    <t xml:space="preserve">F         </t>
  </si>
  <si>
    <t xml:space="preserve">M         </t>
  </si>
  <si>
    <t xml:space="preserve">FACTURADOR                                             </t>
  </si>
  <si>
    <t xml:space="preserve">APRENDIZ SENA                                          </t>
  </si>
  <si>
    <t xml:space="preserve">AUXILIAR DE FARMACIA                                   </t>
  </si>
  <si>
    <t xml:space="preserve">MENSAJERO                                              </t>
  </si>
  <si>
    <t xml:space="preserve">REGENTE DE FARMACIA                                    </t>
  </si>
  <si>
    <t xml:space="preserve">AUXILIAR ADMINISTRATIVO                           </t>
  </si>
  <si>
    <t xml:space="preserve">elidavillamil@gmail.com       </t>
  </si>
  <si>
    <t xml:space="preserve">leslyr791@gmail.com           </t>
  </si>
  <si>
    <t xml:space="preserve">benavidessonia031@gmail.com   </t>
  </si>
  <si>
    <t xml:space="preserve">diana.iemb11@gmail.com        </t>
  </si>
  <si>
    <t xml:space="preserve">nayerlilara12@gmail.com       </t>
  </si>
  <si>
    <t xml:space="preserve">vanessavelasquez052@gmail.com </t>
  </si>
  <si>
    <t xml:space="preserve">andres.bol98@hotmail.com      </t>
  </si>
  <si>
    <t xml:space="preserve">anderguerrero0125@gmail.com   </t>
  </si>
  <si>
    <t xml:space="preserve">molina.wilson1@gmail.com      </t>
  </si>
  <si>
    <t xml:space="preserve">coralya18@gmail.com           </t>
  </si>
  <si>
    <t xml:space="preserve">bibian126@gmail.com           </t>
  </si>
  <si>
    <t xml:space="preserve">luzeca76@hotmail.com          </t>
  </si>
  <si>
    <t xml:space="preserve">vivianaandreastz@hotmail.com  </t>
  </si>
  <si>
    <t xml:space="preserve">goyesleidy123@gmail.com       </t>
  </si>
  <si>
    <t xml:space="preserve">juradovivana93@gmail.com      </t>
  </si>
  <si>
    <t>marysolipialesurbano@gmail.com</t>
  </si>
  <si>
    <t xml:space="preserve">galindresjesus1211@gmail.com  </t>
  </si>
  <si>
    <t xml:space="preserve">camilofuertes98@gmail.com     </t>
  </si>
  <si>
    <t xml:space="preserve">fernandainsuasti@hotmail.com  </t>
  </si>
  <si>
    <t xml:space="preserve">lluis341@hotmail.com          </t>
  </si>
  <si>
    <t xml:space="preserve">cristinarosero99@hotmail.com  </t>
  </si>
  <si>
    <t>mayerlysalazar0716@hotmail.com</t>
  </si>
  <si>
    <t xml:space="preserve">emererazo17@gmail.com         </t>
  </si>
  <si>
    <t xml:space="preserve">yuliiethyakeno@gmail.com      </t>
  </si>
  <si>
    <t>paolaazabrubano32076@gmail.com</t>
  </si>
  <si>
    <t xml:space="preserve">luisall0912@gmail.com         </t>
  </si>
  <si>
    <t xml:space="preserve">fermaria-10@hotmail.com       </t>
  </si>
  <si>
    <t xml:space="preserve">daviddamerica.@hotmail.com    </t>
  </si>
  <si>
    <t xml:space="preserve">yepez1920@hotmail.com         </t>
  </si>
  <si>
    <t xml:space="preserve">anyacabe@gmail.com            </t>
  </si>
  <si>
    <t xml:space="preserve">gelisarealpe@gmail.com        </t>
  </si>
  <si>
    <t xml:space="preserve">carmenzab2406@gmail.com       </t>
  </si>
  <si>
    <t xml:space="preserve">delgadosg52@gmail.com         </t>
  </si>
  <si>
    <t xml:space="preserve">emilimao2009@hotmail.com      </t>
  </si>
  <si>
    <t xml:space="preserve">hernan87paz@gmail.com         </t>
  </si>
  <si>
    <t xml:space="preserve">skr2504@gmail.com             </t>
  </si>
  <si>
    <t xml:space="preserve">jimmyjojoa@gmail.com          </t>
  </si>
  <si>
    <t xml:space="preserve">deyeparra@gmail.com           </t>
  </si>
  <si>
    <t xml:space="preserve">m.afe8906@hotmail.com         </t>
  </si>
  <si>
    <t xml:space="preserve">faryd.leyton2006@gmail.com    </t>
  </si>
  <si>
    <t xml:space="preserve">leidyc492@gmail.com           </t>
  </si>
  <si>
    <t>camilo.lopez@unicatolicadelsur</t>
  </si>
  <si>
    <t xml:space="preserve">vzambrano.9272@gmail.com      </t>
  </si>
  <si>
    <t xml:space="preserve">jandrey1992@gmail.com         </t>
  </si>
  <si>
    <t xml:space="preserve">lorecmy1711@hotmail.com       </t>
  </si>
  <si>
    <t xml:space="preserve">davidacosta2197@gmail.com     </t>
  </si>
  <si>
    <t>Mejía</t>
  </si>
  <si>
    <t>Chávez</t>
  </si>
  <si>
    <t>Esmeralda</t>
  </si>
  <si>
    <t>BRYAN</t>
  </si>
  <si>
    <t>F</t>
  </si>
  <si>
    <t>dianaesmeraldamejia11@gmail.com</t>
  </si>
  <si>
    <t>Tulcanas</t>
  </si>
  <si>
    <t>Carlos</t>
  </si>
  <si>
    <t>FORMEDICAL</t>
  </si>
  <si>
    <t>roseroluis2122@gmail.com</t>
  </si>
  <si>
    <t>AUXILIAR DE ENFERMERIA</t>
  </si>
  <si>
    <t>M</t>
  </si>
  <si>
    <t>Morales</t>
  </si>
  <si>
    <t>Melo</t>
  </si>
  <si>
    <t>Claudia</t>
  </si>
  <si>
    <t>LUIS PINTA</t>
  </si>
  <si>
    <t>soniamoralesmelo@hotmail.com</t>
  </si>
  <si>
    <t>NEQUI</t>
  </si>
  <si>
    <t>Santander</t>
  </si>
  <si>
    <t>Alfredo</t>
  </si>
  <si>
    <t>Generid</t>
  </si>
  <si>
    <t>YURANI</t>
  </si>
  <si>
    <t xml:space="preserve"> leoamor68@yahoo.es</t>
  </si>
  <si>
    <t>BANCOLOMBIA</t>
  </si>
  <si>
    <t>Cortes</t>
  </si>
  <si>
    <t>Ponce</t>
  </si>
  <si>
    <t>Ana</t>
  </si>
  <si>
    <t>Gabriela</t>
  </si>
  <si>
    <t>CAJA</t>
  </si>
  <si>
    <t>CCS</t>
  </si>
  <si>
    <t>TECNICO EN ADMINISTRACION EN SALUD</t>
  </si>
  <si>
    <t xml:space="preserve">saralisbeht19@gmail.com </t>
  </si>
  <si>
    <t>Cuatin</t>
  </si>
  <si>
    <t>Pastas</t>
  </si>
  <si>
    <t>Jhon</t>
  </si>
  <si>
    <t>Fernando</t>
  </si>
  <si>
    <t xml:space="preserve">johncp1505@gmail.com </t>
  </si>
  <si>
    <t>Adiela</t>
  </si>
  <si>
    <t>Johana</t>
  </si>
  <si>
    <t>Portilla</t>
  </si>
  <si>
    <t>Echeverry</t>
  </si>
  <si>
    <t>Yinet</t>
  </si>
  <si>
    <t>Marcela</t>
  </si>
  <si>
    <t>Milton</t>
  </si>
  <si>
    <t>Libardo</t>
  </si>
  <si>
    <t>Yenny</t>
  </si>
  <si>
    <t>Alexandra</t>
  </si>
  <si>
    <t>Galindez</t>
  </si>
  <si>
    <t>Blanca</t>
  </si>
  <si>
    <t>Neyi</t>
  </si>
  <si>
    <t>Cancimanci</t>
  </si>
  <si>
    <t>Leon</t>
  </si>
  <si>
    <t>Fabian</t>
  </si>
  <si>
    <t>Amparo</t>
  </si>
  <si>
    <t>Del Rocio</t>
  </si>
  <si>
    <t>Muñoz</t>
  </si>
  <si>
    <t>Villarreal</t>
  </si>
  <si>
    <t>Jesit</t>
  </si>
  <si>
    <t>Ceron</t>
  </si>
  <si>
    <t>Julieth</t>
  </si>
  <si>
    <t>Camila</t>
  </si>
  <si>
    <t>Maya</t>
  </si>
  <si>
    <t>Janneth</t>
  </si>
  <si>
    <t>Moreno</t>
  </si>
  <si>
    <t>Ascuntar</t>
  </si>
  <si>
    <t>Gloria</t>
  </si>
  <si>
    <t>Del carmen</t>
  </si>
  <si>
    <t>Guacan</t>
  </si>
  <si>
    <t>Karolain</t>
  </si>
  <si>
    <t>Valentina</t>
  </si>
  <si>
    <t>Basante</t>
  </si>
  <si>
    <t>Nidia</t>
  </si>
  <si>
    <t>Esperanza</t>
  </si>
  <si>
    <t>Paula</t>
  </si>
  <si>
    <t>mariap.eraso.1@gmail.com</t>
  </si>
  <si>
    <t>Riascos</t>
  </si>
  <si>
    <t>Angie</t>
  </si>
  <si>
    <t>Daniela</t>
  </si>
  <si>
    <t>ENFERMERA</t>
  </si>
  <si>
    <t>Angieriascos89@gmail.com</t>
  </si>
  <si>
    <t>Dulce</t>
  </si>
  <si>
    <t>Miño</t>
  </si>
  <si>
    <t>DAVIPLATA</t>
  </si>
  <si>
    <t>Luisa.dulcem@gmail.com</t>
  </si>
  <si>
    <t>fernando</t>
  </si>
  <si>
    <t>rosas</t>
  </si>
  <si>
    <t xml:space="preserve">Juan </t>
  </si>
  <si>
    <t>NICOLAS</t>
  </si>
  <si>
    <t>PSICOLOGO</t>
  </si>
  <si>
    <t>Juferosascoral@gmail.com</t>
  </si>
  <si>
    <t xml:space="preserve">Salas </t>
  </si>
  <si>
    <t>Martín</t>
  </si>
  <si>
    <t>Eduardo</t>
  </si>
  <si>
    <t xml:space="preserve">salas5840@gmail.com </t>
  </si>
  <si>
    <t>Johan</t>
  </si>
  <si>
    <t>Sebastián</t>
  </si>
  <si>
    <t>JEFE DE URGENCIAS</t>
  </si>
  <si>
    <t xml:space="preserve">johanguerrero290@gmail.com </t>
  </si>
  <si>
    <t xml:space="preserve">pantojamilena868@gmail.com </t>
  </si>
  <si>
    <t>Gomajoa</t>
  </si>
  <si>
    <t>López</t>
  </si>
  <si>
    <t>Aylin</t>
  </si>
  <si>
    <t>yuyislopez1976@gmail.com</t>
  </si>
  <si>
    <t>De la Cruz</t>
  </si>
  <si>
    <t>Olga</t>
  </si>
  <si>
    <t>Nathalia</t>
  </si>
  <si>
    <t>PSICOLOGA</t>
  </si>
  <si>
    <t>morenodelacruznathalia7@gmail.com</t>
  </si>
  <si>
    <t>Narváez</t>
  </si>
  <si>
    <t>Ortega</t>
  </si>
  <si>
    <t>Gilzan</t>
  </si>
  <si>
    <t>Javier</t>
  </si>
  <si>
    <t xml:space="preserve">javinabas@gmail.com </t>
  </si>
  <si>
    <t>GINECOLOGO Y OBSTETRA</t>
  </si>
  <si>
    <t>Gesama</t>
  </si>
  <si>
    <t>Cuasanchir</t>
  </si>
  <si>
    <t>Del socorro</t>
  </si>
  <si>
    <t>HIGIENISTA ORAL</t>
  </si>
  <si>
    <t>gesamabibiana0112@gmail.com</t>
  </si>
  <si>
    <t>Rodriguez</t>
  </si>
  <si>
    <t>Cristian</t>
  </si>
  <si>
    <t>Homero</t>
  </si>
  <si>
    <t>rodriguezambrano97@gmail.com</t>
  </si>
  <si>
    <t>Ledezma</t>
  </si>
  <si>
    <t>Noralba</t>
  </si>
  <si>
    <t>nopazle1974@gmail.com</t>
  </si>
  <si>
    <t>Ronald</t>
  </si>
  <si>
    <t>MEDIC@</t>
  </si>
  <si>
    <t xml:space="preserve">ferni0705@gmail.com </t>
  </si>
  <si>
    <t>Romo</t>
  </si>
  <si>
    <t>Yuly</t>
  </si>
  <si>
    <t xml:space="preserve">anita-8812@hotmail.com </t>
  </si>
  <si>
    <t>TRABAJADORA SOCIAL</t>
  </si>
  <si>
    <t>BANCOLOMBIA/CAJA</t>
  </si>
  <si>
    <t>Rojas</t>
  </si>
  <si>
    <t>Alvarez</t>
  </si>
  <si>
    <t>Alexa</t>
  </si>
  <si>
    <t>Irene</t>
  </si>
  <si>
    <t>Julio</t>
  </si>
  <si>
    <t>Irerojas.19@gmail.com</t>
  </si>
  <si>
    <t>Andrade</t>
  </si>
  <si>
    <t>Anyi</t>
  </si>
  <si>
    <t>Gissela</t>
  </si>
  <si>
    <t>gisselamartinez44@gmail.com</t>
  </si>
  <si>
    <t>MODALIDAD</t>
  </si>
  <si>
    <t>Actualizacion</t>
  </si>
  <si>
    <t>Madroñero</t>
  </si>
  <si>
    <t>Arteaga</t>
  </si>
  <si>
    <t>Valenzuela</t>
  </si>
  <si>
    <t>Obando</t>
  </si>
  <si>
    <t>Figueroa</t>
  </si>
  <si>
    <t>Nastar</t>
  </si>
  <si>
    <t>Guacales</t>
  </si>
  <si>
    <t>Vallejo</t>
  </si>
  <si>
    <t>Cifuentes</t>
  </si>
  <si>
    <t>Cañar</t>
  </si>
  <si>
    <t>Medina</t>
  </si>
  <si>
    <t>Estacio</t>
  </si>
  <si>
    <t>Palma</t>
  </si>
  <si>
    <t>Azain</t>
  </si>
  <si>
    <t>Aite</t>
  </si>
  <si>
    <t>Romero</t>
  </si>
  <si>
    <t>Cujia</t>
  </si>
  <si>
    <t>Vallejo.</t>
  </si>
  <si>
    <t>Yaguapaz</t>
  </si>
  <si>
    <t>Quenguan</t>
  </si>
  <si>
    <t>Armas</t>
  </si>
  <si>
    <t>Bautista</t>
  </si>
  <si>
    <t>Ortiz</t>
  </si>
  <si>
    <t>Gómez</t>
  </si>
  <si>
    <t>Revelo</t>
  </si>
  <si>
    <t>Chamorro</t>
  </si>
  <si>
    <t>Villota</t>
  </si>
  <si>
    <t>Arcos</t>
  </si>
  <si>
    <t>Mabel</t>
  </si>
  <si>
    <t>Emirgen</t>
  </si>
  <si>
    <t>Edwin</t>
  </si>
  <si>
    <t>Custodia</t>
  </si>
  <si>
    <t>Jael</t>
  </si>
  <si>
    <t>Mabell</t>
  </si>
  <si>
    <t>María</t>
  </si>
  <si>
    <t>del Carmen</t>
  </si>
  <si>
    <t>Carmen</t>
  </si>
  <si>
    <t>Alicia</t>
  </si>
  <si>
    <t>Dario</t>
  </si>
  <si>
    <t>Dayana</t>
  </si>
  <si>
    <t>Yenifer</t>
  </si>
  <si>
    <t>Elizabeth</t>
  </si>
  <si>
    <t>Elva</t>
  </si>
  <si>
    <t>Yolima</t>
  </si>
  <si>
    <t>Karol</t>
  </si>
  <si>
    <t>Yurley</t>
  </si>
  <si>
    <t>José</t>
  </si>
  <si>
    <t>Nayive</t>
  </si>
  <si>
    <t>Idaly</t>
  </si>
  <si>
    <t>Yibelly</t>
  </si>
  <si>
    <t>Carolina</t>
  </si>
  <si>
    <t>Yeni</t>
  </si>
  <si>
    <t>Ehider</t>
  </si>
  <si>
    <t>Yananderly</t>
  </si>
  <si>
    <t>del Socorro</t>
  </si>
  <si>
    <t>Hingrid</t>
  </si>
  <si>
    <t>Karen</t>
  </si>
  <si>
    <t>Giovanna</t>
  </si>
  <si>
    <t>Cesar</t>
  </si>
  <si>
    <t>Daniel</t>
  </si>
  <si>
    <t>SAGRADO CORAZON</t>
  </si>
  <si>
    <t>Mendoza</t>
  </si>
  <si>
    <t>Bedoya</t>
  </si>
  <si>
    <t>Eva</t>
  </si>
  <si>
    <t>Patricia</t>
  </si>
  <si>
    <t>evaangela184@gmail.com</t>
  </si>
  <si>
    <t>CAPACITACION</t>
  </si>
  <si>
    <t>Casseta</t>
  </si>
  <si>
    <t>RENOVACION</t>
  </si>
  <si>
    <t>AUXILIAR DE ODONTOLOGIA</t>
  </si>
  <si>
    <t>NATHASAORI@GMAIL.COM</t>
  </si>
  <si>
    <t>Chalapud</t>
  </si>
  <si>
    <t>Alyss</t>
  </si>
  <si>
    <t>Yasmín</t>
  </si>
  <si>
    <t>Ximena</t>
  </si>
  <si>
    <t>Enriquez</t>
  </si>
  <si>
    <t>Rosa</t>
  </si>
  <si>
    <t xml:space="preserve">marcelaenriquezmedfam@gmail.com </t>
  </si>
  <si>
    <t>Jorge</t>
  </si>
  <si>
    <t>ximenaceballosmedfamipiales@gmail.com</t>
  </si>
  <si>
    <t>Lucano</t>
  </si>
  <si>
    <t>Yela</t>
  </si>
  <si>
    <t>Jimena</t>
  </si>
  <si>
    <t>Lucia</t>
  </si>
  <si>
    <t xml:space="preserve">iesncienciasnaturales@gmail.com </t>
  </si>
  <si>
    <t>Jorgecolombia03@hotmail.com</t>
  </si>
  <si>
    <t>Viveros</t>
  </si>
  <si>
    <t>Quiñones</t>
  </si>
  <si>
    <t>FRANCISCO</t>
  </si>
  <si>
    <t>Macuase</t>
  </si>
  <si>
    <t>Sofia</t>
  </si>
  <si>
    <t xml:space="preserve">dianamacuasechavez@gmail.com </t>
  </si>
  <si>
    <t>NUTRICIONISTA Y DIETISTA</t>
  </si>
  <si>
    <t>Guaquez</t>
  </si>
  <si>
    <t>Cuasapud</t>
  </si>
  <si>
    <t>Juana</t>
  </si>
  <si>
    <t>juanaguaquez@gmail.com</t>
  </si>
  <si>
    <t>Bravo</t>
  </si>
  <si>
    <t>Danny</t>
  </si>
  <si>
    <t>Alexander</t>
  </si>
  <si>
    <t xml:space="preserve">dannydabb4@gmail.com </t>
  </si>
  <si>
    <t xml:space="preserve">xmenortega1227@gmail.com </t>
  </si>
  <si>
    <t>Caicedo</t>
  </si>
  <si>
    <t>Francy</t>
  </si>
  <si>
    <t>Milenacaicedo1993@gmail.com</t>
  </si>
  <si>
    <t>OBSEQUIO</t>
  </si>
  <si>
    <t>Efrén</t>
  </si>
  <si>
    <t>NICO</t>
  </si>
  <si>
    <t>efdario@hotmail.com</t>
  </si>
  <si>
    <t>Carabali</t>
  </si>
  <si>
    <t>Toloza</t>
  </si>
  <si>
    <t xml:space="preserve">Ana </t>
  </si>
  <si>
    <t>RCP</t>
  </si>
  <si>
    <t>Mainguez</t>
  </si>
  <si>
    <t>Reyes</t>
  </si>
  <si>
    <t>Monica</t>
  </si>
  <si>
    <t>Orbes</t>
  </si>
  <si>
    <t>Henandez</t>
  </si>
  <si>
    <t>Juan</t>
  </si>
  <si>
    <t>jorbeshernandez@gmail.com</t>
  </si>
  <si>
    <t>Valencia</t>
  </si>
  <si>
    <t>Estupiñan</t>
  </si>
  <si>
    <t>Kelly</t>
  </si>
  <si>
    <t>Quenan</t>
  </si>
  <si>
    <t xml:space="preserve">jcbenavidesq@hotmail.com </t>
  </si>
  <si>
    <t>Puerres</t>
  </si>
  <si>
    <t>Hidalgo</t>
  </si>
  <si>
    <t>Instrumentadora Quirúrgica</t>
  </si>
  <si>
    <t xml:space="preserve">johanampuerres@gmail.com </t>
  </si>
  <si>
    <t>Diego</t>
  </si>
  <si>
    <t>diego13river@gmail.com</t>
  </si>
  <si>
    <t>Figueredo</t>
  </si>
  <si>
    <t>Ladino</t>
  </si>
  <si>
    <t>Humberto</t>
  </si>
  <si>
    <t>comandofigue05@hotmail.com</t>
  </si>
  <si>
    <t>COMERCIANTE</t>
  </si>
  <si>
    <t>Tonguino</t>
  </si>
  <si>
    <t>Gladimir</t>
  </si>
  <si>
    <t>etole7613@gmail.com</t>
  </si>
  <si>
    <t>Diaz</t>
  </si>
  <si>
    <t>Santacruz</t>
  </si>
  <si>
    <t>Vannesa</t>
  </si>
  <si>
    <t xml:space="preserve">vannesads1996@gmail.com </t>
  </si>
  <si>
    <t>Córdoba</t>
  </si>
  <si>
    <t>paolacordoba1004@gmail.com</t>
  </si>
  <si>
    <t>Perez</t>
  </si>
  <si>
    <t>Valeria</t>
  </si>
  <si>
    <t>Valeriapv0440@gmail.com</t>
  </si>
  <si>
    <t>Yurani</t>
  </si>
  <si>
    <t>danielagoyes1997@gmail.com</t>
  </si>
  <si>
    <t>Cuaran</t>
  </si>
  <si>
    <t>Dorlley</t>
  </si>
  <si>
    <t>ENFERMERA JEFE</t>
  </si>
  <si>
    <t xml:space="preserve">dorelizabeth1588@gmail.com </t>
  </si>
  <si>
    <t>Getial</t>
  </si>
  <si>
    <t>Chaparpued</t>
  </si>
  <si>
    <t>Anyela</t>
  </si>
  <si>
    <t>anyelagetial68@gmail.com</t>
  </si>
  <si>
    <t>https://centrodecapacitaciondelsur.com/toma-de-citologia-</t>
  </si>
  <si>
    <t>Geovanny</t>
  </si>
  <si>
    <t>Andres_obando46@hotmail.com</t>
  </si>
  <si>
    <t>Rosas</t>
  </si>
  <si>
    <t>Gelpud</t>
  </si>
  <si>
    <t>Nancy</t>
  </si>
  <si>
    <t xml:space="preserve">nancyrosasgelpud@gmail.com </t>
  </si>
  <si>
    <t>Andreaalmeida47@0utlook.com</t>
  </si>
  <si>
    <t>Mariana</t>
  </si>
  <si>
    <t>mgomezu1973@gmail.com</t>
  </si>
  <si>
    <t>Guevara</t>
  </si>
  <si>
    <t>dianapg-123@hotmail.com</t>
  </si>
  <si>
    <t xml:space="preserve">  </t>
  </si>
  <si>
    <t>Francisco</t>
  </si>
  <si>
    <t>jooseeloopeez96@gmail.com</t>
  </si>
  <si>
    <t>Portillo</t>
  </si>
  <si>
    <t>Yescika</t>
  </si>
  <si>
    <t>jescikajp@yahoo.com</t>
  </si>
  <si>
    <t>Jaramillo</t>
  </si>
  <si>
    <t>Adriana</t>
  </si>
  <si>
    <t>Rocío</t>
  </si>
  <si>
    <t>danna.jaramillo@hotmail.com</t>
  </si>
  <si>
    <t>Daza</t>
  </si>
  <si>
    <t>Vasquez</t>
  </si>
  <si>
    <t>Deison</t>
  </si>
  <si>
    <t>Samir</t>
  </si>
  <si>
    <t>CONDUCTOR</t>
  </si>
  <si>
    <t>Deisondazajzm@gmail.com</t>
  </si>
  <si>
    <t>Ramos</t>
  </si>
  <si>
    <t>Yoni</t>
  </si>
  <si>
    <t>Ivan</t>
  </si>
  <si>
    <t>jhonidaza8@gmail.com</t>
  </si>
  <si>
    <t>Gilberto</t>
  </si>
  <si>
    <t>Perezgilberto1179@gmail.com</t>
  </si>
  <si>
    <t>Yunior</t>
  </si>
  <si>
    <t>De Jesús</t>
  </si>
  <si>
    <t>yuniordejesusdaza@gmail.com</t>
  </si>
  <si>
    <t>Vázquez</t>
  </si>
  <si>
    <t>martinezjuancarlos.1215@gmail.com</t>
  </si>
  <si>
    <t>Meza</t>
  </si>
  <si>
    <t>Emerson</t>
  </si>
  <si>
    <t>Aldemar</t>
  </si>
  <si>
    <t>burbanoemerson15@gmail.com</t>
  </si>
  <si>
    <t>Villacorte</t>
  </si>
  <si>
    <t>Jair</t>
  </si>
  <si>
    <t>villacorte944@gmail.com</t>
  </si>
  <si>
    <t>Tovar</t>
  </si>
  <si>
    <t>Liberato</t>
  </si>
  <si>
    <t xml:space="preserve">Miguel </t>
  </si>
  <si>
    <t>Angel</t>
  </si>
  <si>
    <t>PERFECCIONAMIENTO DE LIDERAZGO BÁSICO</t>
  </si>
  <si>
    <t>TEMPORAL</t>
  </si>
  <si>
    <t>https://centrodecapacitaciondelsur.com/perfeccionamiento-de-liderazgo-basico-</t>
  </si>
  <si>
    <t>TECNOLOGA EN REGENCIA DE FARMACIA</t>
  </si>
  <si>
    <t xml:space="preserve">danielamenesesceron@gmail.com </t>
  </si>
  <si>
    <t>IPS INDIGENA JULIAN CARLOSAMA</t>
  </si>
  <si>
    <t xml:space="preserve">CHALPARTAR </t>
  </si>
  <si>
    <t>PULISTAR</t>
  </si>
  <si>
    <t>YESICA</t>
  </si>
  <si>
    <t xml:space="preserve"> LORENA</t>
  </si>
  <si>
    <t xml:space="preserve">VILLOTA </t>
  </si>
  <si>
    <t>ASMAZA</t>
  </si>
  <si>
    <t>RUBY</t>
  </si>
  <si>
    <t xml:space="preserve"> DEL CARMEN</t>
  </si>
  <si>
    <t xml:space="preserve">MALUA  </t>
  </si>
  <si>
    <t>BACCA</t>
  </si>
  <si>
    <t>YOLANDA</t>
  </si>
  <si>
    <t xml:space="preserve"> DEL ROSARIO</t>
  </si>
  <si>
    <t>BOLAÑOS</t>
  </si>
  <si>
    <t>CORTES</t>
  </si>
  <si>
    <t>DIANA</t>
  </si>
  <si>
    <t xml:space="preserve"> MARIA EGUENIA</t>
  </si>
  <si>
    <t xml:space="preserve">ORDOÑEZ </t>
  </si>
  <si>
    <t>QUEMAC</t>
  </si>
  <si>
    <t>ANGELA</t>
  </si>
  <si>
    <t xml:space="preserve"> CRISTINA</t>
  </si>
  <si>
    <t xml:space="preserve">LOPEZ </t>
  </si>
  <si>
    <t>JOSE</t>
  </si>
  <si>
    <t xml:space="preserve"> HERNANDO</t>
  </si>
  <si>
    <t xml:space="preserve">ROSERO </t>
  </si>
  <si>
    <t>ASCUNTAR</t>
  </si>
  <si>
    <t>YENNY</t>
  </si>
  <si>
    <t xml:space="preserve"> YOHANA </t>
  </si>
  <si>
    <t xml:space="preserve">QUISTIAL </t>
  </si>
  <si>
    <t>ARROYO</t>
  </si>
  <si>
    <t xml:space="preserve"> YADIRA</t>
  </si>
  <si>
    <t>MERA</t>
  </si>
  <si>
    <t>Deissy</t>
  </si>
  <si>
    <t>BRAVO</t>
  </si>
  <si>
    <t>DELGADO</t>
  </si>
  <si>
    <t xml:space="preserve">DARY </t>
  </si>
  <si>
    <t>MILENA</t>
  </si>
  <si>
    <t>AREVALO</t>
  </si>
  <si>
    <t xml:space="preserve">CLAUDIA </t>
  </si>
  <si>
    <t>SUARES</t>
  </si>
  <si>
    <t>DANIELA</t>
  </si>
  <si>
    <t>CAROLINA</t>
  </si>
  <si>
    <t>MORA</t>
  </si>
  <si>
    <t>TEQUIN</t>
  </si>
  <si>
    <t>PAOLA</t>
  </si>
  <si>
    <t>LORENA</t>
  </si>
  <si>
    <t>PORTILLO</t>
  </si>
  <si>
    <t>FRACINSCO</t>
  </si>
  <si>
    <t>JAVIER</t>
  </si>
  <si>
    <t>TELLO</t>
  </si>
  <si>
    <t>BENAVIDES</t>
  </si>
  <si>
    <t>EDUARDO</t>
  </si>
  <si>
    <t>SIGIFREDO</t>
  </si>
  <si>
    <t>SALAZAR</t>
  </si>
  <si>
    <t>MAINGUEZ</t>
  </si>
  <si>
    <t>JOHANA</t>
  </si>
  <si>
    <t>CRISTINA</t>
  </si>
  <si>
    <t>TARAPUES</t>
  </si>
  <si>
    <t>QUISTIAL</t>
  </si>
  <si>
    <t>YECICA</t>
  </si>
  <si>
    <t>KATERINE</t>
  </si>
  <si>
    <t>ROSERO</t>
  </si>
  <si>
    <t>DAYRA</t>
  </si>
  <si>
    <t>YISELA</t>
  </si>
  <si>
    <t>MARTINEZ</t>
  </si>
  <si>
    <t>PASMIÑO</t>
  </si>
  <si>
    <t>JULIETH</t>
  </si>
  <si>
    <t>CAMILA</t>
  </si>
  <si>
    <t>ERASO</t>
  </si>
  <si>
    <t>JESUS</t>
  </si>
  <si>
    <t>ANTONIO</t>
  </si>
  <si>
    <t>AUCU</t>
  </si>
  <si>
    <t>MADRUÑERO</t>
  </si>
  <si>
    <t xml:space="preserve">LIDIA </t>
  </si>
  <si>
    <t>ESTELLA</t>
  </si>
  <si>
    <t>CHAZATAR</t>
  </si>
  <si>
    <t>YULY</t>
  </si>
  <si>
    <t>MARCELA</t>
  </si>
  <si>
    <t xml:space="preserve">JIMENEZ </t>
  </si>
  <si>
    <t>AUGU</t>
  </si>
  <si>
    <t>ESPINOSA</t>
  </si>
  <si>
    <t>YERLY</t>
  </si>
  <si>
    <t>ORTENCIA</t>
  </si>
  <si>
    <t>GETIAL</t>
  </si>
  <si>
    <t>MARY</t>
  </si>
  <si>
    <t>OFIR</t>
  </si>
  <si>
    <t>CUAYCHAR</t>
  </si>
  <si>
    <t>DARLIN</t>
  </si>
  <si>
    <t>KARINE</t>
  </si>
  <si>
    <t>OJEDA</t>
  </si>
  <si>
    <t>KAREN</t>
  </si>
  <si>
    <t>YULIANA</t>
  </si>
  <si>
    <t>HELDER</t>
  </si>
  <si>
    <t>GUILLERMO</t>
  </si>
  <si>
    <t>MORALES</t>
  </si>
  <si>
    <t>SANCHEZ</t>
  </si>
  <si>
    <t>LIDA</t>
  </si>
  <si>
    <t>MARIA</t>
  </si>
  <si>
    <t>PISCAL</t>
  </si>
  <si>
    <t>PONCE</t>
  </si>
  <si>
    <t>VALLEJO</t>
  </si>
  <si>
    <t>MUÑOZ</t>
  </si>
  <si>
    <t>ADRIANA</t>
  </si>
  <si>
    <t>OMAIRA</t>
  </si>
  <si>
    <t>MAYA</t>
  </si>
  <si>
    <t>CORDOBA</t>
  </si>
  <si>
    <t>TATIANA</t>
  </si>
  <si>
    <t>YARPAZ</t>
  </si>
  <si>
    <t>ORTEGA</t>
  </si>
  <si>
    <t>ANYI</t>
  </si>
  <si>
    <t>DIEGO</t>
  </si>
  <si>
    <t>ASTRID</t>
  </si>
  <si>
    <t>PULSARA</t>
  </si>
  <si>
    <t>TERAN</t>
  </si>
  <si>
    <t xml:space="preserve">IVANIA </t>
  </si>
  <si>
    <t>YAMILE</t>
  </si>
  <si>
    <t>CAIZA</t>
  </si>
  <si>
    <t>BOLAÑOZ</t>
  </si>
  <si>
    <t>FERNANDA</t>
  </si>
  <si>
    <t>ARECELY</t>
  </si>
  <si>
    <t>jesusjhidalgom1984@gmail.com</t>
  </si>
  <si>
    <t>Brayan</t>
  </si>
  <si>
    <t>Araujo</t>
  </si>
  <si>
    <t>brayanjairdazaaraujo2@gmail.com</t>
  </si>
  <si>
    <t>Carrillo</t>
  </si>
  <si>
    <t>Solano</t>
  </si>
  <si>
    <t>Deiner</t>
  </si>
  <si>
    <t>Jose</t>
  </si>
  <si>
    <t>BACTERIOLOGO</t>
  </si>
  <si>
    <t xml:space="preserve">deiner3011@gmail.com </t>
  </si>
  <si>
    <t>bANCOLOMBIA</t>
  </si>
  <si>
    <t>Calvache</t>
  </si>
  <si>
    <t>Julian</t>
  </si>
  <si>
    <t>davidcalvache88@gmail.com</t>
  </si>
  <si>
    <t>RIVERA</t>
  </si>
  <si>
    <t>ANA</t>
  </si>
  <si>
    <t>LUCY</t>
  </si>
  <si>
    <t>RODRIGUEZ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</si>
</sst>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u/>
      <sz val="12"/>
      <name val="Arial"/>
      <family val="2"/>
    </font>
    <font>
      <b/>
      <sz val="11"/>
      <color theme="1"/>
      <name val="Arial"/>
      <family val="2"/>
    </font>
    <font>
      <sz val="12"/>
      <color rgb="FF000000"/>
      <name val="Arial"/>
      <family val="2"/>
    </font>
    <font>
      <u/>
      <sz val="12"/>
      <color theme="10"/>
      <name val="Arial"/>
      <family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/>
    <xf numFmtId="0" fontId="6" fillId="0" borderId="6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center"/>
    </xf>
    <xf numFmtId="0" fontId="9" fillId="2" borderId="1" xfId="0" applyFont="1" applyFill="1" applyBorder="1"/>
    <xf numFmtId="14" fontId="9" fillId="2" borderId="1" xfId="0" applyNumberFormat="1" applyFont="1" applyFill="1" applyBorder="1"/>
    <xf numFmtId="164" fontId="9" fillId="2" borderId="1" xfId="1" applyNumberFormat="1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2" borderId="1" xfId="0" applyFont="1" applyFill="1" applyBorder="1" applyAlignment="1" applyProtection="1">
      <alignment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3" borderId="1" xfId="0" applyFont="1" applyFill="1" applyBorder="1" applyAlignment="1">
      <alignment vertical="center"/>
    </xf>
    <xf numFmtId="0" fontId="11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10" fillId="2" borderId="1" xfId="3" applyFont="1" applyFill="1" applyBorder="1" applyAlignment="1"/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9" fillId="2" borderId="8" xfId="0" applyFont="1" applyFill="1" applyBorder="1"/>
    <xf numFmtId="14" fontId="9" fillId="2" borderId="8" xfId="0" applyNumberFormat="1" applyFont="1" applyFill="1" applyBorder="1"/>
    <xf numFmtId="0" fontId="5" fillId="0" borderId="19" xfId="0" applyFont="1" applyBorder="1" applyAlignment="1">
      <alignment horizontal="center"/>
    </xf>
    <xf numFmtId="0" fontId="5" fillId="0" borderId="18" xfId="0" applyFont="1" applyBorder="1"/>
    <xf numFmtId="0" fontId="5" fillId="0" borderId="20" xfId="0" applyFont="1" applyBorder="1"/>
    <xf numFmtId="0" fontId="5" fillId="0" borderId="1" xfId="0" applyFont="1" applyFill="1" applyBorder="1"/>
    <xf numFmtId="0" fontId="5" fillId="0" borderId="7" xfId="0" applyFont="1" applyFill="1" applyBorder="1"/>
    <xf numFmtId="0" fontId="0" fillId="0" borderId="6" xfId="0" applyFill="1" applyBorder="1" applyAlignment="1">
      <alignment horizontal="center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0" fontId="3" fillId="2" borderId="1" xfId="2" applyNumberFormat="1" applyFont="1" applyFill="1" applyBorder="1" applyAlignment="1" applyProtection="1">
      <alignment vertical="center"/>
      <protection locked="0"/>
    </xf>
    <xf numFmtId="0" fontId="9" fillId="2" borderId="1" xfId="0" applyNumberFormat="1" applyFont="1" applyFill="1" applyBorder="1"/>
    <xf numFmtId="0" fontId="9" fillId="0" borderId="0" xfId="0" applyNumberFormat="1" applyFont="1" applyFill="1" applyBorder="1"/>
    <xf numFmtId="0" fontId="9" fillId="3" borderId="1" xfId="0" applyFont="1" applyFill="1" applyBorder="1"/>
    <xf numFmtId="0" fontId="5" fillId="0" borderId="16" xfId="0" applyFont="1" applyFill="1" applyBorder="1"/>
    <xf numFmtId="0" fontId="5" fillId="0" borderId="17" xfId="0" applyFont="1" applyFill="1" applyBorder="1"/>
    <xf numFmtId="0" fontId="9" fillId="0" borderId="1" xfId="0" applyNumberFormat="1" applyFont="1" applyFill="1" applyBorder="1"/>
    <xf numFmtId="0" fontId="9" fillId="0" borderId="0" xfId="0" applyFont="1"/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3" borderId="14" xfId="0" applyFont="1" applyFill="1" applyBorder="1" applyAlignment="1">
      <alignment vertical="center"/>
    </xf>
    <xf numFmtId="0" fontId="9" fillId="2" borderId="21" xfId="0" applyNumberFormat="1" applyFont="1" applyFill="1" applyBorder="1"/>
    <xf numFmtId="0" fontId="10" fillId="2" borderId="8" xfId="3" applyFont="1" applyFill="1" applyBorder="1" applyAlignment="1"/>
    <xf numFmtId="0" fontId="9" fillId="2" borderId="25" xfId="0" applyNumberFormat="1" applyFont="1" applyFill="1" applyBorder="1"/>
    <xf numFmtId="0" fontId="9" fillId="2" borderId="24" xfId="0" applyFont="1" applyFill="1" applyBorder="1"/>
    <xf numFmtId="0" fontId="9" fillId="2" borderId="24" xfId="0" applyFont="1" applyFill="1" applyBorder="1" applyAlignment="1">
      <alignment horizontal="center"/>
    </xf>
    <xf numFmtId="14" fontId="9" fillId="2" borderId="24" xfId="0" applyNumberFormat="1" applyFont="1" applyFill="1" applyBorder="1"/>
    <xf numFmtId="0" fontId="10" fillId="2" borderId="24" xfId="3" applyFont="1" applyFill="1" applyBorder="1" applyAlignment="1"/>
    <xf numFmtId="0" fontId="9" fillId="2" borderId="1" xfId="0" applyNumberFormat="1" applyFont="1" applyFill="1" applyBorder="1" applyAlignment="1">
      <alignment horizontal="center"/>
    </xf>
    <xf numFmtId="0" fontId="9" fillId="2" borderId="1" xfId="0" applyNumberFormat="1" applyFont="1" applyFill="1" applyBorder="1" applyAlignment="1">
      <alignment horizontal="left"/>
    </xf>
    <xf numFmtId="1" fontId="9" fillId="0" borderId="0" xfId="0" applyNumberFormat="1" applyFont="1" applyFill="1" applyBorder="1"/>
    <xf numFmtId="0" fontId="9" fillId="0" borderId="0" xfId="0" applyFont="1" applyFill="1" applyBorder="1"/>
    <xf numFmtId="0" fontId="3" fillId="0" borderId="0" xfId="0" applyFont="1" applyFill="1" applyBorder="1"/>
    <xf numFmtId="0" fontId="9" fillId="3" borderId="8" xfId="0" applyFont="1" applyFill="1" applyBorder="1"/>
    <xf numFmtId="14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9" fillId="2" borderId="18" xfId="0" applyNumberFormat="1" applyFont="1" applyFill="1" applyBorder="1"/>
    <xf numFmtId="0" fontId="9" fillId="2" borderId="18" xfId="0" applyFont="1" applyFill="1" applyBorder="1"/>
    <xf numFmtId="14" fontId="9" fillId="2" borderId="18" xfId="0" applyNumberFormat="1" applyFont="1" applyFill="1" applyBorder="1"/>
    <xf numFmtId="0" fontId="10" fillId="2" borderId="18" xfId="3" applyFont="1" applyFill="1" applyBorder="1" applyAlignment="1"/>
    <xf numFmtId="0" fontId="9" fillId="0" borderId="18" xfId="0" applyNumberFormat="1" applyFont="1" applyFill="1" applyBorder="1"/>
    <xf numFmtId="0" fontId="9" fillId="2" borderId="14" xfId="0" applyNumberFormat="1" applyFont="1" applyFill="1" applyBorder="1"/>
    <xf numFmtId="0" fontId="9" fillId="0" borderId="1" xfId="0" applyNumberFormat="1" applyFont="1" applyFill="1" applyBorder="1" applyAlignment="1">
      <alignment horizontal="center" vertical="center" wrapText="1"/>
    </xf>
    <xf numFmtId="0" fontId="9" fillId="2" borderId="14" xfId="0" applyFont="1" applyFill="1" applyBorder="1"/>
    <xf numFmtId="0" fontId="9" fillId="3" borderId="23" xfId="0" applyFont="1" applyFill="1" applyBorder="1"/>
    <xf numFmtId="0" fontId="9" fillId="0" borderId="0" xfId="0" applyFont="1" applyFill="1"/>
    <xf numFmtId="1" fontId="9" fillId="2" borderId="1" xfId="0" applyNumberFormat="1" applyFont="1" applyFill="1" applyBorder="1"/>
    <xf numFmtId="0" fontId="9" fillId="2" borderId="1" xfId="0" applyFont="1" applyFill="1" applyBorder="1" applyAlignment="1">
      <alignment vertical="center"/>
    </xf>
    <xf numFmtId="0" fontId="9" fillId="2" borderId="21" xfId="0" applyFont="1" applyFill="1" applyBorder="1"/>
    <xf numFmtId="0" fontId="12" fillId="2" borderId="1" xfId="0" applyFont="1" applyFill="1" applyBorder="1" applyAlignment="1">
      <alignment vertical="center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3" fillId="2" borderId="18" xfId="2" applyNumberFormat="1" applyFont="1" applyFill="1" applyBorder="1" applyAlignment="1" applyProtection="1">
      <alignment vertical="center"/>
      <protection locked="0"/>
    </xf>
    <xf numFmtId="0" fontId="3" fillId="2" borderId="18" xfId="0" applyFont="1" applyFill="1" applyBorder="1" applyAlignment="1" applyProtection="1">
      <alignment vertical="center"/>
      <protection locked="0"/>
    </xf>
    <xf numFmtId="49" fontId="3" fillId="2" borderId="18" xfId="0" applyNumberFormat="1" applyFont="1" applyFill="1" applyBorder="1" applyAlignment="1" applyProtection="1">
      <alignment horizontal="center"/>
      <protection locked="0"/>
    </xf>
    <xf numFmtId="49" fontId="3" fillId="2" borderId="18" xfId="0" applyNumberFormat="1" applyFont="1" applyFill="1" applyBorder="1" applyAlignment="1" applyProtection="1">
      <alignment horizontal="center" vertical="center"/>
      <protection locked="0"/>
    </xf>
    <xf numFmtId="14" fontId="3" fillId="2" borderId="18" xfId="2" applyNumberFormat="1" applyFont="1" applyFill="1" applyBorder="1" applyAlignment="1" applyProtection="1">
      <alignment horizontal="center" vertical="center"/>
      <protection locked="0"/>
    </xf>
    <xf numFmtId="164" fontId="3" fillId="2" borderId="18" xfId="1" applyNumberFormat="1" applyFont="1" applyFill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Border="1"/>
    <xf numFmtId="164" fontId="9" fillId="2" borderId="0" xfId="1" applyNumberFormat="1" applyFont="1" applyFill="1" applyBorder="1" applyAlignment="1">
      <alignment horizontal="center"/>
    </xf>
    <xf numFmtId="0" fontId="9" fillId="3" borderId="14" xfId="0" applyFont="1" applyFill="1" applyBorder="1"/>
    <xf numFmtId="0" fontId="9" fillId="2" borderId="1" xfId="0" applyFont="1" applyFill="1" applyBorder="1" applyAlignment="1">
      <alignment horizontal="center" vertical="center"/>
    </xf>
    <xf numFmtId="0" fontId="9" fillId="2" borderId="0" xfId="0" applyNumberFormat="1" applyFont="1" applyFill="1" applyBorder="1"/>
    <xf numFmtId="0" fontId="9" fillId="2" borderId="0" xfId="0" applyNumberFormat="1" applyFont="1" applyFill="1" applyBorder="1" applyAlignment="1">
      <alignment horizontal="center"/>
    </xf>
    <xf numFmtId="0" fontId="9" fillId="2" borderId="0" xfId="0" applyNumberFormat="1" applyFont="1" applyFill="1" applyBorder="1" applyAlignment="1">
      <alignment horizontal="left"/>
    </xf>
    <xf numFmtId="0" fontId="9" fillId="4" borderId="1" xfId="0" applyFont="1" applyFill="1" applyBorder="1"/>
    <xf numFmtId="0" fontId="9" fillId="4" borderId="8" xfId="0" applyFont="1" applyFill="1" applyBorder="1"/>
    <xf numFmtId="0" fontId="9" fillId="4" borderId="8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left"/>
    </xf>
    <xf numFmtId="1" fontId="9" fillId="4" borderId="1" xfId="0" applyNumberFormat="1" applyFont="1" applyFill="1" applyBorder="1"/>
    <xf numFmtId="0" fontId="9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0" fontId="12" fillId="4" borderId="1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3" fillId="2" borderId="1" xfId="3" applyNumberFormat="1" applyFont="1" applyFill="1" applyBorder="1"/>
    <xf numFmtId="0" fontId="3" fillId="2" borderId="22" xfId="0" applyFont="1" applyFill="1" applyBorder="1" applyAlignment="1" applyProtection="1">
      <alignment horizontal="center" vertical="center" wrapText="1"/>
      <protection locked="0"/>
    </xf>
    <xf numFmtId="0" fontId="9" fillId="2" borderId="23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0" fontId="9" fillId="2" borderId="22" xfId="0" applyNumberFormat="1" applyFont="1" applyFill="1" applyBorder="1" applyAlignment="1">
      <alignment horizontal="center"/>
    </xf>
    <xf numFmtId="0" fontId="9" fillId="2" borderId="27" xfId="0" applyFont="1" applyFill="1" applyBorder="1" applyAlignment="1">
      <alignment horizontal="center"/>
    </xf>
    <xf numFmtId="0" fontId="3" fillId="2" borderId="14" xfId="0" applyFont="1" applyFill="1" applyBorder="1" applyAlignment="1" applyProtection="1">
      <alignment horizontal="center" vertical="center" wrapText="1"/>
      <protection locked="0"/>
    </xf>
    <xf numFmtId="0" fontId="9" fillId="2" borderId="25" xfId="0" applyFont="1" applyFill="1" applyBorder="1"/>
    <xf numFmtId="0" fontId="9" fillId="2" borderId="28" xfId="0" applyFont="1" applyFill="1" applyBorder="1"/>
    <xf numFmtId="0" fontId="9" fillId="2" borderId="24" xfId="0" applyNumberFormat="1" applyFont="1" applyFill="1" applyBorder="1"/>
    <xf numFmtId="0" fontId="9" fillId="2" borderId="24" xfId="0" applyNumberFormat="1" applyFont="1" applyFill="1" applyBorder="1" applyAlignment="1">
      <alignment horizontal="center"/>
    </xf>
    <xf numFmtId="0" fontId="9" fillId="2" borderId="24" xfId="0" applyNumberFormat="1" applyFont="1" applyFill="1" applyBorder="1" applyAlignment="1">
      <alignment horizontal="left"/>
    </xf>
    <xf numFmtId="0" fontId="9" fillId="2" borderId="26" xfId="0" applyNumberFormat="1" applyFont="1" applyFill="1" applyBorder="1" applyAlignment="1">
      <alignment horizontal="center"/>
    </xf>
    <xf numFmtId="0" fontId="9" fillId="3" borderId="24" xfId="0" applyFont="1" applyFill="1" applyBorder="1"/>
    <xf numFmtId="0" fontId="9" fillId="3" borderId="26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14" fillId="2" borderId="1" xfId="0" applyNumberFormat="1" applyFont="1" applyFill="1" applyBorder="1"/>
    <xf numFmtId="0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64" fontId="14" fillId="2" borderId="1" xfId="1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left"/>
    </xf>
    <xf numFmtId="1" fontId="9" fillId="4" borderId="18" xfId="0" applyNumberFormat="1" applyFont="1" applyFill="1" applyBorder="1"/>
    <xf numFmtId="0" fontId="9" fillId="4" borderId="18" xfId="0" applyFont="1" applyFill="1" applyBorder="1"/>
    <xf numFmtId="0" fontId="9" fillId="4" borderId="18" xfId="0" applyFont="1" applyFill="1" applyBorder="1" applyAlignment="1">
      <alignment vertical="center"/>
    </xf>
    <xf numFmtId="0" fontId="9" fillId="4" borderId="18" xfId="0" applyFont="1" applyFill="1" applyBorder="1" applyAlignment="1">
      <alignment horizontal="center"/>
    </xf>
    <xf numFmtId="0" fontId="9" fillId="4" borderId="18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left"/>
    </xf>
    <xf numFmtId="0" fontId="9" fillId="3" borderId="18" xfId="0" applyFont="1" applyFill="1" applyBorder="1"/>
    <xf numFmtId="0" fontId="9" fillId="0" borderId="1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 vertical="center"/>
    </xf>
    <xf numFmtId="0" fontId="4" fillId="0" borderId="0" xfId="0" applyFont="1"/>
    <xf numFmtId="0" fontId="4" fillId="2" borderId="22" xfId="0" applyFont="1" applyFill="1" applyBorder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9" fillId="0" borderId="14" xfId="0" applyNumberFormat="1" applyFont="1" applyFill="1" applyBorder="1"/>
    <xf numFmtId="0" fontId="9" fillId="2" borderId="1" xfId="3" applyFont="1" applyFill="1" applyBorder="1"/>
    <xf numFmtId="0" fontId="9" fillId="2" borderId="18" xfId="0" applyNumberFormat="1" applyFont="1" applyFill="1" applyBorder="1" applyAlignment="1">
      <alignment horizontal="center"/>
    </xf>
    <xf numFmtId="0" fontId="3" fillId="2" borderId="14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28" xfId="0" applyNumberFormat="1" applyFont="1" applyFill="1" applyBorder="1"/>
    <xf numFmtId="0" fontId="14" fillId="2" borderId="14" xfId="0" applyNumberFormat="1" applyFont="1" applyFill="1" applyBorder="1"/>
    <xf numFmtId="164" fontId="4" fillId="2" borderId="1" xfId="0" applyNumberFormat="1" applyFont="1" applyFill="1" applyBorder="1"/>
    <xf numFmtId="0" fontId="9" fillId="2" borderId="1" xfId="3" applyNumberFormat="1" applyFont="1" applyFill="1" applyBorder="1"/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49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5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5" borderId="8" xfId="0" applyFont="1" applyFill="1" applyBorder="1"/>
    <xf numFmtId="0" fontId="9" fillId="5" borderId="8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14" fontId="9" fillId="5" borderId="8" xfId="0" applyNumberFormat="1" applyFont="1" applyFill="1" applyBorder="1" applyAlignment="1">
      <alignment horizontal="center"/>
    </xf>
    <xf numFmtId="164" fontId="9" fillId="5" borderId="8" xfId="1" applyNumberFormat="1" applyFont="1" applyFill="1" applyBorder="1" applyAlignment="1">
      <alignment horizontal="center"/>
    </xf>
    <xf numFmtId="0" fontId="9" fillId="5" borderId="8" xfId="0" applyFont="1" applyFill="1" applyBorder="1" applyAlignment="1">
      <alignment horizontal="left"/>
    </xf>
    <xf numFmtId="0" fontId="9" fillId="5" borderId="24" xfId="0" applyFont="1" applyFill="1" applyBorder="1"/>
    <xf numFmtId="0" fontId="9" fillId="5" borderId="24" xfId="0" applyFont="1" applyFill="1" applyBorder="1" applyAlignment="1">
      <alignment horizontal="center"/>
    </xf>
    <xf numFmtId="164" fontId="9" fillId="5" borderId="24" xfId="1" applyNumberFormat="1" applyFont="1" applyFill="1" applyBorder="1" applyAlignment="1">
      <alignment horizontal="center"/>
    </xf>
    <xf numFmtId="14" fontId="9" fillId="5" borderId="24" xfId="0" applyNumberFormat="1" applyFont="1" applyFill="1" applyBorder="1" applyAlignment="1">
      <alignment horizontal="center"/>
    </xf>
    <xf numFmtId="0" fontId="9" fillId="5" borderId="18" xfId="0" applyFont="1" applyFill="1" applyBorder="1" applyAlignment="1">
      <alignment horizontal="left"/>
    </xf>
    <xf numFmtId="0" fontId="9" fillId="5" borderId="1" xfId="0" applyFont="1" applyFill="1" applyBorder="1"/>
    <xf numFmtId="164" fontId="9" fillId="5" borderId="1" xfId="1" applyNumberFormat="1" applyFont="1" applyFill="1" applyBorder="1" applyAlignment="1">
      <alignment horizontal="center"/>
    </xf>
    <xf numFmtId="14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left"/>
    </xf>
    <xf numFmtId="0" fontId="9" fillId="5" borderId="18" xfId="0" applyFont="1" applyFill="1" applyBorder="1"/>
    <xf numFmtId="0" fontId="9" fillId="5" borderId="18" xfId="0" applyFont="1" applyFill="1" applyBorder="1" applyAlignment="1">
      <alignment horizontal="center"/>
    </xf>
    <xf numFmtId="164" fontId="9" fillId="5" borderId="18" xfId="1" applyNumberFormat="1" applyFont="1" applyFill="1" applyBorder="1" applyAlignment="1">
      <alignment horizontal="center"/>
    </xf>
    <xf numFmtId="0" fontId="9" fillId="5" borderId="1" xfId="0" applyNumberFormat="1" applyFont="1" applyFill="1" applyBorder="1"/>
    <xf numFmtId="0" fontId="9" fillId="5" borderId="1" xfId="0" applyNumberFormat="1" applyFont="1" applyFill="1" applyBorder="1" applyAlignment="1">
      <alignment horizontal="center"/>
    </xf>
    <xf numFmtId="0" fontId="9" fillId="5" borderId="1" xfId="0" applyNumberFormat="1" applyFont="1" applyFill="1" applyBorder="1" applyAlignment="1">
      <alignment horizontal="left"/>
    </xf>
    <xf numFmtId="164" fontId="9" fillId="5" borderId="1" xfId="1" applyNumberFormat="1" applyFont="1" applyFill="1" applyBorder="1"/>
    <xf numFmtId="0" fontId="9" fillId="5" borderId="18" xfId="0" applyNumberFormat="1" applyFont="1" applyFill="1" applyBorder="1"/>
    <xf numFmtId="0" fontId="9" fillId="5" borderId="18" xfId="0" applyNumberFormat="1" applyFont="1" applyFill="1" applyBorder="1" applyAlignment="1">
      <alignment horizontal="center"/>
    </xf>
    <xf numFmtId="14" fontId="9" fillId="5" borderId="18" xfId="0" applyNumberFormat="1" applyFont="1" applyFill="1" applyBorder="1" applyAlignment="1">
      <alignment horizontal="center"/>
    </xf>
    <xf numFmtId="0" fontId="9" fillId="5" borderId="18" xfId="0" applyNumberFormat="1" applyFont="1" applyFill="1" applyBorder="1" applyAlignment="1">
      <alignment horizontal="left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STIAN-CCS\compartida%20ccs\CCS\2.Certificado\2024\7.JULIO\MODELO%20CERTIFICAD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CRITOS"/>
      <sheetName val="POCT"/>
      <sheetName val="CURSOS"/>
      <sheetName val="LINK"/>
    </sheetNames>
    <sheetDataSet>
      <sheetData sheetId="0"/>
      <sheetData sheetId="1"/>
      <sheetData sheetId="2">
        <row r="3">
          <cell r="D3" t="str">
            <v>ATENCION PRE-HOSPITALARIA</v>
          </cell>
        </row>
        <row r="4">
          <cell r="D4" t="str">
            <v>DUELO</v>
          </cell>
        </row>
        <row r="5">
          <cell r="D5" t="str">
            <v>QUIMICOS</v>
          </cell>
        </row>
        <row r="6">
          <cell r="D6" t="str">
            <v>PRIMEROS AUXILIOS</v>
          </cell>
        </row>
        <row r="7">
          <cell r="D7" t="str">
            <v>UCI</v>
          </cell>
        </row>
        <row r="8">
          <cell r="D8" t="str">
            <v>CODIGO VERDE</v>
          </cell>
        </row>
        <row r="9">
          <cell r="D9" t="str">
            <v>HUMANIZACION</v>
          </cell>
        </row>
        <row r="10">
          <cell r="D10" t="str">
            <v>CLINICA DE HERIDAS</v>
          </cell>
        </row>
        <row r="11">
          <cell r="D11" t="str">
            <v>CITOLOGIA</v>
          </cell>
        </row>
        <row r="12">
          <cell r="D12" t="str">
            <v>ACLS</v>
          </cell>
        </row>
        <row r="13">
          <cell r="D13" t="str">
            <v>CAMILLERO</v>
          </cell>
        </row>
        <row r="14">
          <cell r="D14" t="str">
            <v>TOMA DE MUESTRAS</v>
          </cell>
        </row>
        <row r="15">
          <cell r="D15" t="str">
            <v>BLS</v>
          </cell>
        </row>
        <row r="16">
          <cell r="D16" t="str">
            <v>VIOLENCIA SEXUAL</v>
          </cell>
        </row>
        <row r="17">
          <cell r="D17" t="str">
            <v>PAI</v>
          </cell>
        </row>
        <row r="18">
          <cell r="D18" t="str">
            <v>AIEPI</v>
          </cell>
        </row>
        <row r="19">
          <cell r="D19" t="str">
            <v>ADMON DE MEDICAMENTOS</v>
          </cell>
        </row>
        <row r="20">
          <cell r="D20" t="str">
            <v>OVE</v>
          </cell>
        </row>
        <row r="21">
          <cell r="D21" t="str">
            <v>IAMI</v>
          </cell>
        </row>
        <row r="22">
          <cell r="D22" t="str">
            <v>DONANTE</v>
          </cell>
        </row>
        <row r="23">
          <cell r="D23" t="str">
            <v>VIOLENCIA DE GENERO</v>
          </cell>
        </row>
        <row r="24">
          <cell r="D24" t="str">
            <v>IGUALDAD DE GENERO</v>
          </cell>
        </row>
        <row r="25">
          <cell r="D25" t="str">
            <v>BRIGADA</v>
          </cell>
        </row>
        <row r="26">
          <cell r="D26" t="str">
            <v>PALIATIVOS</v>
          </cell>
        </row>
        <row r="27">
          <cell r="D27" t="str">
            <v>POCT</v>
          </cell>
        </row>
        <row r="28">
          <cell r="D28" t="str">
            <v>IMPLANTE</v>
          </cell>
        </row>
        <row r="29">
          <cell r="D29" t="str">
            <v>SALUD MENTAL</v>
          </cell>
        </row>
        <row r="30">
          <cell r="D30" t="str">
            <v>PRIMEROS AUXILIOS P</v>
          </cell>
        </row>
        <row r="31">
          <cell r="D31" t="str">
            <v>CONFLICTO ARMADO</v>
          </cell>
        </row>
        <row r="32">
          <cell r="D32" t="str">
            <v>MANIPULACION DE ALIMENTOS</v>
          </cell>
        </row>
        <row r="33">
          <cell r="D33" t="str">
            <v>DISCAPACIDAD</v>
          </cell>
        </row>
        <row r="34">
          <cell r="D34" t="str">
            <v>ADULTO MAYOR</v>
          </cell>
        </row>
        <row r="35">
          <cell r="D35" t="str">
            <v>MANEJO DEFENSIVO</v>
          </cell>
        </row>
        <row r="36">
          <cell r="D36" t="str">
            <v>ACLSN</v>
          </cell>
        </row>
        <row r="37">
          <cell r="D37" t="str">
            <v>PACIENTE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EDIC@" TargetMode="External"/><Relationship Id="rId13" Type="http://schemas.openxmlformats.org/officeDocument/2006/relationships/hyperlink" Target="mailto:MEDIC@" TargetMode="External"/><Relationship Id="rId18" Type="http://schemas.openxmlformats.org/officeDocument/2006/relationships/hyperlink" Target="mailto:MEDIC@" TargetMode="External"/><Relationship Id="rId26" Type="http://schemas.openxmlformats.org/officeDocument/2006/relationships/hyperlink" Target="mailto:brayanjairdazaaraujo2@gmail.com" TargetMode="External"/><Relationship Id="rId3" Type="http://schemas.openxmlformats.org/officeDocument/2006/relationships/hyperlink" Target="mailto:evaangela184@gmail.com" TargetMode="External"/><Relationship Id="rId21" Type="http://schemas.openxmlformats.org/officeDocument/2006/relationships/hyperlink" Target="mailto:MEDIC@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brayanjairdazaaraujo2@gmail.com" TargetMode="External"/><Relationship Id="rId2" Type="http://schemas.openxmlformats.org/officeDocument/2006/relationships/hyperlink" Target="mailto:MEDIC@" TargetMode="External"/><Relationship Id="rId16" Type="http://schemas.openxmlformats.org/officeDocument/2006/relationships/hyperlink" Target="mailto:MEDIC@" TargetMode="External"/><Relationship Id="rId20" Type="http://schemas.openxmlformats.org/officeDocument/2006/relationships/hyperlink" Target="mailto:MEDIC@" TargetMode="External"/><Relationship Id="rId1" Type="http://schemas.openxmlformats.org/officeDocument/2006/relationships/hyperlink" Target="mailto:MEDIC@" TargetMode="External"/><Relationship Id="rId6" Type="http://schemas.openxmlformats.org/officeDocument/2006/relationships/hyperlink" Target="mailto:MEDIC@" TargetMode="External"/><Relationship Id="rId11" Type="http://schemas.openxmlformats.org/officeDocument/2006/relationships/hyperlink" Target="mailto:MEDIC@" TargetMode="External"/><Relationship Id="rId24" Type="http://schemas.openxmlformats.org/officeDocument/2006/relationships/hyperlink" Target="mailto:brayanjairdazaaraujo2@gmail.com" TargetMode="External"/><Relationship Id="rId5" Type="http://schemas.openxmlformats.org/officeDocument/2006/relationships/hyperlink" Target="mailto:MEDIC@" TargetMode="External"/><Relationship Id="rId15" Type="http://schemas.openxmlformats.org/officeDocument/2006/relationships/hyperlink" Target="mailto:MEDIC@" TargetMode="External"/><Relationship Id="rId23" Type="http://schemas.openxmlformats.org/officeDocument/2006/relationships/hyperlink" Target="mailto:anyelagetial68@gmail.com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mailto:MEDIC@" TargetMode="External"/><Relationship Id="rId19" Type="http://schemas.openxmlformats.org/officeDocument/2006/relationships/hyperlink" Target="mailto:MEDIC@" TargetMode="External"/><Relationship Id="rId4" Type="http://schemas.openxmlformats.org/officeDocument/2006/relationships/hyperlink" Target="mailto:ximenaceballosmedfamipiales@gmail.com" TargetMode="External"/><Relationship Id="rId9" Type="http://schemas.openxmlformats.org/officeDocument/2006/relationships/hyperlink" Target="mailto:MEDIC@" TargetMode="External"/><Relationship Id="rId14" Type="http://schemas.openxmlformats.org/officeDocument/2006/relationships/hyperlink" Target="mailto:MEDIC@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brayanjairdazaaraujo2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soporte-basico-de-vida-" TargetMode="External"/><Relationship Id="rId29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printerSettings" Target="../printerSettings/printerSettings6.bin"/><Relationship Id="rId19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75"/>
  <sheetViews>
    <sheetView zoomScale="55" zoomScaleNormal="55" workbookViewId="0">
      <pane xSplit="1" ySplit="1" topLeftCell="B30" activePane="bottomRight" state="frozen"/>
      <selection pane="topRight"/>
      <selection pane="bottomLeft"/>
      <selection pane="bottomRight" activeCell="D77" sqref="D77"/>
    </sheetView>
  </sheetViews>
  <sheetFormatPr baseColWidth="10" defaultRowHeight="15" x14ac:dyDescent="0.2"/>
  <cols>
    <col min="1" max="1" width="6.42578125" style="50" bestFit="1" customWidth="1"/>
    <col min="2" max="6" width="25.140625" style="102" customWidth="1"/>
    <col min="7" max="7" width="7.5703125" style="103" customWidth="1"/>
    <col min="8" max="8" width="15.5703125" style="103" bestFit="1" customWidth="1"/>
    <col min="9" max="9" width="20.7109375" style="103" bestFit="1" customWidth="1"/>
    <col min="10" max="10" width="26" style="103" bestFit="1" customWidth="1"/>
    <col min="11" max="11" width="28.7109375" style="99" bestFit="1" customWidth="1"/>
    <col min="12" max="12" width="33.85546875" style="103" bestFit="1" customWidth="1"/>
    <col min="13" max="13" width="20.7109375" style="103" bestFit="1" customWidth="1"/>
    <col min="14" max="14" width="23.7109375" style="103" bestFit="1" customWidth="1"/>
    <col min="15" max="15" width="29" style="104" bestFit="1" customWidth="1"/>
    <col min="16" max="16" width="26.28515625" style="102" customWidth="1"/>
    <col min="17" max="17" width="14.42578125" style="103" bestFit="1" customWidth="1"/>
    <col min="18" max="18" width="52.28515625" style="98" bestFit="1" customWidth="1"/>
    <col min="19" max="19" width="17.42578125" style="102" bestFit="1" customWidth="1"/>
    <col min="20" max="20" width="48.7109375" style="102" bestFit="1" customWidth="1"/>
    <col min="21" max="21" width="110.28515625" style="51" bestFit="1" customWidth="1"/>
    <col min="22" max="22" width="52" style="51" bestFit="1" customWidth="1"/>
    <col min="23" max="23" width="48" style="51" bestFit="1" customWidth="1"/>
    <col min="24" max="24" width="107.5703125" style="51" bestFit="1" customWidth="1"/>
    <col min="25" max="16384" width="11.42578125" style="51"/>
  </cols>
  <sheetData>
    <row r="1" spans="1:24" s="81" customFormat="1" ht="31.5" x14ac:dyDescent="0.25">
      <c r="A1" s="57" t="s">
        <v>71</v>
      </c>
      <c r="B1" s="160" t="s">
        <v>0</v>
      </c>
      <c r="C1" s="57" t="s">
        <v>1</v>
      </c>
      <c r="D1" s="57" t="s">
        <v>2</v>
      </c>
      <c r="E1" s="57" t="s">
        <v>3</v>
      </c>
      <c r="F1" s="165" t="s">
        <v>4</v>
      </c>
      <c r="G1" s="166" t="s">
        <v>5</v>
      </c>
      <c r="H1" s="166" t="s">
        <v>6</v>
      </c>
      <c r="I1" s="166" t="s">
        <v>449</v>
      </c>
      <c r="J1" s="167" t="s">
        <v>7</v>
      </c>
      <c r="K1" s="168" t="s">
        <v>8</v>
      </c>
      <c r="L1" s="165" t="s">
        <v>9</v>
      </c>
      <c r="M1" s="165" t="s">
        <v>72</v>
      </c>
      <c r="N1" s="165" t="s">
        <v>10</v>
      </c>
      <c r="O1" s="165" t="s">
        <v>11</v>
      </c>
      <c r="P1" s="72" t="s">
        <v>70</v>
      </c>
      <c r="Q1" s="118" t="s">
        <v>12</v>
      </c>
      <c r="R1" s="133" t="s">
        <v>13</v>
      </c>
      <c r="S1" s="124" t="s">
        <v>14</v>
      </c>
      <c r="T1" s="57" t="s">
        <v>73</v>
      </c>
      <c r="U1" s="73" t="s">
        <v>15</v>
      </c>
      <c r="V1" s="73" t="s">
        <v>16</v>
      </c>
      <c r="W1" s="73" t="s">
        <v>17</v>
      </c>
      <c r="X1" s="73" t="s">
        <v>18</v>
      </c>
    </row>
    <row r="2" spans="1:24" s="74" customFormat="1" x14ac:dyDescent="0.2">
      <c r="A2" s="17">
        <v>1</v>
      </c>
      <c r="B2" s="82">
        <v>1088734268</v>
      </c>
      <c r="C2" s="17" t="s">
        <v>439</v>
      </c>
      <c r="D2" s="17" t="s">
        <v>440</v>
      </c>
      <c r="E2" s="17" t="s">
        <v>441</v>
      </c>
      <c r="F2" s="180" t="s">
        <v>442</v>
      </c>
      <c r="G2" s="171">
        <v>31</v>
      </c>
      <c r="H2" s="171" t="s">
        <v>443</v>
      </c>
      <c r="I2" s="171" t="s">
        <v>450</v>
      </c>
      <c r="J2" s="182">
        <v>45505</v>
      </c>
      <c r="K2" s="181">
        <v>28000</v>
      </c>
      <c r="L2" s="171" t="s">
        <v>328</v>
      </c>
      <c r="M2" s="171" t="s">
        <v>86</v>
      </c>
      <c r="N2" s="171" t="s">
        <v>326</v>
      </c>
      <c r="O2" s="183" t="s">
        <v>25</v>
      </c>
      <c r="P2" s="18">
        <v>33332</v>
      </c>
      <c r="Q2" s="121" t="s">
        <v>309</v>
      </c>
      <c r="R2" s="17" t="s">
        <v>315</v>
      </c>
      <c r="S2" s="82">
        <v>3163084286</v>
      </c>
      <c r="T2" s="17" t="s">
        <v>444</v>
      </c>
      <c r="U2" s="71" t="str">
        <f>IF(O2=[1]CURSOS!$D$3,"DIPLOMADO EN ATENCION PRE-HOSPITALARIA",IF(O2=[1]CURSOS!$D$4,"ACOMPAÑAMIENTO Y MANEJO DEL DUELO",IF(O2=[1]CURSOS!$D$5,"ATENCION A VICTIMAS DE ATAQUE CON AGENTES QUIMICOS ",IF(O2=[1]CURSOS!$D$6,"PRIMEROS AUXILIOS ",IF(O2=[1]CURSOS!$D$7,"DIPLOMADO DE UNIDAD DE CUIDADOS INTENSIVOS (UCI)",IF(O2=[1]CURSOS!$D$8,"MODELO DE ATENCION PARA EVENTOS EMERGENTES EN SALUD MENTAL (CODIGO VERDE)",IF(O2=[1]CURSOS!$D$9,"HUMANIZACION EN EL SERVICIO DE LA SALUD Y BUENAS PRACTICAS EN PACIENTE ",IF(O2=[1]CURSOS!$D$10,"CLINICA DE HERIDAS ",IF(O2=[1]CURSOS!$D$11,"TOMA DE CITOLOGIA CERVICO VAGINAL ",IF(O2=[1]CURSOS!$D$12,"SOPORTE CARDIOVASCULAR AVANZADO (ACLS) ",IF(O2=[1]CURSOS!$D$13,"CAMILLERO ",IF(O2=[1]CURSOS!$D$14,"TOMA DE MUESTRAS Y LABORATORIO ",IF(O2=[1]CURSOS!$D$15,"SOPORTE VITAL BASICO (BLS)",IF(O2=[1]CURSOS!$D$16,"ATENCION A VICTIMAS DE VIOLENCIA SEXUAL ",IF(O2=[1]CURSOS!$D$17,"PROGRAMADO AMPLIADO DE INMUNIZACION (PAI - COVID 19)",IF(O2=[1]CURSOS!$D$18,"ATENCION INTEGRAL EN ENFERMEDADES PREVALENTES EN PRIMERA INFANCIA (AIEPI)",IF(O2=[1]CURSOS!$D$19,"ADMINISTRACION DE MEDICAMENTOS, INYECTOLOGIA  Y CANALIZACION ",IF(O2=[1]CURSOS!$D$20,"OPERADOR DE VEHICULOS DE EMERGENCIA (OVE)",IF(O2=[1]CURSOS!$D$21,"INSTITUCIONES AMIGAS DE LA MUJER Y LA INFANCIA (IAMI)",IF(O2=[1]CURSOS!$D$22,"CUIDADO DEL DONANTE DE ORGANOS",IF(O2=[1]CURSOS!$D$23,"ATENCION A VICTIMAS POR VIOLENCIA DE GENERO",IF(O2=[1]CURSOS!$D$24,"IGUALDAD DE GENERO EN LA SALUD",IF(O2=[1]CURSOS!$D$25,"BRIGADA DE EMERGENCIA",IF(O2=[1]CURSOS!$D$26,"MANEJO DEL DOLOR Y CUIDADOS PALIATIVOS",IF(O2=[1]CURSOS!$D$27,"TOMA DE MUESTRAS Y LABORATORIO POCT",IF(O2=[1]CURSOS!$D$28,"IMPLANTE SUBDERMICO DE DISPOSITIVO INTRAUTERINO",IF(O2=[1]CURSOS!$D$29,"SALUD MENTAL",IF(O2=[1]CURSOS!$D$30,"PRIMEROS AUXILIOS PSICOLOGICOS",IF(O2=[1]CURSOS!$D$31,"ATENCION A VICTIMAS POR CONFLICTO ARMADO",IF(O2=[1]CURSOS!$D$32,"MANIPULACION DE ALIMENTOS Y BPM",IF(O2=[1]CURSOS!$D$33,"ATENCION A PERSONAS CON DISCAPACIDAD",IF(O2=[1]CURSOS!$D$34,"CUIDADO INTEGRAL DEL PACIENTE ADULTO",IF(O2=[1]CURSOS!$D$35,"MANEJO DEFENSIVO",IF(O2=[1]CURSOS!$D$36,"SOPORTE CARDIOVASCULAR AVANZADO NEONATAL",IF(O2=[1]CURSOS!$D$37,"SEGURIDAD DEL PACIENTE")))))))))))))))))))))))))))))))))))</f>
        <v xml:space="preserve">ATENCION A VICTIMAS DE ATAQUE CON AGENTES QUIMICOS </v>
      </c>
      <c r="V2" s="71" t="str">
        <f t="shared" ref="V2:V33" si="0">CONCATENATE(E2," ",F2," ",C2," ",D2)</f>
        <v>Alexa Irene Rojas Alvarez</v>
      </c>
      <c r="W2" s="83" t="str">
        <f t="shared" ref="W2:W33" si="1">+PROPER(V2)</f>
        <v>Alexa Irene Rojas Alvarez</v>
      </c>
      <c r="X2" s="52" t="str">
        <f t="shared" ref="X2:X33" si="2">CONCATENATE(V2,"-",B2,"-",O2)</f>
        <v>Alexa Irene Rojas Alvarez-1088734268-QUIMICOS</v>
      </c>
    </row>
    <row r="3" spans="1:24" s="74" customFormat="1" x14ac:dyDescent="0.2">
      <c r="A3" s="17">
        <v>2</v>
      </c>
      <c r="B3" s="82">
        <v>1088734268</v>
      </c>
      <c r="C3" s="17" t="s">
        <v>439</v>
      </c>
      <c r="D3" s="17" t="s">
        <v>440</v>
      </c>
      <c r="E3" s="17" t="s">
        <v>441</v>
      </c>
      <c r="F3" s="180" t="s">
        <v>442</v>
      </c>
      <c r="G3" s="171">
        <v>31</v>
      </c>
      <c r="H3" s="171" t="s">
        <v>443</v>
      </c>
      <c r="I3" s="171" t="s">
        <v>450</v>
      </c>
      <c r="J3" s="182">
        <v>45505</v>
      </c>
      <c r="K3" s="181">
        <v>28000</v>
      </c>
      <c r="L3" s="171" t="s">
        <v>328</v>
      </c>
      <c r="M3" s="171" t="s">
        <v>86</v>
      </c>
      <c r="N3" s="171" t="s">
        <v>326</v>
      </c>
      <c r="O3" s="183" t="s">
        <v>43</v>
      </c>
      <c r="P3" s="18">
        <v>33332</v>
      </c>
      <c r="Q3" s="121" t="s">
        <v>309</v>
      </c>
      <c r="R3" s="17" t="s">
        <v>315</v>
      </c>
      <c r="S3" s="82">
        <v>3163084286</v>
      </c>
      <c r="T3" s="17" t="s">
        <v>444</v>
      </c>
      <c r="U3" s="71" t="str">
        <f>IF(O3=[1]CURSOS!$D$3,"DIPLOMADO EN ATENCION PRE-HOSPITALARIA",IF(O3=[1]CURSOS!$D$4,"ACOMPAÑAMIENTO Y MANEJO DEL DUELO",IF(O3=[1]CURSOS!$D$5,"ATENCION A VICTIMAS DE ATAQUE CON AGENTES QUIMICOS ",IF(O3=[1]CURSOS!$D$6,"PRIMEROS AUXILIOS ",IF(O3=[1]CURSOS!$D$7,"DIPLOMADO DE UNIDAD DE CUIDADOS INTENSIVOS (UCI)",IF(O3=[1]CURSOS!$D$8,"MODELO DE ATENCION PARA EVENTOS EMERGENTES EN SALUD MENTAL (CODIGO VERDE)",IF(O3=[1]CURSOS!$D$9,"HUMANIZACION EN EL SERVICIO DE LA SALUD Y BUENAS PRACTICAS EN PACIENTE ",IF(O3=[1]CURSOS!$D$10,"CLINICA DE HERIDAS ",IF(O3=[1]CURSOS!$D$11,"TOMA DE CITOLOGIA CERVICO VAGINAL ",IF(O3=[1]CURSOS!$D$12,"SOPORTE CARDIOVASCULAR AVANZADO (ACLS) ",IF(O3=[1]CURSOS!$D$13,"CAMILLERO ",IF(O3=[1]CURSOS!$D$14,"TOMA DE MUESTRAS Y LABORATORIO ",IF(O3=[1]CURSOS!$D$15,"SOPORTE VITAL BASICO (BLS)",IF(O3=[1]CURSOS!$D$16,"ATENCION A VICTIMAS DE VIOLENCIA SEXUAL ",IF(O3=[1]CURSOS!$D$17,"PROGRAMADO AMPLIADO DE INMUNIZACION (PAI - COVID 19)",IF(O3=[1]CURSOS!$D$18,"ATENCION INTEGRAL EN ENFERMEDADES PREVALENTES EN PRIMERA INFANCIA (AIEPI)",IF(O3=[1]CURSOS!$D$19,"ADMINISTRACION DE MEDICAMENTOS, INYECTOLOGIA  Y CANALIZACION ",IF(O3=[1]CURSOS!$D$20,"OPERADOR DE VEHICULOS DE EMERGENCIA (OVE)",IF(O3=[1]CURSOS!$D$21,"INSTITUCIONES AMIGAS DE LA MUJER Y LA INFANCIA (IAMI)",IF(O3=[1]CURSOS!$D$22,"CUIDADO DEL DONANTE DE ORGANOS",IF(O3=[1]CURSOS!$D$23,"ATENCION A VICTIMAS POR VIOLENCIA DE GENERO",IF(O3=[1]CURSOS!$D$24,"IGUALDAD DE GENERO EN LA SALUD",IF(O3=[1]CURSOS!$D$25,"BRIGADA DE EMERGENCIA",IF(O3=[1]CURSOS!$D$26,"MANEJO DEL DOLOR Y CUIDADOS PALIATIVOS",IF(O3=[1]CURSOS!$D$27,"TOMA DE MUESTRAS Y LABORATORIO POCT",IF(O3=[1]CURSOS!$D$28,"IMPLANTE SUBDERMICO DE DISPOSITIVO INTRAUTERINO",IF(O3=[1]CURSOS!$D$29,"SALUD MENTAL",IF(O3=[1]CURSOS!$D$30,"PRIMEROS AUXILIOS PSICOLOGICOS",IF(O3=[1]CURSOS!$D$31,"ATENCION A VICTIMAS POR CONFLICTO ARMADO",IF(O3=[1]CURSOS!$D$32,"MANIPULACION DE ALIMENTOS Y BPM",IF(O3=[1]CURSOS!$D$33,"ATENCION A PERSONAS CON DISCAPACIDAD",IF(O3=[1]CURSOS!$D$34,"CUIDADO INTEGRAL DEL PACIENTE ADULTO",IF(O3=[1]CURSOS!$D$35,"MANEJO DEFENSIVO",IF(O3=[1]CURSOS!$D$36,"SOPORTE CARDIOVASCULAR AVANZADO NEONATAL",IF(O3=[1]CURSOS!$D$37,"SEGURIDAD DEL PACIENTE")))))))))))))))))))))))))))))))))))</f>
        <v xml:space="preserve">ATENCION A VICTIMAS DE VIOLENCIA SEXUAL </v>
      </c>
      <c r="V3" s="71" t="str">
        <f t="shared" si="0"/>
        <v>Alexa Irene Rojas Alvarez</v>
      </c>
      <c r="W3" s="83" t="str">
        <f t="shared" si="1"/>
        <v>Alexa Irene Rojas Alvarez</v>
      </c>
      <c r="X3" s="52" t="str">
        <f t="shared" si="2"/>
        <v>Alexa Irene Rojas Alvarez-1088734268-VIOLENCIA SEXUAL</v>
      </c>
    </row>
    <row r="4" spans="1:24" s="74" customFormat="1" x14ac:dyDescent="0.2">
      <c r="A4" s="17">
        <v>3</v>
      </c>
      <c r="B4" s="82">
        <v>1088734268</v>
      </c>
      <c r="C4" s="17" t="s">
        <v>439</v>
      </c>
      <c r="D4" s="17" t="s">
        <v>440</v>
      </c>
      <c r="E4" s="17" t="s">
        <v>441</v>
      </c>
      <c r="F4" s="180" t="s">
        <v>442</v>
      </c>
      <c r="G4" s="171">
        <v>31</v>
      </c>
      <c r="H4" s="171" t="s">
        <v>443</v>
      </c>
      <c r="I4" s="171" t="s">
        <v>450</v>
      </c>
      <c r="J4" s="182">
        <v>45505</v>
      </c>
      <c r="K4" s="181">
        <v>28000</v>
      </c>
      <c r="L4" s="171" t="s">
        <v>328</v>
      </c>
      <c r="M4" s="171" t="s">
        <v>86</v>
      </c>
      <c r="N4" s="171" t="s">
        <v>326</v>
      </c>
      <c r="O4" s="183" t="s">
        <v>23</v>
      </c>
      <c r="P4" s="18">
        <v>33332</v>
      </c>
      <c r="Q4" s="121" t="s">
        <v>309</v>
      </c>
      <c r="R4" s="17" t="s">
        <v>315</v>
      </c>
      <c r="S4" s="82">
        <v>3163084286</v>
      </c>
      <c r="T4" s="17" t="s">
        <v>444</v>
      </c>
      <c r="U4" s="71" t="str">
        <f>IF(O4=[1]CURSOS!$D$3,"DIPLOMADO EN ATENCION PRE-HOSPITALARIA",IF(O4=[1]CURSOS!$D$4,"ACOMPAÑAMIENTO Y MANEJO DEL DUELO",IF(O4=[1]CURSOS!$D$5,"ATENCION A VICTIMAS DE ATAQUE CON AGENTES QUIMICOS ",IF(O4=[1]CURSOS!$D$6,"PRIMEROS AUXILIOS ",IF(O4=[1]CURSOS!$D$7,"DIPLOMADO DE UNIDAD DE CUIDADOS INTENSIVOS (UCI)",IF(O4=[1]CURSOS!$D$8,"MODELO DE ATENCION PARA EVENTOS EMERGENTES EN SALUD MENTAL (CODIGO VERDE)",IF(O4=[1]CURSOS!$D$9,"HUMANIZACION EN EL SERVICIO DE LA SALUD Y BUENAS PRACTICAS EN PACIENTE ",IF(O4=[1]CURSOS!$D$10,"CLINICA DE HERIDAS ",IF(O4=[1]CURSOS!$D$11,"TOMA DE CITOLOGIA CERVICO VAGINAL ",IF(O4=[1]CURSOS!$D$12,"SOPORTE CARDIOVASCULAR AVANZADO (ACLS) ",IF(O4=[1]CURSOS!$D$13,"CAMILLERO ",IF(O4=[1]CURSOS!$D$14,"TOMA DE MUESTRAS Y LABORATORIO ",IF(O4=[1]CURSOS!$D$15,"SOPORTE VITAL BASICO (BLS)",IF(O4=[1]CURSOS!$D$16,"ATENCION A VICTIMAS DE VIOLENCIA SEXUAL ",IF(O4=[1]CURSOS!$D$17,"PROGRAMADO AMPLIADO DE INMUNIZACION (PAI - COVID 19)",IF(O4=[1]CURSOS!$D$18,"ATENCION INTEGRAL EN ENFERMEDADES PREVALENTES EN PRIMERA INFANCIA (AIEPI)",IF(O4=[1]CURSOS!$D$19,"ADMINISTRACION DE MEDICAMENTOS, INYECTOLOGIA  Y CANALIZACION ",IF(O4=[1]CURSOS!$D$20,"OPERADOR DE VEHICULOS DE EMERGENCIA (OVE)",IF(O4=[1]CURSOS!$D$21,"INSTITUCIONES AMIGAS DE LA MUJER Y LA INFANCIA (IAMI)",IF(O4=[1]CURSOS!$D$22,"CUIDADO DEL DONANTE DE ORGANOS",IF(O4=[1]CURSOS!$D$23,"ATENCION A VICTIMAS POR VIOLENCIA DE GENERO",IF(O4=[1]CURSOS!$D$24,"IGUALDAD DE GENERO EN LA SALUD",IF(O4=[1]CURSOS!$D$25,"BRIGADA DE EMERGENCIA",IF(O4=[1]CURSOS!$D$26,"MANEJO DEL DOLOR Y CUIDADOS PALIATIVOS",IF(O4=[1]CURSOS!$D$27,"TOMA DE MUESTRAS Y LABORATORIO POCT",IF(O4=[1]CURSOS!$D$28,"IMPLANTE SUBDERMICO DE DISPOSITIVO INTRAUTERINO",IF(O4=[1]CURSOS!$D$29,"SALUD MENTAL",IF(O4=[1]CURSOS!$D$30,"PRIMEROS AUXILIOS PSICOLOGICOS",IF(O4=[1]CURSOS!$D$31,"ATENCION A VICTIMAS POR CONFLICTO ARMADO",IF(O4=[1]CURSOS!$D$32,"MANIPULACION DE ALIMENTOS Y BPM",IF(O4=[1]CURSOS!$D$33,"ATENCION A PERSONAS CON DISCAPACIDAD",IF(O4=[1]CURSOS!$D$34,"CUIDADO INTEGRAL DEL PACIENTE ADULTO",IF(O4=[1]CURSOS!$D$35,"MANEJO DEFENSIVO",IF(O4=[1]CURSOS!$D$36,"SOPORTE CARDIOVASCULAR AVANZADO NEONATAL",IF(O4=[1]CURSOS!$D$37,"SEGURIDAD DEL PACIENTE")))))))))))))))))))))))))))))))))))</f>
        <v>ACOMPAÑAMIENTO Y MANEJO DEL DUELO</v>
      </c>
      <c r="V4" s="71" t="str">
        <f t="shared" si="0"/>
        <v>Alexa Irene Rojas Alvarez</v>
      </c>
      <c r="W4" s="83" t="str">
        <f t="shared" si="1"/>
        <v>Alexa Irene Rojas Alvarez</v>
      </c>
      <c r="X4" s="52" t="str">
        <f t="shared" si="2"/>
        <v>Alexa Irene Rojas Alvarez-1088734268-DUELO</v>
      </c>
    </row>
    <row r="5" spans="1:24" s="74" customFormat="1" x14ac:dyDescent="0.2">
      <c r="A5" s="17">
        <v>4</v>
      </c>
      <c r="B5" s="82">
        <v>1088734268</v>
      </c>
      <c r="C5" s="17" t="s">
        <v>439</v>
      </c>
      <c r="D5" s="17" t="s">
        <v>440</v>
      </c>
      <c r="E5" s="17" t="s">
        <v>441</v>
      </c>
      <c r="F5" s="180" t="s">
        <v>442</v>
      </c>
      <c r="G5" s="171">
        <v>31</v>
      </c>
      <c r="H5" s="171" t="s">
        <v>443</v>
      </c>
      <c r="I5" s="171" t="s">
        <v>450</v>
      </c>
      <c r="J5" s="182">
        <v>45505</v>
      </c>
      <c r="K5" s="181">
        <v>28000</v>
      </c>
      <c r="L5" s="171" t="s">
        <v>328</v>
      </c>
      <c r="M5" s="171" t="s">
        <v>86</v>
      </c>
      <c r="N5" s="171" t="s">
        <v>326</v>
      </c>
      <c r="O5" s="183" t="s">
        <v>19</v>
      </c>
      <c r="P5" s="18">
        <v>33332</v>
      </c>
      <c r="Q5" s="121" t="s">
        <v>309</v>
      </c>
      <c r="R5" s="17" t="s">
        <v>315</v>
      </c>
      <c r="S5" s="82">
        <v>3163084286</v>
      </c>
      <c r="T5" s="17" t="s">
        <v>444</v>
      </c>
      <c r="U5" s="71" t="str">
        <f>IF(O5=[1]CURSOS!$D$3,"DIPLOMADO EN ATENCION PRE-HOSPITALARIA",IF(O5=[1]CURSOS!$D$4,"ACOMPAÑAMIENTO Y MANEJO DEL DUELO",IF(O5=[1]CURSOS!$D$5,"ATENCION A VICTIMAS DE ATAQUE CON AGENTES QUIMICOS ",IF(O5=[1]CURSOS!$D$6,"PRIMEROS AUXILIOS ",IF(O5=[1]CURSOS!$D$7,"DIPLOMADO DE UNIDAD DE CUIDADOS INTENSIVOS (UCI)",IF(O5=[1]CURSOS!$D$8,"MODELO DE ATENCION PARA EVENTOS EMERGENTES EN SALUD MENTAL (CODIGO VERDE)",IF(O5=[1]CURSOS!$D$9,"HUMANIZACION EN EL SERVICIO DE LA SALUD Y BUENAS PRACTICAS EN PACIENTE ",IF(O5=[1]CURSOS!$D$10,"CLINICA DE HERIDAS ",IF(O5=[1]CURSOS!$D$11,"TOMA DE CITOLOGIA CERVICO VAGINAL ",IF(O5=[1]CURSOS!$D$12,"SOPORTE CARDIOVASCULAR AVANZADO (ACLS) ",IF(O5=[1]CURSOS!$D$13,"CAMILLERO ",IF(O5=[1]CURSOS!$D$14,"TOMA DE MUESTRAS Y LABORATORIO ",IF(O5=[1]CURSOS!$D$15,"SOPORTE VITAL BASICO (BLS)",IF(O5=[1]CURSOS!$D$16,"ATENCION A VICTIMAS DE VIOLENCIA SEXUAL ",IF(O5=[1]CURSOS!$D$17,"PROGRAMADO AMPLIADO DE INMUNIZACION (PAI - COVID 19)",IF(O5=[1]CURSOS!$D$18,"ATENCION INTEGRAL EN ENFERMEDADES PREVALENTES EN PRIMERA INFANCIA (AIEPI)",IF(O5=[1]CURSOS!$D$19,"ADMINISTRACION DE MEDICAMENTOS, INYECTOLOGIA  Y CANALIZACION ",IF(O5=[1]CURSOS!$D$20,"OPERADOR DE VEHICULOS DE EMERGENCIA (OVE)",IF(O5=[1]CURSOS!$D$21,"INSTITUCIONES AMIGAS DE LA MUJER Y LA INFANCIA (IAMI)",IF(O5=[1]CURSOS!$D$22,"CUIDADO DEL DONANTE DE ORGANOS",IF(O5=[1]CURSOS!$D$23,"ATENCION A VICTIMAS POR VIOLENCIA DE GENERO",IF(O5=[1]CURSOS!$D$24,"IGUALDAD DE GENERO EN LA SALUD",IF(O5=[1]CURSOS!$D$25,"BRIGADA DE EMERGENCIA",IF(O5=[1]CURSOS!$D$26,"MANEJO DEL DOLOR Y CUIDADOS PALIATIVOS",IF(O5=[1]CURSOS!$D$27,"TOMA DE MUESTRAS Y LABORATORIO POCT",IF(O5=[1]CURSOS!$D$28,"IMPLANTE SUBDERMICO DE DISPOSITIVO INTRAUTERINO",IF(O5=[1]CURSOS!$D$29,"SALUD MENTAL",IF(O5=[1]CURSOS!$D$30,"PRIMEROS AUXILIOS PSICOLOGICOS",IF(O5=[1]CURSOS!$D$31,"ATENCION A VICTIMAS POR CONFLICTO ARMADO",IF(O5=[1]CURSOS!$D$32,"MANIPULACION DE ALIMENTOS Y BPM",IF(O5=[1]CURSOS!$D$33,"ATENCION A PERSONAS CON DISCAPACIDAD",IF(O5=[1]CURSOS!$D$34,"CUIDADO INTEGRAL DEL PACIENTE ADULTO",IF(O5=[1]CURSOS!$D$35,"MANEJO DEFENSIVO",IF(O5=[1]CURSOS!$D$36,"SOPORTE CARDIOVASCULAR AVANZADO NEONATAL",IF(O5=[1]CURSOS!$D$37,"SEGURIDAD DEL PACIENTE")))))))))))))))))))))))))))))))))))</f>
        <v>SOPORTE VITAL BASICO (BLS)</v>
      </c>
      <c r="V5" s="71" t="str">
        <f t="shared" si="0"/>
        <v>Alexa Irene Rojas Alvarez</v>
      </c>
      <c r="W5" s="83" t="str">
        <f t="shared" si="1"/>
        <v>Alexa Irene Rojas Alvarez</v>
      </c>
      <c r="X5" s="52" t="str">
        <f t="shared" si="2"/>
        <v>Alexa Irene Rojas Alvarez-1088734268-BLS</v>
      </c>
    </row>
    <row r="6" spans="1:24" s="74" customFormat="1" x14ac:dyDescent="0.2">
      <c r="A6" s="17">
        <v>5</v>
      </c>
      <c r="B6" s="82">
        <v>1007282229</v>
      </c>
      <c r="C6" s="17" t="s">
        <v>114</v>
      </c>
      <c r="D6" s="17" t="s">
        <v>445</v>
      </c>
      <c r="E6" s="17" t="s">
        <v>446</v>
      </c>
      <c r="F6" s="180" t="s">
        <v>447</v>
      </c>
      <c r="G6" s="171">
        <v>31</v>
      </c>
      <c r="H6" s="171" t="s">
        <v>443</v>
      </c>
      <c r="I6" s="171" t="s">
        <v>450</v>
      </c>
      <c r="J6" s="182">
        <v>45505</v>
      </c>
      <c r="K6" s="181">
        <v>28000</v>
      </c>
      <c r="L6" s="171" t="s">
        <v>328</v>
      </c>
      <c r="M6" s="171" t="s">
        <v>86</v>
      </c>
      <c r="N6" s="171" t="s">
        <v>326</v>
      </c>
      <c r="O6" s="183" t="s">
        <v>23</v>
      </c>
      <c r="P6" s="17"/>
      <c r="Q6" s="121" t="s">
        <v>309</v>
      </c>
      <c r="R6" s="17" t="s">
        <v>411</v>
      </c>
      <c r="S6" s="82">
        <v>3177285512</v>
      </c>
      <c r="T6" s="17" t="s">
        <v>448</v>
      </c>
      <c r="U6" s="71" t="str">
        <f>IF(O6=[1]CURSOS!$D$3,"DIPLOMADO EN ATENCION PRE-HOSPITALARIA",IF(O6=[1]CURSOS!$D$4,"ACOMPAÑAMIENTO Y MANEJO DEL DUELO",IF(O6=[1]CURSOS!$D$5,"ATENCION A VICTIMAS DE ATAQUE CON AGENTES QUIMICOS ",IF(O6=[1]CURSOS!$D$6,"PRIMEROS AUXILIOS ",IF(O6=[1]CURSOS!$D$7,"DIPLOMADO DE UNIDAD DE CUIDADOS INTENSIVOS (UCI)",IF(O6=[1]CURSOS!$D$8,"MODELO DE ATENCION PARA EVENTOS EMERGENTES EN SALUD MENTAL (CODIGO VERDE)",IF(O6=[1]CURSOS!$D$9,"HUMANIZACION EN EL SERVICIO DE LA SALUD Y BUENAS PRACTICAS EN PACIENTE ",IF(O6=[1]CURSOS!$D$10,"CLINICA DE HERIDAS ",IF(O6=[1]CURSOS!$D$11,"TOMA DE CITOLOGIA CERVICO VAGINAL ",IF(O6=[1]CURSOS!$D$12,"SOPORTE CARDIOVASCULAR AVANZADO (ACLS) ",IF(O6=[1]CURSOS!$D$13,"CAMILLERO ",IF(O6=[1]CURSOS!$D$14,"TOMA DE MUESTRAS Y LABORATORIO ",IF(O6=[1]CURSOS!$D$15,"SOPORTE VITAL BASICO (BLS)",IF(O6=[1]CURSOS!$D$16,"ATENCION A VICTIMAS DE VIOLENCIA SEXUAL ",IF(O6=[1]CURSOS!$D$17,"PROGRAMADO AMPLIADO DE INMUNIZACION (PAI - COVID 19)",IF(O6=[1]CURSOS!$D$18,"ATENCION INTEGRAL EN ENFERMEDADES PREVALENTES EN PRIMERA INFANCIA (AIEPI)",IF(O6=[1]CURSOS!$D$19,"ADMINISTRACION DE MEDICAMENTOS, INYECTOLOGIA  Y CANALIZACION ",IF(O6=[1]CURSOS!$D$20,"OPERADOR DE VEHICULOS DE EMERGENCIA (OVE)",IF(O6=[1]CURSOS!$D$21,"INSTITUCIONES AMIGAS DE LA MUJER Y LA INFANCIA (IAMI)",IF(O6=[1]CURSOS!$D$22,"CUIDADO DEL DONANTE DE ORGANOS",IF(O6=[1]CURSOS!$D$23,"ATENCION A VICTIMAS POR VIOLENCIA DE GENERO",IF(O6=[1]CURSOS!$D$24,"IGUALDAD DE GENERO EN LA SALUD",IF(O6=[1]CURSOS!$D$25,"BRIGADA DE EMERGENCIA",IF(O6=[1]CURSOS!$D$26,"MANEJO DEL DOLOR Y CUIDADOS PALIATIVOS",IF(O6=[1]CURSOS!$D$27,"TOMA DE MUESTRAS Y LABORATORIO POCT",IF(O6=[1]CURSOS!$D$28,"IMPLANTE SUBDERMICO DE DISPOSITIVO INTRAUTERINO",IF(O6=[1]CURSOS!$D$29,"SALUD MENTAL",IF(O6=[1]CURSOS!$D$30,"PRIMEROS AUXILIOS PSICOLOGICOS",IF(O6=[1]CURSOS!$D$31,"ATENCION A VICTIMAS POR CONFLICTO ARMADO",IF(O6=[1]CURSOS!$D$32,"MANIPULACION DE ALIMENTOS Y BPM",IF(O6=[1]CURSOS!$D$33,"ATENCION A PERSONAS CON DISCAPACIDAD",IF(O6=[1]CURSOS!$D$34,"CUIDADO INTEGRAL DEL PACIENTE ADULTO",IF(O6=[1]CURSOS!$D$35,"MANEJO DEFENSIVO",IF(O6=[1]CURSOS!$D$36,"SOPORTE CARDIOVASCULAR AVANZADO NEONATAL",IF(O6=[1]CURSOS!$D$37,"SEGURIDAD DEL PACIENTE")))))))))))))))))))))))))))))))))))</f>
        <v>ACOMPAÑAMIENTO Y MANEJO DEL DUELO</v>
      </c>
      <c r="V6" s="71" t="str">
        <f t="shared" si="0"/>
        <v>Anyi Gissela Martinez Andrade</v>
      </c>
      <c r="W6" s="83" t="str">
        <f t="shared" si="1"/>
        <v>Anyi Gissela Martinez Andrade</v>
      </c>
      <c r="X6" s="52" t="str">
        <f t="shared" si="2"/>
        <v>Anyi Gissela Martinez Andrade-1007282229-DUELO</v>
      </c>
    </row>
    <row r="7" spans="1:24" s="74" customFormat="1" x14ac:dyDescent="0.2">
      <c r="A7" s="17">
        <v>6</v>
      </c>
      <c r="B7" s="82">
        <v>1007282229</v>
      </c>
      <c r="C7" s="17" t="s">
        <v>114</v>
      </c>
      <c r="D7" s="17" t="s">
        <v>445</v>
      </c>
      <c r="E7" s="17" t="s">
        <v>446</v>
      </c>
      <c r="F7" s="180" t="s">
        <v>447</v>
      </c>
      <c r="G7" s="171">
        <v>31</v>
      </c>
      <c r="H7" s="171" t="s">
        <v>443</v>
      </c>
      <c r="I7" s="171" t="s">
        <v>450</v>
      </c>
      <c r="J7" s="182">
        <v>45505</v>
      </c>
      <c r="K7" s="181">
        <v>28000</v>
      </c>
      <c r="L7" s="171" t="s">
        <v>328</v>
      </c>
      <c r="M7" s="171" t="s">
        <v>86</v>
      </c>
      <c r="N7" s="171" t="s">
        <v>326</v>
      </c>
      <c r="O7" s="183" t="s">
        <v>25</v>
      </c>
      <c r="P7" s="17"/>
      <c r="Q7" s="121" t="s">
        <v>309</v>
      </c>
      <c r="R7" s="17" t="s">
        <v>411</v>
      </c>
      <c r="S7" s="82">
        <v>3177285512</v>
      </c>
      <c r="T7" s="17" t="s">
        <v>448</v>
      </c>
      <c r="U7" s="71" t="str">
        <f>IF(O7=[1]CURSOS!$D$3,"DIPLOMADO EN ATENCION PRE-HOSPITALARIA",IF(O7=[1]CURSOS!$D$4,"ACOMPAÑAMIENTO Y MANEJO DEL DUELO",IF(O7=[1]CURSOS!$D$5,"ATENCION A VICTIMAS DE ATAQUE CON AGENTES QUIMICOS ",IF(O7=[1]CURSOS!$D$6,"PRIMEROS AUXILIOS ",IF(O7=[1]CURSOS!$D$7,"DIPLOMADO DE UNIDAD DE CUIDADOS INTENSIVOS (UCI)",IF(O7=[1]CURSOS!$D$8,"MODELO DE ATENCION PARA EVENTOS EMERGENTES EN SALUD MENTAL (CODIGO VERDE)",IF(O7=[1]CURSOS!$D$9,"HUMANIZACION EN EL SERVICIO DE LA SALUD Y BUENAS PRACTICAS EN PACIENTE ",IF(O7=[1]CURSOS!$D$10,"CLINICA DE HERIDAS ",IF(O7=[1]CURSOS!$D$11,"TOMA DE CITOLOGIA CERVICO VAGINAL ",IF(O7=[1]CURSOS!$D$12,"SOPORTE CARDIOVASCULAR AVANZADO (ACLS) ",IF(O7=[1]CURSOS!$D$13,"CAMILLERO ",IF(O7=[1]CURSOS!$D$14,"TOMA DE MUESTRAS Y LABORATORIO ",IF(O7=[1]CURSOS!$D$15,"SOPORTE VITAL BASICO (BLS)",IF(O7=[1]CURSOS!$D$16,"ATENCION A VICTIMAS DE VIOLENCIA SEXUAL ",IF(O7=[1]CURSOS!$D$17,"PROGRAMADO AMPLIADO DE INMUNIZACION (PAI - COVID 19)",IF(O7=[1]CURSOS!$D$18,"ATENCION INTEGRAL EN ENFERMEDADES PREVALENTES EN PRIMERA INFANCIA (AIEPI)",IF(O7=[1]CURSOS!$D$19,"ADMINISTRACION DE MEDICAMENTOS, INYECTOLOGIA  Y CANALIZACION ",IF(O7=[1]CURSOS!$D$20,"OPERADOR DE VEHICULOS DE EMERGENCIA (OVE)",IF(O7=[1]CURSOS!$D$21,"INSTITUCIONES AMIGAS DE LA MUJER Y LA INFANCIA (IAMI)",IF(O7=[1]CURSOS!$D$22,"CUIDADO DEL DONANTE DE ORGANOS",IF(O7=[1]CURSOS!$D$23,"ATENCION A VICTIMAS POR VIOLENCIA DE GENERO",IF(O7=[1]CURSOS!$D$24,"IGUALDAD DE GENERO EN LA SALUD",IF(O7=[1]CURSOS!$D$25,"BRIGADA DE EMERGENCIA",IF(O7=[1]CURSOS!$D$26,"MANEJO DEL DOLOR Y CUIDADOS PALIATIVOS",IF(O7=[1]CURSOS!$D$27,"TOMA DE MUESTRAS Y LABORATORIO POCT",IF(O7=[1]CURSOS!$D$28,"IMPLANTE SUBDERMICO DE DISPOSITIVO INTRAUTERINO",IF(O7=[1]CURSOS!$D$29,"SALUD MENTAL",IF(O7=[1]CURSOS!$D$30,"PRIMEROS AUXILIOS PSICOLOGICOS",IF(O7=[1]CURSOS!$D$31,"ATENCION A VICTIMAS POR CONFLICTO ARMADO",IF(O7=[1]CURSOS!$D$32,"MANIPULACION DE ALIMENTOS Y BPM",IF(O7=[1]CURSOS!$D$33,"ATENCION A PERSONAS CON DISCAPACIDAD",IF(O7=[1]CURSOS!$D$34,"CUIDADO INTEGRAL DEL PACIENTE ADULTO",IF(O7=[1]CURSOS!$D$35,"MANEJO DEFENSIVO",IF(O7=[1]CURSOS!$D$36,"SOPORTE CARDIOVASCULAR AVANZADO NEONATAL",IF(O7=[1]CURSOS!$D$37,"SEGURIDAD DEL PACIENTE")))))))))))))))))))))))))))))))))))</f>
        <v xml:space="preserve">ATENCION A VICTIMAS DE ATAQUE CON AGENTES QUIMICOS </v>
      </c>
      <c r="V7" s="71" t="str">
        <f t="shared" si="0"/>
        <v>Anyi Gissela Martinez Andrade</v>
      </c>
      <c r="W7" s="83" t="str">
        <f t="shared" si="1"/>
        <v>Anyi Gissela Martinez Andrade</v>
      </c>
      <c r="X7" s="52" t="str">
        <f t="shared" si="2"/>
        <v>Anyi Gissela Martinez Andrade-1007282229-QUIMICOS</v>
      </c>
    </row>
    <row r="8" spans="1:24" s="74" customFormat="1" x14ac:dyDescent="0.2">
      <c r="A8" s="17">
        <v>7</v>
      </c>
      <c r="B8" s="82">
        <v>1007282229</v>
      </c>
      <c r="C8" s="17" t="s">
        <v>114</v>
      </c>
      <c r="D8" s="17" t="s">
        <v>445</v>
      </c>
      <c r="E8" s="17" t="s">
        <v>446</v>
      </c>
      <c r="F8" s="180" t="s">
        <v>447</v>
      </c>
      <c r="G8" s="171">
        <v>31</v>
      </c>
      <c r="H8" s="171" t="s">
        <v>443</v>
      </c>
      <c r="I8" s="171" t="s">
        <v>450</v>
      </c>
      <c r="J8" s="182">
        <v>45505</v>
      </c>
      <c r="K8" s="181">
        <v>28000</v>
      </c>
      <c r="L8" s="171" t="s">
        <v>328</v>
      </c>
      <c r="M8" s="171" t="s">
        <v>86</v>
      </c>
      <c r="N8" s="171" t="s">
        <v>326</v>
      </c>
      <c r="O8" s="183" t="s">
        <v>43</v>
      </c>
      <c r="P8" s="17"/>
      <c r="Q8" s="121" t="s">
        <v>309</v>
      </c>
      <c r="R8" s="17" t="s">
        <v>411</v>
      </c>
      <c r="S8" s="82">
        <v>3177285512</v>
      </c>
      <c r="T8" s="17" t="s">
        <v>448</v>
      </c>
      <c r="U8" s="71" t="str">
        <f>IF(O8=[1]CURSOS!$D$3,"DIPLOMADO EN ATENCION PRE-HOSPITALARIA",IF(O8=[1]CURSOS!$D$4,"ACOMPAÑAMIENTO Y MANEJO DEL DUELO",IF(O8=[1]CURSOS!$D$5,"ATENCION A VICTIMAS DE ATAQUE CON AGENTES QUIMICOS ",IF(O8=[1]CURSOS!$D$6,"PRIMEROS AUXILIOS ",IF(O8=[1]CURSOS!$D$7,"DIPLOMADO DE UNIDAD DE CUIDADOS INTENSIVOS (UCI)",IF(O8=[1]CURSOS!$D$8,"MODELO DE ATENCION PARA EVENTOS EMERGENTES EN SALUD MENTAL (CODIGO VERDE)",IF(O8=[1]CURSOS!$D$9,"HUMANIZACION EN EL SERVICIO DE LA SALUD Y BUENAS PRACTICAS EN PACIENTE ",IF(O8=[1]CURSOS!$D$10,"CLINICA DE HERIDAS ",IF(O8=[1]CURSOS!$D$11,"TOMA DE CITOLOGIA CERVICO VAGINAL ",IF(O8=[1]CURSOS!$D$12,"SOPORTE CARDIOVASCULAR AVANZADO (ACLS) ",IF(O8=[1]CURSOS!$D$13,"CAMILLERO ",IF(O8=[1]CURSOS!$D$14,"TOMA DE MUESTRAS Y LABORATORIO ",IF(O8=[1]CURSOS!$D$15,"SOPORTE VITAL BASICO (BLS)",IF(O8=[1]CURSOS!$D$16,"ATENCION A VICTIMAS DE VIOLENCIA SEXUAL ",IF(O8=[1]CURSOS!$D$17,"PROGRAMADO AMPLIADO DE INMUNIZACION (PAI - COVID 19)",IF(O8=[1]CURSOS!$D$18,"ATENCION INTEGRAL EN ENFERMEDADES PREVALENTES EN PRIMERA INFANCIA (AIEPI)",IF(O8=[1]CURSOS!$D$19,"ADMINISTRACION DE MEDICAMENTOS, INYECTOLOGIA  Y CANALIZACION ",IF(O8=[1]CURSOS!$D$20,"OPERADOR DE VEHICULOS DE EMERGENCIA (OVE)",IF(O8=[1]CURSOS!$D$21,"INSTITUCIONES AMIGAS DE LA MUJER Y LA INFANCIA (IAMI)",IF(O8=[1]CURSOS!$D$22,"CUIDADO DEL DONANTE DE ORGANOS",IF(O8=[1]CURSOS!$D$23,"ATENCION A VICTIMAS POR VIOLENCIA DE GENERO",IF(O8=[1]CURSOS!$D$24,"IGUALDAD DE GENERO EN LA SALUD",IF(O8=[1]CURSOS!$D$25,"BRIGADA DE EMERGENCIA",IF(O8=[1]CURSOS!$D$26,"MANEJO DEL DOLOR Y CUIDADOS PALIATIVOS",IF(O8=[1]CURSOS!$D$27,"TOMA DE MUESTRAS Y LABORATORIO POCT",IF(O8=[1]CURSOS!$D$28,"IMPLANTE SUBDERMICO DE DISPOSITIVO INTRAUTERINO",IF(O8=[1]CURSOS!$D$29,"SALUD MENTAL",IF(O8=[1]CURSOS!$D$30,"PRIMEROS AUXILIOS PSICOLOGICOS",IF(O8=[1]CURSOS!$D$31,"ATENCION A VICTIMAS POR CONFLICTO ARMADO",IF(O8=[1]CURSOS!$D$32,"MANIPULACION DE ALIMENTOS Y BPM",IF(O8=[1]CURSOS!$D$33,"ATENCION A PERSONAS CON DISCAPACIDAD",IF(O8=[1]CURSOS!$D$34,"CUIDADO INTEGRAL DEL PACIENTE ADULTO",IF(O8=[1]CURSOS!$D$35,"MANEJO DEFENSIVO",IF(O8=[1]CURSOS!$D$36,"SOPORTE CARDIOVASCULAR AVANZADO NEONATAL",IF(O8=[1]CURSOS!$D$37,"SEGURIDAD DEL PACIENTE")))))))))))))))))))))))))))))))))))</f>
        <v xml:space="preserve">ATENCION A VICTIMAS DE VIOLENCIA SEXUAL </v>
      </c>
      <c r="V8" s="71" t="str">
        <f t="shared" si="0"/>
        <v>Anyi Gissela Martinez Andrade</v>
      </c>
      <c r="W8" s="83" t="str">
        <f t="shared" si="1"/>
        <v>Anyi Gissela Martinez Andrade</v>
      </c>
      <c r="X8" s="52" t="str">
        <f t="shared" si="2"/>
        <v>Anyi Gissela Martinez Andrade-1007282229-VIOLENCIA SEXUAL</v>
      </c>
    </row>
    <row r="9" spans="1:24" x14ac:dyDescent="0.2">
      <c r="A9" s="17">
        <v>8</v>
      </c>
      <c r="B9" s="59">
        <v>1084846331</v>
      </c>
      <c r="C9" s="40" t="s">
        <v>305</v>
      </c>
      <c r="D9" s="40" t="s">
        <v>306</v>
      </c>
      <c r="E9" s="40" t="s">
        <v>143</v>
      </c>
      <c r="F9" s="169" t="s">
        <v>307</v>
      </c>
      <c r="G9" s="170">
        <v>3</v>
      </c>
      <c r="H9" s="170" t="s">
        <v>181</v>
      </c>
      <c r="I9" s="171" t="s">
        <v>450</v>
      </c>
      <c r="J9" s="172">
        <v>45506</v>
      </c>
      <c r="K9" s="173">
        <v>130000</v>
      </c>
      <c r="L9" s="172" t="s">
        <v>322</v>
      </c>
      <c r="M9" s="170" t="s">
        <v>86</v>
      </c>
      <c r="N9" s="170" t="s">
        <v>308</v>
      </c>
      <c r="O9" s="174" t="s">
        <v>38</v>
      </c>
      <c r="P9" s="41">
        <v>32087</v>
      </c>
      <c r="Q9" s="119" t="s">
        <v>309</v>
      </c>
      <c r="R9" s="17" t="s">
        <v>432</v>
      </c>
      <c r="S9" s="87">
        <v>3156962644</v>
      </c>
      <c r="T9" s="60" t="s">
        <v>310</v>
      </c>
      <c r="U9" s="71" t="str">
        <f>IF(O9=[1]CURSOS!$D$3,"DIPLOMADO EN ATENCION PRE-HOSPITALARIA",IF(O9=[1]CURSOS!$D$4,"ACOMPAÑAMIENTO Y MANEJO DEL DUELO",IF(O9=[1]CURSOS!$D$5,"ATENCION A VICTIMAS DE ATAQUE CON AGENTES QUIMICOS ",IF(O9=[1]CURSOS!$D$6,"PRIMEROS AUXILIOS ",IF(O9=[1]CURSOS!$D$7,"DIPLOMADO DE UNIDAD DE CUIDADOS INTENSIVOS (UCI)",IF(O9=[1]CURSOS!$D$8,"MODELO DE ATENCION PARA EVENTOS EMERGENTES EN SALUD MENTAL (CODIGO VERDE)",IF(O9=[1]CURSOS!$D$9,"HUMANIZACION EN EL SERVICIO DE LA SALUD Y BUENAS PRACTICAS EN PACIENTE ",IF(O9=[1]CURSOS!$D$10,"CLINICA DE HERIDAS ",IF(O9=[1]CURSOS!$D$11,"TOMA DE CITOLOGIA CERVICO VAGINAL ",IF(O9=[1]CURSOS!$D$12,"SOPORTE CARDIOVASCULAR AVANZADO (ACLS) ",IF(O9=[1]CURSOS!$D$13,"CAMILLERO ",IF(O9=[1]CURSOS!$D$14,"TOMA DE MUESTRAS Y LABORATORIO ",IF(O9=[1]CURSOS!$D$15,"SOPORTE VITAL BASICO (BLS)",IF(O9=[1]CURSOS!$D$16,"ATENCION A VICTIMAS DE VIOLENCIA SEXUAL ",IF(O9=[1]CURSOS!$D$17,"PROGRAMADO AMPLIADO DE INMUNIZACION (PAI - COVID 19)",IF(O9=[1]CURSOS!$D$18,"ATENCION INTEGRAL EN ENFERMEDADES PREVALENTES EN PRIMERA INFANCIA (AIEPI)",IF(O9=[1]CURSOS!$D$19,"ADMINISTRACION DE MEDICAMENTOS, INYECTOLOGIA  Y CANALIZACION ",IF(O9=[1]CURSOS!$D$20,"OPERADOR DE VEHICULOS DE EMERGENCIA (OVE)",IF(O9=[1]CURSOS!$D$21,"INSTITUCIONES AMIGAS DE LA MUJER Y LA INFANCIA (IAMI)",IF(O9=[1]CURSOS!$D$22,"CUIDADO DEL DONANTE DE ORGANOS",IF(O9=[1]CURSOS!$D$23,"ATENCION A VICTIMAS POR VIOLENCIA DE GENERO",IF(O9=[1]CURSOS!$D$24,"IGUALDAD DE GENERO EN LA SALUD",IF(O9=[1]CURSOS!$D$25,"BRIGADA DE EMERGENCIA",IF(O9=[1]CURSOS!$D$26,"MANEJO DEL DOLOR Y CUIDADOS PALIATIVOS",IF(O9=[1]CURSOS!$D$27,"TOMA DE MUESTRAS Y LABORATORIO POCT",IF(O9=[1]CURSOS!$D$28,"IMPLANTE SUBDERMICO DE DISPOSITIVO INTRAUTERINO",IF(O9=[1]CURSOS!$D$29,"SALUD MENTAL",IF(O9=[1]CURSOS!$D$30,"PRIMEROS AUXILIOS PSICOLOGICOS",IF(O9=[1]CURSOS!$D$31,"ATENCION A VICTIMAS POR CONFLICTO ARMADO",IF(O9=[1]CURSOS!$D$32,"MANIPULACION DE ALIMENTOS Y BPM",IF(O9=[1]CURSOS!$D$33,"ATENCION A PERSONAS CON DISCAPACIDAD",IF(O9=[1]CURSOS!$D$34,"CUIDADO INTEGRAL DEL PACIENTE ADULTO",IF(O9=[1]CURSOS!$D$35,"MANEJO DEFENSIVO",IF(O9=[1]CURSOS!$D$36,"SOPORTE CARDIOVASCULAR AVANZADO NEONATAL",IF(O9=[1]CURSOS!$D$37,"SEGURIDAD DEL PACIENTE")))))))))))))))))))))))))))))))))))</f>
        <v xml:space="preserve">SOPORTE CARDIOVASCULAR AVANZADO (ACLS) </v>
      </c>
      <c r="V9" s="71" t="str">
        <f t="shared" si="0"/>
        <v>Diana Esmeralda Mejía Chávez</v>
      </c>
      <c r="W9" s="83" t="str">
        <f t="shared" si="1"/>
        <v>Diana Esmeralda Mejía Chávez</v>
      </c>
      <c r="X9" s="52" t="str">
        <f t="shared" si="2"/>
        <v>Diana Esmeralda Mejía Chávez-1084846331-ACLS</v>
      </c>
    </row>
    <row r="10" spans="1:24" x14ac:dyDescent="0.2">
      <c r="A10" s="17">
        <v>9</v>
      </c>
      <c r="B10" s="61">
        <v>1084846331</v>
      </c>
      <c r="C10" s="62" t="s">
        <v>305</v>
      </c>
      <c r="D10" s="62" t="s">
        <v>306</v>
      </c>
      <c r="E10" s="62" t="s">
        <v>143</v>
      </c>
      <c r="F10" s="175" t="s">
        <v>307</v>
      </c>
      <c r="G10" s="176">
        <v>3</v>
      </c>
      <c r="H10" s="176" t="s">
        <v>181</v>
      </c>
      <c r="I10" s="171" t="s">
        <v>450</v>
      </c>
      <c r="J10" s="172">
        <v>45506</v>
      </c>
      <c r="K10" s="177">
        <v>30000</v>
      </c>
      <c r="L10" s="178" t="s">
        <v>322</v>
      </c>
      <c r="M10" s="176" t="s">
        <v>86</v>
      </c>
      <c r="N10" s="176" t="s">
        <v>308</v>
      </c>
      <c r="O10" s="179" t="s">
        <v>25</v>
      </c>
      <c r="P10" s="64">
        <v>32087</v>
      </c>
      <c r="Q10" s="120" t="s">
        <v>309</v>
      </c>
      <c r="R10" s="17" t="s">
        <v>432</v>
      </c>
      <c r="S10" s="125">
        <v>3156962644</v>
      </c>
      <c r="T10" s="65" t="s">
        <v>310</v>
      </c>
      <c r="U10" s="71" t="str">
        <f>IF(O10=[1]CURSOS!$D$3,"DIPLOMADO EN ATENCION PRE-HOSPITALARIA",IF(O10=[1]CURSOS!$D$4,"ACOMPAÑAMIENTO Y MANEJO DEL DUELO",IF(O10=[1]CURSOS!$D$5,"ATENCION A VICTIMAS DE ATAQUE CON AGENTES QUIMICOS ",IF(O10=[1]CURSOS!$D$6,"PRIMEROS AUXILIOS ",IF(O10=[1]CURSOS!$D$7,"DIPLOMADO DE UNIDAD DE CUIDADOS INTENSIVOS (UCI)",IF(O10=[1]CURSOS!$D$8,"MODELO DE ATENCION PARA EVENTOS EMERGENTES EN SALUD MENTAL (CODIGO VERDE)",IF(O10=[1]CURSOS!$D$9,"HUMANIZACION EN EL SERVICIO DE LA SALUD Y BUENAS PRACTICAS EN PACIENTE ",IF(O10=[1]CURSOS!$D$10,"CLINICA DE HERIDAS ",IF(O10=[1]CURSOS!$D$11,"TOMA DE CITOLOGIA CERVICO VAGINAL ",IF(O10=[1]CURSOS!$D$12,"SOPORTE CARDIOVASCULAR AVANZADO (ACLS) ",IF(O10=[1]CURSOS!$D$13,"CAMILLERO ",IF(O10=[1]CURSOS!$D$14,"TOMA DE MUESTRAS Y LABORATORIO ",IF(O10=[1]CURSOS!$D$15,"SOPORTE VITAL BASICO (BLS)",IF(O10=[1]CURSOS!$D$16,"ATENCION A VICTIMAS DE VIOLENCIA SEXUAL ",IF(O10=[1]CURSOS!$D$17,"PROGRAMADO AMPLIADO DE INMUNIZACION (PAI - COVID 19)",IF(O10=[1]CURSOS!$D$18,"ATENCION INTEGRAL EN ENFERMEDADES PREVALENTES EN PRIMERA INFANCIA (AIEPI)",IF(O10=[1]CURSOS!$D$19,"ADMINISTRACION DE MEDICAMENTOS, INYECTOLOGIA  Y CANALIZACION ",IF(O10=[1]CURSOS!$D$20,"OPERADOR DE VEHICULOS DE EMERGENCIA (OVE)",IF(O10=[1]CURSOS!$D$21,"INSTITUCIONES AMIGAS DE LA MUJER Y LA INFANCIA (IAMI)",IF(O10=[1]CURSOS!$D$22,"CUIDADO DEL DONANTE DE ORGANOS",IF(O10=[1]CURSOS!$D$23,"ATENCION A VICTIMAS POR VIOLENCIA DE GENERO",IF(O10=[1]CURSOS!$D$24,"IGUALDAD DE GENERO EN LA SALUD",IF(O10=[1]CURSOS!$D$25,"BRIGADA DE EMERGENCIA",IF(O10=[1]CURSOS!$D$26,"MANEJO DEL DOLOR Y CUIDADOS PALIATIVOS",IF(O10=[1]CURSOS!$D$27,"TOMA DE MUESTRAS Y LABORATORIO POCT",IF(O10=[1]CURSOS!$D$28,"IMPLANTE SUBDERMICO DE DISPOSITIVO INTRAUTERINO",IF(O10=[1]CURSOS!$D$29,"SALUD MENTAL",IF(O10=[1]CURSOS!$D$30,"PRIMEROS AUXILIOS PSICOLOGICOS",IF(O10=[1]CURSOS!$D$31,"ATENCION A VICTIMAS POR CONFLICTO ARMADO",IF(O10=[1]CURSOS!$D$32,"MANIPULACION DE ALIMENTOS Y BPM",IF(O10=[1]CURSOS!$D$33,"ATENCION A PERSONAS CON DISCAPACIDAD",IF(O10=[1]CURSOS!$D$34,"CUIDADO INTEGRAL DEL PACIENTE ADULTO",IF(O10=[1]CURSOS!$D$35,"MANEJO DEFENSIVO",IF(O10=[1]CURSOS!$D$36,"SOPORTE CARDIOVASCULAR AVANZADO NEONATAL",IF(O10=[1]CURSOS!$D$37,"SEGURIDAD DEL PACIENTE")))))))))))))))))))))))))))))))))))</f>
        <v xml:space="preserve">ATENCION A VICTIMAS DE ATAQUE CON AGENTES QUIMICOS </v>
      </c>
      <c r="V10" s="71" t="str">
        <f t="shared" si="0"/>
        <v>Diana Esmeralda Mejía Chávez</v>
      </c>
      <c r="W10" s="83" t="str">
        <f t="shared" si="1"/>
        <v>Diana Esmeralda Mejía Chávez</v>
      </c>
      <c r="X10" s="52" t="str">
        <f t="shared" si="2"/>
        <v>Diana Esmeralda Mejía Chávez-1084846331-QUIMICOS</v>
      </c>
    </row>
    <row r="11" spans="1:24" s="55" customFormat="1" x14ac:dyDescent="0.2">
      <c r="A11" s="17">
        <v>10</v>
      </c>
      <c r="B11" s="80">
        <v>1084846331</v>
      </c>
      <c r="C11" s="17" t="s">
        <v>305</v>
      </c>
      <c r="D11" s="17" t="s">
        <v>306</v>
      </c>
      <c r="E11" s="17" t="s">
        <v>143</v>
      </c>
      <c r="F11" s="180" t="s">
        <v>307</v>
      </c>
      <c r="G11" s="171">
        <v>3</v>
      </c>
      <c r="H11" s="171" t="s">
        <v>181</v>
      </c>
      <c r="I11" s="171" t="s">
        <v>450</v>
      </c>
      <c r="J11" s="172">
        <v>45506</v>
      </c>
      <c r="K11" s="181">
        <v>30000</v>
      </c>
      <c r="L11" s="182" t="s">
        <v>322</v>
      </c>
      <c r="M11" s="171" t="s">
        <v>86</v>
      </c>
      <c r="N11" s="171" t="s">
        <v>308</v>
      </c>
      <c r="O11" s="183" t="s">
        <v>23</v>
      </c>
      <c r="P11" s="18">
        <v>32087</v>
      </c>
      <c r="Q11" s="121" t="s">
        <v>309</v>
      </c>
      <c r="R11" s="17" t="s">
        <v>432</v>
      </c>
      <c r="S11" s="82">
        <v>3156962644</v>
      </c>
      <c r="T11" s="37" t="s">
        <v>310</v>
      </c>
      <c r="U11" s="71" t="str">
        <f>IF(O11=[1]CURSOS!$D$3,"DIPLOMADO EN ATENCION PRE-HOSPITALARIA",IF(O11=[1]CURSOS!$D$4,"ACOMPAÑAMIENTO Y MANEJO DEL DUELO",IF(O11=[1]CURSOS!$D$5,"ATENCION A VICTIMAS DE ATAQUE CON AGENTES QUIMICOS ",IF(O11=[1]CURSOS!$D$6,"PRIMEROS AUXILIOS ",IF(O11=[1]CURSOS!$D$7,"DIPLOMADO DE UNIDAD DE CUIDADOS INTENSIVOS (UCI)",IF(O11=[1]CURSOS!$D$8,"MODELO DE ATENCION PARA EVENTOS EMERGENTES EN SALUD MENTAL (CODIGO VERDE)",IF(O11=[1]CURSOS!$D$9,"HUMANIZACION EN EL SERVICIO DE LA SALUD Y BUENAS PRACTICAS EN PACIENTE ",IF(O11=[1]CURSOS!$D$10,"CLINICA DE HERIDAS ",IF(O11=[1]CURSOS!$D$11,"TOMA DE CITOLOGIA CERVICO VAGINAL ",IF(O11=[1]CURSOS!$D$12,"SOPORTE CARDIOVASCULAR AVANZADO (ACLS) ",IF(O11=[1]CURSOS!$D$13,"CAMILLERO ",IF(O11=[1]CURSOS!$D$14,"TOMA DE MUESTRAS Y LABORATORIO ",IF(O11=[1]CURSOS!$D$15,"SOPORTE VITAL BASICO (BLS)",IF(O11=[1]CURSOS!$D$16,"ATENCION A VICTIMAS DE VIOLENCIA SEXUAL ",IF(O11=[1]CURSOS!$D$17,"PROGRAMADO AMPLIADO DE INMUNIZACION (PAI - COVID 19)",IF(O11=[1]CURSOS!$D$18,"ATENCION INTEGRAL EN ENFERMEDADES PREVALENTES EN PRIMERA INFANCIA (AIEPI)",IF(O11=[1]CURSOS!$D$19,"ADMINISTRACION DE MEDICAMENTOS, INYECTOLOGIA  Y CANALIZACION ",IF(O11=[1]CURSOS!$D$20,"OPERADOR DE VEHICULOS DE EMERGENCIA (OVE)",IF(O11=[1]CURSOS!$D$21,"INSTITUCIONES AMIGAS DE LA MUJER Y LA INFANCIA (IAMI)",IF(O11=[1]CURSOS!$D$22,"CUIDADO DEL DONANTE DE ORGANOS",IF(O11=[1]CURSOS!$D$23,"ATENCION A VICTIMAS POR VIOLENCIA DE GENERO",IF(O11=[1]CURSOS!$D$24,"IGUALDAD DE GENERO EN LA SALUD",IF(O11=[1]CURSOS!$D$25,"BRIGADA DE EMERGENCIA",IF(O11=[1]CURSOS!$D$26,"MANEJO DEL DOLOR Y CUIDADOS PALIATIVOS",IF(O11=[1]CURSOS!$D$27,"TOMA DE MUESTRAS Y LABORATORIO POCT",IF(O11=[1]CURSOS!$D$28,"IMPLANTE SUBDERMICO DE DISPOSITIVO INTRAUTERINO",IF(O11=[1]CURSOS!$D$29,"SALUD MENTAL",IF(O11=[1]CURSOS!$D$30,"PRIMEROS AUXILIOS PSICOLOGICOS",IF(O11=[1]CURSOS!$D$31,"ATENCION A VICTIMAS POR CONFLICTO ARMADO",IF(O11=[1]CURSOS!$D$32,"MANIPULACION DE ALIMENTOS Y BPM",IF(O11=[1]CURSOS!$D$33,"ATENCION A PERSONAS CON DISCAPACIDAD",IF(O11=[1]CURSOS!$D$34,"CUIDADO INTEGRAL DEL PACIENTE ADULTO",IF(O11=[1]CURSOS!$D$35,"MANEJO DEFENSIVO",IF(O11=[1]CURSOS!$D$36,"SOPORTE CARDIOVASCULAR AVANZADO NEONATAL",IF(O11=[1]CURSOS!$D$37,"SEGURIDAD DEL PACIENTE")))))))))))))))))))))))))))))))))))</f>
        <v>ACOMPAÑAMIENTO Y MANEJO DEL DUELO</v>
      </c>
      <c r="V11" s="71" t="str">
        <f t="shared" si="0"/>
        <v>Diana Esmeralda Mejía Chávez</v>
      </c>
      <c r="W11" s="83" t="str">
        <f t="shared" si="1"/>
        <v>Diana Esmeralda Mejía Chávez</v>
      </c>
      <c r="X11" s="52" t="str">
        <f t="shared" si="2"/>
        <v>Diana Esmeralda Mejía Chávez-1084846331-DUELO</v>
      </c>
    </row>
    <row r="12" spans="1:24" s="55" customFormat="1" x14ac:dyDescent="0.2">
      <c r="A12" s="17">
        <v>11</v>
      </c>
      <c r="B12" s="80">
        <v>1004134227</v>
      </c>
      <c r="C12" s="17" t="s">
        <v>311</v>
      </c>
      <c r="D12" s="17" t="s">
        <v>92</v>
      </c>
      <c r="E12" s="17" t="s">
        <v>101</v>
      </c>
      <c r="F12" s="180" t="s">
        <v>312</v>
      </c>
      <c r="G12" s="171">
        <v>1</v>
      </c>
      <c r="H12" s="171" t="s">
        <v>181</v>
      </c>
      <c r="I12" s="171" t="s">
        <v>450</v>
      </c>
      <c r="J12" s="182">
        <v>45505</v>
      </c>
      <c r="K12" s="181">
        <v>50000</v>
      </c>
      <c r="L12" s="182" t="s">
        <v>322</v>
      </c>
      <c r="M12" s="171" t="s">
        <v>86</v>
      </c>
      <c r="N12" s="171" t="s">
        <v>313</v>
      </c>
      <c r="O12" s="183" t="s">
        <v>19</v>
      </c>
      <c r="P12" s="18">
        <v>36552</v>
      </c>
      <c r="Q12" s="121" t="s">
        <v>316</v>
      </c>
      <c r="R12" s="17" t="s">
        <v>315</v>
      </c>
      <c r="S12" s="82">
        <v>3133878709</v>
      </c>
      <c r="T12" s="37" t="s">
        <v>314</v>
      </c>
      <c r="U12" s="71" t="str">
        <f>IF(O12=[1]CURSOS!$D$3,"DIPLOMADO EN ATENCION PRE-HOSPITALARIA",IF(O12=[1]CURSOS!$D$4,"ACOMPAÑAMIENTO Y MANEJO DEL DUELO",IF(O12=[1]CURSOS!$D$5,"ATENCION A VICTIMAS DE ATAQUE CON AGENTES QUIMICOS ",IF(O12=[1]CURSOS!$D$6,"PRIMEROS AUXILIOS ",IF(O12=[1]CURSOS!$D$7,"DIPLOMADO DE UNIDAD DE CUIDADOS INTENSIVOS (UCI)",IF(O12=[1]CURSOS!$D$8,"MODELO DE ATENCION PARA EVENTOS EMERGENTES EN SALUD MENTAL (CODIGO VERDE)",IF(O12=[1]CURSOS!$D$9,"HUMANIZACION EN EL SERVICIO DE LA SALUD Y BUENAS PRACTICAS EN PACIENTE ",IF(O12=[1]CURSOS!$D$10,"CLINICA DE HERIDAS ",IF(O12=[1]CURSOS!$D$11,"TOMA DE CITOLOGIA CERVICO VAGINAL ",IF(O12=[1]CURSOS!$D$12,"SOPORTE CARDIOVASCULAR AVANZADO (ACLS) ",IF(O12=[1]CURSOS!$D$13,"CAMILLERO ",IF(O12=[1]CURSOS!$D$14,"TOMA DE MUESTRAS Y LABORATORIO ",IF(O12=[1]CURSOS!$D$15,"SOPORTE VITAL BASICO (BLS)",IF(O12=[1]CURSOS!$D$16,"ATENCION A VICTIMAS DE VIOLENCIA SEXUAL ",IF(O12=[1]CURSOS!$D$17,"PROGRAMADO AMPLIADO DE INMUNIZACION (PAI - COVID 19)",IF(O12=[1]CURSOS!$D$18,"ATENCION INTEGRAL EN ENFERMEDADES PREVALENTES EN PRIMERA INFANCIA (AIEPI)",IF(O12=[1]CURSOS!$D$19,"ADMINISTRACION DE MEDICAMENTOS, INYECTOLOGIA  Y CANALIZACION ",IF(O12=[1]CURSOS!$D$20,"OPERADOR DE VEHICULOS DE EMERGENCIA (OVE)",IF(O12=[1]CURSOS!$D$21,"INSTITUCIONES AMIGAS DE LA MUJER Y LA INFANCIA (IAMI)",IF(O12=[1]CURSOS!$D$22,"CUIDADO DEL DONANTE DE ORGANOS",IF(O12=[1]CURSOS!$D$23,"ATENCION A VICTIMAS POR VIOLENCIA DE GENERO",IF(O12=[1]CURSOS!$D$24,"IGUALDAD DE GENERO EN LA SALUD",IF(O12=[1]CURSOS!$D$25,"BRIGADA DE EMERGENCIA",IF(O12=[1]CURSOS!$D$26,"MANEJO DEL DOLOR Y CUIDADOS PALIATIVOS",IF(O12=[1]CURSOS!$D$27,"TOMA DE MUESTRAS Y LABORATORIO POCT",IF(O12=[1]CURSOS!$D$28,"IMPLANTE SUBDERMICO DE DISPOSITIVO INTRAUTERINO",IF(O12=[1]CURSOS!$D$29,"SALUD MENTAL",IF(O12=[1]CURSOS!$D$30,"PRIMEROS AUXILIOS PSICOLOGICOS",IF(O12=[1]CURSOS!$D$31,"ATENCION A VICTIMAS POR CONFLICTO ARMADO",IF(O12=[1]CURSOS!$D$32,"MANIPULACION DE ALIMENTOS Y BPM",IF(O12=[1]CURSOS!$D$33,"ATENCION A PERSONAS CON DISCAPACIDAD",IF(O12=[1]CURSOS!$D$34,"CUIDADO INTEGRAL DEL PACIENTE ADULTO",IF(O12=[1]CURSOS!$D$35,"MANEJO DEFENSIVO",IF(O12=[1]CURSOS!$D$36,"SOPORTE CARDIOVASCULAR AVANZADO NEONATAL",IF(O12=[1]CURSOS!$D$37,"SEGURIDAD DEL PACIENTE")))))))))))))))))))))))))))))))))))</f>
        <v>SOPORTE VITAL BASICO (BLS)</v>
      </c>
      <c r="V12" s="71" t="str">
        <f t="shared" si="0"/>
        <v>Luis Carlos Tulcanas Rosero</v>
      </c>
      <c r="W12" s="83" t="str">
        <f t="shared" si="1"/>
        <v>Luis Carlos Tulcanas Rosero</v>
      </c>
      <c r="X12" s="52" t="str">
        <f t="shared" si="2"/>
        <v>Luis Carlos Tulcanas Rosero-1004134227-BLS</v>
      </c>
    </row>
    <row r="13" spans="1:24" s="55" customFormat="1" x14ac:dyDescent="0.2">
      <c r="A13" s="17">
        <v>12</v>
      </c>
      <c r="B13" s="80">
        <v>59796355</v>
      </c>
      <c r="C13" s="17" t="s">
        <v>317</v>
      </c>
      <c r="D13" s="17" t="s">
        <v>318</v>
      </c>
      <c r="E13" s="17" t="s">
        <v>319</v>
      </c>
      <c r="F13" s="180" t="s">
        <v>219</v>
      </c>
      <c r="G13" s="171">
        <v>1</v>
      </c>
      <c r="H13" s="171" t="s">
        <v>181</v>
      </c>
      <c r="I13" s="171" t="s">
        <v>450</v>
      </c>
      <c r="J13" s="182">
        <v>45505</v>
      </c>
      <c r="K13" s="181">
        <v>25000</v>
      </c>
      <c r="L13" s="182" t="s">
        <v>322</v>
      </c>
      <c r="M13" s="171" t="s">
        <v>86</v>
      </c>
      <c r="N13" s="171" t="s">
        <v>320</v>
      </c>
      <c r="O13" s="183" t="s">
        <v>19</v>
      </c>
      <c r="P13" s="18">
        <v>29367</v>
      </c>
      <c r="Q13" s="121" t="s">
        <v>309</v>
      </c>
      <c r="R13" s="17" t="s">
        <v>315</v>
      </c>
      <c r="S13" s="82">
        <v>3137952479</v>
      </c>
      <c r="T13" s="37" t="s">
        <v>321</v>
      </c>
      <c r="U13" s="71" t="str">
        <f>IF(O13=[1]CURSOS!$D$3,"DIPLOMADO EN ATENCION PRE-HOSPITALARIA",IF(O13=[1]CURSOS!$D$4,"ACOMPAÑAMIENTO Y MANEJO DEL DUELO",IF(O13=[1]CURSOS!$D$5,"ATENCION A VICTIMAS DE ATAQUE CON AGENTES QUIMICOS ",IF(O13=[1]CURSOS!$D$6,"PRIMEROS AUXILIOS ",IF(O13=[1]CURSOS!$D$7,"DIPLOMADO DE UNIDAD DE CUIDADOS INTENSIVOS (UCI)",IF(O13=[1]CURSOS!$D$8,"MODELO DE ATENCION PARA EVENTOS EMERGENTES EN SALUD MENTAL (CODIGO VERDE)",IF(O13=[1]CURSOS!$D$9,"HUMANIZACION EN EL SERVICIO DE LA SALUD Y BUENAS PRACTICAS EN PACIENTE ",IF(O13=[1]CURSOS!$D$10,"CLINICA DE HERIDAS ",IF(O13=[1]CURSOS!$D$11,"TOMA DE CITOLOGIA CERVICO VAGINAL ",IF(O13=[1]CURSOS!$D$12,"SOPORTE CARDIOVASCULAR AVANZADO (ACLS) ",IF(O13=[1]CURSOS!$D$13,"CAMILLERO ",IF(O13=[1]CURSOS!$D$14,"TOMA DE MUESTRAS Y LABORATORIO ",IF(O13=[1]CURSOS!$D$15,"SOPORTE VITAL BASICO (BLS)",IF(O13=[1]CURSOS!$D$16,"ATENCION A VICTIMAS DE VIOLENCIA SEXUAL ",IF(O13=[1]CURSOS!$D$17,"PROGRAMADO AMPLIADO DE INMUNIZACION (PAI - COVID 19)",IF(O13=[1]CURSOS!$D$18,"ATENCION INTEGRAL EN ENFERMEDADES PREVALENTES EN PRIMERA INFANCIA (AIEPI)",IF(O13=[1]CURSOS!$D$19,"ADMINISTRACION DE MEDICAMENTOS, INYECTOLOGIA  Y CANALIZACION ",IF(O13=[1]CURSOS!$D$20,"OPERADOR DE VEHICULOS DE EMERGENCIA (OVE)",IF(O13=[1]CURSOS!$D$21,"INSTITUCIONES AMIGAS DE LA MUJER Y LA INFANCIA (IAMI)",IF(O13=[1]CURSOS!$D$22,"CUIDADO DEL DONANTE DE ORGANOS",IF(O13=[1]CURSOS!$D$23,"ATENCION A VICTIMAS POR VIOLENCIA DE GENERO",IF(O13=[1]CURSOS!$D$24,"IGUALDAD DE GENERO EN LA SALUD",IF(O13=[1]CURSOS!$D$25,"BRIGADA DE EMERGENCIA",IF(O13=[1]CURSOS!$D$26,"MANEJO DEL DOLOR Y CUIDADOS PALIATIVOS",IF(O13=[1]CURSOS!$D$27,"TOMA DE MUESTRAS Y LABORATORIO POCT",IF(O13=[1]CURSOS!$D$28,"IMPLANTE SUBDERMICO DE DISPOSITIVO INTRAUTERINO",IF(O13=[1]CURSOS!$D$29,"SALUD MENTAL",IF(O13=[1]CURSOS!$D$30,"PRIMEROS AUXILIOS PSICOLOGICOS",IF(O13=[1]CURSOS!$D$31,"ATENCION A VICTIMAS POR CONFLICTO ARMADO",IF(O13=[1]CURSOS!$D$32,"MANIPULACION DE ALIMENTOS Y BPM",IF(O13=[1]CURSOS!$D$33,"ATENCION A PERSONAS CON DISCAPACIDAD",IF(O13=[1]CURSOS!$D$34,"CUIDADO INTEGRAL DEL PACIENTE ADULTO",IF(O13=[1]CURSOS!$D$35,"MANEJO DEFENSIVO",IF(O13=[1]CURSOS!$D$36,"SOPORTE CARDIOVASCULAR AVANZADO NEONATAL",IF(O13=[1]CURSOS!$D$37,"SEGURIDAD DEL PACIENTE")))))))))))))))))))))))))))))))))))</f>
        <v>SOPORTE VITAL BASICO (BLS)</v>
      </c>
      <c r="V13" s="71" t="str">
        <f t="shared" si="0"/>
        <v>Claudia Sonia Morales Melo</v>
      </c>
      <c r="W13" s="83" t="str">
        <f t="shared" si="1"/>
        <v>Claudia Sonia Morales Melo</v>
      </c>
      <c r="X13" s="52" t="str">
        <f t="shared" si="2"/>
        <v>Claudia Sonia Morales Melo-59796355-BLS</v>
      </c>
    </row>
    <row r="14" spans="1:24" s="55" customFormat="1" x14ac:dyDescent="0.2">
      <c r="A14" s="17">
        <v>13</v>
      </c>
      <c r="B14" s="80">
        <v>59796355</v>
      </c>
      <c r="C14" s="17" t="s">
        <v>317</v>
      </c>
      <c r="D14" s="17" t="s">
        <v>318</v>
      </c>
      <c r="E14" s="17" t="s">
        <v>319</v>
      </c>
      <c r="F14" s="180" t="s">
        <v>219</v>
      </c>
      <c r="G14" s="171">
        <v>1</v>
      </c>
      <c r="H14" s="171" t="s">
        <v>181</v>
      </c>
      <c r="I14" s="171" t="s">
        <v>450</v>
      </c>
      <c r="J14" s="182">
        <v>45505</v>
      </c>
      <c r="K14" s="181">
        <v>25000</v>
      </c>
      <c r="L14" s="182" t="s">
        <v>322</v>
      </c>
      <c r="M14" s="171" t="s">
        <v>86</v>
      </c>
      <c r="N14" s="171" t="s">
        <v>320</v>
      </c>
      <c r="O14" s="183" t="s">
        <v>43</v>
      </c>
      <c r="P14" s="18">
        <v>29367</v>
      </c>
      <c r="Q14" s="121" t="s">
        <v>309</v>
      </c>
      <c r="R14" s="17" t="s">
        <v>315</v>
      </c>
      <c r="S14" s="82">
        <v>3137952479</v>
      </c>
      <c r="T14" s="37" t="s">
        <v>321</v>
      </c>
      <c r="U14" s="71" t="str">
        <f>IF(O14=[1]CURSOS!$D$3,"DIPLOMADO EN ATENCION PRE-HOSPITALARIA",IF(O14=[1]CURSOS!$D$4,"ACOMPAÑAMIENTO Y MANEJO DEL DUELO",IF(O14=[1]CURSOS!$D$5,"ATENCION A VICTIMAS DE ATAQUE CON AGENTES QUIMICOS ",IF(O14=[1]CURSOS!$D$6,"PRIMEROS AUXILIOS ",IF(O14=[1]CURSOS!$D$7,"DIPLOMADO DE UNIDAD DE CUIDADOS INTENSIVOS (UCI)",IF(O14=[1]CURSOS!$D$8,"MODELO DE ATENCION PARA EVENTOS EMERGENTES EN SALUD MENTAL (CODIGO VERDE)",IF(O14=[1]CURSOS!$D$9,"HUMANIZACION EN EL SERVICIO DE LA SALUD Y BUENAS PRACTICAS EN PACIENTE ",IF(O14=[1]CURSOS!$D$10,"CLINICA DE HERIDAS ",IF(O14=[1]CURSOS!$D$11,"TOMA DE CITOLOGIA CERVICO VAGINAL ",IF(O14=[1]CURSOS!$D$12,"SOPORTE CARDIOVASCULAR AVANZADO (ACLS) ",IF(O14=[1]CURSOS!$D$13,"CAMILLERO ",IF(O14=[1]CURSOS!$D$14,"TOMA DE MUESTRAS Y LABORATORIO ",IF(O14=[1]CURSOS!$D$15,"SOPORTE VITAL BASICO (BLS)",IF(O14=[1]CURSOS!$D$16,"ATENCION A VICTIMAS DE VIOLENCIA SEXUAL ",IF(O14=[1]CURSOS!$D$17,"PROGRAMADO AMPLIADO DE INMUNIZACION (PAI - COVID 19)",IF(O14=[1]CURSOS!$D$18,"ATENCION INTEGRAL EN ENFERMEDADES PREVALENTES EN PRIMERA INFANCIA (AIEPI)",IF(O14=[1]CURSOS!$D$19,"ADMINISTRACION DE MEDICAMENTOS, INYECTOLOGIA  Y CANALIZACION ",IF(O14=[1]CURSOS!$D$20,"OPERADOR DE VEHICULOS DE EMERGENCIA (OVE)",IF(O14=[1]CURSOS!$D$21,"INSTITUCIONES AMIGAS DE LA MUJER Y LA INFANCIA (IAMI)",IF(O14=[1]CURSOS!$D$22,"CUIDADO DEL DONANTE DE ORGANOS",IF(O14=[1]CURSOS!$D$23,"ATENCION A VICTIMAS POR VIOLENCIA DE GENERO",IF(O14=[1]CURSOS!$D$24,"IGUALDAD DE GENERO EN LA SALUD",IF(O14=[1]CURSOS!$D$25,"BRIGADA DE EMERGENCIA",IF(O14=[1]CURSOS!$D$26,"MANEJO DEL DOLOR Y CUIDADOS PALIATIVOS",IF(O14=[1]CURSOS!$D$27,"TOMA DE MUESTRAS Y LABORATORIO POCT",IF(O14=[1]CURSOS!$D$28,"IMPLANTE SUBDERMICO DE DISPOSITIVO INTRAUTERINO",IF(O14=[1]CURSOS!$D$29,"SALUD MENTAL",IF(O14=[1]CURSOS!$D$30,"PRIMEROS AUXILIOS PSICOLOGICOS",IF(O14=[1]CURSOS!$D$31,"ATENCION A VICTIMAS POR CONFLICTO ARMADO",IF(O14=[1]CURSOS!$D$32,"MANIPULACION DE ALIMENTOS Y BPM",IF(O14=[1]CURSOS!$D$33,"ATENCION A PERSONAS CON DISCAPACIDAD",IF(O14=[1]CURSOS!$D$34,"CUIDADO INTEGRAL DEL PACIENTE ADULTO",IF(O14=[1]CURSOS!$D$35,"MANEJO DEFENSIVO",IF(O14=[1]CURSOS!$D$36,"SOPORTE CARDIOVASCULAR AVANZADO NEONATAL",IF(O14=[1]CURSOS!$D$37,"SEGURIDAD DEL PACIENTE")))))))))))))))))))))))))))))))))))</f>
        <v xml:space="preserve">ATENCION A VICTIMAS DE VIOLENCIA SEXUAL </v>
      </c>
      <c r="V14" s="71" t="str">
        <f t="shared" si="0"/>
        <v>Claudia Sonia Morales Melo</v>
      </c>
      <c r="W14" s="83" t="str">
        <f t="shared" si="1"/>
        <v>Claudia Sonia Morales Melo</v>
      </c>
      <c r="X14" s="52" t="str">
        <f t="shared" si="2"/>
        <v>Claudia Sonia Morales Melo-59796355-VIOLENCIA SEXUAL</v>
      </c>
    </row>
    <row r="15" spans="1:24" s="55" customFormat="1" x14ac:dyDescent="0.2">
      <c r="A15" s="17">
        <v>14</v>
      </c>
      <c r="B15" s="80">
        <v>59796355</v>
      </c>
      <c r="C15" s="17" t="s">
        <v>317</v>
      </c>
      <c r="D15" s="17" t="s">
        <v>318</v>
      </c>
      <c r="E15" s="17" t="s">
        <v>319</v>
      </c>
      <c r="F15" s="180" t="s">
        <v>219</v>
      </c>
      <c r="G15" s="171">
        <v>1</v>
      </c>
      <c r="H15" s="171" t="s">
        <v>181</v>
      </c>
      <c r="I15" s="171" t="s">
        <v>450</v>
      </c>
      <c r="J15" s="182">
        <v>45505</v>
      </c>
      <c r="K15" s="181">
        <v>25000</v>
      </c>
      <c r="L15" s="182" t="s">
        <v>322</v>
      </c>
      <c r="M15" s="171" t="s">
        <v>86</v>
      </c>
      <c r="N15" s="171" t="s">
        <v>320</v>
      </c>
      <c r="O15" s="183" t="s">
        <v>61</v>
      </c>
      <c r="P15" s="18">
        <v>29367</v>
      </c>
      <c r="Q15" s="121" t="s">
        <v>309</v>
      </c>
      <c r="R15" s="17" t="s">
        <v>315</v>
      </c>
      <c r="S15" s="82">
        <v>3137952479</v>
      </c>
      <c r="T15" s="37" t="s">
        <v>321</v>
      </c>
      <c r="U15" s="71" t="str">
        <f>IF(O15=[1]CURSOS!$D$3,"DIPLOMADO EN ATENCION PRE-HOSPITALARIA",IF(O15=[1]CURSOS!$D$4,"ACOMPAÑAMIENTO Y MANEJO DEL DUELO",IF(O15=[1]CURSOS!$D$5,"ATENCION A VICTIMAS DE ATAQUE CON AGENTES QUIMICOS ",IF(O15=[1]CURSOS!$D$6,"PRIMEROS AUXILIOS ",IF(O15=[1]CURSOS!$D$7,"DIPLOMADO DE UNIDAD DE CUIDADOS INTENSIVOS (UCI)",IF(O15=[1]CURSOS!$D$8,"MODELO DE ATENCION PARA EVENTOS EMERGENTES EN SALUD MENTAL (CODIGO VERDE)",IF(O15=[1]CURSOS!$D$9,"HUMANIZACION EN EL SERVICIO DE LA SALUD Y BUENAS PRACTICAS EN PACIENTE ",IF(O15=[1]CURSOS!$D$10,"CLINICA DE HERIDAS ",IF(O15=[1]CURSOS!$D$11,"TOMA DE CITOLOGIA CERVICO VAGINAL ",IF(O15=[1]CURSOS!$D$12,"SOPORTE CARDIOVASCULAR AVANZADO (ACLS) ",IF(O15=[1]CURSOS!$D$13,"CAMILLERO ",IF(O15=[1]CURSOS!$D$14,"TOMA DE MUESTRAS Y LABORATORIO ",IF(O15=[1]CURSOS!$D$15,"SOPORTE VITAL BASICO (BLS)",IF(O15=[1]CURSOS!$D$16,"ATENCION A VICTIMAS DE VIOLENCIA SEXUAL ",IF(O15=[1]CURSOS!$D$17,"PROGRAMADO AMPLIADO DE INMUNIZACION (PAI - COVID 19)",IF(O15=[1]CURSOS!$D$18,"ATENCION INTEGRAL EN ENFERMEDADES PREVALENTES EN PRIMERA INFANCIA (AIEPI)",IF(O15=[1]CURSOS!$D$19,"ADMINISTRACION DE MEDICAMENTOS, INYECTOLOGIA  Y CANALIZACION ",IF(O15=[1]CURSOS!$D$20,"OPERADOR DE VEHICULOS DE EMERGENCIA (OVE)",IF(O15=[1]CURSOS!$D$21,"INSTITUCIONES AMIGAS DE LA MUJER Y LA INFANCIA (IAMI)",IF(O15=[1]CURSOS!$D$22,"CUIDADO DEL DONANTE DE ORGANOS",IF(O15=[1]CURSOS!$D$23,"ATENCION A VICTIMAS POR VIOLENCIA DE GENERO",IF(O15=[1]CURSOS!$D$24,"IGUALDAD DE GENERO EN LA SALUD",IF(O15=[1]CURSOS!$D$25,"BRIGADA DE EMERGENCIA",IF(O15=[1]CURSOS!$D$26,"MANEJO DEL DOLOR Y CUIDADOS PALIATIVOS",IF(O15=[1]CURSOS!$D$27,"TOMA DE MUESTRAS Y LABORATORIO POCT",IF(O15=[1]CURSOS!$D$28,"IMPLANTE SUBDERMICO DE DISPOSITIVO INTRAUTERINO",IF(O15=[1]CURSOS!$D$29,"SALUD MENTAL",IF(O15=[1]CURSOS!$D$30,"PRIMEROS AUXILIOS PSICOLOGICOS",IF(O15=[1]CURSOS!$D$31,"ATENCION A VICTIMAS POR CONFLICTO ARMADO",IF(O15=[1]CURSOS!$D$32,"MANIPULACION DE ALIMENTOS Y BPM",IF(O15=[1]CURSOS!$D$33,"ATENCION A PERSONAS CON DISCAPACIDAD",IF(O15=[1]CURSOS!$D$34,"CUIDADO INTEGRAL DEL PACIENTE ADULTO",IF(O15=[1]CURSOS!$D$35,"MANEJO DEFENSIVO",IF(O15=[1]CURSOS!$D$36,"SOPORTE CARDIOVASCULAR AVANZADO NEONATAL",IF(O15=[1]CURSOS!$D$37,"SEGURIDAD DEL PACIENTE")))))))))))))))))))))))))))))))))))</f>
        <v>MANEJO DEL DOLOR Y CUIDADOS PALIATIVOS</v>
      </c>
      <c r="V15" s="71" t="str">
        <f t="shared" si="0"/>
        <v>Claudia Sonia Morales Melo</v>
      </c>
      <c r="W15" s="83" t="str">
        <f t="shared" si="1"/>
        <v>Claudia Sonia Morales Melo</v>
      </c>
      <c r="X15" s="52" t="str">
        <f t="shared" si="2"/>
        <v>Claudia Sonia Morales Melo-59796355-PALIATIVOS</v>
      </c>
    </row>
    <row r="16" spans="1:24" s="55" customFormat="1" x14ac:dyDescent="0.2">
      <c r="A16" s="17">
        <v>15</v>
      </c>
      <c r="B16" s="80">
        <v>59796355</v>
      </c>
      <c r="C16" s="17" t="s">
        <v>317</v>
      </c>
      <c r="D16" s="17" t="s">
        <v>318</v>
      </c>
      <c r="E16" s="17" t="s">
        <v>319</v>
      </c>
      <c r="F16" s="180" t="s">
        <v>219</v>
      </c>
      <c r="G16" s="171">
        <v>1</v>
      </c>
      <c r="H16" s="171" t="s">
        <v>181</v>
      </c>
      <c r="I16" s="171" t="s">
        <v>450</v>
      </c>
      <c r="J16" s="182">
        <v>45505</v>
      </c>
      <c r="K16" s="181">
        <v>25000</v>
      </c>
      <c r="L16" s="182" t="s">
        <v>322</v>
      </c>
      <c r="M16" s="171" t="s">
        <v>86</v>
      </c>
      <c r="N16" s="171" t="s">
        <v>320</v>
      </c>
      <c r="O16" s="183" t="s">
        <v>25</v>
      </c>
      <c r="P16" s="18">
        <v>29367</v>
      </c>
      <c r="Q16" s="121" t="s">
        <v>309</v>
      </c>
      <c r="R16" s="17" t="s">
        <v>315</v>
      </c>
      <c r="S16" s="82">
        <v>3137952479</v>
      </c>
      <c r="T16" s="37" t="s">
        <v>321</v>
      </c>
      <c r="U16" s="71" t="str">
        <f>IF(O16=[1]CURSOS!$D$3,"DIPLOMADO EN ATENCION PRE-HOSPITALARIA",IF(O16=[1]CURSOS!$D$4,"ACOMPAÑAMIENTO Y MANEJO DEL DUELO",IF(O16=[1]CURSOS!$D$5,"ATENCION A VICTIMAS DE ATAQUE CON AGENTES QUIMICOS ",IF(O16=[1]CURSOS!$D$6,"PRIMEROS AUXILIOS ",IF(O16=[1]CURSOS!$D$7,"DIPLOMADO DE UNIDAD DE CUIDADOS INTENSIVOS (UCI)",IF(O16=[1]CURSOS!$D$8,"MODELO DE ATENCION PARA EVENTOS EMERGENTES EN SALUD MENTAL (CODIGO VERDE)",IF(O16=[1]CURSOS!$D$9,"HUMANIZACION EN EL SERVICIO DE LA SALUD Y BUENAS PRACTICAS EN PACIENTE ",IF(O16=[1]CURSOS!$D$10,"CLINICA DE HERIDAS ",IF(O16=[1]CURSOS!$D$11,"TOMA DE CITOLOGIA CERVICO VAGINAL ",IF(O16=[1]CURSOS!$D$12,"SOPORTE CARDIOVASCULAR AVANZADO (ACLS) ",IF(O16=[1]CURSOS!$D$13,"CAMILLERO ",IF(O16=[1]CURSOS!$D$14,"TOMA DE MUESTRAS Y LABORATORIO ",IF(O16=[1]CURSOS!$D$15,"SOPORTE VITAL BASICO (BLS)",IF(O16=[1]CURSOS!$D$16,"ATENCION A VICTIMAS DE VIOLENCIA SEXUAL ",IF(O16=[1]CURSOS!$D$17,"PROGRAMADO AMPLIADO DE INMUNIZACION (PAI - COVID 19)",IF(O16=[1]CURSOS!$D$18,"ATENCION INTEGRAL EN ENFERMEDADES PREVALENTES EN PRIMERA INFANCIA (AIEPI)",IF(O16=[1]CURSOS!$D$19,"ADMINISTRACION DE MEDICAMENTOS, INYECTOLOGIA  Y CANALIZACION ",IF(O16=[1]CURSOS!$D$20,"OPERADOR DE VEHICULOS DE EMERGENCIA (OVE)",IF(O16=[1]CURSOS!$D$21,"INSTITUCIONES AMIGAS DE LA MUJER Y LA INFANCIA (IAMI)",IF(O16=[1]CURSOS!$D$22,"CUIDADO DEL DONANTE DE ORGANOS",IF(O16=[1]CURSOS!$D$23,"ATENCION A VICTIMAS POR VIOLENCIA DE GENERO",IF(O16=[1]CURSOS!$D$24,"IGUALDAD DE GENERO EN LA SALUD",IF(O16=[1]CURSOS!$D$25,"BRIGADA DE EMERGENCIA",IF(O16=[1]CURSOS!$D$26,"MANEJO DEL DOLOR Y CUIDADOS PALIATIVOS",IF(O16=[1]CURSOS!$D$27,"TOMA DE MUESTRAS Y LABORATORIO POCT",IF(O16=[1]CURSOS!$D$28,"IMPLANTE SUBDERMICO DE DISPOSITIVO INTRAUTERINO",IF(O16=[1]CURSOS!$D$29,"SALUD MENTAL",IF(O16=[1]CURSOS!$D$30,"PRIMEROS AUXILIOS PSICOLOGICOS",IF(O16=[1]CURSOS!$D$31,"ATENCION A VICTIMAS POR CONFLICTO ARMADO",IF(O16=[1]CURSOS!$D$32,"MANIPULACION DE ALIMENTOS Y BPM",IF(O16=[1]CURSOS!$D$33,"ATENCION A PERSONAS CON DISCAPACIDAD",IF(O16=[1]CURSOS!$D$34,"CUIDADO INTEGRAL DEL PACIENTE ADULTO",IF(O16=[1]CURSOS!$D$35,"MANEJO DEFENSIVO",IF(O16=[1]CURSOS!$D$36,"SOPORTE CARDIOVASCULAR AVANZADO NEONATAL",IF(O16=[1]CURSOS!$D$37,"SEGURIDAD DEL PACIENTE")))))))))))))))))))))))))))))))))))</f>
        <v xml:space="preserve">ATENCION A VICTIMAS DE ATAQUE CON AGENTES QUIMICOS </v>
      </c>
      <c r="V16" s="71" t="str">
        <f t="shared" si="0"/>
        <v>Claudia Sonia Morales Melo</v>
      </c>
      <c r="W16" s="83" t="str">
        <f t="shared" si="1"/>
        <v>Claudia Sonia Morales Melo</v>
      </c>
      <c r="X16" s="52" t="str">
        <f t="shared" si="2"/>
        <v>Claudia Sonia Morales Melo-59796355-QUIMICOS</v>
      </c>
    </row>
    <row r="17" spans="1:24" s="55" customFormat="1" x14ac:dyDescent="0.2">
      <c r="A17" s="17">
        <v>16</v>
      </c>
      <c r="B17" s="80">
        <v>59796355</v>
      </c>
      <c r="C17" s="17" t="s">
        <v>317</v>
      </c>
      <c r="D17" s="17" t="s">
        <v>318</v>
      </c>
      <c r="E17" s="17" t="s">
        <v>319</v>
      </c>
      <c r="F17" s="180" t="s">
        <v>219</v>
      </c>
      <c r="G17" s="171">
        <v>1</v>
      </c>
      <c r="H17" s="171" t="s">
        <v>181</v>
      </c>
      <c r="I17" s="171" t="s">
        <v>450</v>
      </c>
      <c r="J17" s="182">
        <v>45505</v>
      </c>
      <c r="K17" s="181">
        <v>25000</v>
      </c>
      <c r="L17" s="182" t="s">
        <v>322</v>
      </c>
      <c r="M17" s="171" t="s">
        <v>86</v>
      </c>
      <c r="N17" s="171" t="s">
        <v>320</v>
      </c>
      <c r="O17" s="183" t="s">
        <v>23</v>
      </c>
      <c r="P17" s="18">
        <v>29367</v>
      </c>
      <c r="Q17" s="121" t="s">
        <v>309</v>
      </c>
      <c r="R17" s="17" t="s">
        <v>315</v>
      </c>
      <c r="S17" s="82">
        <v>3137952479</v>
      </c>
      <c r="T17" s="37" t="s">
        <v>321</v>
      </c>
      <c r="U17" s="71" t="str">
        <f>IF(O17=[1]CURSOS!$D$3,"DIPLOMADO EN ATENCION PRE-HOSPITALARIA",IF(O17=[1]CURSOS!$D$4,"ACOMPAÑAMIENTO Y MANEJO DEL DUELO",IF(O17=[1]CURSOS!$D$5,"ATENCION A VICTIMAS DE ATAQUE CON AGENTES QUIMICOS ",IF(O17=[1]CURSOS!$D$6,"PRIMEROS AUXILIOS ",IF(O17=[1]CURSOS!$D$7,"DIPLOMADO DE UNIDAD DE CUIDADOS INTENSIVOS (UCI)",IF(O17=[1]CURSOS!$D$8,"MODELO DE ATENCION PARA EVENTOS EMERGENTES EN SALUD MENTAL (CODIGO VERDE)",IF(O17=[1]CURSOS!$D$9,"HUMANIZACION EN EL SERVICIO DE LA SALUD Y BUENAS PRACTICAS EN PACIENTE ",IF(O17=[1]CURSOS!$D$10,"CLINICA DE HERIDAS ",IF(O17=[1]CURSOS!$D$11,"TOMA DE CITOLOGIA CERVICO VAGINAL ",IF(O17=[1]CURSOS!$D$12,"SOPORTE CARDIOVASCULAR AVANZADO (ACLS) ",IF(O17=[1]CURSOS!$D$13,"CAMILLERO ",IF(O17=[1]CURSOS!$D$14,"TOMA DE MUESTRAS Y LABORATORIO ",IF(O17=[1]CURSOS!$D$15,"SOPORTE VITAL BASICO (BLS)",IF(O17=[1]CURSOS!$D$16,"ATENCION A VICTIMAS DE VIOLENCIA SEXUAL ",IF(O17=[1]CURSOS!$D$17,"PROGRAMADO AMPLIADO DE INMUNIZACION (PAI - COVID 19)",IF(O17=[1]CURSOS!$D$18,"ATENCION INTEGRAL EN ENFERMEDADES PREVALENTES EN PRIMERA INFANCIA (AIEPI)",IF(O17=[1]CURSOS!$D$19,"ADMINISTRACION DE MEDICAMENTOS, INYECTOLOGIA  Y CANALIZACION ",IF(O17=[1]CURSOS!$D$20,"OPERADOR DE VEHICULOS DE EMERGENCIA (OVE)",IF(O17=[1]CURSOS!$D$21,"INSTITUCIONES AMIGAS DE LA MUJER Y LA INFANCIA (IAMI)",IF(O17=[1]CURSOS!$D$22,"CUIDADO DEL DONANTE DE ORGANOS",IF(O17=[1]CURSOS!$D$23,"ATENCION A VICTIMAS POR VIOLENCIA DE GENERO",IF(O17=[1]CURSOS!$D$24,"IGUALDAD DE GENERO EN LA SALUD",IF(O17=[1]CURSOS!$D$25,"BRIGADA DE EMERGENCIA",IF(O17=[1]CURSOS!$D$26,"MANEJO DEL DOLOR Y CUIDADOS PALIATIVOS",IF(O17=[1]CURSOS!$D$27,"TOMA DE MUESTRAS Y LABORATORIO POCT",IF(O17=[1]CURSOS!$D$28,"IMPLANTE SUBDERMICO DE DISPOSITIVO INTRAUTERINO",IF(O17=[1]CURSOS!$D$29,"SALUD MENTAL",IF(O17=[1]CURSOS!$D$30,"PRIMEROS AUXILIOS PSICOLOGICOS",IF(O17=[1]CURSOS!$D$31,"ATENCION A VICTIMAS POR CONFLICTO ARMADO",IF(O17=[1]CURSOS!$D$32,"MANIPULACION DE ALIMENTOS Y BPM",IF(O17=[1]CURSOS!$D$33,"ATENCION A PERSONAS CON DISCAPACIDAD",IF(O17=[1]CURSOS!$D$34,"CUIDADO INTEGRAL DEL PACIENTE ADULTO",IF(O17=[1]CURSOS!$D$35,"MANEJO DEFENSIVO",IF(O17=[1]CURSOS!$D$36,"SOPORTE CARDIOVASCULAR AVANZADO NEONATAL",IF(O17=[1]CURSOS!$D$37,"SEGURIDAD DEL PACIENTE")))))))))))))))))))))))))))))))))))</f>
        <v>ACOMPAÑAMIENTO Y MANEJO DEL DUELO</v>
      </c>
      <c r="V17" s="71" t="str">
        <f t="shared" si="0"/>
        <v>Claudia Sonia Morales Melo</v>
      </c>
      <c r="W17" s="83" t="str">
        <f t="shared" si="1"/>
        <v>Claudia Sonia Morales Melo</v>
      </c>
      <c r="X17" s="52" t="str">
        <f t="shared" si="2"/>
        <v>Claudia Sonia Morales Melo-59796355-DUELO</v>
      </c>
    </row>
    <row r="18" spans="1:24" s="55" customFormat="1" x14ac:dyDescent="0.2">
      <c r="A18" s="17">
        <v>17</v>
      </c>
      <c r="B18" s="80">
        <v>87452852</v>
      </c>
      <c r="C18" s="50" t="s">
        <v>111</v>
      </c>
      <c r="D18" s="50" t="s">
        <v>323</v>
      </c>
      <c r="E18" s="50" t="s">
        <v>324</v>
      </c>
      <c r="F18" s="187" t="s">
        <v>325</v>
      </c>
      <c r="G18" s="188">
        <v>1</v>
      </c>
      <c r="H18" s="188" t="s">
        <v>181</v>
      </c>
      <c r="I18" s="171" t="s">
        <v>450</v>
      </c>
      <c r="J18" s="182">
        <v>45505</v>
      </c>
      <c r="K18" s="181">
        <v>28000</v>
      </c>
      <c r="L18" s="188" t="s">
        <v>328</v>
      </c>
      <c r="M18" s="188" t="s">
        <v>86</v>
      </c>
      <c r="N18" s="188" t="s">
        <v>326</v>
      </c>
      <c r="O18" s="189" t="s">
        <v>25</v>
      </c>
      <c r="P18" s="18">
        <v>25011</v>
      </c>
      <c r="Q18" s="122" t="s">
        <v>316</v>
      </c>
      <c r="R18" s="17" t="s">
        <v>315</v>
      </c>
      <c r="S18" s="80">
        <v>3125252716</v>
      </c>
      <c r="T18" s="50" t="s">
        <v>327</v>
      </c>
      <c r="U18" s="71" t="str">
        <f>IF(O18=[1]CURSOS!$D$3,"DIPLOMADO EN ATENCION PRE-HOSPITALARIA",IF(O18=[1]CURSOS!$D$4,"ACOMPAÑAMIENTO Y MANEJO DEL DUELO",IF(O18=[1]CURSOS!$D$5,"ATENCION A VICTIMAS DE ATAQUE CON AGENTES QUIMICOS ",IF(O18=[1]CURSOS!$D$6,"PRIMEROS AUXILIOS ",IF(O18=[1]CURSOS!$D$7,"DIPLOMADO DE UNIDAD DE CUIDADOS INTENSIVOS (UCI)",IF(O18=[1]CURSOS!$D$8,"MODELO DE ATENCION PARA EVENTOS EMERGENTES EN SALUD MENTAL (CODIGO VERDE)",IF(O18=[1]CURSOS!$D$9,"HUMANIZACION EN EL SERVICIO DE LA SALUD Y BUENAS PRACTICAS EN PACIENTE ",IF(O18=[1]CURSOS!$D$10,"CLINICA DE HERIDAS ",IF(O18=[1]CURSOS!$D$11,"TOMA DE CITOLOGIA CERVICO VAGINAL ",IF(O18=[1]CURSOS!$D$12,"SOPORTE CARDIOVASCULAR AVANZADO (ACLS) ",IF(O18=[1]CURSOS!$D$13,"CAMILLERO ",IF(O18=[1]CURSOS!$D$14,"TOMA DE MUESTRAS Y LABORATORIO ",IF(O18=[1]CURSOS!$D$15,"SOPORTE VITAL BASICO (BLS)",IF(O18=[1]CURSOS!$D$16,"ATENCION A VICTIMAS DE VIOLENCIA SEXUAL ",IF(O18=[1]CURSOS!$D$17,"PROGRAMADO AMPLIADO DE INMUNIZACION (PAI - COVID 19)",IF(O18=[1]CURSOS!$D$18,"ATENCION INTEGRAL EN ENFERMEDADES PREVALENTES EN PRIMERA INFANCIA (AIEPI)",IF(O18=[1]CURSOS!$D$19,"ADMINISTRACION DE MEDICAMENTOS, INYECTOLOGIA  Y CANALIZACION ",IF(O18=[1]CURSOS!$D$20,"OPERADOR DE VEHICULOS DE EMERGENCIA (OVE)",IF(O18=[1]CURSOS!$D$21,"INSTITUCIONES AMIGAS DE LA MUJER Y LA INFANCIA (IAMI)",IF(O18=[1]CURSOS!$D$22,"CUIDADO DEL DONANTE DE ORGANOS",IF(O18=[1]CURSOS!$D$23,"ATENCION A VICTIMAS POR VIOLENCIA DE GENERO",IF(O18=[1]CURSOS!$D$24,"IGUALDAD DE GENERO EN LA SALUD",IF(O18=[1]CURSOS!$D$25,"BRIGADA DE EMERGENCIA",IF(O18=[1]CURSOS!$D$26,"MANEJO DEL DOLOR Y CUIDADOS PALIATIVOS",IF(O18=[1]CURSOS!$D$27,"TOMA DE MUESTRAS Y LABORATORIO POCT",IF(O18=[1]CURSOS!$D$28,"IMPLANTE SUBDERMICO DE DISPOSITIVO INTRAUTERINO",IF(O18=[1]CURSOS!$D$29,"SALUD MENTAL",IF(O18=[1]CURSOS!$D$30,"PRIMEROS AUXILIOS PSICOLOGICOS",IF(O18=[1]CURSOS!$D$31,"ATENCION A VICTIMAS POR CONFLICTO ARMADO",IF(O18=[1]CURSOS!$D$32,"MANIPULACION DE ALIMENTOS Y BPM",IF(O18=[1]CURSOS!$D$33,"ATENCION A PERSONAS CON DISCAPACIDAD",IF(O18=[1]CURSOS!$D$34,"CUIDADO INTEGRAL DEL PACIENTE ADULTO",IF(O18=[1]CURSOS!$D$35,"MANEJO DEFENSIVO",IF(O18=[1]CURSOS!$D$36,"SOPORTE CARDIOVASCULAR AVANZADO NEONATAL",IF(O18=[1]CURSOS!$D$37,"SEGURIDAD DEL PACIENTE")))))))))))))))))))))))))))))))))))</f>
        <v xml:space="preserve">ATENCION A VICTIMAS DE ATAQUE CON AGENTES QUIMICOS </v>
      </c>
      <c r="V18" s="71" t="str">
        <f t="shared" si="0"/>
        <v>Alfredo Generid Zambrano Santander</v>
      </c>
      <c r="W18" s="83" t="str">
        <f t="shared" si="1"/>
        <v>Alfredo Generid Zambrano Santander</v>
      </c>
      <c r="X18" s="52" t="str">
        <f t="shared" si="2"/>
        <v>Alfredo Generid Zambrano Santander-87452852-QUIMICOS</v>
      </c>
    </row>
    <row r="19" spans="1:24" s="55" customFormat="1" x14ac:dyDescent="0.2">
      <c r="A19" s="17">
        <v>18</v>
      </c>
      <c r="B19" s="80">
        <v>87452852</v>
      </c>
      <c r="C19" s="50" t="s">
        <v>111</v>
      </c>
      <c r="D19" s="50" t="s">
        <v>323</v>
      </c>
      <c r="E19" s="50" t="s">
        <v>324</v>
      </c>
      <c r="F19" s="187" t="s">
        <v>325</v>
      </c>
      <c r="G19" s="188">
        <v>1</v>
      </c>
      <c r="H19" s="188" t="s">
        <v>181</v>
      </c>
      <c r="I19" s="171" t="s">
        <v>450</v>
      </c>
      <c r="J19" s="182">
        <v>45505</v>
      </c>
      <c r="K19" s="181">
        <v>28000</v>
      </c>
      <c r="L19" s="188" t="s">
        <v>328</v>
      </c>
      <c r="M19" s="188" t="s">
        <v>86</v>
      </c>
      <c r="N19" s="188" t="s">
        <v>326</v>
      </c>
      <c r="O19" s="189" t="s">
        <v>43</v>
      </c>
      <c r="P19" s="18">
        <v>25011</v>
      </c>
      <c r="Q19" s="122" t="s">
        <v>316</v>
      </c>
      <c r="R19" s="17" t="s">
        <v>315</v>
      </c>
      <c r="S19" s="80">
        <v>3125252716</v>
      </c>
      <c r="T19" s="50" t="s">
        <v>327</v>
      </c>
      <c r="U19" s="71" t="str">
        <f>IF(O19=[1]CURSOS!$D$3,"DIPLOMADO EN ATENCION PRE-HOSPITALARIA",IF(O19=[1]CURSOS!$D$4,"ACOMPAÑAMIENTO Y MANEJO DEL DUELO",IF(O19=[1]CURSOS!$D$5,"ATENCION A VICTIMAS DE ATAQUE CON AGENTES QUIMICOS ",IF(O19=[1]CURSOS!$D$6,"PRIMEROS AUXILIOS ",IF(O19=[1]CURSOS!$D$7,"DIPLOMADO DE UNIDAD DE CUIDADOS INTENSIVOS (UCI)",IF(O19=[1]CURSOS!$D$8,"MODELO DE ATENCION PARA EVENTOS EMERGENTES EN SALUD MENTAL (CODIGO VERDE)",IF(O19=[1]CURSOS!$D$9,"HUMANIZACION EN EL SERVICIO DE LA SALUD Y BUENAS PRACTICAS EN PACIENTE ",IF(O19=[1]CURSOS!$D$10,"CLINICA DE HERIDAS ",IF(O19=[1]CURSOS!$D$11,"TOMA DE CITOLOGIA CERVICO VAGINAL ",IF(O19=[1]CURSOS!$D$12,"SOPORTE CARDIOVASCULAR AVANZADO (ACLS) ",IF(O19=[1]CURSOS!$D$13,"CAMILLERO ",IF(O19=[1]CURSOS!$D$14,"TOMA DE MUESTRAS Y LABORATORIO ",IF(O19=[1]CURSOS!$D$15,"SOPORTE VITAL BASICO (BLS)",IF(O19=[1]CURSOS!$D$16,"ATENCION A VICTIMAS DE VIOLENCIA SEXUAL ",IF(O19=[1]CURSOS!$D$17,"PROGRAMADO AMPLIADO DE INMUNIZACION (PAI - COVID 19)",IF(O19=[1]CURSOS!$D$18,"ATENCION INTEGRAL EN ENFERMEDADES PREVALENTES EN PRIMERA INFANCIA (AIEPI)",IF(O19=[1]CURSOS!$D$19,"ADMINISTRACION DE MEDICAMENTOS, INYECTOLOGIA  Y CANALIZACION ",IF(O19=[1]CURSOS!$D$20,"OPERADOR DE VEHICULOS DE EMERGENCIA (OVE)",IF(O19=[1]CURSOS!$D$21,"INSTITUCIONES AMIGAS DE LA MUJER Y LA INFANCIA (IAMI)",IF(O19=[1]CURSOS!$D$22,"CUIDADO DEL DONANTE DE ORGANOS",IF(O19=[1]CURSOS!$D$23,"ATENCION A VICTIMAS POR VIOLENCIA DE GENERO",IF(O19=[1]CURSOS!$D$24,"IGUALDAD DE GENERO EN LA SALUD",IF(O19=[1]CURSOS!$D$25,"BRIGADA DE EMERGENCIA",IF(O19=[1]CURSOS!$D$26,"MANEJO DEL DOLOR Y CUIDADOS PALIATIVOS",IF(O19=[1]CURSOS!$D$27,"TOMA DE MUESTRAS Y LABORATORIO POCT",IF(O19=[1]CURSOS!$D$28,"IMPLANTE SUBDERMICO DE DISPOSITIVO INTRAUTERINO",IF(O19=[1]CURSOS!$D$29,"SALUD MENTAL",IF(O19=[1]CURSOS!$D$30,"PRIMEROS AUXILIOS PSICOLOGICOS",IF(O19=[1]CURSOS!$D$31,"ATENCION A VICTIMAS POR CONFLICTO ARMADO",IF(O19=[1]CURSOS!$D$32,"MANIPULACION DE ALIMENTOS Y BPM",IF(O19=[1]CURSOS!$D$33,"ATENCION A PERSONAS CON DISCAPACIDAD",IF(O19=[1]CURSOS!$D$34,"CUIDADO INTEGRAL DEL PACIENTE ADULTO",IF(O19=[1]CURSOS!$D$35,"MANEJO DEFENSIVO",IF(O19=[1]CURSOS!$D$36,"SOPORTE CARDIOVASCULAR AVANZADO NEONATAL",IF(O19=[1]CURSOS!$D$37,"SEGURIDAD DEL PACIENTE")))))))))))))))))))))))))))))))))))</f>
        <v xml:space="preserve">ATENCION A VICTIMAS DE VIOLENCIA SEXUAL </v>
      </c>
      <c r="V19" s="71" t="str">
        <f t="shared" si="0"/>
        <v>Alfredo Generid Zambrano Santander</v>
      </c>
      <c r="W19" s="83" t="str">
        <f t="shared" si="1"/>
        <v>Alfredo Generid Zambrano Santander</v>
      </c>
      <c r="X19" s="52" t="str">
        <f t="shared" si="2"/>
        <v>Alfredo Generid Zambrano Santander-87452852-VIOLENCIA SEXUAL</v>
      </c>
    </row>
    <row r="20" spans="1:24" s="55" customFormat="1" x14ac:dyDescent="0.2">
      <c r="A20" s="17">
        <v>19</v>
      </c>
      <c r="B20" s="80">
        <v>87452852</v>
      </c>
      <c r="C20" s="50" t="s">
        <v>111</v>
      </c>
      <c r="D20" s="50" t="s">
        <v>323</v>
      </c>
      <c r="E20" s="50" t="s">
        <v>324</v>
      </c>
      <c r="F20" s="187" t="s">
        <v>325</v>
      </c>
      <c r="G20" s="188">
        <v>1</v>
      </c>
      <c r="H20" s="188" t="s">
        <v>181</v>
      </c>
      <c r="I20" s="171" t="s">
        <v>450</v>
      </c>
      <c r="J20" s="182">
        <v>45505</v>
      </c>
      <c r="K20" s="181">
        <v>28000</v>
      </c>
      <c r="L20" s="188" t="s">
        <v>328</v>
      </c>
      <c r="M20" s="188" t="s">
        <v>86</v>
      </c>
      <c r="N20" s="188" t="s">
        <v>326</v>
      </c>
      <c r="O20" s="189" t="s">
        <v>23</v>
      </c>
      <c r="P20" s="18">
        <v>25011</v>
      </c>
      <c r="Q20" s="122" t="s">
        <v>316</v>
      </c>
      <c r="R20" s="17" t="s">
        <v>315</v>
      </c>
      <c r="S20" s="80">
        <v>3125252716</v>
      </c>
      <c r="T20" s="50" t="s">
        <v>327</v>
      </c>
      <c r="U20" s="71" t="str">
        <f>IF(O20=[1]CURSOS!$D$3,"DIPLOMADO EN ATENCION PRE-HOSPITALARIA",IF(O20=[1]CURSOS!$D$4,"ACOMPAÑAMIENTO Y MANEJO DEL DUELO",IF(O20=[1]CURSOS!$D$5,"ATENCION A VICTIMAS DE ATAQUE CON AGENTES QUIMICOS ",IF(O20=[1]CURSOS!$D$6,"PRIMEROS AUXILIOS ",IF(O20=[1]CURSOS!$D$7,"DIPLOMADO DE UNIDAD DE CUIDADOS INTENSIVOS (UCI)",IF(O20=[1]CURSOS!$D$8,"MODELO DE ATENCION PARA EVENTOS EMERGENTES EN SALUD MENTAL (CODIGO VERDE)",IF(O20=[1]CURSOS!$D$9,"HUMANIZACION EN EL SERVICIO DE LA SALUD Y BUENAS PRACTICAS EN PACIENTE ",IF(O20=[1]CURSOS!$D$10,"CLINICA DE HERIDAS ",IF(O20=[1]CURSOS!$D$11,"TOMA DE CITOLOGIA CERVICO VAGINAL ",IF(O20=[1]CURSOS!$D$12,"SOPORTE CARDIOVASCULAR AVANZADO (ACLS) ",IF(O20=[1]CURSOS!$D$13,"CAMILLERO ",IF(O20=[1]CURSOS!$D$14,"TOMA DE MUESTRAS Y LABORATORIO ",IF(O20=[1]CURSOS!$D$15,"SOPORTE VITAL BASICO (BLS)",IF(O20=[1]CURSOS!$D$16,"ATENCION A VICTIMAS DE VIOLENCIA SEXUAL ",IF(O20=[1]CURSOS!$D$17,"PROGRAMADO AMPLIADO DE INMUNIZACION (PAI - COVID 19)",IF(O20=[1]CURSOS!$D$18,"ATENCION INTEGRAL EN ENFERMEDADES PREVALENTES EN PRIMERA INFANCIA (AIEPI)",IF(O20=[1]CURSOS!$D$19,"ADMINISTRACION DE MEDICAMENTOS, INYECTOLOGIA  Y CANALIZACION ",IF(O20=[1]CURSOS!$D$20,"OPERADOR DE VEHICULOS DE EMERGENCIA (OVE)",IF(O20=[1]CURSOS!$D$21,"INSTITUCIONES AMIGAS DE LA MUJER Y LA INFANCIA (IAMI)",IF(O20=[1]CURSOS!$D$22,"CUIDADO DEL DONANTE DE ORGANOS",IF(O20=[1]CURSOS!$D$23,"ATENCION A VICTIMAS POR VIOLENCIA DE GENERO",IF(O20=[1]CURSOS!$D$24,"IGUALDAD DE GENERO EN LA SALUD",IF(O20=[1]CURSOS!$D$25,"BRIGADA DE EMERGENCIA",IF(O20=[1]CURSOS!$D$26,"MANEJO DEL DOLOR Y CUIDADOS PALIATIVOS",IF(O20=[1]CURSOS!$D$27,"TOMA DE MUESTRAS Y LABORATORIO POCT",IF(O20=[1]CURSOS!$D$28,"IMPLANTE SUBDERMICO DE DISPOSITIVO INTRAUTERINO",IF(O20=[1]CURSOS!$D$29,"SALUD MENTAL",IF(O20=[1]CURSOS!$D$30,"PRIMEROS AUXILIOS PSICOLOGICOS",IF(O20=[1]CURSOS!$D$31,"ATENCION A VICTIMAS POR CONFLICTO ARMADO",IF(O20=[1]CURSOS!$D$32,"MANIPULACION DE ALIMENTOS Y BPM",IF(O20=[1]CURSOS!$D$33,"ATENCION A PERSONAS CON DISCAPACIDAD",IF(O20=[1]CURSOS!$D$34,"CUIDADO INTEGRAL DEL PACIENTE ADULTO",IF(O20=[1]CURSOS!$D$35,"MANEJO DEFENSIVO",IF(O20=[1]CURSOS!$D$36,"SOPORTE CARDIOVASCULAR AVANZADO NEONATAL",IF(O20=[1]CURSOS!$D$37,"SEGURIDAD DEL PACIENTE")))))))))))))))))))))))))))))))))))</f>
        <v>ACOMPAÑAMIENTO Y MANEJO DEL DUELO</v>
      </c>
      <c r="V20" s="71" t="str">
        <f t="shared" si="0"/>
        <v>Alfredo Generid Zambrano Santander</v>
      </c>
      <c r="W20" s="83" t="str">
        <f t="shared" si="1"/>
        <v>Alfredo Generid Zambrano Santander</v>
      </c>
      <c r="X20" s="52" t="str">
        <f t="shared" si="2"/>
        <v>Alfredo Generid Zambrano Santander-87452852-DUELO</v>
      </c>
    </row>
    <row r="21" spans="1:24" s="55" customFormat="1" x14ac:dyDescent="0.2">
      <c r="A21" s="17">
        <v>20</v>
      </c>
      <c r="B21" s="80">
        <v>1084846331</v>
      </c>
      <c r="C21" s="17" t="s">
        <v>305</v>
      </c>
      <c r="D21" s="17" t="s">
        <v>306</v>
      </c>
      <c r="E21" s="17" t="s">
        <v>143</v>
      </c>
      <c r="F21" s="180" t="s">
        <v>307</v>
      </c>
      <c r="G21" s="171">
        <v>3</v>
      </c>
      <c r="H21" s="171" t="s">
        <v>181</v>
      </c>
      <c r="I21" s="171" t="s">
        <v>450</v>
      </c>
      <c r="J21" s="182">
        <v>45506</v>
      </c>
      <c r="K21" s="181">
        <v>30000</v>
      </c>
      <c r="L21" s="182" t="s">
        <v>322</v>
      </c>
      <c r="M21" s="171" t="s">
        <v>86</v>
      </c>
      <c r="N21" s="171" t="s">
        <v>308</v>
      </c>
      <c r="O21" s="183" t="s">
        <v>66</v>
      </c>
      <c r="P21" s="18">
        <v>32087</v>
      </c>
      <c r="Q21" s="121" t="s">
        <v>309</v>
      </c>
      <c r="R21" s="17" t="s">
        <v>432</v>
      </c>
      <c r="S21" s="82">
        <v>3156962644</v>
      </c>
      <c r="T21" s="37" t="s">
        <v>310</v>
      </c>
      <c r="U21" s="71" t="str">
        <f>IF(O21=[1]CURSOS!$D$3,"DIPLOMADO EN ATENCION PRE-HOSPITALARIA",IF(O21=[1]CURSOS!$D$4,"ACOMPAÑAMIENTO Y MANEJO DEL DUELO",IF(O21=[1]CURSOS!$D$5,"ATENCION A VICTIMAS DE ATAQUE CON AGENTES QUIMICOS ",IF(O21=[1]CURSOS!$D$6,"PRIMEROS AUXILIOS ",IF(O21=[1]CURSOS!$D$7,"DIPLOMADO DE UNIDAD DE CUIDADOS INTENSIVOS (UCI)",IF(O21=[1]CURSOS!$D$8,"MODELO DE ATENCION PARA EVENTOS EMERGENTES EN SALUD MENTAL (CODIGO VERDE)",IF(O21=[1]CURSOS!$D$9,"HUMANIZACION EN EL SERVICIO DE LA SALUD Y BUENAS PRACTICAS EN PACIENTE ",IF(O21=[1]CURSOS!$D$10,"CLINICA DE HERIDAS ",IF(O21=[1]CURSOS!$D$11,"TOMA DE CITOLOGIA CERVICO VAGINAL ",IF(O21=[1]CURSOS!$D$12,"SOPORTE CARDIOVASCULAR AVANZADO (ACLS) ",IF(O21=[1]CURSOS!$D$13,"CAMILLERO ",IF(O21=[1]CURSOS!$D$14,"TOMA DE MUESTRAS Y LABORATORIO ",IF(O21=[1]CURSOS!$D$15,"SOPORTE VITAL BASICO (BLS)",IF(O21=[1]CURSOS!$D$16,"ATENCION A VICTIMAS DE VIOLENCIA SEXUAL ",IF(O21=[1]CURSOS!$D$17,"PROGRAMADO AMPLIADO DE INMUNIZACION (PAI - COVID 19)",IF(O21=[1]CURSOS!$D$18,"ATENCION INTEGRAL EN ENFERMEDADES PREVALENTES EN PRIMERA INFANCIA (AIEPI)",IF(O21=[1]CURSOS!$D$19,"ADMINISTRACION DE MEDICAMENTOS, INYECTOLOGIA  Y CANALIZACION ",IF(O21=[1]CURSOS!$D$20,"OPERADOR DE VEHICULOS DE EMERGENCIA (OVE)",IF(O21=[1]CURSOS!$D$21,"INSTITUCIONES AMIGAS DE LA MUJER Y LA INFANCIA (IAMI)",IF(O21=[1]CURSOS!$D$22,"CUIDADO DEL DONANTE DE ORGANOS",IF(O21=[1]CURSOS!$D$23,"ATENCION A VICTIMAS POR VIOLENCIA DE GENERO",IF(O21=[1]CURSOS!$D$24,"IGUALDAD DE GENERO EN LA SALUD",IF(O21=[1]CURSOS!$D$25,"BRIGADA DE EMERGENCIA",IF(O21=[1]CURSOS!$D$26,"MANEJO DEL DOLOR Y CUIDADOS PALIATIVOS",IF(O21=[1]CURSOS!$D$27,"TOMA DE MUESTRAS Y LABORATORIO POCT",IF(O21=[1]CURSOS!$D$28,"IMPLANTE SUBDERMICO DE DISPOSITIVO INTRAUTERINO",IF(O21=[1]CURSOS!$D$29,"SALUD MENTAL",IF(O21=[1]CURSOS!$D$30,"PRIMEROS AUXILIOS PSICOLOGICOS",IF(O21=[1]CURSOS!$D$31,"ATENCION A VICTIMAS POR CONFLICTO ARMADO",IF(O21=[1]CURSOS!$D$32,"MANIPULACION DE ALIMENTOS Y BPM",IF(O21=[1]CURSOS!$D$33,"ATENCION A PERSONAS CON DISCAPACIDAD",IF(O21=[1]CURSOS!$D$34,"CUIDADO INTEGRAL DEL PACIENTE ADULTO",IF(O21=[1]CURSOS!$D$35,"MANEJO DEFENSIVO",IF(O21=[1]CURSOS!$D$36,"SOPORTE CARDIOVASCULAR AVANZADO NEONATAL",IF(O21=[1]CURSOS!$D$37,"SEGURIDAD DEL PACIENTE")))))))))))))))))))))))))))))))))))</f>
        <v>PRIMEROS AUXILIOS PSICOLOGICOS</v>
      </c>
      <c r="V21" s="71" t="str">
        <f t="shared" si="0"/>
        <v>Diana Esmeralda Mejía Chávez</v>
      </c>
      <c r="W21" s="83" t="str">
        <f t="shared" si="1"/>
        <v>Diana Esmeralda Mejía Chávez</v>
      </c>
      <c r="X21" s="52" t="str">
        <f t="shared" si="2"/>
        <v>Diana Esmeralda Mejía Chávez-1084846331-PRIMEROS AUXILIOS P</v>
      </c>
    </row>
    <row r="22" spans="1:24" s="55" customFormat="1" x14ac:dyDescent="0.2">
      <c r="A22" s="17">
        <v>21</v>
      </c>
      <c r="B22" s="80">
        <v>1120576577</v>
      </c>
      <c r="C22" s="17" t="s">
        <v>329</v>
      </c>
      <c r="D22" s="17" t="s">
        <v>330</v>
      </c>
      <c r="E22" s="17" t="s">
        <v>331</v>
      </c>
      <c r="F22" s="180" t="s">
        <v>332</v>
      </c>
      <c r="G22" s="171">
        <v>2</v>
      </c>
      <c r="H22" s="171" t="s">
        <v>181</v>
      </c>
      <c r="I22" s="171" t="s">
        <v>450</v>
      </c>
      <c r="J22" s="182">
        <v>45506</v>
      </c>
      <c r="K22" s="181">
        <v>70000</v>
      </c>
      <c r="L22" s="182" t="s">
        <v>333</v>
      </c>
      <c r="M22" s="171" t="s">
        <v>86</v>
      </c>
      <c r="N22" s="171" t="s">
        <v>334</v>
      </c>
      <c r="O22" s="183" t="s">
        <v>41</v>
      </c>
      <c r="P22" s="18">
        <v>34521</v>
      </c>
      <c r="Q22" s="121" t="s">
        <v>309</v>
      </c>
      <c r="R22" s="17" t="s">
        <v>335</v>
      </c>
      <c r="S22" s="82">
        <v>3173075129</v>
      </c>
      <c r="T22" s="17" t="s">
        <v>336</v>
      </c>
      <c r="U22" s="71" t="str">
        <f>IF(O22=[1]CURSOS!$D$3,"DIPLOMADO EN ATENCION PRE-HOSPITALARIA",IF(O22=[1]CURSOS!$D$4,"ACOMPAÑAMIENTO Y MANEJO DEL DUELO",IF(O22=[1]CURSOS!$D$5,"ATENCION A VICTIMAS DE ATAQUE CON AGENTES QUIMICOS ",IF(O22=[1]CURSOS!$D$6,"PRIMEROS AUXILIOS ",IF(O22=[1]CURSOS!$D$7,"DIPLOMADO DE UNIDAD DE CUIDADOS INTENSIVOS (UCI)",IF(O22=[1]CURSOS!$D$8,"MODELO DE ATENCION PARA EVENTOS EMERGENTES EN SALUD MENTAL (CODIGO VERDE)",IF(O22=[1]CURSOS!$D$9,"HUMANIZACION EN EL SERVICIO DE LA SALUD Y BUENAS PRACTICAS EN PACIENTE ",IF(O22=[1]CURSOS!$D$10,"CLINICA DE HERIDAS ",IF(O22=[1]CURSOS!$D$11,"TOMA DE CITOLOGIA CERVICO VAGINAL ",IF(O22=[1]CURSOS!$D$12,"SOPORTE CARDIOVASCULAR AVANZADO (ACLS) ",IF(O22=[1]CURSOS!$D$13,"CAMILLERO ",IF(O22=[1]CURSOS!$D$14,"TOMA DE MUESTRAS Y LABORATORIO ",IF(O22=[1]CURSOS!$D$15,"SOPORTE VITAL BASICO (BLS)",IF(O22=[1]CURSOS!$D$16,"ATENCION A VICTIMAS DE VIOLENCIA SEXUAL ",IF(O22=[1]CURSOS!$D$17,"PROGRAMADO AMPLIADO DE INMUNIZACION (PAI - COVID 19)",IF(O22=[1]CURSOS!$D$18,"ATENCION INTEGRAL EN ENFERMEDADES PREVALENTES EN PRIMERA INFANCIA (AIEPI)",IF(O22=[1]CURSOS!$D$19,"ADMINISTRACION DE MEDICAMENTOS, INYECTOLOGIA  Y CANALIZACION ",IF(O22=[1]CURSOS!$D$20,"OPERADOR DE VEHICULOS DE EMERGENCIA (OVE)",IF(O22=[1]CURSOS!$D$21,"INSTITUCIONES AMIGAS DE LA MUJER Y LA INFANCIA (IAMI)",IF(O22=[1]CURSOS!$D$22,"CUIDADO DEL DONANTE DE ORGANOS",IF(O22=[1]CURSOS!$D$23,"ATENCION A VICTIMAS POR VIOLENCIA DE GENERO",IF(O22=[1]CURSOS!$D$24,"IGUALDAD DE GENERO EN LA SALUD",IF(O22=[1]CURSOS!$D$25,"BRIGADA DE EMERGENCIA",IF(O22=[1]CURSOS!$D$26,"MANEJO DEL DOLOR Y CUIDADOS PALIATIVOS",IF(O22=[1]CURSOS!$D$27,"TOMA DE MUESTRAS Y LABORATORIO POCT",IF(O22=[1]CURSOS!$D$28,"IMPLANTE SUBDERMICO DE DISPOSITIVO INTRAUTERINO",IF(O22=[1]CURSOS!$D$29,"SALUD MENTAL",IF(O22=[1]CURSOS!$D$30,"PRIMEROS AUXILIOS PSICOLOGICOS",IF(O22=[1]CURSOS!$D$31,"ATENCION A VICTIMAS POR CONFLICTO ARMADO",IF(O22=[1]CURSOS!$D$32,"MANIPULACION DE ALIMENTOS Y BPM",IF(O22=[1]CURSOS!$D$33,"ATENCION A PERSONAS CON DISCAPACIDAD",IF(O22=[1]CURSOS!$D$34,"CUIDADO INTEGRAL DEL PACIENTE ADULTO",IF(O22=[1]CURSOS!$D$35,"MANEJO DEFENSIVO",IF(O22=[1]CURSOS!$D$36,"SOPORTE CARDIOVASCULAR AVANZADO NEONATAL",IF(O22=[1]CURSOS!$D$37,"SEGURIDAD DEL PACIENTE")))))))))))))))))))))))))))))))))))</f>
        <v xml:space="preserve">TOMA DE MUESTRAS Y LABORATORIO </v>
      </c>
      <c r="V22" s="71" t="str">
        <f t="shared" si="0"/>
        <v>Ana Gabriela Cortes Ponce</v>
      </c>
      <c r="W22" s="83" t="str">
        <f t="shared" si="1"/>
        <v>Ana Gabriela Cortes Ponce</v>
      </c>
      <c r="X22" s="52" t="str">
        <f t="shared" si="2"/>
        <v>Ana Gabriela Cortes Ponce-1120576577-TOMA DE MUESTRAS</v>
      </c>
    </row>
    <row r="23" spans="1:24" s="55" customFormat="1" x14ac:dyDescent="0.2">
      <c r="A23" s="17">
        <v>22</v>
      </c>
      <c r="B23" s="80">
        <v>1088649692</v>
      </c>
      <c r="C23" s="17" t="s">
        <v>337</v>
      </c>
      <c r="D23" s="17" t="s">
        <v>338</v>
      </c>
      <c r="E23" s="17" t="s">
        <v>339</v>
      </c>
      <c r="F23" s="180" t="s">
        <v>340</v>
      </c>
      <c r="G23" s="171">
        <v>2</v>
      </c>
      <c r="H23" s="171" t="s">
        <v>181</v>
      </c>
      <c r="I23" s="171" t="s">
        <v>450</v>
      </c>
      <c r="J23" s="182">
        <v>45506</v>
      </c>
      <c r="K23" s="181">
        <v>30000</v>
      </c>
      <c r="L23" s="182" t="s">
        <v>322</v>
      </c>
      <c r="M23" s="171" t="s">
        <v>86</v>
      </c>
      <c r="N23" s="171" t="s">
        <v>308</v>
      </c>
      <c r="O23" s="183" t="s">
        <v>43</v>
      </c>
      <c r="P23" s="18">
        <v>32280</v>
      </c>
      <c r="Q23" s="121" t="s">
        <v>316</v>
      </c>
      <c r="R23" s="17" t="s">
        <v>315</v>
      </c>
      <c r="S23" s="82">
        <v>3172902699</v>
      </c>
      <c r="T23" s="37" t="s">
        <v>341</v>
      </c>
      <c r="U23" s="71" t="str">
        <f>IF(O23=[1]CURSOS!$D$3,"DIPLOMADO EN ATENCION PRE-HOSPITALARIA",IF(O23=[1]CURSOS!$D$4,"ACOMPAÑAMIENTO Y MANEJO DEL DUELO",IF(O23=[1]CURSOS!$D$5,"ATENCION A VICTIMAS DE ATAQUE CON AGENTES QUIMICOS ",IF(O23=[1]CURSOS!$D$6,"PRIMEROS AUXILIOS ",IF(O23=[1]CURSOS!$D$7,"DIPLOMADO DE UNIDAD DE CUIDADOS INTENSIVOS (UCI)",IF(O23=[1]CURSOS!$D$8,"MODELO DE ATENCION PARA EVENTOS EMERGENTES EN SALUD MENTAL (CODIGO VERDE)",IF(O23=[1]CURSOS!$D$9,"HUMANIZACION EN EL SERVICIO DE LA SALUD Y BUENAS PRACTICAS EN PACIENTE ",IF(O23=[1]CURSOS!$D$10,"CLINICA DE HERIDAS ",IF(O23=[1]CURSOS!$D$11,"TOMA DE CITOLOGIA CERVICO VAGINAL ",IF(O23=[1]CURSOS!$D$12,"SOPORTE CARDIOVASCULAR AVANZADO (ACLS) ",IF(O23=[1]CURSOS!$D$13,"CAMILLERO ",IF(O23=[1]CURSOS!$D$14,"TOMA DE MUESTRAS Y LABORATORIO ",IF(O23=[1]CURSOS!$D$15,"SOPORTE VITAL BASICO (BLS)",IF(O23=[1]CURSOS!$D$16,"ATENCION A VICTIMAS DE VIOLENCIA SEXUAL ",IF(O23=[1]CURSOS!$D$17,"PROGRAMADO AMPLIADO DE INMUNIZACION (PAI - COVID 19)",IF(O23=[1]CURSOS!$D$18,"ATENCION INTEGRAL EN ENFERMEDADES PREVALENTES EN PRIMERA INFANCIA (AIEPI)",IF(O23=[1]CURSOS!$D$19,"ADMINISTRACION DE MEDICAMENTOS, INYECTOLOGIA  Y CANALIZACION ",IF(O23=[1]CURSOS!$D$20,"OPERADOR DE VEHICULOS DE EMERGENCIA (OVE)",IF(O23=[1]CURSOS!$D$21,"INSTITUCIONES AMIGAS DE LA MUJER Y LA INFANCIA (IAMI)",IF(O23=[1]CURSOS!$D$22,"CUIDADO DEL DONANTE DE ORGANOS",IF(O23=[1]CURSOS!$D$23,"ATENCION A VICTIMAS POR VIOLENCIA DE GENERO",IF(O23=[1]CURSOS!$D$24,"IGUALDAD DE GENERO EN LA SALUD",IF(O23=[1]CURSOS!$D$25,"BRIGADA DE EMERGENCIA",IF(O23=[1]CURSOS!$D$26,"MANEJO DEL DOLOR Y CUIDADOS PALIATIVOS",IF(O23=[1]CURSOS!$D$27,"TOMA DE MUESTRAS Y LABORATORIO POCT",IF(O23=[1]CURSOS!$D$28,"IMPLANTE SUBDERMICO DE DISPOSITIVO INTRAUTERINO",IF(O23=[1]CURSOS!$D$29,"SALUD MENTAL",IF(O23=[1]CURSOS!$D$30,"PRIMEROS AUXILIOS PSICOLOGICOS",IF(O23=[1]CURSOS!$D$31,"ATENCION A VICTIMAS POR CONFLICTO ARMADO",IF(O23=[1]CURSOS!$D$32,"MANIPULACION DE ALIMENTOS Y BPM",IF(O23=[1]CURSOS!$D$33,"ATENCION A PERSONAS CON DISCAPACIDAD",IF(O23=[1]CURSOS!$D$34,"CUIDADO INTEGRAL DEL PACIENTE ADULTO",IF(O23=[1]CURSOS!$D$35,"MANEJO DEFENSIVO",IF(O23=[1]CURSOS!$D$36,"SOPORTE CARDIOVASCULAR AVANZADO NEONATAL",IF(O23=[1]CURSOS!$D$37,"SEGURIDAD DEL PACIENTE")))))))))))))))))))))))))))))))))))</f>
        <v xml:space="preserve">ATENCION A VICTIMAS DE VIOLENCIA SEXUAL </v>
      </c>
      <c r="V23" s="71" t="str">
        <f t="shared" si="0"/>
        <v>Jhon Fernando Cuatin Pastas</v>
      </c>
      <c r="W23" s="83" t="str">
        <f t="shared" si="1"/>
        <v>Jhon Fernando Cuatin Pastas</v>
      </c>
      <c r="X23" s="52" t="str">
        <f t="shared" si="2"/>
        <v>Jhon Fernando Cuatin Pastas-1088649692-VIOLENCIA SEXUAL</v>
      </c>
    </row>
    <row r="24" spans="1:24" s="55" customFormat="1" x14ac:dyDescent="0.2">
      <c r="A24" s="17">
        <v>23</v>
      </c>
      <c r="B24" s="80">
        <v>1088649692</v>
      </c>
      <c r="C24" s="17" t="s">
        <v>337</v>
      </c>
      <c r="D24" s="17" t="s">
        <v>338</v>
      </c>
      <c r="E24" s="17" t="s">
        <v>339</v>
      </c>
      <c r="F24" s="180" t="s">
        <v>340</v>
      </c>
      <c r="G24" s="171">
        <v>2</v>
      </c>
      <c r="H24" s="171" t="s">
        <v>181</v>
      </c>
      <c r="I24" s="171" t="s">
        <v>450</v>
      </c>
      <c r="J24" s="182">
        <v>45506</v>
      </c>
      <c r="K24" s="181">
        <v>30000</v>
      </c>
      <c r="L24" s="182" t="s">
        <v>322</v>
      </c>
      <c r="M24" s="171" t="s">
        <v>86</v>
      </c>
      <c r="N24" s="171" t="s">
        <v>308</v>
      </c>
      <c r="O24" s="183" t="s">
        <v>23</v>
      </c>
      <c r="P24" s="18">
        <v>32280</v>
      </c>
      <c r="Q24" s="121" t="s">
        <v>316</v>
      </c>
      <c r="R24" s="17" t="s">
        <v>315</v>
      </c>
      <c r="S24" s="82">
        <v>3172902699</v>
      </c>
      <c r="T24" s="37" t="s">
        <v>341</v>
      </c>
      <c r="U24" s="71" t="str">
        <f>IF(O24=[1]CURSOS!$D$3,"DIPLOMADO EN ATENCION PRE-HOSPITALARIA",IF(O24=[1]CURSOS!$D$4,"ACOMPAÑAMIENTO Y MANEJO DEL DUELO",IF(O24=[1]CURSOS!$D$5,"ATENCION A VICTIMAS DE ATAQUE CON AGENTES QUIMICOS ",IF(O24=[1]CURSOS!$D$6,"PRIMEROS AUXILIOS ",IF(O24=[1]CURSOS!$D$7,"DIPLOMADO DE UNIDAD DE CUIDADOS INTENSIVOS (UCI)",IF(O24=[1]CURSOS!$D$8,"MODELO DE ATENCION PARA EVENTOS EMERGENTES EN SALUD MENTAL (CODIGO VERDE)",IF(O24=[1]CURSOS!$D$9,"HUMANIZACION EN EL SERVICIO DE LA SALUD Y BUENAS PRACTICAS EN PACIENTE ",IF(O24=[1]CURSOS!$D$10,"CLINICA DE HERIDAS ",IF(O24=[1]CURSOS!$D$11,"TOMA DE CITOLOGIA CERVICO VAGINAL ",IF(O24=[1]CURSOS!$D$12,"SOPORTE CARDIOVASCULAR AVANZADO (ACLS) ",IF(O24=[1]CURSOS!$D$13,"CAMILLERO ",IF(O24=[1]CURSOS!$D$14,"TOMA DE MUESTRAS Y LABORATORIO ",IF(O24=[1]CURSOS!$D$15,"SOPORTE VITAL BASICO (BLS)",IF(O24=[1]CURSOS!$D$16,"ATENCION A VICTIMAS DE VIOLENCIA SEXUAL ",IF(O24=[1]CURSOS!$D$17,"PROGRAMADO AMPLIADO DE INMUNIZACION (PAI - COVID 19)",IF(O24=[1]CURSOS!$D$18,"ATENCION INTEGRAL EN ENFERMEDADES PREVALENTES EN PRIMERA INFANCIA (AIEPI)",IF(O24=[1]CURSOS!$D$19,"ADMINISTRACION DE MEDICAMENTOS, INYECTOLOGIA  Y CANALIZACION ",IF(O24=[1]CURSOS!$D$20,"OPERADOR DE VEHICULOS DE EMERGENCIA (OVE)",IF(O24=[1]CURSOS!$D$21,"INSTITUCIONES AMIGAS DE LA MUJER Y LA INFANCIA (IAMI)",IF(O24=[1]CURSOS!$D$22,"CUIDADO DEL DONANTE DE ORGANOS",IF(O24=[1]CURSOS!$D$23,"ATENCION A VICTIMAS POR VIOLENCIA DE GENERO",IF(O24=[1]CURSOS!$D$24,"IGUALDAD DE GENERO EN LA SALUD",IF(O24=[1]CURSOS!$D$25,"BRIGADA DE EMERGENCIA",IF(O24=[1]CURSOS!$D$26,"MANEJO DEL DOLOR Y CUIDADOS PALIATIVOS",IF(O24=[1]CURSOS!$D$27,"TOMA DE MUESTRAS Y LABORATORIO POCT",IF(O24=[1]CURSOS!$D$28,"IMPLANTE SUBDERMICO DE DISPOSITIVO INTRAUTERINO",IF(O24=[1]CURSOS!$D$29,"SALUD MENTAL",IF(O24=[1]CURSOS!$D$30,"PRIMEROS AUXILIOS PSICOLOGICOS",IF(O24=[1]CURSOS!$D$31,"ATENCION A VICTIMAS POR CONFLICTO ARMADO",IF(O24=[1]CURSOS!$D$32,"MANIPULACION DE ALIMENTOS Y BPM",IF(O24=[1]CURSOS!$D$33,"ATENCION A PERSONAS CON DISCAPACIDAD",IF(O24=[1]CURSOS!$D$34,"CUIDADO INTEGRAL DEL PACIENTE ADULTO",IF(O24=[1]CURSOS!$D$35,"MANEJO DEFENSIVO",IF(O24=[1]CURSOS!$D$36,"SOPORTE CARDIOVASCULAR AVANZADO NEONATAL",IF(O24=[1]CURSOS!$D$37,"SEGURIDAD DEL PACIENTE")))))))))))))))))))))))))))))))))))</f>
        <v>ACOMPAÑAMIENTO Y MANEJO DEL DUELO</v>
      </c>
      <c r="V24" s="71" t="str">
        <f t="shared" si="0"/>
        <v>Jhon Fernando Cuatin Pastas</v>
      </c>
      <c r="W24" s="83" t="str">
        <f t="shared" si="1"/>
        <v>Jhon Fernando Cuatin Pastas</v>
      </c>
      <c r="X24" s="52" t="str">
        <f t="shared" si="2"/>
        <v>Jhon Fernando Cuatin Pastas-1088649692-DUELO</v>
      </c>
    </row>
    <row r="25" spans="1:24" s="55" customFormat="1" x14ac:dyDescent="0.2">
      <c r="A25" s="17">
        <v>24</v>
      </c>
      <c r="B25" s="80">
        <v>1085338931</v>
      </c>
      <c r="C25" s="17" t="s">
        <v>171</v>
      </c>
      <c r="D25" s="17" t="s">
        <v>172</v>
      </c>
      <c r="E25" s="17" t="s">
        <v>87</v>
      </c>
      <c r="F25" s="180" t="s">
        <v>378</v>
      </c>
      <c r="G25" s="171">
        <v>5</v>
      </c>
      <c r="H25" s="171" t="s">
        <v>181</v>
      </c>
      <c r="I25" s="171" t="s">
        <v>450</v>
      </c>
      <c r="J25" s="182">
        <v>45509</v>
      </c>
      <c r="K25" s="181">
        <v>40000</v>
      </c>
      <c r="L25" s="182" t="s">
        <v>328</v>
      </c>
      <c r="M25" s="171" t="s">
        <v>86</v>
      </c>
      <c r="N25" s="171" t="s">
        <v>334</v>
      </c>
      <c r="O25" s="183" t="s">
        <v>43</v>
      </c>
      <c r="P25" s="18">
        <v>35836</v>
      </c>
      <c r="Q25" s="121" t="s">
        <v>309</v>
      </c>
      <c r="R25" s="17" t="s">
        <v>432</v>
      </c>
      <c r="S25" s="82">
        <v>3127360420</v>
      </c>
      <c r="T25" s="37" t="s">
        <v>379</v>
      </c>
      <c r="U25" s="71" t="str">
        <f>IF(O25=[1]CURSOS!$D$3,"DIPLOMADO EN ATENCION PRE-HOSPITALARIA",IF(O25=[1]CURSOS!$D$4,"ACOMPAÑAMIENTO Y MANEJO DEL DUELO",IF(O25=[1]CURSOS!$D$5,"ATENCION A VICTIMAS DE ATAQUE CON AGENTES QUIMICOS ",IF(O25=[1]CURSOS!$D$6,"PRIMEROS AUXILIOS ",IF(O25=[1]CURSOS!$D$7,"DIPLOMADO DE UNIDAD DE CUIDADOS INTENSIVOS (UCI)",IF(O25=[1]CURSOS!$D$8,"MODELO DE ATENCION PARA EVENTOS EMERGENTES EN SALUD MENTAL (CODIGO VERDE)",IF(O25=[1]CURSOS!$D$9,"HUMANIZACION EN EL SERVICIO DE LA SALUD Y BUENAS PRACTICAS EN PACIENTE ",IF(O25=[1]CURSOS!$D$10,"CLINICA DE HERIDAS ",IF(O25=[1]CURSOS!$D$11,"TOMA DE CITOLOGIA CERVICO VAGINAL ",IF(O25=[1]CURSOS!$D$12,"SOPORTE CARDIOVASCULAR AVANZADO (ACLS) ",IF(O25=[1]CURSOS!$D$13,"CAMILLERO ",IF(O25=[1]CURSOS!$D$14,"TOMA DE MUESTRAS Y LABORATORIO ",IF(O25=[1]CURSOS!$D$15,"SOPORTE VITAL BASICO (BLS)",IF(O25=[1]CURSOS!$D$16,"ATENCION A VICTIMAS DE VIOLENCIA SEXUAL ",IF(O25=[1]CURSOS!$D$17,"PROGRAMADO AMPLIADO DE INMUNIZACION (PAI - COVID 19)",IF(O25=[1]CURSOS!$D$18,"ATENCION INTEGRAL EN ENFERMEDADES PREVALENTES EN PRIMERA INFANCIA (AIEPI)",IF(O25=[1]CURSOS!$D$19,"ADMINISTRACION DE MEDICAMENTOS, INYECTOLOGIA  Y CANALIZACION ",IF(O25=[1]CURSOS!$D$20,"OPERADOR DE VEHICULOS DE EMERGENCIA (OVE)",IF(O25=[1]CURSOS!$D$21,"INSTITUCIONES AMIGAS DE LA MUJER Y LA INFANCIA (IAMI)",IF(O25=[1]CURSOS!$D$22,"CUIDADO DEL DONANTE DE ORGANOS",IF(O25=[1]CURSOS!$D$23,"ATENCION A VICTIMAS POR VIOLENCIA DE GENERO",IF(O25=[1]CURSOS!$D$24,"IGUALDAD DE GENERO EN LA SALUD",IF(O25=[1]CURSOS!$D$25,"BRIGADA DE EMERGENCIA",IF(O25=[1]CURSOS!$D$26,"MANEJO DEL DOLOR Y CUIDADOS PALIATIVOS",IF(O25=[1]CURSOS!$D$27,"TOMA DE MUESTRAS Y LABORATORIO POCT",IF(O25=[1]CURSOS!$D$28,"IMPLANTE SUBDERMICO DE DISPOSITIVO INTRAUTERINO",IF(O25=[1]CURSOS!$D$29,"SALUD MENTAL",IF(O25=[1]CURSOS!$D$30,"PRIMEROS AUXILIOS PSICOLOGICOS",IF(O25=[1]CURSOS!$D$31,"ATENCION A VICTIMAS POR CONFLICTO ARMADO",IF(O25=[1]CURSOS!$D$32,"MANIPULACION DE ALIMENTOS Y BPM",IF(O25=[1]CURSOS!$D$33,"ATENCION A PERSONAS CON DISCAPACIDAD",IF(O25=[1]CURSOS!$D$34,"CUIDADO INTEGRAL DEL PACIENTE ADULTO",IF(O25=[1]CURSOS!$D$35,"MANEJO DEFENSIVO",IF(O25=[1]CURSOS!$D$36,"SOPORTE CARDIOVASCULAR AVANZADO NEONATAL",IF(O25=[1]CURSOS!$D$37,"SEGURIDAD DEL PACIENTE")))))))))))))))))))))))))))))))))))</f>
        <v xml:space="preserve">ATENCION A VICTIMAS DE VIOLENCIA SEXUAL </v>
      </c>
      <c r="V25" s="71" t="str">
        <f t="shared" si="0"/>
        <v>Maria Paula Eraso Casanova</v>
      </c>
      <c r="W25" s="83" t="str">
        <f t="shared" si="1"/>
        <v>Maria Paula Eraso Casanova</v>
      </c>
      <c r="X25" s="52" t="str">
        <f t="shared" si="2"/>
        <v>Maria Paula Eraso Casanova-1085338931-VIOLENCIA SEXUAL</v>
      </c>
    </row>
    <row r="26" spans="1:24" s="55" customFormat="1" x14ac:dyDescent="0.2">
      <c r="A26" s="17">
        <v>25</v>
      </c>
      <c r="B26" s="80">
        <v>1004564013</v>
      </c>
      <c r="C26" s="17" t="s">
        <v>380</v>
      </c>
      <c r="D26" s="17" t="s">
        <v>369</v>
      </c>
      <c r="E26" s="17" t="s">
        <v>381</v>
      </c>
      <c r="F26" s="180" t="s">
        <v>382</v>
      </c>
      <c r="G26" s="171">
        <v>5</v>
      </c>
      <c r="H26" s="171" t="s">
        <v>181</v>
      </c>
      <c r="I26" s="171" t="s">
        <v>450</v>
      </c>
      <c r="J26" s="182">
        <v>45509</v>
      </c>
      <c r="K26" s="181">
        <v>32000</v>
      </c>
      <c r="L26" s="182" t="s">
        <v>328</v>
      </c>
      <c r="M26" s="171" t="s">
        <v>86</v>
      </c>
      <c r="N26" s="171" t="s">
        <v>326</v>
      </c>
      <c r="O26" s="183" t="s">
        <v>43</v>
      </c>
      <c r="P26" s="18">
        <v>37106</v>
      </c>
      <c r="Q26" s="121" t="s">
        <v>309</v>
      </c>
      <c r="R26" s="17" t="s">
        <v>383</v>
      </c>
      <c r="S26" s="82">
        <v>3172936492</v>
      </c>
      <c r="T26" s="17" t="s">
        <v>384</v>
      </c>
      <c r="U26" s="71" t="str">
        <f>IF(O26=[1]CURSOS!$D$3,"DIPLOMADO EN ATENCION PRE-HOSPITALARIA",IF(O26=[1]CURSOS!$D$4,"ACOMPAÑAMIENTO Y MANEJO DEL DUELO",IF(O26=[1]CURSOS!$D$5,"ATENCION A VICTIMAS DE ATAQUE CON AGENTES QUIMICOS ",IF(O26=[1]CURSOS!$D$6,"PRIMEROS AUXILIOS ",IF(O26=[1]CURSOS!$D$7,"DIPLOMADO DE UNIDAD DE CUIDADOS INTENSIVOS (UCI)",IF(O26=[1]CURSOS!$D$8,"MODELO DE ATENCION PARA EVENTOS EMERGENTES EN SALUD MENTAL (CODIGO VERDE)",IF(O26=[1]CURSOS!$D$9,"HUMANIZACION EN EL SERVICIO DE LA SALUD Y BUENAS PRACTICAS EN PACIENTE ",IF(O26=[1]CURSOS!$D$10,"CLINICA DE HERIDAS ",IF(O26=[1]CURSOS!$D$11,"TOMA DE CITOLOGIA CERVICO VAGINAL ",IF(O26=[1]CURSOS!$D$12,"SOPORTE CARDIOVASCULAR AVANZADO (ACLS) ",IF(O26=[1]CURSOS!$D$13,"CAMILLERO ",IF(O26=[1]CURSOS!$D$14,"TOMA DE MUESTRAS Y LABORATORIO ",IF(O26=[1]CURSOS!$D$15,"SOPORTE VITAL BASICO (BLS)",IF(O26=[1]CURSOS!$D$16,"ATENCION A VICTIMAS DE VIOLENCIA SEXUAL ",IF(O26=[1]CURSOS!$D$17,"PROGRAMADO AMPLIADO DE INMUNIZACION (PAI - COVID 19)",IF(O26=[1]CURSOS!$D$18,"ATENCION INTEGRAL EN ENFERMEDADES PREVALENTES EN PRIMERA INFANCIA (AIEPI)",IF(O26=[1]CURSOS!$D$19,"ADMINISTRACION DE MEDICAMENTOS, INYECTOLOGIA  Y CANALIZACION ",IF(O26=[1]CURSOS!$D$20,"OPERADOR DE VEHICULOS DE EMERGENCIA (OVE)",IF(O26=[1]CURSOS!$D$21,"INSTITUCIONES AMIGAS DE LA MUJER Y LA INFANCIA (IAMI)",IF(O26=[1]CURSOS!$D$22,"CUIDADO DEL DONANTE DE ORGANOS",IF(O26=[1]CURSOS!$D$23,"ATENCION A VICTIMAS POR VIOLENCIA DE GENERO",IF(O26=[1]CURSOS!$D$24,"IGUALDAD DE GENERO EN LA SALUD",IF(O26=[1]CURSOS!$D$25,"BRIGADA DE EMERGENCIA",IF(O26=[1]CURSOS!$D$26,"MANEJO DEL DOLOR Y CUIDADOS PALIATIVOS",IF(O26=[1]CURSOS!$D$27,"TOMA DE MUESTRAS Y LABORATORIO POCT",IF(O26=[1]CURSOS!$D$28,"IMPLANTE SUBDERMICO DE DISPOSITIVO INTRAUTERINO",IF(O26=[1]CURSOS!$D$29,"SALUD MENTAL",IF(O26=[1]CURSOS!$D$30,"PRIMEROS AUXILIOS PSICOLOGICOS",IF(O26=[1]CURSOS!$D$31,"ATENCION A VICTIMAS POR CONFLICTO ARMADO",IF(O26=[1]CURSOS!$D$32,"MANIPULACION DE ALIMENTOS Y BPM",IF(O26=[1]CURSOS!$D$33,"ATENCION A PERSONAS CON DISCAPACIDAD",IF(O26=[1]CURSOS!$D$34,"CUIDADO INTEGRAL DEL PACIENTE ADULTO",IF(O26=[1]CURSOS!$D$35,"MANEJO DEFENSIVO",IF(O26=[1]CURSOS!$D$36,"SOPORTE CARDIOVASCULAR AVANZADO NEONATAL",IF(O26=[1]CURSOS!$D$37,"SEGURIDAD DEL PACIENTE")))))))))))))))))))))))))))))))))))</f>
        <v xml:space="preserve">ATENCION A VICTIMAS DE VIOLENCIA SEXUAL </v>
      </c>
      <c r="V26" s="71" t="str">
        <f t="shared" si="0"/>
        <v>Angie Daniela Riascos Ascuntar</v>
      </c>
      <c r="W26" s="83" t="str">
        <f t="shared" si="1"/>
        <v>Angie Daniela Riascos Ascuntar</v>
      </c>
      <c r="X26" s="52" t="str">
        <f t="shared" si="2"/>
        <v>Angie Daniela Riascos Ascuntar-1004564013-VIOLENCIA SEXUAL</v>
      </c>
    </row>
    <row r="27" spans="1:24" s="55" customFormat="1" x14ac:dyDescent="0.2">
      <c r="A27" s="17">
        <v>26</v>
      </c>
      <c r="B27" s="80">
        <v>1085315305</v>
      </c>
      <c r="C27" s="17" t="s">
        <v>385</v>
      </c>
      <c r="D27" s="17" t="s">
        <v>386</v>
      </c>
      <c r="E27" s="17" t="s">
        <v>147</v>
      </c>
      <c r="F27" s="180" t="s">
        <v>87</v>
      </c>
      <c r="G27" s="171">
        <v>6</v>
      </c>
      <c r="H27" s="171" t="s">
        <v>181</v>
      </c>
      <c r="I27" s="171" t="s">
        <v>450</v>
      </c>
      <c r="J27" s="182">
        <v>45510</v>
      </c>
      <c r="K27" s="181">
        <v>80000</v>
      </c>
      <c r="L27" s="171" t="s">
        <v>387</v>
      </c>
      <c r="M27" s="171" t="s">
        <v>86</v>
      </c>
      <c r="N27" s="171" t="s">
        <v>334</v>
      </c>
      <c r="O27" s="183" t="s">
        <v>43</v>
      </c>
      <c r="P27" s="18">
        <v>34590</v>
      </c>
      <c r="Q27" s="121" t="s">
        <v>309</v>
      </c>
      <c r="R27" s="17" t="s">
        <v>432</v>
      </c>
      <c r="S27" s="82">
        <v>3164738851</v>
      </c>
      <c r="T27" s="17" t="s">
        <v>388</v>
      </c>
      <c r="U27" s="71" t="str">
        <f>IF(O27=[1]CURSOS!$D$3,"DIPLOMADO EN ATENCION PRE-HOSPITALARIA",IF(O27=[1]CURSOS!$D$4,"ACOMPAÑAMIENTO Y MANEJO DEL DUELO",IF(O27=[1]CURSOS!$D$5,"ATENCION A VICTIMAS DE ATAQUE CON AGENTES QUIMICOS ",IF(O27=[1]CURSOS!$D$6,"PRIMEROS AUXILIOS ",IF(O27=[1]CURSOS!$D$7,"DIPLOMADO DE UNIDAD DE CUIDADOS INTENSIVOS (UCI)",IF(O27=[1]CURSOS!$D$8,"MODELO DE ATENCION PARA EVENTOS EMERGENTES EN SALUD MENTAL (CODIGO VERDE)",IF(O27=[1]CURSOS!$D$9,"HUMANIZACION EN EL SERVICIO DE LA SALUD Y BUENAS PRACTICAS EN PACIENTE ",IF(O27=[1]CURSOS!$D$10,"CLINICA DE HERIDAS ",IF(O27=[1]CURSOS!$D$11,"TOMA DE CITOLOGIA CERVICO VAGINAL ",IF(O27=[1]CURSOS!$D$12,"SOPORTE CARDIOVASCULAR AVANZADO (ACLS) ",IF(O27=[1]CURSOS!$D$13,"CAMILLERO ",IF(O27=[1]CURSOS!$D$14,"TOMA DE MUESTRAS Y LABORATORIO ",IF(O27=[1]CURSOS!$D$15,"SOPORTE VITAL BASICO (BLS)",IF(O27=[1]CURSOS!$D$16,"ATENCION A VICTIMAS DE VIOLENCIA SEXUAL ",IF(O27=[1]CURSOS!$D$17,"PROGRAMADO AMPLIADO DE INMUNIZACION (PAI - COVID 19)",IF(O27=[1]CURSOS!$D$18,"ATENCION INTEGRAL EN ENFERMEDADES PREVALENTES EN PRIMERA INFANCIA (AIEPI)",IF(O27=[1]CURSOS!$D$19,"ADMINISTRACION DE MEDICAMENTOS, INYECTOLOGIA  Y CANALIZACION ",IF(O27=[1]CURSOS!$D$20,"OPERADOR DE VEHICULOS DE EMERGENCIA (OVE)",IF(O27=[1]CURSOS!$D$21,"INSTITUCIONES AMIGAS DE LA MUJER Y LA INFANCIA (IAMI)",IF(O27=[1]CURSOS!$D$22,"CUIDADO DEL DONANTE DE ORGANOS",IF(O27=[1]CURSOS!$D$23,"ATENCION A VICTIMAS POR VIOLENCIA DE GENERO",IF(O27=[1]CURSOS!$D$24,"IGUALDAD DE GENERO EN LA SALUD",IF(O27=[1]CURSOS!$D$25,"BRIGADA DE EMERGENCIA",IF(O27=[1]CURSOS!$D$26,"MANEJO DEL DOLOR Y CUIDADOS PALIATIVOS",IF(O27=[1]CURSOS!$D$27,"TOMA DE MUESTRAS Y LABORATORIO POCT",IF(O27=[1]CURSOS!$D$28,"IMPLANTE SUBDERMICO DE DISPOSITIVO INTRAUTERINO",IF(O27=[1]CURSOS!$D$29,"SALUD MENTAL",IF(O27=[1]CURSOS!$D$30,"PRIMEROS AUXILIOS PSICOLOGICOS",IF(O27=[1]CURSOS!$D$31,"ATENCION A VICTIMAS POR CONFLICTO ARMADO",IF(O27=[1]CURSOS!$D$32,"MANIPULACION DE ALIMENTOS Y BPM",IF(O27=[1]CURSOS!$D$33,"ATENCION A PERSONAS CON DISCAPACIDAD",IF(O27=[1]CURSOS!$D$34,"CUIDADO INTEGRAL DEL PACIENTE ADULTO",IF(O27=[1]CURSOS!$D$35,"MANEJO DEFENSIVO",IF(O27=[1]CURSOS!$D$36,"SOPORTE CARDIOVASCULAR AVANZADO NEONATAL",IF(O27=[1]CURSOS!$D$37,"SEGURIDAD DEL PACIENTE")))))))))))))))))))))))))))))))))))</f>
        <v xml:space="preserve">ATENCION A VICTIMAS DE VIOLENCIA SEXUAL </v>
      </c>
      <c r="V27" s="71" t="str">
        <f t="shared" si="0"/>
        <v>Luisa Maria Dulce Miño</v>
      </c>
      <c r="W27" s="83" t="str">
        <f t="shared" si="1"/>
        <v>Luisa Maria Dulce Miño</v>
      </c>
      <c r="X27" s="52" t="str">
        <f t="shared" si="2"/>
        <v>Luisa Maria Dulce Miño-1085315305-VIOLENCIA SEXUAL</v>
      </c>
    </row>
    <row r="28" spans="1:24" x14ac:dyDescent="0.2">
      <c r="A28" s="17">
        <v>27</v>
      </c>
      <c r="B28" s="161">
        <v>1085325917</v>
      </c>
      <c r="C28" s="76" t="s">
        <v>390</v>
      </c>
      <c r="D28" s="76" t="s">
        <v>120</v>
      </c>
      <c r="E28" s="76" t="s">
        <v>391</v>
      </c>
      <c r="F28" s="184" t="s">
        <v>389</v>
      </c>
      <c r="G28" s="185">
        <v>1</v>
      </c>
      <c r="H28" s="185" t="s">
        <v>181</v>
      </c>
      <c r="I28" s="171" t="s">
        <v>450</v>
      </c>
      <c r="J28" s="182">
        <v>45511</v>
      </c>
      <c r="K28" s="186">
        <v>80000</v>
      </c>
      <c r="L28" s="185" t="s">
        <v>322</v>
      </c>
      <c r="M28" s="185" t="s">
        <v>392</v>
      </c>
      <c r="N28" s="185" t="s">
        <v>334</v>
      </c>
      <c r="O28" s="179" t="s">
        <v>19</v>
      </c>
      <c r="P28" s="77">
        <v>35077</v>
      </c>
      <c r="Q28" s="123" t="s">
        <v>316</v>
      </c>
      <c r="R28" s="17" t="s">
        <v>393</v>
      </c>
      <c r="S28" s="126">
        <v>3159286388</v>
      </c>
      <c r="T28" s="78" t="s">
        <v>394</v>
      </c>
      <c r="U28" s="71" t="str">
        <f>IF(O28=[1]CURSOS!$D$3,"DIPLOMADO EN ATENCION PRE-HOSPITALARIA",IF(O28=[1]CURSOS!$D$4,"ACOMPAÑAMIENTO Y MANEJO DEL DUELO",IF(O28=[1]CURSOS!$D$5,"ATENCION A VICTIMAS DE ATAQUE CON AGENTES QUIMICOS ",IF(O28=[1]CURSOS!$D$6,"PRIMEROS AUXILIOS ",IF(O28=[1]CURSOS!$D$7,"DIPLOMADO DE UNIDAD DE CUIDADOS INTENSIVOS (UCI)",IF(O28=[1]CURSOS!$D$8,"MODELO DE ATENCION PARA EVENTOS EMERGENTES EN SALUD MENTAL (CODIGO VERDE)",IF(O28=[1]CURSOS!$D$9,"HUMANIZACION EN EL SERVICIO DE LA SALUD Y BUENAS PRACTICAS EN PACIENTE ",IF(O28=[1]CURSOS!$D$10,"CLINICA DE HERIDAS ",IF(O28=[1]CURSOS!$D$11,"TOMA DE CITOLOGIA CERVICO VAGINAL ",IF(O28=[1]CURSOS!$D$12,"SOPORTE CARDIOVASCULAR AVANZADO (ACLS) ",IF(O28=[1]CURSOS!$D$13,"CAMILLERO ",IF(O28=[1]CURSOS!$D$14,"TOMA DE MUESTRAS Y LABORATORIO ",IF(O28=[1]CURSOS!$D$15,"SOPORTE VITAL BASICO (BLS)",IF(O28=[1]CURSOS!$D$16,"ATENCION A VICTIMAS DE VIOLENCIA SEXUAL ",IF(O28=[1]CURSOS!$D$17,"PROGRAMADO AMPLIADO DE INMUNIZACION (PAI - COVID 19)",IF(O28=[1]CURSOS!$D$18,"ATENCION INTEGRAL EN ENFERMEDADES PREVALENTES EN PRIMERA INFANCIA (AIEPI)",IF(O28=[1]CURSOS!$D$19,"ADMINISTRACION DE MEDICAMENTOS, INYECTOLOGIA  Y CANALIZACION ",IF(O28=[1]CURSOS!$D$20,"OPERADOR DE VEHICULOS DE EMERGENCIA (OVE)",IF(O28=[1]CURSOS!$D$21,"INSTITUCIONES AMIGAS DE LA MUJER Y LA INFANCIA (IAMI)",IF(O28=[1]CURSOS!$D$22,"CUIDADO DEL DONANTE DE ORGANOS",IF(O28=[1]CURSOS!$D$23,"ATENCION A VICTIMAS POR VIOLENCIA DE GENERO",IF(O28=[1]CURSOS!$D$24,"IGUALDAD DE GENERO EN LA SALUD",IF(O28=[1]CURSOS!$D$25,"BRIGADA DE EMERGENCIA",IF(O28=[1]CURSOS!$D$26,"MANEJO DEL DOLOR Y CUIDADOS PALIATIVOS",IF(O28=[1]CURSOS!$D$27,"TOMA DE MUESTRAS Y LABORATORIO POCT",IF(O28=[1]CURSOS!$D$28,"IMPLANTE SUBDERMICO DE DISPOSITIVO INTRAUTERINO",IF(O28=[1]CURSOS!$D$29,"SALUD MENTAL",IF(O28=[1]CURSOS!$D$30,"PRIMEROS AUXILIOS PSICOLOGICOS",IF(O28=[1]CURSOS!$D$31,"ATENCION A VICTIMAS POR CONFLICTO ARMADO",IF(O28=[1]CURSOS!$D$32,"MANIPULACION DE ALIMENTOS Y BPM",IF(O28=[1]CURSOS!$D$33,"ATENCION A PERSONAS CON DISCAPACIDAD",IF(O28=[1]CURSOS!$D$34,"CUIDADO INTEGRAL DEL PACIENTE ADULTO",IF(O28=[1]CURSOS!$D$35,"MANEJO DEFENSIVO",IF(O28=[1]CURSOS!$D$36,"SOPORTE CARDIOVASCULAR AVANZADO NEONATAL",IF(O28=[1]CURSOS!$D$37,"SEGURIDAD DEL PACIENTE")))))))))))))))))))))))))))))))))))</f>
        <v>SOPORTE VITAL BASICO (BLS)</v>
      </c>
      <c r="V28" s="71" t="str">
        <f t="shared" si="0"/>
        <v>Juan  fernando rosas Coral</v>
      </c>
      <c r="W28" s="83" t="str">
        <f t="shared" si="1"/>
        <v>Juan  Fernando Rosas Coral</v>
      </c>
      <c r="X28" s="52" t="str">
        <f t="shared" si="2"/>
        <v>Juan  fernando rosas Coral-1085325917-BLS</v>
      </c>
    </row>
    <row r="29" spans="1:24" s="79" customFormat="1" x14ac:dyDescent="0.2">
      <c r="A29" s="17">
        <v>28</v>
      </c>
      <c r="B29" s="161">
        <v>1088731517</v>
      </c>
      <c r="C29" s="76" t="s">
        <v>395</v>
      </c>
      <c r="D29" s="76" t="s">
        <v>123</v>
      </c>
      <c r="E29" s="76" t="s">
        <v>396</v>
      </c>
      <c r="F29" s="184" t="s">
        <v>397</v>
      </c>
      <c r="G29" s="185">
        <v>1</v>
      </c>
      <c r="H29" s="185" t="s">
        <v>181</v>
      </c>
      <c r="I29" s="171" t="s">
        <v>450</v>
      </c>
      <c r="J29" s="182">
        <v>45512</v>
      </c>
      <c r="K29" s="186">
        <v>32000</v>
      </c>
      <c r="L29" s="185" t="s">
        <v>328</v>
      </c>
      <c r="M29" s="185" t="s">
        <v>392</v>
      </c>
      <c r="N29" s="185" t="s">
        <v>326</v>
      </c>
      <c r="O29" s="179" t="s">
        <v>19</v>
      </c>
      <c r="P29" s="77">
        <v>32140</v>
      </c>
      <c r="Q29" s="123" t="s">
        <v>316</v>
      </c>
      <c r="R29" s="17" t="s">
        <v>393</v>
      </c>
      <c r="S29" s="126">
        <v>3154367055</v>
      </c>
      <c r="T29" s="76" t="s">
        <v>398</v>
      </c>
      <c r="U29" s="71" t="str">
        <f>IF(O29=[1]CURSOS!$D$3,"DIPLOMADO EN ATENCION PRE-HOSPITALARIA",IF(O29=[1]CURSOS!$D$4,"ACOMPAÑAMIENTO Y MANEJO DEL DUELO",IF(O29=[1]CURSOS!$D$5,"ATENCION A VICTIMAS DE ATAQUE CON AGENTES QUIMICOS ",IF(O29=[1]CURSOS!$D$6,"PRIMEROS AUXILIOS ",IF(O29=[1]CURSOS!$D$7,"DIPLOMADO DE UNIDAD DE CUIDADOS INTENSIVOS (UCI)",IF(O29=[1]CURSOS!$D$8,"MODELO DE ATENCION PARA EVENTOS EMERGENTES EN SALUD MENTAL (CODIGO VERDE)",IF(O29=[1]CURSOS!$D$9,"HUMANIZACION EN EL SERVICIO DE LA SALUD Y BUENAS PRACTICAS EN PACIENTE ",IF(O29=[1]CURSOS!$D$10,"CLINICA DE HERIDAS ",IF(O29=[1]CURSOS!$D$11,"TOMA DE CITOLOGIA CERVICO VAGINAL ",IF(O29=[1]CURSOS!$D$12,"SOPORTE CARDIOVASCULAR AVANZADO (ACLS) ",IF(O29=[1]CURSOS!$D$13,"CAMILLERO ",IF(O29=[1]CURSOS!$D$14,"TOMA DE MUESTRAS Y LABORATORIO ",IF(O29=[1]CURSOS!$D$15,"SOPORTE VITAL BASICO (BLS)",IF(O29=[1]CURSOS!$D$16,"ATENCION A VICTIMAS DE VIOLENCIA SEXUAL ",IF(O29=[1]CURSOS!$D$17,"PROGRAMADO AMPLIADO DE INMUNIZACION (PAI - COVID 19)",IF(O29=[1]CURSOS!$D$18,"ATENCION INTEGRAL EN ENFERMEDADES PREVALENTES EN PRIMERA INFANCIA (AIEPI)",IF(O29=[1]CURSOS!$D$19,"ADMINISTRACION DE MEDICAMENTOS, INYECTOLOGIA  Y CANALIZACION ",IF(O29=[1]CURSOS!$D$20,"OPERADOR DE VEHICULOS DE EMERGENCIA (OVE)",IF(O29=[1]CURSOS!$D$21,"INSTITUCIONES AMIGAS DE LA MUJER Y LA INFANCIA (IAMI)",IF(O29=[1]CURSOS!$D$22,"CUIDADO DEL DONANTE DE ORGANOS",IF(O29=[1]CURSOS!$D$23,"ATENCION A VICTIMAS POR VIOLENCIA DE GENERO",IF(O29=[1]CURSOS!$D$24,"IGUALDAD DE GENERO EN LA SALUD",IF(O29=[1]CURSOS!$D$25,"BRIGADA DE EMERGENCIA",IF(O29=[1]CURSOS!$D$26,"MANEJO DEL DOLOR Y CUIDADOS PALIATIVOS",IF(O29=[1]CURSOS!$D$27,"TOMA DE MUESTRAS Y LABORATORIO POCT",IF(O29=[1]CURSOS!$D$28,"IMPLANTE SUBDERMICO DE DISPOSITIVO INTRAUTERINO",IF(O29=[1]CURSOS!$D$29,"SALUD MENTAL",IF(O29=[1]CURSOS!$D$30,"PRIMEROS AUXILIOS PSICOLOGICOS",IF(O29=[1]CURSOS!$D$31,"ATENCION A VICTIMAS POR CONFLICTO ARMADO",IF(O29=[1]CURSOS!$D$32,"MANIPULACION DE ALIMENTOS Y BPM",IF(O29=[1]CURSOS!$D$33,"ATENCION A PERSONAS CON DISCAPACIDAD",IF(O29=[1]CURSOS!$D$34,"CUIDADO INTEGRAL DEL PACIENTE ADULTO",IF(O29=[1]CURSOS!$D$35,"MANEJO DEFENSIVO",IF(O29=[1]CURSOS!$D$36,"SOPORTE CARDIOVASCULAR AVANZADO NEONATAL",IF(O29=[1]CURSOS!$D$37,"SEGURIDAD DEL PACIENTE")))))))))))))))))))))))))))))))))))</f>
        <v>SOPORTE VITAL BASICO (BLS)</v>
      </c>
      <c r="V29" s="71" t="str">
        <f t="shared" si="0"/>
        <v>Martín Eduardo Salas  Ibarra</v>
      </c>
      <c r="W29" s="83" t="str">
        <f t="shared" si="1"/>
        <v>Martín Eduardo Salas  Ibarra</v>
      </c>
      <c r="X29" s="52" t="str">
        <f t="shared" si="2"/>
        <v>Martín Eduardo Salas  Ibarra-1088731517-BLS</v>
      </c>
    </row>
    <row r="30" spans="1:24" s="55" customFormat="1" x14ac:dyDescent="0.2">
      <c r="A30" s="17">
        <v>29</v>
      </c>
      <c r="B30" s="80">
        <v>1085341995</v>
      </c>
      <c r="C30" s="17" t="s">
        <v>100</v>
      </c>
      <c r="D30" s="17" t="s">
        <v>118</v>
      </c>
      <c r="E30" s="17" t="s">
        <v>399</v>
      </c>
      <c r="F30" s="180" t="s">
        <v>400</v>
      </c>
      <c r="G30" s="171">
        <v>8</v>
      </c>
      <c r="H30" s="171" t="s">
        <v>181</v>
      </c>
      <c r="I30" s="171" t="s">
        <v>450</v>
      </c>
      <c r="J30" s="182">
        <v>45512</v>
      </c>
      <c r="K30" s="181">
        <v>130000</v>
      </c>
      <c r="L30" s="171" t="s">
        <v>322</v>
      </c>
      <c r="M30" s="171" t="s">
        <v>86</v>
      </c>
      <c r="N30" s="171" t="s">
        <v>334</v>
      </c>
      <c r="O30" s="183" t="s">
        <v>38</v>
      </c>
      <c r="P30" s="18">
        <v>36038</v>
      </c>
      <c r="Q30" s="121" t="s">
        <v>316</v>
      </c>
      <c r="R30" s="17" t="s">
        <v>401</v>
      </c>
      <c r="S30" s="82">
        <v>3122171880</v>
      </c>
      <c r="T30" s="17" t="s">
        <v>402</v>
      </c>
      <c r="U30" s="71" t="str">
        <f>IF(O30=[1]CURSOS!$D$3,"DIPLOMADO EN ATENCION PRE-HOSPITALARIA",IF(O30=[1]CURSOS!$D$4,"ACOMPAÑAMIENTO Y MANEJO DEL DUELO",IF(O30=[1]CURSOS!$D$5,"ATENCION A VICTIMAS DE ATAQUE CON AGENTES QUIMICOS ",IF(O30=[1]CURSOS!$D$6,"PRIMEROS AUXILIOS ",IF(O30=[1]CURSOS!$D$7,"DIPLOMADO DE UNIDAD DE CUIDADOS INTENSIVOS (UCI)",IF(O30=[1]CURSOS!$D$8,"MODELO DE ATENCION PARA EVENTOS EMERGENTES EN SALUD MENTAL (CODIGO VERDE)",IF(O30=[1]CURSOS!$D$9,"HUMANIZACION EN EL SERVICIO DE LA SALUD Y BUENAS PRACTICAS EN PACIENTE ",IF(O30=[1]CURSOS!$D$10,"CLINICA DE HERIDAS ",IF(O30=[1]CURSOS!$D$11,"TOMA DE CITOLOGIA CERVICO VAGINAL ",IF(O30=[1]CURSOS!$D$12,"SOPORTE CARDIOVASCULAR AVANZADO (ACLS) ",IF(O30=[1]CURSOS!$D$13,"CAMILLERO ",IF(O30=[1]CURSOS!$D$14,"TOMA DE MUESTRAS Y LABORATORIO ",IF(O30=[1]CURSOS!$D$15,"SOPORTE VITAL BASICO (BLS)",IF(O30=[1]CURSOS!$D$16,"ATENCION A VICTIMAS DE VIOLENCIA SEXUAL ",IF(O30=[1]CURSOS!$D$17,"PROGRAMADO AMPLIADO DE INMUNIZACION (PAI - COVID 19)",IF(O30=[1]CURSOS!$D$18,"ATENCION INTEGRAL EN ENFERMEDADES PREVALENTES EN PRIMERA INFANCIA (AIEPI)",IF(O30=[1]CURSOS!$D$19,"ADMINISTRACION DE MEDICAMENTOS, INYECTOLOGIA  Y CANALIZACION ",IF(O30=[1]CURSOS!$D$20,"OPERADOR DE VEHICULOS DE EMERGENCIA (OVE)",IF(O30=[1]CURSOS!$D$21,"INSTITUCIONES AMIGAS DE LA MUJER Y LA INFANCIA (IAMI)",IF(O30=[1]CURSOS!$D$22,"CUIDADO DEL DONANTE DE ORGANOS",IF(O30=[1]CURSOS!$D$23,"ATENCION A VICTIMAS POR VIOLENCIA DE GENERO",IF(O30=[1]CURSOS!$D$24,"IGUALDAD DE GENERO EN LA SALUD",IF(O30=[1]CURSOS!$D$25,"BRIGADA DE EMERGENCIA",IF(O30=[1]CURSOS!$D$26,"MANEJO DEL DOLOR Y CUIDADOS PALIATIVOS",IF(O30=[1]CURSOS!$D$27,"TOMA DE MUESTRAS Y LABORATORIO POCT",IF(O30=[1]CURSOS!$D$28,"IMPLANTE SUBDERMICO DE DISPOSITIVO INTRAUTERINO",IF(O30=[1]CURSOS!$D$29,"SALUD MENTAL",IF(O30=[1]CURSOS!$D$30,"PRIMEROS AUXILIOS PSICOLOGICOS",IF(O30=[1]CURSOS!$D$31,"ATENCION A VICTIMAS POR CONFLICTO ARMADO",IF(O30=[1]CURSOS!$D$32,"MANIPULACION DE ALIMENTOS Y BPM",IF(O30=[1]CURSOS!$D$33,"ATENCION A PERSONAS CON DISCAPACIDAD",IF(O30=[1]CURSOS!$D$34,"CUIDADO INTEGRAL DEL PACIENTE ADULTO",IF(O30=[1]CURSOS!$D$35,"MANEJO DEFENSIVO",IF(O30=[1]CURSOS!$D$36,"SOPORTE CARDIOVASCULAR AVANZADO NEONATAL",IF(O30=[1]CURSOS!$D$37,"SEGURIDAD DEL PACIENTE")))))))))))))))))))))))))))))))))))</f>
        <v xml:space="preserve">SOPORTE CARDIOVASCULAR AVANZADO (ACLS) </v>
      </c>
      <c r="V30" s="71" t="str">
        <f t="shared" si="0"/>
        <v>Johan Sebastián Guerrero Castro</v>
      </c>
      <c r="W30" s="83" t="str">
        <f t="shared" si="1"/>
        <v>Johan Sebastián Guerrero Castro</v>
      </c>
      <c r="X30" s="52" t="str">
        <f t="shared" si="2"/>
        <v>Johan Sebastián Guerrero Castro-1085341995-ACLS</v>
      </c>
    </row>
    <row r="31" spans="1:24" s="55" customFormat="1" x14ac:dyDescent="0.2">
      <c r="A31" s="17">
        <v>30</v>
      </c>
      <c r="B31" s="80">
        <v>1004631974</v>
      </c>
      <c r="C31" s="17" t="s">
        <v>380</v>
      </c>
      <c r="D31" s="17" t="s">
        <v>95</v>
      </c>
      <c r="E31" s="17" t="s">
        <v>319</v>
      </c>
      <c r="F31" s="180" t="s">
        <v>128</v>
      </c>
      <c r="G31" s="171">
        <v>8</v>
      </c>
      <c r="H31" s="171" t="s">
        <v>181</v>
      </c>
      <c r="I31" s="171" t="s">
        <v>450</v>
      </c>
      <c r="J31" s="182">
        <v>45512</v>
      </c>
      <c r="K31" s="181">
        <v>30000</v>
      </c>
      <c r="L31" s="171" t="s">
        <v>322</v>
      </c>
      <c r="M31" s="171" t="s">
        <v>86</v>
      </c>
      <c r="N31" s="171" t="s">
        <v>308</v>
      </c>
      <c r="O31" s="183" t="s">
        <v>19</v>
      </c>
      <c r="P31" s="18">
        <v>37878</v>
      </c>
      <c r="Q31" s="121" t="s">
        <v>309</v>
      </c>
      <c r="R31" s="17" t="s">
        <v>315</v>
      </c>
      <c r="S31" s="82">
        <v>3225460871</v>
      </c>
      <c r="T31" s="17" t="s">
        <v>403</v>
      </c>
      <c r="U31" s="71" t="str">
        <f>IF(O31=[1]CURSOS!$D$3,"DIPLOMADO EN ATENCION PRE-HOSPITALARIA",IF(O31=[1]CURSOS!$D$4,"ACOMPAÑAMIENTO Y MANEJO DEL DUELO",IF(O31=[1]CURSOS!$D$5,"ATENCION A VICTIMAS DE ATAQUE CON AGENTES QUIMICOS ",IF(O31=[1]CURSOS!$D$6,"PRIMEROS AUXILIOS ",IF(O31=[1]CURSOS!$D$7,"DIPLOMADO DE UNIDAD DE CUIDADOS INTENSIVOS (UCI)",IF(O31=[1]CURSOS!$D$8,"MODELO DE ATENCION PARA EVENTOS EMERGENTES EN SALUD MENTAL (CODIGO VERDE)",IF(O31=[1]CURSOS!$D$9,"HUMANIZACION EN EL SERVICIO DE LA SALUD Y BUENAS PRACTICAS EN PACIENTE ",IF(O31=[1]CURSOS!$D$10,"CLINICA DE HERIDAS ",IF(O31=[1]CURSOS!$D$11,"TOMA DE CITOLOGIA CERVICO VAGINAL ",IF(O31=[1]CURSOS!$D$12,"SOPORTE CARDIOVASCULAR AVANZADO (ACLS) ",IF(O31=[1]CURSOS!$D$13,"CAMILLERO ",IF(O31=[1]CURSOS!$D$14,"TOMA DE MUESTRAS Y LABORATORIO ",IF(O31=[1]CURSOS!$D$15,"SOPORTE VITAL BASICO (BLS)",IF(O31=[1]CURSOS!$D$16,"ATENCION A VICTIMAS DE VIOLENCIA SEXUAL ",IF(O31=[1]CURSOS!$D$17,"PROGRAMADO AMPLIADO DE INMUNIZACION (PAI - COVID 19)",IF(O31=[1]CURSOS!$D$18,"ATENCION INTEGRAL EN ENFERMEDADES PREVALENTES EN PRIMERA INFANCIA (AIEPI)",IF(O31=[1]CURSOS!$D$19,"ADMINISTRACION DE MEDICAMENTOS, INYECTOLOGIA  Y CANALIZACION ",IF(O31=[1]CURSOS!$D$20,"OPERADOR DE VEHICULOS DE EMERGENCIA (OVE)",IF(O31=[1]CURSOS!$D$21,"INSTITUCIONES AMIGAS DE LA MUJER Y LA INFANCIA (IAMI)",IF(O31=[1]CURSOS!$D$22,"CUIDADO DEL DONANTE DE ORGANOS",IF(O31=[1]CURSOS!$D$23,"ATENCION A VICTIMAS POR VIOLENCIA DE GENERO",IF(O31=[1]CURSOS!$D$24,"IGUALDAD DE GENERO EN LA SALUD",IF(O31=[1]CURSOS!$D$25,"BRIGADA DE EMERGENCIA",IF(O31=[1]CURSOS!$D$26,"MANEJO DEL DOLOR Y CUIDADOS PALIATIVOS",IF(O31=[1]CURSOS!$D$27,"TOMA DE MUESTRAS Y LABORATORIO POCT",IF(O31=[1]CURSOS!$D$28,"IMPLANTE SUBDERMICO DE DISPOSITIVO INTRAUTERINO",IF(O31=[1]CURSOS!$D$29,"SALUD MENTAL",IF(O31=[1]CURSOS!$D$30,"PRIMEROS AUXILIOS PSICOLOGICOS",IF(O31=[1]CURSOS!$D$31,"ATENCION A VICTIMAS POR CONFLICTO ARMADO",IF(O31=[1]CURSOS!$D$32,"MANIPULACION DE ALIMENTOS Y BPM",IF(O31=[1]CURSOS!$D$33,"ATENCION A PERSONAS CON DISCAPACIDAD",IF(O31=[1]CURSOS!$D$34,"CUIDADO INTEGRAL DEL PACIENTE ADULTO",IF(O31=[1]CURSOS!$D$35,"MANEJO DEFENSIVO",IF(O31=[1]CURSOS!$D$36,"SOPORTE CARDIOVASCULAR AVANZADO NEONATAL",IF(O31=[1]CURSOS!$D$37,"SEGURIDAD DEL PACIENTE")))))))))))))))))))))))))))))))))))</f>
        <v>SOPORTE VITAL BASICO (BLS)</v>
      </c>
      <c r="V31" s="71" t="str">
        <f t="shared" si="0"/>
        <v>Claudia Milena Riascos Pantoja</v>
      </c>
      <c r="W31" s="83" t="str">
        <f t="shared" si="1"/>
        <v>Claudia Milena Riascos Pantoja</v>
      </c>
      <c r="X31" s="52" t="str">
        <f t="shared" si="2"/>
        <v>Claudia Milena Riascos Pantoja-1004631974-BLS</v>
      </c>
    </row>
    <row r="32" spans="1:24" s="55" customFormat="1" x14ac:dyDescent="0.2">
      <c r="A32" s="17">
        <v>31</v>
      </c>
      <c r="B32" s="80">
        <v>1004508289</v>
      </c>
      <c r="C32" s="17" t="s">
        <v>404</v>
      </c>
      <c r="D32" s="17" t="s">
        <v>405</v>
      </c>
      <c r="E32" s="17" t="s">
        <v>406</v>
      </c>
      <c r="F32" s="180" t="s">
        <v>221</v>
      </c>
      <c r="G32" s="171">
        <v>9</v>
      </c>
      <c r="H32" s="171" t="s">
        <v>181</v>
      </c>
      <c r="I32" s="171" t="s">
        <v>450</v>
      </c>
      <c r="J32" s="182">
        <v>45512</v>
      </c>
      <c r="K32" s="181">
        <v>80000</v>
      </c>
      <c r="L32" s="171" t="s">
        <v>438</v>
      </c>
      <c r="M32" s="171" t="s">
        <v>86</v>
      </c>
      <c r="N32" s="171" t="s">
        <v>334</v>
      </c>
      <c r="O32" s="183" t="s">
        <v>19</v>
      </c>
      <c r="P32" s="18">
        <v>37315</v>
      </c>
      <c r="Q32" s="121" t="s">
        <v>309</v>
      </c>
      <c r="R32" s="17" t="s">
        <v>315</v>
      </c>
      <c r="S32" s="82">
        <v>3163996653</v>
      </c>
      <c r="T32" s="17" t="s">
        <v>407</v>
      </c>
      <c r="U32" s="71" t="str">
        <f>IF(O32=[1]CURSOS!$D$3,"DIPLOMADO EN ATENCION PRE-HOSPITALARIA",IF(O32=[1]CURSOS!$D$4,"ACOMPAÑAMIENTO Y MANEJO DEL DUELO",IF(O32=[1]CURSOS!$D$5,"ATENCION A VICTIMAS DE ATAQUE CON AGENTES QUIMICOS ",IF(O32=[1]CURSOS!$D$6,"PRIMEROS AUXILIOS ",IF(O32=[1]CURSOS!$D$7,"DIPLOMADO DE UNIDAD DE CUIDADOS INTENSIVOS (UCI)",IF(O32=[1]CURSOS!$D$8,"MODELO DE ATENCION PARA EVENTOS EMERGENTES EN SALUD MENTAL (CODIGO VERDE)",IF(O32=[1]CURSOS!$D$9,"HUMANIZACION EN EL SERVICIO DE LA SALUD Y BUENAS PRACTICAS EN PACIENTE ",IF(O32=[1]CURSOS!$D$10,"CLINICA DE HERIDAS ",IF(O32=[1]CURSOS!$D$11,"TOMA DE CITOLOGIA CERVICO VAGINAL ",IF(O32=[1]CURSOS!$D$12,"SOPORTE CARDIOVASCULAR AVANZADO (ACLS) ",IF(O32=[1]CURSOS!$D$13,"CAMILLERO ",IF(O32=[1]CURSOS!$D$14,"TOMA DE MUESTRAS Y LABORATORIO ",IF(O32=[1]CURSOS!$D$15,"SOPORTE VITAL BASICO (BLS)",IF(O32=[1]CURSOS!$D$16,"ATENCION A VICTIMAS DE VIOLENCIA SEXUAL ",IF(O32=[1]CURSOS!$D$17,"PROGRAMADO AMPLIADO DE INMUNIZACION (PAI - COVID 19)",IF(O32=[1]CURSOS!$D$18,"ATENCION INTEGRAL EN ENFERMEDADES PREVALENTES EN PRIMERA INFANCIA (AIEPI)",IF(O32=[1]CURSOS!$D$19,"ADMINISTRACION DE MEDICAMENTOS, INYECTOLOGIA  Y CANALIZACION ",IF(O32=[1]CURSOS!$D$20,"OPERADOR DE VEHICULOS DE EMERGENCIA (OVE)",IF(O32=[1]CURSOS!$D$21,"INSTITUCIONES AMIGAS DE LA MUJER Y LA INFANCIA (IAMI)",IF(O32=[1]CURSOS!$D$22,"CUIDADO DEL DONANTE DE ORGANOS",IF(O32=[1]CURSOS!$D$23,"ATENCION A VICTIMAS POR VIOLENCIA DE GENERO",IF(O32=[1]CURSOS!$D$24,"IGUALDAD DE GENERO EN LA SALUD",IF(O32=[1]CURSOS!$D$25,"BRIGADA DE EMERGENCIA",IF(O32=[1]CURSOS!$D$26,"MANEJO DEL DOLOR Y CUIDADOS PALIATIVOS",IF(O32=[1]CURSOS!$D$27,"TOMA DE MUESTRAS Y LABORATORIO POCT",IF(O32=[1]CURSOS!$D$28,"IMPLANTE SUBDERMICO DE DISPOSITIVO INTRAUTERINO",IF(O32=[1]CURSOS!$D$29,"SALUD MENTAL",IF(O32=[1]CURSOS!$D$30,"PRIMEROS AUXILIOS PSICOLOGICOS",IF(O32=[1]CURSOS!$D$31,"ATENCION A VICTIMAS POR CONFLICTO ARMADO",IF(O32=[1]CURSOS!$D$32,"MANIPULACION DE ALIMENTOS Y BPM",IF(O32=[1]CURSOS!$D$33,"ATENCION A PERSONAS CON DISCAPACIDAD",IF(O32=[1]CURSOS!$D$34,"CUIDADO INTEGRAL DEL PACIENTE ADULTO",IF(O32=[1]CURSOS!$D$35,"MANEJO DEFENSIVO",IF(O32=[1]CURSOS!$D$36,"SOPORTE CARDIOVASCULAR AVANZADO NEONATAL",IF(O32=[1]CURSOS!$D$37,"SEGURIDAD DEL PACIENTE")))))))))))))))))))))))))))))))))))</f>
        <v>SOPORTE VITAL BASICO (BLS)</v>
      </c>
      <c r="V32" s="71" t="str">
        <f t="shared" si="0"/>
        <v>Aylin Yuliana Gomajoa López</v>
      </c>
      <c r="W32" s="83" t="str">
        <f t="shared" si="1"/>
        <v>Aylin Yuliana Gomajoa López</v>
      </c>
      <c r="X32" s="52" t="str">
        <f t="shared" si="2"/>
        <v>Aylin Yuliana Gomajoa López-1004508289-BLS</v>
      </c>
    </row>
    <row r="33" spans="1:24" s="55" customFormat="1" x14ac:dyDescent="0.2">
      <c r="A33" s="17">
        <v>32</v>
      </c>
      <c r="B33" s="80">
        <v>1085314430</v>
      </c>
      <c r="C33" s="17" t="s">
        <v>368</v>
      </c>
      <c r="D33" s="17" t="s">
        <v>408</v>
      </c>
      <c r="E33" s="17" t="s">
        <v>409</v>
      </c>
      <c r="F33" s="180" t="s">
        <v>410</v>
      </c>
      <c r="G33" s="171">
        <v>9</v>
      </c>
      <c r="H33" s="171" t="s">
        <v>181</v>
      </c>
      <c r="I33" s="171" t="s">
        <v>450</v>
      </c>
      <c r="J33" s="182">
        <v>45512</v>
      </c>
      <c r="K33" s="181">
        <v>80000</v>
      </c>
      <c r="L33" s="171" t="s">
        <v>333</v>
      </c>
      <c r="M33" s="171" t="s">
        <v>86</v>
      </c>
      <c r="N33" s="171" t="s">
        <v>334</v>
      </c>
      <c r="O33" s="183" t="s">
        <v>19</v>
      </c>
      <c r="P33" s="18">
        <v>34553</v>
      </c>
      <c r="Q33" s="121" t="s">
        <v>309</v>
      </c>
      <c r="R33" s="17" t="s">
        <v>411</v>
      </c>
      <c r="S33" s="82">
        <v>3152538594</v>
      </c>
      <c r="T33" s="17" t="s">
        <v>412</v>
      </c>
      <c r="U33" s="71" t="str">
        <f>IF(O33=[1]CURSOS!$D$3,"DIPLOMADO EN ATENCION PRE-HOSPITALARIA",IF(O33=[1]CURSOS!$D$4,"ACOMPAÑAMIENTO Y MANEJO DEL DUELO",IF(O33=[1]CURSOS!$D$5,"ATENCION A VICTIMAS DE ATAQUE CON AGENTES QUIMICOS ",IF(O33=[1]CURSOS!$D$6,"PRIMEROS AUXILIOS ",IF(O33=[1]CURSOS!$D$7,"DIPLOMADO DE UNIDAD DE CUIDADOS INTENSIVOS (UCI)",IF(O33=[1]CURSOS!$D$8,"MODELO DE ATENCION PARA EVENTOS EMERGENTES EN SALUD MENTAL (CODIGO VERDE)",IF(O33=[1]CURSOS!$D$9,"HUMANIZACION EN EL SERVICIO DE LA SALUD Y BUENAS PRACTICAS EN PACIENTE ",IF(O33=[1]CURSOS!$D$10,"CLINICA DE HERIDAS ",IF(O33=[1]CURSOS!$D$11,"TOMA DE CITOLOGIA CERVICO VAGINAL ",IF(O33=[1]CURSOS!$D$12,"SOPORTE CARDIOVASCULAR AVANZADO (ACLS) ",IF(O33=[1]CURSOS!$D$13,"CAMILLERO ",IF(O33=[1]CURSOS!$D$14,"TOMA DE MUESTRAS Y LABORATORIO ",IF(O33=[1]CURSOS!$D$15,"SOPORTE VITAL BASICO (BLS)",IF(O33=[1]CURSOS!$D$16,"ATENCION A VICTIMAS DE VIOLENCIA SEXUAL ",IF(O33=[1]CURSOS!$D$17,"PROGRAMADO AMPLIADO DE INMUNIZACION (PAI - COVID 19)",IF(O33=[1]CURSOS!$D$18,"ATENCION INTEGRAL EN ENFERMEDADES PREVALENTES EN PRIMERA INFANCIA (AIEPI)",IF(O33=[1]CURSOS!$D$19,"ADMINISTRACION DE MEDICAMENTOS, INYECTOLOGIA  Y CANALIZACION ",IF(O33=[1]CURSOS!$D$20,"OPERADOR DE VEHICULOS DE EMERGENCIA (OVE)",IF(O33=[1]CURSOS!$D$21,"INSTITUCIONES AMIGAS DE LA MUJER Y LA INFANCIA (IAMI)",IF(O33=[1]CURSOS!$D$22,"CUIDADO DEL DONANTE DE ORGANOS",IF(O33=[1]CURSOS!$D$23,"ATENCION A VICTIMAS POR VIOLENCIA DE GENERO",IF(O33=[1]CURSOS!$D$24,"IGUALDAD DE GENERO EN LA SALUD",IF(O33=[1]CURSOS!$D$25,"BRIGADA DE EMERGENCIA",IF(O33=[1]CURSOS!$D$26,"MANEJO DEL DOLOR Y CUIDADOS PALIATIVOS",IF(O33=[1]CURSOS!$D$27,"TOMA DE MUESTRAS Y LABORATORIO POCT",IF(O33=[1]CURSOS!$D$28,"IMPLANTE SUBDERMICO DE DISPOSITIVO INTRAUTERINO",IF(O33=[1]CURSOS!$D$29,"SALUD MENTAL",IF(O33=[1]CURSOS!$D$30,"PRIMEROS AUXILIOS PSICOLOGICOS",IF(O33=[1]CURSOS!$D$31,"ATENCION A VICTIMAS POR CONFLICTO ARMADO",IF(O33=[1]CURSOS!$D$32,"MANIPULACION DE ALIMENTOS Y BPM",IF(O33=[1]CURSOS!$D$33,"ATENCION A PERSONAS CON DISCAPACIDAD",IF(O33=[1]CURSOS!$D$34,"CUIDADO INTEGRAL DEL PACIENTE ADULTO",IF(O33=[1]CURSOS!$D$35,"MANEJO DEFENSIVO",IF(O33=[1]CURSOS!$D$36,"SOPORTE CARDIOVASCULAR AVANZADO NEONATAL",IF(O33=[1]CURSOS!$D$37,"SEGURIDAD DEL PACIENTE")))))))))))))))))))))))))))))))))))</f>
        <v>SOPORTE VITAL BASICO (BLS)</v>
      </c>
      <c r="V33" s="71" t="str">
        <f t="shared" si="0"/>
        <v>Olga Nathalia Moreno De la Cruz</v>
      </c>
      <c r="W33" s="83" t="str">
        <f t="shared" si="1"/>
        <v>Olga Nathalia Moreno De La Cruz</v>
      </c>
      <c r="X33" s="52" t="str">
        <f t="shared" si="2"/>
        <v>Olga Nathalia Moreno De la Cruz-1085314430-BLS</v>
      </c>
    </row>
    <row r="34" spans="1:24" s="55" customFormat="1" x14ac:dyDescent="0.2">
      <c r="A34" s="17">
        <v>33</v>
      </c>
      <c r="B34" s="80">
        <v>4613483</v>
      </c>
      <c r="C34" s="17" t="s">
        <v>413</v>
      </c>
      <c r="D34" s="17" t="s">
        <v>414</v>
      </c>
      <c r="E34" s="17" t="s">
        <v>415</v>
      </c>
      <c r="F34" s="180" t="s">
        <v>416</v>
      </c>
      <c r="G34" s="171">
        <v>9</v>
      </c>
      <c r="H34" s="171" t="s">
        <v>181</v>
      </c>
      <c r="I34" s="171" t="s">
        <v>450</v>
      </c>
      <c r="J34" s="182">
        <v>45512</v>
      </c>
      <c r="K34" s="181">
        <v>35000</v>
      </c>
      <c r="L34" s="171" t="s">
        <v>322</v>
      </c>
      <c r="M34" s="171" t="s">
        <v>86</v>
      </c>
      <c r="N34" s="171" t="s">
        <v>334</v>
      </c>
      <c r="O34" s="183" t="s">
        <v>46</v>
      </c>
      <c r="P34" s="18">
        <v>29320</v>
      </c>
      <c r="Q34" s="121" t="s">
        <v>309</v>
      </c>
      <c r="R34" s="17" t="s">
        <v>418</v>
      </c>
      <c r="S34" s="82">
        <v>3165361380</v>
      </c>
      <c r="T34" s="37" t="s">
        <v>417</v>
      </c>
      <c r="U34" s="71" t="str">
        <f>IF(O34=[1]CURSOS!$D$3,"DIPLOMADO EN ATENCION PRE-HOSPITALARIA",IF(O34=[1]CURSOS!$D$4,"ACOMPAÑAMIENTO Y MANEJO DEL DUELO",IF(O34=[1]CURSOS!$D$5,"ATENCION A VICTIMAS DE ATAQUE CON AGENTES QUIMICOS ",IF(O34=[1]CURSOS!$D$6,"PRIMEROS AUXILIOS ",IF(O34=[1]CURSOS!$D$7,"DIPLOMADO DE UNIDAD DE CUIDADOS INTENSIVOS (UCI)",IF(O34=[1]CURSOS!$D$8,"MODELO DE ATENCION PARA EVENTOS EMERGENTES EN SALUD MENTAL (CODIGO VERDE)",IF(O34=[1]CURSOS!$D$9,"HUMANIZACION EN EL SERVICIO DE LA SALUD Y BUENAS PRACTICAS EN PACIENTE ",IF(O34=[1]CURSOS!$D$10,"CLINICA DE HERIDAS ",IF(O34=[1]CURSOS!$D$11,"TOMA DE CITOLOGIA CERVICO VAGINAL ",IF(O34=[1]CURSOS!$D$12,"SOPORTE CARDIOVASCULAR AVANZADO (ACLS) ",IF(O34=[1]CURSOS!$D$13,"CAMILLERO ",IF(O34=[1]CURSOS!$D$14,"TOMA DE MUESTRAS Y LABORATORIO ",IF(O34=[1]CURSOS!$D$15,"SOPORTE VITAL BASICO (BLS)",IF(O34=[1]CURSOS!$D$16,"ATENCION A VICTIMAS DE VIOLENCIA SEXUAL ",IF(O34=[1]CURSOS!$D$17,"PROGRAMADO AMPLIADO DE INMUNIZACION (PAI - COVID 19)",IF(O34=[1]CURSOS!$D$18,"ATENCION INTEGRAL EN ENFERMEDADES PREVALENTES EN PRIMERA INFANCIA (AIEPI)",IF(O34=[1]CURSOS!$D$19,"ADMINISTRACION DE MEDICAMENTOS, INYECTOLOGIA  Y CANALIZACION ",IF(O34=[1]CURSOS!$D$20,"OPERADOR DE VEHICULOS DE EMERGENCIA (OVE)",IF(O34=[1]CURSOS!$D$21,"INSTITUCIONES AMIGAS DE LA MUJER Y LA INFANCIA (IAMI)",IF(O34=[1]CURSOS!$D$22,"CUIDADO DEL DONANTE DE ORGANOS",IF(O34=[1]CURSOS!$D$23,"ATENCION A VICTIMAS POR VIOLENCIA DE GENERO",IF(O34=[1]CURSOS!$D$24,"IGUALDAD DE GENERO EN LA SALUD",IF(O34=[1]CURSOS!$D$25,"BRIGADA DE EMERGENCIA",IF(O34=[1]CURSOS!$D$26,"MANEJO DEL DOLOR Y CUIDADOS PALIATIVOS",IF(O34=[1]CURSOS!$D$27,"TOMA DE MUESTRAS Y LABORATORIO POCT",IF(O34=[1]CURSOS!$D$28,"IMPLANTE SUBDERMICO DE DISPOSITIVO INTRAUTERINO",IF(O34=[1]CURSOS!$D$29,"SALUD MENTAL",IF(O34=[1]CURSOS!$D$30,"PRIMEROS AUXILIOS PSICOLOGICOS",IF(O34=[1]CURSOS!$D$31,"ATENCION A VICTIMAS POR CONFLICTO ARMADO",IF(O34=[1]CURSOS!$D$32,"MANIPULACION DE ALIMENTOS Y BPM",IF(O34=[1]CURSOS!$D$33,"ATENCION A PERSONAS CON DISCAPACIDAD",IF(O34=[1]CURSOS!$D$34,"CUIDADO INTEGRAL DEL PACIENTE ADULTO",IF(O34=[1]CURSOS!$D$35,"MANEJO DEFENSIVO",IF(O34=[1]CURSOS!$D$36,"SOPORTE CARDIOVASCULAR AVANZADO NEONATAL",IF(O34=[1]CURSOS!$D$37,"SEGURIDAD DEL PACIENTE")))))))))))))))))))))))))))))))))))</f>
        <v>ATENCION INTEGRAL EN ENFERMEDADES PREVALENTES EN PRIMERA INFANCIA (AIEPI)</v>
      </c>
      <c r="V34" s="71" t="str">
        <f t="shared" ref="V34:V65" si="3">CONCATENATE(E34," ",F34," ",C34," ",D34)</f>
        <v>Gilzan Javier Narváez Ortega</v>
      </c>
      <c r="W34" s="83" t="str">
        <f t="shared" ref="W34:W65" si="4">+PROPER(V34)</f>
        <v>Gilzan Javier Narváez Ortega</v>
      </c>
      <c r="X34" s="52" t="str">
        <f t="shared" ref="X34:X65" si="5">CONCATENATE(V34,"-",B34,"-",O34)</f>
        <v>Gilzan Javier Narváez Ortega-4613483-AIEPI</v>
      </c>
    </row>
    <row r="35" spans="1:24" s="55" customFormat="1" x14ac:dyDescent="0.2">
      <c r="A35" s="17">
        <v>34</v>
      </c>
      <c r="B35" s="80">
        <v>4613483</v>
      </c>
      <c r="C35" s="17" t="s">
        <v>413</v>
      </c>
      <c r="D35" s="17" t="s">
        <v>414</v>
      </c>
      <c r="E35" s="17" t="s">
        <v>415</v>
      </c>
      <c r="F35" s="180" t="s">
        <v>416</v>
      </c>
      <c r="G35" s="171">
        <v>9</v>
      </c>
      <c r="H35" s="171" t="s">
        <v>181</v>
      </c>
      <c r="I35" s="171" t="s">
        <v>450</v>
      </c>
      <c r="J35" s="182">
        <v>45512</v>
      </c>
      <c r="K35" s="181">
        <v>35000</v>
      </c>
      <c r="L35" s="171" t="s">
        <v>322</v>
      </c>
      <c r="M35" s="171" t="s">
        <v>86</v>
      </c>
      <c r="N35" s="171" t="s">
        <v>334</v>
      </c>
      <c r="O35" s="183" t="s">
        <v>51</v>
      </c>
      <c r="P35" s="18">
        <v>29320</v>
      </c>
      <c r="Q35" s="121" t="s">
        <v>309</v>
      </c>
      <c r="R35" s="17" t="s">
        <v>418</v>
      </c>
      <c r="S35" s="82">
        <v>3165361380</v>
      </c>
      <c r="T35" s="37" t="s">
        <v>417</v>
      </c>
      <c r="U35" s="71" t="str">
        <f>IF(O35=[1]CURSOS!$D$3,"DIPLOMADO EN ATENCION PRE-HOSPITALARIA",IF(O35=[1]CURSOS!$D$4,"ACOMPAÑAMIENTO Y MANEJO DEL DUELO",IF(O35=[1]CURSOS!$D$5,"ATENCION A VICTIMAS DE ATAQUE CON AGENTES QUIMICOS ",IF(O35=[1]CURSOS!$D$6,"PRIMEROS AUXILIOS ",IF(O35=[1]CURSOS!$D$7,"DIPLOMADO DE UNIDAD DE CUIDADOS INTENSIVOS (UCI)",IF(O35=[1]CURSOS!$D$8,"MODELO DE ATENCION PARA EVENTOS EMERGENTES EN SALUD MENTAL (CODIGO VERDE)",IF(O35=[1]CURSOS!$D$9,"HUMANIZACION EN EL SERVICIO DE LA SALUD Y BUENAS PRACTICAS EN PACIENTE ",IF(O35=[1]CURSOS!$D$10,"CLINICA DE HERIDAS ",IF(O35=[1]CURSOS!$D$11,"TOMA DE CITOLOGIA CERVICO VAGINAL ",IF(O35=[1]CURSOS!$D$12,"SOPORTE CARDIOVASCULAR AVANZADO (ACLS) ",IF(O35=[1]CURSOS!$D$13,"CAMILLERO ",IF(O35=[1]CURSOS!$D$14,"TOMA DE MUESTRAS Y LABORATORIO ",IF(O35=[1]CURSOS!$D$15,"SOPORTE VITAL BASICO (BLS)",IF(O35=[1]CURSOS!$D$16,"ATENCION A VICTIMAS DE VIOLENCIA SEXUAL ",IF(O35=[1]CURSOS!$D$17,"PROGRAMADO AMPLIADO DE INMUNIZACION (PAI - COVID 19)",IF(O35=[1]CURSOS!$D$18,"ATENCION INTEGRAL EN ENFERMEDADES PREVALENTES EN PRIMERA INFANCIA (AIEPI)",IF(O35=[1]CURSOS!$D$19,"ADMINISTRACION DE MEDICAMENTOS, INYECTOLOGIA  Y CANALIZACION ",IF(O35=[1]CURSOS!$D$20,"OPERADOR DE VEHICULOS DE EMERGENCIA (OVE)",IF(O35=[1]CURSOS!$D$21,"INSTITUCIONES AMIGAS DE LA MUJER Y LA INFANCIA (IAMI)",IF(O35=[1]CURSOS!$D$22,"CUIDADO DEL DONANTE DE ORGANOS",IF(O35=[1]CURSOS!$D$23,"ATENCION A VICTIMAS POR VIOLENCIA DE GENERO",IF(O35=[1]CURSOS!$D$24,"IGUALDAD DE GENERO EN LA SALUD",IF(O35=[1]CURSOS!$D$25,"BRIGADA DE EMERGENCIA",IF(O35=[1]CURSOS!$D$26,"MANEJO DEL DOLOR Y CUIDADOS PALIATIVOS",IF(O35=[1]CURSOS!$D$27,"TOMA DE MUESTRAS Y LABORATORIO POCT",IF(O35=[1]CURSOS!$D$28,"IMPLANTE SUBDERMICO DE DISPOSITIVO INTRAUTERINO",IF(O35=[1]CURSOS!$D$29,"SALUD MENTAL",IF(O35=[1]CURSOS!$D$30,"PRIMEROS AUXILIOS PSICOLOGICOS",IF(O35=[1]CURSOS!$D$31,"ATENCION A VICTIMAS POR CONFLICTO ARMADO",IF(O35=[1]CURSOS!$D$32,"MANIPULACION DE ALIMENTOS Y BPM",IF(O35=[1]CURSOS!$D$33,"ATENCION A PERSONAS CON DISCAPACIDAD",IF(O35=[1]CURSOS!$D$34,"CUIDADO INTEGRAL DEL PACIENTE ADULTO",IF(O35=[1]CURSOS!$D$35,"MANEJO DEFENSIVO",IF(O35=[1]CURSOS!$D$36,"SOPORTE CARDIOVASCULAR AVANZADO NEONATAL",IF(O35=[1]CURSOS!$D$37,"SEGURIDAD DEL PACIENTE")))))))))))))))))))))))))))))))))))</f>
        <v>INSTITUCIONES AMIGAS DE LA MUJER Y LA INFANCIA (IAMI)</v>
      </c>
      <c r="V35" s="71" t="str">
        <f t="shared" si="3"/>
        <v>Gilzan Javier Narváez Ortega</v>
      </c>
      <c r="W35" s="83" t="str">
        <f t="shared" si="4"/>
        <v>Gilzan Javier Narváez Ortega</v>
      </c>
      <c r="X35" s="52" t="str">
        <f t="shared" si="5"/>
        <v>Gilzan Javier Narváez Ortega-4613483-IAMI</v>
      </c>
    </row>
    <row r="36" spans="1:24" s="55" customFormat="1" x14ac:dyDescent="0.2">
      <c r="A36" s="17">
        <v>35</v>
      </c>
      <c r="B36" s="80">
        <v>27160719</v>
      </c>
      <c r="C36" s="17" t="s">
        <v>419</v>
      </c>
      <c r="D36" s="17" t="s">
        <v>420</v>
      </c>
      <c r="E36" s="17" t="s">
        <v>243</v>
      </c>
      <c r="F36" s="180" t="s">
        <v>421</v>
      </c>
      <c r="G36" s="171">
        <v>9</v>
      </c>
      <c r="H36" s="171" t="s">
        <v>181</v>
      </c>
      <c r="I36" s="171" t="s">
        <v>450</v>
      </c>
      <c r="J36" s="182">
        <v>45513</v>
      </c>
      <c r="K36" s="181">
        <v>30000</v>
      </c>
      <c r="L36" s="171" t="s">
        <v>322</v>
      </c>
      <c r="M36" s="171" t="s">
        <v>86</v>
      </c>
      <c r="N36" s="171" t="s">
        <v>308</v>
      </c>
      <c r="O36" s="183" t="s">
        <v>25</v>
      </c>
      <c r="P36" s="18">
        <v>28859</v>
      </c>
      <c r="Q36" s="121" t="s">
        <v>309</v>
      </c>
      <c r="R36" s="17" t="s">
        <v>422</v>
      </c>
      <c r="S36" s="82">
        <v>3005449888</v>
      </c>
      <c r="T36" s="37" t="s">
        <v>423</v>
      </c>
      <c r="U36" s="71" t="str">
        <f>IF(O36=[1]CURSOS!$D$3,"DIPLOMADO EN ATENCION PRE-HOSPITALARIA",IF(O36=[1]CURSOS!$D$4,"ACOMPAÑAMIENTO Y MANEJO DEL DUELO",IF(O36=[1]CURSOS!$D$5,"ATENCION A VICTIMAS DE ATAQUE CON AGENTES QUIMICOS ",IF(O36=[1]CURSOS!$D$6,"PRIMEROS AUXILIOS ",IF(O36=[1]CURSOS!$D$7,"DIPLOMADO DE UNIDAD DE CUIDADOS INTENSIVOS (UCI)",IF(O36=[1]CURSOS!$D$8,"MODELO DE ATENCION PARA EVENTOS EMERGENTES EN SALUD MENTAL (CODIGO VERDE)",IF(O36=[1]CURSOS!$D$9,"HUMANIZACION EN EL SERVICIO DE LA SALUD Y BUENAS PRACTICAS EN PACIENTE ",IF(O36=[1]CURSOS!$D$10,"CLINICA DE HERIDAS ",IF(O36=[1]CURSOS!$D$11,"TOMA DE CITOLOGIA CERVICO VAGINAL ",IF(O36=[1]CURSOS!$D$12,"SOPORTE CARDIOVASCULAR AVANZADO (ACLS) ",IF(O36=[1]CURSOS!$D$13,"CAMILLERO ",IF(O36=[1]CURSOS!$D$14,"TOMA DE MUESTRAS Y LABORATORIO ",IF(O36=[1]CURSOS!$D$15,"SOPORTE VITAL BASICO (BLS)",IF(O36=[1]CURSOS!$D$16,"ATENCION A VICTIMAS DE VIOLENCIA SEXUAL ",IF(O36=[1]CURSOS!$D$17,"PROGRAMADO AMPLIADO DE INMUNIZACION (PAI - COVID 19)",IF(O36=[1]CURSOS!$D$18,"ATENCION INTEGRAL EN ENFERMEDADES PREVALENTES EN PRIMERA INFANCIA (AIEPI)",IF(O36=[1]CURSOS!$D$19,"ADMINISTRACION DE MEDICAMENTOS, INYECTOLOGIA  Y CANALIZACION ",IF(O36=[1]CURSOS!$D$20,"OPERADOR DE VEHICULOS DE EMERGENCIA (OVE)",IF(O36=[1]CURSOS!$D$21,"INSTITUCIONES AMIGAS DE LA MUJER Y LA INFANCIA (IAMI)",IF(O36=[1]CURSOS!$D$22,"CUIDADO DEL DONANTE DE ORGANOS",IF(O36=[1]CURSOS!$D$23,"ATENCION A VICTIMAS POR VIOLENCIA DE GENERO",IF(O36=[1]CURSOS!$D$24,"IGUALDAD DE GENERO EN LA SALUD",IF(O36=[1]CURSOS!$D$25,"BRIGADA DE EMERGENCIA",IF(O36=[1]CURSOS!$D$26,"MANEJO DEL DOLOR Y CUIDADOS PALIATIVOS",IF(O36=[1]CURSOS!$D$27,"TOMA DE MUESTRAS Y LABORATORIO POCT",IF(O36=[1]CURSOS!$D$28,"IMPLANTE SUBDERMICO DE DISPOSITIVO INTRAUTERINO",IF(O36=[1]CURSOS!$D$29,"SALUD MENTAL",IF(O36=[1]CURSOS!$D$30,"PRIMEROS AUXILIOS PSICOLOGICOS",IF(O36=[1]CURSOS!$D$31,"ATENCION A VICTIMAS POR CONFLICTO ARMADO",IF(O36=[1]CURSOS!$D$32,"MANIPULACION DE ALIMENTOS Y BPM",IF(O36=[1]CURSOS!$D$33,"ATENCION A PERSONAS CON DISCAPACIDAD",IF(O36=[1]CURSOS!$D$34,"CUIDADO INTEGRAL DEL PACIENTE ADULTO",IF(O36=[1]CURSOS!$D$35,"MANEJO DEFENSIVO",IF(O36=[1]CURSOS!$D$36,"SOPORTE CARDIOVASCULAR AVANZADO NEONATAL",IF(O36=[1]CURSOS!$D$37,"SEGURIDAD DEL PACIENTE")))))))))))))))))))))))))))))))))))</f>
        <v xml:space="preserve">ATENCION A VICTIMAS DE ATAQUE CON AGENTES QUIMICOS </v>
      </c>
      <c r="V36" s="71" t="str">
        <f t="shared" si="3"/>
        <v>Bibiana Del socorro Gesama Cuasanchir</v>
      </c>
      <c r="W36" s="83" t="str">
        <f t="shared" si="4"/>
        <v>Bibiana Del Socorro Gesama Cuasanchir</v>
      </c>
      <c r="X36" s="52" t="str">
        <f t="shared" si="5"/>
        <v>Bibiana Del socorro Gesama Cuasanchir-27160719-QUIMICOS</v>
      </c>
    </row>
    <row r="37" spans="1:24" s="55" customFormat="1" x14ac:dyDescent="0.2">
      <c r="A37" s="17">
        <v>36</v>
      </c>
      <c r="B37" s="80">
        <v>1088738252</v>
      </c>
      <c r="C37" s="17" t="s">
        <v>424</v>
      </c>
      <c r="D37" s="17" t="s">
        <v>111</v>
      </c>
      <c r="E37" s="17" t="s">
        <v>425</v>
      </c>
      <c r="F37" s="180" t="s">
        <v>426</v>
      </c>
      <c r="G37" s="171">
        <v>9</v>
      </c>
      <c r="H37" s="171" t="s">
        <v>181</v>
      </c>
      <c r="I37" s="171" t="s">
        <v>450</v>
      </c>
      <c r="J37" s="182">
        <v>45513</v>
      </c>
      <c r="K37" s="181">
        <v>32000</v>
      </c>
      <c r="L37" s="171" t="s">
        <v>328</v>
      </c>
      <c r="M37" s="171" t="s">
        <v>86</v>
      </c>
      <c r="N37" s="171" t="s">
        <v>326</v>
      </c>
      <c r="O37" s="183" t="s">
        <v>43</v>
      </c>
      <c r="P37" s="18">
        <v>35772</v>
      </c>
      <c r="Q37" s="121" t="s">
        <v>316</v>
      </c>
      <c r="R37" s="17" t="s">
        <v>393</v>
      </c>
      <c r="S37" s="82">
        <v>3106949498</v>
      </c>
      <c r="T37" s="37" t="s">
        <v>427</v>
      </c>
      <c r="U37" s="71" t="str">
        <f>IF(O37=[1]CURSOS!$D$3,"DIPLOMADO EN ATENCION PRE-HOSPITALARIA",IF(O37=[1]CURSOS!$D$4,"ACOMPAÑAMIENTO Y MANEJO DEL DUELO",IF(O37=[1]CURSOS!$D$5,"ATENCION A VICTIMAS DE ATAQUE CON AGENTES QUIMICOS ",IF(O37=[1]CURSOS!$D$6,"PRIMEROS AUXILIOS ",IF(O37=[1]CURSOS!$D$7,"DIPLOMADO DE UNIDAD DE CUIDADOS INTENSIVOS (UCI)",IF(O37=[1]CURSOS!$D$8,"MODELO DE ATENCION PARA EVENTOS EMERGENTES EN SALUD MENTAL (CODIGO VERDE)",IF(O37=[1]CURSOS!$D$9,"HUMANIZACION EN EL SERVICIO DE LA SALUD Y BUENAS PRACTICAS EN PACIENTE ",IF(O37=[1]CURSOS!$D$10,"CLINICA DE HERIDAS ",IF(O37=[1]CURSOS!$D$11,"TOMA DE CITOLOGIA CERVICO VAGINAL ",IF(O37=[1]CURSOS!$D$12,"SOPORTE CARDIOVASCULAR AVANZADO (ACLS) ",IF(O37=[1]CURSOS!$D$13,"CAMILLERO ",IF(O37=[1]CURSOS!$D$14,"TOMA DE MUESTRAS Y LABORATORIO ",IF(O37=[1]CURSOS!$D$15,"SOPORTE VITAL BASICO (BLS)",IF(O37=[1]CURSOS!$D$16,"ATENCION A VICTIMAS DE VIOLENCIA SEXUAL ",IF(O37=[1]CURSOS!$D$17,"PROGRAMADO AMPLIADO DE INMUNIZACION (PAI - COVID 19)",IF(O37=[1]CURSOS!$D$18,"ATENCION INTEGRAL EN ENFERMEDADES PREVALENTES EN PRIMERA INFANCIA (AIEPI)",IF(O37=[1]CURSOS!$D$19,"ADMINISTRACION DE MEDICAMENTOS, INYECTOLOGIA  Y CANALIZACION ",IF(O37=[1]CURSOS!$D$20,"OPERADOR DE VEHICULOS DE EMERGENCIA (OVE)",IF(O37=[1]CURSOS!$D$21,"INSTITUCIONES AMIGAS DE LA MUJER Y LA INFANCIA (IAMI)",IF(O37=[1]CURSOS!$D$22,"CUIDADO DEL DONANTE DE ORGANOS",IF(O37=[1]CURSOS!$D$23,"ATENCION A VICTIMAS POR VIOLENCIA DE GENERO",IF(O37=[1]CURSOS!$D$24,"IGUALDAD DE GENERO EN LA SALUD",IF(O37=[1]CURSOS!$D$25,"BRIGADA DE EMERGENCIA",IF(O37=[1]CURSOS!$D$26,"MANEJO DEL DOLOR Y CUIDADOS PALIATIVOS",IF(O37=[1]CURSOS!$D$27,"TOMA DE MUESTRAS Y LABORATORIO POCT",IF(O37=[1]CURSOS!$D$28,"IMPLANTE SUBDERMICO DE DISPOSITIVO INTRAUTERINO",IF(O37=[1]CURSOS!$D$29,"SALUD MENTAL",IF(O37=[1]CURSOS!$D$30,"PRIMEROS AUXILIOS PSICOLOGICOS",IF(O37=[1]CURSOS!$D$31,"ATENCION A VICTIMAS POR CONFLICTO ARMADO",IF(O37=[1]CURSOS!$D$32,"MANIPULACION DE ALIMENTOS Y BPM",IF(O37=[1]CURSOS!$D$33,"ATENCION A PERSONAS CON DISCAPACIDAD",IF(O37=[1]CURSOS!$D$34,"CUIDADO INTEGRAL DEL PACIENTE ADULTO",IF(O37=[1]CURSOS!$D$35,"MANEJO DEFENSIVO",IF(O37=[1]CURSOS!$D$36,"SOPORTE CARDIOVASCULAR AVANZADO NEONATAL",IF(O37=[1]CURSOS!$D$37,"SEGURIDAD DEL PACIENTE")))))))))))))))))))))))))))))))))))</f>
        <v xml:space="preserve">ATENCION A VICTIMAS DE VIOLENCIA SEXUAL </v>
      </c>
      <c r="V37" s="71" t="str">
        <f t="shared" si="3"/>
        <v>Cristian Homero Rodriguez Zambrano</v>
      </c>
      <c r="W37" s="83" t="str">
        <f t="shared" si="4"/>
        <v>Cristian Homero Rodriguez Zambrano</v>
      </c>
      <c r="X37" s="52" t="str">
        <f t="shared" si="5"/>
        <v>Cristian Homero Rodriguez Zambrano-1088738252-VIOLENCIA SEXUAL</v>
      </c>
    </row>
    <row r="38" spans="1:24" s="55" customFormat="1" x14ac:dyDescent="0.2">
      <c r="A38" s="17">
        <v>37</v>
      </c>
      <c r="B38" s="80">
        <v>1088738252</v>
      </c>
      <c r="C38" s="17" t="s">
        <v>424</v>
      </c>
      <c r="D38" s="17" t="s">
        <v>111</v>
      </c>
      <c r="E38" s="17" t="s">
        <v>425</v>
      </c>
      <c r="F38" s="180" t="s">
        <v>426</v>
      </c>
      <c r="G38" s="171">
        <v>9</v>
      </c>
      <c r="H38" s="171" t="s">
        <v>181</v>
      </c>
      <c r="I38" s="171" t="s">
        <v>450</v>
      </c>
      <c r="J38" s="182">
        <v>45513</v>
      </c>
      <c r="K38" s="181">
        <v>32000</v>
      </c>
      <c r="L38" s="171" t="s">
        <v>328</v>
      </c>
      <c r="M38" s="171" t="s">
        <v>86</v>
      </c>
      <c r="N38" s="171" t="s">
        <v>326</v>
      </c>
      <c r="O38" s="183" t="s">
        <v>25</v>
      </c>
      <c r="P38" s="18">
        <v>35772</v>
      </c>
      <c r="Q38" s="121" t="s">
        <v>316</v>
      </c>
      <c r="R38" s="17" t="s">
        <v>393</v>
      </c>
      <c r="S38" s="82">
        <v>3106949498</v>
      </c>
      <c r="T38" s="37" t="s">
        <v>427</v>
      </c>
      <c r="U38" s="71" t="str">
        <f>IF(O38=[1]CURSOS!$D$3,"DIPLOMADO EN ATENCION PRE-HOSPITALARIA",IF(O38=[1]CURSOS!$D$4,"ACOMPAÑAMIENTO Y MANEJO DEL DUELO",IF(O38=[1]CURSOS!$D$5,"ATENCION A VICTIMAS DE ATAQUE CON AGENTES QUIMICOS ",IF(O38=[1]CURSOS!$D$6,"PRIMEROS AUXILIOS ",IF(O38=[1]CURSOS!$D$7,"DIPLOMADO DE UNIDAD DE CUIDADOS INTENSIVOS (UCI)",IF(O38=[1]CURSOS!$D$8,"MODELO DE ATENCION PARA EVENTOS EMERGENTES EN SALUD MENTAL (CODIGO VERDE)",IF(O38=[1]CURSOS!$D$9,"HUMANIZACION EN EL SERVICIO DE LA SALUD Y BUENAS PRACTICAS EN PACIENTE ",IF(O38=[1]CURSOS!$D$10,"CLINICA DE HERIDAS ",IF(O38=[1]CURSOS!$D$11,"TOMA DE CITOLOGIA CERVICO VAGINAL ",IF(O38=[1]CURSOS!$D$12,"SOPORTE CARDIOVASCULAR AVANZADO (ACLS) ",IF(O38=[1]CURSOS!$D$13,"CAMILLERO ",IF(O38=[1]CURSOS!$D$14,"TOMA DE MUESTRAS Y LABORATORIO ",IF(O38=[1]CURSOS!$D$15,"SOPORTE VITAL BASICO (BLS)",IF(O38=[1]CURSOS!$D$16,"ATENCION A VICTIMAS DE VIOLENCIA SEXUAL ",IF(O38=[1]CURSOS!$D$17,"PROGRAMADO AMPLIADO DE INMUNIZACION (PAI - COVID 19)",IF(O38=[1]CURSOS!$D$18,"ATENCION INTEGRAL EN ENFERMEDADES PREVALENTES EN PRIMERA INFANCIA (AIEPI)",IF(O38=[1]CURSOS!$D$19,"ADMINISTRACION DE MEDICAMENTOS, INYECTOLOGIA  Y CANALIZACION ",IF(O38=[1]CURSOS!$D$20,"OPERADOR DE VEHICULOS DE EMERGENCIA (OVE)",IF(O38=[1]CURSOS!$D$21,"INSTITUCIONES AMIGAS DE LA MUJER Y LA INFANCIA (IAMI)",IF(O38=[1]CURSOS!$D$22,"CUIDADO DEL DONANTE DE ORGANOS",IF(O38=[1]CURSOS!$D$23,"ATENCION A VICTIMAS POR VIOLENCIA DE GENERO",IF(O38=[1]CURSOS!$D$24,"IGUALDAD DE GENERO EN LA SALUD",IF(O38=[1]CURSOS!$D$25,"BRIGADA DE EMERGENCIA",IF(O38=[1]CURSOS!$D$26,"MANEJO DEL DOLOR Y CUIDADOS PALIATIVOS",IF(O38=[1]CURSOS!$D$27,"TOMA DE MUESTRAS Y LABORATORIO POCT",IF(O38=[1]CURSOS!$D$28,"IMPLANTE SUBDERMICO DE DISPOSITIVO INTRAUTERINO",IF(O38=[1]CURSOS!$D$29,"SALUD MENTAL",IF(O38=[1]CURSOS!$D$30,"PRIMEROS AUXILIOS PSICOLOGICOS",IF(O38=[1]CURSOS!$D$31,"ATENCION A VICTIMAS POR CONFLICTO ARMADO",IF(O38=[1]CURSOS!$D$32,"MANIPULACION DE ALIMENTOS Y BPM",IF(O38=[1]CURSOS!$D$33,"ATENCION A PERSONAS CON DISCAPACIDAD",IF(O38=[1]CURSOS!$D$34,"CUIDADO INTEGRAL DEL PACIENTE ADULTO",IF(O38=[1]CURSOS!$D$35,"MANEJO DEFENSIVO",IF(O38=[1]CURSOS!$D$36,"SOPORTE CARDIOVASCULAR AVANZADO NEONATAL",IF(O38=[1]CURSOS!$D$37,"SEGURIDAD DEL PACIENTE")))))))))))))))))))))))))))))))))))</f>
        <v xml:space="preserve">ATENCION A VICTIMAS DE ATAQUE CON AGENTES QUIMICOS </v>
      </c>
      <c r="V38" s="71" t="str">
        <f t="shared" si="3"/>
        <v>Cristian Homero Rodriguez Zambrano</v>
      </c>
      <c r="W38" s="83" t="str">
        <f t="shared" si="4"/>
        <v>Cristian Homero Rodriguez Zambrano</v>
      </c>
      <c r="X38" s="52" t="str">
        <f t="shared" si="5"/>
        <v>Cristian Homero Rodriguez Zambrano-1088738252-QUIMICOS</v>
      </c>
    </row>
    <row r="39" spans="1:24" s="55" customFormat="1" x14ac:dyDescent="0.2">
      <c r="A39" s="17">
        <v>38</v>
      </c>
      <c r="B39" s="80">
        <v>1088738252</v>
      </c>
      <c r="C39" s="17" t="s">
        <v>424</v>
      </c>
      <c r="D39" s="17" t="s">
        <v>111</v>
      </c>
      <c r="E39" s="17" t="s">
        <v>425</v>
      </c>
      <c r="F39" s="180" t="s">
        <v>426</v>
      </c>
      <c r="G39" s="171">
        <v>9</v>
      </c>
      <c r="H39" s="171" t="s">
        <v>181</v>
      </c>
      <c r="I39" s="171" t="s">
        <v>450</v>
      </c>
      <c r="J39" s="182">
        <v>45513</v>
      </c>
      <c r="K39" s="181">
        <v>32000</v>
      </c>
      <c r="L39" s="171" t="s">
        <v>328</v>
      </c>
      <c r="M39" s="171" t="s">
        <v>86</v>
      </c>
      <c r="N39" s="171" t="s">
        <v>326</v>
      </c>
      <c r="O39" s="183" t="s">
        <v>23</v>
      </c>
      <c r="P39" s="18">
        <v>35772</v>
      </c>
      <c r="Q39" s="121" t="s">
        <v>316</v>
      </c>
      <c r="R39" s="17" t="s">
        <v>393</v>
      </c>
      <c r="S39" s="82">
        <v>3106949498</v>
      </c>
      <c r="T39" s="37" t="s">
        <v>427</v>
      </c>
      <c r="U39" s="71" t="str">
        <f>IF(O39=[1]CURSOS!$D$3,"DIPLOMADO EN ATENCION PRE-HOSPITALARIA",IF(O39=[1]CURSOS!$D$4,"ACOMPAÑAMIENTO Y MANEJO DEL DUELO",IF(O39=[1]CURSOS!$D$5,"ATENCION A VICTIMAS DE ATAQUE CON AGENTES QUIMICOS ",IF(O39=[1]CURSOS!$D$6,"PRIMEROS AUXILIOS ",IF(O39=[1]CURSOS!$D$7,"DIPLOMADO DE UNIDAD DE CUIDADOS INTENSIVOS (UCI)",IF(O39=[1]CURSOS!$D$8,"MODELO DE ATENCION PARA EVENTOS EMERGENTES EN SALUD MENTAL (CODIGO VERDE)",IF(O39=[1]CURSOS!$D$9,"HUMANIZACION EN EL SERVICIO DE LA SALUD Y BUENAS PRACTICAS EN PACIENTE ",IF(O39=[1]CURSOS!$D$10,"CLINICA DE HERIDAS ",IF(O39=[1]CURSOS!$D$11,"TOMA DE CITOLOGIA CERVICO VAGINAL ",IF(O39=[1]CURSOS!$D$12,"SOPORTE CARDIOVASCULAR AVANZADO (ACLS) ",IF(O39=[1]CURSOS!$D$13,"CAMILLERO ",IF(O39=[1]CURSOS!$D$14,"TOMA DE MUESTRAS Y LABORATORIO ",IF(O39=[1]CURSOS!$D$15,"SOPORTE VITAL BASICO (BLS)",IF(O39=[1]CURSOS!$D$16,"ATENCION A VICTIMAS DE VIOLENCIA SEXUAL ",IF(O39=[1]CURSOS!$D$17,"PROGRAMADO AMPLIADO DE INMUNIZACION (PAI - COVID 19)",IF(O39=[1]CURSOS!$D$18,"ATENCION INTEGRAL EN ENFERMEDADES PREVALENTES EN PRIMERA INFANCIA (AIEPI)",IF(O39=[1]CURSOS!$D$19,"ADMINISTRACION DE MEDICAMENTOS, INYECTOLOGIA  Y CANALIZACION ",IF(O39=[1]CURSOS!$D$20,"OPERADOR DE VEHICULOS DE EMERGENCIA (OVE)",IF(O39=[1]CURSOS!$D$21,"INSTITUCIONES AMIGAS DE LA MUJER Y LA INFANCIA (IAMI)",IF(O39=[1]CURSOS!$D$22,"CUIDADO DEL DONANTE DE ORGANOS",IF(O39=[1]CURSOS!$D$23,"ATENCION A VICTIMAS POR VIOLENCIA DE GENERO",IF(O39=[1]CURSOS!$D$24,"IGUALDAD DE GENERO EN LA SALUD",IF(O39=[1]CURSOS!$D$25,"BRIGADA DE EMERGENCIA",IF(O39=[1]CURSOS!$D$26,"MANEJO DEL DOLOR Y CUIDADOS PALIATIVOS",IF(O39=[1]CURSOS!$D$27,"TOMA DE MUESTRAS Y LABORATORIO POCT",IF(O39=[1]CURSOS!$D$28,"IMPLANTE SUBDERMICO DE DISPOSITIVO INTRAUTERINO",IF(O39=[1]CURSOS!$D$29,"SALUD MENTAL",IF(O39=[1]CURSOS!$D$30,"PRIMEROS AUXILIOS PSICOLOGICOS",IF(O39=[1]CURSOS!$D$31,"ATENCION A VICTIMAS POR CONFLICTO ARMADO",IF(O39=[1]CURSOS!$D$32,"MANIPULACION DE ALIMENTOS Y BPM",IF(O39=[1]CURSOS!$D$33,"ATENCION A PERSONAS CON DISCAPACIDAD",IF(O39=[1]CURSOS!$D$34,"CUIDADO INTEGRAL DEL PACIENTE ADULTO",IF(O39=[1]CURSOS!$D$35,"MANEJO DEFENSIVO",IF(O39=[1]CURSOS!$D$36,"SOPORTE CARDIOVASCULAR AVANZADO NEONATAL",IF(O39=[1]CURSOS!$D$37,"SEGURIDAD DEL PACIENTE")))))))))))))))))))))))))))))))))))</f>
        <v>ACOMPAÑAMIENTO Y MANEJO DEL DUELO</v>
      </c>
      <c r="V39" s="71" t="str">
        <f t="shared" si="3"/>
        <v>Cristian Homero Rodriguez Zambrano</v>
      </c>
      <c r="W39" s="83" t="str">
        <f t="shared" si="4"/>
        <v>Cristian Homero Rodriguez Zambrano</v>
      </c>
      <c r="X39" s="52" t="str">
        <f t="shared" si="5"/>
        <v>Cristian Homero Rodriguez Zambrano-1088738252-DUELO</v>
      </c>
    </row>
    <row r="40" spans="1:24" s="55" customFormat="1" x14ac:dyDescent="0.2">
      <c r="A40" s="17">
        <v>39</v>
      </c>
      <c r="B40" s="80">
        <v>27277310</v>
      </c>
      <c r="C40" s="17" t="s">
        <v>104</v>
      </c>
      <c r="D40" s="17" t="s">
        <v>428</v>
      </c>
      <c r="E40" s="17" t="s">
        <v>429</v>
      </c>
      <c r="F40" s="180"/>
      <c r="G40" s="171">
        <v>9</v>
      </c>
      <c r="H40" s="171" t="s">
        <v>181</v>
      </c>
      <c r="I40" s="171" t="s">
        <v>450</v>
      </c>
      <c r="J40" s="182">
        <v>45512</v>
      </c>
      <c r="K40" s="181">
        <v>30000</v>
      </c>
      <c r="L40" s="171" t="s">
        <v>328</v>
      </c>
      <c r="M40" s="171" t="s">
        <v>86</v>
      </c>
      <c r="N40" s="171" t="s">
        <v>334</v>
      </c>
      <c r="O40" s="183" t="s">
        <v>19</v>
      </c>
      <c r="P40" s="18">
        <v>27245</v>
      </c>
      <c r="Q40" s="121" t="s">
        <v>309</v>
      </c>
      <c r="R40" s="17" t="s">
        <v>315</v>
      </c>
      <c r="S40" s="82">
        <v>3122355382</v>
      </c>
      <c r="T40" s="37" t="s">
        <v>430</v>
      </c>
      <c r="U40" s="71" t="str">
        <f>IF(O40=[1]CURSOS!$D$3,"DIPLOMADO EN ATENCION PRE-HOSPITALARIA",IF(O40=[1]CURSOS!$D$4,"ACOMPAÑAMIENTO Y MANEJO DEL DUELO",IF(O40=[1]CURSOS!$D$5,"ATENCION A VICTIMAS DE ATAQUE CON AGENTES QUIMICOS ",IF(O40=[1]CURSOS!$D$6,"PRIMEROS AUXILIOS ",IF(O40=[1]CURSOS!$D$7,"DIPLOMADO DE UNIDAD DE CUIDADOS INTENSIVOS (UCI)",IF(O40=[1]CURSOS!$D$8,"MODELO DE ATENCION PARA EVENTOS EMERGENTES EN SALUD MENTAL (CODIGO VERDE)",IF(O40=[1]CURSOS!$D$9,"HUMANIZACION EN EL SERVICIO DE LA SALUD Y BUENAS PRACTICAS EN PACIENTE ",IF(O40=[1]CURSOS!$D$10,"CLINICA DE HERIDAS ",IF(O40=[1]CURSOS!$D$11,"TOMA DE CITOLOGIA CERVICO VAGINAL ",IF(O40=[1]CURSOS!$D$12,"SOPORTE CARDIOVASCULAR AVANZADO (ACLS) ",IF(O40=[1]CURSOS!$D$13,"CAMILLERO ",IF(O40=[1]CURSOS!$D$14,"TOMA DE MUESTRAS Y LABORATORIO ",IF(O40=[1]CURSOS!$D$15,"SOPORTE VITAL BASICO (BLS)",IF(O40=[1]CURSOS!$D$16,"ATENCION A VICTIMAS DE VIOLENCIA SEXUAL ",IF(O40=[1]CURSOS!$D$17,"PROGRAMADO AMPLIADO DE INMUNIZACION (PAI - COVID 19)",IF(O40=[1]CURSOS!$D$18,"ATENCION INTEGRAL EN ENFERMEDADES PREVALENTES EN PRIMERA INFANCIA (AIEPI)",IF(O40=[1]CURSOS!$D$19,"ADMINISTRACION DE MEDICAMENTOS, INYECTOLOGIA  Y CANALIZACION ",IF(O40=[1]CURSOS!$D$20,"OPERADOR DE VEHICULOS DE EMERGENCIA (OVE)",IF(O40=[1]CURSOS!$D$21,"INSTITUCIONES AMIGAS DE LA MUJER Y LA INFANCIA (IAMI)",IF(O40=[1]CURSOS!$D$22,"CUIDADO DEL DONANTE DE ORGANOS",IF(O40=[1]CURSOS!$D$23,"ATENCION A VICTIMAS POR VIOLENCIA DE GENERO",IF(O40=[1]CURSOS!$D$24,"IGUALDAD DE GENERO EN LA SALUD",IF(O40=[1]CURSOS!$D$25,"BRIGADA DE EMERGENCIA",IF(O40=[1]CURSOS!$D$26,"MANEJO DEL DOLOR Y CUIDADOS PALIATIVOS",IF(O40=[1]CURSOS!$D$27,"TOMA DE MUESTRAS Y LABORATORIO POCT",IF(O40=[1]CURSOS!$D$28,"IMPLANTE SUBDERMICO DE DISPOSITIVO INTRAUTERINO",IF(O40=[1]CURSOS!$D$29,"SALUD MENTAL",IF(O40=[1]CURSOS!$D$30,"PRIMEROS AUXILIOS PSICOLOGICOS",IF(O40=[1]CURSOS!$D$31,"ATENCION A VICTIMAS POR CONFLICTO ARMADO",IF(O40=[1]CURSOS!$D$32,"MANIPULACION DE ALIMENTOS Y BPM",IF(O40=[1]CURSOS!$D$33,"ATENCION A PERSONAS CON DISCAPACIDAD",IF(O40=[1]CURSOS!$D$34,"CUIDADO INTEGRAL DEL PACIENTE ADULTO",IF(O40=[1]CURSOS!$D$35,"MANEJO DEFENSIVO",IF(O40=[1]CURSOS!$D$36,"SOPORTE CARDIOVASCULAR AVANZADO NEONATAL",IF(O40=[1]CURSOS!$D$37,"SEGURIDAD DEL PACIENTE")))))))))))))))))))))))))))))))))))</f>
        <v>SOPORTE VITAL BASICO (BLS)</v>
      </c>
      <c r="V40" s="71" t="str">
        <f t="shared" si="3"/>
        <v>Noralba  Paz Ledezma</v>
      </c>
      <c r="W40" s="83" t="str">
        <f t="shared" si="4"/>
        <v>Noralba  Paz Ledezma</v>
      </c>
      <c r="X40" s="52" t="str">
        <f t="shared" si="5"/>
        <v>Noralba  Paz Ledezma-27277310-BLS</v>
      </c>
    </row>
    <row r="41" spans="1:24" s="55" customFormat="1" x14ac:dyDescent="0.2">
      <c r="A41" s="17">
        <v>40</v>
      </c>
      <c r="B41" s="80">
        <v>27277310</v>
      </c>
      <c r="C41" s="17" t="s">
        <v>104</v>
      </c>
      <c r="D41" s="17" t="s">
        <v>428</v>
      </c>
      <c r="E41" s="17" t="s">
        <v>429</v>
      </c>
      <c r="F41" s="180"/>
      <c r="G41" s="171">
        <v>9</v>
      </c>
      <c r="H41" s="171" t="s">
        <v>181</v>
      </c>
      <c r="I41" s="171" t="s">
        <v>450</v>
      </c>
      <c r="J41" s="182">
        <v>45512</v>
      </c>
      <c r="K41" s="181">
        <v>30000</v>
      </c>
      <c r="L41" s="171" t="s">
        <v>328</v>
      </c>
      <c r="M41" s="171" t="s">
        <v>86</v>
      </c>
      <c r="N41" s="171" t="s">
        <v>334</v>
      </c>
      <c r="O41" s="183" t="s">
        <v>33</v>
      </c>
      <c r="P41" s="18">
        <v>27245</v>
      </c>
      <c r="Q41" s="121" t="s">
        <v>309</v>
      </c>
      <c r="R41" s="17" t="s">
        <v>315</v>
      </c>
      <c r="S41" s="82">
        <v>3122355382</v>
      </c>
      <c r="T41" s="37" t="s">
        <v>430</v>
      </c>
      <c r="U41" s="71" t="str">
        <f>IF(O41=[1]CURSOS!$D$3,"DIPLOMADO EN ATENCION PRE-HOSPITALARIA",IF(O41=[1]CURSOS!$D$4,"ACOMPAÑAMIENTO Y MANEJO DEL DUELO",IF(O41=[1]CURSOS!$D$5,"ATENCION A VICTIMAS DE ATAQUE CON AGENTES QUIMICOS ",IF(O41=[1]CURSOS!$D$6,"PRIMEROS AUXILIOS ",IF(O41=[1]CURSOS!$D$7,"DIPLOMADO DE UNIDAD DE CUIDADOS INTENSIVOS (UCI)",IF(O41=[1]CURSOS!$D$8,"MODELO DE ATENCION PARA EVENTOS EMERGENTES EN SALUD MENTAL (CODIGO VERDE)",IF(O41=[1]CURSOS!$D$9,"HUMANIZACION EN EL SERVICIO DE LA SALUD Y BUENAS PRACTICAS EN PACIENTE ",IF(O41=[1]CURSOS!$D$10,"CLINICA DE HERIDAS ",IF(O41=[1]CURSOS!$D$11,"TOMA DE CITOLOGIA CERVICO VAGINAL ",IF(O41=[1]CURSOS!$D$12,"SOPORTE CARDIOVASCULAR AVANZADO (ACLS) ",IF(O41=[1]CURSOS!$D$13,"CAMILLERO ",IF(O41=[1]CURSOS!$D$14,"TOMA DE MUESTRAS Y LABORATORIO ",IF(O41=[1]CURSOS!$D$15,"SOPORTE VITAL BASICO (BLS)",IF(O41=[1]CURSOS!$D$16,"ATENCION A VICTIMAS DE VIOLENCIA SEXUAL ",IF(O41=[1]CURSOS!$D$17,"PROGRAMADO AMPLIADO DE INMUNIZACION (PAI - COVID 19)",IF(O41=[1]CURSOS!$D$18,"ATENCION INTEGRAL EN ENFERMEDADES PREVALENTES EN PRIMERA INFANCIA (AIEPI)",IF(O41=[1]CURSOS!$D$19,"ADMINISTRACION DE MEDICAMENTOS, INYECTOLOGIA  Y CANALIZACION ",IF(O41=[1]CURSOS!$D$20,"OPERADOR DE VEHICULOS DE EMERGENCIA (OVE)",IF(O41=[1]CURSOS!$D$21,"INSTITUCIONES AMIGAS DE LA MUJER Y LA INFANCIA (IAMI)",IF(O41=[1]CURSOS!$D$22,"CUIDADO DEL DONANTE DE ORGANOS",IF(O41=[1]CURSOS!$D$23,"ATENCION A VICTIMAS POR VIOLENCIA DE GENERO",IF(O41=[1]CURSOS!$D$24,"IGUALDAD DE GENERO EN LA SALUD",IF(O41=[1]CURSOS!$D$25,"BRIGADA DE EMERGENCIA",IF(O41=[1]CURSOS!$D$26,"MANEJO DEL DOLOR Y CUIDADOS PALIATIVOS",IF(O41=[1]CURSOS!$D$27,"TOMA DE MUESTRAS Y LABORATORIO POCT",IF(O41=[1]CURSOS!$D$28,"IMPLANTE SUBDERMICO DE DISPOSITIVO INTRAUTERINO",IF(O41=[1]CURSOS!$D$29,"SALUD MENTAL",IF(O41=[1]CURSOS!$D$30,"PRIMEROS AUXILIOS PSICOLOGICOS",IF(O41=[1]CURSOS!$D$31,"ATENCION A VICTIMAS POR CONFLICTO ARMADO",IF(O41=[1]CURSOS!$D$32,"MANIPULACION DE ALIMENTOS Y BPM",IF(O41=[1]CURSOS!$D$33,"ATENCION A PERSONAS CON DISCAPACIDAD",IF(O41=[1]CURSOS!$D$34,"CUIDADO INTEGRAL DEL PACIENTE ADULTO",IF(O41=[1]CURSOS!$D$35,"MANEJO DEFENSIVO",IF(O41=[1]CURSOS!$D$36,"SOPORTE CARDIOVASCULAR AVANZADO NEONATAL",IF(O41=[1]CURSOS!$D$37,"SEGURIDAD DEL PACIENTE")))))))))))))))))))))))))))))))))))</f>
        <v xml:space="preserve">HUMANIZACION EN EL SERVICIO DE LA SALUD Y BUENAS PRACTICAS EN PACIENTE </v>
      </c>
      <c r="V41" s="71" t="str">
        <f t="shared" si="3"/>
        <v>Noralba  Paz Ledezma</v>
      </c>
      <c r="W41" s="83" t="str">
        <f t="shared" si="4"/>
        <v>Noralba  Paz Ledezma</v>
      </c>
      <c r="X41" s="52" t="str">
        <f t="shared" si="5"/>
        <v>Noralba  Paz Ledezma-27277310-HUMANIZACION</v>
      </c>
    </row>
    <row r="42" spans="1:24" s="55" customFormat="1" x14ac:dyDescent="0.2">
      <c r="A42" s="17">
        <v>41</v>
      </c>
      <c r="B42" s="80">
        <v>27277310</v>
      </c>
      <c r="C42" s="17" t="s">
        <v>104</v>
      </c>
      <c r="D42" s="17" t="s">
        <v>428</v>
      </c>
      <c r="E42" s="17" t="s">
        <v>429</v>
      </c>
      <c r="F42" s="180"/>
      <c r="G42" s="171">
        <v>9</v>
      </c>
      <c r="H42" s="171" t="s">
        <v>181</v>
      </c>
      <c r="I42" s="171" t="s">
        <v>450</v>
      </c>
      <c r="J42" s="182">
        <v>45512</v>
      </c>
      <c r="K42" s="181">
        <v>30000</v>
      </c>
      <c r="L42" s="171" t="s">
        <v>328</v>
      </c>
      <c r="M42" s="171" t="s">
        <v>86</v>
      </c>
      <c r="N42" s="171" t="s">
        <v>334</v>
      </c>
      <c r="O42" s="183" t="s">
        <v>23</v>
      </c>
      <c r="P42" s="18">
        <v>27245</v>
      </c>
      <c r="Q42" s="121" t="s">
        <v>309</v>
      </c>
      <c r="R42" s="17" t="s">
        <v>315</v>
      </c>
      <c r="S42" s="82">
        <v>3122355382</v>
      </c>
      <c r="T42" s="37" t="s">
        <v>430</v>
      </c>
      <c r="U42" s="71" t="str">
        <f>IF(O42=[1]CURSOS!$D$3,"DIPLOMADO EN ATENCION PRE-HOSPITALARIA",IF(O42=[1]CURSOS!$D$4,"ACOMPAÑAMIENTO Y MANEJO DEL DUELO",IF(O42=[1]CURSOS!$D$5,"ATENCION A VICTIMAS DE ATAQUE CON AGENTES QUIMICOS ",IF(O42=[1]CURSOS!$D$6,"PRIMEROS AUXILIOS ",IF(O42=[1]CURSOS!$D$7,"DIPLOMADO DE UNIDAD DE CUIDADOS INTENSIVOS (UCI)",IF(O42=[1]CURSOS!$D$8,"MODELO DE ATENCION PARA EVENTOS EMERGENTES EN SALUD MENTAL (CODIGO VERDE)",IF(O42=[1]CURSOS!$D$9,"HUMANIZACION EN EL SERVICIO DE LA SALUD Y BUENAS PRACTICAS EN PACIENTE ",IF(O42=[1]CURSOS!$D$10,"CLINICA DE HERIDAS ",IF(O42=[1]CURSOS!$D$11,"TOMA DE CITOLOGIA CERVICO VAGINAL ",IF(O42=[1]CURSOS!$D$12,"SOPORTE CARDIOVASCULAR AVANZADO (ACLS) ",IF(O42=[1]CURSOS!$D$13,"CAMILLERO ",IF(O42=[1]CURSOS!$D$14,"TOMA DE MUESTRAS Y LABORATORIO ",IF(O42=[1]CURSOS!$D$15,"SOPORTE VITAL BASICO (BLS)",IF(O42=[1]CURSOS!$D$16,"ATENCION A VICTIMAS DE VIOLENCIA SEXUAL ",IF(O42=[1]CURSOS!$D$17,"PROGRAMADO AMPLIADO DE INMUNIZACION (PAI - COVID 19)",IF(O42=[1]CURSOS!$D$18,"ATENCION INTEGRAL EN ENFERMEDADES PREVALENTES EN PRIMERA INFANCIA (AIEPI)",IF(O42=[1]CURSOS!$D$19,"ADMINISTRACION DE MEDICAMENTOS, INYECTOLOGIA  Y CANALIZACION ",IF(O42=[1]CURSOS!$D$20,"OPERADOR DE VEHICULOS DE EMERGENCIA (OVE)",IF(O42=[1]CURSOS!$D$21,"INSTITUCIONES AMIGAS DE LA MUJER Y LA INFANCIA (IAMI)",IF(O42=[1]CURSOS!$D$22,"CUIDADO DEL DONANTE DE ORGANOS",IF(O42=[1]CURSOS!$D$23,"ATENCION A VICTIMAS POR VIOLENCIA DE GENERO",IF(O42=[1]CURSOS!$D$24,"IGUALDAD DE GENERO EN LA SALUD",IF(O42=[1]CURSOS!$D$25,"BRIGADA DE EMERGENCIA",IF(O42=[1]CURSOS!$D$26,"MANEJO DEL DOLOR Y CUIDADOS PALIATIVOS",IF(O42=[1]CURSOS!$D$27,"TOMA DE MUESTRAS Y LABORATORIO POCT",IF(O42=[1]CURSOS!$D$28,"IMPLANTE SUBDERMICO DE DISPOSITIVO INTRAUTERINO",IF(O42=[1]CURSOS!$D$29,"SALUD MENTAL",IF(O42=[1]CURSOS!$D$30,"PRIMEROS AUXILIOS PSICOLOGICOS",IF(O42=[1]CURSOS!$D$31,"ATENCION A VICTIMAS POR CONFLICTO ARMADO",IF(O42=[1]CURSOS!$D$32,"MANIPULACION DE ALIMENTOS Y BPM",IF(O42=[1]CURSOS!$D$33,"ATENCION A PERSONAS CON DISCAPACIDAD",IF(O42=[1]CURSOS!$D$34,"CUIDADO INTEGRAL DEL PACIENTE ADULTO",IF(O42=[1]CURSOS!$D$35,"MANEJO DEFENSIVO",IF(O42=[1]CURSOS!$D$36,"SOPORTE CARDIOVASCULAR AVANZADO NEONATAL",IF(O42=[1]CURSOS!$D$37,"SEGURIDAD DEL PACIENTE")))))))))))))))))))))))))))))))))))</f>
        <v>ACOMPAÑAMIENTO Y MANEJO DEL DUELO</v>
      </c>
      <c r="V42" s="71" t="str">
        <f t="shared" si="3"/>
        <v>Noralba  Paz Ledezma</v>
      </c>
      <c r="W42" s="83" t="str">
        <f t="shared" si="4"/>
        <v>Noralba  Paz Ledezma</v>
      </c>
      <c r="X42" s="52" t="str">
        <f t="shared" si="5"/>
        <v>Noralba  Paz Ledezma-27277310-DUELO</v>
      </c>
    </row>
    <row r="43" spans="1:24" s="55" customFormat="1" x14ac:dyDescent="0.2">
      <c r="A43" s="17">
        <v>42</v>
      </c>
      <c r="B43" s="80">
        <v>27277310</v>
      </c>
      <c r="C43" s="17" t="s">
        <v>104</v>
      </c>
      <c r="D43" s="17" t="s">
        <v>428</v>
      </c>
      <c r="E43" s="17" t="s">
        <v>429</v>
      </c>
      <c r="F43" s="180"/>
      <c r="G43" s="171">
        <v>9</v>
      </c>
      <c r="H43" s="171" t="s">
        <v>181</v>
      </c>
      <c r="I43" s="171" t="s">
        <v>450</v>
      </c>
      <c r="J43" s="182">
        <v>45512</v>
      </c>
      <c r="K43" s="181">
        <v>30000</v>
      </c>
      <c r="L43" s="171" t="s">
        <v>328</v>
      </c>
      <c r="M43" s="171" t="s">
        <v>86</v>
      </c>
      <c r="N43" s="171" t="s">
        <v>334</v>
      </c>
      <c r="O43" s="183" t="s">
        <v>25</v>
      </c>
      <c r="P43" s="18">
        <v>27245</v>
      </c>
      <c r="Q43" s="121" t="s">
        <v>309</v>
      </c>
      <c r="R43" s="17" t="s">
        <v>315</v>
      </c>
      <c r="S43" s="82">
        <v>3122355382</v>
      </c>
      <c r="T43" s="37" t="s">
        <v>430</v>
      </c>
      <c r="U43" s="71" t="str">
        <f>IF(O43=[1]CURSOS!$D$3,"DIPLOMADO EN ATENCION PRE-HOSPITALARIA",IF(O43=[1]CURSOS!$D$4,"ACOMPAÑAMIENTO Y MANEJO DEL DUELO",IF(O43=[1]CURSOS!$D$5,"ATENCION A VICTIMAS DE ATAQUE CON AGENTES QUIMICOS ",IF(O43=[1]CURSOS!$D$6,"PRIMEROS AUXILIOS ",IF(O43=[1]CURSOS!$D$7,"DIPLOMADO DE UNIDAD DE CUIDADOS INTENSIVOS (UCI)",IF(O43=[1]CURSOS!$D$8,"MODELO DE ATENCION PARA EVENTOS EMERGENTES EN SALUD MENTAL (CODIGO VERDE)",IF(O43=[1]CURSOS!$D$9,"HUMANIZACION EN EL SERVICIO DE LA SALUD Y BUENAS PRACTICAS EN PACIENTE ",IF(O43=[1]CURSOS!$D$10,"CLINICA DE HERIDAS ",IF(O43=[1]CURSOS!$D$11,"TOMA DE CITOLOGIA CERVICO VAGINAL ",IF(O43=[1]CURSOS!$D$12,"SOPORTE CARDIOVASCULAR AVANZADO (ACLS) ",IF(O43=[1]CURSOS!$D$13,"CAMILLERO ",IF(O43=[1]CURSOS!$D$14,"TOMA DE MUESTRAS Y LABORATORIO ",IF(O43=[1]CURSOS!$D$15,"SOPORTE VITAL BASICO (BLS)",IF(O43=[1]CURSOS!$D$16,"ATENCION A VICTIMAS DE VIOLENCIA SEXUAL ",IF(O43=[1]CURSOS!$D$17,"PROGRAMADO AMPLIADO DE INMUNIZACION (PAI - COVID 19)",IF(O43=[1]CURSOS!$D$18,"ATENCION INTEGRAL EN ENFERMEDADES PREVALENTES EN PRIMERA INFANCIA (AIEPI)",IF(O43=[1]CURSOS!$D$19,"ADMINISTRACION DE MEDICAMENTOS, INYECTOLOGIA  Y CANALIZACION ",IF(O43=[1]CURSOS!$D$20,"OPERADOR DE VEHICULOS DE EMERGENCIA (OVE)",IF(O43=[1]CURSOS!$D$21,"INSTITUCIONES AMIGAS DE LA MUJER Y LA INFANCIA (IAMI)",IF(O43=[1]CURSOS!$D$22,"CUIDADO DEL DONANTE DE ORGANOS",IF(O43=[1]CURSOS!$D$23,"ATENCION A VICTIMAS POR VIOLENCIA DE GENERO",IF(O43=[1]CURSOS!$D$24,"IGUALDAD DE GENERO EN LA SALUD",IF(O43=[1]CURSOS!$D$25,"BRIGADA DE EMERGENCIA",IF(O43=[1]CURSOS!$D$26,"MANEJO DEL DOLOR Y CUIDADOS PALIATIVOS",IF(O43=[1]CURSOS!$D$27,"TOMA DE MUESTRAS Y LABORATORIO POCT",IF(O43=[1]CURSOS!$D$28,"IMPLANTE SUBDERMICO DE DISPOSITIVO INTRAUTERINO",IF(O43=[1]CURSOS!$D$29,"SALUD MENTAL",IF(O43=[1]CURSOS!$D$30,"PRIMEROS AUXILIOS PSICOLOGICOS",IF(O43=[1]CURSOS!$D$31,"ATENCION A VICTIMAS POR CONFLICTO ARMADO",IF(O43=[1]CURSOS!$D$32,"MANIPULACION DE ALIMENTOS Y BPM",IF(O43=[1]CURSOS!$D$33,"ATENCION A PERSONAS CON DISCAPACIDAD",IF(O43=[1]CURSOS!$D$34,"CUIDADO INTEGRAL DEL PACIENTE ADULTO",IF(O43=[1]CURSOS!$D$35,"MANEJO DEFENSIVO",IF(O43=[1]CURSOS!$D$36,"SOPORTE CARDIOVASCULAR AVANZADO NEONATAL",IF(O43=[1]CURSOS!$D$37,"SEGURIDAD DEL PACIENTE")))))))))))))))))))))))))))))))))))</f>
        <v xml:space="preserve">ATENCION A VICTIMAS DE ATAQUE CON AGENTES QUIMICOS </v>
      </c>
      <c r="V43" s="71" t="str">
        <f t="shared" si="3"/>
        <v>Noralba  Paz Ledezma</v>
      </c>
      <c r="W43" s="83" t="str">
        <f t="shared" si="4"/>
        <v>Noralba  Paz Ledezma</v>
      </c>
      <c r="X43" s="52" t="str">
        <f t="shared" si="5"/>
        <v>Noralba  Paz Ledezma-27277310-QUIMICOS</v>
      </c>
    </row>
    <row r="44" spans="1:24" s="55" customFormat="1" x14ac:dyDescent="0.2">
      <c r="A44" s="17">
        <v>43</v>
      </c>
      <c r="B44" s="80">
        <v>27277310</v>
      </c>
      <c r="C44" s="17" t="s">
        <v>104</v>
      </c>
      <c r="D44" s="17" t="s">
        <v>428</v>
      </c>
      <c r="E44" s="17" t="s">
        <v>429</v>
      </c>
      <c r="F44" s="180"/>
      <c r="G44" s="171">
        <v>9</v>
      </c>
      <c r="H44" s="171" t="s">
        <v>181</v>
      </c>
      <c r="I44" s="171" t="s">
        <v>450</v>
      </c>
      <c r="J44" s="182">
        <v>45512</v>
      </c>
      <c r="K44" s="181">
        <v>30000</v>
      </c>
      <c r="L44" s="171" t="s">
        <v>328</v>
      </c>
      <c r="M44" s="171" t="s">
        <v>86</v>
      </c>
      <c r="N44" s="171" t="s">
        <v>334</v>
      </c>
      <c r="O44" s="183" t="s">
        <v>43</v>
      </c>
      <c r="P44" s="18">
        <v>27245</v>
      </c>
      <c r="Q44" s="121" t="s">
        <v>309</v>
      </c>
      <c r="R44" s="17" t="s">
        <v>315</v>
      </c>
      <c r="S44" s="82">
        <v>3122355382</v>
      </c>
      <c r="T44" s="37" t="s">
        <v>430</v>
      </c>
      <c r="U44" s="71" t="str">
        <f>IF(O44=[1]CURSOS!$D$3,"DIPLOMADO EN ATENCION PRE-HOSPITALARIA",IF(O44=[1]CURSOS!$D$4,"ACOMPAÑAMIENTO Y MANEJO DEL DUELO",IF(O44=[1]CURSOS!$D$5,"ATENCION A VICTIMAS DE ATAQUE CON AGENTES QUIMICOS ",IF(O44=[1]CURSOS!$D$6,"PRIMEROS AUXILIOS ",IF(O44=[1]CURSOS!$D$7,"DIPLOMADO DE UNIDAD DE CUIDADOS INTENSIVOS (UCI)",IF(O44=[1]CURSOS!$D$8,"MODELO DE ATENCION PARA EVENTOS EMERGENTES EN SALUD MENTAL (CODIGO VERDE)",IF(O44=[1]CURSOS!$D$9,"HUMANIZACION EN EL SERVICIO DE LA SALUD Y BUENAS PRACTICAS EN PACIENTE ",IF(O44=[1]CURSOS!$D$10,"CLINICA DE HERIDAS ",IF(O44=[1]CURSOS!$D$11,"TOMA DE CITOLOGIA CERVICO VAGINAL ",IF(O44=[1]CURSOS!$D$12,"SOPORTE CARDIOVASCULAR AVANZADO (ACLS) ",IF(O44=[1]CURSOS!$D$13,"CAMILLERO ",IF(O44=[1]CURSOS!$D$14,"TOMA DE MUESTRAS Y LABORATORIO ",IF(O44=[1]CURSOS!$D$15,"SOPORTE VITAL BASICO (BLS)",IF(O44=[1]CURSOS!$D$16,"ATENCION A VICTIMAS DE VIOLENCIA SEXUAL ",IF(O44=[1]CURSOS!$D$17,"PROGRAMADO AMPLIADO DE INMUNIZACION (PAI - COVID 19)",IF(O44=[1]CURSOS!$D$18,"ATENCION INTEGRAL EN ENFERMEDADES PREVALENTES EN PRIMERA INFANCIA (AIEPI)",IF(O44=[1]CURSOS!$D$19,"ADMINISTRACION DE MEDICAMENTOS, INYECTOLOGIA  Y CANALIZACION ",IF(O44=[1]CURSOS!$D$20,"OPERADOR DE VEHICULOS DE EMERGENCIA (OVE)",IF(O44=[1]CURSOS!$D$21,"INSTITUCIONES AMIGAS DE LA MUJER Y LA INFANCIA (IAMI)",IF(O44=[1]CURSOS!$D$22,"CUIDADO DEL DONANTE DE ORGANOS",IF(O44=[1]CURSOS!$D$23,"ATENCION A VICTIMAS POR VIOLENCIA DE GENERO",IF(O44=[1]CURSOS!$D$24,"IGUALDAD DE GENERO EN LA SALUD",IF(O44=[1]CURSOS!$D$25,"BRIGADA DE EMERGENCIA",IF(O44=[1]CURSOS!$D$26,"MANEJO DEL DOLOR Y CUIDADOS PALIATIVOS",IF(O44=[1]CURSOS!$D$27,"TOMA DE MUESTRAS Y LABORATORIO POCT",IF(O44=[1]CURSOS!$D$28,"IMPLANTE SUBDERMICO DE DISPOSITIVO INTRAUTERINO",IF(O44=[1]CURSOS!$D$29,"SALUD MENTAL",IF(O44=[1]CURSOS!$D$30,"PRIMEROS AUXILIOS PSICOLOGICOS",IF(O44=[1]CURSOS!$D$31,"ATENCION A VICTIMAS POR CONFLICTO ARMADO",IF(O44=[1]CURSOS!$D$32,"MANIPULACION DE ALIMENTOS Y BPM",IF(O44=[1]CURSOS!$D$33,"ATENCION A PERSONAS CON DISCAPACIDAD",IF(O44=[1]CURSOS!$D$34,"CUIDADO INTEGRAL DEL PACIENTE ADULTO",IF(O44=[1]CURSOS!$D$35,"MANEJO DEFENSIVO",IF(O44=[1]CURSOS!$D$36,"SOPORTE CARDIOVASCULAR AVANZADO NEONATAL",IF(O44=[1]CURSOS!$D$37,"SEGURIDAD DEL PACIENTE")))))))))))))))))))))))))))))))))))</f>
        <v xml:space="preserve">ATENCION A VICTIMAS DE VIOLENCIA SEXUAL </v>
      </c>
      <c r="V44" s="71" t="str">
        <f t="shared" si="3"/>
        <v>Noralba  Paz Ledezma</v>
      </c>
      <c r="W44" s="83" t="str">
        <f t="shared" si="4"/>
        <v>Noralba  Paz Ledezma</v>
      </c>
      <c r="X44" s="52" t="str">
        <f t="shared" si="5"/>
        <v>Noralba  Paz Ledezma-27277310-VIOLENCIA SEXUAL</v>
      </c>
    </row>
    <row r="45" spans="1:24" s="55" customFormat="1" x14ac:dyDescent="0.2">
      <c r="A45" s="17">
        <v>44</v>
      </c>
      <c r="B45" s="80">
        <v>27277310</v>
      </c>
      <c r="C45" s="17" t="s">
        <v>104</v>
      </c>
      <c r="D45" s="17" t="s">
        <v>428</v>
      </c>
      <c r="E45" s="17" t="s">
        <v>429</v>
      </c>
      <c r="F45" s="180"/>
      <c r="G45" s="171">
        <v>9</v>
      </c>
      <c r="H45" s="171" t="s">
        <v>181</v>
      </c>
      <c r="I45" s="171" t="s">
        <v>519</v>
      </c>
      <c r="J45" s="182">
        <v>45512</v>
      </c>
      <c r="K45" s="181">
        <v>30000</v>
      </c>
      <c r="L45" s="171" t="s">
        <v>328</v>
      </c>
      <c r="M45" s="171" t="s">
        <v>86</v>
      </c>
      <c r="N45" s="171" t="s">
        <v>334</v>
      </c>
      <c r="O45" s="183" t="s">
        <v>61</v>
      </c>
      <c r="P45" s="18">
        <v>27245</v>
      </c>
      <c r="Q45" s="121" t="s">
        <v>309</v>
      </c>
      <c r="R45" s="17" t="s">
        <v>315</v>
      </c>
      <c r="S45" s="82">
        <v>3122355382</v>
      </c>
      <c r="T45" s="37" t="s">
        <v>430</v>
      </c>
      <c r="U45" s="71" t="str">
        <f>IF(O45=[1]CURSOS!$D$3,"DIPLOMADO EN ATENCION PRE-HOSPITALARIA",IF(O45=[1]CURSOS!$D$4,"ACOMPAÑAMIENTO Y MANEJO DEL DUELO",IF(O45=[1]CURSOS!$D$5,"ATENCION A VICTIMAS DE ATAQUE CON AGENTES QUIMICOS ",IF(O45=[1]CURSOS!$D$6,"PRIMEROS AUXILIOS ",IF(O45=[1]CURSOS!$D$7,"DIPLOMADO DE UNIDAD DE CUIDADOS INTENSIVOS (UCI)",IF(O45=[1]CURSOS!$D$8,"MODELO DE ATENCION PARA EVENTOS EMERGENTES EN SALUD MENTAL (CODIGO VERDE)",IF(O45=[1]CURSOS!$D$9,"HUMANIZACION EN EL SERVICIO DE LA SALUD Y BUENAS PRACTICAS EN PACIENTE ",IF(O45=[1]CURSOS!$D$10,"CLINICA DE HERIDAS ",IF(O45=[1]CURSOS!$D$11,"TOMA DE CITOLOGIA CERVICO VAGINAL ",IF(O45=[1]CURSOS!$D$12,"SOPORTE CARDIOVASCULAR AVANZADO (ACLS) ",IF(O45=[1]CURSOS!$D$13,"CAMILLERO ",IF(O45=[1]CURSOS!$D$14,"TOMA DE MUESTRAS Y LABORATORIO ",IF(O45=[1]CURSOS!$D$15,"SOPORTE VITAL BASICO (BLS)",IF(O45=[1]CURSOS!$D$16,"ATENCION A VICTIMAS DE VIOLENCIA SEXUAL ",IF(O45=[1]CURSOS!$D$17,"PROGRAMADO AMPLIADO DE INMUNIZACION (PAI - COVID 19)",IF(O45=[1]CURSOS!$D$18,"ATENCION INTEGRAL EN ENFERMEDADES PREVALENTES EN PRIMERA INFANCIA (AIEPI)",IF(O45=[1]CURSOS!$D$19,"ADMINISTRACION DE MEDICAMENTOS, INYECTOLOGIA  Y CANALIZACION ",IF(O45=[1]CURSOS!$D$20,"OPERADOR DE VEHICULOS DE EMERGENCIA (OVE)",IF(O45=[1]CURSOS!$D$21,"INSTITUCIONES AMIGAS DE LA MUJER Y LA INFANCIA (IAMI)",IF(O45=[1]CURSOS!$D$22,"CUIDADO DEL DONANTE DE ORGANOS",IF(O45=[1]CURSOS!$D$23,"ATENCION A VICTIMAS POR VIOLENCIA DE GENERO",IF(O45=[1]CURSOS!$D$24,"IGUALDAD DE GENERO EN LA SALUD",IF(O45=[1]CURSOS!$D$25,"BRIGADA DE EMERGENCIA",IF(O45=[1]CURSOS!$D$26,"MANEJO DEL DOLOR Y CUIDADOS PALIATIVOS",IF(O45=[1]CURSOS!$D$27,"TOMA DE MUESTRAS Y LABORATORIO POCT",IF(O45=[1]CURSOS!$D$28,"IMPLANTE SUBDERMICO DE DISPOSITIVO INTRAUTERINO",IF(O45=[1]CURSOS!$D$29,"SALUD MENTAL",IF(O45=[1]CURSOS!$D$30,"PRIMEROS AUXILIOS PSICOLOGICOS",IF(O45=[1]CURSOS!$D$31,"ATENCION A VICTIMAS POR CONFLICTO ARMADO",IF(O45=[1]CURSOS!$D$32,"MANIPULACION DE ALIMENTOS Y BPM",IF(O45=[1]CURSOS!$D$33,"ATENCION A PERSONAS CON DISCAPACIDAD",IF(O45=[1]CURSOS!$D$34,"CUIDADO INTEGRAL DEL PACIENTE ADULTO",IF(O45=[1]CURSOS!$D$35,"MANEJO DEFENSIVO",IF(O45=[1]CURSOS!$D$36,"SOPORTE CARDIOVASCULAR AVANZADO NEONATAL",IF(O45=[1]CURSOS!$D$37,"SEGURIDAD DEL PACIENTE")))))))))))))))))))))))))))))))))))</f>
        <v>MANEJO DEL DOLOR Y CUIDADOS PALIATIVOS</v>
      </c>
      <c r="V45" s="71" t="str">
        <f t="shared" si="3"/>
        <v>Noralba  Paz Ledezma</v>
      </c>
      <c r="W45" s="83" t="str">
        <f t="shared" si="4"/>
        <v>Noralba  Paz Ledezma</v>
      </c>
      <c r="X45" s="52" t="str">
        <f t="shared" si="5"/>
        <v>Noralba  Paz Ledezma-27277310-PALIATIVOS</v>
      </c>
    </row>
    <row r="46" spans="1:24" s="55" customFormat="1" x14ac:dyDescent="0.2">
      <c r="A46" s="17">
        <v>45</v>
      </c>
      <c r="B46" s="80">
        <v>87455395</v>
      </c>
      <c r="C46" s="17" t="s">
        <v>138</v>
      </c>
      <c r="D46" s="17" t="s">
        <v>138</v>
      </c>
      <c r="E46" s="17" t="s">
        <v>431</v>
      </c>
      <c r="F46" s="180" t="s">
        <v>340</v>
      </c>
      <c r="G46" s="171">
        <v>9</v>
      </c>
      <c r="H46" s="171" t="s">
        <v>181</v>
      </c>
      <c r="I46" s="171" t="s">
        <v>519</v>
      </c>
      <c r="J46" s="182">
        <v>45513</v>
      </c>
      <c r="K46" s="190">
        <v>35000</v>
      </c>
      <c r="L46" s="171" t="s">
        <v>328</v>
      </c>
      <c r="M46" s="171" t="s">
        <v>86</v>
      </c>
      <c r="N46" s="171" t="s">
        <v>334</v>
      </c>
      <c r="O46" s="183" t="s">
        <v>43</v>
      </c>
      <c r="P46" s="18">
        <v>30443</v>
      </c>
      <c r="Q46" s="121" t="s">
        <v>316</v>
      </c>
      <c r="R46" s="17" t="s">
        <v>432</v>
      </c>
      <c r="S46" s="82">
        <v>3137927623</v>
      </c>
      <c r="T46" s="17" t="s">
        <v>433</v>
      </c>
      <c r="U46" s="71" t="str">
        <f>IF(O46=[1]CURSOS!$D$3,"DIPLOMADO EN ATENCION PRE-HOSPITALARIA",IF(O46=[1]CURSOS!$D$4,"ACOMPAÑAMIENTO Y MANEJO DEL DUELO",IF(O46=[1]CURSOS!$D$5,"ATENCION A VICTIMAS DE ATAQUE CON AGENTES QUIMICOS ",IF(O46=[1]CURSOS!$D$6,"PRIMEROS AUXILIOS ",IF(O46=[1]CURSOS!$D$7,"DIPLOMADO DE UNIDAD DE CUIDADOS INTENSIVOS (UCI)",IF(O46=[1]CURSOS!$D$8,"MODELO DE ATENCION PARA EVENTOS EMERGENTES EN SALUD MENTAL (CODIGO VERDE)",IF(O46=[1]CURSOS!$D$9,"HUMANIZACION EN EL SERVICIO DE LA SALUD Y BUENAS PRACTICAS EN PACIENTE ",IF(O46=[1]CURSOS!$D$10,"CLINICA DE HERIDAS ",IF(O46=[1]CURSOS!$D$11,"TOMA DE CITOLOGIA CERVICO VAGINAL ",IF(O46=[1]CURSOS!$D$12,"SOPORTE CARDIOVASCULAR AVANZADO (ACLS) ",IF(O46=[1]CURSOS!$D$13,"CAMILLERO ",IF(O46=[1]CURSOS!$D$14,"TOMA DE MUESTRAS Y LABORATORIO ",IF(O46=[1]CURSOS!$D$15,"SOPORTE VITAL BASICO (BLS)",IF(O46=[1]CURSOS!$D$16,"ATENCION A VICTIMAS DE VIOLENCIA SEXUAL ",IF(O46=[1]CURSOS!$D$17,"PROGRAMADO AMPLIADO DE INMUNIZACION (PAI - COVID 19)",IF(O46=[1]CURSOS!$D$18,"ATENCION INTEGRAL EN ENFERMEDADES PREVALENTES EN PRIMERA INFANCIA (AIEPI)",IF(O46=[1]CURSOS!$D$19,"ADMINISTRACION DE MEDICAMENTOS, INYECTOLOGIA  Y CANALIZACION ",IF(O46=[1]CURSOS!$D$20,"OPERADOR DE VEHICULOS DE EMERGENCIA (OVE)",IF(O46=[1]CURSOS!$D$21,"INSTITUCIONES AMIGAS DE LA MUJER Y LA INFANCIA (IAMI)",IF(O46=[1]CURSOS!$D$22,"CUIDADO DEL DONANTE DE ORGANOS",IF(O46=[1]CURSOS!$D$23,"ATENCION A VICTIMAS POR VIOLENCIA DE GENERO",IF(O46=[1]CURSOS!$D$24,"IGUALDAD DE GENERO EN LA SALUD",IF(O46=[1]CURSOS!$D$25,"BRIGADA DE EMERGENCIA",IF(O46=[1]CURSOS!$D$26,"MANEJO DEL DOLOR Y CUIDADOS PALIATIVOS",IF(O46=[1]CURSOS!$D$27,"TOMA DE MUESTRAS Y LABORATORIO POCT",IF(O46=[1]CURSOS!$D$28,"IMPLANTE SUBDERMICO DE DISPOSITIVO INTRAUTERINO",IF(O46=[1]CURSOS!$D$29,"SALUD MENTAL",IF(O46=[1]CURSOS!$D$30,"PRIMEROS AUXILIOS PSICOLOGICOS",IF(O46=[1]CURSOS!$D$31,"ATENCION A VICTIMAS POR CONFLICTO ARMADO",IF(O46=[1]CURSOS!$D$32,"MANIPULACION DE ALIMENTOS Y BPM",IF(O46=[1]CURSOS!$D$33,"ATENCION A PERSONAS CON DISCAPACIDAD",IF(O46=[1]CURSOS!$D$34,"CUIDADO INTEGRAL DEL PACIENTE ADULTO",IF(O46=[1]CURSOS!$D$35,"MANEJO DEFENSIVO",IF(O46=[1]CURSOS!$D$36,"SOPORTE CARDIOVASCULAR AVANZADO NEONATAL",IF(O46=[1]CURSOS!$D$37,"SEGURIDAD DEL PACIENTE")))))))))))))))))))))))))))))))))))</f>
        <v xml:space="preserve">ATENCION A VICTIMAS DE VIOLENCIA SEXUAL </v>
      </c>
      <c r="V46" s="71" t="str">
        <f t="shared" si="3"/>
        <v>Ronald Fernando Hernandez Hernandez</v>
      </c>
      <c r="W46" s="83" t="str">
        <f t="shared" si="4"/>
        <v>Ronald Fernando Hernandez Hernandez</v>
      </c>
      <c r="X46" s="52" t="str">
        <f t="shared" si="5"/>
        <v>Ronald Fernando Hernandez Hernandez-87455395-VIOLENCIA SEXUAL</v>
      </c>
    </row>
    <row r="47" spans="1:24" s="55" customFormat="1" x14ac:dyDescent="0.2">
      <c r="A47" s="17">
        <v>46</v>
      </c>
      <c r="B47" s="80">
        <v>87455395</v>
      </c>
      <c r="C47" s="17" t="s">
        <v>138</v>
      </c>
      <c r="D47" s="17" t="s">
        <v>138</v>
      </c>
      <c r="E47" s="17" t="s">
        <v>431</v>
      </c>
      <c r="F47" s="180" t="s">
        <v>340</v>
      </c>
      <c r="G47" s="171">
        <v>9</v>
      </c>
      <c r="H47" s="171" t="s">
        <v>181</v>
      </c>
      <c r="I47" s="171" t="s">
        <v>519</v>
      </c>
      <c r="J47" s="182">
        <v>45513</v>
      </c>
      <c r="K47" s="190">
        <v>35000</v>
      </c>
      <c r="L47" s="171" t="s">
        <v>328</v>
      </c>
      <c r="M47" s="171" t="s">
        <v>86</v>
      </c>
      <c r="N47" s="171" t="s">
        <v>334</v>
      </c>
      <c r="O47" s="183" t="s">
        <v>25</v>
      </c>
      <c r="P47" s="18">
        <v>30443</v>
      </c>
      <c r="Q47" s="121" t="s">
        <v>316</v>
      </c>
      <c r="R47" s="17" t="s">
        <v>432</v>
      </c>
      <c r="S47" s="82">
        <v>3137927623</v>
      </c>
      <c r="T47" s="17" t="s">
        <v>433</v>
      </c>
      <c r="U47" s="71" t="str">
        <f>IF(O47=[1]CURSOS!$D$3,"DIPLOMADO EN ATENCION PRE-HOSPITALARIA",IF(O47=[1]CURSOS!$D$4,"ACOMPAÑAMIENTO Y MANEJO DEL DUELO",IF(O47=[1]CURSOS!$D$5,"ATENCION A VICTIMAS DE ATAQUE CON AGENTES QUIMICOS ",IF(O47=[1]CURSOS!$D$6,"PRIMEROS AUXILIOS ",IF(O47=[1]CURSOS!$D$7,"DIPLOMADO DE UNIDAD DE CUIDADOS INTENSIVOS (UCI)",IF(O47=[1]CURSOS!$D$8,"MODELO DE ATENCION PARA EVENTOS EMERGENTES EN SALUD MENTAL (CODIGO VERDE)",IF(O47=[1]CURSOS!$D$9,"HUMANIZACION EN EL SERVICIO DE LA SALUD Y BUENAS PRACTICAS EN PACIENTE ",IF(O47=[1]CURSOS!$D$10,"CLINICA DE HERIDAS ",IF(O47=[1]CURSOS!$D$11,"TOMA DE CITOLOGIA CERVICO VAGINAL ",IF(O47=[1]CURSOS!$D$12,"SOPORTE CARDIOVASCULAR AVANZADO (ACLS) ",IF(O47=[1]CURSOS!$D$13,"CAMILLERO ",IF(O47=[1]CURSOS!$D$14,"TOMA DE MUESTRAS Y LABORATORIO ",IF(O47=[1]CURSOS!$D$15,"SOPORTE VITAL BASICO (BLS)",IF(O47=[1]CURSOS!$D$16,"ATENCION A VICTIMAS DE VIOLENCIA SEXUAL ",IF(O47=[1]CURSOS!$D$17,"PROGRAMADO AMPLIADO DE INMUNIZACION (PAI - COVID 19)",IF(O47=[1]CURSOS!$D$18,"ATENCION INTEGRAL EN ENFERMEDADES PREVALENTES EN PRIMERA INFANCIA (AIEPI)",IF(O47=[1]CURSOS!$D$19,"ADMINISTRACION DE MEDICAMENTOS, INYECTOLOGIA  Y CANALIZACION ",IF(O47=[1]CURSOS!$D$20,"OPERADOR DE VEHICULOS DE EMERGENCIA (OVE)",IF(O47=[1]CURSOS!$D$21,"INSTITUCIONES AMIGAS DE LA MUJER Y LA INFANCIA (IAMI)",IF(O47=[1]CURSOS!$D$22,"CUIDADO DEL DONANTE DE ORGANOS",IF(O47=[1]CURSOS!$D$23,"ATENCION A VICTIMAS POR VIOLENCIA DE GENERO",IF(O47=[1]CURSOS!$D$24,"IGUALDAD DE GENERO EN LA SALUD",IF(O47=[1]CURSOS!$D$25,"BRIGADA DE EMERGENCIA",IF(O47=[1]CURSOS!$D$26,"MANEJO DEL DOLOR Y CUIDADOS PALIATIVOS",IF(O47=[1]CURSOS!$D$27,"TOMA DE MUESTRAS Y LABORATORIO POCT",IF(O47=[1]CURSOS!$D$28,"IMPLANTE SUBDERMICO DE DISPOSITIVO INTRAUTERINO",IF(O47=[1]CURSOS!$D$29,"SALUD MENTAL",IF(O47=[1]CURSOS!$D$30,"PRIMEROS AUXILIOS PSICOLOGICOS",IF(O47=[1]CURSOS!$D$31,"ATENCION A VICTIMAS POR CONFLICTO ARMADO",IF(O47=[1]CURSOS!$D$32,"MANIPULACION DE ALIMENTOS Y BPM",IF(O47=[1]CURSOS!$D$33,"ATENCION A PERSONAS CON DISCAPACIDAD",IF(O47=[1]CURSOS!$D$34,"CUIDADO INTEGRAL DEL PACIENTE ADULTO",IF(O47=[1]CURSOS!$D$35,"MANEJO DEFENSIVO",IF(O47=[1]CURSOS!$D$36,"SOPORTE CARDIOVASCULAR AVANZADO NEONATAL",IF(O47=[1]CURSOS!$D$37,"SEGURIDAD DEL PACIENTE")))))))))))))))))))))))))))))))))))</f>
        <v xml:space="preserve">ATENCION A VICTIMAS DE ATAQUE CON AGENTES QUIMICOS </v>
      </c>
      <c r="V47" s="71" t="str">
        <f t="shared" si="3"/>
        <v>Ronald Fernando Hernandez Hernandez</v>
      </c>
      <c r="W47" s="83" t="str">
        <f t="shared" si="4"/>
        <v>Ronald Fernando Hernandez Hernandez</v>
      </c>
      <c r="X47" s="52" t="str">
        <f t="shared" si="5"/>
        <v>Ronald Fernando Hernandez Hernandez-87455395-QUIMICOS</v>
      </c>
    </row>
    <row r="48" spans="1:24" s="55" customFormat="1" x14ac:dyDescent="0.2">
      <c r="A48" s="17">
        <v>47</v>
      </c>
      <c r="B48" s="80">
        <v>1087412202</v>
      </c>
      <c r="C48" s="17" t="s">
        <v>434</v>
      </c>
      <c r="D48" s="17" t="s">
        <v>107</v>
      </c>
      <c r="E48" s="17" t="s">
        <v>435</v>
      </c>
      <c r="F48" s="180" t="s">
        <v>331</v>
      </c>
      <c r="G48" s="171">
        <v>10</v>
      </c>
      <c r="H48" s="171" t="s">
        <v>181</v>
      </c>
      <c r="I48" s="171" t="s">
        <v>517</v>
      </c>
      <c r="J48" s="182">
        <v>45513</v>
      </c>
      <c r="K48" s="190">
        <v>80000</v>
      </c>
      <c r="L48" s="171" t="s">
        <v>333</v>
      </c>
      <c r="M48" s="171" t="s">
        <v>86</v>
      </c>
      <c r="N48" s="171" t="s">
        <v>334</v>
      </c>
      <c r="O48" s="180" t="s">
        <v>19</v>
      </c>
      <c r="P48" s="18">
        <v>32485</v>
      </c>
      <c r="Q48" s="121" t="s">
        <v>309</v>
      </c>
      <c r="R48" s="17" t="s">
        <v>437</v>
      </c>
      <c r="S48" s="82">
        <v>3165475675</v>
      </c>
      <c r="T48" s="17" t="s">
        <v>436</v>
      </c>
      <c r="U48" s="52" t="str">
        <f>IF(O48=[1]CURSOS!$D$3,"DIPLOMADO EN ATENCION PRE-HOSPITALARIA",IF(O48=[1]CURSOS!$D$4,"ACOMPAÑAMIENTO Y MANEJO DEL DUELO",IF(O48=[1]CURSOS!$D$5,"ATENCION A VICTIMAS DE ATAQUE CON AGENTES QUIMICOS ",IF(O48=[1]CURSOS!$D$6,"PRIMEROS AUXILIOS ",IF(O48=[1]CURSOS!$D$7,"DIPLOMADO DE UNIDAD DE CUIDADOS INTENSIVOS (UCI)",IF(O48=[1]CURSOS!$D$8,"MODELO DE ATENCION PARA EVENTOS EMERGENTES EN SALUD MENTAL (CODIGO VERDE)",IF(O48=[1]CURSOS!$D$9,"HUMANIZACION EN EL SERVICIO DE LA SALUD Y BUENAS PRACTICAS EN PACIENTE ",IF(O48=[1]CURSOS!$D$10,"CLINICA DE HERIDAS ",IF(O48=[1]CURSOS!$D$11,"TOMA DE CITOLOGIA CERVICO VAGINAL ",IF(O48=[1]CURSOS!$D$12,"SOPORTE CARDIOVASCULAR AVANZADO (ACLS) ",IF(O48=[1]CURSOS!$D$13,"CAMILLERO ",IF(O48=[1]CURSOS!$D$14,"TOMA DE MUESTRAS Y LABORATORIO ",IF(O48=[1]CURSOS!$D$15,"SOPORTE VITAL BASICO (BLS)",IF(O48=[1]CURSOS!$D$16,"ATENCION A VICTIMAS DE VIOLENCIA SEXUAL ",IF(O48=[1]CURSOS!$D$17,"PROGRAMADO AMPLIADO DE INMUNIZACION (PAI - COVID 19)",IF(O48=[1]CURSOS!$D$18,"ATENCION INTEGRAL EN ENFERMEDADES PREVALENTES EN PRIMERA INFANCIA (AIEPI)",IF(O48=[1]CURSOS!$D$19,"ADMINISTRACION DE MEDICAMENTOS, INYECTOLOGIA  Y CANALIZACION ",IF(O48=[1]CURSOS!$D$20,"OPERADOR DE VEHICULOS DE EMERGENCIA (OVE)",IF(O48=[1]CURSOS!$D$21,"INSTITUCIONES AMIGAS DE LA MUJER Y LA INFANCIA (IAMI)",IF(O48=[1]CURSOS!$D$22,"CUIDADO DEL DONANTE DE ORGANOS",IF(O48=[1]CURSOS!$D$23,"ATENCION A VICTIMAS POR VIOLENCIA DE GENERO",IF(O48=[1]CURSOS!$D$24,"IGUALDAD DE GENERO EN LA SALUD",IF(O48=[1]CURSOS!$D$25,"BRIGADA DE EMERGENCIA",IF(O48=[1]CURSOS!$D$26,"MANEJO DEL DOLOR Y CUIDADOS PALIATIVOS",IF(O48=[1]CURSOS!$D$27,"TOMA DE MUESTRAS Y LABORATORIO POCT",IF(O48=[1]CURSOS!$D$28,"IMPLANTE SUBDERMICO DE DISPOSITIVO INTRAUTERINO",IF(O48=[1]CURSOS!$D$29,"SALUD MENTAL",IF(O48=[1]CURSOS!$D$30,"PRIMEROS AUXILIOS PSICOLOGICOS",IF(O48=[1]CURSOS!$D$31,"ATENCION A VICTIMAS POR CONFLICTO ARMADO",IF(O48=[1]CURSOS!$D$32,"MANIPULACION DE ALIMENTOS Y BPM",IF(O48=[1]CURSOS!$D$33,"ATENCION A PERSONAS CON DISCAPACIDAD",IF(O48=[1]CURSOS!$D$34,"CUIDADO INTEGRAL DEL PACIENTE ADULTO",IF(O48=[1]CURSOS!$D$35,"MANEJO DEFENSIVO",IF(O48=[1]CURSOS!$D$36,"SOPORTE CARDIOVASCULAR AVANZADO NEONATAL",IF(O48=[1]CURSOS!$D$37,"SEGURIDAD DEL PACIENTE")))))))))))))))))))))))))))))))))))</f>
        <v>SOPORTE VITAL BASICO (BLS)</v>
      </c>
      <c r="V48" s="52" t="str">
        <f t="shared" si="3"/>
        <v>Yuly Ana Romo Yarpaz</v>
      </c>
      <c r="W48" s="52" t="str">
        <f t="shared" si="4"/>
        <v>Yuly Ana Romo Yarpaz</v>
      </c>
      <c r="X48" s="52" t="str">
        <f t="shared" si="5"/>
        <v>Yuly Ana Romo Yarpaz-1087412202-BLS</v>
      </c>
    </row>
    <row r="49" spans="1:24" s="55" customFormat="1" x14ac:dyDescent="0.2">
      <c r="A49" s="17">
        <v>48</v>
      </c>
      <c r="B49" s="80">
        <v>66754267</v>
      </c>
      <c r="C49" s="50" t="s">
        <v>512</v>
      </c>
      <c r="D49" s="50" t="s">
        <v>513</v>
      </c>
      <c r="E49" s="50" t="s">
        <v>514</v>
      </c>
      <c r="F49" s="187" t="s">
        <v>515</v>
      </c>
      <c r="G49" s="188">
        <v>13</v>
      </c>
      <c r="H49" s="171" t="s">
        <v>181</v>
      </c>
      <c r="I49" s="171" t="s">
        <v>517</v>
      </c>
      <c r="J49" s="182">
        <v>45517</v>
      </c>
      <c r="K49" s="181">
        <v>80000</v>
      </c>
      <c r="L49" s="188" t="s">
        <v>333</v>
      </c>
      <c r="M49" s="188" t="s">
        <v>86</v>
      </c>
      <c r="N49" s="188" t="s">
        <v>334</v>
      </c>
      <c r="O49" s="183" t="s">
        <v>19</v>
      </c>
      <c r="P49" s="18">
        <v>25914</v>
      </c>
      <c r="Q49" s="122" t="s">
        <v>309</v>
      </c>
      <c r="R49" s="17" t="s">
        <v>315</v>
      </c>
      <c r="S49" s="80">
        <v>3235967116</v>
      </c>
      <c r="T49" s="117" t="s">
        <v>516</v>
      </c>
      <c r="U49" s="52" t="str">
        <f>IF(O49=[1]CURSOS!$D$3,"DIPLOMADO EN ATENCION PRE-HOSPITALARIA",IF(O49=[1]CURSOS!$D$4,"ACOMPAÑAMIENTO Y MANEJO DEL DUELO",IF(O49=[1]CURSOS!$D$5,"ATENCION A VICTIMAS DE ATAQUE CON AGENTES QUIMICOS ",IF(O49=[1]CURSOS!$D$6,"PRIMEROS AUXILIOS ",IF(O49=[1]CURSOS!$D$7,"DIPLOMADO DE UNIDAD DE CUIDADOS INTENSIVOS (UCI)",IF(O49=[1]CURSOS!$D$8,"MODELO DE ATENCION PARA EVENTOS EMERGENTES EN SALUD MENTAL (CODIGO VERDE)",IF(O49=[1]CURSOS!$D$9,"HUMANIZACION EN EL SERVICIO DE LA SALUD Y BUENAS PRACTICAS EN PACIENTE ",IF(O49=[1]CURSOS!$D$10,"CLINICA DE HERIDAS ",IF(O49=[1]CURSOS!$D$11,"TOMA DE CITOLOGIA CERVICO VAGINAL ",IF(O49=[1]CURSOS!$D$12,"SOPORTE CARDIOVASCULAR AVANZADO (ACLS) ",IF(O49=[1]CURSOS!$D$13,"CAMILLERO ",IF(O49=[1]CURSOS!$D$14,"TOMA DE MUESTRAS Y LABORATORIO ",IF(O49=[1]CURSOS!$D$15,"SOPORTE VITAL BASICO (BLS)",IF(O49=[1]CURSOS!$D$16,"ATENCION A VICTIMAS DE VIOLENCIA SEXUAL ",IF(O49=[1]CURSOS!$D$17,"PROGRAMADO AMPLIADO DE INMUNIZACION (PAI - COVID 19)",IF(O49=[1]CURSOS!$D$18,"ATENCION INTEGRAL EN ENFERMEDADES PREVALENTES EN PRIMERA INFANCIA (AIEPI)",IF(O49=[1]CURSOS!$D$19,"ADMINISTRACION DE MEDICAMENTOS, INYECTOLOGIA  Y CANALIZACION ",IF(O49=[1]CURSOS!$D$20,"OPERADOR DE VEHICULOS DE EMERGENCIA (OVE)",IF(O49=[1]CURSOS!$D$21,"INSTITUCIONES AMIGAS DE LA MUJER Y LA INFANCIA (IAMI)",IF(O49=[1]CURSOS!$D$22,"CUIDADO DEL DONANTE DE ORGANOS",IF(O49=[1]CURSOS!$D$23,"ATENCION A VICTIMAS POR VIOLENCIA DE GENERO",IF(O49=[1]CURSOS!$D$24,"IGUALDAD DE GENERO EN LA SALUD",IF(O49=[1]CURSOS!$D$25,"BRIGADA DE EMERGENCIA",IF(O49=[1]CURSOS!$D$26,"MANEJO DEL DOLOR Y CUIDADOS PALIATIVOS",IF(O49=[1]CURSOS!$D$27,"TOMA DE MUESTRAS Y LABORATORIO POCT",IF(O49=[1]CURSOS!$D$28,"IMPLANTE SUBDERMICO DE DISPOSITIVO INTRAUTERINO",IF(O49=[1]CURSOS!$D$29,"SALUD MENTAL",IF(O49=[1]CURSOS!$D$30,"PRIMEROS AUXILIOS PSICOLOGICOS",IF(O49=[1]CURSOS!$D$31,"ATENCION A VICTIMAS POR CONFLICTO ARMADO",IF(O49=[1]CURSOS!$D$32,"MANIPULACION DE ALIMENTOS Y BPM",IF(O49=[1]CURSOS!$D$33,"ATENCION A PERSONAS CON DISCAPACIDAD",IF(O49=[1]CURSOS!$D$34,"CUIDADO INTEGRAL DEL PACIENTE ADULTO",IF(O49=[1]CURSOS!$D$35,"MANEJO DEFENSIVO",IF(O49=[1]CURSOS!$D$36,"SOPORTE CARDIOVASCULAR AVANZADO NEONATAL",IF(O49=[1]CURSOS!$D$37,"SEGURIDAD DEL PACIENTE")))))))))))))))))))))))))))))))))))</f>
        <v>SOPORTE VITAL BASICO (BLS)</v>
      </c>
      <c r="V49" s="52" t="str">
        <f t="shared" si="3"/>
        <v>Eva Patricia Mendoza Bedoya</v>
      </c>
      <c r="W49" s="52" t="str">
        <f t="shared" si="4"/>
        <v>Eva Patricia Mendoza Bedoya</v>
      </c>
      <c r="X49" s="52" t="str">
        <f t="shared" si="5"/>
        <v>Eva Patricia Mendoza Bedoya-66754267-BLS</v>
      </c>
    </row>
    <row r="50" spans="1:24" s="55" customFormat="1" x14ac:dyDescent="0.2">
      <c r="A50" s="17">
        <v>49</v>
      </c>
      <c r="B50" s="80">
        <v>1085323781</v>
      </c>
      <c r="C50" s="50" t="s">
        <v>518</v>
      </c>
      <c r="D50" s="50" t="s">
        <v>100</v>
      </c>
      <c r="E50" s="50" t="s">
        <v>410</v>
      </c>
      <c r="F50" s="187" t="s">
        <v>492</v>
      </c>
      <c r="G50" s="188">
        <v>12</v>
      </c>
      <c r="H50" s="171" t="s">
        <v>181</v>
      </c>
      <c r="I50" s="171" t="s">
        <v>519</v>
      </c>
      <c r="J50" s="182">
        <v>45516</v>
      </c>
      <c r="K50" s="181">
        <v>40000</v>
      </c>
      <c r="L50" s="188" t="s">
        <v>322</v>
      </c>
      <c r="M50" s="188" t="s">
        <v>86</v>
      </c>
      <c r="N50" s="188" t="s">
        <v>334</v>
      </c>
      <c r="O50" s="183" t="s">
        <v>43</v>
      </c>
      <c r="P50" s="18">
        <v>34882</v>
      </c>
      <c r="Q50" s="122" t="s">
        <v>309</v>
      </c>
      <c r="R50" s="17" t="s">
        <v>520</v>
      </c>
      <c r="S50" s="80">
        <v>3182189977</v>
      </c>
      <c r="T50" s="50" t="s">
        <v>521</v>
      </c>
      <c r="U50" s="52" t="str">
        <f>IF(O50=[1]CURSOS!$D$3,"DIPLOMADO EN ATENCION PRE-HOSPITALARIA",IF(O50=[1]CURSOS!$D$4,"ACOMPAÑAMIENTO Y MANEJO DEL DUELO",IF(O50=[1]CURSOS!$D$5,"ATENCION A VICTIMAS DE ATAQUE CON AGENTES QUIMICOS ",IF(O50=[1]CURSOS!$D$6,"PRIMEROS AUXILIOS ",IF(O50=[1]CURSOS!$D$7,"DIPLOMADO DE UNIDAD DE CUIDADOS INTENSIVOS (UCI)",IF(O50=[1]CURSOS!$D$8,"MODELO DE ATENCION PARA EVENTOS EMERGENTES EN SALUD MENTAL (CODIGO VERDE)",IF(O50=[1]CURSOS!$D$9,"HUMANIZACION EN EL SERVICIO DE LA SALUD Y BUENAS PRACTICAS EN PACIENTE ",IF(O50=[1]CURSOS!$D$10,"CLINICA DE HERIDAS ",IF(O50=[1]CURSOS!$D$11,"TOMA DE CITOLOGIA CERVICO VAGINAL ",IF(O50=[1]CURSOS!$D$12,"SOPORTE CARDIOVASCULAR AVANZADO (ACLS) ",IF(O50=[1]CURSOS!$D$13,"CAMILLERO ",IF(O50=[1]CURSOS!$D$14,"TOMA DE MUESTRAS Y LABORATORIO ",IF(O50=[1]CURSOS!$D$15,"SOPORTE VITAL BASICO (BLS)",IF(O50=[1]CURSOS!$D$16,"ATENCION A VICTIMAS DE VIOLENCIA SEXUAL ",IF(O50=[1]CURSOS!$D$17,"PROGRAMADO AMPLIADO DE INMUNIZACION (PAI - COVID 19)",IF(O50=[1]CURSOS!$D$18,"ATENCION INTEGRAL EN ENFERMEDADES PREVALENTES EN PRIMERA INFANCIA (AIEPI)",IF(O50=[1]CURSOS!$D$19,"ADMINISTRACION DE MEDICAMENTOS, INYECTOLOGIA  Y CANALIZACION ",IF(O50=[1]CURSOS!$D$20,"OPERADOR DE VEHICULOS DE EMERGENCIA (OVE)",IF(O50=[1]CURSOS!$D$21,"INSTITUCIONES AMIGAS DE LA MUJER Y LA INFANCIA (IAMI)",IF(O50=[1]CURSOS!$D$22,"CUIDADO DEL DONANTE DE ORGANOS",IF(O50=[1]CURSOS!$D$23,"ATENCION A VICTIMAS POR VIOLENCIA DE GENERO",IF(O50=[1]CURSOS!$D$24,"IGUALDAD DE GENERO EN LA SALUD",IF(O50=[1]CURSOS!$D$25,"BRIGADA DE EMERGENCIA",IF(O50=[1]CURSOS!$D$26,"MANEJO DEL DOLOR Y CUIDADOS PALIATIVOS",IF(O50=[1]CURSOS!$D$27,"TOMA DE MUESTRAS Y LABORATORIO POCT",IF(O50=[1]CURSOS!$D$28,"IMPLANTE SUBDERMICO DE DISPOSITIVO INTRAUTERINO",IF(O50=[1]CURSOS!$D$29,"SALUD MENTAL",IF(O50=[1]CURSOS!$D$30,"PRIMEROS AUXILIOS PSICOLOGICOS",IF(O50=[1]CURSOS!$D$31,"ATENCION A VICTIMAS POR CONFLICTO ARMADO",IF(O50=[1]CURSOS!$D$32,"MANIPULACION DE ALIMENTOS Y BPM",IF(O50=[1]CURSOS!$D$33,"ATENCION A PERSONAS CON DISCAPACIDAD",IF(O50=[1]CURSOS!$D$34,"CUIDADO INTEGRAL DEL PACIENTE ADULTO",IF(O50=[1]CURSOS!$D$35,"MANEJO DEFENSIVO",IF(O50=[1]CURSOS!$D$36,"SOPORTE CARDIOVASCULAR AVANZADO NEONATAL",IF(O50=[1]CURSOS!$D$37,"SEGURIDAD DEL PACIENTE")))))))))))))))))))))))))))))))))))</f>
        <v xml:space="preserve">ATENCION A VICTIMAS DE VIOLENCIA SEXUAL </v>
      </c>
      <c r="V50" s="52" t="str">
        <f t="shared" si="3"/>
        <v>Nathalia Elizabeth Casseta Guerrero</v>
      </c>
      <c r="W50" s="52" t="str">
        <f t="shared" si="4"/>
        <v>Nathalia Elizabeth Casseta Guerrero</v>
      </c>
      <c r="X50" s="52" t="str">
        <f t="shared" si="5"/>
        <v>Nathalia Elizabeth Casseta Guerrero-1085323781-VIOLENCIA SEXUAL</v>
      </c>
    </row>
    <row r="51" spans="1:24" s="55" customFormat="1" x14ac:dyDescent="0.2">
      <c r="A51" s="17">
        <v>50</v>
      </c>
      <c r="B51" s="80">
        <v>37124787</v>
      </c>
      <c r="C51" s="50" t="s">
        <v>119</v>
      </c>
      <c r="D51" s="50" t="s">
        <v>145</v>
      </c>
      <c r="E51" s="50" t="s">
        <v>108</v>
      </c>
      <c r="F51" s="187" t="s">
        <v>525</v>
      </c>
      <c r="G51" s="188">
        <v>12</v>
      </c>
      <c r="H51" s="171" t="s">
        <v>181</v>
      </c>
      <c r="I51" s="171" t="s">
        <v>519</v>
      </c>
      <c r="J51" s="182">
        <v>45516</v>
      </c>
      <c r="K51" s="181">
        <v>35000</v>
      </c>
      <c r="L51" s="188" t="s">
        <v>322</v>
      </c>
      <c r="M51" s="188" t="s">
        <v>86</v>
      </c>
      <c r="N51" s="188" t="s">
        <v>334</v>
      </c>
      <c r="O51" s="183" t="s">
        <v>46</v>
      </c>
      <c r="P51" s="18">
        <v>29967</v>
      </c>
      <c r="Q51" s="122" t="s">
        <v>309</v>
      </c>
      <c r="R51" s="17" t="s">
        <v>383</v>
      </c>
      <c r="S51" s="80">
        <v>3174176863</v>
      </c>
      <c r="T51" s="117" t="s">
        <v>530</v>
      </c>
      <c r="U51" s="52" t="str">
        <f>IF(O51=[1]CURSOS!$D$3,"DIPLOMADO EN ATENCION PRE-HOSPITALARIA",IF(O51=[1]CURSOS!$D$4,"ACOMPAÑAMIENTO Y MANEJO DEL DUELO",IF(O51=[1]CURSOS!$D$5,"ATENCION A VICTIMAS DE ATAQUE CON AGENTES QUIMICOS ",IF(O51=[1]CURSOS!$D$6,"PRIMEROS AUXILIOS ",IF(O51=[1]CURSOS!$D$7,"DIPLOMADO DE UNIDAD DE CUIDADOS INTENSIVOS (UCI)",IF(O51=[1]CURSOS!$D$8,"MODELO DE ATENCION PARA EVENTOS EMERGENTES EN SALUD MENTAL (CODIGO VERDE)",IF(O51=[1]CURSOS!$D$9,"HUMANIZACION EN EL SERVICIO DE LA SALUD Y BUENAS PRACTICAS EN PACIENTE ",IF(O51=[1]CURSOS!$D$10,"CLINICA DE HERIDAS ",IF(O51=[1]CURSOS!$D$11,"TOMA DE CITOLOGIA CERVICO VAGINAL ",IF(O51=[1]CURSOS!$D$12,"SOPORTE CARDIOVASCULAR AVANZADO (ACLS) ",IF(O51=[1]CURSOS!$D$13,"CAMILLERO ",IF(O51=[1]CURSOS!$D$14,"TOMA DE MUESTRAS Y LABORATORIO ",IF(O51=[1]CURSOS!$D$15,"SOPORTE VITAL BASICO (BLS)",IF(O51=[1]CURSOS!$D$16,"ATENCION A VICTIMAS DE VIOLENCIA SEXUAL ",IF(O51=[1]CURSOS!$D$17,"PROGRAMADO AMPLIADO DE INMUNIZACION (PAI - COVID 19)",IF(O51=[1]CURSOS!$D$18,"ATENCION INTEGRAL EN ENFERMEDADES PREVALENTES EN PRIMERA INFANCIA (AIEPI)",IF(O51=[1]CURSOS!$D$19,"ADMINISTRACION DE MEDICAMENTOS, INYECTOLOGIA  Y CANALIZACION ",IF(O51=[1]CURSOS!$D$20,"OPERADOR DE VEHICULOS DE EMERGENCIA (OVE)",IF(O51=[1]CURSOS!$D$21,"INSTITUCIONES AMIGAS DE LA MUJER Y LA INFANCIA (IAMI)",IF(O51=[1]CURSOS!$D$22,"CUIDADO DEL DONANTE DE ORGANOS",IF(O51=[1]CURSOS!$D$23,"ATENCION A VICTIMAS POR VIOLENCIA DE GENERO",IF(O51=[1]CURSOS!$D$24,"IGUALDAD DE GENERO EN LA SALUD",IF(O51=[1]CURSOS!$D$25,"BRIGADA DE EMERGENCIA",IF(O51=[1]CURSOS!$D$26,"MANEJO DEL DOLOR Y CUIDADOS PALIATIVOS",IF(O51=[1]CURSOS!$D$27,"TOMA DE MUESTRAS Y LABORATORIO POCT",IF(O51=[1]CURSOS!$D$28,"IMPLANTE SUBDERMICO DE DISPOSITIVO INTRAUTERINO",IF(O51=[1]CURSOS!$D$29,"SALUD MENTAL",IF(O51=[1]CURSOS!$D$30,"PRIMEROS AUXILIOS PSICOLOGICOS",IF(O51=[1]CURSOS!$D$31,"ATENCION A VICTIMAS POR CONFLICTO ARMADO",IF(O51=[1]CURSOS!$D$32,"MANIPULACION DE ALIMENTOS Y BPM",IF(O51=[1]CURSOS!$D$33,"ATENCION A PERSONAS CON DISCAPACIDAD",IF(O51=[1]CURSOS!$D$34,"CUIDADO INTEGRAL DEL PACIENTE ADULTO",IF(O51=[1]CURSOS!$D$35,"MANEJO DEFENSIVO",IF(O51=[1]CURSOS!$D$36,"SOPORTE CARDIOVASCULAR AVANZADO NEONATAL",IF(O51=[1]CURSOS!$D$37,"SEGURIDAD DEL PACIENTE")))))))))))))))))))))))))))))))))))</f>
        <v>ATENCION INTEGRAL EN ENFERMEDADES PREVALENTES EN PRIMERA INFANCIA (AIEPI)</v>
      </c>
      <c r="V51" s="52" t="str">
        <f t="shared" si="3"/>
        <v>Sandra Ximena Ceballos Meneses</v>
      </c>
      <c r="W51" s="52" t="str">
        <f t="shared" si="4"/>
        <v>Sandra Ximena Ceballos Meneses</v>
      </c>
      <c r="X51" s="52" t="str">
        <f t="shared" si="5"/>
        <v>Sandra Ximena Ceballos Meneses-37124787-AIEPI</v>
      </c>
    </row>
    <row r="52" spans="1:24" s="55" customFormat="1" x14ac:dyDescent="0.2">
      <c r="A52" s="17">
        <v>51</v>
      </c>
      <c r="B52" s="80">
        <v>1085258377</v>
      </c>
      <c r="C52" s="50" t="s">
        <v>526</v>
      </c>
      <c r="D52" s="50" t="s">
        <v>205</v>
      </c>
      <c r="E52" s="50" t="s">
        <v>527</v>
      </c>
      <c r="F52" s="187" t="s">
        <v>347</v>
      </c>
      <c r="G52" s="188">
        <v>12</v>
      </c>
      <c r="H52" s="171" t="s">
        <v>181</v>
      </c>
      <c r="I52" s="171" t="s">
        <v>519</v>
      </c>
      <c r="J52" s="182">
        <v>45516</v>
      </c>
      <c r="K52" s="181">
        <v>35000</v>
      </c>
      <c r="L52" s="188" t="s">
        <v>322</v>
      </c>
      <c r="M52" s="188" t="s">
        <v>86</v>
      </c>
      <c r="N52" s="188" t="s">
        <v>334</v>
      </c>
      <c r="O52" s="183" t="s">
        <v>46</v>
      </c>
      <c r="P52" s="18">
        <v>32019</v>
      </c>
      <c r="Q52" s="122" t="s">
        <v>309</v>
      </c>
      <c r="R52" s="17" t="s">
        <v>383</v>
      </c>
      <c r="S52" s="80">
        <v>3155380403</v>
      </c>
      <c r="T52" s="50" t="s">
        <v>528</v>
      </c>
      <c r="U52" s="52" t="str">
        <f>IF(O52=[1]CURSOS!$D$3,"DIPLOMADO EN ATENCION PRE-HOSPITALARIA",IF(O52=[1]CURSOS!$D$4,"ACOMPAÑAMIENTO Y MANEJO DEL DUELO",IF(O52=[1]CURSOS!$D$5,"ATENCION A VICTIMAS DE ATAQUE CON AGENTES QUIMICOS ",IF(O52=[1]CURSOS!$D$6,"PRIMEROS AUXILIOS ",IF(O52=[1]CURSOS!$D$7,"DIPLOMADO DE UNIDAD DE CUIDADOS INTENSIVOS (UCI)",IF(O52=[1]CURSOS!$D$8,"MODELO DE ATENCION PARA EVENTOS EMERGENTES EN SALUD MENTAL (CODIGO VERDE)",IF(O52=[1]CURSOS!$D$9,"HUMANIZACION EN EL SERVICIO DE LA SALUD Y BUENAS PRACTICAS EN PACIENTE ",IF(O52=[1]CURSOS!$D$10,"CLINICA DE HERIDAS ",IF(O52=[1]CURSOS!$D$11,"TOMA DE CITOLOGIA CERVICO VAGINAL ",IF(O52=[1]CURSOS!$D$12,"SOPORTE CARDIOVASCULAR AVANZADO (ACLS) ",IF(O52=[1]CURSOS!$D$13,"CAMILLERO ",IF(O52=[1]CURSOS!$D$14,"TOMA DE MUESTRAS Y LABORATORIO ",IF(O52=[1]CURSOS!$D$15,"SOPORTE VITAL BASICO (BLS)",IF(O52=[1]CURSOS!$D$16,"ATENCION A VICTIMAS DE VIOLENCIA SEXUAL ",IF(O52=[1]CURSOS!$D$17,"PROGRAMADO AMPLIADO DE INMUNIZACION (PAI - COVID 19)",IF(O52=[1]CURSOS!$D$18,"ATENCION INTEGRAL EN ENFERMEDADES PREVALENTES EN PRIMERA INFANCIA (AIEPI)",IF(O52=[1]CURSOS!$D$19,"ADMINISTRACION DE MEDICAMENTOS, INYECTOLOGIA  Y CANALIZACION ",IF(O52=[1]CURSOS!$D$20,"OPERADOR DE VEHICULOS DE EMERGENCIA (OVE)",IF(O52=[1]CURSOS!$D$21,"INSTITUCIONES AMIGAS DE LA MUJER Y LA INFANCIA (IAMI)",IF(O52=[1]CURSOS!$D$22,"CUIDADO DEL DONANTE DE ORGANOS",IF(O52=[1]CURSOS!$D$23,"ATENCION A VICTIMAS POR VIOLENCIA DE GENERO",IF(O52=[1]CURSOS!$D$24,"IGUALDAD DE GENERO EN LA SALUD",IF(O52=[1]CURSOS!$D$25,"BRIGADA DE EMERGENCIA",IF(O52=[1]CURSOS!$D$26,"MANEJO DEL DOLOR Y CUIDADOS PALIATIVOS",IF(O52=[1]CURSOS!$D$27,"TOMA DE MUESTRAS Y LABORATORIO POCT",IF(O52=[1]CURSOS!$D$28,"IMPLANTE SUBDERMICO DE DISPOSITIVO INTRAUTERINO",IF(O52=[1]CURSOS!$D$29,"SALUD MENTAL",IF(O52=[1]CURSOS!$D$30,"PRIMEROS AUXILIOS PSICOLOGICOS",IF(O52=[1]CURSOS!$D$31,"ATENCION A VICTIMAS POR CONFLICTO ARMADO",IF(O52=[1]CURSOS!$D$32,"MANIPULACION DE ALIMENTOS Y BPM",IF(O52=[1]CURSOS!$D$33,"ATENCION A PERSONAS CON DISCAPACIDAD",IF(O52=[1]CURSOS!$D$34,"CUIDADO INTEGRAL DEL PACIENTE ADULTO",IF(O52=[1]CURSOS!$D$35,"MANEJO DEFENSIVO",IF(O52=[1]CURSOS!$D$36,"SOPORTE CARDIOVASCULAR AVANZADO NEONATAL",IF(O52=[1]CURSOS!$D$37,"SEGURIDAD DEL PACIENTE")))))))))))))))))))))))))))))))))))</f>
        <v>ATENCION INTEGRAL EN ENFERMEDADES PREVALENTES EN PRIMERA INFANCIA (AIEPI)</v>
      </c>
      <c r="V52" s="52" t="str">
        <f t="shared" si="3"/>
        <v>Rosa Marcela Enriquez Realpe</v>
      </c>
      <c r="W52" s="52" t="str">
        <f t="shared" si="4"/>
        <v>Rosa Marcela Enriquez Realpe</v>
      </c>
      <c r="X52" s="52" t="str">
        <f t="shared" si="5"/>
        <v>Rosa Marcela Enriquez Realpe-1085258377-AIEPI</v>
      </c>
    </row>
    <row r="53" spans="1:24" s="55" customFormat="1" x14ac:dyDescent="0.2">
      <c r="A53" s="17">
        <v>52</v>
      </c>
      <c r="B53" s="80">
        <v>1085258377</v>
      </c>
      <c r="C53" s="50" t="s">
        <v>526</v>
      </c>
      <c r="D53" s="50" t="s">
        <v>205</v>
      </c>
      <c r="E53" s="50" t="s">
        <v>527</v>
      </c>
      <c r="F53" s="187" t="s">
        <v>347</v>
      </c>
      <c r="G53" s="188">
        <v>12</v>
      </c>
      <c r="H53" s="171" t="s">
        <v>181</v>
      </c>
      <c r="I53" s="171" t="s">
        <v>519</v>
      </c>
      <c r="J53" s="182">
        <v>45516</v>
      </c>
      <c r="K53" s="181">
        <v>35000</v>
      </c>
      <c r="L53" s="188" t="s">
        <v>322</v>
      </c>
      <c r="M53" s="188" t="s">
        <v>86</v>
      </c>
      <c r="N53" s="188" t="s">
        <v>334</v>
      </c>
      <c r="O53" s="183" t="s">
        <v>51</v>
      </c>
      <c r="P53" s="18">
        <v>32019</v>
      </c>
      <c r="Q53" s="122" t="s">
        <v>309</v>
      </c>
      <c r="R53" s="17" t="s">
        <v>383</v>
      </c>
      <c r="S53" s="80">
        <v>3155380403</v>
      </c>
      <c r="T53" s="50" t="s">
        <v>528</v>
      </c>
      <c r="U53" s="52" t="str">
        <f>IF(O53=[1]CURSOS!$D$3,"DIPLOMADO EN ATENCION PRE-HOSPITALARIA",IF(O53=[1]CURSOS!$D$4,"ACOMPAÑAMIENTO Y MANEJO DEL DUELO",IF(O53=[1]CURSOS!$D$5,"ATENCION A VICTIMAS DE ATAQUE CON AGENTES QUIMICOS ",IF(O53=[1]CURSOS!$D$6,"PRIMEROS AUXILIOS ",IF(O53=[1]CURSOS!$D$7,"DIPLOMADO DE UNIDAD DE CUIDADOS INTENSIVOS (UCI)",IF(O53=[1]CURSOS!$D$8,"MODELO DE ATENCION PARA EVENTOS EMERGENTES EN SALUD MENTAL (CODIGO VERDE)",IF(O53=[1]CURSOS!$D$9,"HUMANIZACION EN EL SERVICIO DE LA SALUD Y BUENAS PRACTICAS EN PACIENTE ",IF(O53=[1]CURSOS!$D$10,"CLINICA DE HERIDAS ",IF(O53=[1]CURSOS!$D$11,"TOMA DE CITOLOGIA CERVICO VAGINAL ",IF(O53=[1]CURSOS!$D$12,"SOPORTE CARDIOVASCULAR AVANZADO (ACLS) ",IF(O53=[1]CURSOS!$D$13,"CAMILLERO ",IF(O53=[1]CURSOS!$D$14,"TOMA DE MUESTRAS Y LABORATORIO ",IF(O53=[1]CURSOS!$D$15,"SOPORTE VITAL BASICO (BLS)",IF(O53=[1]CURSOS!$D$16,"ATENCION A VICTIMAS DE VIOLENCIA SEXUAL ",IF(O53=[1]CURSOS!$D$17,"PROGRAMADO AMPLIADO DE INMUNIZACION (PAI - COVID 19)",IF(O53=[1]CURSOS!$D$18,"ATENCION INTEGRAL EN ENFERMEDADES PREVALENTES EN PRIMERA INFANCIA (AIEPI)",IF(O53=[1]CURSOS!$D$19,"ADMINISTRACION DE MEDICAMENTOS, INYECTOLOGIA  Y CANALIZACION ",IF(O53=[1]CURSOS!$D$20,"OPERADOR DE VEHICULOS DE EMERGENCIA (OVE)",IF(O53=[1]CURSOS!$D$21,"INSTITUCIONES AMIGAS DE LA MUJER Y LA INFANCIA (IAMI)",IF(O53=[1]CURSOS!$D$22,"CUIDADO DEL DONANTE DE ORGANOS",IF(O53=[1]CURSOS!$D$23,"ATENCION A VICTIMAS POR VIOLENCIA DE GENERO",IF(O53=[1]CURSOS!$D$24,"IGUALDAD DE GENERO EN LA SALUD",IF(O53=[1]CURSOS!$D$25,"BRIGADA DE EMERGENCIA",IF(O53=[1]CURSOS!$D$26,"MANEJO DEL DOLOR Y CUIDADOS PALIATIVOS",IF(O53=[1]CURSOS!$D$27,"TOMA DE MUESTRAS Y LABORATORIO POCT",IF(O53=[1]CURSOS!$D$28,"IMPLANTE SUBDERMICO DE DISPOSITIVO INTRAUTERINO",IF(O53=[1]CURSOS!$D$29,"SALUD MENTAL",IF(O53=[1]CURSOS!$D$30,"PRIMEROS AUXILIOS PSICOLOGICOS",IF(O53=[1]CURSOS!$D$31,"ATENCION A VICTIMAS POR CONFLICTO ARMADO",IF(O53=[1]CURSOS!$D$32,"MANIPULACION DE ALIMENTOS Y BPM",IF(O53=[1]CURSOS!$D$33,"ATENCION A PERSONAS CON DISCAPACIDAD",IF(O53=[1]CURSOS!$D$34,"CUIDADO INTEGRAL DEL PACIENTE ADULTO",IF(O53=[1]CURSOS!$D$35,"MANEJO DEFENSIVO",IF(O53=[1]CURSOS!$D$36,"SOPORTE CARDIOVASCULAR AVANZADO NEONATAL",IF(O53=[1]CURSOS!$D$37,"SEGURIDAD DEL PACIENTE")))))))))))))))))))))))))))))))))))</f>
        <v>INSTITUCIONES AMIGAS DE LA MUJER Y LA INFANCIA (IAMI)</v>
      </c>
      <c r="V53" s="52" t="str">
        <f t="shared" si="3"/>
        <v>Rosa Marcela Enriquez Realpe</v>
      </c>
      <c r="W53" s="52" t="str">
        <f t="shared" si="4"/>
        <v>Rosa Marcela Enriquez Realpe</v>
      </c>
      <c r="X53" s="52" t="str">
        <f t="shared" si="5"/>
        <v>Rosa Marcela Enriquez Realpe-1085258377-IAMI</v>
      </c>
    </row>
    <row r="54" spans="1:24" s="55" customFormat="1" x14ac:dyDescent="0.2">
      <c r="A54" s="17">
        <v>53</v>
      </c>
      <c r="B54" s="80">
        <v>1126564505</v>
      </c>
      <c r="C54" s="50" t="s">
        <v>454</v>
      </c>
      <c r="D54" s="50" t="s">
        <v>188</v>
      </c>
      <c r="E54" s="50" t="s">
        <v>529</v>
      </c>
      <c r="F54" s="187" t="s">
        <v>89</v>
      </c>
      <c r="G54" s="188">
        <v>12</v>
      </c>
      <c r="H54" s="171" t="s">
        <v>181</v>
      </c>
      <c r="I54" s="171" t="s">
        <v>519</v>
      </c>
      <c r="J54" s="182">
        <v>45517</v>
      </c>
      <c r="K54" s="181">
        <v>32000</v>
      </c>
      <c r="L54" s="188" t="s">
        <v>328</v>
      </c>
      <c r="M54" s="188" t="s">
        <v>86</v>
      </c>
      <c r="N54" s="188" t="s">
        <v>326</v>
      </c>
      <c r="O54" s="183" t="s">
        <v>43</v>
      </c>
      <c r="P54" s="18">
        <v>32584</v>
      </c>
      <c r="Q54" s="122" t="s">
        <v>316</v>
      </c>
      <c r="R54" s="17" t="s">
        <v>432</v>
      </c>
      <c r="S54" s="80">
        <v>3147675187</v>
      </c>
      <c r="T54" s="50" t="s">
        <v>536</v>
      </c>
      <c r="U54" s="52" t="str">
        <f>IF(O54=[1]CURSOS!$D$3,"DIPLOMADO EN ATENCION PRE-HOSPITALARIA",IF(O54=[1]CURSOS!$D$4,"ACOMPAÑAMIENTO Y MANEJO DEL DUELO",IF(O54=[1]CURSOS!$D$5,"ATENCION A VICTIMAS DE ATAQUE CON AGENTES QUIMICOS ",IF(O54=[1]CURSOS!$D$6,"PRIMEROS AUXILIOS ",IF(O54=[1]CURSOS!$D$7,"DIPLOMADO DE UNIDAD DE CUIDADOS INTENSIVOS (UCI)",IF(O54=[1]CURSOS!$D$8,"MODELO DE ATENCION PARA EVENTOS EMERGENTES EN SALUD MENTAL (CODIGO VERDE)",IF(O54=[1]CURSOS!$D$9,"HUMANIZACION EN EL SERVICIO DE LA SALUD Y BUENAS PRACTICAS EN PACIENTE ",IF(O54=[1]CURSOS!$D$10,"CLINICA DE HERIDAS ",IF(O54=[1]CURSOS!$D$11,"TOMA DE CITOLOGIA CERVICO VAGINAL ",IF(O54=[1]CURSOS!$D$12,"SOPORTE CARDIOVASCULAR AVANZADO (ACLS) ",IF(O54=[1]CURSOS!$D$13,"CAMILLERO ",IF(O54=[1]CURSOS!$D$14,"TOMA DE MUESTRAS Y LABORATORIO ",IF(O54=[1]CURSOS!$D$15,"SOPORTE VITAL BASICO (BLS)",IF(O54=[1]CURSOS!$D$16,"ATENCION A VICTIMAS DE VIOLENCIA SEXUAL ",IF(O54=[1]CURSOS!$D$17,"PROGRAMADO AMPLIADO DE INMUNIZACION (PAI - COVID 19)",IF(O54=[1]CURSOS!$D$18,"ATENCION INTEGRAL EN ENFERMEDADES PREVALENTES EN PRIMERA INFANCIA (AIEPI)",IF(O54=[1]CURSOS!$D$19,"ADMINISTRACION DE MEDICAMENTOS, INYECTOLOGIA  Y CANALIZACION ",IF(O54=[1]CURSOS!$D$20,"OPERADOR DE VEHICULOS DE EMERGENCIA (OVE)",IF(O54=[1]CURSOS!$D$21,"INSTITUCIONES AMIGAS DE LA MUJER Y LA INFANCIA (IAMI)",IF(O54=[1]CURSOS!$D$22,"CUIDADO DEL DONANTE DE ORGANOS",IF(O54=[1]CURSOS!$D$23,"ATENCION A VICTIMAS POR VIOLENCIA DE GENERO",IF(O54=[1]CURSOS!$D$24,"IGUALDAD DE GENERO EN LA SALUD",IF(O54=[1]CURSOS!$D$25,"BRIGADA DE EMERGENCIA",IF(O54=[1]CURSOS!$D$26,"MANEJO DEL DOLOR Y CUIDADOS PALIATIVOS",IF(O54=[1]CURSOS!$D$27,"TOMA DE MUESTRAS Y LABORATORIO POCT",IF(O54=[1]CURSOS!$D$28,"IMPLANTE SUBDERMICO DE DISPOSITIVO INTRAUTERINO",IF(O54=[1]CURSOS!$D$29,"SALUD MENTAL",IF(O54=[1]CURSOS!$D$30,"PRIMEROS AUXILIOS PSICOLOGICOS",IF(O54=[1]CURSOS!$D$31,"ATENCION A VICTIMAS POR CONFLICTO ARMADO",IF(O54=[1]CURSOS!$D$32,"MANIPULACION DE ALIMENTOS Y BPM",IF(O54=[1]CURSOS!$D$33,"ATENCION A PERSONAS CON DISCAPACIDAD",IF(O54=[1]CURSOS!$D$34,"CUIDADO INTEGRAL DEL PACIENTE ADULTO",IF(O54=[1]CURSOS!$D$35,"MANEJO DEFENSIVO",IF(O54=[1]CURSOS!$D$36,"SOPORTE CARDIOVASCULAR AVANZADO NEONATAL",IF(O54=[1]CURSOS!$D$37,"SEGURIDAD DEL PACIENTE")))))))))))))))))))))))))))))))))))</f>
        <v xml:space="preserve">ATENCION A VICTIMAS DE VIOLENCIA SEXUAL </v>
      </c>
      <c r="V54" s="52" t="str">
        <f t="shared" si="3"/>
        <v>Jorge Mauricio Obando Campaña</v>
      </c>
      <c r="W54" s="52" t="str">
        <f t="shared" si="4"/>
        <v>Jorge Mauricio Obando Campaña</v>
      </c>
      <c r="X54" s="52" t="str">
        <f t="shared" si="5"/>
        <v>Jorge Mauricio Obando Campaña-1126564505-VIOLENCIA SEXUAL</v>
      </c>
    </row>
    <row r="55" spans="1:24" s="55" customFormat="1" x14ac:dyDescent="0.2">
      <c r="A55" s="17">
        <v>54</v>
      </c>
      <c r="B55" s="80">
        <v>1085283837</v>
      </c>
      <c r="C55" s="50" t="s">
        <v>531</v>
      </c>
      <c r="D55" s="50" t="s">
        <v>532</v>
      </c>
      <c r="E55" s="50" t="s">
        <v>533</v>
      </c>
      <c r="F55" s="187" t="s">
        <v>534</v>
      </c>
      <c r="G55" s="188">
        <v>12</v>
      </c>
      <c r="H55" s="171" t="s">
        <v>181</v>
      </c>
      <c r="I55" s="171" t="s">
        <v>517</v>
      </c>
      <c r="J55" s="182">
        <v>45506</v>
      </c>
      <c r="K55" s="181">
        <v>60000</v>
      </c>
      <c r="L55" s="188" t="s">
        <v>333</v>
      </c>
      <c r="M55" s="188" t="s">
        <v>86</v>
      </c>
      <c r="N55" s="188" t="s">
        <v>334</v>
      </c>
      <c r="O55" s="183" t="s">
        <v>23</v>
      </c>
      <c r="P55" s="18">
        <v>33069</v>
      </c>
      <c r="Q55" s="122" t="s">
        <v>309</v>
      </c>
      <c r="R55" s="17" t="s">
        <v>315</v>
      </c>
      <c r="S55" s="80">
        <v>3226409550</v>
      </c>
      <c r="T55" s="50" t="s">
        <v>535</v>
      </c>
      <c r="U55" s="52" t="str">
        <f>IF(O55=[1]CURSOS!$D$3,"DIPLOMADO EN ATENCION PRE-HOSPITALARIA",IF(O55=[1]CURSOS!$D$4,"ACOMPAÑAMIENTO Y MANEJO DEL DUELO",IF(O55=[1]CURSOS!$D$5,"ATENCION A VICTIMAS DE ATAQUE CON AGENTES QUIMICOS ",IF(O55=[1]CURSOS!$D$6,"PRIMEROS AUXILIOS ",IF(O55=[1]CURSOS!$D$7,"DIPLOMADO DE UNIDAD DE CUIDADOS INTENSIVOS (UCI)",IF(O55=[1]CURSOS!$D$8,"MODELO DE ATENCION PARA EVENTOS EMERGENTES EN SALUD MENTAL (CODIGO VERDE)",IF(O55=[1]CURSOS!$D$9,"HUMANIZACION EN EL SERVICIO DE LA SALUD Y BUENAS PRACTICAS EN PACIENTE ",IF(O55=[1]CURSOS!$D$10,"CLINICA DE HERIDAS ",IF(O55=[1]CURSOS!$D$11,"TOMA DE CITOLOGIA CERVICO VAGINAL ",IF(O55=[1]CURSOS!$D$12,"SOPORTE CARDIOVASCULAR AVANZADO (ACLS) ",IF(O55=[1]CURSOS!$D$13,"CAMILLERO ",IF(O55=[1]CURSOS!$D$14,"TOMA DE MUESTRAS Y LABORATORIO ",IF(O55=[1]CURSOS!$D$15,"SOPORTE VITAL BASICO (BLS)",IF(O55=[1]CURSOS!$D$16,"ATENCION A VICTIMAS DE VIOLENCIA SEXUAL ",IF(O55=[1]CURSOS!$D$17,"PROGRAMADO AMPLIADO DE INMUNIZACION (PAI - COVID 19)",IF(O55=[1]CURSOS!$D$18,"ATENCION INTEGRAL EN ENFERMEDADES PREVALENTES EN PRIMERA INFANCIA (AIEPI)",IF(O55=[1]CURSOS!$D$19,"ADMINISTRACION DE MEDICAMENTOS, INYECTOLOGIA  Y CANALIZACION ",IF(O55=[1]CURSOS!$D$20,"OPERADOR DE VEHICULOS DE EMERGENCIA (OVE)",IF(O55=[1]CURSOS!$D$21,"INSTITUCIONES AMIGAS DE LA MUJER Y LA INFANCIA (IAMI)",IF(O55=[1]CURSOS!$D$22,"CUIDADO DEL DONANTE DE ORGANOS",IF(O55=[1]CURSOS!$D$23,"ATENCION A VICTIMAS POR VIOLENCIA DE GENERO",IF(O55=[1]CURSOS!$D$24,"IGUALDAD DE GENERO EN LA SALUD",IF(O55=[1]CURSOS!$D$25,"BRIGADA DE EMERGENCIA",IF(O55=[1]CURSOS!$D$26,"MANEJO DEL DOLOR Y CUIDADOS PALIATIVOS",IF(O55=[1]CURSOS!$D$27,"TOMA DE MUESTRAS Y LABORATORIO POCT",IF(O55=[1]CURSOS!$D$28,"IMPLANTE SUBDERMICO DE DISPOSITIVO INTRAUTERINO",IF(O55=[1]CURSOS!$D$29,"SALUD MENTAL",IF(O55=[1]CURSOS!$D$30,"PRIMEROS AUXILIOS PSICOLOGICOS",IF(O55=[1]CURSOS!$D$31,"ATENCION A VICTIMAS POR CONFLICTO ARMADO",IF(O55=[1]CURSOS!$D$32,"MANIPULACION DE ALIMENTOS Y BPM",IF(O55=[1]CURSOS!$D$33,"ATENCION A PERSONAS CON DISCAPACIDAD",IF(O55=[1]CURSOS!$D$34,"CUIDADO INTEGRAL DEL PACIENTE ADULTO",IF(O55=[1]CURSOS!$D$35,"MANEJO DEFENSIVO",IF(O55=[1]CURSOS!$D$36,"SOPORTE CARDIOVASCULAR AVANZADO NEONATAL",IF(O55=[1]CURSOS!$D$37,"SEGURIDAD DEL PACIENTE")))))))))))))))))))))))))))))))))))</f>
        <v>ACOMPAÑAMIENTO Y MANEJO DEL DUELO</v>
      </c>
      <c r="V55" s="52" t="str">
        <f t="shared" si="3"/>
        <v>Jimena Lucia Lucano Yela</v>
      </c>
      <c r="W55" s="52" t="str">
        <f t="shared" si="4"/>
        <v>Jimena Lucia Lucano Yela</v>
      </c>
      <c r="X55" s="52" t="str">
        <f t="shared" si="5"/>
        <v>Jimena Lucia Lucano Yela-1085283837-DUELO</v>
      </c>
    </row>
    <row r="56" spans="1:24" s="55" customFormat="1" x14ac:dyDescent="0.2">
      <c r="A56" s="17">
        <v>55</v>
      </c>
      <c r="B56" s="80">
        <v>1085283837</v>
      </c>
      <c r="C56" s="50" t="s">
        <v>531</v>
      </c>
      <c r="D56" s="50" t="s">
        <v>532</v>
      </c>
      <c r="E56" s="50" t="s">
        <v>533</v>
      </c>
      <c r="F56" s="187" t="s">
        <v>534</v>
      </c>
      <c r="G56" s="188">
        <v>3</v>
      </c>
      <c r="H56" s="171" t="s">
        <v>181</v>
      </c>
      <c r="I56" s="171" t="s">
        <v>517</v>
      </c>
      <c r="J56" s="182">
        <v>45506</v>
      </c>
      <c r="K56" s="181">
        <v>60000</v>
      </c>
      <c r="L56" s="188" t="s">
        <v>333</v>
      </c>
      <c r="M56" s="188" t="s">
        <v>86</v>
      </c>
      <c r="N56" s="188" t="s">
        <v>334</v>
      </c>
      <c r="O56" s="183" t="s">
        <v>25</v>
      </c>
      <c r="P56" s="18">
        <v>33069</v>
      </c>
      <c r="Q56" s="122" t="s">
        <v>309</v>
      </c>
      <c r="R56" s="17" t="s">
        <v>315</v>
      </c>
      <c r="S56" s="80">
        <v>3226409550</v>
      </c>
      <c r="T56" s="50" t="s">
        <v>535</v>
      </c>
      <c r="U56" s="52" t="str">
        <f>IF(O56=[1]CURSOS!$D$3,"DIPLOMADO EN ATENCION PRE-HOSPITALARIA",IF(O56=[1]CURSOS!$D$4,"ACOMPAÑAMIENTO Y MANEJO DEL DUELO",IF(O56=[1]CURSOS!$D$5,"ATENCION A VICTIMAS DE ATAQUE CON AGENTES QUIMICOS ",IF(O56=[1]CURSOS!$D$6,"PRIMEROS AUXILIOS ",IF(O56=[1]CURSOS!$D$7,"DIPLOMADO DE UNIDAD DE CUIDADOS INTENSIVOS (UCI)",IF(O56=[1]CURSOS!$D$8,"MODELO DE ATENCION PARA EVENTOS EMERGENTES EN SALUD MENTAL (CODIGO VERDE)",IF(O56=[1]CURSOS!$D$9,"HUMANIZACION EN EL SERVICIO DE LA SALUD Y BUENAS PRACTICAS EN PACIENTE ",IF(O56=[1]CURSOS!$D$10,"CLINICA DE HERIDAS ",IF(O56=[1]CURSOS!$D$11,"TOMA DE CITOLOGIA CERVICO VAGINAL ",IF(O56=[1]CURSOS!$D$12,"SOPORTE CARDIOVASCULAR AVANZADO (ACLS) ",IF(O56=[1]CURSOS!$D$13,"CAMILLERO ",IF(O56=[1]CURSOS!$D$14,"TOMA DE MUESTRAS Y LABORATORIO ",IF(O56=[1]CURSOS!$D$15,"SOPORTE VITAL BASICO (BLS)",IF(O56=[1]CURSOS!$D$16,"ATENCION A VICTIMAS DE VIOLENCIA SEXUAL ",IF(O56=[1]CURSOS!$D$17,"PROGRAMADO AMPLIADO DE INMUNIZACION (PAI - COVID 19)",IF(O56=[1]CURSOS!$D$18,"ATENCION INTEGRAL EN ENFERMEDADES PREVALENTES EN PRIMERA INFANCIA (AIEPI)",IF(O56=[1]CURSOS!$D$19,"ADMINISTRACION DE MEDICAMENTOS, INYECTOLOGIA  Y CANALIZACION ",IF(O56=[1]CURSOS!$D$20,"OPERADOR DE VEHICULOS DE EMERGENCIA (OVE)",IF(O56=[1]CURSOS!$D$21,"INSTITUCIONES AMIGAS DE LA MUJER Y LA INFANCIA (IAMI)",IF(O56=[1]CURSOS!$D$22,"CUIDADO DEL DONANTE DE ORGANOS",IF(O56=[1]CURSOS!$D$23,"ATENCION A VICTIMAS POR VIOLENCIA DE GENERO",IF(O56=[1]CURSOS!$D$24,"IGUALDAD DE GENERO EN LA SALUD",IF(O56=[1]CURSOS!$D$25,"BRIGADA DE EMERGENCIA",IF(O56=[1]CURSOS!$D$26,"MANEJO DEL DOLOR Y CUIDADOS PALIATIVOS",IF(O56=[1]CURSOS!$D$27,"TOMA DE MUESTRAS Y LABORATORIO POCT",IF(O56=[1]CURSOS!$D$28,"IMPLANTE SUBDERMICO DE DISPOSITIVO INTRAUTERINO",IF(O56=[1]CURSOS!$D$29,"SALUD MENTAL",IF(O56=[1]CURSOS!$D$30,"PRIMEROS AUXILIOS PSICOLOGICOS",IF(O56=[1]CURSOS!$D$31,"ATENCION A VICTIMAS POR CONFLICTO ARMADO",IF(O56=[1]CURSOS!$D$32,"MANIPULACION DE ALIMENTOS Y BPM",IF(O56=[1]CURSOS!$D$33,"ATENCION A PERSONAS CON DISCAPACIDAD",IF(O56=[1]CURSOS!$D$34,"CUIDADO INTEGRAL DEL PACIENTE ADULTO",IF(O56=[1]CURSOS!$D$35,"MANEJO DEFENSIVO",IF(O56=[1]CURSOS!$D$36,"SOPORTE CARDIOVASCULAR AVANZADO NEONATAL",IF(O56=[1]CURSOS!$D$37,"SEGURIDAD DEL PACIENTE")))))))))))))))))))))))))))))))))))</f>
        <v xml:space="preserve">ATENCION A VICTIMAS DE ATAQUE CON AGENTES QUIMICOS </v>
      </c>
      <c r="V56" s="52" t="str">
        <f t="shared" si="3"/>
        <v>Jimena Lucia Lucano Yela</v>
      </c>
      <c r="W56" s="52" t="str">
        <f t="shared" si="4"/>
        <v>Jimena Lucia Lucano Yela</v>
      </c>
      <c r="X56" s="52" t="str">
        <f t="shared" si="5"/>
        <v>Jimena Lucia Lucano Yela-1085283837-QUIMICOS</v>
      </c>
    </row>
    <row r="57" spans="1:24" s="55" customFormat="1" x14ac:dyDescent="0.2">
      <c r="A57" s="17">
        <v>56</v>
      </c>
      <c r="B57" s="80">
        <v>1085283837</v>
      </c>
      <c r="C57" s="50" t="s">
        <v>531</v>
      </c>
      <c r="D57" s="50" t="s">
        <v>532</v>
      </c>
      <c r="E57" s="50" t="s">
        <v>533</v>
      </c>
      <c r="F57" s="187" t="s">
        <v>534</v>
      </c>
      <c r="G57" s="188">
        <v>5</v>
      </c>
      <c r="H57" s="171" t="s">
        <v>181</v>
      </c>
      <c r="I57" s="171" t="s">
        <v>517</v>
      </c>
      <c r="J57" s="182">
        <v>45526</v>
      </c>
      <c r="K57" s="181">
        <v>60000</v>
      </c>
      <c r="L57" s="188" t="s">
        <v>333</v>
      </c>
      <c r="M57" s="188" t="s">
        <v>86</v>
      </c>
      <c r="N57" s="188" t="s">
        <v>334</v>
      </c>
      <c r="O57" s="183" t="s">
        <v>43</v>
      </c>
      <c r="P57" s="18">
        <v>33069</v>
      </c>
      <c r="Q57" s="122" t="s">
        <v>309</v>
      </c>
      <c r="R57" s="17" t="s">
        <v>315</v>
      </c>
      <c r="S57" s="80">
        <v>3226409550</v>
      </c>
      <c r="T57" s="50" t="s">
        <v>535</v>
      </c>
      <c r="U57" s="52" t="str">
        <f>IF(O57=[1]CURSOS!$D$3,"DIPLOMADO EN ATENCION PRE-HOSPITALARIA",IF(O57=[1]CURSOS!$D$4,"ACOMPAÑAMIENTO Y MANEJO DEL DUELO",IF(O57=[1]CURSOS!$D$5,"ATENCION A VICTIMAS DE ATAQUE CON AGENTES QUIMICOS ",IF(O57=[1]CURSOS!$D$6,"PRIMEROS AUXILIOS ",IF(O57=[1]CURSOS!$D$7,"DIPLOMADO DE UNIDAD DE CUIDADOS INTENSIVOS (UCI)",IF(O57=[1]CURSOS!$D$8,"MODELO DE ATENCION PARA EVENTOS EMERGENTES EN SALUD MENTAL (CODIGO VERDE)",IF(O57=[1]CURSOS!$D$9,"HUMANIZACION EN EL SERVICIO DE LA SALUD Y BUENAS PRACTICAS EN PACIENTE ",IF(O57=[1]CURSOS!$D$10,"CLINICA DE HERIDAS ",IF(O57=[1]CURSOS!$D$11,"TOMA DE CITOLOGIA CERVICO VAGINAL ",IF(O57=[1]CURSOS!$D$12,"SOPORTE CARDIOVASCULAR AVANZADO (ACLS) ",IF(O57=[1]CURSOS!$D$13,"CAMILLERO ",IF(O57=[1]CURSOS!$D$14,"TOMA DE MUESTRAS Y LABORATORIO ",IF(O57=[1]CURSOS!$D$15,"SOPORTE VITAL BASICO (BLS)",IF(O57=[1]CURSOS!$D$16,"ATENCION A VICTIMAS DE VIOLENCIA SEXUAL ",IF(O57=[1]CURSOS!$D$17,"PROGRAMADO AMPLIADO DE INMUNIZACION (PAI - COVID 19)",IF(O57=[1]CURSOS!$D$18,"ATENCION INTEGRAL EN ENFERMEDADES PREVALENTES EN PRIMERA INFANCIA (AIEPI)",IF(O57=[1]CURSOS!$D$19,"ADMINISTRACION DE MEDICAMENTOS, INYECTOLOGIA  Y CANALIZACION ",IF(O57=[1]CURSOS!$D$20,"OPERADOR DE VEHICULOS DE EMERGENCIA (OVE)",IF(O57=[1]CURSOS!$D$21,"INSTITUCIONES AMIGAS DE LA MUJER Y LA INFANCIA (IAMI)",IF(O57=[1]CURSOS!$D$22,"CUIDADO DEL DONANTE DE ORGANOS",IF(O57=[1]CURSOS!$D$23,"ATENCION A VICTIMAS POR VIOLENCIA DE GENERO",IF(O57=[1]CURSOS!$D$24,"IGUALDAD DE GENERO EN LA SALUD",IF(O57=[1]CURSOS!$D$25,"BRIGADA DE EMERGENCIA",IF(O57=[1]CURSOS!$D$26,"MANEJO DEL DOLOR Y CUIDADOS PALIATIVOS",IF(O57=[1]CURSOS!$D$27,"TOMA DE MUESTRAS Y LABORATORIO POCT",IF(O57=[1]CURSOS!$D$28,"IMPLANTE SUBDERMICO DE DISPOSITIVO INTRAUTERINO",IF(O57=[1]CURSOS!$D$29,"SALUD MENTAL",IF(O57=[1]CURSOS!$D$30,"PRIMEROS AUXILIOS PSICOLOGICOS",IF(O57=[1]CURSOS!$D$31,"ATENCION A VICTIMAS POR CONFLICTO ARMADO",IF(O57=[1]CURSOS!$D$32,"MANIPULACION DE ALIMENTOS Y BPM",IF(O57=[1]CURSOS!$D$33,"ATENCION A PERSONAS CON DISCAPACIDAD",IF(O57=[1]CURSOS!$D$34,"CUIDADO INTEGRAL DEL PACIENTE ADULTO",IF(O57=[1]CURSOS!$D$35,"MANEJO DEFENSIVO",IF(O57=[1]CURSOS!$D$36,"SOPORTE CARDIOVASCULAR AVANZADO NEONATAL",IF(O57=[1]CURSOS!$D$37,"SEGURIDAD DEL PACIENTE")))))))))))))))))))))))))))))))))))</f>
        <v xml:space="preserve">ATENCION A VICTIMAS DE VIOLENCIA SEXUAL </v>
      </c>
      <c r="V57" s="52" t="str">
        <f t="shared" si="3"/>
        <v>Jimena Lucia Lucano Yela</v>
      </c>
      <c r="W57" s="52" t="str">
        <f t="shared" si="4"/>
        <v>Jimena Lucia Lucano Yela</v>
      </c>
      <c r="X57" s="52" t="str">
        <f t="shared" si="5"/>
        <v>Jimena Lucia Lucano Yela-1085283837-VIOLENCIA SEXUAL</v>
      </c>
    </row>
    <row r="58" spans="1:24" s="55" customFormat="1" x14ac:dyDescent="0.2">
      <c r="A58" s="17">
        <v>57</v>
      </c>
      <c r="B58" s="80">
        <v>1085283837</v>
      </c>
      <c r="C58" s="50" t="s">
        <v>531</v>
      </c>
      <c r="D58" s="50" t="s">
        <v>532</v>
      </c>
      <c r="E58" s="50" t="s">
        <v>533</v>
      </c>
      <c r="F58" s="187" t="s">
        <v>534</v>
      </c>
      <c r="G58" s="188">
        <v>13</v>
      </c>
      <c r="H58" s="171" t="s">
        <v>181</v>
      </c>
      <c r="I58" s="171" t="s">
        <v>517</v>
      </c>
      <c r="J58" s="182">
        <v>45526</v>
      </c>
      <c r="K58" s="181">
        <v>60000</v>
      </c>
      <c r="L58" s="188" t="s">
        <v>333</v>
      </c>
      <c r="M58" s="188" t="s">
        <v>86</v>
      </c>
      <c r="N58" s="188" t="s">
        <v>334</v>
      </c>
      <c r="O58" s="183" t="s">
        <v>19</v>
      </c>
      <c r="P58" s="18">
        <v>33069</v>
      </c>
      <c r="Q58" s="122" t="s">
        <v>309</v>
      </c>
      <c r="R58" s="17" t="s">
        <v>315</v>
      </c>
      <c r="S58" s="80">
        <v>3226409550</v>
      </c>
      <c r="T58" s="50" t="s">
        <v>535</v>
      </c>
      <c r="U58" s="52" t="str">
        <f>IF(O58=[1]CURSOS!$D$3,"DIPLOMADO EN ATENCION PRE-HOSPITALARIA",IF(O58=[1]CURSOS!$D$4,"ACOMPAÑAMIENTO Y MANEJO DEL DUELO",IF(O58=[1]CURSOS!$D$5,"ATENCION A VICTIMAS DE ATAQUE CON AGENTES QUIMICOS ",IF(O58=[1]CURSOS!$D$6,"PRIMEROS AUXILIOS ",IF(O58=[1]CURSOS!$D$7,"DIPLOMADO DE UNIDAD DE CUIDADOS INTENSIVOS (UCI)",IF(O58=[1]CURSOS!$D$8,"MODELO DE ATENCION PARA EVENTOS EMERGENTES EN SALUD MENTAL (CODIGO VERDE)",IF(O58=[1]CURSOS!$D$9,"HUMANIZACION EN EL SERVICIO DE LA SALUD Y BUENAS PRACTICAS EN PACIENTE ",IF(O58=[1]CURSOS!$D$10,"CLINICA DE HERIDAS ",IF(O58=[1]CURSOS!$D$11,"TOMA DE CITOLOGIA CERVICO VAGINAL ",IF(O58=[1]CURSOS!$D$12,"SOPORTE CARDIOVASCULAR AVANZADO (ACLS) ",IF(O58=[1]CURSOS!$D$13,"CAMILLERO ",IF(O58=[1]CURSOS!$D$14,"TOMA DE MUESTRAS Y LABORATORIO ",IF(O58=[1]CURSOS!$D$15,"SOPORTE VITAL BASICO (BLS)",IF(O58=[1]CURSOS!$D$16,"ATENCION A VICTIMAS DE VIOLENCIA SEXUAL ",IF(O58=[1]CURSOS!$D$17,"PROGRAMADO AMPLIADO DE INMUNIZACION (PAI - COVID 19)",IF(O58=[1]CURSOS!$D$18,"ATENCION INTEGRAL EN ENFERMEDADES PREVALENTES EN PRIMERA INFANCIA (AIEPI)",IF(O58=[1]CURSOS!$D$19,"ADMINISTRACION DE MEDICAMENTOS, INYECTOLOGIA  Y CANALIZACION ",IF(O58=[1]CURSOS!$D$20,"OPERADOR DE VEHICULOS DE EMERGENCIA (OVE)",IF(O58=[1]CURSOS!$D$21,"INSTITUCIONES AMIGAS DE LA MUJER Y LA INFANCIA (IAMI)",IF(O58=[1]CURSOS!$D$22,"CUIDADO DEL DONANTE DE ORGANOS",IF(O58=[1]CURSOS!$D$23,"ATENCION A VICTIMAS POR VIOLENCIA DE GENERO",IF(O58=[1]CURSOS!$D$24,"IGUALDAD DE GENERO EN LA SALUD",IF(O58=[1]CURSOS!$D$25,"BRIGADA DE EMERGENCIA",IF(O58=[1]CURSOS!$D$26,"MANEJO DEL DOLOR Y CUIDADOS PALIATIVOS",IF(O58=[1]CURSOS!$D$27,"TOMA DE MUESTRAS Y LABORATORIO POCT",IF(O58=[1]CURSOS!$D$28,"IMPLANTE SUBDERMICO DE DISPOSITIVO INTRAUTERINO",IF(O58=[1]CURSOS!$D$29,"SALUD MENTAL",IF(O58=[1]CURSOS!$D$30,"PRIMEROS AUXILIOS PSICOLOGICOS",IF(O58=[1]CURSOS!$D$31,"ATENCION A VICTIMAS POR CONFLICTO ARMADO",IF(O58=[1]CURSOS!$D$32,"MANIPULACION DE ALIMENTOS Y BPM",IF(O58=[1]CURSOS!$D$33,"ATENCION A PERSONAS CON DISCAPACIDAD",IF(O58=[1]CURSOS!$D$34,"CUIDADO INTEGRAL DEL PACIENTE ADULTO",IF(O58=[1]CURSOS!$D$35,"MANEJO DEFENSIVO",IF(O58=[1]CURSOS!$D$36,"SOPORTE CARDIOVASCULAR AVANZADO NEONATAL",IF(O58=[1]CURSOS!$D$37,"SEGURIDAD DEL PACIENTE")))))))))))))))))))))))))))))))))))</f>
        <v>SOPORTE VITAL BASICO (BLS)</v>
      </c>
      <c r="V58" s="52" t="str">
        <f t="shared" si="3"/>
        <v>Jimena Lucia Lucano Yela</v>
      </c>
      <c r="W58" s="52" t="str">
        <f t="shared" si="4"/>
        <v>Jimena Lucia Lucano Yela</v>
      </c>
      <c r="X58" s="52" t="str">
        <f t="shared" si="5"/>
        <v>Jimena Lucia Lucano Yela-1085283837-BLS</v>
      </c>
    </row>
    <row r="59" spans="1:24" s="55" customFormat="1" x14ac:dyDescent="0.2">
      <c r="A59" s="17">
        <v>58</v>
      </c>
      <c r="B59" s="80">
        <v>1087108367</v>
      </c>
      <c r="C59" s="50" t="s">
        <v>537</v>
      </c>
      <c r="D59" s="50" t="s">
        <v>538</v>
      </c>
      <c r="E59" s="50" t="s">
        <v>133</v>
      </c>
      <c r="F59" s="187" t="s">
        <v>116</v>
      </c>
      <c r="G59" s="188">
        <v>12</v>
      </c>
      <c r="H59" s="171" t="s">
        <v>181</v>
      </c>
      <c r="I59" s="171" t="s">
        <v>519</v>
      </c>
      <c r="J59" s="182">
        <v>45516</v>
      </c>
      <c r="K59" s="181">
        <v>40000</v>
      </c>
      <c r="L59" s="188" t="s">
        <v>322</v>
      </c>
      <c r="M59" s="188" t="s">
        <v>86</v>
      </c>
      <c r="N59" s="188" t="s">
        <v>539</v>
      </c>
      <c r="O59" s="189" t="s">
        <v>19</v>
      </c>
      <c r="P59" s="50"/>
      <c r="Q59" s="122" t="s">
        <v>309</v>
      </c>
      <c r="R59" s="17" t="s">
        <v>315</v>
      </c>
      <c r="S59" s="80"/>
      <c r="T59" s="50"/>
      <c r="U59" s="52" t="str">
        <f>IF(O59=[1]CURSOS!$D$3,"DIPLOMADO EN ATENCION PRE-HOSPITALARIA",IF(O59=[1]CURSOS!$D$4,"ACOMPAÑAMIENTO Y MANEJO DEL DUELO",IF(O59=[1]CURSOS!$D$5,"ATENCION A VICTIMAS DE ATAQUE CON AGENTES QUIMICOS ",IF(O59=[1]CURSOS!$D$6,"PRIMEROS AUXILIOS ",IF(O59=[1]CURSOS!$D$7,"DIPLOMADO DE UNIDAD DE CUIDADOS INTENSIVOS (UCI)",IF(O59=[1]CURSOS!$D$8,"MODELO DE ATENCION PARA EVENTOS EMERGENTES EN SALUD MENTAL (CODIGO VERDE)",IF(O59=[1]CURSOS!$D$9,"HUMANIZACION EN EL SERVICIO DE LA SALUD Y BUENAS PRACTICAS EN PACIENTE ",IF(O59=[1]CURSOS!$D$10,"CLINICA DE HERIDAS ",IF(O59=[1]CURSOS!$D$11,"TOMA DE CITOLOGIA CERVICO VAGINAL ",IF(O59=[1]CURSOS!$D$12,"SOPORTE CARDIOVASCULAR AVANZADO (ACLS) ",IF(O59=[1]CURSOS!$D$13,"CAMILLERO ",IF(O59=[1]CURSOS!$D$14,"TOMA DE MUESTRAS Y LABORATORIO ",IF(O59=[1]CURSOS!$D$15,"SOPORTE VITAL BASICO (BLS)",IF(O59=[1]CURSOS!$D$16,"ATENCION A VICTIMAS DE VIOLENCIA SEXUAL ",IF(O59=[1]CURSOS!$D$17,"PROGRAMADO AMPLIADO DE INMUNIZACION (PAI - COVID 19)",IF(O59=[1]CURSOS!$D$18,"ATENCION INTEGRAL EN ENFERMEDADES PREVALENTES EN PRIMERA INFANCIA (AIEPI)",IF(O59=[1]CURSOS!$D$19,"ADMINISTRACION DE MEDICAMENTOS, INYECTOLOGIA  Y CANALIZACION ",IF(O59=[1]CURSOS!$D$20,"OPERADOR DE VEHICULOS DE EMERGENCIA (OVE)",IF(O59=[1]CURSOS!$D$21,"INSTITUCIONES AMIGAS DE LA MUJER Y LA INFANCIA (IAMI)",IF(O59=[1]CURSOS!$D$22,"CUIDADO DEL DONANTE DE ORGANOS",IF(O59=[1]CURSOS!$D$23,"ATENCION A VICTIMAS POR VIOLENCIA DE GENERO",IF(O59=[1]CURSOS!$D$24,"IGUALDAD DE GENERO EN LA SALUD",IF(O59=[1]CURSOS!$D$25,"BRIGADA DE EMERGENCIA",IF(O59=[1]CURSOS!$D$26,"MANEJO DEL DOLOR Y CUIDADOS PALIATIVOS",IF(O59=[1]CURSOS!$D$27,"TOMA DE MUESTRAS Y LABORATORIO POCT",IF(O59=[1]CURSOS!$D$28,"IMPLANTE SUBDERMICO DE DISPOSITIVO INTRAUTERINO",IF(O59=[1]CURSOS!$D$29,"SALUD MENTAL",IF(O59=[1]CURSOS!$D$30,"PRIMEROS AUXILIOS PSICOLOGICOS",IF(O59=[1]CURSOS!$D$31,"ATENCION A VICTIMAS POR CONFLICTO ARMADO",IF(O59=[1]CURSOS!$D$32,"MANIPULACION DE ALIMENTOS Y BPM",IF(O59=[1]CURSOS!$D$33,"ATENCION A PERSONAS CON DISCAPACIDAD",IF(O59=[1]CURSOS!$D$34,"CUIDADO INTEGRAL DEL PACIENTE ADULTO",IF(O59=[1]CURSOS!$D$35,"MANEJO DEFENSIVO",IF(O59=[1]CURSOS!$D$36,"SOPORTE CARDIOVASCULAR AVANZADO NEONATAL",IF(O59=[1]CURSOS!$D$37,"SEGURIDAD DEL PACIENTE")))))))))))))))))))))))))))))))))))</f>
        <v>SOPORTE VITAL BASICO (BLS)</v>
      </c>
      <c r="V59" s="52" t="str">
        <f t="shared" si="3"/>
        <v>Paola Andrea Viveros Quiñones</v>
      </c>
      <c r="W59" s="52" t="str">
        <f t="shared" si="4"/>
        <v>Paola Andrea Viveros Quiñones</v>
      </c>
      <c r="X59" s="52" t="str">
        <f t="shared" si="5"/>
        <v>Paola Andrea Viveros Quiñones-1087108367-BLS</v>
      </c>
    </row>
    <row r="60" spans="1:24" s="55" customFormat="1" x14ac:dyDescent="0.2">
      <c r="A60" s="17">
        <v>59</v>
      </c>
      <c r="B60" s="80">
        <v>1004216779</v>
      </c>
      <c r="C60" s="50" t="s">
        <v>540</v>
      </c>
      <c r="D60" s="50" t="s">
        <v>306</v>
      </c>
      <c r="E60" s="50" t="s">
        <v>143</v>
      </c>
      <c r="F60" s="187" t="s">
        <v>541</v>
      </c>
      <c r="G60" s="188">
        <v>7</v>
      </c>
      <c r="H60" s="171" t="s">
        <v>181</v>
      </c>
      <c r="I60" s="171" t="s">
        <v>517</v>
      </c>
      <c r="J60" s="182">
        <v>45517</v>
      </c>
      <c r="K60" s="181">
        <v>60000</v>
      </c>
      <c r="L60" s="188" t="s">
        <v>387</v>
      </c>
      <c r="M60" s="188" t="s">
        <v>86</v>
      </c>
      <c r="N60" s="188" t="s">
        <v>334</v>
      </c>
      <c r="O60" s="189" t="s">
        <v>19</v>
      </c>
      <c r="P60" s="50"/>
      <c r="Q60" s="122" t="s">
        <v>309</v>
      </c>
      <c r="R60" s="17" t="s">
        <v>543</v>
      </c>
      <c r="S60" s="80">
        <v>3016479612</v>
      </c>
      <c r="T60" s="50" t="s">
        <v>542</v>
      </c>
      <c r="U60" s="52" t="str">
        <f>IF(O60=[1]CURSOS!$D$3,"DIPLOMADO EN ATENCION PRE-HOSPITALARIA",IF(O60=[1]CURSOS!$D$4,"ACOMPAÑAMIENTO Y MANEJO DEL DUELO",IF(O60=[1]CURSOS!$D$5,"ATENCION A VICTIMAS DE ATAQUE CON AGENTES QUIMICOS ",IF(O60=[1]CURSOS!$D$6,"PRIMEROS AUXILIOS ",IF(O60=[1]CURSOS!$D$7,"DIPLOMADO DE UNIDAD DE CUIDADOS INTENSIVOS (UCI)",IF(O60=[1]CURSOS!$D$8,"MODELO DE ATENCION PARA EVENTOS EMERGENTES EN SALUD MENTAL (CODIGO VERDE)",IF(O60=[1]CURSOS!$D$9,"HUMANIZACION EN EL SERVICIO DE LA SALUD Y BUENAS PRACTICAS EN PACIENTE ",IF(O60=[1]CURSOS!$D$10,"CLINICA DE HERIDAS ",IF(O60=[1]CURSOS!$D$11,"TOMA DE CITOLOGIA CERVICO VAGINAL ",IF(O60=[1]CURSOS!$D$12,"SOPORTE CARDIOVASCULAR AVANZADO (ACLS) ",IF(O60=[1]CURSOS!$D$13,"CAMILLERO ",IF(O60=[1]CURSOS!$D$14,"TOMA DE MUESTRAS Y LABORATORIO ",IF(O60=[1]CURSOS!$D$15,"SOPORTE VITAL BASICO (BLS)",IF(O60=[1]CURSOS!$D$16,"ATENCION A VICTIMAS DE VIOLENCIA SEXUAL ",IF(O60=[1]CURSOS!$D$17,"PROGRAMADO AMPLIADO DE INMUNIZACION (PAI - COVID 19)",IF(O60=[1]CURSOS!$D$18,"ATENCION INTEGRAL EN ENFERMEDADES PREVALENTES EN PRIMERA INFANCIA (AIEPI)",IF(O60=[1]CURSOS!$D$19,"ADMINISTRACION DE MEDICAMENTOS, INYECTOLOGIA  Y CANALIZACION ",IF(O60=[1]CURSOS!$D$20,"OPERADOR DE VEHICULOS DE EMERGENCIA (OVE)",IF(O60=[1]CURSOS!$D$21,"INSTITUCIONES AMIGAS DE LA MUJER Y LA INFANCIA (IAMI)",IF(O60=[1]CURSOS!$D$22,"CUIDADO DEL DONANTE DE ORGANOS",IF(O60=[1]CURSOS!$D$23,"ATENCION A VICTIMAS POR VIOLENCIA DE GENERO",IF(O60=[1]CURSOS!$D$24,"IGUALDAD DE GENERO EN LA SALUD",IF(O60=[1]CURSOS!$D$25,"BRIGADA DE EMERGENCIA",IF(O60=[1]CURSOS!$D$26,"MANEJO DEL DOLOR Y CUIDADOS PALIATIVOS",IF(O60=[1]CURSOS!$D$27,"TOMA DE MUESTRAS Y LABORATORIO POCT",IF(O60=[1]CURSOS!$D$28,"IMPLANTE SUBDERMICO DE DISPOSITIVO INTRAUTERINO",IF(O60=[1]CURSOS!$D$29,"SALUD MENTAL",IF(O60=[1]CURSOS!$D$30,"PRIMEROS AUXILIOS PSICOLOGICOS",IF(O60=[1]CURSOS!$D$31,"ATENCION A VICTIMAS POR CONFLICTO ARMADO",IF(O60=[1]CURSOS!$D$32,"MANIPULACION DE ALIMENTOS Y BPM",IF(O60=[1]CURSOS!$D$33,"ATENCION A PERSONAS CON DISCAPACIDAD",IF(O60=[1]CURSOS!$D$34,"CUIDADO INTEGRAL DEL PACIENTE ADULTO",IF(O60=[1]CURSOS!$D$35,"MANEJO DEFENSIVO",IF(O60=[1]CURSOS!$D$36,"SOPORTE CARDIOVASCULAR AVANZADO NEONATAL",IF(O60=[1]CURSOS!$D$37,"SEGURIDAD DEL PACIENTE")))))))))))))))))))))))))))))))))))</f>
        <v>SOPORTE VITAL BASICO (BLS)</v>
      </c>
      <c r="V60" s="52" t="str">
        <f t="shared" si="3"/>
        <v>Diana Sofia Macuase Chávez</v>
      </c>
      <c r="W60" s="52" t="str">
        <f t="shared" si="4"/>
        <v>Diana Sofia Macuase Chávez</v>
      </c>
      <c r="X60" s="52" t="str">
        <f t="shared" si="5"/>
        <v>Diana Sofia Macuase Chávez-1004216779-BLS</v>
      </c>
    </row>
    <row r="61" spans="1:24" s="55" customFormat="1" x14ac:dyDescent="0.2">
      <c r="A61" s="17">
        <v>60</v>
      </c>
      <c r="B61" s="80">
        <v>1004216779</v>
      </c>
      <c r="C61" s="50" t="s">
        <v>540</v>
      </c>
      <c r="D61" s="50" t="s">
        <v>306</v>
      </c>
      <c r="E61" s="50" t="s">
        <v>143</v>
      </c>
      <c r="F61" s="187" t="s">
        <v>541</v>
      </c>
      <c r="G61" s="188">
        <v>7</v>
      </c>
      <c r="H61" s="171" t="s">
        <v>181</v>
      </c>
      <c r="I61" s="171" t="s">
        <v>517</v>
      </c>
      <c r="J61" s="182">
        <v>45517</v>
      </c>
      <c r="K61" s="181">
        <v>60000</v>
      </c>
      <c r="L61" s="188" t="s">
        <v>387</v>
      </c>
      <c r="M61" s="188" t="s">
        <v>86</v>
      </c>
      <c r="N61" s="188" t="s">
        <v>334</v>
      </c>
      <c r="O61" s="189" t="s">
        <v>25</v>
      </c>
      <c r="P61" s="50"/>
      <c r="Q61" s="122" t="s">
        <v>309</v>
      </c>
      <c r="R61" s="17" t="s">
        <v>543</v>
      </c>
      <c r="S61" s="80">
        <v>3016479612</v>
      </c>
      <c r="T61" s="50" t="s">
        <v>542</v>
      </c>
      <c r="U61" s="52" t="str">
        <f>IF(O61=[1]CURSOS!$D$3,"DIPLOMADO EN ATENCION PRE-HOSPITALARIA",IF(O61=[1]CURSOS!$D$4,"ACOMPAÑAMIENTO Y MANEJO DEL DUELO",IF(O61=[1]CURSOS!$D$5,"ATENCION A VICTIMAS DE ATAQUE CON AGENTES QUIMICOS ",IF(O61=[1]CURSOS!$D$6,"PRIMEROS AUXILIOS ",IF(O61=[1]CURSOS!$D$7,"DIPLOMADO DE UNIDAD DE CUIDADOS INTENSIVOS (UCI)",IF(O61=[1]CURSOS!$D$8,"MODELO DE ATENCION PARA EVENTOS EMERGENTES EN SALUD MENTAL (CODIGO VERDE)",IF(O61=[1]CURSOS!$D$9,"HUMANIZACION EN EL SERVICIO DE LA SALUD Y BUENAS PRACTICAS EN PACIENTE ",IF(O61=[1]CURSOS!$D$10,"CLINICA DE HERIDAS ",IF(O61=[1]CURSOS!$D$11,"TOMA DE CITOLOGIA CERVICO VAGINAL ",IF(O61=[1]CURSOS!$D$12,"SOPORTE CARDIOVASCULAR AVANZADO (ACLS) ",IF(O61=[1]CURSOS!$D$13,"CAMILLERO ",IF(O61=[1]CURSOS!$D$14,"TOMA DE MUESTRAS Y LABORATORIO ",IF(O61=[1]CURSOS!$D$15,"SOPORTE VITAL BASICO (BLS)",IF(O61=[1]CURSOS!$D$16,"ATENCION A VICTIMAS DE VIOLENCIA SEXUAL ",IF(O61=[1]CURSOS!$D$17,"PROGRAMADO AMPLIADO DE INMUNIZACION (PAI - COVID 19)",IF(O61=[1]CURSOS!$D$18,"ATENCION INTEGRAL EN ENFERMEDADES PREVALENTES EN PRIMERA INFANCIA (AIEPI)",IF(O61=[1]CURSOS!$D$19,"ADMINISTRACION DE MEDICAMENTOS, INYECTOLOGIA  Y CANALIZACION ",IF(O61=[1]CURSOS!$D$20,"OPERADOR DE VEHICULOS DE EMERGENCIA (OVE)",IF(O61=[1]CURSOS!$D$21,"INSTITUCIONES AMIGAS DE LA MUJER Y LA INFANCIA (IAMI)",IF(O61=[1]CURSOS!$D$22,"CUIDADO DEL DONANTE DE ORGANOS",IF(O61=[1]CURSOS!$D$23,"ATENCION A VICTIMAS POR VIOLENCIA DE GENERO",IF(O61=[1]CURSOS!$D$24,"IGUALDAD DE GENERO EN LA SALUD",IF(O61=[1]CURSOS!$D$25,"BRIGADA DE EMERGENCIA",IF(O61=[1]CURSOS!$D$26,"MANEJO DEL DOLOR Y CUIDADOS PALIATIVOS",IF(O61=[1]CURSOS!$D$27,"TOMA DE MUESTRAS Y LABORATORIO POCT",IF(O61=[1]CURSOS!$D$28,"IMPLANTE SUBDERMICO DE DISPOSITIVO INTRAUTERINO",IF(O61=[1]CURSOS!$D$29,"SALUD MENTAL",IF(O61=[1]CURSOS!$D$30,"PRIMEROS AUXILIOS PSICOLOGICOS",IF(O61=[1]CURSOS!$D$31,"ATENCION A VICTIMAS POR CONFLICTO ARMADO",IF(O61=[1]CURSOS!$D$32,"MANIPULACION DE ALIMENTOS Y BPM",IF(O61=[1]CURSOS!$D$33,"ATENCION A PERSONAS CON DISCAPACIDAD",IF(O61=[1]CURSOS!$D$34,"CUIDADO INTEGRAL DEL PACIENTE ADULTO",IF(O61=[1]CURSOS!$D$35,"MANEJO DEFENSIVO",IF(O61=[1]CURSOS!$D$36,"SOPORTE CARDIOVASCULAR AVANZADO NEONATAL",IF(O61=[1]CURSOS!$D$37,"SEGURIDAD DEL PACIENTE")))))))))))))))))))))))))))))))))))</f>
        <v xml:space="preserve">ATENCION A VICTIMAS DE ATAQUE CON AGENTES QUIMICOS </v>
      </c>
      <c r="V61" s="52" t="str">
        <f t="shared" si="3"/>
        <v>Diana Sofia Macuase Chávez</v>
      </c>
      <c r="W61" s="52" t="str">
        <f t="shared" si="4"/>
        <v>Diana Sofia Macuase Chávez</v>
      </c>
      <c r="X61" s="52" t="str">
        <f t="shared" si="5"/>
        <v>Diana Sofia Macuase Chávez-1004216779-QUIMICOS</v>
      </c>
    </row>
    <row r="62" spans="1:24" s="55" customFormat="1" x14ac:dyDescent="0.2">
      <c r="A62" s="17">
        <v>61</v>
      </c>
      <c r="B62" s="80">
        <v>1004216779</v>
      </c>
      <c r="C62" s="50" t="s">
        <v>540</v>
      </c>
      <c r="D62" s="50" t="s">
        <v>306</v>
      </c>
      <c r="E62" s="50" t="s">
        <v>143</v>
      </c>
      <c r="F62" s="187" t="s">
        <v>541</v>
      </c>
      <c r="G62" s="188">
        <v>8</v>
      </c>
      <c r="H62" s="171" t="s">
        <v>181</v>
      </c>
      <c r="I62" s="171" t="s">
        <v>517</v>
      </c>
      <c r="J62" s="182">
        <v>45517</v>
      </c>
      <c r="K62" s="181">
        <v>60000</v>
      </c>
      <c r="L62" s="188" t="s">
        <v>387</v>
      </c>
      <c r="M62" s="188" t="s">
        <v>86</v>
      </c>
      <c r="N62" s="188" t="s">
        <v>334</v>
      </c>
      <c r="O62" s="189" t="s">
        <v>23</v>
      </c>
      <c r="P62" s="50"/>
      <c r="Q62" s="122" t="s">
        <v>309</v>
      </c>
      <c r="R62" s="17" t="s">
        <v>543</v>
      </c>
      <c r="S62" s="80">
        <v>3016479612</v>
      </c>
      <c r="T62" s="50" t="s">
        <v>542</v>
      </c>
      <c r="U62" s="52" t="str">
        <f>IF(O62=[1]CURSOS!$D$3,"DIPLOMADO EN ATENCION PRE-HOSPITALARIA",IF(O62=[1]CURSOS!$D$4,"ACOMPAÑAMIENTO Y MANEJO DEL DUELO",IF(O62=[1]CURSOS!$D$5,"ATENCION A VICTIMAS DE ATAQUE CON AGENTES QUIMICOS ",IF(O62=[1]CURSOS!$D$6,"PRIMEROS AUXILIOS ",IF(O62=[1]CURSOS!$D$7,"DIPLOMADO DE UNIDAD DE CUIDADOS INTENSIVOS (UCI)",IF(O62=[1]CURSOS!$D$8,"MODELO DE ATENCION PARA EVENTOS EMERGENTES EN SALUD MENTAL (CODIGO VERDE)",IF(O62=[1]CURSOS!$D$9,"HUMANIZACION EN EL SERVICIO DE LA SALUD Y BUENAS PRACTICAS EN PACIENTE ",IF(O62=[1]CURSOS!$D$10,"CLINICA DE HERIDAS ",IF(O62=[1]CURSOS!$D$11,"TOMA DE CITOLOGIA CERVICO VAGINAL ",IF(O62=[1]CURSOS!$D$12,"SOPORTE CARDIOVASCULAR AVANZADO (ACLS) ",IF(O62=[1]CURSOS!$D$13,"CAMILLERO ",IF(O62=[1]CURSOS!$D$14,"TOMA DE MUESTRAS Y LABORATORIO ",IF(O62=[1]CURSOS!$D$15,"SOPORTE VITAL BASICO (BLS)",IF(O62=[1]CURSOS!$D$16,"ATENCION A VICTIMAS DE VIOLENCIA SEXUAL ",IF(O62=[1]CURSOS!$D$17,"PROGRAMADO AMPLIADO DE INMUNIZACION (PAI - COVID 19)",IF(O62=[1]CURSOS!$D$18,"ATENCION INTEGRAL EN ENFERMEDADES PREVALENTES EN PRIMERA INFANCIA (AIEPI)",IF(O62=[1]CURSOS!$D$19,"ADMINISTRACION DE MEDICAMENTOS, INYECTOLOGIA  Y CANALIZACION ",IF(O62=[1]CURSOS!$D$20,"OPERADOR DE VEHICULOS DE EMERGENCIA (OVE)",IF(O62=[1]CURSOS!$D$21,"INSTITUCIONES AMIGAS DE LA MUJER Y LA INFANCIA (IAMI)",IF(O62=[1]CURSOS!$D$22,"CUIDADO DEL DONANTE DE ORGANOS",IF(O62=[1]CURSOS!$D$23,"ATENCION A VICTIMAS POR VIOLENCIA DE GENERO",IF(O62=[1]CURSOS!$D$24,"IGUALDAD DE GENERO EN LA SALUD",IF(O62=[1]CURSOS!$D$25,"BRIGADA DE EMERGENCIA",IF(O62=[1]CURSOS!$D$26,"MANEJO DEL DOLOR Y CUIDADOS PALIATIVOS",IF(O62=[1]CURSOS!$D$27,"TOMA DE MUESTRAS Y LABORATORIO POCT",IF(O62=[1]CURSOS!$D$28,"IMPLANTE SUBDERMICO DE DISPOSITIVO INTRAUTERINO",IF(O62=[1]CURSOS!$D$29,"SALUD MENTAL",IF(O62=[1]CURSOS!$D$30,"PRIMEROS AUXILIOS PSICOLOGICOS",IF(O62=[1]CURSOS!$D$31,"ATENCION A VICTIMAS POR CONFLICTO ARMADO",IF(O62=[1]CURSOS!$D$32,"MANIPULACION DE ALIMENTOS Y BPM",IF(O62=[1]CURSOS!$D$33,"ATENCION A PERSONAS CON DISCAPACIDAD",IF(O62=[1]CURSOS!$D$34,"CUIDADO INTEGRAL DEL PACIENTE ADULTO",IF(O62=[1]CURSOS!$D$35,"MANEJO DEFENSIVO",IF(O62=[1]CURSOS!$D$36,"SOPORTE CARDIOVASCULAR AVANZADO NEONATAL",IF(O62=[1]CURSOS!$D$37,"SEGURIDAD DEL PACIENTE")))))))))))))))))))))))))))))))))))</f>
        <v>ACOMPAÑAMIENTO Y MANEJO DEL DUELO</v>
      </c>
      <c r="V62" s="52" t="str">
        <f t="shared" si="3"/>
        <v>Diana Sofia Macuase Chávez</v>
      </c>
      <c r="W62" s="52" t="str">
        <f t="shared" si="4"/>
        <v>Diana Sofia Macuase Chávez</v>
      </c>
      <c r="X62" s="52" t="str">
        <f t="shared" si="5"/>
        <v>Diana Sofia Macuase Chávez-1004216779-DUELO</v>
      </c>
    </row>
    <row r="63" spans="1:24" s="55" customFormat="1" x14ac:dyDescent="0.2">
      <c r="A63" s="17">
        <v>62</v>
      </c>
      <c r="B63" s="80">
        <v>1004216779</v>
      </c>
      <c r="C63" s="50" t="s">
        <v>540</v>
      </c>
      <c r="D63" s="50" t="s">
        <v>306</v>
      </c>
      <c r="E63" s="50" t="s">
        <v>143</v>
      </c>
      <c r="F63" s="187" t="s">
        <v>541</v>
      </c>
      <c r="G63" s="188">
        <v>8</v>
      </c>
      <c r="H63" s="171" t="s">
        <v>181</v>
      </c>
      <c r="I63" s="171" t="s">
        <v>517</v>
      </c>
      <c r="J63" s="182">
        <v>45517</v>
      </c>
      <c r="K63" s="181">
        <v>60000</v>
      </c>
      <c r="L63" s="188" t="s">
        <v>387</v>
      </c>
      <c r="M63" s="188" t="s">
        <v>86</v>
      </c>
      <c r="N63" s="188" t="s">
        <v>334</v>
      </c>
      <c r="O63" s="189" t="s">
        <v>43</v>
      </c>
      <c r="P63" s="50"/>
      <c r="Q63" s="122" t="s">
        <v>309</v>
      </c>
      <c r="R63" s="17" t="s">
        <v>543</v>
      </c>
      <c r="S63" s="80">
        <v>3016479612</v>
      </c>
      <c r="T63" s="50" t="s">
        <v>542</v>
      </c>
      <c r="U63" s="52" t="str">
        <f>IF(O63=[1]CURSOS!$D$3,"DIPLOMADO EN ATENCION PRE-HOSPITALARIA",IF(O63=[1]CURSOS!$D$4,"ACOMPAÑAMIENTO Y MANEJO DEL DUELO",IF(O63=[1]CURSOS!$D$5,"ATENCION A VICTIMAS DE ATAQUE CON AGENTES QUIMICOS ",IF(O63=[1]CURSOS!$D$6,"PRIMEROS AUXILIOS ",IF(O63=[1]CURSOS!$D$7,"DIPLOMADO DE UNIDAD DE CUIDADOS INTENSIVOS (UCI)",IF(O63=[1]CURSOS!$D$8,"MODELO DE ATENCION PARA EVENTOS EMERGENTES EN SALUD MENTAL (CODIGO VERDE)",IF(O63=[1]CURSOS!$D$9,"HUMANIZACION EN EL SERVICIO DE LA SALUD Y BUENAS PRACTICAS EN PACIENTE ",IF(O63=[1]CURSOS!$D$10,"CLINICA DE HERIDAS ",IF(O63=[1]CURSOS!$D$11,"TOMA DE CITOLOGIA CERVICO VAGINAL ",IF(O63=[1]CURSOS!$D$12,"SOPORTE CARDIOVASCULAR AVANZADO (ACLS) ",IF(O63=[1]CURSOS!$D$13,"CAMILLERO ",IF(O63=[1]CURSOS!$D$14,"TOMA DE MUESTRAS Y LABORATORIO ",IF(O63=[1]CURSOS!$D$15,"SOPORTE VITAL BASICO (BLS)",IF(O63=[1]CURSOS!$D$16,"ATENCION A VICTIMAS DE VIOLENCIA SEXUAL ",IF(O63=[1]CURSOS!$D$17,"PROGRAMADO AMPLIADO DE INMUNIZACION (PAI - COVID 19)",IF(O63=[1]CURSOS!$D$18,"ATENCION INTEGRAL EN ENFERMEDADES PREVALENTES EN PRIMERA INFANCIA (AIEPI)",IF(O63=[1]CURSOS!$D$19,"ADMINISTRACION DE MEDICAMENTOS, INYECTOLOGIA  Y CANALIZACION ",IF(O63=[1]CURSOS!$D$20,"OPERADOR DE VEHICULOS DE EMERGENCIA (OVE)",IF(O63=[1]CURSOS!$D$21,"INSTITUCIONES AMIGAS DE LA MUJER Y LA INFANCIA (IAMI)",IF(O63=[1]CURSOS!$D$22,"CUIDADO DEL DONANTE DE ORGANOS",IF(O63=[1]CURSOS!$D$23,"ATENCION A VICTIMAS POR VIOLENCIA DE GENERO",IF(O63=[1]CURSOS!$D$24,"IGUALDAD DE GENERO EN LA SALUD",IF(O63=[1]CURSOS!$D$25,"BRIGADA DE EMERGENCIA",IF(O63=[1]CURSOS!$D$26,"MANEJO DEL DOLOR Y CUIDADOS PALIATIVOS",IF(O63=[1]CURSOS!$D$27,"TOMA DE MUESTRAS Y LABORATORIO POCT",IF(O63=[1]CURSOS!$D$28,"IMPLANTE SUBDERMICO DE DISPOSITIVO INTRAUTERINO",IF(O63=[1]CURSOS!$D$29,"SALUD MENTAL",IF(O63=[1]CURSOS!$D$30,"PRIMEROS AUXILIOS PSICOLOGICOS",IF(O63=[1]CURSOS!$D$31,"ATENCION A VICTIMAS POR CONFLICTO ARMADO",IF(O63=[1]CURSOS!$D$32,"MANIPULACION DE ALIMENTOS Y BPM",IF(O63=[1]CURSOS!$D$33,"ATENCION A PERSONAS CON DISCAPACIDAD",IF(O63=[1]CURSOS!$D$34,"CUIDADO INTEGRAL DEL PACIENTE ADULTO",IF(O63=[1]CURSOS!$D$35,"MANEJO DEFENSIVO",IF(O63=[1]CURSOS!$D$36,"SOPORTE CARDIOVASCULAR AVANZADO NEONATAL",IF(O63=[1]CURSOS!$D$37,"SEGURIDAD DEL PACIENTE")))))))))))))))))))))))))))))))))))</f>
        <v xml:space="preserve">ATENCION A VICTIMAS DE VIOLENCIA SEXUAL </v>
      </c>
      <c r="V63" s="52" t="str">
        <f t="shared" si="3"/>
        <v>Diana Sofia Macuase Chávez</v>
      </c>
      <c r="W63" s="52" t="str">
        <f t="shared" si="4"/>
        <v>Diana Sofia Macuase Chávez</v>
      </c>
      <c r="X63" s="52" t="str">
        <f t="shared" si="5"/>
        <v>Diana Sofia Macuase Chávez-1004216779-VIOLENCIA SEXUAL</v>
      </c>
    </row>
    <row r="64" spans="1:24" s="55" customFormat="1" x14ac:dyDescent="0.2">
      <c r="A64" s="17">
        <v>63</v>
      </c>
      <c r="B64" s="80">
        <v>1004216779</v>
      </c>
      <c r="C64" s="50" t="s">
        <v>540</v>
      </c>
      <c r="D64" s="50" t="s">
        <v>306</v>
      </c>
      <c r="E64" s="50" t="s">
        <v>143</v>
      </c>
      <c r="F64" s="187" t="s">
        <v>541</v>
      </c>
      <c r="G64" s="188">
        <v>9</v>
      </c>
      <c r="H64" s="171" t="s">
        <v>181</v>
      </c>
      <c r="I64" s="171" t="s">
        <v>517</v>
      </c>
      <c r="J64" s="182">
        <v>45517</v>
      </c>
      <c r="K64" s="181">
        <v>60000</v>
      </c>
      <c r="L64" s="188" t="s">
        <v>387</v>
      </c>
      <c r="M64" s="188" t="s">
        <v>86</v>
      </c>
      <c r="N64" s="188" t="s">
        <v>334</v>
      </c>
      <c r="O64" s="189" t="s">
        <v>33</v>
      </c>
      <c r="P64" s="50"/>
      <c r="Q64" s="122" t="s">
        <v>309</v>
      </c>
      <c r="R64" s="17" t="s">
        <v>543</v>
      </c>
      <c r="S64" s="80">
        <v>3016479612</v>
      </c>
      <c r="T64" s="50" t="s">
        <v>542</v>
      </c>
      <c r="U64" s="52" t="str">
        <f>IF(O64=[1]CURSOS!$D$3,"DIPLOMADO EN ATENCION PRE-HOSPITALARIA",IF(O64=[1]CURSOS!$D$4,"ACOMPAÑAMIENTO Y MANEJO DEL DUELO",IF(O64=[1]CURSOS!$D$5,"ATENCION A VICTIMAS DE ATAQUE CON AGENTES QUIMICOS ",IF(O64=[1]CURSOS!$D$6,"PRIMEROS AUXILIOS ",IF(O64=[1]CURSOS!$D$7,"DIPLOMADO DE UNIDAD DE CUIDADOS INTENSIVOS (UCI)",IF(O64=[1]CURSOS!$D$8,"MODELO DE ATENCION PARA EVENTOS EMERGENTES EN SALUD MENTAL (CODIGO VERDE)",IF(O64=[1]CURSOS!$D$9,"HUMANIZACION EN EL SERVICIO DE LA SALUD Y BUENAS PRACTICAS EN PACIENTE ",IF(O64=[1]CURSOS!$D$10,"CLINICA DE HERIDAS ",IF(O64=[1]CURSOS!$D$11,"TOMA DE CITOLOGIA CERVICO VAGINAL ",IF(O64=[1]CURSOS!$D$12,"SOPORTE CARDIOVASCULAR AVANZADO (ACLS) ",IF(O64=[1]CURSOS!$D$13,"CAMILLERO ",IF(O64=[1]CURSOS!$D$14,"TOMA DE MUESTRAS Y LABORATORIO ",IF(O64=[1]CURSOS!$D$15,"SOPORTE VITAL BASICO (BLS)",IF(O64=[1]CURSOS!$D$16,"ATENCION A VICTIMAS DE VIOLENCIA SEXUAL ",IF(O64=[1]CURSOS!$D$17,"PROGRAMADO AMPLIADO DE INMUNIZACION (PAI - COVID 19)",IF(O64=[1]CURSOS!$D$18,"ATENCION INTEGRAL EN ENFERMEDADES PREVALENTES EN PRIMERA INFANCIA (AIEPI)",IF(O64=[1]CURSOS!$D$19,"ADMINISTRACION DE MEDICAMENTOS, INYECTOLOGIA  Y CANALIZACION ",IF(O64=[1]CURSOS!$D$20,"OPERADOR DE VEHICULOS DE EMERGENCIA (OVE)",IF(O64=[1]CURSOS!$D$21,"INSTITUCIONES AMIGAS DE LA MUJER Y LA INFANCIA (IAMI)",IF(O64=[1]CURSOS!$D$22,"CUIDADO DEL DONANTE DE ORGANOS",IF(O64=[1]CURSOS!$D$23,"ATENCION A VICTIMAS POR VIOLENCIA DE GENERO",IF(O64=[1]CURSOS!$D$24,"IGUALDAD DE GENERO EN LA SALUD",IF(O64=[1]CURSOS!$D$25,"BRIGADA DE EMERGENCIA",IF(O64=[1]CURSOS!$D$26,"MANEJO DEL DOLOR Y CUIDADOS PALIATIVOS",IF(O64=[1]CURSOS!$D$27,"TOMA DE MUESTRAS Y LABORATORIO POCT",IF(O64=[1]CURSOS!$D$28,"IMPLANTE SUBDERMICO DE DISPOSITIVO INTRAUTERINO",IF(O64=[1]CURSOS!$D$29,"SALUD MENTAL",IF(O64=[1]CURSOS!$D$30,"PRIMEROS AUXILIOS PSICOLOGICOS",IF(O64=[1]CURSOS!$D$31,"ATENCION A VICTIMAS POR CONFLICTO ARMADO",IF(O64=[1]CURSOS!$D$32,"MANIPULACION DE ALIMENTOS Y BPM",IF(O64=[1]CURSOS!$D$33,"ATENCION A PERSONAS CON DISCAPACIDAD",IF(O64=[1]CURSOS!$D$34,"CUIDADO INTEGRAL DEL PACIENTE ADULTO",IF(O64=[1]CURSOS!$D$35,"MANEJO DEFENSIVO",IF(O64=[1]CURSOS!$D$36,"SOPORTE CARDIOVASCULAR AVANZADO NEONATAL",IF(O64=[1]CURSOS!$D$37,"SEGURIDAD DEL PACIENTE")))))))))))))))))))))))))))))))))))</f>
        <v xml:space="preserve">HUMANIZACION EN EL SERVICIO DE LA SALUD Y BUENAS PRACTICAS EN PACIENTE </v>
      </c>
      <c r="V64" s="52" t="str">
        <f t="shared" si="3"/>
        <v>Diana Sofia Macuase Chávez</v>
      </c>
      <c r="W64" s="52" t="str">
        <f t="shared" si="4"/>
        <v>Diana Sofia Macuase Chávez</v>
      </c>
      <c r="X64" s="52" t="str">
        <f t="shared" si="5"/>
        <v>Diana Sofia Macuase Chávez-1004216779-HUMANIZACION</v>
      </c>
    </row>
    <row r="65" spans="1:24" s="55" customFormat="1" x14ac:dyDescent="0.2">
      <c r="A65" s="17">
        <v>64</v>
      </c>
      <c r="B65" s="80">
        <v>37123467</v>
      </c>
      <c r="C65" s="50" t="s">
        <v>544</v>
      </c>
      <c r="D65" s="50" t="s">
        <v>545</v>
      </c>
      <c r="E65" s="50" t="s">
        <v>546</v>
      </c>
      <c r="F65" s="187" t="s">
        <v>485</v>
      </c>
      <c r="G65" s="188">
        <v>12</v>
      </c>
      <c r="H65" s="171" t="s">
        <v>181</v>
      </c>
      <c r="I65" s="171" t="s">
        <v>519</v>
      </c>
      <c r="J65" s="182">
        <v>45517</v>
      </c>
      <c r="K65" s="181">
        <v>35000</v>
      </c>
      <c r="L65" s="188" t="s">
        <v>322</v>
      </c>
      <c r="M65" s="188" t="s">
        <v>86</v>
      </c>
      <c r="N65" s="188" t="s">
        <v>334</v>
      </c>
      <c r="O65" s="189" t="s">
        <v>46</v>
      </c>
      <c r="P65" s="18">
        <v>29622</v>
      </c>
      <c r="Q65" s="122" t="s">
        <v>309</v>
      </c>
      <c r="R65" s="17" t="s">
        <v>315</v>
      </c>
      <c r="S65" s="80">
        <v>3154105283</v>
      </c>
      <c r="T65" s="50" t="s">
        <v>547</v>
      </c>
      <c r="U65" s="52" t="str">
        <f>IF(O65=[1]CURSOS!$D$3,"DIPLOMADO EN ATENCION PRE-HOSPITALARIA",IF(O65=[1]CURSOS!$D$4,"ACOMPAÑAMIENTO Y MANEJO DEL DUELO",IF(O65=[1]CURSOS!$D$5,"ATENCION A VICTIMAS DE ATAQUE CON AGENTES QUIMICOS ",IF(O65=[1]CURSOS!$D$6,"PRIMEROS AUXILIOS ",IF(O65=[1]CURSOS!$D$7,"DIPLOMADO DE UNIDAD DE CUIDADOS INTENSIVOS (UCI)",IF(O65=[1]CURSOS!$D$8,"MODELO DE ATENCION PARA EVENTOS EMERGENTES EN SALUD MENTAL (CODIGO VERDE)",IF(O65=[1]CURSOS!$D$9,"HUMANIZACION EN EL SERVICIO DE LA SALUD Y BUENAS PRACTICAS EN PACIENTE ",IF(O65=[1]CURSOS!$D$10,"CLINICA DE HERIDAS ",IF(O65=[1]CURSOS!$D$11,"TOMA DE CITOLOGIA CERVICO VAGINAL ",IF(O65=[1]CURSOS!$D$12,"SOPORTE CARDIOVASCULAR AVANZADO (ACLS) ",IF(O65=[1]CURSOS!$D$13,"CAMILLERO ",IF(O65=[1]CURSOS!$D$14,"TOMA DE MUESTRAS Y LABORATORIO ",IF(O65=[1]CURSOS!$D$15,"SOPORTE VITAL BASICO (BLS)",IF(O65=[1]CURSOS!$D$16,"ATENCION A VICTIMAS DE VIOLENCIA SEXUAL ",IF(O65=[1]CURSOS!$D$17,"PROGRAMADO AMPLIADO DE INMUNIZACION (PAI - COVID 19)",IF(O65=[1]CURSOS!$D$18,"ATENCION INTEGRAL EN ENFERMEDADES PREVALENTES EN PRIMERA INFANCIA (AIEPI)",IF(O65=[1]CURSOS!$D$19,"ADMINISTRACION DE MEDICAMENTOS, INYECTOLOGIA  Y CANALIZACION ",IF(O65=[1]CURSOS!$D$20,"OPERADOR DE VEHICULOS DE EMERGENCIA (OVE)",IF(O65=[1]CURSOS!$D$21,"INSTITUCIONES AMIGAS DE LA MUJER Y LA INFANCIA (IAMI)",IF(O65=[1]CURSOS!$D$22,"CUIDADO DEL DONANTE DE ORGANOS",IF(O65=[1]CURSOS!$D$23,"ATENCION A VICTIMAS POR VIOLENCIA DE GENERO",IF(O65=[1]CURSOS!$D$24,"IGUALDAD DE GENERO EN LA SALUD",IF(O65=[1]CURSOS!$D$25,"BRIGADA DE EMERGENCIA",IF(O65=[1]CURSOS!$D$26,"MANEJO DEL DOLOR Y CUIDADOS PALIATIVOS",IF(O65=[1]CURSOS!$D$27,"TOMA DE MUESTRAS Y LABORATORIO POCT",IF(O65=[1]CURSOS!$D$28,"IMPLANTE SUBDERMICO DE DISPOSITIVO INTRAUTERINO",IF(O65=[1]CURSOS!$D$29,"SALUD MENTAL",IF(O65=[1]CURSOS!$D$30,"PRIMEROS AUXILIOS PSICOLOGICOS",IF(O65=[1]CURSOS!$D$31,"ATENCION A VICTIMAS POR CONFLICTO ARMADO",IF(O65=[1]CURSOS!$D$32,"MANIPULACION DE ALIMENTOS Y BPM",IF(O65=[1]CURSOS!$D$33,"ATENCION A PERSONAS CON DISCAPACIDAD",IF(O65=[1]CURSOS!$D$34,"CUIDADO INTEGRAL DEL PACIENTE ADULTO",IF(O65=[1]CURSOS!$D$35,"MANEJO DEFENSIVO",IF(O65=[1]CURSOS!$D$36,"SOPORTE CARDIOVASCULAR AVANZADO NEONATAL",IF(O65=[1]CURSOS!$D$37,"SEGURIDAD DEL PACIENTE")))))))))))))))))))))))))))))))))))</f>
        <v>ATENCION INTEGRAL EN ENFERMEDADES PREVALENTES EN PRIMERA INFANCIA (AIEPI)</v>
      </c>
      <c r="V65" s="52" t="str">
        <f t="shared" si="3"/>
        <v>Juana María Guaquez Cuasapud</v>
      </c>
      <c r="W65" s="52" t="str">
        <f t="shared" si="4"/>
        <v>Juana María Guaquez Cuasapud</v>
      </c>
      <c r="X65" s="52" t="str">
        <f t="shared" si="5"/>
        <v>Juana María Guaquez Cuasapud-37123467-AIEPI</v>
      </c>
    </row>
    <row r="66" spans="1:24" s="55" customFormat="1" x14ac:dyDescent="0.2">
      <c r="A66" s="17">
        <v>65</v>
      </c>
      <c r="B66" s="80">
        <v>37123467</v>
      </c>
      <c r="C66" s="50" t="s">
        <v>544</v>
      </c>
      <c r="D66" s="50" t="s">
        <v>545</v>
      </c>
      <c r="E66" s="50" t="s">
        <v>546</v>
      </c>
      <c r="F66" s="187" t="s">
        <v>485</v>
      </c>
      <c r="G66" s="188">
        <v>12</v>
      </c>
      <c r="H66" s="171" t="s">
        <v>181</v>
      </c>
      <c r="I66" s="171" t="s">
        <v>519</v>
      </c>
      <c r="J66" s="182">
        <v>45517</v>
      </c>
      <c r="K66" s="181">
        <v>35000</v>
      </c>
      <c r="L66" s="188" t="s">
        <v>322</v>
      </c>
      <c r="M66" s="188" t="s">
        <v>86</v>
      </c>
      <c r="N66" s="188" t="s">
        <v>334</v>
      </c>
      <c r="O66" s="189" t="s">
        <v>51</v>
      </c>
      <c r="P66" s="18">
        <v>29622</v>
      </c>
      <c r="Q66" s="122" t="s">
        <v>309</v>
      </c>
      <c r="R66" s="17" t="s">
        <v>315</v>
      </c>
      <c r="S66" s="80">
        <v>3154105283</v>
      </c>
      <c r="T66" s="50" t="s">
        <v>547</v>
      </c>
      <c r="U66" s="52" t="str">
        <f>IF(O66=[1]CURSOS!$D$3,"DIPLOMADO EN ATENCION PRE-HOSPITALARIA",IF(O66=[1]CURSOS!$D$4,"ACOMPAÑAMIENTO Y MANEJO DEL DUELO",IF(O66=[1]CURSOS!$D$5,"ATENCION A VICTIMAS DE ATAQUE CON AGENTES QUIMICOS ",IF(O66=[1]CURSOS!$D$6,"PRIMEROS AUXILIOS ",IF(O66=[1]CURSOS!$D$7,"DIPLOMADO DE UNIDAD DE CUIDADOS INTENSIVOS (UCI)",IF(O66=[1]CURSOS!$D$8,"MODELO DE ATENCION PARA EVENTOS EMERGENTES EN SALUD MENTAL (CODIGO VERDE)",IF(O66=[1]CURSOS!$D$9,"HUMANIZACION EN EL SERVICIO DE LA SALUD Y BUENAS PRACTICAS EN PACIENTE ",IF(O66=[1]CURSOS!$D$10,"CLINICA DE HERIDAS ",IF(O66=[1]CURSOS!$D$11,"TOMA DE CITOLOGIA CERVICO VAGINAL ",IF(O66=[1]CURSOS!$D$12,"SOPORTE CARDIOVASCULAR AVANZADO (ACLS) ",IF(O66=[1]CURSOS!$D$13,"CAMILLERO ",IF(O66=[1]CURSOS!$D$14,"TOMA DE MUESTRAS Y LABORATORIO ",IF(O66=[1]CURSOS!$D$15,"SOPORTE VITAL BASICO (BLS)",IF(O66=[1]CURSOS!$D$16,"ATENCION A VICTIMAS DE VIOLENCIA SEXUAL ",IF(O66=[1]CURSOS!$D$17,"PROGRAMADO AMPLIADO DE INMUNIZACION (PAI - COVID 19)",IF(O66=[1]CURSOS!$D$18,"ATENCION INTEGRAL EN ENFERMEDADES PREVALENTES EN PRIMERA INFANCIA (AIEPI)",IF(O66=[1]CURSOS!$D$19,"ADMINISTRACION DE MEDICAMENTOS, INYECTOLOGIA  Y CANALIZACION ",IF(O66=[1]CURSOS!$D$20,"OPERADOR DE VEHICULOS DE EMERGENCIA (OVE)",IF(O66=[1]CURSOS!$D$21,"INSTITUCIONES AMIGAS DE LA MUJER Y LA INFANCIA (IAMI)",IF(O66=[1]CURSOS!$D$22,"CUIDADO DEL DONANTE DE ORGANOS",IF(O66=[1]CURSOS!$D$23,"ATENCION A VICTIMAS POR VIOLENCIA DE GENERO",IF(O66=[1]CURSOS!$D$24,"IGUALDAD DE GENERO EN LA SALUD",IF(O66=[1]CURSOS!$D$25,"BRIGADA DE EMERGENCIA",IF(O66=[1]CURSOS!$D$26,"MANEJO DEL DOLOR Y CUIDADOS PALIATIVOS",IF(O66=[1]CURSOS!$D$27,"TOMA DE MUESTRAS Y LABORATORIO POCT",IF(O66=[1]CURSOS!$D$28,"IMPLANTE SUBDERMICO DE DISPOSITIVO INTRAUTERINO",IF(O66=[1]CURSOS!$D$29,"SALUD MENTAL",IF(O66=[1]CURSOS!$D$30,"PRIMEROS AUXILIOS PSICOLOGICOS",IF(O66=[1]CURSOS!$D$31,"ATENCION A VICTIMAS POR CONFLICTO ARMADO",IF(O66=[1]CURSOS!$D$32,"MANIPULACION DE ALIMENTOS Y BPM",IF(O66=[1]CURSOS!$D$33,"ATENCION A PERSONAS CON DISCAPACIDAD",IF(O66=[1]CURSOS!$D$34,"CUIDADO INTEGRAL DEL PACIENTE ADULTO",IF(O66=[1]CURSOS!$D$35,"MANEJO DEFENSIVO",IF(O66=[1]CURSOS!$D$36,"SOPORTE CARDIOVASCULAR AVANZADO NEONATAL",IF(O66=[1]CURSOS!$D$37,"SEGURIDAD DEL PACIENTE")))))))))))))))))))))))))))))))))))</f>
        <v>INSTITUCIONES AMIGAS DE LA MUJER Y LA INFANCIA (IAMI)</v>
      </c>
      <c r="V66" s="52" t="str">
        <f t="shared" ref="V66:V75" si="6">CONCATENATE(E66," ",F66," ",C66," ",D66)</f>
        <v>Juana María Guaquez Cuasapud</v>
      </c>
      <c r="W66" s="52" t="str">
        <f t="shared" ref="W66:W75" si="7">+PROPER(V66)</f>
        <v>Juana María Guaquez Cuasapud</v>
      </c>
      <c r="X66" s="52" t="str">
        <f t="shared" ref="X66:X75" si="8">CONCATENATE(V66,"-",B66,"-",O66)</f>
        <v>Juana María Guaquez Cuasapud-37123467-IAMI</v>
      </c>
    </row>
    <row r="67" spans="1:24" x14ac:dyDescent="0.2">
      <c r="A67" s="17">
        <v>66</v>
      </c>
      <c r="B67" s="61">
        <v>1126564505</v>
      </c>
      <c r="C67" s="127" t="s">
        <v>454</v>
      </c>
      <c r="D67" s="127" t="s">
        <v>188</v>
      </c>
      <c r="E67" s="127" t="s">
        <v>529</v>
      </c>
      <c r="F67" s="127" t="s">
        <v>89</v>
      </c>
      <c r="G67" s="128">
        <v>12</v>
      </c>
      <c r="H67" s="63" t="s">
        <v>181</v>
      </c>
      <c r="I67" s="63" t="s">
        <v>519</v>
      </c>
      <c r="J67" s="16">
        <v>45517</v>
      </c>
      <c r="K67" s="19">
        <v>0</v>
      </c>
      <c r="L67" s="66" t="s">
        <v>556</v>
      </c>
      <c r="M67" s="128" t="s">
        <v>86</v>
      </c>
      <c r="N67" s="128" t="s">
        <v>326</v>
      </c>
      <c r="O67" s="129" t="s">
        <v>19</v>
      </c>
      <c r="P67" s="64">
        <v>32584</v>
      </c>
      <c r="Q67" s="130" t="s">
        <v>316</v>
      </c>
      <c r="R67" s="76" t="s">
        <v>432</v>
      </c>
      <c r="S67" s="61">
        <v>3147675187</v>
      </c>
      <c r="T67" s="127" t="s">
        <v>536</v>
      </c>
      <c r="U67" s="131" t="str">
        <f>IF(O67=[1]CURSOS!$D$3,"DIPLOMADO EN ATENCION PRE-HOSPITALARIA",IF(O67=[1]CURSOS!$D$4,"ACOMPAÑAMIENTO Y MANEJO DEL DUELO",IF(O67=[1]CURSOS!$D$5,"ATENCION A VICTIMAS DE ATAQUE CON AGENTES QUIMICOS ",IF(O67=[1]CURSOS!$D$6,"PRIMEROS AUXILIOS ",IF(O67=[1]CURSOS!$D$7,"DIPLOMADO DE UNIDAD DE CUIDADOS INTENSIVOS (UCI)",IF(O67=[1]CURSOS!$D$8,"MODELO DE ATENCION PARA EVENTOS EMERGENTES EN SALUD MENTAL (CODIGO VERDE)",IF(O67=[1]CURSOS!$D$9,"HUMANIZACION EN EL SERVICIO DE LA SALUD Y BUENAS PRACTICAS EN PACIENTE ",IF(O67=[1]CURSOS!$D$10,"CLINICA DE HERIDAS ",IF(O67=[1]CURSOS!$D$11,"TOMA DE CITOLOGIA CERVICO VAGINAL ",IF(O67=[1]CURSOS!$D$12,"SOPORTE CARDIOVASCULAR AVANZADO (ACLS) ",IF(O67=[1]CURSOS!$D$13,"CAMILLERO ",IF(O67=[1]CURSOS!$D$14,"TOMA DE MUESTRAS Y LABORATORIO ",IF(O67=[1]CURSOS!$D$15,"SOPORTE VITAL BASICO (BLS)",IF(O67=[1]CURSOS!$D$16,"ATENCION A VICTIMAS DE VIOLENCIA SEXUAL ",IF(O67=[1]CURSOS!$D$17,"PROGRAMADO AMPLIADO DE INMUNIZACION (PAI - COVID 19)",IF(O67=[1]CURSOS!$D$18,"ATENCION INTEGRAL EN ENFERMEDADES PREVALENTES EN PRIMERA INFANCIA (AIEPI)",IF(O67=[1]CURSOS!$D$19,"ADMINISTRACION DE MEDICAMENTOS, INYECTOLOGIA  Y CANALIZACION ",IF(O67=[1]CURSOS!$D$20,"OPERADOR DE VEHICULOS DE EMERGENCIA (OVE)",IF(O67=[1]CURSOS!$D$21,"INSTITUCIONES AMIGAS DE LA MUJER Y LA INFANCIA (IAMI)",IF(O67=[1]CURSOS!$D$22,"CUIDADO DEL DONANTE DE ORGANOS",IF(O67=[1]CURSOS!$D$23,"ATENCION A VICTIMAS POR VIOLENCIA DE GENERO",IF(O67=[1]CURSOS!$D$24,"IGUALDAD DE GENERO EN LA SALUD",IF(O67=[1]CURSOS!$D$25,"BRIGADA DE EMERGENCIA",IF(O67=[1]CURSOS!$D$26,"MANEJO DEL DOLOR Y CUIDADOS PALIATIVOS",IF(O67=[1]CURSOS!$D$27,"TOMA DE MUESTRAS Y LABORATORIO POCT",IF(O67=[1]CURSOS!$D$28,"IMPLANTE SUBDERMICO DE DISPOSITIVO INTRAUTERINO",IF(O67=[1]CURSOS!$D$29,"SALUD MENTAL",IF(O67=[1]CURSOS!$D$30,"PRIMEROS AUXILIOS PSICOLOGICOS",IF(O67=[1]CURSOS!$D$31,"ATENCION A VICTIMAS POR CONFLICTO ARMADO",IF(O67=[1]CURSOS!$D$32,"MANIPULACION DE ALIMENTOS Y BPM",IF(O67=[1]CURSOS!$D$33,"ATENCION A PERSONAS CON DISCAPACIDAD",IF(O67=[1]CURSOS!$D$34,"CUIDADO INTEGRAL DEL PACIENTE ADULTO",IF(O67=[1]CURSOS!$D$35,"MANEJO DEFENSIVO",IF(O67=[1]CURSOS!$D$36,"SOPORTE CARDIOVASCULAR AVANZADO NEONATAL",IF(O67=[1]CURSOS!$D$37,"SEGURIDAD DEL PACIENTE")))))))))))))))))))))))))))))))))))</f>
        <v>SOPORTE VITAL BASICO (BLS)</v>
      </c>
      <c r="V67" s="131" t="str">
        <f t="shared" si="6"/>
        <v>Jorge Mauricio Obando Campaña</v>
      </c>
      <c r="W67" s="132" t="str">
        <f t="shared" si="7"/>
        <v>Jorge Mauricio Obando Campaña</v>
      </c>
      <c r="X67" s="131" t="str">
        <f t="shared" si="8"/>
        <v>Jorge Mauricio Obando Campaña-1126564505-BLS</v>
      </c>
    </row>
    <row r="68" spans="1:24" s="55" customFormat="1" x14ac:dyDescent="0.2">
      <c r="A68" s="17">
        <v>67</v>
      </c>
      <c r="B68" s="80">
        <v>1126564505</v>
      </c>
      <c r="C68" s="50" t="s">
        <v>454</v>
      </c>
      <c r="D68" s="50" t="s">
        <v>188</v>
      </c>
      <c r="E68" s="50" t="s">
        <v>529</v>
      </c>
      <c r="F68" s="187" t="s">
        <v>89</v>
      </c>
      <c r="G68" s="188">
        <v>12</v>
      </c>
      <c r="H68" s="171" t="s">
        <v>181</v>
      </c>
      <c r="I68" s="171" t="s">
        <v>519</v>
      </c>
      <c r="J68" s="182">
        <v>45517</v>
      </c>
      <c r="K68" s="181">
        <v>130000</v>
      </c>
      <c r="L68" s="188" t="s">
        <v>328</v>
      </c>
      <c r="M68" s="188" t="s">
        <v>86</v>
      </c>
      <c r="N68" s="188" t="s">
        <v>326</v>
      </c>
      <c r="O68" s="189" t="s">
        <v>38</v>
      </c>
      <c r="P68" s="18">
        <v>32584</v>
      </c>
      <c r="Q68" s="66" t="s">
        <v>316</v>
      </c>
      <c r="R68" s="17" t="s">
        <v>432</v>
      </c>
      <c r="S68" s="50">
        <v>3147675187</v>
      </c>
      <c r="T68" s="50" t="s">
        <v>536</v>
      </c>
      <c r="U68" s="52" t="str">
        <f>IF(O68=[1]CURSOS!$D$3,"DIPLOMADO EN ATENCION PRE-HOSPITALARIA",IF(O68=[1]CURSOS!$D$4,"ACOMPAÑAMIENTO Y MANEJO DEL DUELO",IF(O68=[1]CURSOS!$D$5,"ATENCION A VICTIMAS DE ATAQUE CON AGENTES QUIMICOS ",IF(O68=[1]CURSOS!$D$6,"PRIMEROS AUXILIOS ",IF(O68=[1]CURSOS!$D$7,"DIPLOMADO DE UNIDAD DE CUIDADOS INTENSIVOS (UCI)",IF(O68=[1]CURSOS!$D$8,"MODELO DE ATENCION PARA EVENTOS EMERGENTES EN SALUD MENTAL (CODIGO VERDE)",IF(O68=[1]CURSOS!$D$9,"HUMANIZACION EN EL SERVICIO DE LA SALUD Y BUENAS PRACTICAS EN PACIENTE ",IF(O68=[1]CURSOS!$D$10,"CLINICA DE HERIDAS ",IF(O68=[1]CURSOS!$D$11,"TOMA DE CITOLOGIA CERVICO VAGINAL ",IF(O68=[1]CURSOS!$D$12,"SOPORTE CARDIOVASCULAR AVANZADO (ACLS) ",IF(O68=[1]CURSOS!$D$13,"CAMILLERO ",IF(O68=[1]CURSOS!$D$14,"TOMA DE MUESTRAS Y LABORATORIO ",IF(O68=[1]CURSOS!$D$15,"SOPORTE VITAL BASICO (BLS)",IF(O68=[1]CURSOS!$D$16,"ATENCION A VICTIMAS DE VIOLENCIA SEXUAL ",IF(O68=[1]CURSOS!$D$17,"PROGRAMADO AMPLIADO DE INMUNIZACION (PAI - COVID 19)",IF(O68=[1]CURSOS!$D$18,"ATENCION INTEGRAL EN ENFERMEDADES PREVALENTES EN PRIMERA INFANCIA (AIEPI)",IF(O68=[1]CURSOS!$D$19,"ADMINISTRACION DE MEDICAMENTOS, INYECTOLOGIA  Y CANALIZACION ",IF(O68=[1]CURSOS!$D$20,"OPERADOR DE VEHICULOS DE EMERGENCIA (OVE)",IF(O68=[1]CURSOS!$D$21,"INSTITUCIONES AMIGAS DE LA MUJER Y LA INFANCIA (IAMI)",IF(O68=[1]CURSOS!$D$22,"CUIDADO DEL DONANTE DE ORGANOS",IF(O68=[1]CURSOS!$D$23,"ATENCION A VICTIMAS POR VIOLENCIA DE GENERO",IF(O68=[1]CURSOS!$D$24,"IGUALDAD DE GENERO EN LA SALUD",IF(O68=[1]CURSOS!$D$25,"BRIGADA DE EMERGENCIA",IF(O68=[1]CURSOS!$D$26,"MANEJO DEL DOLOR Y CUIDADOS PALIATIVOS",IF(O68=[1]CURSOS!$D$27,"TOMA DE MUESTRAS Y LABORATORIO POCT",IF(O68=[1]CURSOS!$D$28,"IMPLANTE SUBDERMICO DE DISPOSITIVO INTRAUTERINO",IF(O68=[1]CURSOS!$D$29,"SALUD MENTAL",IF(O68=[1]CURSOS!$D$30,"PRIMEROS AUXILIOS PSICOLOGICOS",IF(O68=[1]CURSOS!$D$31,"ATENCION A VICTIMAS POR CONFLICTO ARMADO",IF(O68=[1]CURSOS!$D$32,"MANIPULACION DE ALIMENTOS Y BPM",IF(O68=[1]CURSOS!$D$33,"ATENCION A PERSONAS CON DISCAPACIDAD",IF(O68=[1]CURSOS!$D$34,"CUIDADO INTEGRAL DEL PACIENTE ADULTO",IF(O68=[1]CURSOS!$D$35,"MANEJO DEFENSIVO",IF(O68=[1]CURSOS!$D$36,"SOPORTE CARDIOVASCULAR AVANZADO NEONATAL",IF(O68=[1]CURSOS!$D$37,"SEGURIDAD DEL PACIENTE")))))))))))))))))))))))))))))))))))</f>
        <v xml:space="preserve">SOPORTE CARDIOVASCULAR AVANZADO (ACLS) </v>
      </c>
      <c r="V68" s="52" t="str">
        <f t="shared" si="6"/>
        <v>Jorge Mauricio Obando Campaña</v>
      </c>
      <c r="W68" s="52" t="str">
        <f t="shared" si="7"/>
        <v>Jorge Mauricio Obando Campaña</v>
      </c>
      <c r="X68" s="52" t="str">
        <f t="shared" si="8"/>
        <v>Jorge Mauricio Obando Campaña-1126564505-ACLS</v>
      </c>
    </row>
    <row r="69" spans="1:24" s="55" customFormat="1" x14ac:dyDescent="0.2">
      <c r="A69" s="17">
        <v>68</v>
      </c>
      <c r="B69" s="80">
        <v>1083812298</v>
      </c>
      <c r="C69" s="50" t="s">
        <v>548</v>
      </c>
      <c r="D69" s="50" t="s">
        <v>150</v>
      </c>
      <c r="E69" s="50" t="s">
        <v>549</v>
      </c>
      <c r="F69" s="187" t="s">
        <v>550</v>
      </c>
      <c r="G69" s="188">
        <v>13</v>
      </c>
      <c r="H69" s="171" t="s">
        <v>181</v>
      </c>
      <c r="I69" s="171" t="s">
        <v>519</v>
      </c>
      <c r="J69" s="182">
        <v>45517</v>
      </c>
      <c r="K69" s="181">
        <v>30000</v>
      </c>
      <c r="L69" s="188" t="s">
        <v>328</v>
      </c>
      <c r="M69" s="188" t="s">
        <v>86</v>
      </c>
      <c r="N69" s="188" t="s">
        <v>334</v>
      </c>
      <c r="O69" s="189" t="s">
        <v>25</v>
      </c>
      <c r="P69" s="18">
        <v>31830</v>
      </c>
      <c r="Q69" s="66" t="s">
        <v>316</v>
      </c>
      <c r="R69" s="17" t="s">
        <v>432</v>
      </c>
      <c r="S69" s="50">
        <v>3127102466</v>
      </c>
      <c r="T69" s="50" t="s">
        <v>551</v>
      </c>
      <c r="U69" s="52" t="str">
        <f>IF(O69=[1]CURSOS!$D$3,"DIPLOMADO EN ATENCION PRE-HOSPITALARIA",IF(O69=[1]CURSOS!$D$4,"ACOMPAÑAMIENTO Y MANEJO DEL DUELO",IF(O69=[1]CURSOS!$D$5,"ATENCION A VICTIMAS DE ATAQUE CON AGENTES QUIMICOS ",IF(O69=[1]CURSOS!$D$6,"PRIMEROS AUXILIOS ",IF(O69=[1]CURSOS!$D$7,"DIPLOMADO DE UNIDAD DE CUIDADOS INTENSIVOS (UCI)",IF(O69=[1]CURSOS!$D$8,"MODELO DE ATENCION PARA EVENTOS EMERGENTES EN SALUD MENTAL (CODIGO VERDE)",IF(O69=[1]CURSOS!$D$9,"HUMANIZACION EN EL SERVICIO DE LA SALUD Y BUENAS PRACTICAS EN PACIENTE ",IF(O69=[1]CURSOS!$D$10,"CLINICA DE HERIDAS ",IF(O69=[1]CURSOS!$D$11,"TOMA DE CITOLOGIA CERVICO VAGINAL ",IF(O69=[1]CURSOS!$D$12,"SOPORTE CARDIOVASCULAR AVANZADO (ACLS) ",IF(O69=[1]CURSOS!$D$13,"CAMILLERO ",IF(O69=[1]CURSOS!$D$14,"TOMA DE MUESTRAS Y LABORATORIO ",IF(O69=[1]CURSOS!$D$15,"SOPORTE VITAL BASICO (BLS)",IF(O69=[1]CURSOS!$D$16,"ATENCION A VICTIMAS DE VIOLENCIA SEXUAL ",IF(O69=[1]CURSOS!$D$17,"PROGRAMADO AMPLIADO DE INMUNIZACION (PAI - COVID 19)",IF(O69=[1]CURSOS!$D$18,"ATENCION INTEGRAL EN ENFERMEDADES PREVALENTES EN PRIMERA INFANCIA (AIEPI)",IF(O69=[1]CURSOS!$D$19,"ADMINISTRACION DE MEDICAMENTOS, INYECTOLOGIA  Y CANALIZACION ",IF(O69=[1]CURSOS!$D$20,"OPERADOR DE VEHICULOS DE EMERGENCIA (OVE)",IF(O69=[1]CURSOS!$D$21,"INSTITUCIONES AMIGAS DE LA MUJER Y LA INFANCIA (IAMI)",IF(O69=[1]CURSOS!$D$22,"CUIDADO DEL DONANTE DE ORGANOS",IF(O69=[1]CURSOS!$D$23,"ATENCION A VICTIMAS POR VIOLENCIA DE GENERO",IF(O69=[1]CURSOS!$D$24,"IGUALDAD DE GENERO EN LA SALUD",IF(O69=[1]CURSOS!$D$25,"BRIGADA DE EMERGENCIA",IF(O69=[1]CURSOS!$D$26,"MANEJO DEL DOLOR Y CUIDADOS PALIATIVOS",IF(O69=[1]CURSOS!$D$27,"TOMA DE MUESTRAS Y LABORATORIO POCT",IF(O69=[1]CURSOS!$D$28,"IMPLANTE SUBDERMICO DE DISPOSITIVO INTRAUTERINO",IF(O69=[1]CURSOS!$D$29,"SALUD MENTAL",IF(O69=[1]CURSOS!$D$30,"PRIMEROS AUXILIOS PSICOLOGICOS",IF(O69=[1]CURSOS!$D$31,"ATENCION A VICTIMAS POR CONFLICTO ARMADO",IF(O69=[1]CURSOS!$D$32,"MANIPULACION DE ALIMENTOS Y BPM",IF(O69=[1]CURSOS!$D$33,"ATENCION A PERSONAS CON DISCAPACIDAD",IF(O69=[1]CURSOS!$D$34,"CUIDADO INTEGRAL DEL PACIENTE ADULTO",IF(O69=[1]CURSOS!$D$35,"MANEJO DEFENSIVO",IF(O69=[1]CURSOS!$D$36,"SOPORTE CARDIOVASCULAR AVANZADO NEONATAL",IF(O69=[1]CURSOS!$D$37,"SEGURIDAD DEL PACIENTE")))))))))))))))))))))))))))))))))))</f>
        <v xml:space="preserve">ATENCION A VICTIMAS DE ATAQUE CON AGENTES QUIMICOS </v>
      </c>
      <c r="V69" s="52" t="str">
        <f t="shared" si="6"/>
        <v>Danny Alexander Bravo Bolaños</v>
      </c>
      <c r="W69" s="52" t="str">
        <f t="shared" si="7"/>
        <v>Danny Alexander Bravo Bolaños</v>
      </c>
      <c r="X69" s="52" t="str">
        <f t="shared" si="8"/>
        <v>Danny Alexander Bravo Bolaños-1083812298-QUIMICOS</v>
      </c>
    </row>
    <row r="70" spans="1:24" s="55" customFormat="1" x14ac:dyDescent="0.2">
      <c r="A70" s="17">
        <v>69</v>
      </c>
      <c r="B70" s="80">
        <v>1083812298</v>
      </c>
      <c r="C70" s="50" t="s">
        <v>548</v>
      </c>
      <c r="D70" s="50" t="s">
        <v>150</v>
      </c>
      <c r="E70" s="50" t="s">
        <v>549</v>
      </c>
      <c r="F70" s="187" t="s">
        <v>550</v>
      </c>
      <c r="G70" s="188">
        <v>11</v>
      </c>
      <c r="H70" s="171" t="s">
        <v>181</v>
      </c>
      <c r="I70" s="171" t="s">
        <v>519</v>
      </c>
      <c r="J70" s="182">
        <v>45517</v>
      </c>
      <c r="K70" s="181">
        <v>30000</v>
      </c>
      <c r="L70" s="188" t="s">
        <v>328</v>
      </c>
      <c r="M70" s="188" t="s">
        <v>86</v>
      </c>
      <c r="N70" s="188" t="s">
        <v>334</v>
      </c>
      <c r="O70" s="189" t="s">
        <v>23</v>
      </c>
      <c r="P70" s="18">
        <v>31830</v>
      </c>
      <c r="Q70" s="66" t="s">
        <v>316</v>
      </c>
      <c r="R70" s="17" t="s">
        <v>432</v>
      </c>
      <c r="S70" s="50">
        <v>3127102466</v>
      </c>
      <c r="T70" s="50" t="s">
        <v>551</v>
      </c>
      <c r="U70" s="52" t="str">
        <f>IF(O70=[1]CURSOS!$D$3,"DIPLOMADO EN ATENCION PRE-HOSPITALARIA",IF(O70=[1]CURSOS!$D$4,"ACOMPAÑAMIENTO Y MANEJO DEL DUELO",IF(O70=[1]CURSOS!$D$5,"ATENCION A VICTIMAS DE ATAQUE CON AGENTES QUIMICOS ",IF(O70=[1]CURSOS!$D$6,"PRIMEROS AUXILIOS ",IF(O70=[1]CURSOS!$D$7,"DIPLOMADO DE UNIDAD DE CUIDADOS INTENSIVOS (UCI)",IF(O70=[1]CURSOS!$D$8,"MODELO DE ATENCION PARA EVENTOS EMERGENTES EN SALUD MENTAL (CODIGO VERDE)",IF(O70=[1]CURSOS!$D$9,"HUMANIZACION EN EL SERVICIO DE LA SALUD Y BUENAS PRACTICAS EN PACIENTE ",IF(O70=[1]CURSOS!$D$10,"CLINICA DE HERIDAS ",IF(O70=[1]CURSOS!$D$11,"TOMA DE CITOLOGIA CERVICO VAGINAL ",IF(O70=[1]CURSOS!$D$12,"SOPORTE CARDIOVASCULAR AVANZADO (ACLS) ",IF(O70=[1]CURSOS!$D$13,"CAMILLERO ",IF(O70=[1]CURSOS!$D$14,"TOMA DE MUESTRAS Y LABORATORIO ",IF(O70=[1]CURSOS!$D$15,"SOPORTE VITAL BASICO (BLS)",IF(O70=[1]CURSOS!$D$16,"ATENCION A VICTIMAS DE VIOLENCIA SEXUAL ",IF(O70=[1]CURSOS!$D$17,"PROGRAMADO AMPLIADO DE INMUNIZACION (PAI - COVID 19)",IF(O70=[1]CURSOS!$D$18,"ATENCION INTEGRAL EN ENFERMEDADES PREVALENTES EN PRIMERA INFANCIA (AIEPI)",IF(O70=[1]CURSOS!$D$19,"ADMINISTRACION DE MEDICAMENTOS, INYECTOLOGIA  Y CANALIZACION ",IF(O70=[1]CURSOS!$D$20,"OPERADOR DE VEHICULOS DE EMERGENCIA (OVE)",IF(O70=[1]CURSOS!$D$21,"INSTITUCIONES AMIGAS DE LA MUJER Y LA INFANCIA (IAMI)",IF(O70=[1]CURSOS!$D$22,"CUIDADO DEL DONANTE DE ORGANOS",IF(O70=[1]CURSOS!$D$23,"ATENCION A VICTIMAS POR VIOLENCIA DE GENERO",IF(O70=[1]CURSOS!$D$24,"IGUALDAD DE GENERO EN LA SALUD",IF(O70=[1]CURSOS!$D$25,"BRIGADA DE EMERGENCIA",IF(O70=[1]CURSOS!$D$26,"MANEJO DEL DOLOR Y CUIDADOS PALIATIVOS",IF(O70=[1]CURSOS!$D$27,"TOMA DE MUESTRAS Y LABORATORIO POCT",IF(O70=[1]CURSOS!$D$28,"IMPLANTE SUBDERMICO DE DISPOSITIVO INTRAUTERINO",IF(O70=[1]CURSOS!$D$29,"SALUD MENTAL",IF(O70=[1]CURSOS!$D$30,"PRIMEROS AUXILIOS PSICOLOGICOS",IF(O70=[1]CURSOS!$D$31,"ATENCION A VICTIMAS POR CONFLICTO ARMADO",IF(O70=[1]CURSOS!$D$32,"MANIPULACION DE ALIMENTOS Y BPM",IF(O70=[1]CURSOS!$D$33,"ATENCION A PERSONAS CON DISCAPACIDAD",IF(O70=[1]CURSOS!$D$34,"CUIDADO INTEGRAL DEL PACIENTE ADULTO",IF(O70=[1]CURSOS!$D$35,"MANEJO DEFENSIVO",IF(O70=[1]CURSOS!$D$36,"SOPORTE CARDIOVASCULAR AVANZADO NEONATAL",IF(O70=[1]CURSOS!$D$37,"SEGURIDAD DEL PACIENTE")))))))))))))))))))))))))))))))))))</f>
        <v>ACOMPAÑAMIENTO Y MANEJO DEL DUELO</v>
      </c>
      <c r="V70" s="52" t="str">
        <f t="shared" si="6"/>
        <v>Danny Alexander Bravo Bolaños</v>
      </c>
      <c r="W70" s="52" t="str">
        <f t="shared" si="7"/>
        <v>Danny Alexander Bravo Bolaños</v>
      </c>
      <c r="X70" s="52" t="str">
        <f t="shared" si="8"/>
        <v>Danny Alexander Bravo Bolaños-1083812298-DUELO</v>
      </c>
    </row>
    <row r="71" spans="1:24" s="55" customFormat="1" x14ac:dyDescent="0.2">
      <c r="A71" s="17">
        <v>70</v>
      </c>
      <c r="B71" s="80">
        <v>1083812298</v>
      </c>
      <c r="C71" s="50" t="s">
        <v>548</v>
      </c>
      <c r="D71" s="50" t="s">
        <v>150</v>
      </c>
      <c r="E71" s="50" t="s">
        <v>549</v>
      </c>
      <c r="F71" s="187" t="s">
        <v>550</v>
      </c>
      <c r="G71" s="188">
        <v>12</v>
      </c>
      <c r="H71" s="171" t="s">
        <v>181</v>
      </c>
      <c r="I71" s="171" t="s">
        <v>519</v>
      </c>
      <c r="J71" s="182">
        <v>45517</v>
      </c>
      <c r="K71" s="181">
        <v>120000</v>
      </c>
      <c r="L71" s="188" t="s">
        <v>328</v>
      </c>
      <c r="M71" s="188" t="s">
        <v>86</v>
      </c>
      <c r="N71" s="188" t="s">
        <v>334</v>
      </c>
      <c r="O71" s="189" t="s">
        <v>38</v>
      </c>
      <c r="P71" s="18">
        <v>31830</v>
      </c>
      <c r="Q71" s="66" t="s">
        <v>316</v>
      </c>
      <c r="R71" s="17" t="s">
        <v>432</v>
      </c>
      <c r="S71" s="50">
        <v>3127102466</v>
      </c>
      <c r="T71" s="50" t="s">
        <v>551</v>
      </c>
      <c r="U71" s="52" t="str">
        <f>IF(O71=[1]CURSOS!$D$3,"DIPLOMADO EN ATENCION PRE-HOSPITALARIA",IF(O71=[1]CURSOS!$D$4,"ACOMPAÑAMIENTO Y MANEJO DEL DUELO",IF(O71=[1]CURSOS!$D$5,"ATENCION A VICTIMAS DE ATAQUE CON AGENTES QUIMICOS ",IF(O71=[1]CURSOS!$D$6,"PRIMEROS AUXILIOS ",IF(O71=[1]CURSOS!$D$7,"DIPLOMADO DE UNIDAD DE CUIDADOS INTENSIVOS (UCI)",IF(O71=[1]CURSOS!$D$8,"MODELO DE ATENCION PARA EVENTOS EMERGENTES EN SALUD MENTAL (CODIGO VERDE)",IF(O71=[1]CURSOS!$D$9,"HUMANIZACION EN EL SERVICIO DE LA SALUD Y BUENAS PRACTICAS EN PACIENTE ",IF(O71=[1]CURSOS!$D$10,"CLINICA DE HERIDAS ",IF(O71=[1]CURSOS!$D$11,"TOMA DE CITOLOGIA CERVICO VAGINAL ",IF(O71=[1]CURSOS!$D$12,"SOPORTE CARDIOVASCULAR AVANZADO (ACLS) ",IF(O71=[1]CURSOS!$D$13,"CAMILLERO ",IF(O71=[1]CURSOS!$D$14,"TOMA DE MUESTRAS Y LABORATORIO ",IF(O71=[1]CURSOS!$D$15,"SOPORTE VITAL BASICO (BLS)",IF(O71=[1]CURSOS!$D$16,"ATENCION A VICTIMAS DE VIOLENCIA SEXUAL ",IF(O71=[1]CURSOS!$D$17,"PROGRAMADO AMPLIADO DE INMUNIZACION (PAI - COVID 19)",IF(O71=[1]CURSOS!$D$18,"ATENCION INTEGRAL EN ENFERMEDADES PREVALENTES EN PRIMERA INFANCIA (AIEPI)",IF(O71=[1]CURSOS!$D$19,"ADMINISTRACION DE MEDICAMENTOS, INYECTOLOGIA  Y CANALIZACION ",IF(O71=[1]CURSOS!$D$20,"OPERADOR DE VEHICULOS DE EMERGENCIA (OVE)",IF(O71=[1]CURSOS!$D$21,"INSTITUCIONES AMIGAS DE LA MUJER Y LA INFANCIA (IAMI)",IF(O71=[1]CURSOS!$D$22,"CUIDADO DEL DONANTE DE ORGANOS",IF(O71=[1]CURSOS!$D$23,"ATENCION A VICTIMAS POR VIOLENCIA DE GENERO",IF(O71=[1]CURSOS!$D$24,"IGUALDAD DE GENERO EN LA SALUD",IF(O71=[1]CURSOS!$D$25,"BRIGADA DE EMERGENCIA",IF(O71=[1]CURSOS!$D$26,"MANEJO DEL DOLOR Y CUIDADOS PALIATIVOS",IF(O71=[1]CURSOS!$D$27,"TOMA DE MUESTRAS Y LABORATORIO POCT",IF(O71=[1]CURSOS!$D$28,"IMPLANTE SUBDERMICO DE DISPOSITIVO INTRAUTERINO",IF(O71=[1]CURSOS!$D$29,"SALUD MENTAL",IF(O71=[1]CURSOS!$D$30,"PRIMEROS AUXILIOS PSICOLOGICOS",IF(O71=[1]CURSOS!$D$31,"ATENCION A VICTIMAS POR CONFLICTO ARMADO",IF(O71=[1]CURSOS!$D$32,"MANIPULACION DE ALIMENTOS Y BPM",IF(O71=[1]CURSOS!$D$33,"ATENCION A PERSONAS CON DISCAPACIDAD",IF(O71=[1]CURSOS!$D$34,"CUIDADO INTEGRAL DEL PACIENTE ADULTO",IF(O71=[1]CURSOS!$D$35,"MANEJO DEFENSIVO",IF(O71=[1]CURSOS!$D$36,"SOPORTE CARDIOVASCULAR AVANZADO NEONATAL",IF(O71=[1]CURSOS!$D$37,"SEGURIDAD DEL PACIENTE")))))))))))))))))))))))))))))))))))</f>
        <v xml:space="preserve">SOPORTE CARDIOVASCULAR AVANZADO (ACLS) </v>
      </c>
      <c r="V71" s="52" t="str">
        <f t="shared" si="6"/>
        <v>Danny Alexander Bravo Bolaños</v>
      </c>
      <c r="W71" s="52" t="str">
        <f t="shared" si="7"/>
        <v>Danny Alexander Bravo Bolaños</v>
      </c>
      <c r="X71" s="52" t="str">
        <f t="shared" si="8"/>
        <v>Danny Alexander Bravo Bolaños-1083812298-ACLS</v>
      </c>
    </row>
    <row r="72" spans="1:24" s="55" customFormat="1" x14ac:dyDescent="0.2">
      <c r="A72" s="17">
        <v>71</v>
      </c>
      <c r="B72" s="80">
        <v>37085908</v>
      </c>
      <c r="C72" s="50" t="s">
        <v>414</v>
      </c>
      <c r="D72" s="50" t="s">
        <v>473</v>
      </c>
      <c r="E72" s="50" t="s">
        <v>319</v>
      </c>
      <c r="F72" s="187" t="s">
        <v>525</v>
      </c>
      <c r="G72" s="188">
        <v>12</v>
      </c>
      <c r="H72" s="171" t="s">
        <v>181</v>
      </c>
      <c r="I72" s="171" t="s">
        <v>519</v>
      </c>
      <c r="J72" s="182">
        <v>45517</v>
      </c>
      <c r="K72" s="181">
        <v>40000</v>
      </c>
      <c r="L72" s="188" t="s">
        <v>387</v>
      </c>
      <c r="M72" s="188" t="s">
        <v>86</v>
      </c>
      <c r="N72" s="188" t="s">
        <v>334</v>
      </c>
      <c r="O72" s="189" t="s">
        <v>43</v>
      </c>
      <c r="P72" s="18">
        <v>31103</v>
      </c>
      <c r="Q72" s="66" t="s">
        <v>309</v>
      </c>
      <c r="R72" s="17" t="s">
        <v>315</v>
      </c>
      <c r="S72" s="50">
        <v>3137365201</v>
      </c>
      <c r="T72" s="50" t="s">
        <v>552</v>
      </c>
      <c r="U72" s="52" t="str">
        <f>IF(O72=[1]CURSOS!$D$3,"DIPLOMADO EN ATENCION PRE-HOSPITALARIA",IF(O72=[1]CURSOS!$D$4,"ACOMPAÑAMIENTO Y MANEJO DEL DUELO",IF(O72=[1]CURSOS!$D$5,"ATENCION A VICTIMAS DE ATAQUE CON AGENTES QUIMICOS ",IF(O72=[1]CURSOS!$D$6,"PRIMEROS AUXILIOS ",IF(O72=[1]CURSOS!$D$7,"DIPLOMADO DE UNIDAD DE CUIDADOS INTENSIVOS (UCI)",IF(O72=[1]CURSOS!$D$8,"MODELO DE ATENCION PARA EVENTOS EMERGENTES EN SALUD MENTAL (CODIGO VERDE)",IF(O72=[1]CURSOS!$D$9,"HUMANIZACION EN EL SERVICIO DE LA SALUD Y BUENAS PRACTICAS EN PACIENTE ",IF(O72=[1]CURSOS!$D$10,"CLINICA DE HERIDAS ",IF(O72=[1]CURSOS!$D$11,"TOMA DE CITOLOGIA CERVICO VAGINAL ",IF(O72=[1]CURSOS!$D$12,"SOPORTE CARDIOVASCULAR AVANZADO (ACLS) ",IF(O72=[1]CURSOS!$D$13,"CAMILLERO ",IF(O72=[1]CURSOS!$D$14,"TOMA DE MUESTRAS Y LABORATORIO ",IF(O72=[1]CURSOS!$D$15,"SOPORTE VITAL BASICO (BLS)",IF(O72=[1]CURSOS!$D$16,"ATENCION A VICTIMAS DE VIOLENCIA SEXUAL ",IF(O72=[1]CURSOS!$D$17,"PROGRAMADO AMPLIADO DE INMUNIZACION (PAI - COVID 19)",IF(O72=[1]CURSOS!$D$18,"ATENCION INTEGRAL EN ENFERMEDADES PREVALENTES EN PRIMERA INFANCIA (AIEPI)",IF(O72=[1]CURSOS!$D$19,"ADMINISTRACION DE MEDICAMENTOS, INYECTOLOGIA  Y CANALIZACION ",IF(O72=[1]CURSOS!$D$20,"OPERADOR DE VEHICULOS DE EMERGENCIA (OVE)",IF(O72=[1]CURSOS!$D$21,"INSTITUCIONES AMIGAS DE LA MUJER Y LA INFANCIA (IAMI)",IF(O72=[1]CURSOS!$D$22,"CUIDADO DEL DONANTE DE ORGANOS",IF(O72=[1]CURSOS!$D$23,"ATENCION A VICTIMAS POR VIOLENCIA DE GENERO",IF(O72=[1]CURSOS!$D$24,"IGUALDAD DE GENERO EN LA SALUD",IF(O72=[1]CURSOS!$D$25,"BRIGADA DE EMERGENCIA",IF(O72=[1]CURSOS!$D$26,"MANEJO DEL DOLOR Y CUIDADOS PALIATIVOS",IF(O72=[1]CURSOS!$D$27,"TOMA DE MUESTRAS Y LABORATORIO POCT",IF(O72=[1]CURSOS!$D$28,"IMPLANTE SUBDERMICO DE DISPOSITIVO INTRAUTERINO",IF(O72=[1]CURSOS!$D$29,"SALUD MENTAL",IF(O72=[1]CURSOS!$D$30,"PRIMEROS AUXILIOS PSICOLOGICOS",IF(O72=[1]CURSOS!$D$31,"ATENCION A VICTIMAS POR CONFLICTO ARMADO",IF(O72=[1]CURSOS!$D$32,"MANIPULACION DE ALIMENTOS Y BPM",IF(O72=[1]CURSOS!$D$33,"ATENCION A PERSONAS CON DISCAPACIDAD",IF(O72=[1]CURSOS!$D$34,"CUIDADO INTEGRAL DEL PACIENTE ADULTO",IF(O72=[1]CURSOS!$D$35,"MANEJO DEFENSIVO",IF(O72=[1]CURSOS!$D$36,"SOPORTE CARDIOVASCULAR AVANZADO NEONATAL",IF(O72=[1]CURSOS!$D$37,"SEGURIDAD DEL PACIENTE")))))))))))))))))))))))))))))))))))</f>
        <v xml:space="preserve">ATENCION A VICTIMAS DE VIOLENCIA SEXUAL </v>
      </c>
      <c r="V72" s="52" t="str">
        <f t="shared" si="6"/>
        <v>Claudia Ximena Ortega Ortiz</v>
      </c>
      <c r="W72" s="52" t="str">
        <f t="shared" si="7"/>
        <v>Claudia Ximena Ortega Ortiz</v>
      </c>
      <c r="X72" s="52" t="str">
        <f t="shared" si="8"/>
        <v>Claudia Ximena Ortega Ortiz-37085908-VIOLENCIA SEXUAL</v>
      </c>
    </row>
    <row r="73" spans="1:24" s="55" customFormat="1" x14ac:dyDescent="0.2">
      <c r="A73" s="17">
        <v>72</v>
      </c>
      <c r="B73" s="80">
        <v>1085635358</v>
      </c>
      <c r="C73" s="50" t="s">
        <v>553</v>
      </c>
      <c r="D73" s="50" t="s">
        <v>455</v>
      </c>
      <c r="E73" s="50" t="s">
        <v>554</v>
      </c>
      <c r="F73" s="187" t="s">
        <v>128</v>
      </c>
      <c r="G73" s="188">
        <v>13</v>
      </c>
      <c r="H73" s="171" t="s">
        <v>181</v>
      </c>
      <c r="I73" s="171" t="s">
        <v>519</v>
      </c>
      <c r="J73" s="182">
        <v>45518</v>
      </c>
      <c r="K73" s="181">
        <v>30000</v>
      </c>
      <c r="L73" s="188" t="s">
        <v>322</v>
      </c>
      <c r="M73" s="188" t="s">
        <v>86</v>
      </c>
      <c r="N73" s="188" t="s">
        <v>308</v>
      </c>
      <c r="O73" s="189" t="s">
        <v>19</v>
      </c>
      <c r="P73" s="18">
        <v>33993</v>
      </c>
      <c r="Q73" s="66" t="s">
        <v>309</v>
      </c>
      <c r="R73" s="17" t="s">
        <v>315</v>
      </c>
      <c r="S73" s="50">
        <v>3233679710</v>
      </c>
      <c r="T73" s="50" t="s">
        <v>555</v>
      </c>
      <c r="U73" s="52" t="str">
        <f>IF(O73=[1]CURSOS!$D$3,"DIPLOMADO EN ATENCION PRE-HOSPITALARIA",IF(O73=[1]CURSOS!$D$4,"ACOMPAÑAMIENTO Y MANEJO DEL DUELO",IF(O73=[1]CURSOS!$D$5,"ATENCION A VICTIMAS DE ATAQUE CON AGENTES QUIMICOS ",IF(O73=[1]CURSOS!$D$6,"PRIMEROS AUXILIOS ",IF(O73=[1]CURSOS!$D$7,"DIPLOMADO DE UNIDAD DE CUIDADOS INTENSIVOS (UCI)",IF(O73=[1]CURSOS!$D$8,"MODELO DE ATENCION PARA EVENTOS EMERGENTES EN SALUD MENTAL (CODIGO VERDE)",IF(O73=[1]CURSOS!$D$9,"HUMANIZACION EN EL SERVICIO DE LA SALUD Y BUENAS PRACTICAS EN PACIENTE ",IF(O73=[1]CURSOS!$D$10,"CLINICA DE HERIDAS ",IF(O73=[1]CURSOS!$D$11,"TOMA DE CITOLOGIA CERVICO VAGINAL ",IF(O73=[1]CURSOS!$D$12,"SOPORTE CARDIOVASCULAR AVANZADO (ACLS) ",IF(O73=[1]CURSOS!$D$13,"CAMILLERO ",IF(O73=[1]CURSOS!$D$14,"TOMA DE MUESTRAS Y LABORATORIO ",IF(O73=[1]CURSOS!$D$15,"SOPORTE VITAL BASICO (BLS)",IF(O73=[1]CURSOS!$D$16,"ATENCION A VICTIMAS DE VIOLENCIA SEXUAL ",IF(O73=[1]CURSOS!$D$17,"PROGRAMADO AMPLIADO DE INMUNIZACION (PAI - COVID 19)",IF(O73=[1]CURSOS!$D$18,"ATENCION INTEGRAL EN ENFERMEDADES PREVALENTES EN PRIMERA INFANCIA (AIEPI)",IF(O73=[1]CURSOS!$D$19,"ADMINISTRACION DE MEDICAMENTOS, INYECTOLOGIA  Y CANALIZACION ",IF(O73=[1]CURSOS!$D$20,"OPERADOR DE VEHICULOS DE EMERGENCIA (OVE)",IF(O73=[1]CURSOS!$D$21,"INSTITUCIONES AMIGAS DE LA MUJER Y LA INFANCIA (IAMI)",IF(O73=[1]CURSOS!$D$22,"CUIDADO DEL DONANTE DE ORGANOS",IF(O73=[1]CURSOS!$D$23,"ATENCION A VICTIMAS POR VIOLENCIA DE GENERO",IF(O73=[1]CURSOS!$D$24,"IGUALDAD DE GENERO EN LA SALUD",IF(O73=[1]CURSOS!$D$25,"BRIGADA DE EMERGENCIA",IF(O73=[1]CURSOS!$D$26,"MANEJO DEL DOLOR Y CUIDADOS PALIATIVOS",IF(O73=[1]CURSOS!$D$27,"TOMA DE MUESTRAS Y LABORATORIO POCT",IF(O73=[1]CURSOS!$D$28,"IMPLANTE SUBDERMICO DE DISPOSITIVO INTRAUTERINO",IF(O73=[1]CURSOS!$D$29,"SALUD MENTAL",IF(O73=[1]CURSOS!$D$30,"PRIMEROS AUXILIOS PSICOLOGICOS",IF(O73=[1]CURSOS!$D$31,"ATENCION A VICTIMAS POR CONFLICTO ARMADO",IF(O73=[1]CURSOS!$D$32,"MANIPULACION DE ALIMENTOS Y BPM",IF(O73=[1]CURSOS!$D$33,"ATENCION A PERSONAS CON DISCAPACIDAD",IF(O73=[1]CURSOS!$D$34,"CUIDADO INTEGRAL DEL PACIENTE ADULTO",IF(O73=[1]CURSOS!$D$35,"MANEJO DEFENSIVO",IF(O73=[1]CURSOS!$D$36,"SOPORTE CARDIOVASCULAR AVANZADO NEONATAL",IF(O73=[1]CURSOS!$D$37,"SEGURIDAD DEL PACIENTE")))))))))))))))))))))))))))))))))))</f>
        <v>SOPORTE VITAL BASICO (BLS)</v>
      </c>
      <c r="V73" s="52" t="str">
        <f t="shared" si="6"/>
        <v>Francy Milena Caicedo Figueroa</v>
      </c>
      <c r="W73" s="52" t="str">
        <f t="shared" si="7"/>
        <v>Francy Milena Caicedo Figueroa</v>
      </c>
      <c r="X73" s="52" t="str">
        <f t="shared" si="8"/>
        <v>Francy Milena Caicedo Figueroa-1085635358-BLS</v>
      </c>
    </row>
    <row r="74" spans="1:24" s="55" customFormat="1" x14ac:dyDescent="0.2">
      <c r="A74" s="17">
        <v>73</v>
      </c>
      <c r="B74" s="80">
        <v>1085246095</v>
      </c>
      <c r="C74" s="50" t="s">
        <v>104</v>
      </c>
      <c r="D74" s="50" t="s">
        <v>111</v>
      </c>
      <c r="E74" s="50" t="s">
        <v>557</v>
      </c>
      <c r="F74" s="187" t="s">
        <v>489</v>
      </c>
      <c r="G74" s="188">
        <v>15</v>
      </c>
      <c r="H74" s="171" t="s">
        <v>181</v>
      </c>
      <c r="I74" s="171" t="s">
        <v>519</v>
      </c>
      <c r="J74" s="182">
        <v>45519</v>
      </c>
      <c r="K74" s="181">
        <v>35000</v>
      </c>
      <c r="L74" s="188" t="s">
        <v>328</v>
      </c>
      <c r="M74" s="188" t="s">
        <v>86</v>
      </c>
      <c r="N74" s="188" t="s">
        <v>558</v>
      </c>
      <c r="O74" s="189" t="s">
        <v>33</v>
      </c>
      <c r="P74" s="18">
        <v>31373</v>
      </c>
      <c r="Q74" s="66" t="s">
        <v>316</v>
      </c>
      <c r="R74" s="158" t="s">
        <v>432</v>
      </c>
      <c r="S74" s="50"/>
      <c r="T74" s="50" t="s">
        <v>559</v>
      </c>
      <c r="U74" s="52" t="str">
        <f>IF(O74=[1]CURSOS!$D$3,"DIPLOMADO EN ATENCION PRE-HOSPITALARIA",IF(O74=[1]CURSOS!$D$4,"ACOMPAÑAMIENTO Y MANEJO DEL DUELO",IF(O74=[1]CURSOS!$D$5,"ATENCION A VICTIMAS DE ATAQUE CON AGENTES QUIMICOS ",IF(O74=[1]CURSOS!$D$6,"PRIMEROS AUXILIOS ",IF(O74=[1]CURSOS!$D$7,"DIPLOMADO DE UNIDAD DE CUIDADOS INTENSIVOS (UCI)",IF(O74=[1]CURSOS!$D$8,"MODELO DE ATENCION PARA EVENTOS EMERGENTES EN SALUD MENTAL (CODIGO VERDE)",IF(O74=[1]CURSOS!$D$9,"HUMANIZACION EN EL SERVICIO DE LA SALUD Y BUENAS PRACTICAS EN PACIENTE ",IF(O74=[1]CURSOS!$D$10,"CLINICA DE HERIDAS ",IF(O74=[1]CURSOS!$D$11,"TOMA DE CITOLOGIA CERVICO VAGINAL ",IF(O74=[1]CURSOS!$D$12,"SOPORTE CARDIOVASCULAR AVANZADO (ACLS) ",IF(O74=[1]CURSOS!$D$13,"CAMILLERO ",IF(O74=[1]CURSOS!$D$14,"TOMA DE MUESTRAS Y LABORATORIO ",IF(O74=[1]CURSOS!$D$15,"SOPORTE VITAL BASICO (BLS)",IF(O74=[1]CURSOS!$D$16,"ATENCION A VICTIMAS DE VIOLENCIA SEXUAL ",IF(O74=[1]CURSOS!$D$17,"PROGRAMADO AMPLIADO DE INMUNIZACION (PAI - COVID 19)",IF(O74=[1]CURSOS!$D$18,"ATENCION INTEGRAL EN ENFERMEDADES PREVALENTES EN PRIMERA INFANCIA (AIEPI)",IF(O74=[1]CURSOS!$D$19,"ADMINISTRACION DE MEDICAMENTOS, INYECTOLOGIA  Y CANALIZACION ",IF(O74=[1]CURSOS!$D$20,"OPERADOR DE VEHICULOS DE EMERGENCIA (OVE)",IF(O74=[1]CURSOS!$D$21,"INSTITUCIONES AMIGAS DE LA MUJER Y LA INFANCIA (IAMI)",IF(O74=[1]CURSOS!$D$22,"CUIDADO DEL DONANTE DE ORGANOS",IF(O74=[1]CURSOS!$D$23,"ATENCION A VICTIMAS POR VIOLENCIA DE GENERO",IF(O74=[1]CURSOS!$D$24,"IGUALDAD DE GENERO EN LA SALUD",IF(O74=[1]CURSOS!$D$25,"BRIGADA DE EMERGENCIA",IF(O74=[1]CURSOS!$D$26,"MANEJO DEL DOLOR Y CUIDADOS PALIATIVOS",IF(O74=[1]CURSOS!$D$27,"TOMA DE MUESTRAS Y LABORATORIO POCT",IF(O74=[1]CURSOS!$D$28,"IMPLANTE SUBDERMICO DE DISPOSITIVO INTRAUTERINO",IF(O74=[1]CURSOS!$D$29,"SALUD MENTAL",IF(O74=[1]CURSOS!$D$30,"PRIMEROS AUXILIOS PSICOLOGICOS",IF(O74=[1]CURSOS!$D$31,"ATENCION A VICTIMAS POR CONFLICTO ARMADO",IF(O74=[1]CURSOS!$D$32,"MANIPULACION DE ALIMENTOS Y BPM",IF(O74=[1]CURSOS!$D$33,"ATENCION A PERSONAS CON DISCAPACIDAD",IF(O74=[1]CURSOS!$D$34,"CUIDADO INTEGRAL DEL PACIENTE ADULTO",IF(O74=[1]CURSOS!$D$35,"MANEJO DEFENSIVO",IF(O74=[1]CURSOS!$D$36,"SOPORTE CARDIOVASCULAR AVANZADO NEONATAL",IF(O74=[1]CURSOS!$D$37,"SEGURIDAD DEL PACIENTE")))))))))))))))))))))))))))))))))))</f>
        <v xml:space="preserve">HUMANIZACION EN EL SERVICIO DE LA SALUD Y BUENAS PRACTICAS EN PACIENTE </v>
      </c>
      <c r="V74" s="52" t="str">
        <f t="shared" si="6"/>
        <v>Efrén Dario Paz Zambrano</v>
      </c>
      <c r="W74" s="52" t="str">
        <f t="shared" si="7"/>
        <v>Efrén Dario Paz Zambrano</v>
      </c>
      <c r="X74" s="52" t="str">
        <f t="shared" si="8"/>
        <v>Efrén Dario Paz Zambrano-1085246095-HUMANIZACION</v>
      </c>
    </row>
    <row r="75" spans="1:24" s="55" customFormat="1" x14ac:dyDescent="0.2">
      <c r="A75" s="17">
        <v>74</v>
      </c>
      <c r="B75" s="80">
        <v>1085246095</v>
      </c>
      <c r="C75" s="50" t="s">
        <v>104</v>
      </c>
      <c r="D75" s="50" t="s">
        <v>111</v>
      </c>
      <c r="E75" s="50" t="s">
        <v>557</v>
      </c>
      <c r="F75" s="187" t="s">
        <v>489</v>
      </c>
      <c r="G75" s="188">
        <v>15</v>
      </c>
      <c r="H75" s="171" t="s">
        <v>181</v>
      </c>
      <c r="I75" s="171" t="s">
        <v>519</v>
      </c>
      <c r="J75" s="182">
        <v>45519</v>
      </c>
      <c r="K75" s="181">
        <v>35000</v>
      </c>
      <c r="L75" s="188" t="s">
        <v>328</v>
      </c>
      <c r="M75" s="188" t="s">
        <v>86</v>
      </c>
      <c r="N75" s="188" t="s">
        <v>558</v>
      </c>
      <c r="O75" s="189" t="s">
        <v>43</v>
      </c>
      <c r="P75" s="18">
        <v>31373</v>
      </c>
      <c r="Q75" s="66" t="s">
        <v>316</v>
      </c>
      <c r="R75" s="158" t="s">
        <v>432</v>
      </c>
      <c r="S75" s="50"/>
      <c r="T75" s="50" t="s">
        <v>559</v>
      </c>
      <c r="U75" s="52" t="str">
        <f>IF(O75=[1]CURSOS!$D$3,"DIPLOMADO EN ATENCION PRE-HOSPITALARIA",IF(O75=[1]CURSOS!$D$4,"ACOMPAÑAMIENTO Y MANEJO DEL DUELO",IF(O75=[1]CURSOS!$D$5,"ATENCION A VICTIMAS DE ATAQUE CON AGENTES QUIMICOS ",IF(O75=[1]CURSOS!$D$6,"PRIMEROS AUXILIOS ",IF(O75=[1]CURSOS!$D$7,"DIPLOMADO DE UNIDAD DE CUIDADOS INTENSIVOS (UCI)",IF(O75=[1]CURSOS!$D$8,"MODELO DE ATENCION PARA EVENTOS EMERGENTES EN SALUD MENTAL (CODIGO VERDE)",IF(O75=[1]CURSOS!$D$9,"HUMANIZACION EN EL SERVICIO DE LA SALUD Y BUENAS PRACTICAS EN PACIENTE ",IF(O75=[1]CURSOS!$D$10,"CLINICA DE HERIDAS ",IF(O75=[1]CURSOS!$D$11,"TOMA DE CITOLOGIA CERVICO VAGINAL ",IF(O75=[1]CURSOS!$D$12,"SOPORTE CARDIOVASCULAR AVANZADO (ACLS) ",IF(O75=[1]CURSOS!$D$13,"CAMILLERO ",IF(O75=[1]CURSOS!$D$14,"TOMA DE MUESTRAS Y LABORATORIO ",IF(O75=[1]CURSOS!$D$15,"SOPORTE VITAL BASICO (BLS)",IF(O75=[1]CURSOS!$D$16,"ATENCION A VICTIMAS DE VIOLENCIA SEXUAL ",IF(O75=[1]CURSOS!$D$17,"PROGRAMADO AMPLIADO DE INMUNIZACION (PAI - COVID 19)",IF(O75=[1]CURSOS!$D$18,"ATENCION INTEGRAL EN ENFERMEDADES PREVALENTES EN PRIMERA INFANCIA (AIEPI)",IF(O75=[1]CURSOS!$D$19,"ADMINISTRACION DE MEDICAMENTOS, INYECTOLOGIA  Y CANALIZACION ",IF(O75=[1]CURSOS!$D$20,"OPERADOR DE VEHICULOS DE EMERGENCIA (OVE)",IF(O75=[1]CURSOS!$D$21,"INSTITUCIONES AMIGAS DE LA MUJER Y LA INFANCIA (IAMI)",IF(O75=[1]CURSOS!$D$22,"CUIDADO DEL DONANTE DE ORGANOS",IF(O75=[1]CURSOS!$D$23,"ATENCION A VICTIMAS POR VIOLENCIA DE GENERO",IF(O75=[1]CURSOS!$D$24,"IGUALDAD DE GENERO EN LA SALUD",IF(O75=[1]CURSOS!$D$25,"BRIGADA DE EMERGENCIA",IF(O75=[1]CURSOS!$D$26,"MANEJO DEL DOLOR Y CUIDADOS PALIATIVOS",IF(O75=[1]CURSOS!$D$27,"TOMA DE MUESTRAS Y LABORATORIO POCT",IF(O75=[1]CURSOS!$D$28,"IMPLANTE SUBDERMICO DE DISPOSITIVO INTRAUTERINO",IF(O75=[1]CURSOS!$D$29,"SALUD MENTAL",IF(O75=[1]CURSOS!$D$30,"PRIMEROS AUXILIOS PSICOLOGICOS",IF(O75=[1]CURSOS!$D$31,"ATENCION A VICTIMAS POR CONFLICTO ARMADO",IF(O75=[1]CURSOS!$D$32,"MANIPULACION DE ALIMENTOS Y BPM",IF(O75=[1]CURSOS!$D$33,"ATENCION A PERSONAS CON DISCAPACIDAD",IF(O75=[1]CURSOS!$D$34,"CUIDADO INTEGRAL DEL PACIENTE ADULTO",IF(O75=[1]CURSOS!$D$35,"MANEJO DEFENSIVO",IF(O75=[1]CURSOS!$D$36,"SOPORTE CARDIOVASCULAR AVANZADO NEONATAL",IF(O75=[1]CURSOS!$D$37,"SEGURIDAD DEL PACIENTE")))))))))))))))))))))))))))))))))))</f>
        <v xml:space="preserve">ATENCION A VICTIMAS DE VIOLENCIA SEXUAL </v>
      </c>
      <c r="V75" s="52" t="str">
        <f t="shared" si="6"/>
        <v>Efrén Dario Paz Zambrano</v>
      </c>
      <c r="W75" s="52" t="str">
        <f t="shared" si="7"/>
        <v>Efrén Dario Paz Zambrano</v>
      </c>
      <c r="X75" s="52" t="str">
        <f t="shared" si="8"/>
        <v>Efrén Dario Paz Zambrano-1085246095-VIOLENCIA SEXUAL</v>
      </c>
    </row>
    <row r="76" spans="1:24" s="55" customFormat="1" x14ac:dyDescent="0.2">
      <c r="A76" s="17">
        <v>75</v>
      </c>
      <c r="B76" s="80">
        <v>38683650</v>
      </c>
      <c r="C76" s="50" t="s">
        <v>560</v>
      </c>
      <c r="D76" s="50" t="s">
        <v>561</v>
      </c>
      <c r="E76" s="50" t="s">
        <v>562</v>
      </c>
      <c r="F76" s="187" t="s">
        <v>128</v>
      </c>
      <c r="G76" s="188">
        <v>15</v>
      </c>
      <c r="H76" s="171" t="s">
        <v>181</v>
      </c>
      <c r="I76" s="171" t="s">
        <v>519</v>
      </c>
      <c r="J76" s="182">
        <v>45519</v>
      </c>
      <c r="K76" s="181">
        <v>40000</v>
      </c>
      <c r="L76" s="188" t="s">
        <v>322</v>
      </c>
      <c r="M76" s="188" t="s">
        <v>86</v>
      </c>
      <c r="N76" s="188" t="s">
        <v>539</v>
      </c>
      <c r="O76" s="189" t="s">
        <v>19</v>
      </c>
      <c r="P76" s="50"/>
      <c r="Q76" s="66" t="s">
        <v>309</v>
      </c>
      <c r="R76" s="17" t="s">
        <v>315</v>
      </c>
      <c r="S76" s="50"/>
      <c r="T76" s="50"/>
      <c r="U76" s="52" t="str">
        <f>IF(O76=[1]CURSOS!$D$3,"DIPLOMADO EN ATENCION PRE-HOSPITALARIA",IF(O76=[1]CURSOS!$D$4,"ACOMPAÑAMIENTO Y MANEJO DEL DUELO",IF(O76=[1]CURSOS!$D$5,"ATENCION A VICTIMAS DE ATAQUE CON AGENTES QUIMICOS ",IF(O76=[1]CURSOS!$D$6,"PRIMEROS AUXILIOS ",IF(O76=[1]CURSOS!$D$7,"DIPLOMADO DE UNIDAD DE CUIDADOS INTENSIVOS (UCI)",IF(O76=[1]CURSOS!$D$8,"MODELO DE ATENCION PARA EVENTOS EMERGENTES EN SALUD MENTAL (CODIGO VERDE)",IF(O76=[1]CURSOS!$D$9,"HUMANIZACION EN EL SERVICIO DE LA SALUD Y BUENAS PRACTICAS EN PACIENTE ",IF(O76=[1]CURSOS!$D$10,"CLINICA DE HERIDAS ",IF(O76=[1]CURSOS!$D$11,"TOMA DE CITOLOGIA CERVICO VAGINAL ",IF(O76=[1]CURSOS!$D$12,"SOPORTE CARDIOVASCULAR AVANZADO (ACLS) ",IF(O76=[1]CURSOS!$D$13,"CAMILLERO ",IF(O76=[1]CURSOS!$D$14,"TOMA DE MUESTRAS Y LABORATORIO ",IF(O76=[1]CURSOS!$D$15,"SOPORTE VITAL BASICO (BLS)",IF(O76=[1]CURSOS!$D$16,"ATENCION A VICTIMAS DE VIOLENCIA SEXUAL ",IF(O76=[1]CURSOS!$D$17,"PROGRAMADO AMPLIADO DE INMUNIZACION (PAI - COVID 19)",IF(O76=[1]CURSOS!$D$18,"ATENCION INTEGRAL EN ENFERMEDADES PREVALENTES EN PRIMERA INFANCIA (AIEPI)",IF(O76=[1]CURSOS!$D$19,"ADMINISTRACION DE MEDICAMENTOS, INYECTOLOGIA  Y CANALIZACION ",IF(O76=[1]CURSOS!$D$20,"OPERADOR DE VEHICULOS DE EMERGENCIA (OVE)",IF(O76=[1]CURSOS!$D$21,"INSTITUCIONES AMIGAS DE LA MUJER Y LA INFANCIA (IAMI)",IF(O76=[1]CURSOS!$D$22,"CUIDADO DEL DONANTE DE ORGANOS",IF(O76=[1]CURSOS!$D$23,"ATENCION A VICTIMAS POR VIOLENCIA DE GENERO",IF(O76=[1]CURSOS!$D$24,"IGUALDAD DE GENERO EN LA SALUD",IF(O76=[1]CURSOS!$D$25,"BRIGADA DE EMERGENCIA",IF(O76=[1]CURSOS!$D$26,"MANEJO DEL DOLOR Y CUIDADOS PALIATIVOS",IF(O76=[1]CURSOS!$D$27,"TOMA DE MUESTRAS Y LABORATORIO POCT",IF(O76=[1]CURSOS!$D$28,"IMPLANTE SUBDERMICO DE DISPOSITIVO INTRAUTERINO",IF(O76=[1]CURSOS!$D$29,"SALUD MENTAL",IF(O76=[1]CURSOS!$D$30,"PRIMEROS AUXILIOS PSICOLOGICOS",IF(O76=[1]CURSOS!$D$31,"ATENCION A VICTIMAS POR CONFLICTO ARMADO",IF(O76=[1]CURSOS!$D$32,"MANIPULACION DE ALIMENTOS Y BPM",IF(O76=[1]CURSOS!$D$33,"ATENCION A PERSONAS CON DISCAPACIDAD",IF(O76=[1]CURSOS!$D$34,"CUIDADO INTEGRAL DEL PACIENTE ADULTO",IF(O76=[1]CURSOS!$D$35,"MANEJO DEFENSIVO",IF(O76=[1]CURSOS!$D$36,"SOPORTE CARDIOVASCULAR AVANZADO NEONATAL",IF(O76=[1]CURSOS!$D$37,"SEGURIDAD DEL PACIENTE")))))))))))))))))))))))))))))))))))</f>
        <v>SOPORTE VITAL BASICO (BLS)</v>
      </c>
      <c r="V76" s="52" t="str">
        <f t="shared" ref="V76:V113" si="9">CONCATENATE(E76," ",F76," ",C76," ",D76)</f>
        <v>Ana  Milena Carabali Toloza</v>
      </c>
      <c r="W76" s="52" t="str">
        <f t="shared" ref="W76:W113" si="10">+PROPER(V76)</f>
        <v>Ana  Milena Carabali Toloza</v>
      </c>
      <c r="X76" s="52" t="str">
        <f t="shared" ref="X76:X113" si="11">CONCATENATE(V76,"-",B76,"-",O76)</f>
        <v>Ana  Milena Carabali Toloza-38683650-BLS</v>
      </c>
    </row>
    <row r="77" spans="1:24" s="55" customFormat="1" x14ac:dyDescent="0.2">
      <c r="A77" s="17">
        <v>76</v>
      </c>
      <c r="B77" s="80">
        <v>38683650</v>
      </c>
      <c r="C77" s="50" t="s">
        <v>560</v>
      </c>
      <c r="D77" s="50" t="s">
        <v>561</v>
      </c>
      <c r="E77" s="50" t="s">
        <v>562</v>
      </c>
      <c r="F77" s="187" t="s">
        <v>128</v>
      </c>
      <c r="G77" s="188">
        <v>15</v>
      </c>
      <c r="H77" s="171" t="s">
        <v>181</v>
      </c>
      <c r="I77" s="171" t="s">
        <v>519</v>
      </c>
      <c r="J77" s="182">
        <v>45519</v>
      </c>
      <c r="K77" s="181">
        <v>40000</v>
      </c>
      <c r="L77" s="188" t="s">
        <v>322</v>
      </c>
      <c r="M77" s="188" t="s">
        <v>86</v>
      </c>
      <c r="N77" s="188" t="s">
        <v>539</v>
      </c>
      <c r="O77" s="189" t="s">
        <v>563</v>
      </c>
      <c r="P77" s="50"/>
      <c r="Q77" s="66" t="s">
        <v>309</v>
      </c>
      <c r="R77" s="17" t="s">
        <v>315</v>
      </c>
      <c r="S77" s="50"/>
      <c r="T77" s="50"/>
      <c r="U77" s="52" t="b">
        <f>IF(O77=[1]CURSOS!$D$3,"DIPLOMADO EN ATENCION PRE-HOSPITALARIA",IF(O77=[1]CURSOS!$D$4,"ACOMPAÑAMIENTO Y MANEJO DEL DUELO",IF(O77=[1]CURSOS!$D$5,"ATENCION A VICTIMAS DE ATAQUE CON AGENTES QUIMICOS ",IF(O77=[1]CURSOS!$D$6,"PRIMEROS AUXILIOS ",IF(O77=[1]CURSOS!$D$7,"DIPLOMADO DE UNIDAD DE CUIDADOS INTENSIVOS (UCI)",IF(O77=[1]CURSOS!$D$8,"MODELO DE ATENCION PARA EVENTOS EMERGENTES EN SALUD MENTAL (CODIGO VERDE)",IF(O77=[1]CURSOS!$D$9,"HUMANIZACION EN EL SERVICIO DE LA SALUD Y BUENAS PRACTICAS EN PACIENTE ",IF(O77=[1]CURSOS!$D$10,"CLINICA DE HERIDAS ",IF(O77=[1]CURSOS!$D$11,"TOMA DE CITOLOGIA CERVICO VAGINAL ",IF(O77=[1]CURSOS!$D$12,"SOPORTE CARDIOVASCULAR AVANZADO (ACLS) ",IF(O77=[1]CURSOS!$D$13,"CAMILLERO ",IF(O77=[1]CURSOS!$D$14,"TOMA DE MUESTRAS Y LABORATORIO ",IF(O77=[1]CURSOS!$D$15,"SOPORTE VITAL BASICO (BLS)",IF(O77=[1]CURSOS!$D$16,"ATENCION A VICTIMAS DE VIOLENCIA SEXUAL ",IF(O77=[1]CURSOS!$D$17,"PROGRAMADO AMPLIADO DE INMUNIZACION (PAI - COVID 19)",IF(O77=[1]CURSOS!$D$18,"ATENCION INTEGRAL EN ENFERMEDADES PREVALENTES EN PRIMERA INFANCIA (AIEPI)",IF(O77=[1]CURSOS!$D$19,"ADMINISTRACION DE MEDICAMENTOS, INYECTOLOGIA  Y CANALIZACION ",IF(O77=[1]CURSOS!$D$20,"OPERADOR DE VEHICULOS DE EMERGENCIA (OVE)",IF(O77=[1]CURSOS!$D$21,"INSTITUCIONES AMIGAS DE LA MUJER Y LA INFANCIA (IAMI)",IF(O77=[1]CURSOS!$D$22,"CUIDADO DEL DONANTE DE ORGANOS",IF(O77=[1]CURSOS!$D$23,"ATENCION A VICTIMAS POR VIOLENCIA DE GENERO",IF(O77=[1]CURSOS!$D$24,"IGUALDAD DE GENERO EN LA SALUD",IF(O77=[1]CURSOS!$D$25,"BRIGADA DE EMERGENCIA",IF(O77=[1]CURSOS!$D$26,"MANEJO DEL DOLOR Y CUIDADOS PALIATIVOS",IF(O77=[1]CURSOS!$D$27,"TOMA DE MUESTRAS Y LABORATORIO POCT",IF(O77=[1]CURSOS!$D$28,"IMPLANTE SUBDERMICO DE DISPOSITIVO INTRAUTERINO",IF(O77=[1]CURSOS!$D$29,"SALUD MENTAL",IF(O77=[1]CURSOS!$D$30,"PRIMEROS AUXILIOS PSICOLOGICOS",IF(O77=[1]CURSOS!$D$31,"ATENCION A VICTIMAS POR CONFLICTO ARMADO",IF(O77=[1]CURSOS!$D$32,"MANIPULACION DE ALIMENTOS Y BPM",IF(O77=[1]CURSOS!$D$33,"ATENCION A PERSONAS CON DISCAPACIDAD",IF(O77=[1]CURSOS!$D$34,"CUIDADO INTEGRAL DEL PACIENTE ADULTO",IF(O77=[1]CURSOS!$D$35,"MANEJO DEFENSIVO",IF(O77=[1]CURSOS!$D$36,"SOPORTE CARDIOVASCULAR AVANZADO NEONATAL",IF(O77=[1]CURSOS!$D$37,"SEGURIDAD DEL PACIENTE")))))))))))))))))))))))))))))))))))</f>
        <v>0</v>
      </c>
      <c r="V77" s="52" t="str">
        <f t="shared" si="9"/>
        <v>Ana  Milena Carabali Toloza</v>
      </c>
      <c r="W77" s="52" t="str">
        <f t="shared" si="10"/>
        <v>Ana  Milena Carabali Toloza</v>
      </c>
      <c r="X77" s="52" t="str">
        <f t="shared" si="11"/>
        <v>Ana  Milena Carabali Toloza-38683650-RCP</v>
      </c>
    </row>
    <row r="78" spans="1:24" s="55" customFormat="1" x14ac:dyDescent="0.2">
      <c r="A78" s="17">
        <v>77</v>
      </c>
      <c r="B78" s="162">
        <v>1085260562</v>
      </c>
      <c r="C78" s="134" t="s">
        <v>564</v>
      </c>
      <c r="D78" s="134" t="s">
        <v>565</v>
      </c>
      <c r="E78" s="134" t="s">
        <v>566</v>
      </c>
      <c r="F78" s="134" t="s">
        <v>113</v>
      </c>
      <c r="G78" s="135">
        <v>13</v>
      </c>
      <c r="H78" s="136" t="s">
        <v>181</v>
      </c>
      <c r="I78" s="136" t="s">
        <v>519</v>
      </c>
      <c r="J78" s="135"/>
      <c r="K78" s="137"/>
      <c r="L78" s="135"/>
      <c r="M78" s="135" t="s">
        <v>86</v>
      </c>
      <c r="N78" s="135" t="s">
        <v>539</v>
      </c>
      <c r="O78" s="138" t="s">
        <v>29</v>
      </c>
      <c r="P78" s="134"/>
      <c r="Q78" s="135"/>
      <c r="R78" s="17"/>
      <c r="S78" s="134"/>
      <c r="T78" s="134"/>
      <c r="U78" s="52" t="str">
        <f>IF(O78=[1]CURSOS!$D$3,"DIPLOMADO EN ATENCION PRE-HOSPITALARIA",IF(O78=[1]CURSOS!$D$4,"ACOMPAÑAMIENTO Y MANEJO DEL DUELO",IF(O78=[1]CURSOS!$D$5,"ATENCION A VICTIMAS DE ATAQUE CON AGENTES QUIMICOS ",IF(O78=[1]CURSOS!$D$6,"PRIMEROS AUXILIOS ",IF(O78=[1]CURSOS!$D$7,"DIPLOMADO DE UNIDAD DE CUIDADOS INTENSIVOS (UCI)",IF(O78=[1]CURSOS!$D$8,"MODELO DE ATENCION PARA EVENTOS EMERGENTES EN SALUD MENTAL (CODIGO VERDE)",IF(O78=[1]CURSOS!$D$9,"HUMANIZACION EN EL SERVICIO DE LA SALUD Y BUENAS PRACTICAS EN PACIENTE ",IF(O78=[1]CURSOS!$D$10,"CLINICA DE HERIDAS ",IF(O78=[1]CURSOS!$D$11,"TOMA DE CITOLOGIA CERVICO VAGINAL ",IF(O78=[1]CURSOS!$D$12,"SOPORTE CARDIOVASCULAR AVANZADO (ACLS) ",IF(O78=[1]CURSOS!$D$13,"CAMILLERO ",IF(O78=[1]CURSOS!$D$14,"TOMA DE MUESTRAS Y LABORATORIO ",IF(O78=[1]CURSOS!$D$15,"SOPORTE VITAL BASICO (BLS)",IF(O78=[1]CURSOS!$D$16,"ATENCION A VICTIMAS DE VIOLENCIA SEXUAL ",IF(O78=[1]CURSOS!$D$17,"PROGRAMADO AMPLIADO DE INMUNIZACION (PAI - COVID 19)",IF(O78=[1]CURSOS!$D$18,"ATENCION INTEGRAL EN ENFERMEDADES PREVALENTES EN PRIMERA INFANCIA (AIEPI)",IF(O78=[1]CURSOS!$D$19,"ADMINISTRACION DE MEDICAMENTOS, INYECTOLOGIA  Y CANALIZACION ",IF(O78=[1]CURSOS!$D$20,"OPERADOR DE VEHICULOS DE EMERGENCIA (OVE)",IF(O78=[1]CURSOS!$D$21,"INSTITUCIONES AMIGAS DE LA MUJER Y LA INFANCIA (IAMI)",IF(O78=[1]CURSOS!$D$22,"CUIDADO DEL DONANTE DE ORGANOS",IF(O78=[1]CURSOS!$D$23,"ATENCION A VICTIMAS POR VIOLENCIA DE GENERO",IF(O78=[1]CURSOS!$D$24,"IGUALDAD DE GENERO EN LA SALUD",IF(O78=[1]CURSOS!$D$25,"BRIGADA DE EMERGENCIA",IF(O78=[1]CURSOS!$D$26,"MANEJO DEL DOLOR Y CUIDADOS PALIATIVOS",IF(O78=[1]CURSOS!$D$27,"TOMA DE MUESTRAS Y LABORATORIO POCT",IF(O78=[1]CURSOS!$D$28,"IMPLANTE SUBDERMICO DE DISPOSITIVO INTRAUTERINO",IF(O78=[1]CURSOS!$D$29,"SALUD MENTAL",IF(O78=[1]CURSOS!$D$30,"PRIMEROS AUXILIOS PSICOLOGICOS",IF(O78=[1]CURSOS!$D$31,"ATENCION A VICTIMAS POR CONFLICTO ARMADO",IF(O78=[1]CURSOS!$D$32,"MANIPULACION DE ALIMENTOS Y BPM",IF(O78=[1]CURSOS!$D$33,"ATENCION A PERSONAS CON DISCAPACIDAD",IF(O78=[1]CURSOS!$D$34,"CUIDADO INTEGRAL DEL PACIENTE ADULTO",IF(O78=[1]CURSOS!$D$35,"MANEJO DEFENSIVO",IF(O78=[1]CURSOS!$D$36,"SOPORTE CARDIOVASCULAR AVANZADO NEONATAL",IF(O78=[1]CURSOS!$D$37,"SEGURIDAD DEL PACIENTE")))))))))))))))))))))))))))))))))))</f>
        <v>DIPLOMADO DE UNIDAD DE CUIDADOS INTENSIVOS (UCI)</v>
      </c>
      <c r="V78" s="52" t="str">
        <f t="shared" si="9"/>
        <v>Monica Cristina Mainguez Reyes</v>
      </c>
      <c r="W78" s="52" t="str">
        <f t="shared" si="10"/>
        <v>Monica Cristina Mainguez Reyes</v>
      </c>
      <c r="X78" s="52" t="str">
        <f t="shared" si="11"/>
        <v>Monica Cristina Mainguez Reyes-1085260562-UCI</v>
      </c>
    </row>
    <row r="79" spans="1:24" s="55" customFormat="1" x14ac:dyDescent="0.2">
      <c r="A79" s="17">
        <v>78</v>
      </c>
      <c r="B79" s="80">
        <v>1085335424</v>
      </c>
      <c r="C79" s="50" t="s">
        <v>567</v>
      </c>
      <c r="D79" s="50" t="s">
        <v>568</v>
      </c>
      <c r="E79" s="50" t="s">
        <v>569</v>
      </c>
      <c r="F79" s="187" t="s">
        <v>400</v>
      </c>
      <c r="G79" s="188">
        <v>15</v>
      </c>
      <c r="H79" s="171" t="s">
        <v>181</v>
      </c>
      <c r="I79" s="171" t="s">
        <v>519</v>
      </c>
      <c r="J79" s="182">
        <v>45520</v>
      </c>
      <c r="K79" s="181">
        <v>32000</v>
      </c>
      <c r="L79" s="188" t="s">
        <v>328</v>
      </c>
      <c r="M79" s="188" t="s">
        <v>86</v>
      </c>
      <c r="N79" s="188" t="s">
        <v>326</v>
      </c>
      <c r="O79" s="189" t="s">
        <v>46</v>
      </c>
      <c r="P79" s="18">
        <v>35606</v>
      </c>
      <c r="Q79" s="66" t="s">
        <v>316</v>
      </c>
      <c r="R79" s="158" t="s">
        <v>432</v>
      </c>
      <c r="S79" s="50">
        <v>3023704402</v>
      </c>
      <c r="T79" s="50" t="s">
        <v>570</v>
      </c>
      <c r="U79" s="52" t="str">
        <f>IF(O79=[1]CURSOS!$D$3,"DIPLOMADO EN ATENCION PRE-HOSPITALARIA",IF(O79=[1]CURSOS!$D$4,"ACOMPAÑAMIENTO Y MANEJO DEL DUELO",IF(O79=[1]CURSOS!$D$5,"ATENCION A VICTIMAS DE ATAQUE CON AGENTES QUIMICOS ",IF(O79=[1]CURSOS!$D$6,"PRIMEROS AUXILIOS ",IF(O79=[1]CURSOS!$D$7,"DIPLOMADO DE UNIDAD DE CUIDADOS INTENSIVOS (UCI)",IF(O79=[1]CURSOS!$D$8,"MODELO DE ATENCION PARA EVENTOS EMERGENTES EN SALUD MENTAL (CODIGO VERDE)",IF(O79=[1]CURSOS!$D$9,"HUMANIZACION EN EL SERVICIO DE LA SALUD Y BUENAS PRACTICAS EN PACIENTE ",IF(O79=[1]CURSOS!$D$10,"CLINICA DE HERIDAS ",IF(O79=[1]CURSOS!$D$11,"TOMA DE CITOLOGIA CERVICO VAGINAL ",IF(O79=[1]CURSOS!$D$12,"SOPORTE CARDIOVASCULAR AVANZADO (ACLS) ",IF(O79=[1]CURSOS!$D$13,"CAMILLERO ",IF(O79=[1]CURSOS!$D$14,"TOMA DE MUESTRAS Y LABORATORIO ",IF(O79=[1]CURSOS!$D$15,"SOPORTE VITAL BASICO (BLS)",IF(O79=[1]CURSOS!$D$16,"ATENCION A VICTIMAS DE VIOLENCIA SEXUAL ",IF(O79=[1]CURSOS!$D$17,"PROGRAMADO AMPLIADO DE INMUNIZACION (PAI - COVID 19)",IF(O79=[1]CURSOS!$D$18,"ATENCION INTEGRAL EN ENFERMEDADES PREVALENTES EN PRIMERA INFANCIA (AIEPI)",IF(O79=[1]CURSOS!$D$19,"ADMINISTRACION DE MEDICAMENTOS, INYECTOLOGIA  Y CANALIZACION ",IF(O79=[1]CURSOS!$D$20,"OPERADOR DE VEHICULOS DE EMERGENCIA (OVE)",IF(O79=[1]CURSOS!$D$21,"INSTITUCIONES AMIGAS DE LA MUJER Y LA INFANCIA (IAMI)",IF(O79=[1]CURSOS!$D$22,"CUIDADO DEL DONANTE DE ORGANOS",IF(O79=[1]CURSOS!$D$23,"ATENCION A VICTIMAS POR VIOLENCIA DE GENERO",IF(O79=[1]CURSOS!$D$24,"IGUALDAD DE GENERO EN LA SALUD",IF(O79=[1]CURSOS!$D$25,"BRIGADA DE EMERGENCIA",IF(O79=[1]CURSOS!$D$26,"MANEJO DEL DOLOR Y CUIDADOS PALIATIVOS",IF(O79=[1]CURSOS!$D$27,"TOMA DE MUESTRAS Y LABORATORIO POCT",IF(O79=[1]CURSOS!$D$28,"IMPLANTE SUBDERMICO DE DISPOSITIVO INTRAUTERINO",IF(O79=[1]CURSOS!$D$29,"SALUD MENTAL",IF(O79=[1]CURSOS!$D$30,"PRIMEROS AUXILIOS PSICOLOGICOS",IF(O79=[1]CURSOS!$D$31,"ATENCION A VICTIMAS POR CONFLICTO ARMADO",IF(O79=[1]CURSOS!$D$32,"MANIPULACION DE ALIMENTOS Y BPM",IF(O79=[1]CURSOS!$D$33,"ATENCION A PERSONAS CON DISCAPACIDAD",IF(O79=[1]CURSOS!$D$34,"CUIDADO INTEGRAL DEL PACIENTE ADULTO",IF(O79=[1]CURSOS!$D$35,"MANEJO DEFENSIVO",IF(O79=[1]CURSOS!$D$36,"SOPORTE CARDIOVASCULAR AVANZADO NEONATAL",IF(O79=[1]CURSOS!$D$37,"SEGURIDAD DEL PACIENTE")))))))))))))))))))))))))))))))))))</f>
        <v>ATENCION INTEGRAL EN ENFERMEDADES PREVALENTES EN PRIMERA INFANCIA (AIEPI)</v>
      </c>
      <c r="V79" s="52" t="str">
        <f t="shared" si="9"/>
        <v>Juan Sebastián Orbes Henandez</v>
      </c>
      <c r="W79" s="52" t="str">
        <f t="shared" si="10"/>
        <v>Juan Sebastián Orbes Henandez</v>
      </c>
      <c r="X79" s="52" t="str">
        <f t="shared" si="11"/>
        <v>Juan Sebastián Orbes Henandez-1085335424-AIEPI</v>
      </c>
    </row>
    <row r="80" spans="1:24" s="55" customFormat="1" x14ac:dyDescent="0.2">
      <c r="A80" s="17">
        <v>79</v>
      </c>
      <c r="B80" s="80">
        <v>1087127106</v>
      </c>
      <c r="C80" s="50" t="s">
        <v>571</v>
      </c>
      <c r="D80" s="50" t="s">
        <v>572</v>
      </c>
      <c r="E80" s="50" t="s">
        <v>573</v>
      </c>
      <c r="F80" s="50" t="s">
        <v>343</v>
      </c>
      <c r="G80" s="66">
        <v>15</v>
      </c>
      <c r="H80" s="66" t="s">
        <v>181</v>
      </c>
      <c r="I80" s="66" t="s">
        <v>519</v>
      </c>
      <c r="J80" s="16">
        <v>45520</v>
      </c>
      <c r="K80" s="19">
        <v>0</v>
      </c>
      <c r="L80" s="66" t="s">
        <v>556</v>
      </c>
      <c r="M80" s="66" t="s">
        <v>86</v>
      </c>
      <c r="N80" s="66" t="s">
        <v>539</v>
      </c>
      <c r="O80" s="67" t="s">
        <v>19</v>
      </c>
      <c r="P80" s="50"/>
      <c r="Q80" s="66"/>
      <c r="R80" s="17"/>
      <c r="S80" s="50"/>
      <c r="T80" s="50"/>
      <c r="U80" s="52" t="str">
        <f>IF(O80=[1]CURSOS!$D$3,"DIPLOMADO EN ATENCION PRE-HOSPITALARIA",IF(O80=[1]CURSOS!$D$4,"ACOMPAÑAMIENTO Y MANEJO DEL DUELO",IF(O80=[1]CURSOS!$D$5,"ATENCION A VICTIMAS DE ATAQUE CON AGENTES QUIMICOS ",IF(O80=[1]CURSOS!$D$6,"PRIMEROS AUXILIOS ",IF(O80=[1]CURSOS!$D$7,"DIPLOMADO DE UNIDAD DE CUIDADOS INTENSIVOS (UCI)",IF(O80=[1]CURSOS!$D$8,"MODELO DE ATENCION PARA EVENTOS EMERGENTES EN SALUD MENTAL (CODIGO VERDE)",IF(O80=[1]CURSOS!$D$9,"HUMANIZACION EN EL SERVICIO DE LA SALUD Y BUENAS PRACTICAS EN PACIENTE ",IF(O80=[1]CURSOS!$D$10,"CLINICA DE HERIDAS ",IF(O80=[1]CURSOS!$D$11,"TOMA DE CITOLOGIA CERVICO VAGINAL ",IF(O80=[1]CURSOS!$D$12,"SOPORTE CARDIOVASCULAR AVANZADO (ACLS) ",IF(O80=[1]CURSOS!$D$13,"CAMILLERO ",IF(O80=[1]CURSOS!$D$14,"TOMA DE MUESTRAS Y LABORATORIO ",IF(O80=[1]CURSOS!$D$15,"SOPORTE VITAL BASICO (BLS)",IF(O80=[1]CURSOS!$D$16,"ATENCION A VICTIMAS DE VIOLENCIA SEXUAL ",IF(O80=[1]CURSOS!$D$17,"PROGRAMADO AMPLIADO DE INMUNIZACION (PAI - COVID 19)",IF(O80=[1]CURSOS!$D$18,"ATENCION INTEGRAL EN ENFERMEDADES PREVALENTES EN PRIMERA INFANCIA (AIEPI)",IF(O80=[1]CURSOS!$D$19,"ADMINISTRACION DE MEDICAMENTOS, INYECTOLOGIA  Y CANALIZACION ",IF(O80=[1]CURSOS!$D$20,"OPERADOR DE VEHICULOS DE EMERGENCIA (OVE)",IF(O80=[1]CURSOS!$D$21,"INSTITUCIONES AMIGAS DE LA MUJER Y LA INFANCIA (IAMI)",IF(O80=[1]CURSOS!$D$22,"CUIDADO DEL DONANTE DE ORGANOS",IF(O80=[1]CURSOS!$D$23,"ATENCION A VICTIMAS POR VIOLENCIA DE GENERO",IF(O80=[1]CURSOS!$D$24,"IGUALDAD DE GENERO EN LA SALUD",IF(O80=[1]CURSOS!$D$25,"BRIGADA DE EMERGENCIA",IF(O80=[1]CURSOS!$D$26,"MANEJO DEL DOLOR Y CUIDADOS PALIATIVOS",IF(O80=[1]CURSOS!$D$27,"TOMA DE MUESTRAS Y LABORATORIO POCT",IF(O80=[1]CURSOS!$D$28,"IMPLANTE SUBDERMICO DE DISPOSITIVO INTRAUTERINO",IF(O80=[1]CURSOS!$D$29,"SALUD MENTAL",IF(O80=[1]CURSOS!$D$30,"PRIMEROS AUXILIOS PSICOLOGICOS",IF(O80=[1]CURSOS!$D$31,"ATENCION A VICTIMAS POR CONFLICTO ARMADO",IF(O80=[1]CURSOS!$D$32,"MANIPULACION DE ALIMENTOS Y BPM",IF(O80=[1]CURSOS!$D$33,"ATENCION A PERSONAS CON DISCAPACIDAD",IF(O80=[1]CURSOS!$D$34,"CUIDADO INTEGRAL DEL PACIENTE ADULTO",IF(O80=[1]CURSOS!$D$35,"MANEJO DEFENSIVO",IF(O80=[1]CURSOS!$D$36,"SOPORTE CARDIOVASCULAR AVANZADO NEONATAL",IF(O80=[1]CURSOS!$D$37,"SEGURIDAD DEL PACIENTE")))))))))))))))))))))))))))))))))))</f>
        <v>SOPORTE VITAL BASICO (BLS)</v>
      </c>
      <c r="V80" s="52" t="str">
        <f t="shared" si="9"/>
        <v>Kelly Johana Valencia Estupiñan</v>
      </c>
      <c r="W80" s="52" t="str">
        <f t="shared" si="10"/>
        <v>Kelly Johana Valencia Estupiñan</v>
      </c>
      <c r="X80" s="52" t="str">
        <f t="shared" si="11"/>
        <v>Kelly Johana Valencia Estupiñan-1087127106-BLS</v>
      </c>
    </row>
    <row r="81" spans="1:24" s="55" customFormat="1" x14ac:dyDescent="0.2">
      <c r="A81" s="17">
        <v>80</v>
      </c>
      <c r="B81" s="80">
        <v>98397460</v>
      </c>
      <c r="C81" s="50" t="s">
        <v>96</v>
      </c>
      <c r="D81" s="50" t="s">
        <v>574</v>
      </c>
      <c r="E81" s="50" t="s">
        <v>569</v>
      </c>
      <c r="F81" s="187" t="s">
        <v>312</v>
      </c>
      <c r="G81" s="188">
        <v>16</v>
      </c>
      <c r="H81" s="171" t="s">
        <v>181</v>
      </c>
      <c r="I81" s="171" t="s">
        <v>519</v>
      </c>
      <c r="J81" s="182">
        <v>45520</v>
      </c>
      <c r="K81" s="181">
        <v>30000</v>
      </c>
      <c r="L81" s="188" t="s">
        <v>322</v>
      </c>
      <c r="M81" s="188" t="s">
        <v>86</v>
      </c>
      <c r="N81" s="188" t="s">
        <v>320</v>
      </c>
      <c r="O81" s="189" t="s">
        <v>23</v>
      </c>
      <c r="P81" s="18">
        <v>28223</v>
      </c>
      <c r="Q81" s="66" t="s">
        <v>316</v>
      </c>
      <c r="R81" s="17" t="s">
        <v>315</v>
      </c>
      <c r="S81" s="50">
        <v>3117802694</v>
      </c>
      <c r="T81" s="50" t="s">
        <v>575</v>
      </c>
      <c r="U81" s="52" t="str">
        <f>IF(O81=[1]CURSOS!$D$3,"DIPLOMADO EN ATENCION PRE-HOSPITALARIA",IF(O81=[1]CURSOS!$D$4,"ACOMPAÑAMIENTO Y MANEJO DEL DUELO",IF(O81=[1]CURSOS!$D$5,"ATENCION A VICTIMAS DE ATAQUE CON AGENTES QUIMICOS ",IF(O81=[1]CURSOS!$D$6,"PRIMEROS AUXILIOS ",IF(O81=[1]CURSOS!$D$7,"DIPLOMADO DE UNIDAD DE CUIDADOS INTENSIVOS (UCI)",IF(O81=[1]CURSOS!$D$8,"MODELO DE ATENCION PARA EVENTOS EMERGENTES EN SALUD MENTAL (CODIGO VERDE)",IF(O81=[1]CURSOS!$D$9,"HUMANIZACION EN EL SERVICIO DE LA SALUD Y BUENAS PRACTICAS EN PACIENTE ",IF(O81=[1]CURSOS!$D$10,"CLINICA DE HERIDAS ",IF(O81=[1]CURSOS!$D$11,"TOMA DE CITOLOGIA CERVICO VAGINAL ",IF(O81=[1]CURSOS!$D$12,"SOPORTE CARDIOVASCULAR AVANZADO (ACLS) ",IF(O81=[1]CURSOS!$D$13,"CAMILLERO ",IF(O81=[1]CURSOS!$D$14,"TOMA DE MUESTRAS Y LABORATORIO ",IF(O81=[1]CURSOS!$D$15,"SOPORTE VITAL BASICO (BLS)",IF(O81=[1]CURSOS!$D$16,"ATENCION A VICTIMAS DE VIOLENCIA SEXUAL ",IF(O81=[1]CURSOS!$D$17,"PROGRAMADO AMPLIADO DE INMUNIZACION (PAI - COVID 19)",IF(O81=[1]CURSOS!$D$18,"ATENCION INTEGRAL EN ENFERMEDADES PREVALENTES EN PRIMERA INFANCIA (AIEPI)",IF(O81=[1]CURSOS!$D$19,"ADMINISTRACION DE MEDICAMENTOS, INYECTOLOGIA  Y CANALIZACION ",IF(O81=[1]CURSOS!$D$20,"OPERADOR DE VEHICULOS DE EMERGENCIA (OVE)",IF(O81=[1]CURSOS!$D$21,"INSTITUCIONES AMIGAS DE LA MUJER Y LA INFANCIA (IAMI)",IF(O81=[1]CURSOS!$D$22,"CUIDADO DEL DONANTE DE ORGANOS",IF(O81=[1]CURSOS!$D$23,"ATENCION A VICTIMAS POR VIOLENCIA DE GENERO",IF(O81=[1]CURSOS!$D$24,"IGUALDAD DE GENERO EN LA SALUD",IF(O81=[1]CURSOS!$D$25,"BRIGADA DE EMERGENCIA",IF(O81=[1]CURSOS!$D$26,"MANEJO DEL DOLOR Y CUIDADOS PALIATIVOS",IF(O81=[1]CURSOS!$D$27,"TOMA DE MUESTRAS Y LABORATORIO POCT",IF(O81=[1]CURSOS!$D$28,"IMPLANTE SUBDERMICO DE DISPOSITIVO INTRAUTERINO",IF(O81=[1]CURSOS!$D$29,"SALUD MENTAL",IF(O81=[1]CURSOS!$D$30,"PRIMEROS AUXILIOS PSICOLOGICOS",IF(O81=[1]CURSOS!$D$31,"ATENCION A VICTIMAS POR CONFLICTO ARMADO",IF(O81=[1]CURSOS!$D$32,"MANIPULACION DE ALIMENTOS Y BPM",IF(O81=[1]CURSOS!$D$33,"ATENCION A PERSONAS CON DISCAPACIDAD",IF(O81=[1]CURSOS!$D$34,"CUIDADO INTEGRAL DEL PACIENTE ADULTO",IF(O81=[1]CURSOS!$D$35,"MANEJO DEFENSIVO",IF(O81=[1]CURSOS!$D$36,"SOPORTE CARDIOVASCULAR AVANZADO NEONATAL",IF(O81=[1]CURSOS!$D$37,"SEGURIDAD DEL PACIENTE")))))))))))))))))))))))))))))))))))</f>
        <v>ACOMPAÑAMIENTO Y MANEJO DEL DUELO</v>
      </c>
      <c r="V81" s="52" t="str">
        <f t="shared" si="9"/>
        <v>Juan Carlos Benavides Quenan</v>
      </c>
      <c r="W81" s="52" t="str">
        <f t="shared" si="10"/>
        <v>Juan Carlos Benavides Quenan</v>
      </c>
      <c r="X81" s="52" t="str">
        <f t="shared" si="11"/>
        <v>Juan Carlos Benavides Quenan-98397460-DUELO</v>
      </c>
    </row>
    <row r="82" spans="1:24" s="55" customFormat="1" x14ac:dyDescent="0.2">
      <c r="A82" s="17">
        <v>81</v>
      </c>
      <c r="B82" s="80">
        <v>1085270836</v>
      </c>
      <c r="C82" s="50" t="s">
        <v>576</v>
      </c>
      <c r="D82" s="50" t="s">
        <v>577</v>
      </c>
      <c r="E82" s="50" t="s">
        <v>343</v>
      </c>
      <c r="F82" s="187" t="s">
        <v>347</v>
      </c>
      <c r="G82" s="188">
        <v>16</v>
      </c>
      <c r="H82" s="171" t="s">
        <v>181</v>
      </c>
      <c r="I82" s="171" t="s">
        <v>519</v>
      </c>
      <c r="J82" s="182">
        <v>45520</v>
      </c>
      <c r="K82" s="181">
        <v>40000</v>
      </c>
      <c r="L82" s="188" t="s">
        <v>322</v>
      </c>
      <c r="M82" s="188" t="s">
        <v>86</v>
      </c>
      <c r="N82" s="188" t="s">
        <v>334</v>
      </c>
      <c r="O82" s="189" t="s">
        <v>19</v>
      </c>
      <c r="P82" s="18">
        <v>32363</v>
      </c>
      <c r="Q82" s="66" t="s">
        <v>309</v>
      </c>
      <c r="R82" s="17" t="s">
        <v>578</v>
      </c>
      <c r="S82" s="50">
        <v>3163877010</v>
      </c>
      <c r="T82" s="50" t="s">
        <v>579</v>
      </c>
      <c r="U82" s="52" t="str">
        <f>IF(O82=[1]CURSOS!$D$3,"DIPLOMADO EN ATENCION PRE-HOSPITALARIA",IF(O82=[1]CURSOS!$D$4,"ACOMPAÑAMIENTO Y MANEJO DEL DUELO",IF(O82=[1]CURSOS!$D$5,"ATENCION A VICTIMAS DE ATAQUE CON AGENTES QUIMICOS ",IF(O82=[1]CURSOS!$D$6,"PRIMEROS AUXILIOS ",IF(O82=[1]CURSOS!$D$7,"DIPLOMADO DE UNIDAD DE CUIDADOS INTENSIVOS (UCI)",IF(O82=[1]CURSOS!$D$8,"MODELO DE ATENCION PARA EVENTOS EMERGENTES EN SALUD MENTAL (CODIGO VERDE)",IF(O82=[1]CURSOS!$D$9,"HUMANIZACION EN EL SERVICIO DE LA SALUD Y BUENAS PRACTICAS EN PACIENTE ",IF(O82=[1]CURSOS!$D$10,"CLINICA DE HERIDAS ",IF(O82=[1]CURSOS!$D$11,"TOMA DE CITOLOGIA CERVICO VAGINAL ",IF(O82=[1]CURSOS!$D$12,"SOPORTE CARDIOVASCULAR AVANZADO (ACLS) ",IF(O82=[1]CURSOS!$D$13,"CAMILLERO ",IF(O82=[1]CURSOS!$D$14,"TOMA DE MUESTRAS Y LABORATORIO ",IF(O82=[1]CURSOS!$D$15,"SOPORTE VITAL BASICO (BLS)",IF(O82=[1]CURSOS!$D$16,"ATENCION A VICTIMAS DE VIOLENCIA SEXUAL ",IF(O82=[1]CURSOS!$D$17,"PROGRAMADO AMPLIADO DE INMUNIZACION (PAI - COVID 19)",IF(O82=[1]CURSOS!$D$18,"ATENCION INTEGRAL EN ENFERMEDADES PREVALENTES EN PRIMERA INFANCIA (AIEPI)",IF(O82=[1]CURSOS!$D$19,"ADMINISTRACION DE MEDICAMENTOS, INYECTOLOGIA  Y CANALIZACION ",IF(O82=[1]CURSOS!$D$20,"OPERADOR DE VEHICULOS DE EMERGENCIA (OVE)",IF(O82=[1]CURSOS!$D$21,"INSTITUCIONES AMIGAS DE LA MUJER Y LA INFANCIA (IAMI)",IF(O82=[1]CURSOS!$D$22,"CUIDADO DEL DONANTE DE ORGANOS",IF(O82=[1]CURSOS!$D$23,"ATENCION A VICTIMAS POR VIOLENCIA DE GENERO",IF(O82=[1]CURSOS!$D$24,"IGUALDAD DE GENERO EN LA SALUD",IF(O82=[1]CURSOS!$D$25,"BRIGADA DE EMERGENCIA",IF(O82=[1]CURSOS!$D$26,"MANEJO DEL DOLOR Y CUIDADOS PALIATIVOS",IF(O82=[1]CURSOS!$D$27,"TOMA DE MUESTRAS Y LABORATORIO POCT",IF(O82=[1]CURSOS!$D$28,"IMPLANTE SUBDERMICO DE DISPOSITIVO INTRAUTERINO",IF(O82=[1]CURSOS!$D$29,"SALUD MENTAL",IF(O82=[1]CURSOS!$D$30,"PRIMEROS AUXILIOS PSICOLOGICOS",IF(O82=[1]CURSOS!$D$31,"ATENCION A VICTIMAS POR CONFLICTO ARMADO",IF(O82=[1]CURSOS!$D$32,"MANIPULACION DE ALIMENTOS Y BPM",IF(O82=[1]CURSOS!$D$33,"ATENCION A PERSONAS CON DISCAPACIDAD",IF(O82=[1]CURSOS!$D$34,"CUIDADO INTEGRAL DEL PACIENTE ADULTO",IF(O82=[1]CURSOS!$D$35,"MANEJO DEFENSIVO",IF(O82=[1]CURSOS!$D$36,"SOPORTE CARDIOVASCULAR AVANZADO NEONATAL",IF(O82=[1]CURSOS!$D$37,"SEGURIDAD DEL PACIENTE")))))))))))))))))))))))))))))))))))</f>
        <v>SOPORTE VITAL BASICO (BLS)</v>
      </c>
      <c r="V82" s="52" t="str">
        <f t="shared" si="9"/>
        <v>Johana Marcela Puerres Hidalgo</v>
      </c>
      <c r="W82" s="52" t="str">
        <f t="shared" si="10"/>
        <v>Johana Marcela Puerres Hidalgo</v>
      </c>
      <c r="X82" s="52" t="str">
        <f t="shared" si="11"/>
        <v>Johana Marcela Puerres Hidalgo-1085270836-BLS</v>
      </c>
    </row>
    <row r="83" spans="1:24" s="55" customFormat="1" x14ac:dyDescent="0.2">
      <c r="A83" s="17">
        <v>82</v>
      </c>
      <c r="B83" s="80">
        <v>1085248219</v>
      </c>
      <c r="C83" s="50" t="s">
        <v>214</v>
      </c>
      <c r="D83" s="50" t="s">
        <v>553</v>
      </c>
      <c r="E83" s="50" t="s">
        <v>580</v>
      </c>
      <c r="F83" s="187" t="s">
        <v>101</v>
      </c>
      <c r="G83" s="188">
        <v>16</v>
      </c>
      <c r="H83" s="171" t="s">
        <v>181</v>
      </c>
      <c r="I83" s="171" t="s">
        <v>519</v>
      </c>
      <c r="J83" s="182">
        <v>45521</v>
      </c>
      <c r="K83" s="181">
        <v>32000</v>
      </c>
      <c r="L83" s="188" t="s">
        <v>328</v>
      </c>
      <c r="M83" s="188" t="s">
        <v>86</v>
      </c>
      <c r="N83" s="188" t="s">
        <v>326</v>
      </c>
      <c r="O83" s="189" t="s">
        <v>46</v>
      </c>
      <c r="P83" s="18">
        <v>31387</v>
      </c>
      <c r="Q83" s="66" t="s">
        <v>316</v>
      </c>
      <c r="R83" s="158" t="s">
        <v>432</v>
      </c>
      <c r="S83" s="50">
        <v>3172738929</v>
      </c>
      <c r="T83" s="50" t="s">
        <v>581</v>
      </c>
      <c r="U83" s="52" t="str">
        <f>IF(O83=[1]CURSOS!$D$3,"DIPLOMADO EN ATENCION PRE-HOSPITALARIA",IF(O83=[1]CURSOS!$D$4,"ACOMPAÑAMIENTO Y MANEJO DEL DUELO",IF(O83=[1]CURSOS!$D$5,"ATENCION A VICTIMAS DE ATAQUE CON AGENTES QUIMICOS ",IF(O83=[1]CURSOS!$D$6,"PRIMEROS AUXILIOS ",IF(O83=[1]CURSOS!$D$7,"DIPLOMADO DE UNIDAD DE CUIDADOS INTENSIVOS (UCI)",IF(O83=[1]CURSOS!$D$8,"MODELO DE ATENCION PARA EVENTOS EMERGENTES EN SALUD MENTAL (CODIGO VERDE)",IF(O83=[1]CURSOS!$D$9,"HUMANIZACION EN EL SERVICIO DE LA SALUD Y BUENAS PRACTICAS EN PACIENTE ",IF(O83=[1]CURSOS!$D$10,"CLINICA DE HERIDAS ",IF(O83=[1]CURSOS!$D$11,"TOMA DE CITOLOGIA CERVICO VAGINAL ",IF(O83=[1]CURSOS!$D$12,"SOPORTE CARDIOVASCULAR AVANZADO (ACLS) ",IF(O83=[1]CURSOS!$D$13,"CAMILLERO ",IF(O83=[1]CURSOS!$D$14,"TOMA DE MUESTRAS Y LABORATORIO ",IF(O83=[1]CURSOS!$D$15,"SOPORTE VITAL BASICO (BLS)",IF(O83=[1]CURSOS!$D$16,"ATENCION A VICTIMAS DE VIOLENCIA SEXUAL ",IF(O83=[1]CURSOS!$D$17,"PROGRAMADO AMPLIADO DE INMUNIZACION (PAI - COVID 19)",IF(O83=[1]CURSOS!$D$18,"ATENCION INTEGRAL EN ENFERMEDADES PREVALENTES EN PRIMERA INFANCIA (AIEPI)",IF(O83=[1]CURSOS!$D$19,"ADMINISTRACION DE MEDICAMENTOS, INYECTOLOGIA  Y CANALIZACION ",IF(O83=[1]CURSOS!$D$20,"OPERADOR DE VEHICULOS DE EMERGENCIA (OVE)",IF(O83=[1]CURSOS!$D$21,"INSTITUCIONES AMIGAS DE LA MUJER Y LA INFANCIA (IAMI)",IF(O83=[1]CURSOS!$D$22,"CUIDADO DEL DONANTE DE ORGANOS",IF(O83=[1]CURSOS!$D$23,"ATENCION A VICTIMAS POR VIOLENCIA DE GENERO",IF(O83=[1]CURSOS!$D$24,"IGUALDAD DE GENERO EN LA SALUD",IF(O83=[1]CURSOS!$D$25,"BRIGADA DE EMERGENCIA",IF(O83=[1]CURSOS!$D$26,"MANEJO DEL DOLOR Y CUIDADOS PALIATIVOS",IF(O83=[1]CURSOS!$D$27,"TOMA DE MUESTRAS Y LABORATORIO POCT",IF(O83=[1]CURSOS!$D$28,"IMPLANTE SUBDERMICO DE DISPOSITIVO INTRAUTERINO",IF(O83=[1]CURSOS!$D$29,"SALUD MENTAL",IF(O83=[1]CURSOS!$D$30,"PRIMEROS AUXILIOS PSICOLOGICOS",IF(O83=[1]CURSOS!$D$31,"ATENCION A VICTIMAS POR CONFLICTO ARMADO",IF(O83=[1]CURSOS!$D$32,"MANIPULACION DE ALIMENTOS Y BPM",IF(O83=[1]CURSOS!$D$33,"ATENCION A PERSONAS CON DISCAPACIDAD",IF(O83=[1]CURSOS!$D$34,"CUIDADO INTEGRAL DEL PACIENTE ADULTO",IF(O83=[1]CURSOS!$D$35,"MANEJO DEFENSIVO",IF(O83=[1]CURSOS!$D$36,"SOPORTE CARDIOVASCULAR AVANZADO NEONATAL",IF(O83=[1]CURSOS!$D$37,"SEGURIDAD DEL PACIENTE")))))))))))))))))))))))))))))))))))</f>
        <v>ATENCION INTEGRAL EN ENFERMEDADES PREVALENTES EN PRIMERA INFANCIA (AIEPI)</v>
      </c>
      <c r="V83" s="52" t="str">
        <f t="shared" si="9"/>
        <v>Diego Luis Lagos Caicedo</v>
      </c>
      <c r="W83" s="52" t="str">
        <f t="shared" si="10"/>
        <v>Diego Luis Lagos Caicedo</v>
      </c>
      <c r="X83" s="52" t="str">
        <f t="shared" si="11"/>
        <v>Diego Luis Lagos Caicedo-1085248219-AIEPI</v>
      </c>
    </row>
    <row r="84" spans="1:24" s="55" customFormat="1" x14ac:dyDescent="0.2">
      <c r="A84" s="17">
        <v>83</v>
      </c>
      <c r="B84" s="80">
        <v>87712871</v>
      </c>
      <c r="C84" s="50" t="s">
        <v>582</v>
      </c>
      <c r="D84" s="50" t="s">
        <v>583</v>
      </c>
      <c r="E84" s="50" t="s">
        <v>312</v>
      </c>
      <c r="F84" s="187" t="s">
        <v>584</v>
      </c>
      <c r="G84" s="188">
        <v>17</v>
      </c>
      <c r="H84" s="171" t="s">
        <v>181</v>
      </c>
      <c r="I84" s="171" t="s">
        <v>519</v>
      </c>
      <c r="J84" s="182">
        <v>45524</v>
      </c>
      <c r="K84" s="181">
        <v>50000</v>
      </c>
      <c r="L84" s="188" t="s">
        <v>322</v>
      </c>
      <c r="M84" s="188" t="s">
        <v>86</v>
      </c>
      <c r="N84" s="188" t="s">
        <v>308</v>
      </c>
      <c r="O84" s="189" t="s">
        <v>19</v>
      </c>
      <c r="P84" s="18">
        <v>25359</v>
      </c>
      <c r="Q84" s="66" t="s">
        <v>316</v>
      </c>
      <c r="R84" s="17" t="s">
        <v>586</v>
      </c>
      <c r="S84" s="50">
        <v>3174824479</v>
      </c>
      <c r="T84" s="50" t="s">
        <v>585</v>
      </c>
      <c r="U84" s="52" t="str">
        <f>IF(O84=[1]CURSOS!$D$3,"DIPLOMADO EN ATENCION PRE-HOSPITALARIA",IF(O84=[1]CURSOS!$D$4,"ACOMPAÑAMIENTO Y MANEJO DEL DUELO",IF(O84=[1]CURSOS!$D$5,"ATENCION A VICTIMAS DE ATAQUE CON AGENTES QUIMICOS ",IF(O84=[1]CURSOS!$D$6,"PRIMEROS AUXILIOS ",IF(O84=[1]CURSOS!$D$7,"DIPLOMADO DE UNIDAD DE CUIDADOS INTENSIVOS (UCI)",IF(O84=[1]CURSOS!$D$8,"MODELO DE ATENCION PARA EVENTOS EMERGENTES EN SALUD MENTAL (CODIGO VERDE)",IF(O84=[1]CURSOS!$D$9,"HUMANIZACION EN EL SERVICIO DE LA SALUD Y BUENAS PRACTICAS EN PACIENTE ",IF(O84=[1]CURSOS!$D$10,"CLINICA DE HERIDAS ",IF(O84=[1]CURSOS!$D$11,"TOMA DE CITOLOGIA CERVICO VAGINAL ",IF(O84=[1]CURSOS!$D$12,"SOPORTE CARDIOVASCULAR AVANZADO (ACLS) ",IF(O84=[1]CURSOS!$D$13,"CAMILLERO ",IF(O84=[1]CURSOS!$D$14,"TOMA DE MUESTRAS Y LABORATORIO ",IF(O84=[1]CURSOS!$D$15,"SOPORTE VITAL BASICO (BLS)",IF(O84=[1]CURSOS!$D$16,"ATENCION A VICTIMAS DE VIOLENCIA SEXUAL ",IF(O84=[1]CURSOS!$D$17,"PROGRAMADO AMPLIADO DE INMUNIZACION (PAI - COVID 19)",IF(O84=[1]CURSOS!$D$18,"ATENCION INTEGRAL EN ENFERMEDADES PREVALENTES EN PRIMERA INFANCIA (AIEPI)",IF(O84=[1]CURSOS!$D$19,"ADMINISTRACION DE MEDICAMENTOS, INYECTOLOGIA  Y CANALIZACION ",IF(O84=[1]CURSOS!$D$20,"OPERADOR DE VEHICULOS DE EMERGENCIA (OVE)",IF(O84=[1]CURSOS!$D$21,"INSTITUCIONES AMIGAS DE LA MUJER Y LA INFANCIA (IAMI)",IF(O84=[1]CURSOS!$D$22,"CUIDADO DEL DONANTE DE ORGANOS",IF(O84=[1]CURSOS!$D$23,"ATENCION A VICTIMAS POR VIOLENCIA DE GENERO",IF(O84=[1]CURSOS!$D$24,"IGUALDAD DE GENERO EN LA SALUD",IF(O84=[1]CURSOS!$D$25,"BRIGADA DE EMERGENCIA",IF(O84=[1]CURSOS!$D$26,"MANEJO DEL DOLOR Y CUIDADOS PALIATIVOS",IF(O84=[1]CURSOS!$D$27,"TOMA DE MUESTRAS Y LABORATORIO POCT",IF(O84=[1]CURSOS!$D$28,"IMPLANTE SUBDERMICO DE DISPOSITIVO INTRAUTERINO",IF(O84=[1]CURSOS!$D$29,"SALUD MENTAL",IF(O84=[1]CURSOS!$D$30,"PRIMEROS AUXILIOS PSICOLOGICOS",IF(O84=[1]CURSOS!$D$31,"ATENCION A VICTIMAS POR CONFLICTO ARMADO",IF(O84=[1]CURSOS!$D$32,"MANIPULACION DE ALIMENTOS Y BPM",IF(O84=[1]CURSOS!$D$33,"ATENCION A PERSONAS CON DISCAPACIDAD",IF(O84=[1]CURSOS!$D$34,"CUIDADO INTEGRAL DEL PACIENTE ADULTO",IF(O84=[1]CURSOS!$D$35,"MANEJO DEFENSIVO",IF(O84=[1]CURSOS!$D$36,"SOPORTE CARDIOVASCULAR AVANZADO NEONATAL",IF(O84=[1]CURSOS!$D$37,"SEGURIDAD DEL PACIENTE")))))))))))))))))))))))))))))))))))</f>
        <v>SOPORTE VITAL BASICO (BLS)</v>
      </c>
      <c r="V84" s="52" t="str">
        <f t="shared" si="9"/>
        <v>Carlos Humberto Figueredo Ladino</v>
      </c>
      <c r="W84" s="52" t="str">
        <f t="shared" si="10"/>
        <v>Carlos Humberto Figueredo Ladino</v>
      </c>
      <c r="X84" s="52" t="str">
        <f t="shared" si="11"/>
        <v>Carlos Humberto Figueredo Ladino-87712871-BLS</v>
      </c>
    </row>
    <row r="85" spans="1:24" s="55" customFormat="1" x14ac:dyDescent="0.2">
      <c r="A85" s="17">
        <v>84</v>
      </c>
      <c r="B85" s="80">
        <v>1085286821</v>
      </c>
      <c r="C85" s="50" t="s">
        <v>587</v>
      </c>
      <c r="D85" s="50" t="s">
        <v>466</v>
      </c>
      <c r="E85" s="50" t="s">
        <v>343</v>
      </c>
      <c r="F85" s="50" t="s">
        <v>588</v>
      </c>
      <c r="G85" s="66">
        <v>17</v>
      </c>
      <c r="H85" s="14" t="s">
        <v>181</v>
      </c>
      <c r="I85" s="14" t="s">
        <v>519</v>
      </c>
      <c r="J85" s="16">
        <v>45524</v>
      </c>
      <c r="K85" s="19">
        <v>0</v>
      </c>
      <c r="L85" s="66" t="s">
        <v>556</v>
      </c>
      <c r="M85" s="66" t="s">
        <v>86</v>
      </c>
      <c r="N85" s="66" t="s">
        <v>308</v>
      </c>
      <c r="O85" s="67" t="s">
        <v>38</v>
      </c>
      <c r="P85" s="18">
        <v>33299</v>
      </c>
      <c r="Q85" s="66" t="s">
        <v>309</v>
      </c>
      <c r="R85" s="17" t="s">
        <v>315</v>
      </c>
      <c r="S85" s="50">
        <v>3177293562</v>
      </c>
      <c r="T85" s="50" t="s">
        <v>589</v>
      </c>
      <c r="U85" s="52" t="str">
        <f>IF(O85=[1]CURSOS!$D$3,"DIPLOMADO EN ATENCION PRE-HOSPITALARIA",IF(O85=[1]CURSOS!$D$4,"ACOMPAÑAMIENTO Y MANEJO DEL DUELO",IF(O85=[1]CURSOS!$D$5,"ATENCION A VICTIMAS DE ATAQUE CON AGENTES QUIMICOS ",IF(O85=[1]CURSOS!$D$6,"PRIMEROS AUXILIOS ",IF(O85=[1]CURSOS!$D$7,"DIPLOMADO DE UNIDAD DE CUIDADOS INTENSIVOS (UCI)",IF(O85=[1]CURSOS!$D$8,"MODELO DE ATENCION PARA EVENTOS EMERGENTES EN SALUD MENTAL (CODIGO VERDE)",IF(O85=[1]CURSOS!$D$9,"HUMANIZACION EN EL SERVICIO DE LA SALUD Y BUENAS PRACTICAS EN PACIENTE ",IF(O85=[1]CURSOS!$D$10,"CLINICA DE HERIDAS ",IF(O85=[1]CURSOS!$D$11,"TOMA DE CITOLOGIA CERVICO VAGINAL ",IF(O85=[1]CURSOS!$D$12,"SOPORTE CARDIOVASCULAR AVANZADO (ACLS) ",IF(O85=[1]CURSOS!$D$13,"CAMILLERO ",IF(O85=[1]CURSOS!$D$14,"TOMA DE MUESTRAS Y LABORATORIO ",IF(O85=[1]CURSOS!$D$15,"SOPORTE VITAL BASICO (BLS)",IF(O85=[1]CURSOS!$D$16,"ATENCION A VICTIMAS DE VIOLENCIA SEXUAL ",IF(O85=[1]CURSOS!$D$17,"PROGRAMADO AMPLIADO DE INMUNIZACION (PAI - COVID 19)",IF(O85=[1]CURSOS!$D$18,"ATENCION INTEGRAL EN ENFERMEDADES PREVALENTES EN PRIMERA INFANCIA (AIEPI)",IF(O85=[1]CURSOS!$D$19,"ADMINISTRACION DE MEDICAMENTOS, INYECTOLOGIA  Y CANALIZACION ",IF(O85=[1]CURSOS!$D$20,"OPERADOR DE VEHICULOS DE EMERGENCIA (OVE)",IF(O85=[1]CURSOS!$D$21,"INSTITUCIONES AMIGAS DE LA MUJER Y LA INFANCIA (IAMI)",IF(O85=[1]CURSOS!$D$22,"CUIDADO DEL DONANTE DE ORGANOS",IF(O85=[1]CURSOS!$D$23,"ATENCION A VICTIMAS POR VIOLENCIA DE GENERO",IF(O85=[1]CURSOS!$D$24,"IGUALDAD DE GENERO EN LA SALUD",IF(O85=[1]CURSOS!$D$25,"BRIGADA DE EMERGENCIA",IF(O85=[1]CURSOS!$D$26,"MANEJO DEL DOLOR Y CUIDADOS PALIATIVOS",IF(O85=[1]CURSOS!$D$27,"TOMA DE MUESTRAS Y LABORATORIO POCT",IF(O85=[1]CURSOS!$D$28,"IMPLANTE SUBDERMICO DE DISPOSITIVO INTRAUTERINO",IF(O85=[1]CURSOS!$D$29,"SALUD MENTAL",IF(O85=[1]CURSOS!$D$30,"PRIMEROS AUXILIOS PSICOLOGICOS",IF(O85=[1]CURSOS!$D$31,"ATENCION A VICTIMAS POR CONFLICTO ARMADO",IF(O85=[1]CURSOS!$D$32,"MANIPULACION DE ALIMENTOS Y BPM",IF(O85=[1]CURSOS!$D$33,"ATENCION A PERSONAS CON DISCAPACIDAD",IF(O85=[1]CURSOS!$D$34,"CUIDADO INTEGRAL DEL PACIENTE ADULTO",IF(O85=[1]CURSOS!$D$35,"MANEJO DEFENSIVO",IF(O85=[1]CURSOS!$D$36,"SOPORTE CARDIOVASCULAR AVANZADO NEONATAL",IF(O85=[1]CURSOS!$D$37,"SEGURIDAD DEL PACIENTE")))))))))))))))))))))))))))))))))))</f>
        <v xml:space="preserve">SOPORTE CARDIOVASCULAR AVANZADO (ACLS) </v>
      </c>
      <c r="V85" s="52" t="str">
        <f t="shared" si="9"/>
        <v>Johana Gladimir Tonguino Romero</v>
      </c>
      <c r="W85" s="52" t="str">
        <f t="shared" si="10"/>
        <v>Johana Gladimir Tonguino Romero</v>
      </c>
      <c r="X85" s="52" t="str">
        <f t="shared" si="11"/>
        <v>Johana Gladimir Tonguino Romero-1085286821-ACLS</v>
      </c>
    </row>
    <row r="86" spans="1:24" s="55" customFormat="1" x14ac:dyDescent="0.2">
      <c r="A86" s="17">
        <v>85</v>
      </c>
      <c r="B86" s="80">
        <v>1061794220</v>
      </c>
      <c r="C86" s="50" t="s">
        <v>590</v>
      </c>
      <c r="D86" s="50" t="s">
        <v>591</v>
      </c>
      <c r="E86" s="50" t="s">
        <v>235</v>
      </c>
      <c r="F86" s="187" t="s">
        <v>592</v>
      </c>
      <c r="G86" s="188">
        <v>20</v>
      </c>
      <c r="H86" s="171" t="s">
        <v>181</v>
      </c>
      <c r="I86" s="171" t="s">
        <v>519</v>
      </c>
      <c r="J86" s="182">
        <v>45524</v>
      </c>
      <c r="K86" s="181">
        <v>40000</v>
      </c>
      <c r="L86" s="188" t="s">
        <v>328</v>
      </c>
      <c r="M86" s="188" t="s">
        <v>86</v>
      </c>
      <c r="N86" s="188" t="s">
        <v>334</v>
      </c>
      <c r="O86" s="189" t="s">
        <v>25</v>
      </c>
      <c r="P86" s="18">
        <v>35313</v>
      </c>
      <c r="Q86" s="66" t="s">
        <v>309</v>
      </c>
      <c r="R86" s="17" t="s">
        <v>315</v>
      </c>
      <c r="S86" s="50">
        <v>3103603640</v>
      </c>
      <c r="T86" s="50" t="s">
        <v>593</v>
      </c>
      <c r="U86" s="52" t="str">
        <f>IF(O86=[1]CURSOS!$D$3,"DIPLOMADO EN ATENCION PRE-HOSPITALARIA",IF(O86=[1]CURSOS!$D$4,"ACOMPAÑAMIENTO Y MANEJO DEL DUELO",IF(O86=[1]CURSOS!$D$5,"ATENCION A VICTIMAS DE ATAQUE CON AGENTES QUIMICOS ",IF(O86=[1]CURSOS!$D$6,"PRIMEROS AUXILIOS ",IF(O86=[1]CURSOS!$D$7,"DIPLOMADO DE UNIDAD DE CUIDADOS INTENSIVOS (UCI)",IF(O86=[1]CURSOS!$D$8,"MODELO DE ATENCION PARA EVENTOS EMERGENTES EN SALUD MENTAL (CODIGO VERDE)",IF(O86=[1]CURSOS!$D$9,"HUMANIZACION EN EL SERVICIO DE LA SALUD Y BUENAS PRACTICAS EN PACIENTE ",IF(O86=[1]CURSOS!$D$10,"CLINICA DE HERIDAS ",IF(O86=[1]CURSOS!$D$11,"TOMA DE CITOLOGIA CERVICO VAGINAL ",IF(O86=[1]CURSOS!$D$12,"SOPORTE CARDIOVASCULAR AVANZADO (ACLS) ",IF(O86=[1]CURSOS!$D$13,"CAMILLERO ",IF(O86=[1]CURSOS!$D$14,"TOMA DE MUESTRAS Y LABORATORIO ",IF(O86=[1]CURSOS!$D$15,"SOPORTE VITAL BASICO (BLS)",IF(O86=[1]CURSOS!$D$16,"ATENCION A VICTIMAS DE VIOLENCIA SEXUAL ",IF(O86=[1]CURSOS!$D$17,"PROGRAMADO AMPLIADO DE INMUNIZACION (PAI - COVID 19)",IF(O86=[1]CURSOS!$D$18,"ATENCION INTEGRAL EN ENFERMEDADES PREVALENTES EN PRIMERA INFANCIA (AIEPI)",IF(O86=[1]CURSOS!$D$19,"ADMINISTRACION DE MEDICAMENTOS, INYECTOLOGIA  Y CANALIZACION ",IF(O86=[1]CURSOS!$D$20,"OPERADOR DE VEHICULOS DE EMERGENCIA (OVE)",IF(O86=[1]CURSOS!$D$21,"INSTITUCIONES AMIGAS DE LA MUJER Y LA INFANCIA (IAMI)",IF(O86=[1]CURSOS!$D$22,"CUIDADO DEL DONANTE DE ORGANOS",IF(O86=[1]CURSOS!$D$23,"ATENCION A VICTIMAS POR VIOLENCIA DE GENERO",IF(O86=[1]CURSOS!$D$24,"IGUALDAD DE GENERO EN LA SALUD",IF(O86=[1]CURSOS!$D$25,"BRIGADA DE EMERGENCIA",IF(O86=[1]CURSOS!$D$26,"MANEJO DEL DOLOR Y CUIDADOS PALIATIVOS",IF(O86=[1]CURSOS!$D$27,"TOMA DE MUESTRAS Y LABORATORIO POCT",IF(O86=[1]CURSOS!$D$28,"IMPLANTE SUBDERMICO DE DISPOSITIVO INTRAUTERINO",IF(O86=[1]CURSOS!$D$29,"SALUD MENTAL",IF(O86=[1]CURSOS!$D$30,"PRIMEROS AUXILIOS PSICOLOGICOS",IF(O86=[1]CURSOS!$D$31,"ATENCION A VICTIMAS POR CONFLICTO ARMADO",IF(O86=[1]CURSOS!$D$32,"MANIPULACION DE ALIMENTOS Y BPM",IF(O86=[1]CURSOS!$D$33,"ATENCION A PERSONAS CON DISCAPACIDAD",IF(O86=[1]CURSOS!$D$34,"CUIDADO INTEGRAL DEL PACIENTE ADULTO",IF(O86=[1]CURSOS!$D$35,"MANEJO DEFENSIVO",IF(O86=[1]CURSOS!$D$36,"SOPORTE CARDIOVASCULAR AVANZADO NEONATAL",IF(O86=[1]CURSOS!$D$37,"SEGURIDAD DEL PACIENTE")))))))))))))))))))))))))))))))))))</f>
        <v xml:space="preserve">ATENCION A VICTIMAS DE ATAQUE CON AGENTES QUIMICOS </v>
      </c>
      <c r="V86" s="52" t="str">
        <f t="shared" si="9"/>
        <v>Jessica Vannesa Diaz Santacruz</v>
      </c>
      <c r="W86" s="52" t="str">
        <f t="shared" si="10"/>
        <v>Jessica Vannesa Diaz Santacruz</v>
      </c>
      <c r="X86" s="52" t="str">
        <f t="shared" si="11"/>
        <v>Jessica Vannesa Diaz Santacruz-1061794220-QUIMICOS</v>
      </c>
    </row>
    <row r="87" spans="1:24" s="55" customFormat="1" x14ac:dyDescent="0.2">
      <c r="A87" s="17">
        <v>86</v>
      </c>
      <c r="B87" s="80">
        <v>1233190821</v>
      </c>
      <c r="C87" s="50" t="s">
        <v>594</v>
      </c>
      <c r="D87" s="50" t="s">
        <v>146</v>
      </c>
      <c r="E87" s="50" t="s">
        <v>381</v>
      </c>
      <c r="F87" s="187" t="s">
        <v>133</v>
      </c>
      <c r="G87" s="188">
        <v>21</v>
      </c>
      <c r="H87" s="171" t="s">
        <v>443</v>
      </c>
      <c r="I87" s="171" t="s">
        <v>519</v>
      </c>
      <c r="J87" s="182">
        <v>45525</v>
      </c>
      <c r="K87" s="181">
        <v>30000</v>
      </c>
      <c r="L87" s="188" t="s">
        <v>322</v>
      </c>
      <c r="M87" s="188" t="s">
        <v>86</v>
      </c>
      <c r="N87" s="188" t="s">
        <v>558</v>
      </c>
      <c r="O87" s="189" t="s">
        <v>68</v>
      </c>
      <c r="P87" s="18">
        <v>35758</v>
      </c>
      <c r="Q87" s="66" t="s">
        <v>309</v>
      </c>
      <c r="R87" s="17" t="s">
        <v>315</v>
      </c>
      <c r="S87" s="50">
        <v>3164328890</v>
      </c>
      <c r="T87" s="50" t="s">
        <v>595</v>
      </c>
      <c r="U87" s="52" t="str">
        <f>IF(O87=[1]CURSOS!$D$3,"DIPLOMADO EN ATENCION PRE-HOSPITALARIA",IF(O87=[1]CURSOS!$D$4,"ACOMPAÑAMIENTO Y MANEJO DEL DUELO",IF(O87=[1]CURSOS!$D$5,"ATENCION A VICTIMAS DE ATAQUE CON AGENTES QUIMICOS ",IF(O87=[1]CURSOS!$D$6,"PRIMEROS AUXILIOS ",IF(O87=[1]CURSOS!$D$7,"DIPLOMADO DE UNIDAD DE CUIDADOS INTENSIVOS (UCI)",IF(O87=[1]CURSOS!$D$8,"MODELO DE ATENCION PARA EVENTOS EMERGENTES EN SALUD MENTAL (CODIGO VERDE)",IF(O87=[1]CURSOS!$D$9,"HUMANIZACION EN EL SERVICIO DE LA SALUD Y BUENAS PRACTICAS EN PACIENTE ",IF(O87=[1]CURSOS!$D$10,"CLINICA DE HERIDAS ",IF(O87=[1]CURSOS!$D$11,"TOMA DE CITOLOGIA CERVICO VAGINAL ",IF(O87=[1]CURSOS!$D$12,"SOPORTE CARDIOVASCULAR AVANZADO (ACLS) ",IF(O87=[1]CURSOS!$D$13,"CAMILLERO ",IF(O87=[1]CURSOS!$D$14,"TOMA DE MUESTRAS Y LABORATORIO ",IF(O87=[1]CURSOS!$D$15,"SOPORTE VITAL BASICO (BLS)",IF(O87=[1]CURSOS!$D$16,"ATENCION A VICTIMAS DE VIOLENCIA SEXUAL ",IF(O87=[1]CURSOS!$D$17,"PROGRAMADO AMPLIADO DE INMUNIZACION (PAI - COVID 19)",IF(O87=[1]CURSOS!$D$18,"ATENCION INTEGRAL EN ENFERMEDADES PREVALENTES EN PRIMERA INFANCIA (AIEPI)",IF(O87=[1]CURSOS!$D$19,"ADMINISTRACION DE MEDICAMENTOS, INYECTOLOGIA  Y CANALIZACION ",IF(O87=[1]CURSOS!$D$20,"OPERADOR DE VEHICULOS DE EMERGENCIA (OVE)",IF(O87=[1]CURSOS!$D$21,"INSTITUCIONES AMIGAS DE LA MUJER Y LA INFANCIA (IAMI)",IF(O87=[1]CURSOS!$D$22,"CUIDADO DEL DONANTE DE ORGANOS",IF(O87=[1]CURSOS!$D$23,"ATENCION A VICTIMAS POR VIOLENCIA DE GENERO",IF(O87=[1]CURSOS!$D$24,"IGUALDAD DE GENERO EN LA SALUD",IF(O87=[1]CURSOS!$D$25,"BRIGADA DE EMERGENCIA",IF(O87=[1]CURSOS!$D$26,"MANEJO DEL DOLOR Y CUIDADOS PALIATIVOS",IF(O87=[1]CURSOS!$D$27,"TOMA DE MUESTRAS Y LABORATORIO POCT",IF(O87=[1]CURSOS!$D$28,"IMPLANTE SUBDERMICO DE DISPOSITIVO INTRAUTERINO",IF(O87=[1]CURSOS!$D$29,"SALUD MENTAL",IF(O87=[1]CURSOS!$D$30,"PRIMEROS AUXILIOS PSICOLOGICOS",IF(O87=[1]CURSOS!$D$31,"ATENCION A VICTIMAS POR CONFLICTO ARMADO",IF(O87=[1]CURSOS!$D$32,"MANIPULACION DE ALIMENTOS Y BPM",IF(O87=[1]CURSOS!$D$33,"ATENCION A PERSONAS CON DISCAPACIDAD",IF(O87=[1]CURSOS!$D$34,"CUIDADO INTEGRAL DEL PACIENTE ADULTO",IF(O87=[1]CURSOS!$D$35,"MANEJO DEFENSIVO",IF(O87=[1]CURSOS!$D$36,"SOPORTE CARDIOVASCULAR AVANZADO NEONATAL",IF(O87=[1]CURSOS!$D$37,"SEGURIDAD DEL PACIENTE")))))))))))))))))))))))))))))))))))</f>
        <v>ATENCION A VICTIMAS POR CONFLICTO ARMADO</v>
      </c>
      <c r="V87" s="52" t="str">
        <f t="shared" si="9"/>
        <v>Angie Paola Córdoba Jojoa</v>
      </c>
      <c r="W87" s="52" t="str">
        <f t="shared" si="10"/>
        <v>Angie Paola Córdoba Jojoa</v>
      </c>
      <c r="X87" s="52" t="str">
        <f t="shared" si="11"/>
        <v>Angie Paola Córdoba Jojoa-1233190821-CONFLICTO ARMADO</v>
      </c>
    </row>
    <row r="88" spans="1:24" s="55" customFormat="1" x14ac:dyDescent="0.2">
      <c r="A88" s="17">
        <v>87</v>
      </c>
      <c r="B88" s="80">
        <v>1193383314</v>
      </c>
      <c r="C88" s="50" t="s">
        <v>596</v>
      </c>
      <c r="D88" s="50" t="s">
        <v>92</v>
      </c>
      <c r="E88" s="50" t="s">
        <v>597</v>
      </c>
      <c r="F88" s="187" t="s">
        <v>374</v>
      </c>
      <c r="G88" s="188">
        <v>20</v>
      </c>
      <c r="H88" s="171" t="s">
        <v>181</v>
      </c>
      <c r="I88" s="171" t="s">
        <v>519</v>
      </c>
      <c r="J88" s="182">
        <v>45526</v>
      </c>
      <c r="K88" s="181">
        <v>100000</v>
      </c>
      <c r="L88" s="188" t="s">
        <v>322</v>
      </c>
      <c r="M88" s="188" t="s">
        <v>86</v>
      </c>
      <c r="N88" s="188" t="s">
        <v>320</v>
      </c>
      <c r="O88" s="189" t="s">
        <v>38</v>
      </c>
      <c r="P88" s="18">
        <v>36985</v>
      </c>
      <c r="Q88" s="66" t="s">
        <v>309</v>
      </c>
      <c r="R88" s="17" t="s">
        <v>383</v>
      </c>
      <c r="S88" s="50">
        <v>3128544489</v>
      </c>
      <c r="T88" s="50" t="s">
        <v>598</v>
      </c>
      <c r="U88" s="52" t="str">
        <f>IF(O88=[1]CURSOS!$D$3,"DIPLOMADO EN ATENCION PRE-HOSPITALARIA",IF(O88=[1]CURSOS!$D$4,"ACOMPAÑAMIENTO Y MANEJO DEL DUELO",IF(O88=[1]CURSOS!$D$5,"ATENCION A VICTIMAS DE ATAQUE CON AGENTES QUIMICOS ",IF(O88=[1]CURSOS!$D$6,"PRIMEROS AUXILIOS ",IF(O88=[1]CURSOS!$D$7,"DIPLOMADO DE UNIDAD DE CUIDADOS INTENSIVOS (UCI)",IF(O88=[1]CURSOS!$D$8,"MODELO DE ATENCION PARA EVENTOS EMERGENTES EN SALUD MENTAL (CODIGO VERDE)",IF(O88=[1]CURSOS!$D$9,"HUMANIZACION EN EL SERVICIO DE LA SALUD Y BUENAS PRACTICAS EN PACIENTE ",IF(O88=[1]CURSOS!$D$10,"CLINICA DE HERIDAS ",IF(O88=[1]CURSOS!$D$11,"TOMA DE CITOLOGIA CERVICO VAGINAL ",IF(O88=[1]CURSOS!$D$12,"SOPORTE CARDIOVASCULAR AVANZADO (ACLS) ",IF(O88=[1]CURSOS!$D$13,"CAMILLERO ",IF(O88=[1]CURSOS!$D$14,"TOMA DE MUESTRAS Y LABORATORIO ",IF(O88=[1]CURSOS!$D$15,"SOPORTE VITAL BASICO (BLS)",IF(O88=[1]CURSOS!$D$16,"ATENCION A VICTIMAS DE VIOLENCIA SEXUAL ",IF(O88=[1]CURSOS!$D$17,"PROGRAMADO AMPLIADO DE INMUNIZACION (PAI - COVID 19)",IF(O88=[1]CURSOS!$D$18,"ATENCION INTEGRAL EN ENFERMEDADES PREVALENTES EN PRIMERA INFANCIA (AIEPI)",IF(O88=[1]CURSOS!$D$19,"ADMINISTRACION DE MEDICAMENTOS, INYECTOLOGIA  Y CANALIZACION ",IF(O88=[1]CURSOS!$D$20,"OPERADOR DE VEHICULOS DE EMERGENCIA (OVE)",IF(O88=[1]CURSOS!$D$21,"INSTITUCIONES AMIGAS DE LA MUJER Y LA INFANCIA (IAMI)",IF(O88=[1]CURSOS!$D$22,"CUIDADO DEL DONANTE DE ORGANOS",IF(O88=[1]CURSOS!$D$23,"ATENCION A VICTIMAS POR VIOLENCIA DE GENERO",IF(O88=[1]CURSOS!$D$24,"IGUALDAD DE GENERO EN LA SALUD",IF(O88=[1]CURSOS!$D$25,"BRIGADA DE EMERGENCIA",IF(O88=[1]CURSOS!$D$26,"MANEJO DEL DOLOR Y CUIDADOS PALIATIVOS",IF(O88=[1]CURSOS!$D$27,"TOMA DE MUESTRAS Y LABORATORIO POCT",IF(O88=[1]CURSOS!$D$28,"IMPLANTE SUBDERMICO DE DISPOSITIVO INTRAUTERINO",IF(O88=[1]CURSOS!$D$29,"SALUD MENTAL",IF(O88=[1]CURSOS!$D$30,"PRIMEROS AUXILIOS PSICOLOGICOS",IF(O88=[1]CURSOS!$D$31,"ATENCION A VICTIMAS POR CONFLICTO ARMADO",IF(O88=[1]CURSOS!$D$32,"MANIPULACION DE ALIMENTOS Y BPM",IF(O88=[1]CURSOS!$D$33,"ATENCION A PERSONAS CON DISCAPACIDAD",IF(O88=[1]CURSOS!$D$34,"CUIDADO INTEGRAL DEL PACIENTE ADULTO",IF(O88=[1]CURSOS!$D$35,"MANEJO DEFENSIVO",IF(O88=[1]CURSOS!$D$36,"SOPORTE CARDIOVASCULAR AVANZADO NEONATAL",IF(O88=[1]CURSOS!$D$37,"SEGURIDAD DEL PACIENTE")))))))))))))))))))))))))))))))))))</f>
        <v xml:space="preserve">SOPORTE CARDIOVASCULAR AVANZADO (ACLS) </v>
      </c>
      <c r="V88" s="52" t="str">
        <f t="shared" si="9"/>
        <v>Valeria Valentina Perez Rosero</v>
      </c>
      <c r="W88" s="52" t="str">
        <f t="shared" si="10"/>
        <v>Valeria Valentina Perez Rosero</v>
      </c>
      <c r="X88" s="52" t="str">
        <f t="shared" si="11"/>
        <v>Valeria Valentina Perez Rosero-1193383314-ACLS</v>
      </c>
    </row>
    <row r="89" spans="1:24" s="55" customFormat="1" x14ac:dyDescent="0.2">
      <c r="A89" s="17">
        <v>88</v>
      </c>
      <c r="B89" s="80">
        <v>1193383314</v>
      </c>
      <c r="C89" s="50" t="s">
        <v>596</v>
      </c>
      <c r="D89" s="50" t="s">
        <v>92</v>
      </c>
      <c r="E89" s="50" t="s">
        <v>597</v>
      </c>
      <c r="F89" s="187" t="s">
        <v>374</v>
      </c>
      <c r="G89" s="188">
        <v>21</v>
      </c>
      <c r="H89" s="171" t="s">
        <v>181</v>
      </c>
      <c r="I89" s="171" t="s">
        <v>519</v>
      </c>
      <c r="J89" s="182">
        <v>45526</v>
      </c>
      <c r="K89" s="181">
        <v>25000</v>
      </c>
      <c r="L89" s="188" t="s">
        <v>322</v>
      </c>
      <c r="M89" s="188" t="s">
        <v>86</v>
      </c>
      <c r="N89" s="188" t="s">
        <v>320</v>
      </c>
      <c r="O89" s="189" t="s">
        <v>25</v>
      </c>
      <c r="P89" s="18">
        <v>36985</v>
      </c>
      <c r="Q89" s="66" t="s">
        <v>309</v>
      </c>
      <c r="R89" s="17" t="s">
        <v>383</v>
      </c>
      <c r="S89" s="50">
        <v>3128544489</v>
      </c>
      <c r="T89" s="50" t="s">
        <v>598</v>
      </c>
      <c r="U89" s="52" t="str">
        <f>IF(O89=[1]CURSOS!$D$3,"DIPLOMADO EN ATENCION PRE-HOSPITALARIA",IF(O89=[1]CURSOS!$D$4,"ACOMPAÑAMIENTO Y MANEJO DEL DUELO",IF(O89=[1]CURSOS!$D$5,"ATENCION A VICTIMAS DE ATAQUE CON AGENTES QUIMICOS ",IF(O89=[1]CURSOS!$D$6,"PRIMEROS AUXILIOS ",IF(O89=[1]CURSOS!$D$7,"DIPLOMADO DE UNIDAD DE CUIDADOS INTENSIVOS (UCI)",IF(O89=[1]CURSOS!$D$8,"MODELO DE ATENCION PARA EVENTOS EMERGENTES EN SALUD MENTAL (CODIGO VERDE)",IF(O89=[1]CURSOS!$D$9,"HUMANIZACION EN EL SERVICIO DE LA SALUD Y BUENAS PRACTICAS EN PACIENTE ",IF(O89=[1]CURSOS!$D$10,"CLINICA DE HERIDAS ",IF(O89=[1]CURSOS!$D$11,"TOMA DE CITOLOGIA CERVICO VAGINAL ",IF(O89=[1]CURSOS!$D$12,"SOPORTE CARDIOVASCULAR AVANZADO (ACLS) ",IF(O89=[1]CURSOS!$D$13,"CAMILLERO ",IF(O89=[1]CURSOS!$D$14,"TOMA DE MUESTRAS Y LABORATORIO ",IF(O89=[1]CURSOS!$D$15,"SOPORTE VITAL BASICO (BLS)",IF(O89=[1]CURSOS!$D$16,"ATENCION A VICTIMAS DE VIOLENCIA SEXUAL ",IF(O89=[1]CURSOS!$D$17,"PROGRAMADO AMPLIADO DE INMUNIZACION (PAI - COVID 19)",IF(O89=[1]CURSOS!$D$18,"ATENCION INTEGRAL EN ENFERMEDADES PREVALENTES EN PRIMERA INFANCIA (AIEPI)",IF(O89=[1]CURSOS!$D$19,"ADMINISTRACION DE MEDICAMENTOS, INYECTOLOGIA  Y CANALIZACION ",IF(O89=[1]CURSOS!$D$20,"OPERADOR DE VEHICULOS DE EMERGENCIA (OVE)",IF(O89=[1]CURSOS!$D$21,"INSTITUCIONES AMIGAS DE LA MUJER Y LA INFANCIA (IAMI)",IF(O89=[1]CURSOS!$D$22,"CUIDADO DEL DONANTE DE ORGANOS",IF(O89=[1]CURSOS!$D$23,"ATENCION A VICTIMAS POR VIOLENCIA DE GENERO",IF(O89=[1]CURSOS!$D$24,"IGUALDAD DE GENERO EN LA SALUD",IF(O89=[1]CURSOS!$D$25,"BRIGADA DE EMERGENCIA",IF(O89=[1]CURSOS!$D$26,"MANEJO DEL DOLOR Y CUIDADOS PALIATIVOS",IF(O89=[1]CURSOS!$D$27,"TOMA DE MUESTRAS Y LABORATORIO POCT",IF(O89=[1]CURSOS!$D$28,"IMPLANTE SUBDERMICO DE DISPOSITIVO INTRAUTERINO",IF(O89=[1]CURSOS!$D$29,"SALUD MENTAL",IF(O89=[1]CURSOS!$D$30,"PRIMEROS AUXILIOS PSICOLOGICOS",IF(O89=[1]CURSOS!$D$31,"ATENCION A VICTIMAS POR CONFLICTO ARMADO",IF(O89=[1]CURSOS!$D$32,"MANIPULACION DE ALIMENTOS Y BPM",IF(O89=[1]CURSOS!$D$33,"ATENCION A PERSONAS CON DISCAPACIDAD",IF(O89=[1]CURSOS!$D$34,"CUIDADO INTEGRAL DEL PACIENTE ADULTO",IF(O89=[1]CURSOS!$D$35,"MANEJO DEFENSIVO",IF(O89=[1]CURSOS!$D$36,"SOPORTE CARDIOVASCULAR AVANZADO NEONATAL",IF(O89=[1]CURSOS!$D$37,"SEGURIDAD DEL PACIENTE")))))))))))))))))))))))))))))))))))</f>
        <v xml:space="preserve">ATENCION A VICTIMAS DE ATAQUE CON AGENTES QUIMICOS </v>
      </c>
      <c r="V89" s="52" t="str">
        <f t="shared" si="9"/>
        <v>Valeria Valentina Perez Rosero</v>
      </c>
      <c r="W89" s="52" t="str">
        <f t="shared" si="10"/>
        <v>Valeria Valentina Perez Rosero</v>
      </c>
      <c r="X89" s="52" t="str">
        <f t="shared" si="11"/>
        <v>Valeria Valentina Perez Rosero-1193383314-QUIMICOS</v>
      </c>
    </row>
    <row r="90" spans="1:24" s="55" customFormat="1" x14ac:dyDescent="0.2">
      <c r="A90" s="17">
        <v>89</v>
      </c>
      <c r="B90" s="80">
        <v>1193383314</v>
      </c>
      <c r="C90" s="50" t="s">
        <v>596</v>
      </c>
      <c r="D90" s="50" t="s">
        <v>92</v>
      </c>
      <c r="E90" s="50" t="s">
        <v>597</v>
      </c>
      <c r="F90" s="187" t="s">
        <v>374</v>
      </c>
      <c r="G90" s="188">
        <v>21</v>
      </c>
      <c r="H90" s="171" t="s">
        <v>181</v>
      </c>
      <c r="I90" s="171" t="s">
        <v>519</v>
      </c>
      <c r="J90" s="182">
        <v>45526</v>
      </c>
      <c r="K90" s="181">
        <v>25000</v>
      </c>
      <c r="L90" s="188" t="s">
        <v>322</v>
      </c>
      <c r="M90" s="188" t="s">
        <v>86</v>
      </c>
      <c r="N90" s="188" t="s">
        <v>320</v>
      </c>
      <c r="O90" s="189" t="s">
        <v>43</v>
      </c>
      <c r="P90" s="18">
        <v>36985</v>
      </c>
      <c r="Q90" s="66" t="s">
        <v>309</v>
      </c>
      <c r="R90" s="17" t="s">
        <v>383</v>
      </c>
      <c r="S90" s="50">
        <v>3128544489</v>
      </c>
      <c r="T90" s="50" t="s">
        <v>598</v>
      </c>
      <c r="U90" s="52" t="str">
        <f>IF(O90=[1]CURSOS!$D$3,"DIPLOMADO EN ATENCION PRE-HOSPITALARIA",IF(O90=[1]CURSOS!$D$4,"ACOMPAÑAMIENTO Y MANEJO DEL DUELO",IF(O90=[1]CURSOS!$D$5,"ATENCION A VICTIMAS DE ATAQUE CON AGENTES QUIMICOS ",IF(O90=[1]CURSOS!$D$6,"PRIMEROS AUXILIOS ",IF(O90=[1]CURSOS!$D$7,"DIPLOMADO DE UNIDAD DE CUIDADOS INTENSIVOS (UCI)",IF(O90=[1]CURSOS!$D$8,"MODELO DE ATENCION PARA EVENTOS EMERGENTES EN SALUD MENTAL (CODIGO VERDE)",IF(O90=[1]CURSOS!$D$9,"HUMANIZACION EN EL SERVICIO DE LA SALUD Y BUENAS PRACTICAS EN PACIENTE ",IF(O90=[1]CURSOS!$D$10,"CLINICA DE HERIDAS ",IF(O90=[1]CURSOS!$D$11,"TOMA DE CITOLOGIA CERVICO VAGINAL ",IF(O90=[1]CURSOS!$D$12,"SOPORTE CARDIOVASCULAR AVANZADO (ACLS) ",IF(O90=[1]CURSOS!$D$13,"CAMILLERO ",IF(O90=[1]CURSOS!$D$14,"TOMA DE MUESTRAS Y LABORATORIO ",IF(O90=[1]CURSOS!$D$15,"SOPORTE VITAL BASICO (BLS)",IF(O90=[1]CURSOS!$D$16,"ATENCION A VICTIMAS DE VIOLENCIA SEXUAL ",IF(O90=[1]CURSOS!$D$17,"PROGRAMADO AMPLIADO DE INMUNIZACION (PAI - COVID 19)",IF(O90=[1]CURSOS!$D$18,"ATENCION INTEGRAL EN ENFERMEDADES PREVALENTES EN PRIMERA INFANCIA (AIEPI)",IF(O90=[1]CURSOS!$D$19,"ADMINISTRACION DE MEDICAMENTOS, INYECTOLOGIA  Y CANALIZACION ",IF(O90=[1]CURSOS!$D$20,"OPERADOR DE VEHICULOS DE EMERGENCIA (OVE)",IF(O90=[1]CURSOS!$D$21,"INSTITUCIONES AMIGAS DE LA MUJER Y LA INFANCIA (IAMI)",IF(O90=[1]CURSOS!$D$22,"CUIDADO DEL DONANTE DE ORGANOS",IF(O90=[1]CURSOS!$D$23,"ATENCION A VICTIMAS POR VIOLENCIA DE GENERO",IF(O90=[1]CURSOS!$D$24,"IGUALDAD DE GENERO EN LA SALUD",IF(O90=[1]CURSOS!$D$25,"BRIGADA DE EMERGENCIA",IF(O90=[1]CURSOS!$D$26,"MANEJO DEL DOLOR Y CUIDADOS PALIATIVOS",IF(O90=[1]CURSOS!$D$27,"TOMA DE MUESTRAS Y LABORATORIO POCT",IF(O90=[1]CURSOS!$D$28,"IMPLANTE SUBDERMICO DE DISPOSITIVO INTRAUTERINO",IF(O90=[1]CURSOS!$D$29,"SALUD MENTAL",IF(O90=[1]CURSOS!$D$30,"PRIMEROS AUXILIOS PSICOLOGICOS",IF(O90=[1]CURSOS!$D$31,"ATENCION A VICTIMAS POR CONFLICTO ARMADO",IF(O90=[1]CURSOS!$D$32,"MANIPULACION DE ALIMENTOS Y BPM",IF(O90=[1]CURSOS!$D$33,"ATENCION A PERSONAS CON DISCAPACIDAD",IF(O90=[1]CURSOS!$D$34,"CUIDADO INTEGRAL DEL PACIENTE ADULTO",IF(O90=[1]CURSOS!$D$35,"MANEJO DEFENSIVO",IF(O90=[1]CURSOS!$D$36,"SOPORTE CARDIOVASCULAR AVANZADO NEONATAL",IF(O90=[1]CURSOS!$D$37,"SEGURIDAD DEL PACIENTE")))))))))))))))))))))))))))))))))))</f>
        <v xml:space="preserve">ATENCION A VICTIMAS DE VIOLENCIA SEXUAL </v>
      </c>
      <c r="V90" s="52" t="str">
        <f t="shared" si="9"/>
        <v>Valeria Valentina Perez Rosero</v>
      </c>
      <c r="W90" s="52" t="str">
        <f t="shared" si="10"/>
        <v>Valeria Valentina Perez Rosero</v>
      </c>
      <c r="X90" s="52" t="str">
        <f t="shared" si="11"/>
        <v>Valeria Valentina Perez Rosero-1193383314-VIOLENCIA SEXUAL</v>
      </c>
    </row>
    <row r="91" spans="1:24" s="55" customFormat="1" x14ac:dyDescent="0.2">
      <c r="A91" s="17">
        <v>90</v>
      </c>
      <c r="B91" s="80">
        <v>1089245202</v>
      </c>
      <c r="C91" s="50" t="s">
        <v>178</v>
      </c>
      <c r="D91" s="50" t="s">
        <v>130</v>
      </c>
      <c r="E91" s="50" t="s">
        <v>599</v>
      </c>
      <c r="F91" s="50" t="s">
        <v>382</v>
      </c>
      <c r="G91" s="66">
        <v>20</v>
      </c>
      <c r="H91" s="14" t="s">
        <v>181</v>
      </c>
      <c r="I91" s="14" t="s">
        <v>519</v>
      </c>
      <c r="J91" s="16">
        <v>45526</v>
      </c>
      <c r="K91" s="19">
        <v>0</v>
      </c>
      <c r="L91" s="66" t="s">
        <v>556</v>
      </c>
      <c r="M91" s="66" t="s">
        <v>86</v>
      </c>
      <c r="N91" s="66" t="s">
        <v>326</v>
      </c>
      <c r="O91" s="67" t="s">
        <v>19</v>
      </c>
      <c r="P91" s="50"/>
      <c r="Q91" s="66" t="s">
        <v>309</v>
      </c>
      <c r="R91" s="17" t="s">
        <v>315</v>
      </c>
      <c r="S91" s="50">
        <v>3117951575</v>
      </c>
      <c r="T91" s="50" t="s">
        <v>600</v>
      </c>
      <c r="U91" s="52" t="str">
        <f>IF(O91=[1]CURSOS!$D$3,"DIPLOMADO EN ATENCION PRE-HOSPITALARIA",IF(O91=[1]CURSOS!$D$4,"ACOMPAÑAMIENTO Y MANEJO DEL DUELO",IF(O91=[1]CURSOS!$D$5,"ATENCION A VICTIMAS DE ATAQUE CON AGENTES QUIMICOS ",IF(O91=[1]CURSOS!$D$6,"PRIMEROS AUXILIOS ",IF(O91=[1]CURSOS!$D$7,"DIPLOMADO DE UNIDAD DE CUIDADOS INTENSIVOS (UCI)",IF(O91=[1]CURSOS!$D$8,"MODELO DE ATENCION PARA EVENTOS EMERGENTES EN SALUD MENTAL (CODIGO VERDE)",IF(O91=[1]CURSOS!$D$9,"HUMANIZACION EN EL SERVICIO DE LA SALUD Y BUENAS PRACTICAS EN PACIENTE ",IF(O91=[1]CURSOS!$D$10,"CLINICA DE HERIDAS ",IF(O91=[1]CURSOS!$D$11,"TOMA DE CITOLOGIA CERVICO VAGINAL ",IF(O91=[1]CURSOS!$D$12,"SOPORTE CARDIOVASCULAR AVANZADO (ACLS) ",IF(O91=[1]CURSOS!$D$13,"CAMILLERO ",IF(O91=[1]CURSOS!$D$14,"TOMA DE MUESTRAS Y LABORATORIO ",IF(O91=[1]CURSOS!$D$15,"SOPORTE VITAL BASICO (BLS)",IF(O91=[1]CURSOS!$D$16,"ATENCION A VICTIMAS DE VIOLENCIA SEXUAL ",IF(O91=[1]CURSOS!$D$17,"PROGRAMADO AMPLIADO DE INMUNIZACION (PAI - COVID 19)",IF(O91=[1]CURSOS!$D$18,"ATENCION INTEGRAL EN ENFERMEDADES PREVALENTES EN PRIMERA INFANCIA (AIEPI)",IF(O91=[1]CURSOS!$D$19,"ADMINISTRACION DE MEDICAMENTOS, INYECTOLOGIA  Y CANALIZACION ",IF(O91=[1]CURSOS!$D$20,"OPERADOR DE VEHICULOS DE EMERGENCIA (OVE)",IF(O91=[1]CURSOS!$D$21,"INSTITUCIONES AMIGAS DE LA MUJER Y LA INFANCIA (IAMI)",IF(O91=[1]CURSOS!$D$22,"CUIDADO DEL DONANTE DE ORGANOS",IF(O91=[1]CURSOS!$D$23,"ATENCION A VICTIMAS POR VIOLENCIA DE GENERO",IF(O91=[1]CURSOS!$D$24,"IGUALDAD DE GENERO EN LA SALUD",IF(O91=[1]CURSOS!$D$25,"BRIGADA DE EMERGENCIA",IF(O91=[1]CURSOS!$D$26,"MANEJO DEL DOLOR Y CUIDADOS PALIATIVOS",IF(O91=[1]CURSOS!$D$27,"TOMA DE MUESTRAS Y LABORATORIO POCT",IF(O91=[1]CURSOS!$D$28,"IMPLANTE SUBDERMICO DE DISPOSITIVO INTRAUTERINO",IF(O91=[1]CURSOS!$D$29,"SALUD MENTAL",IF(O91=[1]CURSOS!$D$30,"PRIMEROS AUXILIOS PSICOLOGICOS",IF(O91=[1]CURSOS!$D$31,"ATENCION A VICTIMAS POR CONFLICTO ARMADO",IF(O91=[1]CURSOS!$D$32,"MANIPULACION DE ALIMENTOS Y BPM",IF(O91=[1]CURSOS!$D$33,"ATENCION A PERSONAS CON DISCAPACIDAD",IF(O91=[1]CURSOS!$D$34,"CUIDADO INTEGRAL DEL PACIENTE ADULTO",IF(O91=[1]CURSOS!$D$35,"MANEJO DEFENSIVO",IF(O91=[1]CURSOS!$D$36,"SOPORTE CARDIOVASCULAR AVANZADO NEONATAL",IF(O91=[1]CURSOS!$D$37,"SEGURIDAD DEL PACIENTE")))))))))))))))))))))))))))))))))))</f>
        <v>SOPORTE VITAL BASICO (BLS)</v>
      </c>
      <c r="V91" s="52" t="str">
        <f t="shared" si="9"/>
        <v>Yurani Daniela Goyes Mora</v>
      </c>
      <c r="W91" s="52" t="str">
        <f t="shared" si="10"/>
        <v>Yurani Daniela Goyes Mora</v>
      </c>
      <c r="X91" s="52" t="str">
        <f t="shared" si="11"/>
        <v>Yurani Daniela Goyes Mora-1089245202-BLS</v>
      </c>
    </row>
    <row r="92" spans="1:24" s="55" customFormat="1" x14ac:dyDescent="0.2">
      <c r="A92" s="17">
        <v>91</v>
      </c>
      <c r="B92" s="80">
        <v>1089245202</v>
      </c>
      <c r="C92" s="50" t="s">
        <v>178</v>
      </c>
      <c r="D92" s="50" t="s">
        <v>130</v>
      </c>
      <c r="E92" s="50" t="s">
        <v>599</v>
      </c>
      <c r="F92" s="50" t="s">
        <v>382</v>
      </c>
      <c r="G92" s="66">
        <v>20</v>
      </c>
      <c r="H92" s="14" t="s">
        <v>181</v>
      </c>
      <c r="I92" s="14" t="s">
        <v>519</v>
      </c>
      <c r="J92" s="16">
        <v>45526</v>
      </c>
      <c r="K92" s="19">
        <v>0</v>
      </c>
      <c r="L92" s="66" t="s">
        <v>556</v>
      </c>
      <c r="M92" s="66" t="s">
        <v>86</v>
      </c>
      <c r="N92" s="66" t="s">
        <v>326</v>
      </c>
      <c r="O92" s="67" t="s">
        <v>23</v>
      </c>
      <c r="P92" s="50"/>
      <c r="Q92" s="66" t="s">
        <v>309</v>
      </c>
      <c r="R92" s="17" t="s">
        <v>315</v>
      </c>
      <c r="S92" s="50">
        <v>3117951575</v>
      </c>
      <c r="T92" s="50" t="s">
        <v>600</v>
      </c>
      <c r="U92" s="52" t="str">
        <f>IF(O92=[1]CURSOS!$D$3,"DIPLOMADO EN ATENCION PRE-HOSPITALARIA",IF(O92=[1]CURSOS!$D$4,"ACOMPAÑAMIENTO Y MANEJO DEL DUELO",IF(O92=[1]CURSOS!$D$5,"ATENCION A VICTIMAS DE ATAQUE CON AGENTES QUIMICOS ",IF(O92=[1]CURSOS!$D$6,"PRIMEROS AUXILIOS ",IF(O92=[1]CURSOS!$D$7,"DIPLOMADO DE UNIDAD DE CUIDADOS INTENSIVOS (UCI)",IF(O92=[1]CURSOS!$D$8,"MODELO DE ATENCION PARA EVENTOS EMERGENTES EN SALUD MENTAL (CODIGO VERDE)",IF(O92=[1]CURSOS!$D$9,"HUMANIZACION EN EL SERVICIO DE LA SALUD Y BUENAS PRACTICAS EN PACIENTE ",IF(O92=[1]CURSOS!$D$10,"CLINICA DE HERIDAS ",IF(O92=[1]CURSOS!$D$11,"TOMA DE CITOLOGIA CERVICO VAGINAL ",IF(O92=[1]CURSOS!$D$12,"SOPORTE CARDIOVASCULAR AVANZADO (ACLS) ",IF(O92=[1]CURSOS!$D$13,"CAMILLERO ",IF(O92=[1]CURSOS!$D$14,"TOMA DE MUESTRAS Y LABORATORIO ",IF(O92=[1]CURSOS!$D$15,"SOPORTE VITAL BASICO (BLS)",IF(O92=[1]CURSOS!$D$16,"ATENCION A VICTIMAS DE VIOLENCIA SEXUAL ",IF(O92=[1]CURSOS!$D$17,"PROGRAMADO AMPLIADO DE INMUNIZACION (PAI - COVID 19)",IF(O92=[1]CURSOS!$D$18,"ATENCION INTEGRAL EN ENFERMEDADES PREVALENTES EN PRIMERA INFANCIA (AIEPI)",IF(O92=[1]CURSOS!$D$19,"ADMINISTRACION DE MEDICAMENTOS, INYECTOLOGIA  Y CANALIZACION ",IF(O92=[1]CURSOS!$D$20,"OPERADOR DE VEHICULOS DE EMERGENCIA (OVE)",IF(O92=[1]CURSOS!$D$21,"INSTITUCIONES AMIGAS DE LA MUJER Y LA INFANCIA (IAMI)",IF(O92=[1]CURSOS!$D$22,"CUIDADO DEL DONANTE DE ORGANOS",IF(O92=[1]CURSOS!$D$23,"ATENCION A VICTIMAS POR VIOLENCIA DE GENERO",IF(O92=[1]CURSOS!$D$24,"IGUALDAD DE GENERO EN LA SALUD",IF(O92=[1]CURSOS!$D$25,"BRIGADA DE EMERGENCIA",IF(O92=[1]CURSOS!$D$26,"MANEJO DEL DOLOR Y CUIDADOS PALIATIVOS",IF(O92=[1]CURSOS!$D$27,"TOMA DE MUESTRAS Y LABORATORIO POCT",IF(O92=[1]CURSOS!$D$28,"IMPLANTE SUBDERMICO DE DISPOSITIVO INTRAUTERINO",IF(O92=[1]CURSOS!$D$29,"SALUD MENTAL",IF(O92=[1]CURSOS!$D$30,"PRIMEROS AUXILIOS PSICOLOGICOS",IF(O92=[1]CURSOS!$D$31,"ATENCION A VICTIMAS POR CONFLICTO ARMADO",IF(O92=[1]CURSOS!$D$32,"MANIPULACION DE ALIMENTOS Y BPM",IF(O92=[1]CURSOS!$D$33,"ATENCION A PERSONAS CON DISCAPACIDAD",IF(O92=[1]CURSOS!$D$34,"CUIDADO INTEGRAL DEL PACIENTE ADULTO",IF(O92=[1]CURSOS!$D$35,"MANEJO DEFENSIVO",IF(O92=[1]CURSOS!$D$36,"SOPORTE CARDIOVASCULAR AVANZADO NEONATAL",IF(O92=[1]CURSOS!$D$37,"SEGURIDAD DEL PACIENTE")))))))))))))))))))))))))))))))))))</f>
        <v>ACOMPAÑAMIENTO Y MANEJO DEL DUELO</v>
      </c>
      <c r="V92" s="52" t="str">
        <f t="shared" si="9"/>
        <v>Yurani Daniela Goyes Mora</v>
      </c>
      <c r="W92" s="52" t="str">
        <f t="shared" si="10"/>
        <v>Yurani Daniela Goyes Mora</v>
      </c>
      <c r="X92" s="52" t="str">
        <f t="shared" si="11"/>
        <v>Yurani Daniela Goyes Mora-1089245202-DUELO</v>
      </c>
    </row>
    <row r="93" spans="1:24" s="55" customFormat="1" x14ac:dyDescent="0.2">
      <c r="A93" s="17">
        <v>92</v>
      </c>
      <c r="B93" s="80">
        <v>1089245202</v>
      </c>
      <c r="C93" s="50" t="s">
        <v>178</v>
      </c>
      <c r="D93" s="50" t="s">
        <v>130</v>
      </c>
      <c r="E93" s="50" t="s">
        <v>599</v>
      </c>
      <c r="F93" s="50" t="s">
        <v>382</v>
      </c>
      <c r="G93" s="66">
        <v>21</v>
      </c>
      <c r="H93" s="14" t="s">
        <v>181</v>
      </c>
      <c r="I93" s="14" t="s">
        <v>519</v>
      </c>
      <c r="J93" s="16">
        <v>45526</v>
      </c>
      <c r="K93" s="19">
        <v>0</v>
      </c>
      <c r="L93" s="66" t="s">
        <v>556</v>
      </c>
      <c r="M93" s="66" t="s">
        <v>86</v>
      </c>
      <c r="N93" s="66" t="s">
        <v>326</v>
      </c>
      <c r="O93" s="67" t="s">
        <v>25</v>
      </c>
      <c r="P93" s="50"/>
      <c r="Q93" s="66" t="s">
        <v>309</v>
      </c>
      <c r="R93" s="17" t="s">
        <v>315</v>
      </c>
      <c r="S93" s="50">
        <v>3117951575</v>
      </c>
      <c r="T93" s="50" t="s">
        <v>600</v>
      </c>
      <c r="U93" s="52" t="str">
        <f>IF(O93=[1]CURSOS!$D$3,"DIPLOMADO EN ATENCION PRE-HOSPITALARIA",IF(O93=[1]CURSOS!$D$4,"ACOMPAÑAMIENTO Y MANEJO DEL DUELO",IF(O93=[1]CURSOS!$D$5,"ATENCION A VICTIMAS DE ATAQUE CON AGENTES QUIMICOS ",IF(O93=[1]CURSOS!$D$6,"PRIMEROS AUXILIOS ",IF(O93=[1]CURSOS!$D$7,"DIPLOMADO DE UNIDAD DE CUIDADOS INTENSIVOS (UCI)",IF(O93=[1]CURSOS!$D$8,"MODELO DE ATENCION PARA EVENTOS EMERGENTES EN SALUD MENTAL (CODIGO VERDE)",IF(O93=[1]CURSOS!$D$9,"HUMANIZACION EN EL SERVICIO DE LA SALUD Y BUENAS PRACTICAS EN PACIENTE ",IF(O93=[1]CURSOS!$D$10,"CLINICA DE HERIDAS ",IF(O93=[1]CURSOS!$D$11,"TOMA DE CITOLOGIA CERVICO VAGINAL ",IF(O93=[1]CURSOS!$D$12,"SOPORTE CARDIOVASCULAR AVANZADO (ACLS) ",IF(O93=[1]CURSOS!$D$13,"CAMILLERO ",IF(O93=[1]CURSOS!$D$14,"TOMA DE MUESTRAS Y LABORATORIO ",IF(O93=[1]CURSOS!$D$15,"SOPORTE VITAL BASICO (BLS)",IF(O93=[1]CURSOS!$D$16,"ATENCION A VICTIMAS DE VIOLENCIA SEXUAL ",IF(O93=[1]CURSOS!$D$17,"PROGRAMADO AMPLIADO DE INMUNIZACION (PAI - COVID 19)",IF(O93=[1]CURSOS!$D$18,"ATENCION INTEGRAL EN ENFERMEDADES PREVALENTES EN PRIMERA INFANCIA (AIEPI)",IF(O93=[1]CURSOS!$D$19,"ADMINISTRACION DE MEDICAMENTOS, INYECTOLOGIA  Y CANALIZACION ",IF(O93=[1]CURSOS!$D$20,"OPERADOR DE VEHICULOS DE EMERGENCIA (OVE)",IF(O93=[1]CURSOS!$D$21,"INSTITUCIONES AMIGAS DE LA MUJER Y LA INFANCIA (IAMI)",IF(O93=[1]CURSOS!$D$22,"CUIDADO DEL DONANTE DE ORGANOS",IF(O93=[1]CURSOS!$D$23,"ATENCION A VICTIMAS POR VIOLENCIA DE GENERO",IF(O93=[1]CURSOS!$D$24,"IGUALDAD DE GENERO EN LA SALUD",IF(O93=[1]CURSOS!$D$25,"BRIGADA DE EMERGENCIA",IF(O93=[1]CURSOS!$D$26,"MANEJO DEL DOLOR Y CUIDADOS PALIATIVOS",IF(O93=[1]CURSOS!$D$27,"TOMA DE MUESTRAS Y LABORATORIO POCT",IF(O93=[1]CURSOS!$D$28,"IMPLANTE SUBDERMICO DE DISPOSITIVO INTRAUTERINO",IF(O93=[1]CURSOS!$D$29,"SALUD MENTAL",IF(O93=[1]CURSOS!$D$30,"PRIMEROS AUXILIOS PSICOLOGICOS",IF(O93=[1]CURSOS!$D$31,"ATENCION A VICTIMAS POR CONFLICTO ARMADO",IF(O93=[1]CURSOS!$D$32,"MANIPULACION DE ALIMENTOS Y BPM",IF(O93=[1]CURSOS!$D$33,"ATENCION A PERSONAS CON DISCAPACIDAD",IF(O93=[1]CURSOS!$D$34,"CUIDADO INTEGRAL DEL PACIENTE ADULTO",IF(O93=[1]CURSOS!$D$35,"MANEJO DEFENSIVO",IF(O93=[1]CURSOS!$D$36,"SOPORTE CARDIOVASCULAR AVANZADO NEONATAL",IF(O93=[1]CURSOS!$D$37,"SEGURIDAD DEL PACIENTE")))))))))))))))))))))))))))))))))))</f>
        <v xml:space="preserve">ATENCION A VICTIMAS DE ATAQUE CON AGENTES QUIMICOS </v>
      </c>
      <c r="V93" s="52" t="str">
        <f t="shared" si="9"/>
        <v>Yurani Daniela Goyes Mora</v>
      </c>
      <c r="W93" s="52" t="str">
        <f t="shared" si="10"/>
        <v>Yurani Daniela Goyes Mora</v>
      </c>
      <c r="X93" s="52" t="str">
        <f t="shared" si="11"/>
        <v>Yurani Daniela Goyes Mora-1089245202-QUIMICOS</v>
      </c>
    </row>
    <row r="94" spans="1:24" s="55" customFormat="1" x14ac:dyDescent="0.2">
      <c r="A94" s="17">
        <v>93</v>
      </c>
      <c r="B94" s="80">
        <v>1089245202</v>
      </c>
      <c r="C94" s="50" t="s">
        <v>178</v>
      </c>
      <c r="D94" s="50" t="s">
        <v>130</v>
      </c>
      <c r="E94" s="50" t="s">
        <v>599</v>
      </c>
      <c r="F94" s="50" t="s">
        <v>382</v>
      </c>
      <c r="G94" s="66">
        <v>22</v>
      </c>
      <c r="H94" s="14" t="s">
        <v>181</v>
      </c>
      <c r="I94" s="14" t="s">
        <v>519</v>
      </c>
      <c r="J94" s="16">
        <v>45526</v>
      </c>
      <c r="K94" s="19">
        <v>0</v>
      </c>
      <c r="L94" s="66" t="s">
        <v>556</v>
      </c>
      <c r="M94" s="66" t="s">
        <v>86</v>
      </c>
      <c r="N94" s="66" t="s">
        <v>326</v>
      </c>
      <c r="O94" s="67" t="s">
        <v>43</v>
      </c>
      <c r="P94" s="50"/>
      <c r="Q94" s="66" t="s">
        <v>309</v>
      </c>
      <c r="R94" s="17" t="s">
        <v>315</v>
      </c>
      <c r="S94" s="50">
        <v>3117951575</v>
      </c>
      <c r="T94" s="50" t="s">
        <v>600</v>
      </c>
      <c r="U94" s="52" t="str">
        <f>IF(O94=[1]CURSOS!$D$3,"DIPLOMADO EN ATENCION PRE-HOSPITALARIA",IF(O94=[1]CURSOS!$D$4,"ACOMPAÑAMIENTO Y MANEJO DEL DUELO",IF(O94=[1]CURSOS!$D$5,"ATENCION A VICTIMAS DE ATAQUE CON AGENTES QUIMICOS ",IF(O94=[1]CURSOS!$D$6,"PRIMEROS AUXILIOS ",IF(O94=[1]CURSOS!$D$7,"DIPLOMADO DE UNIDAD DE CUIDADOS INTENSIVOS (UCI)",IF(O94=[1]CURSOS!$D$8,"MODELO DE ATENCION PARA EVENTOS EMERGENTES EN SALUD MENTAL (CODIGO VERDE)",IF(O94=[1]CURSOS!$D$9,"HUMANIZACION EN EL SERVICIO DE LA SALUD Y BUENAS PRACTICAS EN PACIENTE ",IF(O94=[1]CURSOS!$D$10,"CLINICA DE HERIDAS ",IF(O94=[1]CURSOS!$D$11,"TOMA DE CITOLOGIA CERVICO VAGINAL ",IF(O94=[1]CURSOS!$D$12,"SOPORTE CARDIOVASCULAR AVANZADO (ACLS) ",IF(O94=[1]CURSOS!$D$13,"CAMILLERO ",IF(O94=[1]CURSOS!$D$14,"TOMA DE MUESTRAS Y LABORATORIO ",IF(O94=[1]CURSOS!$D$15,"SOPORTE VITAL BASICO (BLS)",IF(O94=[1]CURSOS!$D$16,"ATENCION A VICTIMAS DE VIOLENCIA SEXUAL ",IF(O94=[1]CURSOS!$D$17,"PROGRAMADO AMPLIADO DE INMUNIZACION (PAI - COVID 19)",IF(O94=[1]CURSOS!$D$18,"ATENCION INTEGRAL EN ENFERMEDADES PREVALENTES EN PRIMERA INFANCIA (AIEPI)",IF(O94=[1]CURSOS!$D$19,"ADMINISTRACION DE MEDICAMENTOS, INYECTOLOGIA  Y CANALIZACION ",IF(O94=[1]CURSOS!$D$20,"OPERADOR DE VEHICULOS DE EMERGENCIA (OVE)",IF(O94=[1]CURSOS!$D$21,"INSTITUCIONES AMIGAS DE LA MUJER Y LA INFANCIA (IAMI)",IF(O94=[1]CURSOS!$D$22,"CUIDADO DEL DONANTE DE ORGANOS",IF(O94=[1]CURSOS!$D$23,"ATENCION A VICTIMAS POR VIOLENCIA DE GENERO",IF(O94=[1]CURSOS!$D$24,"IGUALDAD DE GENERO EN LA SALUD",IF(O94=[1]CURSOS!$D$25,"BRIGADA DE EMERGENCIA",IF(O94=[1]CURSOS!$D$26,"MANEJO DEL DOLOR Y CUIDADOS PALIATIVOS",IF(O94=[1]CURSOS!$D$27,"TOMA DE MUESTRAS Y LABORATORIO POCT",IF(O94=[1]CURSOS!$D$28,"IMPLANTE SUBDERMICO DE DISPOSITIVO INTRAUTERINO",IF(O94=[1]CURSOS!$D$29,"SALUD MENTAL",IF(O94=[1]CURSOS!$D$30,"PRIMEROS AUXILIOS PSICOLOGICOS",IF(O94=[1]CURSOS!$D$31,"ATENCION A VICTIMAS POR CONFLICTO ARMADO",IF(O94=[1]CURSOS!$D$32,"MANIPULACION DE ALIMENTOS Y BPM",IF(O94=[1]CURSOS!$D$33,"ATENCION A PERSONAS CON DISCAPACIDAD",IF(O94=[1]CURSOS!$D$34,"CUIDADO INTEGRAL DEL PACIENTE ADULTO",IF(O94=[1]CURSOS!$D$35,"MANEJO DEFENSIVO",IF(O94=[1]CURSOS!$D$36,"SOPORTE CARDIOVASCULAR AVANZADO NEONATAL",IF(O94=[1]CURSOS!$D$37,"SEGURIDAD DEL PACIENTE")))))))))))))))))))))))))))))))))))</f>
        <v xml:space="preserve">ATENCION A VICTIMAS DE VIOLENCIA SEXUAL </v>
      </c>
      <c r="V94" s="52" t="str">
        <f t="shared" si="9"/>
        <v>Yurani Daniela Goyes Mora</v>
      </c>
      <c r="W94" s="52" t="str">
        <f t="shared" si="10"/>
        <v>Yurani Daniela Goyes Mora</v>
      </c>
      <c r="X94" s="52" t="str">
        <f t="shared" si="11"/>
        <v>Yurani Daniela Goyes Mora-1089245202-VIOLENCIA SEXUAL</v>
      </c>
    </row>
    <row r="95" spans="1:24" s="55" customFormat="1" x14ac:dyDescent="0.2">
      <c r="A95" s="17">
        <v>94</v>
      </c>
      <c r="B95" s="80">
        <v>1086982446</v>
      </c>
      <c r="C95" s="50" t="s">
        <v>605</v>
      </c>
      <c r="D95" s="50" t="s">
        <v>606</v>
      </c>
      <c r="E95" s="50" t="s">
        <v>607</v>
      </c>
      <c r="F95" s="187" t="s">
        <v>364</v>
      </c>
      <c r="G95" s="188">
        <v>20</v>
      </c>
      <c r="H95" s="171" t="s">
        <v>181</v>
      </c>
      <c r="I95" s="171" t="s">
        <v>519</v>
      </c>
      <c r="J95" s="182">
        <v>45526</v>
      </c>
      <c r="K95" s="181">
        <v>70000</v>
      </c>
      <c r="L95" s="188" t="s">
        <v>328</v>
      </c>
      <c r="M95" s="188" t="s">
        <v>86</v>
      </c>
      <c r="N95" s="188" t="s">
        <v>334</v>
      </c>
      <c r="O95" s="189" t="s">
        <v>36</v>
      </c>
      <c r="P95" s="18">
        <v>45502</v>
      </c>
      <c r="Q95" s="66" t="s">
        <v>309</v>
      </c>
      <c r="R95" s="17" t="s">
        <v>383</v>
      </c>
      <c r="S95" s="50">
        <v>3148240980</v>
      </c>
      <c r="T95" s="117" t="s">
        <v>621</v>
      </c>
      <c r="U95" s="52" t="str">
        <f>IF(O95=[1]CURSOS!$D$3,"DIPLOMADO EN ATENCION PRE-HOSPITALARIA",IF(O95=[1]CURSOS!$D$4,"ACOMPAÑAMIENTO Y MANEJO DEL DUELO",IF(O95=[1]CURSOS!$D$5,"ATENCION A VICTIMAS DE ATAQUE CON AGENTES QUIMICOS ",IF(O95=[1]CURSOS!$D$6,"PRIMEROS AUXILIOS ",IF(O95=[1]CURSOS!$D$7,"DIPLOMADO DE UNIDAD DE CUIDADOS INTENSIVOS (UCI)",IF(O95=[1]CURSOS!$D$8,"MODELO DE ATENCION PARA EVENTOS EMERGENTES EN SALUD MENTAL (CODIGO VERDE)",IF(O95=[1]CURSOS!$D$9,"HUMANIZACION EN EL SERVICIO DE LA SALUD Y BUENAS PRACTICAS EN PACIENTE ",IF(O95=[1]CURSOS!$D$10,"CLINICA DE HERIDAS ",IF(O95=[1]CURSOS!$D$11,"TOMA DE CITOLOGIA CERVICO VAGINAL ",IF(O95=[1]CURSOS!$D$12,"SOPORTE CARDIOVASCULAR AVANZADO (ACLS) ",IF(O95=[1]CURSOS!$D$13,"CAMILLERO ",IF(O95=[1]CURSOS!$D$14,"TOMA DE MUESTRAS Y LABORATORIO ",IF(O95=[1]CURSOS!$D$15,"SOPORTE VITAL BASICO (BLS)",IF(O95=[1]CURSOS!$D$16,"ATENCION A VICTIMAS DE VIOLENCIA SEXUAL ",IF(O95=[1]CURSOS!$D$17,"PROGRAMADO AMPLIADO DE INMUNIZACION (PAI - COVID 19)",IF(O95=[1]CURSOS!$D$18,"ATENCION INTEGRAL EN ENFERMEDADES PREVALENTES EN PRIMERA INFANCIA (AIEPI)",IF(O95=[1]CURSOS!$D$19,"ADMINISTRACION DE MEDICAMENTOS, INYECTOLOGIA  Y CANALIZACION ",IF(O95=[1]CURSOS!$D$20,"OPERADOR DE VEHICULOS DE EMERGENCIA (OVE)",IF(O95=[1]CURSOS!$D$21,"INSTITUCIONES AMIGAS DE LA MUJER Y LA INFANCIA (IAMI)",IF(O95=[1]CURSOS!$D$22,"CUIDADO DEL DONANTE DE ORGANOS",IF(O95=[1]CURSOS!$D$23,"ATENCION A VICTIMAS POR VIOLENCIA DE GENERO",IF(O95=[1]CURSOS!$D$24,"IGUALDAD DE GENERO EN LA SALUD",IF(O95=[1]CURSOS!$D$25,"BRIGADA DE EMERGENCIA",IF(O95=[1]CURSOS!$D$26,"MANEJO DEL DOLOR Y CUIDADOS PALIATIVOS",IF(O95=[1]CURSOS!$D$27,"TOMA DE MUESTRAS Y LABORATORIO POCT",IF(O95=[1]CURSOS!$D$28,"IMPLANTE SUBDERMICO DE DISPOSITIVO INTRAUTERINO",IF(O95=[1]CURSOS!$D$29,"SALUD MENTAL",IF(O95=[1]CURSOS!$D$30,"PRIMEROS AUXILIOS PSICOLOGICOS",IF(O95=[1]CURSOS!$D$31,"ATENCION A VICTIMAS POR CONFLICTO ARMADO",IF(O95=[1]CURSOS!$D$32,"MANIPULACION DE ALIMENTOS Y BPM",IF(O95=[1]CURSOS!$D$33,"ATENCION A PERSONAS CON DISCAPACIDAD",IF(O95=[1]CURSOS!$D$34,"CUIDADO INTEGRAL DEL PACIENTE ADULTO",IF(O95=[1]CURSOS!$D$35,"MANEJO DEFENSIVO",IF(O95=[1]CURSOS!$D$36,"SOPORTE CARDIOVASCULAR AVANZADO NEONATAL",IF(O95=[1]CURSOS!$D$37,"SEGURIDAD DEL PACIENTE")))))))))))))))))))))))))))))))))))</f>
        <v xml:space="preserve">TOMA DE CITOLOGIA CERVICO VAGINAL </v>
      </c>
      <c r="V95" s="52" t="str">
        <f t="shared" si="9"/>
        <v>Anyela Julieth Getial Chaparpued</v>
      </c>
      <c r="W95" s="52" t="str">
        <f t="shared" si="10"/>
        <v>Anyela Julieth Getial Chaparpued</v>
      </c>
      <c r="X95" s="52" t="str">
        <f t="shared" si="11"/>
        <v>Anyela Julieth Getial Chaparpued-1086982446-CITOLOGIA</v>
      </c>
    </row>
    <row r="96" spans="1:24" s="55" customFormat="1" x14ac:dyDescent="0.2">
      <c r="A96" s="17">
        <v>95</v>
      </c>
      <c r="B96" s="80">
        <v>1086982446</v>
      </c>
      <c r="C96" s="50" t="s">
        <v>605</v>
      </c>
      <c r="D96" s="50" t="s">
        <v>606</v>
      </c>
      <c r="E96" s="50" t="s">
        <v>607</v>
      </c>
      <c r="F96" s="187" t="s">
        <v>364</v>
      </c>
      <c r="G96" s="188">
        <v>21</v>
      </c>
      <c r="H96" s="171" t="s">
        <v>181</v>
      </c>
      <c r="I96" s="171" t="s">
        <v>519</v>
      </c>
      <c r="J96" s="182">
        <v>45526</v>
      </c>
      <c r="K96" s="181">
        <v>70000</v>
      </c>
      <c r="L96" s="188" t="s">
        <v>328</v>
      </c>
      <c r="M96" s="188" t="s">
        <v>86</v>
      </c>
      <c r="N96" s="188" t="s">
        <v>334</v>
      </c>
      <c r="O96" s="189" t="s">
        <v>63</v>
      </c>
      <c r="P96" s="18">
        <v>45502</v>
      </c>
      <c r="Q96" s="66" t="s">
        <v>309</v>
      </c>
      <c r="R96" s="17" t="s">
        <v>383</v>
      </c>
      <c r="S96" s="50">
        <v>3148240980</v>
      </c>
      <c r="T96" s="50" t="s">
        <v>608</v>
      </c>
      <c r="U96" s="52" t="str">
        <f>IF(O96=[1]CURSOS!$D$3,"DIPLOMADO EN ATENCION PRE-HOSPITALARIA",IF(O96=[1]CURSOS!$D$4,"ACOMPAÑAMIENTO Y MANEJO DEL DUELO",IF(O96=[1]CURSOS!$D$5,"ATENCION A VICTIMAS DE ATAQUE CON AGENTES QUIMICOS ",IF(O96=[1]CURSOS!$D$6,"PRIMEROS AUXILIOS ",IF(O96=[1]CURSOS!$D$7,"DIPLOMADO DE UNIDAD DE CUIDADOS INTENSIVOS (UCI)",IF(O96=[1]CURSOS!$D$8,"MODELO DE ATENCION PARA EVENTOS EMERGENTES EN SALUD MENTAL (CODIGO VERDE)",IF(O96=[1]CURSOS!$D$9,"HUMANIZACION EN EL SERVICIO DE LA SALUD Y BUENAS PRACTICAS EN PACIENTE ",IF(O96=[1]CURSOS!$D$10,"CLINICA DE HERIDAS ",IF(O96=[1]CURSOS!$D$11,"TOMA DE CITOLOGIA CERVICO VAGINAL ",IF(O96=[1]CURSOS!$D$12,"SOPORTE CARDIOVASCULAR AVANZADO (ACLS) ",IF(O96=[1]CURSOS!$D$13,"CAMILLERO ",IF(O96=[1]CURSOS!$D$14,"TOMA DE MUESTRAS Y LABORATORIO ",IF(O96=[1]CURSOS!$D$15,"SOPORTE VITAL BASICO (BLS)",IF(O96=[1]CURSOS!$D$16,"ATENCION A VICTIMAS DE VIOLENCIA SEXUAL ",IF(O96=[1]CURSOS!$D$17,"PROGRAMADO AMPLIADO DE INMUNIZACION (PAI - COVID 19)",IF(O96=[1]CURSOS!$D$18,"ATENCION INTEGRAL EN ENFERMEDADES PREVALENTES EN PRIMERA INFANCIA (AIEPI)",IF(O96=[1]CURSOS!$D$19,"ADMINISTRACION DE MEDICAMENTOS, INYECTOLOGIA  Y CANALIZACION ",IF(O96=[1]CURSOS!$D$20,"OPERADOR DE VEHICULOS DE EMERGENCIA (OVE)",IF(O96=[1]CURSOS!$D$21,"INSTITUCIONES AMIGAS DE LA MUJER Y LA INFANCIA (IAMI)",IF(O96=[1]CURSOS!$D$22,"CUIDADO DEL DONANTE DE ORGANOS",IF(O96=[1]CURSOS!$D$23,"ATENCION A VICTIMAS POR VIOLENCIA DE GENERO",IF(O96=[1]CURSOS!$D$24,"IGUALDAD DE GENERO EN LA SALUD",IF(O96=[1]CURSOS!$D$25,"BRIGADA DE EMERGENCIA",IF(O96=[1]CURSOS!$D$26,"MANEJO DEL DOLOR Y CUIDADOS PALIATIVOS",IF(O96=[1]CURSOS!$D$27,"TOMA DE MUESTRAS Y LABORATORIO POCT",IF(O96=[1]CURSOS!$D$28,"IMPLANTE SUBDERMICO DE DISPOSITIVO INTRAUTERINO",IF(O96=[1]CURSOS!$D$29,"SALUD MENTAL",IF(O96=[1]CURSOS!$D$30,"PRIMEROS AUXILIOS PSICOLOGICOS",IF(O96=[1]CURSOS!$D$31,"ATENCION A VICTIMAS POR CONFLICTO ARMADO",IF(O96=[1]CURSOS!$D$32,"MANIPULACION DE ALIMENTOS Y BPM",IF(O96=[1]CURSOS!$D$33,"ATENCION A PERSONAS CON DISCAPACIDAD",IF(O96=[1]CURSOS!$D$34,"CUIDADO INTEGRAL DEL PACIENTE ADULTO",IF(O96=[1]CURSOS!$D$35,"MANEJO DEFENSIVO",IF(O96=[1]CURSOS!$D$36,"SOPORTE CARDIOVASCULAR AVANZADO NEONATAL",IF(O96=[1]CURSOS!$D$37,"SEGURIDAD DEL PACIENTE")))))))))))))))))))))))))))))))))))</f>
        <v>TOMA DE MUESTRAS Y LABORATORIO POCT</v>
      </c>
      <c r="V96" s="52" t="str">
        <f t="shared" si="9"/>
        <v>Anyela Julieth Getial Chaparpued</v>
      </c>
      <c r="W96" s="52" t="str">
        <f t="shared" si="10"/>
        <v>Anyela Julieth Getial Chaparpued</v>
      </c>
      <c r="X96" s="52" t="str">
        <f t="shared" si="11"/>
        <v>Anyela Julieth Getial Chaparpued-1086982446-POCT</v>
      </c>
    </row>
    <row r="97" spans="1:24" s="55" customFormat="1" x14ac:dyDescent="0.2">
      <c r="A97" s="17">
        <v>96</v>
      </c>
      <c r="B97" s="80">
        <v>1086982446</v>
      </c>
      <c r="C97" s="50" t="s">
        <v>605</v>
      </c>
      <c r="D97" s="50" t="s">
        <v>606</v>
      </c>
      <c r="E97" s="50" t="s">
        <v>607</v>
      </c>
      <c r="F97" s="187" t="s">
        <v>364</v>
      </c>
      <c r="G97" s="188">
        <v>17</v>
      </c>
      <c r="H97" s="171" t="s">
        <v>181</v>
      </c>
      <c r="I97" s="171" t="s">
        <v>519</v>
      </c>
      <c r="J97" s="182">
        <v>45526</v>
      </c>
      <c r="K97" s="181">
        <v>40000</v>
      </c>
      <c r="L97" s="188" t="s">
        <v>328</v>
      </c>
      <c r="M97" s="188" t="s">
        <v>86</v>
      </c>
      <c r="N97" s="188" t="s">
        <v>334</v>
      </c>
      <c r="O97" s="189" t="s">
        <v>64</v>
      </c>
      <c r="P97" s="18">
        <v>45502</v>
      </c>
      <c r="Q97" s="66" t="s">
        <v>309</v>
      </c>
      <c r="R97" s="17" t="s">
        <v>383</v>
      </c>
      <c r="S97" s="50">
        <v>3148240980</v>
      </c>
      <c r="T97" s="50" t="s">
        <v>608</v>
      </c>
      <c r="U97" s="52" t="str">
        <f>IF(O97=[1]CURSOS!$D$3,"DIPLOMADO EN ATENCION PRE-HOSPITALARIA",IF(O97=[1]CURSOS!$D$4,"ACOMPAÑAMIENTO Y MANEJO DEL DUELO",IF(O97=[1]CURSOS!$D$5,"ATENCION A VICTIMAS DE ATAQUE CON AGENTES QUIMICOS ",IF(O97=[1]CURSOS!$D$6,"PRIMEROS AUXILIOS ",IF(O97=[1]CURSOS!$D$7,"DIPLOMADO DE UNIDAD DE CUIDADOS INTENSIVOS (UCI)",IF(O97=[1]CURSOS!$D$8,"MODELO DE ATENCION PARA EVENTOS EMERGENTES EN SALUD MENTAL (CODIGO VERDE)",IF(O97=[1]CURSOS!$D$9,"HUMANIZACION EN EL SERVICIO DE LA SALUD Y BUENAS PRACTICAS EN PACIENTE ",IF(O97=[1]CURSOS!$D$10,"CLINICA DE HERIDAS ",IF(O97=[1]CURSOS!$D$11,"TOMA DE CITOLOGIA CERVICO VAGINAL ",IF(O97=[1]CURSOS!$D$12,"SOPORTE CARDIOVASCULAR AVANZADO (ACLS) ",IF(O97=[1]CURSOS!$D$13,"CAMILLERO ",IF(O97=[1]CURSOS!$D$14,"TOMA DE MUESTRAS Y LABORATORIO ",IF(O97=[1]CURSOS!$D$15,"SOPORTE VITAL BASICO (BLS)",IF(O97=[1]CURSOS!$D$16,"ATENCION A VICTIMAS DE VIOLENCIA SEXUAL ",IF(O97=[1]CURSOS!$D$17,"PROGRAMADO AMPLIADO DE INMUNIZACION (PAI - COVID 19)",IF(O97=[1]CURSOS!$D$18,"ATENCION INTEGRAL EN ENFERMEDADES PREVALENTES EN PRIMERA INFANCIA (AIEPI)",IF(O97=[1]CURSOS!$D$19,"ADMINISTRACION DE MEDICAMENTOS, INYECTOLOGIA  Y CANALIZACION ",IF(O97=[1]CURSOS!$D$20,"OPERADOR DE VEHICULOS DE EMERGENCIA (OVE)",IF(O97=[1]CURSOS!$D$21,"INSTITUCIONES AMIGAS DE LA MUJER Y LA INFANCIA (IAMI)",IF(O97=[1]CURSOS!$D$22,"CUIDADO DEL DONANTE DE ORGANOS",IF(O97=[1]CURSOS!$D$23,"ATENCION A VICTIMAS POR VIOLENCIA DE GENERO",IF(O97=[1]CURSOS!$D$24,"IGUALDAD DE GENERO EN LA SALUD",IF(O97=[1]CURSOS!$D$25,"BRIGADA DE EMERGENCIA",IF(O97=[1]CURSOS!$D$26,"MANEJO DEL DOLOR Y CUIDADOS PALIATIVOS",IF(O97=[1]CURSOS!$D$27,"TOMA DE MUESTRAS Y LABORATORIO POCT",IF(O97=[1]CURSOS!$D$28,"IMPLANTE SUBDERMICO DE DISPOSITIVO INTRAUTERINO",IF(O97=[1]CURSOS!$D$29,"SALUD MENTAL",IF(O97=[1]CURSOS!$D$30,"PRIMEROS AUXILIOS PSICOLOGICOS",IF(O97=[1]CURSOS!$D$31,"ATENCION A VICTIMAS POR CONFLICTO ARMADO",IF(O97=[1]CURSOS!$D$32,"MANIPULACION DE ALIMENTOS Y BPM",IF(O97=[1]CURSOS!$D$33,"ATENCION A PERSONAS CON DISCAPACIDAD",IF(O97=[1]CURSOS!$D$34,"CUIDADO INTEGRAL DEL PACIENTE ADULTO",IF(O97=[1]CURSOS!$D$35,"MANEJO DEFENSIVO",IF(O97=[1]CURSOS!$D$36,"SOPORTE CARDIOVASCULAR AVANZADO NEONATAL",IF(O97=[1]CURSOS!$D$37,"SEGURIDAD DEL PACIENTE")))))))))))))))))))))))))))))))))))</f>
        <v>IMPLANTE SUBDERMICO DE DISPOSITIVO INTRAUTERINO</v>
      </c>
      <c r="V97" s="52" t="str">
        <f t="shared" si="9"/>
        <v>Anyela Julieth Getial Chaparpued</v>
      </c>
      <c r="W97" s="52" t="str">
        <f t="shared" si="10"/>
        <v>Anyela Julieth Getial Chaparpued</v>
      </c>
      <c r="X97" s="52" t="str">
        <f t="shared" si="11"/>
        <v>Anyela Julieth Getial Chaparpued-1086982446-IMPLANTE</v>
      </c>
    </row>
    <row r="98" spans="1:24" s="55" customFormat="1" x14ac:dyDescent="0.2">
      <c r="A98" s="17">
        <v>97</v>
      </c>
      <c r="B98" s="80">
        <v>1088733829</v>
      </c>
      <c r="C98" s="50" t="s">
        <v>454</v>
      </c>
      <c r="D98" s="50" t="s">
        <v>96</v>
      </c>
      <c r="E98" s="50" t="s">
        <v>97</v>
      </c>
      <c r="F98" s="187" t="s">
        <v>610</v>
      </c>
      <c r="G98" s="188">
        <v>22</v>
      </c>
      <c r="H98" s="171" t="s">
        <v>181</v>
      </c>
      <c r="I98" s="171" t="s">
        <v>519</v>
      </c>
      <c r="J98" s="182">
        <v>45527</v>
      </c>
      <c r="K98" s="181">
        <v>32000</v>
      </c>
      <c r="L98" s="188" t="s">
        <v>328</v>
      </c>
      <c r="M98" s="188" t="s">
        <v>86</v>
      </c>
      <c r="N98" s="188" t="s">
        <v>326</v>
      </c>
      <c r="O98" s="189" t="s">
        <v>33</v>
      </c>
      <c r="P98" s="18">
        <v>33186</v>
      </c>
      <c r="Q98" s="66" t="s">
        <v>316</v>
      </c>
      <c r="R98" s="158" t="s">
        <v>432</v>
      </c>
      <c r="S98" s="50">
        <v>3217725218</v>
      </c>
      <c r="T98" s="50" t="s">
        <v>611</v>
      </c>
      <c r="U98" s="52" t="str">
        <f>IF(O98=[1]CURSOS!$D$3,"DIPLOMADO EN ATENCION PRE-HOSPITALARIA",IF(O98=[1]CURSOS!$D$4,"ACOMPAÑAMIENTO Y MANEJO DEL DUELO",IF(O98=[1]CURSOS!$D$5,"ATENCION A VICTIMAS DE ATAQUE CON AGENTES QUIMICOS ",IF(O98=[1]CURSOS!$D$6,"PRIMEROS AUXILIOS ",IF(O98=[1]CURSOS!$D$7,"DIPLOMADO DE UNIDAD DE CUIDADOS INTENSIVOS (UCI)",IF(O98=[1]CURSOS!$D$8,"MODELO DE ATENCION PARA EVENTOS EMERGENTES EN SALUD MENTAL (CODIGO VERDE)",IF(O98=[1]CURSOS!$D$9,"HUMANIZACION EN EL SERVICIO DE LA SALUD Y BUENAS PRACTICAS EN PACIENTE ",IF(O98=[1]CURSOS!$D$10,"CLINICA DE HERIDAS ",IF(O98=[1]CURSOS!$D$11,"TOMA DE CITOLOGIA CERVICO VAGINAL ",IF(O98=[1]CURSOS!$D$12,"SOPORTE CARDIOVASCULAR AVANZADO (ACLS) ",IF(O98=[1]CURSOS!$D$13,"CAMILLERO ",IF(O98=[1]CURSOS!$D$14,"TOMA DE MUESTRAS Y LABORATORIO ",IF(O98=[1]CURSOS!$D$15,"SOPORTE VITAL BASICO (BLS)",IF(O98=[1]CURSOS!$D$16,"ATENCION A VICTIMAS DE VIOLENCIA SEXUAL ",IF(O98=[1]CURSOS!$D$17,"PROGRAMADO AMPLIADO DE INMUNIZACION (PAI - COVID 19)",IF(O98=[1]CURSOS!$D$18,"ATENCION INTEGRAL EN ENFERMEDADES PREVALENTES EN PRIMERA INFANCIA (AIEPI)",IF(O98=[1]CURSOS!$D$19,"ADMINISTRACION DE MEDICAMENTOS, INYECTOLOGIA  Y CANALIZACION ",IF(O98=[1]CURSOS!$D$20,"OPERADOR DE VEHICULOS DE EMERGENCIA (OVE)",IF(O98=[1]CURSOS!$D$21,"INSTITUCIONES AMIGAS DE LA MUJER Y LA INFANCIA (IAMI)",IF(O98=[1]CURSOS!$D$22,"CUIDADO DEL DONANTE DE ORGANOS",IF(O98=[1]CURSOS!$D$23,"ATENCION A VICTIMAS POR VIOLENCIA DE GENERO",IF(O98=[1]CURSOS!$D$24,"IGUALDAD DE GENERO EN LA SALUD",IF(O98=[1]CURSOS!$D$25,"BRIGADA DE EMERGENCIA",IF(O98=[1]CURSOS!$D$26,"MANEJO DEL DOLOR Y CUIDADOS PALIATIVOS",IF(O98=[1]CURSOS!$D$27,"TOMA DE MUESTRAS Y LABORATORIO POCT",IF(O98=[1]CURSOS!$D$28,"IMPLANTE SUBDERMICO DE DISPOSITIVO INTRAUTERINO",IF(O98=[1]CURSOS!$D$29,"SALUD MENTAL",IF(O98=[1]CURSOS!$D$30,"PRIMEROS AUXILIOS PSICOLOGICOS",IF(O98=[1]CURSOS!$D$31,"ATENCION A VICTIMAS POR CONFLICTO ARMADO",IF(O98=[1]CURSOS!$D$32,"MANIPULACION DE ALIMENTOS Y BPM",IF(O98=[1]CURSOS!$D$33,"ATENCION A PERSONAS CON DISCAPACIDAD",IF(O98=[1]CURSOS!$D$34,"CUIDADO INTEGRAL DEL PACIENTE ADULTO",IF(O98=[1]CURSOS!$D$35,"MANEJO DEFENSIVO",IF(O98=[1]CURSOS!$D$36,"SOPORTE CARDIOVASCULAR AVANZADO NEONATAL",IF(O98=[1]CURSOS!$D$37,"SEGURIDAD DEL PACIENTE")))))))))))))))))))))))))))))))))))</f>
        <v xml:space="preserve">HUMANIZACION EN EL SERVICIO DE LA SALUD Y BUENAS PRACTICAS EN PACIENTE </v>
      </c>
      <c r="V98" s="52" t="str">
        <f t="shared" si="9"/>
        <v>Andres Geovanny Obando Benavides</v>
      </c>
      <c r="W98" s="52" t="str">
        <f t="shared" si="10"/>
        <v>Andres Geovanny Obando Benavides</v>
      </c>
      <c r="X98" s="52" t="str">
        <f t="shared" si="11"/>
        <v>Andres Geovanny Obando Benavides-1088733829-HUMANIZACION</v>
      </c>
    </row>
    <row r="99" spans="1:24" s="55" customFormat="1" x14ac:dyDescent="0.2">
      <c r="A99" s="17">
        <v>98</v>
      </c>
      <c r="B99" s="80">
        <v>1004338446</v>
      </c>
      <c r="C99" s="50" t="s">
        <v>612</v>
      </c>
      <c r="D99" s="50" t="s">
        <v>613</v>
      </c>
      <c r="E99" s="50" t="s">
        <v>614</v>
      </c>
      <c r="F99" s="187" t="s">
        <v>515</v>
      </c>
      <c r="G99" s="188">
        <v>22</v>
      </c>
      <c r="H99" s="171" t="s">
        <v>181</v>
      </c>
      <c r="I99" s="171" t="s">
        <v>519</v>
      </c>
      <c r="J99" s="182">
        <v>45526</v>
      </c>
      <c r="K99" s="181">
        <v>40000</v>
      </c>
      <c r="L99" s="188" t="s">
        <v>322</v>
      </c>
      <c r="M99" s="188" t="s">
        <v>86</v>
      </c>
      <c r="N99" s="188" t="s">
        <v>334</v>
      </c>
      <c r="O99" s="189" t="s">
        <v>19</v>
      </c>
      <c r="P99" s="18">
        <v>36836</v>
      </c>
      <c r="Q99" s="66" t="s">
        <v>309</v>
      </c>
      <c r="R99" s="17" t="s">
        <v>315</v>
      </c>
      <c r="S99" s="50">
        <v>3122323062</v>
      </c>
      <c r="T99" s="50" t="s">
        <v>615</v>
      </c>
      <c r="U99" s="52" t="str">
        <f>IF(O99=[1]CURSOS!$D$3,"DIPLOMADO EN ATENCION PRE-HOSPITALARIA",IF(O99=[1]CURSOS!$D$4,"ACOMPAÑAMIENTO Y MANEJO DEL DUELO",IF(O99=[1]CURSOS!$D$5,"ATENCION A VICTIMAS DE ATAQUE CON AGENTES QUIMICOS ",IF(O99=[1]CURSOS!$D$6,"PRIMEROS AUXILIOS ",IF(O99=[1]CURSOS!$D$7,"DIPLOMADO DE UNIDAD DE CUIDADOS INTENSIVOS (UCI)",IF(O99=[1]CURSOS!$D$8,"MODELO DE ATENCION PARA EVENTOS EMERGENTES EN SALUD MENTAL (CODIGO VERDE)",IF(O99=[1]CURSOS!$D$9,"HUMANIZACION EN EL SERVICIO DE LA SALUD Y BUENAS PRACTICAS EN PACIENTE ",IF(O99=[1]CURSOS!$D$10,"CLINICA DE HERIDAS ",IF(O99=[1]CURSOS!$D$11,"TOMA DE CITOLOGIA CERVICO VAGINAL ",IF(O99=[1]CURSOS!$D$12,"SOPORTE CARDIOVASCULAR AVANZADO (ACLS) ",IF(O99=[1]CURSOS!$D$13,"CAMILLERO ",IF(O99=[1]CURSOS!$D$14,"TOMA DE MUESTRAS Y LABORATORIO ",IF(O99=[1]CURSOS!$D$15,"SOPORTE VITAL BASICO (BLS)",IF(O99=[1]CURSOS!$D$16,"ATENCION A VICTIMAS DE VIOLENCIA SEXUAL ",IF(O99=[1]CURSOS!$D$17,"PROGRAMADO AMPLIADO DE INMUNIZACION (PAI - COVID 19)",IF(O99=[1]CURSOS!$D$18,"ATENCION INTEGRAL EN ENFERMEDADES PREVALENTES EN PRIMERA INFANCIA (AIEPI)",IF(O99=[1]CURSOS!$D$19,"ADMINISTRACION DE MEDICAMENTOS, INYECTOLOGIA  Y CANALIZACION ",IF(O99=[1]CURSOS!$D$20,"OPERADOR DE VEHICULOS DE EMERGENCIA (OVE)",IF(O99=[1]CURSOS!$D$21,"INSTITUCIONES AMIGAS DE LA MUJER Y LA INFANCIA (IAMI)",IF(O99=[1]CURSOS!$D$22,"CUIDADO DEL DONANTE DE ORGANOS",IF(O99=[1]CURSOS!$D$23,"ATENCION A VICTIMAS POR VIOLENCIA DE GENERO",IF(O99=[1]CURSOS!$D$24,"IGUALDAD DE GENERO EN LA SALUD",IF(O99=[1]CURSOS!$D$25,"BRIGADA DE EMERGENCIA",IF(O99=[1]CURSOS!$D$26,"MANEJO DEL DOLOR Y CUIDADOS PALIATIVOS",IF(O99=[1]CURSOS!$D$27,"TOMA DE MUESTRAS Y LABORATORIO POCT",IF(O99=[1]CURSOS!$D$28,"IMPLANTE SUBDERMICO DE DISPOSITIVO INTRAUTERINO",IF(O99=[1]CURSOS!$D$29,"SALUD MENTAL",IF(O99=[1]CURSOS!$D$30,"PRIMEROS AUXILIOS PSICOLOGICOS",IF(O99=[1]CURSOS!$D$31,"ATENCION A VICTIMAS POR CONFLICTO ARMADO",IF(O99=[1]CURSOS!$D$32,"MANIPULACION DE ALIMENTOS Y BPM",IF(O99=[1]CURSOS!$D$33,"ATENCION A PERSONAS CON DISCAPACIDAD",IF(O99=[1]CURSOS!$D$34,"CUIDADO INTEGRAL DEL PACIENTE ADULTO",IF(O99=[1]CURSOS!$D$35,"MANEJO DEFENSIVO",IF(O99=[1]CURSOS!$D$36,"SOPORTE CARDIOVASCULAR AVANZADO NEONATAL",IF(O99=[1]CURSOS!$D$37,"SEGURIDAD DEL PACIENTE")))))))))))))))))))))))))))))))))))</f>
        <v>SOPORTE VITAL BASICO (BLS)</v>
      </c>
      <c r="V99" s="52" t="str">
        <f t="shared" si="9"/>
        <v>Nancy Patricia Rosas Gelpud</v>
      </c>
      <c r="W99" s="52" t="str">
        <f t="shared" si="10"/>
        <v>Nancy Patricia Rosas Gelpud</v>
      </c>
      <c r="X99" s="52" t="str">
        <f t="shared" si="11"/>
        <v>Nancy Patricia Rosas Gelpud-1004338446-BLS</v>
      </c>
    </row>
    <row r="100" spans="1:24" s="55" customFormat="1" x14ac:dyDescent="0.2">
      <c r="A100" s="17">
        <v>99</v>
      </c>
      <c r="B100" s="80">
        <v>36757599</v>
      </c>
      <c r="C100" s="50" t="s">
        <v>170</v>
      </c>
      <c r="D100" s="50" t="s">
        <v>413</v>
      </c>
      <c r="E100" s="50" t="s">
        <v>116</v>
      </c>
      <c r="F100" s="187"/>
      <c r="G100" s="188">
        <v>21</v>
      </c>
      <c r="H100" s="171" t="s">
        <v>181</v>
      </c>
      <c r="I100" s="171" t="s">
        <v>519</v>
      </c>
      <c r="J100" s="182">
        <v>45527</v>
      </c>
      <c r="K100" s="181">
        <v>25000</v>
      </c>
      <c r="L100" s="188" t="s">
        <v>322</v>
      </c>
      <c r="M100" s="188" t="s">
        <v>86</v>
      </c>
      <c r="N100" s="188" t="s">
        <v>320</v>
      </c>
      <c r="O100" s="189" t="s">
        <v>23</v>
      </c>
      <c r="P100" s="18">
        <v>30031</v>
      </c>
      <c r="Q100" s="66" t="s">
        <v>309</v>
      </c>
      <c r="R100" s="17" t="s">
        <v>315</v>
      </c>
      <c r="S100" s="50">
        <v>3136389421</v>
      </c>
      <c r="T100" s="50" t="s">
        <v>616</v>
      </c>
      <c r="U100" s="52" t="str">
        <f>IF(O100=[1]CURSOS!$D$3,"DIPLOMADO EN ATENCION PRE-HOSPITALARIA",IF(O100=[1]CURSOS!$D$4,"ACOMPAÑAMIENTO Y MANEJO DEL DUELO",IF(O100=[1]CURSOS!$D$5,"ATENCION A VICTIMAS DE ATAQUE CON AGENTES QUIMICOS ",IF(O100=[1]CURSOS!$D$6,"PRIMEROS AUXILIOS ",IF(O100=[1]CURSOS!$D$7,"DIPLOMADO DE UNIDAD DE CUIDADOS INTENSIVOS (UCI)",IF(O100=[1]CURSOS!$D$8,"MODELO DE ATENCION PARA EVENTOS EMERGENTES EN SALUD MENTAL (CODIGO VERDE)",IF(O100=[1]CURSOS!$D$9,"HUMANIZACION EN EL SERVICIO DE LA SALUD Y BUENAS PRACTICAS EN PACIENTE ",IF(O100=[1]CURSOS!$D$10,"CLINICA DE HERIDAS ",IF(O100=[1]CURSOS!$D$11,"TOMA DE CITOLOGIA CERVICO VAGINAL ",IF(O100=[1]CURSOS!$D$12,"SOPORTE CARDIOVASCULAR AVANZADO (ACLS) ",IF(O100=[1]CURSOS!$D$13,"CAMILLERO ",IF(O100=[1]CURSOS!$D$14,"TOMA DE MUESTRAS Y LABORATORIO ",IF(O100=[1]CURSOS!$D$15,"SOPORTE VITAL BASICO (BLS)",IF(O100=[1]CURSOS!$D$16,"ATENCION A VICTIMAS DE VIOLENCIA SEXUAL ",IF(O100=[1]CURSOS!$D$17,"PROGRAMADO AMPLIADO DE INMUNIZACION (PAI - COVID 19)",IF(O100=[1]CURSOS!$D$18,"ATENCION INTEGRAL EN ENFERMEDADES PREVALENTES EN PRIMERA INFANCIA (AIEPI)",IF(O100=[1]CURSOS!$D$19,"ADMINISTRACION DE MEDICAMENTOS, INYECTOLOGIA  Y CANALIZACION ",IF(O100=[1]CURSOS!$D$20,"OPERADOR DE VEHICULOS DE EMERGENCIA (OVE)",IF(O100=[1]CURSOS!$D$21,"INSTITUCIONES AMIGAS DE LA MUJER Y LA INFANCIA (IAMI)",IF(O100=[1]CURSOS!$D$22,"CUIDADO DEL DONANTE DE ORGANOS",IF(O100=[1]CURSOS!$D$23,"ATENCION A VICTIMAS POR VIOLENCIA DE GENERO",IF(O100=[1]CURSOS!$D$24,"IGUALDAD DE GENERO EN LA SALUD",IF(O100=[1]CURSOS!$D$25,"BRIGADA DE EMERGENCIA",IF(O100=[1]CURSOS!$D$26,"MANEJO DEL DOLOR Y CUIDADOS PALIATIVOS",IF(O100=[1]CURSOS!$D$27,"TOMA DE MUESTRAS Y LABORATORIO POCT",IF(O100=[1]CURSOS!$D$28,"IMPLANTE SUBDERMICO DE DISPOSITIVO INTRAUTERINO",IF(O100=[1]CURSOS!$D$29,"SALUD MENTAL",IF(O100=[1]CURSOS!$D$30,"PRIMEROS AUXILIOS PSICOLOGICOS",IF(O100=[1]CURSOS!$D$31,"ATENCION A VICTIMAS POR CONFLICTO ARMADO",IF(O100=[1]CURSOS!$D$32,"MANIPULACION DE ALIMENTOS Y BPM",IF(O100=[1]CURSOS!$D$33,"ATENCION A PERSONAS CON DISCAPACIDAD",IF(O100=[1]CURSOS!$D$34,"CUIDADO INTEGRAL DEL PACIENTE ADULTO",IF(O100=[1]CURSOS!$D$35,"MANEJO DEFENSIVO",IF(O100=[1]CURSOS!$D$36,"SOPORTE CARDIOVASCULAR AVANZADO NEONATAL",IF(O100=[1]CURSOS!$D$37,"SEGURIDAD DEL PACIENTE")))))))))))))))))))))))))))))))))))</f>
        <v>ACOMPAÑAMIENTO Y MANEJO DEL DUELO</v>
      </c>
      <c r="V100" s="52" t="str">
        <f t="shared" si="9"/>
        <v>Andrea  Almeida Narváez</v>
      </c>
      <c r="W100" s="52" t="str">
        <f t="shared" si="10"/>
        <v>Andrea  Almeida Narváez</v>
      </c>
      <c r="X100" s="52" t="str">
        <f t="shared" si="11"/>
        <v>Andrea  Almeida Narváez-36757599-DUELO</v>
      </c>
    </row>
    <row r="101" spans="1:24" s="55" customFormat="1" x14ac:dyDescent="0.2">
      <c r="A101" s="17">
        <v>100</v>
      </c>
      <c r="B101" s="80">
        <v>36757599</v>
      </c>
      <c r="C101" s="50" t="s">
        <v>170</v>
      </c>
      <c r="D101" s="50" t="s">
        <v>413</v>
      </c>
      <c r="E101" s="50" t="s">
        <v>116</v>
      </c>
      <c r="F101" s="187"/>
      <c r="G101" s="188">
        <v>20</v>
      </c>
      <c r="H101" s="171" t="s">
        <v>181</v>
      </c>
      <c r="I101" s="171" t="s">
        <v>519</v>
      </c>
      <c r="J101" s="182">
        <v>45527</v>
      </c>
      <c r="K101" s="181">
        <v>25000</v>
      </c>
      <c r="L101" s="188" t="s">
        <v>322</v>
      </c>
      <c r="M101" s="188" t="s">
        <v>86</v>
      </c>
      <c r="N101" s="188" t="s">
        <v>320</v>
      </c>
      <c r="O101" s="189" t="s">
        <v>25</v>
      </c>
      <c r="P101" s="18">
        <v>30031</v>
      </c>
      <c r="Q101" s="66" t="s">
        <v>309</v>
      </c>
      <c r="R101" s="17" t="s">
        <v>315</v>
      </c>
      <c r="S101" s="50">
        <v>3136389421</v>
      </c>
      <c r="T101" s="50" t="s">
        <v>616</v>
      </c>
      <c r="U101" s="52" t="str">
        <f>IF(O101=[1]CURSOS!$D$3,"DIPLOMADO EN ATENCION PRE-HOSPITALARIA",IF(O101=[1]CURSOS!$D$4,"ACOMPAÑAMIENTO Y MANEJO DEL DUELO",IF(O101=[1]CURSOS!$D$5,"ATENCION A VICTIMAS DE ATAQUE CON AGENTES QUIMICOS ",IF(O101=[1]CURSOS!$D$6,"PRIMEROS AUXILIOS ",IF(O101=[1]CURSOS!$D$7,"DIPLOMADO DE UNIDAD DE CUIDADOS INTENSIVOS (UCI)",IF(O101=[1]CURSOS!$D$8,"MODELO DE ATENCION PARA EVENTOS EMERGENTES EN SALUD MENTAL (CODIGO VERDE)",IF(O101=[1]CURSOS!$D$9,"HUMANIZACION EN EL SERVICIO DE LA SALUD Y BUENAS PRACTICAS EN PACIENTE ",IF(O101=[1]CURSOS!$D$10,"CLINICA DE HERIDAS ",IF(O101=[1]CURSOS!$D$11,"TOMA DE CITOLOGIA CERVICO VAGINAL ",IF(O101=[1]CURSOS!$D$12,"SOPORTE CARDIOVASCULAR AVANZADO (ACLS) ",IF(O101=[1]CURSOS!$D$13,"CAMILLERO ",IF(O101=[1]CURSOS!$D$14,"TOMA DE MUESTRAS Y LABORATORIO ",IF(O101=[1]CURSOS!$D$15,"SOPORTE VITAL BASICO (BLS)",IF(O101=[1]CURSOS!$D$16,"ATENCION A VICTIMAS DE VIOLENCIA SEXUAL ",IF(O101=[1]CURSOS!$D$17,"PROGRAMADO AMPLIADO DE INMUNIZACION (PAI - COVID 19)",IF(O101=[1]CURSOS!$D$18,"ATENCION INTEGRAL EN ENFERMEDADES PREVALENTES EN PRIMERA INFANCIA (AIEPI)",IF(O101=[1]CURSOS!$D$19,"ADMINISTRACION DE MEDICAMENTOS, INYECTOLOGIA  Y CANALIZACION ",IF(O101=[1]CURSOS!$D$20,"OPERADOR DE VEHICULOS DE EMERGENCIA (OVE)",IF(O101=[1]CURSOS!$D$21,"INSTITUCIONES AMIGAS DE LA MUJER Y LA INFANCIA (IAMI)",IF(O101=[1]CURSOS!$D$22,"CUIDADO DEL DONANTE DE ORGANOS",IF(O101=[1]CURSOS!$D$23,"ATENCION A VICTIMAS POR VIOLENCIA DE GENERO",IF(O101=[1]CURSOS!$D$24,"IGUALDAD DE GENERO EN LA SALUD",IF(O101=[1]CURSOS!$D$25,"BRIGADA DE EMERGENCIA",IF(O101=[1]CURSOS!$D$26,"MANEJO DEL DOLOR Y CUIDADOS PALIATIVOS",IF(O101=[1]CURSOS!$D$27,"TOMA DE MUESTRAS Y LABORATORIO POCT",IF(O101=[1]CURSOS!$D$28,"IMPLANTE SUBDERMICO DE DISPOSITIVO INTRAUTERINO",IF(O101=[1]CURSOS!$D$29,"SALUD MENTAL",IF(O101=[1]CURSOS!$D$30,"PRIMEROS AUXILIOS PSICOLOGICOS",IF(O101=[1]CURSOS!$D$31,"ATENCION A VICTIMAS POR CONFLICTO ARMADO",IF(O101=[1]CURSOS!$D$32,"MANIPULACION DE ALIMENTOS Y BPM",IF(O101=[1]CURSOS!$D$33,"ATENCION A PERSONAS CON DISCAPACIDAD",IF(O101=[1]CURSOS!$D$34,"CUIDADO INTEGRAL DEL PACIENTE ADULTO",IF(O101=[1]CURSOS!$D$35,"MANEJO DEFENSIVO",IF(O101=[1]CURSOS!$D$36,"SOPORTE CARDIOVASCULAR AVANZADO NEONATAL",IF(O101=[1]CURSOS!$D$37,"SEGURIDAD DEL PACIENTE")))))))))))))))))))))))))))))))))))</f>
        <v xml:space="preserve">ATENCION A VICTIMAS DE ATAQUE CON AGENTES QUIMICOS </v>
      </c>
      <c r="V101" s="52" t="str">
        <f t="shared" si="9"/>
        <v>Andrea  Almeida Narváez</v>
      </c>
      <c r="W101" s="52" t="str">
        <f t="shared" si="10"/>
        <v>Andrea  Almeida Narváez</v>
      </c>
      <c r="X101" s="52" t="str">
        <f t="shared" si="11"/>
        <v>Andrea  Almeida Narváez-36757599-QUIMICOS</v>
      </c>
    </row>
    <row r="102" spans="1:24" s="55" customFormat="1" x14ac:dyDescent="0.2">
      <c r="A102" s="17">
        <v>101</v>
      </c>
      <c r="B102" s="80">
        <v>36757599</v>
      </c>
      <c r="C102" s="50" t="s">
        <v>170</v>
      </c>
      <c r="D102" s="50" t="s">
        <v>413</v>
      </c>
      <c r="E102" s="50" t="s">
        <v>116</v>
      </c>
      <c r="F102" s="187"/>
      <c r="G102" s="188">
        <v>20</v>
      </c>
      <c r="H102" s="171" t="s">
        <v>181</v>
      </c>
      <c r="I102" s="171" t="s">
        <v>519</v>
      </c>
      <c r="J102" s="182">
        <v>45527</v>
      </c>
      <c r="K102" s="181">
        <v>25000</v>
      </c>
      <c r="L102" s="188" t="s">
        <v>322</v>
      </c>
      <c r="M102" s="188" t="s">
        <v>86</v>
      </c>
      <c r="N102" s="188" t="s">
        <v>320</v>
      </c>
      <c r="O102" s="189" t="s">
        <v>43</v>
      </c>
      <c r="P102" s="18">
        <v>30031</v>
      </c>
      <c r="Q102" s="66" t="s">
        <v>309</v>
      </c>
      <c r="R102" s="17" t="s">
        <v>315</v>
      </c>
      <c r="S102" s="50">
        <v>3136389421</v>
      </c>
      <c r="T102" s="50" t="s">
        <v>616</v>
      </c>
      <c r="U102" s="52" t="str">
        <f>IF(O102=[1]CURSOS!$D$3,"DIPLOMADO EN ATENCION PRE-HOSPITALARIA",IF(O102=[1]CURSOS!$D$4,"ACOMPAÑAMIENTO Y MANEJO DEL DUELO",IF(O102=[1]CURSOS!$D$5,"ATENCION A VICTIMAS DE ATAQUE CON AGENTES QUIMICOS ",IF(O102=[1]CURSOS!$D$6,"PRIMEROS AUXILIOS ",IF(O102=[1]CURSOS!$D$7,"DIPLOMADO DE UNIDAD DE CUIDADOS INTENSIVOS (UCI)",IF(O102=[1]CURSOS!$D$8,"MODELO DE ATENCION PARA EVENTOS EMERGENTES EN SALUD MENTAL (CODIGO VERDE)",IF(O102=[1]CURSOS!$D$9,"HUMANIZACION EN EL SERVICIO DE LA SALUD Y BUENAS PRACTICAS EN PACIENTE ",IF(O102=[1]CURSOS!$D$10,"CLINICA DE HERIDAS ",IF(O102=[1]CURSOS!$D$11,"TOMA DE CITOLOGIA CERVICO VAGINAL ",IF(O102=[1]CURSOS!$D$12,"SOPORTE CARDIOVASCULAR AVANZADO (ACLS) ",IF(O102=[1]CURSOS!$D$13,"CAMILLERO ",IF(O102=[1]CURSOS!$D$14,"TOMA DE MUESTRAS Y LABORATORIO ",IF(O102=[1]CURSOS!$D$15,"SOPORTE VITAL BASICO (BLS)",IF(O102=[1]CURSOS!$D$16,"ATENCION A VICTIMAS DE VIOLENCIA SEXUAL ",IF(O102=[1]CURSOS!$D$17,"PROGRAMADO AMPLIADO DE INMUNIZACION (PAI - COVID 19)",IF(O102=[1]CURSOS!$D$18,"ATENCION INTEGRAL EN ENFERMEDADES PREVALENTES EN PRIMERA INFANCIA (AIEPI)",IF(O102=[1]CURSOS!$D$19,"ADMINISTRACION DE MEDICAMENTOS, INYECTOLOGIA  Y CANALIZACION ",IF(O102=[1]CURSOS!$D$20,"OPERADOR DE VEHICULOS DE EMERGENCIA (OVE)",IF(O102=[1]CURSOS!$D$21,"INSTITUCIONES AMIGAS DE LA MUJER Y LA INFANCIA (IAMI)",IF(O102=[1]CURSOS!$D$22,"CUIDADO DEL DONANTE DE ORGANOS",IF(O102=[1]CURSOS!$D$23,"ATENCION A VICTIMAS POR VIOLENCIA DE GENERO",IF(O102=[1]CURSOS!$D$24,"IGUALDAD DE GENERO EN LA SALUD",IF(O102=[1]CURSOS!$D$25,"BRIGADA DE EMERGENCIA",IF(O102=[1]CURSOS!$D$26,"MANEJO DEL DOLOR Y CUIDADOS PALIATIVOS",IF(O102=[1]CURSOS!$D$27,"TOMA DE MUESTRAS Y LABORATORIO POCT",IF(O102=[1]CURSOS!$D$28,"IMPLANTE SUBDERMICO DE DISPOSITIVO INTRAUTERINO",IF(O102=[1]CURSOS!$D$29,"SALUD MENTAL",IF(O102=[1]CURSOS!$D$30,"PRIMEROS AUXILIOS PSICOLOGICOS",IF(O102=[1]CURSOS!$D$31,"ATENCION A VICTIMAS POR CONFLICTO ARMADO",IF(O102=[1]CURSOS!$D$32,"MANIPULACION DE ALIMENTOS Y BPM",IF(O102=[1]CURSOS!$D$33,"ATENCION A PERSONAS CON DISCAPACIDAD",IF(O102=[1]CURSOS!$D$34,"CUIDADO INTEGRAL DEL PACIENTE ADULTO",IF(O102=[1]CURSOS!$D$35,"MANEJO DEFENSIVO",IF(O102=[1]CURSOS!$D$36,"SOPORTE CARDIOVASCULAR AVANZADO NEONATAL",IF(O102=[1]CURSOS!$D$37,"SEGURIDAD DEL PACIENTE")))))))))))))))))))))))))))))))))))</f>
        <v xml:space="preserve">ATENCION A VICTIMAS DE VIOLENCIA SEXUAL </v>
      </c>
      <c r="V102" s="52" t="str">
        <f t="shared" si="9"/>
        <v>Andrea  Almeida Narváez</v>
      </c>
      <c r="W102" s="52" t="str">
        <f t="shared" si="10"/>
        <v>Andrea  Almeida Narváez</v>
      </c>
      <c r="X102" s="52" t="str">
        <f t="shared" si="11"/>
        <v>Andrea  Almeida Narváez-36757599-VIOLENCIA SEXUAL</v>
      </c>
    </row>
    <row r="103" spans="1:24" s="55" customFormat="1" x14ac:dyDescent="0.2">
      <c r="A103" s="17">
        <v>102</v>
      </c>
      <c r="B103" s="80">
        <v>36757599</v>
      </c>
      <c r="C103" s="50" t="s">
        <v>170</v>
      </c>
      <c r="D103" s="50" t="s">
        <v>413</v>
      </c>
      <c r="E103" s="50" t="s">
        <v>116</v>
      </c>
      <c r="F103" s="187"/>
      <c r="G103" s="188">
        <v>21</v>
      </c>
      <c r="H103" s="171" t="s">
        <v>181</v>
      </c>
      <c r="I103" s="171" t="s">
        <v>519</v>
      </c>
      <c r="J103" s="182">
        <v>45527</v>
      </c>
      <c r="K103" s="181">
        <v>25000</v>
      </c>
      <c r="L103" s="188" t="s">
        <v>322</v>
      </c>
      <c r="M103" s="188" t="s">
        <v>86</v>
      </c>
      <c r="N103" s="188" t="s">
        <v>320</v>
      </c>
      <c r="O103" s="189" t="s">
        <v>33</v>
      </c>
      <c r="P103" s="18">
        <v>30031</v>
      </c>
      <c r="Q103" s="66" t="s">
        <v>309</v>
      </c>
      <c r="R103" s="17" t="s">
        <v>315</v>
      </c>
      <c r="S103" s="50">
        <v>3136389421</v>
      </c>
      <c r="T103" s="50" t="s">
        <v>616</v>
      </c>
      <c r="U103" s="52" t="str">
        <f>IF(O103=[1]CURSOS!$D$3,"DIPLOMADO EN ATENCION PRE-HOSPITALARIA",IF(O103=[1]CURSOS!$D$4,"ACOMPAÑAMIENTO Y MANEJO DEL DUELO",IF(O103=[1]CURSOS!$D$5,"ATENCION A VICTIMAS DE ATAQUE CON AGENTES QUIMICOS ",IF(O103=[1]CURSOS!$D$6,"PRIMEROS AUXILIOS ",IF(O103=[1]CURSOS!$D$7,"DIPLOMADO DE UNIDAD DE CUIDADOS INTENSIVOS (UCI)",IF(O103=[1]CURSOS!$D$8,"MODELO DE ATENCION PARA EVENTOS EMERGENTES EN SALUD MENTAL (CODIGO VERDE)",IF(O103=[1]CURSOS!$D$9,"HUMANIZACION EN EL SERVICIO DE LA SALUD Y BUENAS PRACTICAS EN PACIENTE ",IF(O103=[1]CURSOS!$D$10,"CLINICA DE HERIDAS ",IF(O103=[1]CURSOS!$D$11,"TOMA DE CITOLOGIA CERVICO VAGINAL ",IF(O103=[1]CURSOS!$D$12,"SOPORTE CARDIOVASCULAR AVANZADO (ACLS) ",IF(O103=[1]CURSOS!$D$13,"CAMILLERO ",IF(O103=[1]CURSOS!$D$14,"TOMA DE MUESTRAS Y LABORATORIO ",IF(O103=[1]CURSOS!$D$15,"SOPORTE VITAL BASICO (BLS)",IF(O103=[1]CURSOS!$D$16,"ATENCION A VICTIMAS DE VIOLENCIA SEXUAL ",IF(O103=[1]CURSOS!$D$17,"PROGRAMADO AMPLIADO DE INMUNIZACION (PAI - COVID 19)",IF(O103=[1]CURSOS!$D$18,"ATENCION INTEGRAL EN ENFERMEDADES PREVALENTES EN PRIMERA INFANCIA (AIEPI)",IF(O103=[1]CURSOS!$D$19,"ADMINISTRACION DE MEDICAMENTOS, INYECTOLOGIA  Y CANALIZACION ",IF(O103=[1]CURSOS!$D$20,"OPERADOR DE VEHICULOS DE EMERGENCIA (OVE)",IF(O103=[1]CURSOS!$D$21,"INSTITUCIONES AMIGAS DE LA MUJER Y LA INFANCIA (IAMI)",IF(O103=[1]CURSOS!$D$22,"CUIDADO DEL DONANTE DE ORGANOS",IF(O103=[1]CURSOS!$D$23,"ATENCION A VICTIMAS POR VIOLENCIA DE GENERO",IF(O103=[1]CURSOS!$D$24,"IGUALDAD DE GENERO EN LA SALUD",IF(O103=[1]CURSOS!$D$25,"BRIGADA DE EMERGENCIA",IF(O103=[1]CURSOS!$D$26,"MANEJO DEL DOLOR Y CUIDADOS PALIATIVOS",IF(O103=[1]CURSOS!$D$27,"TOMA DE MUESTRAS Y LABORATORIO POCT",IF(O103=[1]CURSOS!$D$28,"IMPLANTE SUBDERMICO DE DISPOSITIVO INTRAUTERINO",IF(O103=[1]CURSOS!$D$29,"SALUD MENTAL",IF(O103=[1]CURSOS!$D$30,"PRIMEROS AUXILIOS PSICOLOGICOS",IF(O103=[1]CURSOS!$D$31,"ATENCION A VICTIMAS POR CONFLICTO ARMADO",IF(O103=[1]CURSOS!$D$32,"MANIPULACION DE ALIMENTOS Y BPM",IF(O103=[1]CURSOS!$D$33,"ATENCION A PERSONAS CON DISCAPACIDAD",IF(O103=[1]CURSOS!$D$34,"CUIDADO INTEGRAL DEL PACIENTE ADULTO",IF(O103=[1]CURSOS!$D$35,"MANEJO DEFENSIVO",IF(O103=[1]CURSOS!$D$36,"SOPORTE CARDIOVASCULAR AVANZADO NEONATAL",IF(O103=[1]CURSOS!$D$37,"SEGURIDAD DEL PACIENTE")))))))))))))))))))))))))))))))))))</f>
        <v xml:space="preserve">HUMANIZACION EN EL SERVICIO DE LA SALUD Y BUENAS PRACTICAS EN PACIENTE </v>
      </c>
      <c r="V103" s="52" t="str">
        <f t="shared" si="9"/>
        <v>Andrea  Almeida Narváez</v>
      </c>
      <c r="W103" s="52" t="str">
        <f t="shared" si="10"/>
        <v>Andrea  Almeida Narváez</v>
      </c>
      <c r="X103" s="52" t="str">
        <f t="shared" si="11"/>
        <v>Andrea  Almeida Narváez-36757599-HUMANIZACION</v>
      </c>
    </row>
    <row r="104" spans="1:24" s="55" customFormat="1" x14ac:dyDescent="0.2">
      <c r="A104" s="17">
        <v>103</v>
      </c>
      <c r="B104" s="80">
        <v>36757599</v>
      </c>
      <c r="C104" s="50" t="s">
        <v>170</v>
      </c>
      <c r="D104" s="50" t="s">
        <v>413</v>
      </c>
      <c r="E104" s="50" t="s">
        <v>116</v>
      </c>
      <c r="F104" s="187"/>
      <c r="G104" s="188">
        <v>22</v>
      </c>
      <c r="H104" s="171" t="s">
        <v>181</v>
      </c>
      <c r="I104" s="171" t="s">
        <v>519</v>
      </c>
      <c r="J104" s="182">
        <v>45527</v>
      </c>
      <c r="K104" s="181">
        <v>25000</v>
      </c>
      <c r="L104" s="188" t="s">
        <v>322</v>
      </c>
      <c r="M104" s="188" t="s">
        <v>86</v>
      </c>
      <c r="N104" s="188" t="s">
        <v>320</v>
      </c>
      <c r="O104" s="189" t="s">
        <v>19</v>
      </c>
      <c r="P104" s="18">
        <v>30031</v>
      </c>
      <c r="Q104" s="66" t="s">
        <v>309</v>
      </c>
      <c r="R104" s="17" t="s">
        <v>315</v>
      </c>
      <c r="S104" s="50">
        <v>3136389421</v>
      </c>
      <c r="T104" s="50" t="s">
        <v>616</v>
      </c>
      <c r="U104" s="52" t="str">
        <f>IF(O104=[1]CURSOS!$D$3,"DIPLOMADO EN ATENCION PRE-HOSPITALARIA",IF(O104=[1]CURSOS!$D$4,"ACOMPAÑAMIENTO Y MANEJO DEL DUELO",IF(O104=[1]CURSOS!$D$5,"ATENCION A VICTIMAS DE ATAQUE CON AGENTES QUIMICOS ",IF(O104=[1]CURSOS!$D$6,"PRIMEROS AUXILIOS ",IF(O104=[1]CURSOS!$D$7,"DIPLOMADO DE UNIDAD DE CUIDADOS INTENSIVOS (UCI)",IF(O104=[1]CURSOS!$D$8,"MODELO DE ATENCION PARA EVENTOS EMERGENTES EN SALUD MENTAL (CODIGO VERDE)",IF(O104=[1]CURSOS!$D$9,"HUMANIZACION EN EL SERVICIO DE LA SALUD Y BUENAS PRACTICAS EN PACIENTE ",IF(O104=[1]CURSOS!$D$10,"CLINICA DE HERIDAS ",IF(O104=[1]CURSOS!$D$11,"TOMA DE CITOLOGIA CERVICO VAGINAL ",IF(O104=[1]CURSOS!$D$12,"SOPORTE CARDIOVASCULAR AVANZADO (ACLS) ",IF(O104=[1]CURSOS!$D$13,"CAMILLERO ",IF(O104=[1]CURSOS!$D$14,"TOMA DE MUESTRAS Y LABORATORIO ",IF(O104=[1]CURSOS!$D$15,"SOPORTE VITAL BASICO (BLS)",IF(O104=[1]CURSOS!$D$16,"ATENCION A VICTIMAS DE VIOLENCIA SEXUAL ",IF(O104=[1]CURSOS!$D$17,"PROGRAMADO AMPLIADO DE INMUNIZACION (PAI - COVID 19)",IF(O104=[1]CURSOS!$D$18,"ATENCION INTEGRAL EN ENFERMEDADES PREVALENTES EN PRIMERA INFANCIA (AIEPI)",IF(O104=[1]CURSOS!$D$19,"ADMINISTRACION DE MEDICAMENTOS, INYECTOLOGIA  Y CANALIZACION ",IF(O104=[1]CURSOS!$D$20,"OPERADOR DE VEHICULOS DE EMERGENCIA (OVE)",IF(O104=[1]CURSOS!$D$21,"INSTITUCIONES AMIGAS DE LA MUJER Y LA INFANCIA (IAMI)",IF(O104=[1]CURSOS!$D$22,"CUIDADO DEL DONANTE DE ORGANOS",IF(O104=[1]CURSOS!$D$23,"ATENCION A VICTIMAS POR VIOLENCIA DE GENERO",IF(O104=[1]CURSOS!$D$24,"IGUALDAD DE GENERO EN LA SALUD",IF(O104=[1]CURSOS!$D$25,"BRIGADA DE EMERGENCIA",IF(O104=[1]CURSOS!$D$26,"MANEJO DEL DOLOR Y CUIDADOS PALIATIVOS",IF(O104=[1]CURSOS!$D$27,"TOMA DE MUESTRAS Y LABORATORIO POCT",IF(O104=[1]CURSOS!$D$28,"IMPLANTE SUBDERMICO DE DISPOSITIVO INTRAUTERINO",IF(O104=[1]CURSOS!$D$29,"SALUD MENTAL",IF(O104=[1]CURSOS!$D$30,"PRIMEROS AUXILIOS PSICOLOGICOS",IF(O104=[1]CURSOS!$D$31,"ATENCION A VICTIMAS POR CONFLICTO ARMADO",IF(O104=[1]CURSOS!$D$32,"MANIPULACION DE ALIMENTOS Y BPM",IF(O104=[1]CURSOS!$D$33,"ATENCION A PERSONAS CON DISCAPACIDAD",IF(O104=[1]CURSOS!$D$34,"CUIDADO INTEGRAL DEL PACIENTE ADULTO",IF(O104=[1]CURSOS!$D$35,"MANEJO DEFENSIVO",IF(O104=[1]CURSOS!$D$36,"SOPORTE CARDIOVASCULAR AVANZADO NEONATAL",IF(O104=[1]CURSOS!$D$37,"SEGURIDAD DEL PACIENTE")))))))))))))))))))))))))))))))))))</f>
        <v>SOPORTE VITAL BASICO (BLS)</v>
      </c>
      <c r="V104" s="52" t="str">
        <f t="shared" si="9"/>
        <v>Andrea  Almeida Narváez</v>
      </c>
      <c r="W104" s="52" t="str">
        <f t="shared" si="10"/>
        <v>Andrea  Almeida Narváez</v>
      </c>
      <c r="X104" s="52" t="str">
        <f t="shared" si="11"/>
        <v>Andrea  Almeida Narváez-36757599-BLS</v>
      </c>
    </row>
    <row r="105" spans="1:24" s="55" customFormat="1" x14ac:dyDescent="0.2">
      <c r="A105" s="17">
        <v>104</v>
      </c>
      <c r="B105" s="80">
        <v>27119236</v>
      </c>
      <c r="C105" s="50" t="s">
        <v>189</v>
      </c>
      <c r="D105" s="50" t="s">
        <v>152</v>
      </c>
      <c r="E105" s="50" t="s">
        <v>617</v>
      </c>
      <c r="F105" s="187"/>
      <c r="G105" s="188">
        <v>22</v>
      </c>
      <c r="H105" s="171" t="s">
        <v>181</v>
      </c>
      <c r="I105" s="171" t="s">
        <v>519</v>
      </c>
      <c r="J105" s="182">
        <v>45527</v>
      </c>
      <c r="K105" s="181">
        <v>30000</v>
      </c>
      <c r="L105" s="188" t="s">
        <v>322</v>
      </c>
      <c r="M105" s="188" t="s">
        <v>86</v>
      </c>
      <c r="N105" s="188" t="s">
        <v>334</v>
      </c>
      <c r="O105" s="189" t="s">
        <v>19</v>
      </c>
      <c r="P105" s="50"/>
      <c r="Q105" s="66" t="s">
        <v>309</v>
      </c>
      <c r="R105" s="17" t="s">
        <v>315</v>
      </c>
      <c r="S105" s="50">
        <v>3022821930</v>
      </c>
      <c r="T105" s="50" t="s">
        <v>618</v>
      </c>
      <c r="U105" s="52" t="str">
        <f>IF(O105=[1]CURSOS!$D$3,"DIPLOMADO EN ATENCION PRE-HOSPITALARIA",IF(O105=[1]CURSOS!$D$4,"ACOMPAÑAMIENTO Y MANEJO DEL DUELO",IF(O105=[1]CURSOS!$D$5,"ATENCION A VICTIMAS DE ATAQUE CON AGENTES QUIMICOS ",IF(O105=[1]CURSOS!$D$6,"PRIMEROS AUXILIOS ",IF(O105=[1]CURSOS!$D$7,"DIPLOMADO DE UNIDAD DE CUIDADOS INTENSIVOS (UCI)",IF(O105=[1]CURSOS!$D$8,"MODELO DE ATENCION PARA EVENTOS EMERGENTES EN SALUD MENTAL (CODIGO VERDE)",IF(O105=[1]CURSOS!$D$9,"HUMANIZACION EN EL SERVICIO DE LA SALUD Y BUENAS PRACTICAS EN PACIENTE ",IF(O105=[1]CURSOS!$D$10,"CLINICA DE HERIDAS ",IF(O105=[1]CURSOS!$D$11,"TOMA DE CITOLOGIA CERVICO VAGINAL ",IF(O105=[1]CURSOS!$D$12,"SOPORTE CARDIOVASCULAR AVANZADO (ACLS) ",IF(O105=[1]CURSOS!$D$13,"CAMILLERO ",IF(O105=[1]CURSOS!$D$14,"TOMA DE MUESTRAS Y LABORATORIO ",IF(O105=[1]CURSOS!$D$15,"SOPORTE VITAL BASICO (BLS)",IF(O105=[1]CURSOS!$D$16,"ATENCION A VICTIMAS DE VIOLENCIA SEXUAL ",IF(O105=[1]CURSOS!$D$17,"PROGRAMADO AMPLIADO DE INMUNIZACION (PAI - COVID 19)",IF(O105=[1]CURSOS!$D$18,"ATENCION INTEGRAL EN ENFERMEDADES PREVALENTES EN PRIMERA INFANCIA (AIEPI)",IF(O105=[1]CURSOS!$D$19,"ADMINISTRACION DE MEDICAMENTOS, INYECTOLOGIA  Y CANALIZACION ",IF(O105=[1]CURSOS!$D$20,"OPERADOR DE VEHICULOS DE EMERGENCIA (OVE)",IF(O105=[1]CURSOS!$D$21,"INSTITUCIONES AMIGAS DE LA MUJER Y LA INFANCIA (IAMI)",IF(O105=[1]CURSOS!$D$22,"CUIDADO DEL DONANTE DE ORGANOS",IF(O105=[1]CURSOS!$D$23,"ATENCION A VICTIMAS POR VIOLENCIA DE GENERO",IF(O105=[1]CURSOS!$D$24,"IGUALDAD DE GENERO EN LA SALUD",IF(O105=[1]CURSOS!$D$25,"BRIGADA DE EMERGENCIA",IF(O105=[1]CURSOS!$D$26,"MANEJO DEL DOLOR Y CUIDADOS PALIATIVOS",IF(O105=[1]CURSOS!$D$27,"TOMA DE MUESTRAS Y LABORATORIO POCT",IF(O105=[1]CURSOS!$D$28,"IMPLANTE SUBDERMICO DE DISPOSITIVO INTRAUTERINO",IF(O105=[1]CURSOS!$D$29,"SALUD MENTAL",IF(O105=[1]CURSOS!$D$30,"PRIMEROS AUXILIOS PSICOLOGICOS",IF(O105=[1]CURSOS!$D$31,"ATENCION A VICTIMAS POR CONFLICTO ARMADO",IF(O105=[1]CURSOS!$D$32,"MANIPULACION DE ALIMENTOS Y BPM",IF(O105=[1]CURSOS!$D$33,"ATENCION A PERSONAS CON DISCAPACIDAD",IF(O105=[1]CURSOS!$D$34,"CUIDADO INTEGRAL DEL PACIENTE ADULTO",IF(O105=[1]CURSOS!$D$35,"MANEJO DEFENSIVO",IF(O105=[1]CURSOS!$D$36,"SOPORTE CARDIOVASCULAR AVANZADO NEONATAL",IF(O105=[1]CURSOS!$D$37,"SEGURIDAD DEL PACIENTE")))))))))))))))))))))))))))))))))))</f>
        <v>SOPORTE VITAL BASICO (BLS)</v>
      </c>
      <c r="V105" s="52" t="str">
        <f t="shared" si="9"/>
        <v>Mariana  Gomez Urbano</v>
      </c>
      <c r="W105" s="52" t="str">
        <f t="shared" si="10"/>
        <v>Mariana  Gomez Urbano</v>
      </c>
      <c r="X105" s="52" t="str">
        <f t="shared" si="11"/>
        <v>Mariana  Gomez Urbano-27119236-BLS</v>
      </c>
    </row>
    <row r="106" spans="1:24" s="55" customFormat="1" x14ac:dyDescent="0.2">
      <c r="A106" s="17">
        <v>105</v>
      </c>
      <c r="B106" s="80">
        <v>27119236</v>
      </c>
      <c r="C106" s="50" t="s">
        <v>189</v>
      </c>
      <c r="D106" s="50" t="s">
        <v>152</v>
      </c>
      <c r="E106" s="50" t="s">
        <v>617</v>
      </c>
      <c r="F106" s="187"/>
      <c r="G106" s="188">
        <v>22</v>
      </c>
      <c r="H106" s="171" t="s">
        <v>181</v>
      </c>
      <c r="I106" s="171" t="s">
        <v>519</v>
      </c>
      <c r="J106" s="182">
        <v>45527</v>
      </c>
      <c r="K106" s="181">
        <v>30000</v>
      </c>
      <c r="L106" s="188" t="s">
        <v>322</v>
      </c>
      <c r="M106" s="188" t="s">
        <v>86</v>
      </c>
      <c r="N106" s="188" t="s">
        <v>334</v>
      </c>
      <c r="O106" s="189" t="s">
        <v>43</v>
      </c>
      <c r="P106" s="50"/>
      <c r="Q106" s="66" t="s">
        <v>309</v>
      </c>
      <c r="R106" s="17" t="s">
        <v>315</v>
      </c>
      <c r="S106" s="50">
        <v>3022821930</v>
      </c>
      <c r="T106" s="50" t="s">
        <v>618</v>
      </c>
      <c r="U106" s="52" t="str">
        <f>IF(O106=[1]CURSOS!$D$3,"DIPLOMADO EN ATENCION PRE-HOSPITALARIA",IF(O106=[1]CURSOS!$D$4,"ACOMPAÑAMIENTO Y MANEJO DEL DUELO",IF(O106=[1]CURSOS!$D$5,"ATENCION A VICTIMAS DE ATAQUE CON AGENTES QUIMICOS ",IF(O106=[1]CURSOS!$D$6,"PRIMEROS AUXILIOS ",IF(O106=[1]CURSOS!$D$7,"DIPLOMADO DE UNIDAD DE CUIDADOS INTENSIVOS (UCI)",IF(O106=[1]CURSOS!$D$8,"MODELO DE ATENCION PARA EVENTOS EMERGENTES EN SALUD MENTAL (CODIGO VERDE)",IF(O106=[1]CURSOS!$D$9,"HUMANIZACION EN EL SERVICIO DE LA SALUD Y BUENAS PRACTICAS EN PACIENTE ",IF(O106=[1]CURSOS!$D$10,"CLINICA DE HERIDAS ",IF(O106=[1]CURSOS!$D$11,"TOMA DE CITOLOGIA CERVICO VAGINAL ",IF(O106=[1]CURSOS!$D$12,"SOPORTE CARDIOVASCULAR AVANZADO (ACLS) ",IF(O106=[1]CURSOS!$D$13,"CAMILLERO ",IF(O106=[1]CURSOS!$D$14,"TOMA DE MUESTRAS Y LABORATORIO ",IF(O106=[1]CURSOS!$D$15,"SOPORTE VITAL BASICO (BLS)",IF(O106=[1]CURSOS!$D$16,"ATENCION A VICTIMAS DE VIOLENCIA SEXUAL ",IF(O106=[1]CURSOS!$D$17,"PROGRAMADO AMPLIADO DE INMUNIZACION (PAI - COVID 19)",IF(O106=[1]CURSOS!$D$18,"ATENCION INTEGRAL EN ENFERMEDADES PREVALENTES EN PRIMERA INFANCIA (AIEPI)",IF(O106=[1]CURSOS!$D$19,"ADMINISTRACION DE MEDICAMENTOS, INYECTOLOGIA  Y CANALIZACION ",IF(O106=[1]CURSOS!$D$20,"OPERADOR DE VEHICULOS DE EMERGENCIA (OVE)",IF(O106=[1]CURSOS!$D$21,"INSTITUCIONES AMIGAS DE LA MUJER Y LA INFANCIA (IAMI)",IF(O106=[1]CURSOS!$D$22,"CUIDADO DEL DONANTE DE ORGANOS",IF(O106=[1]CURSOS!$D$23,"ATENCION A VICTIMAS POR VIOLENCIA DE GENERO",IF(O106=[1]CURSOS!$D$24,"IGUALDAD DE GENERO EN LA SALUD",IF(O106=[1]CURSOS!$D$25,"BRIGADA DE EMERGENCIA",IF(O106=[1]CURSOS!$D$26,"MANEJO DEL DOLOR Y CUIDADOS PALIATIVOS",IF(O106=[1]CURSOS!$D$27,"TOMA DE MUESTRAS Y LABORATORIO POCT",IF(O106=[1]CURSOS!$D$28,"IMPLANTE SUBDERMICO DE DISPOSITIVO INTRAUTERINO",IF(O106=[1]CURSOS!$D$29,"SALUD MENTAL",IF(O106=[1]CURSOS!$D$30,"PRIMEROS AUXILIOS PSICOLOGICOS",IF(O106=[1]CURSOS!$D$31,"ATENCION A VICTIMAS POR CONFLICTO ARMADO",IF(O106=[1]CURSOS!$D$32,"MANIPULACION DE ALIMENTOS Y BPM",IF(O106=[1]CURSOS!$D$33,"ATENCION A PERSONAS CON DISCAPACIDAD",IF(O106=[1]CURSOS!$D$34,"CUIDADO INTEGRAL DEL PACIENTE ADULTO",IF(O106=[1]CURSOS!$D$35,"MANEJO DEFENSIVO",IF(O106=[1]CURSOS!$D$36,"SOPORTE CARDIOVASCULAR AVANZADO NEONATAL",IF(O106=[1]CURSOS!$D$37,"SEGURIDAD DEL PACIENTE")))))))))))))))))))))))))))))))))))</f>
        <v xml:space="preserve">ATENCION A VICTIMAS DE VIOLENCIA SEXUAL </v>
      </c>
      <c r="V106" s="52" t="str">
        <f t="shared" si="9"/>
        <v>Mariana  Gomez Urbano</v>
      </c>
      <c r="W106" s="52" t="str">
        <f t="shared" si="10"/>
        <v>Mariana  Gomez Urbano</v>
      </c>
      <c r="X106" s="52" t="str">
        <f t="shared" si="11"/>
        <v>Mariana  Gomez Urbano-27119236-VIOLENCIA SEXUAL</v>
      </c>
    </row>
    <row r="107" spans="1:24" s="55" customFormat="1" x14ac:dyDescent="0.2">
      <c r="A107" s="17">
        <v>106</v>
      </c>
      <c r="B107" s="80">
        <v>1004216779</v>
      </c>
      <c r="C107" s="50" t="s">
        <v>540</v>
      </c>
      <c r="D107" s="50" t="s">
        <v>306</v>
      </c>
      <c r="E107" s="50" t="s">
        <v>143</v>
      </c>
      <c r="F107" s="187" t="s">
        <v>541</v>
      </c>
      <c r="G107" s="188">
        <v>12</v>
      </c>
      <c r="H107" s="171" t="s">
        <v>181</v>
      </c>
      <c r="I107" s="171" t="s">
        <v>517</v>
      </c>
      <c r="J107" s="182">
        <v>45527</v>
      </c>
      <c r="K107" s="181">
        <v>60000</v>
      </c>
      <c r="L107" s="188" t="s">
        <v>322</v>
      </c>
      <c r="M107" s="188" t="s">
        <v>86</v>
      </c>
      <c r="N107" s="188" t="s">
        <v>334</v>
      </c>
      <c r="O107" s="189" t="s">
        <v>68</v>
      </c>
      <c r="P107" s="50"/>
      <c r="Q107" s="66" t="s">
        <v>309</v>
      </c>
      <c r="R107" s="17" t="s">
        <v>543</v>
      </c>
      <c r="S107" s="50">
        <v>3016479612</v>
      </c>
      <c r="T107" s="50" t="s">
        <v>542</v>
      </c>
      <c r="U107" s="52" t="str">
        <f>IF(O107=[1]CURSOS!$D$3,"DIPLOMADO EN ATENCION PRE-HOSPITALARIA",IF(O107=[1]CURSOS!$D$4,"ACOMPAÑAMIENTO Y MANEJO DEL DUELO",IF(O107=[1]CURSOS!$D$5,"ATENCION A VICTIMAS DE ATAQUE CON AGENTES QUIMICOS ",IF(O107=[1]CURSOS!$D$6,"PRIMEROS AUXILIOS ",IF(O107=[1]CURSOS!$D$7,"DIPLOMADO DE UNIDAD DE CUIDADOS INTENSIVOS (UCI)",IF(O107=[1]CURSOS!$D$8,"MODELO DE ATENCION PARA EVENTOS EMERGENTES EN SALUD MENTAL (CODIGO VERDE)",IF(O107=[1]CURSOS!$D$9,"HUMANIZACION EN EL SERVICIO DE LA SALUD Y BUENAS PRACTICAS EN PACIENTE ",IF(O107=[1]CURSOS!$D$10,"CLINICA DE HERIDAS ",IF(O107=[1]CURSOS!$D$11,"TOMA DE CITOLOGIA CERVICO VAGINAL ",IF(O107=[1]CURSOS!$D$12,"SOPORTE CARDIOVASCULAR AVANZADO (ACLS) ",IF(O107=[1]CURSOS!$D$13,"CAMILLERO ",IF(O107=[1]CURSOS!$D$14,"TOMA DE MUESTRAS Y LABORATORIO ",IF(O107=[1]CURSOS!$D$15,"SOPORTE VITAL BASICO (BLS)",IF(O107=[1]CURSOS!$D$16,"ATENCION A VICTIMAS DE VIOLENCIA SEXUAL ",IF(O107=[1]CURSOS!$D$17,"PROGRAMADO AMPLIADO DE INMUNIZACION (PAI - COVID 19)",IF(O107=[1]CURSOS!$D$18,"ATENCION INTEGRAL EN ENFERMEDADES PREVALENTES EN PRIMERA INFANCIA (AIEPI)",IF(O107=[1]CURSOS!$D$19,"ADMINISTRACION DE MEDICAMENTOS, INYECTOLOGIA  Y CANALIZACION ",IF(O107=[1]CURSOS!$D$20,"OPERADOR DE VEHICULOS DE EMERGENCIA (OVE)",IF(O107=[1]CURSOS!$D$21,"INSTITUCIONES AMIGAS DE LA MUJER Y LA INFANCIA (IAMI)",IF(O107=[1]CURSOS!$D$22,"CUIDADO DEL DONANTE DE ORGANOS",IF(O107=[1]CURSOS!$D$23,"ATENCION A VICTIMAS POR VIOLENCIA DE GENERO",IF(O107=[1]CURSOS!$D$24,"IGUALDAD DE GENERO EN LA SALUD",IF(O107=[1]CURSOS!$D$25,"BRIGADA DE EMERGENCIA",IF(O107=[1]CURSOS!$D$26,"MANEJO DEL DOLOR Y CUIDADOS PALIATIVOS",IF(O107=[1]CURSOS!$D$27,"TOMA DE MUESTRAS Y LABORATORIO POCT",IF(O107=[1]CURSOS!$D$28,"IMPLANTE SUBDERMICO DE DISPOSITIVO INTRAUTERINO",IF(O107=[1]CURSOS!$D$29,"SALUD MENTAL",IF(O107=[1]CURSOS!$D$30,"PRIMEROS AUXILIOS PSICOLOGICOS",IF(O107=[1]CURSOS!$D$31,"ATENCION A VICTIMAS POR CONFLICTO ARMADO",IF(O107=[1]CURSOS!$D$32,"MANIPULACION DE ALIMENTOS Y BPM",IF(O107=[1]CURSOS!$D$33,"ATENCION A PERSONAS CON DISCAPACIDAD",IF(O107=[1]CURSOS!$D$34,"CUIDADO INTEGRAL DEL PACIENTE ADULTO",IF(O107=[1]CURSOS!$D$35,"MANEJO DEFENSIVO",IF(O107=[1]CURSOS!$D$36,"SOPORTE CARDIOVASCULAR AVANZADO NEONATAL",IF(O107=[1]CURSOS!$D$37,"SEGURIDAD DEL PACIENTE")))))))))))))))))))))))))))))))))))</f>
        <v>ATENCION A VICTIMAS POR CONFLICTO ARMADO</v>
      </c>
      <c r="V107" s="52" t="str">
        <f t="shared" si="9"/>
        <v>Diana Sofia Macuase Chávez</v>
      </c>
      <c r="W107" s="52" t="str">
        <f t="shared" si="10"/>
        <v>Diana Sofia Macuase Chávez</v>
      </c>
      <c r="X107" s="52" t="str">
        <f t="shared" si="11"/>
        <v>Diana Sofia Macuase Chávez-1004216779-CONFLICTO ARMADO</v>
      </c>
    </row>
    <row r="108" spans="1:24" s="55" customFormat="1" x14ac:dyDescent="0.2">
      <c r="A108" s="17">
        <v>107</v>
      </c>
      <c r="B108" s="80">
        <v>1004216779</v>
      </c>
      <c r="C108" s="50" t="s">
        <v>540</v>
      </c>
      <c r="D108" s="50" t="s">
        <v>306</v>
      </c>
      <c r="E108" s="50" t="s">
        <v>143</v>
      </c>
      <c r="F108" s="187" t="s">
        <v>541</v>
      </c>
      <c r="G108" s="188">
        <v>13</v>
      </c>
      <c r="H108" s="171" t="s">
        <v>181</v>
      </c>
      <c r="I108" s="171" t="s">
        <v>517</v>
      </c>
      <c r="J108" s="182">
        <v>45527</v>
      </c>
      <c r="K108" s="181">
        <v>60000</v>
      </c>
      <c r="L108" s="188" t="s">
        <v>322</v>
      </c>
      <c r="M108" s="188" t="s">
        <v>86</v>
      </c>
      <c r="N108" s="188" t="s">
        <v>334</v>
      </c>
      <c r="O108" s="189" t="s">
        <v>61</v>
      </c>
      <c r="P108" s="50"/>
      <c r="Q108" s="66" t="s">
        <v>309</v>
      </c>
      <c r="R108" s="17" t="s">
        <v>543</v>
      </c>
      <c r="S108" s="50">
        <v>3016479612</v>
      </c>
      <c r="T108" s="50" t="s">
        <v>542</v>
      </c>
      <c r="U108" s="52" t="str">
        <f>IF(O108=[1]CURSOS!$D$3,"DIPLOMADO EN ATENCION PRE-HOSPITALARIA",IF(O108=[1]CURSOS!$D$4,"ACOMPAÑAMIENTO Y MANEJO DEL DUELO",IF(O108=[1]CURSOS!$D$5,"ATENCION A VICTIMAS DE ATAQUE CON AGENTES QUIMICOS ",IF(O108=[1]CURSOS!$D$6,"PRIMEROS AUXILIOS ",IF(O108=[1]CURSOS!$D$7,"DIPLOMADO DE UNIDAD DE CUIDADOS INTENSIVOS (UCI)",IF(O108=[1]CURSOS!$D$8,"MODELO DE ATENCION PARA EVENTOS EMERGENTES EN SALUD MENTAL (CODIGO VERDE)",IF(O108=[1]CURSOS!$D$9,"HUMANIZACION EN EL SERVICIO DE LA SALUD Y BUENAS PRACTICAS EN PACIENTE ",IF(O108=[1]CURSOS!$D$10,"CLINICA DE HERIDAS ",IF(O108=[1]CURSOS!$D$11,"TOMA DE CITOLOGIA CERVICO VAGINAL ",IF(O108=[1]CURSOS!$D$12,"SOPORTE CARDIOVASCULAR AVANZADO (ACLS) ",IF(O108=[1]CURSOS!$D$13,"CAMILLERO ",IF(O108=[1]CURSOS!$D$14,"TOMA DE MUESTRAS Y LABORATORIO ",IF(O108=[1]CURSOS!$D$15,"SOPORTE VITAL BASICO (BLS)",IF(O108=[1]CURSOS!$D$16,"ATENCION A VICTIMAS DE VIOLENCIA SEXUAL ",IF(O108=[1]CURSOS!$D$17,"PROGRAMADO AMPLIADO DE INMUNIZACION (PAI - COVID 19)",IF(O108=[1]CURSOS!$D$18,"ATENCION INTEGRAL EN ENFERMEDADES PREVALENTES EN PRIMERA INFANCIA (AIEPI)",IF(O108=[1]CURSOS!$D$19,"ADMINISTRACION DE MEDICAMENTOS, INYECTOLOGIA  Y CANALIZACION ",IF(O108=[1]CURSOS!$D$20,"OPERADOR DE VEHICULOS DE EMERGENCIA (OVE)",IF(O108=[1]CURSOS!$D$21,"INSTITUCIONES AMIGAS DE LA MUJER Y LA INFANCIA (IAMI)",IF(O108=[1]CURSOS!$D$22,"CUIDADO DEL DONANTE DE ORGANOS",IF(O108=[1]CURSOS!$D$23,"ATENCION A VICTIMAS POR VIOLENCIA DE GENERO",IF(O108=[1]CURSOS!$D$24,"IGUALDAD DE GENERO EN LA SALUD",IF(O108=[1]CURSOS!$D$25,"BRIGADA DE EMERGENCIA",IF(O108=[1]CURSOS!$D$26,"MANEJO DEL DOLOR Y CUIDADOS PALIATIVOS",IF(O108=[1]CURSOS!$D$27,"TOMA DE MUESTRAS Y LABORATORIO POCT",IF(O108=[1]CURSOS!$D$28,"IMPLANTE SUBDERMICO DE DISPOSITIVO INTRAUTERINO",IF(O108=[1]CURSOS!$D$29,"SALUD MENTAL",IF(O108=[1]CURSOS!$D$30,"PRIMEROS AUXILIOS PSICOLOGICOS",IF(O108=[1]CURSOS!$D$31,"ATENCION A VICTIMAS POR CONFLICTO ARMADO",IF(O108=[1]CURSOS!$D$32,"MANIPULACION DE ALIMENTOS Y BPM",IF(O108=[1]CURSOS!$D$33,"ATENCION A PERSONAS CON DISCAPACIDAD",IF(O108=[1]CURSOS!$D$34,"CUIDADO INTEGRAL DEL PACIENTE ADULTO",IF(O108=[1]CURSOS!$D$35,"MANEJO DEFENSIVO",IF(O108=[1]CURSOS!$D$36,"SOPORTE CARDIOVASCULAR AVANZADO NEONATAL",IF(O108=[1]CURSOS!$D$37,"SEGURIDAD DEL PACIENTE")))))))))))))))))))))))))))))))))))</f>
        <v>MANEJO DEL DOLOR Y CUIDADOS PALIATIVOS</v>
      </c>
      <c r="V108" s="52" t="str">
        <f t="shared" si="9"/>
        <v>Diana Sofia Macuase Chávez</v>
      </c>
      <c r="W108" s="52" t="str">
        <f t="shared" si="10"/>
        <v>Diana Sofia Macuase Chávez</v>
      </c>
      <c r="X108" s="52" t="str">
        <f t="shared" si="11"/>
        <v>Diana Sofia Macuase Chávez-1004216779-PALIATIVOS</v>
      </c>
    </row>
    <row r="109" spans="1:24" s="55" customFormat="1" x14ac:dyDescent="0.2">
      <c r="A109" s="17">
        <v>108</v>
      </c>
      <c r="B109" s="80">
        <v>1088733869</v>
      </c>
      <c r="C109" s="50" t="s">
        <v>619</v>
      </c>
      <c r="D109" s="50" t="s">
        <v>318</v>
      </c>
      <c r="E109" s="50" t="s">
        <v>143</v>
      </c>
      <c r="F109" s="187" t="s">
        <v>515</v>
      </c>
      <c r="G109" s="188">
        <v>23</v>
      </c>
      <c r="H109" s="171" t="s">
        <v>181</v>
      </c>
      <c r="I109" s="171" t="s">
        <v>519</v>
      </c>
      <c r="J109" s="182">
        <v>45527</v>
      </c>
      <c r="K109" s="181">
        <v>32000</v>
      </c>
      <c r="L109" s="188" t="s">
        <v>328</v>
      </c>
      <c r="M109" s="188" t="s">
        <v>86</v>
      </c>
      <c r="N109" s="188" t="s">
        <v>326</v>
      </c>
      <c r="O109" s="189" t="s">
        <v>46</v>
      </c>
      <c r="P109" s="18">
        <v>33178</v>
      </c>
      <c r="Q109" s="66" t="s">
        <v>309</v>
      </c>
      <c r="R109" s="158" t="s">
        <v>432</v>
      </c>
      <c r="S109" s="50">
        <v>3103786526</v>
      </c>
      <c r="T109" s="50" t="s">
        <v>620</v>
      </c>
      <c r="U109" s="52" t="str">
        <f>IF(O109=[1]CURSOS!$D$3,"DIPLOMADO EN ATENCION PRE-HOSPITALARIA",IF(O109=[1]CURSOS!$D$4,"ACOMPAÑAMIENTO Y MANEJO DEL DUELO",IF(O109=[1]CURSOS!$D$5,"ATENCION A VICTIMAS DE ATAQUE CON AGENTES QUIMICOS ",IF(O109=[1]CURSOS!$D$6,"PRIMEROS AUXILIOS ",IF(O109=[1]CURSOS!$D$7,"DIPLOMADO DE UNIDAD DE CUIDADOS INTENSIVOS (UCI)",IF(O109=[1]CURSOS!$D$8,"MODELO DE ATENCION PARA EVENTOS EMERGENTES EN SALUD MENTAL (CODIGO VERDE)",IF(O109=[1]CURSOS!$D$9,"HUMANIZACION EN EL SERVICIO DE LA SALUD Y BUENAS PRACTICAS EN PACIENTE ",IF(O109=[1]CURSOS!$D$10,"CLINICA DE HERIDAS ",IF(O109=[1]CURSOS!$D$11,"TOMA DE CITOLOGIA CERVICO VAGINAL ",IF(O109=[1]CURSOS!$D$12,"SOPORTE CARDIOVASCULAR AVANZADO (ACLS) ",IF(O109=[1]CURSOS!$D$13,"CAMILLERO ",IF(O109=[1]CURSOS!$D$14,"TOMA DE MUESTRAS Y LABORATORIO ",IF(O109=[1]CURSOS!$D$15,"SOPORTE VITAL BASICO (BLS)",IF(O109=[1]CURSOS!$D$16,"ATENCION A VICTIMAS DE VIOLENCIA SEXUAL ",IF(O109=[1]CURSOS!$D$17,"PROGRAMADO AMPLIADO DE INMUNIZACION (PAI - COVID 19)",IF(O109=[1]CURSOS!$D$18,"ATENCION INTEGRAL EN ENFERMEDADES PREVALENTES EN PRIMERA INFANCIA (AIEPI)",IF(O109=[1]CURSOS!$D$19,"ADMINISTRACION DE MEDICAMENTOS, INYECTOLOGIA  Y CANALIZACION ",IF(O109=[1]CURSOS!$D$20,"OPERADOR DE VEHICULOS DE EMERGENCIA (OVE)",IF(O109=[1]CURSOS!$D$21,"INSTITUCIONES AMIGAS DE LA MUJER Y LA INFANCIA (IAMI)",IF(O109=[1]CURSOS!$D$22,"CUIDADO DEL DONANTE DE ORGANOS",IF(O109=[1]CURSOS!$D$23,"ATENCION A VICTIMAS POR VIOLENCIA DE GENERO",IF(O109=[1]CURSOS!$D$24,"IGUALDAD DE GENERO EN LA SALUD",IF(O109=[1]CURSOS!$D$25,"BRIGADA DE EMERGENCIA",IF(O109=[1]CURSOS!$D$26,"MANEJO DEL DOLOR Y CUIDADOS PALIATIVOS",IF(O109=[1]CURSOS!$D$27,"TOMA DE MUESTRAS Y LABORATORIO POCT",IF(O109=[1]CURSOS!$D$28,"IMPLANTE SUBDERMICO DE DISPOSITIVO INTRAUTERINO",IF(O109=[1]CURSOS!$D$29,"SALUD MENTAL",IF(O109=[1]CURSOS!$D$30,"PRIMEROS AUXILIOS PSICOLOGICOS",IF(O109=[1]CURSOS!$D$31,"ATENCION A VICTIMAS POR CONFLICTO ARMADO",IF(O109=[1]CURSOS!$D$32,"MANIPULACION DE ALIMENTOS Y BPM",IF(O109=[1]CURSOS!$D$33,"ATENCION A PERSONAS CON DISCAPACIDAD",IF(O109=[1]CURSOS!$D$34,"CUIDADO INTEGRAL DEL PACIENTE ADULTO",IF(O109=[1]CURSOS!$D$35,"MANEJO DEFENSIVO",IF(O109=[1]CURSOS!$D$36,"SOPORTE CARDIOVASCULAR AVANZADO NEONATAL",IF(O109=[1]CURSOS!$D$37,"SEGURIDAD DEL PACIENTE")))))))))))))))))))))))))))))))))))</f>
        <v>ATENCION INTEGRAL EN ENFERMEDADES PREVALENTES EN PRIMERA INFANCIA (AIEPI)</v>
      </c>
      <c r="V109" s="52" t="str">
        <f t="shared" si="9"/>
        <v>Diana Patricia Guevara Melo</v>
      </c>
      <c r="W109" s="52" t="str">
        <f t="shared" si="10"/>
        <v>Diana Patricia Guevara Melo</v>
      </c>
      <c r="X109" s="52" t="str">
        <f t="shared" si="11"/>
        <v>Diana Patricia Guevara Melo-1088733869-AIEPI</v>
      </c>
    </row>
    <row r="110" spans="1:24" s="55" customFormat="1" x14ac:dyDescent="0.2">
      <c r="A110" s="17">
        <v>109</v>
      </c>
      <c r="B110" s="80">
        <v>1085327976</v>
      </c>
      <c r="C110" s="50" t="s">
        <v>405</v>
      </c>
      <c r="D110" s="50" t="s">
        <v>590</v>
      </c>
      <c r="E110" s="50" t="s">
        <v>497</v>
      </c>
      <c r="F110" s="187" t="s">
        <v>622</v>
      </c>
      <c r="G110" s="188">
        <v>26</v>
      </c>
      <c r="H110" s="171" t="s">
        <v>181</v>
      </c>
      <c r="I110" s="171" t="s">
        <v>519</v>
      </c>
      <c r="J110" s="182">
        <v>45530</v>
      </c>
      <c r="K110" s="181">
        <v>40000</v>
      </c>
      <c r="L110" s="188" t="s">
        <v>328</v>
      </c>
      <c r="M110" s="188" t="s">
        <v>86</v>
      </c>
      <c r="N110" s="188" t="s">
        <v>334</v>
      </c>
      <c r="O110" s="189" t="s">
        <v>19</v>
      </c>
      <c r="P110" s="18">
        <v>35127</v>
      </c>
      <c r="Q110" s="66" t="s">
        <v>316</v>
      </c>
      <c r="R110" s="17" t="s">
        <v>315</v>
      </c>
      <c r="S110" s="50">
        <v>3127532446</v>
      </c>
      <c r="T110" s="50" t="s">
        <v>623</v>
      </c>
      <c r="U110" s="52" t="str">
        <f>IF(O110=[1]CURSOS!$D$3,"DIPLOMADO EN ATENCION PRE-HOSPITALARIA",IF(O110=[1]CURSOS!$D$4,"ACOMPAÑAMIENTO Y MANEJO DEL DUELO",IF(O110=[1]CURSOS!$D$5,"ATENCION A VICTIMAS DE ATAQUE CON AGENTES QUIMICOS ",IF(O110=[1]CURSOS!$D$6,"PRIMEROS AUXILIOS ",IF(O110=[1]CURSOS!$D$7,"DIPLOMADO DE UNIDAD DE CUIDADOS INTENSIVOS (UCI)",IF(O110=[1]CURSOS!$D$8,"MODELO DE ATENCION PARA EVENTOS EMERGENTES EN SALUD MENTAL (CODIGO VERDE)",IF(O110=[1]CURSOS!$D$9,"HUMANIZACION EN EL SERVICIO DE LA SALUD Y BUENAS PRACTICAS EN PACIENTE ",IF(O110=[1]CURSOS!$D$10,"CLINICA DE HERIDAS ",IF(O110=[1]CURSOS!$D$11,"TOMA DE CITOLOGIA CERVICO VAGINAL ",IF(O110=[1]CURSOS!$D$12,"SOPORTE CARDIOVASCULAR AVANZADO (ACLS) ",IF(O110=[1]CURSOS!$D$13,"CAMILLERO ",IF(O110=[1]CURSOS!$D$14,"TOMA DE MUESTRAS Y LABORATORIO ",IF(O110=[1]CURSOS!$D$15,"SOPORTE VITAL BASICO (BLS)",IF(O110=[1]CURSOS!$D$16,"ATENCION A VICTIMAS DE VIOLENCIA SEXUAL ",IF(O110=[1]CURSOS!$D$17,"PROGRAMADO AMPLIADO DE INMUNIZACION (PAI - COVID 19)",IF(O110=[1]CURSOS!$D$18,"ATENCION INTEGRAL EN ENFERMEDADES PREVALENTES EN PRIMERA INFANCIA (AIEPI)",IF(O110=[1]CURSOS!$D$19,"ADMINISTRACION DE MEDICAMENTOS, INYECTOLOGIA  Y CANALIZACION ",IF(O110=[1]CURSOS!$D$20,"OPERADOR DE VEHICULOS DE EMERGENCIA (OVE)",IF(O110=[1]CURSOS!$D$21,"INSTITUCIONES AMIGAS DE LA MUJER Y LA INFANCIA (IAMI)",IF(O110=[1]CURSOS!$D$22,"CUIDADO DEL DONANTE DE ORGANOS",IF(O110=[1]CURSOS!$D$23,"ATENCION A VICTIMAS POR VIOLENCIA DE GENERO",IF(O110=[1]CURSOS!$D$24,"IGUALDAD DE GENERO EN LA SALUD",IF(O110=[1]CURSOS!$D$25,"BRIGADA DE EMERGENCIA",IF(O110=[1]CURSOS!$D$26,"MANEJO DEL DOLOR Y CUIDADOS PALIATIVOS",IF(O110=[1]CURSOS!$D$27,"TOMA DE MUESTRAS Y LABORATORIO POCT",IF(O110=[1]CURSOS!$D$28,"IMPLANTE SUBDERMICO DE DISPOSITIVO INTRAUTERINO",IF(O110=[1]CURSOS!$D$29,"SALUD MENTAL",IF(O110=[1]CURSOS!$D$30,"PRIMEROS AUXILIOS PSICOLOGICOS",IF(O110=[1]CURSOS!$D$31,"ATENCION A VICTIMAS POR CONFLICTO ARMADO",IF(O110=[1]CURSOS!$D$32,"MANIPULACION DE ALIMENTOS Y BPM",IF(O110=[1]CURSOS!$D$33,"ATENCION A PERSONAS CON DISCAPACIDAD",IF(O110=[1]CURSOS!$D$34,"CUIDADO INTEGRAL DEL PACIENTE ADULTO",IF(O110=[1]CURSOS!$D$35,"MANEJO DEFENSIVO",IF(O110=[1]CURSOS!$D$36,"SOPORTE CARDIOVASCULAR AVANZADO NEONATAL",IF(O110=[1]CURSOS!$D$37,"SEGURIDAD DEL PACIENTE")))))))))))))))))))))))))))))))))))</f>
        <v>SOPORTE VITAL BASICO (BLS)</v>
      </c>
      <c r="V110" s="52" t="str">
        <f t="shared" si="9"/>
        <v>José Francisco López Diaz</v>
      </c>
      <c r="W110" s="52" t="str">
        <f t="shared" si="10"/>
        <v>José Francisco López Diaz</v>
      </c>
      <c r="X110" s="52" t="str">
        <f t="shared" si="11"/>
        <v>José Francisco López Diaz-1085327976-BLS</v>
      </c>
    </row>
    <row r="111" spans="1:24" s="55" customFormat="1" x14ac:dyDescent="0.2">
      <c r="A111" s="17">
        <v>110</v>
      </c>
      <c r="B111" s="80">
        <v>1086136729</v>
      </c>
      <c r="C111" s="50" t="s">
        <v>624</v>
      </c>
      <c r="D111" s="50" t="s">
        <v>414</v>
      </c>
      <c r="E111" s="50" t="s">
        <v>625</v>
      </c>
      <c r="F111" s="187" t="s">
        <v>115</v>
      </c>
      <c r="G111" s="188">
        <v>26</v>
      </c>
      <c r="H111" s="171" t="s">
        <v>181</v>
      </c>
      <c r="I111" s="171" t="s">
        <v>519</v>
      </c>
      <c r="J111" s="182">
        <v>45530</v>
      </c>
      <c r="K111" s="181">
        <v>30000</v>
      </c>
      <c r="L111" s="188" t="s">
        <v>387</v>
      </c>
      <c r="M111" s="188" t="s">
        <v>86</v>
      </c>
      <c r="N111" s="188" t="s">
        <v>539</v>
      </c>
      <c r="O111" s="189" t="s">
        <v>43</v>
      </c>
      <c r="P111" s="18">
        <v>33741</v>
      </c>
      <c r="Q111" s="66" t="s">
        <v>309</v>
      </c>
      <c r="R111" s="17" t="s">
        <v>315</v>
      </c>
      <c r="S111" s="50"/>
      <c r="T111" s="50" t="s">
        <v>626</v>
      </c>
      <c r="U111" s="52" t="str">
        <f>IF(O111=[1]CURSOS!$D$3,"DIPLOMADO EN ATENCION PRE-HOSPITALARIA",IF(O111=[1]CURSOS!$D$4,"ACOMPAÑAMIENTO Y MANEJO DEL DUELO",IF(O111=[1]CURSOS!$D$5,"ATENCION A VICTIMAS DE ATAQUE CON AGENTES QUIMICOS ",IF(O111=[1]CURSOS!$D$6,"PRIMEROS AUXILIOS ",IF(O111=[1]CURSOS!$D$7,"DIPLOMADO DE UNIDAD DE CUIDADOS INTENSIVOS (UCI)",IF(O111=[1]CURSOS!$D$8,"MODELO DE ATENCION PARA EVENTOS EMERGENTES EN SALUD MENTAL (CODIGO VERDE)",IF(O111=[1]CURSOS!$D$9,"HUMANIZACION EN EL SERVICIO DE LA SALUD Y BUENAS PRACTICAS EN PACIENTE ",IF(O111=[1]CURSOS!$D$10,"CLINICA DE HERIDAS ",IF(O111=[1]CURSOS!$D$11,"TOMA DE CITOLOGIA CERVICO VAGINAL ",IF(O111=[1]CURSOS!$D$12,"SOPORTE CARDIOVASCULAR AVANZADO (ACLS) ",IF(O111=[1]CURSOS!$D$13,"CAMILLERO ",IF(O111=[1]CURSOS!$D$14,"TOMA DE MUESTRAS Y LABORATORIO ",IF(O111=[1]CURSOS!$D$15,"SOPORTE VITAL BASICO (BLS)",IF(O111=[1]CURSOS!$D$16,"ATENCION A VICTIMAS DE VIOLENCIA SEXUAL ",IF(O111=[1]CURSOS!$D$17,"PROGRAMADO AMPLIADO DE INMUNIZACION (PAI - COVID 19)",IF(O111=[1]CURSOS!$D$18,"ATENCION INTEGRAL EN ENFERMEDADES PREVALENTES EN PRIMERA INFANCIA (AIEPI)",IF(O111=[1]CURSOS!$D$19,"ADMINISTRACION DE MEDICAMENTOS, INYECTOLOGIA  Y CANALIZACION ",IF(O111=[1]CURSOS!$D$20,"OPERADOR DE VEHICULOS DE EMERGENCIA (OVE)",IF(O111=[1]CURSOS!$D$21,"INSTITUCIONES AMIGAS DE LA MUJER Y LA INFANCIA (IAMI)",IF(O111=[1]CURSOS!$D$22,"CUIDADO DEL DONANTE DE ORGANOS",IF(O111=[1]CURSOS!$D$23,"ATENCION A VICTIMAS POR VIOLENCIA DE GENERO",IF(O111=[1]CURSOS!$D$24,"IGUALDAD DE GENERO EN LA SALUD",IF(O111=[1]CURSOS!$D$25,"BRIGADA DE EMERGENCIA",IF(O111=[1]CURSOS!$D$26,"MANEJO DEL DOLOR Y CUIDADOS PALIATIVOS",IF(O111=[1]CURSOS!$D$27,"TOMA DE MUESTRAS Y LABORATORIO POCT",IF(O111=[1]CURSOS!$D$28,"IMPLANTE SUBDERMICO DE DISPOSITIVO INTRAUTERINO",IF(O111=[1]CURSOS!$D$29,"SALUD MENTAL",IF(O111=[1]CURSOS!$D$30,"PRIMEROS AUXILIOS PSICOLOGICOS",IF(O111=[1]CURSOS!$D$31,"ATENCION A VICTIMAS POR CONFLICTO ARMADO",IF(O111=[1]CURSOS!$D$32,"MANIPULACION DE ALIMENTOS Y BPM",IF(O111=[1]CURSOS!$D$33,"ATENCION A PERSONAS CON DISCAPACIDAD",IF(O111=[1]CURSOS!$D$34,"CUIDADO INTEGRAL DEL PACIENTE ADULTO",IF(O111=[1]CURSOS!$D$35,"MANEJO DEFENSIVO",IF(O111=[1]CURSOS!$D$36,"SOPORTE CARDIOVASCULAR AVANZADO NEONATAL",IF(O111=[1]CURSOS!$D$37,"SEGURIDAD DEL PACIENTE")))))))))))))))))))))))))))))))))))</f>
        <v xml:space="preserve">ATENCION A VICTIMAS DE VIOLENCIA SEXUAL </v>
      </c>
      <c r="V111" s="52" t="str">
        <f t="shared" si="9"/>
        <v>Yescika Alejandra Portillo Ortega</v>
      </c>
      <c r="W111" s="52" t="str">
        <f t="shared" si="10"/>
        <v>Yescika Alejandra Portillo Ortega</v>
      </c>
      <c r="X111" s="52" t="str">
        <f t="shared" si="11"/>
        <v>Yescika Alejandra Portillo Ortega-1086136729-VIOLENCIA SEXUAL</v>
      </c>
    </row>
    <row r="112" spans="1:24" s="55" customFormat="1" x14ac:dyDescent="0.2">
      <c r="A112" s="17">
        <v>111</v>
      </c>
      <c r="B112" s="80">
        <v>1085266970</v>
      </c>
      <c r="C112" s="50" t="s">
        <v>150</v>
      </c>
      <c r="D112" s="50" t="s">
        <v>627</v>
      </c>
      <c r="E112" s="50" t="s">
        <v>628</v>
      </c>
      <c r="F112" s="187" t="s">
        <v>629</v>
      </c>
      <c r="G112" s="188">
        <v>28</v>
      </c>
      <c r="H112" s="171" t="s">
        <v>181</v>
      </c>
      <c r="I112" s="188" t="s">
        <v>519</v>
      </c>
      <c r="J112" s="182">
        <v>45532</v>
      </c>
      <c r="K112" s="181">
        <v>33333</v>
      </c>
      <c r="L112" s="188" t="s">
        <v>322</v>
      </c>
      <c r="M112" s="188" t="s">
        <v>86</v>
      </c>
      <c r="N112" s="188" t="s">
        <v>334</v>
      </c>
      <c r="O112" s="189" t="s">
        <v>25</v>
      </c>
      <c r="P112" s="18">
        <v>32362</v>
      </c>
      <c r="Q112" s="66" t="s">
        <v>309</v>
      </c>
      <c r="R112" s="17" t="s">
        <v>315</v>
      </c>
      <c r="S112" s="50">
        <v>3173976792</v>
      </c>
      <c r="T112" s="50" t="s">
        <v>630</v>
      </c>
      <c r="U112" s="52" t="str">
        <f>IF(O112=[1]CURSOS!$D$3,"DIPLOMADO EN ATENCION PRE-HOSPITALARIA",IF(O112=[1]CURSOS!$D$4,"ACOMPAÑAMIENTO Y MANEJO DEL DUELO",IF(O112=[1]CURSOS!$D$5,"ATENCION A VICTIMAS DE ATAQUE CON AGENTES QUIMICOS ",IF(O112=[1]CURSOS!$D$6,"PRIMEROS AUXILIOS ",IF(O112=[1]CURSOS!$D$7,"DIPLOMADO DE UNIDAD DE CUIDADOS INTENSIVOS (UCI)",IF(O112=[1]CURSOS!$D$8,"MODELO DE ATENCION PARA EVENTOS EMERGENTES EN SALUD MENTAL (CODIGO VERDE)",IF(O112=[1]CURSOS!$D$9,"HUMANIZACION EN EL SERVICIO DE LA SALUD Y BUENAS PRACTICAS EN PACIENTE ",IF(O112=[1]CURSOS!$D$10,"CLINICA DE HERIDAS ",IF(O112=[1]CURSOS!$D$11,"TOMA DE CITOLOGIA CERVICO VAGINAL ",IF(O112=[1]CURSOS!$D$12,"SOPORTE CARDIOVASCULAR AVANZADO (ACLS) ",IF(O112=[1]CURSOS!$D$13,"CAMILLERO ",IF(O112=[1]CURSOS!$D$14,"TOMA DE MUESTRAS Y LABORATORIO ",IF(O112=[1]CURSOS!$D$15,"SOPORTE VITAL BASICO (BLS)",IF(O112=[1]CURSOS!$D$16,"ATENCION A VICTIMAS DE VIOLENCIA SEXUAL ",IF(O112=[1]CURSOS!$D$17,"PROGRAMADO AMPLIADO DE INMUNIZACION (PAI - COVID 19)",IF(O112=[1]CURSOS!$D$18,"ATENCION INTEGRAL EN ENFERMEDADES PREVALENTES EN PRIMERA INFANCIA (AIEPI)",IF(O112=[1]CURSOS!$D$19,"ADMINISTRACION DE MEDICAMENTOS, INYECTOLOGIA  Y CANALIZACION ",IF(O112=[1]CURSOS!$D$20,"OPERADOR DE VEHICULOS DE EMERGENCIA (OVE)",IF(O112=[1]CURSOS!$D$21,"INSTITUCIONES AMIGAS DE LA MUJER Y LA INFANCIA (IAMI)",IF(O112=[1]CURSOS!$D$22,"CUIDADO DEL DONANTE DE ORGANOS",IF(O112=[1]CURSOS!$D$23,"ATENCION A VICTIMAS POR VIOLENCIA DE GENERO",IF(O112=[1]CURSOS!$D$24,"IGUALDAD DE GENERO EN LA SALUD",IF(O112=[1]CURSOS!$D$25,"BRIGADA DE EMERGENCIA",IF(O112=[1]CURSOS!$D$26,"MANEJO DEL DOLOR Y CUIDADOS PALIATIVOS",IF(O112=[1]CURSOS!$D$27,"TOMA DE MUESTRAS Y LABORATORIO POCT",IF(O112=[1]CURSOS!$D$28,"IMPLANTE SUBDERMICO DE DISPOSITIVO INTRAUTERINO",IF(O112=[1]CURSOS!$D$29,"SALUD MENTAL",IF(O112=[1]CURSOS!$D$30,"PRIMEROS AUXILIOS PSICOLOGICOS",IF(O112=[1]CURSOS!$D$31,"ATENCION A VICTIMAS POR CONFLICTO ARMADO",IF(O112=[1]CURSOS!$D$32,"MANIPULACION DE ALIMENTOS Y BPM",IF(O112=[1]CURSOS!$D$33,"ATENCION A PERSONAS CON DISCAPACIDAD",IF(O112=[1]CURSOS!$D$34,"CUIDADO INTEGRAL DEL PACIENTE ADULTO",IF(O112=[1]CURSOS!$D$35,"MANEJO DEFENSIVO",IF(O112=[1]CURSOS!$D$36,"SOPORTE CARDIOVASCULAR AVANZADO NEONATAL",IF(O112=[1]CURSOS!$D$37,"SEGURIDAD DEL PACIENTE")))))))))))))))))))))))))))))))))))</f>
        <v xml:space="preserve">ATENCION A VICTIMAS DE ATAQUE CON AGENTES QUIMICOS </v>
      </c>
      <c r="V112" s="52" t="str">
        <f t="shared" si="9"/>
        <v>Adriana Rocío Bolaños Jaramillo</v>
      </c>
      <c r="W112" s="52" t="str">
        <f t="shared" si="10"/>
        <v>Adriana Rocío Bolaños Jaramillo</v>
      </c>
      <c r="X112" s="52" t="str">
        <f t="shared" si="11"/>
        <v>Adriana Rocío Bolaños Jaramillo-1085266970-QUIMICOS</v>
      </c>
    </row>
    <row r="113" spans="1:24" s="55" customFormat="1" x14ac:dyDescent="0.2">
      <c r="A113" s="17">
        <v>112</v>
      </c>
      <c r="B113" s="80">
        <v>1085266970</v>
      </c>
      <c r="C113" s="50" t="s">
        <v>150</v>
      </c>
      <c r="D113" s="50" t="s">
        <v>627</v>
      </c>
      <c r="E113" s="50" t="s">
        <v>628</v>
      </c>
      <c r="F113" s="187" t="s">
        <v>629</v>
      </c>
      <c r="G113" s="188">
        <v>27</v>
      </c>
      <c r="H113" s="171" t="s">
        <v>181</v>
      </c>
      <c r="I113" s="188" t="s">
        <v>519</v>
      </c>
      <c r="J113" s="182">
        <v>45532</v>
      </c>
      <c r="K113" s="181">
        <v>33333</v>
      </c>
      <c r="L113" s="188" t="s">
        <v>322</v>
      </c>
      <c r="M113" s="188" t="s">
        <v>86</v>
      </c>
      <c r="N113" s="188" t="s">
        <v>334</v>
      </c>
      <c r="O113" s="189" t="s">
        <v>63</v>
      </c>
      <c r="P113" s="18">
        <v>32362</v>
      </c>
      <c r="Q113" s="66" t="s">
        <v>309</v>
      </c>
      <c r="R113" s="17" t="s">
        <v>315</v>
      </c>
      <c r="S113" s="50">
        <v>3173976792</v>
      </c>
      <c r="T113" s="50" t="s">
        <v>630</v>
      </c>
      <c r="U113" s="52" t="str">
        <f>IF(O113=[1]CURSOS!$D$3,"DIPLOMADO EN ATENCION PRE-HOSPITALARIA",IF(O113=[1]CURSOS!$D$4,"ACOMPAÑAMIENTO Y MANEJO DEL DUELO",IF(O113=[1]CURSOS!$D$5,"ATENCION A VICTIMAS DE ATAQUE CON AGENTES QUIMICOS ",IF(O113=[1]CURSOS!$D$6,"PRIMEROS AUXILIOS ",IF(O113=[1]CURSOS!$D$7,"DIPLOMADO DE UNIDAD DE CUIDADOS INTENSIVOS (UCI)",IF(O113=[1]CURSOS!$D$8,"MODELO DE ATENCION PARA EVENTOS EMERGENTES EN SALUD MENTAL (CODIGO VERDE)",IF(O113=[1]CURSOS!$D$9,"HUMANIZACION EN EL SERVICIO DE LA SALUD Y BUENAS PRACTICAS EN PACIENTE ",IF(O113=[1]CURSOS!$D$10,"CLINICA DE HERIDAS ",IF(O113=[1]CURSOS!$D$11,"TOMA DE CITOLOGIA CERVICO VAGINAL ",IF(O113=[1]CURSOS!$D$12,"SOPORTE CARDIOVASCULAR AVANZADO (ACLS) ",IF(O113=[1]CURSOS!$D$13,"CAMILLERO ",IF(O113=[1]CURSOS!$D$14,"TOMA DE MUESTRAS Y LABORATORIO ",IF(O113=[1]CURSOS!$D$15,"SOPORTE VITAL BASICO (BLS)",IF(O113=[1]CURSOS!$D$16,"ATENCION A VICTIMAS DE VIOLENCIA SEXUAL ",IF(O113=[1]CURSOS!$D$17,"PROGRAMADO AMPLIADO DE INMUNIZACION (PAI - COVID 19)",IF(O113=[1]CURSOS!$D$18,"ATENCION INTEGRAL EN ENFERMEDADES PREVALENTES EN PRIMERA INFANCIA (AIEPI)",IF(O113=[1]CURSOS!$D$19,"ADMINISTRACION DE MEDICAMENTOS, INYECTOLOGIA  Y CANALIZACION ",IF(O113=[1]CURSOS!$D$20,"OPERADOR DE VEHICULOS DE EMERGENCIA (OVE)",IF(O113=[1]CURSOS!$D$21,"INSTITUCIONES AMIGAS DE LA MUJER Y LA INFANCIA (IAMI)",IF(O113=[1]CURSOS!$D$22,"CUIDADO DEL DONANTE DE ORGANOS",IF(O113=[1]CURSOS!$D$23,"ATENCION A VICTIMAS POR VIOLENCIA DE GENERO",IF(O113=[1]CURSOS!$D$24,"IGUALDAD DE GENERO EN LA SALUD",IF(O113=[1]CURSOS!$D$25,"BRIGADA DE EMERGENCIA",IF(O113=[1]CURSOS!$D$26,"MANEJO DEL DOLOR Y CUIDADOS PALIATIVOS",IF(O113=[1]CURSOS!$D$27,"TOMA DE MUESTRAS Y LABORATORIO POCT",IF(O113=[1]CURSOS!$D$28,"IMPLANTE SUBDERMICO DE DISPOSITIVO INTRAUTERINO",IF(O113=[1]CURSOS!$D$29,"SALUD MENTAL",IF(O113=[1]CURSOS!$D$30,"PRIMEROS AUXILIOS PSICOLOGICOS",IF(O113=[1]CURSOS!$D$31,"ATENCION A VICTIMAS POR CONFLICTO ARMADO",IF(O113=[1]CURSOS!$D$32,"MANIPULACION DE ALIMENTOS Y BPM",IF(O113=[1]CURSOS!$D$33,"ATENCION A PERSONAS CON DISCAPACIDAD",IF(O113=[1]CURSOS!$D$34,"CUIDADO INTEGRAL DEL PACIENTE ADULTO",IF(O113=[1]CURSOS!$D$35,"MANEJO DEFENSIVO",IF(O113=[1]CURSOS!$D$36,"SOPORTE CARDIOVASCULAR AVANZADO NEONATAL",IF(O113=[1]CURSOS!$D$37,"SEGURIDAD DEL PACIENTE")))))))))))))))))))))))))))))))))))</f>
        <v>TOMA DE MUESTRAS Y LABORATORIO POCT</v>
      </c>
      <c r="V113" s="52" t="str">
        <f t="shared" si="9"/>
        <v>Adriana Rocío Bolaños Jaramillo</v>
      </c>
      <c r="W113" s="52" t="str">
        <f t="shared" si="10"/>
        <v>Adriana Rocío Bolaños Jaramillo</v>
      </c>
      <c r="X113" s="52" t="str">
        <f t="shared" si="11"/>
        <v>Adriana Rocío Bolaños Jaramillo-1085266970-POCT</v>
      </c>
    </row>
    <row r="114" spans="1:24" s="55" customFormat="1" x14ac:dyDescent="0.2">
      <c r="A114" s="17">
        <v>113</v>
      </c>
      <c r="B114" s="80">
        <v>1085266970</v>
      </c>
      <c r="C114" s="50" t="s">
        <v>150</v>
      </c>
      <c r="D114" s="50" t="s">
        <v>627</v>
      </c>
      <c r="E114" s="50" t="s">
        <v>628</v>
      </c>
      <c r="F114" s="187" t="s">
        <v>629</v>
      </c>
      <c r="G114" s="188">
        <v>28</v>
      </c>
      <c r="H114" s="188" t="s">
        <v>181</v>
      </c>
      <c r="I114" s="188" t="s">
        <v>519</v>
      </c>
      <c r="J114" s="182">
        <v>45532</v>
      </c>
      <c r="K114" s="181">
        <v>33333</v>
      </c>
      <c r="L114" s="188" t="s">
        <v>322</v>
      </c>
      <c r="M114" s="188" t="s">
        <v>86</v>
      </c>
      <c r="N114" s="188" t="s">
        <v>334</v>
      </c>
      <c r="O114" s="189" t="s">
        <v>19</v>
      </c>
      <c r="P114" s="18">
        <v>32362</v>
      </c>
      <c r="Q114" s="66" t="s">
        <v>309</v>
      </c>
      <c r="R114" s="17" t="s">
        <v>315</v>
      </c>
      <c r="S114" s="50">
        <v>3173976792</v>
      </c>
      <c r="T114" s="50" t="s">
        <v>630</v>
      </c>
      <c r="U114" s="52" t="str">
        <f>IF(O114=[1]CURSOS!$D$3,"DIPLOMADO EN ATENCION PRE-HOSPITALARIA",IF(O114=[1]CURSOS!$D$4,"ACOMPAÑAMIENTO Y MANEJO DEL DUELO",IF(O114=[1]CURSOS!$D$5,"ATENCION A VICTIMAS DE ATAQUE CON AGENTES QUIMICOS ",IF(O114=[1]CURSOS!$D$6,"PRIMEROS AUXILIOS ",IF(O114=[1]CURSOS!$D$7,"DIPLOMADO DE UNIDAD DE CUIDADOS INTENSIVOS (UCI)",IF(O114=[1]CURSOS!$D$8,"MODELO DE ATENCION PARA EVENTOS EMERGENTES EN SALUD MENTAL (CODIGO VERDE)",IF(O114=[1]CURSOS!$D$9,"HUMANIZACION EN EL SERVICIO DE LA SALUD Y BUENAS PRACTICAS EN PACIENTE ",IF(O114=[1]CURSOS!$D$10,"CLINICA DE HERIDAS ",IF(O114=[1]CURSOS!$D$11,"TOMA DE CITOLOGIA CERVICO VAGINAL ",IF(O114=[1]CURSOS!$D$12,"SOPORTE CARDIOVASCULAR AVANZADO (ACLS) ",IF(O114=[1]CURSOS!$D$13,"CAMILLERO ",IF(O114=[1]CURSOS!$D$14,"TOMA DE MUESTRAS Y LABORATORIO ",IF(O114=[1]CURSOS!$D$15,"SOPORTE VITAL BASICO (BLS)",IF(O114=[1]CURSOS!$D$16,"ATENCION A VICTIMAS DE VIOLENCIA SEXUAL ",IF(O114=[1]CURSOS!$D$17,"PROGRAMADO AMPLIADO DE INMUNIZACION (PAI - COVID 19)",IF(O114=[1]CURSOS!$D$18,"ATENCION INTEGRAL EN ENFERMEDADES PREVALENTES EN PRIMERA INFANCIA (AIEPI)",IF(O114=[1]CURSOS!$D$19,"ADMINISTRACION DE MEDICAMENTOS, INYECTOLOGIA  Y CANALIZACION ",IF(O114=[1]CURSOS!$D$20,"OPERADOR DE VEHICULOS DE EMERGENCIA (OVE)",IF(O114=[1]CURSOS!$D$21,"INSTITUCIONES AMIGAS DE LA MUJER Y LA INFANCIA (IAMI)",IF(O114=[1]CURSOS!$D$22,"CUIDADO DEL DONANTE DE ORGANOS",IF(O114=[1]CURSOS!$D$23,"ATENCION A VICTIMAS POR VIOLENCIA DE GENERO",IF(O114=[1]CURSOS!$D$24,"IGUALDAD DE GENERO EN LA SALUD",IF(O114=[1]CURSOS!$D$25,"BRIGADA DE EMERGENCIA",IF(O114=[1]CURSOS!$D$26,"MANEJO DEL DOLOR Y CUIDADOS PALIATIVOS",IF(O114=[1]CURSOS!$D$27,"TOMA DE MUESTRAS Y LABORATORIO POCT",IF(O114=[1]CURSOS!$D$28,"IMPLANTE SUBDERMICO DE DISPOSITIVO INTRAUTERINO",IF(O114=[1]CURSOS!$D$29,"SALUD MENTAL",IF(O114=[1]CURSOS!$D$30,"PRIMEROS AUXILIOS PSICOLOGICOS",IF(O114=[1]CURSOS!$D$31,"ATENCION A VICTIMAS POR CONFLICTO ARMADO",IF(O114=[1]CURSOS!$D$32,"MANIPULACION DE ALIMENTOS Y BPM",IF(O114=[1]CURSOS!$D$33,"ATENCION A PERSONAS CON DISCAPACIDAD",IF(O114=[1]CURSOS!$D$34,"CUIDADO INTEGRAL DEL PACIENTE ADULTO",IF(O114=[1]CURSOS!$D$35,"MANEJO DEFENSIVO",IF(O114=[1]CURSOS!$D$36,"SOPORTE CARDIOVASCULAR AVANZADO NEONATAL",IF(O114=[1]CURSOS!$D$37,"SEGURIDAD DEL PACIENTE")))))))))))))))))))))))))))))))))))</f>
        <v>SOPORTE VITAL BASICO (BLS)</v>
      </c>
      <c r="V114" s="52" t="str">
        <f t="shared" ref="V114:V141" si="12">CONCATENATE(E114," ",F114," ",C114," ",D114)</f>
        <v>Adriana Rocío Bolaños Jaramillo</v>
      </c>
      <c r="W114" s="52" t="str">
        <f t="shared" ref="W114:W141" si="13">+PROPER(V114)</f>
        <v>Adriana Rocío Bolaños Jaramillo</v>
      </c>
      <c r="X114" s="52" t="str">
        <f t="shared" ref="X114:X141" si="14">CONCATENATE(V114,"-",B114,"-",O114)</f>
        <v>Adriana Rocío Bolaños Jaramillo-1085266970-BLS</v>
      </c>
    </row>
    <row r="115" spans="1:24" s="55" customFormat="1" x14ac:dyDescent="0.2">
      <c r="A115" s="17">
        <v>114</v>
      </c>
      <c r="B115" s="80">
        <v>1085690663</v>
      </c>
      <c r="C115" s="50" t="s">
        <v>631</v>
      </c>
      <c r="D115" s="50" t="s">
        <v>632</v>
      </c>
      <c r="E115" s="50" t="s">
        <v>633</v>
      </c>
      <c r="F115" s="187" t="s">
        <v>634</v>
      </c>
      <c r="G115" s="188">
        <v>31</v>
      </c>
      <c r="H115" s="188" t="s">
        <v>181</v>
      </c>
      <c r="I115" s="188" t="s">
        <v>517</v>
      </c>
      <c r="J115" s="182">
        <v>45530</v>
      </c>
      <c r="K115" s="181">
        <v>37500</v>
      </c>
      <c r="L115" s="188" t="s">
        <v>328</v>
      </c>
      <c r="M115" s="188" t="s">
        <v>86</v>
      </c>
      <c r="N115" s="188" t="s">
        <v>334</v>
      </c>
      <c r="O115" s="189" t="s">
        <v>27</v>
      </c>
      <c r="P115" s="18">
        <v>35803</v>
      </c>
      <c r="Q115" s="66" t="s">
        <v>316</v>
      </c>
      <c r="R115" s="17" t="s">
        <v>635</v>
      </c>
      <c r="S115" s="50">
        <v>3228228406</v>
      </c>
      <c r="T115" s="50" t="s">
        <v>636</v>
      </c>
      <c r="U115" s="52" t="str">
        <f>IF(O115=[1]CURSOS!$D$3,"DIPLOMADO EN ATENCION PRE-HOSPITALARIA",IF(O115=[1]CURSOS!$D$4,"ACOMPAÑAMIENTO Y MANEJO DEL DUELO",IF(O115=[1]CURSOS!$D$5,"ATENCION A VICTIMAS DE ATAQUE CON AGENTES QUIMICOS ",IF(O115=[1]CURSOS!$D$6,"PRIMEROS AUXILIOS ",IF(O115=[1]CURSOS!$D$7,"DIPLOMADO DE UNIDAD DE CUIDADOS INTENSIVOS (UCI)",IF(O115=[1]CURSOS!$D$8,"MODELO DE ATENCION PARA EVENTOS EMERGENTES EN SALUD MENTAL (CODIGO VERDE)",IF(O115=[1]CURSOS!$D$9,"HUMANIZACION EN EL SERVICIO DE LA SALUD Y BUENAS PRACTICAS EN PACIENTE ",IF(O115=[1]CURSOS!$D$10,"CLINICA DE HERIDAS ",IF(O115=[1]CURSOS!$D$11,"TOMA DE CITOLOGIA CERVICO VAGINAL ",IF(O115=[1]CURSOS!$D$12,"SOPORTE CARDIOVASCULAR AVANZADO (ACLS) ",IF(O115=[1]CURSOS!$D$13,"CAMILLERO ",IF(O115=[1]CURSOS!$D$14,"TOMA DE MUESTRAS Y LABORATORIO ",IF(O115=[1]CURSOS!$D$15,"SOPORTE VITAL BASICO (BLS)",IF(O115=[1]CURSOS!$D$16,"ATENCION A VICTIMAS DE VIOLENCIA SEXUAL ",IF(O115=[1]CURSOS!$D$17,"PROGRAMADO AMPLIADO DE INMUNIZACION (PAI - COVID 19)",IF(O115=[1]CURSOS!$D$18,"ATENCION INTEGRAL EN ENFERMEDADES PREVALENTES EN PRIMERA INFANCIA (AIEPI)",IF(O115=[1]CURSOS!$D$19,"ADMINISTRACION DE MEDICAMENTOS, INYECTOLOGIA  Y CANALIZACION ",IF(O115=[1]CURSOS!$D$20,"OPERADOR DE VEHICULOS DE EMERGENCIA (OVE)",IF(O115=[1]CURSOS!$D$21,"INSTITUCIONES AMIGAS DE LA MUJER Y LA INFANCIA (IAMI)",IF(O115=[1]CURSOS!$D$22,"CUIDADO DEL DONANTE DE ORGANOS",IF(O115=[1]CURSOS!$D$23,"ATENCION A VICTIMAS POR VIOLENCIA DE GENERO",IF(O115=[1]CURSOS!$D$24,"IGUALDAD DE GENERO EN LA SALUD",IF(O115=[1]CURSOS!$D$25,"BRIGADA DE EMERGENCIA",IF(O115=[1]CURSOS!$D$26,"MANEJO DEL DOLOR Y CUIDADOS PALIATIVOS",IF(O115=[1]CURSOS!$D$27,"TOMA DE MUESTRAS Y LABORATORIO POCT",IF(O115=[1]CURSOS!$D$28,"IMPLANTE SUBDERMICO DE DISPOSITIVO INTRAUTERINO",IF(O115=[1]CURSOS!$D$29,"SALUD MENTAL",IF(O115=[1]CURSOS!$D$30,"PRIMEROS AUXILIOS PSICOLOGICOS",IF(O115=[1]CURSOS!$D$31,"ATENCION A VICTIMAS POR CONFLICTO ARMADO",IF(O115=[1]CURSOS!$D$32,"MANIPULACION DE ALIMENTOS Y BPM",IF(O115=[1]CURSOS!$D$33,"ATENCION A PERSONAS CON DISCAPACIDAD",IF(O115=[1]CURSOS!$D$34,"CUIDADO INTEGRAL DEL PACIENTE ADULTO",IF(O115=[1]CURSOS!$D$35,"MANEJO DEFENSIVO",IF(O115=[1]CURSOS!$D$36,"SOPORTE CARDIOVASCULAR AVANZADO NEONATAL",IF(O115=[1]CURSOS!$D$37,"SEGURIDAD DEL PACIENTE")))))))))))))))))))))))))))))))))))</f>
        <v xml:space="preserve">PRIMEROS AUXILIOS </v>
      </c>
      <c r="V115" s="52" t="str">
        <f t="shared" si="12"/>
        <v>Deison Samir Daza Vasquez</v>
      </c>
      <c r="W115" s="52" t="str">
        <f t="shared" si="13"/>
        <v>Deison Samir Daza Vasquez</v>
      </c>
      <c r="X115" s="52" t="str">
        <f t="shared" si="14"/>
        <v>Deison Samir Daza Vasquez-1085690663-PRIMEROS AUXILIOS</v>
      </c>
    </row>
    <row r="116" spans="1:24" s="55" customFormat="1" x14ac:dyDescent="0.2">
      <c r="A116" s="17">
        <v>115</v>
      </c>
      <c r="B116" s="80">
        <v>1085690663</v>
      </c>
      <c r="C116" s="50" t="s">
        <v>631</v>
      </c>
      <c r="D116" s="50" t="s">
        <v>632</v>
      </c>
      <c r="E116" s="50" t="s">
        <v>633</v>
      </c>
      <c r="F116" s="187" t="s">
        <v>634</v>
      </c>
      <c r="G116" s="188">
        <v>31</v>
      </c>
      <c r="H116" s="188" t="s">
        <v>181</v>
      </c>
      <c r="I116" s="188" t="s">
        <v>517</v>
      </c>
      <c r="J116" s="182">
        <v>45530</v>
      </c>
      <c r="K116" s="181">
        <v>37500</v>
      </c>
      <c r="L116" s="188" t="s">
        <v>328</v>
      </c>
      <c r="M116" s="188" t="s">
        <v>86</v>
      </c>
      <c r="N116" s="188" t="s">
        <v>334</v>
      </c>
      <c r="O116" s="189" t="s">
        <v>39</v>
      </c>
      <c r="P116" s="18">
        <v>35803</v>
      </c>
      <c r="Q116" s="66" t="s">
        <v>316</v>
      </c>
      <c r="R116" s="17" t="s">
        <v>635</v>
      </c>
      <c r="S116" s="50">
        <v>3228228406</v>
      </c>
      <c r="T116" s="50" t="s">
        <v>636</v>
      </c>
      <c r="U116" s="52" t="str">
        <f>IF(O116=[1]CURSOS!$D$3,"DIPLOMADO EN ATENCION PRE-HOSPITALARIA",IF(O116=[1]CURSOS!$D$4,"ACOMPAÑAMIENTO Y MANEJO DEL DUELO",IF(O116=[1]CURSOS!$D$5,"ATENCION A VICTIMAS DE ATAQUE CON AGENTES QUIMICOS ",IF(O116=[1]CURSOS!$D$6,"PRIMEROS AUXILIOS ",IF(O116=[1]CURSOS!$D$7,"DIPLOMADO DE UNIDAD DE CUIDADOS INTENSIVOS (UCI)",IF(O116=[1]CURSOS!$D$8,"MODELO DE ATENCION PARA EVENTOS EMERGENTES EN SALUD MENTAL (CODIGO VERDE)",IF(O116=[1]CURSOS!$D$9,"HUMANIZACION EN EL SERVICIO DE LA SALUD Y BUENAS PRACTICAS EN PACIENTE ",IF(O116=[1]CURSOS!$D$10,"CLINICA DE HERIDAS ",IF(O116=[1]CURSOS!$D$11,"TOMA DE CITOLOGIA CERVICO VAGINAL ",IF(O116=[1]CURSOS!$D$12,"SOPORTE CARDIOVASCULAR AVANZADO (ACLS) ",IF(O116=[1]CURSOS!$D$13,"CAMILLERO ",IF(O116=[1]CURSOS!$D$14,"TOMA DE MUESTRAS Y LABORATORIO ",IF(O116=[1]CURSOS!$D$15,"SOPORTE VITAL BASICO (BLS)",IF(O116=[1]CURSOS!$D$16,"ATENCION A VICTIMAS DE VIOLENCIA SEXUAL ",IF(O116=[1]CURSOS!$D$17,"PROGRAMADO AMPLIADO DE INMUNIZACION (PAI - COVID 19)",IF(O116=[1]CURSOS!$D$18,"ATENCION INTEGRAL EN ENFERMEDADES PREVALENTES EN PRIMERA INFANCIA (AIEPI)",IF(O116=[1]CURSOS!$D$19,"ADMINISTRACION DE MEDICAMENTOS, INYECTOLOGIA  Y CANALIZACION ",IF(O116=[1]CURSOS!$D$20,"OPERADOR DE VEHICULOS DE EMERGENCIA (OVE)",IF(O116=[1]CURSOS!$D$21,"INSTITUCIONES AMIGAS DE LA MUJER Y LA INFANCIA (IAMI)",IF(O116=[1]CURSOS!$D$22,"CUIDADO DEL DONANTE DE ORGANOS",IF(O116=[1]CURSOS!$D$23,"ATENCION A VICTIMAS POR VIOLENCIA DE GENERO",IF(O116=[1]CURSOS!$D$24,"IGUALDAD DE GENERO EN LA SALUD",IF(O116=[1]CURSOS!$D$25,"BRIGADA DE EMERGENCIA",IF(O116=[1]CURSOS!$D$26,"MANEJO DEL DOLOR Y CUIDADOS PALIATIVOS",IF(O116=[1]CURSOS!$D$27,"TOMA DE MUESTRAS Y LABORATORIO POCT",IF(O116=[1]CURSOS!$D$28,"IMPLANTE SUBDERMICO DE DISPOSITIVO INTRAUTERINO",IF(O116=[1]CURSOS!$D$29,"SALUD MENTAL",IF(O116=[1]CURSOS!$D$30,"PRIMEROS AUXILIOS PSICOLOGICOS",IF(O116=[1]CURSOS!$D$31,"ATENCION A VICTIMAS POR CONFLICTO ARMADO",IF(O116=[1]CURSOS!$D$32,"MANIPULACION DE ALIMENTOS Y BPM",IF(O116=[1]CURSOS!$D$33,"ATENCION A PERSONAS CON DISCAPACIDAD",IF(O116=[1]CURSOS!$D$34,"CUIDADO INTEGRAL DEL PACIENTE ADULTO",IF(O116=[1]CURSOS!$D$35,"MANEJO DEFENSIVO",IF(O116=[1]CURSOS!$D$36,"SOPORTE CARDIOVASCULAR AVANZADO NEONATAL",IF(O116=[1]CURSOS!$D$37,"SEGURIDAD DEL PACIENTE")))))))))))))))))))))))))))))))))))</f>
        <v xml:space="preserve">CAMILLERO </v>
      </c>
      <c r="V116" s="52" t="str">
        <f t="shared" si="12"/>
        <v>Deison Samir Daza Vasquez</v>
      </c>
      <c r="W116" s="52" t="str">
        <f t="shared" si="13"/>
        <v>Deison Samir Daza Vasquez</v>
      </c>
      <c r="X116" s="52" t="str">
        <f t="shared" si="14"/>
        <v>Deison Samir Daza Vasquez-1085690663-CAMILLERO</v>
      </c>
    </row>
    <row r="117" spans="1:24" s="55" customFormat="1" x14ac:dyDescent="0.2">
      <c r="A117" s="17">
        <v>116</v>
      </c>
      <c r="B117" s="80">
        <v>1085690663</v>
      </c>
      <c r="C117" s="50" t="s">
        <v>631</v>
      </c>
      <c r="D117" s="50" t="s">
        <v>632</v>
      </c>
      <c r="E117" s="50" t="s">
        <v>633</v>
      </c>
      <c r="F117" s="187" t="s">
        <v>634</v>
      </c>
      <c r="G117" s="188">
        <v>30</v>
      </c>
      <c r="H117" s="188" t="s">
        <v>181</v>
      </c>
      <c r="I117" s="188" t="s">
        <v>517</v>
      </c>
      <c r="J117" s="182">
        <v>45530</v>
      </c>
      <c r="K117" s="181">
        <v>37500</v>
      </c>
      <c r="L117" s="188" t="s">
        <v>328</v>
      </c>
      <c r="M117" s="188" t="s">
        <v>86</v>
      </c>
      <c r="N117" s="188" t="s">
        <v>334</v>
      </c>
      <c r="O117" s="189" t="s">
        <v>49</v>
      </c>
      <c r="P117" s="18">
        <v>35803</v>
      </c>
      <c r="Q117" s="66" t="s">
        <v>316</v>
      </c>
      <c r="R117" s="17" t="s">
        <v>635</v>
      </c>
      <c r="S117" s="50">
        <v>3228228406</v>
      </c>
      <c r="T117" s="50" t="s">
        <v>636</v>
      </c>
      <c r="U117" s="52" t="str">
        <f>IF(O117=[1]CURSOS!$D$3,"DIPLOMADO EN ATENCION PRE-HOSPITALARIA",IF(O117=[1]CURSOS!$D$4,"ACOMPAÑAMIENTO Y MANEJO DEL DUELO",IF(O117=[1]CURSOS!$D$5,"ATENCION A VICTIMAS DE ATAQUE CON AGENTES QUIMICOS ",IF(O117=[1]CURSOS!$D$6,"PRIMEROS AUXILIOS ",IF(O117=[1]CURSOS!$D$7,"DIPLOMADO DE UNIDAD DE CUIDADOS INTENSIVOS (UCI)",IF(O117=[1]CURSOS!$D$8,"MODELO DE ATENCION PARA EVENTOS EMERGENTES EN SALUD MENTAL (CODIGO VERDE)",IF(O117=[1]CURSOS!$D$9,"HUMANIZACION EN EL SERVICIO DE LA SALUD Y BUENAS PRACTICAS EN PACIENTE ",IF(O117=[1]CURSOS!$D$10,"CLINICA DE HERIDAS ",IF(O117=[1]CURSOS!$D$11,"TOMA DE CITOLOGIA CERVICO VAGINAL ",IF(O117=[1]CURSOS!$D$12,"SOPORTE CARDIOVASCULAR AVANZADO (ACLS) ",IF(O117=[1]CURSOS!$D$13,"CAMILLERO ",IF(O117=[1]CURSOS!$D$14,"TOMA DE MUESTRAS Y LABORATORIO ",IF(O117=[1]CURSOS!$D$15,"SOPORTE VITAL BASICO (BLS)",IF(O117=[1]CURSOS!$D$16,"ATENCION A VICTIMAS DE VIOLENCIA SEXUAL ",IF(O117=[1]CURSOS!$D$17,"PROGRAMADO AMPLIADO DE INMUNIZACION (PAI - COVID 19)",IF(O117=[1]CURSOS!$D$18,"ATENCION INTEGRAL EN ENFERMEDADES PREVALENTES EN PRIMERA INFANCIA (AIEPI)",IF(O117=[1]CURSOS!$D$19,"ADMINISTRACION DE MEDICAMENTOS, INYECTOLOGIA  Y CANALIZACION ",IF(O117=[1]CURSOS!$D$20,"OPERADOR DE VEHICULOS DE EMERGENCIA (OVE)",IF(O117=[1]CURSOS!$D$21,"INSTITUCIONES AMIGAS DE LA MUJER Y LA INFANCIA (IAMI)",IF(O117=[1]CURSOS!$D$22,"CUIDADO DEL DONANTE DE ORGANOS",IF(O117=[1]CURSOS!$D$23,"ATENCION A VICTIMAS POR VIOLENCIA DE GENERO",IF(O117=[1]CURSOS!$D$24,"IGUALDAD DE GENERO EN LA SALUD",IF(O117=[1]CURSOS!$D$25,"BRIGADA DE EMERGENCIA",IF(O117=[1]CURSOS!$D$26,"MANEJO DEL DOLOR Y CUIDADOS PALIATIVOS",IF(O117=[1]CURSOS!$D$27,"TOMA DE MUESTRAS Y LABORATORIO POCT",IF(O117=[1]CURSOS!$D$28,"IMPLANTE SUBDERMICO DE DISPOSITIVO INTRAUTERINO",IF(O117=[1]CURSOS!$D$29,"SALUD MENTAL",IF(O117=[1]CURSOS!$D$30,"PRIMEROS AUXILIOS PSICOLOGICOS",IF(O117=[1]CURSOS!$D$31,"ATENCION A VICTIMAS POR CONFLICTO ARMADO",IF(O117=[1]CURSOS!$D$32,"MANIPULACION DE ALIMENTOS Y BPM",IF(O117=[1]CURSOS!$D$33,"ATENCION A PERSONAS CON DISCAPACIDAD",IF(O117=[1]CURSOS!$D$34,"CUIDADO INTEGRAL DEL PACIENTE ADULTO",IF(O117=[1]CURSOS!$D$35,"MANEJO DEFENSIVO",IF(O117=[1]CURSOS!$D$36,"SOPORTE CARDIOVASCULAR AVANZADO NEONATAL",IF(O117=[1]CURSOS!$D$37,"SEGURIDAD DEL PACIENTE")))))))))))))))))))))))))))))))))))</f>
        <v>OPERADOR DE VEHICULOS DE EMERGENCIA (OVE)</v>
      </c>
      <c r="V117" s="52" t="str">
        <f t="shared" si="12"/>
        <v>Deison Samir Daza Vasquez</v>
      </c>
      <c r="W117" s="52" t="str">
        <f t="shared" si="13"/>
        <v>Deison Samir Daza Vasquez</v>
      </c>
      <c r="X117" s="52" t="str">
        <f t="shared" si="14"/>
        <v>Deison Samir Daza Vasquez-1085690663-OVE</v>
      </c>
    </row>
    <row r="118" spans="1:24" s="55" customFormat="1" x14ac:dyDescent="0.2">
      <c r="A118" s="17">
        <v>117</v>
      </c>
      <c r="B118" s="80">
        <v>1085690663</v>
      </c>
      <c r="C118" s="50" t="s">
        <v>631</v>
      </c>
      <c r="D118" s="50" t="s">
        <v>632</v>
      </c>
      <c r="E118" s="50" t="s">
        <v>633</v>
      </c>
      <c r="F118" s="187" t="s">
        <v>634</v>
      </c>
      <c r="G118" s="188">
        <v>30</v>
      </c>
      <c r="H118" s="188" t="s">
        <v>181</v>
      </c>
      <c r="I118" s="188" t="s">
        <v>517</v>
      </c>
      <c r="J118" s="182">
        <v>45530</v>
      </c>
      <c r="K118" s="181">
        <v>37500</v>
      </c>
      <c r="L118" s="188" t="s">
        <v>328</v>
      </c>
      <c r="M118" s="188" t="s">
        <v>86</v>
      </c>
      <c r="N118" s="188" t="s">
        <v>334</v>
      </c>
      <c r="O118" s="189" t="s">
        <v>129</v>
      </c>
      <c r="P118" s="18">
        <v>35803</v>
      </c>
      <c r="Q118" s="66" t="s">
        <v>316</v>
      </c>
      <c r="R118" s="17" t="s">
        <v>635</v>
      </c>
      <c r="S118" s="50">
        <v>3228228406</v>
      </c>
      <c r="T118" s="50" t="s">
        <v>636</v>
      </c>
      <c r="U118" s="52" t="str">
        <f>IF(O118=[1]CURSOS!$D$3,"DIPLOMADO EN ATENCION PRE-HOSPITALARIA",IF(O118=[1]CURSOS!$D$4,"ACOMPAÑAMIENTO Y MANEJO DEL DUELO",IF(O118=[1]CURSOS!$D$5,"ATENCION A VICTIMAS DE ATAQUE CON AGENTES QUIMICOS ",IF(O118=[1]CURSOS!$D$6,"PRIMEROS AUXILIOS ",IF(O118=[1]CURSOS!$D$7,"DIPLOMADO DE UNIDAD DE CUIDADOS INTENSIVOS (UCI)",IF(O118=[1]CURSOS!$D$8,"MODELO DE ATENCION PARA EVENTOS EMERGENTES EN SALUD MENTAL (CODIGO VERDE)",IF(O118=[1]CURSOS!$D$9,"HUMANIZACION EN EL SERVICIO DE LA SALUD Y BUENAS PRACTICAS EN PACIENTE ",IF(O118=[1]CURSOS!$D$10,"CLINICA DE HERIDAS ",IF(O118=[1]CURSOS!$D$11,"TOMA DE CITOLOGIA CERVICO VAGINAL ",IF(O118=[1]CURSOS!$D$12,"SOPORTE CARDIOVASCULAR AVANZADO (ACLS) ",IF(O118=[1]CURSOS!$D$13,"CAMILLERO ",IF(O118=[1]CURSOS!$D$14,"TOMA DE MUESTRAS Y LABORATORIO ",IF(O118=[1]CURSOS!$D$15,"SOPORTE VITAL BASICO (BLS)",IF(O118=[1]CURSOS!$D$16,"ATENCION A VICTIMAS DE VIOLENCIA SEXUAL ",IF(O118=[1]CURSOS!$D$17,"PROGRAMADO AMPLIADO DE INMUNIZACION (PAI - COVID 19)",IF(O118=[1]CURSOS!$D$18,"ATENCION INTEGRAL EN ENFERMEDADES PREVALENTES EN PRIMERA INFANCIA (AIEPI)",IF(O118=[1]CURSOS!$D$19,"ADMINISTRACION DE MEDICAMENTOS, INYECTOLOGIA  Y CANALIZACION ",IF(O118=[1]CURSOS!$D$20,"OPERADOR DE VEHICULOS DE EMERGENCIA (OVE)",IF(O118=[1]CURSOS!$D$21,"INSTITUCIONES AMIGAS DE LA MUJER Y LA INFANCIA (IAMI)",IF(O118=[1]CURSOS!$D$22,"CUIDADO DEL DONANTE DE ORGANOS",IF(O118=[1]CURSOS!$D$23,"ATENCION A VICTIMAS POR VIOLENCIA DE GENERO",IF(O118=[1]CURSOS!$D$24,"IGUALDAD DE GENERO EN LA SALUD",IF(O118=[1]CURSOS!$D$25,"BRIGADA DE EMERGENCIA",IF(O118=[1]CURSOS!$D$26,"MANEJO DEL DOLOR Y CUIDADOS PALIATIVOS",IF(O118=[1]CURSOS!$D$27,"TOMA DE MUESTRAS Y LABORATORIO POCT",IF(O118=[1]CURSOS!$D$28,"IMPLANTE SUBDERMICO DE DISPOSITIVO INTRAUTERINO",IF(O118=[1]CURSOS!$D$29,"SALUD MENTAL",IF(O118=[1]CURSOS!$D$30,"PRIMEROS AUXILIOS PSICOLOGICOS",IF(O118=[1]CURSOS!$D$31,"ATENCION A VICTIMAS POR CONFLICTO ARMADO",IF(O118=[1]CURSOS!$D$32,"MANIPULACION DE ALIMENTOS Y BPM",IF(O118=[1]CURSOS!$D$33,"ATENCION A PERSONAS CON DISCAPACIDAD",IF(O118=[1]CURSOS!$D$34,"CUIDADO INTEGRAL DEL PACIENTE ADULTO",IF(O118=[1]CURSOS!$D$35,"MANEJO DEFENSIVO",IF(O118=[1]CURSOS!$D$36,"SOPORTE CARDIOVASCULAR AVANZADO NEONATAL",IF(O118=[1]CURSOS!$D$37,"SEGURIDAD DEL PACIENTE")))))))))))))))))))))))))))))))))))</f>
        <v>MANEJO DEFENSIVO</v>
      </c>
      <c r="V118" s="52" t="str">
        <f t="shared" si="12"/>
        <v>Deison Samir Daza Vasquez</v>
      </c>
      <c r="W118" s="52" t="str">
        <f t="shared" si="13"/>
        <v>Deison Samir Daza Vasquez</v>
      </c>
      <c r="X118" s="52" t="str">
        <f t="shared" si="14"/>
        <v>Deison Samir Daza Vasquez-1085690663-MANEJO DEFENSIVO</v>
      </c>
    </row>
    <row r="119" spans="1:24" s="55" customFormat="1" x14ac:dyDescent="0.2">
      <c r="A119" s="17">
        <v>118</v>
      </c>
      <c r="B119" s="80">
        <v>1085687225</v>
      </c>
      <c r="C119" s="50" t="s">
        <v>631</v>
      </c>
      <c r="D119" s="50" t="s">
        <v>637</v>
      </c>
      <c r="E119" s="50" t="s">
        <v>638</v>
      </c>
      <c r="F119" s="187" t="s">
        <v>639</v>
      </c>
      <c r="G119" s="188">
        <v>31</v>
      </c>
      <c r="H119" s="188" t="s">
        <v>181</v>
      </c>
      <c r="I119" s="188" t="s">
        <v>517</v>
      </c>
      <c r="J119" s="182">
        <v>45530</v>
      </c>
      <c r="K119" s="181">
        <v>37500</v>
      </c>
      <c r="L119" s="188" t="s">
        <v>328</v>
      </c>
      <c r="M119" s="188" t="s">
        <v>86</v>
      </c>
      <c r="N119" s="188" t="s">
        <v>334</v>
      </c>
      <c r="O119" s="189" t="s">
        <v>27</v>
      </c>
      <c r="P119" s="18">
        <v>32087</v>
      </c>
      <c r="Q119" s="66" t="s">
        <v>316</v>
      </c>
      <c r="R119" s="17" t="s">
        <v>635</v>
      </c>
      <c r="S119" s="50">
        <v>3227209118</v>
      </c>
      <c r="T119" s="50" t="s">
        <v>640</v>
      </c>
      <c r="U119" s="52" t="str">
        <f>IF(O119=[1]CURSOS!$D$3,"DIPLOMADO EN ATENCION PRE-HOSPITALARIA",IF(O119=[1]CURSOS!$D$4,"ACOMPAÑAMIENTO Y MANEJO DEL DUELO",IF(O119=[1]CURSOS!$D$5,"ATENCION A VICTIMAS DE ATAQUE CON AGENTES QUIMICOS ",IF(O119=[1]CURSOS!$D$6,"PRIMEROS AUXILIOS ",IF(O119=[1]CURSOS!$D$7,"DIPLOMADO DE UNIDAD DE CUIDADOS INTENSIVOS (UCI)",IF(O119=[1]CURSOS!$D$8,"MODELO DE ATENCION PARA EVENTOS EMERGENTES EN SALUD MENTAL (CODIGO VERDE)",IF(O119=[1]CURSOS!$D$9,"HUMANIZACION EN EL SERVICIO DE LA SALUD Y BUENAS PRACTICAS EN PACIENTE ",IF(O119=[1]CURSOS!$D$10,"CLINICA DE HERIDAS ",IF(O119=[1]CURSOS!$D$11,"TOMA DE CITOLOGIA CERVICO VAGINAL ",IF(O119=[1]CURSOS!$D$12,"SOPORTE CARDIOVASCULAR AVANZADO (ACLS) ",IF(O119=[1]CURSOS!$D$13,"CAMILLERO ",IF(O119=[1]CURSOS!$D$14,"TOMA DE MUESTRAS Y LABORATORIO ",IF(O119=[1]CURSOS!$D$15,"SOPORTE VITAL BASICO (BLS)",IF(O119=[1]CURSOS!$D$16,"ATENCION A VICTIMAS DE VIOLENCIA SEXUAL ",IF(O119=[1]CURSOS!$D$17,"PROGRAMADO AMPLIADO DE INMUNIZACION (PAI - COVID 19)",IF(O119=[1]CURSOS!$D$18,"ATENCION INTEGRAL EN ENFERMEDADES PREVALENTES EN PRIMERA INFANCIA (AIEPI)",IF(O119=[1]CURSOS!$D$19,"ADMINISTRACION DE MEDICAMENTOS, INYECTOLOGIA  Y CANALIZACION ",IF(O119=[1]CURSOS!$D$20,"OPERADOR DE VEHICULOS DE EMERGENCIA (OVE)",IF(O119=[1]CURSOS!$D$21,"INSTITUCIONES AMIGAS DE LA MUJER Y LA INFANCIA (IAMI)",IF(O119=[1]CURSOS!$D$22,"CUIDADO DEL DONANTE DE ORGANOS",IF(O119=[1]CURSOS!$D$23,"ATENCION A VICTIMAS POR VIOLENCIA DE GENERO",IF(O119=[1]CURSOS!$D$24,"IGUALDAD DE GENERO EN LA SALUD",IF(O119=[1]CURSOS!$D$25,"BRIGADA DE EMERGENCIA",IF(O119=[1]CURSOS!$D$26,"MANEJO DEL DOLOR Y CUIDADOS PALIATIVOS",IF(O119=[1]CURSOS!$D$27,"TOMA DE MUESTRAS Y LABORATORIO POCT",IF(O119=[1]CURSOS!$D$28,"IMPLANTE SUBDERMICO DE DISPOSITIVO INTRAUTERINO",IF(O119=[1]CURSOS!$D$29,"SALUD MENTAL",IF(O119=[1]CURSOS!$D$30,"PRIMEROS AUXILIOS PSICOLOGICOS",IF(O119=[1]CURSOS!$D$31,"ATENCION A VICTIMAS POR CONFLICTO ARMADO",IF(O119=[1]CURSOS!$D$32,"MANIPULACION DE ALIMENTOS Y BPM",IF(O119=[1]CURSOS!$D$33,"ATENCION A PERSONAS CON DISCAPACIDAD",IF(O119=[1]CURSOS!$D$34,"CUIDADO INTEGRAL DEL PACIENTE ADULTO",IF(O119=[1]CURSOS!$D$35,"MANEJO DEFENSIVO",IF(O119=[1]CURSOS!$D$36,"SOPORTE CARDIOVASCULAR AVANZADO NEONATAL",IF(O119=[1]CURSOS!$D$37,"SEGURIDAD DEL PACIENTE")))))))))))))))))))))))))))))))))))</f>
        <v xml:space="preserve">PRIMEROS AUXILIOS </v>
      </c>
      <c r="V119" s="52" t="str">
        <f t="shared" si="12"/>
        <v>Yoni Ivan Daza Ramos</v>
      </c>
      <c r="W119" s="52" t="str">
        <f t="shared" si="13"/>
        <v>Yoni Ivan Daza Ramos</v>
      </c>
      <c r="X119" s="52" t="str">
        <f t="shared" si="14"/>
        <v>Yoni Ivan Daza Ramos-1085687225-PRIMEROS AUXILIOS</v>
      </c>
    </row>
    <row r="120" spans="1:24" s="55" customFormat="1" x14ac:dyDescent="0.2">
      <c r="A120" s="17">
        <v>119</v>
      </c>
      <c r="B120" s="80">
        <v>1085687225</v>
      </c>
      <c r="C120" s="50" t="s">
        <v>631</v>
      </c>
      <c r="D120" s="50" t="s">
        <v>637</v>
      </c>
      <c r="E120" s="50" t="s">
        <v>638</v>
      </c>
      <c r="F120" s="187" t="s">
        <v>639</v>
      </c>
      <c r="G120" s="188">
        <v>31</v>
      </c>
      <c r="H120" s="188" t="s">
        <v>181</v>
      </c>
      <c r="I120" s="188" t="s">
        <v>517</v>
      </c>
      <c r="J120" s="182">
        <v>45530</v>
      </c>
      <c r="K120" s="181">
        <v>37500</v>
      </c>
      <c r="L120" s="188" t="s">
        <v>328</v>
      </c>
      <c r="M120" s="188" t="s">
        <v>86</v>
      </c>
      <c r="N120" s="188" t="s">
        <v>334</v>
      </c>
      <c r="O120" s="189" t="s">
        <v>39</v>
      </c>
      <c r="P120" s="18">
        <v>32087</v>
      </c>
      <c r="Q120" s="66" t="s">
        <v>316</v>
      </c>
      <c r="R120" s="17" t="s">
        <v>635</v>
      </c>
      <c r="S120" s="50">
        <v>3227209118</v>
      </c>
      <c r="T120" s="50" t="s">
        <v>640</v>
      </c>
      <c r="U120" s="52" t="str">
        <f>IF(O120=[1]CURSOS!$D$3,"DIPLOMADO EN ATENCION PRE-HOSPITALARIA",IF(O120=[1]CURSOS!$D$4,"ACOMPAÑAMIENTO Y MANEJO DEL DUELO",IF(O120=[1]CURSOS!$D$5,"ATENCION A VICTIMAS DE ATAQUE CON AGENTES QUIMICOS ",IF(O120=[1]CURSOS!$D$6,"PRIMEROS AUXILIOS ",IF(O120=[1]CURSOS!$D$7,"DIPLOMADO DE UNIDAD DE CUIDADOS INTENSIVOS (UCI)",IF(O120=[1]CURSOS!$D$8,"MODELO DE ATENCION PARA EVENTOS EMERGENTES EN SALUD MENTAL (CODIGO VERDE)",IF(O120=[1]CURSOS!$D$9,"HUMANIZACION EN EL SERVICIO DE LA SALUD Y BUENAS PRACTICAS EN PACIENTE ",IF(O120=[1]CURSOS!$D$10,"CLINICA DE HERIDAS ",IF(O120=[1]CURSOS!$D$11,"TOMA DE CITOLOGIA CERVICO VAGINAL ",IF(O120=[1]CURSOS!$D$12,"SOPORTE CARDIOVASCULAR AVANZADO (ACLS) ",IF(O120=[1]CURSOS!$D$13,"CAMILLERO ",IF(O120=[1]CURSOS!$D$14,"TOMA DE MUESTRAS Y LABORATORIO ",IF(O120=[1]CURSOS!$D$15,"SOPORTE VITAL BASICO (BLS)",IF(O120=[1]CURSOS!$D$16,"ATENCION A VICTIMAS DE VIOLENCIA SEXUAL ",IF(O120=[1]CURSOS!$D$17,"PROGRAMADO AMPLIADO DE INMUNIZACION (PAI - COVID 19)",IF(O120=[1]CURSOS!$D$18,"ATENCION INTEGRAL EN ENFERMEDADES PREVALENTES EN PRIMERA INFANCIA (AIEPI)",IF(O120=[1]CURSOS!$D$19,"ADMINISTRACION DE MEDICAMENTOS, INYECTOLOGIA  Y CANALIZACION ",IF(O120=[1]CURSOS!$D$20,"OPERADOR DE VEHICULOS DE EMERGENCIA (OVE)",IF(O120=[1]CURSOS!$D$21,"INSTITUCIONES AMIGAS DE LA MUJER Y LA INFANCIA (IAMI)",IF(O120=[1]CURSOS!$D$22,"CUIDADO DEL DONANTE DE ORGANOS",IF(O120=[1]CURSOS!$D$23,"ATENCION A VICTIMAS POR VIOLENCIA DE GENERO",IF(O120=[1]CURSOS!$D$24,"IGUALDAD DE GENERO EN LA SALUD",IF(O120=[1]CURSOS!$D$25,"BRIGADA DE EMERGENCIA",IF(O120=[1]CURSOS!$D$26,"MANEJO DEL DOLOR Y CUIDADOS PALIATIVOS",IF(O120=[1]CURSOS!$D$27,"TOMA DE MUESTRAS Y LABORATORIO POCT",IF(O120=[1]CURSOS!$D$28,"IMPLANTE SUBDERMICO DE DISPOSITIVO INTRAUTERINO",IF(O120=[1]CURSOS!$D$29,"SALUD MENTAL",IF(O120=[1]CURSOS!$D$30,"PRIMEROS AUXILIOS PSICOLOGICOS",IF(O120=[1]CURSOS!$D$31,"ATENCION A VICTIMAS POR CONFLICTO ARMADO",IF(O120=[1]CURSOS!$D$32,"MANIPULACION DE ALIMENTOS Y BPM",IF(O120=[1]CURSOS!$D$33,"ATENCION A PERSONAS CON DISCAPACIDAD",IF(O120=[1]CURSOS!$D$34,"CUIDADO INTEGRAL DEL PACIENTE ADULTO",IF(O120=[1]CURSOS!$D$35,"MANEJO DEFENSIVO",IF(O120=[1]CURSOS!$D$36,"SOPORTE CARDIOVASCULAR AVANZADO NEONATAL",IF(O120=[1]CURSOS!$D$37,"SEGURIDAD DEL PACIENTE")))))))))))))))))))))))))))))))))))</f>
        <v xml:space="preserve">CAMILLERO </v>
      </c>
      <c r="V120" s="52" t="str">
        <f t="shared" si="12"/>
        <v>Yoni Ivan Daza Ramos</v>
      </c>
      <c r="W120" s="52" t="str">
        <f t="shared" si="13"/>
        <v>Yoni Ivan Daza Ramos</v>
      </c>
      <c r="X120" s="52" t="str">
        <f t="shared" si="14"/>
        <v>Yoni Ivan Daza Ramos-1085687225-CAMILLERO</v>
      </c>
    </row>
    <row r="121" spans="1:24" s="55" customFormat="1" x14ac:dyDescent="0.2">
      <c r="A121" s="17">
        <v>120</v>
      </c>
      <c r="B121" s="80">
        <v>1085687225</v>
      </c>
      <c r="C121" s="50" t="s">
        <v>631</v>
      </c>
      <c r="D121" s="50" t="s">
        <v>637</v>
      </c>
      <c r="E121" s="50" t="s">
        <v>638</v>
      </c>
      <c r="F121" s="187" t="s">
        <v>639</v>
      </c>
      <c r="G121" s="188">
        <v>30</v>
      </c>
      <c r="H121" s="188" t="s">
        <v>181</v>
      </c>
      <c r="I121" s="188" t="s">
        <v>517</v>
      </c>
      <c r="J121" s="182">
        <v>45530</v>
      </c>
      <c r="K121" s="181">
        <v>37500</v>
      </c>
      <c r="L121" s="188" t="s">
        <v>328</v>
      </c>
      <c r="M121" s="188" t="s">
        <v>86</v>
      </c>
      <c r="N121" s="188" t="s">
        <v>334</v>
      </c>
      <c r="O121" s="189" t="s">
        <v>49</v>
      </c>
      <c r="P121" s="18">
        <v>32087</v>
      </c>
      <c r="Q121" s="66" t="s">
        <v>316</v>
      </c>
      <c r="R121" s="17" t="s">
        <v>635</v>
      </c>
      <c r="S121" s="50">
        <v>3227209118</v>
      </c>
      <c r="T121" s="50" t="s">
        <v>640</v>
      </c>
      <c r="U121" s="52" t="str">
        <f>IF(O121=[1]CURSOS!$D$3,"DIPLOMADO EN ATENCION PRE-HOSPITALARIA",IF(O121=[1]CURSOS!$D$4,"ACOMPAÑAMIENTO Y MANEJO DEL DUELO",IF(O121=[1]CURSOS!$D$5,"ATENCION A VICTIMAS DE ATAQUE CON AGENTES QUIMICOS ",IF(O121=[1]CURSOS!$D$6,"PRIMEROS AUXILIOS ",IF(O121=[1]CURSOS!$D$7,"DIPLOMADO DE UNIDAD DE CUIDADOS INTENSIVOS (UCI)",IF(O121=[1]CURSOS!$D$8,"MODELO DE ATENCION PARA EVENTOS EMERGENTES EN SALUD MENTAL (CODIGO VERDE)",IF(O121=[1]CURSOS!$D$9,"HUMANIZACION EN EL SERVICIO DE LA SALUD Y BUENAS PRACTICAS EN PACIENTE ",IF(O121=[1]CURSOS!$D$10,"CLINICA DE HERIDAS ",IF(O121=[1]CURSOS!$D$11,"TOMA DE CITOLOGIA CERVICO VAGINAL ",IF(O121=[1]CURSOS!$D$12,"SOPORTE CARDIOVASCULAR AVANZADO (ACLS) ",IF(O121=[1]CURSOS!$D$13,"CAMILLERO ",IF(O121=[1]CURSOS!$D$14,"TOMA DE MUESTRAS Y LABORATORIO ",IF(O121=[1]CURSOS!$D$15,"SOPORTE VITAL BASICO (BLS)",IF(O121=[1]CURSOS!$D$16,"ATENCION A VICTIMAS DE VIOLENCIA SEXUAL ",IF(O121=[1]CURSOS!$D$17,"PROGRAMADO AMPLIADO DE INMUNIZACION (PAI - COVID 19)",IF(O121=[1]CURSOS!$D$18,"ATENCION INTEGRAL EN ENFERMEDADES PREVALENTES EN PRIMERA INFANCIA (AIEPI)",IF(O121=[1]CURSOS!$D$19,"ADMINISTRACION DE MEDICAMENTOS, INYECTOLOGIA  Y CANALIZACION ",IF(O121=[1]CURSOS!$D$20,"OPERADOR DE VEHICULOS DE EMERGENCIA (OVE)",IF(O121=[1]CURSOS!$D$21,"INSTITUCIONES AMIGAS DE LA MUJER Y LA INFANCIA (IAMI)",IF(O121=[1]CURSOS!$D$22,"CUIDADO DEL DONANTE DE ORGANOS",IF(O121=[1]CURSOS!$D$23,"ATENCION A VICTIMAS POR VIOLENCIA DE GENERO",IF(O121=[1]CURSOS!$D$24,"IGUALDAD DE GENERO EN LA SALUD",IF(O121=[1]CURSOS!$D$25,"BRIGADA DE EMERGENCIA",IF(O121=[1]CURSOS!$D$26,"MANEJO DEL DOLOR Y CUIDADOS PALIATIVOS",IF(O121=[1]CURSOS!$D$27,"TOMA DE MUESTRAS Y LABORATORIO POCT",IF(O121=[1]CURSOS!$D$28,"IMPLANTE SUBDERMICO DE DISPOSITIVO INTRAUTERINO",IF(O121=[1]CURSOS!$D$29,"SALUD MENTAL",IF(O121=[1]CURSOS!$D$30,"PRIMEROS AUXILIOS PSICOLOGICOS",IF(O121=[1]CURSOS!$D$31,"ATENCION A VICTIMAS POR CONFLICTO ARMADO",IF(O121=[1]CURSOS!$D$32,"MANIPULACION DE ALIMENTOS Y BPM",IF(O121=[1]CURSOS!$D$33,"ATENCION A PERSONAS CON DISCAPACIDAD",IF(O121=[1]CURSOS!$D$34,"CUIDADO INTEGRAL DEL PACIENTE ADULTO",IF(O121=[1]CURSOS!$D$35,"MANEJO DEFENSIVO",IF(O121=[1]CURSOS!$D$36,"SOPORTE CARDIOVASCULAR AVANZADO NEONATAL",IF(O121=[1]CURSOS!$D$37,"SEGURIDAD DEL PACIENTE")))))))))))))))))))))))))))))))))))</f>
        <v>OPERADOR DE VEHICULOS DE EMERGENCIA (OVE)</v>
      </c>
      <c r="V121" s="52" t="str">
        <f t="shared" si="12"/>
        <v>Yoni Ivan Daza Ramos</v>
      </c>
      <c r="W121" s="52" t="str">
        <f t="shared" si="13"/>
        <v>Yoni Ivan Daza Ramos</v>
      </c>
      <c r="X121" s="52" t="str">
        <f t="shared" si="14"/>
        <v>Yoni Ivan Daza Ramos-1085687225-OVE</v>
      </c>
    </row>
    <row r="122" spans="1:24" s="55" customFormat="1" x14ac:dyDescent="0.2">
      <c r="A122" s="17">
        <v>121</v>
      </c>
      <c r="B122" s="80">
        <v>1085687225</v>
      </c>
      <c r="C122" s="50" t="s">
        <v>631</v>
      </c>
      <c r="D122" s="50" t="s">
        <v>637</v>
      </c>
      <c r="E122" s="50" t="s">
        <v>638</v>
      </c>
      <c r="F122" s="187" t="s">
        <v>639</v>
      </c>
      <c r="G122" s="188">
        <v>30</v>
      </c>
      <c r="H122" s="188" t="s">
        <v>181</v>
      </c>
      <c r="I122" s="188" t="s">
        <v>517</v>
      </c>
      <c r="J122" s="182">
        <v>45530</v>
      </c>
      <c r="K122" s="181">
        <v>37500</v>
      </c>
      <c r="L122" s="188" t="s">
        <v>328</v>
      </c>
      <c r="M122" s="188" t="s">
        <v>86</v>
      </c>
      <c r="N122" s="188" t="s">
        <v>334</v>
      </c>
      <c r="O122" s="189" t="s">
        <v>129</v>
      </c>
      <c r="P122" s="18">
        <v>32087</v>
      </c>
      <c r="Q122" s="66" t="s">
        <v>316</v>
      </c>
      <c r="R122" s="17" t="s">
        <v>635</v>
      </c>
      <c r="S122" s="50">
        <v>3227209118</v>
      </c>
      <c r="T122" s="50" t="s">
        <v>640</v>
      </c>
      <c r="U122" s="52" t="str">
        <f>IF(O122=[1]CURSOS!$D$3,"DIPLOMADO EN ATENCION PRE-HOSPITALARIA",IF(O122=[1]CURSOS!$D$4,"ACOMPAÑAMIENTO Y MANEJO DEL DUELO",IF(O122=[1]CURSOS!$D$5,"ATENCION A VICTIMAS DE ATAQUE CON AGENTES QUIMICOS ",IF(O122=[1]CURSOS!$D$6,"PRIMEROS AUXILIOS ",IF(O122=[1]CURSOS!$D$7,"DIPLOMADO DE UNIDAD DE CUIDADOS INTENSIVOS (UCI)",IF(O122=[1]CURSOS!$D$8,"MODELO DE ATENCION PARA EVENTOS EMERGENTES EN SALUD MENTAL (CODIGO VERDE)",IF(O122=[1]CURSOS!$D$9,"HUMANIZACION EN EL SERVICIO DE LA SALUD Y BUENAS PRACTICAS EN PACIENTE ",IF(O122=[1]CURSOS!$D$10,"CLINICA DE HERIDAS ",IF(O122=[1]CURSOS!$D$11,"TOMA DE CITOLOGIA CERVICO VAGINAL ",IF(O122=[1]CURSOS!$D$12,"SOPORTE CARDIOVASCULAR AVANZADO (ACLS) ",IF(O122=[1]CURSOS!$D$13,"CAMILLERO ",IF(O122=[1]CURSOS!$D$14,"TOMA DE MUESTRAS Y LABORATORIO ",IF(O122=[1]CURSOS!$D$15,"SOPORTE VITAL BASICO (BLS)",IF(O122=[1]CURSOS!$D$16,"ATENCION A VICTIMAS DE VIOLENCIA SEXUAL ",IF(O122=[1]CURSOS!$D$17,"PROGRAMADO AMPLIADO DE INMUNIZACION (PAI - COVID 19)",IF(O122=[1]CURSOS!$D$18,"ATENCION INTEGRAL EN ENFERMEDADES PREVALENTES EN PRIMERA INFANCIA (AIEPI)",IF(O122=[1]CURSOS!$D$19,"ADMINISTRACION DE MEDICAMENTOS, INYECTOLOGIA  Y CANALIZACION ",IF(O122=[1]CURSOS!$D$20,"OPERADOR DE VEHICULOS DE EMERGENCIA (OVE)",IF(O122=[1]CURSOS!$D$21,"INSTITUCIONES AMIGAS DE LA MUJER Y LA INFANCIA (IAMI)",IF(O122=[1]CURSOS!$D$22,"CUIDADO DEL DONANTE DE ORGANOS",IF(O122=[1]CURSOS!$D$23,"ATENCION A VICTIMAS POR VIOLENCIA DE GENERO",IF(O122=[1]CURSOS!$D$24,"IGUALDAD DE GENERO EN LA SALUD",IF(O122=[1]CURSOS!$D$25,"BRIGADA DE EMERGENCIA",IF(O122=[1]CURSOS!$D$26,"MANEJO DEL DOLOR Y CUIDADOS PALIATIVOS",IF(O122=[1]CURSOS!$D$27,"TOMA DE MUESTRAS Y LABORATORIO POCT",IF(O122=[1]CURSOS!$D$28,"IMPLANTE SUBDERMICO DE DISPOSITIVO INTRAUTERINO",IF(O122=[1]CURSOS!$D$29,"SALUD MENTAL",IF(O122=[1]CURSOS!$D$30,"PRIMEROS AUXILIOS PSICOLOGICOS",IF(O122=[1]CURSOS!$D$31,"ATENCION A VICTIMAS POR CONFLICTO ARMADO",IF(O122=[1]CURSOS!$D$32,"MANIPULACION DE ALIMENTOS Y BPM",IF(O122=[1]CURSOS!$D$33,"ATENCION A PERSONAS CON DISCAPACIDAD",IF(O122=[1]CURSOS!$D$34,"CUIDADO INTEGRAL DEL PACIENTE ADULTO",IF(O122=[1]CURSOS!$D$35,"MANEJO DEFENSIVO",IF(O122=[1]CURSOS!$D$36,"SOPORTE CARDIOVASCULAR AVANZADO NEONATAL",IF(O122=[1]CURSOS!$D$37,"SEGURIDAD DEL PACIENTE")))))))))))))))))))))))))))))))))))</f>
        <v>MANEJO DEFENSIVO</v>
      </c>
      <c r="V122" s="52" t="str">
        <f t="shared" si="12"/>
        <v>Yoni Ivan Daza Ramos</v>
      </c>
      <c r="W122" s="52" t="str">
        <f t="shared" si="13"/>
        <v>Yoni Ivan Daza Ramos</v>
      </c>
      <c r="X122" s="52" t="str">
        <f t="shared" si="14"/>
        <v>Yoni Ivan Daza Ramos-1085687225-MANEJO DEFENSIVO</v>
      </c>
    </row>
    <row r="123" spans="1:24" s="55" customFormat="1" x14ac:dyDescent="0.2">
      <c r="A123" s="17">
        <v>122</v>
      </c>
      <c r="B123" s="80">
        <v>87028992</v>
      </c>
      <c r="C123" s="50" t="s">
        <v>596</v>
      </c>
      <c r="D123" s="50" t="s">
        <v>360</v>
      </c>
      <c r="E123" s="50" t="s">
        <v>641</v>
      </c>
      <c r="F123" s="187"/>
      <c r="G123" s="188">
        <v>31</v>
      </c>
      <c r="H123" s="188" t="s">
        <v>181</v>
      </c>
      <c r="I123" s="188" t="s">
        <v>517</v>
      </c>
      <c r="J123" s="182">
        <v>45530</v>
      </c>
      <c r="K123" s="181">
        <v>37500</v>
      </c>
      <c r="L123" s="188" t="s">
        <v>328</v>
      </c>
      <c r="M123" s="188" t="s">
        <v>86</v>
      </c>
      <c r="N123" s="188" t="s">
        <v>334</v>
      </c>
      <c r="O123" s="189" t="s">
        <v>27</v>
      </c>
      <c r="P123" s="18">
        <v>28925</v>
      </c>
      <c r="Q123" s="66" t="s">
        <v>316</v>
      </c>
      <c r="R123" s="17" t="s">
        <v>635</v>
      </c>
      <c r="S123" s="50">
        <v>3154928603</v>
      </c>
      <c r="T123" s="50" t="s">
        <v>642</v>
      </c>
      <c r="U123" s="52" t="str">
        <f>IF(O123=[1]CURSOS!$D$3,"DIPLOMADO EN ATENCION PRE-HOSPITALARIA",IF(O123=[1]CURSOS!$D$4,"ACOMPAÑAMIENTO Y MANEJO DEL DUELO",IF(O123=[1]CURSOS!$D$5,"ATENCION A VICTIMAS DE ATAQUE CON AGENTES QUIMICOS ",IF(O123=[1]CURSOS!$D$6,"PRIMEROS AUXILIOS ",IF(O123=[1]CURSOS!$D$7,"DIPLOMADO DE UNIDAD DE CUIDADOS INTENSIVOS (UCI)",IF(O123=[1]CURSOS!$D$8,"MODELO DE ATENCION PARA EVENTOS EMERGENTES EN SALUD MENTAL (CODIGO VERDE)",IF(O123=[1]CURSOS!$D$9,"HUMANIZACION EN EL SERVICIO DE LA SALUD Y BUENAS PRACTICAS EN PACIENTE ",IF(O123=[1]CURSOS!$D$10,"CLINICA DE HERIDAS ",IF(O123=[1]CURSOS!$D$11,"TOMA DE CITOLOGIA CERVICO VAGINAL ",IF(O123=[1]CURSOS!$D$12,"SOPORTE CARDIOVASCULAR AVANZADO (ACLS) ",IF(O123=[1]CURSOS!$D$13,"CAMILLERO ",IF(O123=[1]CURSOS!$D$14,"TOMA DE MUESTRAS Y LABORATORIO ",IF(O123=[1]CURSOS!$D$15,"SOPORTE VITAL BASICO (BLS)",IF(O123=[1]CURSOS!$D$16,"ATENCION A VICTIMAS DE VIOLENCIA SEXUAL ",IF(O123=[1]CURSOS!$D$17,"PROGRAMADO AMPLIADO DE INMUNIZACION (PAI - COVID 19)",IF(O123=[1]CURSOS!$D$18,"ATENCION INTEGRAL EN ENFERMEDADES PREVALENTES EN PRIMERA INFANCIA (AIEPI)",IF(O123=[1]CURSOS!$D$19,"ADMINISTRACION DE MEDICAMENTOS, INYECTOLOGIA  Y CANALIZACION ",IF(O123=[1]CURSOS!$D$20,"OPERADOR DE VEHICULOS DE EMERGENCIA (OVE)",IF(O123=[1]CURSOS!$D$21,"INSTITUCIONES AMIGAS DE LA MUJER Y LA INFANCIA (IAMI)",IF(O123=[1]CURSOS!$D$22,"CUIDADO DEL DONANTE DE ORGANOS",IF(O123=[1]CURSOS!$D$23,"ATENCION A VICTIMAS POR VIOLENCIA DE GENERO",IF(O123=[1]CURSOS!$D$24,"IGUALDAD DE GENERO EN LA SALUD",IF(O123=[1]CURSOS!$D$25,"BRIGADA DE EMERGENCIA",IF(O123=[1]CURSOS!$D$26,"MANEJO DEL DOLOR Y CUIDADOS PALIATIVOS",IF(O123=[1]CURSOS!$D$27,"TOMA DE MUESTRAS Y LABORATORIO POCT",IF(O123=[1]CURSOS!$D$28,"IMPLANTE SUBDERMICO DE DISPOSITIVO INTRAUTERINO",IF(O123=[1]CURSOS!$D$29,"SALUD MENTAL",IF(O123=[1]CURSOS!$D$30,"PRIMEROS AUXILIOS PSICOLOGICOS",IF(O123=[1]CURSOS!$D$31,"ATENCION A VICTIMAS POR CONFLICTO ARMADO",IF(O123=[1]CURSOS!$D$32,"MANIPULACION DE ALIMENTOS Y BPM",IF(O123=[1]CURSOS!$D$33,"ATENCION A PERSONAS CON DISCAPACIDAD",IF(O123=[1]CURSOS!$D$34,"CUIDADO INTEGRAL DEL PACIENTE ADULTO",IF(O123=[1]CURSOS!$D$35,"MANEJO DEFENSIVO",IF(O123=[1]CURSOS!$D$36,"SOPORTE CARDIOVASCULAR AVANZADO NEONATAL",IF(O123=[1]CURSOS!$D$37,"SEGURIDAD DEL PACIENTE")))))))))))))))))))))))))))))))))))</f>
        <v xml:space="preserve">PRIMEROS AUXILIOS </v>
      </c>
      <c r="V123" s="52" t="str">
        <f t="shared" si="12"/>
        <v>Gilberto  Perez Muñoz</v>
      </c>
      <c r="W123" s="52" t="str">
        <f t="shared" si="13"/>
        <v>Gilberto  Perez Muñoz</v>
      </c>
      <c r="X123" s="52" t="str">
        <f t="shared" si="14"/>
        <v>Gilberto  Perez Muñoz-87028992-PRIMEROS AUXILIOS</v>
      </c>
    </row>
    <row r="124" spans="1:24" s="55" customFormat="1" x14ac:dyDescent="0.2">
      <c r="A124" s="17">
        <v>123</v>
      </c>
      <c r="B124" s="80">
        <v>87028992</v>
      </c>
      <c r="C124" s="50" t="s">
        <v>596</v>
      </c>
      <c r="D124" s="50" t="s">
        <v>360</v>
      </c>
      <c r="E124" s="50" t="s">
        <v>641</v>
      </c>
      <c r="F124" s="187"/>
      <c r="G124" s="188">
        <v>31</v>
      </c>
      <c r="H124" s="188" t="s">
        <v>181</v>
      </c>
      <c r="I124" s="188" t="s">
        <v>517</v>
      </c>
      <c r="J124" s="182">
        <v>45530</v>
      </c>
      <c r="K124" s="181">
        <v>37500</v>
      </c>
      <c r="L124" s="188" t="s">
        <v>328</v>
      </c>
      <c r="M124" s="188" t="s">
        <v>86</v>
      </c>
      <c r="N124" s="188" t="s">
        <v>334</v>
      </c>
      <c r="O124" s="189" t="s">
        <v>39</v>
      </c>
      <c r="P124" s="18">
        <v>28925</v>
      </c>
      <c r="Q124" s="66" t="s">
        <v>316</v>
      </c>
      <c r="R124" s="17" t="s">
        <v>635</v>
      </c>
      <c r="S124" s="50">
        <v>3154928603</v>
      </c>
      <c r="T124" s="50" t="s">
        <v>642</v>
      </c>
      <c r="U124" s="52" t="str">
        <f>IF(O124=[1]CURSOS!$D$3,"DIPLOMADO EN ATENCION PRE-HOSPITALARIA",IF(O124=[1]CURSOS!$D$4,"ACOMPAÑAMIENTO Y MANEJO DEL DUELO",IF(O124=[1]CURSOS!$D$5,"ATENCION A VICTIMAS DE ATAQUE CON AGENTES QUIMICOS ",IF(O124=[1]CURSOS!$D$6,"PRIMEROS AUXILIOS ",IF(O124=[1]CURSOS!$D$7,"DIPLOMADO DE UNIDAD DE CUIDADOS INTENSIVOS (UCI)",IF(O124=[1]CURSOS!$D$8,"MODELO DE ATENCION PARA EVENTOS EMERGENTES EN SALUD MENTAL (CODIGO VERDE)",IF(O124=[1]CURSOS!$D$9,"HUMANIZACION EN EL SERVICIO DE LA SALUD Y BUENAS PRACTICAS EN PACIENTE ",IF(O124=[1]CURSOS!$D$10,"CLINICA DE HERIDAS ",IF(O124=[1]CURSOS!$D$11,"TOMA DE CITOLOGIA CERVICO VAGINAL ",IF(O124=[1]CURSOS!$D$12,"SOPORTE CARDIOVASCULAR AVANZADO (ACLS) ",IF(O124=[1]CURSOS!$D$13,"CAMILLERO ",IF(O124=[1]CURSOS!$D$14,"TOMA DE MUESTRAS Y LABORATORIO ",IF(O124=[1]CURSOS!$D$15,"SOPORTE VITAL BASICO (BLS)",IF(O124=[1]CURSOS!$D$16,"ATENCION A VICTIMAS DE VIOLENCIA SEXUAL ",IF(O124=[1]CURSOS!$D$17,"PROGRAMADO AMPLIADO DE INMUNIZACION (PAI - COVID 19)",IF(O124=[1]CURSOS!$D$18,"ATENCION INTEGRAL EN ENFERMEDADES PREVALENTES EN PRIMERA INFANCIA (AIEPI)",IF(O124=[1]CURSOS!$D$19,"ADMINISTRACION DE MEDICAMENTOS, INYECTOLOGIA  Y CANALIZACION ",IF(O124=[1]CURSOS!$D$20,"OPERADOR DE VEHICULOS DE EMERGENCIA (OVE)",IF(O124=[1]CURSOS!$D$21,"INSTITUCIONES AMIGAS DE LA MUJER Y LA INFANCIA (IAMI)",IF(O124=[1]CURSOS!$D$22,"CUIDADO DEL DONANTE DE ORGANOS",IF(O124=[1]CURSOS!$D$23,"ATENCION A VICTIMAS POR VIOLENCIA DE GENERO",IF(O124=[1]CURSOS!$D$24,"IGUALDAD DE GENERO EN LA SALUD",IF(O124=[1]CURSOS!$D$25,"BRIGADA DE EMERGENCIA",IF(O124=[1]CURSOS!$D$26,"MANEJO DEL DOLOR Y CUIDADOS PALIATIVOS",IF(O124=[1]CURSOS!$D$27,"TOMA DE MUESTRAS Y LABORATORIO POCT",IF(O124=[1]CURSOS!$D$28,"IMPLANTE SUBDERMICO DE DISPOSITIVO INTRAUTERINO",IF(O124=[1]CURSOS!$D$29,"SALUD MENTAL",IF(O124=[1]CURSOS!$D$30,"PRIMEROS AUXILIOS PSICOLOGICOS",IF(O124=[1]CURSOS!$D$31,"ATENCION A VICTIMAS POR CONFLICTO ARMADO",IF(O124=[1]CURSOS!$D$32,"MANIPULACION DE ALIMENTOS Y BPM",IF(O124=[1]CURSOS!$D$33,"ATENCION A PERSONAS CON DISCAPACIDAD",IF(O124=[1]CURSOS!$D$34,"CUIDADO INTEGRAL DEL PACIENTE ADULTO",IF(O124=[1]CURSOS!$D$35,"MANEJO DEFENSIVO",IF(O124=[1]CURSOS!$D$36,"SOPORTE CARDIOVASCULAR AVANZADO NEONATAL",IF(O124=[1]CURSOS!$D$37,"SEGURIDAD DEL PACIENTE")))))))))))))))))))))))))))))))))))</f>
        <v xml:space="preserve">CAMILLERO </v>
      </c>
      <c r="V124" s="52" t="str">
        <f t="shared" si="12"/>
        <v>Gilberto  Perez Muñoz</v>
      </c>
      <c r="W124" s="52" t="str">
        <f t="shared" si="13"/>
        <v>Gilberto  Perez Muñoz</v>
      </c>
      <c r="X124" s="52" t="str">
        <f t="shared" si="14"/>
        <v>Gilberto  Perez Muñoz-87028992-CAMILLERO</v>
      </c>
    </row>
    <row r="125" spans="1:24" s="55" customFormat="1" x14ac:dyDescent="0.2">
      <c r="A125" s="17">
        <v>124</v>
      </c>
      <c r="B125" s="80">
        <v>87028992</v>
      </c>
      <c r="C125" s="50" t="s">
        <v>596</v>
      </c>
      <c r="D125" s="50" t="s">
        <v>360</v>
      </c>
      <c r="E125" s="50" t="s">
        <v>641</v>
      </c>
      <c r="F125" s="187"/>
      <c r="G125" s="188">
        <v>30</v>
      </c>
      <c r="H125" s="188" t="s">
        <v>181</v>
      </c>
      <c r="I125" s="188" t="s">
        <v>517</v>
      </c>
      <c r="J125" s="182">
        <v>45530</v>
      </c>
      <c r="K125" s="181">
        <v>37500</v>
      </c>
      <c r="L125" s="188" t="s">
        <v>328</v>
      </c>
      <c r="M125" s="188" t="s">
        <v>86</v>
      </c>
      <c r="N125" s="188" t="s">
        <v>334</v>
      </c>
      <c r="O125" s="189" t="s">
        <v>49</v>
      </c>
      <c r="P125" s="18">
        <v>28925</v>
      </c>
      <c r="Q125" s="66" t="s">
        <v>316</v>
      </c>
      <c r="R125" s="17" t="s">
        <v>635</v>
      </c>
      <c r="S125" s="50">
        <v>3154928603</v>
      </c>
      <c r="T125" s="50" t="s">
        <v>642</v>
      </c>
      <c r="U125" s="52" t="str">
        <f>IF(O125=[1]CURSOS!$D$3,"DIPLOMADO EN ATENCION PRE-HOSPITALARIA",IF(O125=[1]CURSOS!$D$4,"ACOMPAÑAMIENTO Y MANEJO DEL DUELO",IF(O125=[1]CURSOS!$D$5,"ATENCION A VICTIMAS DE ATAQUE CON AGENTES QUIMICOS ",IF(O125=[1]CURSOS!$D$6,"PRIMEROS AUXILIOS ",IF(O125=[1]CURSOS!$D$7,"DIPLOMADO DE UNIDAD DE CUIDADOS INTENSIVOS (UCI)",IF(O125=[1]CURSOS!$D$8,"MODELO DE ATENCION PARA EVENTOS EMERGENTES EN SALUD MENTAL (CODIGO VERDE)",IF(O125=[1]CURSOS!$D$9,"HUMANIZACION EN EL SERVICIO DE LA SALUD Y BUENAS PRACTICAS EN PACIENTE ",IF(O125=[1]CURSOS!$D$10,"CLINICA DE HERIDAS ",IF(O125=[1]CURSOS!$D$11,"TOMA DE CITOLOGIA CERVICO VAGINAL ",IF(O125=[1]CURSOS!$D$12,"SOPORTE CARDIOVASCULAR AVANZADO (ACLS) ",IF(O125=[1]CURSOS!$D$13,"CAMILLERO ",IF(O125=[1]CURSOS!$D$14,"TOMA DE MUESTRAS Y LABORATORIO ",IF(O125=[1]CURSOS!$D$15,"SOPORTE VITAL BASICO (BLS)",IF(O125=[1]CURSOS!$D$16,"ATENCION A VICTIMAS DE VIOLENCIA SEXUAL ",IF(O125=[1]CURSOS!$D$17,"PROGRAMADO AMPLIADO DE INMUNIZACION (PAI - COVID 19)",IF(O125=[1]CURSOS!$D$18,"ATENCION INTEGRAL EN ENFERMEDADES PREVALENTES EN PRIMERA INFANCIA (AIEPI)",IF(O125=[1]CURSOS!$D$19,"ADMINISTRACION DE MEDICAMENTOS, INYECTOLOGIA  Y CANALIZACION ",IF(O125=[1]CURSOS!$D$20,"OPERADOR DE VEHICULOS DE EMERGENCIA (OVE)",IF(O125=[1]CURSOS!$D$21,"INSTITUCIONES AMIGAS DE LA MUJER Y LA INFANCIA (IAMI)",IF(O125=[1]CURSOS!$D$22,"CUIDADO DEL DONANTE DE ORGANOS",IF(O125=[1]CURSOS!$D$23,"ATENCION A VICTIMAS POR VIOLENCIA DE GENERO",IF(O125=[1]CURSOS!$D$24,"IGUALDAD DE GENERO EN LA SALUD",IF(O125=[1]CURSOS!$D$25,"BRIGADA DE EMERGENCIA",IF(O125=[1]CURSOS!$D$26,"MANEJO DEL DOLOR Y CUIDADOS PALIATIVOS",IF(O125=[1]CURSOS!$D$27,"TOMA DE MUESTRAS Y LABORATORIO POCT",IF(O125=[1]CURSOS!$D$28,"IMPLANTE SUBDERMICO DE DISPOSITIVO INTRAUTERINO",IF(O125=[1]CURSOS!$D$29,"SALUD MENTAL",IF(O125=[1]CURSOS!$D$30,"PRIMEROS AUXILIOS PSICOLOGICOS",IF(O125=[1]CURSOS!$D$31,"ATENCION A VICTIMAS POR CONFLICTO ARMADO",IF(O125=[1]CURSOS!$D$32,"MANIPULACION DE ALIMENTOS Y BPM",IF(O125=[1]CURSOS!$D$33,"ATENCION A PERSONAS CON DISCAPACIDAD",IF(O125=[1]CURSOS!$D$34,"CUIDADO INTEGRAL DEL PACIENTE ADULTO",IF(O125=[1]CURSOS!$D$35,"MANEJO DEFENSIVO",IF(O125=[1]CURSOS!$D$36,"SOPORTE CARDIOVASCULAR AVANZADO NEONATAL",IF(O125=[1]CURSOS!$D$37,"SEGURIDAD DEL PACIENTE")))))))))))))))))))))))))))))))))))</f>
        <v>OPERADOR DE VEHICULOS DE EMERGENCIA (OVE)</v>
      </c>
      <c r="V125" s="52" t="str">
        <f t="shared" si="12"/>
        <v>Gilberto  Perez Muñoz</v>
      </c>
      <c r="W125" s="52" t="str">
        <f t="shared" si="13"/>
        <v>Gilberto  Perez Muñoz</v>
      </c>
      <c r="X125" s="52" t="str">
        <f t="shared" si="14"/>
        <v>Gilberto  Perez Muñoz-87028992-OVE</v>
      </c>
    </row>
    <row r="126" spans="1:24" s="55" customFormat="1" x14ac:dyDescent="0.2">
      <c r="A126" s="17">
        <v>125</v>
      </c>
      <c r="B126" s="80">
        <v>87028992</v>
      </c>
      <c r="C126" s="50" t="s">
        <v>596</v>
      </c>
      <c r="D126" s="50" t="s">
        <v>360</v>
      </c>
      <c r="E126" s="50" t="s">
        <v>641</v>
      </c>
      <c r="F126" s="187"/>
      <c r="G126" s="188">
        <v>30</v>
      </c>
      <c r="H126" s="188" t="s">
        <v>181</v>
      </c>
      <c r="I126" s="188" t="s">
        <v>517</v>
      </c>
      <c r="J126" s="182">
        <v>45530</v>
      </c>
      <c r="K126" s="181">
        <v>37500</v>
      </c>
      <c r="L126" s="188" t="s">
        <v>328</v>
      </c>
      <c r="M126" s="188" t="s">
        <v>86</v>
      </c>
      <c r="N126" s="188" t="s">
        <v>334</v>
      </c>
      <c r="O126" s="189" t="s">
        <v>129</v>
      </c>
      <c r="P126" s="18">
        <v>28925</v>
      </c>
      <c r="Q126" s="66" t="s">
        <v>316</v>
      </c>
      <c r="R126" s="17" t="s">
        <v>635</v>
      </c>
      <c r="S126" s="50">
        <v>3154928603</v>
      </c>
      <c r="T126" s="50" t="s">
        <v>642</v>
      </c>
      <c r="U126" s="52" t="str">
        <f>IF(O126=[1]CURSOS!$D$3,"DIPLOMADO EN ATENCION PRE-HOSPITALARIA",IF(O126=[1]CURSOS!$D$4,"ACOMPAÑAMIENTO Y MANEJO DEL DUELO",IF(O126=[1]CURSOS!$D$5,"ATENCION A VICTIMAS DE ATAQUE CON AGENTES QUIMICOS ",IF(O126=[1]CURSOS!$D$6,"PRIMEROS AUXILIOS ",IF(O126=[1]CURSOS!$D$7,"DIPLOMADO DE UNIDAD DE CUIDADOS INTENSIVOS (UCI)",IF(O126=[1]CURSOS!$D$8,"MODELO DE ATENCION PARA EVENTOS EMERGENTES EN SALUD MENTAL (CODIGO VERDE)",IF(O126=[1]CURSOS!$D$9,"HUMANIZACION EN EL SERVICIO DE LA SALUD Y BUENAS PRACTICAS EN PACIENTE ",IF(O126=[1]CURSOS!$D$10,"CLINICA DE HERIDAS ",IF(O126=[1]CURSOS!$D$11,"TOMA DE CITOLOGIA CERVICO VAGINAL ",IF(O126=[1]CURSOS!$D$12,"SOPORTE CARDIOVASCULAR AVANZADO (ACLS) ",IF(O126=[1]CURSOS!$D$13,"CAMILLERO ",IF(O126=[1]CURSOS!$D$14,"TOMA DE MUESTRAS Y LABORATORIO ",IF(O126=[1]CURSOS!$D$15,"SOPORTE VITAL BASICO (BLS)",IF(O126=[1]CURSOS!$D$16,"ATENCION A VICTIMAS DE VIOLENCIA SEXUAL ",IF(O126=[1]CURSOS!$D$17,"PROGRAMADO AMPLIADO DE INMUNIZACION (PAI - COVID 19)",IF(O126=[1]CURSOS!$D$18,"ATENCION INTEGRAL EN ENFERMEDADES PREVALENTES EN PRIMERA INFANCIA (AIEPI)",IF(O126=[1]CURSOS!$D$19,"ADMINISTRACION DE MEDICAMENTOS, INYECTOLOGIA  Y CANALIZACION ",IF(O126=[1]CURSOS!$D$20,"OPERADOR DE VEHICULOS DE EMERGENCIA (OVE)",IF(O126=[1]CURSOS!$D$21,"INSTITUCIONES AMIGAS DE LA MUJER Y LA INFANCIA (IAMI)",IF(O126=[1]CURSOS!$D$22,"CUIDADO DEL DONANTE DE ORGANOS",IF(O126=[1]CURSOS!$D$23,"ATENCION A VICTIMAS POR VIOLENCIA DE GENERO",IF(O126=[1]CURSOS!$D$24,"IGUALDAD DE GENERO EN LA SALUD",IF(O126=[1]CURSOS!$D$25,"BRIGADA DE EMERGENCIA",IF(O126=[1]CURSOS!$D$26,"MANEJO DEL DOLOR Y CUIDADOS PALIATIVOS",IF(O126=[1]CURSOS!$D$27,"TOMA DE MUESTRAS Y LABORATORIO POCT",IF(O126=[1]CURSOS!$D$28,"IMPLANTE SUBDERMICO DE DISPOSITIVO INTRAUTERINO",IF(O126=[1]CURSOS!$D$29,"SALUD MENTAL",IF(O126=[1]CURSOS!$D$30,"PRIMEROS AUXILIOS PSICOLOGICOS",IF(O126=[1]CURSOS!$D$31,"ATENCION A VICTIMAS POR CONFLICTO ARMADO",IF(O126=[1]CURSOS!$D$32,"MANIPULACION DE ALIMENTOS Y BPM",IF(O126=[1]CURSOS!$D$33,"ATENCION A PERSONAS CON DISCAPACIDAD",IF(O126=[1]CURSOS!$D$34,"CUIDADO INTEGRAL DEL PACIENTE ADULTO",IF(O126=[1]CURSOS!$D$35,"MANEJO DEFENSIVO",IF(O126=[1]CURSOS!$D$36,"SOPORTE CARDIOVASCULAR AVANZADO NEONATAL",IF(O126=[1]CURSOS!$D$37,"SEGURIDAD DEL PACIENTE")))))))))))))))))))))))))))))))))))</f>
        <v>MANEJO DEFENSIVO</v>
      </c>
      <c r="V126" s="52" t="str">
        <f t="shared" si="12"/>
        <v>Gilberto  Perez Muñoz</v>
      </c>
      <c r="W126" s="52" t="str">
        <f t="shared" si="13"/>
        <v>Gilberto  Perez Muñoz</v>
      </c>
      <c r="X126" s="52" t="str">
        <f t="shared" si="14"/>
        <v>Gilberto  Perez Muñoz-87028992-MANEJO DEFENSIVO</v>
      </c>
    </row>
    <row r="127" spans="1:24" s="55" customFormat="1" x14ac:dyDescent="0.2">
      <c r="A127" s="17">
        <v>126</v>
      </c>
      <c r="B127" s="80">
        <v>87029413</v>
      </c>
      <c r="C127" s="50" t="s">
        <v>631</v>
      </c>
      <c r="D127" s="50" t="s">
        <v>637</v>
      </c>
      <c r="E127" s="50" t="s">
        <v>643</v>
      </c>
      <c r="F127" s="187" t="s">
        <v>644</v>
      </c>
      <c r="G127" s="188">
        <v>31</v>
      </c>
      <c r="H127" s="188" t="s">
        <v>181</v>
      </c>
      <c r="I127" s="188" t="s">
        <v>517</v>
      </c>
      <c r="J127" s="182">
        <v>45530</v>
      </c>
      <c r="K127" s="181">
        <v>37500</v>
      </c>
      <c r="L127" s="188" t="s">
        <v>328</v>
      </c>
      <c r="M127" s="188" t="s">
        <v>86</v>
      </c>
      <c r="N127" s="188" t="s">
        <v>334</v>
      </c>
      <c r="O127" s="189" t="s">
        <v>27</v>
      </c>
      <c r="P127" s="18">
        <v>29986</v>
      </c>
      <c r="Q127" s="66" t="s">
        <v>316</v>
      </c>
      <c r="R127" s="17" t="s">
        <v>635</v>
      </c>
      <c r="S127" s="50">
        <v>3148067533</v>
      </c>
      <c r="T127" s="50" t="s">
        <v>645</v>
      </c>
      <c r="U127" s="52" t="str">
        <f>IF(O127=[1]CURSOS!$D$3,"DIPLOMADO EN ATENCION PRE-HOSPITALARIA",IF(O127=[1]CURSOS!$D$4,"ACOMPAÑAMIENTO Y MANEJO DEL DUELO",IF(O127=[1]CURSOS!$D$5,"ATENCION A VICTIMAS DE ATAQUE CON AGENTES QUIMICOS ",IF(O127=[1]CURSOS!$D$6,"PRIMEROS AUXILIOS ",IF(O127=[1]CURSOS!$D$7,"DIPLOMADO DE UNIDAD DE CUIDADOS INTENSIVOS (UCI)",IF(O127=[1]CURSOS!$D$8,"MODELO DE ATENCION PARA EVENTOS EMERGENTES EN SALUD MENTAL (CODIGO VERDE)",IF(O127=[1]CURSOS!$D$9,"HUMANIZACION EN EL SERVICIO DE LA SALUD Y BUENAS PRACTICAS EN PACIENTE ",IF(O127=[1]CURSOS!$D$10,"CLINICA DE HERIDAS ",IF(O127=[1]CURSOS!$D$11,"TOMA DE CITOLOGIA CERVICO VAGINAL ",IF(O127=[1]CURSOS!$D$12,"SOPORTE CARDIOVASCULAR AVANZADO (ACLS) ",IF(O127=[1]CURSOS!$D$13,"CAMILLERO ",IF(O127=[1]CURSOS!$D$14,"TOMA DE MUESTRAS Y LABORATORIO ",IF(O127=[1]CURSOS!$D$15,"SOPORTE VITAL BASICO (BLS)",IF(O127=[1]CURSOS!$D$16,"ATENCION A VICTIMAS DE VIOLENCIA SEXUAL ",IF(O127=[1]CURSOS!$D$17,"PROGRAMADO AMPLIADO DE INMUNIZACION (PAI - COVID 19)",IF(O127=[1]CURSOS!$D$18,"ATENCION INTEGRAL EN ENFERMEDADES PREVALENTES EN PRIMERA INFANCIA (AIEPI)",IF(O127=[1]CURSOS!$D$19,"ADMINISTRACION DE MEDICAMENTOS, INYECTOLOGIA  Y CANALIZACION ",IF(O127=[1]CURSOS!$D$20,"OPERADOR DE VEHICULOS DE EMERGENCIA (OVE)",IF(O127=[1]CURSOS!$D$21,"INSTITUCIONES AMIGAS DE LA MUJER Y LA INFANCIA (IAMI)",IF(O127=[1]CURSOS!$D$22,"CUIDADO DEL DONANTE DE ORGANOS",IF(O127=[1]CURSOS!$D$23,"ATENCION A VICTIMAS POR VIOLENCIA DE GENERO",IF(O127=[1]CURSOS!$D$24,"IGUALDAD DE GENERO EN LA SALUD",IF(O127=[1]CURSOS!$D$25,"BRIGADA DE EMERGENCIA",IF(O127=[1]CURSOS!$D$26,"MANEJO DEL DOLOR Y CUIDADOS PALIATIVOS",IF(O127=[1]CURSOS!$D$27,"TOMA DE MUESTRAS Y LABORATORIO POCT",IF(O127=[1]CURSOS!$D$28,"IMPLANTE SUBDERMICO DE DISPOSITIVO INTRAUTERINO",IF(O127=[1]CURSOS!$D$29,"SALUD MENTAL",IF(O127=[1]CURSOS!$D$30,"PRIMEROS AUXILIOS PSICOLOGICOS",IF(O127=[1]CURSOS!$D$31,"ATENCION A VICTIMAS POR CONFLICTO ARMADO",IF(O127=[1]CURSOS!$D$32,"MANIPULACION DE ALIMENTOS Y BPM",IF(O127=[1]CURSOS!$D$33,"ATENCION A PERSONAS CON DISCAPACIDAD",IF(O127=[1]CURSOS!$D$34,"CUIDADO INTEGRAL DEL PACIENTE ADULTO",IF(O127=[1]CURSOS!$D$35,"MANEJO DEFENSIVO",IF(O127=[1]CURSOS!$D$36,"SOPORTE CARDIOVASCULAR AVANZADO NEONATAL",IF(O127=[1]CURSOS!$D$37,"SEGURIDAD DEL PACIENTE")))))))))))))))))))))))))))))))))))</f>
        <v xml:space="preserve">PRIMEROS AUXILIOS </v>
      </c>
      <c r="V127" s="52" t="str">
        <f t="shared" si="12"/>
        <v>Yunior De Jesús Daza Ramos</v>
      </c>
      <c r="W127" s="52" t="str">
        <f t="shared" si="13"/>
        <v>Yunior De Jesús Daza Ramos</v>
      </c>
      <c r="X127" s="52" t="str">
        <f t="shared" si="14"/>
        <v>Yunior De Jesús Daza Ramos-87029413-PRIMEROS AUXILIOS</v>
      </c>
    </row>
    <row r="128" spans="1:24" s="55" customFormat="1" x14ac:dyDescent="0.2">
      <c r="A128" s="17">
        <v>127</v>
      </c>
      <c r="B128" s="80">
        <v>87029413</v>
      </c>
      <c r="C128" s="50" t="s">
        <v>631</v>
      </c>
      <c r="D128" s="50" t="s">
        <v>637</v>
      </c>
      <c r="E128" s="50" t="s">
        <v>643</v>
      </c>
      <c r="F128" s="187" t="s">
        <v>644</v>
      </c>
      <c r="G128" s="188">
        <v>31</v>
      </c>
      <c r="H128" s="188" t="s">
        <v>181</v>
      </c>
      <c r="I128" s="188" t="s">
        <v>517</v>
      </c>
      <c r="J128" s="182">
        <v>45530</v>
      </c>
      <c r="K128" s="181">
        <v>37500</v>
      </c>
      <c r="L128" s="188" t="s">
        <v>328</v>
      </c>
      <c r="M128" s="188" t="s">
        <v>86</v>
      </c>
      <c r="N128" s="188" t="s">
        <v>334</v>
      </c>
      <c r="O128" s="189" t="s">
        <v>39</v>
      </c>
      <c r="P128" s="18">
        <v>29986</v>
      </c>
      <c r="Q128" s="66" t="s">
        <v>316</v>
      </c>
      <c r="R128" s="17" t="s">
        <v>635</v>
      </c>
      <c r="S128" s="50">
        <v>3148067533</v>
      </c>
      <c r="T128" s="50" t="s">
        <v>645</v>
      </c>
      <c r="U128" s="52" t="str">
        <f>IF(O128=[1]CURSOS!$D$3,"DIPLOMADO EN ATENCION PRE-HOSPITALARIA",IF(O128=[1]CURSOS!$D$4,"ACOMPAÑAMIENTO Y MANEJO DEL DUELO",IF(O128=[1]CURSOS!$D$5,"ATENCION A VICTIMAS DE ATAQUE CON AGENTES QUIMICOS ",IF(O128=[1]CURSOS!$D$6,"PRIMEROS AUXILIOS ",IF(O128=[1]CURSOS!$D$7,"DIPLOMADO DE UNIDAD DE CUIDADOS INTENSIVOS (UCI)",IF(O128=[1]CURSOS!$D$8,"MODELO DE ATENCION PARA EVENTOS EMERGENTES EN SALUD MENTAL (CODIGO VERDE)",IF(O128=[1]CURSOS!$D$9,"HUMANIZACION EN EL SERVICIO DE LA SALUD Y BUENAS PRACTICAS EN PACIENTE ",IF(O128=[1]CURSOS!$D$10,"CLINICA DE HERIDAS ",IF(O128=[1]CURSOS!$D$11,"TOMA DE CITOLOGIA CERVICO VAGINAL ",IF(O128=[1]CURSOS!$D$12,"SOPORTE CARDIOVASCULAR AVANZADO (ACLS) ",IF(O128=[1]CURSOS!$D$13,"CAMILLERO ",IF(O128=[1]CURSOS!$D$14,"TOMA DE MUESTRAS Y LABORATORIO ",IF(O128=[1]CURSOS!$D$15,"SOPORTE VITAL BASICO (BLS)",IF(O128=[1]CURSOS!$D$16,"ATENCION A VICTIMAS DE VIOLENCIA SEXUAL ",IF(O128=[1]CURSOS!$D$17,"PROGRAMADO AMPLIADO DE INMUNIZACION (PAI - COVID 19)",IF(O128=[1]CURSOS!$D$18,"ATENCION INTEGRAL EN ENFERMEDADES PREVALENTES EN PRIMERA INFANCIA (AIEPI)",IF(O128=[1]CURSOS!$D$19,"ADMINISTRACION DE MEDICAMENTOS, INYECTOLOGIA  Y CANALIZACION ",IF(O128=[1]CURSOS!$D$20,"OPERADOR DE VEHICULOS DE EMERGENCIA (OVE)",IF(O128=[1]CURSOS!$D$21,"INSTITUCIONES AMIGAS DE LA MUJER Y LA INFANCIA (IAMI)",IF(O128=[1]CURSOS!$D$22,"CUIDADO DEL DONANTE DE ORGANOS",IF(O128=[1]CURSOS!$D$23,"ATENCION A VICTIMAS POR VIOLENCIA DE GENERO",IF(O128=[1]CURSOS!$D$24,"IGUALDAD DE GENERO EN LA SALUD",IF(O128=[1]CURSOS!$D$25,"BRIGADA DE EMERGENCIA",IF(O128=[1]CURSOS!$D$26,"MANEJO DEL DOLOR Y CUIDADOS PALIATIVOS",IF(O128=[1]CURSOS!$D$27,"TOMA DE MUESTRAS Y LABORATORIO POCT",IF(O128=[1]CURSOS!$D$28,"IMPLANTE SUBDERMICO DE DISPOSITIVO INTRAUTERINO",IF(O128=[1]CURSOS!$D$29,"SALUD MENTAL",IF(O128=[1]CURSOS!$D$30,"PRIMEROS AUXILIOS PSICOLOGICOS",IF(O128=[1]CURSOS!$D$31,"ATENCION A VICTIMAS POR CONFLICTO ARMADO",IF(O128=[1]CURSOS!$D$32,"MANIPULACION DE ALIMENTOS Y BPM",IF(O128=[1]CURSOS!$D$33,"ATENCION A PERSONAS CON DISCAPACIDAD",IF(O128=[1]CURSOS!$D$34,"CUIDADO INTEGRAL DEL PACIENTE ADULTO",IF(O128=[1]CURSOS!$D$35,"MANEJO DEFENSIVO",IF(O128=[1]CURSOS!$D$36,"SOPORTE CARDIOVASCULAR AVANZADO NEONATAL",IF(O128=[1]CURSOS!$D$37,"SEGURIDAD DEL PACIENTE")))))))))))))))))))))))))))))))))))</f>
        <v xml:space="preserve">CAMILLERO </v>
      </c>
      <c r="V128" s="52" t="str">
        <f t="shared" si="12"/>
        <v>Yunior De Jesús Daza Ramos</v>
      </c>
      <c r="W128" s="52" t="str">
        <f t="shared" si="13"/>
        <v>Yunior De Jesús Daza Ramos</v>
      </c>
      <c r="X128" s="52" t="str">
        <f t="shared" si="14"/>
        <v>Yunior De Jesús Daza Ramos-87029413-CAMILLERO</v>
      </c>
    </row>
    <row r="129" spans="1:25" s="55" customFormat="1" x14ac:dyDescent="0.2">
      <c r="A129" s="17">
        <v>128</v>
      </c>
      <c r="B129" s="80">
        <v>87029413</v>
      </c>
      <c r="C129" s="50" t="s">
        <v>631</v>
      </c>
      <c r="D129" s="50" t="s">
        <v>637</v>
      </c>
      <c r="E129" s="50" t="s">
        <v>643</v>
      </c>
      <c r="F129" s="187" t="s">
        <v>644</v>
      </c>
      <c r="G129" s="188">
        <v>30</v>
      </c>
      <c r="H129" s="188" t="s">
        <v>181</v>
      </c>
      <c r="I129" s="188" t="s">
        <v>517</v>
      </c>
      <c r="J129" s="182">
        <v>45530</v>
      </c>
      <c r="K129" s="181">
        <v>37500</v>
      </c>
      <c r="L129" s="188" t="s">
        <v>328</v>
      </c>
      <c r="M129" s="188" t="s">
        <v>86</v>
      </c>
      <c r="N129" s="188" t="s">
        <v>334</v>
      </c>
      <c r="O129" s="189" t="s">
        <v>49</v>
      </c>
      <c r="P129" s="18">
        <v>29986</v>
      </c>
      <c r="Q129" s="66" t="s">
        <v>316</v>
      </c>
      <c r="R129" s="17" t="s">
        <v>635</v>
      </c>
      <c r="S129" s="50">
        <v>3148067533</v>
      </c>
      <c r="T129" s="50" t="s">
        <v>645</v>
      </c>
      <c r="U129" s="52" t="str">
        <f>IF(O129=[1]CURSOS!$D$3,"DIPLOMADO EN ATENCION PRE-HOSPITALARIA",IF(O129=[1]CURSOS!$D$4,"ACOMPAÑAMIENTO Y MANEJO DEL DUELO",IF(O129=[1]CURSOS!$D$5,"ATENCION A VICTIMAS DE ATAQUE CON AGENTES QUIMICOS ",IF(O129=[1]CURSOS!$D$6,"PRIMEROS AUXILIOS ",IF(O129=[1]CURSOS!$D$7,"DIPLOMADO DE UNIDAD DE CUIDADOS INTENSIVOS (UCI)",IF(O129=[1]CURSOS!$D$8,"MODELO DE ATENCION PARA EVENTOS EMERGENTES EN SALUD MENTAL (CODIGO VERDE)",IF(O129=[1]CURSOS!$D$9,"HUMANIZACION EN EL SERVICIO DE LA SALUD Y BUENAS PRACTICAS EN PACIENTE ",IF(O129=[1]CURSOS!$D$10,"CLINICA DE HERIDAS ",IF(O129=[1]CURSOS!$D$11,"TOMA DE CITOLOGIA CERVICO VAGINAL ",IF(O129=[1]CURSOS!$D$12,"SOPORTE CARDIOVASCULAR AVANZADO (ACLS) ",IF(O129=[1]CURSOS!$D$13,"CAMILLERO ",IF(O129=[1]CURSOS!$D$14,"TOMA DE MUESTRAS Y LABORATORIO ",IF(O129=[1]CURSOS!$D$15,"SOPORTE VITAL BASICO (BLS)",IF(O129=[1]CURSOS!$D$16,"ATENCION A VICTIMAS DE VIOLENCIA SEXUAL ",IF(O129=[1]CURSOS!$D$17,"PROGRAMADO AMPLIADO DE INMUNIZACION (PAI - COVID 19)",IF(O129=[1]CURSOS!$D$18,"ATENCION INTEGRAL EN ENFERMEDADES PREVALENTES EN PRIMERA INFANCIA (AIEPI)",IF(O129=[1]CURSOS!$D$19,"ADMINISTRACION DE MEDICAMENTOS, INYECTOLOGIA  Y CANALIZACION ",IF(O129=[1]CURSOS!$D$20,"OPERADOR DE VEHICULOS DE EMERGENCIA (OVE)",IF(O129=[1]CURSOS!$D$21,"INSTITUCIONES AMIGAS DE LA MUJER Y LA INFANCIA (IAMI)",IF(O129=[1]CURSOS!$D$22,"CUIDADO DEL DONANTE DE ORGANOS",IF(O129=[1]CURSOS!$D$23,"ATENCION A VICTIMAS POR VIOLENCIA DE GENERO",IF(O129=[1]CURSOS!$D$24,"IGUALDAD DE GENERO EN LA SALUD",IF(O129=[1]CURSOS!$D$25,"BRIGADA DE EMERGENCIA",IF(O129=[1]CURSOS!$D$26,"MANEJO DEL DOLOR Y CUIDADOS PALIATIVOS",IF(O129=[1]CURSOS!$D$27,"TOMA DE MUESTRAS Y LABORATORIO POCT",IF(O129=[1]CURSOS!$D$28,"IMPLANTE SUBDERMICO DE DISPOSITIVO INTRAUTERINO",IF(O129=[1]CURSOS!$D$29,"SALUD MENTAL",IF(O129=[1]CURSOS!$D$30,"PRIMEROS AUXILIOS PSICOLOGICOS",IF(O129=[1]CURSOS!$D$31,"ATENCION A VICTIMAS POR CONFLICTO ARMADO",IF(O129=[1]CURSOS!$D$32,"MANIPULACION DE ALIMENTOS Y BPM",IF(O129=[1]CURSOS!$D$33,"ATENCION A PERSONAS CON DISCAPACIDAD",IF(O129=[1]CURSOS!$D$34,"CUIDADO INTEGRAL DEL PACIENTE ADULTO",IF(O129=[1]CURSOS!$D$35,"MANEJO DEFENSIVO",IF(O129=[1]CURSOS!$D$36,"SOPORTE CARDIOVASCULAR AVANZADO NEONATAL",IF(O129=[1]CURSOS!$D$37,"SEGURIDAD DEL PACIENTE")))))))))))))))))))))))))))))))))))</f>
        <v>OPERADOR DE VEHICULOS DE EMERGENCIA (OVE)</v>
      </c>
      <c r="V129" s="52" t="str">
        <f t="shared" si="12"/>
        <v>Yunior De Jesús Daza Ramos</v>
      </c>
      <c r="W129" s="52" t="str">
        <f t="shared" si="13"/>
        <v>Yunior De Jesús Daza Ramos</v>
      </c>
      <c r="X129" s="52" t="str">
        <f t="shared" si="14"/>
        <v>Yunior De Jesús Daza Ramos-87029413-OVE</v>
      </c>
    </row>
    <row r="130" spans="1:25" s="55" customFormat="1" x14ac:dyDescent="0.2">
      <c r="A130" s="17">
        <v>129</v>
      </c>
      <c r="B130" s="80">
        <v>87029413</v>
      </c>
      <c r="C130" s="50" t="s">
        <v>631</v>
      </c>
      <c r="D130" s="50" t="s">
        <v>637</v>
      </c>
      <c r="E130" s="50" t="s">
        <v>643</v>
      </c>
      <c r="F130" s="187" t="s">
        <v>644</v>
      </c>
      <c r="G130" s="188">
        <v>30</v>
      </c>
      <c r="H130" s="188" t="s">
        <v>181</v>
      </c>
      <c r="I130" s="188" t="s">
        <v>517</v>
      </c>
      <c r="J130" s="182">
        <v>45530</v>
      </c>
      <c r="K130" s="181">
        <v>37500</v>
      </c>
      <c r="L130" s="188" t="s">
        <v>328</v>
      </c>
      <c r="M130" s="188" t="s">
        <v>86</v>
      </c>
      <c r="N130" s="188" t="s">
        <v>334</v>
      </c>
      <c r="O130" s="189" t="s">
        <v>129</v>
      </c>
      <c r="P130" s="18">
        <v>29986</v>
      </c>
      <c r="Q130" s="66" t="s">
        <v>316</v>
      </c>
      <c r="R130" s="17" t="s">
        <v>635</v>
      </c>
      <c r="S130" s="50">
        <v>3148067533</v>
      </c>
      <c r="T130" s="50" t="s">
        <v>645</v>
      </c>
      <c r="U130" s="52" t="str">
        <f>IF(O130=[1]CURSOS!$D$3,"DIPLOMADO EN ATENCION PRE-HOSPITALARIA",IF(O130=[1]CURSOS!$D$4,"ACOMPAÑAMIENTO Y MANEJO DEL DUELO",IF(O130=[1]CURSOS!$D$5,"ATENCION A VICTIMAS DE ATAQUE CON AGENTES QUIMICOS ",IF(O130=[1]CURSOS!$D$6,"PRIMEROS AUXILIOS ",IF(O130=[1]CURSOS!$D$7,"DIPLOMADO DE UNIDAD DE CUIDADOS INTENSIVOS (UCI)",IF(O130=[1]CURSOS!$D$8,"MODELO DE ATENCION PARA EVENTOS EMERGENTES EN SALUD MENTAL (CODIGO VERDE)",IF(O130=[1]CURSOS!$D$9,"HUMANIZACION EN EL SERVICIO DE LA SALUD Y BUENAS PRACTICAS EN PACIENTE ",IF(O130=[1]CURSOS!$D$10,"CLINICA DE HERIDAS ",IF(O130=[1]CURSOS!$D$11,"TOMA DE CITOLOGIA CERVICO VAGINAL ",IF(O130=[1]CURSOS!$D$12,"SOPORTE CARDIOVASCULAR AVANZADO (ACLS) ",IF(O130=[1]CURSOS!$D$13,"CAMILLERO ",IF(O130=[1]CURSOS!$D$14,"TOMA DE MUESTRAS Y LABORATORIO ",IF(O130=[1]CURSOS!$D$15,"SOPORTE VITAL BASICO (BLS)",IF(O130=[1]CURSOS!$D$16,"ATENCION A VICTIMAS DE VIOLENCIA SEXUAL ",IF(O130=[1]CURSOS!$D$17,"PROGRAMADO AMPLIADO DE INMUNIZACION (PAI - COVID 19)",IF(O130=[1]CURSOS!$D$18,"ATENCION INTEGRAL EN ENFERMEDADES PREVALENTES EN PRIMERA INFANCIA (AIEPI)",IF(O130=[1]CURSOS!$D$19,"ADMINISTRACION DE MEDICAMENTOS, INYECTOLOGIA  Y CANALIZACION ",IF(O130=[1]CURSOS!$D$20,"OPERADOR DE VEHICULOS DE EMERGENCIA (OVE)",IF(O130=[1]CURSOS!$D$21,"INSTITUCIONES AMIGAS DE LA MUJER Y LA INFANCIA (IAMI)",IF(O130=[1]CURSOS!$D$22,"CUIDADO DEL DONANTE DE ORGANOS",IF(O130=[1]CURSOS!$D$23,"ATENCION A VICTIMAS POR VIOLENCIA DE GENERO",IF(O130=[1]CURSOS!$D$24,"IGUALDAD DE GENERO EN LA SALUD",IF(O130=[1]CURSOS!$D$25,"BRIGADA DE EMERGENCIA",IF(O130=[1]CURSOS!$D$26,"MANEJO DEL DOLOR Y CUIDADOS PALIATIVOS",IF(O130=[1]CURSOS!$D$27,"TOMA DE MUESTRAS Y LABORATORIO POCT",IF(O130=[1]CURSOS!$D$28,"IMPLANTE SUBDERMICO DE DISPOSITIVO INTRAUTERINO",IF(O130=[1]CURSOS!$D$29,"SALUD MENTAL",IF(O130=[1]CURSOS!$D$30,"PRIMEROS AUXILIOS PSICOLOGICOS",IF(O130=[1]CURSOS!$D$31,"ATENCION A VICTIMAS POR CONFLICTO ARMADO",IF(O130=[1]CURSOS!$D$32,"MANIPULACION DE ALIMENTOS Y BPM",IF(O130=[1]CURSOS!$D$33,"ATENCION A PERSONAS CON DISCAPACIDAD",IF(O130=[1]CURSOS!$D$34,"CUIDADO INTEGRAL DEL PACIENTE ADULTO",IF(O130=[1]CURSOS!$D$35,"MANEJO DEFENSIVO",IF(O130=[1]CURSOS!$D$36,"SOPORTE CARDIOVASCULAR AVANZADO NEONATAL",IF(O130=[1]CURSOS!$D$37,"SEGURIDAD DEL PACIENTE")))))))))))))))))))))))))))))))))))</f>
        <v>MANEJO DEFENSIVO</v>
      </c>
      <c r="V130" s="52" t="str">
        <f t="shared" si="12"/>
        <v>Yunior De Jesús Daza Ramos</v>
      </c>
      <c r="W130" s="52" t="str">
        <f t="shared" si="13"/>
        <v>Yunior De Jesús Daza Ramos</v>
      </c>
      <c r="X130" s="52" t="str">
        <f t="shared" si="14"/>
        <v>Yunior De Jesús Daza Ramos-87029413-MANEJO DEFENSIVO</v>
      </c>
    </row>
    <row r="131" spans="1:25" s="55" customFormat="1" x14ac:dyDescent="0.2">
      <c r="A131" s="17">
        <v>130</v>
      </c>
      <c r="B131" s="80">
        <v>87029841</v>
      </c>
      <c r="C131" s="50" t="s">
        <v>114</v>
      </c>
      <c r="D131" s="50" t="s">
        <v>646</v>
      </c>
      <c r="E131" s="50" t="s">
        <v>569</v>
      </c>
      <c r="F131" s="187" t="s">
        <v>312</v>
      </c>
      <c r="G131" s="188">
        <v>31</v>
      </c>
      <c r="H131" s="188" t="s">
        <v>181</v>
      </c>
      <c r="I131" s="188" t="s">
        <v>517</v>
      </c>
      <c r="J131" s="182">
        <v>45533</v>
      </c>
      <c r="K131" s="181">
        <v>37500</v>
      </c>
      <c r="L131" s="188" t="s">
        <v>328</v>
      </c>
      <c r="M131" s="188" t="s">
        <v>86</v>
      </c>
      <c r="N131" s="188" t="s">
        <v>334</v>
      </c>
      <c r="O131" s="189" t="s">
        <v>27</v>
      </c>
      <c r="P131" s="18">
        <v>29935</v>
      </c>
      <c r="Q131" s="66" t="s">
        <v>316</v>
      </c>
      <c r="R131" s="17" t="s">
        <v>635</v>
      </c>
      <c r="S131" s="50">
        <v>3168703116</v>
      </c>
      <c r="T131" s="50" t="s">
        <v>647</v>
      </c>
      <c r="U131" s="52" t="str">
        <f>IF(O131=[1]CURSOS!$D$3,"DIPLOMADO EN ATENCION PRE-HOSPITALARIA",IF(O131=[1]CURSOS!$D$4,"ACOMPAÑAMIENTO Y MANEJO DEL DUELO",IF(O131=[1]CURSOS!$D$5,"ATENCION A VICTIMAS DE ATAQUE CON AGENTES QUIMICOS ",IF(O131=[1]CURSOS!$D$6,"PRIMEROS AUXILIOS ",IF(O131=[1]CURSOS!$D$7,"DIPLOMADO DE UNIDAD DE CUIDADOS INTENSIVOS (UCI)",IF(O131=[1]CURSOS!$D$8,"MODELO DE ATENCION PARA EVENTOS EMERGENTES EN SALUD MENTAL (CODIGO VERDE)",IF(O131=[1]CURSOS!$D$9,"HUMANIZACION EN EL SERVICIO DE LA SALUD Y BUENAS PRACTICAS EN PACIENTE ",IF(O131=[1]CURSOS!$D$10,"CLINICA DE HERIDAS ",IF(O131=[1]CURSOS!$D$11,"TOMA DE CITOLOGIA CERVICO VAGINAL ",IF(O131=[1]CURSOS!$D$12,"SOPORTE CARDIOVASCULAR AVANZADO (ACLS) ",IF(O131=[1]CURSOS!$D$13,"CAMILLERO ",IF(O131=[1]CURSOS!$D$14,"TOMA DE MUESTRAS Y LABORATORIO ",IF(O131=[1]CURSOS!$D$15,"SOPORTE VITAL BASICO (BLS)",IF(O131=[1]CURSOS!$D$16,"ATENCION A VICTIMAS DE VIOLENCIA SEXUAL ",IF(O131=[1]CURSOS!$D$17,"PROGRAMADO AMPLIADO DE INMUNIZACION (PAI - COVID 19)",IF(O131=[1]CURSOS!$D$18,"ATENCION INTEGRAL EN ENFERMEDADES PREVALENTES EN PRIMERA INFANCIA (AIEPI)",IF(O131=[1]CURSOS!$D$19,"ADMINISTRACION DE MEDICAMENTOS, INYECTOLOGIA  Y CANALIZACION ",IF(O131=[1]CURSOS!$D$20,"OPERADOR DE VEHICULOS DE EMERGENCIA (OVE)",IF(O131=[1]CURSOS!$D$21,"INSTITUCIONES AMIGAS DE LA MUJER Y LA INFANCIA (IAMI)",IF(O131=[1]CURSOS!$D$22,"CUIDADO DEL DONANTE DE ORGANOS",IF(O131=[1]CURSOS!$D$23,"ATENCION A VICTIMAS POR VIOLENCIA DE GENERO",IF(O131=[1]CURSOS!$D$24,"IGUALDAD DE GENERO EN LA SALUD",IF(O131=[1]CURSOS!$D$25,"BRIGADA DE EMERGENCIA",IF(O131=[1]CURSOS!$D$26,"MANEJO DEL DOLOR Y CUIDADOS PALIATIVOS",IF(O131=[1]CURSOS!$D$27,"TOMA DE MUESTRAS Y LABORATORIO POCT",IF(O131=[1]CURSOS!$D$28,"IMPLANTE SUBDERMICO DE DISPOSITIVO INTRAUTERINO",IF(O131=[1]CURSOS!$D$29,"SALUD MENTAL",IF(O131=[1]CURSOS!$D$30,"PRIMEROS AUXILIOS PSICOLOGICOS",IF(O131=[1]CURSOS!$D$31,"ATENCION A VICTIMAS POR CONFLICTO ARMADO",IF(O131=[1]CURSOS!$D$32,"MANIPULACION DE ALIMENTOS Y BPM",IF(O131=[1]CURSOS!$D$33,"ATENCION A PERSONAS CON DISCAPACIDAD",IF(O131=[1]CURSOS!$D$34,"CUIDADO INTEGRAL DEL PACIENTE ADULTO",IF(O131=[1]CURSOS!$D$35,"MANEJO DEFENSIVO",IF(O131=[1]CURSOS!$D$36,"SOPORTE CARDIOVASCULAR AVANZADO NEONATAL",IF(O131=[1]CURSOS!$D$37,"SEGURIDAD DEL PACIENTE")))))))))))))))))))))))))))))))))))</f>
        <v xml:space="preserve">PRIMEROS AUXILIOS </v>
      </c>
      <c r="V131" s="52" t="str">
        <f t="shared" si="12"/>
        <v>Juan Carlos Martinez Vázquez</v>
      </c>
      <c r="W131" s="52" t="str">
        <f t="shared" si="13"/>
        <v>Juan Carlos Martinez Vázquez</v>
      </c>
      <c r="X131" s="52" t="str">
        <f t="shared" si="14"/>
        <v>Juan Carlos Martinez Vázquez-87029841-PRIMEROS AUXILIOS</v>
      </c>
    </row>
    <row r="132" spans="1:25" s="55" customFormat="1" x14ac:dyDescent="0.2">
      <c r="A132" s="17">
        <v>131</v>
      </c>
      <c r="B132" s="80">
        <v>87029841</v>
      </c>
      <c r="C132" s="50" t="s">
        <v>114</v>
      </c>
      <c r="D132" s="50" t="s">
        <v>646</v>
      </c>
      <c r="E132" s="50" t="s">
        <v>569</v>
      </c>
      <c r="F132" s="187" t="s">
        <v>312</v>
      </c>
      <c r="G132" s="188">
        <v>31</v>
      </c>
      <c r="H132" s="188" t="s">
        <v>181</v>
      </c>
      <c r="I132" s="188" t="s">
        <v>517</v>
      </c>
      <c r="J132" s="182">
        <v>45533</v>
      </c>
      <c r="K132" s="181">
        <v>37500</v>
      </c>
      <c r="L132" s="188" t="s">
        <v>328</v>
      </c>
      <c r="M132" s="188" t="s">
        <v>86</v>
      </c>
      <c r="N132" s="188" t="s">
        <v>334</v>
      </c>
      <c r="O132" s="189" t="s">
        <v>39</v>
      </c>
      <c r="P132" s="18">
        <v>29935</v>
      </c>
      <c r="Q132" s="66" t="s">
        <v>316</v>
      </c>
      <c r="R132" s="17" t="s">
        <v>635</v>
      </c>
      <c r="S132" s="50">
        <v>3168703116</v>
      </c>
      <c r="T132" s="50" t="s">
        <v>647</v>
      </c>
      <c r="U132" s="52" t="str">
        <f>IF(O132=[1]CURSOS!$D$3,"DIPLOMADO EN ATENCION PRE-HOSPITALARIA",IF(O132=[1]CURSOS!$D$4,"ACOMPAÑAMIENTO Y MANEJO DEL DUELO",IF(O132=[1]CURSOS!$D$5,"ATENCION A VICTIMAS DE ATAQUE CON AGENTES QUIMICOS ",IF(O132=[1]CURSOS!$D$6,"PRIMEROS AUXILIOS ",IF(O132=[1]CURSOS!$D$7,"DIPLOMADO DE UNIDAD DE CUIDADOS INTENSIVOS (UCI)",IF(O132=[1]CURSOS!$D$8,"MODELO DE ATENCION PARA EVENTOS EMERGENTES EN SALUD MENTAL (CODIGO VERDE)",IF(O132=[1]CURSOS!$D$9,"HUMANIZACION EN EL SERVICIO DE LA SALUD Y BUENAS PRACTICAS EN PACIENTE ",IF(O132=[1]CURSOS!$D$10,"CLINICA DE HERIDAS ",IF(O132=[1]CURSOS!$D$11,"TOMA DE CITOLOGIA CERVICO VAGINAL ",IF(O132=[1]CURSOS!$D$12,"SOPORTE CARDIOVASCULAR AVANZADO (ACLS) ",IF(O132=[1]CURSOS!$D$13,"CAMILLERO ",IF(O132=[1]CURSOS!$D$14,"TOMA DE MUESTRAS Y LABORATORIO ",IF(O132=[1]CURSOS!$D$15,"SOPORTE VITAL BASICO (BLS)",IF(O132=[1]CURSOS!$D$16,"ATENCION A VICTIMAS DE VIOLENCIA SEXUAL ",IF(O132=[1]CURSOS!$D$17,"PROGRAMADO AMPLIADO DE INMUNIZACION (PAI - COVID 19)",IF(O132=[1]CURSOS!$D$18,"ATENCION INTEGRAL EN ENFERMEDADES PREVALENTES EN PRIMERA INFANCIA (AIEPI)",IF(O132=[1]CURSOS!$D$19,"ADMINISTRACION DE MEDICAMENTOS, INYECTOLOGIA  Y CANALIZACION ",IF(O132=[1]CURSOS!$D$20,"OPERADOR DE VEHICULOS DE EMERGENCIA (OVE)",IF(O132=[1]CURSOS!$D$21,"INSTITUCIONES AMIGAS DE LA MUJER Y LA INFANCIA (IAMI)",IF(O132=[1]CURSOS!$D$22,"CUIDADO DEL DONANTE DE ORGANOS",IF(O132=[1]CURSOS!$D$23,"ATENCION A VICTIMAS POR VIOLENCIA DE GENERO",IF(O132=[1]CURSOS!$D$24,"IGUALDAD DE GENERO EN LA SALUD",IF(O132=[1]CURSOS!$D$25,"BRIGADA DE EMERGENCIA",IF(O132=[1]CURSOS!$D$26,"MANEJO DEL DOLOR Y CUIDADOS PALIATIVOS",IF(O132=[1]CURSOS!$D$27,"TOMA DE MUESTRAS Y LABORATORIO POCT",IF(O132=[1]CURSOS!$D$28,"IMPLANTE SUBDERMICO DE DISPOSITIVO INTRAUTERINO",IF(O132=[1]CURSOS!$D$29,"SALUD MENTAL",IF(O132=[1]CURSOS!$D$30,"PRIMEROS AUXILIOS PSICOLOGICOS",IF(O132=[1]CURSOS!$D$31,"ATENCION A VICTIMAS POR CONFLICTO ARMADO",IF(O132=[1]CURSOS!$D$32,"MANIPULACION DE ALIMENTOS Y BPM",IF(O132=[1]CURSOS!$D$33,"ATENCION A PERSONAS CON DISCAPACIDAD",IF(O132=[1]CURSOS!$D$34,"CUIDADO INTEGRAL DEL PACIENTE ADULTO",IF(O132=[1]CURSOS!$D$35,"MANEJO DEFENSIVO",IF(O132=[1]CURSOS!$D$36,"SOPORTE CARDIOVASCULAR AVANZADO NEONATAL",IF(O132=[1]CURSOS!$D$37,"SEGURIDAD DEL PACIENTE")))))))))))))))))))))))))))))))))))</f>
        <v xml:space="preserve">CAMILLERO </v>
      </c>
      <c r="V132" s="52" t="str">
        <f t="shared" si="12"/>
        <v>Juan Carlos Martinez Vázquez</v>
      </c>
      <c r="W132" s="52" t="str">
        <f t="shared" si="13"/>
        <v>Juan Carlos Martinez Vázquez</v>
      </c>
      <c r="X132" s="52" t="str">
        <f t="shared" si="14"/>
        <v>Juan Carlos Martinez Vázquez-87029841-CAMILLERO</v>
      </c>
    </row>
    <row r="133" spans="1:25" s="55" customFormat="1" x14ac:dyDescent="0.2">
      <c r="A133" s="17">
        <v>132</v>
      </c>
      <c r="B133" s="80">
        <v>87029841</v>
      </c>
      <c r="C133" s="50" t="s">
        <v>114</v>
      </c>
      <c r="D133" s="50" t="s">
        <v>646</v>
      </c>
      <c r="E133" s="50" t="s">
        <v>569</v>
      </c>
      <c r="F133" s="187" t="s">
        <v>312</v>
      </c>
      <c r="G133" s="188">
        <v>30</v>
      </c>
      <c r="H133" s="188" t="s">
        <v>181</v>
      </c>
      <c r="I133" s="188" t="s">
        <v>517</v>
      </c>
      <c r="J133" s="182">
        <v>45533</v>
      </c>
      <c r="K133" s="181">
        <v>37500</v>
      </c>
      <c r="L133" s="188" t="s">
        <v>328</v>
      </c>
      <c r="M133" s="188" t="s">
        <v>86</v>
      </c>
      <c r="N133" s="188" t="s">
        <v>334</v>
      </c>
      <c r="O133" s="189" t="s">
        <v>49</v>
      </c>
      <c r="P133" s="18">
        <v>29935</v>
      </c>
      <c r="Q133" s="66" t="s">
        <v>316</v>
      </c>
      <c r="R133" s="17" t="s">
        <v>635</v>
      </c>
      <c r="S133" s="50">
        <v>3168703116</v>
      </c>
      <c r="T133" s="50" t="s">
        <v>647</v>
      </c>
      <c r="U133" s="52" t="str">
        <f>IF(O133=[1]CURSOS!$D$3,"DIPLOMADO EN ATENCION PRE-HOSPITALARIA",IF(O133=[1]CURSOS!$D$4,"ACOMPAÑAMIENTO Y MANEJO DEL DUELO",IF(O133=[1]CURSOS!$D$5,"ATENCION A VICTIMAS DE ATAQUE CON AGENTES QUIMICOS ",IF(O133=[1]CURSOS!$D$6,"PRIMEROS AUXILIOS ",IF(O133=[1]CURSOS!$D$7,"DIPLOMADO DE UNIDAD DE CUIDADOS INTENSIVOS (UCI)",IF(O133=[1]CURSOS!$D$8,"MODELO DE ATENCION PARA EVENTOS EMERGENTES EN SALUD MENTAL (CODIGO VERDE)",IF(O133=[1]CURSOS!$D$9,"HUMANIZACION EN EL SERVICIO DE LA SALUD Y BUENAS PRACTICAS EN PACIENTE ",IF(O133=[1]CURSOS!$D$10,"CLINICA DE HERIDAS ",IF(O133=[1]CURSOS!$D$11,"TOMA DE CITOLOGIA CERVICO VAGINAL ",IF(O133=[1]CURSOS!$D$12,"SOPORTE CARDIOVASCULAR AVANZADO (ACLS) ",IF(O133=[1]CURSOS!$D$13,"CAMILLERO ",IF(O133=[1]CURSOS!$D$14,"TOMA DE MUESTRAS Y LABORATORIO ",IF(O133=[1]CURSOS!$D$15,"SOPORTE VITAL BASICO (BLS)",IF(O133=[1]CURSOS!$D$16,"ATENCION A VICTIMAS DE VIOLENCIA SEXUAL ",IF(O133=[1]CURSOS!$D$17,"PROGRAMADO AMPLIADO DE INMUNIZACION (PAI - COVID 19)",IF(O133=[1]CURSOS!$D$18,"ATENCION INTEGRAL EN ENFERMEDADES PREVALENTES EN PRIMERA INFANCIA (AIEPI)",IF(O133=[1]CURSOS!$D$19,"ADMINISTRACION DE MEDICAMENTOS, INYECTOLOGIA  Y CANALIZACION ",IF(O133=[1]CURSOS!$D$20,"OPERADOR DE VEHICULOS DE EMERGENCIA (OVE)",IF(O133=[1]CURSOS!$D$21,"INSTITUCIONES AMIGAS DE LA MUJER Y LA INFANCIA (IAMI)",IF(O133=[1]CURSOS!$D$22,"CUIDADO DEL DONANTE DE ORGANOS",IF(O133=[1]CURSOS!$D$23,"ATENCION A VICTIMAS POR VIOLENCIA DE GENERO",IF(O133=[1]CURSOS!$D$24,"IGUALDAD DE GENERO EN LA SALUD",IF(O133=[1]CURSOS!$D$25,"BRIGADA DE EMERGENCIA",IF(O133=[1]CURSOS!$D$26,"MANEJO DEL DOLOR Y CUIDADOS PALIATIVOS",IF(O133=[1]CURSOS!$D$27,"TOMA DE MUESTRAS Y LABORATORIO POCT",IF(O133=[1]CURSOS!$D$28,"IMPLANTE SUBDERMICO DE DISPOSITIVO INTRAUTERINO",IF(O133=[1]CURSOS!$D$29,"SALUD MENTAL",IF(O133=[1]CURSOS!$D$30,"PRIMEROS AUXILIOS PSICOLOGICOS",IF(O133=[1]CURSOS!$D$31,"ATENCION A VICTIMAS POR CONFLICTO ARMADO",IF(O133=[1]CURSOS!$D$32,"MANIPULACION DE ALIMENTOS Y BPM",IF(O133=[1]CURSOS!$D$33,"ATENCION A PERSONAS CON DISCAPACIDAD",IF(O133=[1]CURSOS!$D$34,"CUIDADO INTEGRAL DEL PACIENTE ADULTO",IF(O133=[1]CURSOS!$D$35,"MANEJO DEFENSIVO",IF(O133=[1]CURSOS!$D$36,"SOPORTE CARDIOVASCULAR AVANZADO NEONATAL",IF(O133=[1]CURSOS!$D$37,"SEGURIDAD DEL PACIENTE")))))))))))))))))))))))))))))))))))</f>
        <v>OPERADOR DE VEHICULOS DE EMERGENCIA (OVE)</v>
      </c>
      <c r="V133" s="52" t="str">
        <f t="shared" si="12"/>
        <v>Juan Carlos Martinez Vázquez</v>
      </c>
      <c r="W133" s="52" t="str">
        <f t="shared" si="13"/>
        <v>Juan Carlos Martinez Vázquez</v>
      </c>
      <c r="X133" s="52" t="str">
        <f t="shared" si="14"/>
        <v>Juan Carlos Martinez Vázquez-87029841-OVE</v>
      </c>
    </row>
    <row r="134" spans="1:25" s="55" customFormat="1" x14ac:dyDescent="0.2">
      <c r="A134" s="17">
        <v>133</v>
      </c>
      <c r="B134" s="80">
        <v>87029841</v>
      </c>
      <c r="C134" s="50" t="s">
        <v>114</v>
      </c>
      <c r="D134" s="50" t="s">
        <v>646</v>
      </c>
      <c r="E134" s="50" t="s">
        <v>569</v>
      </c>
      <c r="F134" s="187" t="s">
        <v>312</v>
      </c>
      <c r="G134" s="188">
        <v>30</v>
      </c>
      <c r="H134" s="188" t="s">
        <v>181</v>
      </c>
      <c r="I134" s="188" t="s">
        <v>517</v>
      </c>
      <c r="J134" s="182">
        <v>45533</v>
      </c>
      <c r="K134" s="181">
        <v>37500</v>
      </c>
      <c r="L134" s="188" t="s">
        <v>328</v>
      </c>
      <c r="M134" s="188" t="s">
        <v>86</v>
      </c>
      <c r="N134" s="188" t="s">
        <v>334</v>
      </c>
      <c r="O134" s="189" t="s">
        <v>129</v>
      </c>
      <c r="P134" s="18">
        <v>29935</v>
      </c>
      <c r="Q134" s="66" t="s">
        <v>316</v>
      </c>
      <c r="R134" s="17" t="s">
        <v>635</v>
      </c>
      <c r="S134" s="50">
        <v>3168703116</v>
      </c>
      <c r="T134" s="50" t="s">
        <v>647</v>
      </c>
      <c r="U134" s="52" t="str">
        <f>IF(O134=[1]CURSOS!$D$3,"DIPLOMADO EN ATENCION PRE-HOSPITALARIA",IF(O134=[1]CURSOS!$D$4,"ACOMPAÑAMIENTO Y MANEJO DEL DUELO",IF(O134=[1]CURSOS!$D$5,"ATENCION A VICTIMAS DE ATAQUE CON AGENTES QUIMICOS ",IF(O134=[1]CURSOS!$D$6,"PRIMEROS AUXILIOS ",IF(O134=[1]CURSOS!$D$7,"DIPLOMADO DE UNIDAD DE CUIDADOS INTENSIVOS (UCI)",IF(O134=[1]CURSOS!$D$8,"MODELO DE ATENCION PARA EVENTOS EMERGENTES EN SALUD MENTAL (CODIGO VERDE)",IF(O134=[1]CURSOS!$D$9,"HUMANIZACION EN EL SERVICIO DE LA SALUD Y BUENAS PRACTICAS EN PACIENTE ",IF(O134=[1]CURSOS!$D$10,"CLINICA DE HERIDAS ",IF(O134=[1]CURSOS!$D$11,"TOMA DE CITOLOGIA CERVICO VAGINAL ",IF(O134=[1]CURSOS!$D$12,"SOPORTE CARDIOVASCULAR AVANZADO (ACLS) ",IF(O134=[1]CURSOS!$D$13,"CAMILLERO ",IF(O134=[1]CURSOS!$D$14,"TOMA DE MUESTRAS Y LABORATORIO ",IF(O134=[1]CURSOS!$D$15,"SOPORTE VITAL BASICO (BLS)",IF(O134=[1]CURSOS!$D$16,"ATENCION A VICTIMAS DE VIOLENCIA SEXUAL ",IF(O134=[1]CURSOS!$D$17,"PROGRAMADO AMPLIADO DE INMUNIZACION (PAI - COVID 19)",IF(O134=[1]CURSOS!$D$18,"ATENCION INTEGRAL EN ENFERMEDADES PREVALENTES EN PRIMERA INFANCIA (AIEPI)",IF(O134=[1]CURSOS!$D$19,"ADMINISTRACION DE MEDICAMENTOS, INYECTOLOGIA  Y CANALIZACION ",IF(O134=[1]CURSOS!$D$20,"OPERADOR DE VEHICULOS DE EMERGENCIA (OVE)",IF(O134=[1]CURSOS!$D$21,"INSTITUCIONES AMIGAS DE LA MUJER Y LA INFANCIA (IAMI)",IF(O134=[1]CURSOS!$D$22,"CUIDADO DEL DONANTE DE ORGANOS",IF(O134=[1]CURSOS!$D$23,"ATENCION A VICTIMAS POR VIOLENCIA DE GENERO",IF(O134=[1]CURSOS!$D$24,"IGUALDAD DE GENERO EN LA SALUD",IF(O134=[1]CURSOS!$D$25,"BRIGADA DE EMERGENCIA",IF(O134=[1]CURSOS!$D$26,"MANEJO DEL DOLOR Y CUIDADOS PALIATIVOS",IF(O134=[1]CURSOS!$D$27,"TOMA DE MUESTRAS Y LABORATORIO POCT",IF(O134=[1]CURSOS!$D$28,"IMPLANTE SUBDERMICO DE DISPOSITIVO INTRAUTERINO",IF(O134=[1]CURSOS!$D$29,"SALUD MENTAL",IF(O134=[1]CURSOS!$D$30,"PRIMEROS AUXILIOS PSICOLOGICOS",IF(O134=[1]CURSOS!$D$31,"ATENCION A VICTIMAS POR CONFLICTO ARMADO",IF(O134=[1]CURSOS!$D$32,"MANIPULACION DE ALIMENTOS Y BPM",IF(O134=[1]CURSOS!$D$33,"ATENCION A PERSONAS CON DISCAPACIDAD",IF(O134=[1]CURSOS!$D$34,"CUIDADO INTEGRAL DEL PACIENTE ADULTO",IF(O134=[1]CURSOS!$D$35,"MANEJO DEFENSIVO",IF(O134=[1]CURSOS!$D$36,"SOPORTE CARDIOVASCULAR AVANZADO NEONATAL",IF(O134=[1]CURSOS!$D$37,"SEGURIDAD DEL PACIENTE")))))))))))))))))))))))))))))))))))</f>
        <v>MANEJO DEFENSIVO</v>
      </c>
      <c r="V134" s="52" t="str">
        <f t="shared" si="12"/>
        <v>Juan Carlos Martinez Vázquez</v>
      </c>
      <c r="W134" s="52" t="str">
        <f t="shared" si="13"/>
        <v>Juan Carlos Martinez Vázquez</v>
      </c>
      <c r="X134" s="52" t="str">
        <f t="shared" si="14"/>
        <v>Juan Carlos Martinez Vázquez-87029841-MANEJO DEFENSIVO</v>
      </c>
    </row>
    <row r="135" spans="1:25" s="55" customFormat="1" x14ac:dyDescent="0.2">
      <c r="A135" s="17">
        <v>134</v>
      </c>
      <c r="B135" s="80">
        <v>1004748518</v>
      </c>
      <c r="C135" s="50" t="s">
        <v>85</v>
      </c>
      <c r="D135" s="50" t="s">
        <v>648</v>
      </c>
      <c r="E135" s="50" t="s">
        <v>649</v>
      </c>
      <c r="F135" s="187" t="s">
        <v>650</v>
      </c>
      <c r="G135" s="188">
        <v>31</v>
      </c>
      <c r="H135" s="188" t="s">
        <v>181</v>
      </c>
      <c r="I135" s="188" t="s">
        <v>517</v>
      </c>
      <c r="J135" s="182">
        <v>45533</v>
      </c>
      <c r="K135" s="181">
        <v>37500</v>
      </c>
      <c r="L135" s="188" t="s">
        <v>328</v>
      </c>
      <c r="M135" s="188" t="s">
        <v>86</v>
      </c>
      <c r="N135" s="188" t="s">
        <v>334</v>
      </c>
      <c r="O135" s="189" t="s">
        <v>27</v>
      </c>
      <c r="P135" s="18">
        <v>36938</v>
      </c>
      <c r="Q135" s="66" t="s">
        <v>316</v>
      </c>
      <c r="R135" s="17" t="s">
        <v>635</v>
      </c>
      <c r="S135" s="50">
        <v>3239339744</v>
      </c>
      <c r="T135" s="50" t="s">
        <v>651</v>
      </c>
      <c r="U135" s="52" t="str">
        <f>IF(O135=[1]CURSOS!$D$3,"DIPLOMADO EN ATENCION PRE-HOSPITALARIA",IF(O135=[1]CURSOS!$D$4,"ACOMPAÑAMIENTO Y MANEJO DEL DUELO",IF(O135=[1]CURSOS!$D$5,"ATENCION A VICTIMAS DE ATAQUE CON AGENTES QUIMICOS ",IF(O135=[1]CURSOS!$D$6,"PRIMEROS AUXILIOS ",IF(O135=[1]CURSOS!$D$7,"DIPLOMADO DE UNIDAD DE CUIDADOS INTENSIVOS (UCI)",IF(O135=[1]CURSOS!$D$8,"MODELO DE ATENCION PARA EVENTOS EMERGENTES EN SALUD MENTAL (CODIGO VERDE)",IF(O135=[1]CURSOS!$D$9,"HUMANIZACION EN EL SERVICIO DE LA SALUD Y BUENAS PRACTICAS EN PACIENTE ",IF(O135=[1]CURSOS!$D$10,"CLINICA DE HERIDAS ",IF(O135=[1]CURSOS!$D$11,"TOMA DE CITOLOGIA CERVICO VAGINAL ",IF(O135=[1]CURSOS!$D$12,"SOPORTE CARDIOVASCULAR AVANZADO (ACLS) ",IF(O135=[1]CURSOS!$D$13,"CAMILLERO ",IF(O135=[1]CURSOS!$D$14,"TOMA DE MUESTRAS Y LABORATORIO ",IF(O135=[1]CURSOS!$D$15,"SOPORTE VITAL BASICO (BLS)",IF(O135=[1]CURSOS!$D$16,"ATENCION A VICTIMAS DE VIOLENCIA SEXUAL ",IF(O135=[1]CURSOS!$D$17,"PROGRAMADO AMPLIADO DE INMUNIZACION (PAI - COVID 19)",IF(O135=[1]CURSOS!$D$18,"ATENCION INTEGRAL EN ENFERMEDADES PREVALENTES EN PRIMERA INFANCIA (AIEPI)",IF(O135=[1]CURSOS!$D$19,"ADMINISTRACION DE MEDICAMENTOS, INYECTOLOGIA  Y CANALIZACION ",IF(O135=[1]CURSOS!$D$20,"OPERADOR DE VEHICULOS DE EMERGENCIA (OVE)",IF(O135=[1]CURSOS!$D$21,"INSTITUCIONES AMIGAS DE LA MUJER Y LA INFANCIA (IAMI)",IF(O135=[1]CURSOS!$D$22,"CUIDADO DEL DONANTE DE ORGANOS",IF(O135=[1]CURSOS!$D$23,"ATENCION A VICTIMAS POR VIOLENCIA DE GENERO",IF(O135=[1]CURSOS!$D$24,"IGUALDAD DE GENERO EN LA SALUD",IF(O135=[1]CURSOS!$D$25,"BRIGADA DE EMERGENCIA",IF(O135=[1]CURSOS!$D$26,"MANEJO DEL DOLOR Y CUIDADOS PALIATIVOS",IF(O135=[1]CURSOS!$D$27,"TOMA DE MUESTRAS Y LABORATORIO POCT",IF(O135=[1]CURSOS!$D$28,"IMPLANTE SUBDERMICO DE DISPOSITIVO INTRAUTERINO",IF(O135=[1]CURSOS!$D$29,"SALUD MENTAL",IF(O135=[1]CURSOS!$D$30,"PRIMEROS AUXILIOS PSICOLOGICOS",IF(O135=[1]CURSOS!$D$31,"ATENCION A VICTIMAS POR CONFLICTO ARMADO",IF(O135=[1]CURSOS!$D$32,"MANIPULACION DE ALIMENTOS Y BPM",IF(O135=[1]CURSOS!$D$33,"ATENCION A PERSONAS CON DISCAPACIDAD",IF(O135=[1]CURSOS!$D$34,"CUIDADO INTEGRAL DEL PACIENTE ADULTO",IF(O135=[1]CURSOS!$D$35,"MANEJO DEFENSIVO",IF(O135=[1]CURSOS!$D$36,"SOPORTE CARDIOVASCULAR AVANZADO NEONATAL",IF(O135=[1]CURSOS!$D$37,"SEGURIDAD DEL PACIENTE")))))))))))))))))))))))))))))))))))</f>
        <v xml:space="preserve">PRIMEROS AUXILIOS </v>
      </c>
      <c r="V135" s="52" t="str">
        <f t="shared" si="12"/>
        <v>Emerson Aldemar Burbano Meza</v>
      </c>
      <c r="W135" s="52" t="str">
        <f t="shared" si="13"/>
        <v>Emerson Aldemar Burbano Meza</v>
      </c>
      <c r="X135" s="52" t="str">
        <f t="shared" si="14"/>
        <v>Emerson Aldemar Burbano Meza-1004748518-PRIMEROS AUXILIOS</v>
      </c>
    </row>
    <row r="136" spans="1:25" s="55" customFormat="1" x14ac:dyDescent="0.2">
      <c r="A136" s="17">
        <v>135</v>
      </c>
      <c r="B136" s="80">
        <v>1004748518</v>
      </c>
      <c r="C136" s="50" t="s">
        <v>85</v>
      </c>
      <c r="D136" s="50" t="s">
        <v>648</v>
      </c>
      <c r="E136" s="50" t="s">
        <v>649</v>
      </c>
      <c r="F136" s="187" t="s">
        <v>650</v>
      </c>
      <c r="G136" s="188">
        <v>31</v>
      </c>
      <c r="H136" s="188" t="s">
        <v>181</v>
      </c>
      <c r="I136" s="188" t="s">
        <v>517</v>
      </c>
      <c r="J136" s="182">
        <v>45533</v>
      </c>
      <c r="K136" s="181">
        <v>37500</v>
      </c>
      <c r="L136" s="188" t="s">
        <v>328</v>
      </c>
      <c r="M136" s="188" t="s">
        <v>86</v>
      </c>
      <c r="N136" s="188" t="s">
        <v>334</v>
      </c>
      <c r="O136" s="189" t="s">
        <v>39</v>
      </c>
      <c r="P136" s="18">
        <v>36938</v>
      </c>
      <c r="Q136" s="66" t="s">
        <v>316</v>
      </c>
      <c r="R136" s="17" t="s">
        <v>635</v>
      </c>
      <c r="S136" s="50">
        <v>3239339744</v>
      </c>
      <c r="T136" s="50" t="s">
        <v>651</v>
      </c>
      <c r="U136" s="52" t="str">
        <f>IF(O136=[1]CURSOS!$D$3,"DIPLOMADO EN ATENCION PRE-HOSPITALARIA",IF(O136=[1]CURSOS!$D$4,"ACOMPAÑAMIENTO Y MANEJO DEL DUELO",IF(O136=[1]CURSOS!$D$5,"ATENCION A VICTIMAS DE ATAQUE CON AGENTES QUIMICOS ",IF(O136=[1]CURSOS!$D$6,"PRIMEROS AUXILIOS ",IF(O136=[1]CURSOS!$D$7,"DIPLOMADO DE UNIDAD DE CUIDADOS INTENSIVOS (UCI)",IF(O136=[1]CURSOS!$D$8,"MODELO DE ATENCION PARA EVENTOS EMERGENTES EN SALUD MENTAL (CODIGO VERDE)",IF(O136=[1]CURSOS!$D$9,"HUMANIZACION EN EL SERVICIO DE LA SALUD Y BUENAS PRACTICAS EN PACIENTE ",IF(O136=[1]CURSOS!$D$10,"CLINICA DE HERIDAS ",IF(O136=[1]CURSOS!$D$11,"TOMA DE CITOLOGIA CERVICO VAGINAL ",IF(O136=[1]CURSOS!$D$12,"SOPORTE CARDIOVASCULAR AVANZADO (ACLS) ",IF(O136=[1]CURSOS!$D$13,"CAMILLERO ",IF(O136=[1]CURSOS!$D$14,"TOMA DE MUESTRAS Y LABORATORIO ",IF(O136=[1]CURSOS!$D$15,"SOPORTE VITAL BASICO (BLS)",IF(O136=[1]CURSOS!$D$16,"ATENCION A VICTIMAS DE VIOLENCIA SEXUAL ",IF(O136=[1]CURSOS!$D$17,"PROGRAMADO AMPLIADO DE INMUNIZACION (PAI - COVID 19)",IF(O136=[1]CURSOS!$D$18,"ATENCION INTEGRAL EN ENFERMEDADES PREVALENTES EN PRIMERA INFANCIA (AIEPI)",IF(O136=[1]CURSOS!$D$19,"ADMINISTRACION DE MEDICAMENTOS, INYECTOLOGIA  Y CANALIZACION ",IF(O136=[1]CURSOS!$D$20,"OPERADOR DE VEHICULOS DE EMERGENCIA (OVE)",IF(O136=[1]CURSOS!$D$21,"INSTITUCIONES AMIGAS DE LA MUJER Y LA INFANCIA (IAMI)",IF(O136=[1]CURSOS!$D$22,"CUIDADO DEL DONANTE DE ORGANOS",IF(O136=[1]CURSOS!$D$23,"ATENCION A VICTIMAS POR VIOLENCIA DE GENERO",IF(O136=[1]CURSOS!$D$24,"IGUALDAD DE GENERO EN LA SALUD",IF(O136=[1]CURSOS!$D$25,"BRIGADA DE EMERGENCIA",IF(O136=[1]CURSOS!$D$26,"MANEJO DEL DOLOR Y CUIDADOS PALIATIVOS",IF(O136=[1]CURSOS!$D$27,"TOMA DE MUESTRAS Y LABORATORIO POCT",IF(O136=[1]CURSOS!$D$28,"IMPLANTE SUBDERMICO DE DISPOSITIVO INTRAUTERINO",IF(O136=[1]CURSOS!$D$29,"SALUD MENTAL",IF(O136=[1]CURSOS!$D$30,"PRIMEROS AUXILIOS PSICOLOGICOS",IF(O136=[1]CURSOS!$D$31,"ATENCION A VICTIMAS POR CONFLICTO ARMADO",IF(O136=[1]CURSOS!$D$32,"MANIPULACION DE ALIMENTOS Y BPM",IF(O136=[1]CURSOS!$D$33,"ATENCION A PERSONAS CON DISCAPACIDAD",IF(O136=[1]CURSOS!$D$34,"CUIDADO INTEGRAL DEL PACIENTE ADULTO",IF(O136=[1]CURSOS!$D$35,"MANEJO DEFENSIVO",IF(O136=[1]CURSOS!$D$36,"SOPORTE CARDIOVASCULAR AVANZADO NEONATAL",IF(O136=[1]CURSOS!$D$37,"SEGURIDAD DEL PACIENTE")))))))))))))))))))))))))))))))))))</f>
        <v xml:space="preserve">CAMILLERO </v>
      </c>
      <c r="V136" s="52" t="str">
        <f t="shared" si="12"/>
        <v>Emerson Aldemar Burbano Meza</v>
      </c>
      <c r="W136" s="52" t="str">
        <f t="shared" si="13"/>
        <v>Emerson Aldemar Burbano Meza</v>
      </c>
      <c r="X136" s="52" t="str">
        <f t="shared" si="14"/>
        <v>Emerson Aldemar Burbano Meza-1004748518-CAMILLERO</v>
      </c>
    </row>
    <row r="137" spans="1:25" s="55" customFormat="1" x14ac:dyDescent="0.2">
      <c r="A137" s="17">
        <v>136</v>
      </c>
      <c r="B137" s="80">
        <v>1004748518</v>
      </c>
      <c r="C137" s="50" t="s">
        <v>85</v>
      </c>
      <c r="D137" s="50" t="s">
        <v>648</v>
      </c>
      <c r="E137" s="50" t="s">
        <v>649</v>
      </c>
      <c r="F137" s="187" t="s">
        <v>650</v>
      </c>
      <c r="G137" s="188">
        <v>30</v>
      </c>
      <c r="H137" s="188" t="s">
        <v>181</v>
      </c>
      <c r="I137" s="188" t="s">
        <v>517</v>
      </c>
      <c r="J137" s="182">
        <v>45533</v>
      </c>
      <c r="K137" s="181">
        <v>37500</v>
      </c>
      <c r="L137" s="188" t="s">
        <v>328</v>
      </c>
      <c r="M137" s="188" t="s">
        <v>86</v>
      </c>
      <c r="N137" s="188" t="s">
        <v>334</v>
      </c>
      <c r="O137" s="189" t="s">
        <v>49</v>
      </c>
      <c r="P137" s="18">
        <v>36938</v>
      </c>
      <c r="Q137" s="66" t="s">
        <v>316</v>
      </c>
      <c r="R137" s="17" t="s">
        <v>635</v>
      </c>
      <c r="S137" s="50">
        <v>3239339744</v>
      </c>
      <c r="T137" s="50" t="s">
        <v>651</v>
      </c>
      <c r="U137" s="52" t="str">
        <f>IF(O137=[1]CURSOS!$D$3,"DIPLOMADO EN ATENCION PRE-HOSPITALARIA",IF(O137=[1]CURSOS!$D$4,"ACOMPAÑAMIENTO Y MANEJO DEL DUELO",IF(O137=[1]CURSOS!$D$5,"ATENCION A VICTIMAS DE ATAQUE CON AGENTES QUIMICOS ",IF(O137=[1]CURSOS!$D$6,"PRIMEROS AUXILIOS ",IF(O137=[1]CURSOS!$D$7,"DIPLOMADO DE UNIDAD DE CUIDADOS INTENSIVOS (UCI)",IF(O137=[1]CURSOS!$D$8,"MODELO DE ATENCION PARA EVENTOS EMERGENTES EN SALUD MENTAL (CODIGO VERDE)",IF(O137=[1]CURSOS!$D$9,"HUMANIZACION EN EL SERVICIO DE LA SALUD Y BUENAS PRACTICAS EN PACIENTE ",IF(O137=[1]CURSOS!$D$10,"CLINICA DE HERIDAS ",IF(O137=[1]CURSOS!$D$11,"TOMA DE CITOLOGIA CERVICO VAGINAL ",IF(O137=[1]CURSOS!$D$12,"SOPORTE CARDIOVASCULAR AVANZADO (ACLS) ",IF(O137=[1]CURSOS!$D$13,"CAMILLERO ",IF(O137=[1]CURSOS!$D$14,"TOMA DE MUESTRAS Y LABORATORIO ",IF(O137=[1]CURSOS!$D$15,"SOPORTE VITAL BASICO (BLS)",IF(O137=[1]CURSOS!$D$16,"ATENCION A VICTIMAS DE VIOLENCIA SEXUAL ",IF(O137=[1]CURSOS!$D$17,"PROGRAMADO AMPLIADO DE INMUNIZACION (PAI - COVID 19)",IF(O137=[1]CURSOS!$D$18,"ATENCION INTEGRAL EN ENFERMEDADES PREVALENTES EN PRIMERA INFANCIA (AIEPI)",IF(O137=[1]CURSOS!$D$19,"ADMINISTRACION DE MEDICAMENTOS, INYECTOLOGIA  Y CANALIZACION ",IF(O137=[1]CURSOS!$D$20,"OPERADOR DE VEHICULOS DE EMERGENCIA (OVE)",IF(O137=[1]CURSOS!$D$21,"INSTITUCIONES AMIGAS DE LA MUJER Y LA INFANCIA (IAMI)",IF(O137=[1]CURSOS!$D$22,"CUIDADO DEL DONANTE DE ORGANOS",IF(O137=[1]CURSOS!$D$23,"ATENCION A VICTIMAS POR VIOLENCIA DE GENERO",IF(O137=[1]CURSOS!$D$24,"IGUALDAD DE GENERO EN LA SALUD",IF(O137=[1]CURSOS!$D$25,"BRIGADA DE EMERGENCIA",IF(O137=[1]CURSOS!$D$26,"MANEJO DEL DOLOR Y CUIDADOS PALIATIVOS",IF(O137=[1]CURSOS!$D$27,"TOMA DE MUESTRAS Y LABORATORIO POCT",IF(O137=[1]CURSOS!$D$28,"IMPLANTE SUBDERMICO DE DISPOSITIVO INTRAUTERINO",IF(O137=[1]CURSOS!$D$29,"SALUD MENTAL",IF(O137=[1]CURSOS!$D$30,"PRIMEROS AUXILIOS PSICOLOGICOS",IF(O137=[1]CURSOS!$D$31,"ATENCION A VICTIMAS POR CONFLICTO ARMADO",IF(O137=[1]CURSOS!$D$32,"MANIPULACION DE ALIMENTOS Y BPM",IF(O137=[1]CURSOS!$D$33,"ATENCION A PERSONAS CON DISCAPACIDAD",IF(O137=[1]CURSOS!$D$34,"CUIDADO INTEGRAL DEL PACIENTE ADULTO",IF(O137=[1]CURSOS!$D$35,"MANEJO DEFENSIVO",IF(O137=[1]CURSOS!$D$36,"SOPORTE CARDIOVASCULAR AVANZADO NEONATAL",IF(O137=[1]CURSOS!$D$37,"SEGURIDAD DEL PACIENTE")))))))))))))))))))))))))))))))))))</f>
        <v>OPERADOR DE VEHICULOS DE EMERGENCIA (OVE)</v>
      </c>
      <c r="V137" s="52" t="str">
        <f t="shared" si="12"/>
        <v>Emerson Aldemar Burbano Meza</v>
      </c>
      <c r="W137" s="52" t="str">
        <f t="shared" si="13"/>
        <v>Emerson Aldemar Burbano Meza</v>
      </c>
      <c r="X137" s="52" t="str">
        <f t="shared" si="14"/>
        <v>Emerson Aldemar Burbano Meza-1004748518-OVE</v>
      </c>
    </row>
    <row r="138" spans="1:25" s="55" customFormat="1" x14ac:dyDescent="0.2">
      <c r="A138" s="17">
        <v>137</v>
      </c>
      <c r="B138" s="80">
        <v>1004748518</v>
      </c>
      <c r="C138" s="50" t="s">
        <v>85</v>
      </c>
      <c r="D138" s="50" t="s">
        <v>648</v>
      </c>
      <c r="E138" s="50" t="s">
        <v>649</v>
      </c>
      <c r="F138" s="187" t="s">
        <v>650</v>
      </c>
      <c r="G138" s="188">
        <v>30</v>
      </c>
      <c r="H138" s="188" t="s">
        <v>181</v>
      </c>
      <c r="I138" s="188" t="s">
        <v>517</v>
      </c>
      <c r="J138" s="182">
        <v>45533</v>
      </c>
      <c r="K138" s="181">
        <v>37500</v>
      </c>
      <c r="L138" s="188" t="s">
        <v>328</v>
      </c>
      <c r="M138" s="188" t="s">
        <v>86</v>
      </c>
      <c r="N138" s="188" t="s">
        <v>334</v>
      </c>
      <c r="O138" s="189" t="s">
        <v>129</v>
      </c>
      <c r="P138" s="18">
        <v>36938</v>
      </c>
      <c r="Q138" s="66" t="s">
        <v>316</v>
      </c>
      <c r="R138" s="17" t="s">
        <v>635</v>
      </c>
      <c r="S138" s="50">
        <v>3239339744</v>
      </c>
      <c r="T138" s="50" t="s">
        <v>651</v>
      </c>
      <c r="U138" s="52" t="str">
        <f>IF(O138=[1]CURSOS!$D$3,"DIPLOMADO EN ATENCION PRE-HOSPITALARIA",IF(O138=[1]CURSOS!$D$4,"ACOMPAÑAMIENTO Y MANEJO DEL DUELO",IF(O138=[1]CURSOS!$D$5,"ATENCION A VICTIMAS DE ATAQUE CON AGENTES QUIMICOS ",IF(O138=[1]CURSOS!$D$6,"PRIMEROS AUXILIOS ",IF(O138=[1]CURSOS!$D$7,"DIPLOMADO DE UNIDAD DE CUIDADOS INTENSIVOS (UCI)",IF(O138=[1]CURSOS!$D$8,"MODELO DE ATENCION PARA EVENTOS EMERGENTES EN SALUD MENTAL (CODIGO VERDE)",IF(O138=[1]CURSOS!$D$9,"HUMANIZACION EN EL SERVICIO DE LA SALUD Y BUENAS PRACTICAS EN PACIENTE ",IF(O138=[1]CURSOS!$D$10,"CLINICA DE HERIDAS ",IF(O138=[1]CURSOS!$D$11,"TOMA DE CITOLOGIA CERVICO VAGINAL ",IF(O138=[1]CURSOS!$D$12,"SOPORTE CARDIOVASCULAR AVANZADO (ACLS) ",IF(O138=[1]CURSOS!$D$13,"CAMILLERO ",IF(O138=[1]CURSOS!$D$14,"TOMA DE MUESTRAS Y LABORATORIO ",IF(O138=[1]CURSOS!$D$15,"SOPORTE VITAL BASICO (BLS)",IF(O138=[1]CURSOS!$D$16,"ATENCION A VICTIMAS DE VIOLENCIA SEXUAL ",IF(O138=[1]CURSOS!$D$17,"PROGRAMADO AMPLIADO DE INMUNIZACION (PAI - COVID 19)",IF(O138=[1]CURSOS!$D$18,"ATENCION INTEGRAL EN ENFERMEDADES PREVALENTES EN PRIMERA INFANCIA (AIEPI)",IF(O138=[1]CURSOS!$D$19,"ADMINISTRACION DE MEDICAMENTOS, INYECTOLOGIA  Y CANALIZACION ",IF(O138=[1]CURSOS!$D$20,"OPERADOR DE VEHICULOS DE EMERGENCIA (OVE)",IF(O138=[1]CURSOS!$D$21,"INSTITUCIONES AMIGAS DE LA MUJER Y LA INFANCIA (IAMI)",IF(O138=[1]CURSOS!$D$22,"CUIDADO DEL DONANTE DE ORGANOS",IF(O138=[1]CURSOS!$D$23,"ATENCION A VICTIMAS POR VIOLENCIA DE GENERO",IF(O138=[1]CURSOS!$D$24,"IGUALDAD DE GENERO EN LA SALUD",IF(O138=[1]CURSOS!$D$25,"BRIGADA DE EMERGENCIA",IF(O138=[1]CURSOS!$D$26,"MANEJO DEL DOLOR Y CUIDADOS PALIATIVOS",IF(O138=[1]CURSOS!$D$27,"TOMA DE MUESTRAS Y LABORATORIO POCT",IF(O138=[1]CURSOS!$D$28,"IMPLANTE SUBDERMICO DE DISPOSITIVO INTRAUTERINO",IF(O138=[1]CURSOS!$D$29,"SALUD MENTAL",IF(O138=[1]CURSOS!$D$30,"PRIMEROS AUXILIOS PSICOLOGICOS",IF(O138=[1]CURSOS!$D$31,"ATENCION A VICTIMAS POR CONFLICTO ARMADO",IF(O138=[1]CURSOS!$D$32,"MANIPULACION DE ALIMENTOS Y BPM",IF(O138=[1]CURSOS!$D$33,"ATENCION A PERSONAS CON DISCAPACIDAD",IF(O138=[1]CURSOS!$D$34,"CUIDADO INTEGRAL DEL PACIENTE ADULTO",IF(O138=[1]CURSOS!$D$35,"MANEJO DEFENSIVO",IF(O138=[1]CURSOS!$D$36,"SOPORTE CARDIOVASCULAR AVANZADO NEONATAL",IF(O138=[1]CURSOS!$D$37,"SEGURIDAD DEL PACIENTE")))))))))))))))))))))))))))))))))))</f>
        <v>MANEJO DEFENSIVO</v>
      </c>
      <c r="V138" s="52" t="str">
        <f t="shared" si="12"/>
        <v>Emerson Aldemar Burbano Meza</v>
      </c>
      <c r="W138" s="52" t="str">
        <f t="shared" si="13"/>
        <v>Emerson Aldemar Burbano Meza</v>
      </c>
      <c r="X138" s="52" t="str">
        <f t="shared" si="14"/>
        <v>Emerson Aldemar Burbano Meza-1004748518-MANEJO DEFENSIVO</v>
      </c>
    </row>
    <row r="139" spans="1:25" s="55" customFormat="1" x14ac:dyDescent="0.2">
      <c r="A139" s="17">
        <v>138</v>
      </c>
      <c r="B139" s="80">
        <v>1004697347</v>
      </c>
      <c r="C139" s="50" t="s">
        <v>652</v>
      </c>
      <c r="D139" s="50" t="s">
        <v>414</v>
      </c>
      <c r="E139" s="50" t="s">
        <v>653</v>
      </c>
      <c r="F139" s="187" t="s">
        <v>340</v>
      </c>
      <c r="G139" s="188">
        <v>28</v>
      </c>
      <c r="H139" s="188" t="s">
        <v>181</v>
      </c>
      <c r="I139" s="188" t="s">
        <v>519</v>
      </c>
      <c r="J139" s="182">
        <v>45534</v>
      </c>
      <c r="K139" s="181">
        <v>32000</v>
      </c>
      <c r="L139" s="188" t="s">
        <v>794</v>
      </c>
      <c r="M139" s="188" t="s">
        <v>86</v>
      </c>
      <c r="N139" s="188" t="s">
        <v>326</v>
      </c>
      <c r="O139" s="189" t="s">
        <v>19</v>
      </c>
      <c r="P139" s="18">
        <v>34667</v>
      </c>
      <c r="Q139" s="66" t="s">
        <v>316</v>
      </c>
      <c r="R139" s="17" t="s">
        <v>543</v>
      </c>
      <c r="S139" s="50">
        <v>3205014450</v>
      </c>
      <c r="T139" s="50" t="s">
        <v>654</v>
      </c>
      <c r="U139" s="52" t="str">
        <f>IF(O139=[1]CURSOS!$D$3,"DIPLOMADO EN ATENCION PRE-HOSPITALARIA",IF(O139=[1]CURSOS!$D$4,"ACOMPAÑAMIENTO Y MANEJO DEL DUELO",IF(O139=[1]CURSOS!$D$5,"ATENCION A VICTIMAS DE ATAQUE CON AGENTES QUIMICOS ",IF(O139=[1]CURSOS!$D$6,"PRIMEROS AUXILIOS ",IF(O139=[1]CURSOS!$D$7,"DIPLOMADO DE UNIDAD DE CUIDADOS INTENSIVOS (UCI)",IF(O139=[1]CURSOS!$D$8,"MODELO DE ATENCION PARA EVENTOS EMERGENTES EN SALUD MENTAL (CODIGO VERDE)",IF(O139=[1]CURSOS!$D$9,"HUMANIZACION EN EL SERVICIO DE LA SALUD Y BUENAS PRACTICAS EN PACIENTE ",IF(O139=[1]CURSOS!$D$10,"CLINICA DE HERIDAS ",IF(O139=[1]CURSOS!$D$11,"TOMA DE CITOLOGIA CERVICO VAGINAL ",IF(O139=[1]CURSOS!$D$12,"SOPORTE CARDIOVASCULAR AVANZADO (ACLS) ",IF(O139=[1]CURSOS!$D$13,"CAMILLERO ",IF(O139=[1]CURSOS!$D$14,"TOMA DE MUESTRAS Y LABORATORIO ",IF(O139=[1]CURSOS!$D$15,"SOPORTE VITAL BASICO (BLS)",IF(O139=[1]CURSOS!$D$16,"ATENCION A VICTIMAS DE VIOLENCIA SEXUAL ",IF(O139=[1]CURSOS!$D$17,"PROGRAMADO AMPLIADO DE INMUNIZACION (PAI - COVID 19)",IF(O139=[1]CURSOS!$D$18,"ATENCION INTEGRAL EN ENFERMEDADES PREVALENTES EN PRIMERA INFANCIA (AIEPI)",IF(O139=[1]CURSOS!$D$19,"ADMINISTRACION DE MEDICAMENTOS, INYECTOLOGIA  Y CANALIZACION ",IF(O139=[1]CURSOS!$D$20,"OPERADOR DE VEHICULOS DE EMERGENCIA (OVE)",IF(O139=[1]CURSOS!$D$21,"INSTITUCIONES AMIGAS DE LA MUJER Y LA INFANCIA (IAMI)",IF(O139=[1]CURSOS!$D$22,"CUIDADO DEL DONANTE DE ORGANOS",IF(O139=[1]CURSOS!$D$23,"ATENCION A VICTIMAS POR VIOLENCIA DE GENERO",IF(O139=[1]CURSOS!$D$24,"IGUALDAD DE GENERO EN LA SALUD",IF(O139=[1]CURSOS!$D$25,"BRIGADA DE EMERGENCIA",IF(O139=[1]CURSOS!$D$26,"MANEJO DEL DOLOR Y CUIDADOS PALIATIVOS",IF(O139=[1]CURSOS!$D$27,"TOMA DE MUESTRAS Y LABORATORIO POCT",IF(O139=[1]CURSOS!$D$28,"IMPLANTE SUBDERMICO DE DISPOSITIVO INTRAUTERINO",IF(O139=[1]CURSOS!$D$29,"SALUD MENTAL",IF(O139=[1]CURSOS!$D$30,"PRIMEROS AUXILIOS PSICOLOGICOS",IF(O139=[1]CURSOS!$D$31,"ATENCION A VICTIMAS POR CONFLICTO ARMADO",IF(O139=[1]CURSOS!$D$32,"MANIPULACION DE ALIMENTOS Y BPM",IF(O139=[1]CURSOS!$D$33,"ATENCION A PERSONAS CON DISCAPACIDAD",IF(O139=[1]CURSOS!$D$34,"CUIDADO INTEGRAL DEL PACIENTE ADULTO",IF(O139=[1]CURSOS!$D$35,"MANEJO DEFENSIVO",IF(O139=[1]CURSOS!$D$36,"SOPORTE CARDIOVASCULAR AVANZADO NEONATAL",IF(O139=[1]CURSOS!$D$37,"SEGURIDAD DEL PACIENTE")))))))))))))))))))))))))))))))))))</f>
        <v>SOPORTE VITAL BASICO (BLS)</v>
      </c>
      <c r="V139" s="52" t="str">
        <f t="shared" si="12"/>
        <v>Jair Fernando Villacorte Ortega</v>
      </c>
      <c r="W139" s="52" t="str">
        <f t="shared" si="13"/>
        <v>Jair Fernando Villacorte Ortega</v>
      </c>
      <c r="X139" s="52" t="str">
        <f t="shared" si="14"/>
        <v>Jair Fernando Villacorte Ortega-1004697347-BLS</v>
      </c>
    </row>
    <row r="140" spans="1:25" s="55" customFormat="1" x14ac:dyDescent="0.2">
      <c r="A140" s="17">
        <v>139</v>
      </c>
      <c r="B140" s="80">
        <v>1110473320</v>
      </c>
      <c r="C140" s="50" t="s">
        <v>655</v>
      </c>
      <c r="D140" s="50" t="s">
        <v>656</v>
      </c>
      <c r="E140" s="50" t="s">
        <v>657</v>
      </c>
      <c r="F140" s="50" t="s">
        <v>658</v>
      </c>
      <c r="G140" s="66">
        <v>29</v>
      </c>
      <c r="H140" s="66" t="s">
        <v>181</v>
      </c>
      <c r="I140" s="66" t="s">
        <v>660</v>
      </c>
      <c r="J140" s="66" t="s">
        <v>660</v>
      </c>
      <c r="K140" s="19">
        <v>0</v>
      </c>
      <c r="L140" s="66" t="s">
        <v>660</v>
      </c>
      <c r="M140" s="66" t="s">
        <v>86</v>
      </c>
      <c r="N140" s="66" t="s">
        <v>539</v>
      </c>
      <c r="O140" s="67" t="s">
        <v>659</v>
      </c>
      <c r="P140" s="50"/>
      <c r="Q140" s="66" t="s">
        <v>316</v>
      </c>
      <c r="R140" s="17"/>
      <c r="S140" s="50"/>
      <c r="T140" s="50"/>
      <c r="U140" s="52" t="s">
        <v>659</v>
      </c>
      <c r="V140" s="52" t="str">
        <f t="shared" si="12"/>
        <v>Miguel  Angel Tovar Liberato</v>
      </c>
      <c r="W140" s="52" t="str">
        <f t="shared" si="13"/>
        <v>Miguel  Angel Tovar Liberato</v>
      </c>
      <c r="X140" s="52" t="str">
        <f t="shared" si="14"/>
        <v>Miguel  Angel Tovar Liberato-1110473320-PERFECCIONAMIENTO DE LIDERAZGO BÁSICO</v>
      </c>
      <c r="Y140" s="157"/>
    </row>
    <row r="141" spans="1:25" s="55" customFormat="1" x14ac:dyDescent="0.2">
      <c r="A141" s="17">
        <v>140</v>
      </c>
      <c r="B141" s="80">
        <v>1002960211</v>
      </c>
      <c r="C141" s="50" t="s">
        <v>145</v>
      </c>
      <c r="D141" s="50" t="s">
        <v>363</v>
      </c>
      <c r="E141" s="50" t="s">
        <v>382</v>
      </c>
      <c r="F141" s="187" t="s">
        <v>115</v>
      </c>
      <c r="G141" s="188">
        <v>29</v>
      </c>
      <c r="H141" s="188" t="s">
        <v>181</v>
      </c>
      <c r="I141" s="188" t="s">
        <v>519</v>
      </c>
      <c r="J141" s="182">
        <v>45533</v>
      </c>
      <c r="K141" s="181">
        <v>30000</v>
      </c>
      <c r="L141" s="188" t="s">
        <v>322</v>
      </c>
      <c r="M141" s="188" t="s">
        <v>86</v>
      </c>
      <c r="N141" s="188" t="s">
        <v>320</v>
      </c>
      <c r="O141" s="189" t="s">
        <v>19</v>
      </c>
      <c r="P141" s="18">
        <v>36997</v>
      </c>
      <c r="Q141" s="66" t="s">
        <v>309</v>
      </c>
      <c r="R141" s="17" t="s">
        <v>662</v>
      </c>
      <c r="S141" s="50">
        <v>3234149843</v>
      </c>
      <c r="T141" s="50" t="s">
        <v>663</v>
      </c>
      <c r="U141" s="52" t="str">
        <f>IF(O141=[1]CURSOS!$D$3,"DIPLOMADO EN ATENCION PRE-HOSPITALARIA",IF(O141=[1]CURSOS!$D$4,"ACOMPAÑAMIENTO Y MANEJO DEL DUELO",IF(O141=[1]CURSOS!$D$5,"ATENCION A VICTIMAS DE ATAQUE CON AGENTES QUIMICOS ",IF(O141=[1]CURSOS!$D$6,"PRIMEROS AUXILIOS ",IF(O141=[1]CURSOS!$D$7,"DIPLOMADO DE UNIDAD DE CUIDADOS INTENSIVOS (UCI)",IF(O141=[1]CURSOS!$D$8,"MODELO DE ATENCION PARA EVENTOS EMERGENTES EN SALUD MENTAL (CODIGO VERDE)",IF(O141=[1]CURSOS!$D$9,"HUMANIZACION EN EL SERVICIO DE LA SALUD Y BUENAS PRACTICAS EN PACIENTE ",IF(O141=[1]CURSOS!$D$10,"CLINICA DE HERIDAS ",IF(O141=[1]CURSOS!$D$11,"TOMA DE CITOLOGIA CERVICO VAGINAL ",IF(O141=[1]CURSOS!$D$12,"SOPORTE CARDIOVASCULAR AVANZADO (ACLS) ",IF(O141=[1]CURSOS!$D$13,"CAMILLERO ",IF(O141=[1]CURSOS!$D$14,"TOMA DE MUESTRAS Y LABORATORIO ",IF(O141=[1]CURSOS!$D$15,"SOPORTE VITAL BASICO (BLS)",IF(O141=[1]CURSOS!$D$16,"ATENCION A VICTIMAS DE VIOLENCIA SEXUAL ",IF(O141=[1]CURSOS!$D$17,"PROGRAMADO AMPLIADO DE INMUNIZACION (PAI - COVID 19)",IF(O141=[1]CURSOS!$D$18,"ATENCION INTEGRAL EN ENFERMEDADES PREVALENTES EN PRIMERA INFANCIA (AIEPI)",IF(O141=[1]CURSOS!$D$19,"ADMINISTRACION DE MEDICAMENTOS, INYECTOLOGIA  Y CANALIZACION ",IF(O141=[1]CURSOS!$D$20,"OPERADOR DE VEHICULOS DE EMERGENCIA (OVE)",IF(O141=[1]CURSOS!$D$21,"INSTITUCIONES AMIGAS DE LA MUJER Y LA INFANCIA (IAMI)",IF(O141=[1]CURSOS!$D$22,"CUIDADO DEL DONANTE DE ORGANOS",IF(O141=[1]CURSOS!$D$23,"ATENCION A VICTIMAS POR VIOLENCIA DE GENERO",IF(O141=[1]CURSOS!$D$24,"IGUALDAD DE GENERO EN LA SALUD",IF(O141=[1]CURSOS!$D$25,"BRIGADA DE EMERGENCIA",IF(O141=[1]CURSOS!$D$26,"MANEJO DEL DOLOR Y CUIDADOS PALIATIVOS",IF(O141=[1]CURSOS!$D$27,"TOMA DE MUESTRAS Y LABORATORIO POCT",IF(O141=[1]CURSOS!$D$28,"IMPLANTE SUBDERMICO DE DISPOSITIVO INTRAUTERINO",IF(O141=[1]CURSOS!$D$29,"SALUD MENTAL",IF(O141=[1]CURSOS!$D$30,"PRIMEROS AUXILIOS PSICOLOGICOS",IF(O141=[1]CURSOS!$D$31,"ATENCION A VICTIMAS POR CONFLICTO ARMADO",IF(O141=[1]CURSOS!$D$32,"MANIPULACION DE ALIMENTOS Y BPM",IF(O141=[1]CURSOS!$D$33,"ATENCION A PERSONAS CON DISCAPACIDAD",IF(O141=[1]CURSOS!$D$34,"CUIDADO INTEGRAL DEL PACIENTE ADULTO",IF(O141=[1]CURSOS!$D$35,"MANEJO DEFENSIVO",IF(O141=[1]CURSOS!$D$36,"SOPORTE CARDIOVASCULAR AVANZADO NEONATAL",IF(O141=[1]CURSOS!$D$37,"SEGURIDAD DEL PACIENTE")))))))))))))))))))))))))))))))))))</f>
        <v>SOPORTE VITAL BASICO (BLS)</v>
      </c>
      <c r="V141" s="52" t="str">
        <f t="shared" si="12"/>
        <v>Daniela Alejandra Meneses Ceron</v>
      </c>
      <c r="W141" s="52" t="str">
        <f t="shared" si="13"/>
        <v>Daniela Alejandra Meneses Ceron</v>
      </c>
      <c r="X141" s="52" t="str">
        <f t="shared" si="14"/>
        <v>Daniela Alejandra Meneses Ceron-1002960211-BLS</v>
      </c>
      <c r="Y141" s="157"/>
    </row>
    <row r="142" spans="1:25" x14ac:dyDescent="0.2">
      <c r="A142" s="17">
        <v>141</v>
      </c>
      <c r="B142" s="80">
        <v>87030027</v>
      </c>
      <c r="C142" s="50" t="s">
        <v>577</v>
      </c>
      <c r="D142" s="50" t="s">
        <v>648</v>
      </c>
      <c r="E142" s="50" t="s">
        <v>159</v>
      </c>
      <c r="F142" s="187" t="s">
        <v>416</v>
      </c>
      <c r="G142" s="188">
        <v>31</v>
      </c>
      <c r="H142" s="188" t="s">
        <v>181</v>
      </c>
      <c r="I142" s="188" t="s">
        <v>517</v>
      </c>
      <c r="J142" s="182">
        <v>45533</v>
      </c>
      <c r="K142" s="181">
        <v>37500</v>
      </c>
      <c r="L142" s="188" t="s">
        <v>328</v>
      </c>
      <c r="M142" s="188" t="s">
        <v>86</v>
      </c>
      <c r="N142" s="188" t="s">
        <v>334</v>
      </c>
      <c r="O142" s="189" t="s">
        <v>27</v>
      </c>
      <c r="P142" s="18">
        <v>31033</v>
      </c>
      <c r="Q142" s="66" t="s">
        <v>316</v>
      </c>
      <c r="R142" s="17" t="s">
        <v>635</v>
      </c>
      <c r="S142" s="50">
        <v>3147970106</v>
      </c>
      <c r="T142" s="50" t="s">
        <v>784</v>
      </c>
      <c r="U142" s="52" t="str">
        <f>IF(O142=[1]CURSOS!$D$3,"DIPLOMADO EN ATENCION PRE-HOSPITALARIA",IF(O142=[1]CURSOS!$D$4,"ACOMPAÑAMIENTO Y MANEJO DEL DUELO",IF(O142=[1]CURSOS!$D$5,"ATENCION A VICTIMAS DE ATAQUE CON AGENTES QUIMICOS ",IF(O142=[1]CURSOS!$D$6,"PRIMEROS AUXILIOS ",IF(O142=[1]CURSOS!$D$7,"DIPLOMADO DE UNIDAD DE CUIDADOS INTENSIVOS (UCI)",IF(O142=[1]CURSOS!$D$8,"MODELO DE ATENCION PARA EVENTOS EMERGENTES EN SALUD MENTAL (CODIGO VERDE)",IF(O142=[1]CURSOS!$D$9,"HUMANIZACION EN EL SERVICIO DE LA SALUD Y BUENAS PRACTICAS EN PACIENTE ",IF(O142=[1]CURSOS!$D$10,"CLINICA DE HERIDAS ",IF(O142=[1]CURSOS!$D$11,"TOMA DE CITOLOGIA CERVICO VAGINAL ",IF(O142=[1]CURSOS!$D$12,"SOPORTE CARDIOVASCULAR AVANZADO (ACLS) ",IF(O142=[1]CURSOS!$D$13,"CAMILLERO ",IF(O142=[1]CURSOS!$D$14,"TOMA DE MUESTRAS Y LABORATORIO ",IF(O142=[1]CURSOS!$D$15,"SOPORTE VITAL BASICO (BLS)",IF(O142=[1]CURSOS!$D$16,"ATENCION A VICTIMAS DE VIOLENCIA SEXUAL ",IF(O142=[1]CURSOS!$D$17,"PROGRAMADO AMPLIADO DE INMUNIZACION (PAI - COVID 19)",IF(O142=[1]CURSOS!$D$18,"ATENCION INTEGRAL EN ENFERMEDADES PREVALENTES EN PRIMERA INFANCIA (AIEPI)",IF(O142=[1]CURSOS!$D$19,"ADMINISTRACION DE MEDICAMENTOS, INYECTOLOGIA  Y CANALIZACION ",IF(O142=[1]CURSOS!$D$20,"OPERADOR DE VEHICULOS DE EMERGENCIA (OVE)",IF(O142=[1]CURSOS!$D$21,"INSTITUCIONES AMIGAS DE LA MUJER Y LA INFANCIA (IAMI)",IF(O142=[1]CURSOS!$D$22,"CUIDADO DEL DONANTE DE ORGANOS",IF(O142=[1]CURSOS!$D$23,"ATENCION A VICTIMAS POR VIOLENCIA DE GENERO",IF(O142=[1]CURSOS!$D$24,"IGUALDAD DE GENERO EN LA SALUD",IF(O142=[1]CURSOS!$D$25,"BRIGADA DE EMERGENCIA",IF(O142=[1]CURSOS!$D$26,"MANEJO DEL DOLOR Y CUIDADOS PALIATIVOS",IF(O142=[1]CURSOS!$D$27,"TOMA DE MUESTRAS Y LABORATORIO POCT",IF(O142=[1]CURSOS!$D$28,"IMPLANTE SUBDERMICO DE DISPOSITIVO INTRAUTERINO",IF(O142=[1]CURSOS!$D$29,"SALUD MENTAL",IF(O142=[1]CURSOS!$D$30,"PRIMEROS AUXILIOS PSICOLOGICOS",IF(O142=[1]CURSOS!$D$31,"ATENCION A VICTIMAS POR CONFLICTO ARMADO",IF(O142=[1]CURSOS!$D$32,"MANIPULACION DE ALIMENTOS Y BPM",IF(O142=[1]CURSOS!$D$33,"ATENCION A PERSONAS CON DISCAPACIDAD",IF(O142=[1]CURSOS!$D$34,"CUIDADO INTEGRAL DEL PACIENTE ADULTO",IF(O142=[1]CURSOS!$D$35,"MANEJO DEFENSIVO",IF(O142=[1]CURSOS!$D$36,"SOPORTE CARDIOVASCULAR AVANZADO NEONATAL",IF(O142=[1]CURSOS!$D$37,"SEGURIDAD DEL PACIENTE")))))))))))))))))))))))))))))))))))</f>
        <v xml:space="preserve">PRIMEROS AUXILIOS </v>
      </c>
      <c r="V142" s="52" t="str">
        <f t="shared" ref="V142:V148" si="15">CONCATENATE(E142," ",F142," ",C142," ",D142)</f>
        <v>Jesus Javier Hidalgo Meza</v>
      </c>
      <c r="W142" s="52" t="str">
        <f t="shared" ref="W142:W148" si="16">+PROPER(V142)</f>
        <v>Jesus Javier Hidalgo Meza</v>
      </c>
      <c r="X142" s="52" t="str">
        <f t="shared" ref="X142:X148" si="17">CONCATENATE(V142,"-",B142,"-",O142)</f>
        <v>Jesus Javier Hidalgo Meza-87030027-PRIMEROS AUXILIOS</v>
      </c>
    </row>
    <row r="143" spans="1:25" x14ac:dyDescent="0.2">
      <c r="A143" s="76">
        <v>142</v>
      </c>
      <c r="B143" s="161">
        <v>87030027</v>
      </c>
      <c r="C143" s="75" t="s">
        <v>577</v>
      </c>
      <c r="D143" s="75" t="s">
        <v>648</v>
      </c>
      <c r="E143" s="75" t="s">
        <v>159</v>
      </c>
      <c r="F143" s="191" t="s">
        <v>416</v>
      </c>
      <c r="G143" s="192">
        <v>31</v>
      </c>
      <c r="H143" s="192" t="s">
        <v>181</v>
      </c>
      <c r="I143" s="192" t="s">
        <v>517</v>
      </c>
      <c r="J143" s="193">
        <v>45533</v>
      </c>
      <c r="K143" s="186">
        <v>37500</v>
      </c>
      <c r="L143" s="192" t="s">
        <v>328</v>
      </c>
      <c r="M143" s="192" t="s">
        <v>86</v>
      </c>
      <c r="N143" s="192" t="s">
        <v>334</v>
      </c>
      <c r="O143" s="194" t="s">
        <v>39</v>
      </c>
      <c r="P143" s="77">
        <v>31033</v>
      </c>
      <c r="Q143" s="159" t="s">
        <v>316</v>
      </c>
      <c r="R143" s="76" t="s">
        <v>635</v>
      </c>
      <c r="S143" s="75">
        <v>3147970106</v>
      </c>
      <c r="T143" s="75" t="s">
        <v>784</v>
      </c>
      <c r="U143" s="145" t="str">
        <f>IF(O143=[1]CURSOS!$D$3,"DIPLOMADO EN ATENCION PRE-HOSPITALARIA",IF(O143=[1]CURSOS!$D$4,"ACOMPAÑAMIENTO Y MANEJO DEL DUELO",IF(O143=[1]CURSOS!$D$5,"ATENCION A VICTIMAS DE ATAQUE CON AGENTES QUIMICOS ",IF(O143=[1]CURSOS!$D$6,"PRIMEROS AUXILIOS ",IF(O143=[1]CURSOS!$D$7,"DIPLOMADO DE UNIDAD DE CUIDADOS INTENSIVOS (UCI)",IF(O143=[1]CURSOS!$D$8,"MODELO DE ATENCION PARA EVENTOS EMERGENTES EN SALUD MENTAL (CODIGO VERDE)",IF(O143=[1]CURSOS!$D$9,"HUMANIZACION EN EL SERVICIO DE LA SALUD Y BUENAS PRACTICAS EN PACIENTE ",IF(O143=[1]CURSOS!$D$10,"CLINICA DE HERIDAS ",IF(O143=[1]CURSOS!$D$11,"TOMA DE CITOLOGIA CERVICO VAGINAL ",IF(O143=[1]CURSOS!$D$12,"SOPORTE CARDIOVASCULAR AVANZADO (ACLS) ",IF(O143=[1]CURSOS!$D$13,"CAMILLERO ",IF(O143=[1]CURSOS!$D$14,"TOMA DE MUESTRAS Y LABORATORIO ",IF(O143=[1]CURSOS!$D$15,"SOPORTE VITAL BASICO (BLS)",IF(O143=[1]CURSOS!$D$16,"ATENCION A VICTIMAS DE VIOLENCIA SEXUAL ",IF(O143=[1]CURSOS!$D$17,"PROGRAMADO AMPLIADO DE INMUNIZACION (PAI - COVID 19)",IF(O143=[1]CURSOS!$D$18,"ATENCION INTEGRAL EN ENFERMEDADES PREVALENTES EN PRIMERA INFANCIA (AIEPI)",IF(O143=[1]CURSOS!$D$19,"ADMINISTRACION DE MEDICAMENTOS, INYECTOLOGIA  Y CANALIZACION ",IF(O143=[1]CURSOS!$D$20,"OPERADOR DE VEHICULOS DE EMERGENCIA (OVE)",IF(O143=[1]CURSOS!$D$21,"INSTITUCIONES AMIGAS DE LA MUJER Y LA INFANCIA (IAMI)",IF(O143=[1]CURSOS!$D$22,"CUIDADO DEL DONANTE DE ORGANOS",IF(O143=[1]CURSOS!$D$23,"ATENCION A VICTIMAS POR VIOLENCIA DE GENERO",IF(O143=[1]CURSOS!$D$24,"IGUALDAD DE GENERO EN LA SALUD",IF(O143=[1]CURSOS!$D$25,"BRIGADA DE EMERGENCIA",IF(O143=[1]CURSOS!$D$26,"MANEJO DEL DOLOR Y CUIDADOS PALIATIVOS",IF(O143=[1]CURSOS!$D$27,"TOMA DE MUESTRAS Y LABORATORIO POCT",IF(O143=[1]CURSOS!$D$28,"IMPLANTE SUBDERMICO DE DISPOSITIVO INTRAUTERINO",IF(O143=[1]CURSOS!$D$29,"SALUD MENTAL",IF(O143=[1]CURSOS!$D$30,"PRIMEROS AUXILIOS PSICOLOGICOS",IF(O143=[1]CURSOS!$D$31,"ATENCION A VICTIMAS POR CONFLICTO ARMADO",IF(O143=[1]CURSOS!$D$32,"MANIPULACION DE ALIMENTOS Y BPM",IF(O143=[1]CURSOS!$D$33,"ATENCION A PERSONAS CON DISCAPACIDAD",IF(O143=[1]CURSOS!$D$34,"CUIDADO INTEGRAL DEL PACIENTE ADULTO",IF(O143=[1]CURSOS!$D$35,"MANEJO DEFENSIVO",IF(O143=[1]CURSOS!$D$36,"SOPORTE CARDIOVASCULAR AVANZADO NEONATAL",IF(O143=[1]CURSOS!$D$37,"SEGURIDAD DEL PACIENTE")))))))))))))))))))))))))))))))))))</f>
        <v xml:space="preserve">CAMILLERO </v>
      </c>
      <c r="V143" s="145" t="str">
        <f t="shared" si="15"/>
        <v>Jesus Javier Hidalgo Meza</v>
      </c>
      <c r="W143" s="145" t="str">
        <f t="shared" si="16"/>
        <v>Jesus Javier Hidalgo Meza</v>
      </c>
      <c r="X143" s="145" t="str">
        <f t="shared" si="17"/>
        <v>Jesus Javier Hidalgo Meza-87030027-CAMILLERO</v>
      </c>
    </row>
    <row r="144" spans="1:25" s="55" customFormat="1" x14ac:dyDescent="0.2">
      <c r="A144" s="17">
        <v>143</v>
      </c>
      <c r="B144" s="50">
        <v>87030027</v>
      </c>
      <c r="C144" s="50" t="s">
        <v>577</v>
      </c>
      <c r="D144" s="50" t="s">
        <v>648</v>
      </c>
      <c r="E144" s="50" t="s">
        <v>159</v>
      </c>
      <c r="F144" s="187" t="s">
        <v>416</v>
      </c>
      <c r="G144" s="188">
        <v>30</v>
      </c>
      <c r="H144" s="188" t="s">
        <v>181</v>
      </c>
      <c r="I144" s="188" t="s">
        <v>517</v>
      </c>
      <c r="J144" s="182">
        <v>45533</v>
      </c>
      <c r="K144" s="181">
        <v>37500</v>
      </c>
      <c r="L144" s="188" t="s">
        <v>328</v>
      </c>
      <c r="M144" s="188" t="s">
        <v>86</v>
      </c>
      <c r="N144" s="188" t="s">
        <v>334</v>
      </c>
      <c r="O144" s="189" t="s">
        <v>49</v>
      </c>
      <c r="P144" s="18">
        <v>31033</v>
      </c>
      <c r="Q144" s="66" t="s">
        <v>316</v>
      </c>
      <c r="R144" s="17" t="s">
        <v>635</v>
      </c>
      <c r="S144" s="50">
        <v>3147970106</v>
      </c>
      <c r="T144" s="50" t="s">
        <v>784</v>
      </c>
      <c r="U144" s="52" t="str">
        <f>IF(O144=[1]CURSOS!$D$3,"DIPLOMADO EN ATENCION PRE-HOSPITALARIA",IF(O144=[1]CURSOS!$D$4,"ACOMPAÑAMIENTO Y MANEJO DEL DUELO",IF(O144=[1]CURSOS!$D$5,"ATENCION A VICTIMAS DE ATAQUE CON AGENTES QUIMICOS ",IF(O144=[1]CURSOS!$D$6,"PRIMEROS AUXILIOS ",IF(O144=[1]CURSOS!$D$7,"DIPLOMADO DE UNIDAD DE CUIDADOS INTENSIVOS (UCI)",IF(O144=[1]CURSOS!$D$8,"MODELO DE ATENCION PARA EVENTOS EMERGENTES EN SALUD MENTAL (CODIGO VERDE)",IF(O144=[1]CURSOS!$D$9,"HUMANIZACION EN EL SERVICIO DE LA SALUD Y BUENAS PRACTICAS EN PACIENTE ",IF(O144=[1]CURSOS!$D$10,"CLINICA DE HERIDAS ",IF(O144=[1]CURSOS!$D$11,"TOMA DE CITOLOGIA CERVICO VAGINAL ",IF(O144=[1]CURSOS!$D$12,"SOPORTE CARDIOVASCULAR AVANZADO (ACLS) ",IF(O144=[1]CURSOS!$D$13,"CAMILLERO ",IF(O144=[1]CURSOS!$D$14,"TOMA DE MUESTRAS Y LABORATORIO ",IF(O144=[1]CURSOS!$D$15,"SOPORTE VITAL BASICO (BLS)",IF(O144=[1]CURSOS!$D$16,"ATENCION A VICTIMAS DE VIOLENCIA SEXUAL ",IF(O144=[1]CURSOS!$D$17,"PROGRAMADO AMPLIADO DE INMUNIZACION (PAI - COVID 19)",IF(O144=[1]CURSOS!$D$18,"ATENCION INTEGRAL EN ENFERMEDADES PREVALENTES EN PRIMERA INFANCIA (AIEPI)",IF(O144=[1]CURSOS!$D$19,"ADMINISTRACION DE MEDICAMENTOS, INYECTOLOGIA  Y CANALIZACION ",IF(O144=[1]CURSOS!$D$20,"OPERADOR DE VEHICULOS DE EMERGENCIA (OVE)",IF(O144=[1]CURSOS!$D$21,"INSTITUCIONES AMIGAS DE LA MUJER Y LA INFANCIA (IAMI)",IF(O144=[1]CURSOS!$D$22,"CUIDADO DEL DONANTE DE ORGANOS",IF(O144=[1]CURSOS!$D$23,"ATENCION A VICTIMAS POR VIOLENCIA DE GENERO",IF(O144=[1]CURSOS!$D$24,"IGUALDAD DE GENERO EN LA SALUD",IF(O144=[1]CURSOS!$D$25,"BRIGADA DE EMERGENCIA",IF(O144=[1]CURSOS!$D$26,"MANEJO DEL DOLOR Y CUIDADOS PALIATIVOS",IF(O144=[1]CURSOS!$D$27,"TOMA DE MUESTRAS Y LABORATORIO POCT",IF(O144=[1]CURSOS!$D$28,"IMPLANTE SUBDERMICO DE DISPOSITIVO INTRAUTERINO",IF(O144=[1]CURSOS!$D$29,"SALUD MENTAL",IF(O144=[1]CURSOS!$D$30,"PRIMEROS AUXILIOS PSICOLOGICOS",IF(O144=[1]CURSOS!$D$31,"ATENCION A VICTIMAS POR CONFLICTO ARMADO",IF(O144=[1]CURSOS!$D$32,"MANIPULACION DE ALIMENTOS Y BPM",IF(O144=[1]CURSOS!$D$33,"ATENCION A PERSONAS CON DISCAPACIDAD",IF(O144=[1]CURSOS!$D$34,"CUIDADO INTEGRAL DEL PACIENTE ADULTO",IF(O144=[1]CURSOS!$D$35,"MANEJO DEFENSIVO",IF(O144=[1]CURSOS!$D$36,"SOPORTE CARDIOVASCULAR AVANZADO NEONATAL",IF(O144=[1]CURSOS!$D$37,"SEGURIDAD DEL PACIENTE")))))))))))))))))))))))))))))))))))</f>
        <v>OPERADOR DE VEHICULOS DE EMERGENCIA (OVE)</v>
      </c>
      <c r="V144" s="52" t="str">
        <f t="shared" si="15"/>
        <v>Jesus Javier Hidalgo Meza</v>
      </c>
      <c r="W144" s="52" t="str">
        <f t="shared" si="16"/>
        <v>Jesus Javier Hidalgo Meza</v>
      </c>
      <c r="X144" s="52" t="str">
        <f t="shared" si="17"/>
        <v>Jesus Javier Hidalgo Meza-87030027-OVE</v>
      </c>
    </row>
    <row r="145" spans="1:24" s="55" customFormat="1" x14ac:dyDescent="0.2">
      <c r="A145" s="17">
        <v>144</v>
      </c>
      <c r="B145" s="50">
        <v>87030027</v>
      </c>
      <c r="C145" s="50" t="s">
        <v>577</v>
      </c>
      <c r="D145" s="50" t="s">
        <v>648</v>
      </c>
      <c r="E145" s="50" t="s">
        <v>159</v>
      </c>
      <c r="F145" s="187" t="s">
        <v>416</v>
      </c>
      <c r="G145" s="188">
        <v>30</v>
      </c>
      <c r="H145" s="188" t="s">
        <v>181</v>
      </c>
      <c r="I145" s="188" t="s">
        <v>517</v>
      </c>
      <c r="J145" s="182">
        <v>45533</v>
      </c>
      <c r="K145" s="181">
        <v>37500</v>
      </c>
      <c r="L145" s="188" t="s">
        <v>328</v>
      </c>
      <c r="M145" s="188" t="s">
        <v>86</v>
      </c>
      <c r="N145" s="188" t="s">
        <v>334</v>
      </c>
      <c r="O145" s="189" t="s">
        <v>129</v>
      </c>
      <c r="P145" s="18">
        <v>31033</v>
      </c>
      <c r="Q145" s="66" t="s">
        <v>316</v>
      </c>
      <c r="R145" s="17" t="s">
        <v>635</v>
      </c>
      <c r="S145" s="50">
        <v>3147970106</v>
      </c>
      <c r="T145" s="50" t="s">
        <v>784</v>
      </c>
      <c r="U145" s="52" t="str">
        <f>IF(O145=[1]CURSOS!$D$3,"DIPLOMADO EN ATENCION PRE-HOSPITALARIA",IF(O145=[1]CURSOS!$D$4,"ACOMPAÑAMIENTO Y MANEJO DEL DUELO",IF(O145=[1]CURSOS!$D$5,"ATENCION A VICTIMAS DE ATAQUE CON AGENTES QUIMICOS ",IF(O145=[1]CURSOS!$D$6,"PRIMEROS AUXILIOS ",IF(O145=[1]CURSOS!$D$7,"DIPLOMADO DE UNIDAD DE CUIDADOS INTENSIVOS (UCI)",IF(O145=[1]CURSOS!$D$8,"MODELO DE ATENCION PARA EVENTOS EMERGENTES EN SALUD MENTAL (CODIGO VERDE)",IF(O145=[1]CURSOS!$D$9,"HUMANIZACION EN EL SERVICIO DE LA SALUD Y BUENAS PRACTICAS EN PACIENTE ",IF(O145=[1]CURSOS!$D$10,"CLINICA DE HERIDAS ",IF(O145=[1]CURSOS!$D$11,"TOMA DE CITOLOGIA CERVICO VAGINAL ",IF(O145=[1]CURSOS!$D$12,"SOPORTE CARDIOVASCULAR AVANZADO (ACLS) ",IF(O145=[1]CURSOS!$D$13,"CAMILLERO ",IF(O145=[1]CURSOS!$D$14,"TOMA DE MUESTRAS Y LABORATORIO ",IF(O145=[1]CURSOS!$D$15,"SOPORTE VITAL BASICO (BLS)",IF(O145=[1]CURSOS!$D$16,"ATENCION A VICTIMAS DE VIOLENCIA SEXUAL ",IF(O145=[1]CURSOS!$D$17,"PROGRAMADO AMPLIADO DE INMUNIZACION (PAI - COVID 19)",IF(O145=[1]CURSOS!$D$18,"ATENCION INTEGRAL EN ENFERMEDADES PREVALENTES EN PRIMERA INFANCIA (AIEPI)",IF(O145=[1]CURSOS!$D$19,"ADMINISTRACION DE MEDICAMENTOS, INYECTOLOGIA  Y CANALIZACION ",IF(O145=[1]CURSOS!$D$20,"OPERADOR DE VEHICULOS DE EMERGENCIA (OVE)",IF(O145=[1]CURSOS!$D$21,"INSTITUCIONES AMIGAS DE LA MUJER Y LA INFANCIA (IAMI)",IF(O145=[1]CURSOS!$D$22,"CUIDADO DEL DONANTE DE ORGANOS",IF(O145=[1]CURSOS!$D$23,"ATENCION A VICTIMAS POR VIOLENCIA DE GENERO",IF(O145=[1]CURSOS!$D$24,"IGUALDAD DE GENERO EN LA SALUD",IF(O145=[1]CURSOS!$D$25,"BRIGADA DE EMERGENCIA",IF(O145=[1]CURSOS!$D$26,"MANEJO DEL DOLOR Y CUIDADOS PALIATIVOS",IF(O145=[1]CURSOS!$D$27,"TOMA DE MUESTRAS Y LABORATORIO POCT",IF(O145=[1]CURSOS!$D$28,"IMPLANTE SUBDERMICO DE DISPOSITIVO INTRAUTERINO",IF(O145=[1]CURSOS!$D$29,"SALUD MENTAL",IF(O145=[1]CURSOS!$D$30,"PRIMEROS AUXILIOS PSICOLOGICOS",IF(O145=[1]CURSOS!$D$31,"ATENCION A VICTIMAS POR CONFLICTO ARMADO",IF(O145=[1]CURSOS!$D$32,"MANIPULACION DE ALIMENTOS Y BPM",IF(O145=[1]CURSOS!$D$33,"ATENCION A PERSONAS CON DISCAPACIDAD",IF(O145=[1]CURSOS!$D$34,"CUIDADO INTEGRAL DEL PACIENTE ADULTO",IF(O145=[1]CURSOS!$D$35,"MANEJO DEFENSIVO",IF(O145=[1]CURSOS!$D$36,"SOPORTE CARDIOVASCULAR AVANZADO NEONATAL",IF(O145=[1]CURSOS!$D$37,"SEGURIDAD DEL PACIENTE")))))))))))))))))))))))))))))))))))</f>
        <v>MANEJO DEFENSIVO</v>
      </c>
      <c r="V145" s="52" t="str">
        <f t="shared" si="15"/>
        <v>Jesus Javier Hidalgo Meza</v>
      </c>
      <c r="W145" s="52" t="str">
        <f t="shared" si="16"/>
        <v>Jesus Javier Hidalgo Meza</v>
      </c>
      <c r="X145" s="52" t="str">
        <f t="shared" si="17"/>
        <v>Jesus Javier Hidalgo Meza-87030027-MANEJO DEFENSIVO</v>
      </c>
    </row>
    <row r="146" spans="1:24" s="55" customFormat="1" x14ac:dyDescent="0.2">
      <c r="A146" s="17">
        <v>145</v>
      </c>
      <c r="B146" s="50">
        <v>1193522671</v>
      </c>
      <c r="C146" s="50" t="s">
        <v>631</v>
      </c>
      <c r="D146" s="50" t="s">
        <v>786</v>
      </c>
      <c r="E146" s="50" t="s">
        <v>785</v>
      </c>
      <c r="F146" s="187" t="s">
        <v>653</v>
      </c>
      <c r="G146" s="188">
        <v>31</v>
      </c>
      <c r="H146" s="188" t="s">
        <v>181</v>
      </c>
      <c r="I146" s="188" t="s">
        <v>517</v>
      </c>
      <c r="J146" s="182">
        <v>45533</v>
      </c>
      <c r="K146" s="181">
        <v>37500</v>
      </c>
      <c r="L146" s="188" t="s">
        <v>328</v>
      </c>
      <c r="M146" s="188" t="s">
        <v>86</v>
      </c>
      <c r="N146" s="188" t="s">
        <v>334</v>
      </c>
      <c r="O146" s="189" t="s">
        <v>27</v>
      </c>
      <c r="P146" s="50"/>
      <c r="Q146" s="66" t="s">
        <v>316</v>
      </c>
      <c r="R146" s="17" t="s">
        <v>635</v>
      </c>
      <c r="S146" s="50">
        <v>3156782012</v>
      </c>
      <c r="T146" s="164" t="s">
        <v>787</v>
      </c>
      <c r="U146" s="52" t="str">
        <f>IF(O146=[1]CURSOS!$D$3,"DIPLOMADO EN ATENCION PRE-HOSPITALARIA",IF(O146=[1]CURSOS!$D$4,"ACOMPAÑAMIENTO Y MANEJO DEL DUELO",IF(O146=[1]CURSOS!$D$5,"ATENCION A VICTIMAS DE ATAQUE CON AGENTES QUIMICOS ",IF(O146=[1]CURSOS!$D$6,"PRIMEROS AUXILIOS ",IF(O146=[1]CURSOS!$D$7,"DIPLOMADO DE UNIDAD DE CUIDADOS INTENSIVOS (UCI)",IF(O146=[1]CURSOS!$D$8,"MODELO DE ATENCION PARA EVENTOS EMERGENTES EN SALUD MENTAL (CODIGO VERDE)",IF(O146=[1]CURSOS!$D$9,"HUMANIZACION EN EL SERVICIO DE LA SALUD Y BUENAS PRACTICAS EN PACIENTE ",IF(O146=[1]CURSOS!$D$10,"CLINICA DE HERIDAS ",IF(O146=[1]CURSOS!$D$11,"TOMA DE CITOLOGIA CERVICO VAGINAL ",IF(O146=[1]CURSOS!$D$12,"SOPORTE CARDIOVASCULAR AVANZADO (ACLS) ",IF(O146=[1]CURSOS!$D$13,"CAMILLERO ",IF(O146=[1]CURSOS!$D$14,"TOMA DE MUESTRAS Y LABORATORIO ",IF(O146=[1]CURSOS!$D$15,"SOPORTE VITAL BASICO (BLS)",IF(O146=[1]CURSOS!$D$16,"ATENCION A VICTIMAS DE VIOLENCIA SEXUAL ",IF(O146=[1]CURSOS!$D$17,"PROGRAMADO AMPLIADO DE INMUNIZACION (PAI - COVID 19)",IF(O146=[1]CURSOS!$D$18,"ATENCION INTEGRAL EN ENFERMEDADES PREVALENTES EN PRIMERA INFANCIA (AIEPI)",IF(O146=[1]CURSOS!$D$19,"ADMINISTRACION DE MEDICAMENTOS, INYECTOLOGIA  Y CANALIZACION ",IF(O146=[1]CURSOS!$D$20,"OPERADOR DE VEHICULOS DE EMERGENCIA (OVE)",IF(O146=[1]CURSOS!$D$21,"INSTITUCIONES AMIGAS DE LA MUJER Y LA INFANCIA (IAMI)",IF(O146=[1]CURSOS!$D$22,"CUIDADO DEL DONANTE DE ORGANOS",IF(O146=[1]CURSOS!$D$23,"ATENCION A VICTIMAS POR VIOLENCIA DE GENERO",IF(O146=[1]CURSOS!$D$24,"IGUALDAD DE GENERO EN LA SALUD",IF(O146=[1]CURSOS!$D$25,"BRIGADA DE EMERGENCIA",IF(O146=[1]CURSOS!$D$26,"MANEJO DEL DOLOR Y CUIDADOS PALIATIVOS",IF(O146=[1]CURSOS!$D$27,"TOMA DE MUESTRAS Y LABORATORIO POCT",IF(O146=[1]CURSOS!$D$28,"IMPLANTE SUBDERMICO DE DISPOSITIVO INTRAUTERINO",IF(O146=[1]CURSOS!$D$29,"SALUD MENTAL",IF(O146=[1]CURSOS!$D$30,"PRIMEROS AUXILIOS PSICOLOGICOS",IF(O146=[1]CURSOS!$D$31,"ATENCION A VICTIMAS POR CONFLICTO ARMADO",IF(O146=[1]CURSOS!$D$32,"MANIPULACION DE ALIMENTOS Y BPM",IF(O146=[1]CURSOS!$D$33,"ATENCION A PERSONAS CON DISCAPACIDAD",IF(O146=[1]CURSOS!$D$34,"CUIDADO INTEGRAL DEL PACIENTE ADULTO",IF(O146=[1]CURSOS!$D$35,"MANEJO DEFENSIVO",IF(O146=[1]CURSOS!$D$36,"SOPORTE CARDIOVASCULAR AVANZADO NEONATAL",IF(O146=[1]CURSOS!$D$37,"SEGURIDAD DEL PACIENTE")))))))))))))))))))))))))))))))))))</f>
        <v xml:space="preserve">PRIMEROS AUXILIOS </v>
      </c>
      <c r="V146" s="52" t="str">
        <f t="shared" si="15"/>
        <v>Brayan Jair Daza Araujo</v>
      </c>
      <c r="W146" s="52" t="str">
        <f t="shared" si="16"/>
        <v>Brayan Jair Daza Araujo</v>
      </c>
      <c r="X146" s="52" t="str">
        <f t="shared" si="17"/>
        <v>Brayan Jair Daza Araujo-1193522671-PRIMEROS AUXILIOS</v>
      </c>
    </row>
    <row r="147" spans="1:24" s="55" customFormat="1" x14ac:dyDescent="0.2">
      <c r="A147" s="17">
        <v>146</v>
      </c>
      <c r="B147" s="50">
        <v>1193522671</v>
      </c>
      <c r="C147" s="50" t="s">
        <v>631</v>
      </c>
      <c r="D147" s="50" t="s">
        <v>786</v>
      </c>
      <c r="E147" s="50" t="s">
        <v>785</v>
      </c>
      <c r="F147" s="187" t="s">
        <v>653</v>
      </c>
      <c r="G147" s="188">
        <v>31</v>
      </c>
      <c r="H147" s="188" t="s">
        <v>181</v>
      </c>
      <c r="I147" s="188" t="s">
        <v>517</v>
      </c>
      <c r="J147" s="182">
        <v>45533</v>
      </c>
      <c r="K147" s="181">
        <v>37500</v>
      </c>
      <c r="L147" s="188" t="s">
        <v>328</v>
      </c>
      <c r="M147" s="188" t="s">
        <v>86</v>
      </c>
      <c r="N147" s="188" t="s">
        <v>334</v>
      </c>
      <c r="O147" s="189" t="s">
        <v>39</v>
      </c>
      <c r="P147" s="50"/>
      <c r="Q147" s="66" t="s">
        <v>316</v>
      </c>
      <c r="R147" s="17" t="s">
        <v>635</v>
      </c>
      <c r="S147" s="50">
        <v>3156782012</v>
      </c>
      <c r="T147" s="164" t="s">
        <v>787</v>
      </c>
      <c r="U147" s="52" t="str">
        <f>IF(O147=[1]CURSOS!$D$3,"DIPLOMADO EN ATENCION PRE-HOSPITALARIA",IF(O147=[1]CURSOS!$D$4,"ACOMPAÑAMIENTO Y MANEJO DEL DUELO",IF(O147=[1]CURSOS!$D$5,"ATENCION A VICTIMAS DE ATAQUE CON AGENTES QUIMICOS ",IF(O147=[1]CURSOS!$D$6,"PRIMEROS AUXILIOS ",IF(O147=[1]CURSOS!$D$7,"DIPLOMADO DE UNIDAD DE CUIDADOS INTENSIVOS (UCI)",IF(O147=[1]CURSOS!$D$8,"MODELO DE ATENCION PARA EVENTOS EMERGENTES EN SALUD MENTAL (CODIGO VERDE)",IF(O147=[1]CURSOS!$D$9,"HUMANIZACION EN EL SERVICIO DE LA SALUD Y BUENAS PRACTICAS EN PACIENTE ",IF(O147=[1]CURSOS!$D$10,"CLINICA DE HERIDAS ",IF(O147=[1]CURSOS!$D$11,"TOMA DE CITOLOGIA CERVICO VAGINAL ",IF(O147=[1]CURSOS!$D$12,"SOPORTE CARDIOVASCULAR AVANZADO (ACLS) ",IF(O147=[1]CURSOS!$D$13,"CAMILLERO ",IF(O147=[1]CURSOS!$D$14,"TOMA DE MUESTRAS Y LABORATORIO ",IF(O147=[1]CURSOS!$D$15,"SOPORTE VITAL BASICO (BLS)",IF(O147=[1]CURSOS!$D$16,"ATENCION A VICTIMAS DE VIOLENCIA SEXUAL ",IF(O147=[1]CURSOS!$D$17,"PROGRAMADO AMPLIADO DE INMUNIZACION (PAI - COVID 19)",IF(O147=[1]CURSOS!$D$18,"ATENCION INTEGRAL EN ENFERMEDADES PREVALENTES EN PRIMERA INFANCIA (AIEPI)",IF(O147=[1]CURSOS!$D$19,"ADMINISTRACION DE MEDICAMENTOS, INYECTOLOGIA  Y CANALIZACION ",IF(O147=[1]CURSOS!$D$20,"OPERADOR DE VEHICULOS DE EMERGENCIA (OVE)",IF(O147=[1]CURSOS!$D$21,"INSTITUCIONES AMIGAS DE LA MUJER Y LA INFANCIA (IAMI)",IF(O147=[1]CURSOS!$D$22,"CUIDADO DEL DONANTE DE ORGANOS",IF(O147=[1]CURSOS!$D$23,"ATENCION A VICTIMAS POR VIOLENCIA DE GENERO",IF(O147=[1]CURSOS!$D$24,"IGUALDAD DE GENERO EN LA SALUD",IF(O147=[1]CURSOS!$D$25,"BRIGADA DE EMERGENCIA",IF(O147=[1]CURSOS!$D$26,"MANEJO DEL DOLOR Y CUIDADOS PALIATIVOS",IF(O147=[1]CURSOS!$D$27,"TOMA DE MUESTRAS Y LABORATORIO POCT",IF(O147=[1]CURSOS!$D$28,"IMPLANTE SUBDERMICO DE DISPOSITIVO INTRAUTERINO",IF(O147=[1]CURSOS!$D$29,"SALUD MENTAL",IF(O147=[1]CURSOS!$D$30,"PRIMEROS AUXILIOS PSICOLOGICOS",IF(O147=[1]CURSOS!$D$31,"ATENCION A VICTIMAS POR CONFLICTO ARMADO",IF(O147=[1]CURSOS!$D$32,"MANIPULACION DE ALIMENTOS Y BPM",IF(O147=[1]CURSOS!$D$33,"ATENCION A PERSONAS CON DISCAPACIDAD",IF(O147=[1]CURSOS!$D$34,"CUIDADO INTEGRAL DEL PACIENTE ADULTO",IF(O147=[1]CURSOS!$D$35,"MANEJO DEFENSIVO",IF(O147=[1]CURSOS!$D$36,"SOPORTE CARDIOVASCULAR AVANZADO NEONATAL",IF(O147=[1]CURSOS!$D$37,"SEGURIDAD DEL PACIENTE")))))))))))))))))))))))))))))))))))</f>
        <v xml:space="preserve">CAMILLERO </v>
      </c>
      <c r="V147" s="52" t="str">
        <f t="shared" si="15"/>
        <v>Brayan Jair Daza Araujo</v>
      </c>
      <c r="W147" s="52" t="str">
        <f t="shared" si="16"/>
        <v>Brayan Jair Daza Araujo</v>
      </c>
      <c r="X147" s="52" t="str">
        <f t="shared" si="17"/>
        <v>Brayan Jair Daza Araujo-1193522671-CAMILLERO</v>
      </c>
    </row>
    <row r="148" spans="1:24" s="55" customFormat="1" x14ac:dyDescent="0.2">
      <c r="A148" s="17">
        <v>147</v>
      </c>
      <c r="B148" s="50">
        <v>1193522671</v>
      </c>
      <c r="C148" s="50" t="s">
        <v>631</v>
      </c>
      <c r="D148" s="50" t="s">
        <v>786</v>
      </c>
      <c r="E148" s="50" t="s">
        <v>785</v>
      </c>
      <c r="F148" s="187" t="s">
        <v>653</v>
      </c>
      <c r="G148" s="188">
        <v>30</v>
      </c>
      <c r="H148" s="188" t="s">
        <v>181</v>
      </c>
      <c r="I148" s="188" t="s">
        <v>517</v>
      </c>
      <c r="J148" s="182">
        <v>45533</v>
      </c>
      <c r="K148" s="181">
        <v>37500</v>
      </c>
      <c r="L148" s="188" t="s">
        <v>328</v>
      </c>
      <c r="M148" s="188" t="s">
        <v>86</v>
      </c>
      <c r="N148" s="188" t="s">
        <v>334</v>
      </c>
      <c r="O148" s="189" t="s">
        <v>49</v>
      </c>
      <c r="P148" s="50"/>
      <c r="Q148" s="66" t="s">
        <v>316</v>
      </c>
      <c r="R148" s="17" t="s">
        <v>635</v>
      </c>
      <c r="S148" s="50">
        <v>3156782012</v>
      </c>
      <c r="T148" s="164" t="s">
        <v>787</v>
      </c>
      <c r="U148" s="52" t="str">
        <f>IF(O148=[1]CURSOS!$D$3,"DIPLOMADO EN ATENCION PRE-HOSPITALARIA",IF(O148=[1]CURSOS!$D$4,"ACOMPAÑAMIENTO Y MANEJO DEL DUELO",IF(O148=[1]CURSOS!$D$5,"ATENCION A VICTIMAS DE ATAQUE CON AGENTES QUIMICOS ",IF(O148=[1]CURSOS!$D$6,"PRIMEROS AUXILIOS ",IF(O148=[1]CURSOS!$D$7,"DIPLOMADO DE UNIDAD DE CUIDADOS INTENSIVOS (UCI)",IF(O148=[1]CURSOS!$D$8,"MODELO DE ATENCION PARA EVENTOS EMERGENTES EN SALUD MENTAL (CODIGO VERDE)",IF(O148=[1]CURSOS!$D$9,"HUMANIZACION EN EL SERVICIO DE LA SALUD Y BUENAS PRACTICAS EN PACIENTE ",IF(O148=[1]CURSOS!$D$10,"CLINICA DE HERIDAS ",IF(O148=[1]CURSOS!$D$11,"TOMA DE CITOLOGIA CERVICO VAGINAL ",IF(O148=[1]CURSOS!$D$12,"SOPORTE CARDIOVASCULAR AVANZADO (ACLS) ",IF(O148=[1]CURSOS!$D$13,"CAMILLERO ",IF(O148=[1]CURSOS!$D$14,"TOMA DE MUESTRAS Y LABORATORIO ",IF(O148=[1]CURSOS!$D$15,"SOPORTE VITAL BASICO (BLS)",IF(O148=[1]CURSOS!$D$16,"ATENCION A VICTIMAS DE VIOLENCIA SEXUAL ",IF(O148=[1]CURSOS!$D$17,"PROGRAMADO AMPLIADO DE INMUNIZACION (PAI - COVID 19)",IF(O148=[1]CURSOS!$D$18,"ATENCION INTEGRAL EN ENFERMEDADES PREVALENTES EN PRIMERA INFANCIA (AIEPI)",IF(O148=[1]CURSOS!$D$19,"ADMINISTRACION DE MEDICAMENTOS, INYECTOLOGIA  Y CANALIZACION ",IF(O148=[1]CURSOS!$D$20,"OPERADOR DE VEHICULOS DE EMERGENCIA (OVE)",IF(O148=[1]CURSOS!$D$21,"INSTITUCIONES AMIGAS DE LA MUJER Y LA INFANCIA (IAMI)",IF(O148=[1]CURSOS!$D$22,"CUIDADO DEL DONANTE DE ORGANOS",IF(O148=[1]CURSOS!$D$23,"ATENCION A VICTIMAS POR VIOLENCIA DE GENERO",IF(O148=[1]CURSOS!$D$24,"IGUALDAD DE GENERO EN LA SALUD",IF(O148=[1]CURSOS!$D$25,"BRIGADA DE EMERGENCIA",IF(O148=[1]CURSOS!$D$26,"MANEJO DEL DOLOR Y CUIDADOS PALIATIVOS",IF(O148=[1]CURSOS!$D$27,"TOMA DE MUESTRAS Y LABORATORIO POCT",IF(O148=[1]CURSOS!$D$28,"IMPLANTE SUBDERMICO DE DISPOSITIVO INTRAUTERINO",IF(O148=[1]CURSOS!$D$29,"SALUD MENTAL",IF(O148=[1]CURSOS!$D$30,"PRIMEROS AUXILIOS PSICOLOGICOS",IF(O148=[1]CURSOS!$D$31,"ATENCION A VICTIMAS POR CONFLICTO ARMADO",IF(O148=[1]CURSOS!$D$32,"MANIPULACION DE ALIMENTOS Y BPM",IF(O148=[1]CURSOS!$D$33,"ATENCION A PERSONAS CON DISCAPACIDAD",IF(O148=[1]CURSOS!$D$34,"CUIDADO INTEGRAL DEL PACIENTE ADULTO",IF(O148=[1]CURSOS!$D$35,"MANEJO DEFENSIVO",IF(O148=[1]CURSOS!$D$36,"SOPORTE CARDIOVASCULAR AVANZADO NEONATAL",IF(O148=[1]CURSOS!$D$37,"SEGURIDAD DEL PACIENTE")))))))))))))))))))))))))))))))))))</f>
        <v>OPERADOR DE VEHICULOS DE EMERGENCIA (OVE)</v>
      </c>
      <c r="V148" s="52" t="str">
        <f t="shared" si="15"/>
        <v>Brayan Jair Daza Araujo</v>
      </c>
      <c r="W148" s="52" t="str">
        <f t="shared" si="16"/>
        <v>Brayan Jair Daza Araujo</v>
      </c>
      <c r="X148" s="52" t="str">
        <f t="shared" si="17"/>
        <v>Brayan Jair Daza Araujo-1193522671-OVE</v>
      </c>
    </row>
    <row r="149" spans="1:24" s="55" customFormat="1" x14ac:dyDescent="0.2">
      <c r="A149" s="17">
        <v>148</v>
      </c>
      <c r="B149" s="50">
        <v>1193522671</v>
      </c>
      <c r="C149" s="50" t="s">
        <v>631</v>
      </c>
      <c r="D149" s="50" t="s">
        <v>786</v>
      </c>
      <c r="E149" s="50" t="s">
        <v>785</v>
      </c>
      <c r="F149" s="187" t="s">
        <v>653</v>
      </c>
      <c r="G149" s="188">
        <v>30</v>
      </c>
      <c r="H149" s="188" t="s">
        <v>181</v>
      </c>
      <c r="I149" s="188" t="s">
        <v>517</v>
      </c>
      <c r="J149" s="182">
        <v>45533</v>
      </c>
      <c r="K149" s="181">
        <v>37500</v>
      </c>
      <c r="L149" s="188" t="s">
        <v>328</v>
      </c>
      <c r="M149" s="188" t="s">
        <v>86</v>
      </c>
      <c r="N149" s="188" t="s">
        <v>334</v>
      </c>
      <c r="O149" s="189" t="s">
        <v>129</v>
      </c>
      <c r="P149" s="50"/>
      <c r="Q149" s="66" t="s">
        <v>316</v>
      </c>
      <c r="R149" s="17" t="s">
        <v>635</v>
      </c>
      <c r="S149" s="50">
        <v>3156782012</v>
      </c>
      <c r="T149" s="164" t="s">
        <v>787</v>
      </c>
      <c r="U149" s="52" t="str">
        <f>IF(O149=[1]CURSOS!$D$3,"DIPLOMADO EN ATENCION PRE-HOSPITALARIA",IF(O149=[1]CURSOS!$D$4,"ACOMPAÑAMIENTO Y MANEJO DEL DUELO",IF(O149=[1]CURSOS!$D$5,"ATENCION A VICTIMAS DE ATAQUE CON AGENTES QUIMICOS ",IF(O149=[1]CURSOS!$D$6,"PRIMEROS AUXILIOS ",IF(O149=[1]CURSOS!$D$7,"DIPLOMADO DE UNIDAD DE CUIDADOS INTENSIVOS (UCI)",IF(O149=[1]CURSOS!$D$8,"MODELO DE ATENCION PARA EVENTOS EMERGENTES EN SALUD MENTAL (CODIGO VERDE)",IF(O149=[1]CURSOS!$D$9,"HUMANIZACION EN EL SERVICIO DE LA SALUD Y BUENAS PRACTICAS EN PACIENTE ",IF(O149=[1]CURSOS!$D$10,"CLINICA DE HERIDAS ",IF(O149=[1]CURSOS!$D$11,"TOMA DE CITOLOGIA CERVICO VAGINAL ",IF(O149=[1]CURSOS!$D$12,"SOPORTE CARDIOVASCULAR AVANZADO (ACLS) ",IF(O149=[1]CURSOS!$D$13,"CAMILLERO ",IF(O149=[1]CURSOS!$D$14,"TOMA DE MUESTRAS Y LABORATORIO ",IF(O149=[1]CURSOS!$D$15,"SOPORTE VITAL BASICO (BLS)",IF(O149=[1]CURSOS!$D$16,"ATENCION A VICTIMAS DE VIOLENCIA SEXUAL ",IF(O149=[1]CURSOS!$D$17,"PROGRAMADO AMPLIADO DE INMUNIZACION (PAI - COVID 19)",IF(O149=[1]CURSOS!$D$18,"ATENCION INTEGRAL EN ENFERMEDADES PREVALENTES EN PRIMERA INFANCIA (AIEPI)",IF(O149=[1]CURSOS!$D$19,"ADMINISTRACION DE MEDICAMENTOS, INYECTOLOGIA  Y CANALIZACION ",IF(O149=[1]CURSOS!$D$20,"OPERADOR DE VEHICULOS DE EMERGENCIA (OVE)",IF(O149=[1]CURSOS!$D$21,"INSTITUCIONES AMIGAS DE LA MUJER Y LA INFANCIA (IAMI)",IF(O149=[1]CURSOS!$D$22,"CUIDADO DEL DONANTE DE ORGANOS",IF(O149=[1]CURSOS!$D$23,"ATENCION A VICTIMAS POR VIOLENCIA DE GENERO",IF(O149=[1]CURSOS!$D$24,"IGUALDAD DE GENERO EN LA SALUD",IF(O149=[1]CURSOS!$D$25,"BRIGADA DE EMERGENCIA",IF(O149=[1]CURSOS!$D$26,"MANEJO DEL DOLOR Y CUIDADOS PALIATIVOS",IF(O149=[1]CURSOS!$D$27,"TOMA DE MUESTRAS Y LABORATORIO POCT",IF(O149=[1]CURSOS!$D$28,"IMPLANTE SUBDERMICO DE DISPOSITIVO INTRAUTERINO",IF(O149=[1]CURSOS!$D$29,"SALUD MENTAL",IF(O149=[1]CURSOS!$D$30,"PRIMEROS AUXILIOS PSICOLOGICOS",IF(O149=[1]CURSOS!$D$31,"ATENCION A VICTIMAS POR CONFLICTO ARMADO",IF(O149=[1]CURSOS!$D$32,"MANIPULACION DE ALIMENTOS Y BPM",IF(O149=[1]CURSOS!$D$33,"ATENCION A PERSONAS CON DISCAPACIDAD",IF(O149=[1]CURSOS!$D$34,"CUIDADO INTEGRAL DEL PACIENTE ADULTO",IF(O149=[1]CURSOS!$D$35,"MANEJO DEFENSIVO",IF(O149=[1]CURSOS!$D$36,"SOPORTE CARDIOVASCULAR AVANZADO NEONATAL",IF(O149=[1]CURSOS!$D$37,"SEGURIDAD DEL PACIENTE")))))))))))))))))))))))))))))))))))</f>
        <v>MANEJO DEFENSIVO</v>
      </c>
      <c r="V149" s="52" t="str">
        <f t="shared" ref="V149:V160" si="18">CONCATENATE(E149," ",F149," ",C149," ",D149)</f>
        <v>Brayan Jair Daza Araujo</v>
      </c>
      <c r="W149" s="52" t="str">
        <f t="shared" ref="W149:W160" si="19">+PROPER(V149)</f>
        <v>Brayan Jair Daza Araujo</v>
      </c>
      <c r="X149" s="52" t="str">
        <f t="shared" ref="X149:X160" si="20">CONCATENATE(V149,"-",B149,"-",O149)</f>
        <v>Brayan Jair Daza Araujo-1193522671-MANEJO DEFENSIVO</v>
      </c>
    </row>
    <row r="150" spans="1:24" s="55" customFormat="1" x14ac:dyDescent="0.2">
      <c r="A150" s="17">
        <v>149</v>
      </c>
      <c r="B150" s="50">
        <v>1127577221</v>
      </c>
      <c r="C150" s="50" t="s">
        <v>788</v>
      </c>
      <c r="D150" s="50" t="s">
        <v>789</v>
      </c>
      <c r="E150" s="50" t="s">
        <v>790</v>
      </c>
      <c r="F150" s="187" t="s">
        <v>791</v>
      </c>
      <c r="G150" s="188">
        <v>30</v>
      </c>
      <c r="H150" s="188" t="s">
        <v>181</v>
      </c>
      <c r="I150" s="188" t="s">
        <v>519</v>
      </c>
      <c r="J150" s="182">
        <v>45534</v>
      </c>
      <c r="K150" s="181">
        <v>120000</v>
      </c>
      <c r="L150" s="188" t="s">
        <v>794</v>
      </c>
      <c r="M150" s="188" t="s">
        <v>86</v>
      </c>
      <c r="N150" s="188" t="s">
        <v>326</v>
      </c>
      <c r="O150" s="189" t="s">
        <v>131</v>
      </c>
      <c r="P150" s="18">
        <v>32111</v>
      </c>
      <c r="Q150" s="66" t="s">
        <v>316</v>
      </c>
      <c r="R150" s="17" t="s">
        <v>792</v>
      </c>
      <c r="S150" s="50">
        <v>3115310496</v>
      </c>
      <c r="T150" s="50" t="s">
        <v>793</v>
      </c>
      <c r="U150" s="52" t="str">
        <f>IF(O150=[1]CURSOS!$D$3,"DIPLOMADO EN ATENCION PRE-HOSPITALARIA",IF(O150=[1]CURSOS!$D$4,"ACOMPAÑAMIENTO Y MANEJO DEL DUELO",IF(O150=[1]CURSOS!$D$5,"ATENCION A VICTIMAS DE ATAQUE CON AGENTES QUIMICOS ",IF(O150=[1]CURSOS!$D$6,"PRIMEROS AUXILIOS ",IF(O150=[1]CURSOS!$D$7,"DIPLOMADO DE UNIDAD DE CUIDADOS INTENSIVOS (UCI)",IF(O150=[1]CURSOS!$D$8,"MODELO DE ATENCION PARA EVENTOS EMERGENTES EN SALUD MENTAL (CODIGO VERDE)",IF(O150=[1]CURSOS!$D$9,"HUMANIZACION EN EL SERVICIO DE LA SALUD Y BUENAS PRACTICAS EN PACIENTE ",IF(O150=[1]CURSOS!$D$10,"CLINICA DE HERIDAS ",IF(O150=[1]CURSOS!$D$11,"TOMA DE CITOLOGIA CERVICO VAGINAL ",IF(O150=[1]CURSOS!$D$12,"SOPORTE CARDIOVASCULAR AVANZADO (ACLS) ",IF(O150=[1]CURSOS!$D$13,"CAMILLERO ",IF(O150=[1]CURSOS!$D$14,"TOMA DE MUESTRAS Y LABORATORIO ",IF(O150=[1]CURSOS!$D$15,"SOPORTE VITAL BASICO (BLS)",IF(O150=[1]CURSOS!$D$16,"ATENCION A VICTIMAS DE VIOLENCIA SEXUAL ",IF(O150=[1]CURSOS!$D$17,"PROGRAMADO AMPLIADO DE INMUNIZACION (PAI - COVID 19)",IF(O150=[1]CURSOS!$D$18,"ATENCION INTEGRAL EN ENFERMEDADES PREVALENTES EN PRIMERA INFANCIA (AIEPI)",IF(O150=[1]CURSOS!$D$19,"ADMINISTRACION DE MEDICAMENTOS, INYECTOLOGIA  Y CANALIZACION ",IF(O150=[1]CURSOS!$D$20,"OPERADOR DE VEHICULOS DE EMERGENCIA (OVE)",IF(O150=[1]CURSOS!$D$21,"INSTITUCIONES AMIGAS DE LA MUJER Y LA INFANCIA (IAMI)",IF(O150=[1]CURSOS!$D$22,"CUIDADO DEL DONANTE DE ORGANOS",IF(O150=[1]CURSOS!$D$23,"ATENCION A VICTIMAS POR VIOLENCIA DE GENERO",IF(O150=[1]CURSOS!$D$24,"IGUALDAD DE GENERO EN LA SALUD",IF(O150=[1]CURSOS!$D$25,"BRIGADA DE EMERGENCIA",IF(O150=[1]CURSOS!$D$26,"MANEJO DEL DOLOR Y CUIDADOS PALIATIVOS",IF(O150=[1]CURSOS!$D$27,"TOMA DE MUESTRAS Y LABORATORIO POCT",IF(O150=[1]CURSOS!$D$28,"IMPLANTE SUBDERMICO DE DISPOSITIVO INTRAUTERINO",IF(O150=[1]CURSOS!$D$29,"SALUD MENTAL",IF(O150=[1]CURSOS!$D$30,"PRIMEROS AUXILIOS PSICOLOGICOS",IF(O150=[1]CURSOS!$D$31,"ATENCION A VICTIMAS POR CONFLICTO ARMADO",IF(O150=[1]CURSOS!$D$32,"MANIPULACION DE ALIMENTOS Y BPM",IF(O150=[1]CURSOS!$D$33,"ATENCION A PERSONAS CON DISCAPACIDAD",IF(O150=[1]CURSOS!$D$34,"CUIDADO INTEGRAL DEL PACIENTE ADULTO",IF(O150=[1]CURSOS!$D$35,"MANEJO DEFENSIVO",IF(O150=[1]CURSOS!$D$36,"SOPORTE CARDIOVASCULAR AVANZADO NEONATAL",IF(O150=[1]CURSOS!$D$37,"SEGURIDAD DEL PACIENTE")))))))))))))))))))))))))))))))))))</f>
        <v>SOPORTE CARDIOVASCULAR AVANZADO NEONATAL</v>
      </c>
      <c r="V150" s="52" t="str">
        <f t="shared" si="18"/>
        <v>Deiner Jose Carrillo Solano</v>
      </c>
      <c r="W150" s="52" t="str">
        <f t="shared" si="19"/>
        <v>Deiner Jose Carrillo Solano</v>
      </c>
      <c r="X150" s="52" t="str">
        <f t="shared" si="20"/>
        <v>Deiner Jose Carrillo Solano-1127577221-ACLSN</v>
      </c>
    </row>
    <row r="151" spans="1:24" s="55" customFormat="1" x14ac:dyDescent="0.2">
      <c r="A151" s="17">
        <v>150</v>
      </c>
      <c r="B151" s="50">
        <v>1002982087</v>
      </c>
      <c r="C151" s="50" t="s">
        <v>795</v>
      </c>
      <c r="D151" s="50" t="s">
        <v>571</v>
      </c>
      <c r="E151" s="50" t="s">
        <v>796</v>
      </c>
      <c r="F151" s="187" t="s">
        <v>125</v>
      </c>
      <c r="G151" s="188">
        <v>31</v>
      </c>
      <c r="H151" s="188" t="s">
        <v>181</v>
      </c>
      <c r="I151" s="188" t="s">
        <v>519</v>
      </c>
      <c r="J151" s="182">
        <v>45537</v>
      </c>
      <c r="K151" s="181">
        <v>40000</v>
      </c>
      <c r="L151" s="188" t="s">
        <v>322</v>
      </c>
      <c r="M151" s="188" t="s">
        <v>86</v>
      </c>
      <c r="N151" s="188" t="s">
        <v>334</v>
      </c>
      <c r="O151" s="189" t="s">
        <v>43</v>
      </c>
      <c r="P151" s="18">
        <v>37288</v>
      </c>
      <c r="Q151" s="66" t="s">
        <v>316</v>
      </c>
      <c r="R151" s="17" t="s">
        <v>315</v>
      </c>
      <c r="S151" s="50">
        <v>3012572270</v>
      </c>
      <c r="T151" s="50" t="s">
        <v>797</v>
      </c>
      <c r="U151" s="52" t="str">
        <f>IF(O151=[1]CURSOS!$D$3,"DIPLOMADO EN ATENCION PRE-HOSPITALARIA",IF(O151=[1]CURSOS!$D$4,"ACOMPAÑAMIENTO Y MANEJO DEL DUELO",IF(O151=[1]CURSOS!$D$5,"ATENCION A VICTIMAS DE ATAQUE CON AGENTES QUIMICOS ",IF(O151=[1]CURSOS!$D$6,"PRIMEROS AUXILIOS ",IF(O151=[1]CURSOS!$D$7,"DIPLOMADO DE UNIDAD DE CUIDADOS INTENSIVOS (UCI)",IF(O151=[1]CURSOS!$D$8,"MODELO DE ATENCION PARA EVENTOS EMERGENTES EN SALUD MENTAL (CODIGO VERDE)",IF(O151=[1]CURSOS!$D$9,"HUMANIZACION EN EL SERVICIO DE LA SALUD Y BUENAS PRACTICAS EN PACIENTE ",IF(O151=[1]CURSOS!$D$10,"CLINICA DE HERIDAS ",IF(O151=[1]CURSOS!$D$11,"TOMA DE CITOLOGIA CERVICO VAGINAL ",IF(O151=[1]CURSOS!$D$12,"SOPORTE CARDIOVASCULAR AVANZADO (ACLS) ",IF(O151=[1]CURSOS!$D$13,"CAMILLERO ",IF(O151=[1]CURSOS!$D$14,"TOMA DE MUESTRAS Y LABORATORIO ",IF(O151=[1]CURSOS!$D$15,"SOPORTE VITAL BASICO (BLS)",IF(O151=[1]CURSOS!$D$16,"ATENCION A VICTIMAS DE VIOLENCIA SEXUAL ",IF(O151=[1]CURSOS!$D$17,"PROGRAMADO AMPLIADO DE INMUNIZACION (PAI - COVID 19)",IF(O151=[1]CURSOS!$D$18,"ATENCION INTEGRAL EN ENFERMEDADES PREVALENTES EN PRIMERA INFANCIA (AIEPI)",IF(O151=[1]CURSOS!$D$19,"ADMINISTRACION DE MEDICAMENTOS, INYECTOLOGIA  Y CANALIZACION ",IF(O151=[1]CURSOS!$D$20,"OPERADOR DE VEHICULOS DE EMERGENCIA (OVE)",IF(O151=[1]CURSOS!$D$21,"INSTITUCIONES AMIGAS DE LA MUJER Y LA INFANCIA (IAMI)",IF(O151=[1]CURSOS!$D$22,"CUIDADO DEL DONANTE DE ORGANOS",IF(O151=[1]CURSOS!$D$23,"ATENCION A VICTIMAS POR VIOLENCIA DE GENERO",IF(O151=[1]CURSOS!$D$24,"IGUALDAD DE GENERO EN LA SALUD",IF(O151=[1]CURSOS!$D$25,"BRIGADA DE EMERGENCIA",IF(O151=[1]CURSOS!$D$26,"MANEJO DEL DOLOR Y CUIDADOS PALIATIVOS",IF(O151=[1]CURSOS!$D$27,"TOMA DE MUESTRAS Y LABORATORIO POCT",IF(O151=[1]CURSOS!$D$28,"IMPLANTE SUBDERMICO DE DISPOSITIVO INTRAUTERINO",IF(O151=[1]CURSOS!$D$29,"SALUD MENTAL",IF(O151=[1]CURSOS!$D$30,"PRIMEROS AUXILIOS PSICOLOGICOS",IF(O151=[1]CURSOS!$D$31,"ATENCION A VICTIMAS POR CONFLICTO ARMADO",IF(O151=[1]CURSOS!$D$32,"MANIPULACION DE ALIMENTOS Y BPM",IF(O151=[1]CURSOS!$D$33,"ATENCION A PERSONAS CON DISCAPACIDAD",IF(O151=[1]CURSOS!$D$34,"CUIDADO INTEGRAL DEL PACIENTE ADULTO",IF(O151=[1]CURSOS!$D$35,"MANEJO DEFENSIVO",IF(O151=[1]CURSOS!$D$36,"SOPORTE CARDIOVASCULAR AVANZADO NEONATAL",IF(O151=[1]CURSOS!$D$37,"SEGURIDAD DEL PACIENTE")))))))))))))))))))))))))))))))))))</f>
        <v xml:space="preserve">ATENCION A VICTIMAS DE VIOLENCIA SEXUAL </v>
      </c>
      <c r="V151" s="52" t="str">
        <f t="shared" si="18"/>
        <v>Julian David Calvache Valencia</v>
      </c>
      <c r="W151" s="52" t="str">
        <f t="shared" si="19"/>
        <v>Julian David Calvache Valencia</v>
      </c>
      <c r="X151" s="52" t="str">
        <f t="shared" si="20"/>
        <v>Julian David Calvache Valencia-1002982087-VIOLENCIA SEXUAL</v>
      </c>
    </row>
    <row r="152" spans="1:24" x14ac:dyDescent="0.2">
      <c r="A152" s="40">
        <v>151</v>
      </c>
      <c r="U152" s="71" t="b">
        <f>IF(O152=[1]CURSOS!$D$3,"DIPLOMADO EN ATENCION PRE-HOSPITALARIA",IF(O152=[1]CURSOS!$D$4,"ACOMPAÑAMIENTO Y MANEJO DEL DUELO",IF(O152=[1]CURSOS!$D$5,"ATENCION A VICTIMAS DE ATAQUE CON AGENTES QUIMICOS ",IF(O152=[1]CURSOS!$D$6,"PRIMEROS AUXILIOS ",IF(O152=[1]CURSOS!$D$7,"DIPLOMADO DE UNIDAD DE CUIDADOS INTENSIVOS (UCI)",IF(O152=[1]CURSOS!$D$8,"MODELO DE ATENCION PARA EVENTOS EMERGENTES EN SALUD MENTAL (CODIGO VERDE)",IF(O152=[1]CURSOS!$D$9,"HUMANIZACION EN EL SERVICIO DE LA SALUD Y BUENAS PRACTICAS EN PACIENTE ",IF(O152=[1]CURSOS!$D$10,"CLINICA DE HERIDAS ",IF(O152=[1]CURSOS!$D$11,"TOMA DE CITOLOGIA CERVICO VAGINAL ",IF(O152=[1]CURSOS!$D$12,"SOPORTE CARDIOVASCULAR AVANZADO (ACLS) ",IF(O152=[1]CURSOS!$D$13,"CAMILLERO ",IF(O152=[1]CURSOS!$D$14,"TOMA DE MUESTRAS Y LABORATORIO ",IF(O152=[1]CURSOS!$D$15,"SOPORTE VITAL BASICO (BLS)",IF(O152=[1]CURSOS!$D$16,"ATENCION A VICTIMAS DE VIOLENCIA SEXUAL ",IF(O152=[1]CURSOS!$D$17,"PROGRAMADO AMPLIADO DE INMUNIZACION (PAI - COVID 19)",IF(O152=[1]CURSOS!$D$18,"ATENCION INTEGRAL EN ENFERMEDADES PREVALENTES EN PRIMERA INFANCIA (AIEPI)",IF(O152=[1]CURSOS!$D$19,"ADMINISTRACION DE MEDICAMENTOS, INYECTOLOGIA  Y CANALIZACION ",IF(O152=[1]CURSOS!$D$20,"OPERADOR DE VEHICULOS DE EMERGENCIA (OVE)",IF(O152=[1]CURSOS!$D$21,"INSTITUCIONES AMIGAS DE LA MUJER Y LA INFANCIA (IAMI)",IF(O152=[1]CURSOS!$D$22,"CUIDADO DEL DONANTE DE ORGANOS",IF(O152=[1]CURSOS!$D$23,"ATENCION A VICTIMAS POR VIOLENCIA DE GENERO",IF(O152=[1]CURSOS!$D$24,"IGUALDAD DE GENERO EN LA SALUD",IF(O152=[1]CURSOS!$D$25,"BRIGADA DE EMERGENCIA",IF(O152=[1]CURSOS!$D$26,"MANEJO DEL DOLOR Y CUIDADOS PALIATIVOS",IF(O152=[1]CURSOS!$D$27,"TOMA DE MUESTRAS Y LABORATORIO POCT",IF(O152=[1]CURSOS!$D$28,"IMPLANTE SUBDERMICO DE DISPOSITIVO INTRAUTERINO",IF(O152=[1]CURSOS!$D$29,"SALUD MENTAL",IF(O152=[1]CURSOS!$D$30,"PRIMEROS AUXILIOS PSICOLOGICOS",IF(O152=[1]CURSOS!$D$31,"ATENCION A VICTIMAS POR CONFLICTO ARMADO",IF(O152=[1]CURSOS!$D$32,"MANIPULACION DE ALIMENTOS Y BPM",IF(O152=[1]CURSOS!$D$33,"ATENCION A PERSONAS CON DISCAPACIDAD",IF(O152=[1]CURSOS!$D$34,"CUIDADO INTEGRAL DEL PACIENTE ADULTO",IF(O152=[1]CURSOS!$D$35,"MANEJO DEFENSIVO",IF(O152=[1]CURSOS!$D$36,"SOPORTE CARDIOVASCULAR AVANZADO NEONATAL",IF(O152=[1]CURSOS!$D$37,"SEGURIDAD DEL PACIENTE")))))))))))))))))))))))))))))))))))</f>
        <v>0</v>
      </c>
      <c r="V152" s="71" t="str">
        <f t="shared" si="18"/>
        <v xml:space="preserve">   </v>
      </c>
      <c r="W152" s="71" t="str">
        <f t="shared" si="19"/>
        <v xml:space="preserve">   </v>
      </c>
      <c r="X152" s="71" t="str">
        <f t="shared" si="20"/>
        <v xml:space="preserve">   --</v>
      </c>
    </row>
    <row r="153" spans="1:24" x14ac:dyDescent="0.2">
      <c r="A153" s="17">
        <v>152</v>
      </c>
      <c r="U153" s="52" t="b">
        <f>IF(O153=[1]CURSOS!$D$3,"DIPLOMADO EN ATENCION PRE-HOSPITALARIA",IF(O153=[1]CURSOS!$D$4,"ACOMPAÑAMIENTO Y MANEJO DEL DUELO",IF(O153=[1]CURSOS!$D$5,"ATENCION A VICTIMAS DE ATAQUE CON AGENTES QUIMICOS ",IF(O153=[1]CURSOS!$D$6,"PRIMEROS AUXILIOS ",IF(O153=[1]CURSOS!$D$7,"DIPLOMADO DE UNIDAD DE CUIDADOS INTENSIVOS (UCI)",IF(O153=[1]CURSOS!$D$8,"MODELO DE ATENCION PARA EVENTOS EMERGENTES EN SALUD MENTAL (CODIGO VERDE)",IF(O153=[1]CURSOS!$D$9,"HUMANIZACION EN EL SERVICIO DE LA SALUD Y BUENAS PRACTICAS EN PACIENTE ",IF(O153=[1]CURSOS!$D$10,"CLINICA DE HERIDAS ",IF(O153=[1]CURSOS!$D$11,"TOMA DE CITOLOGIA CERVICO VAGINAL ",IF(O153=[1]CURSOS!$D$12,"SOPORTE CARDIOVASCULAR AVANZADO (ACLS) ",IF(O153=[1]CURSOS!$D$13,"CAMILLERO ",IF(O153=[1]CURSOS!$D$14,"TOMA DE MUESTRAS Y LABORATORIO ",IF(O153=[1]CURSOS!$D$15,"SOPORTE VITAL BASICO (BLS)",IF(O153=[1]CURSOS!$D$16,"ATENCION A VICTIMAS DE VIOLENCIA SEXUAL ",IF(O153=[1]CURSOS!$D$17,"PROGRAMADO AMPLIADO DE INMUNIZACION (PAI - COVID 19)",IF(O153=[1]CURSOS!$D$18,"ATENCION INTEGRAL EN ENFERMEDADES PREVALENTES EN PRIMERA INFANCIA (AIEPI)",IF(O153=[1]CURSOS!$D$19,"ADMINISTRACION DE MEDICAMENTOS, INYECTOLOGIA  Y CANALIZACION ",IF(O153=[1]CURSOS!$D$20,"OPERADOR DE VEHICULOS DE EMERGENCIA (OVE)",IF(O153=[1]CURSOS!$D$21,"INSTITUCIONES AMIGAS DE LA MUJER Y LA INFANCIA (IAMI)",IF(O153=[1]CURSOS!$D$22,"CUIDADO DEL DONANTE DE ORGANOS",IF(O153=[1]CURSOS!$D$23,"ATENCION A VICTIMAS POR VIOLENCIA DE GENERO",IF(O153=[1]CURSOS!$D$24,"IGUALDAD DE GENERO EN LA SALUD",IF(O153=[1]CURSOS!$D$25,"BRIGADA DE EMERGENCIA",IF(O153=[1]CURSOS!$D$26,"MANEJO DEL DOLOR Y CUIDADOS PALIATIVOS",IF(O153=[1]CURSOS!$D$27,"TOMA DE MUESTRAS Y LABORATORIO POCT",IF(O153=[1]CURSOS!$D$28,"IMPLANTE SUBDERMICO DE DISPOSITIVO INTRAUTERINO",IF(O153=[1]CURSOS!$D$29,"SALUD MENTAL",IF(O153=[1]CURSOS!$D$30,"PRIMEROS AUXILIOS PSICOLOGICOS",IF(O153=[1]CURSOS!$D$31,"ATENCION A VICTIMAS POR CONFLICTO ARMADO",IF(O153=[1]CURSOS!$D$32,"MANIPULACION DE ALIMENTOS Y BPM",IF(O153=[1]CURSOS!$D$33,"ATENCION A PERSONAS CON DISCAPACIDAD",IF(O153=[1]CURSOS!$D$34,"CUIDADO INTEGRAL DEL PACIENTE ADULTO",IF(O153=[1]CURSOS!$D$35,"MANEJO DEFENSIVO",IF(O153=[1]CURSOS!$D$36,"SOPORTE CARDIOVASCULAR AVANZADO NEONATAL",IF(O153=[1]CURSOS!$D$37,"SEGURIDAD DEL PACIENTE")))))))))))))))))))))))))))))))))))</f>
        <v>0</v>
      </c>
      <c r="V153" s="52" t="str">
        <f t="shared" si="18"/>
        <v xml:space="preserve">   </v>
      </c>
      <c r="W153" s="52" t="str">
        <f t="shared" si="19"/>
        <v xml:space="preserve">   </v>
      </c>
      <c r="X153" s="52" t="str">
        <f t="shared" si="20"/>
        <v xml:space="preserve">   --</v>
      </c>
    </row>
    <row r="154" spans="1:24" x14ac:dyDescent="0.2">
      <c r="A154" s="17">
        <v>153</v>
      </c>
      <c r="U154" s="52" t="b">
        <f>IF(O154=[1]CURSOS!$D$3,"DIPLOMADO EN ATENCION PRE-HOSPITALARIA",IF(O154=[1]CURSOS!$D$4,"ACOMPAÑAMIENTO Y MANEJO DEL DUELO",IF(O154=[1]CURSOS!$D$5,"ATENCION A VICTIMAS DE ATAQUE CON AGENTES QUIMICOS ",IF(O154=[1]CURSOS!$D$6,"PRIMEROS AUXILIOS ",IF(O154=[1]CURSOS!$D$7,"DIPLOMADO DE UNIDAD DE CUIDADOS INTENSIVOS (UCI)",IF(O154=[1]CURSOS!$D$8,"MODELO DE ATENCION PARA EVENTOS EMERGENTES EN SALUD MENTAL (CODIGO VERDE)",IF(O154=[1]CURSOS!$D$9,"HUMANIZACION EN EL SERVICIO DE LA SALUD Y BUENAS PRACTICAS EN PACIENTE ",IF(O154=[1]CURSOS!$D$10,"CLINICA DE HERIDAS ",IF(O154=[1]CURSOS!$D$11,"TOMA DE CITOLOGIA CERVICO VAGINAL ",IF(O154=[1]CURSOS!$D$12,"SOPORTE CARDIOVASCULAR AVANZADO (ACLS) ",IF(O154=[1]CURSOS!$D$13,"CAMILLERO ",IF(O154=[1]CURSOS!$D$14,"TOMA DE MUESTRAS Y LABORATORIO ",IF(O154=[1]CURSOS!$D$15,"SOPORTE VITAL BASICO (BLS)",IF(O154=[1]CURSOS!$D$16,"ATENCION A VICTIMAS DE VIOLENCIA SEXUAL ",IF(O154=[1]CURSOS!$D$17,"PROGRAMADO AMPLIADO DE INMUNIZACION (PAI - COVID 19)",IF(O154=[1]CURSOS!$D$18,"ATENCION INTEGRAL EN ENFERMEDADES PREVALENTES EN PRIMERA INFANCIA (AIEPI)",IF(O154=[1]CURSOS!$D$19,"ADMINISTRACION DE MEDICAMENTOS, INYECTOLOGIA  Y CANALIZACION ",IF(O154=[1]CURSOS!$D$20,"OPERADOR DE VEHICULOS DE EMERGENCIA (OVE)",IF(O154=[1]CURSOS!$D$21,"INSTITUCIONES AMIGAS DE LA MUJER Y LA INFANCIA (IAMI)",IF(O154=[1]CURSOS!$D$22,"CUIDADO DEL DONANTE DE ORGANOS",IF(O154=[1]CURSOS!$D$23,"ATENCION A VICTIMAS POR VIOLENCIA DE GENERO",IF(O154=[1]CURSOS!$D$24,"IGUALDAD DE GENERO EN LA SALUD",IF(O154=[1]CURSOS!$D$25,"BRIGADA DE EMERGENCIA",IF(O154=[1]CURSOS!$D$26,"MANEJO DEL DOLOR Y CUIDADOS PALIATIVOS",IF(O154=[1]CURSOS!$D$27,"TOMA DE MUESTRAS Y LABORATORIO POCT",IF(O154=[1]CURSOS!$D$28,"IMPLANTE SUBDERMICO DE DISPOSITIVO INTRAUTERINO",IF(O154=[1]CURSOS!$D$29,"SALUD MENTAL",IF(O154=[1]CURSOS!$D$30,"PRIMEROS AUXILIOS PSICOLOGICOS",IF(O154=[1]CURSOS!$D$31,"ATENCION A VICTIMAS POR CONFLICTO ARMADO",IF(O154=[1]CURSOS!$D$32,"MANIPULACION DE ALIMENTOS Y BPM",IF(O154=[1]CURSOS!$D$33,"ATENCION A PERSONAS CON DISCAPACIDAD",IF(O154=[1]CURSOS!$D$34,"CUIDADO INTEGRAL DEL PACIENTE ADULTO",IF(O154=[1]CURSOS!$D$35,"MANEJO DEFENSIVO",IF(O154=[1]CURSOS!$D$36,"SOPORTE CARDIOVASCULAR AVANZADO NEONATAL",IF(O154=[1]CURSOS!$D$37,"SEGURIDAD DEL PACIENTE")))))))))))))))))))))))))))))))))))</f>
        <v>0</v>
      </c>
      <c r="V154" s="52" t="str">
        <f t="shared" si="18"/>
        <v xml:space="preserve">   </v>
      </c>
      <c r="W154" s="52" t="str">
        <f t="shared" si="19"/>
        <v xml:space="preserve">   </v>
      </c>
      <c r="X154" s="52" t="str">
        <f t="shared" si="20"/>
        <v xml:space="preserve">   --</v>
      </c>
    </row>
    <row r="155" spans="1:24" x14ac:dyDescent="0.2">
      <c r="A155" s="17">
        <v>154</v>
      </c>
      <c r="U155" s="52" t="b">
        <f>IF(O155=[1]CURSOS!$D$3,"DIPLOMADO EN ATENCION PRE-HOSPITALARIA",IF(O155=[1]CURSOS!$D$4,"ACOMPAÑAMIENTO Y MANEJO DEL DUELO",IF(O155=[1]CURSOS!$D$5,"ATENCION A VICTIMAS DE ATAQUE CON AGENTES QUIMICOS ",IF(O155=[1]CURSOS!$D$6,"PRIMEROS AUXILIOS ",IF(O155=[1]CURSOS!$D$7,"DIPLOMADO DE UNIDAD DE CUIDADOS INTENSIVOS (UCI)",IF(O155=[1]CURSOS!$D$8,"MODELO DE ATENCION PARA EVENTOS EMERGENTES EN SALUD MENTAL (CODIGO VERDE)",IF(O155=[1]CURSOS!$D$9,"HUMANIZACION EN EL SERVICIO DE LA SALUD Y BUENAS PRACTICAS EN PACIENTE ",IF(O155=[1]CURSOS!$D$10,"CLINICA DE HERIDAS ",IF(O155=[1]CURSOS!$D$11,"TOMA DE CITOLOGIA CERVICO VAGINAL ",IF(O155=[1]CURSOS!$D$12,"SOPORTE CARDIOVASCULAR AVANZADO (ACLS) ",IF(O155=[1]CURSOS!$D$13,"CAMILLERO ",IF(O155=[1]CURSOS!$D$14,"TOMA DE MUESTRAS Y LABORATORIO ",IF(O155=[1]CURSOS!$D$15,"SOPORTE VITAL BASICO (BLS)",IF(O155=[1]CURSOS!$D$16,"ATENCION A VICTIMAS DE VIOLENCIA SEXUAL ",IF(O155=[1]CURSOS!$D$17,"PROGRAMADO AMPLIADO DE INMUNIZACION (PAI - COVID 19)",IF(O155=[1]CURSOS!$D$18,"ATENCION INTEGRAL EN ENFERMEDADES PREVALENTES EN PRIMERA INFANCIA (AIEPI)",IF(O155=[1]CURSOS!$D$19,"ADMINISTRACION DE MEDICAMENTOS, INYECTOLOGIA  Y CANALIZACION ",IF(O155=[1]CURSOS!$D$20,"OPERADOR DE VEHICULOS DE EMERGENCIA (OVE)",IF(O155=[1]CURSOS!$D$21,"INSTITUCIONES AMIGAS DE LA MUJER Y LA INFANCIA (IAMI)",IF(O155=[1]CURSOS!$D$22,"CUIDADO DEL DONANTE DE ORGANOS",IF(O155=[1]CURSOS!$D$23,"ATENCION A VICTIMAS POR VIOLENCIA DE GENERO",IF(O155=[1]CURSOS!$D$24,"IGUALDAD DE GENERO EN LA SALUD",IF(O155=[1]CURSOS!$D$25,"BRIGADA DE EMERGENCIA",IF(O155=[1]CURSOS!$D$26,"MANEJO DEL DOLOR Y CUIDADOS PALIATIVOS",IF(O155=[1]CURSOS!$D$27,"TOMA DE MUESTRAS Y LABORATORIO POCT",IF(O155=[1]CURSOS!$D$28,"IMPLANTE SUBDERMICO DE DISPOSITIVO INTRAUTERINO",IF(O155=[1]CURSOS!$D$29,"SALUD MENTAL",IF(O155=[1]CURSOS!$D$30,"PRIMEROS AUXILIOS PSICOLOGICOS",IF(O155=[1]CURSOS!$D$31,"ATENCION A VICTIMAS POR CONFLICTO ARMADO",IF(O155=[1]CURSOS!$D$32,"MANIPULACION DE ALIMENTOS Y BPM",IF(O155=[1]CURSOS!$D$33,"ATENCION A PERSONAS CON DISCAPACIDAD",IF(O155=[1]CURSOS!$D$34,"CUIDADO INTEGRAL DEL PACIENTE ADULTO",IF(O155=[1]CURSOS!$D$35,"MANEJO DEFENSIVO",IF(O155=[1]CURSOS!$D$36,"SOPORTE CARDIOVASCULAR AVANZADO NEONATAL",IF(O155=[1]CURSOS!$D$37,"SEGURIDAD DEL PACIENTE")))))))))))))))))))))))))))))))))))</f>
        <v>0</v>
      </c>
      <c r="V155" s="52" t="str">
        <f t="shared" si="18"/>
        <v xml:space="preserve">   </v>
      </c>
      <c r="W155" s="52" t="str">
        <f t="shared" si="19"/>
        <v xml:space="preserve">   </v>
      </c>
      <c r="X155" s="52" t="str">
        <f t="shared" si="20"/>
        <v xml:space="preserve">   --</v>
      </c>
    </row>
    <row r="156" spans="1:24" x14ac:dyDescent="0.2">
      <c r="A156" s="17">
        <v>155</v>
      </c>
      <c r="U156" s="52" t="b">
        <f>IF(O156=[1]CURSOS!$D$3,"DIPLOMADO EN ATENCION PRE-HOSPITALARIA",IF(O156=[1]CURSOS!$D$4,"ACOMPAÑAMIENTO Y MANEJO DEL DUELO",IF(O156=[1]CURSOS!$D$5,"ATENCION A VICTIMAS DE ATAQUE CON AGENTES QUIMICOS ",IF(O156=[1]CURSOS!$D$6,"PRIMEROS AUXILIOS ",IF(O156=[1]CURSOS!$D$7,"DIPLOMADO DE UNIDAD DE CUIDADOS INTENSIVOS (UCI)",IF(O156=[1]CURSOS!$D$8,"MODELO DE ATENCION PARA EVENTOS EMERGENTES EN SALUD MENTAL (CODIGO VERDE)",IF(O156=[1]CURSOS!$D$9,"HUMANIZACION EN EL SERVICIO DE LA SALUD Y BUENAS PRACTICAS EN PACIENTE ",IF(O156=[1]CURSOS!$D$10,"CLINICA DE HERIDAS ",IF(O156=[1]CURSOS!$D$11,"TOMA DE CITOLOGIA CERVICO VAGINAL ",IF(O156=[1]CURSOS!$D$12,"SOPORTE CARDIOVASCULAR AVANZADO (ACLS) ",IF(O156=[1]CURSOS!$D$13,"CAMILLERO ",IF(O156=[1]CURSOS!$D$14,"TOMA DE MUESTRAS Y LABORATORIO ",IF(O156=[1]CURSOS!$D$15,"SOPORTE VITAL BASICO (BLS)",IF(O156=[1]CURSOS!$D$16,"ATENCION A VICTIMAS DE VIOLENCIA SEXUAL ",IF(O156=[1]CURSOS!$D$17,"PROGRAMADO AMPLIADO DE INMUNIZACION (PAI - COVID 19)",IF(O156=[1]CURSOS!$D$18,"ATENCION INTEGRAL EN ENFERMEDADES PREVALENTES EN PRIMERA INFANCIA (AIEPI)",IF(O156=[1]CURSOS!$D$19,"ADMINISTRACION DE MEDICAMENTOS, INYECTOLOGIA  Y CANALIZACION ",IF(O156=[1]CURSOS!$D$20,"OPERADOR DE VEHICULOS DE EMERGENCIA (OVE)",IF(O156=[1]CURSOS!$D$21,"INSTITUCIONES AMIGAS DE LA MUJER Y LA INFANCIA (IAMI)",IF(O156=[1]CURSOS!$D$22,"CUIDADO DEL DONANTE DE ORGANOS",IF(O156=[1]CURSOS!$D$23,"ATENCION A VICTIMAS POR VIOLENCIA DE GENERO",IF(O156=[1]CURSOS!$D$24,"IGUALDAD DE GENERO EN LA SALUD",IF(O156=[1]CURSOS!$D$25,"BRIGADA DE EMERGENCIA",IF(O156=[1]CURSOS!$D$26,"MANEJO DEL DOLOR Y CUIDADOS PALIATIVOS",IF(O156=[1]CURSOS!$D$27,"TOMA DE MUESTRAS Y LABORATORIO POCT",IF(O156=[1]CURSOS!$D$28,"IMPLANTE SUBDERMICO DE DISPOSITIVO INTRAUTERINO",IF(O156=[1]CURSOS!$D$29,"SALUD MENTAL",IF(O156=[1]CURSOS!$D$30,"PRIMEROS AUXILIOS PSICOLOGICOS",IF(O156=[1]CURSOS!$D$31,"ATENCION A VICTIMAS POR CONFLICTO ARMADO",IF(O156=[1]CURSOS!$D$32,"MANIPULACION DE ALIMENTOS Y BPM",IF(O156=[1]CURSOS!$D$33,"ATENCION A PERSONAS CON DISCAPACIDAD",IF(O156=[1]CURSOS!$D$34,"CUIDADO INTEGRAL DEL PACIENTE ADULTO",IF(O156=[1]CURSOS!$D$35,"MANEJO DEFENSIVO",IF(O156=[1]CURSOS!$D$36,"SOPORTE CARDIOVASCULAR AVANZADO NEONATAL",IF(O156=[1]CURSOS!$D$37,"SEGURIDAD DEL PACIENTE")))))))))))))))))))))))))))))))))))</f>
        <v>0</v>
      </c>
      <c r="V156" s="52" t="str">
        <f t="shared" si="18"/>
        <v xml:space="preserve">   </v>
      </c>
      <c r="W156" s="52" t="str">
        <f t="shared" si="19"/>
        <v xml:space="preserve">   </v>
      </c>
      <c r="X156" s="52" t="str">
        <f t="shared" si="20"/>
        <v xml:space="preserve">   --</v>
      </c>
    </row>
    <row r="157" spans="1:24" x14ac:dyDescent="0.2">
      <c r="A157" s="17">
        <v>156</v>
      </c>
      <c r="U157" s="52" t="b">
        <f>IF(O157=[1]CURSOS!$D$3,"DIPLOMADO EN ATENCION PRE-HOSPITALARIA",IF(O157=[1]CURSOS!$D$4,"ACOMPAÑAMIENTO Y MANEJO DEL DUELO",IF(O157=[1]CURSOS!$D$5,"ATENCION A VICTIMAS DE ATAQUE CON AGENTES QUIMICOS ",IF(O157=[1]CURSOS!$D$6,"PRIMEROS AUXILIOS ",IF(O157=[1]CURSOS!$D$7,"DIPLOMADO DE UNIDAD DE CUIDADOS INTENSIVOS (UCI)",IF(O157=[1]CURSOS!$D$8,"MODELO DE ATENCION PARA EVENTOS EMERGENTES EN SALUD MENTAL (CODIGO VERDE)",IF(O157=[1]CURSOS!$D$9,"HUMANIZACION EN EL SERVICIO DE LA SALUD Y BUENAS PRACTICAS EN PACIENTE ",IF(O157=[1]CURSOS!$D$10,"CLINICA DE HERIDAS ",IF(O157=[1]CURSOS!$D$11,"TOMA DE CITOLOGIA CERVICO VAGINAL ",IF(O157=[1]CURSOS!$D$12,"SOPORTE CARDIOVASCULAR AVANZADO (ACLS) ",IF(O157=[1]CURSOS!$D$13,"CAMILLERO ",IF(O157=[1]CURSOS!$D$14,"TOMA DE MUESTRAS Y LABORATORIO ",IF(O157=[1]CURSOS!$D$15,"SOPORTE VITAL BASICO (BLS)",IF(O157=[1]CURSOS!$D$16,"ATENCION A VICTIMAS DE VIOLENCIA SEXUAL ",IF(O157=[1]CURSOS!$D$17,"PROGRAMADO AMPLIADO DE INMUNIZACION (PAI - COVID 19)",IF(O157=[1]CURSOS!$D$18,"ATENCION INTEGRAL EN ENFERMEDADES PREVALENTES EN PRIMERA INFANCIA (AIEPI)",IF(O157=[1]CURSOS!$D$19,"ADMINISTRACION DE MEDICAMENTOS, INYECTOLOGIA  Y CANALIZACION ",IF(O157=[1]CURSOS!$D$20,"OPERADOR DE VEHICULOS DE EMERGENCIA (OVE)",IF(O157=[1]CURSOS!$D$21,"INSTITUCIONES AMIGAS DE LA MUJER Y LA INFANCIA (IAMI)",IF(O157=[1]CURSOS!$D$22,"CUIDADO DEL DONANTE DE ORGANOS",IF(O157=[1]CURSOS!$D$23,"ATENCION A VICTIMAS POR VIOLENCIA DE GENERO",IF(O157=[1]CURSOS!$D$24,"IGUALDAD DE GENERO EN LA SALUD",IF(O157=[1]CURSOS!$D$25,"BRIGADA DE EMERGENCIA",IF(O157=[1]CURSOS!$D$26,"MANEJO DEL DOLOR Y CUIDADOS PALIATIVOS",IF(O157=[1]CURSOS!$D$27,"TOMA DE MUESTRAS Y LABORATORIO POCT",IF(O157=[1]CURSOS!$D$28,"IMPLANTE SUBDERMICO DE DISPOSITIVO INTRAUTERINO",IF(O157=[1]CURSOS!$D$29,"SALUD MENTAL",IF(O157=[1]CURSOS!$D$30,"PRIMEROS AUXILIOS PSICOLOGICOS",IF(O157=[1]CURSOS!$D$31,"ATENCION A VICTIMAS POR CONFLICTO ARMADO",IF(O157=[1]CURSOS!$D$32,"MANIPULACION DE ALIMENTOS Y BPM",IF(O157=[1]CURSOS!$D$33,"ATENCION A PERSONAS CON DISCAPACIDAD",IF(O157=[1]CURSOS!$D$34,"CUIDADO INTEGRAL DEL PACIENTE ADULTO",IF(O157=[1]CURSOS!$D$35,"MANEJO DEFENSIVO",IF(O157=[1]CURSOS!$D$36,"SOPORTE CARDIOVASCULAR AVANZADO NEONATAL",IF(O157=[1]CURSOS!$D$37,"SEGURIDAD DEL PACIENTE")))))))))))))))))))))))))))))))))))</f>
        <v>0</v>
      </c>
      <c r="V157" s="52" t="str">
        <f t="shared" si="18"/>
        <v xml:space="preserve">   </v>
      </c>
      <c r="W157" s="52" t="str">
        <f t="shared" si="19"/>
        <v xml:space="preserve">   </v>
      </c>
      <c r="X157" s="52" t="str">
        <f t="shared" si="20"/>
        <v xml:space="preserve">   --</v>
      </c>
    </row>
    <row r="158" spans="1:24" x14ac:dyDescent="0.2">
      <c r="A158" s="17">
        <v>157</v>
      </c>
      <c r="U158" s="52" t="b">
        <f>IF(O158=[1]CURSOS!$D$3,"DIPLOMADO EN ATENCION PRE-HOSPITALARIA",IF(O158=[1]CURSOS!$D$4,"ACOMPAÑAMIENTO Y MANEJO DEL DUELO",IF(O158=[1]CURSOS!$D$5,"ATENCION A VICTIMAS DE ATAQUE CON AGENTES QUIMICOS ",IF(O158=[1]CURSOS!$D$6,"PRIMEROS AUXILIOS ",IF(O158=[1]CURSOS!$D$7,"DIPLOMADO DE UNIDAD DE CUIDADOS INTENSIVOS (UCI)",IF(O158=[1]CURSOS!$D$8,"MODELO DE ATENCION PARA EVENTOS EMERGENTES EN SALUD MENTAL (CODIGO VERDE)",IF(O158=[1]CURSOS!$D$9,"HUMANIZACION EN EL SERVICIO DE LA SALUD Y BUENAS PRACTICAS EN PACIENTE ",IF(O158=[1]CURSOS!$D$10,"CLINICA DE HERIDAS ",IF(O158=[1]CURSOS!$D$11,"TOMA DE CITOLOGIA CERVICO VAGINAL ",IF(O158=[1]CURSOS!$D$12,"SOPORTE CARDIOVASCULAR AVANZADO (ACLS) ",IF(O158=[1]CURSOS!$D$13,"CAMILLERO ",IF(O158=[1]CURSOS!$D$14,"TOMA DE MUESTRAS Y LABORATORIO ",IF(O158=[1]CURSOS!$D$15,"SOPORTE VITAL BASICO (BLS)",IF(O158=[1]CURSOS!$D$16,"ATENCION A VICTIMAS DE VIOLENCIA SEXUAL ",IF(O158=[1]CURSOS!$D$17,"PROGRAMADO AMPLIADO DE INMUNIZACION (PAI - COVID 19)",IF(O158=[1]CURSOS!$D$18,"ATENCION INTEGRAL EN ENFERMEDADES PREVALENTES EN PRIMERA INFANCIA (AIEPI)",IF(O158=[1]CURSOS!$D$19,"ADMINISTRACION DE MEDICAMENTOS, INYECTOLOGIA  Y CANALIZACION ",IF(O158=[1]CURSOS!$D$20,"OPERADOR DE VEHICULOS DE EMERGENCIA (OVE)",IF(O158=[1]CURSOS!$D$21,"INSTITUCIONES AMIGAS DE LA MUJER Y LA INFANCIA (IAMI)",IF(O158=[1]CURSOS!$D$22,"CUIDADO DEL DONANTE DE ORGANOS",IF(O158=[1]CURSOS!$D$23,"ATENCION A VICTIMAS POR VIOLENCIA DE GENERO",IF(O158=[1]CURSOS!$D$24,"IGUALDAD DE GENERO EN LA SALUD",IF(O158=[1]CURSOS!$D$25,"BRIGADA DE EMERGENCIA",IF(O158=[1]CURSOS!$D$26,"MANEJO DEL DOLOR Y CUIDADOS PALIATIVOS",IF(O158=[1]CURSOS!$D$27,"TOMA DE MUESTRAS Y LABORATORIO POCT",IF(O158=[1]CURSOS!$D$28,"IMPLANTE SUBDERMICO DE DISPOSITIVO INTRAUTERINO",IF(O158=[1]CURSOS!$D$29,"SALUD MENTAL",IF(O158=[1]CURSOS!$D$30,"PRIMEROS AUXILIOS PSICOLOGICOS",IF(O158=[1]CURSOS!$D$31,"ATENCION A VICTIMAS POR CONFLICTO ARMADO",IF(O158=[1]CURSOS!$D$32,"MANIPULACION DE ALIMENTOS Y BPM",IF(O158=[1]CURSOS!$D$33,"ATENCION A PERSONAS CON DISCAPACIDAD",IF(O158=[1]CURSOS!$D$34,"CUIDADO INTEGRAL DEL PACIENTE ADULTO",IF(O158=[1]CURSOS!$D$35,"MANEJO DEFENSIVO",IF(O158=[1]CURSOS!$D$36,"SOPORTE CARDIOVASCULAR AVANZADO NEONATAL",IF(O158=[1]CURSOS!$D$37,"SEGURIDAD DEL PACIENTE")))))))))))))))))))))))))))))))))))</f>
        <v>0</v>
      </c>
      <c r="V158" s="52" t="str">
        <f t="shared" si="18"/>
        <v xml:space="preserve">   </v>
      </c>
      <c r="W158" s="52" t="str">
        <f t="shared" si="19"/>
        <v xml:space="preserve">   </v>
      </c>
      <c r="X158" s="52" t="str">
        <f t="shared" si="20"/>
        <v xml:space="preserve">   --</v>
      </c>
    </row>
    <row r="159" spans="1:24" x14ac:dyDescent="0.2">
      <c r="A159" s="17">
        <v>158</v>
      </c>
      <c r="U159" s="52" t="b">
        <f>IF(O159=[1]CURSOS!$D$3,"DIPLOMADO EN ATENCION PRE-HOSPITALARIA",IF(O159=[1]CURSOS!$D$4,"ACOMPAÑAMIENTO Y MANEJO DEL DUELO",IF(O159=[1]CURSOS!$D$5,"ATENCION A VICTIMAS DE ATAQUE CON AGENTES QUIMICOS ",IF(O159=[1]CURSOS!$D$6,"PRIMEROS AUXILIOS ",IF(O159=[1]CURSOS!$D$7,"DIPLOMADO DE UNIDAD DE CUIDADOS INTENSIVOS (UCI)",IF(O159=[1]CURSOS!$D$8,"MODELO DE ATENCION PARA EVENTOS EMERGENTES EN SALUD MENTAL (CODIGO VERDE)",IF(O159=[1]CURSOS!$D$9,"HUMANIZACION EN EL SERVICIO DE LA SALUD Y BUENAS PRACTICAS EN PACIENTE ",IF(O159=[1]CURSOS!$D$10,"CLINICA DE HERIDAS ",IF(O159=[1]CURSOS!$D$11,"TOMA DE CITOLOGIA CERVICO VAGINAL ",IF(O159=[1]CURSOS!$D$12,"SOPORTE CARDIOVASCULAR AVANZADO (ACLS) ",IF(O159=[1]CURSOS!$D$13,"CAMILLERO ",IF(O159=[1]CURSOS!$D$14,"TOMA DE MUESTRAS Y LABORATORIO ",IF(O159=[1]CURSOS!$D$15,"SOPORTE VITAL BASICO (BLS)",IF(O159=[1]CURSOS!$D$16,"ATENCION A VICTIMAS DE VIOLENCIA SEXUAL ",IF(O159=[1]CURSOS!$D$17,"PROGRAMADO AMPLIADO DE INMUNIZACION (PAI - COVID 19)",IF(O159=[1]CURSOS!$D$18,"ATENCION INTEGRAL EN ENFERMEDADES PREVALENTES EN PRIMERA INFANCIA (AIEPI)",IF(O159=[1]CURSOS!$D$19,"ADMINISTRACION DE MEDICAMENTOS, INYECTOLOGIA  Y CANALIZACION ",IF(O159=[1]CURSOS!$D$20,"OPERADOR DE VEHICULOS DE EMERGENCIA (OVE)",IF(O159=[1]CURSOS!$D$21,"INSTITUCIONES AMIGAS DE LA MUJER Y LA INFANCIA (IAMI)",IF(O159=[1]CURSOS!$D$22,"CUIDADO DEL DONANTE DE ORGANOS",IF(O159=[1]CURSOS!$D$23,"ATENCION A VICTIMAS POR VIOLENCIA DE GENERO",IF(O159=[1]CURSOS!$D$24,"IGUALDAD DE GENERO EN LA SALUD",IF(O159=[1]CURSOS!$D$25,"BRIGADA DE EMERGENCIA",IF(O159=[1]CURSOS!$D$26,"MANEJO DEL DOLOR Y CUIDADOS PALIATIVOS",IF(O159=[1]CURSOS!$D$27,"TOMA DE MUESTRAS Y LABORATORIO POCT",IF(O159=[1]CURSOS!$D$28,"IMPLANTE SUBDERMICO DE DISPOSITIVO INTRAUTERINO",IF(O159=[1]CURSOS!$D$29,"SALUD MENTAL",IF(O159=[1]CURSOS!$D$30,"PRIMEROS AUXILIOS PSICOLOGICOS",IF(O159=[1]CURSOS!$D$31,"ATENCION A VICTIMAS POR CONFLICTO ARMADO",IF(O159=[1]CURSOS!$D$32,"MANIPULACION DE ALIMENTOS Y BPM",IF(O159=[1]CURSOS!$D$33,"ATENCION A PERSONAS CON DISCAPACIDAD",IF(O159=[1]CURSOS!$D$34,"CUIDADO INTEGRAL DEL PACIENTE ADULTO",IF(O159=[1]CURSOS!$D$35,"MANEJO DEFENSIVO",IF(O159=[1]CURSOS!$D$36,"SOPORTE CARDIOVASCULAR AVANZADO NEONATAL",IF(O159=[1]CURSOS!$D$37,"SEGURIDAD DEL PACIENTE")))))))))))))))))))))))))))))))))))</f>
        <v>0</v>
      </c>
      <c r="V159" s="52" t="str">
        <f t="shared" si="18"/>
        <v xml:space="preserve">   </v>
      </c>
      <c r="W159" s="52" t="str">
        <f t="shared" si="19"/>
        <v xml:space="preserve">   </v>
      </c>
      <c r="X159" s="52" t="str">
        <f t="shared" si="20"/>
        <v xml:space="preserve">   --</v>
      </c>
    </row>
    <row r="160" spans="1:24" x14ac:dyDescent="0.2">
      <c r="A160" s="17">
        <v>159</v>
      </c>
      <c r="U160" s="52" t="b">
        <f>IF(O160=[1]CURSOS!$D$3,"DIPLOMADO EN ATENCION PRE-HOSPITALARIA",IF(O160=[1]CURSOS!$D$4,"ACOMPAÑAMIENTO Y MANEJO DEL DUELO",IF(O160=[1]CURSOS!$D$5,"ATENCION A VICTIMAS DE ATAQUE CON AGENTES QUIMICOS ",IF(O160=[1]CURSOS!$D$6,"PRIMEROS AUXILIOS ",IF(O160=[1]CURSOS!$D$7,"DIPLOMADO DE UNIDAD DE CUIDADOS INTENSIVOS (UCI)",IF(O160=[1]CURSOS!$D$8,"MODELO DE ATENCION PARA EVENTOS EMERGENTES EN SALUD MENTAL (CODIGO VERDE)",IF(O160=[1]CURSOS!$D$9,"HUMANIZACION EN EL SERVICIO DE LA SALUD Y BUENAS PRACTICAS EN PACIENTE ",IF(O160=[1]CURSOS!$D$10,"CLINICA DE HERIDAS ",IF(O160=[1]CURSOS!$D$11,"TOMA DE CITOLOGIA CERVICO VAGINAL ",IF(O160=[1]CURSOS!$D$12,"SOPORTE CARDIOVASCULAR AVANZADO (ACLS) ",IF(O160=[1]CURSOS!$D$13,"CAMILLERO ",IF(O160=[1]CURSOS!$D$14,"TOMA DE MUESTRAS Y LABORATORIO ",IF(O160=[1]CURSOS!$D$15,"SOPORTE VITAL BASICO (BLS)",IF(O160=[1]CURSOS!$D$16,"ATENCION A VICTIMAS DE VIOLENCIA SEXUAL ",IF(O160=[1]CURSOS!$D$17,"PROGRAMADO AMPLIADO DE INMUNIZACION (PAI - COVID 19)",IF(O160=[1]CURSOS!$D$18,"ATENCION INTEGRAL EN ENFERMEDADES PREVALENTES EN PRIMERA INFANCIA (AIEPI)",IF(O160=[1]CURSOS!$D$19,"ADMINISTRACION DE MEDICAMENTOS, INYECTOLOGIA  Y CANALIZACION ",IF(O160=[1]CURSOS!$D$20,"OPERADOR DE VEHICULOS DE EMERGENCIA (OVE)",IF(O160=[1]CURSOS!$D$21,"INSTITUCIONES AMIGAS DE LA MUJER Y LA INFANCIA (IAMI)",IF(O160=[1]CURSOS!$D$22,"CUIDADO DEL DONANTE DE ORGANOS",IF(O160=[1]CURSOS!$D$23,"ATENCION A VICTIMAS POR VIOLENCIA DE GENERO",IF(O160=[1]CURSOS!$D$24,"IGUALDAD DE GENERO EN LA SALUD",IF(O160=[1]CURSOS!$D$25,"BRIGADA DE EMERGENCIA",IF(O160=[1]CURSOS!$D$26,"MANEJO DEL DOLOR Y CUIDADOS PALIATIVOS",IF(O160=[1]CURSOS!$D$27,"TOMA DE MUESTRAS Y LABORATORIO POCT",IF(O160=[1]CURSOS!$D$28,"IMPLANTE SUBDERMICO DE DISPOSITIVO INTRAUTERINO",IF(O160=[1]CURSOS!$D$29,"SALUD MENTAL",IF(O160=[1]CURSOS!$D$30,"PRIMEROS AUXILIOS PSICOLOGICOS",IF(O160=[1]CURSOS!$D$31,"ATENCION A VICTIMAS POR CONFLICTO ARMADO",IF(O160=[1]CURSOS!$D$32,"MANIPULACION DE ALIMENTOS Y BPM",IF(O160=[1]CURSOS!$D$33,"ATENCION A PERSONAS CON DISCAPACIDAD",IF(O160=[1]CURSOS!$D$34,"CUIDADO INTEGRAL DEL PACIENTE ADULTO",IF(O160=[1]CURSOS!$D$35,"MANEJO DEFENSIVO",IF(O160=[1]CURSOS!$D$36,"SOPORTE CARDIOVASCULAR AVANZADO NEONATAL",IF(O160=[1]CURSOS!$D$37,"SEGURIDAD DEL PACIENTE")))))))))))))))))))))))))))))))))))</f>
        <v>0</v>
      </c>
      <c r="V160" s="52" t="str">
        <f t="shared" si="18"/>
        <v xml:space="preserve">   </v>
      </c>
      <c r="W160" s="52" t="str">
        <f t="shared" si="19"/>
        <v xml:space="preserve">   </v>
      </c>
      <c r="X160" s="52" t="str">
        <f t="shared" si="20"/>
        <v xml:space="preserve">   --</v>
      </c>
    </row>
    <row r="161" spans="1:1" x14ac:dyDescent="0.2">
      <c r="A161" s="17">
        <v>160</v>
      </c>
    </row>
    <row r="162" spans="1:1" x14ac:dyDescent="0.2">
      <c r="A162" s="17">
        <v>161</v>
      </c>
    </row>
    <row r="163" spans="1:1" x14ac:dyDescent="0.2">
      <c r="A163" s="17">
        <v>162</v>
      </c>
    </row>
    <row r="164" spans="1:1" x14ac:dyDescent="0.2">
      <c r="A164" s="17">
        <v>163</v>
      </c>
    </row>
    <row r="165" spans="1:1" x14ac:dyDescent="0.2">
      <c r="A165" s="17">
        <v>164</v>
      </c>
    </row>
    <row r="166" spans="1:1" x14ac:dyDescent="0.2">
      <c r="A166" s="17">
        <v>165</v>
      </c>
    </row>
    <row r="167" spans="1:1" x14ac:dyDescent="0.2">
      <c r="A167" s="17">
        <v>166</v>
      </c>
    </row>
    <row r="168" spans="1:1" x14ac:dyDescent="0.2">
      <c r="A168" s="17">
        <v>167</v>
      </c>
    </row>
    <row r="169" spans="1:1" x14ac:dyDescent="0.2">
      <c r="A169" s="17">
        <v>168</v>
      </c>
    </row>
    <row r="170" spans="1:1" x14ac:dyDescent="0.2">
      <c r="A170" s="17">
        <v>169</v>
      </c>
    </row>
    <row r="171" spans="1:1" x14ac:dyDescent="0.2">
      <c r="A171" s="17">
        <v>170</v>
      </c>
    </row>
    <row r="172" spans="1:1" x14ac:dyDescent="0.2">
      <c r="A172" s="17">
        <v>171</v>
      </c>
    </row>
    <row r="173" spans="1:1" x14ac:dyDescent="0.2">
      <c r="A173" s="17">
        <v>172</v>
      </c>
    </row>
    <row r="174" spans="1:1" x14ac:dyDescent="0.2">
      <c r="A174" s="17">
        <v>173</v>
      </c>
    </row>
    <row r="175" spans="1:1" x14ac:dyDescent="0.2">
      <c r="A175" s="17">
        <v>174</v>
      </c>
    </row>
  </sheetData>
  <phoneticPr fontId="7" type="noConversion"/>
  <hyperlinks>
    <hyperlink ref="R46" r:id="rId1" xr:uid="{00000000-0004-0000-0000-000000000000}"/>
    <hyperlink ref="R47" r:id="rId2" xr:uid="{00000000-0004-0000-0000-000001000000}"/>
    <hyperlink ref="T49" r:id="rId3" xr:uid="{00000000-0004-0000-0000-000002000000}"/>
    <hyperlink ref="T51" r:id="rId4" xr:uid="{00000000-0004-0000-0000-000003000000}"/>
    <hyperlink ref="R27" r:id="rId5" xr:uid="{00000000-0004-0000-0000-000004000000}"/>
    <hyperlink ref="R25" r:id="rId6" xr:uid="{00000000-0004-0000-0000-000005000000}"/>
    <hyperlink ref="R21" r:id="rId7" xr:uid="{00000000-0004-0000-0000-000006000000}"/>
    <hyperlink ref="R11" r:id="rId8" xr:uid="{00000000-0004-0000-0000-000007000000}"/>
    <hyperlink ref="R10" r:id="rId9" xr:uid="{00000000-0004-0000-0000-000008000000}"/>
    <hyperlink ref="R9" r:id="rId10" xr:uid="{00000000-0004-0000-0000-000009000000}"/>
    <hyperlink ref="R54" r:id="rId11" xr:uid="{00000000-0004-0000-0000-00000A000000}"/>
    <hyperlink ref="R67" r:id="rId12" xr:uid="{00000000-0004-0000-0000-00000B000000}"/>
    <hyperlink ref="R68" r:id="rId13" xr:uid="{00000000-0004-0000-0000-00000C000000}"/>
    <hyperlink ref="R69" r:id="rId14" xr:uid="{00000000-0004-0000-0000-00000D000000}"/>
    <hyperlink ref="R70" r:id="rId15" xr:uid="{00000000-0004-0000-0000-00000E000000}"/>
    <hyperlink ref="R71" r:id="rId16" xr:uid="{00000000-0004-0000-0000-00000F000000}"/>
    <hyperlink ref="R74" r:id="rId17" xr:uid="{00000000-0004-0000-0000-000010000000}"/>
    <hyperlink ref="R75" r:id="rId18" xr:uid="{00000000-0004-0000-0000-000011000000}"/>
    <hyperlink ref="R79" r:id="rId19" xr:uid="{00000000-0004-0000-0000-000012000000}"/>
    <hyperlink ref="R83" r:id="rId20" xr:uid="{00000000-0004-0000-0000-000013000000}"/>
    <hyperlink ref="R98" r:id="rId21" xr:uid="{00000000-0004-0000-0000-000014000000}"/>
    <hyperlink ref="R109" r:id="rId22" xr:uid="{00000000-0004-0000-0000-000015000000}"/>
    <hyperlink ref="T95" r:id="rId23" display="anyelagetial68@gmail.com" xr:uid="{00000000-0004-0000-0000-000016000000}"/>
    <hyperlink ref="T146" r:id="rId24" xr:uid="{00000000-0004-0000-0000-000017000000}"/>
    <hyperlink ref="T147" r:id="rId25" xr:uid="{00000000-0004-0000-0000-000018000000}"/>
    <hyperlink ref="T148" r:id="rId26" xr:uid="{00000000-0004-0000-0000-000019000000}"/>
    <hyperlink ref="T149" r:id="rId27" xr:uid="{00000000-0004-0000-0000-00001A000000}"/>
  </hyperlinks>
  <pageMargins left="0.7" right="0.7" top="0.75" bottom="0.75" header="0.3" footer="0.3"/>
  <pageSetup paperSize="9" scale="12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V331"/>
  <sheetViews>
    <sheetView zoomScale="55" zoomScaleNormal="55" workbookViewId="0">
      <selection activeCell="L22" sqref="L1:L1048576"/>
    </sheetView>
  </sheetViews>
  <sheetFormatPr baseColWidth="10" defaultColWidth="25.5703125" defaultRowHeight="15" x14ac:dyDescent="0.2"/>
  <cols>
    <col min="1" max="1" width="4.28515625" style="69" bestFit="1" customWidth="1"/>
    <col min="2" max="2" width="45.140625" style="69" bestFit="1" customWidth="1"/>
    <col min="3" max="3" width="29" style="69" bestFit="1" customWidth="1"/>
    <col min="4" max="4" width="31.28515625" style="69" bestFit="1" customWidth="1"/>
    <col min="5" max="5" width="27.42578125" style="69" bestFit="1" customWidth="1"/>
    <col min="6" max="6" width="30" style="69" bestFit="1" customWidth="1"/>
    <col min="7" max="7" width="7.140625" style="147" bestFit="1" customWidth="1"/>
    <col min="8" max="8" width="10" style="69" bestFit="1" customWidth="1"/>
    <col min="9" max="9" width="26.140625" style="69" bestFit="1" customWidth="1"/>
    <col min="10" max="10" width="28.7109375" style="69" bestFit="1" customWidth="1"/>
    <col min="11" max="11" width="25.5703125" style="69" bestFit="1" customWidth="1"/>
    <col min="12" max="12" width="16" style="69" bestFit="1" customWidth="1"/>
    <col min="13" max="13" width="23.7109375" style="69" bestFit="1" customWidth="1"/>
    <col min="14" max="14" width="20.85546875" style="69" bestFit="1" customWidth="1"/>
    <col min="15" max="15" width="14.140625" style="69" bestFit="1" customWidth="1"/>
    <col min="16" max="16" width="51.28515625" style="69" bestFit="1" customWidth="1"/>
    <col min="17" max="17" width="15.140625" style="69" bestFit="1" customWidth="1"/>
    <col min="18" max="18" width="40.85546875" style="69" bestFit="1" customWidth="1"/>
    <col min="19" max="19" width="104.5703125" style="69" bestFit="1" customWidth="1"/>
    <col min="20" max="21" width="44.5703125" style="69" bestFit="1" customWidth="1"/>
    <col min="22" max="22" width="79.140625" style="69" bestFit="1" customWidth="1"/>
    <col min="23" max="16384" width="25.5703125" style="69"/>
  </cols>
  <sheetData>
    <row r="1" spans="1:22" s="56" customFormat="1" ht="15.75" x14ac:dyDescent="0.25">
      <c r="A1" s="89" t="s">
        <v>71</v>
      </c>
      <c r="B1" s="90" t="s">
        <v>0</v>
      </c>
      <c r="C1" s="91" t="s">
        <v>1</v>
      </c>
      <c r="D1" s="91" t="s">
        <v>2</v>
      </c>
      <c r="E1" s="91" t="s">
        <v>3</v>
      </c>
      <c r="F1" s="91" t="s">
        <v>4</v>
      </c>
      <c r="G1" s="92" t="s">
        <v>5</v>
      </c>
      <c r="H1" s="93" t="s">
        <v>6</v>
      </c>
      <c r="I1" s="94" t="s">
        <v>7</v>
      </c>
      <c r="J1" s="95" t="s">
        <v>8</v>
      </c>
      <c r="K1" s="96" t="s">
        <v>9</v>
      </c>
      <c r="L1" s="96" t="s">
        <v>72</v>
      </c>
      <c r="M1" s="96" t="s">
        <v>10</v>
      </c>
      <c r="N1" s="97" t="s">
        <v>11</v>
      </c>
      <c r="O1" s="97" t="s">
        <v>12</v>
      </c>
      <c r="P1" s="91" t="s">
        <v>13</v>
      </c>
      <c r="Q1" s="91" t="s">
        <v>14</v>
      </c>
      <c r="R1" s="91" t="s">
        <v>73</v>
      </c>
      <c r="S1" s="32" t="s">
        <v>15</v>
      </c>
      <c r="T1" s="32" t="s">
        <v>16</v>
      </c>
      <c r="U1" s="32" t="s">
        <v>17</v>
      </c>
      <c r="V1" s="32" t="s">
        <v>18</v>
      </c>
    </row>
    <row r="2" spans="1:22" s="17" customFormat="1" x14ac:dyDescent="0.2">
      <c r="A2" s="85">
        <v>1</v>
      </c>
      <c r="B2" s="17">
        <v>51897961</v>
      </c>
      <c r="C2" s="86" t="s">
        <v>180</v>
      </c>
      <c r="D2" s="86" t="s">
        <v>148</v>
      </c>
      <c r="E2" s="86" t="s">
        <v>179</v>
      </c>
      <c r="F2" s="86" t="s">
        <v>144</v>
      </c>
      <c r="G2" s="14">
        <v>3</v>
      </c>
      <c r="H2" s="14" t="s">
        <v>181</v>
      </c>
      <c r="I2" s="16"/>
      <c r="J2" s="19"/>
      <c r="K2" s="16"/>
      <c r="L2" s="101" t="s">
        <v>86</v>
      </c>
      <c r="M2" s="101" t="s">
        <v>139</v>
      </c>
      <c r="N2" s="15" t="s">
        <v>33</v>
      </c>
      <c r="O2" s="15" t="s">
        <v>251</v>
      </c>
      <c r="P2" s="17" t="s">
        <v>258</v>
      </c>
      <c r="Q2" s="17">
        <v>3186937651</v>
      </c>
      <c r="R2" s="17" t="s">
        <v>259</v>
      </c>
      <c r="S2" s="52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EL SERVICIO DE LA SALUD Y BUENAS PRACTICAS EN PACIENTE ",IF(N2=CURSOS!$D$10,"CLINICA DE HERIDAS ",IF(N2=CURSOS!$D$11,"TOMA DE CITOLOGIA CERVICO VAGINAL ",IF(N2=CURSOS!$D$12,"SOPORTE CARDIOVASCULAR AVANZADO (ACLS) ",IF(N2=CURSOS!$D$13,"CAMILLERO ",IF(N2=CURSOS!$D$14,"TOMA DE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INYECTOLOGIA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DE MUESTRAS Y LABORATORIO POCT",IF(N2=CURSOS!$D$28,"IMPLANTE SUBDERMICO DE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ADULTO",IF(N2=CURSOS!$D$35,"MANEJO DEFENSIVO",IF(N2=CURSOS!$D$36,"SOPORTE CARDIOVASCULAR AVANZADO NEONATAL",IF(N2=CURSOS!$D$37,"SEGURIDAD DEL PACIENTE")))))))))))))))))))))))))))))))))))</f>
        <v xml:space="preserve">HUMANIZACION EN EL SERVICIO DE LA SALUD Y BUENAS PRACTICAS EN PACIENTE </v>
      </c>
      <c r="T2" s="52" t="str">
        <f t="shared" ref="T2:T33" si="0">CONCATENATE(E2," ",F2," ",C2," ",D2)</f>
        <v>Elida Rocio Villamil Botina</v>
      </c>
      <c r="U2" s="52" t="str">
        <f t="shared" ref="U2:U33" si="1">+PROPER(T2)</f>
        <v>Elida Rocio Villamil Botina</v>
      </c>
      <c r="V2" s="52" t="str">
        <f t="shared" ref="V2:V33" si="2">CONCATENATE(T2,"-",B2,"-",N2)</f>
        <v>Elida Rocio Villamil Botina-51897961-HUMANIZACION</v>
      </c>
    </row>
    <row r="3" spans="1:22" s="17" customFormat="1" x14ac:dyDescent="0.2">
      <c r="A3" s="17">
        <v>2</v>
      </c>
      <c r="B3" s="17">
        <v>1085346100</v>
      </c>
      <c r="C3" s="86" t="s">
        <v>182</v>
      </c>
      <c r="D3" s="86" t="s">
        <v>92</v>
      </c>
      <c r="E3" s="86" t="s">
        <v>217</v>
      </c>
      <c r="F3" s="86" t="s">
        <v>218</v>
      </c>
      <c r="G3" s="14">
        <v>3</v>
      </c>
      <c r="H3" s="14" t="s">
        <v>181</v>
      </c>
      <c r="L3" s="101" t="s">
        <v>86</v>
      </c>
      <c r="M3" s="101" t="s">
        <v>139</v>
      </c>
      <c r="N3" s="15" t="s">
        <v>33</v>
      </c>
      <c r="O3" s="17" t="s">
        <v>251</v>
      </c>
      <c r="P3" s="17" t="s">
        <v>258</v>
      </c>
      <c r="Q3" s="17">
        <v>3162286339</v>
      </c>
      <c r="R3" s="17" t="s">
        <v>260</v>
      </c>
      <c r="S3" s="52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EL SERVICIO DE LA SALUD Y BUENAS PRACTICAS EN PACIENTE ",IF(N3=CURSOS!$D$10,"CLINICA DE HERIDAS ",IF(N3=CURSOS!$D$11,"TOMA DE CITOLOGIA CERVICO VAGINAL ",IF(N3=CURSOS!$D$12,"SOPORTE CARDIOVASCULAR AVANZADO (ACLS) ",IF(N3=CURSOS!$D$13,"CAMILLERO ",IF(N3=CURSOS!$D$14,"TOMA DE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INYECTOLOGIA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DE MUESTRAS Y LABORATORIO POCT",IF(N3=CURSOS!$D$28,"IMPLANTE SUBDERMICO DE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ADULTO",IF(N3=CURSOS!$D$35,"MANEJO DEFENSIVO",IF(N3=CURSOS!$D$36,"SOPORTE CARDIOVASCULAR AVANZADO NEONATAL",IF(N3=CURSOS!$D$37,"SEGURIDAD DEL PACIENTE")))))))))))))))))))))))))))))))))))</f>
        <v xml:space="preserve">HUMANIZACION EN EL SERVICIO DE LA SALUD Y BUENAS PRACTICAS EN PACIENTE </v>
      </c>
      <c r="T3" s="52" t="str">
        <f t="shared" si="0"/>
        <v>Lesley Dajhana Rubio Rosero</v>
      </c>
      <c r="U3" s="52" t="str">
        <f t="shared" si="1"/>
        <v>Lesley Dajhana Rubio Rosero</v>
      </c>
      <c r="V3" s="52" t="str">
        <f t="shared" si="2"/>
        <v>Lesley Dajhana Rubio Rosero-1085346100-HUMANIZACION</v>
      </c>
    </row>
    <row r="4" spans="1:22" s="17" customFormat="1" x14ac:dyDescent="0.2">
      <c r="A4" s="17">
        <v>3</v>
      </c>
      <c r="B4" s="17">
        <v>36752719</v>
      </c>
      <c r="C4" s="86" t="s">
        <v>96</v>
      </c>
      <c r="D4" s="86" t="s">
        <v>175</v>
      </c>
      <c r="E4" s="86" t="s">
        <v>219</v>
      </c>
      <c r="F4" s="86" t="s">
        <v>128</v>
      </c>
      <c r="G4" s="14">
        <v>3</v>
      </c>
      <c r="H4" s="14" t="s">
        <v>181</v>
      </c>
      <c r="L4" s="101" t="s">
        <v>86</v>
      </c>
      <c r="M4" s="101" t="s">
        <v>139</v>
      </c>
      <c r="N4" s="15" t="s">
        <v>33</v>
      </c>
      <c r="O4" s="17" t="s">
        <v>251</v>
      </c>
      <c r="P4" s="17" t="s">
        <v>258</v>
      </c>
      <c r="Q4" s="17">
        <v>3127124380</v>
      </c>
      <c r="R4" s="17" t="s">
        <v>261</v>
      </c>
      <c r="S4" s="52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EL SERVICIO DE LA SALUD Y BUENAS PRACTICAS EN PACIENTE ",IF(N4=CURSOS!$D$10,"CLINICA DE HERIDAS ",IF(N4=CURSOS!$D$11,"TOMA DE CITOLOGIA CERVICO VAGINAL ",IF(N4=CURSOS!$D$12,"SOPORTE CARDIOVASCULAR AVANZADO (ACLS) ",IF(N4=CURSOS!$D$13,"CAMILLERO ",IF(N4=CURSOS!$D$14,"TOMA DE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INYECTOLOGIA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DE MUESTRAS Y LABORATORIO POCT",IF(N4=CURSOS!$D$28,"IMPLANTE SUBDERMICO DE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ADULTO",IF(N4=CURSOS!$D$35,"MANEJO DEFENSIVO",IF(N4=CURSOS!$D$36,"SOPORTE CARDIOVASCULAR AVANZADO NEONATAL",IF(N4=CURSOS!$D$37,"SEGURIDAD DEL PACIENTE")))))))))))))))))))))))))))))))))))</f>
        <v xml:space="preserve">HUMANIZACION EN EL SERVICIO DE LA SALUD Y BUENAS PRACTICAS EN PACIENTE </v>
      </c>
      <c r="T4" s="52" t="str">
        <f t="shared" si="0"/>
        <v>Sonia Milena Benavides Pazmiño</v>
      </c>
      <c r="U4" s="52" t="str">
        <f t="shared" si="1"/>
        <v>Sonia Milena Benavides Pazmiño</v>
      </c>
      <c r="V4" s="52" t="str">
        <f t="shared" si="2"/>
        <v>Sonia Milena Benavides Pazmiño-36752719-HUMANIZACION</v>
      </c>
    </row>
    <row r="5" spans="1:22" s="17" customFormat="1" x14ac:dyDescent="0.2">
      <c r="A5" s="17">
        <v>4</v>
      </c>
      <c r="B5" s="17">
        <v>1085312531</v>
      </c>
      <c r="C5" s="86" t="s">
        <v>105</v>
      </c>
      <c r="D5" s="86" t="s">
        <v>183</v>
      </c>
      <c r="E5" s="86" t="s">
        <v>143</v>
      </c>
      <c r="F5" s="86" t="s">
        <v>167</v>
      </c>
      <c r="G5" s="14">
        <v>3</v>
      </c>
      <c r="H5" s="14" t="s">
        <v>181</v>
      </c>
      <c r="L5" s="101" t="s">
        <v>86</v>
      </c>
      <c r="M5" s="101" t="s">
        <v>139</v>
      </c>
      <c r="N5" s="15" t="s">
        <v>33</v>
      </c>
      <c r="O5" s="17" t="s">
        <v>251</v>
      </c>
      <c r="P5" s="17" t="s">
        <v>258</v>
      </c>
      <c r="Q5" s="17">
        <v>3142310053</v>
      </c>
      <c r="R5" s="17" t="s">
        <v>262</v>
      </c>
      <c r="S5" s="52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EL SERVICIO DE LA SALUD Y BUENAS PRACTICAS EN PACIENTE ",IF(N5=CURSOS!$D$10,"CLINICA DE HERIDAS ",IF(N5=CURSOS!$D$11,"TOMA DE CITOLOGIA CERVICO VAGINAL ",IF(N5=CURSOS!$D$12,"SOPORTE CARDIOVASCULAR AVANZADO (ACLS) ",IF(N5=CURSOS!$D$13,"CAMILLERO ",IF(N5=CURSOS!$D$14,"TOMA DE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INYECTOLOGIA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DE MUESTRAS Y LABORATORIO POCT",IF(N5=CURSOS!$D$28,"IMPLANTE SUBDERMICO DE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ADULTO",IF(N5=CURSOS!$D$35,"MANEJO DEFENSIVO",IF(N5=CURSOS!$D$36,"SOPORTE CARDIOVASCULAR AVANZADO NEONATAL",IF(N5=CURSOS!$D$37,"SEGURIDAD DEL PACIENTE")))))))))))))))))))))))))))))))))))</f>
        <v xml:space="preserve">HUMANIZACION EN EL SERVICIO DE LA SALUD Y BUENAS PRACTICAS EN PACIENTE </v>
      </c>
      <c r="T5" s="52" t="str">
        <f t="shared" si="0"/>
        <v>Diana Magaly Lopez Guacas</v>
      </c>
      <c r="U5" s="52" t="str">
        <f t="shared" si="1"/>
        <v>Diana Magaly Lopez Guacas</v>
      </c>
      <c r="V5" s="52" t="str">
        <f t="shared" si="2"/>
        <v>Diana Magaly Lopez Guacas-1085312531-HUMANIZACION</v>
      </c>
    </row>
    <row r="6" spans="1:22" s="17" customFormat="1" x14ac:dyDescent="0.2">
      <c r="A6" s="85">
        <v>5</v>
      </c>
      <c r="B6" s="17">
        <v>1085945607</v>
      </c>
      <c r="C6" s="86" t="s">
        <v>186</v>
      </c>
      <c r="D6" s="86" t="s">
        <v>100</v>
      </c>
      <c r="E6" s="86" t="s">
        <v>223</v>
      </c>
      <c r="F6" s="86" t="s">
        <v>89</v>
      </c>
      <c r="G6" s="14">
        <v>3</v>
      </c>
      <c r="H6" s="14" t="s">
        <v>181</v>
      </c>
      <c r="L6" s="101" t="s">
        <v>86</v>
      </c>
      <c r="M6" s="101" t="s">
        <v>139</v>
      </c>
      <c r="N6" s="15" t="s">
        <v>33</v>
      </c>
      <c r="O6" s="17" t="s">
        <v>252</v>
      </c>
      <c r="P6" s="17" t="s">
        <v>258</v>
      </c>
      <c r="Q6" s="17">
        <v>3107053216</v>
      </c>
      <c r="R6" s="17" t="s">
        <v>266</v>
      </c>
      <c r="S6" s="52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EL SERVICIO DE LA SALUD Y BUENAS PRACTICAS EN PACIENTE ",IF(N6=CURSOS!$D$10,"CLINICA DE HERIDAS ",IF(N6=CURSOS!$D$11,"TOMA DE CITOLOGIA CERVICO VAGINAL ",IF(N6=CURSOS!$D$12,"SOPORTE CARDIOVASCULAR AVANZADO (ACLS) ",IF(N6=CURSOS!$D$13,"CAMILLERO ",IF(N6=CURSOS!$D$14,"TOMA DE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INYECTOLOGIA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DE MUESTRAS Y LABORATORIO POCT",IF(N6=CURSOS!$D$28,"IMPLANTE SUBDERMICO DE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ADULTO",IF(N6=CURSOS!$D$35,"MANEJO DEFENSIVO",IF(N6=CURSOS!$D$36,"SOPORTE CARDIOVASCULAR AVANZADO NEONATAL",IF(N6=CURSOS!$D$37,"SEGURIDAD DEL PACIENTE")))))))))))))))))))))))))))))))))))</f>
        <v xml:space="preserve">HUMANIZACION EN EL SERVICIO DE LA SALUD Y BUENAS PRACTICAS EN PACIENTE </v>
      </c>
      <c r="T6" s="52" t="str">
        <f t="shared" si="0"/>
        <v>Anderson Mauricio Moncayo Guerrero</v>
      </c>
      <c r="U6" s="52" t="str">
        <f t="shared" si="1"/>
        <v>Anderson Mauricio Moncayo Guerrero</v>
      </c>
      <c r="V6" s="52" t="str">
        <f t="shared" si="2"/>
        <v>Anderson Mauricio Moncayo Guerrero-1085945607-HUMANIZACION</v>
      </c>
    </row>
    <row r="7" spans="1:22" s="17" customFormat="1" x14ac:dyDescent="0.2">
      <c r="A7" s="17">
        <v>6</v>
      </c>
      <c r="B7" s="17">
        <v>36932346</v>
      </c>
      <c r="C7" s="86" t="s">
        <v>120</v>
      </c>
      <c r="D7" s="86" t="s">
        <v>187</v>
      </c>
      <c r="E7" s="86" t="s">
        <v>93</v>
      </c>
      <c r="F7" s="86" t="s">
        <v>226</v>
      </c>
      <c r="G7" s="14">
        <v>3</v>
      </c>
      <c r="H7" s="14" t="s">
        <v>181</v>
      </c>
      <c r="L7" s="101" t="s">
        <v>86</v>
      </c>
      <c r="M7" s="101" t="s">
        <v>139</v>
      </c>
      <c r="N7" s="15" t="s">
        <v>33</v>
      </c>
      <c r="O7" s="17" t="s">
        <v>251</v>
      </c>
      <c r="P7" s="17" t="s">
        <v>253</v>
      </c>
      <c r="Q7" s="17">
        <v>3156531404</v>
      </c>
      <c r="R7" s="17" t="s">
        <v>268</v>
      </c>
      <c r="S7" s="52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EL SERVICIO DE LA SALUD Y BUENAS PRACTICAS EN PACIENTE ",IF(N7=CURSOS!$D$10,"CLINICA DE HERIDAS ",IF(N7=CURSOS!$D$11,"TOMA DE CITOLOGIA CERVICO VAGINAL ",IF(N7=CURSOS!$D$12,"SOPORTE CARDIOVASCULAR AVANZADO (ACLS) ",IF(N7=CURSOS!$D$13,"CAMILLERO ",IF(N7=CURSOS!$D$14,"TOMA DE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INYECTOLOGIA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DE MUESTRAS Y LABORATORIO POCT",IF(N7=CURSOS!$D$28,"IMPLANTE SUBDERMICO DE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ADULTO",IF(N7=CURSOS!$D$35,"MANEJO DEFENSIVO",IF(N7=CURSOS!$D$36,"SOPORTE CARDIOVASCULAR AVANZADO NEONATAL",IF(N7=CURSOS!$D$37,"SEGURIDAD DEL PACIENTE")))))))))))))))))))))))))))))))))))</f>
        <v xml:space="preserve">HUMANIZACION EN EL SERVICIO DE LA SALUD Y BUENAS PRACTICAS EN PACIENTE </v>
      </c>
      <c r="T7" s="52" t="str">
        <f t="shared" si="0"/>
        <v>Doris Yanet Coral Marcillo</v>
      </c>
      <c r="U7" s="52" t="str">
        <f t="shared" si="1"/>
        <v>Doris Yanet Coral Marcillo</v>
      </c>
      <c r="V7" s="52" t="str">
        <f t="shared" si="2"/>
        <v>Doris Yanet Coral Marcillo-36932346-HUMANIZACION</v>
      </c>
    </row>
    <row r="8" spans="1:22" s="17" customFormat="1" x14ac:dyDescent="0.2">
      <c r="A8" s="17">
        <v>7</v>
      </c>
      <c r="B8" s="17">
        <v>59310407</v>
      </c>
      <c r="C8" s="86" t="s">
        <v>188</v>
      </c>
      <c r="D8" s="86" t="s">
        <v>117</v>
      </c>
      <c r="E8" s="86" t="s">
        <v>227</v>
      </c>
      <c r="F8" s="86" t="s">
        <v>149</v>
      </c>
      <c r="G8" s="14">
        <v>3</v>
      </c>
      <c r="H8" s="14" t="s">
        <v>181</v>
      </c>
      <c r="L8" s="101" t="s">
        <v>86</v>
      </c>
      <c r="M8" s="101" t="s">
        <v>139</v>
      </c>
      <c r="N8" s="15" t="s">
        <v>33</v>
      </c>
      <c r="O8" s="17" t="s">
        <v>251</v>
      </c>
      <c r="P8" s="17" t="s">
        <v>253</v>
      </c>
      <c r="Q8" s="17">
        <v>3164764684</v>
      </c>
      <c r="R8" s="17" t="s">
        <v>269</v>
      </c>
      <c r="S8" s="52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EL SERVICIO DE LA SALUD Y BUENAS PRACTICAS EN PACIENTE ",IF(N8=CURSOS!$D$10,"CLINICA DE HERIDAS ",IF(N8=CURSOS!$D$11,"TOMA DE CITOLOGIA CERVICO VAGINAL ",IF(N8=CURSOS!$D$12,"SOPORTE CARDIOVASCULAR AVANZADO (ACLS) ",IF(N8=CURSOS!$D$13,"CAMILLERO ",IF(N8=CURSOS!$D$14,"TOMA DE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INYECTOLOGIA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DE MUESTRAS Y LABORATORIO POCT",IF(N8=CURSOS!$D$28,"IMPLANTE SUBDERMICO DE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ADULTO",IF(N8=CURSOS!$D$35,"MANEJO DEFENSIVO",IF(N8=CURSOS!$D$36,"SOPORTE CARDIOVASCULAR AVANZADO NEONATAL",IF(N8=CURSOS!$D$37,"SEGURIDAD DEL PACIENTE")))))))))))))))))))))))))))))))))))</f>
        <v xml:space="preserve">HUMANIZACION EN EL SERVICIO DE LA SALUD Y BUENAS PRACTICAS EN PACIENTE </v>
      </c>
      <c r="T8" s="52" t="str">
        <f t="shared" si="0"/>
        <v>Lady Viviana Campaña Polo</v>
      </c>
      <c r="U8" s="52" t="str">
        <f t="shared" si="1"/>
        <v>Lady Viviana Campaña Polo</v>
      </c>
      <c r="V8" s="52" t="str">
        <f t="shared" si="2"/>
        <v>Lady Viviana Campaña Polo-59310407-HUMANIZACION</v>
      </c>
    </row>
    <row r="9" spans="1:22" s="17" customFormat="1" x14ac:dyDescent="0.2">
      <c r="A9" s="17">
        <v>8</v>
      </c>
      <c r="B9" s="17">
        <v>1085246197</v>
      </c>
      <c r="C9" s="86" t="s">
        <v>168</v>
      </c>
      <c r="D9" s="86" t="s">
        <v>157</v>
      </c>
      <c r="E9" s="86" t="s">
        <v>149</v>
      </c>
      <c r="F9" s="86" t="s">
        <v>116</v>
      </c>
      <c r="G9" s="14">
        <v>3</v>
      </c>
      <c r="H9" s="14" t="s">
        <v>181</v>
      </c>
      <c r="L9" s="101" t="s">
        <v>86</v>
      </c>
      <c r="M9" s="101" t="s">
        <v>139</v>
      </c>
      <c r="N9" s="15" t="s">
        <v>33</v>
      </c>
      <c r="O9" s="17" t="s">
        <v>251</v>
      </c>
      <c r="P9" s="17" t="s">
        <v>253</v>
      </c>
      <c r="Q9" s="17">
        <v>3154854819</v>
      </c>
      <c r="R9" s="17" t="s">
        <v>271</v>
      </c>
      <c r="S9" s="52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EL SERVICIO DE LA SALUD Y BUENAS PRACTICAS EN PACIENTE ",IF(N9=CURSOS!$D$10,"CLINICA DE HERIDAS ",IF(N9=CURSOS!$D$11,"TOMA DE CITOLOGIA CERVICO VAGINAL ",IF(N9=CURSOS!$D$12,"SOPORTE CARDIOVASCULAR AVANZADO (ACLS) ",IF(N9=CURSOS!$D$13,"CAMILLERO ",IF(N9=CURSOS!$D$14,"TOMA DE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INYECTOLOGIA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DE MUESTRAS Y LABORATORIO POCT",IF(N9=CURSOS!$D$28,"IMPLANTE SUBDERMICO DE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ADULTO",IF(N9=CURSOS!$D$35,"MANEJO DEFENSIVO",IF(N9=CURSOS!$D$36,"SOPORTE CARDIOVASCULAR AVANZADO NEONATAL",IF(N9=CURSOS!$D$37,"SEGURIDAD DEL PACIENTE")))))))))))))))))))))))))))))))))))</f>
        <v xml:space="preserve">HUMANIZACION EN EL SERVICIO DE LA SALUD Y BUENAS PRACTICAS EN PACIENTE </v>
      </c>
      <c r="T9" s="52" t="str">
        <f t="shared" si="0"/>
        <v>Viviana Andrea Bastidas Narvaez</v>
      </c>
      <c r="U9" s="52" t="str">
        <f t="shared" si="1"/>
        <v>Viviana Andrea Bastidas Narvaez</v>
      </c>
      <c r="V9" s="52" t="str">
        <f t="shared" si="2"/>
        <v>Viviana Andrea Bastidas Narvaez-1085246197-HUMANIZACION</v>
      </c>
    </row>
    <row r="10" spans="1:22" s="17" customFormat="1" x14ac:dyDescent="0.2">
      <c r="A10" s="85">
        <v>9</v>
      </c>
      <c r="B10" s="17">
        <v>1085271159</v>
      </c>
      <c r="C10" s="86" t="s">
        <v>178</v>
      </c>
      <c r="D10" s="86" t="s">
        <v>189</v>
      </c>
      <c r="E10" s="86" t="s">
        <v>227</v>
      </c>
      <c r="F10" s="86" t="s">
        <v>229</v>
      </c>
      <c r="G10" s="14">
        <v>3</v>
      </c>
      <c r="H10" s="14" t="s">
        <v>181</v>
      </c>
      <c r="L10" s="101" t="s">
        <v>86</v>
      </c>
      <c r="M10" s="101" t="s">
        <v>139</v>
      </c>
      <c r="N10" s="15" t="s">
        <v>33</v>
      </c>
      <c r="O10" s="17" t="s">
        <v>251</v>
      </c>
      <c r="P10" s="17" t="s">
        <v>253</v>
      </c>
      <c r="Q10" s="17">
        <v>3155340731</v>
      </c>
      <c r="R10" s="17" t="s">
        <v>272</v>
      </c>
      <c r="S10" s="52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EL SERVICIO DE LA SALUD Y BUENAS PRACTICAS EN PACIENTE ",IF(N10=CURSOS!$D$10,"CLINICA DE HERIDAS ",IF(N10=CURSOS!$D$11,"TOMA DE CITOLOGIA CERVICO VAGINAL ",IF(N10=CURSOS!$D$12,"SOPORTE CARDIOVASCULAR AVANZADO (ACLS) ",IF(N10=CURSOS!$D$13,"CAMILLERO ",IF(N10=CURSOS!$D$14,"TOMA DE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INYECTOLOGIA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DE MUESTRAS Y LABORATORIO POCT",IF(N10=CURSOS!$D$28,"IMPLANTE SUBDERMICO DE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ADULTO",IF(N10=CURSOS!$D$35,"MANEJO DEFENSIVO",IF(N10=CURSOS!$D$36,"SOPORTE CARDIOVASCULAR AVANZADO NEONATAL",IF(N10=CURSOS!$D$37,"SEGURIDAD DEL PACIENTE")))))))))))))))))))))))))))))))))))</f>
        <v xml:space="preserve">HUMANIZACION EN EL SERVICIO DE LA SALUD Y BUENAS PRACTICAS EN PACIENTE </v>
      </c>
      <c r="T10" s="52" t="str">
        <f t="shared" si="0"/>
        <v>Lady Natalia Goyes Gomez</v>
      </c>
      <c r="U10" s="52" t="str">
        <f t="shared" si="1"/>
        <v>Lady Natalia Goyes Gomez</v>
      </c>
      <c r="V10" s="52" t="str">
        <f t="shared" si="2"/>
        <v>Lady Natalia Goyes Gomez-1085271159-HUMANIZACION</v>
      </c>
    </row>
    <row r="11" spans="1:22" s="17" customFormat="1" x14ac:dyDescent="0.2">
      <c r="A11" s="17">
        <v>10</v>
      </c>
      <c r="B11" s="17">
        <v>1088653971</v>
      </c>
      <c r="C11" s="86" t="s">
        <v>137</v>
      </c>
      <c r="D11" s="86" t="s">
        <v>193</v>
      </c>
      <c r="E11" s="86" t="s">
        <v>159</v>
      </c>
      <c r="F11" s="86" t="s">
        <v>230</v>
      </c>
      <c r="G11" s="14">
        <v>3</v>
      </c>
      <c r="H11" s="14" t="s">
        <v>181</v>
      </c>
      <c r="L11" s="101" t="s">
        <v>86</v>
      </c>
      <c r="M11" s="101" t="s">
        <v>139</v>
      </c>
      <c r="N11" s="15" t="s">
        <v>33</v>
      </c>
      <c r="O11" s="17" t="s">
        <v>252</v>
      </c>
      <c r="P11" s="17" t="s">
        <v>253</v>
      </c>
      <c r="Q11" s="17">
        <v>3126635625</v>
      </c>
      <c r="R11" s="17" t="s">
        <v>275</v>
      </c>
      <c r="S11" s="52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EL SERVICIO DE LA SALUD Y BUENAS PRACTICAS EN PACIENTE ",IF(N11=CURSOS!$D$10,"CLINICA DE HERIDAS ",IF(N11=CURSOS!$D$11,"TOMA DE CITOLOGIA CERVICO VAGINAL ",IF(N11=CURSOS!$D$12,"SOPORTE CARDIOVASCULAR AVANZADO (ACLS) ",IF(N11=CURSOS!$D$13,"CAMILLERO ",IF(N11=CURSOS!$D$14,"TOMA DE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INYECTOLOGIA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DE MUESTRAS Y LABORATORIO POCT",IF(N11=CURSOS!$D$28,"IMPLANTE SUBDERMICO DE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ADULTO",IF(N11=CURSOS!$D$35,"MANEJO DEFENSIVO",IF(N11=CURSOS!$D$36,"SOPORTE CARDIOVASCULAR AVANZADO NEONATAL",IF(N11=CURSOS!$D$37,"SEGURIDAD DEL PACIENTE")))))))))))))))))))))))))))))))))))</f>
        <v xml:space="preserve">HUMANIZACION EN EL SERVICIO DE LA SALUD Y BUENAS PRACTICAS EN PACIENTE </v>
      </c>
      <c r="T11" s="52" t="str">
        <f t="shared" si="0"/>
        <v>Jesus Albeiro Galindres Charfuelan</v>
      </c>
      <c r="U11" s="52" t="str">
        <f t="shared" si="1"/>
        <v>Jesus Albeiro Galindres Charfuelan</v>
      </c>
      <c r="V11" s="52" t="str">
        <f t="shared" si="2"/>
        <v>Jesus Albeiro Galindres Charfuelan-1088653971-HUMANIZACION</v>
      </c>
    </row>
    <row r="12" spans="1:22" s="17" customFormat="1" x14ac:dyDescent="0.2">
      <c r="A12" s="85">
        <v>11</v>
      </c>
      <c r="B12" s="17">
        <v>1193054857</v>
      </c>
      <c r="C12" s="88" t="s">
        <v>103</v>
      </c>
      <c r="D12" s="88" t="s">
        <v>194</v>
      </c>
      <c r="E12" s="88" t="s">
        <v>101</v>
      </c>
      <c r="F12" s="88" t="s">
        <v>102</v>
      </c>
      <c r="G12" s="14">
        <v>3</v>
      </c>
      <c r="H12" s="14" t="s">
        <v>181</v>
      </c>
      <c r="L12" s="101" t="s">
        <v>86</v>
      </c>
      <c r="M12" s="101" t="s">
        <v>139</v>
      </c>
      <c r="N12" s="15" t="s">
        <v>33</v>
      </c>
      <c r="O12" s="17" t="s">
        <v>251</v>
      </c>
      <c r="P12" s="17" t="s">
        <v>254</v>
      </c>
      <c r="Q12" s="17">
        <v>3172656963</v>
      </c>
      <c r="R12" s="17" t="s">
        <v>276</v>
      </c>
      <c r="S12" s="52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EL SERVICIO DE LA SALUD Y BUENAS PRACTICAS EN PACIENTE ",IF(N12=CURSOS!$D$10,"CLINICA DE HERIDAS ",IF(N12=CURSOS!$D$11,"TOMA DE CITOLOGIA CERVICO VAGINAL ",IF(N12=CURSOS!$D$12,"SOPORTE CARDIOVASCULAR AVANZADO (ACLS) ",IF(N12=CURSOS!$D$13,"CAMILLERO ",IF(N12=CURSOS!$D$14,"TOMA DE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INYECTOLOGIA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DE MUESTRAS Y LABORATORIO POCT",IF(N12=CURSOS!$D$28,"IMPLANTE SUBDERMICO DE DISPOSITIVO INTRAUTERINO",IF(N12=CURSOS!$D$29,"SALUD MENTAL",IF(N12=CURSOS!$D$30,"PRIMEROS AUXILIOS PSICOLOGICOS",IF(N12=CURSOS!$D$31,"ATENCION A VICTIMAS POR CONFLICTO ARMADO",IF(N12=CURSOS!$D$32,"MANIPULACION DE ALIMENTOS Y BPM",IF(N12=CURSOS!$D$33,"ATENCION A PERSONAS CON DISCAPACIDAD",IF(N12=CURSOS!$D$34,"CUIDADO INTEGRAL DEL PACIENTE ADULTO",IF(N12=CURSOS!$D$35,"MANEJO DEFENSIVO",IF(N12=CURSOS!$D$36,"SOPORTE CARDIOVASCULAR AVANZADO NEONATAL",IF(N12=CURSOS!$D$37,"SEGURIDAD DEL PACIENTE")))))))))))))))))))))))))))))))))))</f>
        <v xml:space="preserve">HUMANIZACION EN EL SERVICIO DE LA SALUD Y BUENAS PRACTICAS EN PACIENTE </v>
      </c>
      <c r="T12" s="52" t="str">
        <f t="shared" si="0"/>
        <v>Luis Camilo Fuertes Hache</v>
      </c>
      <c r="U12" s="52" t="str">
        <f t="shared" si="1"/>
        <v>Luis Camilo Fuertes Hache</v>
      </c>
      <c r="V12" s="52" t="str">
        <f t="shared" si="2"/>
        <v>Luis Camilo Fuertes Hache-1193054857-HUMANIZACION</v>
      </c>
    </row>
    <row r="13" spans="1:22" s="17" customFormat="1" x14ac:dyDescent="0.2">
      <c r="A13" s="17">
        <v>12</v>
      </c>
      <c r="B13" s="17">
        <v>1085312234</v>
      </c>
      <c r="C13" s="88" t="s">
        <v>195</v>
      </c>
      <c r="D13" s="88" t="s">
        <v>146</v>
      </c>
      <c r="E13" s="88" t="s">
        <v>147</v>
      </c>
      <c r="F13" s="88" t="s">
        <v>91</v>
      </c>
      <c r="G13" s="14">
        <v>3</v>
      </c>
      <c r="H13" s="14" t="s">
        <v>181</v>
      </c>
      <c r="L13" s="101" t="s">
        <v>86</v>
      </c>
      <c r="M13" s="101" t="s">
        <v>139</v>
      </c>
      <c r="N13" s="15" t="s">
        <v>33</v>
      </c>
      <c r="O13" s="17" t="s">
        <v>251</v>
      </c>
      <c r="P13" s="17" t="s">
        <v>258</v>
      </c>
      <c r="Q13" s="17">
        <v>3177980832</v>
      </c>
      <c r="R13" s="17" t="s">
        <v>277</v>
      </c>
      <c r="S13" s="52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EL SERVICIO DE LA SALUD Y BUENAS PRACTICAS EN PACIENTE ",IF(N13=CURSOS!$D$10,"CLINICA DE HERIDAS ",IF(N13=CURSOS!$D$11,"TOMA DE CITOLOGIA CERVICO VAGINAL ",IF(N13=CURSOS!$D$12,"SOPORTE CARDIOVASCULAR AVANZADO (ACLS) ",IF(N13=CURSOS!$D$13,"CAMILLERO ",IF(N13=CURSOS!$D$14,"TOMA DE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INYECTOLOGIA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DE MUESTRAS Y LABORATORIO POCT",IF(N13=CURSOS!$D$28,"IMPLANTE SUBDERMICO DE DISPOSITIVO INTRAUTERINO",IF(N13=CURSOS!$D$29,"SALUD MENTAL",IF(N13=CURSOS!$D$30,"PRIMEROS AUXILIOS PSICOLOGICOS",IF(N13=CURSOS!$D$31,"ATENCION A VICTIMAS POR CONFLICTO ARMADO",IF(N13=CURSOS!$D$32,"MANIPULACION DE ALIMENTOS Y BPM",IF(N13=CURSOS!$D$33,"ATENCION A PERSONAS CON DISCAPACIDAD",IF(N13=CURSOS!$D$34,"CUIDADO INTEGRAL DEL PACIENTE ADULTO",IF(N13=CURSOS!$D$35,"MANEJO DEFENSIVO",IF(N13=CURSOS!$D$36,"SOPORTE CARDIOVASCULAR AVANZADO NEONATAL",IF(N13=CURSOS!$D$37,"SEGURIDAD DEL PACIENTE")))))))))))))))))))))))))))))))))))</f>
        <v xml:space="preserve">HUMANIZACION EN EL SERVICIO DE LA SALUD Y BUENAS PRACTICAS EN PACIENTE </v>
      </c>
      <c r="T13" s="52" t="str">
        <f t="shared" si="0"/>
        <v>Luisa Fernanda Insuasti Jojoa</v>
      </c>
      <c r="U13" s="52" t="str">
        <f t="shared" si="1"/>
        <v>Luisa Fernanda Insuasti Jojoa</v>
      </c>
      <c r="V13" s="52" t="str">
        <f t="shared" si="2"/>
        <v>Luisa Fernanda Insuasti Jojoa-1085312234-HUMANIZACION</v>
      </c>
    </row>
    <row r="14" spans="1:22" s="17" customFormat="1" x14ac:dyDescent="0.2">
      <c r="A14" s="17">
        <v>13</v>
      </c>
      <c r="B14" s="17">
        <v>1088216766</v>
      </c>
      <c r="C14" s="88" t="s">
        <v>196</v>
      </c>
      <c r="D14" s="88" t="s">
        <v>197</v>
      </c>
      <c r="E14" s="88" t="s">
        <v>108</v>
      </c>
      <c r="F14" s="88" t="s">
        <v>134</v>
      </c>
      <c r="G14" s="14">
        <v>3</v>
      </c>
      <c r="H14" s="14" t="s">
        <v>181</v>
      </c>
      <c r="L14" s="101" t="s">
        <v>86</v>
      </c>
      <c r="M14" s="101" t="s">
        <v>139</v>
      </c>
      <c r="N14" s="15" t="s">
        <v>33</v>
      </c>
      <c r="O14" s="17" t="s">
        <v>251</v>
      </c>
      <c r="P14" s="17" t="s">
        <v>258</v>
      </c>
      <c r="Q14" s="17">
        <v>3152544123</v>
      </c>
      <c r="R14" s="17" t="s">
        <v>278</v>
      </c>
      <c r="S14" s="52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EL SERVICIO DE LA SALUD Y BUENAS PRACTICAS EN PACIENTE ",IF(N14=CURSOS!$D$10,"CLINICA DE HERIDAS ",IF(N14=CURSOS!$D$11,"TOMA DE CITOLOGIA CERVICO VAGINAL ",IF(N14=CURSOS!$D$12,"SOPORTE CARDIOVASCULAR AVANZADO (ACLS) ",IF(N14=CURSOS!$D$13,"CAMILLERO ",IF(N14=CURSOS!$D$14,"TOMA DE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INYECTOLOGIA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DE MUESTRAS Y LABORATORIO POCT",IF(N14=CURSOS!$D$28,"IMPLANTE SUBDERMICO DE DISPOSITIVO INTRAUTERINO",IF(N14=CURSOS!$D$29,"SALUD MENTAL",IF(N14=CURSOS!$D$30,"PRIMEROS AUXILIOS PSICOLOGICOS",IF(N14=CURSOS!$D$31,"ATENCION A VICTIMAS POR CONFLICTO ARMADO",IF(N14=CURSOS!$D$32,"MANIPULACION DE ALIMENTOS Y BPM",IF(N14=CURSOS!$D$33,"ATENCION A PERSONAS CON DISCAPACIDAD",IF(N14=CURSOS!$D$34,"CUIDADO INTEGRAL DEL PACIENTE ADULTO",IF(N14=CURSOS!$D$35,"MANEJO DEFENSIVO",IF(N14=CURSOS!$D$36,"SOPORTE CARDIOVASCULAR AVANZADO NEONATAL",IF(N14=CURSOS!$D$37,"SEGURIDAD DEL PACIENTE")))))))))))))))))))))))))))))))))))</f>
        <v xml:space="preserve">HUMANIZACION EN EL SERVICIO DE LA SALUD Y BUENAS PRACTICAS EN PACIENTE </v>
      </c>
      <c r="T14" s="52" t="str">
        <f t="shared" si="0"/>
        <v>Sandra Lorena Mueses Potosi</v>
      </c>
      <c r="U14" s="52" t="str">
        <f t="shared" si="1"/>
        <v>Sandra Lorena Mueses Potosi</v>
      </c>
      <c r="V14" s="52" t="str">
        <f t="shared" si="2"/>
        <v>Sandra Lorena Mueses Potosi-1088216766-HUMANIZACION</v>
      </c>
    </row>
    <row r="15" spans="1:22" s="17" customFormat="1" x14ac:dyDescent="0.2">
      <c r="A15" s="17">
        <v>14</v>
      </c>
      <c r="B15" s="17">
        <v>59828253</v>
      </c>
      <c r="C15" s="88" t="s">
        <v>92</v>
      </c>
      <c r="D15" s="88" t="s">
        <v>176</v>
      </c>
      <c r="E15" s="88" t="s">
        <v>87</v>
      </c>
      <c r="F15" s="88" t="s">
        <v>113</v>
      </c>
      <c r="G15" s="14">
        <v>3</v>
      </c>
      <c r="H15" s="14" t="s">
        <v>181</v>
      </c>
      <c r="L15" s="101" t="s">
        <v>86</v>
      </c>
      <c r="M15" s="101" t="s">
        <v>139</v>
      </c>
      <c r="N15" s="15" t="s">
        <v>33</v>
      </c>
      <c r="O15" s="17" t="s">
        <v>251</v>
      </c>
      <c r="P15" s="17" t="s">
        <v>258</v>
      </c>
      <c r="Q15" s="17">
        <v>3117823994</v>
      </c>
      <c r="R15" s="17" t="s">
        <v>279</v>
      </c>
      <c r="S15" s="52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EL SERVICIO DE LA SALUD Y BUENAS PRACTICAS EN PACIENTE ",IF(N15=CURSOS!$D$10,"CLINICA DE HERIDAS ",IF(N15=CURSOS!$D$11,"TOMA DE CITOLOGIA CERVICO VAGINAL ",IF(N15=CURSOS!$D$12,"SOPORTE CARDIOVASCULAR AVANZADO (ACLS) ",IF(N15=CURSOS!$D$13,"CAMILLERO ",IF(N15=CURSOS!$D$14,"TOMA DE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INYECTOLOGIA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DE MUESTRAS Y LABORATORIO POCT",IF(N15=CURSOS!$D$28,"IMPLANTE SUBDERMICO DE DISPOSITIVO INTRAUTERINO",IF(N15=CURSOS!$D$29,"SALUD MENTAL",IF(N15=CURSOS!$D$30,"PRIMEROS AUXILIOS PSICOLOGICOS",IF(N15=CURSOS!$D$31,"ATENCION A VICTIMAS POR CONFLICTO ARMADO",IF(N15=CURSOS!$D$32,"MANIPULACION DE ALIMENTOS Y BPM",IF(N15=CURSOS!$D$33,"ATENCION A PERSONAS CON DISCAPACIDAD",IF(N15=CURSOS!$D$34,"CUIDADO INTEGRAL DEL PACIENTE ADULTO",IF(N15=CURSOS!$D$35,"MANEJO DEFENSIVO",IF(N15=CURSOS!$D$36,"SOPORTE CARDIOVASCULAR AVANZADO NEONATAL",IF(N15=CURSOS!$D$37,"SEGURIDAD DEL PACIENTE")))))))))))))))))))))))))))))))))))</f>
        <v xml:space="preserve">HUMANIZACION EN EL SERVICIO DE LA SALUD Y BUENAS PRACTICAS EN PACIENTE </v>
      </c>
      <c r="T15" s="52" t="str">
        <f t="shared" si="0"/>
        <v>Maria Cristina Rosero Gonzales</v>
      </c>
      <c r="U15" s="52" t="str">
        <f t="shared" si="1"/>
        <v>Maria Cristina Rosero Gonzales</v>
      </c>
      <c r="V15" s="52" t="str">
        <f t="shared" si="2"/>
        <v>Maria Cristina Rosero Gonzales-59828253-HUMANIZACION</v>
      </c>
    </row>
    <row r="16" spans="1:22" s="17" customFormat="1" x14ac:dyDescent="0.2">
      <c r="A16" s="85">
        <v>15</v>
      </c>
      <c r="B16" s="17">
        <v>1193221010</v>
      </c>
      <c r="C16" s="88" t="s">
        <v>169</v>
      </c>
      <c r="D16" s="88" t="s">
        <v>198</v>
      </c>
      <c r="E16" s="88" t="s">
        <v>232</v>
      </c>
      <c r="F16" s="88" t="s">
        <v>233</v>
      </c>
      <c r="G16" s="14">
        <v>3</v>
      </c>
      <c r="H16" s="14" t="s">
        <v>181</v>
      </c>
      <c r="L16" s="101" t="s">
        <v>86</v>
      </c>
      <c r="M16" s="101" t="s">
        <v>139</v>
      </c>
      <c r="N16" s="15" t="s">
        <v>33</v>
      </c>
      <c r="O16" s="17" t="s">
        <v>252</v>
      </c>
      <c r="P16" s="17" t="s">
        <v>258</v>
      </c>
      <c r="Q16" s="17">
        <v>3143912132</v>
      </c>
      <c r="R16" s="17" t="s">
        <v>281</v>
      </c>
      <c r="S16" s="52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EL SERVICIO DE LA SALUD Y BUENAS PRACTICAS EN PACIENTE ",IF(N16=CURSOS!$D$10,"CLINICA DE HERIDAS ",IF(N16=CURSOS!$D$11,"TOMA DE CITOLOGIA CERVICO VAGINAL ",IF(N16=CURSOS!$D$12,"SOPORTE CARDIOVASCULAR AVANZADO (ACLS) ",IF(N16=CURSOS!$D$13,"CAMILLERO ",IF(N16=CURSOS!$D$14,"TOMA DE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INYECTOLOGIA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DE MUESTRAS Y LABORATORIO POCT",IF(N16=CURSOS!$D$28,"IMPLANTE SUBDERMICO DE DISPOSITIVO INTRAUTERINO",IF(N16=CURSOS!$D$29,"SALUD MENTAL",IF(N16=CURSOS!$D$30,"PRIMEROS AUXILIOS PSICOLOGICOS",IF(N16=CURSOS!$D$31,"ATENCION A VICTIMAS POR CONFLICTO ARMADO",IF(N16=CURSOS!$D$32,"MANIPULACION DE ALIMENTOS Y BPM",IF(N16=CURSOS!$D$33,"ATENCION A PERSONAS CON DISCAPACIDAD",IF(N16=CURSOS!$D$34,"CUIDADO INTEGRAL DEL PACIENTE ADULTO",IF(N16=CURSOS!$D$35,"MANEJO DEFENSIVO",IF(N16=CURSOS!$D$36,"SOPORTE CARDIOVASCULAR AVANZADO NEONATAL",IF(N16=CURSOS!$D$37,"SEGURIDAD DEL PACIENTE")))))))))))))))))))))))))))))))))))</f>
        <v xml:space="preserve">HUMANIZACION EN EL SERVICIO DE LA SALUD Y BUENAS PRACTICAS EN PACIENTE </v>
      </c>
      <c r="T16" s="52" t="str">
        <f t="shared" si="0"/>
        <v>Emer Rodrigo Erazo Tongino</v>
      </c>
      <c r="U16" s="52" t="str">
        <f t="shared" si="1"/>
        <v>Emer Rodrigo Erazo Tongino</v>
      </c>
      <c r="V16" s="52" t="str">
        <f t="shared" si="2"/>
        <v>Emer Rodrigo Erazo Tongino-1193221010-HUMANIZACION</v>
      </c>
    </row>
    <row r="17" spans="1:22" s="17" customFormat="1" x14ac:dyDescent="0.2">
      <c r="A17" s="17">
        <v>16</v>
      </c>
      <c r="B17" s="17">
        <v>1192744194</v>
      </c>
      <c r="C17" s="88" t="s">
        <v>98</v>
      </c>
      <c r="D17" s="88" t="s">
        <v>199</v>
      </c>
      <c r="E17" s="88" t="s">
        <v>90</v>
      </c>
      <c r="F17" s="88" t="s">
        <v>234</v>
      </c>
      <c r="G17" s="14">
        <v>3</v>
      </c>
      <c r="H17" s="14" t="s">
        <v>181</v>
      </c>
      <c r="L17" s="101" t="s">
        <v>86</v>
      </c>
      <c r="M17" s="101" t="s">
        <v>139</v>
      </c>
      <c r="N17" s="15" t="s">
        <v>33</v>
      </c>
      <c r="O17" s="17" t="s">
        <v>251</v>
      </c>
      <c r="P17" s="17" t="s">
        <v>258</v>
      </c>
      <c r="Q17" s="17">
        <v>3158682990</v>
      </c>
      <c r="R17" s="17" t="s">
        <v>282</v>
      </c>
      <c r="S17" s="52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EL SERVICIO DE LA SALUD Y BUENAS PRACTICAS EN PACIENTE ",IF(N17=CURSOS!$D$10,"CLINICA DE HERIDAS ",IF(N17=CURSOS!$D$11,"TOMA DE CITOLOGIA CERVICO VAGINAL ",IF(N17=CURSOS!$D$12,"SOPORTE CARDIOVASCULAR AVANZADO (ACLS) ",IF(N17=CURSOS!$D$13,"CAMILLERO ",IF(N17=CURSOS!$D$14,"TOMA DE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INYECTOLOGIA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DE MUESTRAS Y LABORATORIO POCT",IF(N17=CURSOS!$D$28,"IMPLANTE SUBDERMICO DE DISPOSITIVO INTRAUTERINO",IF(N17=CURSOS!$D$29,"SALUD MENTAL",IF(N17=CURSOS!$D$30,"PRIMEROS AUXILIOS PSICOLOGICOS",IF(N17=CURSOS!$D$31,"ATENCION A VICTIMAS POR CONFLICTO ARMADO",IF(N17=CURSOS!$D$32,"MANIPULACION DE ALIMENTOS Y BPM",IF(N17=CURSOS!$D$33,"ATENCION A PERSONAS CON DISCAPACIDAD",IF(N17=CURSOS!$D$34,"CUIDADO INTEGRAL DEL PACIENTE ADULTO",IF(N17=CURSOS!$D$35,"MANEJO DEFENSIVO",IF(N17=CURSOS!$D$36,"SOPORTE CARDIOVASCULAR AVANZADO NEONATAL",IF(N17=CURSOS!$D$37,"SEGURIDAD DEL PACIENTE")))))))))))))))))))))))))))))))))))</f>
        <v xml:space="preserve">HUMANIZACION EN EL SERVICIO DE LA SALUD Y BUENAS PRACTICAS EN PACIENTE </v>
      </c>
      <c r="T17" s="52" t="str">
        <f t="shared" si="0"/>
        <v>Ingrid Yuliet Yaqueno Palechor</v>
      </c>
      <c r="U17" s="52" t="str">
        <f t="shared" si="1"/>
        <v>Ingrid Yuliet Yaqueno Palechor</v>
      </c>
      <c r="V17" s="52" t="str">
        <f t="shared" si="2"/>
        <v>Ingrid Yuliet Yaqueno Palechor-1192744194-HUMANIZACION</v>
      </c>
    </row>
    <row r="18" spans="1:22" s="17" customFormat="1" x14ac:dyDescent="0.2">
      <c r="A18" s="17">
        <v>17</v>
      </c>
      <c r="B18" s="17">
        <v>1085316000</v>
      </c>
      <c r="C18" s="86" t="s">
        <v>123</v>
      </c>
      <c r="D18" s="86" t="s">
        <v>123</v>
      </c>
      <c r="E18" s="86" t="s">
        <v>125</v>
      </c>
      <c r="F18" s="86" t="s">
        <v>236</v>
      </c>
      <c r="G18" s="14">
        <v>3</v>
      </c>
      <c r="H18" s="14" t="s">
        <v>181</v>
      </c>
      <c r="L18" s="101" t="s">
        <v>86</v>
      </c>
      <c r="M18" s="101" t="s">
        <v>139</v>
      </c>
      <c r="N18" s="15" t="s">
        <v>33</v>
      </c>
      <c r="O18" s="17" t="s">
        <v>252</v>
      </c>
      <c r="P18" s="17" t="s">
        <v>255</v>
      </c>
      <c r="Q18" s="17">
        <v>3182868952</v>
      </c>
      <c r="R18" s="17" t="s">
        <v>286</v>
      </c>
      <c r="S18" s="52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EL SERVICIO DE LA SALUD Y BUENAS PRACTICAS EN PACIENTE ",IF(N18=CURSOS!$D$10,"CLINICA DE HERIDAS ",IF(N18=CURSOS!$D$11,"TOMA DE CITOLOGIA CERVICO VAGINAL ",IF(N18=CURSOS!$D$12,"SOPORTE CARDIOVASCULAR AVANZADO (ACLS) ",IF(N18=CURSOS!$D$13,"CAMILLERO ",IF(N18=CURSOS!$D$14,"TOMA DE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INYECTOLOGIA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DE MUESTRAS Y LABORATORIO POCT",IF(N18=CURSOS!$D$28,"IMPLANTE SUBDERMICO DE DISPOSITIVO INTRAUTERINO",IF(N18=CURSOS!$D$29,"SALUD MENTAL",IF(N18=CURSOS!$D$30,"PRIMEROS AUXILIOS PSICOLOGICOS",IF(N18=CURSOS!$D$31,"ATENCION A VICTIMAS POR CONFLICTO ARMADO",IF(N18=CURSOS!$D$32,"MANIPULACION DE ALIMENTOS Y BPM",IF(N18=CURSOS!$D$33,"ATENCION A PERSONAS CON DISCAPACIDAD",IF(N18=CURSOS!$D$34,"CUIDADO INTEGRAL DEL PACIENTE ADULTO",IF(N18=CURSOS!$D$35,"MANEJO DEFENSIVO",IF(N18=CURSOS!$D$36,"SOPORTE CARDIOVASCULAR AVANZADO NEONATAL",IF(N18=CURSOS!$D$37,"SEGURIDAD DEL PACIENTE")))))))))))))))))))))))))))))))))))</f>
        <v xml:space="preserve">HUMANIZACION EN EL SERVICIO DE LA SALUD Y BUENAS PRACTICAS EN PACIENTE </v>
      </c>
      <c r="T18" s="52" t="str">
        <f t="shared" si="0"/>
        <v>David Esteban Ibarra Ibarra</v>
      </c>
      <c r="U18" s="52" t="str">
        <f t="shared" si="1"/>
        <v>David Esteban Ibarra Ibarra</v>
      </c>
      <c r="V18" s="52" t="str">
        <f t="shared" si="2"/>
        <v>David Esteban Ibarra Ibarra-1085316000-HUMANIZACION</v>
      </c>
    </row>
    <row r="19" spans="1:22" s="17" customFormat="1" x14ac:dyDescent="0.2">
      <c r="A19" s="17">
        <v>18</v>
      </c>
      <c r="B19" s="17">
        <v>1085296406</v>
      </c>
      <c r="C19" s="86" t="s">
        <v>107</v>
      </c>
      <c r="D19" s="86" t="s">
        <v>204</v>
      </c>
      <c r="E19" s="86" t="s">
        <v>159</v>
      </c>
      <c r="F19" s="86" t="s">
        <v>237</v>
      </c>
      <c r="G19" s="14">
        <v>3</v>
      </c>
      <c r="H19" s="14" t="s">
        <v>181</v>
      </c>
      <c r="L19" s="101" t="s">
        <v>86</v>
      </c>
      <c r="M19" s="101" t="s">
        <v>139</v>
      </c>
      <c r="N19" s="15" t="s">
        <v>33</v>
      </c>
      <c r="O19" s="17" t="s">
        <v>252</v>
      </c>
      <c r="P19" s="17" t="s">
        <v>256</v>
      </c>
      <c r="Q19" s="17">
        <v>3182046468</v>
      </c>
      <c r="R19" s="17" t="s">
        <v>287</v>
      </c>
      <c r="S19" s="52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EL SERVICIO DE LA SALUD Y BUENAS PRACTICAS EN PACIENTE ",IF(N19=CURSOS!$D$10,"CLINICA DE HERIDAS ",IF(N19=CURSOS!$D$11,"TOMA DE CITOLOGIA CERVICO VAGINAL ",IF(N19=CURSOS!$D$12,"SOPORTE CARDIOVASCULAR AVANZADO (ACLS) ",IF(N19=CURSOS!$D$13,"CAMILLERO ",IF(N19=CURSOS!$D$14,"TOMA DE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INYECTOLOGIA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DE MUESTRAS Y LABORATORIO POCT",IF(N19=CURSOS!$D$28,"IMPLANTE SUBDERMICO DE DISPOSITIVO INTRAUTERINO",IF(N19=CURSOS!$D$29,"SALUD MENTAL",IF(N19=CURSOS!$D$30,"PRIMEROS AUXILIOS PSICOLOGICOS",IF(N19=CURSOS!$D$31,"ATENCION A VICTIMAS POR CONFLICTO ARMADO",IF(N19=CURSOS!$D$32,"MANIPULACION DE ALIMENTOS Y BPM",IF(N19=CURSOS!$D$33,"ATENCION A PERSONAS CON DISCAPACIDAD",IF(N19=CURSOS!$D$34,"CUIDADO INTEGRAL DEL PACIENTE ADULTO",IF(N19=CURSOS!$D$35,"MANEJO DEFENSIVO",IF(N19=CURSOS!$D$36,"SOPORTE CARDIOVASCULAR AVANZADO NEONATAL",IF(N19=CURSOS!$D$37,"SEGURIDAD DEL PACIENTE")))))))))))))))))))))))))))))))))))</f>
        <v xml:space="preserve">HUMANIZACION EN EL SERVICIO DE LA SALUD Y BUENAS PRACTICAS EN PACIENTE </v>
      </c>
      <c r="T19" s="52" t="str">
        <f t="shared" si="0"/>
        <v>Jesus Arley Yarpaz Hormaza</v>
      </c>
      <c r="U19" s="52" t="str">
        <f t="shared" si="1"/>
        <v>Jesus Arley Yarpaz Hormaza</v>
      </c>
      <c r="V19" s="52" t="str">
        <f t="shared" si="2"/>
        <v>Jesus Arley Yarpaz Hormaza-1085296406-HUMANIZACION</v>
      </c>
    </row>
    <row r="20" spans="1:22" s="17" customFormat="1" x14ac:dyDescent="0.2">
      <c r="A20" s="85">
        <v>19</v>
      </c>
      <c r="B20" s="17">
        <v>27228078</v>
      </c>
      <c r="C20" s="86" t="s">
        <v>205</v>
      </c>
      <c r="D20" s="86" t="s">
        <v>206</v>
      </c>
      <c r="E20" s="86" t="s">
        <v>239</v>
      </c>
      <c r="F20" s="86" t="s">
        <v>240</v>
      </c>
      <c r="G20" s="14">
        <v>3</v>
      </c>
      <c r="H20" s="14" t="s">
        <v>181</v>
      </c>
      <c r="L20" s="101" t="s">
        <v>86</v>
      </c>
      <c r="M20" s="101" t="s">
        <v>139</v>
      </c>
      <c r="N20" s="15" t="s">
        <v>33</v>
      </c>
      <c r="O20" s="17" t="s">
        <v>251</v>
      </c>
      <c r="P20" s="17" t="s">
        <v>257</v>
      </c>
      <c r="Q20" s="17">
        <v>3147055113</v>
      </c>
      <c r="R20" s="17" t="s">
        <v>289</v>
      </c>
      <c r="S20" s="52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EL SERVICIO DE LA SALUD Y BUENAS PRACTICAS EN PACIENTE ",IF(N20=CURSOS!$D$10,"CLINICA DE HERIDAS ",IF(N20=CURSOS!$D$11,"TOMA DE CITOLOGIA CERVICO VAGINAL ",IF(N20=CURSOS!$D$12,"SOPORTE CARDIOVASCULAR AVANZADO (ACLS) ",IF(N20=CURSOS!$D$13,"CAMILLERO ",IF(N20=CURSOS!$D$14,"TOMA DE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INYECTOLOGIA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DE MUESTRAS Y LABORATORIO POCT",IF(N20=CURSOS!$D$28,"IMPLANTE SUBDERMICO DE DISPOSITIVO INTRAUTERINO",IF(N20=CURSOS!$D$29,"SALUD MENTAL",IF(N20=CURSOS!$D$30,"PRIMEROS AUXILIOS PSICOLOGICOS",IF(N20=CURSOS!$D$31,"ATENCION A VICTIMAS POR CONFLICTO ARMADO",IF(N20=CURSOS!$D$32,"MANIPULACION DE ALIMENTOS Y BPM",IF(N20=CURSOS!$D$33,"ATENCION A PERSONAS CON DISCAPACIDAD",IF(N20=CURSOS!$D$34,"CUIDADO INTEGRAL DEL PACIENTE ADULTO",IF(N20=CURSOS!$D$35,"MANEJO DEFENSIVO",IF(N20=CURSOS!$D$36,"SOPORTE CARDIOVASCULAR AVANZADO NEONATAL",IF(N20=CURSOS!$D$37,"SEGURIDAD DEL PACIENTE")))))))))))))))))))))))))))))))))))</f>
        <v xml:space="preserve">HUMANIZACION EN EL SERVICIO DE LA SALUD Y BUENAS PRACTICAS EN PACIENTE </v>
      </c>
      <c r="T20" s="52" t="str">
        <f t="shared" si="0"/>
        <v>Gaby Elizabet Realpe Colimba</v>
      </c>
      <c r="U20" s="52" t="str">
        <f t="shared" si="1"/>
        <v>Gaby Elizabet Realpe Colimba</v>
      </c>
      <c r="V20" s="52" t="str">
        <f t="shared" si="2"/>
        <v>Gaby Elizabet Realpe Colimba-27228078-HUMANIZACION</v>
      </c>
    </row>
    <row r="21" spans="1:22" s="17" customFormat="1" x14ac:dyDescent="0.2">
      <c r="A21" s="17">
        <v>20</v>
      </c>
      <c r="B21" s="17">
        <v>36751732</v>
      </c>
      <c r="C21" s="86" t="s">
        <v>153</v>
      </c>
      <c r="D21" s="86" t="s">
        <v>172</v>
      </c>
      <c r="E21" s="86" t="s">
        <v>241</v>
      </c>
      <c r="F21" s="86" t="s">
        <v>136</v>
      </c>
      <c r="G21" s="14">
        <v>3</v>
      </c>
      <c r="H21" s="14" t="s">
        <v>181</v>
      </c>
      <c r="L21" s="101" t="s">
        <v>86</v>
      </c>
      <c r="M21" s="101" t="s">
        <v>139</v>
      </c>
      <c r="N21" s="15" t="s">
        <v>33</v>
      </c>
      <c r="O21" s="17" t="s">
        <v>251</v>
      </c>
      <c r="P21" s="17" t="s">
        <v>257</v>
      </c>
      <c r="Q21" s="17">
        <v>3122875004</v>
      </c>
      <c r="R21" s="17" t="s">
        <v>290</v>
      </c>
      <c r="S21" s="52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EL SERVICIO DE LA SALUD Y BUENAS PRACTICAS EN PACIENTE ",IF(N21=CURSOS!$D$10,"CLINICA DE HERIDAS ",IF(N21=CURSOS!$D$11,"TOMA DE CITOLOGIA CERVICO VAGINAL ",IF(N21=CURSOS!$D$12,"SOPORTE CARDIOVASCULAR AVANZADO (ACLS) ",IF(N21=CURSOS!$D$13,"CAMILLERO ",IF(N21=CURSOS!$D$14,"TOMA DE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INYECTOLOGIA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DE MUESTRAS Y LABORATORIO POCT",IF(N21=CURSOS!$D$28,"IMPLANTE SUBDERMICO DE DISPOSITIVO INTRAUTERINO",IF(N21=CURSOS!$D$29,"SALUD MENTAL",IF(N21=CURSOS!$D$30,"PRIMEROS AUXILIOS PSICOLOGICOS",IF(N21=CURSOS!$D$31,"ATENCION A VICTIMAS POR CONFLICTO ARMADO",IF(N21=CURSOS!$D$32,"MANIPULACION DE ALIMENTOS Y BPM",IF(N21=CURSOS!$D$33,"ATENCION A PERSONAS CON DISCAPACIDAD",IF(N21=CURSOS!$D$34,"CUIDADO INTEGRAL DEL PACIENTE ADULTO",IF(N21=CURSOS!$D$35,"MANEJO DEFENSIVO",IF(N21=CURSOS!$D$36,"SOPORTE CARDIOVASCULAR AVANZADO NEONATAL",IF(N21=CURSOS!$D$37,"SEGURIDAD DEL PACIENTE")))))))))))))))))))))))))))))))))))</f>
        <v xml:space="preserve">HUMANIZACION EN EL SERVICIO DE LA SALUD Y BUENAS PRACTICAS EN PACIENTE </v>
      </c>
      <c r="T21" s="52" t="str">
        <f t="shared" si="0"/>
        <v>Ayde Carmenza Bacca Casanova</v>
      </c>
      <c r="U21" s="52" t="str">
        <f t="shared" si="1"/>
        <v>Ayde Carmenza Bacca Casanova</v>
      </c>
      <c r="V21" s="52" t="str">
        <f t="shared" si="2"/>
        <v>Ayde Carmenza Bacca Casanova-36751732-HUMANIZACION</v>
      </c>
    </row>
    <row r="22" spans="1:22" s="17" customFormat="1" x14ac:dyDescent="0.2">
      <c r="A22" s="85">
        <v>21</v>
      </c>
      <c r="B22" s="17">
        <v>59651269</v>
      </c>
      <c r="C22" s="86" t="s">
        <v>118</v>
      </c>
      <c r="D22" s="86" t="s">
        <v>207</v>
      </c>
      <c r="E22" s="86" t="s">
        <v>242</v>
      </c>
      <c r="F22" s="86" t="s">
        <v>243</v>
      </c>
      <c r="G22" s="14">
        <v>3</v>
      </c>
      <c r="H22" s="14" t="s">
        <v>181</v>
      </c>
      <c r="L22" s="101" t="s">
        <v>86</v>
      </c>
      <c r="M22" s="101" t="s">
        <v>139</v>
      </c>
      <c r="N22" s="15" t="s">
        <v>33</v>
      </c>
      <c r="O22" s="17" t="s">
        <v>251</v>
      </c>
      <c r="P22" s="17" t="s">
        <v>257</v>
      </c>
      <c r="Q22" s="17">
        <v>3103903166</v>
      </c>
      <c r="R22" s="17" t="s">
        <v>292</v>
      </c>
      <c r="S22" s="52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EL SERVICIO DE LA SALUD Y BUENAS PRACTICAS EN PACIENTE ",IF(N22=CURSOS!$D$10,"CLINICA DE HERIDAS ",IF(N22=CURSOS!$D$11,"TOMA DE CITOLOGIA CERVICO VAGINAL ",IF(N22=CURSOS!$D$12,"SOPORTE CARDIOVASCULAR AVANZADO (ACLS) ",IF(N22=CURSOS!$D$13,"CAMILLERO ",IF(N22=CURSOS!$D$14,"TOMA DE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INYECTOLOGIA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DE MUESTRAS Y LABORATORIO POCT",IF(N22=CURSOS!$D$28,"IMPLANTE SUBDERMICO DE DISPOSITIVO INTRAUTERINO",IF(N22=CURSOS!$D$29,"SALUD MENTAL",IF(N22=CURSOS!$D$30,"PRIMEROS AUXILIOS PSICOLOGICOS",IF(N22=CURSOS!$D$31,"ATENCION A VICTIMAS POR CONFLICTO ARMADO",IF(N22=CURSOS!$D$32,"MANIPULACION DE ALIMENTOS Y BPM",IF(N22=CURSOS!$D$33,"ATENCION A PERSONAS CON DISCAPACIDAD",IF(N22=CURSOS!$D$34,"CUIDADO INTEGRAL DEL PACIENTE ADULTO",IF(N22=CURSOS!$D$35,"MANEJO DEFENSIVO",IF(N22=CURSOS!$D$36,"SOPORTE CARDIOVASCULAR AVANZADO NEONATAL",IF(N22=CURSOS!$D$37,"SEGURIDAD DEL PACIENTE")))))))))))))))))))))))))))))))))))</f>
        <v xml:space="preserve">HUMANIZACION EN EL SERVICIO DE LA SALUD Y BUENAS PRACTICAS EN PACIENTE </v>
      </c>
      <c r="T22" s="52" t="str">
        <f t="shared" si="0"/>
        <v>Emili Bibiana Castro Estrella</v>
      </c>
      <c r="U22" s="52" t="str">
        <f t="shared" si="1"/>
        <v>Emili Bibiana Castro Estrella</v>
      </c>
      <c r="V22" s="52" t="str">
        <f t="shared" si="2"/>
        <v>Emili Bibiana Castro Estrella-59651269-HUMANIZACION</v>
      </c>
    </row>
    <row r="23" spans="1:22" s="17" customFormat="1" x14ac:dyDescent="0.2">
      <c r="A23" s="17">
        <v>22</v>
      </c>
      <c r="B23" s="17">
        <v>87069326</v>
      </c>
      <c r="C23" s="86" t="s">
        <v>170</v>
      </c>
      <c r="D23" s="86" t="s">
        <v>104</v>
      </c>
      <c r="E23" s="86" t="s">
        <v>99</v>
      </c>
      <c r="F23" s="86" t="s">
        <v>122</v>
      </c>
      <c r="G23" s="14">
        <v>3</v>
      </c>
      <c r="H23" s="14" t="s">
        <v>181</v>
      </c>
      <c r="L23" s="101" t="s">
        <v>86</v>
      </c>
      <c r="M23" s="101" t="s">
        <v>139</v>
      </c>
      <c r="N23" s="15" t="s">
        <v>33</v>
      </c>
      <c r="O23" s="17" t="s">
        <v>252</v>
      </c>
      <c r="P23" s="17" t="s">
        <v>257</v>
      </c>
      <c r="Q23" s="17">
        <v>3146878375</v>
      </c>
      <c r="R23" s="17" t="s">
        <v>293</v>
      </c>
      <c r="S23" s="52" t="str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EL SERVICIO DE LA SALUD Y BUENAS PRACTICAS EN PACIENTE ",IF(N23=CURSOS!$D$10,"CLINICA DE HERIDAS ",IF(N23=CURSOS!$D$11,"TOMA DE CITOLOGIA CERVICO VAGINAL ",IF(N23=CURSOS!$D$12,"SOPORTE CARDIOVASCULAR AVANZADO (ACLS) ",IF(N23=CURSOS!$D$13,"CAMILLERO ",IF(N23=CURSOS!$D$14,"TOMA DE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INYECTOLOGIA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DE MUESTRAS Y LABORATORIO POCT",IF(N23=CURSOS!$D$28,"IMPLANTE SUBDERMICO DE DISPOSITIVO INTRAUTERINO",IF(N23=CURSOS!$D$29,"SALUD MENTAL",IF(N23=CURSOS!$D$30,"PRIMEROS AUXILIOS PSICOLOGICOS",IF(N23=CURSOS!$D$31,"ATENCION A VICTIMAS POR CONFLICTO ARMADO",IF(N23=CURSOS!$D$32,"MANIPULACION DE ALIMENTOS Y BPM",IF(N23=CURSOS!$D$33,"ATENCION A PERSONAS CON DISCAPACIDAD",IF(N23=CURSOS!$D$34,"CUIDADO INTEGRAL DEL PACIENTE ADULTO",IF(N23=CURSOS!$D$35,"MANEJO DEFENSIVO",IF(N23=CURSOS!$D$36,"SOPORTE CARDIOVASCULAR AVANZADO NEONATAL",IF(N23=CURSOS!$D$37,"SEGURIDAD DEL PACIENTE")))))))))))))))))))))))))))))))))))</f>
        <v xml:space="preserve">HUMANIZACION EN EL SERVICIO DE LA SALUD Y BUENAS PRACTICAS EN PACIENTE </v>
      </c>
      <c r="T23" s="52" t="str">
        <f t="shared" si="0"/>
        <v>Oscar Hernan Almeida Paz</v>
      </c>
      <c r="U23" s="52" t="str">
        <f t="shared" si="1"/>
        <v>Oscar Hernan Almeida Paz</v>
      </c>
      <c r="V23" s="52" t="str">
        <f t="shared" si="2"/>
        <v>Oscar Hernan Almeida Paz-87069326-HUMANIZACION</v>
      </c>
    </row>
    <row r="24" spans="1:22" s="17" customFormat="1" x14ac:dyDescent="0.2">
      <c r="A24" s="17">
        <v>23</v>
      </c>
      <c r="B24" s="17">
        <v>98391358</v>
      </c>
      <c r="C24" s="86" t="s">
        <v>146</v>
      </c>
      <c r="D24" s="86" t="s">
        <v>110</v>
      </c>
      <c r="E24" s="86" t="s">
        <v>158</v>
      </c>
      <c r="F24" s="86" t="s">
        <v>244</v>
      </c>
      <c r="G24" s="14">
        <v>3</v>
      </c>
      <c r="H24" s="14" t="s">
        <v>181</v>
      </c>
      <c r="L24" s="101" t="s">
        <v>86</v>
      </c>
      <c r="M24" s="101" t="s">
        <v>139</v>
      </c>
      <c r="N24" s="15" t="s">
        <v>33</v>
      </c>
      <c r="O24" s="17" t="s">
        <v>252</v>
      </c>
      <c r="P24" s="17" t="s">
        <v>257</v>
      </c>
      <c r="Q24" s="17">
        <v>3154802301</v>
      </c>
      <c r="R24" s="17" t="s">
        <v>295</v>
      </c>
      <c r="S24" s="52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EL SERVICIO DE LA SALUD Y BUENAS PRACTICAS EN PACIENTE ",IF(N24=CURSOS!$D$10,"CLINICA DE HERIDAS ",IF(N24=CURSOS!$D$11,"TOMA DE CITOLOGIA CERVICO VAGINAL ",IF(N24=CURSOS!$D$12,"SOPORTE CARDIOVASCULAR AVANZADO (ACLS) ",IF(N24=CURSOS!$D$13,"CAMILLERO ",IF(N24=CURSOS!$D$14,"TOMA DE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INYECTOLOGIA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DE MUESTRAS Y LABORATORIO POCT",IF(N24=CURSOS!$D$28,"IMPLANTE SUBDERMICO DE DISPOSITIVO INTRAUTERINO",IF(N24=CURSOS!$D$29,"SALUD MENTAL",IF(N24=CURSOS!$D$30,"PRIMEROS AUXILIOS PSICOLOGICOS",IF(N24=CURSOS!$D$31,"ATENCION A VICTIMAS POR CONFLICTO ARMADO",IF(N24=CURSOS!$D$32,"MANIPULACION DE ALIMENTOS Y BPM",IF(N24=CURSOS!$D$33,"ATENCION A PERSONAS CON DISCAPACIDAD",IF(N24=CURSOS!$D$34,"CUIDADO INTEGRAL DEL PACIENTE ADULTO",IF(N24=CURSOS!$D$35,"MANEJO DEFENSIVO",IF(N24=CURSOS!$D$36,"SOPORTE CARDIOVASCULAR AVANZADO NEONATAL",IF(N24=CURSOS!$D$37,"SEGURIDAD DEL PACIENTE")))))))))))))))))))))))))))))))))))</f>
        <v xml:space="preserve">HUMANIZACION EN EL SERVICIO DE LA SALUD Y BUENAS PRACTICAS EN PACIENTE </v>
      </c>
      <c r="T24" s="52" t="str">
        <f t="shared" si="0"/>
        <v>Jimmy Adrian Jojoa Ramirez</v>
      </c>
      <c r="U24" s="52" t="str">
        <f t="shared" si="1"/>
        <v>Jimmy Adrian Jojoa Ramirez</v>
      </c>
      <c r="V24" s="52" t="str">
        <f t="shared" si="2"/>
        <v>Jimmy Adrian Jojoa Ramirez-98391358-HUMANIZACION</v>
      </c>
    </row>
    <row r="25" spans="1:22" s="17" customFormat="1" x14ac:dyDescent="0.2">
      <c r="A25" s="17">
        <v>24</v>
      </c>
      <c r="B25" s="17">
        <v>1017236262</v>
      </c>
      <c r="C25" s="86" t="s">
        <v>114</v>
      </c>
      <c r="D25" s="86" t="s">
        <v>112</v>
      </c>
      <c r="E25" s="86" t="s">
        <v>245</v>
      </c>
      <c r="F25" s="86" t="s">
        <v>246</v>
      </c>
      <c r="G25" s="14">
        <v>3</v>
      </c>
      <c r="H25" s="14" t="s">
        <v>181</v>
      </c>
      <c r="L25" s="101" t="s">
        <v>86</v>
      </c>
      <c r="M25" s="101" t="s">
        <v>139</v>
      </c>
      <c r="N25" s="15" t="s">
        <v>33</v>
      </c>
      <c r="O25" s="17" t="s">
        <v>251</v>
      </c>
      <c r="P25" s="17" t="s">
        <v>257</v>
      </c>
      <c r="Q25" s="17">
        <v>3188847104</v>
      </c>
      <c r="R25" s="17" t="s">
        <v>296</v>
      </c>
      <c r="S25" s="52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EL SERVICIO DE LA SALUD Y BUENAS PRACTICAS EN PACIENTE ",IF(N25=CURSOS!$D$10,"CLINICA DE HERIDAS ",IF(N25=CURSOS!$D$11,"TOMA DE CITOLOGIA CERVICO VAGINAL ",IF(N25=CURSOS!$D$12,"SOPORTE CARDIOVASCULAR AVANZADO (ACLS) ",IF(N25=CURSOS!$D$13,"CAMILLERO ",IF(N25=CURSOS!$D$14,"TOMA DE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INYECTOLOGIA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DE MUESTRAS Y LABORATORIO POCT",IF(N25=CURSOS!$D$28,"IMPLANTE SUBDERMICO DE DISPOSITIVO INTRAUTERINO",IF(N25=CURSOS!$D$29,"SALUD MENTAL",IF(N25=CURSOS!$D$30,"PRIMEROS AUXILIOS PSICOLOGICOS",IF(N25=CURSOS!$D$31,"ATENCION A VICTIMAS POR CONFLICTO ARMADO",IF(N25=CURSOS!$D$32,"MANIPULACION DE ALIMENTOS Y BPM",IF(N25=CURSOS!$D$33,"ATENCION A PERSONAS CON DISCAPACIDAD",IF(N25=CURSOS!$D$34,"CUIDADO INTEGRAL DEL PACIENTE ADULTO",IF(N25=CURSOS!$D$35,"MANEJO DEFENSIVO",IF(N25=CURSOS!$D$36,"SOPORTE CARDIOVASCULAR AVANZADO NEONATAL",IF(N25=CURSOS!$D$37,"SEGURIDAD DEL PACIENTE")))))))))))))))))))))))))))))))))))</f>
        <v xml:space="preserve">HUMANIZACION EN EL SERVICIO DE LA SALUD Y BUENAS PRACTICAS EN PACIENTE </v>
      </c>
      <c r="T25" s="52" t="str">
        <f t="shared" si="0"/>
        <v>Deima Gerardine Martinez Parra</v>
      </c>
      <c r="U25" s="52" t="str">
        <f t="shared" si="1"/>
        <v>Deima Gerardine Martinez Parra</v>
      </c>
      <c r="V25" s="52" t="str">
        <f t="shared" si="2"/>
        <v>Deima Gerardine Martinez Parra-1017236262-HUMANIZACION</v>
      </c>
    </row>
    <row r="26" spans="1:22" s="17" customFormat="1" x14ac:dyDescent="0.2">
      <c r="A26" s="85">
        <v>25</v>
      </c>
      <c r="B26" s="17">
        <v>1086107471</v>
      </c>
      <c r="C26" s="86" t="s">
        <v>119</v>
      </c>
      <c r="D26" s="86" t="s">
        <v>138</v>
      </c>
      <c r="E26" s="86" t="s">
        <v>142</v>
      </c>
      <c r="F26" s="86" t="s">
        <v>140</v>
      </c>
      <c r="G26" s="14">
        <v>3</v>
      </c>
      <c r="H26" s="14" t="s">
        <v>181</v>
      </c>
      <c r="L26" s="101" t="s">
        <v>86</v>
      </c>
      <c r="M26" s="101" t="s">
        <v>139</v>
      </c>
      <c r="N26" s="15" t="s">
        <v>33</v>
      </c>
      <c r="O26" s="17" t="s">
        <v>251</v>
      </c>
      <c r="P26" s="17" t="s">
        <v>257</v>
      </c>
      <c r="Q26" s="17">
        <v>3182339697</v>
      </c>
      <c r="R26" s="17" t="s">
        <v>299</v>
      </c>
      <c r="S26" s="52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EL SERVICIO DE LA SALUD Y BUENAS PRACTICAS EN PACIENTE ",IF(N26=CURSOS!$D$10,"CLINICA DE HERIDAS ",IF(N26=CURSOS!$D$11,"TOMA DE CITOLOGIA CERVICO VAGINAL ",IF(N26=CURSOS!$D$12,"SOPORTE CARDIOVASCULAR AVANZADO (ACLS) ",IF(N26=CURSOS!$D$13,"CAMILLERO ",IF(N26=CURSOS!$D$14,"TOMA DE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INYECTOLOGIA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DE MUESTRAS Y LABORATORIO POCT",IF(N26=CURSOS!$D$28,"IMPLANTE SUBDERMICO DE DISPOSITIVO INTRAUTERINO",IF(N26=CURSOS!$D$29,"SALUD MENTAL",IF(N26=CURSOS!$D$30,"PRIMEROS AUXILIOS PSICOLOGICOS",IF(N26=CURSOS!$D$31,"ATENCION A VICTIMAS POR CONFLICTO ARMADO",IF(N26=CURSOS!$D$32,"MANIPULACION DE ALIMENTOS Y BPM",IF(N26=CURSOS!$D$33,"ATENCION A PERSONAS CON DISCAPACIDAD",IF(N26=CURSOS!$D$34,"CUIDADO INTEGRAL DEL PACIENTE ADULTO",IF(N26=CURSOS!$D$35,"MANEJO DEFENSIVO",IF(N26=CURSOS!$D$36,"SOPORTE CARDIOVASCULAR AVANZADO NEONATAL",IF(N26=CURSOS!$D$37,"SEGURIDAD DEL PACIENTE")))))))))))))))))))))))))))))))))))</f>
        <v xml:space="preserve">HUMANIZACION EN EL SERVICIO DE LA SALUD Y BUENAS PRACTICAS EN PACIENTE </v>
      </c>
      <c r="T26" s="52" t="str">
        <f t="shared" si="0"/>
        <v>Leidy Lizeth Ceballos Hernandez</v>
      </c>
      <c r="U26" s="52" t="str">
        <f t="shared" si="1"/>
        <v>Leidy Lizeth Ceballos Hernandez</v>
      </c>
      <c r="V26" s="52" t="str">
        <f t="shared" si="2"/>
        <v>Leidy Lizeth Ceballos Hernandez-1086107471-HUMANIZACION</v>
      </c>
    </row>
    <row r="27" spans="1:22" s="17" customFormat="1" x14ac:dyDescent="0.2">
      <c r="A27" s="17">
        <v>26</v>
      </c>
      <c r="B27" s="17">
        <v>1086332161</v>
      </c>
      <c r="C27" s="86" t="s">
        <v>105</v>
      </c>
      <c r="D27" s="86" t="s">
        <v>212</v>
      </c>
      <c r="E27" s="86" t="s">
        <v>102</v>
      </c>
      <c r="F27" s="86" t="s">
        <v>248</v>
      </c>
      <c r="G27" s="14">
        <v>3</v>
      </c>
      <c r="H27" s="14" t="s">
        <v>181</v>
      </c>
      <c r="L27" s="101" t="s">
        <v>86</v>
      </c>
      <c r="M27" s="101" t="s">
        <v>139</v>
      </c>
      <c r="N27" s="15" t="s">
        <v>33</v>
      </c>
      <c r="O27" s="17" t="s">
        <v>252</v>
      </c>
      <c r="P27" s="17" t="s">
        <v>257</v>
      </c>
      <c r="Q27" s="17">
        <v>3134215480</v>
      </c>
      <c r="R27" s="17" t="s">
        <v>300</v>
      </c>
      <c r="S27" s="52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EL SERVICIO DE LA SALUD Y BUENAS PRACTICAS EN PACIENTE ",IF(N27=CURSOS!$D$10,"CLINICA DE HERIDAS ",IF(N27=CURSOS!$D$11,"TOMA DE CITOLOGIA CERVICO VAGINAL ",IF(N27=CURSOS!$D$12,"SOPORTE CARDIOVASCULAR AVANZADO (ACLS) ",IF(N27=CURSOS!$D$13,"CAMILLERO ",IF(N27=CURSOS!$D$14,"TOMA DE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INYECTOLOGIA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DE MUESTRAS Y LABORATORIO POCT",IF(N27=CURSOS!$D$28,"IMPLANTE SUBDERMICO DE DISPOSITIVO INTRAUTERINO",IF(N27=CURSOS!$D$29,"SALUD MENTAL",IF(N27=CURSOS!$D$30,"PRIMEROS AUXILIOS PSICOLOGICOS",IF(N27=CURSOS!$D$31,"ATENCION A VICTIMAS POR CONFLICTO ARMADO",IF(N27=CURSOS!$D$32,"MANIPULACION DE ALIMENTOS Y BPM",IF(N27=CURSOS!$D$33,"ATENCION A PERSONAS CON DISCAPACIDAD",IF(N27=CURSOS!$D$34,"CUIDADO INTEGRAL DEL PACIENTE ADULTO",IF(N27=CURSOS!$D$35,"MANEJO DEFENSIVO",IF(N27=CURSOS!$D$36,"SOPORTE CARDIOVASCULAR AVANZADO NEONATAL",IF(N27=CURSOS!$D$37,"SEGURIDAD DEL PACIENTE")))))))))))))))))))))))))))))))))))</f>
        <v xml:space="preserve">HUMANIZACION EN EL SERVICIO DE LA SALUD Y BUENAS PRACTICAS EN PACIENTE </v>
      </c>
      <c r="T27" s="52" t="str">
        <f t="shared" si="0"/>
        <v>Camilo Armando Lopez Onofre</v>
      </c>
      <c r="U27" s="52" t="str">
        <f t="shared" si="1"/>
        <v>Camilo Armando Lopez Onofre</v>
      </c>
      <c r="V27" s="52" t="str">
        <f t="shared" si="2"/>
        <v>Camilo Armando Lopez Onofre-1086332161-HUMANIZACION</v>
      </c>
    </row>
    <row r="28" spans="1:22" s="17" customFormat="1" x14ac:dyDescent="0.2">
      <c r="A28" s="17">
        <v>27</v>
      </c>
      <c r="B28" s="17">
        <v>1087048033</v>
      </c>
      <c r="C28" s="86" t="s">
        <v>111</v>
      </c>
      <c r="D28" s="86" t="s">
        <v>213</v>
      </c>
      <c r="E28" s="86" t="s">
        <v>149</v>
      </c>
      <c r="F28" s="86" t="s">
        <v>115</v>
      </c>
      <c r="G28" s="14">
        <v>3</v>
      </c>
      <c r="H28" s="14" t="s">
        <v>181</v>
      </c>
      <c r="L28" s="101" t="s">
        <v>86</v>
      </c>
      <c r="M28" s="101" t="s">
        <v>139</v>
      </c>
      <c r="N28" s="15" t="s">
        <v>33</v>
      </c>
      <c r="O28" s="17" t="s">
        <v>251</v>
      </c>
      <c r="P28" s="17" t="s">
        <v>257</v>
      </c>
      <c r="Q28" s="17">
        <v>3136671569</v>
      </c>
      <c r="R28" s="17" t="s">
        <v>301</v>
      </c>
      <c r="S28" s="52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EL SERVICIO DE LA SALUD Y BUENAS PRACTICAS EN PACIENTE ",IF(N28=CURSOS!$D$10,"CLINICA DE HERIDAS ",IF(N28=CURSOS!$D$11,"TOMA DE CITOLOGIA CERVICO VAGINAL ",IF(N28=CURSOS!$D$12,"SOPORTE CARDIOVASCULAR AVANZADO (ACLS) ",IF(N28=CURSOS!$D$13,"CAMILLERO ",IF(N28=CURSOS!$D$14,"TOMA DE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INYECTOLOGIA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DE MUESTRAS Y LABORATORIO POCT",IF(N28=CURSOS!$D$28,"IMPLANTE SUBDERMICO DE DISPOSITIVO INTRAUTERINO",IF(N28=CURSOS!$D$29,"SALUD MENTAL",IF(N28=CURSOS!$D$30,"PRIMEROS AUXILIOS PSICOLOGICOS",IF(N28=CURSOS!$D$31,"ATENCION A VICTIMAS POR CONFLICTO ARMADO",IF(N28=CURSOS!$D$32,"MANIPULACION DE ALIMENTOS Y BPM",IF(N28=CURSOS!$D$33,"ATENCION A PERSONAS CON DISCAPACIDAD",IF(N28=CURSOS!$D$34,"CUIDADO INTEGRAL DEL PACIENTE ADULTO",IF(N28=CURSOS!$D$35,"MANEJO DEFENSIVO",IF(N28=CURSOS!$D$36,"SOPORTE CARDIOVASCULAR AVANZADO NEONATAL",IF(N28=CURSOS!$D$37,"SEGURIDAD DEL PACIENTE")))))))))))))))))))))))))))))))))))</f>
        <v xml:space="preserve">HUMANIZACION EN EL SERVICIO DE LA SALUD Y BUENAS PRACTICAS EN PACIENTE </v>
      </c>
      <c r="T28" s="52" t="str">
        <f t="shared" si="0"/>
        <v>Viviana Alejandra Zambrano Acosta</v>
      </c>
      <c r="U28" s="52" t="str">
        <f t="shared" si="1"/>
        <v>Viviana Alejandra Zambrano Acosta</v>
      </c>
      <c r="V28" s="52" t="str">
        <f t="shared" si="2"/>
        <v>Viviana Alejandra Zambrano Acosta-1087048033-HUMANIZACION</v>
      </c>
    </row>
    <row r="29" spans="1:22" s="17" customFormat="1" x14ac:dyDescent="0.2">
      <c r="A29" s="17">
        <v>28</v>
      </c>
      <c r="B29" s="17">
        <v>1088798838</v>
      </c>
      <c r="C29" s="86" t="s">
        <v>215</v>
      </c>
      <c r="D29" s="86" t="s">
        <v>145</v>
      </c>
      <c r="E29" s="86" t="s">
        <v>134</v>
      </c>
      <c r="F29" s="86" t="s">
        <v>88</v>
      </c>
      <c r="G29" s="14">
        <v>3</v>
      </c>
      <c r="H29" s="14" t="s">
        <v>181</v>
      </c>
      <c r="L29" s="101" t="s">
        <v>86</v>
      </c>
      <c r="M29" s="101" t="s">
        <v>139</v>
      </c>
      <c r="N29" s="15" t="s">
        <v>33</v>
      </c>
      <c r="O29" s="17" t="s">
        <v>251</v>
      </c>
      <c r="P29" s="17" t="s">
        <v>257</v>
      </c>
      <c r="Q29" s="17">
        <v>3136038665</v>
      </c>
      <c r="R29" s="17" t="s">
        <v>303</v>
      </c>
      <c r="S29" s="52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EL SERVICIO DE LA SALUD Y BUENAS PRACTICAS EN PACIENTE ",IF(N29=CURSOS!$D$10,"CLINICA DE HERIDAS ",IF(N29=CURSOS!$D$11,"TOMA DE CITOLOGIA CERVICO VAGINAL ",IF(N29=CURSOS!$D$12,"SOPORTE CARDIOVASCULAR AVANZADO (ACLS) ",IF(N29=CURSOS!$D$13,"CAMILLERO ",IF(N29=CURSOS!$D$14,"TOMA DE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INYECTOLOGIA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DE MUESTRAS Y LABORATORIO POCT",IF(N29=CURSOS!$D$28,"IMPLANTE SUBDERMICO DE DISPOSITIVO INTRAUTERINO",IF(N29=CURSOS!$D$29,"SALUD MENTAL",IF(N29=CURSOS!$D$30,"PRIMEROS AUXILIOS PSICOLOGICOS",IF(N29=CURSOS!$D$31,"ATENCION A VICTIMAS POR CONFLICTO ARMADO",IF(N29=CURSOS!$D$32,"MANIPULACION DE ALIMENTOS Y BPM",IF(N29=CURSOS!$D$33,"ATENCION A PERSONAS CON DISCAPACIDAD",IF(N29=CURSOS!$D$34,"CUIDADO INTEGRAL DEL PACIENTE ADULTO",IF(N29=CURSOS!$D$35,"MANEJO DEFENSIVO",IF(N29=CURSOS!$D$36,"SOPORTE CARDIOVASCULAR AVANZADO NEONATAL",IF(N29=CURSOS!$D$37,"SEGURIDAD DEL PACIENTE")))))))))))))))))))))))))))))))))))</f>
        <v xml:space="preserve">HUMANIZACION EN EL SERVICIO DE LA SALUD Y BUENAS PRACTICAS EN PACIENTE </v>
      </c>
      <c r="T29" s="52" t="str">
        <f t="shared" si="0"/>
        <v>Lorena Del Carmen Yamues Meneses</v>
      </c>
      <c r="U29" s="52" t="str">
        <f t="shared" si="1"/>
        <v>Lorena Del Carmen Yamues Meneses</v>
      </c>
      <c r="V29" s="52" t="str">
        <f t="shared" si="2"/>
        <v>Lorena Del Carmen Yamues Meneses-1088798838-HUMANIZACION</v>
      </c>
    </row>
    <row r="30" spans="1:22" s="17" customFormat="1" x14ac:dyDescent="0.2">
      <c r="A30" s="85">
        <v>29</v>
      </c>
      <c r="B30" s="17">
        <v>1131085481</v>
      </c>
      <c r="C30" s="86" t="s">
        <v>213</v>
      </c>
      <c r="D30" s="86" t="s">
        <v>216</v>
      </c>
      <c r="E30" s="86" t="s">
        <v>250</v>
      </c>
      <c r="F30" s="86" t="s">
        <v>125</v>
      </c>
      <c r="G30" s="14">
        <v>3</v>
      </c>
      <c r="H30" s="14" t="s">
        <v>181</v>
      </c>
      <c r="L30" s="101" t="s">
        <v>86</v>
      </c>
      <c r="M30" s="101" t="s">
        <v>139</v>
      </c>
      <c r="N30" s="15" t="s">
        <v>33</v>
      </c>
      <c r="O30" s="17" t="s">
        <v>252</v>
      </c>
      <c r="P30" s="17" t="s">
        <v>257</v>
      </c>
      <c r="Q30" s="17">
        <v>3113106960</v>
      </c>
      <c r="R30" s="17" t="s">
        <v>304</v>
      </c>
      <c r="S30" s="52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EL SERVICIO DE LA SALUD Y BUENAS PRACTICAS EN PACIENTE ",IF(N30=CURSOS!$D$10,"CLINICA DE HERIDAS ",IF(N30=CURSOS!$D$11,"TOMA DE CITOLOGIA CERVICO VAGINAL ",IF(N30=CURSOS!$D$12,"SOPORTE CARDIOVASCULAR AVANZADO (ACLS) ",IF(N30=CURSOS!$D$13,"CAMILLERO ",IF(N30=CURSOS!$D$14,"TOMA DE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INYECTOLOGIA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DE MUESTRAS Y LABORATORIO POCT",IF(N30=CURSOS!$D$28,"IMPLANTE SUBDERMICO DE DISPOSITIVO INTRAUTERINO",IF(N30=CURSOS!$D$29,"SALUD MENTAL",IF(N30=CURSOS!$D$30,"PRIMEROS AUXILIOS PSICOLOGICOS",IF(N30=CURSOS!$D$31,"ATENCION A VICTIMAS POR CONFLICTO ARMADO",IF(N30=CURSOS!$D$32,"MANIPULACION DE ALIMENTOS Y BPM",IF(N30=CURSOS!$D$33,"ATENCION A PERSONAS CON DISCAPACIDAD",IF(N30=CURSOS!$D$34,"CUIDADO INTEGRAL DEL PACIENTE ADULTO",IF(N30=CURSOS!$D$35,"MANEJO DEFENSIVO",IF(N30=CURSOS!$D$36,"SOPORTE CARDIOVASCULAR AVANZADO NEONATAL",IF(N30=CURSOS!$D$37,"SEGURIDAD DEL PACIENTE")))))))))))))))))))))))))))))))))))</f>
        <v xml:space="preserve">HUMANIZACION EN EL SERVICIO DE LA SALUD Y BUENAS PRACTICAS EN PACIENTE </v>
      </c>
      <c r="T30" s="52" t="str">
        <f t="shared" si="0"/>
        <v>Edward David Acosta Matituy</v>
      </c>
      <c r="U30" s="52" t="str">
        <f t="shared" si="1"/>
        <v>Edward David Acosta Matituy</v>
      </c>
      <c r="V30" s="52" t="str">
        <f t="shared" si="2"/>
        <v>Edward David Acosta Matituy-1131085481-HUMANIZACION</v>
      </c>
    </row>
    <row r="31" spans="1:22" s="17" customFormat="1" x14ac:dyDescent="0.2">
      <c r="A31" s="17">
        <v>30</v>
      </c>
      <c r="B31" s="17">
        <v>36950758</v>
      </c>
      <c r="C31" s="86" t="s">
        <v>202</v>
      </c>
      <c r="D31" s="86" t="s">
        <v>203</v>
      </c>
      <c r="E31" s="86" t="s">
        <v>87</v>
      </c>
      <c r="F31" s="86" t="s">
        <v>91</v>
      </c>
      <c r="G31" s="14">
        <v>3</v>
      </c>
      <c r="H31" s="14" t="s">
        <v>181</v>
      </c>
      <c r="L31" s="101" t="s">
        <v>86</v>
      </c>
      <c r="M31" s="101" t="s">
        <v>139</v>
      </c>
      <c r="N31" s="15" t="s">
        <v>33</v>
      </c>
      <c r="O31" s="17" t="s">
        <v>251</v>
      </c>
      <c r="P31" s="17" t="s">
        <v>255</v>
      </c>
      <c r="Q31" s="17">
        <v>3188408662</v>
      </c>
      <c r="R31" s="17" t="s">
        <v>285</v>
      </c>
      <c r="S31" s="52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EL SERVICIO DE LA SALUD Y BUENAS PRACTICAS EN PACIENTE ",IF(N31=CURSOS!$D$10,"CLINICA DE HERIDAS ",IF(N31=CURSOS!$D$11,"TOMA DE CITOLOGIA CERVICO VAGINAL ",IF(N31=CURSOS!$D$12,"SOPORTE CARDIOVASCULAR AVANZADO (ACLS) ",IF(N31=CURSOS!$D$13,"CAMILLERO ",IF(N31=CURSOS!$D$14,"TOMA DE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INYECTOLOGIA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DE MUESTRAS Y LABORATORIO POCT",IF(N31=CURSOS!$D$28,"IMPLANTE SUBDERMICO DE DISPOSITIVO INTRAUTERINO",IF(N31=CURSOS!$D$29,"SALUD MENTAL",IF(N31=CURSOS!$D$30,"PRIMEROS AUXILIOS PSICOLOGICOS",IF(N31=CURSOS!$D$31,"ATENCION A VICTIMAS POR CONFLICTO ARMADO",IF(N31=CURSOS!$D$32,"MANIPULACION DE ALIMENTOS Y BPM",IF(N31=CURSOS!$D$33,"ATENCION A PERSONAS CON DISCAPACIDAD",IF(N31=CURSOS!$D$34,"CUIDADO INTEGRAL DEL PACIENTE ADULTO",IF(N31=CURSOS!$D$35,"MANEJO DEFENSIVO",IF(N31=CURSOS!$D$36,"SOPORTE CARDIOVASCULAR AVANZADO NEONATAL",IF(N31=CURSOS!$D$37,"SEGURIDAD DEL PACIENTE")))))))))))))))))))))))))))))))))))</f>
        <v xml:space="preserve">HUMANIZACION EN EL SERVICIO DE LA SALUD Y BUENAS PRACTICAS EN PACIENTE </v>
      </c>
      <c r="T31" s="52" t="str">
        <f t="shared" si="0"/>
        <v>Maria Fernanda Tapie Valverde</v>
      </c>
      <c r="U31" s="52" t="str">
        <f t="shared" si="1"/>
        <v>Maria Fernanda Tapie Valverde</v>
      </c>
      <c r="V31" s="52" t="str">
        <f t="shared" si="2"/>
        <v>Maria Fernanda Tapie Valverde-36950758-HUMANIZACION</v>
      </c>
    </row>
    <row r="32" spans="1:22" s="17" customFormat="1" x14ac:dyDescent="0.2">
      <c r="A32" s="85">
        <v>31</v>
      </c>
      <c r="B32" s="17">
        <v>36951205</v>
      </c>
      <c r="C32" s="17" t="s">
        <v>344</v>
      </c>
      <c r="D32" s="17" t="s">
        <v>345</v>
      </c>
      <c r="E32" s="17" t="s">
        <v>342</v>
      </c>
      <c r="F32" s="17" t="s">
        <v>343</v>
      </c>
      <c r="G32" s="14">
        <v>3</v>
      </c>
      <c r="H32" s="14" t="s">
        <v>181</v>
      </c>
      <c r="L32" s="101" t="s">
        <v>86</v>
      </c>
      <c r="M32" s="101" t="s">
        <v>139</v>
      </c>
      <c r="N32" s="17" t="s">
        <v>33</v>
      </c>
      <c r="O32" s="17" t="s">
        <v>251</v>
      </c>
      <c r="S32" s="52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EL SERVICIO DE LA SALUD Y BUENAS PRACTICAS EN PACIENTE ",IF(N32=CURSOS!$D$10,"CLINICA DE HERIDAS ",IF(N32=CURSOS!$D$11,"TOMA DE CITOLOGIA CERVICO VAGINAL ",IF(N32=CURSOS!$D$12,"SOPORTE CARDIOVASCULAR AVANZADO (ACLS) ",IF(N32=CURSOS!$D$13,"CAMILLERO ",IF(N32=CURSOS!$D$14,"TOMA DE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INYECTOLOGIA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DE MUESTRAS Y LABORATORIO POCT",IF(N32=CURSOS!$D$28,"IMPLANTE SUBDERMICO DE DISPOSITIVO INTRAUTERINO",IF(N32=CURSOS!$D$29,"SALUD MENTAL",IF(N32=CURSOS!$D$30,"PRIMEROS AUXILIOS PSICOLOGICOS",IF(N32=CURSOS!$D$31,"ATENCION A VICTIMAS POR CONFLICTO ARMADO",IF(N32=CURSOS!$D$32,"MANIPULACION DE ALIMENTOS Y BPM",IF(N32=CURSOS!$D$33,"ATENCION A PERSONAS CON DISCAPACIDAD",IF(N32=CURSOS!$D$34,"CUIDADO INTEGRAL DEL PACIENTE ADULTO",IF(N32=CURSOS!$D$35,"MANEJO DEFENSIVO",IF(N32=CURSOS!$D$36,"SOPORTE CARDIOVASCULAR AVANZADO NEONATAL",IF(N32=CURSOS!$D$37,"SEGURIDAD DEL PACIENTE")))))))))))))))))))))))))))))))))))</f>
        <v xml:space="preserve">HUMANIZACION EN EL SERVICIO DE LA SALUD Y BUENAS PRACTICAS EN PACIENTE </v>
      </c>
      <c r="T32" s="52" t="str">
        <f t="shared" si="0"/>
        <v>Adiela Johana Portilla Echeverry</v>
      </c>
      <c r="U32" s="52" t="str">
        <f t="shared" si="1"/>
        <v>Adiela Johana Portilla Echeverry</v>
      </c>
      <c r="V32" s="52" t="str">
        <f t="shared" si="2"/>
        <v>Adiela Johana Portilla Echeverry-36951205-HUMANIZACION</v>
      </c>
    </row>
    <row r="33" spans="1:22" s="17" customFormat="1" x14ac:dyDescent="0.2">
      <c r="A33" s="17">
        <v>32</v>
      </c>
      <c r="B33" s="17">
        <v>59830458</v>
      </c>
      <c r="C33" s="17" t="s">
        <v>344</v>
      </c>
      <c r="D33" s="17" t="s">
        <v>157</v>
      </c>
      <c r="E33" s="17" t="s">
        <v>346</v>
      </c>
      <c r="F33" s="17" t="s">
        <v>347</v>
      </c>
      <c r="G33" s="14">
        <v>3</v>
      </c>
      <c r="H33" s="14" t="s">
        <v>181</v>
      </c>
      <c r="L33" s="101" t="s">
        <v>86</v>
      </c>
      <c r="M33" s="101" t="s">
        <v>139</v>
      </c>
      <c r="N33" s="17" t="s">
        <v>33</v>
      </c>
      <c r="O33" s="17" t="s">
        <v>251</v>
      </c>
      <c r="S33" s="52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EL SERVICIO DE LA SALUD Y BUENAS PRACTICAS EN PACIENTE ",IF(N33=CURSOS!$D$10,"CLINICA DE HERIDAS ",IF(N33=CURSOS!$D$11,"TOMA DE CITOLOGIA CERVICO VAGINAL ",IF(N33=CURSOS!$D$12,"SOPORTE CARDIOVASCULAR AVANZADO (ACLS) ",IF(N33=CURSOS!$D$13,"CAMILLERO ",IF(N33=CURSOS!$D$14,"TOMA DE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INYECTOLOGIA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DE MUESTRAS Y LABORATORIO POCT",IF(N33=CURSOS!$D$28,"IMPLANTE SUBDERMICO DE DISPOSITIVO INTRAUTERINO",IF(N33=CURSOS!$D$29,"SALUD MENTAL",IF(N33=CURSOS!$D$30,"PRIMEROS AUXILIOS PSICOLOGICOS",IF(N33=CURSOS!$D$31,"ATENCION A VICTIMAS POR CONFLICTO ARMADO",IF(N33=CURSOS!$D$32,"MANIPULACION DE ALIMENTOS Y BPM",IF(N33=CURSOS!$D$33,"ATENCION A PERSONAS CON DISCAPACIDAD",IF(N33=CURSOS!$D$34,"CUIDADO INTEGRAL DEL PACIENTE ADULTO",IF(N33=CURSOS!$D$35,"MANEJO DEFENSIVO",IF(N33=CURSOS!$D$36,"SOPORTE CARDIOVASCULAR AVANZADO NEONATAL",IF(N33=CURSOS!$D$37,"SEGURIDAD DEL PACIENTE")))))))))))))))))))))))))))))))))))</f>
        <v xml:space="preserve">HUMANIZACION EN EL SERVICIO DE LA SALUD Y BUENAS PRACTICAS EN PACIENTE </v>
      </c>
      <c r="T33" s="52" t="str">
        <f t="shared" si="0"/>
        <v>Yinet Marcela Portilla Narvaez</v>
      </c>
      <c r="U33" s="52" t="str">
        <f t="shared" si="1"/>
        <v>Yinet Marcela Portilla Narvaez</v>
      </c>
      <c r="V33" s="52" t="str">
        <f t="shared" si="2"/>
        <v>Yinet Marcela Portilla Narvaez-59830458-HUMANIZACION</v>
      </c>
    </row>
    <row r="34" spans="1:22" s="17" customFormat="1" x14ac:dyDescent="0.2">
      <c r="A34" s="17">
        <v>33</v>
      </c>
      <c r="B34" s="17">
        <v>12979928</v>
      </c>
      <c r="C34" s="86" t="s">
        <v>100</v>
      </c>
      <c r="D34" s="86" t="s">
        <v>114</v>
      </c>
      <c r="E34" s="86" t="s">
        <v>348</v>
      </c>
      <c r="F34" s="86" t="s">
        <v>349</v>
      </c>
      <c r="G34" s="14">
        <v>3</v>
      </c>
      <c r="H34" s="14" t="s">
        <v>181</v>
      </c>
      <c r="L34" s="101" t="s">
        <v>86</v>
      </c>
      <c r="M34" s="101" t="s">
        <v>139</v>
      </c>
      <c r="N34" s="17" t="s">
        <v>33</v>
      </c>
      <c r="O34" s="17" t="s">
        <v>316</v>
      </c>
      <c r="S34" s="52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EL SERVICIO DE LA SALUD Y BUENAS PRACTICAS EN PACIENTE ",IF(N34=CURSOS!$D$10,"CLINICA DE HERIDAS ",IF(N34=CURSOS!$D$11,"TOMA DE CITOLOGIA CERVICO VAGINAL ",IF(N34=CURSOS!$D$12,"SOPORTE CARDIOVASCULAR AVANZADO (ACLS) ",IF(N34=CURSOS!$D$13,"CAMILLERO ",IF(N34=CURSOS!$D$14,"TOMA DE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INYECTOLOGIA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DE MUESTRAS Y LABORATORIO POCT",IF(N34=CURSOS!$D$28,"IMPLANTE SUBDERMICO DE DISPOSITIVO INTRAUTERINO",IF(N34=CURSOS!$D$29,"SALUD MENTAL",IF(N34=CURSOS!$D$30,"PRIMEROS AUXILIOS PSICOLOGICOS",IF(N34=CURSOS!$D$31,"ATENCION A VICTIMAS POR CONFLICTO ARMADO",IF(N34=CURSOS!$D$32,"MANIPULACION DE ALIMENTOS Y BPM",IF(N34=CURSOS!$D$33,"ATENCION A PERSONAS CON DISCAPACIDAD",IF(N34=CURSOS!$D$34,"CUIDADO INTEGRAL DEL PACIENTE ADULTO",IF(N34=CURSOS!$D$35,"MANEJO DEFENSIVO",IF(N34=CURSOS!$D$36,"SOPORTE CARDIOVASCULAR AVANZADO NEONATAL",IF(N34=CURSOS!$D$37,"SEGURIDAD DEL PACIENTE")))))))))))))))))))))))))))))))))))</f>
        <v xml:space="preserve">HUMANIZACION EN EL SERVICIO DE LA SALUD Y BUENAS PRACTICAS EN PACIENTE </v>
      </c>
      <c r="T34" s="52" t="str">
        <f t="shared" ref="T34:T60" si="3">CONCATENATE(E34," ",F34," ",C34," ",D34)</f>
        <v>Milton Libardo Guerrero Martinez</v>
      </c>
      <c r="U34" s="52" t="str">
        <f t="shared" ref="U34:U60" si="4">+PROPER(T34)</f>
        <v>Milton Libardo Guerrero Martinez</v>
      </c>
      <c r="V34" s="52" t="str">
        <f t="shared" ref="V34:V60" si="5">CONCATENATE(T34,"-",B34,"-",N34)</f>
        <v>Milton Libardo Guerrero Martinez-12979928-HUMANIZACION</v>
      </c>
    </row>
    <row r="35" spans="1:22" s="17" customFormat="1" x14ac:dyDescent="0.2">
      <c r="A35" s="17">
        <v>34</v>
      </c>
      <c r="B35" s="17">
        <v>59856099</v>
      </c>
      <c r="C35" s="17" t="s">
        <v>168</v>
      </c>
      <c r="D35" s="17" t="s">
        <v>375</v>
      </c>
      <c r="E35" s="17" t="s">
        <v>376</v>
      </c>
      <c r="F35" s="17" t="s">
        <v>377</v>
      </c>
      <c r="G35" s="14">
        <v>3</v>
      </c>
      <c r="H35" s="14" t="s">
        <v>181</v>
      </c>
      <c r="L35" s="101" t="s">
        <v>86</v>
      </c>
      <c r="M35" s="101" t="s">
        <v>139</v>
      </c>
      <c r="N35" s="17" t="s">
        <v>33</v>
      </c>
      <c r="O35" s="17" t="s">
        <v>309</v>
      </c>
      <c r="S35" s="52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EL SERVICIO DE LA SALUD Y BUENAS PRACTICAS EN PACIENTE ",IF(N35=CURSOS!$D$10,"CLINICA DE HERIDAS ",IF(N35=CURSOS!$D$11,"TOMA DE CITOLOGIA CERVICO VAGINAL ",IF(N35=CURSOS!$D$12,"SOPORTE CARDIOVASCULAR AVANZADO (ACLS) ",IF(N35=CURSOS!$D$13,"CAMILLERO ",IF(N35=CURSOS!$D$14,"TOMA DE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INYECTOLOGIA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DE MUESTRAS Y LABORATORIO POCT",IF(N35=CURSOS!$D$28,"IMPLANTE SUBDERMICO DE DISPOSITIVO INTRAUTERINO",IF(N35=CURSOS!$D$29,"SALUD MENTAL",IF(N35=CURSOS!$D$30,"PRIMEROS AUXILIOS PSICOLOGICOS",IF(N35=CURSOS!$D$31,"ATENCION A VICTIMAS POR CONFLICTO ARMADO",IF(N35=CURSOS!$D$32,"MANIPULACION DE ALIMENTOS Y BPM",IF(N35=CURSOS!$D$33,"ATENCION A PERSONAS CON DISCAPACIDAD",IF(N35=CURSOS!$D$34,"CUIDADO INTEGRAL DEL PACIENTE ADULTO",IF(N35=CURSOS!$D$35,"MANEJO DEFENSIVO",IF(N35=CURSOS!$D$36,"SOPORTE CARDIOVASCULAR AVANZADO NEONATAL",IF(N35=CURSOS!$D$37,"SEGURIDAD DEL PACIENTE")))))))))))))))))))))))))))))))))))</f>
        <v xml:space="preserve">HUMANIZACION EN EL SERVICIO DE LA SALUD Y BUENAS PRACTICAS EN PACIENTE </v>
      </c>
      <c r="T35" s="52" t="str">
        <f t="shared" si="3"/>
        <v>Nidia Esperanza Bastidas Basante</v>
      </c>
      <c r="U35" s="52" t="str">
        <f t="shared" si="4"/>
        <v>Nidia Esperanza Bastidas Basante</v>
      </c>
      <c r="V35" s="52" t="str">
        <f t="shared" si="5"/>
        <v>Nidia Esperanza Bastidas Basante-59856099-HUMANIZACION</v>
      </c>
    </row>
    <row r="36" spans="1:22" s="17" customFormat="1" x14ac:dyDescent="0.2">
      <c r="A36" s="85">
        <v>35</v>
      </c>
      <c r="B36" s="17">
        <v>1088946241</v>
      </c>
      <c r="C36" s="86" t="s">
        <v>352</v>
      </c>
      <c r="D36" s="86" t="s">
        <v>114</v>
      </c>
      <c r="E36" s="86" t="s">
        <v>350</v>
      </c>
      <c r="F36" s="86" t="s">
        <v>351</v>
      </c>
      <c r="G36" s="14">
        <v>3</v>
      </c>
      <c r="H36" s="14" t="s">
        <v>181</v>
      </c>
      <c r="L36" s="101" t="s">
        <v>86</v>
      </c>
      <c r="M36" s="101" t="s">
        <v>139</v>
      </c>
      <c r="N36" s="17" t="s">
        <v>33</v>
      </c>
      <c r="O36" s="17" t="s">
        <v>309</v>
      </c>
      <c r="S36" s="52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EL SERVICIO DE LA SALUD Y BUENAS PRACTICAS EN PACIENTE ",IF(N36=CURSOS!$D$10,"CLINICA DE HERIDAS ",IF(N36=CURSOS!$D$11,"TOMA DE CITOLOGIA CERVICO VAGINAL ",IF(N36=CURSOS!$D$12,"SOPORTE CARDIOVASCULAR AVANZADO (ACLS) ",IF(N36=CURSOS!$D$13,"CAMILLERO ",IF(N36=CURSOS!$D$14,"TOMA DE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INYECTOLOGIA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DE MUESTRAS Y LABORATORIO POCT",IF(N36=CURSOS!$D$28,"IMPLANTE SUBDERMICO DE DISPOSITIVO INTRAUTERINO",IF(N36=CURSOS!$D$29,"SALUD MENTAL",IF(N36=CURSOS!$D$30,"PRIMEROS AUXILIOS PSICOLOGICOS",IF(N36=CURSOS!$D$31,"ATENCION A VICTIMAS POR CONFLICTO ARMADO",IF(N36=CURSOS!$D$32,"MANIPULACION DE ALIMENTOS Y BPM",IF(N36=CURSOS!$D$33,"ATENCION A PERSONAS CON DISCAPACIDAD",IF(N36=CURSOS!$D$34,"CUIDADO INTEGRAL DEL PACIENTE ADULTO",IF(N36=CURSOS!$D$35,"MANEJO DEFENSIVO",IF(N36=CURSOS!$D$36,"SOPORTE CARDIOVASCULAR AVANZADO NEONATAL",IF(N36=CURSOS!$D$37,"SEGURIDAD DEL PACIENTE")))))))))))))))))))))))))))))))))))</f>
        <v xml:space="preserve">HUMANIZACION EN EL SERVICIO DE LA SALUD Y BUENAS PRACTICAS EN PACIENTE </v>
      </c>
      <c r="T36" s="52" t="str">
        <f t="shared" si="3"/>
        <v>Yenny Alexandra Galindez Martinez</v>
      </c>
      <c r="U36" s="52" t="str">
        <f t="shared" si="4"/>
        <v>Yenny Alexandra Galindez Martinez</v>
      </c>
      <c r="V36" s="52" t="str">
        <f t="shared" si="5"/>
        <v>Yenny Alexandra Galindez Martinez-1088946241-HUMANIZACION</v>
      </c>
    </row>
    <row r="37" spans="1:22" s="17" customFormat="1" x14ac:dyDescent="0.2">
      <c r="A37" s="17">
        <v>36</v>
      </c>
      <c r="B37" s="17">
        <v>36758563</v>
      </c>
      <c r="C37" s="86" t="s">
        <v>98</v>
      </c>
      <c r="D37" s="86" t="s">
        <v>355</v>
      </c>
      <c r="E37" s="86" t="s">
        <v>353</v>
      </c>
      <c r="F37" s="86" t="s">
        <v>354</v>
      </c>
      <c r="G37" s="14">
        <v>3</v>
      </c>
      <c r="H37" s="14" t="s">
        <v>181</v>
      </c>
      <c r="L37" s="101" t="s">
        <v>86</v>
      </c>
      <c r="M37" s="101" t="s">
        <v>139</v>
      </c>
      <c r="N37" s="17" t="s">
        <v>33</v>
      </c>
      <c r="O37" s="17" t="s">
        <v>309</v>
      </c>
      <c r="S37" s="52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EL SERVICIO DE LA SALUD Y BUENAS PRACTICAS EN PACIENTE ",IF(N37=CURSOS!$D$10,"CLINICA DE HERIDAS ",IF(N37=CURSOS!$D$11,"TOMA DE CITOLOGIA CERVICO VAGINAL ",IF(N37=CURSOS!$D$12,"SOPORTE CARDIOVASCULAR AVANZADO (ACLS) ",IF(N37=CURSOS!$D$13,"CAMILLERO ",IF(N37=CURSOS!$D$14,"TOMA DE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INYECTOLOGIA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DE MUESTRAS Y LABORATORIO POCT",IF(N37=CURSOS!$D$28,"IMPLANTE SUBDERMICO DE DISPOSITIVO INTRAUTERINO",IF(N37=CURSOS!$D$29,"SALUD MENTAL",IF(N37=CURSOS!$D$30,"PRIMEROS AUXILIOS PSICOLOGICOS",IF(N37=CURSOS!$D$31,"ATENCION A VICTIMAS POR CONFLICTO ARMADO",IF(N37=CURSOS!$D$32,"MANIPULACION DE ALIMENTOS Y BPM",IF(N37=CURSOS!$D$33,"ATENCION A PERSONAS CON DISCAPACIDAD",IF(N37=CURSOS!$D$34,"CUIDADO INTEGRAL DEL PACIENTE ADULTO",IF(N37=CURSOS!$D$35,"MANEJO DEFENSIVO",IF(N37=CURSOS!$D$36,"SOPORTE CARDIOVASCULAR AVANZADO NEONATAL",IF(N37=CURSOS!$D$37,"SEGURIDAD DEL PACIENTE")))))))))))))))))))))))))))))))))))</f>
        <v xml:space="preserve">HUMANIZACION EN EL SERVICIO DE LA SALUD Y BUENAS PRACTICAS EN PACIENTE </v>
      </c>
      <c r="T37" s="52" t="str">
        <f t="shared" si="3"/>
        <v>Blanca Neyi Yaqueno Cancimanci</v>
      </c>
      <c r="U37" s="52" t="str">
        <f t="shared" si="4"/>
        <v>Blanca Neyi Yaqueno Cancimanci</v>
      </c>
      <c r="V37" s="52" t="str">
        <f t="shared" si="5"/>
        <v>Blanca Neyi Yaqueno Cancimanci-36758563-HUMANIZACION</v>
      </c>
    </row>
    <row r="38" spans="1:22" s="17" customFormat="1" x14ac:dyDescent="0.2">
      <c r="A38" s="17">
        <v>37</v>
      </c>
      <c r="B38" s="17">
        <v>12998759</v>
      </c>
      <c r="C38" s="86" t="s">
        <v>171</v>
      </c>
      <c r="D38" s="86" t="s">
        <v>356</v>
      </c>
      <c r="E38" s="86" t="s">
        <v>158</v>
      </c>
      <c r="F38" s="86" t="s">
        <v>357</v>
      </c>
      <c r="G38" s="14">
        <v>3</v>
      </c>
      <c r="H38" s="14" t="s">
        <v>181</v>
      </c>
      <c r="L38" s="101" t="s">
        <v>86</v>
      </c>
      <c r="M38" s="101" t="s">
        <v>139</v>
      </c>
      <c r="N38" s="17" t="s">
        <v>33</v>
      </c>
      <c r="O38" s="17" t="s">
        <v>252</v>
      </c>
      <c r="S38" s="52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EL SERVICIO DE LA SALUD Y BUENAS PRACTICAS EN PACIENTE ",IF(N38=CURSOS!$D$10,"CLINICA DE HERIDAS ",IF(N38=CURSOS!$D$11,"TOMA DE CITOLOGIA CERVICO VAGINAL ",IF(N38=CURSOS!$D$12,"SOPORTE CARDIOVASCULAR AVANZADO (ACLS) ",IF(N38=CURSOS!$D$13,"CAMILLERO ",IF(N38=CURSOS!$D$14,"TOMA DE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INYECTOLOGIA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DE MUESTRAS Y LABORATORIO POCT",IF(N38=CURSOS!$D$28,"IMPLANTE SUBDERMICO DE DISPOSITIVO INTRAUTERINO",IF(N38=CURSOS!$D$29,"SALUD MENTAL",IF(N38=CURSOS!$D$30,"PRIMEROS AUXILIOS PSICOLOGICOS",IF(N38=CURSOS!$D$31,"ATENCION A VICTIMAS POR CONFLICTO ARMADO",IF(N38=CURSOS!$D$32,"MANIPULACION DE ALIMENTOS Y BPM",IF(N38=CURSOS!$D$33,"ATENCION A PERSONAS CON DISCAPACIDAD",IF(N38=CURSOS!$D$34,"CUIDADO INTEGRAL DEL PACIENTE ADULTO",IF(N38=CURSOS!$D$35,"MANEJO DEFENSIVO",IF(N38=CURSOS!$D$36,"SOPORTE CARDIOVASCULAR AVANZADO NEONATAL",IF(N38=CURSOS!$D$37,"SEGURIDAD DEL PACIENTE")))))))))))))))))))))))))))))))))))</f>
        <v xml:space="preserve">HUMANIZACION EN EL SERVICIO DE LA SALUD Y BUENAS PRACTICAS EN PACIENTE </v>
      </c>
      <c r="T38" s="52" t="str">
        <f t="shared" si="3"/>
        <v>Jimmy Fabian Eraso Leon</v>
      </c>
      <c r="U38" s="52" t="str">
        <f t="shared" si="4"/>
        <v>Jimmy Fabian Eraso Leon</v>
      </c>
      <c r="V38" s="52" t="str">
        <f t="shared" si="5"/>
        <v>Jimmy Fabian Eraso Leon-12998759-HUMANIZACION</v>
      </c>
    </row>
    <row r="39" spans="1:22" s="17" customFormat="1" x14ac:dyDescent="0.2">
      <c r="A39" s="17">
        <v>38</v>
      </c>
      <c r="B39" s="17">
        <v>59177602</v>
      </c>
      <c r="C39" s="86" t="s">
        <v>360</v>
      </c>
      <c r="D39" s="86" t="s">
        <v>361</v>
      </c>
      <c r="E39" s="86" t="s">
        <v>358</v>
      </c>
      <c r="F39" s="86" t="s">
        <v>359</v>
      </c>
      <c r="G39" s="14">
        <v>3</v>
      </c>
      <c r="H39" s="14" t="s">
        <v>181</v>
      </c>
      <c r="L39" s="101" t="s">
        <v>86</v>
      </c>
      <c r="M39" s="101" t="s">
        <v>139</v>
      </c>
      <c r="N39" s="17" t="s">
        <v>33</v>
      </c>
      <c r="O39" s="17" t="s">
        <v>309</v>
      </c>
      <c r="S39" s="52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EL SERVICIO DE LA SALUD Y BUENAS PRACTICAS EN PACIENTE ",IF(N39=CURSOS!$D$10,"CLINICA DE HERIDAS ",IF(N39=CURSOS!$D$11,"TOMA DE CITOLOGIA CERVICO VAGINAL ",IF(N39=CURSOS!$D$12,"SOPORTE CARDIOVASCULAR AVANZADO (ACLS) ",IF(N39=CURSOS!$D$13,"CAMILLERO ",IF(N39=CURSOS!$D$14,"TOMA DE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INYECTOLOGIA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DE MUESTRAS Y LABORATORIO POCT",IF(N39=CURSOS!$D$28,"IMPLANTE SUBDERMICO DE DISPOSITIVO INTRAUTERINO",IF(N39=CURSOS!$D$29,"SALUD MENTAL",IF(N39=CURSOS!$D$30,"PRIMEROS AUXILIOS PSICOLOGICOS",IF(N39=CURSOS!$D$31,"ATENCION A VICTIMAS POR CONFLICTO ARMADO",IF(N39=CURSOS!$D$32,"MANIPULACION DE ALIMENTOS Y BPM",IF(N39=CURSOS!$D$33,"ATENCION A PERSONAS CON DISCAPACIDAD",IF(N39=CURSOS!$D$34,"CUIDADO INTEGRAL DEL PACIENTE ADULTO",IF(N39=CURSOS!$D$35,"MANEJO DEFENSIVO",IF(N39=CURSOS!$D$36,"SOPORTE CARDIOVASCULAR AVANZADO NEONATAL",IF(N39=CURSOS!$D$37,"SEGURIDAD DEL PACIENTE")))))))))))))))))))))))))))))))))))</f>
        <v xml:space="preserve">HUMANIZACION EN EL SERVICIO DE LA SALUD Y BUENAS PRACTICAS EN PACIENTE </v>
      </c>
      <c r="T39" s="52" t="str">
        <f t="shared" si="3"/>
        <v>Amparo Del Rocio Muñoz Villarreal</v>
      </c>
      <c r="U39" s="52" t="str">
        <f t="shared" si="4"/>
        <v>Amparo Del Rocio Muñoz Villarreal</v>
      </c>
      <c r="V39" s="52" t="str">
        <f t="shared" si="5"/>
        <v>Amparo Del Rocio Muñoz Villarreal-59177602-HUMANIZACION</v>
      </c>
    </row>
    <row r="40" spans="1:22" s="17" customFormat="1" x14ac:dyDescent="0.2">
      <c r="A40" s="85">
        <v>39</v>
      </c>
      <c r="B40" s="17">
        <v>1085344759</v>
      </c>
      <c r="C40" s="86" t="s">
        <v>363</v>
      </c>
      <c r="D40" s="86" t="s">
        <v>344</v>
      </c>
      <c r="E40" s="86" t="s">
        <v>102</v>
      </c>
      <c r="F40" s="86" t="s">
        <v>362</v>
      </c>
      <c r="G40" s="14">
        <v>3</v>
      </c>
      <c r="H40" s="14" t="s">
        <v>181</v>
      </c>
      <c r="L40" s="101" t="s">
        <v>86</v>
      </c>
      <c r="M40" s="101" t="s">
        <v>139</v>
      </c>
      <c r="N40" s="17" t="s">
        <v>33</v>
      </c>
      <c r="O40" s="17" t="s">
        <v>252</v>
      </c>
      <c r="S40" s="52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EL SERVICIO DE LA SALUD Y BUENAS PRACTICAS EN PACIENTE ",IF(N40=CURSOS!$D$10,"CLINICA DE HERIDAS ",IF(N40=CURSOS!$D$11,"TOMA DE CITOLOGIA CERVICO VAGINAL ",IF(N40=CURSOS!$D$12,"SOPORTE CARDIOVASCULAR AVANZADO (ACLS) ",IF(N40=CURSOS!$D$13,"CAMILLERO ",IF(N40=CURSOS!$D$14,"TOMA DE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INYECTOLOGIA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DE MUESTRAS Y LABORATORIO POCT",IF(N40=CURSOS!$D$28,"IMPLANTE SUBDERMICO DE DISPOSITIVO INTRAUTERINO",IF(N40=CURSOS!$D$29,"SALUD MENTAL",IF(N40=CURSOS!$D$30,"PRIMEROS AUXILIOS PSICOLOGICOS",IF(N40=CURSOS!$D$31,"ATENCION A VICTIMAS POR CONFLICTO ARMADO",IF(N40=CURSOS!$D$32,"MANIPULACION DE ALIMENTOS Y BPM",IF(N40=CURSOS!$D$33,"ATENCION A PERSONAS CON DISCAPACIDAD",IF(N40=CURSOS!$D$34,"CUIDADO INTEGRAL DEL PACIENTE ADULTO",IF(N40=CURSOS!$D$35,"MANEJO DEFENSIVO",IF(N40=CURSOS!$D$36,"SOPORTE CARDIOVASCULAR AVANZADO NEONATAL",IF(N40=CURSOS!$D$37,"SEGURIDAD DEL PACIENTE")))))))))))))))))))))))))))))))))))</f>
        <v xml:space="preserve">HUMANIZACION EN EL SERVICIO DE LA SALUD Y BUENAS PRACTICAS EN PACIENTE </v>
      </c>
      <c r="T40" s="52" t="str">
        <f t="shared" si="3"/>
        <v>Camilo Jesit Ceron Portilla</v>
      </c>
      <c r="U40" s="52" t="str">
        <f t="shared" si="4"/>
        <v>Camilo Jesit Ceron Portilla</v>
      </c>
      <c r="V40" s="52" t="str">
        <f t="shared" si="5"/>
        <v>Camilo Jesit Ceron Portilla-1085344759-HUMANIZACION</v>
      </c>
    </row>
    <row r="41" spans="1:22" s="17" customFormat="1" x14ac:dyDescent="0.2">
      <c r="A41" s="17">
        <v>40</v>
      </c>
      <c r="B41" s="17">
        <v>1085269247</v>
      </c>
      <c r="C41" s="17" t="s">
        <v>146</v>
      </c>
      <c r="D41" s="17" t="s">
        <v>372</v>
      </c>
      <c r="E41" s="17" t="s">
        <v>370</v>
      </c>
      <c r="F41" s="17" t="s">
        <v>371</v>
      </c>
      <c r="G41" s="14">
        <v>3</v>
      </c>
      <c r="H41" s="14" t="s">
        <v>181</v>
      </c>
      <c r="L41" s="101" t="s">
        <v>86</v>
      </c>
      <c r="M41" s="101" t="s">
        <v>139</v>
      </c>
      <c r="N41" s="17" t="s">
        <v>33</v>
      </c>
      <c r="O41" s="17" t="s">
        <v>309</v>
      </c>
      <c r="S41" s="52" t="str">
        <f>IF(N41=CURSOS!$D$3,"DIPLOMADO EN ATENCION PRE-HOSPITALARIA",IF(N41=CURSOS!$D$4,"ACOMPAÑAMIENTO Y MANEJO DEL DUELO",IF(N41=CURSOS!$D$5,"ATENCION A VICTIMAS DE ATAQUE CON AGENTES QUIMICOS ",IF(N41=CURSOS!$D$6,"PRIMEROS AUXILIOS ",IF(N41=CURSOS!$D$7,"DIPLOMADO DE UNIDAD DE CUIDADOS INTENSIVOS (UCI)",IF(N41=CURSOS!$D$8,"MODELO DE ATENCION PARA EVENTOS EMERGENTES EN SALUD MENTAL (CODIGO VERDE)",IF(N41=CURSOS!$D$9,"HUMANIZACION EN EL SERVICIO DE LA SALUD Y BUENAS PRACTICAS EN PACIENTE ",IF(N41=CURSOS!$D$10,"CLINICA DE HERIDAS ",IF(N41=CURSOS!$D$11,"TOMA DE CITOLOGIA CERVICO VAGINAL ",IF(N41=CURSOS!$D$12,"SOPORTE CARDIOVASCULAR AVANZADO (ACLS) ",IF(N41=CURSOS!$D$13,"CAMILLERO ",IF(N41=CURSOS!$D$14,"TOMA DE MUESTRAS Y LABORATORIO ",IF(N41=CURSOS!$D$15,"SOPORTE VITAL BASICO (BLS)",IF(N41=CURSOS!$D$16,"ATENCION A VICTIMAS DE VIOLENCIA SEXUAL ",IF(N41=CURSOS!$D$17,"PROGRAMADO AMPLIADO DE INMUNIZACION (PAI - COVID 19)",IF(N41=CURSOS!$D$18,"ATENCION INTEGRAL EN ENFERMEDADES PREVALENTES EN PRIMERA INFANCIA (AIEPI)",IF(N41=CURSOS!$D$19,"ADMINISTRACION DE MEDICAMENTOS, INYECTOLOGIA  Y CANALIZACION ",IF(N41=CURSOS!$D$20,"OPERADOR DE VEHICULOS DE EMERGENCIA (OVE)",IF(N41=CURSOS!$D$21,"INSTITUCIONES AMIGAS DE LA MUJER Y LA INFANCIA (IAMI)",IF(N41=CURSOS!$D$22,"CUIDADO DEL DONANTE DE ORGANOS",IF(N41=CURSOS!$D$23,"ATENCION A VICTIMAS POR VIOLENCIA DE GENERO",IF(N41=CURSOS!$D$24,"IGUALDAD DE GENERO EN LA SALUD",IF(N41=CURSOS!$D$25,"BRIGADA DE EMERGENCIA",IF(N41=CURSOS!$D$26,"MANEJO DEL DOLOR Y CUIDADOS PALIATIVOS",IF(N41=CURSOS!$D$27,"TOMA DE MUESTRAS Y LABORATORIO POCT",IF(N41=CURSOS!$D$28,"IMPLANTE SUBDERMICO DE DISPOSITIVO INTRAUTERINO",IF(N41=CURSOS!$D$29,"SALUD MENTAL",IF(N41=CURSOS!$D$30,"PRIMEROS AUXILIOS PSICOLOGICOS",IF(N41=CURSOS!$D$31,"ATENCION A VICTIMAS POR CONFLICTO ARMADO",IF(N41=CURSOS!$D$32,"MANIPULACION DE ALIMENTOS Y BPM",IF(N41=CURSOS!$D$33,"ATENCION A PERSONAS CON DISCAPACIDAD",IF(N41=CURSOS!$D$34,"CUIDADO INTEGRAL DEL PACIENTE ADULTO",IF(N41=CURSOS!$D$35,"MANEJO DEFENSIVO",IF(N41=CURSOS!$D$36,"SOPORTE CARDIOVASCULAR AVANZADO NEONATAL",IF(N41=CURSOS!$D$37,"SEGURIDAD DEL PACIENTE")))))))))))))))))))))))))))))))))))</f>
        <v xml:space="preserve">HUMANIZACION EN EL SERVICIO DE LA SALUD Y BUENAS PRACTICAS EN PACIENTE </v>
      </c>
      <c r="T41" s="52" t="str">
        <f t="shared" si="3"/>
        <v>Gloria Del carmen Jojoa Guacan</v>
      </c>
      <c r="U41" s="52" t="str">
        <f t="shared" si="4"/>
        <v>Gloria Del Carmen Jojoa Guacan</v>
      </c>
      <c r="V41" s="52" t="str">
        <f t="shared" si="5"/>
        <v>Gloria Del carmen Jojoa Guacan-1085269247-HUMANIZACION</v>
      </c>
    </row>
    <row r="42" spans="1:22" s="17" customFormat="1" x14ac:dyDescent="0.2">
      <c r="A42" s="85">
        <v>41</v>
      </c>
      <c r="B42" s="17">
        <v>1088729513</v>
      </c>
      <c r="C42" s="17" t="s">
        <v>209</v>
      </c>
      <c r="D42" s="17" t="s">
        <v>318</v>
      </c>
      <c r="E42" s="17" t="s">
        <v>373</v>
      </c>
      <c r="F42" s="17" t="s">
        <v>374</v>
      </c>
      <c r="G42" s="14">
        <v>3</v>
      </c>
      <c r="H42" s="14" t="s">
        <v>181</v>
      </c>
      <c r="L42" s="101" t="s">
        <v>86</v>
      </c>
      <c r="M42" s="101" t="s">
        <v>139</v>
      </c>
      <c r="N42" s="17" t="s">
        <v>33</v>
      </c>
      <c r="O42" s="17" t="s">
        <v>309</v>
      </c>
      <c r="S42" s="52" t="str">
        <f>IF(N42=CURSOS!$D$3,"DIPLOMADO EN ATENCION PRE-HOSPITALARIA",IF(N42=CURSOS!$D$4,"ACOMPAÑAMIENTO Y MANEJO DEL DUELO",IF(N42=CURSOS!$D$5,"ATENCION A VICTIMAS DE ATAQUE CON AGENTES QUIMICOS ",IF(N42=CURSOS!$D$6,"PRIMEROS AUXILIOS ",IF(N42=CURSOS!$D$7,"DIPLOMADO DE UNIDAD DE CUIDADOS INTENSIVOS (UCI)",IF(N42=CURSOS!$D$8,"MODELO DE ATENCION PARA EVENTOS EMERGENTES EN SALUD MENTAL (CODIGO VERDE)",IF(N42=CURSOS!$D$9,"HUMANIZACION EN EL SERVICIO DE LA SALUD Y BUENAS PRACTICAS EN PACIENTE ",IF(N42=CURSOS!$D$10,"CLINICA DE HERIDAS ",IF(N42=CURSOS!$D$11,"TOMA DE CITOLOGIA CERVICO VAGINAL ",IF(N42=CURSOS!$D$12,"SOPORTE CARDIOVASCULAR AVANZADO (ACLS) ",IF(N42=CURSOS!$D$13,"CAMILLERO ",IF(N42=CURSOS!$D$14,"TOMA DE MUESTRAS Y LABORATORIO ",IF(N42=CURSOS!$D$15,"SOPORTE VITAL BASICO (BLS)",IF(N42=CURSOS!$D$16,"ATENCION A VICTIMAS DE VIOLENCIA SEXUAL ",IF(N42=CURSOS!$D$17,"PROGRAMADO AMPLIADO DE INMUNIZACION (PAI - COVID 19)",IF(N42=CURSOS!$D$18,"ATENCION INTEGRAL EN ENFERMEDADES PREVALENTES EN PRIMERA INFANCIA (AIEPI)",IF(N42=CURSOS!$D$19,"ADMINISTRACION DE MEDICAMENTOS, INYECTOLOGIA  Y CANALIZACION ",IF(N42=CURSOS!$D$20,"OPERADOR DE VEHICULOS DE EMERGENCIA (OVE)",IF(N42=CURSOS!$D$21,"INSTITUCIONES AMIGAS DE LA MUJER Y LA INFANCIA (IAMI)",IF(N42=CURSOS!$D$22,"CUIDADO DEL DONANTE DE ORGANOS",IF(N42=CURSOS!$D$23,"ATENCION A VICTIMAS POR VIOLENCIA DE GENERO",IF(N42=CURSOS!$D$24,"IGUALDAD DE GENERO EN LA SALUD",IF(N42=CURSOS!$D$25,"BRIGADA DE EMERGENCIA",IF(N42=CURSOS!$D$26,"MANEJO DEL DOLOR Y CUIDADOS PALIATIVOS",IF(N42=CURSOS!$D$27,"TOMA DE MUESTRAS Y LABORATORIO POCT",IF(N42=CURSOS!$D$28,"IMPLANTE SUBDERMICO DE DISPOSITIVO INTRAUTERINO",IF(N42=CURSOS!$D$29,"SALUD MENTAL",IF(N42=CURSOS!$D$30,"PRIMEROS AUXILIOS PSICOLOGICOS",IF(N42=CURSOS!$D$31,"ATENCION A VICTIMAS POR CONFLICTO ARMADO",IF(N42=CURSOS!$D$32,"MANIPULACION DE ALIMENTOS Y BPM",IF(N42=CURSOS!$D$33,"ATENCION A PERSONAS CON DISCAPACIDAD",IF(N42=CURSOS!$D$34,"CUIDADO INTEGRAL DEL PACIENTE ADULTO",IF(N42=CURSOS!$D$35,"MANEJO DEFENSIVO",IF(N42=CURSOS!$D$36,"SOPORTE CARDIOVASCULAR AVANZADO NEONATAL",IF(N42=CURSOS!$D$37,"SEGURIDAD DEL PACIENTE")))))))))))))))))))))))))))))))))))</f>
        <v xml:space="preserve">HUMANIZACION EN EL SERVICIO DE LA SALUD Y BUENAS PRACTICAS EN PACIENTE </v>
      </c>
      <c r="T42" s="52" t="str">
        <f t="shared" si="3"/>
        <v>Karolain Valentina Moran Melo</v>
      </c>
      <c r="U42" s="52" t="str">
        <f t="shared" si="4"/>
        <v>Karolain Valentina Moran Melo</v>
      </c>
      <c r="V42" s="52" t="str">
        <f t="shared" si="5"/>
        <v>Karolain Valentina Moran Melo-1088729513-HUMANIZACION</v>
      </c>
    </row>
    <row r="43" spans="1:22" s="17" customFormat="1" x14ac:dyDescent="0.2">
      <c r="A43" s="17">
        <v>42</v>
      </c>
      <c r="B43" s="17">
        <v>1081053433</v>
      </c>
      <c r="C43" s="86" t="s">
        <v>146</v>
      </c>
      <c r="D43" s="86" t="s">
        <v>366</v>
      </c>
      <c r="E43" s="86" t="s">
        <v>364</v>
      </c>
      <c r="F43" s="86" t="s">
        <v>365</v>
      </c>
      <c r="G43" s="14">
        <v>3</v>
      </c>
      <c r="H43" s="14" t="s">
        <v>181</v>
      </c>
      <c r="L43" s="101" t="s">
        <v>86</v>
      </c>
      <c r="M43" s="101" t="s">
        <v>139</v>
      </c>
      <c r="N43" s="17" t="s">
        <v>33</v>
      </c>
      <c r="O43" s="17" t="s">
        <v>309</v>
      </c>
      <c r="S43" s="52" t="str">
        <f>IF(N43=CURSOS!$D$3,"DIPLOMADO EN ATENCION PRE-HOSPITALARIA",IF(N43=CURSOS!$D$4,"ACOMPAÑAMIENTO Y MANEJO DEL DUELO",IF(N43=CURSOS!$D$5,"ATENCION A VICTIMAS DE ATAQUE CON AGENTES QUIMICOS ",IF(N43=CURSOS!$D$6,"PRIMEROS AUXILIOS ",IF(N43=CURSOS!$D$7,"DIPLOMADO DE UNIDAD DE CUIDADOS INTENSIVOS (UCI)",IF(N43=CURSOS!$D$8,"MODELO DE ATENCION PARA EVENTOS EMERGENTES EN SALUD MENTAL (CODIGO VERDE)",IF(N43=CURSOS!$D$9,"HUMANIZACION EN EL SERVICIO DE LA SALUD Y BUENAS PRACTICAS EN PACIENTE ",IF(N43=CURSOS!$D$10,"CLINICA DE HERIDAS ",IF(N43=CURSOS!$D$11,"TOMA DE CITOLOGIA CERVICO VAGINAL ",IF(N43=CURSOS!$D$12,"SOPORTE CARDIOVASCULAR AVANZADO (ACLS) ",IF(N43=CURSOS!$D$13,"CAMILLERO ",IF(N43=CURSOS!$D$14,"TOMA DE MUESTRAS Y LABORATORIO ",IF(N43=CURSOS!$D$15,"SOPORTE VITAL BASICO (BLS)",IF(N43=CURSOS!$D$16,"ATENCION A VICTIMAS DE VIOLENCIA SEXUAL ",IF(N43=CURSOS!$D$17,"PROGRAMADO AMPLIADO DE INMUNIZACION (PAI - COVID 19)",IF(N43=CURSOS!$D$18,"ATENCION INTEGRAL EN ENFERMEDADES PREVALENTES EN PRIMERA INFANCIA (AIEPI)",IF(N43=CURSOS!$D$19,"ADMINISTRACION DE MEDICAMENTOS, INYECTOLOGIA  Y CANALIZACION ",IF(N43=CURSOS!$D$20,"OPERADOR DE VEHICULOS DE EMERGENCIA (OVE)",IF(N43=CURSOS!$D$21,"INSTITUCIONES AMIGAS DE LA MUJER Y LA INFANCIA (IAMI)",IF(N43=CURSOS!$D$22,"CUIDADO DEL DONANTE DE ORGANOS",IF(N43=CURSOS!$D$23,"ATENCION A VICTIMAS POR VIOLENCIA DE GENERO",IF(N43=CURSOS!$D$24,"IGUALDAD DE GENERO EN LA SALUD",IF(N43=CURSOS!$D$25,"BRIGADA DE EMERGENCIA",IF(N43=CURSOS!$D$26,"MANEJO DEL DOLOR Y CUIDADOS PALIATIVOS",IF(N43=CURSOS!$D$27,"TOMA DE MUESTRAS Y LABORATORIO POCT",IF(N43=CURSOS!$D$28,"IMPLANTE SUBDERMICO DE DISPOSITIVO INTRAUTERINO",IF(N43=CURSOS!$D$29,"SALUD MENTAL",IF(N43=CURSOS!$D$30,"PRIMEROS AUXILIOS PSICOLOGICOS",IF(N43=CURSOS!$D$31,"ATENCION A VICTIMAS POR CONFLICTO ARMADO",IF(N43=CURSOS!$D$32,"MANIPULACION DE ALIMENTOS Y BPM",IF(N43=CURSOS!$D$33,"ATENCION A PERSONAS CON DISCAPACIDAD",IF(N43=CURSOS!$D$34,"CUIDADO INTEGRAL DEL PACIENTE ADULTO",IF(N43=CURSOS!$D$35,"MANEJO DEFENSIVO",IF(N43=CURSOS!$D$36,"SOPORTE CARDIOVASCULAR AVANZADO NEONATAL",IF(N43=CURSOS!$D$37,"SEGURIDAD DEL PACIENTE")))))))))))))))))))))))))))))))))))</f>
        <v xml:space="preserve">HUMANIZACION EN EL SERVICIO DE LA SALUD Y BUENAS PRACTICAS EN PACIENTE </v>
      </c>
      <c r="T43" s="52" t="str">
        <f t="shared" si="3"/>
        <v>Julieth Camila Jojoa Maya</v>
      </c>
      <c r="U43" s="52" t="str">
        <f t="shared" si="4"/>
        <v>Julieth Camila Jojoa Maya</v>
      </c>
      <c r="V43" s="52" t="str">
        <f t="shared" si="5"/>
        <v>Julieth Camila Jojoa Maya-1081053433-HUMANIZACION</v>
      </c>
    </row>
    <row r="44" spans="1:22" s="17" customFormat="1" x14ac:dyDescent="0.2">
      <c r="A44" s="17">
        <v>43</v>
      </c>
      <c r="C44" s="86" t="s">
        <v>368</v>
      </c>
      <c r="D44" s="86" t="s">
        <v>369</v>
      </c>
      <c r="E44" s="86" t="s">
        <v>108</v>
      </c>
      <c r="F44" s="86" t="s">
        <v>367</v>
      </c>
      <c r="G44" s="14">
        <v>3</v>
      </c>
      <c r="H44" s="14" t="s">
        <v>181</v>
      </c>
      <c r="L44" s="101" t="s">
        <v>86</v>
      </c>
      <c r="M44" s="101" t="s">
        <v>139</v>
      </c>
      <c r="N44" s="17" t="s">
        <v>33</v>
      </c>
      <c r="O44" s="17" t="s">
        <v>309</v>
      </c>
      <c r="S44" s="52" t="str">
        <f>IF(N44=CURSOS!$D$3,"DIPLOMADO EN ATENCION PRE-HOSPITALARIA",IF(N44=CURSOS!$D$4,"ACOMPAÑAMIENTO Y MANEJO DEL DUELO",IF(N44=CURSOS!$D$5,"ATENCION A VICTIMAS DE ATAQUE CON AGENTES QUIMICOS ",IF(N44=CURSOS!$D$6,"PRIMEROS AUXILIOS ",IF(N44=CURSOS!$D$7,"DIPLOMADO DE UNIDAD DE CUIDADOS INTENSIVOS (UCI)",IF(N44=CURSOS!$D$8,"MODELO DE ATENCION PARA EVENTOS EMERGENTES EN SALUD MENTAL (CODIGO VERDE)",IF(N44=CURSOS!$D$9,"HUMANIZACION EN EL SERVICIO DE LA SALUD Y BUENAS PRACTICAS EN PACIENTE ",IF(N44=CURSOS!$D$10,"CLINICA DE HERIDAS ",IF(N44=CURSOS!$D$11,"TOMA DE CITOLOGIA CERVICO VAGINAL ",IF(N44=CURSOS!$D$12,"SOPORTE CARDIOVASCULAR AVANZADO (ACLS) ",IF(N44=CURSOS!$D$13,"CAMILLERO ",IF(N44=CURSOS!$D$14,"TOMA DE MUESTRAS Y LABORATORIO ",IF(N44=CURSOS!$D$15,"SOPORTE VITAL BASICO (BLS)",IF(N44=CURSOS!$D$16,"ATENCION A VICTIMAS DE VIOLENCIA SEXUAL ",IF(N44=CURSOS!$D$17,"PROGRAMADO AMPLIADO DE INMUNIZACION (PAI - COVID 19)",IF(N44=CURSOS!$D$18,"ATENCION INTEGRAL EN ENFERMEDADES PREVALENTES EN PRIMERA INFANCIA (AIEPI)",IF(N44=CURSOS!$D$19,"ADMINISTRACION DE MEDICAMENTOS, INYECTOLOGIA  Y CANALIZACION ",IF(N44=CURSOS!$D$20,"OPERADOR DE VEHICULOS DE EMERGENCIA (OVE)",IF(N44=CURSOS!$D$21,"INSTITUCIONES AMIGAS DE LA MUJER Y LA INFANCIA (IAMI)",IF(N44=CURSOS!$D$22,"CUIDADO DEL DONANTE DE ORGANOS",IF(N44=CURSOS!$D$23,"ATENCION A VICTIMAS POR VIOLENCIA DE GENERO",IF(N44=CURSOS!$D$24,"IGUALDAD DE GENERO EN LA SALUD",IF(N44=CURSOS!$D$25,"BRIGADA DE EMERGENCIA",IF(N44=CURSOS!$D$26,"MANEJO DEL DOLOR Y CUIDADOS PALIATIVOS",IF(N44=CURSOS!$D$27,"TOMA DE MUESTRAS Y LABORATORIO POCT",IF(N44=CURSOS!$D$28,"IMPLANTE SUBDERMICO DE DISPOSITIVO INTRAUTERINO",IF(N44=CURSOS!$D$29,"SALUD MENTAL",IF(N44=CURSOS!$D$30,"PRIMEROS AUXILIOS PSICOLOGICOS",IF(N44=CURSOS!$D$31,"ATENCION A VICTIMAS POR CONFLICTO ARMADO",IF(N44=CURSOS!$D$32,"MANIPULACION DE ALIMENTOS Y BPM",IF(N44=CURSOS!$D$33,"ATENCION A PERSONAS CON DISCAPACIDAD",IF(N44=CURSOS!$D$34,"CUIDADO INTEGRAL DEL PACIENTE ADULTO",IF(N44=CURSOS!$D$35,"MANEJO DEFENSIVO",IF(N44=CURSOS!$D$36,"SOPORTE CARDIOVASCULAR AVANZADO NEONATAL",IF(N44=CURSOS!$D$37,"SEGURIDAD DEL PACIENTE")))))))))))))))))))))))))))))))))))</f>
        <v xml:space="preserve">HUMANIZACION EN EL SERVICIO DE LA SALUD Y BUENAS PRACTICAS EN PACIENTE </v>
      </c>
      <c r="T44" s="52" t="str">
        <f t="shared" si="3"/>
        <v>Sandra Janneth Moreno Ascuntar</v>
      </c>
      <c r="U44" s="52" t="str">
        <f t="shared" si="4"/>
        <v>Sandra Janneth Moreno Ascuntar</v>
      </c>
      <c r="V44" s="52" t="str">
        <f t="shared" si="5"/>
        <v>Sandra Janneth Moreno Ascuntar--HUMANIZACION</v>
      </c>
    </row>
    <row r="45" spans="1:22" s="84" customFormat="1" x14ac:dyDescent="0.2">
      <c r="A45" s="105">
        <v>44</v>
      </c>
      <c r="B45" s="106">
        <v>1004490694</v>
      </c>
      <c r="C45" s="107" t="s">
        <v>184</v>
      </c>
      <c r="D45" s="107" t="s">
        <v>156</v>
      </c>
      <c r="E45" s="107" t="s">
        <v>220</v>
      </c>
      <c r="F45" s="107" t="s">
        <v>221</v>
      </c>
      <c r="G45" s="108">
        <v>3</v>
      </c>
      <c r="H45" s="108" t="s">
        <v>181</v>
      </c>
      <c r="I45" s="106"/>
      <c r="J45" s="106"/>
      <c r="K45" s="106"/>
      <c r="L45" s="115" t="s">
        <v>86</v>
      </c>
      <c r="M45" s="115" t="s">
        <v>139</v>
      </c>
      <c r="N45" s="109" t="s">
        <v>33</v>
      </c>
      <c r="O45" s="106" t="s">
        <v>251</v>
      </c>
      <c r="P45" s="106" t="s">
        <v>258</v>
      </c>
      <c r="Q45" s="106">
        <v>3103675178</v>
      </c>
      <c r="R45" s="106" t="s">
        <v>263</v>
      </c>
      <c r="S45" s="52" t="str">
        <f>IF(N45=CURSOS!$D$3,"DIPLOMADO EN ATENCION PRE-HOSPITALARIA",IF(N45=CURSOS!$D$4,"ACOMPAÑAMIENTO Y MANEJO DEL DUELO",IF(N45=CURSOS!$D$5,"ATENCION A VICTIMAS DE ATAQUE CON AGENTES QUIMICOS ",IF(N45=CURSOS!$D$6,"PRIMEROS AUXILIOS ",IF(N45=CURSOS!$D$7,"DIPLOMADO DE UNIDAD DE CUIDADOS INTENSIVOS (UCI)",IF(N45=CURSOS!$D$8,"MODELO DE ATENCION PARA EVENTOS EMERGENTES EN SALUD MENTAL (CODIGO VERDE)",IF(N45=CURSOS!$D$9,"HUMANIZACION EN EL SERVICIO DE LA SALUD Y BUENAS PRACTICAS EN PACIENTE ",IF(N45=CURSOS!$D$10,"CLINICA DE HERIDAS ",IF(N45=CURSOS!$D$11,"TOMA DE CITOLOGIA CERVICO VAGINAL ",IF(N45=CURSOS!$D$12,"SOPORTE CARDIOVASCULAR AVANZADO (ACLS) ",IF(N45=CURSOS!$D$13,"CAMILLERO ",IF(N45=CURSOS!$D$14,"TOMA DE MUESTRAS Y LABORATORIO ",IF(N45=CURSOS!$D$15,"SOPORTE VITAL BASICO (BLS)",IF(N45=CURSOS!$D$16,"ATENCION A VICTIMAS DE VIOLENCIA SEXUAL ",IF(N45=CURSOS!$D$17,"PROGRAMADO AMPLIADO DE INMUNIZACION (PAI - COVID 19)",IF(N45=CURSOS!$D$18,"ATENCION INTEGRAL EN ENFERMEDADES PREVALENTES EN PRIMERA INFANCIA (AIEPI)",IF(N45=CURSOS!$D$19,"ADMINISTRACION DE MEDICAMENTOS, INYECTOLOGIA  Y CANALIZACION ",IF(N45=CURSOS!$D$20,"OPERADOR DE VEHICULOS DE EMERGENCIA (OVE)",IF(N45=CURSOS!$D$21,"INSTITUCIONES AMIGAS DE LA MUJER Y LA INFANCIA (IAMI)",IF(N45=CURSOS!$D$22,"CUIDADO DEL DONANTE DE ORGANOS",IF(N45=CURSOS!$D$23,"ATENCION A VICTIMAS POR VIOLENCIA DE GENERO",IF(N45=CURSOS!$D$24,"IGUALDAD DE GENERO EN LA SALUD",IF(N45=CURSOS!$D$25,"BRIGADA DE EMERGENCIA",IF(N45=CURSOS!$D$26,"MANEJO DEL DOLOR Y CUIDADOS PALIATIVOS",IF(N45=CURSOS!$D$27,"TOMA DE MUESTRAS Y LABORATORIO POCT",IF(N45=CURSOS!$D$28,"IMPLANTE SUBDERMICO DE DISPOSITIVO INTRAUTERINO",IF(N45=CURSOS!$D$29,"SALUD MENTAL",IF(N45=CURSOS!$D$30,"PRIMEROS AUXILIOS PSICOLOGICOS",IF(N45=CURSOS!$D$31,"ATENCION A VICTIMAS POR CONFLICTO ARMADO",IF(N45=CURSOS!$D$32,"MANIPULACION DE ALIMENTOS Y BPM",IF(N45=CURSOS!$D$33,"ATENCION A PERSONAS CON DISCAPACIDAD",IF(N45=CURSOS!$D$34,"CUIDADO INTEGRAL DEL PACIENTE ADULTO",IF(N45=CURSOS!$D$35,"MANEJO DEFENSIVO",IF(N45=CURSOS!$D$36,"SOPORTE CARDIOVASCULAR AVANZADO NEONATAL",IF(N45=CURSOS!$D$37,"SEGURIDAD DEL PACIENTE")))))))))))))))))))))))))))))))))))</f>
        <v xml:space="preserve">HUMANIZACION EN EL SERVICIO DE LA SALUD Y BUENAS PRACTICAS EN PACIENTE </v>
      </c>
      <c r="T45" s="52" t="str">
        <f t="shared" si="3"/>
        <v>Nayerly Yuliana Enchuchala Lara</v>
      </c>
      <c r="U45" s="52" t="str">
        <f t="shared" si="4"/>
        <v>Nayerly Yuliana Enchuchala Lara</v>
      </c>
      <c r="V45" s="52" t="str">
        <f t="shared" si="5"/>
        <v>Nayerly Yuliana Enchuchala Lara-1004490694-HUMANIZACION</v>
      </c>
    </row>
    <row r="46" spans="1:22" s="84" customFormat="1" x14ac:dyDescent="0.2">
      <c r="A46" s="110">
        <v>45</v>
      </c>
      <c r="B46" s="105">
        <v>1004508420</v>
      </c>
      <c r="C46" s="111" t="s">
        <v>185</v>
      </c>
      <c r="D46" s="111" t="s">
        <v>171</v>
      </c>
      <c r="E46" s="111" t="s">
        <v>222</v>
      </c>
      <c r="F46" s="111" t="s">
        <v>109</v>
      </c>
      <c r="G46" s="112">
        <v>3</v>
      </c>
      <c r="H46" s="112" t="s">
        <v>181</v>
      </c>
      <c r="I46" s="105"/>
      <c r="J46" s="105"/>
      <c r="K46" s="105"/>
      <c r="L46" s="116" t="s">
        <v>86</v>
      </c>
      <c r="M46" s="116" t="s">
        <v>139</v>
      </c>
      <c r="N46" s="113" t="s">
        <v>33</v>
      </c>
      <c r="O46" s="105" t="s">
        <v>251</v>
      </c>
      <c r="P46" s="105" t="s">
        <v>258</v>
      </c>
      <c r="Q46" s="105">
        <v>3046030679</v>
      </c>
      <c r="R46" s="105" t="s">
        <v>264</v>
      </c>
      <c r="S46" s="52" t="str">
        <f>IF(N46=CURSOS!$D$3,"DIPLOMADO EN ATENCION PRE-HOSPITALARIA",IF(N46=CURSOS!$D$4,"ACOMPAÑAMIENTO Y MANEJO DEL DUELO",IF(N46=CURSOS!$D$5,"ATENCION A VICTIMAS DE ATAQUE CON AGENTES QUIMICOS ",IF(N46=CURSOS!$D$6,"PRIMEROS AUXILIOS ",IF(N46=CURSOS!$D$7,"DIPLOMADO DE UNIDAD DE CUIDADOS INTENSIVOS (UCI)",IF(N46=CURSOS!$D$8,"MODELO DE ATENCION PARA EVENTOS EMERGENTES EN SALUD MENTAL (CODIGO VERDE)",IF(N46=CURSOS!$D$9,"HUMANIZACION EN EL SERVICIO DE LA SALUD Y BUENAS PRACTICAS EN PACIENTE ",IF(N46=CURSOS!$D$10,"CLINICA DE HERIDAS ",IF(N46=CURSOS!$D$11,"TOMA DE CITOLOGIA CERVICO VAGINAL ",IF(N46=CURSOS!$D$12,"SOPORTE CARDIOVASCULAR AVANZADO (ACLS) ",IF(N46=CURSOS!$D$13,"CAMILLERO ",IF(N46=CURSOS!$D$14,"TOMA DE MUESTRAS Y LABORATORIO ",IF(N46=CURSOS!$D$15,"SOPORTE VITAL BASICO (BLS)",IF(N46=CURSOS!$D$16,"ATENCION A VICTIMAS DE VIOLENCIA SEXUAL ",IF(N46=CURSOS!$D$17,"PROGRAMADO AMPLIADO DE INMUNIZACION (PAI - COVID 19)",IF(N46=CURSOS!$D$18,"ATENCION INTEGRAL EN ENFERMEDADES PREVALENTES EN PRIMERA INFANCIA (AIEPI)",IF(N46=CURSOS!$D$19,"ADMINISTRACION DE MEDICAMENTOS, INYECTOLOGIA  Y CANALIZACION ",IF(N46=CURSOS!$D$20,"OPERADOR DE VEHICULOS DE EMERGENCIA (OVE)",IF(N46=CURSOS!$D$21,"INSTITUCIONES AMIGAS DE LA MUJER Y LA INFANCIA (IAMI)",IF(N46=CURSOS!$D$22,"CUIDADO DEL DONANTE DE ORGANOS",IF(N46=CURSOS!$D$23,"ATENCION A VICTIMAS POR VIOLENCIA DE GENERO",IF(N46=CURSOS!$D$24,"IGUALDAD DE GENERO EN LA SALUD",IF(N46=CURSOS!$D$25,"BRIGADA DE EMERGENCIA",IF(N46=CURSOS!$D$26,"MANEJO DEL DOLOR Y CUIDADOS PALIATIVOS",IF(N46=CURSOS!$D$27,"TOMA DE MUESTRAS Y LABORATORIO POCT",IF(N46=CURSOS!$D$28,"IMPLANTE SUBDERMICO DE DISPOSITIVO INTRAUTERINO",IF(N46=CURSOS!$D$29,"SALUD MENTAL",IF(N46=CURSOS!$D$30,"PRIMEROS AUXILIOS PSICOLOGICOS",IF(N46=CURSOS!$D$31,"ATENCION A VICTIMAS POR CONFLICTO ARMADO",IF(N46=CURSOS!$D$32,"MANIPULACION DE ALIMENTOS Y BPM",IF(N46=CURSOS!$D$33,"ATENCION A PERSONAS CON DISCAPACIDAD",IF(N46=CURSOS!$D$34,"CUIDADO INTEGRAL DEL PACIENTE ADULTO",IF(N46=CURSOS!$D$35,"MANEJO DEFENSIVO",IF(N46=CURSOS!$D$36,"SOPORTE CARDIOVASCULAR AVANZADO NEONATAL",IF(N46=CURSOS!$D$37,"SEGURIDAD DEL PACIENTE")))))))))))))))))))))))))))))))))))</f>
        <v xml:space="preserve">HUMANIZACION EN EL SERVICIO DE LA SALUD Y BUENAS PRACTICAS EN PACIENTE </v>
      </c>
      <c r="T46" s="52" t="str">
        <f t="shared" si="3"/>
        <v>Karem Vanessa Velasquez Eraso</v>
      </c>
      <c r="U46" s="52" t="str">
        <f t="shared" si="4"/>
        <v>Karem Vanessa Velasquez Eraso</v>
      </c>
      <c r="V46" s="52" t="str">
        <f t="shared" si="5"/>
        <v>Karem Vanessa Velasquez Eraso-1004508420-HUMANIZACION</v>
      </c>
    </row>
    <row r="47" spans="1:22" s="84" customFormat="1" x14ac:dyDescent="0.2">
      <c r="A47" s="105">
        <v>46</v>
      </c>
      <c r="B47" s="105">
        <v>1085340407</v>
      </c>
      <c r="C47" s="111" t="s">
        <v>150</v>
      </c>
      <c r="D47" s="111" t="s">
        <v>100</v>
      </c>
      <c r="E47" s="111" t="s">
        <v>97</v>
      </c>
      <c r="F47" s="111" t="s">
        <v>89</v>
      </c>
      <c r="G47" s="112">
        <v>3</v>
      </c>
      <c r="H47" s="112" t="s">
        <v>181</v>
      </c>
      <c r="I47" s="105"/>
      <c r="J47" s="105"/>
      <c r="K47" s="105"/>
      <c r="L47" s="116" t="s">
        <v>86</v>
      </c>
      <c r="M47" s="116" t="s">
        <v>139</v>
      </c>
      <c r="N47" s="113" t="s">
        <v>33</v>
      </c>
      <c r="O47" s="105" t="s">
        <v>252</v>
      </c>
      <c r="P47" s="105" t="s">
        <v>258</v>
      </c>
      <c r="Q47" s="105">
        <v>3173773105</v>
      </c>
      <c r="R47" s="105" t="s">
        <v>265</v>
      </c>
      <c r="S47" s="52" t="str">
        <f>IF(N47=CURSOS!$D$3,"DIPLOMADO EN ATENCION PRE-HOSPITALARIA",IF(N47=CURSOS!$D$4,"ACOMPAÑAMIENTO Y MANEJO DEL DUELO",IF(N47=CURSOS!$D$5,"ATENCION A VICTIMAS DE ATAQUE CON AGENTES QUIMICOS ",IF(N47=CURSOS!$D$6,"PRIMEROS AUXILIOS ",IF(N47=CURSOS!$D$7,"DIPLOMADO DE UNIDAD DE CUIDADOS INTENSIVOS (UCI)",IF(N47=CURSOS!$D$8,"MODELO DE ATENCION PARA EVENTOS EMERGENTES EN SALUD MENTAL (CODIGO VERDE)",IF(N47=CURSOS!$D$9,"HUMANIZACION EN EL SERVICIO DE LA SALUD Y BUENAS PRACTICAS EN PACIENTE ",IF(N47=CURSOS!$D$10,"CLINICA DE HERIDAS ",IF(N47=CURSOS!$D$11,"TOMA DE CITOLOGIA CERVICO VAGINAL ",IF(N47=CURSOS!$D$12,"SOPORTE CARDIOVASCULAR AVANZADO (ACLS) ",IF(N47=CURSOS!$D$13,"CAMILLERO ",IF(N47=CURSOS!$D$14,"TOMA DE MUESTRAS Y LABORATORIO ",IF(N47=CURSOS!$D$15,"SOPORTE VITAL BASICO (BLS)",IF(N47=CURSOS!$D$16,"ATENCION A VICTIMAS DE VIOLENCIA SEXUAL ",IF(N47=CURSOS!$D$17,"PROGRAMADO AMPLIADO DE INMUNIZACION (PAI - COVID 19)",IF(N47=CURSOS!$D$18,"ATENCION INTEGRAL EN ENFERMEDADES PREVALENTES EN PRIMERA INFANCIA (AIEPI)",IF(N47=CURSOS!$D$19,"ADMINISTRACION DE MEDICAMENTOS, INYECTOLOGIA  Y CANALIZACION ",IF(N47=CURSOS!$D$20,"OPERADOR DE VEHICULOS DE EMERGENCIA (OVE)",IF(N47=CURSOS!$D$21,"INSTITUCIONES AMIGAS DE LA MUJER Y LA INFANCIA (IAMI)",IF(N47=CURSOS!$D$22,"CUIDADO DEL DONANTE DE ORGANOS",IF(N47=CURSOS!$D$23,"ATENCION A VICTIMAS POR VIOLENCIA DE GENERO",IF(N47=CURSOS!$D$24,"IGUALDAD DE GENERO EN LA SALUD",IF(N47=CURSOS!$D$25,"BRIGADA DE EMERGENCIA",IF(N47=CURSOS!$D$26,"MANEJO DEL DOLOR Y CUIDADOS PALIATIVOS",IF(N47=CURSOS!$D$27,"TOMA DE MUESTRAS Y LABORATORIO POCT",IF(N47=CURSOS!$D$28,"IMPLANTE SUBDERMICO DE DISPOSITIVO INTRAUTERINO",IF(N47=CURSOS!$D$29,"SALUD MENTAL",IF(N47=CURSOS!$D$30,"PRIMEROS AUXILIOS PSICOLOGICOS",IF(N47=CURSOS!$D$31,"ATENCION A VICTIMAS POR CONFLICTO ARMADO",IF(N47=CURSOS!$D$32,"MANIPULACION DE ALIMENTOS Y BPM",IF(N47=CURSOS!$D$33,"ATENCION A PERSONAS CON DISCAPACIDAD",IF(N47=CURSOS!$D$34,"CUIDADO INTEGRAL DEL PACIENTE ADULTO",IF(N47=CURSOS!$D$35,"MANEJO DEFENSIVO",IF(N47=CURSOS!$D$36,"SOPORTE CARDIOVASCULAR AVANZADO NEONATAL",IF(N47=CURSOS!$D$37,"SEGURIDAD DEL PACIENTE")))))))))))))))))))))))))))))))))))</f>
        <v xml:space="preserve">HUMANIZACION EN EL SERVICIO DE LA SALUD Y BUENAS PRACTICAS EN PACIENTE </v>
      </c>
      <c r="T47" s="52" t="str">
        <f t="shared" si="3"/>
        <v>Andres Mauricio Bolaños Guerrero</v>
      </c>
      <c r="U47" s="52" t="str">
        <f t="shared" si="4"/>
        <v>Andres Mauricio Bolaños Guerrero</v>
      </c>
      <c r="V47" s="52" t="str">
        <f t="shared" si="5"/>
        <v>Andres Mauricio Bolaños Guerrero-1085340407-HUMANIZACION</v>
      </c>
    </row>
    <row r="48" spans="1:22" s="84" customFormat="1" x14ac:dyDescent="0.2">
      <c r="A48" s="105">
        <v>47</v>
      </c>
      <c r="B48" s="105">
        <v>5345724</v>
      </c>
      <c r="C48" s="111" t="s">
        <v>106</v>
      </c>
      <c r="D48" s="111" t="s">
        <v>95</v>
      </c>
      <c r="E48" s="111" t="s">
        <v>224</v>
      </c>
      <c r="F48" s="111" t="s">
        <v>225</v>
      </c>
      <c r="G48" s="112">
        <v>3</v>
      </c>
      <c r="H48" s="112" t="s">
        <v>181</v>
      </c>
      <c r="I48" s="105"/>
      <c r="J48" s="105"/>
      <c r="K48" s="105"/>
      <c r="L48" s="116" t="s">
        <v>86</v>
      </c>
      <c r="M48" s="116" t="s">
        <v>139</v>
      </c>
      <c r="N48" s="113" t="s">
        <v>33</v>
      </c>
      <c r="O48" s="105" t="s">
        <v>252</v>
      </c>
      <c r="P48" s="105" t="s">
        <v>253</v>
      </c>
      <c r="Q48" s="105">
        <v>3174861878</v>
      </c>
      <c r="R48" s="105" t="s">
        <v>267</v>
      </c>
      <c r="S48" s="52" t="str">
        <f>IF(N48=CURSOS!$D$3,"DIPLOMADO EN ATENCION PRE-HOSPITALARIA",IF(N48=CURSOS!$D$4,"ACOMPAÑAMIENTO Y MANEJO DEL DUELO",IF(N48=CURSOS!$D$5,"ATENCION A VICTIMAS DE ATAQUE CON AGENTES QUIMICOS ",IF(N48=CURSOS!$D$6,"PRIMEROS AUXILIOS ",IF(N48=CURSOS!$D$7,"DIPLOMADO DE UNIDAD DE CUIDADOS INTENSIVOS (UCI)",IF(N48=CURSOS!$D$8,"MODELO DE ATENCION PARA EVENTOS EMERGENTES EN SALUD MENTAL (CODIGO VERDE)",IF(N48=CURSOS!$D$9,"HUMANIZACION EN EL SERVICIO DE LA SALUD Y BUENAS PRACTICAS EN PACIENTE ",IF(N48=CURSOS!$D$10,"CLINICA DE HERIDAS ",IF(N48=CURSOS!$D$11,"TOMA DE CITOLOGIA CERVICO VAGINAL ",IF(N48=CURSOS!$D$12,"SOPORTE CARDIOVASCULAR AVANZADO (ACLS) ",IF(N48=CURSOS!$D$13,"CAMILLERO ",IF(N48=CURSOS!$D$14,"TOMA DE MUESTRAS Y LABORATORIO ",IF(N48=CURSOS!$D$15,"SOPORTE VITAL BASICO (BLS)",IF(N48=CURSOS!$D$16,"ATENCION A VICTIMAS DE VIOLENCIA SEXUAL ",IF(N48=CURSOS!$D$17,"PROGRAMADO AMPLIADO DE INMUNIZACION (PAI - COVID 19)",IF(N48=CURSOS!$D$18,"ATENCION INTEGRAL EN ENFERMEDADES PREVALENTES EN PRIMERA INFANCIA (AIEPI)",IF(N48=CURSOS!$D$19,"ADMINISTRACION DE MEDICAMENTOS, INYECTOLOGIA  Y CANALIZACION ",IF(N48=CURSOS!$D$20,"OPERADOR DE VEHICULOS DE EMERGENCIA (OVE)",IF(N48=CURSOS!$D$21,"INSTITUCIONES AMIGAS DE LA MUJER Y LA INFANCIA (IAMI)",IF(N48=CURSOS!$D$22,"CUIDADO DEL DONANTE DE ORGANOS",IF(N48=CURSOS!$D$23,"ATENCION A VICTIMAS POR VIOLENCIA DE GENERO",IF(N48=CURSOS!$D$24,"IGUALDAD DE GENERO EN LA SALUD",IF(N48=CURSOS!$D$25,"BRIGADA DE EMERGENCIA",IF(N48=CURSOS!$D$26,"MANEJO DEL DOLOR Y CUIDADOS PALIATIVOS",IF(N48=CURSOS!$D$27,"TOMA DE MUESTRAS Y LABORATORIO POCT",IF(N48=CURSOS!$D$28,"IMPLANTE SUBDERMICO DE DISPOSITIVO INTRAUTERINO",IF(N48=CURSOS!$D$29,"SALUD MENTAL",IF(N48=CURSOS!$D$30,"PRIMEROS AUXILIOS PSICOLOGICOS",IF(N48=CURSOS!$D$31,"ATENCION A VICTIMAS POR CONFLICTO ARMADO",IF(N48=CURSOS!$D$32,"MANIPULACION DE ALIMENTOS Y BPM",IF(N48=CURSOS!$D$33,"ATENCION A PERSONAS CON DISCAPACIDAD",IF(N48=CURSOS!$D$34,"CUIDADO INTEGRAL DEL PACIENTE ADULTO",IF(N48=CURSOS!$D$35,"MANEJO DEFENSIVO",IF(N48=CURSOS!$D$36,"SOPORTE CARDIOVASCULAR AVANZADO NEONATAL",IF(N48=CURSOS!$D$37,"SEGURIDAD DEL PACIENTE")))))))))))))))))))))))))))))))))))</f>
        <v xml:space="preserve">HUMANIZACION EN EL SERVICIO DE LA SALUD Y BUENAS PRACTICAS EN PACIENTE </v>
      </c>
      <c r="T48" s="52" t="str">
        <f t="shared" si="3"/>
        <v>Wilson Heraldo Molina Pantoja</v>
      </c>
      <c r="U48" s="52" t="str">
        <f t="shared" si="4"/>
        <v>Wilson Heraldo Molina Pantoja</v>
      </c>
      <c r="V48" s="52" t="str">
        <f t="shared" si="5"/>
        <v>Wilson Heraldo Molina Pantoja-5345724-HUMANIZACION</v>
      </c>
    </row>
    <row r="49" spans="1:22" s="84" customFormat="1" x14ac:dyDescent="0.2">
      <c r="A49" s="105">
        <v>48</v>
      </c>
      <c r="B49" s="105">
        <v>59831759</v>
      </c>
      <c r="C49" s="111" t="s">
        <v>127</v>
      </c>
      <c r="D49" s="111" t="s">
        <v>127</v>
      </c>
      <c r="E49" s="111" t="s">
        <v>228</v>
      </c>
      <c r="F49" s="111" t="s">
        <v>94</v>
      </c>
      <c r="G49" s="112">
        <v>3</v>
      </c>
      <c r="H49" s="112" t="s">
        <v>181</v>
      </c>
      <c r="I49" s="105"/>
      <c r="J49" s="105"/>
      <c r="K49" s="105"/>
      <c r="L49" s="116" t="s">
        <v>86</v>
      </c>
      <c r="M49" s="116" t="s">
        <v>139</v>
      </c>
      <c r="N49" s="113" t="s">
        <v>33</v>
      </c>
      <c r="O49" s="105" t="s">
        <v>251</v>
      </c>
      <c r="P49" s="105" t="s">
        <v>253</v>
      </c>
      <c r="Q49" s="105">
        <v>3013562673</v>
      </c>
      <c r="R49" s="105" t="s">
        <v>270</v>
      </c>
      <c r="S49" s="52" t="str">
        <f>IF(N49=CURSOS!$D$3,"DIPLOMADO EN ATENCION PRE-HOSPITALARIA",IF(N49=CURSOS!$D$4,"ACOMPAÑAMIENTO Y MANEJO DEL DUELO",IF(N49=CURSOS!$D$5,"ATENCION A VICTIMAS DE ATAQUE CON AGENTES QUIMICOS ",IF(N49=CURSOS!$D$6,"PRIMEROS AUXILIOS ",IF(N49=CURSOS!$D$7,"DIPLOMADO DE UNIDAD DE CUIDADOS INTENSIVOS (UCI)",IF(N49=CURSOS!$D$8,"MODELO DE ATENCION PARA EVENTOS EMERGENTES EN SALUD MENTAL (CODIGO VERDE)",IF(N49=CURSOS!$D$9,"HUMANIZACION EN EL SERVICIO DE LA SALUD Y BUENAS PRACTICAS EN PACIENTE ",IF(N49=CURSOS!$D$10,"CLINICA DE HERIDAS ",IF(N49=CURSOS!$D$11,"TOMA DE CITOLOGIA CERVICO VAGINAL ",IF(N49=CURSOS!$D$12,"SOPORTE CARDIOVASCULAR AVANZADO (ACLS) ",IF(N49=CURSOS!$D$13,"CAMILLERO ",IF(N49=CURSOS!$D$14,"TOMA DE MUESTRAS Y LABORATORIO ",IF(N49=CURSOS!$D$15,"SOPORTE VITAL BASICO (BLS)",IF(N49=CURSOS!$D$16,"ATENCION A VICTIMAS DE VIOLENCIA SEXUAL ",IF(N49=CURSOS!$D$17,"PROGRAMADO AMPLIADO DE INMUNIZACION (PAI - COVID 19)",IF(N49=CURSOS!$D$18,"ATENCION INTEGRAL EN ENFERMEDADES PREVALENTES EN PRIMERA INFANCIA (AIEPI)",IF(N49=CURSOS!$D$19,"ADMINISTRACION DE MEDICAMENTOS, INYECTOLOGIA  Y CANALIZACION ",IF(N49=CURSOS!$D$20,"OPERADOR DE VEHICULOS DE EMERGENCIA (OVE)",IF(N49=CURSOS!$D$21,"INSTITUCIONES AMIGAS DE LA MUJER Y LA INFANCIA (IAMI)",IF(N49=CURSOS!$D$22,"CUIDADO DEL DONANTE DE ORGANOS",IF(N49=CURSOS!$D$23,"ATENCION A VICTIMAS POR VIOLENCIA DE GENERO",IF(N49=CURSOS!$D$24,"IGUALDAD DE GENERO EN LA SALUD",IF(N49=CURSOS!$D$25,"BRIGADA DE EMERGENCIA",IF(N49=CURSOS!$D$26,"MANEJO DEL DOLOR Y CUIDADOS PALIATIVOS",IF(N49=CURSOS!$D$27,"TOMA DE MUESTRAS Y LABORATORIO POCT",IF(N49=CURSOS!$D$28,"IMPLANTE SUBDERMICO DE DISPOSITIVO INTRAUTERINO",IF(N49=CURSOS!$D$29,"SALUD MENTAL",IF(N49=CURSOS!$D$30,"PRIMEROS AUXILIOS PSICOLOGICOS",IF(N49=CURSOS!$D$31,"ATENCION A VICTIMAS POR CONFLICTO ARMADO",IF(N49=CURSOS!$D$32,"MANIPULACION DE ALIMENTOS Y BPM",IF(N49=CURSOS!$D$33,"ATENCION A PERSONAS CON DISCAPACIDAD",IF(N49=CURSOS!$D$34,"CUIDADO INTEGRAL DEL PACIENTE ADULTO",IF(N49=CURSOS!$D$35,"MANEJO DEFENSIVO",IF(N49=CURSOS!$D$36,"SOPORTE CARDIOVASCULAR AVANZADO NEONATAL",IF(N49=CURSOS!$D$37,"SEGURIDAD DEL PACIENTE")))))))))))))))))))))))))))))))))))</f>
        <v xml:space="preserve">HUMANIZACION EN EL SERVICIO DE LA SALUD Y BUENAS PRACTICAS EN PACIENTE </v>
      </c>
      <c r="T49" s="52" t="str">
        <f t="shared" si="3"/>
        <v>Luz Elena Cabrera Cabrera</v>
      </c>
      <c r="U49" s="52" t="str">
        <f t="shared" si="4"/>
        <v>Luz Elena Cabrera Cabrera</v>
      </c>
      <c r="V49" s="52" t="str">
        <f t="shared" si="5"/>
        <v>Luz Elena Cabrera Cabrera-59831759-HUMANIZACION</v>
      </c>
    </row>
    <row r="50" spans="1:22" s="84" customFormat="1" x14ac:dyDescent="0.2">
      <c r="A50" s="110">
        <v>49</v>
      </c>
      <c r="B50" s="105">
        <v>1085303752</v>
      </c>
      <c r="C50" s="111" t="s">
        <v>190</v>
      </c>
      <c r="D50" s="111" t="s">
        <v>191</v>
      </c>
      <c r="E50" s="111" t="s">
        <v>121</v>
      </c>
      <c r="F50" s="111" t="s">
        <v>149</v>
      </c>
      <c r="G50" s="112">
        <v>3</v>
      </c>
      <c r="H50" s="112" t="s">
        <v>181</v>
      </c>
      <c r="I50" s="105"/>
      <c r="J50" s="105"/>
      <c r="K50" s="105"/>
      <c r="L50" s="116" t="s">
        <v>86</v>
      </c>
      <c r="M50" s="116" t="s">
        <v>139</v>
      </c>
      <c r="N50" s="113" t="s">
        <v>33</v>
      </c>
      <c r="O50" s="105" t="s">
        <v>251</v>
      </c>
      <c r="P50" s="105" t="s">
        <v>253</v>
      </c>
      <c r="Q50" s="105">
        <v>3206158845</v>
      </c>
      <c r="R50" s="105" t="s">
        <v>273</v>
      </c>
      <c r="S50" s="52" t="str">
        <f>IF(N50=CURSOS!$D$3,"DIPLOMADO EN ATENCION PRE-HOSPITALARIA",IF(N50=CURSOS!$D$4,"ACOMPAÑAMIENTO Y MANEJO DEL DUELO",IF(N50=CURSOS!$D$5,"ATENCION A VICTIMAS DE ATAQUE CON AGENTES QUIMICOS ",IF(N50=CURSOS!$D$6,"PRIMEROS AUXILIOS ",IF(N50=CURSOS!$D$7,"DIPLOMADO DE UNIDAD DE CUIDADOS INTENSIVOS (UCI)",IF(N50=CURSOS!$D$8,"MODELO DE ATENCION PARA EVENTOS EMERGENTES EN SALUD MENTAL (CODIGO VERDE)",IF(N50=CURSOS!$D$9,"HUMANIZACION EN EL SERVICIO DE LA SALUD Y BUENAS PRACTICAS EN PACIENTE ",IF(N50=CURSOS!$D$10,"CLINICA DE HERIDAS ",IF(N50=CURSOS!$D$11,"TOMA DE CITOLOGIA CERVICO VAGINAL ",IF(N50=CURSOS!$D$12,"SOPORTE CARDIOVASCULAR AVANZADO (ACLS) ",IF(N50=CURSOS!$D$13,"CAMILLERO ",IF(N50=CURSOS!$D$14,"TOMA DE MUESTRAS Y LABORATORIO ",IF(N50=CURSOS!$D$15,"SOPORTE VITAL BASICO (BLS)",IF(N50=CURSOS!$D$16,"ATENCION A VICTIMAS DE VIOLENCIA SEXUAL ",IF(N50=CURSOS!$D$17,"PROGRAMADO AMPLIADO DE INMUNIZACION (PAI - COVID 19)",IF(N50=CURSOS!$D$18,"ATENCION INTEGRAL EN ENFERMEDADES PREVALENTES EN PRIMERA INFANCIA (AIEPI)",IF(N50=CURSOS!$D$19,"ADMINISTRACION DE MEDICAMENTOS, INYECTOLOGIA  Y CANALIZACION ",IF(N50=CURSOS!$D$20,"OPERADOR DE VEHICULOS DE EMERGENCIA (OVE)",IF(N50=CURSOS!$D$21,"INSTITUCIONES AMIGAS DE LA MUJER Y LA INFANCIA (IAMI)",IF(N50=CURSOS!$D$22,"CUIDADO DEL DONANTE DE ORGANOS",IF(N50=CURSOS!$D$23,"ATENCION A VICTIMAS POR VIOLENCIA DE GENERO",IF(N50=CURSOS!$D$24,"IGUALDAD DE GENERO EN LA SALUD",IF(N50=CURSOS!$D$25,"BRIGADA DE EMERGENCIA",IF(N50=CURSOS!$D$26,"MANEJO DEL DOLOR Y CUIDADOS PALIATIVOS",IF(N50=CURSOS!$D$27,"TOMA DE MUESTRAS Y LABORATORIO POCT",IF(N50=CURSOS!$D$28,"IMPLANTE SUBDERMICO DE DISPOSITIVO INTRAUTERINO",IF(N50=CURSOS!$D$29,"SALUD MENTAL",IF(N50=CURSOS!$D$30,"PRIMEROS AUXILIOS PSICOLOGICOS",IF(N50=CURSOS!$D$31,"ATENCION A VICTIMAS POR CONFLICTO ARMADO",IF(N50=CURSOS!$D$32,"MANIPULACION DE ALIMENTOS Y BPM",IF(N50=CURSOS!$D$33,"ATENCION A PERSONAS CON DISCAPACIDAD",IF(N50=CURSOS!$D$34,"CUIDADO INTEGRAL DEL PACIENTE ADULTO",IF(N50=CURSOS!$D$35,"MANEJO DEFENSIVO",IF(N50=CURSOS!$D$36,"SOPORTE CARDIOVASCULAR AVANZADO NEONATAL",IF(N50=CURSOS!$D$37,"SEGURIDAD DEL PACIENTE")))))))))))))))))))))))))))))))))))</f>
        <v xml:space="preserve">HUMANIZACION EN EL SERVICIO DE LA SALUD Y BUENAS PRACTICAS EN PACIENTE </v>
      </c>
      <c r="T50" s="52" t="str">
        <f t="shared" si="3"/>
        <v>Katherine Viviana Jurado Pasaje</v>
      </c>
      <c r="U50" s="52" t="str">
        <f t="shared" si="4"/>
        <v>Katherine Viviana Jurado Pasaje</v>
      </c>
      <c r="V50" s="52" t="str">
        <f t="shared" si="5"/>
        <v>Katherine Viviana Jurado Pasaje-1085303752-HUMANIZACION</v>
      </c>
    </row>
    <row r="51" spans="1:22" s="84" customFormat="1" x14ac:dyDescent="0.2">
      <c r="A51" s="105">
        <v>50</v>
      </c>
      <c r="B51" s="105">
        <v>1086500343</v>
      </c>
      <c r="C51" s="111" t="s">
        <v>152</v>
      </c>
      <c r="D51" s="111" t="s">
        <v>192</v>
      </c>
      <c r="E51" s="111" t="s">
        <v>141</v>
      </c>
      <c r="F51" s="111" t="s">
        <v>151</v>
      </c>
      <c r="G51" s="112">
        <v>3</v>
      </c>
      <c r="H51" s="112" t="s">
        <v>181</v>
      </c>
      <c r="I51" s="105"/>
      <c r="J51" s="105"/>
      <c r="K51" s="105"/>
      <c r="L51" s="116" t="s">
        <v>86</v>
      </c>
      <c r="M51" s="116" t="s">
        <v>139</v>
      </c>
      <c r="N51" s="113" t="s">
        <v>33</v>
      </c>
      <c r="O51" s="105" t="s">
        <v>251</v>
      </c>
      <c r="P51" s="105" t="s">
        <v>253</v>
      </c>
      <c r="Q51" s="105">
        <v>3183078085</v>
      </c>
      <c r="R51" s="105" t="s">
        <v>274</v>
      </c>
      <c r="S51" s="52" t="str">
        <f>IF(N51=CURSOS!$D$3,"DIPLOMADO EN ATENCION PRE-HOSPITALARIA",IF(N51=CURSOS!$D$4,"ACOMPAÑAMIENTO Y MANEJO DEL DUELO",IF(N51=CURSOS!$D$5,"ATENCION A VICTIMAS DE ATAQUE CON AGENTES QUIMICOS ",IF(N51=CURSOS!$D$6,"PRIMEROS AUXILIOS ",IF(N51=CURSOS!$D$7,"DIPLOMADO DE UNIDAD DE CUIDADOS INTENSIVOS (UCI)",IF(N51=CURSOS!$D$8,"MODELO DE ATENCION PARA EVENTOS EMERGENTES EN SALUD MENTAL (CODIGO VERDE)",IF(N51=CURSOS!$D$9,"HUMANIZACION EN EL SERVICIO DE LA SALUD Y BUENAS PRACTICAS EN PACIENTE ",IF(N51=CURSOS!$D$10,"CLINICA DE HERIDAS ",IF(N51=CURSOS!$D$11,"TOMA DE CITOLOGIA CERVICO VAGINAL ",IF(N51=CURSOS!$D$12,"SOPORTE CARDIOVASCULAR AVANZADO (ACLS) ",IF(N51=CURSOS!$D$13,"CAMILLERO ",IF(N51=CURSOS!$D$14,"TOMA DE MUESTRAS Y LABORATORIO ",IF(N51=CURSOS!$D$15,"SOPORTE VITAL BASICO (BLS)",IF(N51=CURSOS!$D$16,"ATENCION A VICTIMAS DE VIOLENCIA SEXUAL ",IF(N51=CURSOS!$D$17,"PROGRAMADO AMPLIADO DE INMUNIZACION (PAI - COVID 19)",IF(N51=CURSOS!$D$18,"ATENCION INTEGRAL EN ENFERMEDADES PREVALENTES EN PRIMERA INFANCIA (AIEPI)",IF(N51=CURSOS!$D$19,"ADMINISTRACION DE MEDICAMENTOS, INYECTOLOGIA  Y CANALIZACION ",IF(N51=CURSOS!$D$20,"OPERADOR DE VEHICULOS DE EMERGENCIA (OVE)",IF(N51=CURSOS!$D$21,"INSTITUCIONES AMIGAS DE LA MUJER Y LA INFANCIA (IAMI)",IF(N51=CURSOS!$D$22,"CUIDADO DEL DONANTE DE ORGANOS",IF(N51=CURSOS!$D$23,"ATENCION A VICTIMAS POR VIOLENCIA DE GENERO",IF(N51=CURSOS!$D$24,"IGUALDAD DE GENERO EN LA SALUD",IF(N51=CURSOS!$D$25,"BRIGADA DE EMERGENCIA",IF(N51=CURSOS!$D$26,"MANEJO DEL DOLOR Y CUIDADOS PALIATIVOS",IF(N51=CURSOS!$D$27,"TOMA DE MUESTRAS Y LABORATORIO POCT",IF(N51=CURSOS!$D$28,"IMPLANTE SUBDERMICO DE DISPOSITIVO INTRAUTERINO",IF(N51=CURSOS!$D$29,"SALUD MENTAL",IF(N51=CURSOS!$D$30,"PRIMEROS AUXILIOS PSICOLOGICOS",IF(N51=CURSOS!$D$31,"ATENCION A VICTIMAS POR CONFLICTO ARMADO",IF(N51=CURSOS!$D$32,"MANIPULACION DE ALIMENTOS Y BPM",IF(N51=CURSOS!$D$33,"ATENCION A PERSONAS CON DISCAPACIDAD",IF(N51=CURSOS!$D$34,"CUIDADO INTEGRAL DEL PACIENTE ADULTO",IF(N51=CURSOS!$D$35,"MANEJO DEFENSIVO",IF(N51=CURSOS!$D$36,"SOPORTE CARDIOVASCULAR AVANZADO NEONATAL",IF(N51=CURSOS!$D$37,"SEGURIDAD DEL PACIENTE")))))))))))))))))))))))))))))))))))</f>
        <v xml:space="preserve">HUMANIZACION EN EL SERVICIO DE LA SALUD Y BUENAS PRACTICAS EN PACIENTE </v>
      </c>
      <c r="T51" s="52" t="str">
        <f t="shared" si="3"/>
        <v>Yolanda Marisol Urbano Ipiales</v>
      </c>
      <c r="U51" s="52" t="str">
        <f t="shared" si="4"/>
        <v>Yolanda Marisol Urbano Ipiales</v>
      </c>
      <c r="V51" s="52" t="str">
        <f t="shared" si="5"/>
        <v>Yolanda Marisol Urbano Ipiales-1086500343-HUMANIZACION</v>
      </c>
    </row>
    <row r="52" spans="1:22" s="84" customFormat="1" x14ac:dyDescent="0.2">
      <c r="A52" s="110">
        <v>51</v>
      </c>
      <c r="B52" s="105">
        <v>1088729515</v>
      </c>
      <c r="C52" s="114" t="s">
        <v>177</v>
      </c>
      <c r="D52" s="114" t="s">
        <v>177</v>
      </c>
      <c r="E52" s="114" t="s">
        <v>231</v>
      </c>
      <c r="F52" s="114" t="s">
        <v>88</v>
      </c>
      <c r="G52" s="112">
        <v>3</v>
      </c>
      <c r="H52" s="112" t="s">
        <v>181</v>
      </c>
      <c r="I52" s="105"/>
      <c r="J52" s="105"/>
      <c r="K52" s="105"/>
      <c r="L52" s="116" t="s">
        <v>86</v>
      </c>
      <c r="M52" s="116" t="s">
        <v>139</v>
      </c>
      <c r="N52" s="113" t="s">
        <v>33</v>
      </c>
      <c r="O52" s="105" t="s">
        <v>251</v>
      </c>
      <c r="P52" s="105" t="s">
        <v>258</v>
      </c>
      <c r="Q52" s="105">
        <v>3127916338</v>
      </c>
      <c r="R52" s="105" t="s">
        <v>280</v>
      </c>
      <c r="S52" s="52" t="str">
        <f>IF(N52=CURSOS!$D$3,"DIPLOMADO EN ATENCION PRE-HOSPITALARIA",IF(N52=CURSOS!$D$4,"ACOMPAÑAMIENTO Y MANEJO DEL DUELO",IF(N52=CURSOS!$D$5,"ATENCION A VICTIMAS DE ATAQUE CON AGENTES QUIMICOS ",IF(N52=CURSOS!$D$6,"PRIMEROS AUXILIOS ",IF(N52=CURSOS!$D$7,"DIPLOMADO DE UNIDAD DE CUIDADOS INTENSIVOS (UCI)",IF(N52=CURSOS!$D$8,"MODELO DE ATENCION PARA EVENTOS EMERGENTES EN SALUD MENTAL (CODIGO VERDE)",IF(N52=CURSOS!$D$9,"HUMANIZACION EN EL SERVICIO DE LA SALUD Y BUENAS PRACTICAS EN PACIENTE ",IF(N52=CURSOS!$D$10,"CLINICA DE HERIDAS ",IF(N52=CURSOS!$D$11,"TOMA DE CITOLOGIA CERVICO VAGINAL ",IF(N52=CURSOS!$D$12,"SOPORTE CARDIOVASCULAR AVANZADO (ACLS) ",IF(N52=CURSOS!$D$13,"CAMILLERO ",IF(N52=CURSOS!$D$14,"TOMA DE MUESTRAS Y LABORATORIO ",IF(N52=CURSOS!$D$15,"SOPORTE VITAL BASICO (BLS)",IF(N52=CURSOS!$D$16,"ATENCION A VICTIMAS DE VIOLENCIA SEXUAL ",IF(N52=CURSOS!$D$17,"PROGRAMADO AMPLIADO DE INMUNIZACION (PAI - COVID 19)",IF(N52=CURSOS!$D$18,"ATENCION INTEGRAL EN ENFERMEDADES PREVALENTES EN PRIMERA INFANCIA (AIEPI)",IF(N52=CURSOS!$D$19,"ADMINISTRACION DE MEDICAMENTOS, INYECTOLOGIA  Y CANALIZACION ",IF(N52=CURSOS!$D$20,"OPERADOR DE VEHICULOS DE EMERGENCIA (OVE)",IF(N52=CURSOS!$D$21,"INSTITUCIONES AMIGAS DE LA MUJER Y LA INFANCIA (IAMI)",IF(N52=CURSOS!$D$22,"CUIDADO DEL DONANTE DE ORGANOS",IF(N52=CURSOS!$D$23,"ATENCION A VICTIMAS POR VIOLENCIA DE GENERO",IF(N52=CURSOS!$D$24,"IGUALDAD DE GENERO EN LA SALUD",IF(N52=CURSOS!$D$25,"BRIGADA DE EMERGENCIA",IF(N52=CURSOS!$D$26,"MANEJO DEL DOLOR Y CUIDADOS PALIATIVOS",IF(N52=CURSOS!$D$27,"TOMA DE MUESTRAS Y LABORATORIO POCT",IF(N52=CURSOS!$D$28,"IMPLANTE SUBDERMICO DE DISPOSITIVO INTRAUTERINO",IF(N52=CURSOS!$D$29,"SALUD MENTAL",IF(N52=CURSOS!$D$30,"PRIMEROS AUXILIOS PSICOLOGICOS",IF(N52=CURSOS!$D$31,"ATENCION A VICTIMAS POR CONFLICTO ARMADO",IF(N52=CURSOS!$D$32,"MANIPULACION DE ALIMENTOS Y BPM",IF(N52=CURSOS!$D$33,"ATENCION A PERSONAS CON DISCAPACIDAD",IF(N52=CURSOS!$D$34,"CUIDADO INTEGRAL DEL PACIENTE ADULTO",IF(N52=CURSOS!$D$35,"MANEJO DEFENSIVO",IF(N52=CURSOS!$D$36,"SOPORTE CARDIOVASCULAR AVANZADO NEONATAL",IF(N52=CURSOS!$D$37,"SEGURIDAD DEL PACIENTE")))))))))))))))))))))))))))))))))))</f>
        <v xml:space="preserve">HUMANIZACION EN EL SERVICIO DE LA SALUD Y BUENAS PRACTICAS EN PACIENTE </v>
      </c>
      <c r="T52" s="52" t="str">
        <f t="shared" si="3"/>
        <v>Mayerli Del Carmen Salazar Salazar</v>
      </c>
      <c r="U52" s="52" t="str">
        <f t="shared" si="4"/>
        <v>Mayerli Del Carmen Salazar Salazar</v>
      </c>
      <c r="V52" s="52" t="str">
        <f t="shared" si="5"/>
        <v>Mayerli Del Carmen Salazar Salazar-1088729515-HUMANIZACION</v>
      </c>
    </row>
    <row r="53" spans="1:22" s="84" customFormat="1" x14ac:dyDescent="0.2">
      <c r="A53" s="105">
        <v>52</v>
      </c>
      <c r="B53" s="105">
        <v>1080690662</v>
      </c>
      <c r="C53" s="111" t="s">
        <v>200</v>
      </c>
      <c r="D53" s="111" t="s">
        <v>85</v>
      </c>
      <c r="E53" s="111" t="s">
        <v>235</v>
      </c>
      <c r="F53" s="111" t="s">
        <v>133</v>
      </c>
      <c r="G53" s="112">
        <v>3</v>
      </c>
      <c r="H53" s="112" t="s">
        <v>181</v>
      </c>
      <c r="I53" s="105"/>
      <c r="J53" s="105"/>
      <c r="K53" s="105"/>
      <c r="L53" s="116" t="s">
        <v>86</v>
      </c>
      <c r="M53" s="116" t="s">
        <v>139</v>
      </c>
      <c r="N53" s="113" t="s">
        <v>33</v>
      </c>
      <c r="O53" s="105" t="s">
        <v>251</v>
      </c>
      <c r="P53" s="105" t="s">
        <v>254</v>
      </c>
      <c r="Q53" s="105">
        <v>3115295072</v>
      </c>
      <c r="R53" s="105" t="s">
        <v>283</v>
      </c>
      <c r="S53" s="52" t="str">
        <f>IF(N53=CURSOS!$D$3,"DIPLOMADO EN ATENCION PRE-HOSPITALARIA",IF(N53=CURSOS!$D$4,"ACOMPAÑAMIENTO Y MANEJO DEL DUELO",IF(N53=CURSOS!$D$5,"ATENCION A VICTIMAS DE ATAQUE CON AGENTES QUIMICOS ",IF(N53=CURSOS!$D$6,"PRIMEROS AUXILIOS ",IF(N53=CURSOS!$D$7,"DIPLOMADO DE UNIDAD DE CUIDADOS INTENSIVOS (UCI)",IF(N53=CURSOS!$D$8,"MODELO DE ATENCION PARA EVENTOS EMERGENTES EN SALUD MENTAL (CODIGO VERDE)",IF(N53=CURSOS!$D$9,"HUMANIZACION EN EL SERVICIO DE LA SALUD Y BUENAS PRACTICAS EN PACIENTE ",IF(N53=CURSOS!$D$10,"CLINICA DE HERIDAS ",IF(N53=CURSOS!$D$11,"TOMA DE CITOLOGIA CERVICO VAGINAL ",IF(N53=CURSOS!$D$12,"SOPORTE CARDIOVASCULAR AVANZADO (ACLS) ",IF(N53=CURSOS!$D$13,"CAMILLERO ",IF(N53=CURSOS!$D$14,"TOMA DE MUESTRAS Y LABORATORIO ",IF(N53=CURSOS!$D$15,"SOPORTE VITAL BASICO (BLS)",IF(N53=CURSOS!$D$16,"ATENCION A VICTIMAS DE VIOLENCIA SEXUAL ",IF(N53=CURSOS!$D$17,"PROGRAMADO AMPLIADO DE INMUNIZACION (PAI - COVID 19)",IF(N53=CURSOS!$D$18,"ATENCION INTEGRAL EN ENFERMEDADES PREVALENTES EN PRIMERA INFANCIA (AIEPI)",IF(N53=CURSOS!$D$19,"ADMINISTRACION DE MEDICAMENTOS, INYECTOLOGIA  Y CANALIZACION ",IF(N53=CURSOS!$D$20,"OPERADOR DE VEHICULOS DE EMERGENCIA (OVE)",IF(N53=CURSOS!$D$21,"INSTITUCIONES AMIGAS DE LA MUJER Y LA INFANCIA (IAMI)",IF(N53=CURSOS!$D$22,"CUIDADO DEL DONANTE DE ORGANOS",IF(N53=CURSOS!$D$23,"ATENCION A VICTIMAS POR VIOLENCIA DE GENERO",IF(N53=CURSOS!$D$24,"IGUALDAD DE GENERO EN LA SALUD",IF(N53=CURSOS!$D$25,"BRIGADA DE EMERGENCIA",IF(N53=CURSOS!$D$26,"MANEJO DEL DOLOR Y CUIDADOS PALIATIVOS",IF(N53=CURSOS!$D$27,"TOMA DE MUESTRAS Y LABORATORIO POCT",IF(N53=CURSOS!$D$28,"IMPLANTE SUBDERMICO DE DISPOSITIVO INTRAUTERINO",IF(N53=CURSOS!$D$29,"SALUD MENTAL",IF(N53=CURSOS!$D$30,"PRIMEROS AUXILIOS PSICOLOGICOS",IF(N53=CURSOS!$D$31,"ATENCION A VICTIMAS POR CONFLICTO ARMADO",IF(N53=CURSOS!$D$32,"MANIPULACION DE ALIMENTOS Y BPM",IF(N53=CURSOS!$D$33,"ATENCION A PERSONAS CON DISCAPACIDAD",IF(N53=CURSOS!$D$34,"CUIDADO INTEGRAL DEL PACIENTE ADULTO",IF(N53=CURSOS!$D$35,"MANEJO DEFENSIVO",IF(N53=CURSOS!$D$36,"SOPORTE CARDIOVASCULAR AVANZADO NEONATAL",IF(N53=CURSOS!$D$37,"SEGURIDAD DEL PACIENTE")))))))))))))))))))))))))))))))))))</f>
        <v xml:space="preserve">HUMANIZACION EN EL SERVICIO DE LA SALUD Y BUENAS PRACTICAS EN PACIENTE </v>
      </c>
      <c r="T53" s="52" t="str">
        <f t="shared" si="3"/>
        <v>Jessica Paola Aza Burbano</v>
      </c>
      <c r="U53" s="52" t="str">
        <f t="shared" si="4"/>
        <v>Jessica Paola Aza Burbano</v>
      </c>
      <c r="V53" s="52" t="str">
        <f t="shared" si="5"/>
        <v>Jessica Paola Aza Burbano-1080690662-HUMANIZACION</v>
      </c>
    </row>
    <row r="54" spans="1:22" s="84" customFormat="1" x14ac:dyDescent="0.2">
      <c r="A54" s="105">
        <v>53</v>
      </c>
      <c r="B54" s="105">
        <v>12978739</v>
      </c>
      <c r="C54" s="111" t="s">
        <v>105</v>
      </c>
      <c r="D54" s="111" t="s">
        <v>201</v>
      </c>
      <c r="E54" s="111" t="s">
        <v>101</v>
      </c>
      <c r="F54" s="111" t="s">
        <v>155</v>
      </c>
      <c r="G54" s="112">
        <v>3</v>
      </c>
      <c r="H54" s="112" t="s">
        <v>181</v>
      </c>
      <c r="I54" s="105"/>
      <c r="J54" s="105"/>
      <c r="K54" s="105"/>
      <c r="L54" s="116" t="s">
        <v>86</v>
      </c>
      <c r="M54" s="116" t="s">
        <v>139</v>
      </c>
      <c r="N54" s="113" t="s">
        <v>33</v>
      </c>
      <c r="O54" s="105" t="s">
        <v>252</v>
      </c>
      <c r="P54" s="105" t="s">
        <v>255</v>
      </c>
      <c r="Q54" s="105">
        <v>3165069069</v>
      </c>
      <c r="R54" s="105" t="s">
        <v>284</v>
      </c>
      <c r="S54" s="52" t="str">
        <f>IF(N54=CURSOS!$D$3,"DIPLOMADO EN ATENCION PRE-HOSPITALARIA",IF(N54=CURSOS!$D$4,"ACOMPAÑAMIENTO Y MANEJO DEL DUELO",IF(N54=CURSOS!$D$5,"ATENCION A VICTIMAS DE ATAQUE CON AGENTES QUIMICOS ",IF(N54=CURSOS!$D$6,"PRIMEROS AUXILIOS ",IF(N54=CURSOS!$D$7,"DIPLOMADO DE UNIDAD DE CUIDADOS INTENSIVOS (UCI)",IF(N54=CURSOS!$D$8,"MODELO DE ATENCION PARA EVENTOS EMERGENTES EN SALUD MENTAL (CODIGO VERDE)",IF(N54=CURSOS!$D$9,"HUMANIZACION EN EL SERVICIO DE LA SALUD Y BUENAS PRACTICAS EN PACIENTE ",IF(N54=CURSOS!$D$10,"CLINICA DE HERIDAS ",IF(N54=CURSOS!$D$11,"TOMA DE CITOLOGIA CERVICO VAGINAL ",IF(N54=CURSOS!$D$12,"SOPORTE CARDIOVASCULAR AVANZADO (ACLS) ",IF(N54=CURSOS!$D$13,"CAMILLERO ",IF(N54=CURSOS!$D$14,"TOMA DE MUESTRAS Y LABORATORIO ",IF(N54=CURSOS!$D$15,"SOPORTE VITAL BASICO (BLS)",IF(N54=CURSOS!$D$16,"ATENCION A VICTIMAS DE VIOLENCIA SEXUAL ",IF(N54=CURSOS!$D$17,"PROGRAMADO AMPLIADO DE INMUNIZACION (PAI - COVID 19)",IF(N54=CURSOS!$D$18,"ATENCION INTEGRAL EN ENFERMEDADES PREVALENTES EN PRIMERA INFANCIA (AIEPI)",IF(N54=CURSOS!$D$19,"ADMINISTRACION DE MEDICAMENTOS, INYECTOLOGIA  Y CANALIZACION ",IF(N54=CURSOS!$D$20,"OPERADOR DE VEHICULOS DE EMERGENCIA (OVE)",IF(N54=CURSOS!$D$21,"INSTITUCIONES AMIGAS DE LA MUJER Y LA INFANCIA (IAMI)",IF(N54=CURSOS!$D$22,"CUIDADO DEL DONANTE DE ORGANOS",IF(N54=CURSOS!$D$23,"ATENCION A VICTIMAS POR VIOLENCIA DE GENERO",IF(N54=CURSOS!$D$24,"IGUALDAD DE GENERO EN LA SALUD",IF(N54=CURSOS!$D$25,"BRIGADA DE EMERGENCIA",IF(N54=CURSOS!$D$26,"MANEJO DEL DOLOR Y CUIDADOS PALIATIVOS",IF(N54=CURSOS!$D$27,"TOMA DE MUESTRAS Y LABORATORIO POCT",IF(N54=CURSOS!$D$28,"IMPLANTE SUBDERMICO DE DISPOSITIVO INTRAUTERINO",IF(N54=CURSOS!$D$29,"SALUD MENTAL",IF(N54=CURSOS!$D$30,"PRIMEROS AUXILIOS PSICOLOGICOS",IF(N54=CURSOS!$D$31,"ATENCION A VICTIMAS POR CONFLICTO ARMADO",IF(N54=CURSOS!$D$32,"MANIPULACION DE ALIMENTOS Y BPM",IF(N54=CURSOS!$D$33,"ATENCION A PERSONAS CON DISCAPACIDAD",IF(N54=CURSOS!$D$34,"CUIDADO INTEGRAL DEL PACIENTE ADULTO",IF(N54=CURSOS!$D$35,"MANEJO DEFENSIVO",IF(N54=CURSOS!$D$36,"SOPORTE CARDIOVASCULAR AVANZADO NEONATAL",IF(N54=CURSOS!$D$37,"SEGURIDAD DEL PACIENTE")))))))))))))))))))))))))))))))))))</f>
        <v xml:space="preserve">HUMANIZACION EN EL SERVICIO DE LA SALUD Y BUENAS PRACTICAS EN PACIENTE </v>
      </c>
      <c r="T54" s="52" t="str">
        <f t="shared" si="3"/>
        <v>Luis Alberto Lopez Yanguatin</v>
      </c>
      <c r="U54" s="52" t="str">
        <f t="shared" si="4"/>
        <v>Luis Alberto Lopez Yanguatin</v>
      </c>
      <c r="V54" s="52" t="str">
        <f t="shared" si="5"/>
        <v>Luis Alberto Lopez Yanguatin-12978739-HUMANIZACION</v>
      </c>
    </row>
    <row r="55" spans="1:22" s="84" customFormat="1" x14ac:dyDescent="0.2">
      <c r="A55" s="105">
        <v>54</v>
      </c>
      <c r="B55" s="105">
        <v>27088375</v>
      </c>
      <c r="C55" s="111" t="s">
        <v>118</v>
      </c>
      <c r="D55" s="111" t="s">
        <v>96</v>
      </c>
      <c r="E55" s="111" t="s">
        <v>116</v>
      </c>
      <c r="F55" s="111" t="s">
        <v>238</v>
      </c>
      <c r="G55" s="112">
        <v>3</v>
      </c>
      <c r="H55" s="112" t="s">
        <v>181</v>
      </c>
      <c r="I55" s="105"/>
      <c r="J55" s="105"/>
      <c r="K55" s="105"/>
      <c r="L55" s="116" t="s">
        <v>86</v>
      </c>
      <c r="M55" s="116" t="s">
        <v>139</v>
      </c>
      <c r="N55" s="113" t="s">
        <v>33</v>
      </c>
      <c r="O55" s="105" t="s">
        <v>251</v>
      </c>
      <c r="P55" s="105" t="s">
        <v>257</v>
      </c>
      <c r="Q55" s="105">
        <v>3225770264</v>
      </c>
      <c r="R55" s="105" t="s">
        <v>288</v>
      </c>
      <c r="S55" s="52" t="str">
        <f>IF(N55=CURSOS!$D$3,"DIPLOMADO EN ATENCION PRE-HOSPITALARIA",IF(N55=CURSOS!$D$4,"ACOMPAÑAMIENTO Y MANEJO DEL DUELO",IF(N55=CURSOS!$D$5,"ATENCION A VICTIMAS DE ATAQUE CON AGENTES QUIMICOS ",IF(N55=CURSOS!$D$6,"PRIMEROS AUXILIOS ",IF(N55=CURSOS!$D$7,"DIPLOMADO DE UNIDAD DE CUIDADOS INTENSIVOS (UCI)",IF(N55=CURSOS!$D$8,"MODELO DE ATENCION PARA EVENTOS EMERGENTES EN SALUD MENTAL (CODIGO VERDE)",IF(N55=CURSOS!$D$9,"HUMANIZACION EN EL SERVICIO DE LA SALUD Y BUENAS PRACTICAS EN PACIENTE ",IF(N55=CURSOS!$D$10,"CLINICA DE HERIDAS ",IF(N55=CURSOS!$D$11,"TOMA DE CITOLOGIA CERVICO VAGINAL ",IF(N55=CURSOS!$D$12,"SOPORTE CARDIOVASCULAR AVANZADO (ACLS) ",IF(N55=CURSOS!$D$13,"CAMILLERO ",IF(N55=CURSOS!$D$14,"TOMA DE MUESTRAS Y LABORATORIO ",IF(N55=CURSOS!$D$15,"SOPORTE VITAL BASICO (BLS)",IF(N55=CURSOS!$D$16,"ATENCION A VICTIMAS DE VIOLENCIA SEXUAL ",IF(N55=CURSOS!$D$17,"PROGRAMADO AMPLIADO DE INMUNIZACION (PAI - COVID 19)",IF(N55=CURSOS!$D$18,"ATENCION INTEGRAL EN ENFERMEDADES PREVALENTES EN PRIMERA INFANCIA (AIEPI)",IF(N55=CURSOS!$D$19,"ADMINISTRACION DE MEDICAMENTOS, INYECTOLOGIA  Y CANALIZACION ",IF(N55=CURSOS!$D$20,"OPERADOR DE VEHICULOS DE EMERGENCIA (OVE)",IF(N55=CURSOS!$D$21,"INSTITUCIONES AMIGAS DE LA MUJER Y LA INFANCIA (IAMI)",IF(N55=CURSOS!$D$22,"CUIDADO DEL DONANTE DE ORGANOS",IF(N55=CURSOS!$D$23,"ATENCION A VICTIMAS POR VIOLENCIA DE GENERO",IF(N55=CURSOS!$D$24,"IGUALDAD DE GENERO EN LA SALUD",IF(N55=CURSOS!$D$25,"BRIGADA DE EMERGENCIA",IF(N55=CURSOS!$D$26,"MANEJO DEL DOLOR Y CUIDADOS PALIATIVOS",IF(N55=CURSOS!$D$27,"TOMA DE MUESTRAS Y LABORATORIO POCT",IF(N55=CURSOS!$D$28,"IMPLANTE SUBDERMICO DE DISPOSITIVO INTRAUTERINO",IF(N55=CURSOS!$D$29,"SALUD MENTAL",IF(N55=CURSOS!$D$30,"PRIMEROS AUXILIOS PSICOLOGICOS",IF(N55=CURSOS!$D$31,"ATENCION A VICTIMAS POR CONFLICTO ARMADO",IF(N55=CURSOS!$D$32,"MANIPULACION DE ALIMENTOS Y BPM",IF(N55=CURSOS!$D$33,"ATENCION A PERSONAS CON DISCAPACIDAD",IF(N55=CURSOS!$D$34,"CUIDADO INTEGRAL DEL PACIENTE ADULTO",IF(N55=CURSOS!$D$35,"MANEJO DEFENSIVO",IF(N55=CURSOS!$D$36,"SOPORTE CARDIOVASCULAR AVANZADO NEONATAL",IF(N55=CURSOS!$D$37,"SEGURIDAD DEL PACIENTE")))))))))))))))))))))))))))))))))))</f>
        <v xml:space="preserve">HUMANIZACION EN EL SERVICIO DE LA SALUD Y BUENAS PRACTICAS EN PACIENTE </v>
      </c>
      <c r="T55" s="52" t="str">
        <f t="shared" si="3"/>
        <v>Andrea Yaqueline Castro Benavides</v>
      </c>
      <c r="U55" s="52" t="str">
        <f t="shared" si="4"/>
        <v>Andrea Yaqueline Castro Benavides</v>
      </c>
      <c r="V55" s="52" t="str">
        <f t="shared" si="5"/>
        <v>Andrea Yaqueline Castro Benavides-27088375-HUMANIZACION</v>
      </c>
    </row>
    <row r="56" spans="1:22" s="84" customFormat="1" x14ac:dyDescent="0.2">
      <c r="A56" s="110">
        <v>55</v>
      </c>
      <c r="B56" s="105">
        <v>59176411</v>
      </c>
      <c r="C56" s="111" t="s">
        <v>135</v>
      </c>
      <c r="D56" s="111" t="s">
        <v>124</v>
      </c>
      <c r="E56" s="111" t="s">
        <v>161</v>
      </c>
      <c r="F56" s="111" t="s">
        <v>134</v>
      </c>
      <c r="G56" s="112">
        <v>3</v>
      </c>
      <c r="H56" s="112" t="s">
        <v>181</v>
      </c>
      <c r="I56" s="105"/>
      <c r="J56" s="105"/>
      <c r="K56" s="105"/>
      <c r="L56" s="116" t="s">
        <v>86</v>
      </c>
      <c r="M56" s="116" t="s">
        <v>139</v>
      </c>
      <c r="N56" s="113" t="s">
        <v>33</v>
      </c>
      <c r="O56" s="105" t="s">
        <v>251</v>
      </c>
      <c r="P56" s="105" t="s">
        <v>257</v>
      </c>
      <c r="Q56" s="105">
        <v>3136840862</v>
      </c>
      <c r="R56" s="105" t="s">
        <v>291</v>
      </c>
      <c r="S56" s="52" t="str">
        <f>IF(N56=CURSOS!$D$3,"DIPLOMADO EN ATENCION PRE-HOSPITALARIA",IF(N56=CURSOS!$D$4,"ACOMPAÑAMIENTO Y MANEJO DEL DUELO",IF(N56=CURSOS!$D$5,"ATENCION A VICTIMAS DE ATAQUE CON AGENTES QUIMICOS ",IF(N56=CURSOS!$D$6,"PRIMEROS AUXILIOS ",IF(N56=CURSOS!$D$7,"DIPLOMADO DE UNIDAD DE CUIDADOS INTENSIVOS (UCI)",IF(N56=CURSOS!$D$8,"MODELO DE ATENCION PARA EVENTOS EMERGENTES EN SALUD MENTAL (CODIGO VERDE)",IF(N56=CURSOS!$D$9,"HUMANIZACION EN EL SERVICIO DE LA SALUD Y BUENAS PRACTICAS EN PACIENTE ",IF(N56=CURSOS!$D$10,"CLINICA DE HERIDAS ",IF(N56=CURSOS!$D$11,"TOMA DE CITOLOGIA CERVICO VAGINAL ",IF(N56=CURSOS!$D$12,"SOPORTE CARDIOVASCULAR AVANZADO (ACLS) ",IF(N56=CURSOS!$D$13,"CAMILLERO ",IF(N56=CURSOS!$D$14,"TOMA DE MUESTRAS Y LABORATORIO ",IF(N56=CURSOS!$D$15,"SOPORTE VITAL BASICO (BLS)",IF(N56=CURSOS!$D$16,"ATENCION A VICTIMAS DE VIOLENCIA SEXUAL ",IF(N56=CURSOS!$D$17,"PROGRAMADO AMPLIADO DE INMUNIZACION (PAI - COVID 19)",IF(N56=CURSOS!$D$18,"ATENCION INTEGRAL EN ENFERMEDADES PREVALENTES EN PRIMERA INFANCIA (AIEPI)",IF(N56=CURSOS!$D$19,"ADMINISTRACION DE MEDICAMENTOS, INYECTOLOGIA  Y CANALIZACION ",IF(N56=CURSOS!$D$20,"OPERADOR DE VEHICULOS DE EMERGENCIA (OVE)",IF(N56=CURSOS!$D$21,"INSTITUCIONES AMIGAS DE LA MUJER Y LA INFANCIA (IAMI)",IF(N56=CURSOS!$D$22,"CUIDADO DEL DONANTE DE ORGANOS",IF(N56=CURSOS!$D$23,"ATENCION A VICTIMAS POR VIOLENCIA DE GENERO",IF(N56=CURSOS!$D$24,"IGUALDAD DE GENERO EN LA SALUD",IF(N56=CURSOS!$D$25,"BRIGADA DE EMERGENCIA",IF(N56=CURSOS!$D$26,"MANEJO DEL DOLOR Y CUIDADOS PALIATIVOS",IF(N56=CURSOS!$D$27,"TOMA DE MUESTRAS Y LABORATORIO POCT",IF(N56=CURSOS!$D$28,"IMPLANTE SUBDERMICO DE DISPOSITIVO INTRAUTERINO",IF(N56=CURSOS!$D$29,"SALUD MENTAL",IF(N56=CURSOS!$D$30,"PRIMEROS AUXILIOS PSICOLOGICOS",IF(N56=CURSOS!$D$31,"ATENCION A VICTIMAS POR CONFLICTO ARMADO",IF(N56=CURSOS!$D$32,"MANIPULACION DE ALIMENTOS Y BPM",IF(N56=CURSOS!$D$33,"ATENCION A PERSONAS CON DISCAPACIDAD",IF(N56=CURSOS!$D$34,"CUIDADO INTEGRAL DEL PACIENTE ADULTO",IF(N56=CURSOS!$D$35,"MANEJO DEFENSIVO",IF(N56=CURSOS!$D$36,"SOPORTE CARDIOVASCULAR AVANZADO NEONATAL",IF(N56=CURSOS!$D$37,"SEGURIDAD DEL PACIENTE")))))))))))))))))))))))))))))))))))</f>
        <v xml:space="preserve">HUMANIZACION EN EL SERVICIO DE LA SALUD Y BUENAS PRACTICAS EN PACIENTE </v>
      </c>
      <c r="T56" s="52" t="str">
        <f t="shared" si="3"/>
        <v>Silvia Lorena Delgado Pabon</v>
      </c>
      <c r="U56" s="52" t="str">
        <f t="shared" si="4"/>
        <v>Silvia Lorena Delgado Pabon</v>
      </c>
      <c r="V56" s="52" t="str">
        <f t="shared" si="5"/>
        <v>Silvia Lorena Delgado Pabon-59176411-HUMANIZACION</v>
      </c>
    </row>
    <row r="57" spans="1:22" s="84" customFormat="1" x14ac:dyDescent="0.2">
      <c r="A57" s="105">
        <v>56</v>
      </c>
      <c r="B57" s="105">
        <v>98357545</v>
      </c>
      <c r="C57" s="111" t="s">
        <v>208</v>
      </c>
      <c r="D57" s="111" t="s">
        <v>209</v>
      </c>
      <c r="E57" s="111" t="s">
        <v>99</v>
      </c>
      <c r="F57" s="111" t="s">
        <v>126</v>
      </c>
      <c r="G57" s="112">
        <v>3</v>
      </c>
      <c r="H57" s="112" t="s">
        <v>181</v>
      </c>
      <c r="I57" s="105"/>
      <c r="J57" s="105"/>
      <c r="K57" s="105"/>
      <c r="L57" s="116" t="s">
        <v>86</v>
      </c>
      <c r="M57" s="116" t="s">
        <v>139</v>
      </c>
      <c r="N57" s="113" t="s">
        <v>33</v>
      </c>
      <c r="O57" s="105" t="s">
        <v>252</v>
      </c>
      <c r="P57" s="105" t="s">
        <v>257</v>
      </c>
      <c r="Q57" s="105">
        <v>3183619393</v>
      </c>
      <c r="R57" s="105" t="s">
        <v>294</v>
      </c>
      <c r="S57" s="52" t="str">
        <f>IF(N57=CURSOS!$D$3,"DIPLOMADO EN ATENCION PRE-HOSPITALARIA",IF(N57=CURSOS!$D$4,"ACOMPAÑAMIENTO Y MANEJO DEL DUELO",IF(N57=CURSOS!$D$5,"ATENCION A VICTIMAS DE ATAQUE CON AGENTES QUIMICOS ",IF(N57=CURSOS!$D$6,"PRIMEROS AUXILIOS ",IF(N57=CURSOS!$D$7,"DIPLOMADO DE UNIDAD DE CUIDADOS INTENSIVOS (UCI)",IF(N57=CURSOS!$D$8,"MODELO DE ATENCION PARA EVENTOS EMERGENTES EN SALUD MENTAL (CODIGO VERDE)",IF(N57=CURSOS!$D$9,"HUMANIZACION EN EL SERVICIO DE LA SALUD Y BUENAS PRACTICAS EN PACIENTE ",IF(N57=CURSOS!$D$10,"CLINICA DE HERIDAS ",IF(N57=CURSOS!$D$11,"TOMA DE CITOLOGIA CERVICO VAGINAL ",IF(N57=CURSOS!$D$12,"SOPORTE CARDIOVASCULAR AVANZADO (ACLS) ",IF(N57=CURSOS!$D$13,"CAMILLERO ",IF(N57=CURSOS!$D$14,"TOMA DE MUESTRAS Y LABORATORIO ",IF(N57=CURSOS!$D$15,"SOPORTE VITAL BASICO (BLS)",IF(N57=CURSOS!$D$16,"ATENCION A VICTIMAS DE VIOLENCIA SEXUAL ",IF(N57=CURSOS!$D$17,"PROGRAMADO AMPLIADO DE INMUNIZACION (PAI - COVID 19)",IF(N57=CURSOS!$D$18,"ATENCION INTEGRAL EN ENFERMEDADES PREVALENTES EN PRIMERA INFANCIA (AIEPI)",IF(N57=CURSOS!$D$19,"ADMINISTRACION DE MEDICAMENTOS, INYECTOLOGIA  Y CANALIZACION ",IF(N57=CURSOS!$D$20,"OPERADOR DE VEHICULOS DE EMERGENCIA (OVE)",IF(N57=CURSOS!$D$21,"INSTITUCIONES AMIGAS DE LA MUJER Y LA INFANCIA (IAMI)",IF(N57=CURSOS!$D$22,"CUIDADO DEL DONANTE DE ORGANOS",IF(N57=CURSOS!$D$23,"ATENCION A VICTIMAS POR VIOLENCIA DE GENERO",IF(N57=CURSOS!$D$24,"IGUALDAD DE GENERO EN LA SALUD",IF(N57=CURSOS!$D$25,"BRIGADA DE EMERGENCIA",IF(N57=CURSOS!$D$26,"MANEJO DEL DOLOR Y CUIDADOS PALIATIVOS",IF(N57=CURSOS!$D$27,"TOMA DE MUESTRAS Y LABORATORIO POCT",IF(N57=CURSOS!$D$28,"IMPLANTE SUBDERMICO DE DISPOSITIVO INTRAUTERINO",IF(N57=CURSOS!$D$29,"SALUD MENTAL",IF(N57=CURSOS!$D$30,"PRIMEROS AUXILIOS PSICOLOGICOS",IF(N57=CURSOS!$D$31,"ATENCION A VICTIMAS POR CONFLICTO ARMADO",IF(N57=CURSOS!$D$32,"MANIPULACION DE ALIMENTOS Y BPM",IF(N57=CURSOS!$D$33,"ATENCION A PERSONAS CON DISCAPACIDAD",IF(N57=CURSOS!$D$34,"CUIDADO INTEGRAL DEL PACIENTE ADULTO",IF(N57=CURSOS!$D$35,"MANEJO DEFENSIVO",IF(N57=CURSOS!$D$36,"SOPORTE CARDIOVASCULAR AVANZADO NEONATAL",IF(N57=CURSOS!$D$37,"SEGURIDAD DEL PACIENTE")))))))))))))))))))))))))))))))))))</f>
        <v xml:space="preserve">HUMANIZACION EN EL SERVICIO DE LA SALUD Y BUENAS PRACTICAS EN PACIENTE </v>
      </c>
      <c r="T57" s="52" t="str">
        <f t="shared" si="3"/>
        <v>Oscar Arturo Quiroz Moran</v>
      </c>
      <c r="U57" s="52" t="str">
        <f t="shared" si="4"/>
        <v>Oscar Arturo Quiroz Moran</v>
      </c>
      <c r="V57" s="52" t="str">
        <f t="shared" si="5"/>
        <v>Oscar Arturo Quiroz Moran-98357545-HUMANIZACION</v>
      </c>
    </row>
    <row r="58" spans="1:22" s="84" customFormat="1" x14ac:dyDescent="0.2">
      <c r="A58" s="105">
        <v>57</v>
      </c>
      <c r="B58" s="105">
        <v>1082656968</v>
      </c>
      <c r="C58" s="111" t="s">
        <v>91</v>
      </c>
      <c r="D58" s="111" t="s">
        <v>210</v>
      </c>
      <c r="E58" s="111" t="s">
        <v>247</v>
      </c>
      <c r="F58" s="111" t="s">
        <v>87</v>
      </c>
      <c r="G58" s="112">
        <v>3</v>
      </c>
      <c r="H58" s="112" t="s">
        <v>181</v>
      </c>
      <c r="I58" s="105"/>
      <c r="J58" s="105"/>
      <c r="K58" s="105"/>
      <c r="L58" s="116" t="s">
        <v>86</v>
      </c>
      <c r="M58" s="116" t="s">
        <v>139</v>
      </c>
      <c r="N58" s="113" t="s">
        <v>33</v>
      </c>
      <c r="O58" s="105" t="s">
        <v>251</v>
      </c>
      <c r="P58" s="105" t="s">
        <v>257</v>
      </c>
      <c r="Q58" s="105">
        <v>3182805717</v>
      </c>
      <c r="R58" s="105" t="s">
        <v>297</v>
      </c>
      <c r="S58" s="52" t="str">
        <f>IF(N58=CURSOS!$D$3,"DIPLOMADO EN ATENCION PRE-HOSPITALARIA",IF(N58=CURSOS!$D$4,"ACOMPAÑAMIENTO Y MANEJO DEL DUELO",IF(N58=CURSOS!$D$5,"ATENCION A VICTIMAS DE ATAQUE CON AGENTES QUIMICOS ",IF(N58=CURSOS!$D$6,"PRIMEROS AUXILIOS ",IF(N58=CURSOS!$D$7,"DIPLOMADO DE UNIDAD DE CUIDADOS INTENSIVOS (UCI)",IF(N58=CURSOS!$D$8,"MODELO DE ATENCION PARA EVENTOS EMERGENTES EN SALUD MENTAL (CODIGO VERDE)",IF(N58=CURSOS!$D$9,"HUMANIZACION EN EL SERVICIO DE LA SALUD Y BUENAS PRACTICAS EN PACIENTE ",IF(N58=CURSOS!$D$10,"CLINICA DE HERIDAS ",IF(N58=CURSOS!$D$11,"TOMA DE CITOLOGIA CERVICO VAGINAL ",IF(N58=CURSOS!$D$12,"SOPORTE CARDIOVASCULAR AVANZADO (ACLS) ",IF(N58=CURSOS!$D$13,"CAMILLERO ",IF(N58=CURSOS!$D$14,"TOMA DE MUESTRAS Y LABORATORIO ",IF(N58=CURSOS!$D$15,"SOPORTE VITAL BASICO (BLS)",IF(N58=CURSOS!$D$16,"ATENCION A VICTIMAS DE VIOLENCIA SEXUAL ",IF(N58=CURSOS!$D$17,"PROGRAMADO AMPLIADO DE INMUNIZACION (PAI - COVID 19)",IF(N58=CURSOS!$D$18,"ATENCION INTEGRAL EN ENFERMEDADES PREVALENTES EN PRIMERA INFANCIA (AIEPI)",IF(N58=CURSOS!$D$19,"ADMINISTRACION DE MEDICAMENTOS, INYECTOLOGIA  Y CANALIZACION ",IF(N58=CURSOS!$D$20,"OPERADOR DE VEHICULOS DE EMERGENCIA (OVE)",IF(N58=CURSOS!$D$21,"INSTITUCIONES AMIGAS DE LA MUJER Y LA INFANCIA (IAMI)",IF(N58=CURSOS!$D$22,"CUIDADO DEL DONANTE DE ORGANOS",IF(N58=CURSOS!$D$23,"ATENCION A VICTIMAS POR VIOLENCIA DE GENERO",IF(N58=CURSOS!$D$24,"IGUALDAD DE GENERO EN LA SALUD",IF(N58=CURSOS!$D$25,"BRIGADA DE EMERGENCIA",IF(N58=CURSOS!$D$26,"MANEJO DEL DOLOR Y CUIDADOS PALIATIVOS",IF(N58=CURSOS!$D$27,"TOMA DE MUESTRAS Y LABORATORIO POCT",IF(N58=CURSOS!$D$28,"IMPLANTE SUBDERMICO DE DISPOSITIVO INTRAUTERINO",IF(N58=CURSOS!$D$29,"SALUD MENTAL",IF(N58=CURSOS!$D$30,"PRIMEROS AUXILIOS PSICOLOGICOS",IF(N58=CURSOS!$D$31,"ATENCION A VICTIMAS POR CONFLICTO ARMADO",IF(N58=CURSOS!$D$32,"MANIPULACION DE ALIMENTOS Y BPM",IF(N58=CURSOS!$D$33,"ATENCION A PERSONAS CON DISCAPACIDAD",IF(N58=CURSOS!$D$34,"CUIDADO INTEGRAL DEL PACIENTE ADULTO",IF(N58=CURSOS!$D$35,"MANEJO DEFENSIVO",IF(N58=CURSOS!$D$36,"SOPORTE CARDIOVASCULAR AVANZADO NEONATAL",IF(N58=CURSOS!$D$37,"SEGURIDAD DEL PACIENTE")))))))))))))))))))))))))))))))))))</f>
        <v xml:space="preserve">HUMANIZACION EN EL SERVICIO DE LA SALUD Y BUENAS PRACTICAS EN PACIENTE </v>
      </c>
      <c r="T58" s="52" t="str">
        <f t="shared" si="3"/>
        <v>Yiset Maria Fernanda Messa</v>
      </c>
      <c r="U58" s="52" t="str">
        <f t="shared" si="4"/>
        <v>Yiset Maria Fernanda Messa</v>
      </c>
      <c r="V58" s="52" t="str">
        <f t="shared" si="5"/>
        <v>Yiset Maria Fernanda Messa-1082656968-HUMANIZACION</v>
      </c>
    </row>
    <row r="59" spans="1:22" s="84" customFormat="1" x14ac:dyDescent="0.2">
      <c r="A59" s="105">
        <v>58</v>
      </c>
      <c r="B59" s="105">
        <v>1085264247</v>
      </c>
      <c r="C59" s="111" t="s">
        <v>211</v>
      </c>
      <c r="D59" s="111" t="s">
        <v>130</v>
      </c>
      <c r="E59" s="111" t="s">
        <v>160</v>
      </c>
      <c r="F59" s="111" t="s">
        <v>248</v>
      </c>
      <c r="G59" s="112">
        <v>3</v>
      </c>
      <c r="H59" s="112" t="s">
        <v>181</v>
      </c>
      <c r="I59" s="105"/>
      <c r="J59" s="105"/>
      <c r="K59" s="105"/>
      <c r="L59" s="116" t="s">
        <v>86</v>
      </c>
      <c r="M59" s="116" t="s">
        <v>139</v>
      </c>
      <c r="N59" s="113" t="s">
        <v>33</v>
      </c>
      <c r="O59" s="105" t="s">
        <v>252</v>
      </c>
      <c r="P59" s="105" t="s">
        <v>257</v>
      </c>
      <c r="Q59" s="105">
        <v>3186399497</v>
      </c>
      <c r="R59" s="105" t="s">
        <v>298</v>
      </c>
      <c r="S59" s="52" t="str">
        <f>IF(N59=CURSOS!$D$3,"DIPLOMADO EN ATENCION PRE-HOSPITALARIA",IF(N59=CURSOS!$D$4,"ACOMPAÑAMIENTO Y MANEJO DEL DUELO",IF(N59=CURSOS!$D$5,"ATENCION A VICTIMAS DE ATAQUE CON AGENTES QUIMICOS ",IF(N59=CURSOS!$D$6,"PRIMEROS AUXILIOS ",IF(N59=CURSOS!$D$7,"DIPLOMADO DE UNIDAD DE CUIDADOS INTENSIVOS (UCI)",IF(N59=CURSOS!$D$8,"MODELO DE ATENCION PARA EVENTOS EMERGENTES EN SALUD MENTAL (CODIGO VERDE)",IF(N59=CURSOS!$D$9,"HUMANIZACION EN EL SERVICIO DE LA SALUD Y BUENAS PRACTICAS EN PACIENTE ",IF(N59=CURSOS!$D$10,"CLINICA DE HERIDAS ",IF(N59=CURSOS!$D$11,"TOMA DE CITOLOGIA CERVICO VAGINAL ",IF(N59=CURSOS!$D$12,"SOPORTE CARDIOVASCULAR AVANZADO (ACLS) ",IF(N59=CURSOS!$D$13,"CAMILLERO ",IF(N59=CURSOS!$D$14,"TOMA DE MUESTRAS Y LABORATORIO ",IF(N59=CURSOS!$D$15,"SOPORTE VITAL BASICO (BLS)",IF(N59=CURSOS!$D$16,"ATENCION A VICTIMAS DE VIOLENCIA SEXUAL ",IF(N59=CURSOS!$D$17,"PROGRAMADO AMPLIADO DE INMUNIZACION (PAI - COVID 19)",IF(N59=CURSOS!$D$18,"ATENCION INTEGRAL EN ENFERMEDADES PREVALENTES EN PRIMERA INFANCIA (AIEPI)",IF(N59=CURSOS!$D$19,"ADMINISTRACION DE MEDICAMENTOS, INYECTOLOGIA  Y CANALIZACION ",IF(N59=CURSOS!$D$20,"OPERADOR DE VEHICULOS DE EMERGENCIA (OVE)",IF(N59=CURSOS!$D$21,"INSTITUCIONES AMIGAS DE LA MUJER Y LA INFANCIA (IAMI)",IF(N59=CURSOS!$D$22,"CUIDADO DEL DONANTE DE ORGANOS",IF(N59=CURSOS!$D$23,"ATENCION A VICTIMAS POR VIOLENCIA DE GENERO",IF(N59=CURSOS!$D$24,"IGUALDAD DE GENERO EN LA SALUD",IF(N59=CURSOS!$D$25,"BRIGADA DE EMERGENCIA",IF(N59=CURSOS!$D$26,"MANEJO DEL DOLOR Y CUIDADOS PALIATIVOS",IF(N59=CURSOS!$D$27,"TOMA DE MUESTRAS Y LABORATORIO POCT",IF(N59=CURSOS!$D$28,"IMPLANTE SUBDERMICO DE DISPOSITIVO INTRAUTERINO",IF(N59=CURSOS!$D$29,"SALUD MENTAL",IF(N59=CURSOS!$D$30,"PRIMEROS AUXILIOS PSICOLOGICOS",IF(N59=CURSOS!$D$31,"ATENCION A VICTIMAS POR CONFLICTO ARMADO",IF(N59=CURSOS!$D$32,"MANIPULACION DE ALIMENTOS Y BPM",IF(N59=CURSOS!$D$33,"ATENCION A PERSONAS CON DISCAPACIDAD",IF(N59=CURSOS!$D$34,"CUIDADO INTEGRAL DEL PACIENTE ADULTO",IF(N59=CURSOS!$D$35,"MANEJO DEFENSIVO",IF(N59=CURSOS!$D$36,"SOPORTE CARDIOVASCULAR AVANZADO NEONATAL",IF(N59=CURSOS!$D$37,"SEGURIDAD DEL PACIENTE")))))))))))))))))))))))))))))))))))</f>
        <v xml:space="preserve">HUMANIZACION EN EL SERVICIO DE LA SALUD Y BUENAS PRACTICAS EN PACIENTE </v>
      </c>
      <c r="T59" s="52" t="str">
        <f t="shared" si="3"/>
        <v>Christian Armando Leiton Mora</v>
      </c>
      <c r="U59" s="52" t="str">
        <f t="shared" si="4"/>
        <v>Christian Armando Leiton Mora</v>
      </c>
      <c r="V59" s="52" t="str">
        <f t="shared" si="5"/>
        <v>Christian Armando Leiton Mora-1085264247-HUMANIZACION</v>
      </c>
    </row>
    <row r="60" spans="1:22" s="84" customFormat="1" x14ac:dyDescent="0.2">
      <c r="A60" s="139">
        <v>59</v>
      </c>
      <c r="B60" s="140">
        <v>1087673584</v>
      </c>
      <c r="C60" s="141" t="s">
        <v>214</v>
      </c>
      <c r="D60" s="141" t="s">
        <v>154</v>
      </c>
      <c r="E60" s="141" t="s">
        <v>159</v>
      </c>
      <c r="F60" s="141" t="s">
        <v>249</v>
      </c>
      <c r="G60" s="142">
        <v>3</v>
      </c>
      <c r="H60" s="142" t="s">
        <v>181</v>
      </c>
      <c r="I60" s="140"/>
      <c r="J60" s="140"/>
      <c r="K60" s="140"/>
      <c r="L60" s="143" t="s">
        <v>86</v>
      </c>
      <c r="M60" s="143" t="s">
        <v>139</v>
      </c>
      <c r="N60" s="144" t="s">
        <v>33</v>
      </c>
      <c r="O60" s="140" t="s">
        <v>252</v>
      </c>
      <c r="P60" s="140" t="s">
        <v>257</v>
      </c>
      <c r="Q60" s="140">
        <v>3166663000</v>
      </c>
      <c r="R60" s="140" t="s">
        <v>302</v>
      </c>
      <c r="S60" s="145" t="str">
        <f>IF(N60=CURSOS!$D$3,"DIPLOMADO EN ATENCION PRE-HOSPITALARIA",IF(N60=CURSOS!$D$4,"ACOMPAÑAMIENTO Y MANEJO DEL DUELO",IF(N60=CURSOS!$D$5,"ATENCION A VICTIMAS DE ATAQUE CON AGENTES QUIMICOS ",IF(N60=CURSOS!$D$6,"PRIMEROS AUXILIOS ",IF(N60=CURSOS!$D$7,"DIPLOMADO DE UNIDAD DE CUIDADOS INTENSIVOS (UCI)",IF(N60=CURSOS!$D$8,"MODELO DE ATENCION PARA EVENTOS EMERGENTES EN SALUD MENTAL (CODIGO VERDE)",IF(N60=CURSOS!$D$9,"HUMANIZACION EN EL SERVICIO DE LA SALUD Y BUENAS PRACTICAS EN PACIENTE ",IF(N60=CURSOS!$D$10,"CLINICA DE HERIDAS ",IF(N60=CURSOS!$D$11,"TOMA DE CITOLOGIA CERVICO VAGINAL ",IF(N60=CURSOS!$D$12,"SOPORTE CARDIOVASCULAR AVANZADO (ACLS) ",IF(N60=CURSOS!$D$13,"CAMILLERO ",IF(N60=CURSOS!$D$14,"TOMA DE MUESTRAS Y LABORATORIO ",IF(N60=CURSOS!$D$15,"SOPORTE VITAL BASICO (BLS)",IF(N60=CURSOS!$D$16,"ATENCION A VICTIMAS DE VIOLENCIA SEXUAL ",IF(N60=CURSOS!$D$17,"PROGRAMADO AMPLIADO DE INMUNIZACION (PAI - COVID 19)",IF(N60=CURSOS!$D$18,"ATENCION INTEGRAL EN ENFERMEDADES PREVALENTES EN PRIMERA INFANCIA (AIEPI)",IF(N60=CURSOS!$D$19,"ADMINISTRACION DE MEDICAMENTOS, INYECTOLOGIA  Y CANALIZACION ",IF(N60=CURSOS!$D$20,"OPERADOR DE VEHICULOS DE EMERGENCIA (OVE)",IF(N60=CURSOS!$D$21,"INSTITUCIONES AMIGAS DE LA MUJER Y LA INFANCIA (IAMI)",IF(N60=CURSOS!$D$22,"CUIDADO DEL DONANTE DE ORGANOS",IF(N60=CURSOS!$D$23,"ATENCION A VICTIMAS POR VIOLENCIA DE GENERO",IF(N60=CURSOS!$D$24,"IGUALDAD DE GENERO EN LA SALUD",IF(N60=CURSOS!$D$25,"BRIGADA DE EMERGENCIA",IF(N60=CURSOS!$D$26,"MANEJO DEL DOLOR Y CUIDADOS PALIATIVOS",IF(N60=CURSOS!$D$27,"TOMA DE MUESTRAS Y LABORATORIO POCT",IF(N60=CURSOS!$D$28,"IMPLANTE SUBDERMICO DE DISPOSITIVO INTRAUTERINO",IF(N60=CURSOS!$D$29,"SALUD MENTAL",IF(N60=CURSOS!$D$30,"PRIMEROS AUXILIOS PSICOLOGICOS",IF(N60=CURSOS!$D$31,"ATENCION A VICTIMAS POR CONFLICTO ARMADO",IF(N60=CURSOS!$D$32,"MANIPULACION DE ALIMENTOS Y BPM",IF(N60=CURSOS!$D$33,"ATENCION A PERSONAS CON DISCAPACIDAD",IF(N60=CURSOS!$D$34,"CUIDADO INTEGRAL DEL PACIENTE ADULTO",IF(N60=CURSOS!$D$35,"MANEJO DEFENSIVO",IF(N60=CURSOS!$D$36,"SOPORTE CARDIOVASCULAR AVANZADO NEONATAL",IF(N60=CURSOS!$D$37,"SEGURIDAD DEL PACIENTE")))))))))))))))))))))))))))))))))))</f>
        <v xml:space="preserve">HUMANIZACION EN EL SERVICIO DE LA SALUD Y BUENAS PRACTICAS EN PACIENTE </v>
      </c>
      <c r="T60" s="145" t="str">
        <f t="shared" si="3"/>
        <v>Jesus Andrey Lagos Escobar</v>
      </c>
      <c r="U60" s="145" t="str">
        <f t="shared" si="4"/>
        <v>Jesus Andrey Lagos Escobar</v>
      </c>
      <c r="V60" s="145" t="str">
        <f t="shared" si="5"/>
        <v>Jesus Andrey Lagos Escobar-1087673584-HUMANIZACION</v>
      </c>
    </row>
    <row r="61" spans="1:22" s="146" customFormat="1" x14ac:dyDescent="0.2">
      <c r="A61" s="17">
        <v>60</v>
      </c>
      <c r="B61" s="17">
        <v>1085267249</v>
      </c>
      <c r="C61" s="17" t="s">
        <v>601</v>
      </c>
      <c r="D61" s="17" t="s">
        <v>157</v>
      </c>
      <c r="E61" s="17" t="s">
        <v>602</v>
      </c>
      <c r="F61" s="17" t="s">
        <v>492</v>
      </c>
      <c r="G61" s="14">
        <v>3</v>
      </c>
      <c r="H61" s="17" t="s">
        <v>181</v>
      </c>
      <c r="I61" s="17"/>
      <c r="J61" s="17"/>
      <c r="K61" s="17"/>
      <c r="L61" s="17" t="s">
        <v>86</v>
      </c>
      <c r="M61" s="17" t="s">
        <v>139</v>
      </c>
      <c r="N61" s="17" t="s">
        <v>33</v>
      </c>
      <c r="O61" s="17" t="s">
        <v>309</v>
      </c>
      <c r="P61" s="17" t="s">
        <v>603</v>
      </c>
      <c r="Q61" s="17">
        <v>3145727639</v>
      </c>
      <c r="R61" s="17" t="s">
        <v>604</v>
      </c>
      <c r="S61" s="52" t="str">
        <f>IF(N61=CURSOS!$D$3,"DIPLOMADO EN ATENCION PRE-HOSPITALARIA",IF(N61=CURSOS!$D$4,"ACOMPAÑAMIENTO Y MANEJO DEL DUELO",IF(N61=CURSOS!$D$5,"ATENCION A VICTIMAS DE ATAQUE CON AGENTES QUIMICOS ",IF(N61=CURSOS!$D$6,"PRIMEROS AUXILIOS ",IF(N61=CURSOS!$D$7,"DIPLOMADO DE UNIDAD DE CUIDADOS INTENSIVOS (UCI)",IF(N61=CURSOS!$D$8,"MODELO DE ATENCION PARA EVENTOS EMERGENTES EN SALUD MENTAL (CODIGO VERDE)",IF(N61=CURSOS!$D$9,"HUMANIZACION EN EL SERVICIO DE LA SALUD Y BUENAS PRACTICAS EN PACIENTE ",IF(N61=CURSOS!$D$10,"CLINICA DE HERIDAS ",IF(N61=CURSOS!$D$11,"TOMA DE CITOLOGIA CERVICO VAGINAL ",IF(N61=CURSOS!$D$12,"SOPORTE CARDIOVASCULAR AVANZADO (ACLS) ",IF(N61=CURSOS!$D$13,"CAMILLERO ",IF(N61=CURSOS!$D$14,"TOMA DE MUESTRAS Y LABORATORIO ",IF(N61=CURSOS!$D$15,"SOPORTE VITAL BASICO (BLS)",IF(N61=CURSOS!$D$16,"ATENCION A VICTIMAS DE VIOLENCIA SEXUAL ",IF(N61=CURSOS!$D$17,"PROGRAMADO AMPLIADO DE INMUNIZACION (PAI - COVID 19)",IF(N61=CURSOS!$D$18,"ATENCION INTEGRAL EN ENFERMEDADES PREVALENTES EN PRIMERA INFANCIA (AIEPI)",IF(N61=CURSOS!$D$19,"ADMINISTRACION DE MEDICAMENTOS, INYECTOLOGIA  Y CANALIZACION ",IF(N61=CURSOS!$D$20,"OPERADOR DE VEHICULOS DE EMERGENCIA (OVE)",IF(N61=CURSOS!$D$21,"INSTITUCIONES AMIGAS DE LA MUJER Y LA INFANCIA (IAMI)",IF(N61=CURSOS!$D$22,"CUIDADO DEL DONANTE DE ORGANOS",IF(N61=CURSOS!$D$23,"ATENCION A VICTIMAS POR VIOLENCIA DE GENERO",IF(N61=CURSOS!$D$24,"IGUALDAD DE GENERO EN LA SALUD",IF(N61=CURSOS!$D$25,"BRIGADA DE EMERGENCIA",IF(N61=CURSOS!$D$26,"MANEJO DEL DOLOR Y CUIDADOS PALIATIVOS",IF(N61=CURSOS!$D$27,"TOMA DE MUESTRAS Y LABORATORIO POCT",IF(N61=CURSOS!$D$28,"IMPLANTE SUBDERMICO DE DISPOSITIVO INTRAUTERINO",IF(N61=CURSOS!$D$29,"SALUD MENTAL",IF(N61=CURSOS!$D$30,"PRIMEROS AUXILIOS PSICOLOGICOS",IF(N61=CURSOS!$D$31,"ATENCION A VICTIMAS POR CONFLICTO ARMADO",IF(N61=CURSOS!$D$32,"MANIPULACION DE ALIMENTOS Y BPM",IF(N61=CURSOS!$D$33,"ATENCION A PERSONAS CON DISCAPACIDAD",IF(N61=CURSOS!$D$34,"CUIDADO INTEGRAL DEL PACIENTE ADULTO",IF(N61=CURSOS!$D$35,"MANEJO DEFENSIVO",IF(N61=CURSOS!$D$36,"SOPORTE CARDIOVASCULAR AVANZADO NEONATAL",IF(N61=CURSOS!$D$37,"SEGURIDAD DEL PACIENTE")))))))))))))))))))))))))))))))))))</f>
        <v xml:space="preserve">HUMANIZACION EN EL SERVICIO DE LA SALUD Y BUENAS PRACTICAS EN PACIENTE </v>
      </c>
      <c r="T61" s="52" t="str">
        <f t="shared" ref="T61" si="6">CONCATENATE(E61," ",F61," ",C61," ",D61)</f>
        <v>Dorlley Elizabeth Cuaran Narvaez</v>
      </c>
      <c r="U61" s="52" t="str">
        <f t="shared" ref="U61" si="7">+PROPER(T61)</f>
        <v>Dorlley Elizabeth Cuaran Narvaez</v>
      </c>
      <c r="V61" s="52" t="str">
        <f t="shared" ref="V61" si="8">CONCATENATE(T61,"-",B61,"-",N61)</f>
        <v>Dorlley Elizabeth Cuaran Narvaez-1085267249-HUMANIZACION</v>
      </c>
    </row>
    <row r="62" spans="1:22" ht="15.75" x14ac:dyDescent="0.25">
      <c r="B62" s="70"/>
    </row>
    <row r="63" spans="1:22" ht="15.75" x14ac:dyDescent="0.25">
      <c r="A63" s="68"/>
      <c r="B63" s="70"/>
    </row>
    <row r="64" spans="1:22" ht="15.75" x14ac:dyDescent="0.25">
      <c r="B64" s="70"/>
    </row>
    <row r="65" spans="1:2" ht="15.75" x14ac:dyDescent="0.25">
      <c r="B65" s="70"/>
    </row>
    <row r="66" spans="1:2" ht="15.75" x14ac:dyDescent="0.25">
      <c r="B66" s="70"/>
    </row>
    <row r="67" spans="1:2" ht="15.75" x14ac:dyDescent="0.25">
      <c r="A67" s="68"/>
      <c r="B67" s="70"/>
    </row>
    <row r="68" spans="1:2" ht="15.75" x14ac:dyDescent="0.25">
      <c r="B68" s="70"/>
    </row>
    <row r="71" spans="1:2" x14ac:dyDescent="0.2">
      <c r="A71" s="68"/>
    </row>
    <row r="75" spans="1:2" x14ac:dyDescent="0.2">
      <c r="A75" s="68"/>
    </row>
    <row r="79" spans="1:2" x14ac:dyDescent="0.2">
      <c r="A79" s="68"/>
    </row>
    <row r="83" spans="1:1" x14ac:dyDescent="0.2">
      <c r="A83" s="68"/>
    </row>
    <row r="87" spans="1:1" x14ac:dyDescent="0.2">
      <c r="A87" s="68"/>
    </row>
    <row r="91" spans="1:1" x14ac:dyDescent="0.2">
      <c r="A91" s="68"/>
    </row>
    <row r="93" spans="1:1" x14ac:dyDescent="0.2">
      <c r="A93" s="68"/>
    </row>
    <row r="97" spans="1:1" x14ac:dyDescent="0.2">
      <c r="A97" s="68"/>
    </row>
    <row r="101" spans="1:1" x14ac:dyDescent="0.2">
      <c r="A101" s="68"/>
    </row>
    <row r="105" spans="1:1" x14ac:dyDescent="0.2">
      <c r="A105" s="68"/>
    </row>
    <row r="109" spans="1:1" x14ac:dyDescent="0.2">
      <c r="A109" s="68"/>
    </row>
    <row r="113" spans="1:1" x14ac:dyDescent="0.2">
      <c r="A113" s="68"/>
    </row>
    <row r="117" spans="1:1" x14ac:dyDescent="0.2">
      <c r="A117" s="68"/>
    </row>
    <row r="121" spans="1:1" x14ac:dyDescent="0.2">
      <c r="A121" s="68"/>
    </row>
    <row r="125" spans="1:1" x14ac:dyDescent="0.2">
      <c r="A125" s="68"/>
    </row>
    <row r="129" spans="1:1" x14ac:dyDescent="0.2">
      <c r="A129" s="68"/>
    </row>
    <row r="133" spans="1:1" x14ac:dyDescent="0.2">
      <c r="A133" s="68"/>
    </row>
    <row r="137" spans="1:1" x14ac:dyDescent="0.2">
      <c r="A137" s="68"/>
    </row>
    <row r="139" spans="1:1" x14ac:dyDescent="0.2">
      <c r="A139" s="68"/>
    </row>
    <row r="143" spans="1:1" x14ac:dyDescent="0.2">
      <c r="A143" s="68"/>
    </row>
    <row r="147" spans="1:1" x14ac:dyDescent="0.2">
      <c r="A147" s="68"/>
    </row>
    <row r="151" spans="1:1" x14ac:dyDescent="0.2">
      <c r="A151" s="68"/>
    </row>
    <row r="155" spans="1:1" x14ac:dyDescent="0.2">
      <c r="A155" s="68"/>
    </row>
    <row r="159" spans="1:1" x14ac:dyDescent="0.2">
      <c r="A159" s="68"/>
    </row>
    <row r="163" spans="1:1" x14ac:dyDescent="0.2">
      <c r="A163" s="68"/>
    </row>
    <row r="167" spans="1:1" x14ac:dyDescent="0.2">
      <c r="A167" s="68"/>
    </row>
    <row r="171" spans="1:1" x14ac:dyDescent="0.2">
      <c r="A171" s="68"/>
    </row>
    <row r="175" spans="1:1" x14ac:dyDescent="0.2">
      <c r="A175" s="68"/>
    </row>
    <row r="179" spans="1:1" x14ac:dyDescent="0.2">
      <c r="A179" s="68"/>
    </row>
    <row r="183" spans="1:1" x14ac:dyDescent="0.2">
      <c r="A183" s="68"/>
    </row>
    <row r="185" spans="1:1" x14ac:dyDescent="0.2">
      <c r="A185" s="68"/>
    </row>
    <row r="189" spans="1:1" x14ac:dyDescent="0.2">
      <c r="A189" s="68"/>
    </row>
    <row r="193" spans="1:1" x14ac:dyDescent="0.2">
      <c r="A193" s="68"/>
    </row>
    <row r="197" spans="1:1" x14ac:dyDescent="0.2">
      <c r="A197" s="68"/>
    </row>
    <row r="201" spans="1:1" x14ac:dyDescent="0.2">
      <c r="A201" s="68"/>
    </row>
    <row r="205" spans="1:1" x14ac:dyDescent="0.2">
      <c r="A205" s="68"/>
    </row>
    <row r="209" spans="1:1" x14ac:dyDescent="0.2">
      <c r="A209" s="68"/>
    </row>
    <row r="213" spans="1:1" x14ac:dyDescent="0.2">
      <c r="A213" s="68"/>
    </row>
    <row r="217" spans="1:1" x14ac:dyDescent="0.2">
      <c r="A217" s="68"/>
    </row>
    <row r="221" spans="1:1" x14ac:dyDescent="0.2">
      <c r="A221" s="68"/>
    </row>
    <row r="225" spans="1:1" x14ac:dyDescent="0.2">
      <c r="A225" s="68"/>
    </row>
    <row r="229" spans="1:1" x14ac:dyDescent="0.2">
      <c r="A229" s="68"/>
    </row>
    <row r="231" spans="1:1" x14ac:dyDescent="0.2">
      <c r="A231" s="68"/>
    </row>
    <row r="235" spans="1:1" x14ac:dyDescent="0.2">
      <c r="A235" s="68"/>
    </row>
    <row r="239" spans="1:1" x14ac:dyDescent="0.2">
      <c r="A239" s="68"/>
    </row>
    <row r="243" spans="1:1" x14ac:dyDescent="0.2">
      <c r="A243" s="68"/>
    </row>
    <row r="247" spans="1:1" x14ac:dyDescent="0.2">
      <c r="A247" s="68"/>
    </row>
    <row r="251" spans="1:1" x14ac:dyDescent="0.2">
      <c r="A251" s="68"/>
    </row>
    <row r="255" spans="1:1" x14ac:dyDescent="0.2">
      <c r="A255" s="68"/>
    </row>
    <row r="259" spans="1:1" x14ac:dyDescent="0.2">
      <c r="A259" s="68"/>
    </row>
    <row r="263" spans="1:1" x14ac:dyDescent="0.2">
      <c r="A263" s="68"/>
    </row>
    <row r="267" spans="1:1" x14ac:dyDescent="0.2">
      <c r="A267" s="68"/>
    </row>
    <row r="271" spans="1:1" x14ac:dyDescent="0.2">
      <c r="A271" s="68"/>
    </row>
    <row r="275" spans="1:1" x14ac:dyDescent="0.2">
      <c r="A275" s="68"/>
    </row>
    <row r="277" spans="1:1" x14ac:dyDescent="0.2">
      <c r="A277" s="68"/>
    </row>
    <row r="281" spans="1:1" x14ac:dyDescent="0.2">
      <c r="A281" s="68"/>
    </row>
    <row r="285" spans="1:1" x14ac:dyDescent="0.2">
      <c r="A285" s="68"/>
    </row>
    <row r="289" spans="1:1" x14ac:dyDescent="0.2">
      <c r="A289" s="68"/>
    </row>
    <row r="293" spans="1:1" x14ac:dyDescent="0.2">
      <c r="A293" s="68"/>
    </row>
    <row r="297" spans="1:1" x14ac:dyDescent="0.2">
      <c r="A297" s="68"/>
    </row>
    <row r="301" spans="1:1" x14ac:dyDescent="0.2">
      <c r="A301" s="68"/>
    </row>
    <row r="305" spans="1:1" x14ac:dyDescent="0.2">
      <c r="A305" s="68"/>
    </row>
    <row r="309" spans="1:1" x14ac:dyDescent="0.2">
      <c r="A309" s="68"/>
    </row>
    <row r="313" spans="1:1" x14ac:dyDescent="0.2">
      <c r="A313" s="68"/>
    </row>
    <row r="317" spans="1:1" x14ac:dyDescent="0.2">
      <c r="A317" s="68"/>
    </row>
    <row r="321" spans="1:1" x14ac:dyDescent="0.2">
      <c r="A321" s="68"/>
    </row>
    <row r="323" spans="1:1" x14ac:dyDescent="0.2">
      <c r="A323" s="68"/>
    </row>
    <row r="327" spans="1:1" x14ac:dyDescent="0.2">
      <c r="A327" s="68"/>
    </row>
    <row r="331" spans="1:1" x14ac:dyDescent="0.2">
      <c r="A331" s="68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31"/>
  <sheetViews>
    <sheetView tabSelected="1" topLeftCell="A73" zoomScale="55" zoomScaleNormal="55" workbookViewId="0">
      <selection activeCell="G1" sqref="G1"/>
    </sheetView>
  </sheetViews>
  <sheetFormatPr baseColWidth="10" defaultRowHeight="15" x14ac:dyDescent="0.2"/>
  <cols>
    <col min="1" max="1" width="5.5703125" style="151" bestFit="1" customWidth="1"/>
    <col min="2" max="2" width="45.140625" style="151" bestFit="1" customWidth="1"/>
    <col min="3" max="3" width="29" style="151" bestFit="1" customWidth="1"/>
    <col min="4" max="4" width="31.28515625" style="151" bestFit="1" customWidth="1"/>
    <col min="5" max="5" width="27.42578125" style="151" bestFit="1" customWidth="1"/>
    <col min="6" max="6" width="30" style="151" bestFit="1" customWidth="1"/>
    <col min="7" max="7" width="7.140625" style="151" bestFit="1" customWidth="1"/>
    <col min="8" max="8" width="10" style="151" bestFit="1" customWidth="1"/>
    <col min="9" max="9" width="16" style="151" bestFit="1" customWidth="1"/>
    <col min="10" max="10" width="27.42578125" style="151" bestFit="1" customWidth="1"/>
    <col min="11" max="11" width="26.42578125" style="151" bestFit="1" customWidth="1"/>
    <col min="12" max="12" width="77" style="151" bestFit="1" customWidth="1"/>
    <col min="13" max="13" width="46.42578125" style="151" bestFit="1" customWidth="1"/>
    <col min="14" max="14" width="46.85546875" style="151" bestFit="1" customWidth="1"/>
    <col min="15" max="15" width="81.140625" style="151" bestFit="1" customWidth="1"/>
    <col min="16" max="16384" width="11.42578125" style="151"/>
  </cols>
  <sheetData>
    <row r="1" spans="1:15" s="56" customFormat="1" ht="15.75" x14ac:dyDescent="0.25">
      <c r="A1" s="57" t="s">
        <v>71</v>
      </c>
      <c r="B1" s="49" t="s">
        <v>0</v>
      </c>
      <c r="C1" s="26" t="s">
        <v>1</v>
      </c>
      <c r="D1" s="26" t="s">
        <v>2</v>
      </c>
      <c r="E1" s="26" t="s">
        <v>3</v>
      </c>
      <c r="F1" s="26" t="s">
        <v>4</v>
      </c>
      <c r="G1" s="48" t="s">
        <v>5</v>
      </c>
      <c r="H1" s="27" t="s">
        <v>6</v>
      </c>
      <c r="I1" s="30" t="s">
        <v>72</v>
      </c>
      <c r="J1" s="30" t="s">
        <v>10</v>
      </c>
      <c r="K1" s="31" t="s">
        <v>11</v>
      </c>
      <c r="L1" s="58" t="s">
        <v>15</v>
      </c>
      <c r="M1" s="32" t="s">
        <v>16</v>
      </c>
      <c r="N1" s="32" t="s">
        <v>17</v>
      </c>
      <c r="O1" s="32" t="s">
        <v>18</v>
      </c>
    </row>
    <row r="2" spans="1:15" s="17" customFormat="1" x14ac:dyDescent="0.2">
      <c r="A2" s="85">
        <v>1</v>
      </c>
      <c r="B2" s="17">
        <v>27488509</v>
      </c>
      <c r="C2" s="86" t="s">
        <v>123</v>
      </c>
      <c r="D2" s="86" t="s">
        <v>451</v>
      </c>
      <c r="E2" s="86" t="s">
        <v>108</v>
      </c>
      <c r="F2" s="86" t="s">
        <v>479</v>
      </c>
      <c r="G2" s="101">
        <v>17</v>
      </c>
      <c r="H2" s="14" t="s">
        <v>181</v>
      </c>
      <c r="I2" s="14" t="s">
        <v>86</v>
      </c>
      <c r="J2" s="14" t="s">
        <v>511</v>
      </c>
      <c r="K2" s="15" t="s">
        <v>38</v>
      </c>
      <c r="L2" s="100" t="str">
        <f>IF(K2=CURSOS!$D$3,"DIPLOMADO EN ATENCION PRE-HOSPITALARIA",IF(K2=CURSOS!$D$4,"ACOMPAÑAMIENTO Y MANEJO DEL DUELO",IF(K2=CURSOS!$D$5,"ATENCION A VICTIMAS DE ATAQUE CON AGENTES QUIMICOS ",IF(K2=CURSOS!$D$6,"PRIMEROS AUXILIOS ",IF(K2=CURSOS!$D$7,"DIPLOMADO DE UNIDAD DE CUIDADOS INTENSIVOS (UCI)",IF(K2=CURSOS!$D$8,"MODELO DE ATENCION PARA EVENTOS EMERGENTES EN SALUD MENTAL (CODIGO VERDE)",IF(K2=CURSOS!$D$9,"HUMANIZACION EN EL SERVICIO DE LA SALUD Y BUENAS PRACTICAS EN PACIENTE ",IF(K2=CURSOS!$D$10,"CLINICA DE HERIDAS ",IF(K2=CURSOS!$D$11,"TOMA DE CITOLOGIA CERVICO VAGINAL ",IF(K2=CURSOS!$D$12,"SOPORTE CARDIOVASCULAR AVANZADO (ACLS) ",IF(K2=CURSOS!$D$13,"CAMILLERO ",IF(K2=CURSOS!$D$14,"TOMA DE MUESTRAS Y LABORATORIO ",IF(K2=CURSOS!$D$15,"SOPORTE VITAL BASICO (BLS)",IF(K2=CURSOS!$D$16,"ATENCION A VICTIMAS DE VIOLENCIA SEXUAL ",IF(K2=CURSOS!$D$17,"PROGRAMADO AMPLIADO DE INMUNIZACION (PAI - COVID 19)",IF(K2=CURSOS!$D$18,"ATENCION INTEGRAL EN ENFERMEDADES PREVALENTES EN PRIMERA INFANCIA (AIEPI)",IF(K2=CURSOS!$D$19,"ADMINISTRACION DE MEDICAMENTOS, INYECTOLOGIA  Y CANALIZACION ",IF(K2=CURSOS!$D$20,"OPERADOR DE VEHICULOS DE EMERGENCIA (OVE)",IF(K2=CURSOS!$D$21,"INSTITUCIONES AMIGAS DE LA MUJER Y LA INFANCIA (IAMI)",IF(K2=CURSOS!$D$22,"CUIDADO DEL DONANTE DE ORGANOS",IF(K2=CURSOS!$D$23,"ATENCION A VICTIMAS POR VIOLENCIA DE GENERO",IF(K2=CURSOS!$D$24,"IGUALDAD DE GENERO EN LA SALUD",IF(K2=CURSOS!$D$25,"BRIGADA DE EMERGENCIA",IF(K2=CURSOS!$D$26,"MANEJO DEL DOLOR Y CUIDADOS PALIATIVOS",IF(K2=CURSOS!$D$27,"TOMA DE MUESTRAS Y LABORATORIO POCT",IF(K2=CURSOS!$D$28,"IMPLANTE SUBDERMICO DE DISPOSITIVO INTRAUTERINO",IF(K2=CURSOS!$D$29,"SALUD MENTAL",IF(K2=CURSOS!$D$30,"PRIMEROS AUXILIOS PSICOLOGICOS",IF(K2=CURSOS!$D$31,"ATENCION A VICTIMAS POR CONFLICTO ARMADO",IF(K2=CURSOS!$D$32,"MANIPULACION DE ALIMENTOS Y BPM",IF(K2=CURSOS!$D$33,"ATENCION A PERSONAS CON DISCAPACIDAD",IF(K2=CURSOS!$D$34,"CUIDADO INTEGRAL DEL PACIENTE ADULTO",IF(K2=CURSOS!$D$35,"MANEJO DEFENSIVO",IF(K2=CURSOS!$D$36,"SOPORTE CARDIOVASCULAR AVANZADO NEONATAL",IF(K2=CURSOS!$D$37,"SEGURIDAD DEL PACIENTE")))))))))))))))))))))))))))))))))))</f>
        <v xml:space="preserve">SOPORTE CARDIOVASCULAR AVANZADO (ACLS) </v>
      </c>
      <c r="M2" s="52" t="str">
        <f t="shared" ref="M2:M33" si="0">CONCATENATE(E2," ",F2," ",C2," ",D2)</f>
        <v>Sandra Mabel Ibarra Madroñero</v>
      </c>
      <c r="N2" s="52" t="str">
        <f>+PROPER(M2)</f>
        <v>Sandra Mabel Ibarra Madroñero</v>
      </c>
      <c r="O2" s="52" t="str">
        <f t="shared" ref="O2:O33" si="1">CONCATENATE(M2,"-",B2,"-",K2)</f>
        <v>Sandra Mabel Ibarra Madroñero-27488509-ACLS</v>
      </c>
    </row>
    <row r="3" spans="1:15" s="98" customFormat="1" x14ac:dyDescent="0.2">
      <c r="A3" s="85">
        <v>2</v>
      </c>
      <c r="B3" s="17">
        <v>27488509</v>
      </c>
      <c r="C3" s="86" t="s">
        <v>123</v>
      </c>
      <c r="D3" s="86" t="s">
        <v>451</v>
      </c>
      <c r="E3" s="86" t="s">
        <v>108</v>
      </c>
      <c r="F3" s="86" t="s">
        <v>479</v>
      </c>
      <c r="G3" s="101">
        <v>17</v>
      </c>
      <c r="H3" s="14" t="s">
        <v>181</v>
      </c>
      <c r="I3" s="14" t="s">
        <v>86</v>
      </c>
      <c r="J3" s="14" t="s">
        <v>511</v>
      </c>
      <c r="K3" s="15" t="s">
        <v>19</v>
      </c>
      <c r="L3" s="100" t="str">
        <f>IF(K3=CURSOS!$D$3,"DIPLOMADO EN ATENCION PRE-HOSPITALARIA",IF(K3=CURSOS!$D$4,"ACOMPAÑAMIENTO Y MANEJO DEL DUELO",IF(K3=CURSOS!$D$5,"ATENCION A VICTIMAS DE ATAQUE CON AGENTES QUIMICOS ",IF(K3=CURSOS!$D$6,"PRIMEROS AUXILIOS ",IF(K3=CURSOS!$D$7,"DIPLOMADO DE UNIDAD DE CUIDADOS INTENSIVOS (UCI)",IF(K3=CURSOS!$D$8,"MODELO DE ATENCION PARA EVENTOS EMERGENTES EN SALUD MENTAL (CODIGO VERDE)",IF(K3=CURSOS!$D$9,"HUMANIZACION EN EL SERVICIO DE LA SALUD Y BUENAS PRACTICAS EN PACIENTE ",IF(K3=CURSOS!$D$10,"CLINICA DE HERIDAS ",IF(K3=CURSOS!$D$11,"TOMA DE CITOLOGIA CERVICO VAGINAL ",IF(K3=CURSOS!$D$12,"SOPORTE CARDIOVASCULAR AVANZADO (ACLS) ",IF(K3=CURSOS!$D$13,"CAMILLERO ",IF(K3=CURSOS!$D$14,"TOMA DE MUESTRAS Y LABORATORIO ",IF(K3=CURSOS!$D$15,"SOPORTE VITAL BASICO (BLS)",IF(K3=CURSOS!$D$16,"ATENCION A VICTIMAS DE VIOLENCIA SEXUAL ",IF(K3=CURSOS!$D$17,"PROGRAMADO AMPLIADO DE INMUNIZACION (PAI - COVID 19)",IF(K3=CURSOS!$D$18,"ATENCION INTEGRAL EN ENFERMEDADES PREVALENTES EN PRIMERA INFANCIA (AIEPI)",IF(K3=CURSOS!$D$19,"ADMINISTRACION DE MEDICAMENTOS, INYECTOLOGIA  Y CANALIZACION ",IF(K3=CURSOS!$D$20,"OPERADOR DE VEHICULOS DE EMERGENCIA (OVE)",IF(K3=CURSOS!$D$21,"INSTITUCIONES AMIGAS DE LA MUJER Y LA INFANCIA (IAMI)",IF(K3=CURSOS!$D$22,"CUIDADO DEL DONANTE DE ORGANOS",IF(K3=CURSOS!$D$23,"ATENCION A VICTIMAS POR VIOLENCIA DE GENERO",IF(K3=CURSOS!$D$24,"IGUALDAD DE GENERO EN LA SALUD",IF(K3=CURSOS!$D$25,"BRIGADA DE EMERGENCIA",IF(K3=CURSOS!$D$26,"MANEJO DEL DOLOR Y CUIDADOS PALIATIVOS",IF(K3=CURSOS!$D$27,"TOMA DE MUESTRAS Y LABORATORIO POCT",IF(K3=CURSOS!$D$28,"IMPLANTE SUBDERMICO DE DISPOSITIVO INTRAUTERINO",IF(K3=CURSOS!$D$29,"SALUD MENTAL",IF(K3=CURSOS!$D$30,"PRIMEROS AUXILIOS PSICOLOGICOS",IF(K3=CURSOS!$D$31,"ATENCION A VICTIMAS POR CONFLICTO ARMADO",IF(K3=CURSOS!$D$32,"MANIPULACION DE ALIMENTOS Y BPM",IF(K3=CURSOS!$D$33,"ATENCION A PERSONAS CON DISCAPACIDAD",IF(K3=CURSOS!$D$34,"CUIDADO INTEGRAL DEL PACIENTE ADULTO",IF(K3=CURSOS!$D$35,"MANEJO DEFENSIVO",IF(K3=CURSOS!$D$36,"SOPORTE CARDIOVASCULAR AVANZADO NEONATAL",IF(K3=CURSOS!$D$37,"SEGURIDAD DEL PACIENTE")))))))))))))))))))))))))))))))))))</f>
        <v>SOPORTE VITAL BASICO (BLS)</v>
      </c>
      <c r="M3" s="52" t="str">
        <f t="shared" si="0"/>
        <v>Sandra Mabel Ibarra Madroñero</v>
      </c>
      <c r="N3" s="52" t="str">
        <f t="shared" ref="N3:N48" si="2">+PROPER(M3)</f>
        <v>Sandra Mabel Ibarra Madroñero</v>
      </c>
      <c r="O3" s="52" t="str">
        <f t="shared" si="1"/>
        <v>Sandra Mabel Ibarra Madroñero-27488509-BLS</v>
      </c>
    </row>
    <row r="4" spans="1:15" x14ac:dyDescent="0.2">
      <c r="A4" s="149">
        <v>3</v>
      </c>
      <c r="B4" s="17">
        <v>1084846306</v>
      </c>
      <c r="C4" s="149" t="s">
        <v>209</v>
      </c>
      <c r="D4" s="149" t="s">
        <v>452</v>
      </c>
      <c r="E4" s="149" t="s">
        <v>480</v>
      </c>
      <c r="F4" s="149"/>
      <c r="G4" s="150">
        <v>17</v>
      </c>
      <c r="H4" s="14" t="s">
        <v>181</v>
      </c>
      <c r="I4" s="14" t="s">
        <v>86</v>
      </c>
      <c r="J4" s="14" t="s">
        <v>511</v>
      </c>
      <c r="K4" s="149" t="s">
        <v>38</v>
      </c>
      <c r="L4" s="100" t="str">
        <f>IF(K4=CURSOS!$D$3,"DIPLOMADO EN ATENCION PRE-HOSPITALARIA",IF(K4=CURSOS!$D$4,"ACOMPAÑAMIENTO Y MANEJO DEL DUELO",IF(K4=CURSOS!$D$5,"ATENCION A VICTIMAS DE ATAQUE CON AGENTES QUIMICOS ",IF(K4=CURSOS!$D$6,"PRIMEROS AUXILIOS ",IF(K4=CURSOS!$D$7,"DIPLOMADO DE UNIDAD DE CUIDADOS INTENSIVOS (UCI)",IF(K4=CURSOS!$D$8,"MODELO DE ATENCION PARA EVENTOS EMERGENTES EN SALUD MENTAL (CODIGO VERDE)",IF(K4=CURSOS!$D$9,"HUMANIZACION EN EL SERVICIO DE LA SALUD Y BUENAS PRACTICAS EN PACIENTE ",IF(K4=CURSOS!$D$10,"CLINICA DE HERIDAS ",IF(K4=CURSOS!$D$11,"TOMA DE CITOLOGIA CERVICO VAGINAL ",IF(K4=CURSOS!$D$12,"SOPORTE CARDIOVASCULAR AVANZADO (ACLS) ",IF(K4=CURSOS!$D$13,"CAMILLERO ",IF(K4=CURSOS!$D$14,"TOMA DE MUESTRAS Y LABORATORIO ",IF(K4=CURSOS!$D$15,"SOPORTE VITAL BASICO (BLS)",IF(K4=CURSOS!$D$16,"ATENCION A VICTIMAS DE VIOLENCIA SEXUAL ",IF(K4=CURSOS!$D$17,"PROGRAMADO AMPLIADO DE INMUNIZACION (PAI - COVID 19)",IF(K4=CURSOS!$D$18,"ATENCION INTEGRAL EN ENFERMEDADES PREVALENTES EN PRIMERA INFANCIA (AIEPI)",IF(K4=CURSOS!$D$19,"ADMINISTRACION DE MEDICAMENTOS, INYECTOLOGIA  Y CANALIZACION ",IF(K4=CURSOS!$D$20,"OPERADOR DE VEHICULOS DE EMERGENCIA (OVE)",IF(K4=CURSOS!$D$21,"INSTITUCIONES AMIGAS DE LA MUJER Y LA INFANCIA (IAMI)",IF(K4=CURSOS!$D$22,"CUIDADO DEL DONANTE DE ORGANOS",IF(K4=CURSOS!$D$23,"ATENCION A VICTIMAS POR VIOLENCIA DE GENERO",IF(K4=CURSOS!$D$24,"IGUALDAD DE GENERO EN LA SALUD",IF(K4=CURSOS!$D$25,"BRIGADA DE EMERGENCIA",IF(K4=CURSOS!$D$26,"MANEJO DEL DOLOR Y CUIDADOS PALIATIVOS",IF(K4=CURSOS!$D$27,"TOMA DE MUESTRAS Y LABORATORIO POCT",IF(K4=CURSOS!$D$28,"IMPLANTE SUBDERMICO DE DISPOSITIVO INTRAUTERINO",IF(K4=CURSOS!$D$29,"SALUD MENTAL",IF(K4=CURSOS!$D$30,"PRIMEROS AUXILIOS PSICOLOGICOS",IF(K4=CURSOS!$D$31,"ATENCION A VICTIMAS POR CONFLICTO ARMADO",IF(K4=CURSOS!$D$32,"MANIPULACION DE ALIMENTOS Y BPM",IF(K4=CURSOS!$D$33,"ATENCION A PERSONAS CON DISCAPACIDAD",IF(K4=CURSOS!$D$34,"CUIDADO INTEGRAL DEL PACIENTE ADULTO",IF(K4=CURSOS!$D$35,"MANEJO DEFENSIVO",IF(K4=CURSOS!$D$36,"SOPORTE CARDIOVASCULAR AVANZADO NEONATAL",IF(K4=CURSOS!$D$37,"SEGURIDAD DEL PACIENTE")))))))))))))))))))))))))))))))))))</f>
        <v xml:space="preserve">SOPORTE CARDIOVASCULAR AVANZADO (ACLS) </v>
      </c>
      <c r="M4" s="52" t="str">
        <f t="shared" si="0"/>
        <v>Emirgen  Moran Arteaga</v>
      </c>
      <c r="N4" s="52" t="str">
        <f t="shared" si="2"/>
        <v>Emirgen  Moran Arteaga</v>
      </c>
      <c r="O4" s="52" t="str">
        <f t="shared" si="1"/>
        <v>Emirgen  Moran Arteaga-1084846306-ACLS</v>
      </c>
    </row>
    <row r="5" spans="1:15" x14ac:dyDescent="0.2">
      <c r="A5" s="149">
        <v>4</v>
      </c>
      <c r="B5" s="17">
        <v>1084846306</v>
      </c>
      <c r="C5" s="149" t="s">
        <v>209</v>
      </c>
      <c r="D5" s="149" t="s">
        <v>452</v>
      </c>
      <c r="E5" s="149" t="s">
        <v>480</v>
      </c>
      <c r="F5" s="149"/>
      <c r="G5" s="150">
        <v>17</v>
      </c>
      <c r="H5" s="14" t="s">
        <v>181</v>
      </c>
      <c r="I5" s="14" t="s">
        <v>86</v>
      </c>
      <c r="J5" s="14" t="s">
        <v>511</v>
      </c>
      <c r="K5" s="149" t="s">
        <v>19</v>
      </c>
      <c r="L5" s="100" t="str">
        <f>IF(K5=CURSOS!$D$3,"DIPLOMADO EN ATENCION PRE-HOSPITALARIA",IF(K5=CURSOS!$D$4,"ACOMPAÑAMIENTO Y MANEJO DEL DUELO",IF(K5=CURSOS!$D$5,"ATENCION A VICTIMAS DE ATAQUE CON AGENTES QUIMICOS ",IF(K5=CURSOS!$D$6,"PRIMEROS AUXILIOS ",IF(K5=CURSOS!$D$7,"DIPLOMADO DE UNIDAD DE CUIDADOS INTENSIVOS (UCI)",IF(K5=CURSOS!$D$8,"MODELO DE ATENCION PARA EVENTOS EMERGENTES EN SALUD MENTAL (CODIGO VERDE)",IF(K5=CURSOS!$D$9,"HUMANIZACION EN EL SERVICIO DE LA SALUD Y BUENAS PRACTICAS EN PACIENTE ",IF(K5=CURSOS!$D$10,"CLINICA DE HERIDAS ",IF(K5=CURSOS!$D$11,"TOMA DE CITOLOGIA CERVICO VAGINAL ",IF(K5=CURSOS!$D$12,"SOPORTE CARDIOVASCULAR AVANZADO (ACLS) ",IF(K5=CURSOS!$D$13,"CAMILLERO ",IF(K5=CURSOS!$D$14,"TOMA DE MUESTRAS Y LABORATORIO ",IF(K5=CURSOS!$D$15,"SOPORTE VITAL BASICO (BLS)",IF(K5=CURSOS!$D$16,"ATENCION A VICTIMAS DE VIOLENCIA SEXUAL ",IF(K5=CURSOS!$D$17,"PROGRAMADO AMPLIADO DE INMUNIZACION (PAI - COVID 19)",IF(K5=CURSOS!$D$18,"ATENCION INTEGRAL EN ENFERMEDADES PREVALENTES EN PRIMERA INFANCIA (AIEPI)",IF(K5=CURSOS!$D$19,"ADMINISTRACION DE MEDICAMENTOS, INYECTOLOGIA  Y CANALIZACION ",IF(K5=CURSOS!$D$20,"OPERADOR DE VEHICULOS DE EMERGENCIA (OVE)",IF(K5=CURSOS!$D$21,"INSTITUCIONES AMIGAS DE LA MUJER Y LA INFANCIA (IAMI)",IF(K5=CURSOS!$D$22,"CUIDADO DEL DONANTE DE ORGANOS",IF(K5=CURSOS!$D$23,"ATENCION A VICTIMAS POR VIOLENCIA DE GENERO",IF(K5=CURSOS!$D$24,"IGUALDAD DE GENERO EN LA SALUD",IF(K5=CURSOS!$D$25,"BRIGADA DE EMERGENCIA",IF(K5=CURSOS!$D$26,"MANEJO DEL DOLOR Y CUIDADOS PALIATIVOS",IF(K5=CURSOS!$D$27,"TOMA DE MUESTRAS Y LABORATORIO POCT",IF(K5=CURSOS!$D$28,"IMPLANTE SUBDERMICO DE DISPOSITIVO INTRAUTERINO",IF(K5=CURSOS!$D$29,"SALUD MENTAL",IF(K5=CURSOS!$D$30,"PRIMEROS AUXILIOS PSICOLOGICOS",IF(K5=CURSOS!$D$31,"ATENCION A VICTIMAS POR CONFLICTO ARMADO",IF(K5=CURSOS!$D$32,"MANIPULACION DE ALIMENTOS Y BPM",IF(K5=CURSOS!$D$33,"ATENCION A PERSONAS CON DISCAPACIDAD",IF(K5=CURSOS!$D$34,"CUIDADO INTEGRAL DEL PACIENTE ADULTO",IF(K5=CURSOS!$D$35,"MANEJO DEFENSIVO",IF(K5=CURSOS!$D$36,"SOPORTE CARDIOVASCULAR AVANZADO NEONATAL",IF(K5=CURSOS!$D$37,"SEGURIDAD DEL PACIENTE")))))))))))))))))))))))))))))))))))</f>
        <v>SOPORTE VITAL BASICO (BLS)</v>
      </c>
      <c r="M5" s="52" t="str">
        <f t="shared" si="0"/>
        <v>Emirgen  Moran Arteaga</v>
      </c>
      <c r="N5" s="52" t="str">
        <f t="shared" si="2"/>
        <v>Emirgen  Moran Arteaga</v>
      </c>
      <c r="O5" s="52" t="str">
        <f t="shared" si="1"/>
        <v>Emirgen  Moran Arteaga-1084846306-BLS</v>
      </c>
    </row>
    <row r="6" spans="1:15" x14ac:dyDescent="0.2">
      <c r="A6" s="149">
        <v>5</v>
      </c>
      <c r="B6" s="149">
        <v>87717578</v>
      </c>
      <c r="C6" s="149" t="s">
        <v>477</v>
      </c>
      <c r="D6" s="149" t="s">
        <v>120</v>
      </c>
      <c r="E6" s="149" t="s">
        <v>481</v>
      </c>
      <c r="F6" s="149"/>
      <c r="G6" s="150">
        <v>17</v>
      </c>
      <c r="H6" s="14" t="s">
        <v>181</v>
      </c>
      <c r="I6" s="14" t="s">
        <v>86</v>
      </c>
      <c r="J6" s="14" t="s">
        <v>511</v>
      </c>
      <c r="K6" s="149" t="s">
        <v>38</v>
      </c>
      <c r="L6" s="100" t="str">
        <f>IF(K6=CURSOS!$D$3,"DIPLOMADO EN ATENCION PRE-HOSPITALARIA",IF(K6=CURSOS!$D$4,"ACOMPAÑAMIENTO Y MANEJO DEL DUELO",IF(K6=CURSOS!$D$5,"ATENCION A VICTIMAS DE ATAQUE CON AGENTES QUIMICOS ",IF(K6=CURSOS!$D$6,"PRIMEROS AUXILIOS ",IF(K6=CURSOS!$D$7,"DIPLOMADO DE UNIDAD DE CUIDADOS INTENSIVOS (UCI)",IF(K6=CURSOS!$D$8,"MODELO DE ATENCION PARA EVENTOS EMERGENTES EN SALUD MENTAL (CODIGO VERDE)",IF(K6=CURSOS!$D$9,"HUMANIZACION EN EL SERVICIO DE LA SALUD Y BUENAS PRACTICAS EN PACIENTE ",IF(K6=CURSOS!$D$10,"CLINICA DE HERIDAS ",IF(K6=CURSOS!$D$11,"TOMA DE CITOLOGIA CERVICO VAGINAL ",IF(K6=CURSOS!$D$12,"SOPORTE CARDIOVASCULAR AVANZADO (ACLS) ",IF(K6=CURSOS!$D$13,"CAMILLERO ",IF(K6=CURSOS!$D$14,"TOMA DE MUESTRAS Y LABORATORIO ",IF(K6=CURSOS!$D$15,"SOPORTE VITAL BASICO (BLS)",IF(K6=CURSOS!$D$16,"ATENCION A VICTIMAS DE VIOLENCIA SEXUAL ",IF(K6=CURSOS!$D$17,"PROGRAMADO AMPLIADO DE INMUNIZACION (PAI - COVID 19)",IF(K6=CURSOS!$D$18,"ATENCION INTEGRAL EN ENFERMEDADES PREVALENTES EN PRIMERA INFANCIA (AIEPI)",IF(K6=CURSOS!$D$19,"ADMINISTRACION DE MEDICAMENTOS, INYECTOLOGIA  Y CANALIZACION ",IF(K6=CURSOS!$D$20,"OPERADOR DE VEHICULOS DE EMERGENCIA (OVE)",IF(K6=CURSOS!$D$21,"INSTITUCIONES AMIGAS DE LA MUJER Y LA INFANCIA (IAMI)",IF(K6=CURSOS!$D$22,"CUIDADO DEL DONANTE DE ORGANOS",IF(K6=CURSOS!$D$23,"ATENCION A VICTIMAS POR VIOLENCIA DE GENERO",IF(K6=CURSOS!$D$24,"IGUALDAD DE GENERO EN LA SALUD",IF(K6=CURSOS!$D$25,"BRIGADA DE EMERGENCIA",IF(K6=CURSOS!$D$26,"MANEJO DEL DOLOR Y CUIDADOS PALIATIVOS",IF(K6=CURSOS!$D$27,"TOMA DE MUESTRAS Y LABORATORIO POCT",IF(K6=CURSOS!$D$28,"IMPLANTE SUBDERMICO DE DISPOSITIVO INTRAUTERINO",IF(K6=CURSOS!$D$29,"SALUD MENTAL",IF(K6=CURSOS!$D$30,"PRIMEROS AUXILIOS PSICOLOGICOS",IF(K6=CURSOS!$D$31,"ATENCION A VICTIMAS POR CONFLICTO ARMADO",IF(K6=CURSOS!$D$32,"MANIPULACION DE ALIMENTOS Y BPM",IF(K6=CURSOS!$D$33,"ATENCION A PERSONAS CON DISCAPACIDAD",IF(K6=CURSOS!$D$34,"CUIDADO INTEGRAL DEL PACIENTE ADULTO",IF(K6=CURSOS!$D$35,"MANEJO DEFENSIVO",IF(K6=CURSOS!$D$36,"SOPORTE CARDIOVASCULAR AVANZADO NEONATAL",IF(K6=CURSOS!$D$37,"SEGURIDAD DEL PACIENTE")))))))))))))))))))))))))))))))))))</f>
        <v xml:space="preserve">SOPORTE CARDIOVASCULAR AVANZADO (ACLS) </v>
      </c>
      <c r="M6" s="52" t="str">
        <f t="shared" si="0"/>
        <v>Edwin  Villota Coral</v>
      </c>
      <c r="N6" s="52" t="str">
        <f t="shared" si="2"/>
        <v>Edwin  Villota Coral</v>
      </c>
      <c r="O6" s="52" t="str">
        <f t="shared" si="1"/>
        <v>Edwin  Villota Coral-87717578-ACLS</v>
      </c>
    </row>
    <row r="7" spans="1:15" x14ac:dyDescent="0.2">
      <c r="A7" s="149">
        <v>6</v>
      </c>
      <c r="B7" s="149">
        <v>87717578</v>
      </c>
      <c r="C7" s="149" t="s">
        <v>477</v>
      </c>
      <c r="D7" s="149" t="s">
        <v>120</v>
      </c>
      <c r="E7" s="149" t="s">
        <v>481</v>
      </c>
      <c r="F7" s="149"/>
      <c r="G7" s="150">
        <v>17</v>
      </c>
      <c r="H7" s="14" t="s">
        <v>181</v>
      </c>
      <c r="I7" s="14" t="s">
        <v>86</v>
      </c>
      <c r="J7" s="14" t="s">
        <v>511</v>
      </c>
      <c r="K7" s="149" t="s">
        <v>19</v>
      </c>
      <c r="L7" s="100" t="str">
        <f>IF(K7=CURSOS!$D$3,"DIPLOMADO EN ATENCION PRE-HOSPITALARIA",IF(K7=CURSOS!$D$4,"ACOMPAÑAMIENTO Y MANEJO DEL DUELO",IF(K7=CURSOS!$D$5,"ATENCION A VICTIMAS DE ATAQUE CON AGENTES QUIMICOS ",IF(K7=CURSOS!$D$6,"PRIMEROS AUXILIOS ",IF(K7=CURSOS!$D$7,"DIPLOMADO DE UNIDAD DE CUIDADOS INTENSIVOS (UCI)",IF(K7=CURSOS!$D$8,"MODELO DE ATENCION PARA EVENTOS EMERGENTES EN SALUD MENTAL (CODIGO VERDE)",IF(K7=CURSOS!$D$9,"HUMANIZACION EN EL SERVICIO DE LA SALUD Y BUENAS PRACTICAS EN PACIENTE ",IF(K7=CURSOS!$D$10,"CLINICA DE HERIDAS ",IF(K7=CURSOS!$D$11,"TOMA DE CITOLOGIA CERVICO VAGINAL ",IF(K7=CURSOS!$D$12,"SOPORTE CARDIOVASCULAR AVANZADO (ACLS) ",IF(K7=CURSOS!$D$13,"CAMILLERO ",IF(K7=CURSOS!$D$14,"TOMA DE MUESTRAS Y LABORATORIO ",IF(K7=CURSOS!$D$15,"SOPORTE VITAL BASICO (BLS)",IF(K7=CURSOS!$D$16,"ATENCION A VICTIMAS DE VIOLENCIA SEXUAL ",IF(K7=CURSOS!$D$17,"PROGRAMADO AMPLIADO DE INMUNIZACION (PAI - COVID 19)",IF(K7=CURSOS!$D$18,"ATENCION INTEGRAL EN ENFERMEDADES PREVALENTES EN PRIMERA INFANCIA (AIEPI)",IF(K7=CURSOS!$D$19,"ADMINISTRACION DE MEDICAMENTOS, INYECTOLOGIA  Y CANALIZACION ",IF(K7=CURSOS!$D$20,"OPERADOR DE VEHICULOS DE EMERGENCIA (OVE)",IF(K7=CURSOS!$D$21,"INSTITUCIONES AMIGAS DE LA MUJER Y LA INFANCIA (IAMI)",IF(K7=CURSOS!$D$22,"CUIDADO DEL DONANTE DE ORGANOS",IF(K7=CURSOS!$D$23,"ATENCION A VICTIMAS POR VIOLENCIA DE GENERO",IF(K7=CURSOS!$D$24,"IGUALDAD DE GENERO EN LA SALUD",IF(K7=CURSOS!$D$25,"BRIGADA DE EMERGENCIA",IF(K7=CURSOS!$D$26,"MANEJO DEL DOLOR Y CUIDADOS PALIATIVOS",IF(K7=CURSOS!$D$27,"TOMA DE MUESTRAS Y LABORATORIO POCT",IF(K7=CURSOS!$D$28,"IMPLANTE SUBDERMICO DE DISPOSITIVO INTRAUTERINO",IF(K7=CURSOS!$D$29,"SALUD MENTAL",IF(K7=CURSOS!$D$30,"PRIMEROS AUXILIOS PSICOLOGICOS",IF(K7=CURSOS!$D$31,"ATENCION A VICTIMAS POR CONFLICTO ARMADO",IF(K7=CURSOS!$D$32,"MANIPULACION DE ALIMENTOS Y BPM",IF(K7=CURSOS!$D$33,"ATENCION A PERSONAS CON DISCAPACIDAD",IF(K7=CURSOS!$D$34,"CUIDADO INTEGRAL DEL PACIENTE ADULTO",IF(K7=CURSOS!$D$35,"MANEJO DEFENSIVO",IF(K7=CURSOS!$D$36,"SOPORTE CARDIOVASCULAR AVANZADO NEONATAL",IF(K7=CURSOS!$D$37,"SEGURIDAD DEL PACIENTE")))))))))))))))))))))))))))))))))))</f>
        <v>SOPORTE VITAL BASICO (BLS)</v>
      </c>
      <c r="M7" s="52" t="str">
        <f t="shared" si="0"/>
        <v>Edwin  Villota Coral</v>
      </c>
      <c r="N7" s="52" t="str">
        <f t="shared" si="2"/>
        <v>Edwin  Villota Coral</v>
      </c>
      <c r="O7" s="52" t="str">
        <f t="shared" si="1"/>
        <v>Edwin  Villota Coral-87717578-BLS</v>
      </c>
    </row>
    <row r="8" spans="1:15" x14ac:dyDescent="0.2">
      <c r="A8" s="149">
        <v>7</v>
      </c>
      <c r="B8" s="149">
        <v>27160173</v>
      </c>
      <c r="C8" s="149" t="s">
        <v>123</v>
      </c>
      <c r="D8" s="149" t="s">
        <v>453</v>
      </c>
      <c r="E8" s="149" t="s">
        <v>482</v>
      </c>
      <c r="F8" s="149" t="s">
        <v>483</v>
      </c>
      <c r="G8" s="150">
        <v>17</v>
      </c>
      <c r="H8" s="14" t="s">
        <v>181</v>
      </c>
      <c r="I8" s="14" t="s">
        <v>86</v>
      </c>
      <c r="J8" s="14" t="s">
        <v>511</v>
      </c>
      <c r="K8" s="149" t="s">
        <v>38</v>
      </c>
      <c r="L8" s="100" t="str">
        <f>IF(K8=CURSOS!$D$3,"DIPLOMADO EN ATENCION PRE-HOSPITALARIA",IF(K8=CURSOS!$D$4,"ACOMPAÑAMIENTO Y MANEJO DEL DUELO",IF(K8=CURSOS!$D$5,"ATENCION A VICTIMAS DE ATAQUE CON AGENTES QUIMICOS ",IF(K8=CURSOS!$D$6,"PRIMEROS AUXILIOS ",IF(K8=CURSOS!$D$7,"DIPLOMADO DE UNIDAD DE CUIDADOS INTENSIVOS (UCI)",IF(K8=CURSOS!$D$8,"MODELO DE ATENCION PARA EVENTOS EMERGENTES EN SALUD MENTAL (CODIGO VERDE)",IF(K8=CURSOS!$D$9,"HUMANIZACION EN EL SERVICIO DE LA SALUD Y BUENAS PRACTICAS EN PACIENTE ",IF(K8=CURSOS!$D$10,"CLINICA DE HERIDAS ",IF(K8=CURSOS!$D$11,"TOMA DE CITOLOGIA CERVICO VAGINAL ",IF(K8=CURSOS!$D$12,"SOPORTE CARDIOVASCULAR AVANZADO (ACLS) ",IF(K8=CURSOS!$D$13,"CAMILLERO ",IF(K8=CURSOS!$D$14,"TOMA DE MUESTRAS Y LABORATORIO ",IF(K8=CURSOS!$D$15,"SOPORTE VITAL BASICO (BLS)",IF(K8=CURSOS!$D$16,"ATENCION A VICTIMAS DE VIOLENCIA SEXUAL ",IF(K8=CURSOS!$D$17,"PROGRAMADO AMPLIADO DE INMUNIZACION (PAI - COVID 19)",IF(K8=CURSOS!$D$18,"ATENCION INTEGRAL EN ENFERMEDADES PREVALENTES EN PRIMERA INFANCIA (AIEPI)",IF(K8=CURSOS!$D$19,"ADMINISTRACION DE MEDICAMENTOS, INYECTOLOGIA  Y CANALIZACION ",IF(K8=CURSOS!$D$20,"OPERADOR DE VEHICULOS DE EMERGENCIA (OVE)",IF(K8=CURSOS!$D$21,"INSTITUCIONES AMIGAS DE LA MUJER Y LA INFANCIA (IAMI)",IF(K8=CURSOS!$D$22,"CUIDADO DEL DONANTE DE ORGANOS",IF(K8=CURSOS!$D$23,"ATENCION A VICTIMAS POR VIOLENCIA DE GENERO",IF(K8=CURSOS!$D$24,"IGUALDAD DE GENERO EN LA SALUD",IF(K8=CURSOS!$D$25,"BRIGADA DE EMERGENCIA",IF(K8=CURSOS!$D$26,"MANEJO DEL DOLOR Y CUIDADOS PALIATIVOS",IF(K8=CURSOS!$D$27,"TOMA DE MUESTRAS Y LABORATORIO POCT",IF(K8=CURSOS!$D$28,"IMPLANTE SUBDERMICO DE DISPOSITIVO INTRAUTERINO",IF(K8=CURSOS!$D$29,"SALUD MENTAL",IF(K8=CURSOS!$D$30,"PRIMEROS AUXILIOS PSICOLOGICOS",IF(K8=CURSOS!$D$31,"ATENCION A VICTIMAS POR CONFLICTO ARMADO",IF(K8=CURSOS!$D$32,"MANIPULACION DE ALIMENTOS Y BPM",IF(K8=CURSOS!$D$33,"ATENCION A PERSONAS CON DISCAPACIDAD",IF(K8=CURSOS!$D$34,"CUIDADO INTEGRAL DEL PACIENTE ADULTO",IF(K8=CURSOS!$D$35,"MANEJO DEFENSIVO",IF(K8=CURSOS!$D$36,"SOPORTE CARDIOVASCULAR AVANZADO NEONATAL",IF(K8=CURSOS!$D$37,"SEGURIDAD DEL PACIENTE")))))))))))))))))))))))))))))))))))</f>
        <v xml:space="preserve">SOPORTE CARDIOVASCULAR AVANZADO (ACLS) </v>
      </c>
      <c r="M8" s="52" t="str">
        <f t="shared" si="0"/>
        <v>Custodia Jael Ibarra Valenzuela</v>
      </c>
      <c r="N8" s="52" t="str">
        <f t="shared" si="2"/>
        <v>Custodia Jael Ibarra Valenzuela</v>
      </c>
      <c r="O8" s="52" t="str">
        <f t="shared" si="1"/>
        <v>Custodia Jael Ibarra Valenzuela-27160173-ACLS</v>
      </c>
    </row>
    <row r="9" spans="1:15" x14ac:dyDescent="0.2">
      <c r="A9" s="149">
        <v>8</v>
      </c>
      <c r="B9" s="149">
        <v>27160173</v>
      </c>
      <c r="C9" s="149" t="s">
        <v>123</v>
      </c>
      <c r="D9" s="149" t="s">
        <v>453</v>
      </c>
      <c r="E9" s="149" t="s">
        <v>482</v>
      </c>
      <c r="F9" s="149" t="s">
        <v>483</v>
      </c>
      <c r="G9" s="150">
        <v>17</v>
      </c>
      <c r="H9" s="14" t="s">
        <v>181</v>
      </c>
      <c r="I9" s="14" t="s">
        <v>86</v>
      </c>
      <c r="J9" s="14" t="s">
        <v>511</v>
      </c>
      <c r="K9" s="149" t="s">
        <v>19</v>
      </c>
      <c r="L9" s="100" t="str">
        <f>IF(K9=CURSOS!$D$3,"DIPLOMADO EN ATENCION PRE-HOSPITALARIA",IF(K9=CURSOS!$D$4,"ACOMPAÑAMIENTO Y MANEJO DEL DUELO",IF(K9=CURSOS!$D$5,"ATENCION A VICTIMAS DE ATAQUE CON AGENTES QUIMICOS ",IF(K9=CURSOS!$D$6,"PRIMEROS AUXILIOS ",IF(K9=CURSOS!$D$7,"DIPLOMADO DE UNIDAD DE CUIDADOS INTENSIVOS (UCI)",IF(K9=CURSOS!$D$8,"MODELO DE ATENCION PARA EVENTOS EMERGENTES EN SALUD MENTAL (CODIGO VERDE)",IF(K9=CURSOS!$D$9,"HUMANIZACION EN EL SERVICIO DE LA SALUD Y BUENAS PRACTICAS EN PACIENTE ",IF(K9=CURSOS!$D$10,"CLINICA DE HERIDAS ",IF(K9=CURSOS!$D$11,"TOMA DE CITOLOGIA CERVICO VAGINAL ",IF(K9=CURSOS!$D$12,"SOPORTE CARDIOVASCULAR AVANZADO (ACLS) ",IF(K9=CURSOS!$D$13,"CAMILLERO ",IF(K9=CURSOS!$D$14,"TOMA DE MUESTRAS Y LABORATORIO ",IF(K9=CURSOS!$D$15,"SOPORTE VITAL BASICO (BLS)",IF(K9=CURSOS!$D$16,"ATENCION A VICTIMAS DE VIOLENCIA SEXUAL ",IF(K9=CURSOS!$D$17,"PROGRAMADO AMPLIADO DE INMUNIZACION (PAI - COVID 19)",IF(K9=CURSOS!$D$18,"ATENCION INTEGRAL EN ENFERMEDADES PREVALENTES EN PRIMERA INFANCIA (AIEPI)",IF(K9=CURSOS!$D$19,"ADMINISTRACION DE MEDICAMENTOS, INYECTOLOGIA  Y CANALIZACION ",IF(K9=CURSOS!$D$20,"OPERADOR DE VEHICULOS DE EMERGENCIA (OVE)",IF(K9=CURSOS!$D$21,"INSTITUCIONES AMIGAS DE LA MUJER Y LA INFANCIA (IAMI)",IF(K9=CURSOS!$D$22,"CUIDADO DEL DONANTE DE ORGANOS",IF(K9=CURSOS!$D$23,"ATENCION A VICTIMAS POR VIOLENCIA DE GENERO",IF(K9=CURSOS!$D$24,"IGUALDAD DE GENERO EN LA SALUD",IF(K9=CURSOS!$D$25,"BRIGADA DE EMERGENCIA",IF(K9=CURSOS!$D$26,"MANEJO DEL DOLOR Y CUIDADOS PALIATIVOS",IF(K9=CURSOS!$D$27,"TOMA DE MUESTRAS Y LABORATORIO POCT",IF(K9=CURSOS!$D$28,"IMPLANTE SUBDERMICO DE DISPOSITIVO INTRAUTERINO",IF(K9=CURSOS!$D$29,"SALUD MENTAL",IF(K9=CURSOS!$D$30,"PRIMEROS AUXILIOS PSICOLOGICOS",IF(K9=CURSOS!$D$31,"ATENCION A VICTIMAS POR CONFLICTO ARMADO",IF(K9=CURSOS!$D$32,"MANIPULACION DE ALIMENTOS Y BPM",IF(K9=CURSOS!$D$33,"ATENCION A PERSONAS CON DISCAPACIDAD",IF(K9=CURSOS!$D$34,"CUIDADO INTEGRAL DEL PACIENTE ADULTO",IF(K9=CURSOS!$D$35,"MANEJO DEFENSIVO",IF(K9=CURSOS!$D$36,"SOPORTE CARDIOVASCULAR AVANZADO NEONATAL",IF(K9=CURSOS!$D$37,"SEGURIDAD DEL PACIENTE")))))))))))))))))))))))))))))))))))</f>
        <v>SOPORTE VITAL BASICO (BLS)</v>
      </c>
      <c r="M9" s="52" t="str">
        <f t="shared" si="0"/>
        <v>Custodia Jael Ibarra Valenzuela</v>
      </c>
      <c r="N9" s="52" t="str">
        <f t="shared" si="2"/>
        <v>Custodia Jael Ibarra Valenzuela</v>
      </c>
      <c r="O9" s="52" t="str">
        <f t="shared" si="1"/>
        <v>Custodia Jael Ibarra Valenzuela-27160173-BLS</v>
      </c>
    </row>
    <row r="10" spans="1:15" x14ac:dyDescent="0.2">
      <c r="A10" s="149">
        <v>9</v>
      </c>
      <c r="B10" s="149">
        <v>1004490675</v>
      </c>
      <c r="C10" s="149" t="s">
        <v>454</v>
      </c>
      <c r="D10" s="149" t="s">
        <v>119</v>
      </c>
      <c r="E10" s="149" t="s">
        <v>381</v>
      </c>
      <c r="F10" s="149" t="s">
        <v>484</v>
      </c>
      <c r="G10" s="150">
        <v>17</v>
      </c>
      <c r="H10" s="14" t="s">
        <v>181</v>
      </c>
      <c r="I10" s="14" t="s">
        <v>86</v>
      </c>
      <c r="J10" s="14" t="s">
        <v>511</v>
      </c>
      <c r="K10" s="149" t="s">
        <v>38</v>
      </c>
      <c r="L10" s="100" t="str">
        <f>IF(K10=CURSOS!$D$3,"DIPLOMADO EN ATENCION PRE-HOSPITALARIA",IF(K10=CURSOS!$D$4,"ACOMPAÑAMIENTO Y MANEJO DEL DUELO",IF(K10=CURSOS!$D$5,"ATENCION A VICTIMAS DE ATAQUE CON AGENTES QUIMICOS ",IF(K10=CURSOS!$D$6,"PRIMEROS AUXILIOS ",IF(K10=CURSOS!$D$7,"DIPLOMADO DE UNIDAD DE CUIDADOS INTENSIVOS (UCI)",IF(K10=CURSOS!$D$8,"MODELO DE ATENCION PARA EVENTOS EMERGENTES EN SALUD MENTAL (CODIGO VERDE)",IF(K10=CURSOS!$D$9,"HUMANIZACION EN EL SERVICIO DE LA SALUD Y BUENAS PRACTICAS EN PACIENTE ",IF(K10=CURSOS!$D$10,"CLINICA DE HERIDAS ",IF(K10=CURSOS!$D$11,"TOMA DE CITOLOGIA CERVICO VAGINAL ",IF(K10=CURSOS!$D$12,"SOPORTE CARDIOVASCULAR AVANZADO (ACLS) ",IF(K10=CURSOS!$D$13,"CAMILLERO ",IF(K10=CURSOS!$D$14,"TOMA DE MUESTRAS Y LABORATORIO ",IF(K10=CURSOS!$D$15,"SOPORTE VITAL BASICO (BLS)",IF(K10=CURSOS!$D$16,"ATENCION A VICTIMAS DE VIOLENCIA SEXUAL ",IF(K10=CURSOS!$D$17,"PROGRAMADO AMPLIADO DE INMUNIZACION (PAI - COVID 19)",IF(K10=CURSOS!$D$18,"ATENCION INTEGRAL EN ENFERMEDADES PREVALENTES EN PRIMERA INFANCIA (AIEPI)",IF(K10=CURSOS!$D$19,"ADMINISTRACION DE MEDICAMENTOS, INYECTOLOGIA  Y CANALIZACION ",IF(K10=CURSOS!$D$20,"OPERADOR DE VEHICULOS DE EMERGENCIA (OVE)",IF(K10=CURSOS!$D$21,"INSTITUCIONES AMIGAS DE LA MUJER Y LA INFANCIA (IAMI)",IF(K10=CURSOS!$D$22,"CUIDADO DEL DONANTE DE ORGANOS",IF(K10=CURSOS!$D$23,"ATENCION A VICTIMAS POR VIOLENCIA DE GENERO",IF(K10=CURSOS!$D$24,"IGUALDAD DE GENERO EN LA SALUD",IF(K10=CURSOS!$D$25,"BRIGADA DE EMERGENCIA",IF(K10=CURSOS!$D$26,"MANEJO DEL DOLOR Y CUIDADOS PALIATIVOS",IF(K10=CURSOS!$D$27,"TOMA DE MUESTRAS Y LABORATORIO POCT",IF(K10=CURSOS!$D$28,"IMPLANTE SUBDERMICO DE DISPOSITIVO INTRAUTERINO",IF(K10=CURSOS!$D$29,"SALUD MENTAL",IF(K10=CURSOS!$D$30,"PRIMEROS AUXILIOS PSICOLOGICOS",IF(K10=CURSOS!$D$31,"ATENCION A VICTIMAS POR CONFLICTO ARMADO",IF(K10=CURSOS!$D$32,"MANIPULACION DE ALIMENTOS Y BPM",IF(K10=CURSOS!$D$33,"ATENCION A PERSONAS CON DISCAPACIDAD",IF(K10=CURSOS!$D$34,"CUIDADO INTEGRAL DEL PACIENTE ADULTO",IF(K10=CURSOS!$D$35,"MANEJO DEFENSIVO",IF(K10=CURSOS!$D$36,"SOPORTE CARDIOVASCULAR AVANZADO NEONATAL",IF(K10=CURSOS!$D$37,"SEGURIDAD DEL PACIENTE")))))))))))))))))))))))))))))))))))</f>
        <v xml:space="preserve">SOPORTE CARDIOVASCULAR AVANZADO (ACLS) </v>
      </c>
      <c r="M10" s="52" t="str">
        <f t="shared" si="0"/>
        <v>Angie Mabell Obando Ceballos</v>
      </c>
      <c r="N10" s="52" t="str">
        <f t="shared" si="2"/>
        <v>Angie Mabell Obando Ceballos</v>
      </c>
      <c r="O10" s="52" t="str">
        <f t="shared" si="1"/>
        <v>Angie Mabell Obando Ceballos-1004490675-ACLS</v>
      </c>
    </row>
    <row r="11" spans="1:15" x14ac:dyDescent="0.2">
      <c r="A11" s="85">
        <v>10</v>
      </c>
      <c r="B11" s="149">
        <v>1004490675</v>
      </c>
      <c r="C11" s="149" t="s">
        <v>454</v>
      </c>
      <c r="D11" s="149" t="s">
        <v>119</v>
      </c>
      <c r="E11" s="149" t="s">
        <v>381</v>
      </c>
      <c r="F11" s="149" t="s">
        <v>484</v>
      </c>
      <c r="G11" s="101">
        <v>17</v>
      </c>
      <c r="H11" s="14" t="s">
        <v>181</v>
      </c>
      <c r="I11" s="14" t="s">
        <v>86</v>
      </c>
      <c r="J11" s="14" t="s">
        <v>511</v>
      </c>
      <c r="K11" s="149" t="s">
        <v>19</v>
      </c>
      <c r="L11" s="100" t="str">
        <f>IF(K11=CURSOS!$D$3,"DIPLOMADO EN ATENCION PRE-HOSPITALARIA",IF(K11=CURSOS!$D$4,"ACOMPAÑAMIENTO Y MANEJO DEL DUELO",IF(K11=CURSOS!$D$5,"ATENCION A VICTIMAS DE ATAQUE CON AGENTES QUIMICOS ",IF(K11=CURSOS!$D$6,"PRIMEROS AUXILIOS ",IF(K11=CURSOS!$D$7,"DIPLOMADO DE UNIDAD DE CUIDADOS INTENSIVOS (UCI)",IF(K11=CURSOS!$D$8,"MODELO DE ATENCION PARA EVENTOS EMERGENTES EN SALUD MENTAL (CODIGO VERDE)",IF(K11=CURSOS!$D$9,"HUMANIZACION EN EL SERVICIO DE LA SALUD Y BUENAS PRACTICAS EN PACIENTE ",IF(K11=CURSOS!$D$10,"CLINICA DE HERIDAS ",IF(K11=CURSOS!$D$11,"TOMA DE CITOLOGIA CERVICO VAGINAL ",IF(K11=CURSOS!$D$12,"SOPORTE CARDIOVASCULAR AVANZADO (ACLS) ",IF(K11=CURSOS!$D$13,"CAMILLERO ",IF(K11=CURSOS!$D$14,"TOMA DE MUESTRAS Y LABORATORIO ",IF(K11=CURSOS!$D$15,"SOPORTE VITAL BASICO (BLS)",IF(K11=CURSOS!$D$16,"ATENCION A VICTIMAS DE VIOLENCIA SEXUAL ",IF(K11=CURSOS!$D$17,"PROGRAMADO AMPLIADO DE INMUNIZACION (PAI - COVID 19)",IF(K11=CURSOS!$D$18,"ATENCION INTEGRAL EN ENFERMEDADES PREVALENTES EN PRIMERA INFANCIA (AIEPI)",IF(K11=CURSOS!$D$19,"ADMINISTRACION DE MEDICAMENTOS, INYECTOLOGIA  Y CANALIZACION ",IF(K11=CURSOS!$D$20,"OPERADOR DE VEHICULOS DE EMERGENCIA (OVE)",IF(K11=CURSOS!$D$21,"INSTITUCIONES AMIGAS DE LA MUJER Y LA INFANCIA (IAMI)",IF(K11=CURSOS!$D$22,"CUIDADO DEL DONANTE DE ORGANOS",IF(K11=CURSOS!$D$23,"ATENCION A VICTIMAS POR VIOLENCIA DE GENERO",IF(K11=CURSOS!$D$24,"IGUALDAD DE GENERO EN LA SALUD",IF(K11=CURSOS!$D$25,"BRIGADA DE EMERGENCIA",IF(K11=CURSOS!$D$26,"MANEJO DEL DOLOR Y CUIDADOS PALIATIVOS",IF(K11=CURSOS!$D$27,"TOMA DE MUESTRAS Y LABORATORIO POCT",IF(K11=CURSOS!$D$28,"IMPLANTE SUBDERMICO DE DISPOSITIVO INTRAUTERINO",IF(K11=CURSOS!$D$29,"SALUD MENTAL",IF(K11=CURSOS!$D$30,"PRIMEROS AUXILIOS PSICOLOGICOS",IF(K11=CURSOS!$D$31,"ATENCION A VICTIMAS POR CONFLICTO ARMADO",IF(K11=CURSOS!$D$32,"MANIPULACION DE ALIMENTOS Y BPM",IF(K11=CURSOS!$D$33,"ATENCION A PERSONAS CON DISCAPACIDAD",IF(K11=CURSOS!$D$34,"CUIDADO INTEGRAL DEL PACIENTE ADULTO",IF(K11=CURSOS!$D$35,"MANEJO DEFENSIVO",IF(K11=CURSOS!$D$36,"SOPORTE CARDIOVASCULAR AVANZADO NEONATAL",IF(K11=CURSOS!$D$37,"SEGURIDAD DEL PACIENTE")))))))))))))))))))))))))))))))))))</f>
        <v>SOPORTE VITAL BASICO (BLS)</v>
      </c>
      <c r="M11" s="52" t="str">
        <f t="shared" si="0"/>
        <v>Angie Mabell Obando Ceballos</v>
      </c>
      <c r="N11" s="52" t="str">
        <f t="shared" si="2"/>
        <v>Angie Mabell Obando Ceballos</v>
      </c>
      <c r="O11" s="52" t="str">
        <f t="shared" si="1"/>
        <v>Angie Mabell Obando Ceballos-1004490675-BLS</v>
      </c>
    </row>
    <row r="12" spans="1:15" x14ac:dyDescent="0.2">
      <c r="A12" s="85">
        <v>11</v>
      </c>
      <c r="B12" s="149">
        <v>27160557</v>
      </c>
      <c r="C12" s="149" t="s">
        <v>119</v>
      </c>
      <c r="D12" s="149" t="s">
        <v>455</v>
      </c>
      <c r="E12" s="149" t="s">
        <v>485</v>
      </c>
      <c r="F12" s="149" t="s">
        <v>486</v>
      </c>
      <c r="G12" s="101">
        <v>17</v>
      </c>
      <c r="H12" s="14" t="s">
        <v>181</v>
      </c>
      <c r="I12" s="14" t="s">
        <v>86</v>
      </c>
      <c r="J12" s="14" t="s">
        <v>511</v>
      </c>
      <c r="K12" s="149" t="s">
        <v>38</v>
      </c>
      <c r="L12" s="100" t="str">
        <f>IF(K12=CURSOS!$D$3,"DIPLOMADO EN ATENCION PRE-HOSPITALARIA",IF(K12=CURSOS!$D$4,"ACOMPAÑAMIENTO Y MANEJO DEL DUELO",IF(K12=CURSOS!$D$5,"ATENCION A VICTIMAS DE ATAQUE CON AGENTES QUIMICOS ",IF(K12=CURSOS!$D$6,"PRIMEROS AUXILIOS ",IF(K12=CURSOS!$D$7,"DIPLOMADO DE UNIDAD DE CUIDADOS INTENSIVOS (UCI)",IF(K12=CURSOS!$D$8,"MODELO DE ATENCION PARA EVENTOS EMERGENTES EN SALUD MENTAL (CODIGO VERDE)",IF(K12=CURSOS!$D$9,"HUMANIZACION EN EL SERVICIO DE LA SALUD Y BUENAS PRACTICAS EN PACIENTE ",IF(K12=CURSOS!$D$10,"CLINICA DE HERIDAS ",IF(K12=CURSOS!$D$11,"TOMA DE CITOLOGIA CERVICO VAGINAL ",IF(K12=CURSOS!$D$12,"SOPORTE CARDIOVASCULAR AVANZADO (ACLS) ",IF(K12=CURSOS!$D$13,"CAMILLERO ",IF(K12=CURSOS!$D$14,"TOMA DE MUESTRAS Y LABORATORIO ",IF(K12=CURSOS!$D$15,"SOPORTE VITAL BASICO (BLS)",IF(K12=CURSOS!$D$16,"ATENCION A VICTIMAS DE VIOLENCIA SEXUAL ",IF(K12=CURSOS!$D$17,"PROGRAMADO AMPLIADO DE INMUNIZACION (PAI - COVID 19)",IF(K12=CURSOS!$D$18,"ATENCION INTEGRAL EN ENFERMEDADES PREVALENTES EN PRIMERA INFANCIA (AIEPI)",IF(K12=CURSOS!$D$19,"ADMINISTRACION DE MEDICAMENTOS, INYECTOLOGIA  Y CANALIZACION ",IF(K12=CURSOS!$D$20,"OPERADOR DE VEHICULOS DE EMERGENCIA (OVE)",IF(K12=CURSOS!$D$21,"INSTITUCIONES AMIGAS DE LA MUJER Y LA INFANCIA (IAMI)",IF(K12=CURSOS!$D$22,"CUIDADO DEL DONANTE DE ORGANOS",IF(K12=CURSOS!$D$23,"ATENCION A VICTIMAS POR VIOLENCIA DE GENERO",IF(K12=CURSOS!$D$24,"IGUALDAD DE GENERO EN LA SALUD",IF(K12=CURSOS!$D$25,"BRIGADA DE EMERGENCIA",IF(K12=CURSOS!$D$26,"MANEJO DEL DOLOR Y CUIDADOS PALIATIVOS",IF(K12=CURSOS!$D$27,"TOMA DE MUESTRAS Y LABORATORIO POCT",IF(K12=CURSOS!$D$28,"IMPLANTE SUBDERMICO DE DISPOSITIVO INTRAUTERINO",IF(K12=CURSOS!$D$29,"SALUD MENTAL",IF(K12=CURSOS!$D$30,"PRIMEROS AUXILIOS PSICOLOGICOS",IF(K12=CURSOS!$D$31,"ATENCION A VICTIMAS POR CONFLICTO ARMADO",IF(K12=CURSOS!$D$32,"MANIPULACION DE ALIMENTOS Y BPM",IF(K12=CURSOS!$D$33,"ATENCION A PERSONAS CON DISCAPACIDAD",IF(K12=CURSOS!$D$34,"CUIDADO INTEGRAL DEL PACIENTE ADULTO",IF(K12=CURSOS!$D$35,"MANEJO DEFENSIVO",IF(K12=CURSOS!$D$36,"SOPORTE CARDIOVASCULAR AVANZADO NEONATAL",IF(K12=CURSOS!$D$37,"SEGURIDAD DEL PACIENTE")))))))))))))))))))))))))))))))))))</f>
        <v xml:space="preserve">SOPORTE CARDIOVASCULAR AVANZADO (ACLS) </v>
      </c>
      <c r="M12" s="52" t="str">
        <f t="shared" si="0"/>
        <v>María del Carmen Ceballos Figueroa</v>
      </c>
      <c r="N12" s="52" t="str">
        <f t="shared" si="2"/>
        <v>María Del Carmen Ceballos Figueroa</v>
      </c>
      <c r="O12" s="52" t="str">
        <f t="shared" si="1"/>
        <v>María del Carmen Ceballos Figueroa-27160557-ACLS</v>
      </c>
    </row>
    <row r="13" spans="1:15" x14ac:dyDescent="0.2">
      <c r="A13" s="149">
        <v>12</v>
      </c>
      <c r="B13" s="149">
        <v>27160557</v>
      </c>
      <c r="C13" s="149" t="s">
        <v>119</v>
      </c>
      <c r="D13" s="149" t="s">
        <v>455</v>
      </c>
      <c r="E13" s="149" t="s">
        <v>485</v>
      </c>
      <c r="F13" s="149" t="s">
        <v>486</v>
      </c>
      <c r="G13" s="150">
        <v>17</v>
      </c>
      <c r="H13" s="14" t="s">
        <v>181</v>
      </c>
      <c r="I13" s="14" t="s">
        <v>86</v>
      </c>
      <c r="J13" s="14" t="s">
        <v>511</v>
      </c>
      <c r="K13" s="149" t="s">
        <v>19</v>
      </c>
      <c r="L13" s="100" t="str">
        <f>IF(K13=CURSOS!$D$3,"DIPLOMADO EN ATENCION PRE-HOSPITALARIA",IF(K13=CURSOS!$D$4,"ACOMPAÑAMIENTO Y MANEJO DEL DUELO",IF(K13=CURSOS!$D$5,"ATENCION A VICTIMAS DE ATAQUE CON AGENTES QUIMICOS ",IF(K13=CURSOS!$D$6,"PRIMEROS AUXILIOS ",IF(K13=CURSOS!$D$7,"DIPLOMADO DE UNIDAD DE CUIDADOS INTENSIVOS (UCI)",IF(K13=CURSOS!$D$8,"MODELO DE ATENCION PARA EVENTOS EMERGENTES EN SALUD MENTAL (CODIGO VERDE)",IF(K13=CURSOS!$D$9,"HUMANIZACION EN EL SERVICIO DE LA SALUD Y BUENAS PRACTICAS EN PACIENTE ",IF(K13=CURSOS!$D$10,"CLINICA DE HERIDAS ",IF(K13=CURSOS!$D$11,"TOMA DE CITOLOGIA CERVICO VAGINAL ",IF(K13=CURSOS!$D$12,"SOPORTE CARDIOVASCULAR AVANZADO (ACLS) ",IF(K13=CURSOS!$D$13,"CAMILLERO ",IF(K13=CURSOS!$D$14,"TOMA DE MUESTRAS Y LABORATORIO ",IF(K13=CURSOS!$D$15,"SOPORTE VITAL BASICO (BLS)",IF(K13=CURSOS!$D$16,"ATENCION A VICTIMAS DE VIOLENCIA SEXUAL ",IF(K13=CURSOS!$D$17,"PROGRAMADO AMPLIADO DE INMUNIZACION (PAI - COVID 19)",IF(K13=CURSOS!$D$18,"ATENCION INTEGRAL EN ENFERMEDADES PREVALENTES EN PRIMERA INFANCIA (AIEPI)",IF(K13=CURSOS!$D$19,"ADMINISTRACION DE MEDICAMENTOS, INYECTOLOGIA  Y CANALIZACION ",IF(K13=CURSOS!$D$20,"OPERADOR DE VEHICULOS DE EMERGENCIA (OVE)",IF(K13=CURSOS!$D$21,"INSTITUCIONES AMIGAS DE LA MUJER Y LA INFANCIA (IAMI)",IF(K13=CURSOS!$D$22,"CUIDADO DEL DONANTE DE ORGANOS",IF(K13=CURSOS!$D$23,"ATENCION A VICTIMAS POR VIOLENCIA DE GENERO",IF(K13=CURSOS!$D$24,"IGUALDAD DE GENERO EN LA SALUD",IF(K13=CURSOS!$D$25,"BRIGADA DE EMERGENCIA",IF(K13=CURSOS!$D$26,"MANEJO DEL DOLOR Y CUIDADOS PALIATIVOS",IF(K13=CURSOS!$D$27,"TOMA DE MUESTRAS Y LABORATORIO POCT",IF(K13=CURSOS!$D$28,"IMPLANTE SUBDERMICO DE DISPOSITIVO INTRAUTERINO",IF(K13=CURSOS!$D$29,"SALUD MENTAL",IF(K13=CURSOS!$D$30,"PRIMEROS AUXILIOS PSICOLOGICOS",IF(K13=CURSOS!$D$31,"ATENCION A VICTIMAS POR CONFLICTO ARMADO",IF(K13=CURSOS!$D$32,"MANIPULACION DE ALIMENTOS Y BPM",IF(K13=CURSOS!$D$33,"ATENCION A PERSONAS CON DISCAPACIDAD",IF(K13=CURSOS!$D$34,"CUIDADO INTEGRAL DEL PACIENTE ADULTO",IF(K13=CURSOS!$D$35,"MANEJO DEFENSIVO",IF(K13=CURSOS!$D$36,"SOPORTE CARDIOVASCULAR AVANZADO NEONATAL",IF(K13=CURSOS!$D$37,"SEGURIDAD DEL PACIENTE")))))))))))))))))))))))))))))))))))</f>
        <v>SOPORTE VITAL BASICO (BLS)</v>
      </c>
      <c r="M13" s="52" t="str">
        <f t="shared" si="0"/>
        <v>María del Carmen Ceballos Figueroa</v>
      </c>
      <c r="N13" s="52" t="str">
        <f t="shared" si="2"/>
        <v>María Del Carmen Ceballos Figueroa</v>
      </c>
      <c r="O13" s="52" t="str">
        <f t="shared" si="1"/>
        <v>María del Carmen Ceballos Figueroa-27160557-BLS</v>
      </c>
    </row>
    <row r="14" spans="1:15" x14ac:dyDescent="0.2">
      <c r="A14" s="149">
        <v>13</v>
      </c>
      <c r="B14" s="149">
        <v>1085287754</v>
      </c>
      <c r="C14" s="149" t="s">
        <v>92</v>
      </c>
      <c r="D14" s="149" t="s">
        <v>169</v>
      </c>
      <c r="E14" s="149" t="s">
        <v>312</v>
      </c>
      <c r="F14" s="149" t="s">
        <v>397</v>
      </c>
      <c r="G14" s="150">
        <v>17</v>
      </c>
      <c r="H14" s="14" t="s">
        <v>181</v>
      </c>
      <c r="I14" s="14" t="s">
        <v>86</v>
      </c>
      <c r="J14" s="14" t="s">
        <v>511</v>
      </c>
      <c r="K14" s="149" t="s">
        <v>38</v>
      </c>
      <c r="L14" s="100" t="str">
        <f>IF(K14=CURSOS!$D$3,"DIPLOMADO EN ATENCION PRE-HOSPITALARIA",IF(K14=CURSOS!$D$4,"ACOMPAÑAMIENTO Y MANEJO DEL DUELO",IF(K14=CURSOS!$D$5,"ATENCION A VICTIMAS DE ATAQUE CON AGENTES QUIMICOS ",IF(K14=CURSOS!$D$6,"PRIMEROS AUXILIOS ",IF(K14=CURSOS!$D$7,"DIPLOMADO DE UNIDAD DE CUIDADOS INTENSIVOS (UCI)",IF(K14=CURSOS!$D$8,"MODELO DE ATENCION PARA EVENTOS EMERGENTES EN SALUD MENTAL (CODIGO VERDE)",IF(K14=CURSOS!$D$9,"HUMANIZACION EN EL SERVICIO DE LA SALUD Y BUENAS PRACTICAS EN PACIENTE ",IF(K14=CURSOS!$D$10,"CLINICA DE HERIDAS ",IF(K14=CURSOS!$D$11,"TOMA DE CITOLOGIA CERVICO VAGINAL ",IF(K14=CURSOS!$D$12,"SOPORTE CARDIOVASCULAR AVANZADO (ACLS) ",IF(K14=CURSOS!$D$13,"CAMILLERO ",IF(K14=CURSOS!$D$14,"TOMA DE MUESTRAS Y LABORATORIO ",IF(K14=CURSOS!$D$15,"SOPORTE VITAL BASICO (BLS)",IF(K14=CURSOS!$D$16,"ATENCION A VICTIMAS DE VIOLENCIA SEXUAL ",IF(K14=CURSOS!$D$17,"PROGRAMADO AMPLIADO DE INMUNIZACION (PAI - COVID 19)",IF(K14=CURSOS!$D$18,"ATENCION INTEGRAL EN ENFERMEDADES PREVALENTES EN PRIMERA INFANCIA (AIEPI)",IF(K14=CURSOS!$D$19,"ADMINISTRACION DE MEDICAMENTOS, INYECTOLOGIA  Y CANALIZACION ",IF(K14=CURSOS!$D$20,"OPERADOR DE VEHICULOS DE EMERGENCIA (OVE)",IF(K14=CURSOS!$D$21,"INSTITUCIONES AMIGAS DE LA MUJER Y LA INFANCIA (IAMI)",IF(K14=CURSOS!$D$22,"CUIDADO DEL DONANTE DE ORGANOS",IF(K14=CURSOS!$D$23,"ATENCION A VICTIMAS POR VIOLENCIA DE GENERO",IF(K14=CURSOS!$D$24,"IGUALDAD DE GENERO EN LA SALUD",IF(K14=CURSOS!$D$25,"BRIGADA DE EMERGENCIA",IF(K14=CURSOS!$D$26,"MANEJO DEL DOLOR Y CUIDADOS PALIATIVOS",IF(K14=CURSOS!$D$27,"TOMA DE MUESTRAS Y LABORATORIO POCT",IF(K14=CURSOS!$D$28,"IMPLANTE SUBDERMICO DE DISPOSITIVO INTRAUTERINO",IF(K14=CURSOS!$D$29,"SALUD MENTAL",IF(K14=CURSOS!$D$30,"PRIMEROS AUXILIOS PSICOLOGICOS",IF(K14=CURSOS!$D$31,"ATENCION A VICTIMAS POR CONFLICTO ARMADO",IF(K14=CURSOS!$D$32,"MANIPULACION DE ALIMENTOS Y BPM",IF(K14=CURSOS!$D$33,"ATENCION A PERSONAS CON DISCAPACIDAD",IF(K14=CURSOS!$D$34,"CUIDADO INTEGRAL DEL PACIENTE ADULTO",IF(K14=CURSOS!$D$35,"MANEJO DEFENSIVO",IF(K14=CURSOS!$D$36,"SOPORTE CARDIOVASCULAR AVANZADO NEONATAL",IF(K14=CURSOS!$D$37,"SEGURIDAD DEL PACIENTE")))))))))))))))))))))))))))))))))))</f>
        <v xml:space="preserve">SOPORTE CARDIOVASCULAR AVANZADO (ACLS) </v>
      </c>
      <c r="M14" s="52" t="str">
        <f t="shared" si="0"/>
        <v>Carlos Eduardo Rosero Erazo</v>
      </c>
      <c r="N14" s="52" t="str">
        <f t="shared" si="2"/>
        <v>Carlos Eduardo Rosero Erazo</v>
      </c>
      <c r="O14" s="52" t="str">
        <f t="shared" si="1"/>
        <v>Carlos Eduardo Rosero Erazo-1085287754-ACLS</v>
      </c>
    </row>
    <row r="15" spans="1:15" x14ac:dyDescent="0.2">
      <c r="A15" s="149">
        <v>14</v>
      </c>
      <c r="B15" s="149">
        <v>1085287754</v>
      </c>
      <c r="C15" s="149" t="s">
        <v>92</v>
      </c>
      <c r="D15" s="149" t="s">
        <v>169</v>
      </c>
      <c r="E15" s="149" t="s">
        <v>312</v>
      </c>
      <c r="F15" s="149" t="s">
        <v>397</v>
      </c>
      <c r="G15" s="150">
        <v>17</v>
      </c>
      <c r="H15" s="14" t="s">
        <v>181</v>
      </c>
      <c r="I15" s="14" t="s">
        <v>86</v>
      </c>
      <c r="J15" s="14" t="s">
        <v>511</v>
      </c>
      <c r="K15" s="149" t="s">
        <v>19</v>
      </c>
      <c r="L15" s="100" t="str">
        <f>IF(K15=CURSOS!$D$3,"DIPLOMADO EN ATENCION PRE-HOSPITALARIA",IF(K15=CURSOS!$D$4,"ACOMPAÑAMIENTO Y MANEJO DEL DUELO",IF(K15=CURSOS!$D$5,"ATENCION A VICTIMAS DE ATAQUE CON AGENTES QUIMICOS ",IF(K15=CURSOS!$D$6,"PRIMEROS AUXILIOS ",IF(K15=CURSOS!$D$7,"DIPLOMADO DE UNIDAD DE CUIDADOS INTENSIVOS (UCI)",IF(K15=CURSOS!$D$8,"MODELO DE ATENCION PARA EVENTOS EMERGENTES EN SALUD MENTAL (CODIGO VERDE)",IF(K15=CURSOS!$D$9,"HUMANIZACION EN EL SERVICIO DE LA SALUD Y BUENAS PRACTICAS EN PACIENTE ",IF(K15=CURSOS!$D$10,"CLINICA DE HERIDAS ",IF(K15=CURSOS!$D$11,"TOMA DE CITOLOGIA CERVICO VAGINAL ",IF(K15=CURSOS!$D$12,"SOPORTE CARDIOVASCULAR AVANZADO (ACLS) ",IF(K15=CURSOS!$D$13,"CAMILLERO ",IF(K15=CURSOS!$D$14,"TOMA DE MUESTRAS Y LABORATORIO ",IF(K15=CURSOS!$D$15,"SOPORTE VITAL BASICO (BLS)",IF(K15=CURSOS!$D$16,"ATENCION A VICTIMAS DE VIOLENCIA SEXUAL ",IF(K15=CURSOS!$D$17,"PROGRAMADO AMPLIADO DE INMUNIZACION (PAI - COVID 19)",IF(K15=CURSOS!$D$18,"ATENCION INTEGRAL EN ENFERMEDADES PREVALENTES EN PRIMERA INFANCIA (AIEPI)",IF(K15=CURSOS!$D$19,"ADMINISTRACION DE MEDICAMENTOS, INYECTOLOGIA  Y CANALIZACION ",IF(K15=CURSOS!$D$20,"OPERADOR DE VEHICULOS DE EMERGENCIA (OVE)",IF(K15=CURSOS!$D$21,"INSTITUCIONES AMIGAS DE LA MUJER Y LA INFANCIA (IAMI)",IF(K15=CURSOS!$D$22,"CUIDADO DEL DONANTE DE ORGANOS",IF(K15=CURSOS!$D$23,"ATENCION A VICTIMAS POR VIOLENCIA DE GENERO",IF(K15=CURSOS!$D$24,"IGUALDAD DE GENERO EN LA SALUD",IF(K15=CURSOS!$D$25,"BRIGADA DE EMERGENCIA",IF(K15=CURSOS!$D$26,"MANEJO DEL DOLOR Y CUIDADOS PALIATIVOS",IF(K15=CURSOS!$D$27,"TOMA DE MUESTRAS Y LABORATORIO POCT",IF(K15=CURSOS!$D$28,"IMPLANTE SUBDERMICO DE DISPOSITIVO INTRAUTERINO",IF(K15=CURSOS!$D$29,"SALUD MENTAL",IF(K15=CURSOS!$D$30,"PRIMEROS AUXILIOS PSICOLOGICOS",IF(K15=CURSOS!$D$31,"ATENCION A VICTIMAS POR CONFLICTO ARMADO",IF(K15=CURSOS!$D$32,"MANIPULACION DE ALIMENTOS Y BPM",IF(K15=CURSOS!$D$33,"ATENCION A PERSONAS CON DISCAPACIDAD",IF(K15=CURSOS!$D$34,"CUIDADO INTEGRAL DEL PACIENTE ADULTO",IF(K15=CURSOS!$D$35,"MANEJO DEFENSIVO",IF(K15=CURSOS!$D$36,"SOPORTE CARDIOVASCULAR AVANZADO NEONATAL",IF(K15=CURSOS!$D$37,"SEGURIDAD DEL PACIENTE")))))))))))))))))))))))))))))))))))</f>
        <v>SOPORTE VITAL BASICO (BLS)</v>
      </c>
      <c r="M15" s="52" t="str">
        <f t="shared" si="0"/>
        <v>Carlos Eduardo Rosero Erazo</v>
      </c>
      <c r="N15" s="52" t="str">
        <f t="shared" si="2"/>
        <v>Carlos Eduardo Rosero Erazo</v>
      </c>
      <c r="O15" s="52" t="str">
        <f t="shared" si="1"/>
        <v>Carlos Eduardo Rosero Erazo-1085287754-BLS</v>
      </c>
    </row>
    <row r="16" spans="1:15" x14ac:dyDescent="0.2">
      <c r="A16" s="149">
        <v>15</v>
      </c>
      <c r="B16" s="149">
        <v>27160756</v>
      </c>
      <c r="C16" s="149" t="s">
        <v>456</v>
      </c>
      <c r="D16" s="149" t="s">
        <v>457</v>
      </c>
      <c r="E16" s="149" t="s">
        <v>487</v>
      </c>
      <c r="F16" s="149" t="s">
        <v>488</v>
      </c>
      <c r="G16" s="150">
        <v>17</v>
      </c>
      <c r="H16" s="14" t="s">
        <v>181</v>
      </c>
      <c r="I16" s="14" t="s">
        <v>86</v>
      </c>
      <c r="J16" s="14" t="s">
        <v>511</v>
      </c>
      <c r="K16" s="149" t="s">
        <v>38</v>
      </c>
      <c r="L16" s="100" t="str">
        <f>IF(K16=CURSOS!$D$3,"DIPLOMADO EN ATENCION PRE-HOSPITALARIA",IF(K16=CURSOS!$D$4,"ACOMPAÑAMIENTO Y MANEJO DEL DUELO",IF(K16=CURSOS!$D$5,"ATENCION A VICTIMAS DE ATAQUE CON AGENTES QUIMICOS ",IF(K16=CURSOS!$D$6,"PRIMEROS AUXILIOS ",IF(K16=CURSOS!$D$7,"DIPLOMADO DE UNIDAD DE CUIDADOS INTENSIVOS (UCI)",IF(K16=CURSOS!$D$8,"MODELO DE ATENCION PARA EVENTOS EMERGENTES EN SALUD MENTAL (CODIGO VERDE)",IF(K16=CURSOS!$D$9,"HUMANIZACION EN EL SERVICIO DE LA SALUD Y BUENAS PRACTICAS EN PACIENTE ",IF(K16=CURSOS!$D$10,"CLINICA DE HERIDAS ",IF(K16=CURSOS!$D$11,"TOMA DE CITOLOGIA CERVICO VAGINAL ",IF(K16=CURSOS!$D$12,"SOPORTE CARDIOVASCULAR AVANZADO (ACLS) ",IF(K16=CURSOS!$D$13,"CAMILLERO ",IF(K16=CURSOS!$D$14,"TOMA DE MUESTRAS Y LABORATORIO ",IF(K16=CURSOS!$D$15,"SOPORTE VITAL BASICO (BLS)",IF(K16=CURSOS!$D$16,"ATENCION A VICTIMAS DE VIOLENCIA SEXUAL ",IF(K16=CURSOS!$D$17,"PROGRAMADO AMPLIADO DE INMUNIZACION (PAI - COVID 19)",IF(K16=CURSOS!$D$18,"ATENCION INTEGRAL EN ENFERMEDADES PREVALENTES EN PRIMERA INFANCIA (AIEPI)",IF(K16=CURSOS!$D$19,"ADMINISTRACION DE MEDICAMENTOS, INYECTOLOGIA  Y CANALIZACION ",IF(K16=CURSOS!$D$20,"OPERADOR DE VEHICULOS DE EMERGENCIA (OVE)",IF(K16=CURSOS!$D$21,"INSTITUCIONES AMIGAS DE LA MUJER Y LA INFANCIA (IAMI)",IF(K16=CURSOS!$D$22,"CUIDADO DEL DONANTE DE ORGANOS",IF(K16=CURSOS!$D$23,"ATENCION A VICTIMAS POR VIOLENCIA DE GENERO",IF(K16=CURSOS!$D$24,"IGUALDAD DE GENERO EN LA SALUD",IF(K16=CURSOS!$D$25,"BRIGADA DE EMERGENCIA",IF(K16=CURSOS!$D$26,"MANEJO DEL DOLOR Y CUIDADOS PALIATIVOS",IF(K16=CURSOS!$D$27,"TOMA DE MUESTRAS Y LABORATORIO POCT",IF(K16=CURSOS!$D$28,"IMPLANTE SUBDERMICO DE DISPOSITIVO INTRAUTERINO",IF(K16=CURSOS!$D$29,"SALUD MENTAL",IF(K16=CURSOS!$D$30,"PRIMEROS AUXILIOS PSICOLOGICOS",IF(K16=CURSOS!$D$31,"ATENCION A VICTIMAS POR CONFLICTO ARMADO",IF(K16=CURSOS!$D$32,"MANIPULACION DE ALIMENTOS Y BPM",IF(K16=CURSOS!$D$33,"ATENCION A PERSONAS CON DISCAPACIDAD",IF(K16=CURSOS!$D$34,"CUIDADO INTEGRAL DEL PACIENTE ADULTO",IF(K16=CURSOS!$D$35,"MANEJO DEFENSIVO",IF(K16=CURSOS!$D$36,"SOPORTE CARDIOVASCULAR AVANZADO NEONATAL",IF(K16=CURSOS!$D$37,"SEGURIDAD DEL PACIENTE")))))))))))))))))))))))))))))))))))</f>
        <v xml:space="preserve">SOPORTE CARDIOVASCULAR AVANZADO (ACLS) </v>
      </c>
      <c r="M16" s="52" t="str">
        <f t="shared" si="0"/>
        <v>Carmen Alicia Nastar Guacales</v>
      </c>
      <c r="N16" s="52" t="str">
        <f t="shared" si="2"/>
        <v>Carmen Alicia Nastar Guacales</v>
      </c>
      <c r="O16" s="52" t="str">
        <f t="shared" si="1"/>
        <v>Carmen Alicia Nastar Guacales-27160756-ACLS</v>
      </c>
    </row>
    <row r="17" spans="1:15" x14ac:dyDescent="0.2">
      <c r="A17" s="149">
        <v>16</v>
      </c>
      <c r="B17" s="149">
        <v>27160756</v>
      </c>
      <c r="C17" s="149" t="s">
        <v>456</v>
      </c>
      <c r="D17" s="149" t="s">
        <v>457</v>
      </c>
      <c r="E17" s="149" t="s">
        <v>487</v>
      </c>
      <c r="F17" s="149" t="s">
        <v>488</v>
      </c>
      <c r="G17" s="150">
        <v>17</v>
      </c>
      <c r="H17" s="14" t="s">
        <v>181</v>
      </c>
      <c r="I17" s="14" t="s">
        <v>86</v>
      </c>
      <c r="J17" s="14" t="s">
        <v>511</v>
      </c>
      <c r="K17" s="149" t="s">
        <v>19</v>
      </c>
      <c r="L17" s="100" t="str">
        <f>IF(K17=CURSOS!$D$3,"DIPLOMADO EN ATENCION PRE-HOSPITALARIA",IF(K17=CURSOS!$D$4,"ACOMPAÑAMIENTO Y MANEJO DEL DUELO",IF(K17=CURSOS!$D$5,"ATENCION A VICTIMAS DE ATAQUE CON AGENTES QUIMICOS ",IF(K17=CURSOS!$D$6,"PRIMEROS AUXILIOS ",IF(K17=CURSOS!$D$7,"DIPLOMADO DE UNIDAD DE CUIDADOS INTENSIVOS (UCI)",IF(K17=CURSOS!$D$8,"MODELO DE ATENCION PARA EVENTOS EMERGENTES EN SALUD MENTAL (CODIGO VERDE)",IF(K17=CURSOS!$D$9,"HUMANIZACION EN EL SERVICIO DE LA SALUD Y BUENAS PRACTICAS EN PACIENTE ",IF(K17=CURSOS!$D$10,"CLINICA DE HERIDAS ",IF(K17=CURSOS!$D$11,"TOMA DE CITOLOGIA CERVICO VAGINAL ",IF(K17=CURSOS!$D$12,"SOPORTE CARDIOVASCULAR AVANZADO (ACLS) ",IF(K17=CURSOS!$D$13,"CAMILLERO ",IF(K17=CURSOS!$D$14,"TOMA DE MUESTRAS Y LABORATORIO ",IF(K17=CURSOS!$D$15,"SOPORTE VITAL BASICO (BLS)",IF(K17=CURSOS!$D$16,"ATENCION A VICTIMAS DE VIOLENCIA SEXUAL ",IF(K17=CURSOS!$D$17,"PROGRAMADO AMPLIADO DE INMUNIZACION (PAI - COVID 19)",IF(K17=CURSOS!$D$18,"ATENCION INTEGRAL EN ENFERMEDADES PREVALENTES EN PRIMERA INFANCIA (AIEPI)",IF(K17=CURSOS!$D$19,"ADMINISTRACION DE MEDICAMENTOS, INYECTOLOGIA  Y CANALIZACION ",IF(K17=CURSOS!$D$20,"OPERADOR DE VEHICULOS DE EMERGENCIA (OVE)",IF(K17=CURSOS!$D$21,"INSTITUCIONES AMIGAS DE LA MUJER Y LA INFANCIA (IAMI)",IF(K17=CURSOS!$D$22,"CUIDADO DEL DONANTE DE ORGANOS",IF(K17=CURSOS!$D$23,"ATENCION A VICTIMAS POR VIOLENCIA DE GENERO",IF(K17=CURSOS!$D$24,"IGUALDAD DE GENERO EN LA SALUD",IF(K17=CURSOS!$D$25,"BRIGADA DE EMERGENCIA",IF(K17=CURSOS!$D$26,"MANEJO DEL DOLOR Y CUIDADOS PALIATIVOS",IF(K17=CURSOS!$D$27,"TOMA DE MUESTRAS Y LABORATORIO POCT",IF(K17=CURSOS!$D$28,"IMPLANTE SUBDERMICO DE DISPOSITIVO INTRAUTERINO",IF(K17=CURSOS!$D$29,"SALUD MENTAL",IF(K17=CURSOS!$D$30,"PRIMEROS AUXILIOS PSICOLOGICOS",IF(K17=CURSOS!$D$31,"ATENCION A VICTIMAS POR CONFLICTO ARMADO",IF(K17=CURSOS!$D$32,"MANIPULACION DE ALIMENTOS Y BPM",IF(K17=CURSOS!$D$33,"ATENCION A PERSONAS CON DISCAPACIDAD",IF(K17=CURSOS!$D$34,"CUIDADO INTEGRAL DEL PACIENTE ADULTO",IF(K17=CURSOS!$D$35,"MANEJO DEFENSIVO",IF(K17=CURSOS!$D$36,"SOPORTE CARDIOVASCULAR AVANZADO NEONATAL",IF(K17=CURSOS!$D$37,"SEGURIDAD DEL PACIENTE")))))))))))))))))))))))))))))))))))</f>
        <v>SOPORTE VITAL BASICO (BLS)</v>
      </c>
      <c r="M17" s="52" t="str">
        <f t="shared" si="0"/>
        <v>Carmen Alicia Nastar Guacales</v>
      </c>
      <c r="N17" s="52" t="str">
        <f t="shared" si="2"/>
        <v>Carmen Alicia Nastar Guacales</v>
      </c>
      <c r="O17" s="52" t="str">
        <f t="shared" si="1"/>
        <v>Carmen Alicia Nastar Guacales-27160756-BLS</v>
      </c>
    </row>
    <row r="18" spans="1:15" x14ac:dyDescent="0.2">
      <c r="A18" s="149">
        <v>17</v>
      </c>
      <c r="B18" s="149">
        <v>87217857</v>
      </c>
      <c r="C18" s="149" t="s">
        <v>458</v>
      </c>
      <c r="D18" s="149" t="s">
        <v>123</v>
      </c>
      <c r="E18" s="149" t="s">
        <v>489</v>
      </c>
      <c r="F18" s="149" t="s">
        <v>340</v>
      </c>
      <c r="G18" s="150">
        <v>17</v>
      </c>
      <c r="H18" s="14" t="s">
        <v>181</v>
      </c>
      <c r="I18" s="14" t="s">
        <v>86</v>
      </c>
      <c r="J18" s="14" t="s">
        <v>511</v>
      </c>
      <c r="K18" s="149" t="s">
        <v>38</v>
      </c>
      <c r="L18" s="100" t="str">
        <f>IF(K18=CURSOS!$D$3,"DIPLOMADO EN ATENCION PRE-HOSPITALARIA",IF(K18=CURSOS!$D$4,"ACOMPAÑAMIENTO Y MANEJO DEL DUELO",IF(K18=CURSOS!$D$5,"ATENCION A VICTIMAS DE ATAQUE CON AGENTES QUIMICOS ",IF(K18=CURSOS!$D$6,"PRIMEROS AUXILIOS ",IF(K18=CURSOS!$D$7,"DIPLOMADO DE UNIDAD DE CUIDADOS INTENSIVOS (UCI)",IF(K18=CURSOS!$D$8,"MODELO DE ATENCION PARA EVENTOS EMERGENTES EN SALUD MENTAL (CODIGO VERDE)",IF(K18=CURSOS!$D$9,"HUMANIZACION EN EL SERVICIO DE LA SALUD Y BUENAS PRACTICAS EN PACIENTE ",IF(K18=CURSOS!$D$10,"CLINICA DE HERIDAS ",IF(K18=CURSOS!$D$11,"TOMA DE CITOLOGIA CERVICO VAGINAL ",IF(K18=CURSOS!$D$12,"SOPORTE CARDIOVASCULAR AVANZADO (ACLS) ",IF(K18=CURSOS!$D$13,"CAMILLERO ",IF(K18=CURSOS!$D$14,"TOMA DE MUESTRAS Y LABORATORIO ",IF(K18=CURSOS!$D$15,"SOPORTE VITAL BASICO (BLS)",IF(K18=CURSOS!$D$16,"ATENCION A VICTIMAS DE VIOLENCIA SEXUAL ",IF(K18=CURSOS!$D$17,"PROGRAMADO AMPLIADO DE INMUNIZACION (PAI - COVID 19)",IF(K18=CURSOS!$D$18,"ATENCION INTEGRAL EN ENFERMEDADES PREVALENTES EN PRIMERA INFANCIA (AIEPI)",IF(K18=CURSOS!$D$19,"ADMINISTRACION DE MEDICAMENTOS, INYECTOLOGIA  Y CANALIZACION ",IF(K18=CURSOS!$D$20,"OPERADOR DE VEHICULOS DE EMERGENCIA (OVE)",IF(K18=CURSOS!$D$21,"INSTITUCIONES AMIGAS DE LA MUJER Y LA INFANCIA (IAMI)",IF(K18=CURSOS!$D$22,"CUIDADO DEL DONANTE DE ORGANOS",IF(K18=CURSOS!$D$23,"ATENCION A VICTIMAS POR VIOLENCIA DE GENERO",IF(K18=CURSOS!$D$24,"IGUALDAD DE GENERO EN LA SALUD",IF(K18=CURSOS!$D$25,"BRIGADA DE EMERGENCIA",IF(K18=CURSOS!$D$26,"MANEJO DEL DOLOR Y CUIDADOS PALIATIVOS",IF(K18=CURSOS!$D$27,"TOMA DE MUESTRAS Y LABORATORIO POCT",IF(K18=CURSOS!$D$28,"IMPLANTE SUBDERMICO DE DISPOSITIVO INTRAUTERINO",IF(K18=CURSOS!$D$29,"SALUD MENTAL",IF(K18=CURSOS!$D$30,"PRIMEROS AUXILIOS PSICOLOGICOS",IF(K18=CURSOS!$D$31,"ATENCION A VICTIMAS POR CONFLICTO ARMADO",IF(K18=CURSOS!$D$32,"MANIPULACION DE ALIMENTOS Y BPM",IF(K18=CURSOS!$D$33,"ATENCION A PERSONAS CON DISCAPACIDAD",IF(K18=CURSOS!$D$34,"CUIDADO INTEGRAL DEL PACIENTE ADULTO",IF(K18=CURSOS!$D$35,"MANEJO DEFENSIVO",IF(K18=CURSOS!$D$36,"SOPORTE CARDIOVASCULAR AVANZADO NEONATAL",IF(K18=CURSOS!$D$37,"SEGURIDAD DEL PACIENTE")))))))))))))))))))))))))))))))))))</f>
        <v xml:space="preserve">SOPORTE CARDIOVASCULAR AVANZADO (ACLS) </v>
      </c>
      <c r="M18" s="52" t="str">
        <f t="shared" si="0"/>
        <v>Dario Fernando Vallejo Ibarra</v>
      </c>
      <c r="N18" s="52" t="str">
        <f t="shared" si="2"/>
        <v>Dario Fernando Vallejo Ibarra</v>
      </c>
      <c r="O18" s="52" t="str">
        <f t="shared" si="1"/>
        <v>Dario Fernando Vallejo Ibarra-87217857-ACLS</v>
      </c>
    </row>
    <row r="19" spans="1:15" x14ac:dyDescent="0.2">
      <c r="A19" s="149">
        <v>18</v>
      </c>
      <c r="B19" s="149">
        <v>87217857</v>
      </c>
      <c r="C19" s="149" t="s">
        <v>458</v>
      </c>
      <c r="D19" s="149" t="s">
        <v>123</v>
      </c>
      <c r="E19" s="149" t="s">
        <v>489</v>
      </c>
      <c r="F19" s="149" t="s">
        <v>340</v>
      </c>
      <c r="G19" s="150">
        <v>17</v>
      </c>
      <c r="H19" s="14" t="s">
        <v>181</v>
      </c>
      <c r="I19" s="14" t="s">
        <v>86</v>
      </c>
      <c r="J19" s="14" t="s">
        <v>511</v>
      </c>
      <c r="K19" s="149" t="s">
        <v>19</v>
      </c>
      <c r="L19" s="100" t="str">
        <f>IF(K19=CURSOS!$D$3,"DIPLOMADO EN ATENCION PRE-HOSPITALARIA",IF(K19=CURSOS!$D$4,"ACOMPAÑAMIENTO Y MANEJO DEL DUELO",IF(K19=CURSOS!$D$5,"ATENCION A VICTIMAS DE ATAQUE CON AGENTES QUIMICOS ",IF(K19=CURSOS!$D$6,"PRIMEROS AUXILIOS ",IF(K19=CURSOS!$D$7,"DIPLOMADO DE UNIDAD DE CUIDADOS INTENSIVOS (UCI)",IF(K19=CURSOS!$D$8,"MODELO DE ATENCION PARA EVENTOS EMERGENTES EN SALUD MENTAL (CODIGO VERDE)",IF(K19=CURSOS!$D$9,"HUMANIZACION EN EL SERVICIO DE LA SALUD Y BUENAS PRACTICAS EN PACIENTE ",IF(K19=CURSOS!$D$10,"CLINICA DE HERIDAS ",IF(K19=CURSOS!$D$11,"TOMA DE CITOLOGIA CERVICO VAGINAL ",IF(K19=CURSOS!$D$12,"SOPORTE CARDIOVASCULAR AVANZADO (ACLS) ",IF(K19=CURSOS!$D$13,"CAMILLERO ",IF(K19=CURSOS!$D$14,"TOMA DE MUESTRAS Y LABORATORIO ",IF(K19=CURSOS!$D$15,"SOPORTE VITAL BASICO (BLS)",IF(K19=CURSOS!$D$16,"ATENCION A VICTIMAS DE VIOLENCIA SEXUAL ",IF(K19=CURSOS!$D$17,"PROGRAMADO AMPLIADO DE INMUNIZACION (PAI - COVID 19)",IF(K19=CURSOS!$D$18,"ATENCION INTEGRAL EN ENFERMEDADES PREVALENTES EN PRIMERA INFANCIA (AIEPI)",IF(K19=CURSOS!$D$19,"ADMINISTRACION DE MEDICAMENTOS, INYECTOLOGIA  Y CANALIZACION ",IF(K19=CURSOS!$D$20,"OPERADOR DE VEHICULOS DE EMERGENCIA (OVE)",IF(K19=CURSOS!$D$21,"INSTITUCIONES AMIGAS DE LA MUJER Y LA INFANCIA (IAMI)",IF(K19=CURSOS!$D$22,"CUIDADO DEL DONANTE DE ORGANOS",IF(K19=CURSOS!$D$23,"ATENCION A VICTIMAS POR VIOLENCIA DE GENERO",IF(K19=CURSOS!$D$24,"IGUALDAD DE GENERO EN LA SALUD",IF(K19=CURSOS!$D$25,"BRIGADA DE EMERGENCIA",IF(K19=CURSOS!$D$26,"MANEJO DEL DOLOR Y CUIDADOS PALIATIVOS",IF(K19=CURSOS!$D$27,"TOMA DE MUESTRAS Y LABORATORIO POCT",IF(K19=CURSOS!$D$28,"IMPLANTE SUBDERMICO DE DISPOSITIVO INTRAUTERINO",IF(K19=CURSOS!$D$29,"SALUD MENTAL",IF(K19=CURSOS!$D$30,"PRIMEROS AUXILIOS PSICOLOGICOS",IF(K19=CURSOS!$D$31,"ATENCION A VICTIMAS POR CONFLICTO ARMADO",IF(K19=CURSOS!$D$32,"MANIPULACION DE ALIMENTOS Y BPM",IF(K19=CURSOS!$D$33,"ATENCION A PERSONAS CON DISCAPACIDAD",IF(K19=CURSOS!$D$34,"CUIDADO INTEGRAL DEL PACIENTE ADULTO",IF(K19=CURSOS!$D$35,"MANEJO DEFENSIVO",IF(K19=CURSOS!$D$36,"SOPORTE CARDIOVASCULAR AVANZADO NEONATAL",IF(K19=CURSOS!$D$37,"SEGURIDAD DEL PACIENTE")))))))))))))))))))))))))))))))))))</f>
        <v>SOPORTE VITAL BASICO (BLS)</v>
      </c>
      <c r="M19" s="52" t="str">
        <f t="shared" si="0"/>
        <v>Dario Fernando Vallejo Ibarra</v>
      </c>
      <c r="N19" s="52" t="str">
        <f t="shared" si="2"/>
        <v>Dario Fernando Vallejo Ibarra</v>
      </c>
      <c r="O19" s="52" t="str">
        <f t="shared" si="1"/>
        <v>Dario Fernando Vallejo Ibarra-87217857-BLS</v>
      </c>
    </row>
    <row r="20" spans="1:15" x14ac:dyDescent="0.2">
      <c r="A20" s="85">
        <v>19</v>
      </c>
      <c r="B20" s="149">
        <v>1086754798</v>
      </c>
      <c r="C20" s="149" t="s">
        <v>92</v>
      </c>
      <c r="D20" s="149" t="s">
        <v>169</v>
      </c>
      <c r="E20" s="149" t="s">
        <v>490</v>
      </c>
      <c r="F20" s="149" t="s">
        <v>491</v>
      </c>
      <c r="G20" s="101">
        <v>17</v>
      </c>
      <c r="H20" s="14" t="s">
        <v>181</v>
      </c>
      <c r="I20" s="14" t="s">
        <v>86</v>
      </c>
      <c r="J20" s="14" t="s">
        <v>511</v>
      </c>
      <c r="K20" s="149" t="s">
        <v>38</v>
      </c>
      <c r="L20" s="100" t="str">
        <f>IF(K20=CURSOS!$D$3,"DIPLOMADO EN ATENCION PRE-HOSPITALARIA",IF(K20=CURSOS!$D$4,"ACOMPAÑAMIENTO Y MANEJO DEL DUELO",IF(K20=CURSOS!$D$5,"ATENCION A VICTIMAS DE ATAQUE CON AGENTES QUIMICOS ",IF(K20=CURSOS!$D$6,"PRIMEROS AUXILIOS ",IF(K20=CURSOS!$D$7,"DIPLOMADO DE UNIDAD DE CUIDADOS INTENSIVOS (UCI)",IF(K20=CURSOS!$D$8,"MODELO DE ATENCION PARA EVENTOS EMERGENTES EN SALUD MENTAL (CODIGO VERDE)",IF(K20=CURSOS!$D$9,"HUMANIZACION EN EL SERVICIO DE LA SALUD Y BUENAS PRACTICAS EN PACIENTE ",IF(K20=CURSOS!$D$10,"CLINICA DE HERIDAS ",IF(K20=CURSOS!$D$11,"TOMA DE CITOLOGIA CERVICO VAGINAL ",IF(K20=CURSOS!$D$12,"SOPORTE CARDIOVASCULAR AVANZADO (ACLS) ",IF(K20=CURSOS!$D$13,"CAMILLERO ",IF(K20=CURSOS!$D$14,"TOMA DE MUESTRAS Y LABORATORIO ",IF(K20=CURSOS!$D$15,"SOPORTE VITAL BASICO (BLS)",IF(K20=CURSOS!$D$16,"ATENCION A VICTIMAS DE VIOLENCIA SEXUAL ",IF(K20=CURSOS!$D$17,"PROGRAMADO AMPLIADO DE INMUNIZACION (PAI - COVID 19)",IF(K20=CURSOS!$D$18,"ATENCION INTEGRAL EN ENFERMEDADES PREVALENTES EN PRIMERA INFANCIA (AIEPI)",IF(K20=CURSOS!$D$19,"ADMINISTRACION DE MEDICAMENTOS, INYECTOLOGIA  Y CANALIZACION ",IF(K20=CURSOS!$D$20,"OPERADOR DE VEHICULOS DE EMERGENCIA (OVE)",IF(K20=CURSOS!$D$21,"INSTITUCIONES AMIGAS DE LA MUJER Y LA INFANCIA (IAMI)",IF(K20=CURSOS!$D$22,"CUIDADO DEL DONANTE DE ORGANOS",IF(K20=CURSOS!$D$23,"ATENCION A VICTIMAS POR VIOLENCIA DE GENERO",IF(K20=CURSOS!$D$24,"IGUALDAD DE GENERO EN LA SALUD",IF(K20=CURSOS!$D$25,"BRIGADA DE EMERGENCIA",IF(K20=CURSOS!$D$26,"MANEJO DEL DOLOR Y CUIDADOS PALIATIVOS",IF(K20=CURSOS!$D$27,"TOMA DE MUESTRAS Y LABORATORIO POCT",IF(K20=CURSOS!$D$28,"IMPLANTE SUBDERMICO DE DISPOSITIVO INTRAUTERINO",IF(K20=CURSOS!$D$29,"SALUD MENTAL",IF(K20=CURSOS!$D$30,"PRIMEROS AUXILIOS PSICOLOGICOS",IF(K20=CURSOS!$D$31,"ATENCION A VICTIMAS POR CONFLICTO ARMADO",IF(K20=CURSOS!$D$32,"MANIPULACION DE ALIMENTOS Y BPM",IF(K20=CURSOS!$D$33,"ATENCION A PERSONAS CON DISCAPACIDAD",IF(K20=CURSOS!$D$34,"CUIDADO INTEGRAL DEL PACIENTE ADULTO",IF(K20=CURSOS!$D$35,"MANEJO DEFENSIVO",IF(K20=CURSOS!$D$36,"SOPORTE CARDIOVASCULAR AVANZADO NEONATAL",IF(K20=CURSOS!$D$37,"SEGURIDAD DEL PACIENTE")))))))))))))))))))))))))))))))))))</f>
        <v xml:space="preserve">SOPORTE CARDIOVASCULAR AVANZADO (ACLS) </v>
      </c>
      <c r="M20" s="52" t="str">
        <f t="shared" si="0"/>
        <v>Dayana Yenifer Rosero Erazo</v>
      </c>
      <c r="N20" s="52" t="str">
        <f t="shared" si="2"/>
        <v>Dayana Yenifer Rosero Erazo</v>
      </c>
      <c r="O20" s="52" t="str">
        <f t="shared" si="1"/>
        <v>Dayana Yenifer Rosero Erazo-1086754798-ACLS</v>
      </c>
    </row>
    <row r="21" spans="1:15" x14ac:dyDescent="0.2">
      <c r="A21" s="85">
        <v>20</v>
      </c>
      <c r="B21" s="149">
        <v>1086754798</v>
      </c>
      <c r="C21" s="149" t="s">
        <v>92</v>
      </c>
      <c r="D21" s="149" t="s">
        <v>169</v>
      </c>
      <c r="E21" s="149" t="s">
        <v>490</v>
      </c>
      <c r="F21" s="149" t="s">
        <v>491</v>
      </c>
      <c r="G21" s="101">
        <v>17</v>
      </c>
      <c r="H21" s="14" t="s">
        <v>181</v>
      </c>
      <c r="I21" s="14" t="s">
        <v>86</v>
      </c>
      <c r="J21" s="14" t="s">
        <v>511</v>
      </c>
      <c r="K21" s="149" t="s">
        <v>19</v>
      </c>
      <c r="L21" s="100" t="str">
        <f>IF(K21=CURSOS!$D$3,"DIPLOMADO EN ATENCION PRE-HOSPITALARIA",IF(K21=CURSOS!$D$4,"ACOMPAÑAMIENTO Y MANEJO DEL DUELO",IF(K21=CURSOS!$D$5,"ATENCION A VICTIMAS DE ATAQUE CON AGENTES QUIMICOS ",IF(K21=CURSOS!$D$6,"PRIMEROS AUXILIOS ",IF(K21=CURSOS!$D$7,"DIPLOMADO DE UNIDAD DE CUIDADOS INTENSIVOS (UCI)",IF(K21=CURSOS!$D$8,"MODELO DE ATENCION PARA EVENTOS EMERGENTES EN SALUD MENTAL (CODIGO VERDE)",IF(K21=CURSOS!$D$9,"HUMANIZACION EN EL SERVICIO DE LA SALUD Y BUENAS PRACTICAS EN PACIENTE ",IF(K21=CURSOS!$D$10,"CLINICA DE HERIDAS ",IF(K21=CURSOS!$D$11,"TOMA DE CITOLOGIA CERVICO VAGINAL ",IF(K21=CURSOS!$D$12,"SOPORTE CARDIOVASCULAR AVANZADO (ACLS) ",IF(K21=CURSOS!$D$13,"CAMILLERO ",IF(K21=CURSOS!$D$14,"TOMA DE MUESTRAS Y LABORATORIO ",IF(K21=CURSOS!$D$15,"SOPORTE VITAL BASICO (BLS)",IF(K21=CURSOS!$D$16,"ATENCION A VICTIMAS DE VIOLENCIA SEXUAL ",IF(K21=CURSOS!$D$17,"PROGRAMADO AMPLIADO DE INMUNIZACION (PAI - COVID 19)",IF(K21=CURSOS!$D$18,"ATENCION INTEGRAL EN ENFERMEDADES PREVALENTES EN PRIMERA INFANCIA (AIEPI)",IF(K21=CURSOS!$D$19,"ADMINISTRACION DE MEDICAMENTOS, INYECTOLOGIA  Y CANALIZACION ",IF(K21=CURSOS!$D$20,"OPERADOR DE VEHICULOS DE EMERGENCIA (OVE)",IF(K21=CURSOS!$D$21,"INSTITUCIONES AMIGAS DE LA MUJER Y LA INFANCIA (IAMI)",IF(K21=CURSOS!$D$22,"CUIDADO DEL DONANTE DE ORGANOS",IF(K21=CURSOS!$D$23,"ATENCION A VICTIMAS POR VIOLENCIA DE GENERO",IF(K21=CURSOS!$D$24,"IGUALDAD DE GENERO EN LA SALUD",IF(K21=CURSOS!$D$25,"BRIGADA DE EMERGENCIA",IF(K21=CURSOS!$D$26,"MANEJO DEL DOLOR Y CUIDADOS PALIATIVOS",IF(K21=CURSOS!$D$27,"TOMA DE MUESTRAS Y LABORATORIO POCT",IF(K21=CURSOS!$D$28,"IMPLANTE SUBDERMICO DE DISPOSITIVO INTRAUTERINO",IF(K21=CURSOS!$D$29,"SALUD MENTAL",IF(K21=CURSOS!$D$30,"PRIMEROS AUXILIOS PSICOLOGICOS",IF(K21=CURSOS!$D$31,"ATENCION A VICTIMAS POR CONFLICTO ARMADO",IF(K21=CURSOS!$D$32,"MANIPULACION DE ALIMENTOS Y BPM",IF(K21=CURSOS!$D$33,"ATENCION A PERSONAS CON DISCAPACIDAD",IF(K21=CURSOS!$D$34,"CUIDADO INTEGRAL DEL PACIENTE ADULTO",IF(K21=CURSOS!$D$35,"MANEJO DEFENSIVO",IF(K21=CURSOS!$D$36,"SOPORTE CARDIOVASCULAR AVANZADO NEONATAL",IF(K21=CURSOS!$D$37,"SEGURIDAD DEL PACIENTE")))))))))))))))))))))))))))))))))))</f>
        <v>SOPORTE VITAL BASICO (BLS)</v>
      </c>
      <c r="M21" s="52" t="str">
        <f t="shared" si="0"/>
        <v>Dayana Yenifer Rosero Erazo</v>
      </c>
      <c r="N21" s="52" t="str">
        <f t="shared" si="2"/>
        <v>Dayana Yenifer Rosero Erazo</v>
      </c>
      <c r="O21" s="52" t="str">
        <f t="shared" si="1"/>
        <v>Dayana Yenifer Rosero Erazo-1086754798-BLS</v>
      </c>
    </row>
    <row r="22" spans="1:15" x14ac:dyDescent="0.2">
      <c r="A22" s="149">
        <v>21</v>
      </c>
      <c r="B22" s="149">
        <v>1085340686</v>
      </c>
      <c r="C22" s="149" t="s">
        <v>459</v>
      </c>
      <c r="D22" s="149" t="s">
        <v>460</v>
      </c>
      <c r="E22" s="149" t="s">
        <v>381</v>
      </c>
      <c r="F22" s="149" t="s">
        <v>134</v>
      </c>
      <c r="G22" s="150">
        <v>17</v>
      </c>
      <c r="H22" s="14" t="s">
        <v>181</v>
      </c>
      <c r="I22" s="14" t="s">
        <v>86</v>
      </c>
      <c r="J22" s="14" t="s">
        <v>511</v>
      </c>
      <c r="K22" s="149" t="s">
        <v>38</v>
      </c>
      <c r="L22" s="100" t="str">
        <f>IF(K22=CURSOS!$D$3,"DIPLOMADO EN ATENCION PRE-HOSPITALARIA",IF(K22=CURSOS!$D$4,"ACOMPAÑAMIENTO Y MANEJO DEL DUELO",IF(K22=CURSOS!$D$5,"ATENCION A VICTIMAS DE ATAQUE CON AGENTES QUIMICOS ",IF(K22=CURSOS!$D$6,"PRIMEROS AUXILIOS ",IF(K22=CURSOS!$D$7,"DIPLOMADO DE UNIDAD DE CUIDADOS INTENSIVOS (UCI)",IF(K22=CURSOS!$D$8,"MODELO DE ATENCION PARA EVENTOS EMERGENTES EN SALUD MENTAL (CODIGO VERDE)",IF(K22=CURSOS!$D$9,"HUMANIZACION EN EL SERVICIO DE LA SALUD Y BUENAS PRACTICAS EN PACIENTE ",IF(K22=CURSOS!$D$10,"CLINICA DE HERIDAS ",IF(K22=CURSOS!$D$11,"TOMA DE CITOLOGIA CERVICO VAGINAL ",IF(K22=CURSOS!$D$12,"SOPORTE CARDIOVASCULAR AVANZADO (ACLS) ",IF(K22=CURSOS!$D$13,"CAMILLERO ",IF(K22=CURSOS!$D$14,"TOMA DE MUESTRAS Y LABORATORIO ",IF(K22=CURSOS!$D$15,"SOPORTE VITAL BASICO (BLS)",IF(K22=CURSOS!$D$16,"ATENCION A VICTIMAS DE VIOLENCIA SEXUAL ",IF(K22=CURSOS!$D$17,"PROGRAMADO AMPLIADO DE INMUNIZACION (PAI - COVID 19)",IF(K22=CURSOS!$D$18,"ATENCION INTEGRAL EN ENFERMEDADES PREVALENTES EN PRIMERA INFANCIA (AIEPI)",IF(K22=CURSOS!$D$19,"ADMINISTRACION DE MEDICAMENTOS, INYECTOLOGIA  Y CANALIZACION ",IF(K22=CURSOS!$D$20,"OPERADOR DE VEHICULOS DE EMERGENCIA (OVE)",IF(K22=CURSOS!$D$21,"INSTITUCIONES AMIGAS DE LA MUJER Y LA INFANCIA (IAMI)",IF(K22=CURSOS!$D$22,"CUIDADO DEL DONANTE DE ORGANOS",IF(K22=CURSOS!$D$23,"ATENCION A VICTIMAS POR VIOLENCIA DE GENERO",IF(K22=CURSOS!$D$24,"IGUALDAD DE GENERO EN LA SALUD",IF(K22=CURSOS!$D$25,"BRIGADA DE EMERGENCIA",IF(K22=CURSOS!$D$26,"MANEJO DEL DOLOR Y CUIDADOS PALIATIVOS",IF(K22=CURSOS!$D$27,"TOMA DE MUESTRAS Y LABORATORIO POCT",IF(K22=CURSOS!$D$28,"IMPLANTE SUBDERMICO DE DISPOSITIVO INTRAUTERINO",IF(K22=CURSOS!$D$29,"SALUD MENTAL",IF(K22=CURSOS!$D$30,"PRIMEROS AUXILIOS PSICOLOGICOS",IF(K22=CURSOS!$D$31,"ATENCION A VICTIMAS POR CONFLICTO ARMADO",IF(K22=CURSOS!$D$32,"MANIPULACION DE ALIMENTOS Y BPM",IF(K22=CURSOS!$D$33,"ATENCION A PERSONAS CON DISCAPACIDAD",IF(K22=CURSOS!$D$34,"CUIDADO INTEGRAL DEL PACIENTE ADULTO",IF(K22=CURSOS!$D$35,"MANEJO DEFENSIVO",IF(K22=CURSOS!$D$36,"SOPORTE CARDIOVASCULAR AVANZADO NEONATAL",IF(K22=CURSOS!$D$37,"SEGURIDAD DEL PACIENTE")))))))))))))))))))))))))))))))))))</f>
        <v xml:space="preserve">SOPORTE CARDIOVASCULAR AVANZADO (ACLS) </v>
      </c>
      <c r="M22" s="52" t="str">
        <f t="shared" si="0"/>
        <v>Angie Lorena Cifuentes Cañar</v>
      </c>
      <c r="N22" s="52" t="str">
        <f t="shared" si="2"/>
        <v>Angie Lorena Cifuentes Cañar</v>
      </c>
      <c r="O22" s="52" t="str">
        <f t="shared" si="1"/>
        <v>Angie Lorena Cifuentes Cañar-1085340686-ACLS</v>
      </c>
    </row>
    <row r="23" spans="1:15" x14ac:dyDescent="0.2">
      <c r="A23" s="149">
        <v>22</v>
      </c>
      <c r="B23" s="149">
        <v>1085340686</v>
      </c>
      <c r="C23" s="149" t="s">
        <v>459</v>
      </c>
      <c r="D23" s="149" t="s">
        <v>460</v>
      </c>
      <c r="E23" s="149" t="s">
        <v>381</v>
      </c>
      <c r="F23" s="149" t="s">
        <v>134</v>
      </c>
      <c r="G23" s="150">
        <v>17</v>
      </c>
      <c r="H23" s="14" t="s">
        <v>181</v>
      </c>
      <c r="I23" s="14" t="s">
        <v>86</v>
      </c>
      <c r="J23" s="14" t="s">
        <v>511</v>
      </c>
      <c r="K23" s="149" t="s">
        <v>19</v>
      </c>
      <c r="L23" s="100" t="str">
        <f>IF(K23=CURSOS!$D$3,"DIPLOMADO EN ATENCION PRE-HOSPITALARIA",IF(K23=CURSOS!$D$4,"ACOMPAÑAMIENTO Y MANEJO DEL DUELO",IF(K23=CURSOS!$D$5,"ATENCION A VICTIMAS DE ATAQUE CON AGENTES QUIMICOS ",IF(K23=CURSOS!$D$6,"PRIMEROS AUXILIOS ",IF(K23=CURSOS!$D$7,"DIPLOMADO DE UNIDAD DE CUIDADOS INTENSIVOS (UCI)",IF(K23=CURSOS!$D$8,"MODELO DE ATENCION PARA EVENTOS EMERGENTES EN SALUD MENTAL (CODIGO VERDE)",IF(K23=CURSOS!$D$9,"HUMANIZACION EN EL SERVICIO DE LA SALUD Y BUENAS PRACTICAS EN PACIENTE ",IF(K23=CURSOS!$D$10,"CLINICA DE HERIDAS ",IF(K23=CURSOS!$D$11,"TOMA DE CITOLOGIA CERVICO VAGINAL ",IF(K23=CURSOS!$D$12,"SOPORTE CARDIOVASCULAR AVANZADO (ACLS) ",IF(K23=CURSOS!$D$13,"CAMILLERO ",IF(K23=CURSOS!$D$14,"TOMA DE MUESTRAS Y LABORATORIO ",IF(K23=CURSOS!$D$15,"SOPORTE VITAL BASICO (BLS)",IF(K23=CURSOS!$D$16,"ATENCION A VICTIMAS DE VIOLENCIA SEXUAL ",IF(K23=CURSOS!$D$17,"PROGRAMADO AMPLIADO DE INMUNIZACION (PAI - COVID 19)",IF(K23=CURSOS!$D$18,"ATENCION INTEGRAL EN ENFERMEDADES PREVALENTES EN PRIMERA INFANCIA (AIEPI)",IF(K23=CURSOS!$D$19,"ADMINISTRACION DE MEDICAMENTOS, INYECTOLOGIA  Y CANALIZACION ",IF(K23=CURSOS!$D$20,"OPERADOR DE VEHICULOS DE EMERGENCIA (OVE)",IF(K23=CURSOS!$D$21,"INSTITUCIONES AMIGAS DE LA MUJER Y LA INFANCIA (IAMI)",IF(K23=CURSOS!$D$22,"CUIDADO DEL DONANTE DE ORGANOS",IF(K23=CURSOS!$D$23,"ATENCION A VICTIMAS POR VIOLENCIA DE GENERO",IF(K23=CURSOS!$D$24,"IGUALDAD DE GENERO EN LA SALUD",IF(K23=CURSOS!$D$25,"BRIGADA DE EMERGENCIA",IF(K23=CURSOS!$D$26,"MANEJO DEL DOLOR Y CUIDADOS PALIATIVOS",IF(K23=CURSOS!$D$27,"TOMA DE MUESTRAS Y LABORATORIO POCT",IF(K23=CURSOS!$D$28,"IMPLANTE SUBDERMICO DE DISPOSITIVO INTRAUTERINO",IF(K23=CURSOS!$D$29,"SALUD MENTAL",IF(K23=CURSOS!$D$30,"PRIMEROS AUXILIOS PSICOLOGICOS",IF(K23=CURSOS!$D$31,"ATENCION A VICTIMAS POR CONFLICTO ARMADO",IF(K23=CURSOS!$D$32,"MANIPULACION DE ALIMENTOS Y BPM",IF(K23=CURSOS!$D$33,"ATENCION A PERSONAS CON DISCAPACIDAD",IF(K23=CURSOS!$D$34,"CUIDADO INTEGRAL DEL PACIENTE ADULTO",IF(K23=CURSOS!$D$35,"MANEJO DEFENSIVO",IF(K23=CURSOS!$D$36,"SOPORTE CARDIOVASCULAR AVANZADO NEONATAL",IF(K23=CURSOS!$D$37,"SEGURIDAD DEL PACIENTE")))))))))))))))))))))))))))))))))))</f>
        <v>SOPORTE VITAL BASICO (BLS)</v>
      </c>
      <c r="M23" s="52" t="str">
        <f t="shared" si="0"/>
        <v>Angie Lorena Cifuentes Cañar</v>
      </c>
      <c r="N23" s="52" t="str">
        <f t="shared" si="2"/>
        <v>Angie Lorena Cifuentes Cañar</v>
      </c>
      <c r="O23" s="52" t="str">
        <f t="shared" si="1"/>
        <v>Angie Lorena Cifuentes Cañar-1085340686-BLS</v>
      </c>
    </row>
    <row r="24" spans="1:15" x14ac:dyDescent="0.2">
      <c r="A24" s="149">
        <v>23</v>
      </c>
      <c r="B24" s="149">
        <v>1007268384</v>
      </c>
      <c r="C24" s="149" t="s">
        <v>478</v>
      </c>
      <c r="D24" s="149" t="s">
        <v>461</v>
      </c>
      <c r="E24" s="149" t="s">
        <v>492</v>
      </c>
      <c r="F24" s="149"/>
      <c r="G24" s="150">
        <v>17</v>
      </c>
      <c r="H24" s="14" t="s">
        <v>181</v>
      </c>
      <c r="I24" s="14" t="s">
        <v>86</v>
      </c>
      <c r="J24" s="14" t="s">
        <v>511</v>
      </c>
      <c r="K24" s="149" t="s">
        <v>38</v>
      </c>
      <c r="L24" s="100" t="str">
        <f>IF(K24=CURSOS!$D$3,"DIPLOMADO EN ATENCION PRE-HOSPITALARIA",IF(K24=CURSOS!$D$4,"ACOMPAÑAMIENTO Y MANEJO DEL DUELO",IF(K24=CURSOS!$D$5,"ATENCION A VICTIMAS DE ATAQUE CON AGENTES QUIMICOS ",IF(K24=CURSOS!$D$6,"PRIMEROS AUXILIOS ",IF(K24=CURSOS!$D$7,"DIPLOMADO DE UNIDAD DE CUIDADOS INTENSIVOS (UCI)",IF(K24=CURSOS!$D$8,"MODELO DE ATENCION PARA EVENTOS EMERGENTES EN SALUD MENTAL (CODIGO VERDE)",IF(K24=CURSOS!$D$9,"HUMANIZACION EN EL SERVICIO DE LA SALUD Y BUENAS PRACTICAS EN PACIENTE ",IF(K24=CURSOS!$D$10,"CLINICA DE HERIDAS ",IF(K24=CURSOS!$D$11,"TOMA DE CITOLOGIA CERVICO VAGINAL ",IF(K24=CURSOS!$D$12,"SOPORTE CARDIOVASCULAR AVANZADO (ACLS) ",IF(K24=CURSOS!$D$13,"CAMILLERO ",IF(K24=CURSOS!$D$14,"TOMA DE MUESTRAS Y LABORATORIO ",IF(K24=CURSOS!$D$15,"SOPORTE VITAL BASICO (BLS)",IF(K24=CURSOS!$D$16,"ATENCION A VICTIMAS DE VIOLENCIA SEXUAL ",IF(K24=CURSOS!$D$17,"PROGRAMADO AMPLIADO DE INMUNIZACION (PAI - COVID 19)",IF(K24=CURSOS!$D$18,"ATENCION INTEGRAL EN ENFERMEDADES PREVALENTES EN PRIMERA INFANCIA (AIEPI)",IF(K24=CURSOS!$D$19,"ADMINISTRACION DE MEDICAMENTOS, INYECTOLOGIA  Y CANALIZACION ",IF(K24=CURSOS!$D$20,"OPERADOR DE VEHICULOS DE EMERGENCIA (OVE)",IF(K24=CURSOS!$D$21,"INSTITUCIONES AMIGAS DE LA MUJER Y LA INFANCIA (IAMI)",IF(K24=CURSOS!$D$22,"CUIDADO DEL DONANTE DE ORGANOS",IF(K24=CURSOS!$D$23,"ATENCION A VICTIMAS POR VIOLENCIA DE GENERO",IF(K24=CURSOS!$D$24,"IGUALDAD DE GENERO EN LA SALUD",IF(K24=CURSOS!$D$25,"BRIGADA DE EMERGENCIA",IF(K24=CURSOS!$D$26,"MANEJO DEL DOLOR Y CUIDADOS PALIATIVOS",IF(K24=CURSOS!$D$27,"TOMA DE MUESTRAS Y LABORATORIO POCT",IF(K24=CURSOS!$D$28,"IMPLANTE SUBDERMICO DE DISPOSITIVO INTRAUTERINO",IF(K24=CURSOS!$D$29,"SALUD MENTAL",IF(K24=CURSOS!$D$30,"PRIMEROS AUXILIOS PSICOLOGICOS",IF(K24=CURSOS!$D$31,"ATENCION A VICTIMAS POR CONFLICTO ARMADO",IF(K24=CURSOS!$D$32,"MANIPULACION DE ALIMENTOS Y BPM",IF(K24=CURSOS!$D$33,"ATENCION A PERSONAS CON DISCAPACIDAD",IF(K24=CURSOS!$D$34,"CUIDADO INTEGRAL DEL PACIENTE ADULTO",IF(K24=CURSOS!$D$35,"MANEJO DEFENSIVO",IF(K24=CURSOS!$D$36,"SOPORTE CARDIOVASCULAR AVANZADO NEONATAL",IF(K24=CURSOS!$D$37,"SEGURIDAD DEL PACIENTE")))))))))))))))))))))))))))))))))))</f>
        <v xml:space="preserve">SOPORTE CARDIOVASCULAR AVANZADO (ACLS) </v>
      </c>
      <c r="M24" s="52" t="str">
        <f t="shared" si="0"/>
        <v>Elizabeth  Arcos Medina</v>
      </c>
      <c r="N24" s="52" t="str">
        <f t="shared" si="2"/>
        <v>Elizabeth  Arcos Medina</v>
      </c>
      <c r="O24" s="52" t="str">
        <f t="shared" si="1"/>
        <v>Elizabeth  Arcos Medina-1007268384-ACLS</v>
      </c>
    </row>
    <row r="25" spans="1:15" x14ac:dyDescent="0.2">
      <c r="A25" s="149">
        <v>24</v>
      </c>
      <c r="B25" s="149">
        <v>1007268384</v>
      </c>
      <c r="C25" s="149" t="s">
        <v>478</v>
      </c>
      <c r="D25" s="149" t="s">
        <v>461</v>
      </c>
      <c r="E25" s="149" t="s">
        <v>492</v>
      </c>
      <c r="F25" s="149"/>
      <c r="G25" s="150">
        <v>17</v>
      </c>
      <c r="H25" s="14" t="s">
        <v>181</v>
      </c>
      <c r="I25" s="14" t="s">
        <v>86</v>
      </c>
      <c r="J25" s="14" t="s">
        <v>511</v>
      </c>
      <c r="K25" s="149" t="s">
        <v>19</v>
      </c>
      <c r="L25" s="100" t="str">
        <f>IF(K25=CURSOS!$D$3,"DIPLOMADO EN ATENCION PRE-HOSPITALARIA",IF(K25=CURSOS!$D$4,"ACOMPAÑAMIENTO Y MANEJO DEL DUELO",IF(K25=CURSOS!$D$5,"ATENCION A VICTIMAS DE ATAQUE CON AGENTES QUIMICOS ",IF(K25=CURSOS!$D$6,"PRIMEROS AUXILIOS ",IF(K25=CURSOS!$D$7,"DIPLOMADO DE UNIDAD DE CUIDADOS INTENSIVOS (UCI)",IF(K25=CURSOS!$D$8,"MODELO DE ATENCION PARA EVENTOS EMERGENTES EN SALUD MENTAL (CODIGO VERDE)",IF(K25=CURSOS!$D$9,"HUMANIZACION EN EL SERVICIO DE LA SALUD Y BUENAS PRACTICAS EN PACIENTE ",IF(K25=CURSOS!$D$10,"CLINICA DE HERIDAS ",IF(K25=CURSOS!$D$11,"TOMA DE CITOLOGIA CERVICO VAGINAL ",IF(K25=CURSOS!$D$12,"SOPORTE CARDIOVASCULAR AVANZADO (ACLS) ",IF(K25=CURSOS!$D$13,"CAMILLERO ",IF(K25=CURSOS!$D$14,"TOMA DE MUESTRAS Y LABORATORIO ",IF(K25=CURSOS!$D$15,"SOPORTE VITAL BASICO (BLS)",IF(K25=CURSOS!$D$16,"ATENCION A VICTIMAS DE VIOLENCIA SEXUAL ",IF(K25=CURSOS!$D$17,"PROGRAMADO AMPLIADO DE INMUNIZACION (PAI - COVID 19)",IF(K25=CURSOS!$D$18,"ATENCION INTEGRAL EN ENFERMEDADES PREVALENTES EN PRIMERA INFANCIA (AIEPI)",IF(K25=CURSOS!$D$19,"ADMINISTRACION DE MEDICAMENTOS, INYECTOLOGIA  Y CANALIZACION ",IF(K25=CURSOS!$D$20,"OPERADOR DE VEHICULOS DE EMERGENCIA (OVE)",IF(K25=CURSOS!$D$21,"INSTITUCIONES AMIGAS DE LA MUJER Y LA INFANCIA (IAMI)",IF(K25=CURSOS!$D$22,"CUIDADO DEL DONANTE DE ORGANOS",IF(K25=CURSOS!$D$23,"ATENCION A VICTIMAS POR VIOLENCIA DE GENERO",IF(K25=CURSOS!$D$24,"IGUALDAD DE GENERO EN LA SALUD",IF(K25=CURSOS!$D$25,"BRIGADA DE EMERGENCIA",IF(K25=CURSOS!$D$26,"MANEJO DEL DOLOR Y CUIDADOS PALIATIVOS",IF(K25=CURSOS!$D$27,"TOMA DE MUESTRAS Y LABORATORIO POCT",IF(K25=CURSOS!$D$28,"IMPLANTE SUBDERMICO DE DISPOSITIVO INTRAUTERINO",IF(K25=CURSOS!$D$29,"SALUD MENTAL",IF(K25=CURSOS!$D$30,"PRIMEROS AUXILIOS PSICOLOGICOS",IF(K25=CURSOS!$D$31,"ATENCION A VICTIMAS POR CONFLICTO ARMADO",IF(K25=CURSOS!$D$32,"MANIPULACION DE ALIMENTOS Y BPM",IF(K25=CURSOS!$D$33,"ATENCION A PERSONAS CON DISCAPACIDAD",IF(K25=CURSOS!$D$34,"CUIDADO INTEGRAL DEL PACIENTE ADULTO",IF(K25=CURSOS!$D$35,"MANEJO DEFENSIVO",IF(K25=CURSOS!$D$36,"SOPORTE CARDIOVASCULAR AVANZADO NEONATAL",IF(K25=CURSOS!$D$37,"SEGURIDAD DEL PACIENTE")))))))))))))))))))))))))))))))))))</f>
        <v>SOPORTE VITAL BASICO (BLS)</v>
      </c>
      <c r="M25" s="52" t="str">
        <f t="shared" si="0"/>
        <v>Elizabeth  Arcos Medina</v>
      </c>
      <c r="N25" s="52" t="str">
        <f t="shared" si="2"/>
        <v>Elizabeth  Arcos Medina</v>
      </c>
      <c r="O25" s="52" t="str">
        <f t="shared" si="1"/>
        <v>Elizabeth  Arcos Medina-1007268384-BLS</v>
      </c>
    </row>
    <row r="26" spans="1:15" x14ac:dyDescent="0.2">
      <c r="A26" s="149">
        <v>25</v>
      </c>
      <c r="B26" s="149">
        <v>1086755719</v>
      </c>
      <c r="C26" s="149" t="s">
        <v>413</v>
      </c>
      <c r="D26" s="149" t="s">
        <v>462</v>
      </c>
      <c r="E26" s="149" t="s">
        <v>87</v>
      </c>
      <c r="F26" s="149" t="s">
        <v>116</v>
      </c>
      <c r="G26" s="150">
        <v>17</v>
      </c>
      <c r="H26" s="14" t="s">
        <v>181</v>
      </c>
      <c r="I26" s="14" t="s">
        <v>86</v>
      </c>
      <c r="J26" s="14" t="s">
        <v>511</v>
      </c>
      <c r="K26" s="149" t="s">
        <v>38</v>
      </c>
      <c r="L26" s="100" t="str">
        <f>IF(K26=CURSOS!$D$3,"DIPLOMADO EN ATENCION PRE-HOSPITALARIA",IF(K26=CURSOS!$D$4,"ACOMPAÑAMIENTO Y MANEJO DEL DUELO",IF(K26=CURSOS!$D$5,"ATENCION A VICTIMAS DE ATAQUE CON AGENTES QUIMICOS ",IF(K26=CURSOS!$D$6,"PRIMEROS AUXILIOS ",IF(K26=CURSOS!$D$7,"DIPLOMADO DE UNIDAD DE CUIDADOS INTENSIVOS (UCI)",IF(K26=CURSOS!$D$8,"MODELO DE ATENCION PARA EVENTOS EMERGENTES EN SALUD MENTAL (CODIGO VERDE)",IF(K26=CURSOS!$D$9,"HUMANIZACION EN EL SERVICIO DE LA SALUD Y BUENAS PRACTICAS EN PACIENTE ",IF(K26=CURSOS!$D$10,"CLINICA DE HERIDAS ",IF(K26=CURSOS!$D$11,"TOMA DE CITOLOGIA CERVICO VAGINAL ",IF(K26=CURSOS!$D$12,"SOPORTE CARDIOVASCULAR AVANZADO (ACLS) ",IF(K26=CURSOS!$D$13,"CAMILLERO ",IF(K26=CURSOS!$D$14,"TOMA DE MUESTRAS Y LABORATORIO ",IF(K26=CURSOS!$D$15,"SOPORTE VITAL BASICO (BLS)",IF(K26=CURSOS!$D$16,"ATENCION A VICTIMAS DE VIOLENCIA SEXUAL ",IF(K26=CURSOS!$D$17,"PROGRAMADO AMPLIADO DE INMUNIZACION (PAI - COVID 19)",IF(K26=CURSOS!$D$18,"ATENCION INTEGRAL EN ENFERMEDADES PREVALENTES EN PRIMERA INFANCIA (AIEPI)",IF(K26=CURSOS!$D$19,"ADMINISTRACION DE MEDICAMENTOS, INYECTOLOGIA  Y CANALIZACION ",IF(K26=CURSOS!$D$20,"OPERADOR DE VEHICULOS DE EMERGENCIA (OVE)",IF(K26=CURSOS!$D$21,"INSTITUCIONES AMIGAS DE LA MUJER Y LA INFANCIA (IAMI)",IF(K26=CURSOS!$D$22,"CUIDADO DEL DONANTE DE ORGANOS",IF(K26=CURSOS!$D$23,"ATENCION A VICTIMAS POR VIOLENCIA DE GENERO",IF(K26=CURSOS!$D$24,"IGUALDAD DE GENERO EN LA SALUD",IF(K26=CURSOS!$D$25,"BRIGADA DE EMERGENCIA",IF(K26=CURSOS!$D$26,"MANEJO DEL DOLOR Y CUIDADOS PALIATIVOS",IF(K26=CURSOS!$D$27,"TOMA DE MUESTRAS Y LABORATORIO POCT",IF(K26=CURSOS!$D$28,"IMPLANTE SUBDERMICO DE DISPOSITIVO INTRAUTERINO",IF(K26=CURSOS!$D$29,"SALUD MENTAL",IF(K26=CURSOS!$D$30,"PRIMEROS AUXILIOS PSICOLOGICOS",IF(K26=CURSOS!$D$31,"ATENCION A VICTIMAS POR CONFLICTO ARMADO",IF(K26=CURSOS!$D$32,"MANIPULACION DE ALIMENTOS Y BPM",IF(K26=CURSOS!$D$33,"ATENCION A PERSONAS CON DISCAPACIDAD",IF(K26=CURSOS!$D$34,"CUIDADO INTEGRAL DEL PACIENTE ADULTO",IF(K26=CURSOS!$D$35,"MANEJO DEFENSIVO",IF(K26=CURSOS!$D$36,"SOPORTE CARDIOVASCULAR AVANZADO NEONATAL",IF(K26=CURSOS!$D$37,"SEGURIDAD DEL PACIENTE")))))))))))))))))))))))))))))))))))</f>
        <v xml:space="preserve">SOPORTE CARDIOVASCULAR AVANZADO (ACLS) </v>
      </c>
      <c r="M26" s="52" t="str">
        <f t="shared" si="0"/>
        <v>Maria Andrea Narváez Estacio</v>
      </c>
      <c r="N26" s="52" t="str">
        <f t="shared" si="2"/>
        <v>Maria Andrea Narváez Estacio</v>
      </c>
      <c r="O26" s="52" t="str">
        <f t="shared" si="1"/>
        <v>Maria Andrea Narváez Estacio-1086755719-ACLS</v>
      </c>
    </row>
    <row r="27" spans="1:15" x14ac:dyDescent="0.2">
      <c r="A27" s="149">
        <v>26</v>
      </c>
      <c r="B27" s="149">
        <v>1086755719</v>
      </c>
      <c r="C27" s="149" t="s">
        <v>413</v>
      </c>
      <c r="D27" s="149" t="s">
        <v>462</v>
      </c>
      <c r="E27" s="149" t="s">
        <v>87</v>
      </c>
      <c r="F27" s="149" t="s">
        <v>116</v>
      </c>
      <c r="G27" s="150">
        <v>17</v>
      </c>
      <c r="H27" s="14" t="s">
        <v>181</v>
      </c>
      <c r="I27" s="14" t="s">
        <v>86</v>
      </c>
      <c r="J27" s="14" t="s">
        <v>511</v>
      </c>
      <c r="K27" s="149" t="s">
        <v>19</v>
      </c>
      <c r="L27" s="100" t="str">
        <f>IF(K27=CURSOS!$D$3,"DIPLOMADO EN ATENCION PRE-HOSPITALARIA",IF(K27=CURSOS!$D$4,"ACOMPAÑAMIENTO Y MANEJO DEL DUELO",IF(K27=CURSOS!$D$5,"ATENCION A VICTIMAS DE ATAQUE CON AGENTES QUIMICOS ",IF(K27=CURSOS!$D$6,"PRIMEROS AUXILIOS ",IF(K27=CURSOS!$D$7,"DIPLOMADO DE UNIDAD DE CUIDADOS INTENSIVOS (UCI)",IF(K27=CURSOS!$D$8,"MODELO DE ATENCION PARA EVENTOS EMERGENTES EN SALUD MENTAL (CODIGO VERDE)",IF(K27=CURSOS!$D$9,"HUMANIZACION EN EL SERVICIO DE LA SALUD Y BUENAS PRACTICAS EN PACIENTE ",IF(K27=CURSOS!$D$10,"CLINICA DE HERIDAS ",IF(K27=CURSOS!$D$11,"TOMA DE CITOLOGIA CERVICO VAGINAL ",IF(K27=CURSOS!$D$12,"SOPORTE CARDIOVASCULAR AVANZADO (ACLS) ",IF(K27=CURSOS!$D$13,"CAMILLERO ",IF(K27=CURSOS!$D$14,"TOMA DE MUESTRAS Y LABORATORIO ",IF(K27=CURSOS!$D$15,"SOPORTE VITAL BASICO (BLS)",IF(K27=CURSOS!$D$16,"ATENCION A VICTIMAS DE VIOLENCIA SEXUAL ",IF(K27=CURSOS!$D$17,"PROGRAMADO AMPLIADO DE INMUNIZACION (PAI - COVID 19)",IF(K27=CURSOS!$D$18,"ATENCION INTEGRAL EN ENFERMEDADES PREVALENTES EN PRIMERA INFANCIA (AIEPI)",IF(K27=CURSOS!$D$19,"ADMINISTRACION DE MEDICAMENTOS, INYECTOLOGIA  Y CANALIZACION ",IF(K27=CURSOS!$D$20,"OPERADOR DE VEHICULOS DE EMERGENCIA (OVE)",IF(K27=CURSOS!$D$21,"INSTITUCIONES AMIGAS DE LA MUJER Y LA INFANCIA (IAMI)",IF(K27=CURSOS!$D$22,"CUIDADO DEL DONANTE DE ORGANOS",IF(K27=CURSOS!$D$23,"ATENCION A VICTIMAS POR VIOLENCIA DE GENERO",IF(K27=CURSOS!$D$24,"IGUALDAD DE GENERO EN LA SALUD",IF(K27=CURSOS!$D$25,"BRIGADA DE EMERGENCIA",IF(K27=CURSOS!$D$26,"MANEJO DEL DOLOR Y CUIDADOS PALIATIVOS",IF(K27=CURSOS!$D$27,"TOMA DE MUESTRAS Y LABORATORIO POCT",IF(K27=CURSOS!$D$28,"IMPLANTE SUBDERMICO DE DISPOSITIVO INTRAUTERINO",IF(K27=CURSOS!$D$29,"SALUD MENTAL",IF(K27=CURSOS!$D$30,"PRIMEROS AUXILIOS PSICOLOGICOS",IF(K27=CURSOS!$D$31,"ATENCION A VICTIMAS POR CONFLICTO ARMADO",IF(K27=CURSOS!$D$32,"MANIPULACION DE ALIMENTOS Y BPM",IF(K27=CURSOS!$D$33,"ATENCION A PERSONAS CON DISCAPACIDAD",IF(K27=CURSOS!$D$34,"CUIDADO INTEGRAL DEL PACIENTE ADULTO",IF(K27=CURSOS!$D$35,"MANEJO DEFENSIVO",IF(K27=CURSOS!$D$36,"SOPORTE CARDIOVASCULAR AVANZADO NEONATAL",IF(K27=CURSOS!$D$37,"SEGURIDAD DEL PACIENTE")))))))))))))))))))))))))))))))))))</f>
        <v>SOPORTE VITAL BASICO (BLS)</v>
      </c>
      <c r="M27" s="52" t="str">
        <f t="shared" si="0"/>
        <v>Maria Andrea Narváez Estacio</v>
      </c>
      <c r="N27" s="52" t="str">
        <f t="shared" si="2"/>
        <v>Maria Andrea Narváez Estacio</v>
      </c>
      <c r="O27" s="52" t="str">
        <f t="shared" si="1"/>
        <v>Maria Andrea Narváez Estacio-1086755719-BLS</v>
      </c>
    </row>
    <row r="28" spans="1:15" x14ac:dyDescent="0.2">
      <c r="A28" s="149">
        <v>27</v>
      </c>
      <c r="B28" s="149">
        <v>1084847001</v>
      </c>
      <c r="C28" s="149" t="s">
        <v>453</v>
      </c>
      <c r="D28" s="149" t="s">
        <v>463</v>
      </c>
      <c r="E28" s="149" t="s">
        <v>493</v>
      </c>
      <c r="F28" s="149" t="s">
        <v>494</v>
      </c>
      <c r="G28" s="150">
        <v>17</v>
      </c>
      <c r="H28" s="14" t="s">
        <v>181</v>
      </c>
      <c r="I28" s="14" t="s">
        <v>86</v>
      </c>
      <c r="J28" s="14" t="s">
        <v>511</v>
      </c>
      <c r="K28" s="149" t="s">
        <v>38</v>
      </c>
      <c r="L28" s="100" t="str">
        <f>IF(K28=CURSOS!$D$3,"DIPLOMADO EN ATENCION PRE-HOSPITALARIA",IF(K28=CURSOS!$D$4,"ACOMPAÑAMIENTO Y MANEJO DEL DUELO",IF(K28=CURSOS!$D$5,"ATENCION A VICTIMAS DE ATAQUE CON AGENTES QUIMICOS ",IF(K28=CURSOS!$D$6,"PRIMEROS AUXILIOS ",IF(K28=CURSOS!$D$7,"DIPLOMADO DE UNIDAD DE CUIDADOS INTENSIVOS (UCI)",IF(K28=CURSOS!$D$8,"MODELO DE ATENCION PARA EVENTOS EMERGENTES EN SALUD MENTAL (CODIGO VERDE)",IF(K28=CURSOS!$D$9,"HUMANIZACION EN EL SERVICIO DE LA SALUD Y BUENAS PRACTICAS EN PACIENTE ",IF(K28=CURSOS!$D$10,"CLINICA DE HERIDAS ",IF(K28=CURSOS!$D$11,"TOMA DE CITOLOGIA CERVICO VAGINAL ",IF(K28=CURSOS!$D$12,"SOPORTE CARDIOVASCULAR AVANZADO (ACLS) ",IF(K28=CURSOS!$D$13,"CAMILLERO ",IF(K28=CURSOS!$D$14,"TOMA DE MUESTRAS Y LABORATORIO ",IF(K28=CURSOS!$D$15,"SOPORTE VITAL BASICO (BLS)",IF(K28=CURSOS!$D$16,"ATENCION A VICTIMAS DE VIOLENCIA SEXUAL ",IF(K28=CURSOS!$D$17,"PROGRAMADO AMPLIADO DE INMUNIZACION (PAI - COVID 19)",IF(K28=CURSOS!$D$18,"ATENCION INTEGRAL EN ENFERMEDADES PREVALENTES EN PRIMERA INFANCIA (AIEPI)",IF(K28=CURSOS!$D$19,"ADMINISTRACION DE MEDICAMENTOS, INYECTOLOGIA  Y CANALIZACION ",IF(K28=CURSOS!$D$20,"OPERADOR DE VEHICULOS DE EMERGENCIA (OVE)",IF(K28=CURSOS!$D$21,"INSTITUCIONES AMIGAS DE LA MUJER Y LA INFANCIA (IAMI)",IF(K28=CURSOS!$D$22,"CUIDADO DEL DONANTE DE ORGANOS",IF(K28=CURSOS!$D$23,"ATENCION A VICTIMAS POR VIOLENCIA DE GENERO",IF(K28=CURSOS!$D$24,"IGUALDAD DE GENERO EN LA SALUD",IF(K28=CURSOS!$D$25,"BRIGADA DE EMERGENCIA",IF(K28=CURSOS!$D$26,"MANEJO DEL DOLOR Y CUIDADOS PALIATIVOS",IF(K28=CURSOS!$D$27,"TOMA DE MUESTRAS Y LABORATORIO POCT",IF(K28=CURSOS!$D$28,"IMPLANTE SUBDERMICO DE DISPOSITIVO INTRAUTERINO",IF(K28=CURSOS!$D$29,"SALUD MENTAL",IF(K28=CURSOS!$D$30,"PRIMEROS AUXILIOS PSICOLOGICOS",IF(K28=CURSOS!$D$31,"ATENCION A VICTIMAS POR CONFLICTO ARMADO",IF(K28=CURSOS!$D$32,"MANIPULACION DE ALIMENTOS Y BPM",IF(K28=CURSOS!$D$33,"ATENCION A PERSONAS CON DISCAPACIDAD",IF(K28=CURSOS!$D$34,"CUIDADO INTEGRAL DEL PACIENTE ADULTO",IF(K28=CURSOS!$D$35,"MANEJO DEFENSIVO",IF(K28=CURSOS!$D$36,"SOPORTE CARDIOVASCULAR AVANZADO NEONATAL",IF(K28=CURSOS!$D$37,"SEGURIDAD DEL PACIENTE")))))))))))))))))))))))))))))))))))</f>
        <v xml:space="preserve">SOPORTE CARDIOVASCULAR AVANZADO (ACLS) </v>
      </c>
      <c r="M28" s="52" t="str">
        <f t="shared" si="0"/>
        <v>Elva Yolima Valenzuela Palma</v>
      </c>
      <c r="N28" s="52" t="str">
        <f t="shared" si="2"/>
        <v>Elva Yolima Valenzuela Palma</v>
      </c>
      <c r="O28" s="52" t="str">
        <f t="shared" si="1"/>
        <v>Elva Yolima Valenzuela Palma-1084847001-ACLS</v>
      </c>
    </row>
    <row r="29" spans="1:15" x14ac:dyDescent="0.2">
      <c r="A29" s="85">
        <v>28</v>
      </c>
      <c r="B29" s="149">
        <v>1084847001</v>
      </c>
      <c r="C29" s="149" t="s">
        <v>453</v>
      </c>
      <c r="D29" s="149" t="s">
        <v>463</v>
      </c>
      <c r="E29" s="149" t="s">
        <v>493</v>
      </c>
      <c r="F29" s="149" t="s">
        <v>494</v>
      </c>
      <c r="G29" s="101">
        <v>17</v>
      </c>
      <c r="H29" s="14" t="s">
        <v>181</v>
      </c>
      <c r="I29" s="14" t="s">
        <v>86</v>
      </c>
      <c r="J29" s="14" t="s">
        <v>511</v>
      </c>
      <c r="K29" s="149" t="s">
        <v>19</v>
      </c>
      <c r="L29" s="100" t="str">
        <f>IF(K29=CURSOS!$D$3,"DIPLOMADO EN ATENCION PRE-HOSPITALARIA",IF(K29=CURSOS!$D$4,"ACOMPAÑAMIENTO Y MANEJO DEL DUELO",IF(K29=CURSOS!$D$5,"ATENCION A VICTIMAS DE ATAQUE CON AGENTES QUIMICOS ",IF(K29=CURSOS!$D$6,"PRIMEROS AUXILIOS ",IF(K29=CURSOS!$D$7,"DIPLOMADO DE UNIDAD DE CUIDADOS INTENSIVOS (UCI)",IF(K29=CURSOS!$D$8,"MODELO DE ATENCION PARA EVENTOS EMERGENTES EN SALUD MENTAL (CODIGO VERDE)",IF(K29=CURSOS!$D$9,"HUMANIZACION EN EL SERVICIO DE LA SALUD Y BUENAS PRACTICAS EN PACIENTE ",IF(K29=CURSOS!$D$10,"CLINICA DE HERIDAS ",IF(K29=CURSOS!$D$11,"TOMA DE CITOLOGIA CERVICO VAGINAL ",IF(K29=CURSOS!$D$12,"SOPORTE CARDIOVASCULAR AVANZADO (ACLS) ",IF(K29=CURSOS!$D$13,"CAMILLERO ",IF(K29=CURSOS!$D$14,"TOMA DE MUESTRAS Y LABORATORIO ",IF(K29=CURSOS!$D$15,"SOPORTE VITAL BASICO (BLS)",IF(K29=CURSOS!$D$16,"ATENCION A VICTIMAS DE VIOLENCIA SEXUAL ",IF(K29=CURSOS!$D$17,"PROGRAMADO AMPLIADO DE INMUNIZACION (PAI - COVID 19)",IF(K29=CURSOS!$D$18,"ATENCION INTEGRAL EN ENFERMEDADES PREVALENTES EN PRIMERA INFANCIA (AIEPI)",IF(K29=CURSOS!$D$19,"ADMINISTRACION DE MEDICAMENTOS, INYECTOLOGIA  Y CANALIZACION ",IF(K29=CURSOS!$D$20,"OPERADOR DE VEHICULOS DE EMERGENCIA (OVE)",IF(K29=CURSOS!$D$21,"INSTITUCIONES AMIGAS DE LA MUJER Y LA INFANCIA (IAMI)",IF(K29=CURSOS!$D$22,"CUIDADO DEL DONANTE DE ORGANOS",IF(K29=CURSOS!$D$23,"ATENCION A VICTIMAS POR VIOLENCIA DE GENERO",IF(K29=CURSOS!$D$24,"IGUALDAD DE GENERO EN LA SALUD",IF(K29=CURSOS!$D$25,"BRIGADA DE EMERGENCIA",IF(K29=CURSOS!$D$26,"MANEJO DEL DOLOR Y CUIDADOS PALIATIVOS",IF(K29=CURSOS!$D$27,"TOMA DE MUESTRAS Y LABORATORIO POCT",IF(K29=CURSOS!$D$28,"IMPLANTE SUBDERMICO DE DISPOSITIVO INTRAUTERINO",IF(K29=CURSOS!$D$29,"SALUD MENTAL",IF(K29=CURSOS!$D$30,"PRIMEROS AUXILIOS PSICOLOGICOS",IF(K29=CURSOS!$D$31,"ATENCION A VICTIMAS POR CONFLICTO ARMADO",IF(K29=CURSOS!$D$32,"MANIPULACION DE ALIMENTOS Y BPM",IF(K29=CURSOS!$D$33,"ATENCION A PERSONAS CON DISCAPACIDAD",IF(K29=CURSOS!$D$34,"CUIDADO INTEGRAL DEL PACIENTE ADULTO",IF(K29=CURSOS!$D$35,"MANEJO DEFENSIVO",IF(K29=CURSOS!$D$36,"SOPORTE CARDIOVASCULAR AVANZADO NEONATAL",IF(K29=CURSOS!$D$37,"SEGURIDAD DEL PACIENTE")))))))))))))))))))))))))))))))))))</f>
        <v>SOPORTE VITAL BASICO (BLS)</v>
      </c>
      <c r="M29" s="52" t="str">
        <f t="shared" si="0"/>
        <v>Elva Yolima Valenzuela Palma</v>
      </c>
      <c r="N29" s="52" t="str">
        <f t="shared" si="2"/>
        <v>Elva Yolima Valenzuela Palma</v>
      </c>
      <c r="O29" s="52" t="str">
        <f t="shared" si="1"/>
        <v>Elva Yolima Valenzuela Palma-1084847001-BLS</v>
      </c>
    </row>
    <row r="30" spans="1:15" x14ac:dyDescent="0.2">
      <c r="A30" s="85">
        <v>29</v>
      </c>
      <c r="B30" s="149">
        <v>1087675197</v>
      </c>
      <c r="C30" s="149" t="s">
        <v>464</v>
      </c>
      <c r="D30" s="149" t="s">
        <v>138</v>
      </c>
      <c r="E30" s="149" t="s">
        <v>495</v>
      </c>
      <c r="F30" s="149" t="s">
        <v>116</v>
      </c>
      <c r="G30" s="101">
        <v>17</v>
      </c>
      <c r="H30" s="14" t="s">
        <v>181</v>
      </c>
      <c r="I30" s="14" t="s">
        <v>86</v>
      </c>
      <c r="J30" s="14" t="s">
        <v>511</v>
      </c>
      <c r="K30" s="149" t="s">
        <v>38</v>
      </c>
      <c r="L30" s="100" t="str">
        <f>IF(K30=CURSOS!$D$3,"DIPLOMADO EN ATENCION PRE-HOSPITALARIA",IF(K30=CURSOS!$D$4,"ACOMPAÑAMIENTO Y MANEJO DEL DUELO",IF(K30=CURSOS!$D$5,"ATENCION A VICTIMAS DE ATAQUE CON AGENTES QUIMICOS ",IF(K30=CURSOS!$D$6,"PRIMEROS AUXILIOS ",IF(K30=CURSOS!$D$7,"DIPLOMADO DE UNIDAD DE CUIDADOS INTENSIVOS (UCI)",IF(K30=CURSOS!$D$8,"MODELO DE ATENCION PARA EVENTOS EMERGENTES EN SALUD MENTAL (CODIGO VERDE)",IF(K30=CURSOS!$D$9,"HUMANIZACION EN EL SERVICIO DE LA SALUD Y BUENAS PRACTICAS EN PACIENTE ",IF(K30=CURSOS!$D$10,"CLINICA DE HERIDAS ",IF(K30=CURSOS!$D$11,"TOMA DE CITOLOGIA CERVICO VAGINAL ",IF(K30=CURSOS!$D$12,"SOPORTE CARDIOVASCULAR AVANZADO (ACLS) ",IF(K30=CURSOS!$D$13,"CAMILLERO ",IF(K30=CURSOS!$D$14,"TOMA DE MUESTRAS Y LABORATORIO ",IF(K30=CURSOS!$D$15,"SOPORTE VITAL BASICO (BLS)",IF(K30=CURSOS!$D$16,"ATENCION A VICTIMAS DE VIOLENCIA SEXUAL ",IF(K30=CURSOS!$D$17,"PROGRAMADO AMPLIADO DE INMUNIZACION (PAI - COVID 19)",IF(K30=CURSOS!$D$18,"ATENCION INTEGRAL EN ENFERMEDADES PREVALENTES EN PRIMERA INFANCIA (AIEPI)",IF(K30=CURSOS!$D$19,"ADMINISTRACION DE MEDICAMENTOS, INYECTOLOGIA  Y CANALIZACION ",IF(K30=CURSOS!$D$20,"OPERADOR DE VEHICULOS DE EMERGENCIA (OVE)",IF(K30=CURSOS!$D$21,"INSTITUCIONES AMIGAS DE LA MUJER Y LA INFANCIA (IAMI)",IF(K30=CURSOS!$D$22,"CUIDADO DEL DONANTE DE ORGANOS",IF(K30=CURSOS!$D$23,"ATENCION A VICTIMAS POR VIOLENCIA DE GENERO",IF(K30=CURSOS!$D$24,"IGUALDAD DE GENERO EN LA SALUD",IF(K30=CURSOS!$D$25,"BRIGADA DE EMERGENCIA",IF(K30=CURSOS!$D$26,"MANEJO DEL DOLOR Y CUIDADOS PALIATIVOS",IF(K30=CURSOS!$D$27,"TOMA DE MUESTRAS Y LABORATORIO POCT",IF(K30=CURSOS!$D$28,"IMPLANTE SUBDERMICO DE DISPOSITIVO INTRAUTERINO",IF(K30=CURSOS!$D$29,"SALUD MENTAL",IF(K30=CURSOS!$D$30,"PRIMEROS AUXILIOS PSICOLOGICOS",IF(K30=CURSOS!$D$31,"ATENCION A VICTIMAS POR CONFLICTO ARMADO",IF(K30=CURSOS!$D$32,"MANIPULACION DE ALIMENTOS Y BPM",IF(K30=CURSOS!$D$33,"ATENCION A PERSONAS CON DISCAPACIDAD",IF(K30=CURSOS!$D$34,"CUIDADO INTEGRAL DEL PACIENTE ADULTO",IF(K30=CURSOS!$D$35,"MANEJO DEFENSIVO",IF(K30=CURSOS!$D$36,"SOPORTE CARDIOVASCULAR AVANZADO NEONATAL",IF(K30=CURSOS!$D$37,"SEGURIDAD DEL PACIENTE")))))))))))))))))))))))))))))))))))</f>
        <v xml:space="preserve">SOPORTE CARDIOVASCULAR AVANZADO (ACLS) </v>
      </c>
      <c r="M30" s="52" t="str">
        <f t="shared" si="0"/>
        <v>Karol Andrea Azain Hernandez</v>
      </c>
      <c r="N30" s="52" t="str">
        <f t="shared" si="2"/>
        <v>Karol Andrea Azain Hernandez</v>
      </c>
      <c r="O30" s="52" t="str">
        <f t="shared" si="1"/>
        <v>Karol Andrea Azain Hernandez-1087675197-ACLS</v>
      </c>
    </row>
    <row r="31" spans="1:15" x14ac:dyDescent="0.2">
      <c r="A31" s="149">
        <v>30</v>
      </c>
      <c r="B31" s="149">
        <v>1087675197</v>
      </c>
      <c r="C31" s="149" t="s">
        <v>464</v>
      </c>
      <c r="D31" s="149" t="s">
        <v>138</v>
      </c>
      <c r="E31" s="149" t="s">
        <v>495</v>
      </c>
      <c r="F31" s="149" t="s">
        <v>116</v>
      </c>
      <c r="G31" s="150">
        <v>17</v>
      </c>
      <c r="H31" s="14" t="s">
        <v>181</v>
      </c>
      <c r="I31" s="14" t="s">
        <v>86</v>
      </c>
      <c r="J31" s="14" t="s">
        <v>511</v>
      </c>
      <c r="K31" s="149" t="s">
        <v>19</v>
      </c>
      <c r="L31" s="100" t="str">
        <f>IF(K31=CURSOS!$D$3,"DIPLOMADO EN ATENCION PRE-HOSPITALARIA",IF(K31=CURSOS!$D$4,"ACOMPAÑAMIENTO Y MANEJO DEL DUELO",IF(K31=CURSOS!$D$5,"ATENCION A VICTIMAS DE ATAQUE CON AGENTES QUIMICOS ",IF(K31=CURSOS!$D$6,"PRIMEROS AUXILIOS ",IF(K31=CURSOS!$D$7,"DIPLOMADO DE UNIDAD DE CUIDADOS INTENSIVOS (UCI)",IF(K31=CURSOS!$D$8,"MODELO DE ATENCION PARA EVENTOS EMERGENTES EN SALUD MENTAL (CODIGO VERDE)",IF(K31=CURSOS!$D$9,"HUMANIZACION EN EL SERVICIO DE LA SALUD Y BUENAS PRACTICAS EN PACIENTE ",IF(K31=CURSOS!$D$10,"CLINICA DE HERIDAS ",IF(K31=CURSOS!$D$11,"TOMA DE CITOLOGIA CERVICO VAGINAL ",IF(K31=CURSOS!$D$12,"SOPORTE CARDIOVASCULAR AVANZADO (ACLS) ",IF(K31=CURSOS!$D$13,"CAMILLERO ",IF(K31=CURSOS!$D$14,"TOMA DE MUESTRAS Y LABORATORIO ",IF(K31=CURSOS!$D$15,"SOPORTE VITAL BASICO (BLS)",IF(K31=CURSOS!$D$16,"ATENCION A VICTIMAS DE VIOLENCIA SEXUAL ",IF(K31=CURSOS!$D$17,"PROGRAMADO AMPLIADO DE INMUNIZACION (PAI - COVID 19)",IF(K31=CURSOS!$D$18,"ATENCION INTEGRAL EN ENFERMEDADES PREVALENTES EN PRIMERA INFANCIA (AIEPI)",IF(K31=CURSOS!$D$19,"ADMINISTRACION DE MEDICAMENTOS, INYECTOLOGIA  Y CANALIZACION ",IF(K31=CURSOS!$D$20,"OPERADOR DE VEHICULOS DE EMERGENCIA (OVE)",IF(K31=CURSOS!$D$21,"INSTITUCIONES AMIGAS DE LA MUJER Y LA INFANCIA (IAMI)",IF(K31=CURSOS!$D$22,"CUIDADO DEL DONANTE DE ORGANOS",IF(K31=CURSOS!$D$23,"ATENCION A VICTIMAS POR VIOLENCIA DE GENERO",IF(K31=CURSOS!$D$24,"IGUALDAD DE GENERO EN LA SALUD",IF(K31=CURSOS!$D$25,"BRIGADA DE EMERGENCIA",IF(K31=CURSOS!$D$26,"MANEJO DEL DOLOR Y CUIDADOS PALIATIVOS",IF(K31=CURSOS!$D$27,"TOMA DE MUESTRAS Y LABORATORIO POCT",IF(K31=CURSOS!$D$28,"IMPLANTE SUBDERMICO DE DISPOSITIVO INTRAUTERINO",IF(K31=CURSOS!$D$29,"SALUD MENTAL",IF(K31=CURSOS!$D$30,"PRIMEROS AUXILIOS PSICOLOGICOS",IF(K31=CURSOS!$D$31,"ATENCION A VICTIMAS POR CONFLICTO ARMADO",IF(K31=CURSOS!$D$32,"MANIPULACION DE ALIMENTOS Y BPM",IF(K31=CURSOS!$D$33,"ATENCION A PERSONAS CON DISCAPACIDAD",IF(K31=CURSOS!$D$34,"CUIDADO INTEGRAL DEL PACIENTE ADULTO",IF(K31=CURSOS!$D$35,"MANEJO DEFENSIVO",IF(K31=CURSOS!$D$36,"SOPORTE CARDIOVASCULAR AVANZADO NEONATAL",IF(K31=CURSOS!$D$37,"SEGURIDAD DEL PACIENTE")))))))))))))))))))))))))))))))))))</f>
        <v>SOPORTE VITAL BASICO (BLS)</v>
      </c>
      <c r="M31" s="52" t="str">
        <f t="shared" si="0"/>
        <v>Karol Andrea Azain Hernandez</v>
      </c>
      <c r="N31" s="52" t="str">
        <f t="shared" si="2"/>
        <v>Karol Andrea Azain Hernandez</v>
      </c>
      <c r="O31" s="52" t="str">
        <f t="shared" si="1"/>
        <v>Karol Andrea Azain Hernandez-1087675197-BLS</v>
      </c>
    </row>
    <row r="32" spans="1:15" x14ac:dyDescent="0.2">
      <c r="A32" s="149">
        <v>31</v>
      </c>
      <c r="B32" s="149">
        <v>1004490953</v>
      </c>
      <c r="C32" s="149" t="s">
        <v>465</v>
      </c>
      <c r="D32" s="149" t="s">
        <v>138</v>
      </c>
      <c r="E32" s="149" t="s">
        <v>496</v>
      </c>
      <c r="F32" s="149" t="s">
        <v>490</v>
      </c>
      <c r="G32" s="150">
        <v>17</v>
      </c>
      <c r="H32" s="14" t="s">
        <v>181</v>
      </c>
      <c r="I32" s="14" t="s">
        <v>86</v>
      </c>
      <c r="J32" s="14" t="s">
        <v>511</v>
      </c>
      <c r="K32" s="149" t="s">
        <v>38</v>
      </c>
      <c r="L32" s="100" t="str">
        <f>IF(K32=CURSOS!$D$3,"DIPLOMADO EN ATENCION PRE-HOSPITALARIA",IF(K32=CURSOS!$D$4,"ACOMPAÑAMIENTO Y MANEJO DEL DUELO",IF(K32=CURSOS!$D$5,"ATENCION A VICTIMAS DE ATAQUE CON AGENTES QUIMICOS ",IF(K32=CURSOS!$D$6,"PRIMEROS AUXILIOS ",IF(K32=CURSOS!$D$7,"DIPLOMADO DE UNIDAD DE CUIDADOS INTENSIVOS (UCI)",IF(K32=CURSOS!$D$8,"MODELO DE ATENCION PARA EVENTOS EMERGENTES EN SALUD MENTAL (CODIGO VERDE)",IF(K32=CURSOS!$D$9,"HUMANIZACION EN EL SERVICIO DE LA SALUD Y BUENAS PRACTICAS EN PACIENTE ",IF(K32=CURSOS!$D$10,"CLINICA DE HERIDAS ",IF(K32=CURSOS!$D$11,"TOMA DE CITOLOGIA CERVICO VAGINAL ",IF(K32=CURSOS!$D$12,"SOPORTE CARDIOVASCULAR AVANZADO (ACLS) ",IF(K32=CURSOS!$D$13,"CAMILLERO ",IF(K32=CURSOS!$D$14,"TOMA DE MUESTRAS Y LABORATORIO ",IF(K32=CURSOS!$D$15,"SOPORTE VITAL BASICO (BLS)",IF(K32=CURSOS!$D$16,"ATENCION A VICTIMAS DE VIOLENCIA SEXUAL ",IF(K32=CURSOS!$D$17,"PROGRAMADO AMPLIADO DE INMUNIZACION (PAI - COVID 19)",IF(K32=CURSOS!$D$18,"ATENCION INTEGRAL EN ENFERMEDADES PREVALENTES EN PRIMERA INFANCIA (AIEPI)",IF(K32=CURSOS!$D$19,"ADMINISTRACION DE MEDICAMENTOS, INYECTOLOGIA  Y CANALIZACION ",IF(K32=CURSOS!$D$20,"OPERADOR DE VEHICULOS DE EMERGENCIA (OVE)",IF(K32=CURSOS!$D$21,"INSTITUCIONES AMIGAS DE LA MUJER Y LA INFANCIA (IAMI)",IF(K32=CURSOS!$D$22,"CUIDADO DEL DONANTE DE ORGANOS",IF(K32=CURSOS!$D$23,"ATENCION A VICTIMAS POR VIOLENCIA DE GENERO",IF(K32=CURSOS!$D$24,"IGUALDAD DE GENERO EN LA SALUD",IF(K32=CURSOS!$D$25,"BRIGADA DE EMERGENCIA",IF(K32=CURSOS!$D$26,"MANEJO DEL DOLOR Y CUIDADOS PALIATIVOS",IF(K32=CURSOS!$D$27,"TOMA DE MUESTRAS Y LABORATORIO POCT",IF(K32=CURSOS!$D$28,"IMPLANTE SUBDERMICO DE DISPOSITIVO INTRAUTERINO",IF(K32=CURSOS!$D$29,"SALUD MENTAL",IF(K32=CURSOS!$D$30,"PRIMEROS AUXILIOS PSICOLOGICOS",IF(K32=CURSOS!$D$31,"ATENCION A VICTIMAS POR CONFLICTO ARMADO",IF(K32=CURSOS!$D$32,"MANIPULACION DE ALIMENTOS Y BPM",IF(K32=CURSOS!$D$33,"ATENCION A PERSONAS CON DISCAPACIDAD",IF(K32=CURSOS!$D$34,"CUIDADO INTEGRAL DEL PACIENTE ADULTO",IF(K32=CURSOS!$D$35,"MANEJO DEFENSIVO",IF(K32=CURSOS!$D$36,"SOPORTE CARDIOVASCULAR AVANZADO NEONATAL",IF(K32=CURSOS!$D$37,"SEGURIDAD DEL PACIENTE")))))))))))))))))))))))))))))))))))</f>
        <v xml:space="preserve">SOPORTE CARDIOVASCULAR AVANZADO (ACLS) </v>
      </c>
      <c r="M32" s="52" t="str">
        <f t="shared" si="0"/>
        <v>Yurley Dayana Aite Hernandez</v>
      </c>
      <c r="N32" s="52" t="str">
        <f t="shared" si="2"/>
        <v>Yurley Dayana Aite Hernandez</v>
      </c>
      <c r="O32" s="52" t="str">
        <f t="shared" si="1"/>
        <v>Yurley Dayana Aite Hernandez-1004490953-ACLS</v>
      </c>
    </row>
    <row r="33" spans="1:15" x14ac:dyDescent="0.2">
      <c r="A33" s="149">
        <v>32</v>
      </c>
      <c r="B33" s="149">
        <v>1004490953</v>
      </c>
      <c r="C33" s="149" t="s">
        <v>465</v>
      </c>
      <c r="D33" s="149" t="s">
        <v>138</v>
      </c>
      <c r="E33" s="149" t="s">
        <v>496</v>
      </c>
      <c r="F33" s="149" t="s">
        <v>490</v>
      </c>
      <c r="G33" s="150">
        <v>17</v>
      </c>
      <c r="H33" s="14" t="s">
        <v>181</v>
      </c>
      <c r="I33" s="14" t="s">
        <v>86</v>
      </c>
      <c r="J33" s="14" t="s">
        <v>511</v>
      </c>
      <c r="K33" s="149" t="s">
        <v>19</v>
      </c>
      <c r="L33" s="100" t="str">
        <f>IF(K33=CURSOS!$D$3,"DIPLOMADO EN ATENCION PRE-HOSPITALARIA",IF(K33=CURSOS!$D$4,"ACOMPAÑAMIENTO Y MANEJO DEL DUELO",IF(K33=CURSOS!$D$5,"ATENCION A VICTIMAS DE ATAQUE CON AGENTES QUIMICOS ",IF(K33=CURSOS!$D$6,"PRIMEROS AUXILIOS ",IF(K33=CURSOS!$D$7,"DIPLOMADO DE UNIDAD DE CUIDADOS INTENSIVOS (UCI)",IF(K33=CURSOS!$D$8,"MODELO DE ATENCION PARA EVENTOS EMERGENTES EN SALUD MENTAL (CODIGO VERDE)",IF(K33=CURSOS!$D$9,"HUMANIZACION EN EL SERVICIO DE LA SALUD Y BUENAS PRACTICAS EN PACIENTE ",IF(K33=CURSOS!$D$10,"CLINICA DE HERIDAS ",IF(K33=CURSOS!$D$11,"TOMA DE CITOLOGIA CERVICO VAGINAL ",IF(K33=CURSOS!$D$12,"SOPORTE CARDIOVASCULAR AVANZADO (ACLS) ",IF(K33=CURSOS!$D$13,"CAMILLERO ",IF(K33=CURSOS!$D$14,"TOMA DE MUESTRAS Y LABORATORIO ",IF(K33=CURSOS!$D$15,"SOPORTE VITAL BASICO (BLS)",IF(K33=CURSOS!$D$16,"ATENCION A VICTIMAS DE VIOLENCIA SEXUAL ",IF(K33=CURSOS!$D$17,"PROGRAMADO AMPLIADO DE INMUNIZACION (PAI - COVID 19)",IF(K33=CURSOS!$D$18,"ATENCION INTEGRAL EN ENFERMEDADES PREVALENTES EN PRIMERA INFANCIA (AIEPI)",IF(K33=CURSOS!$D$19,"ADMINISTRACION DE MEDICAMENTOS, INYECTOLOGIA  Y CANALIZACION ",IF(K33=CURSOS!$D$20,"OPERADOR DE VEHICULOS DE EMERGENCIA (OVE)",IF(K33=CURSOS!$D$21,"INSTITUCIONES AMIGAS DE LA MUJER Y LA INFANCIA (IAMI)",IF(K33=CURSOS!$D$22,"CUIDADO DEL DONANTE DE ORGANOS",IF(K33=CURSOS!$D$23,"ATENCION A VICTIMAS POR VIOLENCIA DE GENERO",IF(K33=CURSOS!$D$24,"IGUALDAD DE GENERO EN LA SALUD",IF(K33=CURSOS!$D$25,"BRIGADA DE EMERGENCIA",IF(K33=CURSOS!$D$26,"MANEJO DEL DOLOR Y CUIDADOS PALIATIVOS",IF(K33=CURSOS!$D$27,"TOMA DE MUESTRAS Y LABORATORIO POCT",IF(K33=CURSOS!$D$28,"IMPLANTE SUBDERMICO DE DISPOSITIVO INTRAUTERINO",IF(K33=CURSOS!$D$29,"SALUD MENTAL",IF(K33=CURSOS!$D$30,"PRIMEROS AUXILIOS PSICOLOGICOS",IF(K33=CURSOS!$D$31,"ATENCION A VICTIMAS POR CONFLICTO ARMADO",IF(K33=CURSOS!$D$32,"MANIPULACION DE ALIMENTOS Y BPM",IF(K33=CURSOS!$D$33,"ATENCION A PERSONAS CON DISCAPACIDAD",IF(K33=CURSOS!$D$34,"CUIDADO INTEGRAL DEL PACIENTE ADULTO",IF(K33=CURSOS!$D$35,"MANEJO DEFENSIVO",IF(K33=CURSOS!$D$36,"SOPORTE CARDIOVASCULAR AVANZADO NEONATAL",IF(K33=CURSOS!$D$37,"SEGURIDAD DEL PACIENTE")))))))))))))))))))))))))))))))))))</f>
        <v>SOPORTE VITAL BASICO (BLS)</v>
      </c>
      <c r="M33" s="52" t="str">
        <f t="shared" si="0"/>
        <v>Yurley Dayana Aite Hernandez</v>
      </c>
      <c r="N33" s="52" t="str">
        <f t="shared" si="2"/>
        <v>Yurley Dayana Aite Hernandez</v>
      </c>
      <c r="O33" s="52" t="str">
        <f t="shared" si="1"/>
        <v>Yurley Dayana Aite Hernandez-1004490953-BLS</v>
      </c>
    </row>
    <row r="34" spans="1:15" x14ac:dyDescent="0.2">
      <c r="A34" s="149">
        <v>33</v>
      </c>
      <c r="B34" s="149">
        <v>5164012</v>
      </c>
      <c r="C34" s="149" t="s">
        <v>466</v>
      </c>
      <c r="D34" s="149" t="s">
        <v>467</v>
      </c>
      <c r="E34" s="149" t="s">
        <v>233</v>
      </c>
      <c r="F34" s="149" t="s">
        <v>497</v>
      </c>
      <c r="G34" s="150">
        <v>17</v>
      </c>
      <c r="H34" s="14" t="s">
        <v>181</v>
      </c>
      <c r="I34" s="14" t="s">
        <v>86</v>
      </c>
      <c r="J34" s="14" t="s">
        <v>511</v>
      </c>
      <c r="K34" s="149" t="s">
        <v>38</v>
      </c>
      <c r="L34" s="100" t="str">
        <f>IF(K34=CURSOS!$D$3,"DIPLOMADO EN ATENCION PRE-HOSPITALARIA",IF(K34=CURSOS!$D$4,"ACOMPAÑAMIENTO Y MANEJO DEL DUELO",IF(K34=CURSOS!$D$5,"ATENCION A VICTIMAS DE ATAQUE CON AGENTES QUIMICOS ",IF(K34=CURSOS!$D$6,"PRIMEROS AUXILIOS ",IF(K34=CURSOS!$D$7,"DIPLOMADO DE UNIDAD DE CUIDADOS INTENSIVOS (UCI)",IF(K34=CURSOS!$D$8,"MODELO DE ATENCION PARA EVENTOS EMERGENTES EN SALUD MENTAL (CODIGO VERDE)",IF(K34=CURSOS!$D$9,"HUMANIZACION EN EL SERVICIO DE LA SALUD Y BUENAS PRACTICAS EN PACIENTE ",IF(K34=CURSOS!$D$10,"CLINICA DE HERIDAS ",IF(K34=CURSOS!$D$11,"TOMA DE CITOLOGIA CERVICO VAGINAL ",IF(K34=CURSOS!$D$12,"SOPORTE CARDIOVASCULAR AVANZADO (ACLS) ",IF(K34=CURSOS!$D$13,"CAMILLERO ",IF(K34=CURSOS!$D$14,"TOMA DE MUESTRAS Y LABORATORIO ",IF(K34=CURSOS!$D$15,"SOPORTE VITAL BASICO (BLS)",IF(K34=CURSOS!$D$16,"ATENCION A VICTIMAS DE VIOLENCIA SEXUAL ",IF(K34=CURSOS!$D$17,"PROGRAMADO AMPLIADO DE INMUNIZACION (PAI - COVID 19)",IF(K34=CURSOS!$D$18,"ATENCION INTEGRAL EN ENFERMEDADES PREVALENTES EN PRIMERA INFANCIA (AIEPI)",IF(K34=CURSOS!$D$19,"ADMINISTRACION DE MEDICAMENTOS, INYECTOLOGIA  Y CANALIZACION ",IF(K34=CURSOS!$D$20,"OPERADOR DE VEHICULOS DE EMERGENCIA (OVE)",IF(K34=CURSOS!$D$21,"INSTITUCIONES AMIGAS DE LA MUJER Y LA INFANCIA (IAMI)",IF(K34=CURSOS!$D$22,"CUIDADO DEL DONANTE DE ORGANOS",IF(K34=CURSOS!$D$23,"ATENCION A VICTIMAS POR VIOLENCIA DE GENERO",IF(K34=CURSOS!$D$24,"IGUALDAD DE GENERO EN LA SALUD",IF(K34=CURSOS!$D$25,"BRIGADA DE EMERGENCIA",IF(K34=CURSOS!$D$26,"MANEJO DEL DOLOR Y CUIDADOS PALIATIVOS",IF(K34=CURSOS!$D$27,"TOMA DE MUESTRAS Y LABORATORIO POCT",IF(K34=CURSOS!$D$28,"IMPLANTE SUBDERMICO DE DISPOSITIVO INTRAUTERINO",IF(K34=CURSOS!$D$29,"SALUD MENTAL",IF(K34=CURSOS!$D$30,"PRIMEROS AUXILIOS PSICOLOGICOS",IF(K34=CURSOS!$D$31,"ATENCION A VICTIMAS POR CONFLICTO ARMADO",IF(K34=CURSOS!$D$32,"MANIPULACION DE ALIMENTOS Y BPM",IF(K34=CURSOS!$D$33,"ATENCION A PERSONAS CON DISCAPACIDAD",IF(K34=CURSOS!$D$34,"CUIDADO INTEGRAL DEL PACIENTE ADULTO",IF(K34=CURSOS!$D$35,"MANEJO DEFENSIVO",IF(K34=CURSOS!$D$36,"SOPORTE CARDIOVASCULAR AVANZADO NEONATAL",IF(K34=CURSOS!$D$37,"SEGURIDAD DEL PACIENTE")))))))))))))))))))))))))))))))))))</f>
        <v xml:space="preserve">SOPORTE CARDIOVASCULAR AVANZADO (ACLS) </v>
      </c>
      <c r="M34" s="52" t="str">
        <f t="shared" ref="M34:M65" si="3">CONCATENATE(E34," ",F34," ",C34," ",D34)</f>
        <v>Rodrigo José Romero Cujia</v>
      </c>
      <c r="N34" s="52" t="str">
        <f t="shared" si="2"/>
        <v>Rodrigo José Romero Cujia</v>
      </c>
      <c r="O34" s="52" t="str">
        <f t="shared" ref="O34:O65" si="4">CONCATENATE(M34,"-",B34,"-",K34)</f>
        <v>Rodrigo José Romero Cujia-5164012-ACLS</v>
      </c>
    </row>
    <row r="35" spans="1:15" x14ac:dyDescent="0.2">
      <c r="A35" s="149">
        <v>34</v>
      </c>
      <c r="B35" s="149">
        <v>5164012</v>
      </c>
      <c r="C35" s="149" t="s">
        <v>466</v>
      </c>
      <c r="D35" s="149" t="s">
        <v>467</v>
      </c>
      <c r="E35" s="149" t="s">
        <v>233</v>
      </c>
      <c r="F35" s="149" t="s">
        <v>497</v>
      </c>
      <c r="G35" s="150">
        <v>17</v>
      </c>
      <c r="H35" s="14" t="s">
        <v>181</v>
      </c>
      <c r="I35" s="14" t="s">
        <v>86</v>
      </c>
      <c r="J35" s="14" t="s">
        <v>511</v>
      </c>
      <c r="K35" s="149" t="s">
        <v>19</v>
      </c>
      <c r="L35" s="100" t="str">
        <f>IF(K35=CURSOS!$D$3,"DIPLOMADO EN ATENCION PRE-HOSPITALARIA",IF(K35=CURSOS!$D$4,"ACOMPAÑAMIENTO Y MANEJO DEL DUELO",IF(K35=CURSOS!$D$5,"ATENCION A VICTIMAS DE ATAQUE CON AGENTES QUIMICOS ",IF(K35=CURSOS!$D$6,"PRIMEROS AUXILIOS ",IF(K35=CURSOS!$D$7,"DIPLOMADO DE UNIDAD DE CUIDADOS INTENSIVOS (UCI)",IF(K35=CURSOS!$D$8,"MODELO DE ATENCION PARA EVENTOS EMERGENTES EN SALUD MENTAL (CODIGO VERDE)",IF(K35=CURSOS!$D$9,"HUMANIZACION EN EL SERVICIO DE LA SALUD Y BUENAS PRACTICAS EN PACIENTE ",IF(K35=CURSOS!$D$10,"CLINICA DE HERIDAS ",IF(K35=CURSOS!$D$11,"TOMA DE CITOLOGIA CERVICO VAGINAL ",IF(K35=CURSOS!$D$12,"SOPORTE CARDIOVASCULAR AVANZADO (ACLS) ",IF(K35=CURSOS!$D$13,"CAMILLERO ",IF(K35=CURSOS!$D$14,"TOMA DE MUESTRAS Y LABORATORIO ",IF(K35=CURSOS!$D$15,"SOPORTE VITAL BASICO (BLS)",IF(K35=CURSOS!$D$16,"ATENCION A VICTIMAS DE VIOLENCIA SEXUAL ",IF(K35=CURSOS!$D$17,"PROGRAMADO AMPLIADO DE INMUNIZACION (PAI - COVID 19)",IF(K35=CURSOS!$D$18,"ATENCION INTEGRAL EN ENFERMEDADES PREVALENTES EN PRIMERA INFANCIA (AIEPI)",IF(K35=CURSOS!$D$19,"ADMINISTRACION DE MEDICAMENTOS, INYECTOLOGIA  Y CANALIZACION ",IF(K35=CURSOS!$D$20,"OPERADOR DE VEHICULOS DE EMERGENCIA (OVE)",IF(K35=CURSOS!$D$21,"INSTITUCIONES AMIGAS DE LA MUJER Y LA INFANCIA (IAMI)",IF(K35=CURSOS!$D$22,"CUIDADO DEL DONANTE DE ORGANOS",IF(K35=CURSOS!$D$23,"ATENCION A VICTIMAS POR VIOLENCIA DE GENERO",IF(K35=CURSOS!$D$24,"IGUALDAD DE GENERO EN LA SALUD",IF(K35=CURSOS!$D$25,"BRIGADA DE EMERGENCIA",IF(K35=CURSOS!$D$26,"MANEJO DEL DOLOR Y CUIDADOS PALIATIVOS",IF(K35=CURSOS!$D$27,"TOMA DE MUESTRAS Y LABORATORIO POCT",IF(K35=CURSOS!$D$28,"IMPLANTE SUBDERMICO DE DISPOSITIVO INTRAUTERINO",IF(K35=CURSOS!$D$29,"SALUD MENTAL",IF(K35=CURSOS!$D$30,"PRIMEROS AUXILIOS PSICOLOGICOS",IF(K35=CURSOS!$D$31,"ATENCION A VICTIMAS POR CONFLICTO ARMADO",IF(K35=CURSOS!$D$32,"MANIPULACION DE ALIMENTOS Y BPM",IF(K35=CURSOS!$D$33,"ATENCION A PERSONAS CON DISCAPACIDAD",IF(K35=CURSOS!$D$34,"CUIDADO INTEGRAL DEL PACIENTE ADULTO",IF(K35=CURSOS!$D$35,"MANEJO DEFENSIVO",IF(K35=CURSOS!$D$36,"SOPORTE CARDIOVASCULAR AVANZADO NEONATAL",IF(K35=CURSOS!$D$37,"SEGURIDAD DEL PACIENTE")))))))))))))))))))))))))))))))))))</f>
        <v>SOPORTE VITAL BASICO (BLS)</v>
      </c>
      <c r="M35" s="52" t="str">
        <f t="shared" si="3"/>
        <v>Rodrigo José Romero Cujia</v>
      </c>
      <c r="N35" s="52" t="str">
        <f t="shared" si="2"/>
        <v>Rodrigo José Romero Cujia</v>
      </c>
      <c r="O35" s="52" t="str">
        <f t="shared" si="4"/>
        <v>Rodrigo José Romero Cujia-5164012-BLS</v>
      </c>
    </row>
    <row r="36" spans="1:15" x14ac:dyDescent="0.2">
      <c r="A36" s="149">
        <v>35</v>
      </c>
      <c r="B36" s="149">
        <v>27160469</v>
      </c>
      <c r="C36" s="149" t="s">
        <v>119</v>
      </c>
      <c r="D36" s="149" t="s">
        <v>468</v>
      </c>
      <c r="E36" s="149" t="s">
        <v>498</v>
      </c>
      <c r="F36" s="149" t="s">
        <v>499</v>
      </c>
      <c r="G36" s="150">
        <v>17</v>
      </c>
      <c r="H36" s="14" t="s">
        <v>181</v>
      </c>
      <c r="I36" s="14" t="s">
        <v>86</v>
      </c>
      <c r="J36" s="14" t="s">
        <v>511</v>
      </c>
      <c r="K36" s="149" t="s">
        <v>38</v>
      </c>
      <c r="L36" s="100" t="str">
        <f>IF(K36=CURSOS!$D$3,"DIPLOMADO EN ATENCION PRE-HOSPITALARIA",IF(K36=CURSOS!$D$4,"ACOMPAÑAMIENTO Y MANEJO DEL DUELO",IF(K36=CURSOS!$D$5,"ATENCION A VICTIMAS DE ATAQUE CON AGENTES QUIMICOS ",IF(K36=CURSOS!$D$6,"PRIMEROS AUXILIOS ",IF(K36=CURSOS!$D$7,"DIPLOMADO DE UNIDAD DE CUIDADOS INTENSIVOS (UCI)",IF(K36=CURSOS!$D$8,"MODELO DE ATENCION PARA EVENTOS EMERGENTES EN SALUD MENTAL (CODIGO VERDE)",IF(K36=CURSOS!$D$9,"HUMANIZACION EN EL SERVICIO DE LA SALUD Y BUENAS PRACTICAS EN PACIENTE ",IF(K36=CURSOS!$D$10,"CLINICA DE HERIDAS ",IF(K36=CURSOS!$D$11,"TOMA DE CITOLOGIA CERVICO VAGINAL ",IF(K36=CURSOS!$D$12,"SOPORTE CARDIOVASCULAR AVANZADO (ACLS) ",IF(K36=CURSOS!$D$13,"CAMILLERO ",IF(K36=CURSOS!$D$14,"TOMA DE MUESTRAS Y LABORATORIO ",IF(K36=CURSOS!$D$15,"SOPORTE VITAL BASICO (BLS)",IF(K36=CURSOS!$D$16,"ATENCION A VICTIMAS DE VIOLENCIA SEXUAL ",IF(K36=CURSOS!$D$17,"PROGRAMADO AMPLIADO DE INMUNIZACION (PAI - COVID 19)",IF(K36=CURSOS!$D$18,"ATENCION INTEGRAL EN ENFERMEDADES PREVALENTES EN PRIMERA INFANCIA (AIEPI)",IF(K36=CURSOS!$D$19,"ADMINISTRACION DE MEDICAMENTOS, INYECTOLOGIA  Y CANALIZACION ",IF(K36=CURSOS!$D$20,"OPERADOR DE VEHICULOS DE EMERGENCIA (OVE)",IF(K36=CURSOS!$D$21,"INSTITUCIONES AMIGAS DE LA MUJER Y LA INFANCIA (IAMI)",IF(K36=CURSOS!$D$22,"CUIDADO DEL DONANTE DE ORGANOS",IF(K36=CURSOS!$D$23,"ATENCION A VICTIMAS POR VIOLENCIA DE GENERO",IF(K36=CURSOS!$D$24,"IGUALDAD DE GENERO EN LA SALUD",IF(K36=CURSOS!$D$25,"BRIGADA DE EMERGENCIA",IF(K36=CURSOS!$D$26,"MANEJO DEL DOLOR Y CUIDADOS PALIATIVOS",IF(K36=CURSOS!$D$27,"TOMA DE MUESTRAS Y LABORATORIO POCT",IF(K36=CURSOS!$D$28,"IMPLANTE SUBDERMICO DE DISPOSITIVO INTRAUTERINO",IF(K36=CURSOS!$D$29,"SALUD MENTAL",IF(K36=CURSOS!$D$30,"PRIMEROS AUXILIOS PSICOLOGICOS",IF(K36=CURSOS!$D$31,"ATENCION A VICTIMAS POR CONFLICTO ARMADO",IF(K36=CURSOS!$D$32,"MANIPULACION DE ALIMENTOS Y BPM",IF(K36=CURSOS!$D$33,"ATENCION A PERSONAS CON DISCAPACIDAD",IF(K36=CURSOS!$D$34,"CUIDADO INTEGRAL DEL PACIENTE ADULTO",IF(K36=CURSOS!$D$35,"MANEJO DEFENSIVO",IF(K36=CURSOS!$D$36,"SOPORTE CARDIOVASCULAR AVANZADO NEONATAL",IF(K36=CURSOS!$D$37,"SEGURIDAD DEL PACIENTE")))))))))))))))))))))))))))))))))))</f>
        <v xml:space="preserve">SOPORTE CARDIOVASCULAR AVANZADO (ACLS) </v>
      </c>
      <c r="M36" s="52" t="str">
        <f t="shared" si="3"/>
        <v>Nayive Idaly Ceballos Vallejo.</v>
      </c>
      <c r="N36" s="52" t="str">
        <f t="shared" si="2"/>
        <v>Nayive Idaly Ceballos Vallejo.</v>
      </c>
      <c r="O36" s="52" t="str">
        <f t="shared" si="4"/>
        <v>Nayive Idaly Ceballos Vallejo.-27160469-ACLS</v>
      </c>
    </row>
    <row r="37" spans="1:15" x14ac:dyDescent="0.2">
      <c r="A37" s="149">
        <v>36</v>
      </c>
      <c r="B37" s="149">
        <v>27160469</v>
      </c>
      <c r="C37" s="149" t="s">
        <v>119</v>
      </c>
      <c r="D37" s="149" t="s">
        <v>468</v>
      </c>
      <c r="E37" s="149" t="s">
        <v>498</v>
      </c>
      <c r="F37" s="149" t="s">
        <v>499</v>
      </c>
      <c r="G37" s="150">
        <v>17</v>
      </c>
      <c r="H37" s="14" t="s">
        <v>181</v>
      </c>
      <c r="I37" s="14" t="s">
        <v>86</v>
      </c>
      <c r="J37" s="14" t="s">
        <v>511</v>
      </c>
      <c r="K37" s="149" t="s">
        <v>19</v>
      </c>
      <c r="L37" s="100" t="str">
        <f>IF(K37=CURSOS!$D$3,"DIPLOMADO EN ATENCION PRE-HOSPITALARIA",IF(K37=CURSOS!$D$4,"ACOMPAÑAMIENTO Y MANEJO DEL DUELO",IF(K37=CURSOS!$D$5,"ATENCION A VICTIMAS DE ATAQUE CON AGENTES QUIMICOS ",IF(K37=CURSOS!$D$6,"PRIMEROS AUXILIOS ",IF(K37=CURSOS!$D$7,"DIPLOMADO DE UNIDAD DE CUIDADOS INTENSIVOS (UCI)",IF(K37=CURSOS!$D$8,"MODELO DE ATENCION PARA EVENTOS EMERGENTES EN SALUD MENTAL (CODIGO VERDE)",IF(K37=CURSOS!$D$9,"HUMANIZACION EN EL SERVICIO DE LA SALUD Y BUENAS PRACTICAS EN PACIENTE ",IF(K37=CURSOS!$D$10,"CLINICA DE HERIDAS ",IF(K37=CURSOS!$D$11,"TOMA DE CITOLOGIA CERVICO VAGINAL ",IF(K37=CURSOS!$D$12,"SOPORTE CARDIOVASCULAR AVANZADO (ACLS) ",IF(K37=CURSOS!$D$13,"CAMILLERO ",IF(K37=CURSOS!$D$14,"TOMA DE MUESTRAS Y LABORATORIO ",IF(K37=CURSOS!$D$15,"SOPORTE VITAL BASICO (BLS)",IF(K37=CURSOS!$D$16,"ATENCION A VICTIMAS DE VIOLENCIA SEXUAL ",IF(K37=CURSOS!$D$17,"PROGRAMADO AMPLIADO DE INMUNIZACION (PAI - COVID 19)",IF(K37=CURSOS!$D$18,"ATENCION INTEGRAL EN ENFERMEDADES PREVALENTES EN PRIMERA INFANCIA (AIEPI)",IF(K37=CURSOS!$D$19,"ADMINISTRACION DE MEDICAMENTOS, INYECTOLOGIA  Y CANALIZACION ",IF(K37=CURSOS!$D$20,"OPERADOR DE VEHICULOS DE EMERGENCIA (OVE)",IF(K37=CURSOS!$D$21,"INSTITUCIONES AMIGAS DE LA MUJER Y LA INFANCIA (IAMI)",IF(K37=CURSOS!$D$22,"CUIDADO DEL DONANTE DE ORGANOS",IF(K37=CURSOS!$D$23,"ATENCION A VICTIMAS POR VIOLENCIA DE GENERO",IF(K37=CURSOS!$D$24,"IGUALDAD DE GENERO EN LA SALUD",IF(K37=CURSOS!$D$25,"BRIGADA DE EMERGENCIA",IF(K37=CURSOS!$D$26,"MANEJO DEL DOLOR Y CUIDADOS PALIATIVOS",IF(K37=CURSOS!$D$27,"TOMA DE MUESTRAS Y LABORATORIO POCT",IF(K37=CURSOS!$D$28,"IMPLANTE SUBDERMICO DE DISPOSITIVO INTRAUTERINO",IF(K37=CURSOS!$D$29,"SALUD MENTAL",IF(K37=CURSOS!$D$30,"PRIMEROS AUXILIOS PSICOLOGICOS",IF(K37=CURSOS!$D$31,"ATENCION A VICTIMAS POR CONFLICTO ARMADO",IF(K37=CURSOS!$D$32,"MANIPULACION DE ALIMENTOS Y BPM",IF(K37=CURSOS!$D$33,"ATENCION A PERSONAS CON DISCAPACIDAD",IF(K37=CURSOS!$D$34,"CUIDADO INTEGRAL DEL PACIENTE ADULTO",IF(K37=CURSOS!$D$35,"MANEJO DEFENSIVO",IF(K37=CURSOS!$D$36,"SOPORTE CARDIOVASCULAR AVANZADO NEONATAL",IF(K37=CURSOS!$D$37,"SEGURIDAD DEL PACIENTE")))))))))))))))))))))))))))))))))))</f>
        <v>SOPORTE VITAL BASICO (BLS)</v>
      </c>
      <c r="M37" s="52" t="str">
        <f t="shared" si="3"/>
        <v>Nayive Idaly Ceballos Vallejo.</v>
      </c>
      <c r="N37" s="52" t="str">
        <f t="shared" si="2"/>
        <v>Nayive Idaly Ceballos Vallejo.</v>
      </c>
      <c r="O37" s="52" t="str">
        <f t="shared" si="4"/>
        <v>Nayive Idaly Ceballos Vallejo.-27160469-BLS</v>
      </c>
    </row>
    <row r="38" spans="1:15" x14ac:dyDescent="0.2">
      <c r="A38" s="85">
        <v>37</v>
      </c>
      <c r="B38" s="149">
        <v>1087675298</v>
      </c>
      <c r="C38" s="149" t="s">
        <v>469</v>
      </c>
      <c r="D38" s="149" t="s">
        <v>470</v>
      </c>
      <c r="E38" s="149" t="s">
        <v>500</v>
      </c>
      <c r="F38" s="149" t="s">
        <v>501</v>
      </c>
      <c r="G38" s="101">
        <v>17</v>
      </c>
      <c r="H38" s="14" t="s">
        <v>181</v>
      </c>
      <c r="I38" s="14" t="s">
        <v>86</v>
      </c>
      <c r="J38" s="14" t="s">
        <v>511</v>
      </c>
      <c r="K38" s="149" t="s">
        <v>38</v>
      </c>
      <c r="L38" s="100" t="str">
        <f>IF(K38=CURSOS!$D$3,"DIPLOMADO EN ATENCION PRE-HOSPITALARIA",IF(K38=CURSOS!$D$4,"ACOMPAÑAMIENTO Y MANEJO DEL DUELO",IF(K38=CURSOS!$D$5,"ATENCION A VICTIMAS DE ATAQUE CON AGENTES QUIMICOS ",IF(K38=CURSOS!$D$6,"PRIMEROS AUXILIOS ",IF(K38=CURSOS!$D$7,"DIPLOMADO DE UNIDAD DE CUIDADOS INTENSIVOS (UCI)",IF(K38=CURSOS!$D$8,"MODELO DE ATENCION PARA EVENTOS EMERGENTES EN SALUD MENTAL (CODIGO VERDE)",IF(K38=CURSOS!$D$9,"HUMANIZACION EN EL SERVICIO DE LA SALUD Y BUENAS PRACTICAS EN PACIENTE ",IF(K38=CURSOS!$D$10,"CLINICA DE HERIDAS ",IF(K38=CURSOS!$D$11,"TOMA DE CITOLOGIA CERVICO VAGINAL ",IF(K38=CURSOS!$D$12,"SOPORTE CARDIOVASCULAR AVANZADO (ACLS) ",IF(K38=CURSOS!$D$13,"CAMILLERO ",IF(K38=CURSOS!$D$14,"TOMA DE MUESTRAS Y LABORATORIO ",IF(K38=CURSOS!$D$15,"SOPORTE VITAL BASICO (BLS)",IF(K38=CURSOS!$D$16,"ATENCION A VICTIMAS DE VIOLENCIA SEXUAL ",IF(K38=CURSOS!$D$17,"PROGRAMADO AMPLIADO DE INMUNIZACION (PAI - COVID 19)",IF(K38=CURSOS!$D$18,"ATENCION INTEGRAL EN ENFERMEDADES PREVALENTES EN PRIMERA INFANCIA (AIEPI)",IF(K38=CURSOS!$D$19,"ADMINISTRACION DE MEDICAMENTOS, INYECTOLOGIA  Y CANALIZACION ",IF(K38=CURSOS!$D$20,"OPERADOR DE VEHICULOS DE EMERGENCIA (OVE)",IF(K38=CURSOS!$D$21,"INSTITUCIONES AMIGAS DE LA MUJER Y LA INFANCIA (IAMI)",IF(K38=CURSOS!$D$22,"CUIDADO DEL DONANTE DE ORGANOS",IF(K38=CURSOS!$D$23,"ATENCION A VICTIMAS POR VIOLENCIA DE GENERO",IF(K38=CURSOS!$D$24,"IGUALDAD DE GENERO EN LA SALUD",IF(K38=CURSOS!$D$25,"BRIGADA DE EMERGENCIA",IF(K38=CURSOS!$D$26,"MANEJO DEL DOLOR Y CUIDADOS PALIATIVOS",IF(K38=CURSOS!$D$27,"TOMA DE MUESTRAS Y LABORATORIO POCT",IF(K38=CURSOS!$D$28,"IMPLANTE SUBDERMICO DE DISPOSITIVO INTRAUTERINO",IF(K38=CURSOS!$D$29,"SALUD MENTAL",IF(K38=CURSOS!$D$30,"PRIMEROS AUXILIOS PSICOLOGICOS",IF(K38=CURSOS!$D$31,"ATENCION A VICTIMAS POR CONFLICTO ARMADO",IF(K38=CURSOS!$D$32,"MANIPULACION DE ALIMENTOS Y BPM",IF(K38=CURSOS!$D$33,"ATENCION A PERSONAS CON DISCAPACIDAD",IF(K38=CURSOS!$D$34,"CUIDADO INTEGRAL DEL PACIENTE ADULTO",IF(K38=CURSOS!$D$35,"MANEJO DEFENSIVO",IF(K38=CURSOS!$D$36,"SOPORTE CARDIOVASCULAR AVANZADO NEONATAL",IF(K38=CURSOS!$D$37,"SEGURIDAD DEL PACIENTE")))))))))))))))))))))))))))))))))))</f>
        <v xml:space="preserve">SOPORTE CARDIOVASCULAR AVANZADO (ACLS) </v>
      </c>
      <c r="M38" s="52" t="str">
        <f t="shared" si="3"/>
        <v>Yibelly Carolina Yaguapaz Quenguan</v>
      </c>
      <c r="N38" s="52" t="str">
        <f t="shared" si="2"/>
        <v>Yibelly Carolina Yaguapaz Quenguan</v>
      </c>
      <c r="O38" s="52" t="str">
        <f t="shared" si="4"/>
        <v>Yibelly Carolina Yaguapaz Quenguan-1087675298-ACLS</v>
      </c>
    </row>
    <row r="39" spans="1:15" x14ac:dyDescent="0.2">
      <c r="A39" s="85">
        <v>38</v>
      </c>
      <c r="B39" s="149">
        <v>1087675298</v>
      </c>
      <c r="C39" s="149" t="s">
        <v>469</v>
      </c>
      <c r="D39" s="149" t="s">
        <v>470</v>
      </c>
      <c r="E39" s="149" t="s">
        <v>500</v>
      </c>
      <c r="F39" s="149" t="s">
        <v>501</v>
      </c>
      <c r="G39" s="101">
        <v>17</v>
      </c>
      <c r="H39" s="14" t="s">
        <v>181</v>
      </c>
      <c r="I39" s="14" t="s">
        <v>86</v>
      </c>
      <c r="J39" s="14" t="s">
        <v>511</v>
      </c>
      <c r="K39" s="149" t="s">
        <v>19</v>
      </c>
      <c r="L39" s="100" t="str">
        <f>IF(K39=CURSOS!$D$3,"DIPLOMADO EN ATENCION PRE-HOSPITALARIA",IF(K39=CURSOS!$D$4,"ACOMPAÑAMIENTO Y MANEJO DEL DUELO",IF(K39=CURSOS!$D$5,"ATENCION A VICTIMAS DE ATAQUE CON AGENTES QUIMICOS ",IF(K39=CURSOS!$D$6,"PRIMEROS AUXILIOS ",IF(K39=CURSOS!$D$7,"DIPLOMADO DE UNIDAD DE CUIDADOS INTENSIVOS (UCI)",IF(K39=CURSOS!$D$8,"MODELO DE ATENCION PARA EVENTOS EMERGENTES EN SALUD MENTAL (CODIGO VERDE)",IF(K39=CURSOS!$D$9,"HUMANIZACION EN EL SERVICIO DE LA SALUD Y BUENAS PRACTICAS EN PACIENTE ",IF(K39=CURSOS!$D$10,"CLINICA DE HERIDAS ",IF(K39=CURSOS!$D$11,"TOMA DE CITOLOGIA CERVICO VAGINAL ",IF(K39=CURSOS!$D$12,"SOPORTE CARDIOVASCULAR AVANZADO (ACLS) ",IF(K39=CURSOS!$D$13,"CAMILLERO ",IF(K39=CURSOS!$D$14,"TOMA DE MUESTRAS Y LABORATORIO ",IF(K39=CURSOS!$D$15,"SOPORTE VITAL BASICO (BLS)",IF(K39=CURSOS!$D$16,"ATENCION A VICTIMAS DE VIOLENCIA SEXUAL ",IF(K39=CURSOS!$D$17,"PROGRAMADO AMPLIADO DE INMUNIZACION (PAI - COVID 19)",IF(K39=CURSOS!$D$18,"ATENCION INTEGRAL EN ENFERMEDADES PREVALENTES EN PRIMERA INFANCIA (AIEPI)",IF(K39=CURSOS!$D$19,"ADMINISTRACION DE MEDICAMENTOS, INYECTOLOGIA  Y CANALIZACION ",IF(K39=CURSOS!$D$20,"OPERADOR DE VEHICULOS DE EMERGENCIA (OVE)",IF(K39=CURSOS!$D$21,"INSTITUCIONES AMIGAS DE LA MUJER Y LA INFANCIA (IAMI)",IF(K39=CURSOS!$D$22,"CUIDADO DEL DONANTE DE ORGANOS",IF(K39=CURSOS!$D$23,"ATENCION A VICTIMAS POR VIOLENCIA DE GENERO",IF(K39=CURSOS!$D$24,"IGUALDAD DE GENERO EN LA SALUD",IF(K39=CURSOS!$D$25,"BRIGADA DE EMERGENCIA",IF(K39=CURSOS!$D$26,"MANEJO DEL DOLOR Y CUIDADOS PALIATIVOS",IF(K39=CURSOS!$D$27,"TOMA DE MUESTRAS Y LABORATORIO POCT",IF(K39=CURSOS!$D$28,"IMPLANTE SUBDERMICO DE DISPOSITIVO INTRAUTERINO",IF(K39=CURSOS!$D$29,"SALUD MENTAL",IF(K39=CURSOS!$D$30,"PRIMEROS AUXILIOS PSICOLOGICOS",IF(K39=CURSOS!$D$31,"ATENCION A VICTIMAS POR CONFLICTO ARMADO",IF(K39=CURSOS!$D$32,"MANIPULACION DE ALIMENTOS Y BPM",IF(K39=CURSOS!$D$33,"ATENCION A PERSONAS CON DISCAPACIDAD",IF(K39=CURSOS!$D$34,"CUIDADO INTEGRAL DEL PACIENTE ADULTO",IF(K39=CURSOS!$D$35,"MANEJO DEFENSIVO",IF(K39=CURSOS!$D$36,"SOPORTE CARDIOVASCULAR AVANZADO NEONATAL",IF(K39=CURSOS!$D$37,"SEGURIDAD DEL PACIENTE")))))))))))))))))))))))))))))))))))</f>
        <v>SOPORTE VITAL BASICO (BLS)</v>
      </c>
      <c r="M39" s="52" t="str">
        <f t="shared" si="3"/>
        <v>Yibelly Carolina Yaguapaz Quenguan</v>
      </c>
      <c r="N39" s="52" t="str">
        <f t="shared" si="2"/>
        <v>Yibelly Carolina Yaguapaz Quenguan</v>
      </c>
      <c r="O39" s="52" t="str">
        <f t="shared" si="4"/>
        <v>Yibelly Carolina Yaguapaz Quenguan-1087675298-BLS</v>
      </c>
    </row>
    <row r="40" spans="1:15" x14ac:dyDescent="0.2">
      <c r="A40" s="149">
        <v>39</v>
      </c>
      <c r="B40" s="149">
        <v>1084847999</v>
      </c>
      <c r="C40" s="149" t="s">
        <v>120</v>
      </c>
      <c r="D40" s="149" t="s">
        <v>471</v>
      </c>
      <c r="E40" s="149" t="s">
        <v>502</v>
      </c>
      <c r="F40" s="149" t="s">
        <v>347</v>
      </c>
      <c r="G40" s="150">
        <v>17</v>
      </c>
      <c r="H40" s="14" t="s">
        <v>181</v>
      </c>
      <c r="I40" s="14" t="s">
        <v>86</v>
      </c>
      <c r="J40" s="14" t="s">
        <v>511</v>
      </c>
      <c r="K40" s="149" t="s">
        <v>38</v>
      </c>
      <c r="L40" s="100" t="str">
        <f>IF(K40=CURSOS!$D$3,"DIPLOMADO EN ATENCION PRE-HOSPITALARIA",IF(K40=CURSOS!$D$4,"ACOMPAÑAMIENTO Y MANEJO DEL DUELO",IF(K40=CURSOS!$D$5,"ATENCION A VICTIMAS DE ATAQUE CON AGENTES QUIMICOS ",IF(K40=CURSOS!$D$6,"PRIMEROS AUXILIOS ",IF(K40=CURSOS!$D$7,"DIPLOMADO DE UNIDAD DE CUIDADOS INTENSIVOS (UCI)",IF(K40=CURSOS!$D$8,"MODELO DE ATENCION PARA EVENTOS EMERGENTES EN SALUD MENTAL (CODIGO VERDE)",IF(K40=CURSOS!$D$9,"HUMANIZACION EN EL SERVICIO DE LA SALUD Y BUENAS PRACTICAS EN PACIENTE ",IF(K40=CURSOS!$D$10,"CLINICA DE HERIDAS ",IF(K40=CURSOS!$D$11,"TOMA DE CITOLOGIA CERVICO VAGINAL ",IF(K40=CURSOS!$D$12,"SOPORTE CARDIOVASCULAR AVANZADO (ACLS) ",IF(K40=CURSOS!$D$13,"CAMILLERO ",IF(K40=CURSOS!$D$14,"TOMA DE MUESTRAS Y LABORATORIO ",IF(K40=CURSOS!$D$15,"SOPORTE VITAL BASICO (BLS)",IF(K40=CURSOS!$D$16,"ATENCION A VICTIMAS DE VIOLENCIA SEXUAL ",IF(K40=CURSOS!$D$17,"PROGRAMADO AMPLIADO DE INMUNIZACION (PAI - COVID 19)",IF(K40=CURSOS!$D$18,"ATENCION INTEGRAL EN ENFERMEDADES PREVALENTES EN PRIMERA INFANCIA (AIEPI)",IF(K40=CURSOS!$D$19,"ADMINISTRACION DE MEDICAMENTOS, INYECTOLOGIA  Y CANALIZACION ",IF(K40=CURSOS!$D$20,"OPERADOR DE VEHICULOS DE EMERGENCIA (OVE)",IF(K40=CURSOS!$D$21,"INSTITUCIONES AMIGAS DE LA MUJER Y LA INFANCIA (IAMI)",IF(K40=CURSOS!$D$22,"CUIDADO DEL DONANTE DE ORGANOS",IF(K40=CURSOS!$D$23,"ATENCION A VICTIMAS POR VIOLENCIA DE GENERO",IF(K40=CURSOS!$D$24,"IGUALDAD DE GENERO EN LA SALUD",IF(K40=CURSOS!$D$25,"BRIGADA DE EMERGENCIA",IF(K40=CURSOS!$D$26,"MANEJO DEL DOLOR Y CUIDADOS PALIATIVOS",IF(K40=CURSOS!$D$27,"TOMA DE MUESTRAS Y LABORATORIO POCT",IF(K40=CURSOS!$D$28,"IMPLANTE SUBDERMICO DE DISPOSITIVO INTRAUTERINO",IF(K40=CURSOS!$D$29,"SALUD MENTAL",IF(K40=CURSOS!$D$30,"PRIMEROS AUXILIOS PSICOLOGICOS",IF(K40=CURSOS!$D$31,"ATENCION A VICTIMAS POR CONFLICTO ARMADO",IF(K40=CURSOS!$D$32,"MANIPULACION DE ALIMENTOS Y BPM",IF(K40=CURSOS!$D$33,"ATENCION A PERSONAS CON DISCAPACIDAD",IF(K40=CURSOS!$D$34,"CUIDADO INTEGRAL DEL PACIENTE ADULTO",IF(K40=CURSOS!$D$35,"MANEJO DEFENSIVO",IF(K40=CURSOS!$D$36,"SOPORTE CARDIOVASCULAR AVANZADO NEONATAL",IF(K40=CURSOS!$D$37,"SEGURIDAD DEL PACIENTE")))))))))))))))))))))))))))))))))))</f>
        <v xml:space="preserve">SOPORTE CARDIOVASCULAR AVANZADO (ACLS) </v>
      </c>
      <c r="M40" s="52" t="str">
        <f t="shared" si="3"/>
        <v>Yeni Marcela Coral Armas</v>
      </c>
      <c r="N40" s="52" t="str">
        <f t="shared" si="2"/>
        <v>Yeni Marcela Coral Armas</v>
      </c>
      <c r="O40" s="52" t="str">
        <f t="shared" si="4"/>
        <v>Yeni Marcela Coral Armas-1084847999-ACLS</v>
      </c>
    </row>
    <row r="41" spans="1:15" x14ac:dyDescent="0.2">
      <c r="A41" s="149">
        <v>40</v>
      </c>
      <c r="B41" s="149">
        <v>1084847999</v>
      </c>
      <c r="C41" s="149" t="s">
        <v>120</v>
      </c>
      <c r="D41" s="149" t="s">
        <v>471</v>
      </c>
      <c r="E41" s="149" t="s">
        <v>502</v>
      </c>
      <c r="F41" s="149" t="s">
        <v>347</v>
      </c>
      <c r="G41" s="150">
        <v>17</v>
      </c>
      <c r="H41" s="14" t="s">
        <v>181</v>
      </c>
      <c r="I41" s="14" t="s">
        <v>86</v>
      </c>
      <c r="J41" s="14" t="s">
        <v>511</v>
      </c>
      <c r="K41" s="149" t="s">
        <v>19</v>
      </c>
      <c r="L41" s="100" t="str">
        <f>IF(K41=CURSOS!$D$3,"DIPLOMADO EN ATENCION PRE-HOSPITALARIA",IF(K41=CURSOS!$D$4,"ACOMPAÑAMIENTO Y MANEJO DEL DUELO",IF(K41=CURSOS!$D$5,"ATENCION A VICTIMAS DE ATAQUE CON AGENTES QUIMICOS ",IF(K41=CURSOS!$D$6,"PRIMEROS AUXILIOS ",IF(K41=CURSOS!$D$7,"DIPLOMADO DE UNIDAD DE CUIDADOS INTENSIVOS (UCI)",IF(K41=CURSOS!$D$8,"MODELO DE ATENCION PARA EVENTOS EMERGENTES EN SALUD MENTAL (CODIGO VERDE)",IF(K41=CURSOS!$D$9,"HUMANIZACION EN EL SERVICIO DE LA SALUD Y BUENAS PRACTICAS EN PACIENTE ",IF(K41=CURSOS!$D$10,"CLINICA DE HERIDAS ",IF(K41=CURSOS!$D$11,"TOMA DE CITOLOGIA CERVICO VAGINAL ",IF(K41=CURSOS!$D$12,"SOPORTE CARDIOVASCULAR AVANZADO (ACLS) ",IF(K41=CURSOS!$D$13,"CAMILLERO ",IF(K41=CURSOS!$D$14,"TOMA DE MUESTRAS Y LABORATORIO ",IF(K41=CURSOS!$D$15,"SOPORTE VITAL BASICO (BLS)",IF(K41=CURSOS!$D$16,"ATENCION A VICTIMAS DE VIOLENCIA SEXUAL ",IF(K41=CURSOS!$D$17,"PROGRAMADO AMPLIADO DE INMUNIZACION (PAI - COVID 19)",IF(K41=CURSOS!$D$18,"ATENCION INTEGRAL EN ENFERMEDADES PREVALENTES EN PRIMERA INFANCIA (AIEPI)",IF(K41=CURSOS!$D$19,"ADMINISTRACION DE MEDICAMENTOS, INYECTOLOGIA  Y CANALIZACION ",IF(K41=CURSOS!$D$20,"OPERADOR DE VEHICULOS DE EMERGENCIA (OVE)",IF(K41=CURSOS!$D$21,"INSTITUCIONES AMIGAS DE LA MUJER Y LA INFANCIA (IAMI)",IF(K41=CURSOS!$D$22,"CUIDADO DEL DONANTE DE ORGANOS",IF(K41=CURSOS!$D$23,"ATENCION A VICTIMAS POR VIOLENCIA DE GENERO",IF(K41=CURSOS!$D$24,"IGUALDAD DE GENERO EN LA SALUD",IF(K41=CURSOS!$D$25,"BRIGADA DE EMERGENCIA",IF(K41=CURSOS!$D$26,"MANEJO DEL DOLOR Y CUIDADOS PALIATIVOS",IF(K41=CURSOS!$D$27,"TOMA DE MUESTRAS Y LABORATORIO POCT",IF(K41=CURSOS!$D$28,"IMPLANTE SUBDERMICO DE DISPOSITIVO INTRAUTERINO",IF(K41=CURSOS!$D$29,"SALUD MENTAL",IF(K41=CURSOS!$D$30,"PRIMEROS AUXILIOS PSICOLOGICOS",IF(K41=CURSOS!$D$31,"ATENCION A VICTIMAS POR CONFLICTO ARMADO",IF(K41=CURSOS!$D$32,"MANIPULACION DE ALIMENTOS Y BPM",IF(K41=CURSOS!$D$33,"ATENCION A PERSONAS CON DISCAPACIDAD",IF(K41=CURSOS!$D$34,"CUIDADO INTEGRAL DEL PACIENTE ADULTO",IF(K41=CURSOS!$D$35,"MANEJO DEFENSIVO",IF(K41=CURSOS!$D$36,"SOPORTE CARDIOVASCULAR AVANZADO NEONATAL",IF(K41=CURSOS!$D$37,"SEGURIDAD DEL PACIENTE")))))))))))))))))))))))))))))))))))</f>
        <v>SOPORTE VITAL BASICO (BLS)</v>
      </c>
      <c r="M41" s="52" t="str">
        <f t="shared" si="3"/>
        <v>Yeni Marcela Coral Armas</v>
      </c>
      <c r="N41" s="52" t="str">
        <f t="shared" si="2"/>
        <v>Yeni Marcela Coral Armas</v>
      </c>
      <c r="O41" s="52" t="str">
        <f t="shared" si="4"/>
        <v>Yeni Marcela Coral Armas-1084847999-BLS</v>
      </c>
    </row>
    <row r="42" spans="1:15" x14ac:dyDescent="0.2">
      <c r="A42" s="149">
        <v>41</v>
      </c>
      <c r="B42" s="149">
        <v>1084847453</v>
      </c>
      <c r="C42" s="149" t="s">
        <v>95</v>
      </c>
      <c r="D42" s="149" t="s">
        <v>169</v>
      </c>
      <c r="E42" s="149" t="s">
        <v>143</v>
      </c>
      <c r="F42" s="149" t="s">
        <v>151</v>
      </c>
      <c r="G42" s="150">
        <v>17</v>
      </c>
      <c r="H42" s="14" t="s">
        <v>181</v>
      </c>
      <c r="I42" s="14" t="s">
        <v>86</v>
      </c>
      <c r="J42" s="14" t="s">
        <v>511</v>
      </c>
      <c r="K42" s="149" t="s">
        <v>19</v>
      </c>
      <c r="L42" s="100" t="str">
        <f>IF(K42=CURSOS!$D$3,"DIPLOMADO EN ATENCION PRE-HOSPITALARIA",IF(K42=CURSOS!$D$4,"ACOMPAÑAMIENTO Y MANEJO DEL DUELO",IF(K42=CURSOS!$D$5,"ATENCION A VICTIMAS DE ATAQUE CON AGENTES QUIMICOS ",IF(K42=CURSOS!$D$6,"PRIMEROS AUXILIOS ",IF(K42=CURSOS!$D$7,"DIPLOMADO DE UNIDAD DE CUIDADOS INTENSIVOS (UCI)",IF(K42=CURSOS!$D$8,"MODELO DE ATENCION PARA EVENTOS EMERGENTES EN SALUD MENTAL (CODIGO VERDE)",IF(K42=CURSOS!$D$9,"HUMANIZACION EN EL SERVICIO DE LA SALUD Y BUENAS PRACTICAS EN PACIENTE ",IF(K42=CURSOS!$D$10,"CLINICA DE HERIDAS ",IF(K42=CURSOS!$D$11,"TOMA DE CITOLOGIA CERVICO VAGINAL ",IF(K42=CURSOS!$D$12,"SOPORTE CARDIOVASCULAR AVANZADO (ACLS) ",IF(K42=CURSOS!$D$13,"CAMILLERO ",IF(K42=CURSOS!$D$14,"TOMA DE MUESTRAS Y LABORATORIO ",IF(K42=CURSOS!$D$15,"SOPORTE VITAL BASICO (BLS)",IF(K42=CURSOS!$D$16,"ATENCION A VICTIMAS DE VIOLENCIA SEXUAL ",IF(K42=CURSOS!$D$17,"PROGRAMADO AMPLIADO DE INMUNIZACION (PAI - COVID 19)",IF(K42=CURSOS!$D$18,"ATENCION INTEGRAL EN ENFERMEDADES PREVALENTES EN PRIMERA INFANCIA (AIEPI)",IF(K42=CURSOS!$D$19,"ADMINISTRACION DE MEDICAMENTOS, INYECTOLOGIA  Y CANALIZACION ",IF(K42=CURSOS!$D$20,"OPERADOR DE VEHICULOS DE EMERGENCIA (OVE)",IF(K42=CURSOS!$D$21,"INSTITUCIONES AMIGAS DE LA MUJER Y LA INFANCIA (IAMI)",IF(K42=CURSOS!$D$22,"CUIDADO DEL DONANTE DE ORGANOS",IF(K42=CURSOS!$D$23,"ATENCION A VICTIMAS POR VIOLENCIA DE GENERO",IF(K42=CURSOS!$D$24,"IGUALDAD DE GENERO EN LA SALUD",IF(K42=CURSOS!$D$25,"BRIGADA DE EMERGENCIA",IF(K42=CURSOS!$D$26,"MANEJO DEL DOLOR Y CUIDADOS PALIATIVOS",IF(K42=CURSOS!$D$27,"TOMA DE MUESTRAS Y LABORATORIO POCT",IF(K42=CURSOS!$D$28,"IMPLANTE SUBDERMICO DE DISPOSITIVO INTRAUTERINO",IF(K42=CURSOS!$D$29,"SALUD MENTAL",IF(K42=CURSOS!$D$30,"PRIMEROS AUXILIOS PSICOLOGICOS",IF(K42=CURSOS!$D$31,"ATENCION A VICTIMAS POR CONFLICTO ARMADO",IF(K42=CURSOS!$D$32,"MANIPULACION DE ALIMENTOS Y BPM",IF(K42=CURSOS!$D$33,"ATENCION A PERSONAS CON DISCAPACIDAD",IF(K42=CURSOS!$D$34,"CUIDADO INTEGRAL DEL PACIENTE ADULTO",IF(K42=CURSOS!$D$35,"MANEJO DEFENSIVO",IF(K42=CURSOS!$D$36,"SOPORTE CARDIOVASCULAR AVANZADO NEONATAL",IF(K42=CURSOS!$D$37,"SEGURIDAD DEL PACIENTE")))))))))))))))))))))))))))))))))))</f>
        <v>SOPORTE VITAL BASICO (BLS)</v>
      </c>
      <c r="M42" s="52" t="str">
        <f t="shared" si="3"/>
        <v>Diana Marisol Pantoja Erazo</v>
      </c>
      <c r="N42" s="52" t="str">
        <f t="shared" si="2"/>
        <v>Diana Marisol Pantoja Erazo</v>
      </c>
      <c r="O42" s="52" t="str">
        <f t="shared" si="4"/>
        <v>Diana Marisol Pantoja Erazo-1084847453-BLS</v>
      </c>
    </row>
    <row r="43" spans="1:15" x14ac:dyDescent="0.2">
      <c r="A43" s="152">
        <v>42</v>
      </c>
      <c r="B43" s="149">
        <v>1084847853</v>
      </c>
      <c r="C43" s="149" t="s">
        <v>95</v>
      </c>
      <c r="D43" s="149" t="s">
        <v>466</v>
      </c>
      <c r="E43" s="149" t="s">
        <v>503</v>
      </c>
      <c r="F43" s="149" t="s">
        <v>504</v>
      </c>
      <c r="G43" s="150">
        <v>17</v>
      </c>
      <c r="H43" s="14" t="s">
        <v>181</v>
      </c>
      <c r="I43" s="14" t="s">
        <v>86</v>
      </c>
      <c r="J43" s="14" t="s">
        <v>511</v>
      </c>
      <c r="K43" s="149" t="s">
        <v>19</v>
      </c>
      <c r="L43" s="100" t="str">
        <f>IF(K43=CURSOS!$D$3,"DIPLOMADO EN ATENCION PRE-HOSPITALARIA",IF(K43=CURSOS!$D$4,"ACOMPAÑAMIENTO Y MANEJO DEL DUELO",IF(K43=CURSOS!$D$5,"ATENCION A VICTIMAS DE ATAQUE CON AGENTES QUIMICOS ",IF(K43=CURSOS!$D$6,"PRIMEROS AUXILIOS ",IF(K43=CURSOS!$D$7,"DIPLOMADO DE UNIDAD DE CUIDADOS INTENSIVOS (UCI)",IF(K43=CURSOS!$D$8,"MODELO DE ATENCION PARA EVENTOS EMERGENTES EN SALUD MENTAL (CODIGO VERDE)",IF(K43=CURSOS!$D$9,"HUMANIZACION EN EL SERVICIO DE LA SALUD Y BUENAS PRACTICAS EN PACIENTE ",IF(K43=CURSOS!$D$10,"CLINICA DE HERIDAS ",IF(K43=CURSOS!$D$11,"TOMA DE CITOLOGIA CERVICO VAGINAL ",IF(K43=CURSOS!$D$12,"SOPORTE CARDIOVASCULAR AVANZADO (ACLS) ",IF(K43=CURSOS!$D$13,"CAMILLERO ",IF(K43=CURSOS!$D$14,"TOMA DE MUESTRAS Y LABORATORIO ",IF(K43=CURSOS!$D$15,"SOPORTE VITAL BASICO (BLS)",IF(K43=CURSOS!$D$16,"ATENCION A VICTIMAS DE VIOLENCIA SEXUAL ",IF(K43=CURSOS!$D$17,"PROGRAMADO AMPLIADO DE INMUNIZACION (PAI - COVID 19)",IF(K43=CURSOS!$D$18,"ATENCION INTEGRAL EN ENFERMEDADES PREVALENTES EN PRIMERA INFANCIA (AIEPI)",IF(K43=CURSOS!$D$19,"ADMINISTRACION DE MEDICAMENTOS, INYECTOLOGIA  Y CANALIZACION ",IF(K43=CURSOS!$D$20,"OPERADOR DE VEHICULOS DE EMERGENCIA (OVE)",IF(K43=CURSOS!$D$21,"INSTITUCIONES AMIGAS DE LA MUJER Y LA INFANCIA (IAMI)",IF(K43=CURSOS!$D$22,"CUIDADO DEL DONANTE DE ORGANOS",IF(K43=CURSOS!$D$23,"ATENCION A VICTIMAS POR VIOLENCIA DE GENERO",IF(K43=CURSOS!$D$24,"IGUALDAD DE GENERO EN LA SALUD",IF(K43=CURSOS!$D$25,"BRIGADA DE EMERGENCIA",IF(K43=CURSOS!$D$26,"MANEJO DEL DOLOR Y CUIDADOS PALIATIVOS",IF(K43=CURSOS!$D$27,"TOMA DE MUESTRAS Y LABORATORIO POCT",IF(K43=CURSOS!$D$28,"IMPLANTE SUBDERMICO DE DISPOSITIVO INTRAUTERINO",IF(K43=CURSOS!$D$29,"SALUD MENTAL",IF(K43=CURSOS!$D$30,"PRIMEROS AUXILIOS PSICOLOGICOS",IF(K43=CURSOS!$D$31,"ATENCION A VICTIMAS POR CONFLICTO ARMADO",IF(K43=CURSOS!$D$32,"MANIPULACION DE ALIMENTOS Y BPM",IF(K43=CURSOS!$D$33,"ATENCION A PERSONAS CON DISCAPACIDAD",IF(K43=CURSOS!$D$34,"CUIDADO INTEGRAL DEL PACIENTE ADULTO",IF(K43=CURSOS!$D$35,"MANEJO DEFENSIVO",IF(K43=CURSOS!$D$36,"SOPORTE CARDIOVASCULAR AVANZADO NEONATAL",IF(K43=CURSOS!$D$37,"SEGURIDAD DEL PACIENTE")))))))))))))))))))))))))))))))))))</f>
        <v>SOPORTE VITAL BASICO (BLS)</v>
      </c>
      <c r="M43" s="52" t="str">
        <f t="shared" si="3"/>
        <v>Ehider Yananderly Pantoja Romero</v>
      </c>
      <c r="N43" s="52" t="str">
        <f t="shared" si="2"/>
        <v>Ehider Yananderly Pantoja Romero</v>
      </c>
      <c r="O43" s="52" t="str">
        <f t="shared" si="4"/>
        <v>Ehider Yananderly Pantoja Romero-1084847853-BLS</v>
      </c>
    </row>
    <row r="44" spans="1:15" x14ac:dyDescent="0.2">
      <c r="A44" s="149">
        <v>43</v>
      </c>
      <c r="B44" s="149">
        <v>27160719</v>
      </c>
      <c r="C44" s="149" t="s">
        <v>419</v>
      </c>
      <c r="D44" s="149" t="s">
        <v>420</v>
      </c>
      <c r="E44" s="149" t="s">
        <v>243</v>
      </c>
      <c r="F44" s="149" t="s">
        <v>505</v>
      </c>
      <c r="G44" s="150">
        <v>17</v>
      </c>
      <c r="H44" s="14" t="s">
        <v>181</v>
      </c>
      <c r="I44" s="14" t="s">
        <v>86</v>
      </c>
      <c r="J44" s="14" t="s">
        <v>511</v>
      </c>
      <c r="K44" s="149" t="s">
        <v>19</v>
      </c>
      <c r="L44" s="100" t="str">
        <f>IF(K44=CURSOS!$D$3,"DIPLOMADO EN ATENCION PRE-HOSPITALARIA",IF(K44=CURSOS!$D$4,"ACOMPAÑAMIENTO Y MANEJO DEL DUELO",IF(K44=CURSOS!$D$5,"ATENCION A VICTIMAS DE ATAQUE CON AGENTES QUIMICOS ",IF(K44=CURSOS!$D$6,"PRIMEROS AUXILIOS ",IF(K44=CURSOS!$D$7,"DIPLOMADO DE UNIDAD DE CUIDADOS INTENSIVOS (UCI)",IF(K44=CURSOS!$D$8,"MODELO DE ATENCION PARA EVENTOS EMERGENTES EN SALUD MENTAL (CODIGO VERDE)",IF(K44=CURSOS!$D$9,"HUMANIZACION EN EL SERVICIO DE LA SALUD Y BUENAS PRACTICAS EN PACIENTE ",IF(K44=CURSOS!$D$10,"CLINICA DE HERIDAS ",IF(K44=CURSOS!$D$11,"TOMA DE CITOLOGIA CERVICO VAGINAL ",IF(K44=CURSOS!$D$12,"SOPORTE CARDIOVASCULAR AVANZADO (ACLS) ",IF(K44=CURSOS!$D$13,"CAMILLERO ",IF(K44=CURSOS!$D$14,"TOMA DE MUESTRAS Y LABORATORIO ",IF(K44=CURSOS!$D$15,"SOPORTE VITAL BASICO (BLS)",IF(K44=CURSOS!$D$16,"ATENCION A VICTIMAS DE VIOLENCIA SEXUAL ",IF(K44=CURSOS!$D$17,"PROGRAMADO AMPLIADO DE INMUNIZACION (PAI - COVID 19)",IF(K44=CURSOS!$D$18,"ATENCION INTEGRAL EN ENFERMEDADES PREVALENTES EN PRIMERA INFANCIA (AIEPI)",IF(K44=CURSOS!$D$19,"ADMINISTRACION DE MEDICAMENTOS, INYECTOLOGIA  Y CANALIZACION ",IF(K44=CURSOS!$D$20,"OPERADOR DE VEHICULOS DE EMERGENCIA (OVE)",IF(K44=CURSOS!$D$21,"INSTITUCIONES AMIGAS DE LA MUJER Y LA INFANCIA (IAMI)",IF(K44=CURSOS!$D$22,"CUIDADO DEL DONANTE DE ORGANOS",IF(K44=CURSOS!$D$23,"ATENCION A VICTIMAS POR VIOLENCIA DE GENERO",IF(K44=CURSOS!$D$24,"IGUALDAD DE GENERO EN LA SALUD",IF(K44=CURSOS!$D$25,"BRIGADA DE EMERGENCIA",IF(K44=CURSOS!$D$26,"MANEJO DEL DOLOR Y CUIDADOS PALIATIVOS",IF(K44=CURSOS!$D$27,"TOMA DE MUESTRAS Y LABORATORIO POCT",IF(K44=CURSOS!$D$28,"IMPLANTE SUBDERMICO DE DISPOSITIVO INTRAUTERINO",IF(K44=CURSOS!$D$29,"SALUD MENTAL",IF(K44=CURSOS!$D$30,"PRIMEROS AUXILIOS PSICOLOGICOS",IF(K44=CURSOS!$D$31,"ATENCION A VICTIMAS POR CONFLICTO ARMADO",IF(K44=CURSOS!$D$32,"MANIPULACION DE ALIMENTOS Y BPM",IF(K44=CURSOS!$D$33,"ATENCION A PERSONAS CON DISCAPACIDAD",IF(K44=CURSOS!$D$34,"CUIDADO INTEGRAL DEL PACIENTE ADULTO",IF(K44=CURSOS!$D$35,"MANEJO DEFENSIVO",IF(K44=CURSOS!$D$36,"SOPORTE CARDIOVASCULAR AVANZADO NEONATAL",IF(K44=CURSOS!$D$37,"SEGURIDAD DEL PACIENTE")))))))))))))))))))))))))))))))))))</f>
        <v>SOPORTE VITAL BASICO (BLS)</v>
      </c>
      <c r="M44" s="52" t="str">
        <f t="shared" si="3"/>
        <v>Bibiana del Socorro Gesama Cuasanchir</v>
      </c>
      <c r="N44" s="52" t="str">
        <f t="shared" si="2"/>
        <v>Bibiana Del Socorro Gesama Cuasanchir</v>
      </c>
      <c r="O44" s="52" t="str">
        <f t="shared" si="4"/>
        <v>Bibiana del Socorro Gesama Cuasanchir-27160719-BLS</v>
      </c>
    </row>
    <row r="45" spans="1:15" x14ac:dyDescent="0.2">
      <c r="A45" s="149">
        <v>44</v>
      </c>
      <c r="B45" s="149">
        <v>1090371225</v>
      </c>
      <c r="C45" s="149" t="s">
        <v>472</v>
      </c>
      <c r="D45" s="149" t="s">
        <v>473</v>
      </c>
      <c r="E45" s="149" t="s">
        <v>506</v>
      </c>
      <c r="F45" s="149" t="s">
        <v>496</v>
      </c>
      <c r="G45" s="150">
        <v>17</v>
      </c>
      <c r="H45" s="14" t="s">
        <v>181</v>
      </c>
      <c r="I45" s="14" t="s">
        <v>86</v>
      </c>
      <c r="J45" s="14" t="s">
        <v>511</v>
      </c>
      <c r="K45" s="149" t="s">
        <v>19</v>
      </c>
      <c r="L45" s="100" t="str">
        <f>IF(K45=CURSOS!$D$3,"DIPLOMADO EN ATENCION PRE-HOSPITALARIA",IF(K45=CURSOS!$D$4,"ACOMPAÑAMIENTO Y MANEJO DEL DUELO",IF(K45=CURSOS!$D$5,"ATENCION A VICTIMAS DE ATAQUE CON AGENTES QUIMICOS ",IF(K45=CURSOS!$D$6,"PRIMEROS AUXILIOS ",IF(K45=CURSOS!$D$7,"DIPLOMADO DE UNIDAD DE CUIDADOS INTENSIVOS (UCI)",IF(K45=CURSOS!$D$8,"MODELO DE ATENCION PARA EVENTOS EMERGENTES EN SALUD MENTAL (CODIGO VERDE)",IF(K45=CURSOS!$D$9,"HUMANIZACION EN EL SERVICIO DE LA SALUD Y BUENAS PRACTICAS EN PACIENTE ",IF(K45=CURSOS!$D$10,"CLINICA DE HERIDAS ",IF(K45=CURSOS!$D$11,"TOMA DE CITOLOGIA CERVICO VAGINAL ",IF(K45=CURSOS!$D$12,"SOPORTE CARDIOVASCULAR AVANZADO (ACLS) ",IF(K45=CURSOS!$D$13,"CAMILLERO ",IF(K45=CURSOS!$D$14,"TOMA DE MUESTRAS Y LABORATORIO ",IF(K45=CURSOS!$D$15,"SOPORTE VITAL BASICO (BLS)",IF(K45=CURSOS!$D$16,"ATENCION A VICTIMAS DE VIOLENCIA SEXUAL ",IF(K45=CURSOS!$D$17,"PROGRAMADO AMPLIADO DE INMUNIZACION (PAI - COVID 19)",IF(K45=CURSOS!$D$18,"ATENCION INTEGRAL EN ENFERMEDADES PREVALENTES EN PRIMERA INFANCIA (AIEPI)",IF(K45=CURSOS!$D$19,"ADMINISTRACION DE MEDICAMENTOS, INYECTOLOGIA  Y CANALIZACION ",IF(K45=CURSOS!$D$20,"OPERADOR DE VEHICULOS DE EMERGENCIA (OVE)",IF(K45=CURSOS!$D$21,"INSTITUCIONES AMIGAS DE LA MUJER Y LA INFANCIA (IAMI)",IF(K45=CURSOS!$D$22,"CUIDADO DEL DONANTE DE ORGANOS",IF(K45=CURSOS!$D$23,"ATENCION A VICTIMAS POR VIOLENCIA DE GENERO",IF(K45=CURSOS!$D$24,"IGUALDAD DE GENERO EN LA SALUD",IF(K45=CURSOS!$D$25,"BRIGADA DE EMERGENCIA",IF(K45=CURSOS!$D$26,"MANEJO DEL DOLOR Y CUIDADOS PALIATIVOS",IF(K45=CURSOS!$D$27,"TOMA DE MUESTRAS Y LABORATORIO POCT",IF(K45=CURSOS!$D$28,"IMPLANTE SUBDERMICO DE DISPOSITIVO INTRAUTERINO",IF(K45=CURSOS!$D$29,"SALUD MENTAL",IF(K45=CURSOS!$D$30,"PRIMEROS AUXILIOS PSICOLOGICOS",IF(K45=CURSOS!$D$31,"ATENCION A VICTIMAS POR CONFLICTO ARMADO",IF(K45=CURSOS!$D$32,"MANIPULACION DE ALIMENTOS Y BPM",IF(K45=CURSOS!$D$33,"ATENCION A PERSONAS CON DISCAPACIDAD",IF(K45=CURSOS!$D$34,"CUIDADO INTEGRAL DEL PACIENTE ADULTO",IF(K45=CURSOS!$D$35,"MANEJO DEFENSIVO",IF(K45=CURSOS!$D$36,"SOPORTE CARDIOVASCULAR AVANZADO NEONATAL",IF(K45=CURSOS!$D$37,"SEGURIDAD DEL PACIENTE")))))))))))))))))))))))))))))))))))</f>
        <v>SOPORTE VITAL BASICO (BLS)</v>
      </c>
      <c r="M45" s="52" t="str">
        <f t="shared" si="3"/>
        <v>Hingrid Yurley Bautista Ortiz</v>
      </c>
      <c r="N45" s="52" t="str">
        <f t="shared" si="2"/>
        <v>Hingrid Yurley Bautista Ortiz</v>
      </c>
      <c r="O45" s="52" t="str">
        <f t="shared" si="4"/>
        <v>Hingrid Yurley Bautista Ortiz-1090371225-BLS</v>
      </c>
    </row>
    <row r="46" spans="1:15" x14ac:dyDescent="0.2">
      <c r="A46" s="149">
        <v>45</v>
      </c>
      <c r="B46" s="149">
        <v>1084847579</v>
      </c>
      <c r="C46" s="149" t="s">
        <v>474</v>
      </c>
      <c r="D46" s="149" t="s">
        <v>475</v>
      </c>
      <c r="E46" s="149" t="s">
        <v>507</v>
      </c>
      <c r="F46" s="149" t="s">
        <v>508</v>
      </c>
      <c r="G46" s="150">
        <v>17</v>
      </c>
      <c r="H46" s="14" t="s">
        <v>181</v>
      </c>
      <c r="I46" s="14" t="s">
        <v>86</v>
      </c>
      <c r="J46" s="14" t="s">
        <v>511</v>
      </c>
      <c r="K46" s="149" t="s">
        <v>27</v>
      </c>
      <c r="L46" s="100" t="str">
        <f>IF(K46=CURSOS!$D$3,"DIPLOMADO EN ATENCION PRE-HOSPITALARIA",IF(K46=CURSOS!$D$4,"ACOMPAÑAMIENTO Y MANEJO DEL DUELO",IF(K46=CURSOS!$D$5,"ATENCION A VICTIMAS DE ATAQUE CON AGENTES QUIMICOS ",IF(K46=CURSOS!$D$6,"PRIMEROS AUXILIOS ",IF(K46=CURSOS!$D$7,"DIPLOMADO DE UNIDAD DE CUIDADOS INTENSIVOS (UCI)",IF(K46=CURSOS!$D$8,"MODELO DE ATENCION PARA EVENTOS EMERGENTES EN SALUD MENTAL (CODIGO VERDE)",IF(K46=CURSOS!$D$9,"HUMANIZACION EN EL SERVICIO DE LA SALUD Y BUENAS PRACTICAS EN PACIENTE ",IF(K46=CURSOS!$D$10,"CLINICA DE HERIDAS ",IF(K46=CURSOS!$D$11,"TOMA DE CITOLOGIA CERVICO VAGINAL ",IF(K46=CURSOS!$D$12,"SOPORTE CARDIOVASCULAR AVANZADO (ACLS) ",IF(K46=CURSOS!$D$13,"CAMILLERO ",IF(K46=CURSOS!$D$14,"TOMA DE MUESTRAS Y LABORATORIO ",IF(K46=CURSOS!$D$15,"SOPORTE VITAL BASICO (BLS)",IF(K46=CURSOS!$D$16,"ATENCION A VICTIMAS DE VIOLENCIA SEXUAL ",IF(K46=CURSOS!$D$17,"PROGRAMADO AMPLIADO DE INMUNIZACION (PAI - COVID 19)",IF(K46=CURSOS!$D$18,"ATENCION INTEGRAL EN ENFERMEDADES PREVALENTES EN PRIMERA INFANCIA (AIEPI)",IF(K46=CURSOS!$D$19,"ADMINISTRACION DE MEDICAMENTOS, INYECTOLOGIA  Y CANALIZACION ",IF(K46=CURSOS!$D$20,"OPERADOR DE VEHICULOS DE EMERGENCIA (OVE)",IF(K46=CURSOS!$D$21,"INSTITUCIONES AMIGAS DE LA MUJER Y LA INFANCIA (IAMI)",IF(K46=CURSOS!$D$22,"CUIDADO DEL DONANTE DE ORGANOS",IF(K46=CURSOS!$D$23,"ATENCION A VICTIMAS POR VIOLENCIA DE GENERO",IF(K46=CURSOS!$D$24,"IGUALDAD DE GENERO EN LA SALUD",IF(K46=CURSOS!$D$25,"BRIGADA DE EMERGENCIA",IF(K46=CURSOS!$D$26,"MANEJO DEL DOLOR Y CUIDADOS PALIATIVOS",IF(K46=CURSOS!$D$27,"TOMA DE MUESTRAS Y LABORATORIO POCT",IF(K46=CURSOS!$D$28,"IMPLANTE SUBDERMICO DE DISPOSITIVO INTRAUTERINO",IF(K46=CURSOS!$D$29,"SALUD MENTAL",IF(K46=CURSOS!$D$30,"PRIMEROS AUXILIOS PSICOLOGICOS",IF(K46=CURSOS!$D$31,"ATENCION A VICTIMAS POR CONFLICTO ARMADO",IF(K46=CURSOS!$D$32,"MANIPULACION DE ALIMENTOS Y BPM",IF(K46=CURSOS!$D$33,"ATENCION A PERSONAS CON DISCAPACIDAD",IF(K46=CURSOS!$D$34,"CUIDADO INTEGRAL DEL PACIENTE ADULTO",IF(K46=CURSOS!$D$35,"MANEJO DEFENSIVO",IF(K46=CURSOS!$D$36,"SOPORTE CARDIOVASCULAR AVANZADO NEONATAL",IF(K46=CURSOS!$D$37,"SEGURIDAD DEL PACIENTE")))))))))))))))))))))))))))))))))))</f>
        <v xml:space="preserve">PRIMEROS AUXILIOS </v>
      </c>
      <c r="M46" s="52" t="str">
        <f t="shared" si="3"/>
        <v>Karen Giovanna Gómez Revelo</v>
      </c>
      <c r="N46" s="52" t="str">
        <f t="shared" si="2"/>
        <v>Karen Giovanna Gómez Revelo</v>
      </c>
      <c r="O46" s="52" t="str">
        <f t="shared" si="4"/>
        <v>Karen Giovanna Gómez Revelo-1084847579-PRIMEROS AUXILIOS</v>
      </c>
    </row>
    <row r="47" spans="1:15" x14ac:dyDescent="0.2">
      <c r="A47" s="149">
        <v>46</v>
      </c>
      <c r="B47" s="149">
        <v>1084848213</v>
      </c>
      <c r="C47" s="149" t="s">
        <v>168</v>
      </c>
      <c r="D47" s="149" t="s">
        <v>96</v>
      </c>
      <c r="E47" s="149" t="s">
        <v>509</v>
      </c>
      <c r="F47" s="149" t="s">
        <v>125</v>
      </c>
      <c r="G47" s="101">
        <v>17</v>
      </c>
      <c r="H47" s="14" t="s">
        <v>181</v>
      </c>
      <c r="I47" s="14" t="s">
        <v>86</v>
      </c>
      <c r="J47" s="14" t="s">
        <v>511</v>
      </c>
      <c r="K47" s="149" t="s">
        <v>27</v>
      </c>
      <c r="L47" s="100" t="str">
        <f>IF(K47=CURSOS!$D$3,"DIPLOMADO EN ATENCION PRE-HOSPITALARIA",IF(K47=CURSOS!$D$4,"ACOMPAÑAMIENTO Y MANEJO DEL DUELO",IF(K47=CURSOS!$D$5,"ATENCION A VICTIMAS DE ATAQUE CON AGENTES QUIMICOS ",IF(K47=CURSOS!$D$6,"PRIMEROS AUXILIOS ",IF(K47=CURSOS!$D$7,"DIPLOMADO DE UNIDAD DE CUIDADOS INTENSIVOS (UCI)",IF(K47=CURSOS!$D$8,"MODELO DE ATENCION PARA EVENTOS EMERGENTES EN SALUD MENTAL (CODIGO VERDE)",IF(K47=CURSOS!$D$9,"HUMANIZACION EN EL SERVICIO DE LA SALUD Y BUENAS PRACTICAS EN PACIENTE ",IF(K47=CURSOS!$D$10,"CLINICA DE HERIDAS ",IF(K47=CURSOS!$D$11,"TOMA DE CITOLOGIA CERVICO VAGINAL ",IF(K47=CURSOS!$D$12,"SOPORTE CARDIOVASCULAR AVANZADO (ACLS) ",IF(K47=CURSOS!$D$13,"CAMILLERO ",IF(K47=CURSOS!$D$14,"TOMA DE MUESTRAS Y LABORATORIO ",IF(K47=CURSOS!$D$15,"SOPORTE VITAL BASICO (BLS)",IF(K47=CURSOS!$D$16,"ATENCION A VICTIMAS DE VIOLENCIA SEXUAL ",IF(K47=CURSOS!$D$17,"PROGRAMADO AMPLIADO DE INMUNIZACION (PAI - COVID 19)",IF(K47=CURSOS!$D$18,"ATENCION INTEGRAL EN ENFERMEDADES PREVALENTES EN PRIMERA INFANCIA (AIEPI)",IF(K47=CURSOS!$D$19,"ADMINISTRACION DE MEDICAMENTOS, INYECTOLOGIA  Y CANALIZACION ",IF(K47=CURSOS!$D$20,"OPERADOR DE VEHICULOS DE EMERGENCIA (OVE)",IF(K47=CURSOS!$D$21,"INSTITUCIONES AMIGAS DE LA MUJER Y LA INFANCIA (IAMI)",IF(K47=CURSOS!$D$22,"CUIDADO DEL DONANTE DE ORGANOS",IF(K47=CURSOS!$D$23,"ATENCION A VICTIMAS POR VIOLENCIA DE GENERO",IF(K47=CURSOS!$D$24,"IGUALDAD DE GENERO EN LA SALUD",IF(K47=CURSOS!$D$25,"BRIGADA DE EMERGENCIA",IF(K47=CURSOS!$D$26,"MANEJO DEL DOLOR Y CUIDADOS PALIATIVOS",IF(K47=CURSOS!$D$27,"TOMA DE MUESTRAS Y LABORATORIO POCT",IF(K47=CURSOS!$D$28,"IMPLANTE SUBDERMICO DE DISPOSITIVO INTRAUTERINO",IF(K47=CURSOS!$D$29,"SALUD MENTAL",IF(K47=CURSOS!$D$30,"PRIMEROS AUXILIOS PSICOLOGICOS",IF(K47=CURSOS!$D$31,"ATENCION A VICTIMAS POR CONFLICTO ARMADO",IF(K47=CURSOS!$D$32,"MANIPULACION DE ALIMENTOS Y BPM",IF(K47=CURSOS!$D$33,"ATENCION A PERSONAS CON DISCAPACIDAD",IF(K47=CURSOS!$D$34,"CUIDADO INTEGRAL DEL PACIENTE ADULTO",IF(K47=CURSOS!$D$35,"MANEJO DEFENSIVO",IF(K47=CURSOS!$D$36,"SOPORTE CARDIOVASCULAR AVANZADO NEONATAL",IF(K47=CURSOS!$D$37,"SEGURIDAD DEL PACIENTE")))))))))))))))))))))))))))))))))))</f>
        <v xml:space="preserve">PRIMEROS AUXILIOS </v>
      </c>
      <c r="M47" s="52" t="str">
        <f t="shared" si="3"/>
        <v>Cesar David Bastidas Benavides</v>
      </c>
      <c r="N47" s="52" t="str">
        <f t="shared" si="2"/>
        <v>Cesar David Bastidas Benavides</v>
      </c>
      <c r="O47" s="52" t="str">
        <f t="shared" si="4"/>
        <v>Cesar David Bastidas Benavides-1084848213-PRIMEROS AUXILIOS</v>
      </c>
    </row>
    <row r="48" spans="1:15" x14ac:dyDescent="0.2">
      <c r="A48" s="149">
        <v>47</v>
      </c>
      <c r="B48" s="149">
        <v>1084848111</v>
      </c>
      <c r="C48" s="149" t="s">
        <v>452</v>
      </c>
      <c r="D48" s="149" t="s">
        <v>476</v>
      </c>
      <c r="E48" s="149" t="s">
        <v>312</v>
      </c>
      <c r="F48" s="149" t="s">
        <v>510</v>
      </c>
      <c r="G48" s="101">
        <v>17</v>
      </c>
      <c r="H48" s="14" t="s">
        <v>181</v>
      </c>
      <c r="I48" s="14" t="s">
        <v>86</v>
      </c>
      <c r="J48" s="14" t="s">
        <v>511</v>
      </c>
      <c r="K48" s="149" t="s">
        <v>27</v>
      </c>
      <c r="L48" s="52" t="str">
        <f>IF(K48=CURSOS!$D$3,"DIPLOMADO EN ATENCION PRE-HOSPITALARIA",IF(K48=CURSOS!$D$4,"ACOMPAÑAMIENTO Y MANEJO DEL DUELO",IF(K48=CURSOS!$D$5,"ATENCION A VICTIMAS DE ATAQUE CON AGENTES QUIMICOS ",IF(K48=CURSOS!$D$6,"PRIMEROS AUXILIOS ",IF(K48=CURSOS!$D$7,"DIPLOMADO DE UNIDAD DE CUIDADOS INTENSIVOS (UCI)",IF(K48=CURSOS!$D$8,"MODELO DE ATENCION PARA EVENTOS EMERGENTES EN SALUD MENTAL (CODIGO VERDE)",IF(K48=CURSOS!$D$9,"HUMANIZACION EN EL SERVICIO DE LA SALUD Y BUENAS PRACTICAS EN PACIENTE ",IF(K48=CURSOS!$D$10,"CLINICA DE HERIDAS ",IF(K48=CURSOS!$D$11,"TOMA DE CITOLOGIA CERVICO VAGINAL ",IF(K48=CURSOS!$D$12,"SOPORTE CARDIOVASCULAR AVANZADO (ACLS) ",IF(K48=CURSOS!$D$13,"CAMILLERO ",IF(K48=CURSOS!$D$14,"TOMA DE MUESTRAS Y LABORATORIO ",IF(K48=CURSOS!$D$15,"SOPORTE VITAL BASICO (BLS)",IF(K48=CURSOS!$D$16,"ATENCION A VICTIMAS DE VIOLENCIA SEXUAL ",IF(K48=CURSOS!$D$17,"PROGRAMADO AMPLIADO DE INMUNIZACION (PAI - COVID 19)",IF(K48=CURSOS!$D$18,"ATENCION INTEGRAL EN ENFERMEDADES PREVALENTES EN PRIMERA INFANCIA (AIEPI)",IF(K48=CURSOS!$D$19,"ADMINISTRACION DE MEDICAMENTOS, INYECTOLOGIA  Y CANALIZACION ",IF(K48=CURSOS!$D$20,"OPERADOR DE VEHICULOS DE EMERGENCIA (OVE)",IF(K48=CURSOS!$D$21,"INSTITUCIONES AMIGAS DE LA MUJER Y LA INFANCIA (IAMI)",IF(K48=CURSOS!$D$22,"CUIDADO DEL DONANTE DE ORGANOS",IF(K48=CURSOS!$D$23,"ATENCION A VICTIMAS POR VIOLENCIA DE GENERO",IF(K48=CURSOS!$D$24,"IGUALDAD DE GENERO EN LA SALUD",IF(K48=CURSOS!$D$25,"BRIGADA DE EMERGENCIA",IF(K48=CURSOS!$D$26,"MANEJO DEL DOLOR Y CUIDADOS PALIATIVOS",IF(K48=CURSOS!$D$27,"TOMA DE MUESTRAS Y LABORATORIO POCT",IF(K48=CURSOS!$D$28,"IMPLANTE SUBDERMICO DE DISPOSITIVO INTRAUTERINO",IF(K48=CURSOS!$D$29,"SALUD MENTAL",IF(K48=CURSOS!$D$30,"PRIMEROS AUXILIOS PSICOLOGICOS",IF(K48=CURSOS!$D$31,"ATENCION A VICTIMAS POR CONFLICTO ARMADO",IF(K48=CURSOS!$D$32,"MANIPULACION DE ALIMENTOS Y BPM",IF(K48=CURSOS!$D$33,"ATENCION A PERSONAS CON DISCAPACIDAD",IF(K48=CURSOS!$D$34,"CUIDADO INTEGRAL DEL PACIENTE ADULTO",IF(K48=CURSOS!$D$35,"MANEJO DEFENSIVO",IF(K48=CURSOS!$D$36,"SOPORTE CARDIOVASCULAR AVANZADO NEONATAL",IF(K48=CURSOS!$D$37,"SEGURIDAD DEL PACIENTE")))))))))))))))))))))))))))))))))))</f>
        <v xml:space="preserve">PRIMEROS AUXILIOS </v>
      </c>
      <c r="M48" s="52" t="str">
        <f t="shared" si="3"/>
        <v>Carlos Daniel Arteaga Chamorro</v>
      </c>
      <c r="N48" s="52" t="str">
        <f t="shared" si="2"/>
        <v>Carlos Daniel Arteaga Chamorro</v>
      </c>
      <c r="O48" s="52" t="str">
        <f t="shared" si="4"/>
        <v>Carlos Daniel Arteaga Chamorro-1084848111-PRIMEROS AUXILIOS</v>
      </c>
    </row>
    <row r="49" spans="1:15" x14ac:dyDescent="0.2">
      <c r="A49" s="149">
        <v>48</v>
      </c>
      <c r="B49" s="149">
        <v>1084848195</v>
      </c>
      <c r="C49" s="149" t="s">
        <v>522</v>
      </c>
      <c r="D49" s="149" t="s">
        <v>458</v>
      </c>
      <c r="E49" s="149" t="s">
        <v>523</v>
      </c>
      <c r="F49" s="149" t="s">
        <v>524</v>
      </c>
      <c r="G49" s="150">
        <v>17</v>
      </c>
      <c r="H49" s="14" t="s">
        <v>181</v>
      </c>
      <c r="I49" s="14" t="s">
        <v>86</v>
      </c>
      <c r="J49" s="14" t="s">
        <v>511</v>
      </c>
      <c r="K49" s="149" t="s">
        <v>38</v>
      </c>
      <c r="L49" s="52" t="str">
        <f>IF(K49=CURSOS!$D$3,"DIPLOMADO EN ATENCION PRE-HOSPITALARIA",IF(K49=CURSOS!$D$4,"ACOMPAÑAMIENTO Y MANEJO DEL DUELO",IF(K49=CURSOS!$D$5,"ATENCION A VICTIMAS DE ATAQUE CON AGENTES QUIMICOS ",IF(K49=CURSOS!$D$6,"PRIMEROS AUXILIOS ",IF(K49=CURSOS!$D$7,"DIPLOMADO DE UNIDAD DE CUIDADOS INTENSIVOS (UCI)",IF(K49=CURSOS!$D$8,"MODELO DE ATENCION PARA EVENTOS EMERGENTES EN SALUD MENTAL (CODIGO VERDE)",IF(K49=CURSOS!$D$9,"HUMANIZACION EN EL SERVICIO DE LA SALUD Y BUENAS PRACTICAS EN PACIENTE ",IF(K49=CURSOS!$D$10,"CLINICA DE HERIDAS ",IF(K49=CURSOS!$D$11,"TOMA DE CITOLOGIA CERVICO VAGINAL ",IF(K49=CURSOS!$D$12,"SOPORTE CARDIOVASCULAR AVANZADO (ACLS) ",IF(K49=CURSOS!$D$13,"CAMILLERO ",IF(K49=CURSOS!$D$14,"TOMA DE MUESTRAS Y LABORATORIO ",IF(K49=CURSOS!$D$15,"SOPORTE VITAL BASICO (BLS)",IF(K49=CURSOS!$D$16,"ATENCION A VICTIMAS DE VIOLENCIA SEXUAL ",IF(K49=CURSOS!$D$17,"PROGRAMADO AMPLIADO DE INMUNIZACION (PAI - COVID 19)",IF(K49=CURSOS!$D$18,"ATENCION INTEGRAL EN ENFERMEDADES PREVALENTES EN PRIMERA INFANCIA (AIEPI)",IF(K49=CURSOS!$D$19,"ADMINISTRACION DE MEDICAMENTOS, INYECTOLOGIA  Y CANALIZACION ",IF(K49=CURSOS!$D$20,"OPERADOR DE VEHICULOS DE EMERGENCIA (OVE)",IF(K49=CURSOS!$D$21,"INSTITUCIONES AMIGAS DE LA MUJER Y LA INFANCIA (IAMI)",IF(K49=CURSOS!$D$22,"CUIDADO DEL DONANTE DE ORGANOS",IF(K49=CURSOS!$D$23,"ATENCION A VICTIMAS POR VIOLENCIA DE GENERO",IF(K49=CURSOS!$D$24,"IGUALDAD DE GENERO EN LA SALUD",IF(K49=CURSOS!$D$25,"BRIGADA DE EMERGENCIA",IF(K49=CURSOS!$D$26,"MANEJO DEL DOLOR Y CUIDADOS PALIATIVOS",IF(K49=CURSOS!$D$27,"TOMA DE MUESTRAS Y LABORATORIO POCT",IF(K49=CURSOS!$D$28,"IMPLANTE SUBDERMICO DE DISPOSITIVO INTRAUTERINO",IF(K49=CURSOS!$D$29,"SALUD MENTAL",IF(K49=CURSOS!$D$30,"PRIMEROS AUXILIOS PSICOLOGICOS",IF(K49=CURSOS!$D$31,"ATENCION A VICTIMAS POR CONFLICTO ARMADO",IF(K49=CURSOS!$D$32,"MANIPULACION DE ALIMENTOS Y BPM",IF(K49=CURSOS!$D$33,"ATENCION A PERSONAS CON DISCAPACIDAD",IF(K49=CURSOS!$D$34,"CUIDADO INTEGRAL DEL PACIENTE ADULTO",IF(K49=CURSOS!$D$35,"MANEJO DEFENSIVO",IF(K49=CURSOS!$D$36,"SOPORTE CARDIOVASCULAR AVANZADO NEONATAL",IF(K49=CURSOS!$D$37,"SEGURIDAD DEL PACIENTE")))))))))))))))))))))))))))))))))))</f>
        <v xml:space="preserve">SOPORTE CARDIOVASCULAR AVANZADO (ACLS) </v>
      </c>
      <c r="M49" s="52" t="str">
        <f t="shared" si="3"/>
        <v>Alyss Yasmín Chalapud Vallejo</v>
      </c>
      <c r="N49" s="52" t="str">
        <f t="shared" ref="N49" si="5">+PROPER(M49)</f>
        <v>Alyss Yasmín Chalapud Vallejo</v>
      </c>
      <c r="O49" s="52" t="str">
        <f t="shared" si="4"/>
        <v>Alyss Yasmín Chalapud Vallejo-1084848195-ACLS</v>
      </c>
    </row>
    <row r="50" spans="1:15" s="153" customFormat="1" x14ac:dyDescent="0.2">
      <c r="A50" s="85">
        <v>49</v>
      </c>
      <c r="B50" s="149">
        <v>1084848195</v>
      </c>
      <c r="C50" s="149" t="s">
        <v>522</v>
      </c>
      <c r="D50" s="149" t="s">
        <v>458</v>
      </c>
      <c r="E50" s="149" t="s">
        <v>523</v>
      </c>
      <c r="F50" s="149" t="s">
        <v>524</v>
      </c>
      <c r="G50" s="150">
        <v>17</v>
      </c>
      <c r="H50" s="14" t="s">
        <v>181</v>
      </c>
      <c r="I50" s="14" t="s">
        <v>86</v>
      </c>
      <c r="J50" s="14" t="s">
        <v>511</v>
      </c>
      <c r="K50" s="149" t="s">
        <v>19</v>
      </c>
      <c r="L50" s="52" t="str">
        <f>IF(K50=CURSOS!$D$3,"DIPLOMADO EN ATENCION PRE-HOSPITALARIA",IF(K50=CURSOS!$D$4,"ACOMPAÑAMIENTO Y MANEJO DEL DUELO",IF(K50=CURSOS!$D$5,"ATENCION A VICTIMAS DE ATAQUE CON AGENTES QUIMICOS ",IF(K50=CURSOS!$D$6,"PRIMEROS AUXILIOS ",IF(K50=CURSOS!$D$7,"DIPLOMADO DE UNIDAD DE CUIDADOS INTENSIVOS (UCI)",IF(K50=CURSOS!$D$8,"MODELO DE ATENCION PARA EVENTOS EMERGENTES EN SALUD MENTAL (CODIGO VERDE)",IF(K50=CURSOS!$D$9,"HUMANIZACION EN EL SERVICIO DE LA SALUD Y BUENAS PRACTICAS EN PACIENTE ",IF(K50=CURSOS!$D$10,"CLINICA DE HERIDAS ",IF(K50=CURSOS!$D$11,"TOMA DE CITOLOGIA CERVICO VAGINAL ",IF(K50=CURSOS!$D$12,"SOPORTE CARDIOVASCULAR AVANZADO (ACLS) ",IF(K50=CURSOS!$D$13,"CAMILLERO ",IF(K50=CURSOS!$D$14,"TOMA DE MUESTRAS Y LABORATORIO ",IF(K50=CURSOS!$D$15,"SOPORTE VITAL BASICO (BLS)",IF(K50=CURSOS!$D$16,"ATENCION A VICTIMAS DE VIOLENCIA SEXUAL ",IF(K50=CURSOS!$D$17,"PROGRAMADO AMPLIADO DE INMUNIZACION (PAI - COVID 19)",IF(K50=CURSOS!$D$18,"ATENCION INTEGRAL EN ENFERMEDADES PREVALENTES EN PRIMERA INFANCIA (AIEPI)",IF(K50=CURSOS!$D$19,"ADMINISTRACION DE MEDICAMENTOS, INYECTOLOGIA  Y CANALIZACION ",IF(K50=CURSOS!$D$20,"OPERADOR DE VEHICULOS DE EMERGENCIA (OVE)",IF(K50=CURSOS!$D$21,"INSTITUCIONES AMIGAS DE LA MUJER Y LA INFANCIA (IAMI)",IF(K50=CURSOS!$D$22,"CUIDADO DEL DONANTE DE ORGANOS",IF(K50=CURSOS!$D$23,"ATENCION A VICTIMAS POR VIOLENCIA DE GENERO",IF(K50=CURSOS!$D$24,"IGUALDAD DE GENERO EN LA SALUD",IF(K50=CURSOS!$D$25,"BRIGADA DE EMERGENCIA",IF(K50=CURSOS!$D$26,"MANEJO DEL DOLOR Y CUIDADOS PALIATIVOS",IF(K50=CURSOS!$D$27,"TOMA DE MUESTRAS Y LABORATORIO POCT",IF(K50=CURSOS!$D$28,"IMPLANTE SUBDERMICO DE DISPOSITIVO INTRAUTERINO",IF(K50=CURSOS!$D$29,"SALUD MENTAL",IF(K50=CURSOS!$D$30,"PRIMEROS AUXILIOS PSICOLOGICOS",IF(K50=CURSOS!$D$31,"ATENCION A VICTIMAS POR CONFLICTO ARMADO",IF(K50=CURSOS!$D$32,"MANIPULACION DE ALIMENTOS Y BPM",IF(K50=CURSOS!$D$33,"ATENCION A PERSONAS CON DISCAPACIDAD",IF(K50=CURSOS!$D$34,"CUIDADO INTEGRAL DEL PACIENTE ADULTO",IF(K50=CURSOS!$D$35,"MANEJO DEFENSIVO",IF(K50=CURSOS!$D$36,"SOPORTE CARDIOVASCULAR AVANZADO NEONATAL",IF(K50=CURSOS!$D$37,"SEGURIDAD DEL PACIENTE")))))))))))))))))))))))))))))))))))</f>
        <v>SOPORTE VITAL BASICO (BLS)</v>
      </c>
      <c r="M50" s="52" t="str">
        <f t="shared" si="3"/>
        <v>Alyss Yasmín Chalapud Vallejo</v>
      </c>
      <c r="N50" s="52" t="str">
        <f t="shared" ref="N50:N52" si="6">+PROPER(M50)</f>
        <v>Alyss Yasmín Chalapud Vallejo</v>
      </c>
      <c r="O50" s="52" t="str">
        <f t="shared" si="4"/>
        <v>Alyss Yasmín Chalapud Vallejo-1084848195-BLS</v>
      </c>
    </row>
    <row r="51" spans="1:15" s="98" customFormat="1" x14ac:dyDescent="0.2">
      <c r="A51" s="85">
        <v>50</v>
      </c>
      <c r="B51" s="17">
        <v>27488509</v>
      </c>
      <c r="C51" s="86" t="s">
        <v>123</v>
      </c>
      <c r="D51" s="86" t="s">
        <v>451</v>
      </c>
      <c r="E51" s="86" t="s">
        <v>108</v>
      </c>
      <c r="F51" s="86" t="s">
        <v>479</v>
      </c>
      <c r="G51" s="101">
        <v>17</v>
      </c>
      <c r="H51" s="14" t="s">
        <v>181</v>
      </c>
      <c r="I51" s="14" t="s">
        <v>86</v>
      </c>
      <c r="J51" s="14" t="s">
        <v>511</v>
      </c>
      <c r="K51" s="15" t="s">
        <v>23</v>
      </c>
      <c r="L51" s="52" t="str">
        <f>IF(K51=CURSOS!$D$3,"DIPLOMADO EN ATENCION PRE-HOSPITALARIA",IF(K51=CURSOS!$D$4,"ACOMPAÑAMIENTO Y MANEJO DEL DUELO",IF(K51=CURSOS!$D$5,"ATENCION A VICTIMAS DE ATAQUE CON AGENTES QUIMICOS ",IF(K51=CURSOS!$D$6,"PRIMEROS AUXILIOS ",IF(K51=CURSOS!$D$7,"DIPLOMADO DE UNIDAD DE CUIDADOS INTENSIVOS (UCI)",IF(K51=CURSOS!$D$8,"MODELO DE ATENCION PARA EVENTOS EMERGENTES EN SALUD MENTAL (CODIGO VERDE)",IF(K51=CURSOS!$D$9,"HUMANIZACION EN EL SERVICIO DE LA SALUD Y BUENAS PRACTICAS EN PACIENTE ",IF(K51=CURSOS!$D$10,"CLINICA DE HERIDAS ",IF(K51=CURSOS!$D$11,"TOMA DE CITOLOGIA CERVICO VAGINAL ",IF(K51=CURSOS!$D$12,"SOPORTE CARDIOVASCULAR AVANZADO (ACLS) ",IF(K51=CURSOS!$D$13,"CAMILLERO ",IF(K51=CURSOS!$D$14,"TOMA DE MUESTRAS Y LABORATORIO ",IF(K51=CURSOS!$D$15,"SOPORTE VITAL BASICO (BLS)",IF(K51=CURSOS!$D$16,"ATENCION A VICTIMAS DE VIOLENCIA SEXUAL ",IF(K51=CURSOS!$D$17,"PROGRAMADO AMPLIADO DE INMUNIZACION (PAI - COVID 19)",IF(K51=CURSOS!$D$18,"ATENCION INTEGRAL EN ENFERMEDADES PREVALENTES EN PRIMERA INFANCIA (AIEPI)",IF(K51=CURSOS!$D$19,"ADMINISTRACION DE MEDICAMENTOS, INYECTOLOGIA  Y CANALIZACION ",IF(K51=CURSOS!$D$20,"OPERADOR DE VEHICULOS DE EMERGENCIA (OVE)",IF(K51=CURSOS!$D$21,"INSTITUCIONES AMIGAS DE LA MUJER Y LA INFANCIA (IAMI)",IF(K51=CURSOS!$D$22,"CUIDADO DEL DONANTE DE ORGANOS",IF(K51=CURSOS!$D$23,"ATENCION A VICTIMAS POR VIOLENCIA DE GENERO",IF(K51=CURSOS!$D$24,"IGUALDAD DE GENERO EN LA SALUD",IF(K51=CURSOS!$D$25,"BRIGADA DE EMERGENCIA",IF(K51=CURSOS!$D$26,"MANEJO DEL DOLOR Y CUIDADOS PALIATIVOS",IF(K51=CURSOS!$D$27,"TOMA DE MUESTRAS Y LABORATORIO POCT",IF(K51=CURSOS!$D$28,"IMPLANTE SUBDERMICO DE DISPOSITIVO INTRAUTERINO",IF(K51=CURSOS!$D$29,"SALUD MENTAL",IF(K51=CURSOS!$D$30,"PRIMEROS AUXILIOS PSICOLOGICOS",IF(K51=CURSOS!$D$31,"ATENCION A VICTIMAS POR CONFLICTO ARMADO",IF(K51=CURSOS!$D$32,"MANIPULACION DE ALIMENTOS Y BPM",IF(K51=CURSOS!$D$33,"ATENCION A PERSONAS CON DISCAPACIDAD",IF(K51=CURSOS!$D$34,"CUIDADO INTEGRAL DEL PACIENTE ADULTO",IF(K51=CURSOS!$D$35,"MANEJO DEFENSIVO",IF(K51=CURSOS!$D$36,"SOPORTE CARDIOVASCULAR AVANZADO NEONATAL",IF(K51=CURSOS!$D$37,"SEGURIDAD DEL PACIENTE")))))))))))))))))))))))))))))))))))</f>
        <v>ACOMPAÑAMIENTO Y MANEJO DEL DUELO</v>
      </c>
      <c r="M51" s="52" t="str">
        <f t="shared" si="3"/>
        <v>Sandra Mabel Ibarra Madroñero</v>
      </c>
      <c r="N51" s="52" t="str">
        <f t="shared" si="6"/>
        <v>Sandra Mabel Ibarra Madroñero</v>
      </c>
      <c r="O51" s="52" t="str">
        <f t="shared" si="4"/>
        <v>Sandra Mabel Ibarra Madroñero-27488509-DUELO</v>
      </c>
    </row>
    <row r="52" spans="1:15" s="98" customFormat="1" x14ac:dyDescent="0.2">
      <c r="A52" s="149">
        <v>51</v>
      </c>
      <c r="B52" s="17">
        <v>27488509</v>
      </c>
      <c r="C52" s="86" t="s">
        <v>123</v>
      </c>
      <c r="D52" s="86" t="s">
        <v>451</v>
      </c>
      <c r="E52" s="86" t="s">
        <v>108</v>
      </c>
      <c r="F52" s="86" t="s">
        <v>479</v>
      </c>
      <c r="G52" s="101">
        <v>17</v>
      </c>
      <c r="H52" s="14" t="s">
        <v>181</v>
      </c>
      <c r="I52" s="14" t="s">
        <v>86</v>
      </c>
      <c r="J52" s="14" t="s">
        <v>511</v>
      </c>
      <c r="K52" s="15" t="s">
        <v>25</v>
      </c>
      <c r="L52" s="52" t="str">
        <f>IF(K52=CURSOS!$D$3,"DIPLOMADO EN ATENCION PRE-HOSPITALARIA",IF(K52=CURSOS!$D$4,"ACOMPAÑAMIENTO Y MANEJO DEL DUELO",IF(K52=CURSOS!$D$5,"ATENCION A VICTIMAS DE ATAQUE CON AGENTES QUIMICOS ",IF(K52=CURSOS!$D$6,"PRIMEROS AUXILIOS ",IF(K52=CURSOS!$D$7,"DIPLOMADO DE UNIDAD DE CUIDADOS INTENSIVOS (UCI)",IF(K52=CURSOS!$D$8,"MODELO DE ATENCION PARA EVENTOS EMERGENTES EN SALUD MENTAL (CODIGO VERDE)",IF(K52=CURSOS!$D$9,"HUMANIZACION EN EL SERVICIO DE LA SALUD Y BUENAS PRACTICAS EN PACIENTE ",IF(K52=CURSOS!$D$10,"CLINICA DE HERIDAS ",IF(K52=CURSOS!$D$11,"TOMA DE CITOLOGIA CERVICO VAGINAL ",IF(K52=CURSOS!$D$12,"SOPORTE CARDIOVASCULAR AVANZADO (ACLS) ",IF(K52=CURSOS!$D$13,"CAMILLERO ",IF(K52=CURSOS!$D$14,"TOMA DE MUESTRAS Y LABORATORIO ",IF(K52=CURSOS!$D$15,"SOPORTE VITAL BASICO (BLS)",IF(K52=CURSOS!$D$16,"ATENCION A VICTIMAS DE VIOLENCIA SEXUAL ",IF(K52=CURSOS!$D$17,"PROGRAMADO AMPLIADO DE INMUNIZACION (PAI - COVID 19)",IF(K52=CURSOS!$D$18,"ATENCION INTEGRAL EN ENFERMEDADES PREVALENTES EN PRIMERA INFANCIA (AIEPI)",IF(K52=CURSOS!$D$19,"ADMINISTRACION DE MEDICAMENTOS, INYECTOLOGIA  Y CANALIZACION ",IF(K52=CURSOS!$D$20,"OPERADOR DE VEHICULOS DE EMERGENCIA (OVE)",IF(K52=CURSOS!$D$21,"INSTITUCIONES AMIGAS DE LA MUJER Y LA INFANCIA (IAMI)",IF(K52=CURSOS!$D$22,"CUIDADO DEL DONANTE DE ORGANOS",IF(K52=CURSOS!$D$23,"ATENCION A VICTIMAS POR VIOLENCIA DE GENERO",IF(K52=CURSOS!$D$24,"IGUALDAD DE GENERO EN LA SALUD",IF(K52=CURSOS!$D$25,"BRIGADA DE EMERGENCIA",IF(K52=CURSOS!$D$26,"MANEJO DEL DOLOR Y CUIDADOS PALIATIVOS",IF(K52=CURSOS!$D$27,"TOMA DE MUESTRAS Y LABORATORIO POCT",IF(K52=CURSOS!$D$28,"IMPLANTE SUBDERMICO DE DISPOSITIVO INTRAUTERINO",IF(K52=CURSOS!$D$29,"SALUD MENTAL",IF(K52=CURSOS!$D$30,"PRIMEROS AUXILIOS PSICOLOGICOS",IF(K52=CURSOS!$D$31,"ATENCION A VICTIMAS POR CONFLICTO ARMADO",IF(K52=CURSOS!$D$32,"MANIPULACION DE ALIMENTOS Y BPM",IF(K52=CURSOS!$D$33,"ATENCION A PERSONAS CON DISCAPACIDAD",IF(K52=CURSOS!$D$34,"CUIDADO INTEGRAL DEL PACIENTE ADULTO",IF(K52=CURSOS!$D$35,"MANEJO DEFENSIVO",IF(K52=CURSOS!$D$36,"SOPORTE CARDIOVASCULAR AVANZADO NEONATAL",IF(K52=CURSOS!$D$37,"SEGURIDAD DEL PACIENTE")))))))))))))))))))))))))))))))))))</f>
        <v xml:space="preserve">ATENCION A VICTIMAS DE ATAQUE CON AGENTES QUIMICOS </v>
      </c>
      <c r="M52" s="52" t="str">
        <f t="shared" si="3"/>
        <v>Sandra Mabel Ibarra Madroñero</v>
      </c>
      <c r="N52" s="52" t="str">
        <f t="shared" si="6"/>
        <v>Sandra Mabel Ibarra Madroñero</v>
      </c>
      <c r="O52" s="52" t="str">
        <f t="shared" si="4"/>
        <v>Sandra Mabel Ibarra Madroñero-27488509-QUIMICOS</v>
      </c>
    </row>
    <row r="53" spans="1:15" s="98" customFormat="1" x14ac:dyDescent="0.2">
      <c r="A53" s="149">
        <v>52</v>
      </c>
      <c r="B53" s="17">
        <v>27488509</v>
      </c>
      <c r="C53" s="86" t="s">
        <v>123</v>
      </c>
      <c r="D53" s="86" t="s">
        <v>451</v>
      </c>
      <c r="E53" s="86" t="s">
        <v>108</v>
      </c>
      <c r="F53" s="86" t="s">
        <v>479</v>
      </c>
      <c r="G53" s="101">
        <v>17</v>
      </c>
      <c r="H53" s="14" t="s">
        <v>181</v>
      </c>
      <c r="I53" s="14" t="s">
        <v>86</v>
      </c>
      <c r="J53" s="14" t="s">
        <v>511</v>
      </c>
      <c r="K53" s="15" t="s">
        <v>43</v>
      </c>
      <c r="L53" s="52" t="str">
        <f>IF(K53=CURSOS!$D$3,"DIPLOMADO EN ATENCION PRE-HOSPITALARIA",IF(K53=CURSOS!$D$4,"ACOMPAÑAMIENTO Y MANEJO DEL DUELO",IF(K53=CURSOS!$D$5,"ATENCION A VICTIMAS DE ATAQUE CON AGENTES QUIMICOS ",IF(K53=CURSOS!$D$6,"PRIMEROS AUXILIOS ",IF(K53=CURSOS!$D$7,"DIPLOMADO DE UNIDAD DE CUIDADOS INTENSIVOS (UCI)",IF(K53=CURSOS!$D$8,"MODELO DE ATENCION PARA EVENTOS EMERGENTES EN SALUD MENTAL (CODIGO VERDE)",IF(K53=CURSOS!$D$9,"HUMANIZACION EN EL SERVICIO DE LA SALUD Y BUENAS PRACTICAS EN PACIENTE ",IF(K53=CURSOS!$D$10,"CLINICA DE HERIDAS ",IF(K53=CURSOS!$D$11,"TOMA DE CITOLOGIA CERVICO VAGINAL ",IF(K53=CURSOS!$D$12,"SOPORTE CARDIOVASCULAR AVANZADO (ACLS) ",IF(K53=CURSOS!$D$13,"CAMILLERO ",IF(K53=CURSOS!$D$14,"TOMA DE MUESTRAS Y LABORATORIO ",IF(K53=CURSOS!$D$15,"SOPORTE VITAL BASICO (BLS)",IF(K53=CURSOS!$D$16,"ATENCION A VICTIMAS DE VIOLENCIA SEXUAL ",IF(K53=CURSOS!$D$17,"PROGRAMADO AMPLIADO DE INMUNIZACION (PAI - COVID 19)",IF(K53=CURSOS!$D$18,"ATENCION INTEGRAL EN ENFERMEDADES PREVALENTES EN PRIMERA INFANCIA (AIEPI)",IF(K53=CURSOS!$D$19,"ADMINISTRACION DE MEDICAMENTOS, INYECTOLOGIA  Y CANALIZACION ",IF(K53=CURSOS!$D$20,"OPERADOR DE VEHICULOS DE EMERGENCIA (OVE)",IF(K53=CURSOS!$D$21,"INSTITUCIONES AMIGAS DE LA MUJER Y LA INFANCIA (IAMI)",IF(K53=CURSOS!$D$22,"CUIDADO DEL DONANTE DE ORGANOS",IF(K53=CURSOS!$D$23,"ATENCION A VICTIMAS POR VIOLENCIA DE GENERO",IF(K53=CURSOS!$D$24,"IGUALDAD DE GENERO EN LA SALUD",IF(K53=CURSOS!$D$25,"BRIGADA DE EMERGENCIA",IF(K53=CURSOS!$D$26,"MANEJO DEL DOLOR Y CUIDADOS PALIATIVOS",IF(K53=CURSOS!$D$27,"TOMA DE MUESTRAS Y LABORATORIO POCT",IF(K53=CURSOS!$D$28,"IMPLANTE SUBDERMICO DE DISPOSITIVO INTRAUTERINO",IF(K53=CURSOS!$D$29,"SALUD MENTAL",IF(K53=CURSOS!$D$30,"PRIMEROS AUXILIOS PSICOLOGICOS",IF(K53=CURSOS!$D$31,"ATENCION A VICTIMAS POR CONFLICTO ARMADO",IF(K53=CURSOS!$D$32,"MANIPULACION DE ALIMENTOS Y BPM",IF(K53=CURSOS!$D$33,"ATENCION A PERSONAS CON DISCAPACIDAD",IF(K53=CURSOS!$D$34,"CUIDADO INTEGRAL DEL PACIENTE ADULTO",IF(K53=CURSOS!$D$35,"MANEJO DEFENSIVO",IF(K53=CURSOS!$D$36,"SOPORTE CARDIOVASCULAR AVANZADO NEONATAL",IF(K53=CURSOS!$D$37,"SEGURIDAD DEL PACIENTE")))))))))))))))))))))))))))))))))))</f>
        <v xml:space="preserve">ATENCION A VICTIMAS DE VIOLENCIA SEXUAL </v>
      </c>
      <c r="M53" s="52" t="str">
        <f t="shared" si="3"/>
        <v>Sandra Mabel Ibarra Madroñero</v>
      </c>
      <c r="N53" s="52" t="str">
        <f t="shared" ref="N53:N57" si="7">+PROPER(M53)</f>
        <v>Sandra Mabel Ibarra Madroñero</v>
      </c>
      <c r="O53" s="52" t="str">
        <f t="shared" si="4"/>
        <v>Sandra Mabel Ibarra Madroñero-27488509-VIOLENCIA SEXUAL</v>
      </c>
    </row>
    <row r="54" spans="1:15" s="154" customFormat="1" x14ac:dyDescent="0.2">
      <c r="A54" s="149">
        <v>53</v>
      </c>
      <c r="B54" s="17">
        <v>1084846306</v>
      </c>
      <c r="C54" s="149" t="s">
        <v>209</v>
      </c>
      <c r="D54" s="149" t="s">
        <v>452</v>
      </c>
      <c r="E54" s="149" t="s">
        <v>480</v>
      </c>
      <c r="F54" s="149"/>
      <c r="G54" s="150">
        <v>17</v>
      </c>
      <c r="H54" s="14" t="s">
        <v>181</v>
      </c>
      <c r="I54" s="14" t="s">
        <v>86</v>
      </c>
      <c r="J54" s="14" t="s">
        <v>511</v>
      </c>
      <c r="K54" s="15" t="s">
        <v>23</v>
      </c>
      <c r="L54" s="52" t="str">
        <f>IF(K54=CURSOS!$D$3,"DIPLOMADO EN ATENCION PRE-HOSPITALARIA",IF(K54=CURSOS!$D$4,"ACOMPAÑAMIENTO Y MANEJO DEL DUELO",IF(K54=CURSOS!$D$5,"ATENCION A VICTIMAS DE ATAQUE CON AGENTES QUIMICOS ",IF(K54=CURSOS!$D$6,"PRIMEROS AUXILIOS ",IF(K54=CURSOS!$D$7,"DIPLOMADO DE UNIDAD DE CUIDADOS INTENSIVOS (UCI)",IF(K54=CURSOS!$D$8,"MODELO DE ATENCION PARA EVENTOS EMERGENTES EN SALUD MENTAL (CODIGO VERDE)",IF(K54=CURSOS!$D$9,"HUMANIZACION EN EL SERVICIO DE LA SALUD Y BUENAS PRACTICAS EN PACIENTE ",IF(K54=CURSOS!$D$10,"CLINICA DE HERIDAS ",IF(K54=CURSOS!$D$11,"TOMA DE CITOLOGIA CERVICO VAGINAL ",IF(K54=CURSOS!$D$12,"SOPORTE CARDIOVASCULAR AVANZADO (ACLS) ",IF(K54=CURSOS!$D$13,"CAMILLERO ",IF(K54=CURSOS!$D$14,"TOMA DE MUESTRAS Y LABORATORIO ",IF(K54=CURSOS!$D$15,"SOPORTE VITAL BASICO (BLS)",IF(K54=CURSOS!$D$16,"ATENCION A VICTIMAS DE VIOLENCIA SEXUAL ",IF(K54=CURSOS!$D$17,"PROGRAMADO AMPLIADO DE INMUNIZACION (PAI - COVID 19)",IF(K54=CURSOS!$D$18,"ATENCION INTEGRAL EN ENFERMEDADES PREVALENTES EN PRIMERA INFANCIA (AIEPI)",IF(K54=CURSOS!$D$19,"ADMINISTRACION DE MEDICAMENTOS, INYECTOLOGIA  Y CANALIZACION ",IF(K54=CURSOS!$D$20,"OPERADOR DE VEHICULOS DE EMERGENCIA (OVE)",IF(K54=CURSOS!$D$21,"INSTITUCIONES AMIGAS DE LA MUJER Y LA INFANCIA (IAMI)",IF(K54=CURSOS!$D$22,"CUIDADO DEL DONANTE DE ORGANOS",IF(K54=CURSOS!$D$23,"ATENCION A VICTIMAS POR VIOLENCIA DE GENERO",IF(K54=CURSOS!$D$24,"IGUALDAD DE GENERO EN LA SALUD",IF(K54=CURSOS!$D$25,"BRIGADA DE EMERGENCIA",IF(K54=CURSOS!$D$26,"MANEJO DEL DOLOR Y CUIDADOS PALIATIVOS",IF(K54=CURSOS!$D$27,"TOMA DE MUESTRAS Y LABORATORIO POCT",IF(K54=CURSOS!$D$28,"IMPLANTE SUBDERMICO DE DISPOSITIVO INTRAUTERINO",IF(K54=CURSOS!$D$29,"SALUD MENTAL",IF(K54=CURSOS!$D$30,"PRIMEROS AUXILIOS PSICOLOGICOS",IF(K54=CURSOS!$D$31,"ATENCION A VICTIMAS POR CONFLICTO ARMADO",IF(K54=CURSOS!$D$32,"MANIPULACION DE ALIMENTOS Y BPM",IF(K54=CURSOS!$D$33,"ATENCION A PERSONAS CON DISCAPACIDAD",IF(K54=CURSOS!$D$34,"CUIDADO INTEGRAL DEL PACIENTE ADULTO",IF(K54=CURSOS!$D$35,"MANEJO DEFENSIVO",IF(K54=CURSOS!$D$36,"SOPORTE CARDIOVASCULAR AVANZADO NEONATAL",IF(K54=CURSOS!$D$37,"SEGURIDAD DEL PACIENTE")))))))))))))))))))))))))))))))))))</f>
        <v>ACOMPAÑAMIENTO Y MANEJO DEL DUELO</v>
      </c>
      <c r="M54" s="52" t="str">
        <f t="shared" si="3"/>
        <v>Emirgen  Moran Arteaga</v>
      </c>
      <c r="N54" s="52" t="str">
        <f t="shared" si="7"/>
        <v>Emirgen  Moran Arteaga</v>
      </c>
      <c r="O54" s="52" t="str">
        <f t="shared" si="4"/>
        <v>Emirgen  Moran Arteaga-1084846306-DUELO</v>
      </c>
    </row>
    <row r="55" spans="1:15" s="154" customFormat="1" x14ac:dyDescent="0.2">
      <c r="A55" s="149">
        <v>54</v>
      </c>
      <c r="B55" s="17">
        <v>1084846306</v>
      </c>
      <c r="C55" s="149" t="s">
        <v>209</v>
      </c>
      <c r="D55" s="149" t="s">
        <v>452</v>
      </c>
      <c r="E55" s="149" t="s">
        <v>480</v>
      </c>
      <c r="F55" s="149"/>
      <c r="G55" s="150">
        <v>17</v>
      </c>
      <c r="H55" s="14" t="s">
        <v>181</v>
      </c>
      <c r="I55" s="14" t="s">
        <v>86</v>
      </c>
      <c r="J55" s="14" t="s">
        <v>511</v>
      </c>
      <c r="K55" s="15" t="s">
        <v>25</v>
      </c>
      <c r="L55" s="52" t="str">
        <f>IF(K55=CURSOS!$D$3,"DIPLOMADO EN ATENCION PRE-HOSPITALARIA",IF(K55=CURSOS!$D$4,"ACOMPAÑAMIENTO Y MANEJO DEL DUELO",IF(K55=CURSOS!$D$5,"ATENCION A VICTIMAS DE ATAQUE CON AGENTES QUIMICOS ",IF(K55=CURSOS!$D$6,"PRIMEROS AUXILIOS ",IF(K55=CURSOS!$D$7,"DIPLOMADO DE UNIDAD DE CUIDADOS INTENSIVOS (UCI)",IF(K55=CURSOS!$D$8,"MODELO DE ATENCION PARA EVENTOS EMERGENTES EN SALUD MENTAL (CODIGO VERDE)",IF(K55=CURSOS!$D$9,"HUMANIZACION EN EL SERVICIO DE LA SALUD Y BUENAS PRACTICAS EN PACIENTE ",IF(K55=CURSOS!$D$10,"CLINICA DE HERIDAS ",IF(K55=CURSOS!$D$11,"TOMA DE CITOLOGIA CERVICO VAGINAL ",IF(K55=CURSOS!$D$12,"SOPORTE CARDIOVASCULAR AVANZADO (ACLS) ",IF(K55=CURSOS!$D$13,"CAMILLERO ",IF(K55=CURSOS!$D$14,"TOMA DE MUESTRAS Y LABORATORIO ",IF(K55=CURSOS!$D$15,"SOPORTE VITAL BASICO (BLS)",IF(K55=CURSOS!$D$16,"ATENCION A VICTIMAS DE VIOLENCIA SEXUAL ",IF(K55=CURSOS!$D$17,"PROGRAMADO AMPLIADO DE INMUNIZACION (PAI - COVID 19)",IF(K55=CURSOS!$D$18,"ATENCION INTEGRAL EN ENFERMEDADES PREVALENTES EN PRIMERA INFANCIA (AIEPI)",IF(K55=CURSOS!$D$19,"ADMINISTRACION DE MEDICAMENTOS, INYECTOLOGIA  Y CANALIZACION ",IF(K55=CURSOS!$D$20,"OPERADOR DE VEHICULOS DE EMERGENCIA (OVE)",IF(K55=CURSOS!$D$21,"INSTITUCIONES AMIGAS DE LA MUJER Y LA INFANCIA (IAMI)",IF(K55=CURSOS!$D$22,"CUIDADO DEL DONANTE DE ORGANOS",IF(K55=CURSOS!$D$23,"ATENCION A VICTIMAS POR VIOLENCIA DE GENERO",IF(K55=CURSOS!$D$24,"IGUALDAD DE GENERO EN LA SALUD",IF(K55=CURSOS!$D$25,"BRIGADA DE EMERGENCIA",IF(K55=CURSOS!$D$26,"MANEJO DEL DOLOR Y CUIDADOS PALIATIVOS",IF(K55=CURSOS!$D$27,"TOMA DE MUESTRAS Y LABORATORIO POCT",IF(K55=CURSOS!$D$28,"IMPLANTE SUBDERMICO DE DISPOSITIVO INTRAUTERINO",IF(K55=CURSOS!$D$29,"SALUD MENTAL",IF(K55=CURSOS!$D$30,"PRIMEROS AUXILIOS PSICOLOGICOS",IF(K55=CURSOS!$D$31,"ATENCION A VICTIMAS POR CONFLICTO ARMADO",IF(K55=CURSOS!$D$32,"MANIPULACION DE ALIMENTOS Y BPM",IF(K55=CURSOS!$D$33,"ATENCION A PERSONAS CON DISCAPACIDAD",IF(K55=CURSOS!$D$34,"CUIDADO INTEGRAL DEL PACIENTE ADULTO",IF(K55=CURSOS!$D$35,"MANEJO DEFENSIVO",IF(K55=CURSOS!$D$36,"SOPORTE CARDIOVASCULAR AVANZADO NEONATAL",IF(K55=CURSOS!$D$37,"SEGURIDAD DEL PACIENTE")))))))))))))))))))))))))))))))))))</f>
        <v xml:space="preserve">ATENCION A VICTIMAS DE ATAQUE CON AGENTES QUIMICOS </v>
      </c>
      <c r="M55" s="52" t="str">
        <f t="shared" si="3"/>
        <v>Emirgen  Moran Arteaga</v>
      </c>
      <c r="N55" s="52" t="str">
        <f t="shared" si="7"/>
        <v>Emirgen  Moran Arteaga</v>
      </c>
      <c r="O55" s="52" t="str">
        <f t="shared" si="4"/>
        <v>Emirgen  Moran Arteaga-1084846306-QUIMICOS</v>
      </c>
    </row>
    <row r="56" spans="1:15" s="154" customFormat="1" x14ac:dyDescent="0.2">
      <c r="A56" s="149">
        <v>55</v>
      </c>
      <c r="B56" s="17">
        <v>1084846306</v>
      </c>
      <c r="C56" s="149" t="s">
        <v>209</v>
      </c>
      <c r="D56" s="149" t="s">
        <v>452</v>
      </c>
      <c r="E56" s="149" t="s">
        <v>480</v>
      </c>
      <c r="F56" s="149"/>
      <c r="G56" s="150">
        <v>17</v>
      </c>
      <c r="H56" s="14" t="s">
        <v>181</v>
      </c>
      <c r="I56" s="14" t="s">
        <v>86</v>
      </c>
      <c r="J56" s="14" t="s">
        <v>511</v>
      </c>
      <c r="K56" s="15" t="s">
        <v>43</v>
      </c>
      <c r="L56" s="52" t="str">
        <f>IF(K56=CURSOS!$D$3,"DIPLOMADO EN ATENCION PRE-HOSPITALARIA",IF(K56=CURSOS!$D$4,"ACOMPAÑAMIENTO Y MANEJO DEL DUELO",IF(K56=CURSOS!$D$5,"ATENCION A VICTIMAS DE ATAQUE CON AGENTES QUIMICOS ",IF(K56=CURSOS!$D$6,"PRIMEROS AUXILIOS ",IF(K56=CURSOS!$D$7,"DIPLOMADO DE UNIDAD DE CUIDADOS INTENSIVOS (UCI)",IF(K56=CURSOS!$D$8,"MODELO DE ATENCION PARA EVENTOS EMERGENTES EN SALUD MENTAL (CODIGO VERDE)",IF(K56=CURSOS!$D$9,"HUMANIZACION EN EL SERVICIO DE LA SALUD Y BUENAS PRACTICAS EN PACIENTE ",IF(K56=CURSOS!$D$10,"CLINICA DE HERIDAS ",IF(K56=CURSOS!$D$11,"TOMA DE CITOLOGIA CERVICO VAGINAL ",IF(K56=CURSOS!$D$12,"SOPORTE CARDIOVASCULAR AVANZADO (ACLS) ",IF(K56=CURSOS!$D$13,"CAMILLERO ",IF(K56=CURSOS!$D$14,"TOMA DE MUESTRAS Y LABORATORIO ",IF(K56=CURSOS!$D$15,"SOPORTE VITAL BASICO (BLS)",IF(K56=CURSOS!$D$16,"ATENCION A VICTIMAS DE VIOLENCIA SEXUAL ",IF(K56=CURSOS!$D$17,"PROGRAMADO AMPLIADO DE INMUNIZACION (PAI - COVID 19)",IF(K56=CURSOS!$D$18,"ATENCION INTEGRAL EN ENFERMEDADES PREVALENTES EN PRIMERA INFANCIA (AIEPI)",IF(K56=CURSOS!$D$19,"ADMINISTRACION DE MEDICAMENTOS, INYECTOLOGIA  Y CANALIZACION ",IF(K56=CURSOS!$D$20,"OPERADOR DE VEHICULOS DE EMERGENCIA (OVE)",IF(K56=CURSOS!$D$21,"INSTITUCIONES AMIGAS DE LA MUJER Y LA INFANCIA (IAMI)",IF(K56=CURSOS!$D$22,"CUIDADO DEL DONANTE DE ORGANOS",IF(K56=CURSOS!$D$23,"ATENCION A VICTIMAS POR VIOLENCIA DE GENERO",IF(K56=CURSOS!$D$24,"IGUALDAD DE GENERO EN LA SALUD",IF(K56=CURSOS!$D$25,"BRIGADA DE EMERGENCIA",IF(K56=CURSOS!$D$26,"MANEJO DEL DOLOR Y CUIDADOS PALIATIVOS",IF(K56=CURSOS!$D$27,"TOMA DE MUESTRAS Y LABORATORIO POCT",IF(K56=CURSOS!$D$28,"IMPLANTE SUBDERMICO DE DISPOSITIVO INTRAUTERINO",IF(K56=CURSOS!$D$29,"SALUD MENTAL",IF(K56=CURSOS!$D$30,"PRIMEROS AUXILIOS PSICOLOGICOS",IF(K56=CURSOS!$D$31,"ATENCION A VICTIMAS POR CONFLICTO ARMADO",IF(K56=CURSOS!$D$32,"MANIPULACION DE ALIMENTOS Y BPM",IF(K56=CURSOS!$D$33,"ATENCION A PERSONAS CON DISCAPACIDAD",IF(K56=CURSOS!$D$34,"CUIDADO INTEGRAL DEL PACIENTE ADULTO",IF(K56=CURSOS!$D$35,"MANEJO DEFENSIVO",IF(K56=CURSOS!$D$36,"SOPORTE CARDIOVASCULAR AVANZADO NEONATAL",IF(K56=CURSOS!$D$37,"SEGURIDAD DEL PACIENTE")))))))))))))))))))))))))))))))))))</f>
        <v xml:space="preserve">ATENCION A VICTIMAS DE VIOLENCIA SEXUAL </v>
      </c>
      <c r="M56" s="52" t="str">
        <f t="shared" si="3"/>
        <v>Emirgen  Moran Arteaga</v>
      </c>
      <c r="N56" s="52" t="str">
        <f t="shared" si="7"/>
        <v>Emirgen  Moran Arteaga</v>
      </c>
      <c r="O56" s="52" t="str">
        <f t="shared" si="4"/>
        <v>Emirgen  Moran Arteaga-1084846306-VIOLENCIA SEXUAL</v>
      </c>
    </row>
    <row r="57" spans="1:15" s="154" customFormat="1" x14ac:dyDescent="0.2">
      <c r="A57" s="149">
        <v>56</v>
      </c>
      <c r="B57" s="149">
        <v>87717578</v>
      </c>
      <c r="C57" s="149" t="s">
        <v>477</v>
      </c>
      <c r="D57" s="149" t="s">
        <v>120</v>
      </c>
      <c r="E57" s="149" t="s">
        <v>481</v>
      </c>
      <c r="F57" s="149"/>
      <c r="G57" s="150">
        <v>17</v>
      </c>
      <c r="H57" s="14" t="s">
        <v>181</v>
      </c>
      <c r="I57" s="14" t="s">
        <v>86</v>
      </c>
      <c r="J57" s="14" t="s">
        <v>511</v>
      </c>
      <c r="K57" s="15" t="s">
        <v>23</v>
      </c>
      <c r="L57" s="52" t="str">
        <f>IF(K57=CURSOS!$D$3,"DIPLOMADO EN ATENCION PRE-HOSPITALARIA",IF(K57=CURSOS!$D$4,"ACOMPAÑAMIENTO Y MANEJO DEL DUELO",IF(K57=CURSOS!$D$5,"ATENCION A VICTIMAS DE ATAQUE CON AGENTES QUIMICOS ",IF(K57=CURSOS!$D$6,"PRIMEROS AUXILIOS ",IF(K57=CURSOS!$D$7,"DIPLOMADO DE UNIDAD DE CUIDADOS INTENSIVOS (UCI)",IF(K57=CURSOS!$D$8,"MODELO DE ATENCION PARA EVENTOS EMERGENTES EN SALUD MENTAL (CODIGO VERDE)",IF(K57=CURSOS!$D$9,"HUMANIZACION EN EL SERVICIO DE LA SALUD Y BUENAS PRACTICAS EN PACIENTE ",IF(K57=CURSOS!$D$10,"CLINICA DE HERIDAS ",IF(K57=CURSOS!$D$11,"TOMA DE CITOLOGIA CERVICO VAGINAL ",IF(K57=CURSOS!$D$12,"SOPORTE CARDIOVASCULAR AVANZADO (ACLS) ",IF(K57=CURSOS!$D$13,"CAMILLERO ",IF(K57=CURSOS!$D$14,"TOMA DE MUESTRAS Y LABORATORIO ",IF(K57=CURSOS!$D$15,"SOPORTE VITAL BASICO (BLS)",IF(K57=CURSOS!$D$16,"ATENCION A VICTIMAS DE VIOLENCIA SEXUAL ",IF(K57=CURSOS!$D$17,"PROGRAMADO AMPLIADO DE INMUNIZACION (PAI - COVID 19)",IF(K57=CURSOS!$D$18,"ATENCION INTEGRAL EN ENFERMEDADES PREVALENTES EN PRIMERA INFANCIA (AIEPI)",IF(K57=CURSOS!$D$19,"ADMINISTRACION DE MEDICAMENTOS, INYECTOLOGIA  Y CANALIZACION ",IF(K57=CURSOS!$D$20,"OPERADOR DE VEHICULOS DE EMERGENCIA (OVE)",IF(K57=CURSOS!$D$21,"INSTITUCIONES AMIGAS DE LA MUJER Y LA INFANCIA (IAMI)",IF(K57=CURSOS!$D$22,"CUIDADO DEL DONANTE DE ORGANOS",IF(K57=CURSOS!$D$23,"ATENCION A VICTIMAS POR VIOLENCIA DE GENERO",IF(K57=CURSOS!$D$24,"IGUALDAD DE GENERO EN LA SALUD",IF(K57=CURSOS!$D$25,"BRIGADA DE EMERGENCIA",IF(K57=CURSOS!$D$26,"MANEJO DEL DOLOR Y CUIDADOS PALIATIVOS",IF(K57=CURSOS!$D$27,"TOMA DE MUESTRAS Y LABORATORIO POCT",IF(K57=CURSOS!$D$28,"IMPLANTE SUBDERMICO DE DISPOSITIVO INTRAUTERINO",IF(K57=CURSOS!$D$29,"SALUD MENTAL",IF(K57=CURSOS!$D$30,"PRIMEROS AUXILIOS PSICOLOGICOS",IF(K57=CURSOS!$D$31,"ATENCION A VICTIMAS POR CONFLICTO ARMADO",IF(K57=CURSOS!$D$32,"MANIPULACION DE ALIMENTOS Y BPM",IF(K57=CURSOS!$D$33,"ATENCION A PERSONAS CON DISCAPACIDAD",IF(K57=CURSOS!$D$34,"CUIDADO INTEGRAL DEL PACIENTE ADULTO",IF(K57=CURSOS!$D$35,"MANEJO DEFENSIVO",IF(K57=CURSOS!$D$36,"SOPORTE CARDIOVASCULAR AVANZADO NEONATAL",IF(K57=CURSOS!$D$37,"SEGURIDAD DEL PACIENTE")))))))))))))))))))))))))))))))))))</f>
        <v>ACOMPAÑAMIENTO Y MANEJO DEL DUELO</v>
      </c>
      <c r="M57" s="52" t="str">
        <f t="shared" si="3"/>
        <v>Edwin  Villota Coral</v>
      </c>
      <c r="N57" s="52" t="str">
        <f t="shared" si="7"/>
        <v>Edwin  Villota Coral</v>
      </c>
      <c r="O57" s="52" t="str">
        <f t="shared" si="4"/>
        <v>Edwin  Villota Coral-87717578-DUELO</v>
      </c>
    </row>
    <row r="58" spans="1:15" s="154" customFormat="1" x14ac:dyDescent="0.2">
      <c r="A58" s="85">
        <v>57</v>
      </c>
      <c r="B58" s="149">
        <v>87717578</v>
      </c>
      <c r="C58" s="149" t="s">
        <v>477</v>
      </c>
      <c r="D58" s="149" t="s">
        <v>120</v>
      </c>
      <c r="E58" s="149" t="s">
        <v>481</v>
      </c>
      <c r="F58" s="149"/>
      <c r="G58" s="150">
        <v>17</v>
      </c>
      <c r="H58" s="14" t="s">
        <v>181</v>
      </c>
      <c r="I58" s="14" t="s">
        <v>86</v>
      </c>
      <c r="J58" s="14" t="s">
        <v>511</v>
      </c>
      <c r="K58" s="15" t="s">
        <v>25</v>
      </c>
      <c r="L58" s="52" t="str">
        <f>IF(K58=CURSOS!$D$3,"DIPLOMADO EN ATENCION PRE-HOSPITALARIA",IF(K58=CURSOS!$D$4,"ACOMPAÑAMIENTO Y MANEJO DEL DUELO",IF(K58=CURSOS!$D$5,"ATENCION A VICTIMAS DE ATAQUE CON AGENTES QUIMICOS ",IF(K58=CURSOS!$D$6,"PRIMEROS AUXILIOS ",IF(K58=CURSOS!$D$7,"DIPLOMADO DE UNIDAD DE CUIDADOS INTENSIVOS (UCI)",IF(K58=CURSOS!$D$8,"MODELO DE ATENCION PARA EVENTOS EMERGENTES EN SALUD MENTAL (CODIGO VERDE)",IF(K58=CURSOS!$D$9,"HUMANIZACION EN EL SERVICIO DE LA SALUD Y BUENAS PRACTICAS EN PACIENTE ",IF(K58=CURSOS!$D$10,"CLINICA DE HERIDAS ",IF(K58=CURSOS!$D$11,"TOMA DE CITOLOGIA CERVICO VAGINAL ",IF(K58=CURSOS!$D$12,"SOPORTE CARDIOVASCULAR AVANZADO (ACLS) ",IF(K58=CURSOS!$D$13,"CAMILLERO ",IF(K58=CURSOS!$D$14,"TOMA DE MUESTRAS Y LABORATORIO ",IF(K58=CURSOS!$D$15,"SOPORTE VITAL BASICO (BLS)",IF(K58=CURSOS!$D$16,"ATENCION A VICTIMAS DE VIOLENCIA SEXUAL ",IF(K58=CURSOS!$D$17,"PROGRAMADO AMPLIADO DE INMUNIZACION (PAI - COVID 19)",IF(K58=CURSOS!$D$18,"ATENCION INTEGRAL EN ENFERMEDADES PREVALENTES EN PRIMERA INFANCIA (AIEPI)",IF(K58=CURSOS!$D$19,"ADMINISTRACION DE MEDICAMENTOS, INYECTOLOGIA  Y CANALIZACION ",IF(K58=CURSOS!$D$20,"OPERADOR DE VEHICULOS DE EMERGENCIA (OVE)",IF(K58=CURSOS!$D$21,"INSTITUCIONES AMIGAS DE LA MUJER Y LA INFANCIA (IAMI)",IF(K58=CURSOS!$D$22,"CUIDADO DEL DONANTE DE ORGANOS",IF(K58=CURSOS!$D$23,"ATENCION A VICTIMAS POR VIOLENCIA DE GENERO",IF(K58=CURSOS!$D$24,"IGUALDAD DE GENERO EN LA SALUD",IF(K58=CURSOS!$D$25,"BRIGADA DE EMERGENCIA",IF(K58=CURSOS!$D$26,"MANEJO DEL DOLOR Y CUIDADOS PALIATIVOS",IF(K58=CURSOS!$D$27,"TOMA DE MUESTRAS Y LABORATORIO POCT",IF(K58=CURSOS!$D$28,"IMPLANTE SUBDERMICO DE DISPOSITIVO INTRAUTERINO",IF(K58=CURSOS!$D$29,"SALUD MENTAL",IF(K58=CURSOS!$D$30,"PRIMEROS AUXILIOS PSICOLOGICOS",IF(K58=CURSOS!$D$31,"ATENCION A VICTIMAS POR CONFLICTO ARMADO",IF(K58=CURSOS!$D$32,"MANIPULACION DE ALIMENTOS Y BPM",IF(K58=CURSOS!$D$33,"ATENCION A PERSONAS CON DISCAPACIDAD",IF(K58=CURSOS!$D$34,"CUIDADO INTEGRAL DEL PACIENTE ADULTO",IF(K58=CURSOS!$D$35,"MANEJO DEFENSIVO",IF(K58=CURSOS!$D$36,"SOPORTE CARDIOVASCULAR AVANZADO NEONATAL",IF(K58=CURSOS!$D$37,"SEGURIDAD DEL PACIENTE")))))))))))))))))))))))))))))))))))</f>
        <v xml:space="preserve">ATENCION A VICTIMAS DE ATAQUE CON AGENTES QUIMICOS </v>
      </c>
      <c r="M58" s="52" t="str">
        <f t="shared" si="3"/>
        <v>Edwin  Villota Coral</v>
      </c>
      <c r="N58" s="52" t="str">
        <f t="shared" ref="N58:N121" si="8">+PROPER(M58)</f>
        <v>Edwin  Villota Coral</v>
      </c>
      <c r="O58" s="52" t="str">
        <f t="shared" si="4"/>
        <v>Edwin  Villota Coral-87717578-QUIMICOS</v>
      </c>
    </row>
    <row r="59" spans="1:15" s="154" customFormat="1" x14ac:dyDescent="0.2">
      <c r="A59" s="85">
        <v>58</v>
      </c>
      <c r="B59" s="149">
        <v>87717578</v>
      </c>
      <c r="C59" s="149" t="s">
        <v>477</v>
      </c>
      <c r="D59" s="149" t="s">
        <v>120</v>
      </c>
      <c r="E59" s="149" t="s">
        <v>481</v>
      </c>
      <c r="F59" s="149"/>
      <c r="G59" s="150">
        <v>17</v>
      </c>
      <c r="H59" s="14" t="s">
        <v>181</v>
      </c>
      <c r="I59" s="14" t="s">
        <v>86</v>
      </c>
      <c r="J59" s="14" t="s">
        <v>511</v>
      </c>
      <c r="K59" s="15" t="s">
        <v>43</v>
      </c>
      <c r="L59" s="52" t="str">
        <f>IF(K59=CURSOS!$D$3,"DIPLOMADO EN ATENCION PRE-HOSPITALARIA",IF(K59=CURSOS!$D$4,"ACOMPAÑAMIENTO Y MANEJO DEL DUELO",IF(K59=CURSOS!$D$5,"ATENCION A VICTIMAS DE ATAQUE CON AGENTES QUIMICOS ",IF(K59=CURSOS!$D$6,"PRIMEROS AUXILIOS ",IF(K59=CURSOS!$D$7,"DIPLOMADO DE UNIDAD DE CUIDADOS INTENSIVOS (UCI)",IF(K59=CURSOS!$D$8,"MODELO DE ATENCION PARA EVENTOS EMERGENTES EN SALUD MENTAL (CODIGO VERDE)",IF(K59=CURSOS!$D$9,"HUMANIZACION EN EL SERVICIO DE LA SALUD Y BUENAS PRACTICAS EN PACIENTE ",IF(K59=CURSOS!$D$10,"CLINICA DE HERIDAS ",IF(K59=CURSOS!$D$11,"TOMA DE CITOLOGIA CERVICO VAGINAL ",IF(K59=CURSOS!$D$12,"SOPORTE CARDIOVASCULAR AVANZADO (ACLS) ",IF(K59=CURSOS!$D$13,"CAMILLERO ",IF(K59=CURSOS!$D$14,"TOMA DE MUESTRAS Y LABORATORIO ",IF(K59=CURSOS!$D$15,"SOPORTE VITAL BASICO (BLS)",IF(K59=CURSOS!$D$16,"ATENCION A VICTIMAS DE VIOLENCIA SEXUAL ",IF(K59=CURSOS!$D$17,"PROGRAMADO AMPLIADO DE INMUNIZACION (PAI - COVID 19)",IF(K59=CURSOS!$D$18,"ATENCION INTEGRAL EN ENFERMEDADES PREVALENTES EN PRIMERA INFANCIA (AIEPI)",IF(K59=CURSOS!$D$19,"ADMINISTRACION DE MEDICAMENTOS, INYECTOLOGIA  Y CANALIZACION ",IF(K59=CURSOS!$D$20,"OPERADOR DE VEHICULOS DE EMERGENCIA (OVE)",IF(K59=CURSOS!$D$21,"INSTITUCIONES AMIGAS DE LA MUJER Y LA INFANCIA (IAMI)",IF(K59=CURSOS!$D$22,"CUIDADO DEL DONANTE DE ORGANOS",IF(K59=CURSOS!$D$23,"ATENCION A VICTIMAS POR VIOLENCIA DE GENERO",IF(K59=CURSOS!$D$24,"IGUALDAD DE GENERO EN LA SALUD",IF(K59=CURSOS!$D$25,"BRIGADA DE EMERGENCIA",IF(K59=CURSOS!$D$26,"MANEJO DEL DOLOR Y CUIDADOS PALIATIVOS",IF(K59=CURSOS!$D$27,"TOMA DE MUESTRAS Y LABORATORIO POCT",IF(K59=CURSOS!$D$28,"IMPLANTE SUBDERMICO DE DISPOSITIVO INTRAUTERINO",IF(K59=CURSOS!$D$29,"SALUD MENTAL",IF(K59=CURSOS!$D$30,"PRIMEROS AUXILIOS PSICOLOGICOS",IF(K59=CURSOS!$D$31,"ATENCION A VICTIMAS POR CONFLICTO ARMADO",IF(K59=CURSOS!$D$32,"MANIPULACION DE ALIMENTOS Y BPM",IF(K59=CURSOS!$D$33,"ATENCION A PERSONAS CON DISCAPACIDAD",IF(K59=CURSOS!$D$34,"CUIDADO INTEGRAL DEL PACIENTE ADULTO",IF(K59=CURSOS!$D$35,"MANEJO DEFENSIVO",IF(K59=CURSOS!$D$36,"SOPORTE CARDIOVASCULAR AVANZADO NEONATAL",IF(K59=CURSOS!$D$37,"SEGURIDAD DEL PACIENTE")))))))))))))))))))))))))))))))))))</f>
        <v xml:space="preserve">ATENCION A VICTIMAS DE VIOLENCIA SEXUAL </v>
      </c>
      <c r="M59" s="52" t="str">
        <f t="shared" si="3"/>
        <v>Edwin  Villota Coral</v>
      </c>
      <c r="N59" s="52" t="str">
        <f t="shared" si="8"/>
        <v>Edwin  Villota Coral</v>
      </c>
      <c r="O59" s="52" t="str">
        <f t="shared" si="4"/>
        <v>Edwin  Villota Coral-87717578-VIOLENCIA SEXUAL</v>
      </c>
    </row>
    <row r="60" spans="1:15" s="154" customFormat="1" x14ac:dyDescent="0.2">
      <c r="A60" s="149">
        <v>59</v>
      </c>
      <c r="B60" s="149">
        <v>27160173</v>
      </c>
      <c r="C60" s="149" t="s">
        <v>123</v>
      </c>
      <c r="D60" s="149" t="s">
        <v>453</v>
      </c>
      <c r="E60" s="149" t="s">
        <v>482</v>
      </c>
      <c r="F60" s="149" t="s">
        <v>483</v>
      </c>
      <c r="G60" s="150">
        <v>17</v>
      </c>
      <c r="H60" s="14" t="s">
        <v>181</v>
      </c>
      <c r="I60" s="14" t="s">
        <v>86</v>
      </c>
      <c r="J60" s="14" t="s">
        <v>511</v>
      </c>
      <c r="K60" s="15" t="s">
        <v>23</v>
      </c>
      <c r="L60" s="52" t="str">
        <f>IF(K60=CURSOS!$D$3,"DIPLOMADO EN ATENCION PRE-HOSPITALARIA",IF(K60=CURSOS!$D$4,"ACOMPAÑAMIENTO Y MANEJO DEL DUELO",IF(K60=CURSOS!$D$5,"ATENCION A VICTIMAS DE ATAQUE CON AGENTES QUIMICOS ",IF(K60=CURSOS!$D$6,"PRIMEROS AUXILIOS ",IF(K60=CURSOS!$D$7,"DIPLOMADO DE UNIDAD DE CUIDADOS INTENSIVOS (UCI)",IF(K60=CURSOS!$D$8,"MODELO DE ATENCION PARA EVENTOS EMERGENTES EN SALUD MENTAL (CODIGO VERDE)",IF(K60=CURSOS!$D$9,"HUMANIZACION EN EL SERVICIO DE LA SALUD Y BUENAS PRACTICAS EN PACIENTE ",IF(K60=CURSOS!$D$10,"CLINICA DE HERIDAS ",IF(K60=CURSOS!$D$11,"TOMA DE CITOLOGIA CERVICO VAGINAL ",IF(K60=CURSOS!$D$12,"SOPORTE CARDIOVASCULAR AVANZADO (ACLS) ",IF(K60=CURSOS!$D$13,"CAMILLERO ",IF(K60=CURSOS!$D$14,"TOMA DE MUESTRAS Y LABORATORIO ",IF(K60=CURSOS!$D$15,"SOPORTE VITAL BASICO (BLS)",IF(K60=CURSOS!$D$16,"ATENCION A VICTIMAS DE VIOLENCIA SEXUAL ",IF(K60=CURSOS!$D$17,"PROGRAMADO AMPLIADO DE INMUNIZACION (PAI - COVID 19)",IF(K60=CURSOS!$D$18,"ATENCION INTEGRAL EN ENFERMEDADES PREVALENTES EN PRIMERA INFANCIA (AIEPI)",IF(K60=CURSOS!$D$19,"ADMINISTRACION DE MEDICAMENTOS, INYECTOLOGIA  Y CANALIZACION ",IF(K60=CURSOS!$D$20,"OPERADOR DE VEHICULOS DE EMERGENCIA (OVE)",IF(K60=CURSOS!$D$21,"INSTITUCIONES AMIGAS DE LA MUJER Y LA INFANCIA (IAMI)",IF(K60=CURSOS!$D$22,"CUIDADO DEL DONANTE DE ORGANOS",IF(K60=CURSOS!$D$23,"ATENCION A VICTIMAS POR VIOLENCIA DE GENERO",IF(K60=CURSOS!$D$24,"IGUALDAD DE GENERO EN LA SALUD",IF(K60=CURSOS!$D$25,"BRIGADA DE EMERGENCIA",IF(K60=CURSOS!$D$26,"MANEJO DEL DOLOR Y CUIDADOS PALIATIVOS",IF(K60=CURSOS!$D$27,"TOMA DE MUESTRAS Y LABORATORIO POCT",IF(K60=CURSOS!$D$28,"IMPLANTE SUBDERMICO DE DISPOSITIVO INTRAUTERINO",IF(K60=CURSOS!$D$29,"SALUD MENTAL",IF(K60=CURSOS!$D$30,"PRIMEROS AUXILIOS PSICOLOGICOS",IF(K60=CURSOS!$D$31,"ATENCION A VICTIMAS POR CONFLICTO ARMADO",IF(K60=CURSOS!$D$32,"MANIPULACION DE ALIMENTOS Y BPM",IF(K60=CURSOS!$D$33,"ATENCION A PERSONAS CON DISCAPACIDAD",IF(K60=CURSOS!$D$34,"CUIDADO INTEGRAL DEL PACIENTE ADULTO",IF(K60=CURSOS!$D$35,"MANEJO DEFENSIVO",IF(K60=CURSOS!$D$36,"SOPORTE CARDIOVASCULAR AVANZADO NEONATAL",IF(K60=CURSOS!$D$37,"SEGURIDAD DEL PACIENTE")))))))))))))))))))))))))))))))))))</f>
        <v>ACOMPAÑAMIENTO Y MANEJO DEL DUELO</v>
      </c>
      <c r="M60" s="52" t="str">
        <f t="shared" si="3"/>
        <v>Custodia Jael Ibarra Valenzuela</v>
      </c>
      <c r="N60" s="52" t="str">
        <f t="shared" si="8"/>
        <v>Custodia Jael Ibarra Valenzuela</v>
      </c>
      <c r="O60" s="52" t="str">
        <f t="shared" si="4"/>
        <v>Custodia Jael Ibarra Valenzuela-27160173-DUELO</v>
      </c>
    </row>
    <row r="61" spans="1:15" s="154" customFormat="1" x14ac:dyDescent="0.2">
      <c r="A61" s="149">
        <v>60</v>
      </c>
      <c r="B61" s="149">
        <v>27160173</v>
      </c>
      <c r="C61" s="149" t="s">
        <v>123</v>
      </c>
      <c r="D61" s="149" t="s">
        <v>453</v>
      </c>
      <c r="E61" s="149" t="s">
        <v>482</v>
      </c>
      <c r="F61" s="149" t="s">
        <v>483</v>
      </c>
      <c r="G61" s="150">
        <v>17</v>
      </c>
      <c r="H61" s="14" t="s">
        <v>181</v>
      </c>
      <c r="I61" s="14" t="s">
        <v>86</v>
      </c>
      <c r="J61" s="14" t="s">
        <v>511</v>
      </c>
      <c r="K61" s="15" t="s">
        <v>25</v>
      </c>
      <c r="L61" s="52" t="str">
        <f>IF(K61=CURSOS!$D$3,"DIPLOMADO EN ATENCION PRE-HOSPITALARIA",IF(K61=CURSOS!$D$4,"ACOMPAÑAMIENTO Y MANEJO DEL DUELO",IF(K61=CURSOS!$D$5,"ATENCION A VICTIMAS DE ATAQUE CON AGENTES QUIMICOS ",IF(K61=CURSOS!$D$6,"PRIMEROS AUXILIOS ",IF(K61=CURSOS!$D$7,"DIPLOMADO DE UNIDAD DE CUIDADOS INTENSIVOS (UCI)",IF(K61=CURSOS!$D$8,"MODELO DE ATENCION PARA EVENTOS EMERGENTES EN SALUD MENTAL (CODIGO VERDE)",IF(K61=CURSOS!$D$9,"HUMANIZACION EN EL SERVICIO DE LA SALUD Y BUENAS PRACTICAS EN PACIENTE ",IF(K61=CURSOS!$D$10,"CLINICA DE HERIDAS ",IF(K61=CURSOS!$D$11,"TOMA DE CITOLOGIA CERVICO VAGINAL ",IF(K61=CURSOS!$D$12,"SOPORTE CARDIOVASCULAR AVANZADO (ACLS) ",IF(K61=CURSOS!$D$13,"CAMILLERO ",IF(K61=CURSOS!$D$14,"TOMA DE MUESTRAS Y LABORATORIO ",IF(K61=CURSOS!$D$15,"SOPORTE VITAL BASICO (BLS)",IF(K61=CURSOS!$D$16,"ATENCION A VICTIMAS DE VIOLENCIA SEXUAL ",IF(K61=CURSOS!$D$17,"PROGRAMADO AMPLIADO DE INMUNIZACION (PAI - COVID 19)",IF(K61=CURSOS!$D$18,"ATENCION INTEGRAL EN ENFERMEDADES PREVALENTES EN PRIMERA INFANCIA (AIEPI)",IF(K61=CURSOS!$D$19,"ADMINISTRACION DE MEDICAMENTOS, INYECTOLOGIA  Y CANALIZACION ",IF(K61=CURSOS!$D$20,"OPERADOR DE VEHICULOS DE EMERGENCIA (OVE)",IF(K61=CURSOS!$D$21,"INSTITUCIONES AMIGAS DE LA MUJER Y LA INFANCIA (IAMI)",IF(K61=CURSOS!$D$22,"CUIDADO DEL DONANTE DE ORGANOS",IF(K61=CURSOS!$D$23,"ATENCION A VICTIMAS POR VIOLENCIA DE GENERO",IF(K61=CURSOS!$D$24,"IGUALDAD DE GENERO EN LA SALUD",IF(K61=CURSOS!$D$25,"BRIGADA DE EMERGENCIA",IF(K61=CURSOS!$D$26,"MANEJO DEL DOLOR Y CUIDADOS PALIATIVOS",IF(K61=CURSOS!$D$27,"TOMA DE MUESTRAS Y LABORATORIO POCT",IF(K61=CURSOS!$D$28,"IMPLANTE SUBDERMICO DE DISPOSITIVO INTRAUTERINO",IF(K61=CURSOS!$D$29,"SALUD MENTAL",IF(K61=CURSOS!$D$30,"PRIMEROS AUXILIOS PSICOLOGICOS",IF(K61=CURSOS!$D$31,"ATENCION A VICTIMAS POR CONFLICTO ARMADO",IF(K61=CURSOS!$D$32,"MANIPULACION DE ALIMENTOS Y BPM",IF(K61=CURSOS!$D$33,"ATENCION A PERSONAS CON DISCAPACIDAD",IF(K61=CURSOS!$D$34,"CUIDADO INTEGRAL DEL PACIENTE ADULTO",IF(K61=CURSOS!$D$35,"MANEJO DEFENSIVO",IF(K61=CURSOS!$D$36,"SOPORTE CARDIOVASCULAR AVANZADO NEONATAL",IF(K61=CURSOS!$D$37,"SEGURIDAD DEL PACIENTE")))))))))))))))))))))))))))))))))))</f>
        <v xml:space="preserve">ATENCION A VICTIMAS DE ATAQUE CON AGENTES QUIMICOS </v>
      </c>
      <c r="M61" s="52" t="str">
        <f t="shared" si="3"/>
        <v>Custodia Jael Ibarra Valenzuela</v>
      </c>
      <c r="N61" s="52" t="str">
        <f t="shared" si="8"/>
        <v>Custodia Jael Ibarra Valenzuela</v>
      </c>
      <c r="O61" s="52" t="str">
        <f t="shared" si="4"/>
        <v>Custodia Jael Ibarra Valenzuela-27160173-QUIMICOS</v>
      </c>
    </row>
    <row r="62" spans="1:15" s="154" customFormat="1" x14ac:dyDescent="0.2">
      <c r="A62" s="149">
        <v>61</v>
      </c>
      <c r="B62" s="149">
        <v>27160173</v>
      </c>
      <c r="C62" s="149" t="s">
        <v>123</v>
      </c>
      <c r="D62" s="149" t="s">
        <v>453</v>
      </c>
      <c r="E62" s="149" t="s">
        <v>482</v>
      </c>
      <c r="F62" s="149" t="s">
        <v>483</v>
      </c>
      <c r="G62" s="150">
        <v>17</v>
      </c>
      <c r="H62" s="14" t="s">
        <v>181</v>
      </c>
      <c r="I62" s="14" t="s">
        <v>86</v>
      </c>
      <c r="J62" s="14" t="s">
        <v>511</v>
      </c>
      <c r="K62" s="15" t="s">
        <v>43</v>
      </c>
      <c r="L62" s="52" t="str">
        <f>IF(K62=CURSOS!$D$3,"DIPLOMADO EN ATENCION PRE-HOSPITALARIA",IF(K62=CURSOS!$D$4,"ACOMPAÑAMIENTO Y MANEJO DEL DUELO",IF(K62=CURSOS!$D$5,"ATENCION A VICTIMAS DE ATAQUE CON AGENTES QUIMICOS ",IF(K62=CURSOS!$D$6,"PRIMEROS AUXILIOS ",IF(K62=CURSOS!$D$7,"DIPLOMADO DE UNIDAD DE CUIDADOS INTENSIVOS (UCI)",IF(K62=CURSOS!$D$8,"MODELO DE ATENCION PARA EVENTOS EMERGENTES EN SALUD MENTAL (CODIGO VERDE)",IF(K62=CURSOS!$D$9,"HUMANIZACION EN EL SERVICIO DE LA SALUD Y BUENAS PRACTICAS EN PACIENTE ",IF(K62=CURSOS!$D$10,"CLINICA DE HERIDAS ",IF(K62=CURSOS!$D$11,"TOMA DE CITOLOGIA CERVICO VAGINAL ",IF(K62=CURSOS!$D$12,"SOPORTE CARDIOVASCULAR AVANZADO (ACLS) ",IF(K62=CURSOS!$D$13,"CAMILLERO ",IF(K62=CURSOS!$D$14,"TOMA DE MUESTRAS Y LABORATORIO ",IF(K62=CURSOS!$D$15,"SOPORTE VITAL BASICO (BLS)",IF(K62=CURSOS!$D$16,"ATENCION A VICTIMAS DE VIOLENCIA SEXUAL ",IF(K62=CURSOS!$D$17,"PROGRAMADO AMPLIADO DE INMUNIZACION (PAI - COVID 19)",IF(K62=CURSOS!$D$18,"ATENCION INTEGRAL EN ENFERMEDADES PREVALENTES EN PRIMERA INFANCIA (AIEPI)",IF(K62=CURSOS!$D$19,"ADMINISTRACION DE MEDICAMENTOS, INYECTOLOGIA  Y CANALIZACION ",IF(K62=CURSOS!$D$20,"OPERADOR DE VEHICULOS DE EMERGENCIA (OVE)",IF(K62=CURSOS!$D$21,"INSTITUCIONES AMIGAS DE LA MUJER Y LA INFANCIA (IAMI)",IF(K62=CURSOS!$D$22,"CUIDADO DEL DONANTE DE ORGANOS",IF(K62=CURSOS!$D$23,"ATENCION A VICTIMAS POR VIOLENCIA DE GENERO",IF(K62=CURSOS!$D$24,"IGUALDAD DE GENERO EN LA SALUD",IF(K62=CURSOS!$D$25,"BRIGADA DE EMERGENCIA",IF(K62=CURSOS!$D$26,"MANEJO DEL DOLOR Y CUIDADOS PALIATIVOS",IF(K62=CURSOS!$D$27,"TOMA DE MUESTRAS Y LABORATORIO POCT",IF(K62=CURSOS!$D$28,"IMPLANTE SUBDERMICO DE DISPOSITIVO INTRAUTERINO",IF(K62=CURSOS!$D$29,"SALUD MENTAL",IF(K62=CURSOS!$D$30,"PRIMEROS AUXILIOS PSICOLOGICOS",IF(K62=CURSOS!$D$31,"ATENCION A VICTIMAS POR CONFLICTO ARMADO",IF(K62=CURSOS!$D$32,"MANIPULACION DE ALIMENTOS Y BPM",IF(K62=CURSOS!$D$33,"ATENCION A PERSONAS CON DISCAPACIDAD",IF(K62=CURSOS!$D$34,"CUIDADO INTEGRAL DEL PACIENTE ADULTO",IF(K62=CURSOS!$D$35,"MANEJO DEFENSIVO",IF(K62=CURSOS!$D$36,"SOPORTE CARDIOVASCULAR AVANZADO NEONATAL",IF(K62=CURSOS!$D$37,"SEGURIDAD DEL PACIENTE")))))))))))))))))))))))))))))))))))</f>
        <v xml:space="preserve">ATENCION A VICTIMAS DE VIOLENCIA SEXUAL </v>
      </c>
      <c r="M62" s="52" t="str">
        <f t="shared" si="3"/>
        <v>Custodia Jael Ibarra Valenzuela</v>
      </c>
      <c r="N62" s="52" t="str">
        <f t="shared" si="8"/>
        <v>Custodia Jael Ibarra Valenzuela</v>
      </c>
      <c r="O62" s="52" t="str">
        <f t="shared" si="4"/>
        <v>Custodia Jael Ibarra Valenzuela-27160173-VIOLENCIA SEXUAL</v>
      </c>
    </row>
    <row r="63" spans="1:15" s="154" customFormat="1" x14ac:dyDescent="0.2">
      <c r="A63" s="149">
        <v>62</v>
      </c>
      <c r="B63" s="149">
        <v>1004490675</v>
      </c>
      <c r="C63" s="149" t="s">
        <v>454</v>
      </c>
      <c r="D63" s="149" t="s">
        <v>119</v>
      </c>
      <c r="E63" s="149" t="s">
        <v>381</v>
      </c>
      <c r="F63" s="149" t="s">
        <v>484</v>
      </c>
      <c r="G63" s="101">
        <v>17</v>
      </c>
      <c r="H63" s="14" t="s">
        <v>181</v>
      </c>
      <c r="I63" s="14" t="s">
        <v>86</v>
      </c>
      <c r="J63" s="14" t="s">
        <v>511</v>
      </c>
      <c r="K63" s="15" t="s">
        <v>23</v>
      </c>
      <c r="L63" s="52" t="str">
        <f>IF(K63=CURSOS!$D$3,"DIPLOMADO EN ATENCION PRE-HOSPITALARIA",IF(K63=CURSOS!$D$4,"ACOMPAÑAMIENTO Y MANEJO DEL DUELO",IF(K63=CURSOS!$D$5,"ATENCION A VICTIMAS DE ATAQUE CON AGENTES QUIMICOS ",IF(K63=CURSOS!$D$6,"PRIMEROS AUXILIOS ",IF(K63=CURSOS!$D$7,"DIPLOMADO DE UNIDAD DE CUIDADOS INTENSIVOS (UCI)",IF(K63=CURSOS!$D$8,"MODELO DE ATENCION PARA EVENTOS EMERGENTES EN SALUD MENTAL (CODIGO VERDE)",IF(K63=CURSOS!$D$9,"HUMANIZACION EN EL SERVICIO DE LA SALUD Y BUENAS PRACTICAS EN PACIENTE ",IF(K63=CURSOS!$D$10,"CLINICA DE HERIDAS ",IF(K63=CURSOS!$D$11,"TOMA DE CITOLOGIA CERVICO VAGINAL ",IF(K63=CURSOS!$D$12,"SOPORTE CARDIOVASCULAR AVANZADO (ACLS) ",IF(K63=CURSOS!$D$13,"CAMILLERO ",IF(K63=CURSOS!$D$14,"TOMA DE MUESTRAS Y LABORATORIO ",IF(K63=CURSOS!$D$15,"SOPORTE VITAL BASICO (BLS)",IF(K63=CURSOS!$D$16,"ATENCION A VICTIMAS DE VIOLENCIA SEXUAL ",IF(K63=CURSOS!$D$17,"PROGRAMADO AMPLIADO DE INMUNIZACION (PAI - COVID 19)",IF(K63=CURSOS!$D$18,"ATENCION INTEGRAL EN ENFERMEDADES PREVALENTES EN PRIMERA INFANCIA (AIEPI)",IF(K63=CURSOS!$D$19,"ADMINISTRACION DE MEDICAMENTOS, INYECTOLOGIA  Y CANALIZACION ",IF(K63=CURSOS!$D$20,"OPERADOR DE VEHICULOS DE EMERGENCIA (OVE)",IF(K63=CURSOS!$D$21,"INSTITUCIONES AMIGAS DE LA MUJER Y LA INFANCIA (IAMI)",IF(K63=CURSOS!$D$22,"CUIDADO DEL DONANTE DE ORGANOS",IF(K63=CURSOS!$D$23,"ATENCION A VICTIMAS POR VIOLENCIA DE GENERO",IF(K63=CURSOS!$D$24,"IGUALDAD DE GENERO EN LA SALUD",IF(K63=CURSOS!$D$25,"BRIGADA DE EMERGENCIA",IF(K63=CURSOS!$D$26,"MANEJO DEL DOLOR Y CUIDADOS PALIATIVOS",IF(K63=CURSOS!$D$27,"TOMA DE MUESTRAS Y LABORATORIO POCT",IF(K63=CURSOS!$D$28,"IMPLANTE SUBDERMICO DE DISPOSITIVO INTRAUTERINO",IF(K63=CURSOS!$D$29,"SALUD MENTAL",IF(K63=CURSOS!$D$30,"PRIMEROS AUXILIOS PSICOLOGICOS",IF(K63=CURSOS!$D$31,"ATENCION A VICTIMAS POR CONFLICTO ARMADO",IF(K63=CURSOS!$D$32,"MANIPULACION DE ALIMENTOS Y BPM",IF(K63=CURSOS!$D$33,"ATENCION A PERSONAS CON DISCAPACIDAD",IF(K63=CURSOS!$D$34,"CUIDADO INTEGRAL DEL PACIENTE ADULTO",IF(K63=CURSOS!$D$35,"MANEJO DEFENSIVO",IF(K63=CURSOS!$D$36,"SOPORTE CARDIOVASCULAR AVANZADO NEONATAL",IF(K63=CURSOS!$D$37,"SEGURIDAD DEL PACIENTE")))))))))))))))))))))))))))))))))))</f>
        <v>ACOMPAÑAMIENTO Y MANEJO DEL DUELO</v>
      </c>
      <c r="M63" s="52" t="str">
        <f t="shared" si="3"/>
        <v>Angie Mabell Obando Ceballos</v>
      </c>
      <c r="N63" s="52" t="str">
        <f t="shared" si="8"/>
        <v>Angie Mabell Obando Ceballos</v>
      </c>
      <c r="O63" s="52" t="str">
        <f t="shared" si="4"/>
        <v>Angie Mabell Obando Ceballos-1004490675-DUELO</v>
      </c>
    </row>
    <row r="64" spans="1:15" s="154" customFormat="1" x14ac:dyDescent="0.2">
      <c r="A64" s="149">
        <v>63</v>
      </c>
      <c r="B64" s="149">
        <v>1004490675</v>
      </c>
      <c r="C64" s="149" t="s">
        <v>454</v>
      </c>
      <c r="D64" s="149" t="s">
        <v>119</v>
      </c>
      <c r="E64" s="149" t="s">
        <v>381</v>
      </c>
      <c r="F64" s="149" t="s">
        <v>484</v>
      </c>
      <c r="G64" s="101">
        <v>17</v>
      </c>
      <c r="H64" s="14" t="s">
        <v>181</v>
      </c>
      <c r="I64" s="14" t="s">
        <v>86</v>
      </c>
      <c r="J64" s="14" t="s">
        <v>511</v>
      </c>
      <c r="K64" s="15" t="s">
        <v>25</v>
      </c>
      <c r="L64" s="52" t="str">
        <f>IF(K64=CURSOS!$D$3,"DIPLOMADO EN ATENCION PRE-HOSPITALARIA",IF(K64=CURSOS!$D$4,"ACOMPAÑAMIENTO Y MANEJO DEL DUELO",IF(K64=CURSOS!$D$5,"ATENCION A VICTIMAS DE ATAQUE CON AGENTES QUIMICOS ",IF(K64=CURSOS!$D$6,"PRIMEROS AUXILIOS ",IF(K64=CURSOS!$D$7,"DIPLOMADO DE UNIDAD DE CUIDADOS INTENSIVOS (UCI)",IF(K64=CURSOS!$D$8,"MODELO DE ATENCION PARA EVENTOS EMERGENTES EN SALUD MENTAL (CODIGO VERDE)",IF(K64=CURSOS!$D$9,"HUMANIZACION EN EL SERVICIO DE LA SALUD Y BUENAS PRACTICAS EN PACIENTE ",IF(K64=CURSOS!$D$10,"CLINICA DE HERIDAS ",IF(K64=CURSOS!$D$11,"TOMA DE CITOLOGIA CERVICO VAGINAL ",IF(K64=CURSOS!$D$12,"SOPORTE CARDIOVASCULAR AVANZADO (ACLS) ",IF(K64=CURSOS!$D$13,"CAMILLERO ",IF(K64=CURSOS!$D$14,"TOMA DE MUESTRAS Y LABORATORIO ",IF(K64=CURSOS!$D$15,"SOPORTE VITAL BASICO (BLS)",IF(K64=CURSOS!$D$16,"ATENCION A VICTIMAS DE VIOLENCIA SEXUAL ",IF(K64=CURSOS!$D$17,"PROGRAMADO AMPLIADO DE INMUNIZACION (PAI - COVID 19)",IF(K64=CURSOS!$D$18,"ATENCION INTEGRAL EN ENFERMEDADES PREVALENTES EN PRIMERA INFANCIA (AIEPI)",IF(K64=CURSOS!$D$19,"ADMINISTRACION DE MEDICAMENTOS, INYECTOLOGIA  Y CANALIZACION ",IF(K64=CURSOS!$D$20,"OPERADOR DE VEHICULOS DE EMERGENCIA (OVE)",IF(K64=CURSOS!$D$21,"INSTITUCIONES AMIGAS DE LA MUJER Y LA INFANCIA (IAMI)",IF(K64=CURSOS!$D$22,"CUIDADO DEL DONANTE DE ORGANOS",IF(K64=CURSOS!$D$23,"ATENCION A VICTIMAS POR VIOLENCIA DE GENERO",IF(K64=CURSOS!$D$24,"IGUALDAD DE GENERO EN LA SALUD",IF(K64=CURSOS!$D$25,"BRIGADA DE EMERGENCIA",IF(K64=CURSOS!$D$26,"MANEJO DEL DOLOR Y CUIDADOS PALIATIVOS",IF(K64=CURSOS!$D$27,"TOMA DE MUESTRAS Y LABORATORIO POCT",IF(K64=CURSOS!$D$28,"IMPLANTE SUBDERMICO DE DISPOSITIVO INTRAUTERINO",IF(K64=CURSOS!$D$29,"SALUD MENTAL",IF(K64=CURSOS!$D$30,"PRIMEROS AUXILIOS PSICOLOGICOS",IF(K64=CURSOS!$D$31,"ATENCION A VICTIMAS POR CONFLICTO ARMADO",IF(K64=CURSOS!$D$32,"MANIPULACION DE ALIMENTOS Y BPM",IF(K64=CURSOS!$D$33,"ATENCION A PERSONAS CON DISCAPACIDAD",IF(K64=CURSOS!$D$34,"CUIDADO INTEGRAL DEL PACIENTE ADULTO",IF(K64=CURSOS!$D$35,"MANEJO DEFENSIVO",IF(K64=CURSOS!$D$36,"SOPORTE CARDIOVASCULAR AVANZADO NEONATAL",IF(K64=CURSOS!$D$37,"SEGURIDAD DEL PACIENTE")))))))))))))))))))))))))))))))))))</f>
        <v xml:space="preserve">ATENCION A VICTIMAS DE ATAQUE CON AGENTES QUIMICOS </v>
      </c>
      <c r="M64" s="52" t="str">
        <f t="shared" si="3"/>
        <v>Angie Mabell Obando Ceballos</v>
      </c>
      <c r="N64" s="52" t="str">
        <f t="shared" si="8"/>
        <v>Angie Mabell Obando Ceballos</v>
      </c>
      <c r="O64" s="52" t="str">
        <f t="shared" si="4"/>
        <v>Angie Mabell Obando Ceballos-1004490675-QUIMICOS</v>
      </c>
    </row>
    <row r="65" spans="1:15" s="154" customFormat="1" x14ac:dyDescent="0.2">
      <c r="A65" s="149">
        <v>64</v>
      </c>
      <c r="B65" s="149">
        <v>1004490675</v>
      </c>
      <c r="C65" s="149" t="s">
        <v>454</v>
      </c>
      <c r="D65" s="149" t="s">
        <v>119</v>
      </c>
      <c r="E65" s="149" t="s">
        <v>381</v>
      </c>
      <c r="F65" s="149" t="s">
        <v>484</v>
      </c>
      <c r="G65" s="101">
        <v>17</v>
      </c>
      <c r="H65" s="14" t="s">
        <v>181</v>
      </c>
      <c r="I65" s="14" t="s">
        <v>86</v>
      </c>
      <c r="J65" s="14" t="s">
        <v>511</v>
      </c>
      <c r="K65" s="15" t="s">
        <v>43</v>
      </c>
      <c r="L65" s="52" t="str">
        <f>IF(K65=CURSOS!$D$3,"DIPLOMADO EN ATENCION PRE-HOSPITALARIA",IF(K65=CURSOS!$D$4,"ACOMPAÑAMIENTO Y MANEJO DEL DUELO",IF(K65=CURSOS!$D$5,"ATENCION A VICTIMAS DE ATAQUE CON AGENTES QUIMICOS ",IF(K65=CURSOS!$D$6,"PRIMEROS AUXILIOS ",IF(K65=CURSOS!$D$7,"DIPLOMADO DE UNIDAD DE CUIDADOS INTENSIVOS (UCI)",IF(K65=CURSOS!$D$8,"MODELO DE ATENCION PARA EVENTOS EMERGENTES EN SALUD MENTAL (CODIGO VERDE)",IF(K65=CURSOS!$D$9,"HUMANIZACION EN EL SERVICIO DE LA SALUD Y BUENAS PRACTICAS EN PACIENTE ",IF(K65=CURSOS!$D$10,"CLINICA DE HERIDAS ",IF(K65=CURSOS!$D$11,"TOMA DE CITOLOGIA CERVICO VAGINAL ",IF(K65=CURSOS!$D$12,"SOPORTE CARDIOVASCULAR AVANZADO (ACLS) ",IF(K65=CURSOS!$D$13,"CAMILLERO ",IF(K65=CURSOS!$D$14,"TOMA DE MUESTRAS Y LABORATORIO ",IF(K65=CURSOS!$D$15,"SOPORTE VITAL BASICO (BLS)",IF(K65=CURSOS!$D$16,"ATENCION A VICTIMAS DE VIOLENCIA SEXUAL ",IF(K65=CURSOS!$D$17,"PROGRAMADO AMPLIADO DE INMUNIZACION (PAI - COVID 19)",IF(K65=CURSOS!$D$18,"ATENCION INTEGRAL EN ENFERMEDADES PREVALENTES EN PRIMERA INFANCIA (AIEPI)",IF(K65=CURSOS!$D$19,"ADMINISTRACION DE MEDICAMENTOS, INYECTOLOGIA  Y CANALIZACION ",IF(K65=CURSOS!$D$20,"OPERADOR DE VEHICULOS DE EMERGENCIA (OVE)",IF(K65=CURSOS!$D$21,"INSTITUCIONES AMIGAS DE LA MUJER Y LA INFANCIA (IAMI)",IF(K65=CURSOS!$D$22,"CUIDADO DEL DONANTE DE ORGANOS",IF(K65=CURSOS!$D$23,"ATENCION A VICTIMAS POR VIOLENCIA DE GENERO",IF(K65=CURSOS!$D$24,"IGUALDAD DE GENERO EN LA SALUD",IF(K65=CURSOS!$D$25,"BRIGADA DE EMERGENCIA",IF(K65=CURSOS!$D$26,"MANEJO DEL DOLOR Y CUIDADOS PALIATIVOS",IF(K65=CURSOS!$D$27,"TOMA DE MUESTRAS Y LABORATORIO POCT",IF(K65=CURSOS!$D$28,"IMPLANTE SUBDERMICO DE DISPOSITIVO INTRAUTERINO",IF(K65=CURSOS!$D$29,"SALUD MENTAL",IF(K65=CURSOS!$D$30,"PRIMEROS AUXILIOS PSICOLOGICOS",IF(K65=CURSOS!$D$31,"ATENCION A VICTIMAS POR CONFLICTO ARMADO",IF(K65=CURSOS!$D$32,"MANIPULACION DE ALIMENTOS Y BPM",IF(K65=CURSOS!$D$33,"ATENCION A PERSONAS CON DISCAPACIDAD",IF(K65=CURSOS!$D$34,"CUIDADO INTEGRAL DEL PACIENTE ADULTO",IF(K65=CURSOS!$D$35,"MANEJO DEFENSIVO",IF(K65=CURSOS!$D$36,"SOPORTE CARDIOVASCULAR AVANZADO NEONATAL",IF(K65=CURSOS!$D$37,"SEGURIDAD DEL PACIENTE")))))))))))))))))))))))))))))))))))</f>
        <v xml:space="preserve">ATENCION A VICTIMAS DE VIOLENCIA SEXUAL </v>
      </c>
      <c r="M65" s="52" t="str">
        <f t="shared" si="3"/>
        <v>Angie Mabell Obando Ceballos</v>
      </c>
      <c r="N65" s="52" t="str">
        <f t="shared" si="8"/>
        <v>Angie Mabell Obando Ceballos</v>
      </c>
      <c r="O65" s="52" t="str">
        <f t="shared" si="4"/>
        <v>Angie Mabell Obando Ceballos-1004490675-VIOLENCIA SEXUAL</v>
      </c>
    </row>
    <row r="66" spans="1:15" s="154" customFormat="1" x14ac:dyDescent="0.2">
      <c r="A66" s="149">
        <v>65</v>
      </c>
      <c r="B66" s="149">
        <v>27160557</v>
      </c>
      <c r="C66" s="149" t="s">
        <v>119</v>
      </c>
      <c r="D66" s="149" t="s">
        <v>455</v>
      </c>
      <c r="E66" s="149" t="s">
        <v>485</v>
      </c>
      <c r="F66" s="149" t="s">
        <v>486</v>
      </c>
      <c r="G66" s="150">
        <v>17</v>
      </c>
      <c r="H66" s="14" t="s">
        <v>181</v>
      </c>
      <c r="I66" s="14" t="s">
        <v>86</v>
      </c>
      <c r="J66" s="14" t="s">
        <v>511</v>
      </c>
      <c r="K66" s="15" t="s">
        <v>23</v>
      </c>
      <c r="L66" s="52" t="str">
        <f>IF(K66=CURSOS!$D$3,"DIPLOMADO EN ATENCION PRE-HOSPITALARIA",IF(K66=CURSOS!$D$4,"ACOMPAÑAMIENTO Y MANEJO DEL DUELO",IF(K66=CURSOS!$D$5,"ATENCION A VICTIMAS DE ATAQUE CON AGENTES QUIMICOS ",IF(K66=CURSOS!$D$6,"PRIMEROS AUXILIOS ",IF(K66=CURSOS!$D$7,"DIPLOMADO DE UNIDAD DE CUIDADOS INTENSIVOS (UCI)",IF(K66=CURSOS!$D$8,"MODELO DE ATENCION PARA EVENTOS EMERGENTES EN SALUD MENTAL (CODIGO VERDE)",IF(K66=CURSOS!$D$9,"HUMANIZACION EN EL SERVICIO DE LA SALUD Y BUENAS PRACTICAS EN PACIENTE ",IF(K66=CURSOS!$D$10,"CLINICA DE HERIDAS ",IF(K66=CURSOS!$D$11,"TOMA DE CITOLOGIA CERVICO VAGINAL ",IF(K66=CURSOS!$D$12,"SOPORTE CARDIOVASCULAR AVANZADO (ACLS) ",IF(K66=CURSOS!$D$13,"CAMILLERO ",IF(K66=CURSOS!$D$14,"TOMA DE MUESTRAS Y LABORATORIO ",IF(K66=CURSOS!$D$15,"SOPORTE VITAL BASICO (BLS)",IF(K66=CURSOS!$D$16,"ATENCION A VICTIMAS DE VIOLENCIA SEXUAL ",IF(K66=CURSOS!$D$17,"PROGRAMADO AMPLIADO DE INMUNIZACION (PAI - COVID 19)",IF(K66=CURSOS!$D$18,"ATENCION INTEGRAL EN ENFERMEDADES PREVALENTES EN PRIMERA INFANCIA (AIEPI)",IF(K66=CURSOS!$D$19,"ADMINISTRACION DE MEDICAMENTOS, INYECTOLOGIA  Y CANALIZACION ",IF(K66=CURSOS!$D$20,"OPERADOR DE VEHICULOS DE EMERGENCIA (OVE)",IF(K66=CURSOS!$D$21,"INSTITUCIONES AMIGAS DE LA MUJER Y LA INFANCIA (IAMI)",IF(K66=CURSOS!$D$22,"CUIDADO DEL DONANTE DE ORGANOS",IF(K66=CURSOS!$D$23,"ATENCION A VICTIMAS POR VIOLENCIA DE GENERO",IF(K66=CURSOS!$D$24,"IGUALDAD DE GENERO EN LA SALUD",IF(K66=CURSOS!$D$25,"BRIGADA DE EMERGENCIA",IF(K66=CURSOS!$D$26,"MANEJO DEL DOLOR Y CUIDADOS PALIATIVOS",IF(K66=CURSOS!$D$27,"TOMA DE MUESTRAS Y LABORATORIO POCT",IF(K66=CURSOS!$D$28,"IMPLANTE SUBDERMICO DE DISPOSITIVO INTRAUTERINO",IF(K66=CURSOS!$D$29,"SALUD MENTAL",IF(K66=CURSOS!$D$30,"PRIMEROS AUXILIOS PSICOLOGICOS",IF(K66=CURSOS!$D$31,"ATENCION A VICTIMAS POR CONFLICTO ARMADO",IF(K66=CURSOS!$D$32,"MANIPULACION DE ALIMENTOS Y BPM",IF(K66=CURSOS!$D$33,"ATENCION A PERSONAS CON DISCAPACIDAD",IF(K66=CURSOS!$D$34,"CUIDADO INTEGRAL DEL PACIENTE ADULTO",IF(K66=CURSOS!$D$35,"MANEJO DEFENSIVO",IF(K66=CURSOS!$D$36,"SOPORTE CARDIOVASCULAR AVANZADO NEONATAL",IF(K66=CURSOS!$D$37,"SEGURIDAD DEL PACIENTE")))))))))))))))))))))))))))))))))))</f>
        <v>ACOMPAÑAMIENTO Y MANEJO DEL DUELO</v>
      </c>
      <c r="M66" s="52" t="str">
        <f t="shared" ref="M66:M97" si="9">CONCATENATE(E66," ",F66," ",C66," ",D66)</f>
        <v>María del Carmen Ceballos Figueroa</v>
      </c>
      <c r="N66" s="52" t="str">
        <f t="shared" si="8"/>
        <v>María Del Carmen Ceballos Figueroa</v>
      </c>
      <c r="O66" s="52" t="str">
        <f t="shared" ref="O66:O97" si="10">CONCATENATE(M66,"-",B66,"-",K66)</f>
        <v>María del Carmen Ceballos Figueroa-27160557-DUELO</v>
      </c>
    </row>
    <row r="67" spans="1:15" s="154" customFormat="1" x14ac:dyDescent="0.2">
      <c r="A67" s="149">
        <v>66</v>
      </c>
      <c r="B67" s="149">
        <v>27160557</v>
      </c>
      <c r="C67" s="149" t="s">
        <v>119</v>
      </c>
      <c r="D67" s="149" t="s">
        <v>455</v>
      </c>
      <c r="E67" s="149" t="s">
        <v>485</v>
      </c>
      <c r="F67" s="149" t="s">
        <v>486</v>
      </c>
      <c r="G67" s="150">
        <v>17</v>
      </c>
      <c r="H67" s="14" t="s">
        <v>181</v>
      </c>
      <c r="I67" s="14" t="s">
        <v>86</v>
      </c>
      <c r="J67" s="14" t="s">
        <v>511</v>
      </c>
      <c r="K67" s="15" t="s">
        <v>25</v>
      </c>
      <c r="L67" s="52" t="str">
        <f>IF(K67=CURSOS!$D$3,"DIPLOMADO EN ATENCION PRE-HOSPITALARIA",IF(K67=CURSOS!$D$4,"ACOMPAÑAMIENTO Y MANEJO DEL DUELO",IF(K67=CURSOS!$D$5,"ATENCION A VICTIMAS DE ATAQUE CON AGENTES QUIMICOS ",IF(K67=CURSOS!$D$6,"PRIMEROS AUXILIOS ",IF(K67=CURSOS!$D$7,"DIPLOMADO DE UNIDAD DE CUIDADOS INTENSIVOS (UCI)",IF(K67=CURSOS!$D$8,"MODELO DE ATENCION PARA EVENTOS EMERGENTES EN SALUD MENTAL (CODIGO VERDE)",IF(K67=CURSOS!$D$9,"HUMANIZACION EN EL SERVICIO DE LA SALUD Y BUENAS PRACTICAS EN PACIENTE ",IF(K67=CURSOS!$D$10,"CLINICA DE HERIDAS ",IF(K67=CURSOS!$D$11,"TOMA DE CITOLOGIA CERVICO VAGINAL ",IF(K67=CURSOS!$D$12,"SOPORTE CARDIOVASCULAR AVANZADO (ACLS) ",IF(K67=CURSOS!$D$13,"CAMILLERO ",IF(K67=CURSOS!$D$14,"TOMA DE MUESTRAS Y LABORATORIO ",IF(K67=CURSOS!$D$15,"SOPORTE VITAL BASICO (BLS)",IF(K67=CURSOS!$D$16,"ATENCION A VICTIMAS DE VIOLENCIA SEXUAL ",IF(K67=CURSOS!$D$17,"PROGRAMADO AMPLIADO DE INMUNIZACION (PAI - COVID 19)",IF(K67=CURSOS!$D$18,"ATENCION INTEGRAL EN ENFERMEDADES PREVALENTES EN PRIMERA INFANCIA (AIEPI)",IF(K67=CURSOS!$D$19,"ADMINISTRACION DE MEDICAMENTOS, INYECTOLOGIA  Y CANALIZACION ",IF(K67=CURSOS!$D$20,"OPERADOR DE VEHICULOS DE EMERGENCIA (OVE)",IF(K67=CURSOS!$D$21,"INSTITUCIONES AMIGAS DE LA MUJER Y LA INFANCIA (IAMI)",IF(K67=CURSOS!$D$22,"CUIDADO DEL DONANTE DE ORGANOS",IF(K67=CURSOS!$D$23,"ATENCION A VICTIMAS POR VIOLENCIA DE GENERO",IF(K67=CURSOS!$D$24,"IGUALDAD DE GENERO EN LA SALUD",IF(K67=CURSOS!$D$25,"BRIGADA DE EMERGENCIA",IF(K67=CURSOS!$D$26,"MANEJO DEL DOLOR Y CUIDADOS PALIATIVOS",IF(K67=CURSOS!$D$27,"TOMA DE MUESTRAS Y LABORATORIO POCT",IF(K67=CURSOS!$D$28,"IMPLANTE SUBDERMICO DE DISPOSITIVO INTRAUTERINO",IF(K67=CURSOS!$D$29,"SALUD MENTAL",IF(K67=CURSOS!$D$30,"PRIMEROS AUXILIOS PSICOLOGICOS",IF(K67=CURSOS!$D$31,"ATENCION A VICTIMAS POR CONFLICTO ARMADO",IF(K67=CURSOS!$D$32,"MANIPULACION DE ALIMENTOS Y BPM",IF(K67=CURSOS!$D$33,"ATENCION A PERSONAS CON DISCAPACIDAD",IF(K67=CURSOS!$D$34,"CUIDADO INTEGRAL DEL PACIENTE ADULTO",IF(K67=CURSOS!$D$35,"MANEJO DEFENSIVO",IF(K67=CURSOS!$D$36,"SOPORTE CARDIOVASCULAR AVANZADO NEONATAL",IF(K67=CURSOS!$D$37,"SEGURIDAD DEL PACIENTE")))))))))))))))))))))))))))))))))))</f>
        <v xml:space="preserve">ATENCION A VICTIMAS DE ATAQUE CON AGENTES QUIMICOS </v>
      </c>
      <c r="M67" s="52" t="str">
        <f t="shared" si="9"/>
        <v>María del Carmen Ceballos Figueroa</v>
      </c>
      <c r="N67" s="52" t="str">
        <f t="shared" si="8"/>
        <v>María Del Carmen Ceballos Figueroa</v>
      </c>
      <c r="O67" s="52" t="str">
        <f t="shared" si="10"/>
        <v>María del Carmen Ceballos Figueroa-27160557-QUIMICOS</v>
      </c>
    </row>
    <row r="68" spans="1:15" s="154" customFormat="1" x14ac:dyDescent="0.2">
      <c r="A68" s="149">
        <v>67</v>
      </c>
      <c r="B68" s="149">
        <v>27160557</v>
      </c>
      <c r="C68" s="149" t="s">
        <v>119</v>
      </c>
      <c r="D68" s="149" t="s">
        <v>455</v>
      </c>
      <c r="E68" s="149" t="s">
        <v>485</v>
      </c>
      <c r="F68" s="149" t="s">
        <v>486</v>
      </c>
      <c r="G68" s="150">
        <v>17</v>
      </c>
      <c r="H68" s="14" t="s">
        <v>181</v>
      </c>
      <c r="I68" s="14" t="s">
        <v>86</v>
      </c>
      <c r="J68" s="14" t="s">
        <v>511</v>
      </c>
      <c r="K68" s="15" t="s">
        <v>43</v>
      </c>
      <c r="L68" s="52" t="str">
        <f>IF(K68=CURSOS!$D$3,"DIPLOMADO EN ATENCION PRE-HOSPITALARIA",IF(K68=CURSOS!$D$4,"ACOMPAÑAMIENTO Y MANEJO DEL DUELO",IF(K68=CURSOS!$D$5,"ATENCION A VICTIMAS DE ATAQUE CON AGENTES QUIMICOS ",IF(K68=CURSOS!$D$6,"PRIMEROS AUXILIOS ",IF(K68=CURSOS!$D$7,"DIPLOMADO DE UNIDAD DE CUIDADOS INTENSIVOS (UCI)",IF(K68=CURSOS!$D$8,"MODELO DE ATENCION PARA EVENTOS EMERGENTES EN SALUD MENTAL (CODIGO VERDE)",IF(K68=CURSOS!$D$9,"HUMANIZACION EN EL SERVICIO DE LA SALUD Y BUENAS PRACTICAS EN PACIENTE ",IF(K68=CURSOS!$D$10,"CLINICA DE HERIDAS ",IF(K68=CURSOS!$D$11,"TOMA DE CITOLOGIA CERVICO VAGINAL ",IF(K68=CURSOS!$D$12,"SOPORTE CARDIOVASCULAR AVANZADO (ACLS) ",IF(K68=CURSOS!$D$13,"CAMILLERO ",IF(K68=CURSOS!$D$14,"TOMA DE MUESTRAS Y LABORATORIO ",IF(K68=CURSOS!$D$15,"SOPORTE VITAL BASICO (BLS)",IF(K68=CURSOS!$D$16,"ATENCION A VICTIMAS DE VIOLENCIA SEXUAL ",IF(K68=CURSOS!$D$17,"PROGRAMADO AMPLIADO DE INMUNIZACION (PAI - COVID 19)",IF(K68=CURSOS!$D$18,"ATENCION INTEGRAL EN ENFERMEDADES PREVALENTES EN PRIMERA INFANCIA (AIEPI)",IF(K68=CURSOS!$D$19,"ADMINISTRACION DE MEDICAMENTOS, INYECTOLOGIA  Y CANALIZACION ",IF(K68=CURSOS!$D$20,"OPERADOR DE VEHICULOS DE EMERGENCIA (OVE)",IF(K68=CURSOS!$D$21,"INSTITUCIONES AMIGAS DE LA MUJER Y LA INFANCIA (IAMI)",IF(K68=CURSOS!$D$22,"CUIDADO DEL DONANTE DE ORGANOS",IF(K68=CURSOS!$D$23,"ATENCION A VICTIMAS POR VIOLENCIA DE GENERO",IF(K68=CURSOS!$D$24,"IGUALDAD DE GENERO EN LA SALUD",IF(K68=CURSOS!$D$25,"BRIGADA DE EMERGENCIA",IF(K68=CURSOS!$D$26,"MANEJO DEL DOLOR Y CUIDADOS PALIATIVOS",IF(K68=CURSOS!$D$27,"TOMA DE MUESTRAS Y LABORATORIO POCT",IF(K68=CURSOS!$D$28,"IMPLANTE SUBDERMICO DE DISPOSITIVO INTRAUTERINO",IF(K68=CURSOS!$D$29,"SALUD MENTAL",IF(K68=CURSOS!$D$30,"PRIMEROS AUXILIOS PSICOLOGICOS",IF(K68=CURSOS!$D$31,"ATENCION A VICTIMAS POR CONFLICTO ARMADO",IF(K68=CURSOS!$D$32,"MANIPULACION DE ALIMENTOS Y BPM",IF(K68=CURSOS!$D$33,"ATENCION A PERSONAS CON DISCAPACIDAD",IF(K68=CURSOS!$D$34,"CUIDADO INTEGRAL DEL PACIENTE ADULTO",IF(K68=CURSOS!$D$35,"MANEJO DEFENSIVO",IF(K68=CURSOS!$D$36,"SOPORTE CARDIOVASCULAR AVANZADO NEONATAL",IF(K68=CURSOS!$D$37,"SEGURIDAD DEL PACIENTE")))))))))))))))))))))))))))))))))))</f>
        <v xml:space="preserve">ATENCION A VICTIMAS DE VIOLENCIA SEXUAL </v>
      </c>
      <c r="M68" s="52" t="str">
        <f t="shared" si="9"/>
        <v>María del Carmen Ceballos Figueroa</v>
      </c>
      <c r="N68" s="52" t="str">
        <f t="shared" si="8"/>
        <v>María Del Carmen Ceballos Figueroa</v>
      </c>
      <c r="O68" s="52" t="str">
        <f t="shared" si="10"/>
        <v>María del Carmen Ceballos Figueroa-27160557-VIOLENCIA SEXUAL</v>
      </c>
    </row>
    <row r="69" spans="1:15" s="154" customFormat="1" x14ac:dyDescent="0.2">
      <c r="A69" s="149">
        <v>68</v>
      </c>
      <c r="B69" s="149">
        <v>1085287754</v>
      </c>
      <c r="C69" s="149" t="s">
        <v>92</v>
      </c>
      <c r="D69" s="149" t="s">
        <v>169</v>
      </c>
      <c r="E69" s="149" t="s">
        <v>312</v>
      </c>
      <c r="F69" s="149" t="s">
        <v>397</v>
      </c>
      <c r="G69" s="150">
        <v>17</v>
      </c>
      <c r="H69" s="14" t="s">
        <v>181</v>
      </c>
      <c r="I69" s="14" t="s">
        <v>86</v>
      </c>
      <c r="J69" s="14" t="s">
        <v>511</v>
      </c>
      <c r="K69" s="15" t="s">
        <v>23</v>
      </c>
      <c r="L69" s="52" t="str">
        <f>IF(K69=CURSOS!$D$3,"DIPLOMADO EN ATENCION PRE-HOSPITALARIA",IF(K69=CURSOS!$D$4,"ACOMPAÑAMIENTO Y MANEJO DEL DUELO",IF(K69=CURSOS!$D$5,"ATENCION A VICTIMAS DE ATAQUE CON AGENTES QUIMICOS ",IF(K69=CURSOS!$D$6,"PRIMEROS AUXILIOS ",IF(K69=CURSOS!$D$7,"DIPLOMADO DE UNIDAD DE CUIDADOS INTENSIVOS (UCI)",IF(K69=CURSOS!$D$8,"MODELO DE ATENCION PARA EVENTOS EMERGENTES EN SALUD MENTAL (CODIGO VERDE)",IF(K69=CURSOS!$D$9,"HUMANIZACION EN EL SERVICIO DE LA SALUD Y BUENAS PRACTICAS EN PACIENTE ",IF(K69=CURSOS!$D$10,"CLINICA DE HERIDAS ",IF(K69=CURSOS!$D$11,"TOMA DE CITOLOGIA CERVICO VAGINAL ",IF(K69=CURSOS!$D$12,"SOPORTE CARDIOVASCULAR AVANZADO (ACLS) ",IF(K69=CURSOS!$D$13,"CAMILLERO ",IF(K69=CURSOS!$D$14,"TOMA DE MUESTRAS Y LABORATORIO ",IF(K69=CURSOS!$D$15,"SOPORTE VITAL BASICO (BLS)",IF(K69=CURSOS!$D$16,"ATENCION A VICTIMAS DE VIOLENCIA SEXUAL ",IF(K69=CURSOS!$D$17,"PROGRAMADO AMPLIADO DE INMUNIZACION (PAI - COVID 19)",IF(K69=CURSOS!$D$18,"ATENCION INTEGRAL EN ENFERMEDADES PREVALENTES EN PRIMERA INFANCIA (AIEPI)",IF(K69=CURSOS!$D$19,"ADMINISTRACION DE MEDICAMENTOS, INYECTOLOGIA  Y CANALIZACION ",IF(K69=CURSOS!$D$20,"OPERADOR DE VEHICULOS DE EMERGENCIA (OVE)",IF(K69=CURSOS!$D$21,"INSTITUCIONES AMIGAS DE LA MUJER Y LA INFANCIA (IAMI)",IF(K69=CURSOS!$D$22,"CUIDADO DEL DONANTE DE ORGANOS",IF(K69=CURSOS!$D$23,"ATENCION A VICTIMAS POR VIOLENCIA DE GENERO",IF(K69=CURSOS!$D$24,"IGUALDAD DE GENERO EN LA SALUD",IF(K69=CURSOS!$D$25,"BRIGADA DE EMERGENCIA",IF(K69=CURSOS!$D$26,"MANEJO DEL DOLOR Y CUIDADOS PALIATIVOS",IF(K69=CURSOS!$D$27,"TOMA DE MUESTRAS Y LABORATORIO POCT",IF(K69=CURSOS!$D$28,"IMPLANTE SUBDERMICO DE DISPOSITIVO INTRAUTERINO",IF(K69=CURSOS!$D$29,"SALUD MENTAL",IF(K69=CURSOS!$D$30,"PRIMEROS AUXILIOS PSICOLOGICOS",IF(K69=CURSOS!$D$31,"ATENCION A VICTIMAS POR CONFLICTO ARMADO",IF(K69=CURSOS!$D$32,"MANIPULACION DE ALIMENTOS Y BPM",IF(K69=CURSOS!$D$33,"ATENCION A PERSONAS CON DISCAPACIDAD",IF(K69=CURSOS!$D$34,"CUIDADO INTEGRAL DEL PACIENTE ADULTO",IF(K69=CURSOS!$D$35,"MANEJO DEFENSIVO",IF(K69=CURSOS!$D$36,"SOPORTE CARDIOVASCULAR AVANZADO NEONATAL",IF(K69=CURSOS!$D$37,"SEGURIDAD DEL PACIENTE")))))))))))))))))))))))))))))))))))</f>
        <v>ACOMPAÑAMIENTO Y MANEJO DEL DUELO</v>
      </c>
      <c r="M69" s="52" t="str">
        <f t="shared" si="9"/>
        <v>Carlos Eduardo Rosero Erazo</v>
      </c>
      <c r="N69" s="52" t="str">
        <f t="shared" si="8"/>
        <v>Carlos Eduardo Rosero Erazo</v>
      </c>
      <c r="O69" s="52" t="str">
        <f t="shared" si="10"/>
        <v>Carlos Eduardo Rosero Erazo-1085287754-DUELO</v>
      </c>
    </row>
    <row r="70" spans="1:15" s="154" customFormat="1" x14ac:dyDescent="0.2">
      <c r="A70" s="85">
        <v>69</v>
      </c>
      <c r="B70" s="149">
        <v>1085287754</v>
      </c>
      <c r="C70" s="149" t="s">
        <v>92</v>
      </c>
      <c r="D70" s="149" t="s">
        <v>169</v>
      </c>
      <c r="E70" s="149" t="s">
        <v>312</v>
      </c>
      <c r="F70" s="149" t="s">
        <v>397</v>
      </c>
      <c r="G70" s="150">
        <v>17</v>
      </c>
      <c r="H70" s="14" t="s">
        <v>181</v>
      </c>
      <c r="I70" s="14" t="s">
        <v>86</v>
      </c>
      <c r="J70" s="14" t="s">
        <v>511</v>
      </c>
      <c r="K70" s="15" t="s">
        <v>25</v>
      </c>
      <c r="L70" s="52" t="str">
        <f>IF(K70=CURSOS!$D$3,"DIPLOMADO EN ATENCION PRE-HOSPITALARIA",IF(K70=CURSOS!$D$4,"ACOMPAÑAMIENTO Y MANEJO DEL DUELO",IF(K70=CURSOS!$D$5,"ATENCION A VICTIMAS DE ATAQUE CON AGENTES QUIMICOS ",IF(K70=CURSOS!$D$6,"PRIMEROS AUXILIOS ",IF(K70=CURSOS!$D$7,"DIPLOMADO DE UNIDAD DE CUIDADOS INTENSIVOS (UCI)",IF(K70=CURSOS!$D$8,"MODELO DE ATENCION PARA EVENTOS EMERGENTES EN SALUD MENTAL (CODIGO VERDE)",IF(K70=CURSOS!$D$9,"HUMANIZACION EN EL SERVICIO DE LA SALUD Y BUENAS PRACTICAS EN PACIENTE ",IF(K70=CURSOS!$D$10,"CLINICA DE HERIDAS ",IF(K70=CURSOS!$D$11,"TOMA DE CITOLOGIA CERVICO VAGINAL ",IF(K70=CURSOS!$D$12,"SOPORTE CARDIOVASCULAR AVANZADO (ACLS) ",IF(K70=CURSOS!$D$13,"CAMILLERO ",IF(K70=CURSOS!$D$14,"TOMA DE MUESTRAS Y LABORATORIO ",IF(K70=CURSOS!$D$15,"SOPORTE VITAL BASICO (BLS)",IF(K70=CURSOS!$D$16,"ATENCION A VICTIMAS DE VIOLENCIA SEXUAL ",IF(K70=CURSOS!$D$17,"PROGRAMADO AMPLIADO DE INMUNIZACION (PAI - COVID 19)",IF(K70=CURSOS!$D$18,"ATENCION INTEGRAL EN ENFERMEDADES PREVALENTES EN PRIMERA INFANCIA (AIEPI)",IF(K70=CURSOS!$D$19,"ADMINISTRACION DE MEDICAMENTOS, INYECTOLOGIA  Y CANALIZACION ",IF(K70=CURSOS!$D$20,"OPERADOR DE VEHICULOS DE EMERGENCIA (OVE)",IF(K70=CURSOS!$D$21,"INSTITUCIONES AMIGAS DE LA MUJER Y LA INFANCIA (IAMI)",IF(K70=CURSOS!$D$22,"CUIDADO DEL DONANTE DE ORGANOS",IF(K70=CURSOS!$D$23,"ATENCION A VICTIMAS POR VIOLENCIA DE GENERO",IF(K70=CURSOS!$D$24,"IGUALDAD DE GENERO EN LA SALUD",IF(K70=CURSOS!$D$25,"BRIGADA DE EMERGENCIA",IF(K70=CURSOS!$D$26,"MANEJO DEL DOLOR Y CUIDADOS PALIATIVOS",IF(K70=CURSOS!$D$27,"TOMA DE MUESTRAS Y LABORATORIO POCT",IF(K70=CURSOS!$D$28,"IMPLANTE SUBDERMICO DE DISPOSITIVO INTRAUTERINO",IF(K70=CURSOS!$D$29,"SALUD MENTAL",IF(K70=CURSOS!$D$30,"PRIMEROS AUXILIOS PSICOLOGICOS",IF(K70=CURSOS!$D$31,"ATENCION A VICTIMAS POR CONFLICTO ARMADO",IF(K70=CURSOS!$D$32,"MANIPULACION DE ALIMENTOS Y BPM",IF(K70=CURSOS!$D$33,"ATENCION A PERSONAS CON DISCAPACIDAD",IF(K70=CURSOS!$D$34,"CUIDADO INTEGRAL DEL PACIENTE ADULTO",IF(K70=CURSOS!$D$35,"MANEJO DEFENSIVO",IF(K70=CURSOS!$D$36,"SOPORTE CARDIOVASCULAR AVANZADO NEONATAL",IF(K70=CURSOS!$D$37,"SEGURIDAD DEL PACIENTE")))))))))))))))))))))))))))))))))))</f>
        <v xml:space="preserve">ATENCION A VICTIMAS DE ATAQUE CON AGENTES QUIMICOS </v>
      </c>
      <c r="M70" s="52" t="str">
        <f t="shared" si="9"/>
        <v>Carlos Eduardo Rosero Erazo</v>
      </c>
      <c r="N70" s="52" t="str">
        <f t="shared" si="8"/>
        <v>Carlos Eduardo Rosero Erazo</v>
      </c>
      <c r="O70" s="52" t="str">
        <f t="shared" si="10"/>
        <v>Carlos Eduardo Rosero Erazo-1085287754-QUIMICOS</v>
      </c>
    </row>
    <row r="71" spans="1:15" s="154" customFormat="1" x14ac:dyDescent="0.2">
      <c r="A71" s="85">
        <v>70</v>
      </c>
      <c r="B71" s="149">
        <v>1085287754</v>
      </c>
      <c r="C71" s="149" t="s">
        <v>92</v>
      </c>
      <c r="D71" s="149" t="s">
        <v>169</v>
      </c>
      <c r="E71" s="149" t="s">
        <v>312</v>
      </c>
      <c r="F71" s="149" t="s">
        <v>397</v>
      </c>
      <c r="G71" s="150">
        <v>17</v>
      </c>
      <c r="H71" s="14" t="s">
        <v>181</v>
      </c>
      <c r="I71" s="14" t="s">
        <v>86</v>
      </c>
      <c r="J71" s="14" t="s">
        <v>511</v>
      </c>
      <c r="K71" s="15" t="s">
        <v>43</v>
      </c>
      <c r="L71" s="52" t="str">
        <f>IF(K71=CURSOS!$D$3,"DIPLOMADO EN ATENCION PRE-HOSPITALARIA",IF(K71=CURSOS!$D$4,"ACOMPAÑAMIENTO Y MANEJO DEL DUELO",IF(K71=CURSOS!$D$5,"ATENCION A VICTIMAS DE ATAQUE CON AGENTES QUIMICOS ",IF(K71=CURSOS!$D$6,"PRIMEROS AUXILIOS ",IF(K71=CURSOS!$D$7,"DIPLOMADO DE UNIDAD DE CUIDADOS INTENSIVOS (UCI)",IF(K71=CURSOS!$D$8,"MODELO DE ATENCION PARA EVENTOS EMERGENTES EN SALUD MENTAL (CODIGO VERDE)",IF(K71=CURSOS!$D$9,"HUMANIZACION EN EL SERVICIO DE LA SALUD Y BUENAS PRACTICAS EN PACIENTE ",IF(K71=CURSOS!$D$10,"CLINICA DE HERIDAS ",IF(K71=CURSOS!$D$11,"TOMA DE CITOLOGIA CERVICO VAGINAL ",IF(K71=CURSOS!$D$12,"SOPORTE CARDIOVASCULAR AVANZADO (ACLS) ",IF(K71=CURSOS!$D$13,"CAMILLERO ",IF(K71=CURSOS!$D$14,"TOMA DE MUESTRAS Y LABORATORIO ",IF(K71=CURSOS!$D$15,"SOPORTE VITAL BASICO (BLS)",IF(K71=CURSOS!$D$16,"ATENCION A VICTIMAS DE VIOLENCIA SEXUAL ",IF(K71=CURSOS!$D$17,"PROGRAMADO AMPLIADO DE INMUNIZACION (PAI - COVID 19)",IF(K71=CURSOS!$D$18,"ATENCION INTEGRAL EN ENFERMEDADES PREVALENTES EN PRIMERA INFANCIA (AIEPI)",IF(K71=CURSOS!$D$19,"ADMINISTRACION DE MEDICAMENTOS, INYECTOLOGIA  Y CANALIZACION ",IF(K71=CURSOS!$D$20,"OPERADOR DE VEHICULOS DE EMERGENCIA (OVE)",IF(K71=CURSOS!$D$21,"INSTITUCIONES AMIGAS DE LA MUJER Y LA INFANCIA (IAMI)",IF(K71=CURSOS!$D$22,"CUIDADO DEL DONANTE DE ORGANOS",IF(K71=CURSOS!$D$23,"ATENCION A VICTIMAS POR VIOLENCIA DE GENERO",IF(K71=CURSOS!$D$24,"IGUALDAD DE GENERO EN LA SALUD",IF(K71=CURSOS!$D$25,"BRIGADA DE EMERGENCIA",IF(K71=CURSOS!$D$26,"MANEJO DEL DOLOR Y CUIDADOS PALIATIVOS",IF(K71=CURSOS!$D$27,"TOMA DE MUESTRAS Y LABORATORIO POCT",IF(K71=CURSOS!$D$28,"IMPLANTE SUBDERMICO DE DISPOSITIVO INTRAUTERINO",IF(K71=CURSOS!$D$29,"SALUD MENTAL",IF(K71=CURSOS!$D$30,"PRIMEROS AUXILIOS PSICOLOGICOS",IF(K71=CURSOS!$D$31,"ATENCION A VICTIMAS POR CONFLICTO ARMADO",IF(K71=CURSOS!$D$32,"MANIPULACION DE ALIMENTOS Y BPM",IF(K71=CURSOS!$D$33,"ATENCION A PERSONAS CON DISCAPACIDAD",IF(K71=CURSOS!$D$34,"CUIDADO INTEGRAL DEL PACIENTE ADULTO",IF(K71=CURSOS!$D$35,"MANEJO DEFENSIVO",IF(K71=CURSOS!$D$36,"SOPORTE CARDIOVASCULAR AVANZADO NEONATAL",IF(K71=CURSOS!$D$37,"SEGURIDAD DEL PACIENTE")))))))))))))))))))))))))))))))))))</f>
        <v xml:space="preserve">ATENCION A VICTIMAS DE VIOLENCIA SEXUAL </v>
      </c>
      <c r="M71" s="52" t="str">
        <f t="shared" si="9"/>
        <v>Carlos Eduardo Rosero Erazo</v>
      </c>
      <c r="N71" s="52" t="str">
        <f t="shared" si="8"/>
        <v>Carlos Eduardo Rosero Erazo</v>
      </c>
      <c r="O71" s="52" t="str">
        <f t="shared" si="10"/>
        <v>Carlos Eduardo Rosero Erazo-1085287754-VIOLENCIA SEXUAL</v>
      </c>
    </row>
    <row r="72" spans="1:15" s="154" customFormat="1" x14ac:dyDescent="0.2">
      <c r="A72" s="149">
        <v>71</v>
      </c>
      <c r="B72" s="149">
        <v>27160756</v>
      </c>
      <c r="C72" s="149" t="s">
        <v>456</v>
      </c>
      <c r="D72" s="149" t="s">
        <v>457</v>
      </c>
      <c r="E72" s="149" t="s">
        <v>487</v>
      </c>
      <c r="F72" s="149" t="s">
        <v>488</v>
      </c>
      <c r="G72" s="150">
        <v>17</v>
      </c>
      <c r="H72" s="14" t="s">
        <v>181</v>
      </c>
      <c r="I72" s="14" t="s">
        <v>86</v>
      </c>
      <c r="J72" s="14" t="s">
        <v>511</v>
      </c>
      <c r="K72" s="15" t="s">
        <v>23</v>
      </c>
      <c r="L72" s="52" t="str">
        <f>IF(K72=CURSOS!$D$3,"DIPLOMADO EN ATENCION PRE-HOSPITALARIA",IF(K72=CURSOS!$D$4,"ACOMPAÑAMIENTO Y MANEJO DEL DUELO",IF(K72=CURSOS!$D$5,"ATENCION A VICTIMAS DE ATAQUE CON AGENTES QUIMICOS ",IF(K72=CURSOS!$D$6,"PRIMEROS AUXILIOS ",IF(K72=CURSOS!$D$7,"DIPLOMADO DE UNIDAD DE CUIDADOS INTENSIVOS (UCI)",IF(K72=CURSOS!$D$8,"MODELO DE ATENCION PARA EVENTOS EMERGENTES EN SALUD MENTAL (CODIGO VERDE)",IF(K72=CURSOS!$D$9,"HUMANIZACION EN EL SERVICIO DE LA SALUD Y BUENAS PRACTICAS EN PACIENTE ",IF(K72=CURSOS!$D$10,"CLINICA DE HERIDAS ",IF(K72=CURSOS!$D$11,"TOMA DE CITOLOGIA CERVICO VAGINAL ",IF(K72=CURSOS!$D$12,"SOPORTE CARDIOVASCULAR AVANZADO (ACLS) ",IF(K72=CURSOS!$D$13,"CAMILLERO ",IF(K72=CURSOS!$D$14,"TOMA DE MUESTRAS Y LABORATORIO ",IF(K72=CURSOS!$D$15,"SOPORTE VITAL BASICO (BLS)",IF(K72=CURSOS!$D$16,"ATENCION A VICTIMAS DE VIOLENCIA SEXUAL ",IF(K72=CURSOS!$D$17,"PROGRAMADO AMPLIADO DE INMUNIZACION (PAI - COVID 19)",IF(K72=CURSOS!$D$18,"ATENCION INTEGRAL EN ENFERMEDADES PREVALENTES EN PRIMERA INFANCIA (AIEPI)",IF(K72=CURSOS!$D$19,"ADMINISTRACION DE MEDICAMENTOS, INYECTOLOGIA  Y CANALIZACION ",IF(K72=CURSOS!$D$20,"OPERADOR DE VEHICULOS DE EMERGENCIA (OVE)",IF(K72=CURSOS!$D$21,"INSTITUCIONES AMIGAS DE LA MUJER Y LA INFANCIA (IAMI)",IF(K72=CURSOS!$D$22,"CUIDADO DEL DONANTE DE ORGANOS",IF(K72=CURSOS!$D$23,"ATENCION A VICTIMAS POR VIOLENCIA DE GENERO",IF(K72=CURSOS!$D$24,"IGUALDAD DE GENERO EN LA SALUD",IF(K72=CURSOS!$D$25,"BRIGADA DE EMERGENCIA",IF(K72=CURSOS!$D$26,"MANEJO DEL DOLOR Y CUIDADOS PALIATIVOS",IF(K72=CURSOS!$D$27,"TOMA DE MUESTRAS Y LABORATORIO POCT",IF(K72=CURSOS!$D$28,"IMPLANTE SUBDERMICO DE DISPOSITIVO INTRAUTERINO",IF(K72=CURSOS!$D$29,"SALUD MENTAL",IF(K72=CURSOS!$D$30,"PRIMEROS AUXILIOS PSICOLOGICOS",IF(K72=CURSOS!$D$31,"ATENCION A VICTIMAS POR CONFLICTO ARMADO",IF(K72=CURSOS!$D$32,"MANIPULACION DE ALIMENTOS Y BPM",IF(K72=CURSOS!$D$33,"ATENCION A PERSONAS CON DISCAPACIDAD",IF(K72=CURSOS!$D$34,"CUIDADO INTEGRAL DEL PACIENTE ADULTO",IF(K72=CURSOS!$D$35,"MANEJO DEFENSIVO",IF(K72=CURSOS!$D$36,"SOPORTE CARDIOVASCULAR AVANZADO NEONATAL",IF(K72=CURSOS!$D$37,"SEGURIDAD DEL PACIENTE")))))))))))))))))))))))))))))))))))</f>
        <v>ACOMPAÑAMIENTO Y MANEJO DEL DUELO</v>
      </c>
      <c r="M72" s="52" t="str">
        <f t="shared" si="9"/>
        <v>Carmen Alicia Nastar Guacales</v>
      </c>
      <c r="N72" s="52" t="str">
        <f t="shared" si="8"/>
        <v>Carmen Alicia Nastar Guacales</v>
      </c>
      <c r="O72" s="52" t="str">
        <f t="shared" si="10"/>
        <v>Carmen Alicia Nastar Guacales-27160756-DUELO</v>
      </c>
    </row>
    <row r="73" spans="1:15" s="154" customFormat="1" x14ac:dyDescent="0.2">
      <c r="A73" s="149">
        <v>72</v>
      </c>
      <c r="B73" s="149">
        <v>27160756</v>
      </c>
      <c r="C73" s="149" t="s">
        <v>456</v>
      </c>
      <c r="D73" s="149" t="s">
        <v>457</v>
      </c>
      <c r="E73" s="149" t="s">
        <v>487</v>
      </c>
      <c r="F73" s="149" t="s">
        <v>488</v>
      </c>
      <c r="G73" s="150">
        <v>17</v>
      </c>
      <c r="H73" s="14" t="s">
        <v>181</v>
      </c>
      <c r="I73" s="14" t="s">
        <v>86</v>
      </c>
      <c r="J73" s="14" t="s">
        <v>511</v>
      </c>
      <c r="K73" s="15" t="s">
        <v>25</v>
      </c>
      <c r="L73" s="52" t="str">
        <f>IF(K73=CURSOS!$D$3,"DIPLOMADO EN ATENCION PRE-HOSPITALARIA",IF(K73=CURSOS!$D$4,"ACOMPAÑAMIENTO Y MANEJO DEL DUELO",IF(K73=CURSOS!$D$5,"ATENCION A VICTIMAS DE ATAQUE CON AGENTES QUIMICOS ",IF(K73=CURSOS!$D$6,"PRIMEROS AUXILIOS ",IF(K73=CURSOS!$D$7,"DIPLOMADO DE UNIDAD DE CUIDADOS INTENSIVOS (UCI)",IF(K73=CURSOS!$D$8,"MODELO DE ATENCION PARA EVENTOS EMERGENTES EN SALUD MENTAL (CODIGO VERDE)",IF(K73=CURSOS!$D$9,"HUMANIZACION EN EL SERVICIO DE LA SALUD Y BUENAS PRACTICAS EN PACIENTE ",IF(K73=CURSOS!$D$10,"CLINICA DE HERIDAS ",IF(K73=CURSOS!$D$11,"TOMA DE CITOLOGIA CERVICO VAGINAL ",IF(K73=CURSOS!$D$12,"SOPORTE CARDIOVASCULAR AVANZADO (ACLS) ",IF(K73=CURSOS!$D$13,"CAMILLERO ",IF(K73=CURSOS!$D$14,"TOMA DE MUESTRAS Y LABORATORIO ",IF(K73=CURSOS!$D$15,"SOPORTE VITAL BASICO (BLS)",IF(K73=CURSOS!$D$16,"ATENCION A VICTIMAS DE VIOLENCIA SEXUAL ",IF(K73=CURSOS!$D$17,"PROGRAMADO AMPLIADO DE INMUNIZACION (PAI - COVID 19)",IF(K73=CURSOS!$D$18,"ATENCION INTEGRAL EN ENFERMEDADES PREVALENTES EN PRIMERA INFANCIA (AIEPI)",IF(K73=CURSOS!$D$19,"ADMINISTRACION DE MEDICAMENTOS, INYECTOLOGIA  Y CANALIZACION ",IF(K73=CURSOS!$D$20,"OPERADOR DE VEHICULOS DE EMERGENCIA (OVE)",IF(K73=CURSOS!$D$21,"INSTITUCIONES AMIGAS DE LA MUJER Y LA INFANCIA (IAMI)",IF(K73=CURSOS!$D$22,"CUIDADO DEL DONANTE DE ORGANOS",IF(K73=CURSOS!$D$23,"ATENCION A VICTIMAS POR VIOLENCIA DE GENERO",IF(K73=CURSOS!$D$24,"IGUALDAD DE GENERO EN LA SALUD",IF(K73=CURSOS!$D$25,"BRIGADA DE EMERGENCIA",IF(K73=CURSOS!$D$26,"MANEJO DEL DOLOR Y CUIDADOS PALIATIVOS",IF(K73=CURSOS!$D$27,"TOMA DE MUESTRAS Y LABORATORIO POCT",IF(K73=CURSOS!$D$28,"IMPLANTE SUBDERMICO DE DISPOSITIVO INTRAUTERINO",IF(K73=CURSOS!$D$29,"SALUD MENTAL",IF(K73=CURSOS!$D$30,"PRIMEROS AUXILIOS PSICOLOGICOS",IF(K73=CURSOS!$D$31,"ATENCION A VICTIMAS POR CONFLICTO ARMADO",IF(K73=CURSOS!$D$32,"MANIPULACION DE ALIMENTOS Y BPM",IF(K73=CURSOS!$D$33,"ATENCION A PERSONAS CON DISCAPACIDAD",IF(K73=CURSOS!$D$34,"CUIDADO INTEGRAL DEL PACIENTE ADULTO",IF(K73=CURSOS!$D$35,"MANEJO DEFENSIVO",IF(K73=CURSOS!$D$36,"SOPORTE CARDIOVASCULAR AVANZADO NEONATAL",IF(K73=CURSOS!$D$37,"SEGURIDAD DEL PACIENTE")))))))))))))))))))))))))))))))))))</f>
        <v xml:space="preserve">ATENCION A VICTIMAS DE ATAQUE CON AGENTES QUIMICOS </v>
      </c>
      <c r="M73" s="52" t="str">
        <f t="shared" si="9"/>
        <v>Carmen Alicia Nastar Guacales</v>
      </c>
      <c r="N73" s="52" t="str">
        <f t="shared" si="8"/>
        <v>Carmen Alicia Nastar Guacales</v>
      </c>
      <c r="O73" s="52" t="str">
        <f t="shared" si="10"/>
        <v>Carmen Alicia Nastar Guacales-27160756-QUIMICOS</v>
      </c>
    </row>
    <row r="74" spans="1:15" s="154" customFormat="1" x14ac:dyDescent="0.2">
      <c r="A74" s="149">
        <v>73</v>
      </c>
      <c r="B74" s="149">
        <v>27160756</v>
      </c>
      <c r="C74" s="149" t="s">
        <v>456</v>
      </c>
      <c r="D74" s="149" t="s">
        <v>457</v>
      </c>
      <c r="E74" s="149" t="s">
        <v>487</v>
      </c>
      <c r="F74" s="149" t="s">
        <v>488</v>
      </c>
      <c r="G74" s="150">
        <v>17</v>
      </c>
      <c r="H74" s="14" t="s">
        <v>181</v>
      </c>
      <c r="I74" s="14" t="s">
        <v>86</v>
      </c>
      <c r="J74" s="14" t="s">
        <v>511</v>
      </c>
      <c r="K74" s="15" t="s">
        <v>43</v>
      </c>
      <c r="L74" s="52" t="str">
        <f>IF(K74=CURSOS!$D$3,"DIPLOMADO EN ATENCION PRE-HOSPITALARIA",IF(K74=CURSOS!$D$4,"ACOMPAÑAMIENTO Y MANEJO DEL DUELO",IF(K74=CURSOS!$D$5,"ATENCION A VICTIMAS DE ATAQUE CON AGENTES QUIMICOS ",IF(K74=CURSOS!$D$6,"PRIMEROS AUXILIOS ",IF(K74=CURSOS!$D$7,"DIPLOMADO DE UNIDAD DE CUIDADOS INTENSIVOS (UCI)",IF(K74=CURSOS!$D$8,"MODELO DE ATENCION PARA EVENTOS EMERGENTES EN SALUD MENTAL (CODIGO VERDE)",IF(K74=CURSOS!$D$9,"HUMANIZACION EN EL SERVICIO DE LA SALUD Y BUENAS PRACTICAS EN PACIENTE ",IF(K74=CURSOS!$D$10,"CLINICA DE HERIDAS ",IF(K74=CURSOS!$D$11,"TOMA DE CITOLOGIA CERVICO VAGINAL ",IF(K74=CURSOS!$D$12,"SOPORTE CARDIOVASCULAR AVANZADO (ACLS) ",IF(K74=CURSOS!$D$13,"CAMILLERO ",IF(K74=CURSOS!$D$14,"TOMA DE MUESTRAS Y LABORATORIO ",IF(K74=CURSOS!$D$15,"SOPORTE VITAL BASICO (BLS)",IF(K74=CURSOS!$D$16,"ATENCION A VICTIMAS DE VIOLENCIA SEXUAL ",IF(K74=CURSOS!$D$17,"PROGRAMADO AMPLIADO DE INMUNIZACION (PAI - COVID 19)",IF(K74=CURSOS!$D$18,"ATENCION INTEGRAL EN ENFERMEDADES PREVALENTES EN PRIMERA INFANCIA (AIEPI)",IF(K74=CURSOS!$D$19,"ADMINISTRACION DE MEDICAMENTOS, INYECTOLOGIA  Y CANALIZACION ",IF(K74=CURSOS!$D$20,"OPERADOR DE VEHICULOS DE EMERGENCIA (OVE)",IF(K74=CURSOS!$D$21,"INSTITUCIONES AMIGAS DE LA MUJER Y LA INFANCIA (IAMI)",IF(K74=CURSOS!$D$22,"CUIDADO DEL DONANTE DE ORGANOS",IF(K74=CURSOS!$D$23,"ATENCION A VICTIMAS POR VIOLENCIA DE GENERO",IF(K74=CURSOS!$D$24,"IGUALDAD DE GENERO EN LA SALUD",IF(K74=CURSOS!$D$25,"BRIGADA DE EMERGENCIA",IF(K74=CURSOS!$D$26,"MANEJO DEL DOLOR Y CUIDADOS PALIATIVOS",IF(K74=CURSOS!$D$27,"TOMA DE MUESTRAS Y LABORATORIO POCT",IF(K74=CURSOS!$D$28,"IMPLANTE SUBDERMICO DE DISPOSITIVO INTRAUTERINO",IF(K74=CURSOS!$D$29,"SALUD MENTAL",IF(K74=CURSOS!$D$30,"PRIMEROS AUXILIOS PSICOLOGICOS",IF(K74=CURSOS!$D$31,"ATENCION A VICTIMAS POR CONFLICTO ARMADO",IF(K74=CURSOS!$D$32,"MANIPULACION DE ALIMENTOS Y BPM",IF(K74=CURSOS!$D$33,"ATENCION A PERSONAS CON DISCAPACIDAD",IF(K74=CURSOS!$D$34,"CUIDADO INTEGRAL DEL PACIENTE ADULTO",IF(K74=CURSOS!$D$35,"MANEJO DEFENSIVO",IF(K74=CURSOS!$D$36,"SOPORTE CARDIOVASCULAR AVANZADO NEONATAL",IF(K74=CURSOS!$D$37,"SEGURIDAD DEL PACIENTE")))))))))))))))))))))))))))))))))))</f>
        <v xml:space="preserve">ATENCION A VICTIMAS DE VIOLENCIA SEXUAL </v>
      </c>
      <c r="M74" s="52" t="str">
        <f t="shared" si="9"/>
        <v>Carmen Alicia Nastar Guacales</v>
      </c>
      <c r="N74" s="52" t="str">
        <f t="shared" si="8"/>
        <v>Carmen Alicia Nastar Guacales</v>
      </c>
      <c r="O74" s="52" t="str">
        <f t="shared" si="10"/>
        <v>Carmen Alicia Nastar Guacales-27160756-VIOLENCIA SEXUAL</v>
      </c>
    </row>
    <row r="75" spans="1:15" s="154" customFormat="1" x14ac:dyDescent="0.2">
      <c r="A75" s="149">
        <v>74</v>
      </c>
      <c r="B75" s="149">
        <v>87217857</v>
      </c>
      <c r="C75" s="149" t="s">
        <v>458</v>
      </c>
      <c r="D75" s="149" t="s">
        <v>123</v>
      </c>
      <c r="E75" s="149" t="s">
        <v>489</v>
      </c>
      <c r="F75" s="149" t="s">
        <v>340</v>
      </c>
      <c r="G75" s="150">
        <v>17</v>
      </c>
      <c r="H75" s="14" t="s">
        <v>181</v>
      </c>
      <c r="I75" s="14" t="s">
        <v>86</v>
      </c>
      <c r="J75" s="14" t="s">
        <v>511</v>
      </c>
      <c r="K75" s="15" t="s">
        <v>23</v>
      </c>
      <c r="L75" s="52" t="str">
        <f>IF(K75=CURSOS!$D$3,"DIPLOMADO EN ATENCION PRE-HOSPITALARIA",IF(K75=CURSOS!$D$4,"ACOMPAÑAMIENTO Y MANEJO DEL DUELO",IF(K75=CURSOS!$D$5,"ATENCION A VICTIMAS DE ATAQUE CON AGENTES QUIMICOS ",IF(K75=CURSOS!$D$6,"PRIMEROS AUXILIOS ",IF(K75=CURSOS!$D$7,"DIPLOMADO DE UNIDAD DE CUIDADOS INTENSIVOS (UCI)",IF(K75=CURSOS!$D$8,"MODELO DE ATENCION PARA EVENTOS EMERGENTES EN SALUD MENTAL (CODIGO VERDE)",IF(K75=CURSOS!$D$9,"HUMANIZACION EN EL SERVICIO DE LA SALUD Y BUENAS PRACTICAS EN PACIENTE ",IF(K75=CURSOS!$D$10,"CLINICA DE HERIDAS ",IF(K75=CURSOS!$D$11,"TOMA DE CITOLOGIA CERVICO VAGINAL ",IF(K75=CURSOS!$D$12,"SOPORTE CARDIOVASCULAR AVANZADO (ACLS) ",IF(K75=CURSOS!$D$13,"CAMILLERO ",IF(K75=CURSOS!$D$14,"TOMA DE MUESTRAS Y LABORATORIO ",IF(K75=CURSOS!$D$15,"SOPORTE VITAL BASICO (BLS)",IF(K75=CURSOS!$D$16,"ATENCION A VICTIMAS DE VIOLENCIA SEXUAL ",IF(K75=CURSOS!$D$17,"PROGRAMADO AMPLIADO DE INMUNIZACION (PAI - COVID 19)",IF(K75=CURSOS!$D$18,"ATENCION INTEGRAL EN ENFERMEDADES PREVALENTES EN PRIMERA INFANCIA (AIEPI)",IF(K75=CURSOS!$D$19,"ADMINISTRACION DE MEDICAMENTOS, INYECTOLOGIA  Y CANALIZACION ",IF(K75=CURSOS!$D$20,"OPERADOR DE VEHICULOS DE EMERGENCIA (OVE)",IF(K75=CURSOS!$D$21,"INSTITUCIONES AMIGAS DE LA MUJER Y LA INFANCIA (IAMI)",IF(K75=CURSOS!$D$22,"CUIDADO DEL DONANTE DE ORGANOS",IF(K75=CURSOS!$D$23,"ATENCION A VICTIMAS POR VIOLENCIA DE GENERO",IF(K75=CURSOS!$D$24,"IGUALDAD DE GENERO EN LA SALUD",IF(K75=CURSOS!$D$25,"BRIGADA DE EMERGENCIA",IF(K75=CURSOS!$D$26,"MANEJO DEL DOLOR Y CUIDADOS PALIATIVOS",IF(K75=CURSOS!$D$27,"TOMA DE MUESTRAS Y LABORATORIO POCT",IF(K75=CURSOS!$D$28,"IMPLANTE SUBDERMICO DE DISPOSITIVO INTRAUTERINO",IF(K75=CURSOS!$D$29,"SALUD MENTAL",IF(K75=CURSOS!$D$30,"PRIMEROS AUXILIOS PSICOLOGICOS",IF(K75=CURSOS!$D$31,"ATENCION A VICTIMAS POR CONFLICTO ARMADO",IF(K75=CURSOS!$D$32,"MANIPULACION DE ALIMENTOS Y BPM",IF(K75=CURSOS!$D$33,"ATENCION A PERSONAS CON DISCAPACIDAD",IF(K75=CURSOS!$D$34,"CUIDADO INTEGRAL DEL PACIENTE ADULTO",IF(K75=CURSOS!$D$35,"MANEJO DEFENSIVO",IF(K75=CURSOS!$D$36,"SOPORTE CARDIOVASCULAR AVANZADO NEONATAL",IF(K75=CURSOS!$D$37,"SEGURIDAD DEL PACIENTE")))))))))))))))))))))))))))))))))))</f>
        <v>ACOMPAÑAMIENTO Y MANEJO DEL DUELO</v>
      </c>
      <c r="M75" s="52" t="str">
        <f t="shared" si="9"/>
        <v>Dario Fernando Vallejo Ibarra</v>
      </c>
      <c r="N75" s="52" t="str">
        <f t="shared" si="8"/>
        <v>Dario Fernando Vallejo Ibarra</v>
      </c>
      <c r="O75" s="52" t="str">
        <f t="shared" si="10"/>
        <v>Dario Fernando Vallejo Ibarra-87217857-DUELO</v>
      </c>
    </row>
    <row r="76" spans="1:15" s="154" customFormat="1" x14ac:dyDescent="0.2">
      <c r="A76" s="149">
        <v>75</v>
      </c>
      <c r="B76" s="149">
        <v>87217857</v>
      </c>
      <c r="C76" s="149" t="s">
        <v>458</v>
      </c>
      <c r="D76" s="149" t="s">
        <v>123</v>
      </c>
      <c r="E76" s="149" t="s">
        <v>489</v>
      </c>
      <c r="F76" s="149" t="s">
        <v>340</v>
      </c>
      <c r="G76" s="150">
        <v>17</v>
      </c>
      <c r="H76" s="14" t="s">
        <v>181</v>
      </c>
      <c r="I76" s="14" t="s">
        <v>86</v>
      </c>
      <c r="J76" s="14" t="s">
        <v>511</v>
      </c>
      <c r="K76" s="15" t="s">
        <v>25</v>
      </c>
      <c r="L76" s="52" t="str">
        <f>IF(K76=CURSOS!$D$3,"DIPLOMADO EN ATENCION PRE-HOSPITALARIA",IF(K76=CURSOS!$D$4,"ACOMPAÑAMIENTO Y MANEJO DEL DUELO",IF(K76=CURSOS!$D$5,"ATENCION A VICTIMAS DE ATAQUE CON AGENTES QUIMICOS ",IF(K76=CURSOS!$D$6,"PRIMEROS AUXILIOS ",IF(K76=CURSOS!$D$7,"DIPLOMADO DE UNIDAD DE CUIDADOS INTENSIVOS (UCI)",IF(K76=CURSOS!$D$8,"MODELO DE ATENCION PARA EVENTOS EMERGENTES EN SALUD MENTAL (CODIGO VERDE)",IF(K76=CURSOS!$D$9,"HUMANIZACION EN EL SERVICIO DE LA SALUD Y BUENAS PRACTICAS EN PACIENTE ",IF(K76=CURSOS!$D$10,"CLINICA DE HERIDAS ",IF(K76=CURSOS!$D$11,"TOMA DE CITOLOGIA CERVICO VAGINAL ",IF(K76=CURSOS!$D$12,"SOPORTE CARDIOVASCULAR AVANZADO (ACLS) ",IF(K76=CURSOS!$D$13,"CAMILLERO ",IF(K76=CURSOS!$D$14,"TOMA DE MUESTRAS Y LABORATORIO ",IF(K76=CURSOS!$D$15,"SOPORTE VITAL BASICO (BLS)",IF(K76=CURSOS!$D$16,"ATENCION A VICTIMAS DE VIOLENCIA SEXUAL ",IF(K76=CURSOS!$D$17,"PROGRAMADO AMPLIADO DE INMUNIZACION (PAI - COVID 19)",IF(K76=CURSOS!$D$18,"ATENCION INTEGRAL EN ENFERMEDADES PREVALENTES EN PRIMERA INFANCIA (AIEPI)",IF(K76=CURSOS!$D$19,"ADMINISTRACION DE MEDICAMENTOS, INYECTOLOGIA  Y CANALIZACION ",IF(K76=CURSOS!$D$20,"OPERADOR DE VEHICULOS DE EMERGENCIA (OVE)",IF(K76=CURSOS!$D$21,"INSTITUCIONES AMIGAS DE LA MUJER Y LA INFANCIA (IAMI)",IF(K76=CURSOS!$D$22,"CUIDADO DEL DONANTE DE ORGANOS",IF(K76=CURSOS!$D$23,"ATENCION A VICTIMAS POR VIOLENCIA DE GENERO",IF(K76=CURSOS!$D$24,"IGUALDAD DE GENERO EN LA SALUD",IF(K76=CURSOS!$D$25,"BRIGADA DE EMERGENCIA",IF(K76=CURSOS!$D$26,"MANEJO DEL DOLOR Y CUIDADOS PALIATIVOS",IF(K76=CURSOS!$D$27,"TOMA DE MUESTRAS Y LABORATORIO POCT",IF(K76=CURSOS!$D$28,"IMPLANTE SUBDERMICO DE DISPOSITIVO INTRAUTERINO",IF(K76=CURSOS!$D$29,"SALUD MENTAL",IF(K76=CURSOS!$D$30,"PRIMEROS AUXILIOS PSICOLOGICOS",IF(K76=CURSOS!$D$31,"ATENCION A VICTIMAS POR CONFLICTO ARMADO",IF(K76=CURSOS!$D$32,"MANIPULACION DE ALIMENTOS Y BPM",IF(K76=CURSOS!$D$33,"ATENCION A PERSONAS CON DISCAPACIDAD",IF(K76=CURSOS!$D$34,"CUIDADO INTEGRAL DEL PACIENTE ADULTO",IF(K76=CURSOS!$D$35,"MANEJO DEFENSIVO",IF(K76=CURSOS!$D$36,"SOPORTE CARDIOVASCULAR AVANZADO NEONATAL",IF(K76=CURSOS!$D$37,"SEGURIDAD DEL PACIENTE")))))))))))))))))))))))))))))))))))</f>
        <v xml:space="preserve">ATENCION A VICTIMAS DE ATAQUE CON AGENTES QUIMICOS </v>
      </c>
      <c r="M76" s="52" t="str">
        <f t="shared" si="9"/>
        <v>Dario Fernando Vallejo Ibarra</v>
      </c>
      <c r="N76" s="52" t="str">
        <f t="shared" si="8"/>
        <v>Dario Fernando Vallejo Ibarra</v>
      </c>
      <c r="O76" s="52" t="str">
        <f t="shared" si="10"/>
        <v>Dario Fernando Vallejo Ibarra-87217857-QUIMICOS</v>
      </c>
    </row>
    <row r="77" spans="1:15" s="154" customFormat="1" x14ac:dyDescent="0.2">
      <c r="A77" s="149">
        <v>76</v>
      </c>
      <c r="B77" s="149">
        <v>87217857</v>
      </c>
      <c r="C77" s="149" t="s">
        <v>458</v>
      </c>
      <c r="D77" s="149" t="s">
        <v>123</v>
      </c>
      <c r="E77" s="149" t="s">
        <v>489</v>
      </c>
      <c r="F77" s="149" t="s">
        <v>340</v>
      </c>
      <c r="G77" s="150">
        <v>17</v>
      </c>
      <c r="H77" s="14" t="s">
        <v>181</v>
      </c>
      <c r="I77" s="14" t="s">
        <v>86</v>
      </c>
      <c r="J77" s="14" t="s">
        <v>511</v>
      </c>
      <c r="K77" s="15" t="s">
        <v>43</v>
      </c>
      <c r="L77" s="52" t="str">
        <f>IF(K77=CURSOS!$D$3,"DIPLOMADO EN ATENCION PRE-HOSPITALARIA",IF(K77=CURSOS!$D$4,"ACOMPAÑAMIENTO Y MANEJO DEL DUELO",IF(K77=CURSOS!$D$5,"ATENCION A VICTIMAS DE ATAQUE CON AGENTES QUIMICOS ",IF(K77=CURSOS!$D$6,"PRIMEROS AUXILIOS ",IF(K77=CURSOS!$D$7,"DIPLOMADO DE UNIDAD DE CUIDADOS INTENSIVOS (UCI)",IF(K77=CURSOS!$D$8,"MODELO DE ATENCION PARA EVENTOS EMERGENTES EN SALUD MENTAL (CODIGO VERDE)",IF(K77=CURSOS!$D$9,"HUMANIZACION EN EL SERVICIO DE LA SALUD Y BUENAS PRACTICAS EN PACIENTE ",IF(K77=CURSOS!$D$10,"CLINICA DE HERIDAS ",IF(K77=CURSOS!$D$11,"TOMA DE CITOLOGIA CERVICO VAGINAL ",IF(K77=CURSOS!$D$12,"SOPORTE CARDIOVASCULAR AVANZADO (ACLS) ",IF(K77=CURSOS!$D$13,"CAMILLERO ",IF(K77=CURSOS!$D$14,"TOMA DE MUESTRAS Y LABORATORIO ",IF(K77=CURSOS!$D$15,"SOPORTE VITAL BASICO (BLS)",IF(K77=CURSOS!$D$16,"ATENCION A VICTIMAS DE VIOLENCIA SEXUAL ",IF(K77=CURSOS!$D$17,"PROGRAMADO AMPLIADO DE INMUNIZACION (PAI - COVID 19)",IF(K77=CURSOS!$D$18,"ATENCION INTEGRAL EN ENFERMEDADES PREVALENTES EN PRIMERA INFANCIA (AIEPI)",IF(K77=CURSOS!$D$19,"ADMINISTRACION DE MEDICAMENTOS, INYECTOLOGIA  Y CANALIZACION ",IF(K77=CURSOS!$D$20,"OPERADOR DE VEHICULOS DE EMERGENCIA (OVE)",IF(K77=CURSOS!$D$21,"INSTITUCIONES AMIGAS DE LA MUJER Y LA INFANCIA (IAMI)",IF(K77=CURSOS!$D$22,"CUIDADO DEL DONANTE DE ORGANOS",IF(K77=CURSOS!$D$23,"ATENCION A VICTIMAS POR VIOLENCIA DE GENERO",IF(K77=CURSOS!$D$24,"IGUALDAD DE GENERO EN LA SALUD",IF(K77=CURSOS!$D$25,"BRIGADA DE EMERGENCIA",IF(K77=CURSOS!$D$26,"MANEJO DEL DOLOR Y CUIDADOS PALIATIVOS",IF(K77=CURSOS!$D$27,"TOMA DE MUESTRAS Y LABORATORIO POCT",IF(K77=CURSOS!$D$28,"IMPLANTE SUBDERMICO DE DISPOSITIVO INTRAUTERINO",IF(K77=CURSOS!$D$29,"SALUD MENTAL",IF(K77=CURSOS!$D$30,"PRIMEROS AUXILIOS PSICOLOGICOS",IF(K77=CURSOS!$D$31,"ATENCION A VICTIMAS POR CONFLICTO ARMADO",IF(K77=CURSOS!$D$32,"MANIPULACION DE ALIMENTOS Y BPM",IF(K77=CURSOS!$D$33,"ATENCION A PERSONAS CON DISCAPACIDAD",IF(K77=CURSOS!$D$34,"CUIDADO INTEGRAL DEL PACIENTE ADULTO",IF(K77=CURSOS!$D$35,"MANEJO DEFENSIVO",IF(K77=CURSOS!$D$36,"SOPORTE CARDIOVASCULAR AVANZADO NEONATAL",IF(K77=CURSOS!$D$37,"SEGURIDAD DEL PACIENTE")))))))))))))))))))))))))))))))))))</f>
        <v xml:space="preserve">ATENCION A VICTIMAS DE VIOLENCIA SEXUAL </v>
      </c>
      <c r="M77" s="52" t="str">
        <f t="shared" si="9"/>
        <v>Dario Fernando Vallejo Ibarra</v>
      </c>
      <c r="N77" s="52" t="str">
        <f t="shared" si="8"/>
        <v>Dario Fernando Vallejo Ibarra</v>
      </c>
      <c r="O77" s="52" t="str">
        <f t="shared" si="10"/>
        <v>Dario Fernando Vallejo Ibarra-87217857-VIOLENCIA SEXUAL</v>
      </c>
    </row>
    <row r="78" spans="1:15" s="154" customFormat="1" x14ac:dyDescent="0.2">
      <c r="A78" s="85">
        <v>77</v>
      </c>
      <c r="B78" s="149">
        <v>1086754798</v>
      </c>
      <c r="C78" s="149" t="s">
        <v>92</v>
      </c>
      <c r="D78" s="149" t="s">
        <v>169</v>
      </c>
      <c r="E78" s="149" t="s">
        <v>490</v>
      </c>
      <c r="F78" s="149" t="s">
        <v>491</v>
      </c>
      <c r="G78" s="101">
        <v>17</v>
      </c>
      <c r="H78" s="14" t="s">
        <v>181</v>
      </c>
      <c r="I78" s="14" t="s">
        <v>86</v>
      </c>
      <c r="J78" s="14" t="s">
        <v>511</v>
      </c>
      <c r="K78" s="15" t="s">
        <v>23</v>
      </c>
      <c r="L78" s="52" t="str">
        <f>IF(K78=CURSOS!$D$3,"DIPLOMADO EN ATENCION PRE-HOSPITALARIA",IF(K78=CURSOS!$D$4,"ACOMPAÑAMIENTO Y MANEJO DEL DUELO",IF(K78=CURSOS!$D$5,"ATENCION A VICTIMAS DE ATAQUE CON AGENTES QUIMICOS ",IF(K78=CURSOS!$D$6,"PRIMEROS AUXILIOS ",IF(K78=CURSOS!$D$7,"DIPLOMADO DE UNIDAD DE CUIDADOS INTENSIVOS (UCI)",IF(K78=CURSOS!$D$8,"MODELO DE ATENCION PARA EVENTOS EMERGENTES EN SALUD MENTAL (CODIGO VERDE)",IF(K78=CURSOS!$D$9,"HUMANIZACION EN EL SERVICIO DE LA SALUD Y BUENAS PRACTICAS EN PACIENTE ",IF(K78=CURSOS!$D$10,"CLINICA DE HERIDAS ",IF(K78=CURSOS!$D$11,"TOMA DE CITOLOGIA CERVICO VAGINAL ",IF(K78=CURSOS!$D$12,"SOPORTE CARDIOVASCULAR AVANZADO (ACLS) ",IF(K78=CURSOS!$D$13,"CAMILLERO ",IF(K78=CURSOS!$D$14,"TOMA DE MUESTRAS Y LABORATORIO ",IF(K78=CURSOS!$D$15,"SOPORTE VITAL BASICO (BLS)",IF(K78=CURSOS!$D$16,"ATENCION A VICTIMAS DE VIOLENCIA SEXUAL ",IF(K78=CURSOS!$D$17,"PROGRAMADO AMPLIADO DE INMUNIZACION (PAI - COVID 19)",IF(K78=CURSOS!$D$18,"ATENCION INTEGRAL EN ENFERMEDADES PREVALENTES EN PRIMERA INFANCIA (AIEPI)",IF(K78=CURSOS!$D$19,"ADMINISTRACION DE MEDICAMENTOS, INYECTOLOGIA  Y CANALIZACION ",IF(K78=CURSOS!$D$20,"OPERADOR DE VEHICULOS DE EMERGENCIA (OVE)",IF(K78=CURSOS!$D$21,"INSTITUCIONES AMIGAS DE LA MUJER Y LA INFANCIA (IAMI)",IF(K78=CURSOS!$D$22,"CUIDADO DEL DONANTE DE ORGANOS",IF(K78=CURSOS!$D$23,"ATENCION A VICTIMAS POR VIOLENCIA DE GENERO",IF(K78=CURSOS!$D$24,"IGUALDAD DE GENERO EN LA SALUD",IF(K78=CURSOS!$D$25,"BRIGADA DE EMERGENCIA",IF(K78=CURSOS!$D$26,"MANEJO DEL DOLOR Y CUIDADOS PALIATIVOS",IF(K78=CURSOS!$D$27,"TOMA DE MUESTRAS Y LABORATORIO POCT",IF(K78=CURSOS!$D$28,"IMPLANTE SUBDERMICO DE DISPOSITIVO INTRAUTERINO",IF(K78=CURSOS!$D$29,"SALUD MENTAL",IF(K78=CURSOS!$D$30,"PRIMEROS AUXILIOS PSICOLOGICOS",IF(K78=CURSOS!$D$31,"ATENCION A VICTIMAS POR CONFLICTO ARMADO",IF(K78=CURSOS!$D$32,"MANIPULACION DE ALIMENTOS Y BPM",IF(K78=CURSOS!$D$33,"ATENCION A PERSONAS CON DISCAPACIDAD",IF(K78=CURSOS!$D$34,"CUIDADO INTEGRAL DEL PACIENTE ADULTO",IF(K78=CURSOS!$D$35,"MANEJO DEFENSIVO",IF(K78=CURSOS!$D$36,"SOPORTE CARDIOVASCULAR AVANZADO NEONATAL",IF(K78=CURSOS!$D$37,"SEGURIDAD DEL PACIENTE")))))))))))))))))))))))))))))))))))</f>
        <v>ACOMPAÑAMIENTO Y MANEJO DEL DUELO</v>
      </c>
      <c r="M78" s="52" t="str">
        <f t="shared" si="9"/>
        <v>Dayana Yenifer Rosero Erazo</v>
      </c>
      <c r="N78" s="52" t="str">
        <f t="shared" si="8"/>
        <v>Dayana Yenifer Rosero Erazo</v>
      </c>
      <c r="O78" s="52" t="str">
        <f t="shared" si="10"/>
        <v>Dayana Yenifer Rosero Erazo-1086754798-DUELO</v>
      </c>
    </row>
    <row r="79" spans="1:15" s="154" customFormat="1" x14ac:dyDescent="0.2">
      <c r="A79" s="85">
        <v>78</v>
      </c>
      <c r="B79" s="149">
        <v>1086754798</v>
      </c>
      <c r="C79" s="149" t="s">
        <v>92</v>
      </c>
      <c r="D79" s="149" t="s">
        <v>169</v>
      </c>
      <c r="E79" s="149" t="s">
        <v>490</v>
      </c>
      <c r="F79" s="149" t="s">
        <v>491</v>
      </c>
      <c r="G79" s="101">
        <v>17</v>
      </c>
      <c r="H79" s="14" t="s">
        <v>181</v>
      </c>
      <c r="I79" s="14" t="s">
        <v>86</v>
      </c>
      <c r="J79" s="14" t="s">
        <v>511</v>
      </c>
      <c r="K79" s="15" t="s">
        <v>25</v>
      </c>
      <c r="L79" s="52" t="str">
        <f>IF(K79=CURSOS!$D$3,"DIPLOMADO EN ATENCION PRE-HOSPITALARIA",IF(K79=CURSOS!$D$4,"ACOMPAÑAMIENTO Y MANEJO DEL DUELO",IF(K79=CURSOS!$D$5,"ATENCION A VICTIMAS DE ATAQUE CON AGENTES QUIMICOS ",IF(K79=CURSOS!$D$6,"PRIMEROS AUXILIOS ",IF(K79=CURSOS!$D$7,"DIPLOMADO DE UNIDAD DE CUIDADOS INTENSIVOS (UCI)",IF(K79=CURSOS!$D$8,"MODELO DE ATENCION PARA EVENTOS EMERGENTES EN SALUD MENTAL (CODIGO VERDE)",IF(K79=CURSOS!$D$9,"HUMANIZACION EN EL SERVICIO DE LA SALUD Y BUENAS PRACTICAS EN PACIENTE ",IF(K79=CURSOS!$D$10,"CLINICA DE HERIDAS ",IF(K79=CURSOS!$D$11,"TOMA DE CITOLOGIA CERVICO VAGINAL ",IF(K79=CURSOS!$D$12,"SOPORTE CARDIOVASCULAR AVANZADO (ACLS) ",IF(K79=CURSOS!$D$13,"CAMILLERO ",IF(K79=CURSOS!$D$14,"TOMA DE MUESTRAS Y LABORATORIO ",IF(K79=CURSOS!$D$15,"SOPORTE VITAL BASICO (BLS)",IF(K79=CURSOS!$D$16,"ATENCION A VICTIMAS DE VIOLENCIA SEXUAL ",IF(K79=CURSOS!$D$17,"PROGRAMADO AMPLIADO DE INMUNIZACION (PAI - COVID 19)",IF(K79=CURSOS!$D$18,"ATENCION INTEGRAL EN ENFERMEDADES PREVALENTES EN PRIMERA INFANCIA (AIEPI)",IF(K79=CURSOS!$D$19,"ADMINISTRACION DE MEDICAMENTOS, INYECTOLOGIA  Y CANALIZACION ",IF(K79=CURSOS!$D$20,"OPERADOR DE VEHICULOS DE EMERGENCIA (OVE)",IF(K79=CURSOS!$D$21,"INSTITUCIONES AMIGAS DE LA MUJER Y LA INFANCIA (IAMI)",IF(K79=CURSOS!$D$22,"CUIDADO DEL DONANTE DE ORGANOS",IF(K79=CURSOS!$D$23,"ATENCION A VICTIMAS POR VIOLENCIA DE GENERO",IF(K79=CURSOS!$D$24,"IGUALDAD DE GENERO EN LA SALUD",IF(K79=CURSOS!$D$25,"BRIGADA DE EMERGENCIA",IF(K79=CURSOS!$D$26,"MANEJO DEL DOLOR Y CUIDADOS PALIATIVOS",IF(K79=CURSOS!$D$27,"TOMA DE MUESTRAS Y LABORATORIO POCT",IF(K79=CURSOS!$D$28,"IMPLANTE SUBDERMICO DE DISPOSITIVO INTRAUTERINO",IF(K79=CURSOS!$D$29,"SALUD MENTAL",IF(K79=CURSOS!$D$30,"PRIMEROS AUXILIOS PSICOLOGICOS",IF(K79=CURSOS!$D$31,"ATENCION A VICTIMAS POR CONFLICTO ARMADO",IF(K79=CURSOS!$D$32,"MANIPULACION DE ALIMENTOS Y BPM",IF(K79=CURSOS!$D$33,"ATENCION A PERSONAS CON DISCAPACIDAD",IF(K79=CURSOS!$D$34,"CUIDADO INTEGRAL DEL PACIENTE ADULTO",IF(K79=CURSOS!$D$35,"MANEJO DEFENSIVO",IF(K79=CURSOS!$D$36,"SOPORTE CARDIOVASCULAR AVANZADO NEONATAL",IF(K79=CURSOS!$D$37,"SEGURIDAD DEL PACIENTE")))))))))))))))))))))))))))))))))))</f>
        <v xml:space="preserve">ATENCION A VICTIMAS DE ATAQUE CON AGENTES QUIMICOS </v>
      </c>
      <c r="M79" s="52" t="str">
        <f t="shared" si="9"/>
        <v>Dayana Yenifer Rosero Erazo</v>
      </c>
      <c r="N79" s="52" t="str">
        <f t="shared" si="8"/>
        <v>Dayana Yenifer Rosero Erazo</v>
      </c>
      <c r="O79" s="52" t="str">
        <f t="shared" si="10"/>
        <v>Dayana Yenifer Rosero Erazo-1086754798-QUIMICOS</v>
      </c>
    </row>
    <row r="80" spans="1:15" s="154" customFormat="1" x14ac:dyDescent="0.2">
      <c r="A80" s="149">
        <v>79</v>
      </c>
      <c r="B80" s="149">
        <v>1086754798</v>
      </c>
      <c r="C80" s="149" t="s">
        <v>92</v>
      </c>
      <c r="D80" s="149" t="s">
        <v>169</v>
      </c>
      <c r="E80" s="149" t="s">
        <v>490</v>
      </c>
      <c r="F80" s="149" t="s">
        <v>491</v>
      </c>
      <c r="G80" s="101">
        <v>17</v>
      </c>
      <c r="H80" s="14" t="s">
        <v>181</v>
      </c>
      <c r="I80" s="14" t="s">
        <v>86</v>
      </c>
      <c r="J80" s="14" t="s">
        <v>511</v>
      </c>
      <c r="K80" s="15" t="s">
        <v>43</v>
      </c>
      <c r="L80" s="52" t="str">
        <f>IF(K80=CURSOS!$D$3,"DIPLOMADO EN ATENCION PRE-HOSPITALARIA",IF(K80=CURSOS!$D$4,"ACOMPAÑAMIENTO Y MANEJO DEL DUELO",IF(K80=CURSOS!$D$5,"ATENCION A VICTIMAS DE ATAQUE CON AGENTES QUIMICOS ",IF(K80=CURSOS!$D$6,"PRIMEROS AUXILIOS ",IF(K80=CURSOS!$D$7,"DIPLOMADO DE UNIDAD DE CUIDADOS INTENSIVOS (UCI)",IF(K80=CURSOS!$D$8,"MODELO DE ATENCION PARA EVENTOS EMERGENTES EN SALUD MENTAL (CODIGO VERDE)",IF(K80=CURSOS!$D$9,"HUMANIZACION EN EL SERVICIO DE LA SALUD Y BUENAS PRACTICAS EN PACIENTE ",IF(K80=CURSOS!$D$10,"CLINICA DE HERIDAS ",IF(K80=CURSOS!$D$11,"TOMA DE CITOLOGIA CERVICO VAGINAL ",IF(K80=CURSOS!$D$12,"SOPORTE CARDIOVASCULAR AVANZADO (ACLS) ",IF(K80=CURSOS!$D$13,"CAMILLERO ",IF(K80=CURSOS!$D$14,"TOMA DE MUESTRAS Y LABORATORIO ",IF(K80=CURSOS!$D$15,"SOPORTE VITAL BASICO (BLS)",IF(K80=CURSOS!$D$16,"ATENCION A VICTIMAS DE VIOLENCIA SEXUAL ",IF(K80=CURSOS!$D$17,"PROGRAMADO AMPLIADO DE INMUNIZACION (PAI - COVID 19)",IF(K80=CURSOS!$D$18,"ATENCION INTEGRAL EN ENFERMEDADES PREVALENTES EN PRIMERA INFANCIA (AIEPI)",IF(K80=CURSOS!$D$19,"ADMINISTRACION DE MEDICAMENTOS, INYECTOLOGIA  Y CANALIZACION ",IF(K80=CURSOS!$D$20,"OPERADOR DE VEHICULOS DE EMERGENCIA (OVE)",IF(K80=CURSOS!$D$21,"INSTITUCIONES AMIGAS DE LA MUJER Y LA INFANCIA (IAMI)",IF(K80=CURSOS!$D$22,"CUIDADO DEL DONANTE DE ORGANOS",IF(K80=CURSOS!$D$23,"ATENCION A VICTIMAS POR VIOLENCIA DE GENERO",IF(K80=CURSOS!$D$24,"IGUALDAD DE GENERO EN LA SALUD",IF(K80=CURSOS!$D$25,"BRIGADA DE EMERGENCIA",IF(K80=CURSOS!$D$26,"MANEJO DEL DOLOR Y CUIDADOS PALIATIVOS",IF(K80=CURSOS!$D$27,"TOMA DE MUESTRAS Y LABORATORIO POCT",IF(K80=CURSOS!$D$28,"IMPLANTE SUBDERMICO DE DISPOSITIVO INTRAUTERINO",IF(K80=CURSOS!$D$29,"SALUD MENTAL",IF(K80=CURSOS!$D$30,"PRIMEROS AUXILIOS PSICOLOGICOS",IF(K80=CURSOS!$D$31,"ATENCION A VICTIMAS POR CONFLICTO ARMADO",IF(K80=CURSOS!$D$32,"MANIPULACION DE ALIMENTOS Y BPM",IF(K80=CURSOS!$D$33,"ATENCION A PERSONAS CON DISCAPACIDAD",IF(K80=CURSOS!$D$34,"CUIDADO INTEGRAL DEL PACIENTE ADULTO",IF(K80=CURSOS!$D$35,"MANEJO DEFENSIVO",IF(K80=CURSOS!$D$36,"SOPORTE CARDIOVASCULAR AVANZADO NEONATAL",IF(K80=CURSOS!$D$37,"SEGURIDAD DEL PACIENTE")))))))))))))))))))))))))))))))))))</f>
        <v xml:space="preserve">ATENCION A VICTIMAS DE VIOLENCIA SEXUAL </v>
      </c>
      <c r="M80" s="52" t="str">
        <f t="shared" si="9"/>
        <v>Dayana Yenifer Rosero Erazo</v>
      </c>
      <c r="N80" s="52" t="str">
        <f t="shared" si="8"/>
        <v>Dayana Yenifer Rosero Erazo</v>
      </c>
      <c r="O80" s="52" t="str">
        <f t="shared" si="10"/>
        <v>Dayana Yenifer Rosero Erazo-1086754798-VIOLENCIA SEXUAL</v>
      </c>
    </row>
    <row r="81" spans="1:15" s="154" customFormat="1" x14ac:dyDescent="0.2">
      <c r="A81" s="149">
        <v>80</v>
      </c>
      <c r="B81" s="149">
        <v>1085340686</v>
      </c>
      <c r="C81" s="149" t="s">
        <v>459</v>
      </c>
      <c r="D81" s="149" t="s">
        <v>460</v>
      </c>
      <c r="E81" s="149" t="s">
        <v>381</v>
      </c>
      <c r="F81" s="149" t="s">
        <v>134</v>
      </c>
      <c r="G81" s="150">
        <v>17</v>
      </c>
      <c r="H81" s="14" t="s">
        <v>181</v>
      </c>
      <c r="I81" s="14" t="s">
        <v>86</v>
      </c>
      <c r="J81" s="14" t="s">
        <v>511</v>
      </c>
      <c r="K81" s="15" t="s">
        <v>23</v>
      </c>
      <c r="L81" s="52" t="str">
        <f>IF(K81=CURSOS!$D$3,"DIPLOMADO EN ATENCION PRE-HOSPITALARIA",IF(K81=CURSOS!$D$4,"ACOMPAÑAMIENTO Y MANEJO DEL DUELO",IF(K81=CURSOS!$D$5,"ATENCION A VICTIMAS DE ATAQUE CON AGENTES QUIMICOS ",IF(K81=CURSOS!$D$6,"PRIMEROS AUXILIOS ",IF(K81=CURSOS!$D$7,"DIPLOMADO DE UNIDAD DE CUIDADOS INTENSIVOS (UCI)",IF(K81=CURSOS!$D$8,"MODELO DE ATENCION PARA EVENTOS EMERGENTES EN SALUD MENTAL (CODIGO VERDE)",IF(K81=CURSOS!$D$9,"HUMANIZACION EN EL SERVICIO DE LA SALUD Y BUENAS PRACTICAS EN PACIENTE ",IF(K81=CURSOS!$D$10,"CLINICA DE HERIDAS ",IF(K81=CURSOS!$D$11,"TOMA DE CITOLOGIA CERVICO VAGINAL ",IF(K81=CURSOS!$D$12,"SOPORTE CARDIOVASCULAR AVANZADO (ACLS) ",IF(K81=CURSOS!$D$13,"CAMILLERO ",IF(K81=CURSOS!$D$14,"TOMA DE MUESTRAS Y LABORATORIO ",IF(K81=CURSOS!$D$15,"SOPORTE VITAL BASICO (BLS)",IF(K81=CURSOS!$D$16,"ATENCION A VICTIMAS DE VIOLENCIA SEXUAL ",IF(K81=CURSOS!$D$17,"PROGRAMADO AMPLIADO DE INMUNIZACION (PAI - COVID 19)",IF(K81=CURSOS!$D$18,"ATENCION INTEGRAL EN ENFERMEDADES PREVALENTES EN PRIMERA INFANCIA (AIEPI)",IF(K81=CURSOS!$D$19,"ADMINISTRACION DE MEDICAMENTOS, INYECTOLOGIA  Y CANALIZACION ",IF(K81=CURSOS!$D$20,"OPERADOR DE VEHICULOS DE EMERGENCIA (OVE)",IF(K81=CURSOS!$D$21,"INSTITUCIONES AMIGAS DE LA MUJER Y LA INFANCIA (IAMI)",IF(K81=CURSOS!$D$22,"CUIDADO DEL DONANTE DE ORGANOS",IF(K81=CURSOS!$D$23,"ATENCION A VICTIMAS POR VIOLENCIA DE GENERO",IF(K81=CURSOS!$D$24,"IGUALDAD DE GENERO EN LA SALUD",IF(K81=CURSOS!$D$25,"BRIGADA DE EMERGENCIA",IF(K81=CURSOS!$D$26,"MANEJO DEL DOLOR Y CUIDADOS PALIATIVOS",IF(K81=CURSOS!$D$27,"TOMA DE MUESTRAS Y LABORATORIO POCT",IF(K81=CURSOS!$D$28,"IMPLANTE SUBDERMICO DE DISPOSITIVO INTRAUTERINO",IF(K81=CURSOS!$D$29,"SALUD MENTAL",IF(K81=CURSOS!$D$30,"PRIMEROS AUXILIOS PSICOLOGICOS",IF(K81=CURSOS!$D$31,"ATENCION A VICTIMAS POR CONFLICTO ARMADO",IF(K81=CURSOS!$D$32,"MANIPULACION DE ALIMENTOS Y BPM",IF(K81=CURSOS!$D$33,"ATENCION A PERSONAS CON DISCAPACIDAD",IF(K81=CURSOS!$D$34,"CUIDADO INTEGRAL DEL PACIENTE ADULTO",IF(K81=CURSOS!$D$35,"MANEJO DEFENSIVO",IF(K81=CURSOS!$D$36,"SOPORTE CARDIOVASCULAR AVANZADO NEONATAL",IF(K81=CURSOS!$D$37,"SEGURIDAD DEL PACIENTE")))))))))))))))))))))))))))))))))))</f>
        <v>ACOMPAÑAMIENTO Y MANEJO DEL DUELO</v>
      </c>
      <c r="M81" s="52" t="str">
        <f t="shared" si="9"/>
        <v>Angie Lorena Cifuentes Cañar</v>
      </c>
      <c r="N81" s="52" t="str">
        <f t="shared" si="8"/>
        <v>Angie Lorena Cifuentes Cañar</v>
      </c>
      <c r="O81" s="52" t="str">
        <f t="shared" si="10"/>
        <v>Angie Lorena Cifuentes Cañar-1085340686-DUELO</v>
      </c>
    </row>
    <row r="82" spans="1:15" s="154" customFormat="1" x14ac:dyDescent="0.2">
      <c r="A82" s="149">
        <v>81</v>
      </c>
      <c r="B82" s="149">
        <v>1085340686</v>
      </c>
      <c r="C82" s="149" t="s">
        <v>459</v>
      </c>
      <c r="D82" s="149" t="s">
        <v>460</v>
      </c>
      <c r="E82" s="149" t="s">
        <v>381</v>
      </c>
      <c r="F82" s="149" t="s">
        <v>134</v>
      </c>
      <c r="G82" s="150">
        <v>17</v>
      </c>
      <c r="H82" s="14" t="s">
        <v>181</v>
      </c>
      <c r="I82" s="14" t="s">
        <v>86</v>
      </c>
      <c r="J82" s="14" t="s">
        <v>511</v>
      </c>
      <c r="K82" s="15" t="s">
        <v>25</v>
      </c>
      <c r="L82" s="52" t="str">
        <f>IF(K82=CURSOS!$D$3,"DIPLOMADO EN ATENCION PRE-HOSPITALARIA",IF(K82=CURSOS!$D$4,"ACOMPAÑAMIENTO Y MANEJO DEL DUELO",IF(K82=CURSOS!$D$5,"ATENCION A VICTIMAS DE ATAQUE CON AGENTES QUIMICOS ",IF(K82=CURSOS!$D$6,"PRIMEROS AUXILIOS ",IF(K82=CURSOS!$D$7,"DIPLOMADO DE UNIDAD DE CUIDADOS INTENSIVOS (UCI)",IF(K82=CURSOS!$D$8,"MODELO DE ATENCION PARA EVENTOS EMERGENTES EN SALUD MENTAL (CODIGO VERDE)",IF(K82=CURSOS!$D$9,"HUMANIZACION EN EL SERVICIO DE LA SALUD Y BUENAS PRACTICAS EN PACIENTE ",IF(K82=CURSOS!$D$10,"CLINICA DE HERIDAS ",IF(K82=CURSOS!$D$11,"TOMA DE CITOLOGIA CERVICO VAGINAL ",IF(K82=CURSOS!$D$12,"SOPORTE CARDIOVASCULAR AVANZADO (ACLS) ",IF(K82=CURSOS!$D$13,"CAMILLERO ",IF(K82=CURSOS!$D$14,"TOMA DE MUESTRAS Y LABORATORIO ",IF(K82=CURSOS!$D$15,"SOPORTE VITAL BASICO (BLS)",IF(K82=CURSOS!$D$16,"ATENCION A VICTIMAS DE VIOLENCIA SEXUAL ",IF(K82=CURSOS!$D$17,"PROGRAMADO AMPLIADO DE INMUNIZACION (PAI - COVID 19)",IF(K82=CURSOS!$D$18,"ATENCION INTEGRAL EN ENFERMEDADES PREVALENTES EN PRIMERA INFANCIA (AIEPI)",IF(K82=CURSOS!$D$19,"ADMINISTRACION DE MEDICAMENTOS, INYECTOLOGIA  Y CANALIZACION ",IF(K82=CURSOS!$D$20,"OPERADOR DE VEHICULOS DE EMERGENCIA (OVE)",IF(K82=CURSOS!$D$21,"INSTITUCIONES AMIGAS DE LA MUJER Y LA INFANCIA (IAMI)",IF(K82=CURSOS!$D$22,"CUIDADO DEL DONANTE DE ORGANOS",IF(K82=CURSOS!$D$23,"ATENCION A VICTIMAS POR VIOLENCIA DE GENERO",IF(K82=CURSOS!$D$24,"IGUALDAD DE GENERO EN LA SALUD",IF(K82=CURSOS!$D$25,"BRIGADA DE EMERGENCIA",IF(K82=CURSOS!$D$26,"MANEJO DEL DOLOR Y CUIDADOS PALIATIVOS",IF(K82=CURSOS!$D$27,"TOMA DE MUESTRAS Y LABORATORIO POCT",IF(K82=CURSOS!$D$28,"IMPLANTE SUBDERMICO DE DISPOSITIVO INTRAUTERINO",IF(K82=CURSOS!$D$29,"SALUD MENTAL",IF(K82=CURSOS!$D$30,"PRIMEROS AUXILIOS PSICOLOGICOS",IF(K82=CURSOS!$D$31,"ATENCION A VICTIMAS POR CONFLICTO ARMADO",IF(K82=CURSOS!$D$32,"MANIPULACION DE ALIMENTOS Y BPM",IF(K82=CURSOS!$D$33,"ATENCION A PERSONAS CON DISCAPACIDAD",IF(K82=CURSOS!$D$34,"CUIDADO INTEGRAL DEL PACIENTE ADULTO",IF(K82=CURSOS!$D$35,"MANEJO DEFENSIVO",IF(K82=CURSOS!$D$36,"SOPORTE CARDIOVASCULAR AVANZADO NEONATAL",IF(K82=CURSOS!$D$37,"SEGURIDAD DEL PACIENTE")))))))))))))))))))))))))))))))))))</f>
        <v xml:space="preserve">ATENCION A VICTIMAS DE ATAQUE CON AGENTES QUIMICOS </v>
      </c>
      <c r="M82" s="52" t="str">
        <f t="shared" si="9"/>
        <v>Angie Lorena Cifuentes Cañar</v>
      </c>
      <c r="N82" s="52" t="str">
        <f t="shared" si="8"/>
        <v>Angie Lorena Cifuentes Cañar</v>
      </c>
      <c r="O82" s="52" t="str">
        <f t="shared" si="10"/>
        <v>Angie Lorena Cifuentes Cañar-1085340686-QUIMICOS</v>
      </c>
    </row>
    <row r="83" spans="1:15" s="154" customFormat="1" x14ac:dyDescent="0.2">
      <c r="A83" s="149">
        <v>82</v>
      </c>
      <c r="B83" s="149">
        <v>1085340686</v>
      </c>
      <c r="C83" s="149" t="s">
        <v>459</v>
      </c>
      <c r="D83" s="149" t="s">
        <v>460</v>
      </c>
      <c r="E83" s="149" t="s">
        <v>381</v>
      </c>
      <c r="F83" s="149" t="s">
        <v>134</v>
      </c>
      <c r="G83" s="150">
        <v>17</v>
      </c>
      <c r="H83" s="14" t="s">
        <v>181</v>
      </c>
      <c r="I83" s="14" t="s">
        <v>86</v>
      </c>
      <c r="J83" s="14" t="s">
        <v>511</v>
      </c>
      <c r="K83" s="15" t="s">
        <v>43</v>
      </c>
      <c r="L83" s="52" t="str">
        <f>IF(K83=CURSOS!$D$3,"DIPLOMADO EN ATENCION PRE-HOSPITALARIA",IF(K83=CURSOS!$D$4,"ACOMPAÑAMIENTO Y MANEJO DEL DUELO",IF(K83=CURSOS!$D$5,"ATENCION A VICTIMAS DE ATAQUE CON AGENTES QUIMICOS ",IF(K83=CURSOS!$D$6,"PRIMEROS AUXILIOS ",IF(K83=CURSOS!$D$7,"DIPLOMADO DE UNIDAD DE CUIDADOS INTENSIVOS (UCI)",IF(K83=CURSOS!$D$8,"MODELO DE ATENCION PARA EVENTOS EMERGENTES EN SALUD MENTAL (CODIGO VERDE)",IF(K83=CURSOS!$D$9,"HUMANIZACION EN EL SERVICIO DE LA SALUD Y BUENAS PRACTICAS EN PACIENTE ",IF(K83=CURSOS!$D$10,"CLINICA DE HERIDAS ",IF(K83=CURSOS!$D$11,"TOMA DE CITOLOGIA CERVICO VAGINAL ",IF(K83=CURSOS!$D$12,"SOPORTE CARDIOVASCULAR AVANZADO (ACLS) ",IF(K83=CURSOS!$D$13,"CAMILLERO ",IF(K83=CURSOS!$D$14,"TOMA DE MUESTRAS Y LABORATORIO ",IF(K83=CURSOS!$D$15,"SOPORTE VITAL BASICO (BLS)",IF(K83=CURSOS!$D$16,"ATENCION A VICTIMAS DE VIOLENCIA SEXUAL ",IF(K83=CURSOS!$D$17,"PROGRAMADO AMPLIADO DE INMUNIZACION (PAI - COVID 19)",IF(K83=CURSOS!$D$18,"ATENCION INTEGRAL EN ENFERMEDADES PREVALENTES EN PRIMERA INFANCIA (AIEPI)",IF(K83=CURSOS!$D$19,"ADMINISTRACION DE MEDICAMENTOS, INYECTOLOGIA  Y CANALIZACION ",IF(K83=CURSOS!$D$20,"OPERADOR DE VEHICULOS DE EMERGENCIA (OVE)",IF(K83=CURSOS!$D$21,"INSTITUCIONES AMIGAS DE LA MUJER Y LA INFANCIA (IAMI)",IF(K83=CURSOS!$D$22,"CUIDADO DEL DONANTE DE ORGANOS",IF(K83=CURSOS!$D$23,"ATENCION A VICTIMAS POR VIOLENCIA DE GENERO",IF(K83=CURSOS!$D$24,"IGUALDAD DE GENERO EN LA SALUD",IF(K83=CURSOS!$D$25,"BRIGADA DE EMERGENCIA",IF(K83=CURSOS!$D$26,"MANEJO DEL DOLOR Y CUIDADOS PALIATIVOS",IF(K83=CURSOS!$D$27,"TOMA DE MUESTRAS Y LABORATORIO POCT",IF(K83=CURSOS!$D$28,"IMPLANTE SUBDERMICO DE DISPOSITIVO INTRAUTERINO",IF(K83=CURSOS!$D$29,"SALUD MENTAL",IF(K83=CURSOS!$D$30,"PRIMEROS AUXILIOS PSICOLOGICOS",IF(K83=CURSOS!$D$31,"ATENCION A VICTIMAS POR CONFLICTO ARMADO",IF(K83=CURSOS!$D$32,"MANIPULACION DE ALIMENTOS Y BPM",IF(K83=CURSOS!$D$33,"ATENCION A PERSONAS CON DISCAPACIDAD",IF(K83=CURSOS!$D$34,"CUIDADO INTEGRAL DEL PACIENTE ADULTO",IF(K83=CURSOS!$D$35,"MANEJO DEFENSIVO",IF(K83=CURSOS!$D$36,"SOPORTE CARDIOVASCULAR AVANZADO NEONATAL",IF(K83=CURSOS!$D$37,"SEGURIDAD DEL PACIENTE")))))))))))))))))))))))))))))))))))</f>
        <v xml:space="preserve">ATENCION A VICTIMAS DE VIOLENCIA SEXUAL </v>
      </c>
      <c r="M83" s="52" t="str">
        <f t="shared" si="9"/>
        <v>Angie Lorena Cifuentes Cañar</v>
      </c>
      <c r="N83" s="52" t="str">
        <f t="shared" si="8"/>
        <v>Angie Lorena Cifuentes Cañar</v>
      </c>
      <c r="O83" s="52" t="str">
        <f t="shared" si="10"/>
        <v>Angie Lorena Cifuentes Cañar-1085340686-VIOLENCIA SEXUAL</v>
      </c>
    </row>
    <row r="84" spans="1:15" s="154" customFormat="1" x14ac:dyDescent="0.2">
      <c r="A84" s="149">
        <v>83</v>
      </c>
      <c r="B84" s="149">
        <v>1007268384</v>
      </c>
      <c r="C84" s="149" t="s">
        <v>478</v>
      </c>
      <c r="D84" s="149" t="s">
        <v>461</v>
      </c>
      <c r="E84" s="149" t="s">
        <v>492</v>
      </c>
      <c r="F84" s="149"/>
      <c r="G84" s="150">
        <v>17</v>
      </c>
      <c r="H84" s="14" t="s">
        <v>181</v>
      </c>
      <c r="I84" s="14" t="s">
        <v>86</v>
      </c>
      <c r="J84" s="14" t="s">
        <v>511</v>
      </c>
      <c r="K84" s="15" t="s">
        <v>23</v>
      </c>
      <c r="L84" s="52" t="str">
        <f>IF(K84=CURSOS!$D$3,"DIPLOMADO EN ATENCION PRE-HOSPITALARIA",IF(K84=CURSOS!$D$4,"ACOMPAÑAMIENTO Y MANEJO DEL DUELO",IF(K84=CURSOS!$D$5,"ATENCION A VICTIMAS DE ATAQUE CON AGENTES QUIMICOS ",IF(K84=CURSOS!$D$6,"PRIMEROS AUXILIOS ",IF(K84=CURSOS!$D$7,"DIPLOMADO DE UNIDAD DE CUIDADOS INTENSIVOS (UCI)",IF(K84=CURSOS!$D$8,"MODELO DE ATENCION PARA EVENTOS EMERGENTES EN SALUD MENTAL (CODIGO VERDE)",IF(K84=CURSOS!$D$9,"HUMANIZACION EN EL SERVICIO DE LA SALUD Y BUENAS PRACTICAS EN PACIENTE ",IF(K84=CURSOS!$D$10,"CLINICA DE HERIDAS ",IF(K84=CURSOS!$D$11,"TOMA DE CITOLOGIA CERVICO VAGINAL ",IF(K84=CURSOS!$D$12,"SOPORTE CARDIOVASCULAR AVANZADO (ACLS) ",IF(K84=CURSOS!$D$13,"CAMILLERO ",IF(K84=CURSOS!$D$14,"TOMA DE MUESTRAS Y LABORATORIO ",IF(K84=CURSOS!$D$15,"SOPORTE VITAL BASICO (BLS)",IF(K84=CURSOS!$D$16,"ATENCION A VICTIMAS DE VIOLENCIA SEXUAL ",IF(K84=CURSOS!$D$17,"PROGRAMADO AMPLIADO DE INMUNIZACION (PAI - COVID 19)",IF(K84=CURSOS!$D$18,"ATENCION INTEGRAL EN ENFERMEDADES PREVALENTES EN PRIMERA INFANCIA (AIEPI)",IF(K84=CURSOS!$D$19,"ADMINISTRACION DE MEDICAMENTOS, INYECTOLOGIA  Y CANALIZACION ",IF(K84=CURSOS!$D$20,"OPERADOR DE VEHICULOS DE EMERGENCIA (OVE)",IF(K84=CURSOS!$D$21,"INSTITUCIONES AMIGAS DE LA MUJER Y LA INFANCIA (IAMI)",IF(K84=CURSOS!$D$22,"CUIDADO DEL DONANTE DE ORGANOS",IF(K84=CURSOS!$D$23,"ATENCION A VICTIMAS POR VIOLENCIA DE GENERO",IF(K84=CURSOS!$D$24,"IGUALDAD DE GENERO EN LA SALUD",IF(K84=CURSOS!$D$25,"BRIGADA DE EMERGENCIA",IF(K84=CURSOS!$D$26,"MANEJO DEL DOLOR Y CUIDADOS PALIATIVOS",IF(K84=CURSOS!$D$27,"TOMA DE MUESTRAS Y LABORATORIO POCT",IF(K84=CURSOS!$D$28,"IMPLANTE SUBDERMICO DE DISPOSITIVO INTRAUTERINO",IF(K84=CURSOS!$D$29,"SALUD MENTAL",IF(K84=CURSOS!$D$30,"PRIMEROS AUXILIOS PSICOLOGICOS",IF(K84=CURSOS!$D$31,"ATENCION A VICTIMAS POR CONFLICTO ARMADO",IF(K84=CURSOS!$D$32,"MANIPULACION DE ALIMENTOS Y BPM",IF(K84=CURSOS!$D$33,"ATENCION A PERSONAS CON DISCAPACIDAD",IF(K84=CURSOS!$D$34,"CUIDADO INTEGRAL DEL PACIENTE ADULTO",IF(K84=CURSOS!$D$35,"MANEJO DEFENSIVO",IF(K84=CURSOS!$D$36,"SOPORTE CARDIOVASCULAR AVANZADO NEONATAL",IF(K84=CURSOS!$D$37,"SEGURIDAD DEL PACIENTE")))))))))))))))))))))))))))))))))))</f>
        <v>ACOMPAÑAMIENTO Y MANEJO DEL DUELO</v>
      </c>
      <c r="M84" s="52" t="str">
        <f t="shared" si="9"/>
        <v>Elizabeth  Arcos Medina</v>
      </c>
      <c r="N84" s="52" t="str">
        <f t="shared" si="8"/>
        <v>Elizabeth  Arcos Medina</v>
      </c>
      <c r="O84" s="52" t="str">
        <f t="shared" si="10"/>
        <v>Elizabeth  Arcos Medina-1007268384-DUELO</v>
      </c>
    </row>
    <row r="85" spans="1:15" s="154" customFormat="1" x14ac:dyDescent="0.2">
      <c r="A85" s="149">
        <v>84</v>
      </c>
      <c r="B85" s="149">
        <v>1007268384</v>
      </c>
      <c r="C85" s="149" t="s">
        <v>478</v>
      </c>
      <c r="D85" s="149" t="s">
        <v>461</v>
      </c>
      <c r="E85" s="149" t="s">
        <v>492</v>
      </c>
      <c r="F85" s="149"/>
      <c r="G85" s="150">
        <v>17</v>
      </c>
      <c r="H85" s="14" t="s">
        <v>181</v>
      </c>
      <c r="I85" s="14" t="s">
        <v>86</v>
      </c>
      <c r="J85" s="14" t="s">
        <v>511</v>
      </c>
      <c r="K85" s="15" t="s">
        <v>25</v>
      </c>
      <c r="L85" s="52" t="str">
        <f>IF(K85=CURSOS!$D$3,"DIPLOMADO EN ATENCION PRE-HOSPITALARIA",IF(K85=CURSOS!$D$4,"ACOMPAÑAMIENTO Y MANEJO DEL DUELO",IF(K85=CURSOS!$D$5,"ATENCION A VICTIMAS DE ATAQUE CON AGENTES QUIMICOS ",IF(K85=CURSOS!$D$6,"PRIMEROS AUXILIOS ",IF(K85=CURSOS!$D$7,"DIPLOMADO DE UNIDAD DE CUIDADOS INTENSIVOS (UCI)",IF(K85=CURSOS!$D$8,"MODELO DE ATENCION PARA EVENTOS EMERGENTES EN SALUD MENTAL (CODIGO VERDE)",IF(K85=CURSOS!$D$9,"HUMANIZACION EN EL SERVICIO DE LA SALUD Y BUENAS PRACTICAS EN PACIENTE ",IF(K85=CURSOS!$D$10,"CLINICA DE HERIDAS ",IF(K85=CURSOS!$D$11,"TOMA DE CITOLOGIA CERVICO VAGINAL ",IF(K85=CURSOS!$D$12,"SOPORTE CARDIOVASCULAR AVANZADO (ACLS) ",IF(K85=CURSOS!$D$13,"CAMILLERO ",IF(K85=CURSOS!$D$14,"TOMA DE MUESTRAS Y LABORATORIO ",IF(K85=CURSOS!$D$15,"SOPORTE VITAL BASICO (BLS)",IF(K85=CURSOS!$D$16,"ATENCION A VICTIMAS DE VIOLENCIA SEXUAL ",IF(K85=CURSOS!$D$17,"PROGRAMADO AMPLIADO DE INMUNIZACION (PAI - COVID 19)",IF(K85=CURSOS!$D$18,"ATENCION INTEGRAL EN ENFERMEDADES PREVALENTES EN PRIMERA INFANCIA (AIEPI)",IF(K85=CURSOS!$D$19,"ADMINISTRACION DE MEDICAMENTOS, INYECTOLOGIA  Y CANALIZACION ",IF(K85=CURSOS!$D$20,"OPERADOR DE VEHICULOS DE EMERGENCIA (OVE)",IF(K85=CURSOS!$D$21,"INSTITUCIONES AMIGAS DE LA MUJER Y LA INFANCIA (IAMI)",IF(K85=CURSOS!$D$22,"CUIDADO DEL DONANTE DE ORGANOS",IF(K85=CURSOS!$D$23,"ATENCION A VICTIMAS POR VIOLENCIA DE GENERO",IF(K85=CURSOS!$D$24,"IGUALDAD DE GENERO EN LA SALUD",IF(K85=CURSOS!$D$25,"BRIGADA DE EMERGENCIA",IF(K85=CURSOS!$D$26,"MANEJO DEL DOLOR Y CUIDADOS PALIATIVOS",IF(K85=CURSOS!$D$27,"TOMA DE MUESTRAS Y LABORATORIO POCT",IF(K85=CURSOS!$D$28,"IMPLANTE SUBDERMICO DE DISPOSITIVO INTRAUTERINO",IF(K85=CURSOS!$D$29,"SALUD MENTAL",IF(K85=CURSOS!$D$30,"PRIMEROS AUXILIOS PSICOLOGICOS",IF(K85=CURSOS!$D$31,"ATENCION A VICTIMAS POR CONFLICTO ARMADO",IF(K85=CURSOS!$D$32,"MANIPULACION DE ALIMENTOS Y BPM",IF(K85=CURSOS!$D$33,"ATENCION A PERSONAS CON DISCAPACIDAD",IF(K85=CURSOS!$D$34,"CUIDADO INTEGRAL DEL PACIENTE ADULTO",IF(K85=CURSOS!$D$35,"MANEJO DEFENSIVO",IF(K85=CURSOS!$D$36,"SOPORTE CARDIOVASCULAR AVANZADO NEONATAL",IF(K85=CURSOS!$D$37,"SEGURIDAD DEL PACIENTE")))))))))))))))))))))))))))))))))))</f>
        <v xml:space="preserve">ATENCION A VICTIMAS DE ATAQUE CON AGENTES QUIMICOS </v>
      </c>
      <c r="M85" s="52" t="str">
        <f t="shared" si="9"/>
        <v>Elizabeth  Arcos Medina</v>
      </c>
      <c r="N85" s="52" t="str">
        <f t="shared" si="8"/>
        <v>Elizabeth  Arcos Medina</v>
      </c>
      <c r="O85" s="52" t="str">
        <f t="shared" si="10"/>
        <v>Elizabeth  Arcos Medina-1007268384-QUIMICOS</v>
      </c>
    </row>
    <row r="86" spans="1:15" s="154" customFormat="1" x14ac:dyDescent="0.2">
      <c r="A86" s="149">
        <v>85</v>
      </c>
      <c r="B86" s="149">
        <v>1007268384</v>
      </c>
      <c r="C86" s="149" t="s">
        <v>478</v>
      </c>
      <c r="D86" s="149" t="s">
        <v>461</v>
      </c>
      <c r="E86" s="149" t="s">
        <v>492</v>
      </c>
      <c r="F86" s="149"/>
      <c r="G86" s="150">
        <v>17</v>
      </c>
      <c r="H86" s="14" t="s">
        <v>181</v>
      </c>
      <c r="I86" s="14" t="s">
        <v>86</v>
      </c>
      <c r="J86" s="14" t="s">
        <v>511</v>
      </c>
      <c r="K86" s="15" t="s">
        <v>43</v>
      </c>
      <c r="L86" s="52" t="str">
        <f>IF(K86=CURSOS!$D$3,"DIPLOMADO EN ATENCION PRE-HOSPITALARIA",IF(K86=CURSOS!$D$4,"ACOMPAÑAMIENTO Y MANEJO DEL DUELO",IF(K86=CURSOS!$D$5,"ATENCION A VICTIMAS DE ATAQUE CON AGENTES QUIMICOS ",IF(K86=CURSOS!$D$6,"PRIMEROS AUXILIOS ",IF(K86=CURSOS!$D$7,"DIPLOMADO DE UNIDAD DE CUIDADOS INTENSIVOS (UCI)",IF(K86=CURSOS!$D$8,"MODELO DE ATENCION PARA EVENTOS EMERGENTES EN SALUD MENTAL (CODIGO VERDE)",IF(K86=CURSOS!$D$9,"HUMANIZACION EN EL SERVICIO DE LA SALUD Y BUENAS PRACTICAS EN PACIENTE ",IF(K86=CURSOS!$D$10,"CLINICA DE HERIDAS ",IF(K86=CURSOS!$D$11,"TOMA DE CITOLOGIA CERVICO VAGINAL ",IF(K86=CURSOS!$D$12,"SOPORTE CARDIOVASCULAR AVANZADO (ACLS) ",IF(K86=CURSOS!$D$13,"CAMILLERO ",IF(K86=CURSOS!$D$14,"TOMA DE MUESTRAS Y LABORATORIO ",IF(K86=CURSOS!$D$15,"SOPORTE VITAL BASICO (BLS)",IF(K86=CURSOS!$D$16,"ATENCION A VICTIMAS DE VIOLENCIA SEXUAL ",IF(K86=CURSOS!$D$17,"PROGRAMADO AMPLIADO DE INMUNIZACION (PAI - COVID 19)",IF(K86=CURSOS!$D$18,"ATENCION INTEGRAL EN ENFERMEDADES PREVALENTES EN PRIMERA INFANCIA (AIEPI)",IF(K86=CURSOS!$D$19,"ADMINISTRACION DE MEDICAMENTOS, INYECTOLOGIA  Y CANALIZACION ",IF(K86=CURSOS!$D$20,"OPERADOR DE VEHICULOS DE EMERGENCIA (OVE)",IF(K86=CURSOS!$D$21,"INSTITUCIONES AMIGAS DE LA MUJER Y LA INFANCIA (IAMI)",IF(K86=CURSOS!$D$22,"CUIDADO DEL DONANTE DE ORGANOS",IF(K86=CURSOS!$D$23,"ATENCION A VICTIMAS POR VIOLENCIA DE GENERO",IF(K86=CURSOS!$D$24,"IGUALDAD DE GENERO EN LA SALUD",IF(K86=CURSOS!$D$25,"BRIGADA DE EMERGENCIA",IF(K86=CURSOS!$D$26,"MANEJO DEL DOLOR Y CUIDADOS PALIATIVOS",IF(K86=CURSOS!$D$27,"TOMA DE MUESTRAS Y LABORATORIO POCT",IF(K86=CURSOS!$D$28,"IMPLANTE SUBDERMICO DE DISPOSITIVO INTRAUTERINO",IF(K86=CURSOS!$D$29,"SALUD MENTAL",IF(K86=CURSOS!$D$30,"PRIMEROS AUXILIOS PSICOLOGICOS",IF(K86=CURSOS!$D$31,"ATENCION A VICTIMAS POR CONFLICTO ARMADO",IF(K86=CURSOS!$D$32,"MANIPULACION DE ALIMENTOS Y BPM",IF(K86=CURSOS!$D$33,"ATENCION A PERSONAS CON DISCAPACIDAD",IF(K86=CURSOS!$D$34,"CUIDADO INTEGRAL DEL PACIENTE ADULTO",IF(K86=CURSOS!$D$35,"MANEJO DEFENSIVO",IF(K86=CURSOS!$D$36,"SOPORTE CARDIOVASCULAR AVANZADO NEONATAL",IF(K86=CURSOS!$D$37,"SEGURIDAD DEL PACIENTE")))))))))))))))))))))))))))))))))))</f>
        <v xml:space="preserve">ATENCION A VICTIMAS DE VIOLENCIA SEXUAL </v>
      </c>
      <c r="M86" s="52" t="str">
        <f t="shared" si="9"/>
        <v>Elizabeth  Arcos Medina</v>
      </c>
      <c r="N86" s="52" t="str">
        <f t="shared" si="8"/>
        <v>Elizabeth  Arcos Medina</v>
      </c>
      <c r="O86" s="52" t="str">
        <f t="shared" si="10"/>
        <v>Elizabeth  Arcos Medina-1007268384-VIOLENCIA SEXUAL</v>
      </c>
    </row>
    <row r="87" spans="1:15" s="154" customFormat="1" x14ac:dyDescent="0.2">
      <c r="A87" s="149">
        <v>86</v>
      </c>
      <c r="B87" s="149">
        <v>1086755719</v>
      </c>
      <c r="C87" s="149" t="s">
        <v>413</v>
      </c>
      <c r="D87" s="149" t="s">
        <v>462</v>
      </c>
      <c r="E87" s="149" t="s">
        <v>87</v>
      </c>
      <c r="F87" s="149" t="s">
        <v>116</v>
      </c>
      <c r="G87" s="150">
        <v>17</v>
      </c>
      <c r="H87" s="14" t="s">
        <v>181</v>
      </c>
      <c r="I87" s="14" t="s">
        <v>86</v>
      </c>
      <c r="J87" s="14" t="s">
        <v>511</v>
      </c>
      <c r="K87" s="15" t="s">
        <v>23</v>
      </c>
      <c r="L87" s="52" t="str">
        <f>IF(K87=CURSOS!$D$3,"DIPLOMADO EN ATENCION PRE-HOSPITALARIA",IF(K87=CURSOS!$D$4,"ACOMPAÑAMIENTO Y MANEJO DEL DUELO",IF(K87=CURSOS!$D$5,"ATENCION A VICTIMAS DE ATAQUE CON AGENTES QUIMICOS ",IF(K87=CURSOS!$D$6,"PRIMEROS AUXILIOS ",IF(K87=CURSOS!$D$7,"DIPLOMADO DE UNIDAD DE CUIDADOS INTENSIVOS (UCI)",IF(K87=CURSOS!$D$8,"MODELO DE ATENCION PARA EVENTOS EMERGENTES EN SALUD MENTAL (CODIGO VERDE)",IF(K87=CURSOS!$D$9,"HUMANIZACION EN EL SERVICIO DE LA SALUD Y BUENAS PRACTICAS EN PACIENTE ",IF(K87=CURSOS!$D$10,"CLINICA DE HERIDAS ",IF(K87=CURSOS!$D$11,"TOMA DE CITOLOGIA CERVICO VAGINAL ",IF(K87=CURSOS!$D$12,"SOPORTE CARDIOVASCULAR AVANZADO (ACLS) ",IF(K87=CURSOS!$D$13,"CAMILLERO ",IF(K87=CURSOS!$D$14,"TOMA DE MUESTRAS Y LABORATORIO ",IF(K87=CURSOS!$D$15,"SOPORTE VITAL BASICO (BLS)",IF(K87=CURSOS!$D$16,"ATENCION A VICTIMAS DE VIOLENCIA SEXUAL ",IF(K87=CURSOS!$D$17,"PROGRAMADO AMPLIADO DE INMUNIZACION (PAI - COVID 19)",IF(K87=CURSOS!$D$18,"ATENCION INTEGRAL EN ENFERMEDADES PREVALENTES EN PRIMERA INFANCIA (AIEPI)",IF(K87=CURSOS!$D$19,"ADMINISTRACION DE MEDICAMENTOS, INYECTOLOGIA  Y CANALIZACION ",IF(K87=CURSOS!$D$20,"OPERADOR DE VEHICULOS DE EMERGENCIA (OVE)",IF(K87=CURSOS!$D$21,"INSTITUCIONES AMIGAS DE LA MUJER Y LA INFANCIA (IAMI)",IF(K87=CURSOS!$D$22,"CUIDADO DEL DONANTE DE ORGANOS",IF(K87=CURSOS!$D$23,"ATENCION A VICTIMAS POR VIOLENCIA DE GENERO",IF(K87=CURSOS!$D$24,"IGUALDAD DE GENERO EN LA SALUD",IF(K87=CURSOS!$D$25,"BRIGADA DE EMERGENCIA",IF(K87=CURSOS!$D$26,"MANEJO DEL DOLOR Y CUIDADOS PALIATIVOS",IF(K87=CURSOS!$D$27,"TOMA DE MUESTRAS Y LABORATORIO POCT",IF(K87=CURSOS!$D$28,"IMPLANTE SUBDERMICO DE DISPOSITIVO INTRAUTERINO",IF(K87=CURSOS!$D$29,"SALUD MENTAL",IF(K87=CURSOS!$D$30,"PRIMEROS AUXILIOS PSICOLOGICOS",IF(K87=CURSOS!$D$31,"ATENCION A VICTIMAS POR CONFLICTO ARMADO",IF(K87=CURSOS!$D$32,"MANIPULACION DE ALIMENTOS Y BPM",IF(K87=CURSOS!$D$33,"ATENCION A PERSONAS CON DISCAPACIDAD",IF(K87=CURSOS!$D$34,"CUIDADO INTEGRAL DEL PACIENTE ADULTO",IF(K87=CURSOS!$D$35,"MANEJO DEFENSIVO",IF(K87=CURSOS!$D$36,"SOPORTE CARDIOVASCULAR AVANZADO NEONATAL",IF(K87=CURSOS!$D$37,"SEGURIDAD DEL PACIENTE")))))))))))))))))))))))))))))))))))</f>
        <v>ACOMPAÑAMIENTO Y MANEJO DEL DUELO</v>
      </c>
      <c r="M87" s="52" t="str">
        <f t="shared" si="9"/>
        <v>Maria Andrea Narváez Estacio</v>
      </c>
      <c r="N87" s="52" t="str">
        <f t="shared" si="8"/>
        <v>Maria Andrea Narváez Estacio</v>
      </c>
      <c r="O87" s="52" t="str">
        <f t="shared" si="10"/>
        <v>Maria Andrea Narváez Estacio-1086755719-DUELO</v>
      </c>
    </row>
    <row r="88" spans="1:15" s="154" customFormat="1" x14ac:dyDescent="0.2">
      <c r="A88" s="149">
        <v>87</v>
      </c>
      <c r="B88" s="149">
        <v>1086755719</v>
      </c>
      <c r="C88" s="149" t="s">
        <v>413</v>
      </c>
      <c r="D88" s="149" t="s">
        <v>462</v>
      </c>
      <c r="E88" s="149" t="s">
        <v>87</v>
      </c>
      <c r="F88" s="149" t="s">
        <v>116</v>
      </c>
      <c r="G88" s="150">
        <v>17</v>
      </c>
      <c r="H88" s="14" t="s">
        <v>181</v>
      </c>
      <c r="I88" s="14" t="s">
        <v>86</v>
      </c>
      <c r="J88" s="14" t="s">
        <v>511</v>
      </c>
      <c r="K88" s="15" t="s">
        <v>25</v>
      </c>
      <c r="L88" s="52" t="str">
        <f>IF(K88=CURSOS!$D$3,"DIPLOMADO EN ATENCION PRE-HOSPITALARIA",IF(K88=CURSOS!$D$4,"ACOMPAÑAMIENTO Y MANEJO DEL DUELO",IF(K88=CURSOS!$D$5,"ATENCION A VICTIMAS DE ATAQUE CON AGENTES QUIMICOS ",IF(K88=CURSOS!$D$6,"PRIMEROS AUXILIOS ",IF(K88=CURSOS!$D$7,"DIPLOMADO DE UNIDAD DE CUIDADOS INTENSIVOS (UCI)",IF(K88=CURSOS!$D$8,"MODELO DE ATENCION PARA EVENTOS EMERGENTES EN SALUD MENTAL (CODIGO VERDE)",IF(K88=CURSOS!$D$9,"HUMANIZACION EN EL SERVICIO DE LA SALUD Y BUENAS PRACTICAS EN PACIENTE ",IF(K88=CURSOS!$D$10,"CLINICA DE HERIDAS ",IF(K88=CURSOS!$D$11,"TOMA DE CITOLOGIA CERVICO VAGINAL ",IF(K88=CURSOS!$D$12,"SOPORTE CARDIOVASCULAR AVANZADO (ACLS) ",IF(K88=CURSOS!$D$13,"CAMILLERO ",IF(K88=CURSOS!$D$14,"TOMA DE MUESTRAS Y LABORATORIO ",IF(K88=CURSOS!$D$15,"SOPORTE VITAL BASICO (BLS)",IF(K88=CURSOS!$D$16,"ATENCION A VICTIMAS DE VIOLENCIA SEXUAL ",IF(K88=CURSOS!$D$17,"PROGRAMADO AMPLIADO DE INMUNIZACION (PAI - COVID 19)",IF(K88=CURSOS!$D$18,"ATENCION INTEGRAL EN ENFERMEDADES PREVALENTES EN PRIMERA INFANCIA (AIEPI)",IF(K88=CURSOS!$D$19,"ADMINISTRACION DE MEDICAMENTOS, INYECTOLOGIA  Y CANALIZACION ",IF(K88=CURSOS!$D$20,"OPERADOR DE VEHICULOS DE EMERGENCIA (OVE)",IF(K88=CURSOS!$D$21,"INSTITUCIONES AMIGAS DE LA MUJER Y LA INFANCIA (IAMI)",IF(K88=CURSOS!$D$22,"CUIDADO DEL DONANTE DE ORGANOS",IF(K88=CURSOS!$D$23,"ATENCION A VICTIMAS POR VIOLENCIA DE GENERO",IF(K88=CURSOS!$D$24,"IGUALDAD DE GENERO EN LA SALUD",IF(K88=CURSOS!$D$25,"BRIGADA DE EMERGENCIA",IF(K88=CURSOS!$D$26,"MANEJO DEL DOLOR Y CUIDADOS PALIATIVOS",IF(K88=CURSOS!$D$27,"TOMA DE MUESTRAS Y LABORATORIO POCT",IF(K88=CURSOS!$D$28,"IMPLANTE SUBDERMICO DE DISPOSITIVO INTRAUTERINO",IF(K88=CURSOS!$D$29,"SALUD MENTAL",IF(K88=CURSOS!$D$30,"PRIMEROS AUXILIOS PSICOLOGICOS",IF(K88=CURSOS!$D$31,"ATENCION A VICTIMAS POR CONFLICTO ARMADO",IF(K88=CURSOS!$D$32,"MANIPULACION DE ALIMENTOS Y BPM",IF(K88=CURSOS!$D$33,"ATENCION A PERSONAS CON DISCAPACIDAD",IF(K88=CURSOS!$D$34,"CUIDADO INTEGRAL DEL PACIENTE ADULTO",IF(K88=CURSOS!$D$35,"MANEJO DEFENSIVO",IF(K88=CURSOS!$D$36,"SOPORTE CARDIOVASCULAR AVANZADO NEONATAL",IF(K88=CURSOS!$D$37,"SEGURIDAD DEL PACIENTE")))))))))))))))))))))))))))))))))))</f>
        <v xml:space="preserve">ATENCION A VICTIMAS DE ATAQUE CON AGENTES QUIMICOS </v>
      </c>
      <c r="M88" s="52" t="str">
        <f t="shared" si="9"/>
        <v>Maria Andrea Narváez Estacio</v>
      </c>
      <c r="N88" s="52" t="str">
        <f t="shared" si="8"/>
        <v>Maria Andrea Narváez Estacio</v>
      </c>
      <c r="O88" s="52" t="str">
        <f t="shared" si="10"/>
        <v>Maria Andrea Narváez Estacio-1086755719-QUIMICOS</v>
      </c>
    </row>
    <row r="89" spans="1:15" s="154" customFormat="1" x14ac:dyDescent="0.2">
      <c r="A89" s="149">
        <v>88</v>
      </c>
      <c r="B89" s="149">
        <v>1086755719</v>
      </c>
      <c r="C89" s="149" t="s">
        <v>413</v>
      </c>
      <c r="D89" s="149" t="s">
        <v>462</v>
      </c>
      <c r="E89" s="149" t="s">
        <v>87</v>
      </c>
      <c r="F89" s="149" t="s">
        <v>116</v>
      </c>
      <c r="G89" s="150">
        <v>17</v>
      </c>
      <c r="H89" s="14" t="s">
        <v>181</v>
      </c>
      <c r="I89" s="14" t="s">
        <v>86</v>
      </c>
      <c r="J89" s="14" t="s">
        <v>511</v>
      </c>
      <c r="K89" s="15" t="s">
        <v>43</v>
      </c>
      <c r="L89" s="52" t="str">
        <f>IF(K89=CURSOS!$D$3,"DIPLOMADO EN ATENCION PRE-HOSPITALARIA",IF(K89=CURSOS!$D$4,"ACOMPAÑAMIENTO Y MANEJO DEL DUELO",IF(K89=CURSOS!$D$5,"ATENCION A VICTIMAS DE ATAQUE CON AGENTES QUIMICOS ",IF(K89=CURSOS!$D$6,"PRIMEROS AUXILIOS ",IF(K89=CURSOS!$D$7,"DIPLOMADO DE UNIDAD DE CUIDADOS INTENSIVOS (UCI)",IF(K89=CURSOS!$D$8,"MODELO DE ATENCION PARA EVENTOS EMERGENTES EN SALUD MENTAL (CODIGO VERDE)",IF(K89=CURSOS!$D$9,"HUMANIZACION EN EL SERVICIO DE LA SALUD Y BUENAS PRACTICAS EN PACIENTE ",IF(K89=CURSOS!$D$10,"CLINICA DE HERIDAS ",IF(K89=CURSOS!$D$11,"TOMA DE CITOLOGIA CERVICO VAGINAL ",IF(K89=CURSOS!$D$12,"SOPORTE CARDIOVASCULAR AVANZADO (ACLS) ",IF(K89=CURSOS!$D$13,"CAMILLERO ",IF(K89=CURSOS!$D$14,"TOMA DE MUESTRAS Y LABORATORIO ",IF(K89=CURSOS!$D$15,"SOPORTE VITAL BASICO (BLS)",IF(K89=CURSOS!$D$16,"ATENCION A VICTIMAS DE VIOLENCIA SEXUAL ",IF(K89=CURSOS!$D$17,"PROGRAMADO AMPLIADO DE INMUNIZACION (PAI - COVID 19)",IF(K89=CURSOS!$D$18,"ATENCION INTEGRAL EN ENFERMEDADES PREVALENTES EN PRIMERA INFANCIA (AIEPI)",IF(K89=CURSOS!$D$19,"ADMINISTRACION DE MEDICAMENTOS, INYECTOLOGIA  Y CANALIZACION ",IF(K89=CURSOS!$D$20,"OPERADOR DE VEHICULOS DE EMERGENCIA (OVE)",IF(K89=CURSOS!$D$21,"INSTITUCIONES AMIGAS DE LA MUJER Y LA INFANCIA (IAMI)",IF(K89=CURSOS!$D$22,"CUIDADO DEL DONANTE DE ORGANOS",IF(K89=CURSOS!$D$23,"ATENCION A VICTIMAS POR VIOLENCIA DE GENERO",IF(K89=CURSOS!$D$24,"IGUALDAD DE GENERO EN LA SALUD",IF(K89=CURSOS!$D$25,"BRIGADA DE EMERGENCIA",IF(K89=CURSOS!$D$26,"MANEJO DEL DOLOR Y CUIDADOS PALIATIVOS",IF(K89=CURSOS!$D$27,"TOMA DE MUESTRAS Y LABORATORIO POCT",IF(K89=CURSOS!$D$28,"IMPLANTE SUBDERMICO DE DISPOSITIVO INTRAUTERINO",IF(K89=CURSOS!$D$29,"SALUD MENTAL",IF(K89=CURSOS!$D$30,"PRIMEROS AUXILIOS PSICOLOGICOS",IF(K89=CURSOS!$D$31,"ATENCION A VICTIMAS POR CONFLICTO ARMADO",IF(K89=CURSOS!$D$32,"MANIPULACION DE ALIMENTOS Y BPM",IF(K89=CURSOS!$D$33,"ATENCION A PERSONAS CON DISCAPACIDAD",IF(K89=CURSOS!$D$34,"CUIDADO INTEGRAL DEL PACIENTE ADULTO",IF(K89=CURSOS!$D$35,"MANEJO DEFENSIVO",IF(K89=CURSOS!$D$36,"SOPORTE CARDIOVASCULAR AVANZADO NEONATAL",IF(K89=CURSOS!$D$37,"SEGURIDAD DEL PACIENTE")))))))))))))))))))))))))))))))))))</f>
        <v xml:space="preserve">ATENCION A VICTIMAS DE VIOLENCIA SEXUAL </v>
      </c>
      <c r="M89" s="52" t="str">
        <f t="shared" si="9"/>
        <v>Maria Andrea Narváez Estacio</v>
      </c>
      <c r="N89" s="52" t="str">
        <f t="shared" si="8"/>
        <v>Maria Andrea Narváez Estacio</v>
      </c>
      <c r="O89" s="52" t="str">
        <f t="shared" si="10"/>
        <v>Maria Andrea Narváez Estacio-1086755719-VIOLENCIA SEXUAL</v>
      </c>
    </row>
    <row r="90" spans="1:15" s="154" customFormat="1" x14ac:dyDescent="0.2">
      <c r="A90" s="85">
        <v>89</v>
      </c>
      <c r="B90" s="149">
        <v>1084847001</v>
      </c>
      <c r="C90" s="149" t="s">
        <v>453</v>
      </c>
      <c r="D90" s="149" t="s">
        <v>463</v>
      </c>
      <c r="E90" s="149" t="s">
        <v>493</v>
      </c>
      <c r="F90" s="149" t="s">
        <v>494</v>
      </c>
      <c r="G90" s="101">
        <v>17</v>
      </c>
      <c r="H90" s="14" t="s">
        <v>181</v>
      </c>
      <c r="I90" s="14" t="s">
        <v>86</v>
      </c>
      <c r="J90" s="14" t="s">
        <v>511</v>
      </c>
      <c r="K90" s="15" t="s">
        <v>23</v>
      </c>
      <c r="L90" s="52" t="str">
        <f>IF(K90=CURSOS!$D$3,"DIPLOMADO EN ATENCION PRE-HOSPITALARIA",IF(K90=CURSOS!$D$4,"ACOMPAÑAMIENTO Y MANEJO DEL DUELO",IF(K90=CURSOS!$D$5,"ATENCION A VICTIMAS DE ATAQUE CON AGENTES QUIMICOS ",IF(K90=CURSOS!$D$6,"PRIMEROS AUXILIOS ",IF(K90=CURSOS!$D$7,"DIPLOMADO DE UNIDAD DE CUIDADOS INTENSIVOS (UCI)",IF(K90=CURSOS!$D$8,"MODELO DE ATENCION PARA EVENTOS EMERGENTES EN SALUD MENTAL (CODIGO VERDE)",IF(K90=CURSOS!$D$9,"HUMANIZACION EN EL SERVICIO DE LA SALUD Y BUENAS PRACTICAS EN PACIENTE ",IF(K90=CURSOS!$D$10,"CLINICA DE HERIDAS ",IF(K90=CURSOS!$D$11,"TOMA DE CITOLOGIA CERVICO VAGINAL ",IF(K90=CURSOS!$D$12,"SOPORTE CARDIOVASCULAR AVANZADO (ACLS) ",IF(K90=CURSOS!$D$13,"CAMILLERO ",IF(K90=CURSOS!$D$14,"TOMA DE MUESTRAS Y LABORATORIO ",IF(K90=CURSOS!$D$15,"SOPORTE VITAL BASICO (BLS)",IF(K90=CURSOS!$D$16,"ATENCION A VICTIMAS DE VIOLENCIA SEXUAL ",IF(K90=CURSOS!$D$17,"PROGRAMADO AMPLIADO DE INMUNIZACION (PAI - COVID 19)",IF(K90=CURSOS!$D$18,"ATENCION INTEGRAL EN ENFERMEDADES PREVALENTES EN PRIMERA INFANCIA (AIEPI)",IF(K90=CURSOS!$D$19,"ADMINISTRACION DE MEDICAMENTOS, INYECTOLOGIA  Y CANALIZACION ",IF(K90=CURSOS!$D$20,"OPERADOR DE VEHICULOS DE EMERGENCIA (OVE)",IF(K90=CURSOS!$D$21,"INSTITUCIONES AMIGAS DE LA MUJER Y LA INFANCIA (IAMI)",IF(K90=CURSOS!$D$22,"CUIDADO DEL DONANTE DE ORGANOS",IF(K90=CURSOS!$D$23,"ATENCION A VICTIMAS POR VIOLENCIA DE GENERO",IF(K90=CURSOS!$D$24,"IGUALDAD DE GENERO EN LA SALUD",IF(K90=CURSOS!$D$25,"BRIGADA DE EMERGENCIA",IF(K90=CURSOS!$D$26,"MANEJO DEL DOLOR Y CUIDADOS PALIATIVOS",IF(K90=CURSOS!$D$27,"TOMA DE MUESTRAS Y LABORATORIO POCT",IF(K90=CURSOS!$D$28,"IMPLANTE SUBDERMICO DE DISPOSITIVO INTRAUTERINO",IF(K90=CURSOS!$D$29,"SALUD MENTAL",IF(K90=CURSOS!$D$30,"PRIMEROS AUXILIOS PSICOLOGICOS",IF(K90=CURSOS!$D$31,"ATENCION A VICTIMAS POR CONFLICTO ARMADO",IF(K90=CURSOS!$D$32,"MANIPULACION DE ALIMENTOS Y BPM",IF(K90=CURSOS!$D$33,"ATENCION A PERSONAS CON DISCAPACIDAD",IF(K90=CURSOS!$D$34,"CUIDADO INTEGRAL DEL PACIENTE ADULTO",IF(K90=CURSOS!$D$35,"MANEJO DEFENSIVO",IF(K90=CURSOS!$D$36,"SOPORTE CARDIOVASCULAR AVANZADO NEONATAL",IF(K90=CURSOS!$D$37,"SEGURIDAD DEL PACIENTE")))))))))))))))))))))))))))))))))))</f>
        <v>ACOMPAÑAMIENTO Y MANEJO DEL DUELO</v>
      </c>
      <c r="M90" s="52" t="str">
        <f t="shared" si="9"/>
        <v>Elva Yolima Valenzuela Palma</v>
      </c>
      <c r="N90" s="52" t="str">
        <f t="shared" si="8"/>
        <v>Elva Yolima Valenzuela Palma</v>
      </c>
      <c r="O90" s="52" t="str">
        <f t="shared" si="10"/>
        <v>Elva Yolima Valenzuela Palma-1084847001-DUELO</v>
      </c>
    </row>
    <row r="91" spans="1:15" s="154" customFormat="1" x14ac:dyDescent="0.2">
      <c r="A91" s="85">
        <v>90</v>
      </c>
      <c r="B91" s="149">
        <v>1084847001</v>
      </c>
      <c r="C91" s="149" t="s">
        <v>453</v>
      </c>
      <c r="D91" s="149" t="s">
        <v>463</v>
      </c>
      <c r="E91" s="149" t="s">
        <v>493</v>
      </c>
      <c r="F91" s="149" t="s">
        <v>494</v>
      </c>
      <c r="G91" s="101">
        <v>17</v>
      </c>
      <c r="H91" s="14" t="s">
        <v>181</v>
      </c>
      <c r="I91" s="14" t="s">
        <v>86</v>
      </c>
      <c r="J91" s="14" t="s">
        <v>511</v>
      </c>
      <c r="K91" s="15" t="s">
        <v>25</v>
      </c>
      <c r="L91" s="52" t="str">
        <f>IF(K91=CURSOS!$D$3,"DIPLOMADO EN ATENCION PRE-HOSPITALARIA",IF(K91=CURSOS!$D$4,"ACOMPAÑAMIENTO Y MANEJO DEL DUELO",IF(K91=CURSOS!$D$5,"ATENCION A VICTIMAS DE ATAQUE CON AGENTES QUIMICOS ",IF(K91=CURSOS!$D$6,"PRIMEROS AUXILIOS ",IF(K91=CURSOS!$D$7,"DIPLOMADO DE UNIDAD DE CUIDADOS INTENSIVOS (UCI)",IF(K91=CURSOS!$D$8,"MODELO DE ATENCION PARA EVENTOS EMERGENTES EN SALUD MENTAL (CODIGO VERDE)",IF(K91=CURSOS!$D$9,"HUMANIZACION EN EL SERVICIO DE LA SALUD Y BUENAS PRACTICAS EN PACIENTE ",IF(K91=CURSOS!$D$10,"CLINICA DE HERIDAS ",IF(K91=CURSOS!$D$11,"TOMA DE CITOLOGIA CERVICO VAGINAL ",IF(K91=CURSOS!$D$12,"SOPORTE CARDIOVASCULAR AVANZADO (ACLS) ",IF(K91=CURSOS!$D$13,"CAMILLERO ",IF(K91=CURSOS!$D$14,"TOMA DE MUESTRAS Y LABORATORIO ",IF(K91=CURSOS!$D$15,"SOPORTE VITAL BASICO (BLS)",IF(K91=CURSOS!$D$16,"ATENCION A VICTIMAS DE VIOLENCIA SEXUAL ",IF(K91=CURSOS!$D$17,"PROGRAMADO AMPLIADO DE INMUNIZACION (PAI - COVID 19)",IF(K91=CURSOS!$D$18,"ATENCION INTEGRAL EN ENFERMEDADES PREVALENTES EN PRIMERA INFANCIA (AIEPI)",IF(K91=CURSOS!$D$19,"ADMINISTRACION DE MEDICAMENTOS, INYECTOLOGIA  Y CANALIZACION ",IF(K91=CURSOS!$D$20,"OPERADOR DE VEHICULOS DE EMERGENCIA (OVE)",IF(K91=CURSOS!$D$21,"INSTITUCIONES AMIGAS DE LA MUJER Y LA INFANCIA (IAMI)",IF(K91=CURSOS!$D$22,"CUIDADO DEL DONANTE DE ORGANOS",IF(K91=CURSOS!$D$23,"ATENCION A VICTIMAS POR VIOLENCIA DE GENERO",IF(K91=CURSOS!$D$24,"IGUALDAD DE GENERO EN LA SALUD",IF(K91=CURSOS!$D$25,"BRIGADA DE EMERGENCIA",IF(K91=CURSOS!$D$26,"MANEJO DEL DOLOR Y CUIDADOS PALIATIVOS",IF(K91=CURSOS!$D$27,"TOMA DE MUESTRAS Y LABORATORIO POCT",IF(K91=CURSOS!$D$28,"IMPLANTE SUBDERMICO DE DISPOSITIVO INTRAUTERINO",IF(K91=CURSOS!$D$29,"SALUD MENTAL",IF(K91=CURSOS!$D$30,"PRIMEROS AUXILIOS PSICOLOGICOS",IF(K91=CURSOS!$D$31,"ATENCION A VICTIMAS POR CONFLICTO ARMADO",IF(K91=CURSOS!$D$32,"MANIPULACION DE ALIMENTOS Y BPM",IF(K91=CURSOS!$D$33,"ATENCION A PERSONAS CON DISCAPACIDAD",IF(K91=CURSOS!$D$34,"CUIDADO INTEGRAL DEL PACIENTE ADULTO",IF(K91=CURSOS!$D$35,"MANEJO DEFENSIVO",IF(K91=CURSOS!$D$36,"SOPORTE CARDIOVASCULAR AVANZADO NEONATAL",IF(K91=CURSOS!$D$37,"SEGURIDAD DEL PACIENTE")))))))))))))))))))))))))))))))))))</f>
        <v xml:space="preserve">ATENCION A VICTIMAS DE ATAQUE CON AGENTES QUIMICOS </v>
      </c>
      <c r="M91" s="52" t="str">
        <f t="shared" si="9"/>
        <v>Elva Yolima Valenzuela Palma</v>
      </c>
      <c r="N91" s="52" t="str">
        <f t="shared" si="8"/>
        <v>Elva Yolima Valenzuela Palma</v>
      </c>
      <c r="O91" s="52" t="str">
        <f t="shared" si="10"/>
        <v>Elva Yolima Valenzuela Palma-1084847001-QUIMICOS</v>
      </c>
    </row>
    <row r="92" spans="1:15" s="154" customFormat="1" x14ac:dyDescent="0.2">
      <c r="A92" s="149">
        <v>91</v>
      </c>
      <c r="B92" s="149">
        <v>1084847001</v>
      </c>
      <c r="C92" s="149" t="s">
        <v>453</v>
      </c>
      <c r="D92" s="149" t="s">
        <v>463</v>
      </c>
      <c r="E92" s="149" t="s">
        <v>493</v>
      </c>
      <c r="F92" s="149" t="s">
        <v>494</v>
      </c>
      <c r="G92" s="101">
        <v>17</v>
      </c>
      <c r="H92" s="14" t="s">
        <v>181</v>
      </c>
      <c r="I92" s="14" t="s">
        <v>86</v>
      </c>
      <c r="J92" s="14" t="s">
        <v>511</v>
      </c>
      <c r="K92" s="15" t="s">
        <v>43</v>
      </c>
      <c r="L92" s="52" t="str">
        <f>IF(K92=CURSOS!$D$3,"DIPLOMADO EN ATENCION PRE-HOSPITALARIA",IF(K92=CURSOS!$D$4,"ACOMPAÑAMIENTO Y MANEJO DEL DUELO",IF(K92=CURSOS!$D$5,"ATENCION A VICTIMAS DE ATAQUE CON AGENTES QUIMICOS ",IF(K92=CURSOS!$D$6,"PRIMEROS AUXILIOS ",IF(K92=CURSOS!$D$7,"DIPLOMADO DE UNIDAD DE CUIDADOS INTENSIVOS (UCI)",IF(K92=CURSOS!$D$8,"MODELO DE ATENCION PARA EVENTOS EMERGENTES EN SALUD MENTAL (CODIGO VERDE)",IF(K92=CURSOS!$D$9,"HUMANIZACION EN EL SERVICIO DE LA SALUD Y BUENAS PRACTICAS EN PACIENTE ",IF(K92=CURSOS!$D$10,"CLINICA DE HERIDAS ",IF(K92=CURSOS!$D$11,"TOMA DE CITOLOGIA CERVICO VAGINAL ",IF(K92=CURSOS!$D$12,"SOPORTE CARDIOVASCULAR AVANZADO (ACLS) ",IF(K92=CURSOS!$D$13,"CAMILLERO ",IF(K92=CURSOS!$D$14,"TOMA DE MUESTRAS Y LABORATORIO ",IF(K92=CURSOS!$D$15,"SOPORTE VITAL BASICO (BLS)",IF(K92=CURSOS!$D$16,"ATENCION A VICTIMAS DE VIOLENCIA SEXUAL ",IF(K92=CURSOS!$D$17,"PROGRAMADO AMPLIADO DE INMUNIZACION (PAI - COVID 19)",IF(K92=CURSOS!$D$18,"ATENCION INTEGRAL EN ENFERMEDADES PREVALENTES EN PRIMERA INFANCIA (AIEPI)",IF(K92=CURSOS!$D$19,"ADMINISTRACION DE MEDICAMENTOS, INYECTOLOGIA  Y CANALIZACION ",IF(K92=CURSOS!$D$20,"OPERADOR DE VEHICULOS DE EMERGENCIA (OVE)",IF(K92=CURSOS!$D$21,"INSTITUCIONES AMIGAS DE LA MUJER Y LA INFANCIA (IAMI)",IF(K92=CURSOS!$D$22,"CUIDADO DEL DONANTE DE ORGANOS",IF(K92=CURSOS!$D$23,"ATENCION A VICTIMAS POR VIOLENCIA DE GENERO",IF(K92=CURSOS!$D$24,"IGUALDAD DE GENERO EN LA SALUD",IF(K92=CURSOS!$D$25,"BRIGADA DE EMERGENCIA",IF(K92=CURSOS!$D$26,"MANEJO DEL DOLOR Y CUIDADOS PALIATIVOS",IF(K92=CURSOS!$D$27,"TOMA DE MUESTRAS Y LABORATORIO POCT",IF(K92=CURSOS!$D$28,"IMPLANTE SUBDERMICO DE DISPOSITIVO INTRAUTERINO",IF(K92=CURSOS!$D$29,"SALUD MENTAL",IF(K92=CURSOS!$D$30,"PRIMEROS AUXILIOS PSICOLOGICOS",IF(K92=CURSOS!$D$31,"ATENCION A VICTIMAS POR CONFLICTO ARMADO",IF(K92=CURSOS!$D$32,"MANIPULACION DE ALIMENTOS Y BPM",IF(K92=CURSOS!$D$33,"ATENCION A PERSONAS CON DISCAPACIDAD",IF(K92=CURSOS!$D$34,"CUIDADO INTEGRAL DEL PACIENTE ADULTO",IF(K92=CURSOS!$D$35,"MANEJO DEFENSIVO",IF(K92=CURSOS!$D$36,"SOPORTE CARDIOVASCULAR AVANZADO NEONATAL",IF(K92=CURSOS!$D$37,"SEGURIDAD DEL PACIENTE")))))))))))))))))))))))))))))))))))</f>
        <v xml:space="preserve">ATENCION A VICTIMAS DE VIOLENCIA SEXUAL </v>
      </c>
      <c r="M92" s="52" t="str">
        <f t="shared" si="9"/>
        <v>Elva Yolima Valenzuela Palma</v>
      </c>
      <c r="N92" s="52" t="str">
        <f t="shared" si="8"/>
        <v>Elva Yolima Valenzuela Palma</v>
      </c>
      <c r="O92" s="52" t="str">
        <f t="shared" si="10"/>
        <v>Elva Yolima Valenzuela Palma-1084847001-VIOLENCIA SEXUAL</v>
      </c>
    </row>
    <row r="93" spans="1:15" s="154" customFormat="1" x14ac:dyDescent="0.2">
      <c r="A93" s="149">
        <v>92</v>
      </c>
      <c r="B93" s="149">
        <v>1087675197</v>
      </c>
      <c r="C93" s="149" t="s">
        <v>464</v>
      </c>
      <c r="D93" s="149" t="s">
        <v>138</v>
      </c>
      <c r="E93" s="149" t="s">
        <v>495</v>
      </c>
      <c r="F93" s="149" t="s">
        <v>116</v>
      </c>
      <c r="G93" s="150">
        <v>17</v>
      </c>
      <c r="H93" s="14" t="s">
        <v>181</v>
      </c>
      <c r="I93" s="14" t="s">
        <v>86</v>
      </c>
      <c r="J93" s="14" t="s">
        <v>511</v>
      </c>
      <c r="K93" s="15" t="s">
        <v>23</v>
      </c>
      <c r="L93" s="52" t="str">
        <f>IF(K93=CURSOS!$D$3,"DIPLOMADO EN ATENCION PRE-HOSPITALARIA",IF(K93=CURSOS!$D$4,"ACOMPAÑAMIENTO Y MANEJO DEL DUELO",IF(K93=CURSOS!$D$5,"ATENCION A VICTIMAS DE ATAQUE CON AGENTES QUIMICOS ",IF(K93=CURSOS!$D$6,"PRIMEROS AUXILIOS ",IF(K93=CURSOS!$D$7,"DIPLOMADO DE UNIDAD DE CUIDADOS INTENSIVOS (UCI)",IF(K93=CURSOS!$D$8,"MODELO DE ATENCION PARA EVENTOS EMERGENTES EN SALUD MENTAL (CODIGO VERDE)",IF(K93=CURSOS!$D$9,"HUMANIZACION EN EL SERVICIO DE LA SALUD Y BUENAS PRACTICAS EN PACIENTE ",IF(K93=CURSOS!$D$10,"CLINICA DE HERIDAS ",IF(K93=CURSOS!$D$11,"TOMA DE CITOLOGIA CERVICO VAGINAL ",IF(K93=CURSOS!$D$12,"SOPORTE CARDIOVASCULAR AVANZADO (ACLS) ",IF(K93=CURSOS!$D$13,"CAMILLERO ",IF(K93=CURSOS!$D$14,"TOMA DE MUESTRAS Y LABORATORIO ",IF(K93=CURSOS!$D$15,"SOPORTE VITAL BASICO (BLS)",IF(K93=CURSOS!$D$16,"ATENCION A VICTIMAS DE VIOLENCIA SEXUAL ",IF(K93=CURSOS!$D$17,"PROGRAMADO AMPLIADO DE INMUNIZACION (PAI - COVID 19)",IF(K93=CURSOS!$D$18,"ATENCION INTEGRAL EN ENFERMEDADES PREVALENTES EN PRIMERA INFANCIA (AIEPI)",IF(K93=CURSOS!$D$19,"ADMINISTRACION DE MEDICAMENTOS, INYECTOLOGIA  Y CANALIZACION ",IF(K93=CURSOS!$D$20,"OPERADOR DE VEHICULOS DE EMERGENCIA (OVE)",IF(K93=CURSOS!$D$21,"INSTITUCIONES AMIGAS DE LA MUJER Y LA INFANCIA (IAMI)",IF(K93=CURSOS!$D$22,"CUIDADO DEL DONANTE DE ORGANOS",IF(K93=CURSOS!$D$23,"ATENCION A VICTIMAS POR VIOLENCIA DE GENERO",IF(K93=CURSOS!$D$24,"IGUALDAD DE GENERO EN LA SALUD",IF(K93=CURSOS!$D$25,"BRIGADA DE EMERGENCIA",IF(K93=CURSOS!$D$26,"MANEJO DEL DOLOR Y CUIDADOS PALIATIVOS",IF(K93=CURSOS!$D$27,"TOMA DE MUESTRAS Y LABORATORIO POCT",IF(K93=CURSOS!$D$28,"IMPLANTE SUBDERMICO DE DISPOSITIVO INTRAUTERINO",IF(K93=CURSOS!$D$29,"SALUD MENTAL",IF(K93=CURSOS!$D$30,"PRIMEROS AUXILIOS PSICOLOGICOS",IF(K93=CURSOS!$D$31,"ATENCION A VICTIMAS POR CONFLICTO ARMADO",IF(K93=CURSOS!$D$32,"MANIPULACION DE ALIMENTOS Y BPM",IF(K93=CURSOS!$D$33,"ATENCION A PERSONAS CON DISCAPACIDAD",IF(K93=CURSOS!$D$34,"CUIDADO INTEGRAL DEL PACIENTE ADULTO",IF(K93=CURSOS!$D$35,"MANEJO DEFENSIVO",IF(K93=CURSOS!$D$36,"SOPORTE CARDIOVASCULAR AVANZADO NEONATAL",IF(K93=CURSOS!$D$37,"SEGURIDAD DEL PACIENTE")))))))))))))))))))))))))))))))))))</f>
        <v>ACOMPAÑAMIENTO Y MANEJO DEL DUELO</v>
      </c>
      <c r="M93" s="52" t="str">
        <f t="shared" si="9"/>
        <v>Karol Andrea Azain Hernandez</v>
      </c>
      <c r="N93" s="52" t="str">
        <f t="shared" si="8"/>
        <v>Karol Andrea Azain Hernandez</v>
      </c>
      <c r="O93" s="52" t="str">
        <f t="shared" si="10"/>
        <v>Karol Andrea Azain Hernandez-1087675197-DUELO</v>
      </c>
    </row>
    <row r="94" spans="1:15" s="154" customFormat="1" x14ac:dyDescent="0.2">
      <c r="A94" s="149">
        <v>93</v>
      </c>
      <c r="B94" s="149">
        <v>1087675197</v>
      </c>
      <c r="C94" s="149" t="s">
        <v>464</v>
      </c>
      <c r="D94" s="149" t="s">
        <v>138</v>
      </c>
      <c r="E94" s="149" t="s">
        <v>495</v>
      </c>
      <c r="F94" s="149" t="s">
        <v>116</v>
      </c>
      <c r="G94" s="150">
        <v>17</v>
      </c>
      <c r="H94" s="14" t="s">
        <v>181</v>
      </c>
      <c r="I94" s="14" t="s">
        <v>86</v>
      </c>
      <c r="J94" s="14" t="s">
        <v>511</v>
      </c>
      <c r="K94" s="15" t="s">
        <v>25</v>
      </c>
      <c r="L94" s="52" t="str">
        <f>IF(K94=CURSOS!$D$3,"DIPLOMADO EN ATENCION PRE-HOSPITALARIA",IF(K94=CURSOS!$D$4,"ACOMPAÑAMIENTO Y MANEJO DEL DUELO",IF(K94=CURSOS!$D$5,"ATENCION A VICTIMAS DE ATAQUE CON AGENTES QUIMICOS ",IF(K94=CURSOS!$D$6,"PRIMEROS AUXILIOS ",IF(K94=CURSOS!$D$7,"DIPLOMADO DE UNIDAD DE CUIDADOS INTENSIVOS (UCI)",IF(K94=CURSOS!$D$8,"MODELO DE ATENCION PARA EVENTOS EMERGENTES EN SALUD MENTAL (CODIGO VERDE)",IF(K94=CURSOS!$D$9,"HUMANIZACION EN EL SERVICIO DE LA SALUD Y BUENAS PRACTICAS EN PACIENTE ",IF(K94=CURSOS!$D$10,"CLINICA DE HERIDAS ",IF(K94=CURSOS!$D$11,"TOMA DE CITOLOGIA CERVICO VAGINAL ",IF(K94=CURSOS!$D$12,"SOPORTE CARDIOVASCULAR AVANZADO (ACLS) ",IF(K94=CURSOS!$D$13,"CAMILLERO ",IF(K94=CURSOS!$D$14,"TOMA DE MUESTRAS Y LABORATORIO ",IF(K94=CURSOS!$D$15,"SOPORTE VITAL BASICO (BLS)",IF(K94=CURSOS!$D$16,"ATENCION A VICTIMAS DE VIOLENCIA SEXUAL ",IF(K94=CURSOS!$D$17,"PROGRAMADO AMPLIADO DE INMUNIZACION (PAI - COVID 19)",IF(K94=CURSOS!$D$18,"ATENCION INTEGRAL EN ENFERMEDADES PREVALENTES EN PRIMERA INFANCIA (AIEPI)",IF(K94=CURSOS!$D$19,"ADMINISTRACION DE MEDICAMENTOS, INYECTOLOGIA  Y CANALIZACION ",IF(K94=CURSOS!$D$20,"OPERADOR DE VEHICULOS DE EMERGENCIA (OVE)",IF(K94=CURSOS!$D$21,"INSTITUCIONES AMIGAS DE LA MUJER Y LA INFANCIA (IAMI)",IF(K94=CURSOS!$D$22,"CUIDADO DEL DONANTE DE ORGANOS",IF(K94=CURSOS!$D$23,"ATENCION A VICTIMAS POR VIOLENCIA DE GENERO",IF(K94=CURSOS!$D$24,"IGUALDAD DE GENERO EN LA SALUD",IF(K94=CURSOS!$D$25,"BRIGADA DE EMERGENCIA",IF(K94=CURSOS!$D$26,"MANEJO DEL DOLOR Y CUIDADOS PALIATIVOS",IF(K94=CURSOS!$D$27,"TOMA DE MUESTRAS Y LABORATORIO POCT",IF(K94=CURSOS!$D$28,"IMPLANTE SUBDERMICO DE DISPOSITIVO INTRAUTERINO",IF(K94=CURSOS!$D$29,"SALUD MENTAL",IF(K94=CURSOS!$D$30,"PRIMEROS AUXILIOS PSICOLOGICOS",IF(K94=CURSOS!$D$31,"ATENCION A VICTIMAS POR CONFLICTO ARMADO",IF(K94=CURSOS!$D$32,"MANIPULACION DE ALIMENTOS Y BPM",IF(K94=CURSOS!$D$33,"ATENCION A PERSONAS CON DISCAPACIDAD",IF(K94=CURSOS!$D$34,"CUIDADO INTEGRAL DEL PACIENTE ADULTO",IF(K94=CURSOS!$D$35,"MANEJO DEFENSIVO",IF(K94=CURSOS!$D$36,"SOPORTE CARDIOVASCULAR AVANZADO NEONATAL",IF(K94=CURSOS!$D$37,"SEGURIDAD DEL PACIENTE")))))))))))))))))))))))))))))))))))</f>
        <v xml:space="preserve">ATENCION A VICTIMAS DE ATAQUE CON AGENTES QUIMICOS </v>
      </c>
      <c r="M94" s="52" t="str">
        <f t="shared" si="9"/>
        <v>Karol Andrea Azain Hernandez</v>
      </c>
      <c r="N94" s="52" t="str">
        <f t="shared" si="8"/>
        <v>Karol Andrea Azain Hernandez</v>
      </c>
      <c r="O94" s="52" t="str">
        <f t="shared" si="10"/>
        <v>Karol Andrea Azain Hernandez-1087675197-QUIMICOS</v>
      </c>
    </row>
    <row r="95" spans="1:15" s="154" customFormat="1" x14ac:dyDescent="0.2">
      <c r="A95" s="149">
        <v>94</v>
      </c>
      <c r="B95" s="149">
        <v>1087675197</v>
      </c>
      <c r="C95" s="149" t="s">
        <v>464</v>
      </c>
      <c r="D95" s="149" t="s">
        <v>138</v>
      </c>
      <c r="E95" s="149" t="s">
        <v>495</v>
      </c>
      <c r="F95" s="149" t="s">
        <v>116</v>
      </c>
      <c r="G95" s="150">
        <v>17</v>
      </c>
      <c r="H95" s="14" t="s">
        <v>181</v>
      </c>
      <c r="I95" s="14" t="s">
        <v>86</v>
      </c>
      <c r="J95" s="14" t="s">
        <v>511</v>
      </c>
      <c r="K95" s="15" t="s">
        <v>43</v>
      </c>
      <c r="L95" s="52" t="str">
        <f>IF(K95=CURSOS!$D$3,"DIPLOMADO EN ATENCION PRE-HOSPITALARIA",IF(K95=CURSOS!$D$4,"ACOMPAÑAMIENTO Y MANEJO DEL DUELO",IF(K95=CURSOS!$D$5,"ATENCION A VICTIMAS DE ATAQUE CON AGENTES QUIMICOS ",IF(K95=CURSOS!$D$6,"PRIMEROS AUXILIOS ",IF(K95=CURSOS!$D$7,"DIPLOMADO DE UNIDAD DE CUIDADOS INTENSIVOS (UCI)",IF(K95=CURSOS!$D$8,"MODELO DE ATENCION PARA EVENTOS EMERGENTES EN SALUD MENTAL (CODIGO VERDE)",IF(K95=CURSOS!$D$9,"HUMANIZACION EN EL SERVICIO DE LA SALUD Y BUENAS PRACTICAS EN PACIENTE ",IF(K95=CURSOS!$D$10,"CLINICA DE HERIDAS ",IF(K95=CURSOS!$D$11,"TOMA DE CITOLOGIA CERVICO VAGINAL ",IF(K95=CURSOS!$D$12,"SOPORTE CARDIOVASCULAR AVANZADO (ACLS) ",IF(K95=CURSOS!$D$13,"CAMILLERO ",IF(K95=CURSOS!$D$14,"TOMA DE MUESTRAS Y LABORATORIO ",IF(K95=CURSOS!$D$15,"SOPORTE VITAL BASICO (BLS)",IF(K95=CURSOS!$D$16,"ATENCION A VICTIMAS DE VIOLENCIA SEXUAL ",IF(K95=CURSOS!$D$17,"PROGRAMADO AMPLIADO DE INMUNIZACION (PAI - COVID 19)",IF(K95=CURSOS!$D$18,"ATENCION INTEGRAL EN ENFERMEDADES PREVALENTES EN PRIMERA INFANCIA (AIEPI)",IF(K95=CURSOS!$D$19,"ADMINISTRACION DE MEDICAMENTOS, INYECTOLOGIA  Y CANALIZACION ",IF(K95=CURSOS!$D$20,"OPERADOR DE VEHICULOS DE EMERGENCIA (OVE)",IF(K95=CURSOS!$D$21,"INSTITUCIONES AMIGAS DE LA MUJER Y LA INFANCIA (IAMI)",IF(K95=CURSOS!$D$22,"CUIDADO DEL DONANTE DE ORGANOS",IF(K95=CURSOS!$D$23,"ATENCION A VICTIMAS POR VIOLENCIA DE GENERO",IF(K95=CURSOS!$D$24,"IGUALDAD DE GENERO EN LA SALUD",IF(K95=CURSOS!$D$25,"BRIGADA DE EMERGENCIA",IF(K95=CURSOS!$D$26,"MANEJO DEL DOLOR Y CUIDADOS PALIATIVOS",IF(K95=CURSOS!$D$27,"TOMA DE MUESTRAS Y LABORATORIO POCT",IF(K95=CURSOS!$D$28,"IMPLANTE SUBDERMICO DE DISPOSITIVO INTRAUTERINO",IF(K95=CURSOS!$D$29,"SALUD MENTAL",IF(K95=CURSOS!$D$30,"PRIMEROS AUXILIOS PSICOLOGICOS",IF(K95=CURSOS!$D$31,"ATENCION A VICTIMAS POR CONFLICTO ARMADO",IF(K95=CURSOS!$D$32,"MANIPULACION DE ALIMENTOS Y BPM",IF(K95=CURSOS!$D$33,"ATENCION A PERSONAS CON DISCAPACIDAD",IF(K95=CURSOS!$D$34,"CUIDADO INTEGRAL DEL PACIENTE ADULTO",IF(K95=CURSOS!$D$35,"MANEJO DEFENSIVO",IF(K95=CURSOS!$D$36,"SOPORTE CARDIOVASCULAR AVANZADO NEONATAL",IF(K95=CURSOS!$D$37,"SEGURIDAD DEL PACIENTE")))))))))))))))))))))))))))))))))))</f>
        <v xml:space="preserve">ATENCION A VICTIMAS DE VIOLENCIA SEXUAL </v>
      </c>
      <c r="M95" s="52" t="str">
        <f t="shared" si="9"/>
        <v>Karol Andrea Azain Hernandez</v>
      </c>
      <c r="N95" s="52" t="str">
        <f t="shared" si="8"/>
        <v>Karol Andrea Azain Hernandez</v>
      </c>
      <c r="O95" s="52" t="str">
        <f t="shared" si="10"/>
        <v>Karol Andrea Azain Hernandez-1087675197-VIOLENCIA SEXUAL</v>
      </c>
    </row>
    <row r="96" spans="1:15" s="154" customFormat="1" x14ac:dyDescent="0.2">
      <c r="A96" s="149">
        <v>95</v>
      </c>
      <c r="B96" s="149">
        <v>1004490953</v>
      </c>
      <c r="C96" s="149" t="s">
        <v>465</v>
      </c>
      <c r="D96" s="149" t="s">
        <v>138</v>
      </c>
      <c r="E96" s="149" t="s">
        <v>496</v>
      </c>
      <c r="F96" s="149" t="s">
        <v>490</v>
      </c>
      <c r="G96" s="150">
        <v>17</v>
      </c>
      <c r="H96" s="14" t="s">
        <v>181</v>
      </c>
      <c r="I96" s="14" t="s">
        <v>86</v>
      </c>
      <c r="J96" s="14" t="s">
        <v>511</v>
      </c>
      <c r="K96" s="15" t="s">
        <v>23</v>
      </c>
      <c r="L96" s="52" t="str">
        <f>IF(K96=CURSOS!$D$3,"DIPLOMADO EN ATENCION PRE-HOSPITALARIA",IF(K96=CURSOS!$D$4,"ACOMPAÑAMIENTO Y MANEJO DEL DUELO",IF(K96=CURSOS!$D$5,"ATENCION A VICTIMAS DE ATAQUE CON AGENTES QUIMICOS ",IF(K96=CURSOS!$D$6,"PRIMEROS AUXILIOS ",IF(K96=CURSOS!$D$7,"DIPLOMADO DE UNIDAD DE CUIDADOS INTENSIVOS (UCI)",IF(K96=CURSOS!$D$8,"MODELO DE ATENCION PARA EVENTOS EMERGENTES EN SALUD MENTAL (CODIGO VERDE)",IF(K96=CURSOS!$D$9,"HUMANIZACION EN EL SERVICIO DE LA SALUD Y BUENAS PRACTICAS EN PACIENTE ",IF(K96=CURSOS!$D$10,"CLINICA DE HERIDAS ",IF(K96=CURSOS!$D$11,"TOMA DE CITOLOGIA CERVICO VAGINAL ",IF(K96=CURSOS!$D$12,"SOPORTE CARDIOVASCULAR AVANZADO (ACLS) ",IF(K96=CURSOS!$D$13,"CAMILLERO ",IF(K96=CURSOS!$D$14,"TOMA DE MUESTRAS Y LABORATORIO ",IF(K96=CURSOS!$D$15,"SOPORTE VITAL BASICO (BLS)",IF(K96=CURSOS!$D$16,"ATENCION A VICTIMAS DE VIOLENCIA SEXUAL ",IF(K96=CURSOS!$D$17,"PROGRAMADO AMPLIADO DE INMUNIZACION (PAI - COVID 19)",IF(K96=CURSOS!$D$18,"ATENCION INTEGRAL EN ENFERMEDADES PREVALENTES EN PRIMERA INFANCIA (AIEPI)",IF(K96=CURSOS!$D$19,"ADMINISTRACION DE MEDICAMENTOS, INYECTOLOGIA  Y CANALIZACION ",IF(K96=CURSOS!$D$20,"OPERADOR DE VEHICULOS DE EMERGENCIA (OVE)",IF(K96=CURSOS!$D$21,"INSTITUCIONES AMIGAS DE LA MUJER Y LA INFANCIA (IAMI)",IF(K96=CURSOS!$D$22,"CUIDADO DEL DONANTE DE ORGANOS",IF(K96=CURSOS!$D$23,"ATENCION A VICTIMAS POR VIOLENCIA DE GENERO",IF(K96=CURSOS!$D$24,"IGUALDAD DE GENERO EN LA SALUD",IF(K96=CURSOS!$D$25,"BRIGADA DE EMERGENCIA",IF(K96=CURSOS!$D$26,"MANEJO DEL DOLOR Y CUIDADOS PALIATIVOS",IF(K96=CURSOS!$D$27,"TOMA DE MUESTRAS Y LABORATORIO POCT",IF(K96=CURSOS!$D$28,"IMPLANTE SUBDERMICO DE DISPOSITIVO INTRAUTERINO",IF(K96=CURSOS!$D$29,"SALUD MENTAL",IF(K96=CURSOS!$D$30,"PRIMEROS AUXILIOS PSICOLOGICOS",IF(K96=CURSOS!$D$31,"ATENCION A VICTIMAS POR CONFLICTO ARMADO",IF(K96=CURSOS!$D$32,"MANIPULACION DE ALIMENTOS Y BPM",IF(K96=CURSOS!$D$33,"ATENCION A PERSONAS CON DISCAPACIDAD",IF(K96=CURSOS!$D$34,"CUIDADO INTEGRAL DEL PACIENTE ADULTO",IF(K96=CURSOS!$D$35,"MANEJO DEFENSIVO",IF(K96=CURSOS!$D$36,"SOPORTE CARDIOVASCULAR AVANZADO NEONATAL",IF(K96=CURSOS!$D$37,"SEGURIDAD DEL PACIENTE")))))))))))))))))))))))))))))))))))</f>
        <v>ACOMPAÑAMIENTO Y MANEJO DEL DUELO</v>
      </c>
      <c r="M96" s="52" t="str">
        <f t="shared" si="9"/>
        <v>Yurley Dayana Aite Hernandez</v>
      </c>
      <c r="N96" s="52" t="str">
        <f t="shared" si="8"/>
        <v>Yurley Dayana Aite Hernandez</v>
      </c>
      <c r="O96" s="52" t="str">
        <f t="shared" si="10"/>
        <v>Yurley Dayana Aite Hernandez-1004490953-DUELO</v>
      </c>
    </row>
    <row r="97" spans="1:15" s="154" customFormat="1" x14ac:dyDescent="0.2">
      <c r="A97" s="149">
        <v>96</v>
      </c>
      <c r="B97" s="149">
        <v>1004490953</v>
      </c>
      <c r="C97" s="149" t="s">
        <v>465</v>
      </c>
      <c r="D97" s="149" t="s">
        <v>138</v>
      </c>
      <c r="E97" s="149" t="s">
        <v>496</v>
      </c>
      <c r="F97" s="149" t="s">
        <v>490</v>
      </c>
      <c r="G97" s="150">
        <v>17</v>
      </c>
      <c r="H97" s="14" t="s">
        <v>181</v>
      </c>
      <c r="I97" s="14" t="s">
        <v>86</v>
      </c>
      <c r="J97" s="14" t="s">
        <v>511</v>
      </c>
      <c r="K97" s="15" t="s">
        <v>25</v>
      </c>
      <c r="L97" s="52" t="str">
        <f>IF(K97=CURSOS!$D$3,"DIPLOMADO EN ATENCION PRE-HOSPITALARIA",IF(K97=CURSOS!$D$4,"ACOMPAÑAMIENTO Y MANEJO DEL DUELO",IF(K97=CURSOS!$D$5,"ATENCION A VICTIMAS DE ATAQUE CON AGENTES QUIMICOS ",IF(K97=CURSOS!$D$6,"PRIMEROS AUXILIOS ",IF(K97=CURSOS!$D$7,"DIPLOMADO DE UNIDAD DE CUIDADOS INTENSIVOS (UCI)",IF(K97=CURSOS!$D$8,"MODELO DE ATENCION PARA EVENTOS EMERGENTES EN SALUD MENTAL (CODIGO VERDE)",IF(K97=CURSOS!$D$9,"HUMANIZACION EN EL SERVICIO DE LA SALUD Y BUENAS PRACTICAS EN PACIENTE ",IF(K97=CURSOS!$D$10,"CLINICA DE HERIDAS ",IF(K97=CURSOS!$D$11,"TOMA DE CITOLOGIA CERVICO VAGINAL ",IF(K97=CURSOS!$D$12,"SOPORTE CARDIOVASCULAR AVANZADO (ACLS) ",IF(K97=CURSOS!$D$13,"CAMILLERO ",IF(K97=CURSOS!$D$14,"TOMA DE MUESTRAS Y LABORATORIO ",IF(K97=CURSOS!$D$15,"SOPORTE VITAL BASICO (BLS)",IF(K97=CURSOS!$D$16,"ATENCION A VICTIMAS DE VIOLENCIA SEXUAL ",IF(K97=CURSOS!$D$17,"PROGRAMADO AMPLIADO DE INMUNIZACION (PAI - COVID 19)",IF(K97=CURSOS!$D$18,"ATENCION INTEGRAL EN ENFERMEDADES PREVALENTES EN PRIMERA INFANCIA (AIEPI)",IF(K97=CURSOS!$D$19,"ADMINISTRACION DE MEDICAMENTOS, INYECTOLOGIA  Y CANALIZACION ",IF(K97=CURSOS!$D$20,"OPERADOR DE VEHICULOS DE EMERGENCIA (OVE)",IF(K97=CURSOS!$D$21,"INSTITUCIONES AMIGAS DE LA MUJER Y LA INFANCIA (IAMI)",IF(K97=CURSOS!$D$22,"CUIDADO DEL DONANTE DE ORGANOS",IF(K97=CURSOS!$D$23,"ATENCION A VICTIMAS POR VIOLENCIA DE GENERO",IF(K97=CURSOS!$D$24,"IGUALDAD DE GENERO EN LA SALUD",IF(K97=CURSOS!$D$25,"BRIGADA DE EMERGENCIA",IF(K97=CURSOS!$D$26,"MANEJO DEL DOLOR Y CUIDADOS PALIATIVOS",IF(K97=CURSOS!$D$27,"TOMA DE MUESTRAS Y LABORATORIO POCT",IF(K97=CURSOS!$D$28,"IMPLANTE SUBDERMICO DE DISPOSITIVO INTRAUTERINO",IF(K97=CURSOS!$D$29,"SALUD MENTAL",IF(K97=CURSOS!$D$30,"PRIMEROS AUXILIOS PSICOLOGICOS",IF(K97=CURSOS!$D$31,"ATENCION A VICTIMAS POR CONFLICTO ARMADO",IF(K97=CURSOS!$D$32,"MANIPULACION DE ALIMENTOS Y BPM",IF(K97=CURSOS!$D$33,"ATENCION A PERSONAS CON DISCAPACIDAD",IF(K97=CURSOS!$D$34,"CUIDADO INTEGRAL DEL PACIENTE ADULTO",IF(K97=CURSOS!$D$35,"MANEJO DEFENSIVO",IF(K97=CURSOS!$D$36,"SOPORTE CARDIOVASCULAR AVANZADO NEONATAL",IF(K97=CURSOS!$D$37,"SEGURIDAD DEL PACIENTE")))))))))))))))))))))))))))))))))))</f>
        <v xml:space="preserve">ATENCION A VICTIMAS DE ATAQUE CON AGENTES QUIMICOS </v>
      </c>
      <c r="M97" s="52" t="str">
        <f t="shared" si="9"/>
        <v>Yurley Dayana Aite Hernandez</v>
      </c>
      <c r="N97" s="52" t="str">
        <f t="shared" si="8"/>
        <v>Yurley Dayana Aite Hernandez</v>
      </c>
      <c r="O97" s="52" t="str">
        <f t="shared" si="10"/>
        <v>Yurley Dayana Aite Hernandez-1004490953-QUIMICOS</v>
      </c>
    </row>
    <row r="98" spans="1:15" s="154" customFormat="1" x14ac:dyDescent="0.2">
      <c r="A98" s="85">
        <v>97</v>
      </c>
      <c r="B98" s="149">
        <v>1004490953</v>
      </c>
      <c r="C98" s="149" t="s">
        <v>465</v>
      </c>
      <c r="D98" s="149" t="s">
        <v>138</v>
      </c>
      <c r="E98" s="149" t="s">
        <v>496</v>
      </c>
      <c r="F98" s="149" t="s">
        <v>490</v>
      </c>
      <c r="G98" s="150">
        <v>17</v>
      </c>
      <c r="H98" s="14" t="s">
        <v>181</v>
      </c>
      <c r="I98" s="14" t="s">
        <v>86</v>
      </c>
      <c r="J98" s="14" t="s">
        <v>511</v>
      </c>
      <c r="K98" s="15" t="s">
        <v>43</v>
      </c>
      <c r="L98" s="52" t="str">
        <f>IF(K98=CURSOS!$D$3,"DIPLOMADO EN ATENCION PRE-HOSPITALARIA",IF(K98=CURSOS!$D$4,"ACOMPAÑAMIENTO Y MANEJO DEL DUELO",IF(K98=CURSOS!$D$5,"ATENCION A VICTIMAS DE ATAQUE CON AGENTES QUIMICOS ",IF(K98=CURSOS!$D$6,"PRIMEROS AUXILIOS ",IF(K98=CURSOS!$D$7,"DIPLOMADO DE UNIDAD DE CUIDADOS INTENSIVOS (UCI)",IF(K98=CURSOS!$D$8,"MODELO DE ATENCION PARA EVENTOS EMERGENTES EN SALUD MENTAL (CODIGO VERDE)",IF(K98=CURSOS!$D$9,"HUMANIZACION EN EL SERVICIO DE LA SALUD Y BUENAS PRACTICAS EN PACIENTE ",IF(K98=CURSOS!$D$10,"CLINICA DE HERIDAS ",IF(K98=CURSOS!$D$11,"TOMA DE CITOLOGIA CERVICO VAGINAL ",IF(K98=CURSOS!$D$12,"SOPORTE CARDIOVASCULAR AVANZADO (ACLS) ",IF(K98=CURSOS!$D$13,"CAMILLERO ",IF(K98=CURSOS!$D$14,"TOMA DE MUESTRAS Y LABORATORIO ",IF(K98=CURSOS!$D$15,"SOPORTE VITAL BASICO (BLS)",IF(K98=CURSOS!$D$16,"ATENCION A VICTIMAS DE VIOLENCIA SEXUAL ",IF(K98=CURSOS!$D$17,"PROGRAMADO AMPLIADO DE INMUNIZACION (PAI - COVID 19)",IF(K98=CURSOS!$D$18,"ATENCION INTEGRAL EN ENFERMEDADES PREVALENTES EN PRIMERA INFANCIA (AIEPI)",IF(K98=CURSOS!$D$19,"ADMINISTRACION DE MEDICAMENTOS, INYECTOLOGIA  Y CANALIZACION ",IF(K98=CURSOS!$D$20,"OPERADOR DE VEHICULOS DE EMERGENCIA (OVE)",IF(K98=CURSOS!$D$21,"INSTITUCIONES AMIGAS DE LA MUJER Y LA INFANCIA (IAMI)",IF(K98=CURSOS!$D$22,"CUIDADO DEL DONANTE DE ORGANOS",IF(K98=CURSOS!$D$23,"ATENCION A VICTIMAS POR VIOLENCIA DE GENERO",IF(K98=CURSOS!$D$24,"IGUALDAD DE GENERO EN LA SALUD",IF(K98=CURSOS!$D$25,"BRIGADA DE EMERGENCIA",IF(K98=CURSOS!$D$26,"MANEJO DEL DOLOR Y CUIDADOS PALIATIVOS",IF(K98=CURSOS!$D$27,"TOMA DE MUESTRAS Y LABORATORIO POCT",IF(K98=CURSOS!$D$28,"IMPLANTE SUBDERMICO DE DISPOSITIVO INTRAUTERINO",IF(K98=CURSOS!$D$29,"SALUD MENTAL",IF(K98=CURSOS!$D$30,"PRIMEROS AUXILIOS PSICOLOGICOS",IF(K98=CURSOS!$D$31,"ATENCION A VICTIMAS POR CONFLICTO ARMADO",IF(K98=CURSOS!$D$32,"MANIPULACION DE ALIMENTOS Y BPM",IF(K98=CURSOS!$D$33,"ATENCION A PERSONAS CON DISCAPACIDAD",IF(K98=CURSOS!$D$34,"CUIDADO INTEGRAL DEL PACIENTE ADULTO",IF(K98=CURSOS!$D$35,"MANEJO DEFENSIVO",IF(K98=CURSOS!$D$36,"SOPORTE CARDIOVASCULAR AVANZADO NEONATAL",IF(K98=CURSOS!$D$37,"SEGURIDAD DEL PACIENTE")))))))))))))))))))))))))))))))))))</f>
        <v xml:space="preserve">ATENCION A VICTIMAS DE VIOLENCIA SEXUAL </v>
      </c>
      <c r="M98" s="52" t="str">
        <f t="shared" ref="M98:M125" si="11">CONCATENATE(E98," ",F98," ",C98," ",D98)</f>
        <v>Yurley Dayana Aite Hernandez</v>
      </c>
      <c r="N98" s="52" t="str">
        <f t="shared" si="8"/>
        <v>Yurley Dayana Aite Hernandez</v>
      </c>
      <c r="O98" s="52" t="str">
        <f t="shared" ref="O98:O125" si="12">CONCATENATE(M98,"-",B98,"-",K98)</f>
        <v>Yurley Dayana Aite Hernandez-1004490953-VIOLENCIA SEXUAL</v>
      </c>
    </row>
    <row r="99" spans="1:15" s="154" customFormat="1" x14ac:dyDescent="0.2">
      <c r="A99" s="85">
        <v>98</v>
      </c>
      <c r="B99" s="149">
        <v>5164012</v>
      </c>
      <c r="C99" s="149" t="s">
        <v>466</v>
      </c>
      <c r="D99" s="149" t="s">
        <v>467</v>
      </c>
      <c r="E99" s="149" t="s">
        <v>233</v>
      </c>
      <c r="F99" s="149" t="s">
        <v>497</v>
      </c>
      <c r="G99" s="150">
        <v>17</v>
      </c>
      <c r="H99" s="14" t="s">
        <v>181</v>
      </c>
      <c r="I99" s="14" t="s">
        <v>86</v>
      </c>
      <c r="J99" s="14" t="s">
        <v>511</v>
      </c>
      <c r="K99" s="15" t="s">
        <v>23</v>
      </c>
      <c r="L99" s="52" t="str">
        <f>IF(K99=CURSOS!$D$3,"DIPLOMADO EN ATENCION PRE-HOSPITALARIA",IF(K99=CURSOS!$D$4,"ACOMPAÑAMIENTO Y MANEJO DEL DUELO",IF(K99=CURSOS!$D$5,"ATENCION A VICTIMAS DE ATAQUE CON AGENTES QUIMICOS ",IF(K99=CURSOS!$D$6,"PRIMEROS AUXILIOS ",IF(K99=CURSOS!$D$7,"DIPLOMADO DE UNIDAD DE CUIDADOS INTENSIVOS (UCI)",IF(K99=CURSOS!$D$8,"MODELO DE ATENCION PARA EVENTOS EMERGENTES EN SALUD MENTAL (CODIGO VERDE)",IF(K99=CURSOS!$D$9,"HUMANIZACION EN EL SERVICIO DE LA SALUD Y BUENAS PRACTICAS EN PACIENTE ",IF(K99=CURSOS!$D$10,"CLINICA DE HERIDAS ",IF(K99=CURSOS!$D$11,"TOMA DE CITOLOGIA CERVICO VAGINAL ",IF(K99=CURSOS!$D$12,"SOPORTE CARDIOVASCULAR AVANZADO (ACLS) ",IF(K99=CURSOS!$D$13,"CAMILLERO ",IF(K99=CURSOS!$D$14,"TOMA DE MUESTRAS Y LABORATORIO ",IF(K99=CURSOS!$D$15,"SOPORTE VITAL BASICO (BLS)",IF(K99=CURSOS!$D$16,"ATENCION A VICTIMAS DE VIOLENCIA SEXUAL ",IF(K99=CURSOS!$D$17,"PROGRAMADO AMPLIADO DE INMUNIZACION (PAI - COVID 19)",IF(K99=CURSOS!$D$18,"ATENCION INTEGRAL EN ENFERMEDADES PREVALENTES EN PRIMERA INFANCIA (AIEPI)",IF(K99=CURSOS!$D$19,"ADMINISTRACION DE MEDICAMENTOS, INYECTOLOGIA  Y CANALIZACION ",IF(K99=CURSOS!$D$20,"OPERADOR DE VEHICULOS DE EMERGENCIA (OVE)",IF(K99=CURSOS!$D$21,"INSTITUCIONES AMIGAS DE LA MUJER Y LA INFANCIA (IAMI)",IF(K99=CURSOS!$D$22,"CUIDADO DEL DONANTE DE ORGANOS",IF(K99=CURSOS!$D$23,"ATENCION A VICTIMAS POR VIOLENCIA DE GENERO",IF(K99=CURSOS!$D$24,"IGUALDAD DE GENERO EN LA SALUD",IF(K99=CURSOS!$D$25,"BRIGADA DE EMERGENCIA",IF(K99=CURSOS!$D$26,"MANEJO DEL DOLOR Y CUIDADOS PALIATIVOS",IF(K99=CURSOS!$D$27,"TOMA DE MUESTRAS Y LABORATORIO POCT",IF(K99=CURSOS!$D$28,"IMPLANTE SUBDERMICO DE DISPOSITIVO INTRAUTERINO",IF(K99=CURSOS!$D$29,"SALUD MENTAL",IF(K99=CURSOS!$D$30,"PRIMEROS AUXILIOS PSICOLOGICOS",IF(K99=CURSOS!$D$31,"ATENCION A VICTIMAS POR CONFLICTO ARMADO",IF(K99=CURSOS!$D$32,"MANIPULACION DE ALIMENTOS Y BPM",IF(K99=CURSOS!$D$33,"ATENCION A PERSONAS CON DISCAPACIDAD",IF(K99=CURSOS!$D$34,"CUIDADO INTEGRAL DEL PACIENTE ADULTO",IF(K99=CURSOS!$D$35,"MANEJO DEFENSIVO",IF(K99=CURSOS!$D$36,"SOPORTE CARDIOVASCULAR AVANZADO NEONATAL",IF(K99=CURSOS!$D$37,"SEGURIDAD DEL PACIENTE")))))))))))))))))))))))))))))))))))</f>
        <v>ACOMPAÑAMIENTO Y MANEJO DEL DUELO</v>
      </c>
      <c r="M99" s="52" t="str">
        <f t="shared" si="11"/>
        <v>Rodrigo José Romero Cujia</v>
      </c>
      <c r="N99" s="52" t="str">
        <f t="shared" si="8"/>
        <v>Rodrigo José Romero Cujia</v>
      </c>
      <c r="O99" s="52" t="str">
        <f t="shared" si="12"/>
        <v>Rodrigo José Romero Cujia-5164012-DUELO</v>
      </c>
    </row>
    <row r="100" spans="1:15" s="154" customFormat="1" x14ac:dyDescent="0.2">
      <c r="A100" s="149">
        <v>99</v>
      </c>
      <c r="B100" s="149">
        <v>5164012</v>
      </c>
      <c r="C100" s="149" t="s">
        <v>466</v>
      </c>
      <c r="D100" s="149" t="s">
        <v>467</v>
      </c>
      <c r="E100" s="149" t="s">
        <v>233</v>
      </c>
      <c r="F100" s="149" t="s">
        <v>497</v>
      </c>
      <c r="G100" s="150">
        <v>17</v>
      </c>
      <c r="H100" s="14" t="s">
        <v>181</v>
      </c>
      <c r="I100" s="14" t="s">
        <v>86</v>
      </c>
      <c r="J100" s="14" t="s">
        <v>511</v>
      </c>
      <c r="K100" s="15" t="s">
        <v>25</v>
      </c>
      <c r="L100" s="52" t="str">
        <f>IF(K100=CURSOS!$D$3,"DIPLOMADO EN ATENCION PRE-HOSPITALARIA",IF(K100=CURSOS!$D$4,"ACOMPAÑAMIENTO Y MANEJO DEL DUELO",IF(K100=CURSOS!$D$5,"ATENCION A VICTIMAS DE ATAQUE CON AGENTES QUIMICOS ",IF(K100=CURSOS!$D$6,"PRIMEROS AUXILIOS ",IF(K100=CURSOS!$D$7,"DIPLOMADO DE UNIDAD DE CUIDADOS INTENSIVOS (UCI)",IF(K100=CURSOS!$D$8,"MODELO DE ATENCION PARA EVENTOS EMERGENTES EN SALUD MENTAL (CODIGO VERDE)",IF(K100=CURSOS!$D$9,"HUMANIZACION EN EL SERVICIO DE LA SALUD Y BUENAS PRACTICAS EN PACIENTE ",IF(K100=CURSOS!$D$10,"CLINICA DE HERIDAS ",IF(K100=CURSOS!$D$11,"TOMA DE CITOLOGIA CERVICO VAGINAL ",IF(K100=CURSOS!$D$12,"SOPORTE CARDIOVASCULAR AVANZADO (ACLS) ",IF(K100=CURSOS!$D$13,"CAMILLERO ",IF(K100=CURSOS!$D$14,"TOMA DE MUESTRAS Y LABORATORIO ",IF(K100=CURSOS!$D$15,"SOPORTE VITAL BASICO (BLS)",IF(K100=CURSOS!$D$16,"ATENCION A VICTIMAS DE VIOLENCIA SEXUAL ",IF(K100=CURSOS!$D$17,"PROGRAMADO AMPLIADO DE INMUNIZACION (PAI - COVID 19)",IF(K100=CURSOS!$D$18,"ATENCION INTEGRAL EN ENFERMEDADES PREVALENTES EN PRIMERA INFANCIA (AIEPI)",IF(K100=CURSOS!$D$19,"ADMINISTRACION DE MEDICAMENTOS, INYECTOLOGIA  Y CANALIZACION ",IF(K100=CURSOS!$D$20,"OPERADOR DE VEHICULOS DE EMERGENCIA (OVE)",IF(K100=CURSOS!$D$21,"INSTITUCIONES AMIGAS DE LA MUJER Y LA INFANCIA (IAMI)",IF(K100=CURSOS!$D$22,"CUIDADO DEL DONANTE DE ORGANOS",IF(K100=CURSOS!$D$23,"ATENCION A VICTIMAS POR VIOLENCIA DE GENERO",IF(K100=CURSOS!$D$24,"IGUALDAD DE GENERO EN LA SALUD",IF(K100=CURSOS!$D$25,"BRIGADA DE EMERGENCIA",IF(K100=CURSOS!$D$26,"MANEJO DEL DOLOR Y CUIDADOS PALIATIVOS",IF(K100=CURSOS!$D$27,"TOMA DE MUESTRAS Y LABORATORIO POCT",IF(K100=CURSOS!$D$28,"IMPLANTE SUBDERMICO DE DISPOSITIVO INTRAUTERINO",IF(K100=CURSOS!$D$29,"SALUD MENTAL",IF(K100=CURSOS!$D$30,"PRIMEROS AUXILIOS PSICOLOGICOS",IF(K100=CURSOS!$D$31,"ATENCION A VICTIMAS POR CONFLICTO ARMADO",IF(K100=CURSOS!$D$32,"MANIPULACION DE ALIMENTOS Y BPM",IF(K100=CURSOS!$D$33,"ATENCION A PERSONAS CON DISCAPACIDAD",IF(K100=CURSOS!$D$34,"CUIDADO INTEGRAL DEL PACIENTE ADULTO",IF(K100=CURSOS!$D$35,"MANEJO DEFENSIVO",IF(K100=CURSOS!$D$36,"SOPORTE CARDIOVASCULAR AVANZADO NEONATAL",IF(K100=CURSOS!$D$37,"SEGURIDAD DEL PACIENTE")))))))))))))))))))))))))))))))))))</f>
        <v xml:space="preserve">ATENCION A VICTIMAS DE ATAQUE CON AGENTES QUIMICOS </v>
      </c>
      <c r="M100" s="52" t="str">
        <f t="shared" si="11"/>
        <v>Rodrigo José Romero Cujia</v>
      </c>
      <c r="N100" s="52" t="str">
        <f t="shared" si="8"/>
        <v>Rodrigo José Romero Cujia</v>
      </c>
      <c r="O100" s="52" t="str">
        <f t="shared" si="12"/>
        <v>Rodrigo José Romero Cujia-5164012-QUIMICOS</v>
      </c>
    </row>
    <row r="101" spans="1:15" s="154" customFormat="1" x14ac:dyDescent="0.2">
      <c r="A101" s="149">
        <v>100</v>
      </c>
      <c r="B101" s="149">
        <v>5164012</v>
      </c>
      <c r="C101" s="149" t="s">
        <v>466</v>
      </c>
      <c r="D101" s="149" t="s">
        <v>467</v>
      </c>
      <c r="E101" s="149" t="s">
        <v>233</v>
      </c>
      <c r="F101" s="149" t="s">
        <v>497</v>
      </c>
      <c r="G101" s="150">
        <v>17</v>
      </c>
      <c r="H101" s="14" t="s">
        <v>181</v>
      </c>
      <c r="I101" s="14" t="s">
        <v>86</v>
      </c>
      <c r="J101" s="14" t="s">
        <v>511</v>
      </c>
      <c r="K101" s="15" t="s">
        <v>43</v>
      </c>
      <c r="L101" s="52" t="str">
        <f>IF(K101=CURSOS!$D$3,"DIPLOMADO EN ATENCION PRE-HOSPITALARIA",IF(K101=CURSOS!$D$4,"ACOMPAÑAMIENTO Y MANEJO DEL DUELO",IF(K101=CURSOS!$D$5,"ATENCION A VICTIMAS DE ATAQUE CON AGENTES QUIMICOS ",IF(K101=CURSOS!$D$6,"PRIMEROS AUXILIOS ",IF(K101=CURSOS!$D$7,"DIPLOMADO DE UNIDAD DE CUIDADOS INTENSIVOS (UCI)",IF(K101=CURSOS!$D$8,"MODELO DE ATENCION PARA EVENTOS EMERGENTES EN SALUD MENTAL (CODIGO VERDE)",IF(K101=CURSOS!$D$9,"HUMANIZACION EN EL SERVICIO DE LA SALUD Y BUENAS PRACTICAS EN PACIENTE ",IF(K101=CURSOS!$D$10,"CLINICA DE HERIDAS ",IF(K101=CURSOS!$D$11,"TOMA DE CITOLOGIA CERVICO VAGINAL ",IF(K101=CURSOS!$D$12,"SOPORTE CARDIOVASCULAR AVANZADO (ACLS) ",IF(K101=CURSOS!$D$13,"CAMILLERO ",IF(K101=CURSOS!$D$14,"TOMA DE MUESTRAS Y LABORATORIO ",IF(K101=CURSOS!$D$15,"SOPORTE VITAL BASICO (BLS)",IF(K101=CURSOS!$D$16,"ATENCION A VICTIMAS DE VIOLENCIA SEXUAL ",IF(K101=CURSOS!$D$17,"PROGRAMADO AMPLIADO DE INMUNIZACION (PAI - COVID 19)",IF(K101=CURSOS!$D$18,"ATENCION INTEGRAL EN ENFERMEDADES PREVALENTES EN PRIMERA INFANCIA (AIEPI)",IF(K101=CURSOS!$D$19,"ADMINISTRACION DE MEDICAMENTOS, INYECTOLOGIA  Y CANALIZACION ",IF(K101=CURSOS!$D$20,"OPERADOR DE VEHICULOS DE EMERGENCIA (OVE)",IF(K101=CURSOS!$D$21,"INSTITUCIONES AMIGAS DE LA MUJER Y LA INFANCIA (IAMI)",IF(K101=CURSOS!$D$22,"CUIDADO DEL DONANTE DE ORGANOS",IF(K101=CURSOS!$D$23,"ATENCION A VICTIMAS POR VIOLENCIA DE GENERO",IF(K101=CURSOS!$D$24,"IGUALDAD DE GENERO EN LA SALUD",IF(K101=CURSOS!$D$25,"BRIGADA DE EMERGENCIA",IF(K101=CURSOS!$D$26,"MANEJO DEL DOLOR Y CUIDADOS PALIATIVOS",IF(K101=CURSOS!$D$27,"TOMA DE MUESTRAS Y LABORATORIO POCT",IF(K101=CURSOS!$D$28,"IMPLANTE SUBDERMICO DE DISPOSITIVO INTRAUTERINO",IF(K101=CURSOS!$D$29,"SALUD MENTAL",IF(K101=CURSOS!$D$30,"PRIMEROS AUXILIOS PSICOLOGICOS",IF(K101=CURSOS!$D$31,"ATENCION A VICTIMAS POR CONFLICTO ARMADO",IF(K101=CURSOS!$D$32,"MANIPULACION DE ALIMENTOS Y BPM",IF(K101=CURSOS!$D$33,"ATENCION A PERSONAS CON DISCAPACIDAD",IF(K101=CURSOS!$D$34,"CUIDADO INTEGRAL DEL PACIENTE ADULTO",IF(K101=CURSOS!$D$35,"MANEJO DEFENSIVO",IF(K101=CURSOS!$D$36,"SOPORTE CARDIOVASCULAR AVANZADO NEONATAL",IF(K101=CURSOS!$D$37,"SEGURIDAD DEL PACIENTE")))))))))))))))))))))))))))))))))))</f>
        <v xml:space="preserve">ATENCION A VICTIMAS DE VIOLENCIA SEXUAL </v>
      </c>
      <c r="M101" s="52" t="str">
        <f t="shared" si="11"/>
        <v>Rodrigo José Romero Cujia</v>
      </c>
      <c r="N101" s="52" t="str">
        <f t="shared" si="8"/>
        <v>Rodrigo José Romero Cujia</v>
      </c>
      <c r="O101" s="52" t="str">
        <f t="shared" si="12"/>
        <v>Rodrigo José Romero Cujia-5164012-VIOLENCIA SEXUAL</v>
      </c>
    </row>
    <row r="102" spans="1:15" s="154" customFormat="1" x14ac:dyDescent="0.2">
      <c r="A102" s="149">
        <v>101</v>
      </c>
      <c r="B102" s="149">
        <v>27160469</v>
      </c>
      <c r="C102" s="149" t="s">
        <v>119</v>
      </c>
      <c r="D102" s="149" t="s">
        <v>468</v>
      </c>
      <c r="E102" s="149" t="s">
        <v>498</v>
      </c>
      <c r="F102" s="149" t="s">
        <v>499</v>
      </c>
      <c r="G102" s="150">
        <v>17</v>
      </c>
      <c r="H102" s="14" t="s">
        <v>181</v>
      </c>
      <c r="I102" s="14" t="s">
        <v>86</v>
      </c>
      <c r="J102" s="14" t="s">
        <v>511</v>
      </c>
      <c r="K102" s="15" t="s">
        <v>23</v>
      </c>
      <c r="L102" s="52" t="str">
        <f>IF(K102=CURSOS!$D$3,"DIPLOMADO EN ATENCION PRE-HOSPITALARIA",IF(K102=CURSOS!$D$4,"ACOMPAÑAMIENTO Y MANEJO DEL DUELO",IF(K102=CURSOS!$D$5,"ATENCION A VICTIMAS DE ATAQUE CON AGENTES QUIMICOS ",IF(K102=CURSOS!$D$6,"PRIMEROS AUXILIOS ",IF(K102=CURSOS!$D$7,"DIPLOMADO DE UNIDAD DE CUIDADOS INTENSIVOS (UCI)",IF(K102=CURSOS!$D$8,"MODELO DE ATENCION PARA EVENTOS EMERGENTES EN SALUD MENTAL (CODIGO VERDE)",IF(K102=CURSOS!$D$9,"HUMANIZACION EN EL SERVICIO DE LA SALUD Y BUENAS PRACTICAS EN PACIENTE ",IF(K102=CURSOS!$D$10,"CLINICA DE HERIDAS ",IF(K102=CURSOS!$D$11,"TOMA DE CITOLOGIA CERVICO VAGINAL ",IF(K102=CURSOS!$D$12,"SOPORTE CARDIOVASCULAR AVANZADO (ACLS) ",IF(K102=CURSOS!$D$13,"CAMILLERO ",IF(K102=CURSOS!$D$14,"TOMA DE MUESTRAS Y LABORATORIO ",IF(K102=CURSOS!$D$15,"SOPORTE VITAL BASICO (BLS)",IF(K102=CURSOS!$D$16,"ATENCION A VICTIMAS DE VIOLENCIA SEXUAL ",IF(K102=CURSOS!$D$17,"PROGRAMADO AMPLIADO DE INMUNIZACION (PAI - COVID 19)",IF(K102=CURSOS!$D$18,"ATENCION INTEGRAL EN ENFERMEDADES PREVALENTES EN PRIMERA INFANCIA (AIEPI)",IF(K102=CURSOS!$D$19,"ADMINISTRACION DE MEDICAMENTOS, INYECTOLOGIA  Y CANALIZACION ",IF(K102=CURSOS!$D$20,"OPERADOR DE VEHICULOS DE EMERGENCIA (OVE)",IF(K102=CURSOS!$D$21,"INSTITUCIONES AMIGAS DE LA MUJER Y LA INFANCIA (IAMI)",IF(K102=CURSOS!$D$22,"CUIDADO DEL DONANTE DE ORGANOS",IF(K102=CURSOS!$D$23,"ATENCION A VICTIMAS POR VIOLENCIA DE GENERO",IF(K102=CURSOS!$D$24,"IGUALDAD DE GENERO EN LA SALUD",IF(K102=CURSOS!$D$25,"BRIGADA DE EMERGENCIA",IF(K102=CURSOS!$D$26,"MANEJO DEL DOLOR Y CUIDADOS PALIATIVOS",IF(K102=CURSOS!$D$27,"TOMA DE MUESTRAS Y LABORATORIO POCT",IF(K102=CURSOS!$D$28,"IMPLANTE SUBDERMICO DE DISPOSITIVO INTRAUTERINO",IF(K102=CURSOS!$D$29,"SALUD MENTAL",IF(K102=CURSOS!$D$30,"PRIMEROS AUXILIOS PSICOLOGICOS",IF(K102=CURSOS!$D$31,"ATENCION A VICTIMAS POR CONFLICTO ARMADO",IF(K102=CURSOS!$D$32,"MANIPULACION DE ALIMENTOS Y BPM",IF(K102=CURSOS!$D$33,"ATENCION A PERSONAS CON DISCAPACIDAD",IF(K102=CURSOS!$D$34,"CUIDADO INTEGRAL DEL PACIENTE ADULTO",IF(K102=CURSOS!$D$35,"MANEJO DEFENSIVO",IF(K102=CURSOS!$D$36,"SOPORTE CARDIOVASCULAR AVANZADO NEONATAL",IF(K102=CURSOS!$D$37,"SEGURIDAD DEL PACIENTE")))))))))))))))))))))))))))))))))))</f>
        <v>ACOMPAÑAMIENTO Y MANEJO DEL DUELO</v>
      </c>
      <c r="M102" s="52" t="str">
        <f t="shared" si="11"/>
        <v>Nayive Idaly Ceballos Vallejo.</v>
      </c>
      <c r="N102" s="52" t="str">
        <f t="shared" si="8"/>
        <v>Nayive Idaly Ceballos Vallejo.</v>
      </c>
      <c r="O102" s="52" t="str">
        <f t="shared" si="12"/>
        <v>Nayive Idaly Ceballos Vallejo.-27160469-DUELO</v>
      </c>
    </row>
    <row r="103" spans="1:15" s="154" customFormat="1" x14ac:dyDescent="0.2">
      <c r="A103" s="149">
        <v>102</v>
      </c>
      <c r="B103" s="149">
        <v>27160469</v>
      </c>
      <c r="C103" s="149" t="s">
        <v>119</v>
      </c>
      <c r="D103" s="149" t="s">
        <v>468</v>
      </c>
      <c r="E103" s="149" t="s">
        <v>498</v>
      </c>
      <c r="F103" s="149" t="s">
        <v>499</v>
      </c>
      <c r="G103" s="150">
        <v>17</v>
      </c>
      <c r="H103" s="14" t="s">
        <v>181</v>
      </c>
      <c r="I103" s="14" t="s">
        <v>86</v>
      </c>
      <c r="J103" s="14" t="s">
        <v>511</v>
      </c>
      <c r="K103" s="15" t="s">
        <v>25</v>
      </c>
      <c r="L103" s="52" t="str">
        <f>IF(K103=CURSOS!$D$3,"DIPLOMADO EN ATENCION PRE-HOSPITALARIA",IF(K103=CURSOS!$D$4,"ACOMPAÑAMIENTO Y MANEJO DEL DUELO",IF(K103=CURSOS!$D$5,"ATENCION A VICTIMAS DE ATAQUE CON AGENTES QUIMICOS ",IF(K103=CURSOS!$D$6,"PRIMEROS AUXILIOS ",IF(K103=CURSOS!$D$7,"DIPLOMADO DE UNIDAD DE CUIDADOS INTENSIVOS (UCI)",IF(K103=CURSOS!$D$8,"MODELO DE ATENCION PARA EVENTOS EMERGENTES EN SALUD MENTAL (CODIGO VERDE)",IF(K103=CURSOS!$D$9,"HUMANIZACION EN EL SERVICIO DE LA SALUD Y BUENAS PRACTICAS EN PACIENTE ",IF(K103=CURSOS!$D$10,"CLINICA DE HERIDAS ",IF(K103=CURSOS!$D$11,"TOMA DE CITOLOGIA CERVICO VAGINAL ",IF(K103=CURSOS!$D$12,"SOPORTE CARDIOVASCULAR AVANZADO (ACLS) ",IF(K103=CURSOS!$D$13,"CAMILLERO ",IF(K103=CURSOS!$D$14,"TOMA DE MUESTRAS Y LABORATORIO ",IF(K103=CURSOS!$D$15,"SOPORTE VITAL BASICO (BLS)",IF(K103=CURSOS!$D$16,"ATENCION A VICTIMAS DE VIOLENCIA SEXUAL ",IF(K103=CURSOS!$D$17,"PROGRAMADO AMPLIADO DE INMUNIZACION (PAI - COVID 19)",IF(K103=CURSOS!$D$18,"ATENCION INTEGRAL EN ENFERMEDADES PREVALENTES EN PRIMERA INFANCIA (AIEPI)",IF(K103=CURSOS!$D$19,"ADMINISTRACION DE MEDICAMENTOS, INYECTOLOGIA  Y CANALIZACION ",IF(K103=CURSOS!$D$20,"OPERADOR DE VEHICULOS DE EMERGENCIA (OVE)",IF(K103=CURSOS!$D$21,"INSTITUCIONES AMIGAS DE LA MUJER Y LA INFANCIA (IAMI)",IF(K103=CURSOS!$D$22,"CUIDADO DEL DONANTE DE ORGANOS",IF(K103=CURSOS!$D$23,"ATENCION A VICTIMAS POR VIOLENCIA DE GENERO",IF(K103=CURSOS!$D$24,"IGUALDAD DE GENERO EN LA SALUD",IF(K103=CURSOS!$D$25,"BRIGADA DE EMERGENCIA",IF(K103=CURSOS!$D$26,"MANEJO DEL DOLOR Y CUIDADOS PALIATIVOS",IF(K103=CURSOS!$D$27,"TOMA DE MUESTRAS Y LABORATORIO POCT",IF(K103=CURSOS!$D$28,"IMPLANTE SUBDERMICO DE DISPOSITIVO INTRAUTERINO",IF(K103=CURSOS!$D$29,"SALUD MENTAL",IF(K103=CURSOS!$D$30,"PRIMEROS AUXILIOS PSICOLOGICOS",IF(K103=CURSOS!$D$31,"ATENCION A VICTIMAS POR CONFLICTO ARMADO",IF(K103=CURSOS!$D$32,"MANIPULACION DE ALIMENTOS Y BPM",IF(K103=CURSOS!$D$33,"ATENCION A PERSONAS CON DISCAPACIDAD",IF(K103=CURSOS!$D$34,"CUIDADO INTEGRAL DEL PACIENTE ADULTO",IF(K103=CURSOS!$D$35,"MANEJO DEFENSIVO",IF(K103=CURSOS!$D$36,"SOPORTE CARDIOVASCULAR AVANZADO NEONATAL",IF(K103=CURSOS!$D$37,"SEGURIDAD DEL PACIENTE")))))))))))))))))))))))))))))))))))</f>
        <v xml:space="preserve">ATENCION A VICTIMAS DE ATAQUE CON AGENTES QUIMICOS </v>
      </c>
      <c r="M103" s="52" t="str">
        <f t="shared" si="11"/>
        <v>Nayive Idaly Ceballos Vallejo.</v>
      </c>
      <c r="N103" s="52" t="str">
        <f t="shared" si="8"/>
        <v>Nayive Idaly Ceballos Vallejo.</v>
      </c>
      <c r="O103" s="52" t="str">
        <f t="shared" si="12"/>
        <v>Nayive Idaly Ceballos Vallejo.-27160469-QUIMICOS</v>
      </c>
    </row>
    <row r="104" spans="1:15" s="154" customFormat="1" x14ac:dyDescent="0.2">
      <c r="A104" s="149">
        <v>103</v>
      </c>
      <c r="B104" s="149">
        <v>27160469</v>
      </c>
      <c r="C104" s="149" t="s">
        <v>119</v>
      </c>
      <c r="D104" s="149" t="s">
        <v>468</v>
      </c>
      <c r="E104" s="149" t="s">
        <v>498</v>
      </c>
      <c r="F104" s="149" t="s">
        <v>499</v>
      </c>
      <c r="G104" s="150">
        <v>17</v>
      </c>
      <c r="H104" s="14" t="s">
        <v>181</v>
      </c>
      <c r="I104" s="14" t="s">
        <v>86</v>
      </c>
      <c r="J104" s="14" t="s">
        <v>511</v>
      </c>
      <c r="K104" s="15" t="s">
        <v>43</v>
      </c>
      <c r="L104" s="52" t="str">
        <f>IF(K104=CURSOS!$D$3,"DIPLOMADO EN ATENCION PRE-HOSPITALARIA",IF(K104=CURSOS!$D$4,"ACOMPAÑAMIENTO Y MANEJO DEL DUELO",IF(K104=CURSOS!$D$5,"ATENCION A VICTIMAS DE ATAQUE CON AGENTES QUIMICOS ",IF(K104=CURSOS!$D$6,"PRIMEROS AUXILIOS ",IF(K104=CURSOS!$D$7,"DIPLOMADO DE UNIDAD DE CUIDADOS INTENSIVOS (UCI)",IF(K104=CURSOS!$D$8,"MODELO DE ATENCION PARA EVENTOS EMERGENTES EN SALUD MENTAL (CODIGO VERDE)",IF(K104=CURSOS!$D$9,"HUMANIZACION EN EL SERVICIO DE LA SALUD Y BUENAS PRACTICAS EN PACIENTE ",IF(K104=CURSOS!$D$10,"CLINICA DE HERIDAS ",IF(K104=CURSOS!$D$11,"TOMA DE CITOLOGIA CERVICO VAGINAL ",IF(K104=CURSOS!$D$12,"SOPORTE CARDIOVASCULAR AVANZADO (ACLS) ",IF(K104=CURSOS!$D$13,"CAMILLERO ",IF(K104=CURSOS!$D$14,"TOMA DE MUESTRAS Y LABORATORIO ",IF(K104=CURSOS!$D$15,"SOPORTE VITAL BASICO (BLS)",IF(K104=CURSOS!$D$16,"ATENCION A VICTIMAS DE VIOLENCIA SEXUAL ",IF(K104=CURSOS!$D$17,"PROGRAMADO AMPLIADO DE INMUNIZACION (PAI - COVID 19)",IF(K104=CURSOS!$D$18,"ATENCION INTEGRAL EN ENFERMEDADES PREVALENTES EN PRIMERA INFANCIA (AIEPI)",IF(K104=CURSOS!$D$19,"ADMINISTRACION DE MEDICAMENTOS, INYECTOLOGIA  Y CANALIZACION ",IF(K104=CURSOS!$D$20,"OPERADOR DE VEHICULOS DE EMERGENCIA (OVE)",IF(K104=CURSOS!$D$21,"INSTITUCIONES AMIGAS DE LA MUJER Y LA INFANCIA (IAMI)",IF(K104=CURSOS!$D$22,"CUIDADO DEL DONANTE DE ORGANOS",IF(K104=CURSOS!$D$23,"ATENCION A VICTIMAS POR VIOLENCIA DE GENERO",IF(K104=CURSOS!$D$24,"IGUALDAD DE GENERO EN LA SALUD",IF(K104=CURSOS!$D$25,"BRIGADA DE EMERGENCIA",IF(K104=CURSOS!$D$26,"MANEJO DEL DOLOR Y CUIDADOS PALIATIVOS",IF(K104=CURSOS!$D$27,"TOMA DE MUESTRAS Y LABORATORIO POCT",IF(K104=CURSOS!$D$28,"IMPLANTE SUBDERMICO DE DISPOSITIVO INTRAUTERINO",IF(K104=CURSOS!$D$29,"SALUD MENTAL",IF(K104=CURSOS!$D$30,"PRIMEROS AUXILIOS PSICOLOGICOS",IF(K104=CURSOS!$D$31,"ATENCION A VICTIMAS POR CONFLICTO ARMADO",IF(K104=CURSOS!$D$32,"MANIPULACION DE ALIMENTOS Y BPM",IF(K104=CURSOS!$D$33,"ATENCION A PERSONAS CON DISCAPACIDAD",IF(K104=CURSOS!$D$34,"CUIDADO INTEGRAL DEL PACIENTE ADULTO",IF(K104=CURSOS!$D$35,"MANEJO DEFENSIVO",IF(K104=CURSOS!$D$36,"SOPORTE CARDIOVASCULAR AVANZADO NEONATAL",IF(K104=CURSOS!$D$37,"SEGURIDAD DEL PACIENTE")))))))))))))))))))))))))))))))))))</f>
        <v xml:space="preserve">ATENCION A VICTIMAS DE VIOLENCIA SEXUAL </v>
      </c>
      <c r="M104" s="52" t="str">
        <f t="shared" si="11"/>
        <v>Nayive Idaly Ceballos Vallejo.</v>
      </c>
      <c r="N104" s="52" t="str">
        <f t="shared" si="8"/>
        <v>Nayive Idaly Ceballos Vallejo.</v>
      </c>
      <c r="O104" s="52" t="str">
        <f t="shared" si="12"/>
        <v>Nayive Idaly Ceballos Vallejo.-27160469-VIOLENCIA SEXUAL</v>
      </c>
    </row>
    <row r="105" spans="1:15" s="154" customFormat="1" x14ac:dyDescent="0.2">
      <c r="A105" s="149">
        <v>104</v>
      </c>
      <c r="B105" s="149">
        <v>1087675298</v>
      </c>
      <c r="C105" s="149" t="s">
        <v>469</v>
      </c>
      <c r="D105" s="149" t="s">
        <v>470</v>
      </c>
      <c r="E105" s="149" t="s">
        <v>500</v>
      </c>
      <c r="F105" s="149" t="s">
        <v>501</v>
      </c>
      <c r="G105" s="101">
        <v>17</v>
      </c>
      <c r="H105" s="14" t="s">
        <v>181</v>
      </c>
      <c r="I105" s="14" t="s">
        <v>86</v>
      </c>
      <c r="J105" s="14" t="s">
        <v>511</v>
      </c>
      <c r="K105" s="15" t="s">
        <v>23</v>
      </c>
      <c r="L105" s="52" t="str">
        <f>IF(K105=CURSOS!$D$3,"DIPLOMADO EN ATENCION PRE-HOSPITALARIA",IF(K105=CURSOS!$D$4,"ACOMPAÑAMIENTO Y MANEJO DEL DUELO",IF(K105=CURSOS!$D$5,"ATENCION A VICTIMAS DE ATAQUE CON AGENTES QUIMICOS ",IF(K105=CURSOS!$D$6,"PRIMEROS AUXILIOS ",IF(K105=CURSOS!$D$7,"DIPLOMADO DE UNIDAD DE CUIDADOS INTENSIVOS (UCI)",IF(K105=CURSOS!$D$8,"MODELO DE ATENCION PARA EVENTOS EMERGENTES EN SALUD MENTAL (CODIGO VERDE)",IF(K105=CURSOS!$D$9,"HUMANIZACION EN EL SERVICIO DE LA SALUD Y BUENAS PRACTICAS EN PACIENTE ",IF(K105=CURSOS!$D$10,"CLINICA DE HERIDAS ",IF(K105=CURSOS!$D$11,"TOMA DE CITOLOGIA CERVICO VAGINAL ",IF(K105=CURSOS!$D$12,"SOPORTE CARDIOVASCULAR AVANZADO (ACLS) ",IF(K105=CURSOS!$D$13,"CAMILLERO ",IF(K105=CURSOS!$D$14,"TOMA DE MUESTRAS Y LABORATORIO ",IF(K105=CURSOS!$D$15,"SOPORTE VITAL BASICO (BLS)",IF(K105=CURSOS!$D$16,"ATENCION A VICTIMAS DE VIOLENCIA SEXUAL ",IF(K105=CURSOS!$D$17,"PROGRAMADO AMPLIADO DE INMUNIZACION (PAI - COVID 19)",IF(K105=CURSOS!$D$18,"ATENCION INTEGRAL EN ENFERMEDADES PREVALENTES EN PRIMERA INFANCIA (AIEPI)",IF(K105=CURSOS!$D$19,"ADMINISTRACION DE MEDICAMENTOS, INYECTOLOGIA  Y CANALIZACION ",IF(K105=CURSOS!$D$20,"OPERADOR DE VEHICULOS DE EMERGENCIA (OVE)",IF(K105=CURSOS!$D$21,"INSTITUCIONES AMIGAS DE LA MUJER Y LA INFANCIA (IAMI)",IF(K105=CURSOS!$D$22,"CUIDADO DEL DONANTE DE ORGANOS",IF(K105=CURSOS!$D$23,"ATENCION A VICTIMAS POR VIOLENCIA DE GENERO",IF(K105=CURSOS!$D$24,"IGUALDAD DE GENERO EN LA SALUD",IF(K105=CURSOS!$D$25,"BRIGADA DE EMERGENCIA",IF(K105=CURSOS!$D$26,"MANEJO DEL DOLOR Y CUIDADOS PALIATIVOS",IF(K105=CURSOS!$D$27,"TOMA DE MUESTRAS Y LABORATORIO POCT",IF(K105=CURSOS!$D$28,"IMPLANTE SUBDERMICO DE DISPOSITIVO INTRAUTERINO",IF(K105=CURSOS!$D$29,"SALUD MENTAL",IF(K105=CURSOS!$D$30,"PRIMEROS AUXILIOS PSICOLOGICOS",IF(K105=CURSOS!$D$31,"ATENCION A VICTIMAS POR CONFLICTO ARMADO",IF(K105=CURSOS!$D$32,"MANIPULACION DE ALIMENTOS Y BPM",IF(K105=CURSOS!$D$33,"ATENCION A PERSONAS CON DISCAPACIDAD",IF(K105=CURSOS!$D$34,"CUIDADO INTEGRAL DEL PACIENTE ADULTO",IF(K105=CURSOS!$D$35,"MANEJO DEFENSIVO",IF(K105=CURSOS!$D$36,"SOPORTE CARDIOVASCULAR AVANZADO NEONATAL",IF(K105=CURSOS!$D$37,"SEGURIDAD DEL PACIENTE")))))))))))))))))))))))))))))))))))</f>
        <v>ACOMPAÑAMIENTO Y MANEJO DEL DUELO</v>
      </c>
      <c r="M105" s="52" t="str">
        <f t="shared" si="11"/>
        <v>Yibelly Carolina Yaguapaz Quenguan</v>
      </c>
      <c r="N105" s="52" t="str">
        <f t="shared" si="8"/>
        <v>Yibelly Carolina Yaguapaz Quenguan</v>
      </c>
      <c r="O105" s="52" t="str">
        <f t="shared" si="12"/>
        <v>Yibelly Carolina Yaguapaz Quenguan-1087675298-DUELO</v>
      </c>
    </row>
    <row r="106" spans="1:15" s="154" customFormat="1" x14ac:dyDescent="0.2">
      <c r="A106" s="149">
        <v>105</v>
      </c>
      <c r="B106" s="149">
        <v>1087675298</v>
      </c>
      <c r="C106" s="149" t="s">
        <v>469</v>
      </c>
      <c r="D106" s="149" t="s">
        <v>470</v>
      </c>
      <c r="E106" s="149" t="s">
        <v>500</v>
      </c>
      <c r="F106" s="149" t="s">
        <v>501</v>
      </c>
      <c r="G106" s="101">
        <v>17</v>
      </c>
      <c r="H106" s="14" t="s">
        <v>181</v>
      </c>
      <c r="I106" s="14" t="s">
        <v>86</v>
      </c>
      <c r="J106" s="14" t="s">
        <v>511</v>
      </c>
      <c r="K106" s="15" t="s">
        <v>25</v>
      </c>
      <c r="L106" s="52" t="str">
        <f>IF(K106=CURSOS!$D$3,"DIPLOMADO EN ATENCION PRE-HOSPITALARIA",IF(K106=CURSOS!$D$4,"ACOMPAÑAMIENTO Y MANEJO DEL DUELO",IF(K106=CURSOS!$D$5,"ATENCION A VICTIMAS DE ATAQUE CON AGENTES QUIMICOS ",IF(K106=CURSOS!$D$6,"PRIMEROS AUXILIOS ",IF(K106=CURSOS!$D$7,"DIPLOMADO DE UNIDAD DE CUIDADOS INTENSIVOS (UCI)",IF(K106=CURSOS!$D$8,"MODELO DE ATENCION PARA EVENTOS EMERGENTES EN SALUD MENTAL (CODIGO VERDE)",IF(K106=CURSOS!$D$9,"HUMANIZACION EN EL SERVICIO DE LA SALUD Y BUENAS PRACTICAS EN PACIENTE ",IF(K106=CURSOS!$D$10,"CLINICA DE HERIDAS ",IF(K106=CURSOS!$D$11,"TOMA DE CITOLOGIA CERVICO VAGINAL ",IF(K106=CURSOS!$D$12,"SOPORTE CARDIOVASCULAR AVANZADO (ACLS) ",IF(K106=CURSOS!$D$13,"CAMILLERO ",IF(K106=CURSOS!$D$14,"TOMA DE MUESTRAS Y LABORATORIO ",IF(K106=CURSOS!$D$15,"SOPORTE VITAL BASICO (BLS)",IF(K106=CURSOS!$D$16,"ATENCION A VICTIMAS DE VIOLENCIA SEXUAL ",IF(K106=CURSOS!$D$17,"PROGRAMADO AMPLIADO DE INMUNIZACION (PAI - COVID 19)",IF(K106=CURSOS!$D$18,"ATENCION INTEGRAL EN ENFERMEDADES PREVALENTES EN PRIMERA INFANCIA (AIEPI)",IF(K106=CURSOS!$D$19,"ADMINISTRACION DE MEDICAMENTOS, INYECTOLOGIA  Y CANALIZACION ",IF(K106=CURSOS!$D$20,"OPERADOR DE VEHICULOS DE EMERGENCIA (OVE)",IF(K106=CURSOS!$D$21,"INSTITUCIONES AMIGAS DE LA MUJER Y LA INFANCIA (IAMI)",IF(K106=CURSOS!$D$22,"CUIDADO DEL DONANTE DE ORGANOS",IF(K106=CURSOS!$D$23,"ATENCION A VICTIMAS POR VIOLENCIA DE GENERO",IF(K106=CURSOS!$D$24,"IGUALDAD DE GENERO EN LA SALUD",IF(K106=CURSOS!$D$25,"BRIGADA DE EMERGENCIA",IF(K106=CURSOS!$D$26,"MANEJO DEL DOLOR Y CUIDADOS PALIATIVOS",IF(K106=CURSOS!$D$27,"TOMA DE MUESTRAS Y LABORATORIO POCT",IF(K106=CURSOS!$D$28,"IMPLANTE SUBDERMICO DE DISPOSITIVO INTRAUTERINO",IF(K106=CURSOS!$D$29,"SALUD MENTAL",IF(K106=CURSOS!$D$30,"PRIMEROS AUXILIOS PSICOLOGICOS",IF(K106=CURSOS!$D$31,"ATENCION A VICTIMAS POR CONFLICTO ARMADO",IF(K106=CURSOS!$D$32,"MANIPULACION DE ALIMENTOS Y BPM",IF(K106=CURSOS!$D$33,"ATENCION A PERSONAS CON DISCAPACIDAD",IF(K106=CURSOS!$D$34,"CUIDADO INTEGRAL DEL PACIENTE ADULTO",IF(K106=CURSOS!$D$35,"MANEJO DEFENSIVO",IF(K106=CURSOS!$D$36,"SOPORTE CARDIOVASCULAR AVANZADO NEONATAL",IF(K106=CURSOS!$D$37,"SEGURIDAD DEL PACIENTE")))))))))))))))))))))))))))))))))))</f>
        <v xml:space="preserve">ATENCION A VICTIMAS DE ATAQUE CON AGENTES QUIMICOS </v>
      </c>
      <c r="M106" s="52" t="str">
        <f t="shared" si="11"/>
        <v>Yibelly Carolina Yaguapaz Quenguan</v>
      </c>
      <c r="N106" s="52" t="str">
        <f t="shared" si="8"/>
        <v>Yibelly Carolina Yaguapaz Quenguan</v>
      </c>
      <c r="O106" s="52" t="str">
        <f t="shared" si="12"/>
        <v>Yibelly Carolina Yaguapaz Quenguan-1087675298-QUIMICOS</v>
      </c>
    </row>
    <row r="107" spans="1:15" s="154" customFormat="1" x14ac:dyDescent="0.2">
      <c r="A107" s="149">
        <v>106</v>
      </c>
      <c r="B107" s="149">
        <v>1087675298</v>
      </c>
      <c r="C107" s="149" t="s">
        <v>469</v>
      </c>
      <c r="D107" s="149" t="s">
        <v>470</v>
      </c>
      <c r="E107" s="149" t="s">
        <v>500</v>
      </c>
      <c r="F107" s="149" t="s">
        <v>501</v>
      </c>
      <c r="G107" s="101">
        <v>17</v>
      </c>
      <c r="H107" s="14" t="s">
        <v>181</v>
      </c>
      <c r="I107" s="14" t="s">
        <v>86</v>
      </c>
      <c r="J107" s="14" t="s">
        <v>511</v>
      </c>
      <c r="K107" s="15" t="s">
        <v>43</v>
      </c>
      <c r="L107" s="52" t="str">
        <f>IF(K107=CURSOS!$D$3,"DIPLOMADO EN ATENCION PRE-HOSPITALARIA",IF(K107=CURSOS!$D$4,"ACOMPAÑAMIENTO Y MANEJO DEL DUELO",IF(K107=CURSOS!$D$5,"ATENCION A VICTIMAS DE ATAQUE CON AGENTES QUIMICOS ",IF(K107=CURSOS!$D$6,"PRIMEROS AUXILIOS ",IF(K107=CURSOS!$D$7,"DIPLOMADO DE UNIDAD DE CUIDADOS INTENSIVOS (UCI)",IF(K107=CURSOS!$D$8,"MODELO DE ATENCION PARA EVENTOS EMERGENTES EN SALUD MENTAL (CODIGO VERDE)",IF(K107=CURSOS!$D$9,"HUMANIZACION EN EL SERVICIO DE LA SALUD Y BUENAS PRACTICAS EN PACIENTE ",IF(K107=CURSOS!$D$10,"CLINICA DE HERIDAS ",IF(K107=CURSOS!$D$11,"TOMA DE CITOLOGIA CERVICO VAGINAL ",IF(K107=CURSOS!$D$12,"SOPORTE CARDIOVASCULAR AVANZADO (ACLS) ",IF(K107=CURSOS!$D$13,"CAMILLERO ",IF(K107=CURSOS!$D$14,"TOMA DE MUESTRAS Y LABORATORIO ",IF(K107=CURSOS!$D$15,"SOPORTE VITAL BASICO (BLS)",IF(K107=CURSOS!$D$16,"ATENCION A VICTIMAS DE VIOLENCIA SEXUAL ",IF(K107=CURSOS!$D$17,"PROGRAMADO AMPLIADO DE INMUNIZACION (PAI - COVID 19)",IF(K107=CURSOS!$D$18,"ATENCION INTEGRAL EN ENFERMEDADES PREVALENTES EN PRIMERA INFANCIA (AIEPI)",IF(K107=CURSOS!$D$19,"ADMINISTRACION DE MEDICAMENTOS, INYECTOLOGIA  Y CANALIZACION ",IF(K107=CURSOS!$D$20,"OPERADOR DE VEHICULOS DE EMERGENCIA (OVE)",IF(K107=CURSOS!$D$21,"INSTITUCIONES AMIGAS DE LA MUJER Y LA INFANCIA (IAMI)",IF(K107=CURSOS!$D$22,"CUIDADO DEL DONANTE DE ORGANOS",IF(K107=CURSOS!$D$23,"ATENCION A VICTIMAS POR VIOLENCIA DE GENERO",IF(K107=CURSOS!$D$24,"IGUALDAD DE GENERO EN LA SALUD",IF(K107=CURSOS!$D$25,"BRIGADA DE EMERGENCIA",IF(K107=CURSOS!$D$26,"MANEJO DEL DOLOR Y CUIDADOS PALIATIVOS",IF(K107=CURSOS!$D$27,"TOMA DE MUESTRAS Y LABORATORIO POCT",IF(K107=CURSOS!$D$28,"IMPLANTE SUBDERMICO DE DISPOSITIVO INTRAUTERINO",IF(K107=CURSOS!$D$29,"SALUD MENTAL",IF(K107=CURSOS!$D$30,"PRIMEROS AUXILIOS PSICOLOGICOS",IF(K107=CURSOS!$D$31,"ATENCION A VICTIMAS POR CONFLICTO ARMADO",IF(K107=CURSOS!$D$32,"MANIPULACION DE ALIMENTOS Y BPM",IF(K107=CURSOS!$D$33,"ATENCION A PERSONAS CON DISCAPACIDAD",IF(K107=CURSOS!$D$34,"CUIDADO INTEGRAL DEL PACIENTE ADULTO",IF(K107=CURSOS!$D$35,"MANEJO DEFENSIVO",IF(K107=CURSOS!$D$36,"SOPORTE CARDIOVASCULAR AVANZADO NEONATAL",IF(K107=CURSOS!$D$37,"SEGURIDAD DEL PACIENTE")))))))))))))))))))))))))))))))))))</f>
        <v xml:space="preserve">ATENCION A VICTIMAS DE VIOLENCIA SEXUAL </v>
      </c>
      <c r="M107" s="52" t="str">
        <f t="shared" si="11"/>
        <v>Yibelly Carolina Yaguapaz Quenguan</v>
      </c>
      <c r="N107" s="52" t="str">
        <f t="shared" si="8"/>
        <v>Yibelly Carolina Yaguapaz Quenguan</v>
      </c>
      <c r="O107" s="52" t="str">
        <f t="shared" si="12"/>
        <v>Yibelly Carolina Yaguapaz Quenguan-1087675298-VIOLENCIA SEXUAL</v>
      </c>
    </row>
    <row r="108" spans="1:15" s="154" customFormat="1" x14ac:dyDescent="0.2">
      <c r="A108" s="149">
        <v>107</v>
      </c>
      <c r="B108" s="149">
        <v>1084847999</v>
      </c>
      <c r="C108" s="149" t="s">
        <v>120</v>
      </c>
      <c r="D108" s="149" t="s">
        <v>471</v>
      </c>
      <c r="E108" s="149" t="s">
        <v>502</v>
      </c>
      <c r="F108" s="149" t="s">
        <v>347</v>
      </c>
      <c r="G108" s="150">
        <v>17</v>
      </c>
      <c r="H108" s="14" t="s">
        <v>181</v>
      </c>
      <c r="I108" s="14" t="s">
        <v>86</v>
      </c>
      <c r="J108" s="14" t="s">
        <v>511</v>
      </c>
      <c r="K108" s="15" t="s">
        <v>23</v>
      </c>
      <c r="L108" s="52" t="str">
        <f>IF(K108=CURSOS!$D$3,"DIPLOMADO EN ATENCION PRE-HOSPITALARIA",IF(K108=CURSOS!$D$4,"ACOMPAÑAMIENTO Y MANEJO DEL DUELO",IF(K108=CURSOS!$D$5,"ATENCION A VICTIMAS DE ATAQUE CON AGENTES QUIMICOS ",IF(K108=CURSOS!$D$6,"PRIMEROS AUXILIOS ",IF(K108=CURSOS!$D$7,"DIPLOMADO DE UNIDAD DE CUIDADOS INTENSIVOS (UCI)",IF(K108=CURSOS!$D$8,"MODELO DE ATENCION PARA EVENTOS EMERGENTES EN SALUD MENTAL (CODIGO VERDE)",IF(K108=CURSOS!$D$9,"HUMANIZACION EN EL SERVICIO DE LA SALUD Y BUENAS PRACTICAS EN PACIENTE ",IF(K108=CURSOS!$D$10,"CLINICA DE HERIDAS ",IF(K108=CURSOS!$D$11,"TOMA DE CITOLOGIA CERVICO VAGINAL ",IF(K108=CURSOS!$D$12,"SOPORTE CARDIOVASCULAR AVANZADO (ACLS) ",IF(K108=CURSOS!$D$13,"CAMILLERO ",IF(K108=CURSOS!$D$14,"TOMA DE MUESTRAS Y LABORATORIO ",IF(K108=CURSOS!$D$15,"SOPORTE VITAL BASICO (BLS)",IF(K108=CURSOS!$D$16,"ATENCION A VICTIMAS DE VIOLENCIA SEXUAL ",IF(K108=CURSOS!$D$17,"PROGRAMADO AMPLIADO DE INMUNIZACION (PAI - COVID 19)",IF(K108=CURSOS!$D$18,"ATENCION INTEGRAL EN ENFERMEDADES PREVALENTES EN PRIMERA INFANCIA (AIEPI)",IF(K108=CURSOS!$D$19,"ADMINISTRACION DE MEDICAMENTOS, INYECTOLOGIA  Y CANALIZACION ",IF(K108=CURSOS!$D$20,"OPERADOR DE VEHICULOS DE EMERGENCIA (OVE)",IF(K108=CURSOS!$D$21,"INSTITUCIONES AMIGAS DE LA MUJER Y LA INFANCIA (IAMI)",IF(K108=CURSOS!$D$22,"CUIDADO DEL DONANTE DE ORGANOS",IF(K108=CURSOS!$D$23,"ATENCION A VICTIMAS POR VIOLENCIA DE GENERO",IF(K108=CURSOS!$D$24,"IGUALDAD DE GENERO EN LA SALUD",IF(K108=CURSOS!$D$25,"BRIGADA DE EMERGENCIA",IF(K108=CURSOS!$D$26,"MANEJO DEL DOLOR Y CUIDADOS PALIATIVOS",IF(K108=CURSOS!$D$27,"TOMA DE MUESTRAS Y LABORATORIO POCT",IF(K108=CURSOS!$D$28,"IMPLANTE SUBDERMICO DE DISPOSITIVO INTRAUTERINO",IF(K108=CURSOS!$D$29,"SALUD MENTAL",IF(K108=CURSOS!$D$30,"PRIMEROS AUXILIOS PSICOLOGICOS",IF(K108=CURSOS!$D$31,"ATENCION A VICTIMAS POR CONFLICTO ARMADO",IF(K108=CURSOS!$D$32,"MANIPULACION DE ALIMENTOS Y BPM",IF(K108=CURSOS!$D$33,"ATENCION A PERSONAS CON DISCAPACIDAD",IF(K108=CURSOS!$D$34,"CUIDADO INTEGRAL DEL PACIENTE ADULTO",IF(K108=CURSOS!$D$35,"MANEJO DEFENSIVO",IF(K108=CURSOS!$D$36,"SOPORTE CARDIOVASCULAR AVANZADO NEONATAL",IF(K108=CURSOS!$D$37,"SEGURIDAD DEL PACIENTE")))))))))))))))))))))))))))))))))))</f>
        <v>ACOMPAÑAMIENTO Y MANEJO DEL DUELO</v>
      </c>
      <c r="M108" s="52" t="str">
        <f t="shared" si="11"/>
        <v>Yeni Marcela Coral Armas</v>
      </c>
      <c r="N108" s="52" t="str">
        <f t="shared" si="8"/>
        <v>Yeni Marcela Coral Armas</v>
      </c>
      <c r="O108" s="52" t="str">
        <f t="shared" si="12"/>
        <v>Yeni Marcela Coral Armas-1084847999-DUELO</v>
      </c>
    </row>
    <row r="109" spans="1:15" s="154" customFormat="1" x14ac:dyDescent="0.2">
      <c r="A109" s="149">
        <v>108</v>
      </c>
      <c r="B109" s="149">
        <v>1084847999</v>
      </c>
      <c r="C109" s="149" t="s">
        <v>120</v>
      </c>
      <c r="D109" s="149" t="s">
        <v>471</v>
      </c>
      <c r="E109" s="149" t="s">
        <v>502</v>
      </c>
      <c r="F109" s="149" t="s">
        <v>347</v>
      </c>
      <c r="G109" s="150">
        <v>17</v>
      </c>
      <c r="H109" s="14" t="s">
        <v>181</v>
      </c>
      <c r="I109" s="14" t="s">
        <v>86</v>
      </c>
      <c r="J109" s="14" t="s">
        <v>511</v>
      </c>
      <c r="K109" s="15" t="s">
        <v>25</v>
      </c>
      <c r="L109" s="52" t="str">
        <f>IF(K109=CURSOS!$D$3,"DIPLOMADO EN ATENCION PRE-HOSPITALARIA",IF(K109=CURSOS!$D$4,"ACOMPAÑAMIENTO Y MANEJO DEL DUELO",IF(K109=CURSOS!$D$5,"ATENCION A VICTIMAS DE ATAQUE CON AGENTES QUIMICOS ",IF(K109=CURSOS!$D$6,"PRIMEROS AUXILIOS ",IF(K109=CURSOS!$D$7,"DIPLOMADO DE UNIDAD DE CUIDADOS INTENSIVOS (UCI)",IF(K109=CURSOS!$D$8,"MODELO DE ATENCION PARA EVENTOS EMERGENTES EN SALUD MENTAL (CODIGO VERDE)",IF(K109=CURSOS!$D$9,"HUMANIZACION EN EL SERVICIO DE LA SALUD Y BUENAS PRACTICAS EN PACIENTE ",IF(K109=CURSOS!$D$10,"CLINICA DE HERIDAS ",IF(K109=CURSOS!$D$11,"TOMA DE CITOLOGIA CERVICO VAGINAL ",IF(K109=CURSOS!$D$12,"SOPORTE CARDIOVASCULAR AVANZADO (ACLS) ",IF(K109=CURSOS!$D$13,"CAMILLERO ",IF(K109=CURSOS!$D$14,"TOMA DE MUESTRAS Y LABORATORIO ",IF(K109=CURSOS!$D$15,"SOPORTE VITAL BASICO (BLS)",IF(K109=CURSOS!$D$16,"ATENCION A VICTIMAS DE VIOLENCIA SEXUAL ",IF(K109=CURSOS!$D$17,"PROGRAMADO AMPLIADO DE INMUNIZACION (PAI - COVID 19)",IF(K109=CURSOS!$D$18,"ATENCION INTEGRAL EN ENFERMEDADES PREVALENTES EN PRIMERA INFANCIA (AIEPI)",IF(K109=CURSOS!$D$19,"ADMINISTRACION DE MEDICAMENTOS, INYECTOLOGIA  Y CANALIZACION ",IF(K109=CURSOS!$D$20,"OPERADOR DE VEHICULOS DE EMERGENCIA (OVE)",IF(K109=CURSOS!$D$21,"INSTITUCIONES AMIGAS DE LA MUJER Y LA INFANCIA (IAMI)",IF(K109=CURSOS!$D$22,"CUIDADO DEL DONANTE DE ORGANOS",IF(K109=CURSOS!$D$23,"ATENCION A VICTIMAS POR VIOLENCIA DE GENERO",IF(K109=CURSOS!$D$24,"IGUALDAD DE GENERO EN LA SALUD",IF(K109=CURSOS!$D$25,"BRIGADA DE EMERGENCIA",IF(K109=CURSOS!$D$26,"MANEJO DEL DOLOR Y CUIDADOS PALIATIVOS",IF(K109=CURSOS!$D$27,"TOMA DE MUESTRAS Y LABORATORIO POCT",IF(K109=CURSOS!$D$28,"IMPLANTE SUBDERMICO DE DISPOSITIVO INTRAUTERINO",IF(K109=CURSOS!$D$29,"SALUD MENTAL",IF(K109=CURSOS!$D$30,"PRIMEROS AUXILIOS PSICOLOGICOS",IF(K109=CURSOS!$D$31,"ATENCION A VICTIMAS POR CONFLICTO ARMADO",IF(K109=CURSOS!$D$32,"MANIPULACION DE ALIMENTOS Y BPM",IF(K109=CURSOS!$D$33,"ATENCION A PERSONAS CON DISCAPACIDAD",IF(K109=CURSOS!$D$34,"CUIDADO INTEGRAL DEL PACIENTE ADULTO",IF(K109=CURSOS!$D$35,"MANEJO DEFENSIVO",IF(K109=CURSOS!$D$36,"SOPORTE CARDIOVASCULAR AVANZADO NEONATAL",IF(K109=CURSOS!$D$37,"SEGURIDAD DEL PACIENTE")))))))))))))))))))))))))))))))))))</f>
        <v xml:space="preserve">ATENCION A VICTIMAS DE ATAQUE CON AGENTES QUIMICOS </v>
      </c>
      <c r="M109" s="52" t="str">
        <f t="shared" si="11"/>
        <v>Yeni Marcela Coral Armas</v>
      </c>
      <c r="N109" s="52" t="str">
        <f t="shared" si="8"/>
        <v>Yeni Marcela Coral Armas</v>
      </c>
      <c r="O109" s="52" t="str">
        <f t="shared" si="12"/>
        <v>Yeni Marcela Coral Armas-1084847999-QUIMICOS</v>
      </c>
    </row>
    <row r="110" spans="1:15" s="154" customFormat="1" x14ac:dyDescent="0.2">
      <c r="A110" s="85">
        <v>109</v>
      </c>
      <c r="B110" s="149">
        <v>1084847999</v>
      </c>
      <c r="C110" s="149" t="s">
        <v>120</v>
      </c>
      <c r="D110" s="149" t="s">
        <v>471</v>
      </c>
      <c r="E110" s="149" t="s">
        <v>502</v>
      </c>
      <c r="F110" s="149" t="s">
        <v>347</v>
      </c>
      <c r="G110" s="150">
        <v>17</v>
      </c>
      <c r="H110" s="14" t="s">
        <v>181</v>
      </c>
      <c r="I110" s="14" t="s">
        <v>86</v>
      </c>
      <c r="J110" s="14" t="s">
        <v>511</v>
      </c>
      <c r="K110" s="15" t="s">
        <v>43</v>
      </c>
      <c r="L110" s="52" t="str">
        <f>IF(K110=CURSOS!$D$3,"DIPLOMADO EN ATENCION PRE-HOSPITALARIA",IF(K110=CURSOS!$D$4,"ACOMPAÑAMIENTO Y MANEJO DEL DUELO",IF(K110=CURSOS!$D$5,"ATENCION A VICTIMAS DE ATAQUE CON AGENTES QUIMICOS ",IF(K110=CURSOS!$D$6,"PRIMEROS AUXILIOS ",IF(K110=CURSOS!$D$7,"DIPLOMADO DE UNIDAD DE CUIDADOS INTENSIVOS (UCI)",IF(K110=CURSOS!$D$8,"MODELO DE ATENCION PARA EVENTOS EMERGENTES EN SALUD MENTAL (CODIGO VERDE)",IF(K110=CURSOS!$D$9,"HUMANIZACION EN EL SERVICIO DE LA SALUD Y BUENAS PRACTICAS EN PACIENTE ",IF(K110=CURSOS!$D$10,"CLINICA DE HERIDAS ",IF(K110=CURSOS!$D$11,"TOMA DE CITOLOGIA CERVICO VAGINAL ",IF(K110=CURSOS!$D$12,"SOPORTE CARDIOVASCULAR AVANZADO (ACLS) ",IF(K110=CURSOS!$D$13,"CAMILLERO ",IF(K110=CURSOS!$D$14,"TOMA DE MUESTRAS Y LABORATORIO ",IF(K110=CURSOS!$D$15,"SOPORTE VITAL BASICO (BLS)",IF(K110=CURSOS!$D$16,"ATENCION A VICTIMAS DE VIOLENCIA SEXUAL ",IF(K110=CURSOS!$D$17,"PROGRAMADO AMPLIADO DE INMUNIZACION (PAI - COVID 19)",IF(K110=CURSOS!$D$18,"ATENCION INTEGRAL EN ENFERMEDADES PREVALENTES EN PRIMERA INFANCIA (AIEPI)",IF(K110=CURSOS!$D$19,"ADMINISTRACION DE MEDICAMENTOS, INYECTOLOGIA  Y CANALIZACION ",IF(K110=CURSOS!$D$20,"OPERADOR DE VEHICULOS DE EMERGENCIA (OVE)",IF(K110=CURSOS!$D$21,"INSTITUCIONES AMIGAS DE LA MUJER Y LA INFANCIA (IAMI)",IF(K110=CURSOS!$D$22,"CUIDADO DEL DONANTE DE ORGANOS",IF(K110=CURSOS!$D$23,"ATENCION A VICTIMAS POR VIOLENCIA DE GENERO",IF(K110=CURSOS!$D$24,"IGUALDAD DE GENERO EN LA SALUD",IF(K110=CURSOS!$D$25,"BRIGADA DE EMERGENCIA",IF(K110=CURSOS!$D$26,"MANEJO DEL DOLOR Y CUIDADOS PALIATIVOS",IF(K110=CURSOS!$D$27,"TOMA DE MUESTRAS Y LABORATORIO POCT",IF(K110=CURSOS!$D$28,"IMPLANTE SUBDERMICO DE DISPOSITIVO INTRAUTERINO",IF(K110=CURSOS!$D$29,"SALUD MENTAL",IF(K110=CURSOS!$D$30,"PRIMEROS AUXILIOS PSICOLOGICOS",IF(K110=CURSOS!$D$31,"ATENCION A VICTIMAS POR CONFLICTO ARMADO",IF(K110=CURSOS!$D$32,"MANIPULACION DE ALIMENTOS Y BPM",IF(K110=CURSOS!$D$33,"ATENCION A PERSONAS CON DISCAPACIDAD",IF(K110=CURSOS!$D$34,"CUIDADO INTEGRAL DEL PACIENTE ADULTO",IF(K110=CURSOS!$D$35,"MANEJO DEFENSIVO",IF(K110=CURSOS!$D$36,"SOPORTE CARDIOVASCULAR AVANZADO NEONATAL",IF(K110=CURSOS!$D$37,"SEGURIDAD DEL PACIENTE")))))))))))))))))))))))))))))))))))</f>
        <v xml:space="preserve">ATENCION A VICTIMAS DE VIOLENCIA SEXUAL </v>
      </c>
      <c r="M110" s="52" t="str">
        <f t="shared" si="11"/>
        <v>Yeni Marcela Coral Armas</v>
      </c>
      <c r="N110" s="52" t="str">
        <f t="shared" si="8"/>
        <v>Yeni Marcela Coral Armas</v>
      </c>
      <c r="O110" s="52" t="str">
        <f t="shared" si="12"/>
        <v>Yeni Marcela Coral Armas-1084847999-VIOLENCIA SEXUAL</v>
      </c>
    </row>
    <row r="111" spans="1:15" s="154" customFormat="1" x14ac:dyDescent="0.2">
      <c r="A111" s="85">
        <v>110</v>
      </c>
      <c r="B111" s="149">
        <v>1084847453</v>
      </c>
      <c r="C111" s="149" t="s">
        <v>95</v>
      </c>
      <c r="D111" s="149" t="s">
        <v>169</v>
      </c>
      <c r="E111" s="149" t="s">
        <v>143</v>
      </c>
      <c r="F111" s="149" t="s">
        <v>151</v>
      </c>
      <c r="G111" s="150">
        <v>17</v>
      </c>
      <c r="H111" s="14" t="s">
        <v>181</v>
      </c>
      <c r="I111" s="14" t="s">
        <v>86</v>
      </c>
      <c r="J111" s="14" t="s">
        <v>511</v>
      </c>
      <c r="K111" s="15" t="s">
        <v>23</v>
      </c>
      <c r="L111" s="52" t="str">
        <f>IF(K111=CURSOS!$D$3,"DIPLOMADO EN ATENCION PRE-HOSPITALARIA",IF(K111=CURSOS!$D$4,"ACOMPAÑAMIENTO Y MANEJO DEL DUELO",IF(K111=CURSOS!$D$5,"ATENCION A VICTIMAS DE ATAQUE CON AGENTES QUIMICOS ",IF(K111=CURSOS!$D$6,"PRIMEROS AUXILIOS ",IF(K111=CURSOS!$D$7,"DIPLOMADO DE UNIDAD DE CUIDADOS INTENSIVOS (UCI)",IF(K111=CURSOS!$D$8,"MODELO DE ATENCION PARA EVENTOS EMERGENTES EN SALUD MENTAL (CODIGO VERDE)",IF(K111=CURSOS!$D$9,"HUMANIZACION EN EL SERVICIO DE LA SALUD Y BUENAS PRACTICAS EN PACIENTE ",IF(K111=CURSOS!$D$10,"CLINICA DE HERIDAS ",IF(K111=CURSOS!$D$11,"TOMA DE CITOLOGIA CERVICO VAGINAL ",IF(K111=CURSOS!$D$12,"SOPORTE CARDIOVASCULAR AVANZADO (ACLS) ",IF(K111=CURSOS!$D$13,"CAMILLERO ",IF(K111=CURSOS!$D$14,"TOMA DE MUESTRAS Y LABORATORIO ",IF(K111=CURSOS!$D$15,"SOPORTE VITAL BASICO (BLS)",IF(K111=CURSOS!$D$16,"ATENCION A VICTIMAS DE VIOLENCIA SEXUAL ",IF(K111=CURSOS!$D$17,"PROGRAMADO AMPLIADO DE INMUNIZACION (PAI - COVID 19)",IF(K111=CURSOS!$D$18,"ATENCION INTEGRAL EN ENFERMEDADES PREVALENTES EN PRIMERA INFANCIA (AIEPI)",IF(K111=CURSOS!$D$19,"ADMINISTRACION DE MEDICAMENTOS, INYECTOLOGIA  Y CANALIZACION ",IF(K111=CURSOS!$D$20,"OPERADOR DE VEHICULOS DE EMERGENCIA (OVE)",IF(K111=CURSOS!$D$21,"INSTITUCIONES AMIGAS DE LA MUJER Y LA INFANCIA (IAMI)",IF(K111=CURSOS!$D$22,"CUIDADO DEL DONANTE DE ORGANOS",IF(K111=CURSOS!$D$23,"ATENCION A VICTIMAS POR VIOLENCIA DE GENERO",IF(K111=CURSOS!$D$24,"IGUALDAD DE GENERO EN LA SALUD",IF(K111=CURSOS!$D$25,"BRIGADA DE EMERGENCIA",IF(K111=CURSOS!$D$26,"MANEJO DEL DOLOR Y CUIDADOS PALIATIVOS",IF(K111=CURSOS!$D$27,"TOMA DE MUESTRAS Y LABORATORIO POCT",IF(K111=CURSOS!$D$28,"IMPLANTE SUBDERMICO DE DISPOSITIVO INTRAUTERINO",IF(K111=CURSOS!$D$29,"SALUD MENTAL",IF(K111=CURSOS!$D$30,"PRIMEROS AUXILIOS PSICOLOGICOS",IF(K111=CURSOS!$D$31,"ATENCION A VICTIMAS POR CONFLICTO ARMADO",IF(K111=CURSOS!$D$32,"MANIPULACION DE ALIMENTOS Y BPM",IF(K111=CURSOS!$D$33,"ATENCION A PERSONAS CON DISCAPACIDAD",IF(K111=CURSOS!$D$34,"CUIDADO INTEGRAL DEL PACIENTE ADULTO",IF(K111=CURSOS!$D$35,"MANEJO DEFENSIVO",IF(K111=CURSOS!$D$36,"SOPORTE CARDIOVASCULAR AVANZADO NEONATAL",IF(K111=CURSOS!$D$37,"SEGURIDAD DEL PACIENTE")))))))))))))))))))))))))))))))))))</f>
        <v>ACOMPAÑAMIENTO Y MANEJO DEL DUELO</v>
      </c>
      <c r="M111" s="52" t="str">
        <f t="shared" si="11"/>
        <v>Diana Marisol Pantoja Erazo</v>
      </c>
      <c r="N111" s="52" t="str">
        <f t="shared" si="8"/>
        <v>Diana Marisol Pantoja Erazo</v>
      </c>
      <c r="O111" s="52" t="str">
        <f t="shared" si="12"/>
        <v>Diana Marisol Pantoja Erazo-1084847453-DUELO</v>
      </c>
    </row>
    <row r="112" spans="1:15" s="154" customFormat="1" x14ac:dyDescent="0.2">
      <c r="A112" s="149">
        <v>111</v>
      </c>
      <c r="B112" s="149">
        <v>1084847453</v>
      </c>
      <c r="C112" s="149" t="s">
        <v>95</v>
      </c>
      <c r="D112" s="149" t="s">
        <v>169</v>
      </c>
      <c r="E112" s="149" t="s">
        <v>143</v>
      </c>
      <c r="F112" s="149" t="s">
        <v>151</v>
      </c>
      <c r="G112" s="150">
        <v>17</v>
      </c>
      <c r="H112" s="14" t="s">
        <v>181</v>
      </c>
      <c r="I112" s="14" t="s">
        <v>86</v>
      </c>
      <c r="J112" s="14" t="s">
        <v>511</v>
      </c>
      <c r="K112" s="15" t="s">
        <v>25</v>
      </c>
      <c r="L112" s="52" t="str">
        <f>IF(K112=CURSOS!$D$3,"DIPLOMADO EN ATENCION PRE-HOSPITALARIA",IF(K112=CURSOS!$D$4,"ACOMPAÑAMIENTO Y MANEJO DEL DUELO",IF(K112=CURSOS!$D$5,"ATENCION A VICTIMAS DE ATAQUE CON AGENTES QUIMICOS ",IF(K112=CURSOS!$D$6,"PRIMEROS AUXILIOS ",IF(K112=CURSOS!$D$7,"DIPLOMADO DE UNIDAD DE CUIDADOS INTENSIVOS (UCI)",IF(K112=CURSOS!$D$8,"MODELO DE ATENCION PARA EVENTOS EMERGENTES EN SALUD MENTAL (CODIGO VERDE)",IF(K112=CURSOS!$D$9,"HUMANIZACION EN EL SERVICIO DE LA SALUD Y BUENAS PRACTICAS EN PACIENTE ",IF(K112=CURSOS!$D$10,"CLINICA DE HERIDAS ",IF(K112=CURSOS!$D$11,"TOMA DE CITOLOGIA CERVICO VAGINAL ",IF(K112=CURSOS!$D$12,"SOPORTE CARDIOVASCULAR AVANZADO (ACLS) ",IF(K112=CURSOS!$D$13,"CAMILLERO ",IF(K112=CURSOS!$D$14,"TOMA DE MUESTRAS Y LABORATORIO ",IF(K112=CURSOS!$D$15,"SOPORTE VITAL BASICO (BLS)",IF(K112=CURSOS!$D$16,"ATENCION A VICTIMAS DE VIOLENCIA SEXUAL ",IF(K112=CURSOS!$D$17,"PROGRAMADO AMPLIADO DE INMUNIZACION (PAI - COVID 19)",IF(K112=CURSOS!$D$18,"ATENCION INTEGRAL EN ENFERMEDADES PREVALENTES EN PRIMERA INFANCIA (AIEPI)",IF(K112=CURSOS!$D$19,"ADMINISTRACION DE MEDICAMENTOS, INYECTOLOGIA  Y CANALIZACION ",IF(K112=CURSOS!$D$20,"OPERADOR DE VEHICULOS DE EMERGENCIA (OVE)",IF(K112=CURSOS!$D$21,"INSTITUCIONES AMIGAS DE LA MUJER Y LA INFANCIA (IAMI)",IF(K112=CURSOS!$D$22,"CUIDADO DEL DONANTE DE ORGANOS",IF(K112=CURSOS!$D$23,"ATENCION A VICTIMAS POR VIOLENCIA DE GENERO",IF(K112=CURSOS!$D$24,"IGUALDAD DE GENERO EN LA SALUD",IF(K112=CURSOS!$D$25,"BRIGADA DE EMERGENCIA",IF(K112=CURSOS!$D$26,"MANEJO DEL DOLOR Y CUIDADOS PALIATIVOS",IF(K112=CURSOS!$D$27,"TOMA DE MUESTRAS Y LABORATORIO POCT",IF(K112=CURSOS!$D$28,"IMPLANTE SUBDERMICO DE DISPOSITIVO INTRAUTERINO",IF(K112=CURSOS!$D$29,"SALUD MENTAL",IF(K112=CURSOS!$D$30,"PRIMEROS AUXILIOS PSICOLOGICOS",IF(K112=CURSOS!$D$31,"ATENCION A VICTIMAS POR CONFLICTO ARMADO",IF(K112=CURSOS!$D$32,"MANIPULACION DE ALIMENTOS Y BPM",IF(K112=CURSOS!$D$33,"ATENCION A PERSONAS CON DISCAPACIDAD",IF(K112=CURSOS!$D$34,"CUIDADO INTEGRAL DEL PACIENTE ADULTO",IF(K112=CURSOS!$D$35,"MANEJO DEFENSIVO",IF(K112=CURSOS!$D$36,"SOPORTE CARDIOVASCULAR AVANZADO NEONATAL",IF(K112=CURSOS!$D$37,"SEGURIDAD DEL PACIENTE")))))))))))))))))))))))))))))))))))</f>
        <v xml:space="preserve">ATENCION A VICTIMAS DE ATAQUE CON AGENTES QUIMICOS </v>
      </c>
      <c r="M112" s="52" t="str">
        <f t="shared" si="11"/>
        <v>Diana Marisol Pantoja Erazo</v>
      </c>
      <c r="N112" s="52" t="str">
        <f t="shared" si="8"/>
        <v>Diana Marisol Pantoja Erazo</v>
      </c>
      <c r="O112" s="52" t="str">
        <f t="shared" si="12"/>
        <v>Diana Marisol Pantoja Erazo-1084847453-QUIMICOS</v>
      </c>
    </row>
    <row r="113" spans="1:15" s="154" customFormat="1" x14ac:dyDescent="0.2">
      <c r="A113" s="149">
        <v>112</v>
      </c>
      <c r="B113" s="149">
        <v>1084847453</v>
      </c>
      <c r="C113" s="149" t="s">
        <v>95</v>
      </c>
      <c r="D113" s="149" t="s">
        <v>169</v>
      </c>
      <c r="E113" s="149" t="s">
        <v>143</v>
      </c>
      <c r="F113" s="149" t="s">
        <v>151</v>
      </c>
      <c r="G113" s="150">
        <v>17</v>
      </c>
      <c r="H113" s="14" t="s">
        <v>181</v>
      </c>
      <c r="I113" s="14" t="s">
        <v>86</v>
      </c>
      <c r="J113" s="14" t="s">
        <v>511</v>
      </c>
      <c r="K113" s="15" t="s">
        <v>43</v>
      </c>
      <c r="L113" s="52" t="str">
        <f>IF(K113=CURSOS!$D$3,"DIPLOMADO EN ATENCION PRE-HOSPITALARIA",IF(K113=CURSOS!$D$4,"ACOMPAÑAMIENTO Y MANEJO DEL DUELO",IF(K113=CURSOS!$D$5,"ATENCION A VICTIMAS DE ATAQUE CON AGENTES QUIMICOS ",IF(K113=CURSOS!$D$6,"PRIMEROS AUXILIOS ",IF(K113=CURSOS!$D$7,"DIPLOMADO DE UNIDAD DE CUIDADOS INTENSIVOS (UCI)",IF(K113=CURSOS!$D$8,"MODELO DE ATENCION PARA EVENTOS EMERGENTES EN SALUD MENTAL (CODIGO VERDE)",IF(K113=CURSOS!$D$9,"HUMANIZACION EN EL SERVICIO DE LA SALUD Y BUENAS PRACTICAS EN PACIENTE ",IF(K113=CURSOS!$D$10,"CLINICA DE HERIDAS ",IF(K113=CURSOS!$D$11,"TOMA DE CITOLOGIA CERVICO VAGINAL ",IF(K113=CURSOS!$D$12,"SOPORTE CARDIOVASCULAR AVANZADO (ACLS) ",IF(K113=CURSOS!$D$13,"CAMILLERO ",IF(K113=CURSOS!$D$14,"TOMA DE MUESTRAS Y LABORATORIO ",IF(K113=CURSOS!$D$15,"SOPORTE VITAL BASICO (BLS)",IF(K113=CURSOS!$D$16,"ATENCION A VICTIMAS DE VIOLENCIA SEXUAL ",IF(K113=CURSOS!$D$17,"PROGRAMADO AMPLIADO DE INMUNIZACION (PAI - COVID 19)",IF(K113=CURSOS!$D$18,"ATENCION INTEGRAL EN ENFERMEDADES PREVALENTES EN PRIMERA INFANCIA (AIEPI)",IF(K113=CURSOS!$D$19,"ADMINISTRACION DE MEDICAMENTOS, INYECTOLOGIA  Y CANALIZACION ",IF(K113=CURSOS!$D$20,"OPERADOR DE VEHICULOS DE EMERGENCIA (OVE)",IF(K113=CURSOS!$D$21,"INSTITUCIONES AMIGAS DE LA MUJER Y LA INFANCIA (IAMI)",IF(K113=CURSOS!$D$22,"CUIDADO DEL DONANTE DE ORGANOS",IF(K113=CURSOS!$D$23,"ATENCION A VICTIMAS POR VIOLENCIA DE GENERO",IF(K113=CURSOS!$D$24,"IGUALDAD DE GENERO EN LA SALUD",IF(K113=CURSOS!$D$25,"BRIGADA DE EMERGENCIA",IF(K113=CURSOS!$D$26,"MANEJO DEL DOLOR Y CUIDADOS PALIATIVOS",IF(K113=CURSOS!$D$27,"TOMA DE MUESTRAS Y LABORATORIO POCT",IF(K113=CURSOS!$D$28,"IMPLANTE SUBDERMICO DE DISPOSITIVO INTRAUTERINO",IF(K113=CURSOS!$D$29,"SALUD MENTAL",IF(K113=CURSOS!$D$30,"PRIMEROS AUXILIOS PSICOLOGICOS",IF(K113=CURSOS!$D$31,"ATENCION A VICTIMAS POR CONFLICTO ARMADO",IF(K113=CURSOS!$D$32,"MANIPULACION DE ALIMENTOS Y BPM",IF(K113=CURSOS!$D$33,"ATENCION A PERSONAS CON DISCAPACIDAD",IF(K113=CURSOS!$D$34,"CUIDADO INTEGRAL DEL PACIENTE ADULTO",IF(K113=CURSOS!$D$35,"MANEJO DEFENSIVO",IF(K113=CURSOS!$D$36,"SOPORTE CARDIOVASCULAR AVANZADO NEONATAL",IF(K113=CURSOS!$D$37,"SEGURIDAD DEL PACIENTE")))))))))))))))))))))))))))))))))))</f>
        <v xml:space="preserve">ATENCION A VICTIMAS DE VIOLENCIA SEXUAL </v>
      </c>
      <c r="M113" s="52" t="str">
        <f t="shared" si="11"/>
        <v>Diana Marisol Pantoja Erazo</v>
      </c>
      <c r="N113" s="52" t="str">
        <f t="shared" si="8"/>
        <v>Diana Marisol Pantoja Erazo</v>
      </c>
      <c r="O113" s="52" t="str">
        <f t="shared" si="12"/>
        <v>Diana Marisol Pantoja Erazo-1084847453-VIOLENCIA SEXUAL</v>
      </c>
    </row>
    <row r="114" spans="1:15" s="154" customFormat="1" x14ac:dyDescent="0.2">
      <c r="A114" s="149">
        <v>113</v>
      </c>
      <c r="B114" s="149">
        <v>1084847853</v>
      </c>
      <c r="C114" s="149" t="s">
        <v>95</v>
      </c>
      <c r="D114" s="149" t="s">
        <v>466</v>
      </c>
      <c r="E114" s="149" t="s">
        <v>503</v>
      </c>
      <c r="F114" s="149" t="s">
        <v>504</v>
      </c>
      <c r="G114" s="150">
        <v>17</v>
      </c>
      <c r="H114" s="14" t="s">
        <v>181</v>
      </c>
      <c r="I114" s="14" t="s">
        <v>86</v>
      </c>
      <c r="J114" s="14" t="s">
        <v>511</v>
      </c>
      <c r="K114" s="15" t="s">
        <v>23</v>
      </c>
      <c r="L114" s="52" t="str">
        <f>IF(K114=CURSOS!$D$3,"DIPLOMADO EN ATENCION PRE-HOSPITALARIA",IF(K114=CURSOS!$D$4,"ACOMPAÑAMIENTO Y MANEJO DEL DUELO",IF(K114=CURSOS!$D$5,"ATENCION A VICTIMAS DE ATAQUE CON AGENTES QUIMICOS ",IF(K114=CURSOS!$D$6,"PRIMEROS AUXILIOS ",IF(K114=CURSOS!$D$7,"DIPLOMADO DE UNIDAD DE CUIDADOS INTENSIVOS (UCI)",IF(K114=CURSOS!$D$8,"MODELO DE ATENCION PARA EVENTOS EMERGENTES EN SALUD MENTAL (CODIGO VERDE)",IF(K114=CURSOS!$D$9,"HUMANIZACION EN EL SERVICIO DE LA SALUD Y BUENAS PRACTICAS EN PACIENTE ",IF(K114=CURSOS!$D$10,"CLINICA DE HERIDAS ",IF(K114=CURSOS!$D$11,"TOMA DE CITOLOGIA CERVICO VAGINAL ",IF(K114=CURSOS!$D$12,"SOPORTE CARDIOVASCULAR AVANZADO (ACLS) ",IF(K114=CURSOS!$D$13,"CAMILLERO ",IF(K114=CURSOS!$D$14,"TOMA DE MUESTRAS Y LABORATORIO ",IF(K114=CURSOS!$D$15,"SOPORTE VITAL BASICO (BLS)",IF(K114=CURSOS!$D$16,"ATENCION A VICTIMAS DE VIOLENCIA SEXUAL ",IF(K114=CURSOS!$D$17,"PROGRAMADO AMPLIADO DE INMUNIZACION (PAI - COVID 19)",IF(K114=CURSOS!$D$18,"ATENCION INTEGRAL EN ENFERMEDADES PREVALENTES EN PRIMERA INFANCIA (AIEPI)",IF(K114=CURSOS!$D$19,"ADMINISTRACION DE MEDICAMENTOS, INYECTOLOGIA  Y CANALIZACION ",IF(K114=CURSOS!$D$20,"OPERADOR DE VEHICULOS DE EMERGENCIA (OVE)",IF(K114=CURSOS!$D$21,"INSTITUCIONES AMIGAS DE LA MUJER Y LA INFANCIA (IAMI)",IF(K114=CURSOS!$D$22,"CUIDADO DEL DONANTE DE ORGANOS",IF(K114=CURSOS!$D$23,"ATENCION A VICTIMAS POR VIOLENCIA DE GENERO",IF(K114=CURSOS!$D$24,"IGUALDAD DE GENERO EN LA SALUD",IF(K114=CURSOS!$D$25,"BRIGADA DE EMERGENCIA",IF(K114=CURSOS!$D$26,"MANEJO DEL DOLOR Y CUIDADOS PALIATIVOS",IF(K114=CURSOS!$D$27,"TOMA DE MUESTRAS Y LABORATORIO POCT",IF(K114=CURSOS!$D$28,"IMPLANTE SUBDERMICO DE DISPOSITIVO INTRAUTERINO",IF(K114=CURSOS!$D$29,"SALUD MENTAL",IF(K114=CURSOS!$D$30,"PRIMEROS AUXILIOS PSICOLOGICOS",IF(K114=CURSOS!$D$31,"ATENCION A VICTIMAS POR CONFLICTO ARMADO",IF(K114=CURSOS!$D$32,"MANIPULACION DE ALIMENTOS Y BPM",IF(K114=CURSOS!$D$33,"ATENCION A PERSONAS CON DISCAPACIDAD",IF(K114=CURSOS!$D$34,"CUIDADO INTEGRAL DEL PACIENTE ADULTO",IF(K114=CURSOS!$D$35,"MANEJO DEFENSIVO",IF(K114=CURSOS!$D$36,"SOPORTE CARDIOVASCULAR AVANZADO NEONATAL",IF(K114=CURSOS!$D$37,"SEGURIDAD DEL PACIENTE")))))))))))))))))))))))))))))))))))</f>
        <v>ACOMPAÑAMIENTO Y MANEJO DEL DUELO</v>
      </c>
      <c r="M114" s="52" t="str">
        <f t="shared" si="11"/>
        <v>Ehider Yananderly Pantoja Romero</v>
      </c>
      <c r="N114" s="52" t="str">
        <f t="shared" si="8"/>
        <v>Ehider Yananderly Pantoja Romero</v>
      </c>
      <c r="O114" s="52" t="str">
        <f t="shared" si="12"/>
        <v>Ehider Yananderly Pantoja Romero-1084847853-DUELO</v>
      </c>
    </row>
    <row r="115" spans="1:15" s="154" customFormat="1" x14ac:dyDescent="0.2">
      <c r="A115" s="149">
        <v>114</v>
      </c>
      <c r="B115" s="149">
        <v>1084847853</v>
      </c>
      <c r="C115" s="149" t="s">
        <v>95</v>
      </c>
      <c r="D115" s="149" t="s">
        <v>466</v>
      </c>
      <c r="E115" s="149" t="s">
        <v>503</v>
      </c>
      <c r="F115" s="149" t="s">
        <v>504</v>
      </c>
      <c r="G115" s="150">
        <v>17</v>
      </c>
      <c r="H115" s="14" t="s">
        <v>181</v>
      </c>
      <c r="I115" s="14" t="s">
        <v>86</v>
      </c>
      <c r="J115" s="14" t="s">
        <v>511</v>
      </c>
      <c r="K115" s="15" t="s">
        <v>25</v>
      </c>
      <c r="L115" s="52" t="str">
        <f>IF(K115=CURSOS!$D$3,"DIPLOMADO EN ATENCION PRE-HOSPITALARIA",IF(K115=CURSOS!$D$4,"ACOMPAÑAMIENTO Y MANEJO DEL DUELO",IF(K115=CURSOS!$D$5,"ATENCION A VICTIMAS DE ATAQUE CON AGENTES QUIMICOS ",IF(K115=CURSOS!$D$6,"PRIMEROS AUXILIOS ",IF(K115=CURSOS!$D$7,"DIPLOMADO DE UNIDAD DE CUIDADOS INTENSIVOS (UCI)",IF(K115=CURSOS!$D$8,"MODELO DE ATENCION PARA EVENTOS EMERGENTES EN SALUD MENTAL (CODIGO VERDE)",IF(K115=CURSOS!$D$9,"HUMANIZACION EN EL SERVICIO DE LA SALUD Y BUENAS PRACTICAS EN PACIENTE ",IF(K115=CURSOS!$D$10,"CLINICA DE HERIDAS ",IF(K115=CURSOS!$D$11,"TOMA DE CITOLOGIA CERVICO VAGINAL ",IF(K115=CURSOS!$D$12,"SOPORTE CARDIOVASCULAR AVANZADO (ACLS) ",IF(K115=CURSOS!$D$13,"CAMILLERO ",IF(K115=CURSOS!$D$14,"TOMA DE MUESTRAS Y LABORATORIO ",IF(K115=CURSOS!$D$15,"SOPORTE VITAL BASICO (BLS)",IF(K115=CURSOS!$D$16,"ATENCION A VICTIMAS DE VIOLENCIA SEXUAL ",IF(K115=CURSOS!$D$17,"PROGRAMADO AMPLIADO DE INMUNIZACION (PAI - COVID 19)",IF(K115=CURSOS!$D$18,"ATENCION INTEGRAL EN ENFERMEDADES PREVALENTES EN PRIMERA INFANCIA (AIEPI)",IF(K115=CURSOS!$D$19,"ADMINISTRACION DE MEDICAMENTOS, INYECTOLOGIA  Y CANALIZACION ",IF(K115=CURSOS!$D$20,"OPERADOR DE VEHICULOS DE EMERGENCIA (OVE)",IF(K115=CURSOS!$D$21,"INSTITUCIONES AMIGAS DE LA MUJER Y LA INFANCIA (IAMI)",IF(K115=CURSOS!$D$22,"CUIDADO DEL DONANTE DE ORGANOS",IF(K115=CURSOS!$D$23,"ATENCION A VICTIMAS POR VIOLENCIA DE GENERO",IF(K115=CURSOS!$D$24,"IGUALDAD DE GENERO EN LA SALUD",IF(K115=CURSOS!$D$25,"BRIGADA DE EMERGENCIA",IF(K115=CURSOS!$D$26,"MANEJO DEL DOLOR Y CUIDADOS PALIATIVOS",IF(K115=CURSOS!$D$27,"TOMA DE MUESTRAS Y LABORATORIO POCT",IF(K115=CURSOS!$D$28,"IMPLANTE SUBDERMICO DE DISPOSITIVO INTRAUTERINO",IF(K115=CURSOS!$D$29,"SALUD MENTAL",IF(K115=CURSOS!$D$30,"PRIMEROS AUXILIOS PSICOLOGICOS",IF(K115=CURSOS!$D$31,"ATENCION A VICTIMAS POR CONFLICTO ARMADO",IF(K115=CURSOS!$D$32,"MANIPULACION DE ALIMENTOS Y BPM",IF(K115=CURSOS!$D$33,"ATENCION A PERSONAS CON DISCAPACIDAD",IF(K115=CURSOS!$D$34,"CUIDADO INTEGRAL DEL PACIENTE ADULTO",IF(K115=CURSOS!$D$35,"MANEJO DEFENSIVO",IF(K115=CURSOS!$D$36,"SOPORTE CARDIOVASCULAR AVANZADO NEONATAL",IF(K115=CURSOS!$D$37,"SEGURIDAD DEL PACIENTE")))))))))))))))))))))))))))))))))))</f>
        <v xml:space="preserve">ATENCION A VICTIMAS DE ATAQUE CON AGENTES QUIMICOS </v>
      </c>
      <c r="M115" s="52" t="str">
        <f t="shared" si="11"/>
        <v>Ehider Yananderly Pantoja Romero</v>
      </c>
      <c r="N115" s="52" t="str">
        <f t="shared" si="8"/>
        <v>Ehider Yananderly Pantoja Romero</v>
      </c>
      <c r="O115" s="52" t="str">
        <f t="shared" si="12"/>
        <v>Ehider Yananderly Pantoja Romero-1084847853-QUIMICOS</v>
      </c>
    </row>
    <row r="116" spans="1:15" s="154" customFormat="1" x14ac:dyDescent="0.2">
      <c r="A116" s="149">
        <v>115</v>
      </c>
      <c r="B116" s="149">
        <v>1084847853</v>
      </c>
      <c r="C116" s="149" t="s">
        <v>95</v>
      </c>
      <c r="D116" s="149" t="s">
        <v>466</v>
      </c>
      <c r="E116" s="149" t="s">
        <v>503</v>
      </c>
      <c r="F116" s="149" t="s">
        <v>504</v>
      </c>
      <c r="G116" s="150">
        <v>17</v>
      </c>
      <c r="H116" s="14" t="s">
        <v>181</v>
      </c>
      <c r="I116" s="14" t="s">
        <v>86</v>
      </c>
      <c r="J116" s="14" t="s">
        <v>511</v>
      </c>
      <c r="K116" s="15" t="s">
        <v>43</v>
      </c>
      <c r="L116" s="52" t="str">
        <f>IF(K116=CURSOS!$D$3,"DIPLOMADO EN ATENCION PRE-HOSPITALARIA",IF(K116=CURSOS!$D$4,"ACOMPAÑAMIENTO Y MANEJO DEL DUELO",IF(K116=CURSOS!$D$5,"ATENCION A VICTIMAS DE ATAQUE CON AGENTES QUIMICOS ",IF(K116=CURSOS!$D$6,"PRIMEROS AUXILIOS ",IF(K116=CURSOS!$D$7,"DIPLOMADO DE UNIDAD DE CUIDADOS INTENSIVOS (UCI)",IF(K116=CURSOS!$D$8,"MODELO DE ATENCION PARA EVENTOS EMERGENTES EN SALUD MENTAL (CODIGO VERDE)",IF(K116=CURSOS!$D$9,"HUMANIZACION EN EL SERVICIO DE LA SALUD Y BUENAS PRACTICAS EN PACIENTE ",IF(K116=CURSOS!$D$10,"CLINICA DE HERIDAS ",IF(K116=CURSOS!$D$11,"TOMA DE CITOLOGIA CERVICO VAGINAL ",IF(K116=CURSOS!$D$12,"SOPORTE CARDIOVASCULAR AVANZADO (ACLS) ",IF(K116=CURSOS!$D$13,"CAMILLERO ",IF(K116=CURSOS!$D$14,"TOMA DE MUESTRAS Y LABORATORIO ",IF(K116=CURSOS!$D$15,"SOPORTE VITAL BASICO (BLS)",IF(K116=CURSOS!$D$16,"ATENCION A VICTIMAS DE VIOLENCIA SEXUAL ",IF(K116=CURSOS!$D$17,"PROGRAMADO AMPLIADO DE INMUNIZACION (PAI - COVID 19)",IF(K116=CURSOS!$D$18,"ATENCION INTEGRAL EN ENFERMEDADES PREVALENTES EN PRIMERA INFANCIA (AIEPI)",IF(K116=CURSOS!$D$19,"ADMINISTRACION DE MEDICAMENTOS, INYECTOLOGIA  Y CANALIZACION ",IF(K116=CURSOS!$D$20,"OPERADOR DE VEHICULOS DE EMERGENCIA (OVE)",IF(K116=CURSOS!$D$21,"INSTITUCIONES AMIGAS DE LA MUJER Y LA INFANCIA (IAMI)",IF(K116=CURSOS!$D$22,"CUIDADO DEL DONANTE DE ORGANOS",IF(K116=CURSOS!$D$23,"ATENCION A VICTIMAS POR VIOLENCIA DE GENERO",IF(K116=CURSOS!$D$24,"IGUALDAD DE GENERO EN LA SALUD",IF(K116=CURSOS!$D$25,"BRIGADA DE EMERGENCIA",IF(K116=CURSOS!$D$26,"MANEJO DEL DOLOR Y CUIDADOS PALIATIVOS",IF(K116=CURSOS!$D$27,"TOMA DE MUESTRAS Y LABORATORIO POCT",IF(K116=CURSOS!$D$28,"IMPLANTE SUBDERMICO DE DISPOSITIVO INTRAUTERINO",IF(K116=CURSOS!$D$29,"SALUD MENTAL",IF(K116=CURSOS!$D$30,"PRIMEROS AUXILIOS PSICOLOGICOS",IF(K116=CURSOS!$D$31,"ATENCION A VICTIMAS POR CONFLICTO ARMADO",IF(K116=CURSOS!$D$32,"MANIPULACION DE ALIMENTOS Y BPM",IF(K116=CURSOS!$D$33,"ATENCION A PERSONAS CON DISCAPACIDAD",IF(K116=CURSOS!$D$34,"CUIDADO INTEGRAL DEL PACIENTE ADULTO",IF(K116=CURSOS!$D$35,"MANEJO DEFENSIVO",IF(K116=CURSOS!$D$36,"SOPORTE CARDIOVASCULAR AVANZADO NEONATAL",IF(K116=CURSOS!$D$37,"SEGURIDAD DEL PACIENTE")))))))))))))))))))))))))))))))))))</f>
        <v xml:space="preserve">ATENCION A VICTIMAS DE VIOLENCIA SEXUAL </v>
      </c>
      <c r="M116" s="52" t="str">
        <f t="shared" si="11"/>
        <v>Ehider Yananderly Pantoja Romero</v>
      </c>
      <c r="N116" s="52" t="str">
        <f t="shared" si="8"/>
        <v>Ehider Yananderly Pantoja Romero</v>
      </c>
      <c r="O116" s="52" t="str">
        <f t="shared" si="12"/>
        <v>Ehider Yananderly Pantoja Romero-1084847853-VIOLENCIA SEXUAL</v>
      </c>
    </row>
    <row r="117" spans="1:15" s="154" customFormat="1" x14ac:dyDescent="0.2">
      <c r="A117" s="149">
        <v>116</v>
      </c>
      <c r="B117" s="149">
        <v>27160719</v>
      </c>
      <c r="C117" s="149" t="s">
        <v>419</v>
      </c>
      <c r="D117" s="149" t="s">
        <v>420</v>
      </c>
      <c r="E117" s="149" t="s">
        <v>243</v>
      </c>
      <c r="F117" s="149" t="s">
        <v>505</v>
      </c>
      <c r="G117" s="150">
        <v>17</v>
      </c>
      <c r="H117" s="14" t="s">
        <v>181</v>
      </c>
      <c r="I117" s="14" t="s">
        <v>86</v>
      </c>
      <c r="J117" s="14" t="s">
        <v>511</v>
      </c>
      <c r="K117" s="15" t="s">
        <v>23</v>
      </c>
      <c r="L117" s="52" t="str">
        <f>IF(K117=CURSOS!$D$3,"DIPLOMADO EN ATENCION PRE-HOSPITALARIA",IF(K117=CURSOS!$D$4,"ACOMPAÑAMIENTO Y MANEJO DEL DUELO",IF(K117=CURSOS!$D$5,"ATENCION A VICTIMAS DE ATAQUE CON AGENTES QUIMICOS ",IF(K117=CURSOS!$D$6,"PRIMEROS AUXILIOS ",IF(K117=CURSOS!$D$7,"DIPLOMADO DE UNIDAD DE CUIDADOS INTENSIVOS (UCI)",IF(K117=CURSOS!$D$8,"MODELO DE ATENCION PARA EVENTOS EMERGENTES EN SALUD MENTAL (CODIGO VERDE)",IF(K117=CURSOS!$D$9,"HUMANIZACION EN EL SERVICIO DE LA SALUD Y BUENAS PRACTICAS EN PACIENTE ",IF(K117=CURSOS!$D$10,"CLINICA DE HERIDAS ",IF(K117=CURSOS!$D$11,"TOMA DE CITOLOGIA CERVICO VAGINAL ",IF(K117=CURSOS!$D$12,"SOPORTE CARDIOVASCULAR AVANZADO (ACLS) ",IF(K117=CURSOS!$D$13,"CAMILLERO ",IF(K117=CURSOS!$D$14,"TOMA DE MUESTRAS Y LABORATORIO ",IF(K117=CURSOS!$D$15,"SOPORTE VITAL BASICO (BLS)",IF(K117=CURSOS!$D$16,"ATENCION A VICTIMAS DE VIOLENCIA SEXUAL ",IF(K117=CURSOS!$D$17,"PROGRAMADO AMPLIADO DE INMUNIZACION (PAI - COVID 19)",IF(K117=CURSOS!$D$18,"ATENCION INTEGRAL EN ENFERMEDADES PREVALENTES EN PRIMERA INFANCIA (AIEPI)",IF(K117=CURSOS!$D$19,"ADMINISTRACION DE MEDICAMENTOS, INYECTOLOGIA  Y CANALIZACION ",IF(K117=CURSOS!$D$20,"OPERADOR DE VEHICULOS DE EMERGENCIA (OVE)",IF(K117=CURSOS!$D$21,"INSTITUCIONES AMIGAS DE LA MUJER Y LA INFANCIA (IAMI)",IF(K117=CURSOS!$D$22,"CUIDADO DEL DONANTE DE ORGANOS",IF(K117=CURSOS!$D$23,"ATENCION A VICTIMAS POR VIOLENCIA DE GENERO",IF(K117=CURSOS!$D$24,"IGUALDAD DE GENERO EN LA SALUD",IF(K117=CURSOS!$D$25,"BRIGADA DE EMERGENCIA",IF(K117=CURSOS!$D$26,"MANEJO DEL DOLOR Y CUIDADOS PALIATIVOS",IF(K117=CURSOS!$D$27,"TOMA DE MUESTRAS Y LABORATORIO POCT",IF(K117=CURSOS!$D$28,"IMPLANTE SUBDERMICO DE DISPOSITIVO INTRAUTERINO",IF(K117=CURSOS!$D$29,"SALUD MENTAL",IF(K117=CURSOS!$D$30,"PRIMEROS AUXILIOS PSICOLOGICOS",IF(K117=CURSOS!$D$31,"ATENCION A VICTIMAS POR CONFLICTO ARMADO",IF(K117=CURSOS!$D$32,"MANIPULACION DE ALIMENTOS Y BPM",IF(K117=CURSOS!$D$33,"ATENCION A PERSONAS CON DISCAPACIDAD",IF(K117=CURSOS!$D$34,"CUIDADO INTEGRAL DEL PACIENTE ADULTO",IF(K117=CURSOS!$D$35,"MANEJO DEFENSIVO",IF(K117=CURSOS!$D$36,"SOPORTE CARDIOVASCULAR AVANZADO NEONATAL",IF(K117=CURSOS!$D$37,"SEGURIDAD DEL PACIENTE")))))))))))))))))))))))))))))))))))</f>
        <v>ACOMPAÑAMIENTO Y MANEJO DEL DUELO</v>
      </c>
      <c r="M117" s="52" t="str">
        <f t="shared" si="11"/>
        <v>Bibiana del Socorro Gesama Cuasanchir</v>
      </c>
      <c r="N117" s="52" t="str">
        <f t="shared" si="8"/>
        <v>Bibiana Del Socorro Gesama Cuasanchir</v>
      </c>
      <c r="O117" s="52" t="str">
        <f t="shared" si="12"/>
        <v>Bibiana del Socorro Gesama Cuasanchir-27160719-DUELO</v>
      </c>
    </row>
    <row r="118" spans="1:15" s="154" customFormat="1" x14ac:dyDescent="0.2">
      <c r="A118" s="85">
        <v>117</v>
      </c>
      <c r="B118" s="149">
        <v>27160719</v>
      </c>
      <c r="C118" s="149" t="s">
        <v>419</v>
      </c>
      <c r="D118" s="149" t="s">
        <v>420</v>
      </c>
      <c r="E118" s="149" t="s">
        <v>243</v>
      </c>
      <c r="F118" s="149" t="s">
        <v>505</v>
      </c>
      <c r="G118" s="150">
        <v>17</v>
      </c>
      <c r="H118" s="14" t="s">
        <v>181</v>
      </c>
      <c r="I118" s="14" t="s">
        <v>86</v>
      </c>
      <c r="J118" s="14" t="s">
        <v>511</v>
      </c>
      <c r="K118" s="15" t="s">
        <v>25</v>
      </c>
      <c r="L118" s="52" t="str">
        <f>IF(K118=CURSOS!$D$3,"DIPLOMADO EN ATENCION PRE-HOSPITALARIA",IF(K118=CURSOS!$D$4,"ACOMPAÑAMIENTO Y MANEJO DEL DUELO",IF(K118=CURSOS!$D$5,"ATENCION A VICTIMAS DE ATAQUE CON AGENTES QUIMICOS ",IF(K118=CURSOS!$D$6,"PRIMEROS AUXILIOS ",IF(K118=CURSOS!$D$7,"DIPLOMADO DE UNIDAD DE CUIDADOS INTENSIVOS (UCI)",IF(K118=CURSOS!$D$8,"MODELO DE ATENCION PARA EVENTOS EMERGENTES EN SALUD MENTAL (CODIGO VERDE)",IF(K118=CURSOS!$D$9,"HUMANIZACION EN EL SERVICIO DE LA SALUD Y BUENAS PRACTICAS EN PACIENTE ",IF(K118=CURSOS!$D$10,"CLINICA DE HERIDAS ",IF(K118=CURSOS!$D$11,"TOMA DE CITOLOGIA CERVICO VAGINAL ",IF(K118=CURSOS!$D$12,"SOPORTE CARDIOVASCULAR AVANZADO (ACLS) ",IF(K118=CURSOS!$D$13,"CAMILLERO ",IF(K118=CURSOS!$D$14,"TOMA DE MUESTRAS Y LABORATORIO ",IF(K118=CURSOS!$D$15,"SOPORTE VITAL BASICO (BLS)",IF(K118=CURSOS!$D$16,"ATENCION A VICTIMAS DE VIOLENCIA SEXUAL ",IF(K118=CURSOS!$D$17,"PROGRAMADO AMPLIADO DE INMUNIZACION (PAI - COVID 19)",IF(K118=CURSOS!$D$18,"ATENCION INTEGRAL EN ENFERMEDADES PREVALENTES EN PRIMERA INFANCIA (AIEPI)",IF(K118=CURSOS!$D$19,"ADMINISTRACION DE MEDICAMENTOS, INYECTOLOGIA  Y CANALIZACION ",IF(K118=CURSOS!$D$20,"OPERADOR DE VEHICULOS DE EMERGENCIA (OVE)",IF(K118=CURSOS!$D$21,"INSTITUCIONES AMIGAS DE LA MUJER Y LA INFANCIA (IAMI)",IF(K118=CURSOS!$D$22,"CUIDADO DEL DONANTE DE ORGANOS",IF(K118=CURSOS!$D$23,"ATENCION A VICTIMAS POR VIOLENCIA DE GENERO",IF(K118=CURSOS!$D$24,"IGUALDAD DE GENERO EN LA SALUD",IF(K118=CURSOS!$D$25,"BRIGADA DE EMERGENCIA",IF(K118=CURSOS!$D$26,"MANEJO DEL DOLOR Y CUIDADOS PALIATIVOS",IF(K118=CURSOS!$D$27,"TOMA DE MUESTRAS Y LABORATORIO POCT",IF(K118=CURSOS!$D$28,"IMPLANTE SUBDERMICO DE DISPOSITIVO INTRAUTERINO",IF(K118=CURSOS!$D$29,"SALUD MENTAL",IF(K118=CURSOS!$D$30,"PRIMEROS AUXILIOS PSICOLOGICOS",IF(K118=CURSOS!$D$31,"ATENCION A VICTIMAS POR CONFLICTO ARMADO",IF(K118=CURSOS!$D$32,"MANIPULACION DE ALIMENTOS Y BPM",IF(K118=CURSOS!$D$33,"ATENCION A PERSONAS CON DISCAPACIDAD",IF(K118=CURSOS!$D$34,"CUIDADO INTEGRAL DEL PACIENTE ADULTO",IF(K118=CURSOS!$D$35,"MANEJO DEFENSIVO",IF(K118=CURSOS!$D$36,"SOPORTE CARDIOVASCULAR AVANZADO NEONATAL",IF(K118=CURSOS!$D$37,"SEGURIDAD DEL PACIENTE")))))))))))))))))))))))))))))))))))</f>
        <v xml:space="preserve">ATENCION A VICTIMAS DE ATAQUE CON AGENTES QUIMICOS </v>
      </c>
      <c r="M118" s="52" t="str">
        <f t="shared" si="11"/>
        <v>Bibiana del Socorro Gesama Cuasanchir</v>
      </c>
      <c r="N118" s="52" t="str">
        <f t="shared" si="8"/>
        <v>Bibiana Del Socorro Gesama Cuasanchir</v>
      </c>
      <c r="O118" s="52" t="str">
        <f t="shared" si="12"/>
        <v>Bibiana del Socorro Gesama Cuasanchir-27160719-QUIMICOS</v>
      </c>
    </row>
    <row r="119" spans="1:15" s="154" customFormat="1" x14ac:dyDescent="0.2">
      <c r="A119" s="85">
        <v>118</v>
      </c>
      <c r="B119" s="149">
        <v>27160719</v>
      </c>
      <c r="C119" s="149" t="s">
        <v>419</v>
      </c>
      <c r="D119" s="149" t="s">
        <v>420</v>
      </c>
      <c r="E119" s="149" t="s">
        <v>243</v>
      </c>
      <c r="F119" s="149" t="s">
        <v>505</v>
      </c>
      <c r="G119" s="150">
        <v>17</v>
      </c>
      <c r="H119" s="14" t="s">
        <v>181</v>
      </c>
      <c r="I119" s="14" t="s">
        <v>86</v>
      </c>
      <c r="J119" s="14" t="s">
        <v>511</v>
      </c>
      <c r="K119" s="15" t="s">
        <v>43</v>
      </c>
      <c r="L119" s="52" t="str">
        <f>IF(K119=CURSOS!$D$3,"DIPLOMADO EN ATENCION PRE-HOSPITALARIA",IF(K119=CURSOS!$D$4,"ACOMPAÑAMIENTO Y MANEJO DEL DUELO",IF(K119=CURSOS!$D$5,"ATENCION A VICTIMAS DE ATAQUE CON AGENTES QUIMICOS ",IF(K119=CURSOS!$D$6,"PRIMEROS AUXILIOS ",IF(K119=CURSOS!$D$7,"DIPLOMADO DE UNIDAD DE CUIDADOS INTENSIVOS (UCI)",IF(K119=CURSOS!$D$8,"MODELO DE ATENCION PARA EVENTOS EMERGENTES EN SALUD MENTAL (CODIGO VERDE)",IF(K119=CURSOS!$D$9,"HUMANIZACION EN EL SERVICIO DE LA SALUD Y BUENAS PRACTICAS EN PACIENTE ",IF(K119=CURSOS!$D$10,"CLINICA DE HERIDAS ",IF(K119=CURSOS!$D$11,"TOMA DE CITOLOGIA CERVICO VAGINAL ",IF(K119=CURSOS!$D$12,"SOPORTE CARDIOVASCULAR AVANZADO (ACLS) ",IF(K119=CURSOS!$D$13,"CAMILLERO ",IF(K119=CURSOS!$D$14,"TOMA DE MUESTRAS Y LABORATORIO ",IF(K119=CURSOS!$D$15,"SOPORTE VITAL BASICO (BLS)",IF(K119=CURSOS!$D$16,"ATENCION A VICTIMAS DE VIOLENCIA SEXUAL ",IF(K119=CURSOS!$D$17,"PROGRAMADO AMPLIADO DE INMUNIZACION (PAI - COVID 19)",IF(K119=CURSOS!$D$18,"ATENCION INTEGRAL EN ENFERMEDADES PREVALENTES EN PRIMERA INFANCIA (AIEPI)",IF(K119=CURSOS!$D$19,"ADMINISTRACION DE MEDICAMENTOS, INYECTOLOGIA  Y CANALIZACION ",IF(K119=CURSOS!$D$20,"OPERADOR DE VEHICULOS DE EMERGENCIA (OVE)",IF(K119=CURSOS!$D$21,"INSTITUCIONES AMIGAS DE LA MUJER Y LA INFANCIA (IAMI)",IF(K119=CURSOS!$D$22,"CUIDADO DEL DONANTE DE ORGANOS",IF(K119=CURSOS!$D$23,"ATENCION A VICTIMAS POR VIOLENCIA DE GENERO",IF(K119=CURSOS!$D$24,"IGUALDAD DE GENERO EN LA SALUD",IF(K119=CURSOS!$D$25,"BRIGADA DE EMERGENCIA",IF(K119=CURSOS!$D$26,"MANEJO DEL DOLOR Y CUIDADOS PALIATIVOS",IF(K119=CURSOS!$D$27,"TOMA DE MUESTRAS Y LABORATORIO POCT",IF(K119=CURSOS!$D$28,"IMPLANTE SUBDERMICO DE DISPOSITIVO INTRAUTERINO",IF(K119=CURSOS!$D$29,"SALUD MENTAL",IF(K119=CURSOS!$D$30,"PRIMEROS AUXILIOS PSICOLOGICOS",IF(K119=CURSOS!$D$31,"ATENCION A VICTIMAS POR CONFLICTO ARMADO",IF(K119=CURSOS!$D$32,"MANIPULACION DE ALIMENTOS Y BPM",IF(K119=CURSOS!$D$33,"ATENCION A PERSONAS CON DISCAPACIDAD",IF(K119=CURSOS!$D$34,"CUIDADO INTEGRAL DEL PACIENTE ADULTO",IF(K119=CURSOS!$D$35,"MANEJO DEFENSIVO",IF(K119=CURSOS!$D$36,"SOPORTE CARDIOVASCULAR AVANZADO NEONATAL",IF(K119=CURSOS!$D$37,"SEGURIDAD DEL PACIENTE")))))))))))))))))))))))))))))))))))</f>
        <v xml:space="preserve">ATENCION A VICTIMAS DE VIOLENCIA SEXUAL </v>
      </c>
      <c r="M119" s="52" t="str">
        <f t="shared" si="11"/>
        <v>Bibiana del Socorro Gesama Cuasanchir</v>
      </c>
      <c r="N119" s="52" t="str">
        <f t="shared" si="8"/>
        <v>Bibiana Del Socorro Gesama Cuasanchir</v>
      </c>
      <c r="O119" s="52" t="str">
        <f t="shared" si="12"/>
        <v>Bibiana del Socorro Gesama Cuasanchir-27160719-VIOLENCIA SEXUAL</v>
      </c>
    </row>
    <row r="120" spans="1:15" s="154" customFormat="1" x14ac:dyDescent="0.2">
      <c r="A120" s="149">
        <v>119</v>
      </c>
      <c r="B120" s="149">
        <v>1090371225</v>
      </c>
      <c r="C120" s="149" t="s">
        <v>472</v>
      </c>
      <c r="D120" s="149" t="s">
        <v>473</v>
      </c>
      <c r="E120" s="149" t="s">
        <v>506</v>
      </c>
      <c r="F120" s="149" t="s">
        <v>496</v>
      </c>
      <c r="G120" s="150">
        <v>17</v>
      </c>
      <c r="H120" s="14" t="s">
        <v>181</v>
      </c>
      <c r="I120" s="14" t="s">
        <v>86</v>
      </c>
      <c r="J120" s="14" t="s">
        <v>511</v>
      </c>
      <c r="K120" s="15" t="s">
        <v>23</v>
      </c>
      <c r="L120" s="52" t="str">
        <f>IF(K120=CURSOS!$D$3,"DIPLOMADO EN ATENCION PRE-HOSPITALARIA",IF(K120=CURSOS!$D$4,"ACOMPAÑAMIENTO Y MANEJO DEL DUELO",IF(K120=CURSOS!$D$5,"ATENCION A VICTIMAS DE ATAQUE CON AGENTES QUIMICOS ",IF(K120=CURSOS!$D$6,"PRIMEROS AUXILIOS ",IF(K120=CURSOS!$D$7,"DIPLOMADO DE UNIDAD DE CUIDADOS INTENSIVOS (UCI)",IF(K120=CURSOS!$D$8,"MODELO DE ATENCION PARA EVENTOS EMERGENTES EN SALUD MENTAL (CODIGO VERDE)",IF(K120=CURSOS!$D$9,"HUMANIZACION EN EL SERVICIO DE LA SALUD Y BUENAS PRACTICAS EN PACIENTE ",IF(K120=CURSOS!$D$10,"CLINICA DE HERIDAS ",IF(K120=CURSOS!$D$11,"TOMA DE CITOLOGIA CERVICO VAGINAL ",IF(K120=CURSOS!$D$12,"SOPORTE CARDIOVASCULAR AVANZADO (ACLS) ",IF(K120=CURSOS!$D$13,"CAMILLERO ",IF(K120=CURSOS!$D$14,"TOMA DE MUESTRAS Y LABORATORIO ",IF(K120=CURSOS!$D$15,"SOPORTE VITAL BASICO (BLS)",IF(K120=CURSOS!$D$16,"ATENCION A VICTIMAS DE VIOLENCIA SEXUAL ",IF(K120=CURSOS!$D$17,"PROGRAMADO AMPLIADO DE INMUNIZACION (PAI - COVID 19)",IF(K120=CURSOS!$D$18,"ATENCION INTEGRAL EN ENFERMEDADES PREVALENTES EN PRIMERA INFANCIA (AIEPI)",IF(K120=CURSOS!$D$19,"ADMINISTRACION DE MEDICAMENTOS, INYECTOLOGIA  Y CANALIZACION ",IF(K120=CURSOS!$D$20,"OPERADOR DE VEHICULOS DE EMERGENCIA (OVE)",IF(K120=CURSOS!$D$21,"INSTITUCIONES AMIGAS DE LA MUJER Y LA INFANCIA (IAMI)",IF(K120=CURSOS!$D$22,"CUIDADO DEL DONANTE DE ORGANOS",IF(K120=CURSOS!$D$23,"ATENCION A VICTIMAS POR VIOLENCIA DE GENERO",IF(K120=CURSOS!$D$24,"IGUALDAD DE GENERO EN LA SALUD",IF(K120=CURSOS!$D$25,"BRIGADA DE EMERGENCIA",IF(K120=CURSOS!$D$26,"MANEJO DEL DOLOR Y CUIDADOS PALIATIVOS",IF(K120=CURSOS!$D$27,"TOMA DE MUESTRAS Y LABORATORIO POCT",IF(K120=CURSOS!$D$28,"IMPLANTE SUBDERMICO DE DISPOSITIVO INTRAUTERINO",IF(K120=CURSOS!$D$29,"SALUD MENTAL",IF(K120=CURSOS!$D$30,"PRIMEROS AUXILIOS PSICOLOGICOS",IF(K120=CURSOS!$D$31,"ATENCION A VICTIMAS POR CONFLICTO ARMADO",IF(K120=CURSOS!$D$32,"MANIPULACION DE ALIMENTOS Y BPM",IF(K120=CURSOS!$D$33,"ATENCION A PERSONAS CON DISCAPACIDAD",IF(K120=CURSOS!$D$34,"CUIDADO INTEGRAL DEL PACIENTE ADULTO",IF(K120=CURSOS!$D$35,"MANEJO DEFENSIVO",IF(K120=CURSOS!$D$36,"SOPORTE CARDIOVASCULAR AVANZADO NEONATAL",IF(K120=CURSOS!$D$37,"SEGURIDAD DEL PACIENTE")))))))))))))))))))))))))))))))))))</f>
        <v>ACOMPAÑAMIENTO Y MANEJO DEL DUELO</v>
      </c>
      <c r="M120" s="52" t="str">
        <f t="shared" si="11"/>
        <v>Hingrid Yurley Bautista Ortiz</v>
      </c>
      <c r="N120" s="52" t="str">
        <f t="shared" si="8"/>
        <v>Hingrid Yurley Bautista Ortiz</v>
      </c>
      <c r="O120" s="52" t="str">
        <f t="shared" si="12"/>
        <v>Hingrid Yurley Bautista Ortiz-1090371225-DUELO</v>
      </c>
    </row>
    <row r="121" spans="1:15" s="154" customFormat="1" x14ac:dyDescent="0.2">
      <c r="A121" s="149">
        <v>120</v>
      </c>
      <c r="B121" s="149">
        <v>1090371225</v>
      </c>
      <c r="C121" s="149" t="s">
        <v>472</v>
      </c>
      <c r="D121" s="149" t="s">
        <v>473</v>
      </c>
      <c r="E121" s="149" t="s">
        <v>506</v>
      </c>
      <c r="F121" s="149" t="s">
        <v>496</v>
      </c>
      <c r="G121" s="150">
        <v>17</v>
      </c>
      <c r="H121" s="14" t="s">
        <v>181</v>
      </c>
      <c r="I121" s="14" t="s">
        <v>86</v>
      </c>
      <c r="J121" s="14" t="s">
        <v>511</v>
      </c>
      <c r="K121" s="15" t="s">
        <v>25</v>
      </c>
      <c r="L121" s="52" t="str">
        <f>IF(K121=CURSOS!$D$3,"DIPLOMADO EN ATENCION PRE-HOSPITALARIA",IF(K121=CURSOS!$D$4,"ACOMPAÑAMIENTO Y MANEJO DEL DUELO",IF(K121=CURSOS!$D$5,"ATENCION A VICTIMAS DE ATAQUE CON AGENTES QUIMICOS ",IF(K121=CURSOS!$D$6,"PRIMEROS AUXILIOS ",IF(K121=CURSOS!$D$7,"DIPLOMADO DE UNIDAD DE CUIDADOS INTENSIVOS (UCI)",IF(K121=CURSOS!$D$8,"MODELO DE ATENCION PARA EVENTOS EMERGENTES EN SALUD MENTAL (CODIGO VERDE)",IF(K121=CURSOS!$D$9,"HUMANIZACION EN EL SERVICIO DE LA SALUD Y BUENAS PRACTICAS EN PACIENTE ",IF(K121=CURSOS!$D$10,"CLINICA DE HERIDAS ",IF(K121=CURSOS!$D$11,"TOMA DE CITOLOGIA CERVICO VAGINAL ",IF(K121=CURSOS!$D$12,"SOPORTE CARDIOVASCULAR AVANZADO (ACLS) ",IF(K121=CURSOS!$D$13,"CAMILLERO ",IF(K121=CURSOS!$D$14,"TOMA DE MUESTRAS Y LABORATORIO ",IF(K121=CURSOS!$D$15,"SOPORTE VITAL BASICO (BLS)",IF(K121=CURSOS!$D$16,"ATENCION A VICTIMAS DE VIOLENCIA SEXUAL ",IF(K121=CURSOS!$D$17,"PROGRAMADO AMPLIADO DE INMUNIZACION (PAI - COVID 19)",IF(K121=CURSOS!$D$18,"ATENCION INTEGRAL EN ENFERMEDADES PREVALENTES EN PRIMERA INFANCIA (AIEPI)",IF(K121=CURSOS!$D$19,"ADMINISTRACION DE MEDICAMENTOS, INYECTOLOGIA  Y CANALIZACION ",IF(K121=CURSOS!$D$20,"OPERADOR DE VEHICULOS DE EMERGENCIA (OVE)",IF(K121=CURSOS!$D$21,"INSTITUCIONES AMIGAS DE LA MUJER Y LA INFANCIA (IAMI)",IF(K121=CURSOS!$D$22,"CUIDADO DEL DONANTE DE ORGANOS",IF(K121=CURSOS!$D$23,"ATENCION A VICTIMAS POR VIOLENCIA DE GENERO",IF(K121=CURSOS!$D$24,"IGUALDAD DE GENERO EN LA SALUD",IF(K121=CURSOS!$D$25,"BRIGADA DE EMERGENCIA",IF(K121=CURSOS!$D$26,"MANEJO DEL DOLOR Y CUIDADOS PALIATIVOS",IF(K121=CURSOS!$D$27,"TOMA DE MUESTRAS Y LABORATORIO POCT",IF(K121=CURSOS!$D$28,"IMPLANTE SUBDERMICO DE DISPOSITIVO INTRAUTERINO",IF(K121=CURSOS!$D$29,"SALUD MENTAL",IF(K121=CURSOS!$D$30,"PRIMEROS AUXILIOS PSICOLOGICOS",IF(K121=CURSOS!$D$31,"ATENCION A VICTIMAS POR CONFLICTO ARMADO",IF(K121=CURSOS!$D$32,"MANIPULACION DE ALIMENTOS Y BPM",IF(K121=CURSOS!$D$33,"ATENCION A PERSONAS CON DISCAPACIDAD",IF(K121=CURSOS!$D$34,"CUIDADO INTEGRAL DEL PACIENTE ADULTO",IF(K121=CURSOS!$D$35,"MANEJO DEFENSIVO",IF(K121=CURSOS!$D$36,"SOPORTE CARDIOVASCULAR AVANZADO NEONATAL",IF(K121=CURSOS!$D$37,"SEGURIDAD DEL PACIENTE")))))))))))))))))))))))))))))))))))</f>
        <v xml:space="preserve">ATENCION A VICTIMAS DE ATAQUE CON AGENTES QUIMICOS </v>
      </c>
      <c r="M121" s="52" t="str">
        <f t="shared" si="11"/>
        <v>Hingrid Yurley Bautista Ortiz</v>
      </c>
      <c r="N121" s="52" t="str">
        <f t="shared" si="8"/>
        <v>Hingrid Yurley Bautista Ortiz</v>
      </c>
      <c r="O121" s="52" t="str">
        <f t="shared" si="12"/>
        <v>Hingrid Yurley Bautista Ortiz-1090371225-QUIMICOS</v>
      </c>
    </row>
    <row r="122" spans="1:15" s="154" customFormat="1" x14ac:dyDescent="0.2">
      <c r="A122" s="149">
        <v>121</v>
      </c>
      <c r="B122" s="149">
        <v>1090371225</v>
      </c>
      <c r="C122" s="149" t="s">
        <v>472</v>
      </c>
      <c r="D122" s="149" t="s">
        <v>473</v>
      </c>
      <c r="E122" s="149" t="s">
        <v>506</v>
      </c>
      <c r="F122" s="149" t="s">
        <v>496</v>
      </c>
      <c r="G122" s="150">
        <v>17</v>
      </c>
      <c r="H122" s="14" t="s">
        <v>181</v>
      </c>
      <c r="I122" s="14" t="s">
        <v>86</v>
      </c>
      <c r="J122" s="14" t="s">
        <v>511</v>
      </c>
      <c r="K122" s="15" t="s">
        <v>43</v>
      </c>
      <c r="L122" s="52" t="str">
        <f>IF(K122=CURSOS!$D$3,"DIPLOMADO EN ATENCION PRE-HOSPITALARIA",IF(K122=CURSOS!$D$4,"ACOMPAÑAMIENTO Y MANEJO DEL DUELO",IF(K122=CURSOS!$D$5,"ATENCION A VICTIMAS DE ATAQUE CON AGENTES QUIMICOS ",IF(K122=CURSOS!$D$6,"PRIMEROS AUXILIOS ",IF(K122=CURSOS!$D$7,"DIPLOMADO DE UNIDAD DE CUIDADOS INTENSIVOS (UCI)",IF(K122=CURSOS!$D$8,"MODELO DE ATENCION PARA EVENTOS EMERGENTES EN SALUD MENTAL (CODIGO VERDE)",IF(K122=CURSOS!$D$9,"HUMANIZACION EN EL SERVICIO DE LA SALUD Y BUENAS PRACTICAS EN PACIENTE ",IF(K122=CURSOS!$D$10,"CLINICA DE HERIDAS ",IF(K122=CURSOS!$D$11,"TOMA DE CITOLOGIA CERVICO VAGINAL ",IF(K122=CURSOS!$D$12,"SOPORTE CARDIOVASCULAR AVANZADO (ACLS) ",IF(K122=CURSOS!$D$13,"CAMILLERO ",IF(K122=CURSOS!$D$14,"TOMA DE MUESTRAS Y LABORATORIO ",IF(K122=CURSOS!$D$15,"SOPORTE VITAL BASICO (BLS)",IF(K122=CURSOS!$D$16,"ATENCION A VICTIMAS DE VIOLENCIA SEXUAL ",IF(K122=CURSOS!$D$17,"PROGRAMADO AMPLIADO DE INMUNIZACION (PAI - COVID 19)",IF(K122=CURSOS!$D$18,"ATENCION INTEGRAL EN ENFERMEDADES PREVALENTES EN PRIMERA INFANCIA (AIEPI)",IF(K122=CURSOS!$D$19,"ADMINISTRACION DE MEDICAMENTOS, INYECTOLOGIA  Y CANALIZACION ",IF(K122=CURSOS!$D$20,"OPERADOR DE VEHICULOS DE EMERGENCIA (OVE)",IF(K122=CURSOS!$D$21,"INSTITUCIONES AMIGAS DE LA MUJER Y LA INFANCIA (IAMI)",IF(K122=CURSOS!$D$22,"CUIDADO DEL DONANTE DE ORGANOS",IF(K122=CURSOS!$D$23,"ATENCION A VICTIMAS POR VIOLENCIA DE GENERO",IF(K122=CURSOS!$D$24,"IGUALDAD DE GENERO EN LA SALUD",IF(K122=CURSOS!$D$25,"BRIGADA DE EMERGENCIA",IF(K122=CURSOS!$D$26,"MANEJO DEL DOLOR Y CUIDADOS PALIATIVOS",IF(K122=CURSOS!$D$27,"TOMA DE MUESTRAS Y LABORATORIO POCT",IF(K122=CURSOS!$D$28,"IMPLANTE SUBDERMICO DE DISPOSITIVO INTRAUTERINO",IF(K122=CURSOS!$D$29,"SALUD MENTAL",IF(K122=CURSOS!$D$30,"PRIMEROS AUXILIOS PSICOLOGICOS",IF(K122=CURSOS!$D$31,"ATENCION A VICTIMAS POR CONFLICTO ARMADO",IF(K122=CURSOS!$D$32,"MANIPULACION DE ALIMENTOS Y BPM",IF(K122=CURSOS!$D$33,"ATENCION A PERSONAS CON DISCAPACIDAD",IF(K122=CURSOS!$D$34,"CUIDADO INTEGRAL DEL PACIENTE ADULTO",IF(K122=CURSOS!$D$35,"MANEJO DEFENSIVO",IF(K122=CURSOS!$D$36,"SOPORTE CARDIOVASCULAR AVANZADO NEONATAL",IF(K122=CURSOS!$D$37,"SEGURIDAD DEL PACIENTE")))))))))))))))))))))))))))))))))))</f>
        <v xml:space="preserve">ATENCION A VICTIMAS DE VIOLENCIA SEXUAL </v>
      </c>
      <c r="M122" s="52" t="str">
        <f t="shared" si="11"/>
        <v>Hingrid Yurley Bautista Ortiz</v>
      </c>
      <c r="N122" s="52" t="str">
        <f t="shared" ref="N122:N125" si="13">+PROPER(M122)</f>
        <v>Hingrid Yurley Bautista Ortiz</v>
      </c>
      <c r="O122" s="52" t="str">
        <f t="shared" si="12"/>
        <v>Hingrid Yurley Bautista Ortiz-1090371225-VIOLENCIA SEXUAL</v>
      </c>
    </row>
    <row r="123" spans="1:15" s="154" customFormat="1" x14ac:dyDescent="0.2">
      <c r="A123" s="149">
        <v>122</v>
      </c>
      <c r="B123" s="149">
        <v>1084848195</v>
      </c>
      <c r="C123" s="149" t="s">
        <v>522</v>
      </c>
      <c r="D123" s="149" t="s">
        <v>458</v>
      </c>
      <c r="E123" s="149" t="s">
        <v>523</v>
      </c>
      <c r="F123" s="149" t="s">
        <v>524</v>
      </c>
      <c r="G123" s="150">
        <v>17</v>
      </c>
      <c r="H123" s="14" t="s">
        <v>181</v>
      </c>
      <c r="I123" s="14" t="s">
        <v>86</v>
      </c>
      <c r="J123" s="14" t="s">
        <v>511</v>
      </c>
      <c r="K123" s="15" t="s">
        <v>23</v>
      </c>
      <c r="L123" s="52" t="str">
        <f>IF(K123=CURSOS!$D$3,"DIPLOMADO EN ATENCION PRE-HOSPITALARIA",IF(K123=CURSOS!$D$4,"ACOMPAÑAMIENTO Y MANEJO DEL DUELO",IF(K123=CURSOS!$D$5,"ATENCION A VICTIMAS DE ATAQUE CON AGENTES QUIMICOS ",IF(K123=CURSOS!$D$6,"PRIMEROS AUXILIOS ",IF(K123=CURSOS!$D$7,"DIPLOMADO DE UNIDAD DE CUIDADOS INTENSIVOS (UCI)",IF(K123=CURSOS!$D$8,"MODELO DE ATENCION PARA EVENTOS EMERGENTES EN SALUD MENTAL (CODIGO VERDE)",IF(K123=CURSOS!$D$9,"HUMANIZACION EN EL SERVICIO DE LA SALUD Y BUENAS PRACTICAS EN PACIENTE ",IF(K123=CURSOS!$D$10,"CLINICA DE HERIDAS ",IF(K123=CURSOS!$D$11,"TOMA DE CITOLOGIA CERVICO VAGINAL ",IF(K123=CURSOS!$D$12,"SOPORTE CARDIOVASCULAR AVANZADO (ACLS) ",IF(K123=CURSOS!$D$13,"CAMILLERO ",IF(K123=CURSOS!$D$14,"TOMA DE MUESTRAS Y LABORATORIO ",IF(K123=CURSOS!$D$15,"SOPORTE VITAL BASICO (BLS)",IF(K123=CURSOS!$D$16,"ATENCION A VICTIMAS DE VIOLENCIA SEXUAL ",IF(K123=CURSOS!$D$17,"PROGRAMADO AMPLIADO DE INMUNIZACION (PAI - COVID 19)",IF(K123=CURSOS!$D$18,"ATENCION INTEGRAL EN ENFERMEDADES PREVALENTES EN PRIMERA INFANCIA (AIEPI)",IF(K123=CURSOS!$D$19,"ADMINISTRACION DE MEDICAMENTOS, INYECTOLOGIA  Y CANALIZACION ",IF(K123=CURSOS!$D$20,"OPERADOR DE VEHICULOS DE EMERGENCIA (OVE)",IF(K123=CURSOS!$D$21,"INSTITUCIONES AMIGAS DE LA MUJER Y LA INFANCIA (IAMI)",IF(K123=CURSOS!$D$22,"CUIDADO DEL DONANTE DE ORGANOS",IF(K123=CURSOS!$D$23,"ATENCION A VICTIMAS POR VIOLENCIA DE GENERO",IF(K123=CURSOS!$D$24,"IGUALDAD DE GENERO EN LA SALUD",IF(K123=CURSOS!$D$25,"BRIGADA DE EMERGENCIA",IF(K123=CURSOS!$D$26,"MANEJO DEL DOLOR Y CUIDADOS PALIATIVOS",IF(K123=CURSOS!$D$27,"TOMA DE MUESTRAS Y LABORATORIO POCT",IF(K123=CURSOS!$D$28,"IMPLANTE SUBDERMICO DE DISPOSITIVO INTRAUTERINO",IF(K123=CURSOS!$D$29,"SALUD MENTAL",IF(K123=CURSOS!$D$30,"PRIMEROS AUXILIOS PSICOLOGICOS",IF(K123=CURSOS!$D$31,"ATENCION A VICTIMAS POR CONFLICTO ARMADO",IF(K123=CURSOS!$D$32,"MANIPULACION DE ALIMENTOS Y BPM",IF(K123=CURSOS!$D$33,"ATENCION A PERSONAS CON DISCAPACIDAD",IF(K123=CURSOS!$D$34,"CUIDADO INTEGRAL DEL PACIENTE ADULTO",IF(K123=CURSOS!$D$35,"MANEJO DEFENSIVO",IF(K123=CURSOS!$D$36,"SOPORTE CARDIOVASCULAR AVANZADO NEONATAL",IF(K123=CURSOS!$D$37,"SEGURIDAD DEL PACIENTE")))))))))))))))))))))))))))))))))))</f>
        <v>ACOMPAÑAMIENTO Y MANEJO DEL DUELO</v>
      </c>
      <c r="M123" s="52" t="str">
        <f t="shared" si="11"/>
        <v>Alyss Yasmín Chalapud Vallejo</v>
      </c>
      <c r="N123" s="52" t="str">
        <f t="shared" si="13"/>
        <v>Alyss Yasmín Chalapud Vallejo</v>
      </c>
      <c r="O123" s="52" t="str">
        <f t="shared" si="12"/>
        <v>Alyss Yasmín Chalapud Vallejo-1084848195-DUELO</v>
      </c>
    </row>
    <row r="124" spans="1:15" s="154" customFormat="1" x14ac:dyDescent="0.2">
      <c r="A124" s="149">
        <v>123</v>
      </c>
      <c r="B124" s="149">
        <v>1084848195</v>
      </c>
      <c r="C124" s="149" t="s">
        <v>522</v>
      </c>
      <c r="D124" s="149" t="s">
        <v>458</v>
      </c>
      <c r="E124" s="149" t="s">
        <v>523</v>
      </c>
      <c r="F124" s="149" t="s">
        <v>524</v>
      </c>
      <c r="G124" s="150">
        <v>17</v>
      </c>
      <c r="H124" s="14" t="s">
        <v>181</v>
      </c>
      <c r="I124" s="14" t="s">
        <v>86</v>
      </c>
      <c r="J124" s="14" t="s">
        <v>511</v>
      </c>
      <c r="K124" s="15" t="s">
        <v>25</v>
      </c>
      <c r="L124" s="52" t="str">
        <f>IF(K124=CURSOS!$D$3,"DIPLOMADO EN ATENCION PRE-HOSPITALARIA",IF(K124=CURSOS!$D$4,"ACOMPAÑAMIENTO Y MANEJO DEL DUELO",IF(K124=CURSOS!$D$5,"ATENCION A VICTIMAS DE ATAQUE CON AGENTES QUIMICOS ",IF(K124=CURSOS!$D$6,"PRIMEROS AUXILIOS ",IF(K124=CURSOS!$D$7,"DIPLOMADO DE UNIDAD DE CUIDADOS INTENSIVOS (UCI)",IF(K124=CURSOS!$D$8,"MODELO DE ATENCION PARA EVENTOS EMERGENTES EN SALUD MENTAL (CODIGO VERDE)",IF(K124=CURSOS!$D$9,"HUMANIZACION EN EL SERVICIO DE LA SALUD Y BUENAS PRACTICAS EN PACIENTE ",IF(K124=CURSOS!$D$10,"CLINICA DE HERIDAS ",IF(K124=CURSOS!$D$11,"TOMA DE CITOLOGIA CERVICO VAGINAL ",IF(K124=CURSOS!$D$12,"SOPORTE CARDIOVASCULAR AVANZADO (ACLS) ",IF(K124=CURSOS!$D$13,"CAMILLERO ",IF(K124=CURSOS!$D$14,"TOMA DE MUESTRAS Y LABORATORIO ",IF(K124=CURSOS!$D$15,"SOPORTE VITAL BASICO (BLS)",IF(K124=CURSOS!$D$16,"ATENCION A VICTIMAS DE VIOLENCIA SEXUAL ",IF(K124=CURSOS!$D$17,"PROGRAMADO AMPLIADO DE INMUNIZACION (PAI - COVID 19)",IF(K124=CURSOS!$D$18,"ATENCION INTEGRAL EN ENFERMEDADES PREVALENTES EN PRIMERA INFANCIA (AIEPI)",IF(K124=CURSOS!$D$19,"ADMINISTRACION DE MEDICAMENTOS, INYECTOLOGIA  Y CANALIZACION ",IF(K124=CURSOS!$D$20,"OPERADOR DE VEHICULOS DE EMERGENCIA (OVE)",IF(K124=CURSOS!$D$21,"INSTITUCIONES AMIGAS DE LA MUJER Y LA INFANCIA (IAMI)",IF(K124=CURSOS!$D$22,"CUIDADO DEL DONANTE DE ORGANOS",IF(K124=CURSOS!$D$23,"ATENCION A VICTIMAS POR VIOLENCIA DE GENERO",IF(K124=CURSOS!$D$24,"IGUALDAD DE GENERO EN LA SALUD",IF(K124=CURSOS!$D$25,"BRIGADA DE EMERGENCIA",IF(K124=CURSOS!$D$26,"MANEJO DEL DOLOR Y CUIDADOS PALIATIVOS",IF(K124=CURSOS!$D$27,"TOMA DE MUESTRAS Y LABORATORIO POCT",IF(K124=CURSOS!$D$28,"IMPLANTE SUBDERMICO DE DISPOSITIVO INTRAUTERINO",IF(K124=CURSOS!$D$29,"SALUD MENTAL",IF(K124=CURSOS!$D$30,"PRIMEROS AUXILIOS PSICOLOGICOS",IF(K124=CURSOS!$D$31,"ATENCION A VICTIMAS POR CONFLICTO ARMADO",IF(K124=CURSOS!$D$32,"MANIPULACION DE ALIMENTOS Y BPM",IF(K124=CURSOS!$D$33,"ATENCION A PERSONAS CON DISCAPACIDAD",IF(K124=CURSOS!$D$34,"CUIDADO INTEGRAL DEL PACIENTE ADULTO",IF(K124=CURSOS!$D$35,"MANEJO DEFENSIVO",IF(K124=CURSOS!$D$36,"SOPORTE CARDIOVASCULAR AVANZADO NEONATAL",IF(K124=CURSOS!$D$37,"SEGURIDAD DEL PACIENTE")))))))))))))))))))))))))))))))))))</f>
        <v xml:space="preserve">ATENCION A VICTIMAS DE ATAQUE CON AGENTES QUIMICOS </v>
      </c>
      <c r="M124" s="52" t="str">
        <f t="shared" si="11"/>
        <v>Alyss Yasmín Chalapud Vallejo</v>
      </c>
      <c r="N124" s="52" t="str">
        <f t="shared" si="13"/>
        <v>Alyss Yasmín Chalapud Vallejo</v>
      </c>
      <c r="O124" s="52" t="str">
        <f t="shared" si="12"/>
        <v>Alyss Yasmín Chalapud Vallejo-1084848195-QUIMICOS</v>
      </c>
    </row>
    <row r="125" spans="1:15" s="154" customFormat="1" x14ac:dyDescent="0.2">
      <c r="A125" s="149">
        <v>124</v>
      </c>
      <c r="B125" s="149">
        <v>1084848195</v>
      </c>
      <c r="C125" s="149" t="s">
        <v>522</v>
      </c>
      <c r="D125" s="149" t="s">
        <v>458</v>
      </c>
      <c r="E125" s="149" t="s">
        <v>523</v>
      </c>
      <c r="F125" s="149" t="s">
        <v>524</v>
      </c>
      <c r="G125" s="150">
        <v>17</v>
      </c>
      <c r="H125" s="14" t="s">
        <v>181</v>
      </c>
      <c r="I125" s="14" t="s">
        <v>86</v>
      </c>
      <c r="J125" s="14" t="s">
        <v>511</v>
      </c>
      <c r="K125" s="15" t="s">
        <v>43</v>
      </c>
      <c r="L125" s="52" t="str">
        <f>IF(K125=CURSOS!$D$3,"DIPLOMADO EN ATENCION PRE-HOSPITALARIA",IF(K125=CURSOS!$D$4,"ACOMPAÑAMIENTO Y MANEJO DEL DUELO",IF(K125=CURSOS!$D$5,"ATENCION A VICTIMAS DE ATAQUE CON AGENTES QUIMICOS ",IF(K125=CURSOS!$D$6,"PRIMEROS AUXILIOS ",IF(K125=CURSOS!$D$7,"DIPLOMADO DE UNIDAD DE CUIDADOS INTENSIVOS (UCI)",IF(K125=CURSOS!$D$8,"MODELO DE ATENCION PARA EVENTOS EMERGENTES EN SALUD MENTAL (CODIGO VERDE)",IF(K125=CURSOS!$D$9,"HUMANIZACION EN EL SERVICIO DE LA SALUD Y BUENAS PRACTICAS EN PACIENTE ",IF(K125=CURSOS!$D$10,"CLINICA DE HERIDAS ",IF(K125=CURSOS!$D$11,"TOMA DE CITOLOGIA CERVICO VAGINAL ",IF(K125=CURSOS!$D$12,"SOPORTE CARDIOVASCULAR AVANZADO (ACLS) ",IF(K125=CURSOS!$D$13,"CAMILLERO ",IF(K125=CURSOS!$D$14,"TOMA DE MUESTRAS Y LABORATORIO ",IF(K125=CURSOS!$D$15,"SOPORTE VITAL BASICO (BLS)",IF(K125=CURSOS!$D$16,"ATENCION A VICTIMAS DE VIOLENCIA SEXUAL ",IF(K125=CURSOS!$D$17,"PROGRAMADO AMPLIADO DE INMUNIZACION (PAI - COVID 19)",IF(K125=CURSOS!$D$18,"ATENCION INTEGRAL EN ENFERMEDADES PREVALENTES EN PRIMERA INFANCIA (AIEPI)",IF(K125=CURSOS!$D$19,"ADMINISTRACION DE MEDICAMENTOS, INYECTOLOGIA  Y CANALIZACION ",IF(K125=CURSOS!$D$20,"OPERADOR DE VEHICULOS DE EMERGENCIA (OVE)",IF(K125=CURSOS!$D$21,"INSTITUCIONES AMIGAS DE LA MUJER Y LA INFANCIA (IAMI)",IF(K125=CURSOS!$D$22,"CUIDADO DEL DONANTE DE ORGANOS",IF(K125=CURSOS!$D$23,"ATENCION A VICTIMAS POR VIOLENCIA DE GENERO",IF(K125=CURSOS!$D$24,"IGUALDAD DE GENERO EN LA SALUD",IF(K125=CURSOS!$D$25,"BRIGADA DE EMERGENCIA",IF(K125=CURSOS!$D$26,"MANEJO DEL DOLOR Y CUIDADOS PALIATIVOS",IF(K125=CURSOS!$D$27,"TOMA DE MUESTRAS Y LABORATORIO POCT",IF(K125=CURSOS!$D$28,"IMPLANTE SUBDERMICO DE DISPOSITIVO INTRAUTERINO",IF(K125=CURSOS!$D$29,"SALUD MENTAL",IF(K125=CURSOS!$D$30,"PRIMEROS AUXILIOS PSICOLOGICOS",IF(K125=CURSOS!$D$31,"ATENCION A VICTIMAS POR CONFLICTO ARMADO",IF(K125=CURSOS!$D$32,"MANIPULACION DE ALIMENTOS Y BPM",IF(K125=CURSOS!$D$33,"ATENCION A PERSONAS CON DISCAPACIDAD",IF(K125=CURSOS!$D$34,"CUIDADO INTEGRAL DEL PACIENTE ADULTO",IF(K125=CURSOS!$D$35,"MANEJO DEFENSIVO",IF(K125=CURSOS!$D$36,"SOPORTE CARDIOVASCULAR AVANZADO NEONATAL",IF(K125=CURSOS!$D$37,"SEGURIDAD DEL PACIENTE")))))))))))))))))))))))))))))))))))</f>
        <v xml:space="preserve">ATENCION A VICTIMAS DE VIOLENCIA SEXUAL </v>
      </c>
      <c r="M125" s="52" t="str">
        <f t="shared" si="11"/>
        <v>Alyss Yasmín Chalapud Vallejo</v>
      </c>
      <c r="N125" s="52" t="str">
        <f t="shared" si="13"/>
        <v>Alyss Yasmín Chalapud Vallejo</v>
      </c>
      <c r="O125" s="52" t="str">
        <f t="shared" si="12"/>
        <v>Alyss Yasmín Chalapud Vallejo-1084848195-VIOLENCIA SEXUAL</v>
      </c>
    </row>
    <row r="126" spans="1:15" s="155" customFormat="1" x14ac:dyDescent="0.2">
      <c r="G126" s="156"/>
      <c r="H126" s="147"/>
      <c r="I126" s="147"/>
      <c r="J126" s="147"/>
      <c r="K126" s="148"/>
    </row>
    <row r="127" spans="1:15" s="155" customFormat="1" x14ac:dyDescent="0.2">
      <c r="K127" s="148"/>
    </row>
    <row r="128" spans="1:15" s="155" customFormat="1" x14ac:dyDescent="0.2">
      <c r="K128" s="148"/>
    </row>
    <row r="129" spans="11:11" s="155" customFormat="1" x14ac:dyDescent="0.2">
      <c r="K129" s="148"/>
    </row>
    <row r="130" spans="11:11" s="155" customFormat="1" x14ac:dyDescent="0.2">
      <c r="K130" s="148"/>
    </row>
    <row r="131" spans="11:11" s="155" customFormat="1" x14ac:dyDescent="0.2">
      <c r="K131" s="148"/>
    </row>
  </sheetData>
  <autoFilter ref="A1:O125" xr:uid="{00000000-0001-0000-0200-000000000000}"/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131"/>
  <sheetViews>
    <sheetView zoomScale="55" zoomScaleNormal="55" workbookViewId="0">
      <selection activeCell="E38" sqref="E38"/>
    </sheetView>
  </sheetViews>
  <sheetFormatPr baseColWidth="10" defaultRowHeight="15" x14ac:dyDescent="0.2"/>
  <cols>
    <col min="1" max="1" width="5.5703125" style="151" customWidth="1"/>
    <col min="2" max="2" width="45.140625" style="151" bestFit="1" customWidth="1"/>
    <col min="3" max="3" width="29" style="151" bestFit="1" customWidth="1"/>
    <col min="4" max="4" width="31.28515625" style="151" bestFit="1" customWidth="1"/>
    <col min="5" max="5" width="27.42578125" style="151" bestFit="1" customWidth="1"/>
    <col min="6" max="6" width="30" style="151" bestFit="1" customWidth="1"/>
    <col min="7" max="7" width="7.140625" style="151" bestFit="1" customWidth="1"/>
    <col min="8" max="8" width="10" style="151" bestFit="1" customWidth="1"/>
    <col min="9" max="9" width="26.140625" style="151" bestFit="1" customWidth="1"/>
    <col min="10" max="10" width="28.7109375" style="151" bestFit="1" customWidth="1"/>
    <col min="11" max="11" width="25.5703125" style="151" bestFit="1" customWidth="1"/>
    <col min="12" max="12" width="16" style="151" bestFit="1" customWidth="1"/>
    <col min="13" max="13" width="44.28515625" style="151" bestFit="1" customWidth="1"/>
    <col min="14" max="14" width="12.140625" style="151" bestFit="1" customWidth="1"/>
    <col min="15" max="15" width="62.42578125" style="151" bestFit="1" customWidth="1"/>
    <col min="16" max="16" width="54.42578125" style="151" bestFit="1" customWidth="1"/>
    <col min="17" max="17" width="43.28515625" style="151" bestFit="1" customWidth="1"/>
    <col min="18" max="18" width="75.42578125" style="151" bestFit="1" customWidth="1"/>
    <col min="19" max="16384" width="11.42578125" style="151"/>
  </cols>
  <sheetData>
    <row r="1" spans="1:18" s="56" customFormat="1" ht="15.75" x14ac:dyDescent="0.25">
      <c r="A1" s="57" t="s">
        <v>71</v>
      </c>
      <c r="B1" s="49" t="s">
        <v>0</v>
      </c>
      <c r="C1" s="26" t="s">
        <v>1</v>
      </c>
      <c r="D1" s="26" t="s">
        <v>2</v>
      </c>
      <c r="E1" s="26" t="s">
        <v>3</v>
      </c>
      <c r="F1" s="26" t="s">
        <v>4</v>
      </c>
      <c r="G1" s="48" t="s">
        <v>5</v>
      </c>
      <c r="H1" s="27" t="s">
        <v>6</v>
      </c>
      <c r="I1" s="28" t="s">
        <v>7</v>
      </c>
      <c r="J1" s="29" t="s">
        <v>8</v>
      </c>
      <c r="K1" s="30" t="s">
        <v>9</v>
      </c>
      <c r="L1" s="30" t="s">
        <v>72</v>
      </c>
      <c r="M1" s="30" t="s">
        <v>10</v>
      </c>
      <c r="N1" s="31" t="s">
        <v>11</v>
      </c>
      <c r="O1" s="58" t="s">
        <v>15</v>
      </c>
      <c r="P1" s="32" t="s">
        <v>16</v>
      </c>
      <c r="Q1" s="32" t="s">
        <v>17</v>
      </c>
      <c r="R1" s="32" t="s">
        <v>18</v>
      </c>
    </row>
    <row r="2" spans="1:18" s="17" customFormat="1" x14ac:dyDescent="0.2">
      <c r="A2" s="85">
        <v>1</v>
      </c>
      <c r="B2" s="17">
        <v>1087422624</v>
      </c>
      <c r="C2" s="86" t="s">
        <v>665</v>
      </c>
      <c r="D2" s="86" t="s">
        <v>666</v>
      </c>
      <c r="E2" s="86" t="s">
        <v>667</v>
      </c>
      <c r="F2" s="86" t="s">
        <v>668</v>
      </c>
      <c r="G2" s="101">
        <v>28</v>
      </c>
      <c r="H2" s="14" t="s">
        <v>181</v>
      </c>
      <c r="I2" s="16"/>
      <c r="J2" s="19">
        <v>55000</v>
      </c>
      <c r="K2" s="16"/>
      <c r="L2" s="14" t="s">
        <v>86</v>
      </c>
      <c r="M2" s="14" t="s">
        <v>664</v>
      </c>
      <c r="N2" s="15" t="s">
        <v>19</v>
      </c>
      <c r="O2" s="100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EL SERVICIO DE LA SALUD Y BUENAS PRACTICAS EN PACIENTE ",IF(N2=CURSOS!$D$10,"CLINICA DE HERIDAS ",IF(N2=CURSOS!$D$11,"TOMA DE CITOLOGIA CERVICO VAGINAL ",IF(N2=CURSOS!$D$12,"SOPORTE CARDIOVASCULAR AVANZADO (ACLS) ",IF(N2=CURSOS!$D$13,"CAMILLERO ",IF(N2=CURSOS!$D$14,"TOMA DE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INYECTOLOGIA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DE MUESTRAS Y LABORATORIO POCT",IF(N2=CURSOS!$D$28,"IMPLANTE SUBDERMICO DE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ADULTO",IF(N2=CURSOS!$D$35,"MANEJO DEFENSIVO",IF(N2=CURSOS!$D$36,"SOPORTE CARDIOVASCULAR AVANZADO NEONATAL",IF(N2=CURSOS!$D$37,"SEGURIDAD DEL PACIENTE")))))))))))))))))))))))))))))))))))</f>
        <v>SOPORTE VITAL BASICO (BLS)</v>
      </c>
      <c r="P2" s="52" t="str">
        <f t="shared" ref="P2:P39" si="0">CONCATENATE(E2," ",F2," ",C2," ",D2)</f>
        <v>YESICA  LORENA CHALPARTAR  PULISTAR</v>
      </c>
      <c r="Q2" s="52" t="str">
        <f>+PROPER(P2)</f>
        <v>Yesica  Lorena Chalpartar  Pulistar</v>
      </c>
      <c r="R2" s="52" t="str">
        <f t="shared" ref="R2:R39" si="1">CONCATENATE(P2,"-",B2,"-",N2)</f>
        <v>YESICA  LORENA CHALPARTAR  PULISTAR-1087422624-BLS</v>
      </c>
    </row>
    <row r="3" spans="1:18" s="98" customFormat="1" x14ac:dyDescent="0.2">
      <c r="A3" s="85">
        <v>2</v>
      </c>
      <c r="B3" s="17">
        <v>1087413915</v>
      </c>
      <c r="C3" s="86" t="s">
        <v>669</v>
      </c>
      <c r="D3" s="86" t="s">
        <v>670</v>
      </c>
      <c r="E3" s="86" t="s">
        <v>671</v>
      </c>
      <c r="F3" s="86" t="s">
        <v>672</v>
      </c>
      <c r="G3" s="101">
        <v>28</v>
      </c>
      <c r="H3" s="14" t="s">
        <v>181</v>
      </c>
      <c r="I3" s="16"/>
      <c r="J3" s="19">
        <v>55000</v>
      </c>
      <c r="K3" s="16"/>
      <c r="L3" s="14" t="s">
        <v>86</v>
      </c>
      <c r="M3" s="14" t="s">
        <v>664</v>
      </c>
      <c r="N3" s="15" t="s">
        <v>19</v>
      </c>
      <c r="O3" s="100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EL SERVICIO DE LA SALUD Y BUENAS PRACTICAS EN PACIENTE ",IF(N3=CURSOS!$D$10,"CLINICA DE HERIDAS ",IF(N3=CURSOS!$D$11,"TOMA DE CITOLOGIA CERVICO VAGINAL ",IF(N3=CURSOS!$D$12,"SOPORTE CARDIOVASCULAR AVANZADO (ACLS) ",IF(N3=CURSOS!$D$13,"CAMILLERO ",IF(N3=CURSOS!$D$14,"TOMA DE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INYECTOLOGIA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DE MUESTRAS Y LABORATORIO POCT",IF(N3=CURSOS!$D$28,"IMPLANTE SUBDERMICO DE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ADULTO",IF(N3=CURSOS!$D$35,"MANEJO DEFENSIVO",IF(N3=CURSOS!$D$36,"SOPORTE CARDIOVASCULAR AVANZADO NEONATAL",IF(N3=CURSOS!$D$37,"SEGURIDAD DEL PACIENTE")))))))))))))))))))))))))))))))))))</f>
        <v>SOPORTE VITAL BASICO (BLS)</v>
      </c>
      <c r="P3" s="52" t="str">
        <f t="shared" si="0"/>
        <v>RUBY  DEL CARMEN VILLOTA  ASMAZA</v>
      </c>
      <c r="Q3" s="52" t="str">
        <f t="shared" ref="Q3:Q39" si="2">+PROPER(P3)</f>
        <v>Ruby  Del Carmen Villota  Asmaza</v>
      </c>
      <c r="R3" s="52" t="str">
        <f t="shared" si="1"/>
        <v>RUBY  DEL CARMEN VILLOTA  ASMAZA-1087413915-BLS</v>
      </c>
    </row>
    <row r="4" spans="1:18" x14ac:dyDescent="0.2">
      <c r="A4" s="149">
        <v>3</v>
      </c>
      <c r="B4" s="17">
        <v>36934172</v>
      </c>
      <c r="C4" s="149" t="s">
        <v>673</v>
      </c>
      <c r="D4" s="149" t="s">
        <v>674</v>
      </c>
      <c r="E4" s="149" t="s">
        <v>675</v>
      </c>
      <c r="F4" s="149" t="s">
        <v>676</v>
      </c>
      <c r="G4" s="150">
        <v>28</v>
      </c>
      <c r="H4" s="14" t="s">
        <v>181</v>
      </c>
      <c r="I4" s="149"/>
      <c r="J4" s="19">
        <v>55000</v>
      </c>
      <c r="K4" s="149"/>
      <c r="L4" s="14" t="s">
        <v>86</v>
      </c>
      <c r="M4" s="14" t="s">
        <v>664</v>
      </c>
      <c r="N4" s="149" t="s">
        <v>19</v>
      </c>
      <c r="O4" s="100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EL SERVICIO DE LA SALUD Y BUENAS PRACTICAS EN PACIENTE ",IF(N4=CURSOS!$D$10,"CLINICA DE HERIDAS ",IF(N4=CURSOS!$D$11,"TOMA DE CITOLOGIA CERVICO VAGINAL ",IF(N4=CURSOS!$D$12,"SOPORTE CARDIOVASCULAR AVANZADO (ACLS) ",IF(N4=CURSOS!$D$13,"CAMILLERO ",IF(N4=CURSOS!$D$14,"TOMA DE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INYECTOLOGIA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DE MUESTRAS Y LABORATORIO POCT",IF(N4=CURSOS!$D$28,"IMPLANTE SUBDERMICO DE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ADULTO",IF(N4=CURSOS!$D$35,"MANEJO DEFENSIVO",IF(N4=CURSOS!$D$36,"SOPORTE CARDIOVASCULAR AVANZADO NEONATAL",IF(N4=CURSOS!$D$37,"SEGURIDAD DEL PACIENTE")))))))))))))))))))))))))))))))))))</f>
        <v>SOPORTE VITAL BASICO (BLS)</v>
      </c>
      <c r="P4" s="52" t="str">
        <f t="shared" si="0"/>
        <v>YOLANDA  DEL ROSARIO MALUA   BACCA</v>
      </c>
      <c r="Q4" s="52" t="str">
        <f t="shared" si="2"/>
        <v>Yolanda  Del Rosario Malua   Bacca</v>
      </c>
      <c r="R4" s="52" t="str">
        <f t="shared" si="1"/>
        <v>YOLANDA  DEL ROSARIO MALUA   BACCA-36934172-BLS</v>
      </c>
    </row>
    <row r="5" spans="1:18" x14ac:dyDescent="0.2">
      <c r="A5" s="149">
        <v>4</v>
      </c>
      <c r="B5" s="17">
        <v>1087415464</v>
      </c>
      <c r="C5" s="149" t="s">
        <v>677</v>
      </c>
      <c r="D5" s="149" t="s">
        <v>678</v>
      </c>
      <c r="E5" s="149" t="s">
        <v>679</v>
      </c>
      <c r="F5" s="149" t="s">
        <v>680</v>
      </c>
      <c r="G5" s="150">
        <v>28</v>
      </c>
      <c r="H5" s="14" t="s">
        <v>181</v>
      </c>
      <c r="I5" s="149"/>
      <c r="J5" s="19">
        <v>55000</v>
      </c>
      <c r="K5" s="149"/>
      <c r="L5" s="14" t="s">
        <v>86</v>
      </c>
      <c r="M5" s="14" t="s">
        <v>664</v>
      </c>
      <c r="N5" s="149" t="s">
        <v>19</v>
      </c>
      <c r="O5" s="100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EL SERVICIO DE LA SALUD Y BUENAS PRACTICAS EN PACIENTE ",IF(N5=CURSOS!$D$10,"CLINICA DE HERIDAS ",IF(N5=CURSOS!$D$11,"TOMA DE CITOLOGIA CERVICO VAGINAL ",IF(N5=CURSOS!$D$12,"SOPORTE CARDIOVASCULAR AVANZADO (ACLS) ",IF(N5=CURSOS!$D$13,"CAMILLERO ",IF(N5=CURSOS!$D$14,"TOMA DE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INYECTOLOGIA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DE MUESTRAS Y LABORATORIO POCT",IF(N5=CURSOS!$D$28,"IMPLANTE SUBDERMICO DE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ADULTO",IF(N5=CURSOS!$D$35,"MANEJO DEFENSIVO",IF(N5=CURSOS!$D$36,"SOPORTE CARDIOVASCULAR AVANZADO NEONATAL",IF(N5=CURSOS!$D$37,"SEGURIDAD DEL PACIENTE")))))))))))))))))))))))))))))))))))</f>
        <v>SOPORTE VITAL BASICO (BLS)</v>
      </c>
      <c r="P5" s="52" t="str">
        <f t="shared" si="0"/>
        <v>DIANA  MARIA EGUENIA BOLAÑOS CORTES</v>
      </c>
      <c r="Q5" s="52" t="str">
        <f t="shared" si="2"/>
        <v>Diana  Maria Eguenia Bolaños Cortes</v>
      </c>
      <c r="R5" s="52" t="str">
        <f t="shared" si="1"/>
        <v>DIANA  MARIA EGUENIA BOLAÑOS CORTES-1087415464-BLS</v>
      </c>
    </row>
    <row r="6" spans="1:18" x14ac:dyDescent="0.2">
      <c r="A6" s="149">
        <v>5</v>
      </c>
      <c r="B6" s="149">
        <v>1087409798</v>
      </c>
      <c r="C6" s="149" t="s">
        <v>681</v>
      </c>
      <c r="D6" s="149" t="s">
        <v>682</v>
      </c>
      <c r="E6" s="149" t="s">
        <v>683</v>
      </c>
      <c r="F6" s="149" t="s">
        <v>684</v>
      </c>
      <c r="G6" s="150">
        <v>28</v>
      </c>
      <c r="H6" s="14" t="s">
        <v>181</v>
      </c>
      <c r="I6" s="149"/>
      <c r="J6" s="19">
        <v>55000</v>
      </c>
      <c r="K6" s="149"/>
      <c r="L6" s="14" t="s">
        <v>86</v>
      </c>
      <c r="M6" s="14" t="s">
        <v>664</v>
      </c>
      <c r="N6" s="149" t="s">
        <v>19</v>
      </c>
      <c r="O6" s="100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EL SERVICIO DE LA SALUD Y BUENAS PRACTICAS EN PACIENTE ",IF(N6=CURSOS!$D$10,"CLINICA DE HERIDAS ",IF(N6=CURSOS!$D$11,"TOMA DE CITOLOGIA CERVICO VAGINAL ",IF(N6=CURSOS!$D$12,"SOPORTE CARDIOVASCULAR AVANZADO (ACLS) ",IF(N6=CURSOS!$D$13,"CAMILLERO ",IF(N6=CURSOS!$D$14,"TOMA DE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INYECTOLOGIA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DE MUESTRAS Y LABORATORIO POCT",IF(N6=CURSOS!$D$28,"IMPLANTE SUBDERMICO DE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ADULTO",IF(N6=CURSOS!$D$35,"MANEJO DEFENSIVO",IF(N6=CURSOS!$D$36,"SOPORTE CARDIOVASCULAR AVANZADO NEONATAL",IF(N6=CURSOS!$D$37,"SEGURIDAD DEL PACIENTE")))))))))))))))))))))))))))))))))))</f>
        <v>SOPORTE VITAL BASICO (BLS)</v>
      </c>
      <c r="P6" s="52" t="str">
        <f t="shared" si="0"/>
        <v>ANGELA  CRISTINA ORDOÑEZ  QUEMAC</v>
      </c>
      <c r="Q6" s="52" t="str">
        <f t="shared" si="2"/>
        <v>Angela  Cristina Ordoñez  Quemac</v>
      </c>
      <c r="R6" s="52" t="str">
        <f t="shared" si="1"/>
        <v>ANGELA  CRISTINA ORDOÑEZ  QUEMAC-1087409798-BLS</v>
      </c>
    </row>
    <row r="7" spans="1:18" x14ac:dyDescent="0.2">
      <c r="A7" s="149">
        <v>6</v>
      </c>
      <c r="B7" s="149">
        <v>13063897</v>
      </c>
      <c r="C7" s="149" t="s">
        <v>685</v>
      </c>
      <c r="D7" s="149"/>
      <c r="E7" s="149" t="s">
        <v>686</v>
      </c>
      <c r="F7" s="149" t="s">
        <v>687</v>
      </c>
      <c r="G7" s="150">
        <v>28</v>
      </c>
      <c r="H7" s="14" t="s">
        <v>181</v>
      </c>
      <c r="I7" s="149"/>
      <c r="J7" s="19">
        <v>55000</v>
      </c>
      <c r="K7" s="149"/>
      <c r="L7" s="14" t="s">
        <v>86</v>
      </c>
      <c r="M7" s="14" t="s">
        <v>664</v>
      </c>
      <c r="N7" s="149" t="s">
        <v>19</v>
      </c>
      <c r="O7" s="100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EL SERVICIO DE LA SALUD Y BUENAS PRACTICAS EN PACIENTE ",IF(N7=CURSOS!$D$10,"CLINICA DE HERIDAS ",IF(N7=CURSOS!$D$11,"TOMA DE CITOLOGIA CERVICO VAGINAL ",IF(N7=CURSOS!$D$12,"SOPORTE CARDIOVASCULAR AVANZADO (ACLS) ",IF(N7=CURSOS!$D$13,"CAMILLERO ",IF(N7=CURSOS!$D$14,"TOMA DE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INYECTOLOGIA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DE MUESTRAS Y LABORATORIO POCT",IF(N7=CURSOS!$D$28,"IMPLANTE SUBDERMICO DE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ADULTO",IF(N7=CURSOS!$D$35,"MANEJO DEFENSIVO",IF(N7=CURSOS!$D$36,"SOPORTE CARDIOVASCULAR AVANZADO NEONATAL",IF(N7=CURSOS!$D$37,"SEGURIDAD DEL PACIENTE")))))))))))))))))))))))))))))))))))</f>
        <v>SOPORTE VITAL BASICO (BLS)</v>
      </c>
      <c r="P7" s="52" t="str">
        <f t="shared" si="0"/>
        <v xml:space="preserve">JOSE  HERNANDO LOPEZ  </v>
      </c>
      <c r="Q7" s="52" t="str">
        <f t="shared" si="2"/>
        <v xml:space="preserve">Jose  Hernando Lopez  </v>
      </c>
      <c r="R7" s="52" t="str">
        <f t="shared" si="1"/>
        <v>JOSE  HERNANDO LOPEZ  -13063897-BLS</v>
      </c>
    </row>
    <row r="8" spans="1:18" x14ac:dyDescent="0.2">
      <c r="A8" s="149">
        <v>7</v>
      </c>
      <c r="B8" s="149">
        <v>1087414603</v>
      </c>
      <c r="C8" s="149" t="s">
        <v>688</v>
      </c>
      <c r="D8" s="149" t="s">
        <v>689</v>
      </c>
      <c r="E8" s="149" t="s">
        <v>690</v>
      </c>
      <c r="F8" s="149" t="s">
        <v>691</v>
      </c>
      <c r="G8" s="150">
        <v>28</v>
      </c>
      <c r="H8" s="14" t="s">
        <v>181</v>
      </c>
      <c r="I8" s="149"/>
      <c r="J8" s="19">
        <v>55000</v>
      </c>
      <c r="K8" s="149"/>
      <c r="L8" s="14" t="s">
        <v>86</v>
      </c>
      <c r="M8" s="14" t="s">
        <v>664</v>
      </c>
      <c r="N8" s="149" t="s">
        <v>19</v>
      </c>
      <c r="O8" s="100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EL SERVICIO DE LA SALUD Y BUENAS PRACTICAS EN PACIENTE ",IF(N8=CURSOS!$D$10,"CLINICA DE HERIDAS ",IF(N8=CURSOS!$D$11,"TOMA DE CITOLOGIA CERVICO VAGINAL ",IF(N8=CURSOS!$D$12,"SOPORTE CARDIOVASCULAR AVANZADO (ACLS) ",IF(N8=CURSOS!$D$13,"CAMILLERO ",IF(N8=CURSOS!$D$14,"TOMA DE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INYECTOLOGIA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DE MUESTRAS Y LABORATORIO POCT",IF(N8=CURSOS!$D$28,"IMPLANTE SUBDERMICO DE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ADULTO",IF(N8=CURSOS!$D$35,"MANEJO DEFENSIVO",IF(N8=CURSOS!$D$36,"SOPORTE CARDIOVASCULAR AVANZADO NEONATAL",IF(N8=CURSOS!$D$37,"SEGURIDAD DEL PACIENTE")))))))))))))))))))))))))))))))))))</f>
        <v>SOPORTE VITAL BASICO (BLS)</v>
      </c>
      <c r="P8" s="52" t="str">
        <f t="shared" si="0"/>
        <v>YENNY  YOHANA  ROSERO  ASCUNTAR</v>
      </c>
      <c r="Q8" s="52" t="str">
        <f t="shared" si="2"/>
        <v>Yenny  Yohana  Rosero  Ascuntar</v>
      </c>
      <c r="R8" s="52" t="str">
        <f t="shared" si="1"/>
        <v>YENNY  YOHANA  ROSERO  ASCUNTAR-1087414603-BLS</v>
      </c>
    </row>
    <row r="9" spans="1:18" x14ac:dyDescent="0.2">
      <c r="A9" s="149">
        <v>8</v>
      </c>
      <c r="B9" s="149">
        <v>1086498402</v>
      </c>
      <c r="C9" s="149" t="s">
        <v>692</v>
      </c>
      <c r="D9" s="149" t="s">
        <v>693</v>
      </c>
      <c r="E9" s="149" t="s">
        <v>683</v>
      </c>
      <c r="F9" s="149" t="s">
        <v>694</v>
      </c>
      <c r="G9" s="150">
        <v>28</v>
      </c>
      <c r="H9" s="14" t="s">
        <v>181</v>
      </c>
      <c r="I9" s="149"/>
      <c r="J9" s="19">
        <v>55000</v>
      </c>
      <c r="K9" s="149"/>
      <c r="L9" s="14" t="s">
        <v>86</v>
      </c>
      <c r="M9" s="14" t="s">
        <v>664</v>
      </c>
      <c r="N9" s="149" t="s">
        <v>19</v>
      </c>
      <c r="O9" s="100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EL SERVICIO DE LA SALUD Y BUENAS PRACTICAS EN PACIENTE ",IF(N9=CURSOS!$D$10,"CLINICA DE HERIDAS ",IF(N9=CURSOS!$D$11,"TOMA DE CITOLOGIA CERVICO VAGINAL ",IF(N9=CURSOS!$D$12,"SOPORTE CARDIOVASCULAR AVANZADO (ACLS) ",IF(N9=CURSOS!$D$13,"CAMILLERO ",IF(N9=CURSOS!$D$14,"TOMA DE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INYECTOLOGIA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DE MUESTRAS Y LABORATORIO POCT",IF(N9=CURSOS!$D$28,"IMPLANTE SUBDERMICO DE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ADULTO",IF(N9=CURSOS!$D$35,"MANEJO DEFENSIVO",IF(N9=CURSOS!$D$36,"SOPORTE CARDIOVASCULAR AVANZADO NEONATAL",IF(N9=CURSOS!$D$37,"SEGURIDAD DEL PACIENTE")))))))))))))))))))))))))))))))))))</f>
        <v>SOPORTE VITAL BASICO (BLS)</v>
      </c>
      <c r="P9" s="52" t="str">
        <f t="shared" si="0"/>
        <v>ANGELA  YADIRA QUISTIAL  ARROYO</v>
      </c>
      <c r="Q9" s="52" t="str">
        <f t="shared" si="2"/>
        <v>Angela  Yadira Quistial  Arroyo</v>
      </c>
      <c r="R9" s="52" t="str">
        <f t="shared" si="1"/>
        <v>ANGELA  YADIRA QUISTIAL  ARROYO-1086498402-BLS</v>
      </c>
    </row>
    <row r="10" spans="1:18" x14ac:dyDescent="0.2">
      <c r="A10" s="149">
        <v>9</v>
      </c>
      <c r="B10" s="149">
        <v>1087424123</v>
      </c>
      <c r="C10" s="149" t="s">
        <v>695</v>
      </c>
      <c r="D10" s="149" t="s">
        <v>695</v>
      </c>
      <c r="E10" s="149" t="s">
        <v>696</v>
      </c>
      <c r="F10" s="149" t="s">
        <v>351</v>
      </c>
      <c r="G10" s="150">
        <v>28</v>
      </c>
      <c r="H10" s="14" t="s">
        <v>181</v>
      </c>
      <c r="I10" s="149"/>
      <c r="J10" s="19">
        <v>55000</v>
      </c>
      <c r="K10" s="149"/>
      <c r="L10" s="14" t="s">
        <v>86</v>
      </c>
      <c r="M10" s="14" t="s">
        <v>664</v>
      </c>
      <c r="N10" s="149" t="s">
        <v>19</v>
      </c>
      <c r="O10" s="100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EL SERVICIO DE LA SALUD Y BUENAS PRACTICAS EN PACIENTE ",IF(N10=CURSOS!$D$10,"CLINICA DE HERIDAS ",IF(N10=CURSOS!$D$11,"TOMA DE CITOLOGIA CERVICO VAGINAL ",IF(N10=CURSOS!$D$12,"SOPORTE CARDIOVASCULAR AVANZADO (ACLS) ",IF(N10=CURSOS!$D$13,"CAMILLERO ",IF(N10=CURSOS!$D$14,"TOMA DE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INYECTOLOGIA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DE MUESTRAS Y LABORATORIO POCT",IF(N10=CURSOS!$D$28,"IMPLANTE SUBDERMICO DE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ADULTO",IF(N10=CURSOS!$D$35,"MANEJO DEFENSIVO",IF(N10=CURSOS!$D$36,"SOPORTE CARDIOVASCULAR AVANZADO NEONATAL",IF(N10=CURSOS!$D$37,"SEGURIDAD DEL PACIENTE")))))))))))))))))))))))))))))))))))</f>
        <v>SOPORTE VITAL BASICO (BLS)</v>
      </c>
      <c r="P10" s="52" t="str">
        <f t="shared" si="0"/>
        <v>Deissy Alexandra MERA MERA</v>
      </c>
      <c r="Q10" s="52" t="str">
        <f t="shared" si="2"/>
        <v>Deissy Alexandra Mera Mera</v>
      </c>
      <c r="R10" s="52" t="str">
        <f t="shared" si="1"/>
        <v>Deissy Alexandra MERA MERA-1087424123-BLS</v>
      </c>
    </row>
    <row r="11" spans="1:18" x14ac:dyDescent="0.2">
      <c r="A11" s="85">
        <v>10</v>
      </c>
      <c r="B11" s="149">
        <v>1087419649</v>
      </c>
      <c r="C11" s="149" t="s">
        <v>697</v>
      </c>
      <c r="D11" s="149" t="s">
        <v>698</v>
      </c>
      <c r="E11" s="149" t="s">
        <v>699</v>
      </c>
      <c r="F11" s="149" t="s">
        <v>700</v>
      </c>
      <c r="G11" s="101">
        <v>28</v>
      </c>
      <c r="H11" s="14" t="s">
        <v>181</v>
      </c>
      <c r="I11" s="149"/>
      <c r="J11" s="19">
        <v>55000</v>
      </c>
      <c r="K11" s="149"/>
      <c r="L11" s="14" t="s">
        <v>86</v>
      </c>
      <c r="M11" s="14" t="s">
        <v>664</v>
      </c>
      <c r="N11" s="149" t="s">
        <v>19</v>
      </c>
      <c r="O11" s="100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EL SERVICIO DE LA SALUD Y BUENAS PRACTICAS EN PACIENTE ",IF(N11=CURSOS!$D$10,"CLINICA DE HERIDAS ",IF(N11=CURSOS!$D$11,"TOMA DE CITOLOGIA CERVICO VAGINAL ",IF(N11=CURSOS!$D$12,"SOPORTE CARDIOVASCULAR AVANZADO (ACLS) ",IF(N11=CURSOS!$D$13,"CAMILLERO ",IF(N11=CURSOS!$D$14,"TOMA DE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INYECTOLOGIA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DE MUESTRAS Y LABORATORIO POCT",IF(N11=CURSOS!$D$28,"IMPLANTE SUBDERMICO DE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ADULTO",IF(N11=CURSOS!$D$35,"MANEJO DEFENSIVO",IF(N11=CURSOS!$D$36,"SOPORTE CARDIOVASCULAR AVANZADO NEONATAL",IF(N11=CURSOS!$D$37,"SEGURIDAD DEL PACIENTE")))))))))))))))))))))))))))))))))))</f>
        <v>SOPORTE VITAL BASICO (BLS)</v>
      </c>
      <c r="P11" s="52" t="str">
        <f t="shared" si="0"/>
        <v>DARY  MILENA BRAVO DELGADO</v>
      </c>
      <c r="Q11" s="52" t="str">
        <f t="shared" si="2"/>
        <v>Dary  Milena Bravo Delgado</v>
      </c>
      <c r="R11" s="52" t="str">
        <f t="shared" si="1"/>
        <v>DARY  MILENA BRAVO DELGADO-1087419649-BLS</v>
      </c>
    </row>
    <row r="12" spans="1:18" x14ac:dyDescent="0.2">
      <c r="A12" s="85">
        <v>11</v>
      </c>
      <c r="B12" s="149">
        <v>1087414025</v>
      </c>
      <c r="C12" s="149" t="s">
        <v>688</v>
      </c>
      <c r="D12" s="149" t="s">
        <v>701</v>
      </c>
      <c r="E12" s="149" t="s">
        <v>702</v>
      </c>
      <c r="F12" s="149" t="s">
        <v>700</v>
      </c>
      <c r="G12" s="101">
        <v>28</v>
      </c>
      <c r="H12" s="14" t="s">
        <v>181</v>
      </c>
      <c r="I12" s="149"/>
      <c r="J12" s="19">
        <v>55000</v>
      </c>
      <c r="K12" s="149"/>
      <c r="L12" s="14" t="s">
        <v>86</v>
      </c>
      <c r="M12" s="14" t="s">
        <v>664</v>
      </c>
      <c r="N12" s="15" t="s">
        <v>19</v>
      </c>
      <c r="O12" s="100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EL SERVICIO DE LA SALUD Y BUENAS PRACTICAS EN PACIENTE ",IF(N12=CURSOS!$D$10,"CLINICA DE HERIDAS ",IF(N12=CURSOS!$D$11,"TOMA DE CITOLOGIA CERVICO VAGINAL ",IF(N12=CURSOS!$D$12,"SOPORTE CARDIOVASCULAR AVANZADO (ACLS) ",IF(N12=CURSOS!$D$13,"CAMILLERO ",IF(N12=CURSOS!$D$14,"TOMA DE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INYECTOLOGIA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DE MUESTRAS Y LABORATORIO POCT",IF(N12=CURSOS!$D$28,"IMPLANTE SUBDERMICO DE DISPOSITIVO INTRAUTERINO",IF(N12=CURSOS!$D$29,"SALUD MENTAL",IF(N12=CURSOS!$D$30,"PRIMEROS AUXILIOS PSICOLOGICOS",IF(N12=CURSOS!$D$31,"ATENCION A VICTIMAS POR CONFLICTO ARMADO",IF(N12=CURSOS!$D$32,"MANIPULACION DE ALIMENTOS Y BPM",IF(N12=CURSOS!$D$33,"ATENCION A PERSONAS CON DISCAPACIDAD",IF(N12=CURSOS!$D$34,"CUIDADO INTEGRAL DEL PACIENTE ADULTO",IF(N12=CURSOS!$D$35,"MANEJO DEFENSIVO",IF(N12=CURSOS!$D$36,"SOPORTE CARDIOVASCULAR AVANZADO NEONATAL",IF(N12=CURSOS!$D$37,"SEGURIDAD DEL PACIENTE")))))))))))))))))))))))))))))))))))</f>
        <v>SOPORTE VITAL BASICO (BLS)</v>
      </c>
      <c r="P12" s="52" t="str">
        <f t="shared" si="0"/>
        <v>CLAUDIA  MILENA ROSERO  AREVALO</v>
      </c>
      <c r="Q12" s="52" t="str">
        <f t="shared" si="2"/>
        <v>Claudia  Milena Rosero  Arevalo</v>
      </c>
      <c r="R12" s="52" t="str">
        <f t="shared" si="1"/>
        <v>CLAUDIA  MILENA ROSERO  AREVALO-1087414025-BLS</v>
      </c>
    </row>
    <row r="13" spans="1:18" x14ac:dyDescent="0.2">
      <c r="A13" s="149">
        <v>12</v>
      </c>
      <c r="B13" s="149">
        <v>1004543344</v>
      </c>
      <c r="C13" s="149" t="s">
        <v>701</v>
      </c>
      <c r="D13" s="149" t="s">
        <v>703</v>
      </c>
      <c r="E13" s="149" t="s">
        <v>704</v>
      </c>
      <c r="F13" s="149" t="s">
        <v>705</v>
      </c>
      <c r="G13" s="150">
        <v>28</v>
      </c>
      <c r="H13" s="14" t="s">
        <v>181</v>
      </c>
      <c r="I13" s="149"/>
      <c r="J13" s="19">
        <v>55000</v>
      </c>
      <c r="K13" s="149"/>
      <c r="L13" s="14" t="s">
        <v>86</v>
      </c>
      <c r="M13" s="14" t="s">
        <v>664</v>
      </c>
      <c r="N13" s="15" t="s">
        <v>19</v>
      </c>
      <c r="O13" s="100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EL SERVICIO DE LA SALUD Y BUENAS PRACTICAS EN PACIENTE ",IF(N13=CURSOS!$D$10,"CLINICA DE HERIDAS ",IF(N13=CURSOS!$D$11,"TOMA DE CITOLOGIA CERVICO VAGINAL ",IF(N13=CURSOS!$D$12,"SOPORTE CARDIOVASCULAR AVANZADO (ACLS) ",IF(N13=CURSOS!$D$13,"CAMILLERO ",IF(N13=CURSOS!$D$14,"TOMA DE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INYECTOLOGIA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DE MUESTRAS Y LABORATORIO POCT",IF(N13=CURSOS!$D$28,"IMPLANTE SUBDERMICO DE DISPOSITIVO INTRAUTERINO",IF(N13=CURSOS!$D$29,"SALUD MENTAL",IF(N13=CURSOS!$D$30,"PRIMEROS AUXILIOS PSICOLOGICOS",IF(N13=CURSOS!$D$31,"ATENCION A VICTIMAS POR CONFLICTO ARMADO",IF(N13=CURSOS!$D$32,"MANIPULACION DE ALIMENTOS Y BPM",IF(N13=CURSOS!$D$33,"ATENCION A PERSONAS CON DISCAPACIDAD",IF(N13=CURSOS!$D$34,"CUIDADO INTEGRAL DEL PACIENTE ADULTO",IF(N13=CURSOS!$D$35,"MANEJO DEFENSIVO",IF(N13=CURSOS!$D$36,"SOPORTE CARDIOVASCULAR AVANZADO NEONATAL",IF(N13=CURSOS!$D$37,"SEGURIDAD DEL PACIENTE")))))))))))))))))))))))))))))))))))</f>
        <v>SOPORTE VITAL BASICO (BLS)</v>
      </c>
      <c r="P13" s="52" t="str">
        <f t="shared" si="0"/>
        <v>DANIELA CAROLINA AREVALO SUARES</v>
      </c>
      <c r="Q13" s="52" t="str">
        <f t="shared" si="2"/>
        <v>Daniela Carolina Arevalo Suares</v>
      </c>
      <c r="R13" s="52" t="str">
        <f t="shared" si="1"/>
        <v>DANIELA CAROLINA AREVALO SUARES-1004543344-BLS</v>
      </c>
    </row>
    <row r="14" spans="1:18" x14ac:dyDescent="0.2">
      <c r="A14" s="149">
        <v>13</v>
      </c>
      <c r="B14" s="149">
        <v>1087418167</v>
      </c>
      <c r="C14" s="149" t="s">
        <v>706</v>
      </c>
      <c r="D14" s="149" t="s">
        <v>707</v>
      </c>
      <c r="E14" s="149" t="s">
        <v>708</v>
      </c>
      <c r="F14" s="149" t="s">
        <v>709</v>
      </c>
      <c r="G14" s="150">
        <v>28</v>
      </c>
      <c r="H14" s="14" t="s">
        <v>181</v>
      </c>
      <c r="I14" s="149"/>
      <c r="J14" s="19">
        <v>55000</v>
      </c>
      <c r="K14" s="149"/>
      <c r="L14" s="14" t="s">
        <v>86</v>
      </c>
      <c r="M14" s="14" t="s">
        <v>664</v>
      </c>
      <c r="N14" s="149" t="s">
        <v>19</v>
      </c>
      <c r="O14" s="100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EL SERVICIO DE LA SALUD Y BUENAS PRACTICAS EN PACIENTE ",IF(N14=CURSOS!$D$10,"CLINICA DE HERIDAS ",IF(N14=CURSOS!$D$11,"TOMA DE CITOLOGIA CERVICO VAGINAL ",IF(N14=CURSOS!$D$12,"SOPORTE CARDIOVASCULAR AVANZADO (ACLS) ",IF(N14=CURSOS!$D$13,"CAMILLERO ",IF(N14=CURSOS!$D$14,"TOMA DE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INYECTOLOGIA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DE MUESTRAS Y LABORATORIO POCT",IF(N14=CURSOS!$D$28,"IMPLANTE SUBDERMICO DE DISPOSITIVO INTRAUTERINO",IF(N14=CURSOS!$D$29,"SALUD MENTAL",IF(N14=CURSOS!$D$30,"PRIMEROS AUXILIOS PSICOLOGICOS",IF(N14=CURSOS!$D$31,"ATENCION A VICTIMAS POR CONFLICTO ARMADO",IF(N14=CURSOS!$D$32,"MANIPULACION DE ALIMENTOS Y BPM",IF(N14=CURSOS!$D$33,"ATENCION A PERSONAS CON DISCAPACIDAD",IF(N14=CURSOS!$D$34,"CUIDADO INTEGRAL DEL PACIENTE ADULTO",IF(N14=CURSOS!$D$35,"MANEJO DEFENSIVO",IF(N14=CURSOS!$D$36,"SOPORTE CARDIOVASCULAR AVANZADO NEONATAL",IF(N14=CURSOS!$D$37,"SEGURIDAD DEL PACIENTE")))))))))))))))))))))))))))))))))))</f>
        <v>SOPORTE VITAL BASICO (BLS)</v>
      </c>
      <c r="P14" s="52" t="str">
        <f t="shared" si="0"/>
        <v>PAOLA LORENA MORA TEQUIN</v>
      </c>
      <c r="Q14" s="52" t="str">
        <f t="shared" si="2"/>
        <v>Paola Lorena Mora Tequin</v>
      </c>
      <c r="R14" s="52" t="str">
        <f t="shared" si="1"/>
        <v>PAOLA LORENA MORA TEQUIN-1087418167-BLS</v>
      </c>
    </row>
    <row r="15" spans="1:18" x14ac:dyDescent="0.2">
      <c r="A15" s="149">
        <v>14</v>
      </c>
      <c r="B15" s="149">
        <v>87061828</v>
      </c>
      <c r="C15" s="149" t="s">
        <v>710</v>
      </c>
      <c r="D15" s="149"/>
      <c r="E15" s="149" t="s">
        <v>711</v>
      </c>
      <c r="F15" s="149" t="s">
        <v>712</v>
      </c>
      <c r="G15" s="150">
        <v>28</v>
      </c>
      <c r="H15" s="14" t="s">
        <v>181</v>
      </c>
      <c r="I15" s="149"/>
      <c r="J15" s="19">
        <v>55000</v>
      </c>
      <c r="K15" s="149"/>
      <c r="L15" s="14" t="s">
        <v>86</v>
      </c>
      <c r="M15" s="14" t="s">
        <v>664</v>
      </c>
      <c r="N15" s="149" t="s">
        <v>19</v>
      </c>
      <c r="O15" s="100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EL SERVICIO DE LA SALUD Y BUENAS PRACTICAS EN PACIENTE ",IF(N15=CURSOS!$D$10,"CLINICA DE HERIDAS ",IF(N15=CURSOS!$D$11,"TOMA DE CITOLOGIA CERVICO VAGINAL ",IF(N15=CURSOS!$D$12,"SOPORTE CARDIOVASCULAR AVANZADO (ACLS) ",IF(N15=CURSOS!$D$13,"CAMILLERO ",IF(N15=CURSOS!$D$14,"TOMA DE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INYECTOLOGIA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DE MUESTRAS Y LABORATORIO POCT",IF(N15=CURSOS!$D$28,"IMPLANTE SUBDERMICO DE DISPOSITIVO INTRAUTERINO",IF(N15=CURSOS!$D$29,"SALUD MENTAL",IF(N15=CURSOS!$D$30,"PRIMEROS AUXILIOS PSICOLOGICOS",IF(N15=CURSOS!$D$31,"ATENCION A VICTIMAS POR CONFLICTO ARMADO",IF(N15=CURSOS!$D$32,"MANIPULACION DE ALIMENTOS Y BPM",IF(N15=CURSOS!$D$33,"ATENCION A PERSONAS CON DISCAPACIDAD",IF(N15=CURSOS!$D$34,"CUIDADO INTEGRAL DEL PACIENTE ADULTO",IF(N15=CURSOS!$D$35,"MANEJO DEFENSIVO",IF(N15=CURSOS!$D$36,"SOPORTE CARDIOVASCULAR AVANZADO NEONATAL",IF(N15=CURSOS!$D$37,"SEGURIDAD DEL PACIENTE")))))))))))))))))))))))))))))))))))</f>
        <v>SOPORTE VITAL BASICO (BLS)</v>
      </c>
      <c r="P15" s="52" t="str">
        <f t="shared" si="0"/>
        <v xml:space="preserve">FRACINSCO JAVIER PORTILLO </v>
      </c>
      <c r="Q15" s="52" t="str">
        <f t="shared" si="2"/>
        <v xml:space="preserve">Fracinsco Javier Portillo </v>
      </c>
      <c r="R15" s="52" t="str">
        <f t="shared" si="1"/>
        <v>FRACINSCO JAVIER PORTILLO -87061828-BLS</v>
      </c>
    </row>
    <row r="16" spans="1:18" x14ac:dyDescent="0.2">
      <c r="A16" s="149">
        <v>15</v>
      </c>
      <c r="B16" s="149">
        <v>13065271</v>
      </c>
      <c r="C16" s="149" t="s">
        <v>713</v>
      </c>
      <c r="D16" s="149" t="s">
        <v>714</v>
      </c>
      <c r="E16" s="149" t="s">
        <v>715</v>
      </c>
      <c r="F16" s="149" t="s">
        <v>716</v>
      </c>
      <c r="G16" s="150">
        <v>28</v>
      </c>
      <c r="H16" s="14" t="s">
        <v>181</v>
      </c>
      <c r="I16" s="149"/>
      <c r="J16" s="19">
        <v>55000</v>
      </c>
      <c r="K16" s="149"/>
      <c r="L16" s="14" t="s">
        <v>86</v>
      </c>
      <c r="M16" s="14" t="s">
        <v>664</v>
      </c>
      <c r="N16" s="149" t="s">
        <v>19</v>
      </c>
      <c r="O16" s="100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EL SERVICIO DE LA SALUD Y BUENAS PRACTICAS EN PACIENTE ",IF(N16=CURSOS!$D$10,"CLINICA DE HERIDAS ",IF(N16=CURSOS!$D$11,"TOMA DE CITOLOGIA CERVICO VAGINAL ",IF(N16=CURSOS!$D$12,"SOPORTE CARDIOVASCULAR AVANZADO (ACLS) ",IF(N16=CURSOS!$D$13,"CAMILLERO ",IF(N16=CURSOS!$D$14,"TOMA DE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INYECTOLOGIA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DE MUESTRAS Y LABORATORIO POCT",IF(N16=CURSOS!$D$28,"IMPLANTE SUBDERMICO DE DISPOSITIVO INTRAUTERINO",IF(N16=CURSOS!$D$29,"SALUD MENTAL",IF(N16=CURSOS!$D$30,"PRIMEROS AUXILIOS PSICOLOGICOS",IF(N16=CURSOS!$D$31,"ATENCION A VICTIMAS POR CONFLICTO ARMADO",IF(N16=CURSOS!$D$32,"MANIPULACION DE ALIMENTOS Y BPM",IF(N16=CURSOS!$D$33,"ATENCION A PERSONAS CON DISCAPACIDAD",IF(N16=CURSOS!$D$34,"CUIDADO INTEGRAL DEL PACIENTE ADULTO",IF(N16=CURSOS!$D$35,"MANEJO DEFENSIVO",IF(N16=CURSOS!$D$36,"SOPORTE CARDIOVASCULAR AVANZADO NEONATAL",IF(N16=CURSOS!$D$37,"SEGURIDAD DEL PACIENTE")))))))))))))))))))))))))))))))))))</f>
        <v>SOPORTE VITAL BASICO (BLS)</v>
      </c>
      <c r="P16" s="52" t="str">
        <f t="shared" si="0"/>
        <v>EDUARDO SIGIFREDO TELLO BENAVIDES</v>
      </c>
      <c r="Q16" s="52" t="str">
        <f t="shared" si="2"/>
        <v>Eduardo Sigifredo Tello Benavides</v>
      </c>
      <c r="R16" s="52" t="str">
        <f t="shared" si="1"/>
        <v>EDUARDO SIGIFREDO TELLO BENAVIDES-13065271-BLS</v>
      </c>
    </row>
    <row r="17" spans="1:18" x14ac:dyDescent="0.2">
      <c r="A17" s="149">
        <v>16</v>
      </c>
      <c r="B17" s="149">
        <v>1087411067</v>
      </c>
      <c r="C17" s="149" t="s">
        <v>717</v>
      </c>
      <c r="D17" s="149" t="s">
        <v>718</v>
      </c>
      <c r="E17" s="149" t="s">
        <v>719</v>
      </c>
      <c r="F17" s="149" t="s">
        <v>720</v>
      </c>
      <c r="G17" s="150">
        <v>28</v>
      </c>
      <c r="H17" s="14" t="s">
        <v>181</v>
      </c>
      <c r="I17" s="149"/>
      <c r="J17" s="19">
        <v>55000</v>
      </c>
      <c r="K17" s="149"/>
      <c r="L17" s="14" t="s">
        <v>86</v>
      </c>
      <c r="M17" s="14" t="s">
        <v>664</v>
      </c>
      <c r="N17" s="149" t="s">
        <v>19</v>
      </c>
      <c r="O17" s="100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EL SERVICIO DE LA SALUD Y BUENAS PRACTICAS EN PACIENTE ",IF(N17=CURSOS!$D$10,"CLINICA DE HERIDAS ",IF(N17=CURSOS!$D$11,"TOMA DE CITOLOGIA CERVICO VAGINAL ",IF(N17=CURSOS!$D$12,"SOPORTE CARDIOVASCULAR AVANZADO (ACLS) ",IF(N17=CURSOS!$D$13,"CAMILLERO ",IF(N17=CURSOS!$D$14,"TOMA DE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INYECTOLOGIA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DE MUESTRAS Y LABORATORIO POCT",IF(N17=CURSOS!$D$28,"IMPLANTE SUBDERMICO DE DISPOSITIVO INTRAUTERINO",IF(N17=CURSOS!$D$29,"SALUD MENTAL",IF(N17=CURSOS!$D$30,"PRIMEROS AUXILIOS PSICOLOGICOS",IF(N17=CURSOS!$D$31,"ATENCION A VICTIMAS POR CONFLICTO ARMADO",IF(N17=CURSOS!$D$32,"MANIPULACION DE ALIMENTOS Y BPM",IF(N17=CURSOS!$D$33,"ATENCION A PERSONAS CON DISCAPACIDAD",IF(N17=CURSOS!$D$34,"CUIDADO INTEGRAL DEL PACIENTE ADULTO",IF(N17=CURSOS!$D$35,"MANEJO DEFENSIVO",IF(N17=CURSOS!$D$36,"SOPORTE CARDIOVASCULAR AVANZADO NEONATAL",IF(N17=CURSOS!$D$37,"SEGURIDAD DEL PACIENTE")))))))))))))))))))))))))))))))))))</f>
        <v>SOPORTE VITAL BASICO (BLS)</v>
      </c>
      <c r="P17" s="52" t="str">
        <f t="shared" si="0"/>
        <v>JOHANA CRISTINA SALAZAR MAINGUEZ</v>
      </c>
      <c r="Q17" s="52" t="str">
        <f t="shared" si="2"/>
        <v>Johana Cristina Salazar Mainguez</v>
      </c>
      <c r="R17" s="52" t="str">
        <f t="shared" si="1"/>
        <v>JOHANA CRISTINA SALAZAR MAINGUEZ-1087411067-BLS</v>
      </c>
    </row>
    <row r="18" spans="1:18" x14ac:dyDescent="0.2">
      <c r="A18" s="149">
        <v>17</v>
      </c>
      <c r="B18" s="149">
        <v>1087422975</v>
      </c>
      <c r="C18" s="149" t="s">
        <v>721</v>
      </c>
      <c r="D18" s="149" t="s">
        <v>722</v>
      </c>
      <c r="E18" s="149" t="s">
        <v>723</v>
      </c>
      <c r="F18" s="149" t="s">
        <v>724</v>
      </c>
      <c r="G18" s="150">
        <v>28</v>
      </c>
      <c r="H18" s="14" t="s">
        <v>181</v>
      </c>
      <c r="I18" s="149"/>
      <c r="J18" s="19">
        <v>55000</v>
      </c>
      <c r="K18" s="149"/>
      <c r="L18" s="14" t="s">
        <v>86</v>
      </c>
      <c r="M18" s="14" t="s">
        <v>664</v>
      </c>
      <c r="N18" s="149" t="s">
        <v>19</v>
      </c>
      <c r="O18" s="100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EL SERVICIO DE LA SALUD Y BUENAS PRACTICAS EN PACIENTE ",IF(N18=CURSOS!$D$10,"CLINICA DE HERIDAS ",IF(N18=CURSOS!$D$11,"TOMA DE CITOLOGIA CERVICO VAGINAL ",IF(N18=CURSOS!$D$12,"SOPORTE CARDIOVASCULAR AVANZADO (ACLS) ",IF(N18=CURSOS!$D$13,"CAMILLERO ",IF(N18=CURSOS!$D$14,"TOMA DE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INYECTOLOGIA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DE MUESTRAS Y LABORATORIO POCT",IF(N18=CURSOS!$D$28,"IMPLANTE SUBDERMICO DE DISPOSITIVO INTRAUTERINO",IF(N18=CURSOS!$D$29,"SALUD MENTAL",IF(N18=CURSOS!$D$30,"PRIMEROS AUXILIOS PSICOLOGICOS",IF(N18=CURSOS!$D$31,"ATENCION A VICTIMAS POR CONFLICTO ARMADO",IF(N18=CURSOS!$D$32,"MANIPULACION DE ALIMENTOS Y BPM",IF(N18=CURSOS!$D$33,"ATENCION A PERSONAS CON DISCAPACIDAD",IF(N18=CURSOS!$D$34,"CUIDADO INTEGRAL DEL PACIENTE ADULTO",IF(N18=CURSOS!$D$35,"MANEJO DEFENSIVO",IF(N18=CURSOS!$D$36,"SOPORTE CARDIOVASCULAR AVANZADO NEONATAL",IF(N18=CURSOS!$D$37,"SEGURIDAD DEL PACIENTE")))))))))))))))))))))))))))))))))))</f>
        <v>SOPORTE VITAL BASICO (BLS)</v>
      </c>
      <c r="P18" s="52" t="str">
        <f t="shared" si="0"/>
        <v>YECICA KATERINE TARAPUES QUISTIAL</v>
      </c>
      <c r="Q18" s="52" t="str">
        <f t="shared" si="2"/>
        <v>Yecica Katerine Tarapues Quistial</v>
      </c>
      <c r="R18" s="52" t="str">
        <f t="shared" si="1"/>
        <v>YECICA KATERINE TARAPUES QUISTIAL-1087422975-BLS</v>
      </c>
    </row>
    <row r="19" spans="1:18" x14ac:dyDescent="0.2">
      <c r="A19" s="149">
        <v>18</v>
      </c>
      <c r="B19" s="149">
        <v>1004625728</v>
      </c>
      <c r="C19" s="149" t="s">
        <v>710</v>
      </c>
      <c r="D19" s="149" t="s">
        <v>725</v>
      </c>
      <c r="E19" s="149" t="s">
        <v>726</v>
      </c>
      <c r="F19" s="149" t="s">
        <v>727</v>
      </c>
      <c r="G19" s="150">
        <v>28</v>
      </c>
      <c r="H19" s="14" t="s">
        <v>181</v>
      </c>
      <c r="I19" s="149"/>
      <c r="J19" s="19">
        <v>55000</v>
      </c>
      <c r="K19" s="149"/>
      <c r="L19" s="14" t="s">
        <v>86</v>
      </c>
      <c r="M19" s="14" t="s">
        <v>664</v>
      </c>
      <c r="N19" s="149" t="s">
        <v>19</v>
      </c>
      <c r="O19" s="100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EL SERVICIO DE LA SALUD Y BUENAS PRACTICAS EN PACIENTE ",IF(N19=CURSOS!$D$10,"CLINICA DE HERIDAS ",IF(N19=CURSOS!$D$11,"TOMA DE CITOLOGIA CERVICO VAGINAL ",IF(N19=CURSOS!$D$12,"SOPORTE CARDIOVASCULAR AVANZADO (ACLS) ",IF(N19=CURSOS!$D$13,"CAMILLERO ",IF(N19=CURSOS!$D$14,"TOMA DE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INYECTOLOGIA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DE MUESTRAS Y LABORATORIO POCT",IF(N19=CURSOS!$D$28,"IMPLANTE SUBDERMICO DE DISPOSITIVO INTRAUTERINO",IF(N19=CURSOS!$D$29,"SALUD MENTAL",IF(N19=CURSOS!$D$30,"PRIMEROS AUXILIOS PSICOLOGICOS",IF(N19=CURSOS!$D$31,"ATENCION A VICTIMAS POR CONFLICTO ARMADO",IF(N19=CURSOS!$D$32,"MANIPULACION DE ALIMENTOS Y BPM",IF(N19=CURSOS!$D$33,"ATENCION A PERSONAS CON DISCAPACIDAD",IF(N19=CURSOS!$D$34,"CUIDADO INTEGRAL DEL PACIENTE ADULTO",IF(N19=CURSOS!$D$35,"MANEJO DEFENSIVO",IF(N19=CURSOS!$D$36,"SOPORTE CARDIOVASCULAR AVANZADO NEONATAL",IF(N19=CURSOS!$D$37,"SEGURIDAD DEL PACIENTE")))))))))))))))))))))))))))))))))))</f>
        <v>SOPORTE VITAL BASICO (BLS)</v>
      </c>
      <c r="P19" s="52" t="str">
        <f t="shared" si="0"/>
        <v>DAYRA YISELA PORTILLO ROSERO</v>
      </c>
      <c r="Q19" s="52" t="str">
        <f t="shared" si="2"/>
        <v>Dayra Yisela Portillo Rosero</v>
      </c>
      <c r="R19" s="52" t="str">
        <f t="shared" si="1"/>
        <v>DAYRA YISELA PORTILLO ROSERO-1004625728-BLS</v>
      </c>
    </row>
    <row r="20" spans="1:18" x14ac:dyDescent="0.2">
      <c r="A20" s="85">
        <v>19</v>
      </c>
      <c r="B20" s="149">
        <v>1087426326</v>
      </c>
      <c r="C20" s="149" t="s">
        <v>728</v>
      </c>
      <c r="D20" s="149" t="s">
        <v>729</v>
      </c>
      <c r="E20" s="149" t="s">
        <v>730</v>
      </c>
      <c r="F20" s="149" t="s">
        <v>731</v>
      </c>
      <c r="G20" s="101">
        <v>28</v>
      </c>
      <c r="H20" s="14" t="s">
        <v>181</v>
      </c>
      <c r="I20" s="149"/>
      <c r="J20" s="19">
        <v>55000</v>
      </c>
      <c r="K20" s="149"/>
      <c r="L20" s="14" t="s">
        <v>86</v>
      </c>
      <c r="M20" s="14" t="s">
        <v>664</v>
      </c>
      <c r="N20" s="149" t="s">
        <v>19</v>
      </c>
      <c r="O20" s="100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EL SERVICIO DE LA SALUD Y BUENAS PRACTICAS EN PACIENTE ",IF(N20=CURSOS!$D$10,"CLINICA DE HERIDAS ",IF(N20=CURSOS!$D$11,"TOMA DE CITOLOGIA CERVICO VAGINAL ",IF(N20=CURSOS!$D$12,"SOPORTE CARDIOVASCULAR AVANZADO (ACLS) ",IF(N20=CURSOS!$D$13,"CAMILLERO ",IF(N20=CURSOS!$D$14,"TOMA DE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INYECTOLOGIA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DE MUESTRAS Y LABORATORIO POCT",IF(N20=CURSOS!$D$28,"IMPLANTE SUBDERMICO DE DISPOSITIVO INTRAUTERINO",IF(N20=CURSOS!$D$29,"SALUD MENTAL",IF(N20=CURSOS!$D$30,"PRIMEROS AUXILIOS PSICOLOGICOS",IF(N20=CURSOS!$D$31,"ATENCION A VICTIMAS POR CONFLICTO ARMADO",IF(N20=CURSOS!$D$32,"MANIPULACION DE ALIMENTOS Y BPM",IF(N20=CURSOS!$D$33,"ATENCION A PERSONAS CON DISCAPACIDAD",IF(N20=CURSOS!$D$34,"CUIDADO INTEGRAL DEL PACIENTE ADULTO",IF(N20=CURSOS!$D$35,"MANEJO DEFENSIVO",IF(N20=CURSOS!$D$36,"SOPORTE CARDIOVASCULAR AVANZADO NEONATAL",IF(N20=CURSOS!$D$37,"SEGURIDAD DEL PACIENTE")))))))))))))))))))))))))))))))))))</f>
        <v>SOPORTE VITAL BASICO (BLS)</v>
      </c>
      <c r="P20" s="52" t="str">
        <f t="shared" si="0"/>
        <v>JULIETH CAMILA MARTINEZ PASMIÑO</v>
      </c>
      <c r="Q20" s="52" t="str">
        <f t="shared" si="2"/>
        <v>Julieth Camila Martinez Pasmiño</v>
      </c>
      <c r="R20" s="52" t="str">
        <f t="shared" si="1"/>
        <v>JULIETH CAMILA MARTINEZ PASMIÑO-1087426326-BLS</v>
      </c>
    </row>
    <row r="21" spans="1:18" x14ac:dyDescent="0.2">
      <c r="A21" s="85">
        <v>20</v>
      </c>
      <c r="B21" s="149">
        <v>1086499665</v>
      </c>
      <c r="C21" s="149" t="s">
        <v>714</v>
      </c>
      <c r="D21" s="149" t="s">
        <v>732</v>
      </c>
      <c r="E21" s="149" t="s">
        <v>733</v>
      </c>
      <c r="F21" s="149" t="s">
        <v>734</v>
      </c>
      <c r="G21" s="101">
        <v>28</v>
      </c>
      <c r="H21" s="14" t="s">
        <v>181</v>
      </c>
      <c r="I21" s="149"/>
      <c r="J21" s="19">
        <v>55000</v>
      </c>
      <c r="K21" s="149"/>
      <c r="L21" s="14" t="s">
        <v>86</v>
      </c>
      <c r="M21" s="14" t="s">
        <v>664</v>
      </c>
      <c r="N21" s="149" t="s">
        <v>19</v>
      </c>
      <c r="O21" s="100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EL SERVICIO DE LA SALUD Y BUENAS PRACTICAS EN PACIENTE ",IF(N21=CURSOS!$D$10,"CLINICA DE HERIDAS ",IF(N21=CURSOS!$D$11,"TOMA DE CITOLOGIA CERVICO VAGINAL ",IF(N21=CURSOS!$D$12,"SOPORTE CARDIOVASCULAR AVANZADO (ACLS) ",IF(N21=CURSOS!$D$13,"CAMILLERO ",IF(N21=CURSOS!$D$14,"TOMA DE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INYECTOLOGIA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DE MUESTRAS Y LABORATORIO POCT",IF(N21=CURSOS!$D$28,"IMPLANTE SUBDERMICO DE DISPOSITIVO INTRAUTERINO",IF(N21=CURSOS!$D$29,"SALUD MENTAL",IF(N21=CURSOS!$D$30,"PRIMEROS AUXILIOS PSICOLOGICOS",IF(N21=CURSOS!$D$31,"ATENCION A VICTIMAS POR CONFLICTO ARMADO",IF(N21=CURSOS!$D$32,"MANIPULACION DE ALIMENTOS Y BPM",IF(N21=CURSOS!$D$33,"ATENCION A PERSONAS CON DISCAPACIDAD",IF(N21=CURSOS!$D$34,"CUIDADO INTEGRAL DEL PACIENTE ADULTO",IF(N21=CURSOS!$D$35,"MANEJO DEFENSIVO",IF(N21=CURSOS!$D$36,"SOPORTE CARDIOVASCULAR AVANZADO NEONATAL",IF(N21=CURSOS!$D$37,"SEGURIDAD DEL PACIENTE")))))))))))))))))))))))))))))))))))</f>
        <v>SOPORTE VITAL BASICO (BLS)</v>
      </c>
      <c r="P21" s="52" t="str">
        <f t="shared" si="0"/>
        <v>JESUS ANTONIO BENAVIDES ERASO</v>
      </c>
      <c r="Q21" s="52" t="str">
        <f t="shared" si="2"/>
        <v>Jesus Antonio Benavides Eraso</v>
      </c>
      <c r="R21" s="52" t="str">
        <f t="shared" si="1"/>
        <v>JESUS ANTONIO BENAVIDES ERASO-1086499665-BLS</v>
      </c>
    </row>
    <row r="22" spans="1:18" x14ac:dyDescent="0.2">
      <c r="A22" s="149">
        <v>21</v>
      </c>
      <c r="B22" s="149">
        <v>1087415957</v>
      </c>
      <c r="C22" s="149" t="s">
        <v>735</v>
      </c>
      <c r="D22" s="149" t="s">
        <v>736</v>
      </c>
      <c r="E22" s="149" t="s">
        <v>737</v>
      </c>
      <c r="F22" s="149" t="s">
        <v>738</v>
      </c>
      <c r="G22" s="150">
        <v>28</v>
      </c>
      <c r="H22" s="14" t="s">
        <v>181</v>
      </c>
      <c r="I22" s="149"/>
      <c r="J22" s="19">
        <v>55000</v>
      </c>
      <c r="K22" s="149"/>
      <c r="L22" s="14" t="s">
        <v>86</v>
      </c>
      <c r="M22" s="14" t="s">
        <v>664</v>
      </c>
      <c r="N22" s="15" t="s">
        <v>19</v>
      </c>
      <c r="O22" s="100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EL SERVICIO DE LA SALUD Y BUENAS PRACTICAS EN PACIENTE ",IF(N22=CURSOS!$D$10,"CLINICA DE HERIDAS ",IF(N22=CURSOS!$D$11,"TOMA DE CITOLOGIA CERVICO VAGINAL ",IF(N22=CURSOS!$D$12,"SOPORTE CARDIOVASCULAR AVANZADO (ACLS) ",IF(N22=CURSOS!$D$13,"CAMILLERO ",IF(N22=CURSOS!$D$14,"TOMA DE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INYECTOLOGIA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DE MUESTRAS Y LABORATORIO POCT",IF(N22=CURSOS!$D$28,"IMPLANTE SUBDERMICO DE DISPOSITIVO INTRAUTERINO",IF(N22=CURSOS!$D$29,"SALUD MENTAL",IF(N22=CURSOS!$D$30,"PRIMEROS AUXILIOS PSICOLOGICOS",IF(N22=CURSOS!$D$31,"ATENCION A VICTIMAS POR CONFLICTO ARMADO",IF(N22=CURSOS!$D$32,"MANIPULACION DE ALIMENTOS Y BPM",IF(N22=CURSOS!$D$33,"ATENCION A PERSONAS CON DISCAPACIDAD",IF(N22=CURSOS!$D$34,"CUIDADO INTEGRAL DEL PACIENTE ADULTO",IF(N22=CURSOS!$D$35,"MANEJO DEFENSIVO",IF(N22=CURSOS!$D$36,"SOPORTE CARDIOVASCULAR AVANZADO NEONATAL",IF(N22=CURSOS!$D$37,"SEGURIDAD DEL PACIENTE")))))))))))))))))))))))))))))))))))</f>
        <v>SOPORTE VITAL BASICO (BLS)</v>
      </c>
      <c r="P22" s="52" t="str">
        <f t="shared" si="0"/>
        <v>LIDIA  ESTELLA AUCU MADRUÑERO</v>
      </c>
      <c r="Q22" s="52" t="str">
        <f t="shared" si="2"/>
        <v>Lidia  Estella Aucu Madruñero</v>
      </c>
      <c r="R22" s="52" t="str">
        <f t="shared" si="1"/>
        <v>LIDIA  ESTELLA AUCU MADRUÑERO-1087415957-BLS</v>
      </c>
    </row>
    <row r="23" spans="1:18" x14ac:dyDescent="0.2">
      <c r="A23" s="149">
        <v>22</v>
      </c>
      <c r="B23" s="149">
        <v>1087413965</v>
      </c>
      <c r="C23" s="149" t="s">
        <v>739</v>
      </c>
      <c r="D23" s="149" t="s">
        <v>725</v>
      </c>
      <c r="E23" s="149" t="s">
        <v>740</v>
      </c>
      <c r="F23" s="149" t="s">
        <v>741</v>
      </c>
      <c r="G23" s="150">
        <v>28</v>
      </c>
      <c r="H23" s="14" t="s">
        <v>181</v>
      </c>
      <c r="I23" s="149"/>
      <c r="J23" s="19">
        <v>55000</v>
      </c>
      <c r="K23" s="149"/>
      <c r="L23" s="14" t="s">
        <v>86</v>
      </c>
      <c r="M23" s="14" t="s">
        <v>664</v>
      </c>
      <c r="N23" s="15" t="s">
        <v>19</v>
      </c>
      <c r="O23" s="100" t="str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EL SERVICIO DE LA SALUD Y BUENAS PRACTICAS EN PACIENTE ",IF(N23=CURSOS!$D$10,"CLINICA DE HERIDAS ",IF(N23=CURSOS!$D$11,"TOMA DE CITOLOGIA CERVICO VAGINAL ",IF(N23=CURSOS!$D$12,"SOPORTE CARDIOVASCULAR AVANZADO (ACLS) ",IF(N23=CURSOS!$D$13,"CAMILLERO ",IF(N23=CURSOS!$D$14,"TOMA DE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INYECTOLOGIA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DE MUESTRAS Y LABORATORIO POCT",IF(N23=CURSOS!$D$28,"IMPLANTE SUBDERMICO DE DISPOSITIVO INTRAUTERINO",IF(N23=CURSOS!$D$29,"SALUD MENTAL",IF(N23=CURSOS!$D$30,"PRIMEROS AUXILIOS PSICOLOGICOS",IF(N23=CURSOS!$D$31,"ATENCION A VICTIMAS POR CONFLICTO ARMADO",IF(N23=CURSOS!$D$32,"MANIPULACION DE ALIMENTOS Y BPM",IF(N23=CURSOS!$D$33,"ATENCION A PERSONAS CON DISCAPACIDAD",IF(N23=CURSOS!$D$34,"CUIDADO INTEGRAL DEL PACIENTE ADULTO",IF(N23=CURSOS!$D$35,"MANEJO DEFENSIVO",IF(N23=CURSOS!$D$36,"SOPORTE CARDIOVASCULAR AVANZADO NEONATAL",IF(N23=CURSOS!$D$37,"SEGURIDAD DEL PACIENTE")))))))))))))))))))))))))))))))))))</f>
        <v>SOPORTE VITAL BASICO (BLS)</v>
      </c>
      <c r="P23" s="52" t="str">
        <f t="shared" si="0"/>
        <v>YULY MARCELA CHAZATAR ROSERO</v>
      </c>
      <c r="Q23" s="52" t="str">
        <f t="shared" si="2"/>
        <v>Yuly Marcela Chazatar Rosero</v>
      </c>
      <c r="R23" s="52" t="str">
        <f t="shared" si="1"/>
        <v>YULY MARCELA CHAZATAR ROSERO-1087413965-BLS</v>
      </c>
    </row>
    <row r="24" spans="1:18" x14ac:dyDescent="0.2">
      <c r="A24" s="149">
        <v>23</v>
      </c>
      <c r="B24" s="149">
        <v>1004624425</v>
      </c>
      <c r="C24" s="149" t="s">
        <v>742</v>
      </c>
      <c r="D24" s="149" t="s">
        <v>743</v>
      </c>
      <c r="E24" s="149" t="s">
        <v>683</v>
      </c>
      <c r="F24" s="149" t="s">
        <v>731</v>
      </c>
      <c r="G24" s="150">
        <v>28</v>
      </c>
      <c r="H24" s="14" t="s">
        <v>181</v>
      </c>
      <c r="I24" s="149"/>
      <c r="J24" s="19">
        <v>55000</v>
      </c>
      <c r="K24" s="149"/>
      <c r="L24" s="14" t="s">
        <v>86</v>
      </c>
      <c r="M24" s="14" t="s">
        <v>664</v>
      </c>
      <c r="N24" s="149" t="s">
        <v>19</v>
      </c>
      <c r="O24" s="100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EL SERVICIO DE LA SALUD Y BUENAS PRACTICAS EN PACIENTE ",IF(N24=CURSOS!$D$10,"CLINICA DE HERIDAS ",IF(N24=CURSOS!$D$11,"TOMA DE CITOLOGIA CERVICO VAGINAL ",IF(N24=CURSOS!$D$12,"SOPORTE CARDIOVASCULAR AVANZADO (ACLS) ",IF(N24=CURSOS!$D$13,"CAMILLERO ",IF(N24=CURSOS!$D$14,"TOMA DE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INYECTOLOGIA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DE MUESTRAS Y LABORATORIO POCT",IF(N24=CURSOS!$D$28,"IMPLANTE SUBDERMICO DE DISPOSITIVO INTRAUTERINO",IF(N24=CURSOS!$D$29,"SALUD MENTAL",IF(N24=CURSOS!$D$30,"PRIMEROS AUXILIOS PSICOLOGICOS",IF(N24=CURSOS!$D$31,"ATENCION A VICTIMAS POR CONFLICTO ARMADO",IF(N24=CURSOS!$D$32,"MANIPULACION DE ALIMENTOS Y BPM",IF(N24=CURSOS!$D$33,"ATENCION A PERSONAS CON DISCAPACIDAD",IF(N24=CURSOS!$D$34,"CUIDADO INTEGRAL DEL PACIENTE ADULTO",IF(N24=CURSOS!$D$35,"MANEJO DEFENSIVO",IF(N24=CURSOS!$D$36,"SOPORTE CARDIOVASCULAR AVANZADO NEONATAL",IF(N24=CURSOS!$D$37,"SEGURIDAD DEL PACIENTE")))))))))))))))))))))))))))))))))))</f>
        <v>SOPORTE VITAL BASICO (BLS)</v>
      </c>
      <c r="P24" s="52" t="str">
        <f t="shared" si="0"/>
        <v>ANGELA CAMILA JIMENEZ  AUGU</v>
      </c>
      <c r="Q24" s="52" t="str">
        <f t="shared" si="2"/>
        <v>Angela Camila Jimenez  Augu</v>
      </c>
      <c r="R24" s="52" t="str">
        <f t="shared" si="1"/>
        <v>ANGELA CAMILA JIMENEZ  AUGU-1004624425-BLS</v>
      </c>
    </row>
    <row r="25" spans="1:18" x14ac:dyDescent="0.2">
      <c r="A25" s="149">
        <v>24</v>
      </c>
      <c r="B25" s="149">
        <v>1087415704</v>
      </c>
      <c r="C25" s="149" t="s">
        <v>744</v>
      </c>
      <c r="D25" s="149" t="s">
        <v>706</v>
      </c>
      <c r="E25" s="149" t="s">
        <v>745</v>
      </c>
      <c r="F25" s="149" t="s">
        <v>746</v>
      </c>
      <c r="G25" s="150">
        <v>28</v>
      </c>
      <c r="H25" s="14" t="s">
        <v>181</v>
      </c>
      <c r="I25" s="149"/>
      <c r="J25" s="19">
        <v>55000</v>
      </c>
      <c r="K25" s="149"/>
      <c r="L25" s="14" t="s">
        <v>86</v>
      </c>
      <c r="M25" s="14" t="s">
        <v>664</v>
      </c>
      <c r="N25" s="149" t="s">
        <v>19</v>
      </c>
      <c r="O25" s="100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EL SERVICIO DE LA SALUD Y BUENAS PRACTICAS EN PACIENTE ",IF(N25=CURSOS!$D$10,"CLINICA DE HERIDAS ",IF(N25=CURSOS!$D$11,"TOMA DE CITOLOGIA CERVICO VAGINAL ",IF(N25=CURSOS!$D$12,"SOPORTE CARDIOVASCULAR AVANZADO (ACLS) ",IF(N25=CURSOS!$D$13,"CAMILLERO ",IF(N25=CURSOS!$D$14,"TOMA DE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INYECTOLOGIA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DE MUESTRAS Y LABORATORIO POCT",IF(N25=CURSOS!$D$28,"IMPLANTE SUBDERMICO DE DISPOSITIVO INTRAUTERINO",IF(N25=CURSOS!$D$29,"SALUD MENTAL",IF(N25=CURSOS!$D$30,"PRIMEROS AUXILIOS PSICOLOGICOS",IF(N25=CURSOS!$D$31,"ATENCION A VICTIMAS POR CONFLICTO ARMADO",IF(N25=CURSOS!$D$32,"MANIPULACION DE ALIMENTOS Y BPM",IF(N25=CURSOS!$D$33,"ATENCION A PERSONAS CON DISCAPACIDAD",IF(N25=CURSOS!$D$34,"CUIDADO INTEGRAL DEL PACIENTE ADULTO",IF(N25=CURSOS!$D$35,"MANEJO DEFENSIVO",IF(N25=CURSOS!$D$36,"SOPORTE CARDIOVASCULAR AVANZADO NEONATAL",IF(N25=CURSOS!$D$37,"SEGURIDAD DEL PACIENTE")))))))))))))))))))))))))))))))))))</f>
        <v>SOPORTE VITAL BASICO (BLS)</v>
      </c>
      <c r="P25" s="52" t="str">
        <f t="shared" si="0"/>
        <v>YERLY ORTENCIA ESPINOSA MORA</v>
      </c>
      <c r="Q25" s="52" t="str">
        <f t="shared" si="2"/>
        <v>Yerly Ortencia Espinosa Mora</v>
      </c>
      <c r="R25" s="52" t="str">
        <f t="shared" si="1"/>
        <v>YERLY ORTENCIA ESPINOSA MORA-1087415704-BLS</v>
      </c>
    </row>
    <row r="26" spans="1:18" x14ac:dyDescent="0.2">
      <c r="A26" s="149">
        <v>25</v>
      </c>
      <c r="B26" s="149">
        <v>1087416468</v>
      </c>
      <c r="C26" s="149" t="s">
        <v>747</v>
      </c>
      <c r="D26" s="149" t="s">
        <v>747</v>
      </c>
      <c r="E26" s="149" t="s">
        <v>748</v>
      </c>
      <c r="F26" s="149" t="s">
        <v>749</v>
      </c>
      <c r="G26" s="150">
        <v>28</v>
      </c>
      <c r="H26" s="14" t="s">
        <v>181</v>
      </c>
      <c r="I26" s="149"/>
      <c r="J26" s="19">
        <v>55000</v>
      </c>
      <c r="K26" s="149"/>
      <c r="L26" s="14" t="s">
        <v>86</v>
      </c>
      <c r="M26" s="14" t="s">
        <v>664</v>
      </c>
      <c r="N26" s="149" t="s">
        <v>19</v>
      </c>
      <c r="O26" s="100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EL SERVICIO DE LA SALUD Y BUENAS PRACTICAS EN PACIENTE ",IF(N26=CURSOS!$D$10,"CLINICA DE HERIDAS ",IF(N26=CURSOS!$D$11,"TOMA DE CITOLOGIA CERVICO VAGINAL ",IF(N26=CURSOS!$D$12,"SOPORTE CARDIOVASCULAR AVANZADO (ACLS) ",IF(N26=CURSOS!$D$13,"CAMILLERO ",IF(N26=CURSOS!$D$14,"TOMA DE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INYECTOLOGIA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DE MUESTRAS Y LABORATORIO POCT",IF(N26=CURSOS!$D$28,"IMPLANTE SUBDERMICO DE DISPOSITIVO INTRAUTERINO",IF(N26=CURSOS!$D$29,"SALUD MENTAL",IF(N26=CURSOS!$D$30,"PRIMEROS AUXILIOS PSICOLOGICOS",IF(N26=CURSOS!$D$31,"ATENCION A VICTIMAS POR CONFLICTO ARMADO",IF(N26=CURSOS!$D$32,"MANIPULACION DE ALIMENTOS Y BPM",IF(N26=CURSOS!$D$33,"ATENCION A PERSONAS CON DISCAPACIDAD",IF(N26=CURSOS!$D$34,"CUIDADO INTEGRAL DEL PACIENTE ADULTO",IF(N26=CURSOS!$D$35,"MANEJO DEFENSIVO",IF(N26=CURSOS!$D$36,"SOPORTE CARDIOVASCULAR AVANZADO NEONATAL",IF(N26=CURSOS!$D$37,"SEGURIDAD DEL PACIENTE")))))))))))))))))))))))))))))))))))</f>
        <v>SOPORTE VITAL BASICO (BLS)</v>
      </c>
      <c r="P26" s="52" t="str">
        <f t="shared" si="0"/>
        <v>MARY OFIR GETIAL GETIAL</v>
      </c>
      <c r="Q26" s="52" t="str">
        <f t="shared" si="2"/>
        <v>Mary Ofir Getial Getial</v>
      </c>
      <c r="R26" s="52" t="str">
        <f t="shared" si="1"/>
        <v>MARY OFIR GETIAL GETIAL-1087416468-BLS</v>
      </c>
    </row>
    <row r="27" spans="1:18" x14ac:dyDescent="0.2">
      <c r="A27" s="149">
        <v>26</v>
      </c>
      <c r="B27" s="149">
        <v>1087423182</v>
      </c>
      <c r="C27" s="149" t="s">
        <v>706</v>
      </c>
      <c r="D27" s="149" t="s">
        <v>750</v>
      </c>
      <c r="E27" s="149" t="s">
        <v>751</v>
      </c>
      <c r="F27" s="149" t="s">
        <v>752</v>
      </c>
      <c r="G27" s="150">
        <v>28</v>
      </c>
      <c r="H27" s="14" t="s">
        <v>181</v>
      </c>
      <c r="I27" s="149"/>
      <c r="J27" s="19">
        <v>55000</v>
      </c>
      <c r="K27" s="149"/>
      <c r="L27" s="14" t="s">
        <v>86</v>
      </c>
      <c r="M27" s="14" t="s">
        <v>664</v>
      </c>
      <c r="N27" s="149" t="s">
        <v>19</v>
      </c>
      <c r="O27" s="100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EL SERVICIO DE LA SALUD Y BUENAS PRACTICAS EN PACIENTE ",IF(N27=CURSOS!$D$10,"CLINICA DE HERIDAS ",IF(N27=CURSOS!$D$11,"TOMA DE CITOLOGIA CERVICO VAGINAL ",IF(N27=CURSOS!$D$12,"SOPORTE CARDIOVASCULAR AVANZADO (ACLS) ",IF(N27=CURSOS!$D$13,"CAMILLERO ",IF(N27=CURSOS!$D$14,"TOMA DE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INYECTOLOGIA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DE MUESTRAS Y LABORATORIO POCT",IF(N27=CURSOS!$D$28,"IMPLANTE SUBDERMICO DE DISPOSITIVO INTRAUTERINO",IF(N27=CURSOS!$D$29,"SALUD MENTAL",IF(N27=CURSOS!$D$30,"PRIMEROS AUXILIOS PSICOLOGICOS",IF(N27=CURSOS!$D$31,"ATENCION A VICTIMAS POR CONFLICTO ARMADO",IF(N27=CURSOS!$D$32,"MANIPULACION DE ALIMENTOS Y BPM",IF(N27=CURSOS!$D$33,"ATENCION A PERSONAS CON DISCAPACIDAD",IF(N27=CURSOS!$D$34,"CUIDADO INTEGRAL DEL PACIENTE ADULTO",IF(N27=CURSOS!$D$35,"MANEJO DEFENSIVO",IF(N27=CURSOS!$D$36,"SOPORTE CARDIOVASCULAR AVANZADO NEONATAL",IF(N27=CURSOS!$D$37,"SEGURIDAD DEL PACIENTE")))))))))))))))))))))))))))))))))))</f>
        <v>SOPORTE VITAL BASICO (BLS)</v>
      </c>
      <c r="P27" s="52" t="str">
        <f t="shared" si="0"/>
        <v>DARLIN KARINE MORA CUAYCHAR</v>
      </c>
      <c r="Q27" s="52" t="str">
        <f t="shared" si="2"/>
        <v>Darlin Karine Mora Cuaychar</v>
      </c>
      <c r="R27" s="52" t="str">
        <f t="shared" si="1"/>
        <v>DARLIN KARINE MORA CUAYCHAR-1087423182-BLS</v>
      </c>
    </row>
    <row r="28" spans="1:18" x14ac:dyDescent="0.2">
      <c r="A28" s="149">
        <v>27</v>
      </c>
      <c r="B28" s="149">
        <v>1004625579</v>
      </c>
      <c r="C28" s="149" t="s">
        <v>747</v>
      </c>
      <c r="D28" s="149" t="s">
        <v>753</v>
      </c>
      <c r="E28" s="149" t="s">
        <v>754</v>
      </c>
      <c r="F28" s="149" t="s">
        <v>755</v>
      </c>
      <c r="G28" s="150">
        <v>28</v>
      </c>
      <c r="H28" s="14" t="s">
        <v>181</v>
      </c>
      <c r="I28" s="149"/>
      <c r="J28" s="19">
        <v>55000</v>
      </c>
      <c r="K28" s="149"/>
      <c r="L28" s="14" t="s">
        <v>86</v>
      </c>
      <c r="M28" s="14" t="s">
        <v>664</v>
      </c>
      <c r="N28" s="149" t="s">
        <v>19</v>
      </c>
      <c r="O28" s="100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EL SERVICIO DE LA SALUD Y BUENAS PRACTICAS EN PACIENTE ",IF(N28=CURSOS!$D$10,"CLINICA DE HERIDAS ",IF(N28=CURSOS!$D$11,"TOMA DE CITOLOGIA CERVICO VAGINAL ",IF(N28=CURSOS!$D$12,"SOPORTE CARDIOVASCULAR AVANZADO (ACLS) ",IF(N28=CURSOS!$D$13,"CAMILLERO ",IF(N28=CURSOS!$D$14,"TOMA DE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INYECTOLOGIA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DE MUESTRAS Y LABORATORIO POCT",IF(N28=CURSOS!$D$28,"IMPLANTE SUBDERMICO DE DISPOSITIVO INTRAUTERINO",IF(N28=CURSOS!$D$29,"SALUD MENTAL",IF(N28=CURSOS!$D$30,"PRIMEROS AUXILIOS PSICOLOGICOS",IF(N28=CURSOS!$D$31,"ATENCION A VICTIMAS POR CONFLICTO ARMADO",IF(N28=CURSOS!$D$32,"MANIPULACION DE ALIMENTOS Y BPM",IF(N28=CURSOS!$D$33,"ATENCION A PERSONAS CON DISCAPACIDAD",IF(N28=CURSOS!$D$34,"CUIDADO INTEGRAL DEL PACIENTE ADULTO",IF(N28=CURSOS!$D$35,"MANEJO DEFENSIVO",IF(N28=CURSOS!$D$36,"SOPORTE CARDIOVASCULAR AVANZADO NEONATAL",IF(N28=CURSOS!$D$37,"SEGURIDAD DEL PACIENTE")))))))))))))))))))))))))))))))))))</f>
        <v>SOPORTE VITAL BASICO (BLS)</v>
      </c>
      <c r="P28" s="52" t="str">
        <f t="shared" si="0"/>
        <v>KAREN YULIANA GETIAL OJEDA</v>
      </c>
      <c r="Q28" s="52" t="str">
        <f t="shared" si="2"/>
        <v>Karen Yuliana Getial Ojeda</v>
      </c>
      <c r="R28" s="52" t="str">
        <f t="shared" si="1"/>
        <v>KAREN YULIANA GETIAL OJEDA-1004625579-BLS</v>
      </c>
    </row>
    <row r="29" spans="1:18" x14ac:dyDescent="0.2">
      <c r="A29" s="85">
        <v>28</v>
      </c>
      <c r="B29" s="149">
        <v>98138966</v>
      </c>
      <c r="C29" s="149" t="s">
        <v>695</v>
      </c>
      <c r="D29" s="149" t="s">
        <v>744</v>
      </c>
      <c r="E29" s="149" t="s">
        <v>756</v>
      </c>
      <c r="F29" s="149" t="s">
        <v>757</v>
      </c>
      <c r="G29" s="101">
        <v>28</v>
      </c>
      <c r="H29" s="14" t="s">
        <v>181</v>
      </c>
      <c r="I29" s="149"/>
      <c r="J29" s="19">
        <v>55000</v>
      </c>
      <c r="K29" s="149"/>
      <c r="L29" s="14" t="s">
        <v>86</v>
      </c>
      <c r="M29" s="14" t="s">
        <v>664</v>
      </c>
      <c r="N29" s="149" t="s">
        <v>19</v>
      </c>
      <c r="O29" s="100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EL SERVICIO DE LA SALUD Y BUENAS PRACTICAS EN PACIENTE ",IF(N29=CURSOS!$D$10,"CLINICA DE HERIDAS ",IF(N29=CURSOS!$D$11,"TOMA DE CITOLOGIA CERVICO VAGINAL ",IF(N29=CURSOS!$D$12,"SOPORTE CARDIOVASCULAR AVANZADO (ACLS) ",IF(N29=CURSOS!$D$13,"CAMILLERO ",IF(N29=CURSOS!$D$14,"TOMA DE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INYECTOLOGIA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DE MUESTRAS Y LABORATORIO POCT",IF(N29=CURSOS!$D$28,"IMPLANTE SUBDERMICO DE DISPOSITIVO INTRAUTERINO",IF(N29=CURSOS!$D$29,"SALUD MENTAL",IF(N29=CURSOS!$D$30,"PRIMEROS AUXILIOS PSICOLOGICOS",IF(N29=CURSOS!$D$31,"ATENCION A VICTIMAS POR CONFLICTO ARMADO",IF(N29=CURSOS!$D$32,"MANIPULACION DE ALIMENTOS Y BPM",IF(N29=CURSOS!$D$33,"ATENCION A PERSONAS CON DISCAPACIDAD",IF(N29=CURSOS!$D$34,"CUIDADO INTEGRAL DEL PACIENTE ADULTO",IF(N29=CURSOS!$D$35,"MANEJO DEFENSIVO",IF(N29=CURSOS!$D$36,"SOPORTE CARDIOVASCULAR AVANZADO NEONATAL",IF(N29=CURSOS!$D$37,"SEGURIDAD DEL PACIENTE")))))))))))))))))))))))))))))))))))</f>
        <v>SOPORTE VITAL BASICO (BLS)</v>
      </c>
      <c r="P29" s="52" t="str">
        <f t="shared" si="0"/>
        <v>HELDER GUILLERMO MERA ESPINOSA</v>
      </c>
      <c r="Q29" s="52" t="str">
        <f t="shared" si="2"/>
        <v>Helder Guillermo Mera Espinosa</v>
      </c>
      <c r="R29" s="52" t="str">
        <f t="shared" si="1"/>
        <v>HELDER GUILLERMO MERA ESPINOSA-98138966-BLS</v>
      </c>
    </row>
    <row r="30" spans="1:18" x14ac:dyDescent="0.2">
      <c r="A30" s="85">
        <v>29</v>
      </c>
      <c r="B30" s="149">
        <v>59650374</v>
      </c>
      <c r="C30" s="149" t="s">
        <v>758</v>
      </c>
      <c r="D30" s="149" t="s">
        <v>759</v>
      </c>
      <c r="E30" s="149" t="s">
        <v>760</v>
      </c>
      <c r="F30" s="149" t="s">
        <v>761</v>
      </c>
      <c r="G30" s="101">
        <v>28</v>
      </c>
      <c r="H30" s="14" t="s">
        <v>181</v>
      </c>
      <c r="I30" s="149"/>
      <c r="J30" s="19">
        <v>55000</v>
      </c>
      <c r="K30" s="149"/>
      <c r="L30" s="14" t="s">
        <v>86</v>
      </c>
      <c r="M30" s="14" t="s">
        <v>664</v>
      </c>
      <c r="N30" s="149" t="s">
        <v>19</v>
      </c>
      <c r="O30" s="100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EL SERVICIO DE LA SALUD Y BUENAS PRACTICAS EN PACIENTE ",IF(N30=CURSOS!$D$10,"CLINICA DE HERIDAS ",IF(N30=CURSOS!$D$11,"TOMA DE CITOLOGIA CERVICO VAGINAL ",IF(N30=CURSOS!$D$12,"SOPORTE CARDIOVASCULAR AVANZADO (ACLS) ",IF(N30=CURSOS!$D$13,"CAMILLERO ",IF(N30=CURSOS!$D$14,"TOMA DE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INYECTOLOGIA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DE MUESTRAS Y LABORATORIO POCT",IF(N30=CURSOS!$D$28,"IMPLANTE SUBDERMICO DE DISPOSITIVO INTRAUTERINO",IF(N30=CURSOS!$D$29,"SALUD MENTAL",IF(N30=CURSOS!$D$30,"PRIMEROS AUXILIOS PSICOLOGICOS",IF(N30=CURSOS!$D$31,"ATENCION A VICTIMAS POR CONFLICTO ARMADO",IF(N30=CURSOS!$D$32,"MANIPULACION DE ALIMENTOS Y BPM",IF(N30=CURSOS!$D$33,"ATENCION A PERSONAS CON DISCAPACIDAD",IF(N30=CURSOS!$D$34,"CUIDADO INTEGRAL DEL PACIENTE ADULTO",IF(N30=CURSOS!$D$35,"MANEJO DEFENSIVO",IF(N30=CURSOS!$D$36,"SOPORTE CARDIOVASCULAR AVANZADO NEONATAL",IF(N30=CURSOS!$D$37,"SEGURIDAD DEL PACIENTE")))))))))))))))))))))))))))))))))))</f>
        <v>SOPORTE VITAL BASICO (BLS)</v>
      </c>
      <c r="P30" s="52" t="str">
        <f t="shared" si="0"/>
        <v>LIDA MARIA MORALES SANCHEZ</v>
      </c>
      <c r="Q30" s="52" t="str">
        <f t="shared" si="2"/>
        <v>Lida Maria Morales Sanchez</v>
      </c>
      <c r="R30" s="52" t="str">
        <f t="shared" si="1"/>
        <v>LIDA MARIA MORALES SANCHEZ-59650374-BLS</v>
      </c>
    </row>
    <row r="31" spans="1:18" x14ac:dyDescent="0.2">
      <c r="A31" s="149">
        <v>30</v>
      </c>
      <c r="B31" s="149">
        <v>1087417071</v>
      </c>
      <c r="C31" s="149" t="s">
        <v>762</v>
      </c>
      <c r="D31" s="149" t="s">
        <v>763</v>
      </c>
      <c r="E31" s="149" t="s">
        <v>679</v>
      </c>
      <c r="F31" s="149" t="s">
        <v>705</v>
      </c>
      <c r="G31" s="150">
        <v>28</v>
      </c>
      <c r="H31" s="14" t="s">
        <v>181</v>
      </c>
      <c r="I31" s="149"/>
      <c r="J31" s="19">
        <v>55000</v>
      </c>
      <c r="K31" s="149"/>
      <c r="L31" s="14" t="s">
        <v>86</v>
      </c>
      <c r="M31" s="14" t="s">
        <v>664</v>
      </c>
      <c r="N31" s="149" t="s">
        <v>19</v>
      </c>
      <c r="O31" s="100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EL SERVICIO DE LA SALUD Y BUENAS PRACTICAS EN PACIENTE ",IF(N31=CURSOS!$D$10,"CLINICA DE HERIDAS ",IF(N31=CURSOS!$D$11,"TOMA DE CITOLOGIA CERVICO VAGINAL ",IF(N31=CURSOS!$D$12,"SOPORTE CARDIOVASCULAR AVANZADO (ACLS) ",IF(N31=CURSOS!$D$13,"CAMILLERO ",IF(N31=CURSOS!$D$14,"TOMA DE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INYECTOLOGIA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DE MUESTRAS Y LABORATORIO POCT",IF(N31=CURSOS!$D$28,"IMPLANTE SUBDERMICO DE DISPOSITIVO INTRAUTERINO",IF(N31=CURSOS!$D$29,"SALUD MENTAL",IF(N31=CURSOS!$D$30,"PRIMEROS AUXILIOS PSICOLOGICOS",IF(N31=CURSOS!$D$31,"ATENCION A VICTIMAS POR CONFLICTO ARMADO",IF(N31=CURSOS!$D$32,"MANIPULACION DE ALIMENTOS Y BPM",IF(N31=CURSOS!$D$33,"ATENCION A PERSONAS CON DISCAPACIDAD",IF(N31=CURSOS!$D$34,"CUIDADO INTEGRAL DEL PACIENTE ADULTO",IF(N31=CURSOS!$D$35,"MANEJO DEFENSIVO",IF(N31=CURSOS!$D$36,"SOPORTE CARDIOVASCULAR AVANZADO NEONATAL",IF(N31=CURSOS!$D$37,"SEGURIDAD DEL PACIENTE")))))))))))))))))))))))))))))))))))</f>
        <v>SOPORTE VITAL BASICO (BLS)</v>
      </c>
      <c r="P31" s="52" t="str">
        <f t="shared" si="0"/>
        <v>DIANA CAROLINA PISCAL PONCE</v>
      </c>
      <c r="Q31" s="52" t="str">
        <f t="shared" si="2"/>
        <v>Diana Carolina Piscal Ponce</v>
      </c>
      <c r="R31" s="52" t="str">
        <f t="shared" si="1"/>
        <v>DIANA CAROLINA PISCAL PONCE-1087417071-BLS</v>
      </c>
    </row>
    <row r="32" spans="1:18" x14ac:dyDescent="0.2">
      <c r="A32" s="149">
        <v>31</v>
      </c>
      <c r="B32" s="149">
        <v>59829864</v>
      </c>
      <c r="C32" s="149" t="s">
        <v>764</v>
      </c>
      <c r="D32" s="149" t="s">
        <v>765</v>
      </c>
      <c r="E32" s="149" t="s">
        <v>766</v>
      </c>
      <c r="F32" s="149" t="s">
        <v>767</v>
      </c>
      <c r="G32" s="150">
        <v>28</v>
      </c>
      <c r="H32" s="14" t="s">
        <v>181</v>
      </c>
      <c r="I32" s="149"/>
      <c r="J32" s="19">
        <v>55000</v>
      </c>
      <c r="K32" s="149"/>
      <c r="L32" s="14" t="s">
        <v>86</v>
      </c>
      <c r="M32" s="14" t="s">
        <v>664</v>
      </c>
      <c r="N32" s="15" t="s">
        <v>19</v>
      </c>
      <c r="O32" s="100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EL SERVICIO DE LA SALUD Y BUENAS PRACTICAS EN PACIENTE ",IF(N32=CURSOS!$D$10,"CLINICA DE HERIDAS ",IF(N32=CURSOS!$D$11,"TOMA DE CITOLOGIA CERVICO VAGINAL ",IF(N32=CURSOS!$D$12,"SOPORTE CARDIOVASCULAR AVANZADO (ACLS) ",IF(N32=CURSOS!$D$13,"CAMILLERO ",IF(N32=CURSOS!$D$14,"TOMA DE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INYECTOLOGIA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DE MUESTRAS Y LABORATORIO POCT",IF(N32=CURSOS!$D$28,"IMPLANTE SUBDERMICO DE DISPOSITIVO INTRAUTERINO",IF(N32=CURSOS!$D$29,"SALUD MENTAL",IF(N32=CURSOS!$D$30,"PRIMEROS AUXILIOS PSICOLOGICOS",IF(N32=CURSOS!$D$31,"ATENCION A VICTIMAS POR CONFLICTO ARMADO",IF(N32=CURSOS!$D$32,"MANIPULACION DE ALIMENTOS Y BPM",IF(N32=CURSOS!$D$33,"ATENCION A PERSONAS CON DISCAPACIDAD",IF(N32=CURSOS!$D$34,"CUIDADO INTEGRAL DEL PACIENTE ADULTO",IF(N32=CURSOS!$D$35,"MANEJO DEFENSIVO",IF(N32=CURSOS!$D$36,"SOPORTE CARDIOVASCULAR AVANZADO NEONATAL",IF(N32=CURSOS!$D$37,"SEGURIDAD DEL PACIENTE")))))))))))))))))))))))))))))))))))</f>
        <v>SOPORTE VITAL BASICO (BLS)</v>
      </c>
      <c r="P32" s="52" t="str">
        <f t="shared" si="0"/>
        <v>ADRIANA OMAIRA VALLEJO MUÑOZ</v>
      </c>
      <c r="Q32" s="52" t="str">
        <f t="shared" si="2"/>
        <v>Adriana Omaira Vallejo Muñoz</v>
      </c>
      <c r="R32" s="52" t="str">
        <f t="shared" si="1"/>
        <v>ADRIANA OMAIRA VALLEJO MUÑOZ-59829864-BLS</v>
      </c>
    </row>
    <row r="33" spans="1:18" x14ac:dyDescent="0.2">
      <c r="A33" s="149">
        <v>32</v>
      </c>
      <c r="B33" s="149">
        <v>1089847945</v>
      </c>
      <c r="C33" s="149" t="s">
        <v>768</v>
      </c>
      <c r="D33" s="149" t="s">
        <v>769</v>
      </c>
      <c r="E33" s="149" t="s">
        <v>667</v>
      </c>
      <c r="F33" s="149" t="s">
        <v>770</v>
      </c>
      <c r="G33" s="150">
        <v>28</v>
      </c>
      <c r="H33" s="14" t="s">
        <v>181</v>
      </c>
      <c r="I33" s="149"/>
      <c r="J33" s="19">
        <v>55000</v>
      </c>
      <c r="K33" s="149"/>
      <c r="L33" s="14" t="s">
        <v>86</v>
      </c>
      <c r="M33" s="14" t="s">
        <v>664</v>
      </c>
      <c r="N33" s="15" t="s">
        <v>19</v>
      </c>
      <c r="O33" s="100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EL SERVICIO DE LA SALUD Y BUENAS PRACTICAS EN PACIENTE ",IF(N33=CURSOS!$D$10,"CLINICA DE HERIDAS ",IF(N33=CURSOS!$D$11,"TOMA DE CITOLOGIA CERVICO VAGINAL ",IF(N33=CURSOS!$D$12,"SOPORTE CARDIOVASCULAR AVANZADO (ACLS) ",IF(N33=CURSOS!$D$13,"CAMILLERO ",IF(N33=CURSOS!$D$14,"TOMA DE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INYECTOLOGIA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DE MUESTRAS Y LABORATORIO POCT",IF(N33=CURSOS!$D$28,"IMPLANTE SUBDERMICO DE DISPOSITIVO INTRAUTERINO",IF(N33=CURSOS!$D$29,"SALUD MENTAL",IF(N33=CURSOS!$D$30,"PRIMEROS AUXILIOS PSICOLOGICOS",IF(N33=CURSOS!$D$31,"ATENCION A VICTIMAS POR CONFLICTO ARMADO",IF(N33=CURSOS!$D$32,"MANIPULACION DE ALIMENTOS Y BPM",IF(N33=CURSOS!$D$33,"ATENCION A PERSONAS CON DISCAPACIDAD",IF(N33=CURSOS!$D$34,"CUIDADO INTEGRAL DEL PACIENTE ADULTO",IF(N33=CURSOS!$D$35,"MANEJO DEFENSIVO",IF(N33=CURSOS!$D$36,"SOPORTE CARDIOVASCULAR AVANZADO NEONATAL",IF(N33=CURSOS!$D$37,"SEGURIDAD DEL PACIENTE")))))))))))))))))))))))))))))))))))</f>
        <v>SOPORTE VITAL BASICO (BLS)</v>
      </c>
      <c r="P33" s="52" t="str">
        <f t="shared" si="0"/>
        <v>YESICA TATIANA MAYA CORDOBA</v>
      </c>
      <c r="Q33" s="52" t="str">
        <f t="shared" si="2"/>
        <v>Yesica Tatiana Maya Cordoba</v>
      </c>
      <c r="R33" s="52" t="str">
        <f t="shared" si="1"/>
        <v>YESICA TATIANA MAYA CORDOBA-1089847945-BLS</v>
      </c>
    </row>
    <row r="34" spans="1:18" x14ac:dyDescent="0.2">
      <c r="A34" s="149">
        <v>33</v>
      </c>
      <c r="B34" s="149">
        <v>1004626021</v>
      </c>
      <c r="C34" s="149" t="s">
        <v>771</v>
      </c>
      <c r="D34" s="149" t="s">
        <v>772</v>
      </c>
      <c r="E34" s="149" t="s">
        <v>773</v>
      </c>
      <c r="F34" s="149" t="s">
        <v>704</v>
      </c>
      <c r="G34" s="150">
        <v>28</v>
      </c>
      <c r="H34" s="14" t="s">
        <v>181</v>
      </c>
      <c r="I34" s="149"/>
      <c r="J34" s="19">
        <v>55000</v>
      </c>
      <c r="K34" s="149"/>
      <c r="L34" s="14" t="s">
        <v>86</v>
      </c>
      <c r="M34" s="14" t="s">
        <v>664</v>
      </c>
      <c r="N34" s="149" t="s">
        <v>19</v>
      </c>
      <c r="O34" s="100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EL SERVICIO DE LA SALUD Y BUENAS PRACTICAS EN PACIENTE ",IF(N34=CURSOS!$D$10,"CLINICA DE HERIDAS ",IF(N34=CURSOS!$D$11,"TOMA DE CITOLOGIA CERVICO VAGINAL ",IF(N34=CURSOS!$D$12,"SOPORTE CARDIOVASCULAR AVANZADO (ACLS) ",IF(N34=CURSOS!$D$13,"CAMILLERO ",IF(N34=CURSOS!$D$14,"TOMA DE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INYECTOLOGIA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DE MUESTRAS Y LABORATORIO POCT",IF(N34=CURSOS!$D$28,"IMPLANTE SUBDERMICO DE DISPOSITIVO INTRAUTERINO",IF(N34=CURSOS!$D$29,"SALUD MENTAL",IF(N34=CURSOS!$D$30,"PRIMEROS AUXILIOS PSICOLOGICOS",IF(N34=CURSOS!$D$31,"ATENCION A VICTIMAS POR CONFLICTO ARMADO",IF(N34=CURSOS!$D$32,"MANIPULACION DE ALIMENTOS Y BPM",IF(N34=CURSOS!$D$33,"ATENCION A PERSONAS CON DISCAPACIDAD",IF(N34=CURSOS!$D$34,"CUIDADO INTEGRAL DEL PACIENTE ADULTO",IF(N34=CURSOS!$D$35,"MANEJO DEFENSIVO",IF(N34=CURSOS!$D$36,"SOPORTE CARDIOVASCULAR AVANZADO NEONATAL",IF(N34=CURSOS!$D$37,"SEGURIDAD DEL PACIENTE")))))))))))))))))))))))))))))))))))</f>
        <v>SOPORTE VITAL BASICO (BLS)</v>
      </c>
      <c r="P34" s="52" t="str">
        <f t="shared" si="0"/>
        <v>ANYI DANIELA YARPAZ ORTEGA</v>
      </c>
      <c r="Q34" s="52" t="str">
        <f t="shared" si="2"/>
        <v>Anyi Daniela Yarpaz Ortega</v>
      </c>
      <c r="R34" s="52" t="str">
        <f t="shared" si="1"/>
        <v>ANYI DANIELA YARPAZ ORTEGA-1004626021-BLS</v>
      </c>
    </row>
    <row r="35" spans="1:18" x14ac:dyDescent="0.2">
      <c r="A35" s="149">
        <v>34</v>
      </c>
      <c r="B35" s="149">
        <v>1004623838</v>
      </c>
      <c r="C35" s="149" t="s">
        <v>771</v>
      </c>
      <c r="D35" s="149" t="s">
        <v>771</v>
      </c>
      <c r="E35" s="149" t="s">
        <v>774</v>
      </c>
      <c r="F35" s="149" t="s">
        <v>86</v>
      </c>
      <c r="G35" s="150">
        <v>28</v>
      </c>
      <c r="H35" s="14" t="s">
        <v>181</v>
      </c>
      <c r="I35" s="149"/>
      <c r="J35" s="19">
        <v>55000</v>
      </c>
      <c r="K35" s="149"/>
      <c r="L35" s="14" t="s">
        <v>86</v>
      </c>
      <c r="M35" s="14" t="s">
        <v>664</v>
      </c>
      <c r="N35" s="149" t="s">
        <v>19</v>
      </c>
      <c r="O35" s="100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EL SERVICIO DE LA SALUD Y BUENAS PRACTICAS EN PACIENTE ",IF(N35=CURSOS!$D$10,"CLINICA DE HERIDAS ",IF(N35=CURSOS!$D$11,"TOMA DE CITOLOGIA CERVICO VAGINAL ",IF(N35=CURSOS!$D$12,"SOPORTE CARDIOVASCULAR AVANZADO (ACLS) ",IF(N35=CURSOS!$D$13,"CAMILLERO ",IF(N35=CURSOS!$D$14,"TOMA DE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INYECTOLOGIA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DE MUESTRAS Y LABORATORIO POCT",IF(N35=CURSOS!$D$28,"IMPLANTE SUBDERMICO DE DISPOSITIVO INTRAUTERINO",IF(N35=CURSOS!$D$29,"SALUD MENTAL",IF(N35=CURSOS!$D$30,"PRIMEROS AUXILIOS PSICOLOGICOS",IF(N35=CURSOS!$D$31,"ATENCION A VICTIMAS POR CONFLICTO ARMADO",IF(N35=CURSOS!$D$32,"MANIPULACION DE ALIMENTOS Y BPM",IF(N35=CURSOS!$D$33,"ATENCION A PERSONAS CON DISCAPACIDAD",IF(N35=CURSOS!$D$34,"CUIDADO INTEGRAL DEL PACIENTE ADULTO",IF(N35=CURSOS!$D$35,"MANEJO DEFENSIVO",IF(N35=CURSOS!$D$36,"SOPORTE CARDIOVASCULAR AVANZADO NEONATAL",IF(N35=CURSOS!$D$37,"SEGURIDAD DEL PACIENTE")))))))))))))))))))))))))))))))))))</f>
        <v>SOPORTE VITAL BASICO (BLS)</v>
      </c>
      <c r="P35" s="52" t="str">
        <f t="shared" si="0"/>
        <v>DIEGO CAMILO YARPAZ YARPAZ</v>
      </c>
      <c r="Q35" s="52" t="str">
        <f t="shared" si="2"/>
        <v>Diego Camilo Yarpaz Yarpaz</v>
      </c>
      <c r="R35" s="52" t="str">
        <f t="shared" si="1"/>
        <v>DIEGO CAMILO YARPAZ YARPAZ-1004623838-BLS</v>
      </c>
    </row>
    <row r="36" spans="1:18" x14ac:dyDescent="0.2">
      <c r="A36" s="149">
        <v>35</v>
      </c>
      <c r="B36" s="149">
        <v>1087418433</v>
      </c>
      <c r="C36" s="149" t="s">
        <v>714</v>
      </c>
      <c r="D36" s="149" t="s">
        <v>714</v>
      </c>
      <c r="E36" s="149" t="s">
        <v>775</v>
      </c>
      <c r="F36" s="149" t="s">
        <v>705</v>
      </c>
      <c r="G36" s="150">
        <v>28</v>
      </c>
      <c r="H36" s="14" t="s">
        <v>181</v>
      </c>
      <c r="I36" s="149"/>
      <c r="J36" s="19">
        <v>55000</v>
      </c>
      <c r="K36" s="149"/>
      <c r="L36" s="14" t="s">
        <v>86</v>
      </c>
      <c r="M36" s="14" t="s">
        <v>664</v>
      </c>
      <c r="N36" s="149" t="s">
        <v>19</v>
      </c>
      <c r="O36" s="100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EL SERVICIO DE LA SALUD Y BUENAS PRACTICAS EN PACIENTE ",IF(N36=CURSOS!$D$10,"CLINICA DE HERIDAS ",IF(N36=CURSOS!$D$11,"TOMA DE CITOLOGIA CERVICO VAGINAL ",IF(N36=CURSOS!$D$12,"SOPORTE CARDIOVASCULAR AVANZADO (ACLS) ",IF(N36=CURSOS!$D$13,"CAMILLERO ",IF(N36=CURSOS!$D$14,"TOMA DE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INYECTOLOGIA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DE MUESTRAS Y LABORATORIO POCT",IF(N36=CURSOS!$D$28,"IMPLANTE SUBDERMICO DE DISPOSITIVO INTRAUTERINO",IF(N36=CURSOS!$D$29,"SALUD MENTAL",IF(N36=CURSOS!$D$30,"PRIMEROS AUXILIOS PSICOLOGICOS",IF(N36=CURSOS!$D$31,"ATENCION A VICTIMAS POR CONFLICTO ARMADO",IF(N36=CURSOS!$D$32,"MANIPULACION DE ALIMENTOS Y BPM",IF(N36=CURSOS!$D$33,"ATENCION A PERSONAS CON DISCAPACIDAD",IF(N36=CURSOS!$D$34,"CUIDADO INTEGRAL DEL PACIENTE ADULTO",IF(N36=CURSOS!$D$35,"MANEJO DEFENSIVO",IF(N36=CURSOS!$D$36,"SOPORTE CARDIOVASCULAR AVANZADO NEONATAL",IF(N36=CURSOS!$D$37,"SEGURIDAD DEL PACIENTE")))))))))))))))))))))))))))))))))))</f>
        <v>SOPORTE VITAL BASICO (BLS)</v>
      </c>
      <c r="P36" s="52" t="str">
        <f t="shared" si="0"/>
        <v>ASTRID CAROLINA BENAVIDES BENAVIDES</v>
      </c>
      <c r="Q36" s="52" t="str">
        <f t="shared" si="2"/>
        <v>Astrid Carolina Benavides Benavides</v>
      </c>
      <c r="R36" s="52" t="str">
        <f t="shared" si="1"/>
        <v>ASTRID CAROLINA BENAVIDES BENAVIDES-1087418433-BLS</v>
      </c>
    </row>
    <row r="37" spans="1:18" x14ac:dyDescent="0.2">
      <c r="A37" s="149">
        <v>36</v>
      </c>
      <c r="B37" s="149">
        <v>1087408888</v>
      </c>
      <c r="C37" s="149" t="s">
        <v>707</v>
      </c>
      <c r="D37" s="149" t="s">
        <v>776</v>
      </c>
      <c r="E37" s="149" t="s">
        <v>773</v>
      </c>
      <c r="F37" s="149" t="s">
        <v>708</v>
      </c>
      <c r="G37" s="150">
        <v>28</v>
      </c>
      <c r="H37" s="14" t="s">
        <v>181</v>
      </c>
      <c r="I37" s="149"/>
      <c r="J37" s="19">
        <v>55000</v>
      </c>
      <c r="K37" s="149"/>
      <c r="L37" s="14" t="s">
        <v>86</v>
      </c>
      <c r="M37" s="14" t="s">
        <v>664</v>
      </c>
      <c r="N37" s="149" t="s">
        <v>19</v>
      </c>
      <c r="O37" s="100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EL SERVICIO DE LA SALUD Y BUENAS PRACTICAS EN PACIENTE ",IF(N37=CURSOS!$D$10,"CLINICA DE HERIDAS ",IF(N37=CURSOS!$D$11,"TOMA DE CITOLOGIA CERVICO VAGINAL ",IF(N37=CURSOS!$D$12,"SOPORTE CARDIOVASCULAR AVANZADO (ACLS) ",IF(N37=CURSOS!$D$13,"CAMILLERO ",IF(N37=CURSOS!$D$14,"TOMA DE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INYECTOLOGIA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DE MUESTRAS Y LABORATORIO POCT",IF(N37=CURSOS!$D$28,"IMPLANTE SUBDERMICO DE DISPOSITIVO INTRAUTERINO",IF(N37=CURSOS!$D$29,"SALUD MENTAL",IF(N37=CURSOS!$D$30,"PRIMEROS AUXILIOS PSICOLOGICOS",IF(N37=CURSOS!$D$31,"ATENCION A VICTIMAS POR CONFLICTO ARMADO",IF(N37=CURSOS!$D$32,"MANIPULACION DE ALIMENTOS Y BPM",IF(N37=CURSOS!$D$33,"ATENCION A PERSONAS CON DISCAPACIDAD",IF(N37=CURSOS!$D$34,"CUIDADO INTEGRAL DEL PACIENTE ADULTO",IF(N37=CURSOS!$D$35,"MANEJO DEFENSIVO",IF(N37=CURSOS!$D$36,"SOPORTE CARDIOVASCULAR AVANZADO NEONATAL",IF(N37=CURSOS!$D$37,"SEGURIDAD DEL PACIENTE")))))))))))))))))))))))))))))))))))</f>
        <v>SOPORTE VITAL BASICO (BLS)</v>
      </c>
      <c r="P37" s="52" t="str">
        <f t="shared" si="0"/>
        <v>ANYI PAOLA TEQUIN PULSARA</v>
      </c>
      <c r="Q37" s="52" t="str">
        <f t="shared" si="2"/>
        <v>Anyi Paola Tequin Pulsara</v>
      </c>
      <c r="R37" s="52" t="str">
        <f t="shared" si="1"/>
        <v>ANYI PAOLA TEQUIN PULSARA-1087408888-BLS</v>
      </c>
    </row>
    <row r="38" spans="1:18" x14ac:dyDescent="0.2">
      <c r="A38" s="85">
        <v>37</v>
      </c>
      <c r="B38" s="149">
        <v>1004623577</v>
      </c>
      <c r="C38" s="149" t="s">
        <v>777</v>
      </c>
      <c r="D38" s="149" t="s">
        <v>666</v>
      </c>
      <c r="E38" s="149" t="s">
        <v>778</v>
      </c>
      <c r="F38" s="149" t="s">
        <v>779</v>
      </c>
      <c r="G38" s="101">
        <v>28</v>
      </c>
      <c r="H38" s="14" t="s">
        <v>181</v>
      </c>
      <c r="I38" s="149"/>
      <c r="J38" s="19">
        <v>55000</v>
      </c>
      <c r="K38" s="149"/>
      <c r="L38" s="14" t="s">
        <v>86</v>
      </c>
      <c r="M38" s="14" t="s">
        <v>664</v>
      </c>
      <c r="N38" s="149" t="s">
        <v>19</v>
      </c>
      <c r="O38" s="100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EL SERVICIO DE LA SALUD Y BUENAS PRACTICAS EN PACIENTE ",IF(N38=CURSOS!$D$10,"CLINICA DE HERIDAS ",IF(N38=CURSOS!$D$11,"TOMA DE CITOLOGIA CERVICO VAGINAL ",IF(N38=CURSOS!$D$12,"SOPORTE CARDIOVASCULAR AVANZADO (ACLS) ",IF(N38=CURSOS!$D$13,"CAMILLERO ",IF(N38=CURSOS!$D$14,"TOMA DE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INYECTOLOGIA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DE MUESTRAS Y LABORATORIO POCT",IF(N38=CURSOS!$D$28,"IMPLANTE SUBDERMICO DE DISPOSITIVO INTRAUTERINO",IF(N38=CURSOS!$D$29,"SALUD MENTAL",IF(N38=CURSOS!$D$30,"PRIMEROS AUXILIOS PSICOLOGICOS",IF(N38=CURSOS!$D$31,"ATENCION A VICTIMAS POR CONFLICTO ARMADO",IF(N38=CURSOS!$D$32,"MANIPULACION DE ALIMENTOS Y BPM",IF(N38=CURSOS!$D$33,"ATENCION A PERSONAS CON DISCAPACIDAD",IF(N38=CURSOS!$D$34,"CUIDADO INTEGRAL DEL PACIENTE ADULTO",IF(N38=CURSOS!$D$35,"MANEJO DEFENSIVO",IF(N38=CURSOS!$D$36,"SOPORTE CARDIOVASCULAR AVANZADO NEONATAL",IF(N38=CURSOS!$D$37,"SEGURIDAD DEL PACIENTE")))))))))))))))))))))))))))))))))))</f>
        <v>SOPORTE VITAL BASICO (BLS)</v>
      </c>
      <c r="P38" s="52" t="str">
        <f t="shared" si="0"/>
        <v>IVANIA  YAMILE TERAN PULISTAR</v>
      </c>
      <c r="Q38" s="52" t="str">
        <f t="shared" si="2"/>
        <v>Ivania  Yamile Teran Pulistar</v>
      </c>
      <c r="R38" s="52" t="str">
        <f t="shared" si="1"/>
        <v>IVANIA  YAMILE TERAN PULISTAR-1004623577-BLS</v>
      </c>
    </row>
    <row r="39" spans="1:18" x14ac:dyDescent="0.2">
      <c r="A39" s="85">
        <v>38</v>
      </c>
      <c r="B39" s="149">
        <v>59676638</v>
      </c>
      <c r="C39" s="149" t="s">
        <v>780</v>
      </c>
      <c r="D39" s="149" t="s">
        <v>781</v>
      </c>
      <c r="E39" s="149" t="s">
        <v>782</v>
      </c>
      <c r="F39" s="149" t="s">
        <v>783</v>
      </c>
      <c r="G39" s="101">
        <v>28</v>
      </c>
      <c r="H39" s="14" t="s">
        <v>181</v>
      </c>
      <c r="I39" s="149"/>
      <c r="J39" s="19">
        <v>55000</v>
      </c>
      <c r="K39" s="149"/>
      <c r="L39" s="14" t="s">
        <v>86</v>
      </c>
      <c r="M39" s="14" t="s">
        <v>664</v>
      </c>
      <c r="N39" s="149" t="s">
        <v>19</v>
      </c>
      <c r="O39" s="100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EL SERVICIO DE LA SALUD Y BUENAS PRACTICAS EN PACIENTE ",IF(N39=CURSOS!$D$10,"CLINICA DE HERIDAS ",IF(N39=CURSOS!$D$11,"TOMA DE CITOLOGIA CERVICO VAGINAL ",IF(N39=CURSOS!$D$12,"SOPORTE CARDIOVASCULAR AVANZADO (ACLS) ",IF(N39=CURSOS!$D$13,"CAMILLERO ",IF(N39=CURSOS!$D$14,"TOMA DE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INYECTOLOGIA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DE MUESTRAS Y LABORATORIO POCT",IF(N39=CURSOS!$D$28,"IMPLANTE SUBDERMICO DE DISPOSITIVO INTRAUTERINO",IF(N39=CURSOS!$D$29,"SALUD MENTAL",IF(N39=CURSOS!$D$30,"PRIMEROS AUXILIOS PSICOLOGICOS",IF(N39=CURSOS!$D$31,"ATENCION A VICTIMAS POR CONFLICTO ARMADO",IF(N39=CURSOS!$D$32,"MANIPULACION DE ALIMENTOS Y BPM",IF(N39=CURSOS!$D$33,"ATENCION A PERSONAS CON DISCAPACIDAD",IF(N39=CURSOS!$D$34,"CUIDADO INTEGRAL DEL PACIENTE ADULTO",IF(N39=CURSOS!$D$35,"MANEJO DEFENSIVO",IF(N39=CURSOS!$D$36,"SOPORTE CARDIOVASCULAR AVANZADO NEONATAL",IF(N39=CURSOS!$D$37,"SEGURIDAD DEL PACIENTE")))))))))))))))))))))))))))))))))))</f>
        <v>SOPORTE VITAL BASICO (BLS)</v>
      </c>
      <c r="P39" s="52" t="str">
        <f t="shared" si="0"/>
        <v>FERNANDA ARECELY CAIZA BOLAÑOZ</v>
      </c>
      <c r="Q39" s="52" t="str">
        <f t="shared" si="2"/>
        <v>Fernanda Arecely Caiza Bolañoz</v>
      </c>
      <c r="R39" s="52" t="str">
        <f t="shared" si="1"/>
        <v>FERNANDA ARECELY CAIZA BOLAÑOZ-59676638-BLS</v>
      </c>
    </row>
    <row r="40" spans="1:18" x14ac:dyDescent="0.2">
      <c r="A40" s="149">
        <v>39</v>
      </c>
      <c r="B40" s="149">
        <v>1087412482</v>
      </c>
      <c r="C40" s="149" t="s">
        <v>798</v>
      </c>
      <c r="D40" s="149" t="s">
        <v>801</v>
      </c>
      <c r="E40" s="149" t="s">
        <v>799</v>
      </c>
      <c r="F40" s="149" t="s">
        <v>800</v>
      </c>
      <c r="G40" s="150">
        <v>28</v>
      </c>
      <c r="H40" s="14" t="s">
        <v>181</v>
      </c>
      <c r="I40" s="149"/>
      <c r="J40" s="149">
        <v>55000</v>
      </c>
      <c r="K40" s="149"/>
      <c r="L40" s="14" t="s">
        <v>86</v>
      </c>
      <c r="M40" s="14" t="s">
        <v>664</v>
      </c>
      <c r="N40" s="149" t="s">
        <v>19</v>
      </c>
      <c r="O40" s="100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EL SERVICIO DE LA SALUD Y BUENAS PRACTICAS EN PACIENTE ",IF(N40=CURSOS!$D$10,"CLINICA DE HERIDAS ",IF(N40=CURSOS!$D$11,"TOMA DE CITOLOGIA CERVICO VAGINAL ",IF(N40=CURSOS!$D$12,"SOPORTE CARDIOVASCULAR AVANZADO (ACLS) ",IF(N40=CURSOS!$D$13,"CAMILLERO ",IF(N40=CURSOS!$D$14,"TOMA DE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INYECTOLOGIA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DE MUESTRAS Y LABORATORIO POCT",IF(N40=CURSOS!$D$28,"IMPLANTE SUBDERMICO DE DISPOSITIVO INTRAUTERINO",IF(N40=CURSOS!$D$29,"SALUD MENTAL",IF(N40=CURSOS!$D$30,"PRIMEROS AUXILIOS PSICOLOGICOS",IF(N40=CURSOS!$D$31,"ATENCION A VICTIMAS POR CONFLICTO ARMADO",IF(N40=CURSOS!$D$32,"MANIPULACION DE ALIMENTOS Y BPM",IF(N40=CURSOS!$D$33,"ATENCION A PERSONAS CON DISCAPACIDAD",IF(N40=CURSOS!$D$34,"CUIDADO INTEGRAL DEL PACIENTE ADULTO",IF(N40=CURSOS!$D$35,"MANEJO DEFENSIVO",IF(N40=CURSOS!$D$36,"SOPORTE CARDIOVASCULAR AVANZADO NEONATAL",IF(N40=CURSOS!$D$37,"SEGURIDAD DEL PACIENTE")))))))))))))))))))))))))))))))))))</f>
        <v>SOPORTE VITAL BASICO (BLS)</v>
      </c>
      <c r="P40" s="52" t="str">
        <f t="shared" ref="P40" si="3">CONCATENATE(E40," ",F40," ",C40," ",D40)</f>
        <v>ANA LUCY RIVERA RODRIGUEZ</v>
      </c>
      <c r="Q40" s="52" t="str">
        <f t="shared" ref="Q40" si="4">+PROPER(P40)</f>
        <v>Ana Lucy Rivera Rodriguez</v>
      </c>
      <c r="R40" s="52" t="str">
        <f t="shared" ref="R40" si="5">CONCATENATE(P40,"-",B40,"-",N40)</f>
        <v>ANA LUCY RIVERA RODRIGUEZ-1087412482-BLS</v>
      </c>
    </row>
    <row r="41" spans="1:18" x14ac:dyDescent="0.2">
      <c r="A41" s="149">
        <v>40</v>
      </c>
      <c r="B41" s="149"/>
      <c r="C41" s="149"/>
      <c r="D41" s="149"/>
      <c r="E41" s="149"/>
      <c r="F41" s="149"/>
      <c r="G41" s="150"/>
      <c r="H41" s="14"/>
      <c r="I41" s="149"/>
      <c r="J41" s="163">
        <f>SUM(J2:J40)</f>
        <v>2145000</v>
      </c>
      <c r="K41" s="149"/>
      <c r="L41" s="14"/>
      <c r="M41" s="14"/>
      <c r="N41" s="149"/>
      <c r="O41" s="100"/>
      <c r="P41" s="52"/>
      <c r="Q41" s="52"/>
      <c r="R41" s="52"/>
    </row>
    <row r="42" spans="1:18" x14ac:dyDescent="0.2">
      <c r="A42" s="149">
        <v>41</v>
      </c>
      <c r="B42" s="149"/>
      <c r="C42" s="149"/>
      <c r="D42" s="149"/>
      <c r="E42" s="149"/>
      <c r="F42" s="149"/>
      <c r="G42" s="150"/>
      <c r="H42" s="14"/>
      <c r="I42" s="149"/>
      <c r="J42" s="149"/>
      <c r="K42" s="149"/>
      <c r="L42" s="14"/>
      <c r="M42" s="14"/>
      <c r="N42" s="149"/>
      <c r="O42" s="100"/>
      <c r="P42" s="52"/>
      <c r="Q42" s="52"/>
      <c r="R42" s="52"/>
    </row>
    <row r="43" spans="1:18" x14ac:dyDescent="0.2">
      <c r="A43" s="152">
        <v>42</v>
      </c>
      <c r="B43" s="149"/>
      <c r="C43" s="149"/>
      <c r="D43" s="149"/>
      <c r="E43" s="149"/>
      <c r="F43" s="149"/>
      <c r="G43" s="150"/>
      <c r="H43" s="14"/>
      <c r="I43" s="149"/>
      <c r="J43" s="149"/>
      <c r="K43" s="149"/>
      <c r="L43" s="14"/>
      <c r="M43" s="14"/>
      <c r="N43" s="149"/>
      <c r="O43" s="100"/>
      <c r="P43" s="52"/>
      <c r="Q43" s="52"/>
      <c r="R43" s="52"/>
    </row>
    <row r="44" spans="1:18" x14ac:dyDescent="0.2">
      <c r="A44" s="149">
        <v>43</v>
      </c>
      <c r="B44" s="149"/>
      <c r="C44" s="149"/>
      <c r="D44" s="149"/>
      <c r="E44" s="149"/>
      <c r="F44" s="149"/>
      <c r="G44" s="150"/>
      <c r="H44" s="14"/>
      <c r="I44" s="149"/>
      <c r="J44" s="149"/>
      <c r="K44" s="149"/>
      <c r="L44" s="14"/>
      <c r="M44" s="14"/>
      <c r="N44" s="149"/>
      <c r="O44" s="100"/>
      <c r="P44" s="52"/>
      <c r="Q44" s="52"/>
      <c r="R44" s="52"/>
    </row>
    <row r="45" spans="1:18" x14ac:dyDescent="0.2">
      <c r="A45" s="149">
        <v>44</v>
      </c>
      <c r="B45" s="149"/>
      <c r="C45" s="149"/>
      <c r="D45" s="149"/>
      <c r="E45" s="149"/>
      <c r="F45" s="149"/>
      <c r="G45" s="150"/>
      <c r="H45" s="14"/>
      <c r="I45" s="149"/>
      <c r="J45" s="149"/>
      <c r="K45" s="149"/>
      <c r="L45" s="14"/>
      <c r="M45" s="14"/>
      <c r="N45" s="149"/>
      <c r="O45" s="100"/>
      <c r="P45" s="52"/>
      <c r="Q45" s="52"/>
      <c r="R45" s="52"/>
    </row>
    <row r="46" spans="1:18" x14ac:dyDescent="0.2">
      <c r="A46" s="149">
        <v>45</v>
      </c>
      <c r="B46" s="149"/>
      <c r="C46" s="149"/>
      <c r="D46" s="149"/>
      <c r="E46" s="149"/>
      <c r="F46" s="149"/>
      <c r="G46" s="150"/>
      <c r="H46" s="14"/>
      <c r="I46" s="149"/>
      <c r="J46" s="149"/>
      <c r="K46" s="149"/>
      <c r="L46" s="14"/>
      <c r="M46" s="14"/>
      <c r="N46" s="149"/>
      <c r="O46" s="100"/>
      <c r="P46" s="52"/>
      <c r="Q46" s="52"/>
      <c r="R46" s="52"/>
    </row>
    <row r="47" spans="1:18" x14ac:dyDescent="0.2">
      <c r="A47" s="149">
        <v>46</v>
      </c>
      <c r="B47" s="149"/>
      <c r="C47" s="149"/>
      <c r="D47" s="149"/>
      <c r="E47" s="149"/>
      <c r="F47" s="149"/>
      <c r="G47" s="101"/>
      <c r="H47" s="14"/>
      <c r="I47" s="149"/>
      <c r="J47" s="149"/>
      <c r="K47" s="149"/>
      <c r="L47" s="14"/>
      <c r="M47" s="14"/>
      <c r="N47" s="149"/>
      <c r="O47" s="100"/>
      <c r="P47" s="52"/>
      <c r="Q47" s="52"/>
      <c r="R47" s="52"/>
    </row>
    <row r="48" spans="1:18" x14ac:dyDescent="0.2">
      <c r="A48" s="149">
        <v>47</v>
      </c>
      <c r="B48" s="149"/>
      <c r="C48" s="149"/>
      <c r="D48" s="149"/>
      <c r="E48" s="149"/>
      <c r="F48" s="149"/>
      <c r="G48" s="101"/>
      <c r="H48" s="14"/>
      <c r="I48" s="149"/>
      <c r="J48" s="149"/>
      <c r="K48" s="149"/>
      <c r="L48" s="14"/>
      <c r="M48" s="14"/>
      <c r="N48" s="149"/>
      <c r="O48" s="52"/>
      <c r="P48" s="52"/>
      <c r="Q48" s="52"/>
      <c r="R48" s="52"/>
    </row>
    <row r="49" spans="1:18" x14ac:dyDescent="0.2">
      <c r="A49" s="149">
        <v>48</v>
      </c>
      <c r="B49" s="149"/>
      <c r="C49" s="149"/>
      <c r="D49" s="149"/>
      <c r="E49" s="149"/>
      <c r="F49" s="149"/>
      <c r="G49" s="150"/>
      <c r="H49" s="14"/>
      <c r="I49" s="149"/>
      <c r="J49" s="149"/>
      <c r="K49" s="149"/>
      <c r="L49" s="14"/>
      <c r="M49" s="14"/>
      <c r="N49" s="149"/>
      <c r="O49" s="52"/>
      <c r="P49" s="52"/>
      <c r="Q49" s="52"/>
      <c r="R49" s="52"/>
    </row>
    <row r="50" spans="1:18" s="153" customFormat="1" x14ac:dyDescent="0.2">
      <c r="A50" s="85">
        <v>49</v>
      </c>
      <c r="B50" s="149"/>
      <c r="C50" s="149"/>
      <c r="D50" s="149"/>
      <c r="E50" s="149"/>
      <c r="F50" s="149"/>
      <c r="G50" s="150"/>
      <c r="H50" s="14"/>
      <c r="I50" s="149"/>
      <c r="J50" s="149"/>
      <c r="K50" s="149"/>
      <c r="L50" s="14"/>
      <c r="M50" s="14"/>
      <c r="N50" s="149"/>
      <c r="O50" s="52"/>
      <c r="P50" s="52"/>
      <c r="Q50" s="52"/>
      <c r="R50" s="52"/>
    </row>
    <row r="51" spans="1:18" s="98" customFormat="1" x14ac:dyDescent="0.2">
      <c r="A51" s="85">
        <v>50</v>
      </c>
      <c r="B51" s="17"/>
      <c r="C51" s="86"/>
      <c r="D51" s="86"/>
      <c r="E51" s="86"/>
      <c r="F51" s="86"/>
      <c r="G51" s="150"/>
      <c r="H51" s="14"/>
      <c r="I51" s="16"/>
      <c r="J51" s="19"/>
      <c r="K51" s="16"/>
      <c r="L51" s="14"/>
      <c r="M51" s="14"/>
      <c r="N51" s="15"/>
      <c r="O51" s="52"/>
      <c r="P51" s="52"/>
      <c r="Q51" s="52"/>
      <c r="R51" s="52"/>
    </row>
    <row r="52" spans="1:18" s="98" customFormat="1" x14ac:dyDescent="0.2">
      <c r="A52" s="149">
        <v>51</v>
      </c>
      <c r="B52" s="17"/>
      <c r="C52" s="86"/>
      <c r="D52" s="86"/>
      <c r="E52" s="86"/>
      <c r="F52" s="86"/>
      <c r="G52" s="150"/>
      <c r="H52" s="14"/>
      <c r="I52" s="16"/>
      <c r="J52" s="19"/>
      <c r="K52" s="16"/>
      <c r="L52" s="14"/>
      <c r="M52" s="14"/>
      <c r="N52" s="15"/>
      <c r="O52" s="52"/>
      <c r="P52" s="52"/>
      <c r="Q52" s="52"/>
      <c r="R52" s="52"/>
    </row>
    <row r="53" spans="1:18" s="98" customFormat="1" x14ac:dyDescent="0.2">
      <c r="A53" s="149">
        <v>52</v>
      </c>
      <c r="B53" s="17"/>
      <c r="C53" s="86"/>
      <c r="D53" s="86"/>
      <c r="E53" s="86"/>
      <c r="F53" s="86"/>
      <c r="G53" s="150"/>
      <c r="H53" s="14"/>
      <c r="I53" s="16"/>
      <c r="J53" s="19"/>
      <c r="K53" s="16"/>
      <c r="L53" s="14"/>
      <c r="M53" s="14"/>
      <c r="N53" s="15"/>
      <c r="O53" s="52"/>
      <c r="P53" s="52"/>
      <c r="Q53" s="52"/>
      <c r="R53" s="52"/>
    </row>
    <row r="54" spans="1:18" s="154" customFormat="1" x14ac:dyDescent="0.2">
      <c r="A54" s="149">
        <v>53</v>
      </c>
      <c r="B54" s="17"/>
      <c r="C54" s="149"/>
      <c r="D54" s="149"/>
      <c r="E54" s="149"/>
      <c r="F54" s="149"/>
      <c r="G54" s="150"/>
      <c r="H54" s="14"/>
      <c r="I54" s="149"/>
      <c r="J54" s="149"/>
      <c r="K54" s="149"/>
      <c r="L54" s="14"/>
      <c r="M54" s="14"/>
      <c r="N54" s="15"/>
      <c r="O54" s="52"/>
      <c r="P54" s="52"/>
      <c r="Q54" s="52"/>
      <c r="R54" s="52"/>
    </row>
    <row r="55" spans="1:18" s="154" customFormat="1" x14ac:dyDescent="0.2">
      <c r="A55" s="149">
        <v>54</v>
      </c>
      <c r="B55" s="17"/>
      <c r="C55" s="149"/>
      <c r="D55" s="149"/>
      <c r="E55" s="149"/>
      <c r="F55" s="149"/>
      <c r="G55" s="150"/>
      <c r="H55" s="14"/>
      <c r="I55" s="149"/>
      <c r="J55" s="149"/>
      <c r="K55" s="149"/>
      <c r="L55" s="14"/>
      <c r="M55" s="14"/>
      <c r="N55" s="15"/>
      <c r="O55" s="52"/>
      <c r="P55" s="52"/>
      <c r="Q55" s="52"/>
      <c r="R55" s="52"/>
    </row>
    <row r="56" spans="1:18" s="154" customFormat="1" x14ac:dyDescent="0.2">
      <c r="A56" s="149">
        <v>55</v>
      </c>
      <c r="B56" s="17"/>
      <c r="C56" s="149"/>
      <c r="D56" s="149"/>
      <c r="E56" s="149"/>
      <c r="F56" s="149"/>
      <c r="G56" s="101"/>
      <c r="H56" s="14"/>
      <c r="I56" s="149"/>
      <c r="J56" s="149"/>
      <c r="K56" s="149"/>
      <c r="L56" s="14"/>
      <c r="M56" s="14"/>
      <c r="N56" s="15"/>
      <c r="O56" s="52"/>
      <c r="P56" s="52"/>
      <c r="Q56" s="52"/>
      <c r="R56" s="52"/>
    </row>
    <row r="57" spans="1:18" s="154" customFormat="1" x14ac:dyDescent="0.2">
      <c r="A57" s="149">
        <v>56</v>
      </c>
      <c r="B57" s="149"/>
      <c r="C57" s="149"/>
      <c r="D57" s="149"/>
      <c r="E57" s="149"/>
      <c r="F57" s="149"/>
      <c r="G57" s="101"/>
      <c r="H57" s="14"/>
      <c r="I57" s="149"/>
      <c r="J57" s="149"/>
      <c r="K57" s="149"/>
      <c r="L57" s="14"/>
      <c r="M57" s="14"/>
      <c r="N57" s="15"/>
      <c r="O57" s="52"/>
      <c r="P57" s="52"/>
      <c r="Q57" s="52"/>
      <c r="R57" s="52"/>
    </row>
    <row r="58" spans="1:18" s="154" customFormat="1" x14ac:dyDescent="0.2">
      <c r="A58" s="85">
        <v>57</v>
      </c>
      <c r="B58" s="149"/>
      <c r="C58" s="149"/>
      <c r="D58" s="149"/>
      <c r="E58" s="149"/>
      <c r="F58" s="149"/>
      <c r="G58" s="150"/>
      <c r="H58" s="14"/>
      <c r="I58" s="149"/>
      <c r="J58" s="149"/>
      <c r="K58" s="149"/>
      <c r="L58" s="14"/>
      <c r="M58" s="14"/>
      <c r="N58" s="15"/>
      <c r="O58" s="52"/>
      <c r="P58" s="52"/>
      <c r="Q58" s="52"/>
      <c r="R58" s="52"/>
    </row>
    <row r="59" spans="1:18" s="154" customFormat="1" x14ac:dyDescent="0.2">
      <c r="A59" s="85">
        <v>58</v>
      </c>
      <c r="B59" s="149"/>
      <c r="C59" s="149"/>
      <c r="D59" s="149"/>
      <c r="E59" s="149"/>
      <c r="F59" s="149"/>
      <c r="G59" s="150"/>
      <c r="H59" s="14"/>
      <c r="I59" s="149"/>
      <c r="J59" s="149"/>
      <c r="K59" s="149"/>
      <c r="L59" s="14"/>
      <c r="M59" s="14"/>
      <c r="N59" s="15"/>
      <c r="O59" s="52"/>
      <c r="P59" s="52"/>
      <c r="Q59" s="52"/>
      <c r="R59" s="52"/>
    </row>
    <row r="60" spans="1:18" s="154" customFormat="1" x14ac:dyDescent="0.2">
      <c r="A60" s="149">
        <v>59</v>
      </c>
      <c r="B60" s="149"/>
      <c r="C60" s="149"/>
      <c r="D60" s="149"/>
      <c r="E60" s="149"/>
      <c r="F60" s="149"/>
      <c r="G60" s="150"/>
      <c r="H60" s="14"/>
      <c r="I60" s="149"/>
      <c r="J60" s="149"/>
      <c r="K60" s="149"/>
      <c r="L60" s="14"/>
      <c r="M60" s="14"/>
      <c r="N60" s="15"/>
      <c r="O60" s="52"/>
      <c r="P60" s="52"/>
      <c r="Q60" s="52"/>
      <c r="R60" s="52"/>
    </row>
    <row r="61" spans="1:18" s="154" customFormat="1" x14ac:dyDescent="0.2">
      <c r="A61" s="149">
        <v>60</v>
      </c>
      <c r="B61" s="149"/>
      <c r="C61" s="149"/>
      <c r="D61" s="149"/>
      <c r="E61" s="149"/>
      <c r="F61" s="149"/>
      <c r="G61" s="150"/>
      <c r="H61" s="14"/>
      <c r="I61" s="149"/>
      <c r="J61" s="149"/>
      <c r="K61" s="149"/>
      <c r="L61" s="14"/>
      <c r="M61" s="14"/>
      <c r="N61" s="15"/>
      <c r="O61" s="52"/>
      <c r="P61" s="52"/>
      <c r="Q61" s="52"/>
      <c r="R61" s="52"/>
    </row>
    <row r="62" spans="1:18" s="154" customFormat="1" x14ac:dyDescent="0.2">
      <c r="A62" s="149">
        <v>61</v>
      </c>
      <c r="B62" s="149"/>
      <c r="C62" s="149"/>
      <c r="D62" s="149"/>
      <c r="E62" s="149"/>
      <c r="F62" s="149"/>
      <c r="G62" s="150"/>
      <c r="H62" s="14"/>
      <c r="I62" s="149"/>
      <c r="J62" s="149"/>
      <c r="K62" s="149"/>
      <c r="L62" s="14"/>
      <c r="M62" s="14"/>
      <c r="N62" s="15"/>
      <c r="O62" s="52"/>
      <c r="P62" s="52"/>
      <c r="Q62" s="52"/>
      <c r="R62" s="52"/>
    </row>
    <row r="63" spans="1:18" s="154" customFormat="1" x14ac:dyDescent="0.2">
      <c r="A63" s="149">
        <v>62</v>
      </c>
      <c r="B63" s="149"/>
      <c r="C63" s="149"/>
      <c r="D63" s="149"/>
      <c r="E63" s="149"/>
      <c r="F63" s="149"/>
      <c r="G63" s="150"/>
      <c r="H63" s="14"/>
      <c r="I63" s="149"/>
      <c r="J63" s="149"/>
      <c r="K63" s="149"/>
      <c r="L63" s="14"/>
      <c r="M63" s="14"/>
      <c r="N63" s="15"/>
      <c r="O63" s="52"/>
      <c r="P63" s="52"/>
      <c r="Q63" s="52"/>
      <c r="R63" s="52"/>
    </row>
    <row r="64" spans="1:18" s="154" customFormat="1" x14ac:dyDescent="0.2">
      <c r="A64" s="149">
        <v>63</v>
      </c>
      <c r="B64" s="149"/>
      <c r="C64" s="149"/>
      <c r="D64" s="149"/>
      <c r="E64" s="149"/>
      <c r="F64" s="149"/>
      <c r="G64" s="150"/>
      <c r="H64" s="14"/>
      <c r="I64" s="149"/>
      <c r="J64" s="149"/>
      <c r="K64" s="149"/>
      <c r="L64" s="14"/>
      <c r="M64" s="14"/>
      <c r="N64" s="15"/>
      <c r="O64" s="52"/>
      <c r="P64" s="52"/>
      <c r="Q64" s="52"/>
      <c r="R64" s="52"/>
    </row>
    <row r="65" spans="1:18" s="154" customFormat="1" x14ac:dyDescent="0.2">
      <c r="A65" s="149">
        <v>64</v>
      </c>
      <c r="B65" s="149"/>
      <c r="C65" s="149"/>
      <c r="D65" s="149"/>
      <c r="E65" s="149"/>
      <c r="F65" s="149"/>
      <c r="G65" s="101"/>
      <c r="H65" s="14"/>
      <c r="I65" s="149"/>
      <c r="J65" s="149"/>
      <c r="K65" s="149"/>
      <c r="L65" s="14"/>
      <c r="M65" s="14"/>
      <c r="N65" s="15"/>
      <c r="O65" s="52"/>
      <c r="P65" s="52"/>
      <c r="Q65" s="52"/>
      <c r="R65" s="52"/>
    </row>
    <row r="66" spans="1:18" s="154" customFormat="1" x14ac:dyDescent="0.2">
      <c r="A66" s="149">
        <v>65</v>
      </c>
      <c r="B66" s="149"/>
      <c r="C66" s="149"/>
      <c r="D66" s="149"/>
      <c r="E66" s="149"/>
      <c r="F66" s="149"/>
      <c r="G66" s="101"/>
      <c r="H66" s="14"/>
      <c r="I66" s="149"/>
      <c r="J66" s="149"/>
      <c r="K66" s="149"/>
      <c r="L66" s="14"/>
      <c r="M66" s="14"/>
      <c r="N66" s="15"/>
      <c r="O66" s="52"/>
      <c r="P66" s="52"/>
      <c r="Q66" s="52"/>
      <c r="R66" s="52"/>
    </row>
    <row r="67" spans="1:18" s="154" customFormat="1" x14ac:dyDescent="0.2">
      <c r="A67" s="149">
        <v>66</v>
      </c>
      <c r="B67" s="149"/>
      <c r="C67" s="149"/>
      <c r="D67" s="149"/>
      <c r="E67" s="149"/>
      <c r="F67" s="149"/>
      <c r="G67" s="150"/>
      <c r="H67" s="14"/>
      <c r="I67" s="149"/>
      <c r="J67" s="149"/>
      <c r="K67" s="149"/>
      <c r="L67" s="14"/>
      <c r="M67" s="14"/>
      <c r="N67" s="15"/>
      <c r="O67" s="52"/>
      <c r="P67" s="52"/>
      <c r="Q67" s="52"/>
      <c r="R67" s="52"/>
    </row>
    <row r="68" spans="1:18" s="154" customFormat="1" x14ac:dyDescent="0.2">
      <c r="A68" s="149">
        <v>67</v>
      </c>
      <c r="B68" s="149"/>
      <c r="C68" s="149"/>
      <c r="D68" s="149"/>
      <c r="E68" s="149"/>
      <c r="F68" s="149"/>
      <c r="G68" s="150"/>
      <c r="H68" s="14"/>
      <c r="I68" s="149"/>
      <c r="J68" s="149"/>
      <c r="K68" s="149"/>
      <c r="L68" s="14"/>
      <c r="M68" s="14"/>
      <c r="N68" s="15"/>
      <c r="O68" s="52"/>
      <c r="P68" s="52"/>
      <c r="Q68" s="52"/>
      <c r="R68" s="52"/>
    </row>
    <row r="69" spans="1:18" s="154" customFormat="1" x14ac:dyDescent="0.2">
      <c r="A69" s="149">
        <v>68</v>
      </c>
      <c r="B69" s="149"/>
      <c r="C69" s="149"/>
      <c r="D69" s="149"/>
      <c r="E69" s="149"/>
      <c r="F69" s="149"/>
      <c r="G69" s="150"/>
      <c r="H69" s="14"/>
      <c r="I69" s="149"/>
      <c r="J69" s="149"/>
      <c r="K69" s="149"/>
      <c r="L69" s="14"/>
      <c r="M69" s="14"/>
      <c r="N69" s="15"/>
      <c r="O69" s="52"/>
      <c r="P69" s="52"/>
      <c r="Q69" s="52"/>
      <c r="R69" s="52"/>
    </row>
    <row r="70" spans="1:18" s="154" customFormat="1" x14ac:dyDescent="0.2">
      <c r="A70" s="85">
        <v>69</v>
      </c>
      <c r="B70" s="149"/>
      <c r="C70" s="149"/>
      <c r="D70" s="149"/>
      <c r="E70" s="149"/>
      <c r="F70" s="149"/>
      <c r="G70" s="150"/>
      <c r="H70" s="14"/>
      <c r="I70" s="149"/>
      <c r="J70" s="149"/>
      <c r="K70" s="149"/>
      <c r="L70" s="14"/>
      <c r="M70" s="14"/>
      <c r="N70" s="15"/>
      <c r="O70" s="52"/>
      <c r="P70" s="52"/>
      <c r="Q70" s="52"/>
      <c r="R70" s="52"/>
    </row>
    <row r="71" spans="1:18" s="154" customFormat="1" x14ac:dyDescent="0.2">
      <c r="A71" s="85">
        <v>70</v>
      </c>
      <c r="B71" s="149"/>
      <c r="C71" s="149"/>
      <c r="D71" s="149"/>
      <c r="E71" s="149"/>
      <c r="F71" s="149"/>
      <c r="G71" s="150"/>
      <c r="H71" s="14"/>
      <c r="I71" s="149"/>
      <c r="J71" s="149"/>
      <c r="K71" s="149"/>
      <c r="L71" s="14"/>
      <c r="M71" s="14"/>
      <c r="N71" s="15"/>
      <c r="O71" s="52"/>
      <c r="P71" s="52"/>
      <c r="Q71" s="52"/>
      <c r="R71" s="52"/>
    </row>
    <row r="72" spans="1:18" s="154" customFormat="1" x14ac:dyDescent="0.2">
      <c r="A72" s="149">
        <v>71</v>
      </c>
      <c r="B72" s="149"/>
      <c r="C72" s="149"/>
      <c r="D72" s="149"/>
      <c r="E72" s="149"/>
      <c r="F72" s="149"/>
      <c r="G72" s="150"/>
      <c r="H72" s="14"/>
      <c r="I72" s="149"/>
      <c r="J72" s="149"/>
      <c r="K72" s="149"/>
      <c r="L72" s="14"/>
      <c r="M72" s="14"/>
      <c r="N72" s="15"/>
      <c r="O72" s="52"/>
      <c r="P72" s="52"/>
      <c r="Q72" s="52"/>
      <c r="R72" s="52"/>
    </row>
    <row r="73" spans="1:18" s="154" customFormat="1" x14ac:dyDescent="0.2">
      <c r="A73" s="149">
        <v>72</v>
      </c>
      <c r="B73" s="149"/>
      <c r="C73" s="149"/>
      <c r="D73" s="149"/>
      <c r="E73" s="149"/>
      <c r="F73" s="149"/>
      <c r="G73" s="150"/>
      <c r="H73" s="14"/>
      <c r="I73" s="149"/>
      <c r="J73" s="149"/>
      <c r="K73" s="149"/>
      <c r="L73" s="14"/>
      <c r="M73" s="14"/>
      <c r="N73" s="15"/>
      <c r="O73" s="52"/>
      <c r="P73" s="52"/>
      <c r="Q73" s="52"/>
      <c r="R73" s="52"/>
    </row>
    <row r="74" spans="1:18" s="154" customFormat="1" x14ac:dyDescent="0.2">
      <c r="A74" s="149">
        <v>73</v>
      </c>
      <c r="B74" s="149"/>
      <c r="C74" s="149"/>
      <c r="D74" s="149"/>
      <c r="E74" s="149"/>
      <c r="F74" s="149"/>
      <c r="G74" s="101"/>
      <c r="H74" s="14"/>
      <c r="I74" s="149"/>
      <c r="J74" s="149"/>
      <c r="K74" s="149"/>
      <c r="L74" s="14"/>
      <c r="M74" s="14"/>
      <c r="N74" s="15"/>
      <c r="O74" s="52"/>
      <c r="P74" s="52"/>
      <c r="Q74" s="52"/>
      <c r="R74" s="52"/>
    </row>
    <row r="75" spans="1:18" s="154" customFormat="1" x14ac:dyDescent="0.2">
      <c r="A75" s="149">
        <v>74</v>
      </c>
      <c r="B75" s="149"/>
      <c r="C75" s="149"/>
      <c r="D75" s="149"/>
      <c r="E75" s="149"/>
      <c r="F75" s="149"/>
      <c r="G75" s="101"/>
      <c r="H75" s="14"/>
      <c r="I75" s="149"/>
      <c r="J75" s="149"/>
      <c r="K75" s="149"/>
      <c r="L75" s="14"/>
      <c r="M75" s="14"/>
      <c r="N75" s="15"/>
      <c r="O75" s="52"/>
      <c r="P75" s="52"/>
      <c r="Q75" s="52"/>
      <c r="R75" s="52"/>
    </row>
    <row r="76" spans="1:18" s="154" customFormat="1" x14ac:dyDescent="0.2">
      <c r="A76" s="149">
        <v>75</v>
      </c>
      <c r="B76" s="149"/>
      <c r="C76" s="149"/>
      <c r="D76" s="149"/>
      <c r="E76" s="149"/>
      <c r="F76" s="149"/>
      <c r="G76" s="150"/>
      <c r="H76" s="14"/>
      <c r="I76" s="149"/>
      <c r="J76" s="149"/>
      <c r="K76" s="149"/>
      <c r="L76" s="14"/>
      <c r="M76" s="14"/>
      <c r="N76" s="15"/>
      <c r="O76" s="52"/>
      <c r="P76" s="52"/>
      <c r="Q76" s="52"/>
      <c r="R76" s="52"/>
    </row>
    <row r="77" spans="1:18" s="154" customFormat="1" x14ac:dyDescent="0.2">
      <c r="A77" s="149">
        <v>76</v>
      </c>
      <c r="B77" s="149"/>
      <c r="C77" s="149"/>
      <c r="D77" s="149"/>
      <c r="E77" s="149"/>
      <c r="F77" s="149"/>
      <c r="G77" s="150"/>
      <c r="H77" s="14"/>
      <c r="I77" s="149"/>
      <c r="J77" s="149"/>
      <c r="K77" s="149"/>
      <c r="L77" s="14"/>
      <c r="M77" s="14"/>
      <c r="N77" s="15"/>
      <c r="O77" s="52"/>
      <c r="P77" s="52"/>
      <c r="Q77" s="52"/>
      <c r="R77" s="52"/>
    </row>
    <row r="78" spans="1:18" s="154" customFormat="1" x14ac:dyDescent="0.2">
      <c r="A78" s="85">
        <v>77</v>
      </c>
      <c r="B78" s="149"/>
      <c r="C78" s="149"/>
      <c r="D78" s="149"/>
      <c r="E78" s="149"/>
      <c r="F78" s="149"/>
      <c r="G78" s="150"/>
      <c r="H78" s="14"/>
      <c r="I78" s="149"/>
      <c r="J78" s="149"/>
      <c r="K78" s="149"/>
      <c r="L78" s="14"/>
      <c r="M78" s="14"/>
      <c r="N78" s="15"/>
      <c r="O78" s="52"/>
      <c r="P78" s="52"/>
      <c r="Q78" s="52"/>
      <c r="R78" s="52"/>
    </row>
    <row r="79" spans="1:18" s="154" customFormat="1" x14ac:dyDescent="0.2">
      <c r="A79" s="85">
        <v>78</v>
      </c>
      <c r="B79" s="149"/>
      <c r="C79" s="149"/>
      <c r="D79" s="149"/>
      <c r="E79" s="149"/>
      <c r="F79" s="149"/>
      <c r="G79" s="150"/>
      <c r="H79" s="14"/>
      <c r="I79" s="149"/>
      <c r="J79" s="149"/>
      <c r="K79" s="149"/>
      <c r="L79" s="14"/>
      <c r="M79" s="14"/>
      <c r="N79" s="15"/>
      <c r="O79" s="52"/>
      <c r="P79" s="52"/>
      <c r="Q79" s="52"/>
      <c r="R79" s="52"/>
    </row>
    <row r="80" spans="1:18" s="154" customFormat="1" x14ac:dyDescent="0.2">
      <c r="A80" s="149">
        <v>79</v>
      </c>
      <c r="B80" s="149"/>
      <c r="C80" s="149"/>
      <c r="D80" s="149"/>
      <c r="E80" s="149"/>
      <c r="F80" s="149"/>
      <c r="G80" s="150"/>
      <c r="H80" s="14"/>
      <c r="I80" s="149"/>
      <c r="J80" s="149"/>
      <c r="K80" s="149"/>
      <c r="L80" s="14"/>
      <c r="M80" s="14"/>
      <c r="N80" s="15"/>
      <c r="O80" s="52"/>
      <c r="P80" s="52"/>
      <c r="Q80" s="52"/>
      <c r="R80" s="52"/>
    </row>
    <row r="81" spans="1:18" s="154" customFormat="1" x14ac:dyDescent="0.2">
      <c r="A81" s="149">
        <v>80</v>
      </c>
      <c r="B81" s="149"/>
      <c r="C81" s="149"/>
      <c r="D81" s="149"/>
      <c r="E81" s="149"/>
      <c r="F81" s="149"/>
      <c r="G81" s="150"/>
      <c r="H81" s="14"/>
      <c r="I81" s="149"/>
      <c r="J81" s="149"/>
      <c r="K81" s="149"/>
      <c r="L81" s="14"/>
      <c r="M81" s="14"/>
      <c r="N81" s="15"/>
      <c r="O81" s="52"/>
      <c r="P81" s="52"/>
      <c r="Q81" s="52"/>
      <c r="R81" s="52"/>
    </row>
    <row r="82" spans="1:18" s="154" customFormat="1" x14ac:dyDescent="0.2">
      <c r="A82" s="149">
        <v>81</v>
      </c>
      <c r="B82" s="149"/>
      <c r="C82" s="149"/>
      <c r="D82" s="149"/>
      <c r="E82" s="149"/>
      <c r="F82" s="149"/>
      <c r="G82" s="150"/>
      <c r="H82" s="14"/>
      <c r="I82" s="149"/>
      <c r="J82" s="149"/>
      <c r="K82" s="149"/>
      <c r="L82" s="14"/>
      <c r="M82" s="14"/>
      <c r="N82" s="15"/>
      <c r="O82" s="52"/>
      <c r="P82" s="52"/>
      <c r="Q82" s="52"/>
      <c r="R82" s="52"/>
    </row>
    <row r="83" spans="1:18" s="154" customFormat="1" x14ac:dyDescent="0.2">
      <c r="A83" s="149">
        <v>82</v>
      </c>
      <c r="B83" s="149"/>
      <c r="C83" s="149"/>
      <c r="D83" s="149"/>
      <c r="E83" s="149"/>
      <c r="F83" s="149"/>
      <c r="G83" s="101"/>
      <c r="H83" s="14"/>
      <c r="I83" s="149"/>
      <c r="J83" s="149"/>
      <c r="K83" s="149"/>
      <c r="L83" s="14"/>
      <c r="M83" s="14"/>
      <c r="N83" s="15"/>
      <c r="O83" s="52"/>
      <c r="P83" s="52"/>
      <c r="Q83" s="52"/>
      <c r="R83" s="52"/>
    </row>
    <row r="84" spans="1:18" s="154" customFormat="1" x14ac:dyDescent="0.2">
      <c r="A84" s="149">
        <v>83</v>
      </c>
      <c r="B84" s="149"/>
      <c r="C84" s="149"/>
      <c r="D84" s="149"/>
      <c r="E84" s="149"/>
      <c r="F84" s="149"/>
      <c r="G84" s="101"/>
      <c r="H84" s="14"/>
      <c r="I84" s="149"/>
      <c r="J84" s="149"/>
      <c r="K84" s="149"/>
      <c r="L84" s="14"/>
      <c r="M84" s="14"/>
      <c r="N84" s="15"/>
      <c r="O84" s="52"/>
      <c r="P84" s="52"/>
      <c r="Q84" s="52"/>
      <c r="R84" s="52"/>
    </row>
    <row r="85" spans="1:18" s="154" customFormat="1" x14ac:dyDescent="0.2">
      <c r="A85" s="149">
        <v>84</v>
      </c>
      <c r="B85" s="149"/>
      <c r="C85" s="149"/>
      <c r="D85" s="149"/>
      <c r="E85" s="149"/>
      <c r="F85" s="149"/>
      <c r="G85" s="150"/>
      <c r="H85" s="14"/>
      <c r="I85" s="149"/>
      <c r="J85" s="149"/>
      <c r="K85" s="149"/>
      <c r="L85" s="14"/>
      <c r="M85" s="14"/>
      <c r="N85" s="15"/>
      <c r="O85" s="52"/>
      <c r="P85" s="52"/>
      <c r="Q85" s="52"/>
      <c r="R85" s="52"/>
    </row>
    <row r="86" spans="1:18" s="154" customFormat="1" x14ac:dyDescent="0.2">
      <c r="A86" s="149">
        <v>85</v>
      </c>
      <c r="B86" s="149"/>
      <c r="C86" s="149"/>
      <c r="D86" s="149"/>
      <c r="E86" s="149"/>
      <c r="F86" s="149"/>
      <c r="G86" s="150"/>
      <c r="H86" s="14"/>
      <c r="I86" s="149"/>
      <c r="J86" s="149"/>
      <c r="K86" s="149"/>
      <c r="L86" s="14"/>
      <c r="M86" s="14"/>
      <c r="N86" s="15"/>
      <c r="O86" s="52"/>
      <c r="P86" s="52"/>
      <c r="Q86" s="52"/>
      <c r="R86" s="52"/>
    </row>
    <row r="87" spans="1:18" s="154" customFormat="1" x14ac:dyDescent="0.2">
      <c r="A87" s="149">
        <v>86</v>
      </c>
      <c r="B87" s="149"/>
      <c r="C87" s="149"/>
      <c r="D87" s="149"/>
      <c r="E87" s="149"/>
      <c r="F87" s="149"/>
      <c r="G87" s="150"/>
      <c r="H87" s="14"/>
      <c r="I87" s="149"/>
      <c r="J87" s="149"/>
      <c r="K87" s="149"/>
      <c r="L87" s="14"/>
      <c r="M87" s="14"/>
      <c r="N87" s="15"/>
      <c r="O87" s="52"/>
      <c r="P87" s="52"/>
      <c r="Q87" s="52"/>
      <c r="R87" s="52"/>
    </row>
    <row r="88" spans="1:18" s="154" customFormat="1" x14ac:dyDescent="0.2">
      <c r="A88" s="149">
        <v>87</v>
      </c>
      <c r="B88" s="149"/>
      <c r="C88" s="149"/>
      <c r="D88" s="149"/>
      <c r="E88" s="149"/>
      <c r="F88" s="149"/>
      <c r="G88" s="150"/>
      <c r="H88" s="14"/>
      <c r="I88" s="149"/>
      <c r="J88" s="149"/>
      <c r="K88" s="149"/>
      <c r="L88" s="14"/>
      <c r="M88" s="14"/>
      <c r="N88" s="15"/>
      <c r="O88" s="52"/>
      <c r="P88" s="52"/>
      <c r="Q88" s="52"/>
      <c r="R88" s="52"/>
    </row>
    <row r="89" spans="1:18" s="154" customFormat="1" x14ac:dyDescent="0.2">
      <c r="A89" s="149">
        <v>88</v>
      </c>
      <c r="B89" s="149"/>
      <c r="C89" s="149"/>
      <c r="D89" s="149"/>
      <c r="E89" s="149"/>
      <c r="F89" s="149"/>
      <c r="G89" s="150"/>
      <c r="H89" s="14"/>
      <c r="I89" s="149"/>
      <c r="J89" s="149"/>
      <c r="K89" s="149"/>
      <c r="L89" s="14"/>
      <c r="M89" s="14"/>
      <c r="N89" s="15"/>
      <c r="O89" s="52"/>
      <c r="P89" s="52"/>
      <c r="Q89" s="52"/>
      <c r="R89" s="52"/>
    </row>
    <row r="90" spans="1:18" s="154" customFormat="1" x14ac:dyDescent="0.2">
      <c r="A90" s="85">
        <v>89</v>
      </c>
      <c r="B90" s="149"/>
      <c r="C90" s="149"/>
      <c r="D90" s="149"/>
      <c r="E90" s="149"/>
      <c r="F90" s="149"/>
      <c r="G90" s="150"/>
      <c r="H90" s="14"/>
      <c r="I90" s="149"/>
      <c r="J90" s="149"/>
      <c r="K90" s="149"/>
      <c r="L90" s="14"/>
      <c r="M90" s="14"/>
      <c r="N90" s="15"/>
      <c r="O90" s="52"/>
      <c r="P90" s="52"/>
      <c r="Q90" s="52"/>
      <c r="R90" s="52"/>
    </row>
    <row r="91" spans="1:18" s="154" customFormat="1" x14ac:dyDescent="0.2">
      <c r="A91" s="85">
        <v>90</v>
      </c>
      <c r="B91" s="149"/>
      <c r="C91" s="149"/>
      <c r="D91" s="149"/>
      <c r="E91" s="149"/>
      <c r="F91" s="149"/>
      <c r="G91" s="150"/>
      <c r="H91" s="14"/>
      <c r="I91" s="149"/>
      <c r="J91" s="149"/>
      <c r="K91" s="149"/>
      <c r="L91" s="14"/>
      <c r="M91" s="14"/>
      <c r="N91" s="15"/>
      <c r="O91" s="52"/>
      <c r="P91" s="52"/>
      <c r="Q91" s="52"/>
      <c r="R91" s="52"/>
    </row>
    <row r="92" spans="1:18" s="154" customFormat="1" x14ac:dyDescent="0.2">
      <c r="A92" s="149">
        <v>91</v>
      </c>
      <c r="B92" s="149"/>
      <c r="C92" s="149"/>
      <c r="D92" s="149"/>
      <c r="E92" s="149"/>
      <c r="F92" s="149"/>
      <c r="G92" s="101"/>
      <c r="H92" s="14"/>
      <c r="I92" s="149"/>
      <c r="J92" s="149"/>
      <c r="K92" s="149"/>
      <c r="L92" s="14"/>
      <c r="M92" s="14"/>
      <c r="N92" s="15"/>
      <c r="O92" s="52"/>
      <c r="P92" s="52"/>
      <c r="Q92" s="52"/>
      <c r="R92" s="52"/>
    </row>
    <row r="93" spans="1:18" s="154" customFormat="1" x14ac:dyDescent="0.2">
      <c r="A93" s="149">
        <v>92</v>
      </c>
      <c r="B93" s="149"/>
      <c r="C93" s="149"/>
      <c r="D93" s="149"/>
      <c r="E93" s="149"/>
      <c r="F93" s="149"/>
      <c r="G93" s="101"/>
      <c r="H93" s="14"/>
      <c r="I93" s="149"/>
      <c r="J93" s="149"/>
      <c r="K93" s="149"/>
      <c r="L93" s="14"/>
      <c r="M93" s="14"/>
      <c r="N93" s="15"/>
      <c r="O93" s="52"/>
      <c r="P93" s="52"/>
      <c r="Q93" s="52"/>
      <c r="R93" s="52"/>
    </row>
    <row r="94" spans="1:18" s="154" customFormat="1" x14ac:dyDescent="0.2">
      <c r="A94" s="149">
        <v>93</v>
      </c>
      <c r="B94" s="149"/>
      <c r="C94" s="149"/>
      <c r="D94" s="149"/>
      <c r="E94" s="149"/>
      <c r="F94" s="149"/>
      <c r="G94" s="150"/>
      <c r="H94" s="14"/>
      <c r="I94" s="149"/>
      <c r="J94" s="149"/>
      <c r="K94" s="149"/>
      <c r="L94" s="14"/>
      <c r="M94" s="14"/>
      <c r="N94" s="15"/>
      <c r="O94" s="52"/>
      <c r="P94" s="52"/>
      <c r="Q94" s="52"/>
      <c r="R94" s="52"/>
    </row>
    <row r="95" spans="1:18" s="154" customFormat="1" x14ac:dyDescent="0.2">
      <c r="A95" s="149">
        <v>94</v>
      </c>
      <c r="B95" s="149"/>
      <c r="C95" s="149"/>
      <c r="D95" s="149"/>
      <c r="E95" s="149"/>
      <c r="F95" s="149"/>
      <c r="G95" s="150"/>
      <c r="H95" s="14"/>
      <c r="I95" s="149"/>
      <c r="J95" s="149"/>
      <c r="K95" s="149"/>
      <c r="L95" s="14"/>
      <c r="M95" s="14"/>
      <c r="N95" s="15"/>
      <c r="O95" s="52"/>
      <c r="P95" s="52"/>
      <c r="Q95" s="52"/>
      <c r="R95" s="52"/>
    </row>
    <row r="96" spans="1:18" s="154" customFormat="1" x14ac:dyDescent="0.2">
      <c r="A96" s="149">
        <v>95</v>
      </c>
      <c r="B96" s="149"/>
      <c r="C96" s="149"/>
      <c r="D96" s="149"/>
      <c r="E96" s="149"/>
      <c r="F96" s="149"/>
      <c r="G96" s="150"/>
      <c r="H96" s="14"/>
      <c r="I96" s="149"/>
      <c r="J96" s="149"/>
      <c r="K96" s="149"/>
      <c r="L96" s="14"/>
      <c r="M96" s="14"/>
      <c r="N96" s="15"/>
      <c r="O96" s="52"/>
      <c r="P96" s="52"/>
      <c r="Q96" s="52"/>
      <c r="R96" s="52"/>
    </row>
    <row r="97" spans="1:18" s="154" customFormat="1" x14ac:dyDescent="0.2">
      <c r="A97" s="149">
        <v>96</v>
      </c>
      <c r="B97" s="149"/>
      <c r="C97" s="149"/>
      <c r="D97" s="149"/>
      <c r="E97" s="149"/>
      <c r="F97" s="149"/>
      <c r="G97" s="150"/>
      <c r="H97" s="14"/>
      <c r="I97" s="149"/>
      <c r="J97" s="149"/>
      <c r="K97" s="149"/>
      <c r="L97" s="14"/>
      <c r="M97" s="14"/>
      <c r="N97" s="15"/>
      <c r="O97" s="52"/>
      <c r="P97" s="52"/>
      <c r="Q97" s="52"/>
      <c r="R97" s="52"/>
    </row>
    <row r="98" spans="1:18" s="154" customFormat="1" x14ac:dyDescent="0.2">
      <c r="A98" s="85">
        <v>97</v>
      </c>
      <c r="B98" s="149"/>
      <c r="C98" s="149"/>
      <c r="D98" s="149"/>
      <c r="E98" s="149"/>
      <c r="F98" s="149"/>
      <c r="G98" s="150"/>
      <c r="H98" s="14"/>
      <c r="I98" s="149"/>
      <c r="J98" s="149"/>
      <c r="K98" s="149"/>
      <c r="L98" s="14"/>
      <c r="M98" s="14"/>
      <c r="N98" s="15"/>
      <c r="O98" s="52"/>
      <c r="P98" s="52"/>
      <c r="Q98" s="52"/>
      <c r="R98" s="52"/>
    </row>
    <row r="99" spans="1:18" s="154" customFormat="1" x14ac:dyDescent="0.2">
      <c r="A99" s="85">
        <v>98</v>
      </c>
      <c r="B99" s="149"/>
      <c r="C99" s="149"/>
      <c r="D99" s="149"/>
      <c r="E99" s="149"/>
      <c r="F99" s="149"/>
      <c r="G99" s="150"/>
      <c r="H99" s="14"/>
      <c r="I99" s="149"/>
      <c r="J99" s="149"/>
      <c r="K99" s="149"/>
      <c r="L99" s="14"/>
      <c r="M99" s="14"/>
      <c r="N99" s="15"/>
      <c r="O99" s="52"/>
      <c r="P99" s="52"/>
      <c r="Q99" s="52"/>
      <c r="R99" s="52"/>
    </row>
    <row r="100" spans="1:18" s="154" customFormat="1" x14ac:dyDescent="0.2">
      <c r="A100" s="149">
        <v>99</v>
      </c>
      <c r="B100" s="149"/>
      <c r="C100" s="149"/>
      <c r="D100" s="149"/>
      <c r="E100" s="149"/>
      <c r="F100" s="149"/>
      <c r="G100" s="150"/>
      <c r="H100" s="14"/>
      <c r="I100" s="149"/>
      <c r="J100" s="149"/>
      <c r="K100" s="149"/>
      <c r="L100" s="14"/>
      <c r="M100" s="14"/>
      <c r="N100" s="15"/>
      <c r="O100" s="52"/>
      <c r="P100" s="52"/>
      <c r="Q100" s="52"/>
      <c r="R100" s="52"/>
    </row>
    <row r="101" spans="1:18" s="154" customFormat="1" x14ac:dyDescent="0.2">
      <c r="A101" s="149">
        <v>100</v>
      </c>
      <c r="B101" s="149"/>
      <c r="C101" s="149"/>
      <c r="D101" s="149"/>
      <c r="E101" s="149"/>
      <c r="F101" s="149"/>
      <c r="G101" s="101"/>
      <c r="H101" s="14"/>
      <c r="I101" s="149"/>
      <c r="J101" s="149"/>
      <c r="K101" s="149"/>
      <c r="L101" s="14"/>
      <c r="M101" s="14"/>
      <c r="N101" s="15"/>
      <c r="O101" s="52"/>
      <c r="P101" s="52"/>
      <c r="Q101" s="52"/>
      <c r="R101" s="52"/>
    </row>
    <row r="102" spans="1:18" s="154" customFormat="1" x14ac:dyDescent="0.2">
      <c r="A102" s="149">
        <v>101</v>
      </c>
      <c r="B102" s="149"/>
      <c r="C102" s="149"/>
      <c r="D102" s="149"/>
      <c r="E102" s="149"/>
      <c r="F102" s="149"/>
      <c r="G102" s="101"/>
      <c r="H102" s="14"/>
      <c r="I102" s="149"/>
      <c r="J102" s="149"/>
      <c r="K102" s="149"/>
      <c r="L102" s="14"/>
      <c r="M102" s="14"/>
      <c r="N102" s="15"/>
      <c r="O102" s="52"/>
      <c r="P102" s="52"/>
      <c r="Q102" s="52"/>
      <c r="R102" s="52"/>
    </row>
    <row r="103" spans="1:18" s="154" customFormat="1" x14ac:dyDescent="0.2">
      <c r="A103" s="149">
        <v>102</v>
      </c>
      <c r="B103" s="149"/>
      <c r="C103" s="149"/>
      <c r="D103" s="149"/>
      <c r="E103" s="149"/>
      <c r="F103" s="149"/>
      <c r="G103" s="150"/>
      <c r="H103" s="14"/>
      <c r="I103" s="149"/>
      <c r="J103" s="149"/>
      <c r="K103" s="149"/>
      <c r="L103" s="14"/>
      <c r="M103" s="14"/>
      <c r="N103" s="15"/>
      <c r="O103" s="52"/>
      <c r="P103" s="52"/>
      <c r="Q103" s="52"/>
      <c r="R103" s="52"/>
    </row>
    <row r="104" spans="1:18" s="154" customFormat="1" x14ac:dyDescent="0.2">
      <c r="A104" s="149">
        <v>103</v>
      </c>
      <c r="B104" s="149"/>
      <c r="C104" s="149"/>
      <c r="D104" s="149"/>
      <c r="E104" s="149"/>
      <c r="F104" s="149"/>
      <c r="G104" s="150"/>
      <c r="H104" s="14"/>
      <c r="I104" s="149"/>
      <c r="J104" s="149"/>
      <c r="K104" s="149"/>
      <c r="L104" s="14"/>
      <c r="M104" s="14"/>
      <c r="N104" s="15"/>
      <c r="O104" s="52"/>
      <c r="P104" s="52"/>
      <c r="Q104" s="52"/>
      <c r="R104" s="52"/>
    </row>
    <row r="105" spans="1:18" s="154" customFormat="1" x14ac:dyDescent="0.2">
      <c r="A105" s="149">
        <v>104</v>
      </c>
      <c r="B105" s="149"/>
      <c r="C105" s="149"/>
      <c r="D105" s="149"/>
      <c r="E105" s="149"/>
      <c r="F105" s="149"/>
      <c r="G105" s="150"/>
      <c r="H105" s="14"/>
      <c r="I105" s="149"/>
      <c r="J105" s="149"/>
      <c r="K105" s="149"/>
      <c r="L105" s="14"/>
      <c r="M105" s="14"/>
      <c r="N105" s="15"/>
      <c r="O105" s="52"/>
      <c r="P105" s="52"/>
      <c r="Q105" s="52"/>
      <c r="R105" s="52"/>
    </row>
    <row r="106" spans="1:18" s="154" customFormat="1" x14ac:dyDescent="0.2">
      <c r="A106" s="149">
        <v>105</v>
      </c>
      <c r="B106" s="149"/>
      <c r="C106" s="149"/>
      <c r="D106" s="149"/>
      <c r="E106" s="149"/>
      <c r="F106" s="149"/>
      <c r="G106" s="150"/>
      <c r="H106" s="14"/>
      <c r="I106" s="149"/>
      <c r="J106" s="149"/>
      <c r="K106" s="149"/>
      <c r="L106" s="14"/>
      <c r="M106" s="14"/>
      <c r="N106" s="15"/>
      <c r="O106" s="52"/>
      <c r="P106" s="52"/>
      <c r="Q106" s="52"/>
      <c r="R106" s="52"/>
    </row>
    <row r="107" spans="1:18" s="154" customFormat="1" x14ac:dyDescent="0.2">
      <c r="A107" s="149">
        <v>106</v>
      </c>
      <c r="B107" s="149"/>
      <c r="C107" s="149"/>
      <c r="D107" s="149"/>
      <c r="E107" s="149"/>
      <c r="F107" s="149"/>
      <c r="G107" s="150"/>
      <c r="H107" s="14"/>
      <c r="I107" s="149"/>
      <c r="J107" s="149"/>
      <c r="K107" s="149"/>
      <c r="L107" s="14"/>
      <c r="M107" s="14"/>
      <c r="N107" s="15"/>
      <c r="O107" s="52"/>
      <c r="P107" s="52"/>
      <c r="Q107" s="52"/>
      <c r="R107" s="52"/>
    </row>
    <row r="108" spans="1:18" s="154" customFormat="1" x14ac:dyDescent="0.2">
      <c r="A108" s="149">
        <v>107</v>
      </c>
      <c r="B108" s="149"/>
      <c r="C108" s="149"/>
      <c r="D108" s="149"/>
      <c r="E108" s="149"/>
      <c r="F108" s="149"/>
      <c r="G108" s="150"/>
      <c r="H108" s="14"/>
      <c r="I108" s="149"/>
      <c r="J108" s="149"/>
      <c r="K108" s="149"/>
      <c r="L108" s="14"/>
      <c r="M108" s="14"/>
      <c r="N108" s="15"/>
      <c r="O108" s="52"/>
      <c r="P108" s="52"/>
      <c r="Q108" s="52"/>
      <c r="R108" s="52"/>
    </row>
    <row r="109" spans="1:18" s="154" customFormat="1" x14ac:dyDescent="0.2">
      <c r="A109" s="149">
        <v>108</v>
      </c>
      <c r="B109" s="149"/>
      <c r="C109" s="149"/>
      <c r="D109" s="149"/>
      <c r="E109" s="149"/>
      <c r="F109" s="149"/>
      <c r="G109" s="150"/>
      <c r="H109" s="14"/>
      <c r="I109" s="149"/>
      <c r="J109" s="149"/>
      <c r="K109" s="149"/>
      <c r="L109" s="14"/>
      <c r="M109" s="14"/>
      <c r="N109" s="15"/>
      <c r="O109" s="52"/>
      <c r="P109" s="52"/>
      <c r="Q109" s="52"/>
      <c r="R109" s="52"/>
    </row>
    <row r="110" spans="1:18" s="154" customFormat="1" x14ac:dyDescent="0.2">
      <c r="A110" s="85">
        <v>109</v>
      </c>
      <c r="B110" s="149"/>
      <c r="C110" s="149"/>
      <c r="D110" s="149"/>
      <c r="E110" s="149"/>
      <c r="F110" s="149"/>
      <c r="G110" s="101"/>
      <c r="H110" s="14"/>
      <c r="I110" s="149"/>
      <c r="J110" s="149"/>
      <c r="K110" s="149"/>
      <c r="L110" s="14"/>
      <c r="M110" s="14"/>
      <c r="N110" s="15"/>
      <c r="O110" s="52"/>
      <c r="P110" s="52"/>
      <c r="Q110" s="52"/>
      <c r="R110" s="52"/>
    </row>
    <row r="111" spans="1:18" s="154" customFormat="1" x14ac:dyDescent="0.2">
      <c r="A111" s="85">
        <v>110</v>
      </c>
      <c r="B111" s="149"/>
      <c r="C111" s="149"/>
      <c r="D111" s="149"/>
      <c r="E111" s="149"/>
      <c r="F111" s="149"/>
      <c r="G111" s="101"/>
      <c r="H111" s="14"/>
      <c r="I111" s="149"/>
      <c r="J111" s="149"/>
      <c r="K111" s="149"/>
      <c r="L111" s="14"/>
      <c r="M111" s="14"/>
      <c r="N111" s="15"/>
      <c r="O111" s="52"/>
      <c r="P111" s="52"/>
      <c r="Q111" s="52"/>
      <c r="R111" s="52"/>
    </row>
    <row r="112" spans="1:18" s="154" customFormat="1" x14ac:dyDescent="0.2">
      <c r="A112" s="149">
        <v>111</v>
      </c>
      <c r="B112" s="149"/>
      <c r="C112" s="149"/>
      <c r="D112" s="149"/>
      <c r="E112" s="149"/>
      <c r="F112" s="149"/>
      <c r="G112" s="150"/>
      <c r="H112" s="14"/>
      <c r="I112" s="149"/>
      <c r="J112" s="149"/>
      <c r="K112" s="149"/>
      <c r="L112" s="14"/>
      <c r="M112" s="14"/>
      <c r="N112" s="15"/>
      <c r="O112" s="52"/>
      <c r="P112" s="52"/>
      <c r="Q112" s="52"/>
      <c r="R112" s="52"/>
    </row>
    <row r="113" spans="1:18" s="154" customFormat="1" x14ac:dyDescent="0.2">
      <c r="A113" s="149">
        <v>112</v>
      </c>
      <c r="B113" s="149"/>
      <c r="C113" s="149"/>
      <c r="D113" s="149"/>
      <c r="E113" s="149"/>
      <c r="F113" s="149"/>
      <c r="G113" s="150"/>
      <c r="H113" s="14"/>
      <c r="I113" s="149"/>
      <c r="J113" s="149"/>
      <c r="K113" s="149"/>
      <c r="L113" s="14"/>
      <c r="M113" s="14"/>
      <c r="N113" s="15"/>
      <c r="O113" s="52"/>
      <c r="P113" s="52"/>
      <c r="Q113" s="52"/>
      <c r="R113" s="52"/>
    </row>
    <row r="114" spans="1:18" s="154" customFormat="1" x14ac:dyDescent="0.2">
      <c r="A114" s="149">
        <v>113</v>
      </c>
      <c r="B114" s="149"/>
      <c r="C114" s="149"/>
      <c r="D114" s="149"/>
      <c r="E114" s="149"/>
      <c r="F114" s="149"/>
      <c r="G114" s="150"/>
      <c r="H114" s="14"/>
      <c r="I114" s="149"/>
      <c r="J114" s="149"/>
      <c r="K114" s="149"/>
      <c r="L114" s="14"/>
      <c r="M114" s="14"/>
      <c r="N114" s="15"/>
      <c r="O114" s="52"/>
      <c r="P114" s="52"/>
      <c r="Q114" s="52"/>
      <c r="R114" s="52"/>
    </row>
    <row r="115" spans="1:18" s="154" customFormat="1" x14ac:dyDescent="0.2">
      <c r="A115" s="149">
        <v>114</v>
      </c>
      <c r="B115" s="149"/>
      <c r="C115" s="149"/>
      <c r="D115" s="149"/>
      <c r="E115" s="149"/>
      <c r="F115" s="149"/>
      <c r="G115" s="150"/>
      <c r="H115" s="14"/>
      <c r="I115" s="149"/>
      <c r="J115" s="149"/>
      <c r="K115" s="149"/>
      <c r="L115" s="14"/>
      <c r="M115" s="14"/>
      <c r="N115" s="15"/>
      <c r="O115" s="52"/>
      <c r="P115" s="52"/>
      <c r="Q115" s="52"/>
      <c r="R115" s="52"/>
    </row>
    <row r="116" spans="1:18" s="154" customFormat="1" x14ac:dyDescent="0.2">
      <c r="A116" s="149">
        <v>115</v>
      </c>
      <c r="B116" s="149"/>
      <c r="C116" s="149"/>
      <c r="D116" s="149"/>
      <c r="E116" s="149"/>
      <c r="F116" s="149"/>
      <c r="G116" s="150"/>
      <c r="H116" s="14"/>
      <c r="I116" s="149"/>
      <c r="J116" s="149"/>
      <c r="K116" s="149"/>
      <c r="L116" s="14"/>
      <c r="M116" s="14"/>
      <c r="N116" s="15"/>
      <c r="O116" s="52"/>
      <c r="P116" s="52"/>
      <c r="Q116" s="52"/>
      <c r="R116" s="52"/>
    </row>
    <row r="117" spans="1:18" s="154" customFormat="1" x14ac:dyDescent="0.2">
      <c r="A117" s="149">
        <v>116</v>
      </c>
      <c r="B117" s="149"/>
      <c r="C117" s="149"/>
      <c r="D117" s="149"/>
      <c r="E117" s="149"/>
      <c r="F117" s="149"/>
      <c r="G117" s="150"/>
      <c r="H117" s="14"/>
      <c r="I117" s="149"/>
      <c r="J117" s="149"/>
      <c r="K117" s="149"/>
      <c r="L117" s="14"/>
      <c r="M117" s="14"/>
      <c r="N117" s="15"/>
      <c r="O117" s="52"/>
      <c r="P117" s="52"/>
      <c r="Q117" s="52"/>
      <c r="R117" s="52"/>
    </row>
    <row r="118" spans="1:18" s="154" customFormat="1" x14ac:dyDescent="0.2">
      <c r="A118" s="85">
        <v>117</v>
      </c>
      <c r="B118" s="149"/>
      <c r="C118" s="149"/>
      <c r="D118" s="149"/>
      <c r="E118" s="149"/>
      <c r="F118" s="149"/>
      <c r="G118" s="150"/>
      <c r="H118" s="14"/>
      <c r="I118" s="149"/>
      <c r="J118" s="149"/>
      <c r="K118" s="149"/>
      <c r="L118" s="14"/>
      <c r="M118" s="14"/>
      <c r="N118" s="15"/>
      <c r="O118" s="52"/>
      <c r="P118" s="52"/>
      <c r="Q118" s="52"/>
      <c r="R118" s="52"/>
    </row>
    <row r="119" spans="1:18" s="154" customFormat="1" x14ac:dyDescent="0.2">
      <c r="A119" s="85">
        <v>118</v>
      </c>
      <c r="B119" s="149"/>
      <c r="C119" s="149"/>
      <c r="D119" s="149"/>
      <c r="E119" s="149"/>
      <c r="F119" s="149"/>
      <c r="G119" s="101"/>
      <c r="H119" s="14"/>
      <c r="I119" s="149"/>
      <c r="J119" s="149"/>
      <c r="K119" s="149"/>
      <c r="L119" s="14"/>
      <c r="M119" s="14"/>
      <c r="N119" s="15"/>
      <c r="O119" s="52"/>
      <c r="P119" s="52"/>
      <c r="Q119" s="52"/>
      <c r="R119" s="52"/>
    </row>
    <row r="120" spans="1:18" s="154" customFormat="1" x14ac:dyDescent="0.2">
      <c r="A120" s="149">
        <v>119</v>
      </c>
      <c r="B120" s="149"/>
      <c r="C120" s="149"/>
      <c r="D120" s="149"/>
      <c r="E120" s="149"/>
      <c r="F120" s="149"/>
      <c r="G120" s="101"/>
      <c r="H120" s="14"/>
      <c r="I120" s="149"/>
      <c r="J120" s="149"/>
      <c r="K120" s="149"/>
      <c r="L120" s="14"/>
      <c r="M120" s="14"/>
      <c r="N120" s="15"/>
      <c r="O120" s="52"/>
      <c r="P120" s="52"/>
      <c r="Q120" s="52"/>
      <c r="R120" s="52"/>
    </row>
    <row r="121" spans="1:18" s="154" customFormat="1" x14ac:dyDescent="0.2">
      <c r="A121" s="149">
        <v>120</v>
      </c>
      <c r="B121" s="149"/>
      <c r="C121" s="149"/>
      <c r="D121" s="149"/>
      <c r="E121" s="149"/>
      <c r="F121" s="149"/>
      <c r="G121" s="150"/>
      <c r="H121" s="14"/>
      <c r="I121" s="149"/>
      <c r="J121" s="149"/>
      <c r="K121" s="149"/>
      <c r="L121" s="14"/>
      <c r="M121" s="14"/>
      <c r="N121" s="15"/>
      <c r="O121" s="52"/>
      <c r="P121" s="52"/>
      <c r="Q121" s="52"/>
      <c r="R121" s="52"/>
    </row>
    <row r="122" spans="1:18" s="154" customFormat="1" x14ac:dyDescent="0.2">
      <c r="A122" s="149">
        <v>121</v>
      </c>
      <c r="B122" s="149"/>
      <c r="C122" s="149"/>
      <c r="D122" s="149"/>
      <c r="E122" s="149"/>
      <c r="F122" s="149"/>
      <c r="G122" s="150"/>
      <c r="H122" s="14"/>
      <c r="I122" s="149"/>
      <c r="J122" s="149"/>
      <c r="K122" s="149"/>
      <c r="L122" s="14"/>
      <c r="M122" s="14"/>
      <c r="N122" s="15"/>
      <c r="O122" s="52"/>
      <c r="P122" s="52"/>
      <c r="Q122" s="52"/>
      <c r="R122" s="52"/>
    </row>
    <row r="123" spans="1:18" s="154" customFormat="1" x14ac:dyDescent="0.2">
      <c r="A123" s="149">
        <v>122</v>
      </c>
      <c r="B123" s="149"/>
      <c r="C123" s="149"/>
      <c r="D123" s="149"/>
      <c r="E123" s="149"/>
      <c r="F123" s="149"/>
      <c r="G123" s="150"/>
      <c r="H123" s="14"/>
      <c r="I123" s="149"/>
      <c r="J123" s="149"/>
      <c r="K123" s="149"/>
      <c r="L123" s="14"/>
      <c r="M123" s="14"/>
      <c r="N123" s="15"/>
      <c r="O123" s="52"/>
      <c r="P123" s="52"/>
      <c r="Q123" s="52"/>
      <c r="R123" s="52"/>
    </row>
    <row r="124" spans="1:18" s="154" customFormat="1" x14ac:dyDescent="0.2">
      <c r="A124" s="149">
        <v>123</v>
      </c>
      <c r="B124" s="149"/>
      <c r="C124" s="149"/>
      <c r="D124" s="149"/>
      <c r="E124" s="149"/>
      <c r="F124" s="149"/>
      <c r="G124" s="150"/>
      <c r="H124" s="14"/>
      <c r="I124" s="149"/>
      <c r="J124" s="149"/>
      <c r="K124" s="149"/>
      <c r="L124" s="14"/>
      <c r="M124" s="14"/>
      <c r="N124" s="15"/>
      <c r="O124" s="52"/>
      <c r="P124" s="52"/>
      <c r="Q124" s="52"/>
      <c r="R124" s="52"/>
    </row>
    <row r="125" spans="1:18" s="154" customFormat="1" x14ac:dyDescent="0.2">
      <c r="A125" s="149">
        <v>124</v>
      </c>
      <c r="B125" s="149"/>
      <c r="C125" s="149"/>
      <c r="D125" s="149"/>
      <c r="E125" s="149"/>
      <c r="F125" s="149"/>
      <c r="G125" s="150"/>
      <c r="H125" s="14"/>
      <c r="I125" s="149"/>
      <c r="J125" s="149"/>
      <c r="K125" s="149"/>
      <c r="L125" s="14"/>
      <c r="M125" s="14"/>
      <c r="N125" s="15"/>
      <c r="O125" s="52"/>
      <c r="P125" s="52"/>
      <c r="Q125" s="52"/>
      <c r="R125" s="52"/>
    </row>
    <row r="126" spans="1:18" s="155" customFormat="1" x14ac:dyDescent="0.2">
      <c r="G126" s="156"/>
      <c r="H126" s="147"/>
      <c r="L126" s="147"/>
      <c r="M126" s="147"/>
      <c r="N126" s="148"/>
    </row>
    <row r="127" spans="1:18" s="155" customFormat="1" x14ac:dyDescent="0.2">
      <c r="N127" s="148"/>
    </row>
    <row r="128" spans="1:18" s="155" customFormat="1" x14ac:dyDescent="0.2">
      <c r="N128" s="148"/>
    </row>
    <row r="129" spans="14:14" s="155" customFormat="1" x14ac:dyDescent="0.2">
      <c r="N129" s="148"/>
    </row>
    <row r="130" spans="14:14" s="155" customFormat="1" x14ac:dyDescent="0.2">
      <c r="N130" s="148"/>
    </row>
    <row r="131" spans="14:14" s="155" customFormat="1" x14ac:dyDescent="0.2">
      <c r="N131" s="14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C1:E37"/>
  <sheetViews>
    <sheetView topLeftCell="B1" zoomScale="85" zoomScaleNormal="85" workbookViewId="0">
      <selection activeCell="E28" sqref="E28"/>
    </sheetView>
  </sheetViews>
  <sheetFormatPr baseColWidth="10" defaultRowHeight="15" x14ac:dyDescent="0.25"/>
  <cols>
    <col min="3" max="3" width="8.140625" style="1" bestFit="1" customWidth="1"/>
    <col min="4" max="4" width="32.5703125" bestFit="1" customWidth="1"/>
    <col min="5" max="5" width="97" bestFit="1" customWidth="1"/>
  </cols>
  <sheetData>
    <row r="1" spans="3:5" ht="15.75" thickBot="1" x14ac:dyDescent="0.3"/>
    <row r="2" spans="3:5" ht="15.75" thickBot="1" x14ac:dyDescent="0.3">
      <c r="C2" s="33" t="s">
        <v>20</v>
      </c>
      <c r="D2" s="33" t="s">
        <v>11</v>
      </c>
      <c r="E2" s="34" t="s">
        <v>15</v>
      </c>
    </row>
    <row r="3" spans="3:5" x14ac:dyDescent="0.25">
      <c r="C3" s="2">
        <v>1</v>
      </c>
      <c r="D3" s="3" t="s">
        <v>21</v>
      </c>
      <c r="E3" s="4" t="s">
        <v>22</v>
      </c>
    </row>
    <row r="4" spans="3:5" x14ac:dyDescent="0.25">
      <c r="C4" s="5">
        <v>2</v>
      </c>
      <c r="D4" s="6" t="s">
        <v>23</v>
      </c>
      <c r="E4" s="7" t="s">
        <v>24</v>
      </c>
    </row>
    <row r="5" spans="3:5" x14ac:dyDescent="0.25">
      <c r="C5" s="8">
        <v>3</v>
      </c>
      <c r="D5" s="6" t="s">
        <v>25</v>
      </c>
      <c r="E5" s="7" t="s">
        <v>26</v>
      </c>
    </row>
    <row r="6" spans="3:5" x14ac:dyDescent="0.25">
      <c r="C6" s="5">
        <v>4</v>
      </c>
      <c r="D6" s="6" t="s">
        <v>27</v>
      </c>
      <c r="E6" s="7" t="s">
        <v>28</v>
      </c>
    </row>
    <row r="7" spans="3:5" x14ac:dyDescent="0.25">
      <c r="C7" s="8">
        <v>5</v>
      </c>
      <c r="D7" s="6" t="s">
        <v>29</v>
      </c>
      <c r="E7" s="7" t="s">
        <v>30</v>
      </c>
    </row>
    <row r="8" spans="3:5" x14ac:dyDescent="0.25">
      <c r="C8" s="5">
        <v>6</v>
      </c>
      <c r="D8" s="6" t="s">
        <v>31</v>
      </c>
      <c r="E8" s="7" t="s">
        <v>32</v>
      </c>
    </row>
    <row r="9" spans="3:5" x14ac:dyDescent="0.25">
      <c r="C9" s="8">
        <v>7</v>
      </c>
      <c r="D9" s="6" t="s">
        <v>33</v>
      </c>
      <c r="E9" s="7" t="s">
        <v>162</v>
      </c>
    </row>
    <row r="10" spans="3:5" x14ac:dyDescent="0.25">
      <c r="C10" s="5">
        <v>8</v>
      </c>
      <c r="D10" s="6" t="s">
        <v>34</v>
      </c>
      <c r="E10" s="7" t="s">
        <v>35</v>
      </c>
    </row>
    <row r="11" spans="3:5" x14ac:dyDescent="0.25">
      <c r="C11" s="8">
        <v>9</v>
      </c>
      <c r="D11" s="9" t="s">
        <v>36</v>
      </c>
      <c r="E11" s="7" t="s">
        <v>37</v>
      </c>
    </row>
    <row r="12" spans="3:5" x14ac:dyDescent="0.25">
      <c r="C12" s="5">
        <v>10</v>
      </c>
      <c r="D12" s="10" t="s">
        <v>38</v>
      </c>
      <c r="E12" s="7" t="s">
        <v>164</v>
      </c>
    </row>
    <row r="13" spans="3:5" x14ac:dyDescent="0.25">
      <c r="C13" s="8">
        <v>11</v>
      </c>
      <c r="D13" s="10" t="s">
        <v>39</v>
      </c>
      <c r="E13" s="7" t="s">
        <v>40</v>
      </c>
    </row>
    <row r="14" spans="3:5" x14ac:dyDescent="0.25">
      <c r="C14" s="5">
        <v>12</v>
      </c>
      <c r="D14" s="10" t="s">
        <v>41</v>
      </c>
      <c r="E14" s="7" t="s">
        <v>163</v>
      </c>
    </row>
    <row r="15" spans="3:5" x14ac:dyDescent="0.25">
      <c r="C15" s="8">
        <v>13</v>
      </c>
      <c r="D15" s="10" t="s">
        <v>19</v>
      </c>
      <c r="E15" s="7" t="s">
        <v>42</v>
      </c>
    </row>
    <row r="16" spans="3:5" x14ac:dyDescent="0.25">
      <c r="C16" s="5">
        <v>14</v>
      </c>
      <c r="D16" s="10" t="s">
        <v>43</v>
      </c>
      <c r="E16" s="7" t="s">
        <v>44</v>
      </c>
    </row>
    <row r="17" spans="3:5" x14ac:dyDescent="0.25">
      <c r="C17" s="8">
        <v>15</v>
      </c>
      <c r="D17" s="10" t="s">
        <v>77</v>
      </c>
      <c r="E17" s="7" t="s">
        <v>45</v>
      </c>
    </row>
    <row r="18" spans="3:5" x14ac:dyDescent="0.25">
      <c r="C18" s="5">
        <v>16</v>
      </c>
      <c r="D18" s="10" t="s">
        <v>46</v>
      </c>
      <c r="E18" s="7" t="s">
        <v>47</v>
      </c>
    </row>
    <row r="19" spans="3:5" x14ac:dyDescent="0.25">
      <c r="C19" s="8">
        <v>17</v>
      </c>
      <c r="D19" s="10" t="s">
        <v>48</v>
      </c>
      <c r="E19" s="7" t="s">
        <v>80</v>
      </c>
    </row>
    <row r="20" spans="3:5" x14ac:dyDescent="0.25">
      <c r="C20" s="5">
        <v>18</v>
      </c>
      <c r="D20" s="10" t="s">
        <v>49</v>
      </c>
      <c r="E20" s="7" t="s">
        <v>50</v>
      </c>
    </row>
    <row r="21" spans="3:5" x14ac:dyDescent="0.25">
      <c r="C21" s="8">
        <v>19</v>
      </c>
      <c r="D21" s="10" t="s">
        <v>51</v>
      </c>
      <c r="E21" s="11" t="s">
        <v>52</v>
      </c>
    </row>
    <row r="22" spans="3:5" x14ac:dyDescent="0.25">
      <c r="C22" s="5">
        <v>20</v>
      </c>
      <c r="D22" s="10" t="s">
        <v>53</v>
      </c>
      <c r="E22" s="11" t="s">
        <v>54</v>
      </c>
    </row>
    <row r="23" spans="3:5" x14ac:dyDescent="0.25">
      <c r="C23" s="8">
        <v>21</v>
      </c>
      <c r="D23" s="10" t="s">
        <v>55</v>
      </c>
      <c r="E23" s="11" t="s">
        <v>56</v>
      </c>
    </row>
    <row r="24" spans="3:5" x14ac:dyDescent="0.25">
      <c r="C24" s="5">
        <v>22</v>
      </c>
      <c r="D24" s="10" t="s">
        <v>57</v>
      </c>
      <c r="E24" s="12" t="s">
        <v>58</v>
      </c>
    </row>
    <row r="25" spans="3:5" x14ac:dyDescent="0.25">
      <c r="C25" s="35">
        <v>23</v>
      </c>
      <c r="D25" s="10" t="s">
        <v>59</v>
      </c>
      <c r="E25" s="7" t="s">
        <v>60</v>
      </c>
    </row>
    <row r="26" spans="3:5" x14ac:dyDescent="0.25">
      <c r="C26" s="35">
        <v>24</v>
      </c>
      <c r="D26" s="10" t="s">
        <v>61</v>
      </c>
      <c r="E26" s="11" t="s">
        <v>62</v>
      </c>
    </row>
    <row r="27" spans="3:5" x14ac:dyDescent="0.25">
      <c r="C27" s="35">
        <v>25</v>
      </c>
      <c r="D27" s="10" t="s">
        <v>63</v>
      </c>
      <c r="E27" s="7" t="s">
        <v>165</v>
      </c>
    </row>
    <row r="28" spans="3:5" x14ac:dyDescent="0.25">
      <c r="C28" s="35">
        <v>26</v>
      </c>
      <c r="D28" s="10" t="s">
        <v>64</v>
      </c>
      <c r="E28" s="7" t="s">
        <v>166</v>
      </c>
    </row>
    <row r="29" spans="3:5" x14ac:dyDescent="0.25">
      <c r="C29" s="35">
        <v>27</v>
      </c>
      <c r="D29" s="10" t="s">
        <v>65</v>
      </c>
      <c r="E29" s="7" t="s">
        <v>65</v>
      </c>
    </row>
    <row r="30" spans="3:5" x14ac:dyDescent="0.25">
      <c r="C30" s="35">
        <v>28</v>
      </c>
      <c r="D30" s="10" t="s">
        <v>66</v>
      </c>
      <c r="E30" s="7" t="s">
        <v>67</v>
      </c>
    </row>
    <row r="31" spans="3:5" x14ac:dyDescent="0.25">
      <c r="C31" s="35">
        <v>29</v>
      </c>
      <c r="D31" s="10" t="s">
        <v>68</v>
      </c>
      <c r="E31" s="7" t="s">
        <v>69</v>
      </c>
    </row>
    <row r="32" spans="3:5" x14ac:dyDescent="0.25">
      <c r="C32" s="35">
        <v>30</v>
      </c>
      <c r="D32" s="10" t="s">
        <v>78</v>
      </c>
      <c r="E32" s="7" t="s">
        <v>79</v>
      </c>
    </row>
    <row r="33" spans="3:5" x14ac:dyDescent="0.25">
      <c r="C33" s="35">
        <v>31</v>
      </c>
      <c r="D33" s="10" t="s">
        <v>82</v>
      </c>
      <c r="E33" s="7" t="s">
        <v>81</v>
      </c>
    </row>
    <row r="34" spans="3:5" x14ac:dyDescent="0.25">
      <c r="C34" s="42">
        <v>32</v>
      </c>
      <c r="D34" s="43" t="s">
        <v>83</v>
      </c>
      <c r="E34" s="44" t="s">
        <v>84</v>
      </c>
    </row>
    <row r="35" spans="3:5" x14ac:dyDescent="0.25">
      <c r="C35" s="35">
        <v>33</v>
      </c>
      <c r="D35" s="45" t="s">
        <v>129</v>
      </c>
      <c r="E35" s="46" t="s">
        <v>129</v>
      </c>
    </row>
    <row r="36" spans="3:5" x14ac:dyDescent="0.25">
      <c r="C36" s="42">
        <v>34</v>
      </c>
      <c r="D36" s="43" t="s">
        <v>131</v>
      </c>
      <c r="E36" s="44" t="s">
        <v>132</v>
      </c>
    </row>
    <row r="37" spans="3:5" ht="15.75" thickBot="1" x14ac:dyDescent="0.3">
      <c r="C37" s="36">
        <v>35</v>
      </c>
      <c r="D37" s="53" t="s">
        <v>174</v>
      </c>
      <c r="E37" s="54" t="s">
        <v>173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H354"/>
  <sheetViews>
    <sheetView topLeftCell="A184" zoomScale="50" zoomScaleNormal="50" workbookViewId="0">
      <selection activeCell="E190" sqref="E190"/>
    </sheetView>
  </sheetViews>
  <sheetFormatPr baseColWidth="10" defaultColWidth="28" defaultRowHeight="120.75" customHeight="1" x14ac:dyDescent="0.25"/>
  <cols>
    <col min="1" max="1" width="29" bestFit="1" customWidth="1"/>
    <col min="2" max="2" width="79.85546875" bestFit="1" customWidth="1"/>
    <col min="3" max="3" width="16.140625" bestFit="1" customWidth="1"/>
    <col min="4" max="4" width="90.5703125" bestFit="1" customWidth="1"/>
    <col min="5" max="5" width="25.42578125" customWidth="1"/>
    <col min="7" max="7" width="12.28515625" bestFit="1" customWidth="1"/>
    <col min="8" max="8" width="33.7109375" bestFit="1" customWidth="1"/>
  </cols>
  <sheetData>
    <row r="1" spans="6:8" ht="15.75" thickBot="1" x14ac:dyDescent="0.3">
      <c r="F1" s="13"/>
      <c r="G1" s="22" t="s">
        <v>20</v>
      </c>
      <c r="H1" s="20" t="s">
        <v>11</v>
      </c>
    </row>
    <row r="2" spans="6:8" ht="15" x14ac:dyDescent="0.25">
      <c r="G2" s="2">
        <v>1</v>
      </c>
      <c r="H2" s="38" t="s">
        <v>21</v>
      </c>
    </row>
    <row r="3" spans="6:8" ht="15" x14ac:dyDescent="0.25">
      <c r="G3" s="5">
        <v>2</v>
      </c>
      <c r="H3" s="11" t="s">
        <v>23</v>
      </c>
    </row>
    <row r="4" spans="6:8" ht="15" x14ac:dyDescent="0.25">
      <c r="G4" s="8">
        <v>3</v>
      </c>
      <c r="H4" s="11" t="s">
        <v>25</v>
      </c>
    </row>
    <row r="5" spans="6:8" ht="15" x14ac:dyDescent="0.25">
      <c r="G5" s="5">
        <v>4</v>
      </c>
      <c r="H5" s="11" t="s">
        <v>27</v>
      </c>
    </row>
    <row r="6" spans="6:8" ht="15" x14ac:dyDescent="0.25">
      <c r="G6" s="8">
        <v>5</v>
      </c>
      <c r="H6" s="11" t="s">
        <v>29</v>
      </c>
    </row>
    <row r="7" spans="6:8" ht="15" x14ac:dyDescent="0.25">
      <c r="G7" s="5">
        <v>6</v>
      </c>
      <c r="H7" s="11" t="s">
        <v>31</v>
      </c>
    </row>
    <row r="8" spans="6:8" ht="15" x14ac:dyDescent="0.25">
      <c r="G8" s="8">
        <v>7</v>
      </c>
      <c r="H8" s="11" t="s">
        <v>33</v>
      </c>
    </row>
    <row r="9" spans="6:8" ht="15" x14ac:dyDescent="0.25">
      <c r="G9" s="5">
        <v>8</v>
      </c>
      <c r="H9" s="11" t="s">
        <v>34</v>
      </c>
    </row>
    <row r="10" spans="6:8" ht="15" x14ac:dyDescent="0.25">
      <c r="G10" s="8">
        <v>9</v>
      </c>
      <c r="H10" s="12" t="s">
        <v>36</v>
      </c>
    </row>
    <row r="11" spans="6:8" ht="15" x14ac:dyDescent="0.25">
      <c r="G11" s="5">
        <v>10</v>
      </c>
      <c r="H11" s="7" t="s">
        <v>38</v>
      </c>
    </row>
    <row r="12" spans="6:8" ht="15" x14ac:dyDescent="0.25">
      <c r="G12" s="8">
        <v>11</v>
      </c>
      <c r="H12" s="7" t="s">
        <v>39</v>
      </c>
    </row>
    <row r="13" spans="6:8" ht="15" x14ac:dyDescent="0.25">
      <c r="G13" s="5">
        <v>12</v>
      </c>
      <c r="H13" s="7" t="s">
        <v>41</v>
      </c>
    </row>
    <row r="14" spans="6:8" ht="15" x14ac:dyDescent="0.25">
      <c r="G14" s="8">
        <v>13</v>
      </c>
      <c r="H14" s="7" t="s">
        <v>19</v>
      </c>
    </row>
    <row r="15" spans="6:8" ht="15" x14ac:dyDescent="0.25">
      <c r="G15" s="5">
        <v>14</v>
      </c>
      <c r="H15" s="7" t="s">
        <v>43</v>
      </c>
    </row>
    <row r="16" spans="6:8" ht="15" x14ac:dyDescent="0.25">
      <c r="G16" s="8">
        <v>15</v>
      </c>
      <c r="H16" s="7" t="s">
        <v>77</v>
      </c>
    </row>
    <row r="17" spans="7:8" ht="15" x14ac:dyDescent="0.25">
      <c r="G17" s="5">
        <v>16</v>
      </c>
      <c r="H17" s="7" t="s">
        <v>46</v>
      </c>
    </row>
    <row r="18" spans="7:8" ht="15" x14ac:dyDescent="0.25">
      <c r="G18" s="8">
        <v>17</v>
      </c>
      <c r="H18" s="7" t="s">
        <v>48</v>
      </c>
    </row>
    <row r="19" spans="7:8" ht="15" x14ac:dyDescent="0.25">
      <c r="G19" s="5">
        <v>18</v>
      </c>
      <c r="H19" s="7" t="s">
        <v>49</v>
      </c>
    </row>
    <row r="20" spans="7:8" ht="15" x14ac:dyDescent="0.25">
      <c r="G20" s="8">
        <v>19</v>
      </c>
      <c r="H20" s="7" t="s">
        <v>51</v>
      </c>
    </row>
    <row r="21" spans="7:8" ht="15" x14ac:dyDescent="0.25">
      <c r="G21" s="5">
        <v>20</v>
      </c>
      <c r="H21" s="7" t="s">
        <v>53</v>
      </c>
    </row>
    <row r="22" spans="7:8" ht="15" x14ac:dyDescent="0.25">
      <c r="G22" s="8">
        <v>21</v>
      </c>
      <c r="H22" s="7" t="s">
        <v>55</v>
      </c>
    </row>
    <row r="23" spans="7:8" ht="15" x14ac:dyDescent="0.25">
      <c r="G23" s="5">
        <v>22</v>
      </c>
      <c r="H23" s="7" t="s">
        <v>57</v>
      </c>
    </row>
    <row r="24" spans="7:8" ht="15" x14ac:dyDescent="0.25">
      <c r="G24" s="39">
        <v>23</v>
      </c>
      <c r="H24" s="7" t="s">
        <v>59</v>
      </c>
    </row>
    <row r="25" spans="7:8" ht="15" x14ac:dyDescent="0.25">
      <c r="G25" s="39">
        <v>24</v>
      </c>
      <c r="H25" s="7" t="s">
        <v>61</v>
      </c>
    </row>
    <row r="26" spans="7:8" ht="15" x14ac:dyDescent="0.25">
      <c r="G26" s="39">
        <v>25</v>
      </c>
      <c r="H26" s="7" t="s">
        <v>63</v>
      </c>
    </row>
    <row r="27" spans="7:8" ht="15" x14ac:dyDescent="0.25">
      <c r="G27" s="39">
        <v>26</v>
      </c>
      <c r="H27" s="7" t="s">
        <v>64</v>
      </c>
    </row>
    <row r="28" spans="7:8" ht="15" x14ac:dyDescent="0.25">
      <c r="G28" s="39">
        <v>27</v>
      </c>
      <c r="H28" s="7" t="s">
        <v>65</v>
      </c>
    </row>
    <row r="29" spans="7:8" ht="15" x14ac:dyDescent="0.25">
      <c r="G29" s="39">
        <v>28</v>
      </c>
      <c r="H29" s="7" t="s">
        <v>66</v>
      </c>
    </row>
    <row r="30" spans="7:8" ht="15" x14ac:dyDescent="0.25">
      <c r="G30" s="39">
        <v>29</v>
      </c>
      <c r="H30" s="7" t="s">
        <v>68</v>
      </c>
    </row>
    <row r="31" spans="7:8" ht="15" x14ac:dyDescent="0.25">
      <c r="G31" s="39">
        <v>30</v>
      </c>
      <c r="H31" s="7" t="s">
        <v>78</v>
      </c>
    </row>
    <row r="32" spans="7:8" ht="15" x14ac:dyDescent="0.25">
      <c r="G32" s="39">
        <v>31</v>
      </c>
      <c r="H32" s="7" t="s">
        <v>82</v>
      </c>
    </row>
    <row r="33" spans="1:8" ht="15" x14ac:dyDescent="0.25">
      <c r="G33" s="39">
        <v>32</v>
      </c>
      <c r="H33" s="7" t="s">
        <v>83</v>
      </c>
    </row>
    <row r="34" spans="1:8" ht="15" x14ac:dyDescent="0.25">
      <c r="D34" t="s">
        <v>609</v>
      </c>
      <c r="G34" s="47">
        <v>33</v>
      </c>
      <c r="H34" s="46" t="s">
        <v>129</v>
      </c>
    </row>
    <row r="35" spans="1:8" ht="15" x14ac:dyDescent="0.25">
      <c r="G35" s="47">
        <v>34</v>
      </c>
      <c r="H35" s="7" t="s">
        <v>131</v>
      </c>
    </row>
    <row r="36" spans="1:8" ht="15.75" thickBot="1" x14ac:dyDescent="0.3">
      <c r="G36" s="36">
        <v>35</v>
      </c>
      <c r="H36" s="54" t="s">
        <v>174</v>
      </c>
    </row>
    <row r="37" spans="1:8" ht="120.75" customHeight="1" thickBot="1" x14ac:dyDescent="0.3">
      <c r="A37" s="23" t="s">
        <v>11</v>
      </c>
      <c r="B37" s="24" t="s">
        <v>74</v>
      </c>
      <c r="C37" s="24" t="s">
        <v>75</v>
      </c>
      <c r="D37" s="24" t="s">
        <v>76</v>
      </c>
      <c r="E37" s="25"/>
    </row>
    <row r="38" spans="1:8" ht="120.75" customHeight="1" x14ac:dyDescent="0.25">
      <c r="A38" s="21" t="str">
        <f>INSCRITOS!O9</f>
        <v>ACLS</v>
      </c>
      <c r="B38" s="13" t="str">
        <f>IF(A38=$H$19,"https://centrodecapacitaciondelsur.com/o-v-e-",IF(A38=$H$2,"https://centrodecapacitaciondelsur.com/aph-",IF(A38=$H$3,"https://centrodecapacitaciondelsur.com/manejo-del-duelo-",IF(A38=$H$4,"https://centrodecapacitaciondelsur.com/victimas-por-agentes-quimicos-",IF(A38=$H$5,"https://centrodecapacitaciondelsur.com/primeros-auxilios-",IF(A38=$H$6,"https://centrodecapacitaciondelsur.com/uci-",IF(A38=$H$8,"https://centrodecapacitaciondelsur.com/humanizacion-",IF(A38=$H$11,"https://centrodecapacitaciondelsur.com/soporte-cardiovascular-avanzado-",IF(A38=$H$12,"https://centrodecapacitaciondelsur.com/camillero-",IF(A38=$H$13,"https://centrodecapacitaciondelsur.com/toma-de-muestras-y-lab-clinico-",IF(A38=$H$14,"https://centrodecapacitaciondelsur.com/soporte-basico-de-vida-",IF(A38=$H$15,"https://centrodecapacitaciondelsur.com/violencia-sexual-",IF(A38=$H$17,"https://centrodecapacitaciondelsur.com/aiepi-",IF(A38=$H$18,"https://centrodecapacitaciondelsur.com/adm-medicamentos-canalizacion-inyectologia-",IF(A38=$H$25,"https://centrodecapacitaciondelsur.com/manejo-del-dolor-y-cuidados-paliativos-",IF(A38=$H$26,"https://centrodecapacitaciondelsur.com/toma-de-muestras-y-lab-clinico-poct-",IF(A38=$H$27,"https://centrodecapacitaciondelsur.com/implante-subdermico-",IF(A38=$H$21,"https://centrodecapacitaciondelsur.com/donante-de-organos-",IF(A38=$H$30,"https://centrodecapacitaciondelsur.com/atencion-a-victimas-del-conflicto-armado-",IF(A38=$H$20,"https://centrodecapacitaciondelsur.com/iami-",IF(A38=$H$22,"https://centrodecapacitaciondelsur.com/violencia-de-genero-",IF(A38=$H$23,"https://centrodecapacitaciondelsur.com/igualdad-de-genero-",IF(A38=$H$16,"https://centrodecapacitaciondelsur.com/pai-",IF(A38=$H$31,"https://centrodecapacitaciondelsur.com/manipulacion-de-alimentos-",IF(A38=$H$32,"https://centrodecapacitaciondelsur.com/atencion-a-personas-con-discapacidad-",IF(A38=$H$33,"https://centrodecapacitaciondelsur.com/atencion-al-adulto-mayor-",IF(A38=$H$34,"https://centrodecapacitaciondelsur.com/manejo-defensivo-",IF(A38=$H$35,"https://centrodecapacitaciondelsur.com/soporte-basico-neonatal-",IF(A38=$H$36,"https://centrodecapacitaciondelsur.com/seguridad-del-paciente-",IF(A38=$H$10,"https://centrodecapacitaciondelsur.com/toma-de-citologia-"))))))))))))))))))))))))))))))</f>
        <v>https://centrodecapacitaciondelsur.com/soporte-cardiovascular-avanzado-</v>
      </c>
      <c r="C38" s="21">
        <f>INSCRITOS!B9</f>
        <v>1084846331</v>
      </c>
      <c r="D38" t="str">
        <f>CONCATENATE(B38,C38,"/")</f>
        <v>https://centrodecapacitaciondelsur.com/soporte-cardiovascular-avanzado-1084846331/</v>
      </c>
    </row>
    <row r="39" spans="1:8" ht="120.75" customHeight="1" x14ac:dyDescent="0.25">
      <c r="A39" s="21" t="str">
        <f>INSCRITOS!O10</f>
        <v>QUIMICOS</v>
      </c>
      <c r="B39" s="13" t="str">
        <f t="shared" ref="B39:B102" si="0"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$10,"https://centrodecapacitaciondelsur.com/toma-de-citologia-"))))))))))))))))))))))))))))))</f>
        <v>https://centrodecapacitaciondelsur.com/victimas-por-agentes-quimicos-</v>
      </c>
      <c r="C39" s="21">
        <f>INSCRITOS!B10</f>
        <v>1084846331</v>
      </c>
      <c r="D39" t="str">
        <f t="shared" ref="D39:D54" si="1">CONCATENATE(B39,C39,"/")</f>
        <v>https://centrodecapacitaciondelsur.com/victimas-por-agentes-quimicos-1084846331/</v>
      </c>
    </row>
    <row r="40" spans="1:8" ht="120.75" customHeight="1" x14ac:dyDescent="0.25">
      <c r="A40" s="21" t="str">
        <f>INSCRITOS!O11</f>
        <v>DUELO</v>
      </c>
      <c r="B40" s="13" t="str">
        <f t="shared" si="0"/>
        <v>https://centrodecapacitaciondelsur.com/manejo-del-duelo-</v>
      </c>
      <c r="C40" s="21">
        <f>INSCRITOS!B11</f>
        <v>1084846331</v>
      </c>
      <c r="D40" t="str">
        <f t="shared" si="1"/>
        <v>https://centrodecapacitaciondelsur.com/manejo-del-duelo-1084846331/</v>
      </c>
    </row>
    <row r="41" spans="1:8" ht="120.75" customHeight="1" x14ac:dyDescent="0.25">
      <c r="A41" s="21" t="str">
        <f>INSCRITOS!O12</f>
        <v>BLS</v>
      </c>
      <c r="B41" s="13" t="str">
        <f t="shared" si="0"/>
        <v>https://centrodecapacitaciondelsur.com/soporte-basico-de-vida-</v>
      </c>
      <c r="C41" s="21">
        <f>INSCRITOS!B12</f>
        <v>1004134227</v>
      </c>
      <c r="D41" t="str">
        <f t="shared" si="1"/>
        <v>https://centrodecapacitaciondelsur.com/soporte-basico-de-vida-1004134227/</v>
      </c>
    </row>
    <row r="42" spans="1:8" ht="120.75" customHeight="1" x14ac:dyDescent="0.25">
      <c r="A42" s="21" t="str">
        <f>INSCRITOS!O13</f>
        <v>BLS</v>
      </c>
      <c r="B42" s="13" t="str">
        <f t="shared" si="0"/>
        <v>https://centrodecapacitaciondelsur.com/soporte-basico-de-vida-</v>
      </c>
      <c r="C42" s="21">
        <f>INSCRITOS!B13</f>
        <v>59796355</v>
      </c>
      <c r="D42" t="str">
        <f t="shared" si="1"/>
        <v>https://centrodecapacitaciondelsur.com/soporte-basico-de-vida-59796355/</v>
      </c>
    </row>
    <row r="43" spans="1:8" ht="120.75" customHeight="1" x14ac:dyDescent="0.25">
      <c r="A43" s="21" t="str">
        <f>INSCRITOS!O14</f>
        <v>VIOLENCIA SEXUAL</v>
      </c>
      <c r="B43" s="13" t="str">
        <f t="shared" si="0"/>
        <v>https://centrodecapacitaciondelsur.com/violencia-sexual-</v>
      </c>
      <c r="C43" s="21">
        <f>INSCRITOS!B14</f>
        <v>59796355</v>
      </c>
      <c r="D43" t="str">
        <f t="shared" si="1"/>
        <v>https://centrodecapacitaciondelsur.com/violencia-sexual-59796355/</v>
      </c>
    </row>
    <row r="44" spans="1:8" ht="120.75" customHeight="1" x14ac:dyDescent="0.25">
      <c r="A44" s="21" t="str">
        <f>INSCRITOS!O15</f>
        <v>PALIATIVOS</v>
      </c>
      <c r="B44" s="13" t="str">
        <f t="shared" si="0"/>
        <v>https://centrodecapacitaciondelsur.com/manejo-del-dolor-y-cuidados-paliativos-</v>
      </c>
      <c r="C44" s="21">
        <f>INSCRITOS!B15</f>
        <v>59796355</v>
      </c>
      <c r="D44" t="str">
        <f t="shared" si="1"/>
        <v>https://centrodecapacitaciondelsur.com/manejo-del-dolor-y-cuidados-paliativos-59796355/</v>
      </c>
    </row>
    <row r="45" spans="1:8" ht="120.75" customHeight="1" x14ac:dyDescent="0.25">
      <c r="A45" s="21" t="str">
        <f>INSCRITOS!O16</f>
        <v>QUIMICOS</v>
      </c>
      <c r="B45" s="13" t="str">
        <f t="shared" si="0"/>
        <v>https://centrodecapacitaciondelsur.com/victimas-por-agentes-quimicos-</v>
      </c>
      <c r="C45" s="21">
        <f>INSCRITOS!B16</f>
        <v>59796355</v>
      </c>
      <c r="D45" t="str">
        <f t="shared" si="1"/>
        <v>https://centrodecapacitaciondelsur.com/victimas-por-agentes-quimicos-59796355/</v>
      </c>
    </row>
    <row r="46" spans="1:8" ht="120.75" customHeight="1" x14ac:dyDescent="0.25">
      <c r="A46" s="21" t="str">
        <f>INSCRITOS!O17</f>
        <v>DUELO</v>
      </c>
      <c r="B46" s="13" t="str">
        <f t="shared" si="0"/>
        <v>https://centrodecapacitaciondelsur.com/manejo-del-duelo-</v>
      </c>
      <c r="C46" s="21">
        <f>INSCRITOS!B17</f>
        <v>59796355</v>
      </c>
      <c r="D46" t="str">
        <f t="shared" si="1"/>
        <v>https://centrodecapacitaciondelsur.com/manejo-del-duelo-59796355/</v>
      </c>
    </row>
    <row r="47" spans="1:8" ht="120.75" customHeight="1" x14ac:dyDescent="0.25">
      <c r="A47" s="21" t="str">
        <f>INSCRITOS!O18</f>
        <v>QUIMICOS</v>
      </c>
      <c r="B47" s="13" t="str">
        <f t="shared" si="0"/>
        <v>https://centrodecapacitaciondelsur.com/victimas-por-agentes-quimicos-</v>
      </c>
      <c r="C47" s="21">
        <f>INSCRITOS!B18</f>
        <v>87452852</v>
      </c>
      <c r="D47" t="str">
        <f t="shared" si="1"/>
        <v>https://centrodecapacitaciondelsur.com/victimas-por-agentes-quimicos-87452852/</v>
      </c>
    </row>
    <row r="48" spans="1:8" ht="120.75" customHeight="1" x14ac:dyDescent="0.25">
      <c r="A48" s="21" t="str">
        <f>INSCRITOS!O19</f>
        <v>VIOLENCIA SEXUAL</v>
      </c>
      <c r="B48" s="13" t="str">
        <f t="shared" si="0"/>
        <v>https://centrodecapacitaciondelsur.com/violencia-sexual-</v>
      </c>
      <c r="C48" s="21">
        <f>INSCRITOS!B19</f>
        <v>87452852</v>
      </c>
      <c r="D48" t="str">
        <f t="shared" si="1"/>
        <v>https://centrodecapacitaciondelsur.com/violencia-sexual-87452852/</v>
      </c>
    </row>
    <row r="49" spans="1:4" ht="120.75" customHeight="1" x14ac:dyDescent="0.25">
      <c r="A49" s="21" t="str">
        <f>INSCRITOS!O20</f>
        <v>DUELO</v>
      </c>
      <c r="B49" s="13" t="str">
        <f t="shared" si="0"/>
        <v>https://centrodecapacitaciondelsur.com/manejo-del-duelo-</v>
      </c>
      <c r="C49" s="21">
        <f>INSCRITOS!B20</f>
        <v>87452852</v>
      </c>
      <c r="D49" t="str">
        <f t="shared" si="1"/>
        <v>https://centrodecapacitaciondelsur.com/manejo-del-duelo-87452852/</v>
      </c>
    </row>
    <row r="50" spans="1:4" ht="120.75" customHeight="1" x14ac:dyDescent="0.25">
      <c r="A50" s="21" t="str">
        <f>INSCRITOS!O21</f>
        <v>PRIMEROS AUXILIOS P</v>
      </c>
      <c r="B50" s="13" t="b">
        <f t="shared" si="0"/>
        <v>0</v>
      </c>
      <c r="C50" s="21">
        <f>INSCRITOS!B21</f>
        <v>1084846331</v>
      </c>
      <c r="D50" t="str">
        <f t="shared" si="1"/>
        <v>FALSO1084846331/</v>
      </c>
    </row>
    <row r="51" spans="1:4" ht="120.75" customHeight="1" x14ac:dyDescent="0.25">
      <c r="A51" s="21" t="str">
        <f>INSCRITOS!O22</f>
        <v>TOMA DE MUESTRAS</v>
      </c>
      <c r="B51" s="13" t="str">
        <f t="shared" si="0"/>
        <v>https://centrodecapacitaciondelsur.com/toma-de-muestras-y-lab-clinico-</v>
      </c>
      <c r="C51" s="21">
        <f>INSCRITOS!B22</f>
        <v>1120576577</v>
      </c>
      <c r="D51" t="str">
        <f t="shared" si="1"/>
        <v>https://centrodecapacitaciondelsur.com/toma-de-muestras-y-lab-clinico-1120576577/</v>
      </c>
    </row>
    <row r="52" spans="1:4" ht="120.75" customHeight="1" x14ac:dyDescent="0.25">
      <c r="A52" s="21" t="str">
        <f>INSCRITOS!O23</f>
        <v>VIOLENCIA SEXUAL</v>
      </c>
      <c r="B52" s="13" t="str">
        <f t="shared" si="0"/>
        <v>https://centrodecapacitaciondelsur.com/violencia-sexual-</v>
      </c>
      <c r="C52" s="21">
        <f>INSCRITOS!B23</f>
        <v>1088649692</v>
      </c>
      <c r="D52" t="str">
        <f t="shared" si="1"/>
        <v>https://centrodecapacitaciondelsur.com/violencia-sexual-1088649692/</v>
      </c>
    </row>
    <row r="53" spans="1:4" ht="120.75" customHeight="1" x14ac:dyDescent="0.25">
      <c r="A53" s="21" t="str">
        <f>INSCRITOS!O24</f>
        <v>DUELO</v>
      </c>
      <c r="B53" s="13" t="str">
        <f t="shared" si="0"/>
        <v>https://centrodecapacitaciondelsur.com/manejo-del-duelo-</v>
      </c>
      <c r="C53" s="21">
        <f>INSCRITOS!B24</f>
        <v>1088649692</v>
      </c>
      <c r="D53" t="str">
        <f t="shared" si="1"/>
        <v>https://centrodecapacitaciondelsur.com/manejo-del-duelo-1088649692/</v>
      </c>
    </row>
    <row r="54" spans="1:4" ht="120.75" customHeight="1" x14ac:dyDescent="0.25">
      <c r="A54" s="21" t="str">
        <f>INSCRITOS!O25</f>
        <v>VIOLENCIA SEXUAL</v>
      </c>
      <c r="B54" s="13" t="str">
        <f t="shared" si="0"/>
        <v>https://centrodecapacitaciondelsur.com/violencia-sexual-</v>
      </c>
      <c r="C54" s="21">
        <f>INSCRITOS!B25</f>
        <v>1085338931</v>
      </c>
      <c r="D54" t="str">
        <f t="shared" si="1"/>
        <v>https://centrodecapacitaciondelsur.com/violencia-sexual-1085338931/</v>
      </c>
    </row>
    <row r="55" spans="1:4" ht="120.75" customHeight="1" x14ac:dyDescent="0.25">
      <c r="A55" s="21" t="str">
        <f>INSCRITOS!O26</f>
        <v>VIOLENCIA SEXUAL</v>
      </c>
      <c r="B55" s="13" t="str">
        <f t="shared" si="0"/>
        <v>https://centrodecapacitaciondelsur.com/violencia-sexual-</v>
      </c>
      <c r="C55" s="21">
        <f>INSCRITOS!B26</f>
        <v>1004564013</v>
      </c>
      <c r="D55" t="str">
        <f t="shared" ref="D55:D76" si="2">CONCATENATE(B55,C55,"/")</f>
        <v>https://centrodecapacitaciondelsur.com/violencia-sexual-1004564013/</v>
      </c>
    </row>
    <row r="56" spans="1:4" ht="120.75" customHeight="1" x14ac:dyDescent="0.25">
      <c r="A56" s="21" t="str">
        <f>INSCRITOS!O27</f>
        <v>VIOLENCIA SEXUAL</v>
      </c>
      <c r="B56" s="13" t="str">
        <f t="shared" si="0"/>
        <v>https://centrodecapacitaciondelsur.com/violencia-sexual-</v>
      </c>
      <c r="C56" s="21">
        <f>INSCRITOS!B27</f>
        <v>1085315305</v>
      </c>
      <c r="D56" t="str">
        <f t="shared" si="2"/>
        <v>https://centrodecapacitaciondelsur.com/violencia-sexual-1085315305/</v>
      </c>
    </row>
    <row r="57" spans="1:4" ht="120.75" customHeight="1" x14ac:dyDescent="0.25">
      <c r="A57" s="21" t="str">
        <f>INSCRITOS!O28</f>
        <v>BLS</v>
      </c>
      <c r="B57" s="13" t="str">
        <f t="shared" si="0"/>
        <v>https://centrodecapacitaciondelsur.com/soporte-basico-de-vida-</v>
      </c>
      <c r="C57" s="21">
        <f>INSCRITOS!B28</f>
        <v>1085325917</v>
      </c>
      <c r="D57" t="str">
        <f t="shared" si="2"/>
        <v>https://centrodecapacitaciondelsur.com/soporte-basico-de-vida-1085325917/</v>
      </c>
    </row>
    <row r="58" spans="1:4" ht="120.75" customHeight="1" x14ac:dyDescent="0.25">
      <c r="A58" s="21" t="str">
        <f>INSCRITOS!O29</f>
        <v>BLS</v>
      </c>
      <c r="B58" s="13" t="str">
        <f t="shared" si="0"/>
        <v>https://centrodecapacitaciondelsur.com/soporte-basico-de-vida-</v>
      </c>
      <c r="C58" s="21">
        <f>INSCRITOS!B29</f>
        <v>1088731517</v>
      </c>
      <c r="D58" t="str">
        <f>CONCATENATE(B58,C58,"/")</f>
        <v>https://centrodecapacitaciondelsur.com/soporte-basico-de-vida-1088731517/</v>
      </c>
    </row>
    <row r="59" spans="1:4" ht="120.75" customHeight="1" x14ac:dyDescent="0.25">
      <c r="A59" s="21" t="str">
        <f>INSCRITOS!O30</f>
        <v>ACLS</v>
      </c>
      <c r="B59" s="13" t="str">
        <f t="shared" si="0"/>
        <v>https://centrodecapacitaciondelsur.com/soporte-cardiovascular-avanzado-</v>
      </c>
      <c r="C59" s="21">
        <f>INSCRITOS!B30</f>
        <v>1085341995</v>
      </c>
      <c r="D59" t="str">
        <f t="shared" si="2"/>
        <v>https://centrodecapacitaciondelsur.com/soporte-cardiovascular-avanzado-1085341995/</v>
      </c>
    </row>
    <row r="60" spans="1:4" ht="120.75" customHeight="1" x14ac:dyDescent="0.25">
      <c r="A60" s="21" t="str">
        <f>INSCRITOS!O31</f>
        <v>BLS</v>
      </c>
      <c r="B60" s="13" t="str">
        <f t="shared" si="0"/>
        <v>https://centrodecapacitaciondelsur.com/soporte-basico-de-vida-</v>
      </c>
      <c r="C60" s="21">
        <f>INSCRITOS!B31</f>
        <v>1004631974</v>
      </c>
      <c r="D60" t="str">
        <f t="shared" si="2"/>
        <v>https://centrodecapacitaciondelsur.com/soporte-basico-de-vida-1004631974/</v>
      </c>
    </row>
    <row r="61" spans="1:4" ht="120.75" customHeight="1" x14ac:dyDescent="0.25">
      <c r="A61" s="21" t="str">
        <f>INSCRITOS!O32</f>
        <v>BLS</v>
      </c>
      <c r="B61" s="13" t="str">
        <f t="shared" si="0"/>
        <v>https://centrodecapacitaciondelsur.com/soporte-basico-de-vida-</v>
      </c>
      <c r="C61" s="21">
        <f>INSCRITOS!B32</f>
        <v>1004508289</v>
      </c>
      <c r="D61" t="str">
        <f t="shared" si="2"/>
        <v>https://centrodecapacitaciondelsur.com/soporte-basico-de-vida-1004508289/</v>
      </c>
    </row>
    <row r="62" spans="1:4" ht="120.75" customHeight="1" x14ac:dyDescent="0.25">
      <c r="A62" s="21" t="str">
        <f>INSCRITOS!O33</f>
        <v>BLS</v>
      </c>
      <c r="B62" s="13" t="str">
        <f t="shared" si="0"/>
        <v>https://centrodecapacitaciondelsur.com/soporte-basico-de-vida-</v>
      </c>
      <c r="C62" s="21">
        <f>INSCRITOS!B33</f>
        <v>1085314430</v>
      </c>
      <c r="D62" t="str">
        <f t="shared" si="2"/>
        <v>https://centrodecapacitaciondelsur.com/soporte-basico-de-vida-1085314430/</v>
      </c>
    </row>
    <row r="63" spans="1:4" ht="120.75" customHeight="1" x14ac:dyDescent="0.25">
      <c r="A63" s="21" t="str">
        <f>INSCRITOS!O34</f>
        <v>AIEPI</v>
      </c>
      <c r="B63" s="13" t="str">
        <f t="shared" si="0"/>
        <v>https://centrodecapacitaciondelsur.com/aiepi-</v>
      </c>
      <c r="C63" s="21">
        <f>INSCRITOS!B34</f>
        <v>4613483</v>
      </c>
      <c r="D63" t="str">
        <f t="shared" si="2"/>
        <v>https://centrodecapacitaciondelsur.com/aiepi-4613483/</v>
      </c>
    </row>
    <row r="64" spans="1:4" ht="120.75" customHeight="1" x14ac:dyDescent="0.25">
      <c r="A64" s="21" t="str">
        <f>INSCRITOS!O35</f>
        <v>IAMI</v>
      </c>
      <c r="B64" s="13" t="str">
        <f t="shared" si="0"/>
        <v>https://centrodecapacitaciondelsur.com/iami-</v>
      </c>
      <c r="C64" s="21">
        <f>INSCRITOS!B35</f>
        <v>4613483</v>
      </c>
      <c r="D64" t="str">
        <f t="shared" si="2"/>
        <v>https://centrodecapacitaciondelsur.com/iami-4613483/</v>
      </c>
    </row>
    <row r="65" spans="1:4" ht="120.75" customHeight="1" x14ac:dyDescent="0.25">
      <c r="A65" s="21" t="str">
        <f>INSCRITOS!O36</f>
        <v>QUIMICOS</v>
      </c>
      <c r="B65" s="13" t="str">
        <f t="shared" si="0"/>
        <v>https://centrodecapacitaciondelsur.com/victimas-por-agentes-quimicos-</v>
      </c>
      <c r="C65" s="21">
        <f>INSCRITOS!B36</f>
        <v>27160719</v>
      </c>
      <c r="D65" t="str">
        <f t="shared" si="2"/>
        <v>https://centrodecapacitaciondelsur.com/victimas-por-agentes-quimicos-27160719/</v>
      </c>
    </row>
    <row r="66" spans="1:4" ht="120.75" customHeight="1" x14ac:dyDescent="0.25">
      <c r="A66" s="21" t="str">
        <f>INSCRITOS!O37</f>
        <v>VIOLENCIA SEXUAL</v>
      </c>
      <c r="B66" s="13" t="str">
        <f t="shared" si="0"/>
        <v>https://centrodecapacitaciondelsur.com/violencia-sexual-</v>
      </c>
      <c r="C66" s="21">
        <f>INSCRITOS!B37</f>
        <v>1088738252</v>
      </c>
      <c r="D66" t="str">
        <f t="shared" si="2"/>
        <v>https://centrodecapacitaciondelsur.com/violencia-sexual-1088738252/</v>
      </c>
    </row>
    <row r="67" spans="1:4" ht="120.75" customHeight="1" x14ac:dyDescent="0.25">
      <c r="A67" s="21" t="str">
        <f>INSCRITOS!O38</f>
        <v>QUIMICOS</v>
      </c>
      <c r="B67" s="13" t="str">
        <f t="shared" si="0"/>
        <v>https://centrodecapacitaciondelsur.com/victimas-por-agentes-quimicos-</v>
      </c>
      <c r="C67" s="21">
        <f>INSCRITOS!B38</f>
        <v>1088738252</v>
      </c>
      <c r="D67" t="str">
        <f t="shared" si="2"/>
        <v>https://centrodecapacitaciondelsur.com/victimas-por-agentes-quimicos-1088738252/</v>
      </c>
    </row>
    <row r="68" spans="1:4" ht="120.75" customHeight="1" x14ac:dyDescent="0.25">
      <c r="A68" s="21" t="str">
        <f>INSCRITOS!O39</f>
        <v>DUELO</v>
      </c>
      <c r="B68" s="13" t="str">
        <f t="shared" si="0"/>
        <v>https://centrodecapacitaciondelsur.com/manejo-del-duelo-</v>
      </c>
      <c r="C68" s="21">
        <f>INSCRITOS!B39</f>
        <v>1088738252</v>
      </c>
      <c r="D68" t="str">
        <f t="shared" si="2"/>
        <v>https://centrodecapacitaciondelsur.com/manejo-del-duelo-1088738252/</v>
      </c>
    </row>
    <row r="69" spans="1:4" ht="120.75" customHeight="1" x14ac:dyDescent="0.25">
      <c r="A69" s="21" t="str">
        <f>INSCRITOS!O40</f>
        <v>BLS</v>
      </c>
      <c r="B69" s="13" t="str">
        <f t="shared" si="0"/>
        <v>https://centrodecapacitaciondelsur.com/soporte-basico-de-vida-</v>
      </c>
      <c r="C69" s="21">
        <f>INSCRITOS!B40</f>
        <v>27277310</v>
      </c>
      <c r="D69" t="str">
        <f t="shared" si="2"/>
        <v>https://centrodecapacitaciondelsur.com/soporte-basico-de-vida-27277310/</v>
      </c>
    </row>
    <row r="70" spans="1:4" ht="120.75" customHeight="1" x14ac:dyDescent="0.25">
      <c r="A70" s="21" t="str">
        <f>INSCRITOS!O41</f>
        <v>HUMANIZACION</v>
      </c>
      <c r="B70" s="13" t="str">
        <f t="shared" si="0"/>
        <v>https://centrodecapacitaciondelsur.com/humanizacion-</v>
      </c>
      <c r="C70" s="21">
        <f>INSCRITOS!B41</f>
        <v>27277310</v>
      </c>
      <c r="D70" t="str">
        <f t="shared" si="2"/>
        <v>https://centrodecapacitaciondelsur.com/humanizacion-27277310/</v>
      </c>
    </row>
    <row r="71" spans="1:4" ht="120.75" customHeight="1" x14ac:dyDescent="0.25">
      <c r="A71" s="21" t="str">
        <f>INSCRITOS!O42</f>
        <v>DUELO</v>
      </c>
      <c r="B71" s="13" t="str">
        <f t="shared" si="0"/>
        <v>https://centrodecapacitaciondelsur.com/manejo-del-duelo-</v>
      </c>
      <c r="C71" s="21">
        <f>INSCRITOS!B42</f>
        <v>27277310</v>
      </c>
      <c r="D71" t="str">
        <f t="shared" si="2"/>
        <v>https://centrodecapacitaciondelsur.com/manejo-del-duelo-27277310/</v>
      </c>
    </row>
    <row r="72" spans="1:4" ht="120.75" customHeight="1" x14ac:dyDescent="0.25">
      <c r="A72" s="21" t="str">
        <f>INSCRITOS!O43</f>
        <v>QUIMICOS</v>
      </c>
      <c r="B72" s="13" t="str">
        <f t="shared" si="0"/>
        <v>https://centrodecapacitaciondelsur.com/victimas-por-agentes-quimicos-</v>
      </c>
      <c r="C72" s="21">
        <f>INSCRITOS!B43</f>
        <v>27277310</v>
      </c>
      <c r="D72" t="str">
        <f t="shared" si="2"/>
        <v>https://centrodecapacitaciondelsur.com/victimas-por-agentes-quimicos-27277310/</v>
      </c>
    </row>
    <row r="73" spans="1:4" ht="120.75" customHeight="1" x14ac:dyDescent="0.25">
      <c r="A73" s="21" t="str">
        <f>INSCRITOS!O44</f>
        <v>VIOLENCIA SEXUAL</v>
      </c>
      <c r="B73" s="13" t="str">
        <f t="shared" si="0"/>
        <v>https://centrodecapacitaciondelsur.com/violencia-sexual-</v>
      </c>
      <c r="C73" s="21">
        <f>INSCRITOS!B44</f>
        <v>27277310</v>
      </c>
      <c r="D73" t="str">
        <f t="shared" si="2"/>
        <v>https://centrodecapacitaciondelsur.com/violencia-sexual-27277310/</v>
      </c>
    </row>
    <row r="74" spans="1:4" ht="120.75" customHeight="1" x14ac:dyDescent="0.25">
      <c r="A74" s="21" t="str">
        <f>INSCRITOS!O45</f>
        <v>PALIATIVOS</v>
      </c>
      <c r="B74" s="13" t="str">
        <f t="shared" si="0"/>
        <v>https://centrodecapacitaciondelsur.com/manejo-del-dolor-y-cuidados-paliativos-</v>
      </c>
      <c r="C74" s="21">
        <f>INSCRITOS!B45</f>
        <v>27277310</v>
      </c>
      <c r="D74" t="str">
        <f t="shared" si="2"/>
        <v>https://centrodecapacitaciondelsur.com/manejo-del-dolor-y-cuidados-paliativos-27277310/</v>
      </c>
    </row>
    <row r="75" spans="1:4" ht="120.75" customHeight="1" x14ac:dyDescent="0.25">
      <c r="A75" s="21" t="str">
        <f>INSCRITOS!O46</f>
        <v>VIOLENCIA SEXUAL</v>
      </c>
      <c r="B75" s="13" t="str">
        <f t="shared" si="0"/>
        <v>https://centrodecapacitaciondelsur.com/violencia-sexual-</v>
      </c>
      <c r="C75" s="21">
        <f>INSCRITOS!B46</f>
        <v>87455395</v>
      </c>
      <c r="D75" t="str">
        <f t="shared" si="2"/>
        <v>https://centrodecapacitaciondelsur.com/violencia-sexual-87455395/</v>
      </c>
    </row>
    <row r="76" spans="1:4" ht="120.75" customHeight="1" x14ac:dyDescent="0.25">
      <c r="A76" s="21" t="str">
        <f>INSCRITOS!O47</f>
        <v>QUIMICOS</v>
      </c>
      <c r="B76" s="13" t="str">
        <f t="shared" si="0"/>
        <v>https://centrodecapacitaciondelsur.com/victimas-por-agentes-quimicos-</v>
      </c>
      <c r="C76" s="21">
        <f>INSCRITOS!B47</f>
        <v>87455395</v>
      </c>
      <c r="D76" t="str">
        <f t="shared" si="2"/>
        <v>https://centrodecapacitaciondelsur.com/victimas-por-agentes-quimicos-87455395/</v>
      </c>
    </row>
    <row r="77" spans="1:4" ht="120.75" customHeight="1" x14ac:dyDescent="0.25">
      <c r="A77" s="21" t="str">
        <f>INSCRITOS!O48</f>
        <v>BLS</v>
      </c>
      <c r="B77" s="13" t="str">
        <f t="shared" si="0"/>
        <v>https://centrodecapacitaciondelsur.com/soporte-basico-de-vida-</v>
      </c>
      <c r="C77" s="21">
        <f>INSCRITOS!B48</f>
        <v>1087412202</v>
      </c>
      <c r="D77" t="str">
        <f t="shared" ref="D77:D80" si="3">CONCATENATE(B77,C77,"/")</f>
        <v>https://centrodecapacitaciondelsur.com/soporte-basico-de-vida-1087412202/</v>
      </c>
    </row>
    <row r="78" spans="1:4" ht="120.75" customHeight="1" x14ac:dyDescent="0.25">
      <c r="A78" s="21" t="str">
        <f>INSCRITOS!O49</f>
        <v>BLS</v>
      </c>
      <c r="B78" s="13" t="str">
        <f t="shared" si="0"/>
        <v>https://centrodecapacitaciondelsur.com/soporte-basico-de-vida-</v>
      </c>
      <c r="C78" s="21">
        <f>INSCRITOS!B49</f>
        <v>66754267</v>
      </c>
      <c r="D78" t="str">
        <f t="shared" si="3"/>
        <v>https://centrodecapacitaciondelsur.com/soporte-basico-de-vida-66754267/</v>
      </c>
    </row>
    <row r="79" spans="1:4" ht="120.75" customHeight="1" x14ac:dyDescent="0.25">
      <c r="A79" s="21" t="str">
        <f>INSCRITOS!O50</f>
        <v>VIOLENCIA SEXUAL</v>
      </c>
      <c r="B79" s="13" t="str">
        <f t="shared" si="0"/>
        <v>https://centrodecapacitaciondelsur.com/violencia-sexual-</v>
      </c>
      <c r="C79" s="21">
        <f>INSCRITOS!B50</f>
        <v>1085323781</v>
      </c>
      <c r="D79" t="str">
        <f t="shared" si="3"/>
        <v>https://centrodecapacitaciondelsur.com/violencia-sexual-1085323781/</v>
      </c>
    </row>
    <row r="80" spans="1:4" ht="120.75" customHeight="1" x14ac:dyDescent="0.25">
      <c r="A80" s="21" t="str">
        <f>INSCRITOS!O51</f>
        <v>AIEPI</v>
      </c>
      <c r="B80" s="13" t="str">
        <f t="shared" si="0"/>
        <v>https://centrodecapacitaciondelsur.com/aiepi-</v>
      </c>
      <c r="C80" s="21">
        <f>INSCRITOS!B51</f>
        <v>37124787</v>
      </c>
      <c r="D80" t="str">
        <f t="shared" si="3"/>
        <v>https://centrodecapacitaciondelsur.com/aiepi-37124787/</v>
      </c>
    </row>
    <row r="81" spans="1:4" ht="120.75" customHeight="1" x14ac:dyDescent="0.25">
      <c r="A81" s="21" t="str">
        <f>INSCRITOS!O52</f>
        <v>AIEPI</v>
      </c>
      <c r="B81" s="13" t="str">
        <f t="shared" si="0"/>
        <v>https://centrodecapacitaciondelsur.com/aiepi-</v>
      </c>
      <c r="C81" s="21">
        <f>INSCRITOS!B52</f>
        <v>1085258377</v>
      </c>
      <c r="D81" t="str">
        <f t="shared" ref="D81:D108" si="4">CONCATENATE(B81,C81,"/")</f>
        <v>https://centrodecapacitaciondelsur.com/aiepi-1085258377/</v>
      </c>
    </row>
    <row r="82" spans="1:4" ht="120.75" customHeight="1" x14ac:dyDescent="0.25">
      <c r="A82" s="21" t="str">
        <f>INSCRITOS!O53</f>
        <v>IAMI</v>
      </c>
      <c r="B82" s="13" t="str">
        <f t="shared" si="0"/>
        <v>https://centrodecapacitaciondelsur.com/iami-</v>
      </c>
      <c r="C82" s="21">
        <f>INSCRITOS!B53</f>
        <v>1085258377</v>
      </c>
      <c r="D82" t="str">
        <f t="shared" si="4"/>
        <v>https://centrodecapacitaciondelsur.com/iami-1085258377/</v>
      </c>
    </row>
    <row r="83" spans="1:4" ht="120.75" customHeight="1" x14ac:dyDescent="0.25">
      <c r="A83" s="21" t="str">
        <f>INSCRITOS!O54</f>
        <v>VIOLENCIA SEXUAL</v>
      </c>
      <c r="B83" s="13" t="str">
        <f t="shared" si="0"/>
        <v>https://centrodecapacitaciondelsur.com/violencia-sexual-</v>
      </c>
      <c r="C83" s="21">
        <f>INSCRITOS!B54</f>
        <v>1126564505</v>
      </c>
      <c r="D83" t="str">
        <f t="shared" si="4"/>
        <v>https://centrodecapacitaciondelsur.com/violencia-sexual-1126564505/</v>
      </c>
    </row>
    <row r="84" spans="1:4" ht="120.75" customHeight="1" x14ac:dyDescent="0.25">
      <c r="A84" s="21" t="str">
        <f>INSCRITOS!O55</f>
        <v>DUELO</v>
      </c>
      <c r="B84" s="13" t="str">
        <f t="shared" si="0"/>
        <v>https://centrodecapacitaciondelsur.com/manejo-del-duelo-</v>
      </c>
      <c r="C84" s="21">
        <f>INSCRITOS!B55</f>
        <v>1085283837</v>
      </c>
      <c r="D84" t="str">
        <f t="shared" si="4"/>
        <v>https://centrodecapacitaciondelsur.com/manejo-del-duelo-1085283837/</v>
      </c>
    </row>
    <row r="85" spans="1:4" ht="120.75" customHeight="1" x14ac:dyDescent="0.25">
      <c r="A85" s="21" t="str">
        <f>INSCRITOS!O56</f>
        <v>QUIMICOS</v>
      </c>
      <c r="B85" s="13" t="str">
        <f t="shared" si="0"/>
        <v>https://centrodecapacitaciondelsur.com/victimas-por-agentes-quimicos-</v>
      </c>
      <c r="C85" s="21">
        <f>INSCRITOS!B56</f>
        <v>1085283837</v>
      </c>
      <c r="D85" t="str">
        <f t="shared" si="4"/>
        <v>https://centrodecapacitaciondelsur.com/victimas-por-agentes-quimicos-1085283837/</v>
      </c>
    </row>
    <row r="86" spans="1:4" ht="120.75" customHeight="1" x14ac:dyDescent="0.25">
      <c r="A86" s="21" t="str">
        <f>INSCRITOS!O57</f>
        <v>VIOLENCIA SEXUAL</v>
      </c>
      <c r="B86" s="13" t="str">
        <f t="shared" si="0"/>
        <v>https://centrodecapacitaciondelsur.com/violencia-sexual-</v>
      </c>
      <c r="C86" s="21">
        <f>INSCRITOS!B57</f>
        <v>1085283837</v>
      </c>
      <c r="D86" t="str">
        <f t="shared" si="4"/>
        <v>https://centrodecapacitaciondelsur.com/violencia-sexual-1085283837/</v>
      </c>
    </row>
    <row r="87" spans="1:4" ht="120.75" customHeight="1" x14ac:dyDescent="0.25">
      <c r="A87" s="21" t="str">
        <f>INSCRITOS!O58</f>
        <v>BLS</v>
      </c>
      <c r="B87" s="13" t="str">
        <f t="shared" si="0"/>
        <v>https://centrodecapacitaciondelsur.com/soporte-basico-de-vida-</v>
      </c>
      <c r="C87" s="21">
        <f>INSCRITOS!B58</f>
        <v>1085283837</v>
      </c>
      <c r="D87" t="str">
        <f t="shared" si="4"/>
        <v>https://centrodecapacitaciondelsur.com/soporte-basico-de-vida-1085283837/</v>
      </c>
    </row>
    <row r="88" spans="1:4" ht="120.75" customHeight="1" x14ac:dyDescent="0.25">
      <c r="A88" s="21" t="str">
        <f>INSCRITOS!O59</f>
        <v>BLS</v>
      </c>
      <c r="B88" s="13" t="str">
        <f t="shared" si="0"/>
        <v>https://centrodecapacitaciondelsur.com/soporte-basico-de-vida-</v>
      </c>
      <c r="C88" s="21">
        <f>INSCRITOS!B59</f>
        <v>1087108367</v>
      </c>
      <c r="D88" t="str">
        <f t="shared" si="4"/>
        <v>https://centrodecapacitaciondelsur.com/soporte-basico-de-vida-1087108367/</v>
      </c>
    </row>
    <row r="89" spans="1:4" ht="120.75" customHeight="1" x14ac:dyDescent="0.25">
      <c r="A89" s="21" t="str">
        <f>INSCRITOS!O60</f>
        <v>BLS</v>
      </c>
      <c r="B89" s="13" t="str">
        <f t="shared" si="0"/>
        <v>https://centrodecapacitaciondelsur.com/soporte-basico-de-vida-</v>
      </c>
      <c r="C89" s="21">
        <f>INSCRITOS!B60</f>
        <v>1004216779</v>
      </c>
      <c r="D89" t="str">
        <f t="shared" si="4"/>
        <v>https://centrodecapacitaciondelsur.com/soporte-basico-de-vida-1004216779/</v>
      </c>
    </row>
    <row r="90" spans="1:4" ht="120.75" customHeight="1" x14ac:dyDescent="0.25">
      <c r="A90" s="21" t="str">
        <f>INSCRITOS!O61</f>
        <v>QUIMICOS</v>
      </c>
      <c r="B90" s="13" t="str">
        <f t="shared" si="0"/>
        <v>https://centrodecapacitaciondelsur.com/victimas-por-agentes-quimicos-</v>
      </c>
      <c r="C90" s="21">
        <f>INSCRITOS!B61</f>
        <v>1004216779</v>
      </c>
      <c r="D90" t="str">
        <f t="shared" si="4"/>
        <v>https://centrodecapacitaciondelsur.com/victimas-por-agentes-quimicos-1004216779/</v>
      </c>
    </row>
    <row r="91" spans="1:4" ht="120.75" customHeight="1" x14ac:dyDescent="0.25">
      <c r="A91" s="21" t="str">
        <f>INSCRITOS!O62</f>
        <v>DUELO</v>
      </c>
      <c r="B91" s="13" t="str">
        <f t="shared" si="0"/>
        <v>https://centrodecapacitaciondelsur.com/manejo-del-duelo-</v>
      </c>
      <c r="C91" s="21">
        <f>INSCRITOS!B62</f>
        <v>1004216779</v>
      </c>
      <c r="D91" t="str">
        <f t="shared" si="4"/>
        <v>https://centrodecapacitaciondelsur.com/manejo-del-duelo-1004216779/</v>
      </c>
    </row>
    <row r="92" spans="1:4" ht="120.75" customHeight="1" x14ac:dyDescent="0.25">
      <c r="A92" s="21" t="str">
        <f>INSCRITOS!O63</f>
        <v>VIOLENCIA SEXUAL</v>
      </c>
      <c r="B92" s="13" t="str">
        <f t="shared" si="0"/>
        <v>https://centrodecapacitaciondelsur.com/violencia-sexual-</v>
      </c>
      <c r="C92" s="21">
        <f>INSCRITOS!B63</f>
        <v>1004216779</v>
      </c>
      <c r="D92" t="str">
        <f t="shared" si="4"/>
        <v>https://centrodecapacitaciondelsur.com/violencia-sexual-1004216779/</v>
      </c>
    </row>
    <row r="93" spans="1:4" ht="120.75" customHeight="1" x14ac:dyDescent="0.25">
      <c r="A93" s="21" t="str">
        <f>INSCRITOS!O64</f>
        <v>HUMANIZACION</v>
      </c>
      <c r="B93" s="13" t="str">
        <f t="shared" si="0"/>
        <v>https://centrodecapacitaciondelsur.com/humanizacion-</v>
      </c>
      <c r="C93" s="21">
        <f>INSCRITOS!B64</f>
        <v>1004216779</v>
      </c>
      <c r="D93" t="str">
        <f t="shared" si="4"/>
        <v>https://centrodecapacitaciondelsur.com/humanizacion-1004216779/</v>
      </c>
    </row>
    <row r="94" spans="1:4" ht="120.75" customHeight="1" x14ac:dyDescent="0.25">
      <c r="A94" s="21" t="str">
        <f>INSCRITOS!O65</f>
        <v>AIEPI</v>
      </c>
      <c r="B94" s="13" t="str">
        <f t="shared" si="0"/>
        <v>https://centrodecapacitaciondelsur.com/aiepi-</v>
      </c>
      <c r="C94" s="21">
        <f>INSCRITOS!B65</f>
        <v>37123467</v>
      </c>
      <c r="D94" t="str">
        <f t="shared" si="4"/>
        <v>https://centrodecapacitaciondelsur.com/aiepi-37123467/</v>
      </c>
    </row>
    <row r="95" spans="1:4" ht="120.75" customHeight="1" x14ac:dyDescent="0.25">
      <c r="A95" s="21" t="str">
        <f>INSCRITOS!O66</f>
        <v>IAMI</v>
      </c>
      <c r="B95" s="13" t="str">
        <f t="shared" si="0"/>
        <v>https://centrodecapacitaciondelsur.com/iami-</v>
      </c>
      <c r="C95" s="21">
        <f>INSCRITOS!B66</f>
        <v>37123467</v>
      </c>
      <c r="D95" t="str">
        <f t="shared" si="4"/>
        <v>https://centrodecapacitaciondelsur.com/iami-37123467/</v>
      </c>
    </row>
    <row r="96" spans="1:4" ht="120.75" customHeight="1" x14ac:dyDescent="0.25">
      <c r="A96" s="21" t="str">
        <f>INSCRITOS!O67</f>
        <v>BLS</v>
      </c>
      <c r="B96" s="13" t="str">
        <f t="shared" si="0"/>
        <v>https://centrodecapacitaciondelsur.com/soporte-basico-de-vida-</v>
      </c>
      <c r="C96" s="21">
        <f>INSCRITOS!B67</f>
        <v>1126564505</v>
      </c>
      <c r="D96" t="str">
        <f t="shared" si="4"/>
        <v>https://centrodecapacitaciondelsur.com/soporte-basico-de-vida-1126564505/</v>
      </c>
    </row>
    <row r="97" spans="1:4" ht="120.75" customHeight="1" x14ac:dyDescent="0.25">
      <c r="A97" s="21" t="str">
        <f>INSCRITOS!O68</f>
        <v>ACLS</v>
      </c>
      <c r="B97" s="13" t="str">
        <f t="shared" si="0"/>
        <v>https://centrodecapacitaciondelsur.com/soporte-cardiovascular-avanzado-</v>
      </c>
      <c r="C97" s="21">
        <f>INSCRITOS!B68</f>
        <v>1126564505</v>
      </c>
      <c r="D97" t="str">
        <f t="shared" si="4"/>
        <v>https://centrodecapacitaciondelsur.com/soporte-cardiovascular-avanzado-1126564505/</v>
      </c>
    </row>
    <row r="98" spans="1:4" ht="120.75" customHeight="1" x14ac:dyDescent="0.25">
      <c r="A98" s="21" t="str">
        <f>INSCRITOS!O69</f>
        <v>QUIMICOS</v>
      </c>
      <c r="B98" s="13" t="str">
        <f t="shared" si="0"/>
        <v>https://centrodecapacitaciondelsur.com/victimas-por-agentes-quimicos-</v>
      </c>
      <c r="C98" s="21">
        <f>INSCRITOS!B69</f>
        <v>1083812298</v>
      </c>
      <c r="D98" t="str">
        <f t="shared" si="4"/>
        <v>https://centrodecapacitaciondelsur.com/victimas-por-agentes-quimicos-1083812298/</v>
      </c>
    </row>
    <row r="99" spans="1:4" ht="120.75" customHeight="1" x14ac:dyDescent="0.25">
      <c r="A99" s="21" t="str">
        <f>INSCRITOS!O70</f>
        <v>DUELO</v>
      </c>
      <c r="B99" s="13" t="str">
        <f t="shared" si="0"/>
        <v>https://centrodecapacitaciondelsur.com/manejo-del-duelo-</v>
      </c>
      <c r="C99" s="21">
        <f>INSCRITOS!B70</f>
        <v>1083812298</v>
      </c>
      <c r="D99" t="str">
        <f t="shared" si="4"/>
        <v>https://centrodecapacitaciondelsur.com/manejo-del-duelo-1083812298/</v>
      </c>
    </row>
    <row r="100" spans="1:4" ht="120.75" customHeight="1" x14ac:dyDescent="0.25">
      <c r="A100" s="21" t="str">
        <f>INSCRITOS!O71</f>
        <v>ACLS</v>
      </c>
      <c r="B100" s="13" t="str">
        <f t="shared" si="0"/>
        <v>https://centrodecapacitaciondelsur.com/soporte-cardiovascular-avanzado-</v>
      </c>
      <c r="C100" s="21">
        <f>INSCRITOS!B71</f>
        <v>1083812298</v>
      </c>
      <c r="D100" t="str">
        <f t="shared" si="4"/>
        <v>https://centrodecapacitaciondelsur.com/soporte-cardiovascular-avanzado-1083812298/</v>
      </c>
    </row>
    <row r="101" spans="1:4" ht="120.75" customHeight="1" x14ac:dyDescent="0.25">
      <c r="A101" s="21" t="str">
        <f>INSCRITOS!O72</f>
        <v>VIOLENCIA SEXUAL</v>
      </c>
      <c r="B101" s="13" t="str">
        <f t="shared" si="0"/>
        <v>https://centrodecapacitaciondelsur.com/violencia-sexual-</v>
      </c>
      <c r="C101" s="21">
        <f>INSCRITOS!B72</f>
        <v>37085908</v>
      </c>
      <c r="D101" t="str">
        <f t="shared" si="4"/>
        <v>https://centrodecapacitaciondelsur.com/violencia-sexual-37085908/</v>
      </c>
    </row>
    <row r="102" spans="1:4" ht="120.75" customHeight="1" x14ac:dyDescent="0.25">
      <c r="A102" s="21" t="str">
        <f>INSCRITOS!O73</f>
        <v>BLS</v>
      </c>
      <c r="B102" s="13" t="str">
        <f t="shared" si="0"/>
        <v>https://centrodecapacitaciondelsur.com/soporte-basico-de-vida-</v>
      </c>
      <c r="C102" s="21">
        <f>INSCRITOS!B73</f>
        <v>1085635358</v>
      </c>
      <c r="D102" t="str">
        <f t="shared" si="4"/>
        <v>https://centrodecapacitaciondelsur.com/soporte-basico-de-vida-1085635358/</v>
      </c>
    </row>
    <row r="103" spans="1:4" ht="120.75" customHeight="1" x14ac:dyDescent="0.25">
      <c r="A103" s="21" t="str">
        <f>INSCRITOS!O74</f>
        <v>HUMANIZACION</v>
      </c>
      <c r="B103" s="13" t="str">
        <f t="shared" ref="B103:B161" si="5">IF(A103=$H$19,"https://centrodecapacitaciondelsur.com/o-v-e-",IF(A103=$H$2,"https://centrodecapacitaciondelsur.com/aph-",IF(A103=$H$3,"https://centrodecapacitaciondelsur.com/manejo-del-duelo-",IF(A103=$H$4,"https://centrodecapacitaciondelsur.com/victimas-por-agentes-quimicos-",IF(A103=$H$5,"https://centrodecapacitaciondelsur.com/primeros-auxilios-",IF(A103=$H$6,"https://centrodecapacitaciondelsur.com/uci-",IF(A103=$H$8,"https://centrodecapacitaciondelsur.com/humanizacion-",IF(A103=$H$11,"https://centrodecapacitaciondelsur.com/soporte-cardiovascular-avanzado-",IF(A103=$H$12,"https://centrodecapacitaciondelsur.com/camillero-",IF(A103=$H$13,"https://centrodecapacitaciondelsur.com/toma-de-muestras-y-lab-clinico-",IF(A103=$H$14,"https://centrodecapacitaciondelsur.com/soporte-basico-de-vida-",IF(A103=$H$15,"https://centrodecapacitaciondelsur.com/violencia-sexual-",IF(A103=$H$17,"https://centrodecapacitaciondelsur.com/aiepi-",IF(A103=$H$18,"https://centrodecapacitaciondelsur.com/adm-medicamentos-canalizacion-inyectologia-",IF(A103=$H$25,"https://centrodecapacitaciondelsur.com/manejo-del-dolor-y-cuidados-paliativos-",IF(A103=$H$26,"https://centrodecapacitaciondelsur.com/toma-de-muestras-y-lab-clinico-poct-",IF(A103=$H$27,"https://centrodecapacitaciondelsur.com/implante-subdermico-",IF(A103=$H$21,"https://centrodecapacitaciondelsur.com/donante-de-organos-",IF(A103=$H$30,"https://centrodecapacitaciondelsur.com/atencion-a-victimas-del-conflicto-armado-",IF(A103=$H$20,"https://centrodecapacitaciondelsur.com/iami-",IF(A103=$H$22,"https://centrodecapacitaciondelsur.com/violencia-de-genero-",IF(A103=$H$23,"https://centrodecapacitaciondelsur.com/igualdad-de-genero-",IF(A103=$H$16,"https://centrodecapacitaciondelsur.com/pai-",IF(A103=$H$31,"https://centrodecapacitaciondelsur.com/manipulacion-de-alimentos-",IF(A103=$H$32,"https://centrodecapacitaciondelsur.com/atencion-a-personas-con-discapacidad-",IF(A103=$H$33,"https://centrodecapacitaciondelsur.com/atencion-al-adulto-mayor-",IF(A103=$H$34,"https://centrodecapacitaciondelsur.com/manejo-defensivo-",IF(A103=$H$35,"https://centrodecapacitaciondelsur.com/soporte-basico-neonatal-",IF(A103=$H$36,"https://centrodecapacitaciondelsur.com/seguridad-del-paciente-",IF(A103=$H$10,"https://centrodecapacitaciondelsur.com/toma-de-citologia-"))))))))))))))))))))))))))))))</f>
        <v>https://centrodecapacitaciondelsur.com/humanizacion-</v>
      </c>
      <c r="C103" s="21">
        <f>INSCRITOS!B74</f>
        <v>1085246095</v>
      </c>
      <c r="D103" t="str">
        <f t="shared" si="4"/>
        <v>https://centrodecapacitaciondelsur.com/humanizacion-1085246095/</v>
      </c>
    </row>
    <row r="104" spans="1:4" ht="120.75" customHeight="1" x14ac:dyDescent="0.25">
      <c r="A104" s="21" t="str">
        <f>INSCRITOS!O75</f>
        <v>VIOLENCIA SEXUAL</v>
      </c>
      <c r="B104" s="13" t="str">
        <f t="shared" si="5"/>
        <v>https://centrodecapacitaciondelsur.com/violencia-sexual-</v>
      </c>
      <c r="C104" s="21">
        <f>INSCRITOS!B75</f>
        <v>1085246095</v>
      </c>
      <c r="D104" t="str">
        <f t="shared" si="4"/>
        <v>https://centrodecapacitaciondelsur.com/violencia-sexual-1085246095/</v>
      </c>
    </row>
    <row r="105" spans="1:4" ht="120.75" customHeight="1" x14ac:dyDescent="0.25">
      <c r="A105" s="21" t="str">
        <f>INSCRITOS!O76</f>
        <v>BLS</v>
      </c>
      <c r="B105" s="13" t="str">
        <f t="shared" si="5"/>
        <v>https://centrodecapacitaciondelsur.com/soporte-basico-de-vida-</v>
      </c>
      <c r="C105" s="21">
        <f>INSCRITOS!B76</f>
        <v>38683650</v>
      </c>
      <c r="D105" t="str">
        <f t="shared" si="4"/>
        <v>https://centrodecapacitaciondelsur.com/soporte-basico-de-vida-38683650/</v>
      </c>
    </row>
    <row r="106" spans="1:4" ht="120.75" customHeight="1" x14ac:dyDescent="0.25">
      <c r="A106" s="21" t="s">
        <v>27</v>
      </c>
      <c r="B106" s="13" t="str">
        <f t="shared" si="5"/>
        <v>https://centrodecapacitaciondelsur.com/primeros-auxilios-</v>
      </c>
      <c r="C106" s="21">
        <f>INSCRITOS!B77</f>
        <v>38683650</v>
      </c>
      <c r="D106" t="str">
        <f t="shared" si="4"/>
        <v>https://centrodecapacitaciondelsur.com/primeros-auxilios-38683650/</v>
      </c>
    </row>
    <row r="107" spans="1:4" ht="120.75" customHeight="1" x14ac:dyDescent="0.25">
      <c r="A107" s="21" t="str">
        <f>INSCRITOS!O78</f>
        <v>UCI</v>
      </c>
      <c r="B107" s="13" t="str">
        <f t="shared" si="5"/>
        <v>https://centrodecapacitaciondelsur.com/uci-</v>
      </c>
      <c r="C107" s="21">
        <f>INSCRITOS!B78</f>
        <v>1085260562</v>
      </c>
      <c r="D107" t="str">
        <f t="shared" si="4"/>
        <v>https://centrodecapacitaciondelsur.com/uci-1085260562/</v>
      </c>
    </row>
    <row r="108" spans="1:4" ht="120.75" customHeight="1" x14ac:dyDescent="0.25">
      <c r="A108" s="21" t="str">
        <f>INSCRITOS!O79</f>
        <v>AIEPI</v>
      </c>
      <c r="B108" s="13" t="str">
        <f t="shared" si="5"/>
        <v>https://centrodecapacitaciondelsur.com/aiepi-</v>
      </c>
      <c r="C108" s="21">
        <f>INSCRITOS!B79</f>
        <v>1085335424</v>
      </c>
      <c r="D108" t="str">
        <f t="shared" si="4"/>
        <v>https://centrodecapacitaciondelsur.com/aiepi-1085335424/</v>
      </c>
    </row>
    <row r="109" spans="1:4" ht="120.75" customHeight="1" x14ac:dyDescent="0.25">
      <c r="A109" s="21" t="str">
        <f>INSCRITOS!O80</f>
        <v>BLS</v>
      </c>
      <c r="B109" s="13" t="str">
        <f t="shared" si="5"/>
        <v>https://centrodecapacitaciondelsur.com/soporte-basico-de-vida-</v>
      </c>
      <c r="C109" s="21">
        <f>INSCRITOS!B80</f>
        <v>1087127106</v>
      </c>
      <c r="D109" t="str">
        <f t="shared" ref="D109:D125" si="6">CONCATENATE(B109,C109,"/")</f>
        <v>https://centrodecapacitaciondelsur.com/soporte-basico-de-vida-1087127106/</v>
      </c>
    </row>
    <row r="110" spans="1:4" ht="120.75" customHeight="1" x14ac:dyDescent="0.25">
      <c r="A110" s="21" t="str">
        <f>INSCRITOS!O81</f>
        <v>DUELO</v>
      </c>
      <c r="B110" s="13" t="str">
        <f t="shared" si="5"/>
        <v>https://centrodecapacitaciondelsur.com/manejo-del-duelo-</v>
      </c>
      <c r="C110" s="21">
        <f>INSCRITOS!B81</f>
        <v>98397460</v>
      </c>
      <c r="D110" t="str">
        <f t="shared" si="6"/>
        <v>https://centrodecapacitaciondelsur.com/manejo-del-duelo-98397460/</v>
      </c>
    </row>
    <row r="111" spans="1:4" ht="120.75" customHeight="1" x14ac:dyDescent="0.25">
      <c r="A111" s="21" t="str">
        <f>INSCRITOS!O82</f>
        <v>BLS</v>
      </c>
      <c r="B111" s="13" t="str">
        <f t="shared" si="5"/>
        <v>https://centrodecapacitaciondelsur.com/soporte-basico-de-vida-</v>
      </c>
      <c r="C111" s="21">
        <f>INSCRITOS!B82</f>
        <v>1085270836</v>
      </c>
      <c r="D111" t="str">
        <f t="shared" si="6"/>
        <v>https://centrodecapacitaciondelsur.com/soporte-basico-de-vida-1085270836/</v>
      </c>
    </row>
    <row r="112" spans="1:4" ht="120.75" customHeight="1" x14ac:dyDescent="0.25">
      <c r="A112" s="21" t="str">
        <f>INSCRITOS!O83</f>
        <v>AIEPI</v>
      </c>
      <c r="B112" s="13" t="str">
        <f t="shared" si="5"/>
        <v>https://centrodecapacitaciondelsur.com/aiepi-</v>
      </c>
      <c r="C112" s="21">
        <f>INSCRITOS!B83</f>
        <v>1085248219</v>
      </c>
      <c r="D112" t="str">
        <f t="shared" si="6"/>
        <v>https://centrodecapacitaciondelsur.com/aiepi-1085248219/</v>
      </c>
    </row>
    <row r="113" spans="1:4" ht="120.75" customHeight="1" x14ac:dyDescent="0.25">
      <c r="A113" s="21" t="e">
        <f>INSCRITOS!#REF!</f>
        <v>#REF!</v>
      </c>
      <c r="B113" s="13" t="e">
        <f t="shared" si="5"/>
        <v>#REF!</v>
      </c>
      <c r="C113" s="21" t="e">
        <f>INSCRITOS!#REF!</f>
        <v>#REF!</v>
      </c>
      <c r="D113" t="e">
        <f t="shared" si="6"/>
        <v>#REF!</v>
      </c>
    </row>
    <row r="114" spans="1:4" ht="120.75" customHeight="1" x14ac:dyDescent="0.25">
      <c r="A114" s="21" t="e">
        <f>INSCRITOS!#REF!</f>
        <v>#REF!</v>
      </c>
      <c r="B114" s="13" t="e">
        <f t="shared" si="5"/>
        <v>#REF!</v>
      </c>
      <c r="C114" s="21" t="e">
        <f>INSCRITOS!#REF!</f>
        <v>#REF!</v>
      </c>
      <c r="D114" t="e">
        <f t="shared" si="6"/>
        <v>#REF!</v>
      </c>
    </row>
    <row r="115" spans="1:4" ht="120.75" customHeight="1" x14ac:dyDescent="0.25">
      <c r="A115" s="21" t="str">
        <f>INSCRITOS!O84</f>
        <v>BLS</v>
      </c>
      <c r="B115" s="13" t="str">
        <f t="shared" si="5"/>
        <v>https://centrodecapacitaciondelsur.com/soporte-basico-de-vida-</v>
      </c>
      <c r="C115" s="21">
        <f>INSCRITOS!B84</f>
        <v>87712871</v>
      </c>
      <c r="D115" t="str">
        <f t="shared" si="6"/>
        <v>https://centrodecapacitaciondelsur.com/soporte-basico-de-vida-87712871/</v>
      </c>
    </row>
    <row r="116" spans="1:4" ht="120.75" customHeight="1" x14ac:dyDescent="0.25">
      <c r="A116" s="21" t="str">
        <f>INSCRITOS!O85</f>
        <v>ACLS</v>
      </c>
      <c r="B116" s="13" t="str">
        <f t="shared" si="5"/>
        <v>https://centrodecapacitaciondelsur.com/soporte-cardiovascular-avanzado-</v>
      </c>
      <c r="C116" s="21">
        <f>INSCRITOS!B85</f>
        <v>1085286821</v>
      </c>
      <c r="D116" t="str">
        <f t="shared" si="6"/>
        <v>https://centrodecapacitaciondelsur.com/soporte-cardiovascular-avanzado-1085286821/</v>
      </c>
    </row>
    <row r="117" spans="1:4" ht="120.75" customHeight="1" x14ac:dyDescent="0.25">
      <c r="A117" s="21" t="str">
        <f>INSCRITOS!O86</f>
        <v>QUIMICOS</v>
      </c>
      <c r="B117" s="13" t="str">
        <f t="shared" si="5"/>
        <v>https://centrodecapacitaciondelsur.com/victimas-por-agentes-quimicos-</v>
      </c>
      <c r="C117" s="21">
        <f>INSCRITOS!B86</f>
        <v>1061794220</v>
      </c>
      <c r="D117" t="str">
        <f t="shared" si="6"/>
        <v>https://centrodecapacitaciondelsur.com/victimas-por-agentes-quimicos-1061794220/</v>
      </c>
    </row>
    <row r="118" spans="1:4" ht="120.75" customHeight="1" x14ac:dyDescent="0.25">
      <c r="A118" s="21" t="str">
        <f>INSCRITOS!O87</f>
        <v>CONFLICTO ARMADO</v>
      </c>
      <c r="B118" s="13" t="str">
        <f t="shared" si="5"/>
        <v>https://centrodecapacitaciondelsur.com/atencion-a-victimas-del-conflicto-armado-</v>
      </c>
      <c r="C118" s="21">
        <f>INSCRITOS!B87</f>
        <v>1233190821</v>
      </c>
      <c r="D118" t="str">
        <f t="shared" si="6"/>
        <v>https://centrodecapacitaciondelsur.com/atencion-a-victimas-del-conflicto-armado-1233190821/</v>
      </c>
    </row>
    <row r="119" spans="1:4" ht="120.75" customHeight="1" x14ac:dyDescent="0.25">
      <c r="A119" s="21" t="str">
        <f>INSCRITOS!O88</f>
        <v>ACLS</v>
      </c>
      <c r="B119" s="13" t="str">
        <f t="shared" si="5"/>
        <v>https://centrodecapacitaciondelsur.com/soporte-cardiovascular-avanzado-</v>
      </c>
      <c r="C119" s="21">
        <f>INSCRITOS!B88</f>
        <v>1193383314</v>
      </c>
      <c r="D119" t="str">
        <f t="shared" si="6"/>
        <v>https://centrodecapacitaciondelsur.com/soporte-cardiovascular-avanzado-1193383314/</v>
      </c>
    </row>
    <row r="120" spans="1:4" ht="120.75" customHeight="1" x14ac:dyDescent="0.25">
      <c r="A120" s="21" t="str">
        <f>INSCRITOS!O89</f>
        <v>QUIMICOS</v>
      </c>
      <c r="B120" s="13" t="str">
        <f t="shared" si="5"/>
        <v>https://centrodecapacitaciondelsur.com/victimas-por-agentes-quimicos-</v>
      </c>
      <c r="C120" s="21">
        <f>INSCRITOS!B89</f>
        <v>1193383314</v>
      </c>
      <c r="D120" t="str">
        <f t="shared" si="6"/>
        <v>https://centrodecapacitaciondelsur.com/victimas-por-agentes-quimicos-1193383314/</v>
      </c>
    </row>
    <row r="121" spans="1:4" ht="120.75" customHeight="1" x14ac:dyDescent="0.25">
      <c r="A121" s="21" t="str">
        <f>INSCRITOS!O90</f>
        <v>VIOLENCIA SEXUAL</v>
      </c>
      <c r="B121" s="13" t="str">
        <f t="shared" si="5"/>
        <v>https://centrodecapacitaciondelsur.com/violencia-sexual-</v>
      </c>
      <c r="C121" s="21">
        <f>INSCRITOS!B90</f>
        <v>1193383314</v>
      </c>
      <c r="D121" t="str">
        <f t="shared" si="6"/>
        <v>https://centrodecapacitaciondelsur.com/violencia-sexual-1193383314/</v>
      </c>
    </row>
    <row r="122" spans="1:4" ht="120.75" customHeight="1" x14ac:dyDescent="0.25">
      <c r="A122" s="21" t="str">
        <f>INSCRITOS!O91</f>
        <v>BLS</v>
      </c>
      <c r="B122" s="13" t="str">
        <f t="shared" si="5"/>
        <v>https://centrodecapacitaciondelsur.com/soporte-basico-de-vida-</v>
      </c>
      <c r="C122" s="21">
        <f>INSCRITOS!B91</f>
        <v>1089245202</v>
      </c>
      <c r="D122" t="str">
        <f t="shared" si="6"/>
        <v>https://centrodecapacitaciondelsur.com/soporte-basico-de-vida-1089245202/</v>
      </c>
    </row>
    <row r="123" spans="1:4" ht="120.75" customHeight="1" x14ac:dyDescent="0.25">
      <c r="A123" s="21" t="str">
        <f>INSCRITOS!O92</f>
        <v>DUELO</v>
      </c>
      <c r="B123" s="13" t="str">
        <f t="shared" si="5"/>
        <v>https://centrodecapacitaciondelsur.com/manejo-del-duelo-</v>
      </c>
      <c r="C123" s="21">
        <f>INSCRITOS!B92</f>
        <v>1089245202</v>
      </c>
      <c r="D123" t="str">
        <f t="shared" si="6"/>
        <v>https://centrodecapacitaciondelsur.com/manejo-del-duelo-1089245202/</v>
      </c>
    </row>
    <row r="124" spans="1:4" ht="120.75" customHeight="1" x14ac:dyDescent="0.25">
      <c r="A124" s="21" t="str">
        <f>INSCRITOS!O93</f>
        <v>QUIMICOS</v>
      </c>
      <c r="B124" s="13" t="str">
        <f t="shared" si="5"/>
        <v>https://centrodecapacitaciondelsur.com/victimas-por-agentes-quimicos-</v>
      </c>
      <c r="C124" s="21">
        <f>INSCRITOS!B93</f>
        <v>1089245202</v>
      </c>
      <c r="D124" t="str">
        <f t="shared" si="6"/>
        <v>https://centrodecapacitaciondelsur.com/victimas-por-agentes-quimicos-1089245202/</v>
      </c>
    </row>
    <row r="125" spans="1:4" ht="120.75" customHeight="1" x14ac:dyDescent="0.25">
      <c r="A125" s="21" t="str">
        <f>INSCRITOS!O94</f>
        <v>VIOLENCIA SEXUAL</v>
      </c>
      <c r="B125" s="13" t="str">
        <f t="shared" si="5"/>
        <v>https://centrodecapacitaciondelsur.com/violencia-sexual-</v>
      </c>
      <c r="C125" s="21">
        <f>INSCRITOS!B94</f>
        <v>1089245202</v>
      </c>
      <c r="D125" t="str">
        <f t="shared" si="6"/>
        <v>https://centrodecapacitaciondelsur.com/violencia-sexual-1089245202/</v>
      </c>
    </row>
    <row r="126" spans="1:4" ht="120.75" customHeight="1" x14ac:dyDescent="0.25">
      <c r="A126" s="21" t="str">
        <f>INSCRITOS!O95</f>
        <v>CITOLOGIA</v>
      </c>
      <c r="B126" s="13" t="str">
        <f t="shared" si="5"/>
        <v>https://centrodecapacitaciondelsur.com/toma-de-citologia-</v>
      </c>
      <c r="C126" s="21">
        <f>INSCRITOS!B95</f>
        <v>1086982446</v>
      </c>
      <c r="D126" t="str">
        <f t="shared" ref="D126:D161" si="7">CONCATENATE(B126,C126,"/")</f>
        <v>https://centrodecapacitaciondelsur.com/toma-de-citologia-1086982446/</v>
      </c>
    </row>
    <row r="127" spans="1:4" ht="120.75" customHeight="1" x14ac:dyDescent="0.25">
      <c r="A127" s="21" t="str">
        <f>INSCRITOS!O96</f>
        <v>POCT</v>
      </c>
      <c r="B127" s="13" t="str">
        <f t="shared" si="5"/>
        <v>https://centrodecapacitaciondelsur.com/toma-de-muestras-y-lab-clinico-poct-</v>
      </c>
      <c r="C127" s="21">
        <f>INSCRITOS!B96</f>
        <v>1086982446</v>
      </c>
      <c r="D127" t="str">
        <f t="shared" si="7"/>
        <v>https://centrodecapacitaciondelsur.com/toma-de-muestras-y-lab-clinico-poct-1086982446/</v>
      </c>
    </row>
    <row r="128" spans="1:4" ht="120.75" customHeight="1" x14ac:dyDescent="0.25">
      <c r="A128" s="21" t="str">
        <f>INSCRITOS!O97</f>
        <v>IMPLANTE</v>
      </c>
      <c r="B128" s="13" t="str">
        <f t="shared" si="5"/>
        <v>https://centrodecapacitaciondelsur.com/implante-subdermico-</v>
      </c>
      <c r="C128" s="21">
        <f>INSCRITOS!B97</f>
        <v>1086982446</v>
      </c>
      <c r="D128" t="str">
        <f t="shared" si="7"/>
        <v>https://centrodecapacitaciondelsur.com/implante-subdermico-1086982446/</v>
      </c>
    </row>
    <row r="129" spans="1:4" ht="120.75" customHeight="1" x14ac:dyDescent="0.25">
      <c r="A129" s="21" t="str">
        <f>INSCRITOS!O98</f>
        <v>HUMANIZACION</v>
      </c>
      <c r="B129" s="13" t="str">
        <f t="shared" si="5"/>
        <v>https://centrodecapacitaciondelsur.com/humanizacion-</v>
      </c>
      <c r="C129" s="21">
        <f>INSCRITOS!B98</f>
        <v>1088733829</v>
      </c>
      <c r="D129" t="str">
        <f t="shared" si="7"/>
        <v>https://centrodecapacitaciondelsur.com/humanizacion-1088733829/</v>
      </c>
    </row>
    <row r="130" spans="1:4" ht="120.75" customHeight="1" x14ac:dyDescent="0.25">
      <c r="A130" s="21" t="str">
        <f>INSCRITOS!O99</f>
        <v>BLS</v>
      </c>
      <c r="B130" s="13" t="str">
        <f t="shared" si="5"/>
        <v>https://centrodecapacitaciondelsur.com/soporte-basico-de-vida-</v>
      </c>
      <c r="C130" s="21">
        <f>INSCRITOS!B99</f>
        <v>1004338446</v>
      </c>
      <c r="D130" t="str">
        <f t="shared" si="7"/>
        <v>https://centrodecapacitaciondelsur.com/soporte-basico-de-vida-1004338446/</v>
      </c>
    </row>
    <row r="131" spans="1:4" ht="120.75" customHeight="1" x14ac:dyDescent="0.25">
      <c r="A131" s="21" t="str">
        <f>INSCRITOS!O100</f>
        <v>DUELO</v>
      </c>
      <c r="B131" s="13" t="str">
        <f t="shared" si="5"/>
        <v>https://centrodecapacitaciondelsur.com/manejo-del-duelo-</v>
      </c>
      <c r="C131" s="21">
        <f>INSCRITOS!B100</f>
        <v>36757599</v>
      </c>
      <c r="D131" t="str">
        <f t="shared" si="7"/>
        <v>https://centrodecapacitaciondelsur.com/manejo-del-duelo-36757599/</v>
      </c>
    </row>
    <row r="132" spans="1:4" ht="120.75" customHeight="1" x14ac:dyDescent="0.25">
      <c r="A132" s="21" t="str">
        <f>INSCRITOS!O101</f>
        <v>QUIMICOS</v>
      </c>
      <c r="B132" s="13" t="str">
        <f t="shared" si="5"/>
        <v>https://centrodecapacitaciondelsur.com/victimas-por-agentes-quimicos-</v>
      </c>
      <c r="C132" s="21">
        <f>INSCRITOS!B101</f>
        <v>36757599</v>
      </c>
      <c r="D132" t="str">
        <f t="shared" si="7"/>
        <v>https://centrodecapacitaciondelsur.com/victimas-por-agentes-quimicos-36757599/</v>
      </c>
    </row>
    <row r="133" spans="1:4" ht="120.75" customHeight="1" x14ac:dyDescent="0.25">
      <c r="A133" s="21" t="str">
        <f>INSCRITOS!O102</f>
        <v>VIOLENCIA SEXUAL</v>
      </c>
      <c r="B133" s="13" t="str">
        <f t="shared" si="5"/>
        <v>https://centrodecapacitaciondelsur.com/violencia-sexual-</v>
      </c>
      <c r="C133" s="21">
        <f>INSCRITOS!B102</f>
        <v>36757599</v>
      </c>
      <c r="D133" t="str">
        <f t="shared" si="7"/>
        <v>https://centrodecapacitaciondelsur.com/violencia-sexual-36757599/</v>
      </c>
    </row>
    <row r="134" spans="1:4" ht="120.75" customHeight="1" x14ac:dyDescent="0.25">
      <c r="A134" s="21" t="str">
        <f>INSCRITOS!O103</f>
        <v>HUMANIZACION</v>
      </c>
      <c r="B134" s="13" t="str">
        <f t="shared" si="5"/>
        <v>https://centrodecapacitaciondelsur.com/humanizacion-</v>
      </c>
      <c r="C134" s="21">
        <f>INSCRITOS!B103</f>
        <v>36757599</v>
      </c>
      <c r="D134" t="str">
        <f t="shared" si="7"/>
        <v>https://centrodecapacitaciondelsur.com/humanizacion-36757599/</v>
      </c>
    </row>
    <row r="135" spans="1:4" ht="120.75" customHeight="1" x14ac:dyDescent="0.25">
      <c r="A135" s="21" t="str">
        <f>INSCRITOS!O104</f>
        <v>BLS</v>
      </c>
      <c r="B135" s="13" t="str">
        <f t="shared" si="5"/>
        <v>https://centrodecapacitaciondelsur.com/soporte-basico-de-vida-</v>
      </c>
      <c r="C135" s="21">
        <f>INSCRITOS!B104</f>
        <v>36757599</v>
      </c>
      <c r="D135" t="str">
        <f t="shared" si="7"/>
        <v>https://centrodecapacitaciondelsur.com/soporte-basico-de-vida-36757599/</v>
      </c>
    </row>
    <row r="136" spans="1:4" ht="120.75" customHeight="1" x14ac:dyDescent="0.25">
      <c r="A136" s="21" t="str">
        <f>INSCRITOS!O105</f>
        <v>BLS</v>
      </c>
      <c r="B136" s="13" t="str">
        <f t="shared" si="5"/>
        <v>https://centrodecapacitaciondelsur.com/soporte-basico-de-vida-</v>
      </c>
      <c r="C136" s="21">
        <f>INSCRITOS!B105</f>
        <v>27119236</v>
      </c>
      <c r="D136" t="str">
        <f t="shared" si="7"/>
        <v>https://centrodecapacitaciondelsur.com/soporte-basico-de-vida-27119236/</v>
      </c>
    </row>
    <row r="137" spans="1:4" ht="120.75" customHeight="1" x14ac:dyDescent="0.25">
      <c r="A137" s="21" t="str">
        <f>INSCRITOS!O106</f>
        <v>VIOLENCIA SEXUAL</v>
      </c>
      <c r="B137" s="13" t="str">
        <f t="shared" si="5"/>
        <v>https://centrodecapacitaciondelsur.com/violencia-sexual-</v>
      </c>
      <c r="C137" s="21">
        <f>INSCRITOS!B106</f>
        <v>27119236</v>
      </c>
      <c r="D137" t="str">
        <f t="shared" si="7"/>
        <v>https://centrodecapacitaciondelsur.com/violencia-sexual-27119236/</v>
      </c>
    </row>
    <row r="138" spans="1:4" ht="120.75" customHeight="1" x14ac:dyDescent="0.25">
      <c r="A138" s="21" t="str">
        <f>INSCRITOS!O107</f>
        <v>CONFLICTO ARMADO</v>
      </c>
      <c r="B138" s="13" t="str">
        <f t="shared" si="5"/>
        <v>https://centrodecapacitaciondelsur.com/atencion-a-victimas-del-conflicto-armado-</v>
      </c>
      <c r="C138" s="21">
        <f>INSCRITOS!B107</f>
        <v>1004216779</v>
      </c>
      <c r="D138" t="str">
        <f t="shared" si="7"/>
        <v>https://centrodecapacitaciondelsur.com/atencion-a-victimas-del-conflicto-armado-1004216779/</v>
      </c>
    </row>
    <row r="139" spans="1:4" ht="120.75" customHeight="1" x14ac:dyDescent="0.25">
      <c r="A139" s="21" t="str">
        <f>INSCRITOS!O108</f>
        <v>PALIATIVOS</v>
      </c>
      <c r="B139" s="13" t="str">
        <f t="shared" si="5"/>
        <v>https://centrodecapacitaciondelsur.com/manejo-del-dolor-y-cuidados-paliativos-</v>
      </c>
      <c r="C139" s="21">
        <f>INSCRITOS!B108</f>
        <v>1004216779</v>
      </c>
      <c r="D139" t="str">
        <f t="shared" si="7"/>
        <v>https://centrodecapacitaciondelsur.com/manejo-del-dolor-y-cuidados-paliativos-1004216779/</v>
      </c>
    </row>
    <row r="140" spans="1:4" ht="120.75" customHeight="1" x14ac:dyDescent="0.25">
      <c r="A140" s="21" t="str">
        <f>INSCRITOS!O109</f>
        <v>AIEPI</v>
      </c>
      <c r="B140" s="13" t="str">
        <f t="shared" si="5"/>
        <v>https://centrodecapacitaciondelsur.com/aiepi-</v>
      </c>
      <c r="C140" s="21">
        <f>INSCRITOS!B109</f>
        <v>1088733869</v>
      </c>
      <c r="D140" t="str">
        <f t="shared" si="7"/>
        <v>https://centrodecapacitaciondelsur.com/aiepi-1088733869/</v>
      </c>
    </row>
    <row r="141" spans="1:4" ht="120.75" customHeight="1" x14ac:dyDescent="0.25">
      <c r="A141" s="21" t="str">
        <f>INSCRITOS!O110</f>
        <v>BLS</v>
      </c>
      <c r="B141" s="13" t="str">
        <f t="shared" si="5"/>
        <v>https://centrodecapacitaciondelsur.com/soporte-basico-de-vida-</v>
      </c>
      <c r="C141" s="21">
        <f>INSCRITOS!B110</f>
        <v>1085327976</v>
      </c>
      <c r="D141" t="str">
        <f t="shared" si="7"/>
        <v>https://centrodecapacitaciondelsur.com/soporte-basico-de-vida-1085327976/</v>
      </c>
    </row>
    <row r="142" spans="1:4" ht="120.75" customHeight="1" x14ac:dyDescent="0.25">
      <c r="A142" s="21" t="e">
        <f>INSCRITOS!#REF!</f>
        <v>#REF!</v>
      </c>
      <c r="B142" s="13" t="e">
        <f t="shared" si="5"/>
        <v>#REF!</v>
      </c>
      <c r="C142" s="21" t="e">
        <f>INSCRITOS!#REF!</f>
        <v>#REF!</v>
      </c>
      <c r="D142" t="e">
        <f t="shared" si="7"/>
        <v>#REF!</v>
      </c>
    </row>
    <row r="143" spans="1:4" ht="120.75" customHeight="1" x14ac:dyDescent="0.25">
      <c r="A143" s="21" t="e">
        <f>INSCRITOS!#REF!</f>
        <v>#REF!</v>
      </c>
      <c r="B143" s="13" t="e">
        <f t="shared" si="5"/>
        <v>#REF!</v>
      </c>
      <c r="C143" s="21" t="e">
        <f>INSCRITOS!#REF!</f>
        <v>#REF!</v>
      </c>
      <c r="D143" t="e">
        <f t="shared" si="7"/>
        <v>#REF!</v>
      </c>
    </row>
    <row r="144" spans="1:4" ht="120.75" customHeight="1" x14ac:dyDescent="0.25">
      <c r="A144" s="21" t="e">
        <f>INSCRITOS!#REF!</f>
        <v>#REF!</v>
      </c>
      <c r="B144" s="13" t="e">
        <f t="shared" si="5"/>
        <v>#REF!</v>
      </c>
      <c r="C144" s="21" t="e">
        <f>INSCRITOS!#REF!</f>
        <v>#REF!</v>
      </c>
      <c r="D144" t="e">
        <f t="shared" si="7"/>
        <v>#REF!</v>
      </c>
    </row>
    <row r="145" spans="1:4" ht="120.75" customHeight="1" x14ac:dyDescent="0.25">
      <c r="A145" s="21" t="e">
        <f>INSCRITOS!#REF!</f>
        <v>#REF!</v>
      </c>
      <c r="B145" s="13" t="e">
        <f t="shared" si="5"/>
        <v>#REF!</v>
      </c>
      <c r="C145" s="21" t="e">
        <f>INSCRITOS!#REF!</f>
        <v>#REF!</v>
      </c>
      <c r="D145" t="e">
        <f t="shared" si="7"/>
        <v>#REF!</v>
      </c>
    </row>
    <row r="146" spans="1:4" ht="120.75" customHeight="1" x14ac:dyDescent="0.25">
      <c r="A146" s="21" t="e">
        <f>INSCRITOS!#REF!</f>
        <v>#REF!</v>
      </c>
      <c r="B146" s="13" t="e">
        <f t="shared" si="5"/>
        <v>#REF!</v>
      </c>
      <c r="C146" s="21" t="e">
        <f>INSCRITOS!#REF!</f>
        <v>#REF!</v>
      </c>
      <c r="D146" t="e">
        <f t="shared" si="7"/>
        <v>#REF!</v>
      </c>
    </row>
    <row r="147" spans="1:4" ht="120.75" customHeight="1" x14ac:dyDescent="0.25">
      <c r="A147" s="21" t="e">
        <f>INSCRITOS!#REF!</f>
        <v>#REF!</v>
      </c>
      <c r="B147" s="13" t="e">
        <f t="shared" si="5"/>
        <v>#REF!</v>
      </c>
      <c r="C147" s="21" t="e">
        <f>INSCRITOS!#REF!</f>
        <v>#REF!</v>
      </c>
      <c r="D147" t="e">
        <f t="shared" si="7"/>
        <v>#REF!</v>
      </c>
    </row>
    <row r="148" spans="1:4" ht="120.75" customHeight="1" x14ac:dyDescent="0.25">
      <c r="A148" s="21" t="str">
        <f>INSCRITOS!O111</f>
        <v>VIOLENCIA SEXUAL</v>
      </c>
      <c r="B148" s="13" t="str">
        <f t="shared" si="5"/>
        <v>https://centrodecapacitaciondelsur.com/violencia-sexual-</v>
      </c>
      <c r="C148" s="21">
        <f>INSCRITOS!B111</f>
        <v>1086136729</v>
      </c>
      <c r="D148" t="str">
        <f t="shared" si="7"/>
        <v>https://centrodecapacitaciondelsur.com/violencia-sexual-1086136729/</v>
      </c>
    </row>
    <row r="149" spans="1:4" ht="120.75" customHeight="1" x14ac:dyDescent="0.25">
      <c r="A149" s="21" t="str">
        <f>INSCRITOS!O112</f>
        <v>QUIMICOS</v>
      </c>
      <c r="B149" s="13" t="str">
        <f t="shared" si="5"/>
        <v>https://centrodecapacitaciondelsur.com/victimas-por-agentes-quimicos-</v>
      </c>
      <c r="C149" s="21">
        <f>INSCRITOS!B112</f>
        <v>1085266970</v>
      </c>
      <c r="D149" t="str">
        <f t="shared" si="7"/>
        <v>https://centrodecapacitaciondelsur.com/victimas-por-agentes-quimicos-1085266970/</v>
      </c>
    </row>
    <row r="150" spans="1:4" ht="120.75" customHeight="1" x14ac:dyDescent="0.25">
      <c r="A150" s="21" t="str">
        <f>INSCRITOS!O113</f>
        <v>POCT</v>
      </c>
      <c r="B150" s="13" t="str">
        <f t="shared" si="5"/>
        <v>https://centrodecapacitaciondelsur.com/toma-de-muestras-y-lab-clinico-poct-</v>
      </c>
      <c r="C150" s="21">
        <f>INSCRITOS!B113</f>
        <v>1085266970</v>
      </c>
      <c r="D150" t="str">
        <f t="shared" si="7"/>
        <v>https://centrodecapacitaciondelsur.com/toma-de-muestras-y-lab-clinico-poct-1085266970/</v>
      </c>
    </row>
    <row r="151" spans="1:4" ht="120.75" customHeight="1" x14ac:dyDescent="0.25">
      <c r="A151" s="21" t="str">
        <f>INSCRITOS!O114</f>
        <v>BLS</v>
      </c>
      <c r="B151" s="13" t="str">
        <f t="shared" si="5"/>
        <v>https://centrodecapacitaciondelsur.com/soporte-basico-de-vida-</v>
      </c>
      <c r="C151" s="21">
        <f>INSCRITOS!B114</f>
        <v>1085266970</v>
      </c>
      <c r="D151" t="str">
        <f t="shared" si="7"/>
        <v>https://centrodecapacitaciondelsur.com/soporte-basico-de-vida-1085266970/</v>
      </c>
    </row>
    <row r="152" spans="1:4" ht="120.75" customHeight="1" x14ac:dyDescent="0.25">
      <c r="A152" s="21" t="str">
        <f>INSCRITOS!O115</f>
        <v>PRIMEROS AUXILIOS</v>
      </c>
      <c r="B152" s="13" t="str">
        <f t="shared" si="5"/>
        <v>https://centrodecapacitaciondelsur.com/primeros-auxilios-</v>
      </c>
      <c r="C152" s="21">
        <f>INSCRITOS!B115</f>
        <v>1085690663</v>
      </c>
      <c r="D152" t="str">
        <f t="shared" si="7"/>
        <v>https://centrodecapacitaciondelsur.com/primeros-auxilios-1085690663/</v>
      </c>
    </row>
    <row r="153" spans="1:4" ht="120.75" customHeight="1" x14ac:dyDescent="0.25">
      <c r="A153" s="21" t="str">
        <f>INSCRITOS!O116</f>
        <v>CAMILLERO</v>
      </c>
      <c r="B153" s="13" t="str">
        <f t="shared" si="5"/>
        <v>https://centrodecapacitaciondelsur.com/camillero-</v>
      </c>
      <c r="C153" s="21">
        <f>INSCRITOS!B116</f>
        <v>1085690663</v>
      </c>
      <c r="D153" t="str">
        <f t="shared" si="7"/>
        <v>https://centrodecapacitaciondelsur.com/camillero-1085690663/</v>
      </c>
    </row>
    <row r="154" spans="1:4" ht="120.75" customHeight="1" x14ac:dyDescent="0.25">
      <c r="A154" s="21" t="str">
        <f>INSCRITOS!O117</f>
        <v>OVE</v>
      </c>
      <c r="B154" s="13" t="str">
        <f t="shared" si="5"/>
        <v>https://centrodecapacitaciondelsur.com/o-v-e-</v>
      </c>
      <c r="C154" s="21">
        <f>INSCRITOS!B117</f>
        <v>1085690663</v>
      </c>
      <c r="D154" t="str">
        <f t="shared" si="7"/>
        <v>https://centrodecapacitaciondelsur.com/o-v-e-1085690663/</v>
      </c>
    </row>
    <row r="155" spans="1:4" ht="120.75" customHeight="1" x14ac:dyDescent="0.25">
      <c r="A155" s="21" t="str">
        <f>INSCRITOS!O118</f>
        <v>MANEJO DEFENSIVO</v>
      </c>
      <c r="B155" s="13" t="str">
        <f t="shared" si="5"/>
        <v>https://centrodecapacitaciondelsur.com/manejo-defensivo-</v>
      </c>
      <c r="C155" s="21">
        <f>INSCRITOS!B118</f>
        <v>1085690663</v>
      </c>
      <c r="D155" t="str">
        <f t="shared" si="7"/>
        <v>https://centrodecapacitaciondelsur.com/manejo-defensivo-1085690663/</v>
      </c>
    </row>
    <row r="156" spans="1:4" ht="120.75" customHeight="1" x14ac:dyDescent="0.25">
      <c r="A156" s="21" t="str">
        <f>INSCRITOS!O119</f>
        <v>PRIMEROS AUXILIOS</v>
      </c>
      <c r="B156" s="13" t="str">
        <f t="shared" si="5"/>
        <v>https://centrodecapacitaciondelsur.com/primeros-auxilios-</v>
      </c>
      <c r="C156" s="21">
        <f>INSCRITOS!B119</f>
        <v>1085687225</v>
      </c>
      <c r="D156" t="str">
        <f t="shared" si="7"/>
        <v>https://centrodecapacitaciondelsur.com/primeros-auxilios-1085687225/</v>
      </c>
    </row>
    <row r="157" spans="1:4" ht="120.75" customHeight="1" x14ac:dyDescent="0.25">
      <c r="A157" s="21" t="str">
        <f>INSCRITOS!O120</f>
        <v>CAMILLERO</v>
      </c>
      <c r="B157" s="13" t="str">
        <f t="shared" si="5"/>
        <v>https://centrodecapacitaciondelsur.com/camillero-</v>
      </c>
      <c r="C157" s="21">
        <f>INSCRITOS!B120</f>
        <v>1085687225</v>
      </c>
      <c r="D157" t="str">
        <f t="shared" si="7"/>
        <v>https://centrodecapacitaciondelsur.com/camillero-1085687225/</v>
      </c>
    </row>
    <row r="158" spans="1:4" ht="120.75" customHeight="1" x14ac:dyDescent="0.25">
      <c r="A158" s="21" t="str">
        <f>INSCRITOS!O121</f>
        <v>OVE</v>
      </c>
      <c r="B158" s="13" t="str">
        <f t="shared" si="5"/>
        <v>https://centrodecapacitaciondelsur.com/o-v-e-</v>
      </c>
      <c r="C158" s="21">
        <f>INSCRITOS!B121</f>
        <v>1085687225</v>
      </c>
      <c r="D158" t="str">
        <f t="shared" si="7"/>
        <v>https://centrodecapacitaciondelsur.com/o-v-e-1085687225/</v>
      </c>
    </row>
    <row r="159" spans="1:4" ht="120.75" customHeight="1" x14ac:dyDescent="0.25">
      <c r="A159" s="21" t="str">
        <f>INSCRITOS!O122</f>
        <v>MANEJO DEFENSIVO</v>
      </c>
      <c r="B159" s="13" t="str">
        <f t="shared" si="5"/>
        <v>https://centrodecapacitaciondelsur.com/manejo-defensivo-</v>
      </c>
      <c r="C159" s="21">
        <f>INSCRITOS!B122</f>
        <v>1085687225</v>
      </c>
      <c r="D159" t="str">
        <f t="shared" si="7"/>
        <v>https://centrodecapacitaciondelsur.com/manejo-defensivo-1085687225/</v>
      </c>
    </row>
    <row r="160" spans="1:4" ht="120.75" customHeight="1" x14ac:dyDescent="0.25">
      <c r="A160" s="21" t="str">
        <f>INSCRITOS!O123</f>
        <v>PRIMEROS AUXILIOS</v>
      </c>
      <c r="B160" s="13" t="str">
        <f t="shared" si="5"/>
        <v>https://centrodecapacitaciondelsur.com/primeros-auxilios-</v>
      </c>
      <c r="C160" s="21">
        <f>INSCRITOS!B123</f>
        <v>87028992</v>
      </c>
      <c r="D160" t="str">
        <f t="shared" si="7"/>
        <v>https://centrodecapacitaciondelsur.com/primeros-auxilios-87028992/</v>
      </c>
    </row>
    <row r="161" spans="1:4" ht="120.75" customHeight="1" x14ac:dyDescent="0.25">
      <c r="A161" s="21" t="str">
        <f>INSCRITOS!O124</f>
        <v>CAMILLERO</v>
      </c>
      <c r="B161" s="13" t="str">
        <f t="shared" si="5"/>
        <v>https://centrodecapacitaciondelsur.com/camillero-</v>
      </c>
      <c r="C161" s="21">
        <f>INSCRITOS!B124</f>
        <v>87028992</v>
      </c>
      <c r="D161" t="str">
        <f t="shared" si="7"/>
        <v>https://centrodecapacitaciondelsur.com/camillero-87028992/</v>
      </c>
    </row>
    <row r="162" spans="1:4" ht="120.75" customHeight="1" x14ac:dyDescent="0.25">
      <c r="A162" s="21" t="str">
        <f>INSCRITOS!O125</f>
        <v>OVE</v>
      </c>
      <c r="B162" s="13" t="str">
        <f t="shared" ref="B162:B178" si="8">IF(A162=$H$19,"https://centrodecapacitaciondelsur.com/o-v-e-",IF(A162=$H$2,"https://centrodecapacitaciondelsur.com/aph-",IF(A162=$H$3,"https://centrodecapacitaciondelsur.com/manejo-del-duelo-",IF(A162=$H$4,"https://centrodecapacitaciondelsur.com/victimas-por-agentes-quimicos-",IF(A162=$H$5,"https://centrodecapacitaciondelsur.com/primeros-auxilios-",IF(A162=$H$6,"https://centrodecapacitaciondelsur.com/uci-",IF(A162=$H$8,"https://centrodecapacitaciondelsur.com/humanizacion-",IF(A162=$H$11,"https://centrodecapacitaciondelsur.com/soporte-cardiovascular-avanzado-",IF(A162=$H$12,"https://centrodecapacitaciondelsur.com/camillero-",IF(A162=$H$13,"https://centrodecapacitaciondelsur.com/toma-de-muestras-y-lab-clinico-",IF(A162=$H$14,"https://centrodecapacitaciondelsur.com/soporte-basico-de-vida-",IF(A162=$H$15,"https://centrodecapacitaciondelsur.com/violencia-sexual-",IF(A162=$H$17,"https://centrodecapacitaciondelsur.com/aiepi-",IF(A162=$H$18,"https://centrodecapacitaciondelsur.com/adm-medicamentos-canalizacion-inyectologia-",IF(A162=$H$25,"https://centrodecapacitaciondelsur.com/manejo-del-dolor-y-cuidados-paliativos-",IF(A162=$H$26,"https://centrodecapacitaciondelsur.com/toma-de-muestras-y-lab-clinico-poct-",IF(A162=$H$27,"https://centrodecapacitaciondelsur.com/implante-subdermico-",IF(A162=$H$21,"https://centrodecapacitaciondelsur.com/donante-de-organos-",IF(A162=$H$30,"https://centrodecapacitaciondelsur.com/atencion-a-victimas-del-conflicto-armado-",IF(A162=$H$20,"https://centrodecapacitaciondelsur.com/iami-",IF(A162=$H$22,"https://centrodecapacitaciondelsur.com/violencia-de-genero-",IF(A162=$H$23,"https://centrodecapacitaciondelsur.com/igualdad-de-genero-",IF(A162=$H$16,"https://centrodecapacitaciondelsur.com/pai-",IF(A162=$H$31,"https://centrodecapacitaciondelsur.com/manipulacion-de-alimentos-",IF(A162=$H$32,"https://centrodecapacitaciondelsur.com/atencion-a-personas-con-discapacidad-",IF(A162=$H$33,"https://centrodecapacitaciondelsur.com/atencion-al-adulto-mayor-",IF(A162=$H$34,"https://centrodecapacitaciondelsur.com/manejo-defensivo-",IF(A162=$H$35,"https://centrodecapacitaciondelsur.com/soporte-basico-neonatal-",IF(A162=$H$36,"https://centrodecapacitaciondelsur.com/seguridad-del-paciente-",IF(A162=$H$10,"https://centrodecapacitaciondelsur.com/toma-de-citologia-"))))))))))))))))))))))))))))))</f>
        <v>https://centrodecapacitaciondelsur.com/o-v-e-</v>
      </c>
      <c r="C162" s="21">
        <f>INSCRITOS!B125</f>
        <v>87028992</v>
      </c>
      <c r="D162" t="str">
        <f t="shared" ref="D162:D178" si="9">CONCATENATE(B162,C162,"/")</f>
        <v>https://centrodecapacitaciondelsur.com/o-v-e-87028992/</v>
      </c>
    </row>
    <row r="163" spans="1:4" ht="120.75" customHeight="1" x14ac:dyDescent="0.25">
      <c r="A163" s="21" t="str">
        <f>INSCRITOS!O126</f>
        <v>MANEJO DEFENSIVO</v>
      </c>
      <c r="B163" s="13" t="str">
        <f t="shared" si="8"/>
        <v>https://centrodecapacitaciondelsur.com/manejo-defensivo-</v>
      </c>
      <c r="C163" s="21">
        <f>INSCRITOS!B126</f>
        <v>87028992</v>
      </c>
      <c r="D163" t="str">
        <f t="shared" si="9"/>
        <v>https://centrodecapacitaciondelsur.com/manejo-defensivo-87028992/</v>
      </c>
    </row>
    <row r="164" spans="1:4" ht="120.75" customHeight="1" x14ac:dyDescent="0.25">
      <c r="A164" s="21" t="str">
        <f>INSCRITOS!O127</f>
        <v>PRIMEROS AUXILIOS</v>
      </c>
      <c r="B164" s="13" t="str">
        <f t="shared" si="8"/>
        <v>https://centrodecapacitaciondelsur.com/primeros-auxilios-</v>
      </c>
      <c r="C164" s="21">
        <f>INSCRITOS!B127</f>
        <v>87029413</v>
      </c>
      <c r="D164" t="str">
        <f t="shared" si="9"/>
        <v>https://centrodecapacitaciondelsur.com/primeros-auxilios-87029413/</v>
      </c>
    </row>
    <row r="165" spans="1:4" ht="120.75" customHeight="1" x14ac:dyDescent="0.25">
      <c r="A165" s="21" t="str">
        <f>INSCRITOS!O128</f>
        <v>CAMILLERO</v>
      </c>
      <c r="B165" s="13" t="str">
        <f t="shared" si="8"/>
        <v>https://centrodecapacitaciondelsur.com/camillero-</v>
      </c>
      <c r="C165" s="21">
        <f>INSCRITOS!B128</f>
        <v>87029413</v>
      </c>
      <c r="D165" t="str">
        <f t="shared" si="9"/>
        <v>https://centrodecapacitaciondelsur.com/camillero-87029413/</v>
      </c>
    </row>
    <row r="166" spans="1:4" ht="120.75" customHeight="1" x14ac:dyDescent="0.25">
      <c r="A166" s="21" t="str">
        <f>INSCRITOS!O129</f>
        <v>OVE</v>
      </c>
      <c r="B166" s="13" t="str">
        <f t="shared" si="8"/>
        <v>https://centrodecapacitaciondelsur.com/o-v-e-</v>
      </c>
      <c r="C166" s="21">
        <f>INSCRITOS!B129</f>
        <v>87029413</v>
      </c>
      <c r="D166" t="str">
        <f t="shared" si="9"/>
        <v>https://centrodecapacitaciondelsur.com/o-v-e-87029413/</v>
      </c>
    </row>
    <row r="167" spans="1:4" ht="120.75" customHeight="1" x14ac:dyDescent="0.25">
      <c r="A167" s="21" t="str">
        <f>INSCRITOS!O130</f>
        <v>MANEJO DEFENSIVO</v>
      </c>
      <c r="B167" s="13" t="str">
        <f t="shared" si="8"/>
        <v>https://centrodecapacitaciondelsur.com/manejo-defensivo-</v>
      </c>
      <c r="C167" s="21">
        <f>INSCRITOS!B130</f>
        <v>87029413</v>
      </c>
      <c r="D167" t="str">
        <f t="shared" si="9"/>
        <v>https://centrodecapacitaciondelsur.com/manejo-defensivo-87029413/</v>
      </c>
    </row>
    <row r="168" spans="1:4" ht="120.75" customHeight="1" x14ac:dyDescent="0.25">
      <c r="A168" s="21" t="str">
        <f>INSCRITOS!O131</f>
        <v>PRIMEROS AUXILIOS</v>
      </c>
      <c r="B168" s="13" t="str">
        <f t="shared" si="8"/>
        <v>https://centrodecapacitaciondelsur.com/primeros-auxilios-</v>
      </c>
      <c r="C168" s="21">
        <f>INSCRITOS!B131</f>
        <v>87029841</v>
      </c>
      <c r="D168" t="str">
        <f t="shared" si="9"/>
        <v>https://centrodecapacitaciondelsur.com/primeros-auxilios-87029841/</v>
      </c>
    </row>
    <row r="169" spans="1:4" ht="120.75" customHeight="1" x14ac:dyDescent="0.25">
      <c r="A169" s="21" t="str">
        <f>INSCRITOS!O132</f>
        <v>CAMILLERO</v>
      </c>
      <c r="B169" s="13" t="str">
        <f t="shared" si="8"/>
        <v>https://centrodecapacitaciondelsur.com/camillero-</v>
      </c>
      <c r="C169" s="21">
        <f>INSCRITOS!B132</f>
        <v>87029841</v>
      </c>
      <c r="D169" t="str">
        <f t="shared" si="9"/>
        <v>https://centrodecapacitaciondelsur.com/camillero-87029841/</v>
      </c>
    </row>
    <row r="170" spans="1:4" ht="120.75" customHeight="1" x14ac:dyDescent="0.25">
      <c r="A170" s="21" t="str">
        <f>INSCRITOS!O133</f>
        <v>OVE</v>
      </c>
      <c r="B170" s="13" t="str">
        <f t="shared" si="8"/>
        <v>https://centrodecapacitaciondelsur.com/o-v-e-</v>
      </c>
      <c r="C170" s="21">
        <f>INSCRITOS!B133</f>
        <v>87029841</v>
      </c>
      <c r="D170" t="str">
        <f t="shared" si="9"/>
        <v>https://centrodecapacitaciondelsur.com/o-v-e-87029841/</v>
      </c>
    </row>
    <row r="171" spans="1:4" ht="120.75" customHeight="1" x14ac:dyDescent="0.25">
      <c r="A171" s="21" t="str">
        <f>INSCRITOS!O134</f>
        <v>MANEJO DEFENSIVO</v>
      </c>
      <c r="B171" s="13" t="str">
        <f t="shared" si="8"/>
        <v>https://centrodecapacitaciondelsur.com/manejo-defensivo-</v>
      </c>
      <c r="C171" s="21">
        <f>INSCRITOS!B134</f>
        <v>87029841</v>
      </c>
      <c r="D171" t="str">
        <f t="shared" si="9"/>
        <v>https://centrodecapacitaciondelsur.com/manejo-defensivo-87029841/</v>
      </c>
    </row>
    <row r="172" spans="1:4" ht="120.75" customHeight="1" x14ac:dyDescent="0.25">
      <c r="A172" s="21" t="str">
        <f>INSCRITOS!O135</f>
        <v>PRIMEROS AUXILIOS</v>
      </c>
      <c r="B172" s="13" t="str">
        <f t="shared" si="8"/>
        <v>https://centrodecapacitaciondelsur.com/primeros-auxilios-</v>
      </c>
      <c r="C172" s="21">
        <f>INSCRITOS!B135</f>
        <v>1004748518</v>
      </c>
      <c r="D172" t="str">
        <f t="shared" si="9"/>
        <v>https://centrodecapacitaciondelsur.com/primeros-auxilios-1004748518/</v>
      </c>
    </row>
    <row r="173" spans="1:4" ht="120.75" customHeight="1" x14ac:dyDescent="0.25">
      <c r="A173" s="21" t="str">
        <f>INSCRITOS!O136</f>
        <v>CAMILLERO</v>
      </c>
      <c r="B173" s="13" t="str">
        <f t="shared" si="8"/>
        <v>https://centrodecapacitaciondelsur.com/camillero-</v>
      </c>
      <c r="C173" s="21">
        <f>INSCRITOS!B136</f>
        <v>1004748518</v>
      </c>
      <c r="D173" t="str">
        <f t="shared" si="9"/>
        <v>https://centrodecapacitaciondelsur.com/camillero-1004748518/</v>
      </c>
    </row>
    <row r="174" spans="1:4" ht="120.75" customHeight="1" x14ac:dyDescent="0.25">
      <c r="A174" s="21" t="str">
        <f>INSCRITOS!O137</f>
        <v>OVE</v>
      </c>
      <c r="B174" s="13" t="str">
        <f t="shared" si="8"/>
        <v>https://centrodecapacitaciondelsur.com/o-v-e-</v>
      </c>
      <c r="C174" s="21">
        <f>INSCRITOS!B137</f>
        <v>1004748518</v>
      </c>
      <c r="D174" t="str">
        <f t="shared" si="9"/>
        <v>https://centrodecapacitaciondelsur.com/o-v-e-1004748518/</v>
      </c>
    </row>
    <row r="175" spans="1:4" ht="120.75" customHeight="1" x14ac:dyDescent="0.25">
      <c r="A175" s="21" t="str">
        <f>INSCRITOS!O138</f>
        <v>MANEJO DEFENSIVO</v>
      </c>
      <c r="B175" s="13" t="str">
        <f t="shared" si="8"/>
        <v>https://centrodecapacitaciondelsur.com/manejo-defensivo-</v>
      </c>
      <c r="C175" s="21">
        <f>INSCRITOS!B138</f>
        <v>1004748518</v>
      </c>
      <c r="D175" t="str">
        <f t="shared" si="9"/>
        <v>https://centrodecapacitaciondelsur.com/manejo-defensivo-1004748518/</v>
      </c>
    </row>
    <row r="176" spans="1:4" ht="120.75" customHeight="1" x14ac:dyDescent="0.25">
      <c r="A176" s="21" t="str">
        <f>INSCRITOS!O139</f>
        <v>BLS</v>
      </c>
      <c r="B176" s="13" t="str">
        <f t="shared" si="8"/>
        <v>https://centrodecapacitaciondelsur.com/soporte-basico-de-vida-</v>
      </c>
      <c r="C176" s="21">
        <f>INSCRITOS!B139</f>
        <v>1004697347</v>
      </c>
      <c r="D176" t="str">
        <f t="shared" si="9"/>
        <v>https://centrodecapacitaciondelsur.com/soporte-basico-de-vida-1004697347/</v>
      </c>
    </row>
    <row r="177" spans="1:4" ht="120.75" customHeight="1" x14ac:dyDescent="0.25">
      <c r="A177" s="21" t="str">
        <f>INSCRITOS!O140</f>
        <v>PERFECCIONAMIENTO DE LIDERAZGO BÁSICO</v>
      </c>
      <c r="B177" s="13" t="s">
        <v>661</v>
      </c>
      <c r="C177" s="21">
        <f>INSCRITOS!B140</f>
        <v>1110473320</v>
      </c>
      <c r="D177" t="str">
        <f t="shared" si="9"/>
        <v>https://centrodecapacitaciondelsur.com/perfeccionamiento-de-liderazgo-basico-1110473320/</v>
      </c>
    </row>
    <row r="178" spans="1:4" ht="120.75" customHeight="1" x14ac:dyDescent="0.25">
      <c r="A178" s="21" t="str">
        <f>INSCRITOS!O141</f>
        <v>BLS</v>
      </c>
      <c r="B178" s="13" t="str">
        <f t="shared" si="8"/>
        <v>https://centrodecapacitaciondelsur.com/soporte-basico-de-vida-</v>
      </c>
      <c r="C178" s="21">
        <f>INSCRITOS!B141</f>
        <v>1002960211</v>
      </c>
      <c r="D178" t="str">
        <f t="shared" si="9"/>
        <v>https://centrodecapacitaciondelsur.com/soporte-basico-de-vida-1002960211/</v>
      </c>
    </row>
    <row r="179" spans="1:4" ht="120.75" customHeight="1" x14ac:dyDescent="0.25">
      <c r="A179" s="21" t="str">
        <f>INSCRITOS!O142</f>
        <v>PRIMEROS AUXILIOS</v>
      </c>
      <c r="B179" s="13" t="str">
        <f t="shared" ref="B179:B186" si="10">IF(A179=$H$19,"https://centrodecapacitaciondelsur.com/o-v-e-",IF(A179=$H$2,"https://centrodecapacitaciondelsur.com/aph-",IF(A179=$H$3,"https://centrodecapacitaciondelsur.com/manejo-del-duelo-",IF(A179=$H$4,"https://centrodecapacitaciondelsur.com/victimas-por-agentes-quimicos-",IF(A179=$H$5,"https://centrodecapacitaciondelsur.com/primeros-auxilios-",IF(A179=$H$6,"https://centrodecapacitaciondelsur.com/uci-",IF(A179=$H$8,"https://centrodecapacitaciondelsur.com/humanizacion-",IF(A179=$H$11,"https://centrodecapacitaciondelsur.com/soporte-cardiovascular-avanzado-",IF(A179=$H$12,"https://centrodecapacitaciondelsur.com/camillero-",IF(A179=$H$13,"https://centrodecapacitaciondelsur.com/toma-de-muestras-y-lab-clinico-",IF(A179=$H$14,"https://centrodecapacitaciondelsur.com/soporte-basico-de-vida-",IF(A179=$H$15,"https://centrodecapacitaciondelsur.com/violencia-sexual-",IF(A179=$H$17,"https://centrodecapacitaciondelsur.com/aiepi-",IF(A179=$H$18,"https://centrodecapacitaciondelsur.com/adm-medicamentos-canalizacion-inyectologia-",IF(A179=$H$25,"https://centrodecapacitaciondelsur.com/manejo-del-dolor-y-cuidados-paliativos-",IF(A179=$H$26,"https://centrodecapacitaciondelsur.com/toma-de-muestras-y-lab-clinico-poct-",IF(A179=$H$27,"https://centrodecapacitaciondelsur.com/implante-subdermico-",IF(A179=$H$21,"https://centrodecapacitaciondelsur.com/donante-de-organos-",IF(A179=$H$30,"https://centrodecapacitaciondelsur.com/atencion-a-victimas-del-conflicto-armado-",IF(A179=$H$20,"https://centrodecapacitaciondelsur.com/iami-",IF(A179=$H$22,"https://centrodecapacitaciondelsur.com/violencia-de-genero-",IF(A179=$H$23,"https://centrodecapacitaciondelsur.com/igualdad-de-genero-",IF(A179=$H$16,"https://centrodecapacitaciondelsur.com/pai-",IF(A179=$H$31,"https://centrodecapacitaciondelsur.com/manipulacion-de-alimentos-",IF(A179=$H$32,"https://centrodecapacitaciondelsur.com/atencion-a-personas-con-discapacidad-",IF(A179=$H$33,"https://centrodecapacitaciondelsur.com/atencion-al-adulto-mayor-",IF(A179=$H$34,"https://centrodecapacitaciondelsur.com/manejo-defensivo-",IF(A179=$H$35,"https://centrodecapacitaciondelsur.com/soporte-basico-neonatal-",IF(A179=$H$36,"https://centrodecapacitaciondelsur.com/seguridad-del-paciente-",IF(A179=$H$10,"https://centrodecapacitaciondelsur.com/toma-de-citologia-"))))))))))))))))))))))))))))))</f>
        <v>https://centrodecapacitaciondelsur.com/primeros-auxilios-</v>
      </c>
      <c r="C179" s="21">
        <f>INSCRITOS!B142</f>
        <v>87030027</v>
      </c>
      <c r="D179" t="str">
        <f t="shared" ref="D179:D186" si="11">CONCATENATE(B179,C179,"/")</f>
        <v>https://centrodecapacitaciondelsur.com/primeros-auxilios-87030027/</v>
      </c>
    </row>
    <row r="180" spans="1:4" ht="120.75" customHeight="1" x14ac:dyDescent="0.25">
      <c r="A180" s="21" t="str">
        <f>INSCRITOS!O143</f>
        <v>CAMILLERO</v>
      </c>
      <c r="B180" s="13" t="str">
        <f t="shared" si="10"/>
        <v>https://centrodecapacitaciondelsur.com/camillero-</v>
      </c>
      <c r="C180" s="21">
        <f>INSCRITOS!B143</f>
        <v>87030027</v>
      </c>
      <c r="D180" t="str">
        <f t="shared" si="11"/>
        <v>https://centrodecapacitaciondelsur.com/camillero-87030027/</v>
      </c>
    </row>
    <row r="181" spans="1:4" ht="120.75" customHeight="1" x14ac:dyDescent="0.25">
      <c r="A181" s="21" t="str">
        <f>INSCRITOS!O144</f>
        <v>OVE</v>
      </c>
      <c r="B181" s="13" t="str">
        <f t="shared" si="10"/>
        <v>https://centrodecapacitaciondelsur.com/o-v-e-</v>
      </c>
      <c r="C181" s="21">
        <f>INSCRITOS!B144</f>
        <v>87030027</v>
      </c>
      <c r="D181" t="str">
        <f t="shared" si="11"/>
        <v>https://centrodecapacitaciondelsur.com/o-v-e-87030027/</v>
      </c>
    </row>
    <row r="182" spans="1:4" ht="120.75" customHeight="1" x14ac:dyDescent="0.25">
      <c r="A182" s="21" t="str">
        <f>INSCRITOS!O145</f>
        <v>MANEJO DEFENSIVO</v>
      </c>
      <c r="B182" s="13" t="str">
        <f t="shared" si="10"/>
        <v>https://centrodecapacitaciondelsur.com/manejo-defensivo-</v>
      </c>
      <c r="C182" s="21">
        <f>INSCRITOS!B145</f>
        <v>87030027</v>
      </c>
      <c r="D182" t="str">
        <f t="shared" si="11"/>
        <v>https://centrodecapacitaciondelsur.com/manejo-defensivo-87030027/</v>
      </c>
    </row>
    <row r="183" spans="1:4" ht="120.75" customHeight="1" x14ac:dyDescent="0.25">
      <c r="A183" s="21" t="str">
        <f>INSCRITOS!O146</f>
        <v>PRIMEROS AUXILIOS</v>
      </c>
      <c r="B183" s="13" t="str">
        <f t="shared" si="10"/>
        <v>https://centrodecapacitaciondelsur.com/primeros-auxilios-</v>
      </c>
      <c r="C183" s="21">
        <f>INSCRITOS!B146</f>
        <v>1193522671</v>
      </c>
      <c r="D183" t="str">
        <f t="shared" si="11"/>
        <v>https://centrodecapacitaciondelsur.com/primeros-auxilios-1193522671/</v>
      </c>
    </row>
    <row r="184" spans="1:4" ht="120.75" customHeight="1" x14ac:dyDescent="0.25">
      <c r="A184" s="21" t="str">
        <f>INSCRITOS!O147</f>
        <v>CAMILLERO</v>
      </c>
      <c r="B184" s="13" t="str">
        <f t="shared" si="10"/>
        <v>https://centrodecapacitaciondelsur.com/camillero-</v>
      </c>
      <c r="C184" s="21">
        <f>INSCRITOS!B147</f>
        <v>1193522671</v>
      </c>
      <c r="D184" t="str">
        <f t="shared" si="11"/>
        <v>https://centrodecapacitaciondelsur.com/camillero-1193522671/</v>
      </c>
    </row>
    <row r="185" spans="1:4" ht="120.75" customHeight="1" x14ac:dyDescent="0.25">
      <c r="A185" s="21" t="str">
        <f>INSCRITOS!O148</f>
        <v>OVE</v>
      </c>
      <c r="B185" s="13" t="str">
        <f t="shared" si="10"/>
        <v>https://centrodecapacitaciondelsur.com/o-v-e-</v>
      </c>
      <c r="C185" s="21">
        <f>INSCRITOS!B148</f>
        <v>1193522671</v>
      </c>
      <c r="D185" t="str">
        <f t="shared" si="11"/>
        <v>https://centrodecapacitaciondelsur.com/o-v-e-1193522671/</v>
      </c>
    </row>
    <row r="186" spans="1:4" ht="120.75" customHeight="1" x14ac:dyDescent="0.25">
      <c r="A186" s="21" t="str">
        <f>INSCRITOS!O149</f>
        <v>MANEJO DEFENSIVO</v>
      </c>
      <c r="B186" s="13" t="str">
        <f t="shared" si="10"/>
        <v>https://centrodecapacitaciondelsur.com/manejo-defensivo-</v>
      </c>
      <c r="C186" s="21">
        <f>INSCRITOS!B149</f>
        <v>1193522671</v>
      </c>
      <c r="D186" t="str">
        <f t="shared" si="11"/>
        <v>https://centrodecapacitaciondelsur.com/manejo-defensivo-1193522671/</v>
      </c>
    </row>
    <row r="187" spans="1:4" ht="120.75" customHeight="1" x14ac:dyDescent="0.25">
      <c r="A187" s="21" t="str">
        <f>INSCRITOS!O150</f>
        <v>ACLSN</v>
      </c>
      <c r="B187" s="13" t="str">
        <f t="shared" ref="B187:B250" si="12">IF(A187=$H$19,"https://centrodecapacitaciondelsur.com/o-v-e-",IF(A187=$H$2,"https://centrodecapacitaciondelsur.com/aph-",IF(A187=$H$3,"https://centrodecapacitaciondelsur.com/manejo-del-duelo-",IF(A187=$H$4,"https://centrodecapacitaciondelsur.com/victimas-por-agentes-quimicos-",IF(A187=$H$5,"https://centrodecapacitaciondelsur.com/primeros-auxilios-",IF(A187=$H$6,"https://centrodecapacitaciondelsur.com/uci-",IF(A187=$H$8,"https://centrodecapacitaciondelsur.com/humanizacion-",IF(A187=$H$11,"https://centrodecapacitaciondelsur.com/soporte-cardiovascular-avanzado-",IF(A187=$H$12,"https://centrodecapacitaciondelsur.com/camillero-",IF(A187=$H$13,"https://centrodecapacitaciondelsur.com/toma-de-muestras-y-lab-clinico-",IF(A187=$H$14,"https://centrodecapacitaciondelsur.com/soporte-basico-de-vida-",IF(A187=$H$15,"https://centrodecapacitaciondelsur.com/violencia-sexual-",IF(A187=$H$17,"https://centrodecapacitaciondelsur.com/aiepi-",IF(A187=$H$18,"https://centrodecapacitaciondelsur.com/adm-medicamentos-canalizacion-inyectologia-",IF(A187=$H$25,"https://centrodecapacitaciondelsur.com/manejo-del-dolor-y-cuidados-paliativos-",IF(A187=$H$26,"https://centrodecapacitaciondelsur.com/toma-de-muestras-y-lab-clinico-poct-",IF(A187=$H$27,"https://centrodecapacitaciondelsur.com/implante-subdermico-",IF(A187=$H$21,"https://centrodecapacitaciondelsur.com/donante-de-organos-",IF(A187=$H$30,"https://centrodecapacitaciondelsur.com/atencion-a-victimas-del-conflicto-armado-",IF(A187=$H$20,"https://centrodecapacitaciondelsur.com/iami-",IF(A187=$H$22,"https://centrodecapacitaciondelsur.com/violencia-de-genero-",IF(A187=$H$23,"https://centrodecapacitaciondelsur.com/igualdad-de-genero-",IF(A187=$H$16,"https://centrodecapacitaciondelsur.com/pai-",IF(A187=$H$31,"https://centrodecapacitaciondelsur.com/manipulacion-de-alimentos-",IF(A187=$H$32,"https://centrodecapacitaciondelsur.com/atencion-a-personas-con-discapacidad-",IF(A187=$H$33,"https://centrodecapacitaciondelsur.com/atencion-al-adulto-mayor-",IF(A187=$H$34,"https://centrodecapacitaciondelsur.com/manejo-defensivo-",IF(A187=$H$35,"https://centrodecapacitaciondelsur.com/soporte-basico-neonatal-",IF(A187=$H$36,"https://centrodecapacitaciondelsur.com/seguridad-del-paciente-",IF(A187=$H$10,"https://centrodecapacitaciondelsur.com/toma-de-citologia-"))))))))))))))))))))))))))))))</f>
        <v>https://centrodecapacitaciondelsur.com/soporte-basico-neonatal-</v>
      </c>
      <c r="C187" s="21">
        <f>INSCRITOS!B150</f>
        <v>1127577221</v>
      </c>
      <c r="D187" t="str">
        <f t="shared" ref="D187:D250" si="13">CONCATENATE(B187,C187,"/")</f>
        <v>https://centrodecapacitaciondelsur.com/soporte-basico-neonatal-1127577221/</v>
      </c>
    </row>
    <row r="188" spans="1:4" ht="120.75" customHeight="1" x14ac:dyDescent="0.25">
      <c r="A188" s="21" t="str">
        <f>INSCRITOS!O151</f>
        <v>VIOLENCIA SEXUAL</v>
      </c>
      <c r="B188" s="13" t="str">
        <f t="shared" si="12"/>
        <v>https://centrodecapacitaciondelsur.com/violencia-sexual-</v>
      </c>
      <c r="C188" s="21">
        <f>INSCRITOS!B151</f>
        <v>1002982087</v>
      </c>
      <c r="D188" t="str">
        <f t="shared" si="13"/>
        <v>https://centrodecapacitaciondelsur.com/violencia-sexual-1002982087/</v>
      </c>
    </row>
    <row r="189" spans="1:4" ht="120.75" customHeight="1" x14ac:dyDescent="0.25">
      <c r="A189" s="21">
        <f>INSCRITOS!O152</f>
        <v>0</v>
      </c>
      <c r="B189" s="13" t="b">
        <f t="shared" ref="B189:B192" si="14">IF(A189=$H$19,"https://centrodecapacitaciondelsur.com/o-v-e-",IF(A189=$H$2,"https://centrodecapacitaciondelsur.com/aph-",IF(A189=$H$3,"https://centrodecapacitaciondelsur.com/manejo-del-duelo-",IF(A189=$H$4,"https://centrodecapacitaciondelsur.com/victimas-por-agentes-quimicos-",IF(A189=$H$5,"https://centrodecapacitaciondelsur.com/primeros-auxilios-",IF(A189=$H$6,"https://centrodecapacitaciondelsur.com/uci-",IF(A189=$H$8,"https://centrodecapacitaciondelsur.com/humanizacion-",IF(A189=$H$11,"https://centrodecapacitaciondelsur.com/soporte-cardiovascular-avanzado-",IF(A189=$H$12,"https://centrodecapacitaciondelsur.com/camillero-",IF(A189=$H$13,"https://centrodecapacitaciondelsur.com/toma-de-muestras-y-lab-clinico-",IF(A189=$H$14,"https://centrodecapacitaciondelsur.com/soporte-basico-de-vida-",IF(A189=$H$15,"https://centrodecapacitaciondelsur.com/violencia-sexual-",IF(A189=$H$17,"https://centrodecapacitaciondelsur.com/aiepi-",IF(A189=$H$18,"https://centrodecapacitaciondelsur.com/adm-medicamentos-canalizacion-inyectologia-",IF(A189=$H$25,"https://centrodecapacitaciondelsur.com/manejo-del-dolor-y-cuidados-paliativos-",IF(A189=$H$26,"https://centrodecapacitaciondelsur.com/toma-de-muestras-y-lab-clinico-poct-",IF(A189=$H$27,"https://centrodecapacitaciondelsur.com/implante-subdermico-",IF(A189=$H$21,"https://centrodecapacitaciondelsur.com/donante-de-organos-",IF(A189=$H$30,"https://centrodecapacitaciondelsur.com/atencion-a-victimas-del-conflicto-armado-",IF(A189=$H$20,"https://centrodecapacitaciondelsur.com/iami-",IF(A189=$H$22,"https://centrodecapacitaciondelsur.com/violencia-de-genero-",IF(A189=$H$23,"https://centrodecapacitaciondelsur.com/igualdad-de-genero-",IF(A189=$H$16,"https://centrodecapacitaciondelsur.com/pai-",IF(A189=$H$31,"https://centrodecapacitaciondelsur.com/manipulacion-de-alimentos-",IF(A189=$H$32,"https://centrodecapacitaciondelsur.com/atencion-a-personas-con-discapacidad-",IF(A189=$H$33,"https://centrodecapacitaciondelsur.com/atencion-al-adulto-mayor-",IF(A189=$H$34,"https://centrodecapacitaciondelsur.com/manejo-defensivo-",IF(A189=$H$35,"https://centrodecapacitaciondelsur.com/soporte-basico-neonatal-",IF(A189=$H$36,"https://centrodecapacitaciondelsur.com/seguridad-del-paciente-",IF(A189=$H$10,"https://centrodecapacitaciondelsur.com/toma-de-citologia-"))))))))))))))))))))))))))))))</f>
        <v>0</v>
      </c>
      <c r="C189" s="21">
        <f>INSCRITOS!B152</f>
        <v>0</v>
      </c>
      <c r="D189" t="str">
        <f t="shared" ref="D189:D192" si="15">CONCATENATE(B189,C189,"/")</f>
        <v>FALSO0/</v>
      </c>
    </row>
    <row r="190" spans="1:4" ht="120.75" customHeight="1" x14ac:dyDescent="0.25">
      <c r="A190" s="21">
        <f>INSCRITOS!O153</f>
        <v>0</v>
      </c>
      <c r="B190" s="13" t="b">
        <f t="shared" si="14"/>
        <v>0</v>
      </c>
      <c r="C190" s="21">
        <f>INSCRITOS!B153</f>
        <v>0</v>
      </c>
      <c r="D190" t="str">
        <f t="shared" si="15"/>
        <v>FALSO0/</v>
      </c>
    </row>
    <row r="191" spans="1:4" ht="120.75" customHeight="1" x14ac:dyDescent="0.25">
      <c r="A191" s="21">
        <f>INSCRITOS!O154</f>
        <v>0</v>
      </c>
      <c r="B191" s="13" t="b">
        <f t="shared" si="14"/>
        <v>0</v>
      </c>
      <c r="C191" s="21">
        <f>INSCRITOS!B154</f>
        <v>0</v>
      </c>
      <c r="D191" t="str">
        <f t="shared" si="15"/>
        <v>FALSO0/</v>
      </c>
    </row>
    <row r="192" spans="1:4" ht="120.75" customHeight="1" x14ac:dyDescent="0.25">
      <c r="A192" s="21">
        <f>INSCRITOS!O155</f>
        <v>0</v>
      </c>
      <c r="B192" s="13" t="b">
        <f t="shared" si="14"/>
        <v>0</v>
      </c>
      <c r="C192" s="21">
        <f>INSCRITOS!B155</f>
        <v>0</v>
      </c>
      <c r="D192" t="str">
        <f t="shared" si="15"/>
        <v>FALSO0/</v>
      </c>
    </row>
    <row r="193" spans="1:4" ht="120.75" customHeight="1" x14ac:dyDescent="0.25">
      <c r="A193" s="21">
        <f>INSCRITOS!O156</f>
        <v>0</v>
      </c>
      <c r="B193" s="13" t="b">
        <f t="shared" si="12"/>
        <v>0</v>
      </c>
      <c r="C193" s="21">
        <f>INSCRITOS!B156</f>
        <v>0</v>
      </c>
      <c r="D193" t="str">
        <f t="shared" si="13"/>
        <v>FALSO0/</v>
      </c>
    </row>
    <row r="194" spans="1:4" ht="120.75" customHeight="1" x14ac:dyDescent="0.25">
      <c r="A194" s="21">
        <f>INSCRITOS!O157</f>
        <v>0</v>
      </c>
      <c r="B194" s="13" t="b">
        <f t="shared" si="12"/>
        <v>0</v>
      </c>
      <c r="C194" s="21">
        <f>INSCRITOS!B157</f>
        <v>0</v>
      </c>
      <c r="D194" t="str">
        <f t="shared" si="13"/>
        <v>FALSO0/</v>
      </c>
    </row>
    <row r="195" spans="1:4" ht="120.75" customHeight="1" x14ac:dyDescent="0.25">
      <c r="A195" s="21">
        <f>INSCRITOS!O158</f>
        <v>0</v>
      </c>
      <c r="B195" s="13" t="b">
        <f t="shared" si="12"/>
        <v>0</v>
      </c>
      <c r="C195" s="21">
        <f>INSCRITOS!B158</f>
        <v>0</v>
      </c>
      <c r="D195" t="str">
        <f t="shared" si="13"/>
        <v>FALSO0/</v>
      </c>
    </row>
    <row r="196" spans="1:4" ht="120.75" customHeight="1" x14ac:dyDescent="0.25">
      <c r="A196" s="21">
        <f>INSCRITOS!O159</f>
        <v>0</v>
      </c>
      <c r="B196" s="13" t="b">
        <f t="shared" si="12"/>
        <v>0</v>
      </c>
      <c r="C196" s="21">
        <f>INSCRITOS!B159</f>
        <v>0</v>
      </c>
      <c r="D196" t="str">
        <f t="shared" si="13"/>
        <v>FALSO0/</v>
      </c>
    </row>
    <row r="197" spans="1:4" ht="120.75" customHeight="1" x14ac:dyDescent="0.25">
      <c r="A197" s="21">
        <f>INSCRITOS!O160</f>
        <v>0</v>
      </c>
      <c r="B197" s="13" t="b">
        <f t="shared" si="12"/>
        <v>0</v>
      </c>
      <c r="C197" s="21">
        <f>INSCRITOS!B160</f>
        <v>0</v>
      </c>
      <c r="D197" t="str">
        <f t="shared" si="13"/>
        <v>FALSO0/</v>
      </c>
    </row>
    <row r="198" spans="1:4" ht="120.75" customHeight="1" x14ac:dyDescent="0.25">
      <c r="A198" s="21">
        <f>INSCRITOS!O161</f>
        <v>0</v>
      </c>
      <c r="B198" s="13" t="b">
        <f t="shared" si="12"/>
        <v>0</v>
      </c>
      <c r="C198" s="21">
        <f>INSCRITOS!B161</f>
        <v>0</v>
      </c>
      <c r="D198" t="str">
        <f t="shared" si="13"/>
        <v>FALSO0/</v>
      </c>
    </row>
    <row r="199" spans="1:4" ht="120.75" customHeight="1" x14ac:dyDescent="0.25">
      <c r="A199" s="21">
        <f>INSCRITOS!O162</f>
        <v>0</v>
      </c>
      <c r="B199" s="13" t="b">
        <f t="shared" si="12"/>
        <v>0</v>
      </c>
      <c r="C199" s="21">
        <f>INSCRITOS!B162</f>
        <v>0</v>
      </c>
      <c r="D199" t="str">
        <f t="shared" si="13"/>
        <v>FALSO0/</v>
      </c>
    </row>
    <row r="200" spans="1:4" ht="120.75" customHeight="1" x14ac:dyDescent="0.25">
      <c r="A200" s="21">
        <f>INSCRITOS!O163</f>
        <v>0</v>
      </c>
      <c r="B200" s="13" t="b">
        <f t="shared" si="12"/>
        <v>0</v>
      </c>
      <c r="C200" s="21">
        <f>INSCRITOS!B163</f>
        <v>0</v>
      </c>
      <c r="D200" t="str">
        <f t="shared" si="13"/>
        <v>FALSO0/</v>
      </c>
    </row>
    <row r="201" spans="1:4" ht="120.75" customHeight="1" x14ac:dyDescent="0.25">
      <c r="A201" s="21">
        <f>INSCRITOS!O164</f>
        <v>0</v>
      </c>
      <c r="B201" s="13" t="b">
        <f t="shared" si="12"/>
        <v>0</v>
      </c>
      <c r="C201" s="21">
        <f>INSCRITOS!B164</f>
        <v>0</v>
      </c>
      <c r="D201" t="str">
        <f t="shared" si="13"/>
        <v>FALSO0/</v>
      </c>
    </row>
    <row r="202" spans="1:4" ht="120.75" customHeight="1" x14ac:dyDescent="0.25">
      <c r="A202" s="21">
        <f>INSCRITOS!O165</f>
        <v>0</v>
      </c>
      <c r="B202" s="13" t="b">
        <f t="shared" si="12"/>
        <v>0</v>
      </c>
      <c r="C202" s="21">
        <f>INSCRITOS!B165</f>
        <v>0</v>
      </c>
      <c r="D202" t="str">
        <f t="shared" si="13"/>
        <v>FALSO0/</v>
      </c>
    </row>
    <row r="203" spans="1:4" ht="120.75" customHeight="1" x14ac:dyDescent="0.25">
      <c r="A203" s="21">
        <f>INSCRITOS!O166</f>
        <v>0</v>
      </c>
      <c r="B203" s="13" t="b">
        <f t="shared" si="12"/>
        <v>0</v>
      </c>
      <c r="C203" s="21">
        <f>INSCRITOS!B166</f>
        <v>0</v>
      </c>
      <c r="D203" t="str">
        <f t="shared" si="13"/>
        <v>FALSO0/</v>
      </c>
    </row>
    <row r="204" spans="1:4" ht="120.75" customHeight="1" x14ac:dyDescent="0.25">
      <c r="A204" s="21">
        <f>INSCRITOS!O167</f>
        <v>0</v>
      </c>
      <c r="B204" s="13" t="b">
        <f t="shared" si="12"/>
        <v>0</v>
      </c>
      <c r="C204" s="21">
        <f>INSCRITOS!B167</f>
        <v>0</v>
      </c>
      <c r="D204" t="str">
        <f t="shared" si="13"/>
        <v>FALSO0/</v>
      </c>
    </row>
    <row r="205" spans="1:4" ht="120.75" customHeight="1" x14ac:dyDescent="0.25">
      <c r="A205" s="21">
        <f>INSCRITOS!O168</f>
        <v>0</v>
      </c>
      <c r="B205" s="13" t="b">
        <f t="shared" si="12"/>
        <v>0</v>
      </c>
      <c r="C205" s="21">
        <f>INSCRITOS!B168</f>
        <v>0</v>
      </c>
      <c r="D205" t="str">
        <f t="shared" si="13"/>
        <v>FALSO0/</v>
      </c>
    </row>
    <row r="206" spans="1:4" ht="120.75" customHeight="1" x14ac:dyDescent="0.25">
      <c r="A206" s="21">
        <f>INSCRITOS!O169</f>
        <v>0</v>
      </c>
      <c r="B206" s="13" t="b">
        <f t="shared" si="12"/>
        <v>0</v>
      </c>
      <c r="C206" s="21">
        <f>INSCRITOS!B169</f>
        <v>0</v>
      </c>
      <c r="D206" t="str">
        <f t="shared" si="13"/>
        <v>FALSO0/</v>
      </c>
    </row>
    <row r="207" spans="1:4" ht="120.75" customHeight="1" x14ac:dyDescent="0.25">
      <c r="A207" s="21">
        <f>INSCRITOS!O170</f>
        <v>0</v>
      </c>
      <c r="B207" s="13" t="b">
        <f t="shared" si="12"/>
        <v>0</v>
      </c>
      <c r="C207" s="21">
        <f>INSCRITOS!B170</f>
        <v>0</v>
      </c>
      <c r="D207" t="str">
        <f t="shared" si="13"/>
        <v>FALSO0/</v>
      </c>
    </row>
    <row r="208" spans="1:4" ht="120.75" customHeight="1" x14ac:dyDescent="0.25">
      <c r="A208" s="21">
        <f>INSCRITOS!O171</f>
        <v>0</v>
      </c>
      <c r="B208" s="13" t="b">
        <f t="shared" si="12"/>
        <v>0</v>
      </c>
      <c r="C208" s="21">
        <f>INSCRITOS!B171</f>
        <v>0</v>
      </c>
      <c r="D208" t="str">
        <f t="shared" si="13"/>
        <v>FALSO0/</v>
      </c>
    </row>
    <row r="209" spans="1:4" ht="120.75" customHeight="1" x14ac:dyDescent="0.25">
      <c r="A209" s="21">
        <f>INSCRITOS!O172</f>
        <v>0</v>
      </c>
      <c r="B209" s="13" t="b">
        <f t="shared" si="12"/>
        <v>0</v>
      </c>
      <c r="C209" s="21">
        <f>INSCRITOS!B172</f>
        <v>0</v>
      </c>
      <c r="D209" t="str">
        <f t="shared" si="13"/>
        <v>FALSO0/</v>
      </c>
    </row>
    <row r="210" spans="1:4" ht="120.75" customHeight="1" x14ac:dyDescent="0.25">
      <c r="A210" s="21">
        <f>INSCRITOS!O173</f>
        <v>0</v>
      </c>
      <c r="B210" s="13" t="b">
        <f t="shared" si="12"/>
        <v>0</v>
      </c>
      <c r="C210" s="21">
        <f>INSCRITOS!B173</f>
        <v>0</v>
      </c>
      <c r="D210" t="str">
        <f t="shared" si="13"/>
        <v>FALSO0/</v>
      </c>
    </row>
    <row r="211" spans="1:4" ht="120.75" customHeight="1" x14ac:dyDescent="0.25">
      <c r="A211" s="21">
        <f>INSCRITOS!O174</f>
        <v>0</v>
      </c>
      <c r="B211" s="13" t="b">
        <f t="shared" si="12"/>
        <v>0</v>
      </c>
      <c r="C211" s="21">
        <f>INSCRITOS!B174</f>
        <v>0</v>
      </c>
      <c r="D211" t="str">
        <f t="shared" si="13"/>
        <v>FALSO0/</v>
      </c>
    </row>
    <row r="212" spans="1:4" ht="120.75" customHeight="1" x14ac:dyDescent="0.25">
      <c r="A212" s="21">
        <f>INSCRITOS!O175</f>
        <v>0</v>
      </c>
      <c r="B212" s="13" t="b">
        <f t="shared" si="12"/>
        <v>0</v>
      </c>
      <c r="C212" s="21">
        <f>INSCRITOS!B175</f>
        <v>0</v>
      </c>
      <c r="D212" t="str">
        <f t="shared" si="13"/>
        <v>FALSO0/</v>
      </c>
    </row>
    <row r="213" spans="1:4" ht="120.75" customHeight="1" x14ac:dyDescent="0.25">
      <c r="A213" s="21">
        <f>INSCRITOS!O176</f>
        <v>0</v>
      </c>
      <c r="B213" s="13" t="b">
        <f t="shared" si="12"/>
        <v>0</v>
      </c>
      <c r="C213" s="21">
        <f>INSCRITOS!B176</f>
        <v>0</v>
      </c>
      <c r="D213" t="str">
        <f t="shared" si="13"/>
        <v>FALSO0/</v>
      </c>
    </row>
    <row r="214" spans="1:4" ht="120.75" customHeight="1" x14ac:dyDescent="0.25">
      <c r="A214" s="21">
        <f>INSCRITOS!O177</f>
        <v>0</v>
      </c>
      <c r="B214" s="13" t="b">
        <f t="shared" si="12"/>
        <v>0</v>
      </c>
      <c r="C214" s="21">
        <f>INSCRITOS!B177</f>
        <v>0</v>
      </c>
      <c r="D214" t="str">
        <f t="shared" si="13"/>
        <v>FALSO0/</v>
      </c>
    </row>
    <row r="215" spans="1:4" ht="120.75" customHeight="1" x14ac:dyDescent="0.25">
      <c r="A215" s="21">
        <f>INSCRITOS!O178</f>
        <v>0</v>
      </c>
      <c r="B215" s="13" t="b">
        <f t="shared" si="12"/>
        <v>0</v>
      </c>
      <c r="C215" s="21">
        <f>INSCRITOS!B178</f>
        <v>0</v>
      </c>
      <c r="D215" t="str">
        <f t="shared" si="13"/>
        <v>FALSO0/</v>
      </c>
    </row>
    <row r="216" spans="1:4" ht="120.75" customHeight="1" x14ac:dyDescent="0.25">
      <c r="A216" s="21">
        <f>INSCRITOS!O179</f>
        <v>0</v>
      </c>
      <c r="B216" s="13" t="b">
        <f t="shared" si="12"/>
        <v>0</v>
      </c>
      <c r="C216" s="21">
        <f>INSCRITOS!B179</f>
        <v>0</v>
      </c>
      <c r="D216" t="str">
        <f t="shared" si="13"/>
        <v>FALSO0/</v>
      </c>
    </row>
    <row r="217" spans="1:4" ht="120.75" customHeight="1" x14ac:dyDescent="0.25">
      <c r="A217" s="21">
        <f>INSCRITOS!O180</f>
        <v>0</v>
      </c>
      <c r="B217" s="13" t="b">
        <f t="shared" si="12"/>
        <v>0</v>
      </c>
      <c r="C217" s="21">
        <f>INSCRITOS!B180</f>
        <v>0</v>
      </c>
      <c r="D217" t="str">
        <f t="shared" si="13"/>
        <v>FALSO0/</v>
      </c>
    </row>
    <row r="218" spans="1:4" ht="120.75" customHeight="1" x14ac:dyDescent="0.25">
      <c r="A218" s="21">
        <f>INSCRITOS!O181</f>
        <v>0</v>
      </c>
      <c r="B218" s="13" t="b">
        <f t="shared" si="12"/>
        <v>0</v>
      </c>
      <c r="C218" s="21">
        <f>INSCRITOS!B181</f>
        <v>0</v>
      </c>
      <c r="D218" t="str">
        <f t="shared" si="13"/>
        <v>FALSO0/</v>
      </c>
    </row>
    <row r="219" spans="1:4" ht="120.75" customHeight="1" x14ac:dyDescent="0.25">
      <c r="A219" s="21">
        <f>INSCRITOS!O182</f>
        <v>0</v>
      </c>
      <c r="B219" s="13" t="b">
        <f t="shared" si="12"/>
        <v>0</v>
      </c>
      <c r="C219" s="21">
        <f>INSCRITOS!B182</f>
        <v>0</v>
      </c>
      <c r="D219" t="str">
        <f t="shared" si="13"/>
        <v>FALSO0/</v>
      </c>
    </row>
    <row r="220" spans="1:4" ht="120.75" customHeight="1" x14ac:dyDescent="0.25">
      <c r="A220" s="21">
        <f>INSCRITOS!O183</f>
        <v>0</v>
      </c>
      <c r="B220" s="13" t="b">
        <f t="shared" si="12"/>
        <v>0</v>
      </c>
      <c r="C220" s="21">
        <f>INSCRITOS!B183</f>
        <v>0</v>
      </c>
      <c r="D220" t="str">
        <f t="shared" si="13"/>
        <v>FALSO0/</v>
      </c>
    </row>
    <row r="221" spans="1:4" ht="120.75" customHeight="1" x14ac:dyDescent="0.25">
      <c r="A221" s="21">
        <f>INSCRITOS!O184</f>
        <v>0</v>
      </c>
      <c r="B221" s="13" t="b">
        <f t="shared" si="12"/>
        <v>0</v>
      </c>
      <c r="C221" s="21">
        <f>INSCRITOS!B184</f>
        <v>0</v>
      </c>
      <c r="D221" t="str">
        <f t="shared" si="13"/>
        <v>FALSO0/</v>
      </c>
    </row>
    <row r="222" spans="1:4" ht="120.75" customHeight="1" x14ac:dyDescent="0.25">
      <c r="A222" s="21">
        <f>INSCRITOS!O185</f>
        <v>0</v>
      </c>
      <c r="B222" s="13" t="b">
        <f t="shared" si="12"/>
        <v>0</v>
      </c>
      <c r="C222" s="21">
        <f>INSCRITOS!B185</f>
        <v>0</v>
      </c>
      <c r="D222" t="str">
        <f t="shared" si="13"/>
        <v>FALSO0/</v>
      </c>
    </row>
    <row r="223" spans="1:4" ht="120.75" customHeight="1" x14ac:dyDescent="0.25">
      <c r="A223" s="21">
        <f>INSCRITOS!O186</f>
        <v>0</v>
      </c>
      <c r="B223" s="13" t="b">
        <f t="shared" si="12"/>
        <v>0</v>
      </c>
      <c r="C223" s="21">
        <f>INSCRITOS!B186</f>
        <v>0</v>
      </c>
      <c r="D223" t="str">
        <f t="shared" si="13"/>
        <v>FALSO0/</v>
      </c>
    </row>
    <row r="224" spans="1:4" ht="120.75" customHeight="1" x14ac:dyDescent="0.25">
      <c r="A224" s="21">
        <f>INSCRITOS!O187</f>
        <v>0</v>
      </c>
      <c r="B224" s="13" t="b">
        <f t="shared" si="12"/>
        <v>0</v>
      </c>
      <c r="C224" s="21">
        <f>INSCRITOS!B187</f>
        <v>0</v>
      </c>
      <c r="D224" t="str">
        <f t="shared" si="13"/>
        <v>FALSO0/</v>
      </c>
    </row>
    <row r="225" spans="1:4" ht="120.75" customHeight="1" x14ac:dyDescent="0.25">
      <c r="A225" s="21">
        <f>INSCRITOS!O188</f>
        <v>0</v>
      </c>
      <c r="B225" s="13" t="b">
        <f t="shared" si="12"/>
        <v>0</v>
      </c>
      <c r="C225" s="21">
        <f>INSCRITOS!B188</f>
        <v>0</v>
      </c>
      <c r="D225" t="str">
        <f t="shared" si="13"/>
        <v>FALSO0/</v>
      </c>
    </row>
    <row r="226" spans="1:4" ht="120.75" customHeight="1" x14ac:dyDescent="0.25">
      <c r="A226" s="21">
        <f>INSCRITOS!O189</f>
        <v>0</v>
      </c>
      <c r="B226" s="13" t="b">
        <f t="shared" si="12"/>
        <v>0</v>
      </c>
      <c r="C226" s="21">
        <f>INSCRITOS!B189</f>
        <v>0</v>
      </c>
      <c r="D226" t="str">
        <f t="shared" si="13"/>
        <v>FALSO0/</v>
      </c>
    </row>
    <row r="227" spans="1:4" ht="120.75" customHeight="1" x14ac:dyDescent="0.25">
      <c r="A227" s="21">
        <f>INSCRITOS!O190</f>
        <v>0</v>
      </c>
      <c r="B227" s="13" t="b">
        <f t="shared" si="12"/>
        <v>0</v>
      </c>
      <c r="C227" s="21">
        <f>INSCRITOS!B190</f>
        <v>0</v>
      </c>
      <c r="D227" t="str">
        <f t="shared" si="13"/>
        <v>FALSO0/</v>
      </c>
    </row>
    <row r="228" spans="1:4" ht="120.75" customHeight="1" x14ac:dyDescent="0.25">
      <c r="A228" s="21">
        <f>INSCRITOS!O191</f>
        <v>0</v>
      </c>
      <c r="B228" s="13" t="b">
        <f t="shared" si="12"/>
        <v>0</v>
      </c>
      <c r="C228" s="21">
        <f>INSCRITOS!B191</f>
        <v>0</v>
      </c>
      <c r="D228" t="str">
        <f t="shared" si="13"/>
        <v>FALSO0/</v>
      </c>
    </row>
    <row r="229" spans="1:4" ht="120.75" customHeight="1" x14ac:dyDescent="0.25">
      <c r="A229" s="21">
        <f>INSCRITOS!O192</f>
        <v>0</v>
      </c>
      <c r="B229" s="13" t="b">
        <f t="shared" si="12"/>
        <v>0</v>
      </c>
      <c r="C229" s="21">
        <f>INSCRITOS!B192</f>
        <v>0</v>
      </c>
      <c r="D229" t="str">
        <f t="shared" si="13"/>
        <v>FALSO0/</v>
      </c>
    </row>
    <row r="230" spans="1:4" ht="120.75" customHeight="1" x14ac:dyDescent="0.25">
      <c r="A230" s="21">
        <f>INSCRITOS!O193</f>
        <v>0</v>
      </c>
      <c r="B230" s="13" t="b">
        <f t="shared" si="12"/>
        <v>0</v>
      </c>
      <c r="C230" s="21">
        <f>INSCRITOS!B193</f>
        <v>0</v>
      </c>
      <c r="D230" t="str">
        <f t="shared" si="13"/>
        <v>FALSO0/</v>
      </c>
    </row>
    <row r="231" spans="1:4" ht="120.75" customHeight="1" x14ac:dyDescent="0.25">
      <c r="A231" s="21">
        <f>INSCRITOS!O194</f>
        <v>0</v>
      </c>
      <c r="B231" s="13" t="b">
        <f t="shared" si="12"/>
        <v>0</v>
      </c>
      <c r="C231" s="21">
        <f>INSCRITOS!B194</f>
        <v>0</v>
      </c>
      <c r="D231" t="str">
        <f t="shared" si="13"/>
        <v>FALSO0/</v>
      </c>
    </row>
    <row r="232" spans="1:4" ht="120.75" customHeight="1" x14ac:dyDescent="0.25">
      <c r="A232" s="21">
        <f>INSCRITOS!O195</f>
        <v>0</v>
      </c>
      <c r="B232" s="13" t="b">
        <f t="shared" si="12"/>
        <v>0</v>
      </c>
      <c r="C232" s="21">
        <f>INSCRITOS!B195</f>
        <v>0</v>
      </c>
      <c r="D232" t="str">
        <f t="shared" si="13"/>
        <v>FALSO0/</v>
      </c>
    </row>
    <row r="233" spans="1:4" ht="120.75" customHeight="1" x14ac:dyDescent="0.25">
      <c r="A233" s="21">
        <f>INSCRITOS!O196</f>
        <v>0</v>
      </c>
      <c r="B233" s="13" t="b">
        <f t="shared" si="12"/>
        <v>0</v>
      </c>
      <c r="C233" s="21">
        <f>INSCRITOS!B196</f>
        <v>0</v>
      </c>
      <c r="D233" t="str">
        <f t="shared" si="13"/>
        <v>FALSO0/</v>
      </c>
    </row>
    <row r="234" spans="1:4" ht="120.75" customHeight="1" x14ac:dyDescent="0.25">
      <c r="A234" s="21">
        <f>INSCRITOS!O197</f>
        <v>0</v>
      </c>
      <c r="B234" s="13" t="b">
        <f t="shared" si="12"/>
        <v>0</v>
      </c>
      <c r="C234" s="21">
        <f>INSCRITOS!B197</f>
        <v>0</v>
      </c>
      <c r="D234" t="str">
        <f t="shared" si="13"/>
        <v>FALSO0/</v>
      </c>
    </row>
    <row r="235" spans="1:4" ht="120.75" customHeight="1" x14ac:dyDescent="0.25">
      <c r="A235" s="21">
        <f>INSCRITOS!O198</f>
        <v>0</v>
      </c>
      <c r="B235" s="13" t="b">
        <f t="shared" si="12"/>
        <v>0</v>
      </c>
      <c r="C235" s="21">
        <f>INSCRITOS!B198</f>
        <v>0</v>
      </c>
      <c r="D235" t="str">
        <f t="shared" si="13"/>
        <v>FALSO0/</v>
      </c>
    </row>
    <row r="236" spans="1:4" ht="120.75" customHeight="1" x14ac:dyDescent="0.25">
      <c r="A236" s="21">
        <f>INSCRITOS!O199</f>
        <v>0</v>
      </c>
      <c r="B236" s="13" t="b">
        <f t="shared" si="12"/>
        <v>0</v>
      </c>
      <c r="C236" s="21">
        <f>INSCRITOS!B199</f>
        <v>0</v>
      </c>
      <c r="D236" t="str">
        <f t="shared" si="13"/>
        <v>FALSO0/</v>
      </c>
    </row>
    <row r="237" spans="1:4" ht="120.75" customHeight="1" x14ac:dyDescent="0.25">
      <c r="A237" s="21">
        <f>INSCRITOS!O200</f>
        <v>0</v>
      </c>
      <c r="B237" s="13" t="b">
        <f t="shared" si="12"/>
        <v>0</v>
      </c>
      <c r="C237" s="21">
        <f>INSCRITOS!B200</f>
        <v>0</v>
      </c>
      <c r="D237" t="str">
        <f t="shared" si="13"/>
        <v>FALSO0/</v>
      </c>
    </row>
    <row r="238" spans="1:4" ht="120.75" customHeight="1" x14ac:dyDescent="0.25">
      <c r="A238" s="21">
        <f>INSCRITOS!O201</f>
        <v>0</v>
      </c>
      <c r="B238" s="13" t="b">
        <f t="shared" si="12"/>
        <v>0</v>
      </c>
      <c r="C238" s="21">
        <f>INSCRITOS!B201</f>
        <v>0</v>
      </c>
      <c r="D238" t="str">
        <f t="shared" si="13"/>
        <v>FALSO0/</v>
      </c>
    </row>
    <row r="239" spans="1:4" ht="120.75" customHeight="1" x14ac:dyDescent="0.25">
      <c r="A239" s="21">
        <f>INSCRITOS!O202</f>
        <v>0</v>
      </c>
      <c r="B239" s="13" t="b">
        <f t="shared" si="12"/>
        <v>0</v>
      </c>
      <c r="C239" s="21">
        <f>INSCRITOS!B202</f>
        <v>0</v>
      </c>
      <c r="D239" t="str">
        <f t="shared" si="13"/>
        <v>FALSO0/</v>
      </c>
    </row>
    <row r="240" spans="1:4" ht="120.75" customHeight="1" x14ac:dyDescent="0.25">
      <c r="A240" s="21">
        <f>INSCRITOS!O203</f>
        <v>0</v>
      </c>
      <c r="B240" s="13" t="b">
        <f t="shared" si="12"/>
        <v>0</v>
      </c>
      <c r="C240" s="21">
        <f>INSCRITOS!B203</f>
        <v>0</v>
      </c>
      <c r="D240" t="str">
        <f t="shared" si="13"/>
        <v>FALSO0/</v>
      </c>
    </row>
    <row r="241" spans="1:4" ht="120.75" customHeight="1" x14ac:dyDescent="0.25">
      <c r="A241" s="21">
        <f>INSCRITOS!O204</f>
        <v>0</v>
      </c>
      <c r="B241" s="13" t="b">
        <f t="shared" si="12"/>
        <v>0</v>
      </c>
      <c r="C241" s="21">
        <f>INSCRITOS!B204</f>
        <v>0</v>
      </c>
      <c r="D241" t="str">
        <f t="shared" si="13"/>
        <v>FALSO0/</v>
      </c>
    </row>
    <row r="242" spans="1:4" ht="120.75" customHeight="1" x14ac:dyDescent="0.25">
      <c r="A242" s="21">
        <f>INSCRITOS!O205</f>
        <v>0</v>
      </c>
      <c r="B242" s="13" t="b">
        <f t="shared" si="12"/>
        <v>0</v>
      </c>
      <c r="C242" s="21">
        <f>INSCRITOS!B205</f>
        <v>0</v>
      </c>
      <c r="D242" t="str">
        <f t="shared" si="13"/>
        <v>FALSO0/</v>
      </c>
    </row>
    <row r="243" spans="1:4" ht="120.75" customHeight="1" x14ac:dyDescent="0.25">
      <c r="A243" s="21">
        <f>INSCRITOS!O206</f>
        <v>0</v>
      </c>
      <c r="B243" s="13" t="b">
        <f t="shared" si="12"/>
        <v>0</v>
      </c>
      <c r="C243" s="21">
        <f>INSCRITOS!B206</f>
        <v>0</v>
      </c>
      <c r="D243" t="str">
        <f t="shared" si="13"/>
        <v>FALSO0/</v>
      </c>
    </row>
    <row r="244" spans="1:4" ht="120.75" customHeight="1" x14ac:dyDescent="0.25">
      <c r="A244" s="21">
        <f>INSCRITOS!O207</f>
        <v>0</v>
      </c>
      <c r="B244" s="13" t="b">
        <f t="shared" si="12"/>
        <v>0</v>
      </c>
      <c r="C244" s="21">
        <f>INSCRITOS!B207</f>
        <v>0</v>
      </c>
      <c r="D244" t="str">
        <f t="shared" si="13"/>
        <v>FALSO0/</v>
      </c>
    </row>
    <row r="245" spans="1:4" ht="120.75" customHeight="1" x14ac:dyDescent="0.25">
      <c r="A245" s="21">
        <f>INSCRITOS!O208</f>
        <v>0</v>
      </c>
      <c r="B245" s="13" t="b">
        <f t="shared" si="12"/>
        <v>0</v>
      </c>
      <c r="C245" s="21">
        <f>INSCRITOS!B208</f>
        <v>0</v>
      </c>
      <c r="D245" t="str">
        <f t="shared" si="13"/>
        <v>FALSO0/</v>
      </c>
    </row>
    <row r="246" spans="1:4" ht="120.75" customHeight="1" x14ac:dyDescent="0.25">
      <c r="A246" s="21">
        <f>INSCRITOS!O209</f>
        <v>0</v>
      </c>
      <c r="B246" s="13" t="b">
        <f t="shared" si="12"/>
        <v>0</v>
      </c>
      <c r="C246" s="21">
        <f>INSCRITOS!B209</f>
        <v>0</v>
      </c>
      <c r="D246" t="str">
        <f t="shared" si="13"/>
        <v>FALSO0/</v>
      </c>
    </row>
    <row r="247" spans="1:4" ht="120.75" customHeight="1" x14ac:dyDescent="0.25">
      <c r="A247" s="21">
        <f>INSCRITOS!O210</f>
        <v>0</v>
      </c>
      <c r="B247" s="13" t="b">
        <f t="shared" si="12"/>
        <v>0</v>
      </c>
      <c r="C247" s="21">
        <f>INSCRITOS!B210</f>
        <v>0</v>
      </c>
      <c r="D247" t="str">
        <f t="shared" si="13"/>
        <v>FALSO0/</v>
      </c>
    </row>
    <row r="248" spans="1:4" ht="120.75" customHeight="1" x14ac:dyDescent="0.25">
      <c r="A248" s="21">
        <f>INSCRITOS!O211</f>
        <v>0</v>
      </c>
      <c r="B248" s="13" t="b">
        <f t="shared" si="12"/>
        <v>0</v>
      </c>
      <c r="C248" s="21">
        <f>INSCRITOS!B211</f>
        <v>0</v>
      </c>
      <c r="D248" t="str">
        <f t="shared" si="13"/>
        <v>FALSO0/</v>
      </c>
    </row>
    <row r="249" spans="1:4" ht="120.75" customHeight="1" x14ac:dyDescent="0.25">
      <c r="A249" s="21">
        <f>INSCRITOS!O212</f>
        <v>0</v>
      </c>
      <c r="B249" s="13" t="b">
        <f t="shared" si="12"/>
        <v>0</v>
      </c>
      <c r="C249" s="21">
        <f>INSCRITOS!B212</f>
        <v>0</v>
      </c>
      <c r="D249" t="str">
        <f t="shared" si="13"/>
        <v>FALSO0/</v>
      </c>
    </row>
    <row r="250" spans="1:4" ht="120.75" customHeight="1" x14ac:dyDescent="0.25">
      <c r="A250" s="21">
        <f>INSCRITOS!O213</f>
        <v>0</v>
      </c>
      <c r="B250" s="13" t="b">
        <f t="shared" si="12"/>
        <v>0</v>
      </c>
      <c r="C250" s="21">
        <f>INSCRITOS!B213</f>
        <v>0</v>
      </c>
      <c r="D250" t="str">
        <f t="shared" si="13"/>
        <v>FALSO0/</v>
      </c>
    </row>
    <row r="251" spans="1:4" ht="120.75" customHeight="1" x14ac:dyDescent="0.25">
      <c r="A251" s="21">
        <f>INSCRITOS!O214</f>
        <v>0</v>
      </c>
      <c r="B251" s="13" t="b">
        <f t="shared" ref="B251:B314" si="16">IF(A251=$H$19,"https://centrodecapacitaciondelsur.com/o-v-e-",IF(A251=$H$2,"https://centrodecapacitaciondelsur.com/aph-",IF(A251=$H$3,"https://centrodecapacitaciondelsur.com/manejo-del-duelo-",IF(A251=$H$4,"https://centrodecapacitaciondelsur.com/victimas-por-agentes-quimicos-",IF(A251=$H$5,"https://centrodecapacitaciondelsur.com/primeros-auxilios-",IF(A251=$H$6,"https://centrodecapacitaciondelsur.com/uci-",IF(A251=$H$8,"https://centrodecapacitaciondelsur.com/humanizacion-",IF(A251=$H$11,"https://centrodecapacitaciondelsur.com/soporte-cardiovascular-avanzado-",IF(A251=$H$12,"https://centrodecapacitaciondelsur.com/camillero-",IF(A251=$H$13,"https://centrodecapacitaciondelsur.com/toma-de-muestras-y-lab-clinico-",IF(A251=$H$14,"https://centrodecapacitaciondelsur.com/soporte-basico-de-vida-",IF(A251=$H$15,"https://centrodecapacitaciondelsur.com/violencia-sexual-",IF(A251=$H$17,"https://centrodecapacitaciondelsur.com/aiepi-",IF(A251=$H$18,"https://centrodecapacitaciondelsur.com/adm-medicamentos-canalizacion-inyectologia-",IF(A251=$H$25,"https://centrodecapacitaciondelsur.com/manejo-del-dolor-y-cuidados-paliativos-",IF(A251=$H$26,"https://centrodecapacitaciondelsur.com/toma-de-muestras-y-lab-clinico-poct-",IF(A251=$H$27,"https://centrodecapacitaciondelsur.com/implante-subdermico-",IF(A251=$H$21,"https://centrodecapacitaciondelsur.com/donante-de-organos-",IF(A251=$H$30,"https://centrodecapacitaciondelsur.com/atencion-a-victimas-del-conflicto-armado-",IF(A251=$H$20,"https://centrodecapacitaciondelsur.com/iami-",IF(A251=$H$22,"https://centrodecapacitaciondelsur.com/violencia-de-genero-",IF(A251=$H$23,"https://centrodecapacitaciondelsur.com/igualdad-de-genero-",IF(A251=$H$16,"https://centrodecapacitaciondelsur.com/pai-",IF(A251=$H$31,"https://centrodecapacitaciondelsur.com/manipulacion-de-alimentos-",IF(A251=$H$32,"https://centrodecapacitaciondelsur.com/atencion-a-personas-con-discapacidad-",IF(A251=$H$33,"https://centrodecapacitaciondelsur.com/atencion-al-adulto-mayor-",IF(A251=$H$34,"https://centrodecapacitaciondelsur.com/manejo-defensivo-",IF(A251=$H$35,"https://centrodecapacitaciondelsur.com/soporte-basico-neonatal-",IF(A251=$H$36,"https://centrodecapacitaciondelsur.com/seguridad-del-paciente-",IF(A251=$H$10,"https://centrodecapacitaciondelsur.com/toma-de-citologia-"))))))))))))))))))))))))))))))</f>
        <v>0</v>
      </c>
      <c r="C251" s="21">
        <f>INSCRITOS!B214</f>
        <v>0</v>
      </c>
      <c r="D251" t="str">
        <f t="shared" ref="D251:D314" si="17">CONCATENATE(B251,C251,"/")</f>
        <v>FALSO0/</v>
      </c>
    </row>
    <row r="252" spans="1:4" ht="120.75" customHeight="1" x14ac:dyDescent="0.25">
      <c r="A252" s="21">
        <f>INSCRITOS!O215</f>
        <v>0</v>
      </c>
      <c r="B252" s="13" t="b">
        <f t="shared" si="16"/>
        <v>0</v>
      </c>
      <c r="C252" s="21">
        <f>INSCRITOS!B215</f>
        <v>0</v>
      </c>
      <c r="D252" t="str">
        <f t="shared" si="17"/>
        <v>FALSO0/</v>
      </c>
    </row>
    <row r="253" spans="1:4" ht="120.75" customHeight="1" x14ac:dyDescent="0.25">
      <c r="A253" s="21">
        <f>INSCRITOS!O216</f>
        <v>0</v>
      </c>
      <c r="B253" s="13" t="b">
        <f t="shared" si="16"/>
        <v>0</v>
      </c>
      <c r="C253" s="21">
        <f>INSCRITOS!B216</f>
        <v>0</v>
      </c>
      <c r="D253" t="str">
        <f t="shared" si="17"/>
        <v>FALSO0/</v>
      </c>
    </row>
    <row r="254" spans="1:4" ht="120.75" customHeight="1" x14ac:dyDescent="0.25">
      <c r="A254" s="21">
        <f>INSCRITOS!O217</f>
        <v>0</v>
      </c>
      <c r="B254" s="13" t="b">
        <f t="shared" si="16"/>
        <v>0</v>
      </c>
      <c r="C254" s="21">
        <f>INSCRITOS!B217</f>
        <v>0</v>
      </c>
      <c r="D254" t="str">
        <f t="shared" si="17"/>
        <v>FALSO0/</v>
      </c>
    </row>
    <row r="255" spans="1:4" ht="120.75" customHeight="1" x14ac:dyDescent="0.25">
      <c r="A255" s="21">
        <f>INSCRITOS!O218</f>
        <v>0</v>
      </c>
      <c r="B255" s="13" t="b">
        <f t="shared" si="16"/>
        <v>0</v>
      </c>
      <c r="C255" s="21">
        <f>INSCRITOS!B218</f>
        <v>0</v>
      </c>
      <c r="D255" t="str">
        <f t="shared" si="17"/>
        <v>FALSO0/</v>
      </c>
    </row>
    <row r="256" spans="1:4" ht="120.75" customHeight="1" x14ac:dyDescent="0.25">
      <c r="A256" s="21">
        <f>INSCRITOS!O219</f>
        <v>0</v>
      </c>
      <c r="B256" s="13" t="b">
        <f t="shared" si="16"/>
        <v>0</v>
      </c>
      <c r="C256" s="21">
        <f>INSCRITOS!B219</f>
        <v>0</v>
      </c>
      <c r="D256" t="str">
        <f t="shared" si="17"/>
        <v>FALSO0/</v>
      </c>
    </row>
    <row r="257" spans="1:4" ht="120.75" customHeight="1" x14ac:dyDescent="0.25">
      <c r="A257" s="21">
        <f>INSCRITOS!O220</f>
        <v>0</v>
      </c>
      <c r="B257" s="13" t="b">
        <f t="shared" si="16"/>
        <v>0</v>
      </c>
      <c r="C257" s="21">
        <f>INSCRITOS!B220</f>
        <v>0</v>
      </c>
      <c r="D257" t="str">
        <f t="shared" si="17"/>
        <v>FALSO0/</v>
      </c>
    </row>
    <row r="258" spans="1:4" ht="120.75" customHeight="1" x14ac:dyDescent="0.25">
      <c r="A258" s="21">
        <f>INSCRITOS!O221</f>
        <v>0</v>
      </c>
      <c r="B258" s="13" t="b">
        <f t="shared" si="16"/>
        <v>0</v>
      </c>
      <c r="C258" s="21">
        <f>INSCRITOS!B221</f>
        <v>0</v>
      </c>
      <c r="D258" t="str">
        <f t="shared" si="17"/>
        <v>FALSO0/</v>
      </c>
    </row>
    <row r="259" spans="1:4" ht="120.75" customHeight="1" x14ac:dyDescent="0.25">
      <c r="A259" s="21">
        <f>INSCRITOS!O222</f>
        <v>0</v>
      </c>
      <c r="B259" s="13" t="b">
        <f t="shared" si="16"/>
        <v>0</v>
      </c>
      <c r="C259" s="21">
        <f>INSCRITOS!B222</f>
        <v>0</v>
      </c>
      <c r="D259" t="str">
        <f t="shared" si="17"/>
        <v>FALSO0/</v>
      </c>
    </row>
    <row r="260" spans="1:4" ht="120.75" customHeight="1" x14ac:dyDescent="0.25">
      <c r="A260" s="21">
        <f>INSCRITOS!O223</f>
        <v>0</v>
      </c>
      <c r="B260" s="13" t="b">
        <f t="shared" si="16"/>
        <v>0</v>
      </c>
      <c r="C260" s="21">
        <f>INSCRITOS!B223</f>
        <v>0</v>
      </c>
      <c r="D260" t="str">
        <f t="shared" si="17"/>
        <v>FALSO0/</v>
      </c>
    </row>
    <row r="261" spans="1:4" ht="120.75" customHeight="1" x14ac:dyDescent="0.25">
      <c r="A261" s="21">
        <f>INSCRITOS!O224</f>
        <v>0</v>
      </c>
      <c r="B261" s="13" t="b">
        <f t="shared" si="16"/>
        <v>0</v>
      </c>
      <c r="C261" s="21">
        <f>INSCRITOS!B224</f>
        <v>0</v>
      </c>
      <c r="D261" t="str">
        <f t="shared" si="17"/>
        <v>FALSO0/</v>
      </c>
    </row>
    <row r="262" spans="1:4" ht="120.75" customHeight="1" x14ac:dyDescent="0.25">
      <c r="A262" s="21">
        <f>INSCRITOS!O225</f>
        <v>0</v>
      </c>
      <c r="B262" s="13" t="b">
        <f t="shared" si="16"/>
        <v>0</v>
      </c>
      <c r="C262" s="21">
        <f>INSCRITOS!B225</f>
        <v>0</v>
      </c>
      <c r="D262" t="str">
        <f t="shared" si="17"/>
        <v>FALSO0/</v>
      </c>
    </row>
    <row r="263" spans="1:4" ht="120.75" customHeight="1" x14ac:dyDescent="0.25">
      <c r="A263" s="21">
        <f>INSCRITOS!O226</f>
        <v>0</v>
      </c>
      <c r="B263" s="13" t="b">
        <f t="shared" si="16"/>
        <v>0</v>
      </c>
      <c r="C263" s="21">
        <f>INSCRITOS!B226</f>
        <v>0</v>
      </c>
      <c r="D263" t="str">
        <f t="shared" si="17"/>
        <v>FALSO0/</v>
      </c>
    </row>
    <row r="264" spans="1:4" ht="120.75" customHeight="1" x14ac:dyDescent="0.25">
      <c r="A264" s="21">
        <f>INSCRITOS!O227</f>
        <v>0</v>
      </c>
      <c r="B264" s="13" t="b">
        <f t="shared" si="16"/>
        <v>0</v>
      </c>
      <c r="C264" s="21">
        <f>INSCRITOS!B227</f>
        <v>0</v>
      </c>
      <c r="D264" t="str">
        <f t="shared" si="17"/>
        <v>FALSO0/</v>
      </c>
    </row>
    <row r="265" spans="1:4" ht="120.75" customHeight="1" x14ac:dyDescent="0.25">
      <c r="A265" s="21">
        <f>INSCRITOS!O228</f>
        <v>0</v>
      </c>
      <c r="B265" s="13" t="b">
        <f t="shared" si="16"/>
        <v>0</v>
      </c>
      <c r="C265" s="21">
        <f>INSCRITOS!B228</f>
        <v>0</v>
      </c>
      <c r="D265" t="str">
        <f t="shared" si="17"/>
        <v>FALSO0/</v>
      </c>
    </row>
    <row r="266" spans="1:4" ht="120.75" customHeight="1" x14ac:dyDescent="0.25">
      <c r="A266" s="21">
        <f>INSCRITOS!O229</f>
        <v>0</v>
      </c>
      <c r="B266" s="13" t="b">
        <f t="shared" si="16"/>
        <v>0</v>
      </c>
      <c r="C266" s="21">
        <f>INSCRITOS!B229</f>
        <v>0</v>
      </c>
      <c r="D266" t="str">
        <f t="shared" si="17"/>
        <v>FALSO0/</v>
      </c>
    </row>
    <row r="267" spans="1:4" ht="120.75" customHeight="1" x14ac:dyDescent="0.25">
      <c r="A267" s="21">
        <f>INSCRITOS!O230</f>
        <v>0</v>
      </c>
      <c r="B267" s="13" t="b">
        <f t="shared" si="16"/>
        <v>0</v>
      </c>
      <c r="C267" s="21">
        <f>INSCRITOS!B230</f>
        <v>0</v>
      </c>
      <c r="D267" t="str">
        <f t="shared" si="17"/>
        <v>FALSO0/</v>
      </c>
    </row>
    <row r="268" spans="1:4" ht="120.75" customHeight="1" x14ac:dyDescent="0.25">
      <c r="A268" s="21">
        <f>INSCRITOS!O231</f>
        <v>0</v>
      </c>
      <c r="B268" s="13" t="b">
        <f t="shared" si="16"/>
        <v>0</v>
      </c>
      <c r="C268" s="21">
        <f>INSCRITOS!B231</f>
        <v>0</v>
      </c>
      <c r="D268" t="str">
        <f t="shared" si="17"/>
        <v>FALSO0/</v>
      </c>
    </row>
    <row r="269" spans="1:4" ht="120.75" customHeight="1" x14ac:dyDescent="0.25">
      <c r="A269" s="21">
        <f>INSCRITOS!O232</f>
        <v>0</v>
      </c>
      <c r="B269" s="13" t="b">
        <f t="shared" si="16"/>
        <v>0</v>
      </c>
      <c r="C269" s="21">
        <f>INSCRITOS!B232</f>
        <v>0</v>
      </c>
      <c r="D269" t="str">
        <f t="shared" si="17"/>
        <v>FALSO0/</v>
      </c>
    </row>
    <row r="270" spans="1:4" ht="120.75" customHeight="1" x14ac:dyDescent="0.25">
      <c r="A270" s="21">
        <f>INSCRITOS!O233</f>
        <v>0</v>
      </c>
      <c r="B270" s="13" t="b">
        <f t="shared" si="16"/>
        <v>0</v>
      </c>
      <c r="C270" s="21">
        <f>INSCRITOS!B233</f>
        <v>0</v>
      </c>
      <c r="D270" t="str">
        <f t="shared" si="17"/>
        <v>FALSO0/</v>
      </c>
    </row>
    <row r="271" spans="1:4" ht="120.75" customHeight="1" x14ac:dyDescent="0.25">
      <c r="A271" s="21">
        <f>INSCRITOS!O234</f>
        <v>0</v>
      </c>
      <c r="B271" s="13" t="b">
        <f t="shared" si="16"/>
        <v>0</v>
      </c>
      <c r="C271" s="21">
        <f>INSCRITOS!B234</f>
        <v>0</v>
      </c>
      <c r="D271" t="str">
        <f t="shared" si="17"/>
        <v>FALSO0/</v>
      </c>
    </row>
    <row r="272" spans="1:4" ht="120.75" customHeight="1" x14ac:dyDescent="0.25">
      <c r="A272" s="21">
        <f>INSCRITOS!O235</f>
        <v>0</v>
      </c>
      <c r="B272" s="13" t="b">
        <f t="shared" si="16"/>
        <v>0</v>
      </c>
      <c r="C272" s="21">
        <f>INSCRITOS!B235</f>
        <v>0</v>
      </c>
      <c r="D272" t="str">
        <f t="shared" si="17"/>
        <v>FALSO0/</v>
      </c>
    </row>
    <row r="273" spans="1:4" ht="120.75" customHeight="1" x14ac:dyDescent="0.25">
      <c r="A273" s="21">
        <f>INSCRITOS!O236</f>
        <v>0</v>
      </c>
      <c r="B273" s="13" t="b">
        <f t="shared" si="16"/>
        <v>0</v>
      </c>
      <c r="C273" s="21">
        <f>INSCRITOS!B236</f>
        <v>0</v>
      </c>
      <c r="D273" t="str">
        <f t="shared" si="17"/>
        <v>FALSO0/</v>
      </c>
    </row>
    <row r="274" spans="1:4" ht="120.75" customHeight="1" x14ac:dyDescent="0.25">
      <c r="A274" s="21">
        <f>INSCRITOS!O237</f>
        <v>0</v>
      </c>
      <c r="B274" s="13" t="b">
        <f t="shared" si="16"/>
        <v>0</v>
      </c>
      <c r="C274" s="21">
        <f>INSCRITOS!B237</f>
        <v>0</v>
      </c>
      <c r="D274" t="str">
        <f t="shared" si="17"/>
        <v>FALSO0/</v>
      </c>
    </row>
    <row r="275" spans="1:4" ht="120.75" customHeight="1" x14ac:dyDescent="0.25">
      <c r="A275" s="21">
        <f>INSCRITOS!O238</f>
        <v>0</v>
      </c>
      <c r="B275" s="13" t="b">
        <f t="shared" si="16"/>
        <v>0</v>
      </c>
      <c r="C275" s="21">
        <f>INSCRITOS!B238</f>
        <v>0</v>
      </c>
      <c r="D275" t="str">
        <f t="shared" si="17"/>
        <v>FALSO0/</v>
      </c>
    </row>
    <row r="276" spans="1:4" ht="120.75" customHeight="1" x14ac:dyDescent="0.25">
      <c r="A276" s="21">
        <f>INSCRITOS!O239</f>
        <v>0</v>
      </c>
      <c r="B276" s="13" t="b">
        <f t="shared" si="16"/>
        <v>0</v>
      </c>
      <c r="C276" s="21">
        <f>INSCRITOS!B239</f>
        <v>0</v>
      </c>
      <c r="D276" t="str">
        <f t="shared" si="17"/>
        <v>FALSO0/</v>
      </c>
    </row>
    <row r="277" spans="1:4" ht="120.75" customHeight="1" x14ac:dyDescent="0.25">
      <c r="A277" s="21">
        <f>INSCRITOS!O240</f>
        <v>0</v>
      </c>
      <c r="B277" s="13" t="b">
        <f t="shared" si="16"/>
        <v>0</v>
      </c>
      <c r="C277" s="21">
        <f>INSCRITOS!B240</f>
        <v>0</v>
      </c>
      <c r="D277" t="str">
        <f t="shared" si="17"/>
        <v>FALSO0/</v>
      </c>
    </row>
    <row r="278" spans="1:4" ht="120.75" customHeight="1" x14ac:dyDescent="0.25">
      <c r="A278" s="21">
        <f>INSCRITOS!O241</f>
        <v>0</v>
      </c>
      <c r="B278" s="13" t="b">
        <f t="shared" si="16"/>
        <v>0</v>
      </c>
      <c r="C278" s="21">
        <f>INSCRITOS!B241</f>
        <v>0</v>
      </c>
      <c r="D278" t="str">
        <f t="shared" si="17"/>
        <v>FALSO0/</v>
      </c>
    </row>
    <row r="279" spans="1:4" ht="120.75" customHeight="1" x14ac:dyDescent="0.25">
      <c r="A279" s="21">
        <f>INSCRITOS!O242</f>
        <v>0</v>
      </c>
      <c r="B279" s="13" t="b">
        <f t="shared" si="16"/>
        <v>0</v>
      </c>
      <c r="C279" s="21">
        <f>INSCRITOS!B242</f>
        <v>0</v>
      </c>
      <c r="D279" t="str">
        <f t="shared" si="17"/>
        <v>FALSO0/</v>
      </c>
    </row>
    <row r="280" spans="1:4" ht="120.75" customHeight="1" x14ac:dyDescent="0.25">
      <c r="A280" s="21">
        <f>INSCRITOS!O243</f>
        <v>0</v>
      </c>
      <c r="B280" s="13" t="b">
        <f t="shared" si="16"/>
        <v>0</v>
      </c>
      <c r="C280" s="21">
        <f>INSCRITOS!B243</f>
        <v>0</v>
      </c>
      <c r="D280" t="str">
        <f t="shared" si="17"/>
        <v>FALSO0/</v>
      </c>
    </row>
    <row r="281" spans="1:4" ht="120.75" customHeight="1" x14ac:dyDescent="0.25">
      <c r="A281" s="21">
        <f>INSCRITOS!O244</f>
        <v>0</v>
      </c>
      <c r="B281" s="13" t="b">
        <f t="shared" si="16"/>
        <v>0</v>
      </c>
      <c r="C281" s="21">
        <f>INSCRITOS!B244</f>
        <v>0</v>
      </c>
      <c r="D281" t="str">
        <f t="shared" si="17"/>
        <v>FALSO0/</v>
      </c>
    </row>
    <row r="282" spans="1:4" ht="120.75" customHeight="1" x14ac:dyDescent="0.25">
      <c r="A282" s="21">
        <f>INSCRITOS!O245</f>
        <v>0</v>
      </c>
      <c r="B282" s="13" t="b">
        <f t="shared" si="16"/>
        <v>0</v>
      </c>
      <c r="C282" s="21">
        <f>INSCRITOS!B245</f>
        <v>0</v>
      </c>
      <c r="D282" t="str">
        <f t="shared" si="17"/>
        <v>FALSO0/</v>
      </c>
    </row>
    <row r="283" spans="1:4" ht="120.75" customHeight="1" x14ac:dyDescent="0.25">
      <c r="A283" s="21">
        <f>INSCRITOS!O246</f>
        <v>0</v>
      </c>
      <c r="B283" s="13" t="b">
        <f t="shared" si="16"/>
        <v>0</v>
      </c>
      <c r="C283" s="21">
        <f>INSCRITOS!B246</f>
        <v>0</v>
      </c>
      <c r="D283" t="str">
        <f t="shared" si="17"/>
        <v>FALSO0/</v>
      </c>
    </row>
    <row r="284" spans="1:4" ht="120.75" customHeight="1" x14ac:dyDescent="0.25">
      <c r="A284" s="21">
        <f>INSCRITOS!O247</f>
        <v>0</v>
      </c>
      <c r="B284" s="13" t="b">
        <f t="shared" si="16"/>
        <v>0</v>
      </c>
      <c r="C284" s="21">
        <f>INSCRITOS!B247</f>
        <v>0</v>
      </c>
      <c r="D284" t="str">
        <f t="shared" si="17"/>
        <v>FALSO0/</v>
      </c>
    </row>
    <row r="285" spans="1:4" ht="120.75" customHeight="1" x14ac:dyDescent="0.25">
      <c r="A285" s="21">
        <f>INSCRITOS!O248</f>
        <v>0</v>
      </c>
      <c r="B285" s="13" t="b">
        <f t="shared" si="16"/>
        <v>0</v>
      </c>
      <c r="C285" s="21">
        <f>INSCRITOS!B248</f>
        <v>0</v>
      </c>
      <c r="D285" t="str">
        <f t="shared" si="17"/>
        <v>FALSO0/</v>
      </c>
    </row>
    <row r="286" spans="1:4" ht="120.75" customHeight="1" x14ac:dyDescent="0.25">
      <c r="A286" s="21">
        <f>INSCRITOS!O249</f>
        <v>0</v>
      </c>
      <c r="B286" s="13" t="b">
        <f t="shared" si="16"/>
        <v>0</v>
      </c>
      <c r="C286" s="21">
        <f>INSCRITOS!B249</f>
        <v>0</v>
      </c>
      <c r="D286" t="str">
        <f t="shared" si="17"/>
        <v>FALSO0/</v>
      </c>
    </row>
    <row r="287" spans="1:4" ht="120.75" customHeight="1" x14ac:dyDescent="0.25">
      <c r="A287" s="21">
        <f>INSCRITOS!O250</f>
        <v>0</v>
      </c>
      <c r="B287" s="13" t="b">
        <f t="shared" si="16"/>
        <v>0</v>
      </c>
      <c r="C287" s="21">
        <f>INSCRITOS!B250</f>
        <v>0</v>
      </c>
      <c r="D287" t="str">
        <f t="shared" si="17"/>
        <v>FALSO0/</v>
      </c>
    </row>
    <row r="288" spans="1:4" ht="120.75" customHeight="1" x14ac:dyDescent="0.25">
      <c r="A288" s="21">
        <f>INSCRITOS!O251</f>
        <v>0</v>
      </c>
      <c r="B288" s="13" t="b">
        <f t="shared" si="16"/>
        <v>0</v>
      </c>
      <c r="C288" s="21">
        <f>INSCRITOS!B251</f>
        <v>0</v>
      </c>
      <c r="D288" t="str">
        <f t="shared" si="17"/>
        <v>FALSO0/</v>
      </c>
    </row>
    <row r="289" spans="1:4" ht="120.75" customHeight="1" x14ac:dyDescent="0.25">
      <c r="A289" s="21">
        <f>INSCRITOS!O252</f>
        <v>0</v>
      </c>
      <c r="B289" s="13" t="b">
        <f t="shared" si="16"/>
        <v>0</v>
      </c>
      <c r="C289" s="21">
        <f>INSCRITOS!B252</f>
        <v>0</v>
      </c>
      <c r="D289" t="str">
        <f t="shared" si="17"/>
        <v>FALSO0/</v>
      </c>
    </row>
    <row r="290" spans="1:4" ht="120.75" customHeight="1" x14ac:dyDescent="0.25">
      <c r="A290" s="21">
        <f>INSCRITOS!O253</f>
        <v>0</v>
      </c>
      <c r="B290" s="13" t="b">
        <f t="shared" si="16"/>
        <v>0</v>
      </c>
      <c r="C290" s="21">
        <f>INSCRITOS!B253</f>
        <v>0</v>
      </c>
      <c r="D290" t="str">
        <f t="shared" si="17"/>
        <v>FALSO0/</v>
      </c>
    </row>
    <row r="291" spans="1:4" ht="120.75" customHeight="1" x14ac:dyDescent="0.25">
      <c r="A291" s="21">
        <f>INSCRITOS!O254</f>
        <v>0</v>
      </c>
      <c r="B291" s="13" t="b">
        <f t="shared" si="16"/>
        <v>0</v>
      </c>
      <c r="C291" s="21">
        <f>INSCRITOS!B254</f>
        <v>0</v>
      </c>
      <c r="D291" t="str">
        <f t="shared" si="17"/>
        <v>FALSO0/</v>
      </c>
    </row>
    <row r="292" spans="1:4" ht="120.75" customHeight="1" x14ac:dyDescent="0.25">
      <c r="A292" s="21">
        <f>INSCRITOS!O255</f>
        <v>0</v>
      </c>
      <c r="B292" s="13" t="b">
        <f t="shared" si="16"/>
        <v>0</v>
      </c>
      <c r="C292" s="21">
        <f>INSCRITOS!B255</f>
        <v>0</v>
      </c>
      <c r="D292" t="str">
        <f t="shared" si="17"/>
        <v>FALSO0/</v>
      </c>
    </row>
    <row r="293" spans="1:4" ht="120.75" customHeight="1" x14ac:dyDescent="0.25">
      <c r="A293" s="21">
        <f>INSCRITOS!O256</f>
        <v>0</v>
      </c>
      <c r="B293" s="13" t="b">
        <f t="shared" si="16"/>
        <v>0</v>
      </c>
      <c r="C293" s="21">
        <f>INSCRITOS!B256</f>
        <v>0</v>
      </c>
      <c r="D293" t="str">
        <f t="shared" si="17"/>
        <v>FALSO0/</v>
      </c>
    </row>
    <row r="294" spans="1:4" ht="120.75" customHeight="1" x14ac:dyDescent="0.25">
      <c r="A294" s="21">
        <f>INSCRITOS!O257</f>
        <v>0</v>
      </c>
      <c r="B294" s="13" t="b">
        <f t="shared" si="16"/>
        <v>0</v>
      </c>
      <c r="C294" s="21">
        <f>INSCRITOS!B257</f>
        <v>0</v>
      </c>
      <c r="D294" t="str">
        <f t="shared" si="17"/>
        <v>FALSO0/</v>
      </c>
    </row>
    <row r="295" spans="1:4" ht="120.75" customHeight="1" x14ac:dyDescent="0.25">
      <c r="A295" s="21">
        <f>INSCRITOS!O258</f>
        <v>0</v>
      </c>
      <c r="B295" s="13" t="b">
        <f t="shared" si="16"/>
        <v>0</v>
      </c>
      <c r="C295" s="21">
        <f>INSCRITOS!B258</f>
        <v>0</v>
      </c>
      <c r="D295" t="str">
        <f t="shared" si="17"/>
        <v>FALSO0/</v>
      </c>
    </row>
    <row r="296" spans="1:4" ht="120.75" customHeight="1" x14ac:dyDescent="0.25">
      <c r="A296" s="21">
        <f>INSCRITOS!O259</f>
        <v>0</v>
      </c>
      <c r="B296" s="13" t="b">
        <f t="shared" si="16"/>
        <v>0</v>
      </c>
      <c r="C296" s="21">
        <f>INSCRITOS!B259</f>
        <v>0</v>
      </c>
      <c r="D296" t="str">
        <f t="shared" si="17"/>
        <v>FALSO0/</v>
      </c>
    </row>
    <row r="297" spans="1:4" ht="120.75" customHeight="1" x14ac:dyDescent="0.25">
      <c r="A297" s="21">
        <f>INSCRITOS!O260</f>
        <v>0</v>
      </c>
      <c r="B297" s="13" t="b">
        <f t="shared" si="16"/>
        <v>0</v>
      </c>
      <c r="C297" s="21">
        <f>INSCRITOS!B260</f>
        <v>0</v>
      </c>
      <c r="D297" t="str">
        <f t="shared" si="17"/>
        <v>FALSO0/</v>
      </c>
    </row>
    <row r="298" spans="1:4" ht="120.75" customHeight="1" x14ac:dyDescent="0.25">
      <c r="A298" s="21">
        <f>INSCRITOS!O261</f>
        <v>0</v>
      </c>
      <c r="B298" s="13" t="b">
        <f t="shared" si="16"/>
        <v>0</v>
      </c>
      <c r="C298" s="21">
        <f>INSCRITOS!B261</f>
        <v>0</v>
      </c>
      <c r="D298" t="str">
        <f t="shared" si="17"/>
        <v>FALSO0/</v>
      </c>
    </row>
    <row r="299" spans="1:4" ht="120.75" customHeight="1" x14ac:dyDescent="0.25">
      <c r="A299" s="21">
        <f>INSCRITOS!O262</f>
        <v>0</v>
      </c>
      <c r="B299" s="13" t="b">
        <f t="shared" si="16"/>
        <v>0</v>
      </c>
      <c r="C299" s="21">
        <f>INSCRITOS!B262</f>
        <v>0</v>
      </c>
      <c r="D299" t="str">
        <f t="shared" si="17"/>
        <v>FALSO0/</v>
      </c>
    </row>
    <row r="300" spans="1:4" ht="120.75" customHeight="1" x14ac:dyDescent="0.25">
      <c r="A300" s="21">
        <f>INSCRITOS!O263</f>
        <v>0</v>
      </c>
      <c r="B300" s="13" t="b">
        <f t="shared" si="16"/>
        <v>0</v>
      </c>
      <c r="C300" s="21">
        <f>INSCRITOS!B263</f>
        <v>0</v>
      </c>
      <c r="D300" t="str">
        <f t="shared" si="17"/>
        <v>FALSO0/</v>
      </c>
    </row>
    <row r="301" spans="1:4" ht="120.75" customHeight="1" x14ac:dyDescent="0.25">
      <c r="A301" s="21">
        <f>INSCRITOS!O264</f>
        <v>0</v>
      </c>
      <c r="B301" s="13" t="b">
        <f t="shared" si="16"/>
        <v>0</v>
      </c>
      <c r="C301" s="21">
        <f>INSCRITOS!B264</f>
        <v>0</v>
      </c>
      <c r="D301" t="str">
        <f t="shared" si="17"/>
        <v>FALSO0/</v>
      </c>
    </row>
    <row r="302" spans="1:4" ht="120.75" customHeight="1" x14ac:dyDescent="0.25">
      <c r="A302" s="21">
        <f>INSCRITOS!O265</f>
        <v>0</v>
      </c>
      <c r="B302" s="13" t="b">
        <f t="shared" si="16"/>
        <v>0</v>
      </c>
      <c r="C302" s="21">
        <f>INSCRITOS!B265</f>
        <v>0</v>
      </c>
      <c r="D302" t="str">
        <f t="shared" si="17"/>
        <v>FALSO0/</v>
      </c>
    </row>
    <row r="303" spans="1:4" ht="120.75" customHeight="1" x14ac:dyDescent="0.25">
      <c r="A303" s="21">
        <f>INSCRITOS!O266</f>
        <v>0</v>
      </c>
      <c r="B303" s="13" t="b">
        <f t="shared" si="16"/>
        <v>0</v>
      </c>
      <c r="C303" s="21">
        <f>INSCRITOS!B266</f>
        <v>0</v>
      </c>
      <c r="D303" t="str">
        <f t="shared" si="17"/>
        <v>FALSO0/</v>
      </c>
    </row>
    <row r="304" spans="1:4" ht="120.75" customHeight="1" x14ac:dyDescent="0.25">
      <c r="A304" s="21">
        <f>INSCRITOS!O267</f>
        <v>0</v>
      </c>
      <c r="B304" s="13" t="b">
        <f t="shared" si="16"/>
        <v>0</v>
      </c>
      <c r="C304" s="21">
        <f>INSCRITOS!B267</f>
        <v>0</v>
      </c>
      <c r="D304" t="str">
        <f t="shared" si="17"/>
        <v>FALSO0/</v>
      </c>
    </row>
    <row r="305" spans="1:4" ht="120.75" customHeight="1" x14ac:dyDescent="0.25">
      <c r="A305" s="21">
        <f>INSCRITOS!O268</f>
        <v>0</v>
      </c>
      <c r="B305" s="13" t="b">
        <f t="shared" si="16"/>
        <v>0</v>
      </c>
      <c r="C305" s="21">
        <f>INSCRITOS!B268</f>
        <v>0</v>
      </c>
      <c r="D305" t="str">
        <f t="shared" si="17"/>
        <v>FALSO0/</v>
      </c>
    </row>
    <row r="306" spans="1:4" ht="120.75" customHeight="1" x14ac:dyDescent="0.25">
      <c r="A306" s="21">
        <f>INSCRITOS!O269</f>
        <v>0</v>
      </c>
      <c r="B306" s="13" t="b">
        <f t="shared" si="16"/>
        <v>0</v>
      </c>
      <c r="C306" s="21">
        <f>INSCRITOS!B269</f>
        <v>0</v>
      </c>
      <c r="D306" t="str">
        <f t="shared" si="17"/>
        <v>FALSO0/</v>
      </c>
    </row>
    <row r="307" spans="1:4" ht="120.75" customHeight="1" x14ac:dyDescent="0.25">
      <c r="A307" s="21">
        <f>INSCRITOS!O270</f>
        <v>0</v>
      </c>
      <c r="B307" s="13" t="b">
        <f t="shared" si="16"/>
        <v>0</v>
      </c>
      <c r="C307" s="21">
        <f>INSCRITOS!B270</f>
        <v>0</v>
      </c>
      <c r="D307" t="str">
        <f t="shared" si="17"/>
        <v>FALSO0/</v>
      </c>
    </row>
    <row r="308" spans="1:4" ht="120.75" customHeight="1" x14ac:dyDescent="0.25">
      <c r="A308" s="21">
        <f>INSCRITOS!O271</f>
        <v>0</v>
      </c>
      <c r="B308" s="13" t="b">
        <f t="shared" si="16"/>
        <v>0</v>
      </c>
      <c r="C308" s="21">
        <f>INSCRITOS!B271</f>
        <v>0</v>
      </c>
      <c r="D308" t="str">
        <f t="shared" si="17"/>
        <v>FALSO0/</v>
      </c>
    </row>
    <row r="309" spans="1:4" ht="120.75" customHeight="1" x14ac:dyDescent="0.25">
      <c r="A309" s="21">
        <f>INSCRITOS!O272</f>
        <v>0</v>
      </c>
      <c r="B309" s="13" t="b">
        <f t="shared" si="16"/>
        <v>0</v>
      </c>
      <c r="C309" s="21">
        <f>INSCRITOS!B272</f>
        <v>0</v>
      </c>
      <c r="D309" t="str">
        <f t="shared" si="17"/>
        <v>FALSO0/</v>
      </c>
    </row>
    <row r="310" spans="1:4" ht="120.75" customHeight="1" x14ac:dyDescent="0.25">
      <c r="A310" s="21">
        <f>INSCRITOS!O273</f>
        <v>0</v>
      </c>
      <c r="B310" s="13" t="b">
        <f t="shared" si="16"/>
        <v>0</v>
      </c>
      <c r="C310" s="21">
        <f>INSCRITOS!B273</f>
        <v>0</v>
      </c>
      <c r="D310" t="str">
        <f t="shared" si="17"/>
        <v>FALSO0/</v>
      </c>
    </row>
    <row r="311" spans="1:4" ht="120.75" customHeight="1" x14ac:dyDescent="0.25">
      <c r="A311" s="21">
        <f>INSCRITOS!O274</f>
        <v>0</v>
      </c>
      <c r="B311" s="13" t="b">
        <f t="shared" si="16"/>
        <v>0</v>
      </c>
      <c r="C311" s="21">
        <f>INSCRITOS!B274</f>
        <v>0</v>
      </c>
      <c r="D311" t="str">
        <f t="shared" si="17"/>
        <v>FALSO0/</v>
      </c>
    </row>
    <row r="312" spans="1:4" ht="120.75" customHeight="1" x14ac:dyDescent="0.25">
      <c r="A312" s="21">
        <f>INSCRITOS!O275</f>
        <v>0</v>
      </c>
      <c r="B312" s="13" t="b">
        <f t="shared" si="16"/>
        <v>0</v>
      </c>
      <c r="C312" s="21">
        <f>INSCRITOS!B275</f>
        <v>0</v>
      </c>
      <c r="D312" t="str">
        <f t="shared" si="17"/>
        <v>FALSO0/</v>
      </c>
    </row>
    <row r="313" spans="1:4" ht="120.75" customHeight="1" x14ac:dyDescent="0.25">
      <c r="A313" s="21">
        <f>INSCRITOS!O276</f>
        <v>0</v>
      </c>
      <c r="B313" s="13" t="b">
        <f t="shared" si="16"/>
        <v>0</v>
      </c>
      <c r="C313" s="21">
        <f>INSCRITOS!B276</f>
        <v>0</v>
      </c>
      <c r="D313" t="str">
        <f t="shared" si="17"/>
        <v>FALSO0/</v>
      </c>
    </row>
    <row r="314" spans="1:4" ht="120.75" customHeight="1" x14ac:dyDescent="0.25">
      <c r="A314" s="21">
        <f>INSCRITOS!O277</f>
        <v>0</v>
      </c>
      <c r="B314" s="13" t="b">
        <f t="shared" si="16"/>
        <v>0</v>
      </c>
      <c r="C314" s="21">
        <f>INSCRITOS!B277</f>
        <v>0</v>
      </c>
      <c r="D314" t="str">
        <f t="shared" si="17"/>
        <v>FALSO0/</v>
      </c>
    </row>
    <row r="315" spans="1:4" ht="120.75" customHeight="1" x14ac:dyDescent="0.25">
      <c r="A315" s="21">
        <f>INSCRITOS!O278</f>
        <v>0</v>
      </c>
      <c r="B315" s="13" t="b">
        <f t="shared" ref="B315:B354" si="18">IF(A315=$H$19,"https://centrodecapacitaciondelsur.com/o-v-e-",IF(A315=$H$2,"https://centrodecapacitaciondelsur.com/aph-",IF(A315=$H$3,"https://centrodecapacitaciondelsur.com/manejo-del-duelo-",IF(A315=$H$4,"https://centrodecapacitaciondelsur.com/victimas-por-agentes-quimicos-",IF(A315=$H$5,"https://centrodecapacitaciondelsur.com/primeros-auxilios-",IF(A315=$H$6,"https://centrodecapacitaciondelsur.com/uci-",IF(A315=$H$8,"https://centrodecapacitaciondelsur.com/humanizacion-",IF(A315=$H$11,"https://centrodecapacitaciondelsur.com/soporte-cardiovascular-avanzado-",IF(A315=$H$12,"https://centrodecapacitaciondelsur.com/camillero-",IF(A315=$H$13,"https://centrodecapacitaciondelsur.com/toma-de-muestras-y-lab-clinico-",IF(A315=$H$14,"https://centrodecapacitaciondelsur.com/soporte-basico-de-vida-",IF(A315=$H$15,"https://centrodecapacitaciondelsur.com/violencia-sexual-",IF(A315=$H$17,"https://centrodecapacitaciondelsur.com/aiepi-",IF(A315=$H$18,"https://centrodecapacitaciondelsur.com/adm-medicamentos-canalizacion-inyectologia-",IF(A315=$H$25,"https://centrodecapacitaciondelsur.com/manejo-del-dolor-y-cuidados-paliativos-",IF(A315=$H$26,"https://centrodecapacitaciondelsur.com/toma-de-muestras-y-lab-clinico-poct-",IF(A315=$H$27,"https://centrodecapacitaciondelsur.com/implante-subdermico-",IF(A315=$H$21,"https://centrodecapacitaciondelsur.com/donante-de-organos-",IF(A315=$H$30,"https://centrodecapacitaciondelsur.com/atencion-a-victimas-del-conflicto-armado-",IF(A315=$H$20,"https://centrodecapacitaciondelsur.com/iami-",IF(A315=$H$22,"https://centrodecapacitaciondelsur.com/violencia-de-genero-",IF(A315=$H$23,"https://centrodecapacitaciondelsur.com/igualdad-de-genero-",IF(A315=$H$16,"https://centrodecapacitaciondelsur.com/pai-",IF(A315=$H$31,"https://centrodecapacitaciondelsur.com/manipulacion-de-alimentos-",IF(A315=$H$32,"https://centrodecapacitaciondelsur.com/atencion-a-personas-con-discapacidad-",IF(A315=$H$33,"https://centrodecapacitaciondelsur.com/atencion-al-adulto-mayor-",IF(A315=$H$34,"https://centrodecapacitaciondelsur.com/manejo-defensivo-",IF(A315=$H$35,"https://centrodecapacitaciondelsur.com/soporte-basico-neonatal-",IF(A315=$H$36,"https://centrodecapacitaciondelsur.com/seguridad-del-paciente-",IF(A315=$H$10,"https://centrodecapacitaciondelsur.com/toma-de-citologia-"))))))))))))))))))))))))))))))</f>
        <v>0</v>
      </c>
      <c r="C315" s="21">
        <f>INSCRITOS!B278</f>
        <v>0</v>
      </c>
      <c r="D315" t="str">
        <f t="shared" ref="D315:D354" si="19">CONCATENATE(B315,C315,"/")</f>
        <v>FALSO0/</v>
      </c>
    </row>
    <row r="316" spans="1:4" ht="120.75" customHeight="1" x14ac:dyDescent="0.25">
      <c r="A316" s="21">
        <f>INSCRITOS!O279</f>
        <v>0</v>
      </c>
      <c r="B316" s="13" t="b">
        <f t="shared" si="18"/>
        <v>0</v>
      </c>
      <c r="C316" s="21">
        <f>INSCRITOS!B279</f>
        <v>0</v>
      </c>
      <c r="D316" t="str">
        <f t="shared" si="19"/>
        <v>FALSO0/</v>
      </c>
    </row>
    <row r="317" spans="1:4" ht="120.75" customHeight="1" x14ac:dyDescent="0.25">
      <c r="A317" s="21">
        <f>INSCRITOS!O280</f>
        <v>0</v>
      </c>
      <c r="B317" s="13" t="b">
        <f t="shared" si="18"/>
        <v>0</v>
      </c>
      <c r="C317" s="21">
        <f>INSCRITOS!B280</f>
        <v>0</v>
      </c>
      <c r="D317" t="str">
        <f t="shared" si="19"/>
        <v>FALSO0/</v>
      </c>
    </row>
    <row r="318" spans="1:4" ht="120.75" customHeight="1" x14ac:dyDescent="0.25">
      <c r="A318" s="21">
        <f>INSCRITOS!O281</f>
        <v>0</v>
      </c>
      <c r="B318" s="13" t="b">
        <f t="shared" si="18"/>
        <v>0</v>
      </c>
      <c r="C318" s="21">
        <f>INSCRITOS!B281</f>
        <v>0</v>
      </c>
      <c r="D318" t="str">
        <f t="shared" si="19"/>
        <v>FALSO0/</v>
      </c>
    </row>
    <row r="319" spans="1:4" ht="120.75" customHeight="1" x14ac:dyDescent="0.25">
      <c r="A319" s="21">
        <f>INSCRITOS!O282</f>
        <v>0</v>
      </c>
      <c r="B319" s="13" t="b">
        <f t="shared" si="18"/>
        <v>0</v>
      </c>
      <c r="C319" s="21">
        <f>INSCRITOS!B282</f>
        <v>0</v>
      </c>
      <c r="D319" t="str">
        <f t="shared" si="19"/>
        <v>FALSO0/</v>
      </c>
    </row>
    <row r="320" spans="1:4" ht="120.75" customHeight="1" x14ac:dyDescent="0.25">
      <c r="A320" s="21">
        <f>INSCRITOS!O283</f>
        <v>0</v>
      </c>
      <c r="B320" s="13" t="b">
        <f t="shared" si="18"/>
        <v>0</v>
      </c>
      <c r="C320" s="21">
        <f>INSCRITOS!B283</f>
        <v>0</v>
      </c>
      <c r="D320" t="str">
        <f t="shared" si="19"/>
        <v>FALSO0/</v>
      </c>
    </row>
    <row r="321" spans="1:4" ht="120.75" customHeight="1" x14ac:dyDescent="0.25">
      <c r="A321" s="21">
        <f>INSCRITOS!O284</f>
        <v>0</v>
      </c>
      <c r="B321" s="13" t="b">
        <f t="shared" si="18"/>
        <v>0</v>
      </c>
      <c r="C321" s="21">
        <f>INSCRITOS!B284</f>
        <v>0</v>
      </c>
      <c r="D321" t="str">
        <f t="shared" si="19"/>
        <v>FALSO0/</v>
      </c>
    </row>
    <row r="322" spans="1:4" ht="120.75" customHeight="1" x14ac:dyDescent="0.25">
      <c r="A322" s="21">
        <f>INSCRITOS!O285</f>
        <v>0</v>
      </c>
      <c r="B322" s="13" t="b">
        <f t="shared" si="18"/>
        <v>0</v>
      </c>
      <c r="C322" s="21">
        <f>INSCRITOS!B285</f>
        <v>0</v>
      </c>
      <c r="D322" t="str">
        <f t="shared" si="19"/>
        <v>FALSO0/</v>
      </c>
    </row>
    <row r="323" spans="1:4" ht="120.75" customHeight="1" x14ac:dyDescent="0.25">
      <c r="A323" s="21">
        <f>INSCRITOS!O286</f>
        <v>0</v>
      </c>
      <c r="B323" s="13" t="b">
        <f t="shared" si="18"/>
        <v>0</v>
      </c>
      <c r="C323" s="21">
        <f>INSCRITOS!B286</f>
        <v>0</v>
      </c>
      <c r="D323" t="str">
        <f t="shared" si="19"/>
        <v>FALSO0/</v>
      </c>
    </row>
    <row r="324" spans="1:4" ht="120.75" customHeight="1" x14ac:dyDescent="0.25">
      <c r="A324" s="21">
        <f>INSCRITOS!O287</f>
        <v>0</v>
      </c>
      <c r="B324" s="13" t="b">
        <f t="shared" si="18"/>
        <v>0</v>
      </c>
      <c r="C324" s="21">
        <f>INSCRITOS!B287</f>
        <v>0</v>
      </c>
      <c r="D324" t="str">
        <f t="shared" si="19"/>
        <v>FALSO0/</v>
      </c>
    </row>
    <row r="325" spans="1:4" ht="120.75" customHeight="1" x14ac:dyDescent="0.25">
      <c r="A325" s="21">
        <f>INSCRITOS!O288</f>
        <v>0</v>
      </c>
      <c r="B325" s="13" t="b">
        <f t="shared" si="18"/>
        <v>0</v>
      </c>
      <c r="C325" s="21">
        <f>INSCRITOS!B288</f>
        <v>0</v>
      </c>
      <c r="D325" t="str">
        <f t="shared" si="19"/>
        <v>FALSO0/</v>
      </c>
    </row>
    <row r="326" spans="1:4" ht="120.75" customHeight="1" x14ac:dyDescent="0.25">
      <c r="A326" s="21">
        <f>INSCRITOS!O289</f>
        <v>0</v>
      </c>
      <c r="B326" s="13" t="b">
        <f t="shared" si="18"/>
        <v>0</v>
      </c>
      <c r="C326" s="21">
        <f>INSCRITOS!B289</f>
        <v>0</v>
      </c>
      <c r="D326" t="str">
        <f t="shared" si="19"/>
        <v>FALSO0/</v>
      </c>
    </row>
    <row r="327" spans="1:4" ht="120.75" customHeight="1" x14ac:dyDescent="0.25">
      <c r="A327" s="21">
        <f>INSCRITOS!O290</f>
        <v>0</v>
      </c>
      <c r="B327" s="13" t="b">
        <f t="shared" si="18"/>
        <v>0</v>
      </c>
      <c r="C327" s="21">
        <f>INSCRITOS!B290</f>
        <v>0</v>
      </c>
      <c r="D327" t="str">
        <f t="shared" si="19"/>
        <v>FALSO0/</v>
      </c>
    </row>
    <row r="328" spans="1:4" ht="120.75" customHeight="1" x14ac:dyDescent="0.25">
      <c r="A328" s="21">
        <f>INSCRITOS!O291</f>
        <v>0</v>
      </c>
      <c r="B328" s="13" t="b">
        <f t="shared" si="18"/>
        <v>0</v>
      </c>
      <c r="C328" s="21">
        <f>INSCRITOS!B291</f>
        <v>0</v>
      </c>
      <c r="D328" t="str">
        <f t="shared" si="19"/>
        <v>FALSO0/</v>
      </c>
    </row>
    <row r="329" spans="1:4" ht="120.75" customHeight="1" x14ac:dyDescent="0.25">
      <c r="A329" s="21">
        <f>INSCRITOS!O292</f>
        <v>0</v>
      </c>
      <c r="B329" s="13" t="b">
        <f t="shared" si="18"/>
        <v>0</v>
      </c>
      <c r="C329" s="21">
        <f>INSCRITOS!B292</f>
        <v>0</v>
      </c>
      <c r="D329" t="str">
        <f t="shared" si="19"/>
        <v>FALSO0/</v>
      </c>
    </row>
    <row r="330" spans="1:4" ht="120.75" customHeight="1" x14ac:dyDescent="0.25">
      <c r="A330" s="21">
        <f>INSCRITOS!O293</f>
        <v>0</v>
      </c>
      <c r="B330" s="13" t="b">
        <f t="shared" si="18"/>
        <v>0</v>
      </c>
      <c r="C330" s="21">
        <f>INSCRITOS!B293</f>
        <v>0</v>
      </c>
      <c r="D330" t="str">
        <f t="shared" si="19"/>
        <v>FALSO0/</v>
      </c>
    </row>
    <row r="331" spans="1:4" ht="120.75" customHeight="1" x14ac:dyDescent="0.25">
      <c r="A331" s="21">
        <f>INSCRITOS!O294</f>
        <v>0</v>
      </c>
      <c r="B331" s="13" t="b">
        <f t="shared" si="18"/>
        <v>0</v>
      </c>
      <c r="C331" s="21">
        <f>INSCRITOS!B294</f>
        <v>0</v>
      </c>
      <c r="D331" t="str">
        <f t="shared" si="19"/>
        <v>FALSO0/</v>
      </c>
    </row>
    <row r="332" spans="1:4" ht="120.75" customHeight="1" x14ac:dyDescent="0.25">
      <c r="A332" s="21">
        <f>INSCRITOS!O295</f>
        <v>0</v>
      </c>
      <c r="B332" s="13" t="b">
        <f t="shared" si="18"/>
        <v>0</v>
      </c>
      <c r="C332" s="21">
        <f>INSCRITOS!B295</f>
        <v>0</v>
      </c>
      <c r="D332" t="str">
        <f t="shared" si="19"/>
        <v>FALSO0/</v>
      </c>
    </row>
    <row r="333" spans="1:4" ht="120.75" customHeight="1" x14ac:dyDescent="0.25">
      <c r="A333" s="21">
        <f>INSCRITOS!O296</f>
        <v>0</v>
      </c>
      <c r="B333" s="13" t="b">
        <f t="shared" si="18"/>
        <v>0</v>
      </c>
      <c r="C333" s="21">
        <f>INSCRITOS!B296</f>
        <v>0</v>
      </c>
      <c r="D333" t="str">
        <f t="shared" si="19"/>
        <v>FALSO0/</v>
      </c>
    </row>
    <row r="334" spans="1:4" ht="120.75" customHeight="1" x14ac:dyDescent="0.25">
      <c r="A334" s="21">
        <f>INSCRITOS!O297</f>
        <v>0</v>
      </c>
      <c r="B334" s="13" t="b">
        <f t="shared" si="18"/>
        <v>0</v>
      </c>
      <c r="C334" s="21">
        <f>INSCRITOS!B297</f>
        <v>0</v>
      </c>
      <c r="D334" t="str">
        <f t="shared" si="19"/>
        <v>FALSO0/</v>
      </c>
    </row>
    <row r="335" spans="1:4" ht="120.75" customHeight="1" x14ac:dyDescent="0.25">
      <c r="A335" s="21">
        <f>INSCRITOS!O298</f>
        <v>0</v>
      </c>
      <c r="B335" s="13" t="b">
        <f t="shared" si="18"/>
        <v>0</v>
      </c>
      <c r="C335" s="21">
        <f>INSCRITOS!B298</f>
        <v>0</v>
      </c>
      <c r="D335" t="str">
        <f t="shared" si="19"/>
        <v>FALSO0/</v>
      </c>
    </row>
    <row r="336" spans="1:4" ht="120.75" customHeight="1" x14ac:dyDescent="0.25">
      <c r="A336" s="21">
        <f>INSCRITOS!O299</f>
        <v>0</v>
      </c>
      <c r="B336" s="13" t="b">
        <f t="shared" si="18"/>
        <v>0</v>
      </c>
      <c r="C336" s="21">
        <f>INSCRITOS!B299</f>
        <v>0</v>
      </c>
      <c r="D336" t="str">
        <f t="shared" si="19"/>
        <v>FALSO0/</v>
      </c>
    </row>
    <row r="337" spans="1:4" ht="120.75" customHeight="1" x14ac:dyDescent="0.25">
      <c r="A337" s="21">
        <f>INSCRITOS!O300</f>
        <v>0</v>
      </c>
      <c r="B337" s="13" t="b">
        <f t="shared" si="18"/>
        <v>0</v>
      </c>
      <c r="C337" s="21">
        <f>INSCRITOS!B300</f>
        <v>0</v>
      </c>
      <c r="D337" t="str">
        <f t="shared" si="19"/>
        <v>FALSO0/</v>
      </c>
    </row>
    <row r="338" spans="1:4" ht="120.75" customHeight="1" x14ac:dyDescent="0.25">
      <c r="A338" s="21">
        <f>INSCRITOS!O301</f>
        <v>0</v>
      </c>
      <c r="B338" s="13" t="b">
        <f t="shared" si="18"/>
        <v>0</v>
      </c>
      <c r="C338" s="21">
        <f>INSCRITOS!B301</f>
        <v>0</v>
      </c>
      <c r="D338" t="str">
        <f t="shared" si="19"/>
        <v>FALSO0/</v>
      </c>
    </row>
    <row r="339" spans="1:4" ht="120.75" customHeight="1" x14ac:dyDescent="0.25">
      <c r="A339" s="21">
        <f>INSCRITOS!O302</f>
        <v>0</v>
      </c>
      <c r="B339" s="13" t="b">
        <f t="shared" si="18"/>
        <v>0</v>
      </c>
      <c r="C339" s="21">
        <f>INSCRITOS!B302</f>
        <v>0</v>
      </c>
      <c r="D339" t="str">
        <f t="shared" si="19"/>
        <v>FALSO0/</v>
      </c>
    </row>
    <row r="340" spans="1:4" ht="120.75" customHeight="1" x14ac:dyDescent="0.25">
      <c r="A340" s="21">
        <f>INSCRITOS!O303</f>
        <v>0</v>
      </c>
      <c r="B340" s="13" t="b">
        <f t="shared" si="18"/>
        <v>0</v>
      </c>
      <c r="C340" s="21">
        <f>INSCRITOS!B303</f>
        <v>0</v>
      </c>
      <c r="D340" t="str">
        <f t="shared" si="19"/>
        <v>FALSO0/</v>
      </c>
    </row>
    <row r="341" spans="1:4" ht="120.75" customHeight="1" x14ac:dyDescent="0.25">
      <c r="A341" s="21">
        <f>INSCRITOS!O304</f>
        <v>0</v>
      </c>
      <c r="B341" s="13" t="b">
        <f t="shared" si="18"/>
        <v>0</v>
      </c>
      <c r="C341" s="21">
        <f>INSCRITOS!B304</f>
        <v>0</v>
      </c>
      <c r="D341" t="str">
        <f t="shared" si="19"/>
        <v>FALSO0/</v>
      </c>
    </row>
    <row r="342" spans="1:4" ht="120.75" customHeight="1" x14ac:dyDescent="0.25">
      <c r="A342" s="21">
        <f>INSCRITOS!O305</f>
        <v>0</v>
      </c>
      <c r="B342" s="13" t="b">
        <f t="shared" si="18"/>
        <v>0</v>
      </c>
      <c r="C342" s="21">
        <f>INSCRITOS!B305</f>
        <v>0</v>
      </c>
      <c r="D342" t="str">
        <f t="shared" si="19"/>
        <v>FALSO0/</v>
      </c>
    </row>
    <row r="343" spans="1:4" ht="120.75" customHeight="1" x14ac:dyDescent="0.25">
      <c r="A343" s="21">
        <f>INSCRITOS!O306</f>
        <v>0</v>
      </c>
      <c r="B343" s="13" t="b">
        <f t="shared" si="18"/>
        <v>0</v>
      </c>
      <c r="C343" s="21">
        <f>INSCRITOS!B306</f>
        <v>0</v>
      </c>
      <c r="D343" t="str">
        <f t="shared" si="19"/>
        <v>FALSO0/</v>
      </c>
    </row>
    <row r="344" spans="1:4" ht="120.75" customHeight="1" x14ac:dyDescent="0.25">
      <c r="A344" s="21">
        <f>INSCRITOS!O307</f>
        <v>0</v>
      </c>
      <c r="B344" s="13" t="b">
        <f t="shared" si="18"/>
        <v>0</v>
      </c>
      <c r="C344" s="21">
        <f>INSCRITOS!B307</f>
        <v>0</v>
      </c>
      <c r="D344" t="str">
        <f t="shared" si="19"/>
        <v>FALSO0/</v>
      </c>
    </row>
    <row r="345" spans="1:4" ht="120.75" customHeight="1" x14ac:dyDescent="0.25">
      <c r="A345" s="21">
        <f>INSCRITOS!O308</f>
        <v>0</v>
      </c>
      <c r="B345" s="13" t="b">
        <f t="shared" si="18"/>
        <v>0</v>
      </c>
      <c r="C345" s="21">
        <f>INSCRITOS!B308</f>
        <v>0</v>
      </c>
      <c r="D345" t="str">
        <f t="shared" si="19"/>
        <v>FALSO0/</v>
      </c>
    </row>
    <row r="346" spans="1:4" ht="120.75" customHeight="1" x14ac:dyDescent="0.25">
      <c r="A346" s="21">
        <f>INSCRITOS!O309</f>
        <v>0</v>
      </c>
      <c r="B346" s="13" t="b">
        <f t="shared" si="18"/>
        <v>0</v>
      </c>
      <c r="C346" s="21">
        <f>INSCRITOS!B309</f>
        <v>0</v>
      </c>
      <c r="D346" t="str">
        <f t="shared" si="19"/>
        <v>FALSO0/</v>
      </c>
    </row>
    <row r="347" spans="1:4" ht="120.75" customHeight="1" x14ac:dyDescent="0.25">
      <c r="A347" s="21">
        <f>INSCRITOS!O310</f>
        <v>0</v>
      </c>
      <c r="B347" s="13" t="b">
        <f t="shared" si="18"/>
        <v>0</v>
      </c>
      <c r="C347" s="21">
        <f>INSCRITOS!B310</f>
        <v>0</v>
      </c>
      <c r="D347" t="str">
        <f t="shared" si="19"/>
        <v>FALSO0/</v>
      </c>
    </row>
    <row r="348" spans="1:4" ht="120.75" customHeight="1" x14ac:dyDescent="0.25">
      <c r="A348" s="21">
        <f>INSCRITOS!O311</f>
        <v>0</v>
      </c>
      <c r="B348" s="13" t="b">
        <f t="shared" si="18"/>
        <v>0</v>
      </c>
      <c r="C348" s="21">
        <f>INSCRITOS!B311</f>
        <v>0</v>
      </c>
      <c r="D348" t="str">
        <f t="shared" si="19"/>
        <v>FALSO0/</v>
      </c>
    </row>
    <row r="349" spans="1:4" ht="120.75" customHeight="1" x14ac:dyDescent="0.25">
      <c r="A349" s="21">
        <f>INSCRITOS!O312</f>
        <v>0</v>
      </c>
      <c r="B349" s="13" t="b">
        <f t="shared" si="18"/>
        <v>0</v>
      </c>
      <c r="C349" s="21">
        <f>INSCRITOS!B312</f>
        <v>0</v>
      </c>
      <c r="D349" t="str">
        <f t="shared" si="19"/>
        <v>FALSO0/</v>
      </c>
    </row>
    <row r="350" spans="1:4" ht="120.75" customHeight="1" x14ac:dyDescent="0.25">
      <c r="A350" s="21">
        <f>INSCRITOS!O313</f>
        <v>0</v>
      </c>
      <c r="B350" s="13" t="b">
        <f t="shared" si="18"/>
        <v>0</v>
      </c>
      <c r="C350" s="21">
        <f>INSCRITOS!B313</f>
        <v>0</v>
      </c>
      <c r="D350" t="str">
        <f t="shared" si="19"/>
        <v>FALSO0/</v>
      </c>
    </row>
    <row r="351" spans="1:4" ht="120.75" customHeight="1" x14ac:dyDescent="0.25">
      <c r="A351" s="21">
        <f>INSCRITOS!O314</f>
        <v>0</v>
      </c>
      <c r="B351" s="13" t="b">
        <f t="shared" si="18"/>
        <v>0</v>
      </c>
      <c r="C351" s="21">
        <f>INSCRITOS!B314</f>
        <v>0</v>
      </c>
      <c r="D351" t="str">
        <f t="shared" si="19"/>
        <v>FALSO0/</v>
      </c>
    </row>
    <row r="352" spans="1:4" ht="120.75" customHeight="1" x14ac:dyDescent="0.25">
      <c r="A352" s="21">
        <f>INSCRITOS!O315</f>
        <v>0</v>
      </c>
      <c r="B352" s="13" t="b">
        <f t="shared" si="18"/>
        <v>0</v>
      </c>
      <c r="C352" s="21">
        <f>INSCRITOS!B315</f>
        <v>0</v>
      </c>
      <c r="D352" t="str">
        <f t="shared" si="19"/>
        <v>FALSO0/</v>
      </c>
    </row>
    <row r="353" spans="1:4" ht="120.75" customHeight="1" x14ac:dyDescent="0.25">
      <c r="A353" s="21">
        <f>INSCRITOS!O316</f>
        <v>0</v>
      </c>
      <c r="B353" s="13" t="b">
        <f t="shared" si="18"/>
        <v>0</v>
      </c>
      <c r="C353" s="21">
        <f>INSCRITOS!B316</f>
        <v>0</v>
      </c>
      <c r="D353" t="str">
        <f t="shared" si="19"/>
        <v>FALSO0/</v>
      </c>
    </row>
    <row r="354" spans="1:4" ht="120.75" customHeight="1" x14ac:dyDescent="0.25">
      <c r="A354" s="21">
        <f>INSCRITOS!O317</f>
        <v>0</v>
      </c>
      <c r="B354" s="13" t="b">
        <f t="shared" si="18"/>
        <v>0</v>
      </c>
      <c r="C354" s="21">
        <f>INSCRITOS!B317</f>
        <v>0</v>
      </c>
      <c r="D354" t="str">
        <f t="shared" si="19"/>
        <v>FALSO0/</v>
      </c>
    </row>
  </sheetData>
  <hyperlinks>
    <hyperlink ref="B38" r:id="rId1" display="https://centrodecapacitaciondelsur.com/soporte-basico-de-vida-" xr:uid="{00000000-0004-0000-0500-000000000000}"/>
    <hyperlink ref="B162" r:id="rId2" display="https://centrodecapacitaciondelsur.com/soporte-basico-de-vida-" xr:uid="{00000000-0004-0000-0500-000001000000}"/>
    <hyperlink ref="B163" r:id="rId3" display="https://centrodecapacitaciondelsur.com/soporte-basico-de-vida-" xr:uid="{00000000-0004-0000-0500-000002000000}"/>
    <hyperlink ref="B164" r:id="rId4" display="https://centrodecapacitaciondelsur.com/soporte-basico-de-vida-" xr:uid="{00000000-0004-0000-0500-000003000000}"/>
    <hyperlink ref="B165" r:id="rId5" display="https://centrodecapacitaciondelsur.com/soporte-basico-de-vida-" xr:uid="{00000000-0004-0000-0500-000004000000}"/>
    <hyperlink ref="B166" r:id="rId6" display="https://centrodecapacitaciondelsur.com/soporte-basico-de-vida-" xr:uid="{00000000-0004-0000-0500-000005000000}"/>
    <hyperlink ref="B167" r:id="rId7" display="https://centrodecapacitaciondelsur.com/soporte-basico-de-vida-" xr:uid="{00000000-0004-0000-0500-000006000000}"/>
    <hyperlink ref="B168" r:id="rId8" display="https://centrodecapacitaciondelsur.com/soporte-basico-de-vida-" xr:uid="{00000000-0004-0000-0500-000007000000}"/>
    <hyperlink ref="B169" r:id="rId9" display="https://centrodecapacitaciondelsur.com/soporte-basico-de-vida-" xr:uid="{00000000-0004-0000-0500-000008000000}"/>
    <hyperlink ref="B170" r:id="rId10" display="https://centrodecapacitaciondelsur.com/soporte-basico-de-vida-" xr:uid="{00000000-0004-0000-0500-000009000000}"/>
    <hyperlink ref="B171" r:id="rId11" display="https://centrodecapacitaciondelsur.com/soporte-basico-de-vida-" xr:uid="{00000000-0004-0000-0500-00000A000000}"/>
    <hyperlink ref="B172" r:id="rId12" display="https://centrodecapacitaciondelsur.com/soporte-basico-de-vida-" xr:uid="{00000000-0004-0000-0500-00000B000000}"/>
    <hyperlink ref="B173" r:id="rId13" display="https://centrodecapacitaciondelsur.com/soporte-basico-de-vida-" xr:uid="{00000000-0004-0000-0500-00000C000000}"/>
    <hyperlink ref="B174" r:id="rId14" display="https://centrodecapacitaciondelsur.com/soporte-basico-de-vida-" xr:uid="{00000000-0004-0000-0500-00000D000000}"/>
    <hyperlink ref="B175" r:id="rId15" display="https://centrodecapacitaciondelsur.com/soporte-basico-de-vida-" xr:uid="{00000000-0004-0000-0500-00000E000000}"/>
    <hyperlink ref="B176" r:id="rId16" display="https://centrodecapacitaciondelsur.com/soporte-basico-de-vida-" xr:uid="{00000000-0004-0000-0500-00000F000000}"/>
    <hyperlink ref="B178" r:id="rId17" display="https://centrodecapacitaciondelsur.com/soporte-basico-de-vida-" xr:uid="{00000000-0004-0000-0500-000010000000}"/>
    <hyperlink ref="B179" r:id="rId18" display="https://centrodecapacitaciondelsur.com/soporte-basico-de-vida-" xr:uid="{00000000-0004-0000-0500-000011000000}"/>
    <hyperlink ref="B180" r:id="rId19" display="https://centrodecapacitaciondelsur.com/soporte-basico-de-vida-" xr:uid="{00000000-0004-0000-0500-000012000000}"/>
    <hyperlink ref="B181" r:id="rId20" display="https://centrodecapacitaciondelsur.com/soporte-basico-de-vida-" xr:uid="{00000000-0004-0000-0500-000013000000}"/>
    <hyperlink ref="B182" r:id="rId21" display="https://centrodecapacitaciondelsur.com/soporte-basico-de-vida-" xr:uid="{00000000-0004-0000-0500-000014000000}"/>
    <hyperlink ref="B183" r:id="rId22" display="https://centrodecapacitaciondelsur.com/soporte-basico-de-vida-" xr:uid="{00000000-0004-0000-0500-000015000000}"/>
    <hyperlink ref="B184" r:id="rId23" display="https://centrodecapacitaciondelsur.com/soporte-basico-de-vida-" xr:uid="{00000000-0004-0000-0500-000016000000}"/>
    <hyperlink ref="B185" r:id="rId24" display="https://centrodecapacitaciondelsur.com/soporte-basico-de-vida-" xr:uid="{00000000-0004-0000-0500-000017000000}"/>
    <hyperlink ref="B186" r:id="rId25" display="https://centrodecapacitaciondelsur.com/soporte-basico-de-vida-" xr:uid="{00000000-0004-0000-0500-000018000000}"/>
    <hyperlink ref="B187" r:id="rId26" display="https://centrodecapacitaciondelsur.com/soporte-basico-de-vida-" xr:uid="{DF7D0B6F-13F6-4DAE-95EB-07B48A048708}"/>
    <hyperlink ref="B188" r:id="rId27" display="https://centrodecapacitaciondelsur.com/soporte-basico-de-vida-" xr:uid="{CEFF0A28-43B4-434F-BDAB-B70E4FB13E4F}"/>
    <hyperlink ref="B193" r:id="rId28" display="https://centrodecapacitaciondelsur.com/soporte-basico-de-vida-" xr:uid="{40D8ED36-5F1D-4EF7-8AAC-DCDD969B02CA}"/>
    <hyperlink ref="B194" r:id="rId29" display="https://centrodecapacitaciondelsur.com/soporte-basico-de-vida-" xr:uid="{2C352A49-501D-4582-BC46-4AD07683D46C}"/>
    <hyperlink ref="B195" r:id="rId30" display="https://centrodecapacitaciondelsur.com/soporte-basico-de-vida-" xr:uid="{02AE2CD7-6942-4398-9E73-9A13CEE06DE5}"/>
    <hyperlink ref="B196" r:id="rId31" display="https://centrodecapacitaciondelsur.com/soporte-basico-de-vida-" xr:uid="{218B99AB-31A6-4B38-AEE6-4D84A75DF244}"/>
    <hyperlink ref="B197" r:id="rId32" display="https://centrodecapacitaciondelsur.com/soporte-basico-de-vida-" xr:uid="{9B33685D-94B0-442F-9CD6-555F891A365B}"/>
    <hyperlink ref="B198" r:id="rId33" display="https://centrodecapacitaciondelsur.com/soporte-basico-de-vida-" xr:uid="{71047B9A-11C3-44D0-B73B-CAB67B8CC973}"/>
    <hyperlink ref="B199" r:id="rId34" display="https://centrodecapacitaciondelsur.com/soporte-basico-de-vida-" xr:uid="{678EB7E2-824E-4B95-AF81-A0CDE6B62C4D}"/>
    <hyperlink ref="B200" r:id="rId35" display="https://centrodecapacitaciondelsur.com/soporte-basico-de-vida-" xr:uid="{C3EAA5EB-5E26-4840-8848-BF9FE2A3F93C}"/>
    <hyperlink ref="B201" r:id="rId36" display="https://centrodecapacitaciondelsur.com/soporte-basico-de-vida-" xr:uid="{EB8895E2-7BCE-4CE8-9710-42C360EC73AA}"/>
    <hyperlink ref="B202" r:id="rId37" display="https://centrodecapacitaciondelsur.com/soporte-basico-de-vida-" xr:uid="{D0FDD56D-1D06-4E46-90B3-A57340B33436}"/>
    <hyperlink ref="B203" r:id="rId38" display="https://centrodecapacitaciondelsur.com/soporte-basico-de-vida-" xr:uid="{0C37F49A-9061-48DB-A5D8-2F17CEC864D3}"/>
    <hyperlink ref="B204" r:id="rId39" display="https://centrodecapacitaciondelsur.com/soporte-basico-de-vida-" xr:uid="{ED3EEA41-B939-41A8-A9ED-94D2D28495E3}"/>
    <hyperlink ref="B205" r:id="rId40" display="https://centrodecapacitaciondelsur.com/soporte-basico-de-vida-" xr:uid="{BE6ACBD8-D538-4A6D-8219-6AF4FE02A504}"/>
    <hyperlink ref="B206" r:id="rId41" display="https://centrodecapacitaciondelsur.com/soporte-basico-de-vida-" xr:uid="{DD191FFD-6155-4928-97F9-EDDE01FA1603}"/>
    <hyperlink ref="B207" r:id="rId42" display="https://centrodecapacitaciondelsur.com/soporte-basico-de-vida-" xr:uid="{602DEE2C-36DF-406C-BB45-403470D7B5E5}"/>
    <hyperlink ref="B208" r:id="rId43" display="https://centrodecapacitaciondelsur.com/soporte-basico-de-vida-" xr:uid="{2A2AF806-38E9-46E4-821C-BB3860397893}"/>
    <hyperlink ref="B209" r:id="rId44" display="https://centrodecapacitaciondelsur.com/soporte-basico-de-vida-" xr:uid="{63450A3D-743C-4DCB-8345-85502A248E1A}"/>
    <hyperlink ref="B210" r:id="rId45" display="https://centrodecapacitaciondelsur.com/soporte-basico-de-vida-" xr:uid="{6803890B-23C5-4AD5-B6FA-21961FAA824F}"/>
    <hyperlink ref="B211" r:id="rId46" display="https://centrodecapacitaciondelsur.com/soporte-basico-de-vida-" xr:uid="{9D36C593-24E9-42F3-938E-7DD6FB1C205D}"/>
    <hyperlink ref="B212" r:id="rId47" display="https://centrodecapacitaciondelsur.com/soporte-basico-de-vida-" xr:uid="{5C7E5A86-6EE2-4F21-A6CC-FFAF297AF6A4}"/>
    <hyperlink ref="B213" r:id="rId48" display="https://centrodecapacitaciondelsur.com/soporte-basico-de-vida-" xr:uid="{99686D2D-99A8-4B2D-BBC3-98EFFC915081}"/>
    <hyperlink ref="B214" r:id="rId49" display="https://centrodecapacitaciondelsur.com/soporte-basico-de-vida-" xr:uid="{FC443A94-BBAD-442A-9916-E184B951752A}"/>
    <hyperlink ref="B215" r:id="rId50" display="https://centrodecapacitaciondelsur.com/soporte-basico-de-vida-" xr:uid="{B0335480-A060-4CC9-A05F-BD3E19990D71}"/>
    <hyperlink ref="B216" r:id="rId51" display="https://centrodecapacitaciondelsur.com/soporte-basico-de-vida-" xr:uid="{4E9BE0A5-D5B2-4CAB-B830-3BE25AFCAF9E}"/>
    <hyperlink ref="B217" r:id="rId52" display="https://centrodecapacitaciondelsur.com/soporte-basico-de-vida-" xr:uid="{2FFB6B6D-E55E-44F6-B8E2-C8563181EEBE}"/>
    <hyperlink ref="B218" r:id="rId53" display="https://centrodecapacitaciondelsur.com/soporte-basico-de-vida-" xr:uid="{E1745349-EC85-4287-835C-80CAA29A2B05}"/>
    <hyperlink ref="B219" r:id="rId54" display="https://centrodecapacitaciondelsur.com/soporte-basico-de-vida-" xr:uid="{3BE2BE50-0EEF-4D60-86EA-4BDBDE142EA7}"/>
    <hyperlink ref="B220" r:id="rId55" display="https://centrodecapacitaciondelsur.com/soporte-basico-de-vida-" xr:uid="{EBEBCF9C-F1D6-4234-BC27-690D6CA9C491}"/>
    <hyperlink ref="B221" r:id="rId56" display="https://centrodecapacitaciondelsur.com/soporte-basico-de-vida-" xr:uid="{E8624FEC-188D-4BB6-8359-4941DD6AA4DD}"/>
    <hyperlink ref="B222" r:id="rId57" display="https://centrodecapacitaciondelsur.com/soporte-basico-de-vida-" xr:uid="{A6E5CE50-8D29-4BA9-8146-C8A503A33FB7}"/>
    <hyperlink ref="B223" r:id="rId58" display="https://centrodecapacitaciondelsur.com/soporte-basico-de-vida-" xr:uid="{55598555-3F7A-416E-B38E-EA31FA32058B}"/>
    <hyperlink ref="B224" r:id="rId59" display="https://centrodecapacitaciondelsur.com/soporte-basico-de-vida-" xr:uid="{F74A54B0-787D-4608-8B7C-5FA4CC23D187}"/>
    <hyperlink ref="B225" r:id="rId60" display="https://centrodecapacitaciondelsur.com/soporte-basico-de-vida-" xr:uid="{9450AC59-BF55-43A7-A380-55020E5C8956}"/>
    <hyperlink ref="B226" r:id="rId61" display="https://centrodecapacitaciondelsur.com/soporte-basico-de-vida-" xr:uid="{DD0D56BB-AD89-4B75-81FC-93D6E95DA73C}"/>
    <hyperlink ref="B227" r:id="rId62" display="https://centrodecapacitaciondelsur.com/soporte-basico-de-vida-" xr:uid="{58CA67CB-330E-47C5-A783-4D73B6AD3573}"/>
    <hyperlink ref="B228" r:id="rId63" display="https://centrodecapacitaciondelsur.com/soporte-basico-de-vida-" xr:uid="{E988DEBC-1C29-4B28-ADDA-2C838397412E}"/>
    <hyperlink ref="B229" r:id="rId64" display="https://centrodecapacitaciondelsur.com/soporte-basico-de-vida-" xr:uid="{487FD620-F7FC-4C2C-9E3D-BDC00D61EE41}"/>
    <hyperlink ref="B230" r:id="rId65" display="https://centrodecapacitaciondelsur.com/soporte-basico-de-vida-" xr:uid="{96B5FA45-365D-40B7-A125-CBDA7612D22F}"/>
    <hyperlink ref="B231" r:id="rId66" display="https://centrodecapacitaciondelsur.com/soporte-basico-de-vida-" xr:uid="{E0E65C24-37C7-4123-BFFD-D250FE196E2A}"/>
    <hyperlink ref="B232" r:id="rId67" display="https://centrodecapacitaciondelsur.com/soporte-basico-de-vida-" xr:uid="{373C4CE7-2B85-4D9D-B5F3-626105DA0D81}"/>
    <hyperlink ref="B233" r:id="rId68" display="https://centrodecapacitaciondelsur.com/soporte-basico-de-vida-" xr:uid="{A913602C-992D-4C96-B632-DC47A78BCD03}"/>
    <hyperlink ref="B234" r:id="rId69" display="https://centrodecapacitaciondelsur.com/soporte-basico-de-vida-" xr:uid="{E8CD0853-1173-49B0-8C9D-C15C9DB4AA83}"/>
    <hyperlink ref="B235" r:id="rId70" display="https://centrodecapacitaciondelsur.com/soporte-basico-de-vida-" xr:uid="{5E897719-8AB1-4CBE-9DEA-2E6DC9F35E83}"/>
    <hyperlink ref="B236" r:id="rId71" display="https://centrodecapacitaciondelsur.com/soporte-basico-de-vida-" xr:uid="{BC2865FA-F353-4541-8FE1-62CFF1CE14F5}"/>
    <hyperlink ref="B237" r:id="rId72" display="https://centrodecapacitaciondelsur.com/soporte-basico-de-vida-" xr:uid="{ACBC01D5-0165-4DC9-84E0-53A78F163BA8}"/>
    <hyperlink ref="B238" r:id="rId73" display="https://centrodecapacitaciondelsur.com/soporte-basico-de-vida-" xr:uid="{1711D25A-52F1-45CA-AA3B-89D97CB3B763}"/>
    <hyperlink ref="B239" r:id="rId74" display="https://centrodecapacitaciondelsur.com/soporte-basico-de-vida-" xr:uid="{2D5BD006-545B-4B18-8647-6D5084642BE7}"/>
    <hyperlink ref="B240" r:id="rId75" display="https://centrodecapacitaciondelsur.com/soporte-basico-de-vida-" xr:uid="{B0992F74-EF86-4380-AB77-8D9503969AFA}"/>
    <hyperlink ref="B241" r:id="rId76" display="https://centrodecapacitaciondelsur.com/soporte-basico-de-vida-" xr:uid="{8D359855-386D-48AB-A8CC-49F69A4D35B4}"/>
    <hyperlink ref="B242" r:id="rId77" display="https://centrodecapacitaciondelsur.com/soporte-basico-de-vida-" xr:uid="{C1DF6BC1-3162-4D2B-9340-63FEB3536F01}"/>
    <hyperlink ref="B243" r:id="rId78" display="https://centrodecapacitaciondelsur.com/soporte-basico-de-vida-" xr:uid="{B5CA5A1B-E3F3-429A-96C3-2858200EFAC1}"/>
    <hyperlink ref="B244" r:id="rId79" display="https://centrodecapacitaciondelsur.com/soporte-basico-de-vida-" xr:uid="{3225C14B-51CB-4397-A33F-750427629249}"/>
    <hyperlink ref="B245" r:id="rId80" display="https://centrodecapacitaciondelsur.com/soporte-basico-de-vida-" xr:uid="{972BC07E-2EAE-43CC-AE43-B1CFA3A1AB47}"/>
    <hyperlink ref="B246" r:id="rId81" display="https://centrodecapacitaciondelsur.com/soporte-basico-de-vida-" xr:uid="{F56F226E-16B4-4864-AFCD-265B8EBFF9AF}"/>
    <hyperlink ref="B247" r:id="rId82" display="https://centrodecapacitaciondelsur.com/soporte-basico-de-vida-" xr:uid="{EECCA8EF-50EB-48B4-A353-587D98217E59}"/>
    <hyperlink ref="B248" r:id="rId83" display="https://centrodecapacitaciondelsur.com/soporte-basico-de-vida-" xr:uid="{FA2FA575-C4AC-40C4-8E09-FD984F599A60}"/>
    <hyperlink ref="B249" r:id="rId84" display="https://centrodecapacitaciondelsur.com/soporte-basico-de-vida-" xr:uid="{4C57AD68-C16F-49C1-B052-543112C93D7F}"/>
    <hyperlink ref="B250" r:id="rId85" display="https://centrodecapacitaciondelsur.com/soporte-basico-de-vida-" xr:uid="{8406391B-4471-4D89-B116-9E5CBBAA3C02}"/>
    <hyperlink ref="B251" r:id="rId86" display="https://centrodecapacitaciondelsur.com/soporte-basico-de-vida-" xr:uid="{8D4D1A8C-C8E4-4A5C-B2E7-2A410C4E3054}"/>
    <hyperlink ref="B252" r:id="rId87" display="https://centrodecapacitaciondelsur.com/soporte-basico-de-vida-" xr:uid="{3FE8BA8E-1FD6-4328-957C-CB0A1176ABBC}"/>
    <hyperlink ref="B253" r:id="rId88" display="https://centrodecapacitaciondelsur.com/soporte-basico-de-vida-" xr:uid="{9BB9B9CB-9857-4F29-90B7-16E620D248D0}"/>
    <hyperlink ref="B254" r:id="rId89" display="https://centrodecapacitaciondelsur.com/soporte-basico-de-vida-" xr:uid="{FD327D52-7BEF-4D92-8732-69387B02D3BF}"/>
    <hyperlink ref="B255" r:id="rId90" display="https://centrodecapacitaciondelsur.com/soporte-basico-de-vida-" xr:uid="{1F595B03-36B4-4BFC-9B48-849D1CA39DA7}"/>
    <hyperlink ref="B256" r:id="rId91" display="https://centrodecapacitaciondelsur.com/soporte-basico-de-vida-" xr:uid="{F65B9F96-9AB9-4A40-8D3F-2B8FDB937587}"/>
    <hyperlink ref="B257" r:id="rId92" display="https://centrodecapacitaciondelsur.com/soporte-basico-de-vida-" xr:uid="{90E3151D-B776-4D14-BA96-2484E2D41F56}"/>
    <hyperlink ref="B258" r:id="rId93" display="https://centrodecapacitaciondelsur.com/soporte-basico-de-vida-" xr:uid="{64634977-FFF6-4D28-96BD-6AA3CB810BB1}"/>
    <hyperlink ref="B259" r:id="rId94" display="https://centrodecapacitaciondelsur.com/soporte-basico-de-vida-" xr:uid="{2F70FB3D-B89F-4FEC-8E6C-BF9FCC9FEF90}"/>
    <hyperlink ref="B260" r:id="rId95" display="https://centrodecapacitaciondelsur.com/soporte-basico-de-vida-" xr:uid="{ABA5AF4C-5583-4229-BAC8-C9572BF29FB9}"/>
    <hyperlink ref="B261" r:id="rId96" display="https://centrodecapacitaciondelsur.com/soporte-basico-de-vida-" xr:uid="{EAD4BC81-1397-4E5A-B75B-93DD67852ABF}"/>
    <hyperlink ref="B262" r:id="rId97" display="https://centrodecapacitaciondelsur.com/soporte-basico-de-vida-" xr:uid="{FD451F29-02C3-4F1E-99B0-D9E30135F28C}"/>
    <hyperlink ref="B263" r:id="rId98" display="https://centrodecapacitaciondelsur.com/soporte-basico-de-vida-" xr:uid="{C83A4279-22B0-46B1-964D-946E50841B7D}"/>
    <hyperlink ref="B264" r:id="rId99" display="https://centrodecapacitaciondelsur.com/soporte-basico-de-vida-" xr:uid="{54E74323-6B56-4BD4-93E0-D91AB14A16EF}"/>
    <hyperlink ref="B265" r:id="rId100" display="https://centrodecapacitaciondelsur.com/soporte-basico-de-vida-" xr:uid="{525FF99A-E6D1-436A-A40A-6B0308869E3A}"/>
    <hyperlink ref="B266" r:id="rId101" display="https://centrodecapacitaciondelsur.com/soporte-basico-de-vida-" xr:uid="{1AE63091-5D40-457F-8C68-B0D974436EF3}"/>
    <hyperlink ref="B267" r:id="rId102" display="https://centrodecapacitaciondelsur.com/soporte-basico-de-vida-" xr:uid="{F3EEF579-D389-4CF5-8588-43280C3436FE}"/>
    <hyperlink ref="B268" r:id="rId103" display="https://centrodecapacitaciondelsur.com/soporte-basico-de-vida-" xr:uid="{CB7E35D3-5AF5-445E-BF2E-58BBC5284A42}"/>
    <hyperlink ref="B269" r:id="rId104" display="https://centrodecapacitaciondelsur.com/soporte-basico-de-vida-" xr:uid="{73108733-A5A2-4D32-822D-0F62B0B0BB78}"/>
    <hyperlink ref="B270" r:id="rId105" display="https://centrodecapacitaciondelsur.com/soporte-basico-de-vida-" xr:uid="{0D8A3B46-6A30-4E75-B237-954B35F6D7E0}"/>
    <hyperlink ref="B271" r:id="rId106" display="https://centrodecapacitaciondelsur.com/soporte-basico-de-vida-" xr:uid="{399EB1AA-75EB-4165-B6D3-DBD6D5385F00}"/>
    <hyperlink ref="B272" r:id="rId107" display="https://centrodecapacitaciondelsur.com/soporte-basico-de-vida-" xr:uid="{C5517994-A24B-4BF2-99CA-F0CAF3193C2C}"/>
    <hyperlink ref="B273" r:id="rId108" display="https://centrodecapacitaciondelsur.com/soporte-basico-de-vida-" xr:uid="{0BFDFDDE-E3A9-457E-AD12-769BD642EB5A}"/>
    <hyperlink ref="B274" r:id="rId109" display="https://centrodecapacitaciondelsur.com/soporte-basico-de-vida-" xr:uid="{31C9DE5F-AD6A-4CC3-B2B1-5913D3E7C9CF}"/>
    <hyperlink ref="B275" r:id="rId110" display="https://centrodecapacitaciondelsur.com/soporte-basico-de-vida-" xr:uid="{ECE9EF14-0BF6-4BC8-9E9A-C735D5852A43}"/>
    <hyperlink ref="B276" r:id="rId111" display="https://centrodecapacitaciondelsur.com/soporte-basico-de-vida-" xr:uid="{133EB713-EDF1-4F55-8216-8E0ED5C36CCF}"/>
    <hyperlink ref="B277" r:id="rId112" display="https://centrodecapacitaciondelsur.com/soporte-basico-de-vida-" xr:uid="{E44255D9-7AEB-4AF8-B1D9-489C731E03F4}"/>
    <hyperlink ref="B278" r:id="rId113" display="https://centrodecapacitaciondelsur.com/soporte-basico-de-vida-" xr:uid="{C6242841-2D9B-4CF6-970A-C568F186BCBF}"/>
    <hyperlink ref="B279" r:id="rId114" display="https://centrodecapacitaciondelsur.com/soporte-basico-de-vida-" xr:uid="{2559C2D5-2C52-4F3D-9B09-D87D937C6E18}"/>
    <hyperlink ref="B280" r:id="rId115" display="https://centrodecapacitaciondelsur.com/soporte-basico-de-vida-" xr:uid="{BEF1FD56-18B5-4777-B221-E595DAD6F00F}"/>
    <hyperlink ref="B281" r:id="rId116" display="https://centrodecapacitaciondelsur.com/soporte-basico-de-vida-" xr:uid="{78365324-F8E1-4F3D-B9E8-3DD0C8E8DB23}"/>
    <hyperlink ref="B282" r:id="rId117" display="https://centrodecapacitaciondelsur.com/soporte-basico-de-vida-" xr:uid="{5998529A-E3D9-4C0B-9244-804F8E024D8F}"/>
    <hyperlink ref="B283" r:id="rId118" display="https://centrodecapacitaciondelsur.com/soporte-basico-de-vida-" xr:uid="{B3738EC0-6BE4-4D38-8C09-F9CD70A21DD5}"/>
    <hyperlink ref="B284" r:id="rId119" display="https://centrodecapacitaciondelsur.com/soporte-basico-de-vida-" xr:uid="{E8E7E3F2-C129-4439-BA5E-85A8F1DB2D2C}"/>
    <hyperlink ref="B285" r:id="rId120" display="https://centrodecapacitaciondelsur.com/soporte-basico-de-vida-" xr:uid="{E558D664-8285-4140-87F3-F237F3EAF375}"/>
    <hyperlink ref="B286" r:id="rId121" display="https://centrodecapacitaciondelsur.com/soporte-basico-de-vida-" xr:uid="{17C98FEA-F1F3-4683-B895-594C6518808E}"/>
    <hyperlink ref="B287" r:id="rId122" display="https://centrodecapacitaciondelsur.com/soporte-basico-de-vida-" xr:uid="{D72293A6-06D0-43DB-8BF5-445B429C3242}"/>
    <hyperlink ref="B288" r:id="rId123" display="https://centrodecapacitaciondelsur.com/soporte-basico-de-vida-" xr:uid="{2A4B0174-19C1-4D69-A86D-EF8A37A84361}"/>
    <hyperlink ref="B289" r:id="rId124" display="https://centrodecapacitaciondelsur.com/soporte-basico-de-vida-" xr:uid="{7C3CE2F8-2A6C-4320-BF19-3C34F7565E0F}"/>
    <hyperlink ref="B290" r:id="rId125" display="https://centrodecapacitaciondelsur.com/soporte-basico-de-vida-" xr:uid="{18B0D769-51AB-4FDD-A41C-9446A5166D4A}"/>
    <hyperlink ref="B291" r:id="rId126" display="https://centrodecapacitaciondelsur.com/soporte-basico-de-vida-" xr:uid="{8168C66F-40AB-49B7-90B0-BEEEF8782769}"/>
    <hyperlink ref="B292" r:id="rId127" display="https://centrodecapacitaciondelsur.com/soporte-basico-de-vida-" xr:uid="{E2798B90-08FA-4F5B-93C3-7AD8EBA38FF6}"/>
    <hyperlink ref="B293" r:id="rId128" display="https://centrodecapacitaciondelsur.com/soporte-basico-de-vida-" xr:uid="{ACCED6C9-83E0-4040-975B-1A75B78588C1}"/>
    <hyperlink ref="B294" r:id="rId129" display="https://centrodecapacitaciondelsur.com/soporte-basico-de-vida-" xr:uid="{2708CDF9-8DE9-4524-8B79-5E861C1A4282}"/>
    <hyperlink ref="B295" r:id="rId130" display="https://centrodecapacitaciondelsur.com/soporte-basico-de-vida-" xr:uid="{8749BEFA-774E-44EE-A41D-E39F9B2C92D5}"/>
    <hyperlink ref="B296" r:id="rId131" display="https://centrodecapacitaciondelsur.com/soporte-basico-de-vida-" xr:uid="{8390D2F7-4198-42DC-822C-446BE8427A38}"/>
    <hyperlink ref="B297" r:id="rId132" display="https://centrodecapacitaciondelsur.com/soporte-basico-de-vida-" xr:uid="{912E3F84-CA66-4DE5-9BA5-2DE02D6DBB96}"/>
    <hyperlink ref="B298" r:id="rId133" display="https://centrodecapacitaciondelsur.com/soporte-basico-de-vida-" xr:uid="{23948DCB-D9B1-4170-B6D0-9FCFB327B955}"/>
    <hyperlink ref="B299" r:id="rId134" display="https://centrodecapacitaciondelsur.com/soporte-basico-de-vida-" xr:uid="{1D91B3E8-4625-4391-847A-CBE6B37D4D52}"/>
    <hyperlink ref="B300" r:id="rId135" display="https://centrodecapacitaciondelsur.com/soporte-basico-de-vida-" xr:uid="{73983CFF-5D94-495E-95B6-D8B702C20B67}"/>
    <hyperlink ref="B301" r:id="rId136" display="https://centrodecapacitaciondelsur.com/soporte-basico-de-vida-" xr:uid="{C273422C-92A8-497D-9E07-0AA7087404ED}"/>
    <hyperlink ref="B302" r:id="rId137" display="https://centrodecapacitaciondelsur.com/soporte-basico-de-vida-" xr:uid="{1D2F8E55-2368-4F59-A488-4DEA27848BE6}"/>
    <hyperlink ref="B303" r:id="rId138" display="https://centrodecapacitaciondelsur.com/soporte-basico-de-vida-" xr:uid="{20879E61-9487-4406-913A-BFC010F22741}"/>
    <hyperlink ref="B304" r:id="rId139" display="https://centrodecapacitaciondelsur.com/soporte-basico-de-vida-" xr:uid="{28527625-F9E0-4902-A165-238649D58793}"/>
    <hyperlink ref="B305" r:id="rId140" display="https://centrodecapacitaciondelsur.com/soporte-basico-de-vida-" xr:uid="{19767CB6-FB4A-4452-B51F-CDE2B42A9BB4}"/>
    <hyperlink ref="B306" r:id="rId141" display="https://centrodecapacitaciondelsur.com/soporte-basico-de-vida-" xr:uid="{B76AA7AE-5F79-4BDE-9F8F-8E2147FB435E}"/>
    <hyperlink ref="B307" r:id="rId142" display="https://centrodecapacitaciondelsur.com/soporte-basico-de-vida-" xr:uid="{3CF9375C-F48B-4703-A84A-317828543567}"/>
    <hyperlink ref="B308" r:id="rId143" display="https://centrodecapacitaciondelsur.com/soporte-basico-de-vida-" xr:uid="{7915BCF4-D9AC-405D-94C5-2BB142DB8B97}"/>
    <hyperlink ref="B309" r:id="rId144" display="https://centrodecapacitaciondelsur.com/soporte-basico-de-vida-" xr:uid="{45F3A16E-70EB-4EF1-8A19-397667A1A621}"/>
    <hyperlink ref="B310" r:id="rId145" display="https://centrodecapacitaciondelsur.com/soporte-basico-de-vida-" xr:uid="{FF2803A8-88CD-480D-A35F-E5E7B247B4F4}"/>
    <hyperlink ref="B311" r:id="rId146" display="https://centrodecapacitaciondelsur.com/soporte-basico-de-vida-" xr:uid="{219A4006-13F3-4850-9DB1-D8204802448E}"/>
    <hyperlink ref="B312" r:id="rId147" display="https://centrodecapacitaciondelsur.com/soporte-basico-de-vida-" xr:uid="{C895CA11-9B7E-4A0B-8ED9-639E4EB5DC5B}"/>
    <hyperlink ref="B313" r:id="rId148" display="https://centrodecapacitaciondelsur.com/soporte-basico-de-vida-" xr:uid="{8C52E339-30C0-4F3B-A783-6EC7E3D6E98E}"/>
    <hyperlink ref="B314" r:id="rId149" display="https://centrodecapacitaciondelsur.com/soporte-basico-de-vida-" xr:uid="{1A6CA79E-6A65-48D5-8C44-CCCA6294FCB0}"/>
    <hyperlink ref="B315" r:id="rId150" display="https://centrodecapacitaciondelsur.com/soporte-basico-de-vida-" xr:uid="{41F3FFB5-423A-42E7-907C-EB31CB60ECD6}"/>
    <hyperlink ref="B316" r:id="rId151" display="https://centrodecapacitaciondelsur.com/soporte-basico-de-vida-" xr:uid="{711E90CD-2FA4-4F10-A135-877ADBB16E2C}"/>
    <hyperlink ref="B317" r:id="rId152" display="https://centrodecapacitaciondelsur.com/soporte-basico-de-vida-" xr:uid="{32B62716-6F5D-474B-9481-C4235C8F676A}"/>
    <hyperlink ref="B318" r:id="rId153" display="https://centrodecapacitaciondelsur.com/soporte-basico-de-vida-" xr:uid="{0BA56E9B-B7DF-48F5-B404-37E39200B4AB}"/>
    <hyperlink ref="B319" r:id="rId154" display="https://centrodecapacitaciondelsur.com/soporte-basico-de-vida-" xr:uid="{42BE2A68-F79E-4A8B-AC49-8AB074DA9BE0}"/>
    <hyperlink ref="B320" r:id="rId155" display="https://centrodecapacitaciondelsur.com/soporte-basico-de-vida-" xr:uid="{26FDB229-4080-470C-9001-A9B7E20025BF}"/>
    <hyperlink ref="B321" r:id="rId156" display="https://centrodecapacitaciondelsur.com/soporte-basico-de-vida-" xr:uid="{703E782D-40C3-422B-863D-9A9A4BF260E4}"/>
    <hyperlink ref="B322" r:id="rId157" display="https://centrodecapacitaciondelsur.com/soporte-basico-de-vida-" xr:uid="{CC22B318-71CC-4199-8441-866CDBB72D5F}"/>
    <hyperlink ref="B323" r:id="rId158" display="https://centrodecapacitaciondelsur.com/soporte-basico-de-vida-" xr:uid="{90021528-D5ED-476A-B4F1-762E0315CD1D}"/>
    <hyperlink ref="B324" r:id="rId159" display="https://centrodecapacitaciondelsur.com/soporte-basico-de-vida-" xr:uid="{209BE880-3159-4AFE-958C-AB7AD8A37366}"/>
    <hyperlink ref="B325" r:id="rId160" display="https://centrodecapacitaciondelsur.com/soporte-basico-de-vida-" xr:uid="{5E166623-87F7-4FCD-A3FF-DD80851A20CB}"/>
    <hyperlink ref="B326" r:id="rId161" display="https://centrodecapacitaciondelsur.com/soporte-basico-de-vida-" xr:uid="{75B5845C-5FA4-4932-BBA2-E6EB1D77762D}"/>
    <hyperlink ref="B327" r:id="rId162" display="https://centrodecapacitaciondelsur.com/soporte-basico-de-vida-" xr:uid="{32868958-9881-4A76-BE5C-F8287CE403CC}"/>
    <hyperlink ref="B328" r:id="rId163" display="https://centrodecapacitaciondelsur.com/soporte-basico-de-vida-" xr:uid="{B7BE3443-4601-4ACF-B197-82C24F5C97E9}"/>
    <hyperlink ref="B329" r:id="rId164" display="https://centrodecapacitaciondelsur.com/soporte-basico-de-vida-" xr:uid="{142FCD88-2980-4226-A95F-D5C4B61D354E}"/>
    <hyperlink ref="B330" r:id="rId165" display="https://centrodecapacitaciondelsur.com/soporte-basico-de-vida-" xr:uid="{FA309662-DC91-4241-91EC-0F771E1C1A51}"/>
    <hyperlink ref="B331" r:id="rId166" display="https://centrodecapacitaciondelsur.com/soporte-basico-de-vida-" xr:uid="{5868A927-CEC8-49D2-8BC9-8D555240FCBC}"/>
    <hyperlink ref="B332" r:id="rId167" display="https://centrodecapacitaciondelsur.com/soporte-basico-de-vida-" xr:uid="{F53CF130-412D-4CA7-B807-3D490248FA45}"/>
    <hyperlink ref="B333" r:id="rId168" display="https://centrodecapacitaciondelsur.com/soporte-basico-de-vida-" xr:uid="{B00C403A-71B7-4E04-BA40-7F778A545A2F}"/>
    <hyperlink ref="B334" r:id="rId169" display="https://centrodecapacitaciondelsur.com/soporte-basico-de-vida-" xr:uid="{8AD93C3F-DB7F-4075-BFBA-23D91AE4FFE9}"/>
    <hyperlink ref="B335" r:id="rId170" display="https://centrodecapacitaciondelsur.com/soporte-basico-de-vida-" xr:uid="{AA8D9D10-0CD2-4722-A73A-907D983F3755}"/>
    <hyperlink ref="B336" r:id="rId171" display="https://centrodecapacitaciondelsur.com/soporte-basico-de-vida-" xr:uid="{9C50EB4B-02D4-40CA-8976-7C3CAC5B0E70}"/>
    <hyperlink ref="B337" r:id="rId172" display="https://centrodecapacitaciondelsur.com/soporte-basico-de-vida-" xr:uid="{8FE9EB4B-A030-4FB9-A251-67F26D88AF77}"/>
    <hyperlink ref="B338" r:id="rId173" display="https://centrodecapacitaciondelsur.com/soporte-basico-de-vida-" xr:uid="{32287B9A-50A1-408D-8D6C-984486658524}"/>
    <hyperlink ref="B339" r:id="rId174" display="https://centrodecapacitaciondelsur.com/soporte-basico-de-vida-" xr:uid="{5DB576C5-F68C-47D2-BBC2-CBB471D5EC27}"/>
    <hyperlink ref="B340" r:id="rId175" display="https://centrodecapacitaciondelsur.com/soporte-basico-de-vida-" xr:uid="{CA91E66A-AD64-411C-BDCA-854E125CB195}"/>
    <hyperlink ref="B341" r:id="rId176" display="https://centrodecapacitaciondelsur.com/soporte-basico-de-vida-" xr:uid="{4C706DFE-05FF-4C79-9CD9-024E0E81ED05}"/>
    <hyperlink ref="B342" r:id="rId177" display="https://centrodecapacitaciondelsur.com/soporte-basico-de-vida-" xr:uid="{4949766D-5728-498B-841B-3D6C96122848}"/>
    <hyperlink ref="B343" r:id="rId178" display="https://centrodecapacitaciondelsur.com/soporte-basico-de-vida-" xr:uid="{34CBAFFC-8ADC-406C-A971-A5C8BAB4B855}"/>
    <hyperlink ref="B344" r:id="rId179" display="https://centrodecapacitaciondelsur.com/soporte-basico-de-vida-" xr:uid="{3AA75F3C-6BA8-4AE7-B74B-3978257D7411}"/>
    <hyperlink ref="B345" r:id="rId180" display="https://centrodecapacitaciondelsur.com/soporte-basico-de-vida-" xr:uid="{BBBEE973-6E23-41D4-A128-F7C1370E3C8D}"/>
    <hyperlink ref="B346" r:id="rId181" display="https://centrodecapacitaciondelsur.com/soporte-basico-de-vida-" xr:uid="{C673157D-887B-4E56-A58D-EEB3E80DCA54}"/>
    <hyperlink ref="B347" r:id="rId182" display="https://centrodecapacitaciondelsur.com/soporte-basico-de-vida-" xr:uid="{27BF70CF-FA71-4F09-8EEC-375CD0E2F270}"/>
    <hyperlink ref="B348" r:id="rId183" display="https://centrodecapacitaciondelsur.com/soporte-basico-de-vida-" xr:uid="{AE8F852D-C0C2-4AF2-B50F-6DB992272C25}"/>
    <hyperlink ref="B349" r:id="rId184" display="https://centrodecapacitaciondelsur.com/soporte-basico-de-vida-" xr:uid="{750712B7-FE40-4CC1-ADCC-1D78417AE474}"/>
    <hyperlink ref="B350" r:id="rId185" display="https://centrodecapacitaciondelsur.com/soporte-basico-de-vida-" xr:uid="{6219E485-55B2-4415-B5EE-E001F469DC4B}"/>
    <hyperlink ref="B351" r:id="rId186" display="https://centrodecapacitaciondelsur.com/soporte-basico-de-vida-" xr:uid="{CBC4051D-FB13-497A-9306-16BDB39B3576}"/>
    <hyperlink ref="B352" r:id="rId187" display="https://centrodecapacitaciondelsur.com/soporte-basico-de-vida-" xr:uid="{197BFD83-5880-4AD5-B4AB-DFBCED2F5C54}"/>
    <hyperlink ref="B353" r:id="rId188" display="https://centrodecapacitaciondelsur.com/soporte-basico-de-vida-" xr:uid="{F0D214C6-E505-4268-BCE0-66CDA9D9FF02}"/>
    <hyperlink ref="B354" r:id="rId189" display="https://centrodecapacitaciondelsur.com/soporte-basico-de-vida-" xr:uid="{74B1CB18-5787-429C-A3A0-AE40A9891516}"/>
    <hyperlink ref="B189" r:id="rId190" display="https://centrodecapacitaciondelsur.com/soporte-basico-de-vida-" xr:uid="{80F1D2B8-FEE3-4BC7-B90D-8852673C39BB}"/>
    <hyperlink ref="B190" r:id="rId191" display="https://centrodecapacitaciondelsur.com/soporte-basico-de-vida-" xr:uid="{B8D7BF07-D1CA-4716-BD83-10BD307AE11C}"/>
    <hyperlink ref="B191" r:id="rId192" display="https://centrodecapacitaciondelsur.com/soporte-basico-de-vida-" xr:uid="{B9BCE1B5-3C99-4E03-A6DE-13D7E3C9E735}"/>
    <hyperlink ref="B192" r:id="rId193" display="https://centrodecapacitaciondelsur.com/soporte-basico-de-vida-" xr:uid="{62F5132F-07C5-4D8A-BFCE-D678F040FABE}"/>
  </hyperlinks>
  <pageMargins left="0.7" right="0.7" top="0.75" bottom="0.75" header="0.3" footer="0.3"/>
  <pageSetup orientation="portrait" r:id="rId19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INSCRITOS</vt:lpstr>
      <vt:lpstr>PROINSALUD</vt:lpstr>
      <vt:lpstr>CONTADERO</vt:lpstr>
      <vt:lpstr>TUQUERRES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NICOLAS ROSERO</cp:lastModifiedBy>
  <cp:lastPrinted>2023-10-09T20:56:18Z</cp:lastPrinted>
  <dcterms:created xsi:type="dcterms:W3CDTF">2023-09-02T16:45:54Z</dcterms:created>
  <dcterms:modified xsi:type="dcterms:W3CDTF">2025-02-05T00:04:27Z</dcterms:modified>
</cp:coreProperties>
</file>