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cuments\MEGA\PROYECTOS\CCS\Nueva carpeta\"/>
    </mc:Choice>
  </mc:AlternateContent>
  <xr:revisionPtr revIDLastSave="0" documentId="8_{B947C050-0334-43D1-8E78-7AD130F20B15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  <sheet name="CURSOS" sheetId="2" r:id="rId2"/>
    <sheet name="LINK" sheetId="7" r:id="rId3"/>
  </sheets>
  <definedNames>
    <definedName name="_xlnm._FilterDatabase" localSheetId="0" hidden="1">INSCRITOS!$A$1:$W$344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8" i="1" l="1"/>
  <c r="T154" i="1"/>
  <c r="U154" i="1"/>
  <c r="V154" i="1" s="1"/>
  <c r="T155" i="1"/>
  <c r="U155" i="1"/>
  <c r="V155" i="1" s="1"/>
  <c r="T156" i="1"/>
  <c r="U156" i="1"/>
  <c r="V156" i="1" s="1"/>
  <c r="T157" i="1"/>
  <c r="U157" i="1"/>
  <c r="V157" i="1" s="1"/>
  <c r="T158" i="1"/>
  <c r="U158" i="1"/>
  <c r="V158" i="1" s="1"/>
  <c r="T159" i="1"/>
  <c r="U159" i="1"/>
  <c r="V159" i="1" s="1"/>
  <c r="T160" i="1"/>
  <c r="U160" i="1"/>
  <c r="V160" i="1" s="1"/>
  <c r="T161" i="1"/>
  <c r="U161" i="1"/>
  <c r="V161" i="1" s="1"/>
  <c r="T162" i="1"/>
  <c r="U162" i="1"/>
  <c r="V162" i="1" s="1"/>
  <c r="T163" i="1"/>
  <c r="U163" i="1"/>
  <c r="V163" i="1" s="1"/>
  <c r="T164" i="1"/>
  <c r="U164" i="1"/>
  <c r="V164" i="1" s="1"/>
  <c r="T165" i="1"/>
  <c r="U165" i="1"/>
  <c r="V165" i="1" s="1"/>
  <c r="T166" i="1"/>
  <c r="U166" i="1"/>
  <c r="V166" i="1" s="1"/>
  <c r="T167" i="1"/>
  <c r="U167" i="1"/>
  <c r="V167" i="1" s="1"/>
  <c r="T168" i="1"/>
  <c r="U168" i="1"/>
  <c r="V168" i="1" s="1"/>
  <c r="T169" i="1"/>
  <c r="U169" i="1"/>
  <c r="V169" i="1" s="1"/>
  <c r="T170" i="1"/>
  <c r="U170" i="1"/>
  <c r="V170" i="1" s="1"/>
  <c r="T171" i="1"/>
  <c r="U171" i="1"/>
  <c r="V171" i="1" s="1"/>
  <c r="T172" i="1"/>
  <c r="U172" i="1"/>
  <c r="V172" i="1" s="1"/>
  <c r="T173" i="1"/>
  <c r="U173" i="1"/>
  <c r="V173" i="1" s="1"/>
  <c r="T174" i="1"/>
  <c r="U174" i="1"/>
  <c r="V174" i="1" s="1"/>
  <c r="T175" i="1"/>
  <c r="U175" i="1"/>
  <c r="V175" i="1" s="1"/>
  <c r="T176" i="1"/>
  <c r="U176" i="1"/>
  <c r="V176" i="1" s="1"/>
  <c r="T177" i="1"/>
  <c r="U177" i="1"/>
  <c r="V177" i="1" s="1"/>
  <c r="T178" i="1"/>
  <c r="U178" i="1"/>
  <c r="V178" i="1" s="1"/>
  <c r="T179" i="1"/>
  <c r="U179" i="1"/>
  <c r="V179" i="1" s="1"/>
  <c r="T180" i="1"/>
  <c r="U180" i="1"/>
  <c r="V180" i="1" s="1"/>
  <c r="T181" i="1"/>
  <c r="U181" i="1"/>
  <c r="V181" i="1" s="1"/>
  <c r="T150" i="1"/>
  <c r="U150" i="1"/>
  <c r="V150" i="1" s="1"/>
  <c r="T151" i="1"/>
  <c r="U151" i="1"/>
  <c r="V151" i="1" s="1"/>
  <c r="T152" i="1"/>
  <c r="U152" i="1"/>
  <c r="V152" i="1" s="1"/>
  <c r="T153" i="1"/>
  <c r="U153" i="1"/>
  <c r="V153" i="1" s="1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B195" i="7" s="1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T141" i="1"/>
  <c r="U141" i="1"/>
  <c r="V141" i="1" s="1"/>
  <c r="T142" i="1"/>
  <c r="U142" i="1"/>
  <c r="V142" i="1" s="1"/>
  <c r="T143" i="1"/>
  <c r="U143" i="1"/>
  <c r="V143" i="1" s="1"/>
  <c r="T144" i="1"/>
  <c r="U144" i="1"/>
  <c r="V144" i="1" s="1"/>
  <c r="T145" i="1"/>
  <c r="U145" i="1"/>
  <c r="V145" i="1" s="1"/>
  <c r="T146" i="1"/>
  <c r="U146" i="1"/>
  <c r="V146" i="1" s="1"/>
  <c r="T147" i="1"/>
  <c r="U147" i="1"/>
  <c r="V147" i="1" s="1"/>
  <c r="U148" i="1"/>
  <c r="V148" i="1" s="1"/>
  <c r="T149" i="1"/>
  <c r="U149" i="1"/>
  <c r="V149" i="1" s="1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B147" i="7" s="1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 s="1"/>
  <c r="C139" i="7"/>
  <c r="A140" i="7"/>
  <c r="B140" i="7" s="1"/>
  <c r="C140" i="7"/>
  <c r="T68" i="1"/>
  <c r="U68" i="1"/>
  <c r="V68" i="1" s="1"/>
  <c r="T70" i="1"/>
  <c r="U70" i="1"/>
  <c r="V70" i="1" s="1"/>
  <c r="T71" i="1"/>
  <c r="U71" i="1"/>
  <c r="V71" i="1" s="1"/>
  <c r="T72" i="1"/>
  <c r="U72" i="1"/>
  <c r="V72" i="1" s="1"/>
  <c r="T73" i="1"/>
  <c r="U73" i="1"/>
  <c r="V73" i="1" s="1"/>
  <c r="T74" i="1"/>
  <c r="U74" i="1"/>
  <c r="V74" i="1" s="1"/>
  <c r="T75" i="1"/>
  <c r="U75" i="1"/>
  <c r="V75" i="1" s="1"/>
  <c r="T76" i="1"/>
  <c r="U76" i="1"/>
  <c r="V76" i="1" s="1"/>
  <c r="T77" i="1"/>
  <c r="U77" i="1"/>
  <c r="V77" i="1" s="1"/>
  <c r="T78" i="1"/>
  <c r="U78" i="1"/>
  <c r="V78" i="1" s="1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61" i="7"/>
  <c r="A33" i="7"/>
  <c r="B33" i="7" s="1"/>
  <c r="C33" i="7"/>
  <c r="A34" i="7"/>
  <c r="B34" i="7" s="1"/>
  <c r="C34" i="7"/>
  <c r="A35" i="7"/>
  <c r="B35" i="7" s="1"/>
  <c r="C35" i="7"/>
  <c r="A36" i="7"/>
  <c r="B36" i="7" s="1"/>
  <c r="C36" i="7"/>
  <c r="A37" i="7"/>
  <c r="B37" i="7" s="1"/>
  <c r="C37" i="7"/>
  <c r="A38" i="7"/>
  <c r="B38" i="7" s="1"/>
  <c r="C38" i="7"/>
  <c r="A39" i="7"/>
  <c r="B39" i="7" s="1"/>
  <c r="C39" i="7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A62" i="7"/>
  <c r="B62" i="7" s="1"/>
  <c r="A63" i="7"/>
  <c r="B63" i="7" s="1"/>
  <c r="A64" i="7"/>
  <c r="B64" i="7" s="1"/>
  <c r="A65" i="7"/>
  <c r="B65" i="7" s="1"/>
  <c r="A66" i="7"/>
  <c r="B66" i="7" s="1"/>
  <c r="A67" i="7"/>
  <c r="B67" i="7" s="1"/>
  <c r="A68" i="7"/>
  <c r="B68" i="7" s="1"/>
  <c r="A69" i="7"/>
  <c r="B69" i="7" s="1"/>
  <c r="A70" i="7"/>
  <c r="B70" i="7" s="1"/>
  <c r="A71" i="7"/>
  <c r="B71" i="7" s="1"/>
  <c r="A72" i="7"/>
  <c r="B72" i="7" s="1"/>
  <c r="A73" i="7"/>
  <c r="B73" i="7" s="1"/>
  <c r="A74" i="7"/>
  <c r="B74" i="7" s="1"/>
  <c r="A75" i="7"/>
  <c r="B75" i="7" s="1"/>
  <c r="A76" i="7"/>
  <c r="B76" i="7" s="1"/>
  <c r="A77" i="7"/>
  <c r="B77" i="7" s="1"/>
  <c r="A78" i="7"/>
  <c r="B78" i="7" s="1"/>
  <c r="A79" i="7"/>
  <c r="B79" i="7" s="1"/>
  <c r="A80" i="7"/>
  <c r="B80" i="7" s="1"/>
  <c r="A81" i="7"/>
  <c r="B81" i="7" s="1"/>
  <c r="A82" i="7"/>
  <c r="B82" i="7" s="1"/>
  <c r="A83" i="7"/>
  <c r="B83" i="7" s="1"/>
  <c r="A84" i="7"/>
  <c r="B84" i="7" s="1"/>
  <c r="A85" i="7"/>
  <c r="B85" i="7" s="1"/>
  <c r="A86" i="7"/>
  <c r="B86" i="7" s="1"/>
  <c r="A87" i="7"/>
  <c r="B87" i="7" s="1"/>
  <c r="A88" i="7"/>
  <c r="B88" i="7" s="1"/>
  <c r="A89" i="7"/>
  <c r="B89" i="7" s="1"/>
  <c r="A90" i="7"/>
  <c r="B90" i="7" s="1"/>
  <c r="A91" i="7"/>
  <c r="B91" i="7" s="1"/>
  <c r="A92" i="7"/>
  <c r="B92" i="7" s="1"/>
  <c r="A93" i="7"/>
  <c r="B93" i="7" s="1"/>
  <c r="T15" i="1"/>
  <c r="U15" i="1"/>
  <c r="V15" i="1" s="1"/>
  <c r="T16" i="1"/>
  <c r="U16" i="1"/>
  <c r="V16" i="1" s="1"/>
  <c r="T17" i="1"/>
  <c r="U17" i="1"/>
  <c r="V17" i="1" s="1"/>
  <c r="T18" i="1"/>
  <c r="U18" i="1"/>
  <c r="V18" i="1" s="1"/>
  <c r="T19" i="1"/>
  <c r="U19" i="1"/>
  <c r="V19" i="1" s="1"/>
  <c r="T20" i="1"/>
  <c r="U20" i="1"/>
  <c r="V20" i="1" s="1"/>
  <c r="T21" i="1"/>
  <c r="U21" i="1"/>
  <c r="V21" i="1" s="1"/>
  <c r="T22" i="1"/>
  <c r="U22" i="1"/>
  <c r="V22" i="1" s="1"/>
  <c r="T23" i="1"/>
  <c r="U23" i="1"/>
  <c r="V23" i="1" s="1"/>
  <c r="T24" i="1"/>
  <c r="U24" i="1"/>
  <c r="V24" i="1" s="1"/>
  <c r="T25" i="1"/>
  <c r="U25" i="1"/>
  <c r="V25" i="1" s="1"/>
  <c r="T26" i="1"/>
  <c r="U26" i="1"/>
  <c r="W26" i="1" s="1"/>
  <c r="T27" i="1"/>
  <c r="U27" i="1"/>
  <c r="W27" i="1" s="1"/>
  <c r="T28" i="1"/>
  <c r="U28" i="1"/>
  <c r="W28" i="1" s="1"/>
  <c r="T29" i="1"/>
  <c r="U29" i="1"/>
  <c r="W29" i="1" s="1"/>
  <c r="T30" i="1"/>
  <c r="U30" i="1"/>
  <c r="W30" i="1" s="1"/>
  <c r="T31" i="1"/>
  <c r="U31" i="1"/>
  <c r="W31" i="1" s="1"/>
  <c r="T32" i="1"/>
  <c r="U32" i="1"/>
  <c r="W32" i="1" s="1"/>
  <c r="T33" i="1"/>
  <c r="U33" i="1"/>
  <c r="W33" i="1" s="1"/>
  <c r="T34" i="1"/>
  <c r="U34" i="1"/>
  <c r="W34" i="1" s="1"/>
  <c r="T35" i="1"/>
  <c r="U35" i="1"/>
  <c r="W35" i="1" s="1"/>
  <c r="T36" i="1"/>
  <c r="U36" i="1"/>
  <c r="W36" i="1" s="1"/>
  <c r="T37" i="1"/>
  <c r="U37" i="1"/>
  <c r="W37" i="1" s="1"/>
  <c r="T38" i="1"/>
  <c r="U38" i="1"/>
  <c r="W38" i="1" s="1"/>
  <c r="T39" i="1"/>
  <c r="U39" i="1"/>
  <c r="W39" i="1" s="1"/>
  <c r="T40" i="1"/>
  <c r="U40" i="1"/>
  <c r="W40" i="1" s="1"/>
  <c r="T41" i="1"/>
  <c r="U41" i="1"/>
  <c r="W41" i="1" s="1"/>
  <c r="T42" i="1"/>
  <c r="U42" i="1"/>
  <c r="W42" i="1" s="1"/>
  <c r="T43" i="1"/>
  <c r="U43" i="1"/>
  <c r="W43" i="1" s="1"/>
  <c r="T44" i="1"/>
  <c r="U44" i="1"/>
  <c r="W44" i="1" s="1"/>
  <c r="T45" i="1"/>
  <c r="U45" i="1"/>
  <c r="W45" i="1" s="1"/>
  <c r="T46" i="1"/>
  <c r="U46" i="1"/>
  <c r="W46" i="1" s="1"/>
  <c r="T47" i="1"/>
  <c r="U47" i="1"/>
  <c r="W47" i="1" s="1"/>
  <c r="T48" i="1"/>
  <c r="U48" i="1"/>
  <c r="W48" i="1" s="1"/>
  <c r="T49" i="1"/>
  <c r="U49" i="1"/>
  <c r="W49" i="1" s="1"/>
  <c r="T50" i="1"/>
  <c r="U50" i="1"/>
  <c r="W50" i="1" s="1"/>
  <c r="T51" i="1"/>
  <c r="U51" i="1"/>
  <c r="W51" i="1" s="1"/>
  <c r="T52" i="1"/>
  <c r="U52" i="1"/>
  <c r="W52" i="1" s="1"/>
  <c r="T53" i="1"/>
  <c r="U53" i="1"/>
  <c r="W53" i="1" s="1"/>
  <c r="T54" i="1"/>
  <c r="U54" i="1"/>
  <c r="W54" i="1" s="1"/>
  <c r="T55" i="1"/>
  <c r="U55" i="1"/>
  <c r="W55" i="1" s="1"/>
  <c r="T56" i="1"/>
  <c r="U56" i="1"/>
  <c r="W56" i="1" s="1"/>
  <c r="T57" i="1"/>
  <c r="U57" i="1"/>
  <c r="W57" i="1" s="1"/>
  <c r="T58" i="1"/>
  <c r="U58" i="1"/>
  <c r="W58" i="1" s="1"/>
  <c r="T59" i="1"/>
  <c r="U59" i="1"/>
  <c r="W59" i="1" s="1"/>
  <c r="T60" i="1"/>
  <c r="U60" i="1"/>
  <c r="W60" i="1" s="1"/>
  <c r="T61" i="1"/>
  <c r="U61" i="1"/>
  <c r="W61" i="1" s="1"/>
  <c r="T62" i="1"/>
  <c r="U62" i="1"/>
  <c r="W62" i="1" s="1"/>
  <c r="T63" i="1"/>
  <c r="U63" i="1"/>
  <c r="W63" i="1" s="1"/>
  <c r="T64" i="1"/>
  <c r="U64" i="1"/>
  <c r="W64" i="1" s="1"/>
  <c r="T65" i="1"/>
  <c r="U65" i="1"/>
  <c r="W65" i="1" s="1"/>
  <c r="T66" i="1"/>
  <c r="U66" i="1"/>
  <c r="V66" i="1" s="1"/>
  <c r="T67" i="1"/>
  <c r="U67" i="1"/>
  <c r="W67" i="1" s="1"/>
  <c r="T69" i="1"/>
  <c r="U69" i="1"/>
  <c r="W69" i="1" s="1"/>
  <c r="T79" i="1"/>
  <c r="U79" i="1"/>
  <c r="V79" i="1" s="1"/>
  <c r="T80" i="1"/>
  <c r="U80" i="1"/>
  <c r="V80" i="1" s="1"/>
  <c r="T81" i="1"/>
  <c r="U81" i="1"/>
  <c r="V81" i="1" s="1"/>
  <c r="T82" i="1"/>
  <c r="U82" i="1"/>
  <c r="V82" i="1" s="1"/>
  <c r="T83" i="1"/>
  <c r="U83" i="1"/>
  <c r="V83" i="1" s="1"/>
  <c r="T84" i="1"/>
  <c r="U84" i="1"/>
  <c r="V84" i="1" s="1"/>
  <c r="T85" i="1"/>
  <c r="U85" i="1"/>
  <c r="V85" i="1" s="1"/>
  <c r="T86" i="1"/>
  <c r="U86" i="1"/>
  <c r="V86" i="1" s="1"/>
  <c r="T87" i="1"/>
  <c r="U87" i="1"/>
  <c r="V87" i="1" s="1"/>
  <c r="T88" i="1"/>
  <c r="U88" i="1"/>
  <c r="V88" i="1" s="1"/>
  <c r="T89" i="1"/>
  <c r="U89" i="1"/>
  <c r="V89" i="1" s="1"/>
  <c r="T90" i="1"/>
  <c r="U90" i="1"/>
  <c r="V90" i="1" s="1"/>
  <c r="T91" i="1"/>
  <c r="U91" i="1"/>
  <c r="V91" i="1" s="1"/>
  <c r="T92" i="1"/>
  <c r="U92" i="1"/>
  <c r="V92" i="1" s="1"/>
  <c r="T93" i="1"/>
  <c r="U93" i="1"/>
  <c r="T94" i="1"/>
  <c r="U94" i="1"/>
  <c r="V94" i="1" s="1"/>
  <c r="T95" i="1"/>
  <c r="U95" i="1"/>
  <c r="V95" i="1" s="1"/>
  <c r="T96" i="1"/>
  <c r="U96" i="1"/>
  <c r="V96" i="1" s="1"/>
  <c r="T97" i="1"/>
  <c r="U97" i="1"/>
  <c r="T98" i="1"/>
  <c r="U98" i="1"/>
  <c r="T99" i="1"/>
  <c r="U99" i="1"/>
  <c r="V99" i="1" s="1"/>
  <c r="T100" i="1"/>
  <c r="U100" i="1"/>
  <c r="V100" i="1" s="1"/>
  <c r="T101" i="1"/>
  <c r="U101" i="1"/>
  <c r="T102" i="1"/>
  <c r="U102" i="1"/>
  <c r="V102" i="1" s="1"/>
  <c r="T103" i="1"/>
  <c r="U103" i="1"/>
  <c r="V103" i="1" s="1"/>
  <c r="T104" i="1"/>
  <c r="U104" i="1"/>
  <c r="V104" i="1" s="1"/>
  <c r="T105" i="1"/>
  <c r="U105" i="1"/>
  <c r="T106" i="1"/>
  <c r="U106" i="1"/>
  <c r="T107" i="1"/>
  <c r="U107" i="1"/>
  <c r="V107" i="1" s="1"/>
  <c r="T108" i="1"/>
  <c r="U108" i="1"/>
  <c r="V108" i="1" s="1"/>
  <c r="T109" i="1"/>
  <c r="U109" i="1"/>
  <c r="T110" i="1"/>
  <c r="U110" i="1"/>
  <c r="V110" i="1" s="1"/>
  <c r="T111" i="1"/>
  <c r="U111" i="1"/>
  <c r="V111" i="1" s="1"/>
  <c r="T112" i="1"/>
  <c r="U112" i="1"/>
  <c r="V112" i="1" s="1"/>
  <c r="T113" i="1"/>
  <c r="U113" i="1"/>
  <c r="T114" i="1"/>
  <c r="U114" i="1"/>
  <c r="T115" i="1"/>
  <c r="U115" i="1"/>
  <c r="V115" i="1" s="1"/>
  <c r="T116" i="1"/>
  <c r="U116" i="1"/>
  <c r="V116" i="1" s="1"/>
  <c r="T117" i="1"/>
  <c r="U117" i="1"/>
  <c r="T118" i="1"/>
  <c r="U118" i="1"/>
  <c r="V118" i="1" s="1"/>
  <c r="T119" i="1"/>
  <c r="U119" i="1"/>
  <c r="V119" i="1" s="1"/>
  <c r="T120" i="1"/>
  <c r="U120" i="1"/>
  <c r="V120" i="1" s="1"/>
  <c r="T121" i="1"/>
  <c r="U121" i="1"/>
  <c r="T122" i="1"/>
  <c r="U122" i="1"/>
  <c r="V122" i="1" s="1"/>
  <c r="T123" i="1"/>
  <c r="U123" i="1"/>
  <c r="V123" i="1" s="1"/>
  <c r="T124" i="1"/>
  <c r="U124" i="1"/>
  <c r="T125" i="1"/>
  <c r="U125" i="1"/>
  <c r="V125" i="1" s="1"/>
  <c r="T126" i="1"/>
  <c r="U126" i="1"/>
  <c r="V126" i="1" s="1"/>
  <c r="T127" i="1"/>
  <c r="U127" i="1"/>
  <c r="V127" i="1" s="1"/>
  <c r="T128" i="1"/>
  <c r="U128" i="1"/>
  <c r="T129" i="1"/>
  <c r="U129" i="1"/>
  <c r="T130" i="1"/>
  <c r="U130" i="1"/>
  <c r="V130" i="1" s="1"/>
  <c r="T131" i="1"/>
  <c r="U131" i="1"/>
  <c r="V131" i="1" s="1"/>
  <c r="T132" i="1"/>
  <c r="U132" i="1"/>
  <c r="T133" i="1"/>
  <c r="U133" i="1"/>
  <c r="V133" i="1" s="1"/>
  <c r="T134" i="1"/>
  <c r="U134" i="1"/>
  <c r="V134" i="1" s="1"/>
  <c r="T135" i="1"/>
  <c r="U135" i="1"/>
  <c r="V135" i="1" s="1"/>
  <c r="T136" i="1"/>
  <c r="U136" i="1"/>
  <c r="T137" i="1"/>
  <c r="U137" i="1"/>
  <c r="T138" i="1"/>
  <c r="U138" i="1"/>
  <c r="V138" i="1" s="1"/>
  <c r="T139" i="1"/>
  <c r="U139" i="1"/>
  <c r="V139" i="1" s="1"/>
  <c r="T140" i="1"/>
  <c r="U140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W222" i="1" s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V304" i="1" s="1"/>
  <c r="T305" i="1"/>
  <c r="U305" i="1"/>
  <c r="V305" i="1" s="1"/>
  <c r="T306" i="1"/>
  <c r="U306" i="1"/>
  <c r="V306" i="1" s="1"/>
  <c r="T307" i="1"/>
  <c r="U307" i="1"/>
  <c r="V307" i="1" s="1"/>
  <c r="T308" i="1"/>
  <c r="U308" i="1"/>
  <c r="V308" i="1" s="1"/>
  <c r="T309" i="1"/>
  <c r="U309" i="1"/>
  <c r="V309" i="1" s="1"/>
  <c r="T310" i="1"/>
  <c r="U310" i="1"/>
  <c r="V310" i="1" s="1"/>
  <c r="T311" i="1"/>
  <c r="U311" i="1"/>
  <c r="V311" i="1" s="1"/>
  <c r="T312" i="1"/>
  <c r="U312" i="1"/>
  <c r="V312" i="1" s="1"/>
  <c r="T313" i="1"/>
  <c r="U313" i="1"/>
  <c r="V313" i="1" s="1"/>
  <c r="T314" i="1"/>
  <c r="U314" i="1"/>
  <c r="V314" i="1" s="1"/>
  <c r="T315" i="1"/>
  <c r="U315" i="1"/>
  <c r="V315" i="1" s="1"/>
  <c r="T316" i="1"/>
  <c r="U316" i="1"/>
  <c r="V316" i="1" s="1"/>
  <c r="T317" i="1"/>
  <c r="U317" i="1"/>
  <c r="V317" i="1" s="1"/>
  <c r="T318" i="1"/>
  <c r="U318" i="1"/>
  <c r="V318" i="1" s="1"/>
  <c r="T319" i="1"/>
  <c r="U319" i="1"/>
  <c r="V319" i="1" s="1"/>
  <c r="T320" i="1"/>
  <c r="U320" i="1"/>
  <c r="V320" i="1" s="1"/>
  <c r="T321" i="1"/>
  <c r="U321" i="1"/>
  <c r="V321" i="1" s="1"/>
  <c r="T322" i="1"/>
  <c r="U322" i="1"/>
  <c r="V322" i="1" s="1"/>
  <c r="T323" i="1"/>
  <c r="U323" i="1"/>
  <c r="V323" i="1" s="1"/>
  <c r="T324" i="1"/>
  <c r="U324" i="1"/>
  <c r="V324" i="1" s="1"/>
  <c r="T325" i="1"/>
  <c r="U325" i="1"/>
  <c r="V325" i="1" s="1"/>
  <c r="T326" i="1"/>
  <c r="U326" i="1"/>
  <c r="V326" i="1" s="1"/>
  <c r="T327" i="1"/>
  <c r="U327" i="1"/>
  <c r="V327" i="1" s="1"/>
  <c r="T328" i="1"/>
  <c r="U328" i="1"/>
  <c r="V328" i="1" s="1"/>
  <c r="T329" i="1"/>
  <c r="U329" i="1"/>
  <c r="V329" i="1" s="1"/>
  <c r="T330" i="1"/>
  <c r="U330" i="1"/>
  <c r="V330" i="1" s="1"/>
  <c r="T331" i="1"/>
  <c r="U331" i="1"/>
  <c r="V331" i="1" s="1"/>
  <c r="T332" i="1"/>
  <c r="U332" i="1"/>
  <c r="V332" i="1" s="1"/>
  <c r="T333" i="1"/>
  <c r="U333" i="1"/>
  <c r="V333" i="1" s="1"/>
  <c r="T334" i="1"/>
  <c r="U334" i="1"/>
  <c r="V334" i="1" s="1"/>
  <c r="T335" i="1"/>
  <c r="U335" i="1"/>
  <c r="V335" i="1" s="1"/>
  <c r="T336" i="1"/>
  <c r="U336" i="1"/>
  <c r="V336" i="1" s="1"/>
  <c r="T337" i="1"/>
  <c r="U337" i="1"/>
  <c r="V337" i="1" s="1"/>
  <c r="T338" i="1"/>
  <c r="U338" i="1"/>
  <c r="V338" i="1" s="1"/>
  <c r="T339" i="1"/>
  <c r="U339" i="1"/>
  <c r="V339" i="1" s="1"/>
  <c r="T340" i="1"/>
  <c r="U340" i="1"/>
  <c r="V340" i="1" s="1"/>
  <c r="T341" i="1"/>
  <c r="U341" i="1"/>
  <c r="V341" i="1" s="1"/>
  <c r="T342" i="1"/>
  <c r="U342" i="1"/>
  <c r="V342" i="1" s="1"/>
  <c r="T343" i="1"/>
  <c r="U343" i="1"/>
  <c r="V343" i="1" s="1"/>
  <c r="T344" i="1"/>
  <c r="U344" i="1"/>
  <c r="V344" i="1" s="1"/>
  <c r="A32" i="7"/>
  <c r="B32" i="7" s="1"/>
  <c r="T10" i="1"/>
  <c r="T11" i="1"/>
  <c r="T12" i="1"/>
  <c r="T13" i="1"/>
  <c r="T14" i="1"/>
  <c r="T3" i="1"/>
  <c r="T4" i="1"/>
  <c r="T5" i="1"/>
  <c r="T6" i="1"/>
  <c r="T7" i="1"/>
  <c r="T8" i="1"/>
  <c r="T9" i="1"/>
  <c r="T2" i="1"/>
  <c r="C32" i="7"/>
  <c r="W177" i="1" l="1"/>
  <c r="W156" i="1"/>
  <c r="D237" i="7"/>
  <c r="D213" i="7"/>
  <c r="D244" i="7"/>
  <c r="D242" i="7"/>
  <c r="D240" i="7"/>
  <c r="D212" i="7"/>
  <c r="D210" i="7"/>
  <c r="D208" i="7"/>
  <c r="D204" i="7"/>
  <c r="D202" i="7"/>
  <c r="D192" i="7"/>
  <c r="D190" i="7"/>
  <c r="D188" i="7"/>
  <c r="D186" i="7"/>
  <c r="D182" i="7"/>
  <c r="D180" i="7"/>
  <c r="D178" i="7"/>
  <c r="D176" i="7"/>
  <c r="D229" i="7"/>
  <c r="D227" i="7"/>
  <c r="D225" i="7"/>
  <c r="D223" i="7"/>
  <c r="D221" i="7"/>
  <c r="W157" i="1"/>
  <c r="D230" i="7"/>
  <c r="D222" i="7"/>
  <c r="D214" i="7"/>
  <c r="W176" i="1"/>
  <c r="D236" i="7"/>
  <c r="D234" i="7"/>
  <c r="D232" i="7"/>
  <c r="D219" i="7"/>
  <c r="D217" i="7"/>
  <c r="D215" i="7"/>
  <c r="D243" i="7"/>
  <c r="D241" i="7"/>
  <c r="D239" i="7"/>
  <c r="D228" i="7"/>
  <c r="D226" i="7"/>
  <c r="D224" i="7"/>
  <c r="D211" i="7"/>
  <c r="D209" i="7"/>
  <c r="D207" i="7"/>
  <c r="D203" i="7"/>
  <c r="D201" i="7"/>
  <c r="W180" i="1"/>
  <c r="W162" i="1"/>
  <c r="D238" i="7"/>
  <c r="D235" i="7"/>
  <c r="D233" i="7"/>
  <c r="D231" i="7"/>
  <c r="D220" i="7"/>
  <c r="D218" i="7"/>
  <c r="D216" i="7"/>
  <c r="D206" i="7"/>
  <c r="W181" i="1"/>
  <c r="W175" i="1"/>
  <c r="W155" i="1"/>
  <c r="D205" i="7"/>
  <c r="W173" i="1"/>
  <c r="W172" i="1"/>
  <c r="D200" i="7"/>
  <c r="W169" i="1"/>
  <c r="W168" i="1"/>
  <c r="D199" i="7"/>
  <c r="D197" i="7"/>
  <c r="D187" i="7"/>
  <c r="D183" i="7"/>
  <c r="D181" i="7"/>
  <c r="D179" i="7"/>
  <c r="D177" i="7"/>
  <c r="D175" i="7"/>
  <c r="W305" i="1"/>
  <c r="D154" i="7"/>
  <c r="D152" i="7"/>
  <c r="D142" i="7"/>
  <c r="W153" i="1"/>
  <c r="W150" i="1"/>
  <c r="W178" i="1"/>
  <c r="W174" i="1"/>
  <c r="W170" i="1"/>
  <c r="W160" i="1"/>
  <c r="W154" i="1"/>
  <c r="W151" i="1"/>
  <c r="W179" i="1"/>
  <c r="W171" i="1"/>
  <c r="D159" i="7"/>
  <c r="D153" i="7"/>
  <c r="D141" i="7"/>
  <c r="W167" i="1"/>
  <c r="D198" i="7"/>
  <c r="W166" i="1"/>
  <c r="W165" i="1"/>
  <c r="D196" i="7"/>
  <c r="W164" i="1"/>
  <c r="D194" i="7"/>
  <c r="W163" i="1"/>
  <c r="W161" i="1"/>
  <c r="D195" i="7"/>
  <c r="D193" i="7"/>
  <c r="D191" i="7"/>
  <c r="W159" i="1"/>
  <c r="D189" i="7"/>
  <c r="W158" i="1"/>
  <c r="D185" i="7"/>
  <c r="D184" i="7"/>
  <c r="W152" i="1"/>
  <c r="W149" i="1"/>
  <c r="W148" i="1"/>
  <c r="W147" i="1"/>
  <c r="W146" i="1"/>
  <c r="W145" i="1"/>
  <c r="W144" i="1"/>
  <c r="W143" i="1"/>
  <c r="W142" i="1"/>
  <c r="W141" i="1"/>
  <c r="D57" i="7"/>
  <c r="D55" i="7"/>
  <c r="D51" i="7"/>
  <c r="D49" i="7"/>
  <c r="D174" i="7"/>
  <c r="D172" i="7"/>
  <c r="D173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8" i="7"/>
  <c r="D157" i="7"/>
  <c r="D156" i="7"/>
  <c r="D155" i="7"/>
  <c r="D151" i="7"/>
  <c r="D150" i="7"/>
  <c r="D149" i="7"/>
  <c r="D148" i="7"/>
  <c r="D147" i="7"/>
  <c r="D146" i="7"/>
  <c r="D145" i="7"/>
  <c r="D144" i="7"/>
  <c r="D143" i="7"/>
  <c r="W130" i="1"/>
  <c r="D40" i="7"/>
  <c r="D140" i="7"/>
  <c r="D138" i="7"/>
  <c r="D136" i="7"/>
  <c r="D134" i="7"/>
  <c r="D132" i="7"/>
  <c r="D130" i="7"/>
  <c r="D128" i="7"/>
  <c r="D126" i="7"/>
  <c r="D124" i="7"/>
  <c r="D122" i="7"/>
  <c r="D120" i="7"/>
  <c r="D118" i="7"/>
  <c r="D116" i="7"/>
  <c r="D114" i="7"/>
  <c r="D108" i="7"/>
  <c r="D106" i="7"/>
  <c r="D104" i="7"/>
  <c r="D102" i="7"/>
  <c r="D100" i="7"/>
  <c r="D98" i="7"/>
  <c r="D96" i="7"/>
  <c r="D94" i="7"/>
  <c r="D139" i="7"/>
  <c r="D137" i="7"/>
  <c r="D135" i="7"/>
  <c r="D133" i="7"/>
  <c r="D131" i="7"/>
  <c r="D129" i="7"/>
  <c r="D127" i="7"/>
  <c r="D125" i="7"/>
  <c r="D123" i="7"/>
  <c r="D121" i="7"/>
  <c r="D119" i="7"/>
  <c r="D117" i="7"/>
  <c r="D115" i="7"/>
  <c r="D113" i="7"/>
  <c r="D109" i="7"/>
  <c r="D107" i="7"/>
  <c r="D105" i="7"/>
  <c r="D103" i="7"/>
  <c r="D101" i="7"/>
  <c r="D99" i="7"/>
  <c r="D97" i="7"/>
  <c r="D95" i="7"/>
  <c r="D83" i="7"/>
  <c r="D79" i="7"/>
  <c r="D71" i="7"/>
  <c r="D63" i="7"/>
  <c r="D52" i="7"/>
  <c r="D50" i="7"/>
  <c r="D48" i="7"/>
  <c r="D39" i="7"/>
  <c r="D35" i="7"/>
  <c r="D33" i="7"/>
  <c r="W86" i="1"/>
  <c r="D45" i="7"/>
  <c r="D36" i="7"/>
  <c r="D34" i="7"/>
  <c r="W337" i="1"/>
  <c r="D112" i="7"/>
  <c r="D111" i="7"/>
  <c r="D110" i="7"/>
  <c r="W68" i="1"/>
  <c r="W321" i="1"/>
  <c r="W99" i="1"/>
  <c r="D53" i="7"/>
  <c r="D44" i="7"/>
  <c r="D42" i="7"/>
  <c r="W78" i="1"/>
  <c r="V53" i="1"/>
  <c r="D47" i="7"/>
  <c r="D43" i="7"/>
  <c r="D41" i="7"/>
  <c r="D37" i="7"/>
  <c r="W329" i="1"/>
  <c r="W110" i="1"/>
  <c r="W82" i="1"/>
  <c r="W70" i="1"/>
  <c r="W119" i="1"/>
  <c r="W313" i="1"/>
  <c r="W90" i="1"/>
  <c r="V42" i="1"/>
  <c r="W77" i="1"/>
  <c r="W75" i="1"/>
  <c r="W76" i="1"/>
  <c r="W73" i="1"/>
  <c r="W74" i="1"/>
  <c r="W72" i="1"/>
  <c r="W71" i="1"/>
  <c r="V65" i="1"/>
  <c r="V63" i="1"/>
  <c r="V61" i="1"/>
  <c r="V59" i="1"/>
  <c r="V57" i="1"/>
  <c r="V55" i="1"/>
  <c r="D88" i="7"/>
  <c r="V54" i="1"/>
  <c r="D84" i="7"/>
  <c r="V51" i="1"/>
  <c r="V50" i="1"/>
  <c r="V49" i="1"/>
  <c r="D78" i="7"/>
  <c r="D76" i="7"/>
  <c r="V46" i="1"/>
  <c r="V45" i="1"/>
  <c r="D75" i="7"/>
  <c r="V41" i="1"/>
  <c r="D70" i="7"/>
  <c r="V38" i="1"/>
  <c r="V37" i="1"/>
  <c r="D67" i="7"/>
  <c r="V34" i="1"/>
  <c r="D68" i="7"/>
  <c r="V33" i="1"/>
  <c r="D62" i="7"/>
  <c r="D91" i="7"/>
  <c r="D61" i="7"/>
  <c r="D60" i="7"/>
  <c r="D90" i="7"/>
  <c r="V30" i="1"/>
  <c r="V29" i="1"/>
  <c r="D59" i="7"/>
  <c r="D87" i="7"/>
  <c r="D56" i="7"/>
  <c r="D86" i="7"/>
  <c r="V26" i="1"/>
  <c r="D92" i="7"/>
  <c r="D80" i="7"/>
  <c r="D72" i="7"/>
  <c r="D64" i="7"/>
  <c r="D93" i="7"/>
  <c r="D89" i="7"/>
  <c r="D85" i="7"/>
  <c r="D82" i="7"/>
  <c r="D81" i="7"/>
  <c r="D77" i="7"/>
  <c r="D74" i="7"/>
  <c r="D73" i="7"/>
  <c r="D69" i="7"/>
  <c r="D66" i="7"/>
  <c r="D65" i="7"/>
  <c r="D58" i="7"/>
  <c r="D54" i="7"/>
  <c r="D46" i="7"/>
  <c r="D38" i="7"/>
  <c r="W25" i="1"/>
  <c r="W24" i="1"/>
  <c r="W23" i="1"/>
  <c r="W22" i="1"/>
  <c r="W21" i="1"/>
  <c r="W20" i="1"/>
  <c r="W19" i="1"/>
  <c r="W18" i="1"/>
  <c r="W17" i="1"/>
  <c r="W16" i="1"/>
  <c r="W15" i="1"/>
  <c r="W333" i="1"/>
  <c r="W317" i="1"/>
  <c r="W103" i="1"/>
  <c r="W94" i="1"/>
  <c r="W84" i="1"/>
  <c r="W66" i="1"/>
  <c r="V62" i="1"/>
  <c r="V58" i="1"/>
  <c r="V47" i="1"/>
  <c r="V43" i="1"/>
  <c r="V39" i="1"/>
  <c r="V35" i="1"/>
  <c r="V31" i="1"/>
  <c r="V27" i="1"/>
  <c r="W341" i="1"/>
  <c r="W325" i="1"/>
  <c r="W309" i="1"/>
  <c r="V222" i="1"/>
  <c r="W134" i="1"/>
  <c r="W125" i="1"/>
  <c r="W115" i="1"/>
  <c r="W88" i="1"/>
  <c r="W80" i="1"/>
  <c r="V64" i="1"/>
  <c r="V60" i="1"/>
  <c r="V56" i="1"/>
  <c r="V52" i="1"/>
  <c r="V48" i="1"/>
  <c r="V44" i="1"/>
  <c r="V40" i="1"/>
  <c r="V36" i="1"/>
  <c r="V32" i="1"/>
  <c r="V28" i="1"/>
  <c r="W338" i="1"/>
  <c r="W330" i="1"/>
  <c r="W322" i="1"/>
  <c r="W314" i="1"/>
  <c r="W306" i="1"/>
  <c r="W138" i="1"/>
  <c r="W133" i="1"/>
  <c r="W126" i="1"/>
  <c r="W107" i="1"/>
  <c r="W102" i="1"/>
  <c r="W95" i="1"/>
  <c r="W89" i="1"/>
  <c r="W85" i="1"/>
  <c r="W81" i="1"/>
  <c r="V69" i="1"/>
  <c r="V67" i="1"/>
  <c r="W342" i="1"/>
  <c r="W334" i="1"/>
  <c r="W326" i="1"/>
  <c r="W318" i="1"/>
  <c r="W310" i="1"/>
  <c r="W122" i="1"/>
  <c r="W118" i="1"/>
  <c r="W111" i="1"/>
  <c r="W91" i="1"/>
  <c r="W87" i="1"/>
  <c r="W83" i="1"/>
  <c r="W79" i="1"/>
  <c r="V302" i="1"/>
  <c r="W302" i="1"/>
  <c r="V296" i="1"/>
  <c r="W296" i="1"/>
  <c r="V290" i="1"/>
  <c r="W290" i="1"/>
  <c r="V286" i="1"/>
  <c r="W286" i="1"/>
  <c r="V280" i="1"/>
  <c r="W280" i="1"/>
  <c r="V276" i="1"/>
  <c r="W276" i="1"/>
  <c r="V270" i="1"/>
  <c r="W270" i="1"/>
  <c r="V266" i="1"/>
  <c r="W266" i="1"/>
  <c r="V262" i="1"/>
  <c r="W262" i="1"/>
  <c r="V258" i="1"/>
  <c r="W258" i="1"/>
  <c r="V254" i="1"/>
  <c r="W254" i="1"/>
  <c r="V250" i="1"/>
  <c r="W250" i="1"/>
  <c r="V246" i="1"/>
  <c r="W246" i="1"/>
  <c r="V242" i="1"/>
  <c r="W242" i="1"/>
  <c r="V238" i="1"/>
  <c r="W238" i="1"/>
  <c r="V234" i="1"/>
  <c r="W234" i="1"/>
  <c r="V228" i="1"/>
  <c r="W228" i="1"/>
  <c r="V224" i="1"/>
  <c r="W224" i="1"/>
  <c r="V124" i="1"/>
  <c r="W124" i="1"/>
  <c r="V98" i="1"/>
  <c r="W98" i="1"/>
  <c r="V137" i="1"/>
  <c r="W137" i="1"/>
  <c r="V132" i="1"/>
  <c r="W132" i="1"/>
  <c r="V106" i="1"/>
  <c r="W106" i="1"/>
  <c r="V101" i="1"/>
  <c r="W101" i="1"/>
  <c r="V300" i="1"/>
  <c r="W300" i="1"/>
  <c r="V294" i="1"/>
  <c r="W294" i="1"/>
  <c r="V288" i="1"/>
  <c r="W288" i="1"/>
  <c r="V284" i="1"/>
  <c r="W284" i="1"/>
  <c r="V278" i="1"/>
  <c r="W278" i="1"/>
  <c r="V274" i="1"/>
  <c r="W274" i="1"/>
  <c r="V268" i="1"/>
  <c r="W268" i="1"/>
  <c r="V264" i="1"/>
  <c r="W264" i="1"/>
  <c r="V260" i="1"/>
  <c r="W260" i="1"/>
  <c r="V256" i="1"/>
  <c r="W256" i="1"/>
  <c r="V252" i="1"/>
  <c r="W252" i="1"/>
  <c r="V248" i="1"/>
  <c r="W248" i="1"/>
  <c r="V244" i="1"/>
  <c r="W244" i="1"/>
  <c r="V240" i="1"/>
  <c r="W240" i="1"/>
  <c r="V236" i="1"/>
  <c r="W236" i="1"/>
  <c r="V232" i="1"/>
  <c r="W232" i="1"/>
  <c r="V230" i="1"/>
  <c r="W230" i="1"/>
  <c r="V226" i="1"/>
  <c r="W226" i="1"/>
  <c r="V129" i="1"/>
  <c r="W129" i="1"/>
  <c r="V93" i="1"/>
  <c r="W93" i="1"/>
  <c r="W343" i="1"/>
  <c r="W339" i="1"/>
  <c r="W335" i="1"/>
  <c r="W331" i="1"/>
  <c r="W327" i="1"/>
  <c r="W323" i="1"/>
  <c r="W319" i="1"/>
  <c r="W315" i="1"/>
  <c r="W311" i="1"/>
  <c r="W307" i="1"/>
  <c r="V303" i="1"/>
  <c r="W303" i="1"/>
  <c r="V301" i="1"/>
  <c r="W301" i="1"/>
  <c r="V299" i="1"/>
  <c r="W299" i="1"/>
  <c r="V297" i="1"/>
  <c r="W297" i="1"/>
  <c r="V295" i="1"/>
  <c r="W295" i="1"/>
  <c r="V293" i="1"/>
  <c r="W293" i="1"/>
  <c r="V291" i="1"/>
  <c r="W291" i="1"/>
  <c r="V289" i="1"/>
  <c r="W289" i="1"/>
  <c r="V287" i="1"/>
  <c r="W287" i="1"/>
  <c r="V285" i="1"/>
  <c r="W285" i="1"/>
  <c r="V283" i="1"/>
  <c r="W283" i="1"/>
  <c r="V281" i="1"/>
  <c r="W281" i="1"/>
  <c r="V279" i="1"/>
  <c r="W279" i="1"/>
  <c r="V277" i="1"/>
  <c r="W277" i="1"/>
  <c r="V275" i="1"/>
  <c r="W275" i="1"/>
  <c r="V273" i="1"/>
  <c r="W273" i="1"/>
  <c r="V271" i="1"/>
  <c r="W271" i="1"/>
  <c r="V269" i="1"/>
  <c r="W269" i="1"/>
  <c r="V267" i="1"/>
  <c r="W267" i="1"/>
  <c r="V265" i="1"/>
  <c r="W265" i="1"/>
  <c r="V263" i="1"/>
  <c r="W263" i="1"/>
  <c r="V261" i="1"/>
  <c r="W261" i="1"/>
  <c r="V259" i="1"/>
  <c r="W259" i="1"/>
  <c r="V257" i="1"/>
  <c r="W257" i="1"/>
  <c r="V255" i="1"/>
  <c r="W255" i="1"/>
  <c r="V253" i="1"/>
  <c r="W253" i="1"/>
  <c r="V251" i="1"/>
  <c r="W251" i="1"/>
  <c r="V249" i="1"/>
  <c r="W249" i="1"/>
  <c r="V247" i="1"/>
  <c r="W247" i="1"/>
  <c r="V245" i="1"/>
  <c r="W245" i="1"/>
  <c r="V243" i="1"/>
  <c r="W243" i="1"/>
  <c r="V241" i="1"/>
  <c r="W241" i="1"/>
  <c r="V239" i="1"/>
  <c r="W239" i="1"/>
  <c r="V237" i="1"/>
  <c r="W237" i="1"/>
  <c r="V235" i="1"/>
  <c r="W235" i="1"/>
  <c r="V233" i="1"/>
  <c r="W233" i="1"/>
  <c r="V231" i="1"/>
  <c r="W231" i="1"/>
  <c r="V229" i="1"/>
  <c r="W229" i="1"/>
  <c r="V227" i="1"/>
  <c r="W227" i="1"/>
  <c r="V225" i="1"/>
  <c r="W225" i="1"/>
  <c r="V223" i="1"/>
  <c r="W223" i="1"/>
  <c r="V140" i="1"/>
  <c r="W140" i="1"/>
  <c r="V114" i="1"/>
  <c r="W114" i="1"/>
  <c r="V109" i="1"/>
  <c r="W109" i="1"/>
  <c r="V298" i="1"/>
  <c r="W298" i="1"/>
  <c r="V292" i="1"/>
  <c r="W292" i="1"/>
  <c r="V282" i="1"/>
  <c r="W282" i="1"/>
  <c r="V272" i="1"/>
  <c r="W272" i="1"/>
  <c r="W344" i="1"/>
  <c r="W340" i="1"/>
  <c r="W336" i="1"/>
  <c r="W332" i="1"/>
  <c r="W328" i="1"/>
  <c r="W324" i="1"/>
  <c r="W320" i="1"/>
  <c r="W316" i="1"/>
  <c r="W312" i="1"/>
  <c r="W308" i="1"/>
  <c r="W304" i="1"/>
  <c r="V221" i="1"/>
  <c r="W221" i="1"/>
  <c r="V219" i="1"/>
  <c r="W219" i="1"/>
  <c r="V217" i="1"/>
  <c r="W217" i="1"/>
  <c r="V215" i="1"/>
  <c r="W215" i="1"/>
  <c r="V213" i="1"/>
  <c r="W213" i="1"/>
  <c r="V211" i="1"/>
  <c r="W211" i="1"/>
  <c r="V209" i="1"/>
  <c r="W209" i="1"/>
  <c r="V207" i="1"/>
  <c r="W207" i="1"/>
  <c r="V205" i="1"/>
  <c r="W205" i="1"/>
  <c r="V203" i="1"/>
  <c r="W203" i="1"/>
  <c r="V201" i="1"/>
  <c r="W201" i="1"/>
  <c r="V199" i="1"/>
  <c r="W199" i="1"/>
  <c r="V121" i="1"/>
  <c r="W121" i="1"/>
  <c r="V117" i="1"/>
  <c r="W117" i="1"/>
  <c r="V220" i="1"/>
  <c r="W220" i="1"/>
  <c r="V218" i="1"/>
  <c r="W218" i="1"/>
  <c r="V216" i="1"/>
  <c r="W216" i="1"/>
  <c r="V214" i="1"/>
  <c r="W214" i="1"/>
  <c r="V212" i="1"/>
  <c r="W212" i="1"/>
  <c r="V210" i="1"/>
  <c r="W210" i="1"/>
  <c r="V208" i="1"/>
  <c r="W208" i="1"/>
  <c r="V206" i="1"/>
  <c r="W206" i="1"/>
  <c r="V204" i="1"/>
  <c r="W204" i="1"/>
  <c r="V202" i="1"/>
  <c r="W202" i="1"/>
  <c r="V200" i="1"/>
  <c r="W200" i="1"/>
  <c r="V198" i="1"/>
  <c r="W198" i="1"/>
  <c r="V136" i="1"/>
  <c r="W136" i="1"/>
  <c r="V128" i="1"/>
  <c r="W128" i="1"/>
  <c r="V113" i="1"/>
  <c r="W113" i="1"/>
  <c r="V105" i="1"/>
  <c r="W105" i="1"/>
  <c r="V97" i="1"/>
  <c r="W97" i="1"/>
  <c r="W139" i="1"/>
  <c r="W135" i="1"/>
  <c r="W131" i="1"/>
  <c r="W127" i="1"/>
  <c r="W123" i="1"/>
  <c r="W120" i="1"/>
  <c r="W116" i="1"/>
  <c r="W112" i="1"/>
  <c r="W108" i="1"/>
  <c r="W104" i="1"/>
  <c r="W100" i="1"/>
  <c r="W96" i="1"/>
  <c r="W92" i="1"/>
  <c r="D32" i="7"/>
  <c r="U3" i="1" l="1"/>
  <c r="V3" i="1" s="1"/>
  <c r="U4" i="1"/>
  <c r="V4" i="1" s="1"/>
  <c r="U5" i="1"/>
  <c r="V5" i="1" s="1"/>
  <c r="U6" i="1"/>
  <c r="V6" i="1" s="1"/>
  <c r="U7" i="1"/>
  <c r="V7" i="1" s="1"/>
  <c r="U8" i="1"/>
  <c r="V8" i="1" s="1"/>
  <c r="U9" i="1"/>
  <c r="V9" i="1" s="1"/>
  <c r="U10" i="1"/>
  <c r="V10" i="1" s="1"/>
  <c r="U11" i="1"/>
  <c r="V11" i="1" s="1"/>
  <c r="U12" i="1"/>
  <c r="V12" i="1" s="1"/>
  <c r="U13" i="1"/>
  <c r="V13" i="1" s="1"/>
  <c r="U14" i="1"/>
  <c r="V14" i="1" s="1"/>
  <c r="W3" i="1" l="1"/>
  <c r="W14" i="1"/>
  <c r="W13" i="1"/>
  <c r="W12" i="1"/>
  <c r="W11" i="1"/>
  <c r="W10" i="1"/>
  <c r="W9" i="1"/>
  <c r="W8" i="1"/>
  <c r="W7" i="1"/>
  <c r="W6" i="1"/>
  <c r="W5" i="1"/>
  <c r="W4" i="1"/>
  <c r="U2" i="1"/>
  <c r="V2" i="1" s="1"/>
  <c r="W2" i="1" l="1"/>
</calcChain>
</file>

<file path=xl/sharedStrings.xml><?xml version="1.0" encoding="utf-8"?>
<sst xmlns="http://schemas.openxmlformats.org/spreadsheetml/2006/main" count="2228" uniqueCount="510">
  <si>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</si>
  <si>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</si>
  <si>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</si>
  <si>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</si>
  <si>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</si>
  <si>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</si>
  <si>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</si>
  <si>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</si>
  <si>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</si>
  <si>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</si>
  <si>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</si>
  <si>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</si>
  <si>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</si>
  <si>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</si>
  <si>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</si>
  <si>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</si>
  <si>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</si>
  <si>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</si>
  <si>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</si>
  <si>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</si>
  <si>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</si>
  <si>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</si>
  <si>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</si>
  <si>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</si>
  <si>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</si>
  <si>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</si>
  <si>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</si>
  <si>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</si>
  <si>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</si>
  <si>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</si>
  <si>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</si>
  <si>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</si>
  <si>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</si>
  <si>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</si>
  <si>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 xml:space="preserve">HUMANIZACION EN SALUD, BUENAS PRACTICAS EN PACIENTE 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</si>
  <si>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</si>
  <si>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</si>
  <si>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</si>
  <si>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</si>
  <si>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</si>
  <si>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 xml:space="preserve">SOPORTE CARDIOVASCULAR AVANZADO </t>
  </si>
  <si>
    <t>CAMILLERO</t>
  </si>
  <si>
    <t xml:space="preserve">CAMILLERO </t>
  </si>
  <si>
    <t>TOMA DE MUESTRAS</t>
  </si>
  <si>
    <t xml:space="preserve">TOMA MUESTRAS Y LABORATORIO 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</si>
  <si>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</si>
  <si>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</si>
  <si>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</si>
  <si>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</si>
  <si>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</si>
  <si>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</si>
  <si>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</si>
  <si>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</si>
  <si>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</si>
  <si>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</si>
  <si>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</si>
  <si>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</si>
  <si>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</si>
  <si>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</si>
  <si>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</si>
  <si>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</si>
  <si>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</si>
  <si>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</si>
  <si>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</si>
  <si>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</si>
  <si>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</si>
  <si>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</si>
  <si>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TOMA MUESTRAS Y LABORATORIO POCT</t>
  </si>
  <si>
    <t>IMPLANTE</t>
  </si>
  <si>
    <t>IMPLANTE SUBDERMICO Y DISPOSITIVO INTRAUTERINO</t>
  </si>
  <si>
    <t>SALUD MENTAL</t>
  </si>
  <si>
    <t>PRIMEROS AUXILIOS P</t>
  </si>
  <si>
    <t>PRIMEROS AUXILIOS PSICOLOGICOS</t>
  </si>
  <si>
    <t>CONFLICTO ARMADO</t>
  </si>
  <si>
    <t>ATENCION A VICTIMAS POR CONFLICTO ARMADO</t>
  </si>
  <si>
    <t>CCS</t>
  </si>
  <si>
    <t>FECHA DE NACIMIENTO</t>
  </si>
  <si>
    <t>NEQUI</t>
  </si>
  <si>
    <t>X</t>
  </si>
  <si>
    <t>M</t>
  </si>
  <si>
    <t>ELABORO</t>
  </si>
  <si>
    <t xml:space="preserve">CORREO </t>
  </si>
  <si>
    <t>Delgado</t>
  </si>
  <si>
    <t>DAVIPLATA</t>
  </si>
  <si>
    <t>Camilo</t>
  </si>
  <si>
    <t>Alexander</t>
  </si>
  <si>
    <t>MEDICO</t>
  </si>
  <si>
    <t>LINK BASE</t>
  </si>
  <si>
    <t>CEDULA</t>
  </si>
  <si>
    <t>LINK</t>
  </si>
  <si>
    <t>Molina</t>
  </si>
  <si>
    <t>Riaño</t>
  </si>
  <si>
    <t>Johnatan</t>
  </si>
  <si>
    <t>MAYO</t>
  </si>
  <si>
    <t>Sebastian</t>
  </si>
  <si>
    <t xml:space="preserve">mateo289005@hotmail.com </t>
  </si>
  <si>
    <t>Cabrera</t>
  </si>
  <si>
    <t>Melo</t>
  </si>
  <si>
    <t>Lizbeth</t>
  </si>
  <si>
    <t>YURANI</t>
  </si>
  <si>
    <t>F</t>
  </si>
  <si>
    <t>Liz18042020@gmail.com</t>
  </si>
  <si>
    <t>Chalacan</t>
  </si>
  <si>
    <t>Nayive</t>
  </si>
  <si>
    <t>Margoth</t>
  </si>
  <si>
    <t>nayive789@hotmail.com</t>
  </si>
  <si>
    <t>AUXILIAR DE ENFERMERIA</t>
  </si>
  <si>
    <t>Estupiñan</t>
  </si>
  <si>
    <t>Ortega</t>
  </si>
  <si>
    <t>Yenny</t>
  </si>
  <si>
    <t>Bell</t>
  </si>
  <si>
    <t xml:space="preserve">Auxiliar1medfamipiales@gmail.com </t>
  </si>
  <si>
    <t>Zambrano</t>
  </si>
  <si>
    <t>Riascos</t>
  </si>
  <si>
    <t>Marilyn</t>
  </si>
  <si>
    <t>Yesenia</t>
  </si>
  <si>
    <t>marilynpsicologa@gmail.com</t>
  </si>
  <si>
    <t>PAI</t>
  </si>
  <si>
    <t>MANIPULACION DE ALIMENTOS</t>
  </si>
  <si>
    <t>MANIPULACION DE ALIMENTOS Y BPM</t>
  </si>
  <si>
    <t>Rosero</t>
  </si>
  <si>
    <t>Jacome</t>
  </si>
  <si>
    <t>Bairon</t>
  </si>
  <si>
    <t>Javier</t>
  </si>
  <si>
    <t>BANCOLOMBIA</t>
  </si>
  <si>
    <t>Lopez</t>
  </si>
  <si>
    <t>Santacruz</t>
  </si>
  <si>
    <t>Vilma</t>
  </si>
  <si>
    <t>Judith</t>
  </si>
  <si>
    <t xml:space="preserve">Vilmayudiht49@gmail.com </t>
  </si>
  <si>
    <t>Villacorte</t>
  </si>
  <si>
    <t>Nilsa</t>
  </si>
  <si>
    <t>Ximena</t>
  </si>
  <si>
    <t xml:space="preserve">ximena2184@hotmail.com </t>
  </si>
  <si>
    <t>Montenegro</t>
  </si>
  <si>
    <t>Manolo</t>
  </si>
  <si>
    <t>nico</t>
  </si>
  <si>
    <t>ingeniero agroforestal</t>
  </si>
  <si>
    <t xml:space="preserve">manortega28@gmail.com </t>
  </si>
  <si>
    <t>YEPES</t>
  </si>
  <si>
    <t>ESPAÑA</t>
  </si>
  <si>
    <t>ESTEFANIA</t>
  </si>
  <si>
    <t>YERIKA</t>
  </si>
  <si>
    <t>ENFEREMERA JEFE</t>
  </si>
  <si>
    <t>estefaniayepes7@hotmail.com</t>
  </si>
  <si>
    <t>Ruiz</t>
  </si>
  <si>
    <t>Portillo</t>
  </si>
  <si>
    <t>Eder</t>
  </si>
  <si>
    <t>edermauricioruiz@gmail.com</t>
  </si>
  <si>
    <t>Mauricio</t>
  </si>
  <si>
    <t xml:space="preserve">ADMINISTRACION DE MEDICAMENTOS, INYECTOLOGIA  Y CANALIZACION </t>
  </si>
  <si>
    <t>Benavides</t>
  </si>
  <si>
    <t>Jaime</t>
  </si>
  <si>
    <t>Gustavo</t>
  </si>
  <si>
    <t>BRAYAN</t>
  </si>
  <si>
    <t>Calderon</t>
  </si>
  <si>
    <t>Andrés</t>
  </si>
  <si>
    <t>CONDUCTOR DE AMBULANCIA</t>
  </si>
  <si>
    <t>ipslasamericas@hotmail.com</t>
  </si>
  <si>
    <t>Patiño</t>
  </si>
  <si>
    <t>Aida</t>
  </si>
  <si>
    <t>Constanza</t>
  </si>
  <si>
    <t>ENFERMERA</t>
  </si>
  <si>
    <t>constanzadg11@gmail.com</t>
  </si>
  <si>
    <t>Tarapuez</t>
  </si>
  <si>
    <t>Aguirre</t>
  </si>
  <si>
    <t>Yesid</t>
  </si>
  <si>
    <t>tarapuezandres08@gmail.com</t>
  </si>
  <si>
    <t xml:space="preserve">316 6857698 </t>
  </si>
  <si>
    <t>Yepez</t>
  </si>
  <si>
    <t>Micanquer</t>
  </si>
  <si>
    <t>Ceron</t>
  </si>
  <si>
    <t>Betty</t>
  </si>
  <si>
    <t>Guerrero</t>
  </si>
  <si>
    <t>Solarte</t>
  </si>
  <si>
    <t>Karol</t>
  </si>
  <si>
    <t>Lizeth</t>
  </si>
  <si>
    <t>FRANCISCO</t>
  </si>
  <si>
    <t>djkarly1515@gmail.com</t>
  </si>
  <si>
    <t>bethy.micanquer@correo.policia.gov.co</t>
  </si>
  <si>
    <t>311 7035320</t>
  </si>
  <si>
    <t>yepezjaime939@gmail.com</t>
  </si>
  <si>
    <t>Escobar</t>
  </si>
  <si>
    <t>Matabanchoy</t>
  </si>
  <si>
    <t>Natalia</t>
  </si>
  <si>
    <t>Del rosario</t>
  </si>
  <si>
    <t>nataliaescobarmedfam@gmail.com</t>
  </si>
  <si>
    <t>ENFERMERA JEFE</t>
  </si>
  <si>
    <t>Miryam</t>
  </si>
  <si>
    <t>Fabiola</t>
  </si>
  <si>
    <t>miryammelof051221@gmail.com</t>
  </si>
  <si>
    <t>Bolaños</t>
  </si>
  <si>
    <t>López</t>
  </si>
  <si>
    <t>Sandra</t>
  </si>
  <si>
    <t xml:space="preserve">saxibolo1978@gmail.com </t>
  </si>
  <si>
    <t>Jurado</t>
  </si>
  <si>
    <t>Castro</t>
  </si>
  <si>
    <t>Jazmín</t>
  </si>
  <si>
    <t>ODONTOLOGA</t>
  </si>
  <si>
    <t>jazminjurado91@hotmail.com</t>
  </si>
  <si>
    <t>Chicunque</t>
  </si>
  <si>
    <t>Dejoy</t>
  </si>
  <si>
    <t>Jesus</t>
  </si>
  <si>
    <t>Fabian</t>
  </si>
  <si>
    <t>ESTUDIANTE DE FARMACIA</t>
  </si>
  <si>
    <t>fabianch2591@gmail.com</t>
  </si>
  <si>
    <t>Narváez</t>
  </si>
  <si>
    <t>Insuasty</t>
  </si>
  <si>
    <t>Consuelo</t>
  </si>
  <si>
    <t>Del pilar</t>
  </si>
  <si>
    <t>consupilarnarvaez@gmail.com</t>
  </si>
  <si>
    <t>Puerres</t>
  </si>
  <si>
    <t>Hidalgo</t>
  </si>
  <si>
    <t>Johana</t>
  </si>
  <si>
    <t>Marcela</t>
  </si>
  <si>
    <t xml:space="preserve">johanampuerres@gmail.com </t>
  </si>
  <si>
    <t>Pinza</t>
  </si>
  <si>
    <t>Chamorro</t>
  </si>
  <si>
    <t>Martha</t>
  </si>
  <si>
    <t>Leonor</t>
  </si>
  <si>
    <t>leonorpinza@gmail.com</t>
  </si>
  <si>
    <t>Quenan</t>
  </si>
  <si>
    <t>Derly</t>
  </si>
  <si>
    <t>Yamile</t>
  </si>
  <si>
    <t>Derlyyami@hotmail.com</t>
  </si>
  <si>
    <t>Ramirez</t>
  </si>
  <si>
    <t>Suárez</t>
  </si>
  <si>
    <t>Liliana</t>
  </si>
  <si>
    <t>Del socorro</t>
  </si>
  <si>
    <t>lr739701@gmail.com</t>
  </si>
  <si>
    <t>Potosi</t>
  </si>
  <si>
    <t>Villareal</t>
  </si>
  <si>
    <t>Jeimy</t>
  </si>
  <si>
    <t>Dayan</t>
  </si>
  <si>
    <t>Yeimy1018@gmail.com</t>
  </si>
  <si>
    <t>Almeida</t>
  </si>
  <si>
    <t>Daisy</t>
  </si>
  <si>
    <t>puca0318@hotmail.com</t>
  </si>
  <si>
    <t>Pastas</t>
  </si>
  <si>
    <t>Estrada</t>
  </si>
  <si>
    <t>Angela</t>
  </si>
  <si>
    <t>Stella</t>
  </si>
  <si>
    <t>anghie.pastaz@gmail.com</t>
  </si>
  <si>
    <t>Bastidas</t>
  </si>
  <si>
    <t>Erika</t>
  </si>
  <si>
    <t>Sofia</t>
  </si>
  <si>
    <t>sofiabastidas792@gmail.com</t>
  </si>
  <si>
    <t>Timana</t>
  </si>
  <si>
    <t>Puchana</t>
  </si>
  <si>
    <t>Veronica</t>
  </si>
  <si>
    <t>Lorena</t>
  </si>
  <si>
    <t>timanaveronica94@gmail.com</t>
  </si>
  <si>
    <t>Velasco</t>
  </si>
  <si>
    <t>Paz</t>
  </si>
  <si>
    <t>Carolina</t>
  </si>
  <si>
    <t>karolitavela@hotmail.com</t>
  </si>
  <si>
    <t>Caicedo</t>
  </si>
  <si>
    <t>Miranda</t>
  </si>
  <si>
    <t>Maribel</t>
  </si>
  <si>
    <t>caicedomaribel642@gmail.com</t>
  </si>
  <si>
    <t>Calvache</t>
  </si>
  <si>
    <t>Romero</t>
  </si>
  <si>
    <t>María</t>
  </si>
  <si>
    <t>Cristina</t>
  </si>
  <si>
    <t>tity2222@hotmail.com</t>
  </si>
  <si>
    <t>CORPOSALUD</t>
  </si>
  <si>
    <t>Ángela</t>
  </si>
  <si>
    <t>Patricia</t>
  </si>
  <si>
    <t>MEDICA ANESTESIOLOGA</t>
  </si>
  <si>
    <t xml:space="preserve">angela.estrada@correounivalle.edu.co </t>
  </si>
  <si>
    <t>Angie</t>
  </si>
  <si>
    <t>Gabriela</t>
  </si>
  <si>
    <t>angiegabriela1996@gmail.com</t>
  </si>
  <si>
    <t>Gaviria</t>
  </si>
  <si>
    <t>Quiroz</t>
  </si>
  <si>
    <t>Duidian</t>
  </si>
  <si>
    <t>Irledy</t>
  </si>
  <si>
    <t>irledysplendor@gmail.com</t>
  </si>
  <si>
    <t>Muñoz</t>
  </si>
  <si>
    <t>Criollo</t>
  </si>
  <si>
    <t>Claudia</t>
  </si>
  <si>
    <t>Del carmen</t>
  </si>
  <si>
    <t>LUIS PINTA</t>
  </si>
  <si>
    <t>Agreda</t>
  </si>
  <si>
    <t>Jesika</t>
  </si>
  <si>
    <t>Marilin</t>
  </si>
  <si>
    <t>Armero</t>
  </si>
  <si>
    <t>Hernandez</t>
  </si>
  <si>
    <t>Linneth</t>
  </si>
  <si>
    <t>Yurany</t>
  </si>
  <si>
    <t>Diaz</t>
  </si>
  <si>
    <t>Carlosama</t>
  </si>
  <si>
    <t>Eliana</t>
  </si>
  <si>
    <t>Henández</t>
  </si>
  <si>
    <t>Ceballos</t>
  </si>
  <si>
    <t>Tania</t>
  </si>
  <si>
    <t>Andrea</t>
  </si>
  <si>
    <t xml:space="preserve">handrea623@gmail.com </t>
  </si>
  <si>
    <t>csaludablesconsaca1@gmail.com</t>
  </si>
  <si>
    <t>emilianosd0508@gmail.com</t>
  </si>
  <si>
    <t>yyura1395@gmail.com</t>
  </si>
  <si>
    <t>flober973@hotmail.com</t>
  </si>
  <si>
    <t>Lucy</t>
  </si>
  <si>
    <t>Anabel</t>
  </si>
  <si>
    <t>lucytabastidas@hotmail.com</t>
  </si>
  <si>
    <t>Milton</t>
  </si>
  <si>
    <t>TECNICO EN SISTEMAS</t>
  </si>
  <si>
    <t xml:space="preserve">andyceron1988@gmail.com </t>
  </si>
  <si>
    <t>Daniela</t>
  </si>
  <si>
    <t>Alejandra</t>
  </si>
  <si>
    <t xml:space="preserve">daniielitha960222@gmail.com </t>
  </si>
  <si>
    <t>Chazatar</t>
  </si>
  <si>
    <t>Getial</t>
  </si>
  <si>
    <t>Aura</t>
  </si>
  <si>
    <t>Nely</t>
  </si>
  <si>
    <t>aurachazatar@gmail.com</t>
  </si>
  <si>
    <t>Coral</t>
  </si>
  <si>
    <t>Nury</t>
  </si>
  <si>
    <t>MEDICA</t>
  </si>
  <si>
    <t>andreitacoralr@gmail.com</t>
  </si>
  <si>
    <t>Ordóñez</t>
  </si>
  <si>
    <t>klinger</t>
  </si>
  <si>
    <t>Yina</t>
  </si>
  <si>
    <t>ginaklingermg@gmail.com</t>
  </si>
  <si>
    <t>Jiménez</t>
  </si>
  <si>
    <t>Nuri</t>
  </si>
  <si>
    <t>jimenezjurado27@gmail.com</t>
  </si>
  <si>
    <t>Palacios</t>
  </si>
  <si>
    <t>Henry</t>
  </si>
  <si>
    <t>Manuel</t>
  </si>
  <si>
    <t xml:space="preserve">henrypa21@hotmail.com </t>
  </si>
  <si>
    <t>Gladis</t>
  </si>
  <si>
    <t>katixitayela88@gmail.com</t>
  </si>
  <si>
    <t>Nastacuas</t>
  </si>
  <si>
    <t>Rodriguez</t>
  </si>
  <si>
    <t>Rocio</t>
  </si>
  <si>
    <t>Liliananastacuasrodriguez100@gmail.com</t>
  </si>
  <si>
    <t>Herrera</t>
  </si>
  <si>
    <t>Botina</t>
  </si>
  <si>
    <t>Maria</t>
  </si>
  <si>
    <t>Elena</t>
  </si>
  <si>
    <t>AVANTI</t>
  </si>
  <si>
    <t>helena5961@hotmail.com</t>
  </si>
  <si>
    <t>Grijalba</t>
  </si>
  <si>
    <t>Zarama</t>
  </si>
  <si>
    <t>Camila</t>
  </si>
  <si>
    <t>kamii0299@hotmail.com</t>
  </si>
  <si>
    <t>Cordoba</t>
  </si>
  <si>
    <t>Yuri</t>
  </si>
  <si>
    <t>Helena</t>
  </si>
  <si>
    <t>Ruales</t>
  </si>
  <si>
    <t>Ginna</t>
  </si>
  <si>
    <t>yucordoba@gmail.com</t>
  </si>
  <si>
    <t>aleja12ruales@gmail.com</t>
  </si>
  <si>
    <t>Salazar</t>
  </si>
  <si>
    <t>Villota</t>
  </si>
  <si>
    <t>Arce</t>
  </si>
  <si>
    <t>Jhonny</t>
  </si>
  <si>
    <t>Anderson</t>
  </si>
  <si>
    <t>lilianarociosalazarjurado@gmail.com</t>
  </si>
  <si>
    <t>villotajhonny@gmail.com</t>
  </si>
  <si>
    <t>Pupiales</t>
  </si>
  <si>
    <t>Estefanía</t>
  </si>
  <si>
    <t>ABRIL</t>
  </si>
  <si>
    <t>estefanydaniela96@gmail.com</t>
  </si>
  <si>
    <t>Espinosa</t>
  </si>
  <si>
    <t>Burbano</t>
  </si>
  <si>
    <t>Paola</t>
  </si>
  <si>
    <t>paolaespinosaburbano08@gmail.com</t>
  </si>
  <si>
    <t>Rivera</t>
  </si>
  <si>
    <t>Santiago</t>
  </si>
  <si>
    <t>santoriivera@gmail.com</t>
  </si>
  <si>
    <t>EFECTY</t>
  </si>
  <si>
    <t>Francia</t>
  </si>
  <si>
    <t>Franciamontenegro54@gmail.com</t>
  </si>
  <si>
    <t>Faisury</t>
  </si>
  <si>
    <t>Catherine</t>
  </si>
  <si>
    <t>faicoral45@gmail.com</t>
  </si>
  <si>
    <t>Jojoa</t>
  </si>
  <si>
    <t>Erazo</t>
  </si>
  <si>
    <t>Leidy</t>
  </si>
  <si>
    <t>leidyjojoa92@gmail.com</t>
  </si>
  <si>
    <t>Oliva</t>
  </si>
  <si>
    <t>Maricela</t>
  </si>
  <si>
    <t>kmarcela86@hotmail.com</t>
  </si>
  <si>
    <t>guerrerodeisy263@gmail.com</t>
  </si>
  <si>
    <t>Tescual</t>
  </si>
  <si>
    <t>Inchima</t>
  </si>
  <si>
    <t>Deisy</t>
  </si>
  <si>
    <t>Lucia</t>
  </si>
  <si>
    <t>andrea.pinza123@gmail.com</t>
  </si>
  <si>
    <t>Naudy</t>
  </si>
  <si>
    <t>Jhoana</t>
  </si>
  <si>
    <t>FISIOTERAPEUTA</t>
  </si>
  <si>
    <t>naudy683@gmail.com</t>
  </si>
  <si>
    <t>Bravo</t>
  </si>
  <si>
    <t>Oscar</t>
  </si>
  <si>
    <t>Dario</t>
  </si>
  <si>
    <t>yepes_oscar@hotmail.com</t>
  </si>
  <si>
    <t>Perez</t>
  </si>
  <si>
    <t>Araceli</t>
  </si>
  <si>
    <t>Dayana</t>
  </si>
  <si>
    <t>villotaaraceli430@gmail.com</t>
  </si>
  <si>
    <t>Burgos</t>
  </si>
  <si>
    <t>Posso</t>
  </si>
  <si>
    <t>Hugo</t>
  </si>
  <si>
    <t>Alirio</t>
  </si>
  <si>
    <t>Duelo</t>
  </si>
  <si>
    <t xml:space="preserve">burgosnano092@hotmail.com </t>
  </si>
  <si>
    <t>Romo</t>
  </si>
  <si>
    <t>Limas</t>
  </si>
  <si>
    <t>Zeneyda</t>
  </si>
  <si>
    <t>Viviana</t>
  </si>
  <si>
    <t>viviromolimas@gmail.com</t>
  </si>
  <si>
    <t>Castillo</t>
  </si>
  <si>
    <t>Edinson</t>
  </si>
  <si>
    <t>edinsonb617@gmail.com</t>
  </si>
  <si>
    <t>jlopezcaiza42@gmail.com</t>
  </si>
  <si>
    <t>Caiza</t>
  </si>
  <si>
    <t>Segundo</t>
  </si>
  <si>
    <t>Jesús</t>
  </si>
  <si>
    <t xml:space="preserve">esthefahc@gmail.com </t>
  </si>
  <si>
    <t>Hache</t>
  </si>
  <si>
    <t>Geraldine</t>
  </si>
  <si>
    <t>Esthefania</t>
  </si>
  <si>
    <t>Toro</t>
  </si>
  <si>
    <t>Nemily</t>
  </si>
  <si>
    <t xml:space="preserve">nemilytona@hotmail.com </t>
  </si>
  <si>
    <t>Armas</t>
  </si>
  <si>
    <t>Guapucal</t>
  </si>
  <si>
    <t>Rosa</t>
  </si>
  <si>
    <t>NICOLAS</t>
  </si>
  <si>
    <t xml:space="preserve">rmarmas07@gmail.com </t>
  </si>
  <si>
    <t>Hernan</t>
  </si>
  <si>
    <t>Lidia</t>
  </si>
  <si>
    <t>ximenaortega0408@gmail.com</t>
  </si>
  <si>
    <t>Serrano</t>
  </si>
  <si>
    <t>masd1998@hotmail.com</t>
  </si>
  <si>
    <t>Flórez</t>
  </si>
  <si>
    <t>Doris</t>
  </si>
  <si>
    <t>dorisflorez1983@gmail.com</t>
  </si>
  <si>
    <t>PSICOLOGA</t>
  </si>
  <si>
    <t>-</t>
  </si>
  <si>
    <t>Salas</t>
  </si>
  <si>
    <t>Meneses</t>
  </si>
  <si>
    <t>Yomar</t>
  </si>
  <si>
    <t>Luis</t>
  </si>
  <si>
    <t>yolusame@hotmail.com</t>
  </si>
  <si>
    <t>Pantoja</t>
  </si>
  <si>
    <t>Estefania</t>
  </si>
  <si>
    <t>estefa.s.p.es@gmail.com</t>
  </si>
  <si>
    <t>Carmenza</t>
  </si>
  <si>
    <t>Milena</t>
  </si>
  <si>
    <t xml:space="preserve">carmenzapantoja@hotmail.com </t>
  </si>
  <si>
    <t>Portilla</t>
  </si>
  <si>
    <t>Brayan</t>
  </si>
  <si>
    <t>Esteban</t>
  </si>
  <si>
    <t xml:space="preserve">bubrayan12@gmail.com </t>
  </si>
  <si>
    <t>Oñate</t>
  </si>
  <si>
    <t>Darlyn</t>
  </si>
  <si>
    <t>Nathalia</t>
  </si>
  <si>
    <t>por cancelar</t>
  </si>
  <si>
    <t>Por cancelar</t>
  </si>
  <si>
    <t>Plan Decenal de Lactancia Materna y Alimentación complementaria</t>
  </si>
  <si>
    <t>darlinguerrero1234@gmail.com</t>
  </si>
  <si>
    <t>Atencion a Personas Con Discapacidad</t>
  </si>
  <si>
    <t>Angulo</t>
  </si>
  <si>
    <t>Hurtado</t>
  </si>
  <si>
    <t>Anny</t>
  </si>
  <si>
    <t>Yuliana</t>
  </si>
  <si>
    <t>312 8637256</t>
  </si>
  <si>
    <t>yulianahurtado326@gmail.com</t>
  </si>
  <si>
    <t>Pinta</t>
  </si>
  <si>
    <t>Soscue</t>
  </si>
  <si>
    <t>Jorge</t>
  </si>
  <si>
    <t>Giraldo</t>
  </si>
  <si>
    <t>ENFERMERO JEFE</t>
  </si>
  <si>
    <t>enf.jefjorgepinta@hotmail.com</t>
  </si>
  <si>
    <t>TRIAGE</t>
  </si>
  <si>
    <t>Miramag</t>
  </si>
  <si>
    <t>Buesaquillo</t>
  </si>
  <si>
    <t>Doli</t>
  </si>
  <si>
    <t>Mylena</t>
  </si>
  <si>
    <t xml:space="preserve">1dmymb1@gmail.com </t>
  </si>
  <si>
    <t>https://centrodecapacitaciondelsur.com/triage-</t>
  </si>
  <si>
    <t>Cassetta</t>
  </si>
  <si>
    <t>Mario</t>
  </si>
  <si>
    <t>Mariocassetta12@gmail.com</t>
  </si>
  <si>
    <t>Ocaña</t>
  </si>
  <si>
    <t>Miryan</t>
  </si>
  <si>
    <t>Graciela</t>
  </si>
  <si>
    <t>graciadedios.vi@gmail.com</t>
  </si>
  <si>
    <t>Ana</t>
  </si>
  <si>
    <t>anamilenarodriguez2015@gmail.com</t>
  </si>
  <si>
    <t>Morales</t>
  </si>
  <si>
    <t>Diana</t>
  </si>
  <si>
    <t>dianamoralesriascos.3@gmail.com</t>
  </si>
  <si>
    <t>Vanesa</t>
  </si>
  <si>
    <t xml:space="preserve">leidypinta12@gmail.com </t>
  </si>
  <si>
    <t>José</t>
  </si>
  <si>
    <t>Miguel</t>
  </si>
  <si>
    <t>MEDICO CIRUJANO</t>
  </si>
  <si>
    <t>josemiguelpinza@gmail.com</t>
  </si>
  <si>
    <t>Vivas</t>
  </si>
  <si>
    <t>Ibarra</t>
  </si>
  <si>
    <t xml:space="preserve">ximenavivas13@hotmail.es </t>
  </si>
  <si>
    <t>Ñañez</t>
  </si>
  <si>
    <t>Juliana</t>
  </si>
  <si>
    <t>julianaandream96@gmail.com</t>
  </si>
  <si>
    <t>Alexandra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</si>
</sst>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u/>
      <sz val="12"/>
      <color theme="10"/>
      <name val="Arial"/>
      <family val="2"/>
    </font>
    <font>
      <b/>
      <sz val="11"/>
      <color rgb="FF000000"/>
      <name val="Segoe UI"/>
      <family val="2"/>
    </font>
    <font>
      <u/>
      <sz val="12"/>
      <color theme="1"/>
      <name val="Arial"/>
      <family val="2"/>
    </font>
    <font>
      <sz val="12"/>
      <color rgb="FFFF0000"/>
      <name val="Arial"/>
      <family val="2"/>
    </font>
    <font>
      <u/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u/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64">
    <xf numFmtId="0" fontId="0" fillId="0" borderId="0" xfId="0"/>
    <xf numFmtId="0" fontId="6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5" xfId="0" applyFont="1" applyBorder="1"/>
    <xf numFmtId="0" fontId="8" fillId="0" borderId="6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7" fillId="0" borderId="7" xfId="0" applyFont="1" applyBorder="1"/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/>
    <xf numFmtId="0" fontId="8" fillId="0" borderId="7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1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14" fontId="6" fillId="2" borderId="1" xfId="0" applyNumberFormat="1" applyFont="1" applyFill="1" applyBorder="1" applyAlignment="1">
      <alignment horizontal="center"/>
    </xf>
    <xf numFmtId="14" fontId="6" fillId="2" borderId="0" xfId="0" applyNumberFormat="1" applyFont="1" applyFill="1" applyAlignment="1">
      <alignment horizontal="center"/>
    </xf>
    <xf numFmtId="0" fontId="10" fillId="0" borderId="0" xfId="3"/>
    <xf numFmtId="0" fontId="13" fillId="0" borderId="0" xfId="0" applyFont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14" fontId="11" fillId="2" borderId="1" xfId="0" applyNumberFormat="1" applyFont="1" applyFill="1" applyBorder="1" applyAlignment="1">
      <alignment horizontal="center"/>
    </xf>
    <xf numFmtId="0" fontId="6" fillId="3" borderId="1" xfId="0" applyFont="1" applyFill="1" applyBorder="1"/>
    <xf numFmtId="0" fontId="6" fillId="3" borderId="0" xfId="0" applyFont="1" applyFill="1"/>
    <xf numFmtId="0" fontId="6" fillId="2" borderId="1" xfId="0" applyFont="1" applyFill="1" applyBorder="1"/>
    <xf numFmtId="0" fontId="4" fillId="2" borderId="8" xfId="0" applyFont="1" applyFill="1" applyBorder="1" applyAlignment="1" applyProtection="1">
      <alignment vertical="center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3" borderId="8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center"/>
    </xf>
    <xf numFmtId="14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0" fontId="3" fillId="2" borderId="1" xfId="0" applyFont="1" applyFill="1" applyBorder="1" applyAlignment="1" applyProtection="1">
      <alignment vertical="center" wrapText="1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14" fontId="5" fillId="2" borderId="8" xfId="0" applyNumberFormat="1" applyFont="1" applyFill="1" applyBorder="1" applyAlignment="1" applyProtection="1">
      <alignment vertical="center"/>
      <protection locked="0"/>
    </xf>
    <xf numFmtId="0" fontId="4" fillId="3" borderId="8" xfId="0" applyFont="1" applyFill="1" applyBorder="1" applyAlignment="1">
      <alignment vertical="center"/>
    </xf>
    <xf numFmtId="14" fontId="6" fillId="2" borderId="1" xfId="0" applyNumberFormat="1" applyFont="1" applyFill="1" applyBorder="1"/>
    <xf numFmtId="0" fontId="6" fillId="0" borderId="1" xfId="0" applyFont="1" applyBorder="1"/>
    <xf numFmtId="0" fontId="10" fillId="2" borderId="1" xfId="3" applyFill="1" applyBorder="1" applyAlignment="1"/>
    <xf numFmtId="0" fontId="11" fillId="2" borderId="1" xfId="0" applyFont="1" applyFill="1" applyBorder="1"/>
    <xf numFmtId="14" fontId="11" fillId="2" borderId="1" xfId="0" applyNumberFormat="1" applyFont="1" applyFill="1" applyBorder="1"/>
    <xf numFmtId="0" fontId="11" fillId="0" borderId="1" xfId="0" applyFont="1" applyBorder="1"/>
    <xf numFmtId="14" fontId="6" fillId="4" borderId="1" xfId="0" applyNumberFormat="1" applyFont="1" applyFill="1" applyBorder="1"/>
    <xf numFmtId="0" fontId="6" fillId="2" borderId="0" xfId="0" applyFont="1" applyFill="1"/>
    <xf numFmtId="14" fontId="6" fillId="2" borderId="0" xfId="0" applyNumberFormat="1" applyFont="1" applyFill="1"/>
    <xf numFmtId="0" fontId="6" fillId="0" borderId="0" xfId="0" applyFont="1"/>
    <xf numFmtId="14" fontId="4" fillId="2" borderId="8" xfId="2" applyNumberFormat="1" applyFont="1" applyFill="1" applyBorder="1" applyAlignment="1" applyProtection="1">
      <alignment horizontal="center" vertical="center"/>
      <protection locked="0"/>
    </xf>
    <xf numFmtId="164" fontId="4" fillId="2" borderId="8" xfId="1" applyNumberFormat="1" applyFont="1" applyFill="1" applyBorder="1" applyAlignment="1" applyProtection="1">
      <alignment horizontal="center" vertical="center"/>
      <protection locked="0"/>
    </xf>
    <xf numFmtId="164" fontId="6" fillId="2" borderId="1" xfId="1" applyNumberFormat="1" applyFont="1" applyFill="1" applyBorder="1" applyAlignment="1">
      <alignment horizontal="center"/>
    </xf>
    <xf numFmtId="164" fontId="11" fillId="2" borderId="1" xfId="1" applyNumberFormat="1" applyFont="1" applyFill="1" applyBorder="1" applyAlignment="1">
      <alignment horizontal="center"/>
    </xf>
    <xf numFmtId="164" fontId="6" fillId="4" borderId="1" xfId="1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center"/>
    </xf>
    <xf numFmtId="14" fontId="15" fillId="2" borderId="1" xfId="0" applyNumberFormat="1" applyFont="1" applyFill="1" applyBorder="1" applyAlignment="1">
      <alignment horizontal="center"/>
    </xf>
    <xf numFmtId="164" fontId="15" fillId="2" borderId="1" xfId="1" applyNumberFormat="1" applyFont="1" applyFill="1" applyBorder="1" applyAlignment="1">
      <alignment horizontal="center"/>
    </xf>
    <xf numFmtId="0" fontId="15" fillId="2" borderId="1" xfId="0" applyFont="1" applyFill="1" applyBorder="1" applyAlignment="1">
      <alignment horizontal="left"/>
    </xf>
    <xf numFmtId="14" fontId="15" fillId="2" borderId="1" xfId="0" applyNumberFormat="1" applyFont="1" applyFill="1" applyBorder="1"/>
    <xf numFmtId="0" fontId="15" fillId="0" borderId="1" xfId="0" applyFont="1" applyBorder="1"/>
    <xf numFmtId="0" fontId="10" fillId="0" borderId="0" xfId="3" applyFill="1" applyBorder="1"/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2" borderId="8" xfId="2" applyNumberFormat="1" applyFont="1" applyFill="1" applyBorder="1" applyAlignment="1" applyProtection="1">
      <alignment vertical="center"/>
      <protection locked="0"/>
    </xf>
    <xf numFmtId="0" fontId="2" fillId="0" borderId="10" xfId="0" applyFont="1" applyBorder="1" applyAlignment="1">
      <alignment horizontal="center"/>
    </xf>
    <xf numFmtId="0" fontId="6" fillId="2" borderId="11" xfId="0" applyFont="1" applyFill="1" applyBorder="1"/>
    <xf numFmtId="0" fontId="6" fillId="2" borderId="11" xfId="0" applyFont="1" applyFill="1" applyBorder="1" applyAlignment="1">
      <alignment horizontal="center"/>
    </xf>
    <xf numFmtId="14" fontId="6" fillId="2" borderId="11" xfId="0" applyNumberFormat="1" applyFont="1" applyFill="1" applyBorder="1" applyAlignment="1">
      <alignment horizontal="center"/>
    </xf>
    <xf numFmtId="164" fontId="6" fillId="2" borderId="11" xfId="1" applyNumberFormat="1" applyFont="1" applyFill="1" applyBorder="1" applyAlignment="1">
      <alignment horizontal="center"/>
    </xf>
    <xf numFmtId="0" fontId="6" fillId="2" borderId="11" xfId="0" applyFont="1" applyFill="1" applyBorder="1" applyAlignment="1">
      <alignment horizontal="left"/>
    </xf>
    <xf numFmtId="14" fontId="6" fillId="2" borderId="11" xfId="0" applyNumberFormat="1" applyFont="1" applyFill="1" applyBorder="1"/>
    <xf numFmtId="0" fontId="6" fillId="0" borderId="11" xfId="0" applyFont="1" applyBorder="1"/>
    <xf numFmtId="0" fontId="15" fillId="3" borderId="1" xfId="0" applyFont="1" applyFill="1" applyBorder="1"/>
    <xf numFmtId="0" fontId="11" fillId="3" borderId="1" xfId="0" applyFont="1" applyFill="1" applyBorder="1"/>
    <xf numFmtId="0" fontId="11" fillId="0" borderId="9" xfId="0" applyFont="1" applyBorder="1"/>
    <xf numFmtId="0" fontId="16" fillId="2" borderId="1" xfId="3" applyFont="1" applyFill="1" applyBorder="1" applyAlignment="1"/>
    <xf numFmtId="0" fontId="17" fillId="2" borderId="1" xfId="3" applyFont="1" applyFill="1" applyBorder="1" applyAlignment="1"/>
    <xf numFmtId="0" fontId="11" fillId="2" borderId="1" xfId="3" applyNumberFormat="1" applyFont="1" applyFill="1" applyBorder="1" applyAlignment="1"/>
    <xf numFmtId="14" fontId="6" fillId="2" borderId="1" xfId="0" applyNumberFormat="1" applyFont="1" applyFill="1" applyBorder="1" applyAlignment="1">
      <alignment vertical="center"/>
    </xf>
    <xf numFmtId="0" fontId="6" fillId="0" borderId="8" xfId="0" applyFont="1" applyBorder="1"/>
    <xf numFmtId="0" fontId="6" fillId="2" borderId="9" xfId="0" applyFont="1" applyFill="1" applyBorder="1"/>
    <xf numFmtId="0" fontId="6" fillId="2" borderId="9" xfId="0" applyFont="1" applyFill="1" applyBorder="1" applyAlignment="1">
      <alignment horizontal="center"/>
    </xf>
    <xf numFmtId="14" fontId="6" fillId="2" borderId="9" xfId="0" applyNumberFormat="1" applyFont="1" applyFill="1" applyBorder="1" applyAlignment="1">
      <alignment horizontal="center"/>
    </xf>
    <xf numFmtId="164" fontId="6" fillId="2" borderId="9" xfId="1" applyNumberFormat="1" applyFont="1" applyFill="1" applyBorder="1" applyAlignment="1">
      <alignment horizontal="center"/>
    </xf>
    <xf numFmtId="0" fontId="6" fillId="2" borderId="9" xfId="0" applyFont="1" applyFill="1" applyBorder="1" applyAlignment="1">
      <alignment horizontal="left"/>
    </xf>
    <xf numFmtId="14" fontId="6" fillId="2" borderId="9" xfId="0" applyNumberFormat="1" applyFont="1" applyFill="1" applyBorder="1"/>
    <xf numFmtId="0" fontId="6" fillId="0" borderId="9" xfId="0" applyFont="1" applyBorder="1"/>
    <xf numFmtId="0" fontId="10" fillId="2" borderId="0" xfId="3" applyFill="1" applyBorder="1" applyAlignment="1"/>
    <xf numFmtId="0" fontId="6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wrapText="1"/>
    </xf>
    <xf numFmtId="0" fontId="11" fillId="2" borderId="0" xfId="0" applyFont="1" applyFill="1"/>
    <xf numFmtId="0" fontId="11" fillId="2" borderId="0" xfId="0" applyFont="1" applyFill="1" applyAlignment="1">
      <alignment horizontal="center"/>
    </xf>
    <xf numFmtId="14" fontId="11" fillId="2" borderId="0" xfId="0" applyNumberFormat="1" applyFont="1" applyFill="1" applyAlignment="1">
      <alignment horizontal="center"/>
    </xf>
    <xf numFmtId="164" fontId="11" fillId="2" borderId="0" xfId="1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left"/>
    </xf>
    <xf numFmtId="14" fontId="11" fillId="2" borderId="0" xfId="0" applyNumberFormat="1" applyFont="1" applyFill="1"/>
    <xf numFmtId="0" fontId="11" fillId="0" borderId="0" xfId="0" applyFont="1"/>
    <xf numFmtId="14" fontId="10" fillId="2" borderId="0" xfId="3" applyNumberFormat="1" applyFill="1" applyBorder="1" applyAlignment="1"/>
    <xf numFmtId="0" fontId="11" fillId="0" borderId="12" xfId="0" applyFont="1" applyBorder="1"/>
    <xf numFmtId="0" fontId="11" fillId="0" borderId="13" xfId="0" applyFont="1" applyBorder="1"/>
    <xf numFmtId="0" fontId="6" fillId="0" borderId="12" xfId="0" applyFont="1" applyBorder="1"/>
    <xf numFmtId="0" fontId="6" fillId="0" borderId="14" xfId="0" applyFont="1" applyBorder="1"/>
    <xf numFmtId="0" fontId="6" fillId="0" borderId="13" xfId="0" applyFont="1" applyBorder="1"/>
    <xf numFmtId="0" fontId="6" fillId="2" borderId="1" xfId="0" applyFont="1" applyFill="1" applyBorder="1" applyAlignment="1">
      <alignment vertical="center"/>
    </xf>
    <xf numFmtId="0" fontId="14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left" vertical="center" wrapText="1"/>
    </xf>
    <xf numFmtId="0" fontId="12" fillId="2" borderId="1" xfId="3" applyFont="1" applyFill="1" applyBorder="1" applyAlignment="1">
      <alignment vertical="center"/>
    </xf>
    <xf numFmtId="15" fontId="6" fillId="2" borderId="1" xfId="0" applyNumberFormat="1" applyFont="1" applyFill="1" applyBorder="1" applyAlignment="1">
      <alignment vertical="center"/>
    </xf>
    <xf numFmtId="0" fontId="6" fillId="0" borderId="1" xfId="0" applyFont="1" applyBorder="1" applyAlignment="1">
      <alignment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wrapText="1"/>
    </xf>
    <xf numFmtId="14" fontId="6" fillId="2" borderId="1" xfId="0" applyNumberFormat="1" applyFont="1" applyFill="1" applyBorder="1" applyAlignment="1">
      <alignment horizontal="center" wrapText="1"/>
    </xf>
    <xf numFmtId="164" fontId="6" fillId="2" borderId="1" xfId="1" applyNumberFormat="1" applyFont="1" applyFill="1" applyBorder="1" applyAlignment="1">
      <alignment horizontal="center" wrapText="1"/>
    </xf>
    <xf numFmtId="14" fontId="6" fillId="2" borderId="1" xfId="0" applyNumberFormat="1" applyFont="1" applyFill="1" applyBorder="1" applyAlignment="1">
      <alignment vertical="center" wrapText="1"/>
    </xf>
    <xf numFmtId="0" fontId="6" fillId="2" borderId="1" xfId="0" applyFont="1" applyFill="1" applyBorder="1" applyAlignment="1">
      <alignment wrapText="1"/>
    </xf>
    <xf numFmtId="0" fontId="12" fillId="2" borderId="1" xfId="3" applyFont="1" applyFill="1" applyBorder="1" applyAlignment="1">
      <alignment vertical="center" wrapText="1"/>
    </xf>
    <xf numFmtId="0" fontId="2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7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0" fontId="7" fillId="0" borderId="20" xfId="0" applyFont="1" applyBorder="1"/>
    <xf numFmtId="0" fontId="7" fillId="0" borderId="21" xfId="0" applyFont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14" fontId="6" fillId="2" borderId="1" xfId="0" applyNumberFormat="1" applyFont="1" applyFill="1" applyBorder="1" applyAlignment="1">
      <alignment wrapText="1"/>
    </xf>
    <xf numFmtId="0" fontId="15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horizontal="center"/>
    </xf>
    <xf numFmtId="0" fontId="6" fillId="3" borderId="9" xfId="0" applyFont="1" applyFill="1" applyBorder="1"/>
    <xf numFmtId="14" fontId="0" fillId="2" borderId="1" xfId="0" applyNumberFormat="1" applyFill="1" applyBorder="1" applyAlignment="1">
      <alignment vertical="center"/>
    </xf>
    <xf numFmtId="0" fontId="6" fillId="2" borderId="1" xfId="0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0" fontId="10" fillId="2" borderId="1" xfId="3" applyFill="1" applyBorder="1" applyAlignment="1">
      <alignment vertical="center"/>
    </xf>
    <xf numFmtId="0" fontId="6" fillId="2" borderId="8" xfId="0" applyFont="1" applyFill="1" applyBorder="1"/>
    <xf numFmtId="0" fontId="6" fillId="2" borderId="8" xfId="0" applyFont="1" applyFill="1" applyBorder="1" applyAlignment="1">
      <alignment vertical="center" wrapText="1"/>
    </xf>
    <xf numFmtId="0" fontId="6" fillId="2" borderId="8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left"/>
    </xf>
    <xf numFmtId="14" fontId="0" fillId="2" borderId="8" xfId="0" applyNumberFormat="1" applyFill="1" applyBorder="1" applyAlignment="1">
      <alignment vertical="center"/>
    </xf>
    <xf numFmtId="0" fontId="6" fillId="2" borderId="8" xfId="0" applyFont="1" applyFill="1" applyBorder="1" applyAlignment="1">
      <alignment vertical="center"/>
    </xf>
    <xf numFmtId="0" fontId="6" fillId="2" borderId="8" xfId="0" applyFont="1" applyFill="1" applyBorder="1" applyAlignment="1">
      <alignment wrapText="1"/>
    </xf>
    <xf numFmtId="0" fontId="0" fillId="2" borderId="8" xfId="0" applyFill="1" applyBorder="1" applyAlignment="1">
      <alignment vertical="center"/>
    </xf>
    <xf numFmtId="0" fontId="10" fillId="2" borderId="8" xfId="3" applyFill="1" applyBorder="1" applyAlignment="1">
      <alignment vertical="center"/>
    </xf>
    <xf numFmtId="0" fontId="6" fillId="3" borderId="8" xfId="0" applyFont="1" applyFill="1" applyBorder="1"/>
    <xf numFmtId="0" fontId="6" fillId="2" borderId="1" xfId="0" applyFont="1" applyFill="1" applyBorder="1" applyAlignment="1">
      <alignment horizontal="center" vertical="center" wrapText="1"/>
    </xf>
    <xf numFmtId="14" fontId="6" fillId="2" borderId="1" xfId="0" applyNumberFormat="1" applyFont="1" applyFill="1" applyBorder="1" applyAlignment="1">
      <alignment horizontal="center" vertical="center" wrapText="1"/>
    </xf>
    <xf numFmtId="164" fontId="6" fillId="2" borderId="1" xfId="1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 wrapText="1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villotajhonny@gmail.com" TargetMode="External"/><Relationship Id="rId13" Type="http://schemas.openxmlformats.org/officeDocument/2006/relationships/hyperlink" Target="mailto:graciadedios.vi@gmail.com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mailto:kamii0299@hotmail.com" TargetMode="External"/><Relationship Id="rId7" Type="http://schemas.openxmlformats.org/officeDocument/2006/relationships/hyperlink" Target="mailto:lilianarociosalazarjurado@gmail.com" TargetMode="External"/><Relationship Id="rId12" Type="http://schemas.openxmlformats.org/officeDocument/2006/relationships/hyperlink" Target="mailto:graciadedios.vi@gmail.com" TargetMode="External"/><Relationship Id="rId17" Type="http://schemas.openxmlformats.org/officeDocument/2006/relationships/hyperlink" Target="mailto:dianamoralesriascos.3@gmail.com" TargetMode="External"/><Relationship Id="rId2" Type="http://schemas.openxmlformats.org/officeDocument/2006/relationships/hyperlink" Target="mailto:helena5961@hotmail.com" TargetMode="External"/><Relationship Id="rId16" Type="http://schemas.openxmlformats.org/officeDocument/2006/relationships/hyperlink" Target="mailto:dianamoralesriascos.3@gmail.com" TargetMode="External"/><Relationship Id="rId1" Type="http://schemas.openxmlformats.org/officeDocument/2006/relationships/hyperlink" Target="mailto:puca0318@hotmail.com" TargetMode="External"/><Relationship Id="rId6" Type="http://schemas.openxmlformats.org/officeDocument/2006/relationships/hyperlink" Target="mailto:lilianarociosalazarjurado@gmail.com" TargetMode="External"/><Relationship Id="rId11" Type="http://schemas.openxmlformats.org/officeDocument/2006/relationships/hyperlink" Target="mailto:graciadedios.vi@gmail.com" TargetMode="External"/><Relationship Id="rId5" Type="http://schemas.openxmlformats.org/officeDocument/2006/relationships/hyperlink" Target="mailto:aleja12ruales@gmail.com" TargetMode="External"/><Relationship Id="rId15" Type="http://schemas.openxmlformats.org/officeDocument/2006/relationships/hyperlink" Target="mailto:dianamoralesriascos.3@gmail.com" TargetMode="External"/><Relationship Id="rId10" Type="http://schemas.openxmlformats.org/officeDocument/2006/relationships/hyperlink" Target="mailto:naudy683@gmail.com" TargetMode="External"/><Relationship Id="rId4" Type="http://schemas.openxmlformats.org/officeDocument/2006/relationships/hyperlink" Target="mailto:yucordoba@gmail.com" TargetMode="External"/><Relationship Id="rId9" Type="http://schemas.openxmlformats.org/officeDocument/2006/relationships/hyperlink" Target="mailto:faicoral45@gmail.com" TargetMode="External"/><Relationship Id="rId14" Type="http://schemas.openxmlformats.org/officeDocument/2006/relationships/hyperlink" Target="mailto:graciadedios.vi@gmail.com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78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printerSettings" Target="../printerSettings/printerSettings2.bin"/><Relationship Id="rId2" Type="http://schemas.openxmlformats.org/officeDocument/2006/relationships/hyperlink" Target="https://centrodecapacitaciondelsur.com/soporte-basico-de-vida-" TargetMode="External"/><Relationship Id="rId29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48575"/>
  <sheetViews>
    <sheetView tabSelected="1" zoomScale="55" zoomScaleNormal="55" workbookViewId="0">
      <pane xSplit="1" ySplit="1" topLeftCell="J80" activePane="bottomRight" state="frozen"/>
      <selection pane="topRight"/>
      <selection pane="bottomLeft"/>
      <selection pane="bottomRight" activeCell="U143" sqref="U143"/>
    </sheetView>
  </sheetViews>
  <sheetFormatPr baseColWidth="10" defaultRowHeight="15" x14ac:dyDescent="0.2"/>
  <cols>
    <col min="1" max="1" width="6.42578125" style="52" bestFit="1" customWidth="1"/>
    <col min="2" max="2" width="43.42578125" style="52" customWidth="1"/>
    <col min="3" max="3" width="29" style="52" bestFit="1" customWidth="1"/>
    <col min="4" max="4" width="31.7109375" style="52" bestFit="1" customWidth="1"/>
    <col min="5" max="5" width="28.140625" style="52" bestFit="1" customWidth="1"/>
    <col min="6" max="6" width="30.85546875" style="52" bestFit="1" customWidth="1"/>
    <col min="7" max="7" width="7.5703125" style="20" customWidth="1"/>
    <col min="8" max="8" width="15.5703125" style="20" bestFit="1" customWidth="1"/>
    <col min="9" max="9" width="26" style="23" bestFit="1" customWidth="1"/>
    <col min="10" max="10" width="33.42578125" style="60" customWidth="1"/>
    <col min="11" max="11" width="26" style="20" bestFit="1" customWidth="1"/>
    <col min="12" max="12" width="20.7109375" style="20" bestFit="1" customWidth="1"/>
    <col min="13" max="13" width="23.7109375" style="20" bestFit="1" customWidth="1"/>
    <col min="14" max="14" width="58.28515625" style="21" customWidth="1"/>
    <col min="15" max="15" width="37" style="53" bestFit="1" customWidth="1"/>
    <col min="16" max="16" width="14.42578125" style="52" bestFit="1" customWidth="1"/>
    <col min="17" max="17" width="44.85546875" style="52" bestFit="1" customWidth="1"/>
    <col min="18" max="18" width="17.42578125" style="52" bestFit="1" customWidth="1"/>
    <col min="19" max="19" width="42.42578125" style="52" bestFit="1" customWidth="1"/>
    <col min="20" max="20" width="110.28515625" style="30" bestFit="1" customWidth="1"/>
    <col min="21" max="21" width="52" style="30" bestFit="1" customWidth="1"/>
    <col min="22" max="22" width="48" style="30" bestFit="1" customWidth="1"/>
    <col min="23" max="23" width="107.5703125" style="30" bestFit="1" customWidth="1"/>
    <col min="24" max="16384" width="11.42578125" style="54"/>
  </cols>
  <sheetData>
    <row r="1" spans="1:23" s="1" customFormat="1" ht="15.75" x14ac:dyDescent="0.25">
      <c r="A1" s="41" t="s">
        <v>78</v>
      </c>
      <c r="B1" s="72" t="s">
        <v>0</v>
      </c>
      <c r="C1" s="32" t="s">
        <v>1</v>
      </c>
      <c r="D1" s="32" t="s">
        <v>2</v>
      </c>
      <c r="E1" s="32" t="s">
        <v>3</v>
      </c>
      <c r="F1" s="32" t="s">
        <v>4</v>
      </c>
      <c r="G1" s="33" t="s">
        <v>5</v>
      </c>
      <c r="H1" s="33" t="s">
        <v>6</v>
      </c>
      <c r="I1" s="55" t="s">
        <v>7</v>
      </c>
      <c r="J1" s="56" t="s">
        <v>8</v>
      </c>
      <c r="K1" s="34" t="s">
        <v>9</v>
      </c>
      <c r="L1" s="34" t="s">
        <v>80</v>
      </c>
      <c r="M1" s="34" t="s">
        <v>10</v>
      </c>
      <c r="N1" s="35" t="s">
        <v>11</v>
      </c>
      <c r="O1" s="43" t="s">
        <v>76</v>
      </c>
      <c r="P1" s="42" t="s">
        <v>12</v>
      </c>
      <c r="Q1" s="32" t="s">
        <v>13</v>
      </c>
      <c r="R1" s="32" t="s">
        <v>14</v>
      </c>
      <c r="S1" s="32" t="s">
        <v>81</v>
      </c>
      <c r="T1" s="36" t="s">
        <v>15</v>
      </c>
      <c r="U1" s="44" t="s">
        <v>16</v>
      </c>
      <c r="V1" s="44" t="s">
        <v>17</v>
      </c>
      <c r="W1" s="44" t="s">
        <v>18</v>
      </c>
    </row>
    <row r="2" spans="1:23" s="46" customFormat="1" x14ac:dyDescent="0.2">
      <c r="A2" s="31">
        <v>1</v>
      </c>
      <c r="B2" s="31">
        <v>1085282306</v>
      </c>
      <c r="C2" s="31" t="s">
        <v>82</v>
      </c>
      <c r="D2" s="31" t="s">
        <v>91</v>
      </c>
      <c r="E2" s="31" t="s">
        <v>92</v>
      </c>
      <c r="F2" s="31" t="s">
        <v>85</v>
      </c>
      <c r="G2" s="18">
        <v>2</v>
      </c>
      <c r="H2" s="18" t="s">
        <v>93</v>
      </c>
      <c r="I2" s="22">
        <v>45413</v>
      </c>
      <c r="J2" s="57">
        <v>30000</v>
      </c>
      <c r="K2" s="18" t="s">
        <v>83</v>
      </c>
      <c r="L2" s="18" t="s">
        <v>94</v>
      </c>
      <c r="M2" s="18" t="s">
        <v>75</v>
      </c>
      <c r="N2" s="19" t="s">
        <v>23</v>
      </c>
      <c r="O2" s="45">
        <v>33021</v>
      </c>
      <c r="P2" s="31" t="s">
        <v>79</v>
      </c>
      <c r="Q2" s="31" t="s">
        <v>86</v>
      </c>
      <c r="R2" s="31"/>
      <c r="S2" s="31" t="s">
        <v>95</v>
      </c>
      <c r="T2" s="29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SALUD, BUENAS PRACTICAS EN PACIENTE ",IF(N2=CURSOS!$D$10,"CLINICA DE HERIDAS ",IF(N2=CURSOS!$D$11,"TOMA DE CITOLOGIA A CERVICO VAGINAL ",IF(N2=CURSOS!$D$12,"SOPORTE CARDIOVASCULAR AVANZADO ",IF(N2=CURSOS!$D$13,"CAMILLERO ",IF(N2=CURSOS!$D$14,"TOMA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MUESTRAS Y LABORATORIO POCT",IF(N2=CURSOS!$D$28,"IMPLANTE SUBDERMICO Y DISPOSITIVO INTRAUTERINO",IF(N2=CURSOS!$D$29,"SALUD MENTAL",IF(N2=CURSOS!$D$30,"PRIMEROS AUXILIOS PSICOLOGICOS",IF(N2=CURSOS!$D$31,"ATENCION A VICTIMAS POR CONFLICTO ARMADO",IF(N2=CURSOS!$D$32,"MANIPULACION DE ALIMENTOS Y BPM"))))))))))))))))))))))))))))))</f>
        <v>ACOMPAÑAMIENTO Y MANEJO DEL DUELO</v>
      </c>
      <c r="U2" s="29" t="str">
        <f t="shared" ref="U2" si="0">CONCATENATE(E2," ",F2," ",C2," ",D2)</f>
        <v>Johnatan Alexander Delgado Riaño</v>
      </c>
      <c r="V2" s="29" t="str">
        <f t="shared" ref="V2" si="1">+PROPER(U2)</f>
        <v>Johnatan Alexander Delgado Riaño</v>
      </c>
      <c r="W2" s="29" t="str">
        <f t="shared" ref="W2" si="2">CONCATENATE(U2,"-",B2,"-",N2)</f>
        <v>Johnatan Alexander Delgado Riaño-1085282306-DUELO</v>
      </c>
    </row>
    <row r="3" spans="1:23" s="46" customFormat="1" x14ac:dyDescent="0.2">
      <c r="A3" s="31">
        <v>2</v>
      </c>
      <c r="B3" s="31">
        <v>1088735917</v>
      </c>
      <c r="C3" s="31" t="s">
        <v>96</v>
      </c>
      <c r="D3" s="31" t="s">
        <v>97</v>
      </c>
      <c r="E3" s="31" t="s">
        <v>98</v>
      </c>
      <c r="F3" s="31"/>
      <c r="G3" s="18">
        <v>2</v>
      </c>
      <c r="H3" s="18" t="s">
        <v>93</v>
      </c>
      <c r="I3" s="22">
        <v>45415</v>
      </c>
      <c r="J3" s="57">
        <v>35000</v>
      </c>
      <c r="K3" s="18" t="s">
        <v>124</v>
      </c>
      <c r="L3" s="18" t="s">
        <v>84</v>
      </c>
      <c r="M3" s="18" t="s">
        <v>99</v>
      </c>
      <c r="N3" s="19" t="s">
        <v>23</v>
      </c>
      <c r="O3" s="45">
        <v>34141</v>
      </c>
      <c r="P3" s="31" t="s">
        <v>100</v>
      </c>
      <c r="Q3" s="31" t="s">
        <v>86</v>
      </c>
      <c r="R3" s="31">
        <v>3154477866</v>
      </c>
      <c r="S3" s="31" t="s">
        <v>101</v>
      </c>
      <c r="T3" s="29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SALUD, BUENAS PRACTICAS EN PACIENTE ",IF(N3=CURSOS!$D$10,"CLINICA DE HERIDAS ",IF(N3=CURSOS!$D$11,"TOMA DE CITOLOGIA A CERVICO VAGINAL ",IF(N3=CURSOS!$D$12,"SOPORTE CARDIOVASCULAR AVANZADO ",IF(N3=CURSOS!$D$13,"CAMILLERO ",IF(N3=CURSOS!$D$14,"TOMA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MUESTRAS Y LABORATORIO POCT",IF(N3=CURSOS!$D$28,"IMPLANTE SUBDERMICO Y DISPOSITIVO INTRAUTERINO",IF(N3=CURSOS!$D$29,"SALUD MENTAL",IF(N3=CURSOS!$D$30,"PRIMEROS AUXILIOS PSICOLOGICOS",IF(N3=CURSOS!$D$31,"ATENCION A VICTIMAS POR CONFLICTO ARMADO",IF(N3=CURSOS!$D$32,"MANIPULACION DE ALIMENTOS Y BPM"))))))))))))))))))))))))))))))</f>
        <v>ACOMPAÑAMIENTO Y MANEJO DEL DUELO</v>
      </c>
      <c r="U3" s="29" t="str">
        <f t="shared" ref="U3:U14" si="3">CONCATENATE(E3," ",F3," ",C3," ",D3)</f>
        <v>Lizbeth  Cabrera Melo</v>
      </c>
      <c r="V3" s="29" t="str">
        <f t="shared" ref="V3:V14" si="4">+PROPER(U3)</f>
        <v>Lizbeth  Cabrera Melo</v>
      </c>
      <c r="W3" s="29" t="str">
        <f t="shared" ref="W3:W14" si="5">CONCATENATE(U3,"-",B3,"-",N3)</f>
        <v>Lizbeth  Cabrera Melo-1088735917-DUELO</v>
      </c>
    </row>
    <row r="4" spans="1:23" s="46" customFormat="1" ht="15.75" x14ac:dyDescent="0.25">
      <c r="A4" s="31">
        <v>3</v>
      </c>
      <c r="B4" s="31">
        <v>59396270</v>
      </c>
      <c r="C4" s="31" t="s">
        <v>102</v>
      </c>
      <c r="D4" s="31" t="s">
        <v>90</v>
      </c>
      <c r="E4" s="31" t="s">
        <v>103</v>
      </c>
      <c r="F4" s="31" t="s">
        <v>104</v>
      </c>
      <c r="G4" s="18">
        <v>2</v>
      </c>
      <c r="H4" s="18" t="s">
        <v>93</v>
      </c>
      <c r="I4" s="22">
        <v>45415</v>
      </c>
      <c r="J4" s="57">
        <v>32000</v>
      </c>
      <c r="K4" s="18" t="s">
        <v>124</v>
      </c>
      <c r="L4" s="18" t="s">
        <v>84</v>
      </c>
      <c r="M4" s="18" t="s">
        <v>99</v>
      </c>
      <c r="N4" s="19" t="s">
        <v>25</v>
      </c>
      <c r="O4" s="45">
        <v>30679</v>
      </c>
      <c r="P4" s="31" t="s">
        <v>100</v>
      </c>
      <c r="Q4" s="31" t="s">
        <v>106</v>
      </c>
      <c r="R4" s="31">
        <v>3122260829</v>
      </c>
      <c r="S4" s="47" t="s">
        <v>105</v>
      </c>
      <c r="T4" s="29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SALUD, BUENAS PRACTICAS EN PACIENTE ",IF(N4=CURSOS!$D$10,"CLINICA DE HERIDAS ",IF(N4=CURSOS!$D$11,"TOMA DE CITOLOGIA A CERVICO VAGINAL ",IF(N4=CURSOS!$D$12,"SOPORTE CARDIOVASCULAR AVANZADO ",IF(N4=CURSOS!$D$13,"CAMILLERO ",IF(N4=CURSOS!$D$14,"TOMA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MUESTRAS Y LABORATORIO POCT",IF(N4=CURSOS!$D$28,"IMPLANTE SUBDERMICO Y DISPOSITIVO INTRAUTERINO",IF(N4=CURSOS!$D$29,"SALUD MENTAL",IF(N4=CURSOS!$D$30,"PRIMEROS AUXILIOS PSICOLOGICOS",IF(N4=CURSOS!$D$31,"ATENCION A VICTIMAS POR CONFLICTO ARMADO",IF(N4=CURSOS!$D$32,"MANIPULACION DE ALIMENTOS Y BPM"))))))))))))))))))))))))))))))</f>
        <v xml:space="preserve">ATENCION A VICTIMAS DE ATAQUE CON AGENTES QUIMICOS </v>
      </c>
      <c r="U4" s="29" t="str">
        <f t="shared" si="3"/>
        <v>Nayive Margoth Chalacan Molina</v>
      </c>
      <c r="V4" s="29" t="str">
        <f t="shared" si="4"/>
        <v>Nayive Margoth Chalacan Molina</v>
      </c>
      <c r="W4" s="29" t="str">
        <f t="shared" si="5"/>
        <v>Nayive Margoth Chalacan Molina-59396270-QUIMICOS</v>
      </c>
    </row>
    <row r="5" spans="1:23" s="46" customFormat="1" ht="15.75" x14ac:dyDescent="0.25">
      <c r="A5" s="31">
        <v>4</v>
      </c>
      <c r="B5" s="31">
        <v>59396270</v>
      </c>
      <c r="C5" s="31" t="s">
        <v>102</v>
      </c>
      <c r="D5" s="31" t="s">
        <v>90</v>
      </c>
      <c r="E5" s="31" t="s">
        <v>103</v>
      </c>
      <c r="F5" s="31" t="s">
        <v>104</v>
      </c>
      <c r="G5" s="18">
        <v>2</v>
      </c>
      <c r="H5" s="18" t="s">
        <v>93</v>
      </c>
      <c r="I5" s="22">
        <v>45415</v>
      </c>
      <c r="J5" s="57">
        <v>32000</v>
      </c>
      <c r="K5" s="18" t="s">
        <v>124</v>
      </c>
      <c r="L5" s="18" t="s">
        <v>84</v>
      </c>
      <c r="M5" s="18" t="s">
        <v>99</v>
      </c>
      <c r="N5" s="19" t="s">
        <v>46</v>
      </c>
      <c r="O5" s="45">
        <v>30679</v>
      </c>
      <c r="P5" s="31" t="s">
        <v>100</v>
      </c>
      <c r="Q5" s="31" t="s">
        <v>106</v>
      </c>
      <c r="R5" s="31">
        <v>3122260829</v>
      </c>
      <c r="S5" s="47" t="s">
        <v>105</v>
      </c>
      <c r="T5" s="29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SALUD, BUENAS PRACTICAS EN PACIENTE ",IF(N5=CURSOS!$D$10,"CLINICA DE HERIDAS ",IF(N5=CURSOS!$D$11,"TOMA DE CITOLOGIA A CERVICO VAGINAL ",IF(N5=CURSOS!$D$12,"SOPORTE CARDIOVASCULAR AVANZADO ",IF(N5=CURSOS!$D$13,"CAMILLERO ",IF(N5=CURSOS!$D$14,"TOMA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MUESTRAS Y LABORATORIO POCT",IF(N5=CURSOS!$D$28,"IMPLANTE SUBDERMICO Y DISPOSITIVO INTRAUTERINO",IF(N5=CURSOS!$D$29,"SALUD MENTAL",IF(N5=CURSOS!$D$30,"PRIMEROS AUXILIOS PSICOLOGICOS",IF(N5=CURSOS!$D$31,"ATENCION A VICTIMAS POR CONFLICTO ARMADO",IF(N5=CURSOS!$D$32,"MANIPULACION DE ALIMENTOS Y BPM"))))))))))))))))))))))))))))))</f>
        <v xml:space="preserve">ATENCION A VICTIMAS DE VIOLENCIA SEXUAL </v>
      </c>
      <c r="U5" s="29" t="str">
        <f t="shared" si="3"/>
        <v>Nayive Margoth Chalacan Molina</v>
      </c>
      <c r="V5" s="29" t="str">
        <f t="shared" si="4"/>
        <v>Nayive Margoth Chalacan Molina</v>
      </c>
      <c r="W5" s="29" t="str">
        <f t="shared" si="5"/>
        <v>Nayive Margoth Chalacan Molina-59396270-VIOLENCIA SEXUAL</v>
      </c>
    </row>
    <row r="6" spans="1:23" s="46" customFormat="1" ht="15.75" x14ac:dyDescent="0.25">
      <c r="A6" s="31">
        <v>5</v>
      </c>
      <c r="B6" s="31">
        <v>59396270</v>
      </c>
      <c r="C6" s="31" t="s">
        <v>102</v>
      </c>
      <c r="D6" s="31" t="s">
        <v>90</v>
      </c>
      <c r="E6" s="31" t="s">
        <v>103</v>
      </c>
      <c r="F6" s="31" t="s">
        <v>104</v>
      </c>
      <c r="G6" s="18">
        <v>2</v>
      </c>
      <c r="H6" s="18" t="s">
        <v>93</v>
      </c>
      <c r="I6" s="22">
        <v>45415</v>
      </c>
      <c r="J6" s="57">
        <v>32000</v>
      </c>
      <c r="K6" s="18" t="s">
        <v>124</v>
      </c>
      <c r="L6" s="18" t="s">
        <v>84</v>
      </c>
      <c r="M6" s="18" t="s">
        <v>99</v>
      </c>
      <c r="N6" s="19" t="s">
        <v>23</v>
      </c>
      <c r="O6" s="45">
        <v>30679</v>
      </c>
      <c r="P6" s="31" t="s">
        <v>100</v>
      </c>
      <c r="Q6" s="31" t="s">
        <v>106</v>
      </c>
      <c r="R6" s="31">
        <v>3122260829</v>
      </c>
      <c r="S6" s="47" t="s">
        <v>105</v>
      </c>
      <c r="T6" s="29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SALUD, BUENAS PRACTICAS EN PACIENTE ",IF(N6=CURSOS!$D$10,"CLINICA DE HERIDAS ",IF(N6=CURSOS!$D$11,"TOMA DE CITOLOGIA A CERVICO VAGINAL ",IF(N6=CURSOS!$D$12,"SOPORTE CARDIOVASCULAR AVANZADO ",IF(N6=CURSOS!$D$13,"CAMILLERO ",IF(N6=CURSOS!$D$14,"TOMA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MUESTRAS Y LABORATORIO POCT",IF(N6=CURSOS!$D$28,"IMPLANTE SUBDERMICO Y DISPOSITIVO INTRAUTERINO",IF(N6=CURSOS!$D$29,"SALUD MENTAL",IF(N6=CURSOS!$D$30,"PRIMEROS AUXILIOS PSICOLOGICOS",IF(N6=CURSOS!$D$31,"ATENCION A VICTIMAS POR CONFLICTO ARMADO",IF(N6=CURSOS!$D$32,"MANIPULACION DE ALIMENTOS Y BPM"))))))))))))))))))))))))))))))</f>
        <v>ACOMPAÑAMIENTO Y MANEJO DEL DUELO</v>
      </c>
      <c r="U6" s="29" t="str">
        <f t="shared" si="3"/>
        <v>Nayive Margoth Chalacan Molina</v>
      </c>
      <c r="V6" s="29" t="str">
        <f t="shared" si="4"/>
        <v>Nayive Margoth Chalacan Molina</v>
      </c>
      <c r="W6" s="29" t="str">
        <f t="shared" si="5"/>
        <v>Nayive Margoth Chalacan Molina-59396270-DUELO</v>
      </c>
    </row>
    <row r="7" spans="1:23" s="46" customFormat="1" ht="15.75" x14ac:dyDescent="0.25">
      <c r="A7" s="31">
        <v>6</v>
      </c>
      <c r="B7" s="31">
        <v>59396270</v>
      </c>
      <c r="C7" s="31" t="s">
        <v>102</v>
      </c>
      <c r="D7" s="31" t="s">
        <v>90</v>
      </c>
      <c r="E7" s="31" t="s">
        <v>103</v>
      </c>
      <c r="F7" s="31" t="s">
        <v>104</v>
      </c>
      <c r="G7" s="18">
        <v>2</v>
      </c>
      <c r="H7" s="18" t="s">
        <v>93</v>
      </c>
      <c r="I7" s="22">
        <v>45415</v>
      </c>
      <c r="J7" s="57">
        <v>32000</v>
      </c>
      <c r="K7" s="18" t="s">
        <v>124</v>
      </c>
      <c r="L7" s="18" t="s">
        <v>84</v>
      </c>
      <c r="M7" s="18" t="s">
        <v>99</v>
      </c>
      <c r="N7" s="19" t="s">
        <v>19</v>
      </c>
      <c r="O7" s="45">
        <v>30679</v>
      </c>
      <c r="P7" s="31" t="s">
        <v>100</v>
      </c>
      <c r="Q7" s="31" t="s">
        <v>106</v>
      </c>
      <c r="R7" s="31">
        <v>3122260829</v>
      </c>
      <c r="S7" s="47" t="s">
        <v>105</v>
      </c>
      <c r="T7" s="29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SALUD, BUENAS PRACTICAS EN PACIENTE ",IF(N7=CURSOS!$D$10,"CLINICA DE HERIDAS ",IF(N7=CURSOS!$D$11,"TOMA DE CITOLOGIA A CERVICO VAGINAL ",IF(N7=CURSOS!$D$12,"SOPORTE CARDIOVASCULAR AVANZADO ",IF(N7=CURSOS!$D$13,"CAMILLERO ",IF(N7=CURSOS!$D$14,"TOMA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MUESTRAS Y LABORATORIO POCT",IF(N7=CURSOS!$D$28,"IMPLANTE SUBDERMICO Y DISPOSITIVO INTRAUTERINO",IF(N7=CURSOS!$D$29,"SALUD MENTAL",IF(N7=CURSOS!$D$30,"PRIMEROS AUXILIOS PSICOLOGICOS",IF(N7=CURSOS!$D$31,"ATENCION A VICTIMAS POR CONFLICTO ARMADO",IF(N7=CURSOS!$D$32,"MANIPULACION DE ALIMENTOS Y BPM"))))))))))))))))))))))))))))))</f>
        <v>SOPORTE VITAL BASICO (BLS)</v>
      </c>
      <c r="U7" s="29" t="str">
        <f t="shared" si="3"/>
        <v>Nayive Margoth Chalacan Molina</v>
      </c>
      <c r="V7" s="29" t="str">
        <f t="shared" si="4"/>
        <v>Nayive Margoth Chalacan Molina</v>
      </c>
      <c r="W7" s="29" t="str">
        <f t="shared" si="5"/>
        <v>Nayive Margoth Chalacan Molina-59396270-BLS</v>
      </c>
    </row>
    <row r="8" spans="1:23" s="46" customFormat="1" ht="15.75" x14ac:dyDescent="0.25">
      <c r="A8" s="31">
        <v>7</v>
      </c>
      <c r="B8" s="31">
        <v>1086300093</v>
      </c>
      <c r="C8" s="31" t="s">
        <v>107</v>
      </c>
      <c r="D8" s="31" t="s">
        <v>108</v>
      </c>
      <c r="E8" s="31" t="s">
        <v>109</v>
      </c>
      <c r="F8" s="31" t="s">
        <v>110</v>
      </c>
      <c r="G8" s="18">
        <v>2</v>
      </c>
      <c r="H8" s="18" t="s">
        <v>93</v>
      </c>
      <c r="I8" s="22">
        <v>45414</v>
      </c>
      <c r="J8" s="57">
        <v>35000</v>
      </c>
      <c r="K8" s="18" t="s">
        <v>77</v>
      </c>
      <c r="L8" s="18" t="s">
        <v>84</v>
      </c>
      <c r="M8" s="18" t="s">
        <v>75</v>
      </c>
      <c r="N8" s="19" t="s">
        <v>46</v>
      </c>
      <c r="O8" s="45">
        <v>32886</v>
      </c>
      <c r="P8" s="31" t="s">
        <v>100</v>
      </c>
      <c r="Q8" s="31" t="s">
        <v>106</v>
      </c>
      <c r="R8" s="31">
        <v>3147241133</v>
      </c>
      <c r="S8" s="47" t="s">
        <v>111</v>
      </c>
      <c r="T8" s="29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SALUD, BUENAS PRACTICAS EN PACIENTE ",IF(N8=CURSOS!$D$10,"CLINICA DE HERIDAS ",IF(N8=CURSOS!$D$11,"TOMA DE CITOLOGIA A CERVICO VAGINAL ",IF(N8=CURSOS!$D$12,"SOPORTE CARDIOVASCULAR AVANZADO ",IF(N8=CURSOS!$D$13,"CAMILLERO ",IF(N8=CURSOS!$D$14,"TOMA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MUESTRAS Y LABORATORIO POCT",IF(N8=CURSOS!$D$28,"IMPLANTE SUBDERMICO Y DISPOSITIVO INTRAUTERINO",IF(N8=CURSOS!$D$29,"SALUD MENTAL",IF(N8=CURSOS!$D$30,"PRIMEROS AUXILIOS PSICOLOGICOS",IF(N8=CURSOS!$D$31,"ATENCION A VICTIMAS POR CONFLICTO ARMADO",IF(N8=CURSOS!$D$32,"MANIPULACION DE ALIMENTOS Y BPM"))))))))))))))))))))))))))))))</f>
        <v xml:space="preserve">ATENCION A VICTIMAS DE VIOLENCIA SEXUAL </v>
      </c>
      <c r="U8" s="29" t="str">
        <f t="shared" si="3"/>
        <v>Yenny Bell Estupiñan Ortega</v>
      </c>
      <c r="V8" s="29" t="str">
        <f t="shared" si="4"/>
        <v>Yenny Bell Estupiñan Ortega</v>
      </c>
      <c r="W8" s="29" t="str">
        <f t="shared" si="5"/>
        <v>Yenny Bell Estupiñan Ortega-1086300093-VIOLENCIA SEXUAL</v>
      </c>
    </row>
    <row r="9" spans="1:23" s="67" customFormat="1" ht="15.75" x14ac:dyDescent="0.25">
      <c r="A9" s="61">
        <v>8</v>
      </c>
      <c r="B9" s="61">
        <v>1087027154</v>
      </c>
      <c r="C9" s="61" t="s">
        <v>112</v>
      </c>
      <c r="D9" s="61" t="s">
        <v>113</v>
      </c>
      <c r="E9" s="61" t="s">
        <v>114</v>
      </c>
      <c r="F9" s="61" t="s">
        <v>115</v>
      </c>
      <c r="G9" s="62">
        <v>2</v>
      </c>
      <c r="H9" s="62" t="s">
        <v>93</v>
      </c>
      <c r="I9" s="63"/>
      <c r="J9" s="64">
        <v>28000</v>
      </c>
      <c r="K9" s="62"/>
      <c r="L9" s="62" t="s">
        <v>84</v>
      </c>
      <c r="M9" s="62" t="s">
        <v>75</v>
      </c>
      <c r="N9" s="65" t="s">
        <v>117</v>
      </c>
      <c r="O9" s="66">
        <v>33761</v>
      </c>
      <c r="P9" s="61" t="s">
        <v>100</v>
      </c>
      <c r="Q9" s="61" t="s">
        <v>106</v>
      </c>
      <c r="R9" s="61">
        <v>3183480409</v>
      </c>
      <c r="S9" s="84" t="s">
        <v>116</v>
      </c>
      <c r="T9" s="81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SALUD, BUENAS PRACTICAS EN PACIENTE ",IF(N9=CURSOS!$D$10,"CLINICA DE HERIDAS ",IF(N9=CURSOS!$D$11,"TOMA DE CITOLOGIA A CERVICO VAGINAL ",IF(N9=CURSOS!$D$12,"SOPORTE CARDIOVASCULAR AVANZADO ",IF(N9=CURSOS!$D$13,"CAMILLERO ",IF(N9=CURSOS!$D$14,"TOMA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MUESTRAS Y LABORATORIO POCT",IF(N9=CURSOS!$D$28,"IMPLANTE SUBDERMICO Y DISPOSITIVO INTRAUTERINO",IF(N9=CURSOS!$D$29,"SALUD MENTAL",IF(N9=CURSOS!$D$30,"PRIMEROS AUXILIOS PSICOLOGICOS",IF(N9=CURSOS!$D$31,"ATENCION A VICTIMAS POR CONFLICTO ARMADO",IF(N9=CURSOS!$D$32,"MANIPULACION DE ALIMENTOS Y BPM"))))))))))))))))))))))))))))))</f>
        <v>PROGRAMADO AMPLIADO DE INMUNIZACION (PAI - COVID 19)</v>
      </c>
      <c r="U9" s="81" t="str">
        <f t="shared" si="3"/>
        <v>Marilyn Yesenia Zambrano Riascos</v>
      </c>
      <c r="V9" s="81" t="str">
        <f t="shared" si="4"/>
        <v>Marilyn Yesenia Zambrano Riascos</v>
      </c>
      <c r="W9" s="81" t="str">
        <f t="shared" si="5"/>
        <v>Marilyn Yesenia Zambrano Riascos-1087027154-PAI</v>
      </c>
    </row>
    <row r="10" spans="1:23" s="46" customFormat="1" ht="15.75" x14ac:dyDescent="0.25">
      <c r="A10" s="31">
        <v>9</v>
      </c>
      <c r="B10" s="31">
        <v>1085933551</v>
      </c>
      <c r="C10" s="31" t="s">
        <v>120</v>
      </c>
      <c r="D10" s="31" t="s">
        <v>121</v>
      </c>
      <c r="E10" s="31" t="s">
        <v>122</v>
      </c>
      <c r="F10" s="31" t="s">
        <v>123</v>
      </c>
      <c r="G10" s="18">
        <v>3</v>
      </c>
      <c r="H10" s="18" t="s">
        <v>93</v>
      </c>
      <c r="I10" s="22">
        <v>45415</v>
      </c>
      <c r="J10" s="57">
        <v>40000</v>
      </c>
      <c r="K10" s="18" t="s">
        <v>77</v>
      </c>
      <c r="L10" s="18" t="s">
        <v>84</v>
      </c>
      <c r="M10" s="18" t="s">
        <v>75</v>
      </c>
      <c r="N10" s="19" t="s">
        <v>19</v>
      </c>
      <c r="O10" s="45">
        <v>34303</v>
      </c>
      <c r="P10" s="31" t="s">
        <v>100</v>
      </c>
      <c r="Q10" s="31" t="s">
        <v>106</v>
      </c>
      <c r="R10" s="31">
        <v>3016000026</v>
      </c>
      <c r="S10" s="47"/>
      <c r="T10" s="29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SALUD, BUENAS PRACTICAS EN PACIENTE ",IF(N10=CURSOS!$D$10,"CLINICA DE HERIDAS ",IF(N10=CURSOS!$D$11,"TOMA DE CITOLOGIA A CERVICO VAGINAL ",IF(N10=CURSOS!$D$12,"SOPORTE CARDIOVASCULAR AVANZADO ",IF(N10=CURSOS!$D$13,"CAMILLERO ",IF(N10=CURSOS!$D$14,"TOMA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MUESTRAS Y LABORATORIO POCT",IF(N10=CURSOS!$D$28,"IMPLANTE SUBDERMICO Y DISPOSITIVO INTRAUTERINO",IF(N10=CURSOS!$D$29,"SALUD MENTAL",IF(N10=CURSOS!$D$30,"PRIMEROS AUXILIOS PSICOLOGICOS",IF(N10=CURSOS!$D$31,"ATENCION A VICTIMAS POR CONFLICTO ARMADO",IF(N10=CURSOS!$D$32,"MANIPULACION DE ALIMENTOS Y BPM"))))))))))))))))))))))))))))))</f>
        <v>SOPORTE VITAL BASICO (BLS)</v>
      </c>
      <c r="U10" s="29" t="str">
        <f t="shared" si="3"/>
        <v>Bairon Javier Rosero Jacome</v>
      </c>
      <c r="V10" s="29" t="str">
        <f t="shared" si="4"/>
        <v>Bairon Javier Rosero Jacome</v>
      </c>
      <c r="W10" s="29" t="str">
        <f t="shared" si="5"/>
        <v>Bairon Javier Rosero Jacome-1085933551-BLS</v>
      </c>
    </row>
    <row r="11" spans="1:23" s="46" customFormat="1" ht="15.75" x14ac:dyDescent="0.25">
      <c r="A11" s="31">
        <v>10</v>
      </c>
      <c r="B11" s="31">
        <v>59312461</v>
      </c>
      <c r="C11" s="31" t="s">
        <v>125</v>
      </c>
      <c r="D11" s="31" t="s">
        <v>126</v>
      </c>
      <c r="E11" s="31" t="s">
        <v>127</v>
      </c>
      <c r="F11" s="31" t="s">
        <v>128</v>
      </c>
      <c r="G11" s="18">
        <v>3</v>
      </c>
      <c r="H11" s="18" t="s">
        <v>93</v>
      </c>
      <c r="I11" s="22">
        <v>45415</v>
      </c>
      <c r="J11" s="57">
        <v>25000</v>
      </c>
      <c r="K11" s="18" t="s">
        <v>83</v>
      </c>
      <c r="L11" s="18" t="s">
        <v>84</v>
      </c>
      <c r="M11" s="18" t="s">
        <v>75</v>
      </c>
      <c r="N11" s="19" t="s">
        <v>23</v>
      </c>
      <c r="O11" s="45">
        <v>30700</v>
      </c>
      <c r="P11" s="31" t="s">
        <v>100</v>
      </c>
      <c r="Q11" s="31" t="s">
        <v>106</v>
      </c>
      <c r="R11" s="31">
        <v>3165193237</v>
      </c>
      <c r="S11" s="47" t="s">
        <v>129</v>
      </c>
      <c r="T11" s="29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SALUD, BUENAS PRACTICAS EN PACIENTE ",IF(N11=CURSOS!$D$10,"CLINICA DE HERIDAS ",IF(N11=CURSOS!$D$11,"TOMA DE CITOLOGIA A CERVICO VAGINAL ",IF(N11=CURSOS!$D$12,"SOPORTE CARDIOVASCULAR AVANZADO ",IF(N11=CURSOS!$D$13,"CAMILLERO ",IF(N11=CURSOS!$D$14,"TOMA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MUESTRAS Y LABORATORIO POCT",IF(N11=CURSOS!$D$28,"IMPLANTE SUBDERMICO Y DISPOSITIVO INTRAUTERINO",IF(N11=CURSOS!$D$29,"SALUD MENTAL",IF(N11=CURSOS!$D$30,"PRIMEROS AUXILIOS PSICOLOGICOS",IF(N11=CURSOS!$D$31,"ATENCION A VICTIMAS POR CONFLICTO ARMADO",IF(N11=CURSOS!$D$32,"MANIPULACION DE ALIMENTOS Y BPM"))))))))))))))))))))))))))))))</f>
        <v>ACOMPAÑAMIENTO Y MANEJO DEL DUELO</v>
      </c>
      <c r="U11" s="29" t="str">
        <f t="shared" si="3"/>
        <v>Vilma Judith Lopez Santacruz</v>
      </c>
      <c r="V11" s="29" t="str">
        <f t="shared" si="4"/>
        <v>Vilma Judith Lopez Santacruz</v>
      </c>
      <c r="W11" s="29" t="str">
        <f t="shared" si="5"/>
        <v>Vilma Judith Lopez Santacruz-59312461-DUELO</v>
      </c>
    </row>
    <row r="12" spans="1:23" s="46" customFormat="1" ht="15.75" x14ac:dyDescent="0.25">
      <c r="A12" s="31">
        <v>11</v>
      </c>
      <c r="B12" s="31">
        <v>59396090</v>
      </c>
      <c r="C12" s="31" t="s">
        <v>130</v>
      </c>
      <c r="D12" s="31" t="s">
        <v>82</v>
      </c>
      <c r="E12" s="31" t="s">
        <v>131</v>
      </c>
      <c r="F12" s="31" t="s">
        <v>132</v>
      </c>
      <c r="G12" s="18">
        <v>4</v>
      </c>
      <c r="H12" s="18" t="s">
        <v>93</v>
      </c>
      <c r="I12" s="22">
        <v>45416</v>
      </c>
      <c r="J12" s="57">
        <v>28000</v>
      </c>
      <c r="K12" s="18" t="s">
        <v>124</v>
      </c>
      <c r="L12" s="18" t="s">
        <v>84</v>
      </c>
      <c r="M12" s="18" t="s">
        <v>75</v>
      </c>
      <c r="N12" s="19" t="s">
        <v>19</v>
      </c>
      <c r="O12" s="45">
        <v>30702</v>
      </c>
      <c r="P12" s="31" t="s">
        <v>100</v>
      </c>
      <c r="Q12" s="31" t="s">
        <v>106</v>
      </c>
      <c r="R12" s="31">
        <v>3104040960</v>
      </c>
      <c r="S12" s="47" t="s">
        <v>133</v>
      </c>
      <c r="T12" s="29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SALUD, BUENAS PRACTICAS EN PACIENTE ",IF(N12=CURSOS!$D$10,"CLINICA DE HERIDAS ",IF(N12=CURSOS!$D$11,"TOMA DE CITOLOGIA A CERVICO VAGINAL ",IF(N12=CURSOS!$D$12,"SOPORTE CARDIOVASCULAR AVANZADO ",IF(N12=CURSOS!$D$13,"CAMILLERO ",IF(N12=CURSOS!$D$14,"TOMA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MUESTRAS Y LABORATORIO POCT",IF(N12=CURSOS!$D$28,"IMPLANTE SUBDERMICO Y DISPOSITIVO INTRAUTERINO",IF(N12=CURSOS!$D$29,"SALUD MENTAL",IF(N12=CURSOS!$D$30,"PRIMEROS AUXILIOS PSICOLOGICOS",IF(N12=CURSOS!$D$31,"ATENCION A VICTIMAS POR CONFLICTO ARMADO",IF(N12=CURSOS!$D$32,"MANIPULACION DE ALIMENTOS Y BPM"))))))))))))))))))))))))))))))</f>
        <v>SOPORTE VITAL BASICO (BLS)</v>
      </c>
      <c r="U12" s="29" t="str">
        <f t="shared" si="3"/>
        <v>Nilsa Ximena Villacorte Delgado</v>
      </c>
      <c r="V12" s="29" t="str">
        <f t="shared" si="4"/>
        <v>Nilsa Ximena Villacorte Delgado</v>
      </c>
      <c r="W12" s="29" t="str">
        <f t="shared" si="5"/>
        <v>Nilsa Ximena Villacorte Delgado-59396090-BLS</v>
      </c>
    </row>
    <row r="13" spans="1:23" s="46" customFormat="1" ht="15.75" x14ac:dyDescent="0.25">
      <c r="A13" s="31">
        <v>12</v>
      </c>
      <c r="B13" s="31">
        <v>13093436</v>
      </c>
      <c r="C13" s="31" t="s">
        <v>108</v>
      </c>
      <c r="D13" s="31" t="s">
        <v>134</v>
      </c>
      <c r="E13" s="31" t="s">
        <v>135</v>
      </c>
      <c r="F13" s="31" t="s">
        <v>123</v>
      </c>
      <c r="G13" s="18">
        <v>4</v>
      </c>
      <c r="H13" s="18" t="s">
        <v>93</v>
      </c>
      <c r="I13" s="22">
        <v>45416</v>
      </c>
      <c r="J13" s="57">
        <v>55000</v>
      </c>
      <c r="K13" s="18" t="s">
        <v>77</v>
      </c>
      <c r="L13" s="18" t="s">
        <v>136</v>
      </c>
      <c r="M13" s="18" t="s">
        <v>75</v>
      </c>
      <c r="N13" s="19" t="s">
        <v>27</v>
      </c>
      <c r="O13" s="45">
        <v>29905</v>
      </c>
      <c r="P13" s="31" t="s">
        <v>79</v>
      </c>
      <c r="Q13" s="31" t="s">
        <v>137</v>
      </c>
      <c r="R13" s="31">
        <v>3155270796</v>
      </c>
      <c r="S13" s="47" t="s">
        <v>138</v>
      </c>
      <c r="T13" s="29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SALUD, BUENAS PRACTICAS EN PACIENTE ",IF(N13=CURSOS!$D$10,"CLINICA DE HERIDAS ",IF(N13=CURSOS!$D$11,"TOMA DE CITOLOGIA A CERVICO VAGINAL ",IF(N13=CURSOS!$D$12,"SOPORTE CARDIOVASCULAR AVANZADO ",IF(N13=CURSOS!$D$13,"CAMILLERO ",IF(N13=CURSOS!$D$14,"TOMA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MUESTRAS Y LABORATORIO POCT",IF(N13=CURSOS!$D$28,"IMPLANTE SUBDERMICO Y DISPOSITIVO INTRAUTERINO",IF(N13=CURSOS!$D$29,"SALUD MENTAL",IF(N13=CURSOS!$D$30,"PRIMEROS AUXILIOS PSICOLOGICOS",IF(N13=CURSOS!$D$31,"ATENCION A VICTIMAS POR CONFLICTO ARMADO",IF(N13=CURSOS!$D$32,"MANIPULACION DE ALIMENTOS Y BPM"))))))))))))))))))))))))))))))</f>
        <v xml:space="preserve">PRIMEROS AUXILIOS </v>
      </c>
      <c r="U13" s="29" t="str">
        <f t="shared" si="3"/>
        <v>Manolo Javier Ortega Montenegro</v>
      </c>
      <c r="V13" s="29" t="str">
        <f t="shared" si="4"/>
        <v>Manolo Javier Ortega Montenegro</v>
      </c>
      <c r="W13" s="29" t="str">
        <f t="shared" si="5"/>
        <v>Manolo Javier Ortega Montenegro-13093436-PRIMEROS AUXILIOS</v>
      </c>
    </row>
    <row r="14" spans="1:23" s="50" customFormat="1" ht="15.75" x14ac:dyDescent="0.25">
      <c r="A14" s="48">
        <v>13</v>
      </c>
      <c r="B14" s="48">
        <v>1094937056</v>
      </c>
      <c r="C14" s="48" t="s">
        <v>139</v>
      </c>
      <c r="D14" s="48" t="s">
        <v>140</v>
      </c>
      <c r="E14" s="48" t="s">
        <v>142</v>
      </c>
      <c r="F14" s="48" t="s">
        <v>141</v>
      </c>
      <c r="G14" s="26">
        <v>4</v>
      </c>
      <c r="H14" s="26" t="s">
        <v>93</v>
      </c>
      <c r="I14" s="28">
        <v>45416</v>
      </c>
      <c r="J14" s="58">
        <v>56000</v>
      </c>
      <c r="K14" s="26" t="s">
        <v>77</v>
      </c>
      <c r="L14" s="26" t="s">
        <v>136</v>
      </c>
      <c r="M14" s="26" t="s">
        <v>75</v>
      </c>
      <c r="N14" s="27" t="s">
        <v>68</v>
      </c>
      <c r="O14" s="49">
        <v>34269</v>
      </c>
      <c r="P14" s="48" t="s">
        <v>100</v>
      </c>
      <c r="Q14" s="48" t="s">
        <v>143</v>
      </c>
      <c r="R14" s="48">
        <v>3153532839</v>
      </c>
      <c r="S14" s="85" t="s">
        <v>144</v>
      </c>
      <c r="T14" s="82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SALUD, BUENAS PRACTICAS EN PACIENTE ",IF(N14=CURSOS!$D$10,"CLINICA DE HERIDAS ",IF(N14=CURSOS!$D$11,"TOMA DE CITOLOGIA A CERVICO VAGINAL ",IF(N14=CURSOS!$D$12,"SOPORTE CARDIOVASCULAR AVANZADO ",IF(N14=CURSOS!$D$13,"CAMILLERO ",IF(N14=CURSOS!$D$14,"TOMA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MUESTRAS Y LABORATORIO POCT",IF(N14=CURSOS!$D$28,"IMPLANTE SUBDERMICO Y DISPOSITIVO INTRAUTERINO",IF(N14=CURSOS!$D$29,"SALUD MENTAL",IF(N14=CURSOS!$D$30,"PRIMEROS AUXILIOS PSICOLOGICOS",IF(N14=CURSOS!$D$31,"ATENCION A VICTIMAS POR CONFLICTO ARMADO",IF(N14=CURSOS!$D$32,"MANIPULACION DE ALIMENTOS Y BPM"))))))))))))))))))))))))))))))</f>
        <v>IMPLANTE SUBDERMICO Y DISPOSITIVO INTRAUTERINO</v>
      </c>
      <c r="U14" s="82" t="str">
        <f t="shared" si="3"/>
        <v>YERIKA ESTEFANIA YEPES ESPAÑA</v>
      </c>
      <c r="V14" s="82" t="str">
        <f t="shared" si="4"/>
        <v>Yerika Estefania Yepes España</v>
      </c>
      <c r="W14" s="82" t="str">
        <f t="shared" si="5"/>
        <v>YERIKA ESTEFANIA YEPES ESPAÑA-1094937056-IMPLANTE</v>
      </c>
    </row>
    <row r="15" spans="1:23" s="50" customFormat="1" x14ac:dyDescent="0.2">
      <c r="A15" s="48">
        <v>14</v>
      </c>
      <c r="B15" s="48">
        <v>87068693</v>
      </c>
      <c r="C15" s="48" t="s">
        <v>145</v>
      </c>
      <c r="D15" s="48" t="s">
        <v>146</v>
      </c>
      <c r="E15" s="48" t="s">
        <v>147</v>
      </c>
      <c r="F15" s="48" t="s">
        <v>149</v>
      </c>
      <c r="G15" s="26">
        <v>6</v>
      </c>
      <c r="H15" s="26" t="s">
        <v>93</v>
      </c>
      <c r="I15" s="28">
        <v>45420</v>
      </c>
      <c r="J15" s="58">
        <v>25000</v>
      </c>
      <c r="K15" s="26" t="s">
        <v>77</v>
      </c>
      <c r="L15" s="26" t="s">
        <v>84</v>
      </c>
      <c r="M15" s="26" t="s">
        <v>75</v>
      </c>
      <c r="N15" s="27" t="s">
        <v>51</v>
      </c>
      <c r="O15" s="49">
        <v>31119</v>
      </c>
      <c r="P15" s="48" t="s">
        <v>79</v>
      </c>
      <c r="Q15" s="48" t="s">
        <v>106</v>
      </c>
      <c r="R15" s="48">
        <v>3212473536</v>
      </c>
      <c r="S15" s="48" t="s">
        <v>148</v>
      </c>
      <c r="T15" s="82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SALUD, BUENAS PRACTICAS EN PACIENTE ",IF(N15=CURSOS!$D$10,"CLINICA DE HERIDAS ",IF(N15=CURSOS!$D$11,"TOMA DE CITOLOGIA A CERVICO VAGINAL ",IF(N15=CURSOS!$D$12,"SOPORTE CARDIOVASCULAR AVANZADO ",IF(N15=CURSOS!$D$13,"CAMILLERO ",IF(N15=CURSOS!$D$14,"TOMA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MUESTRAS Y LABORATORIO POCT",IF(N15=CURSOS!$D$28,"IMPLANTE SUBDERMICO Y DISPOSITIVO INTRAUTERINO",IF(N15=CURSOS!$D$29,"SALUD MENTAL",IF(N15=CURSOS!$D$30,"PRIMEROS AUXILIOS PSICOLOGICOS",IF(N15=CURSOS!$D$31,"ATENCION A VICTIMAS POR CONFLICTO ARMADO",IF(N15=CURSOS!$D$32,"MANIPULACION DE ALIMENTOS Y BPM"))))))))))))))))))))))))))))))</f>
        <v xml:space="preserve">ADMINISTRACION DE MEDICAMENTOS, IYECTOLOGIA  Y CANALIZACION </v>
      </c>
      <c r="U15" s="82" t="str">
        <f t="shared" ref="U15:U25" si="6">CONCATENATE(E15," ",F15," ",C15," ",D15)</f>
        <v>Eder Mauricio Ruiz Portillo</v>
      </c>
      <c r="V15" s="82" t="str">
        <f t="shared" ref="V15:V25" si="7">+PROPER(U15)</f>
        <v>Eder Mauricio Ruiz Portillo</v>
      </c>
      <c r="W15" s="82" t="str">
        <f t="shared" ref="W15:W25" si="8">CONCATENATE(U15,"-",B15,"-",N15)</f>
        <v>Eder Mauricio Ruiz Portillo-87068693-ADMON DE MEDICAMENTOS</v>
      </c>
    </row>
    <row r="16" spans="1:23" s="50" customFormat="1" x14ac:dyDescent="0.2">
      <c r="A16" s="48">
        <v>15</v>
      </c>
      <c r="B16" s="48">
        <v>87068693</v>
      </c>
      <c r="C16" s="48" t="s">
        <v>145</v>
      </c>
      <c r="D16" s="48" t="s">
        <v>146</v>
      </c>
      <c r="E16" s="48" t="s">
        <v>147</v>
      </c>
      <c r="F16" s="48" t="s">
        <v>149</v>
      </c>
      <c r="G16" s="26">
        <v>6</v>
      </c>
      <c r="H16" s="26" t="s">
        <v>93</v>
      </c>
      <c r="I16" s="28">
        <v>45420</v>
      </c>
      <c r="J16" s="58">
        <v>25000</v>
      </c>
      <c r="K16" s="26" t="s">
        <v>77</v>
      </c>
      <c r="L16" s="26" t="s">
        <v>84</v>
      </c>
      <c r="M16" s="26" t="s">
        <v>75</v>
      </c>
      <c r="N16" s="27" t="s">
        <v>23</v>
      </c>
      <c r="O16" s="49">
        <v>31119</v>
      </c>
      <c r="P16" s="48" t="s">
        <v>79</v>
      </c>
      <c r="Q16" s="48" t="s">
        <v>106</v>
      </c>
      <c r="R16" s="48">
        <v>3212473536</v>
      </c>
      <c r="S16" s="48" t="s">
        <v>148</v>
      </c>
      <c r="T16" s="82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SALUD, BUENAS PRACTICAS EN PACIENTE ",IF(N16=CURSOS!$D$10,"CLINICA DE HERIDAS ",IF(N16=CURSOS!$D$11,"TOMA DE CITOLOGIA A CERVICO VAGINAL ",IF(N16=CURSOS!$D$12,"SOPORTE CARDIOVASCULAR AVANZADO ",IF(N16=CURSOS!$D$13,"CAMILLERO ",IF(N16=CURSOS!$D$14,"TOMA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MUESTRAS Y LABORATORIO POCT",IF(N16=CURSOS!$D$28,"IMPLANTE SUBDERMICO Y DISPOSITIVO INTRAUTERINO",IF(N16=CURSOS!$D$29,"SALUD MENTAL",IF(N16=CURSOS!$D$30,"PRIMEROS AUXILIOS PSICOLOGICOS",IF(N16=CURSOS!$D$31,"ATENCION A VICTIMAS POR CONFLICTO ARMADO",IF(N16=CURSOS!$D$32,"MANIPULACION DE ALIMENTOS Y BPM"))))))))))))))))))))))))))))))</f>
        <v>ACOMPAÑAMIENTO Y MANEJO DEL DUELO</v>
      </c>
      <c r="U16" s="82" t="str">
        <f t="shared" si="6"/>
        <v>Eder Mauricio Ruiz Portillo</v>
      </c>
      <c r="V16" s="82" t="str">
        <f t="shared" si="7"/>
        <v>Eder Mauricio Ruiz Portillo</v>
      </c>
      <c r="W16" s="82" t="str">
        <f t="shared" si="8"/>
        <v>Eder Mauricio Ruiz Portillo-87068693-DUELO</v>
      </c>
    </row>
    <row r="17" spans="1:23" s="50" customFormat="1" x14ac:dyDescent="0.2">
      <c r="A17" s="48">
        <v>16</v>
      </c>
      <c r="B17" s="48">
        <v>5234490</v>
      </c>
      <c r="C17" s="48" t="s">
        <v>169</v>
      </c>
      <c r="D17" s="48" t="s">
        <v>151</v>
      </c>
      <c r="E17" s="48" t="s">
        <v>152</v>
      </c>
      <c r="F17" s="48" t="s">
        <v>153</v>
      </c>
      <c r="G17" s="26">
        <v>9</v>
      </c>
      <c r="H17" s="26" t="s">
        <v>93</v>
      </c>
      <c r="I17" s="28">
        <v>45421</v>
      </c>
      <c r="J17" s="58">
        <v>25000</v>
      </c>
      <c r="K17" s="26" t="s">
        <v>77</v>
      </c>
      <c r="L17" s="26" t="s">
        <v>84</v>
      </c>
      <c r="M17" s="26" t="s">
        <v>154</v>
      </c>
      <c r="N17" s="27" t="s">
        <v>52</v>
      </c>
      <c r="O17" s="49">
        <v>23132</v>
      </c>
      <c r="P17" s="48" t="s">
        <v>79</v>
      </c>
      <c r="Q17" s="48" t="s">
        <v>157</v>
      </c>
      <c r="R17" s="48" t="s">
        <v>180</v>
      </c>
      <c r="S17" s="48" t="s">
        <v>181</v>
      </c>
      <c r="T17" s="82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SALUD, BUENAS PRACTICAS EN PACIENTE ",IF(N17=CURSOS!$D$10,"CLINICA DE HERIDAS ",IF(N17=CURSOS!$D$11,"TOMA DE CITOLOGIA A CERVICO VAGINAL ",IF(N17=CURSOS!$D$12,"SOPORTE CARDIOVASCULAR AVANZADO ",IF(N17=CURSOS!$D$13,"CAMILLERO ",IF(N17=CURSOS!$D$14,"TOMA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MUESTRAS Y LABORATORIO POCT",IF(N17=CURSOS!$D$28,"IMPLANTE SUBDERMICO Y DISPOSITIVO INTRAUTERINO",IF(N17=CURSOS!$D$29,"SALUD MENTAL",IF(N17=CURSOS!$D$30,"PRIMEROS AUXILIOS PSICOLOGICOS",IF(N17=CURSOS!$D$31,"ATENCION A VICTIMAS POR CONFLICTO ARMADO",IF(N17=CURSOS!$D$32,"MANIPULACION DE ALIMENTOS Y BPM"))))))))))))))))))))))))))))))</f>
        <v>OPERADOR DE VEHICULOS DE EMERGENCIA (OVE)</v>
      </c>
      <c r="U17" s="82" t="str">
        <f t="shared" si="6"/>
        <v>Jaime Gustavo Yepez Benavides</v>
      </c>
      <c r="V17" s="82" t="str">
        <f t="shared" si="7"/>
        <v>Jaime Gustavo Yepez Benavides</v>
      </c>
      <c r="W17" s="82" t="str">
        <f t="shared" si="8"/>
        <v>Jaime Gustavo Yepez Benavides-5234490-OVE</v>
      </c>
    </row>
    <row r="18" spans="1:23" s="50" customFormat="1" x14ac:dyDescent="0.2">
      <c r="A18" s="48">
        <v>17</v>
      </c>
      <c r="B18" s="48">
        <v>5234490</v>
      </c>
      <c r="C18" s="48" t="s">
        <v>169</v>
      </c>
      <c r="D18" s="48" t="s">
        <v>151</v>
      </c>
      <c r="E18" s="48" t="s">
        <v>152</v>
      </c>
      <c r="F18" s="48" t="s">
        <v>153</v>
      </c>
      <c r="G18" s="26">
        <v>9</v>
      </c>
      <c r="H18" s="26" t="s">
        <v>93</v>
      </c>
      <c r="I18" s="28">
        <v>45421</v>
      </c>
      <c r="J18" s="58">
        <v>25000</v>
      </c>
      <c r="K18" s="26" t="s">
        <v>77</v>
      </c>
      <c r="L18" s="26" t="s">
        <v>84</v>
      </c>
      <c r="M18" s="26" t="s">
        <v>154</v>
      </c>
      <c r="N18" s="27" t="s">
        <v>27</v>
      </c>
      <c r="O18" s="49">
        <v>23132</v>
      </c>
      <c r="P18" s="48" t="s">
        <v>79</v>
      </c>
      <c r="Q18" s="48" t="s">
        <v>157</v>
      </c>
      <c r="R18" s="48" t="s">
        <v>180</v>
      </c>
      <c r="S18" s="48" t="s">
        <v>181</v>
      </c>
      <c r="T18" s="82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SALUD, BUENAS PRACTICAS EN PACIENTE ",IF(N18=CURSOS!$D$10,"CLINICA DE HERIDAS ",IF(N18=CURSOS!$D$11,"TOMA DE CITOLOGIA A CERVICO VAGINAL ",IF(N18=CURSOS!$D$12,"SOPORTE CARDIOVASCULAR AVANZADO ",IF(N18=CURSOS!$D$13,"CAMILLERO ",IF(N18=CURSOS!$D$14,"TOMA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MUESTRAS Y LABORATORIO POCT",IF(N18=CURSOS!$D$28,"IMPLANTE SUBDERMICO Y DISPOSITIVO INTRAUTERINO",IF(N18=CURSOS!$D$29,"SALUD MENTAL",IF(N18=CURSOS!$D$30,"PRIMEROS AUXILIOS PSICOLOGICOS",IF(N18=CURSOS!$D$31,"ATENCION A VICTIMAS POR CONFLICTO ARMADO",IF(N18=CURSOS!$D$32,"MANIPULACION DE ALIMENTOS Y BPM"))))))))))))))))))))))))))))))</f>
        <v xml:space="preserve">PRIMEROS AUXILIOS </v>
      </c>
      <c r="U18" s="82" t="str">
        <f t="shared" si="6"/>
        <v>Jaime Gustavo Yepez Benavides</v>
      </c>
      <c r="V18" s="82" t="str">
        <f t="shared" si="7"/>
        <v>Jaime Gustavo Yepez Benavides</v>
      </c>
      <c r="W18" s="82" t="str">
        <f t="shared" si="8"/>
        <v>Jaime Gustavo Yepez Benavides-5234490-PRIMEROS AUXILIOS</v>
      </c>
    </row>
    <row r="19" spans="1:23" s="50" customFormat="1" x14ac:dyDescent="0.2">
      <c r="A19" s="48">
        <v>18</v>
      </c>
      <c r="B19" s="48">
        <v>87717529</v>
      </c>
      <c r="C19" s="48" t="s">
        <v>155</v>
      </c>
      <c r="D19" s="48" t="s">
        <v>169</v>
      </c>
      <c r="E19" s="48" t="s">
        <v>156</v>
      </c>
      <c r="F19" s="48" t="s">
        <v>149</v>
      </c>
      <c r="G19" s="26">
        <v>7</v>
      </c>
      <c r="H19" s="26" t="s">
        <v>93</v>
      </c>
      <c r="I19" s="28">
        <v>45421</v>
      </c>
      <c r="J19" s="58">
        <v>25000</v>
      </c>
      <c r="K19" s="26" t="s">
        <v>77</v>
      </c>
      <c r="L19" s="26" t="s">
        <v>84</v>
      </c>
      <c r="M19" s="26" t="s">
        <v>154</v>
      </c>
      <c r="N19" s="27" t="s">
        <v>27</v>
      </c>
      <c r="O19" s="49">
        <v>27910</v>
      </c>
      <c r="P19" s="48" t="s">
        <v>79</v>
      </c>
      <c r="Q19" s="48" t="s">
        <v>157</v>
      </c>
      <c r="R19" s="48" t="s">
        <v>168</v>
      </c>
      <c r="S19" s="48" t="s">
        <v>158</v>
      </c>
      <c r="T19" s="82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SALUD, BUENAS PRACTICAS EN PACIENTE ",IF(N19=CURSOS!$D$10,"CLINICA DE HERIDAS ",IF(N19=CURSOS!$D$11,"TOMA DE CITOLOGIA A CERVICO VAGINAL ",IF(N19=CURSOS!$D$12,"SOPORTE CARDIOVASCULAR AVANZADO ",IF(N19=CURSOS!$D$13,"CAMILLERO ",IF(N19=CURSOS!$D$14,"TOMA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MUESTRAS Y LABORATORIO POCT",IF(N19=CURSOS!$D$28,"IMPLANTE SUBDERMICO Y DISPOSITIVO INTRAUTERINO",IF(N19=CURSOS!$D$29,"SALUD MENTAL",IF(N19=CURSOS!$D$30,"PRIMEROS AUXILIOS PSICOLOGICOS",IF(N19=CURSOS!$D$31,"ATENCION A VICTIMAS POR CONFLICTO ARMADO",IF(N19=CURSOS!$D$32,"MANIPULACION DE ALIMENTOS Y BPM"))))))))))))))))))))))))))))))</f>
        <v xml:space="preserve">PRIMEROS AUXILIOS </v>
      </c>
      <c r="U19" s="82" t="str">
        <f t="shared" si="6"/>
        <v>Andrés Mauricio Calderon Yepez</v>
      </c>
      <c r="V19" s="82" t="str">
        <f t="shared" si="7"/>
        <v>Andrés Mauricio Calderon Yepez</v>
      </c>
      <c r="W19" s="82" t="str">
        <f t="shared" si="8"/>
        <v>Andrés Mauricio Calderon Yepez-87717529-PRIMEROS AUXILIOS</v>
      </c>
    </row>
    <row r="20" spans="1:23" s="50" customFormat="1" ht="15.75" x14ac:dyDescent="0.25">
      <c r="A20" s="48">
        <v>19</v>
      </c>
      <c r="B20" s="48">
        <v>87717529</v>
      </c>
      <c r="C20" s="48" t="s">
        <v>155</v>
      </c>
      <c r="D20" s="48" t="s">
        <v>169</v>
      </c>
      <c r="E20" s="48" t="s">
        <v>156</v>
      </c>
      <c r="F20" s="48" t="s">
        <v>149</v>
      </c>
      <c r="G20" s="26">
        <v>7</v>
      </c>
      <c r="H20" s="26" t="s">
        <v>93</v>
      </c>
      <c r="I20" s="28">
        <v>45421</v>
      </c>
      <c r="J20" s="58">
        <v>25000</v>
      </c>
      <c r="K20" s="26" t="s">
        <v>77</v>
      </c>
      <c r="L20" s="26" t="s">
        <v>84</v>
      </c>
      <c r="M20" s="26" t="s">
        <v>154</v>
      </c>
      <c r="N20" s="27" t="s">
        <v>19</v>
      </c>
      <c r="O20" s="49">
        <v>27910</v>
      </c>
      <c r="P20" s="48" t="s">
        <v>79</v>
      </c>
      <c r="Q20" s="48" t="s">
        <v>157</v>
      </c>
      <c r="R20" s="48" t="s">
        <v>168</v>
      </c>
      <c r="S20" s="85" t="s">
        <v>158</v>
      </c>
      <c r="T20" s="82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SALUD, BUENAS PRACTICAS EN PACIENTE ",IF(N20=CURSOS!$D$10,"CLINICA DE HERIDAS ",IF(N20=CURSOS!$D$11,"TOMA DE CITOLOGIA A CERVICO VAGINAL ",IF(N20=CURSOS!$D$12,"SOPORTE CARDIOVASCULAR AVANZADO ",IF(N20=CURSOS!$D$13,"CAMILLERO ",IF(N20=CURSOS!$D$14,"TOMA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MUESTRAS Y LABORATORIO POCT",IF(N20=CURSOS!$D$28,"IMPLANTE SUBDERMICO Y DISPOSITIVO INTRAUTERINO",IF(N20=CURSOS!$D$29,"SALUD MENTAL",IF(N20=CURSOS!$D$30,"PRIMEROS AUXILIOS PSICOLOGICOS",IF(N20=CURSOS!$D$31,"ATENCION A VICTIMAS POR CONFLICTO ARMADO",IF(N20=CURSOS!$D$32,"MANIPULACION DE ALIMENTOS Y BPM"))))))))))))))))))))))))))))))</f>
        <v>SOPORTE VITAL BASICO (BLS)</v>
      </c>
      <c r="U20" s="82" t="str">
        <f t="shared" si="6"/>
        <v>Andrés Mauricio Calderon Yepez</v>
      </c>
      <c r="V20" s="82" t="str">
        <f t="shared" si="7"/>
        <v>Andrés Mauricio Calderon Yepez</v>
      </c>
      <c r="W20" s="82" t="str">
        <f t="shared" si="8"/>
        <v>Andrés Mauricio Calderon Yepez-87717529-BLS</v>
      </c>
    </row>
    <row r="21" spans="1:23" s="46" customFormat="1" ht="15.75" x14ac:dyDescent="0.25">
      <c r="A21" s="31">
        <v>20</v>
      </c>
      <c r="B21" s="31">
        <v>1085293241</v>
      </c>
      <c r="C21" s="31" t="s">
        <v>82</v>
      </c>
      <c r="D21" s="31" t="s">
        <v>159</v>
      </c>
      <c r="E21" s="31" t="s">
        <v>160</v>
      </c>
      <c r="F21" s="31" t="s">
        <v>161</v>
      </c>
      <c r="G21" s="18">
        <v>7</v>
      </c>
      <c r="H21" s="18" t="s">
        <v>93</v>
      </c>
      <c r="I21" s="22">
        <v>45419</v>
      </c>
      <c r="J21" s="57">
        <v>91000</v>
      </c>
      <c r="K21" s="18" t="s">
        <v>124</v>
      </c>
      <c r="L21" s="18" t="s">
        <v>84</v>
      </c>
      <c r="M21" s="18" t="s">
        <v>75</v>
      </c>
      <c r="N21" s="19" t="s">
        <v>39</v>
      </c>
      <c r="O21" s="45">
        <v>33560</v>
      </c>
      <c r="P21" s="31" t="s">
        <v>100</v>
      </c>
      <c r="Q21" s="31" t="s">
        <v>162</v>
      </c>
      <c r="R21" s="31">
        <v>3166193289</v>
      </c>
      <c r="S21" s="47" t="s">
        <v>163</v>
      </c>
      <c r="T21" s="29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SALUD, BUENAS PRACTICAS EN PACIENTE ",IF(N21=CURSOS!$D$10,"CLINICA DE HERIDAS ",IF(N21=CURSOS!$D$11,"TOMA DE CITOLOGIA A CERVICO VAGINAL ",IF(N21=CURSOS!$D$12,"SOPORTE CARDIOVASCULAR AVANZADO ",IF(N21=CURSOS!$D$13,"CAMILLERO ",IF(N21=CURSOS!$D$14,"TOMA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MUESTRAS Y LABORATORIO POCT",IF(N21=CURSOS!$D$28,"IMPLANTE SUBDERMICO Y DISPOSITIVO INTRAUTERINO",IF(N21=CURSOS!$D$29,"SALUD MENTAL",IF(N21=CURSOS!$D$30,"PRIMEROS AUXILIOS PSICOLOGICOS",IF(N21=CURSOS!$D$31,"ATENCION A VICTIMAS POR CONFLICTO ARMADO",IF(N21=CURSOS!$D$32,"MANIPULACION DE ALIMENTOS Y BPM"))))))))))))))))))))))))))))))</f>
        <v xml:space="preserve">SOPORTE CARDIOVASCULAR AVANZADO </v>
      </c>
      <c r="U21" s="29" t="str">
        <f t="shared" si="6"/>
        <v>Aida Constanza Delgado Patiño</v>
      </c>
      <c r="V21" s="29" t="str">
        <f t="shared" si="7"/>
        <v>Aida Constanza Delgado Patiño</v>
      </c>
      <c r="W21" s="29" t="str">
        <f t="shared" si="8"/>
        <v>Aida Constanza Delgado Patiño-1085293241-ACLS</v>
      </c>
    </row>
    <row r="22" spans="1:23" s="46" customFormat="1" ht="15.75" x14ac:dyDescent="0.25">
      <c r="A22" s="31">
        <v>21</v>
      </c>
      <c r="B22" s="31">
        <v>1085293241</v>
      </c>
      <c r="C22" s="31" t="s">
        <v>82</v>
      </c>
      <c r="D22" s="31" t="s">
        <v>159</v>
      </c>
      <c r="E22" s="31" t="s">
        <v>160</v>
      </c>
      <c r="F22" s="31" t="s">
        <v>161</v>
      </c>
      <c r="G22" s="18">
        <v>7</v>
      </c>
      <c r="H22" s="18" t="s">
        <v>93</v>
      </c>
      <c r="I22" s="22">
        <v>45419</v>
      </c>
      <c r="J22" s="57">
        <v>0</v>
      </c>
      <c r="K22" s="18" t="s">
        <v>124</v>
      </c>
      <c r="L22" s="18" t="s">
        <v>84</v>
      </c>
      <c r="M22" s="18" t="s">
        <v>75</v>
      </c>
      <c r="N22" s="19" t="s">
        <v>19</v>
      </c>
      <c r="O22" s="45">
        <v>33560</v>
      </c>
      <c r="P22" s="31" t="s">
        <v>100</v>
      </c>
      <c r="Q22" s="31" t="s">
        <v>162</v>
      </c>
      <c r="R22" s="31">
        <v>3166193289</v>
      </c>
      <c r="S22" s="47" t="s">
        <v>163</v>
      </c>
      <c r="T22" s="29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SALUD, BUENAS PRACTICAS EN PACIENTE ",IF(N22=CURSOS!$D$10,"CLINICA DE HERIDAS ",IF(N22=CURSOS!$D$11,"TOMA DE CITOLOGIA A CERVICO VAGINAL ",IF(N22=CURSOS!$D$12,"SOPORTE CARDIOVASCULAR AVANZADO ",IF(N22=CURSOS!$D$13,"CAMILLERO ",IF(N22=CURSOS!$D$14,"TOMA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MUESTRAS Y LABORATORIO POCT",IF(N22=CURSOS!$D$28,"IMPLANTE SUBDERMICO Y DISPOSITIVO INTRAUTERINO",IF(N22=CURSOS!$D$29,"SALUD MENTAL",IF(N22=CURSOS!$D$30,"PRIMEROS AUXILIOS PSICOLOGICOS",IF(N22=CURSOS!$D$31,"ATENCION A VICTIMAS POR CONFLICTO ARMADO",IF(N22=CURSOS!$D$32,"MANIPULACION DE ALIMENTOS Y BPM"))))))))))))))))))))))))))))))</f>
        <v>SOPORTE VITAL BASICO (BLS)</v>
      </c>
      <c r="U22" s="29" t="str">
        <f t="shared" si="6"/>
        <v>Aida Constanza Delgado Patiño</v>
      </c>
      <c r="V22" s="29" t="str">
        <f t="shared" si="7"/>
        <v>Aida Constanza Delgado Patiño</v>
      </c>
      <c r="W22" s="29" t="str">
        <f t="shared" si="8"/>
        <v>Aida Constanza Delgado Patiño-1085293241-BLS</v>
      </c>
    </row>
    <row r="23" spans="1:23" s="46" customFormat="1" x14ac:dyDescent="0.2">
      <c r="A23" s="31">
        <v>22</v>
      </c>
      <c r="B23" s="31">
        <v>1193218579</v>
      </c>
      <c r="C23" s="31" t="s">
        <v>164</v>
      </c>
      <c r="D23" s="31" t="s">
        <v>165</v>
      </c>
      <c r="E23" s="31" t="s">
        <v>156</v>
      </c>
      <c r="F23" s="31" t="s">
        <v>166</v>
      </c>
      <c r="G23" s="18">
        <v>7</v>
      </c>
      <c r="H23" s="18" t="s">
        <v>93</v>
      </c>
      <c r="I23" s="22">
        <v>45419</v>
      </c>
      <c r="J23" s="57">
        <v>28000</v>
      </c>
      <c r="K23" s="18" t="s">
        <v>77</v>
      </c>
      <c r="L23" s="18" t="s">
        <v>84</v>
      </c>
      <c r="M23" s="18" t="s">
        <v>75</v>
      </c>
      <c r="N23" s="19" t="s">
        <v>19</v>
      </c>
      <c r="O23" s="45">
        <v>36476</v>
      </c>
      <c r="P23" s="31" t="s">
        <v>79</v>
      </c>
      <c r="Q23" s="31" t="s">
        <v>106</v>
      </c>
      <c r="R23" s="31">
        <v>3176724667</v>
      </c>
      <c r="S23" s="31" t="s">
        <v>167</v>
      </c>
      <c r="T23" s="29" t="str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SALUD, BUENAS PRACTICAS EN PACIENTE ",IF(N23=CURSOS!$D$10,"CLINICA DE HERIDAS ",IF(N23=CURSOS!$D$11,"TOMA DE CITOLOGIA A CERVICO VAGINAL ",IF(N23=CURSOS!$D$12,"SOPORTE CARDIOVASCULAR AVANZADO ",IF(N23=CURSOS!$D$13,"CAMILLERO ",IF(N23=CURSOS!$D$14,"TOMA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MUESTRAS Y LABORATORIO POCT",IF(N23=CURSOS!$D$28,"IMPLANTE SUBDERMICO Y DISPOSITIVO INTRAUTERINO",IF(N23=CURSOS!$D$29,"SALUD MENTAL",IF(N23=CURSOS!$D$30,"PRIMEROS AUXILIOS PSICOLOGICOS",IF(N23=CURSOS!$D$31,"ATENCION A VICTIMAS POR CONFLICTO ARMADO",IF(N23=CURSOS!$D$32,"MANIPULACION DE ALIMENTOS Y BPM"))))))))))))))))))))))))))))))</f>
        <v>SOPORTE VITAL BASICO (BLS)</v>
      </c>
      <c r="U23" s="29" t="str">
        <f t="shared" si="6"/>
        <v>Andrés Yesid Tarapuez Aguirre</v>
      </c>
      <c r="V23" s="29" t="str">
        <f t="shared" si="7"/>
        <v>Andrés Yesid Tarapuez Aguirre</v>
      </c>
      <c r="W23" s="29" t="str">
        <f t="shared" si="8"/>
        <v>Andrés Yesid Tarapuez Aguirre-1193218579-BLS</v>
      </c>
    </row>
    <row r="24" spans="1:23" s="46" customFormat="1" ht="15.75" x14ac:dyDescent="0.25">
      <c r="A24" s="31">
        <v>23</v>
      </c>
      <c r="B24" s="31">
        <v>27297900</v>
      </c>
      <c r="C24" s="31" t="s">
        <v>170</v>
      </c>
      <c r="D24" s="31" t="s">
        <v>171</v>
      </c>
      <c r="E24" s="31" t="s">
        <v>172</v>
      </c>
      <c r="F24" s="31"/>
      <c r="G24" s="18">
        <v>7</v>
      </c>
      <c r="H24" s="18" t="s">
        <v>93</v>
      </c>
      <c r="I24" s="22">
        <v>45419</v>
      </c>
      <c r="J24" s="57">
        <v>35000</v>
      </c>
      <c r="K24" s="18" t="s">
        <v>77</v>
      </c>
      <c r="L24" s="18" t="s">
        <v>94</v>
      </c>
      <c r="M24" s="18" t="s">
        <v>177</v>
      </c>
      <c r="N24" s="19" t="s">
        <v>23</v>
      </c>
      <c r="O24" s="45">
        <v>26037</v>
      </c>
      <c r="P24" s="31" t="s">
        <v>100</v>
      </c>
      <c r="Q24" s="31" t="s">
        <v>106</v>
      </c>
      <c r="R24" s="31">
        <v>3218009187</v>
      </c>
      <c r="S24" s="47" t="s">
        <v>179</v>
      </c>
      <c r="T24" s="29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SALUD, BUENAS PRACTICAS EN PACIENTE ",IF(N24=CURSOS!$D$10,"CLINICA DE HERIDAS ",IF(N24=CURSOS!$D$11,"TOMA DE CITOLOGIA A CERVICO VAGINAL ",IF(N24=CURSOS!$D$12,"SOPORTE CARDIOVASCULAR AVANZADO ",IF(N24=CURSOS!$D$13,"CAMILLERO ",IF(N24=CURSOS!$D$14,"TOMA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MUESTRAS Y LABORATORIO POCT",IF(N24=CURSOS!$D$28,"IMPLANTE SUBDERMICO Y DISPOSITIVO INTRAUTERINO",IF(N24=CURSOS!$D$29,"SALUD MENTAL",IF(N24=CURSOS!$D$30,"PRIMEROS AUXILIOS PSICOLOGICOS",IF(N24=CURSOS!$D$31,"ATENCION A VICTIMAS POR CONFLICTO ARMADO",IF(N24=CURSOS!$D$32,"MANIPULACION DE ALIMENTOS Y BPM"))))))))))))))))))))))))))))))</f>
        <v>ACOMPAÑAMIENTO Y MANEJO DEL DUELO</v>
      </c>
      <c r="U24" s="29" t="str">
        <f t="shared" si="6"/>
        <v>Betty  Micanquer Ceron</v>
      </c>
      <c r="V24" s="29" t="str">
        <f t="shared" si="7"/>
        <v>Betty  Micanquer Ceron</v>
      </c>
      <c r="W24" s="29" t="str">
        <f t="shared" si="8"/>
        <v>Betty  Micanquer Ceron-27297900-DUELO</v>
      </c>
    </row>
    <row r="25" spans="1:23" s="46" customFormat="1" ht="15.75" x14ac:dyDescent="0.25">
      <c r="A25" s="31">
        <v>24</v>
      </c>
      <c r="B25" s="31">
        <v>1085309193</v>
      </c>
      <c r="C25" s="31" t="s">
        <v>173</v>
      </c>
      <c r="D25" s="31" t="s">
        <v>174</v>
      </c>
      <c r="E25" s="31" t="s">
        <v>175</v>
      </c>
      <c r="F25" s="31" t="s">
        <v>176</v>
      </c>
      <c r="G25" s="18">
        <v>8</v>
      </c>
      <c r="H25" s="18" t="s">
        <v>93</v>
      </c>
      <c r="I25" s="22">
        <v>45420</v>
      </c>
      <c r="J25" s="57">
        <v>35000</v>
      </c>
      <c r="K25" s="18" t="s">
        <v>77</v>
      </c>
      <c r="L25" s="18" t="s">
        <v>84</v>
      </c>
      <c r="M25" s="18" t="s">
        <v>177</v>
      </c>
      <c r="N25" s="19" t="s">
        <v>23</v>
      </c>
      <c r="O25" s="45">
        <v>34327</v>
      </c>
      <c r="P25" s="31" t="s">
        <v>100</v>
      </c>
      <c r="Q25" s="31" t="s">
        <v>106</v>
      </c>
      <c r="R25" s="31">
        <v>3167991957</v>
      </c>
      <c r="S25" s="47" t="s">
        <v>178</v>
      </c>
      <c r="T25" s="29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SALUD, BUENAS PRACTICAS EN PACIENTE ",IF(N25=CURSOS!$D$10,"CLINICA DE HERIDAS ",IF(N25=CURSOS!$D$11,"TOMA DE CITOLOGIA A CERVICO VAGINAL ",IF(N25=CURSOS!$D$12,"SOPORTE CARDIOVASCULAR AVANZADO ",IF(N25=CURSOS!$D$13,"CAMILLERO ",IF(N25=CURSOS!$D$14,"TOMA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MUESTRAS Y LABORATORIO POCT",IF(N25=CURSOS!$D$28,"IMPLANTE SUBDERMICO Y DISPOSITIVO INTRAUTERINO",IF(N25=CURSOS!$D$29,"SALUD MENTAL",IF(N25=CURSOS!$D$30,"PRIMEROS AUXILIOS PSICOLOGICOS",IF(N25=CURSOS!$D$31,"ATENCION A VICTIMAS POR CONFLICTO ARMADO",IF(N25=CURSOS!$D$32,"MANIPULACION DE ALIMENTOS Y BPM"))))))))))))))))))))))))))))))</f>
        <v>ACOMPAÑAMIENTO Y MANEJO DEL DUELO</v>
      </c>
      <c r="U25" s="29" t="str">
        <f t="shared" si="6"/>
        <v>Karol Lizeth Guerrero Solarte</v>
      </c>
      <c r="V25" s="29" t="str">
        <f t="shared" si="7"/>
        <v>Karol Lizeth Guerrero Solarte</v>
      </c>
      <c r="W25" s="29" t="str">
        <f t="shared" si="8"/>
        <v>Karol Lizeth Guerrero Solarte-1085309193-DUELO</v>
      </c>
    </row>
    <row r="26" spans="1:23" s="46" customFormat="1" x14ac:dyDescent="0.2">
      <c r="A26" s="31">
        <v>25</v>
      </c>
      <c r="B26" s="31">
        <v>1085306323</v>
      </c>
      <c r="C26" s="31" t="s">
        <v>182</v>
      </c>
      <c r="D26" s="31" t="s">
        <v>183</v>
      </c>
      <c r="E26" s="31" t="s">
        <v>184</v>
      </c>
      <c r="F26" s="31" t="s">
        <v>185</v>
      </c>
      <c r="G26" s="18">
        <v>8</v>
      </c>
      <c r="H26" s="18" t="s">
        <v>93</v>
      </c>
      <c r="I26" s="22">
        <v>45420</v>
      </c>
      <c r="J26" s="57">
        <v>28000</v>
      </c>
      <c r="K26" s="18" t="s">
        <v>83</v>
      </c>
      <c r="L26" s="18" t="s">
        <v>84</v>
      </c>
      <c r="M26" s="18" t="s">
        <v>75</v>
      </c>
      <c r="N26" s="19" t="s">
        <v>49</v>
      </c>
      <c r="O26" s="45">
        <v>34186</v>
      </c>
      <c r="P26" s="31" t="s">
        <v>100</v>
      </c>
      <c r="Q26" s="31" t="s">
        <v>187</v>
      </c>
      <c r="R26" s="31">
        <v>3183170008</v>
      </c>
      <c r="S26" s="31" t="s">
        <v>186</v>
      </c>
      <c r="T26" s="29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SALUD, BUENAS PRACTICAS EN PACIENTE ",IF(N26=CURSOS!$D$10,"CLINICA DE HERIDAS ",IF(N26=CURSOS!$D$11,"TOMA DE CITOLOGIA A CERVICO VAGINAL ",IF(N26=CURSOS!$D$12,"SOPORTE CARDIOVASCULAR AVANZADO ",IF(N26=CURSOS!$D$13,"CAMILLERO ",IF(N26=CURSOS!$D$14,"TOMA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MUESTRAS Y LABORATORIO POCT",IF(N26=CURSOS!$D$28,"IMPLANTE SUBDERMICO Y DISPOSITIVO INTRAUTERINO",IF(N26=CURSOS!$D$29,"SALUD MENTAL",IF(N26=CURSOS!$D$30,"PRIMEROS AUXILIOS PSICOLOGICOS",IF(N26=CURSOS!$D$31,"ATENCION A VICTIMAS POR CONFLICTO ARMADO",IF(N26=CURSOS!$D$32,"MANIPULACION DE ALIMENTOS Y BPM"))))))))))))))))))))))))))))))</f>
        <v>ATENCION INTEGRAL EN ENFERMEDADES PREVALENTES EN PRIMERA INFANCIA (AIEPI)</v>
      </c>
      <c r="U26" s="29" t="str">
        <f t="shared" ref="U26:U86" si="9">CONCATENATE(E26," ",F26," ",C26," ",D26)</f>
        <v>Natalia Del rosario Escobar Matabanchoy</v>
      </c>
      <c r="V26" s="29" t="str">
        <f t="shared" ref="V26:V86" si="10">+PROPER(U26)</f>
        <v>Natalia Del Rosario Escobar Matabanchoy</v>
      </c>
      <c r="W26" s="29" t="str">
        <f t="shared" ref="W26:W86" si="11">CONCATENATE(U26,"-",B26,"-",N26)</f>
        <v>Natalia Del rosario Escobar Matabanchoy-1085306323-AIEPI</v>
      </c>
    </row>
    <row r="27" spans="1:23" s="46" customFormat="1" x14ac:dyDescent="0.2">
      <c r="A27" s="31">
        <v>26</v>
      </c>
      <c r="B27" s="31">
        <v>1085306323</v>
      </c>
      <c r="C27" s="31" t="s">
        <v>182</v>
      </c>
      <c r="D27" s="31" t="s">
        <v>183</v>
      </c>
      <c r="E27" s="31" t="s">
        <v>184</v>
      </c>
      <c r="F27" s="31" t="s">
        <v>185</v>
      </c>
      <c r="G27" s="18">
        <v>8</v>
      </c>
      <c r="H27" s="18" t="s">
        <v>93</v>
      </c>
      <c r="I27" s="22">
        <v>45420</v>
      </c>
      <c r="J27" s="57">
        <v>28000</v>
      </c>
      <c r="K27" s="18" t="s">
        <v>83</v>
      </c>
      <c r="L27" s="18" t="s">
        <v>84</v>
      </c>
      <c r="M27" s="18" t="s">
        <v>75</v>
      </c>
      <c r="N27" s="19" t="s">
        <v>46</v>
      </c>
      <c r="O27" s="45">
        <v>34186</v>
      </c>
      <c r="P27" s="31" t="s">
        <v>100</v>
      </c>
      <c r="Q27" s="31" t="s">
        <v>187</v>
      </c>
      <c r="R27" s="31">
        <v>3183170008</v>
      </c>
      <c r="S27" s="31" t="s">
        <v>186</v>
      </c>
      <c r="T27" s="29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SALUD, BUENAS PRACTICAS EN PACIENTE ",IF(N27=CURSOS!$D$10,"CLINICA DE HERIDAS ",IF(N27=CURSOS!$D$11,"TOMA DE CITOLOGIA A CERVICO VAGINAL ",IF(N27=CURSOS!$D$12,"SOPORTE CARDIOVASCULAR AVANZADO ",IF(N27=CURSOS!$D$13,"CAMILLERO ",IF(N27=CURSOS!$D$14,"TOMA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MUESTRAS Y LABORATORIO POCT",IF(N27=CURSOS!$D$28,"IMPLANTE SUBDERMICO Y DISPOSITIVO INTRAUTERINO",IF(N27=CURSOS!$D$29,"SALUD MENTAL",IF(N27=CURSOS!$D$30,"PRIMEROS AUXILIOS PSICOLOGICOS",IF(N27=CURSOS!$D$31,"ATENCION A VICTIMAS POR CONFLICTO ARMADO",IF(N27=CURSOS!$D$32,"MANIPULACION DE ALIMENTOS Y BPM"))))))))))))))))))))))))))))))</f>
        <v xml:space="preserve">ATENCION A VICTIMAS DE VIOLENCIA SEXUAL </v>
      </c>
      <c r="U27" s="29" t="str">
        <f t="shared" si="9"/>
        <v>Natalia Del rosario Escobar Matabanchoy</v>
      </c>
      <c r="V27" s="29" t="str">
        <f t="shared" si="10"/>
        <v>Natalia Del Rosario Escobar Matabanchoy</v>
      </c>
      <c r="W27" s="29" t="str">
        <f t="shared" si="11"/>
        <v>Natalia Del rosario Escobar Matabanchoy-1085306323-VIOLENCIA SEXUAL</v>
      </c>
    </row>
    <row r="28" spans="1:23" s="46" customFormat="1" x14ac:dyDescent="0.2">
      <c r="A28" s="31">
        <v>27</v>
      </c>
      <c r="B28" s="31">
        <v>1085255910</v>
      </c>
      <c r="C28" s="31" t="s">
        <v>97</v>
      </c>
      <c r="D28" s="31" t="s">
        <v>134</v>
      </c>
      <c r="E28" s="31" t="s">
        <v>188</v>
      </c>
      <c r="F28" s="31" t="s">
        <v>189</v>
      </c>
      <c r="G28" s="18">
        <v>8</v>
      </c>
      <c r="H28" s="18" t="s">
        <v>93</v>
      </c>
      <c r="I28" s="22">
        <v>45420</v>
      </c>
      <c r="J28" s="57">
        <v>28000</v>
      </c>
      <c r="K28" s="18" t="s">
        <v>83</v>
      </c>
      <c r="L28" s="18" t="s">
        <v>84</v>
      </c>
      <c r="M28" s="18" t="s">
        <v>75</v>
      </c>
      <c r="N28" s="19" t="s">
        <v>46</v>
      </c>
      <c r="O28" s="45">
        <v>31544</v>
      </c>
      <c r="P28" s="31" t="s">
        <v>100</v>
      </c>
      <c r="Q28" s="31" t="s">
        <v>106</v>
      </c>
      <c r="R28" s="31">
        <v>3103713371</v>
      </c>
      <c r="S28" s="31" t="s">
        <v>190</v>
      </c>
      <c r="T28" s="29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SALUD, BUENAS PRACTICAS EN PACIENTE ",IF(N28=CURSOS!$D$10,"CLINICA DE HERIDAS ",IF(N28=CURSOS!$D$11,"TOMA DE CITOLOGIA A CERVICO VAGINAL ",IF(N28=CURSOS!$D$12,"SOPORTE CARDIOVASCULAR AVANZADO ",IF(N28=CURSOS!$D$13,"CAMILLERO ",IF(N28=CURSOS!$D$14,"TOMA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MUESTRAS Y LABORATORIO POCT",IF(N28=CURSOS!$D$28,"IMPLANTE SUBDERMICO Y DISPOSITIVO INTRAUTERINO",IF(N28=CURSOS!$D$29,"SALUD MENTAL",IF(N28=CURSOS!$D$30,"PRIMEROS AUXILIOS PSICOLOGICOS",IF(N28=CURSOS!$D$31,"ATENCION A VICTIMAS POR CONFLICTO ARMADO",IF(N28=CURSOS!$D$32,"MANIPULACION DE ALIMENTOS Y BPM"))))))))))))))))))))))))))))))</f>
        <v xml:space="preserve">ATENCION A VICTIMAS DE VIOLENCIA SEXUAL </v>
      </c>
      <c r="U28" s="29" t="str">
        <f t="shared" si="9"/>
        <v>Miryam Fabiola Melo Montenegro</v>
      </c>
      <c r="V28" s="29" t="str">
        <f t="shared" si="10"/>
        <v>Miryam Fabiola Melo Montenegro</v>
      </c>
      <c r="W28" s="29" t="str">
        <f t="shared" si="11"/>
        <v>Miryam Fabiola Melo Montenegro-1085255910-VIOLENCIA SEXUAL</v>
      </c>
    </row>
    <row r="29" spans="1:23" s="80" customFormat="1" x14ac:dyDescent="0.2">
      <c r="A29" s="74">
        <v>28</v>
      </c>
      <c r="B29" s="74">
        <v>36754890</v>
      </c>
      <c r="C29" s="74" t="s">
        <v>191</v>
      </c>
      <c r="D29" s="74" t="s">
        <v>192</v>
      </c>
      <c r="E29" s="74" t="s">
        <v>193</v>
      </c>
      <c r="F29" s="74" t="s">
        <v>132</v>
      </c>
      <c r="G29" s="75">
        <v>8</v>
      </c>
      <c r="H29" s="75" t="s">
        <v>93</v>
      </c>
      <c r="I29" s="76">
        <v>45420</v>
      </c>
      <c r="J29" s="77">
        <v>56000</v>
      </c>
      <c r="K29" s="75" t="s">
        <v>77</v>
      </c>
      <c r="L29" s="75" t="s">
        <v>84</v>
      </c>
      <c r="M29" s="75" t="s">
        <v>75</v>
      </c>
      <c r="N29" s="78" t="s">
        <v>46</v>
      </c>
      <c r="O29" s="79">
        <v>28783</v>
      </c>
      <c r="P29" s="74" t="s">
        <v>100</v>
      </c>
      <c r="Q29" s="74" t="s">
        <v>106</v>
      </c>
      <c r="R29" s="74">
        <v>3137931804</v>
      </c>
      <c r="S29" s="74" t="s">
        <v>194</v>
      </c>
      <c r="T29" s="30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SALUD, BUENAS PRACTICAS EN PACIENTE ",IF(N29=CURSOS!$D$10,"CLINICA DE HERIDAS ",IF(N29=CURSOS!$D$11,"TOMA DE CITOLOGIA A CERVICO VAGINAL ",IF(N29=CURSOS!$D$12,"SOPORTE CARDIOVASCULAR AVANZADO ",IF(N29=CURSOS!$D$13,"CAMILLERO ",IF(N29=CURSOS!$D$14,"TOMA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MUESTRAS Y LABORATORIO POCT",IF(N29=CURSOS!$D$28,"IMPLANTE SUBDERMICO Y DISPOSITIVO INTRAUTERINO",IF(N29=CURSOS!$D$29,"SALUD MENTAL",IF(N29=CURSOS!$D$30,"PRIMEROS AUXILIOS PSICOLOGICOS",IF(N29=CURSOS!$D$31,"ATENCION A VICTIMAS POR CONFLICTO ARMADO",IF(N29=CURSOS!$D$32,"MANIPULACION DE ALIMENTOS Y BPM"))))))))))))))))))))))))))))))</f>
        <v xml:space="preserve">ATENCION A VICTIMAS DE VIOLENCIA SEXUAL </v>
      </c>
      <c r="U29" s="30" t="str">
        <f t="shared" si="9"/>
        <v>Sandra Ximena Bolaños López</v>
      </c>
      <c r="V29" s="30" t="str">
        <f t="shared" si="10"/>
        <v>Sandra Ximena Bolaños López</v>
      </c>
      <c r="W29" s="30" t="str">
        <f t="shared" si="11"/>
        <v>Sandra Ximena Bolaños López-36754890-VIOLENCIA SEXUAL</v>
      </c>
    </row>
    <row r="30" spans="1:23" s="46" customFormat="1" x14ac:dyDescent="0.2">
      <c r="A30" s="31">
        <v>29</v>
      </c>
      <c r="B30" s="31">
        <v>36754890</v>
      </c>
      <c r="C30" s="31" t="s">
        <v>191</v>
      </c>
      <c r="D30" s="31" t="s">
        <v>192</v>
      </c>
      <c r="E30" s="31" t="s">
        <v>193</v>
      </c>
      <c r="F30" s="31" t="s">
        <v>132</v>
      </c>
      <c r="G30" s="18">
        <v>8</v>
      </c>
      <c r="H30" s="18" t="s">
        <v>93</v>
      </c>
      <c r="I30" s="22">
        <v>45420</v>
      </c>
      <c r="J30" s="57">
        <v>56000</v>
      </c>
      <c r="K30" s="18" t="s">
        <v>77</v>
      </c>
      <c r="L30" s="18" t="s">
        <v>84</v>
      </c>
      <c r="M30" s="18" t="s">
        <v>75</v>
      </c>
      <c r="N30" s="19" t="s">
        <v>33</v>
      </c>
      <c r="O30" s="45">
        <v>28783</v>
      </c>
      <c r="P30" s="31" t="s">
        <v>100</v>
      </c>
      <c r="Q30" s="31" t="s">
        <v>106</v>
      </c>
      <c r="R30" s="31">
        <v>3137931804</v>
      </c>
      <c r="S30" s="31" t="s">
        <v>194</v>
      </c>
      <c r="T30" s="29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SALUD, BUENAS PRACTICAS EN PACIENTE ",IF(N30=CURSOS!$D$10,"CLINICA DE HERIDAS ",IF(N30=CURSOS!$D$11,"TOMA DE CITOLOGIA A CERVICO VAGINAL ",IF(N30=CURSOS!$D$12,"SOPORTE CARDIOVASCULAR AVANZADO ",IF(N30=CURSOS!$D$13,"CAMILLERO ",IF(N30=CURSOS!$D$14,"TOMA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MUESTRAS Y LABORATORIO POCT",IF(N30=CURSOS!$D$28,"IMPLANTE SUBDERMICO Y DISPOSITIVO INTRAUTERINO",IF(N30=CURSOS!$D$29,"SALUD MENTAL",IF(N30=CURSOS!$D$30,"PRIMEROS AUXILIOS PSICOLOGICOS",IF(N30=CURSOS!$D$31,"ATENCION A VICTIMAS POR CONFLICTO ARMADO",IF(N30=CURSOS!$D$32,"MANIPULACION DE ALIMENTOS Y BPM"))))))))))))))))))))))))))))))</f>
        <v xml:space="preserve">HUMANIZACION EN SALUD, BUENAS PRACTICAS EN PACIENTE </v>
      </c>
      <c r="U30" s="29" t="str">
        <f t="shared" si="9"/>
        <v>Sandra Ximena Bolaños López</v>
      </c>
      <c r="V30" s="29" t="str">
        <f t="shared" si="10"/>
        <v>Sandra Ximena Bolaños López</v>
      </c>
      <c r="W30" s="29" t="str">
        <f t="shared" si="11"/>
        <v>Sandra Ximena Bolaños López-36754890-HUMANIZACION</v>
      </c>
    </row>
    <row r="31" spans="1:23" s="46" customFormat="1" x14ac:dyDescent="0.2">
      <c r="A31" s="31">
        <v>30</v>
      </c>
      <c r="B31" s="31">
        <v>1053810512</v>
      </c>
      <c r="C31" s="31" t="s">
        <v>195</v>
      </c>
      <c r="D31" s="31" t="s">
        <v>196</v>
      </c>
      <c r="E31" s="31" t="s">
        <v>197</v>
      </c>
      <c r="F31" s="31"/>
      <c r="G31" s="18">
        <v>9</v>
      </c>
      <c r="H31" s="18" t="s">
        <v>93</v>
      </c>
      <c r="I31" s="22">
        <v>45421</v>
      </c>
      <c r="J31" s="57">
        <v>28000</v>
      </c>
      <c r="K31" s="18" t="s">
        <v>83</v>
      </c>
      <c r="L31" s="18" t="s">
        <v>84</v>
      </c>
      <c r="M31" s="18" t="s">
        <v>75</v>
      </c>
      <c r="N31" s="19" t="s">
        <v>46</v>
      </c>
      <c r="O31" s="45">
        <v>33290</v>
      </c>
      <c r="P31" s="31" t="s">
        <v>100</v>
      </c>
      <c r="Q31" s="31" t="s">
        <v>198</v>
      </c>
      <c r="R31" s="31">
        <v>3169193739</v>
      </c>
      <c r="S31" s="31" t="s">
        <v>199</v>
      </c>
      <c r="T31" s="29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SALUD, BUENAS PRACTICAS EN PACIENTE ",IF(N31=CURSOS!$D$10,"CLINICA DE HERIDAS ",IF(N31=CURSOS!$D$11,"TOMA DE CITOLOGIA A CERVICO VAGINAL ",IF(N31=CURSOS!$D$12,"SOPORTE CARDIOVASCULAR AVANZADO ",IF(N31=CURSOS!$D$13,"CAMILLERO ",IF(N31=CURSOS!$D$14,"TOMA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MUESTRAS Y LABORATORIO POCT",IF(N31=CURSOS!$D$28,"IMPLANTE SUBDERMICO Y DISPOSITIVO INTRAUTERINO",IF(N31=CURSOS!$D$29,"SALUD MENTAL",IF(N31=CURSOS!$D$30,"PRIMEROS AUXILIOS PSICOLOGICOS",IF(N31=CURSOS!$D$31,"ATENCION A VICTIMAS POR CONFLICTO ARMADO",IF(N31=CURSOS!$D$32,"MANIPULACION DE ALIMENTOS Y BPM"))))))))))))))))))))))))))))))</f>
        <v xml:space="preserve">ATENCION A VICTIMAS DE VIOLENCIA SEXUAL </v>
      </c>
      <c r="U31" s="29" t="str">
        <f t="shared" si="9"/>
        <v>Jazmín  Jurado Castro</v>
      </c>
      <c r="V31" s="29" t="str">
        <f t="shared" si="10"/>
        <v>Jazmín  Jurado Castro</v>
      </c>
      <c r="W31" s="29" t="str">
        <f t="shared" si="11"/>
        <v>Jazmín  Jurado Castro-1053810512-VIOLENCIA SEXUAL</v>
      </c>
    </row>
    <row r="32" spans="1:23" s="46" customFormat="1" ht="15.75" x14ac:dyDescent="0.25">
      <c r="A32" s="31">
        <v>31</v>
      </c>
      <c r="B32" s="31">
        <v>1120217397</v>
      </c>
      <c r="C32" s="31" t="s">
        <v>200</v>
      </c>
      <c r="D32" s="31" t="s">
        <v>201</v>
      </c>
      <c r="E32" s="31" t="s">
        <v>202</v>
      </c>
      <c r="F32" s="31" t="s">
        <v>203</v>
      </c>
      <c r="G32" s="18">
        <v>10</v>
      </c>
      <c r="H32" s="18" t="s">
        <v>93</v>
      </c>
      <c r="I32" s="22">
        <v>45421</v>
      </c>
      <c r="J32" s="57">
        <v>28000</v>
      </c>
      <c r="K32" s="18" t="s">
        <v>83</v>
      </c>
      <c r="L32" s="18" t="s">
        <v>84</v>
      </c>
      <c r="M32" s="18" t="s">
        <v>75</v>
      </c>
      <c r="N32" s="19" t="s">
        <v>51</v>
      </c>
      <c r="O32" s="45">
        <v>33597</v>
      </c>
      <c r="P32" s="31" t="s">
        <v>79</v>
      </c>
      <c r="Q32" s="31" t="s">
        <v>204</v>
      </c>
      <c r="R32" s="31">
        <v>3108809744</v>
      </c>
      <c r="S32" s="47" t="s">
        <v>205</v>
      </c>
      <c r="T32" s="29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SALUD, BUENAS PRACTICAS EN PACIENTE ",IF(N32=CURSOS!$D$10,"CLINICA DE HERIDAS ",IF(N32=CURSOS!$D$11,"TOMA DE CITOLOGIA A CERVICO VAGINAL ",IF(N32=CURSOS!$D$12,"SOPORTE CARDIOVASCULAR AVANZADO ",IF(N32=CURSOS!$D$13,"CAMILLERO ",IF(N32=CURSOS!$D$14,"TOMA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MUESTRAS Y LABORATORIO POCT",IF(N32=CURSOS!$D$28,"IMPLANTE SUBDERMICO Y DISPOSITIVO INTRAUTERINO",IF(N32=CURSOS!$D$29,"SALUD MENTAL",IF(N32=CURSOS!$D$30,"PRIMEROS AUXILIOS PSICOLOGICOS",IF(N32=CURSOS!$D$31,"ATENCION A VICTIMAS POR CONFLICTO ARMADO",IF(N32=CURSOS!$D$32,"MANIPULACION DE ALIMENTOS Y BPM"))))))))))))))))))))))))))))))</f>
        <v xml:space="preserve">ADMINISTRACION DE MEDICAMENTOS, IYECTOLOGIA  Y CANALIZACION </v>
      </c>
      <c r="U32" s="29" t="str">
        <f t="shared" si="9"/>
        <v>Jesus Fabian Chicunque Dejoy</v>
      </c>
      <c r="V32" s="29" t="str">
        <f t="shared" si="10"/>
        <v>Jesus Fabian Chicunque Dejoy</v>
      </c>
      <c r="W32" s="29" t="str">
        <f t="shared" si="11"/>
        <v>Jesus Fabian Chicunque Dejoy-1120217397-ADMON DE MEDICAMENTOS</v>
      </c>
    </row>
    <row r="33" spans="1:23" s="50" customFormat="1" x14ac:dyDescent="0.2">
      <c r="A33" s="48">
        <v>32</v>
      </c>
      <c r="B33" s="48">
        <v>27433597</v>
      </c>
      <c r="C33" s="48" t="s">
        <v>206</v>
      </c>
      <c r="D33" s="48" t="s">
        <v>207</v>
      </c>
      <c r="E33" s="48" t="s">
        <v>208</v>
      </c>
      <c r="F33" s="48" t="s">
        <v>209</v>
      </c>
      <c r="G33" s="26">
        <v>9</v>
      </c>
      <c r="H33" s="26" t="s">
        <v>93</v>
      </c>
      <c r="I33" s="28">
        <v>45426</v>
      </c>
      <c r="J33" s="58">
        <v>25000</v>
      </c>
      <c r="K33" s="26" t="s">
        <v>124</v>
      </c>
      <c r="L33" s="26" t="s">
        <v>84</v>
      </c>
      <c r="M33" s="26" t="s">
        <v>265</v>
      </c>
      <c r="N33" s="27" t="s">
        <v>23</v>
      </c>
      <c r="O33" s="49"/>
      <c r="P33" s="48" t="s">
        <v>100</v>
      </c>
      <c r="Q33" s="48"/>
      <c r="R33" s="48">
        <v>3173821455</v>
      </c>
      <c r="S33" s="48" t="s">
        <v>210</v>
      </c>
      <c r="T33" s="82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SALUD, BUENAS PRACTICAS EN PACIENTE ",IF(N33=CURSOS!$D$10,"CLINICA DE HERIDAS ",IF(N33=CURSOS!$D$11,"TOMA DE CITOLOGIA A CERVICO VAGINAL ",IF(N33=CURSOS!$D$12,"SOPORTE CARDIOVASCULAR AVANZADO ",IF(N33=CURSOS!$D$13,"CAMILLERO ",IF(N33=CURSOS!$D$14,"TOMA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MUESTRAS Y LABORATORIO POCT",IF(N33=CURSOS!$D$28,"IMPLANTE SUBDERMICO Y DISPOSITIVO INTRAUTERINO",IF(N33=CURSOS!$D$29,"SALUD MENTAL",IF(N33=CURSOS!$D$30,"PRIMEROS AUXILIOS PSICOLOGICOS",IF(N33=CURSOS!$D$31,"ATENCION A VICTIMAS POR CONFLICTO ARMADO",IF(N33=CURSOS!$D$32,"MANIPULACION DE ALIMENTOS Y BPM"))))))))))))))))))))))))))))))</f>
        <v>ACOMPAÑAMIENTO Y MANEJO DEL DUELO</v>
      </c>
      <c r="U33" s="82" t="str">
        <f t="shared" si="9"/>
        <v>Consuelo Del pilar Narváez Insuasty</v>
      </c>
      <c r="V33" s="82" t="str">
        <f t="shared" si="10"/>
        <v>Consuelo Del Pilar Narváez Insuasty</v>
      </c>
      <c r="W33" s="82" t="str">
        <f t="shared" si="11"/>
        <v>Consuelo Del pilar Narváez Insuasty-27433597-DUELO</v>
      </c>
    </row>
    <row r="34" spans="1:23" s="50" customFormat="1" x14ac:dyDescent="0.2">
      <c r="A34" s="48">
        <v>33</v>
      </c>
      <c r="B34" s="48">
        <v>1085270836</v>
      </c>
      <c r="C34" s="48" t="s">
        <v>211</v>
      </c>
      <c r="D34" s="48" t="s">
        <v>212</v>
      </c>
      <c r="E34" s="48" t="s">
        <v>213</v>
      </c>
      <c r="F34" s="48" t="s">
        <v>214</v>
      </c>
      <c r="G34" s="26">
        <v>9</v>
      </c>
      <c r="H34" s="26" t="s">
        <v>93</v>
      </c>
      <c r="I34" s="28">
        <v>45426</v>
      </c>
      <c r="J34" s="58">
        <v>25000</v>
      </c>
      <c r="K34" s="26" t="s">
        <v>124</v>
      </c>
      <c r="L34" s="26" t="s">
        <v>84</v>
      </c>
      <c r="M34" s="26" t="s">
        <v>265</v>
      </c>
      <c r="N34" s="27" t="s">
        <v>23</v>
      </c>
      <c r="O34" s="49"/>
      <c r="P34" s="48" t="s">
        <v>100</v>
      </c>
      <c r="Q34" s="48"/>
      <c r="R34" s="48">
        <v>3163877010</v>
      </c>
      <c r="S34" s="48" t="s">
        <v>215</v>
      </c>
      <c r="T34" s="82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SALUD, BUENAS PRACTICAS EN PACIENTE ",IF(N34=CURSOS!$D$10,"CLINICA DE HERIDAS ",IF(N34=CURSOS!$D$11,"TOMA DE CITOLOGIA A CERVICO VAGINAL ",IF(N34=CURSOS!$D$12,"SOPORTE CARDIOVASCULAR AVANZADO ",IF(N34=CURSOS!$D$13,"CAMILLERO ",IF(N34=CURSOS!$D$14,"TOMA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MUESTRAS Y LABORATORIO POCT",IF(N34=CURSOS!$D$28,"IMPLANTE SUBDERMICO Y DISPOSITIVO INTRAUTERINO",IF(N34=CURSOS!$D$29,"SALUD MENTAL",IF(N34=CURSOS!$D$30,"PRIMEROS AUXILIOS PSICOLOGICOS",IF(N34=CURSOS!$D$31,"ATENCION A VICTIMAS POR CONFLICTO ARMADO",IF(N34=CURSOS!$D$32,"MANIPULACION DE ALIMENTOS Y BPM"))))))))))))))))))))))))))))))</f>
        <v>ACOMPAÑAMIENTO Y MANEJO DEL DUELO</v>
      </c>
      <c r="U34" s="82" t="str">
        <f t="shared" si="9"/>
        <v>Johana Marcela Puerres Hidalgo</v>
      </c>
      <c r="V34" s="82" t="str">
        <f t="shared" si="10"/>
        <v>Johana Marcela Puerres Hidalgo</v>
      </c>
      <c r="W34" s="82" t="str">
        <f t="shared" si="11"/>
        <v>Johana Marcela Puerres Hidalgo-1085270836-DUELO</v>
      </c>
    </row>
    <row r="35" spans="1:23" s="50" customFormat="1" x14ac:dyDescent="0.2">
      <c r="A35" s="48">
        <v>34</v>
      </c>
      <c r="B35" s="48">
        <v>37080147</v>
      </c>
      <c r="C35" s="48" t="s">
        <v>216</v>
      </c>
      <c r="D35" s="48" t="s">
        <v>217</v>
      </c>
      <c r="E35" s="48" t="s">
        <v>218</v>
      </c>
      <c r="F35" s="48" t="s">
        <v>219</v>
      </c>
      <c r="G35" s="26">
        <v>9</v>
      </c>
      <c r="H35" s="26" t="s">
        <v>93</v>
      </c>
      <c r="I35" s="28">
        <v>45426</v>
      </c>
      <c r="J35" s="58">
        <v>25000</v>
      </c>
      <c r="K35" s="26" t="s">
        <v>124</v>
      </c>
      <c r="L35" s="26" t="s">
        <v>84</v>
      </c>
      <c r="M35" s="26" t="s">
        <v>265</v>
      </c>
      <c r="N35" s="27" t="s">
        <v>23</v>
      </c>
      <c r="O35" s="49"/>
      <c r="P35" s="48" t="s">
        <v>100</v>
      </c>
      <c r="Q35" s="48"/>
      <c r="R35" s="48">
        <v>3163517362</v>
      </c>
      <c r="S35" s="48" t="s">
        <v>220</v>
      </c>
      <c r="T35" s="82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SALUD, BUENAS PRACTICAS EN PACIENTE ",IF(N35=CURSOS!$D$10,"CLINICA DE HERIDAS ",IF(N35=CURSOS!$D$11,"TOMA DE CITOLOGIA A CERVICO VAGINAL ",IF(N35=CURSOS!$D$12,"SOPORTE CARDIOVASCULAR AVANZADO ",IF(N35=CURSOS!$D$13,"CAMILLERO ",IF(N35=CURSOS!$D$14,"TOMA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MUESTRAS Y LABORATORIO POCT",IF(N35=CURSOS!$D$28,"IMPLANTE SUBDERMICO Y DISPOSITIVO INTRAUTERINO",IF(N35=CURSOS!$D$29,"SALUD MENTAL",IF(N35=CURSOS!$D$30,"PRIMEROS AUXILIOS PSICOLOGICOS",IF(N35=CURSOS!$D$31,"ATENCION A VICTIMAS POR CONFLICTO ARMADO",IF(N35=CURSOS!$D$32,"MANIPULACION DE ALIMENTOS Y BPM"))))))))))))))))))))))))))))))</f>
        <v>ACOMPAÑAMIENTO Y MANEJO DEL DUELO</v>
      </c>
      <c r="U35" s="82" t="str">
        <f t="shared" si="9"/>
        <v>Martha Leonor Pinza Chamorro</v>
      </c>
      <c r="V35" s="82" t="str">
        <f t="shared" si="10"/>
        <v>Martha Leonor Pinza Chamorro</v>
      </c>
      <c r="W35" s="82" t="str">
        <f t="shared" si="11"/>
        <v>Martha Leonor Pinza Chamorro-37080147-DUELO</v>
      </c>
    </row>
    <row r="36" spans="1:23" s="50" customFormat="1" x14ac:dyDescent="0.2">
      <c r="A36" s="48">
        <v>35</v>
      </c>
      <c r="B36" s="48">
        <v>38680426</v>
      </c>
      <c r="C36" s="48" t="s">
        <v>221</v>
      </c>
      <c r="D36" s="48" t="s">
        <v>125</v>
      </c>
      <c r="E36" s="48" t="s">
        <v>222</v>
      </c>
      <c r="F36" s="48" t="s">
        <v>223</v>
      </c>
      <c r="G36" s="26">
        <v>9</v>
      </c>
      <c r="H36" s="26" t="s">
        <v>93</v>
      </c>
      <c r="I36" s="28">
        <v>45426</v>
      </c>
      <c r="J36" s="58">
        <v>25000</v>
      </c>
      <c r="K36" s="26" t="s">
        <v>124</v>
      </c>
      <c r="L36" s="26" t="s">
        <v>84</v>
      </c>
      <c r="M36" s="26" t="s">
        <v>265</v>
      </c>
      <c r="N36" s="27" t="s">
        <v>23</v>
      </c>
      <c r="O36" s="49"/>
      <c r="P36" s="48" t="s">
        <v>100</v>
      </c>
      <c r="Q36" s="48"/>
      <c r="R36" s="48">
        <v>3006508405</v>
      </c>
      <c r="S36" s="48" t="s">
        <v>224</v>
      </c>
      <c r="T36" s="82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SALUD, BUENAS PRACTICAS EN PACIENTE ",IF(N36=CURSOS!$D$10,"CLINICA DE HERIDAS ",IF(N36=CURSOS!$D$11,"TOMA DE CITOLOGIA A CERVICO VAGINAL ",IF(N36=CURSOS!$D$12,"SOPORTE CARDIOVASCULAR AVANZADO ",IF(N36=CURSOS!$D$13,"CAMILLERO ",IF(N36=CURSOS!$D$14,"TOMA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MUESTRAS Y LABORATORIO POCT",IF(N36=CURSOS!$D$28,"IMPLANTE SUBDERMICO Y DISPOSITIVO INTRAUTERINO",IF(N36=CURSOS!$D$29,"SALUD MENTAL",IF(N36=CURSOS!$D$30,"PRIMEROS AUXILIOS PSICOLOGICOS",IF(N36=CURSOS!$D$31,"ATENCION A VICTIMAS POR CONFLICTO ARMADO",IF(N36=CURSOS!$D$32,"MANIPULACION DE ALIMENTOS Y BPM"))))))))))))))))))))))))))))))</f>
        <v>ACOMPAÑAMIENTO Y MANEJO DEL DUELO</v>
      </c>
      <c r="U36" s="82" t="str">
        <f t="shared" si="9"/>
        <v>Derly Yamile Quenan Lopez</v>
      </c>
      <c r="V36" s="82" t="str">
        <f t="shared" si="10"/>
        <v>Derly Yamile Quenan Lopez</v>
      </c>
      <c r="W36" s="82" t="str">
        <f t="shared" si="11"/>
        <v>Derly Yamile Quenan Lopez-38680426-DUELO</v>
      </c>
    </row>
    <row r="37" spans="1:23" s="50" customFormat="1" x14ac:dyDescent="0.2">
      <c r="A37" s="48">
        <v>36</v>
      </c>
      <c r="B37" s="48">
        <v>59816807</v>
      </c>
      <c r="C37" s="48" t="s">
        <v>225</v>
      </c>
      <c r="D37" s="48" t="s">
        <v>226</v>
      </c>
      <c r="E37" s="48" t="s">
        <v>227</v>
      </c>
      <c r="F37" s="48" t="s">
        <v>228</v>
      </c>
      <c r="G37" s="26">
        <v>9</v>
      </c>
      <c r="H37" s="26" t="s">
        <v>93</v>
      </c>
      <c r="I37" s="28">
        <v>45426</v>
      </c>
      <c r="J37" s="58">
        <v>25000</v>
      </c>
      <c r="K37" s="26" t="s">
        <v>124</v>
      </c>
      <c r="L37" s="26" t="s">
        <v>84</v>
      </c>
      <c r="M37" s="26" t="s">
        <v>265</v>
      </c>
      <c r="N37" s="27" t="s">
        <v>23</v>
      </c>
      <c r="O37" s="49"/>
      <c r="P37" s="48" t="s">
        <v>100</v>
      </c>
      <c r="Q37" s="48"/>
      <c r="R37" s="48">
        <v>3173275698</v>
      </c>
      <c r="S37" s="48" t="s">
        <v>229</v>
      </c>
      <c r="T37" s="82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SALUD, BUENAS PRACTICAS EN PACIENTE ",IF(N37=CURSOS!$D$10,"CLINICA DE HERIDAS ",IF(N37=CURSOS!$D$11,"TOMA DE CITOLOGIA A CERVICO VAGINAL ",IF(N37=CURSOS!$D$12,"SOPORTE CARDIOVASCULAR AVANZADO ",IF(N37=CURSOS!$D$13,"CAMILLERO ",IF(N37=CURSOS!$D$14,"TOMA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MUESTRAS Y LABORATORIO POCT",IF(N37=CURSOS!$D$28,"IMPLANTE SUBDERMICO Y DISPOSITIVO INTRAUTERINO",IF(N37=CURSOS!$D$29,"SALUD MENTAL",IF(N37=CURSOS!$D$30,"PRIMEROS AUXILIOS PSICOLOGICOS",IF(N37=CURSOS!$D$31,"ATENCION A VICTIMAS POR CONFLICTO ARMADO",IF(N37=CURSOS!$D$32,"MANIPULACION DE ALIMENTOS Y BPM"))))))))))))))))))))))))))))))</f>
        <v>ACOMPAÑAMIENTO Y MANEJO DEL DUELO</v>
      </c>
      <c r="U37" s="82" t="str">
        <f t="shared" si="9"/>
        <v>Liliana Del socorro Ramirez Suárez</v>
      </c>
      <c r="V37" s="82" t="str">
        <f t="shared" si="10"/>
        <v>Liliana Del Socorro Ramirez Suárez</v>
      </c>
      <c r="W37" s="82" t="str">
        <f t="shared" si="11"/>
        <v>Liliana Del socorro Ramirez Suárez-59816807-DUELO</v>
      </c>
    </row>
    <row r="38" spans="1:23" s="50" customFormat="1" ht="15.75" x14ac:dyDescent="0.25">
      <c r="A38" s="48">
        <v>37</v>
      </c>
      <c r="B38" s="48">
        <v>1085277525</v>
      </c>
      <c r="C38" s="48" t="s">
        <v>230</v>
      </c>
      <c r="D38" s="48" t="s">
        <v>231</v>
      </c>
      <c r="E38" s="48" t="s">
        <v>232</v>
      </c>
      <c r="F38" s="48" t="s">
        <v>233</v>
      </c>
      <c r="G38" s="26">
        <v>9</v>
      </c>
      <c r="H38" s="26" t="s">
        <v>93</v>
      </c>
      <c r="I38" s="28">
        <v>45426</v>
      </c>
      <c r="J38" s="58">
        <v>25000</v>
      </c>
      <c r="K38" s="26" t="s">
        <v>124</v>
      </c>
      <c r="L38" s="26" t="s">
        <v>84</v>
      </c>
      <c r="M38" s="26" t="s">
        <v>265</v>
      </c>
      <c r="N38" s="27" t="s">
        <v>23</v>
      </c>
      <c r="O38" s="49"/>
      <c r="P38" s="48" t="s">
        <v>100</v>
      </c>
      <c r="Q38" s="48"/>
      <c r="R38" s="48">
        <v>3017838169</v>
      </c>
      <c r="S38" s="85" t="s">
        <v>234</v>
      </c>
      <c r="T38" s="82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SALUD, BUENAS PRACTICAS EN PACIENTE ",IF(N38=CURSOS!$D$10,"CLINICA DE HERIDAS ",IF(N38=CURSOS!$D$11,"TOMA DE CITOLOGIA A CERVICO VAGINAL ",IF(N38=CURSOS!$D$12,"SOPORTE CARDIOVASCULAR AVANZADO ",IF(N38=CURSOS!$D$13,"CAMILLERO ",IF(N38=CURSOS!$D$14,"TOMA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MUESTRAS Y LABORATORIO POCT",IF(N38=CURSOS!$D$28,"IMPLANTE SUBDERMICO Y DISPOSITIVO INTRAUTERINO",IF(N38=CURSOS!$D$29,"SALUD MENTAL",IF(N38=CURSOS!$D$30,"PRIMEROS AUXILIOS PSICOLOGICOS",IF(N38=CURSOS!$D$31,"ATENCION A VICTIMAS POR CONFLICTO ARMADO",IF(N38=CURSOS!$D$32,"MANIPULACION DE ALIMENTOS Y BPM"))))))))))))))))))))))))))))))</f>
        <v>ACOMPAÑAMIENTO Y MANEJO DEL DUELO</v>
      </c>
      <c r="U38" s="82" t="str">
        <f t="shared" si="9"/>
        <v>Jeimy Dayan Potosi Villareal</v>
      </c>
      <c r="V38" s="82" t="str">
        <f t="shared" si="10"/>
        <v>Jeimy Dayan Potosi Villareal</v>
      </c>
      <c r="W38" s="82" t="str">
        <f t="shared" si="11"/>
        <v>Jeimy Dayan Potosi Villareal-1085277525-DUELO</v>
      </c>
    </row>
    <row r="39" spans="1:23" s="50" customFormat="1" ht="15.75" x14ac:dyDescent="0.25">
      <c r="A39" s="48">
        <v>38</v>
      </c>
      <c r="B39" s="48">
        <v>1085244627</v>
      </c>
      <c r="C39" s="48" t="s">
        <v>120</v>
      </c>
      <c r="D39" s="48" t="s">
        <v>235</v>
      </c>
      <c r="E39" s="48" t="s">
        <v>236</v>
      </c>
      <c r="F39" s="48" t="s">
        <v>213</v>
      </c>
      <c r="G39" s="26">
        <v>9</v>
      </c>
      <c r="H39" s="26" t="s">
        <v>93</v>
      </c>
      <c r="I39" s="28">
        <v>45426</v>
      </c>
      <c r="J39" s="58">
        <v>25000</v>
      </c>
      <c r="K39" s="26" t="s">
        <v>124</v>
      </c>
      <c r="L39" s="28" t="s">
        <v>84</v>
      </c>
      <c r="M39" s="26" t="s">
        <v>265</v>
      </c>
      <c r="N39" s="27" t="s">
        <v>23</v>
      </c>
      <c r="O39" s="49"/>
      <c r="P39" s="48" t="s">
        <v>100</v>
      </c>
      <c r="Q39" s="48"/>
      <c r="R39" s="48">
        <v>3015171577</v>
      </c>
      <c r="S39" s="85" t="s">
        <v>237</v>
      </c>
      <c r="T39" s="82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SALUD, BUENAS PRACTICAS EN PACIENTE ",IF(N39=CURSOS!$D$10,"CLINICA DE HERIDAS ",IF(N39=CURSOS!$D$11,"TOMA DE CITOLOGIA A CERVICO VAGINAL ",IF(N39=CURSOS!$D$12,"SOPORTE CARDIOVASCULAR AVANZADO ",IF(N39=CURSOS!$D$13,"CAMILLERO ",IF(N39=CURSOS!$D$14,"TOMA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MUESTRAS Y LABORATORIO POCT",IF(N39=CURSOS!$D$28,"IMPLANTE SUBDERMICO Y DISPOSITIVO INTRAUTERINO",IF(N39=CURSOS!$D$29,"SALUD MENTAL",IF(N39=CURSOS!$D$30,"PRIMEROS AUXILIOS PSICOLOGICOS",IF(N39=CURSOS!$D$31,"ATENCION A VICTIMAS POR CONFLICTO ARMADO",IF(N39=CURSOS!$D$32,"MANIPULACION DE ALIMENTOS Y BPM"))))))))))))))))))))))))))))))</f>
        <v>ACOMPAÑAMIENTO Y MANEJO DEL DUELO</v>
      </c>
      <c r="U39" s="82" t="str">
        <f t="shared" si="9"/>
        <v>Daisy Johana Rosero Almeida</v>
      </c>
      <c r="V39" s="82" t="str">
        <f t="shared" si="10"/>
        <v>Daisy Johana Rosero Almeida</v>
      </c>
      <c r="W39" s="82" t="str">
        <f t="shared" si="11"/>
        <v>Daisy Johana Rosero Almeida-1085244627-DUELO</v>
      </c>
    </row>
    <row r="40" spans="1:23" s="50" customFormat="1" ht="15.75" x14ac:dyDescent="0.25">
      <c r="A40" s="48">
        <v>39</v>
      </c>
      <c r="B40" s="48">
        <v>59817144</v>
      </c>
      <c r="C40" s="48" t="s">
        <v>238</v>
      </c>
      <c r="D40" s="48" t="s">
        <v>239</v>
      </c>
      <c r="E40" s="48" t="s">
        <v>240</v>
      </c>
      <c r="F40" s="48" t="s">
        <v>241</v>
      </c>
      <c r="G40" s="26">
        <v>9</v>
      </c>
      <c r="H40" s="26" t="s">
        <v>93</v>
      </c>
      <c r="I40" s="28">
        <v>45426</v>
      </c>
      <c r="J40" s="58">
        <v>25000</v>
      </c>
      <c r="K40" s="26" t="s">
        <v>124</v>
      </c>
      <c r="L40" s="28" t="s">
        <v>84</v>
      </c>
      <c r="M40" s="26" t="s">
        <v>265</v>
      </c>
      <c r="N40" s="27" t="s">
        <v>23</v>
      </c>
      <c r="O40" s="49"/>
      <c r="P40" s="48" t="s">
        <v>100</v>
      </c>
      <c r="Q40" s="48"/>
      <c r="R40" s="48">
        <v>3183922440</v>
      </c>
      <c r="S40" s="85" t="s">
        <v>242</v>
      </c>
      <c r="T40" s="82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SALUD, BUENAS PRACTICAS EN PACIENTE ",IF(N40=CURSOS!$D$10,"CLINICA DE HERIDAS ",IF(N40=CURSOS!$D$11,"TOMA DE CITOLOGIA A CERVICO VAGINAL ",IF(N40=CURSOS!$D$12,"SOPORTE CARDIOVASCULAR AVANZADO ",IF(N40=CURSOS!$D$13,"CAMILLERO ",IF(N40=CURSOS!$D$14,"TOMA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MUESTRAS Y LABORATORIO POCT",IF(N40=CURSOS!$D$28,"IMPLANTE SUBDERMICO Y DISPOSITIVO INTRAUTERINO",IF(N40=CURSOS!$D$29,"SALUD MENTAL",IF(N40=CURSOS!$D$30,"PRIMEROS AUXILIOS PSICOLOGICOS",IF(N40=CURSOS!$D$31,"ATENCION A VICTIMAS POR CONFLICTO ARMADO",IF(N40=CURSOS!$D$32,"MANIPULACION DE ALIMENTOS Y BPM"))))))))))))))))))))))))))))))</f>
        <v>ACOMPAÑAMIENTO Y MANEJO DEL DUELO</v>
      </c>
      <c r="U40" s="82" t="str">
        <f t="shared" si="9"/>
        <v>Angela Stella Pastas Estrada</v>
      </c>
      <c r="V40" s="82" t="str">
        <f t="shared" si="10"/>
        <v>Angela Stella Pastas Estrada</v>
      </c>
      <c r="W40" s="82" t="str">
        <f t="shared" si="11"/>
        <v>Angela Stella Pastas Estrada-59817144-DUELO</v>
      </c>
    </row>
    <row r="41" spans="1:23" s="50" customFormat="1" ht="15.75" x14ac:dyDescent="0.25">
      <c r="A41" s="48">
        <v>40</v>
      </c>
      <c r="B41" s="48">
        <v>1085329042</v>
      </c>
      <c r="C41" s="48" t="s">
        <v>243</v>
      </c>
      <c r="D41" s="48" t="s">
        <v>225</v>
      </c>
      <c r="E41" s="48" t="s">
        <v>244</v>
      </c>
      <c r="F41" s="48" t="s">
        <v>245</v>
      </c>
      <c r="G41" s="26">
        <v>9</v>
      </c>
      <c r="H41" s="26" t="s">
        <v>93</v>
      </c>
      <c r="I41" s="28">
        <v>45426</v>
      </c>
      <c r="J41" s="58">
        <v>25000</v>
      </c>
      <c r="K41" s="26" t="s">
        <v>124</v>
      </c>
      <c r="L41" s="28" t="s">
        <v>84</v>
      </c>
      <c r="M41" s="26" t="s">
        <v>265</v>
      </c>
      <c r="N41" s="27" t="s">
        <v>23</v>
      </c>
      <c r="O41" s="49"/>
      <c r="P41" s="48" t="s">
        <v>100</v>
      </c>
      <c r="Q41" s="48"/>
      <c r="R41" s="48">
        <v>3156303410</v>
      </c>
      <c r="S41" s="85" t="s">
        <v>246</v>
      </c>
      <c r="T41" s="82" t="str">
        <f>IF(N41=CURSOS!$D$3,"DIPLOMADO EN ATENCION PRE-HOSPITALARIA",IF(N41=CURSOS!$D$4,"ACOMPAÑAMIENTO Y MANEJO DEL DUELO",IF(N41=CURSOS!$D$5,"ATENCION A VICTIMAS DE ATAQUE CON AGENTES QUIMICOS ",IF(N41=CURSOS!$D$6,"PRIMEROS AUXILIOS ",IF(N41=CURSOS!$D$7,"DIPLOMADO DE UNIDAD DE CUIDADOS INTENSIVOS (UCI)",IF(N41=CURSOS!$D$8,"MODELO DE ATENCION PARA EVENTOS EMERGENTES EN SALUD MENTAL (CODIGO VERDE)",IF(N41=CURSOS!$D$9,"HUMANIZACION EN SALUD, BUENAS PRACTICAS EN PACIENTE ",IF(N41=CURSOS!$D$10,"CLINICA DE HERIDAS ",IF(N41=CURSOS!$D$11,"TOMA DE CITOLOGIA A CERVICO VAGINAL ",IF(N41=CURSOS!$D$12,"SOPORTE CARDIOVASCULAR AVANZADO ",IF(N41=CURSOS!$D$13,"CAMILLERO ",IF(N41=CURSOS!$D$14,"TOMA MUESTRAS Y LABORATORIO ",IF(N41=CURSOS!$D$15,"SOPORTE VITAL BASICO (BLS)",IF(N41=CURSOS!$D$16,"ATENCION A VICTIMAS DE VIOLENCIA SEXUAL ",IF(N41=CURSOS!$D$17,"PROGRAMADO AMPLIADO DE INMUNIZACION (PAI - COVID 19)",IF(N41=CURSOS!$D$18,"ATENCION INTEGRAL EN ENFERMEDADES PREVALENTES EN PRIMERA INFANCIA (AIEPI)",IF(N41=CURSOS!$D$19,"ADMINISTRACION DE MEDICAMENTOS, IYECTOLOGIA  Y CANALIZACION ",IF(N41=CURSOS!$D$20,"OPERADOR DE VEHICULOS DE EMERGENCIA (OVE)",IF(N41=CURSOS!$D$21,"INSTITUCIONES AMIGAS DE LA MUJER Y LA INFANCIA (IAMI)",IF(N41=CURSOS!$D$22,"CUIDADO DEL DONANTE DE ORGANOS",IF(N41=CURSOS!$D$23,"ATENCION A VICTIMAS POR VIOLENCIA DE GENERO",IF(N41=CURSOS!$D$24,"IGUALDAD DE GENERO EN LA SALUD",IF(N41=CURSOS!$D$25,"BRIGADA DE EMERGENCIA",IF(N41=CURSOS!$D$26,"MANEJO DEL DOLOR Y CUIDADOS PALIATIVOS",IF(N41=CURSOS!$D$27,"TOMA MUESTRAS Y LABORATORIO POCT",IF(N41=CURSOS!$D$28,"IMPLANTE SUBDERMICO Y DISPOSITIVO INTRAUTERINO",IF(N41=CURSOS!$D$29,"SALUD MENTAL",IF(N41=CURSOS!$D$30,"PRIMEROS AUXILIOS PSICOLOGICOS",IF(N41=CURSOS!$D$31,"ATENCION A VICTIMAS POR CONFLICTO ARMADO",IF(N41=CURSOS!$D$32,"MANIPULACION DE ALIMENTOS Y BPM"))))))))))))))))))))))))))))))</f>
        <v>ACOMPAÑAMIENTO Y MANEJO DEL DUELO</v>
      </c>
      <c r="U41" s="82" t="str">
        <f t="shared" si="9"/>
        <v>Erika Sofia Bastidas Ramirez</v>
      </c>
      <c r="V41" s="82" t="str">
        <f t="shared" si="10"/>
        <v>Erika Sofia Bastidas Ramirez</v>
      </c>
      <c r="W41" s="82" t="str">
        <f t="shared" si="11"/>
        <v>Erika Sofia Bastidas Ramirez-1085329042-DUELO</v>
      </c>
    </row>
    <row r="42" spans="1:23" s="50" customFormat="1" ht="15.75" x14ac:dyDescent="0.25">
      <c r="A42" s="48">
        <v>41</v>
      </c>
      <c r="B42" s="48">
        <v>1085329042</v>
      </c>
      <c r="C42" s="48" t="s">
        <v>243</v>
      </c>
      <c r="D42" s="48" t="s">
        <v>225</v>
      </c>
      <c r="E42" s="48" t="s">
        <v>244</v>
      </c>
      <c r="F42" s="48" t="s">
        <v>245</v>
      </c>
      <c r="G42" s="26">
        <v>9</v>
      </c>
      <c r="H42" s="26" t="s">
        <v>93</v>
      </c>
      <c r="I42" s="28">
        <v>45426</v>
      </c>
      <c r="J42" s="58">
        <v>25000</v>
      </c>
      <c r="K42" s="26" t="s">
        <v>124</v>
      </c>
      <c r="L42" s="28" t="s">
        <v>84</v>
      </c>
      <c r="M42" s="26" t="s">
        <v>265</v>
      </c>
      <c r="N42" s="27" t="s">
        <v>46</v>
      </c>
      <c r="O42" s="49"/>
      <c r="P42" s="48" t="s">
        <v>100</v>
      </c>
      <c r="Q42" s="48"/>
      <c r="R42" s="48">
        <v>3156303410</v>
      </c>
      <c r="S42" s="85" t="s">
        <v>246</v>
      </c>
      <c r="T42" s="82" t="str">
        <f>IF(N42=CURSOS!$D$3,"DIPLOMADO EN ATENCION PRE-HOSPITALARIA",IF(N42=CURSOS!$D$4,"ACOMPAÑAMIENTO Y MANEJO DEL DUELO",IF(N42=CURSOS!$D$5,"ATENCION A VICTIMAS DE ATAQUE CON AGENTES QUIMICOS ",IF(N42=CURSOS!$D$6,"PRIMEROS AUXILIOS ",IF(N42=CURSOS!$D$7,"DIPLOMADO DE UNIDAD DE CUIDADOS INTENSIVOS (UCI)",IF(N42=CURSOS!$D$8,"MODELO DE ATENCION PARA EVENTOS EMERGENTES EN SALUD MENTAL (CODIGO VERDE)",IF(N42=CURSOS!$D$9,"HUMANIZACION EN SALUD, BUENAS PRACTICAS EN PACIENTE ",IF(N42=CURSOS!$D$10,"CLINICA DE HERIDAS ",IF(N42=CURSOS!$D$11,"TOMA DE CITOLOGIA A CERVICO VAGINAL ",IF(N42=CURSOS!$D$12,"SOPORTE CARDIOVASCULAR AVANZADO ",IF(N42=CURSOS!$D$13,"CAMILLERO ",IF(N42=CURSOS!$D$14,"TOMA MUESTRAS Y LABORATORIO ",IF(N42=CURSOS!$D$15,"SOPORTE VITAL BASICO (BLS)",IF(N42=CURSOS!$D$16,"ATENCION A VICTIMAS DE VIOLENCIA SEXUAL ",IF(N42=CURSOS!$D$17,"PROGRAMADO AMPLIADO DE INMUNIZACION (PAI - COVID 19)",IF(N42=CURSOS!$D$18,"ATENCION INTEGRAL EN ENFERMEDADES PREVALENTES EN PRIMERA INFANCIA (AIEPI)",IF(N42=CURSOS!$D$19,"ADMINISTRACION DE MEDICAMENTOS, IYECTOLOGIA  Y CANALIZACION ",IF(N42=CURSOS!$D$20,"OPERADOR DE VEHICULOS DE EMERGENCIA (OVE)",IF(N42=CURSOS!$D$21,"INSTITUCIONES AMIGAS DE LA MUJER Y LA INFANCIA (IAMI)",IF(N42=CURSOS!$D$22,"CUIDADO DEL DONANTE DE ORGANOS",IF(N42=CURSOS!$D$23,"ATENCION A VICTIMAS POR VIOLENCIA DE GENERO",IF(N42=CURSOS!$D$24,"IGUALDAD DE GENERO EN LA SALUD",IF(N42=CURSOS!$D$25,"BRIGADA DE EMERGENCIA",IF(N42=CURSOS!$D$26,"MANEJO DEL DOLOR Y CUIDADOS PALIATIVOS",IF(N42=CURSOS!$D$27,"TOMA MUESTRAS Y LABORATORIO POCT",IF(N42=CURSOS!$D$28,"IMPLANTE SUBDERMICO Y DISPOSITIVO INTRAUTERINO",IF(N42=CURSOS!$D$29,"SALUD MENTAL",IF(N42=CURSOS!$D$30,"PRIMEROS AUXILIOS PSICOLOGICOS",IF(N42=CURSOS!$D$31,"ATENCION A VICTIMAS POR CONFLICTO ARMADO",IF(N42=CURSOS!$D$32,"MANIPULACION DE ALIMENTOS Y BPM"))))))))))))))))))))))))))))))</f>
        <v xml:space="preserve">ATENCION A VICTIMAS DE VIOLENCIA SEXUAL </v>
      </c>
      <c r="U42" s="82" t="str">
        <f t="shared" si="9"/>
        <v>Erika Sofia Bastidas Ramirez</v>
      </c>
      <c r="V42" s="82" t="str">
        <f t="shared" si="10"/>
        <v>Erika Sofia Bastidas Ramirez</v>
      </c>
      <c r="W42" s="82" t="str">
        <f t="shared" si="11"/>
        <v>Erika Sofia Bastidas Ramirez-1085329042-VIOLENCIA SEXUAL</v>
      </c>
    </row>
    <row r="43" spans="1:23" s="50" customFormat="1" ht="15.75" x14ac:dyDescent="0.25">
      <c r="A43" s="48">
        <v>42</v>
      </c>
      <c r="B43" s="48">
        <v>1085329042</v>
      </c>
      <c r="C43" s="48" t="s">
        <v>243</v>
      </c>
      <c r="D43" s="48" t="s">
        <v>225</v>
      </c>
      <c r="E43" s="48" t="s">
        <v>244</v>
      </c>
      <c r="F43" s="48" t="s">
        <v>245</v>
      </c>
      <c r="G43" s="26">
        <v>9</v>
      </c>
      <c r="H43" s="26" t="s">
        <v>93</v>
      </c>
      <c r="I43" s="28">
        <v>45426</v>
      </c>
      <c r="J43" s="58">
        <v>25000</v>
      </c>
      <c r="K43" s="26" t="s">
        <v>124</v>
      </c>
      <c r="L43" s="28" t="s">
        <v>84</v>
      </c>
      <c r="M43" s="26" t="s">
        <v>265</v>
      </c>
      <c r="N43" s="27" t="s">
        <v>25</v>
      </c>
      <c r="O43" s="49"/>
      <c r="P43" s="48" t="s">
        <v>100</v>
      </c>
      <c r="Q43" s="48"/>
      <c r="R43" s="48">
        <v>3156303410</v>
      </c>
      <c r="S43" s="85" t="s">
        <v>246</v>
      </c>
      <c r="T43" s="82" t="str">
        <f>IF(N43=CURSOS!$D$3,"DIPLOMADO EN ATENCION PRE-HOSPITALARIA",IF(N43=CURSOS!$D$4,"ACOMPAÑAMIENTO Y MANEJO DEL DUELO",IF(N43=CURSOS!$D$5,"ATENCION A VICTIMAS DE ATAQUE CON AGENTES QUIMICOS ",IF(N43=CURSOS!$D$6,"PRIMEROS AUXILIOS ",IF(N43=CURSOS!$D$7,"DIPLOMADO DE UNIDAD DE CUIDADOS INTENSIVOS (UCI)",IF(N43=CURSOS!$D$8,"MODELO DE ATENCION PARA EVENTOS EMERGENTES EN SALUD MENTAL (CODIGO VERDE)",IF(N43=CURSOS!$D$9,"HUMANIZACION EN SALUD, BUENAS PRACTICAS EN PACIENTE ",IF(N43=CURSOS!$D$10,"CLINICA DE HERIDAS ",IF(N43=CURSOS!$D$11,"TOMA DE CITOLOGIA A CERVICO VAGINAL ",IF(N43=CURSOS!$D$12,"SOPORTE CARDIOVASCULAR AVANZADO ",IF(N43=CURSOS!$D$13,"CAMILLERO ",IF(N43=CURSOS!$D$14,"TOMA MUESTRAS Y LABORATORIO ",IF(N43=CURSOS!$D$15,"SOPORTE VITAL BASICO (BLS)",IF(N43=CURSOS!$D$16,"ATENCION A VICTIMAS DE VIOLENCIA SEXUAL ",IF(N43=CURSOS!$D$17,"PROGRAMADO AMPLIADO DE INMUNIZACION (PAI - COVID 19)",IF(N43=CURSOS!$D$18,"ATENCION INTEGRAL EN ENFERMEDADES PREVALENTES EN PRIMERA INFANCIA (AIEPI)",IF(N43=CURSOS!$D$19,"ADMINISTRACION DE MEDICAMENTOS, IYECTOLOGIA  Y CANALIZACION ",IF(N43=CURSOS!$D$20,"OPERADOR DE VEHICULOS DE EMERGENCIA (OVE)",IF(N43=CURSOS!$D$21,"INSTITUCIONES AMIGAS DE LA MUJER Y LA INFANCIA (IAMI)",IF(N43=CURSOS!$D$22,"CUIDADO DEL DONANTE DE ORGANOS",IF(N43=CURSOS!$D$23,"ATENCION A VICTIMAS POR VIOLENCIA DE GENERO",IF(N43=CURSOS!$D$24,"IGUALDAD DE GENERO EN LA SALUD",IF(N43=CURSOS!$D$25,"BRIGADA DE EMERGENCIA",IF(N43=CURSOS!$D$26,"MANEJO DEL DOLOR Y CUIDADOS PALIATIVOS",IF(N43=CURSOS!$D$27,"TOMA MUESTRAS Y LABORATORIO POCT",IF(N43=CURSOS!$D$28,"IMPLANTE SUBDERMICO Y DISPOSITIVO INTRAUTERINO",IF(N43=CURSOS!$D$29,"SALUD MENTAL",IF(N43=CURSOS!$D$30,"PRIMEROS AUXILIOS PSICOLOGICOS",IF(N43=CURSOS!$D$31,"ATENCION A VICTIMAS POR CONFLICTO ARMADO",IF(N43=CURSOS!$D$32,"MANIPULACION DE ALIMENTOS Y BPM"))))))))))))))))))))))))))))))</f>
        <v xml:space="preserve">ATENCION A VICTIMAS DE ATAQUE CON AGENTES QUIMICOS </v>
      </c>
      <c r="U43" s="82" t="str">
        <f t="shared" si="9"/>
        <v>Erika Sofia Bastidas Ramirez</v>
      </c>
      <c r="V43" s="82" t="str">
        <f t="shared" si="10"/>
        <v>Erika Sofia Bastidas Ramirez</v>
      </c>
      <c r="W43" s="82" t="str">
        <f t="shared" si="11"/>
        <v>Erika Sofia Bastidas Ramirez-1085329042-QUIMICOS</v>
      </c>
    </row>
    <row r="44" spans="1:23" s="50" customFormat="1" ht="15.75" x14ac:dyDescent="0.25">
      <c r="A44" s="48">
        <v>43</v>
      </c>
      <c r="B44" s="48">
        <v>27488362</v>
      </c>
      <c r="C44" s="48" t="s">
        <v>247</v>
      </c>
      <c r="D44" s="48" t="s">
        <v>248</v>
      </c>
      <c r="E44" s="48" t="s">
        <v>249</v>
      </c>
      <c r="F44" s="48" t="s">
        <v>250</v>
      </c>
      <c r="G44" s="26">
        <v>9</v>
      </c>
      <c r="H44" s="26" t="s">
        <v>93</v>
      </c>
      <c r="I44" s="28">
        <v>45426</v>
      </c>
      <c r="J44" s="58">
        <v>25000</v>
      </c>
      <c r="K44" s="26" t="s">
        <v>124</v>
      </c>
      <c r="L44" s="28" t="s">
        <v>84</v>
      </c>
      <c r="M44" s="26" t="s">
        <v>265</v>
      </c>
      <c r="N44" s="27" t="s">
        <v>23</v>
      </c>
      <c r="O44" s="49"/>
      <c r="P44" s="48" t="s">
        <v>100</v>
      </c>
      <c r="Q44" s="48"/>
      <c r="R44" s="48">
        <v>3184197795</v>
      </c>
      <c r="S44" s="85" t="s">
        <v>251</v>
      </c>
      <c r="T44" s="82" t="str">
        <f>IF(N44=CURSOS!$D$3,"DIPLOMADO EN ATENCION PRE-HOSPITALARIA",IF(N44=CURSOS!$D$4,"ACOMPAÑAMIENTO Y MANEJO DEL DUELO",IF(N44=CURSOS!$D$5,"ATENCION A VICTIMAS DE ATAQUE CON AGENTES QUIMICOS ",IF(N44=CURSOS!$D$6,"PRIMEROS AUXILIOS ",IF(N44=CURSOS!$D$7,"DIPLOMADO DE UNIDAD DE CUIDADOS INTENSIVOS (UCI)",IF(N44=CURSOS!$D$8,"MODELO DE ATENCION PARA EVENTOS EMERGENTES EN SALUD MENTAL (CODIGO VERDE)",IF(N44=CURSOS!$D$9,"HUMANIZACION EN SALUD, BUENAS PRACTICAS EN PACIENTE ",IF(N44=CURSOS!$D$10,"CLINICA DE HERIDAS ",IF(N44=CURSOS!$D$11,"TOMA DE CITOLOGIA A CERVICO VAGINAL ",IF(N44=CURSOS!$D$12,"SOPORTE CARDIOVASCULAR AVANZADO ",IF(N44=CURSOS!$D$13,"CAMILLERO ",IF(N44=CURSOS!$D$14,"TOMA MUESTRAS Y LABORATORIO ",IF(N44=CURSOS!$D$15,"SOPORTE VITAL BASICO (BLS)",IF(N44=CURSOS!$D$16,"ATENCION A VICTIMAS DE VIOLENCIA SEXUAL ",IF(N44=CURSOS!$D$17,"PROGRAMADO AMPLIADO DE INMUNIZACION (PAI - COVID 19)",IF(N44=CURSOS!$D$18,"ATENCION INTEGRAL EN ENFERMEDADES PREVALENTES EN PRIMERA INFANCIA (AIEPI)",IF(N44=CURSOS!$D$19,"ADMINISTRACION DE MEDICAMENTOS, IYECTOLOGIA  Y CANALIZACION ",IF(N44=CURSOS!$D$20,"OPERADOR DE VEHICULOS DE EMERGENCIA (OVE)",IF(N44=CURSOS!$D$21,"INSTITUCIONES AMIGAS DE LA MUJER Y LA INFANCIA (IAMI)",IF(N44=CURSOS!$D$22,"CUIDADO DEL DONANTE DE ORGANOS",IF(N44=CURSOS!$D$23,"ATENCION A VICTIMAS POR VIOLENCIA DE GENERO",IF(N44=CURSOS!$D$24,"IGUALDAD DE GENERO EN LA SALUD",IF(N44=CURSOS!$D$25,"BRIGADA DE EMERGENCIA",IF(N44=CURSOS!$D$26,"MANEJO DEL DOLOR Y CUIDADOS PALIATIVOS",IF(N44=CURSOS!$D$27,"TOMA MUESTRAS Y LABORATORIO POCT",IF(N44=CURSOS!$D$28,"IMPLANTE SUBDERMICO Y DISPOSITIVO INTRAUTERINO",IF(N44=CURSOS!$D$29,"SALUD MENTAL",IF(N44=CURSOS!$D$30,"PRIMEROS AUXILIOS PSICOLOGICOS",IF(N44=CURSOS!$D$31,"ATENCION A VICTIMAS POR CONFLICTO ARMADO",IF(N44=CURSOS!$D$32,"MANIPULACION DE ALIMENTOS Y BPM"))))))))))))))))))))))))))))))</f>
        <v>ACOMPAÑAMIENTO Y MANEJO DEL DUELO</v>
      </c>
      <c r="U44" s="82" t="str">
        <f t="shared" si="9"/>
        <v>Veronica Lorena Timana Puchana</v>
      </c>
      <c r="V44" s="82" t="str">
        <f t="shared" si="10"/>
        <v>Veronica Lorena Timana Puchana</v>
      </c>
      <c r="W44" s="82" t="str">
        <f t="shared" si="11"/>
        <v>Veronica Lorena Timana Puchana-27488362-DUELO</v>
      </c>
    </row>
    <row r="45" spans="1:23" s="50" customFormat="1" ht="15.75" x14ac:dyDescent="0.25">
      <c r="A45" s="48">
        <v>44</v>
      </c>
      <c r="B45" s="48">
        <v>36953804</v>
      </c>
      <c r="C45" s="48" t="s">
        <v>252</v>
      </c>
      <c r="D45" s="48" t="s">
        <v>253</v>
      </c>
      <c r="E45" s="48" t="s">
        <v>184</v>
      </c>
      <c r="F45" s="48" t="s">
        <v>254</v>
      </c>
      <c r="G45" s="26">
        <v>9</v>
      </c>
      <c r="H45" s="26" t="s">
        <v>93</v>
      </c>
      <c r="I45" s="28">
        <v>45426</v>
      </c>
      <c r="J45" s="58">
        <v>25000</v>
      </c>
      <c r="K45" s="26" t="s">
        <v>124</v>
      </c>
      <c r="L45" s="28" t="s">
        <v>84</v>
      </c>
      <c r="M45" s="26" t="s">
        <v>265</v>
      </c>
      <c r="N45" s="27" t="s">
        <v>23</v>
      </c>
      <c r="O45" s="49"/>
      <c r="P45" s="48" t="s">
        <v>100</v>
      </c>
      <c r="Q45" s="48"/>
      <c r="R45" s="48">
        <v>3013895456</v>
      </c>
      <c r="S45" s="85" t="s">
        <v>255</v>
      </c>
      <c r="T45" s="82" t="str">
        <f>IF(N45=CURSOS!$D$3,"DIPLOMADO EN ATENCION PRE-HOSPITALARIA",IF(N45=CURSOS!$D$4,"ACOMPAÑAMIENTO Y MANEJO DEL DUELO",IF(N45=CURSOS!$D$5,"ATENCION A VICTIMAS DE ATAQUE CON AGENTES QUIMICOS ",IF(N45=CURSOS!$D$6,"PRIMEROS AUXILIOS ",IF(N45=CURSOS!$D$7,"DIPLOMADO DE UNIDAD DE CUIDADOS INTENSIVOS (UCI)",IF(N45=CURSOS!$D$8,"MODELO DE ATENCION PARA EVENTOS EMERGENTES EN SALUD MENTAL (CODIGO VERDE)",IF(N45=CURSOS!$D$9,"HUMANIZACION EN SALUD, BUENAS PRACTICAS EN PACIENTE ",IF(N45=CURSOS!$D$10,"CLINICA DE HERIDAS ",IF(N45=CURSOS!$D$11,"TOMA DE CITOLOGIA A CERVICO VAGINAL ",IF(N45=CURSOS!$D$12,"SOPORTE CARDIOVASCULAR AVANZADO ",IF(N45=CURSOS!$D$13,"CAMILLERO ",IF(N45=CURSOS!$D$14,"TOMA MUESTRAS Y LABORATORIO ",IF(N45=CURSOS!$D$15,"SOPORTE VITAL BASICO (BLS)",IF(N45=CURSOS!$D$16,"ATENCION A VICTIMAS DE VIOLENCIA SEXUAL ",IF(N45=CURSOS!$D$17,"PROGRAMADO AMPLIADO DE INMUNIZACION (PAI - COVID 19)",IF(N45=CURSOS!$D$18,"ATENCION INTEGRAL EN ENFERMEDADES PREVALENTES EN PRIMERA INFANCIA (AIEPI)",IF(N45=CURSOS!$D$19,"ADMINISTRACION DE MEDICAMENTOS, IYECTOLOGIA  Y CANALIZACION ",IF(N45=CURSOS!$D$20,"OPERADOR DE VEHICULOS DE EMERGENCIA (OVE)",IF(N45=CURSOS!$D$21,"INSTITUCIONES AMIGAS DE LA MUJER Y LA INFANCIA (IAMI)",IF(N45=CURSOS!$D$22,"CUIDADO DEL DONANTE DE ORGANOS",IF(N45=CURSOS!$D$23,"ATENCION A VICTIMAS POR VIOLENCIA DE GENERO",IF(N45=CURSOS!$D$24,"IGUALDAD DE GENERO EN LA SALUD",IF(N45=CURSOS!$D$25,"BRIGADA DE EMERGENCIA",IF(N45=CURSOS!$D$26,"MANEJO DEL DOLOR Y CUIDADOS PALIATIVOS",IF(N45=CURSOS!$D$27,"TOMA MUESTRAS Y LABORATORIO POCT",IF(N45=CURSOS!$D$28,"IMPLANTE SUBDERMICO Y DISPOSITIVO INTRAUTERINO",IF(N45=CURSOS!$D$29,"SALUD MENTAL",IF(N45=CURSOS!$D$30,"PRIMEROS AUXILIOS PSICOLOGICOS",IF(N45=CURSOS!$D$31,"ATENCION A VICTIMAS POR CONFLICTO ARMADO",IF(N45=CURSOS!$D$32,"MANIPULACION DE ALIMENTOS Y BPM"))))))))))))))))))))))))))))))</f>
        <v>ACOMPAÑAMIENTO Y MANEJO DEL DUELO</v>
      </c>
      <c r="U45" s="82" t="str">
        <f t="shared" si="9"/>
        <v>Natalia Carolina Velasco Paz</v>
      </c>
      <c r="V45" s="82" t="str">
        <f t="shared" si="10"/>
        <v>Natalia Carolina Velasco Paz</v>
      </c>
      <c r="W45" s="82" t="str">
        <f t="shared" si="11"/>
        <v>Natalia Carolina Velasco Paz-36953804-DUELO</v>
      </c>
    </row>
    <row r="46" spans="1:23" s="50" customFormat="1" ht="15.75" x14ac:dyDescent="0.25">
      <c r="A46" s="48">
        <v>45</v>
      </c>
      <c r="B46" s="86">
        <v>59820026</v>
      </c>
      <c r="C46" s="48" t="s">
        <v>256</v>
      </c>
      <c r="D46" s="48" t="s">
        <v>257</v>
      </c>
      <c r="E46" s="48" t="s">
        <v>258</v>
      </c>
      <c r="F46" s="48" t="s">
        <v>241</v>
      </c>
      <c r="G46" s="26">
        <v>9</v>
      </c>
      <c r="H46" s="26" t="s">
        <v>93</v>
      </c>
      <c r="I46" s="28">
        <v>45426</v>
      </c>
      <c r="J46" s="58">
        <v>25000</v>
      </c>
      <c r="K46" s="26" t="s">
        <v>124</v>
      </c>
      <c r="L46" s="28" t="s">
        <v>84</v>
      </c>
      <c r="M46" s="26" t="s">
        <v>265</v>
      </c>
      <c r="N46" s="27" t="s">
        <v>46</v>
      </c>
      <c r="O46" s="49"/>
      <c r="P46" s="48" t="s">
        <v>100</v>
      </c>
      <c r="Q46" s="48"/>
      <c r="R46" s="48">
        <v>3017461840</v>
      </c>
      <c r="S46" s="85" t="s">
        <v>259</v>
      </c>
      <c r="T46" s="82" t="str">
        <f>IF(N46=CURSOS!$D$3,"DIPLOMADO EN ATENCION PRE-HOSPITALARIA",IF(N46=CURSOS!$D$4,"ACOMPAÑAMIENTO Y MANEJO DEL DUELO",IF(N46=CURSOS!$D$5,"ATENCION A VICTIMAS DE ATAQUE CON AGENTES QUIMICOS ",IF(N46=CURSOS!$D$6,"PRIMEROS AUXILIOS ",IF(N46=CURSOS!$D$7,"DIPLOMADO DE UNIDAD DE CUIDADOS INTENSIVOS (UCI)",IF(N46=CURSOS!$D$8,"MODELO DE ATENCION PARA EVENTOS EMERGENTES EN SALUD MENTAL (CODIGO VERDE)",IF(N46=CURSOS!$D$9,"HUMANIZACION EN SALUD, BUENAS PRACTICAS EN PACIENTE ",IF(N46=CURSOS!$D$10,"CLINICA DE HERIDAS ",IF(N46=CURSOS!$D$11,"TOMA DE CITOLOGIA A CERVICO VAGINAL ",IF(N46=CURSOS!$D$12,"SOPORTE CARDIOVASCULAR AVANZADO ",IF(N46=CURSOS!$D$13,"CAMILLERO ",IF(N46=CURSOS!$D$14,"TOMA MUESTRAS Y LABORATORIO ",IF(N46=CURSOS!$D$15,"SOPORTE VITAL BASICO (BLS)",IF(N46=CURSOS!$D$16,"ATENCION A VICTIMAS DE VIOLENCIA SEXUAL ",IF(N46=CURSOS!$D$17,"PROGRAMADO AMPLIADO DE INMUNIZACION (PAI - COVID 19)",IF(N46=CURSOS!$D$18,"ATENCION INTEGRAL EN ENFERMEDADES PREVALENTES EN PRIMERA INFANCIA (AIEPI)",IF(N46=CURSOS!$D$19,"ADMINISTRACION DE MEDICAMENTOS, IYECTOLOGIA  Y CANALIZACION ",IF(N46=CURSOS!$D$20,"OPERADOR DE VEHICULOS DE EMERGENCIA (OVE)",IF(N46=CURSOS!$D$21,"INSTITUCIONES AMIGAS DE LA MUJER Y LA INFANCIA (IAMI)",IF(N46=CURSOS!$D$22,"CUIDADO DEL DONANTE DE ORGANOS",IF(N46=CURSOS!$D$23,"ATENCION A VICTIMAS POR VIOLENCIA DE GENERO",IF(N46=CURSOS!$D$24,"IGUALDAD DE GENERO EN LA SALUD",IF(N46=CURSOS!$D$25,"BRIGADA DE EMERGENCIA",IF(N46=CURSOS!$D$26,"MANEJO DEL DOLOR Y CUIDADOS PALIATIVOS",IF(N46=CURSOS!$D$27,"TOMA MUESTRAS Y LABORATORIO POCT",IF(N46=CURSOS!$D$28,"IMPLANTE SUBDERMICO Y DISPOSITIVO INTRAUTERINO",IF(N46=CURSOS!$D$29,"SALUD MENTAL",IF(N46=CURSOS!$D$30,"PRIMEROS AUXILIOS PSICOLOGICOS",IF(N46=CURSOS!$D$31,"ATENCION A VICTIMAS POR CONFLICTO ARMADO",IF(N46=CURSOS!$D$32,"MANIPULACION DE ALIMENTOS Y BPM"))))))))))))))))))))))))))))))</f>
        <v xml:space="preserve">ATENCION A VICTIMAS DE VIOLENCIA SEXUAL </v>
      </c>
      <c r="U46" s="82" t="str">
        <f t="shared" si="9"/>
        <v>Maribel Stella Caicedo Miranda</v>
      </c>
      <c r="V46" s="82" t="str">
        <f t="shared" si="10"/>
        <v>Maribel Stella Caicedo Miranda</v>
      </c>
      <c r="W46" s="82" t="str">
        <f t="shared" si="11"/>
        <v>Maribel Stella Caicedo Miranda-59820026-VIOLENCIA SEXUAL</v>
      </c>
    </row>
    <row r="47" spans="1:23" s="50" customFormat="1" ht="15.75" x14ac:dyDescent="0.25">
      <c r="A47" s="48">
        <v>46</v>
      </c>
      <c r="B47" s="86">
        <v>59820026</v>
      </c>
      <c r="C47" s="48" t="s">
        <v>256</v>
      </c>
      <c r="D47" s="48" t="s">
        <v>257</v>
      </c>
      <c r="E47" s="48" t="s">
        <v>258</v>
      </c>
      <c r="F47" s="48" t="s">
        <v>241</v>
      </c>
      <c r="G47" s="26">
        <v>9</v>
      </c>
      <c r="H47" s="26" t="s">
        <v>93</v>
      </c>
      <c r="I47" s="28">
        <v>45426</v>
      </c>
      <c r="J47" s="58">
        <v>25000</v>
      </c>
      <c r="K47" s="26" t="s">
        <v>124</v>
      </c>
      <c r="L47" s="26" t="s">
        <v>84</v>
      </c>
      <c r="M47" s="26" t="s">
        <v>265</v>
      </c>
      <c r="N47" s="27" t="s">
        <v>25</v>
      </c>
      <c r="O47" s="49"/>
      <c r="P47" s="48" t="s">
        <v>100</v>
      </c>
      <c r="Q47" s="48"/>
      <c r="R47" s="48">
        <v>3017461840</v>
      </c>
      <c r="S47" s="85" t="s">
        <v>259</v>
      </c>
      <c r="T47" s="82" t="str">
        <f>IF(N47=CURSOS!$D$3,"DIPLOMADO EN ATENCION PRE-HOSPITALARIA",IF(N47=CURSOS!$D$4,"ACOMPAÑAMIENTO Y MANEJO DEL DUELO",IF(N47=CURSOS!$D$5,"ATENCION A VICTIMAS DE ATAQUE CON AGENTES QUIMICOS ",IF(N47=CURSOS!$D$6,"PRIMEROS AUXILIOS ",IF(N47=CURSOS!$D$7,"DIPLOMADO DE UNIDAD DE CUIDADOS INTENSIVOS (UCI)",IF(N47=CURSOS!$D$8,"MODELO DE ATENCION PARA EVENTOS EMERGENTES EN SALUD MENTAL (CODIGO VERDE)",IF(N47=CURSOS!$D$9,"HUMANIZACION EN SALUD, BUENAS PRACTICAS EN PACIENTE ",IF(N47=CURSOS!$D$10,"CLINICA DE HERIDAS ",IF(N47=CURSOS!$D$11,"TOMA DE CITOLOGIA A CERVICO VAGINAL ",IF(N47=CURSOS!$D$12,"SOPORTE CARDIOVASCULAR AVANZADO ",IF(N47=CURSOS!$D$13,"CAMILLERO ",IF(N47=CURSOS!$D$14,"TOMA MUESTRAS Y LABORATORIO ",IF(N47=CURSOS!$D$15,"SOPORTE VITAL BASICO (BLS)",IF(N47=CURSOS!$D$16,"ATENCION A VICTIMAS DE VIOLENCIA SEXUAL ",IF(N47=CURSOS!$D$17,"PROGRAMADO AMPLIADO DE INMUNIZACION (PAI - COVID 19)",IF(N47=CURSOS!$D$18,"ATENCION INTEGRAL EN ENFERMEDADES PREVALENTES EN PRIMERA INFANCIA (AIEPI)",IF(N47=CURSOS!$D$19,"ADMINISTRACION DE MEDICAMENTOS, IYECTOLOGIA  Y CANALIZACION ",IF(N47=CURSOS!$D$20,"OPERADOR DE VEHICULOS DE EMERGENCIA (OVE)",IF(N47=CURSOS!$D$21,"INSTITUCIONES AMIGAS DE LA MUJER Y LA INFANCIA (IAMI)",IF(N47=CURSOS!$D$22,"CUIDADO DEL DONANTE DE ORGANOS",IF(N47=CURSOS!$D$23,"ATENCION A VICTIMAS POR VIOLENCIA DE GENERO",IF(N47=CURSOS!$D$24,"IGUALDAD DE GENERO EN LA SALUD",IF(N47=CURSOS!$D$25,"BRIGADA DE EMERGENCIA",IF(N47=CURSOS!$D$26,"MANEJO DEL DOLOR Y CUIDADOS PALIATIVOS",IF(N47=CURSOS!$D$27,"TOMA MUESTRAS Y LABORATORIO POCT",IF(N47=CURSOS!$D$28,"IMPLANTE SUBDERMICO Y DISPOSITIVO INTRAUTERINO",IF(N47=CURSOS!$D$29,"SALUD MENTAL",IF(N47=CURSOS!$D$30,"PRIMEROS AUXILIOS PSICOLOGICOS",IF(N47=CURSOS!$D$31,"ATENCION A VICTIMAS POR CONFLICTO ARMADO",IF(N47=CURSOS!$D$32,"MANIPULACION DE ALIMENTOS Y BPM"))))))))))))))))))))))))))))))</f>
        <v xml:space="preserve">ATENCION A VICTIMAS DE ATAQUE CON AGENTES QUIMICOS </v>
      </c>
      <c r="U47" s="82" t="str">
        <f t="shared" si="9"/>
        <v>Maribel Stella Caicedo Miranda</v>
      </c>
      <c r="V47" s="82" t="str">
        <f t="shared" si="10"/>
        <v>Maribel Stella Caicedo Miranda</v>
      </c>
      <c r="W47" s="82" t="str">
        <f t="shared" si="11"/>
        <v>Maribel Stella Caicedo Miranda-59820026-QUIMICOS</v>
      </c>
    </row>
    <row r="48" spans="1:23" s="50" customFormat="1" x14ac:dyDescent="0.2">
      <c r="A48" s="48">
        <v>47</v>
      </c>
      <c r="B48" s="48">
        <v>59836213</v>
      </c>
      <c r="C48" s="48" t="s">
        <v>260</v>
      </c>
      <c r="D48" s="48" t="s">
        <v>261</v>
      </c>
      <c r="E48" s="48" t="s">
        <v>262</v>
      </c>
      <c r="F48" s="48" t="s">
        <v>263</v>
      </c>
      <c r="G48" s="26">
        <v>9</v>
      </c>
      <c r="H48" s="26" t="s">
        <v>93</v>
      </c>
      <c r="I48" s="28">
        <v>45426</v>
      </c>
      <c r="J48" s="58">
        <v>25000</v>
      </c>
      <c r="K48" s="26" t="s">
        <v>124</v>
      </c>
      <c r="L48" s="28" t="s">
        <v>84</v>
      </c>
      <c r="M48" s="26" t="s">
        <v>265</v>
      </c>
      <c r="N48" s="27" t="s">
        <v>23</v>
      </c>
      <c r="O48" s="49"/>
      <c r="P48" s="48" t="s">
        <v>100</v>
      </c>
      <c r="Q48" s="48"/>
      <c r="R48" s="48">
        <v>3014644156</v>
      </c>
      <c r="S48" s="48" t="s">
        <v>264</v>
      </c>
      <c r="T48" s="82" t="str">
        <f>IF(N48=CURSOS!$D$3,"DIPLOMADO EN ATENCION PRE-HOSPITALARIA",IF(N48=CURSOS!$D$4,"ACOMPAÑAMIENTO Y MANEJO DEL DUELO",IF(N48=CURSOS!$D$5,"ATENCION A VICTIMAS DE ATAQUE CON AGENTES QUIMICOS ",IF(N48=CURSOS!$D$6,"PRIMEROS AUXILIOS ",IF(N48=CURSOS!$D$7,"DIPLOMADO DE UNIDAD DE CUIDADOS INTENSIVOS (UCI)",IF(N48=CURSOS!$D$8,"MODELO DE ATENCION PARA EVENTOS EMERGENTES EN SALUD MENTAL (CODIGO VERDE)",IF(N48=CURSOS!$D$9,"HUMANIZACION EN SALUD, BUENAS PRACTICAS EN PACIENTE ",IF(N48=CURSOS!$D$10,"CLINICA DE HERIDAS ",IF(N48=CURSOS!$D$11,"TOMA DE CITOLOGIA A CERVICO VAGINAL ",IF(N48=CURSOS!$D$12,"SOPORTE CARDIOVASCULAR AVANZADO ",IF(N48=CURSOS!$D$13,"CAMILLERO ",IF(N48=CURSOS!$D$14,"TOMA MUESTRAS Y LABORATORIO ",IF(N48=CURSOS!$D$15,"SOPORTE VITAL BASICO (BLS)",IF(N48=CURSOS!$D$16,"ATENCION A VICTIMAS DE VIOLENCIA SEXUAL ",IF(N48=CURSOS!$D$17,"PROGRAMADO AMPLIADO DE INMUNIZACION (PAI - COVID 19)",IF(N48=CURSOS!$D$18,"ATENCION INTEGRAL EN ENFERMEDADES PREVALENTES EN PRIMERA INFANCIA (AIEPI)",IF(N48=CURSOS!$D$19,"ADMINISTRACION DE MEDICAMENTOS, IYECTOLOGIA  Y CANALIZACION ",IF(N48=CURSOS!$D$20,"OPERADOR DE VEHICULOS DE EMERGENCIA (OVE)",IF(N48=CURSOS!$D$21,"INSTITUCIONES AMIGAS DE LA MUJER Y LA INFANCIA (IAMI)",IF(N48=CURSOS!$D$22,"CUIDADO DEL DONANTE DE ORGANOS",IF(N48=CURSOS!$D$23,"ATENCION A VICTIMAS POR VIOLENCIA DE GENERO",IF(N48=CURSOS!$D$24,"IGUALDAD DE GENERO EN LA SALUD",IF(N48=CURSOS!$D$25,"BRIGADA DE EMERGENCIA",IF(N48=CURSOS!$D$26,"MANEJO DEL DOLOR Y CUIDADOS PALIATIVOS",IF(N48=CURSOS!$D$27,"TOMA MUESTRAS Y LABORATORIO POCT",IF(N48=CURSOS!$D$28,"IMPLANTE SUBDERMICO Y DISPOSITIVO INTRAUTERINO",IF(N48=CURSOS!$D$29,"SALUD MENTAL",IF(N48=CURSOS!$D$30,"PRIMEROS AUXILIOS PSICOLOGICOS",IF(N48=CURSOS!$D$31,"ATENCION A VICTIMAS POR CONFLICTO ARMADO",IF(N48=CURSOS!$D$32,"MANIPULACION DE ALIMENTOS Y BPM"))))))))))))))))))))))))))))))</f>
        <v>ACOMPAÑAMIENTO Y MANEJO DEL DUELO</v>
      </c>
      <c r="U48" s="82" t="str">
        <f t="shared" si="9"/>
        <v>María Cristina Calvache Romero</v>
      </c>
      <c r="V48" s="82" t="str">
        <f t="shared" si="10"/>
        <v>María Cristina Calvache Romero</v>
      </c>
      <c r="W48" s="82" t="str">
        <f t="shared" si="11"/>
        <v>María Cristina Calvache Romero-59836213-DUELO</v>
      </c>
    </row>
    <row r="49" spans="1:23" s="67" customFormat="1" x14ac:dyDescent="0.2">
      <c r="A49" s="61">
        <v>48</v>
      </c>
      <c r="B49" s="61">
        <v>1085279898</v>
      </c>
      <c r="C49" s="61" t="s">
        <v>239</v>
      </c>
      <c r="D49" s="61" t="s">
        <v>125</v>
      </c>
      <c r="E49" s="61" t="s">
        <v>266</v>
      </c>
      <c r="F49" s="61" t="s">
        <v>267</v>
      </c>
      <c r="G49" s="62">
        <v>9</v>
      </c>
      <c r="H49" s="62" t="s">
        <v>93</v>
      </c>
      <c r="I49" s="63"/>
      <c r="J49" s="64">
        <v>28000</v>
      </c>
      <c r="K49" s="62"/>
      <c r="L49" s="63" t="s">
        <v>84</v>
      </c>
      <c r="M49" s="62" t="s">
        <v>75</v>
      </c>
      <c r="N49" s="65" t="s">
        <v>46</v>
      </c>
      <c r="O49" s="66">
        <v>32945</v>
      </c>
      <c r="P49" s="61" t="s">
        <v>100</v>
      </c>
      <c r="Q49" s="61" t="s">
        <v>268</v>
      </c>
      <c r="R49" s="61">
        <v>3025927999</v>
      </c>
      <c r="S49" s="61" t="s">
        <v>269</v>
      </c>
      <c r="T49" s="81" t="str">
        <f>IF(N49=CURSOS!$D$3,"DIPLOMADO EN ATENCION PRE-HOSPITALARIA",IF(N49=CURSOS!$D$4,"ACOMPAÑAMIENTO Y MANEJO DEL DUELO",IF(N49=CURSOS!$D$5,"ATENCION A VICTIMAS DE ATAQUE CON AGENTES QUIMICOS ",IF(N49=CURSOS!$D$6,"PRIMEROS AUXILIOS ",IF(N49=CURSOS!$D$7,"DIPLOMADO DE UNIDAD DE CUIDADOS INTENSIVOS (UCI)",IF(N49=CURSOS!$D$8,"MODELO DE ATENCION PARA EVENTOS EMERGENTES EN SALUD MENTAL (CODIGO VERDE)",IF(N49=CURSOS!$D$9,"HUMANIZACION EN SALUD, BUENAS PRACTICAS EN PACIENTE ",IF(N49=CURSOS!$D$10,"CLINICA DE HERIDAS ",IF(N49=CURSOS!$D$11,"TOMA DE CITOLOGIA A CERVICO VAGINAL ",IF(N49=CURSOS!$D$12,"SOPORTE CARDIOVASCULAR AVANZADO ",IF(N49=CURSOS!$D$13,"CAMILLERO ",IF(N49=CURSOS!$D$14,"TOMA MUESTRAS Y LABORATORIO ",IF(N49=CURSOS!$D$15,"SOPORTE VITAL BASICO (BLS)",IF(N49=CURSOS!$D$16,"ATENCION A VICTIMAS DE VIOLENCIA SEXUAL ",IF(N49=CURSOS!$D$17,"PROGRAMADO AMPLIADO DE INMUNIZACION (PAI - COVID 19)",IF(N49=CURSOS!$D$18,"ATENCION INTEGRAL EN ENFERMEDADES PREVALENTES EN PRIMERA INFANCIA (AIEPI)",IF(N49=CURSOS!$D$19,"ADMINISTRACION DE MEDICAMENTOS, IYECTOLOGIA  Y CANALIZACION ",IF(N49=CURSOS!$D$20,"OPERADOR DE VEHICULOS DE EMERGENCIA (OVE)",IF(N49=CURSOS!$D$21,"INSTITUCIONES AMIGAS DE LA MUJER Y LA INFANCIA (IAMI)",IF(N49=CURSOS!$D$22,"CUIDADO DEL DONANTE DE ORGANOS",IF(N49=CURSOS!$D$23,"ATENCION A VICTIMAS POR VIOLENCIA DE GENERO",IF(N49=CURSOS!$D$24,"IGUALDAD DE GENERO EN LA SALUD",IF(N49=CURSOS!$D$25,"BRIGADA DE EMERGENCIA",IF(N49=CURSOS!$D$26,"MANEJO DEL DOLOR Y CUIDADOS PALIATIVOS",IF(N49=CURSOS!$D$27,"TOMA MUESTRAS Y LABORATORIO POCT",IF(N49=CURSOS!$D$28,"IMPLANTE SUBDERMICO Y DISPOSITIVO INTRAUTERINO",IF(N49=CURSOS!$D$29,"SALUD MENTAL",IF(N49=CURSOS!$D$30,"PRIMEROS AUXILIOS PSICOLOGICOS",IF(N49=CURSOS!$D$31,"ATENCION A VICTIMAS POR CONFLICTO ARMADO",IF(N49=CURSOS!$D$32,"MANIPULACION DE ALIMENTOS Y BPM"))))))))))))))))))))))))))))))</f>
        <v xml:space="preserve">ATENCION A VICTIMAS DE VIOLENCIA SEXUAL </v>
      </c>
      <c r="U49" s="81" t="str">
        <f t="shared" si="9"/>
        <v>Ángela Patricia Estrada Lopez</v>
      </c>
      <c r="V49" s="81" t="str">
        <f t="shared" si="10"/>
        <v>Ángela Patricia Estrada Lopez</v>
      </c>
      <c r="W49" s="81" t="str">
        <f t="shared" si="11"/>
        <v>Ángela Patricia Estrada Lopez-1085279898-VIOLENCIA SEXUAL</v>
      </c>
    </row>
    <row r="50" spans="1:23" s="50" customFormat="1" x14ac:dyDescent="0.2">
      <c r="A50" s="48">
        <v>49</v>
      </c>
      <c r="B50" s="48">
        <v>1085333014</v>
      </c>
      <c r="C50" s="48" t="s">
        <v>253</v>
      </c>
      <c r="D50" s="48" t="s">
        <v>112</v>
      </c>
      <c r="E50" s="48" t="s">
        <v>270</v>
      </c>
      <c r="F50" s="48" t="s">
        <v>271</v>
      </c>
      <c r="G50" s="26">
        <v>9</v>
      </c>
      <c r="H50" s="26" t="s">
        <v>93</v>
      </c>
      <c r="I50" s="28">
        <v>45421</v>
      </c>
      <c r="J50" s="58">
        <v>28000</v>
      </c>
      <c r="K50" s="26" t="s">
        <v>124</v>
      </c>
      <c r="L50" s="28" t="s">
        <v>84</v>
      </c>
      <c r="M50" s="26" t="s">
        <v>75</v>
      </c>
      <c r="N50" s="27" t="s">
        <v>46</v>
      </c>
      <c r="O50" s="49">
        <v>35401</v>
      </c>
      <c r="P50" s="48" t="s">
        <v>100</v>
      </c>
      <c r="Q50" s="48" t="s">
        <v>106</v>
      </c>
      <c r="R50" s="48">
        <v>3103858736</v>
      </c>
      <c r="S50" s="48" t="s">
        <v>272</v>
      </c>
      <c r="T50" s="82" t="str">
        <f>IF(N50=CURSOS!$D$3,"DIPLOMADO EN ATENCION PRE-HOSPITALARIA",IF(N50=CURSOS!$D$4,"ACOMPAÑAMIENTO Y MANEJO DEL DUELO",IF(N50=CURSOS!$D$5,"ATENCION A VICTIMAS DE ATAQUE CON AGENTES QUIMICOS ",IF(N50=CURSOS!$D$6,"PRIMEROS AUXILIOS ",IF(N50=CURSOS!$D$7,"DIPLOMADO DE UNIDAD DE CUIDADOS INTENSIVOS (UCI)",IF(N50=CURSOS!$D$8,"MODELO DE ATENCION PARA EVENTOS EMERGENTES EN SALUD MENTAL (CODIGO VERDE)",IF(N50=CURSOS!$D$9,"HUMANIZACION EN SALUD, BUENAS PRACTICAS EN PACIENTE ",IF(N50=CURSOS!$D$10,"CLINICA DE HERIDAS ",IF(N50=CURSOS!$D$11,"TOMA DE CITOLOGIA A CERVICO VAGINAL ",IF(N50=CURSOS!$D$12,"SOPORTE CARDIOVASCULAR AVANZADO ",IF(N50=CURSOS!$D$13,"CAMILLERO ",IF(N50=CURSOS!$D$14,"TOMA MUESTRAS Y LABORATORIO ",IF(N50=CURSOS!$D$15,"SOPORTE VITAL BASICO (BLS)",IF(N50=CURSOS!$D$16,"ATENCION A VICTIMAS DE VIOLENCIA SEXUAL ",IF(N50=CURSOS!$D$17,"PROGRAMADO AMPLIADO DE INMUNIZACION (PAI - COVID 19)",IF(N50=CURSOS!$D$18,"ATENCION INTEGRAL EN ENFERMEDADES PREVALENTES EN PRIMERA INFANCIA (AIEPI)",IF(N50=CURSOS!$D$19,"ADMINISTRACION DE MEDICAMENTOS, IYECTOLOGIA  Y CANALIZACION ",IF(N50=CURSOS!$D$20,"OPERADOR DE VEHICULOS DE EMERGENCIA (OVE)",IF(N50=CURSOS!$D$21,"INSTITUCIONES AMIGAS DE LA MUJER Y LA INFANCIA (IAMI)",IF(N50=CURSOS!$D$22,"CUIDADO DEL DONANTE DE ORGANOS",IF(N50=CURSOS!$D$23,"ATENCION A VICTIMAS POR VIOLENCIA DE GENERO",IF(N50=CURSOS!$D$24,"IGUALDAD DE GENERO EN LA SALUD",IF(N50=CURSOS!$D$25,"BRIGADA DE EMERGENCIA",IF(N50=CURSOS!$D$26,"MANEJO DEL DOLOR Y CUIDADOS PALIATIVOS",IF(N50=CURSOS!$D$27,"TOMA MUESTRAS Y LABORATORIO POCT",IF(N50=CURSOS!$D$28,"IMPLANTE SUBDERMICO Y DISPOSITIVO INTRAUTERINO",IF(N50=CURSOS!$D$29,"SALUD MENTAL",IF(N50=CURSOS!$D$30,"PRIMEROS AUXILIOS PSICOLOGICOS",IF(N50=CURSOS!$D$31,"ATENCION A VICTIMAS POR CONFLICTO ARMADO",IF(N50=CURSOS!$D$32,"MANIPULACION DE ALIMENTOS Y BPM"))))))))))))))))))))))))))))))</f>
        <v xml:space="preserve">ATENCION A VICTIMAS DE VIOLENCIA SEXUAL </v>
      </c>
      <c r="U50" s="82" t="str">
        <f t="shared" si="9"/>
        <v>Angie Gabriela Paz Zambrano</v>
      </c>
      <c r="V50" s="82" t="str">
        <f t="shared" si="10"/>
        <v>Angie Gabriela Paz Zambrano</v>
      </c>
      <c r="W50" s="82" t="str">
        <f t="shared" si="11"/>
        <v>Angie Gabriela Paz Zambrano-1085333014-VIOLENCIA SEXUAL</v>
      </c>
    </row>
    <row r="51" spans="1:23" s="46" customFormat="1" x14ac:dyDescent="0.2">
      <c r="A51" s="31">
        <v>50</v>
      </c>
      <c r="B51" s="31">
        <v>1123307200</v>
      </c>
      <c r="C51" s="31" t="s">
        <v>273</v>
      </c>
      <c r="D51" s="31" t="s">
        <v>274</v>
      </c>
      <c r="E51" s="31" t="s">
        <v>275</v>
      </c>
      <c r="F51" s="31" t="s">
        <v>276</v>
      </c>
      <c r="G51" s="18">
        <v>10</v>
      </c>
      <c r="H51" s="18" t="s">
        <v>93</v>
      </c>
      <c r="I51" s="22">
        <v>45422</v>
      </c>
      <c r="J51" s="57">
        <v>25000</v>
      </c>
      <c r="K51" s="18" t="s">
        <v>124</v>
      </c>
      <c r="L51" s="22" t="s">
        <v>84</v>
      </c>
      <c r="M51" s="18" t="s">
        <v>99</v>
      </c>
      <c r="N51" s="19" t="s">
        <v>19</v>
      </c>
      <c r="O51" s="45">
        <v>34151</v>
      </c>
      <c r="P51" s="31" t="s">
        <v>100</v>
      </c>
      <c r="Q51" s="31" t="s">
        <v>106</v>
      </c>
      <c r="R51" s="31">
        <v>3217135015</v>
      </c>
      <c r="S51" s="31" t="s">
        <v>277</v>
      </c>
      <c r="T51" s="29" t="str">
        <f>IF(N51=CURSOS!$D$3,"DIPLOMADO EN ATENCION PRE-HOSPITALARIA",IF(N51=CURSOS!$D$4,"ACOMPAÑAMIENTO Y MANEJO DEL DUELO",IF(N51=CURSOS!$D$5,"ATENCION A VICTIMAS DE ATAQUE CON AGENTES QUIMICOS ",IF(N51=CURSOS!$D$6,"PRIMEROS AUXILIOS ",IF(N51=CURSOS!$D$7,"DIPLOMADO DE UNIDAD DE CUIDADOS INTENSIVOS (UCI)",IF(N51=CURSOS!$D$8,"MODELO DE ATENCION PARA EVENTOS EMERGENTES EN SALUD MENTAL (CODIGO VERDE)",IF(N51=CURSOS!$D$9,"HUMANIZACION EN SALUD, BUENAS PRACTICAS EN PACIENTE ",IF(N51=CURSOS!$D$10,"CLINICA DE HERIDAS ",IF(N51=CURSOS!$D$11,"TOMA DE CITOLOGIA A CERVICO VAGINAL ",IF(N51=CURSOS!$D$12,"SOPORTE CARDIOVASCULAR AVANZADO ",IF(N51=CURSOS!$D$13,"CAMILLERO ",IF(N51=CURSOS!$D$14,"TOMA MUESTRAS Y LABORATORIO ",IF(N51=CURSOS!$D$15,"SOPORTE VITAL BASICO (BLS)",IF(N51=CURSOS!$D$16,"ATENCION A VICTIMAS DE VIOLENCIA SEXUAL ",IF(N51=CURSOS!$D$17,"PROGRAMADO AMPLIADO DE INMUNIZACION (PAI - COVID 19)",IF(N51=CURSOS!$D$18,"ATENCION INTEGRAL EN ENFERMEDADES PREVALENTES EN PRIMERA INFANCIA (AIEPI)",IF(N51=CURSOS!$D$19,"ADMINISTRACION DE MEDICAMENTOS, IYECTOLOGIA  Y CANALIZACION ",IF(N51=CURSOS!$D$20,"OPERADOR DE VEHICULOS DE EMERGENCIA (OVE)",IF(N51=CURSOS!$D$21,"INSTITUCIONES AMIGAS DE LA MUJER Y LA INFANCIA (IAMI)",IF(N51=CURSOS!$D$22,"CUIDADO DEL DONANTE DE ORGANOS",IF(N51=CURSOS!$D$23,"ATENCION A VICTIMAS POR VIOLENCIA DE GENERO",IF(N51=CURSOS!$D$24,"IGUALDAD DE GENERO EN LA SALUD",IF(N51=CURSOS!$D$25,"BRIGADA DE EMERGENCIA",IF(N51=CURSOS!$D$26,"MANEJO DEL DOLOR Y CUIDADOS PALIATIVOS",IF(N51=CURSOS!$D$27,"TOMA MUESTRAS Y LABORATORIO POCT",IF(N51=CURSOS!$D$28,"IMPLANTE SUBDERMICO Y DISPOSITIVO INTRAUTERINO",IF(N51=CURSOS!$D$29,"SALUD MENTAL",IF(N51=CURSOS!$D$30,"PRIMEROS AUXILIOS PSICOLOGICOS",IF(N51=CURSOS!$D$31,"ATENCION A VICTIMAS POR CONFLICTO ARMADO",IF(N51=CURSOS!$D$32,"MANIPULACION DE ALIMENTOS Y BPM"))))))))))))))))))))))))))))))</f>
        <v>SOPORTE VITAL BASICO (BLS)</v>
      </c>
      <c r="U51" s="29" t="str">
        <f t="shared" si="9"/>
        <v>Duidian Irledy Gaviria Quiroz</v>
      </c>
      <c r="V51" s="29" t="str">
        <f t="shared" si="10"/>
        <v>Duidian Irledy Gaviria Quiroz</v>
      </c>
      <c r="W51" s="29" t="str">
        <f t="shared" si="11"/>
        <v>Duidian Irledy Gaviria Quiroz-1123307200-BLS</v>
      </c>
    </row>
    <row r="52" spans="1:23" s="46" customFormat="1" x14ac:dyDescent="0.2">
      <c r="A52" s="31">
        <v>51</v>
      </c>
      <c r="B52" s="31">
        <v>1123307200</v>
      </c>
      <c r="C52" s="31" t="s">
        <v>273</v>
      </c>
      <c r="D52" s="31" t="s">
        <v>274</v>
      </c>
      <c r="E52" s="31" t="s">
        <v>275</v>
      </c>
      <c r="F52" s="31" t="s">
        <v>276</v>
      </c>
      <c r="G52" s="18">
        <v>10</v>
      </c>
      <c r="H52" s="18" t="s">
        <v>93</v>
      </c>
      <c r="I52" s="22">
        <v>45422</v>
      </c>
      <c r="J52" s="57">
        <v>25000</v>
      </c>
      <c r="K52" s="18" t="s">
        <v>124</v>
      </c>
      <c r="L52" s="22" t="s">
        <v>84</v>
      </c>
      <c r="M52" s="18" t="s">
        <v>99</v>
      </c>
      <c r="N52" s="19" t="s">
        <v>46</v>
      </c>
      <c r="O52" s="45">
        <v>34151</v>
      </c>
      <c r="P52" s="31" t="s">
        <v>100</v>
      </c>
      <c r="Q52" s="31" t="s">
        <v>106</v>
      </c>
      <c r="R52" s="31">
        <v>3217135015</v>
      </c>
      <c r="S52" s="31" t="s">
        <v>277</v>
      </c>
      <c r="T52" s="29" t="str">
        <f>IF(N52=CURSOS!$D$3,"DIPLOMADO EN ATENCION PRE-HOSPITALARIA",IF(N52=CURSOS!$D$4,"ACOMPAÑAMIENTO Y MANEJO DEL DUELO",IF(N52=CURSOS!$D$5,"ATENCION A VICTIMAS DE ATAQUE CON AGENTES QUIMICOS ",IF(N52=CURSOS!$D$6,"PRIMEROS AUXILIOS ",IF(N52=CURSOS!$D$7,"DIPLOMADO DE UNIDAD DE CUIDADOS INTENSIVOS (UCI)",IF(N52=CURSOS!$D$8,"MODELO DE ATENCION PARA EVENTOS EMERGENTES EN SALUD MENTAL (CODIGO VERDE)",IF(N52=CURSOS!$D$9,"HUMANIZACION EN SALUD, BUENAS PRACTICAS EN PACIENTE ",IF(N52=CURSOS!$D$10,"CLINICA DE HERIDAS ",IF(N52=CURSOS!$D$11,"TOMA DE CITOLOGIA A CERVICO VAGINAL ",IF(N52=CURSOS!$D$12,"SOPORTE CARDIOVASCULAR AVANZADO ",IF(N52=CURSOS!$D$13,"CAMILLERO ",IF(N52=CURSOS!$D$14,"TOMA MUESTRAS Y LABORATORIO ",IF(N52=CURSOS!$D$15,"SOPORTE VITAL BASICO (BLS)",IF(N52=CURSOS!$D$16,"ATENCION A VICTIMAS DE VIOLENCIA SEXUAL ",IF(N52=CURSOS!$D$17,"PROGRAMADO AMPLIADO DE INMUNIZACION (PAI - COVID 19)",IF(N52=CURSOS!$D$18,"ATENCION INTEGRAL EN ENFERMEDADES PREVALENTES EN PRIMERA INFANCIA (AIEPI)",IF(N52=CURSOS!$D$19,"ADMINISTRACION DE MEDICAMENTOS, IYECTOLOGIA  Y CANALIZACION ",IF(N52=CURSOS!$D$20,"OPERADOR DE VEHICULOS DE EMERGENCIA (OVE)",IF(N52=CURSOS!$D$21,"INSTITUCIONES AMIGAS DE LA MUJER Y LA INFANCIA (IAMI)",IF(N52=CURSOS!$D$22,"CUIDADO DEL DONANTE DE ORGANOS",IF(N52=CURSOS!$D$23,"ATENCION A VICTIMAS POR VIOLENCIA DE GENERO",IF(N52=CURSOS!$D$24,"IGUALDAD DE GENERO EN LA SALUD",IF(N52=CURSOS!$D$25,"BRIGADA DE EMERGENCIA",IF(N52=CURSOS!$D$26,"MANEJO DEL DOLOR Y CUIDADOS PALIATIVOS",IF(N52=CURSOS!$D$27,"TOMA MUESTRAS Y LABORATORIO POCT",IF(N52=CURSOS!$D$28,"IMPLANTE SUBDERMICO Y DISPOSITIVO INTRAUTERINO",IF(N52=CURSOS!$D$29,"SALUD MENTAL",IF(N52=CURSOS!$D$30,"PRIMEROS AUXILIOS PSICOLOGICOS",IF(N52=CURSOS!$D$31,"ATENCION A VICTIMAS POR CONFLICTO ARMADO",IF(N52=CURSOS!$D$32,"MANIPULACION DE ALIMENTOS Y BPM"))))))))))))))))))))))))))))))</f>
        <v xml:space="preserve">ATENCION A VICTIMAS DE VIOLENCIA SEXUAL </v>
      </c>
      <c r="U52" s="29" t="str">
        <f t="shared" si="9"/>
        <v>Duidian Irledy Gaviria Quiroz</v>
      </c>
      <c r="V52" s="29" t="str">
        <f t="shared" si="10"/>
        <v>Duidian Irledy Gaviria Quiroz</v>
      </c>
      <c r="W52" s="29" t="str">
        <f t="shared" si="11"/>
        <v>Duidian Irledy Gaviria Quiroz-1123307200-VIOLENCIA SEXUAL</v>
      </c>
    </row>
    <row r="53" spans="1:23" s="46" customFormat="1" x14ac:dyDescent="0.2">
      <c r="A53" s="31">
        <v>52</v>
      </c>
      <c r="B53" s="31">
        <v>1123307200</v>
      </c>
      <c r="C53" s="31" t="s">
        <v>273</v>
      </c>
      <c r="D53" s="31" t="s">
        <v>274</v>
      </c>
      <c r="E53" s="31" t="s">
        <v>275</v>
      </c>
      <c r="F53" s="31" t="s">
        <v>276</v>
      </c>
      <c r="G53" s="18">
        <v>10</v>
      </c>
      <c r="H53" s="18" t="s">
        <v>93</v>
      </c>
      <c r="I53" s="22">
        <v>45422</v>
      </c>
      <c r="J53" s="57">
        <v>25000</v>
      </c>
      <c r="K53" s="18" t="s">
        <v>124</v>
      </c>
      <c r="L53" s="22" t="s">
        <v>84</v>
      </c>
      <c r="M53" s="18" t="s">
        <v>99</v>
      </c>
      <c r="N53" s="19" t="s">
        <v>25</v>
      </c>
      <c r="O53" s="45">
        <v>34151</v>
      </c>
      <c r="P53" s="31" t="s">
        <v>100</v>
      </c>
      <c r="Q53" s="31" t="s">
        <v>106</v>
      </c>
      <c r="R53" s="31">
        <v>3217135015</v>
      </c>
      <c r="S53" s="31" t="s">
        <v>277</v>
      </c>
      <c r="T53" s="29" t="str">
        <f>IF(N53=CURSOS!$D$3,"DIPLOMADO EN ATENCION PRE-HOSPITALARIA",IF(N53=CURSOS!$D$4,"ACOMPAÑAMIENTO Y MANEJO DEL DUELO",IF(N53=CURSOS!$D$5,"ATENCION A VICTIMAS DE ATAQUE CON AGENTES QUIMICOS ",IF(N53=CURSOS!$D$6,"PRIMEROS AUXILIOS ",IF(N53=CURSOS!$D$7,"DIPLOMADO DE UNIDAD DE CUIDADOS INTENSIVOS (UCI)",IF(N53=CURSOS!$D$8,"MODELO DE ATENCION PARA EVENTOS EMERGENTES EN SALUD MENTAL (CODIGO VERDE)",IF(N53=CURSOS!$D$9,"HUMANIZACION EN SALUD, BUENAS PRACTICAS EN PACIENTE ",IF(N53=CURSOS!$D$10,"CLINICA DE HERIDAS ",IF(N53=CURSOS!$D$11,"TOMA DE CITOLOGIA A CERVICO VAGINAL ",IF(N53=CURSOS!$D$12,"SOPORTE CARDIOVASCULAR AVANZADO ",IF(N53=CURSOS!$D$13,"CAMILLERO ",IF(N53=CURSOS!$D$14,"TOMA MUESTRAS Y LABORATORIO ",IF(N53=CURSOS!$D$15,"SOPORTE VITAL BASICO (BLS)",IF(N53=CURSOS!$D$16,"ATENCION A VICTIMAS DE VIOLENCIA SEXUAL ",IF(N53=CURSOS!$D$17,"PROGRAMADO AMPLIADO DE INMUNIZACION (PAI - COVID 19)",IF(N53=CURSOS!$D$18,"ATENCION INTEGRAL EN ENFERMEDADES PREVALENTES EN PRIMERA INFANCIA (AIEPI)",IF(N53=CURSOS!$D$19,"ADMINISTRACION DE MEDICAMENTOS, IYECTOLOGIA  Y CANALIZACION ",IF(N53=CURSOS!$D$20,"OPERADOR DE VEHICULOS DE EMERGENCIA (OVE)",IF(N53=CURSOS!$D$21,"INSTITUCIONES AMIGAS DE LA MUJER Y LA INFANCIA (IAMI)",IF(N53=CURSOS!$D$22,"CUIDADO DEL DONANTE DE ORGANOS",IF(N53=CURSOS!$D$23,"ATENCION A VICTIMAS POR VIOLENCIA DE GENERO",IF(N53=CURSOS!$D$24,"IGUALDAD DE GENERO EN LA SALUD",IF(N53=CURSOS!$D$25,"BRIGADA DE EMERGENCIA",IF(N53=CURSOS!$D$26,"MANEJO DEL DOLOR Y CUIDADOS PALIATIVOS",IF(N53=CURSOS!$D$27,"TOMA MUESTRAS Y LABORATORIO POCT",IF(N53=CURSOS!$D$28,"IMPLANTE SUBDERMICO Y DISPOSITIVO INTRAUTERINO",IF(N53=CURSOS!$D$29,"SALUD MENTAL",IF(N53=CURSOS!$D$30,"PRIMEROS AUXILIOS PSICOLOGICOS",IF(N53=CURSOS!$D$31,"ATENCION A VICTIMAS POR CONFLICTO ARMADO",IF(N53=CURSOS!$D$32,"MANIPULACION DE ALIMENTOS Y BPM"))))))))))))))))))))))))))))))</f>
        <v xml:space="preserve">ATENCION A VICTIMAS DE ATAQUE CON AGENTES QUIMICOS </v>
      </c>
      <c r="U53" s="29" t="str">
        <f t="shared" si="9"/>
        <v>Duidian Irledy Gaviria Quiroz</v>
      </c>
      <c r="V53" s="29" t="str">
        <f t="shared" si="10"/>
        <v>Duidian Irledy Gaviria Quiroz</v>
      </c>
      <c r="W53" s="29" t="str">
        <f t="shared" si="11"/>
        <v>Duidian Irledy Gaviria Quiroz-1123307200-QUIMICOS</v>
      </c>
    </row>
    <row r="54" spans="1:23" s="46" customFormat="1" x14ac:dyDescent="0.2">
      <c r="A54" s="31">
        <v>53</v>
      </c>
      <c r="B54" s="31">
        <v>59856458</v>
      </c>
      <c r="C54" s="31" t="s">
        <v>278</v>
      </c>
      <c r="D54" s="31" t="s">
        <v>279</v>
      </c>
      <c r="E54" s="31" t="s">
        <v>280</v>
      </c>
      <c r="F54" s="31" t="s">
        <v>281</v>
      </c>
      <c r="G54" s="18">
        <v>10</v>
      </c>
      <c r="H54" s="18" t="s">
        <v>93</v>
      </c>
      <c r="I54" s="22">
        <v>45422</v>
      </c>
      <c r="J54" s="57">
        <v>20000</v>
      </c>
      <c r="K54" s="18" t="s">
        <v>77</v>
      </c>
      <c r="L54" s="18" t="s">
        <v>84</v>
      </c>
      <c r="M54" s="18" t="s">
        <v>282</v>
      </c>
      <c r="N54" s="19" t="s">
        <v>23</v>
      </c>
      <c r="O54" s="45">
        <v>30216</v>
      </c>
      <c r="P54" s="31" t="s">
        <v>100</v>
      </c>
      <c r="Q54" s="31" t="s">
        <v>106</v>
      </c>
      <c r="R54" s="31">
        <v>3206893819</v>
      </c>
      <c r="S54" s="31" t="s">
        <v>298</v>
      </c>
      <c r="T54" s="29" t="str">
        <f>IF(N54=CURSOS!$D$3,"DIPLOMADO EN ATENCION PRE-HOSPITALARIA",IF(N54=CURSOS!$D$4,"ACOMPAÑAMIENTO Y MANEJO DEL DUELO",IF(N54=CURSOS!$D$5,"ATENCION A VICTIMAS DE ATAQUE CON AGENTES QUIMICOS ",IF(N54=CURSOS!$D$6,"PRIMEROS AUXILIOS ",IF(N54=CURSOS!$D$7,"DIPLOMADO DE UNIDAD DE CUIDADOS INTENSIVOS (UCI)",IF(N54=CURSOS!$D$8,"MODELO DE ATENCION PARA EVENTOS EMERGENTES EN SALUD MENTAL (CODIGO VERDE)",IF(N54=CURSOS!$D$9,"HUMANIZACION EN SALUD, BUENAS PRACTICAS EN PACIENTE ",IF(N54=CURSOS!$D$10,"CLINICA DE HERIDAS ",IF(N54=CURSOS!$D$11,"TOMA DE CITOLOGIA A CERVICO VAGINAL ",IF(N54=CURSOS!$D$12,"SOPORTE CARDIOVASCULAR AVANZADO ",IF(N54=CURSOS!$D$13,"CAMILLERO ",IF(N54=CURSOS!$D$14,"TOMA MUESTRAS Y LABORATORIO ",IF(N54=CURSOS!$D$15,"SOPORTE VITAL BASICO (BLS)",IF(N54=CURSOS!$D$16,"ATENCION A VICTIMAS DE VIOLENCIA SEXUAL ",IF(N54=CURSOS!$D$17,"PROGRAMADO AMPLIADO DE INMUNIZACION (PAI - COVID 19)",IF(N54=CURSOS!$D$18,"ATENCION INTEGRAL EN ENFERMEDADES PREVALENTES EN PRIMERA INFANCIA (AIEPI)",IF(N54=CURSOS!$D$19,"ADMINISTRACION DE MEDICAMENTOS, IYECTOLOGIA  Y CANALIZACION ",IF(N54=CURSOS!$D$20,"OPERADOR DE VEHICULOS DE EMERGENCIA (OVE)",IF(N54=CURSOS!$D$21,"INSTITUCIONES AMIGAS DE LA MUJER Y LA INFANCIA (IAMI)",IF(N54=CURSOS!$D$22,"CUIDADO DEL DONANTE DE ORGANOS",IF(N54=CURSOS!$D$23,"ATENCION A VICTIMAS POR VIOLENCIA DE GENERO",IF(N54=CURSOS!$D$24,"IGUALDAD DE GENERO EN LA SALUD",IF(N54=CURSOS!$D$25,"BRIGADA DE EMERGENCIA",IF(N54=CURSOS!$D$26,"MANEJO DEL DOLOR Y CUIDADOS PALIATIVOS",IF(N54=CURSOS!$D$27,"TOMA MUESTRAS Y LABORATORIO POCT",IF(N54=CURSOS!$D$28,"IMPLANTE SUBDERMICO Y DISPOSITIVO INTRAUTERINO",IF(N54=CURSOS!$D$29,"SALUD MENTAL",IF(N54=CURSOS!$D$30,"PRIMEROS AUXILIOS PSICOLOGICOS",IF(N54=CURSOS!$D$31,"ATENCION A VICTIMAS POR CONFLICTO ARMADO",IF(N54=CURSOS!$D$32,"MANIPULACION DE ALIMENTOS Y BPM"))))))))))))))))))))))))))))))</f>
        <v>ACOMPAÑAMIENTO Y MANEJO DEL DUELO</v>
      </c>
      <c r="U54" s="29" t="str">
        <f t="shared" si="9"/>
        <v>Claudia Del carmen Muñoz Criollo</v>
      </c>
      <c r="V54" s="29" t="str">
        <f t="shared" si="10"/>
        <v>Claudia Del Carmen Muñoz Criollo</v>
      </c>
      <c r="W54" s="29" t="str">
        <f t="shared" si="11"/>
        <v>Claudia Del carmen Muñoz Criollo-59856458-DUELO</v>
      </c>
    </row>
    <row r="55" spans="1:23" s="46" customFormat="1" x14ac:dyDescent="0.2">
      <c r="A55" s="31">
        <v>54</v>
      </c>
      <c r="B55" s="31">
        <v>59856458</v>
      </c>
      <c r="C55" s="31" t="s">
        <v>278</v>
      </c>
      <c r="D55" s="31" t="s">
        <v>279</v>
      </c>
      <c r="E55" s="31" t="s">
        <v>280</v>
      </c>
      <c r="F55" s="31" t="s">
        <v>281</v>
      </c>
      <c r="G55" s="18">
        <v>10</v>
      </c>
      <c r="H55" s="18" t="s">
        <v>93</v>
      </c>
      <c r="I55" s="22">
        <v>45422</v>
      </c>
      <c r="J55" s="57">
        <v>20000</v>
      </c>
      <c r="K55" s="18" t="s">
        <v>77</v>
      </c>
      <c r="L55" s="18" t="s">
        <v>84</v>
      </c>
      <c r="M55" s="18" t="s">
        <v>282</v>
      </c>
      <c r="N55" s="19" t="s">
        <v>25</v>
      </c>
      <c r="O55" s="45">
        <v>30216</v>
      </c>
      <c r="P55" s="31" t="s">
        <v>100</v>
      </c>
      <c r="Q55" s="31" t="s">
        <v>106</v>
      </c>
      <c r="R55" s="31">
        <v>3206893819</v>
      </c>
      <c r="S55" s="31" t="s">
        <v>298</v>
      </c>
      <c r="T55" s="29" t="str">
        <f>IF(N55=CURSOS!$D$3,"DIPLOMADO EN ATENCION PRE-HOSPITALARIA",IF(N55=CURSOS!$D$4,"ACOMPAÑAMIENTO Y MANEJO DEL DUELO",IF(N55=CURSOS!$D$5,"ATENCION A VICTIMAS DE ATAQUE CON AGENTES QUIMICOS ",IF(N55=CURSOS!$D$6,"PRIMEROS AUXILIOS ",IF(N55=CURSOS!$D$7,"DIPLOMADO DE UNIDAD DE CUIDADOS INTENSIVOS (UCI)",IF(N55=CURSOS!$D$8,"MODELO DE ATENCION PARA EVENTOS EMERGENTES EN SALUD MENTAL (CODIGO VERDE)",IF(N55=CURSOS!$D$9,"HUMANIZACION EN SALUD, BUENAS PRACTICAS EN PACIENTE ",IF(N55=CURSOS!$D$10,"CLINICA DE HERIDAS ",IF(N55=CURSOS!$D$11,"TOMA DE CITOLOGIA A CERVICO VAGINAL ",IF(N55=CURSOS!$D$12,"SOPORTE CARDIOVASCULAR AVANZADO ",IF(N55=CURSOS!$D$13,"CAMILLERO ",IF(N55=CURSOS!$D$14,"TOMA MUESTRAS Y LABORATORIO ",IF(N55=CURSOS!$D$15,"SOPORTE VITAL BASICO (BLS)",IF(N55=CURSOS!$D$16,"ATENCION A VICTIMAS DE VIOLENCIA SEXUAL ",IF(N55=CURSOS!$D$17,"PROGRAMADO AMPLIADO DE INMUNIZACION (PAI - COVID 19)",IF(N55=CURSOS!$D$18,"ATENCION INTEGRAL EN ENFERMEDADES PREVALENTES EN PRIMERA INFANCIA (AIEPI)",IF(N55=CURSOS!$D$19,"ADMINISTRACION DE MEDICAMENTOS, IYECTOLOGIA  Y CANALIZACION ",IF(N55=CURSOS!$D$20,"OPERADOR DE VEHICULOS DE EMERGENCIA (OVE)",IF(N55=CURSOS!$D$21,"INSTITUCIONES AMIGAS DE LA MUJER Y LA INFANCIA (IAMI)",IF(N55=CURSOS!$D$22,"CUIDADO DEL DONANTE DE ORGANOS",IF(N55=CURSOS!$D$23,"ATENCION A VICTIMAS POR VIOLENCIA DE GENERO",IF(N55=CURSOS!$D$24,"IGUALDAD DE GENERO EN LA SALUD",IF(N55=CURSOS!$D$25,"BRIGADA DE EMERGENCIA",IF(N55=CURSOS!$D$26,"MANEJO DEL DOLOR Y CUIDADOS PALIATIVOS",IF(N55=CURSOS!$D$27,"TOMA MUESTRAS Y LABORATORIO POCT",IF(N55=CURSOS!$D$28,"IMPLANTE SUBDERMICO Y DISPOSITIVO INTRAUTERINO",IF(N55=CURSOS!$D$29,"SALUD MENTAL",IF(N55=CURSOS!$D$30,"PRIMEROS AUXILIOS PSICOLOGICOS",IF(N55=CURSOS!$D$31,"ATENCION A VICTIMAS POR CONFLICTO ARMADO",IF(N55=CURSOS!$D$32,"MANIPULACION DE ALIMENTOS Y BPM"))))))))))))))))))))))))))))))</f>
        <v xml:space="preserve">ATENCION A VICTIMAS DE ATAQUE CON AGENTES QUIMICOS </v>
      </c>
      <c r="U55" s="29" t="str">
        <f t="shared" si="9"/>
        <v>Claudia Del carmen Muñoz Criollo</v>
      </c>
      <c r="V55" s="29" t="str">
        <f t="shared" si="10"/>
        <v>Claudia Del Carmen Muñoz Criollo</v>
      </c>
      <c r="W55" s="29" t="str">
        <f t="shared" si="11"/>
        <v>Claudia Del carmen Muñoz Criollo-59856458-QUIMICOS</v>
      </c>
    </row>
    <row r="56" spans="1:23" s="46" customFormat="1" x14ac:dyDescent="0.2">
      <c r="A56" s="31">
        <v>55</v>
      </c>
      <c r="B56" s="31">
        <v>59856458</v>
      </c>
      <c r="C56" s="31" t="s">
        <v>278</v>
      </c>
      <c r="D56" s="31" t="s">
        <v>279</v>
      </c>
      <c r="E56" s="31" t="s">
        <v>280</v>
      </c>
      <c r="F56" s="31" t="s">
        <v>281</v>
      </c>
      <c r="G56" s="18">
        <v>10</v>
      </c>
      <c r="H56" s="18" t="s">
        <v>93</v>
      </c>
      <c r="I56" s="22">
        <v>45422</v>
      </c>
      <c r="J56" s="57">
        <v>20000</v>
      </c>
      <c r="K56" s="18" t="s">
        <v>77</v>
      </c>
      <c r="L56" s="18" t="s">
        <v>84</v>
      </c>
      <c r="M56" s="18" t="s">
        <v>282</v>
      </c>
      <c r="N56" s="19" t="s">
        <v>46</v>
      </c>
      <c r="O56" s="45">
        <v>30216</v>
      </c>
      <c r="P56" s="31" t="s">
        <v>100</v>
      </c>
      <c r="Q56" s="31" t="s">
        <v>106</v>
      </c>
      <c r="R56" s="31">
        <v>3206893819</v>
      </c>
      <c r="S56" s="31" t="s">
        <v>298</v>
      </c>
      <c r="T56" s="29" t="str">
        <f>IF(N56=CURSOS!$D$3,"DIPLOMADO EN ATENCION PRE-HOSPITALARIA",IF(N56=CURSOS!$D$4,"ACOMPAÑAMIENTO Y MANEJO DEL DUELO",IF(N56=CURSOS!$D$5,"ATENCION A VICTIMAS DE ATAQUE CON AGENTES QUIMICOS ",IF(N56=CURSOS!$D$6,"PRIMEROS AUXILIOS ",IF(N56=CURSOS!$D$7,"DIPLOMADO DE UNIDAD DE CUIDADOS INTENSIVOS (UCI)",IF(N56=CURSOS!$D$8,"MODELO DE ATENCION PARA EVENTOS EMERGENTES EN SALUD MENTAL (CODIGO VERDE)",IF(N56=CURSOS!$D$9,"HUMANIZACION EN SALUD, BUENAS PRACTICAS EN PACIENTE ",IF(N56=CURSOS!$D$10,"CLINICA DE HERIDAS ",IF(N56=CURSOS!$D$11,"TOMA DE CITOLOGIA A CERVICO VAGINAL ",IF(N56=CURSOS!$D$12,"SOPORTE CARDIOVASCULAR AVANZADO ",IF(N56=CURSOS!$D$13,"CAMILLERO ",IF(N56=CURSOS!$D$14,"TOMA MUESTRAS Y LABORATORIO ",IF(N56=CURSOS!$D$15,"SOPORTE VITAL BASICO (BLS)",IF(N56=CURSOS!$D$16,"ATENCION A VICTIMAS DE VIOLENCIA SEXUAL ",IF(N56=CURSOS!$D$17,"PROGRAMADO AMPLIADO DE INMUNIZACION (PAI - COVID 19)",IF(N56=CURSOS!$D$18,"ATENCION INTEGRAL EN ENFERMEDADES PREVALENTES EN PRIMERA INFANCIA (AIEPI)",IF(N56=CURSOS!$D$19,"ADMINISTRACION DE MEDICAMENTOS, IYECTOLOGIA  Y CANALIZACION ",IF(N56=CURSOS!$D$20,"OPERADOR DE VEHICULOS DE EMERGENCIA (OVE)",IF(N56=CURSOS!$D$21,"INSTITUCIONES AMIGAS DE LA MUJER Y LA INFANCIA (IAMI)",IF(N56=CURSOS!$D$22,"CUIDADO DEL DONANTE DE ORGANOS",IF(N56=CURSOS!$D$23,"ATENCION A VICTIMAS POR VIOLENCIA DE GENERO",IF(N56=CURSOS!$D$24,"IGUALDAD DE GENERO EN LA SALUD",IF(N56=CURSOS!$D$25,"BRIGADA DE EMERGENCIA",IF(N56=CURSOS!$D$26,"MANEJO DEL DOLOR Y CUIDADOS PALIATIVOS",IF(N56=CURSOS!$D$27,"TOMA MUESTRAS Y LABORATORIO POCT",IF(N56=CURSOS!$D$28,"IMPLANTE SUBDERMICO Y DISPOSITIVO INTRAUTERINO",IF(N56=CURSOS!$D$29,"SALUD MENTAL",IF(N56=CURSOS!$D$30,"PRIMEROS AUXILIOS PSICOLOGICOS",IF(N56=CURSOS!$D$31,"ATENCION A VICTIMAS POR CONFLICTO ARMADO",IF(N56=CURSOS!$D$32,"MANIPULACION DE ALIMENTOS Y BPM"))))))))))))))))))))))))))))))</f>
        <v xml:space="preserve">ATENCION A VICTIMAS DE VIOLENCIA SEXUAL </v>
      </c>
      <c r="U56" s="29" t="str">
        <f t="shared" si="9"/>
        <v>Claudia Del carmen Muñoz Criollo</v>
      </c>
      <c r="V56" s="29" t="str">
        <f t="shared" si="10"/>
        <v>Claudia Del Carmen Muñoz Criollo</v>
      </c>
      <c r="W56" s="29" t="str">
        <f t="shared" si="11"/>
        <v>Claudia Del carmen Muñoz Criollo-59856458-VIOLENCIA SEXUAL</v>
      </c>
    </row>
    <row r="57" spans="1:23" s="46" customFormat="1" x14ac:dyDescent="0.2">
      <c r="A57" s="31">
        <v>56</v>
      </c>
      <c r="B57" s="31">
        <v>59856458</v>
      </c>
      <c r="C57" s="31" t="s">
        <v>278</v>
      </c>
      <c r="D57" s="31" t="s">
        <v>279</v>
      </c>
      <c r="E57" s="31" t="s">
        <v>280</v>
      </c>
      <c r="F57" s="31" t="s">
        <v>281</v>
      </c>
      <c r="G57" s="18">
        <v>10</v>
      </c>
      <c r="H57" s="18" t="s">
        <v>93</v>
      </c>
      <c r="I57" s="22">
        <v>45422</v>
      </c>
      <c r="J57" s="57">
        <v>20000</v>
      </c>
      <c r="K57" s="18" t="s">
        <v>77</v>
      </c>
      <c r="L57" s="18" t="s">
        <v>84</v>
      </c>
      <c r="M57" s="18" t="s">
        <v>282</v>
      </c>
      <c r="N57" s="19" t="s">
        <v>19</v>
      </c>
      <c r="O57" s="45">
        <v>30216</v>
      </c>
      <c r="P57" s="31" t="s">
        <v>100</v>
      </c>
      <c r="Q57" s="31" t="s">
        <v>106</v>
      </c>
      <c r="R57" s="31">
        <v>3206893819</v>
      </c>
      <c r="S57" s="31" t="s">
        <v>298</v>
      </c>
      <c r="T57" s="29" t="str">
        <f>IF(N57=CURSOS!$D$3,"DIPLOMADO EN ATENCION PRE-HOSPITALARIA",IF(N57=CURSOS!$D$4,"ACOMPAÑAMIENTO Y MANEJO DEL DUELO",IF(N57=CURSOS!$D$5,"ATENCION A VICTIMAS DE ATAQUE CON AGENTES QUIMICOS ",IF(N57=CURSOS!$D$6,"PRIMEROS AUXILIOS ",IF(N57=CURSOS!$D$7,"DIPLOMADO DE UNIDAD DE CUIDADOS INTENSIVOS (UCI)",IF(N57=CURSOS!$D$8,"MODELO DE ATENCION PARA EVENTOS EMERGENTES EN SALUD MENTAL (CODIGO VERDE)",IF(N57=CURSOS!$D$9,"HUMANIZACION EN SALUD, BUENAS PRACTICAS EN PACIENTE ",IF(N57=CURSOS!$D$10,"CLINICA DE HERIDAS ",IF(N57=CURSOS!$D$11,"TOMA DE CITOLOGIA A CERVICO VAGINAL ",IF(N57=CURSOS!$D$12,"SOPORTE CARDIOVASCULAR AVANZADO ",IF(N57=CURSOS!$D$13,"CAMILLERO ",IF(N57=CURSOS!$D$14,"TOMA MUESTRAS Y LABORATORIO ",IF(N57=CURSOS!$D$15,"SOPORTE VITAL BASICO (BLS)",IF(N57=CURSOS!$D$16,"ATENCION A VICTIMAS DE VIOLENCIA SEXUAL ",IF(N57=CURSOS!$D$17,"PROGRAMADO AMPLIADO DE INMUNIZACION (PAI - COVID 19)",IF(N57=CURSOS!$D$18,"ATENCION INTEGRAL EN ENFERMEDADES PREVALENTES EN PRIMERA INFANCIA (AIEPI)",IF(N57=CURSOS!$D$19,"ADMINISTRACION DE MEDICAMENTOS, IYECTOLOGIA  Y CANALIZACION ",IF(N57=CURSOS!$D$20,"OPERADOR DE VEHICULOS DE EMERGENCIA (OVE)",IF(N57=CURSOS!$D$21,"INSTITUCIONES AMIGAS DE LA MUJER Y LA INFANCIA (IAMI)",IF(N57=CURSOS!$D$22,"CUIDADO DEL DONANTE DE ORGANOS",IF(N57=CURSOS!$D$23,"ATENCION A VICTIMAS POR VIOLENCIA DE GENERO",IF(N57=CURSOS!$D$24,"IGUALDAD DE GENERO EN LA SALUD",IF(N57=CURSOS!$D$25,"BRIGADA DE EMERGENCIA",IF(N57=CURSOS!$D$26,"MANEJO DEL DOLOR Y CUIDADOS PALIATIVOS",IF(N57=CURSOS!$D$27,"TOMA MUESTRAS Y LABORATORIO POCT",IF(N57=CURSOS!$D$28,"IMPLANTE SUBDERMICO Y DISPOSITIVO INTRAUTERINO",IF(N57=CURSOS!$D$29,"SALUD MENTAL",IF(N57=CURSOS!$D$30,"PRIMEROS AUXILIOS PSICOLOGICOS",IF(N57=CURSOS!$D$31,"ATENCION A VICTIMAS POR CONFLICTO ARMADO",IF(N57=CURSOS!$D$32,"MANIPULACION DE ALIMENTOS Y BPM"))))))))))))))))))))))))))))))</f>
        <v>SOPORTE VITAL BASICO (BLS)</v>
      </c>
      <c r="U57" s="29" t="str">
        <f t="shared" si="9"/>
        <v>Claudia Del carmen Muñoz Criollo</v>
      </c>
      <c r="V57" s="29" t="str">
        <f t="shared" si="10"/>
        <v>Claudia Del Carmen Muñoz Criollo</v>
      </c>
      <c r="W57" s="29" t="str">
        <f t="shared" si="11"/>
        <v>Claudia Del carmen Muñoz Criollo-59856458-BLS</v>
      </c>
    </row>
    <row r="58" spans="1:23" s="46" customFormat="1" x14ac:dyDescent="0.2">
      <c r="A58" s="31">
        <v>57</v>
      </c>
      <c r="B58" s="31">
        <v>59856458</v>
      </c>
      <c r="C58" s="31" t="s">
        <v>278</v>
      </c>
      <c r="D58" s="31" t="s">
        <v>279</v>
      </c>
      <c r="E58" s="31" t="s">
        <v>280</v>
      </c>
      <c r="F58" s="31" t="s">
        <v>281</v>
      </c>
      <c r="G58" s="18">
        <v>10</v>
      </c>
      <c r="H58" s="18" t="s">
        <v>93</v>
      </c>
      <c r="I58" s="22">
        <v>45422</v>
      </c>
      <c r="J58" s="57">
        <v>20000</v>
      </c>
      <c r="K58" s="18" t="s">
        <v>77</v>
      </c>
      <c r="L58" s="18" t="s">
        <v>84</v>
      </c>
      <c r="M58" s="18" t="s">
        <v>282</v>
      </c>
      <c r="N58" s="19" t="s">
        <v>27</v>
      </c>
      <c r="O58" s="45">
        <v>30216</v>
      </c>
      <c r="P58" s="31" t="s">
        <v>100</v>
      </c>
      <c r="Q58" s="31" t="s">
        <v>106</v>
      </c>
      <c r="R58" s="31">
        <v>3206893819</v>
      </c>
      <c r="S58" s="31" t="s">
        <v>298</v>
      </c>
      <c r="T58" s="29" t="str">
        <f>IF(N58=CURSOS!$D$3,"DIPLOMADO EN ATENCION PRE-HOSPITALARIA",IF(N58=CURSOS!$D$4,"ACOMPAÑAMIENTO Y MANEJO DEL DUELO",IF(N58=CURSOS!$D$5,"ATENCION A VICTIMAS DE ATAQUE CON AGENTES QUIMICOS ",IF(N58=CURSOS!$D$6,"PRIMEROS AUXILIOS ",IF(N58=CURSOS!$D$7,"DIPLOMADO DE UNIDAD DE CUIDADOS INTENSIVOS (UCI)",IF(N58=CURSOS!$D$8,"MODELO DE ATENCION PARA EVENTOS EMERGENTES EN SALUD MENTAL (CODIGO VERDE)",IF(N58=CURSOS!$D$9,"HUMANIZACION EN SALUD, BUENAS PRACTICAS EN PACIENTE ",IF(N58=CURSOS!$D$10,"CLINICA DE HERIDAS ",IF(N58=CURSOS!$D$11,"TOMA DE CITOLOGIA A CERVICO VAGINAL ",IF(N58=CURSOS!$D$12,"SOPORTE CARDIOVASCULAR AVANZADO ",IF(N58=CURSOS!$D$13,"CAMILLERO ",IF(N58=CURSOS!$D$14,"TOMA MUESTRAS Y LABORATORIO ",IF(N58=CURSOS!$D$15,"SOPORTE VITAL BASICO (BLS)",IF(N58=CURSOS!$D$16,"ATENCION A VICTIMAS DE VIOLENCIA SEXUAL ",IF(N58=CURSOS!$D$17,"PROGRAMADO AMPLIADO DE INMUNIZACION (PAI - COVID 19)",IF(N58=CURSOS!$D$18,"ATENCION INTEGRAL EN ENFERMEDADES PREVALENTES EN PRIMERA INFANCIA (AIEPI)",IF(N58=CURSOS!$D$19,"ADMINISTRACION DE MEDICAMENTOS, IYECTOLOGIA  Y CANALIZACION ",IF(N58=CURSOS!$D$20,"OPERADOR DE VEHICULOS DE EMERGENCIA (OVE)",IF(N58=CURSOS!$D$21,"INSTITUCIONES AMIGAS DE LA MUJER Y LA INFANCIA (IAMI)",IF(N58=CURSOS!$D$22,"CUIDADO DEL DONANTE DE ORGANOS",IF(N58=CURSOS!$D$23,"ATENCION A VICTIMAS POR VIOLENCIA DE GENERO",IF(N58=CURSOS!$D$24,"IGUALDAD DE GENERO EN LA SALUD",IF(N58=CURSOS!$D$25,"BRIGADA DE EMERGENCIA",IF(N58=CURSOS!$D$26,"MANEJO DEL DOLOR Y CUIDADOS PALIATIVOS",IF(N58=CURSOS!$D$27,"TOMA MUESTRAS Y LABORATORIO POCT",IF(N58=CURSOS!$D$28,"IMPLANTE SUBDERMICO Y DISPOSITIVO INTRAUTERINO",IF(N58=CURSOS!$D$29,"SALUD MENTAL",IF(N58=CURSOS!$D$30,"PRIMEROS AUXILIOS PSICOLOGICOS",IF(N58=CURSOS!$D$31,"ATENCION A VICTIMAS POR CONFLICTO ARMADO",IF(N58=CURSOS!$D$32,"MANIPULACION DE ALIMENTOS Y BPM"))))))))))))))))))))))))))))))</f>
        <v xml:space="preserve">PRIMEROS AUXILIOS </v>
      </c>
      <c r="U58" s="29" t="str">
        <f t="shared" si="9"/>
        <v>Claudia Del carmen Muñoz Criollo</v>
      </c>
      <c r="V58" s="29" t="str">
        <f t="shared" si="10"/>
        <v>Claudia Del Carmen Muñoz Criollo</v>
      </c>
      <c r="W58" s="29" t="str">
        <f t="shared" si="11"/>
        <v>Claudia Del carmen Muñoz Criollo-59856458-PRIMEROS AUXILIOS</v>
      </c>
    </row>
    <row r="59" spans="1:23" s="46" customFormat="1" x14ac:dyDescent="0.2">
      <c r="A59" s="31">
        <v>58</v>
      </c>
      <c r="B59" s="31">
        <v>1082748410</v>
      </c>
      <c r="C59" s="31" t="s">
        <v>283</v>
      </c>
      <c r="D59" s="31" t="s">
        <v>173</v>
      </c>
      <c r="E59" s="31" t="s">
        <v>284</v>
      </c>
      <c r="F59" s="31" t="s">
        <v>285</v>
      </c>
      <c r="G59" s="18">
        <v>10</v>
      </c>
      <c r="H59" s="18" t="s">
        <v>93</v>
      </c>
      <c r="I59" s="22">
        <v>45422</v>
      </c>
      <c r="J59" s="57">
        <v>20000</v>
      </c>
      <c r="K59" s="18" t="s">
        <v>77</v>
      </c>
      <c r="L59" s="18" t="s">
        <v>84</v>
      </c>
      <c r="M59" s="18" t="s">
        <v>282</v>
      </c>
      <c r="N59" s="19" t="s">
        <v>23</v>
      </c>
      <c r="O59" s="45">
        <v>34323</v>
      </c>
      <c r="P59" s="31" t="s">
        <v>100</v>
      </c>
      <c r="Q59" s="31" t="s">
        <v>106</v>
      </c>
      <c r="R59" s="31"/>
      <c r="S59" s="31" t="s">
        <v>301</v>
      </c>
      <c r="T59" s="29" t="str">
        <f>IF(N59=CURSOS!$D$3,"DIPLOMADO EN ATENCION PRE-HOSPITALARIA",IF(N59=CURSOS!$D$4,"ACOMPAÑAMIENTO Y MANEJO DEL DUELO",IF(N59=CURSOS!$D$5,"ATENCION A VICTIMAS DE ATAQUE CON AGENTES QUIMICOS ",IF(N59=CURSOS!$D$6,"PRIMEROS AUXILIOS ",IF(N59=CURSOS!$D$7,"DIPLOMADO DE UNIDAD DE CUIDADOS INTENSIVOS (UCI)",IF(N59=CURSOS!$D$8,"MODELO DE ATENCION PARA EVENTOS EMERGENTES EN SALUD MENTAL (CODIGO VERDE)",IF(N59=CURSOS!$D$9,"HUMANIZACION EN SALUD, BUENAS PRACTICAS EN PACIENTE ",IF(N59=CURSOS!$D$10,"CLINICA DE HERIDAS ",IF(N59=CURSOS!$D$11,"TOMA DE CITOLOGIA A CERVICO VAGINAL ",IF(N59=CURSOS!$D$12,"SOPORTE CARDIOVASCULAR AVANZADO ",IF(N59=CURSOS!$D$13,"CAMILLERO ",IF(N59=CURSOS!$D$14,"TOMA MUESTRAS Y LABORATORIO ",IF(N59=CURSOS!$D$15,"SOPORTE VITAL BASICO (BLS)",IF(N59=CURSOS!$D$16,"ATENCION A VICTIMAS DE VIOLENCIA SEXUAL ",IF(N59=CURSOS!$D$17,"PROGRAMADO AMPLIADO DE INMUNIZACION (PAI - COVID 19)",IF(N59=CURSOS!$D$18,"ATENCION INTEGRAL EN ENFERMEDADES PREVALENTES EN PRIMERA INFANCIA (AIEPI)",IF(N59=CURSOS!$D$19,"ADMINISTRACION DE MEDICAMENTOS, IYECTOLOGIA  Y CANALIZACION ",IF(N59=CURSOS!$D$20,"OPERADOR DE VEHICULOS DE EMERGENCIA (OVE)",IF(N59=CURSOS!$D$21,"INSTITUCIONES AMIGAS DE LA MUJER Y LA INFANCIA (IAMI)",IF(N59=CURSOS!$D$22,"CUIDADO DEL DONANTE DE ORGANOS",IF(N59=CURSOS!$D$23,"ATENCION A VICTIMAS POR VIOLENCIA DE GENERO",IF(N59=CURSOS!$D$24,"IGUALDAD DE GENERO EN LA SALUD",IF(N59=CURSOS!$D$25,"BRIGADA DE EMERGENCIA",IF(N59=CURSOS!$D$26,"MANEJO DEL DOLOR Y CUIDADOS PALIATIVOS",IF(N59=CURSOS!$D$27,"TOMA MUESTRAS Y LABORATORIO POCT",IF(N59=CURSOS!$D$28,"IMPLANTE SUBDERMICO Y DISPOSITIVO INTRAUTERINO",IF(N59=CURSOS!$D$29,"SALUD MENTAL",IF(N59=CURSOS!$D$30,"PRIMEROS AUXILIOS PSICOLOGICOS",IF(N59=CURSOS!$D$31,"ATENCION A VICTIMAS POR CONFLICTO ARMADO",IF(N59=CURSOS!$D$32,"MANIPULACION DE ALIMENTOS Y BPM"))))))))))))))))))))))))))))))</f>
        <v>ACOMPAÑAMIENTO Y MANEJO DEL DUELO</v>
      </c>
      <c r="U59" s="29" t="str">
        <f t="shared" si="9"/>
        <v>Jesika Marilin Agreda Guerrero</v>
      </c>
      <c r="V59" s="29" t="str">
        <f t="shared" si="10"/>
        <v>Jesika Marilin Agreda Guerrero</v>
      </c>
      <c r="W59" s="29" t="str">
        <f t="shared" si="11"/>
        <v>Jesika Marilin Agreda Guerrero-1082748410-DUELO</v>
      </c>
    </row>
    <row r="60" spans="1:23" s="46" customFormat="1" x14ac:dyDescent="0.2">
      <c r="A60" s="31">
        <v>59</v>
      </c>
      <c r="B60" s="31">
        <v>1082748410</v>
      </c>
      <c r="C60" s="31" t="s">
        <v>283</v>
      </c>
      <c r="D60" s="31" t="s">
        <v>173</v>
      </c>
      <c r="E60" s="31" t="s">
        <v>284</v>
      </c>
      <c r="F60" s="31" t="s">
        <v>285</v>
      </c>
      <c r="G60" s="18">
        <v>10</v>
      </c>
      <c r="H60" s="18" t="s">
        <v>93</v>
      </c>
      <c r="I60" s="22">
        <v>45422</v>
      </c>
      <c r="J60" s="57">
        <v>20000</v>
      </c>
      <c r="K60" s="18" t="s">
        <v>77</v>
      </c>
      <c r="L60" s="18" t="s">
        <v>84</v>
      </c>
      <c r="M60" s="18" t="s">
        <v>282</v>
      </c>
      <c r="N60" s="19" t="s">
        <v>25</v>
      </c>
      <c r="O60" s="45">
        <v>34323</v>
      </c>
      <c r="P60" s="31" t="s">
        <v>100</v>
      </c>
      <c r="Q60" s="31" t="s">
        <v>106</v>
      </c>
      <c r="R60" s="31"/>
      <c r="S60" s="31" t="s">
        <v>301</v>
      </c>
      <c r="T60" s="29" t="str">
        <f>IF(N60=CURSOS!$D$3,"DIPLOMADO EN ATENCION PRE-HOSPITALARIA",IF(N60=CURSOS!$D$4,"ACOMPAÑAMIENTO Y MANEJO DEL DUELO",IF(N60=CURSOS!$D$5,"ATENCION A VICTIMAS DE ATAQUE CON AGENTES QUIMICOS ",IF(N60=CURSOS!$D$6,"PRIMEROS AUXILIOS ",IF(N60=CURSOS!$D$7,"DIPLOMADO DE UNIDAD DE CUIDADOS INTENSIVOS (UCI)",IF(N60=CURSOS!$D$8,"MODELO DE ATENCION PARA EVENTOS EMERGENTES EN SALUD MENTAL (CODIGO VERDE)",IF(N60=CURSOS!$D$9,"HUMANIZACION EN SALUD, BUENAS PRACTICAS EN PACIENTE ",IF(N60=CURSOS!$D$10,"CLINICA DE HERIDAS ",IF(N60=CURSOS!$D$11,"TOMA DE CITOLOGIA A CERVICO VAGINAL ",IF(N60=CURSOS!$D$12,"SOPORTE CARDIOVASCULAR AVANZADO ",IF(N60=CURSOS!$D$13,"CAMILLERO ",IF(N60=CURSOS!$D$14,"TOMA MUESTRAS Y LABORATORIO ",IF(N60=CURSOS!$D$15,"SOPORTE VITAL BASICO (BLS)",IF(N60=CURSOS!$D$16,"ATENCION A VICTIMAS DE VIOLENCIA SEXUAL ",IF(N60=CURSOS!$D$17,"PROGRAMADO AMPLIADO DE INMUNIZACION (PAI - COVID 19)",IF(N60=CURSOS!$D$18,"ATENCION INTEGRAL EN ENFERMEDADES PREVALENTES EN PRIMERA INFANCIA (AIEPI)",IF(N60=CURSOS!$D$19,"ADMINISTRACION DE MEDICAMENTOS, IYECTOLOGIA  Y CANALIZACION ",IF(N60=CURSOS!$D$20,"OPERADOR DE VEHICULOS DE EMERGENCIA (OVE)",IF(N60=CURSOS!$D$21,"INSTITUCIONES AMIGAS DE LA MUJER Y LA INFANCIA (IAMI)",IF(N60=CURSOS!$D$22,"CUIDADO DEL DONANTE DE ORGANOS",IF(N60=CURSOS!$D$23,"ATENCION A VICTIMAS POR VIOLENCIA DE GENERO",IF(N60=CURSOS!$D$24,"IGUALDAD DE GENERO EN LA SALUD",IF(N60=CURSOS!$D$25,"BRIGADA DE EMERGENCIA",IF(N60=CURSOS!$D$26,"MANEJO DEL DOLOR Y CUIDADOS PALIATIVOS",IF(N60=CURSOS!$D$27,"TOMA MUESTRAS Y LABORATORIO POCT",IF(N60=CURSOS!$D$28,"IMPLANTE SUBDERMICO Y DISPOSITIVO INTRAUTERINO",IF(N60=CURSOS!$D$29,"SALUD MENTAL",IF(N60=CURSOS!$D$30,"PRIMEROS AUXILIOS PSICOLOGICOS",IF(N60=CURSOS!$D$31,"ATENCION A VICTIMAS POR CONFLICTO ARMADO",IF(N60=CURSOS!$D$32,"MANIPULACION DE ALIMENTOS Y BPM"))))))))))))))))))))))))))))))</f>
        <v xml:space="preserve">ATENCION A VICTIMAS DE ATAQUE CON AGENTES QUIMICOS </v>
      </c>
      <c r="U60" s="29" t="str">
        <f t="shared" si="9"/>
        <v>Jesika Marilin Agreda Guerrero</v>
      </c>
      <c r="V60" s="29" t="str">
        <f t="shared" si="10"/>
        <v>Jesika Marilin Agreda Guerrero</v>
      </c>
      <c r="W60" s="29" t="str">
        <f t="shared" si="11"/>
        <v>Jesika Marilin Agreda Guerrero-1082748410-QUIMICOS</v>
      </c>
    </row>
    <row r="61" spans="1:23" s="46" customFormat="1" x14ac:dyDescent="0.2">
      <c r="A61" s="31">
        <v>60</v>
      </c>
      <c r="B61" s="31">
        <v>1082748410</v>
      </c>
      <c r="C61" s="31" t="s">
        <v>283</v>
      </c>
      <c r="D61" s="31" t="s">
        <v>173</v>
      </c>
      <c r="E61" s="31" t="s">
        <v>284</v>
      </c>
      <c r="F61" s="31" t="s">
        <v>285</v>
      </c>
      <c r="G61" s="18">
        <v>10</v>
      </c>
      <c r="H61" s="18" t="s">
        <v>93</v>
      </c>
      <c r="I61" s="22">
        <v>45422</v>
      </c>
      <c r="J61" s="57">
        <v>20000</v>
      </c>
      <c r="K61" s="18" t="s">
        <v>77</v>
      </c>
      <c r="L61" s="18" t="s">
        <v>84</v>
      </c>
      <c r="M61" s="18" t="s">
        <v>282</v>
      </c>
      <c r="N61" s="19" t="s">
        <v>46</v>
      </c>
      <c r="O61" s="45">
        <v>34323</v>
      </c>
      <c r="P61" s="31" t="s">
        <v>100</v>
      </c>
      <c r="Q61" s="31" t="s">
        <v>106</v>
      </c>
      <c r="R61" s="31"/>
      <c r="S61" s="31" t="s">
        <v>301</v>
      </c>
      <c r="T61" s="29" t="str">
        <f>IF(N61=CURSOS!$D$3,"DIPLOMADO EN ATENCION PRE-HOSPITALARIA",IF(N61=CURSOS!$D$4,"ACOMPAÑAMIENTO Y MANEJO DEL DUELO",IF(N61=CURSOS!$D$5,"ATENCION A VICTIMAS DE ATAQUE CON AGENTES QUIMICOS ",IF(N61=CURSOS!$D$6,"PRIMEROS AUXILIOS ",IF(N61=CURSOS!$D$7,"DIPLOMADO DE UNIDAD DE CUIDADOS INTENSIVOS (UCI)",IF(N61=CURSOS!$D$8,"MODELO DE ATENCION PARA EVENTOS EMERGENTES EN SALUD MENTAL (CODIGO VERDE)",IF(N61=CURSOS!$D$9,"HUMANIZACION EN SALUD, BUENAS PRACTICAS EN PACIENTE ",IF(N61=CURSOS!$D$10,"CLINICA DE HERIDAS ",IF(N61=CURSOS!$D$11,"TOMA DE CITOLOGIA A CERVICO VAGINAL ",IF(N61=CURSOS!$D$12,"SOPORTE CARDIOVASCULAR AVANZADO ",IF(N61=CURSOS!$D$13,"CAMILLERO ",IF(N61=CURSOS!$D$14,"TOMA MUESTRAS Y LABORATORIO ",IF(N61=CURSOS!$D$15,"SOPORTE VITAL BASICO (BLS)",IF(N61=CURSOS!$D$16,"ATENCION A VICTIMAS DE VIOLENCIA SEXUAL ",IF(N61=CURSOS!$D$17,"PROGRAMADO AMPLIADO DE INMUNIZACION (PAI - COVID 19)",IF(N61=CURSOS!$D$18,"ATENCION INTEGRAL EN ENFERMEDADES PREVALENTES EN PRIMERA INFANCIA (AIEPI)",IF(N61=CURSOS!$D$19,"ADMINISTRACION DE MEDICAMENTOS, IYECTOLOGIA  Y CANALIZACION ",IF(N61=CURSOS!$D$20,"OPERADOR DE VEHICULOS DE EMERGENCIA (OVE)",IF(N61=CURSOS!$D$21,"INSTITUCIONES AMIGAS DE LA MUJER Y LA INFANCIA (IAMI)",IF(N61=CURSOS!$D$22,"CUIDADO DEL DONANTE DE ORGANOS",IF(N61=CURSOS!$D$23,"ATENCION A VICTIMAS POR VIOLENCIA DE GENERO",IF(N61=CURSOS!$D$24,"IGUALDAD DE GENERO EN LA SALUD",IF(N61=CURSOS!$D$25,"BRIGADA DE EMERGENCIA",IF(N61=CURSOS!$D$26,"MANEJO DEL DOLOR Y CUIDADOS PALIATIVOS",IF(N61=CURSOS!$D$27,"TOMA MUESTRAS Y LABORATORIO POCT",IF(N61=CURSOS!$D$28,"IMPLANTE SUBDERMICO Y DISPOSITIVO INTRAUTERINO",IF(N61=CURSOS!$D$29,"SALUD MENTAL",IF(N61=CURSOS!$D$30,"PRIMEROS AUXILIOS PSICOLOGICOS",IF(N61=CURSOS!$D$31,"ATENCION A VICTIMAS POR CONFLICTO ARMADO",IF(N61=CURSOS!$D$32,"MANIPULACION DE ALIMENTOS Y BPM"))))))))))))))))))))))))))))))</f>
        <v xml:space="preserve">ATENCION A VICTIMAS DE VIOLENCIA SEXUAL </v>
      </c>
      <c r="U61" s="29" t="str">
        <f t="shared" si="9"/>
        <v>Jesika Marilin Agreda Guerrero</v>
      </c>
      <c r="V61" s="29" t="str">
        <f t="shared" si="10"/>
        <v>Jesika Marilin Agreda Guerrero</v>
      </c>
      <c r="W61" s="29" t="str">
        <f t="shared" si="11"/>
        <v>Jesika Marilin Agreda Guerrero-1082748410-VIOLENCIA SEXUAL</v>
      </c>
    </row>
    <row r="62" spans="1:23" s="46" customFormat="1" x14ac:dyDescent="0.2">
      <c r="A62" s="31">
        <v>61</v>
      </c>
      <c r="B62" s="31">
        <v>1082748410</v>
      </c>
      <c r="C62" s="31" t="s">
        <v>283</v>
      </c>
      <c r="D62" s="31" t="s">
        <v>173</v>
      </c>
      <c r="E62" s="31" t="s">
        <v>284</v>
      </c>
      <c r="F62" s="31" t="s">
        <v>285</v>
      </c>
      <c r="G62" s="18">
        <v>10</v>
      </c>
      <c r="H62" s="18" t="s">
        <v>93</v>
      </c>
      <c r="I62" s="22">
        <v>45422</v>
      </c>
      <c r="J62" s="57">
        <v>20000</v>
      </c>
      <c r="K62" s="18" t="s">
        <v>77</v>
      </c>
      <c r="L62" s="18" t="s">
        <v>84</v>
      </c>
      <c r="M62" s="18" t="s">
        <v>282</v>
      </c>
      <c r="N62" s="19" t="s">
        <v>19</v>
      </c>
      <c r="O62" s="45">
        <v>34323</v>
      </c>
      <c r="P62" s="31" t="s">
        <v>100</v>
      </c>
      <c r="Q62" s="31" t="s">
        <v>106</v>
      </c>
      <c r="R62" s="31"/>
      <c r="S62" s="31" t="s">
        <v>301</v>
      </c>
      <c r="T62" s="29" t="str">
        <f>IF(N62=CURSOS!$D$3,"DIPLOMADO EN ATENCION PRE-HOSPITALARIA",IF(N62=CURSOS!$D$4,"ACOMPAÑAMIENTO Y MANEJO DEL DUELO",IF(N62=CURSOS!$D$5,"ATENCION A VICTIMAS DE ATAQUE CON AGENTES QUIMICOS ",IF(N62=CURSOS!$D$6,"PRIMEROS AUXILIOS ",IF(N62=CURSOS!$D$7,"DIPLOMADO DE UNIDAD DE CUIDADOS INTENSIVOS (UCI)",IF(N62=CURSOS!$D$8,"MODELO DE ATENCION PARA EVENTOS EMERGENTES EN SALUD MENTAL (CODIGO VERDE)",IF(N62=CURSOS!$D$9,"HUMANIZACION EN SALUD, BUENAS PRACTICAS EN PACIENTE ",IF(N62=CURSOS!$D$10,"CLINICA DE HERIDAS ",IF(N62=CURSOS!$D$11,"TOMA DE CITOLOGIA A CERVICO VAGINAL ",IF(N62=CURSOS!$D$12,"SOPORTE CARDIOVASCULAR AVANZADO ",IF(N62=CURSOS!$D$13,"CAMILLERO ",IF(N62=CURSOS!$D$14,"TOMA MUESTRAS Y LABORATORIO ",IF(N62=CURSOS!$D$15,"SOPORTE VITAL BASICO (BLS)",IF(N62=CURSOS!$D$16,"ATENCION A VICTIMAS DE VIOLENCIA SEXUAL ",IF(N62=CURSOS!$D$17,"PROGRAMADO AMPLIADO DE INMUNIZACION (PAI - COVID 19)",IF(N62=CURSOS!$D$18,"ATENCION INTEGRAL EN ENFERMEDADES PREVALENTES EN PRIMERA INFANCIA (AIEPI)",IF(N62=CURSOS!$D$19,"ADMINISTRACION DE MEDICAMENTOS, IYECTOLOGIA  Y CANALIZACION ",IF(N62=CURSOS!$D$20,"OPERADOR DE VEHICULOS DE EMERGENCIA (OVE)",IF(N62=CURSOS!$D$21,"INSTITUCIONES AMIGAS DE LA MUJER Y LA INFANCIA (IAMI)",IF(N62=CURSOS!$D$22,"CUIDADO DEL DONANTE DE ORGANOS",IF(N62=CURSOS!$D$23,"ATENCION A VICTIMAS POR VIOLENCIA DE GENERO",IF(N62=CURSOS!$D$24,"IGUALDAD DE GENERO EN LA SALUD",IF(N62=CURSOS!$D$25,"BRIGADA DE EMERGENCIA",IF(N62=CURSOS!$D$26,"MANEJO DEL DOLOR Y CUIDADOS PALIATIVOS",IF(N62=CURSOS!$D$27,"TOMA MUESTRAS Y LABORATORIO POCT",IF(N62=CURSOS!$D$28,"IMPLANTE SUBDERMICO Y DISPOSITIVO INTRAUTERINO",IF(N62=CURSOS!$D$29,"SALUD MENTAL",IF(N62=CURSOS!$D$30,"PRIMEROS AUXILIOS PSICOLOGICOS",IF(N62=CURSOS!$D$31,"ATENCION A VICTIMAS POR CONFLICTO ARMADO",IF(N62=CURSOS!$D$32,"MANIPULACION DE ALIMENTOS Y BPM"))))))))))))))))))))))))))))))</f>
        <v>SOPORTE VITAL BASICO (BLS)</v>
      </c>
      <c r="U62" s="29" t="str">
        <f t="shared" si="9"/>
        <v>Jesika Marilin Agreda Guerrero</v>
      </c>
      <c r="V62" s="29" t="str">
        <f t="shared" si="10"/>
        <v>Jesika Marilin Agreda Guerrero</v>
      </c>
      <c r="W62" s="29" t="str">
        <f t="shared" si="11"/>
        <v>Jesika Marilin Agreda Guerrero-1082748410-BLS</v>
      </c>
    </row>
    <row r="63" spans="1:23" s="46" customFormat="1" x14ac:dyDescent="0.2">
      <c r="A63" s="31">
        <v>62</v>
      </c>
      <c r="B63" s="31">
        <v>1082748410</v>
      </c>
      <c r="C63" s="31" t="s">
        <v>283</v>
      </c>
      <c r="D63" s="31" t="s">
        <v>173</v>
      </c>
      <c r="E63" s="31" t="s">
        <v>284</v>
      </c>
      <c r="F63" s="31" t="s">
        <v>285</v>
      </c>
      <c r="G63" s="18">
        <v>10</v>
      </c>
      <c r="H63" s="18" t="s">
        <v>93</v>
      </c>
      <c r="I63" s="22">
        <v>45422</v>
      </c>
      <c r="J63" s="57">
        <v>20000</v>
      </c>
      <c r="K63" s="18" t="s">
        <v>77</v>
      </c>
      <c r="L63" s="18" t="s">
        <v>84</v>
      </c>
      <c r="M63" s="18" t="s">
        <v>282</v>
      </c>
      <c r="N63" s="19" t="s">
        <v>27</v>
      </c>
      <c r="O63" s="45">
        <v>34323</v>
      </c>
      <c r="P63" s="31" t="s">
        <v>100</v>
      </c>
      <c r="Q63" s="31" t="s">
        <v>106</v>
      </c>
      <c r="R63" s="31"/>
      <c r="S63" s="31" t="s">
        <v>301</v>
      </c>
      <c r="T63" s="29" t="str">
        <f>IF(N63=CURSOS!$D$3,"DIPLOMADO EN ATENCION PRE-HOSPITALARIA",IF(N63=CURSOS!$D$4,"ACOMPAÑAMIENTO Y MANEJO DEL DUELO",IF(N63=CURSOS!$D$5,"ATENCION A VICTIMAS DE ATAQUE CON AGENTES QUIMICOS ",IF(N63=CURSOS!$D$6,"PRIMEROS AUXILIOS ",IF(N63=CURSOS!$D$7,"DIPLOMADO DE UNIDAD DE CUIDADOS INTENSIVOS (UCI)",IF(N63=CURSOS!$D$8,"MODELO DE ATENCION PARA EVENTOS EMERGENTES EN SALUD MENTAL (CODIGO VERDE)",IF(N63=CURSOS!$D$9,"HUMANIZACION EN SALUD, BUENAS PRACTICAS EN PACIENTE ",IF(N63=CURSOS!$D$10,"CLINICA DE HERIDAS ",IF(N63=CURSOS!$D$11,"TOMA DE CITOLOGIA A CERVICO VAGINAL ",IF(N63=CURSOS!$D$12,"SOPORTE CARDIOVASCULAR AVANZADO ",IF(N63=CURSOS!$D$13,"CAMILLERO ",IF(N63=CURSOS!$D$14,"TOMA MUESTRAS Y LABORATORIO ",IF(N63=CURSOS!$D$15,"SOPORTE VITAL BASICO (BLS)",IF(N63=CURSOS!$D$16,"ATENCION A VICTIMAS DE VIOLENCIA SEXUAL ",IF(N63=CURSOS!$D$17,"PROGRAMADO AMPLIADO DE INMUNIZACION (PAI - COVID 19)",IF(N63=CURSOS!$D$18,"ATENCION INTEGRAL EN ENFERMEDADES PREVALENTES EN PRIMERA INFANCIA (AIEPI)",IF(N63=CURSOS!$D$19,"ADMINISTRACION DE MEDICAMENTOS, IYECTOLOGIA  Y CANALIZACION ",IF(N63=CURSOS!$D$20,"OPERADOR DE VEHICULOS DE EMERGENCIA (OVE)",IF(N63=CURSOS!$D$21,"INSTITUCIONES AMIGAS DE LA MUJER Y LA INFANCIA (IAMI)",IF(N63=CURSOS!$D$22,"CUIDADO DEL DONANTE DE ORGANOS",IF(N63=CURSOS!$D$23,"ATENCION A VICTIMAS POR VIOLENCIA DE GENERO",IF(N63=CURSOS!$D$24,"IGUALDAD DE GENERO EN LA SALUD",IF(N63=CURSOS!$D$25,"BRIGADA DE EMERGENCIA",IF(N63=CURSOS!$D$26,"MANEJO DEL DOLOR Y CUIDADOS PALIATIVOS",IF(N63=CURSOS!$D$27,"TOMA MUESTRAS Y LABORATORIO POCT",IF(N63=CURSOS!$D$28,"IMPLANTE SUBDERMICO Y DISPOSITIVO INTRAUTERINO",IF(N63=CURSOS!$D$29,"SALUD MENTAL",IF(N63=CURSOS!$D$30,"PRIMEROS AUXILIOS PSICOLOGICOS",IF(N63=CURSOS!$D$31,"ATENCION A VICTIMAS POR CONFLICTO ARMADO",IF(N63=CURSOS!$D$32,"MANIPULACION DE ALIMENTOS Y BPM"))))))))))))))))))))))))))))))</f>
        <v xml:space="preserve">PRIMEROS AUXILIOS </v>
      </c>
      <c r="U63" s="29" t="str">
        <f t="shared" si="9"/>
        <v>Jesika Marilin Agreda Guerrero</v>
      </c>
      <c r="V63" s="29" t="str">
        <f t="shared" si="10"/>
        <v>Jesika Marilin Agreda Guerrero</v>
      </c>
      <c r="W63" s="29" t="str">
        <f t="shared" si="11"/>
        <v>Jesika Marilin Agreda Guerrero-1082748410-PRIMEROS AUXILIOS</v>
      </c>
    </row>
    <row r="64" spans="1:23" s="46" customFormat="1" x14ac:dyDescent="0.2">
      <c r="A64" s="31">
        <v>63</v>
      </c>
      <c r="B64" s="31">
        <v>1082748911</v>
      </c>
      <c r="C64" s="31" t="s">
        <v>286</v>
      </c>
      <c r="D64" s="31" t="s">
        <v>287</v>
      </c>
      <c r="E64" s="31" t="s">
        <v>288</v>
      </c>
      <c r="F64" s="31" t="s">
        <v>289</v>
      </c>
      <c r="G64" s="18">
        <v>10</v>
      </c>
      <c r="H64" s="18" t="s">
        <v>93</v>
      </c>
      <c r="I64" s="22">
        <v>45422</v>
      </c>
      <c r="J64" s="57">
        <v>20000</v>
      </c>
      <c r="K64" s="18" t="s">
        <v>77</v>
      </c>
      <c r="L64" s="18" t="s">
        <v>84</v>
      </c>
      <c r="M64" s="18" t="s">
        <v>282</v>
      </c>
      <c r="N64" s="19" t="s">
        <v>23</v>
      </c>
      <c r="O64" s="45">
        <v>35198</v>
      </c>
      <c r="P64" s="31" t="s">
        <v>100</v>
      </c>
      <c r="Q64" s="31" t="s">
        <v>106</v>
      </c>
      <c r="R64" s="31">
        <v>3175611597</v>
      </c>
      <c r="S64" s="31" t="s">
        <v>300</v>
      </c>
      <c r="T64" s="29" t="str">
        <f>IF(N64=CURSOS!$D$3,"DIPLOMADO EN ATENCION PRE-HOSPITALARIA",IF(N64=CURSOS!$D$4,"ACOMPAÑAMIENTO Y MANEJO DEL DUELO",IF(N64=CURSOS!$D$5,"ATENCION A VICTIMAS DE ATAQUE CON AGENTES QUIMICOS ",IF(N64=CURSOS!$D$6,"PRIMEROS AUXILIOS ",IF(N64=CURSOS!$D$7,"DIPLOMADO DE UNIDAD DE CUIDADOS INTENSIVOS (UCI)",IF(N64=CURSOS!$D$8,"MODELO DE ATENCION PARA EVENTOS EMERGENTES EN SALUD MENTAL (CODIGO VERDE)",IF(N64=CURSOS!$D$9,"HUMANIZACION EN SALUD, BUENAS PRACTICAS EN PACIENTE ",IF(N64=CURSOS!$D$10,"CLINICA DE HERIDAS ",IF(N64=CURSOS!$D$11,"TOMA DE CITOLOGIA A CERVICO VAGINAL ",IF(N64=CURSOS!$D$12,"SOPORTE CARDIOVASCULAR AVANZADO ",IF(N64=CURSOS!$D$13,"CAMILLERO ",IF(N64=CURSOS!$D$14,"TOMA MUESTRAS Y LABORATORIO ",IF(N64=CURSOS!$D$15,"SOPORTE VITAL BASICO (BLS)",IF(N64=CURSOS!$D$16,"ATENCION A VICTIMAS DE VIOLENCIA SEXUAL ",IF(N64=CURSOS!$D$17,"PROGRAMADO AMPLIADO DE INMUNIZACION (PAI - COVID 19)",IF(N64=CURSOS!$D$18,"ATENCION INTEGRAL EN ENFERMEDADES PREVALENTES EN PRIMERA INFANCIA (AIEPI)",IF(N64=CURSOS!$D$19,"ADMINISTRACION DE MEDICAMENTOS, IYECTOLOGIA  Y CANALIZACION ",IF(N64=CURSOS!$D$20,"OPERADOR DE VEHICULOS DE EMERGENCIA (OVE)",IF(N64=CURSOS!$D$21,"INSTITUCIONES AMIGAS DE LA MUJER Y LA INFANCIA (IAMI)",IF(N64=CURSOS!$D$22,"CUIDADO DEL DONANTE DE ORGANOS",IF(N64=CURSOS!$D$23,"ATENCION A VICTIMAS POR VIOLENCIA DE GENERO",IF(N64=CURSOS!$D$24,"IGUALDAD DE GENERO EN LA SALUD",IF(N64=CURSOS!$D$25,"BRIGADA DE EMERGENCIA",IF(N64=CURSOS!$D$26,"MANEJO DEL DOLOR Y CUIDADOS PALIATIVOS",IF(N64=CURSOS!$D$27,"TOMA MUESTRAS Y LABORATORIO POCT",IF(N64=CURSOS!$D$28,"IMPLANTE SUBDERMICO Y DISPOSITIVO INTRAUTERINO",IF(N64=CURSOS!$D$29,"SALUD MENTAL",IF(N64=CURSOS!$D$30,"PRIMEROS AUXILIOS PSICOLOGICOS",IF(N64=CURSOS!$D$31,"ATENCION A VICTIMAS POR CONFLICTO ARMADO",IF(N64=CURSOS!$D$32,"MANIPULACION DE ALIMENTOS Y BPM"))))))))))))))))))))))))))))))</f>
        <v>ACOMPAÑAMIENTO Y MANEJO DEL DUELO</v>
      </c>
      <c r="U64" s="29" t="str">
        <f t="shared" si="9"/>
        <v>Linneth Yurany Armero Hernandez</v>
      </c>
      <c r="V64" s="29" t="str">
        <f t="shared" si="10"/>
        <v>Linneth Yurany Armero Hernandez</v>
      </c>
      <c r="W64" s="29" t="str">
        <f t="shared" si="11"/>
        <v>Linneth Yurany Armero Hernandez-1082748911-DUELO</v>
      </c>
    </row>
    <row r="65" spans="1:24" s="46" customFormat="1" x14ac:dyDescent="0.2">
      <c r="A65" s="31">
        <v>64</v>
      </c>
      <c r="B65" s="31">
        <v>1082748911</v>
      </c>
      <c r="C65" s="31" t="s">
        <v>286</v>
      </c>
      <c r="D65" s="31" t="s">
        <v>287</v>
      </c>
      <c r="E65" s="31" t="s">
        <v>288</v>
      </c>
      <c r="F65" s="31" t="s">
        <v>289</v>
      </c>
      <c r="G65" s="18">
        <v>10</v>
      </c>
      <c r="H65" s="18" t="s">
        <v>93</v>
      </c>
      <c r="I65" s="22">
        <v>45422</v>
      </c>
      <c r="J65" s="57">
        <v>20000</v>
      </c>
      <c r="K65" s="18" t="s">
        <v>77</v>
      </c>
      <c r="L65" s="18" t="s">
        <v>84</v>
      </c>
      <c r="M65" s="18" t="s">
        <v>282</v>
      </c>
      <c r="N65" s="19" t="s">
        <v>25</v>
      </c>
      <c r="O65" s="45">
        <v>35198</v>
      </c>
      <c r="P65" s="31" t="s">
        <v>100</v>
      </c>
      <c r="Q65" s="31" t="s">
        <v>106</v>
      </c>
      <c r="R65" s="31">
        <v>3175611597</v>
      </c>
      <c r="S65" s="31" t="s">
        <v>300</v>
      </c>
      <c r="T65" s="29" t="str">
        <f>IF(N65=CURSOS!$D$3,"DIPLOMADO EN ATENCION PRE-HOSPITALARIA",IF(N65=CURSOS!$D$4,"ACOMPAÑAMIENTO Y MANEJO DEL DUELO",IF(N65=CURSOS!$D$5,"ATENCION A VICTIMAS DE ATAQUE CON AGENTES QUIMICOS ",IF(N65=CURSOS!$D$6,"PRIMEROS AUXILIOS ",IF(N65=CURSOS!$D$7,"DIPLOMADO DE UNIDAD DE CUIDADOS INTENSIVOS (UCI)",IF(N65=CURSOS!$D$8,"MODELO DE ATENCION PARA EVENTOS EMERGENTES EN SALUD MENTAL (CODIGO VERDE)",IF(N65=CURSOS!$D$9,"HUMANIZACION EN SALUD, BUENAS PRACTICAS EN PACIENTE ",IF(N65=CURSOS!$D$10,"CLINICA DE HERIDAS ",IF(N65=CURSOS!$D$11,"TOMA DE CITOLOGIA A CERVICO VAGINAL ",IF(N65=CURSOS!$D$12,"SOPORTE CARDIOVASCULAR AVANZADO ",IF(N65=CURSOS!$D$13,"CAMILLERO ",IF(N65=CURSOS!$D$14,"TOMA MUESTRAS Y LABORATORIO ",IF(N65=CURSOS!$D$15,"SOPORTE VITAL BASICO (BLS)",IF(N65=CURSOS!$D$16,"ATENCION A VICTIMAS DE VIOLENCIA SEXUAL ",IF(N65=CURSOS!$D$17,"PROGRAMADO AMPLIADO DE INMUNIZACION (PAI - COVID 19)",IF(N65=CURSOS!$D$18,"ATENCION INTEGRAL EN ENFERMEDADES PREVALENTES EN PRIMERA INFANCIA (AIEPI)",IF(N65=CURSOS!$D$19,"ADMINISTRACION DE MEDICAMENTOS, IYECTOLOGIA  Y CANALIZACION ",IF(N65=CURSOS!$D$20,"OPERADOR DE VEHICULOS DE EMERGENCIA (OVE)",IF(N65=CURSOS!$D$21,"INSTITUCIONES AMIGAS DE LA MUJER Y LA INFANCIA (IAMI)",IF(N65=CURSOS!$D$22,"CUIDADO DEL DONANTE DE ORGANOS",IF(N65=CURSOS!$D$23,"ATENCION A VICTIMAS POR VIOLENCIA DE GENERO",IF(N65=CURSOS!$D$24,"IGUALDAD DE GENERO EN LA SALUD",IF(N65=CURSOS!$D$25,"BRIGADA DE EMERGENCIA",IF(N65=CURSOS!$D$26,"MANEJO DEL DOLOR Y CUIDADOS PALIATIVOS",IF(N65=CURSOS!$D$27,"TOMA MUESTRAS Y LABORATORIO POCT",IF(N65=CURSOS!$D$28,"IMPLANTE SUBDERMICO Y DISPOSITIVO INTRAUTERINO",IF(N65=CURSOS!$D$29,"SALUD MENTAL",IF(N65=CURSOS!$D$30,"PRIMEROS AUXILIOS PSICOLOGICOS",IF(N65=CURSOS!$D$31,"ATENCION A VICTIMAS POR CONFLICTO ARMADO",IF(N65=CURSOS!$D$32,"MANIPULACION DE ALIMENTOS Y BPM"))))))))))))))))))))))))))))))</f>
        <v xml:space="preserve">ATENCION A VICTIMAS DE ATAQUE CON AGENTES QUIMICOS </v>
      </c>
      <c r="U65" s="29" t="str">
        <f t="shared" si="9"/>
        <v>Linneth Yurany Armero Hernandez</v>
      </c>
      <c r="V65" s="29" t="str">
        <f t="shared" si="10"/>
        <v>Linneth Yurany Armero Hernandez</v>
      </c>
      <c r="W65" s="29" t="str">
        <f t="shared" si="11"/>
        <v>Linneth Yurany Armero Hernandez-1082748911-QUIMICOS</v>
      </c>
    </row>
    <row r="66" spans="1:24" s="50" customFormat="1" x14ac:dyDescent="0.2">
      <c r="A66" s="31">
        <v>65</v>
      </c>
      <c r="B66" s="48">
        <v>1082748911</v>
      </c>
      <c r="C66" s="48" t="s">
        <v>286</v>
      </c>
      <c r="D66" s="48" t="s">
        <v>287</v>
      </c>
      <c r="E66" s="48" t="s">
        <v>288</v>
      </c>
      <c r="F66" s="48" t="s">
        <v>289</v>
      </c>
      <c r="G66" s="26">
        <v>10</v>
      </c>
      <c r="H66" s="26" t="s">
        <v>93</v>
      </c>
      <c r="I66" s="28">
        <v>45422</v>
      </c>
      <c r="J66" s="58">
        <v>20000</v>
      </c>
      <c r="K66" s="26" t="s">
        <v>77</v>
      </c>
      <c r="L66" s="26" t="s">
        <v>84</v>
      </c>
      <c r="M66" s="26" t="s">
        <v>282</v>
      </c>
      <c r="N66" s="27" t="s">
        <v>46</v>
      </c>
      <c r="O66" s="49">
        <v>35198</v>
      </c>
      <c r="P66" s="48" t="s">
        <v>100</v>
      </c>
      <c r="Q66" s="48" t="s">
        <v>106</v>
      </c>
      <c r="R66" s="48">
        <v>3175611597</v>
      </c>
      <c r="S66" s="48" t="s">
        <v>300</v>
      </c>
      <c r="T66" s="82" t="str">
        <f>IF(N66=CURSOS!$D$3,"DIPLOMADO EN ATENCION PRE-HOSPITALARIA",IF(N66=CURSOS!$D$4,"ACOMPAÑAMIENTO Y MANEJO DEL DUELO",IF(N66=CURSOS!$D$5,"ATENCION A VICTIMAS DE ATAQUE CON AGENTES QUIMICOS ",IF(N66=CURSOS!$D$6,"PRIMEROS AUXILIOS ",IF(N66=CURSOS!$D$7,"DIPLOMADO DE UNIDAD DE CUIDADOS INTENSIVOS (UCI)",IF(N66=CURSOS!$D$8,"MODELO DE ATENCION PARA EVENTOS EMERGENTES EN SALUD MENTAL (CODIGO VERDE)",IF(N66=CURSOS!$D$9,"HUMANIZACION EN SALUD, BUENAS PRACTICAS EN PACIENTE ",IF(N66=CURSOS!$D$10,"CLINICA DE HERIDAS ",IF(N66=CURSOS!$D$11,"TOMA DE CITOLOGIA A CERVICO VAGINAL ",IF(N66=CURSOS!$D$12,"SOPORTE CARDIOVASCULAR AVANZADO ",IF(N66=CURSOS!$D$13,"CAMILLERO ",IF(N66=CURSOS!$D$14,"TOMA MUESTRAS Y LABORATORIO ",IF(N66=CURSOS!$D$15,"SOPORTE VITAL BASICO (BLS)",IF(N66=CURSOS!$D$16,"ATENCION A VICTIMAS DE VIOLENCIA SEXUAL ",IF(N66=CURSOS!$D$17,"PROGRAMADO AMPLIADO DE INMUNIZACION (PAI - COVID 19)",IF(N66=CURSOS!$D$18,"ATENCION INTEGRAL EN ENFERMEDADES PREVALENTES EN PRIMERA INFANCIA (AIEPI)",IF(N66=CURSOS!$D$19,"ADMINISTRACION DE MEDICAMENTOS, IYECTOLOGIA  Y CANALIZACION ",IF(N66=CURSOS!$D$20,"OPERADOR DE VEHICULOS DE EMERGENCIA (OVE)",IF(N66=CURSOS!$D$21,"INSTITUCIONES AMIGAS DE LA MUJER Y LA INFANCIA (IAMI)",IF(N66=CURSOS!$D$22,"CUIDADO DEL DONANTE DE ORGANOS",IF(N66=CURSOS!$D$23,"ATENCION A VICTIMAS POR VIOLENCIA DE GENERO",IF(N66=CURSOS!$D$24,"IGUALDAD DE GENERO EN LA SALUD",IF(N66=CURSOS!$D$25,"BRIGADA DE EMERGENCIA",IF(N66=CURSOS!$D$26,"MANEJO DEL DOLOR Y CUIDADOS PALIATIVOS",IF(N66=CURSOS!$D$27,"TOMA MUESTRAS Y LABORATORIO POCT",IF(N66=CURSOS!$D$28,"IMPLANTE SUBDERMICO Y DISPOSITIVO INTRAUTERINO",IF(N66=CURSOS!$D$29,"SALUD MENTAL",IF(N66=CURSOS!$D$30,"PRIMEROS AUXILIOS PSICOLOGICOS",IF(N66=CURSOS!$D$31,"ATENCION A VICTIMAS POR CONFLICTO ARMADO",IF(N66=CURSOS!$D$32,"MANIPULACION DE ALIMENTOS Y BPM"))))))))))))))))))))))))))))))</f>
        <v xml:space="preserve">ATENCION A VICTIMAS DE VIOLENCIA SEXUAL </v>
      </c>
      <c r="U66" s="82" t="str">
        <f t="shared" si="9"/>
        <v>Linneth Yurany Armero Hernandez</v>
      </c>
      <c r="V66" s="82" t="str">
        <f t="shared" si="10"/>
        <v>Linneth Yurany Armero Hernandez</v>
      </c>
      <c r="W66" s="82" t="str">
        <f t="shared" si="11"/>
        <v>Linneth Yurany Armero Hernandez-1082748911-VIOLENCIA SEXUAL</v>
      </c>
    </row>
    <row r="67" spans="1:24" s="50" customFormat="1" x14ac:dyDescent="0.2">
      <c r="A67" s="31">
        <v>66</v>
      </c>
      <c r="B67" s="48">
        <v>1007751596</v>
      </c>
      <c r="C67" s="48" t="s">
        <v>290</v>
      </c>
      <c r="D67" s="48" t="s">
        <v>291</v>
      </c>
      <c r="E67" s="48" t="s">
        <v>292</v>
      </c>
      <c r="F67" s="48" t="s">
        <v>254</v>
      </c>
      <c r="G67" s="26">
        <v>10</v>
      </c>
      <c r="H67" s="26" t="s">
        <v>93</v>
      </c>
      <c r="I67" s="28">
        <v>45422</v>
      </c>
      <c r="J67" s="58">
        <v>20000</v>
      </c>
      <c r="K67" s="26" t="s">
        <v>77</v>
      </c>
      <c r="L67" s="26" t="s">
        <v>84</v>
      </c>
      <c r="M67" s="26" t="s">
        <v>282</v>
      </c>
      <c r="N67" s="27" t="s">
        <v>46</v>
      </c>
      <c r="O67" s="49">
        <v>36766</v>
      </c>
      <c r="P67" s="48" t="s">
        <v>100</v>
      </c>
      <c r="Q67" s="48" t="s">
        <v>106</v>
      </c>
      <c r="R67" s="48">
        <v>3126060630</v>
      </c>
      <c r="S67" s="48" t="s">
        <v>299</v>
      </c>
      <c r="T67" s="82" t="str">
        <f>IF(N67=CURSOS!$D$3,"DIPLOMADO EN ATENCION PRE-HOSPITALARIA",IF(N67=CURSOS!$D$4,"ACOMPAÑAMIENTO Y MANEJO DEL DUELO",IF(N67=CURSOS!$D$5,"ATENCION A VICTIMAS DE ATAQUE CON AGENTES QUIMICOS ",IF(N67=CURSOS!$D$6,"PRIMEROS AUXILIOS ",IF(N67=CURSOS!$D$7,"DIPLOMADO DE UNIDAD DE CUIDADOS INTENSIVOS (UCI)",IF(N67=CURSOS!$D$8,"MODELO DE ATENCION PARA EVENTOS EMERGENTES EN SALUD MENTAL (CODIGO VERDE)",IF(N67=CURSOS!$D$9,"HUMANIZACION EN SALUD, BUENAS PRACTICAS EN PACIENTE ",IF(N67=CURSOS!$D$10,"CLINICA DE HERIDAS ",IF(N67=CURSOS!$D$11,"TOMA DE CITOLOGIA A CERVICO VAGINAL ",IF(N67=CURSOS!$D$12,"SOPORTE CARDIOVASCULAR AVANZADO ",IF(N67=CURSOS!$D$13,"CAMILLERO ",IF(N67=CURSOS!$D$14,"TOMA MUESTRAS Y LABORATORIO ",IF(N67=CURSOS!$D$15,"SOPORTE VITAL BASICO (BLS)",IF(N67=CURSOS!$D$16,"ATENCION A VICTIMAS DE VIOLENCIA SEXUAL ",IF(N67=CURSOS!$D$17,"PROGRAMADO AMPLIADO DE INMUNIZACION (PAI - COVID 19)",IF(N67=CURSOS!$D$18,"ATENCION INTEGRAL EN ENFERMEDADES PREVALENTES EN PRIMERA INFANCIA (AIEPI)",IF(N67=CURSOS!$D$19,"ADMINISTRACION DE MEDICAMENTOS, IYECTOLOGIA  Y CANALIZACION ",IF(N67=CURSOS!$D$20,"OPERADOR DE VEHICULOS DE EMERGENCIA (OVE)",IF(N67=CURSOS!$D$21,"INSTITUCIONES AMIGAS DE LA MUJER Y LA INFANCIA (IAMI)",IF(N67=CURSOS!$D$22,"CUIDADO DEL DONANTE DE ORGANOS",IF(N67=CURSOS!$D$23,"ATENCION A VICTIMAS POR VIOLENCIA DE GENERO",IF(N67=CURSOS!$D$24,"IGUALDAD DE GENERO EN LA SALUD",IF(N67=CURSOS!$D$25,"BRIGADA DE EMERGENCIA",IF(N67=CURSOS!$D$26,"MANEJO DEL DOLOR Y CUIDADOS PALIATIVOS",IF(N67=CURSOS!$D$27,"TOMA MUESTRAS Y LABORATORIO POCT",IF(N67=CURSOS!$D$28,"IMPLANTE SUBDERMICO Y DISPOSITIVO INTRAUTERINO",IF(N67=CURSOS!$D$29,"SALUD MENTAL",IF(N67=CURSOS!$D$30,"PRIMEROS AUXILIOS PSICOLOGICOS",IF(N67=CURSOS!$D$31,"ATENCION A VICTIMAS POR CONFLICTO ARMADO",IF(N67=CURSOS!$D$32,"MANIPULACION DE ALIMENTOS Y BPM"))))))))))))))))))))))))))))))</f>
        <v xml:space="preserve">ATENCION A VICTIMAS DE VIOLENCIA SEXUAL </v>
      </c>
      <c r="U67" s="82" t="str">
        <f t="shared" si="9"/>
        <v>Eliana Carolina Diaz Carlosama</v>
      </c>
      <c r="V67" s="82" t="str">
        <f t="shared" si="10"/>
        <v>Eliana Carolina Diaz Carlosama</v>
      </c>
      <c r="W67" s="82" t="str">
        <f t="shared" si="11"/>
        <v>Eliana Carolina Diaz Carlosama-1007751596-VIOLENCIA SEXUAL</v>
      </c>
    </row>
    <row r="68" spans="1:24" s="50" customFormat="1" x14ac:dyDescent="0.2">
      <c r="A68" s="48">
        <v>67</v>
      </c>
      <c r="B68" s="48">
        <v>1007751596</v>
      </c>
      <c r="C68" s="48" t="s">
        <v>290</v>
      </c>
      <c r="D68" s="48" t="s">
        <v>291</v>
      </c>
      <c r="E68" s="48" t="s">
        <v>292</v>
      </c>
      <c r="F68" s="48" t="s">
        <v>254</v>
      </c>
      <c r="G68" s="26">
        <v>10</v>
      </c>
      <c r="H68" s="26" t="s">
        <v>93</v>
      </c>
      <c r="I68" s="28">
        <v>45422</v>
      </c>
      <c r="J68" s="58"/>
      <c r="K68" s="26" t="s">
        <v>77</v>
      </c>
      <c r="L68" s="26" t="s">
        <v>84</v>
      </c>
      <c r="M68" s="26" t="s">
        <v>282</v>
      </c>
      <c r="N68" s="27" t="s">
        <v>27</v>
      </c>
      <c r="O68" s="49">
        <v>36766</v>
      </c>
      <c r="P68" s="48" t="s">
        <v>100</v>
      </c>
      <c r="Q68" s="48" t="s">
        <v>106</v>
      </c>
      <c r="R68" s="48">
        <v>3126060630</v>
      </c>
      <c r="S68" s="48" t="s">
        <v>299</v>
      </c>
      <c r="T68" s="82" t="str">
        <f>IF(N68=CURSOS!$D$3,"DIPLOMADO EN ATENCION PRE-HOSPITALARIA",IF(N68=CURSOS!$D$4,"ACOMPAÑAMIENTO Y MANEJO DEL DUELO",IF(N68=CURSOS!$D$5,"ATENCION A VICTIMAS DE ATAQUE CON AGENTES QUIMICOS ",IF(N68=CURSOS!$D$6,"PRIMEROS AUXILIOS ",IF(N68=CURSOS!$D$7,"DIPLOMADO DE UNIDAD DE CUIDADOS INTENSIVOS (UCI)",IF(N68=CURSOS!$D$8,"MODELO DE ATENCION PARA EVENTOS EMERGENTES EN SALUD MENTAL (CODIGO VERDE)",IF(N68=CURSOS!$D$9,"HUMANIZACION EN SALUD, BUENAS PRACTICAS EN PACIENTE ",IF(N68=CURSOS!$D$10,"CLINICA DE HERIDAS ",IF(N68=CURSOS!$D$11,"TOMA DE CITOLOGIA A CERVICO VAGINAL ",IF(N68=CURSOS!$D$12,"SOPORTE CARDIOVASCULAR AVANZADO ",IF(N68=CURSOS!$D$13,"CAMILLERO ",IF(N68=CURSOS!$D$14,"TOMA MUESTRAS Y LABORATORIO ",IF(N68=CURSOS!$D$15,"SOPORTE VITAL BASICO (BLS)",IF(N68=CURSOS!$D$16,"ATENCION A VICTIMAS DE VIOLENCIA SEXUAL ",IF(N68=CURSOS!$D$17,"PROGRAMADO AMPLIADO DE INMUNIZACION (PAI - COVID 19)",IF(N68=CURSOS!$D$18,"ATENCION INTEGRAL EN ENFERMEDADES PREVALENTES EN PRIMERA INFANCIA (AIEPI)",IF(N68=CURSOS!$D$19,"ADMINISTRACION DE MEDICAMENTOS, IYECTOLOGIA  Y CANALIZACION ",IF(N68=CURSOS!$D$20,"OPERADOR DE VEHICULOS DE EMERGENCIA (OVE)",IF(N68=CURSOS!$D$21,"INSTITUCIONES AMIGAS DE LA MUJER Y LA INFANCIA (IAMI)",IF(N68=CURSOS!$D$22,"CUIDADO DEL DONANTE DE ORGANOS",IF(N68=CURSOS!$D$23,"ATENCION A VICTIMAS POR VIOLENCIA DE GENERO",IF(N68=CURSOS!$D$24,"IGUALDAD DE GENERO EN LA SALUD",IF(N68=CURSOS!$D$25,"BRIGADA DE EMERGENCIA",IF(N68=CURSOS!$D$26,"MANEJO DEL DOLOR Y CUIDADOS PALIATIVOS",IF(N68=CURSOS!$D$27,"TOMA MUESTRAS Y LABORATORIO POCT",IF(N68=CURSOS!$D$28,"IMPLANTE SUBDERMICO Y DISPOSITIVO INTRAUTERINO",IF(N68=CURSOS!$D$29,"SALUD MENTAL",IF(N68=CURSOS!$D$30,"PRIMEROS AUXILIOS PSICOLOGICOS",IF(N68=CURSOS!$D$31,"ATENCION A VICTIMAS POR CONFLICTO ARMADO",IF(N68=CURSOS!$D$32,"MANIPULACION DE ALIMENTOS Y BPM"))))))))))))))))))))))))))))))</f>
        <v xml:space="preserve">PRIMEROS AUXILIOS </v>
      </c>
      <c r="U68" s="82" t="str">
        <f t="shared" ref="U68" si="12">CONCATENATE(E68," ",F68," ",C68," ",D68)</f>
        <v>Eliana Carolina Diaz Carlosama</v>
      </c>
      <c r="V68" s="82" t="str">
        <f t="shared" ref="V68" si="13">+PROPER(U68)</f>
        <v>Eliana Carolina Diaz Carlosama</v>
      </c>
      <c r="W68" s="82" t="str">
        <f t="shared" ref="W68" si="14">CONCATENATE(U68,"-",B68,"-",N68)</f>
        <v>Eliana Carolina Diaz Carlosama-1007751596-PRIMEROS AUXILIOS</v>
      </c>
    </row>
    <row r="69" spans="1:24" s="50" customFormat="1" x14ac:dyDescent="0.2">
      <c r="A69" s="31">
        <v>68</v>
      </c>
      <c r="B69" s="48">
        <v>1007751596</v>
      </c>
      <c r="C69" s="48" t="s">
        <v>290</v>
      </c>
      <c r="D69" s="48" t="s">
        <v>291</v>
      </c>
      <c r="E69" s="48" t="s">
        <v>292</v>
      </c>
      <c r="F69" s="48" t="s">
        <v>254</v>
      </c>
      <c r="G69" s="26">
        <v>10</v>
      </c>
      <c r="H69" s="26" t="s">
        <v>93</v>
      </c>
      <c r="I69" s="28">
        <v>45422</v>
      </c>
      <c r="J69" s="58">
        <v>20000</v>
      </c>
      <c r="K69" s="26" t="s">
        <v>77</v>
      </c>
      <c r="L69" s="26" t="s">
        <v>84</v>
      </c>
      <c r="M69" s="26" t="s">
        <v>282</v>
      </c>
      <c r="N69" s="27" t="s">
        <v>25</v>
      </c>
      <c r="O69" s="49">
        <v>36766</v>
      </c>
      <c r="P69" s="48" t="s">
        <v>100</v>
      </c>
      <c r="Q69" s="48" t="s">
        <v>106</v>
      </c>
      <c r="R69" s="48">
        <v>3126060630</v>
      </c>
      <c r="S69" s="48" t="s">
        <v>299</v>
      </c>
      <c r="T69" s="82" t="str">
        <f>IF(N69=CURSOS!$D$3,"DIPLOMADO EN ATENCION PRE-HOSPITALARIA",IF(N69=CURSOS!$D$4,"ACOMPAÑAMIENTO Y MANEJO DEL DUELO",IF(N69=CURSOS!$D$5,"ATENCION A VICTIMAS DE ATAQUE CON AGENTES QUIMICOS ",IF(N69=CURSOS!$D$6,"PRIMEROS AUXILIOS ",IF(N69=CURSOS!$D$7,"DIPLOMADO DE UNIDAD DE CUIDADOS INTENSIVOS (UCI)",IF(N69=CURSOS!$D$8,"MODELO DE ATENCION PARA EVENTOS EMERGENTES EN SALUD MENTAL (CODIGO VERDE)",IF(N69=CURSOS!$D$9,"HUMANIZACION EN SALUD, BUENAS PRACTICAS EN PACIENTE ",IF(N69=CURSOS!$D$10,"CLINICA DE HERIDAS ",IF(N69=CURSOS!$D$11,"TOMA DE CITOLOGIA A CERVICO VAGINAL ",IF(N69=CURSOS!$D$12,"SOPORTE CARDIOVASCULAR AVANZADO ",IF(N69=CURSOS!$D$13,"CAMILLERO ",IF(N69=CURSOS!$D$14,"TOMA MUESTRAS Y LABORATORIO ",IF(N69=CURSOS!$D$15,"SOPORTE VITAL BASICO (BLS)",IF(N69=CURSOS!$D$16,"ATENCION A VICTIMAS DE VIOLENCIA SEXUAL ",IF(N69=CURSOS!$D$17,"PROGRAMADO AMPLIADO DE INMUNIZACION (PAI - COVID 19)",IF(N69=CURSOS!$D$18,"ATENCION INTEGRAL EN ENFERMEDADES PREVALENTES EN PRIMERA INFANCIA (AIEPI)",IF(N69=CURSOS!$D$19,"ADMINISTRACION DE MEDICAMENTOS, IYECTOLOGIA  Y CANALIZACION ",IF(N69=CURSOS!$D$20,"OPERADOR DE VEHICULOS DE EMERGENCIA (OVE)",IF(N69=CURSOS!$D$21,"INSTITUCIONES AMIGAS DE LA MUJER Y LA INFANCIA (IAMI)",IF(N69=CURSOS!$D$22,"CUIDADO DEL DONANTE DE ORGANOS",IF(N69=CURSOS!$D$23,"ATENCION A VICTIMAS POR VIOLENCIA DE GENERO",IF(N69=CURSOS!$D$24,"IGUALDAD DE GENERO EN LA SALUD",IF(N69=CURSOS!$D$25,"BRIGADA DE EMERGENCIA",IF(N69=CURSOS!$D$26,"MANEJO DEL DOLOR Y CUIDADOS PALIATIVOS",IF(N69=CURSOS!$D$27,"TOMA MUESTRAS Y LABORATORIO POCT",IF(N69=CURSOS!$D$28,"IMPLANTE SUBDERMICO Y DISPOSITIVO INTRAUTERINO",IF(N69=CURSOS!$D$29,"SALUD MENTAL",IF(N69=CURSOS!$D$30,"PRIMEROS AUXILIOS PSICOLOGICOS",IF(N69=CURSOS!$D$31,"ATENCION A VICTIMAS POR CONFLICTO ARMADO",IF(N69=CURSOS!$D$32,"MANIPULACION DE ALIMENTOS Y BPM"))))))))))))))))))))))))))))))</f>
        <v xml:space="preserve">ATENCION A VICTIMAS DE ATAQUE CON AGENTES QUIMICOS </v>
      </c>
      <c r="U69" s="82" t="str">
        <f t="shared" si="9"/>
        <v>Eliana Carolina Diaz Carlosama</v>
      </c>
      <c r="V69" s="82" t="str">
        <f t="shared" si="10"/>
        <v>Eliana Carolina Diaz Carlosama</v>
      </c>
      <c r="W69" s="82" t="str">
        <f t="shared" si="11"/>
        <v>Eliana Carolina Diaz Carlosama-1007751596-QUIMICOS</v>
      </c>
    </row>
    <row r="70" spans="1:24" s="50" customFormat="1" x14ac:dyDescent="0.2">
      <c r="A70" s="31">
        <v>69</v>
      </c>
      <c r="B70" s="48">
        <v>1085933699</v>
      </c>
      <c r="C70" s="48" t="s">
        <v>293</v>
      </c>
      <c r="D70" s="48" t="s">
        <v>294</v>
      </c>
      <c r="E70" s="48" t="s">
        <v>295</v>
      </c>
      <c r="F70" s="48" t="s">
        <v>296</v>
      </c>
      <c r="G70" s="26">
        <v>10</v>
      </c>
      <c r="H70" s="26" t="s">
        <v>93</v>
      </c>
      <c r="I70" s="28">
        <v>45426</v>
      </c>
      <c r="J70" s="58">
        <v>25000</v>
      </c>
      <c r="K70" s="26" t="s">
        <v>77</v>
      </c>
      <c r="L70" s="26" t="s">
        <v>84</v>
      </c>
      <c r="M70" s="26" t="s">
        <v>154</v>
      </c>
      <c r="N70" s="27" t="s">
        <v>19</v>
      </c>
      <c r="O70" s="49">
        <v>34292</v>
      </c>
      <c r="P70" s="48" t="s">
        <v>100</v>
      </c>
      <c r="Q70" s="48" t="s">
        <v>106</v>
      </c>
      <c r="R70" s="48">
        <v>3185854540</v>
      </c>
      <c r="S70" s="48" t="s">
        <v>297</v>
      </c>
      <c r="T70" s="82" t="str">
        <f>IF(N70=CURSOS!$D$3,"DIPLOMADO EN ATENCION PRE-HOSPITALARIA",IF(N70=CURSOS!$D$4,"ACOMPAÑAMIENTO Y MANEJO DEL DUELO",IF(N70=CURSOS!$D$5,"ATENCION A VICTIMAS DE ATAQUE CON AGENTES QUIMICOS ",IF(N70=CURSOS!$D$6,"PRIMEROS AUXILIOS ",IF(N70=CURSOS!$D$7,"DIPLOMADO DE UNIDAD DE CUIDADOS INTENSIVOS (UCI)",IF(N70=CURSOS!$D$8,"MODELO DE ATENCION PARA EVENTOS EMERGENTES EN SALUD MENTAL (CODIGO VERDE)",IF(N70=CURSOS!$D$9,"HUMANIZACION EN SALUD, BUENAS PRACTICAS EN PACIENTE ",IF(N70=CURSOS!$D$10,"CLINICA DE HERIDAS ",IF(N70=CURSOS!$D$11,"TOMA DE CITOLOGIA A CERVICO VAGINAL ",IF(N70=CURSOS!$D$12,"SOPORTE CARDIOVASCULAR AVANZADO ",IF(N70=CURSOS!$D$13,"CAMILLERO ",IF(N70=CURSOS!$D$14,"TOMA MUESTRAS Y LABORATORIO ",IF(N70=CURSOS!$D$15,"SOPORTE VITAL BASICO (BLS)",IF(N70=CURSOS!$D$16,"ATENCION A VICTIMAS DE VIOLENCIA SEXUAL ",IF(N70=CURSOS!$D$17,"PROGRAMADO AMPLIADO DE INMUNIZACION (PAI - COVID 19)",IF(N70=CURSOS!$D$18,"ATENCION INTEGRAL EN ENFERMEDADES PREVALENTES EN PRIMERA INFANCIA (AIEPI)",IF(N70=CURSOS!$D$19,"ADMINISTRACION DE MEDICAMENTOS, IYECTOLOGIA  Y CANALIZACION ",IF(N70=CURSOS!$D$20,"OPERADOR DE VEHICULOS DE EMERGENCIA (OVE)",IF(N70=CURSOS!$D$21,"INSTITUCIONES AMIGAS DE LA MUJER Y LA INFANCIA (IAMI)",IF(N70=CURSOS!$D$22,"CUIDADO DEL DONANTE DE ORGANOS",IF(N70=CURSOS!$D$23,"ATENCION A VICTIMAS POR VIOLENCIA DE GENERO",IF(N70=CURSOS!$D$24,"IGUALDAD DE GENERO EN LA SALUD",IF(N70=CURSOS!$D$25,"BRIGADA DE EMERGENCIA",IF(N70=CURSOS!$D$26,"MANEJO DEL DOLOR Y CUIDADOS PALIATIVOS",IF(N70=CURSOS!$D$27,"TOMA MUESTRAS Y LABORATORIO POCT",IF(N70=CURSOS!$D$28,"IMPLANTE SUBDERMICO Y DISPOSITIVO INTRAUTERINO",IF(N70=CURSOS!$D$29,"SALUD MENTAL",IF(N70=CURSOS!$D$30,"PRIMEROS AUXILIOS PSICOLOGICOS",IF(N70=CURSOS!$D$31,"ATENCION A VICTIMAS POR CONFLICTO ARMADO",IF(N70=CURSOS!$D$32,"MANIPULACION DE ALIMENTOS Y BPM"))))))))))))))))))))))))))))))</f>
        <v>SOPORTE VITAL BASICO (BLS)</v>
      </c>
      <c r="U70" s="82" t="str">
        <f t="shared" ref="U70:U78" si="15">CONCATENATE(E70," ",F70," ",C70," ",D70)</f>
        <v>Tania Andrea Henández Ceballos</v>
      </c>
      <c r="V70" s="82" t="str">
        <f t="shared" ref="V70:V78" si="16">+PROPER(U70)</f>
        <v>Tania Andrea Henández Ceballos</v>
      </c>
      <c r="W70" s="82" t="str">
        <f t="shared" ref="W70:W78" si="17">CONCATENATE(U70,"-",B70,"-",N70)</f>
        <v>Tania Andrea Henández Ceballos-1085933699-BLS</v>
      </c>
    </row>
    <row r="71" spans="1:24" s="50" customFormat="1" x14ac:dyDescent="0.2">
      <c r="A71" s="31">
        <v>70</v>
      </c>
      <c r="B71" s="48">
        <v>27090397</v>
      </c>
      <c r="C71" s="48" t="s">
        <v>243</v>
      </c>
      <c r="D71" s="48" t="s">
        <v>82</v>
      </c>
      <c r="E71" s="48" t="s">
        <v>302</v>
      </c>
      <c r="F71" s="48" t="s">
        <v>303</v>
      </c>
      <c r="G71" s="26">
        <v>9</v>
      </c>
      <c r="H71" s="26" t="s">
        <v>93</v>
      </c>
      <c r="I71" s="28">
        <v>45426</v>
      </c>
      <c r="J71" s="58">
        <v>25000</v>
      </c>
      <c r="K71" s="26" t="s">
        <v>124</v>
      </c>
      <c r="L71" s="26" t="s">
        <v>84</v>
      </c>
      <c r="M71" s="26" t="s">
        <v>265</v>
      </c>
      <c r="N71" s="27" t="s">
        <v>23</v>
      </c>
      <c r="O71" s="49">
        <v>29151</v>
      </c>
      <c r="P71" s="48" t="s">
        <v>100</v>
      </c>
      <c r="Q71" s="48" t="s">
        <v>106</v>
      </c>
      <c r="R71" s="48">
        <v>3167040632</v>
      </c>
      <c r="S71" s="48" t="s">
        <v>304</v>
      </c>
      <c r="T71" s="82" t="str">
        <f>IF(N71=CURSOS!$D$3,"DIPLOMADO EN ATENCION PRE-HOSPITALARIA",IF(N71=CURSOS!$D$4,"ACOMPAÑAMIENTO Y MANEJO DEL DUELO",IF(N71=CURSOS!$D$5,"ATENCION A VICTIMAS DE ATAQUE CON AGENTES QUIMICOS ",IF(N71=CURSOS!$D$6,"PRIMEROS AUXILIOS ",IF(N71=CURSOS!$D$7,"DIPLOMADO DE UNIDAD DE CUIDADOS INTENSIVOS (UCI)",IF(N71=CURSOS!$D$8,"MODELO DE ATENCION PARA EVENTOS EMERGENTES EN SALUD MENTAL (CODIGO VERDE)",IF(N71=CURSOS!$D$9,"HUMANIZACION EN SALUD, BUENAS PRACTICAS EN PACIENTE ",IF(N71=CURSOS!$D$10,"CLINICA DE HERIDAS ",IF(N71=CURSOS!$D$11,"TOMA DE CITOLOGIA A CERVICO VAGINAL ",IF(N71=CURSOS!$D$12,"SOPORTE CARDIOVASCULAR AVANZADO ",IF(N71=CURSOS!$D$13,"CAMILLERO ",IF(N71=CURSOS!$D$14,"TOMA MUESTRAS Y LABORATORIO ",IF(N71=CURSOS!$D$15,"SOPORTE VITAL BASICO (BLS)",IF(N71=CURSOS!$D$16,"ATENCION A VICTIMAS DE VIOLENCIA SEXUAL ",IF(N71=CURSOS!$D$17,"PROGRAMADO AMPLIADO DE INMUNIZACION (PAI - COVID 19)",IF(N71=CURSOS!$D$18,"ATENCION INTEGRAL EN ENFERMEDADES PREVALENTES EN PRIMERA INFANCIA (AIEPI)",IF(N71=CURSOS!$D$19,"ADMINISTRACION DE MEDICAMENTOS, IYECTOLOGIA  Y CANALIZACION ",IF(N71=CURSOS!$D$20,"OPERADOR DE VEHICULOS DE EMERGENCIA (OVE)",IF(N71=CURSOS!$D$21,"INSTITUCIONES AMIGAS DE LA MUJER Y LA INFANCIA (IAMI)",IF(N71=CURSOS!$D$22,"CUIDADO DEL DONANTE DE ORGANOS",IF(N71=CURSOS!$D$23,"ATENCION A VICTIMAS POR VIOLENCIA DE GENERO",IF(N71=CURSOS!$D$24,"IGUALDAD DE GENERO EN LA SALUD",IF(N71=CURSOS!$D$25,"BRIGADA DE EMERGENCIA",IF(N71=CURSOS!$D$26,"MANEJO DEL DOLOR Y CUIDADOS PALIATIVOS",IF(N71=CURSOS!$D$27,"TOMA MUESTRAS Y LABORATORIO POCT",IF(N71=CURSOS!$D$28,"IMPLANTE SUBDERMICO Y DISPOSITIVO INTRAUTERINO",IF(N71=CURSOS!$D$29,"SALUD MENTAL",IF(N71=CURSOS!$D$30,"PRIMEROS AUXILIOS PSICOLOGICOS",IF(N71=CURSOS!$D$31,"ATENCION A VICTIMAS POR CONFLICTO ARMADO",IF(N71=CURSOS!$D$32,"MANIPULACION DE ALIMENTOS Y BPM"))))))))))))))))))))))))))))))</f>
        <v>ACOMPAÑAMIENTO Y MANEJO DEL DUELO</v>
      </c>
      <c r="U71" s="82" t="str">
        <f t="shared" si="15"/>
        <v>Lucy Anabel Bastidas Delgado</v>
      </c>
      <c r="V71" s="82" t="str">
        <f t="shared" si="16"/>
        <v>Lucy Anabel Bastidas Delgado</v>
      </c>
      <c r="W71" s="82" t="str">
        <f t="shared" si="17"/>
        <v>Lucy Anabel Bastidas Delgado-27090397-DUELO</v>
      </c>
      <c r="X71" s="107"/>
    </row>
    <row r="72" spans="1:24" s="83" customFormat="1" x14ac:dyDescent="0.2">
      <c r="A72" s="31">
        <v>71</v>
      </c>
      <c r="B72" s="48">
        <v>1088972103</v>
      </c>
      <c r="C72" s="48" t="s">
        <v>171</v>
      </c>
      <c r="D72" s="48" t="s">
        <v>278</v>
      </c>
      <c r="E72" s="48" t="s">
        <v>305</v>
      </c>
      <c r="F72" s="48" t="s">
        <v>156</v>
      </c>
      <c r="G72" s="26">
        <v>10</v>
      </c>
      <c r="H72" s="26" t="s">
        <v>93</v>
      </c>
      <c r="I72" s="28">
        <v>45423</v>
      </c>
      <c r="J72" s="58">
        <v>56000</v>
      </c>
      <c r="K72" s="26" t="s">
        <v>124</v>
      </c>
      <c r="L72" s="26" t="s">
        <v>84</v>
      </c>
      <c r="M72" s="26" t="s">
        <v>75</v>
      </c>
      <c r="N72" s="27" t="s">
        <v>46</v>
      </c>
      <c r="O72" s="49">
        <v>32500</v>
      </c>
      <c r="P72" s="48" t="s">
        <v>79</v>
      </c>
      <c r="Q72" s="48" t="s">
        <v>306</v>
      </c>
      <c r="R72" s="48">
        <v>3013812387</v>
      </c>
      <c r="S72" s="48" t="s">
        <v>307</v>
      </c>
      <c r="T72" s="82" t="str">
        <f>IF(N72=CURSOS!$D$3,"DIPLOMADO EN ATENCION PRE-HOSPITALARIA",IF(N72=CURSOS!$D$4,"ACOMPAÑAMIENTO Y MANEJO DEL DUELO",IF(N72=CURSOS!$D$5,"ATENCION A VICTIMAS DE ATAQUE CON AGENTES QUIMICOS ",IF(N72=CURSOS!$D$6,"PRIMEROS AUXILIOS ",IF(N72=CURSOS!$D$7,"DIPLOMADO DE UNIDAD DE CUIDADOS INTENSIVOS (UCI)",IF(N72=CURSOS!$D$8,"MODELO DE ATENCION PARA EVENTOS EMERGENTES EN SALUD MENTAL (CODIGO VERDE)",IF(N72=CURSOS!$D$9,"HUMANIZACION EN SALUD, BUENAS PRACTICAS EN PACIENTE ",IF(N72=CURSOS!$D$10,"CLINICA DE HERIDAS ",IF(N72=CURSOS!$D$11,"TOMA DE CITOLOGIA A CERVICO VAGINAL ",IF(N72=CURSOS!$D$12,"SOPORTE CARDIOVASCULAR AVANZADO ",IF(N72=CURSOS!$D$13,"CAMILLERO ",IF(N72=CURSOS!$D$14,"TOMA MUESTRAS Y LABORATORIO ",IF(N72=CURSOS!$D$15,"SOPORTE VITAL BASICO (BLS)",IF(N72=CURSOS!$D$16,"ATENCION A VICTIMAS DE VIOLENCIA SEXUAL ",IF(N72=CURSOS!$D$17,"PROGRAMADO AMPLIADO DE INMUNIZACION (PAI - COVID 19)",IF(N72=CURSOS!$D$18,"ATENCION INTEGRAL EN ENFERMEDADES PREVALENTES EN PRIMERA INFANCIA (AIEPI)",IF(N72=CURSOS!$D$19,"ADMINISTRACION DE MEDICAMENTOS, IYECTOLOGIA  Y CANALIZACION ",IF(N72=CURSOS!$D$20,"OPERADOR DE VEHICULOS DE EMERGENCIA (OVE)",IF(N72=CURSOS!$D$21,"INSTITUCIONES AMIGAS DE LA MUJER Y LA INFANCIA (IAMI)",IF(N72=CURSOS!$D$22,"CUIDADO DEL DONANTE DE ORGANOS",IF(N72=CURSOS!$D$23,"ATENCION A VICTIMAS POR VIOLENCIA DE GENERO",IF(N72=CURSOS!$D$24,"IGUALDAD DE GENERO EN LA SALUD",IF(N72=CURSOS!$D$25,"BRIGADA DE EMERGENCIA",IF(N72=CURSOS!$D$26,"MANEJO DEL DOLOR Y CUIDADOS PALIATIVOS",IF(N72=CURSOS!$D$27,"TOMA MUESTRAS Y LABORATORIO POCT",IF(N72=CURSOS!$D$28,"IMPLANTE SUBDERMICO Y DISPOSITIVO INTRAUTERINO",IF(N72=CURSOS!$D$29,"SALUD MENTAL",IF(N72=CURSOS!$D$30,"PRIMEROS AUXILIOS PSICOLOGICOS",IF(N72=CURSOS!$D$31,"ATENCION A VICTIMAS POR CONFLICTO ARMADO",IF(N72=CURSOS!$D$32,"MANIPULACION DE ALIMENTOS Y BPM"))))))))))))))))))))))))))))))</f>
        <v xml:space="preserve">ATENCION A VICTIMAS DE VIOLENCIA SEXUAL </v>
      </c>
      <c r="U72" s="82" t="str">
        <f t="shared" si="15"/>
        <v>Milton Andrés Ceron Muñoz</v>
      </c>
      <c r="V72" s="82" t="str">
        <f t="shared" si="16"/>
        <v>Milton Andrés Ceron Muñoz</v>
      </c>
      <c r="W72" s="82" t="str">
        <f t="shared" si="17"/>
        <v>Milton Andrés Ceron Muñoz-1088972103-VIOLENCIA SEXUAL</v>
      </c>
      <c r="X72" s="108"/>
    </row>
    <row r="73" spans="1:24" s="50" customFormat="1" x14ac:dyDescent="0.2">
      <c r="A73" s="31">
        <v>72</v>
      </c>
      <c r="B73" s="48">
        <v>1085326959</v>
      </c>
      <c r="C73" s="48" t="s">
        <v>196</v>
      </c>
      <c r="D73" s="48" t="s">
        <v>206</v>
      </c>
      <c r="E73" s="48" t="s">
        <v>308</v>
      </c>
      <c r="F73" s="48" t="s">
        <v>309</v>
      </c>
      <c r="G73" s="26">
        <v>9</v>
      </c>
      <c r="H73" s="26" t="s">
        <v>93</v>
      </c>
      <c r="I73" s="28">
        <v>45426</v>
      </c>
      <c r="J73" s="58">
        <v>25000</v>
      </c>
      <c r="K73" s="26" t="s">
        <v>124</v>
      </c>
      <c r="L73" s="26" t="s">
        <v>84</v>
      </c>
      <c r="M73" s="26" t="s">
        <v>265</v>
      </c>
      <c r="N73" s="27" t="s">
        <v>23</v>
      </c>
      <c r="O73" s="49">
        <v>35117</v>
      </c>
      <c r="P73" s="48" t="s">
        <v>100</v>
      </c>
      <c r="Q73" s="48" t="s">
        <v>106</v>
      </c>
      <c r="R73" s="48">
        <v>3172563446</v>
      </c>
      <c r="S73" s="48" t="s">
        <v>310</v>
      </c>
      <c r="T73" s="82" t="str">
        <f>IF(N73=CURSOS!$D$3,"DIPLOMADO EN ATENCION PRE-HOSPITALARIA",IF(N73=CURSOS!$D$4,"ACOMPAÑAMIENTO Y MANEJO DEL DUELO",IF(N73=CURSOS!$D$5,"ATENCION A VICTIMAS DE ATAQUE CON AGENTES QUIMICOS ",IF(N73=CURSOS!$D$6,"PRIMEROS AUXILIOS ",IF(N73=CURSOS!$D$7,"DIPLOMADO DE UNIDAD DE CUIDADOS INTENSIVOS (UCI)",IF(N73=CURSOS!$D$8,"MODELO DE ATENCION PARA EVENTOS EMERGENTES EN SALUD MENTAL (CODIGO VERDE)",IF(N73=CURSOS!$D$9,"HUMANIZACION EN SALUD, BUENAS PRACTICAS EN PACIENTE ",IF(N73=CURSOS!$D$10,"CLINICA DE HERIDAS ",IF(N73=CURSOS!$D$11,"TOMA DE CITOLOGIA A CERVICO VAGINAL ",IF(N73=CURSOS!$D$12,"SOPORTE CARDIOVASCULAR AVANZADO ",IF(N73=CURSOS!$D$13,"CAMILLERO ",IF(N73=CURSOS!$D$14,"TOMA MUESTRAS Y LABORATORIO ",IF(N73=CURSOS!$D$15,"SOPORTE VITAL BASICO (BLS)",IF(N73=CURSOS!$D$16,"ATENCION A VICTIMAS DE VIOLENCIA SEXUAL ",IF(N73=CURSOS!$D$17,"PROGRAMADO AMPLIADO DE INMUNIZACION (PAI - COVID 19)",IF(N73=CURSOS!$D$18,"ATENCION INTEGRAL EN ENFERMEDADES PREVALENTES EN PRIMERA INFANCIA (AIEPI)",IF(N73=CURSOS!$D$19,"ADMINISTRACION DE MEDICAMENTOS, IYECTOLOGIA  Y CANALIZACION ",IF(N73=CURSOS!$D$20,"OPERADOR DE VEHICULOS DE EMERGENCIA (OVE)",IF(N73=CURSOS!$D$21,"INSTITUCIONES AMIGAS DE LA MUJER Y LA INFANCIA (IAMI)",IF(N73=CURSOS!$D$22,"CUIDADO DEL DONANTE DE ORGANOS",IF(N73=CURSOS!$D$23,"ATENCION A VICTIMAS POR VIOLENCIA DE GENERO",IF(N73=CURSOS!$D$24,"IGUALDAD DE GENERO EN LA SALUD",IF(N73=CURSOS!$D$25,"BRIGADA DE EMERGENCIA",IF(N73=CURSOS!$D$26,"MANEJO DEL DOLOR Y CUIDADOS PALIATIVOS",IF(N73=CURSOS!$D$27,"TOMA MUESTRAS Y LABORATORIO POCT",IF(N73=CURSOS!$D$28,"IMPLANTE SUBDERMICO Y DISPOSITIVO INTRAUTERINO",IF(N73=CURSOS!$D$29,"SALUD MENTAL",IF(N73=CURSOS!$D$30,"PRIMEROS AUXILIOS PSICOLOGICOS",IF(N73=CURSOS!$D$31,"ATENCION A VICTIMAS POR CONFLICTO ARMADO",IF(N73=CURSOS!$D$32,"MANIPULACION DE ALIMENTOS Y BPM"))))))))))))))))))))))))))))))</f>
        <v>ACOMPAÑAMIENTO Y MANEJO DEL DUELO</v>
      </c>
      <c r="U73" s="82" t="str">
        <f t="shared" si="15"/>
        <v>Daniela Alejandra Castro Narváez</v>
      </c>
      <c r="V73" s="82" t="str">
        <f t="shared" si="16"/>
        <v>Daniela Alejandra Castro Narváez</v>
      </c>
      <c r="W73" s="82" t="str">
        <f t="shared" si="17"/>
        <v>Daniela Alejandra Castro Narváez-1085326959-DUELO</v>
      </c>
      <c r="X73" s="107"/>
    </row>
    <row r="74" spans="1:24" s="50" customFormat="1" x14ac:dyDescent="0.2">
      <c r="A74" s="31">
        <v>73</v>
      </c>
      <c r="B74" s="48">
        <v>27456132</v>
      </c>
      <c r="C74" s="48" t="s">
        <v>311</v>
      </c>
      <c r="D74" s="48" t="s">
        <v>312</v>
      </c>
      <c r="E74" s="48" t="s">
        <v>313</v>
      </c>
      <c r="F74" s="48" t="s">
        <v>314</v>
      </c>
      <c r="G74" s="26">
        <v>9</v>
      </c>
      <c r="H74" s="26" t="s">
        <v>93</v>
      </c>
      <c r="I74" s="28">
        <v>45426</v>
      </c>
      <c r="J74" s="58">
        <v>25000</v>
      </c>
      <c r="K74" s="26" t="s">
        <v>124</v>
      </c>
      <c r="L74" s="26" t="s">
        <v>84</v>
      </c>
      <c r="M74" s="26" t="s">
        <v>265</v>
      </c>
      <c r="N74" s="27" t="s">
        <v>23</v>
      </c>
      <c r="O74" s="49">
        <v>28265</v>
      </c>
      <c r="P74" s="48" t="s">
        <v>100</v>
      </c>
      <c r="Q74" s="48" t="s">
        <v>106</v>
      </c>
      <c r="R74" s="48">
        <v>3107099342</v>
      </c>
      <c r="S74" s="48" t="s">
        <v>315</v>
      </c>
      <c r="T74" s="82" t="str">
        <f>IF(N74=CURSOS!$D$3,"DIPLOMADO EN ATENCION PRE-HOSPITALARIA",IF(N74=CURSOS!$D$4,"ACOMPAÑAMIENTO Y MANEJO DEL DUELO",IF(N74=CURSOS!$D$5,"ATENCION A VICTIMAS DE ATAQUE CON AGENTES QUIMICOS ",IF(N74=CURSOS!$D$6,"PRIMEROS AUXILIOS ",IF(N74=CURSOS!$D$7,"DIPLOMADO DE UNIDAD DE CUIDADOS INTENSIVOS (UCI)",IF(N74=CURSOS!$D$8,"MODELO DE ATENCION PARA EVENTOS EMERGENTES EN SALUD MENTAL (CODIGO VERDE)",IF(N74=CURSOS!$D$9,"HUMANIZACION EN SALUD, BUENAS PRACTICAS EN PACIENTE ",IF(N74=CURSOS!$D$10,"CLINICA DE HERIDAS ",IF(N74=CURSOS!$D$11,"TOMA DE CITOLOGIA A CERVICO VAGINAL ",IF(N74=CURSOS!$D$12,"SOPORTE CARDIOVASCULAR AVANZADO ",IF(N74=CURSOS!$D$13,"CAMILLERO ",IF(N74=CURSOS!$D$14,"TOMA MUESTRAS Y LABORATORIO ",IF(N74=CURSOS!$D$15,"SOPORTE VITAL BASICO (BLS)",IF(N74=CURSOS!$D$16,"ATENCION A VICTIMAS DE VIOLENCIA SEXUAL ",IF(N74=CURSOS!$D$17,"PROGRAMADO AMPLIADO DE INMUNIZACION (PAI - COVID 19)",IF(N74=CURSOS!$D$18,"ATENCION INTEGRAL EN ENFERMEDADES PREVALENTES EN PRIMERA INFANCIA (AIEPI)",IF(N74=CURSOS!$D$19,"ADMINISTRACION DE MEDICAMENTOS, IYECTOLOGIA  Y CANALIZACION ",IF(N74=CURSOS!$D$20,"OPERADOR DE VEHICULOS DE EMERGENCIA (OVE)",IF(N74=CURSOS!$D$21,"INSTITUCIONES AMIGAS DE LA MUJER Y LA INFANCIA (IAMI)",IF(N74=CURSOS!$D$22,"CUIDADO DEL DONANTE DE ORGANOS",IF(N74=CURSOS!$D$23,"ATENCION A VICTIMAS POR VIOLENCIA DE GENERO",IF(N74=CURSOS!$D$24,"IGUALDAD DE GENERO EN LA SALUD",IF(N74=CURSOS!$D$25,"BRIGADA DE EMERGENCIA",IF(N74=CURSOS!$D$26,"MANEJO DEL DOLOR Y CUIDADOS PALIATIVOS",IF(N74=CURSOS!$D$27,"TOMA MUESTRAS Y LABORATORIO POCT",IF(N74=CURSOS!$D$28,"IMPLANTE SUBDERMICO Y DISPOSITIVO INTRAUTERINO",IF(N74=CURSOS!$D$29,"SALUD MENTAL",IF(N74=CURSOS!$D$30,"PRIMEROS AUXILIOS PSICOLOGICOS",IF(N74=CURSOS!$D$31,"ATENCION A VICTIMAS POR CONFLICTO ARMADO",IF(N74=CURSOS!$D$32,"MANIPULACION DE ALIMENTOS Y BPM"))))))))))))))))))))))))))))))</f>
        <v>ACOMPAÑAMIENTO Y MANEJO DEL DUELO</v>
      </c>
      <c r="U74" s="82" t="str">
        <f t="shared" si="15"/>
        <v>Aura Nely Chazatar Getial</v>
      </c>
      <c r="V74" s="82" t="str">
        <f t="shared" si="16"/>
        <v>Aura Nely Chazatar Getial</v>
      </c>
      <c r="W74" s="82" t="str">
        <f t="shared" si="17"/>
        <v>Aura Nely Chazatar Getial-27456132-DUELO</v>
      </c>
      <c r="X74" s="107"/>
    </row>
    <row r="75" spans="1:24" s="50" customFormat="1" x14ac:dyDescent="0.2">
      <c r="A75" s="31">
        <v>74</v>
      </c>
      <c r="B75" s="48">
        <v>1085250875</v>
      </c>
      <c r="C75" s="48" t="s">
        <v>316</v>
      </c>
      <c r="D75" s="48" t="s">
        <v>120</v>
      </c>
      <c r="E75" s="48" t="s">
        <v>317</v>
      </c>
      <c r="F75" s="48" t="s">
        <v>296</v>
      </c>
      <c r="G75" s="26">
        <v>14</v>
      </c>
      <c r="H75" s="26" t="s">
        <v>93</v>
      </c>
      <c r="I75" s="28">
        <v>45426</v>
      </c>
      <c r="J75" s="58">
        <v>28000</v>
      </c>
      <c r="K75" s="26" t="s">
        <v>77</v>
      </c>
      <c r="L75" s="26" t="s">
        <v>84</v>
      </c>
      <c r="M75" s="26" t="s">
        <v>75</v>
      </c>
      <c r="N75" s="27" t="s">
        <v>46</v>
      </c>
      <c r="O75" s="49">
        <v>31541</v>
      </c>
      <c r="P75" s="48" t="s">
        <v>100</v>
      </c>
      <c r="Q75" s="48" t="s">
        <v>318</v>
      </c>
      <c r="R75" s="48">
        <v>3005473354</v>
      </c>
      <c r="S75" s="48" t="s">
        <v>319</v>
      </c>
      <c r="T75" s="82" t="str">
        <f>IF(N75=CURSOS!$D$3,"DIPLOMADO EN ATENCION PRE-HOSPITALARIA",IF(N75=CURSOS!$D$4,"ACOMPAÑAMIENTO Y MANEJO DEL DUELO",IF(N75=CURSOS!$D$5,"ATENCION A VICTIMAS DE ATAQUE CON AGENTES QUIMICOS ",IF(N75=CURSOS!$D$6,"PRIMEROS AUXILIOS ",IF(N75=CURSOS!$D$7,"DIPLOMADO DE UNIDAD DE CUIDADOS INTENSIVOS (UCI)",IF(N75=CURSOS!$D$8,"MODELO DE ATENCION PARA EVENTOS EMERGENTES EN SALUD MENTAL (CODIGO VERDE)",IF(N75=CURSOS!$D$9,"HUMANIZACION EN SALUD, BUENAS PRACTICAS EN PACIENTE ",IF(N75=CURSOS!$D$10,"CLINICA DE HERIDAS ",IF(N75=CURSOS!$D$11,"TOMA DE CITOLOGIA A CERVICO VAGINAL ",IF(N75=CURSOS!$D$12,"SOPORTE CARDIOVASCULAR AVANZADO ",IF(N75=CURSOS!$D$13,"CAMILLERO ",IF(N75=CURSOS!$D$14,"TOMA MUESTRAS Y LABORATORIO ",IF(N75=CURSOS!$D$15,"SOPORTE VITAL BASICO (BLS)",IF(N75=CURSOS!$D$16,"ATENCION A VICTIMAS DE VIOLENCIA SEXUAL ",IF(N75=CURSOS!$D$17,"PROGRAMADO AMPLIADO DE INMUNIZACION (PAI - COVID 19)",IF(N75=CURSOS!$D$18,"ATENCION INTEGRAL EN ENFERMEDADES PREVALENTES EN PRIMERA INFANCIA (AIEPI)",IF(N75=CURSOS!$D$19,"ADMINISTRACION DE MEDICAMENTOS, IYECTOLOGIA  Y CANALIZACION ",IF(N75=CURSOS!$D$20,"OPERADOR DE VEHICULOS DE EMERGENCIA (OVE)",IF(N75=CURSOS!$D$21,"INSTITUCIONES AMIGAS DE LA MUJER Y LA INFANCIA (IAMI)",IF(N75=CURSOS!$D$22,"CUIDADO DEL DONANTE DE ORGANOS",IF(N75=CURSOS!$D$23,"ATENCION A VICTIMAS POR VIOLENCIA DE GENERO",IF(N75=CURSOS!$D$24,"IGUALDAD DE GENERO EN LA SALUD",IF(N75=CURSOS!$D$25,"BRIGADA DE EMERGENCIA",IF(N75=CURSOS!$D$26,"MANEJO DEL DOLOR Y CUIDADOS PALIATIVOS",IF(N75=CURSOS!$D$27,"TOMA MUESTRAS Y LABORATORIO POCT",IF(N75=CURSOS!$D$28,"IMPLANTE SUBDERMICO Y DISPOSITIVO INTRAUTERINO",IF(N75=CURSOS!$D$29,"SALUD MENTAL",IF(N75=CURSOS!$D$30,"PRIMEROS AUXILIOS PSICOLOGICOS",IF(N75=CURSOS!$D$31,"ATENCION A VICTIMAS POR CONFLICTO ARMADO",IF(N75=CURSOS!$D$32,"MANIPULACION DE ALIMENTOS Y BPM"))))))))))))))))))))))))))))))</f>
        <v xml:space="preserve">ATENCION A VICTIMAS DE VIOLENCIA SEXUAL </v>
      </c>
      <c r="U75" s="82" t="str">
        <f t="shared" si="15"/>
        <v>Nury Andrea Coral Rosero</v>
      </c>
      <c r="V75" s="82" t="str">
        <f t="shared" si="16"/>
        <v>Nury Andrea Coral Rosero</v>
      </c>
      <c r="W75" s="82" t="str">
        <f t="shared" si="17"/>
        <v>Nury Andrea Coral Rosero-1085250875-VIOLENCIA SEXUAL</v>
      </c>
      <c r="X75" s="107"/>
    </row>
    <row r="76" spans="1:24" s="50" customFormat="1" x14ac:dyDescent="0.2">
      <c r="A76" s="31">
        <v>75</v>
      </c>
      <c r="B76" s="48">
        <v>1085254745</v>
      </c>
      <c r="C76" s="48" t="s">
        <v>320</v>
      </c>
      <c r="D76" s="48" t="s">
        <v>321</v>
      </c>
      <c r="E76" s="48" t="s">
        <v>322</v>
      </c>
      <c r="F76" s="48" t="s">
        <v>296</v>
      </c>
      <c r="G76" s="26">
        <v>9</v>
      </c>
      <c r="H76" s="26" t="s">
        <v>93</v>
      </c>
      <c r="I76" s="28">
        <v>45426</v>
      </c>
      <c r="J76" s="58">
        <v>25000</v>
      </c>
      <c r="K76" s="26" t="s">
        <v>124</v>
      </c>
      <c r="L76" s="26" t="s">
        <v>84</v>
      </c>
      <c r="M76" s="26" t="s">
        <v>265</v>
      </c>
      <c r="N76" s="27" t="s">
        <v>23</v>
      </c>
      <c r="O76" s="49">
        <v>31726</v>
      </c>
      <c r="P76" s="48" t="s">
        <v>100</v>
      </c>
      <c r="Q76" s="48" t="s">
        <v>106</v>
      </c>
      <c r="R76" s="48">
        <v>3104306631</v>
      </c>
      <c r="S76" s="48" t="s">
        <v>323</v>
      </c>
      <c r="T76" s="82" t="str">
        <f>IF(N76=CURSOS!$D$3,"DIPLOMADO EN ATENCION PRE-HOSPITALARIA",IF(N76=CURSOS!$D$4,"ACOMPAÑAMIENTO Y MANEJO DEL DUELO",IF(N76=CURSOS!$D$5,"ATENCION A VICTIMAS DE ATAQUE CON AGENTES QUIMICOS ",IF(N76=CURSOS!$D$6,"PRIMEROS AUXILIOS ",IF(N76=CURSOS!$D$7,"DIPLOMADO DE UNIDAD DE CUIDADOS INTENSIVOS (UCI)",IF(N76=CURSOS!$D$8,"MODELO DE ATENCION PARA EVENTOS EMERGENTES EN SALUD MENTAL (CODIGO VERDE)",IF(N76=CURSOS!$D$9,"HUMANIZACION EN SALUD, BUENAS PRACTICAS EN PACIENTE ",IF(N76=CURSOS!$D$10,"CLINICA DE HERIDAS ",IF(N76=CURSOS!$D$11,"TOMA DE CITOLOGIA A CERVICO VAGINAL ",IF(N76=CURSOS!$D$12,"SOPORTE CARDIOVASCULAR AVANZADO ",IF(N76=CURSOS!$D$13,"CAMILLERO ",IF(N76=CURSOS!$D$14,"TOMA MUESTRAS Y LABORATORIO ",IF(N76=CURSOS!$D$15,"SOPORTE VITAL BASICO (BLS)",IF(N76=CURSOS!$D$16,"ATENCION A VICTIMAS DE VIOLENCIA SEXUAL ",IF(N76=CURSOS!$D$17,"PROGRAMADO AMPLIADO DE INMUNIZACION (PAI - COVID 19)",IF(N76=CURSOS!$D$18,"ATENCION INTEGRAL EN ENFERMEDADES PREVALENTES EN PRIMERA INFANCIA (AIEPI)",IF(N76=CURSOS!$D$19,"ADMINISTRACION DE MEDICAMENTOS, IYECTOLOGIA  Y CANALIZACION ",IF(N76=CURSOS!$D$20,"OPERADOR DE VEHICULOS DE EMERGENCIA (OVE)",IF(N76=CURSOS!$D$21,"INSTITUCIONES AMIGAS DE LA MUJER Y LA INFANCIA (IAMI)",IF(N76=CURSOS!$D$22,"CUIDADO DEL DONANTE DE ORGANOS",IF(N76=CURSOS!$D$23,"ATENCION A VICTIMAS POR VIOLENCIA DE GENERO",IF(N76=CURSOS!$D$24,"IGUALDAD DE GENERO EN LA SALUD",IF(N76=CURSOS!$D$25,"BRIGADA DE EMERGENCIA",IF(N76=CURSOS!$D$26,"MANEJO DEL DOLOR Y CUIDADOS PALIATIVOS",IF(N76=CURSOS!$D$27,"TOMA MUESTRAS Y LABORATORIO POCT",IF(N76=CURSOS!$D$28,"IMPLANTE SUBDERMICO Y DISPOSITIVO INTRAUTERINO",IF(N76=CURSOS!$D$29,"SALUD MENTAL",IF(N76=CURSOS!$D$30,"PRIMEROS AUXILIOS PSICOLOGICOS",IF(N76=CURSOS!$D$31,"ATENCION A VICTIMAS POR CONFLICTO ARMADO",IF(N76=CURSOS!$D$32,"MANIPULACION DE ALIMENTOS Y BPM"))))))))))))))))))))))))))))))</f>
        <v>ACOMPAÑAMIENTO Y MANEJO DEL DUELO</v>
      </c>
      <c r="U76" s="82" t="str">
        <f t="shared" si="15"/>
        <v>Yina Andrea Ordóñez klinger</v>
      </c>
      <c r="V76" s="82" t="str">
        <f t="shared" si="16"/>
        <v>Yina Andrea Ordóñez Klinger</v>
      </c>
      <c r="W76" s="82" t="str">
        <f t="shared" si="17"/>
        <v>Yina Andrea Ordóñez klinger-1085254745-DUELO</v>
      </c>
      <c r="X76" s="107"/>
    </row>
    <row r="77" spans="1:24" s="50" customFormat="1" x14ac:dyDescent="0.2">
      <c r="A77" s="31">
        <v>76</v>
      </c>
      <c r="B77" s="48">
        <v>59830881</v>
      </c>
      <c r="C77" s="48" t="s">
        <v>324</v>
      </c>
      <c r="D77" s="48" t="s">
        <v>195</v>
      </c>
      <c r="E77" s="48" t="s">
        <v>325</v>
      </c>
      <c r="F77" s="48" t="s">
        <v>223</v>
      </c>
      <c r="G77" s="26">
        <v>9</v>
      </c>
      <c r="H77" s="26" t="s">
        <v>93</v>
      </c>
      <c r="I77" s="28">
        <v>45426</v>
      </c>
      <c r="J77" s="58">
        <v>25000</v>
      </c>
      <c r="K77" s="26" t="s">
        <v>124</v>
      </c>
      <c r="L77" s="26" t="s">
        <v>84</v>
      </c>
      <c r="M77" s="26" t="s">
        <v>265</v>
      </c>
      <c r="N77" s="27" t="s">
        <v>23</v>
      </c>
      <c r="O77" s="49"/>
      <c r="P77" s="48" t="s">
        <v>100</v>
      </c>
      <c r="Q77" s="48" t="s">
        <v>106</v>
      </c>
      <c r="R77" s="48">
        <v>3157797448</v>
      </c>
      <c r="S77" s="48" t="s">
        <v>326</v>
      </c>
      <c r="T77" s="82" t="str">
        <f>IF(N77=CURSOS!$D$3,"DIPLOMADO EN ATENCION PRE-HOSPITALARIA",IF(N77=CURSOS!$D$4,"ACOMPAÑAMIENTO Y MANEJO DEL DUELO",IF(N77=CURSOS!$D$5,"ATENCION A VICTIMAS DE ATAQUE CON AGENTES QUIMICOS ",IF(N77=CURSOS!$D$6,"PRIMEROS AUXILIOS ",IF(N77=CURSOS!$D$7,"DIPLOMADO DE UNIDAD DE CUIDADOS INTENSIVOS (UCI)",IF(N77=CURSOS!$D$8,"MODELO DE ATENCION PARA EVENTOS EMERGENTES EN SALUD MENTAL (CODIGO VERDE)",IF(N77=CURSOS!$D$9,"HUMANIZACION EN SALUD, BUENAS PRACTICAS EN PACIENTE ",IF(N77=CURSOS!$D$10,"CLINICA DE HERIDAS ",IF(N77=CURSOS!$D$11,"TOMA DE CITOLOGIA A CERVICO VAGINAL ",IF(N77=CURSOS!$D$12,"SOPORTE CARDIOVASCULAR AVANZADO ",IF(N77=CURSOS!$D$13,"CAMILLERO ",IF(N77=CURSOS!$D$14,"TOMA MUESTRAS Y LABORATORIO ",IF(N77=CURSOS!$D$15,"SOPORTE VITAL BASICO (BLS)",IF(N77=CURSOS!$D$16,"ATENCION A VICTIMAS DE VIOLENCIA SEXUAL ",IF(N77=CURSOS!$D$17,"PROGRAMADO AMPLIADO DE INMUNIZACION (PAI - COVID 19)",IF(N77=CURSOS!$D$18,"ATENCION INTEGRAL EN ENFERMEDADES PREVALENTES EN PRIMERA INFANCIA (AIEPI)",IF(N77=CURSOS!$D$19,"ADMINISTRACION DE MEDICAMENTOS, IYECTOLOGIA  Y CANALIZACION ",IF(N77=CURSOS!$D$20,"OPERADOR DE VEHICULOS DE EMERGENCIA (OVE)",IF(N77=CURSOS!$D$21,"INSTITUCIONES AMIGAS DE LA MUJER Y LA INFANCIA (IAMI)",IF(N77=CURSOS!$D$22,"CUIDADO DEL DONANTE DE ORGANOS",IF(N77=CURSOS!$D$23,"ATENCION A VICTIMAS POR VIOLENCIA DE GENERO",IF(N77=CURSOS!$D$24,"IGUALDAD DE GENERO EN LA SALUD",IF(N77=CURSOS!$D$25,"BRIGADA DE EMERGENCIA",IF(N77=CURSOS!$D$26,"MANEJO DEL DOLOR Y CUIDADOS PALIATIVOS",IF(N77=CURSOS!$D$27,"TOMA MUESTRAS Y LABORATORIO POCT",IF(N77=CURSOS!$D$28,"IMPLANTE SUBDERMICO Y DISPOSITIVO INTRAUTERINO",IF(N77=CURSOS!$D$29,"SALUD MENTAL",IF(N77=CURSOS!$D$30,"PRIMEROS AUXILIOS PSICOLOGICOS",IF(N77=CURSOS!$D$31,"ATENCION A VICTIMAS POR CONFLICTO ARMADO",IF(N77=CURSOS!$D$32,"MANIPULACION DE ALIMENTOS Y BPM"))))))))))))))))))))))))))))))</f>
        <v>ACOMPAÑAMIENTO Y MANEJO DEL DUELO</v>
      </c>
      <c r="U77" s="82" t="str">
        <f t="shared" si="15"/>
        <v>Nuri Yamile Jiménez Jurado</v>
      </c>
      <c r="V77" s="82" t="str">
        <f t="shared" si="16"/>
        <v>Nuri Yamile Jiménez Jurado</v>
      </c>
      <c r="W77" s="82" t="str">
        <f t="shared" si="17"/>
        <v>Nuri Yamile Jiménez Jurado-59830881-DUELO</v>
      </c>
      <c r="X77" s="107"/>
    </row>
    <row r="78" spans="1:24" s="46" customFormat="1" x14ac:dyDescent="0.2">
      <c r="A78" s="31">
        <v>77</v>
      </c>
      <c r="B78" s="31">
        <v>59830881</v>
      </c>
      <c r="C78" s="31" t="s">
        <v>324</v>
      </c>
      <c r="D78" s="31" t="s">
        <v>195</v>
      </c>
      <c r="E78" s="31" t="s">
        <v>325</v>
      </c>
      <c r="F78" s="31" t="s">
        <v>223</v>
      </c>
      <c r="G78" s="18">
        <v>9</v>
      </c>
      <c r="H78" s="18" t="s">
        <v>93</v>
      </c>
      <c r="I78" s="28">
        <v>45426</v>
      </c>
      <c r="J78" s="58">
        <v>25000</v>
      </c>
      <c r="K78" s="18" t="s">
        <v>124</v>
      </c>
      <c r="L78" s="18" t="s">
        <v>84</v>
      </c>
      <c r="M78" s="18" t="s">
        <v>265</v>
      </c>
      <c r="N78" s="19" t="s">
        <v>46</v>
      </c>
      <c r="O78" s="45"/>
      <c r="P78" s="31" t="s">
        <v>100</v>
      </c>
      <c r="Q78" s="31" t="s">
        <v>106</v>
      </c>
      <c r="R78" s="31">
        <v>3157797448</v>
      </c>
      <c r="S78" s="31" t="s">
        <v>326</v>
      </c>
      <c r="T78" s="29" t="str">
        <f>IF(N78=CURSOS!$D$3,"DIPLOMADO EN ATENCION PRE-HOSPITALARIA",IF(N78=CURSOS!$D$4,"ACOMPAÑAMIENTO Y MANEJO DEL DUELO",IF(N78=CURSOS!$D$5,"ATENCION A VICTIMAS DE ATAQUE CON AGENTES QUIMICOS ",IF(N78=CURSOS!$D$6,"PRIMEROS AUXILIOS ",IF(N78=CURSOS!$D$7,"DIPLOMADO DE UNIDAD DE CUIDADOS INTENSIVOS (UCI)",IF(N78=CURSOS!$D$8,"MODELO DE ATENCION PARA EVENTOS EMERGENTES EN SALUD MENTAL (CODIGO VERDE)",IF(N78=CURSOS!$D$9,"HUMANIZACION EN SALUD, BUENAS PRACTICAS EN PACIENTE ",IF(N78=CURSOS!$D$10,"CLINICA DE HERIDAS ",IF(N78=CURSOS!$D$11,"TOMA DE CITOLOGIA A CERVICO VAGINAL ",IF(N78=CURSOS!$D$12,"SOPORTE CARDIOVASCULAR AVANZADO ",IF(N78=CURSOS!$D$13,"CAMILLERO ",IF(N78=CURSOS!$D$14,"TOMA MUESTRAS Y LABORATORIO ",IF(N78=CURSOS!$D$15,"SOPORTE VITAL BASICO (BLS)",IF(N78=CURSOS!$D$16,"ATENCION A VICTIMAS DE VIOLENCIA SEXUAL ",IF(N78=CURSOS!$D$17,"PROGRAMADO AMPLIADO DE INMUNIZACION (PAI - COVID 19)",IF(N78=CURSOS!$D$18,"ATENCION INTEGRAL EN ENFERMEDADES PREVALENTES EN PRIMERA INFANCIA (AIEPI)",IF(N78=CURSOS!$D$19,"ADMINISTRACION DE MEDICAMENTOS, IYECTOLOGIA  Y CANALIZACION ",IF(N78=CURSOS!$D$20,"OPERADOR DE VEHICULOS DE EMERGENCIA (OVE)",IF(N78=CURSOS!$D$21,"INSTITUCIONES AMIGAS DE LA MUJER Y LA INFANCIA (IAMI)",IF(N78=CURSOS!$D$22,"CUIDADO DEL DONANTE DE ORGANOS",IF(N78=CURSOS!$D$23,"ATENCION A VICTIMAS POR VIOLENCIA DE GENERO",IF(N78=CURSOS!$D$24,"IGUALDAD DE GENERO EN LA SALUD",IF(N78=CURSOS!$D$25,"BRIGADA DE EMERGENCIA",IF(N78=CURSOS!$D$26,"MANEJO DEL DOLOR Y CUIDADOS PALIATIVOS",IF(N78=CURSOS!$D$27,"TOMA MUESTRAS Y LABORATORIO POCT",IF(N78=CURSOS!$D$28,"IMPLANTE SUBDERMICO Y DISPOSITIVO INTRAUTERINO",IF(N78=CURSOS!$D$29,"SALUD MENTAL",IF(N78=CURSOS!$D$30,"PRIMEROS AUXILIOS PSICOLOGICOS",IF(N78=CURSOS!$D$31,"ATENCION A VICTIMAS POR CONFLICTO ARMADO",IF(N78=CURSOS!$D$32,"MANIPULACION DE ALIMENTOS Y BPM"))))))))))))))))))))))))))))))</f>
        <v xml:space="preserve">ATENCION A VICTIMAS DE VIOLENCIA SEXUAL </v>
      </c>
      <c r="U78" s="29" t="str">
        <f t="shared" si="15"/>
        <v>Nuri Yamile Jiménez Jurado</v>
      </c>
      <c r="V78" s="29" t="str">
        <f t="shared" si="16"/>
        <v>Nuri Yamile Jiménez Jurado</v>
      </c>
      <c r="W78" s="29" t="str">
        <f t="shared" si="17"/>
        <v>Nuri Yamile Jiménez Jurado-59830881-VIOLENCIA SEXUAL</v>
      </c>
      <c r="X78" s="109"/>
    </row>
    <row r="79" spans="1:24" s="46" customFormat="1" x14ac:dyDescent="0.2">
      <c r="A79" s="31">
        <v>78</v>
      </c>
      <c r="B79" s="31">
        <v>13040300</v>
      </c>
      <c r="C79" s="31" t="s">
        <v>327</v>
      </c>
      <c r="D79" s="31" t="s">
        <v>173</v>
      </c>
      <c r="E79" s="31" t="s">
        <v>328</v>
      </c>
      <c r="F79" s="31" t="s">
        <v>329</v>
      </c>
      <c r="G79" s="18">
        <v>9</v>
      </c>
      <c r="H79" s="18" t="s">
        <v>93</v>
      </c>
      <c r="I79" s="28">
        <v>45426</v>
      </c>
      <c r="J79" s="58">
        <v>25000</v>
      </c>
      <c r="K79" s="18" t="s">
        <v>124</v>
      </c>
      <c r="L79" s="18" t="s">
        <v>84</v>
      </c>
      <c r="M79" s="18" t="s">
        <v>265</v>
      </c>
      <c r="N79" s="19" t="s">
        <v>23</v>
      </c>
      <c r="O79" s="45"/>
      <c r="P79" s="31" t="s">
        <v>79</v>
      </c>
      <c r="Q79" s="31" t="s">
        <v>106</v>
      </c>
      <c r="R79" s="31">
        <v>3147917098</v>
      </c>
      <c r="S79" s="31" t="s">
        <v>330</v>
      </c>
      <c r="T79" s="29" t="str">
        <f>IF(N79=CURSOS!$D$3,"DIPLOMADO EN ATENCION PRE-HOSPITALARIA",IF(N79=CURSOS!$D$4,"ACOMPAÑAMIENTO Y MANEJO DEL DUELO",IF(N79=CURSOS!$D$5,"ATENCION A VICTIMAS DE ATAQUE CON AGENTES QUIMICOS ",IF(N79=CURSOS!$D$6,"PRIMEROS AUXILIOS ",IF(N79=CURSOS!$D$7,"DIPLOMADO DE UNIDAD DE CUIDADOS INTENSIVOS (UCI)",IF(N79=CURSOS!$D$8,"MODELO DE ATENCION PARA EVENTOS EMERGENTES EN SALUD MENTAL (CODIGO VERDE)",IF(N79=CURSOS!$D$9,"HUMANIZACION EN SALUD, BUENAS PRACTICAS EN PACIENTE ",IF(N79=CURSOS!$D$10,"CLINICA DE HERIDAS ",IF(N79=CURSOS!$D$11,"TOMA DE CITOLOGIA A CERVICO VAGINAL ",IF(N79=CURSOS!$D$12,"SOPORTE CARDIOVASCULAR AVANZADO ",IF(N79=CURSOS!$D$13,"CAMILLERO ",IF(N79=CURSOS!$D$14,"TOMA MUESTRAS Y LABORATORIO ",IF(N79=CURSOS!$D$15,"SOPORTE VITAL BASICO (BLS)",IF(N79=CURSOS!$D$16,"ATENCION A VICTIMAS DE VIOLENCIA SEXUAL ",IF(N79=CURSOS!$D$17,"PROGRAMADO AMPLIADO DE INMUNIZACION (PAI - COVID 19)",IF(N79=CURSOS!$D$18,"ATENCION INTEGRAL EN ENFERMEDADES PREVALENTES EN PRIMERA INFANCIA (AIEPI)",IF(N79=CURSOS!$D$19,"ADMINISTRACION DE MEDICAMENTOS, IYECTOLOGIA  Y CANALIZACION ",IF(N79=CURSOS!$D$20,"OPERADOR DE VEHICULOS DE EMERGENCIA (OVE)",IF(N79=CURSOS!$D$21,"INSTITUCIONES AMIGAS DE LA MUJER Y LA INFANCIA (IAMI)",IF(N79=CURSOS!$D$22,"CUIDADO DEL DONANTE DE ORGANOS",IF(N79=CURSOS!$D$23,"ATENCION A VICTIMAS POR VIOLENCIA DE GENERO",IF(N79=CURSOS!$D$24,"IGUALDAD DE GENERO EN LA SALUD",IF(N79=CURSOS!$D$25,"BRIGADA DE EMERGENCIA",IF(N79=CURSOS!$D$26,"MANEJO DEL DOLOR Y CUIDADOS PALIATIVOS",IF(N79=CURSOS!$D$27,"TOMA MUESTRAS Y LABORATORIO POCT",IF(N79=CURSOS!$D$28,"IMPLANTE SUBDERMICO Y DISPOSITIVO INTRAUTERINO",IF(N79=CURSOS!$D$29,"SALUD MENTAL",IF(N79=CURSOS!$D$30,"PRIMEROS AUXILIOS PSICOLOGICOS",IF(N79=CURSOS!$D$31,"ATENCION A VICTIMAS POR CONFLICTO ARMADO",IF(N79=CURSOS!$D$32,"MANIPULACION DE ALIMENTOS Y BPM"))))))))))))))))))))))))))))))</f>
        <v>ACOMPAÑAMIENTO Y MANEJO DEL DUELO</v>
      </c>
      <c r="U79" s="29" t="str">
        <f t="shared" si="9"/>
        <v>Henry Manuel Palacios Guerrero</v>
      </c>
      <c r="V79" s="29" t="str">
        <f t="shared" si="10"/>
        <v>Henry Manuel Palacios Guerrero</v>
      </c>
      <c r="W79" s="29" t="str">
        <f t="shared" si="11"/>
        <v>Henry Manuel Palacios Guerrero-13040300-DUELO</v>
      </c>
      <c r="X79" s="109"/>
    </row>
    <row r="80" spans="1:24" s="88" customFormat="1" x14ac:dyDescent="0.2">
      <c r="A80" s="31">
        <v>79</v>
      </c>
      <c r="B80" s="31">
        <v>1088734996</v>
      </c>
      <c r="C80" s="31" t="s">
        <v>174</v>
      </c>
      <c r="D80" s="31" t="s">
        <v>290</v>
      </c>
      <c r="E80" s="31" t="s">
        <v>331</v>
      </c>
      <c r="F80" s="31" t="s">
        <v>189</v>
      </c>
      <c r="G80" s="18">
        <v>16</v>
      </c>
      <c r="H80" s="18" t="s">
        <v>93</v>
      </c>
      <c r="I80" s="22">
        <v>45432</v>
      </c>
      <c r="J80" s="57">
        <v>18750</v>
      </c>
      <c r="K80" s="18" t="s">
        <v>124</v>
      </c>
      <c r="L80" s="18" t="s">
        <v>84</v>
      </c>
      <c r="M80" s="18" t="s">
        <v>99</v>
      </c>
      <c r="N80" s="19" t="s">
        <v>33</v>
      </c>
      <c r="O80" s="45">
        <v>33031</v>
      </c>
      <c r="P80" s="31" t="s">
        <v>100</v>
      </c>
      <c r="Q80" s="31" t="s">
        <v>106</v>
      </c>
      <c r="R80" s="31">
        <v>3134262675</v>
      </c>
      <c r="S80" s="31" t="s">
        <v>332</v>
      </c>
      <c r="T80" s="29" t="str">
        <f>IF(N80=CURSOS!$D$3,"DIPLOMADO EN ATENCION PRE-HOSPITALARIA",IF(N80=CURSOS!$D$4,"ACOMPAÑAMIENTO Y MANEJO DEL DUELO",IF(N80=CURSOS!$D$5,"ATENCION A VICTIMAS DE ATAQUE CON AGENTES QUIMICOS ",IF(N80=CURSOS!$D$6,"PRIMEROS AUXILIOS ",IF(N80=CURSOS!$D$7,"DIPLOMADO DE UNIDAD DE CUIDADOS INTENSIVOS (UCI)",IF(N80=CURSOS!$D$8,"MODELO DE ATENCION PARA EVENTOS EMERGENTES EN SALUD MENTAL (CODIGO VERDE)",IF(N80=CURSOS!$D$9,"HUMANIZACION EN SALUD, BUENAS PRACTICAS EN PACIENTE ",IF(N80=CURSOS!$D$10,"CLINICA DE HERIDAS ",IF(N80=CURSOS!$D$11,"TOMA DE CITOLOGIA A CERVICO VAGINAL ",IF(N80=CURSOS!$D$12,"SOPORTE CARDIOVASCULAR AVANZADO ",IF(N80=CURSOS!$D$13,"CAMILLERO ",IF(N80=CURSOS!$D$14,"TOMA MUESTRAS Y LABORATORIO ",IF(N80=CURSOS!$D$15,"SOPORTE VITAL BASICO (BLS)",IF(N80=CURSOS!$D$16,"ATENCION A VICTIMAS DE VIOLENCIA SEXUAL ",IF(N80=CURSOS!$D$17,"PROGRAMADO AMPLIADO DE INMUNIZACION (PAI - COVID 19)",IF(N80=CURSOS!$D$18,"ATENCION INTEGRAL EN ENFERMEDADES PREVALENTES EN PRIMERA INFANCIA (AIEPI)",IF(N80=CURSOS!$D$19,"ADMINISTRACION DE MEDICAMENTOS, IYECTOLOGIA  Y CANALIZACION ",IF(N80=CURSOS!$D$20,"OPERADOR DE VEHICULOS DE EMERGENCIA (OVE)",IF(N80=CURSOS!$D$21,"INSTITUCIONES AMIGAS DE LA MUJER Y LA INFANCIA (IAMI)",IF(N80=CURSOS!$D$22,"CUIDADO DEL DONANTE DE ORGANOS",IF(N80=CURSOS!$D$23,"ATENCION A VICTIMAS POR VIOLENCIA DE GENERO",IF(N80=CURSOS!$D$24,"IGUALDAD DE GENERO EN LA SALUD",IF(N80=CURSOS!$D$25,"BRIGADA DE EMERGENCIA",IF(N80=CURSOS!$D$26,"MANEJO DEL DOLOR Y CUIDADOS PALIATIVOS",IF(N80=CURSOS!$D$27,"TOMA MUESTRAS Y LABORATORIO POCT",IF(N80=CURSOS!$D$28,"IMPLANTE SUBDERMICO Y DISPOSITIVO INTRAUTERINO",IF(N80=CURSOS!$D$29,"SALUD MENTAL",IF(N80=CURSOS!$D$30,"PRIMEROS AUXILIOS PSICOLOGICOS",IF(N80=CURSOS!$D$31,"ATENCION A VICTIMAS POR CONFLICTO ARMADO",IF(N80=CURSOS!$D$32,"MANIPULACION DE ALIMENTOS Y BPM"))))))))))))))))))))))))))))))</f>
        <v xml:space="preserve">HUMANIZACION EN SALUD, BUENAS PRACTICAS EN PACIENTE </v>
      </c>
      <c r="U80" s="29" t="str">
        <f t="shared" si="9"/>
        <v>Gladis Fabiola Solarte Diaz</v>
      </c>
      <c r="V80" s="29" t="str">
        <f t="shared" si="10"/>
        <v>Gladis Fabiola Solarte Diaz</v>
      </c>
      <c r="W80" s="29" t="str">
        <f t="shared" si="11"/>
        <v>Gladis Fabiola Solarte Diaz-1088734996-HUMANIZACION</v>
      </c>
      <c r="X80" s="110"/>
    </row>
    <row r="81" spans="1:24" s="46" customFormat="1" x14ac:dyDescent="0.2">
      <c r="A81" s="31">
        <v>80</v>
      </c>
      <c r="B81" s="31">
        <v>1088734996</v>
      </c>
      <c r="C81" s="31" t="s">
        <v>174</v>
      </c>
      <c r="D81" s="31" t="s">
        <v>290</v>
      </c>
      <c r="E81" s="31" t="s">
        <v>331</v>
      </c>
      <c r="F81" s="31" t="s">
        <v>189</v>
      </c>
      <c r="G81" s="18">
        <v>16</v>
      </c>
      <c r="H81" s="18" t="s">
        <v>93</v>
      </c>
      <c r="I81" s="22">
        <v>45432</v>
      </c>
      <c r="J81" s="57">
        <v>18750</v>
      </c>
      <c r="K81" s="18" t="s">
        <v>124</v>
      </c>
      <c r="L81" s="18" t="s">
        <v>84</v>
      </c>
      <c r="M81" s="18" t="s">
        <v>99</v>
      </c>
      <c r="N81" s="19" t="s">
        <v>46</v>
      </c>
      <c r="O81" s="45">
        <v>33031</v>
      </c>
      <c r="P81" s="31" t="s">
        <v>100</v>
      </c>
      <c r="Q81" s="31" t="s">
        <v>106</v>
      </c>
      <c r="R81" s="31">
        <v>3134262675</v>
      </c>
      <c r="S81" s="31" t="s">
        <v>332</v>
      </c>
      <c r="T81" s="29" t="str">
        <f>IF(N81=CURSOS!$D$3,"DIPLOMADO EN ATENCION PRE-HOSPITALARIA",IF(N81=CURSOS!$D$4,"ACOMPAÑAMIENTO Y MANEJO DEL DUELO",IF(N81=CURSOS!$D$5,"ATENCION A VICTIMAS DE ATAQUE CON AGENTES QUIMICOS ",IF(N81=CURSOS!$D$6,"PRIMEROS AUXILIOS ",IF(N81=CURSOS!$D$7,"DIPLOMADO DE UNIDAD DE CUIDADOS INTENSIVOS (UCI)",IF(N81=CURSOS!$D$8,"MODELO DE ATENCION PARA EVENTOS EMERGENTES EN SALUD MENTAL (CODIGO VERDE)",IF(N81=CURSOS!$D$9,"HUMANIZACION EN SALUD, BUENAS PRACTICAS EN PACIENTE ",IF(N81=CURSOS!$D$10,"CLINICA DE HERIDAS ",IF(N81=CURSOS!$D$11,"TOMA DE CITOLOGIA A CERVICO VAGINAL ",IF(N81=CURSOS!$D$12,"SOPORTE CARDIOVASCULAR AVANZADO ",IF(N81=CURSOS!$D$13,"CAMILLERO ",IF(N81=CURSOS!$D$14,"TOMA MUESTRAS Y LABORATORIO ",IF(N81=CURSOS!$D$15,"SOPORTE VITAL BASICO (BLS)",IF(N81=CURSOS!$D$16,"ATENCION A VICTIMAS DE VIOLENCIA SEXUAL ",IF(N81=CURSOS!$D$17,"PROGRAMADO AMPLIADO DE INMUNIZACION (PAI - COVID 19)",IF(N81=CURSOS!$D$18,"ATENCION INTEGRAL EN ENFERMEDADES PREVALENTES EN PRIMERA INFANCIA (AIEPI)",IF(N81=CURSOS!$D$19,"ADMINISTRACION DE MEDICAMENTOS, IYECTOLOGIA  Y CANALIZACION ",IF(N81=CURSOS!$D$20,"OPERADOR DE VEHICULOS DE EMERGENCIA (OVE)",IF(N81=CURSOS!$D$21,"INSTITUCIONES AMIGAS DE LA MUJER Y LA INFANCIA (IAMI)",IF(N81=CURSOS!$D$22,"CUIDADO DEL DONANTE DE ORGANOS",IF(N81=CURSOS!$D$23,"ATENCION A VICTIMAS POR VIOLENCIA DE GENERO",IF(N81=CURSOS!$D$24,"IGUALDAD DE GENERO EN LA SALUD",IF(N81=CURSOS!$D$25,"BRIGADA DE EMERGENCIA",IF(N81=CURSOS!$D$26,"MANEJO DEL DOLOR Y CUIDADOS PALIATIVOS",IF(N81=CURSOS!$D$27,"TOMA MUESTRAS Y LABORATORIO POCT",IF(N81=CURSOS!$D$28,"IMPLANTE SUBDERMICO Y DISPOSITIVO INTRAUTERINO",IF(N81=CURSOS!$D$29,"SALUD MENTAL",IF(N81=CURSOS!$D$30,"PRIMEROS AUXILIOS PSICOLOGICOS",IF(N81=CURSOS!$D$31,"ATENCION A VICTIMAS POR CONFLICTO ARMADO",IF(N81=CURSOS!$D$32,"MANIPULACION DE ALIMENTOS Y BPM"))))))))))))))))))))))))))))))</f>
        <v xml:space="preserve">ATENCION A VICTIMAS DE VIOLENCIA SEXUAL </v>
      </c>
      <c r="U81" s="29" t="str">
        <f t="shared" si="9"/>
        <v>Gladis Fabiola Solarte Diaz</v>
      </c>
      <c r="V81" s="29" t="str">
        <f t="shared" si="10"/>
        <v>Gladis Fabiola Solarte Diaz</v>
      </c>
      <c r="W81" s="29" t="str">
        <f t="shared" si="11"/>
        <v>Gladis Fabiola Solarte Diaz-1088734996-VIOLENCIA SEXUAL</v>
      </c>
      <c r="X81" s="109"/>
    </row>
    <row r="82" spans="1:24" s="46" customFormat="1" x14ac:dyDescent="0.2">
      <c r="A82" s="31">
        <v>81</v>
      </c>
      <c r="B82" s="31">
        <v>1088734996</v>
      </c>
      <c r="C82" s="31" t="s">
        <v>174</v>
      </c>
      <c r="D82" s="31" t="s">
        <v>290</v>
      </c>
      <c r="E82" s="31" t="s">
        <v>331</v>
      </c>
      <c r="F82" s="31" t="s">
        <v>189</v>
      </c>
      <c r="G82" s="18">
        <v>16</v>
      </c>
      <c r="H82" s="18" t="s">
        <v>93</v>
      </c>
      <c r="I82" s="22">
        <v>45432</v>
      </c>
      <c r="J82" s="57">
        <v>18750</v>
      </c>
      <c r="K82" s="18" t="s">
        <v>124</v>
      </c>
      <c r="L82" s="18" t="s">
        <v>84</v>
      </c>
      <c r="M82" s="18" t="s">
        <v>99</v>
      </c>
      <c r="N82" s="19" t="s">
        <v>25</v>
      </c>
      <c r="O82" s="45">
        <v>33031</v>
      </c>
      <c r="P82" s="31" t="s">
        <v>100</v>
      </c>
      <c r="Q82" s="31" t="s">
        <v>106</v>
      </c>
      <c r="R82" s="31">
        <v>3134262675</v>
      </c>
      <c r="S82" s="31" t="s">
        <v>332</v>
      </c>
      <c r="T82" s="29" t="str">
        <f>IF(N82=CURSOS!$D$3,"DIPLOMADO EN ATENCION PRE-HOSPITALARIA",IF(N82=CURSOS!$D$4,"ACOMPAÑAMIENTO Y MANEJO DEL DUELO",IF(N82=CURSOS!$D$5,"ATENCION A VICTIMAS DE ATAQUE CON AGENTES QUIMICOS ",IF(N82=CURSOS!$D$6,"PRIMEROS AUXILIOS ",IF(N82=CURSOS!$D$7,"DIPLOMADO DE UNIDAD DE CUIDADOS INTENSIVOS (UCI)",IF(N82=CURSOS!$D$8,"MODELO DE ATENCION PARA EVENTOS EMERGENTES EN SALUD MENTAL (CODIGO VERDE)",IF(N82=CURSOS!$D$9,"HUMANIZACION EN SALUD, BUENAS PRACTICAS EN PACIENTE ",IF(N82=CURSOS!$D$10,"CLINICA DE HERIDAS ",IF(N82=CURSOS!$D$11,"TOMA DE CITOLOGIA A CERVICO VAGINAL ",IF(N82=CURSOS!$D$12,"SOPORTE CARDIOVASCULAR AVANZADO ",IF(N82=CURSOS!$D$13,"CAMILLERO ",IF(N82=CURSOS!$D$14,"TOMA MUESTRAS Y LABORATORIO ",IF(N82=CURSOS!$D$15,"SOPORTE VITAL BASICO (BLS)",IF(N82=CURSOS!$D$16,"ATENCION A VICTIMAS DE VIOLENCIA SEXUAL ",IF(N82=CURSOS!$D$17,"PROGRAMADO AMPLIADO DE INMUNIZACION (PAI - COVID 19)",IF(N82=CURSOS!$D$18,"ATENCION INTEGRAL EN ENFERMEDADES PREVALENTES EN PRIMERA INFANCIA (AIEPI)",IF(N82=CURSOS!$D$19,"ADMINISTRACION DE MEDICAMENTOS, IYECTOLOGIA  Y CANALIZACION ",IF(N82=CURSOS!$D$20,"OPERADOR DE VEHICULOS DE EMERGENCIA (OVE)",IF(N82=CURSOS!$D$21,"INSTITUCIONES AMIGAS DE LA MUJER Y LA INFANCIA (IAMI)",IF(N82=CURSOS!$D$22,"CUIDADO DEL DONANTE DE ORGANOS",IF(N82=CURSOS!$D$23,"ATENCION A VICTIMAS POR VIOLENCIA DE GENERO",IF(N82=CURSOS!$D$24,"IGUALDAD DE GENERO EN LA SALUD",IF(N82=CURSOS!$D$25,"BRIGADA DE EMERGENCIA",IF(N82=CURSOS!$D$26,"MANEJO DEL DOLOR Y CUIDADOS PALIATIVOS",IF(N82=CURSOS!$D$27,"TOMA MUESTRAS Y LABORATORIO POCT",IF(N82=CURSOS!$D$28,"IMPLANTE SUBDERMICO Y DISPOSITIVO INTRAUTERINO",IF(N82=CURSOS!$D$29,"SALUD MENTAL",IF(N82=CURSOS!$D$30,"PRIMEROS AUXILIOS PSICOLOGICOS",IF(N82=CURSOS!$D$31,"ATENCION A VICTIMAS POR CONFLICTO ARMADO",IF(N82=CURSOS!$D$32,"MANIPULACION DE ALIMENTOS Y BPM"))))))))))))))))))))))))))))))</f>
        <v xml:space="preserve">ATENCION A VICTIMAS DE ATAQUE CON AGENTES QUIMICOS </v>
      </c>
      <c r="U82" s="29" t="str">
        <f t="shared" si="9"/>
        <v>Gladis Fabiola Solarte Diaz</v>
      </c>
      <c r="V82" s="29" t="str">
        <f t="shared" si="10"/>
        <v>Gladis Fabiola Solarte Diaz</v>
      </c>
      <c r="W82" s="29" t="str">
        <f t="shared" si="11"/>
        <v>Gladis Fabiola Solarte Diaz-1088734996-QUIMICOS</v>
      </c>
      <c r="X82" s="109"/>
    </row>
    <row r="83" spans="1:24" s="46" customFormat="1" x14ac:dyDescent="0.2">
      <c r="A83" s="31">
        <v>82</v>
      </c>
      <c r="B83" s="31">
        <v>1010017953</v>
      </c>
      <c r="C83" s="31" t="s">
        <v>333</v>
      </c>
      <c r="D83" s="31" t="s">
        <v>334</v>
      </c>
      <c r="E83" s="31" t="s">
        <v>335</v>
      </c>
      <c r="F83" s="31" t="s">
        <v>227</v>
      </c>
      <c r="G83" s="18">
        <v>16</v>
      </c>
      <c r="H83" s="18" t="s">
        <v>93</v>
      </c>
      <c r="I83" s="22">
        <v>45432</v>
      </c>
      <c r="J83" s="57">
        <v>18750</v>
      </c>
      <c r="K83" s="18" t="s">
        <v>124</v>
      </c>
      <c r="L83" s="18" t="s">
        <v>84</v>
      </c>
      <c r="M83" s="18" t="s">
        <v>99</v>
      </c>
      <c r="N83" s="19" t="s">
        <v>33</v>
      </c>
      <c r="O83" s="45">
        <v>31710</v>
      </c>
      <c r="P83" s="31" t="s">
        <v>100</v>
      </c>
      <c r="Q83" s="31" t="s">
        <v>106</v>
      </c>
      <c r="R83" s="31">
        <v>3146535665</v>
      </c>
      <c r="S83" s="31" t="s">
        <v>336</v>
      </c>
      <c r="T83" s="29" t="str">
        <f>IF(N83=CURSOS!$D$3,"DIPLOMADO EN ATENCION PRE-HOSPITALARIA",IF(N83=CURSOS!$D$4,"ACOMPAÑAMIENTO Y MANEJO DEL DUELO",IF(N83=CURSOS!$D$5,"ATENCION A VICTIMAS DE ATAQUE CON AGENTES QUIMICOS ",IF(N83=CURSOS!$D$6,"PRIMEROS AUXILIOS ",IF(N83=CURSOS!$D$7,"DIPLOMADO DE UNIDAD DE CUIDADOS INTENSIVOS (UCI)",IF(N83=CURSOS!$D$8,"MODELO DE ATENCION PARA EVENTOS EMERGENTES EN SALUD MENTAL (CODIGO VERDE)",IF(N83=CURSOS!$D$9,"HUMANIZACION EN SALUD, BUENAS PRACTICAS EN PACIENTE ",IF(N83=CURSOS!$D$10,"CLINICA DE HERIDAS ",IF(N83=CURSOS!$D$11,"TOMA DE CITOLOGIA A CERVICO VAGINAL ",IF(N83=CURSOS!$D$12,"SOPORTE CARDIOVASCULAR AVANZADO ",IF(N83=CURSOS!$D$13,"CAMILLERO ",IF(N83=CURSOS!$D$14,"TOMA MUESTRAS Y LABORATORIO ",IF(N83=CURSOS!$D$15,"SOPORTE VITAL BASICO (BLS)",IF(N83=CURSOS!$D$16,"ATENCION A VICTIMAS DE VIOLENCIA SEXUAL ",IF(N83=CURSOS!$D$17,"PROGRAMADO AMPLIADO DE INMUNIZACION (PAI - COVID 19)",IF(N83=CURSOS!$D$18,"ATENCION INTEGRAL EN ENFERMEDADES PREVALENTES EN PRIMERA INFANCIA (AIEPI)",IF(N83=CURSOS!$D$19,"ADMINISTRACION DE MEDICAMENTOS, IYECTOLOGIA  Y CANALIZACION ",IF(N83=CURSOS!$D$20,"OPERADOR DE VEHICULOS DE EMERGENCIA (OVE)",IF(N83=CURSOS!$D$21,"INSTITUCIONES AMIGAS DE LA MUJER Y LA INFANCIA (IAMI)",IF(N83=CURSOS!$D$22,"CUIDADO DEL DONANTE DE ORGANOS",IF(N83=CURSOS!$D$23,"ATENCION A VICTIMAS POR VIOLENCIA DE GENERO",IF(N83=CURSOS!$D$24,"IGUALDAD DE GENERO EN LA SALUD",IF(N83=CURSOS!$D$25,"BRIGADA DE EMERGENCIA",IF(N83=CURSOS!$D$26,"MANEJO DEL DOLOR Y CUIDADOS PALIATIVOS",IF(N83=CURSOS!$D$27,"TOMA MUESTRAS Y LABORATORIO POCT",IF(N83=CURSOS!$D$28,"IMPLANTE SUBDERMICO Y DISPOSITIVO INTRAUTERINO",IF(N83=CURSOS!$D$29,"SALUD MENTAL",IF(N83=CURSOS!$D$30,"PRIMEROS AUXILIOS PSICOLOGICOS",IF(N83=CURSOS!$D$31,"ATENCION A VICTIMAS POR CONFLICTO ARMADO",IF(N83=CURSOS!$D$32,"MANIPULACION DE ALIMENTOS Y BPM"))))))))))))))))))))))))))))))</f>
        <v xml:space="preserve">HUMANIZACION EN SALUD, BUENAS PRACTICAS EN PACIENTE </v>
      </c>
      <c r="U83" s="29" t="str">
        <f t="shared" si="9"/>
        <v>Rocio Liliana Nastacuas Rodriguez</v>
      </c>
      <c r="V83" s="29" t="str">
        <f t="shared" si="10"/>
        <v>Rocio Liliana Nastacuas Rodriguez</v>
      </c>
      <c r="W83" s="29" t="str">
        <f t="shared" si="11"/>
        <v>Rocio Liliana Nastacuas Rodriguez-1010017953-HUMANIZACION</v>
      </c>
      <c r="X83" s="109"/>
    </row>
    <row r="84" spans="1:24" s="46" customFormat="1" ht="15.75" x14ac:dyDescent="0.25">
      <c r="A84" s="31">
        <v>83</v>
      </c>
      <c r="B84" s="31">
        <v>59829140</v>
      </c>
      <c r="C84" s="31" t="s">
        <v>337</v>
      </c>
      <c r="D84" s="31" t="s">
        <v>338</v>
      </c>
      <c r="E84" s="31" t="s">
        <v>339</v>
      </c>
      <c r="F84" s="31" t="s">
        <v>340</v>
      </c>
      <c r="G84" s="18">
        <v>16</v>
      </c>
      <c r="H84" s="18" t="s">
        <v>93</v>
      </c>
      <c r="I84" s="22"/>
      <c r="J84" s="57">
        <v>30000</v>
      </c>
      <c r="K84" s="18"/>
      <c r="L84" s="18" t="s">
        <v>84</v>
      </c>
      <c r="M84" s="18" t="s">
        <v>341</v>
      </c>
      <c r="N84" s="19" t="s">
        <v>46</v>
      </c>
      <c r="O84" s="45">
        <v>27249</v>
      </c>
      <c r="P84" s="31" t="s">
        <v>100</v>
      </c>
      <c r="Q84" s="31" t="s">
        <v>106</v>
      </c>
      <c r="R84" s="31">
        <v>3007324814</v>
      </c>
      <c r="S84" s="47" t="s">
        <v>342</v>
      </c>
      <c r="T84" s="29" t="str">
        <f>IF(N84=CURSOS!$D$3,"DIPLOMADO EN ATENCION PRE-HOSPITALARIA",IF(N84=CURSOS!$D$4,"ACOMPAÑAMIENTO Y MANEJO DEL DUELO",IF(N84=CURSOS!$D$5,"ATENCION A VICTIMAS DE ATAQUE CON AGENTES QUIMICOS ",IF(N84=CURSOS!$D$6,"PRIMEROS AUXILIOS ",IF(N84=CURSOS!$D$7,"DIPLOMADO DE UNIDAD DE CUIDADOS INTENSIVOS (UCI)",IF(N84=CURSOS!$D$8,"MODELO DE ATENCION PARA EVENTOS EMERGENTES EN SALUD MENTAL (CODIGO VERDE)",IF(N84=CURSOS!$D$9,"HUMANIZACION EN SALUD, BUENAS PRACTICAS EN PACIENTE ",IF(N84=CURSOS!$D$10,"CLINICA DE HERIDAS ",IF(N84=CURSOS!$D$11,"TOMA DE CITOLOGIA A CERVICO VAGINAL ",IF(N84=CURSOS!$D$12,"SOPORTE CARDIOVASCULAR AVANZADO ",IF(N84=CURSOS!$D$13,"CAMILLERO ",IF(N84=CURSOS!$D$14,"TOMA MUESTRAS Y LABORATORIO ",IF(N84=CURSOS!$D$15,"SOPORTE VITAL BASICO (BLS)",IF(N84=CURSOS!$D$16,"ATENCION A VICTIMAS DE VIOLENCIA SEXUAL ",IF(N84=CURSOS!$D$17,"PROGRAMADO AMPLIADO DE INMUNIZACION (PAI - COVID 19)",IF(N84=CURSOS!$D$18,"ATENCION INTEGRAL EN ENFERMEDADES PREVALENTES EN PRIMERA INFANCIA (AIEPI)",IF(N84=CURSOS!$D$19,"ADMINISTRACION DE MEDICAMENTOS, IYECTOLOGIA  Y CANALIZACION ",IF(N84=CURSOS!$D$20,"OPERADOR DE VEHICULOS DE EMERGENCIA (OVE)",IF(N84=CURSOS!$D$21,"INSTITUCIONES AMIGAS DE LA MUJER Y LA INFANCIA (IAMI)",IF(N84=CURSOS!$D$22,"CUIDADO DEL DONANTE DE ORGANOS",IF(N84=CURSOS!$D$23,"ATENCION A VICTIMAS POR VIOLENCIA DE GENERO",IF(N84=CURSOS!$D$24,"IGUALDAD DE GENERO EN LA SALUD",IF(N84=CURSOS!$D$25,"BRIGADA DE EMERGENCIA",IF(N84=CURSOS!$D$26,"MANEJO DEL DOLOR Y CUIDADOS PALIATIVOS",IF(N84=CURSOS!$D$27,"TOMA MUESTRAS Y LABORATORIO POCT",IF(N84=CURSOS!$D$28,"IMPLANTE SUBDERMICO Y DISPOSITIVO INTRAUTERINO",IF(N84=CURSOS!$D$29,"SALUD MENTAL",IF(N84=CURSOS!$D$30,"PRIMEROS AUXILIOS PSICOLOGICOS",IF(N84=CURSOS!$D$31,"ATENCION A VICTIMAS POR CONFLICTO ARMADO",IF(N84=CURSOS!$D$32,"MANIPULACION DE ALIMENTOS Y BPM"))))))))))))))))))))))))))))))</f>
        <v xml:space="preserve">ATENCION A VICTIMAS DE VIOLENCIA SEXUAL </v>
      </c>
      <c r="U84" s="29" t="str">
        <f t="shared" si="9"/>
        <v>Maria Elena Herrera Botina</v>
      </c>
      <c r="V84" s="29" t="str">
        <f t="shared" si="10"/>
        <v>Maria Elena Herrera Botina</v>
      </c>
      <c r="W84" s="29" t="str">
        <f t="shared" si="11"/>
        <v>Maria Elena Herrera Botina-59829140-VIOLENCIA SEXUAL</v>
      </c>
      <c r="X84" s="109"/>
    </row>
    <row r="85" spans="1:24" s="46" customFormat="1" ht="15.75" x14ac:dyDescent="0.25">
      <c r="A85" s="31">
        <v>84</v>
      </c>
      <c r="B85" s="31">
        <v>1085343638</v>
      </c>
      <c r="C85" s="31" t="s">
        <v>343</v>
      </c>
      <c r="D85" s="31" t="s">
        <v>344</v>
      </c>
      <c r="E85" s="31" t="s">
        <v>339</v>
      </c>
      <c r="F85" s="31" t="s">
        <v>345</v>
      </c>
      <c r="G85" s="18">
        <v>16</v>
      </c>
      <c r="H85" s="18" t="s">
        <v>93</v>
      </c>
      <c r="I85" s="22"/>
      <c r="J85" s="57">
        <v>30000</v>
      </c>
      <c r="K85" s="18"/>
      <c r="L85" s="18" t="s">
        <v>84</v>
      </c>
      <c r="M85" s="18" t="s">
        <v>341</v>
      </c>
      <c r="N85" s="19" t="s">
        <v>46</v>
      </c>
      <c r="O85" s="87">
        <v>36162</v>
      </c>
      <c r="P85" s="31" t="s">
        <v>100</v>
      </c>
      <c r="Q85" s="31" t="s">
        <v>106</v>
      </c>
      <c r="R85" s="31">
        <v>3216619808</v>
      </c>
      <c r="S85" s="47" t="s">
        <v>346</v>
      </c>
      <c r="T85" s="29" t="str">
        <f>IF(N85=CURSOS!$D$3,"DIPLOMADO EN ATENCION PRE-HOSPITALARIA",IF(N85=CURSOS!$D$4,"ACOMPAÑAMIENTO Y MANEJO DEL DUELO",IF(N85=CURSOS!$D$5,"ATENCION A VICTIMAS DE ATAQUE CON AGENTES QUIMICOS ",IF(N85=CURSOS!$D$6,"PRIMEROS AUXILIOS ",IF(N85=CURSOS!$D$7,"DIPLOMADO DE UNIDAD DE CUIDADOS INTENSIVOS (UCI)",IF(N85=CURSOS!$D$8,"MODELO DE ATENCION PARA EVENTOS EMERGENTES EN SALUD MENTAL (CODIGO VERDE)",IF(N85=CURSOS!$D$9,"HUMANIZACION EN SALUD, BUENAS PRACTICAS EN PACIENTE ",IF(N85=CURSOS!$D$10,"CLINICA DE HERIDAS ",IF(N85=CURSOS!$D$11,"TOMA DE CITOLOGIA A CERVICO VAGINAL ",IF(N85=CURSOS!$D$12,"SOPORTE CARDIOVASCULAR AVANZADO ",IF(N85=CURSOS!$D$13,"CAMILLERO ",IF(N85=CURSOS!$D$14,"TOMA MUESTRAS Y LABORATORIO ",IF(N85=CURSOS!$D$15,"SOPORTE VITAL BASICO (BLS)",IF(N85=CURSOS!$D$16,"ATENCION A VICTIMAS DE VIOLENCIA SEXUAL ",IF(N85=CURSOS!$D$17,"PROGRAMADO AMPLIADO DE INMUNIZACION (PAI - COVID 19)",IF(N85=CURSOS!$D$18,"ATENCION INTEGRAL EN ENFERMEDADES PREVALENTES EN PRIMERA INFANCIA (AIEPI)",IF(N85=CURSOS!$D$19,"ADMINISTRACION DE MEDICAMENTOS, IYECTOLOGIA  Y CANALIZACION ",IF(N85=CURSOS!$D$20,"OPERADOR DE VEHICULOS DE EMERGENCIA (OVE)",IF(N85=CURSOS!$D$21,"INSTITUCIONES AMIGAS DE LA MUJER Y LA INFANCIA (IAMI)",IF(N85=CURSOS!$D$22,"CUIDADO DEL DONANTE DE ORGANOS",IF(N85=CURSOS!$D$23,"ATENCION A VICTIMAS POR VIOLENCIA DE GENERO",IF(N85=CURSOS!$D$24,"IGUALDAD DE GENERO EN LA SALUD",IF(N85=CURSOS!$D$25,"BRIGADA DE EMERGENCIA",IF(N85=CURSOS!$D$26,"MANEJO DEL DOLOR Y CUIDADOS PALIATIVOS",IF(N85=CURSOS!$D$27,"TOMA MUESTRAS Y LABORATORIO POCT",IF(N85=CURSOS!$D$28,"IMPLANTE SUBDERMICO Y DISPOSITIVO INTRAUTERINO",IF(N85=CURSOS!$D$29,"SALUD MENTAL",IF(N85=CURSOS!$D$30,"PRIMEROS AUXILIOS PSICOLOGICOS",IF(N85=CURSOS!$D$31,"ATENCION A VICTIMAS POR CONFLICTO ARMADO",IF(N85=CURSOS!$D$32,"MANIPULACION DE ALIMENTOS Y BPM"))))))))))))))))))))))))))))))</f>
        <v xml:space="preserve">ATENCION A VICTIMAS DE VIOLENCIA SEXUAL </v>
      </c>
      <c r="U85" s="29" t="str">
        <f t="shared" si="9"/>
        <v>Maria Camila Grijalba Zarama</v>
      </c>
      <c r="V85" s="29" t="str">
        <f t="shared" si="10"/>
        <v>Maria Camila Grijalba Zarama</v>
      </c>
      <c r="W85" s="29" t="str">
        <f t="shared" si="11"/>
        <v>Maria Camila Grijalba Zarama-1085343638-VIOLENCIA SEXUAL</v>
      </c>
      <c r="X85" s="109"/>
    </row>
    <row r="86" spans="1:24" s="46" customFormat="1" ht="15.75" x14ac:dyDescent="0.25">
      <c r="A86" s="31">
        <v>85</v>
      </c>
      <c r="B86" s="31">
        <v>1085257967</v>
      </c>
      <c r="C86" s="31" t="s">
        <v>347</v>
      </c>
      <c r="D86" s="31"/>
      <c r="E86" s="31" t="s">
        <v>348</v>
      </c>
      <c r="F86" s="31" t="s">
        <v>349</v>
      </c>
      <c r="G86" s="18">
        <v>16</v>
      </c>
      <c r="H86" s="18" t="s">
        <v>93</v>
      </c>
      <c r="I86" s="22"/>
      <c r="J86" s="57">
        <v>30000</v>
      </c>
      <c r="K86" s="18"/>
      <c r="L86" s="18" t="s">
        <v>84</v>
      </c>
      <c r="M86" s="18" t="s">
        <v>341</v>
      </c>
      <c r="N86" s="19" t="s">
        <v>25</v>
      </c>
      <c r="O86" s="87">
        <v>31868</v>
      </c>
      <c r="P86" s="31" t="s">
        <v>100</v>
      </c>
      <c r="Q86" s="31" t="s">
        <v>106</v>
      </c>
      <c r="R86" s="31">
        <v>3177246396</v>
      </c>
      <c r="S86" s="47" t="s">
        <v>352</v>
      </c>
      <c r="T86" s="29" t="str">
        <f>IF(N86=CURSOS!$D$3,"DIPLOMADO EN ATENCION PRE-HOSPITALARIA",IF(N86=CURSOS!$D$4,"ACOMPAÑAMIENTO Y MANEJO DEL DUELO",IF(N86=CURSOS!$D$5,"ATENCION A VICTIMAS DE ATAQUE CON AGENTES QUIMICOS ",IF(N86=CURSOS!$D$6,"PRIMEROS AUXILIOS ",IF(N86=CURSOS!$D$7,"DIPLOMADO DE UNIDAD DE CUIDADOS INTENSIVOS (UCI)",IF(N86=CURSOS!$D$8,"MODELO DE ATENCION PARA EVENTOS EMERGENTES EN SALUD MENTAL (CODIGO VERDE)",IF(N86=CURSOS!$D$9,"HUMANIZACION EN SALUD, BUENAS PRACTICAS EN PACIENTE ",IF(N86=CURSOS!$D$10,"CLINICA DE HERIDAS ",IF(N86=CURSOS!$D$11,"TOMA DE CITOLOGIA A CERVICO VAGINAL ",IF(N86=CURSOS!$D$12,"SOPORTE CARDIOVASCULAR AVANZADO ",IF(N86=CURSOS!$D$13,"CAMILLERO ",IF(N86=CURSOS!$D$14,"TOMA MUESTRAS Y LABORATORIO ",IF(N86=CURSOS!$D$15,"SOPORTE VITAL BASICO (BLS)",IF(N86=CURSOS!$D$16,"ATENCION A VICTIMAS DE VIOLENCIA SEXUAL ",IF(N86=CURSOS!$D$17,"PROGRAMADO AMPLIADO DE INMUNIZACION (PAI - COVID 19)",IF(N86=CURSOS!$D$18,"ATENCION INTEGRAL EN ENFERMEDADES PREVALENTES EN PRIMERA INFANCIA (AIEPI)",IF(N86=CURSOS!$D$19,"ADMINISTRACION DE MEDICAMENTOS, IYECTOLOGIA  Y CANALIZACION ",IF(N86=CURSOS!$D$20,"OPERADOR DE VEHICULOS DE EMERGENCIA (OVE)",IF(N86=CURSOS!$D$21,"INSTITUCIONES AMIGAS DE LA MUJER Y LA INFANCIA (IAMI)",IF(N86=CURSOS!$D$22,"CUIDADO DEL DONANTE DE ORGANOS",IF(N86=CURSOS!$D$23,"ATENCION A VICTIMAS POR VIOLENCIA DE GENERO",IF(N86=CURSOS!$D$24,"IGUALDAD DE GENERO EN LA SALUD",IF(N86=CURSOS!$D$25,"BRIGADA DE EMERGENCIA",IF(N86=CURSOS!$D$26,"MANEJO DEL DOLOR Y CUIDADOS PALIATIVOS",IF(N86=CURSOS!$D$27,"TOMA MUESTRAS Y LABORATORIO POCT",IF(N86=CURSOS!$D$28,"IMPLANTE SUBDERMICO Y DISPOSITIVO INTRAUTERINO",IF(N86=CURSOS!$D$29,"SALUD MENTAL",IF(N86=CURSOS!$D$30,"PRIMEROS AUXILIOS PSICOLOGICOS",IF(N86=CURSOS!$D$31,"ATENCION A VICTIMAS POR CONFLICTO ARMADO",IF(N86=CURSOS!$D$32,"MANIPULACION DE ALIMENTOS Y BPM"))))))))))))))))))))))))))))))</f>
        <v xml:space="preserve">ATENCION A VICTIMAS DE ATAQUE CON AGENTES QUIMICOS </v>
      </c>
      <c r="U86" s="29" t="str">
        <f t="shared" si="9"/>
        <v xml:space="preserve">Yuri Helena Cordoba </v>
      </c>
      <c r="V86" s="29" t="str">
        <f t="shared" si="10"/>
        <v xml:space="preserve">Yuri Helena Cordoba </v>
      </c>
      <c r="W86" s="29" t="str">
        <f t="shared" si="11"/>
        <v>Yuri Helena Cordoba -1085257967-QUIMICOS</v>
      </c>
      <c r="X86" s="109"/>
    </row>
    <row r="87" spans="1:24" s="46" customFormat="1" ht="15.75" x14ac:dyDescent="0.25">
      <c r="A87" s="31">
        <v>86</v>
      </c>
      <c r="B87" s="31">
        <v>1085336875</v>
      </c>
      <c r="C87" s="31" t="s">
        <v>312</v>
      </c>
      <c r="D87" s="31" t="s">
        <v>350</v>
      </c>
      <c r="E87" s="31" t="s">
        <v>351</v>
      </c>
      <c r="F87" s="31" t="s">
        <v>309</v>
      </c>
      <c r="G87" s="18">
        <v>16</v>
      </c>
      <c r="H87" s="18" t="s">
        <v>93</v>
      </c>
      <c r="I87" s="22"/>
      <c r="J87" s="57">
        <v>30000</v>
      </c>
      <c r="K87" s="18"/>
      <c r="L87" s="18" t="s">
        <v>84</v>
      </c>
      <c r="M87" s="18" t="s">
        <v>341</v>
      </c>
      <c r="N87" s="19" t="s">
        <v>46</v>
      </c>
      <c r="O87" s="87">
        <v>35685</v>
      </c>
      <c r="P87" s="31" t="s">
        <v>100</v>
      </c>
      <c r="Q87" s="31" t="s">
        <v>106</v>
      </c>
      <c r="R87" s="31">
        <v>3145649557</v>
      </c>
      <c r="S87" s="47" t="s">
        <v>353</v>
      </c>
      <c r="T87" s="29" t="str">
        <f>IF(N87=CURSOS!$D$3,"DIPLOMADO EN ATENCION PRE-HOSPITALARIA",IF(N87=CURSOS!$D$4,"ACOMPAÑAMIENTO Y MANEJO DEL DUELO",IF(N87=CURSOS!$D$5,"ATENCION A VICTIMAS DE ATAQUE CON AGENTES QUIMICOS ",IF(N87=CURSOS!$D$6,"PRIMEROS AUXILIOS ",IF(N87=CURSOS!$D$7,"DIPLOMADO DE UNIDAD DE CUIDADOS INTENSIVOS (UCI)",IF(N87=CURSOS!$D$8,"MODELO DE ATENCION PARA EVENTOS EMERGENTES EN SALUD MENTAL (CODIGO VERDE)",IF(N87=CURSOS!$D$9,"HUMANIZACION EN SALUD, BUENAS PRACTICAS EN PACIENTE ",IF(N87=CURSOS!$D$10,"CLINICA DE HERIDAS ",IF(N87=CURSOS!$D$11,"TOMA DE CITOLOGIA A CERVICO VAGINAL ",IF(N87=CURSOS!$D$12,"SOPORTE CARDIOVASCULAR AVANZADO ",IF(N87=CURSOS!$D$13,"CAMILLERO ",IF(N87=CURSOS!$D$14,"TOMA MUESTRAS Y LABORATORIO ",IF(N87=CURSOS!$D$15,"SOPORTE VITAL BASICO (BLS)",IF(N87=CURSOS!$D$16,"ATENCION A VICTIMAS DE VIOLENCIA SEXUAL ",IF(N87=CURSOS!$D$17,"PROGRAMADO AMPLIADO DE INMUNIZACION (PAI - COVID 19)",IF(N87=CURSOS!$D$18,"ATENCION INTEGRAL EN ENFERMEDADES PREVALENTES EN PRIMERA INFANCIA (AIEPI)",IF(N87=CURSOS!$D$19,"ADMINISTRACION DE MEDICAMENTOS, IYECTOLOGIA  Y CANALIZACION ",IF(N87=CURSOS!$D$20,"OPERADOR DE VEHICULOS DE EMERGENCIA (OVE)",IF(N87=CURSOS!$D$21,"INSTITUCIONES AMIGAS DE LA MUJER Y LA INFANCIA (IAMI)",IF(N87=CURSOS!$D$22,"CUIDADO DEL DONANTE DE ORGANOS",IF(N87=CURSOS!$D$23,"ATENCION A VICTIMAS POR VIOLENCIA DE GENERO",IF(N87=CURSOS!$D$24,"IGUALDAD DE GENERO EN LA SALUD",IF(N87=CURSOS!$D$25,"BRIGADA DE EMERGENCIA",IF(N87=CURSOS!$D$26,"MANEJO DEL DOLOR Y CUIDADOS PALIATIVOS",IF(N87=CURSOS!$D$27,"TOMA MUESTRAS Y LABORATORIO POCT",IF(N87=CURSOS!$D$28,"IMPLANTE SUBDERMICO Y DISPOSITIVO INTRAUTERINO",IF(N87=CURSOS!$D$29,"SALUD MENTAL",IF(N87=CURSOS!$D$30,"PRIMEROS AUXILIOS PSICOLOGICOS",IF(N87=CURSOS!$D$31,"ATENCION A VICTIMAS POR CONFLICTO ARMADO",IF(N87=CURSOS!$D$32,"MANIPULACION DE ALIMENTOS Y BPM"))))))))))))))))))))))))))))))</f>
        <v xml:space="preserve">ATENCION A VICTIMAS DE VIOLENCIA SEXUAL </v>
      </c>
      <c r="U87" s="29" t="str">
        <f t="shared" ref="U87:U140" si="18">CONCATENATE(E87," ",F87," ",C87," ",D87)</f>
        <v>Ginna Alejandra Getial Ruales</v>
      </c>
      <c r="V87" s="29" t="str">
        <f t="shared" ref="V87:V140" si="19">+PROPER(U87)</f>
        <v>Ginna Alejandra Getial Ruales</v>
      </c>
      <c r="W87" s="29" t="str">
        <f t="shared" ref="W87:W140" si="20">CONCATENATE(U87,"-",B87,"-",N87)</f>
        <v>Ginna Alejandra Getial Ruales-1085336875-VIOLENCIA SEXUAL</v>
      </c>
      <c r="X87" s="109"/>
    </row>
    <row r="88" spans="1:24" s="46" customFormat="1" ht="15.75" x14ac:dyDescent="0.25">
      <c r="A88" s="31">
        <v>87</v>
      </c>
      <c r="B88" s="31">
        <v>1086329474</v>
      </c>
      <c r="C88" s="31" t="s">
        <v>354</v>
      </c>
      <c r="D88" s="31" t="s">
        <v>195</v>
      </c>
      <c r="E88" s="31" t="s">
        <v>227</v>
      </c>
      <c r="F88" s="31" t="s">
        <v>335</v>
      </c>
      <c r="G88" s="18">
        <v>16</v>
      </c>
      <c r="H88" s="18" t="s">
        <v>93</v>
      </c>
      <c r="I88" s="22"/>
      <c r="J88" s="57">
        <v>30000</v>
      </c>
      <c r="K88" s="18"/>
      <c r="L88" s="18" t="s">
        <v>84</v>
      </c>
      <c r="M88" s="18" t="s">
        <v>341</v>
      </c>
      <c r="N88" s="19" t="s">
        <v>25</v>
      </c>
      <c r="O88" s="45">
        <v>32537</v>
      </c>
      <c r="P88" s="31" t="s">
        <v>100</v>
      </c>
      <c r="Q88" s="31" t="s">
        <v>106</v>
      </c>
      <c r="R88" s="31">
        <v>3013483182</v>
      </c>
      <c r="S88" s="47" t="s">
        <v>359</v>
      </c>
      <c r="T88" s="29" t="str">
        <f>IF(N88=CURSOS!$D$3,"DIPLOMADO EN ATENCION PRE-HOSPITALARIA",IF(N88=CURSOS!$D$4,"ACOMPAÑAMIENTO Y MANEJO DEL DUELO",IF(N88=CURSOS!$D$5,"ATENCION A VICTIMAS DE ATAQUE CON AGENTES QUIMICOS ",IF(N88=CURSOS!$D$6,"PRIMEROS AUXILIOS ",IF(N88=CURSOS!$D$7,"DIPLOMADO DE UNIDAD DE CUIDADOS INTENSIVOS (UCI)",IF(N88=CURSOS!$D$8,"MODELO DE ATENCION PARA EVENTOS EMERGENTES EN SALUD MENTAL (CODIGO VERDE)",IF(N88=CURSOS!$D$9,"HUMANIZACION EN SALUD, BUENAS PRACTICAS EN PACIENTE ",IF(N88=CURSOS!$D$10,"CLINICA DE HERIDAS ",IF(N88=CURSOS!$D$11,"TOMA DE CITOLOGIA A CERVICO VAGINAL ",IF(N88=CURSOS!$D$12,"SOPORTE CARDIOVASCULAR AVANZADO ",IF(N88=CURSOS!$D$13,"CAMILLERO ",IF(N88=CURSOS!$D$14,"TOMA MUESTRAS Y LABORATORIO ",IF(N88=CURSOS!$D$15,"SOPORTE VITAL BASICO (BLS)",IF(N88=CURSOS!$D$16,"ATENCION A VICTIMAS DE VIOLENCIA SEXUAL ",IF(N88=CURSOS!$D$17,"PROGRAMADO AMPLIADO DE INMUNIZACION (PAI - COVID 19)",IF(N88=CURSOS!$D$18,"ATENCION INTEGRAL EN ENFERMEDADES PREVALENTES EN PRIMERA INFANCIA (AIEPI)",IF(N88=CURSOS!$D$19,"ADMINISTRACION DE MEDICAMENTOS, IYECTOLOGIA  Y CANALIZACION ",IF(N88=CURSOS!$D$20,"OPERADOR DE VEHICULOS DE EMERGENCIA (OVE)",IF(N88=CURSOS!$D$21,"INSTITUCIONES AMIGAS DE LA MUJER Y LA INFANCIA (IAMI)",IF(N88=CURSOS!$D$22,"CUIDADO DEL DONANTE DE ORGANOS",IF(N88=CURSOS!$D$23,"ATENCION A VICTIMAS POR VIOLENCIA DE GENERO",IF(N88=CURSOS!$D$24,"IGUALDAD DE GENERO EN LA SALUD",IF(N88=CURSOS!$D$25,"BRIGADA DE EMERGENCIA",IF(N88=CURSOS!$D$26,"MANEJO DEL DOLOR Y CUIDADOS PALIATIVOS",IF(N88=CURSOS!$D$27,"TOMA MUESTRAS Y LABORATORIO POCT",IF(N88=CURSOS!$D$28,"IMPLANTE SUBDERMICO Y DISPOSITIVO INTRAUTERINO",IF(N88=CURSOS!$D$29,"SALUD MENTAL",IF(N88=CURSOS!$D$30,"PRIMEROS AUXILIOS PSICOLOGICOS",IF(N88=CURSOS!$D$31,"ATENCION A VICTIMAS POR CONFLICTO ARMADO",IF(N88=CURSOS!$D$32,"MANIPULACION DE ALIMENTOS Y BPM"))))))))))))))))))))))))))))))</f>
        <v xml:space="preserve">ATENCION A VICTIMAS DE ATAQUE CON AGENTES QUIMICOS </v>
      </c>
      <c r="U88" s="29" t="str">
        <f t="shared" si="18"/>
        <v>Liliana Rocio Salazar Jurado</v>
      </c>
      <c r="V88" s="29" t="str">
        <f t="shared" si="19"/>
        <v>Liliana Rocio Salazar Jurado</v>
      </c>
      <c r="W88" s="29" t="str">
        <f t="shared" si="20"/>
        <v>Liliana Rocio Salazar Jurado-1086329474-QUIMICOS</v>
      </c>
      <c r="X88" s="109"/>
    </row>
    <row r="89" spans="1:24" s="46" customFormat="1" ht="15.75" x14ac:dyDescent="0.25">
      <c r="A89" s="31">
        <v>88</v>
      </c>
      <c r="B89" s="31">
        <v>1086329474</v>
      </c>
      <c r="C89" s="31" t="s">
        <v>354</v>
      </c>
      <c r="D89" s="31" t="s">
        <v>195</v>
      </c>
      <c r="E89" s="31" t="s">
        <v>227</v>
      </c>
      <c r="F89" s="31" t="s">
        <v>335</v>
      </c>
      <c r="G89" s="18">
        <v>16</v>
      </c>
      <c r="H89" s="18" t="s">
        <v>93</v>
      </c>
      <c r="I89" s="22"/>
      <c r="J89" s="57">
        <v>30000</v>
      </c>
      <c r="K89" s="18"/>
      <c r="L89" s="18" t="s">
        <v>84</v>
      </c>
      <c r="M89" s="18" t="s">
        <v>341</v>
      </c>
      <c r="N89" s="19" t="s">
        <v>19</v>
      </c>
      <c r="O89" s="45">
        <v>32537</v>
      </c>
      <c r="P89" s="31" t="s">
        <v>100</v>
      </c>
      <c r="Q89" s="31" t="s">
        <v>106</v>
      </c>
      <c r="R89" s="31">
        <v>3013483182</v>
      </c>
      <c r="S89" s="47" t="s">
        <v>359</v>
      </c>
      <c r="T89" s="29" t="str">
        <f>IF(N89=CURSOS!$D$3,"DIPLOMADO EN ATENCION PRE-HOSPITALARIA",IF(N89=CURSOS!$D$4,"ACOMPAÑAMIENTO Y MANEJO DEL DUELO",IF(N89=CURSOS!$D$5,"ATENCION A VICTIMAS DE ATAQUE CON AGENTES QUIMICOS ",IF(N89=CURSOS!$D$6,"PRIMEROS AUXILIOS ",IF(N89=CURSOS!$D$7,"DIPLOMADO DE UNIDAD DE CUIDADOS INTENSIVOS (UCI)",IF(N89=CURSOS!$D$8,"MODELO DE ATENCION PARA EVENTOS EMERGENTES EN SALUD MENTAL (CODIGO VERDE)",IF(N89=CURSOS!$D$9,"HUMANIZACION EN SALUD, BUENAS PRACTICAS EN PACIENTE ",IF(N89=CURSOS!$D$10,"CLINICA DE HERIDAS ",IF(N89=CURSOS!$D$11,"TOMA DE CITOLOGIA A CERVICO VAGINAL ",IF(N89=CURSOS!$D$12,"SOPORTE CARDIOVASCULAR AVANZADO ",IF(N89=CURSOS!$D$13,"CAMILLERO ",IF(N89=CURSOS!$D$14,"TOMA MUESTRAS Y LABORATORIO ",IF(N89=CURSOS!$D$15,"SOPORTE VITAL BASICO (BLS)",IF(N89=CURSOS!$D$16,"ATENCION A VICTIMAS DE VIOLENCIA SEXUAL ",IF(N89=CURSOS!$D$17,"PROGRAMADO AMPLIADO DE INMUNIZACION (PAI - COVID 19)",IF(N89=CURSOS!$D$18,"ATENCION INTEGRAL EN ENFERMEDADES PREVALENTES EN PRIMERA INFANCIA (AIEPI)",IF(N89=CURSOS!$D$19,"ADMINISTRACION DE MEDICAMENTOS, IYECTOLOGIA  Y CANALIZACION ",IF(N89=CURSOS!$D$20,"OPERADOR DE VEHICULOS DE EMERGENCIA (OVE)",IF(N89=CURSOS!$D$21,"INSTITUCIONES AMIGAS DE LA MUJER Y LA INFANCIA (IAMI)",IF(N89=CURSOS!$D$22,"CUIDADO DEL DONANTE DE ORGANOS",IF(N89=CURSOS!$D$23,"ATENCION A VICTIMAS POR VIOLENCIA DE GENERO",IF(N89=CURSOS!$D$24,"IGUALDAD DE GENERO EN LA SALUD",IF(N89=CURSOS!$D$25,"BRIGADA DE EMERGENCIA",IF(N89=CURSOS!$D$26,"MANEJO DEL DOLOR Y CUIDADOS PALIATIVOS",IF(N89=CURSOS!$D$27,"TOMA MUESTRAS Y LABORATORIO POCT",IF(N89=CURSOS!$D$28,"IMPLANTE SUBDERMICO Y DISPOSITIVO INTRAUTERINO",IF(N89=CURSOS!$D$29,"SALUD MENTAL",IF(N89=CURSOS!$D$30,"PRIMEROS AUXILIOS PSICOLOGICOS",IF(N89=CURSOS!$D$31,"ATENCION A VICTIMAS POR CONFLICTO ARMADO",IF(N89=CURSOS!$D$32,"MANIPULACION DE ALIMENTOS Y BPM"))))))))))))))))))))))))))))))</f>
        <v>SOPORTE VITAL BASICO (BLS)</v>
      </c>
      <c r="U89" s="29" t="str">
        <f t="shared" si="18"/>
        <v>Liliana Rocio Salazar Jurado</v>
      </c>
      <c r="V89" s="29" t="str">
        <f t="shared" si="19"/>
        <v>Liliana Rocio Salazar Jurado</v>
      </c>
      <c r="W89" s="29" t="str">
        <f t="shared" si="20"/>
        <v>Liliana Rocio Salazar Jurado-1086329474-BLS</v>
      </c>
      <c r="X89" s="109"/>
    </row>
    <row r="90" spans="1:24" s="46" customFormat="1" ht="15.75" x14ac:dyDescent="0.25">
      <c r="A90" s="31">
        <v>89</v>
      </c>
      <c r="B90" s="31">
        <v>1085319297</v>
      </c>
      <c r="C90" s="31" t="s">
        <v>355</v>
      </c>
      <c r="D90" s="31" t="s">
        <v>356</v>
      </c>
      <c r="E90" s="31" t="s">
        <v>357</v>
      </c>
      <c r="F90" s="31" t="s">
        <v>358</v>
      </c>
      <c r="G90" s="18">
        <v>16</v>
      </c>
      <c r="H90" s="18" t="s">
        <v>93</v>
      </c>
      <c r="I90" s="22"/>
      <c r="J90" s="57">
        <v>30000</v>
      </c>
      <c r="K90" s="18"/>
      <c r="L90" s="18" t="s">
        <v>84</v>
      </c>
      <c r="M90" s="18" t="s">
        <v>341</v>
      </c>
      <c r="N90" s="19" t="s">
        <v>19</v>
      </c>
      <c r="O90" s="45">
        <v>34407</v>
      </c>
      <c r="P90" s="31" t="s">
        <v>100</v>
      </c>
      <c r="Q90" s="31" t="s">
        <v>106</v>
      </c>
      <c r="R90" s="31">
        <v>3215185840</v>
      </c>
      <c r="S90" s="47" t="s">
        <v>360</v>
      </c>
      <c r="T90" s="29" t="str">
        <f>IF(N90=CURSOS!$D$3,"DIPLOMADO EN ATENCION PRE-HOSPITALARIA",IF(N90=CURSOS!$D$4,"ACOMPAÑAMIENTO Y MANEJO DEL DUELO",IF(N90=CURSOS!$D$5,"ATENCION A VICTIMAS DE ATAQUE CON AGENTES QUIMICOS ",IF(N90=CURSOS!$D$6,"PRIMEROS AUXILIOS ",IF(N90=CURSOS!$D$7,"DIPLOMADO DE UNIDAD DE CUIDADOS INTENSIVOS (UCI)",IF(N90=CURSOS!$D$8,"MODELO DE ATENCION PARA EVENTOS EMERGENTES EN SALUD MENTAL (CODIGO VERDE)",IF(N90=CURSOS!$D$9,"HUMANIZACION EN SALUD, BUENAS PRACTICAS EN PACIENTE ",IF(N90=CURSOS!$D$10,"CLINICA DE HERIDAS ",IF(N90=CURSOS!$D$11,"TOMA DE CITOLOGIA A CERVICO VAGINAL ",IF(N90=CURSOS!$D$12,"SOPORTE CARDIOVASCULAR AVANZADO ",IF(N90=CURSOS!$D$13,"CAMILLERO ",IF(N90=CURSOS!$D$14,"TOMA MUESTRAS Y LABORATORIO ",IF(N90=CURSOS!$D$15,"SOPORTE VITAL BASICO (BLS)",IF(N90=CURSOS!$D$16,"ATENCION A VICTIMAS DE VIOLENCIA SEXUAL ",IF(N90=CURSOS!$D$17,"PROGRAMADO AMPLIADO DE INMUNIZACION (PAI - COVID 19)",IF(N90=CURSOS!$D$18,"ATENCION INTEGRAL EN ENFERMEDADES PREVALENTES EN PRIMERA INFANCIA (AIEPI)",IF(N90=CURSOS!$D$19,"ADMINISTRACION DE MEDICAMENTOS, IYECTOLOGIA  Y CANALIZACION ",IF(N90=CURSOS!$D$20,"OPERADOR DE VEHICULOS DE EMERGENCIA (OVE)",IF(N90=CURSOS!$D$21,"INSTITUCIONES AMIGAS DE LA MUJER Y LA INFANCIA (IAMI)",IF(N90=CURSOS!$D$22,"CUIDADO DEL DONANTE DE ORGANOS",IF(N90=CURSOS!$D$23,"ATENCION A VICTIMAS POR VIOLENCIA DE GENERO",IF(N90=CURSOS!$D$24,"IGUALDAD DE GENERO EN LA SALUD",IF(N90=CURSOS!$D$25,"BRIGADA DE EMERGENCIA",IF(N90=CURSOS!$D$26,"MANEJO DEL DOLOR Y CUIDADOS PALIATIVOS",IF(N90=CURSOS!$D$27,"TOMA MUESTRAS Y LABORATORIO POCT",IF(N90=CURSOS!$D$28,"IMPLANTE SUBDERMICO Y DISPOSITIVO INTRAUTERINO",IF(N90=CURSOS!$D$29,"SALUD MENTAL",IF(N90=CURSOS!$D$30,"PRIMEROS AUXILIOS PSICOLOGICOS",IF(N90=CURSOS!$D$31,"ATENCION A VICTIMAS POR CONFLICTO ARMADO",IF(N90=CURSOS!$D$32,"MANIPULACION DE ALIMENTOS Y BPM"))))))))))))))))))))))))))))))</f>
        <v>SOPORTE VITAL BASICO (BLS)</v>
      </c>
      <c r="U90" s="29" t="str">
        <f t="shared" si="18"/>
        <v>Jhonny Anderson Villota Arce</v>
      </c>
      <c r="V90" s="29" t="str">
        <f t="shared" si="19"/>
        <v>Jhonny Anderson Villota Arce</v>
      </c>
      <c r="W90" s="29" t="str">
        <f t="shared" si="20"/>
        <v>Jhonny Anderson Villota Arce-1085319297-BLS</v>
      </c>
      <c r="X90" s="109"/>
    </row>
    <row r="91" spans="1:24" s="46" customFormat="1" x14ac:dyDescent="0.2">
      <c r="A91" s="31">
        <v>90</v>
      </c>
      <c r="B91" s="31">
        <v>1085327449</v>
      </c>
      <c r="C91" s="31" t="s">
        <v>361</v>
      </c>
      <c r="D91" s="31" t="s">
        <v>253</v>
      </c>
      <c r="E91" s="31" t="s">
        <v>308</v>
      </c>
      <c r="F91" s="31" t="s">
        <v>362</v>
      </c>
      <c r="G91" s="18">
        <v>17</v>
      </c>
      <c r="H91" s="18" t="s">
        <v>363</v>
      </c>
      <c r="I91" s="22">
        <v>45429</v>
      </c>
      <c r="J91" s="57">
        <v>40000</v>
      </c>
      <c r="K91" s="18" t="s">
        <v>77</v>
      </c>
      <c r="L91" s="18" t="s">
        <v>84</v>
      </c>
      <c r="M91" s="18" t="s">
        <v>282</v>
      </c>
      <c r="N91" s="19" t="s">
        <v>19</v>
      </c>
      <c r="O91" s="45">
        <v>35137</v>
      </c>
      <c r="P91" s="31" t="s">
        <v>100</v>
      </c>
      <c r="Q91" s="31" t="s">
        <v>106</v>
      </c>
      <c r="R91" s="31">
        <v>3175501861</v>
      </c>
      <c r="S91" s="31" t="s">
        <v>364</v>
      </c>
      <c r="T91" s="29" t="str">
        <f>IF(N91=CURSOS!$D$3,"DIPLOMADO EN ATENCION PRE-HOSPITALARIA",IF(N91=CURSOS!$D$4,"ACOMPAÑAMIENTO Y MANEJO DEL DUELO",IF(N91=CURSOS!$D$5,"ATENCION A VICTIMAS DE ATAQUE CON AGENTES QUIMICOS ",IF(N91=CURSOS!$D$6,"PRIMEROS AUXILIOS ",IF(N91=CURSOS!$D$7,"DIPLOMADO DE UNIDAD DE CUIDADOS INTENSIVOS (UCI)",IF(N91=CURSOS!$D$8,"MODELO DE ATENCION PARA EVENTOS EMERGENTES EN SALUD MENTAL (CODIGO VERDE)",IF(N91=CURSOS!$D$9,"HUMANIZACION EN SALUD, BUENAS PRACTICAS EN PACIENTE ",IF(N91=CURSOS!$D$10,"CLINICA DE HERIDAS ",IF(N91=CURSOS!$D$11,"TOMA DE CITOLOGIA A CERVICO VAGINAL ",IF(N91=CURSOS!$D$12,"SOPORTE CARDIOVASCULAR AVANZADO ",IF(N91=CURSOS!$D$13,"CAMILLERO ",IF(N91=CURSOS!$D$14,"TOMA MUESTRAS Y LABORATORIO ",IF(N91=CURSOS!$D$15,"SOPORTE VITAL BASICO (BLS)",IF(N91=CURSOS!$D$16,"ATENCION A VICTIMAS DE VIOLENCIA SEXUAL ",IF(N91=CURSOS!$D$17,"PROGRAMADO AMPLIADO DE INMUNIZACION (PAI - COVID 19)",IF(N91=CURSOS!$D$18,"ATENCION INTEGRAL EN ENFERMEDADES PREVALENTES EN PRIMERA INFANCIA (AIEPI)",IF(N91=CURSOS!$D$19,"ADMINISTRACION DE MEDICAMENTOS, IYECTOLOGIA  Y CANALIZACION ",IF(N91=CURSOS!$D$20,"OPERADOR DE VEHICULOS DE EMERGENCIA (OVE)",IF(N91=CURSOS!$D$21,"INSTITUCIONES AMIGAS DE LA MUJER Y LA INFANCIA (IAMI)",IF(N91=CURSOS!$D$22,"CUIDADO DEL DONANTE DE ORGANOS",IF(N91=CURSOS!$D$23,"ATENCION A VICTIMAS POR VIOLENCIA DE GENERO",IF(N91=CURSOS!$D$24,"IGUALDAD DE GENERO EN LA SALUD",IF(N91=CURSOS!$D$25,"BRIGADA DE EMERGENCIA",IF(N91=CURSOS!$D$26,"MANEJO DEL DOLOR Y CUIDADOS PALIATIVOS",IF(N91=CURSOS!$D$27,"TOMA MUESTRAS Y LABORATORIO POCT",IF(N91=CURSOS!$D$28,"IMPLANTE SUBDERMICO Y DISPOSITIVO INTRAUTERINO",IF(N91=CURSOS!$D$29,"SALUD MENTAL",IF(N91=CURSOS!$D$30,"PRIMEROS AUXILIOS PSICOLOGICOS",IF(N91=CURSOS!$D$31,"ATENCION A VICTIMAS POR CONFLICTO ARMADO",IF(N91=CURSOS!$D$32,"MANIPULACION DE ALIMENTOS Y BPM"))))))))))))))))))))))))))))))</f>
        <v>SOPORTE VITAL BASICO (BLS)</v>
      </c>
      <c r="U91" s="29" t="str">
        <f t="shared" si="18"/>
        <v>Daniela Estefanía Pupiales Paz</v>
      </c>
      <c r="V91" s="29" t="str">
        <f t="shared" si="19"/>
        <v>Daniela Estefanía Pupiales Paz</v>
      </c>
      <c r="W91" s="29" t="str">
        <f t="shared" si="20"/>
        <v>Daniela Estefanía Pupiales Paz-1085327449-BLS</v>
      </c>
      <c r="X91" s="109"/>
    </row>
    <row r="92" spans="1:24" s="95" customFormat="1" x14ac:dyDescent="0.2">
      <c r="A92" s="31">
        <v>91</v>
      </c>
      <c r="B92" s="31">
        <v>27091114</v>
      </c>
      <c r="C92" s="31" t="s">
        <v>365</v>
      </c>
      <c r="D92" s="31" t="s">
        <v>366</v>
      </c>
      <c r="E92" s="31" t="s">
        <v>367</v>
      </c>
      <c r="F92" s="31" t="s">
        <v>296</v>
      </c>
      <c r="G92" s="18">
        <v>17</v>
      </c>
      <c r="H92" s="18" t="s">
        <v>93</v>
      </c>
      <c r="I92" s="22">
        <v>45429</v>
      </c>
      <c r="J92" s="57">
        <v>28000</v>
      </c>
      <c r="K92" s="18" t="s">
        <v>372</v>
      </c>
      <c r="L92" s="18" t="s">
        <v>84</v>
      </c>
      <c r="M92" s="18" t="s">
        <v>75</v>
      </c>
      <c r="N92" s="19" t="s">
        <v>46</v>
      </c>
      <c r="O92" s="45">
        <v>29137</v>
      </c>
      <c r="P92" s="31" t="s">
        <v>100</v>
      </c>
      <c r="Q92" s="31" t="s">
        <v>106</v>
      </c>
      <c r="R92" s="31">
        <v>3003370688</v>
      </c>
      <c r="S92" s="31" t="s">
        <v>368</v>
      </c>
      <c r="T92" s="29" t="str">
        <f>IF(N92=CURSOS!$D$3,"DIPLOMADO EN ATENCION PRE-HOSPITALARIA",IF(N92=CURSOS!$D$4,"ACOMPAÑAMIENTO Y MANEJO DEL DUELO",IF(N92=CURSOS!$D$5,"ATENCION A VICTIMAS DE ATAQUE CON AGENTES QUIMICOS ",IF(N92=CURSOS!$D$6,"PRIMEROS AUXILIOS ",IF(N92=CURSOS!$D$7,"DIPLOMADO DE UNIDAD DE CUIDADOS INTENSIVOS (UCI)",IF(N92=CURSOS!$D$8,"MODELO DE ATENCION PARA EVENTOS EMERGENTES EN SALUD MENTAL (CODIGO VERDE)",IF(N92=CURSOS!$D$9,"HUMANIZACION EN SALUD, BUENAS PRACTICAS EN PACIENTE ",IF(N92=CURSOS!$D$10,"CLINICA DE HERIDAS ",IF(N92=CURSOS!$D$11,"TOMA DE CITOLOGIA A CERVICO VAGINAL ",IF(N92=CURSOS!$D$12,"SOPORTE CARDIOVASCULAR AVANZADO ",IF(N92=CURSOS!$D$13,"CAMILLERO ",IF(N92=CURSOS!$D$14,"TOMA MUESTRAS Y LABORATORIO ",IF(N92=CURSOS!$D$15,"SOPORTE VITAL BASICO (BLS)",IF(N92=CURSOS!$D$16,"ATENCION A VICTIMAS DE VIOLENCIA SEXUAL ",IF(N92=CURSOS!$D$17,"PROGRAMADO AMPLIADO DE INMUNIZACION (PAI - COVID 19)",IF(N92=CURSOS!$D$18,"ATENCION INTEGRAL EN ENFERMEDADES PREVALENTES EN PRIMERA INFANCIA (AIEPI)",IF(N92=CURSOS!$D$19,"ADMINISTRACION DE MEDICAMENTOS, IYECTOLOGIA  Y CANALIZACION ",IF(N92=CURSOS!$D$20,"OPERADOR DE VEHICULOS DE EMERGENCIA (OVE)",IF(N92=CURSOS!$D$21,"INSTITUCIONES AMIGAS DE LA MUJER Y LA INFANCIA (IAMI)",IF(N92=CURSOS!$D$22,"CUIDADO DEL DONANTE DE ORGANOS",IF(N92=CURSOS!$D$23,"ATENCION A VICTIMAS POR VIOLENCIA DE GENERO",IF(N92=CURSOS!$D$24,"IGUALDAD DE GENERO EN LA SALUD",IF(N92=CURSOS!$D$25,"BRIGADA DE EMERGENCIA",IF(N92=CURSOS!$D$26,"MANEJO DEL DOLOR Y CUIDADOS PALIATIVOS",IF(N92=CURSOS!$D$27,"TOMA MUESTRAS Y LABORATORIO POCT",IF(N92=CURSOS!$D$28,"IMPLANTE SUBDERMICO Y DISPOSITIVO INTRAUTERINO",IF(N92=CURSOS!$D$29,"SALUD MENTAL",IF(N92=CURSOS!$D$30,"PRIMEROS AUXILIOS PSICOLOGICOS",IF(N92=CURSOS!$D$31,"ATENCION A VICTIMAS POR CONFLICTO ARMADO",IF(N92=CURSOS!$D$32,"MANIPULACION DE ALIMENTOS Y BPM"))))))))))))))))))))))))))))))</f>
        <v xml:space="preserve">ATENCION A VICTIMAS DE VIOLENCIA SEXUAL </v>
      </c>
      <c r="U92" s="29" t="str">
        <f t="shared" si="18"/>
        <v>Paola Andrea Espinosa Burbano</v>
      </c>
      <c r="V92" s="29" t="str">
        <f t="shared" si="19"/>
        <v>Paola Andrea Espinosa Burbano</v>
      </c>
      <c r="W92" s="29" t="str">
        <f t="shared" si="20"/>
        <v>Paola Andrea Espinosa Burbano-27091114-VIOLENCIA SEXUAL</v>
      </c>
      <c r="X92" s="111"/>
    </row>
    <row r="93" spans="1:24" s="46" customFormat="1" x14ac:dyDescent="0.2">
      <c r="A93" s="31">
        <v>92</v>
      </c>
      <c r="B93" s="31">
        <v>1004234165</v>
      </c>
      <c r="C93" s="31" t="s">
        <v>291</v>
      </c>
      <c r="D93" s="31" t="s">
        <v>369</v>
      </c>
      <c r="E93" s="31" t="s">
        <v>370</v>
      </c>
      <c r="F93" s="31"/>
      <c r="G93" s="18">
        <v>17</v>
      </c>
      <c r="H93" s="18" t="s">
        <v>93</v>
      </c>
      <c r="I93" s="22">
        <v>45429</v>
      </c>
      <c r="J93" s="57">
        <v>27500</v>
      </c>
      <c r="K93" s="18" t="s">
        <v>77</v>
      </c>
      <c r="L93" s="18" t="s">
        <v>84</v>
      </c>
      <c r="M93" s="18" t="s">
        <v>177</v>
      </c>
      <c r="N93" s="19" t="s">
        <v>19</v>
      </c>
      <c r="O93" s="45">
        <v>37844</v>
      </c>
      <c r="P93" s="31" t="s">
        <v>79</v>
      </c>
      <c r="Q93" s="31" t="s">
        <v>106</v>
      </c>
      <c r="R93" s="31">
        <v>3185844633</v>
      </c>
      <c r="S93" s="31" t="s">
        <v>371</v>
      </c>
      <c r="T93" s="29" t="str">
        <f>IF(N93=CURSOS!$D$3,"DIPLOMADO EN ATENCION PRE-HOSPITALARIA",IF(N93=CURSOS!$D$4,"ACOMPAÑAMIENTO Y MANEJO DEL DUELO",IF(N93=CURSOS!$D$5,"ATENCION A VICTIMAS DE ATAQUE CON AGENTES QUIMICOS ",IF(N93=CURSOS!$D$6,"PRIMEROS AUXILIOS ",IF(N93=CURSOS!$D$7,"DIPLOMADO DE UNIDAD DE CUIDADOS INTENSIVOS (UCI)",IF(N93=CURSOS!$D$8,"MODELO DE ATENCION PARA EVENTOS EMERGENTES EN SALUD MENTAL (CODIGO VERDE)",IF(N93=CURSOS!$D$9,"HUMANIZACION EN SALUD, BUENAS PRACTICAS EN PACIENTE ",IF(N93=CURSOS!$D$10,"CLINICA DE HERIDAS ",IF(N93=CURSOS!$D$11,"TOMA DE CITOLOGIA A CERVICO VAGINAL ",IF(N93=CURSOS!$D$12,"SOPORTE CARDIOVASCULAR AVANZADO ",IF(N93=CURSOS!$D$13,"CAMILLERO ",IF(N93=CURSOS!$D$14,"TOMA MUESTRAS Y LABORATORIO ",IF(N93=CURSOS!$D$15,"SOPORTE VITAL BASICO (BLS)",IF(N93=CURSOS!$D$16,"ATENCION A VICTIMAS DE VIOLENCIA SEXUAL ",IF(N93=CURSOS!$D$17,"PROGRAMADO AMPLIADO DE INMUNIZACION (PAI - COVID 19)",IF(N93=CURSOS!$D$18,"ATENCION INTEGRAL EN ENFERMEDADES PREVALENTES EN PRIMERA INFANCIA (AIEPI)",IF(N93=CURSOS!$D$19,"ADMINISTRACION DE MEDICAMENTOS, IYECTOLOGIA  Y CANALIZACION ",IF(N93=CURSOS!$D$20,"OPERADOR DE VEHICULOS DE EMERGENCIA (OVE)",IF(N93=CURSOS!$D$21,"INSTITUCIONES AMIGAS DE LA MUJER Y LA INFANCIA (IAMI)",IF(N93=CURSOS!$D$22,"CUIDADO DEL DONANTE DE ORGANOS",IF(N93=CURSOS!$D$23,"ATENCION A VICTIMAS POR VIOLENCIA DE GENERO",IF(N93=CURSOS!$D$24,"IGUALDAD DE GENERO EN LA SALUD",IF(N93=CURSOS!$D$25,"BRIGADA DE EMERGENCIA",IF(N93=CURSOS!$D$26,"MANEJO DEL DOLOR Y CUIDADOS PALIATIVOS",IF(N93=CURSOS!$D$27,"TOMA MUESTRAS Y LABORATORIO POCT",IF(N93=CURSOS!$D$28,"IMPLANTE SUBDERMICO Y DISPOSITIVO INTRAUTERINO",IF(N93=CURSOS!$D$29,"SALUD MENTAL",IF(N93=CURSOS!$D$30,"PRIMEROS AUXILIOS PSICOLOGICOS",IF(N93=CURSOS!$D$31,"ATENCION A VICTIMAS POR CONFLICTO ARMADO",IF(N93=CURSOS!$D$32,"MANIPULACION DE ALIMENTOS Y BPM"))))))))))))))))))))))))))))))</f>
        <v>SOPORTE VITAL BASICO (BLS)</v>
      </c>
      <c r="U93" s="29" t="str">
        <f t="shared" si="18"/>
        <v>Santiago  Carlosama Rivera</v>
      </c>
      <c r="V93" s="29" t="str">
        <f t="shared" si="19"/>
        <v>Santiago  Carlosama Rivera</v>
      </c>
      <c r="W93" s="29" t="str">
        <f t="shared" si="20"/>
        <v>Santiago  Carlosama Rivera-1004234165-BLS</v>
      </c>
      <c r="X93" s="109"/>
    </row>
    <row r="94" spans="1:24" s="46" customFormat="1" x14ac:dyDescent="0.2">
      <c r="A94" s="31">
        <v>93</v>
      </c>
      <c r="B94" s="31">
        <v>1004234165</v>
      </c>
      <c r="C94" s="31" t="s">
        <v>291</v>
      </c>
      <c r="D94" s="31" t="s">
        <v>369</v>
      </c>
      <c r="E94" s="31" t="s">
        <v>370</v>
      </c>
      <c r="F94" s="31"/>
      <c r="G94" s="18">
        <v>16</v>
      </c>
      <c r="H94" s="18" t="s">
        <v>93</v>
      </c>
      <c r="I94" s="22">
        <v>45429</v>
      </c>
      <c r="J94" s="57">
        <v>27500</v>
      </c>
      <c r="K94" s="18" t="s">
        <v>77</v>
      </c>
      <c r="L94" s="18" t="s">
        <v>84</v>
      </c>
      <c r="M94" s="18" t="s">
        <v>177</v>
      </c>
      <c r="N94" s="19" t="s">
        <v>46</v>
      </c>
      <c r="O94" s="45">
        <v>37844</v>
      </c>
      <c r="P94" s="31" t="s">
        <v>79</v>
      </c>
      <c r="Q94" s="31" t="s">
        <v>106</v>
      </c>
      <c r="R94" s="31">
        <v>3185844633</v>
      </c>
      <c r="S94" s="31" t="s">
        <v>371</v>
      </c>
      <c r="T94" s="29" t="str">
        <f>IF(N94=CURSOS!$D$3,"DIPLOMADO EN ATENCION PRE-HOSPITALARIA",IF(N94=CURSOS!$D$4,"ACOMPAÑAMIENTO Y MANEJO DEL DUELO",IF(N94=CURSOS!$D$5,"ATENCION A VICTIMAS DE ATAQUE CON AGENTES QUIMICOS ",IF(N94=CURSOS!$D$6,"PRIMEROS AUXILIOS ",IF(N94=CURSOS!$D$7,"DIPLOMADO DE UNIDAD DE CUIDADOS INTENSIVOS (UCI)",IF(N94=CURSOS!$D$8,"MODELO DE ATENCION PARA EVENTOS EMERGENTES EN SALUD MENTAL (CODIGO VERDE)",IF(N94=CURSOS!$D$9,"HUMANIZACION EN SALUD, BUENAS PRACTICAS EN PACIENTE ",IF(N94=CURSOS!$D$10,"CLINICA DE HERIDAS ",IF(N94=CURSOS!$D$11,"TOMA DE CITOLOGIA A CERVICO VAGINAL ",IF(N94=CURSOS!$D$12,"SOPORTE CARDIOVASCULAR AVANZADO ",IF(N94=CURSOS!$D$13,"CAMILLERO ",IF(N94=CURSOS!$D$14,"TOMA MUESTRAS Y LABORATORIO ",IF(N94=CURSOS!$D$15,"SOPORTE VITAL BASICO (BLS)",IF(N94=CURSOS!$D$16,"ATENCION A VICTIMAS DE VIOLENCIA SEXUAL ",IF(N94=CURSOS!$D$17,"PROGRAMADO AMPLIADO DE INMUNIZACION (PAI - COVID 19)",IF(N94=CURSOS!$D$18,"ATENCION INTEGRAL EN ENFERMEDADES PREVALENTES EN PRIMERA INFANCIA (AIEPI)",IF(N94=CURSOS!$D$19,"ADMINISTRACION DE MEDICAMENTOS, IYECTOLOGIA  Y CANALIZACION ",IF(N94=CURSOS!$D$20,"OPERADOR DE VEHICULOS DE EMERGENCIA (OVE)",IF(N94=CURSOS!$D$21,"INSTITUCIONES AMIGAS DE LA MUJER Y LA INFANCIA (IAMI)",IF(N94=CURSOS!$D$22,"CUIDADO DEL DONANTE DE ORGANOS",IF(N94=CURSOS!$D$23,"ATENCION A VICTIMAS POR VIOLENCIA DE GENERO",IF(N94=CURSOS!$D$24,"IGUALDAD DE GENERO EN LA SALUD",IF(N94=CURSOS!$D$25,"BRIGADA DE EMERGENCIA",IF(N94=CURSOS!$D$26,"MANEJO DEL DOLOR Y CUIDADOS PALIATIVOS",IF(N94=CURSOS!$D$27,"TOMA MUESTRAS Y LABORATORIO POCT",IF(N94=CURSOS!$D$28,"IMPLANTE SUBDERMICO Y DISPOSITIVO INTRAUTERINO",IF(N94=CURSOS!$D$29,"SALUD MENTAL",IF(N94=CURSOS!$D$30,"PRIMEROS AUXILIOS PSICOLOGICOS",IF(N94=CURSOS!$D$31,"ATENCION A VICTIMAS POR CONFLICTO ARMADO",IF(N94=CURSOS!$D$32,"MANIPULACION DE ALIMENTOS Y BPM"))))))))))))))))))))))))))))))</f>
        <v xml:space="preserve">ATENCION A VICTIMAS DE VIOLENCIA SEXUAL </v>
      </c>
      <c r="U94" s="29" t="str">
        <f t="shared" si="18"/>
        <v>Santiago  Carlosama Rivera</v>
      </c>
      <c r="V94" s="29" t="str">
        <f t="shared" si="19"/>
        <v>Santiago  Carlosama Rivera</v>
      </c>
      <c r="W94" s="29" t="str">
        <f t="shared" si="20"/>
        <v>Santiago  Carlosama Rivera-1004234165-VIOLENCIA SEXUAL</v>
      </c>
      <c r="X94" s="109"/>
    </row>
    <row r="95" spans="1:24" s="46" customFormat="1" x14ac:dyDescent="0.2">
      <c r="A95" s="31">
        <v>94</v>
      </c>
      <c r="B95" s="31">
        <v>1004234165</v>
      </c>
      <c r="C95" s="31" t="s">
        <v>291</v>
      </c>
      <c r="D95" s="31" t="s">
        <v>369</v>
      </c>
      <c r="E95" s="31" t="s">
        <v>370</v>
      </c>
      <c r="F95" s="31"/>
      <c r="G95" s="18">
        <v>15</v>
      </c>
      <c r="H95" s="18" t="s">
        <v>93</v>
      </c>
      <c r="I95" s="22">
        <v>45429</v>
      </c>
      <c r="J95" s="57">
        <v>27500</v>
      </c>
      <c r="K95" s="18" t="s">
        <v>77</v>
      </c>
      <c r="L95" s="18" t="s">
        <v>84</v>
      </c>
      <c r="M95" s="18" t="s">
        <v>177</v>
      </c>
      <c r="N95" s="19" t="s">
        <v>25</v>
      </c>
      <c r="O95" s="45">
        <v>37844</v>
      </c>
      <c r="P95" s="31" t="s">
        <v>79</v>
      </c>
      <c r="Q95" s="31" t="s">
        <v>106</v>
      </c>
      <c r="R95" s="31">
        <v>3185844633</v>
      </c>
      <c r="S95" s="31" t="s">
        <v>371</v>
      </c>
      <c r="T95" s="29" t="str">
        <f>IF(N95=CURSOS!$D$3,"DIPLOMADO EN ATENCION PRE-HOSPITALARIA",IF(N95=CURSOS!$D$4,"ACOMPAÑAMIENTO Y MANEJO DEL DUELO",IF(N95=CURSOS!$D$5,"ATENCION A VICTIMAS DE ATAQUE CON AGENTES QUIMICOS ",IF(N95=CURSOS!$D$6,"PRIMEROS AUXILIOS ",IF(N95=CURSOS!$D$7,"DIPLOMADO DE UNIDAD DE CUIDADOS INTENSIVOS (UCI)",IF(N95=CURSOS!$D$8,"MODELO DE ATENCION PARA EVENTOS EMERGENTES EN SALUD MENTAL (CODIGO VERDE)",IF(N95=CURSOS!$D$9,"HUMANIZACION EN SALUD, BUENAS PRACTICAS EN PACIENTE ",IF(N95=CURSOS!$D$10,"CLINICA DE HERIDAS ",IF(N95=CURSOS!$D$11,"TOMA DE CITOLOGIA A CERVICO VAGINAL ",IF(N95=CURSOS!$D$12,"SOPORTE CARDIOVASCULAR AVANZADO ",IF(N95=CURSOS!$D$13,"CAMILLERO ",IF(N95=CURSOS!$D$14,"TOMA MUESTRAS Y LABORATORIO ",IF(N95=CURSOS!$D$15,"SOPORTE VITAL BASICO (BLS)",IF(N95=CURSOS!$D$16,"ATENCION A VICTIMAS DE VIOLENCIA SEXUAL ",IF(N95=CURSOS!$D$17,"PROGRAMADO AMPLIADO DE INMUNIZACION (PAI - COVID 19)",IF(N95=CURSOS!$D$18,"ATENCION INTEGRAL EN ENFERMEDADES PREVALENTES EN PRIMERA INFANCIA (AIEPI)",IF(N95=CURSOS!$D$19,"ADMINISTRACION DE MEDICAMENTOS, IYECTOLOGIA  Y CANALIZACION ",IF(N95=CURSOS!$D$20,"OPERADOR DE VEHICULOS DE EMERGENCIA (OVE)",IF(N95=CURSOS!$D$21,"INSTITUCIONES AMIGAS DE LA MUJER Y LA INFANCIA (IAMI)",IF(N95=CURSOS!$D$22,"CUIDADO DEL DONANTE DE ORGANOS",IF(N95=CURSOS!$D$23,"ATENCION A VICTIMAS POR VIOLENCIA DE GENERO",IF(N95=CURSOS!$D$24,"IGUALDAD DE GENERO EN LA SALUD",IF(N95=CURSOS!$D$25,"BRIGADA DE EMERGENCIA",IF(N95=CURSOS!$D$26,"MANEJO DEL DOLOR Y CUIDADOS PALIATIVOS",IF(N95=CURSOS!$D$27,"TOMA MUESTRAS Y LABORATORIO POCT",IF(N95=CURSOS!$D$28,"IMPLANTE SUBDERMICO Y DISPOSITIVO INTRAUTERINO",IF(N95=CURSOS!$D$29,"SALUD MENTAL",IF(N95=CURSOS!$D$30,"PRIMEROS AUXILIOS PSICOLOGICOS",IF(N95=CURSOS!$D$31,"ATENCION A VICTIMAS POR CONFLICTO ARMADO",IF(N95=CURSOS!$D$32,"MANIPULACION DE ALIMENTOS Y BPM"))))))))))))))))))))))))))))))</f>
        <v xml:space="preserve">ATENCION A VICTIMAS DE ATAQUE CON AGENTES QUIMICOS </v>
      </c>
      <c r="U95" s="29" t="str">
        <f t="shared" si="18"/>
        <v>Santiago  Carlosama Rivera</v>
      </c>
      <c r="V95" s="29" t="str">
        <f t="shared" si="19"/>
        <v>Santiago  Carlosama Rivera</v>
      </c>
      <c r="W95" s="29" t="str">
        <f t="shared" si="20"/>
        <v>Santiago  Carlosama Rivera-1004234165-QUIMICOS</v>
      </c>
      <c r="X95" s="109"/>
    </row>
    <row r="96" spans="1:24" s="88" customFormat="1" x14ac:dyDescent="0.2">
      <c r="A96" s="31">
        <v>95</v>
      </c>
      <c r="B96" s="31">
        <v>1004234165</v>
      </c>
      <c r="C96" s="31" t="s">
        <v>291</v>
      </c>
      <c r="D96" s="31" t="s">
        <v>369</v>
      </c>
      <c r="E96" s="31" t="s">
        <v>370</v>
      </c>
      <c r="F96" s="31"/>
      <c r="G96" s="18">
        <v>17</v>
      </c>
      <c r="H96" s="18" t="s">
        <v>93</v>
      </c>
      <c r="I96" s="22">
        <v>45429</v>
      </c>
      <c r="J96" s="57">
        <v>27500</v>
      </c>
      <c r="K96" s="18" t="s">
        <v>77</v>
      </c>
      <c r="L96" s="18" t="s">
        <v>84</v>
      </c>
      <c r="M96" s="18" t="s">
        <v>177</v>
      </c>
      <c r="N96" s="19" t="s">
        <v>23</v>
      </c>
      <c r="O96" s="45">
        <v>37844</v>
      </c>
      <c r="P96" s="31" t="s">
        <v>79</v>
      </c>
      <c r="Q96" s="31" t="s">
        <v>106</v>
      </c>
      <c r="R96" s="31">
        <v>3185844633</v>
      </c>
      <c r="S96" s="31" t="s">
        <v>371</v>
      </c>
      <c r="T96" s="29" t="str">
        <f>IF(N96=CURSOS!$D$3,"DIPLOMADO EN ATENCION PRE-HOSPITALARIA",IF(N96=CURSOS!$D$4,"ACOMPAÑAMIENTO Y MANEJO DEL DUELO",IF(N96=CURSOS!$D$5,"ATENCION A VICTIMAS DE ATAQUE CON AGENTES QUIMICOS ",IF(N96=CURSOS!$D$6,"PRIMEROS AUXILIOS ",IF(N96=CURSOS!$D$7,"DIPLOMADO DE UNIDAD DE CUIDADOS INTENSIVOS (UCI)",IF(N96=CURSOS!$D$8,"MODELO DE ATENCION PARA EVENTOS EMERGENTES EN SALUD MENTAL (CODIGO VERDE)",IF(N96=CURSOS!$D$9,"HUMANIZACION EN SALUD, BUENAS PRACTICAS EN PACIENTE ",IF(N96=CURSOS!$D$10,"CLINICA DE HERIDAS ",IF(N96=CURSOS!$D$11,"TOMA DE CITOLOGIA A CERVICO VAGINAL ",IF(N96=CURSOS!$D$12,"SOPORTE CARDIOVASCULAR AVANZADO ",IF(N96=CURSOS!$D$13,"CAMILLERO ",IF(N96=CURSOS!$D$14,"TOMA MUESTRAS Y LABORATORIO ",IF(N96=CURSOS!$D$15,"SOPORTE VITAL BASICO (BLS)",IF(N96=CURSOS!$D$16,"ATENCION A VICTIMAS DE VIOLENCIA SEXUAL ",IF(N96=CURSOS!$D$17,"PROGRAMADO AMPLIADO DE INMUNIZACION (PAI - COVID 19)",IF(N96=CURSOS!$D$18,"ATENCION INTEGRAL EN ENFERMEDADES PREVALENTES EN PRIMERA INFANCIA (AIEPI)",IF(N96=CURSOS!$D$19,"ADMINISTRACION DE MEDICAMENTOS, IYECTOLOGIA  Y CANALIZACION ",IF(N96=CURSOS!$D$20,"OPERADOR DE VEHICULOS DE EMERGENCIA (OVE)",IF(N96=CURSOS!$D$21,"INSTITUCIONES AMIGAS DE LA MUJER Y LA INFANCIA (IAMI)",IF(N96=CURSOS!$D$22,"CUIDADO DEL DONANTE DE ORGANOS",IF(N96=CURSOS!$D$23,"ATENCION A VICTIMAS POR VIOLENCIA DE GENERO",IF(N96=CURSOS!$D$24,"IGUALDAD DE GENERO EN LA SALUD",IF(N96=CURSOS!$D$25,"BRIGADA DE EMERGENCIA",IF(N96=CURSOS!$D$26,"MANEJO DEL DOLOR Y CUIDADOS PALIATIVOS",IF(N96=CURSOS!$D$27,"TOMA MUESTRAS Y LABORATORIO POCT",IF(N96=CURSOS!$D$28,"IMPLANTE SUBDERMICO Y DISPOSITIVO INTRAUTERINO",IF(N96=CURSOS!$D$29,"SALUD MENTAL",IF(N96=CURSOS!$D$30,"PRIMEROS AUXILIOS PSICOLOGICOS",IF(N96=CURSOS!$D$31,"ATENCION A VICTIMAS POR CONFLICTO ARMADO",IF(N96=CURSOS!$D$32,"MANIPULACION DE ALIMENTOS Y BPM"))))))))))))))))))))))))))))))</f>
        <v>ACOMPAÑAMIENTO Y MANEJO DEL DUELO</v>
      </c>
      <c r="U96" s="29" t="str">
        <f t="shared" si="18"/>
        <v>Santiago  Carlosama Rivera</v>
      </c>
      <c r="V96" s="29" t="str">
        <f t="shared" si="19"/>
        <v>Santiago  Carlosama Rivera</v>
      </c>
      <c r="W96" s="29" t="str">
        <f t="shared" si="20"/>
        <v>Santiago  Carlosama Rivera-1004234165-DUELO</v>
      </c>
      <c r="X96" s="110"/>
    </row>
    <row r="97" spans="1:24" s="46" customFormat="1" x14ac:dyDescent="0.2">
      <c r="A97" s="31">
        <v>96</v>
      </c>
      <c r="B97" s="31">
        <v>1085340664</v>
      </c>
      <c r="C97" s="31" t="s">
        <v>134</v>
      </c>
      <c r="D97" s="31" t="s">
        <v>290</v>
      </c>
      <c r="E97" s="31" t="s">
        <v>373</v>
      </c>
      <c r="F97" s="31" t="s">
        <v>254</v>
      </c>
      <c r="G97" s="18">
        <v>17</v>
      </c>
      <c r="H97" s="18" t="s">
        <v>93</v>
      </c>
      <c r="I97" s="22">
        <v>45429</v>
      </c>
      <c r="J97" s="57">
        <v>29000</v>
      </c>
      <c r="K97" s="18" t="s">
        <v>77</v>
      </c>
      <c r="L97" s="18" t="s">
        <v>84</v>
      </c>
      <c r="M97" s="18" t="s">
        <v>75</v>
      </c>
      <c r="N97" s="19" t="s">
        <v>46</v>
      </c>
      <c r="O97" s="45">
        <v>45450</v>
      </c>
      <c r="P97" s="31" t="s">
        <v>100</v>
      </c>
      <c r="Q97" s="31" t="s">
        <v>318</v>
      </c>
      <c r="R97" s="31">
        <v>3167982599</v>
      </c>
      <c r="S97" s="31" t="s">
        <v>374</v>
      </c>
      <c r="T97" s="29" t="str">
        <f>IF(N97=CURSOS!$D$3,"DIPLOMADO EN ATENCION PRE-HOSPITALARIA",IF(N97=CURSOS!$D$4,"ACOMPAÑAMIENTO Y MANEJO DEL DUELO",IF(N97=CURSOS!$D$5,"ATENCION A VICTIMAS DE ATAQUE CON AGENTES QUIMICOS ",IF(N97=CURSOS!$D$6,"PRIMEROS AUXILIOS ",IF(N97=CURSOS!$D$7,"DIPLOMADO DE UNIDAD DE CUIDADOS INTENSIVOS (UCI)",IF(N97=CURSOS!$D$8,"MODELO DE ATENCION PARA EVENTOS EMERGENTES EN SALUD MENTAL (CODIGO VERDE)",IF(N97=CURSOS!$D$9,"HUMANIZACION EN SALUD, BUENAS PRACTICAS EN PACIENTE ",IF(N97=CURSOS!$D$10,"CLINICA DE HERIDAS ",IF(N97=CURSOS!$D$11,"TOMA DE CITOLOGIA A CERVICO VAGINAL ",IF(N97=CURSOS!$D$12,"SOPORTE CARDIOVASCULAR AVANZADO ",IF(N97=CURSOS!$D$13,"CAMILLERO ",IF(N97=CURSOS!$D$14,"TOMA MUESTRAS Y LABORATORIO ",IF(N97=CURSOS!$D$15,"SOPORTE VITAL BASICO (BLS)",IF(N97=CURSOS!$D$16,"ATENCION A VICTIMAS DE VIOLENCIA SEXUAL ",IF(N97=CURSOS!$D$17,"PROGRAMADO AMPLIADO DE INMUNIZACION (PAI - COVID 19)",IF(N97=CURSOS!$D$18,"ATENCION INTEGRAL EN ENFERMEDADES PREVALENTES EN PRIMERA INFANCIA (AIEPI)",IF(N97=CURSOS!$D$19,"ADMINISTRACION DE MEDICAMENTOS, IYECTOLOGIA  Y CANALIZACION ",IF(N97=CURSOS!$D$20,"OPERADOR DE VEHICULOS DE EMERGENCIA (OVE)",IF(N97=CURSOS!$D$21,"INSTITUCIONES AMIGAS DE LA MUJER Y LA INFANCIA (IAMI)",IF(N97=CURSOS!$D$22,"CUIDADO DEL DONANTE DE ORGANOS",IF(N97=CURSOS!$D$23,"ATENCION A VICTIMAS POR VIOLENCIA DE GENERO",IF(N97=CURSOS!$D$24,"IGUALDAD DE GENERO EN LA SALUD",IF(N97=CURSOS!$D$25,"BRIGADA DE EMERGENCIA",IF(N97=CURSOS!$D$26,"MANEJO DEL DOLOR Y CUIDADOS PALIATIVOS",IF(N97=CURSOS!$D$27,"TOMA MUESTRAS Y LABORATORIO POCT",IF(N97=CURSOS!$D$28,"IMPLANTE SUBDERMICO Y DISPOSITIVO INTRAUTERINO",IF(N97=CURSOS!$D$29,"SALUD MENTAL",IF(N97=CURSOS!$D$30,"PRIMEROS AUXILIOS PSICOLOGICOS",IF(N97=CURSOS!$D$31,"ATENCION A VICTIMAS POR CONFLICTO ARMADO",IF(N97=CURSOS!$D$32,"MANIPULACION DE ALIMENTOS Y BPM"))))))))))))))))))))))))))))))</f>
        <v xml:space="preserve">ATENCION A VICTIMAS DE VIOLENCIA SEXUAL </v>
      </c>
      <c r="U97" s="29" t="str">
        <f t="shared" si="18"/>
        <v>Francia Carolina Montenegro Diaz</v>
      </c>
      <c r="V97" s="29" t="str">
        <f t="shared" si="19"/>
        <v>Francia Carolina Montenegro Diaz</v>
      </c>
      <c r="W97" s="29" t="str">
        <f t="shared" si="20"/>
        <v>Francia Carolina Montenegro Diaz-1085340664-VIOLENCIA SEXUAL</v>
      </c>
      <c r="X97" s="109"/>
    </row>
    <row r="98" spans="1:24" s="46" customFormat="1" x14ac:dyDescent="0.2">
      <c r="A98" s="31">
        <v>97</v>
      </c>
      <c r="B98" s="31">
        <v>1085340664</v>
      </c>
      <c r="C98" s="31" t="s">
        <v>134</v>
      </c>
      <c r="D98" s="31" t="s">
        <v>290</v>
      </c>
      <c r="E98" s="31" t="s">
        <v>373</v>
      </c>
      <c r="F98" s="31" t="s">
        <v>254</v>
      </c>
      <c r="G98" s="18">
        <v>17</v>
      </c>
      <c r="H98" s="18" t="s">
        <v>93</v>
      </c>
      <c r="I98" s="22">
        <v>45429</v>
      </c>
      <c r="J98" s="57">
        <v>29000</v>
      </c>
      <c r="K98" s="18" t="s">
        <v>77</v>
      </c>
      <c r="L98" s="18" t="s">
        <v>84</v>
      </c>
      <c r="M98" s="18" t="s">
        <v>75</v>
      </c>
      <c r="N98" s="19" t="s">
        <v>56</v>
      </c>
      <c r="O98" s="45">
        <v>45450</v>
      </c>
      <c r="P98" s="31" t="s">
        <v>100</v>
      </c>
      <c r="Q98" s="31" t="s">
        <v>318</v>
      </c>
      <c r="R98" s="31">
        <v>3167982599</v>
      </c>
      <c r="S98" s="31" t="s">
        <v>374</v>
      </c>
      <c r="T98" s="29" t="str">
        <f>IF(N98=CURSOS!$D$3,"DIPLOMADO EN ATENCION PRE-HOSPITALARIA",IF(N98=CURSOS!$D$4,"ACOMPAÑAMIENTO Y MANEJO DEL DUELO",IF(N98=CURSOS!$D$5,"ATENCION A VICTIMAS DE ATAQUE CON AGENTES QUIMICOS ",IF(N98=CURSOS!$D$6,"PRIMEROS AUXILIOS ",IF(N98=CURSOS!$D$7,"DIPLOMADO DE UNIDAD DE CUIDADOS INTENSIVOS (UCI)",IF(N98=CURSOS!$D$8,"MODELO DE ATENCION PARA EVENTOS EMERGENTES EN SALUD MENTAL (CODIGO VERDE)",IF(N98=CURSOS!$D$9,"HUMANIZACION EN SALUD, BUENAS PRACTICAS EN PACIENTE ",IF(N98=CURSOS!$D$10,"CLINICA DE HERIDAS ",IF(N98=CURSOS!$D$11,"TOMA DE CITOLOGIA A CERVICO VAGINAL ",IF(N98=CURSOS!$D$12,"SOPORTE CARDIOVASCULAR AVANZADO ",IF(N98=CURSOS!$D$13,"CAMILLERO ",IF(N98=CURSOS!$D$14,"TOMA MUESTRAS Y LABORATORIO ",IF(N98=CURSOS!$D$15,"SOPORTE VITAL BASICO (BLS)",IF(N98=CURSOS!$D$16,"ATENCION A VICTIMAS DE VIOLENCIA SEXUAL ",IF(N98=CURSOS!$D$17,"PROGRAMADO AMPLIADO DE INMUNIZACION (PAI - COVID 19)",IF(N98=CURSOS!$D$18,"ATENCION INTEGRAL EN ENFERMEDADES PREVALENTES EN PRIMERA INFANCIA (AIEPI)",IF(N98=CURSOS!$D$19,"ADMINISTRACION DE MEDICAMENTOS, IYECTOLOGIA  Y CANALIZACION ",IF(N98=CURSOS!$D$20,"OPERADOR DE VEHICULOS DE EMERGENCIA (OVE)",IF(N98=CURSOS!$D$21,"INSTITUCIONES AMIGAS DE LA MUJER Y LA INFANCIA (IAMI)",IF(N98=CURSOS!$D$22,"CUIDADO DEL DONANTE DE ORGANOS",IF(N98=CURSOS!$D$23,"ATENCION A VICTIMAS POR VIOLENCIA DE GENERO",IF(N98=CURSOS!$D$24,"IGUALDAD DE GENERO EN LA SALUD",IF(N98=CURSOS!$D$25,"BRIGADA DE EMERGENCIA",IF(N98=CURSOS!$D$26,"MANEJO DEL DOLOR Y CUIDADOS PALIATIVOS",IF(N98=CURSOS!$D$27,"TOMA MUESTRAS Y LABORATORIO POCT",IF(N98=CURSOS!$D$28,"IMPLANTE SUBDERMICO Y DISPOSITIVO INTRAUTERINO",IF(N98=CURSOS!$D$29,"SALUD MENTAL",IF(N98=CURSOS!$D$30,"PRIMEROS AUXILIOS PSICOLOGICOS",IF(N98=CURSOS!$D$31,"ATENCION A VICTIMAS POR CONFLICTO ARMADO",IF(N98=CURSOS!$D$32,"MANIPULACION DE ALIMENTOS Y BPM"))))))))))))))))))))))))))))))</f>
        <v>CUIDADO DEL DONANTE DE ORGANOS</v>
      </c>
      <c r="U98" s="29" t="str">
        <f t="shared" si="18"/>
        <v>Francia Carolina Montenegro Diaz</v>
      </c>
      <c r="V98" s="29" t="str">
        <f t="shared" si="19"/>
        <v>Francia Carolina Montenegro Diaz</v>
      </c>
      <c r="W98" s="29" t="str">
        <f t="shared" si="20"/>
        <v>Francia Carolina Montenegro Diaz-1085340664-DONANTE</v>
      </c>
      <c r="X98" s="109"/>
    </row>
    <row r="99" spans="1:24" s="46" customFormat="1" ht="15.75" x14ac:dyDescent="0.25">
      <c r="A99" s="31">
        <v>98</v>
      </c>
      <c r="B99" s="31">
        <v>1085256402</v>
      </c>
      <c r="C99" s="31" t="s">
        <v>316</v>
      </c>
      <c r="D99" s="31" t="s">
        <v>125</v>
      </c>
      <c r="E99" s="31" t="s">
        <v>375</v>
      </c>
      <c r="F99" s="31" t="s">
        <v>376</v>
      </c>
      <c r="G99" s="18">
        <v>17</v>
      </c>
      <c r="H99" s="18" t="s">
        <v>93</v>
      </c>
      <c r="I99" s="22"/>
      <c r="J99" s="57">
        <v>30000</v>
      </c>
      <c r="K99" s="18"/>
      <c r="L99" s="18" t="s">
        <v>84</v>
      </c>
      <c r="M99" s="18" t="s">
        <v>341</v>
      </c>
      <c r="N99" s="19" t="s">
        <v>25</v>
      </c>
      <c r="O99" s="45">
        <v>31822</v>
      </c>
      <c r="P99" s="31" t="s">
        <v>100</v>
      </c>
      <c r="Q99" s="31" t="s">
        <v>106</v>
      </c>
      <c r="R99" s="31">
        <v>3173539880</v>
      </c>
      <c r="S99" s="47" t="s">
        <v>377</v>
      </c>
      <c r="T99" s="29" t="str">
        <f>IF(N99=CURSOS!$D$3,"DIPLOMADO EN ATENCION PRE-HOSPITALARIA",IF(N99=CURSOS!$D$4,"ACOMPAÑAMIENTO Y MANEJO DEL DUELO",IF(N99=CURSOS!$D$5,"ATENCION A VICTIMAS DE ATAQUE CON AGENTES QUIMICOS ",IF(N99=CURSOS!$D$6,"PRIMEROS AUXILIOS ",IF(N99=CURSOS!$D$7,"DIPLOMADO DE UNIDAD DE CUIDADOS INTENSIVOS (UCI)",IF(N99=CURSOS!$D$8,"MODELO DE ATENCION PARA EVENTOS EMERGENTES EN SALUD MENTAL (CODIGO VERDE)",IF(N99=CURSOS!$D$9,"HUMANIZACION EN SALUD, BUENAS PRACTICAS EN PACIENTE ",IF(N99=CURSOS!$D$10,"CLINICA DE HERIDAS ",IF(N99=CURSOS!$D$11,"TOMA DE CITOLOGIA A CERVICO VAGINAL ",IF(N99=CURSOS!$D$12,"SOPORTE CARDIOVASCULAR AVANZADO ",IF(N99=CURSOS!$D$13,"CAMILLERO ",IF(N99=CURSOS!$D$14,"TOMA MUESTRAS Y LABORATORIO ",IF(N99=CURSOS!$D$15,"SOPORTE VITAL BASICO (BLS)",IF(N99=CURSOS!$D$16,"ATENCION A VICTIMAS DE VIOLENCIA SEXUAL ",IF(N99=CURSOS!$D$17,"PROGRAMADO AMPLIADO DE INMUNIZACION (PAI - COVID 19)",IF(N99=CURSOS!$D$18,"ATENCION INTEGRAL EN ENFERMEDADES PREVALENTES EN PRIMERA INFANCIA (AIEPI)",IF(N99=CURSOS!$D$19,"ADMINISTRACION DE MEDICAMENTOS, IYECTOLOGIA  Y CANALIZACION ",IF(N99=CURSOS!$D$20,"OPERADOR DE VEHICULOS DE EMERGENCIA (OVE)",IF(N99=CURSOS!$D$21,"INSTITUCIONES AMIGAS DE LA MUJER Y LA INFANCIA (IAMI)",IF(N99=CURSOS!$D$22,"CUIDADO DEL DONANTE DE ORGANOS",IF(N99=CURSOS!$D$23,"ATENCION A VICTIMAS POR VIOLENCIA DE GENERO",IF(N99=CURSOS!$D$24,"IGUALDAD DE GENERO EN LA SALUD",IF(N99=CURSOS!$D$25,"BRIGADA DE EMERGENCIA",IF(N99=CURSOS!$D$26,"MANEJO DEL DOLOR Y CUIDADOS PALIATIVOS",IF(N99=CURSOS!$D$27,"TOMA MUESTRAS Y LABORATORIO POCT",IF(N99=CURSOS!$D$28,"IMPLANTE SUBDERMICO Y DISPOSITIVO INTRAUTERINO",IF(N99=CURSOS!$D$29,"SALUD MENTAL",IF(N99=CURSOS!$D$30,"PRIMEROS AUXILIOS PSICOLOGICOS",IF(N99=CURSOS!$D$31,"ATENCION A VICTIMAS POR CONFLICTO ARMADO",IF(N99=CURSOS!$D$32,"MANIPULACION DE ALIMENTOS Y BPM"))))))))))))))))))))))))))))))</f>
        <v xml:space="preserve">ATENCION A VICTIMAS DE ATAQUE CON AGENTES QUIMICOS </v>
      </c>
      <c r="U99" s="29" t="str">
        <f t="shared" si="18"/>
        <v>Faisury Catherine Coral Lopez</v>
      </c>
      <c r="V99" s="29" t="str">
        <f t="shared" si="19"/>
        <v>Faisury Catherine Coral Lopez</v>
      </c>
      <c r="W99" s="29" t="str">
        <f t="shared" si="20"/>
        <v>Faisury Catherine Coral Lopez-1085256402-QUIMICOS</v>
      </c>
      <c r="X99" s="109"/>
    </row>
    <row r="100" spans="1:24" s="46" customFormat="1" x14ac:dyDescent="0.2">
      <c r="A100" s="31">
        <v>99</v>
      </c>
      <c r="B100" s="31">
        <v>1085296238</v>
      </c>
      <c r="C100" s="31" t="s">
        <v>378</v>
      </c>
      <c r="D100" s="31" t="s">
        <v>379</v>
      </c>
      <c r="E100" s="31" t="s">
        <v>380</v>
      </c>
      <c r="F100" s="31" t="s">
        <v>250</v>
      </c>
      <c r="G100" s="18">
        <v>17</v>
      </c>
      <c r="H100" s="18" t="s">
        <v>93</v>
      </c>
      <c r="I100" s="22">
        <v>45428</v>
      </c>
      <c r="J100" s="57">
        <v>28000</v>
      </c>
      <c r="K100" s="18" t="s">
        <v>77</v>
      </c>
      <c r="L100" s="18" t="s">
        <v>84</v>
      </c>
      <c r="M100" s="18" t="s">
        <v>75</v>
      </c>
      <c r="N100" s="19" t="s">
        <v>19</v>
      </c>
      <c r="O100" s="45">
        <v>33722</v>
      </c>
      <c r="P100" s="31" t="s">
        <v>100</v>
      </c>
      <c r="Q100" s="31" t="s">
        <v>106</v>
      </c>
      <c r="R100" s="31">
        <v>3172148939</v>
      </c>
      <c r="S100" s="31" t="s">
        <v>381</v>
      </c>
      <c r="T100" s="29" t="str">
        <f>IF(N100=CURSOS!$D$3,"DIPLOMADO EN ATENCION PRE-HOSPITALARIA",IF(N100=CURSOS!$D$4,"ACOMPAÑAMIENTO Y MANEJO DEL DUELO",IF(N100=CURSOS!$D$5,"ATENCION A VICTIMAS DE ATAQUE CON AGENTES QUIMICOS ",IF(N100=CURSOS!$D$6,"PRIMEROS AUXILIOS ",IF(N100=CURSOS!$D$7,"DIPLOMADO DE UNIDAD DE CUIDADOS INTENSIVOS (UCI)",IF(N100=CURSOS!$D$8,"MODELO DE ATENCION PARA EVENTOS EMERGENTES EN SALUD MENTAL (CODIGO VERDE)",IF(N100=CURSOS!$D$9,"HUMANIZACION EN SALUD, BUENAS PRACTICAS EN PACIENTE ",IF(N100=CURSOS!$D$10,"CLINICA DE HERIDAS ",IF(N100=CURSOS!$D$11,"TOMA DE CITOLOGIA A CERVICO VAGINAL ",IF(N100=CURSOS!$D$12,"SOPORTE CARDIOVASCULAR AVANZADO ",IF(N100=CURSOS!$D$13,"CAMILLERO ",IF(N100=CURSOS!$D$14,"TOMA MUESTRAS Y LABORATORIO ",IF(N100=CURSOS!$D$15,"SOPORTE VITAL BASICO (BLS)",IF(N100=CURSOS!$D$16,"ATENCION A VICTIMAS DE VIOLENCIA SEXUAL ",IF(N100=CURSOS!$D$17,"PROGRAMADO AMPLIADO DE INMUNIZACION (PAI - COVID 19)",IF(N100=CURSOS!$D$18,"ATENCION INTEGRAL EN ENFERMEDADES PREVALENTES EN PRIMERA INFANCIA (AIEPI)",IF(N100=CURSOS!$D$19,"ADMINISTRACION DE MEDICAMENTOS, IYECTOLOGIA  Y CANALIZACION ",IF(N100=CURSOS!$D$20,"OPERADOR DE VEHICULOS DE EMERGENCIA (OVE)",IF(N100=CURSOS!$D$21,"INSTITUCIONES AMIGAS DE LA MUJER Y LA INFANCIA (IAMI)",IF(N100=CURSOS!$D$22,"CUIDADO DEL DONANTE DE ORGANOS",IF(N100=CURSOS!$D$23,"ATENCION A VICTIMAS POR VIOLENCIA DE GENERO",IF(N100=CURSOS!$D$24,"IGUALDAD DE GENERO EN LA SALUD",IF(N100=CURSOS!$D$25,"BRIGADA DE EMERGENCIA",IF(N100=CURSOS!$D$26,"MANEJO DEL DOLOR Y CUIDADOS PALIATIVOS",IF(N100=CURSOS!$D$27,"TOMA MUESTRAS Y LABORATORIO POCT",IF(N100=CURSOS!$D$28,"IMPLANTE SUBDERMICO Y DISPOSITIVO INTRAUTERINO",IF(N100=CURSOS!$D$29,"SALUD MENTAL",IF(N100=CURSOS!$D$30,"PRIMEROS AUXILIOS PSICOLOGICOS",IF(N100=CURSOS!$D$31,"ATENCION A VICTIMAS POR CONFLICTO ARMADO",IF(N100=CURSOS!$D$32,"MANIPULACION DE ALIMENTOS Y BPM"))))))))))))))))))))))))))))))</f>
        <v>SOPORTE VITAL BASICO (BLS)</v>
      </c>
      <c r="U100" s="29" t="str">
        <f t="shared" si="18"/>
        <v>Leidy Lorena Jojoa Erazo</v>
      </c>
      <c r="V100" s="29" t="str">
        <f t="shared" si="19"/>
        <v>Leidy Lorena Jojoa Erazo</v>
      </c>
      <c r="W100" s="29" t="str">
        <f t="shared" si="20"/>
        <v>Leidy Lorena Jojoa Erazo-1085296238-BLS</v>
      </c>
      <c r="X100" s="109"/>
    </row>
    <row r="101" spans="1:24" s="46" customFormat="1" ht="15.75" x14ac:dyDescent="0.25">
      <c r="A101" s="31">
        <v>100</v>
      </c>
      <c r="B101" s="31">
        <v>1085296238</v>
      </c>
      <c r="C101" s="31" t="s">
        <v>378</v>
      </c>
      <c r="D101" s="31" t="s">
        <v>379</v>
      </c>
      <c r="E101" s="31" t="s">
        <v>380</v>
      </c>
      <c r="F101" s="31" t="s">
        <v>250</v>
      </c>
      <c r="G101" s="18">
        <v>16</v>
      </c>
      <c r="H101" s="18" t="s">
        <v>93</v>
      </c>
      <c r="I101" s="22">
        <v>45428</v>
      </c>
      <c r="J101" s="57">
        <v>28000</v>
      </c>
      <c r="K101" s="18" t="s">
        <v>77</v>
      </c>
      <c r="L101" s="18" t="s">
        <v>84</v>
      </c>
      <c r="M101" s="18" t="s">
        <v>75</v>
      </c>
      <c r="N101" s="19" t="s">
        <v>46</v>
      </c>
      <c r="O101" s="45">
        <v>33722</v>
      </c>
      <c r="P101" s="31" t="s">
        <v>100</v>
      </c>
      <c r="Q101" s="31" t="s">
        <v>106</v>
      </c>
      <c r="R101" s="31">
        <v>3172148939</v>
      </c>
      <c r="S101" s="47" t="s">
        <v>381</v>
      </c>
      <c r="T101" s="29" t="str">
        <f>IF(N101=CURSOS!$D$3,"DIPLOMADO EN ATENCION PRE-HOSPITALARIA",IF(N101=CURSOS!$D$4,"ACOMPAÑAMIENTO Y MANEJO DEL DUELO",IF(N101=CURSOS!$D$5,"ATENCION A VICTIMAS DE ATAQUE CON AGENTES QUIMICOS ",IF(N101=CURSOS!$D$6,"PRIMEROS AUXILIOS ",IF(N101=CURSOS!$D$7,"DIPLOMADO DE UNIDAD DE CUIDADOS INTENSIVOS (UCI)",IF(N101=CURSOS!$D$8,"MODELO DE ATENCION PARA EVENTOS EMERGENTES EN SALUD MENTAL (CODIGO VERDE)",IF(N101=CURSOS!$D$9,"HUMANIZACION EN SALUD, BUENAS PRACTICAS EN PACIENTE ",IF(N101=CURSOS!$D$10,"CLINICA DE HERIDAS ",IF(N101=CURSOS!$D$11,"TOMA DE CITOLOGIA A CERVICO VAGINAL ",IF(N101=CURSOS!$D$12,"SOPORTE CARDIOVASCULAR AVANZADO ",IF(N101=CURSOS!$D$13,"CAMILLERO ",IF(N101=CURSOS!$D$14,"TOMA MUESTRAS Y LABORATORIO ",IF(N101=CURSOS!$D$15,"SOPORTE VITAL BASICO (BLS)",IF(N101=CURSOS!$D$16,"ATENCION A VICTIMAS DE VIOLENCIA SEXUAL ",IF(N101=CURSOS!$D$17,"PROGRAMADO AMPLIADO DE INMUNIZACION (PAI - COVID 19)",IF(N101=CURSOS!$D$18,"ATENCION INTEGRAL EN ENFERMEDADES PREVALENTES EN PRIMERA INFANCIA (AIEPI)",IF(N101=CURSOS!$D$19,"ADMINISTRACION DE MEDICAMENTOS, IYECTOLOGIA  Y CANALIZACION ",IF(N101=CURSOS!$D$20,"OPERADOR DE VEHICULOS DE EMERGENCIA (OVE)",IF(N101=CURSOS!$D$21,"INSTITUCIONES AMIGAS DE LA MUJER Y LA INFANCIA (IAMI)",IF(N101=CURSOS!$D$22,"CUIDADO DEL DONANTE DE ORGANOS",IF(N101=CURSOS!$D$23,"ATENCION A VICTIMAS POR VIOLENCIA DE GENERO",IF(N101=CURSOS!$D$24,"IGUALDAD DE GENERO EN LA SALUD",IF(N101=CURSOS!$D$25,"BRIGADA DE EMERGENCIA",IF(N101=CURSOS!$D$26,"MANEJO DEL DOLOR Y CUIDADOS PALIATIVOS",IF(N101=CURSOS!$D$27,"TOMA MUESTRAS Y LABORATORIO POCT",IF(N101=CURSOS!$D$28,"IMPLANTE SUBDERMICO Y DISPOSITIVO INTRAUTERINO",IF(N101=CURSOS!$D$29,"SALUD MENTAL",IF(N101=CURSOS!$D$30,"PRIMEROS AUXILIOS PSICOLOGICOS",IF(N101=CURSOS!$D$31,"ATENCION A VICTIMAS POR CONFLICTO ARMADO",IF(N101=CURSOS!$D$32,"MANIPULACION DE ALIMENTOS Y BPM"))))))))))))))))))))))))))))))</f>
        <v xml:space="preserve">ATENCION A VICTIMAS DE VIOLENCIA SEXUAL </v>
      </c>
      <c r="U101" s="29" t="str">
        <f t="shared" si="18"/>
        <v>Leidy Lorena Jojoa Erazo</v>
      </c>
      <c r="V101" s="29" t="str">
        <f t="shared" si="19"/>
        <v>Leidy Lorena Jojoa Erazo</v>
      </c>
      <c r="W101" s="29" t="str">
        <f t="shared" si="20"/>
        <v>Leidy Lorena Jojoa Erazo-1085296238-VIOLENCIA SEXUAL</v>
      </c>
      <c r="X101" s="109"/>
    </row>
    <row r="102" spans="1:24" s="46" customFormat="1" ht="15.75" x14ac:dyDescent="0.25">
      <c r="A102" s="31">
        <v>101</v>
      </c>
      <c r="B102" s="31">
        <v>1085252149</v>
      </c>
      <c r="C102" s="31" t="s">
        <v>382</v>
      </c>
      <c r="D102" s="31" t="s">
        <v>238</v>
      </c>
      <c r="E102" s="31" t="s">
        <v>193</v>
      </c>
      <c r="F102" s="31" t="s">
        <v>383</v>
      </c>
      <c r="G102" s="18">
        <v>17</v>
      </c>
      <c r="H102" s="18" t="s">
        <v>93</v>
      </c>
      <c r="I102" s="22">
        <v>45428</v>
      </c>
      <c r="J102" s="57">
        <v>28000</v>
      </c>
      <c r="K102" s="18" t="s">
        <v>77</v>
      </c>
      <c r="L102" s="18" t="s">
        <v>84</v>
      </c>
      <c r="M102" s="18" t="s">
        <v>75</v>
      </c>
      <c r="N102" s="19" t="s">
        <v>19</v>
      </c>
      <c r="O102" s="45">
        <v>31644</v>
      </c>
      <c r="P102" s="31" t="s">
        <v>100</v>
      </c>
      <c r="Q102" s="31" t="s">
        <v>106</v>
      </c>
      <c r="R102" s="31">
        <v>3214722320</v>
      </c>
      <c r="S102" s="47" t="s">
        <v>384</v>
      </c>
      <c r="T102" s="29" t="str">
        <f>IF(N102=CURSOS!$D$3,"DIPLOMADO EN ATENCION PRE-HOSPITALARIA",IF(N102=CURSOS!$D$4,"ACOMPAÑAMIENTO Y MANEJO DEL DUELO",IF(N102=CURSOS!$D$5,"ATENCION A VICTIMAS DE ATAQUE CON AGENTES QUIMICOS ",IF(N102=CURSOS!$D$6,"PRIMEROS AUXILIOS ",IF(N102=CURSOS!$D$7,"DIPLOMADO DE UNIDAD DE CUIDADOS INTENSIVOS (UCI)",IF(N102=CURSOS!$D$8,"MODELO DE ATENCION PARA EVENTOS EMERGENTES EN SALUD MENTAL (CODIGO VERDE)",IF(N102=CURSOS!$D$9,"HUMANIZACION EN SALUD, BUENAS PRACTICAS EN PACIENTE ",IF(N102=CURSOS!$D$10,"CLINICA DE HERIDAS ",IF(N102=CURSOS!$D$11,"TOMA DE CITOLOGIA A CERVICO VAGINAL ",IF(N102=CURSOS!$D$12,"SOPORTE CARDIOVASCULAR AVANZADO ",IF(N102=CURSOS!$D$13,"CAMILLERO ",IF(N102=CURSOS!$D$14,"TOMA MUESTRAS Y LABORATORIO ",IF(N102=CURSOS!$D$15,"SOPORTE VITAL BASICO (BLS)",IF(N102=CURSOS!$D$16,"ATENCION A VICTIMAS DE VIOLENCIA SEXUAL ",IF(N102=CURSOS!$D$17,"PROGRAMADO AMPLIADO DE INMUNIZACION (PAI - COVID 19)",IF(N102=CURSOS!$D$18,"ATENCION INTEGRAL EN ENFERMEDADES PREVALENTES EN PRIMERA INFANCIA (AIEPI)",IF(N102=CURSOS!$D$19,"ADMINISTRACION DE MEDICAMENTOS, IYECTOLOGIA  Y CANALIZACION ",IF(N102=CURSOS!$D$20,"OPERADOR DE VEHICULOS DE EMERGENCIA (OVE)",IF(N102=CURSOS!$D$21,"INSTITUCIONES AMIGAS DE LA MUJER Y LA INFANCIA (IAMI)",IF(N102=CURSOS!$D$22,"CUIDADO DEL DONANTE DE ORGANOS",IF(N102=CURSOS!$D$23,"ATENCION A VICTIMAS POR VIOLENCIA DE GENERO",IF(N102=CURSOS!$D$24,"IGUALDAD DE GENERO EN LA SALUD",IF(N102=CURSOS!$D$25,"BRIGADA DE EMERGENCIA",IF(N102=CURSOS!$D$26,"MANEJO DEL DOLOR Y CUIDADOS PALIATIVOS",IF(N102=CURSOS!$D$27,"TOMA MUESTRAS Y LABORATORIO POCT",IF(N102=CURSOS!$D$28,"IMPLANTE SUBDERMICO Y DISPOSITIVO INTRAUTERINO",IF(N102=CURSOS!$D$29,"SALUD MENTAL",IF(N102=CURSOS!$D$30,"PRIMEROS AUXILIOS PSICOLOGICOS",IF(N102=CURSOS!$D$31,"ATENCION A VICTIMAS POR CONFLICTO ARMADO",IF(N102=CURSOS!$D$32,"MANIPULACION DE ALIMENTOS Y BPM"))))))))))))))))))))))))))))))</f>
        <v>SOPORTE VITAL BASICO (BLS)</v>
      </c>
      <c r="U102" s="29" t="str">
        <f t="shared" si="18"/>
        <v>Sandra Maricela Oliva Pastas</v>
      </c>
      <c r="V102" s="29" t="str">
        <f t="shared" si="19"/>
        <v>Sandra Maricela Oliva Pastas</v>
      </c>
      <c r="W102" s="29" t="str">
        <f t="shared" si="20"/>
        <v>Sandra Maricela Oliva Pastas-1085252149-BLS</v>
      </c>
      <c r="X102" s="109"/>
    </row>
    <row r="103" spans="1:24" s="46" customFormat="1" ht="15.75" x14ac:dyDescent="0.25">
      <c r="A103" s="31">
        <v>102</v>
      </c>
      <c r="B103" s="31">
        <v>1085252149</v>
      </c>
      <c r="C103" s="31" t="s">
        <v>382</v>
      </c>
      <c r="D103" s="31" t="s">
        <v>238</v>
      </c>
      <c r="E103" s="31" t="s">
        <v>193</v>
      </c>
      <c r="F103" s="31" t="s">
        <v>383</v>
      </c>
      <c r="G103" s="18">
        <v>16</v>
      </c>
      <c r="H103" s="18" t="s">
        <v>93</v>
      </c>
      <c r="I103" s="22">
        <v>45428</v>
      </c>
      <c r="J103" s="57">
        <v>28000</v>
      </c>
      <c r="K103" s="18" t="s">
        <v>77</v>
      </c>
      <c r="L103" s="18" t="s">
        <v>84</v>
      </c>
      <c r="M103" s="18" t="s">
        <v>75</v>
      </c>
      <c r="N103" s="19" t="s">
        <v>46</v>
      </c>
      <c r="O103" s="45">
        <v>31644</v>
      </c>
      <c r="P103" s="31" t="s">
        <v>100</v>
      </c>
      <c r="Q103" s="31" t="s">
        <v>106</v>
      </c>
      <c r="R103" s="31">
        <v>3214722320</v>
      </c>
      <c r="S103" s="47" t="s">
        <v>384</v>
      </c>
      <c r="T103" s="29" t="str">
        <f>IF(N103=CURSOS!$D$3,"DIPLOMADO EN ATENCION PRE-HOSPITALARIA",IF(N103=CURSOS!$D$4,"ACOMPAÑAMIENTO Y MANEJO DEL DUELO",IF(N103=CURSOS!$D$5,"ATENCION A VICTIMAS DE ATAQUE CON AGENTES QUIMICOS ",IF(N103=CURSOS!$D$6,"PRIMEROS AUXILIOS ",IF(N103=CURSOS!$D$7,"DIPLOMADO DE UNIDAD DE CUIDADOS INTENSIVOS (UCI)",IF(N103=CURSOS!$D$8,"MODELO DE ATENCION PARA EVENTOS EMERGENTES EN SALUD MENTAL (CODIGO VERDE)",IF(N103=CURSOS!$D$9,"HUMANIZACION EN SALUD, BUENAS PRACTICAS EN PACIENTE ",IF(N103=CURSOS!$D$10,"CLINICA DE HERIDAS ",IF(N103=CURSOS!$D$11,"TOMA DE CITOLOGIA A CERVICO VAGINAL ",IF(N103=CURSOS!$D$12,"SOPORTE CARDIOVASCULAR AVANZADO ",IF(N103=CURSOS!$D$13,"CAMILLERO ",IF(N103=CURSOS!$D$14,"TOMA MUESTRAS Y LABORATORIO ",IF(N103=CURSOS!$D$15,"SOPORTE VITAL BASICO (BLS)",IF(N103=CURSOS!$D$16,"ATENCION A VICTIMAS DE VIOLENCIA SEXUAL ",IF(N103=CURSOS!$D$17,"PROGRAMADO AMPLIADO DE INMUNIZACION (PAI - COVID 19)",IF(N103=CURSOS!$D$18,"ATENCION INTEGRAL EN ENFERMEDADES PREVALENTES EN PRIMERA INFANCIA (AIEPI)",IF(N103=CURSOS!$D$19,"ADMINISTRACION DE MEDICAMENTOS, IYECTOLOGIA  Y CANALIZACION ",IF(N103=CURSOS!$D$20,"OPERADOR DE VEHICULOS DE EMERGENCIA (OVE)",IF(N103=CURSOS!$D$21,"INSTITUCIONES AMIGAS DE LA MUJER Y LA INFANCIA (IAMI)",IF(N103=CURSOS!$D$22,"CUIDADO DEL DONANTE DE ORGANOS",IF(N103=CURSOS!$D$23,"ATENCION A VICTIMAS POR VIOLENCIA DE GENERO",IF(N103=CURSOS!$D$24,"IGUALDAD DE GENERO EN LA SALUD",IF(N103=CURSOS!$D$25,"BRIGADA DE EMERGENCIA",IF(N103=CURSOS!$D$26,"MANEJO DEL DOLOR Y CUIDADOS PALIATIVOS",IF(N103=CURSOS!$D$27,"TOMA MUESTRAS Y LABORATORIO POCT",IF(N103=CURSOS!$D$28,"IMPLANTE SUBDERMICO Y DISPOSITIVO INTRAUTERINO",IF(N103=CURSOS!$D$29,"SALUD MENTAL",IF(N103=CURSOS!$D$30,"PRIMEROS AUXILIOS PSICOLOGICOS",IF(N103=CURSOS!$D$31,"ATENCION A VICTIMAS POR CONFLICTO ARMADO",IF(N103=CURSOS!$D$32,"MANIPULACION DE ALIMENTOS Y BPM"))))))))))))))))))))))))))))))</f>
        <v xml:space="preserve">ATENCION A VICTIMAS DE VIOLENCIA SEXUAL </v>
      </c>
      <c r="U103" s="29" t="str">
        <f t="shared" si="18"/>
        <v>Sandra Maricela Oliva Pastas</v>
      </c>
      <c r="V103" s="29" t="str">
        <f t="shared" si="19"/>
        <v>Sandra Maricela Oliva Pastas</v>
      </c>
      <c r="W103" s="29" t="str">
        <f t="shared" si="20"/>
        <v>Sandra Maricela Oliva Pastas-1085252149-VIOLENCIA SEXUAL</v>
      </c>
      <c r="X103" s="109"/>
    </row>
    <row r="104" spans="1:24" s="46" customFormat="1" ht="15.75" x14ac:dyDescent="0.25">
      <c r="A104" s="31">
        <v>103</v>
      </c>
      <c r="B104" s="31">
        <v>1085315226</v>
      </c>
      <c r="C104" s="31" t="s">
        <v>386</v>
      </c>
      <c r="D104" s="31" t="s">
        <v>387</v>
      </c>
      <c r="E104" s="31" t="s">
        <v>388</v>
      </c>
      <c r="F104" s="31" t="s">
        <v>389</v>
      </c>
      <c r="G104" s="18">
        <v>17</v>
      </c>
      <c r="H104" s="18" t="s">
        <v>93</v>
      </c>
      <c r="I104" s="22">
        <v>45428</v>
      </c>
      <c r="J104" s="57">
        <v>28000</v>
      </c>
      <c r="K104" s="18" t="s">
        <v>77</v>
      </c>
      <c r="L104" s="18" t="s">
        <v>84</v>
      </c>
      <c r="M104" s="18" t="s">
        <v>75</v>
      </c>
      <c r="N104" s="19" t="s">
        <v>19</v>
      </c>
      <c r="O104" s="45">
        <v>34556</v>
      </c>
      <c r="P104" s="31" t="s">
        <v>100</v>
      </c>
      <c r="Q104" s="31" t="s">
        <v>106</v>
      </c>
      <c r="R104" s="31">
        <v>3157029585</v>
      </c>
      <c r="S104" s="47" t="s">
        <v>385</v>
      </c>
      <c r="T104" s="29" t="str">
        <f>IF(N104=CURSOS!$D$3,"DIPLOMADO EN ATENCION PRE-HOSPITALARIA",IF(N104=CURSOS!$D$4,"ACOMPAÑAMIENTO Y MANEJO DEL DUELO",IF(N104=CURSOS!$D$5,"ATENCION A VICTIMAS DE ATAQUE CON AGENTES QUIMICOS ",IF(N104=CURSOS!$D$6,"PRIMEROS AUXILIOS ",IF(N104=CURSOS!$D$7,"DIPLOMADO DE UNIDAD DE CUIDADOS INTENSIVOS (UCI)",IF(N104=CURSOS!$D$8,"MODELO DE ATENCION PARA EVENTOS EMERGENTES EN SALUD MENTAL (CODIGO VERDE)",IF(N104=CURSOS!$D$9,"HUMANIZACION EN SALUD, BUENAS PRACTICAS EN PACIENTE ",IF(N104=CURSOS!$D$10,"CLINICA DE HERIDAS ",IF(N104=CURSOS!$D$11,"TOMA DE CITOLOGIA A CERVICO VAGINAL ",IF(N104=CURSOS!$D$12,"SOPORTE CARDIOVASCULAR AVANZADO ",IF(N104=CURSOS!$D$13,"CAMILLERO ",IF(N104=CURSOS!$D$14,"TOMA MUESTRAS Y LABORATORIO ",IF(N104=CURSOS!$D$15,"SOPORTE VITAL BASICO (BLS)",IF(N104=CURSOS!$D$16,"ATENCION A VICTIMAS DE VIOLENCIA SEXUAL ",IF(N104=CURSOS!$D$17,"PROGRAMADO AMPLIADO DE INMUNIZACION (PAI - COVID 19)",IF(N104=CURSOS!$D$18,"ATENCION INTEGRAL EN ENFERMEDADES PREVALENTES EN PRIMERA INFANCIA (AIEPI)",IF(N104=CURSOS!$D$19,"ADMINISTRACION DE MEDICAMENTOS, IYECTOLOGIA  Y CANALIZACION ",IF(N104=CURSOS!$D$20,"OPERADOR DE VEHICULOS DE EMERGENCIA (OVE)",IF(N104=CURSOS!$D$21,"INSTITUCIONES AMIGAS DE LA MUJER Y LA INFANCIA (IAMI)",IF(N104=CURSOS!$D$22,"CUIDADO DEL DONANTE DE ORGANOS",IF(N104=CURSOS!$D$23,"ATENCION A VICTIMAS POR VIOLENCIA DE GENERO",IF(N104=CURSOS!$D$24,"IGUALDAD DE GENERO EN LA SALUD",IF(N104=CURSOS!$D$25,"BRIGADA DE EMERGENCIA",IF(N104=CURSOS!$D$26,"MANEJO DEL DOLOR Y CUIDADOS PALIATIVOS",IF(N104=CURSOS!$D$27,"TOMA MUESTRAS Y LABORATORIO POCT",IF(N104=CURSOS!$D$28,"IMPLANTE SUBDERMICO Y DISPOSITIVO INTRAUTERINO",IF(N104=CURSOS!$D$29,"SALUD MENTAL",IF(N104=CURSOS!$D$30,"PRIMEROS AUXILIOS PSICOLOGICOS",IF(N104=CURSOS!$D$31,"ATENCION A VICTIMAS POR CONFLICTO ARMADO",IF(N104=CURSOS!$D$32,"MANIPULACION DE ALIMENTOS Y BPM"))))))))))))))))))))))))))))))</f>
        <v>SOPORTE VITAL BASICO (BLS)</v>
      </c>
      <c r="U104" s="29" t="str">
        <f t="shared" si="18"/>
        <v>Deisy Lucia Tescual Inchima</v>
      </c>
      <c r="V104" s="29" t="str">
        <f t="shared" si="19"/>
        <v>Deisy Lucia Tescual Inchima</v>
      </c>
      <c r="W104" s="29" t="str">
        <f t="shared" si="20"/>
        <v>Deisy Lucia Tescual Inchima-1085315226-BLS</v>
      </c>
    </row>
    <row r="105" spans="1:24" s="46" customFormat="1" x14ac:dyDescent="0.2">
      <c r="A105" s="31">
        <v>104</v>
      </c>
      <c r="B105" s="31">
        <v>1085315226</v>
      </c>
      <c r="C105" s="31" t="s">
        <v>386</v>
      </c>
      <c r="D105" s="31" t="s">
        <v>387</v>
      </c>
      <c r="E105" s="31" t="s">
        <v>388</v>
      </c>
      <c r="F105" s="31" t="s">
        <v>389</v>
      </c>
      <c r="G105" s="18">
        <v>16</v>
      </c>
      <c r="H105" s="18" t="s">
        <v>93</v>
      </c>
      <c r="I105" s="22">
        <v>45428</v>
      </c>
      <c r="J105" s="57">
        <v>28000</v>
      </c>
      <c r="K105" s="18" t="s">
        <v>77</v>
      </c>
      <c r="L105" s="18" t="s">
        <v>84</v>
      </c>
      <c r="M105" s="18" t="s">
        <v>75</v>
      </c>
      <c r="N105" s="19" t="s">
        <v>46</v>
      </c>
      <c r="O105" s="45">
        <v>34556</v>
      </c>
      <c r="P105" s="31" t="s">
        <v>100</v>
      </c>
      <c r="Q105" s="31" t="s">
        <v>106</v>
      </c>
      <c r="R105" s="31">
        <v>3157029585</v>
      </c>
      <c r="S105" s="31" t="s">
        <v>385</v>
      </c>
      <c r="T105" s="29" t="str">
        <f>IF(N105=CURSOS!$D$3,"DIPLOMADO EN ATENCION PRE-HOSPITALARIA",IF(N105=CURSOS!$D$4,"ACOMPAÑAMIENTO Y MANEJO DEL DUELO",IF(N105=CURSOS!$D$5,"ATENCION A VICTIMAS DE ATAQUE CON AGENTES QUIMICOS ",IF(N105=CURSOS!$D$6,"PRIMEROS AUXILIOS ",IF(N105=CURSOS!$D$7,"DIPLOMADO DE UNIDAD DE CUIDADOS INTENSIVOS (UCI)",IF(N105=CURSOS!$D$8,"MODELO DE ATENCION PARA EVENTOS EMERGENTES EN SALUD MENTAL (CODIGO VERDE)",IF(N105=CURSOS!$D$9,"HUMANIZACION EN SALUD, BUENAS PRACTICAS EN PACIENTE ",IF(N105=CURSOS!$D$10,"CLINICA DE HERIDAS ",IF(N105=CURSOS!$D$11,"TOMA DE CITOLOGIA A CERVICO VAGINAL ",IF(N105=CURSOS!$D$12,"SOPORTE CARDIOVASCULAR AVANZADO ",IF(N105=CURSOS!$D$13,"CAMILLERO ",IF(N105=CURSOS!$D$14,"TOMA MUESTRAS Y LABORATORIO ",IF(N105=CURSOS!$D$15,"SOPORTE VITAL BASICO (BLS)",IF(N105=CURSOS!$D$16,"ATENCION A VICTIMAS DE VIOLENCIA SEXUAL ",IF(N105=CURSOS!$D$17,"PROGRAMADO AMPLIADO DE INMUNIZACION (PAI - COVID 19)",IF(N105=CURSOS!$D$18,"ATENCION INTEGRAL EN ENFERMEDADES PREVALENTES EN PRIMERA INFANCIA (AIEPI)",IF(N105=CURSOS!$D$19,"ADMINISTRACION DE MEDICAMENTOS, IYECTOLOGIA  Y CANALIZACION ",IF(N105=CURSOS!$D$20,"OPERADOR DE VEHICULOS DE EMERGENCIA (OVE)",IF(N105=CURSOS!$D$21,"INSTITUCIONES AMIGAS DE LA MUJER Y LA INFANCIA (IAMI)",IF(N105=CURSOS!$D$22,"CUIDADO DEL DONANTE DE ORGANOS",IF(N105=CURSOS!$D$23,"ATENCION A VICTIMAS POR VIOLENCIA DE GENERO",IF(N105=CURSOS!$D$24,"IGUALDAD DE GENERO EN LA SALUD",IF(N105=CURSOS!$D$25,"BRIGADA DE EMERGENCIA",IF(N105=CURSOS!$D$26,"MANEJO DEL DOLOR Y CUIDADOS PALIATIVOS",IF(N105=CURSOS!$D$27,"TOMA MUESTRAS Y LABORATORIO POCT",IF(N105=CURSOS!$D$28,"IMPLANTE SUBDERMICO Y DISPOSITIVO INTRAUTERINO",IF(N105=CURSOS!$D$29,"SALUD MENTAL",IF(N105=CURSOS!$D$30,"PRIMEROS AUXILIOS PSICOLOGICOS",IF(N105=CURSOS!$D$31,"ATENCION A VICTIMAS POR CONFLICTO ARMADO",IF(N105=CURSOS!$D$32,"MANIPULACION DE ALIMENTOS Y BPM"))))))))))))))))))))))))))))))</f>
        <v xml:space="preserve">ATENCION A VICTIMAS DE VIOLENCIA SEXUAL </v>
      </c>
      <c r="U105" s="29" t="str">
        <f t="shared" si="18"/>
        <v>Deisy Lucia Tescual Inchima</v>
      </c>
      <c r="V105" s="29" t="str">
        <f t="shared" si="19"/>
        <v>Deisy Lucia Tescual Inchima</v>
      </c>
      <c r="W105" s="29" t="str">
        <f t="shared" si="20"/>
        <v>Deisy Lucia Tescual Inchima-1085315226-VIOLENCIA SEXUAL</v>
      </c>
    </row>
    <row r="106" spans="1:24" s="46" customFormat="1" x14ac:dyDescent="0.2">
      <c r="A106" s="31">
        <v>105</v>
      </c>
      <c r="B106" s="31">
        <v>1004235589</v>
      </c>
      <c r="C106" s="31" t="s">
        <v>278</v>
      </c>
      <c r="D106" s="31" t="s">
        <v>216</v>
      </c>
      <c r="E106" s="31" t="s">
        <v>367</v>
      </c>
      <c r="F106" s="31" t="s">
        <v>296</v>
      </c>
      <c r="G106" s="18">
        <v>16</v>
      </c>
      <c r="H106" s="18" t="s">
        <v>93</v>
      </c>
      <c r="I106" s="22">
        <v>45429</v>
      </c>
      <c r="J106" s="57">
        <v>28000</v>
      </c>
      <c r="K106" s="18" t="s">
        <v>77</v>
      </c>
      <c r="L106" s="18" t="s">
        <v>84</v>
      </c>
      <c r="M106" s="18" t="s">
        <v>75</v>
      </c>
      <c r="N106" s="19" t="s">
        <v>46</v>
      </c>
      <c r="O106" s="45">
        <v>37441</v>
      </c>
      <c r="P106" s="31" t="s">
        <v>100</v>
      </c>
      <c r="Q106" s="31" t="s">
        <v>106</v>
      </c>
      <c r="R106" s="31">
        <v>3188851153</v>
      </c>
      <c r="S106" s="31" t="s">
        <v>390</v>
      </c>
      <c r="T106" s="29" t="str">
        <f>IF(N106=CURSOS!$D$3,"DIPLOMADO EN ATENCION PRE-HOSPITALARIA",IF(N106=CURSOS!$D$4,"ACOMPAÑAMIENTO Y MANEJO DEL DUELO",IF(N106=CURSOS!$D$5,"ATENCION A VICTIMAS DE ATAQUE CON AGENTES QUIMICOS ",IF(N106=CURSOS!$D$6,"PRIMEROS AUXILIOS ",IF(N106=CURSOS!$D$7,"DIPLOMADO DE UNIDAD DE CUIDADOS INTENSIVOS (UCI)",IF(N106=CURSOS!$D$8,"MODELO DE ATENCION PARA EVENTOS EMERGENTES EN SALUD MENTAL (CODIGO VERDE)",IF(N106=CURSOS!$D$9,"HUMANIZACION EN SALUD, BUENAS PRACTICAS EN PACIENTE ",IF(N106=CURSOS!$D$10,"CLINICA DE HERIDAS ",IF(N106=CURSOS!$D$11,"TOMA DE CITOLOGIA A CERVICO VAGINAL ",IF(N106=CURSOS!$D$12,"SOPORTE CARDIOVASCULAR AVANZADO ",IF(N106=CURSOS!$D$13,"CAMILLERO ",IF(N106=CURSOS!$D$14,"TOMA MUESTRAS Y LABORATORIO ",IF(N106=CURSOS!$D$15,"SOPORTE VITAL BASICO (BLS)",IF(N106=CURSOS!$D$16,"ATENCION A VICTIMAS DE VIOLENCIA SEXUAL ",IF(N106=CURSOS!$D$17,"PROGRAMADO AMPLIADO DE INMUNIZACION (PAI - COVID 19)",IF(N106=CURSOS!$D$18,"ATENCION INTEGRAL EN ENFERMEDADES PREVALENTES EN PRIMERA INFANCIA (AIEPI)",IF(N106=CURSOS!$D$19,"ADMINISTRACION DE MEDICAMENTOS, IYECTOLOGIA  Y CANALIZACION ",IF(N106=CURSOS!$D$20,"OPERADOR DE VEHICULOS DE EMERGENCIA (OVE)",IF(N106=CURSOS!$D$21,"INSTITUCIONES AMIGAS DE LA MUJER Y LA INFANCIA (IAMI)",IF(N106=CURSOS!$D$22,"CUIDADO DEL DONANTE DE ORGANOS",IF(N106=CURSOS!$D$23,"ATENCION A VICTIMAS POR VIOLENCIA DE GENERO",IF(N106=CURSOS!$D$24,"IGUALDAD DE GENERO EN LA SALUD",IF(N106=CURSOS!$D$25,"BRIGADA DE EMERGENCIA",IF(N106=CURSOS!$D$26,"MANEJO DEL DOLOR Y CUIDADOS PALIATIVOS",IF(N106=CURSOS!$D$27,"TOMA MUESTRAS Y LABORATORIO POCT",IF(N106=CURSOS!$D$28,"IMPLANTE SUBDERMICO Y DISPOSITIVO INTRAUTERINO",IF(N106=CURSOS!$D$29,"SALUD MENTAL",IF(N106=CURSOS!$D$30,"PRIMEROS AUXILIOS PSICOLOGICOS",IF(N106=CURSOS!$D$31,"ATENCION A VICTIMAS POR CONFLICTO ARMADO",IF(N106=CURSOS!$D$32,"MANIPULACION DE ALIMENTOS Y BPM"))))))))))))))))))))))))))))))</f>
        <v xml:space="preserve">ATENCION A VICTIMAS DE VIOLENCIA SEXUAL </v>
      </c>
      <c r="U106" s="29" t="str">
        <f t="shared" si="18"/>
        <v>Paola Andrea Muñoz Pinza</v>
      </c>
      <c r="V106" s="29" t="str">
        <f t="shared" si="19"/>
        <v>Paola Andrea Muñoz Pinza</v>
      </c>
      <c r="W106" s="29" t="str">
        <f t="shared" si="20"/>
        <v>Paola Andrea Muñoz Pinza-1004235589-VIOLENCIA SEXUAL</v>
      </c>
    </row>
    <row r="107" spans="1:24" s="46" customFormat="1" ht="15.75" x14ac:dyDescent="0.25">
      <c r="A107" s="31">
        <v>106</v>
      </c>
      <c r="B107" s="31">
        <v>1085289481</v>
      </c>
      <c r="C107" s="31" t="s">
        <v>192</v>
      </c>
      <c r="D107" s="31" t="s">
        <v>195</v>
      </c>
      <c r="E107" s="31" t="s">
        <v>391</v>
      </c>
      <c r="F107" s="31" t="s">
        <v>392</v>
      </c>
      <c r="G107" s="18">
        <v>17</v>
      </c>
      <c r="H107" s="18" t="s">
        <v>93</v>
      </c>
      <c r="I107" s="22">
        <v>45429</v>
      </c>
      <c r="J107" s="57">
        <v>91000</v>
      </c>
      <c r="K107" s="18" t="s">
        <v>83</v>
      </c>
      <c r="L107" s="18" t="s">
        <v>84</v>
      </c>
      <c r="M107" s="18" t="s">
        <v>75</v>
      </c>
      <c r="N107" s="19" t="s">
        <v>39</v>
      </c>
      <c r="O107" s="45">
        <v>33396</v>
      </c>
      <c r="P107" s="31" t="s">
        <v>100</v>
      </c>
      <c r="Q107" s="31" t="s">
        <v>393</v>
      </c>
      <c r="R107" s="31">
        <v>3188013022</v>
      </c>
      <c r="S107" s="47" t="s">
        <v>394</v>
      </c>
      <c r="T107" s="29" t="str">
        <f>IF(N107=CURSOS!$D$3,"DIPLOMADO EN ATENCION PRE-HOSPITALARIA",IF(N107=CURSOS!$D$4,"ACOMPAÑAMIENTO Y MANEJO DEL DUELO",IF(N107=CURSOS!$D$5,"ATENCION A VICTIMAS DE ATAQUE CON AGENTES QUIMICOS ",IF(N107=CURSOS!$D$6,"PRIMEROS AUXILIOS ",IF(N107=CURSOS!$D$7,"DIPLOMADO DE UNIDAD DE CUIDADOS INTENSIVOS (UCI)",IF(N107=CURSOS!$D$8,"MODELO DE ATENCION PARA EVENTOS EMERGENTES EN SALUD MENTAL (CODIGO VERDE)",IF(N107=CURSOS!$D$9,"HUMANIZACION EN SALUD, BUENAS PRACTICAS EN PACIENTE ",IF(N107=CURSOS!$D$10,"CLINICA DE HERIDAS ",IF(N107=CURSOS!$D$11,"TOMA DE CITOLOGIA A CERVICO VAGINAL ",IF(N107=CURSOS!$D$12,"SOPORTE CARDIOVASCULAR AVANZADO ",IF(N107=CURSOS!$D$13,"CAMILLERO ",IF(N107=CURSOS!$D$14,"TOMA MUESTRAS Y LABORATORIO ",IF(N107=CURSOS!$D$15,"SOPORTE VITAL BASICO (BLS)",IF(N107=CURSOS!$D$16,"ATENCION A VICTIMAS DE VIOLENCIA SEXUAL ",IF(N107=CURSOS!$D$17,"PROGRAMADO AMPLIADO DE INMUNIZACION (PAI - COVID 19)",IF(N107=CURSOS!$D$18,"ATENCION INTEGRAL EN ENFERMEDADES PREVALENTES EN PRIMERA INFANCIA (AIEPI)",IF(N107=CURSOS!$D$19,"ADMINISTRACION DE MEDICAMENTOS, IYECTOLOGIA  Y CANALIZACION ",IF(N107=CURSOS!$D$20,"OPERADOR DE VEHICULOS DE EMERGENCIA (OVE)",IF(N107=CURSOS!$D$21,"INSTITUCIONES AMIGAS DE LA MUJER Y LA INFANCIA (IAMI)",IF(N107=CURSOS!$D$22,"CUIDADO DEL DONANTE DE ORGANOS",IF(N107=CURSOS!$D$23,"ATENCION A VICTIMAS POR VIOLENCIA DE GENERO",IF(N107=CURSOS!$D$24,"IGUALDAD DE GENERO EN LA SALUD",IF(N107=CURSOS!$D$25,"BRIGADA DE EMERGENCIA",IF(N107=CURSOS!$D$26,"MANEJO DEL DOLOR Y CUIDADOS PALIATIVOS",IF(N107=CURSOS!$D$27,"TOMA MUESTRAS Y LABORATORIO POCT",IF(N107=CURSOS!$D$28,"IMPLANTE SUBDERMICO Y DISPOSITIVO INTRAUTERINO",IF(N107=CURSOS!$D$29,"SALUD MENTAL",IF(N107=CURSOS!$D$30,"PRIMEROS AUXILIOS PSICOLOGICOS",IF(N107=CURSOS!$D$31,"ATENCION A VICTIMAS POR CONFLICTO ARMADO",IF(N107=CURSOS!$D$32,"MANIPULACION DE ALIMENTOS Y BPM"))))))))))))))))))))))))))))))</f>
        <v xml:space="preserve">SOPORTE CARDIOVASCULAR AVANZADO </v>
      </c>
      <c r="U107" s="29" t="str">
        <f t="shared" si="18"/>
        <v>Naudy Jhoana López Jurado</v>
      </c>
      <c r="V107" s="29" t="str">
        <f t="shared" si="19"/>
        <v>Naudy Jhoana López Jurado</v>
      </c>
      <c r="W107" s="29" t="str">
        <f t="shared" si="20"/>
        <v>Naudy Jhoana López Jurado-1085289481-ACLS</v>
      </c>
    </row>
    <row r="108" spans="1:24" s="46" customFormat="1" x14ac:dyDescent="0.2">
      <c r="A108" s="31">
        <v>107</v>
      </c>
      <c r="B108" s="31">
        <v>10298939</v>
      </c>
      <c r="C108" s="31" t="s">
        <v>169</v>
      </c>
      <c r="D108" s="31" t="s">
        <v>395</v>
      </c>
      <c r="E108" s="31" t="s">
        <v>396</v>
      </c>
      <c r="F108" s="31" t="s">
        <v>397</v>
      </c>
      <c r="G108" s="18">
        <v>17</v>
      </c>
      <c r="H108" s="18" t="s">
        <v>93</v>
      </c>
      <c r="I108" s="22">
        <v>45429</v>
      </c>
      <c r="J108" s="57">
        <v>91000</v>
      </c>
      <c r="K108" s="18" t="s">
        <v>77</v>
      </c>
      <c r="L108" s="18" t="s">
        <v>84</v>
      </c>
      <c r="M108" s="18" t="s">
        <v>75</v>
      </c>
      <c r="N108" s="19" t="s">
        <v>39</v>
      </c>
      <c r="O108" s="45">
        <v>30521</v>
      </c>
      <c r="P108" s="31" t="s">
        <v>79</v>
      </c>
      <c r="Q108" s="31" t="s">
        <v>393</v>
      </c>
      <c r="R108" s="31">
        <v>3003760995</v>
      </c>
      <c r="S108" s="31" t="s">
        <v>398</v>
      </c>
      <c r="T108" s="29" t="str">
        <f>IF(N108=CURSOS!$D$3,"DIPLOMADO EN ATENCION PRE-HOSPITALARIA",IF(N108=CURSOS!$D$4,"ACOMPAÑAMIENTO Y MANEJO DEL DUELO",IF(N108=CURSOS!$D$5,"ATENCION A VICTIMAS DE ATAQUE CON AGENTES QUIMICOS ",IF(N108=CURSOS!$D$6,"PRIMEROS AUXILIOS ",IF(N108=CURSOS!$D$7,"DIPLOMADO DE UNIDAD DE CUIDADOS INTENSIVOS (UCI)",IF(N108=CURSOS!$D$8,"MODELO DE ATENCION PARA EVENTOS EMERGENTES EN SALUD MENTAL (CODIGO VERDE)",IF(N108=CURSOS!$D$9,"HUMANIZACION EN SALUD, BUENAS PRACTICAS EN PACIENTE ",IF(N108=CURSOS!$D$10,"CLINICA DE HERIDAS ",IF(N108=CURSOS!$D$11,"TOMA DE CITOLOGIA A CERVICO VAGINAL ",IF(N108=CURSOS!$D$12,"SOPORTE CARDIOVASCULAR AVANZADO ",IF(N108=CURSOS!$D$13,"CAMILLERO ",IF(N108=CURSOS!$D$14,"TOMA MUESTRAS Y LABORATORIO ",IF(N108=CURSOS!$D$15,"SOPORTE VITAL BASICO (BLS)",IF(N108=CURSOS!$D$16,"ATENCION A VICTIMAS DE VIOLENCIA SEXUAL ",IF(N108=CURSOS!$D$17,"PROGRAMADO AMPLIADO DE INMUNIZACION (PAI - COVID 19)",IF(N108=CURSOS!$D$18,"ATENCION INTEGRAL EN ENFERMEDADES PREVALENTES EN PRIMERA INFANCIA (AIEPI)",IF(N108=CURSOS!$D$19,"ADMINISTRACION DE MEDICAMENTOS, IYECTOLOGIA  Y CANALIZACION ",IF(N108=CURSOS!$D$20,"OPERADOR DE VEHICULOS DE EMERGENCIA (OVE)",IF(N108=CURSOS!$D$21,"INSTITUCIONES AMIGAS DE LA MUJER Y LA INFANCIA (IAMI)",IF(N108=CURSOS!$D$22,"CUIDADO DEL DONANTE DE ORGANOS",IF(N108=CURSOS!$D$23,"ATENCION A VICTIMAS POR VIOLENCIA DE GENERO",IF(N108=CURSOS!$D$24,"IGUALDAD DE GENERO EN LA SALUD",IF(N108=CURSOS!$D$25,"BRIGADA DE EMERGENCIA",IF(N108=CURSOS!$D$26,"MANEJO DEL DOLOR Y CUIDADOS PALIATIVOS",IF(N108=CURSOS!$D$27,"TOMA MUESTRAS Y LABORATORIO POCT",IF(N108=CURSOS!$D$28,"IMPLANTE SUBDERMICO Y DISPOSITIVO INTRAUTERINO",IF(N108=CURSOS!$D$29,"SALUD MENTAL",IF(N108=CURSOS!$D$30,"PRIMEROS AUXILIOS PSICOLOGICOS",IF(N108=CURSOS!$D$31,"ATENCION A VICTIMAS POR CONFLICTO ARMADO",IF(N108=CURSOS!$D$32,"MANIPULACION DE ALIMENTOS Y BPM"))))))))))))))))))))))))))))))</f>
        <v xml:space="preserve">SOPORTE CARDIOVASCULAR AVANZADO </v>
      </c>
      <c r="U108" s="29" t="str">
        <f t="shared" si="18"/>
        <v>Oscar Dario Yepez Bravo</v>
      </c>
      <c r="V108" s="29" t="str">
        <f t="shared" si="19"/>
        <v>Oscar Dario Yepez Bravo</v>
      </c>
      <c r="W108" s="29" t="str">
        <f t="shared" si="20"/>
        <v>Oscar Dario Yepez Bravo-10298939-ACLS</v>
      </c>
    </row>
    <row r="109" spans="1:24" s="46" customFormat="1" x14ac:dyDescent="0.2">
      <c r="A109" s="31">
        <v>108</v>
      </c>
      <c r="B109" s="31">
        <v>1082748529</v>
      </c>
      <c r="C109" s="31" t="s">
        <v>355</v>
      </c>
      <c r="D109" s="31" t="s">
        <v>399</v>
      </c>
      <c r="E109" s="31" t="s">
        <v>400</v>
      </c>
      <c r="F109" s="31" t="s">
        <v>401</v>
      </c>
      <c r="G109" s="18">
        <v>17</v>
      </c>
      <c r="H109" s="18" t="s">
        <v>93</v>
      </c>
      <c r="I109" s="22">
        <v>45429</v>
      </c>
      <c r="J109" s="57">
        <v>28000</v>
      </c>
      <c r="K109" s="18" t="s">
        <v>77</v>
      </c>
      <c r="L109" s="18" t="s">
        <v>84</v>
      </c>
      <c r="M109" s="18" t="s">
        <v>75</v>
      </c>
      <c r="N109" s="19" t="s">
        <v>46</v>
      </c>
      <c r="O109" s="45">
        <v>34655</v>
      </c>
      <c r="P109" s="31" t="s">
        <v>100</v>
      </c>
      <c r="Q109" s="31" t="s">
        <v>106</v>
      </c>
      <c r="R109" s="31">
        <v>3223903502</v>
      </c>
      <c r="S109" s="31" t="s">
        <v>402</v>
      </c>
      <c r="T109" s="29" t="str">
        <f>IF(N109=CURSOS!$D$3,"DIPLOMADO EN ATENCION PRE-HOSPITALARIA",IF(N109=CURSOS!$D$4,"ACOMPAÑAMIENTO Y MANEJO DEL DUELO",IF(N109=CURSOS!$D$5,"ATENCION A VICTIMAS DE ATAQUE CON AGENTES QUIMICOS ",IF(N109=CURSOS!$D$6,"PRIMEROS AUXILIOS ",IF(N109=CURSOS!$D$7,"DIPLOMADO DE UNIDAD DE CUIDADOS INTENSIVOS (UCI)",IF(N109=CURSOS!$D$8,"MODELO DE ATENCION PARA EVENTOS EMERGENTES EN SALUD MENTAL (CODIGO VERDE)",IF(N109=CURSOS!$D$9,"HUMANIZACION EN SALUD, BUENAS PRACTICAS EN PACIENTE ",IF(N109=CURSOS!$D$10,"CLINICA DE HERIDAS ",IF(N109=CURSOS!$D$11,"TOMA DE CITOLOGIA A CERVICO VAGINAL ",IF(N109=CURSOS!$D$12,"SOPORTE CARDIOVASCULAR AVANZADO ",IF(N109=CURSOS!$D$13,"CAMILLERO ",IF(N109=CURSOS!$D$14,"TOMA MUESTRAS Y LABORATORIO ",IF(N109=CURSOS!$D$15,"SOPORTE VITAL BASICO (BLS)",IF(N109=CURSOS!$D$16,"ATENCION A VICTIMAS DE VIOLENCIA SEXUAL ",IF(N109=CURSOS!$D$17,"PROGRAMADO AMPLIADO DE INMUNIZACION (PAI - COVID 19)",IF(N109=CURSOS!$D$18,"ATENCION INTEGRAL EN ENFERMEDADES PREVALENTES EN PRIMERA INFANCIA (AIEPI)",IF(N109=CURSOS!$D$19,"ADMINISTRACION DE MEDICAMENTOS, IYECTOLOGIA  Y CANALIZACION ",IF(N109=CURSOS!$D$20,"OPERADOR DE VEHICULOS DE EMERGENCIA (OVE)",IF(N109=CURSOS!$D$21,"INSTITUCIONES AMIGAS DE LA MUJER Y LA INFANCIA (IAMI)",IF(N109=CURSOS!$D$22,"CUIDADO DEL DONANTE DE ORGANOS",IF(N109=CURSOS!$D$23,"ATENCION A VICTIMAS POR VIOLENCIA DE GENERO",IF(N109=CURSOS!$D$24,"IGUALDAD DE GENERO EN LA SALUD",IF(N109=CURSOS!$D$25,"BRIGADA DE EMERGENCIA",IF(N109=CURSOS!$D$26,"MANEJO DEL DOLOR Y CUIDADOS PALIATIVOS",IF(N109=CURSOS!$D$27,"TOMA MUESTRAS Y LABORATORIO POCT",IF(N109=CURSOS!$D$28,"IMPLANTE SUBDERMICO Y DISPOSITIVO INTRAUTERINO",IF(N109=CURSOS!$D$29,"SALUD MENTAL",IF(N109=CURSOS!$D$30,"PRIMEROS AUXILIOS PSICOLOGICOS",IF(N109=CURSOS!$D$31,"ATENCION A VICTIMAS POR CONFLICTO ARMADO",IF(N109=CURSOS!$D$32,"MANIPULACION DE ALIMENTOS Y BPM"))))))))))))))))))))))))))))))</f>
        <v xml:space="preserve">ATENCION A VICTIMAS DE VIOLENCIA SEXUAL </v>
      </c>
      <c r="U109" s="29" t="str">
        <f t="shared" si="18"/>
        <v>Araceli Dayana Villota Perez</v>
      </c>
      <c r="V109" s="29" t="str">
        <f t="shared" si="19"/>
        <v>Araceli Dayana Villota Perez</v>
      </c>
      <c r="W109" s="29" t="str">
        <f t="shared" si="20"/>
        <v>Araceli Dayana Villota Perez-1082748529-VIOLENCIA SEXUAL</v>
      </c>
    </row>
    <row r="110" spans="1:24" s="46" customFormat="1" x14ac:dyDescent="0.2">
      <c r="A110" s="31">
        <v>109</v>
      </c>
      <c r="B110" s="31">
        <v>1085266801</v>
      </c>
      <c r="C110" s="31" t="s">
        <v>403</v>
      </c>
      <c r="D110" s="31" t="s">
        <v>404</v>
      </c>
      <c r="E110" s="31" t="s">
        <v>405</v>
      </c>
      <c r="F110" s="31" t="s">
        <v>406</v>
      </c>
      <c r="G110" s="18">
        <v>20</v>
      </c>
      <c r="H110" s="18" t="s">
        <v>93</v>
      </c>
      <c r="I110" s="22">
        <v>45433</v>
      </c>
      <c r="J110" s="57">
        <v>28000</v>
      </c>
      <c r="K110" s="18" t="s">
        <v>124</v>
      </c>
      <c r="L110" s="18" t="s">
        <v>94</v>
      </c>
      <c r="M110" s="18" t="s">
        <v>265</v>
      </c>
      <c r="N110" s="19" t="s">
        <v>407</v>
      </c>
      <c r="O110" s="45">
        <v>32362</v>
      </c>
      <c r="P110" s="31" t="s">
        <v>79</v>
      </c>
      <c r="Q110" s="31" t="s">
        <v>106</v>
      </c>
      <c r="R110" s="31">
        <v>3193758305</v>
      </c>
      <c r="S110" s="31" t="s">
        <v>408</v>
      </c>
      <c r="T110" s="29" t="str">
        <f>IF(N110=CURSOS!$D$3,"DIPLOMADO EN ATENCION PRE-HOSPITALARIA",IF(N110=CURSOS!$D$4,"ACOMPAÑAMIENTO Y MANEJO DEL DUELO",IF(N110=CURSOS!$D$5,"ATENCION A VICTIMAS DE ATAQUE CON AGENTES QUIMICOS ",IF(N110=CURSOS!$D$6,"PRIMEROS AUXILIOS ",IF(N110=CURSOS!$D$7,"DIPLOMADO DE UNIDAD DE CUIDADOS INTENSIVOS (UCI)",IF(N110=CURSOS!$D$8,"MODELO DE ATENCION PARA EVENTOS EMERGENTES EN SALUD MENTAL (CODIGO VERDE)",IF(N110=CURSOS!$D$9,"HUMANIZACION EN SALUD, BUENAS PRACTICAS EN PACIENTE ",IF(N110=CURSOS!$D$10,"CLINICA DE HERIDAS ",IF(N110=CURSOS!$D$11,"TOMA DE CITOLOGIA A CERVICO VAGINAL ",IF(N110=CURSOS!$D$12,"SOPORTE CARDIOVASCULAR AVANZADO ",IF(N110=CURSOS!$D$13,"CAMILLERO ",IF(N110=CURSOS!$D$14,"TOMA MUESTRAS Y LABORATORIO ",IF(N110=CURSOS!$D$15,"SOPORTE VITAL BASICO (BLS)",IF(N110=CURSOS!$D$16,"ATENCION A VICTIMAS DE VIOLENCIA SEXUAL ",IF(N110=CURSOS!$D$17,"PROGRAMADO AMPLIADO DE INMUNIZACION (PAI - COVID 19)",IF(N110=CURSOS!$D$18,"ATENCION INTEGRAL EN ENFERMEDADES PREVALENTES EN PRIMERA INFANCIA (AIEPI)",IF(N110=CURSOS!$D$19,"ADMINISTRACION DE MEDICAMENTOS, IYECTOLOGIA  Y CANALIZACION ",IF(N110=CURSOS!$D$20,"OPERADOR DE VEHICULOS DE EMERGENCIA (OVE)",IF(N110=CURSOS!$D$21,"INSTITUCIONES AMIGAS DE LA MUJER Y LA INFANCIA (IAMI)",IF(N110=CURSOS!$D$22,"CUIDADO DEL DONANTE DE ORGANOS",IF(N110=CURSOS!$D$23,"ATENCION A VICTIMAS POR VIOLENCIA DE GENERO",IF(N110=CURSOS!$D$24,"IGUALDAD DE GENERO EN LA SALUD",IF(N110=CURSOS!$D$25,"BRIGADA DE EMERGENCIA",IF(N110=CURSOS!$D$26,"MANEJO DEL DOLOR Y CUIDADOS PALIATIVOS",IF(N110=CURSOS!$D$27,"TOMA MUESTRAS Y LABORATORIO POCT",IF(N110=CURSOS!$D$28,"IMPLANTE SUBDERMICO Y DISPOSITIVO INTRAUTERINO",IF(N110=CURSOS!$D$29,"SALUD MENTAL",IF(N110=CURSOS!$D$30,"PRIMEROS AUXILIOS PSICOLOGICOS",IF(N110=CURSOS!$D$31,"ATENCION A VICTIMAS POR CONFLICTO ARMADO",IF(N110=CURSOS!$D$32,"MANIPULACION DE ALIMENTOS Y BPM"))))))))))))))))))))))))))))))</f>
        <v>ACOMPAÑAMIENTO Y MANEJO DEL DUELO</v>
      </c>
      <c r="U110" s="29" t="str">
        <f t="shared" si="18"/>
        <v>Hugo Alirio Burgos Posso</v>
      </c>
      <c r="V110" s="29" t="str">
        <f t="shared" si="19"/>
        <v>Hugo Alirio Burgos Posso</v>
      </c>
      <c r="W110" s="29" t="str">
        <f t="shared" si="20"/>
        <v>Hugo Alirio Burgos Posso-1085266801-Duelo</v>
      </c>
    </row>
    <row r="111" spans="1:24" s="46" customFormat="1" x14ac:dyDescent="0.2">
      <c r="A111" s="31">
        <v>110</v>
      </c>
      <c r="B111" s="31">
        <v>1085264067</v>
      </c>
      <c r="C111" s="31" t="s">
        <v>409</v>
      </c>
      <c r="D111" s="31" t="s">
        <v>410</v>
      </c>
      <c r="E111" s="31" t="s">
        <v>411</v>
      </c>
      <c r="F111" s="31" t="s">
        <v>412</v>
      </c>
      <c r="G111" s="18">
        <v>22</v>
      </c>
      <c r="H111" s="18" t="s">
        <v>93</v>
      </c>
      <c r="I111" s="22">
        <v>45434</v>
      </c>
      <c r="J111" s="57">
        <v>28000</v>
      </c>
      <c r="K111" s="18" t="s">
        <v>124</v>
      </c>
      <c r="L111" s="18" t="s">
        <v>84</v>
      </c>
      <c r="M111" s="18" t="s">
        <v>75</v>
      </c>
      <c r="N111" s="19" t="s">
        <v>23</v>
      </c>
      <c r="O111" s="45">
        <v>32188</v>
      </c>
      <c r="P111" s="31" t="s">
        <v>100</v>
      </c>
      <c r="Q111" s="31" t="s">
        <v>106</v>
      </c>
      <c r="R111" s="31">
        <v>3175695489</v>
      </c>
      <c r="S111" s="31" t="s">
        <v>413</v>
      </c>
      <c r="T111" s="29" t="str">
        <f>IF(N111=CURSOS!$D$3,"DIPLOMADO EN ATENCION PRE-HOSPITALARIA",IF(N111=CURSOS!$D$4,"ACOMPAÑAMIENTO Y MANEJO DEL DUELO",IF(N111=CURSOS!$D$5,"ATENCION A VICTIMAS DE ATAQUE CON AGENTES QUIMICOS ",IF(N111=CURSOS!$D$6,"PRIMEROS AUXILIOS ",IF(N111=CURSOS!$D$7,"DIPLOMADO DE UNIDAD DE CUIDADOS INTENSIVOS (UCI)",IF(N111=CURSOS!$D$8,"MODELO DE ATENCION PARA EVENTOS EMERGENTES EN SALUD MENTAL (CODIGO VERDE)",IF(N111=CURSOS!$D$9,"HUMANIZACION EN SALUD, BUENAS PRACTICAS EN PACIENTE ",IF(N111=CURSOS!$D$10,"CLINICA DE HERIDAS ",IF(N111=CURSOS!$D$11,"TOMA DE CITOLOGIA A CERVICO VAGINAL ",IF(N111=CURSOS!$D$12,"SOPORTE CARDIOVASCULAR AVANZADO ",IF(N111=CURSOS!$D$13,"CAMILLERO ",IF(N111=CURSOS!$D$14,"TOMA MUESTRAS Y LABORATORIO ",IF(N111=CURSOS!$D$15,"SOPORTE VITAL BASICO (BLS)",IF(N111=CURSOS!$D$16,"ATENCION A VICTIMAS DE VIOLENCIA SEXUAL ",IF(N111=CURSOS!$D$17,"PROGRAMADO AMPLIADO DE INMUNIZACION (PAI - COVID 19)",IF(N111=CURSOS!$D$18,"ATENCION INTEGRAL EN ENFERMEDADES PREVALENTES EN PRIMERA INFANCIA (AIEPI)",IF(N111=CURSOS!$D$19,"ADMINISTRACION DE MEDICAMENTOS, IYECTOLOGIA  Y CANALIZACION ",IF(N111=CURSOS!$D$20,"OPERADOR DE VEHICULOS DE EMERGENCIA (OVE)",IF(N111=CURSOS!$D$21,"INSTITUCIONES AMIGAS DE LA MUJER Y LA INFANCIA (IAMI)",IF(N111=CURSOS!$D$22,"CUIDADO DEL DONANTE DE ORGANOS",IF(N111=CURSOS!$D$23,"ATENCION A VICTIMAS POR VIOLENCIA DE GENERO",IF(N111=CURSOS!$D$24,"IGUALDAD DE GENERO EN LA SALUD",IF(N111=CURSOS!$D$25,"BRIGADA DE EMERGENCIA",IF(N111=CURSOS!$D$26,"MANEJO DEL DOLOR Y CUIDADOS PALIATIVOS",IF(N111=CURSOS!$D$27,"TOMA MUESTRAS Y LABORATORIO POCT",IF(N111=CURSOS!$D$28,"IMPLANTE SUBDERMICO Y DISPOSITIVO INTRAUTERINO",IF(N111=CURSOS!$D$29,"SALUD MENTAL",IF(N111=CURSOS!$D$30,"PRIMEROS AUXILIOS PSICOLOGICOS",IF(N111=CURSOS!$D$31,"ATENCION A VICTIMAS POR CONFLICTO ARMADO",IF(N111=CURSOS!$D$32,"MANIPULACION DE ALIMENTOS Y BPM"))))))))))))))))))))))))))))))</f>
        <v>ACOMPAÑAMIENTO Y MANEJO DEL DUELO</v>
      </c>
      <c r="U111" s="29" t="str">
        <f t="shared" si="18"/>
        <v>Zeneyda Viviana Romo Limas</v>
      </c>
      <c r="V111" s="29" t="str">
        <f t="shared" si="19"/>
        <v>Zeneyda Viviana Romo Limas</v>
      </c>
      <c r="W111" s="29" t="str">
        <f t="shared" si="20"/>
        <v>Zeneyda Viviana Romo Limas-1085264067-DUELO</v>
      </c>
    </row>
    <row r="112" spans="1:24" s="46" customFormat="1" x14ac:dyDescent="0.2">
      <c r="A112" s="31">
        <v>111</v>
      </c>
      <c r="B112" s="31">
        <v>1085264067</v>
      </c>
      <c r="C112" s="31" t="s">
        <v>409</v>
      </c>
      <c r="D112" s="31" t="s">
        <v>410</v>
      </c>
      <c r="E112" s="31" t="s">
        <v>411</v>
      </c>
      <c r="F112" s="31" t="s">
        <v>412</v>
      </c>
      <c r="G112" s="18">
        <v>22</v>
      </c>
      <c r="H112" s="18" t="s">
        <v>93</v>
      </c>
      <c r="I112" s="22">
        <v>45434</v>
      </c>
      <c r="J112" s="57">
        <v>28000</v>
      </c>
      <c r="K112" s="18" t="s">
        <v>124</v>
      </c>
      <c r="L112" s="18" t="s">
        <v>84</v>
      </c>
      <c r="M112" s="18" t="s">
        <v>75</v>
      </c>
      <c r="N112" s="19" t="s">
        <v>19</v>
      </c>
      <c r="O112" s="45">
        <v>32188</v>
      </c>
      <c r="P112" s="31" t="s">
        <v>100</v>
      </c>
      <c r="Q112" s="31" t="s">
        <v>106</v>
      </c>
      <c r="R112" s="31">
        <v>3175695489</v>
      </c>
      <c r="S112" s="31" t="s">
        <v>413</v>
      </c>
      <c r="T112" s="29" t="str">
        <f>IF(N112=CURSOS!$D$3,"DIPLOMADO EN ATENCION PRE-HOSPITALARIA",IF(N112=CURSOS!$D$4,"ACOMPAÑAMIENTO Y MANEJO DEL DUELO",IF(N112=CURSOS!$D$5,"ATENCION A VICTIMAS DE ATAQUE CON AGENTES QUIMICOS ",IF(N112=CURSOS!$D$6,"PRIMEROS AUXILIOS ",IF(N112=CURSOS!$D$7,"DIPLOMADO DE UNIDAD DE CUIDADOS INTENSIVOS (UCI)",IF(N112=CURSOS!$D$8,"MODELO DE ATENCION PARA EVENTOS EMERGENTES EN SALUD MENTAL (CODIGO VERDE)",IF(N112=CURSOS!$D$9,"HUMANIZACION EN SALUD, BUENAS PRACTICAS EN PACIENTE ",IF(N112=CURSOS!$D$10,"CLINICA DE HERIDAS ",IF(N112=CURSOS!$D$11,"TOMA DE CITOLOGIA A CERVICO VAGINAL ",IF(N112=CURSOS!$D$12,"SOPORTE CARDIOVASCULAR AVANZADO ",IF(N112=CURSOS!$D$13,"CAMILLERO ",IF(N112=CURSOS!$D$14,"TOMA MUESTRAS Y LABORATORIO ",IF(N112=CURSOS!$D$15,"SOPORTE VITAL BASICO (BLS)",IF(N112=CURSOS!$D$16,"ATENCION A VICTIMAS DE VIOLENCIA SEXUAL ",IF(N112=CURSOS!$D$17,"PROGRAMADO AMPLIADO DE INMUNIZACION (PAI - COVID 19)",IF(N112=CURSOS!$D$18,"ATENCION INTEGRAL EN ENFERMEDADES PREVALENTES EN PRIMERA INFANCIA (AIEPI)",IF(N112=CURSOS!$D$19,"ADMINISTRACION DE MEDICAMENTOS, IYECTOLOGIA  Y CANALIZACION ",IF(N112=CURSOS!$D$20,"OPERADOR DE VEHICULOS DE EMERGENCIA (OVE)",IF(N112=CURSOS!$D$21,"INSTITUCIONES AMIGAS DE LA MUJER Y LA INFANCIA (IAMI)",IF(N112=CURSOS!$D$22,"CUIDADO DEL DONANTE DE ORGANOS",IF(N112=CURSOS!$D$23,"ATENCION A VICTIMAS POR VIOLENCIA DE GENERO",IF(N112=CURSOS!$D$24,"IGUALDAD DE GENERO EN LA SALUD",IF(N112=CURSOS!$D$25,"BRIGADA DE EMERGENCIA",IF(N112=CURSOS!$D$26,"MANEJO DEL DOLOR Y CUIDADOS PALIATIVOS",IF(N112=CURSOS!$D$27,"TOMA MUESTRAS Y LABORATORIO POCT",IF(N112=CURSOS!$D$28,"IMPLANTE SUBDERMICO Y DISPOSITIVO INTRAUTERINO",IF(N112=CURSOS!$D$29,"SALUD MENTAL",IF(N112=CURSOS!$D$30,"PRIMEROS AUXILIOS PSICOLOGICOS",IF(N112=CURSOS!$D$31,"ATENCION A VICTIMAS POR CONFLICTO ARMADO",IF(N112=CURSOS!$D$32,"MANIPULACION DE ALIMENTOS Y BPM"))))))))))))))))))))))))))))))</f>
        <v>SOPORTE VITAL BASICO (BLS)</v>
      </c>
      <c r="U112" s="29" t="str">
        <f t="shared" si="18"/>
        <v>Zeneyda Viviana Romo Limas</v>
      </c>
      <c r="V112" s="29" t="str">
        <f t="shared" si="19"/>
        <v>Zeneyda Viviana Romo Limas</v>
      </c>
      <c r="W112" s="29" t="str">
        <f t="shared" si="20"/>
        <v>Zeneyda Viviana Romo Limas-1085264067-BLS</v>
      </c>
    </row>
    <row r="113" spans="1:23" s="46" customFormat="1" x14ac:dyDescent="0.2">
      <c r="A113" s="31">
        <v>112</v>
      </c>
      <c r="B113" s="31">
        <v>1086549721</v>
      </c>
      <c r="C113" s="31" t="s">
        <v>395</v>
      </c>
      <c r="D113" s="31" t="s">
        <v>414</v>
      </c>
      <c r="E113" s="31" t="s">
        <v>415</v>
      </c>
      <c r="F113" s="31" t="s">
        <v>123</v>
      </c>
      <c r="G113" s="18">
        <v>22</v>
      </c>
      <c r="H113" s="18" t="s">
        <v>93</v>
      </c>
      <c r="I113" s="22">
        <v>45433</v>
      </c>
      <c r="J113" s="57">
        <v>50000</v>
      </c>
      <c r="K113" s="18" t="s">
        <v>77</v>
      </c>
      <c r="L113" s="18" t="s">
        <v>84</v>
      </c>
      <c r="M113" s="18" t="s">
        <v>75</v>
      </c>
      <c r="N113" s="19" t="s">
        <v>27</v>
      </c>
      <c r="O113" s="45">
        <v>33861</v>
      </c>
      <c r="P113" s="31" t="s">
        <v>79</v>
      </c>
      <c r="Q113" s="31" t="s">
        <v>157</v>
      </c>
      <c r="R113" s="31">
        <v>3147508471</v>
      </c>
      <c r="S113" s="31" t="s">
        <v>416</v>
      </c>
      <c r="T113" s="29" t="str">
        <f>IF(N113=CURSOS!$D$3,"DIPLOMADO EN ATENCION PRE-HOSPITALARIA",IF(N113=CURSOS!$D$4,"ACOMPAÑAMIENTO Y MANEJO DEL DUELO",IF(N113=CURSOS!$D$5,"ATENCION A VICTIMAS DE ATAQUE CON AGENTES QUIMICOS ",IF(N113=CURSOS!$D$6,"PRIMEROS AUXILIOS ",IF(N113=CURSOS!$D$7,"DIPLOMADO DE UNIDAD DE CUIDADOS INTENSIVOS (UCI)",IF(N113=CURSOS!$D$8,"MODELO DE ATENCION PARA EVENTOS EMERGENTES EN SALUD MENTAL (CODIGO VERDE)",IF(N113=CURSOS!$D$9,"HUMANIZACION EN SALUD, BUENAS PRACTICAS EN PACIENTE ",IF(N113=CURSOS!$D$10,"CLINICA DE HERIDAS ",IF(N113=CURSOS!$D$11,"TOMA DE CITOLOGIA A CERVICO VAGINAL ",IF(N113=CURSOS!$D$12,"SOPORTE CARDIOVASCULAR AVANZADO ",IF(N113=CURSOS!$D$13,"CAMILLERO ",IF(N113=CURSOS!$D$14,"TOMA MUESTRAS Y LABORATORIO ",IF(N113=CURSOS!$D$15,"SOPORTE VITAL BASICO (BLS)",IF(N113=CURSOS!$D$16,"ATENCION A VICTIMAS DE VIOLENCIA SEXUAL ",IF(N113=CURSOS!$D$17,"PROGRAMADO AMPLIADO DE INMUNIZACION (PAI - COVID 19)",IF(N113=CURSOS!$D$18,"ATENCION INTEGRAL EN ENFERMEDADES PREVALENTES EN PRIMERA INFANCIA (AIEPI)",IF(N113=CURSOS!$D$19,"ADMINISTRACION DE MEDICAMENTOS, IYECTOLOGIA  Y CANALIZACION ",IF(N113=CURSOS!$D$20,"OPERADOR DE VEHICULOS DE EMERGENCIA (OVE)",IF(N113=CURSOS!$D$21,"INSTITUCIONES AMIGAS DE LA MUJER Y LA INFANCIA (IAMI)",IF(N113=CURSOS!$D$22,"CUIDADO DEL DONANTE DE ORGANOS",IF(N113=CURSOS!$D$23,"ATENCION A VICTIMAS POR VIOLENCIA DE GENERO",IF(N113=CURSOS!$D$24,"IGUALDAD DE GENERO EN LA SALUD",IF(N113=CURSOS!$D$25,"BRIGADA DE EMERGENCIA",IF(N113=CURSOS!$D$26,"MANEJO DEL DOLOR Y CUIDADOS PALIATIVOS",IF(N113=CURSOS!$D$27,"TOMA MUESTRAS Y LABORATORIO POCT",IF(N113=CURSOS!$D$28,"IMPLANTE SUBDERMICO Y DISPOSITIVO INTRAUTERINO",IF(N113=CURSOS!$D$29,"SALUD MENTAL",IF(N113=CURSOS!$D$30,"PRIMEROS AUXILIOS PSICOLOGICOS",IF(N113=CURSOS!$D$31,"ATENCION A VICTIMAS POR CONFLICTO ARMADO",IF(N113=CURSOS!$D$32,"MANIPULACION DE ALIMENTOS Y BPM"))))))))))))))))))))))))))))))</f>
        <v xml:space="preserve">PRIMEROS AUXILIOS </v>
      </c>
      <c r="U113" s="29" t="str">
        <f t="shared" si="18"/>
        <v>Edinson Javier Bravo Castillo</v>
      </c>
      <c r="V113" s="29" t="str">
        <f t="shared" si="19"/>
        <v>Edinson Javier Bravo Castillo</v>
      </c>
      <c r="W113" s="29" t="str">
        <f t="shared" si="20"/>
        <v>Edinson Javier Bravo Castillo-1086549721-PRIMEROS AUXILIOS</v>
      </c>
    </row>
    <row r="114" spans="1:23" s="46" customFormat="1" x14ac:dyDescent="0.2">
      <c r="A114" s="31">
        <v>113</v>
      </c>
      <c r="B114" s="112">
        <v>87301581</v>
      </c>
      <c r="C114" s="112" t="s">
        <v>192</v>
      </c>
      <c r="D114" s="112" t="s">
        <v>418</v>
      </c>
      <c r="E114" s="112" t="s">
        <v>419</v>
      </c>
      <c r="F114" s="112" t="s">
        <v>420</v>
      </c>
      <c r="G114" s="18">
        <v>22</v>
      </c>
      <c r="H114" s="18" t="s">
        <v>93</v>
      </c>
      <c r="I114" s="22">
        <v>45433</v>
      </c>
      <c r="J114" s="57">
        <v>50000</v>
      </c>
      <c r="K114" s="18" t="s">
        <v>77</v>
      </c>
      <c r="L114" s="18" t="s">
        <v>84</v>
      </c>
      <c r="M114" s="113" t="s">
        <v>75</v>
      </c>
      <c r="N114" s="114" t="s">
        <v>27</v>
      </c>
      <c r="O114" s="87">
        <v>29840</v>
      </c>
      <c r="P114" s="112" t="s">
        <v>79</v>
      </c>
      <c r="Q114" s="31" t="s">
        <v>157</v>
      </c>
      <c r="R114" s="112">
        <v>3508993036</v>
      </c>
      <c r="S114" s="115" t="s">
        <v>417</v>
      </c>
      <c r="T114" s="29" t="str">
        <f>IF(N114=CURSOS!$D$3,"DIPLOMADO EN ATENCION PRE-HOSPITALARIA",IF(N114=CURSOS!$D$4,"ACOMPAÑAMIENTO Y MANEJO DEL DUELO",IF(N114=CURSOS!$D$5,"ATENCION A VICTIMAS DE ATAQUE CON AGENTES QUIMICOS ",IF(N114=CURSOS!$D$6,"PRIMEROS AUXILIOS ",IF(N114=CURSOS!$D$7,"DIPLOMADO DE UNIDAD DE CUIDADOS INTENSIVOS (UCI)",IF(N114=CURSOS!$D$8,"MODELO DE ATENCION PARA EVENTOS EMERGENTES EN SALUD MENTAL (CODIGO VERDE)",IF(N114=CURSOS!$D$9,"HUMANIZACION EN SALUD, BUENAS PRACTICAS EN PACIENTE ",IF(N114=CURSOS!$D$10,"CLINICA DE HERIDAS ",IF(N114=CURSOS!$D$11,"TOMA DE CITOLOGIA A CERVICO VAGINAL ",IF(N114=CURSOS!$D$12,"SOPORTE CARDIOVASCULAR AVANZADO ",IF(N114=CURSOS!$D$13,"CAMILLERO ",IF(N114=CURSOS!$D$14,"TOMA MUESTRAS Y LABORATORIO ",IF(N114=CURSOS!$D$15,"SOPORTE VITAL BASICO (BLS)",IF(N114=CURSOS!$D$16,"ATENCION A VICTIMAS DE VIOLENCIA SEXUAL ",IF(N114=CURSOS!$D$17,"PROGRAMADO AMPLIADO DE INMUNIZACION (PAI - COVID 19)",IF(N114=CURSOS!$D$18,"ATENCION INTEGRAL EN ENFERMEDADES PREVALENTES EN PRIMERA INFANCIA (AIEPI)",IF(N114=CURSOS!$D$19,"ADMINISTRACION DE MEDICAMENTOS, IYECTOLOGIA  Y CANALIZACION ",IF(N114=CURSOS!$D$20,"OPERADOR DE VEHICULOS DE EMERGENCIA (OVE)",IF(N114=CURSOS!$D$21,"INSTITUCIONES AMIGAS DE LA MUJER Y LA INFANCIA (IAMI)",IF(N114=CURSOS!$D$22,"CUIDADO DEL DONANTE DE ORGANOS",IF(N114=CURSOS!$D$23,"ATENCION A VICTIMAS POR VIOLENCIA DE GENERO",IF(N114=CURSOS!$D$24,"IGUALDAD DE GENERO EN LA SALUD",IF(N114=CURSOS!$D$25,"BRIGADA DE EMERGENCIA",IF(N114=CURSOS!$D$26,"MANEJO DEL DOLOR Y CUIDADOS PALIATIVOS",IF(N114=CURSOS!$D$27,"TOMA MUESTRAS Y LABORATORIO POCT",IF(N114=CURSOS!$D$28,"IMPLANTE SUBDERMICO Y DISPOSITIVO INTRAUTERINO",IF(N114=CURSOS!$D$29,"SALUD MENTAL",IF(N114=CURSOS!$D$30,"PRIMEROS AUXILIOS PSICOLOGICOS",IF(N114=CURSOS!$D$31,"ATENCION A VICTIMAS POR CONFLICTO ARMADO",IF(N114=CURSOS!$D$32,"MANIPULACION DE ALIMENTOS Y BPM"))))))))))))))))))))))))))))))</f>
        <v xml:space="preserve">PRIMEROS AUXILIOS </v>
      </c>
      <c r="U114" s="29" t="str">
        <f t="shared" si="18"/>
        <v>Segundo Jesús López Caiza</v>
      </c>
      <c r="V114" s="29" t="str">
        <f t="shared" si="19"/>
        <v>Segundo Jesús López Caiza</v>
      </c>
      <c r="W114" s="29" t="str">
        <f t="shared" si="20"/>
        <v>Segundo Jesús López Caiza-87301581-PRIMEROS AUXILIOS</v>
      </c>
    </row>
    <row r="115" spans="1:23" s="46" customFormat="1" x14ac:dyDescent="0.2">
      <c r="A115" s="61">
        <v>114</v>
      </c>
      <c r="B115" s="140">
        <v>1087420541</v>
      </c>
      <c r="C115" s="140" t="s">
        <v>422</v>
      </c>
      <c r="D115" s="140" t="s">
        <v>279</v>
      </c>
      <c r="E115" s="140" t="s">
        <v>423</v>
      </c>
      <c r="F115" s="140" t="s">
        <v>424</v>
      </c>
      <c r="G115" s="62">
        <v>17</v>
      </c>
      <c r="H115" s="62" t="s">
        <v>93</v>
      </c>
      <c r="I115" s="63"/>
      <c r="J115" s="64">
        <v>110000</v>
      </c>
      <c r="K115" s="62"/>
      <c r="L115" s="62" t="s">
        <v>84</v>
      </c>
      <c r="M115" s="141" t="s">
        <v>75</v>
      </c>
      <c r="N115" s="114" t="s">
        <v>39</v>
      </c>
      <c r="O115" s="87">
        <v>34302</v>
      </c>
      <c r="P115" s="112" t="s">
        <v>100</v>
      </c>
      <c r="Q115" s="31" t="s">
        <v>318</v>
      </c>
      <c r="R115" s="112">
        <v>3163326464</v>
      </c>
      <c r="S115" s="112" t="s">
        <v>421</v>
      </c>
      <c r="T115" s="29" t="str">
        <f>IF(N115=CURSOS!$D$3,"DIPLOMADO EN ATENCION PRE-HOSPITALARIA",IF(N115=CURSOS!$D$4,"ACOMPAÑAMIENTO Y MANEJO DEL DUELO",IF(N115=CURSOS!$D$5,"ATENCION A VICTIMAS DE ATAQUE CON AGENTES QUIMICOS ",IF(N115=CURSOS!$D$6,"PRIMEROS AUXILIOS ",IF(N115=CURSOS!$D$7,"DIPLOMADO DE UNIDAD DE CUIDADOS INTENSIVOS (UCI)",IF(N115=CURSOS!$D$8,"MODELO DE ATENCION PARA EVENTOS EMERGENTES EN SALUD MENTAL (CODIGO VERDE)",IF(N115=CURSOS!$D$9,"HUMANIZACION EN SALUD, BUENAS PRACTICAS EN PACIENTE ",IF(N115=CURSOS!$D$10,"CLINICA DE HERIDAS ",IF(N115=CURSOS!$D$11,"TOMA DE CITOLOGIA A CERVICO VAGINAL ",IF(N115=CURSOS!$D$12,"SOPORTE CARDIOVASCULAR AVANZADO ",IF(N115=CURSOS!$D$13,"CAMILLERO ",IF(N115=CURSOS!$D$14,"TOMA MUESTRAS Y LABORATORIO ",IF(N115=CURSOS!$D$15,"SOPORTE VITAL BASICO (BLS)",IF(N115=CURSOS!$D$16,"ATENCION A VICTIMAS DE VIOLENCIA SEXUAL ",IF(N115=CURSOS!$D$17,"PROGRAMADO AMPLIADO DE INMUNIZACION (PAI - COVID 19)",IF(N115=CURSOS!$D$18,"ATENCION INTEGRAL EN ENFERMEDADES PREVALENTES EN PRIMERA INFANCIA (AIEPI)",IF(N115=CURSOS!$D$19,"ADMINISTRACION DE MEDICAMENTOS, IYECTOLOGIA  Y CANALIZACION ",IF(N115=CURSOS!$D$20,"OPERADOR DE VEHICULOS DE EMERGENCIA (OVE)",IF(N115=CURSOS!$D$21,"INSTITUCIONES AMIGAS DE LA MUJER Y LA INFANCIA (IAMI)",IF(N115=CURSOS!$D$22,"CUIDADO DEL DONANTE DE ORGANOS",IF(N115=CURSOS!$D$23,"ATENCION A VICTIMAS POR VIOLENCIA DE GENERO",IF(N115=CURSOS!$D$24,"IGUALDAD DE GENERO EN LA SALUD",IF(N115=CURSOS!$D$25,"BRIGADA DE EMERGENCIA",IF(N115=CURSOS!$D$26,"MANEJO DEL DOLOR Y CUIDADOS PALIATIVOS",IF(N115=CURSOS!$D$27,"TOMA MUESTRAS Y LABORATORIO POCT",IF(N115=CURSOS!$D$28,"IMPLANTE SUBDERMICO Y DISPOSITIVO INTRAUTERINO",IF(N115=CURSOS!$D$29,"SALUD MENTAL",IF(N115=CURSOS!$D$30,"PRIMEROS AUXILIOS PSICOLOGICOS",IF(N115=CURSOS!$D$31,"ATENCION A VICTIMAS POR CONFLICTO ARMADO",IF(N115=CURSOS!$D$32,"MANIPULACION DE ALIMENTOS Y BPM"))))))))))))))))))))))))))))))</f>
        <v xml:space="preserve">SOPORTE CARDIOVASCULAR AVANZADO </v>
      </c>
      <c r="U115" s="29" t="str">
        <f t="shared" si="18"/>
        <v>Geraldine Esthefania Hache Criollo</v>
      </c>
      <c r="V115" s="29" t="str">
        <f t="shared" si="19"/>
        <v>Geraldine Esthefania Hache Criollo</v>
      </c>
      <c r="W115" s="29" t="str">
        <f t="shared" si="20"/>
        <v>Geraldine Esthefania Hache Criollo-1087420541-ACLS</v>
      </c>
    </row>
    <row r="116" spans="1:23" s="46" customFormat="1" x14ac:dyDescent="0.2">
      <c r="A116" s="61">
        <v>115</v>
      </c>
      <c r="B116" s="140">
        <v>1087420541</v>
      </c>
      <c r="C116" s="140" t="s">
        <v>422</v>
      </c>
      <c r="D116" s="140" t="s">
        <v>279</v>
      </c>
      <c r="E116" s="140" t="s">
        <v>423</v>
      </c>
      <c r="F116" s="140" t="s">
        <v>424</v>
      </c>
      <c r="G116" s="62">
        <v>17</v>
      </c>
      <c r="H116" s="62" t="s">
        <v>93</v>
      </c>
      <c r="I116" s="63"/>
      <c r="J116" s="64">
        <v>80000</v>
      </c>
      <c r="K116" s="62"/>
      <c r="L116" s="62" t="s">
        <v>84</v>
      </c>
      <c r="M116" s="141" t="s">
        <v>75</v>
      </c>
      <c r="N116" s="114" t="s">
        <v>51</v>
      </c>
      <c r="O116" s="87">
        <v>34302</v>
      </c>
      <c r="P116" s="112" t="s">
        <v>100</v>
      </c>
      <c r="Q116" s="31" t="s">
        <v>318</v>
      </c>
      <c r="R116" s="112">
        <v>3163326464</v>
      </c>
      <c r="S116" s="112" t="s">
        <v>421</v>
      </c>
      <c r="T116" s="29" t="str">
        <f>IF(N116=CURSOS!$D$3,"DIPLOMADO EN ATENCION PRE-HOSPITALARIA",IF(N116=CURSOS!$D$4,"ACOMPAÑAMIENTO Y MANEJO DEL DUELO",IF(N116=CURSOS!$D$5,"ATENCION A VICTIMAS DE ATAQUE CON AGENTES QUIMICOS ",IF(N116=CURSOS!$D$6,"PRIMEROS AUXILIOS ",IF(N116=CURSOS!$D$7,"DIPLOMADO DE UNIDAD DE CUIDADOS INTENSIVOS (UCI)",IF(N116=CURSOS!$D$8,"MODELO DE ATENCION PARA EVENTOS EMERGENTES EN SALUD MENTAL (CODIGO VERDE)",IF(N116=CURSOS!$D$9,"HUMANIZACION EN SALUD, BUENAS PRACTICAS EN PACIENTE ",IF(N116=CURSOS!$D$10,"CLINICA DE HERIDAS ",IF(N116=CURSOS!$D$11,"TOMA DE CITOLOGIA A CERVICO VAGINAL ",IF(N116=CURSOS!$D$12,"SOPORTE CARDIOVASCULAR AVANZADO ",IF(N116=CURSOS!$D$13,"CAMILLERO ",IF(N116=CURSOS!$D$14,"TOMA MUESTRAS Y LABORATORIO ",IF(N116=CURSOS!$D$15,"SOPORTE VITAL BASICO (BLS)",IF(N116=CURSOS!$D$16,"ATENCION A VICTIMAS DE VIOLENCIA SEXUAL ",IF(N116=CURSOS!$D$17,"PROGRAMADO AMPLIADO DE INMUNIZACION (PAI - COVID 19)",IF(N116=CURSOS!$D$18,"ATENCION INTEGRAL EN ENFERMEDADES PREVALENTES EN PRIMERA INFANCIA (AIEPI)",IF(N116=CURSOS!$D$19,"ADMINISTRACION DE MEDICAMENTOS, IYECTOLOGIA  Y CANALIZACION ",IF(N116=CURSOS!$D$20,"OPERADOR DE VEHICULOS DE EMERGENCIA (OVE)",IF(N116=CURSOS!$D$21,"INSTITUCIONES AMIGAS DE LA MUJER Y LA INFANCIA (IAMI)",IF(N116=CURSOS!$D$22,"CUIDADO DEL DONANTE DE ORGANOS",IF(N116=CURSOS!$D$23,"ATENCION A VICTIMAS POR VIOLENCIA DE GENERO",IF(N116=CURSOS!$D$24,"IGUALDAD DE GENERO EN LA SALUD",IF(N116=CURSOS!$D$25,"BRIGADA DE EMERGENCIA",IF(N116=CURSOS!$D$26,"MANEJO DEL DOLOR Y CUIDADOS PALIATIVOS",IF(N116=CURSOS!$D$27,"TOMA MUESTRAS Y LABORATORIO POCT",IF(N116=CURSOS!$D$28,"IMPLANTE SUBDERMICO Y DISPOSITIVO INTRAUTERINO",IF(N116=CURSOS!$D$29,"SALUD MENTAL",IF(N116=CURSOS!$D$30,"PRIMEROS AUXILIOS PSICOLOGICOS",IF(N116=CURSOS!$D$31,"ATENCION A VICTIMAS POR CONFLICTO ARMADO",IF(N116=CURSOS!$D$32,"MANIPULACION DE ALIMENTOS Y BPM"))))))))))))))))))))))))))))))</f>
        <v xml:space="preserve">ADMINISTRACION DE MEDICAMENTOS, IYECTOLOGIA  Y CANALIZACION </v>
      </c>
      <c r="U116" s="29" t="str">
        <f t="shared" si="18"/>
        <v>Geraldine Esthefania Hache Criollo</v>
      </c>
      <c r="V116" s="29" t="str">
        <f t="shared" si="19"/>
        <v>Geraldine Esthefania Hache Criollo</v>
      </c>
      <c r="W116" s="29" t="str">
        <f t="shared" si="20"/>
        <v>Geraldine Esthefania Hache Criollo-1087420541-ADMON DE MEDICAMENTOS</v>
      </c>
    </row>
    <row r="117" spans="1:23" s="46" customFormat="1" x14ac:dyDescent="0.2">
      <c r="A117" s="61">
        <v>116</v>
      </c>
      <c r="B117" s="140">
        <v>1085262853</v>
      </c>
      <c r="C117" s="140" t="s">
        <v>425</v>
      </c>
      <c r="D117" s="140" t="s">
        <v>206</v>
      </c>
      <c r="E117" s="140" t="s">
        <v>426</v>
      </c>
      <c r="F117" s="140" t="s">
        <v>296</v>
      </c>
      <c r="G117" s="62">
        <v>17</v>
      </c>
      <c r="H117" s="62" t="s">
        <v>93</v>
      </c>
      <c r="I117" s="63"/>
      <c r="J117" s="64">
        <v>110000</v>
      </c>
      <c r="K117" s="62"/>
      <c r="L117" s="62" t="s">
        <v>84</v>
      </c>
      <c r="M117" s="141" t="s">
        <v>75</v>
      </c>
      <c r="N117" s="114" t="s">
        <v>39</v>
      </c>
      <c r="O117" s="87">
        <v>32105</v>
      </c>
      <c r="P117" s="87" t="s">
        <v>100</v>
      </c>
      <c r="Q117" s="87" t="s">
        <v>318</v>
      </c>
      <c r="R117" s="112">
        <v>3014917575</v>
      </c>
      <c r="S117" s="87" t="s">
        <v>427</v>
      </c>
      <c r="T117" s="29" t="str">
        <f>IF(N117=CURSOS!$D$3,"DIPLOMADO EN ATENCION PRE-HOSPITALARIA",IF(N117=CURSOS!$D$4,"ACOMPAÑAMIENTO Y MANEJO DEL DUELO",IF(N117=CURSOS!$D$5,"ATENCION A VICTIMAS DE ATAQUE CON AGENTES QUIMICOS ",IF(N117=CURSOS!$D$6,"PRIMEROS AUXILIOS ",IF(N117=CURSOS!$D$7,"DIPLOMADO DE UNIDAD DE CUIDADOS INTENSIVOS (UCI)",IF(N117=CURSOS!$D$8,"MODELO DE ATENCION PARA EVENTOS EMERGENTES EN SALUD MENTAL (CODIGO VERDE)",IF(N117=CURSOS!$D$9,"HUMANIZACION EN SALUD, BUENAS PRACTICAS EN PACIENTE ",IF(N117=CURSOS!$D$10,"CLINICA DE HERIDAS ",IF(N117=CURSOS!$D$11,"TOMA DE CITOLOGIA A CERVICO VAGINAL ",IF(N117=CURSOS!$D$12,"SOPORTE CARDIOVASCULAR AVANZADO ",IF(N117=CURSOS!$D$13,"CAMILLERO ",IF(N117=CURSOS!$D$14,"TOMA MUESTRAS Y LABORATORIO ",IF(N117=CURSOS!$D$15,"SOPORTE VITAL BASICO (BLS)",IF(N117=CURSOS!$D$16,"ATENCION A VICTIMAS DE VIOLENCIA SEXUAL ",IF(N117=CURSOS!$D$17,"PROGRAMADO AMPLIADO DE INMUNIZACION (PAI - COVID 19)",IF(N117=CURSOS!$D$18,"ATENCION INTEGRAL EN ENFERMEDADES PREVALENTES EN PRIMERA INFANCIA (AIEPI)",IF(N117=CURSOS!$D$19,"ADMINISTRACION DE MEDICAMENTOS, IYECTOLOGIA  Y CANALIZACION ",IF(N117=CURSOS!$D$20,"OPERADOR DE VEHICULOS DE EMERGENCIA (OVE)",IF(N117=CURSOS!$D$21,"INSTITUCIONES AMIGAS DE LA MUJER Y LA INFANCIA (IAMI)",IF(N117=CURSOS!$D$22,"CUIDADO DEL DONANTE DE ORGANOS",IF(N117=CURSOS!$D$23,"ATENCION A VICTIMAS POR VIOLENCIA DE GENERO",IF(N117=CURSOS!$D$24,"IGUALDAD DE GENERO EN LA SALUD",IF(N117=CURSOS!$D$25,"BRIGADA DE EMERGENCIA",IF(N117=CURSOS!$D$26,"MANEJO DEL DOLOR Y CUIDADOS PALIATIVOS",IF(N117=CURSOS!$D$27,"TOMA MUESTRAS Y LABORATORIO POCT",IF(N117=CURSOS!$D$28,"IMPLANTE SUBDERMICO Y DISPOSITIVO INTRAUTERINO",IF(N117=CURSOS!$D$29,"SALUD MENTAL",IF(N117=CURSOS!$D$30,"PRIMEROS AUXILIOS PSICOLOGICOS",IF(N117=CURSOS!$D$31,"ATENCION A VICTIMAS POR CONFLICTO ARMADO",IF(N117=CURSOS!$D$32,"MANIPULACION DE ALIMENTOS Y BPM"))))))))))))))))))))))))))))))</f>
        <v xml:space="preserve">SOPORTE CARDIOVASCULAR AVANZADO </v>
      </c>
      <c r="U117" s="29" t="str">
        <f t="shared" si="18"/>
        <v>Nemily Andrea Toro Narváez</v>
      </c>
      <c r="V117" s="29" t="str">
        <f t="shared" si="19"/>
        <v>Nemily Andrea Toro Narváez</v>
      </c>
      <c r="W117" s="29" t="str">
        <f t="shared" si="20"/>
        <v>Nemily Andrea Toro Narváez-1085262853-ACLS</v>
      </c>
    </row>
    <row r="118" spans="1:23" s="46" customFormat="1" x14ac:dyDescent="0.2">
      <c r="A118" s="61">
        <v>117</v>
      </c>
      <c r="B118" s="140">
        <v>1085262853</v>
      </c>
      <c r="C118" s="140" t="s">
        <v>425</v>
      </c>
      <c r="D118" s="140" t="s">
        <v>206</v>
      </c>
      <c r="E118" s="140" t="s">
        <v>426</v>
      </c>
      <c r="F118" s="140" t="s">
        <v>296</v>
      </c>
      <c r="G118" s="62">
        <v>17</v>
      </c>
      <c r="H118" s="62" t="s">
        <v>93</v>
      </c>
      <c r="I118" s="63"/>
      <c r="J118" s="64">
        <v>80000</v>
      </c>
      <c r="K118" s="62"/>
      <c r="L118" s="62" t="s">
        <v>84</v>
      </c>
      <c r="M118" s="141" t="s">
        <v>75</v>
      </c>
      <c r="N118" s="114" t="s">
        <v>51</v>
      </c>
      <c r="O118" s="87">
        <v>32105</v>
      </c>
      <c r="P118" s="87" t="s">
        <v>100</v>
      </c>
      <c r="Q118" s="87" t="s">
        <v>318</v>
      </c>
      <c r="R118" s="112">
        <v>3014917575</v>
      </c>
      <c r="S118" s="87" t="s">
        <v>427</v>
      </c>
      <c r="T118" s="29" t="str">
        <f>IF(N118=CURSOS!$D$3,"DIPLOMADO EN ATENCION PRE-HOSPITALARIA",IF(N118=CURSOS!$D$4,"ACOMPAÑAMIENTO Y MANEJO DEL DUELO",IF(N118=CURSOS!$D$5,"ATENCION A VICTIMAS DE ATAQUE CON AGENTES QUIMICOS ",IF(N118=CURSOS!$D$6,"PRIMEROS AUXILIOS ",IF(N118=CURSOS!$D$7,"DIPLOMADO DE UNIDAD DE CUIDADOS INTENSIVOS (UCI)",IF(N118=CURSOS!$D$8,"MODELO DE ATENCION PARA EVENTOS EMERGENTES EN SALUD MENTAL (CODIGO VERDE)",IF(N118=CURSOS!$D$9,"HUMANIZACION EN SALUD, BUENAS PRACTICAS EN PACIENTE ",IF(N118=CURSOS!$D$10,"CLINICA DE HERIDAS ",IF(N118=CURSOS!$D$11,"TOMA DE CITOLOGIA A CERVICO VAGINAL ",IF(N118=CURSOS!$D$12,"SOPORTE CARDIOVASCULAR AVANZADO ",IF(N118=CURSOS!$D$13,"CAMILLERO ",IF(N118=CURSOS!$D$14,"TOMA MUESTRAS Y LABORATORIO ",IF(N118=CURSOS!$D$15,"SOPORTE VITAL BASICO (BLS)",IF(N118=CURSOS!$D$16,"ATENCION A VICTIMAS DE VIOLENCIA SEXUAL ",IF(N118=CURSOS!$D$17,"PROGRAMADO AMPLIADO DE INMUNIZACION (PAI - COVID 19)",IF(N118=CURSOS!$D$18,"ATENCION INTEGRAL EN ENFERMEDADES PREVALENTES EN PRIMERA INFANCIA (AIEPI)",IF(N118=CURSOS!$D$19,"ADMINISTRACION DE MEDICAMENTOS, IYECTOLOGIA  Y CANALIZACION ",IF(N118=CURSOS!$D$20,"OPERADOR DE VEHICULOS DE EMERGENCIA (OVE)",IF(N118=CURSOS!$D$21,"INSTITUCIONES AMIGAS DE LA MUJER Y LA INFANCIA (IAMI)",IF(N118=CURSOS!$D$22,"CUIDADO DEL DONANTE DE ORGANOS",IF(N118=CURSOS!$D$23,"ATENCION A VICTIMAS POR VIOLENCIA DE GENERO",IF(N118=CURSOS!$D$24,"IGUALDAD DE GENERO EN LA SALUD",IF(N118=CURSOS!$D$25,"BRIGADA DE EMERGENCIA",IF(N118=CURSOS!$D$26,"MANEJO DEL DOLOR Y CUIDADOS PALIATIVOS",IF(N118=CURSOS!$D$27,"TOMA MUESTRAS Y LABORATORIO POCT",IF(N118=CURSOS!$D$28,"IMPLANTE SUBDERMICO Y DISPOSITIVO INTRAUTERINO",IF(N118=CURSOS!$D$29,"SALUD MENTAL",IF(N118=CURSOS!$D$30,"PRIMEROS AUXILIOS PSICOLOGICOS",IF(N118=CURSOS!$D$31,"ATENCION A VICTIMAS POR CONFLICTO ARMADO",IF(N118=CURSOS!$D$32,"MANIPULACION DE ALIMENTOS Y BPM"))))))))))))))))))))))))))))))</f>
        <v xml:space="preserve">ADMINISTRACION DE MEDICAMENTOS, IYECTOLOGIA  Y CANALIZACION </v>
      </c>
      <c r="U118" s="29" t="str">
        <f t="shared" si="18"/>
        <v>Nemily Andrea Toro Narváez</v>
      </c>
      <c r="V118" s="29" t="str">
        <f t="shared" si="19"/>
        <v>Nemily Andrea Toro Narváez</v>
      </c>
      <c r="W118" s="29" t="str">
        <f t="shared" si="20"/>
        <v>Nemily Andrea Toro Narváez-1085262853-ADMON DE MEDICAMENTOS</v>
      </c>
    </row>
    <row r="119" spans="1:23" s="46" customFormat="1" x14ac:dyDescent="0.2">
      <c r="A119" s="31">
        <v>118</v>
      </c>
      <c r="B119" s="112">
        <v>36754905</v>
      </c>
      <c r="C119" s="112" t="s">
        <v>428</v>
      </c>
      <c r="D119" s="112" t="s">
        <v>429</v>
      </c>
      <c r="E119" s="112" t="s">
        <v>430</v>
      </c>
      <c r="F119" s="112" t="s">
        <v>339</v>
      </c>
      <c r="G119" s="18">
        <v>22</v>
      </c>
      <c r="H119" s="18" t="s">
        <v>93</v>
      </c>
      <c r="I119" s="22">
        <v>45435</v>
      </c>
      <c r="J119" s="57">
        <v>25000</v>
      </c>
      <c r="K119" s="18" t="s">
        <v>77</v>
      </c>
      <c r="L119" s="18" t="s">
        <v>84</v>
      </c>
      <c r="M119" s="113" t="s">
        <v>431</v>
      </c>
      <c r="N119" s="114" t="s">
        <v>54</v>
      </c>
      <c r="O119" s="87">
        <v>29053</v>
      </c>
      <c r="P119" s="87" t="s">
        <v>100</v>
      </c>
      <c r="Q119" s="87" t="s">
        <v>106</v>
      </c>
      <c r="R119" s="112">
        <v>3177356259</v>
      </c>
      <c r="S119" s="87" t="s">
        <v>432</v>
      </c>
      <c r="T119" s="29" t="str">
        <f>IF(N119=CURSOS!$D$3,"DIPLOMADO EN ATENCION PRE-HOSPITALARIA",IF(N119=CURSOS!$D$4,"ACOMPAÑAMIENTO Y MANEJO DEL DUELO",IF(N119=CURSOS!$D$5,"ATENCION A VICTIMAS DE ATAQUE CON AGENTES QUIMICOS ",IF(N119=CURSOS!$D$6,"PRIMEROS AUXILIOS ",IF(N119=CURSOS!$D$7,"DIPLOMADO DE UNIDAD DE CUIDADOS INTENSIVOS (UCI)",IF(N119=CURSOS!$D$8,"MODELO DE ATENCION PARA EVENTOS EMERGENTES EN SALUD MENTAL (CODIGO VERDE)",IF(N119=CURSOS!$D$9,"HUMANIZACION EN SALUD, BUENAS PRACTICAS EN PACIENTE ",IF(N119=CURSOS!$D$10,"CLINICA DE HERIDAS ",IF(N119=CURSOS!$D$11,"TOMA DE CITOLOGIA A CERVICO VAGINAL ",IF(N119=CURSOS!$D$12,"SOPORTE CARDIOVASCULAR AVANZADO ",IF(N119=CURSOS!$D$13,"CAMILLERO ",IF(N119=CURSOS!$D$14,"TOMA MUESTRAS Y LABORATORIO ",IF(N119=CURSOS!$D$15,"SOPORTE VITAL BASICO (BLS)",IF(N119=CURSOS!$D$16,"ATENCION A VICTIMAS DE VIOLENCIA SEXUAL ",IF(N119=CURSOS!$D$17,"PROGRAMADO AMPLIADO DE INMUNIZACION (PAI - COVID 19)",IF(N119=CURSOS!$D$18,"ATENCION INTEGRAL EN ENFERMEDADES PREVALENTES EN PRIMERA INFANCIA (AIEPI)",IF(N119=CURSOS!$D$19,"ADMINISTRACION DE MEDICAMENTOS, IYECTOLOGIA  Y CANALIZACION ",IF(N119=CURSOS!$D$20,"OPERADOR DE VEHICULOS DE EMERGENCIA (OVE)",IF(N119=CURSOS!$D$21,"INSTITUCIONES AMIGAS DE LA MUJER Y LA INFANCIA (IAMI)",IF(N119=CURSOS!$D$22,"CUIDADO DEL DONANTE DE ORGANOS",IF(N119=CURSOS!$D$23,"ATENCION A VICTIMAS POR VIOLENCIA DE GENERO",IF(N119=CURSOS!$D$24,"IGUALDAD DE GENERO EN LA SALUD",IF(N119=CURSOS!$D$25,"BRIGADA DE EMERGENCIA",IF(N119=CURSOS!$D$26,"MANEJO DEL DOLOR Y CUIDADOS PALIATIVOS",IF(N119=CURSOS!$D$27,"TOMA MUESTRAS Y LABORATORIO POCT",IF(N119=CURSOS!$D$28,"IMPLANTE SUBDERMICO Y DISPOSITIVO INTRAUTERINO",IF(N119=CURSOS!$D$29,"SALUD MENTAL",IF(N119=CURSOS!$D$30,"PRIMEROS AUXILIOS PSICOLOGICOS",IF(N119=CURSOS!$D$31,"ATENCION A VICTIMAS POR CONFLICTO ARMADO",IF(N119=CURSOS!$D$32,"MANIPULACION DE ALIMENTOS Y BPM"))))))))))))))))))))))))))))))</f>
        <v>INSTITUCIONES AMIGAS DE LA MUJER Y LA INFANCIA (IAMI)</v>
      </c>
      <c r="U119" s="29" t="str">
        <f t="shared" si="18"/>
        <v>Rosa Maria Armas Guapucal</v>
      </c>
      <c r="V119" s="29" t="str">
        <f t="shared" si="19"/>
        <v>Rosa Maria Armas Guapucal</v>
      </c>
      <c r="W119" s="29" t="str">
        <f t="shared" si="20"/>
        <v>Rosa Maria Armas Guapucal-36754905-IAMI</v>
      </c>
    </row>
    <row r="120" spans="1:23" s="46" customFormat="1" x14ac:dyDescent="0.2">
      <c r="A120" s="31">
        <v>119</v>
      </c>
      <c r="B120" s="112">
        <v>36754905</v>
      </c>
      <c r="C120" s="112" t="s">
        <v>428</v>
      </c>
      <c r="D120" s="112" t="s">
        <v>429</v>
      </c>
      <c r="E120" s="112" t="s">
        <v>430</v>
      </c>
      <c r="F120" s="112" t="s">
        <v>339</v>
      </c>
      <c r="G120" s="18">
        <v>22</v>
      </c>
      <c r="H120" s="18" t="s">
        <v>93</v>
      </c>
      <c r="I120" s="22">
        <v>45435</v>
      </c>
      <c r="J120" s="57">
        <v>25000</v>
      </c>
      <c r="K120" s="18" t="s">
        <v>77</v>
      </c>
      <c r="L120" s="18" t="s">
        <v>84</v>
      </c>
      <c r="M120" s="113" t="s">
        <v>431</v>
      </c>
      <c r="N120" s="114" t="s">
        <v>49</v>
      </c>
      <c r="O120" s="116">
        <v>29053</v>
      </c>
      <c r="P120" s="112" t="s">
        <v>100</v>
      </c>
      <c r="Q120" s="31" t="s">
        <v>106</v>
      </c>
      <c r="R120" s="112">
        <v>3177356259</v>
      </c>
      <c r="S120" s="112" t="s">
        <v>432</v>
      </c>
      <c r="T120" s="29" t="str">
        <f>IF(N120=CURSOS!$D$3,"DIPLOMADO EN ATENCION PRE-HOSPITALARIA",IF(N120=CURSOS!$D$4,"ACOMPAÑAMIENTO Y MANEJO DEL DUELO",IF(N120=CURSOS!$D$5,"ATENCION A VICTIMAS DE ATAQUE CON AGENTES QUIMICOS ",IF(N120=CURSOS!$D$6,"PRIMEROS AUXILIOS ",IF(N120=CURSOS!$D$7,"DIPLOMADO DE UNIDAD DE CUIDADOS INTENSIVOS (UCI)",IF(N120=CURSOS!$D$8,"MODELO DE ATENCION PARA EVENTOS EMERGENTES EN SALUD MENTAL (CODIGO VERDE)",IF(N120=CURSOS!$D$9,"HUMANIZACION EN SALUD, BUENAS PRACTICAS EN PACIENTE ",IF(N120=CURSOS!$D$10,"CLINICA DE HERIDAS ",IF(N120=CURSOS!$D$11,"TOMA DE CITOLOGIA A CERVICO VAGINAL ",IF(N120=CURSOS!$D$12,"SOPORTE CARDIOVASCULAR AVANZADO ",IF(N120=CURSOS!$D$13,"CAMILLERO ",IF(N120=CURSOS!$D$14,"TOMA MUESTRAS Y LABORATORIO ",IF(N120=CURSOS!$D$15,"SOPORTE VITAL BASICO (BLS)",IF(N120=CURSOS!$D$16,"ATENCION A VICTIMAS DE VIOLENCIA SEXUAL ",IF(N120=CURSOS!$D$17,"PROGRAMADO AMPLIADO DE INMUNIZACION (PAI - COVID 19)",IF(N120=CURSOS!$D$18,"ATENCION INTEGRAL EN ENFERMEDADES PREVALENTES EN PRIMERA INFANCIA (AIEPI)",IF(N120=CURSOS!$D$19,"ADMINISTRACION DE MEDICAMENTOS, IYECTOLOGIA  Y CANALIZACION ",IF(N120=CURSOS!$D$20,"OPERADOR DE VEHICULOS DE EMERGENCIA (OVE)",IF(N120=CURSOS!$D$21,"INSTITUCIONES AMIGAS DE LA MUJER Y LA INFANCIA (IAMI)",IF(N120=CURSOS!$D$22,"CUIDADO DEL DONANTE DE ORGANOS",IF(N120=CURSOS!$D$23,"ATENCION A VICTIMAS POR VIOLENCIA DE GENERO",IF(N120=CURSOS!$D$24,"IGUALDAD DE GENERO EN LA SALUD",IF(N120=CURSOS!$D$25,"BRIGADA DE EMERGENCIA",IF(N120=CURSOS!$D$26,"MANEJO DEL DOLOR Y CUIDADOS PALIATIVOS",IF(N120=CURSOS!$D$27,"TOMA MUESTRAS Y LABORATORIO POCT",IF(N120=CURSOS!$D$28,"IMPLANTE SUBDERMICO Y DISPOSITIVO INTRAUTERINO",IF(N120=CURSOS!$D$29,"SALUD MENTAL",IF(N120=CURSOS!$D$30,"PRIMEROS AUXILIOS PSICOLOGICOS",IF(N120=CURSOS!$D$31,"ATENCION A VICTIMAS POR CONFLICTO ARMADO",IF(N120=CURSOS!$D$32,"MANIPULACION DE ALIMENTOS Y BPM"))))))))))))))))))))))))))))))</f>
        <v>ATENCION INTEGRAL EN ENFERMEDADES PREVALENTES EN PRIMERA INFANCIA (AIEPI)</v>
      </c>
      <c r="U120" s="29" t="str">
        <f t="shared" si="18"/>
        <v>Rosa Maria Armas Guapucal</v>
      </c>
      <c r="V120" s="29" t="str">
        <f t="shared" si="19"/>
        <v>Rosa Maria Armas Guapucal</v>
      </c>
      <c r="W120" s="29" t="str">
        <f t="shared" si="20"/>
        <v>Rosa Maria Armas Guapucal-36754905-AIEPI</v>
      </c>
    </row>
    <row r="121" spans="1:23" s="46" customFormat="1" x14ac:dyDescent="0.2">
      <c r="A121" s="31">
        <v>121</v>
      </c>
      <c r="B121" s="31">
        <v>1086549721</v>
      </c>
      <c r="C121" s="31" t="s">
        <v>395</v>
      </c>
      <c r="D121" s="31" t="s">
        <v>414</v>
      </c>
      <c r="E121" s="31" t="s">
        <v>415</v>
      </c>
      <c r="F121" s="31" t="s">
        <v>123</v>
      </c>
      <c r="G121" s="18">
        <v>22</v>
      </c>
      <c r="H121" s="18" t="s">
        <v>93</v>
      </c>
      <c r="I121" s="22">
        <v>45435</v>
      </c>
      <c r="J121" s="57">
        <v>62000</v>
      </c>
      <c r="K121" s="18" t="s">
        <v>77</v>
      </c>
      <c r="L121" s="18" t="s">
        <v>84</v>
      </c>
      <c r="M121" s="18" t="s">
        <v>75</v>
      </c>
      <c r="N121" s="19" t="s">
        <v>19</v>
      </c>
      <c r="O121" s="45">
        <v>33861</v>
      </c>
      <c r="P121" s="31" t="s">
        <v>79</v>
      </c>
      <c r="Q121" s="31" t="s">
        <v>157</v>
      </c>
      <c r="R121" s="31">
        <v>3147508471</v>
      </c>
      <c r="S121" s="31" t="s">
        <v>416</v>
      </c>
      <c r="T121" s="29" t="str">
        <f>IF(N121=CURSOS!$D$3,"DIPLOMADO EN ATENCION PRE-HOSPITALARIA",IF(N121=CURSOS!$D$4,"ACOMPAÑAMIENTO Y MANEJO DEL DUELO",IF(N121=CURSOS!$D$5,"ATENCION A VICTIMAS DE ATAQUE CON AGENTES QUIMICOS ",IF(N121=CURSOS!$D$6,"PRIMEROS AUXILIOS ",IF(N121=CURSOS!$D$7,"DIPLOMADO DE UNIDAD DE CUIDADOS INTENSIVOS (UCI)",IF(N121=CURSOS!$D$8,"MODELO DE ATENCION PARA EVENTOS EMERGENTES EN SALUD MENTAL (CODIGO VERDE)",IF(N121=CURSOS!$D$9,"HUMANIZACION EN SALUD, BUENAS PRACTICAS EN PACIENTE ",IF(N121=CURSOS!$D$10,"CLINICA DE HERIDAS ",IF(N121=CURSOS!$D$11,"TOMA DE CITOLOGIA A CERVICO VAGINAL ",IF(N121=CURSOS!$D$12,"SOPORTE CARDIOVASCULAR AVANZADO ",IF(N121=CURSOS!$D$13,"CAMILLERO ",IF(N121=CURSOS!$D$14,"TOMA MUESTRAS Y LABORATORIO ",IF(N121=CURSOS!$D$15,"SOPORTE VITAL BASICO (BLS)",IF(N121=CURSOS!$D$16,"ATENCION A VICTIMAS DE VIOLENCIA SEXUAL ",IF(N121=CURSOS!$D$17,"PROGRAMADO AMPLIADO DE INMUNIZACION (PAI - COVID 19)",IF(N121=CURSOS!$D$18,"ATENCION INTEGRAL EN ENFERMEDADES PREVALENTES EN PRIMERA INFANCIA (AIEPI)",IF(N121=CURSOS!$D$19,"ADMINISTRACION DE MEDICAMENTOS, IYECTOLOGIA  Y CANALIZACION ",IF(N121=CURSOS!$D$20,"OPERADOR DE VEHICULOS DE EMERGENCIA (OVE)",IF(N121=CURSOS!$D$21,"INSTITUCIONES AMIGAS DE LA MUJER Y LA INFANCIA (IAMI)",IF(N121=CURSOS!$D$22,"CUIDADO DEL DONANTE DE ORGANOS",IF(N121=CURSOS!$D$23,"ATENCION A VICTIMAS POR VIOLENCIA DE GENERO",IF(N121=CURSOS!$D$24,"IGUALDAD DE GENERO EN LA SALUD",IF(N121=CURSOS!$D$25,"BRIGADA DE EMERGENCIA",IF(N121=CURSOS!$D$26,"MANEJO DEL DOLOR Y CUIDADOS PALIATIVOS",IF(N121=CURSOS!$D$27,"TOMA MUESTRAS Y LABORATORIO POCT",IF(N121=CURSOS!$D$28,"IMPLANTE SUBDERMICO Y DISPOSITIVO INTRAUTERINO",IF(N121=CURSOS!$D$29,"SALUD MENTAL",IF(N121=CURSOS!$D$30,"PRIMEROS AUXILIOS PSICOLOGICOS",IF(N121=CURSOS!$D$31,"ATENCION A VICTIMAS POR CONFLICTO ARMADO",IF(N121=CURSOS!$D$32,"MANIPULACION DE ALIMENTOS Y BPM"))))))))))))))))))))))))))))))</f>
        <v>SOPORTE VITAL BASICO (BLS)</v>
      </c>
      <c r="U121" s="29" t="str">
        <f t="shared" si="18"/>
        <v>Edinson Javier Bravo Castillo</v>
      </c>
      <c r="V121" s="29" t="str">
        <f t="shared" si="19"/>
        <v>Edinson Javier Bravo Castillo</v>
      </c>
      <c r="W121" s="29" t="str">
        <f t="shared" si="20"/>
        <v>Edinson Javier Bravo Castillo-1086549721-BLS</v>
      </c>
    </row>
    <row r="122" spans="1:23" s="46" customFormat="1" x14ac:dyDescent="0.2">
      <c r="A122" s="31">
        <v>122</v>
      </c>
      <c r="B122" s="112">
        <v>87301581</v>
      </c>
      <c r="C122" s="112" t="s">
        <v>192</v>
      </c>
      <c r="D122" s="112" t="s">
        <v>418</v>
      </c>
      <c r="E122" s="112" t="s">
        <v>419</v>
      </c>
      <c r="F122" s="112" t="s">
        <v>420</v>
      </c>
      <c r="G122" s="18">
        <v>22</v>
      </c>
      <c r="H122" s="18" t="s">
        <v>93</v>
      </c>
      <c r="I122" s="22">
        <v>45435</v>
      </c>
      <c r="J122" s="57">
        <v>62000</v>
      </c>
      <c r="K122" s="18" t="s">
        <v>77</v>
      </c>
      <c r="L122" s="18" t="s">
        <v>84</v>
      </c>
      <c r="M122" s="113" t="s">
        <v>75</v>
      </c>
      <c r="N122" s="114" t="s">
        <v>19</v>
      </c>
      <c r="O122" s="87">
        <v>29840</v>
      </c>
      <c r="P122" s="112" t="s">
        <v>79</v>
      </c>
      <c r="Q122" s="31" t="s">
        <v>157</v>
      </c>
      <c r="R122" s="112">
        <v>3508993036</v>
      </c>
      <c r="S122" s="115" t="s">
        <v>417</v>
      </c>
      <c r="T122" s="29" t="str">
        <f>IF(N122=CURSOS!$D$3,"DIPLOMADO EN ATENCION PRE-HOSPITALARIA",IF(N122=CURSOS!$D$4,"ACOMPAÑAMIENTO Y MANEJO DEL DUELO",IF(N122=CURSOS!$D$5,"ATENCION A VICTIMAS DE ATAQUE CON AGENTES QUIMICOS ",IF(N122=CURSOS!$D$6,"PRIMEROS AUXILIOS ",IF(N122=CURSOS!$D$7,"DIPLOMADO DE UNIDAD DE CUIDADOS INTENSIVOS (UCI)",IF(N122=CURSOS!$D$8,"MODELO DE ATENCION PARA EVENTOS EMERGENTES EN SALUD MENTAL (CODIGO VERDE)",IF(N122=CURSOS!$D$9,"HUMANIZACION EN SALUD, BUENAS PRACTICAS EN PACIENTE ",IF(N122=CURSOS!$D$10,"CLINICA DE HERIDAS ",IF(N122=CURSOS!$D$11,"TOMA DE CITOLOGIA A CERVICO VAGINAL ",IF(N122=CURSOS!$D$12,"SOPORTE CARDIOVASCULAR AVANZADO ",IF(N122=CURSOS!$D$13,"CAMILLERO ",IF(N122=CURSOS!$D$14,"TOMA MUESTRAS Y LABORATORIO ",IF(N122=CURSOS!$D$15,"SOPORTE VITAL BASICO (BLS)",IF(N122=CURSOS!$D$16,"ATENCION A VICTIMAS DE VIOLENCIA SEXUAL ",IF(N122=CURSOS!$D$17,"PROGRAMADO AMPLIADO DE INMUNIZACION (PAI - COVID 19)",IF(N122=CURSOS!$D$18,"ATENCION INTEGRAL EN ENFERMEDADES PREVALENTES EN PRIMERA INFANCIA (AIEPI)",IF(N122=CURSOS!$D$19,"ADMINISTRACION DE MEDICAMENTOS, IYECTOLOGIA  Y CANALIZACION ",IF(N122=CURSOS!$D$20,"OPERADOR DE VEHICULOS DE EMERGENCIA (OVE)",IF(N122=CURSOS!$D$21,"INSTITUCIONES AMIGAS DE LA MUJER Y LA INFANCIA (IAMI)",IF(N122=CURSOS!$D$22,"CUIDADO DEL DONANTE DE ORGANOS",IF(N122=CURSOS!$D$23,"ATENCION A VICTIMAS POR VIOLENCIA DE GENERO",IF(N122=CURSOS!$D$24,"IGUALDAD DE GENERO EN LA SALUD",IF(N122=CURSOS!$D$25,"BRIGADA DE EMERGENCIA",IF(N122=CURSOS!$D$26,"MANEJO DEL DOLOR Y CUIDADOS PALIATIVOS",IF(N122=CURSOS!$D$27,"TOMA MUESTRAS Y LABORATORIO POCT",IF(N122=CURSOS!$D$28,"IMPLANTE SUBDERMICO Y DISPOSITIVO INTRAUTERINO",IF(N122=CURSOS!$D$29,"SALUD MENTAL",IF(N122=CURSOS!$D$30,"PRIMEROS AUXILIOS PSICOLOGICOS",IF(N122=CURSOS!$D$31,"ATENCION A VICTIMAS POR CONFLICTO ARMADO",IF(N122=CURSOS!$D$32,"MANIPULACION DE ALIMENTOS Y BPM"))))))))))))))))))))))))))))))</f>
        <v>SOPORTE VITAL BASICO (BLS)</v>
      </c>
      <c r="U122" s="29" t="str">
        <f t="shared" si="18"/>
        <v>Segundo Jesús López Caiza</v>
      </c>
      <c r="V122" s="29" t="str">
        <f t="shared" si="19"/>
        <v>Segundo Jesús López Caiza</v>
      </c>
      <c r="W122" s="29" t="str">
        <f t="shared" si="20"/>
        <v>Segundo Jesús López Caiza-87301581-BLS</v>
      </c>
    </row>
    <row r="123" spans="1:23" s="46" customFormat="1" x14ac:dyDescent="0.2">
      <c r="A123" s="31">
        <v>123</v>
      </c>
      <c r="B123" s="112">
        <v>59312855</v>
      </c>
      <c r="C123" s="112" t="s">
        <v>108</v>
      </c>
      <c r="D123" s="112" t="s">
        <v>108</v>
      </c>
      <c r="E123" s="112" t="s">
        <v>434</v>
      </c>
      <c r="F123" s="112" t="s">
        <v>132</v>
      </c>
      <c r="G123" s="18">
        <v>23</v>
      </c>
      <c r="H123" s="18" t="s">
        <v>93</v>
      </c>
      <c r="I123" s="22">
        <v>45435</v>
      </c>
      <c r="J123" s="57">
        <v>25000</v>
      </c>
      <c r="K123" s="18" t="s">
        <v>77</v>
      </c>
      <c r="L123" s="18" t="s">
        <v>84</v>
      </c>
      <c r="M123" s="113" t="s">
        <v>75</v>
      </c>
      <c r="N123" s="114" t="s">
        <v>19</v>
      </c>
      <c r="O123" s="87">
        <v>30898</v>
      </c>
      <c r="P123" s="112" t="s">
        <v>100</v>
      </c>
      <c r="Q123" s="31" t="s">
        <v>106</v>
      </c>
      <c r="R123" s="112">
        <v>3186425591</v>
      </c>
      <c r="S123" s="112" t="s">
        <v>435</v>
      </c>
      <c r="T123" s="29" t="str">
        <f>IF(N123=CURSOS!$D$3,"DIPLOMADO EN ATENCION PRE-HOSPITALARIA",IF(N123=CURSOS!$D$4,"ACOMPAÑAMIENTO Y MANEJO DEL DUELO",IF(N123=CURSOS!$D$5,"ATENCION A VICTIMAS DE ATAQUE CON AGENTES QUIMICOS ",IF(N123=CURSOS!$D$6,"PRIMEROS AUXILIOS ",IF(N123=CURSOS!$D$7,"DIPLOMADO DE UNIDAD DE CUIDADOS INTENSIVOS (UCI)",IF(N123=CURSOS!$D$8,"MODELO DE ATENCION PARA EVENTOS EMERGENTES EN SALUD MENTAL (CODIGO VERDE)",IF(N123=CURSOS!$D$9,"HUMANIZACION EN SALUD, BUENAS PRACTICAS EN PACIENTE ",IF(N123=CURSOS!$D$10,"CLINICA DE HERIDAS ",IF(N123=CURSOS!$D$11,"TOMA DE CITOLOGIA A CERVICO VAGINAL ",IF(N123=CURSOS!$D$12,"SOPORTE CARDIOVASCULAR AVANZADO ",IF(N123=CURSOS!$D$13,"CAMILLERO ",IF(N123=CURSOS!$D$14,"TOMA MUESTRAS Y LABORATORIO ",IF(N123=CURSOS!$D$15,"SOPORTE VITAL BASICO (BLS)",IF(N123=CURSOS!$D$16,"ATENCION A VICTIMAS DE VIOLENCIA SEXUAL ",IF(N123=CURSOS!$D$17,"PROGRAMADO AMPLIADO DE INMUNIZACION (PAI - COVID 19)",IF(N123=CURSOS!$D$18,"ATENCION INTEGRAL EN ENFERMEDADES PREVALENTES EN PRIMERA INFANCIA (AIEPI)",IF(N123=CURSOS!$D$19,"ADMINISTRACION DE MEDICAMENTOS, IYECTOLOGIA  Y CANALIZACION ",IF(N123=CURSOS!$D$20,"OPERADOR DE VEHICULOS DE EMERGENCIA (OVE)",IF(N123=CURSOS!$D$21,"INSTITUCIONES AMIGAS DE LA MUJER Y LA INFANCIA (IAMI)",IF(N123=CURSOS!$D$22,"CUIDADO DEL DONANTE DE ORGANOS",IF(N123=CURSOS!$D$23,"ATENCION A VICTIMAS POR VIOLENCIA DE GENERO",IF(N123=CURSOS!$D$24,"IGUALDAD DE GENERO EN LA SALUD",IF(N123=CURSOS!$D$25,"BRIGADA DE EMERGENCIA",IF(N123=CURSOS!$D$26,"MANEJO DEL DOLOR Y CUIDADOS PALIATIVOS",IF(N123=CURSOS!$D$27,"TOMA MUESTRAS Y LABORATORIO POCT",IF(N123=CURSOS!$D$28,"IMPLANTE SUBDERMICO Y DISPOSITIVO INTRAUTERINO",IF(N123=CURSOS!$D$29,"SALUD MENTAL",IF(N123=CURSOS!$D$30,"PRIMEROS AUXILIOS PSICOLOGICOS",IF(N123=CURSOS!$D$31,"ATENCION A VICTIMAS POR CONFLICTO ARMADO",IF(N123=CURSOS!$D$32,"MANIPULACION DE ALIMENTOS Y BPM"))))))))))))))))))))))))))))))</f>
        <v>SOPORTE VITAL BASICO (BLS)</v>
      </c>
      <c r="U123" s="29" t="str">
        <f t="shared" si="18"/>
        <v>Lidia Ximena Ortega Ortega</v>
      </c>
      <c r="V123" s="29" t="str">
        <f t="shared" si="19"/>
        <v>Lidia Ximena Ortega Ortega</v>
      </c>
      <c r="W123" s="29" t="str">
        <f t="shared" si="20"/>
        <v>Lidia Ximena Ortega Ortega-59312855-BLS</v>
      </c>
    </row>
    <row r="124" spans="1:23" s="117" customFormat="1" x14ac:dyDescent="0.2">
      <c r="A124" s="31">
        <v>124</v>
      </c>
      <c r="B124" s="112">
        <v>59312855</v>
      </c>
      <c r="C124" s="112" t="s">
        <v>108</v>
      </c>
      <c r="D124" s="112" t="s">
        <v>108</v>
      </c>
      <c r="E124" s="112" t="s">
        <v>434</v>
      </c>
      <c r="F124" s="112" t="s">
        <v>132</v>
      </c>
      <c r="G124" s="18">
        <v>23</v>
      </c>
      <c r="H124" s="18" t="s">
        <v>93</v>
      </c>
      <c r="I124" s="22">
        <v>45435</v>
      </c>
      <c r="J124" s="57">
        <v>25000</v>
      </c>
      <c r="K124" s="18" t="s">
        <v>77</v>
      </c>
      <c r="L124" s="18" t="s">
        <v>84</v>
      </c>
      <c r="M124" s="113" t="s">
        <v>75</v>
      </c>
      <c r="N124" s="114" t="s">
        <v>33</v>
      </c>
      <c r="O124" s="87">
        <v>30898</v>
      </c>
      <c r="P124" s="112" t="s">
        <v>100</v>
      </c>
      <c r="Q124" s="31" t="s">
        <v>106</v>
      </c>
      <c r="R124" s="112">
        <v>3186425591</v>
      </c>
      <c r="S124" s="112" t="s">
        <v>435</v>
      </c>
      <c r="T124" s="29" t="str">
        <f>IF(N124=CURSOS!$D$3,"DIPLOMADO EN ATENCION PRE-HOSPITALARIA",IF(N124=CURSOS!$D$4,"ACOMPAÑAMIENTO Y MANEJO DEL DUELO",IF(N124=CURSOS!$D$5,"ATENCION A VICTIMAS DE ATAQUE CON AGENTES QUIMICOS ",IF(N124=CURSOS!$D$6,"PRIMEROS AUXILIOS ",IF(N124=CURSOS!$D$7,"DIPLOMADO DE UNIDAD DE CUIDADOS INTENSIVOS (UCI)",IF(N124=CURSOS!$D$8,"MODELO DE ATENCION PARA EVENTOS EMERGENTES EN SALUD MENTAL (CODIGO VERDE)",IF(N124=CURSOS!$D$9,"HUMANIZACION EN SALUD, BUENAS PRACTICAS EN PACIENTE ",IF(N124=CURSOS!$D$10,"CLINICA DE HERIDAS ",IF(N124=CURSOS!$D$11,"TOMA DE CITOLOGIA A CERVICO VAGINAL ",IF(N124=CURSOS!$D$12,"SOPORTE CARDIOVASCULAR AVANZADO ",IF(N124=CURSOS!$D$13,"CAMILLERO ",IF(N124=CURSOS!$D$14,"TOMA MUESTRAS Y LABORATORIO ",IF(N124=CURSOS!$D$15,"SOPORTE VITAL BASICO (BLS)",IF(N124=CURSOS!$D$16,"ATENCION A VICTIMAS DE VIOLENCIA SEXUAL ",IF(N124=CURSOS!$D$17,"PROGRAMADO AMPLIADO DE INMUNIZACION (PAI - COVID 19)",IF(N124=CURSOS!$D$18,"ATENCION INTEGRAL EN ENFERMEDADES PREVALENTES EN PRIMERA INFANCIA (AIEPI)",IF(N124=CURSOS!$D$19,"ADMINISTRACION DE MEDICAMENTOS, IYECTOLOGIA  Y CANALIZACION ",IF(N124=CURSOS!$D$20,"OPERADOR DE VEHICULOS DE EMERGENCIA (OVE)",IF(N124=CURSOS!$D$21,"INSTITUCIONES AMIGAS DE LA MUJER Y LA INFANCIA (IAMI)",IF(N124=CURSOS!$D$22,"CUIDADO DEL DONANTE DE ORGANOS",IF(N124=CURSOS!$D$23,"ATENCION A VICTIMAS POR VIOLENCIA DE GENERO",IF(N124=CURSOS!$D$24,"IGUALDAD DE GENERO EN LA SALUD",IF(N124=CURSOS!$D$25,"BRIGADA DE EMERGENCIA",IF(N124=CURSOS!$D$26,"MANEJO DEL DOLOR Y CUIDADOS PALIATIVOS",IF(N124=CURSOS!$D$27,"TOMA MUESTRAS Y LABORATORIO POCT",IF(N124=CURSOS!$D$28,"IMPLANTE SUBDERMICO Y DISPOSITIVO INTRAUTERINO",IF(N124=CURSOS!$D$29,"SALUD MENTAL",IF(N124=CURSOS!$D$30,"PRIMEROS AUXILIOS PSICOLOGICOS",IF(N124=CURSOS!$D$31,"ATENCION A VICTIMAS POR CONFLICTO ARMADO",IF(N124=CURSOS!$D$32,"MANIPULACION DE ALIMENTOS Y BPM"))))))))))))))))))))))))))))))</f>
        <v xml:space="preserve">HUMANIZACION EN SALUD, BUENAS PRACTICAS EN PACIENTE </v>
      </c>
      <c r="U124" s="29" t="str">
        <f t="shared" si="18"/>
        <v>Lidia Ximena Ortega Ortega</v>
      </c>
      <c r="V124" s="29" t="str">
        <f t="shared" si="19"/>
        <v>Lidia Ximena Ortega Ortega</v>
      </c>
      <c r="W124" s="29" t="str">
        <f t="shared" si="20"/>
        <v>Lidia Ximena Ortega Ortega-59312855-HUMANIZACION</v>
      </c>
    </row>
    <row r="125" spans="1:23" s="117" customFormat="1" x14ac:dyDescent="0.2">
      <c r="A125" s="31">
        <v>125</v>
      </c>
      <c r="B125" s="112">
        <v>59312855</v>
      </c>
      <c r="C125" s="112" t="s">
        <v>108</v>
      </c>
      <c r="D125" s="112" t="s">
        <v>108</v>
      </c>
      <c r="E125" s="112" t="s">
        <v>434</v>
      </c>
      <c r="F125" s="112" t="s">
        <v>132</v>
      </c>
      <c r="G125" s="18">
        <v>23</v>
      </c>
      <c r="H125" s="18" t="s">
        <v>93</v>
      </c>
      <c r="I125" s="22">
        <v>45435</v>
      </c>
      <c r="J125" s="57">
        <v>25000</v>
      </c>
      <c r="K125" s="18" t="s">
        <v>77</v>
      </c>
      <c r="L125" s="18" t="s">
        <v>84</v>
      </c>
      <c r="M125" s="113" t="s">
        <v>75</v>
      </c>
      <c r="N125" s="114" t="s">
        <v>23</v>
      </c>
      <c r="O125" s="87">
        <v>30898</v>
      </c>
      <c r="P125" s="112" t="s">
        <v>100</v>
      </c>
      <c r="Q125" s="31" t="s">
        <v>106</v>
      </c>
      <c r="R125" s="112">
        <v>3186425591</v>
      </c>
      <c r="S125" s="112" t="s">
        <v>435</v>
      </c>
      <c r="T125" s="29" t="str">
        <f>IF(N125=CURSOS!$D$3,"DIPLOMADO EN ATENCION PRE-HOSPITALARIA",IF(N125=CURSOS!$D$4,"ACOMPAÑAMIENTO Y MANEJO DEL DUELO",IF(N125=CURSOS!$D$5,"ATENCION A VICTIMAS DE ATAQUE CON AGENTES QUIMICOS ",IF(N125=CURSOS!$D$6,"PRIMEROS AUXILIOS ",IF(N125=CURSOS!$D$7,"DIPLOMADO DE UNIDAD DE CUIDADOS INTENSIVOS (UCI)",IF(N125=CURSOS!$D$8,"MODELO DE ATENCION PARA EVENTOS EMERGENTES EN SALUD MENTAL (CODIGO VERDE)",IF(N125=CURSOS!$D$9,"HUMANIZACION EN SALUD, BUENAS PRACTICAS EN PACIENTE ",IF(N125=CURSOS!$D$10,"CLINICA DE HERIDAS ",IF(N125=CURSOS!$D$11,"TOMA DE CITOLOGIA A CERVICO VAGINAL ",IF(N125=CURSOS!$D$12,"SOPORTE CARDIOVASCULAR AVANZADO ",IF(N125=CURSOS!$D$13,"CAMILLERO ",IF(N125=CURSOS!$D$14,"TOMA MUESTRAS Y LABORATORIO ",IF(N125=CURSOS!$D$15,"SOPORTE VITAL BASICO (BLS)",IF(N125=CURSOS!$D$16,"ATENCION A VICTIMAS DE VIOLENCIA SEXUAL ",IF(N125=CURSOS!$D$17,"PROGRAMADO AMPLIADO DE INMUNIZACION (PAI - COVID 19)",IF(N125=CURSOS!$D$18,"ATENCION INTEGRAL EN ENFERMEDADES PREVALENTES EN PRIMERA INFANCIA (AIEPI)",IF(N125=CURSOS!$D$19,"ADMINISTRACION DE MEDICAMENTOS, IYECTOLOGIA  Y CANALIZACION ",IF(N125=CURSOS!$D$20,"OPERADOR DE VEHICULOS DE EMERGENCIA (OVE)",IF(N125=CURSOS!$D$21,"INSTITUCIONES AMIGAS DE LA MUJER Y LA INFANCIA (IAMI)",IF(N125=CURSOS!$D$22,"CUIDADO DEL DONANTE DE ORGANOS",IF(N125=CURSOS!$D$23,"ATENCION A VICTIMAS POR VIOLENCIA DE GENERO",IF(N125=CURSOS!$D$24,"IGUALDAD DE GENERO EN LA SALUD",IF(N125=CURSOS!$D$25,"BRIGADA DE EMERGENCIA",IF(N125=CURSOS!$D$26,"MANEJO DEL DOLOR Y CUIDADOS PALIATIVOS",IF(N125=CURSOS!$D$27,"TOMA MUESTRAS Y LABORATORIO POCT",IF(N125=CURSOS!$D$28,"IMPLANTE SUBDERMICO Y DISPOSITIVO INTRAUTERINO",IF(N125=CURSOS!$D$29,"SALUD MENTAL",IF(N125=CURSOS!$D$30,"PRIMEROS AUXILIOS PSICOLOGICOS",IF(N125=CURSOS!$D$31,"ATENCION A VICTIMAS POR CONFLICTO ARMADO",IF(N125=CURSOS!$D$32,"MANIPULACION DE ALIMENTOS Y BPM"))))))))))))))))))))))))))))))</f>
        <v>ACOMPAÑAMIENTO Y MANEJO DEL DUELO</v>
      </c>
      <c r="U125" s="29" t="str">
        <f t="shared" si="18"/>
        <v>Lidia Ximena Ortega Ortega</v>
      </c>
      <c r="V125" s="29" t="str">
        <f t="shared" si="19"/>
        <v>Lidia Ximena Ortega Ortega</v>
      </c>
      <c r="W125" s="29" t="str">
        <f t="shared" si="20"/>
        <v>Lidia Ximena Ortega Ortega-59312855-DUELO</v>
      </c>
    </row>
    <row r="126" spans="1:23" s="117" customFormat="1" x14ac:dyDescent="0.2">
      <c r="A126" s="31">
        <v>126</v>
      </c>
      <c r="B126" s="112">
        <v>59312855</v>
      </c>
      <c r="C126" s="112" t="s">
        <v>108</v>
      </c>
      <c r="D126" s="112" t="s">
        <v>108</v>
      </c>
      <c r="E126" s="112" t="s">
        <v>434</v>
      </c>
      <c r="F126" s="112" t="s">
        <v>132</v>
      </c>
      <c r="G126" s="18">
        <v>23</v>
      </c>
      <c r="H126" s="18" t="s">
        <v>93</v>
      </c>
      <c r="I126" s="22">
        <v>45435</v>
      </c>
      <c r="J126" s="57">
        <v>25000</v>
      </c>
      <c r="K126" s="18" t="s">
        <v>77</v>
      </c>
      <c r="L126" s="18" t="s">
        <v>84</v>
      </c>
      <c r="M126" s="113" t="s">
        <v>75</v>
      </c>
      <c r="N126" s="114" t="s">
        <v>25</v>
      </c>
      <c r="O126" s="87">
        <v>30898</v>
      </c>
      <c r="P126" s="112" t="s">
        <v>100</v>
      </c>
      <c r="Q126" s="31" t="s">
        <v>106</v>
      </c>
      <c r="R126" s="112">
        <v>3186425591</v>
      </c>
      <c r="S126" s="112" t="s">
        <v>435</v>
      </c>
      <c r="T126" s="29" t="str">
        <f>IF(N126=CURSOS!$D$3,"DIPLOMADO EN ATENCION PRE-HOSPITALARIA",IF(N126=CURSOS!$D$4,"ACOMPAÑAMIENTO Y MANEJO DEL DUELO",IF(N126=CURSOS!$D$5,"ATENCION A VICTIMAS DE ATAQUE CON AGENTES QUIMICOS ",IF(N126=CURSOS!$D$6,"PRIMEROS AUXILIOS ",IF(N126=CURSOS!$D$7,"DIPLOMADO DE UNIDAD DE CUIDADOS INTENSIVOS (UCI)",IF(N126=CURSOS!$D$8,"MODELO DE ATENCION PARA EVENTOS EMERGENTES EN SALUD MENTAL (CODIGO VERDE)",IF(N126=CURSOS!$D$9,"HUMANIZACION EN SALUD, BUENAS PRACTICAS EN PACIENTE ",IF(N126=CURSOS!$D$10,"CLINICA DE HERIDAS ",IF(N126=CURSOS!$D$11,"TOMA DE CITOLOGIA A CERVICO VAGINAL ",IF(N126=CURSOS!$D$12,"SOPORTE CARDIOVASCULAR AVANZADO ",IF(N126=CURSOS!$D$13,"CAMILLERO ",IF(N126=CURSOS!$D$14,"TOMA MUESTRAS Y LABORATORIO ",IF(N126=CURSOS!$D$15,"SOPORTE VITAL BASICO (BLS)",IF(N126=CURSOS!$D$16,"ATENCION A VICTIMAS DE VIOLENCIA SEXUAL ",IF(N126=CURSOS!$D$17,"PROGRAMADO AMPLIADO DE INMUNIZACION (PAI - COVID 19)",IF(N126=CURSOS!$D$18,"ATENCION INTEGRAL EN ENFERMEDADES PREVALENTES EN PRIMERA INFANCIA (AIEPI)",IF(N126=CURSOS!$D$19,"ADMINISTRACION DE MEDICAMENTOS, IYECTOLOGIA  Y CANALIZACION ",IF(N126=CURSOS!$D$20,"OPERADOR DE VEHICULOS DE EMERGENCIA (OVE)",IF(N126=CURSOS!$D$21,"INSTITUCIONES AMIGAS DE LA MUJER Y LA INFANCIA (IAMI)",IF(N126=CURSOS!$D$22,"CUIDADO DEL DONANTE DE ORGANOS",IF(N126=CURSOS!$D$23,"ATENCION A VICTIMAS POR VIOLENCIA DE GENERO",IF(N126=CURSOS!$D$24,"IGUALDAD DE GENERO EN LA SALUD",IF(N126=CURSOS!$D$25,"BRIGADA DE EMERGENCIA",IF(N126=CURSOS!$D$26,"MANEJO DEL DOLOR Y CUIDADOS PALIATIVOS",IF(N126=CURSOS!$D$27,"TOMA MUESTRAS Y LABORATORIO POCT",IF(N126=CURSOS!$D$28,"IMPLANTE SUBDERMICO Y DISPOSITIVO INTRAUTERINO",IF(N126=CURSOS!$D$29,"SALUD MENTAL",IF(N126=CURSOS!$D$30,"PRIMEROS AUXILIOS PSICOLOGICOS",IF(N126=CURSOS!$D$31,"ATENCION A VICTIMAS POR CONFLICTO ARMADO",IF(N126=CURSOS!$D$32,"MANIPULACION DE ALIMENTOS Y BPM"))))))))))))))))))))))))))))))</f>
        <v xml:space="preserve">ATENCION A VICTIMAS DE ATAQUE CON AGENTES QUIMICOS </v>
      </c>
      <c r="U126" s="29" t="str">
        <f t="shared" si="18"/>
        <v>Lidia Ximena Ortega Ortega</v>
      </c>
      <c r="V126" s="29" t="str">
        <f t="shared" si="19"/>
        <v>Lidia Ximena Ortega Ortega</v>
      </c>
      <c r="W126" s="29" t="str">
        <f t="shared" si="20"/>
        <v>Lidia Ximena Ortega Ortega-59312855-QUIMICOS</v>
      </c>
    </row>
    <row r="127" spans="1:23" s="117" customFormat="1" x14ac:dyDescent="0.2">
      <c r="A127" s="31">
        <v>127</v>
      </c>
      <c r="B127" s="112">
        <v>59312855</v>
      </c>
      <c r="C127" s="112" t="s">
        <v>108</v>
      </c>
      <c r="D127" s="112" t="s">
        <v>108</v>
      </c>
      <c r="E127" s="112" t="s">
        <v>434</v>
      </c>
      <c r="F127" s="112" t="s">
        <v>132</v>
      </c>
      <c r="G127" s="18">
        <v>23</v>
      </c>
      <c r="H127" s="18" t="s">
        <v>93</v>
      </c>
      <c r="I127" s="22">
        <v>45435</v>
      </c>
      <c r="J127" s="57">
        <v>25000</v>
      </c>
      <c r="K127" s="18" t="s">
        <v>77</v>
      </c>
      <c r="L127" s="18" t="s">
        <v>84</v>
      </c>
      <c r="M127" s="113" t="s">
        <v>75</v>
      </c>
      <c r="N127" s="114" t="s">
        <v>46</v>
      </c>
      <c r="O127" s="87">
        <v>30898</v>
      </c>
      <c r="P127" s="112" t="s">
        <v>100</v>
      </c>
      <c r="Q127" s="31" t="s">
        <v>106</v>
      </c>
      <c r="R127" s="112">
        <v>3186425591</v>
      </c>
      <c r="S127" s="112" t="s">
        <v>435</v>
      </c>
      <c r="T127" s="29" t="str">
        <f>IF(N127=CURSOS!$D$3,"DIPLOMADO EN ATENCION PRE-HOSPITALARIA",IF(N127=CURSOS!$D$4,"ACOMPAÑAMIENTO Y MANEJO DEL DUELO",IF(N127=CURSOS!$D$5,"ATENCION A VICTIMAS DE ATAQUE CON AGENTES QUIMICOS ",IF(N127=CURSOS!$D$6,"PRIMEROS AUXILIOS ",IF(N127=CURSOS!$D$7,"DIPLOMADO DE UNIDAD DE CUIDADOS INTENSIVOS (UCI)",IF(N127=CURSOS!$D$8,"MODELO DE ATENCION PARA EVENTOS EMERGENTES EN SALUD MENTAL (CODIGO VERDE)",IF(N127=CURSOS!$D$9,"HUMANIZACION EN SALUD, BUENAS PRACTICAS EN PACIENTE ",IF(N127=CURSOS!$D$10,"CLINICA DE HERIDAS ",IF(N127=CURSOS!$D$11,"TOMA DE CITOLOGIA A CERVICO VAGINAL ",IF(N127=CURSOS!$D$12,"SOPORTE CARDIOVASCULAR AVANZADO ",IF(N127=CURSOS!$D$13,"CAMILLERO ",IF(N127=CURSOS!$D$14,"TOMA MUESTRAS Y LABORATORIO ",IF(N127=CURSOS!$D$15,"SOPORTE VITAL BASICO (BLS)",IF(N127=CURSOS!$D$16,"ATENCION A VICTIMAS DE VIOLENCIA SEXUAL ",IF(N127=CURSOS!$D$17,"PROGRAMADO AMPLIADO DE INMUNIZACION (PAI - COVID 19)",IF(N127=CURSOS!$D$18,"ATENCION INTEGRAL EN ENFERMEDADES PREVALENTES EN PRIMERA INFANCIA (AIEPI)",IF(N127=CURSOS!$D$19,"ADMINISTRACION DE MEDICAMENTOS, IYECTOLOGIA  Y CANALIZACION ",IF(N127=CURSOS!$D$20,"OPERADOR DE VEHICULOS DE EMERGENCIA (OVE)",IF(N127=CURSOS!$D$21,"INSTITUCIONES AMIGAS DE LA MUJER Y LA INFANCIA (IAMI)",IF(N127=CURSOS!$D$22,"CUIDADO DEL DONANTE DE ORGANOS",IF(N127=CURSOS!$D$23,"ATENCION A VICTIMAS POR VIOLENCIA DE GENERO",IF(N127=CURSOS!$D$24,"IGUALDAD DE GENERO EN LA SALUD",IF(N127=CURSOS!$D$25,"BRIGADA DE EMERGENCIA",IF(N127=CURSOS!$D$26,"MANEJO DEL DOLOR Y CUIDADOS PALIATIVOS",IF(N127=CURSOS!$D$27,"TOMA MUESTRAS Y LABORATORIO POCT",IF(N127=CURSOS!$D$28,"IMPLANTE SUBDERMICO Y DISPOSITIVO INTRAUTERINO",IF(N127=CURSOS!$D$29,"SALUD MENTAL",IF(N127=CURSOS!$D$30,"PRIMEROS AUXILIOS PSICOLOGICOS",IF(N127=CURSOS!$D$31,"ATENCION A VICTIMAS POR CONFLICTO ARMADO",IF(N127=CURSOS!$D$32,"MANIPULACION DE ALIMENTOS Y BPM"))))))))))))))))))))))))))))))</f>
        <v xml:space="preserve">ATENCION A VICTIMAS DE VIOLENCIA SEXUAL </v>
      </c>
      <c r="U127" s="29" t="str">
        <f t="shared" si="18"/>
        <v>Lidia Ximena Ortega Ortega</v>
      </c>
      <c r="V127" s="29" t="str">
        <f t="shared" si="19"/>
        <v>Lidia Ximena Ortega Ortega</v>
      </c>
      <c r="W127" s="29" t="str">
        <f t="shared" si="20"/>
        <v>Lidia Ximena Ortega Ortega-59312855-VIOLENCIA SEXUAL</v>
      </c>
    </row>
    <row r="128" spans="1:23" s="117" customFormat="1" x14ac:dyDescent="0.2">
      <c r="A128" s="31">
        <v>128</v>
      </c>
      <c r="B128" s="112">
        <v>59312855</v>
      </c>
      <c r="C128" s="112" t="s">
        <v>108</v>
      </c>
      <c r="D128" s="112" t="s">
        <v>108</v>
      </c>
      <c r="E128" s="112" t="s">
        <v>434</v>
      </c>
      <c r="F128" s="112" t="s">
        <v>132</v>
      </c>
      <c r="G128" s="18">
        <v>23</v>
      </c>
      <c r="H128" s="18" t="s">
        <v>93</v>
      </c>
      <c r="I128" s="22">
        <v>45435</v>
      </c>
      <c r="J128" s="57">
        <v>25000</v>
      </c>
      <c r="K128" s="18" t="s">
        <v>77</v>
      </c>
      <c r="L128" s="18" t="s">
        <v>84</v>
      </c>
      <c r="M128" s="113" t="s">
        <v>75</v>
      </c>
      <c r="N128" s="114" t="s">
        <v>64</v>
      </c>
      <c r="O128" s="87">
        <v>30898</v>
      </c>
      <c r="P128" s="112" t="s">
        <v>100</v>
      </c>
      <c r="Q128" s="31" t="s">
        <v>106</v>
      </c>
      <c r="R128" s="112">
        <v>3186425591</v>
      </c>
      <c r="S128" s="112" t="s">
        <v>435</v>
      </c>
      <c r="T128" s="29" t="str">
        <f>IF(N128=CURSOS!$D$3,"DIPLOMADO EN ATENCION PRE-HOSPITALARIA",IF(N128=CURSOS!$D$4,"ACOMPAÑAMIENTO Y MANEJO DEL DUELO",IF(N128=CURSOS!$D$5,"ATENCION A VICTIMAS DE ATAQUE CON AGENTES QUIMICOS ",IF(N128=CURSOS!$D$6,"PRIMEROS AUXILIOS ",IF(N128=CURSOS!$D$7,"DIPLOMADO DE UNIDAD DE CUIDADOS INTENSIVOS (UCI)",IF(N128=CURSOS!$D$8,"MODELO DE ATENCION PARA EVENTOS EMERGENTES EN SALUD MENTAL (CODIGO VERDE)",IF(N128=CURSOS!$D$9,"HUMANIZACION EN SALUD, BUENAS PRACTICAS EN PACIENTE ",IF(N128=CURSOS!$D$10,"CLINICA DE HERIDAS ",IF(N128=CURSOS!$D$11,"TOMA DE CITOLOGIA A CERVICO VAGINAL ",IF(N128=CURSOS!$D$12,"SOPORTE CARDIOVASCULAR AVANZADO ",IF(N128=CURSOS!$D$13,"CAMILLERO ",IF(N128=CURSOS!$D$14,"TOMA MUESTRAS Y LABORATORIO ",IF(N128=CURSOS!$D$15,"SOPORTE VITAL BASICO (BLS)",IF(N128=CURSOS!$D$16,"ATENCION A VICTIMAS DE VIOLENCIA SEXUAL ",IF(N128=CURSOS!$D$17,"PROGRAMADO AMPLIADO DE INMUNIZACION (PAI - COVID 19)",IF(N128=CURSOS!$D$18,"ATENCION INTEGRAL EN ENFERMEDADES PREVALENTES EN PRIMERA INFANCIA (AIEPI)",IF(N128=CURSOS!$D$19,"ADMINISTRACION DE MEDICAMENTOS, IYECTOLOGIA  Y CANALIZACION ",IF(N128=CURSOS!$D$20,"OPERADOR DE VEHICULOS DE EMERGENCIA (OVE)",IF(N128=CURSOS!$D$21,"INSTITUCIONES AMIGAS DE LA MUJER Y LA INFANCIA (IAMI)",IF(N128=CURSOS!$D$22,"CUIDADO DEL DONANTE DE ORGANOS",IF(N128=CURSOS!$D$23,"ATENCION A VICTIMAS POR VIOLENCIA DE GENERO",IF(N128=CURSOS!$D$24,"IGUALDAD DE GENERO EN LA SALUD",IF(N128=CURSOS!$D$25,"BRIGADA DE EMERGENCIA",IF(N128=CURSOS!$D$26,"MANEJO DEL DOLOR Y CUIDADOS PALIATIVOS",IF(N128=CURSOS!$D$27,"TOMA MUESTRAS Y LABORATORIO POCT",IF(N128=CURSOS!$D$28,"IMPLANTE SUBDERMICO Y DISPOSITIVO INTRAUTERINO",IF(N128=CURSOS!$D$29,"SALUD MENTAL",IF(N128=CURSOS!$D$30,"PRIMEROS AUXILIOS PSICOLOGICOS",IF(N128=CURSOS!$D$31,"ATENCION A VICTIMAS POR CONFLICTO ARMADO",IF(N128=CURSOS!$D$32,"MANIPULACION DE ALIMENTOS Y BPM"))))))))))))))))))))))))))))))</f>
        <v>MANEJO DEL DOLOR Y CUIDADOS PALIATIVOS</v>
      </c>
      <c r="U128" s="29" t="str">
        <f t="shared" si="18"/>
        <v>Lidia Ximena Ortega Ortega</v>
      </c>
      <c r="V128" s="29" t="str">
        <f t="shared" si="19"/>
        <v>Lidia Ximena Ortega Ortega</v>
      </c>
      <c r="W128" s="29" t="str">
        <f t="shared" si="20"/>
        <v>Lidia Ximena Ortega Ortega-59312855-PALIATIVOS</v>
      </c>
    </row>
    <row r="129" spans="1:23" s="117" customFormat="1" x14ac:dyDescent="0.2">
      <c r="A129" s="31">
        <v>129</v>
      </c>
      <c r="B129" s="112">
        <v>59312855</v>
      </c>
      <c r="C129" s="112" t="s">
        <v>108</v>
      </c>
      <c r="D129" s="112" t="s">
        <v>108</v>
      </c>
      <c r="E129" s="112" t="s">
        <v>434</v>
      </c>
      <c r="F129" s="112" t="s">
        <v>132</v>
      </c>
      <c r="G129" s="18">
        <v>23</v>
      </c>
      <c r="H129" s="18" t="s">
        <v>93</v>
      </c>
      <c r="I129" s="22">
        <v>45435</v>
      </c>
      <c r="J129" s="57">
        <v>25000</v>
      </c>
      <c r="K129" s="18" t="s">
        <v>77</v>
      </c>
      <c r="L129" s="18" t="s">
        <v>84</v>
      </c>
      <c r="M129" s="113" t="s">
        <v>75</v>
      </c>
      <c r="N129" s="114" t="s">
        <v>51</v>
      </c>
      <c r="O129" s="87">
        <v>30898</v>
      </c>
      <c r="P129" s="112" t="s">
        <v>100</v>
      </c>
      <c r="Q129" s="31" t="s">
        <v>106</v>
      </c>
      <c r="R129" s="112">
        <v>3186425591</v>
      </c>
      <c r="S129" s="112" t="s">
        <v>435</v>
      </c>
      <c r="T129" s="29" t="str">
        <f>IF(N129=CURSOS!$D$3,"DIPLOMADO EN ATENCION PRE-HOSPITALARIA",IF(N129=CURSOS!$D$4,"ACOMPAÑAMIENTO Y MANEJO DEL DUELO",IF(N129=CURSOS!$D$5,"ATENCION A VICTIMAS DE ATAQUE CON AGENTES QUIMICOS ",IF(N129=CURSOS!$D$6,"PRIMEROS AUXILIOS ",IF(N129=CURSOS!$D$7,"DIPLOMADO DE UNIDAD DE CUIDADOS INTENSIVOS (UCI)",IF(N129=CURSOS!$D$8,"MODELO DE ATENCION PARA EVENTOS EMERGENTES EN SALUD MENTAL (CODIGO VERDE)",IF(N129=CURSOS!$D$9,"HUMANIZACION EN SALUD, BUENAS PRACTICAS EN PACIENTE ",IF(N129=CURSOS!$D$10,"CLINICA DE HERIDAS ",IF(N129=CURSOS!$D$11,"TOMA DE CITOLOGIA A CERVICO VAGINAL ",IF(N129=CURSOS!$D$12,"SOPORTE CARDIOVASCULAR AVANZADO ",IF(N129=CURSOS!$D$13,"CAMILLERO ",IF(N129=CURSOS!$D$14,"TOMA MUESTRAS Y LABORATORIO ",IF(N129=CURSOS!$D$15,"SOPORTE VITAL BASICO (BLS)",IF(N129=CURSOS!$D$16,"ATENCION A VICTIMAS DE VIOLENCIA SEXUAL ",IF(N129=CURSOS!$D$17,"PROGRAMADO AMPLIADO DE INMUNIZACION (PAI - COVID 19)",IF(N129=CURSOS!$D$18,"ATENCION INTEGRAL EN ENFERMEDADES PREVALENTES EN PRIMERA INFANCIA (AIEPI)",IF(N129=CURSOS!$D$19,"ADMINISTRACION DE MEDICAMENTOS, IYECTOLOGIA  Y CANALIZACION ",IF(N129=CURSOS!$D$20,"OPERADOR DE VEHICULOS DE EMERGENCIA (OVE)",IF(N129=CURSOS!$D$21,"INSTITUCIONES AMIGAS DE LA MUJER Y LA INFANCIA (IAMI)",IF(N129=CURSOS!$D$22,"CUIDADO DEL DONANTE DE ORGANOS",IF(N129=CURSOS!$D$23,"ATENCION A VICTIMAS POR VIOLENCIA DE GENERO",IF(N129=CURSOS!$D$24,"IGUALDAD DE GENERO EN LA SALUD",IF(N129=CURSOS!$D$25,"BRIGADA DE EMERGENCIA",IF(N129=CURSOS!$D$26,"MANEJO DEL DOLOR Y CUIDADOS PALIATIVOS",IF(N129=CURSOS!$D$27,"TOMA MUESTRAS Y LABORATORIO POCT",IF(N129=CURSOS!$D$28,"IMPLANTE SUBDERMICO Y DISPOSITIVO INTRAUTERINO",IF(N129=CURSOS!$D$29,"SALUD MENTAL",IF(N129=CURSOS!$D$30,"PRIMEROS AUXILIOS PSICOLOGICOS",IF(N129=CURSOS!$D$31,"ATENCION A VICTIMAS POR CONFLICTO ARMADO",IF(N129=CURSOS!$D$32,"MANIPULACION DE ALIMENTOS Y BPM"))))))))))))))))))))))))))))))</f>
        <v xml:space="preserve">ADMINISTRACION DE MEDICAMENTOS, IYECTOLOGIA  Y CANALIZACION </v>
      </c>
      <c r="U129" s="29" t="str">
        <f t="shared" si="18"/>
        <v>Lidia Ximena Ortega Ortega</v>
      </c>
      <c r="V129" s="29" t="str">
        <f t="shared" si="19"/>
        <v>Lidia Ximena Ortega Ortega</v>
      </c>
      <c r="W129" s="29" t="str">
        <f t="shared" si="20"/>
        <v>Lidia Ximena Ortega Ortega-59312855-ADMON DE MEDICAMENTOS</v>
      </c>
    </row>
    <row r="130" spans="1:23" s="117" customFormat="1" x14ac:dyDescent="0.2">
      <c r="A130" s="31">
        <v>130</v>
      </c>
      <c r="B130" s="112">
        <v>59312855</v>
      </c>
      <c r="C130" s="112" t="s">
        <v>108</v>
      </c>
      <c r="D130" s="112" t="s">
        <v>108</v>
      </c>
      <c r="E130" s="112" t="s">
        <v>434</v>
      </c>
      <c r="F130" s="112" t="s">
        <v>132</v>
      </c>
      <c r="G130" s="18">
        <v>23</v>
      </c>
      <c r="H130" s="18" t="s">
        <v>93</v>
      </c>
      <c r="I130" s="22">
        <v>45435</v>
      </c>
      <c r="J130" s="57">
        <v>25000</v>
      </c>
      <c r="K130" s="18" t="s">
        <v>77</v>
      </c>
      <c r="L130" s="18" t="s">
        <v>84</v>
      </c>
      <c r="M130" s="113" t="s">
        <v>75</v>
      </c>
      <c r="N130" s="114" t="s">
        <v>43</v>
      </c>
      <c r="O130" s="87">
        <v>30898</v>
      </c>
      <c r="P130" s="112" t="s">
        <v>100</v>
      </c>
      <c r="Q130" s="31" t="s">
        <v>106</v>
      </c>
      <c r="R130" s="112">
        <v>3186425591</v>
      </c>
      <c r="S130" s="112" t="s">
        <v>435</v>
      </c>
      <c r="T130" s="29" t="str">
        <f>IF(N130=CURSOS!$D$3,"DIPLOMADO EN ATENCION PRE-HOSPITALARIA",IF(N130=CURSOS!$D$4,"ACOMPAÑAMIENTO Y MANEJO DEL DUELO",IF(N130=CURSOS!$D$5,"ATENCION A VICTIMAS DE ATAQUE CON AGENTES QUIMICOS ",IF(N130=CURSOS!$D$6,"PRIMEROS AUXILIOS ",IF(N130=CURSOS!$D$7,"DIPLOMADO DE UNIDAD DE CUIDADOS INTENSIVOS (UCI)",IF(N130=CURSOS!$D$8,"MODELO DE ATENCION PARA EVENTOS EMERGENTES EN SALUD MENTAL (CODIGO VERDE)",IF(N130=CURSOS!$D$9,"HUMANIZACION EN SALUD, BUENAS PRACTICAS EN PACIENTE ",IF(N130=CURSOS!$D$10,"CLINICA DE HERIDAS ",IF(N130=CURSOS!$D$11,"TOMA DE CITOLOGIA A CERVICO VAGINAL ",IF(N130=CURSOS!$D$12,"SOPORTE CARDIOVASCULAR AVANZADO ",IF(N130=CURSOS!$D$13,"CAMILLERO ",IF(N130=CURSOS!$D$14,"TOMA MUESTRAS Y LABORATORIO ",IF(N130=CURSOS!$D$15,"SOPORTE VITAL BASICO (BLS)",IF(N130=CURSOS!$D$16,"ATENCION A VICTIMAS DE VIOLENCIA SEXUAL ",IF(N130=CURSOS!$D$17,"PROGRAMADO AMPLIADO DE INMUNIZACION (PAI - COVID 19)",IF(N130=CURSOS!$D$18,"ATENCION INTEGRAL EN ENFERMEDADES PREVALENTES EN PRIMERA INFANCIA (AIEPI)",IF(N130=CURSOS!$D$19,"ADMINISTRACION DE MEDICAMENTOS, IYECTOLOGIA  Y CANALIZACION ",IF(N130=CURSOS!$D$20,"OPERADOR DE VEHICULOS DE EMERGENCIA (OVE)",IF(N130=CURSOS!$D$21,"INSTITUCIONES AMIGAS DE LA MUJER Y LA INFANCIA (IAMI)",IF(N130=CURSOS!$D$22,"CUIDADO DEL DONANTE DE ORGANOS",IF(N130=CURSOS!$D$23,"ATENCION A VICTIMAS POR VIOLENCIA DE GENERO",IF(N130=CURSOS!$D$24,"IGUALDAD DE GENERO EN LA SALUD",IF(N130=CURSOS!$D$25,"BRIGADA DE EMERGENCIA",IF(N130=CURSOS!$D$26,"MANEJO DEL DOLOR Y CUIDADOS PALIATIVOS",IF(N130=CURSOS!$D$27,"TOMA MUESTRAS Y LABORATORIO POCT",IF(N130=CURSOS!$D$28,"IMPLANTE SUBDERMICO Y DISPOSITIVO INTRAUTERINO",IF(N130=CURSOS!$D$29,"SALUD MENTAL",IF(N130=CURSOS!$D$30,"PRIMEROS AUXILIOS PSICOLOGICOS",IF(N130=CURSOS!$D$31,"ATENCION A VICTIMAS POR CONFLICTO ARMADO",IF(N130=CURSOS!$D$32,"MANIPULACION DE ALIMENTOS Y BPM"))))))))))))))))))))))))))))))</f>
        <v xml:space="preserve">TOMA MUESTRAS Y LABORATORIO </v>
      </c>
      <c r="U130" s="29" t="str">
        <f t="shared" si="18"/>
        <v>Lidia Ximena Ortega Ortega</v>
      </c>
      <c r="V130" s="29" t="str">
        <f t="shared" si="19"/>
        <v>Lidia Ximena Ortega Ortega</v>
      </c>
      <c r="W130" s="29" t="str">
        <f t="shared" si="20"/>
        <v>Lidia Ximena Ortega Ortega-59312855-TOMA DE MUESTRAS</v>
      </c>
    </row>
    <row r="131" spans="1:23" s="117" customFormat="1" x14ac:dyDescent="0.2">
      <c r="A131" s="31">
        <v>131</v>
      </c>
      <c r="B131" s="118">
        <v>1085339035</v>
      </c>
      <c r="C131" s="118" t="s">
        <v>436</v>
      </c>
      <c r="D131" s="118" t="s">
        <v>82</v>
      </c>
      <c r="E131" s="118" t="s">
        <v>262</v>
      </c>
      <c r="F131" s="118" t="s">
        <v>309</v>
      </c>
      <c r="G131" s="119">
        <v>24</v>
      </c>
      <c r="H131" s="119" t="s">
        <v>93</v>
      </c>
      <c r="I131" s="120">
        <v>45436</v>
      </c>
      <c r="J131" s="121">
        <v>28000</v>
      </c>
      <c r="K131" s="119" t="s">
        <v>124</v>
      </c>
      <c r="L131" s="119" t="s">
        <v>84</v>
      </c>
      <c r="M131" s="113" t="s">
        <v>75</v>
      </c>
      <c r="N131" s="114" t="s">
        <v>46</v>
      </c>
      <c r="O131" s="122">
        <v>35838</v>
      </c>
      <c r="P131" s="118" t="s">
        <v>100</v>
      </c>
      <c r="Q131" s="123" t="s">
        <v>162</v>
      </c>
      <c r="R131" s="118">
        <v>3118776702</v>
      </c>
      <c r="S131" s="124" t="s">
        <v>437</v>
      </c>
      <c r="T131" s="29" t="str">
        <f>IF(N131=CURSOS!$D$3,"DIPLOMADO EN ATENCION PRE-HOSPITALARIA",IF(N131=CURSOS!$D$4,"ACOMPAÑAMIENTO Y MANEJO DEL DUELO",IF(N131=CURSOS!$D$5,"ATENCION A VICTIMAS DE ATAQUE CON AGENTES QUIMICOS ",IF(N131=CURSOS!$D$6,"PRIMEROS AUXILIOS ",IF(N131=CURSOS!$D$7,"DIPLOMADO DE UNIDAD DE CUIDADOS INTENSIVOS (UCI)",IF(N131=CURSOS!$D$8,"MODELO DE ATENCION PARA EVENTOS EMERGENTES EN SALUD MENTAL (CODIGO VERDE)",IF(N131=CURSOS!$D$9,"HUMANIZACION EN SALUD, BUENAS PRACTICAS EN PACIENTE ",IF(N131=CURSOS!$D$10,"CLINICA DE HERIDAS ",IF(N131=CURSOS!$D$11,"TOMA DE CITOLOGIA A CERVICO VAGINAL ",IF(N131=CURSOS!$D$12,"SOPORTE CARDIOVASCULAR AVANZADO ",IF(N131=CURSOS!$D$13,"CAMILLERO ",IF(N131=CURSOS!$D$14,"TOMA MUESTRAS Y LABORATORIO ",IF(N131=CURSOS!$D$15,"SOPORTE VITAL BASICO (BLS)",IF(N131=CURSOS!$D$16,"ATENCION A VICTIMAS DE VIOLENCIA SEXUAL ",IF(N131=CURSOS!$D$17,"PROGRAMADO AMPLIADO DE INMUNIZACION (PAI - COVID 19)",IF(N131=CURSOS!$D$18,"ATENCION INTEGRAL EN ENFERMEDADES PREVALENTES EN PRIMERA INFANCIA (AIEPI)",IF(N131=CURSOS!$D$19,"ADMINISTRACION DE MEDICAMENTOS, IYECTOLOGIA  Y CANALIZACION ",IF(N131=CURSOS!$D$20,"OPERADOR DE VEHICULOS DE EMERGENCIA (OVE)",IF(N131=CURSOS!$D$21,"INSTITUCIONES AMIGAS DE LA MUJER Y LA INFANCIA (IAMI)",IF(N131=CURSOS!$D$22,"CUIDADO DEL DONANTE DE ORGANOS",IF(N131=CURSOS!$D$23,"ATENCION A VICTIMAS POR VIOLENCIA DE GENERO",IF(N131=CURSOS!$D$24,"IGUALDAD DE GENERO EN LA SALUD",IF(N131=CURSOS!$D$25,"BRIGADA DE EMERGENCIA",IF(N131=CURSOS!$D$26,"MANEJO DEL DOLOR Y CUIDADOS PALIATIVOS",IF(N131=CURSOS!$D$27,"TOMA MUESTRAS Y LABORATORIO POCT",IF(N131=CURSOS!$D$28,"IMPLANTE SUBDERMICO Y DISPOSITIVO INTRAUTERINO",IF(N131=CURSOS!$D$29,"SALUD MENTAL",IF(N131=CURSOS!$D$30,"PRIMEROS AUXILIOS PSICOLOGICOS",IF(N131=CURSOS!$D$31,"ATENCION A VICTIMAS POR CONFLICTO ARMADO",IF(N131=CURSOS!$D$32,"MANIPULACION DE ALIMENTOS Y BPM"))))))))))))))))))))))))))))))</f>
        <v xml:space="preserve">ATENCION A VICTIMAS DE VIOLENCIA SEXUAL </v>
      </c>
      <c r="U131" s="29" t="str">
        <f t="shared" si="18"/>
        <v>María Alejandra Serrano Delgado</v>
      </c>
      <c r="V131" s="29" t="str">
        <f t="shared" si="19"/>
        <v>María Alejandra Serrano Delgado</v>
      </c>
      <c r="W131" s="29" t="str">
        <f t="shared" si="20"/>
        <v>María Alejandra Serrano Delgado-1085339035-VIOLENCIA SEXUAL</v>
      </c>
    </row>
    <row r="132" spans="1:23" s="117" customFormat="1" x14ac:dyDescent="0.2">
      <c r="A132" s="31">
        <v>132</v>
      </c>
      <c r="B132" s="118">
        <v>1085339035</v>
      </c>
      <c r="C132" s="118" t="s">
        <v>436</v>
      </c>
      <c r="D132" s="118" t="s">
        <v>82</v>
      </c>
      <c r="E132" s="118" t="s">
        <v>262</v>
      </c>
      <c r="F132" s="118" t="s">
        <v>309</v>
      </c>
      <c r="G132" s="119">
        <v>24</v>
      </c>
      <c r="H132" s="119" t="s">
        <v>93</v>
      </c>
      <c r="I132" s="120">
        <v>45436</v>
      </c>
      <c r="J132" s="121">
        <v>28000</v>
      </c>
      <c r="K132" s="119" t="s">
        <v>124</v>
      </c>
      <c r="L132" s="119" t="s">
        <v>84</v>
      </c>
      <c r="M132" s="113" t="s">
        <v>75</v>
      </c>
      <c r="N132" s="114" t="s">
        <v>25</v>
      </c>
      <c r="O132" s="122">
        <v>35838</v>
      </c>
      <c r="P132" s="118" t="s">
        <v>100</v>
      </c>
      <c r="Q132" s="123" t="s">
        <v>162</v>
      </c>
      <c r="R132" s="118">
        <v>3118776702</v>
      </c>
      <c r="S132" s="118" t="s">
        <v>437</v>
      </c>
      <c r="T132" s="29" t="str">
        <f>IF(N132=CURSOS!$D$3,"DIPLOMADO EN ATENCION PRE-HOSPITALARIA",IF(N132=CURSOS!$D$4,"ACOMPAÑAMIENTO Y MANEJO DEL DUELO",IF(N132=CURSOS!$D$5,"ATENCION A VICTIMAS DE ATAQUE CON AGENTES QUIMICOS ",IF(N132=CURSOS!$D$6,"PRIMEROS AUXILIOS ",IF(N132=CURSOS!$D$7,"DIPLOMADO DE UNIDAD DE CUIDADOS INTENSIVOS (UCI)",IF(N132=CURSOS!$D$8,"MODELO DE ATENCION PARA EVENTOS EMERGENTES EN SALUD MENTAL (CODIGO VERDE)",IF(N132=CURSOS!$D$9,"HUMANIZACION EN SALUD, BUENAS PRACTICAS EN PACIENTE ",IF(N132=CURSOS!$D$10,"CLINICA DE HERIDAS ",IF(N132=CURSOS!$D$11,"TOMA DE CITOLOGIA A CERVICO VAGINAL ",IF(N132=CURSOS!$D$12,"SOPORTE CARDIOVASCULAR AVANZADO ",IF(N132=CURSOS!$D$13,"CAMILLERO ",IF(N132=CURSOS!$D$14,"TOMA MUESTRAS Y LABORATORIO ",IF(N132=CURSOS!$D$15,"SOPORTE VITAL BASICO (BLS)",IF(N132=CURSOS!$D$16,"ATENCION A VICTIMAS DE VIOLENCIA SEXUAL ",IF(N132=CURSOS!$D$17,"PROGRAMADO AMPLIADO DE INMUNIZACION (PAI - COVID 19)",IF(N132=CURSOS!$D$18,"ATENCION INTEGRAL EN ENFERMEDADES PREVALENTES EN PRIMERA INFANCIA (AIEPI)",IF(N132=CURSOS!$D$19,"ADMINISTRACION DE MEDICAMENTOS, IYECTOLOGIA  Y CANALIZACION ",IF(N132=CURSOS!$D$20,"OPERADOR DE VEHICULOS DE EMERGENCIA (OVE)",IF(N132=CURSOS!$D$21,"INSTITUCIONES AMIGAS DE LA MUJER Y LA INFANCIA (IAMI)",IF(N132=CURSOS!$D$22,"CUIDADO DEL DONANTE DE ORGANOS",IF(N132=CURSOS!$D$23,"ATENCION A VICTIMAS POR VIOLENCIA DE GENERO",IF(N132=CURSOS!$D$24,"IGUALDAD DE GENERO EN LA SALUD",IF(N132=CURSOS!$D$25,"BRIGADA DE EMERGENCIA",IF(N132=CURSOS!$D$26,"MANEJO DEL DOLOR Y CUIDADOS PALIATIVOS",IF(N132=CURSOS!$D$27,"TOMA MUESTRAS Y LABORATORIO POCT",IF(N132=CURSOS!$D$28,"IMPLANTE SUBDERMICO Y DISPOSITIVO INTRAUTERINO",IF(N132=CURSOS!$D$29,"SALUD MENTAL",IF(N132=CURSOS!$D$30,"PRIMEROS AUXILIOS PSICOLOGICOS",IF(N132=CURSOS!$D$31,"ATENCION A VICTIMAS POR CONFLICTO ARMADO",IF(N132=CURSOS!$D$32,"MANIPULACION DE ALIMENTOS Y BPM"))))))))))))))))))))))))))))))</f>
        <v xml:space="preserve">ATENCION A VICTIMAS DE ATAQUE CON AGENTES QUIMICOS </v>
      </c>
      <c r="U132" s="29" t="str">
        <f t="shared" si="18"/>
        <v>María Alejandra Serrano Delgado</v>
      </c>
      <c r="V132" s="29" t="str">
        <f t="shared" si="19"/>
        <v>María Alejandra Serrano Delgado</v>
      </c>
      <c r="W132" s="29" t="str">
        <f t="shared" si="20"/>
        <v>María Alejandra Serrano Delgado-1085339035-QUIMICOS</v>
      </c>
    </row>
    <row r="133" spans="1:23" s="117" customFormat="1" x14ac:dyDescent="0.2">
      <c r="A133" s="31">
        <v>133</v>
      </c>
      <c r="B133" s="118">
        <v>36759646</v>
      </c>
      <c r="C133" s="118" t="s">
        <v>120</v>
      </c>
      <c r="D133" s="118" t="s">
        <v>438</v>
      </c>
      <c r="E133" s="118" t="s">
        <v>439</v>
      </c>
      <c r="F133" s="118" t="s">
        <v>340</v>
      </c>
      <c r="G133" s="119">
        <v>24</v>
      </c>
      <c r="H133" s="119" t="s">
        <v>93</v>
      </c>
      <c r="I133" s="120">
        <v>45436</v>
      </c>
      <c r="J133" s="121">
        <v>28000</v>
      </c>
      <c r="K133" s="119" t="s">
        <v>83</v>
      </c>
      <c r="L133" s="119" t="s">
        <v>84</v>
      </c>
      <c r="M133" s="113" t="s">
        <v>75</v>
      </c>
      <c r="N133" s="114" t="s">
        <v>46</v>
      </c>
      <c r="O133" s="118" t="s">
        <v>442</v>
      </c>
      <c r="P133" s="118" t="s">
        <v>100</v>
      </c>
      <c r="Q133" s="123" t="s">
        <v>441</v>
      </c>
      <c r="R133" s="118">
        <v>3104437182</v>
      </c>
      <c r="S133" s="118" t="s">
        <v>440</v>
      </c>
      <c r="T133" s="29" t="str">
        <f>IF(N133=CURSOS!$D$3,"DIPLOMADO EN ATENCION PRE-HOSPITALARIA",IF(N133=CURSOS!$D$4,"ACOMPAÑAMIENTO Y MANEJO DEL DUELO",IF(N133=CURSOS!$D$5,"ATENCION A VICTIMAS DE ATAQUE CON AGENTES QUIMICOS ",IF(N133=CURSOS!$D$6,"PRIMEROS AUXILIOS ",IF(N133=CURSOS!$D$7,"DIPLOMADO DE UNIDAD DE CUIDADOS INTENSIVOS (UCI)",IF(N133=CURSOS!$D$8,"MODELO DE ATENCION PARA EVENTOS EMERGENTES EN SALUD MENTAL (CODIGO VERDE)",IF(N133=CURSOS!$D$9,"HUMANIZACION EN SALUD, BUENAS PRACTICAS EN PACIENTE ",IF(N133=CURSOS!$D$10,"CLINICA DE HERIDAS ",IF(N133=CURSOS!$D$11,"TOMA DE CITOLOGIA A CERVICO VAGINAL ",IF(N133=CURSOS!$D$12,"SOPORTE CARDIOVASCULAR AVANZADO ",IF(N133=CURSOS!$D$13,"CAMILLERO ",IF(N133=CURSOS!$D$14,"TOMA MUESTRAS Y LABORATORIO ",IF(N133=CURSOS!$D$15,"SOPORTE VITAL BASICO (BLS)",IF(N133=CURSOS!$D$16,"ATENCION A VICTIMAS DE VIOLENCIA SEXUAL ",IF(N133=CURSOS!$D$17,"PROGRAMADO AMPLIADO DE INMUNIZACION (PAI - COVID 19)",IF(N133=CURSOS!$D$18,"ATENCION INTEGRAL EN ENFERMEDADES PREVALENTES EN PRIMERA INFANCIA (AIEPI)",IF(N133=CURSOS!$D$19,"ADMINISTRACION DE MEDICAMENTOS, IYECTOLOGIA  Y CANALIZACION ",IF(N133=CURSOS!$D$20,"OPERADOR DE VEHICULOS DE EMERGENCIA (OVE)",IF(N133=CURSOS!$D$21,"INSTITUCIONES AMIGAS DE LA MUJER Y LA INFANCIA (IAMI)",IF(N133=CURSOS!$D$22,"CUIDADO DEL DONANTE DE ORGANOS",IF(N133=CURSOS!$D$23,"ATENCION A VICTIMAS POR VIOLENCIA DE GENERO",IF(N133=CURSOS!$D$24,"IGUALDAD DE GENERO EN LA SALUD",IF(N133=CURSOS!$D$25,"BRIGADA DE EMERGENCIA",IF(N133=CURSOS!$D$26,"MANEJO DEL DOLOR Y CUIDADOS PALIATIVOS",IF(N133=CURSOS!$D$27,"TOMA MUESTRAS Y LABORATORIO POCT",IF(N133=CURSOS!$D$28,"IMPLANTE SUBDERMICO Y DISPOSITIVO INTRAUTERINO",IF(N133=CURSOS!$D$29,"SALUD MENTAL",IF(N133=CURSOS!$D$30,"PRIMEROS AUXILIOS PSICOLOGICOS",IF(N133=CURSOS!$D$31,"ATENCION A VICTIMAS POR CONFLICTO ARMADO",IF(N133=CURSOS!$D$32,"MANIPULACION DE ALIMENTOS Y BPM"))))))))))))))))))))))))))))))</f>
        <v xml:space="preserve">ATENCION A VICTIMAS DE VIOLENCIA SEXUAL </v>
      </c>
      <c r="U133" s="29" t="str">
        <f t="shared" si="18"/>
        <v>Doris Elena Rosero Flórez</v>
      </c>
      <c r="V133" s="29" t="str">
        <f t="shared" si="19"/>
        <v>Doris Elena Rosero Flórez</v>
      </c>
      <c r="W133" s="29" t="str">
        <f t="shared" si="20"/>
        <v>Doris Elena Rosero Flórez-36759646-VIOLENCIA SEXUAL</v>
      </c>
    </row>
    <row r="134" spans="1:23" s="117" customFormat="1" x14ac:dyDescent="0.2">
      <c r="A134" s="31">
        <v>134</v>
      </c>
      <c r="B134" s="118">
        <v>36759646</v>
      </c>
      <c r="C134" s="118" t="s">
        <v>120</v>
      </c>
      <c r="D134" s="118" t="s">
        <v>438</v>
      </c>
      <c r="E134" s="118" t="s">
        <v>439</v>
      </c>
      <c r="F134" s="118" t="s">
        <v>340</v>
      </c>
      <c r="G134" s="119">
        <v>24</v>
      </c>
      <c r="H134" s="119" t="s">
        <v>93</v>
      </c>
      <c r="I134" s="120">
        <v>45436</v>
      </c>
      <c r="J134" s="121">
        <v>28000</v>
      </c>
      <c r="K134" s="119" t="s">
        <v>83</v>
      </c>
      <c r="L134" s="119" t="s">
        <v>84</v>
      </c>
      <c r="M134" s="113" t="s">
        <v>75</v>
      </c>
      <c r="N134" s="114" t="s">
        <v>54</v>
      </c>
      <c r="O134" s="122" t="s">
        <v>442</v>
      </c>
      <c r="P134" s="118" t="s">
        <v>100</v>
      </c>
      <c r="Q134" s="123" t="s">
        <v>441</v>
      </c>
      <c r="R134" s="118">
        <v>3104437182</v>
      </c>
      <c r="S134" s="124" t="s">
        <v>440</v>
      </c>
      <c r="T134" s="29" t="str">
        <f>IF(N134=CURSOS!$D$3,"DIPLOMADO EN ATENCION PRE-HOSPITALARIA",IF(N134=CURSOS!$D$4,"ACOMPAÑAMIENTO Y MANEJO DEL DUELO",IF(N134=CURSOS!$D$5,"ATENCION A VICTIMAS DE ATAQUE CON AGENTES QUIMICOS ",IF(N134=CURSOS!$D$6,"PRIMEROS AUXILIOS ",IF(N134=CURSOS!$D$7,"DIPLOMADO DE UNIDAD DE CUIDADOS INTENSIVOS (UCI)",IF(N134=CURSOS!$D$8,"MODELO DE ATENCION PARA EVENTOS EMERGENTES EN SALUD MENTAL (CODIGO VERDE)",IF(N134=CURSOS!$D$9,"HUMANIZACION EN SALUD, BUENAS PRACTICAS EN PACIENTE ",IF(N134=CURSOS!$D$10,"CLINICA DE HERIDAS ",IF(N134=CURSOS!$D$11,"TOMA DE CITOLOGIA A CERVICO VAGINAL ",IF(N134=CURSOS!$D$12,"SOPORTE CARDIOVASCULAR AVANZADO ",IF(N134=CURSOS!$D$13,"CAMILLERO ",IF(N134=CURSOS!$D$14,"TOMA MUESTRAS Y LABORATORIO ",IF(N134=CURSOS!$D$15,"SOPORTE VITAL BASICO (BLS)",IF(N134=CURSOS!$D$16,"ATENCION A VICTIMAS DE VIOLENCIA SEXUAL ",IF(N134=CURSOS!$D$17,"PROGRAMADO AMPLIADO DE INMUNIZACION (PAI - COVID 19)",IF(N134=CURSOS!$D$18,"ATENCION INTEGRAL EN ENFERMEDADES PREVALENTES EN PRIMERA INFANCIA (AIEPI)",IF(N134=CURSOS!$D$19,"ADMINISTRACION DE MEDICAMENTOS, IYECTOLOGIA  Y CANALIZACION ",IF(N134=CURSOS!$D$20,"OPERADOR DE VEHICULOS DE EMERGENCIA (OVE)",IF(N134=CURSOS!$D$21,"INSTITUCIONES AMIGAS DE LA MUJER Y LA INFANCIA (IAMI)",IF(N134=CURSOS!$D$22,"CUIDADO DEL DONANTE DE ORGANOS",IF(N134=CURSOS!$D$23,"ATENCION A VICTIMAS POR VIOLENCIA DE GENERO",IF(N134=CURSOS!$D$24,"IGUALDAD DE GENERO EN LA SALUD",IF(N134=CURSOS!$D$25,"BRIGADA DE EMERGENCIA",IF(N134=CURSOS!$D$26,"MANEJO DEL DOLOR Y CUIDADOS PALIATIVOS",IF(N134=CURSOS!$D$27,"TOMA MUESTRAS Y LABORATORIO POCT",IF(N134=CURSOS!$D$28,"IMPLANTE SUBDERMICO Y DISPOSITIVO INTRAUTERINO",IF(N134=CURSOS!$D$29,"SALUD MENTAL",IF(N134=CURSOS!$D$30,"PRIMEROS AUXILIOS PSICOLOGICOS",IF(N134=CURSOS!$D$31,"ATENCION A VICTIMAS POR CONFLICTO ARMADO",IF(N134=CURSOS!$D$32,"MANIPULACION DE ALIMENTOS Y BPM"))))))))))))))))))))))))))))))</f>
        <v>INSTITUCIONES AMIGAS DE LA MUJER Y LA INFANCIA (IAMI)</v>
      </c>
      <c r="U134" s="29" t="str">
        <f t="shared" si="18"/>
        <v>Doris Elena Rosero Flórez</v>
      </c>
      <c r="V134" s="29" t="str">
        <f t="shared" si="19"/>
        <v>Doris Elena Rosero Flórez</v>
      </c>
      <c r="W134" s="29" t="str">
        <f t="shared" si="20"/>
        <v>Doris Elena Rosero Flórez-36759646-IAMI</v>
      </c>
    </row>
    <row r="135" spans="1:23" s="117" customFormat="1" x14ac:dyDescent="0.2">
      <c r="A135" s="31">
        <v>135</v>
      </c>
      <c r="B135" s="118">
        <v>36759646</v>
      </c>
      <c r="C135" s="118" t="s">
        <v>120</v>
      </c>
      <c r="D135" s="118" t="s">
        <v>438</v>
      </c>
      <c r="E135" s="118" t="s">
        <v>439</v>
      </c>
      <c r="F135" s="118" t="s">
        <v>340</v>
      </c>
      <c r="G135" s="119">
        <v>24</v>
      </c>
      <c r="H135" s="119" t="s">
        <v>93</v>
      </c>
      <c r="I135" s="120">
        <v>45436</v>
      </c>
      <c r="J135" s="121">
        <v>28000</v>
      </c>
      <c r="K135" s="119" t="s">
        <v>83</v>
      </c>
      <c r="L135" s="119" t="s">
        <v>84</v>
      </c>
      <c r="M135" s="113" t="s">
        <v>75</v>
      </c>
      <c r="N135" s="114" t="s">
        <v>49</v>
      </c>
      <c r="O135" s="122" t="s">
        <v>442</v>
      </c>
      <c r="P135" s="118" t="s">
        <v>100</v>
      </c>
      <c r="Q135" s="123" t="s">
        <v>441</v>
      </c>
      <c r="R135" s="118">
        <v>3104437182</v>
      </c>
      <c r="S135" s="124" t="s">
        <v>440</v>
      </c>
      <c r="T135" s="29" t="str">
        <f>IF(N135=CURSOS!$D$3,"DIPLOMADO EN ATENCION PRE-HOSPITALARIA",IF(N135=CURSOS!$D$4,"ACOMPAÑAMIENTO Y MANEJO DEL DUELO",IF(N135=CURSOS!$D$5,"ATENCION A VICTIMAS DE ATAQUE CON AGENTES QUIMICOS ",IF(N135=CURSOS!$D$6,"PRIMEROS AUXILIOS ",IF(N135=CURSOS!$D$7,"DIPLOMADO DE UNIDAD DE CUIDADOS INTENSIVOS (UCI)",IF(N135=CURSOS!$D$8,"MODELO DE ATENCION PARA EVENTOS EMERGENTES EN SALUD MENTAL (CODIGO VERDE)",IF(N135=CURSOS!$D$9,"HUMANIZACION EN SALUD, BUENAS PRACTICAS EN PACIENTE ",IF(N135=CURSOS!$D$10,"CLINICA DE HERIDAS ",IF(N135=CURSOS!$D$11,"TOMA DE CITOLOGIA A CERVICO VAGINAL ",IF(N135=CURSOS!$D$12,"SOPORTE CARDIOVASCULAR AVANZADO ",IF(N135=CURSOS!$D$13,"CAMILLERO ",IF(N135=CURSOS!$D$14,"TOMA MUESTRAS Y LABORATORIO ",IF(N135=CURSOS!$D$15,"SOPORTE VITAL BASICO (BLS)",IF(N135=CURSOS!$D$16,"ATENCION A VICTIMAS DE VIOLENCIA SEXUAL ",IF(N135=CURSOS!$D$17,"PROGRAMADO AMPLIADO DE INMUNIZACION (PAI - COVID 19)",IF(N135=CURSOS!$D$18,"ATENCION INTEGRAL EN ENFERMEDADES PREVALENTES EN PRIMERA INFANCIA (AIEPI)",IF(N135=CURSOS!$D$19,"ADMINISTRACION DE MEDICAMENTOS, IYECTOLOGIA  Y CANALIZACION ",IF(N135=CURSOS!$D$20,"OPERADOR DE VEHICULOS DE EMERGENCIA (OVE)",IF(N135=CURSOS!$D$21,"INSTITUCIONES AMIGAS DE LA MUJER Y LA INFANCIA (IAMI)",IF(N135=CURSOS!$D$22,"CUIDADO DEL DONANTE DE ORGANOS",IF(N135=CURSOS!$D$23,"ATENCION A VICTIMAS POR VIOLENCIA DE GENERO",IF(N135=CURSOS!$D$24,"IGUALDAD DE GENERO EN LA SALUD",IF(N135=CURSOS!$D$25,"BRIGADA DE EMERGENCIA",IF(N135=CURSOS!$D$26,"MANEJO DEL DOLOR Y CUIDADOS PALIATIVOS",IF(N135=CURSOS!$D$27,"TOMA MUESTRAS Y LABORATORIO POCT",IF(N135=CURSOS!$D$28,"IMPLANTE SUBDERMICO Y DISPOSITIVO INTRAUTERINO",IF(N135=CURSOS!$D$29,"SALUD MENTAL",IF(N135=CURSOS!$D$30,"PRIMEROS AUXILIOS PSICOLOGICOS",IF(N135=CURSOS!$D$31,"ATENCION A VICTIMAS POR CONFLICTO ARMADO",IF(N135=CURSOS!$D$32,"MANIPULACION DE ALIMENTOS Y BPM"))))))))))))))))))))))))))))))</f>
        <v>ATENCION INTEGRAL EN ENFERMEDADES PREVALENTES EN PRIMERA INFANCIA (AIEPI)</v>
      </c>
      <c r="U135" s="29" t="str">
        <f t="shared" si="18"/>
        <v>Doris Elena Rosero Flórez</v>
      </c>
      <c r="V135" s="29" t="str">
        <f t="shared" si="19"/>
        <v>Doris Elena Rosero Flórez</v>
      </c>
      <c r="W135" s="29" t="str">
        <f t="shared" si="20"/>
        <v>Doris Elena Rosero Flórez-36759646-AIEPI</v>
      </c>
    </row>
    <row r="136" spans="1:23" s="117" customFormat="1" x14ac:dyDescent="0.2">
      <c r="A136" s="31">
        <v>136</v>
      </c>
      <c r="B136" s="123">
        <v>98396842</v>
      </c>
      <c r="C136" s="118" t="s">
        <v>443</v>
      </c>
      <c r="D136" s="118" t="s">
        <v>444</v>
      </c>
      <c r="E136" s="118" t="s">
        <v>445</v>
      </c>
      <c r="F136" s="118" t="s">
        <v>446</v>
      </c>
      <c r="G136" s="119">
        <v>27</v>
      </c>
      <c r="H136" s="119" t="s">
        <v>93</v>
      </c>
      <c r="I136" s="120">
        <v>45439</v>
      </c>
      <c r="J136" s="121">
        <v>20000</v>
      </c>
      <c r="K136" s="119" t="s">
        <v>77</v>
      </c>
      <c r="L136" s="119" t="s">
        <v>84</v>
      </c>
      <c r="M136" s="113" t="s">
        <v>75</v>
      </c>
      <c r="N136" s="114" t="s">
        <v>19</v>
      </c>
      <c r="O136" s="122">
        <v>28277</v>
      </c>
      <c r="P136" s="118" t="s">
        <v>79</v>
      </c>
      <c r="Q136" s="123" t="s">
        <v>157</v>
      </c>
      <c r="R136" s="118">
        <v>3168908868</v>
      </c>
      <c r="S136" s="124" t="s">
        <v>447</v>
      </c>
      <c r="T136" s="29" t="str">
        <f>IF(N136=CURSOS!$D$3,"DIPLOMADO EN ATENCION PRE-HOSPITALARIA",IF(N136=CURSOS!$D$4,"ACOMPAÑAMIENTO Y MANEJO DEL DUELO",IF(N136=CURSOS!$D$5,"ATENCION A VICTIMAS DE ATAQUE CON AGENTES QUIMICOS ",IF(N136=CURSOS!$D$6,"PRIMEROS AUXILIOS ",IF(N136=CURSOS!$D$7,"DIPLOMADO DE UNIDAD DE CUIDADOS INTENSIVOS (UCI)",IF(N136=CURSOS!$D$8,"MODELO DE ATENCION PARA EVENTOS EMERGENTES EN SALUD MENTAL (CODIGO VERDE)",IF(N136=CURSOS!$D$9,"HUMANIZACION EN SALUD, BUENAS PRACTICAS EN PACIENTE ",IF(N136=CURSOS!$D$10,"CLINICA DE HERIDAS ",IF(N136=CURSOS!$D$11,"TOMA DE CITOLOGIA A CERVICO VAGINAL ",IF(N136=CURSOS!$D$12,"SOPORTE CARDIOVASCULAR AVANZADO ",IF(N136=CURSOS!$D$13,"CAMILLERO ",IF(N136=CURSOS!$D$14,"TOMA MUESTRAS Y LABORATORIO ",IF(N136=CURSOS!$D$15,"SOPORTE VITAL BASICO (BLS)",IF(N136=CURSOS!$D$16,"ATENCION A VICTIMAS DE VIOLENCIA SEXUAL ",IF(N136=CURSOS!$D$17,"PROGRAMADO AMPLIADO DE INMUNIZACION (PAI - COVID 19)",IF(N136=CURSOS!$D$18,"ATENCION INTEGRAL EN ENFERMEDADES PREVALENTES EN PRIMERA INFANCIA (AIEPI)",IF(N136=CURSOS!$D$19,"ADMINISTRACION DE MEDICAMENTOS, IYECTOLOGIA  Y CANALIZACION ",IF(N136=CURSOS!$D$20,"OPERADOR DE VEHICULOS DE EMERGENCIA (OVE)",IF(N136=CURSOS!$D$21,"INSTITUCIONES AMIGAS DE LA MUJER Y LA INFANCIA (IAMI)",IF(N136=CURSOS!$D$22,"CUIDADO DEL DONANTE DE ORGANOS",IF(N136=CURSOS!$D$23,"ATENCION A VICTIMAS POR VIOLENCIA DE GENERO",IF(N136=CURSOS!$D$24,"IGUALDAD DE GENERO EN LA SALUD",IF(N136=CURSOS!$D$25,"BRIGADA DE EMERGENCIA",IF(N136=CURSOS!$D$26,"MANEJO DEL DOLOR Y CUIDADOS PALIATIVOS",IF(N136=CURSOS!$D$27,"TOMA MUESTRAS Y LABORATORIO POCT",IF(N136=CURSOS!$D$28,"IMPLANTE SUBDERMICO Y DISPOSITIVO INTRAUTERINO",IF(N136=CURSOS!$D$29,"SALUD MENTAL",IF(N136=CURSOS!$D$30,"PRIMEROS AUXILIOS PSICOLOGICOS",IF(N136=CURSOS!$D$31,"ATENCION A VICTIMAS POR CONFLICTO ARMADO",IF(N136=CURSOS!$D$32,"MANIPULACION DE ALIMENTOS Y BPM"))))))))))))))))))))))))))))))</f>
        <v>SOPORTE VITAL BASICO (BLS)</v>
      </c>
      <c r="U136" s="29" t="str">
        <f t="shared" si="18"/>
        <v>Yomar Luis Salas Meneses</v>
      </c>
      <c r="V136" s="29" t="str">
        <f t="shared" si="19"/>
        <v>Yomar Luis Salas Meneses</v>
      </c>
      <c r="W136" s="29" t="str">
        <f t="shared" si="20"/>
        <v>Yomar Luis Salas Meneses-98396842-BLS</v>
      </c>
    </row>
    <row r="137" spans="1:23" s="117" customFormat="1" x14ac:dyDescent="0.2">
      <c r="A137" s="31">
        <v>137</v>
      </c>
      <c r="B137" s="123">
        <v>98396842</v>
      </c>
      <c r="C137" s="118" t="s">
        <v>443</v>
      </c>
      <c r="D137" s="118" t="s">
        <v>444</v>
      </c>
      <c r="E137" s="118" t="s">
        <v>445</v>
      </c>
      <c r="F137" s="118" t="s">
        <v>446</v>
      </c>
      <c r="G137" s="119">
        <v>27</v>
      </c>
      <c r="H137" s="119" t="s">
        <v>93</v>
      </c>
      <c r="I137" s="120">
        <v>45439</v>
      </c>
      <c r="J137" s="121">
        <v>20000</v>
      </c>
      <c r="K137" s="119" t="s">
        <v>77</v>
      </c>
      <c r="L137" s="119" t="s">
        <v>84</v>
      </c>
      <c r="M137" s="113" t="s">
        <v>75</v>
      </c>
      <c r="N137" s="114" t="s">
        <v>27</v>
      </c>
      <c r="O137" s="122">
        <v>28277</v>
      </c>
      <c r="P137" s="118" t="s">
        <v>79</v>
      </c>
      <c r="Q137" s="123" t="s">
        <v>157</v>
      </c>
      <c r="R137" s="118">
        <v>3168908868</v>
      </c>
      <c r="S137" s="124" t="s">
        <v>447</v>
      </c>
      <c r="T137" s="29" t="str">
        <f>IF(N137=CURSOS!$D$3,"DIPLOMADO EN ATENCION PRE-HOSPITALARIA",IF(N137=CURSOS!$D$4,"ACOMPAÑAMIENTO Y MANEJO DEL DUELO",IF(N137=CURSOS!$D$5,"ATENCION A VICTIMAS DE ATAQUE CON AGENTES QUIMICOS ",IF(N137=CURSOS!$D$6,"PRIMEROS AUXILIOS ",IF(N137=CURSOS!$D$7,"DIPLOMADO DE UNIDAD DE CUIDADOS INTENSIVOS (UCI)",IF(N137=CURSOS!$D$8,"MODELO DE ATENCION PARA EVENTOS EMERGENTES EN SALUD MENTAL (CODIGO VERDE)",IF(N137=CURSOS!$D$9,"HUMANIZACION EN SALUD, BUENAS PRACTICAS EN PACIENTE ",IF(N137=CURSOS!$D$10,"CLINICA DE HERIDAS ",IF(N137=CURSOS!$D$11,"TOMA DE CITOLOGIA A CERVICO VAGINAL ",IF(N137=CURSOS!$D$12,"SOPORTE CARDIOVASCULAR AVANZADO ",IF(N137=CURSOS!$D$13,"CAMILLERO ",IF(N137=CURSOS!$D$14,"TOMA MUESTRAS Y LABORATORIO ",IF(N137=CURSOS!$D$15,"SOPORTE VITAL BASICO (BLS)",IF(N137=CURSOS!$D$16,"ATENCION A VICTIMAS DE VIOLENCIA SEXUAL ",IF(N137=CURSOS!$D$17,"PROGRAMADO AMPLIADO DE INMUNIZACION (PAI - COVID 19)",IF(N137=CURSOS!$D$18,"ATENCION INTEGRAL EN ENFERMEDADES PREVALENTES EN PRIMERA INFANCIA (AIEPI)",IF(N137=CURSOS!$D$19,"ADMINISTRACION DE MEDICAMENTOS, IYECTOLOGIA  Y CANALIZACION ",IF(N137=CURSOS!$D$20,"OPERADOR DE VEHICULOS DE EMERGENCIA (OVE)",IF(N137=CURSOS!$D$21,"INSTITUCIONES AMIGAS DE LA MUJER Y LA INFANCIA (IAMI)",IF(N137=CURSOS!$D$22,"CUIDADO DEL DONANTE DE ORGANOS",IF(N137=CURSOS!$D$23,"ATENCION A VICTIMAS POR VIOLENCIA DE GENERO",IF(N137=CURSOS!$D$24,"IGUALDAD DE GENERO EN LA SALUD",IF(N137=CURSOS!$D$25,"BRIGADA DE EMERGENCIA",IF(N137=CURSOS!$D$26,"MANEJO DEL DOLOR Y CUIDADOS PALIATIVOS",IF(N137=CURSOS!$D$27,"TOMA MUESTRAS Y LABORATORIO POCT",IF(N137=CURSOS!$D$28,"IMPLANTE SUBDERMICO Y DISPOSITIVO INTRAUTERINO",IF(N137=CURSOS!$D$29,"SALUD MENTAL",IF(N137=CURSOS!$D$30,"PRIMEROS AUXILIOS PSICOLOGICOS",IF(N137=CURSOS!$D$31,"ATENCION A VICTIMAS POR CONFLICTO ARMADO",IF(N137=CURSOS!$D$32,"MANIPULACION DE ALIMENTOS Y BPM"))))))))))))))))))))))))))))))</f>
        <v xml:space="preserve">PRIMEROS AUXILIOS </v>
      </c>
      <c r="U137" s="29" t="str">
        <f t="shared" si="18"/>
        <v>Yomar Luis Salas Meneses</v>
      </c>
      <c r="V137" s="29" t="str">
        <f t="shared" si="19"/>
        <v>Yomar Luis Salas Meneses</v>
      </c>
      <c r="W137" s="29" t="str">
        <f t="shared" si="20"/>
        <v>Yomar Luis Salas Meneses-98396842-PRIMEROS AUXILIOS</v>
      </c>
    </row>
    <row r="138" spans="1:23" s="117" customFormat="1" x14ac:dyDescent="0.2">
      <c r="A138" s="31">
        <v>138</v>
      </c>
      <c r="B138" s="118">
        <v>1193133703</v>
      </c>
      <c r="C138" s="118" t="s">
        <v>126</v>
      </c>
      <c r="D138" s="118" t="s">
        <v>448</v>
      </c>
      <c r="E138" s="118" t="s">
        <v>244</v>
      </c>
      <c r="F138" s="118" t="s">
        <v>449</v>
      </c>
      <c r="G138" s="119">
        <v>27</v>
      </c>
      <c r="H138" s="119" t="s">
        <v>93</v>
      </c>
      <c r="I138" s="120">
        <v>45443</v>
      </c>
      <c r="J138" s="121">
        <v>28000</v>
      </c>
      <c r="K138" s="119" t="s">
        <v>124</v>
      </c>
      <c r="L138" s="119" t="s">
        <v>84</v>
      </c>
      <c r="M138" s="113" t="s">
        <v>99</v>
      </c>
      <c r="N138" s="114" t="s">
        <v>43</v>
      </c>
      <c r="O138" s="139">
        <v>34716</v>
      </c>
      <c r="P138" s="118" t="s">
        <v>100</v>
      </c>
      <c r="Q138" s="123" t="s">
        <v>106</v>
      </c>
      <c r="R138" s="118">
        <v>3148574083</v>
      </c>
      <c r="S138" s="124" t="s">
        <v>450</v>
      </c>
      <c r="T138" s="29" t="str">
        <f>IF(N138=CURSOS!$D$3,"DIPLOMADO EN ATENCION PRE-HOSPITALARIA",IF(N138=CURSOS!$D$4,"ACOMPAÑAMIENTO Y MANEJO DEL DUELO",IF(N138=CURSOS!$D$5,"ATENCION A VICTIMAS DE ATAQUE CON AGENTES QUIMICOS ",IF(N138=CURSOS!$D$6,"PRIMEROS AUXILIOS ",IF(N138=CURSOS!$D$7,"DIPLOMADO DE UNIDAD DE CUIDADOS INTENSIVOS (UCI)",IF(N138=CURSOS!$D$8,"MODELO DE ATENCION PARA EVENTOS EMERGENTES EN SALUD MENTAL (CODIGO VERDE)",IF(N138=CURSOS!$D$9,"HUMANIZACION EN SALUD, BUENAS PRACTICAS EN PACIENTE ",IF(N138=CURSOS!$D$10,"CLINICA DE HERIDAS ",IF(N138=CURSOS!$D$11,"TOMA DE CITOLOGIA A CERVICO VAGINAL ",IF(N138=CURSOS!$D$12,"SOPORTE CARDIOVASCULAR AVANZADO ",IF(N138=CURSOS!$D$13,"CAMILLERO ",IF(N138=CURSOS!$D$14,"TOMA MUESTRAS Y LABORATORIO ",IF(N138=CURSOS!$D$15,"SOPORTE VITAL BASICO (BLS)",IF(N138=CURSOS!$D$16,"ATENCION A VICTIMAS DE VIOLENCIA SEXUAL ",IF(N138=CURSOS!$D$17,"PROGRAMADO AMPLIADO DE INMUNIZACION (PAI - COVID 19)",IF(N138=CURSOS!$D$18,"ATENCION INTEGRAL EN ENFERMEDADES PREVALENTES EN PRIMERA INFANCIA (AIEPI)",IF(N138=CURSOS!$D$19,"ADMINISTRACION DE MEDICAMENTOS, IYECTOLOGIA  Y CANALIZACION ",IF(N138=CURSOS!$D$20,"OPERADOR DE VEHICULOS DE EMERGENCIA (OVE)",IF(N138=CURSOS!$D$21,"INSTITUCIONES AMIGAS DE LA MUJER Y LA INFANCIA (IAMI)",IF(N138=CURSOS!$D$22,"CUIDADO DEL DONANTE DE ORGANOS",IF(N138=CURSOS!$D$23,"ATENCION A VICTIMAS POR VIOLENCIA DE GENERO",IF(N138=CURSOS!$D$24,"IGUALDAD DE GENERO EN LA SALUD",IF(N138=CURSOS!$D$25,"BRIGADA DE EMERGENCIA",IF(N138=CURSOS!$D$26,"MANEJO DEL DOLOR Y CUIDADOS PALIATIVOS",IF(N138=CURSOS!$D$27,"TOMA MUESTRAS Y LABORATORIO POCT",IF(N138=CURSOS!$D$28,"IMPLANTE SUBDERMICO Y DISPOSITIVO INTRAUTERINO",IF(N138=CURSOS!$D$29,"SALUD MENTAL",IF(N138=CURSOS!$D$30,"PRIMEROS AUXILIOS PSICOLOGICOS",IF(N138=CURSOS!$D$31,"ATENCION A VICTIMAS POR CONFLICTO ARMADO",IF(N138=CURSOS!$D$32,"MANIPULACION DE ALIMENTOS Y BPM"))))))))))))))))))))))))))))))</f>
        <v xml:space="preserve">TOMA MUESTRAS Y LABORATORIO </v>
      </c>
      <c r="U138" s="29" t="str">
        <f t="shared" si="18"/>
        <v>Erika Estefania Santacruz Pantoja</v>
      </c>
      <c r="V138" s="29" t="str">
        <f t="shared" si="19"/>
        <v>Erika Estefania Santacruz Pantoja</v>
      </c>
      <c r="W138" s="29" t="str">
        <f t="shared" si="20"/>
        <v>Erika Estefania Santacruz Pantoja-1193133703-TOMA DE MUESTRAS</v>
      </c>
    </row>
    <row r="139" spans="1:23" s="117" customFormat="1" x14ac:dyDescent="0.2">
      <c r="A139" s="31">
        <v>139</v>
      </c>
      <c r="B139" s="118">
        <v>36751873</v>
      </c>
      <c r="C139" s="118" t="s">
        <v>448</v>
      </c>
      <c r="D139" s="118" t="s">
        <v>290</v>
      </c>
      <c r="E139" s="118" t="s">
        <v>451</v>
      </c>
      <c r="F139" s="118" t="s">
        <v>452</v>
      </c>
      <c r="G139" s="119">
        <v>27</v>
      </c>
      <c r="H139" s="18" t="s">
        <v>93</v>
      </c>
      <c r="I139" s="120">
        <v>45439</v>
      </c>
      <c r="J139" s="121">
        <v>40000</v>
      </c>
      <c r="K139" s="119" t="s">
        <v>124</v>
      </c>
      <c r="L139" s="119" t="s">
        <v>84</v>
      </c>
      <c r="M139" s="113" t="s">
        <v>177</v>
      </c>
      <c r="N139" s="114" t="s">
        <v>64</v>
      </c>
      <c r="O139" s="139">
        <v>28907</v>
      </c>
      <c r="P139" s="118" t="s">
        <v>100</v>
      </c>
      <c r="Q139" s="123" t="s">
        <v>106</v>
      </c>
      <c r="R139" s="118">
        <v>3164624861</v>
      </c>
      <c r="S139" s="118" t="s">
        <v>453</v>
      </c>
      <c r="T139" s="29" t="str">
        <f>IF(N139=CURSOS!$D$3,"DIPLOMADO EN ATENCION PRE-HOSPITALARIA",IF(N139=CURSOS!$D$4,"ACOMPAÑAMIENTO Y MANEJO DEL DUELO",IF(N139=CURSOS!$D$5,"ATENCION A VICTIMAS DE ATAQUE CON AGENTES QUIMICOS ",IF(N139=CURSOS!$D$6,"PRIMEROS AUXILIOS ",IF(N139=CURSOS!$D$7,"DIPLOMADO DE UNIDAD DE CUIDADOS INTENSIVOS (UCI)",IF(N139=CURSOS!$D$8,"MODELO DE ATENCION PARA EVENTOS EMERGENTES EN SALUD MENTAL (CODIGO VERDE)",IF(N139=CURSOS!$D$9,"HUMANIZACION EN SALUD, BUENAS PRACTICAS EN PACIENTE ",IF(N139=CURSOS!$D$10,"CLINICA DE HERIDAS ",IF(N139=CURSOS!$D$11,"TOMA DE CITOLOGIA A CERVICO VAGINAL ",IF(N139=CURSOS!$D$12,"SOPORTE CARDIOVASCULAR AVANZADO ",IF(N139=CURSOS!$D$13,"CAMILLERO ",IF(N139=CURSOS!$D$14,"TOMA MUESTRAS Y LABORATORIO ",IF(N139=CURSOS!$D$15,"SOPORTE VITAL BASICO (BLS)",IF(N139=CURSOS!$D$16,"ATENCION A VICTIMAS DE VIOLENCIA SEXUAL ",IF(N139=CURSOS!$D$17,"PROGRAMADO AMPLIADO DE INMUNIZACION (PAI - COVID 19)",IF(N139=CURSOS!$D$18,"ATENCION INTEGRAL EN ENFERMEDADES PREVALENTES EN PRIMERA INFANCIA (AIEPI)",IF(N139=CURSOS!$D$19,"ADMINISTRACION DE MEDICAMENTOS, IYECTOLOGIA  Y CANALIZACION ",IF(N139=CURSOS!$D$20,"OPERADOR DE VEHICULOS DE EMERGENCIA (OVE)",IF(N139=CURSOS!$D$21,"INSTITUCIONES AMIGAS DE LA MUJER Y LA INFANCIA (IAMI)",IF(N139=CURSOS!$D$22,"CUIDADO DEL DONANTE DE ORGANOS",IF(N139=CURSOS!$D$23,"ATENCION A VICTIMAS POR VIOLENCIA DE GENERO",IF(N139=CURSOS!$D$24,"IGUALDAD DE GENERO EN LA SALUD",IF(N139=CURSOS!$D$25,"BRIGADA DE EMERGENCIA",IF(N139=CURSOS!$D$26,"MANEJO DEL DOLOR Y CUIDADOS PALIATIVOS",IF(N139=CURSOS!$D$27,"TOMA MUESTRAS Y LABORATORIO POCT",IF(N139=CURSOS!$D$28,"IMPLANTE SUBDERMICO Y DISPOSITIVO INTRAUTERINO",IF(N139=CURSOS!$D$29,"SALUD MENTAL",IF(N139=CURSOS!$D$30,"PRIMEROS AUXILIOS PSICOLOGICOS",IF(N139=CURSOS!$D$31,"ATENCION A VICTIMAS POR CONFLICTO ARMADO",IF(N139=CURSOS!$D$32,"MANIPULACION DE ALIMENTOS Y BPM"))))))))))))))))))))))))))))))</f>
        <v>MANEJO DEL DOLOR Y CUIDADOS PALIATIVOS</v>
      </c>
      <c r="U139" s="29" t="str">
        <f t="shared" si="18"/>
        <v>Carmenza Milena Pantoja Diaz</v>
      </c>
      <c r="V139" s="29" t="str">
        <f t="shared" si="19"/>
        <v>Carmenza Milena Pantoja Diaz</v>
      </c>
      <c r="W139" s="29" t="str">
        <f t="shared" si="20"/>
        <v>Carmenza Milena Pantoja Diaz-36751873-PALIATIVOS</v>
      </c>
    </row>
    <row r="140" spans="1:23" s="117" customFormat="1" x14ac:dyDescent="0.2">
      <c r="A140" s="31">
        <v>140</v>
      </c>
      <c r="B140" s="118">
        <v>1007301546</v>
      </c>
      <c r="C140" s="118" t="s">
        <v>403</v>
      </c>
      <c r="D140" s="118" t="s">
        <v>454</v>
      </c>
      <c r="E140" s="118" t="s">
        <v>455</v>
      </c>
      <c r="F140" s="118" t="s">
        <v>456</v>
      </c>
      <c r="G140" s="119">
        <v>27</v>
      </c>
      <c r="H140" s="119" t="s">
        <v>93</v>
      </c>
      <c r="I140" s="120">
        <v>45439</v>
      </c>
      <c r="J140" s="121">
        <v>40000</v>
      </c>
      <c r="K140" s="119" t="s">
        <v>124</v>
      </c>
      <c r="L140" s="119" t="s">
        <v>84</v>
      </c>
      <c r="M140" s="113" t="s">
        <v>75</v>
      </c>
      <c r="N140" s="114" t="s">
        <v>52</v>
      </c>
      <c r="O140" s="139">
        <v>37236</v>
      </c>
      <c r="P140" s="118" t="s">
        <v>79</v>
      </c>
      <c r="Q140" s="123" t="s">
        <v>157</v>
      </c>
      <c r="R140" s="118">
        <v>3014314279</v>
      </c>
      <c r="S140" s="118" t="s">
        <v>457</v>
      </c>
      <c r="T140" s="29" t="str">
        <f>IF(N140=CURSOS!$D$3,"DIPLOMADO EN ATENCION PRE-HOSPITALARIA",IF(N140=CURSOS!$D$4,"ACOMPAÑAMIENTO Y MANEJO DEL DUELO",IF(N140=CURSOS!$D$5,"ATENCION A VICTIMAS DE ATAQUE CON AGENTES QUIMICOS ",IF(N140=CURSOS!$D$6,"PRIMEROS AUXILIOS ",IF(N140=CURSOS!$D$7,"DIPLOMADO DE UNIDAD DE CUIDADOS INTENSIVOS (UCI)",IF(N140=CURSOS!$D$8,"MODELO DE ATENCION PARA EVENTOS EMERGENTES EN SALUD MENTAL (CODIGO VERDE)",IF(N140=CURSOS!$D$9,"HUMANIZACION EN SALUD, BUENAS PRACTICAS EN PACIENTE ",IF(N140=CURSOS!$D$10,"CLINICA DE HERIDAS ",IF(N140=CURSOS!$D$11,"TOMA DE CITOLOGIA A CERVICO VAGINAL ",IF(N140=CURSOS!$D$12,"SOPORTE CARDIOVASCULAR AVANZADO ",IF(N140=CURSOS!$D$13,"CAMILLERO ",IF(N140=CURSOS!$D$14,"TOMA MUESTRAS Y LABORATORIO ",IF(N140=CURSOS!$D$15,"SOPORTE VITAL BASICO (BLS)",IF(N140=CURSOS!$D$16,"ATENCION A VICTIMAS DE VIOLENCIA SEXUAL ",IF(N140=CURSOS!$D$17,"PROGRAMADO AMPLIADO DE INMUNIZACION (PAI - COVID 19)",IF(N140=CURSOS!$D$18,"ATENCION INTEGRAL EN ENFERMEDADES PREVALENTES EN PRIMERA INFANCIA (AIEPI)",IF(N140=CURSOS!$D$19,"ADMINISTRACION DE MEDICAMENTOS, IYECTOLOGIA  Y CANALIZACION ",IF(N140=CURSOS!$D$20,"OPERADOR DE VEHICULOS DE EMERGENCIA (OVE)",IF(N140=CURSOS!$D$21,"INSTITUCIONES AMIGAS DE LA MUJER Y LA INFANCIA (IAMI)",IF(N140=CURSOS!$D$22,"CUIDADO DEL DONANTE DE ORGANOS",IF(N140=CURSOS!$D$23,"ATENCION A VICTIMAS POR VIOLENCIA DE GENERO",IF(N140=CURSOS!$D$24,"IGUALDAD DE GENERO EN LA SALUD",IF(N140=CURSOS!$D$25,"BRIGADA DE EMERGENCIA",IF(N140=CURSOS!$D$26,"MANEJO DEL DOLOR Y CUIDADOS PALIATIVOS",IF(N140=CURSOS!$D$27,"TOMA MUESTRAS Y LABORATORIO POCT",IF(N140=CURSOS!$D$28,"IMPLANTE SUBDERMICO Y DISPOSITIVO INTRAUTERINO",IF(N140=CURSOS!$D$29,"SALUD MENTAL",IF(N140=CURSOS!$D$30,"PRIMEROS AUXILIOS PSICOLOGICOS",IF(N140=CURSOS!$D$31,"ATENCION A VICTIMAS POR CONFLICTO ARMADO",IF(N140=CURSOS!$D$32,"MANIPULACION DE ALIMENTOS Y BPM"))))))))))))))))))))))))))))))</f>
        <v>OPERADOR DE VEHICULOS DE EMERGENCIA (OVE)</v>
      </c>
      <c r="U140" s="29" t="str">
        <f t="shared" si="18"/>
        <v>Brayan Esteban Burgos Portilla</v>
      </c>
      <c r="V140" s="29" t="str">
        <f t="shared" si="19"/>
        <v>Brayan Esteban Burgos Portilla</v>
      </c>
      <c r="W140" s="29" t="str">
        <f t="shared" si="20"/>
        <v>Brayan Esteban Burgos Portilla-1007301546-OVE</v>
      </c>
    </row>
    <row r="141" spans="1:23" s="163" customFormat="1" ht="30" x14ac:dyDescent="0.25">
      <c r="A141" s="112">
        <v>141</v>
      </c>
      <c r="B141" s="118">
        <v>1053866321</v>
      </c>
      <c r="C141" s="118" t="s">
        <v>458</v>
      </c>
      <c r="D141" s="118" t="s">
        <v>173</v>
      </c>
      <c r="E141" s="118" t="s">
        <v>459</v>
      </c>
      <c r="F141" s="118" t="s">
        <v>460</v>
      </c>
      <c r="G141" s="158">
        <v>27</v>
      </c>
      <c r="H141" s="158" t="s">
        <v>93</v>
      </c>
      <c r="I141" s="159" t="s">
        <v>461</v>
      </c>
      <c r="J141" s="160">
        <v>25000</v>
      </c>
      <c r="K141" s="158" t="s">
        <v>462</v>
      </c>
      <c r="L141" s="158" t="s">
        <v>94</v>
      </c>
      <c r="M141" s="161" t="s">
        <v>177</v>
      </c>
      <c r="N141" s="114" t="s">
        <v>463</v>
      </c>
      <c r="O141" s="122">
        <v>36061</v>
      </c>
      <c r="P141" s="118" t="s">
        <v>79</v>
      </c>
      <c r="Q141" s="118"/>
      <c r="R141" s="118"/>
      <c r="S141" s="118" t="s">
        <v>464</v>
      </c>
      <c r="T141" s="162" t="b">
        <f>IF(N141=CURSOS!$D$3,"DIPLOMADO EN ATENCION PRE-HOSPITALARIA",IF(N141=CURSOS!$D$4,"ACOMPAÑAMIENTO Y MANEJO DEL DUELO",IF(N141=CURSOS!$D$5,"ATENCION A VICTIMAS DE ATAQUE CON AGENTES QUIMICOS ",IF(N141=CURSOS!$D$6,"PRIMEROS AUXILIOS ",IF(N141=CURSOS!$D$7,"DIPLOMADO DE UNIDAD DE CUIDADOS INTENSIVOS (UCI)",IF(N141=CURSOS!$D$8,"MODELO DE ATENCION PARA EVENTOS EMERGENTES EN SALUD MENTAL (CODIGO VERDE)",IF(N141=CURSOS!$D$9,"HUMANIZACION EN SALUD, BUENAS PRACTICAS EN PACIENTE ",IF(N141=CURSOS!$D$10,"CLINICA DE HERIDAS ",IF(N141=CURSOS!$D$11,"TOMA DE CITOLOGIA A CERVICO VAGINAL ",IF(N141=CURSOS!$D$12,"SOPORTE CARDIOVASCULAR AVANZADO ",IF(N141=CURSOS!$D$13,"CAMILLERO ",IF(N141=CURSOS!$D$14,"TOMA MUESTRAS Y LABORATORIO ",IF(N141=CURSOS!$D$15,"SOPORTE VITAL BASICO (BLS)",IF(N141=CURSOS!$D$16,"ATENCION A VICTIMAS DE VIOLENCIA SEXUAL ",IF(N141=CURSOS!$D$17,"PROGRAMADO AMPLIADO DE INMUNIZACION (PAI - COVID 19)",IF(N141=CURSOS!$D$18,"ATENCION INTEGRAL EN ENFERMEDADES PREVALENTES EN PRIMERA INFANCIA (AIEPI)",IF(N141=CURSOS!$D$19,"ADMINISTRACION DE MEDICAMENTOS, IYECTOLOGIA  Y CANALIZACION ",IF(N141=CURSOS!$D$20,"OPERADOR DE VEHICULOS DE EMERGENCIA (OVE)",IF(N141=CURSOS!$D$21,"INSTITUCIONES AMIGAS DE LA MUJER Y LA INFANCIA (IAMI)",IF(N141=CURSOS!$D$22,"CUIDADO DEL DONANTE DE ORGANOS",IF(N141=CURSOS!$D$23,"ATENCION A VICTIMAS POR VIOLENCIA DE GENERO",IF(N141=CURSOS!$D$24,"IGUALDAD DE GENERO EN LA SALUD",IF(N141=CURSOS!$D$25,"BRIGADA DE EMERGENCIA",IF(N141=CURSOS!$D$26,"MANEJO DEL DOLOR Y CUIDADOS PALIATIVOS",IF(N141=CURSOS!$D$27,"TOMA MUESTRAS Y LABORATORIO POCT",IF(N141=CURSOS!$D$28,"IMPLANTE SUBDERMICO Y DISPOSITIVO INTRAUTERINO",IF(N141=CURSOS!$D$29,"SALUD MENTAL",IF(N141=CURSOS!$D$30,"PRIMEROS AUXILIOS PSICOLOGICOS",IF(N141=CURSOS!$D$31,"ATENCION A VICTIMAS POR CONFLICTO ARMADO",IF(N141=CURSOS!$D$32,"MANIPULACION DE ALIMENTOS Y BPM"))))))))))))))))))))))))))))))</f>
        <v>0</v>
      </c>
      <c r="U141" s="162" t="str">
        <f t="shared" ref="U141:U149" si="21">CONCATENATE(E141," ",F141," ",C141," ",D141)</f>
        <v>Darlyn Nathalia Oñate Guerrero</v>
      </c>
      <c r="V141" s="162" t="str">
        <f t="shared" ref="V141:V149" si="22">+PROPER(U141)</f>
        <v>Darlyn Nathalia Oñate Guerrero</v>
      </c>
      <c r="W141" s="162" t="str">
        <f t="shared" ref="W141:W149" si="23">CONCATENATE(U141,"-",B141,"-",N141)</f>
        <v>Darlyn Nathalia Oñate Guerrero-1053866321-Plan Decenal de Lactancia Materna y Alimentación complementaria</v>
      </c>
    </row>
    <row r="142" spans="1:23" s="117" customFormat="1" x14ac:dyDescent="0.2">
      <c r="A142" s="31">
        <v>142</v>
      </c>
      <c r="B142" s="118">
        <v>1053866321</v>
      </c>
      <c r="C142" s="118" t="s">
        <v>458</v>
      </c>
      <c r="D142" s="118" t="s">
        <v>173</v>
      </c>
      <c r="E142" s="118" t="s">
        <v>459</v>
      </c>
      <c r="F142" s="118" t="s">
        <v>460</v>
      </c>
      <c r="G142" s="119">
        <v>27</v>
      </c>
      <c r="H142" s="119" t="s">
        <v>93</v>
      </c>
      <c r="I142" s="120" t="s">
        <v>461</v>
      </c>
      <c r="J142" s="121">
        <v>25000</v>
      </c>
      <c r="K142" s="119" t="s">
        <v>462</v>
      </c>
      <c r="L142" s="119" t="s">
        <v>94</v>
      </c>
      <c r="M142" s="113" t="s">
        <v>177</v>
      </c>
      <c r="N142" s="114" t="s">
        <v>465</v>
      </c>
      <c r="O142" s="139">
        <v>36061</v>
      </c>
      <c r="P142" s="118" t="s">
        <v>79</v>
      </c>
      <c r="Q142" s="123"/>
      <c r="R142" s="118"/>
      <c r="S142" s="118" t="s">
        <v>464</v>
      </c>
      <c r="T142" s="29" t="b">
        <f>IF(N142=CURSOS!$D$3,"DIPLOMADO EN ATENCION PRE-HOSPITALARIA",IF(N142=CURSOS!$D$4,"ACOMPAÑAMIENTO Y MANEJO DEL DUELO",IF(N142=CURSOS!$D$5,"ATENCION A VICTIMAS DE ATAQUE CON AGENTES QUIMICOS ",IF(N142=CURSOS!$D$6,"PRIMEROS AUXILIOS ",IF(N142=CURSOS!$D$7,"DIPLOMADO DE UNIDAD DE CUIDADOS INTENSIVOS (UCI)",IF(N142=CURSOS!$D$8,"MODELO DE ATENCION PARA EVENTOS EMERGENTES EN SALUD MENTAL (CODIGO VERDE)",IF(N142=CURSOS!$D$9,"HUMANIZACION EN SALUD, BUENAS PRACTICAS EN PACIENTE ",IF(N142=CURSOS!$D$10,"CLINICA DE HERIDAS ",IF(N142=CURSOS!$D$11,"TOMA DE CITOLOGIA A CERVICO VAGINAL ",IF(N142=CURSOS!$D$12,"SOPORTE CARDIOVASCULAR AVANZADO ",IF(N142=CURSOS!$D$13,"CAMILLERO ",IF(N142=CURSOS!$D$14,"TOMA MUESTRAS Y LABORATORIO ",IF(N142=CURSOS!$D$15,"SOPORTE VITAL BASICO (BLS)",IF(N142=CURSOS!$D$16,"ATENCION A VICTIMAS DE VIOLENCIA SEXUAL ",IF(N142=CURSOS!$D$17,"PROGRAMADO AMPLIADO DE INMUNIZACION (PAI - COVID 19)",IF(N142=CURSOS!$D$18,"ATENCION INTEGRAL EN ENFERMEDADES PREVALENTES EN PRIMERA INFANCIA (AIEPI)",IF(N142=CURSOS!$D$19,"ADMINISTRACION DE MEDICAMENTOS, IYECTOLOGIA  Y CANALIZACION ",IF(N142=CURSOS!$D$20,"OPERADOR DE VEHICULOS DE EMERGENCIA (OVE)",IF(N142=CURSOS!$D$21,"INSTITUCIONES AMIGAS DE LA MUJER Y LA INFANCIA (IAMI)",IF(N142=CURSOS!$D$22,"CUIDADO DEL DONANTE DE ORGANOS",IF(N142=CURSOS!$D$23,"ATENCION A VICTIMAS POR VIOLENCIA DE GENERO",IF(N142=CURSOS!$D$24,"IGUALDAD DE GENERO EN LA SALUD",IF(N142=CURSOS!$D$25,"BRIGADA DE EMERGENCIA",IF(N142=CURSOS!$D$26,"MANEJO DEL DOLOR Y CUIDADOS PALIATIVOS",IF(N142=CURSOS!$D$27,"TOMA MUESTRAS Y LABORATORIO POCT",IF(N142=CURSOS!$D$28,"IMPLANTE SUBDERMICO Y DISPOSITIVO INTRAUTERINO",IF(N142=CURSOS!$D$29,"SALUD MENTAL",IF(N142=CURSOS!$D$30,"PRIMEROS AUXILIOS PSICOLOGICOS",IF(N142=CURSOS!$D$31,"ATENCION A VICTIMAS POR CONFLICTO ARMADO",IF(N142=CURSOS!$D$32,"MANIPULACION DE ALIMENTOS Y BPM"))))))))))))))))))))))))))))))</f>
        <v>0</v>
      </c>
      <c r="U142" s="29" t="str">
        <f t="shared" si="21"/>
        <v>Darlyn Nathalia Oñate Guerrero</v>
      </c>
      <c r="V142" s="29" t="str">
        <f t="shared" si="22"/>
        <v>Darlyn Nathalia Oñate Guerrero</v>
      </c>
      <c r="W142" s="29" t="str">
        <f t="shared" si="23"/>
        <v>Darlyn Nathalia Oñate Guerrero-1053866321-Atencion a Personas Con Discapacidad</v>
      </c>
    </row>
    <row r="143" spans="1:23" s="71" customFormat="1" x14ac:dyDescent="0.2">
      <c r="A143" s="31">
        <v>143</v>
      </c>
      <c r="B143" s="118">
        <v>1087112630</v>
      </c>
      <c r="C143" s="118" t="s">
        <v>466</v>
      </c>
      <c r="D143" s="118" t="s">
        <v>467</v>
      </c>
      <c r="E143" s="118" t="s">
        <v>468</v>
      </c>
      <c r="F143" s="118" t="s">
        <v>469</v>
      </c>
      <c r="G143" s="119">
        <v>27</v>
      </c>
      <c r="H143" s="119" t="s">
        <v>93</v>
      </c>
      <c r="I143" s="120" t="s">
        <v>461</v>
      </c>
      <c r="J143" s="121">
        <v>25000</v>
      </c>
      <c r="K143" s="119" t="s">
        <v>462</v>
      </c>
      <c r="L143" s="119" t="s">
        <v>84</v>
      </c>
      <c r="M143" s="113" t="s">
        <v>177</v>
      </c>
      <c r="N143" s="114" t="s">
        <v>46</v>
      </c>
      <c r="O143" s="143">
        <v>38162</v>
      </c>
      <c r="P143" s="118" t="s">
        <v>100</v>
      </c>
      <c r="Q143" s="123" t="s">
        <v>106</v>
      </c>
      <c r="R143" s="118" t="s">
        <v>470</v>
      </c>
      <c r="S143" s="118" t="s">
        <v>471</v>
      </c>
      <c r="T143" s="29" t="str">
        <f>IF(N143=CURSOS!$D$3,"DIPLOMADO EN ATENCION PRE-HOSPITALARIA",IF(N143=CURSOS!$D$4,"ACOMPAÑAMIENTO Y MANEJO DEL DUELO",IF(N143=CURSOS!$D$5,"ATENCION A VICTIMAS DE ATAQUE CON AGENTES QUIMICOS ",IF(N143=CURSOS!$D$6,"PRIMEROS AUXILIOS ",IF(N143=CURSOS!$D$7,"DIPLOMADO DE UNIDAD DE CUIDADOS INTENSIVOS (UCI)",IF(N143=CURSOS!$D$8,"MODELO DE ATENCION PARA EVENTOS EMERGENTES EN SALUD MENTAL (CODIGO VERDE)",IF(N143=CURSOS!$D$9,"HUMANIZACION EN SALUD, BUENAS PRACTICAS EN PACIENTE ",IF(N143=CURSOS!$D$10,"CLINICA DE HERIDAS ",IF(N143=CURSOS!$D$11,"TOMA DE CITOLOGIA A CERVICO VAGINAL ",IF(N143=CURSOS!$D$12,"SOPORTE CARDIOVASCULAR AVANZADO ",IF(N143=CURSOS!$D$13,"CAMILLERO ",IF(N143=CURSOS!$D$14,"TOMA MUESTRAS Y LABORATORIO ",IF(N143=CURSOS!$D$15,"SOPORTE VITAL BASICO (BLS)",IF(N143=CURSOS!$D$16,"ATENCION A VICTIMAS DE VIOLENCIA SEXUAL ",IF(N143=CURSOS!$D$17,"PROGRAMADO AMPLIADO DE INMUNIZACION (PAI - COVID 19)",IF(N143=CURSOS!$D$18,"ATENCION INTEGRAL EN ENFERMEDADES PREVALENTES EN PRIMERA INFANCIA (AIEPI)",IF(N143=CURSOS!$D$19,"ADMINISTRACION DE MEDICAMENTOS, IYECTOLOGIA  Y CANALIZACION ",IF(N143=CURSOS!$D$20,"OPERADOR DE VEHICULOS DE EMERGENCIA (OVE)",IF(N143=CURSOS!$D$21,"INSTITUCIONES AMIGAS DE LA MUJER Y LA INFANCIA (IAMI)",IF(N143=CURSOS!$D$22,"CUIDADO DEL DONANTE DE ORGANOS",IF(N143=CURSOS!$D$23,"ATENCION A VICTIMAS POR VIOLENCIA DE GENERO",IF(N143=CURSOS!$D$24,"IGUALDAD DE GENERO EN LA SALUD",IF(N143=CURSOS!$D$25,"BRIGADA DE EMERGENCIA",IF(N143=CURSOS!$D$26,"MANEJO DEL DOLOR Y CUIDADOS PALIATIVOS",IF(N143=CURSOS!$D$27,"TOMA MUESTRAS Y LABORATORIO POCT",IF(N143=CURSOS!$D$28,"IMPLANTE SUBDERMICO Y DISPOSITIVO INTRAUTERINO",IF(N143=CURSOS!$D$29,"SALUD MENTAL",IF(N143=CURSOS!$D$30,"PRIMEROS AUXILIOS PSICOLOGICOS",IF(N143=CURSOS!$D$31,"ATENCION A VICTIMAS POR CONFLICTO ARMADO",IF(N143=CURSOS!$D$32,"MANIPULACION DE ALIMENTOS Y BPM"))))))))))))))))))))))))))))))</f>
        <v xml:space="preserve">ATENCION A VICTIMAS DE VIOLENCIA SEXUAL </v>
      </c>
      <c r="U143" s="29" t="str">
        <f t="shared" si="21"/>
        <v>Anny Yuliana Angulo Hurtado</v>
      </c>
      <c r="V143" s="29" t="str">
        <f t="shared" si="22"/>
        <v>Anny Yuliana Angulo Hurtado</v>
      </c>
      <c r="W143" s="29" t="str">
        <f t="shared" si="23"/>
        <v>Anny Yuliana Angulo Hurtado-1087112630-VIOLENCIA SEXUAL</v>
      </c>
    </row>
    <row r="144" spans="1:23" s="71" customFormat="1" x14ac:dyDescent="0.2">
      <c r="A144" s="31">
        <v>144</v>
      </c>
      <c r="B144" s="118">
        <v>1087112630</v>
      </c>
      <c r="C144" s="118" t="s">
        <v>466</v>
      </c>
      <c r="D144" s="118" t="s">
        <v>467</v>
      </c>
      <c r="E144" s="118" t="s">
        <v>468</v>
      </c>
      <c r="F144" s="118" t="s">
        <v>469</v>
      </c>
      <c r="G144" s="119">
        <v>27</v>
      </c>
      <c r="H144" s="119" t="s">
        <v>93</v>
      </c>
      <c r="I144" s="120" t="s">
        <v>461</v>
      </c>
      <c r="J144" s="121">
        <v>25000</v>
      </c>
      <c r="K144" s="119" t="s">
        <v>462</v>
      </c>
      <c r="L144" s="119" t="s">
        <v>84</v>
      </c>
      <c r="M144" s="113" t="s">
        <v>177</v>
      </c>
      <c r="N144" s="144" t="s">
        <v>23</v>
      </c>
      <c r="O144" s="143">
        <v>38162</v>
      </c>
      <c r="P144" s="112" t="s">
        <v>100</v>
      </c>
      <c r="Q144" s="123" t="s">
        <v>106</v>
      </c>
      <c r="R144" s="145" t="s">
        <v>470</v>
      </c>
      <c r="S144" s="146" t="s">
        <v>471</v>
      </c>
      <c r="T144" s="29" t="str">
        <f>IF(N144=CURSOS!$D$3,"DIPLOMADO EN ATENCION PRE-HOSPITALARIA",IF(N144=CURSOS!$D$4,"ACOMPAÑAMIENTO Y MANEJO DEL DUELO",IF(N144=CURSOS!$D$5,"ATENCION A VICTIMAS DE ATAQUE CON AGENTES QUIMICOS ",IF(N144=CURSOS!$D$6,"PRIMEROS AUXILIOS ",IF(N144=CURSOS!$D$7,"DIPLOMADO DE UNIDAD DE CUIDADOS INTENSIVOS (UCI)",IF(N144=CURSOS!$D$8,"MODELO DE ATENCION PARA EVENTOS EMERGENTES EN SALUD MENTAL (CODIGO VERDE)",IF(N144=CURSOS!$D$9,"HUMANIZACION EN SALUD, BUENAS PRACTICAS EN PACIENTE ",IF(N144=CURSOS!$D$10,"CLINICA DE HERIDAS ",IF(N144=CURSOS!$D$11,"TOMA DE CITOLOGIA A CERVICO VAGINAL ",IF(N144=CURSOS!$D$12,"SOPORTE CARDIOVASCULAR AVANZADO ",IF(N144=CURSOS!$D$13,"CAMILLERO ",IF(N144=CURSOS!$D$14,"TOMA MUESTRAS Y LABORATORIO ",IF(N144=CURSOS!$D$15,"SOPORTE VITAL BASICO (BLS)",IF(N144=CURSOS!$D$16,"ATENCION A VICTIMAS DE VIOLENCIA SEXUAL ",IF(N144=CURSOS!$D$17,"PROGRAMADO AMPLIADO DE INMUNIZACION (PAI - COVID 19)",IF(N144=CURSOS!$D$18,"ATENCION INTEGRAL EN ENFERMEDADES PREVALENTES EN PRIMERA INFANCIA (AIEPI)",IF(N144=CURSOS!$D$19,"ADMINISTRACION DE MEDICAMENTOS, IYECTOLOGIA  Y CANALIZACION ",IF(N144=CURSOS!$D$20,"OPERADOR DE VEHICULOS DE EMERGENCIA (OVE)",IF(N144=CURSOS!$D$21,"INSTITUCIONES AMIGAS DE LA MUJER Y LA INFANCIA (IAMI)",IF(N144=CURSOS!$D$22,"CUIDADO DEL DONANTE DE ORGANOS",IF(N144=CURSOS!$D$23,"ATENCION A VICTIMAS POR VIOLENCIA DE GENERO",IF(N144=CURSOS!$D$24,"IGUALDAD DE GENERO EN LA SALUD",IF(N144=CURSOS!$D$25,"BRIGADA DE EMERGENCIA",IF(N144=CURSOS!$D$26,"MANEJO DEL DOLOR Y CUIDADOS PALIATIVOS",IF(N144=CURSOS!$D$27,"TOMA MUESTRAS Y LABORATORIO POCT",IF(N144=CURSOS!$D$28,"IMPLANTE SUBDERMICO Y DISPOSITIVO INTRAUTERINO",IF(N144=CURSOS!$D$29,"SALUD MENTAL",IF(N144=CURSOS!$D$30,"PRIMEROS AUXILIOS PSICOLOGICOS",IF(N144=CURSOS!$D$31,"ATENCION A VICTIMAS POR CONFLICTO ARMADO",IF(N144=CURSOS!$D$32,"MANIPULACION DE ALIMENTOS Y BPM"))))))))))))))))))))))))))))))</f>
        <v>ACOMPAÑAMIENTO Y MANEJO DEL DUELO</v>
      </c>
      <c r="U144" s="29" t="str">
        <f t="shared" si="21"/>
        <v>Anny Yuliana Angulo Hurtado</v>
      </c>
      <c r="V144" s="29" t="str">
        <f t="shared" si="22"/>
        <v>Anny Yuliana Angulo Hurtado</v>
      </c>
      <c r="W144" s="29" t="str">
        <f t="shared" si="23"/>
        <v>Anny Yuliana Angulo Hurtado-1087112630-DUELO</v>
      </c>
    </row>
    <row r="145" spans="1:23" x14ac:dyDescent="0.2">
      <c r="A145" s="31">
        <v>145</v>
      </c>
      <c r="B145" s="118">
        <v>1087112630</v>
      </c>
      <c r="C145" s="118" t="s">
        <v>466</v>
      </c>
      <c r="D145" s="118" t="s">
        <v>467</v>
      </c>
      <c r="E145" s="118" t="s">
        <v>468</v>
      </c>
      <c r="F145" s="118" t="s">
        <v>469</v>
      </c>
      <c r="G145" s="119">
        <v>27</v>
      </c>
      <c r="H145" s="119" t="s">
        <v>93</v>
      </c>
      <c r="I145" s="120" t="s">
        <v>461</v>
      </c>
      <c r="J145" s="121">
        <v>25000</v>
      </c>
      <c r="K145" s="119" t="s">
        <v>462</v>
      </c>
      <c r="L145" s="119" t="s">
        <v>84</v>
      </c>
      <c r="M145" s="113" t="s">
        <v>177</v>
      </c>
      <c r="N145" s="19" t="s">
        <v>49</v>
      </c>
      <c r="O145" s="143">
        <v>38162</v>
      </c>
      <c r="P145" s="112" t="s">
        <v>100</v>
      </c>
      <c r="Q145" s="123" t="s">
        <v>106</v>
      </c>
      <c r="R145" s="145" t="s">
        <v>470</v>
      </c>
      <c r="S145" s="146" t="s">
        <v>471</v>
      </c>
      <c r="T145" s="29" t="str">
        <f>IF(N145=CURSOS!$D$3,"DIPLOMADO EN ATENCION PRE-HOSPITALARIA",IF(N145=CURSOS!$D$4,"ACOMPAÑAMIENTO Y MANEJO DEL DUELO",IF(N145=CURSOS!$D$5,"ATENCION A VICTIMAS DE ATAQUE CON AGENTES QUIMICOS ",IF(N145=CURSOS!$D$6,"PRIMEROS AUXILIOS ",IF(N145=CURSOS!$D$7,"DIPLOMADO DE UNIDAD DE CUIDADOS INTENSIVOS (UCI)",IF(N145=CURSOS!$D$8,"MODELO DE ATENCION PARA EVENTOS EMERGENTES EN SALUD MENTAL (CODIGO VERDE)",IF(N145=CURSOS!$D$9,"HUMANIZACION EN SALUD, BUENAS PRACTICAS EN PACIENTE ",IF(N145=CURSOS!$D$10,"CLINICA DE HERIDAS ",IF(N145=CURSOS!$D$11,"TOMA DE CITOLOGIA A CERVICO VAGINAL ",IF(N145=CURSOS!$D$12,"SOPORTE CARDIOVASCULAR AVANZADO ",IF(N145=CURSOS!$D$13,"CAMILLERO ",IF(N145=CURSOS!$D$14,"TOMA MUESTRAS Y LABORATORIO ",IF(N145=CURSOS!$D$15,"SOPORTE VITAL BASICO (BLS)",IF(N145=CURSOS!$D$16,"ATENCION A VICTIMAS DE VIOLENCIA SEXUAL ",IF(N145=CURSOS!$D$17,"PROGRAMADO AMPLIADO DE INMUNIZACION (PAI - COVID 19)",IF(N145=CURSOS!$D$18,"ATENCION INTEGRAL EN ENFERMEDADES PREVALENTES EN PRIMERA INFANCIA (AIEPI)",IF(N145=CURSOS!$D$19,"ADMINISTRACION DE MEDICAMENTOS, IYECTOLOGIA  Y CANALIZACION ",IF(N145=CURSOS!$D$20,"OPERADOR DE VEHICULOS DE EMERGENCIA (OVE)",IF(N145=CURSOS!$D$21,"INSTITUCIONES AMIGAS DE LA MUJER Y LA INFANCIA (IAMI)",IF(N145=CURSOS!$D$22,"CUIDADO DEL DONANTE DE ORGANOS",IF(N145=CURSOS!$D$23,"ATENCION A VICTIMAS POR VIOLENCIA DE GENERO",IF(N145=CURSOS!$D$24,"IGUALDAD DE GENERO EN LA SALUD",IF(N145=CURSOS!$D$25,"BRIGADA DE EMERGENCIA",IF(N145=CURSOS!$D$26,"MANEJO DEL DOLOR Y CUIDADOS PALIATIVOS",IF(N145=CURSOS!$D$27,"TOMA MUESTRAS Y LABORATORIO POCT",IF(N145=CURSOS!$D$28,"IMPLANTE SUBDERMICO Y DISPOSITIVO INTRAUTERINO",IF(N145=CURSOS!$D$29,"SALUD MENTAL",IF(N145=CURSOS!$D$30,"PRIMEROS AUXILIOS PSICOLOGICOS",IF(N145=CURSOS!$D$31,"ATENCION A VICTIMAS POR CONFLICTO ARMADO",IF(N145=CURSOS!$D$32,"MANIPULACION DE ALIMENTOS Y BPM"))))))))))))))))))))))))))))))</f>
        <v>ATENCION INTEGRAL EN ENFERMEDADES PREVALENTES EN PRIMERA INFANCIA (AIEPI)</v>
      </c>
      <c r="U145" s="29" t="str">
        <f t="shared" si="21"/>
        <v>Anny Yuliana Angulo Hurtado</v>
      </c>
      <c r="V145" s="29" t="str">
        <f t="shared" si="22"/>
        <v>Anny Yuliana Angulo Hurtado</v>
      </c>
      <c r="W145" s="29" t="str">
        <f t="shared" si="23"/>
        <v>Anny Yuliana Angulo Hurtado-1087112630-AIEPI</v>
      </c>
    </row>
    <row r="146" spans="1:23" x14ac:dyDescent="0.2">
      <c r="A146" s="31">
        <v>146</v>
      </c>
      <c r="B146" s="118">
        <v>1087112630</v>
      </c>
      <c r="C146" s="118" t="s">
        <v>466</v>
      </c>
      <c r="D146" s="118" t="s">
        <v>467</v>
      </c>
      <c r="E146" s="118" t="s">
        <v>468</v>
      </c>
      <c r="F146" s="118" t="s">
        <v>469</v>
      </c>
      <c r="G146" s="119">
        <v>27</v>
      </c>
      <c r="H146" s="119" t="s">
        <v>93</v>
      </c>
      <c r="I146" s="120" t="s">
        <v>461</v>
      </c>
      <c r="J146" s="121">
        <v>25000</v>
      </c>
      <c r="K146" s="119" t="s">
        <v>462</v>
      </c>
      <c r="L146" s="119" t="s">
        <v>84</v>
      </c>
      <c r="M146" s="113" t="s">
        <v>177</v>
      </c>
      <c r="N146" s="19" t="s">
        <v>54</v>
      </c>
      <c r="O146" s="143">
        <v>38162</v>
      </c>
      <c r="P146" s="112" t="s">
        <v>100</v>
      </c>
      <c r="Q146" s="123" t="s">
        <v>106</v>
      </c>
      <c r="R146" s="145" t="s">
        <v>470</v>
      </c>
      <c r="S146" s="146" t="s">
        <v>471</v>
      </c>
      <c r="T146" s="29" t="str">
        <f>IF(N146=CURSOS!$D$3,"DIPLOMADO EN ATENCION PRE-HOSPITALARIA",IF(N146=CURSOS!$D$4,"ACOMPAÑAMIENTO Y MANEJO DEL DUELO",IF(N146=CURSOS!$D$5,"ATENCION A VICTIMAS DE ATAQUE CON AGENTES QUIMICOS ",IF(N146=CURSOS!$D$6,"PRIMEROS AUXILIOS ",IF(N146=CURSOS!$D$7,"DIPLOMADO DE UNIDAD DE CUIDADOS INTENSIVOS (UCI)",IF(N146=CURSOS!$D$8,"MODELO DE ATENCION PARA EVENTOS EMERGENTES EN SALUD MENTAL (CODIGO VERDE)",IF(N146=CURSOS!$D$9,"HUMANIZACION EN SALUD, BUENAS PRACTICAS EN PACIENTE ",IF(N146=CURSOS!$D$10,"CLINICA DE HERIDAS ",IF(N146=CURSOS!$D$11,"TOMA DE CITOLOGIA A CERVICO VAGINAL ",IF(N146=CURSOS!$D$12,"SOPORTE CARDIOVASCULAR AVANZADO ",IF(N146=CURSOS!$D$13,"CAMILLERO ",IF(N146=CURSOS!$D$14,"TOMA MUESTRAS Y LABORATORIO ",IF(N146=CURSOS!$D$15,"SOPORTE VITAL BASICO (BLS)",IF(N146=CURSOS!$D$16,"ATENCION A VICTIMAS DE VIOLENCIA SEXUAL ",IF(N146=CURSOS!$D$17,"PROGRAMADO AMPLIADO DE INMUNIZACION (PAI - COVID 19)",IF(N146=CURSOS!$D$18,"ATENCION INTEGRAL EN ENFERMEDADES PREVALENTES EN PRIMERA INFANCIA (AIEPI)",IF(N146=CURSOS!$D$19,"ADMINISTRACION DE MEDICAMENTOS, IYECTOLOGIA  Y CANALIZACION ",IF(N146=CURSOS!$D$20,"OPERADOR DE VEHICULOS DE EMERGENCIA (OVE)",IF(N146=CURSOS!$D$21,"INSTITUCIONES AMIGAS DE LA MUJER Y LA INFANCIA (IAMI)",IF(N146=CURSOS!$D$22,"CUIDADO DEL DONANTE DE ORGANOS",IF(N146=CURSOS!$D$23,"ATENCION A VICTIMAS POR VIOLENCIA DE GENERO",IF(N146=CURSOS!$D$24,"IGUALDAD DE GENERO EN LA SALUD",IF(N146=CURSOS!$D$25,"BRIGADA DE EMERGENCIA",IF(N146=CURSOS!$D$26,"MANEJO DEL DOLOR Y CUIDADOS PALIATIVOS",IF(N146=CURSOS!$D$27,"TOMA MUESTRAS Y LABORATORIO POCT",IF(N146=CURSOS!$D$28,"IMPLANTE SUBDERMICO Y DISPOSITIVO INTRAUTERINO",IF(N146=CURSOS!$D$29,"SALUD MENTAL",IF(N146=CURSOS!$D$30,"PRIMEROS AUXILIOS PSICOLOGICOS",IF(N146=CURSOS!$D$31,"ATENCION A VICTIMAS POR CONFLICTO ARMADO",IF(N146=CURSOS!$D$32,"MANIPULACION DE ALIMENTOS Y BPM"))))))))))))))))))))))))))))))</f>
        <v>INSTITUCIONES AMIGAS DE LA MUJER Y LA INFANCIA (IAMI)</v>
      </c>
      <c r="U146" s="29" t="str">
        <f t="shared" si="21"/>
        <v>Anny Yuliana Angulo Hurtado</v>
      </c>
      <c r="V146" s="29" t="str">
        <f t="shared" si="22"/>
        <v>Anny Yuliana Angulo Hurtado</v>
      </c>
      <c r="W146" s="29" t="str">
        <f t="shared" si="23"/>
        <v>Anny Yuliana Angulo Hurtado-1087112630-IAMI</v>
      </c>
    </row>
    <row r="147" spans="1:23" x14ac:dyDescent="0.2">
      <c r="A147" s="147">
        <v>147</v>
      </c>
      <c r="B147" s="148">
        <v>1087112630</v>
      </c>
      <c r="C147" s="148" t="s">
        <v>466</v>
      </c>
      <c r="D147" s="148" t="s">
        <v>467</v>
      </c>
      <c r="E147" s="148" t="s">
        <v>468</v>
      </c>
      <c r="F147" s="148" t="s">
        <v>469</v>
      </c>
      <c r="G147" s="149">
        <v>27</v>
      </c>
      <c r="H147" s="149" t="s">
        <v>93</v>
      </c>
      <c r="I147" s="120" t="s">
        <v>461</v>
      </c>
      <c r="J147" s="121">
        <v>25000</v>
      </c>
      <c r="K147" s="119" t="s">
        <v>462</v>
      </c>
      <c r="L147" s="149" t="s">
        <v>84</v>
      </c>
      <c r="M147" s="150" t="s">
        <v>177</v>
      </c>
      <c r="N147" s="151" t="s">
        <v>19</v>
      </c>
      <c r="O147" s="152">
        <v>38162</v>
      </c>
      <c r="P147" s="153" t="s">
        <v>100</v>
      </c>
      <c r="Q147" s="154" t="s">
        <v>106</v>
      </c>
      <c r="R147" s="155" t="s">
        <v>470</v>
      </c>
      <c r="S147" s="156" t="s">
        <v>471</v>
      </c>
      <c r="T147" s="157" t="str">
        <f>IF(N147=CURSOS!$D$3,"DIPLOMADO EN ATENCION PRE-HOSPITALARIA",IF(N147=CURSOS!$D$4,"ACOMPAÑAMIENTO Y MANEJO DEL DUELO",IF(N147=CURSOS!$D$5,"ATENCION A VICTIMAS DE ATAQUE CON AGENTES QUIMICOS ",IF(N147=CURSOS!$D$6,"PRIMEROS AUXILIOS ",IF(N147=CURSOS!$D$7,"DIPLOMADO DE UNIDAD DE CUIDADOS INTENSIVOS (UCI)",IF(N147=CURSOS!$D$8,"MODELO DE ATENCION PARA EVENTOS EMERGENTES EN SALUD MENTAL (CODIGO VERDE)",IF(N147=CURSOS!$D$9,"HUMANIZACION EN SALUD, BUENAS PRACTICAS EN PACIENTE ",IF(N147=CURSOS!$D$10,"CLINICA DE HERIDAS ",IF(N147=CURSOS!$D$11,"TOMA DE CITOLOGIA A CERVICO VAGINAL ",IF(N147=CURSOS!$D$12,"SOPORTE CARDIOVASCULAR AVANZADO ",IF(N147=CURSOS!$D$13,"CAMILLERO ",IF(N147=CURSOS!$D$14,"TOMA MUESTRAS Y LABORATORIO ",IF(N147=CURSOS!$D$15,"SOPORTE VITAL BASICO (BLS)",IF(N147=CURSOS!$D$16,"ATENCION A VICTIMAS DE VIOLENCIA SEXUAL ",IF(N147=CURSOS!$D$17,"PROGRAMADO AMPLIADO DE INMUNIZACION (PAI - COVID 19)",IF(N147=CURSOS!$D$18,"ATENCION INTEGRAL EN ENFERMEDADES PREVALENTES EN PRIMERA INFANCIA (AIEPI)",IF(N147=CURSOS!$D$19,"ADMINISTRACION DE MEDICAMENTOS, IYECTOLOGIA  Y CANALIZACION ",IF(N147=CURSOS!$D$20,"OPERADOR DE VEHICULOS DE EMERGENCIA (OVE)",IF(N147=CURSOS!$D$21,"INSTITUCIONES AMIGAS DE LA MUJER Y LA INFANCIA (IAMI)",IF(N147=CURSOS!$D$22,"CUIDADO DEL DONANTE DE ORGANOS",IF(N147=CURSOS!$D$23,"ATENCION A VICTIMAS POR VIOLENCIA DE GENERO",IF(N147=CURSOS!$D$24,"IGUALDAD DE GENERO EN LA SALUD",IF(N147=CURSOS!$D$25,"BRIGADA DE EMERGENCIA",IF(N147=CURSOS!$D$26,"MANEJO DEL DOLOR Y CUIDADOS PALIATIVOS",IF(N147=CURSOS!$D$27,"TOMA MUESTRAS Y LABORATORIO POCT",IF(N147=CURSOS!$D$28,"IMPLANTE SUBDERMICO Y DISPOSITIVO INTRAUTERINO",IF(N147=CURSOS!$D$29,"SALUD MENTAL",IF(N147=CURSOS!$D$30,"PRIMEROS AUXILIOS PSICOLOGICOS",IF(N147=CURSOS!$D$31,"ATENCION A VICTIMAS POR CONFLICTO ARMADO",IF(N147=CURSOS!$D$32,"MANIPULACION DE ALIMENTOS Y BPM"))))))))))))))))))))))))))))))</f>
        <v>SOPORTE VITAL BASICO (BLS)</v>
      </c>
      <c r="U147" s="157" t="str">
        <f t="shared" si="21"/>
        <v>Anny Yuliana Angulo Hurtado</v>
      </c>
      <c r="V147" s="157" t="str">
        <f t="shared" si="22"/>
        <v>Anny Yuliana Angulo Hurtado</v>
      </c>
      <c r="W147" s="157" t="str">
        <f t="shared" si="23"/>
        <v>Anny Yuliana Angulo Hurtado-1087112630-BLS</v>
      </c>
    </row>
    <row r="148" spans="1:23" s="46" customFormat="1" x14ac:dyDescent="0.2">
      <c r="A148" s="31">
        <v>148</v>
      </c>
      <c r="B148" s="118">
        <v>1087112630</v>
      </c>
      <c r="C148" s="118" t="s">
        <v>466</v>
      </c>
      <c r="D148" s="118" t="s">
        <v>467</v>
      </c>
      <c r="E148" s="118" t="s">
        <v>468</v>
      </c>
      <c r="F148" s="118" t="s">
        <v>469</v>
      </c>
      <c r="G148" s="119">
        <v>27</v>
      </c>
      <c r="H148" s="119" t="s">
        <v>93</v>
      </c>
      <c r="I148" s="120" t="s">
        <v>461</v>
      </c>
      <c r="J148" s="121">
        <v>25000</v>
      </c>
      <c r="K148" s="119" t="s">
        <v>462</v>
      </c>
      <c r="L148" s="119" t="s">
        <v>84</v>
      </c>
      <c r="M148" s="113" t="s">
        <v>177</v>
      </c>
      <c r="N148" s="19" t="s">
        <v>478</v>
      </c>
      <c r="O148" s="143">
        <v>38162</v>
      </c>
      <c r="P148" s="112" t="s">
        <v>100</v>
      </c>
      <c r="Q148" s="123" t="s">
        <v>106</v>
      </c>
      <c r="R148" s="145" t="s">
        <v>470</v>
      </c>
      <c r="S148" s="146" t="s">
        <v>471</v>
      </c>
      <c r="T148" s="29" t="s">
        <v>478</v>
      </c>
      <c r="U148" s="29" t="str">
        <f t="shared" si="21"/>
        <v>Anny Yuliana Angulo Hurtado</v>
      </c>
      <c r="V148" s="29" t="str">
        <f t="shared" si="22"/>
        <v>Anny Yuliana Angulo Hurtado</v>
      </c>
      <c r="W148" s="29" t="str">
        <f t="shared" si="23"/>
        <v>Anny Yuliana Angulo Hurtado-1087112630-TRIAGE</v>
      </c>
    </row>
    <row r="149" spans="1:23" s="46" customFormat="1" x14ac:dyDescent="0.2">
      <c r="A149" s="31">
        <v>149</v>
      </c>
      <c r="B149" s="31">
        <v>98394398</v>
      </c>
      <c r="C149" s="31" t="s">
        <v>472</v>
      </c>
      <c r="D149" s="31" t="s">
        <v>473</v>
      </c>
      <c r="E149" s="31" t="s">
        <v>474</v>
      </c>
      <c r="F149" s="31" t="s">
        <v>475</v>
      </c>
      <c r="G149" s="18">
        <v>27</v>
      </c>
      <c r="H149" s="119" t="s">
        <v>93</v>
      </c>
      <c r="I149" s="22">
        <v>45440</v>
      </c>
      <c r="J149" s="57">
        <v>50000</v>
      </c>
      <c r="K149" s="18" t="s">
        <v>77</v>
      </c>
      <c r="L149" s="18" t="s">
        <v>84</v>
      </c>
      <c r="M149" s="18" t="s">
        <v>75</v>
      </c>
      <c r="N149" s="19" t="s">
        <v>33</v>
      </c>
      <c r="O149" s="45">
        <v>27969</v>
      </c>
      <c r="P149" s="31" t="s">
        <v>79</v>
      </c>
      <c r="Q149" s="31" t="s">
        <v>476</v>
      </c>
      <c r="R149" s="31">
        <v>3137855093</v>
      </c>
      <c r="S149" s="31" t="s">
        <v>477</v>
      </c>
      <c r="T149" s="29" t="str">
        <f>IF(N149=CURSOS!$D$3,"DIPLOMADO EN ATENCION PRE-HOSPITALARIA",IF(N149=CURSOS!$D$4,"ACOMPAÑAMIENTO Y MANEJO DEL DUELO",IF(N149=CURSOS!$D$5,"ATENCION A VICTIMAS DE ATAQUE CON AGENTES QUIMICOS ",IF(N149=CURSOS!$D$6,"PRIMEROS AUXILIOS ",IF(N149=CURSOS!$D$7,"DIPLOMADO DE UNIDAD DE CUIDADOS INTENSIVOS (UCI)",IF(N149=CURSOS!$D$8,"MODELO DE ATENCION PARA EVENTOS EMERGENTES EN SALUD MENTAL (CODIGO VERDE)",IF(N149=CURSOS!$D$9,"HUMANIZACION EN SALUD, BUENAS PRACTICAS EN PACIENTE ",IF(N149=CURSOS!$D$10,"CLINICA DE HERIDAS ",IF(N149=CURSOS!$D$11,"TOMA DE CITOLOGIA A CERVICO VAGINAL ",IF(N149=CURSOS!$D$12,"SOPORTE CARDIOVASCULAR AVANZADO ",IF(N149=CURSOS!$D$13,"CAMILLERO ",IF(N149=CURSOS!$D$14,"TOMA MUESTRAS Y LABORATORIO ",IF(N149=CURSOS!$D$15,"SOPORTE VITAL BASICO (BLS)",IF(N149=CURSOS!$D$16,"ATENCION A VICTIMAS DE VIOLENCIA SEXUAL ",IF(N149=CURSOS!$D$17,"PROGRAMADO AMPLIADO DE INMUNIZACION (PAI - COVID 19)",IF(N149=CURSOS!$D$18,"ATENCION INTEGRAL EN ENFERMEDADES PREVALENTES EN PRIMERA INFANCIA (AIEPI)",IF(N149=CURSOS!$D$19,"ADMINISTRACION DE MEDICAMENTOS, IYECTOLOGIA  Y CANALIZACION ",IF(N149=CURSOS!$D$20,"OPERADOR DE VEHICULOS DE EMERGENCIA (OVE)",IF(N149=CURSOS!$D$21,"INSTITUCIONES AMIGAS DE LA MUJER Y LA INFANCIA (IAMI)",IF(N149=CURSOS!$D$22,"CUIDADO DEL DONANTE DE ORGANOS",IF(N149=CURSOS!$D$23,"ATENCION A VICTIMAS POR VIOLENCIA DE GENERO",IF(N149=CURSOS!$D$24,"IGUALDAD DE GENERO EN LA SALUD",IF(N149=CURSOS!$D$25,"BRIGADA DE EMERGENCIA",IF(N149=CURSOS!$D$26,"MANEJO DEL DOLOR Y CUIDADOS PALIATIVOS",IF(N149=CURSOS!$D$27,"TOMA MUESTRAS Y LABORATORIO POCT",IF(N149=CURSOS!$D$28,"IMPLANTE SUBDERMICO Y DISPOSITIVO INTRAUTERINO",IF(N149=CURSOS!$D$29,"SALUD MENTAL",IF(N149=CURSOS!$D$30,"PRIMEROS AUXILIOS PSICOLOGICOS",IF(N149=CURSOS!$D$31,"ATENCION A VICTIMAS POR CONFLICTO ARMADO",IF(N149=CURSOS!$D$32,"MANIPULACION DE ALIMENTOS Y BPM"))))))))))))))))))))))))))))))</f>
        <v xml:space="preserve">HUMANIZACION EN SALUD, BUENAS PRACTICAS EN PACIENTE </v>
      </c>
      <c r="U149" s="29" t="str">
        <f t="shared" si="21"/>
        <v>Jorge Giraldo Pinta Soscue</v>
      </c>
      <c r="V149" s="29" t="str">
        <f t="shared" si="22"/>
        <v>Jorge Giraldo Pinta Soscue</v>
      </c>
      <c r="W149" s="29" t="str">
        <f t="shared" si="23"/>
        <v>Jorge Giraldo Pinta Soscue-98394398-HUMANIZACION</v>
      </c>
    </row>
    <row r="150" spans="1:23" s="46" customFormat="1" x14ac:dyDescent="0.2">
      <c r="A150" s="31">
        <v>150</v>
      </c>
      <c r="B150" s="31">
        <v>36753433</v>
      </c>
      <c r="C150" s="31" t="s">
        <v>479</v>
      </c>
      <c r="D150" s="31" t="s">
        <v>480</v>
      </c>
      <c r="E150" s="31" t="s">
        <v>481</v>
      </c>
      <c r="F150" s="31" t="s">
        <v>482</v>
      </c>
      <c r="G150" s="18">
        <v>27</v>
      </c>
      <c r="H150" s="119" t="s">
        <v>93</v>
      </c>
      <c r="I150" s="22">
        <v>45441</v>
      </c>
      <c r="J150" s="57">
        <v>20000</v>
      </c>
      <c r="K150" s="18" t="s">
        <v>77</v>
      </c>
      <c r="L150" s="18" t="s">
        <v>84</v>
      </c>
      <c r="M150" s="18" t="s">
        <v>75</v>
      </c>
      <c r="N150" s="19" t="s">
        <v>19</v>
      </c>
      <c r="O150" s="45">
        <v>29957</v>
      </c>
      <c r="P150" s="31" t="s">
        <v>100</v>
      </c>
      <c r="Q150" s="31" t="s">
        <v>106</v>
      </c>
      <c r="R150" s="31">
        <v>3014018877</v>
      </c>
      <c r="S150" s="31" t="s">
        <v>483</v>
      </c>
      <c r="T150" s="29" t="str">
        <f>IF(N150=CURSOS!$D$3,"DIPLOMADO EN ATENCION PRE-HOSPITALARIA",IF(N150=CURSOS!$D$4,"ACOMPAÑAMIENTO Y MANEJO DEL DUELO",IF(N150=CURSOS!$D$5,"ATENCION A VICTIMAS DE ATAQUE CON AGENTES QUIMICOS ",IF(N150=CURSOS!$D$6,"PRIMEROS AUXILIOS ",IF(N150=CURSOS!$D$7,"DIPLOMADO DE UNIDAD DE CUIDADOS INTENSIVOS (UCI)",IF(N150=CURSOS!$D$8,"MODELO DE ATENCION PARA EVENTOS EMERGENTES EN SALUD MENTAL (CODIGO VERDE)",IF(N150=CURSOS!$D$9,"HUMANIZACION EN SALUD, BUENAS PRACTICAS EN PACIENTE ",IF(N150=CURSOS!$D$10,"CLINICA DE HERIDAS ",IF(N150=CURSOS!$D$11,"TOMA DE CITOLOGIA A CERVICO VAGINAL ",IF(N150=CURSOS!$D$12,"SOPORTE CARDIOVASCULAR AVANZADO ",IF(N150=CURSOS!$D$13,"CAMILLERO ",IF(N150=CURSOS!$D$14,"TOMA MUESTRAS Y LABORATORIO ",IF(N150=CURSOS!$D$15,"SOPORTE VITAL BASICO (BLS)",IF(N150=CURSOS!$D$16,"ATENCION A VICTIMAS DE VIOLENCIA SEXUAL ",IF(N150=CURSOS!$D$17,"PROGRAMADO AMPLIADO DE INMUNIZACION (PAI - COVID 19)",IF(N150=CURSOS!$D$18,"ATENCION INTEGRAL EN ENFERMEDADES PREVALENTES EN PRIMERA INFANCIA (AIEPI)",IF(N150=CURSOS!$D$19,"ADMINISTRACION DE MEDICAMENTOS, IYECTOLOGIA  Y CANALIZACION ",IF(N150=CURSOS!$D$20,"OPERADOR DE VEHICULOS DE EMERGENCIA (OVE)",IF(N150=CURSOS!$D$21,"INSTITUCIONES AMIGAS DE LA MUJER Y LA INFANCIA (IAMI)",IF(N150=CURSOS!$D$22,"CUIDADO DEL DONANTE DE ORGANOS",IF(N150=CURSOS!$D$23,"ATENCION A VICTIMAS POR VIOLENCIA DE GENERO",IF(N150=CURSOS!$D$24,"IGUALDAD DE GENERO EN LA SALUD",IF(N150=CURSOS!$D$25,"BRIGADA DE EMERGENCIA",IF(N150=CURSOS!$D$26,"MANEJO DEL DOLOR Y CUIDADOS PALIATIVOS",IF(N150=CURSOS!$D$27,"TOMA MUESTRAS Y LABORATORIO POCT",IF(N150=CURSOS!$D$28,"IMPLANTE SUBDERMICO Y DISPOSITIVO INTRAUTERINO",IF(N150=CURSOS!$D$29,"SALUD MENTAL",IF(N150=CURSOS!$D$30,"PRIMEROS AUXILIOS PSICOLOGICOS",IF(N150=CURSOS!$D$31,"ATENCION A VICTIMAS POR CONFLICTO ARMADO",IF(N150=CURSOS!$D$32,"MANIPULACION DE ALIMENTOS Y BPM"))))))))))))))))))))))))))))))</f>
        <v>SOPORTE VITAL BASICO (BLS)</v>
      </c>
      <c r="U150" s="29" t="str">
        <f t="shared" ref="U150:U153" si="24">CONCATENATE(E150," ",F150," ",C150," ",D150)</f>
        <v>Doli Mylena Miramag Buesaquillo</v>
      </c>
      <c r="V150" s="29" t="str">
        <f t="shared" ref="V150:V153" si="25">+PROPER(U150)</f>
        <v>Doli Mylena Miramag Buesaquillo</v>
      </c>
      <c r="W150" s="29" t="str">
        <f t="shared" ref="W150:W153" si="26">CONCATENATE(U150,"-",B150,"-",N150)</f>
        <v>Doli Mylena Miramag Buesaquillo-36753433-BLS</v>
      </c>
    </row>
    <row r="151" spans="1:23" s="46" customFormat="1" x14ac:dyDescent="0.2">
      <c r="A151" s="31">
        <v>151</v>
      </c>
      <c r="B151" s="31">
        <v>36753433</v>
      </c>
      <c r="C151" s="31" t="s">
        <v>479</v>
      </c>
      <c r="D151" s="31" t="s">
        <v>480</v>
      </c>
      <c r="E151" s="31" t="s">
        <v>481</v>
      </c>
      <c r="F151" s="31" t="s">
        <v>482</v>
      </c>
      <c r="G151" s="18">
        <v>27</v>
      </c>
      <c r="H151" s="119" t="s">
        <v>93</v>
      </c>
      <c r="I151" s="22">
        <v>45441</v>
      </c>
      <c r="J151" s="57">
        <v>20000</v>
      </c>
      <c r="K151" s="18" t="s">
        <v>77</v>
      </c>
      <c r="L151" s="18" t="s">
        <v>84</v>
      </c>
      <c r="M151" s="18" t="s">
        <v>75</v>
      </c>
      <c r="N151" s="19" t="s">
        <v>46</v>
      </c>
      <c r="O151" s="45">
        <v>29957</v>
      </c>
      <c r="P151" s="31" t="s">
        <v>100</v>
      </c>
      <c r="Q151" s="31" t="s">
        <v>106</v>
      </c>
      <c r="R151" s="31">
        <v>3014018877</v>
      </c>
      <c r="S151" s="31" t="s">
        <v>483</v>
      </c>
      <c r="T151" s="29" t="str">
        <f>IF(N151=CURSOS!$D$3,"DIPLOMADO EN ATENCION PRE-HOSPITALARIA",IF(N151=CURSOS!$D$4,"ACOMPAÑAMIENTO Y MANEJO DEL DUELO",IF(N151=CURSOS!$D$5,"ATENCION A VICTIMAS DE ATAQUE CON AGENTES QUIMICOS ",IF(N151=CURSOS!$D$6,"PRIMEROS AUXILIOS ",IF(N151=CURSOS!$D$7,"DIPLOMADO DE UNIDAD DE CUIDADOS INTENSIVOS (UCI)",IF(N151=CURSOS!$D$8,"MODELO DE ATENCION PARA EVENTOS EMERGENTES EN SALUD MENTAL (CODIGO VERDE)",IF(N151=CURSOS!$D$9,"HUMANIZACION EN SALUD, BUENAS PRACTICAS EN PACIENTE ",IF(N151=CURSOS!$D$10,"CLINICA DE HERIDAS ",IF(N151=CURSOS!$D$11,"TOMA DE CITOLOGIA A CERVICO VAGINAL ",IF(N151=CURSOS!$D$12,"SOPORTE CARDIOVASCULAR AVANZADO ",IF(N151=CURSOS!$D$13,"CAMILLERO ",IF(N151=CURSOS!$D$14,"TOMA MUESTRAS Y LABORATORIO ",IF(N151=CURSOS!$D$15,"SOPORTE VITAL BASICO (BLS)",IF(N151=CURSOS!$D$16,"ATENCION A VICTIMAS DE VIOLENCIA SEXUAL ",IF(N151=CURSOS!$D$17,"PROGRAMADO AMPLIADO DE INMUNIZACION (PAI - COVID 19)",IF(N151=CURSOS!$D$18,"ATENCION INTEGRAL EN ENFERMEDADES PREVALENTES EN PRIMERA INFANCIA (AIEPI)",IF(N151=CURSOS!$D$19,"ADMINISTRACION DE MEDICAMENTOS, IYECTOLOGIA  Y CANALIZACION ",IF(N151=CURSOS!$D$20,"OPERADOR DE VEHICULOS DE EMERGENCIA (OVE)",IF(N151=CURSOS!$D$21,"INSTITUCIONES AMIGAS DE LA MUJER Y LA INFANCIA (IAMI)",IF(N151=CURSOS!$D$22,"CUIDADO DEL DONANTE DE ORGANOS",IF(N151=CURSOS!$D$23,"ATENCION A VICTIMAS POR VIOLENCIA DE GENERO",IF(N151=CURSOS!$D$24,"IGUALDAD DE GENERO EN LA SALUD",IF(N151=CURSOS!$D$25,"BRIGADA DE EMERGENCIA",IF(N151=CURSOS!$D$26,"MANEJO DEL DOLOR Y CUIDADOS PALIATIVOS",IF(N151=CURSOS!$D$27,"TOMA MUESTRAS Y LABORATORIO POCT",IF(N151=CURSOS!$D$28,"IMPLANTE SUBDERMICO Y DISPOSITIVO INTRAUTERINO",IF(N151=CURSOS!$D$29,"SALUD MENTAL",IF(N151=CURSOS!$D$30,"PRIMEROS AUXILIOS PSICOLOGICOS",IF(N151=CURSOS!$D$31,"ATENCION A VICTIMAS POR CONFLICTO ARMADO",IF(N151=CURSOS!$D$32,"MANIPULACION DE ALIMENTOS Y BPM"))))))))))))))))))))))))))))))</f>
        <v xml:space="preserve">ATENCION A VICTIMAS DE VIOLENCIA SEXUAL </v>
      </c>
      <c r="U151" s="29" t="str">
        <f t="shared" si="24"/>
        <v>Doli Mylena Miramag Buesaquillo</v>
      </c>
      <c r="V151" s="29" t="str">
        <f t="shared" si="25"/>
        <v>Doli Mylena Miramag Buesaquillo</v>
      </c>
      <c r="W151" s="29" t="str">
        <f t="shared" si="26"/>
        <v>Doli Mylena Miramag Buesaquillo-36753433-VIOLENCIA SEXUAL</v>
      </c>
    </row>
    <row r="152" spans="1:23" s="46" customFormat="1" x14ac:dyDescent="0.2">
      <c r="A152" s="31">
        <v>152</v>
      </c>
      <c r="B152" s="31">
        <v>1085273942</v>
      </c>
      <c r="C152" s="31" t="s">
        <v>253</v>
      </c>
      <c r="D152" s="31" t="s">
        <v>485</v>
      </c>
      <c r="E152" s="31" t="s">
        <v>486</v>
      </c>
      <c r="F152" s="31" t="s">
        <v>433</v>
      </c>
      <c r="G152" s="18">
        <v>28</v>
      </c>
      <c r="H152" s="119" t="s">
        <v>93</v>
      </c>
      <c r="I152" s="22">
        <v>45441</v>
      </c>
      <c r="J152" s="57">
        <v>20000</v>
      </c>
      <c r="K152" s="18" t="s">
        <v>77</v>
      </c>
      <c r="L152" s="18" t="s">
        <v>84</v>
      </c>
      <c r="M152" s="18" t="s">
        <v>75</v>
      </c>
      <c r="N152" s="19" t="s">
        <v>33</v>
      </c>
      <c r="O152" s="45">
        <v>32571</v>
      </c>
      <c r="P152" s="31" t="s">
        <v>79</v>
      </c>
      <c r="Q152" s="123" t="s">
        <v>106</v>
      </c>
      <c r="R152" s="31">
        <v>3168688508</v>
      </c>
      <c r="S152" s="31" t="s">
        <v>487</v>
      </c>
      <c r="T152" s="29" t="str">
        <f>IF(N152=CURSOS!$D$3,"DIPLOMADO EN ATENCION PRE-HOSPITALARIA",IF(N152=CURSOS!$D$4,"ACOMPAÑAMIENTO Y MANEJO DEL DUELO",IF(N152=CURSOS!$D$5,"ATENCION A VICTIMAS DE ATAQUE CON AGENTES QUIMICOS ",IF(N152=CURSOS!$D$6,"PRIMEROS AUXILIOS ",IF(N152=CURSOS!$D$7,"DIPLOMADO DE UNIDAD DE CUIDADOS INTENSIVOS (UCI)",IF(N152=CURSOS!$D$8,"MODELO DE ATENCION PARA EVENTOS EMERGENTES EN SALUD MENTAL (CODIGO VERDE)",IF(N152=CURSOS!$D$9,"HUMANIZACION EN SALUD, BUENAS PRACTICAS EN PACIENTE ",IF(N152=CURSOS!$D$10,"CLINICA DE HERIDAS ",IF(N152=CURSOS!$D$11,"TOMA DE CITOLOGIA A CERVICO VAGINAL ",IF(N152=CURSOS!$D$12,"SOPORTE CARDIOVASCULAR AVANZADO ",IF(N152=CURSOS!$D$13,"CAMILLERO ",IF(N152=CURSOS!$D$14,"TOMA MUESTRAS Y LABORATORIO ",IF(N152=CURSOS!$D$15,"SOPORTE VITAL BASICO (BLS)",IF(N152=CURSOS!$D$16,"ATENCION A VICTIMAS DE VIOLENCIA SEXUAL ",IF(N152=CURSOS!$D$17,"PROGRAMADO AMPLIADO DE INMUNIZACION (PAI - COVID 19)",IF(N152=CURSOS!$D$18,"ATENCION INTEGRAL EN ENFERMEDADES PREVALENTES EN PRIMERA INFANCIA (AIEPI)",IF(N152=CURSOS!$D$19,"ADMINISTRACION DE MEDICAMENTOS, IYECTOLOGIA  Y CANALIZACION ",IF(N152=CURSOS!$D$20,"OPERADOR DE VEHICULOS DE EMERGENCIA (OVE)",IF(N152=CURSOS!$D$21,"INSTITUCIONES AMIGAS DE LA MUJER Y LA INFANCIA (IAMI)",IF(N152=CURSOS!$D$22,"CUIDADO DEL DONANTE DE ORGANOS",IF(N152=CURSOS!$D$23,"ATENCION A VICTIMAS POR VIOLENCIA DE GENERO",IF(N152=CURSOS!$D$24,"IGUALDAD DE GENERO EN LA SALUD",IF(N152=CURSOS!$D$25,"BRIGADA DE EMERGENCIA",IF(N152=CURSOS!$D$26,"MANEJO DEL DOLOR Y CUIDADOS PALIATIVOS",IF(N152=CURSOS!$D$27,"TOMA MUESTRAS Y LABORATORIO POCT",IF(N152=CURSOS!$D$28,"IMPLANTE SUBDERMICO Y DISPOSITIVO INTRAUTERINO",IF(N152=CURSOS!$D$29,"SALUD MENTAL",IF(N152=CURSOS!$D$30,"PRIMEROS AUXILIOS PSICOLOGICOS",IF(N152=CURSOS!$D$31,"ATENCION A VICTIMAS POR CONFLICTO ARMADO",IF(N152=CURSOS!$D$32,"MANIPULACION DE ALIMENTOS Y BPM"))))))))))))))))))))))))))))))</f>
        <v xml:space="preserve">HUMANIZACION EN SALUD, BUENAS PRACTICAS EN PACIENTE </v>
      </c>
      <c r="U152" s="29" t="str">
        <f t="shared" si="24"/>
        <v>Mario Hernan Paz Cassetta</v>
      </c>
      <c r="V152" s="29" t="str">
        <f t="shared" si="25"/>
        <v>Mario Hernan Paz Cassetta</v>
      </c>
      <c r="W152" s="29" t="str">
        <f t="shared" si="26"/>
        <v>Mario Hernan Paz Cassetta-1085273942-HUMANIZACION</v>
      </c>
    </row>
    <row r="153" spans="1:23" s="46" customFormat="1" x14ac:dyDescent="0.2">
      <c r="A153" s="31">
        <v>153</v>
      </c>
      <c r="B153" s="31">
        <v>1085273942</v>
      </c>
      <c r="C153" s="31" t="s">
        <v>253</v>
      </c>
      <c r="D153" s="31" t="s">
        <v>485</v>
      </c>
      <c r="E153" s="31" t="s">
        <v>486</v>
      </c>
      <c r="F153" s="31" t="s">
        <v>433</v>
      </c>
      <c r="G153" s="18">
        <v>28</v>
      </c>
      <c r="H153" s="119" t="s">
        <v>93</v>
      </c>
      <c r="I153" s="22">
        <v>45441</v>
      </c>
      <c r="J153" s="57">
        <v>20000</v>
      </c>
      <c r="K153" s="18" t="s">
        <v>77</v>
      </c>
      <c r="L153" s="18" t="s">
        <v>84</v>
      </c>
      <c r="M153" s="18" t="s">
        <v>75</v>
      </c>
      <c r="N153" s="19" t="s">
        <v>407</v>
      </c>
      <c r="O153" s="45">
        <v>32571</v>
      </c>
      <c r="P153" s="31" t="s">
        <v>79</v>
      </c>
      <c r="Q153" s="123" t="s">
        <v>106</v>
      </c>
      <c r="R153" s="31">
        <v>3168688508</v>
      </c>
      <c r="S153" s="31" t="s">
        <v>487</v>
      </c>
      <c r="T153" s="29" t="str">
        <f>IF(N153=CURSOS!$D$3,"DIPLOMADO EN ATENCION PRE-HOSPITALARIA",IF(N153=CURSOS!$D$4,"ACOMPAÑAMIENTO Y MANEJO DEL DUELO",IF(N153=CURSOS!$D$5,"ATENCION A VICTIMAS DE ATAQUE CON AGENTES QUIMICOS ",IF(N153=CURSOS!$D$6,"PRIMEROS AUXILIOS ",IF(N153=CURSOS!$D$7,"DIPLOMADO DE UNIDAD DE CUIDADOS INTENSIVOS (UCI)",IF(N153=CURSOS!$D$8,"MODELO DE ATENCION PARA EVENTOS EMERGENTES EN SALUD MENTAL (CODIGO VERDE)",IF(N153=CURSOS!$D$9,"HUMANIZACION EN SALUD, BUENAS PRACTICAS EN PACIENTE ",IF(N153=CURSOS!$D$10,"CLINICA DE HERIDAS ",IF(N153=CURSOS!$D$11,"TOMA DE CITOLOGIA A CERVICO VAGINAL ",IF(N153=CURSOS!$D$12,"SOPORTE CARDIOVASCULAR AVANZADO ",IF(N153=CURSOS!$D$13,"CAMILLERO ",IF(N153=CURSOS!$D$14,"TOMA MUESTRAS Y LABORATORIO ",IF(N153=CURSOS!$D$15,"SOPORTE VITAL BASICO (BLS)",IF(N153=CURSOS!$D$16,"ATENCION A VICTIMAS DE VIOLENCIA SEXUAL ",IF(N153=CURSOS!$D$17,"PROGRAMADO AMPLIADO DE INMUNIZACION (PAI - COVID 19)",IF(N153=CURSOS!$D$18,"ATENCION INTEGRAL EN ENFERMEDADES PREVALENTES EN PRIMERA INFANCIA (AIEPI)",IF(N153=CURSOS!$D$19,"ADMINISTRACION DE MEDICAMENTOS, IYECTOLOGIA  Y CANALIZACION ",IF(N153=CURSOS!$D$20,"OPERADOR DE VEHICULOS DE EMERGENCIA (OVE)",IF(N153=CURSOS!$D$21,"INSTITUCIONES AMIGAS DE LA MUJER Y LA INFANCIA (IAMI)",IF(N153=CURSOS!$D$22,"CUIDADO DEL DONANTE DE ORGANOS",IF(N153=CURSOS!$D$23,"ATENCION A VICTIMAS POR VIOLENCIA DE GENERO",IF(N153=CURSOS!$D$24,"IGUALDAD DE GENERO EN LA SALUD",IF(N153=CURSOS!$D$25,"BRIGADA DE EMERGENCIA",IF(N153=CURSOS!$D$26,"MANEJO DEL DOLOR Y CUIDADOS PALIATIVOS",IF(N153=CURSOS!$D$27,"TOMA MUESTRAS Y LABORATORIO POCT",IF(N153=CURSOS!$D$28,"IMPLANTE SUBDERMICO Y DISPOSITIVO INTRAUTERINO",IF(N153=CURSOS!$D$29,"SALUD MENTAL",IF(N153=CURSOS!$D$30,"PRIMEROS AUXILIOS PSICOLOGICOS",IF(N153=CURSOS!$D$31,"ATENCION A VICTIMAS POR CONFLICTO ARMADO",IF(N153=CURSOS!$D$32,"MANIPULACION DE ALIMENTOS Y BPM"))))))))))))))))))))))))))))))</f>
        <v>ACOMPAÑAMIENTO Y MANEJO DEL DUELO</v>
      </c>
      <c r="U153" s="29" t="str">
        <f t="shared" si="24"/>
        <v>Mario Hernan Paz Cassetta</v>
      </c>
      <c r="V153" s="29" t="str">
        <f t="shared" si="25"/>
        <v>Mario Hernan Paz Cassetta</v>
      </c>
      <c r="W153" s="29" t="str">
        <f t="shared" si="26"/>
        <v>Mario Hernan Paz Cassetta-1085273942-Duelo</v>
      </c>
    </row>
    <row r="154" spans="1:23" s="46" customFormat="1" ht="15.75" x14ac:dyDescent="0.25">
      <c r="A154" s="31">
        <v>154</v>
      </c>
      <c r="B154" s="31">
        <v>30729017</v>
      </c>
      <c r="C154" s="31" t="s">
        <v>355</v>
      </c>
      <c r="D154" s="31" t="s">
        <v>488</v>
      </c>
      <c r="E154" s="31" t="s">
        <v>489</v>
      </c>
      <c r="F154" s="31" t="s">
        <v>490</v>
      </c>
      <c r="G154" s="18">
        <v>28</v>
      </c>
      <c r="H154" s="119" t="s">
        <v>93</v>
      </c>
      <c r="I154" s="22">
        <v>45441</v>
      </c>
      <c r="J154" s="57">
        <v>71000</v>
      </c>
      <c r="K154" s="18" t="s">
        <v>77</v>
      </c>
      <c r="L154" s="18" t="s">
        <v>84</v>
      </c>
      <c r="M154" s="18" t="s">
        <v>75</v>
      </c>
      <c r="N154" s="19" t="s">
        <v>39</v>
      </c>
      <c r="O154" s="45">
        <v>23717</v>
      </c>
      <c r="P154" s="31" t="s">
        <v>100</v>
      </c>
      <c r="Q154" s="123" t="s">
        <v>162</v>
      </c>
      <c r="R154" s="31">
        <v>3014705972</v>
      </c>
      <c r="S154" s="47" t="s">
        <v>491</v>
      </c>
      <c r="T154" s="29" t="str">
        <f>IF(N154=CURSOS!$D$3,"DIPLOMADO EN ATENCION PRE-HOSPITALARIA",IF(N154=CURSOS!$D$4,"ACOMPAÑAMIENTO Y MANEJO DEL DUELO",IF(N154=CURSOS!$D$5,"ATENCION A VICTIMAS DE ATAQUE CON AGENTES QUIMICOS ",IF(N154=CURSOS!$D$6,"PRIMEROS AUXILIOS ",IF(N154=CURSOS!$D$7,"DIPLOMADO DE UNIDAD DE CUIDADOS INTENSIVOS (UCI)",IF(N154=CURSOS!$D$8,"MODELO DE ATENCION PARA EVENTOS EMERGENTES EN SALUD MENTAL (CODIGO VERDE)",IF(N154=CURSOS!$D$9,"HUMANIZACION EN SALUD, BUENAS PRACTICAS EN PACIENTE ",IF(N154=CURSOS!$D$10,"CLINICA DE HERIDAS ",IF(N154=CURSOS!$D$11,"TOMA DE CITOLOGIA A CERVICO VAGINAL ",IF(N154=CURSOS!$D$12,"SOPORTE CARDIOVASCULAR AVANZADO ",IF(N154=CURSOS!$D$13,"CAMILLERO ",IF(N154=CURSOS!$D$14,"TOMA MUESTRAS Y LABORATORIO ",IF(N154=CURSOS!$D$15,"SOPORTE VITAL BASICO (BLS)",IF(N154=CURSOS!$D$16,"ATENCION A VICTIMAS DE VIOLENCIA SEXUAL ",IF(N154=CURSOS!$D$17,"PROGRAMADO AMPLIADO DE INMUNIZACION (PAI - COVID 19)",IF(N154=CURSOS!$D$18,"ATENCION INTEGRAL EN ENFERMEDADES PREVALENTES EN PRIMERA INFANCIA (AIEPI)",IF(N154=CURSOS!$D$19,"ADMINISTRACION DE MEDICAMENTOS, IYECTOLOGIA  Y CANALIZACION ",IF(N154=CURSOS!$D$20,"OPERADOR DE VEHICULOS DE EMERGENCIA (OVE)",IF(N154=CURSOS!$D$21,"INSTITUCIONES AMIGAS DE LA MUJER Y LA INFANCIA (IAMI)",IF(N154=CURSOS!$D$22,"CUIDADO DEL DONANTE DE ORGANOS",IF(N154=CURSOS!$D$23,"ATENCION A VICTIMAS POR VIOLENCIA DE GENERO",IF(N154=CURSOS!$D$24,"IGUALDAD DE GENERO EN LA SALUD",IF(N154=CURSOS!$D$25,"BRIGADA DE EMERGENCIA",IF(N154=CURSOS!$D$26,"MANEJO DEL DOLOR Y CUIDADOS PALIATIVOS",IF(N154=CURSOS!$D$27,"TOMA MUESTRAS Y LABORATORIO POCT",IF(N154=CURSOS!$D$28,"IMPLANTE SUBDERMICO Y DISPOSITIVO INTRAUTERINO",IF(N154=CURSOS!$D$29,"SALUD MENTAL",IF(N154=CURSOS!$D$30,"PRIMEROS AUXILIOS PSICOLOGICOS",IF(N154=CURSOS!$D$31,"ATENCION A VICTIMAS POR CONFLICTO ARMADO",IF(N154=CURSOS!$D$32,"MANIPULACION DE ALIMENTOS Y BPM"))))))))))))))))))))))))))))))</f>
        <v xml:space="preserve">SOPORTE CARDIOVASCULAR AVANZADO </v>
      </c>
      <c r="U154" s="29" t="str">
        <f t="shared" ref="U154:U181" si="27">CONCATENATE(E154," ",F154," ",C154," ",D154)</f>
        <v>Miryan Graciela Villota Ocaña</v>
      </c>
      <c r="V154" s="29" t="str">
        <f t="shared" ref="V154:V181" si="28">+PROPER(U154)</f>
        <v>Miryan Graciela Villota Ocaña</v>
      </c>
      <c r="W154" s="29" t="str">
        <f t="shared" ref="W154:W181" si="29">CONCATENATE(U154,"-",B154,"-",N154)</f>
        <v>Miryan Graciela Villota Ocaña-30729017-ACLS</v>
      </c>
    </row>
    <row r="155" spans="1:23" s="46" customFormat="1" ht="15.75" x14ac:dyDescent="0.25">
      <c r="A155" s="31">
        <v>155</v>
      </c>
      <c r="B155" s="31">
        <v>30729017</v>
      </c>
      <c r="C155" s="31" t="s">
        <v>355</v>
      </c>
      <c r="D155" s="31" t="s">
        <v>488</v>
      </c>
      <c r="E155" s="31" t="s">
        <v>489</v>
      </c>
      <c r="F155" s="31" t="s">
        <v>490</v>
      </c>
      <c r="G155" s="18">
        <v>28</v>
      </c>
      <c r="H155" s="119" t="s">
        <v>93</v>
      </c>
      <c r="I155" s="22">
        <v>45441</v>
      </c>
      <c r="J155" s="57">
        <v>20000</v>
      </c>
      <c r="K155" s="18" t="s">
        <v>77</v>
      </c>
      <c r="L155" s="18" t="s">
        <v>84</v>
      </c>
      <c r="M155" s="18" t="s">
        <v>75</v>
      </c>
      <c r="N155" s="19" t="s">
        <v>46</v>
      </c>
      <c r="O155" s="45">
        <v>23717</v>
      </c>
      <c r="P155" s="31" t="s">
        <v>100</v>
      </c>
      <c r="Q155" s="123" t="s">
        <v>162</v>
      </c>
      <c r="R155" s="31">
        <v>3014705972</v>
      </c>
      <c r="S155" s="47" t="s">
        <v>491</v>
      </c>
      <c r="T155" s="29" t="str">
        <f>IF(N155=CURSOS!$D$3,"DIPLOMADO EN ATENCION PRE-HOSPITALARIA",IF(N155=CURSOS!$D$4,"ACOMPAÑAMIENTO Y MANEJO DEL DUELO",IF(N155=CURSOS!$D$5,"ATENCION A VICTIMAS DE ATAQUE CON AGENTES QUIMICOS ",IF(N155=CURSOS!$D$6,"PRIMEROS AUXILIOS ",IF(N155=CURSOS!$D$7,"DIPLOMADO DE UNIDAD DE CUIDADOS INTENSIVOS (UCI)",IF(N155=CURSOS!$D$8,"MODELO DE ATENCION PARA EVENTOS EMERGENTES EN SALUD MENTAL (CODIGO VERDE)",IF(N155=CURSOS!$D$9,"HUMANIZACION EN SALUD, BUENAS PRACTICAS EN PACIENTE ",IF(N155=CURSOS!$D$10,"CLINICA DE HERIDAS ",IF(N155=CURSOS!$D$11,"TOMA DE CITOLOGIA A CERVICO VAGINAL ",IF(N155=CURSOS!$D$12,"SOPORTE CARDIOVASCULAR AVANZADO ",IF(N155=CURSOS!$D$13,"CAMILLERO ",IF(N155=CURSOS!$D$14,"TOMA MUESTRAS Y LABORATORIO ",IF(N155=CURSOS!$D$15,"SOPORTE VITAL BASICO (BLS)",IF(N155=CURSOS!$D$16,"ATENCION A VICTIMAS DE VIOLENCIA SEXUAL ",IF(N155=CURSOS!$D$17,"PROGRAMADO AMPLIADO DE INMUNIZACION (PAI - COVID 19)",IF(N155=CURSOS!$D$18,"ATENCION INTEGRAL EN ENFERMEDADES PREVALENTES EN PRIMERA INFANCIA (AIEPI)",IF(N155=CURSOS!$D$19,"ADMINISTRACION DE MEDICAMENTOS, IYECTOLOGIA  Y CANALIZACION ",IF(N155=CURSOS!$D$20,"OPERADOR DE VEHICULOS DE EMERGENCIA (OVE)",IF(N155=CURSOS!$D$21,"INSTITUCIONES AMIGAS DE LA MUJER Y LA INFANCIA (IAMI)",IF(N155=CURSOS!$D$22,"CUIDADO DEL DONANTE DE ORGANOS",IF(N155=CURSOS!$D$23,"ATENCION A VICTIMAS POR VIOLENCIA DE GENERO",IF(N155=CURSOS!$D$24,"IGUALDAD DE GENERO EN LA SALUD",IF(N155=CURSOS!$D$25,"BRIGADA DE EMERGENCIA",IF(N155=CURSOS!$D$26,"MANEJO DEL DOLOR Y CUIDADOS PALIATIVOS",IF(N155=CURSOS!$D$27,"TOMA MUESTRAS Y LABORATORIO POCT",IF(N155=CURSOS!$D$28,"IMPLANTE SUBDERMICO Y DISPOSITIVO INTRAUTERINO",IF(N155=CURSOS!$D$29,"SALUD MENTAL",IF(N155=CURSOS!$D$30,"PRIMEROS AUXILIOS PSICOLOGICOS",IF(N155=CURSOS!$D$31,"ATENCION A VICTIMAS POR CONFLICTO ARMADO",IF(N155=CURSOS!$D$32,"MANIPULACION DE ALIMENTOS Y BPM"))))))))))))))))))))))))))))))</f>
        <v xml:space="preserve">ATENCION A VICTIMAS DE VIOLENCIA SEXUAL </v>
      </c>
      <c r="U155" s="29" t="str">
        <f t="shared" si="27"/>
        <v>Miryan Graciela Villota Ocaña</v>
      </c>
      <c r="V155" s="29" t="str">
        <f t="shared" si="28"/>
        <v>Miryan Graciela Villota Ocaña</v>
      </c>
      <c r="W155" s="29" t="str">
        <f t="shared" si="29"/>
        <v>Miryan Graciela Villota Ocaña-30729017-VIOLENCIA SEXUAL</v>
      </c>
    </row>
    <row r="156" spans="1:23" s="46" customFormat="1" ht="15.75" x14ac:dyDescent="0.25">
      <c r="A156" s="31">
        <v>156</v>
      </c>
      <c r="B156" s="31">
        <v>30729017</v>
      </c>
      <c r="C156" s="31" t="s">
        <v>355</v>
      </c>
      <c r="D156" s="31" t="s">
        <v>488</v>
      </c>
      <c r="E156" s="31" t="s">
        <v>489</v>
      </c>
      <c r="F156" s="31" t="s">
        <v>490</v>
      </c>
      <c r="G156" s="18">
        <v>28</v>
      </c>
      <c r="H156" s="119" t="s">
        <v>93</v>
      </c>
      <c r="I156" s="22">
        <v>45441</v>
      </c>
      <c r="J156" s="57">
        <v>20000</v>
      </c>
      <c r="K156" s="18" t="s">
        <v>77</v>
      </c>
      <c r="L156" s="18" t="s">
        <v>84</v>
      </c>
      <c r="M156" s="18" t="s">
        <v>75</v>
      </c>
      <c r="N156" s="19" t="s">
        <v>25</v>
      </c>
      <c r="O156" s="45">
        <v>23717</v>
      </c>
      <c r="P156" s="31" t="s">
        <v>100</v>
      </c>
      <c r="Q156" s="123" t="s">
        <v>162</v>
      </c>
      <c r="R156" s="31">
        <v>3014705972</v>
      </c>
      <c r="S156" s="47" t="s">
        <v>491</v>
      </c>
      <c r="T156" s="29" t="str">
        <f>IF(N156=CURSOS!$D$3,"DIPLOMADO EN ATENCION PRE-HOSPITALARIA",IF(N156=CURSOS!$D$4,"ACOMPAÑAMIENTO Y MANEJO DEL DUELO",IF(N156=CURSOS!$D$5,"ATENCION A VICTIMAS DE ATAQUE CON AGENTES QUIMICOS ",IF(N156=CURSOS!$D$6,"PRIMEROS AUXILIOS ",IF(N156=CURSOS!$D$7,"DIPLOMADO DE UNIDAD DE CUIDADOS INTENSIVOS (UCI)",IF(N156=CURSOS!$D$8,"MODELO DE ATENCION PARA EVENTOS EMERGENTES EN SALUD MENTAL (CODIGO VERDE)",IF(N156=CURSOS!$D$9,"HUMANIZACION EN SALUD, BUENAS PRACTICAS EN PACIENTE ",IF(N156=CURSOS!$D$10,"CLINICA DE HERIDAS ",IF(N156=CURSOS!$D$11,"TOMA DE CITOLOGIA A CERVICO VAGINAL ",IF(N156=CURSOS!$D$12,"SOPORTE CARDIOVASCULAR AVANZADO ",IF(N156=CURSOS!$D$13,"CAMILLERO ",IF(N156=CURSOS!$D$14,"TOMA MUESTRAS Y LABORATORIO ",IF(N156=CURSOS!$D$15,"SOPORTE VITAL BASICO (BLS)",IF(N156=CURSOS!$D$16,"ATENCION A VICTIMAS DE VIOLENCIA SEXUAL ",IF(N156=CURSOS!$D$17,"PROGRAMADO AMPLIADO DE INMUNIZACION (PAI - COVID 19)",IF(N156=CURSOS!$D$18,"ATENCION INTEGRAL EN ENFERMEDADES PREVALENTES EN PRIMERA INFANCIA (AIEPI)",IF(N156=CURSOS!$D$19,"ADMINISTRACION DE MEDICAMENTOS, IYECTOLOGIA  Y CANALIZACION ",IF(N156=CURSOS!$D$20,"OPERADOR DE VEHICULOS DE EMERGENCIA (OVE)",IF(N156=CURSOS!$D$21,"INSTITUCIONES AMIGAS DE LA MUJER Y LA INFANCIA (IAMI)",IF(N156=CURSOS!$D$22,"CUIDADO DEL DONANTE DE ORGANOS",IF(N156=CURSOS!$D$23,"ATENCION A VICTIMAS POR VIOLENCIA DE GENERO",IF(N156=CURSOS!$D$24,"IGUALDAD DE GENERO EN LA SALUD",IF(N156=CURSOS!$D$25,"BRIGADA DE EMERGENCIA",IF(N156=CURSOS!$D$26,"MANEJO DEL DOLOR Y CUIDADOS PALIATIVOS",IF(N156=CURSOS!$D$27,"TOMA MUESTRAS Y LABORATORIO POCT",IF(N156=CURSOS!$D$28,"IMPLANTE SUBDERMICO Y DISPOSITIVO INTRAUTERINO",IF(N156=CURSOS!$D$29,"SALUD MENTAL",IF(N156=CURSOS!$D$30,"PRIMEROS AUXILIOS PSICOLOGICOS",IF(N156=CURSOS!$D$31,"ATENCION A VICTIMAS POR CONFLICTO ARMADO",IF(N156=CURSOS!$D$32,"MANIPULACION DE ALIMENTOS Y BPM"))))))))))))))))))))))))))))))</f>
        <v xml:space="preserve">ATENCION A VICTIMAS DE ATAQUE CON AGENTES QUIMICOS </v>
      </c>
      <c r="U156" s="29" t="str">
        <f t="shared" si="27"/>
        <v>Miryan Graciela Villota Ocaña</v>
      </c>
      <c r="V156" s="29" t="str">
        <f t="shared" si="28"/>
        <v>Miryan Graciela Villota Ocaña</v>
      </c>
      <c r="W156" s="29" t="str">
        <f t="shared" si="29"/>
        <v>Miryan Graciela Villota Ocaña-30729017-QUIMICOS</v>
      </c>
    </row>
    <row r="157" spans="1:23" s="46" customFormat="1" ht="15.75" x14ac:dyDescent="0.25">
      <c r="A157" s="31">
        <v>157</v>
      </c>
      <c r="B157" s="31">
        <v>30729017</v>
      </c>
      <c r="C157" s="31" t="s">
        <v>355</v>
      </c>
      <c r="D157" s="31" t="s">
        <v>488</v>
      </c>
      <c r="E157" s="31" t="s">
        <v>489</v>
      </c>
      <c r="F157" s="31" t="s">
        <v>490</v>
      </c>
      <c r="G157" s="18">
        <v>28</v>
      </c>
      <c r="H157" s="119" t="s">
        <v>93</v>
      </c>
      <c r="I157" s="22">
        <v>45441</v>
      </c>
      <c r="J157" s="57">
        <v>20000</v>
      </c>
      <c r="K157" s="18" t="s">
        <v>77</v>
      </c>
      <c r="L157" s="18" t="s">
        <v>84</v>
      </c>
      <c r="M157" s="18" t="s">
        <v>75</v>
      </c>
      <c r="N157" s="19" t="s">
        <v>33</v>
      </c>
      <c r="O157" s="45">
        <v>23717</v>
      </c>
      <c r="P157" s="31" t="s">
        <v>100</v>
      </c>
      <c r="Q157" s="123" t="s">
        <v>162</v>
      </c>
      <c r="R157" s="31">
        <v>3014705972</v>
      </c>
      <c r="S157" s="47" t="s">
        <v>491</v>
      </c>
      <c r="T157" s="29" t="str">
        <f>IF(N157=CURSOS!$D$3,"DIPLOMADO EN ATENCION PRE-HOSPITALARIA",IF(N157=CURSOS!$D$4,"ACOMPAÑAMIENTO Y MANEJO DEL DUELO",IF(N157=CURSOS!$D$5,"ATENCION A VICTIMAS DE ATAQUE CON AGENTES QUIMICOS ",IF(N157=CURSOS!$D$6,"PRIMEROS AUXILIOS ",IF(N157=CURSOS!$D$7,"DIPLOMADO DE UNIDAD DE CUIDADOS INTENSIVOS (UCI)",IF(N157=CURSOS!$D$8,"MODELO DE ATENCION PARA EVENTOS EMERGENTES EN SALUD MENTAL (CODIGO VERDE)",IF(N157=CURSOS!$D$9,"HUMANIZACION EN SALUD, BUENAS PRACTICAS EN PACIENTE ",IF(N157=CURSOS!$D$10,"CLINICA DE HERIDAS ",IF(N157=CURSOS!$D$11,"TOMA DE CITOLOGIA A CERVICO VAGINAL ",IF(N157=CURSOS!$D$12,"SOPORTE CARDIOVASCULAR AVANZADO ",IF(N157=CURSOS!$D$13,"CAMILLERO ",IF(N157=CURSOS!$D$14,"TOMA MUESTRAS Y LABORATORIO ",IF(N157=CURSOS!$D$15,"SOPORTE VITAL BASICO (BLS)",IF(N157=CURSOS!$D$16,"ATENCION A VICTIMAS DE VIOLENCIA SEXUAL ",IF(N157=CURSOS!$D$17,"PROGRAMADO AMPLIADO DE INMUNIZACION (PAI - COVID 19)",IF(N157=CURSOS!$D$18,"ATENCION INTEGRAL EN ENFERMEDADES PREVALENTES EN PRIMERA INFANCIA (AIEPI)",IF(N157=CURSOS!$D$19,"ADMINISTRACION DE MEDICAMENTOS, IYECTOLOGIA  Y CANALIZACION ",IF(N157=CURSOS!$D$20,"OPERADOR DE VEHICULOS DE EMERGENCIA (OVE)",IF(N157=CURSOS!$D$21,"INSTITUCIONES AMIGAS DE LA MUJER Y LA INFANCIA (IAMI)",IF(N157=CURSOS!$D$22,"CUIDADO DEL DONANTE DE ORGANOS",IF(N157=CURSOS!$D$23,"ATENCION A VICTIMAS POR VIOLENCIA DE GENERO",IF(N157=CURSOS!$D$24,"IGUALDAD DE GENERO EN LA SALUD",IF(N157=CURSOS!$D$25,"BRIGADA DE EMERGENCIA",IF(N157=CURSOS!$D$26,"MANEJO DEL DOLOR Y CUIDADOS PALIATIVOS",IF(N157=CURSOS!$D$27,"TOMA MUESTRAS Y LABORATORIO POCT",IF(N157=CURSOS!$D$28,"IMPLANTE SUBDERMICO Y DISPOSITIVO INTRAUTERINO",IF(N157=CURSOS!$D$29,"SALUD MENTAL",IF(N157=CURSOS!$D$30,"PRIMEROS AUXILIOS PSICOLOGICOS",IF(N157=CURSOS!$D$31,"ATENCION A VICTIMAS POR CONFLICTO ARMADO",IF(N157=CURSOS!$D$32,"MANIPULACION DE ALIMENTOS Y BPM"))))))))))))))))))))))))))))))</f>
        <v xml:space="preserve">HUMANIZACION EN SALUD, BUENAS PRACTICAS EN PACIENTE </v>
      </c>
      <c r="U157" s="29" t="str">
        <f t="shared" si="27"/>
        <v>Miryan Graciela Villota Ocaña</v>
      </c>
      <c r="V157" s="29" t="str">
        <f t="shared" si="28"/>
        <v>Miryan Graciela Villota Ocaña</v>
      </c>
      <c r="W157" s="29" t="str">
        <f t="shared" si="29"/>
        <v>Miryan Graciela Villota Ocaña-30729017-HUMANIZACION</v>
      </c>
    </row>
    <row r="158" spans="1:23" s="46" customFormat="1" x14ac:dyDescent="0.2">
      <c r="A158" s="31">
        <v>158</v>
      </c>
      <c r="B158" s="118">
        <v>1007301546</v>
      </c>
      <c r="C158" s="118" t="s">
        <v>403</v>
      </c>
      <c r="D158" s="118" t="s">
        <v>454</v>
      </c>
      <c r="E158" s="118" t="s">
        <v>455</v>
      </c>
      <c r="F158" s="118" t="s">
        <v>456</v>
      </c>
      <c r="G158" s="18">
        <v>28</v>
      </c>
      <c r="H158" s="119" t="s">
        <v>93</v>
      </c>
      <c r="I158" s="22">
        <v>45441</v>
      </c>
      <c r="J158" s="57">
        <v>20000</v>
      </c>
      <c r="K158" s="18" t="s">
        <v>124</v>
      </c>
      <c r="L158" s="119" t="s">
        <v>84</v>
      </c>
      <c r="M158" s="113" t="s">
        <v>75</v>
      </c>
      <c r="N158" s="114" t="s">
        <v>25</v>
      </c>
      <c r="O158" s="139">
        <v>37236</v>
      </c>
      <c r="P158" s="118" t="s">
        <v>79</v>
      </c>
      <c r="Q158" s="123" t="s">
        <v>157</v>
      </c>
      <c r="R158" s="118">
        <v>3014314279</v>
      </c>
      <c r="S158" s="118" t="s">
        <v>457</v>
      </c>
      <c r="T158" s="29" t="str">
        <f>IF(N158=CURSOS!$D$3,"DIPLOMADO EN ATENCION PRE-HOSPITALARIA",IF(N158=CURSOS!$D$4,"ACOMPAÑAMIENTO Y MANEJO DEL DUELO",IF(N158=CURSOS!$D$5,"ATENCION A VICTIMAS DE ATAQUE CON AGENTES QUIMICOS ",IF(N158=CURSOS!$D$6,"PRIMEROS AUXILIOS ",IF(N158=CURSOS!$D$7,"DIPLOMADO DE UNIDAD DE CUIDADOS INTENSIVOS (UCI)",IF(N158=CURSOS!$D$8,"MODELO DE ATENCION PARA EVENTOS EMERGENTES EN SALUD MENTAL (CODIGO VERDE)",IF(N158=CURSOS!$D$9,"HUMANIZACION EN SALUD, BUENAS PRACTICAS EN PACIENTE ",IF(N158=CURSOS!$D$10,"CLINICA DE HERIDAS ",IF(N158=CURSOS!$D$11,"TOMA DE CITOLOGIA A CERVICO VAGINAL ",IF(N158=CURSOS!$D$12,"SOPORTE CARDIOVASCULAR AVANZADO ",IF(N158=CURSOS!$D$13,"CAMILLERO ",IF(N158=CURSOS!$D$14,"TOMA MUESTRAS Y LABORATORIO ",IF(N158=CURSOS!$D$15,"SOPORTE VITAL BASICO (BLS)",IF(N158=CURSOS!$D$16,"ATENCION A VICTIMAS DE VIOLENCIA SEXUAL ",IF(N158=CURSOS!$D$17,"PROGRAMADO AMPLIADO DE INMUNIZACION (PAI - COVID 19)",IF(N158=CURSOS!$D$18,"ATENCION INTEGRAL EN ENFERMEDADES PREVALENTES EN PRIMERA INFANCIA (AIEPI)",IF(N158=CURSOS!$D$19,"ADMINISTRACION DE MEDICAMENTOS, IYECTOLOGIA  Y CANALIZACION ",IF(N158=CURSOS!$D$20,"OPERADOR DE VEHICULOS DE EMERGENCIA (OVE)",IF(N158=CURSOS!$D$21,"INSTITUCIONES AMIGAS DE LA MUJER Y LA INFANCIA (IAMI)",IF(N158=CURSOS!$D$22,"CUIDADO DEL DONANTE DE ORGANOS",IF(N158=CURSOS!$D$23,"ATENCION A VICTIMAS POR VIOLENCIA DE GENERO",IF(N158=CURSOS!$D$24,"IGUALDAD DE GENERO EN LA SALUD",IF(N158=CURSOS!$D$25,"BRIGADA DE EMERGENCIA",IF(N158=CURSOS!$D$26,"MANEJO DEL DOLOR Y CUIDADOS PALIATIVOS",IF(N158=CURSOS!$D$27,"TOMA MUESTRAS Y LABORATORIO POCT",IF(N158=CURSOS!$D$28,"IMPLANTE SUBDERMICO Y DISPOSITIVO INTRAUTERINO",IF(N158=CURSOS!$D$29,"SALUD MENTAL",IF(N158=CURSOS!$D$30,"PRIMEROS AUXILIOS PSICOLOGICOS",IF(N158=CURSOS!$D$31,"ATENCION A VICTIMAS POR CONFLICTO ARMADO",IF(N158=CURSOS!$D$32,"MANIPULACION DE ALIMENTOS Y BPM"))))))))))))))))))))))))))))))</f>
        <v xml:space="preserve">ATENCION A VICTIMAS DE ATAQUE CON AGENTES QUIMICOS </v>
      </c>
      <c r="U158" s="29" t="str">
        <f t="shared" si="27"/>
        <v>Brayan Esteban Burgos Portilla</v>
      </c>
      <c r="V158" s="29" t="str">
        <f t="shared" si="28"/>
        <v>Brayan Esteban Burgos Portilla</v>
      </c>
      <c r="W158" s="29" t="str">
        <f t="shared" si="29"/>
        <v>Brayan Esteban Burgos Portilla-1007301546-QUIMICOS</v>
      </c>
    </row>
    <row r="159" spans="1:23" s="46" customFormat="1" x14ac:dyDescent="0.2">
      <c r="A159" s="31">
        <v>159</v>
      </c>
      <c r="B159" s="118">
        <v>1007301546</v>
      </c>
      <c r="C159" s="118" t="s">
        <v>403</v>
      </c>
      <c r="D159" s="118" t="s">
        <v>454</v>
      </c>
      <c r="E159" s="118" t="s">
        <v>455</v>
      </c>
      <c r="F159" s="118" t="s">
        <v>456</v>
      </c>
      <c r="G159" s="18">
        <v>28</v>
      </c>
      <c r="H159" s="119" t="s">
        <v>93</v>
      </c>
      <c r="I159" s="22">
        <v>45441</v>
      </c>
      <c r="J159" s="57">
        <v>20000</v>
      </c>
      <c r="K159" s="18" t="s">
        <v>124</v>
      </c>
      <c r="L159" s="119" t="s">
        <v>84</v>
      </c>
      <c r="M159" s="113" t="s">
        <v>75</v>
      </c>
      <c r="N159" s="114" t="s">
        <v>407</v>
      </c>
      <c r="O159" s="139">
        <v>37236</v>
      </c>
      <c r="P159" s="118" t="s">
        <v>79</v>
      </c>
      <c r="Q159" s="123" t="s">
        <v>157</v>
      </c>
      <c r="R159" s="118">
        <v>3014314279</v>
      </c>
      <c r="S159" s="118" t="s">
        <v>457</v>
      </c>
      <c r="T159" s="29" t="str">
        <f>IF(N159=CURSOS!$D$3,"DIPLOMADO EN ATENCION PRE-HOSPITALARIA",IF(N159=CURSOS!$D$4,"ACOMPAÑAMIENTO Y MANEJO DEL DUELO",IF(N159=CURSOS!$D$5,"ATENCION A VICTIMAS DE ATAQUE CON AGENTES QUIMICOS ",IF(N159=CURSOS!$D$6,"PRIMEROS AUXILIOS ",IF(N159=CURSOS!$D$7,"DIPLOMADO DE UNIDAD DE CUIDADOS INTENSIVOS (UCI)",IF(N159=CURSOS!$D$8,"MODELO DE ATENCION PARA EVENTOS EMERGENTES EN SALUD MENTAL (CODIGO VERDE)",IF(N159=CURSOS!$D$9,"HUMANIZACION EN SALUD, BUENAS PRACTICAS EN PACIENTE ",IF(N159=CURSOS!$D$10,"CLINICA DE HERIDAS ",IF(N159=CURSOS!$D$11,"TOMA DE CITOLOGIA A CERVICO VAGINAL ",IF(N159=CURSOS!$D$12,"SOPORTE CARDIOVASCULAR AVANZADO ",IF(N159=CURSOS!$D$13,"CAMILLERO ",IF(N159=CURSOS!$D$14,"TOMA MUESTRAS Y LABORATORIO ",IF(N159=CURSOS!$D$15,"SOPORTE VITAL BASICO (BLS)",IF(N159=CURSOS!$D$16,"ATENCION A VICTIMAS DE VIOLENCIA SEXUAL ",IF(N159=CURSOS!$D$17,"PROGRAMADO AMPLIADO DE INMUNIZACION (PAI - COVID 19)",IF(N159=CURSOS!$D$18,"ATENCION INTEGRAL EN ENFERMEDADES PREVALENTES EN PRIMERA INFANCIA (AIEPI)",IF(N159=CURSOS!$D$19,"ADMINISTRACION DE MEDICAMENTOS, IYECTOLOGIA  Y CANALIZACION ",IF(N159=CURSOS!$D$20,"OPERADOR DE VEHICULOS DE EMERGENCIA (OVE)",IF(N159=CURSOS!$D$21,"INSTITUCIONES AMIGAS DE LA MUJER Y LA INFANCIA (IAMI)",IF(N159=CURSOS!$D$22,"CUIDADO DEL DONANTE DE ORGANOS",IF(N159=CURSOS!$D$23,"ATENCION A VICTIMAS POR VIOLENCIA DE GENERO",IF(N159=CURSOS!$D$24,"IGUALDAD DE GENERO EN LA SALUD",IF(N159=CURSOS!$D$25,"BRIGADA DE EMERGENCIA",IF(N159=CURSOS!$D$26,"MANEJO DEL DOLOR Y CUIDADOS PALIATIVOS",IF(N159=CURSOS!$D$27,"TOMA MUESTRAS Y LABORATORIO POCT",IF(N159=CURSOS!$D$28,"IMPLANTE SUBDERMICO Y DISPOSITIVO INTRAUTERINO",IF(N159=CURSOS!$D$29,"SALUD MENTAL",IF(N159=CURSOS!$D$30,"PRIMEROS AUXILIOS PSICOLOGICOS",IF(N159=CURSOS!$D$31,"ATENCION A VICTIMAS POR CONFLICTO ARMADO",IF(N159=CURSOS!$D$32,"MANIPULACION DE ALIMENTOS Y BPM"))))))))))))))))))))))))))))))</f>
        <v>ACOMPAÑAMIENTO Y MANEJO DEL DUELO</v>
      </c>
      <c r="U159" s="29" t="str">
        <f t="shared" si="27"/>
        <v>Brayan Esteban Burgos Portilla</v>
      </c>
      <c r="V159" s="29" t="str">
        <f t="shared" si="28"/>
        <v>Brayan Esteban Burgos Portilla</v>
      </c>
      <c r="W159" s="29" t="str">
        <f t="shared" si="29"/>
        <v>Brayan Esteban Burgos Portilla-1007301546-Duelo</v>
      </c>
    </row>
    <row r="160" spans="1:23" s="46" customFormat="1" x14ac:dyDescent="0.2">
      <c r="A160" s="31">
        <v>160</v>
      </c>
      <c r="B160" s="118">
        <v>1007301546</v>
      </c>
      <c r="C160" s="118" t="s">
        <v>403</v>
      </c>
      <c r="D160" s="118" t="s">
        <v>454</v>
      </c>
      <c r="E160" s="118" t="s">
        <v>455</v>
      </c>
      <c r="F160" s="118" t="s">
        <v>456</v>
      </c>
      <c r="G160" s="18">
        <v>28</v>
      </c>
      <c r="H160" s="119" t="s">
        <v>93</v>
      </c>
      <c r="I160" s="22">
        <v>45441</v>
      </c>
      <c r="J160" s="57">
        <v>0</v>
      </c>
      <c r="K160" s="18" t="s">
        <v>124</v>
      </c>
      <c r="L160" s="119" t="s">
        <v>84</v>
      </c>
      <c r="M160" s="113" t="s">
        <v>75</v>
      </c>
      <c r="N160" s="114" t="s">
        <v>46</v>
      </c>
      <c r="O160" s="139">
        <v>37236</v>
      </c>
      <c r="P160" s="118" t="s">
        <v>79</v>
      </c>
      <c r="Q160" s="123" t="s">
        <v>157</v>
      </c>
      <c r="R160" s="118">
        <v>3014314279</v>
      </c>
      <c r="S160" s="118" t="s">
        <v>457</v>
      </c>
      <c r="T160" s="29" t="str">
        <f>IF(N160=CURSOS!$D$3,"DIPLOMADO EN ATENCION PRE-HOSPITALARIA",IF(N160=CURSOS!$D$4,"ACOMPAÑAMIENTO Y MANEJO DEL DUELO",IF(N160=CURSOS!$D$5,"ATENCION A VICTIMAS DE ATAQUE CON AGENTES QUIMICOS ",IF(N160=CURSOS!$D$6,"PRIMEROS AUXILIOS ",IF(N160=CURSOS!$D$7,"DIPLOMADO DE UNIDAD DE CUIDADOS INTENSIVOS (UCI)",IF(N160=CURSOS!$D$8,"MODELO DE ATENCION PARA EVENTOS EMERGENTES EN SALUD MENTAL (CODIGO VERDE)",IF(N160=CURSOS!$D$9,"HUMANIZACION EN SALUD, BUENAS PRACTICAS EN PACIENTE ",IF(N160=CURSOS!$D$10,"CLINICA DE HERIDAS ",IF(N160=CURSOS!$D$11,"TOMA DE CITOLOGIA A CERVICO VAGINAL ",IF(N160=CURSOS!$D$12,"SOPORTE CARDIOVASCULAR AVANZADO ",IF(N160=CURSOS!$D$13,"CAMILLERO ",IF(N160=CURSOS!$D$14,"TOMA MUESTRAS Y LABORATORIO ",IF(N160=CURSOS!$D$15,"SOPORTE VITAL BASICO (BLS)",IF(N160=CURSOS!$D$16,"ATENCION A VICTIMAS DE VIOLENCIA SEXUAL ",IF(N160=CURSOS!$D$17,"PROGRAMADO AMPLIADO DE INMUNIZACION (PAI - COVID 19)",IF(N160=CURSOS!$D$18,"ATENCION INTEGRAL EN ENFERMEDADES PREVALENTES EN PRIMERA INFANCIA (AIEPI)",IF(N160=CURSOS!$D$19,"ADMINISTRACION DE MEDICAMENTOS, IYECTOLOGIA  Y CANALIZACION ",IF(N160=CURSOS!$D$20,"OPERADOR DE VEHICULOS DE EMERGENCIA (OVE)",IF(N160=CURSOS!$D$21,"INSTITUCIONES AMIGAS DE LA MUJER Y LA INFANCIA (IAMI)",IF(N160=CURSOS!$D$22,"CUIDADO DEL DONANTE DE ORGANOS",IF(N160=CURSOS!$D$23,"ATENCION A VICTIMAS POR VIOLENCIA DE GENERO",IF(N160=CURSOS!$D$24,"IGUALDAD DE GENERO EN LA SALUD",IF(N160=CURSOS!$D$25,"BRIGADA DE EMERGENCIA",IF(N160=CURSOS!$D$26,"MANEJO DEL DOLOR Y CUIDADOS PALIATIVOS",IF(N160=CURSOS!$D$27,"TOMA MUESTRAS Y LABORATORIO POCT",IF(N160=CURSOS!$D$28,"IMPLANTE SUBDERMICO Y DISPOSITIVO INTRAUTERINO",IF(N160=CURSOS!$D$29,"SALUD MENTAL",IF(N160=CURSOS!$D$30,"PRIMEROS AUXILIOS PSICOLOGICOS",IF(N160=CURSOS!$D$31,"ATENCION A VICTIMAS POR CONFLICTO ARMADO",IF(N160=CURSOS!$D$32,"MANIPULACION DE ALIMENTOS Y BPM"))))))))))))))))))))))))))))))</f>
        <v xml:space="preserve">ATENCION A VICTIMAS DE VIOLENCIA SEXUAL </v>
      </c>
      <c r="U160" s="29" t="str">
        <f t="shared" si="27"/>
        <v>Brayan Esteban Burgos Portilla</v>
      </c>
      <c r="V160" s="29" t="str">
        <f t="shared" si="28"/>
        <v>Brayan Esteban Burgos Portilla</v>
      </c>
      <c r="W160" s="29" t="str">
        <f t="shared" si="29"/>
        <v>Brayan Esteban Burgos Portilla-1007301546-VIOLENCIA SEXUAL</v>
      </c>
    </row>
    <row r="161" spans="1:23" s="46" customFormat="1" x14ac:dyDescent="0.2">
      <c r="A161" s="31">
        <v>161</v>
      </c>
      <c r="B161" s="31">
        <v>1085282306</v>
      </c>
      <c r="C161" s="31" t="s">
        <v>82</v>
      </c>
      <c r="D161" s="31" t="s">
        <v>91</v>
      </c>
      <c r="E161" s="31" t="s">
        <v>92</v>
      </c>
      <c r="F161" s="31" t="s">
        <v>85</v>
      </c>
      <c r="G161" s="18">
        <v>28</v>
      </c>
      <c r="H161" s="119" t="s">
        <v>93</v>
      </c>
      <c r="I161" s="22" t="s">
        <v>461</v>
      </c>
      <c r="J161" s="57"/>
      <c r="K161" s="18"/>
      <c r="L161" s="18" t="s">
        <v>84</v>
      </c>
      <c r="M161" s="18" t="s">
        <v>75</v>
      </c>
      <c r="N161" s="19" t="s">
        <v>39</v>
      </c>
      <c r="O161" s="45">
        <v>33021</v>
      </c>
      <c r="P161" s="31" t="s">
        <v>79</v>
      </c>
      <c r="Q161" s="123" t="s">
        <v>476</v>
      </c>
      <c r="R161" s="31">
        <v>3168854997</v>
      </c>
      <c r="S161" s="31" t="s">
        <v>95</v>
      </c>
      <c r="T161" s="29" t="str">
        <f>IF(N161=CURSOS!$D$3,"DIPLOMADO EN ATENCION PRE-HOSPITALARIA",IF(N161=CURSOS!$D$4,"ACOMPAÑAMIENTO Y MANEJO DEL DUELO",IF(N161=CURSOS!$D$5,"ATENCION A VICTIMAS DE ATAQUE CON AGENTES QUIMICOS ",IF(N161=CURSOS!$D$6,"PRIMEROS AUXILIOS ",IF(N161=CURSOS!$D$7,"DIPLOMADO DE UNIDAD DE CUIDADOS INTENSIVOS (UCI)",IF(N161=CURSOS!$D$8,"MODELO DE ATENCION PARA EVENTOS EMERGENTES EN SALUD MENTAL (CODIGO VERDE)",IF(N161=CURSOS!$D$9,"HUMANIZACION EN SALUD, BUENAS PRACTICAS EN PACIENTE ",IF(N161=CURSOS!$D$10,"CLINICA DE HERIDAS ",IF(N161=CURSOS!$D$11,"TOMA DE CITOLOGIA A CERVICO VAGINAL ",IF(N161=CURSOS!$D$12,"SOPORTE CARDIOVASCULAR AVANZADO ",IF(N161=CURSOS!$D$13,"CAMILLERO ",IF(N161=CURSOS!$D$14,"TOMA MUESTRAS Y LABORATORIO ",IF(N161=CURSOS!$D$15,"SOPORTE VITAL BASICO (BLS)",IF(N161=CURSOS!$D$16,"ATENCION A VICTIMAS DE VIOLENCIA SEXUAL ",IF(N161=CURSOS!$D$17,"PROGRAMADO AMPLIADO DE INMUNIZACION (PAI - COVID 19)",IF(N161=CURSOS!$D$18,"ATENCION INTEGRAL EN ENFERMEDADES PREVALENTES EN PRIMERA INFANCIA (AIEPI)",IF(N161=CURSOS!$D$19,"ADMINISTRACION DE MEDICAMENTOS, IYECTOLOGIA  Y CANALIZACION ",IF(N161=CURSOS!$D$20,"OPERADOR DE VEHICULOS DE EMERGENCIA (OVE)",IF(N161=CURSOS!$D$21,"INSTITUCIONES AMIGAS DE LA MUJER Y LA INFANCIA (IAMI)",IF(N161=CURSOS!$D$22,"CUIDADO DEL DONANTE DE ORGANOS",IF(N161=CURSOS!$D$23,"ATENCION A VICTIMAS POR VIOLENCIA DE GENERO",IF(N161=CURSOS!$D$24,"IGUALDAD DE GENERO EN LA SALUD",IF(N161=CURSOS!$D$25,"BRIGADA DE EMERGENCIA",IF(N161=CURSOS!$D$26,"MANEJO DEL DOLOR Y CUIDADOS PALIATIVOS",IF(N161=CURSOS!$D$27,"TOMA MUESTRAS Y LABORATORIO POCT",IF(N161=CURSOS!$D$28,"IMPLANTE SUBDERMICO Y DISPOSITIVO INTRAUTERINO",IF(N161=CURSOS!$D$29,"SALUD MENTAL",IF(N161=CURSOS!$D$30,"PRIMEROS AUXILIOS PSICOLOGICOS",IF(N161=CURSOS!$D$31,"ATENCION A VICTIMAS POR CONFLICTO ARMADO",IF(N161=CURSOS!$D$32,"MANIPULACION DE ALIMENTOS Y BPM"))))))))))))))))))))))))))))))</f>
        <v xml:space="preserve">SOPORTE CARDIOVASCULAR AVANZADO </v>
      </c>
      <c r="U161" s="29" t="str">
        <f t="shared" si="27"/>
        <v>Johnatan Alexander Delgado Riaño</v>
      </c>
      <c r="V161" s="29" t="str">
        <f t="shared" si="28"/>
        <v>Johnatan Alexander Delgado Riaño</v>
      </c>
      <c r="W161" s="29" t="str">
        <f t="shared" si="29"/>
        <v>Johnatan Alexander Delgado Riaño-1085282306-ACLS</v>
      </c>
    </row>
    <row r="162" spans="1:23" s="46" customFormat="1" x14ac:dyDescent="0.2">
      <c r="A162" s="31">
        <v>162</v>
      </c>
      <c r="B162" s="31">
        <v>1085282306</v>
      </c>
      <c r="C162" s="31" t="s">
        <v>82</v>
      </c>
      <c r="D162" s="31" t="s">
        <v>91</v>
      </c>
      <c r="E162" s="31" t="s">
        <v>92</v>
      </c>
      <c r="F162" s="31" t="s">
        <v>85</v>
      </c>
      <c r="G162" s="18">
        <v>28</v>
      </c>
      <c r="H162" s="119" t="s">
        <v>93</v>
      </c>
      <c r="I162" s="22" t="s">
        <v>461</v>
      </c>
      <c r="J162" s="57"/>
      <c r="K162" s="18"/>
      <c r="L162" s="18" t="s">
        <v>84</v>
      </c>
      <c r="M162" s="18" t="s">
        <v>75</v>
      </c>
      <c r="N162" s="19" t="s">
        <v>19</v>
      </c>
      <c r="O162" s="45">
        <v>33021</v>
      </c>
      <c r="P162" s="31" t="s">
        <v>79</v>
      </c>
      <c r="Q162" s="123" t="s">
        <v>476</v>
      </c>
      <c r="R162" s="31">
        <v>3168854997</v>
      </c>
      <c r="S162" s="31" t="s">
        <v>95</v>
      </c>
      <c r="T162" s="29" t="str">
        <f>IF(N162=CURSOS!$D$3,"DIPLOMADO EN ATENCION PRE-HOSPITALARIA",IF(N162=CURSOS!$D$4,"ACOMPAÑAMIENTO Y MANEJO DEL DUELO",IF(N162=CURSOS!$D$5,"ATENCION A VICTIMAS DE ATAQUE CON AGENTES QUIMICOS ",IF(N162=CURSOS!$D$6,"PRIMEROS AUXILIOS ",IF(N162=CURSOS!$D$7,"DIPLOMADO DE UNIDAD DE CUIDADOS INTENSIVOS (UCI)",IF(N162=CURSOS!$D$8,"MODELO DE ATENCION PARA EVENTOS EMERGENTES EN SALUD MENTAL (CODIGO VERDE)",IF(N162=CURSOS!$D$9,"HUMANIZACION EN SALUD, BUENAS PRACTICAS EN PACIENTE ",IF(N162=CURSOS!$D$10,"CLINICA DE HERIDAS ",IF(N162=CURSOS!$D$11,"TOMA DE CITOLOGIA A CERVICO VAGINAL ",IF(N162=CURSOS!$D$12,"SOPORTE CARDIOVASCULAR AVANZADO ",IF(N162=CURSOS!$D$13,"CAMILLERO ",IF(N162=CURSOS!$D$14,"TOMA MUESTRAS Y LABORATORIO ",IF(N162=CURSOS!$D$15,"SOPORTE VITAL BASICO (BLS)",IF(N162=CURSOS!$D$16,"ATENCION A VICTIMAS DE VIOLENCIA SEXUAL ",IF(N162=CURSOS!$D$17,"PROGRAMADO AMPLIADO DE INMUNIZACION (PAI - COVID 19)",IF(N162=CURSOS!$D$18,"ATENCION INTEGRAL EN ENFERMEDADES PREVALENTES EN PRIMERA INFANCIA (AIEPI)",IF(N162=CURSOS!$D$19,"ADMINISTRACION DE MEDICAMENTOS, IYECTOLOGIA  Y CANALIZACION ",IF(N162=CURSOS!$D$20,"OPERADOR DE VEHICULOS DE EMERGENCIA (OVE)",IF(N162=CURSOS!$D$21,"INSTITUCIONES AMIGAS DE LA MUJER Y LA INFANCIA (IAMI)",IF(N162=CURSOS!$D$22,"CUIDADO DEL DONANTE DE ORGANOS",IF(N162=CURSOS!$D$23,"ATENCION A VICTIMAS POR VIOLENCIA DE GENERO",IF(N162=CURSOS!$D$24,"IGUALDAD DE GENERO EN LA SALUD",IF(N162=CURSOS!$D$25,"BRIGADA DE EMERGENCIA",IF(N162=CURSOS!$D$26,"MANEJO DEL DOLOR Y CUIDADOS PALIATIVOS",IF(N162=CURSOS!$D$27,"TOMA MUESTRAS Y LABORATORIO POCT",IF(N162=CURSOS!$D$28,"IMPLANTE SUBDERMICO Y DISPOSITIVO INTRAUTERINO",IF(N162=CURSOS!$D$29,"SALUD MENTAL",IF(N162=CURSOS!$D$30,"PRIMEROS AUXILIOS PSICOLOGICOS",IF(N162=CURSOS!$D$31,"ATENCION A VICTIMAS POR CONFLICTO ARMADO",IF(N162=CURSOS!$D$32,"MANIPULACION DE ALIMENTOS Y BPM"))))))))))))))))))))))))))))))</f>
        <v>SOPORTE VITAL BASICO (BLS)</v>
      </c>
      <c r="U162" s="29" t="str">
        <f t="shared" si="27"/>
        <v>Johnatan Alexander Delgado Riaño</v>
      </c>
      <c r="V162" s="29" t="str">
        <f t="shared" si="28"/>
        <v>Johnatan Alexander Delgado Riaño</v>
      </c>
      <c r="W162" s="29" t="str">
        <f t="shared" si="29"/>
        <v>Johnatan Alexander Delgado Riaño-1085282306-BLS</v>
      </c>
    </row>
    <row r="163" spans="1:23" s="46" customFormat="1" x14ac:dyDescent="0.2">
      <c r="A163" s="31">
        <v>163</v>
      </c>
      <c r="B163" s="31">
        <v>1085282306</v>
      </c>
      <c r="C163" s="31" t="s">
        <v>82</v>
      </c>
      <c r="D163" s="31" t="s">
        <v>91</v>
      </c>
      <c r="E163" s="31" t="s">
        <v>92</v>
      </c>
      <c r="F163" s="31" t="s">
        <v>85</v>
      </c>
      <c r="G163" s="18">
        <v>28</v>
      </c>
      <c r="H163" s="119" t="s">
        <v>93</v>
      </c>
      <c r="I163" s="22" t="s">
        <v>461</v>
      </c>
      <c r="J163" s="57"/>
      <c r="K163" s="18"/>
      <c r="L163" s="18" t="s">
        <v>84</v>
      </c>
      <c r="M163" s="18" t="s">
        <v>75</v>
      </c>
      <c r="N163" s="19" t="s">
        <v>46</v>
      </c>
      <c r="O163" s="45">
        <v>33021</v>
      </c>
      <c r="P163" s="31" t="s">
        <v>79</v>
      </c>
      <c r="Q163" s="123" t="s">
        <v>476</v>
      </c>
      <c r="R163" s="31">
        <v>3168854997</v>
      </c>
      <c r="S163" s="31" t="s">
        <v>95</v>
      </c>
      <c r="T163" s="29" t="str">
        <f>IF(N163=CURSOS!$D$3,"DIPLOMADO EN ATENCION PRE-HOSPITALARIA",IF(N163=CURSOS!$D$4,"ACOMPAÑAMIENTO Y MANEJO DEL DUELO",IF(N163=CURSOS!$D$5,"ATENCION A VICTIMAS DE ATAQUE CON AGENTES QUIMICOS ",IF(N163=CURSOS!$D$6,"PRIMEROS AUXILIOS ",IF(N163=CURSOS!$D$7,"DIPLOMADO DE UNIDAD DE CUIDADOS INTENSIVOS (UCI)",IF(N163=CURSOS!$D$8,"MODELO DE ATENCION PARA EVENTOS EMERGENTES EN SALUD MENTAL (CODIGO VERDE)",IF(N163=CURSOS!$D$9,"HUMANIZACION EN SALUD, BUENAS PRACTICAS EN PACIENTE ",IF(N163=CURSOS!$D$10,"CLINICA DE HERIDAS ",IF(N163=CURSOS!$D$11,"TOMA DE CITOLOGIA A CERVICO VAGINAL ",IF(N163=CURSOS!$D$12,"SOPORTE CARDIOVASCULAR AVANZADO ",IF(N163=CURSOS!$D$13,"CAMILLERO ",IF(N163=CURSOS!$D$14,"TOMA MUESTRAS Y LABORATORIO ",IF(N163=CURSOS!$D$15,"SOPORTE VITAL BASICO (BLS)",IF(N163=CURSOS!$D$16,"ATENCION A VICTIMAS DE VIOLENCIA SEXUAL ",IF(N163=CURSOS!$D$17,"PROGRAMADO AMPLIADO DE INMUNIZACION (PAI - COVID 19)",IF(N163=CURSOS!$D$18,"ATENCION INTEGRAL EN ENFERMEDADES PREVALENTES EN PRIMERA INFANCIA (AIEPI)",IF(N163=CURSOS!$D$19,"ADMINISTRACION DE MEDICAMENTOS, IYECTOLOGIA  Y CANALIZACION ",IF(N163=CURSOS!$D$20,"OPERADOR DE VEHICULOS DE EMERGENCIA (OVE)",IF(N163=CURSOS!$D$21,"INSTITUCIONES AMIGAS DE LA MUJER Y LA INFANCIA (IAMI)",IF(N163=CURSOS!$D$22,"CUIDADO DEL DONANTE DE ORGANOS",IF(N163=CURSOS!$D$23,"ATENCION A VICTIMAS POR VIOLENCIA DE GENERO",IF(N163=CURSOS!$D$24,"IGUALDAD DE GENERO EN LA SALUD",IF(N163=CURSOS!$D$25,"BRIGADA DE EMERGENCIA",IF(N163=CURSOS!$D$26,"MANEJO DEL DOLOR Y CUIDADOS PALIATIVOS",IF(N163=CURSOS!$D$27,"TOMA MUESTRAS Y LABORATORIO POCT",IF(N163=CURSOS!$D$28,"IMPLANTE SUBDERMICO Y DISPOSITIVO INTRAUTERINO",IF(N163=CURSOS!$D$29,"SALUD MENTAL",IF(N163=CURSOS!$D$30,"PRIMEROS AUXILIOS PSICOLOGICOS",IF(N163=CURSOS!$D$31,"ATENCION A VICTIMAS POR CONFLICTO ARMADO",IF(N163=CURSOS!$D$32,"MANIPULACION DE ALIMENTOS Y BPM"))))))))))))))))))))))))))))))</f>
        <v xml:space="preserve">ATENCION A VICTIMAS DE VIOLENCIA SEXUAL </v>
      </c>
      <c r="U163" s="29" t="str">
        <f t="shared" si="27"/>
        <v>Johnatan Alexander Delgado Riaño</v>
      </c>
      <c r="V163" s="29" t="str">
        <f t="shared" si="28"/>
        <v>Johnatan Alexander Delgado Riaño</v>
      </c>
      <c r="W163" s="29" t="str">
        <f t="shared" si="29"/>
        <v>Johnatan Alexander Delgado Riaño-1085282306-VIOLENCIA SEXUAL</v>
      </c>
    </row>
    <row r="164" spans="1:23" s="46" customFormat="1" x14ac:dyDescent="0.2">
      <c r="A164" s="31">
        <v>164</v>
      </c>
      <c r="B164" s="31">
        <v>1085282306</v>
      </c>
      <c r="C164" s="31" t="s">
        <v>82</v>
      </c>
      <c r="D164" s="31" t="s">
        <v>91</v>
      </c>
      <c r="E164" s="31" t="s">
        <v>92</v>
      </c>
      <c r="F164" s="31" t="s">
        <v>85</v>
      </c>
      <c r="G164" s="18">
        <v>28</v>
      </c>
      <c r="H164" s="119" t="s">
        <v>93</v>
      </c>
      <c r="I164" s="22" t="s">
        <v>461</v>
      </c>
      <c r="J164" s="57"/>
      <c r="K164" s="18"/>
      <c r="L164" s="18" t="s">
        <v>84</v>
      </c>
      <c r="M164" s="18" t="s">
        <v>75</v>
      </c>
      <c r="N164" s="19" t="s">
        <v>25</v>
      </c>
      <c r="O164" s="45">
        <v>33021</v>
      </c>
      <c r="P164" s="31" t="s">
        <v>79</v>
      </c>
      <c r="Q164" s="123" t="s">
        <v>476</v>
      </c>
      <c r="R164" s="31">
        <v>3168854997</v>
      </c>
      <c r="S164" s="31" t="s">
        <v>95</v>
      </c>
      <c r="T164" s="29" t="str">
        <f>IF(N164=CURSOS!$D$3,"DIPLOMADO EN ATENCION PRE-HOSPITALARIA",IF(N164=CURSOS!$D$4,"ACOMPAÑAMIENTO Y MANEJO DEL DUELO",IF(N164=CURSOS!$D$5,"ATENCION A VICTIMAS DE ATAQUE CON AGENTES QUIMICOS ",IF(N164=CURSOS!$D$6,"PRIMEROS AUXILIOS ",IF(N164=CURSOS!$D$7,"DIPLOMADO DE UNIDAD DE CUIDADOS INTENSIVOS (UCI)",IF(N164=CURSOS!$D$8,"MODELO DE ATENCION PARA EVENTOS EMERGENTES EN SALUD MENTAL (CODIGO VERDE)",IF(N164=CURSOS!$D$9,"HUMANIZACION EN SALUD, BUENAS PRACTICAS EN PACIENTE ",IF(N164=CURSOS!$D$10,"CLINICA DE HERIDAS ",IF(N164=CURSOS!$D$11,"TOMA DE CITOLOGIA A CERVICO VAGINAL ",IF(N164=CURSOS!$D$12,"SOPORTE CARDIOVASCULAR AVANZADO ",IF(N164=CURSOS!$D$13,"CAMILLERO ",IF(N164=CURSOS!$D$14,"TOMA MUESTRAS Y LABORATORIO ",IF(N164=CURSOS!$D$15,"SOPORTE VITAL BASICO (BLS)",IF(N164=CURSOS!$D$16,"ATENCION A VICTIMAS DE VIOLENCIA SEXUAL ",IF(N164=CURSOS!$D$17,"PROGRAMADO AMPLIADO DE INMUNIZACION (PAI - COVID 19)",IF(N164=CURSOS!$D$18,"ATENCION INTEGRAL EN ENFERMEDADES PREVALENTES EN PRIMERA INFANCIA (AIEPI)",IF(N164=CURSOS!$D$19,"ADMINISTRACION DE MEDICAMENTOS, IYECTOLOGIA  Y CANALIZACION ",IF(N164=CURSOS!$D$20,"OPERADOR DE VEHICULOS DE EMERGENCIA (OVE)",IF(N164=CURSOS!$D$21,"INSTITUCIONES AMIGAS DE LA MUJER Y LA INFANCIA (IAMI)",IF(N164=CURSOS!$D$22,"CUIDADO DEL DONANTE DE ORGANOS",IF(N164=CURSOS!$D$23,"ATENCION A VICTIMAS POR VIOLENCIA DE GENERO",IF(N164=CURSOS!$D$24,"IGUALDAD DE GENERO EN LA SALUD",IF(N164=CURSOS!$D$25,"BRIGADA DE EMERGENCIA",IF(N164=CURSOS!$D$26,"MANEJO DEL DOLOR Y CUIDADOS PALIATIVOS",IF(N164=CURSOS!$D$27,"TOMA MUESTRAS Y LABORATORIO POCT",IF(N164=CURSOS!$D$28,"IMPLANTE SUBDERMICO Y DISPOSITIVO INTRAUTERINO",IF(N164=CURSOS!$D$29,"SALUD MENTAL",IF(N164=CURSOS!$D$30,"PRIMEROS AUXILIOS PSICOLOGICOS",IF(N164=CURSOS!$D$31,"ATENCION A VICTIMAS POR CONFLICTO ARMADO",IF(N164=CURSOS!$D$32,"MANIPULACION DE ALIMENTOS Y BPM"))))))))))))))))))))))))))))))</f>
        <v xml:space="preserve">ATENCION A VICTIMAS DE ATAQUE CON AGENTES QUIMICOS </v>
      </c>
      <c r="U164" s="29" t="str">
        <f t="shared" si="27"/>
        <v>Johnatan Alexander Delgado Riaño</v>
      </c>
      <c r="V164" s="29" t="str">
        <f t="shared" si="28"/>
        <v>Johnatan Alexander Delgado Riaño</v>
      </c>
      <c r="W164" s="29" t="str">
        <f t="shared" si="29"/>
        <v>Johnatan Alexander Delgado Riaño-1085282306-QUIMICOS</v>
      </c>
    </row>
    <row r="165" spans="1:23" s="46" customFormat="1" x14ac:dyDescent="0.2">
      <c r="A165" s="31">
        <v>165</v>
      </c>
      <c r="B165" s="31">
        <v>27093640</v>
      </c>
      <c r="C165" s="31" t="s">
        <v>334</v>
      </c>
      <c r="D165" s="31" t="s">
        <v>444</v>
      </c>
      <c r="E165" s="31" t="s">
        <v>492</v>
      </c>
      <c r="F165" s="31" t="s">
        <v>452</v>
      </c>
      <c r="G165" s="18">
        <v>28</v>
      </c>
      <c r="H165" s="119" t="s">
        <v>93</v>
      </c>
      <c r="I165" s="22">
        <v>45441</v>
      </c>
      <c r="J165" s="57">
        <v>98000</v>
      </c>
      <c r="K165" s="18" t="s">
        <v>77</v>
      </c>
      <c r="L165" s="18" t="s">
        <v>84</v>
      </c>
      <c r="M165" s="18" t="s">
        <v>75</v>
      </c>
      <c r="N165" s="19" t="s">
        <v>39</v>
      </c>
      <c r="O165" s="45">
        <v>29208</v>
      </c>
      <c r="P165" s="31" t="s">
        <v>100</v>
      </c>
      <c r="Q165" s="31" t="s">
        <v>162</v>
      </c>
      <c r="R165" s="31">
        <v>3234240093</v>
      </c>
      <c r="S165" s="31" t="s">
        <v>493</v>
      </c>
      <c r="T165" s="29" t="str">
        <f>IF(N165=CURSOS!$D$3,"DIPLOMADO EN ATENCION PRE-HOSPITALARIA",IF(N165=CURSOS!$D$4,"ACOMPAÑAMIENTO Y MANEJO DEL DUELO",IF(N165=CURSOS!$D$5,"ATENCION A VICTIMAS DE ATAQUE CON AGENTES QUIMICOS ",IF(N165=CURSOS!$D$6,"PRIMEROS AUXILIOS ",IF(N165=CURSOS!$D$7,"DIPLOMADO DE UNIDAD DE CUIDADOS INTENSIVOS (UCI)",IF(N165=CURSOS!$D$8,"MODELO DE ATENCION PARA EVENTOS EMERGENTES EN SALUD MENTAL (CODIGO VERDE)",IF(N165=CURSOS!$D$9,"HUMANIZACION EN SALUD, BUENAS PRACTICAS EN PACIENTE ",IF(N165=CURSOS!$D$10,"CLINICA DE HERIDAS ",IF(N165=CURSOS!$D$11,"TOMA DE CITOLOGIA A CERVICO VAGINAL ",IF(N165=CURSOS!$D$12,"SOPORTE CARDIOVASCULAR AVANZADO ",IF(N165=CURSOS!$D$13,"CAMILLERO ",IF(N165=CURSOS!$D$14,"TOMA MUESTRAS Y LABORATORIO ",IF(N165=CURSOS!$D$15,"SOPORTE VITAL BASICO (BLS)",IF(N165=CURSOS!$D$16,"ATENCION A VICTIMAS DE VIOLENCIA SEXUAL ",IF(N165=CURSOS!$D$17,"PROGRAMADO AMPLIADO DE INMUNIZACION (PAI - COVID 19)",IF(N165=CURSOS!$D$18,"ATENCION INTEGRAL EN ENFERMEDADES PREVALENTES EN PRIMERA INFANCIA (AIEPI)",IF(N165=CURSOS!$D$19,"ADMINISTRACION DE MEDICAMENTOS, IYECTOLOGIA  Y CANALIZACION ",IF(N165=CURSOS!$D$20,"OPERADOR DE VEHICULOS DE EMERGENCIA (OVE)",IF(N165=CURSOS!$D$21,"INSTITUCIONES AMIGAS DE LA MUJER Y LA INFANCIA (IAMI)",IF(N165=CURSOS!$D$22,"CUIDADO DEL DONANTE DE ORGANOS",IF(N165=CURSOS!$D$23,"ATENCION A VICTIMAS POR VIOLENCIA DE GENERO",IF(N165=CURSOS!$D$24,"IGUALDAD DE GENERO EN LA SALUD",IF(N165=CURSOS!$D$25,"BRIGADA DE EMERGENCIA",IF(N165=CURSOS!$D$26,"MANEJO DEL DOLOR Y CUIDADOS PALIATIVOS",IF(N165=CURSOS!$D$27,"TOMA MUESTRAS Y LABORATORIO POCT",IF(N165=CURSOS!$D$28,"IMPLANTE SUBDERMICO Y DISPOSITIVO INTRAUTERINO",IF(N165=CURSOS!$D$29,"SALUD MENTAL",IF(N165=CURSOS!$D$30,"PRIMEROS AUXILIOS PSICOLOGICOS",IF(N165=CURSOS!$D$31,"ATENCION A VICTIMAS POR CONFLICTO ARMADO",IF(N165=CURSOS!$D$32,"MANIPULACION DE ALIMENTOS Y BPM"))))))))))))))))))))))))))))))</f>
        <v xml:space="preserve">SOPORTE CARDIOVASCULAR AVANZADO </v>
      </c>
      <c r="U165" s="29" t="str">
        <f t="shared" si="27"/>
        <v>Ana Milena Rodriguez Meneses</v>
      </c>
      <c r="V165" s="29" t="str">
        <f t="shared" si="28"/>
        <v>Ana Milena Rodriguez Meneses</v>
      </c>
      <c r="W165" s="29" t="str">
        <f t="shared" si="29"/>
        <v>Ana Milena Rodriguez Meneses-27093640-ACLS</v>
      </c>
    </row>
    <row r="166" spans="1:23" s="46" customFormat="1" x14ac:dyDescent="0.2">
      <c r="A166" s="31">
        <v>166</v>
      </c>
      <c r="B166" s="31">
        <v>27093640</v>
      </c>
      <c r="C166" s="31" t="s">
        <v>334</v>
      </c>
      <c r="D166" s="31" t="s">
        <v>444</v>
      </c>
      <c r="E166" s="31" t="s">
        <v>492</v>
      </c>
      <c r="F166" s="31" t="s">
        <v>452</v>
      </c>
      <c r="G166" s="18">
        <v>28</v>
      </c>
      <c r="H166" s="119" t="s">
        <v>93</v>
      </c>
      <c r="I166" s="22">
        <v>45441</v>
      </c>
      <c r="J166" s="57">
        <v>0</v>
      </c>
      <c r="K166" s="18" t="s">
        <v>77</v>
      </c>
      <c r="L166" s="18" t="s">
        <v>84</v>
      </c>
      <c r="M166" s="18" t="s">
        <v>75</v>
      </c>
      <c r="N166" s="19" t="s">
        <v>23</v>
      </c>
      <c r="O166" s="45">
        <v>29208</v>
      </c>
      <c r="P166" s="31" t="s">
        <v>100</v>
      </c>
      <c r="Q166" s="31" t="s">
        <v>162</v>
      </c>
      <c r="R166" s="31">
        <v>3234240093</v>
      </c>
      <c r="S166" s="31" t="s">
        <v>493</v>
      </c>
      <c r="T166" s="29" t="str">
        <f>IF(N166=CURSOS!$D$3,"DIPLOMADO EN ATENCION PRE-HOSPITALARIA",IF(N166=CURSOS!$D$4,"ACOMPAÑAMIENTO Y MANEJO DEL DUELO",IF(N166=CURSOS!$D$5,"ATENCION A VICTIMAS DE ATAQUE CON AGENTES QUIMICOS ",IF(N166=CURSOS!$D$6,"PRIMEROS AUXILIOS ",IF(N166=CURSOS!$D$7,"DIPLOMADO DE UNIDAD DE CUIDADOS INTENSIVOS (UCI)",IF(N166=CURSOS!$D$8,"MODELO DE ATENCION PARA EVENTOS EMERGENTES EN SALUD MENTAL (CODIGO VERDE)",IF(N166=CURSOS!$D$9,"HUMANIZACION EN SALUD, BUENAS PRACTICAS EN PACIENTE ",IF(N166=CURSOS!$D$10,"CLINICA DE HERIDAS ",IF(N166=CURSOS!$D$11,"TOMA DE CITOLOGIA A CERVICO VAGINAL ",IF(N166=CURSOS!$D$12,"SOPORTE CARDIOVASCULAR AVANZADO ",IF(N166=CURSOS!$D$13,"CAMILLERO ",IF(N166=CURSOS!$D$14,"TOMA MUESTRAS Y LABORATORIO ",IF(N166=CURSOS!$D$15,"SOPORTE VITAL BASICO (BLS)",IF(N166=CURSOS!$D$16,"ATENCION A VICTIMAS DE VIOLENCIA SEXUAL ",IF(N166=CURSOS!$D$17,"PROGRAMADO AMPLIADO DE INMUNIZACION (PAI - COVID 19)",IF(N166=CURSOS!$D$18,"ATENCION INTEGRAL EN ENFERMEDADES PREVALENTES EN PRIMERA INFANCIA (AIEPI)",IF(N166=CURSOS!$D$19,"ADMINISTRACION DE MEDICAMENTOS, IYECTOLOGIA  Y CANALIZACION ",IF(N166=CURSOS!$D$20,"OPERADOR DE VEHICULOS DE EMERGENCIA (OVE)",IF(N166=CURSOS!$D$21,"INSTITUCIONES AMIGAS DE LA MUJER Y LA INFANCIA (IAMI)",IF(N166=CURSOS!$D$22,"CUIDADO DEL DONANTE DE ORGANOS",IF(N166=CURSOS!$D$23,"ATENCION A VICTIMAS POR VIOLENCIA DE GENERO",IF(N166=CURSOS!$D$24,"IGUALDAD DE GENERO EN LA SALUD",IF(N166=CURSOS!$D$25,"BRIGADA DE EMERGENCIA",IF(N166=CURSOS!$D$26,"MANEJO DEL DOLOR Y CUIDADOS PALIATIVOS",IF(N166=CURSOS!$D$27,"TOMA MUESTRAS Y LABORATORIO POCT",IF(N166=CURSOS!$D$28,"IMPLANTE SUBDERMICO Y DISPOSITIVO INTRAUTERINO",IF(N166=CURSOS!$D$29,"SALUD MENTAL",IF(N166=CURSOS!$D$30,"PRIMEROS AUXILIOS PSICOLOGICOS",IF(N166=CURSOS!$D$31,"ATENCION A VICTIMAS POR CONFLICTO ARMADO",IF(N166=CURSOS!$D$32,"MANIPULACION DE ALIMENTOS Y BPM"))))))))))))))))))))))))))))))</f>
        <v>ACOMPAÑAMIENTO Y MANEJO DEL DUELO</v>
      </c>
      <c r="U166" s="29" t="str">
        <f t="shared" si="27"/>
        <v>Ana Milena Rodriguez Meneses</v>
      </c>
      <c r="V166" s="29" t="str">
        <f t="shared" si="28"/>
        <v>Ana Milena Rodriguez Meneses</v>
      </c>
      <c r="W166" s="29" t="str">
        <f t="shared" si="29"/>
        <v>Ana Milena Rodriguez Meneses-27093640-DUELO</v>
      </c>
    </row>
    <row r="167" spans="1:23" s="46" customFormat="1" x14ac:dyDescent="0.2">
      <c r="A167" s="31">
        <v>167</v>
      </c>
      <c r="B167" s="31">
        <v>59796183</v>
      </c>
      <c r="C167" s="31" t="s">
        <v>96</v>
      </c>
      <c r="D167" s="31" t="s">
        <v>369</v>
      </c>
      <c r="E167" s="31" t="s">
        <v>367</v>
      </c>
      <c r="F167" s="31" t="s">
        <v>296</v>
      </c>
      <c r="G167" s="18">
        <v>30</v>
      </c>
      <c r="H167" s="119" t="s">
        <v>93</v>
      </c>
      <c r="I167" s="120">
        <v>45443</v>
      </c>
      <c r="J167" s="57">
        <v>28000</v>
      </c>
      <c r="K167" s="18" t="s">
        <v>124</v>
      </c>
      <c r="L167" s="18" t="s">
        <v>84</v>
      </c>
      <c r="M167" s="18" t="s">
        <v>99</v>
      </c>
      <c r="N167" s="19" t="s">
        <v>23</v>
      </c>
      <c r="O167" s="45">
        <v>45499</v>
      </c>
      <c r="P167" s="31" t="s">
        <v>100</v>
      </c>
      <c r="Q167" s="31" t="s">
        <v>162</v>
      </c>
      <c r="R167" s="31">
        <v>3226837603</v>
      </c>
      <c r="S167" s="31"/>
      <c r="T167" s="29" t="str">
        <f>IF(N167=CURSOS!$D$3,"DIPLOMADO EN ATENCION PRE-HOSPITALARIA",IF(N167=CURSOS!$D$4,"ACOMPAÑAMIENTO Y MANEJO DEL DUELO",IF(N167=CURSOS!$D$5,"ATENCION A VICTIMAS DE ATAQUE CON AGENTES QUIMICOS ",IF(N167=CURSOS!$D$6,"PRIMEROS AUXILIOS ",IF(N167=CURSOS!$D$7,"DIPLOMADO DE UNIDAD DE CUIDADOS INTENSIVOS (UCI)",IF(N167=CURSOS!$D$8,"MODELO DE ATENCION PARA EVENTOS EMERGENTES EN SALUD MENTAL (CODIGO VERDE)",IF(N167=CURSOS!$D$9,"HUMANIZACION EN SALUD, BUENAS PRACTICAS EN PACIENTE ",IF(N167=CURSOS!$D$10,"CLINICA DE HERIDAS ",IF(N167=CURSOS!$D$11,"TOMA DE CITOLOGIA A CERVICO VAGINAL ",IF(N167=CURSOS!$D$12,"SOPORTE CARDIOVASCULAR AVANZADO ",IF(N167=CURSOS!$D$13,"CAMILLERO ",IF(N167=CURSOS!$D$14,"TOMA MUESTRAS Y LABORATORIO ",IF(N167=CURSOS!$D$15,"SOPORTE VITAL BASICO (BLS)",IF(N167=CURSOS!$D$16,"ATENCION A VICTIMAS DE VIOLENCIA SEXUAL ",IF(N167=CURSOS!$D$17,"PROGRAMADO AMPLIADO DE INMUNIZACION (PAI - COVID 19)",IF(N167=CURSOS!$D$18,"ATENCION INTEGRAL EN ENFERMEDADES PREVALENTES EN PRIMERA INFANCIA (AIEPI)",IF(N167=CURSOS!$D$19,"ADMINISTRACION DE MEDICAMENTOS, IYECTOLOGIA  Y CANALIZACION ",IF(N167=CURSOS!$D$20,"OPERADOR DE VEHICULOS DE EMERGENCIA (OVE)",IF(N167=CURSOS!$D$21,"INSTITUCIONES AMIGAS DE LA MUJER Y LA INFANCIA (IAMI)",IF(N167=CURSOS!$D$22,"CUIDADO DEL DONANTE DE ORGANOS",IF(N167=CURSOS!$D$23,"ATENCION A VICTIMAS POR VIOLENCIA DE GENERO",IF(N167=CURSOS!$D$24,"IGUALDAD DE GENERO EN LA SALUD",IF(N167=CURSOS!$D$25,"BRIGADA DE EMERGENCIA",IF(N167=CURSOS!$D$26,"MANEJO DEL DOLOR Y CUIDADOS PALIATIVOS",IF(N167=CURSOS!$D$27,"TOMA MUESTRAS Y LABORATORIO POCT",IF(N167=CURSOS!$D$28,"IMPLANTE SUBDERMICO Y DISPOSITIVO INTRAUTERINO",IF(N167=CURSOS!$D$29,"SALUD MENTAL",IF(N167=CURSOS!$D$30,"PRIMEROS AUXILIOS PSICOLOGICOS",IF(N167=CURSOS!$D$31,"ATENCION A VICTIMAS POR CONFLICTO ARMADO",IF(N167=CURSOS!$D$32,"MANIPULACION DE ALIMENTOS Y BPM"))))))))))))))))))))))))))))))</f>
        <v>ACOMPAÑAMIENTO Y MANEJO DEL DUELO</v>
      </c>
      <c r="U167" s="29" t="str">
        <f t="shared" si="27"/>
        <v>Paola Andrea Cabrera Rivera</v>
      </c>
      <c r="V167" s="29" t="str">
        <f t="shared" si="28"/>
        <v>Paola Andrea Cabrera Rivera</v>
      </c>
      <c r="W167" s="29" t="str">
        <f t="shared" si="29"/>
        <v>Paola Andrea Cabrera Rivera-59796183-DUELO</v>
      </c>
    </row>
    <row r="168" spans="1:23" s="46" customFormat="1" ht="15.75" x14ac:dyDescent="0.25">
      <c r="A168" s="31">
        <v>168</v>
      </c>
      <c r="B168" s="31">
        <v>59396292</v>
      </c>
      <c r="C168" s="31" t="s">
        <v>494</v>
      </c>
      <c r="D168" s="31" t="s">
        <v>113</v>
      </c>
      <c r="E168" s="31" t="s">
        <v>495</v>
      </c>
      <c r="F168" s="31" t="s">
        <v>250</v>
      </c>
      <c r="G168" s="18">
        <v>30</v>
      </c>
      <c r="H168" s="119" t="s">
        <v>93</v>
      </c>
      <c r="I168" s="22">
        <v>45443</v>
      </c>
      <c r="J168" s="57">
        <f>57000/3</f>
        <v>19000</v>
      </c>
      <c r="K168" s="18" t="s">
        <v>124</v>
      </c>
      <c r="L168" s="18" t="s">
        <v>84</v>
      </c>
      <c r="M168" s="18" t="s">
        <v>99</v>
      </c>
      <c r="N168" s="19" t="s">
        <v>46</v>
      </c>
      <c r="O168" s="45">
        <v>30804</v>
      </c>
      <c r="P168" s="31" t="s">
        <v>100</v>
      </c>
      <c r="Q168" s="31" t="s">
        <v>198</v>
      </c>
      <c r="R168" s="31">
        <v>3108235095</v>
      </c>
      <c r="S168" s="47" t="s">
        <v>496</v>
      </c>
      <c r="T168" s="29" t="str">
        <f>IF(N168=CURSOS!$D$3,"DIPLOMADO EN ATENCION PRE-HOSPITALARIA",IF(N168=CURSOS!$D$4,"ACOMPAÑAMIENTO Y MANEJO DEL DUELO",IF(N168=CURSOS!$D$5,"ATENCION A VICTIMAS DE ATAQUE CON AGENTES QUIMICOS ",IF(N168=CURSOS!$D$6,"PRIMEROS AUXILIOS ",IF(N168=CURSOS!$D$7,"DIPLOMADO DE UNIDAD DE CUIDADOS INTENSIVOS (UCI)",IF(N168=CURSOS!$D$8,"MODELO DE ATENCION PARA EVENTOS EMERGENTES EN SALUD MENTAL (CODIGO VERDE)",IF(N168=CURSOS!$D$9,"HUMANIZACION EN SALUD, BUENAS PRACTICAS EN PACIENTE ",IF(N168=CURSOS!$D$10,"CLINICA DE HERIDAS ",IF(N168=CURSOS!$D$11,"TOMA DE CITOLOGIA A CERVICO VAGINAL ",IF(N168=CURSOS!$D$12,"SOPORTE CARDIOVASCULAR AVANZADO ",IF(N168=CURSOS!$D$13,"CAMILLERO ",IF(N168=CURSOS!$D$14,"TOMA MUESTRAS Y LABORATORIO ",IF(N168=CURSOS!$D$15,"SOPORTE VITAL BASICO (BLS)",IF(N168=CURSOS!$D$16,"ATENCION A VICTIMAS DE VIOLENCIA SEXUAL ",IF(N168=CURSOS!$D$17,"PROGRAMADO AMPLIADO DE INMUNIZACION (PAI - COVID 19)",IF(N168=CURSOS!$D$18,"ATENCION INTEGRAL EN ENFERMEDADES PREVALENTES EN PRIMERA INFANCIA (AIEPI)",IF(N168=CURSOS!$D$19,"ADMINISTRACION DE MEDICAMENTOS, IYECTOLOGIA  Y CANALIZACION ",IF(N168=CURSOS!$D$20,"OPERADOR DE VEHICULOS DE EMERGENCIA (OVE)",IF(N168=CURSOS!$D$21,"INSTITUCIONES AMIGAS DE LA MUJER Y LA INFANCIA (IAMI)",IF(N168=CURSOS!$D$22,"CUIDADO DEL DONANTE DE ORGANOS",IF(N168=CURSOS!$D$23,"ATENCION A VICTIMAS POR VIOLENCIA DE GENERO",IF(N168=CURSOS!$D$24,"IGUALDAD DE GENERO EN LA SALUD",IF(N168=CURSOS!$D$25,"BRIGADA DE EMERGENCIA",IF(N168=CURSOS!$D$26,"MANEJO DEL DOLOR Y CUIDADOS PALIATIVOS",IF(N168=CURSOS!$D$27,"TOMA MUESTRAS Y LABORATORIO POCT",IF(N168=CURSOS!$D$28,"IMPLANTE SUBDERMICO Y DISPOSITIVO INTRAUTERINO",IF(N168=CURSOS!$D$29,"SALUD MENTAL",IF(N168=CURSOS!$D$30,"PRIMEROS AUXILIOS PSICOLOGICOS",IF(N168=CURSOS!$D$31,"ATENCION A VICTIMAS POR CONFLICTO ARMADO",IF(N168=CURSOS!$D$32,"MANIPULACION DE ALIMENTOS Y BPM"))))))))))))))))))))))))))))))</f>
        <v xml:space="preserve">ATENCION A VICTIMAS DE VIOLENCIA SEXUAL </v>
      </c>
      <c r="U168" s="29" t="str">
        <f t="shared" si="27"/>
        <v>Diana Lorena Morales Riascos</v>
      </c>
      <c r="V168" s="29" t="str">
        <f t="shared" si="28"/>
        <v>Diana Lorena Morales Riascos</v>
      </c>
      <c r="W168" s="29" t="str">
        <f t="shared" si="29"/>
        <v>Diana Lorena Morales Riascos-59396292-VIOLENCIA SEXUAL</v>
      </c>
    </row>
    <row r="169" spans="1:23" s="46" customFormat="1" ht="15.75" x14ac:dyDescent="0.25">
      <c r="A169" s="31">
        <v>169</v>
      </c>
      <c r="B169" s="31">
        <v>59396292</v>
      </c>
      <c r="C169" s="31" t="s">
        <v>494</v>
      </c>
      <c r="D169" s="31" t="s">
        <v>113</v>
      </c>
      <c r="E169" s="31" t="s">
        <v>495</v>
      </c>
      <c r="F169" s="31" t="s">
        <v>250</v>
      </c>
      <c r="G169" s="18">
        <v>30</v>
      </c>
      <c r="H169" s="119" t="s">
        <v>93</v>
      </c>
      <c r="I169" s="22">
        <v>45443</v>
      </c>
      <c r="J169" s="57">
        <v>19000</v>
      </c>
      <c r="K169" s="18" t="s">
        <v>124</v>
      </c>
      <c r="L169" s="18" t="s">
        <v>84</v>
      </c>
      <c r="M169" s="18" t="s">
        <v>99</v>
      </c>
      <c r="N169" s="19" t="s">
        <v>25</v>
      </c>
      <c r="O169" s="45">
        <v>30804</v>
      </c>
      <c r="P169" s="31" t="s">
        <v>100</v>
      </c>
      <c r="Q169" s="31" t="s">
        <v>198</v>
      </c>
      <c r="R169" s="31">
        <v>3108235095</v>
      </c>
      <c r="S169" s="47" t="s">
        <v>496</v>
      </c>
      <c r="T169" s="29" t="str">
        <f>IF(N169=CURSOS!$D$3,"DIPLOMADO EN ATENCION PRE-HOSPITALARIA",IF(N169=CURSOS!$D$4,"ACOMPAÑAMIENTO Y MANEJO DEL DUELO",IF(N169=CURSOS!$D$5,"ATENCION A VICTIMAS DE ATAQUE CON AGENTES QUIMICOS ",IF(N169=CURSOS!$D$6,"PRIMEROS AUXILIOS ",IF(N169=CURSOS!$D$7,"DIPLOMADO DE UNIDAD DE CUIDADOS INTENSIVOS (UCI)",IF(N169=CURSOS!$D$8,"MODELO DE ATENCION PARA EVENTOS EMERGENTES EN SALUD MENTAL (CODIGO VERDE)",IF(N169=CURSOS!$D$9,"HUMANIZACION EN SALUD, BUENAS PRACTICAS EN PACIENTE ",IF(N169=CURSOS!$D$10,"CLINICA DE HERIDAS ",IF(N169=CURSOS!$D$11,"TOMA DE CITOLOGIA A CERVICO VAGINAL ",IF(N169=CURSOS!$D$12,"SOPORTE CARDIOVASCULAR AVANZADO ",IF(N169=CURSOS!$D$13,"CAMILLERO ",IF(N169=CURSOS!$D$14,"TOMA MUESTRAS Y LABORATORIO ",IF(N169=CURSOS!$D$15,"SOPORTE VITAL BASICO (BLS)",IF(N169=CURSOS!$D$16,"ATENCION A VICTIMAS DE VIOLENCIA SEXUAL ",IF(N169=CURSOS!$D$17,"PROGRAMADO AMPLIADO DE INMUNIZACION (PAI - COVID 19)",IF(N169=CURSOS!$D$18,"ATENCION INTEGRAL EN ENFERMEDADES PREVALENTES EN PRIMERA INFANCIA (AIEPI)",IF(N169=CURSOS!$D$19,"ADMINISTRACION DE MEDICAMENTOS, IYECTOLOGIA  Y CANALIZACION ",IF(N169=CURSOS!$D$20,"OPERADOR DE VEHICULOS DE EMERGENCIA (OVE)",IF(N169=CURSOS!$D$21,"INSTITUCIONES AMIGAS DE LA MUJER Y LA INFANCIA (IAMI)",IF(N169=CURSOS!$D$22,"CUIDADO DEL DONANTE DE ORGANOS",IF(N169=CURSOS!$D$23,"ATENCION A VICTIMAS POR VIOLENCIA DE GENERO",IF(N169=CURSOS!$D$24,"IGUALDAD DE GENERO EN LA SALUD",IF(N169=CURSOS!$D$25,"BRIGADA DE EMERGENCIA",IF(N169=CURSOS!$D$26,"MANEJO DEL DOLOR Y CUIDADOS PALIATIVOS",IF(N169=CURSOS!$D$27,"TOMA MUESTRAS Y LABORATORIO POCT",IF(N169=CURSOS!$D$28,"IMPLANTE SUBDERMICO Y DISPOSITIVO INTRAUTERINO",IF(N169=CURSOS!$D$29,"SALUD MENTAL",IF(N169=CURSOS!$D$30,"PRIMEROS AUXILIOS PSICOLOGICOS",IF(N169=CURSOS!$D$31,"ATENCION A VICTIMAS POR CONFLICTO ARMADO",IF(N169=CURSOS!$D$32,"MANIPULACION DE ALIMENTOS Y BPM"))))))))))))))))))))))))))))))</f>
        <v xml:space="preserve">ATENCION A VICTIMAS DE ATAQUE CON AGENTES QUIMICOS </v>
      </c>
      <c r="U169" s="29" t="str">
        <f t="shared" si="27"/>
        <v>Diana Lorena Morales Riascos</v>
      </c>
      <c r="V169" s="29" t="str">
        <f t="shared" si="28"/>
        <v>Diana Lorena Morales Riascos</v>
      </c>
      <c r="W169" s="29" t="str">
        <f t="shared" si="29"/>
        <v>Diana Lorena Morales Riascos-59396292-QUIMICOS</v>
      </c>
    </row>
    <row r="170" spans="1:23" s="46" customFormat="1" ht="15.75" x14ac:dyDescent="0.25">
      <c r="A170" s="31">
        <v>170</v>
      </c>
      <c r="B170" s="31">
        <v>59396292</v>
      </c>
      <c r="C170" s="31" t="s">
        <v>494</v>
      </c>
      <c r="D170" s="31" t="s">
        <v>113</v>
      </c>
      <c r="E170" s="31" t="s">
        <v>495</v>
      </c>
      <c r="F170" s="31" t="s">
        <v>250</v>
      </c>
      <c r="G170" s="18">
        <v>30</v>
      </c>
      <c r="H170" s="119" t="s">
        <v>93</v>
      </c>
      <c r="I170" s="22">
        <v>45443</v>
      </c>
      <c r="J170" s="57">
        <v>19000</v>
      </c>
      <c r="K170" s="18" t="s">
        <v>124</v>
      </c>
      <c r="L170" s="18" t="s">
        <v>84</v>
      </c>
      <c r="M170" s="18" t="s">
        <v>99</v>
      </c>
      <c r="N170" s="19" t="s">
        <v>19</v>
      </c>
      <c r="O170" s="45">
        <v>30804</v>
      </c>
      <c r="P170" s="31" t="s">
        <v>100</v>
      </c>
      <c r="Q170" s="31" t="s">
        <v>198</v>
      </c>
      <c r="R170" s="31">
        <v>3108235095</v>
      </c>
      <c r="S170" s="47" t="s">
        <v>496</v>
      </c>
      <c r="T170" s="29" t="str">
        <f>IF(N170=CURSOS!$D$3,"DIPLOMADO EN ATENCION PRE-HOSPITALARIA",IF(N170=CURSOS!$D$4,"ACOMPAÑAMIENTO Y MANEJO DEL DUELO",IF(N170=CURSOS!$D$5,"ATENCION A VICTIMAS DE ATAQUE CON AGENTES QUIMICOS ",IF(N170=CURSOS!$D$6,"PRIMEROS AUXILIOS ",IF(N170=CURSOS!$D$7,"DIPLOMADO DE UNIDAD DE CUIDADOS INTENSIVOS (UCI)",IF(N170=CURSOS!$D$8,"MODELO DE ATENCION PARA EVENTOS EMERGENTES EN SALUD MENTAL (CODIGO VERDE)",IF(N170=CURSOS!$D$9,"HUMANIZACION EN SALUD, BUENAS PRACTICAS EN PACIENTE ",IF(N170=CURSOS!$D$10,"CLINICA DE HERIDAS ",IF(N170=CURSOS!$D$11,"TOMA DE CITOLOGIA A CERVICO VAGINAL ",IF(N170=CURSOS!$D$12,"SOPORTE CARDIOVASCULAR AVANZADO ",IF(N170=CURSOS!$D$13,"CAMILLERO ",IF(N170=CURSOS!$D$14,"TOMA MUESTRAS Y LABORATORIO ",IF(N170=CURSOS!$D$15,"SOPORTE VITAL BASICO (BLS)",IF(N170=CURSOS!$D$16,"ATENCION A VICTIMAS DE VIOLENCIA SEXUAL ",IF(N170=CURSOS!$D$17,"PROGRAMADO AMPLIADO DE INMUNIZACION (PAI - COVID 19)",IF(N170=CURSOS!$D$18,"ATENCION INTEGRAL EN ENFERMEDADES PREVALENTES EN PRIMERA INFANCIA (AIEPI)",IF(N170=CURSOS!$D$19,"ADMINISTRACION DE MEDICAMENTOS, IYECTOLOGIA  Y CANALIZACION ",IF(N170=CURSOS!$D$20,"OPERADOR DE VEHICULOS DE EMERGENCIA (OVE)",IF(N170=CURSOS!$D$21,"INSTITUCIONES AMIGAS DE LA MUJER Y LA INFANCIA (IAMI)",IF(N170=CURSOS!$D$22,"CUIDADO DEL DONANTE DE ORGANOS",IF(N170=CURSOS!$D$23,"ATENCION A VICTIMAS POR VIOLENCIA DE GENERO",IF(N170=CURSOS!$D$24,"IGUALDAD DE GENERO EN LA SALUD",IF(N170=CURSOS!$D$25,"BRIGADA DE EMERGENCIA",IF(N170=CURSOS!$D$26,"MANEJO DEL DOLOR Y CUIDADOS PALIATIVOS",IF(N170=CURSOS!$D$27,"TOMA MUESTRAS Y LABORATORIO POCT",IF(N170=CURSOS!$D$28,"IMPLANTE SUBDERMICO Y DISPOSITIVO INTRAUTERINO",IF(N170=CURSOS!$D$29,"SALUD MENTAL",IF(N170=CURSOS!$D$30,"PRIMEROS AUXILIOS PSICOLOGICOS",IF(N170=CURSOS!$D$31,"ATENCION A VICTIMAS POR CONFLICTO ARMADO",IF(N170=CURSOS!$D$32,"MANIPULACION DE ALIMENTOS Y BPM"))))))))))))))))))))))))))))))</f>
        <v>SOPORTE VITAL BASICO (BLS)</v>
      </c>
      <c r="U170" s="29" t="str">
        <f t="shared" si="27"/>
        <v>Diana Lorena Morales Riascos</v>
      </c>
      <c r="V170" s="29" t="str">
        <f t="shared" si="28"/>
        <v>Diana Lorena Morales Riascos</v>
      </c>
      <c r="W170" s="29" t="str">
        <f t="shared" si="29"/>
        <v>Diana Lorena Morales Riascos-59396292-BLS</v>
      </c>
    </row>
    <row r="171" spans="1:23" s="46" customFormat="1" x14ac:dyDescent="0.2">
      <c r="A171" s="31">
        <v>171</v>
      </c>
      <c r="B171" s="31">
        <v>1086330334</v>
      </c>
      <c r="C171" s="31" t="s">
        <v>472</v>
      </c>
      <c r="D171" s="31" t="s">
        <v>260</v>
      </c>
      <c r="E171" s="31" t="s">
        <v>380</v>
      </c>
      <c r="F171" s="31" t="s">
        <v>497</v>
      </c>
      <c r="G171" s="18">
        <v>30</v>
      </c>
      <c r="H171" s="119" t="s">
        <v>93</v>
      </c>
      <c r="I171" s="22">
        <v>45442</v>
      </c>
      <c r="J171" s="57">
        <v>20000</v>
      </c>
      <c r="K171" s="18" t="s">
        <v>124</v>
      </c>
      <c r="L171" s="18" t="s">
        <v>84</v>
      </c>
      <c r="M171" s="18" t="s">
        <v>75</v>
      </c>
      <c r="N171" s="19" t="s">
        <v>46</v>
      </c>
      <c r="O171" s="45">
        <v>33584</v>
      </c>
      <c r="P171" s="31" t="s">
        <v>100</v>
      </c>
      <c r="Q171" s="31" t="s">
        <v>106</v>
      </c>
      <c r="R171" s="31">
        <v>3126369615</v>
      </c>
      <c r="S171" s="31" t="s">
        <v>498</v>
      </c>
      <c r="T171" s="29" t="str">
        <f>IF(N171=CURSOS!$D$3,"DIPLOMADO EN ATENCION PRE-HOSPITALARIA",IF(N171=CURSOS!$D$4,"ACOMPAÑAMIENTO Y MANEJO DEL DUELO",IF(N171=CURSOS!$D$5,"ATENCION A VICTIMAS DE ATAQUE CON AGENTES QUIMICOS ",IF(N171=CURSOS!$D$6,"PRIMEROS AUXILIOS ",IF(N171=CURSOS!$D$7,"DIPLOMADO DE UNIDAD DE CUIDADOS INTENSIVOS (UCI)",IF(N171=CURSOS!$D$8,"MODELO DE ATENCION PARA EVENTOS EMERGENTES EN SALUD MENTAL (CODIGO VERDE)",IF(N171=CURSOS!$D$9,"HUMANIZACION EN SALUD, BUENAS PRACTICAS EN PACIENTE ",IF(N171=CURSOS!$D$10,"CLINICA DE HERIDAS ",IF(N171=CURSOS!$D$11,"TOMA DE CITOLOGIA A CERVICO VAGINAL ",IF(N171=CURSOS!$D$12,"SOPORTE CARDIOVASCULAR AVANZADO ",IF(N171=CURSOS!$D$13,"CAMILLERO ",IF(N171=CURSOS!$D$14,"TOMA MUESTRAS Y LABORATORIO ",IF(N171=CURSOS!$D$15,"SOPORTE VITAL BASICO (BLS)",IF(N171=CURSOS!$D$16,"ATENCION A VICTIMAS DE VIOLENCIA SEXUAL ",IF(N171=CURSOS!$D$17,"PROGRAMADO AMPLIADO DE INMUNIZACION (PAI - COVID 19)",IF(N171=CURSOS!$D$18,"ATENCION INTEGRAL EN ENFERMEDADES PREVALENTES EN PRIMERA INFANCIA (AIEPI)",IF(N171=CURSOS!$D$19,"ADMINISTRACION DE MEDICAMENTOS, IYECTOLOGIA  Y CANALIZACION ",IF(N171=CURSOS!$D$20,"OPERADOR DE VEHICULOS DE EMERGENCIA (OVE)",IF(N171=CURSOS!$D$21,"INSTITUCIONES AMIGAS DE LA MUJER Y LA INFANCIA (IAMI)",IF(N171=CURSOS!$D$22,"CUIDADO DEL DONANTE DE ORGANOS",IF(N171=CURSOS!$D$23,"ATENCION A VICTIMAS POR VIOLENCIA DE GENERO",IF(N171=CURSOS!$D$24,"IGUALDAD DE GENERO EN LA SALUD",IF(N171=CURSOS!$D$25,"BRIGADA DE EMERGENCIA",IF(N171=CURSOS!$D$26,"MANEJO DEL DOLOR Y CUIDADOS PALIATIVOS",IF(N171=CURSOS!$D$27,"TOMA MUESTRAS Y LABORATORIO POCT",IF(N171=CURSOS!$D$28,"IMPLANTE SUBDERMICO Y DISPOSITIVO INTRAUTERINO",IF(N171=CURSOS!$D$29,"SALUD MENTAL",IF(N171=CURSOS!$D$30,"PRIMEROS AUXILIOS PSICOLOGICOS",IF(N171=CURSOS!$D$31,"ATENCION A VICTIMAS POR CONFLICTO ARMADO",IF(N171=CURSOS!$D$32,"MANIPULACION DE ALIMENTOS Y BPM"))))))))))))))))))))))))))))))</f>
        <v xml:space="preserve">ATENCION A VICTIMAS DE VIOLENCIA SEXUAL </v>
      </c>
      <c r="U171" s="29" t="str">
        <f t="shared" si="27"/>
        <v>Leidy Vanesa Pinta Calvache</v>
      </c>
      <c r="V171" s="29" t="str">
        <f t="shared" si="28"/>
        <v>Leidy Vanesa Pinta Calvache</v>
      </c>
      <c r="W171" s="29" t="str">
        <f t="shared" si="29"/>
        <v>Leidy Vanesa Pinta Calvache-1086330334-VIOLENCIA SEXUAL</v>
      </c>
    </row>
    <row r="172" spans="1:23" s="46" customFormat="1" x14ac:dyDescent="0.2">
      <c r="A172" s="31">
        <v>172</v>
      </c>
      <c r="B172" s="31">
        <v>1086330334</v>
      </c>
      <c r="C172" s="31" t="s">
        <v>472</v>
      </c>
      <c r="D172" s="31" t="s">
        <v>260</v>
      </c>
      <c r="E172" s="31" t="s">
        <v>380</v>
      </c>
      <c r="F172" s="31" t="s">
        <v>497</v>
      </c>
      <c r="G172" s="18">
        <v>30</v>
      </c>
      <c r="H172" s="119" t="s">
        <v>93</v>
      </c>
      <c r="I172" s="22">
        <v>45442</v>
      </c>
      <c r="J172" s="57">
        <v>20000</v>
      </c>
      <c r="K172" s="18" t="s">
        <v>124</v>
      </c>
      <c r="L172" s="18" t="s">
        <v>84</v>
      </c>
      <c r="M172" s="18" t="s">
        <v>75</v>
      </c>
      <c r="N172" s="19" t="s">
        <v>33</v>
      </c>
      <c r="O172" s="45">
        <v>33584</v>
      </c>
      <c r="P172" s="31" t="s">
        <v>100</v>
      </c>
      <c r="Q172" s="31" t="s">
        <v>106</v>
      </c>
      <c r="R172" s="31">
        <v>3126369615</v>
      </c>
      <c r="S172" s="31" t="s">
        <v>498</v>
      </c>
      <c r="T172" s="29" t="str">
        <f>IF(N172=CURSOS!$D$3,"DIPLOMADO EN ATENCION PRE-HOSPITALARIA",IF(N172=CURSOS!$D$4,"ACOMPAÑAMIENTO Y MANEJO DEL DUELO",IF(N172=CURSOS!$D$5,"ATENCION A VICTIMAS DE ATAQUE CON AGENTES QUIMICOS ",IF(N172=CURSOS!$D$6,"PRIMEROS AUXILIOS ",IF(N172=CURSOS!$D$7,"DIPLOMADO DE UNIDAD DE CUIDADOS INTENSIVOS (UCI)",IF(N172=CURSOS!$D$8,"MODELO DE ATENCION PARA EVENTOS EMERGENTES EN SALUD MENTAL (CODIGO VERDE)",IF(N172=CURSOS!$D$9,"HUMANIZACION EN SALUD, BUENAS PRACTICAS EN PACIENTE ",IF(N172=CURSOS!$D$10,"CLINICA DE HERIDAS ",IF(N172=CURSOS!$D$11,"TOMA DE CITOLOGIA A CERVICO VAGINAL ",IF(N172=CURSOS!$D$12,"SOPORTE CARDIOVASCULAR AVANZADO ",IF(N172=CURSOS!$D$13,"CAMILLERO ",IF(N172=CURSOS!$D$14,"TOMA MUESTRAS Y LABORATORIO ",IF(N172=CURSOS!$D$15,"SOPORTE VITAL BASICO (BLS)",IF(N172=CURSOS!$D$16,"ATENCION A VICTIMAS DE VIOLENCIA SEXUAL ",IF(N172=CURSOS!$D$17,"PROGRAMADO AMPLIADO DE INMUNIZACION (PAI - COVID 19)",IF(N172=CURSOS!$D$18,"ATENCION INTEGRAL EN ENFERMEDADES PREVALENTES EN PRIMERA INFANCIA (AIEPI)",IF(N172=CURSOS!$D$19,"ADMINISTRACION DE MEDICAMENTOS, IYECTOLOGIA  Y CANALIZACION ",IF(N172=CURSOS!$D$20,"OPERADOR DE VEHICULOS DE EMERGENCIA (OVE)",IF(N172=CURSOS!$D$21,"INSTITUCIONES AMIGAS DE LA MUJER Y LA INFANCIA (IAMI)",IF(N172=CURSOS!$D$22,"CUIDADO DEL DONANTE DE ORGANOS",IF(N172=CURSOS!$D$23,"ATENCION A VICTIMAS POR VIOLENCIA DE GENERO",IF(N172=CURSOS!$D$24,"IGUALDAD DE GENERO EN LA SALUD",IF(N172=CURSOS!$D$25,"BRIGADA DE EMERGENCIA",IF(N172=CURSOS!$D$26,"MANEJO DEL DOLOR Y CUIDADOS PALIATIVOS",IF(N172=CURSOS!$D$27,"TOMA MUESTRAS Y LABORATORIO POCT",IF(N172=CURSOS!$D$28,"IMPLANTE SUBDERMICO Y DISPOSITIVO INTRAUTERINO",IF(N172=CURSOS!$D$29,"SALUD MENTAL",IF(N172=CURSOS!$D$30,"PRIMEROS AUXILIOS PSICOLOGICOS",IF(N172=CURSOS!$D$31,"ATENCION A VICTIMAS POR CONFLICTO ARMADO",IF(N172=CURSOS!$D$32,"MANIPULACION DE ALIMENTOS Y BPM"))))))))))))))))))))))))))))))</f>
        <v xml:space="preserve">HUMANIZACION EN SALUD, BUENAS PRACTICAS EN PACIENTE </v>
      </c>
      <c r="U172" s="29" t="str">
        <f t="shared" si="27"/>
        <v>Leidy Vanesa Pinta Calvache</v>
      </c>
      <c r="V172" s="29" t="str">
        <f t="shared" si="28"/>
        <v>Leidy Vanesa Pinta Calvache</v>
      </c>
      <c r="W172" s="29" t="str">
        <f t="shared" si="29"/>
        <v>Leidy Vanesa Pinta Calvache-1086330334-HUMANIZACION</v>
      </c>
    </row>
    <row r="173" spans="1:23" s="46" customFormat="1" x14ac:dyDescent="0.2">
      <c r="A173" s="31">
        <v>173</v>
      </c>
      <c r="B173" s="31">
        <v>87064290</v>
      </c>
      <c r="C173" s="31" t="s">
        <v>216</v>
      </c>
      <c r="D173" s="31" t="s">
        <v>378</v>
      </c>
      <c r="E173" s="31" t="s">
        <v>499</v>
      </c>
      <c r="F173" s="31" t="s">
        <v>500</v>
      </c>
      <c r="G173" s="18">
        <v>31</v>
      </c>
      <c r="H173" s="119" t="s">
        <v>93</v>
      </c>
      <c r="I173" s="22">
        <v>45443</v>
      </c>
      <c r="J173" s="57">
        <v>20000</v>
      </c>
      <c r="K173" s="18" t="s">
        <v>77</v>
      </c>
      <c r="L173" s="18" t="s">
        <v>84</v>
      </c>
      <c r="M173" s="18" t="s">
        <v>75</v>
      </c>
      <c r="N173" s="19" t="s">
        <v>25</v>
      </c>
      <c r="O173" s="45">
        <v>30696</v>
      </c>
      <c r="P173" s="31" t="s">
        <v>79</v>
      </c>
      <c r="Q173" s="31" t="s">
        <v>501</v>
      </c>
      <c r="R173" s="31">
        <v>3163443264</v>
      </c>
      <c r="S173" s="31" t="s">
        <v>502</v>
      </c>
      <c r="T173" s="29" t="str">
        <f>IF(N173=CURSOS!$D$3,"DIPLOMADO EN ATENCION PRE-HOSPITALARIA",IF(N173=CURSOS!$D$4,"ACOMPAÑAMIENTO Y MANEJO DEL DUELO",IF(N173=CURSOS!$D$5,"ATENCION A VICTIMAS DE ATAQUE CON AGENTES QUIMICOS ",IF(N173=CURSOS!$D$6,"PRIMEROS AUXILIOS ",IF(N173=CURSOS!$D$7,"DIPLOMADO DE UNIDAD DE CUIDADOS INTENSIVOS (UCI)",IF(N173=CURSOS!$D$8,"MODELO DE ATENCION PARA EVENTOS EMERGENTES EN SALUD MENTAL (CODIGO VERDE)",IF(N173=CURSOS!$D$9,"HUMANIZACION EN SALUD, BUENAS PRACTICAS EN PACIENTE ",IF(N173=CURSOS!$D$10,"CLINICA DE HERIDAS ",IF(N173=CURSOS!$D$11,"TOMA DE CITOLOGIA A CERVICO VAGINAL ",IF(N173=CURSOS!$D$12,"SOPORTE CARDIOVASCULAR AVANZADO ",IF(N173=CURSOS!$D$13,"CAMILLERO ",IF(N173=CURSOS!$D$14,"TOMA MUESTRAS Y LABORATORIO ",IF(N173=CURSOS!$D$15,"SOPORTE VITAL BASICO (BLS)",IF(N173=CURSOS!$D$16,"ATENCION A VICTIMAS DE VIOLENCIA SEXUAL ",IF(N173=CURSOS!$D$17,"PROGRAMADO AMPLIADO DE INMUNIZACION (PAI - COVID 19)",IF(N173=CURSOS!$D$18,"ATENCION INTEGRAL EN ENFERMEDADES PREVALENTES EN PRIMERA INFANCIA (AIEPI)",IF(N173=CURSOS!$D$19,"ADMINISTRACION DE MEDICAMENTOS, IYECTOLOGIA  Y CANALIZACION ",IF(N173=CURSOS!$D$20,"OPERADOR DE VEHICULOS DE EMERGENCIA (OVE)",IF(N173=CURSOS!$D$21,"INSTITUCIONES AMIGAS DE LA MUJER Y LA INFANCIA (IAMI)",IF(N173=CURSOS!$D$22,"CUIDADO DEL DONANTE DE ORGANOS",IF(N173=CURSOS!$D$23,"ATENCION A VICTIMAS POR VIOLENCIA DE GENERO",IF(N173=CURSOS!$D$24,"IGUALDAD DE GENERO EN LA SALUD",IF(N173=CURSOS!$D$25,"BRIGADA DE EMERGENCIA",IF(N173=CURSOS!$D$26,"MANEJO DEL DOLOR Y CUIDADOS PALIATIVOS",IF(N173=CURSOS!$D$27,"TOMA MUESTRAS Y LABORATORIO POCT",IF(N173=CURSOS!$D$28,"IMPLANTE SUBDERMICO Y DISPOSITIVO INTRAUTERINO",IF(N173=CURSOS!$D$29,"SALUD MENTAL",IF(N173=CURSOS!$D$30,"PRIMEROS AUXILIOS PSICOLOGICOS",IF(N173=CURSOS!$D$31,"ATENCION A VICTIMAS POR CONFLICTO ARMADO",IF(N173=CURSOS!$D$32,"MANIPULACION DE ALIMENTOS Y BPM"))))))))))))))))))))))))))))))</f>
        <v xml:space="preserve">ATENCION A VICTIMAS DE ATAQUE CON AGENTES QUIMICOS </v>
      </c>
      <c r="U173" s="29" t="str">
        <f t="shared" si="27"/>
        <v>José Miguel Pinza Jojoa</v>
      </c>
      <c r="V173" s="29" t="str">
        <f t="shared" si="28"/>
        <v>José Miguel Pinza Jojoa</v>
      </c>
      <c r="W173" s="29" t="str">
        <f t="shared" si="29"/>
        <v>José Miguel Pinza Jojoa-87064290-QUIMICOS</v>
      </c>
    </row>
    <row r="174" spans="1:23" s="46" customFormat="1" x14ac:dyDescent="0.2">
      <c r="A174" s="31">
        <v>174</v>
      </c>
      <c r="B174" s="31">
        <v>87064290</v>
      </c>
      <c r="C174" s="31" t="s">
        <v>216</v>
      </c>
      <c r="D174" s="31" t="s">
        <v>378</v>
      </c>
      <c r="E174" s="31" t="s">
        <v>499</v>
      </c>
      <c r="F174" s="31" t="s">
        <v>500</v>
      </c>
      <c r="G174" s="18">
        <v>31</v>
      </c>
      <c r="H174" s="119" t="s">
        <v>93</v>
      </c>
      <c r="I174" s="22">
        <v>45443</v>
      </c>
      <c r="J174" s="57">
        <v>20000</v>
      </c>
      <c r="K174" s="18" t="s">
        <v>77</v>
      </c>
      <c r="L174" s="18" t="s">
        <v>84</v>
      </c>
      <c r="M174" s="18" t="s">
        <v>75</v>
      </c>
      <c r="N174" s="19" t="s">
        <v>23</v>
      </c>
      <c r="O174" s="45">
        <v>30696</v>
      </c>
      <c r="P174" s="31" t="s">
        <v>79</v>
      </c>
      <c r="Q174" s="31" t="s">
        <v>501</v>
      </c>
      <c r="R174" s="31">
        <v>3163443264</v>
      </c>
      <c r="S174" s="31" t="s">
        <v>502</v>
      </c>
      <c r="T174" s="29" t="str">
        <f>IF(N174=CURSOS!$D$3,"DIPLOMADO EN ATENCION PRE-HOSPITALARIA",IF(N174=CURSOS!$D$4,"ACOMPAÑAMIENTO Y MANEJO DEL DUELO",IF(N174=CURSOS!$D$5,"ATENCION A VICTIMAS DE ATAQUE CON AGENTES QUIMICOS ",IF(N174=CURSOS!$D$6,"PRIMEROS AUXILIOS ",IF(N174=CURSOS!$D$7,"DIPLOMADO DE UNIDAD DE CUIDADOS INTENSIVOS (UCI)",IF(N174=CURSOS!$D$8,"MODELO DE ATENCION PARA EVENTOS EMERGENTES EN SALUD MENTAL (CODIGO VERDE)",IF(N174=CURSOS!$D$9,"HUMANIZACION EN SALUD, BUENAS PRACTICAS EN PACIENTE ",IF(N174=CURSOS!$D$10,"CLINICA DE HERIDAS ",IF(N174=CURSOS!$D$11,"TOMA DE CITOLOGIA A CERVICO VAGINAL ",IF(N174=CURSOS!$D$12,"SOPORTE CARDIOVASCULAR AVANZADO ",IF(N174=CURSOS!$D$13,"CAMILLERO ",IF(N174=CURSOS!$D$14,"TOMA MUESTRAS Y LABORATORIO ",IF(N174=CURSOS!$D$15,"SOPORTE VITAL BASICO (BLS)",IF(N174=CURSOS!$D$16,"ATENCION A VICTIMAS DE VIOLENCIA SEXUAL ",IF(N174=CURSOS!$D$17,"PROGRAMADO AMPLIADO DE INMUNIZACION (PAI - COVID 19)",IF(N174=CURSOS!$D$18,"ATENCION INTEGRAL EN ENFERMEDADES PREVALENTES EN PRIMERA INFANCIA (AIEPI)",IF(N174=CURSOS!$D$19,"ADMINISTRACION DE MEDICAMENTOS, IYECTOLOGIA  Y CANALIZACION ",IF(N174=CURSOS!$D$20,"OPERADOR DE VEHICULOS DE EMERGENCIA (OVE)",IF(N174=CURSOS!$D$21,"INSTITUCIONES AMIGAS DE LA MUJER Y LA INFANCIA (IAMI)",IF(N174=CURSOS!$D$22,"CUIDADO DEL DONANTE DE ORGANOS",IF(N174=CURSOS!$D$23,"ATENCION A VICTIMAS POR VIOLENCIA DE GENERO",IF(N174=CURSOS!$D$24,"IGUALDAD DE GENERO EN LA SALUD",IF(N174=CURSOS!$D$25,"BRIGADA DE EMERGENCIA",IF(N174=CURSOS!$D$26,"MANEJO DEL DOLOR Y CUIDADOS PALIATIVOS",IF(N174=CURSOS!$D$27,"TOMA MUESTRAS Y LABORATORIO POCT",IF(N174=CURSOS!$D$28,"IMPLANTE SUBDERMICO Y DISPOSITIVO INTRAUTERINO",IF(N174=CURSOS!$D$29,"SALUD MENTAL",IF(N174=CURSOS!$D$30,"PRIMEROS AUXILIOS PSICOLOGICOS",IF(N174=CURSOS!$D$31,"ATENCION A VICTIMAS POR CONFLICTO ARMADO",IF(N174=CURSOS!$D$32,"MANIPULACION DE ALIMENTOS Y BPM"))))))))))))))))))))))))))))))</f>
        <v>ACOMPAÑAMIENTO Y MANEJO DEL DUELO</v>
      </c>
      <c r="U174" s="29" t="str">
        <f t="shared" si="27"/>
        <v>José Miguel Pinza Jojoa</v>
      </c>
      <c r="V174" s="29" t="str">
        <f t="shared" si="28"/>
        <v>José Miguel Pinza Jojoa</v>
      </c>
      <c r="W174" s="29" t="str">
        <f t="shared" si="29"/>
        <v>José Miguel Pinza Jojoa-87064290-DUELO</v>
      </c>
    </row>
    <row r="175" spans="1:23" s="46" customFormat="1" x14ac:dyDescent="0.2">
      <c r="A175" s="31">
        <v>175</v>
      </c>
      <c r="B175" s="31">
        <v>1085912454</v>
      </c>
      <c r="C175" s="31" t="s">
        <v>503</v>
      </c>
      <c r="D175" s="31" t="s">
        <v>504</v>
      </c>
      <c r="E175" s="31" t="s">
        <v>132</v>
      </c>
      <c r="F175" s="31" t="s">
        <v>509</v>
      </c>
      <c r="G175" s="18">
        <v>31</v>
      </c>
      <c r="H175" s="119" t="s">
        <v>93</v>
      </c>
      <c r="I175" s="22">
        <v>45443</v>
      </c>
      <c r="J175" s="57">
        <v>91000</v>
      </c>
      <c r="K175" s="18" t="s">
        <v>83</v>
      </c>
      <c r="L175" s="18" t="s">
        <v>84</v>
      </c>
      <c r="M175" s="18" t="s">
        <v>75</v>
      </c>
      <c r="N175" s="19" t="s">
        <v>39</v>
      </c>
      <c r="O175" s="45">
        <v>32552</v>
      </c>
      <c r="P175" s="31" t="s">
        <v>100</v>
      </c>
      <c r="Q175" s="31" t="s">
        <v>162</v>
      </c>
      <c r="R175" s="31">
        <v>3164604610</v>
      </c>
      <c r="S175" s="31" t="s">
        <v>505</v>
      </c>
      <c r="T175" s="29" t="str">
        <f>IF(N175=CURSOS!$D$3,"DIPLOMADO EN ATENCION PRE-HOSPITALARIA",IF(N175=CURSOS!$D$4,"ACOMPAÑAMIENTO Y MANEJO DEL DUELO",IF(N175=CURSOS!$D$5,"ATENCION A VICTIMAS DE ATAQUE CON AGENTES QUIMICOS ",IF(N175=CURSOS!$D$6,"PRIMEROS AUXILIOS ",IF(N175=CURSOS!$D$7,"DIPLOMADO DE UNIDAD DE CUIDADOS INTENSIVOS (UCI)",IF(N175=CURSOS!$D$8,"MODELO DE ATENCION PARA EVENTOS EMERGENTES EN SALUD MENTAL (CODIGO VERDE)",IF(N175=CURSOS!$D$9,"HUMANIZACION EN SALUD, BUENAS PRACTICAS EN PACIENTE ",IF(N175=CURSOS!$D$10,"CLINICA DE HERIDAS ",IF(N175=CURSOS!$D$11,"TOMA DE CITOLOGIA A CERVICO VAGINAL ",IF(N175=CURSOS!$D$12,"SOPORTE CARDIOVASCULAR AVANZADO ",IF(N175=CURSOS!$D$13,"CAMILLERO ",IF(N175=CURSOS!$D$14,"TOMA MUESTRAS Y LABORATORIO ",IF(N175=CURSOS!$D$15,"SOPORTE VITAL BASICO (BLS)",IF(N175=CURSOS!$D$16,"ATENCION A VICTIMAS DE VIOLENCIA SEXUAL ",IF(N175=CURSOS!$D$17,"PROGRAMADO AMPLIADO DE INMUNIZACION (PAI - COVID 19)",IF(N175=CURSOS!$D$18,"ATENCION INTEGRAL EN ENFERMEDADES PREVALENTES EN PRIMERA INFANCIA (AIEPI)",IF(N175=CURSOS!$D$19,"ADMINISTRACION DE MEDICAMENTOS, IYECTOLOGIA  Y CANALIZACION ",IF(N175=CURSOS!$D$20,"OPERADOR DE VEHICULOS DE EMERGENCIA (OVE)",IF(N175=CURSOS!$D$21,"INSTITUCIONES AMIGAS DE LA MUJER Y LA INFANCIA (IAMI)",IF(N175=CURSOS!$D$22,"CUIDADO DEL DONANTE DE ORGANOS",IF(N175=CURSOS!$D$23,"ATENCION A VICTIMAS POR VIOLENCIA DE GENERO",IF(N175=CURSOS!$D$24,"IGUALDAD DE GENERO EN LA SALUD",IF(N175=CURSOS!$D$25,"BRIGADA DE EMERGENCIA",IF(N175=CURSOS!$D$26,"MANEJO DEL DOLOR Y CUIDADOS PALIATIVOS",IF(N175=CURSOS!$D$27,"TOMA MUESTRAS Y LABORATORIO POCT",IF(N175=CURSOS!$D$28,"IMPLANTE SUBDERMICO Y DISPOSITIVO INTRAUTERINO",IF(N175=CURSOS!$D$29,"SALUD MENTAL",IF(N175=CURSOS!$D$30,"PRIMEROS AUXILIOS PSICOLOGICOS",IF(N175=CURSOS!$D$31,"ATENCION A VICTIMAS POR CONFLICTO ARMADO",IF(N175=CURSOS!$D$32,"MANIPULACION DE ALIMENTOS Y BPM"))))))))))))))))))))))))))))))</f>
        <v xml:space="preserve">SOPORTE CARDIOVASCULAR AVANZADO </v>
      </c>
      <c r="U175" s="29" t="str">
        <f t="shared" si="27"/>
        <v>Ximena Alexandra Vivas Ibarra</v>
      </c>
      <c r="V175" s="29" t="str">
        <f t="shared" si="28"/>
        <v>Ximena Alexandra Vivas Ibarra</v>
      </c>
      <c r="W175" s="29" t="str">
        <f t="shared" si="29"/>
        <v>Ximena Alexandra Vivas Ibarra-1085912454-ACLS</v>
      </c>
    </row>
    <row r="176" spans="1:23" s="46" customFormat="1" x14ac:dyDescent="0.2">
      <c r="A176" s="31">
        <v>176</v>
      </c>
      <c r="B176" s="31">
        <v>1085912454</v>
      </c>
      <c r="C176" s="31" t="s">
        <v>503</v>
      </c>
      <c r="D176" s="31" t="s">
        <v>504</v>
      </c>
      <c r="E176" s="31" t="s">
        <v>132</v>
      </c>
      <c r="F176" s="31" t="s">
        <v>509</v>
      </c>
      <c r="G176" s="18">
        <v>31</v>
      </c>
      <c r="H176" s="119" t="s">
        <v>93</v>
      </c>
      <c r="I176" s="22">
        <v>45443</v>
      </c>
      <c r="J176" s="57">
        <v>91000</v>
      </c>
      <c r="K176" s="18" t="s">
        <v>83</v>
      </c>
      <c r="L176" s="18" t="s">
        <v>84</v>
      </c>
      <c r="M176" s="18" t="s">
        <v>75</v>
      </c>
      <c r="N176" s="19" t="s">
        <v>51</v>
      </c>
      <c r="O176" s="45">
        <v>32552</v>
      </c>
      <c r="P176" s="31" t="s">
        <v>100</v>
      </c>
      <c r="Q176" s="31" t="s">
        <v>162</v>
      </c>
      <c r="R176" s="31">
        <v>3164604610</v>
      </c>
      <c r="S176" s="31" t="s">
        <v>505</v>
      </c>
      <c r="T176" s="29" t="str">
        <f>IF(N176=CURSOS!$D$3,"DIPLOMADO EN ATENCION PRE-HOSPITALARIA",IF(N176=CURSOS!$D$4,"ACOMPAÑAMIENTO Y MANEJO DEL DUELO",IF(N176=CURSOS!$D$5,"ATENCION A VICTIMAS DE ATAQUE CON AGENTES QUIMICOS ",IF(N176=CURSOS!$D$6,"PRIMEROS AUXILIOS ",IF(N176=CURSOS!$D$7,"DIPLOMADO DE UNIDAD DE CUIDADOS INTENSIVOS (UCI)",IF(N176=CURSOS!$D$8,"MODELO DE ATENCION PARA EVENTOS EMERGENTES EN SALUD MENTAL (CODIGO VERDE)",IF(N176=CURSOS!$D$9,"HUMANIZACION EN SALUD, BUENAS PRACTICAS EN PACIENTE ",IF(N176=CURSOS!$D$10,"CLINICA DE HERIDAS ",IF(N176=CURSOS!$D$11,"TOMA DE CITOLOGIA A CERVICO VAGINAL ",IF(N176=CURSOS!$D$12,"SOPORTE CARDIOVASCULAR AVANZADO ",IF(N176=CURSOS!$D$13,"CAMILLERO ",IF(N176=CURSOS!$D$14,"TOMA MUESTRAS Y LABORATORIO ",IF(N176=CURSOS!$D$15,"SOPORTE VITAL BASICO (BLS)",IF(N176=CURSOS!$D$16,"ATENCION A VICTIMAS DE VIOLENCIA SEXUAL ",IF(N176=CURSOS!$D$17,"PROGRAMADO AMPLIADO DE INMUNIZACION (PAI - COVID 19)",IF(N176=CURSOS!$D$18,"ATENCION INTEGRAL EN ENFERMEDADES PREVALENTES EN PRIMERA INFANCIA (AIEPI)",IF(N176=CURSOS!$D$19,"ADMINISTRACION DE MEDICAMENTOS, IYECTOLOGIA  Y CANALIZACION ",IF(N176=CURSOS!$D$20,"OPERADOR DE VEHICULOS DE EMERGENCIA (OVE)",IF(N176=CURSOS!$D$21,"INSTITUCIONES AMIGAS DE LA MUJER Y LA INFANCIA (IAMI)",IF(N176=CURSOS!$D$22,"CUIDADO DEL DONANTE DE ORGANOS",IF(N176=CURSOS!$D$23,"ATENCION A VICTIMAS POR VIOLENCIA DE GENERO",IF(N176=CURSOS!$D$24,"IGUALDAD DE GENERO EN LA SALUD",IF(N176=CURSOS!$D$25,"BRIGADA DE EMERGENCIA",IF(N176=CURSOS!$D$26,"MANEJO DEL DOLOR Y CUIDADOS PALIATIVOS",IF(N176=CURSOS!$D$27,"TOMA MUESTRAS Y LABORATORIO POCT",IF(N176=CURSOS!$D$28,"IMPLANTE SUBDERMICO Y DISPOSITIVO INTRAUTERINO",IF(N176=CURSOS!$D$29,"SALUD MENTAL",IF(N176=CURSOS!$D$30,"PRIMEROS AUXILIOS PSICOLOGICOS",IF(N176=CURSOS!$D$31,"ATENCION A VICTIMAS POR CONFLICTO ARMADO",IF(N176=CURSOS!$D$32,"MANIPULACION DE ALIMENTOS Y BPM"))))))))))))))))))))))))))))))</f>
        <v xml:space="preserve">ADMINISTRACION DE MEDICAMENTOS, IYECTOLOGIA  Y CANALIZACION </v>
      </c>
      <c r="U176" s="29" t="str">
        <f t="shared" si="27"/>
        <v>Ximena Alexandra Vivas Ibarra</v>
      </c>
      <c r="V176" s="29" t="str">
        <f t="shared" si="28"/>
        <v>Ximena Alexandra Vivas Ibarra</v>
      </c>
      <c r="W176" s="29" t="str">
        <f t="shared" si="29"/>
        <v>Ximena Alexandra Vivas Ibarra-1085912454-ADMON DE MEDICAMENTOS</v>
      </c>
    </row>
    <row r="177" spans="1:23" s="46" customFormat="1" x14ac:dyDescent="0.2">
      <c r="A177" s="31">
        <v>177</v>
      </c>
      <c r="B177" s="31">
        <v>1004731424</v>
      </c>
      <c r="C177" s="31" t="s">
        <v>278</v>
      </c>
      <c r="D177" s="31" t="s">
        <v>506</v>
      </c>
      <c r="E177" s="31" t="s">
        <v>507</v>
      </c>
      <c r="F177" s="31" t="s">
        <v>296</v>
      </c>
      <c r="G177" s="18">
        <v>31</v>
      </c>
      <c r="H177" s="119" t="s">
        <v>93</v>
      </c>
      <c r="I177" s="22"/>
      <c r="J177" s="57"/>
      <c r="K177" s="18"/>
      <c r="L177" s="18" t="s">
        <v>84</v>
      </c>
      <c r="M177" s="18" t="s">
        <v>75</v>
      </c>
      <c r="N177" s="19" t="s">
        <v>19</v>
      </c>
      <c r="O177" s="45">
        <v>37172</v>
      </c>
      <c r="P177" s="31" t="s">
        <v>100</v>
      </c>
      <c r="Q177" s="123" t="s">
        <v>106</v>
      </c>
      <c r="R177" s="31">
        <v>3187409637</v>
      </c>
      <c r="S177" s="31" t="s">
        <v>508</v>
      </c>
      <c r="T177" s="29" t="str">
        <f>IF(N177=CURSOS!$D$3,"DIPLOMADO EN ATENCION PRE-HOSPITALARIA",IF(N177=CURSOS!$D$4,"ACOMPAÑAMIENTO Y MANEJO DEL DUELO",IF(N177=CURSOS!$D$5,"ATENCION A VICTIMAS DE ATAQUE CON AGENTES QUIMICOS ",IF(N177=CURSOS!$D$6,"PRIMEROS AUXILIOS ",IF(N177=CURSOS!$D$7,"DIPLOMADO DE UNIDAD DE CUIDADOS INTENSIVOS (UCI)",IF(N177=CURSOS!$D$8,"MODELO DE ATENCION PARA EVENTOS EMERGENTES EN SALUD MENTAL (CODIGO VERDE)",IF(N177=CURSOS!$D$9,"HUMANIZACION EN SALUD, BUENAS PRACTICAS EN PACIENTE ",IF(N177=CURSOS!$D$10,"CLINICA DE HERIDAS ",IF(N177=CURSOS!$D$11,"TOMA DE CITOLOGIA A CERVICO VAGINAL ",IF(N177=CURSOS!$D$12,"SOPORTE CARDIOVASCULAR AVANZADO ",IF(N177=CURSOS!$D$13,"CAMILLERO ",IF(N177=CURSOS!$D$14,"TOMA MUESTRAS Y LABORATORIO ",IF(N177=CURSOS!$D$15,"SOPORTE VITAL BASICO (BLS)",IF(N177=CURSOS!$D$16,"ATENCION A VICTIMAS DE VIOLENCIA SEXUAL ",IF(N177=CURSOS!$D$17,"PROGRAMADO AMPLIADO DE INMUNIZACION (PAI - COVID 19)",IF(N177=CURSOS!$D$18,"ATENCION INTEGRAL EN ENFERMEDADES PREVALENTES EN PRIMERA INFANCIA (AIEPI)",IF(N177=CURSOS!$D$19,"ADMINISTRACION DE MEDICAMENTOS, IYECTOLOGIA  Y CANALIZACION ",IF(N177=CURSOS!$D$20,"OPERADOR DE VEHICULOS DE EMERGENCIA (OVE)",IF(N177=CURSOS!$D$21,"INSTITUCIONES AMIGAS DE LA MUJER Y LA INFANCIA (IAMI)",IF(N177=CURSOS!$D$22,"CUIDADO DEL DONANTE DE ORGANOS",IF(N177=CURSOS!$D$23,"ATENCION A VICTIMAS POR VIOLENCIA DE GENERO",IF(N177=CURSOS!$D$24,"IGUALDAD DE GENERO EN LA SALUD",IF(N177=CURSOS!$D$25,"BRIGADA DE EMERGENCIA",IF(N177=CURSOS!$D$26,"MANEJO DEL DOLOR Y CUIDADOS PALIATIVOS",IF(N177=CURSOS!$D$27,"TOMA MUESTRAS Y LABORATORIO POCT",IF(N177=CURSOS!$D$28,"IMPLANTE SUBDERMICO Y DISPOSITIVO INTRAUTERINO",IF(N177=CURSOS!$D$29,"SALUD MENTAL",IF(N177=CURSOS!$D$30,"PRIMEROS AUXILIOS PSICOLOGICOS",IF(N177=CURSOS!$D$31,"ATENCION A VICTIMAS POR CONFLICTO ARMADO",IF(N177=CURSOS!$D$32,"MANIPULACION DE ALIMENTOS Y BPM"))))))))))))))))))))))))))))))</f>
        <v>SOPORTE VITAL BASICO (BLS)</v>
      </c>
      <c r="U177" s="29" t="str">
        <f t="shared" si="27"/>
        <v>Juliana Andrea Muñoz Ñañez</v>
      </c>
      <c r="V177" s="29" t="str">
        <f t="shared" si="28"/>
        <v>Juliana Andrea Muñoz Ñañez</v>
      </c>
      <c r="W177" s="29" t="str">
        <f t="shared" si="29"/>
        <v>Juliana Andrea Muñoz Ñañez-1004731424-BLS</v>
      </c>
    </row>
    <row r="178" spans="1:23" s="46" customFormat="1" x14ac:dyDescent="0.2">
      <c r="A178" s="31">
        <v>178</v>
      </c>
      <c r="B178" s="31">
        <v>1004731424</v>
      </c>
      <c r="C178" s="31" t="s">
        <v>278</v>
      </c>
      <c r="D178" s="31" t="s">
        <v>506</v>
      </c>
      <c r="E178" s="31" t="s">
        <v>507</v>
      </c>
      <c r="F178" s="31" t="s">
        <v>296</v>
      </c>
      <c r="G178" s="18">
        <v>31</v>
      </c>
      <c r="H178" s="119" t="s">
        <v>93</v>
      </c>
      <c r="I178" s="22"/>
      <c r="J178" s="57"/>
      <c r="K178" s="18"/>
      <c r="L178" s="18" t="s">
        <v>84</v>
      </c>
      <c r="M178" s="18" t="s">
        <v>75</v>
      </c>
      <c r="N178" s="19" t="s">
        <v>46</v>
      </c>
      <c r="O178" s="45">
        <v>37172</v>
      </c>
      <c r="P178" s="31" t="s">
        <v>100</v>
      </c>
      <c r="Q178" s="31" t="s">
        <v>106</v>
      </c>
      <c r="R178" s="31">
        <v>3187409637</v>
      </c>
      <c r="S178" s="31" t="s">
        <v>508</v>
      </c>
      <c r="T178" s="29" t="str">
        <f>IF(N178=CURSOS!$D$3,"DIPLOMADO EN ATENCION PRE-HOSPITALARIA",IF(N178=CURSOS!$D$4,"ACOMPAÑAMIENTO Y MANEJO DEL DUELO",IF(N178=CURSOS!$D$5,"ATENCION A VICTIMAS DE ATAQUE CON AGENTES QUIMICOS ",IF(N178=CURSOS!$D$6,"PRIMEROS AUXILIOS ",IF(N178=CURSOS!$D$7,"DIPLOMADO DE UNIDAD DE CUIDADOS INTENSIVOS (UCI)",IF(N178=CURSOS!$D$8,"MODELO DE ATENCION PARA EVENTOS EMERGENTES EN SALUD MENTAL (CODIGO VERDE)",IF(N178=CURSOS!$D$9,"HUMANIZACION EN SALUD, BUENAS PRACTICAS EN PACIENTE ",IF(N178=CURSOS!$D$10,"CLINICA DE HERIDAS ",IF(N178=CURSOS!$D$11,"TOMA DE CITOLOGIA A CERVICO VAGINAL ",IF(N178=CURSOS!$D$12,"SOPORTE CARDIOVASCULAR AVANZADO ",IF(N178=CURSOS!$D$13,"CAMILLERO ",IF(N178=CURSOS!$D$14,"TOMA MUESTRAS Y LABORATORIO ",IF(N178=CURSOS!$D$15,"SOPORTE VITAL BASICO (BLS)",IF(N178=CURSOS!$D$16,"ATENCION A VICTIMAS DE VIOLENCIA SEXUAL ",IF(N178=CURSOS!$D$17,"PROGRAMADO AMPLIADO DE INMUNIZACION (PAI - COVID 19)",IF(N178=CURSOS!$D$18,"ATENCION INTEGRAL EN ENFERMEDADES PREVALENTES EN PRIMERA INFANCIA (AIEPI)",IF(N178=CURSOS!$D$19,"ADMINISTRACION DE MEDICAMENTOS, IYECTOLOGIA  Y CANALIZACION ",IF(N178=CURSOS!$D$20,"OPERADOR DE VEHICULOS DE EMERGENCIA (OVE)",IF(N178=CURSOS!$D$21,"INSTITUCIONES AMIGAS DE LA MUJER Y LA INFANCIA (IAMI)",IF(N178=CURSOS!$D$22,"CUIDADO DEL DONANTE DE ORGANOS",IF(N178=CURSOS!$D$23,"ATENCION A VICTIMAS POR VIOLENCIA DE GENERO",IF(N178=CURSOS!$D$24,"IGUALDAD DE GENERO EN LA SALUD",IF(N178=CURSOS!$D$25,"BRIGADA DE EMERGENCIA",IF(N178=CURSOS!$D$26,"MANEJO DEL DOLOR Y CUIDADOS PALIATIVOS",IF(N178=CURSOS!$D$27,"TOMA MUESTRAS Y LABORATORIO POCT",IF(N178=CURSOS!$D$28,"IMPLANTE SUBDERMICO Y DISPOSITIVO INTRAUTERINO",IF(N178=CURSOS!$D$29,"SALUD MENTAL",IF(N178=CURSOS!$D$30,"PRIMEROS AUXILIOS PSICOLOGICOS",IF(N178=CURSOS!$D$31,"ATENCION A VICTIMAS POR CONFLICTO ARMADO",IF(N178=CURSOS!$D$32,"MANIPULACION DE ALIMENTOS Y BPM"))))))))))))))))))))))))))))))</f>
        <v xml:space="preserve">ATENCION A VICTIMAS DE VIOLENCIA SEXUAL </v>
      </c>
      <c r="U178" s="29" t="str">
        <f t="shared" si="27"/>
        <v>Juliana Andrea Muñoz Ñañez</v>
      </c>
      <c r="V178" s="29" t="str">
        <f t="shared" si="28"/>
        <v>Juliana Andrea Muñoz Ñañez</v>
      </c>
      <c r="W178" s="29" t="str">
        <f t="shared" si="29"/>
        <v>Juliana Andrea Muñoz Ñañez-1004731424-VIOLENCIA SEXUAL</v>
      </c>
    </row>
    <row r="179" spans="1:23" x14ac:dyDescent="0.2">
      <c r="A179" s="52">
        <v>179</v>
      </c>
      <c r="H179" s="98" t="s">
        <v>93</v>
      </c>
      <c r="T179" s="142" t="b">
        <f>IF(N179=CURSOS!$D$3,"DIPLOMADO EN ATENCION PRE-HOSPITALARIA",IF(N179=CURSOS!$D$4,"ACOMPAÑAMIENTO Y MANEJO DEL DUELO",IF(N179=CURSOS!$D$5,"ATENCION A VICTIMAS DE ATAQUE CON AGENTES QUIMICOS ",IF(N179=CURSOS!$D$6,"PRIMEROS AUXILIOS ",IF(N179=CURSOS!$D$7,"DIPLOMADO DE UNIDAD DE CUIDADOS INTENSIVOS (UCI)",IF(N179=CURSOS!$D$8,"MODELO DE ATENCION PARA EVENTOS EMERGENTES EN SALUD MENTAL (CODIGO VERDE)",IF(N179=CURSOS!$D$9,"HUMANIZACION EN SALUD, BUENAS PRACTICAS EN PACIENTE ",IF(N179=CURSOS!$D$10,"CLINICA DE HERIDAS ",IF(N179=CURSOS!$D$11,"TOMA DE CITOLOGIA A CERVICO VAGINAL ",IF(N179=CURSOS!$D$12,"SOPORTE CARDIOVASCULAR AVANZADO ",IF(N179=CURSOS!$D$13,"CAMILLERO ",IF(N179=CURSOS!$D$14,"TOMA MUESTRAS Y LABORATORIO ",IF(N179=CURSOS!$D$15,"SOPORTE VITAL BASICO (BLS)",IF(N179=CURSOS!$D$16,"ATENCION A VICTIMAS DE VIOLENCIA SEXUAL ",IF(N179=CURSOS!$D$17,"PROGRAMADO AMPLIADO DE INMUNIZACION (PAI - COVID 19)",IF(N179=CURSOS!$D$18,"ATENCION INTEGRAL EN ENFERMEDADES PREVALENTES EN PRIMERA INFANCIA (AIEPI)",IF(N179=CURSOS!$D$19,"ADMINISTRACION DE MEDICAMENTOS, IYECTOLOGIA  Y CANALIZACION ",IF(N179=CURSOS!$D$20,"OPERADOR DE VEHICULOS DE EMERGENCIA (OVE)",IF(N179=CURSOS!$D$21,"INSTITUCIONES AMIGAS DE LA MUJER Y LA INFANCIA (IAMI)",IF(N179=CURSOS!$D$22,"CUIDADO DEL DONANTE DE ORGANOS",IF(N179=CURSOS!$D$23,"ATENCION A VICTIMAS POR VIOLENCIA DE GENERO",IF(N179=CURSOS!$D$24,"IGUALDAD DE GENERO EN LA SALUD",IF(N179=CURSOS!$D$25,"BRIGADA DE EMERGENCIA",IF(N179=CURSOS!$D$26,"MANEJO DEL DOLOR Y CUIDADOS PALIATIVOS",IF(N179=CURSOS!$D$27,"TOMA MUESTRAS Y LABORATORIO POCT",IF(N179=CURSOS!$D$28,"IMPLANTE SUBDERMICO Y DISPOSITIVO INTRAUTERINO",IF(N179=CURSOS!$D$29,"SALUD MENTAL",IF(N179=CURSOS!$D$30,"PRIMEROS AUXILIOS PSICOLOGICOS",IF(N179=CURSOS!$D$31,"ATENCION A VICTIMAS POR CONFLICTO ARMADO",IF(N179=CURSOS!$D$32,"MANIPULACION DE ALIMENTOS Y BPM"))))))))))))))))))))))))))))))</f>
        <v>0</v>
      </c>
      <c r="U179" s="142" t="str">
        <f t="shared" si="27"/>
        <v xml:space="preserve">   </v>
      </c>
      <c r="V179" s="142" t="str">
        <f t="shared" si="28"/>
        <v xml:space="preserve">   </v>
      </c>
      <c r="W179" s="142" t="str">
        <f t="shared" si="29"/>
        <v xml:space="preserve">   --</v>
      </c>
    </row>
    <row r="180" spans="1:23" x14ac:dyDescent="0.2">
      <c r="A180" s="52">
        <v>180</v>
      </c>
      <c r="H180" s="98" t="s">
        <v>93</v>
      </c>
      <c r="T180" s="29" t="b">
        <f>IF(N180=CURSOS!$D$3,"DIPLOMADO EN ATENCION PRE-HOSPITALARIA",IF(N180=CURSOS!$D$4,"ACOMPAÑAMIENTO Y MANEJO DEL DUELO",IF(N180=CURSOS!$D$5,"ATENCION A VICTIMAS DE ATAQUE CON AGENTES QUIMICOS ",IF(N180=CURSOS!$D$6,"PRIMEROS AUXILIOS ",IF(N180=CURSOS!$D$7,"DIPLOMADO DE UNIDAD DE CUIDADOS INTENSIVOS (UCI)",IF(N180=CURSOS!$D$8,"MODELO DE ATENCION PARA EVENTOS EMERGENTES EN SALUD MENTAL (CODIGO VERDE)",IF(N180=CURSOS!$D$9,"HUMANIZACION EN SALUD, BUENAS PRACTICAS EN PACIENTE ",IF(N180=CURSOS!$D$10,"CLINICA DE HERIDAS ",IF(N180=CURSOS!$D$11,"TOMA DE CITOLOGIA A CERVICO VAGINAL ",IF(N180=CURSOS!$D$12,"SOPORTE CARDIOVASCULAR AVANZADO ",IF(N180=CURSOS!$D$13,"CAMILLERO ",IF(N180=CURSOS!$D$14,"TOMA MUESTRAS Y LABORATORIO ",IF(N180=CURSOS!$D$15,"SOPORTE VITAL BASICO (BLS)",IF(N180=CURSOS!$D$16,"ATENCION A VICTIMAS DE VIOLENCIA SEXUAL ",IF(N180=CURSOS!$D$17,"PROGRAMADO AMPLIADO DE INMUNIZACION (PAI - COVID 19)",IF(N180=CURSOS!$D$18,"ATENCION INTEGRAL EN ENFERMEDADES PREVALENTES EN PRIMERA INFANCIA (AIEPI)",IF(N180=CURSOS!$D$19,"ADMINISTRACION DE MEDICAMENTOS, IYECTOLOGIA  Y CANALIZACION ",IF(N180=CURSOS!$D$20,"OPERADOR DE VEHICULOS DE EMERGENCIA (OVE)",IF(N180=CURSOS!$D$21,"INSTITUCIONES AMIGAS DE LA MUJER Y LA INFANCIA (IAMI)",IF(N180=CURSOS!$D$22,"CUIDADO DEL DONANTE DE ORGANOS",IF(N180=CURSOS!$D$23,"ATENCION A VICTIMAS POR VIOLENCIA DE GENERO",IF(N180=CURSOS!$D$24,"IGUALDAD DE GENERO EN LA SALUD",IF(N180=CURSOS!$D$25,"BRIGADA DE EMERGENCIA",IF(N180=CURSOS!$D$26,"MANEJO DEL DOLOR Y CUIDADOS PALIATIVOS",IF(N180=CURSOS!$D$27,"TOMA MUESTRAS Y LABORATORIO POCT",IF(N180=CURSOS!$D$28,"IMPLANTE SUBDERMICO Y DISPOSITIVO INTRAUTERINO",IF(N180=CURSOS!$D$29,"SALUD MENTAL",IF(N180=CURSOS!$D$30,"PRIMEROS AUXILIOS PSICOLOGICOS",IF(N180=CURSOS!$D$31,"ATENCION A VICTIMAS POR CONFLICTO ARMADO",IF(N180=CURSOS!$D$32,"MANIPULACION DE ALIMENTOS Y BPM"))))))))))))))))))))))))))))))</f>
        <v>0</v>
      </c>
      <c r="U180" s="29" t="str">
        <f t="shared" si="27"/>
        <v xml:space="preserve">   </v>
      </c>
      <c r="V180" s="29" t="str">
        <f t="shared" si="28"/>
        <v xml:space="preserve">   </v>
      </c>
      <c r="W180" s="29" t="str">
        <f t="shared" si="29"/>
        <v xml:space="preserve">   --</v>
      </c>
    </row>
    <row r="181" spans="1:23" x14ac:dyDescent="0.2">
      <c r="A181" s="52">
        <v>181</v>
      </c>
      <c r="H181" s="98" t="s">
        <v>93</v>
      </c>
      <c r="T181" s="29" t="b">
        <f>IF(N181=CURSOS!$D$3,"DIPLOMADO EN ATENCION PRE-HOSPITALARIA",IF(N181=CURSOS!$D$4,"ACOMPAÑAMIENTO Y MANEJO DEL DUELO",IF(N181=CURSOS!$D$5,"ATENCION A VICTIMAS DE ATAQUE CON AGENTES QUIMICOS ",IF(N181=CURSOS!$D$6,"PRIMEROS AUXILIOS ",IF(N181=CURSOS!$D$7,"DIPLOMADO DE UNIDAD DE CUIDADOS INTENSIVOS (UCI)",IF(N181=CURSOS!$D$8,"MODELO DE ATENCION PARA EVENTOS EMERGENTES EN SALUD MENTAL (CODIGO VERDE)",IF(N181=CURSOS!$D$9,"HUMANIZACION EN SALUD, BUENAS PRACTICAS EN PACIENTE ",IF(N181=CURSOS!$D$10,"CLINICA DE HERIDAS ",IF(N181=CURSOS!$D$11,"TOMA DE CITOLOGIA A CERVICO VAGINAL ",IF(N181=CURSOS!$D$12,"SOPORTE CARDIOVASCULAR AVANZADO ",IF(N181=CURSOS!$D$13,"CAMILLERO ",IF(N181=CURSOS!$D$14,"TOMA MUESTRAS Y LABORATORIO ",IF(N181=CURSOS!$D$15,"SOPORTE VITAL BASICO (BLS)",IF(N181=CURSOS!$D$16,"ATENCION A VICTIMAS DE VIOLENCIA SEXUAL ",IF(N181=CURSOS!$D$17,"PROGRAMADO AMPLIADO DE INMUNIZACION (PAI - COVID 19)",IF(N181=CURSOS!$D$18,"ATENCION INTEGRAL EN ENFERMEDADES PREVALENTES EN PRIMERA INFANCIA (AIEPI)",IF(N181=CURSOS!$D$19,"ADMINISTRACION DE MEDICAMENTOS, IYECTOLOGIA  Y CANALIZACION ",IF(N181=CURSOS!$D$20,"OPERADOR DE VEHICULOS DE EMERGENCIA (OVE)",IF(N181=CURSOS!$D$21,"INSTITUCIONES AMIGAS DE LA MUJER Y LA INFANCIA (IAMI)",IF(N181=CURSOS!$D$22,"CUIDADO DEL DONANTE DE ORGANOS",IF(N181=CURSOS!$D$23,"ATENCION A VICTIMAS POR VIOLENCIA DE GENERO",IF(N181=CURSOS!$D$24,"IGUALDAD DE GENERO EN LA SALUD",IF(N181=CURSOS!$D$25,"BRIGADA DE EMERGENCIA",IF(N181=CURSOS!$D$26,"MANEJO DEL DOLOR Y CUIDADOS PALIATIVOS",IF(N181=CURSOS!$D$27,"TOMA MUESTRAS Y LABORATORIO POCT",IF(N181=CURSOS!$D$28,"IMPLANTE SUBDERMICO Y DISPOSITIVO INTRAUTERINO",IF(N181=CURSOS!$D$29,"SALUD MENTAL",IF(N181=CURSOS!$D$30,"PRIMEROS AUXILIOS PSICOLOGICOS",IF(N181=CURSOS!$D$31,"ATENCION A VICTIMAS POR CONFLICTO ARMADO",IF(N181=CURSOS!$D$32,"MANIPULACION DE ALIMENTOS Y BPM"))))))))))))))))))))))))))))))</f>
        <v>0</v>
      </c>
      <c r="U181" s="29" t="str">
        <f t="shared" si="27"/>
        <v xml:space="preserve">   </v>
      </c>
      <c r="V181" s="29" t="str">
        <f t="shared" si="28"/>
        <v xml:space="preserve">   </v>
      </c>
      <c r="W181" s="29" t="str">
        <f t="shared" si="29"/>
        <v xml:space="preserve">   --</v>
      </c>
    </row>
    <row r="182" spans="1:23" x14ac:dyDescent="0.2">
      <c r="A182" s="52">
        <v>182</v>
      </c>
    </row>
    <row r="183" spans="1:23" x14ac:dyDescent="0.2">
      <c r="A183" s="52">
        <v>183</v>
      </c>
    </row>
    <row r="184" spans="1:23" x14ac:dyDescent="0.2">
      <c r="A184" s="52">
        <v>184</v>
      </c>
      <c r="B184" s="97"/>
      <c r="C184" s="97"/>
      <c r="D184" s="97"/>
      <c r="E184" s="97"/>
      <c r="F184" s="97"/>
    </row>
    <row r="185" spans="1:23" x14ac:dyDescent="0.2">
      <c r="A185" s="52">
        <v>185</v>
      </c>
      <c r="B185" s="97"/>
      <c r="C185" s="97"/>
      <c r="D185" s="97"/>
      <c r="E185" s="97"/>
      <c r="F185" s="97"/>
    </row>
    <row r="186" spans="1:23" x14ac:dyDescent="0.2">
      <c r="A186" s="52">
        <v>186</v>
      </c>
    </row>
    <row r="187" spans="1:23" x14ac:dyDescent="0.2">
      <c r="A187" s="52">
        <v>187</v>
      </c>
    </row>
    <row r="188" spans="1:23" x14ac:dyDescent="0.2">
      <c r="A188" s="52">
        <v>188</v>
      </c>
    </row>
    <row r="189" spans="1:23" x14ac:dyDescent="0.2">
      <c r="A189" s="52">
        <v>189</v>
      </c>
    </row>
    <row r="190" spans="1:23" x14ac:dyDescent="0.2">
      <c r="A190" s="52">
        <v>190</v>
      </c>
    </row>
    <row r="191" spans="1:23" x14ac:dyDescent="0.2">
      <c r="A191" s="52">
        <v>191</v>
      </c>
    </row>
    <row r="192" spans="1:23" x14ac:dyDescent="0.2">
      <c r="A192" s="52">
        <v>192</v>
      </c>
    </row>
    <row r="193" spans="1:23" x14ac:dyDescent="0.2">
      <c r="A193" s="52">
        <v>193</v>
      </c>
    </row>
    <row r="194" spans="1:23" x14ac:dyDescent="0.2">
      <c r="A194" s="52">
        <v>194</v>
      </c>
    </row>
    <row r="195" spans="1:23" x14ac:dyDescent="0.2">
      <c r="A195" s="52">
        <v>195</v>
      </c>
    </row>
    <row r="196" spans="1:23" x14ac:dyDescent="0.2">
      <c r="A196" s="52">
        <v>196</v>
      </c>
    </row>
    <row r="197" spans="1:23" s="105" customFormat="1" x14ac:dyDescent="0.2">
      <c r="A197" s="52">
        <v>197</v>
      </c>
      <c r="B197" s="99"/>
      <c r="C197" s="99"/>
      <c r="D197" s="99"/>
      <c r="E197" s="99"/>
      <c r="F197" s="99"/>
      <c r="G197" s="100"/>
      <c r="H197" s="100"/>
      <c r="I197" s="101"/>
      <c r="J197" s="102"/>
      <c r="K197" s="100"/>
      <c r="L197" s="100"/>
      <c r="M197" s="100"/>
      <c r="N197" s="103"/>
      <c r="O197" s="104"/>
      <c r="P197" s="99"/>
      <c r="Q197" s="99"/>
      <c r="R197" s="99"/>
      <c r="S197" s="99"/>
      <c r="T197" s="30"/>
      <c r="U197" s="30"/>
      <c r="V197" s="30"/>
      <c r="W197" s="30"/>
    </row>
    <row r="198" spans="1:23" s="105" customFormat="1" x14ac:dyDescent="0.2">
      <c r="A198" s="52">
        <v>198</v>
      </c>
      <c r="B198" s="99"/>
      <c r="C198" s="99"/>
      <c r="D198" s="99"/>
      <c r="E198" s="99"/>
      <c r="F198" s="99"/>
      <c r="G198" s="100"/>
      <c r="H198" s="20"/>
      <c r="I198" s="101"/>
      <c r="J198" s="102"/>
      <c r="K198" s="100"/>
      <c r="L198" s="20"/>
      <c r="M198" s="100"/>
      <c r="N198" s="103"/>
      <c r="O198" s="99"/>
      <c r="P198" s="99"/>
      <c r="Q198" s="99"/>
      <c r="R198" s="99"/>
      <c r="S198" s="99"/>
      <c r="T198" s="30" t="b">
        <f>IF(N198=CURSOS!$D$3,"DIPLOMADO EN ATENCION PRE-HOSPITALARIA",IF(N198=CURSOS!$D$4,"ACOMPAÑAMIENTO Y MANEJO DEL DUELO",IF(N198=CURSOS!$D$5,"ATENCION A VICTIMAS DE ATAQUE CON AGENTES QUIMICOS ",IF(N198=CURSOS!$D$6,"PRIMEROS AUXILIOS ",IF(N198=CURSOS!$D$7,"DIPLOMADO DE UNIDAD DE CUIDADOS INTENSIVOS (UCI)",IF(N198=CURSOS!$D$8,"MODELO DE ATENCION PARA EVENTOS EMERGENTES EN SALUD MENTAL (CODIGO VERDE)",IF(N198=CURSOS!$D$9,"HUMANIZACION EN SALUD, BUENAS PRACTICAS EN PACIENTE ",IF(N198=CURSOS!$D$10,"CLINICA DE HERIDAS ",IF(N198=CURSOS!$D$11,"TOMA DE CITOLOGIA A CERVICO VAGINAL ",IF(N198=CURSOS!$D$12,"SOPORTE CARDIOVASCULAR AVANZADO ",IF(N198=CURSOS!$D$13,"CAMILLERO ",IF(N198=CURSOS!$D$14,"TOMA MUESTRAS Y LABORATORIO ",IF(N198=CURSOS!$D$15,"SOPORTE VITAL BASICO (BLS)",IF(N198=CURSOS!$D$16,"ATENCION A VICTIMAS DE VIOLENCIA SEXUAL ",IF(N198=CURSOS!$D$17,"PROGRAMADO AMPLIADO DE INMUNIZACION (PAI - COVID 19)",IF(N198=CURSOS!$D$18,"ATENCION INTEGRAL EN ENFERMEDADES PREVALENTES EN PRIMERA INFANCIA (AIEPI)",IF(N198=CURSOS!$D$19,"ADMINISTRACION DE MEDICAMENTOS, IYECTOLOGIA  Y CANALIZACION ",IF(N198=CURSOS!$D$20,"OPERADOR DE VEHICULOS DE EMERGENCIA (OVE)",IF(N198=CURSOS!$D$21,"INSTITUCIONES AMIGAS DE LA MUJER Y LA INFANCIA (IAMI)",IF(N198=CURSOS!$D$22,"CUIDADO DEL DONANTE DE ORGANOS",IF(N198=CURSOS!$D$23,"ATENCION A VICTIMAS POR VIOLENCIA DE GENERO",IF(N198=CURSOS!$D$24,"IGUALDAD DE GENERO EN LA SALUD",IF(N198=CURSOS!$D$25,"BRIGADA DE EMERGENCIA",IF(N198=CURSOS!$D$26,"MANEJO DEL DOLOR Y CUIDADOS PALIATIVOS",IF(N198=CURSOS!$D$27,"TOMA MUESTRAS Y LABORATORIO POCT",IF(N198=CURSOS!$D$28,"IMPLANTE SUBDERMICO Y DISPOSITIVO INTRAUTERINO",IF(N198=CURSOS!$D$29,"SALUD MENTAL",IF(N198=CURSOS!$D$30,"PRIMEROS AUXILIOS PSICOLOGICOS",IF(N198=CURSOS!$D$31,"ATENCION A VICTIMAS POR CONFLICTO ARMADO",IF(N198=CURSOS!$D$32,"MANIPULACION DE ALIMENTOS Y BPM"))))))))))))))))))))))))))))))</f>
        <v>0</v>
      </c>
      <c r="U198" s="30" t="str">
        <f t="shared" ref="U198:U213" si="30">CONCATENATE(E198," ",F198," ",C198," ",D198)</f>
        <v xml:space="preserve">   </v>
      </c>
      <c r="V198" s="30" t="str">
        <f t="shared" ref="V198:V213" si="31">+PROPER(U198)</f>
        <v xml:space="preserve">   </v>
      </c>
      <c r="W198" s="30" t="str">
        <f t="shared" ref="W198:W213" si="32">CONCATENATE(U198,"-",B198,"-",N198)</f>
        <v xml:space="preserve">   --</v>
      </c>
    </row>
    <row r="199" spans="1:23" x14ac:dyDescent="0.2">
      <c r="A199" s="52">
        <v>199</v>
      </c>
      <c r="B199" s="99"/>
      <c r="C199" s="99"/>
      <c r="D199" s="99"/>
      <c r="E199" s="99"/>
      <c r="I199" s="101"/>
      <c r="T199" s="30" t="b">
        <f>IF(N199=CURSOS!$D$3,"DIPLOMADO EN ATENCION PRE-HOSPITALARIA",IF(N199=CURSOS!$D$4,"ACOMPAÑAMIENTO Y MANEJO DEL DUELO",IF(N199=CURSOS!$D$5,"ATENCION A VICTIMAS DE ATAQUE CON AGENTES QUIMICOS ",IF(N199=CURSOS!$D$6,"PRIMEROS AUXILIOS ",IF(N199=CURSOS!$D$7,"DIPLOMADO DE UNIDAD DE CUIDADOS INTENSIVOS (UCI)",IF(N199=CURSOS!$D$8,"MODELO DE ATENCION PARA EVENTOS EMERGENTES EN SALUD MENTAL (CODIGO VERDE)",IF(N199=CURSOS!$D$9,"HUMANIZACION EN SALUD, BUENAS PRACTICAS EN PACIENTE ",IF(N199=CURSOS!$D$10,"CLINICA DE HERIDAS ",IF(N199=CURSOS!$D$11,"TOMA DE CITOLOGIA A CERVICO VAGINAL ",IF(N199=CURSOS!$D$12,"SOPORTE CARDIOVASCULAR AVANZADO ",IF(N199=CURSOS!$D$13,"CAMILLERO ",IF(N199=CURSOS!$D$14,"TOMA MUESTRAS Y LABORATORIO ",IF(N199=CURSOS!$D$15,"SOPORTE VITAL BASICO (BLS)",IF(N199=CURSOS!$D$16,"ATENCION A VICTIMAS DE VIOLENCIA SEXUAL ",IF(N199=CURSOS!$D$17,"PROGRAMADO AMPLIADO DE INMUNIZACION (PAI - COVID 19)",IF(N199=CURSOS!$D$18,"ATENCION INTEGRAL EN ENFERMEDADES PREVALENTES EN PRIMERA INFANCIA (AIEPI)",IF(N199=CURSOS!$D$19,"ADMINISTRACION DE MEDICAMENTOS, IYECTOLOGIA  Y CANALIZACION ",IF(N199=CURSOS!$D$20,"OPERADOR DE VEHICULOS DE EMERGENCIA (OVE)",IF(N199=CURSOS!$D$21,"INSTITUCIONES AMIGAS DE LA MUJER Y LA INFANCIA (IAMI)",IF(N199=CURSOS!$D$22,"CUIDADO DEL DONANTE DE ORGANOS",IF(N199=CURSOS!$D$23,"ATENCION A VICTIMAS POR VIOLENCIA DE GENERO",IF(N199=CURSOS!$D$24,"IGUALDAD DE GENERO EN LA SALUD",IF(N199=CURSOS!$D$25,"BRIGADA DE EMERGENCIA",IF(N199=CURSOS!$D$26,"MANEJO DEL DOLOR Y CUIDADOS PALIATIVOS",IF(N199=CURSOS!$D$27,"TOMA MUESTRAS Y LABORATORIO POCT",IF(N199=CURSOS!$D$28,"IMPLANTE SUBDERMICO Y DISPOSITIVO INTRAUTERINO",IF(N199=CURSOS!$D$29,"SALUD MENTAL",IF(N199=CURSOS!$D$30,"PRIMEROS AUXILIOS PSICOLOGICOS",IF(N199=CURSOS!$D$31,"ATENCION A VICTIMAS POR CONFLICTO ARMADO",IF(N199=CURSOS!$D$32,"MANIPULACION DE ALIMENTOS Y BPM"))))))))))))))))))))))))))))))</f>
        <v>0</v>
      </c>
      <c r="U199" s="30" t="str">
        <f t="shared" si="30"/>
        <v xml:space="preserve">   </v>
      </c>
      <c r="V199" s="30" t="str">
        <f t="shared" si="31"/>
        <v xml:space="preserve">   </v>
      </c>
      <c r="W199" s="30" t="str">
        <f t="shared" si="32"/>
        <v xml:space="preserve">   --</v>
      </c>
    </row>
    <row r="200" spans="1:23" x14ac:dyDescent="0.2">
      <c r="A200" s="52">
        <v>200</v>
      </c>
      <c r="B200" s="99"/>
      <c r="C200" s="99"/>
      <c r="D200" s="99"/>
      <c r="E200" s="99"/>
      <c r="I200" s="101"/>
      <c r="T200" s="30" t="b">
        <f>IF(N200=CURSOS!$D$3,"DIPLOMADO EN ATENCION PRE-HOSPITALARIA",IF(N200=CURSOS!$D$4,"ACOMPAÑAMIENTO Y MANEJO DEL DUELO",IF(N200=CURSOS!$D$5,"ATENCION A VICTIMAS DE ATAQUE CON AGENTES QUIMICOS ",IF(N200=CURSOS!$D$6,"PRIMEROS AUXILIOS ",IF(N200=CURSOS!$D$7,"DIPLOMADO DE UNIDAD DE CUIDADOS INTENSIVOS (UCI)",IF(N200=CURSOS!$D$8,"MODELO DE ATENCION PARA EVENTOS EMERGENTES EN SALUD MENTAL (CODIGO VERDE)",IF(N200=CURSOS!$D$9,"HUMANIZACION EN SALUD, BUENAS PRACTICAS EN PACIENTE ",IF(N200=CURSOS!$D$10,"CLINICA DE HERIDAS ",IF(N200=CURSOS!$D$11,"TOMA DE CITOLOGIA A CERVICO VAGINAL ",IF(N200=CURSOS!$D$12,"SOPORTE CARDIOVASCULAR AVANZADO ",IF(N200=CURSOS!$D$13,"CAMILLERO ",IF(N200=CURSOS!$D$14,"TOMA MUESTRAS Y LABORATORIO ",IF(N200=CURSOS!$D$15,"SOPORTE VITAL BASICO (BLS)",IF(N200=CURSOS!$D$16,"ATENCION A VICTIMAS DE VIOLENCIA SEXUAL ",IF(N200=CURSOS!$D$17,"PROGRAMADO AMPLIADO DE INMUNIZACION (PAI - COVID 19)",IF(N200=CURSOS!$D$18,"ATENCION INTEGRAL EN ENFERMEDADES PREVALENTES EN PRIMERA INFANCIA (AIEPI)",IF(N200=CURSOS!$D$19,"ADMINISTRACION DE MEDICAMENTOS, IYECTOLOGIA  Y CANALIZACION ",IF(N200=CURSOS!$D$20,"OPERADOR DE VEHICULOS DE EMERGENCIA (OVE)",IF(N200=CURSOS!$D$21,"INSTITUCIONES AMIGAS DE LA MUJER Y LA INFANCIA (IAMI)",IF(N200=CURSOS!$D$22,"CUIDADO DEL DONANTE DE ORGANOS",IF(N200=CURSOS!$D$23,"ATENCION A VICTIMAS POR VIOLENCIA DE GENERO",IF(N200=CURSOS!$D$24,"IGUALDAD DE GENERO EN LA SALUD",IF(N200=CURSOS!$D$25,"BRIGADA DE EMERGENCIA",IF(N200=CURSOS!$D$26,"MANEJO DEL DOLOR Y CUIDADOS PALIATIVOS",IF(N200=CURSOS!$D$27,"TOMA MUESTRAS Y LABORATORIO POCT",IF(N200=CURSOS!$D$28,"IMPLANTE SUBDERMICO Y DISPOSITIVO INTRAUTERINO",IF(N200=CURSOS!$D$29,"SALUD MENTAL",IF(N200=CURSOS!$D$30,"PRIMEROS AUXILIOS PSICOLOGICOS",IF(N200=CURSOS!$D$31,"ATENCION A VICTIMAS POR CONFLICTO ARMADO",IF(N200=CURSOS!$D$32,"MANIPULACION DE ALIMENTOS Y BPM"))))))))))))))))))))))))))))))</f>
        <v>0</v>
      </c>
      <c r="U200" s="30" t="str">
        <f t="shared" si="30"/>
        <v xml:space="preserve">   </v>
      </c>
      <c r="V200" s="30" t="str">
        <f t="shared" si="31"/>
        <v xml:space="preserve">   </v>
      </c>
      <c r="W200" s="30" t="str">
        <f t="shared" si="32"/>
        <v xml:space="preserve">   --</v>
      </c>
    </row>
    <row r="201" spans="1:23" s="105" customFormat="1" x14ac:dyDescent="0.2">
      <c r="A201" s="52">
        <v>201</v>
      </c>
      <c r="B201" s="99"/>
      <c r="C201" s="99"/>
      <c r="D201" s="99"/>
      <c r="E201" s="99"/>
      <c r="F201" s="99"/>
      <c r="G201" s="100"/>
      <c r="H201" s="100"/>
      <c r="I201" s="101"/>
      <c r="J201" s="102"/>
      <c r="K201" s="100"/>
      <c r="L201" s="100"/>
      <c r="M201" s="100"/>
      <c r="N201" s="103"/>
      <c r="O201" s="104"/>
      <c r="P201" s="99"/>
      <c r="Q201" s="99"/>
      <c r="R201" s="99"/>
      <c r="S201" s="99"/>
      <c r="T201" s="30" t="b">
        <f>IF(N201=CURSOS!$D$3,"DIPLOMADO EN ATENCION PRE-HOSPITALARIA",IF(N201=CURSOS!$D$4,"ACOMPAÑAMIENTO Y MANEJO DEL DUELO",IF(N201=CURSOS!$D$5,"ATENCION A VICTIMAS DE ATAQUE CON AGENTES QUIMICOS ",IF(N201=CURSOS!$D$6,"PRIMEROS AUXILIOS ",IF(N201=CURSOS!$D$7,"DIPLOMADO DE UNIDAD DE CUIDADOS INTENSIVOS (UCI)",IF(N201=CURSOS!$D$8,"MODELO DE ATENCION PARA EVENTOS EMERGENTES EN SALUD MENTAL (CODIGO VERDE)",IF(N201=CURSOS!$D$9,"HUMANIZACION EN SALUD, BUENAS PRACTICAS EN PACIENTE ",IF(N201=CURSOS!$D$10,"CLINICA DE HERIDAS ",IF(N201=CURSOS!$D$11,"TOMA DE CITOLOGIA A CERVICO VAGINAL ",IF(N201=CURSOS!$D$12,"SOPORTE CARDIOVASCULAR AVANZADO ",IF(N201=CURSOS!$D$13,"CAMILLERO ",IF(N201=CURSOS!$D$14,"TOMA MUESTRAS Y LABORATORIO ",IF(N201=CURSOS!$D$15,"SOPORTE VITAL BASICO (BLS)",IF(N201=CURSOS!$D$16,"ATENCION A VICTIMAS DE VIOLENCIA SEXUAL ",IF(N201=CURSOS!$D$17,"PROGRAMADO AMPLIADO DE INMUNIZACION (PAI - COVID 19)",IF(N201=CURSOS!$D$18,"ATENCION INTEGRAL EN ENFERMEDADES PREVALENTES EN PRIMERA INFANCIA (AIEPI)",IF(N201=CURSOS!$D$19,"ADMINISTRACION DE MEDICAMENTOS, IYECTOLOGIA  Y CANALIZACION ",IF(N201=CURSOS!$D$20,"OPERADOR DE VEHICULOS DE EMERGENCIA (OVE)",IF(N201=CURSOS!$D$21,"INSTITUCIONES AMIGAS DE LA MUJER Y LA INFANCIA (IAMI)",IF(N201=CURSOS!$D$22,"CUIDADO DEL DONANTE DE ORGANOS",IF(N201=CURSOS!$D$23,"ATENCION A VICTIMAS POR VIOLENCIA DE GENERO",IF(N201=CURSOS!$D$24,"IGUALDAD DE GENERO EN LA SALUD",IF(N201=CURSOS!$D$25,"BRIGADA DE EMERGENCIA",IF(N201=CURSOS!$D$26,"MANEJO DEL DOLOR Y CUIDADOS PALIATIVOS",IF(N201=CURSOS!$D$27,"TOMA MUESTRAS Y LABORATORIO POCT",IF(N201=CURSOS!$D$28,"IMPLANTE SUBDERMICO Y DISPOSITIVO INTRAUTERINO",IF(N201=CURSOS!$D$29,"SALUD MENTAL",IF(N201=CURSOS!$D$30,"PRIMEROS AUXILIOS PSICOLOGICOS",IF(N201=CURSOS!$D$31,"ATENCION A VICTIMAS POR CONFLICTO ARMADO",IF(N201=CURSOS!$D$32,"MANIPULACION DE ALIMENTOS Y BPM"))))))))))))))))))))))))))))))</f>
        <v>0</v>
      </c>
      <c r="U201" s="30" t="str">
        <f t="shared" si="30"/>
        <v xml:space="preserve">   </v>
      </c>
      <c r="V201" s="30" t="str">
        <f t="shared" si="31"/>
        <v xml:space="preserve">   </v>
      </c>
      <c r="W201" s="30" t="str">
        <f t="shared" si="32"/>
        <v xml:space="preserve">   --</v>
      </c>
    </row>
    <row r="202" spans="1:23" x14ac:dyDescent="0.2">
      <c r="A202" s="52">
        <v>202</v>
      </c>
      <c r="T202" s="30" t="b">
        <f>IF(N202=CURSOS!$D$3,"DIPLOMADO EN ATENCION PRE-HOSPITALARIA",IF(N202=CURSOS!$D$4,"ACOMPAÑAMIENTO Y MANEJO DEL DUELO",IF(N202=CURSOS!$D$5,"ATENCION A VICTIMAS DE ATAQUE CON AGENTES QUIMICOS ",IF(N202=CURSOS!$D$6,"PRIMEROS AUXILIOS ",IF(N202=CURSOS!$D$7,"DIPLOMADO DE UNIDAD DE CUIDADOS INTENSIVOS (UCI)",IF(N202=CURSOS!$D$8,"MODELO DE ATENCION PARA EVENTOS EMERGENTES EN SALUD MENTAL (CODIGO VERDE)",IF(N202=CURSOS!$D$9,"HUMANIZACION EN SALUD, BUENAS PRACTICAS EN PACIENTE ",IF(N202=CURSOS!$D$10,"CLINICA DE HERIDAS ",IF(N202=CURSOS!$D$11,"TOMA DE CITOLOGIA A CERVICO VAGINAL ",IF(N202=CURSOS!$D$12,"SOPORTE CARDIOVASCULAR AVANZADO ",IF(N202=CURSOS!$D$13,"CAMILLERO ",IF(N202=CURSOS!$D$14,"TOMA MUESTRAS Y LABORATORIO ",IF(N202=CURSOS!$D$15,"SOPORTE VITAL BASICO (BLS)",IF(N202=CURSOS!$D$16,"ATENCION A VICTIMAS DE VIOLENCIA SEXUAL ",IF(N202=CURSOS!$D$17,"PROGRAMADO AMPLIADO DE INMUNIZACION (PAI - COVID 19)",IF(N202=CURSOS!$D$18,"ATENCION INTEGRAL EN ENFERMEDADES PREVALENTES EN PRIMERA INFANCIA (AIEPI)",IF(N202=CURSOS!$D$19,"ADMINISTRACION DE MEDICAMENTOS, IYECTOLOGIA  Y CANALIZACION ",IF(N202=CURSOS!$D$20,"OPERADOR DE VEHICULOS DE EMERGENCIA (OVE)",IF(N202=CURSOS!$D$21,"INSTITUCIONES AMIGAS DE LA MUJER Y LA INFANCIA (IAMI)",IF(N202=CURSOS!$D$22,"CUIDADO DEL DONANTE DE ORGANOS",IF(N202=CURSOS!$D$23,"ATENCION A VICTIMAS POR VIOLENCIA DE GENERO",IF(N202=CURSOS!$D$24,"IGUALDAD DE GENERO EN LA SALUD",IF(N202=CURSOS!$D$25,"BRIGADA DE EMERGENCIA",IF(N202=CURSOS!$D$26,"MANEJO DEL DOLOR Y CUIDADOS PALIATIVOS",IF(N202=CURSOS!$D$27,"TOMA MUESTRAS Y LABORATORIO POCT",IF(N202=CURSOS!$D$28,"IMPLANTE SUBDERMICO Y DISPOSITIVO INTRAUTERINO",IF(N202=CURSOS!$D$29,"SALUD MENTAL",IF(N202=CURSOS!$D$30,"PRIMEROS AUXILIOS PSICOLOGICOS",IF(N202=CURSOS!$D$31,"ATENCION A VICTIMAS POR CONFLICTO ARMADO",IF(N202=CURSOS!$D$32,"MANIPULACION DE ALIMENTOS Y BPM"))))))))))))))))))))))))))))))</f>
        <v>0</v>
      </c>
      <c r="U202" s="30" t="str">
        <f t="shared" si="30"/>
        <v xml:space="preserve">   </v>
      </c>
      <c r="V202" s="30" t="str">
        <f t="shared" si="31"/>
        <v xml:space="preserve">   </v>
      </c>
      <c r="W202" s="30" t="str">
        <f t="shared" si="32"/>
        <v xml:space="preserve">   --</v>
      </c>
    </row>
    <row r="203" spans="1:23" x14ac:dyDescent="0.2">
      <c r="A203" s="52">
        <v>203</v>
      </c>
      <c r="T203" s="30" t="b">
        <f>IF(N203=CURSOS!$D$3,"DIPLOMADO EN ATENCION PRE-HOSPITALARIA",IF(N203=CURSOS!$D$4,"ACOMPAÑAMIENTO Y MANEJO DEL DUELO",IF(N203=CURSOS!$D$5,"ATENCION A VICTIMAS DE ATAQUE CON AGENTES QUIMICOS ",IF(N203=CURSOS!$D$6,"PRIMEROS AUXILIOS ",IF(N203=CURSOS!$D$7,"DIPLOMADO DE UNIDAD DE CUIDADOS INTENSIVOS (UCI)",IF(N203=CURSOS!$D$8,"MODELO DE ATENCION PARA EVENTOS EMERGENTES EN SALUD MENTAL (CODIGO VERDE)",IF(N203=CURSOS!$D$9,"HUMANIZACION EN SALUD, BUENAS PRACTICAS EN PACIENTE ",IF(N203=CURSOS!$D$10,"CLINICA DE HERIDAS ",IF(N203=CURSOS!$D$11,"TOMA DE CITOLOGIA A CERVICO VAGINAL ",IF(N203=CURSOS!$D$12,"SOPORTE CARDIOVASCULAR AVANZADO ",IF(N203=CURSOS!$D$13,"CAMILLERO ",IF(N203=CURSOS!$D$14,"TOMA MUESTRAS Y LABORATORIO ",IF(N203=CURSOS!$D$15,"SOPORTE VITAL BASICO (BLS)",IF(N203=CURSOS!$D$16,"ATENCION A VICTIMAS DE VIOLENCIA SEXUAL ",IF(N203=CURSOS!$D$17,"PROGRAMADO AMPLIADO DE INMUNIZACION (PAI - COVID 19)",IF(N203=CURSOS!$D$18,"ATENCION INTEGRAL EN ENFERMEDADES PREVALENTES EN PRIMERA INFANCIA (AIEPI)",IF(N203=CURSOS!$D$19,"ADMINISTRACION DE MEDICAMENTOS, IYECTOLOGIA  Y CANALIZACION ",IF(N203=CURSOS!$D$20,"OPERADOR DE VEHICULOS DE EMERGENCIA (OVE)",IF(N203=CURSOS!$D$21,"INSTITUCIONES AMIGAS DE LA MUJER Y LA INFANCIA (IAMI)",IF(N203=CURSOS!$D$22,"CUIDADO DEL DONANTE DE ORGANOS",IF(N203=CURSOS!$D$23,"ATENCION A VICTIMAS POR VIOLENCIA DE GENERO",IF(N203=CURSOS!$D$24,"IGUALDAD DE GENERO EN LA SALUD",IF(N203=CURSOS!$D$25,"BRIGADA DE EMERGENCIA",IF(N203=CURSOS!$D$26,"MANEJO DEL DOLOR Y CUIDADOS PALIATIVOS",IF(N203=CURSOS!$D$27,"TOMA MUESTRAS Y LABORATORIO POCT",IF(N203=CURSOS!$D$28,"IMPLANTE SUBDERMICO Y DISPOSITIVO INTRAUTERINO",IF(N203=CURSOS!$D$29,"SALUD MENTAL",IF(N203=CURSOS!$D$30,"PRIMEROS AUXILIOS PSICOLOGICOS",IF(N203=CURSOS!$D$31,"ATENCION A VICTIMAS POR CONFLICTO ARMADO",IF(N203=CURSOS!$D$32,"MANIPULACION DE ALIMENTOS Y BPM"))))))))))))))))))))))))))))))</f>
        <v>0</v>
      </c>
      <c r="U203" s="30" t="str">
        <f t="shared" si="30"/>
        <v xml:space="preserve">   </v>
      </c>
      <c r="V203" s="30" t="str">
        <f t="shared" si="31"/>
        <v xml:space="preserve">   </v>
      </c>
      <c r="W203" s="30" t="str">
        <f t="shared" si="32"/>
        <v xml:space="preserve">   --</v>
      </c>
    </row>
    <row r="204" spans="1:23" x14ac:dyDescent="0.2">
      <c r="A204" s="52">
        <v>204</v>
      </c>
      <c r="T204" s="30" t="b">
        <f>IF(N204=CURSOS!$D$3,"DIPLOMADO EN ATENCION PRE-HOSPITALARIA",IF(N204=CURSOS!$D$4,"ACOMPAÑAMIENTO Y MANEJO DEL DUELO",IF(N204=CURSOS!$D$5,"ATENCION A VICTIMAS DE ATAQUE CON AGENTES QUIMICOS ",IF(N204=CURSOS!$D$6,"PRIMEROS AUXILIOS ",IF(N204=CURSOS!$D$7,"DIPLOMADO DE UNIDAD DE CUIDADOS INTENSIVOS (UCI)",IF(N204=CURSOS!$D$8,"MODELO DE ATENCION PARA EVENTOS EMERGENTES EN SALUD MENTAL (CODIGO VERDE)",IF(N204=CURSOS!$D$9,"HUMANIZACION EN SALUD, BUENAS PRACTICAS EN PACIENTE ",IF(N204=CURSOS!$D$10,"CLINICA DE HERIDAS ",IF(N204=CURSOS!$D$11,"TOMA DE CITOLOGIA A CERVICO VAGINAL ",IF(N204=CURSOS!$D$12,"SOPORTE CARDIOVASCULAR AVANZADO ",IF(N204=CURSOS!$D$13,"CAMILLERO ",IF(N204=CURSOS!$D$14,"TOMA MUESTRAS Y LABORATORIO ",IF(N204=CURSOS!$D$15,"SOPORTE VITAL BASICO (BLS)",IF(N204=CURSOS!$D$16,"ATENCION A VICTIMAS DE VIOLENCIA SEXUAL ",IF(N204=CURSOS!$D$17,"PROGRAMADO AMPLIADO DE INMUNIZACION (PAI - COVID 19)",IF(N204=CURSOS!$D$18,"ATENCION INTEGRAL EN ENFERMEDADES PREVALENTES EN PRIMERA INFANCIA (AIEPI)",IF(N204=CURSOS!$D$19,"ADMINISTRACION DE MEDICAMENTOS, IYECTOLOGIA  Y CANALIZACION ",IF(N204=CURSOS!$D$20,"OPERADOR DE VEHICULOS DE EMERGENCIA (OVE)",IF(N204=CURSOS!$D$21,"INSTITUCIONES AMIGAS DE LA MUJER Y LA INFANCIA (IAMI)",IF(N204=CURSOS!$D$22,"CUIDADO DEL DONANTE DE ORGANOS",IF(N204=CURSOS!$D$23,"ATENCION A VICTIMAS POR VIOLENCIA DE GENERO",IF(N204=CURSOS!$D$24,"IGUALDAD DE GENERO EN LA SALUD",IF(N204=CURSOS!$D$25,"BRIGADA DE EMERGENCIA",IF(N204=CURSOS!$D$26,"MANEJO DEL DOLOR Y CUIDADOS PALIATIVOS",IF(N204=CURSOS!$D$27,"TOMA MUESTRAS Y LABORATORIO POCT",IF(N204=CURSOS!$D$28,"IMPLANTE SUBDERMICO Y DISPOSITIVO INTRAUTERINO",IF(N204=CURSOS!$D$29,"SALUD MENTAL",IF(N204=CURSOS!$D$30,"PRIMEROS AUXILIOS PSICOLOGICOS",IF(N204=CURSOS!$D$31,"ATENCION A VICTIMAS POR CONFLICTO ARMADO",IF(N204=CURSOS!$D$32,"MANIPULACION DE ALIMENTOS Y BPM"))))))))))))))))))))))))))))))</f>
        <v>0</v>
      </c>
      <c r="U204" s="30" t="str">
        <f t="shared" si="30"/>
        <v xml:space="preserve">   </v>
      </c>
      <c r="V204" s="30" t="str">
        <f t="shared" si="31"/>
        <v xml:space="preserve">   </v>
      </c>
      <c r="W204" s="30" t="str">
        <f t="shared" si="32"/>
        <v xml:space="preserve">   --</v>
      </c>
    </row>
    <row r="205" spans="1:23" x14ac:dyDescent="0.2">
      <c r="A205" s="52">
        <v>205</v>
      </c>
      <c r="T205" s="30" t="b">
        <f>IF(N205=CURSOS!$D$3,"DIPLOMADO EN ATENCION PRE-HOSPITALARIA",IF(N205=CURSOS!$D$4,"ACOMPAÑAMIENTO Y MANEJO DEL DUELO",IF(N205=CURSOS!$D$5,"ATENCION A VICTIMAS DE ATAQUE CON AGENTES QUIMICOS ",IF(N205=CURSOS!$D$6,"PRIMEROS AUXILIOS ",IF(N205=CURSOS!$D$7,"DIPLOMADO DE UNIDAD DE CUIDADOS INTENSIVOS (UCI)",IF(N205=CURSOS!$D$8,"MODELO DE ATENCION PARA EVENTOS EMERGENTES EN SALUD MENTAL (CODIGO VERDE)",IF(N205=CURSOS!$D$9,"HUMANIZACION EN SALUD, BUENAS PRACTICAS EN PACIENTE ",IF(N205=CURSOS!$D$10,"CLINICA DE HERIDAS ",IF(N205=CURSOS!$D$11,"TOMA DE CITOLOGIA A CERVICO VAGINAL ",IF(N205=CURSOS!$D$12,"SOPORTE CARDIOVASCULAR AVANZADO ",IF(N205=CURSOS!$D$13,"CAMILLERO ",IF(N205=CURSOS!$D$14,"TOMA MUESTRAS Y LABORATORIO ",IF(N205=CURSOS!$D$15,"SOPORTE VITAL BASICO (BLS)",IF(N205=CURSOS!$D$16,"ATENCION A VICTIMAS DE VIOLENCIA SEXUAL ",IF(N205=CURSOS!$D$17,"PROGRAMADO AMPLIADO DE INMUNIZACION (PAI - COVID 19)",IF(N205=CURSOS!$D$18,"ATENCION INTEGRAL EN ENFERMEDADES PREVALENTES EN PRIMERA INFANCIA (AIEPI)",IF(N205=CURSOS!$D$19,"ADMINISTRACION DE MEDICAMENTOS, IYECTOLOGIA  Y CANALIZACION ",IF(N205=CURSOS!$D$20,"OPERADOR DE VEHICULOS DE EMERGENCIA (OVE)",IF(N205=CURSOS!$D$21,"INSTITUCIONES AMIGAS DE LA MUJER Y LA INFANCIA (IAMI)",IF(N205=CURSOS!$D$22,"CUIDADO DEL DONANTE DE ORGANOS",IF(N205=CURSOS!$D$23,"ATENCION A VICTIMAS POR VIOLENCIA DE GENERO",IF(N205=CURSOS!$D$24,"IGUALDAD DE GENERO EN LA SALUD",IF(N205=CURSOS!$D$25,"BRIGADA DE EMERGENCIA",IF(N205=CURSOS!$D$26,"MANEJO DEL DOLOR Y CUIDADOS PALIATIVOS",IF(N205=CURSOS!$D$27,"TOMA MUESTRAS Y LABORATORIO POCT",IF(N205=CURSOS!$D$28,"IMPLANTE SUBDERMICO Y DISPOSITIVO INTRAUTERINO",IF(N205=CURSOS!$D$29,"SALUD MENTAL",IF(N205=CURSOS!$D$30,"PRIMEROS AUXILIOS PSICOLOGICOS",IF(N205=CURSOS!$D$31,"ATENCION A VICTIMAS POR CONFLICTO ARMADO",IF(N205=CURSOS!$D$32,"MANIPULACION DE ALIMENTOS Y BPM"))))))))))))))))))))))))))))))</f>
        <v>0</v>
      </c>
      <c r="U205" s="30" t="str">
        <f t="shared" si="30"/>
        <v xml:space="preserve">   </v>
      </c>
      <c r="V205" s="30" t="str">
        <f t="shared" si="31"/>
        <v xml:space="preserve">   </v>
      </c>
      <c r="W205" s="30" t="str">
        <f t="shared" si="32"/>
        <v xml:space="preserve">   --</v>
      </c>
    </row>
    <row r="206" spans="1:23" x14ac:dyDescent="0.2">
      <c r="A206" s="52">
        <v>206</v>
      </c>
      <c r="T206" s="30" t="b">
        <f>IF(N206=CURSOS!$D$3,"DIPLOMADO EN ATENCION PRE-HOSPITALARIA",IF(N206=CURSOS!$D$4,"ACOMPAÑAMIENTO Y MANEJO DEL DUELO",IF(N206=CURSOS!$D$5,"ATENCION A VICTIMAS DE ATAQUE CON AGENTES QUIMICOS ",IF(N206=CURSOS!$D$6,"PRIMEROS AUXILIOS ",IF(N206=CURSOS!$D$7,"DIPLOMADO DE UNIDAD DE CUIDADOS INTENSIVOS (UCI)",IF(N206=CURSOS!$D$8,"MODELO DE ATENCION PARA EVENTOS EMERGENTES EN SALUD MENTAL (CODIGO VERDE)",IF(N206=CURSOS!$D$9,"HUMANIZACION EN SALUD, BUENAS PRACTICAS EN PACIENTE ",IF(N206=CURSOS!$D$10,"CLINICA DE HERIDAS ",IF(N206=CURSOS!$D$11,"TOMA DE CITOLOGIA A CERVICO VAGINAL ",IF(N206=CURSOS!$D$12,"SOPORTE CARDIOVASCULAR AVANZADO ",IF(N206=CURSOS!$D$13,"CAMILLERO ",IF(N206=CURSOS!$D$14,"TOMA MUESTRAS Y LABORATORIO ",IF(N206=CURSOS!$D$15,"SOPORTE VITAL BASICO (BLS)",IF(N206=CURSOS!$D$16,"ATENCION A VICTIMAS DE VIOLENCIA SEXUAL ",IF(N206=CURSOS!$D$17,"PROGRAMADO AMPLIADO DE INMUNIZACION (PAI - COVID 19)",IF(N206=CURSOS!$D$18,"ATENCION INTEGRAL EN ENFERMEDADES PREVALENTES EN PRIMERA INFANCIA (AIEPI)",IF(N206=CURSOS!$D$19,"ADMINISTRACION DE MEDICAMENTOS, IYECTOLOGIA  Y CANALIZACION ",IF(N206=CURSOS!$D$20,"OPERADOR DE VEHICULOS DE EMERGENCIA (OVE)",IF(N206=CURSOS!$D$21,"INSTITUCIONES AMIGAS DE LA MUJER Y LA INFANCIA (IAMI)",IF(N206=CURSOS!$D$22,"CUIDADO DEL DONANTE DE ORGANOS",IF(N206=CURSOS!$D$23,"ATENCION A VICTIMAS POR VIOLENCIA DE GENERO",IF(N206=CURSOS!$D$24,"IGUALDAD DE GENERO EN LA SALUD",IF(N206=CURSOS!$D$25,"BRIGADA DE EMERGENCIA",IF(N206=CURSOS!$D$26,"MANEJO DEL DOLOR Y CUIDADOS PALIATIVOS",IF(N206=CURSOS!$D$27,"TOMA MUESTRAS Y LABORATORIO POCT",IF(N206=CURSOS!$D$28,"IMPLANTE SUBDERMICO Y DISPOSITIVO INTRAUTERINO",IF(N206=CURSOS!$D$29,"SALUD MENTAL",IF(N206=CURSOS!$D$30,"PRIMEROS AUXILIOS PSICOLOGICOS",IF(N206=CURSOS!$D$31,"ATENCION A VICTIMAS POR CONFLICTO ARMADO",IF(N206=CURSOS!$D$32,"MANIPULACION DE ALIMENTOS Y BPM"))))))))))))))))))))))))))))))</f>
        <v>0</v>
      </c>
      <c r="U206" s="30" t="str">
        <f t="shared" si="30"/>
        <v xml:space="preserve">   </v>
      </c>
      <c r="V206" s="30" t="str">
        <f t="shared" si="31"/>
        <v xml:space="preserve">   </v>
      </c>
      <c r="W206" s="30" t="str">
        <f t="shared" si="32"/>
        <v xml:space="preserve">   --</v>
      </c>
    </row>
    <row r="207" spans="1:23" x14ac:dyDescent="0.2">
      <c r="A207" s="52">
        <v>207</v>
      </c>
      <c r="T207" s="30" t="b">
        <f>IF(N207=CURSOS!$D$3,"DIPLOMADO EN ATENCION PRE-HOSPITALARIA",IF(N207=CURSOS!$D$4,"ACOMPAÑAMIENTO Y MANEJO DEL DUELO",IF(N207=CURSOS!$D$5,"ATENCION A VICTIMAS DE ATAQUE CON AGENTES QUIMICOS ",IF(N207=CURSOS!$D$6,"PRIMEROS AUXILIOS ",IF(N207=CURSOS!$D$7,"DIPLOMADO DE UNIDAD DE CUIDADOS INTENSIVOS (UCI)",IF(N207=CURSOS!$D$8,"MODELO DE ATENCION PARA EVENTOS EMERGENTES EN SALUD MENTAL (CODIGO VERDE)",IF(N207=CURSOS!$D$9,"HUMANIZACION EN SALUD, BUENAS PRACTICAS EN PACIENTE ",IF(N207=CURSOS!$D$10,"CLINICA DE HERIDAS ",IF(N207=CURSOS!$D$11,"TOMA DE CITOLOGIA A CERVICO VAGINAL ",IF(N207=CURSOS!$D$12,"SOPORTE CARDIOVASCULAR AVANZADO ",IF(N207=CURSOS!$D$13,"CAMILLERO ",IF(N207=CURSOS!$D$14,"TOMA MUESTRAS Y LABORATORIO ",IF(N207=CURSOS!$D$15,"SOPORTE VITAL BASICO (BLS)",IF(N207=CURSOS!$D$16,"ATENCION A VICTIMAS DE VIOLENCIA SEXUAL ",IF(N207=CURSOS!$D$17,"PROGRAMADO AMPLIADO DE INMUNIZACION (PAI - COVID 19)",IF(N207=CURSOS!$D$18,"ATENCION INTEGRAL EN ENFERMEDADES PREVALENTES EN PRIMERA INFANCIA (AIEPI)",IF(N207=CURSOS!$D$19,"ADMINISTRACION DE MEDICAMENTOS, IYECTOLOGIA  Y CANALIZACION ",IF(N207=CURSOS!$D$20,"OPERADOR DE VEHICULOS DE EMERGENCIA (OVE)",IF(N207=CURSOS!$D$21,"INSTITUCIONES AMIGAS DE LA MUJER Y LA INFANCIA (IAMI)",IF(N207=CURSOS!$D$22,"CUIDADO DEL DONANTE DE ORGANOS",IF(N207=CURSOS!$D$23,"ATENCION A VICTIMAS POR VIOLENCIA DE GENERO",IF(N207=CURSOS!$D$24,"IGUALDAD DE GENERO EN LA SALUD",IF(N207=CURSOS!$D$25,"BRIGADA DE EMERGENCIA",IF(N207=CURSOS!$D$26,"MANEJO DEL DOLOR Y CUIDADOS PALIATIVOS",IF(N207=CURSOS!$D$27,"TOMA MUESTRAS Y LABORATORIO POCT",IF(N207=CURSOS!$D$28,"IMPLANTE SUBDERMICO Y DISPOSITIVO INTRAUTERINO",IF(N207=CURSOS!$D$29,"SALUD MENTAL",IF(N207=CURSOS!$D$30,"PRIMEROS AUXILIOS PSICOLOGICOS",IF(N207=CURSOS!$D$31,"ATENCION A VICTIMAS POR CONFLICTO ARMADO",IF(N207=CURSOS!$D$32,"MANIPULACION DE ALIMENTOS Y BPM"))))))))))))))))))))))))))))))</f>
        <v>0</v>
      </c>
      <c r="U207" s="30" t="str">
        <f t="shared" si="30"/>
        <v xml:space="preserve">   </v>
      </c>
      <c r="V207" s="30" t="str">
        <f t="shared" si="31"/>
        <v xml:space="preserve">   </v>
      </c>
      <c r="W207" s="30" t="str">
        <f t="shared" si="32"/>
        <v xml:space="preserve">   --</v>
      </c>
    </row>
    <row r="208" spans="1:23" x14ac:dyDescent="0.2">
      <c r="A208" s="52">
        <v>208</v>
      </c>
      <c r="T208" s="30" t="b">
        <f>IF(N208=CURSOS!$D$3,"DIPLOMADO EN ATENCION PRE-HOSPITALARIA",IF(N208=CURSOS!$D$4,"ACOMPAÑAMIENTO Y MANEJO DEL DUELO",IF(N208=CURSOS!$D$5,"ATENCION A VICTIMAS DE ATAQUE CON AGENTES QUIMICOS ",IF(N208=CURSOS!$D$6,"PRIMEROS AUXILIOS ",IF(N208=CURSOS!$D$7,"DIPLOMADO DE UNIDAD DE CUIDADOS INTENSIVOS (UCI)",IF(N208=CURSOS!$D$8,"MODELO DE ATENCION PARA EVENTOS EMERGENTES EN SALUD MENTAL (CODIGO VERDE)",IF(N208=CURSOS!$D$9,"HUMANIZACION EN SALUD, BUENAS PRACTICAS EN PACIENTE ",IF(N208=CURSOS!$D$10,"CLINICA DE HERIDAS ",IF(N208=CURSOS!$D$11,"TOMA DE CITOLOGIA A CERVICO VAGINAL ",IF(N208=CURSOS!$D$12,"SOPORTE CARDIOVASCULAR AVANZADO ",IF(N208=CURSOS!$D$13,"CAMILLERO ",IF(N208=CURSOS!$D$14,"TOMA MUESTRAS Y LABORATORIO ",IF(N208=CURSOS!$D$15,"SOPORTE VITAL BASICO (BLS)",IF(N208=CURSOS!$D$16,"ATENCION A VICTIMAS DE VIOLENCIA SEXUAL ",IF(N208=CURSOS!$D$17,"PROGRAMADO AMPLIADO DE INMUNIZACION (PAI - COVID 19)",IF(N208=CURSOS!$D$18,"ATENCION INTEGRAL EN ENFERMEDADES PREVALENTES EN PRIMERA INFANCIA (AIEPI)",IF(N208=CURSOS!$D$19,"ADMINISTRACION DE MEDICAMENTOS, IYECTOLOGIA  Y CANALIZACION ",IF(N208=CURSOS!$D$20,"OPERADOR DE VEHICULOS DE EMERGENCIA (OVE)",IF(N208=CURSOS!$D$21,"INSTITUCIONES AMIGAS DE LA MUJER Y LA INFANCIA (IAMI)",IF(N208=CURSOS!$D$22,"CUIDADO DEL DONANTE DE ORGANOS",IF(N208=CURSOS!$D$23,"ATENCION A VICTIMAS POR VIOLENCIA DE GENERO",IF(N208=CURSOS!$D$24,"IGUALDAD DE GENERO EN LA SALUD",IF(N208=CURSOS!$D$25,"BRIGADA DE EMERGENCIA",IF(N208=CURSOS!$D$26,"MANEJO DEL DOLOR Y CUIDADOS PALIATIVOS",IF(N208=CURSOS!$D$27,"TOMA MUESTRAS Y LABORATORIO POCT",IF(N208=CURSOS!$D$28,"IMPLANTE SUBDERMICO Y DISPOSITIVO INTRAUTERINO",IF(N208=CURSOS!$D$29,"SALUD MENTAL",IF(N208=CURSOS!$D$30,"PRIMEROS AUXILIOS PSICOLOGICOS",IF(N208=CURSOS!$D$31,"ATENCION A VICTIMAS POR CONFLICTO ARMADO",IF(N208=CURSOS!$D$32,"MANIPULACION DE ALIMENTOS Y BPM"))))))))))))))))))))))))))))))</f>
        <v>0</v>
      </c>
      <c r="U208" s="30" t="str">
        <f t="shared" si="30"/>
        <v xml:space="preserve">   </v>
      </c>
      <c r="V208" s="30" t="str">
        <f t="shared" si="31"/>
        <v xml:space="preserve">   </v>
      </c>
      <c r="W208" s="30" t="str">
        <f t="shared" si="32"/>
        <v xml:space="preserve">   --</v>
      </c>
    </row>
    <row r="209" spans="1:23" ht="15.75" x14ac:dyDescent="0.25">
      <c r="A209" s="52">
        <v>209</v>
      </c>
      <c r="S209" s="96"/>
      <c r="T209" s="30" t="b">
        <f>IF(N209=CURSOS!$D$3,"DIPLOMADO EN ATENCION PRE-HOSPITALARIA",IF(N209=CURSOS!$D$4,"ACOMPAÑAMIENTO Y MANEJO DEL DUELO",IF(N209=CURSOS!$D$5,"ATENCION A VICTIMAS DE ATAQUE CON AGENTES QUIMICOS ",IF(N209=CURSOS!$D$6,"PRIMEROS AUXILIOS ",IF(N209=CURSOS!$D$7,"DIPLOMADO DE UNIDAD DE CUIDADOS INTENSIVOS (UCI)",IF(N209=CURSOS!$D$8,"MODELO DE ATENCION PARA EVENTOS EMERGENTES EN SALUD MENTAL (CODIGO VERDE)",IF(N209=CURSOS!$D$9,"HUMANIZACION EN SALUD, BUENAS PRACTICAS EN PACIENTE ",IF(N209=CURSOS!$D$10,"CLINICA DE HERIDAS ",IF(N209=CURSOS!$D$11,"TOMA DE CITOLOGIA A CERVICO VAGINAL ",IF(N209=CURSOS!$D$12,"SOPORTE CARDIOVASCULAR AVANZADO ",IF(N209=CURSOS!$D$13,"CAMILLERO ",IF(N209=CURSOS!$D$14,"TOMA MUESTRAS Y LABORATORIO ",IF(N209=CURSOS!$D$15,"SOPORTE VITAL BASICO (BLS)",IF(N209=CURSOS!$D$16,"ATENCION A VICTIMAS DE VIOLENCIA SEXUAL ",IF(N209=CURSOS!$D$17,"PROGRAMADO AMPLIADO DE INMUNIZACION (PAI - COVID 19)",IF(N209=CURSOS!$D$18,"ATENCION INTEGRAL EN ENFERMEDADES PREVALENTES EN PRIMERA INFANCIA (AIEPI)",IF(N209=CURSOS!$D$19,"ADMINISTRACION DE MEDICAMENTOS, IYECTOLOGIA  Y CANALIZACION ",IF(N209=CURSOS!$D$20,"OPERADOR DE VEHICULOS DE EMERGENCIA (OVE)",IF(N209=CURSOS!$D$21,"INSTITUCIONES AMIGAS DE LA MUJER Y LA INFANCIA (IAMI)",IF(N209=CURSOS!$D$22,"CUIDADO DEL DONANTE DE ORGANOS",IF(N209=CURSOS!$D$23,"ATENCION A VICTIMAS POR VIOLENCIA DE GENERO",IF(N209=CURSOS!$D$24,"IGUALDAD DE GENERO EN LA SALUD",IF(N209=CURSOS!$D$25,"BRIGADA DE EMERGENCIA",IF(N209=CURSOS!$D$26,"MANEJO DEL DOLOR Y CUIDADOS PALIATIVOS",IF(N209=CURSOS!$D$27,"TOMA MUESTRAS Y LABORATORIO POCT",IF(N209=CURSOS!$D$28,"IMPLANTE SUBDERMICO Y DISPOSITIVO INTRAUTERINO",IF(N209=CURSOS!$D$29,"SALUD MENTAL",IF(N209=CURSOS!$D$30,"PRIMEROS AUXILIOS PSICOLOGICOS",IF(N209=CURSOS!$D$31,"ATENCION A VICTIMAS POR CONFLICTO ARMADO",IF(N209=CURSOS!$D$32,"MANIPULACION DE ALIMENTOS Y BPM"))))))))))))))))))))))))))))))</f>
        <v>0</v>
      </c>
      <c r="U209" s="30" t="str">
        <f t="shared" si="30"/>
        <v xml:space="preserve">   </v>
      </c>
      <c r="V209" s="30" t="str">
        <f t="shared" si="31"/>
        <v xml:space="preserve">   </v>
      </c>
      <c r="W209" s="30" t="str">
        <f t="shared" si="32"/>
        <v xml:space="preserve">   --</v>
      </c>
    </row>
    <row r="210" spans="1:23" ht="15.75" x14ac:dyDescent="0.25">
      <c r="A210" s="52">
        <v>210</v>
      </c>
      <c r="S210" s="96"/>
      <c r="T210" s="30" t="b">
        <f>IF(N210=CURSOS!$D$3,"DIPLOMADO EN ATENCION PRE-HOSPITALARIA",IF(N210=CURSOS!$D$4,"ACOMPAÑAMIENTO Y MANEJO DEL DUELO",IF(N210=CURSOS!$D$5,"ATENCION A VICTIMAS DE ATAQUE CON AGENTES QUIMICOS ",IF(N210=CURSOS!$D$6,"PRIMEROS AUXILIOS ",IF(N210=CURSOS!$D$7,"DIPLOMADO DE UNIDAD DE CUIDADOS INTENSIVOS (UCI)",IF(N210=CURSOS!$D$8,"MODELO DE ATENCION PARA EVENTOS EMERGENTES EN SALUD MENTAL (CODIGO VERDE)",IF(N210=CURSOS!$D$9,"HUMANIZACION EN SALUD, BUENAS PRACTICAS EN PACIENTE ",IF(N210=CURSOS!$D$10,"CLINICA DE HERIDAS ",IF(N210=CURSOS!$D$11,"TOMA DE CITOLOGIA A CERVICO VAGINAL ",IF(N210=CURSOS!$D$12,"SOPORTE CARDIOVASCULAR AVANZADO ",IF(N210=CURSOS!$D$13,"CAMILLERO ",IF(N210=CURSOS!$D$14,"TOMA MUESTRAS Y LABORATORIO ",IF(N210=CURSOS!$D$15,"SOPORTE VITAL BASICO (BLS)",IF(N210=CURSOS!$D$16,"ATENCION A VICTIMAS DE VIOLENCIA SEXUAL ",IF(N210=CURSOS!$D$17,"PROGRAMADO AMPLIADO DE INMUNIZACION (PAI - COVID 19)",IF(N210=CURSOS!$D$18,"ATENCION INTEGRAL EN ENFERMEDADES PREVALENTES EN PRIMERA INFANCIA (AIEPI)",IF(N210=CURSOS!$D$19,"ADMINISTRACION DE MEDICAMENTOS, IYECTOLOGIA  Y CANALIZACION ",IF(N210=CURSOS!$D$20,"OPERADOR DE VEHICULOS DE EMERGENCIA (OVE)",IF(N210=CURSOS!$D$21,"INSTITUCIONES AMIGAS DE LA MUJER Y LA INFANCIA (IAMI)",IF(N210=CURSOS!$D$22,"CUIDADO DEL DONANTE DE ORGANOS",IF(N210=CURSOS!$D$23,"ATENCION A VICTIMAS POR VIOLENCIA DE GENERO",IF(N210=CURSOS!$D$24,"IGUALDAD DE GENERO EN LA SALUD",IF(N210=CURSOS!$D$25,"BRIGADA DE EMERGENCIA",IF(N210=CURSOS!$D$26,"MANEJO DEL DOLOR Y CUIDADOS PALIATIVOS",IF(N210=CURSOS!$D$27,"TOMA MUESTRAS Y LABORATORIO POCT",IF(N210=CURSOS!$D$28,"IMPLANTE SUBDERMICO Y DISPOSITIVO INTRAUTERINO",IF(N210=CURSOS!$D$29,"SALUD MENTAL",IF(N210=CURSOS!$D$30,"PRIMEROS AUXILIOS PSICOLOGICOS",IF(N210=CURSOS!$D$31,"ATENCION A VICTIMAS POR CONFLICTO ARMADO",IF(N210=CURSOS!$D$32,"MANIPULACION DE ALIMENTOS Y BPM"))))))))))))))))))))))))))))))</f>
        <v>0</v>
      </c>
      <c r="U210" s="30" t="str">
        <f t="shared" si="30"/>
        <v xml:space="preserve">   </v>
      </c>
      <c r="V210" s="30" t="str">
        <f t="shared" si="31"/>
        <v xml:space="preserve">   </v>
      </c>
      <c r="W210" s="30" t="str">
        <f t="shared" si="32"/>
        <v xml:space="preserve">   --</v>
      </c>
    </row>
    <row r="211" spans="1:23" ht="15.75" x14ac:dyDescent="0.25">
      <c r="A211" s="52">
        <v>211</v>
      </c>
      <c r="S211" s="96"/>
      <c r="T211" s="30" t="b">
        <f>IF(N211=CURSOS!$D$3,"DIPLOMADO EN ATENCION PRE-HOSPITALARIA",IF(N211=CURSOS!$D$4,"ACOMPAÑAMIENTO Y MANEJO DEL DUELO",IF(N211=CURSOS!$D$5,"ATENCION A VICTIMAS DE ATAQUE CON AGENTES QUIMICOS ",IF(N211=CURSOS!$D$6,"PRIMEROS AUXILIOS ",IF(N211=CURSOS!$D$7,"DIPLOMADO DE UNIDAD DE CUIDADOS INTENSIVOS (UCI)",IF(N211=CURSOS!$D$8,"MODELO DE ATENCION PARA EVENTOS EMERGENTES EN SALUD MENTAL (CODIGO VERDE)",IF(N211=CURSOS!$D$9,"HUMANIZACION EN SALUD, BUENAS PRACTICAS EN PACIENTE ",IF(N211=CURSOS!$D$10,"CLINICA DE HERIDAS ",IF(N211=CURSOS!$D$11,"TOMA DE CITOLOGIA A CERVICO VAGINAL ",IF(N211=CURSOS!$D$12,"SOPORTE CARDIOVASCULAR AVANZADO ",IF(N211=CURSOS!$D$13,"CAMILLERO ",IF(N211=CURSOS!$D$14,"TOMA MUESTRAS Y LABORATORIO ",IF(N211=CURSOS!$D$15,"SOPORTE VITAL BASICO (BLS)",IF(N211=CURSOS!$D$16,"ATENCION A VICTIMAS DE VIOLENCIA SEXUAL ",IF(N211=CURSOS!$D$17,"PROGRAMADO AMPLIADO DE INMUNIZACION (PAI - COVID 19)",IF(N211=CURSOS!$D$18,"ATENCION INTEGRAL EN ENFERMEDADES PREVALENTES EN PRIMERA INFANCIA (AIEPI)",IF(N211=CURSOS!$D$19,"ADMINISTRACION DE MEDICAMENTOS, IYECTOLOGIA  Y CANALIZACION ",IF(N211=CURSOS!$D$20,"OPERADOR DE VEHICULOS DE EMERGENCIA (OVE)",IF(N211=CURSOS!$D$21,"INSTITUCIONES AMIGAS DE LA MUJER Y LA INFANCIA (IAMI)",IF(N211=CURSOS!$D$22,"CUIDADO DEL DONANTE DE ORGANOS",IF(N211=CURSOS!$D$23,"ATENCION A VICTIMAS POR VIOLENCIA DE GENERO",IF(N211=CURSOS!$D$24,"IGUALDAD DE GENERO EN LA SALUD",IF(N211=CURSOS!$D$25,"BRIGADA DE EMERGENCIA",IF(N211=CURSOS!$D$26,"MANEJO DEL DOLOR Y CUIDADOS PALIATIVOS",IF(N211=CURSOS!$D$27,"TOMA MUESTRAS Y LABORATORIO POCT",IF(N211=CURSOS!$D$28,"IMPLANTE SUBDERMICO Y DISPOSITIVO INTRAUTERINO",IF(N211=CURSOS!$D$29,"SALUD MENTAL",IF(N211=CURSOS!$D$30,"PRIMEROS AUXILIOS PSICOLOGICOS",IF(N211=CURSOS!$D$31,"ATENCION A VICTIMAS POR CONFLICTO ARMADO",IF(N211=CURSOS!$D$32,"MANIPULACION DE ALIMENTOS Y BPM"))))))))))))))))))))))))))))))</f>
        <v>0</v>
      </c>
      <c r="U211" s="30" t="str">
        <f t="shared" si="30"/>
        <v xml:space="preserve">   </v>
      </c>
      <c r="V211" s="30" t="str">
        <f t="shared" si="31"/>
        <v xml:space="preserve">   </v>
      </c>
      <c r="W211" s="30" t="str">
        <f t="shared" si="32"/>
        <v xml:space="preserve">   --</v>
      </c>
    </row>
    <row r="212" spans="1:23" ht="15.75" x14ac:dyDescent="0.25">
      <c r="A212" s="52">
        <v>212</v>
      </c>
      <c r="S212" s="96"/>
      <c r="T212" s="30" t="b">
        <f>IF(N212=CURSOS!$D$3,"DIPLOMADO EN ATENCION PRE-HOSPITALARIA",IF(N212=CURSOS!$D$4,"ACOMPAÑAMIENTO Y MANEJO DEL DUELO",IF(N212=CURSOS!$D$5,"ATENCION A VICTIMAS DE ATAQUE CON AGENTES QUIMICOS ",IF(N212=CURSOS!$D$6,"PRIMEROS AUXILIOS ",IF(N212=CURSOS!$D$7,"DIPLOMADO DE UNIDAD DE CUIDADOS INTENSIVOS (UCI)",IF(N212=CURSOS!$D$8,"MODELO DE ATENCION PARA EVENTOS EMERGENTES EN SALUD MENTAL (CODIGO VERDE)",IF(N212=CURSOS!$D$9,"HUMANIZACION EN SALUD, BUENAS PRACTICAS EN PACIENTE ",IF(N212=CURSOS!$D$10,"CLINICA DE HERIDAS ",IF(N212=CURSOS!$D$11,"TOMA DE CITOLOGIA A CERVICO VAGINAL ",IF(N212=CURSOS!$D$12,"SOPORTE CARDIOVASCULAR AVANZADO ",IF(N212=CURSOS!$D$13,"CAMILLERO ",IF(N212=CURSOS!$D$14,"TOMA MUESTRAS Y LABORATORIO ",IF(N212=CURSOS!$D$15,"SOPORTE VITAL BASICO (BLS)",IF(N212=CURSOS!$D$16,"ATENCION A VICTIMAS DE VIOLENCIA SEXUAL ",IF(N212=CURSOS!$D$17,"PROGRAMADO AMPLIADO DE INMUNIZACION (PAI - COVID 19)",IF(N212=CURSOS!$D$18,"ATENCION INTEGRAL EN ENFERMEDADES PREVALENTES EN PRIMERA INFANCIA (AIEPI)",IF(N212=CURSOS!$D$19,"ADMINISTRACION DE MEDICAMENTOS, IYECTOLOGIA  Y CANALIZACION ",IF(N212=CURSOS!$D$20,"OPERADOR DE VEHICULOS DE EMERGENCIA (OVE)",IF(N212=CURSOS!$D$21,"INSTITUCIONES AMIGAS DE LA MUJER Y LA INFANCIA (IAMI)",IF(N212=CURSOS!$D$22,"CUIDADO DEL DONANTE DE ORGANOS",IF(N212=CURSOS!$D$23,"ATENCION A VICTIMAS POR VIOLENCIA DE GENERO",IF(N212=CURSOS!$D$24,"IGUALDAD DE GENERO EN LA SALUD",IF(N212=CURSOS!$D$25,"BRIGADA DE EMERGENCIA",IF(N212=CURSOS!$D$26,"MANEJO DEL DOLOR Y CUIDADOS PALIATIVOS",IF(N212=CURSOS!$D$27,"TOMA MUESTRAS Y LABORATORIO POCT",IF(N212=CURSOS!$D$28,"IMPLANTE SUBDERMICO Y DISPOSITIVO INTRAUTERINO",IF(N212=CURSOS!$D$29,"SALUD MENTAL",IF(N212=CURSOS!$D$30,"PRIMEROS AUXILIOS PSICOLOGICOS",IF(N212=CURSOS!$D$31,"ATENCION A VICTIMAS POR CONFLICTO ARMADO",IF(N212=CURSOS!$D$32,"MANIPULACION DE ALIMENTOS Y BPM"))))))))))))))))))))))))))))))</f>
        <v>0</v>
      </c>
      <c r="U212" s="30" t="str">
        <f t="shared" si="30"/>
        <v xml:space="preserve">   </v>
      </c>
      <c r="V212" s="30" t="str">
        <f t="shared" si="31"/>
        <v xml:space="preserve">   </v>
      </c>
      <c r="W212" s="30" t="str">
        <f t="shared" si="32"/>
        <v xml:space="preserve">   --</v>
      </c>
    </row>
    <row r="213" spans="1:23" x14ac:dyDescent="0.2">
      <c r="A213" s="52">
        <v>213</v>
      </c>
      <c r="T213" s="30" t="b">
        <f>IF(N213=CURSOS!$D$3,"DIPLOMADO EN ATENCION PRE-HOSPITALARIA",IF(N213=CURSOS!$D$4,"ACOMPAÑAMIENTO Y MANEJO DEL DUELO",IF(N213=CURSOS!$D$5,"ATENCION A VICTIMAS DE ATAQUE CON AGENTES QUIMICOS ",IF(N213=CURSOS!$D$6,"PRIMEROS AUXILIOS ",IF(N213=CURSOS!$D$7,"DIPLOMADO DE UNIDAD DE CUIDADOS INTENSIVOS (UCI)",IF(N213=CURSOS!$D$8,"MODELO DE ATENCION PARA EVENTOS EMERGENTES EN SALUD MENTAL (CODIGO VERDE)",IF(N213=CURSOS!$D$9,"HUMANIZACION EN SALUD, BUENAS PRACTICAS EN PACIENTE ",IF(N213=CURSOS!$D$10,"CLINICA DE HERIDAS ",IF(N213=CURSOS!$D$11,"TOMA DE CITOLOGIA A CERVICO VAGINAL ",IF(N213=CURSOS!$D$12,"SOPORTE CARDIOVASCULAR AVANZADO ",IF(N213=CURSOS!$D$13,"CAMILLERO ",IF(N213=CURSOS!$D$14,"TOMA MUESTRAS Y LABORATORIO ",IF(N213=CURSOS!$D$15,"SOPORTE VITAL BASICO (BLS)",IF(N213=CURSOS!$D$16,"ATENCION A VICTIMAS DE VIOLENCIA SEXUAL ",IF(N213=CURSOS!$D$17,"PROGRAMADO AMPLIADO DE INMUNIZACION (PAI - COVID 19)",IF(N213=CURSOS!$D$18,"ATENCION INTEGRAL EN ENFERMEDADES PREVALENTES EN PRIMERA INFANCIA (AIEPI)",IF(N213=CURSOS!$D$19,"ADMINISTRACION DE MEDICAMENTOS, IYECTOLOGIA  Y CANALIZACION ",IF(N213=CURSOS!$D$20,"OPERADOR DE VEHICULOS DE EMERGENCIA (OVE)",IF(N213=CURSOS!$D$21,"INSTITUCIONES AMIGAS DE LA MUJER Y LA INFANCIA (IAMI)",IF(N213=CURSOS!$D$22,"CUIDADO DEL DONANTE DE ORGANOS",IF(N213=CURSOS!$D$23,"ATENCION A VICTIMAS POR VIOLENCIA DE GENERO",IF(N213=CURSOS!$D$24,"IGUALDAD DE GENERO EN LA SALUD",IF(N213=CURSOS!$D$25,"BRIGADA DE EMERGENCIA",IF(N213=CURSOS!$D$26,"MANEJO DEL DOLOR Y CUIDADOS PALIATIVOS",IF(N213=CURSOS!$D$27,"TOMA MUESTRAS Y LABORATORIO POCT",IF(N213=CURSOS!$D$28,"IMPLANTE SUBDERMICO Y DISPOSITIVO INTRAUTERINO",IF(N213=CURSOS!$D$29,"SALUD MENTAL",IF(N213=CURSOS!$D$30,"PRIMEROS AUXILIOS PSICOLOGICOS",IF(N213=CURSOS!$D$31,"ATENCION A VICTIMAS POR CONFLICTO ARMADO",IF(N213=CURSOS!$D$32,"MANIPULACION DE ALIMENTOS Y BPM"))))))))))))))))))))))))))))))</f>
        <v>0</v>
      </c>
      <c r="U213" s="30" t="str">
        <f t="shared" si="30"/>
        <v xml:space="preserve">   </v>
      </c>
      <c r="V213" s="30" t="str">
        <f t="shared" si="31"/>
        <v xml:space="preserve">   </v>
      </c>
      <c r="W213" s="30" t="str">
        <f t="shared" si="32"/>
        <v xml:space="preserve">   --</v>
      </c>
    </row>
    <row r="214" spans="1:23" x14ac:dyDescent="0.2">
      <c r="A214" s="52">
        <v>214</v>
      </c>
      <c r="T214" s="30" t="b">
        <f>IF(N214=CURSOS!$D$3,"DIPLOMADO EN ATENCION PRE-HOSPITALARIA",IF(N214=CURSOS!$D$4,"ACOMPAÑAMIENTO Y MANEJO DEL DUELO",IF(N214=CURSOS!$D$5,"ATENCION A VICTIMAS DE ATAQUE CON AGENTES QUIMICOS ",IF(N214=CURSOS!$D$6,"PRIMEROS AUXILIOS ",IF(N214=CURSOS!$D$7,"DIPLOMADO DE UNIDAD DE CUIDADOS INTENSIVOS (UCI)",IF(N214=CURSOS!$D$8,"MODELO DE ATENCION PARA EVENTOS EMERGENTES EN SALUD MENTAL (CODIGO VERDE)",IF(N214=CURSOS!$D$9,"HUMANIZACION EN SALUD, BUENAS PRACTICAS EN PACIENTE ",IF(N214=CURSOS!$D$10,"CLINICA DE HERIDAS ",IF(N214=CURSOS!$D$11,"TOMA DE CITOLOGIA A CERVICO VAGINAL ",IF(N214=CURSOS!$D$12,"SOPORTE CARDIOVASCULAR AVANZADO ",IF(N214=CURSOS!$D$13,"CAMILLERO ",IF(N214=CURSOS!$D$14,"TOMA MUESTRAS Y LABORATORIO ",IF(N214=CURSOS!$D$15,"SOPORTE VITAL BASICO (BLS)",IF(N214=CURSOS!$D$16,"ATENCION A VICTIMAS DE VIOLENCIA SEXUAL ",IF(N214=CURSOS!$D$17,"PROGRAMADO AMPLIADO DE INMUNIZACION (PAI - COVID 19)",IF(N214=CURSOS!$D$18,"ATENCION INTEGRAL EN ENFERMEDADES PREVALENTES EN PRIMERA INFANCIA (AIEPI)",IF(N214=CURSOS!$D$19,"ADMINISTRACION DE MEDICAMENTOS, IYECTOLOGIA  Y CANALIZACION ",IF(N214=CURSOS!$D$20,"OPERADOR DE VEHICULOS DE EMERGENCIA (OVE)",IF(N214=CURSOS!$D$21,"INSTITUCIONES AMIGAS DE LA MUJER Y LA INFANCIA (IAMI)",IF(N214=CURSOS!$D$22,"CUIDADO DEL DONANTE DE ORGANOS",IF(N214=CURSOS!$D$23,"ATENCION A VICTIMAS POR VIOLENCIA DE GENERO",IF(N214=CURSOS!$D$24,"IGUALDAD DE GENERO EN LA SALUD",IF(N214=CURSOS!$D$25,"BRIGADA DE EMERGENCIA",IF(N214=CURSOS!$D$26,"MANEJO DEL DOLOR Y CUIDADOS PALIATIVOS",IF(N214=CURSOS!$D$27,"TOMA MUESTRAS Y LABORATORIO POCT",IF(N214=CURSOS!$D$28,"IMPLANTE SUBDERMICO Y DISPOSITIVO INTRAUTERINO",IF(N214=CURSOS!$D$29,"SALUD MENTAL",IF(N214=CURSOS!$D$30,"PRIMEROS AUXILIOS PSICOLOGICOS",IF(N214=CURSOS!$D$31,"ATENCION A VICTIMAS POR CONFLICTO ARMADO",IF(N214=CURSOS!$D$32,"MANIPULACION DE ALIMENTOS Y BPM"))))))))))))))))))))))))))))))</f>
        <v>0</v>
      </c>
      <c r="U214" s="30" t="str">
        <f t="shared" ref="U214:U277" si="33">CONCATENATE(E214," ",F214," ",C214," ",D214)</f>
        <v xml:space="preserve">   </v>
      </c>
      <c r="V214" s="30" t="str">
        <f t="shared" ref="V214:V277" si="34">+PROPER(U214)</f>
        <v xml:space="preserve">   </v>
      </c>
      <c r="W214" s="30" t="str">
        <f t="shared" ref="W214:W277" si="35">CONCATENATE(U214,"-",B214,"-",N214)</f>
        <v xml:space="preserve">   --</v>
      </c>
    </row>
    <row r="215" spans="1:23" x14ac:dyDescent="0.2">
      <c r="A215" s="52">
        <v>215</v>
      </c>
      <c r="T215" s="30" t="b">
        <f>IF(N215=CURSOS!$D$3,"DIPLOMADO EN ATENCION PRE-HOSPITALARIA",IF(N215=CURSOS!$D$4,"ACOMPAÑAMIENTO Y MANEJO DEL DUELO",IF(N215=CURSOS!$D$5,"ATENCION A VICTIMAS DE ATAQUE CON AGENTES QUIMICOS ",IF(N215=CURSOS!$D$6,"PRIMEROS AUXILIOS ",IF(N215=CURSOS!$D$7,"DIPLOMADO DE UNIDAD DE CUIDADOS INTENSIVOS (UCI)",IF(N215=CURSOS!$D$8,"MODELO DE ATENCION PARA EVENTOS EMERGENTES EN SALUD MENTAL (CODIGO VERDE)",IF(N215=CURSOS!$D$9,"HUMANIZACION EN SALUD, BUENAS PRACTICAS EN PACIENTE ",IF(N215=CURSOS!$D$10,"CLINICA DE HERIDAS ",IF(N215=CURSOS!$D$11,"TOMA DE CITOLOGIA A CERVICO VAGINAL ",IF(N215=CURSOS!$D$12,"SOPORTE CARDIOVASCULAR AVANZADO ",IF(N215=CURSOS!$D$13,"CAMILLERO ",IF(N215=CURSOS!$D$14,"TOMA MUESTRAS Y LABORATORIO ",IF(N215=CURSOS!$D$15,"SOPORTE VITAL BASICO (BLS)",IF(N215=CURSOS!$D$16,"ATENCION A VICTIMAS DE VIOLENCIA SEXUAL ",IF(N215=CURSOS!$D$17,"PROGRAMADO AMPLIADO DE INMUNIZACION (PAI - COVID 19)",IF(N215=CURSOS!$D$18,"ATENCION INTEGRAL EN ENFERMEDADES PREVALENTES EN PRIMERA INFANCIA (AIEPI)",IF(N215=CURSOS!$D$19,"ADMINISTRACION DE MEDICAMENTOS, IYECTOLOGIA  Y CANALIZACION ",IF(N215=CURSOS!$D$20,"OPERADOR DE VEHICULOS DE EMERGENCIA (OVE)",IF(N215=CURSOS!$D$21,"INSTITUCIONES AMIGAS DE LA MUJER Y LA INFANCIA (IAMI)",IF(N215=CURSOS!$D$22,"CUIDADO DEL DONANTE DE ORGANOS",IF(N215=CURSOS!$D$23,"ATENCION A VICTIMAS POR VIOLENCIA DE GENERO",IF(N215=CURSOS!$D$24,"IGUALDAD DE GENERO EN LA SALUD",IF(N215=CURSOS!$D$25,"BRIGADA DE EMERGENCIA",IF(N215=CURSOS!$D$26,"MANEJO DEL DOLOR Y CUIDADOS PALIATIVOS",IF(N215=CURSOS!$D$27,"TOMA MUESTRAS Y LABORATORIO POCT",IF(N215=CURSOS!$D$28,"IMPLANTE SUBDERMICO Y DISPOSITIVO INTRAUTERINO",IF(N215=CURSOS!$D$29,"SALUD MENTAL",IF(N215=CURSOS!$D$30,"PRIMEROS AUXILIOS PSICOLOGICOS",IF(N215=CURSOS!$D$31,"ATENCION A VICTIMAS POR CONFLICTO ARMADO",IF(N215=CURSOS!$D$32,"MANIPULACION DE ALIMENTOS Y BPM"))))))))))))))))))))))))))))))</f>
        <v>0</v>
      </c>
      <c r="U215" s="30" t="str">
        <f t="shared" si="33"/>
        <v xml:space="preserve">   </v>
      </c>
      <c r="V215" s="30" t="str">
        <f t="shared" si="34"/>
        <v xml:space="preserve">   </v>
      </c>
      <c r="W215" s="30" t="str">
        <f t="shared" si="35"/>
        <v xml:space="preserve">   --</v>
      </c>
    </row>
    <row r="216" spans="1:23" x14ac:dyDescent="0.2">
      <c r="A216" s="52">
        <v>216</v>
      </c>
      <c r="T216" s="30" t="b">
        <f>IF(N216=CURSOS!$D$3,"DIPLOMADO EN ATENCION PRE-HOSPITALARIA",IF(N216=CURSOS!$D$4,"ACOMPAÑAMIENTO Y MANEJO DEL DUELO",IF(N216=CURSOS!$D$5,"ATENCION A VICTIMAS DE ATAQUE CON AGENTES QUIMICOS ",IF(N216=CURSOS!$D$6,"PRIMEROS AUXILIOS ",IF(N216=CURSOS!$D$7,"DIPLOMADO DE UNIDAD DE CUIDADOS INTENSIVOS (UCI)",IF(N216=CURSOS!$D$8,"MODELO DE ATENCION PARA EVENTOS EMERGENTES EN SALUD MENTAL (CODIGO VERDE)",IF(N216=CURSOS!$D$9,"HUMANIZACION EN SALUD, BUENAS PRACTICAS EN PACIENTE ",IF(N216=CURSOS!$D$10,"CLINICA DE HERIDAS ",IF(N216=CURSOS!$D$11,"TOMA DE CITOLOGIA A CERVICO VAGINAL ",IF(N216=CURSOS!$D$12,"SOPORTE CARDIOVASCULAR AVANZADO ",IF(N216=CURSOS!$D$13,"CAMILLERO ",IF(N216=CURSOS!$D$14,"TOMA MUESTRAS Y LABORATORIO ",IF(N216=CURSOS!$D$15,"SOPORTE VITAL BASICO (BLS)",IF(N216=CURSOS!$D$16,"ATENCION A VICTIMAS DE VIOLENCIA SEXUAL ",IF(N216=CURSOS!$D$17,"PROGRAMADO AMPLIADO DE INMUNIZACION (PAI - COVID 19)",IF(N216=CURSOS!$D$18,"ATENCION INTEGRAL EN ENFERMEDADES PREVALENTES EN PRIMERA INFANCIA (AIEPI)",IF(N216=CURSOS!$D$19,"ADMINISTRACION DE MEDICAMENTOS, IYECTOLOGIA  Y CANALIZACION ",IF(N216=CURSOS!$D$20,"OPERADOR DE VEHICULOS DE EMERGENCIA (OVE)",IF(N216=CURSOS!$D$21,"INSTITUCIONES AMIGAS DE LA MUJER Y LA INFANCIA (IAMI)",IF(N216=CURSOS!$D$22,"CUIDADO DEL DONANTE DE ORGANOS",IF(N216=CURSOS!$D$23,"ATENCION A VICTIMAS POR VIOLENCIA DE GENERO",IF(N216=CURSOS!$D$24,"IGUALDAD DE GENERO EN LA SALUD",IF(N216=CURSOS!$D$25,"BRIGADA DE EMERGENCIA",IF(N216=CURSOS!$D$26,"MANEJO DEL DOLOR Y CUIDADOS PALIATIVOS",IF(N216=CURSOS!$D$27,"TOMA MUESTRAS Y LABORATORIO POCT",IF(N216=CURSOS!$D$28,"IMPLANTE SUBDERMICO Y DISPOSITIVO INTRAUTERINO",IF(N216=CURSOS!$D$29,"SALUD MENTAL",IF(N216=CURSOS!$D$30,"PRIMEROS AUXILIOS PSICOLOGICOS",IF(N216=CURSOS!$D$31,"ATENCION A VICTIMAS POR CONFLICTO ARMADO",IF(N216=CURSOS!$D$32,"MANIPULACION DE ALIMENTOS Y BPM"))))))))))))))))))))))))))))))</f>
        <v>0</v>
      </c>
      <c r="U216" s="30" t="str">
        <f t="shared" si="33"/>
        <v xml:space="preserve">   </v>
      </c>
      <c r="V216" s="30" t="str">
        <f t="shared" si="34"/>
        <v xml:space="preserve">   </v>
      </c>
      <c r="W216" s="30" t="str">
        <f t="shared" si="35"/>
        <v xml:space="preserve">   --</v>
      </c>
    </row>
    <row r="217" spans="1:23" x14ac:dyDescent="0.2">
      <c r="A217" s="52">
        <v>217</v>
      </c>
      <c r="T217" s="30" t="b">
        <f>IF(N217=CURSOS!$D$3,"DIPLOMADO EN ATENCION PRE-HOSPITALARIA",IF(N217=CURSOS!$D$4,"ACOMPAÑAMIENTO Y MANEJO DEL DUELO",IF(N217=CURSOS!$D$5,"ATENCION A VICTIMAS DE ATAQUE CON AGENTES QUIMICOS ",IF(N217=CURSOS!$D$6,"PRIMEROS AUXILIOS ",IF(N217=CURSOS!$D$7,"DIPLOMADO DE UNIDAD DE CUIDADOS INTENSIVOS (UCI)",IF(N217=CURSOS!$D$8,"MODELO DE ATENCION PARA EVENTOS EMERGENTES EN SALUD MENTAL (CODIGO VERDE)",IF(N217=CURSOS!$D$9,"HUMANIZACION EN SALUD, BUENAS PRACTICAS EN PACIENTE ",IF(N217=CURSOS!$D$10,"CLINICA DE HERIDAS ",IF(N217=CURSOS!$D$11,"TOMA DE CITOLOGIA A CERVICO VAGINAL ",IF(N217=CURSOS!$D$12,"SOPORTE CARDIOVASCULAR AVANZADO ",IF(N217=CURSOS!$D$13,"CAMILLERO ",IF(N217=CURSOS!$D$14,"TOMA MUESTRAS Y LABORATORIO ",IF(N217=CURSOS!$D$15,"SOPORTE VITAL BASICO (BLS)",IF(N217=CURSOS!$D$16,"ATENCION A VICTIMAS DE VIOLENCIA SEXUAL ",IF(N217=CURSOS!$D$17,"PROGRAMADO AMPLIADO DE INMUNIZACION (PAI - COVID 19)",IF(N217=CURSOS!$D$18,"ATENCION INTEGRAL EN ENFERMEDADES PREVALENTES EN PRIMERA INFANCIA (AIEPI)",IF(N217=CURSOS!$D$19,"ADMINISTRACION DE MEDICAMENTOS, IYECTOLOGIA  Y CANALIZACION ",IF(N217=CURSOS!$D$20,"OPERADOR DE VEHICULOS DE EMERGENCIA (OVE)",IF(N217=CURSOS!$D$21,"INSTITUCIONES AMIGAS DE LA MUJER Y LA INFANCIA (IAMI)",IF(N217=CURSOS!$D$22,"CUIDADO DEL DONANTE DE ORGANOS",IF(N217=CURSOS!$D$23,"ATENCION A VICTIMAS POR VIOLENCIA DE GENERO",IF(N217=CURSOS!$D$24,"IGUALDAD DE GENERO EN LA SALUD",IF(N217=CURSOS!$D$25,"BRIGADA DE EMERGENCIA",IF(N217=CURSOS!$D$26,"MANEJO DEL DOLOR Y CUIDADOS PALIATIVOS",IF(N217=CURSOS!$D$27,"TOMA MUESTRAS Y LABORATORIO POCT",IF(N217=CURSOS!$D$28,"IMPLANTE SUBDERMICO Y DISPOSITIVO INTRAUTERINO",IF(N217=CURSOS!$D$29,"SALUD MENTAL",IF(N217=CURSOS!$D$30,"PRIMEROS AUXILIOS PSICOLOGICOS",IF(N217=CURSOS!$D$31,"ATENCION A VICTIMAS POR CONFLICTO ARMADO",IF(N217=CURSOS!$D$32,"MANIPULACION DE ALIMENTOS Y BPM"))))))))))))))))))))))))))))))</f>
        <v>0</v>
      </c>
      <c r="U217" s="30" t="str">
        <f t="shared" si="33"/>
        <v xml:space="preserve">   </v>
      </c>
      <c r="V217" s="30" t="str">
        <f t="shared" si="34"/>
        <v xml:space="preserve">   </v>
      </c>
      <c r="W217" s="30" t="str">
        <f t="shared" si="35"/>
        <v xml:space="preserve">   --</v>
      </c>
    </row>
    <row r="218" spans="1:23" x14ac:dyDescent="0.2">
      <c r="A218" s="52">
        <v>218</v>
      </c>
      <c r="T218" s="30" t="b">
        <f>IF(N218=CURSOS!$D$3,"DIPLOMADO EN ATENCION PRE-HOSPITALARIA",IF(N218=CURSOS!$D$4,"ACOMPAÑAMIENTO Y MANEJO DEL DUELO",IF(N218=CURSOS!$D$5,"ATENCION A VICTIMAS DE ATAQUE CON AGENTES QUIMICOS ",IF(N218=CURSOS!$D$6,"PRIMEROS AUXILIOS ",IF(N218=CURSOS!$D$7,"DIPLOMADO DE UNIDAD DE CUIDADOS INTENSIVOS (UCI)",IF(N218=CURSOS!$D$8,"MODELO DE ATENCION PARA EVENTOS EMERGENTES EN SALUD MENTAL (CODIGO VERDE)",IF(N218=CURSOS!$D$9,"HUMANIZACION EN SALUD, BUENAS PRACTICAS EN PACIENTE ",IF(N218=CURSOS!$D$10,"CLINICA DE HERIDAS ",IF(N218=CURSOS!$D$11,"TOMA DE CITOLOGIA A CERVICO VAGINAL ",IF(N218=CURSOS!$D$12,"SOPORTE CARDIOVASCULAR AVANZADO ",IF(N218=CURSOS!$D$13,"CAMILLERO ",IF(N218=CURSOS!$D$14,"TOMA MUESTRAS Y LABORATORIO ",IF(N218=CURSOS!$D$15,"SOPORTE VITAL BASICO (BLS)",IF(N218=CURSOS!$D$16,"ATENCION A VICTIMAS DE VIOLENCIA SEXUAL ",IF(N218=CURSOS!$D$17,"PROGRAMADO AMPLIADO DE INMUNIZACION (PAI - COVID 19)",IF(N218=CURSOS!$D$18,"ATENCION INTEGRAL EN ENFERMEDADES PREVALENTES EN PRIMERA INFANCIA (AIEPI)",IF(N218=CURSOS!$D$19,"ADMINISTRACION DE MEDICAMENTOS, IYECTOLOGIA  Y CANALIZACION ",IF(N218=CURSOS!$D$20,"OPERADOR DE VEHICULOS DE EMERGENCIA (OVE)",IF(N218=CURSOS!$D$21,"INSTITUCIONES AMIGAS DE LA MUJER Y LA INFANCIA (IAMI)",IF(N218=CURSOS!$D$22,"CUIDADO DEL DONANTE DE ORGANOS",IF(N218=CURSOS!$D$23,"ATENCION A VICTIMAS POR VIOLENCIA DE GENERO",IF(N218=CURSOS!$D$24,"IGUALDAD DE GENERO EN LA SALUD",IF(N218=CURSOS!$D$25,"BRIGADA DE EMERGENCIA",IF(N218=CURSOS!$D$26,"MANEJO DEL DOLOR Y CUIDADOS PALIATIVOS",IF(N218=CURSOS!$D$27,"TOMA MUESTRAS Y LABORATORIO POCT",IF(N218=CURSOS!$D$28,"IMPLANTE SUBDERMICO Y DISPOSITIVO INTRAUTERINO",IF(N218=CURSOS!$D$29,"SALUD MENTAL",IF(N218=CURSOS!$D$30,"PRIMEROS AUXILIOS PSICOLOGICOS",IF(N218=CURSOS!$D$31,"ATENCION A VICTIMAS POR CONFLICTO ARMADO",IF(N218=CURSOS!$D$32,"MANIPULACION DE ALIMENTOS Y BPM"))))))))))))))))))))))))))))))</f>
        <v>0</v>
      </c>
      <c r="U218" s="30" t="str">
        <f t="shared" si="33"/>
        <v xml:space="preserve">   </v>
      </c>
      <c r="V218" s="30" t="str">
        <f t="shared" si="34"/>
        <v xml:space="preserve">   </v>
      </c>
      <c r="W218" s="30" t="str">
        <f t="shared" si="35"/>
        <v xml:space="preserve">   --</v>
      </c>
    </row>
    <row r="219" spans="1:23" x14ac:dyDescent="0.2">
      <c r="A219" s="52">
        <v>219</v>
      </c>
      <c r="T219" s="30" t="b">
        <f>IF(N219=CURSOS!$D$3,"DIPLOMADO EN ATENCION PRE-HOSPITALARIA",IF(N219=CURSOS!$D$4,"ACOMPAÑAMIENTO Y MANEJO DEL DUELO",IF(N219=CURSOS!$D$5,"ATENCION A VICTIMAS DE ATAQUE CON AGENTES QUIMICOS ",IF(N219=CURSOS!$D$6,"PRIMEROS AUXILIOS ",IF(N219=CURSOS!$D$7,"DIPLOMADO DE UNIDAD DE CUIDADOS INTENSIVOS (UCI)",IF(N219=CURSOS!$D$8,"MODELO DE ATENCION PARA EVENTOS EMERGENTES EN SALUD MENTAL (CODIGO VERDE)",IF(N219=CURSOS!$D$9,"HUMANIZACION EN SALUD, BUENAS PRACTICAS EN PACIENTE ",IF(N219=CURSOS!$D$10,"CLINICA DE HERIDAS ",IF(N219=CURSOS!$D$11,"TOMA DE CITOLOGIA A CERVICO VAGINAL ",IF(N219=CURSOS!$D$12,"SOPORTE CARDIOVASCULAR AVANZADO ",IF(N219=CURSOS!$D$13,"CAMILLERO ",IF(N219=CURSOS!$D$14,"TOMA MUESTRAS Y LABORATORIO ",IF(N219=CURSOS!$D$15,"SOPORTE VITAL BASICO (BLS)",IF(N219=CURSOS!$D$16,"ATENCION A VICTIMAS DE VIOLENCIA SEXUAL ",IF(N219=CURSOS!$D$17,"PROGRAMADO AMPLIADO DE INMUNIZACION (PAI - COVID 19)",IF(N219=CURSOS!$D$18,"ATENCION INTEGRAL EN ENFERMEDADES PREVALENTES EN PRIMERA INFANCIA (AIEPI)",IF(N219=CURSOS!$D$19,"ADMINISTRACION DE MEDICAMENTOS, IYECTOLOGIA  Y CANALIZACION ",IF(N219=CURSOS!$D$20,"OPERADOR DE VEHICULOS DE EMERGENCIA (OVE)",IF(N219=CURSOS!$D$21,"INSTITUCIONES AMIGAS DE LA MUJER Y LA INFANCIA (IAMI)",IF(N219=CURSOS!$D$22,"CUIDADO DEL DONANTE DE ORGANOS",IF(N219=CURSOS!$D$23,"ATENCION A VICTIMAS POR VIOLENCIA DE GENERO",IF(N219=CURSOS!$D$24,"IGUALDAD DE GENERO EN LA SALUD",IF(N219=CURSOS!$D$25,"BRIGADA DE EMERGENCIA",IF(N219=CURSOS!$D$26,"MANEJO DEL DOLOR Y CUIDADOS PALIATIVOS",IF(N219=CURSOS!$D$27,"TOMA MUESTRAS Y LABORATORIO POCT",IF(N219=CURSOS!$D$28,"IMPLANTE SUBDERMICO Y DISPOSITIVO INTRAUTERINO",IF(N219=CURSOS!$D$29,"SALUD MENTAL",IF(N219=CURSOS!$D$30,"PRIMEROS AUXILIOS PSICOLOGICOS",IF(N219=CURSOS!$D$31,"ATENCION A VICTIMAS POR CONFLICTO ARMADO",IF(N219=CURSOS!$D$32,"MANIPULACION DE ALIMENTOS Y BPM"))))))))))))))))))))))))))))))</f>
        <v>0</v>
      </c>
      <c r="U219" s="30" t="str">
        <f t="shared" si="33"/>
        <v xml:space="preserve">   </v>
      </c>
      <c r="V219" s="30" t="str">
        <f t="shared" si="34"/>
        <v xml:space="preserve">   </v>
      </c>
      <c r="W219" s="30" t="str">
        <f t="shared" si="35"/>
        <v xml:space="preserve">   --</v>
      </c>
    </row>
    <row r="220" spans="1:23" x14ac:dyDescent="0.2">
      <c r="A220" s="52">
        <v>220</v>
      </c>
      <c r="T220" s="30" t="b">
        <f>IF(N220=CURSOS!$D$3,"DIPLOMADO EN ATENCION PRE-HOSPITALARIA",IF(N220=CURSOS!$D$4,"ACOMPAÑAMIENTO Y MANEJO DEL DUELO",IF(N220=CURSOS!$D$5,"ATENCION A VICTIMAS DE ATAQUE CON AGENTES QUIMICOS ",IF(N220=CURSOS!$D$6,"PRIMEROS AUXILIOS ",IF(N220=CURSOS!$D$7,"DIPLOMADO DE UNIDAD DE CUIDADOS INTENSIVOS (UCI)",IF(N220=CURSOS!$D$8,"MODELO DE ATENCION PARA EVENTOS EMERGENTES EN SALUD MENTAL (CODIGO VERDE)",IF(N220=CURSOS!$D$9,"HUMANIZACION EN SALUD, BUENAS PRACTICAS EN PACIENTE ",IF(N220=CURSOS!$D$10,"CLINICA DE HERIDAS ",IF(N220=CURSOS!$D$11,"TOMA DE CITOLOGIA A CERVICO VAGINAL ",IF(N220=CURSOS!$D$12,"SOPORTE CARDIOVASCULAR AVANZADO ",IF(N220=CURSOS!$D$13,"CAMILLERO ",IF(N220=CURSOS!$D$14,"TOMA MUESTRAS Y LABORATORIO ",IF(N220=CURSOS!$D$15,"SOPORTE VITAL BASICO (BLS)",IF(N220=CURSOS!$D$16,"ATENCION A VICTIMAS DE VIOLENCIA SEXUAL ",IF(N220=CURSOS!$D$17,"PROGRAMADO AMPLIADO DE INMUNIZACION (PAI - COVID 19)",IF(N220=CURSOS!$D$18,"ATENCION INTEGRAL EN ENFERMEDADES PREVALENTES EN PRIMERA INFANCIA (AIEPI)",IF(N220=CURSOS!$D$19,"ADMINISTRACION DE MEDICAMENTOS, IYECTOLOGIA  Y CANALIZACION ",IF(N220=CURSOS!$D$20,"OPERADOR DE VEHICULOS DE EMERGENCIA (OVE)",IF(N220=CURSOS!$D$21,"INSTITUCIONES AMIGAS DE LA MUJER Y LA INFANCIA (IAMI)",IF(N220=CURSOS!$D$22,"CUIDADO DEL DONANTE DE ORGANOS",IF(N220=CURSOS!$D$23,"ATENCION A VICTIMAS POR VIOLENCIA DE GENERO",IF(N220=CURSOS!$D$24,"IGUALDAD DE GENERO EN LA SALUD",IF(N220=CURSOS!$D$25,"BRIGADA DE EMERGENCIA",IF(N220=CURSOS!$D$26,"MANEJO DEL DOLOR Y CUIDADOS PALIATIVOS",IF(N220=CURSOS!$D$27,"TOMA MUESTRAS Y LABORATORIO POCT",IF(N220=CURSOS!$D$28,"IMPLANTE SUBDERMICO Y DISPOSITIVO INTRAUTERINO",IF(N220=CURSOS!$D$29,"SALUD MENTAL",IF(N220=CURSOS!$D$30,"PRIMEROS AUXILIOS PSICOLOGICOS",IF(N220=CURSOS!$D$31,"ATENCION A VICTIMAS POR CONFLICTO ARMADO",IF(N220=CURSOS!$D$32,"MANIPULACION DE ALIMENTOS Y BPM"))))))))))))))))))))))))))))))</f>
        <v>0</v>
      </c>
      <c r="U220" s="30" t="str">
        <f t="shared" si="33"/>
        <v xml:space="preserve">   </v>
      </c>
      <c r="V220" s="30" t="str">
        <f t="shared" si="34"/>
        <v xml:space="preserve">   </v>
      </c>
      <c r="W220" s="30" t="str">
        <f t="shared" si="35"/>
        <v xml:space="preserve">   --</v>
      </c>
    </row>
    <row r="221" spans="1:23" x14ac:dyDescent="0.2">
      <c r="A221" s="52">
        <v>221</v>
      </c>
      <c r="T221" s="30" t="b">
        <f>IF(N221=CURSOS!$D$3,"DIPLOMADO EN ATENCION PRE-HOSPITALARIA",IF(N221=CURSOS!$D$4,"ACOMPAÑAMIENTO Y MANEJO DEL DUELO",IF(N221=CURSOS!$D$5,"ATENCION A VICTIMAS DE ATAQUE CON AGENTES QUIMICOS ",IF(N221=CURSOS!$D$6,"PRIMEROS AUXILIOS ",IF(N221=CURSOS!$D$7,"DIPLOMADO DE UNIDAD DE CUIDADOS INTENSIVOS (UCI)",IF(N221=CURSOS!$D$8,"MODELO DE ATENCION PARA EVENTOS EMERGENTES EN SALUD MENTAL (CODIGO VERDE)",IF(N221=CURSOS!$D$9,"HUMANIZACION EN SALUD, BUENAS PRACTICAS EN PACIENTE ",IF(N221=CURSOS!$D$10,"CLINICA DE HERIDAS ",IF(N221=CURSOS!$D$11,"TOMA DE CITOLOGIA A CERVICO VAGINAL ",IF(N221=CURSOS!$D$12,"SOPORTE CARDIOVASCULAR AVANZADO ",IF(N221=CURSOS!$D$13,"CAMILLERO ",IF(N221=CURSOS!$D$14,"TOMA MUESTRAS Y LABORATORIO ",IF(N221=CURSOS!$D$15,"SOPORTE VITAL BASICO (BLS)",IF(N221=CURSOS!$D$16,"ATENCION A VICTIMAS DE VIOLENCIA SEXUAL ",IF(N221=CURSOS!$D$17,"PROGRAMADO AMPLIADO DE INMUNIZACION (PAI - COVID 19)",IF(N221=CURSOS!$D$18,"ATENCION INTEGRAL EN ENFERMEDADES PREVALENTES EN PRIMERA INFANCIA (AIEPI)",IF(N221=CURSOS!$D$19,"ADMINISTRACION DE MEDICAMENTOS, IYECTOLOGIA  Y CANALIZACION ",IF(N221=CURSOS!$D$20,"OPERADOR DE VEHICULOS DE EMERGENCIA (OVE)",IF(N221=CURSOS!$D$21,"INSTITUCIONES AMIGAS DE LA MUJER Y LA INFANCIA (IAMI)",IF(N221=CURSOS!$D$22,"CUIDADO DEL DONANTE DE ORGANOS",IF(N221=CURSOS!$D$23,"ATENCION A VICTIMAS POR VIOLENCIA DE GENERO",IF(N221=CURSOS!$D$24,"IGUALDAD DE GENERO EN LA SALUD",IF(N221=CURSOS!$D$25,"BRIGADA DE EMERGENCIA",IF(N221=CURSOS!$D$26,"MANEJO DEL DOLOR Y CUIDADOS PALIATIVOS",IF(N221=CURSOS!$D$27,"TOMA MUESTRAS Y LABORATORIO POCT",IF(N221=CURSOS!$D$28,"IMPLANTE SUBDERMICO Y DISPOSITIVO INTRAUTERINO",IF(N221=CURSOS!$D$29,"SALUD MENTAL",IF(N221=CURSOS!$D$30,"PRIMEROS AUXILIOS PSICOLOGICOS",IF(N221=CURSOS!$D$31,"ATENCION A VICTIMAS POR CONFLICTO ARMADO",IF(N221=CURSOS!$D$32,"MANIPULACION DE ALIMENTOS Y BPM"))))))))))))))))))))))))))))))</f>
        <v>0</v>
      </c>
      <c r="U221" s="30" t="str">
        <f t="shared" si="33"/>
        <v xml:space="preserve">   </v>
      </c>
      <c r="V221" s="30" t="str">
        <f t="shared" si="34"/>
        <v xml:space="preserve">   </v>
      </c>
      <c r="W221" s="30" t="str">
        <f t="shared" si="35"/>
        <v xml:space="preserve">   --</v>
      </c>
    </row>
    <row r="222" spans="1:23" x14ac:dyDescent="0.2">
      <c r="A222" s="52">
        <v>222</v>
      </c>
      <c r="T222" s="30" t="b">
        <f>IF(N222=CURSOS!$D$3,"DIPLOMADO EN ATENCION PRE-HOSPITALARIA",IF(N222=CURSOS!$D$4,"ACOMPAÑAMIENTO Y MANEJO DEL DUELO",IF(N222=CURSOS!$D$5,"ATENCION A VICTIMAS DE ATAQUE CON AGENTES QUIMICOS ",IF(N222=CURSOS!$D$6,"PRIMEROS AUXILIOS ",IF(N222=CURSOS!$D$7,"DIPLOMADO DE UNIDAD DE CUIDADOS INTENSIVOS (UCI)",IF(N222=CURSOS!$D$8,"MODELO DE ATENCION PARA EVENTOS EMERGENTES EN SALUD MENTAL (CODIGO VERDE)",IF(N222=CURSOS!$D$9,"HUMANIZACION EN SALUD, BUENAS PRACTICAS EN PACIENTE ",IF(N222=CURSOS!$D$10,"CLINICA DE HERIDAS ",IF(N222=CURSOS!$D$11,"TOMA DE CITOLOGIA A CERVICO VAGINAL ",IF(N222=CURSOS!$D$12,"SOPORTE CARDIOVASCULAR AVANZADO ",IF(N222=CURSOS!$D$13,"CAMILLERO ",IF(N222=CURSOS!$D$14,"TOMA MUESTRAS Y LABORATORIO ",IF(N222=CURSOS!$D$15,"SOPORTE VITAL BASICO (BLS)",IF(N222=CURSOS!$D$16,"ATENCION A VICTIMAS DE VIOLENCIA SEXUAL ",IF(N222=CURSOS!$D$17,"PROGRAMADO AMPLIADO DE INMUNIZACION (PAI - COVID 19)",IF(N222=CURSOS!$D$18,"ATENCION INTEGRAL EN ENFERMEDADES PREVALENTES EN PRIMERA INFANCIA (AIEPI)",IF(N222=CURSOS!$D$19,"ADMINISTRACION DE MEDICAMENTOS, IYECTOLOGIA  Y CANALIZACION ",IF(N222=CURSOS!$D$20,"OPERADOR DE VEHICULOS DE EMERGENCIA (OVE)",IF(N222=CURSOS!$D$21,"INSTITUCIONES AMIGAS DE LA MUJER Y LA INFANCIA (IAMI)",IF(N222=CURSOS!$D$22,"CUIDADO DEL DONANTE DE ORGANOS",IF(N222=CURSOS!$D$23,"ATENCION A VICTIMAS POR VIOLENCIA DE GENERO",IF(N222=CURSOS!$D$24,"IGUALDAD DE GENERO EN LA SALUD",IF(N222=CURSOS!$D$25,"BRIGADA DE EMERGENCIA",IF(N222=CURSOS!$D$26,"MANEJO DEL DOLOR Y CUIDADOS PALIATIVOS",IF(N222=CURSOS!$D$27,"TOMA MUESTRAS Y LABORATORIO POCT",IF(N222=CURSOS!$D$28,"IMPLANTE SUBDERMICO Y DISPOSITIVO INTRAUTERINO",IF(N222=CURSOS!$D$29,"SALUD MENTAL",IF(N222=CURSOS!$D$30,"PRIMEROS AUXILIOS PSICOLOGICOS",IF(N222=CURSOS!$D$31,"ATENCION A VICTIMAS POR CONFLICTO ARMADO",IF(N222=CURSOS!$D$32,"MANIPULACION DE ALIMENTOS Y BPM"))))))))))))))))))))))))))))))</f>
        <v>0</v>
      </c>
      <c r="U222" s="30" t="str">
        <f t="shared" si="33"/>
        <v xml:space="preserve">   </v>
      </c>
      <c r="V222" s="30" t="str">
        <f t="shared" si="34"/>
        <v xml:space="preserve">   </v>
      </c>
      <c r="W222" s="30" t="str">
        <f t="shared" si="35"/>
        <v xml:space="preserve">   --</v>
      </c>
    </row>
    <row r="223" spans="1:23" x14ac:dyDescent="0.2">
      <c r="A223" s="52">
        <v>223</v>
      </c>
      <c r="T223" s="30" t="b">
        <f>IF(N223=CURSOS!$D$3,"DIPLOMADO EN ATENCION PRE-HOSPITALARIA",IF(N223=CURSOS!$D$4,"ACOMPAÑAMIENTO Y MANEJO DEL DUELO",IF(N223=CURSOS!$D$5,"ATENCION A VICTIMAS DE ATAQUE CON AGENTES QUIMICOS ",IF(N223=CURSOS!$D$6,"PRIMEROS AUXILIOS ",IF(N223=CURSOS!$D$7,"DIPLOMADO DE UNIDAD DE CUIDADOS INTENSIVOS (UCI)",IF(N223=CURSOS!$D$8,"MODELO DE ATENCION PARA EVENTOS EMERGENTES EN SALUD MENTAL (CODIGO VERDE)",IF(N223=CURSOS!$D$9,"HUMANIZACION EN SALUD, BUENAS PRACTICAS EN PACIENTE ",IF(N223=CURSOS!$D$10,"CLINICA DE HERIDAS ",IF(N223=CURSOS!$D$11,"TOMA DE CITOLOGIA A CERVICO VAGINAL ",IF(N223=CURSOS!$D$12,"SOPORTE CARDIOVASCULAR AVANZADO ",IF(N223=CURSOS!$D$13,"CAMILLERO ",IF(N223=CURSOS!$D$14,"TOMA MUESTRAS Y LABORATORIO ",IF(N223=CURSOS!$D$15,"SOPORTE VITAL BASICO (BLS)",IF(N223=CURSOS!$D$16,"ATENCION A VICTIMAS DE VIOLENCIA SEXUAL ",IF(N223=CURSOS!$D$17,"PROGRAMADO AMPLIADO DE INMUNIZACION (PAI - COVID 19)",IF(N223=CURSOS!$D$18,"ATENCION INTEGRAL EN ENFERMEDADES PREVALENTES EN PRIMERA INFANCIA (AIEPI)",IF(N223=CURSOS!$D$19,"ADMINISTRACION DE MEDICAMENTOS, IYECTOLOGIA  Y CANALIZACION ",IF(N223=CURSOS!$D$20,"OPERADOR DE VEHICULOS DE EMERGENCIA (OVE)",IF(N223=CURSOS!$D$21,"INSTITUCIONES AMIGAS DE LA MUJER Y LA INFANCIA (IAMI)",IF(N223=CURSOS!$D$22,"CUIDADO DEL DONANTE DE ORGANOS",IF(N223=CURSOS!$D$23,"ATENCION A VICTIMAS POR VIOLENCIA DE GENERO",IF(N223=CURSOS!$D$24,"IGUALDAD DE GENERO EN LA SALUD",IF(N223=CURSOS!$D$25,"BRIGADA DE EMERGENCIA",IF(N223=CURSOS!$D$26,"MANEJO DEL DOLOR Y CUIDADOS PALIATIVOS",IF(N223=CURSOS!$D$27,"TOMA MUESTRAS Y LABORATORIO POCT",IF(N223=CURSOS!$D$28,"IMPLANTE SUBDERMICO Y DISPOSITIVO INTRAUTERINO",IF(N223=CURSOS!$D$29,"SALUD MENTAL",IF(N223=CURSOS!$D$30,"PRIMEROS AUXILIOS PSICOLOGICOS",IF(N223=CURSOS!$D$31,"ATENCION A VICTIMAS POR CONFLICTO ARMADO",IF(N223=CURSOS!$D$32,"MANIPULACION DE ALIMENTOS Y BPM"))))))))))))))))))))))))))))))</f>
        <v>0</v>
      </c>
      <c r="U223" s="30" t="str">
        <f t="shared" si="33"/>
        <v xml:space="preserve">   </v>
      </c>
      <c r="V223" s="30" t="str">
        <f t="shared" si="34"/>
        <v xml:space="preserve">   </v>
      </c>
      <c r="W223" s="30" t="str">
        <f t="shared" si="35"/>
        <v xml:space="preserve">   --</v>
      </c>
    </row>
    <row r="224" spans="1:23" x14ac:dyDescent="0.2">
      <c r="A224" s="52">
        <v>224</v>
      </c>
      <c r="T224" s="30" t="b">
        <f>IF(N224=CURSOS!$D$3,"DIPLOMADO EN ATENCION PRE-HOSPITALARIA",IF(N224=CURSOS!$D$4,"ACOMPAÑAMIENTO Y MANEJO DEL DUELO",IF(N224=CURSOS!$D$5,"ATENCION A VICTIMAS DE ATAQUE CON AGENTES QUIMICOS ",IF(N224=CURSOS!$D$6,"PRIMEROS AUXILIOS ",IF(N224=CURSOS!$D$7,"DIPLOMADO DE UNIDAD DE CUIDADOS INTENSIVOS (UCI)",IF(N224=CURSOS!$D$8,"MODELO DE ATENCION PARA EVENTOS EMERGENTES EN SALUD MENTAL (CODIGO VERDE)",IF(N224=CURSOS!$D$9,"HUMANIZACION EN SALUD, BUENAS PRACTICAS EN PACIENTE ",IF(N224=CURSOS!$D$10,"CLINICA DE HERIDAS ",IF(N224=CURSOS!$D$11,"TOMA DE CITOLOGIA A CERVICO VAGINAL ",IF(N224=CURSOS!$D$12,"SOPORTE CARDIOVASCULAR AVANZADO ",IF(N224=CURSOS!$D$13,"CAMILLERO ",IF(N224=CURSOS!$D$14,"TOMA MUESTRAS Y LABORATORIO ",IF(N224=CURSOS!$D$15,"SOPORTE VITAL BASICO (BLS)",IF(N224=CURSOS!$D$16,"ATENCION A VICTIMAS DE VIOLENCIA SEXUAL ",IF(N224=CURSOS!$D$17,"PROGRAMADO AMPLIADO DE INMUNIZACION (PAI - COVID 19)",IF(N224=CURSOS!$D$18,"ATENCION INTEGRAL EN ENFERMEDADES PREVALENTES EN PRIMERA INFANCIA (AIEPI)",IF(N224=CURSOS!$D$19,"ADMINISTRACION DE MEDICAMENTOS, IYECTOLOGIA  Y CANALIZACION ",IF(N224=CURSOS!$D$20,"OPERADOR DE VEHICULOS DE EMERGENCIA (OVE)",IF(N224=CURSOS!$D$21,"INSTITUCIONES AMIGAS DE LA MUJER Y LA INFANCIA (IAMI)",IF(N224=CURSOS!$D$22,"CUIDADO DEL DONANTE DE ORGANOS",IF(N224=CURSOS!$D$23,"ATENCION A VICTIMAS POR VIOLENCIA DE GENERO",IF(N224=CURSOS!$D$24,"IGUALDAD DE GENERO EN LA SALUD",IF(N224=CURSOS!$D$25,"BRIGADA DE EMERGENCIA",IF(N224=CURSOS!$D$26,"MANEJO DEL DOLOR Y CUIDADOS PALIATIVOS",IF(N224=CURSOS!$D$27,"TOMA MUESTRAS Y LABORATORIO POCT",IF(N224=CURSOS!$D$28,"IMPLANTE SUBDERMICO Y DISPOSITIVO INTRAUTERINO",IF(N224=CURSOS!$D$29,"SALUD MENTAL",IF(N224=CURSOS!$D$30,"PRIMEROS AUXILIOS PSICOLOGICOS",IF(N224=CURSOS!$D$31,"ATENCION A VICTIMAS POR CONFLICTO ARMADO",IF(N224=CURSOS!$D$32,"MANIPULACION DE ALIMENTOS Y BPM"))))))))))))))))))))))))))))))</f>
        <v>0</v>
      </c>
      <c r="U224" s="30" t="str">
        <f t="shared" si="33"/>
        <v xml:space="preserve">   </v>
      </c>
      <c r="V224" s="30" t="str">
        <f t="shared" si="34"/>
        <v xml:space="preserve">   </v>
      </c>
      <c r="W224" s="30" t="str">
        <f t="shared" si="35"/>
        <v xml:space="preserve">   --</v>
      </c>
    </row>
    <row r="225" spans="1:23" x14ac:dyDescent="0.2">
      <c r="A225" s="52">
        <v>225</v>
      </c>
      <c r="T225" s="30" t="b">
        <f>IF(N225=CURSOS!$D$3,"DIPLOMADO EN ATENCION PRE-HOSPITALARIA",IF(N225=CURSOS!$D$4,"ACOMPAÑAMIENTO Y MANEJO DEL DUELO",IF(N225=CURSOS!$D$5,"ATENCION A VICTIMAS DE ATAQUE CON AGENTES QUIMICOS ",IF(N225=CURSOS!$D$6,"PRIMEROS AUXILIOS ",IF(N225=CURSOS!$D$7,"DIPLOMADO DE UNIDAD DE CUIDADOS INTENSIVOS (UCI)",IF(N225=CURSOS!$D$8,"MODELO DE ATENCION PARA EVENTOS EMERGENTES EN SALUD MENTAL (CODIGO VERDE)",IF(N225=CURSOS!$D$9,"HUMANIZACION EN SALUD, BUENAS PRACTICAS EN PACIENTE ",IF(N225=CURSOS!$D$10,"CLINICA DE HERIDAS ",IF(N225=CURSOS!$D$11,"TOMA DE CITOLOGIA A CERVICO VAGINAL ",IF(N225=CURSOS!$D$12,"SOPORTE CARDIOVASCULAR AVANZADO ",IF(N225=CURSOS!$D$13,"CAMILLERO ",IF(N225=CURSOS!$D$14,"TOMA MUESTRAS Y LABORATORIO ",IF(N225=CURSOS!$D$15,"SOPORTE VITAL BASICO (BLS)",IF(N225=CURSOS!$D$16,"ATENCION A VICTIMAS DE VIOLENCIA SEXUAL ",IF(N225=CURSOS!$D$17,"PROGRAMADO AMPLIADO DE INMUNIZACION (PAI - COVID 19)",IF(N225=CURSOS!$D$18,"ATENCION INTEGRAL EN ENFERMEDADES PREVALENTES EN PRIMERA INFANCIA (AIEPI)",IF(N225=CURSOS!$D$19,"ADMINISTRACION DE MEDICAMENTOS, IYECTOLOGIA  Y CANALIZACION ",IF(N225=CURSOS!$D$20,"OPERADOR DE VEHICULOS DE EMERGENCIA (OVE)",IF(N225=CURSOS!$D$21,"INSTITUCIONES AMIGAS DE LA MUJER Y LA INFANCIA (IAMI)",IF(N225=CURSOS!$D$22,"CUIDADO DEL DONANTE DE ORGANOS",IF(N225=CURSOS!$D$23,"ATENCION A VICTIMAS POR VIOLENCIA DE GENERO",IF(N225=CURSOS!$D$24,"IGUALDAD DE GENERO EN LA SALUD",IF(N225=CURSOS!$D$25,"BRIGADA DE EMERGENCIA",IF(N225=CURSOS!$D$26,"MANEJO DEL DOLOR Y CUIDADOS PALIATIVOS",IF(N225=CURSOS!$D$27,"TOMA MUESTRAS Y LABORATORIO POCT",IF(N225=CURSOS!$D$28,"IMPLANTE SUBDERMICO Y DISPOSITIVO INTRAUTERINO",IF(N225=CURSOS!$D$29,"SALUD MENTAL",IF(N225=CURSOS!$D$30,"PRIMEROS AUXILIOS PSICOLOGICOS",IF(N225=CURSOS!$D$31,"ATENCION A VICTIMAS POR CONFLICTO ARMADO",IF(N225=CURSOS!$D$32,"MANIPULACION DE ALIMENTOS Y BPM"))))))))))))))))))))))))))))))</f>
        <v>0</v>
      </c>
      <c r="U225" s="30" t="str">
        <f t="shared" si="33"/>
        <v xml:space="preserve">   </v>
      </c>
      <c r="V225" s="30" t="str">
        <f t="shared" si="34"/>
        <v xml:space="preserve">   </v>
      </c>
      <c r="W225" s="30" t="str">
        <f t="shared" si="35"/>
        <v xml:space="preserve">   --</v>
      </c>
    </row>
    <row r="226" spans="1:23" x14ac:dyDescent="0.2">
      <c r="A226" s="52">
        <v>226</v>
      </c>
      <c r="T226" s="30" t="b">
        <f>IF(N226=CURSOS!$D$3,"DIPLOMADO EN ATENCION PRE-HOSPITALARIA",IF(N226=CURSOS!$D$4,"ACOMPAÑAMIENTO Y MANEJO DEL DUELO",IF(N226=CURSOS!$D$5,"ATENCION A VICTIMAS DE ATAQUE CON AGENTES QUIMICOS ",IF(N226=CURSOS!$D$6,"PRIMEROS AUXILIOS ",IF(N226=CURSOS!$D$7,"DIPLOMADO DE UNIDAD DE CUIDADOS INTENSIVOS (UCI)",IF(N226=CURSOS!$D$8,"MODELO DE ATENCION PARA EVENTOS EMERGENTES EN SALUD MENTAL (CODIGO VERDE)",IF(N226=CURSOS!$D$9,"HUMANIZACION EN SALUD, BUENAS PRACTICAS EN PACIENTE ",IF(N226=CURSOS!$D$10,"CLINICA DE HERIDAS ",IF(N226=CURSOS!$D$11,"TOMA DE CITOLOGIA A CERVICO VAGINAL ",IF(N226=CURSOS!$D$12,"SOPORTE CARDIOVASCULAR AVANZADO ",IF(N226=CURSOS!$D$13,"CAMILLERO ",IF(N226=CURSOS!$D$14,"TOMA MUESTRAS Y LABORATORIO ",IF(N226=CURSOS!$D$15,"SOPORTE VITAL BASICO (BLS)",IF(N226=CURSOS!$D$16,"ATENCION A VICTIMAS DE VIOLENCIA SEXUAL ",IF(N226=CURSOS!$D$17,"PROGRAMADO AMPLIADO DE INMUNIZACION (PAI - COVID 19)",IF(N226=CURSOS!$D$18,"ATENCION INTEGRAL EN ENFERMEDADES PREVALENTES EN PRIMERA INFANCIA (AIEPI)",IF(N226=CURSOS!$D$19,"ADMINISTRACION DE MEDICAMENTOS, IYECTOLOGIA  Y CANALIZACION ",IF(N226=CURSOS!$D$20,"OPERADOR DE VEHICULOS DE EMERGENCIA (OVE)",IF(N226=CURSOS!$D$21,"INSTITUCIONES AMIGAS DE LA MUJER Y LA INFANCIA (IAMI)",IF(N226=CURSOS!$D$22,"CUIDADO DEL DONANTE DE ORGANOS",IF(N226=CURSOS!$D$23,"ATENCION A VICTIMAS POR VIOLENCIA DE GENERO",IF(N226=CURSOS!$D$24,"IGUALDAD DE GENERO EN LA SALUD",IF(N226=CURSOS!$D$25,"BRIGADA DE EMERGENCIA",IF(N226=CURSOS!$D$26,"MANEJO DEL DOLOR Y CUIDADOS PALIATIVOS",IF(N226=CURSOS!$D$27,"TOMA MUESTRAS Y LABORATORIO POCT",IF(N226=CURSOS!$D$28,"IMPLANTE SUBDERMICO Y DISPOSITIVO INTRAUTERINO",IF(N226=CURSOS!$D$29,"SALUD MENTAL",IF(N226=CURSOS!$D$30,"PRIMEROS AUXILIOS PSICOLOGICOS",IF(N226=CURSOS!$D$31,"ATENCION A VICTIMAS POR CONFLICTO ARMADO",IF(N226=CURSOS!$D$32,"MANIPULACION DE ALIMENTOS Y BPM"))))))))))))))))))))))))))))))</f>
        <v>0</v>
      </c>
      <c r="U226" s="30" t="str">
        <f t="shared" si="33"/>
        <v xml:space="preserve">   </v>
      </c>
      <c r="V226" s="30" t="str">
        <f t="shared" si="34"/>
        <v xml:space="preserve">   </v>
      </c>
      <c r="W226" s="30" t="str">
        <f t="shared" si="35"/>
        <v xml:space="preserve">   --</v>
      </c>
    </row>
    <row r="227" spans="1:23" x14ac:dyDescent="0.2">
      <c r="A227" s="52">
        <v>227</v>
      </c>
      <c r="T227" s="30" t="b">
        <f>IF(N227=CURSOS!$D$3,"DIPLOMADO EN ATENCION PRE-HOSPITALARIA",IF(N227=CURSOS!$D$4,"ACOMPAÑAMIENTO Y MANEJO DEL DUELO",IF(N227=CURSOS!$D$5,"ATENCION A VICTIMAS DE ATAQUE CON AGENTES QUIMICOS ",IF(N227=CURSOS!$D$6,"PRIMEROS AUXILIOS ",IF(N227=CURSOS!$D$7,"DIPLOMADO DE UNIDAD DE CUIDADOS INTENSIVOS (UCI)",IF(N227=CURSOS!$D$8,"MODELO DE ATENCION PARA EVENTOS EMERGENTES EN SALUD MENTAL (CODIGO VERDE)",IF(N227=CURSOS!$D$9,"HUMANIZACION EN SALUD, BUENAS PRACTICAS EN PACIENTE ",IF(N227=CURSOS!$D$10,"CLINICA DE HERIDAS ",IF(N227=CURSOS!$D$11,"TOMA DE CITOLOGIA A CERVICO VAGINAL ",IF(N227=CURSOS!$D$12,"SOPORTE CARDIOVASCULAR AVANZADO ",IF(N227=CURSOS!$D$13,"CAMILLERO ",IF(N227=CURSOS!$D$14,"TOMA MUESTRAS Y LABORATORIO ",IF(N227=CURSOS!$D$15,"SOPORTE VITAL BASICO (BLS)",IF(N227=CURSOS!$D$16,"ATENCION A VICTIMAS DE VIOLENCIA SEXUAL ",IF(N227=CURSOS!$D$17,"PROGRAMADO AMPLIADO DE INMUNIZACION (PAI - COVID 19)",IF(N227=CURSOS!$D$18,"ATENCION INTEGRAL EN ENFERMEDADES PREVALENTES EN PRIMERA INFANCIA (AIEPI)",IF(N227=CURSOS!$D$19,"ADMINISTRACION DE MEDICAMENTOS, IYECTOLOGIA  Y CANALIZACION ",IF(N227=CURSOS!$D$20,"OPERADOR DE VEHICULOS DE EMERGENCIA (OVE)",IF(N227=CURSOS!$D$21,"INSTITUCIONES AMIGAS DE LA MUJER Y LA INFANCIA (IAMI)",IF(N227=CURSOS!$D$22,"CUIDADO DEL DONANTE DE ORGANOS",IF(N227=CURSOS!$D$23,"ATENCION A VICTIMAS POR VIOLENCIA DE GENERO",IF(N227=CURSOS!$D$24,"IGUALDAD DE GENERO EN LA SALUD",IF(N227=CURSOS!$D$25,"BRIGADA DE EMERGENCIA",IF(N227=CURSOS!$D$26,"MANEJO DEL DOLOR Y CUIDADOS PALIATIVOS",IF(N227=CURSOS!$D$27,"TOMA MUESTRAS Y LABORATORIO POCT",IF(N227=CURSOS!$D$28,"IMPLANTE SUBDERMICO Y DISPOSITIVO INTRAUTERINO",IF(N227=CURSOS!$D$29,"SALUD MENTAL",IF(N227=CURSOS!$D$30,"PRIMEROS AUXILIOS PSICOLOGICOS",IF(N227=CURSOS!$D$31,"ATENCION A VICTIMAS POR CONFLICTO ARMADO",IF(N227=CURSOS!$D$32,"MANIPULACION DE ALIMENTOS Y BPM"))))))))))))))))))))))))))))))</f>
        <v>0</v>
      </c>
      <c r="U227" s="30" t="str">
        <f t="shared" si="33"/>
        <v xml:space="preserve">   </v>
      </c>
      <c r="V227" s="30" t="str">
        <f t="shared" si="34"/>
        <v xml:space="preserve">   </v>
      </c>
      <c r="W227" s="30" t="str">
        <f t="shared" si="35"/>
        <v xml:space="preserve">   --</v>
      </c>
    </row>
    <row r="228" spans="1:23" x14ac:dyDescent="0.2">
      <c r="A228" s="52">
        <v>228</v>
      </c>
      <c r="T228" s="30" t="b">
        <f>IF(N228=CURSOS!$D$3,"DIPLOMADO EN ATENCION PRE-HOSPITALARIA",IF(N228=CURSOS!$D$4,"ACOMPAÑAMIENTO Y MANEJO DEL DUELO",IF(N228=CURSOS!$D$5,"ATENCION A VICTIMAS DE ATAQUE CON AGENTES QUIMICOS ",IF(N228=CURSOS!$D$6,"PRIMEROS AUXILIOS ",IF(N228=CURSOS!$D$7,"DIPLOMADO DE UNIDAD DE CUIDADOS INTENSIVOS (UCI)",IF(N228=CURSOS!$D$8,"MODELO DE ATENCION PARA EVENTOS EMERGENTES EN SALUD MENTAL (CODIGO VERDE)",IF(N228=CURSOS!$D$9,"HUMANIZACION EN SALUD, BUENAS PRACTICAS EN PACIENTE ",IF(N228=CURSOS!$D$10,"CLINICA DE HERIDAS ",IF(N228=CURSOS!$D$11,"TOMA DE CITOLOGIA A CERVICO VAGINAL ",IF(N228=CURSOS!$D$12,"SOPORTE CARDIOVASCULAR AVANZADO ",IF(N228=CURSOS!$D$13,"CAMILLERO ",IF(N228=CURSOS!$D$14,"TOMA MUESTRAS Y LABORATORIO ",IF(N228=CURSOS!$D$15,"SOPORTE VITAL BASICO (BLS)",IF(N228=CURSOS!$D$16,"ATENCION A VICTIMAS DE VIOLENCIA SEXUAL ",IF(N228=CURSOS!$D$17,"PROGRAMADO AMPLIADO DE INMUNIZACION (PAI - COVID 19)",IF(N228=CURSOS!$D$18,"ATENCION INTEGRAL EN ENFERMEDADES PREVALENTES EN PRIMERA INFANCIA (AIEPI)",IF(N228=CURSOS!$D$19,"ADMINISTRACION DE MEDICAMENTOS, IYECTOLOGIA  Y CANALIZACION ",IF(N228=CURSOS!$D$20,"OPERADOR DE VEHICULOS DE EMERGENCIA (OVE)",IF(N228=CURSOS!$D$21,"INSTITUCIONES AMIGAS DE LA MUJER Y LA INFANCIA (IAMI)",IF(N228=CURSOS!$D$22,"CUIDADO DEL DONANTE DE ORGANOS",IF(N228=CURSOS!$D$23,"ATENCION A VICTIMAS POR VIOLENCIA DE GENERO",IF(N228=CURSOS!$D$24,"IGUALDAD DE GENERO EN LA SALUD",IF(N228=CURSOS!$D$25,"BRIGADA DE EMERGENCIA",IF(N228=CURSOS!$D$26,"MANEJO DEL DOLOR Y CUIDADOS PALIATIVOS",IF(N228=CURSOS!$D$27,"TOMA MUESTRAS Y LABORATORIO POCT",IF(N228=CURSOS!$D$28,"IMPLANTE SUBDERMICO Y DISPOSITIVO INTRAUTERINO",IF(N228=CURSOS!$D$29,"SALUD MENTAL",IF(N228=CURSOS!$D$30,"PRIMEROS AUXILIOS PSICOLOGICOS",IF(N228=CURSOS!$D$31,"ATENCION A VICTIMAS POR CONFLICTO ARMADO",IF(N228=CURSOS!$D$32,"MANIPULACION DE ALIMENTOS Y BPM"))))))))))))))))))))))))))))))</f>
        <v>0</v>
      </c>
      <c r="U228" s="30" t="str">
        <f t="shared" si="33"/>
        <v xml:space="preserve">   </v>
      </c>
      <c r="V228" s="30" t="str">
        <f t="shared" si="34"/>
        <v xml:space="preserve">   </v>
      </c>
      <c r="W228" s="30" t="str">
        <f t="shared" si="35"/>
        <v xml:space="preserve">   --</v>
      </c>
    </row>
    <row r="229" spans="1:23" ht="17.25" customHeight="1" x14ac:dyDescent="0.25">
      <c r="A229" s="52">
        <v>229</v>
      </c>
      <c r="O229" s="106"/>
      <c r="T229" s="30" t="b">
        <f>IF(N229=CURSOS!$D$3,"DIPLOMADO EN ATENCION PRE-HOSPITALARIA",IF(N229=CURSOS!$D$4,"ACOMPAÑAMIENTO Y MANEJO DEL DUELO",IF(N229=CURSOS!$D$5,"ATENCION A VICTIMAS DE ATAQUE CON AGENTES QUIMICOS ",IF(N229=CURSOS!$D$6,"PRIMEROS AUXILIOS ",IF(N229=CURSOS!$D$7,"DIPLOMADO DE UNIDAD DE CUIDADOS INTENSIVOS (UCI)",IF(N229=CURSOS!$D$8,"MODELO DE ATENCION PARA EVENTOS EMERGENTES EN SALUD MENTAL (CODIGO VERDE)",IF(N229=CURSOS!$D$9,"HUMANIZACION EN SALUD, BUENAS PRACTICAS EN PACIENTE ",IF(N229=CURSOS!$D$10,"CLINICA DE HERIDAS ",IF(N229=CURSOS!$D$11,"TOMA DE CITOLOGIA A CERVICO VAGINAL ",IF(N229=CURSOS!$D$12,"SOPORTE CARDIOVASCULAR AVANZADO ",IF(N229=CURSOS!$D$13,"CAMILLERO ",IF(N229=CURSOS!$D$14,"TOMA MUESTRAS Y LABORATORIO ",IF(N229=CURSOS!$D$15,"SOPORTE VITAL BASICO (BLS)",IF(N229=CURSOS!$D$16,"ATENCION A VICTIMAS DE VIOLENCIA SEXUAL ",IF(N229=CURSOS!$D$17,"PROGRAMADO AMPLIADO DE INMUNIZACION (PAI - COVID 19)",IF(N229=CURSOS!$D$18,"ATENCION INTEGRAL EN ENFERMEDADES PREVALENTES EN PRIMERA INFANCIA (AIEPI)",IF(N229=CURSOS!$D$19,"ADMINISTRACION DE MEDICAMENTOS, IYECTOLOGIA  Y CANALIZACION ",IF(N229=CURSOS!$D$20,"OPERADOR DE VEHICULOS DE EMERGENCIA (OVE)",IF(N229=CURSOS!$D$21,"INSTITUCIONES AMIGAS DE LA MUJER Y LA INFANCIA (IAMI)",IF(N229=CURSOS!$D$22,"CUIDADO DEL DONANTE DE ORGANOS",IF(N229=CURSOS!$D$23,"ATENCION A VICTIMAS POR VIOLENCIA DE GENERO",IF(N229=CURSOS!$D$24,"IGUALDAD DE GENERO EN LA SALUD",IF(N229=CURSOS!$D$25,"BRIGADA DE EMERGENCIA",IF(N229=CURSOS!$D$26,"MANEJO DEL DOLOR Y CUIDADOS PALIATIVOS",IF(N229=CURSOS!$D$27,"TOMA MUESTRAS Y LABORATORIO POCT",IF(N229=CURSOS!$D$28,"IMPLANTE SUBDERMICO Y DISPOSITIVO INTRAUTERINO",IF(N229=CURSOS!$D$29,"SALUD MENTAL",IF(N229=CURSOS!$D$30,"PRIMEROS AUXILIOS PSICOLOGICOS",IF(N229=CURSOS!$D$31,"ATENCION A VICTIMAS POR CONFLICTO ARMADO",IF(N229=CURSOS!$D$32,"MANIPULACION DE ALIMENTOS Y BPM"))))))))))))))))))))))))))))))</f>
        <v>0</v>
      </c>
      <c r="U229" s="30" t="str">
        <f t="shared" si="33"/>
        <v xml:space="preserve">   </v>
      </c>
      <c r="V229" s="30" t="str">
        <f t="shared" si="34"/>
        <v xml:space="preserve">   </v>
      </c>
      <c r="W229" s="30" t="str">
        <f t="shared" si="35"/>
        <v xml:space="preserve">   --</v>
      </c>
    </row>
    <row r="230" spans="1:23" ht="15.75" x14ac:dyDescent="0.25">
      <c r="A230" s="52">
        <v>230</v>
      </c>
      <c r="S230" s="96"/>
      <c r="T230" s="30" t="b">
        <f>IF(N230=CURSOS!$D$3,"DIPLOMADO EN ATENCION PRE-HOSPITALARIA",IF(N230=CURSOS!$D$4,"ACOMPAÑAMIENTO Y MANEJO DEL DUELO",IF(N230=CURSOS!$D$5,"ATENCION A VICTIMAS DE ATAQUE CON AGENTES QUIMICOS ",IF(N230=CURSOS!$D$6,"PRIMEROS AUXILIOS ",IF(N230=CURSOS!$D$7,"DIPLOMADO DE UNIDAD DE CUIDADOS INTENSIVOS (UCI)",IF(N230=CURSOS!$D$8,"MODELO DE ATENCION PARA EVENTOS EMERGENTES EN SALUD MENTAL (CODIGO VERDE)",IF(N230=CURSOS!$D$9,"HUMANIZACION EN SALUD, BUENAS PRACTICAS EN PACIENTE ",IF(N230=CURSOS!$D$10,"CLINICA DE HERIDAS ",IF(N230=CURSOS!$D$11,"TOMA DE CITOLOGIA A CERVICO VAGINAL ",IF(N230=CURSOS!$D$12,"SOPORTE CARDIOVASCULAR AVANZADO ",IF(N230=CURSOS!$D$13,"CAMILLERO ",IF(N230=CURSOS!$D$14,"TOMA MUESTRAS Y LABORATORIO ",IF(N230=CURSOS!$D$15,"SOPORTE VITAL BASICO (BLS)",IF(N230=CURSOS!$D$16,"ATENCION A VICTIMAS DE VIOLENCIA SEXUAL ",IF(N230=CURSOS!$D$17,"PROGRAMADO AMPLIADO DE INMUNIZACION (PAI - COVID 19)",IF(N230=CURSOS!$D$18,"ATENCION INTEGRAL EN ENFERMEDADES PREVALENTES EN PRIMERA INFANCIA (AIEPI)",IF(N230=CURSOS!$D$19,"ADMINISTRACION DE MEDICAMENTOS, IYECTOLOGIA  Y CANALIZACION ",IF(N230=CURSOS!$D$20,"OPERADOR DE VEHICULOS DE EMERGENCIA (OVE)",IF(N230=CURSOS!$D$21,"INSTITUCIONES AMIGAS DE LA MUJER Y LA INFANCIA (IAMI)",IF(N230=CURSOS!$D$22,"CUIDADO DEL DONANTE DE ORGANOS",IF(N230=CURSOS!$D$23,"ATENCION A VICTIMAS POR VIOLENCIA DE GENERO",IF(N230=CURSOS!$D$24,"IGUALDAD DE GENERO EN LA SALUD",IF(N230=CURSOS!$D$25,"BRIGADA DE EMERGENCIA",IF(N230=CURSOS!$D$26,"MANEJO DEL DOLOR Y CUIDADOS PALIATIVOS",IF(N230=CURSOS!$D$27,"TOMA MUESTRAS Y LABORATORIO POCT",IF(N230=CURSOS!$D$28,"IMPLANTE SUBDERMICO Y DISPOSITIVO INTRAUTERINO",IF(N230=CURSOS!$D$29,"SALUD MENTAL",IF(N230=CURSOS!$D$30,"PRIMEROS AUXILIOS PSICOLOGICOS",IF(N230=CURSOS!$D$31,"ATENCION A VICTIMAS POR CONFLICTO ARMADO",IF(N230=CURSOS!$D$32,"MANIPULACION DE ALIMENTOS Y BPM"))))))))))))))))))))))))))))))</f>
        <v>0</v>
      </c>
      <c r="U230" s="30" t="str">
        <f t="shared" si="33"/>
        <v xml:space="preserve">   </v>
      </c>
      <c r="V230" s="30" t="str">
        <f t="shared" si="34"/>
        <v xml:space="preserve">   </v>
      </c>
      <c r="W230" s="30" t="str">
        <f t="shared" si="35"/>
        <v xml:space="preserve">   --</v>
      </c>
    </row>
    <row r="231" spans="1:23" ht="15.75" x14ac:dyDescent="0.25">
      <c r="A231" s="52">
        <v>231</v>
      </c>
      <c r="S231" s="96"/>
      <c r="T231" s="30" t="b">
        <f>IF(N231=CURSOS!$D$3,"DIPLOMADO EN ATENCION PRE-HOSPITALARIA",IF(N231=CURSOS!$D$4,"ACOMPAÑAMIENTO Y MANEJO DEL DUELO",IF(N231=CURSOS!$D$5,"ATENCION A VICTIMAS DE ATAQUE CON AGENTES QUIMICOS ",IF(N231=CURSOS!$D$6,"PRIMEROS AUXILIOS ",IF(N231=CURSOS!$D$7,"DIPLOMADO DE UNIDAD DE CUIDADOS INTENSIVOS (UCI)",IF(N231=CURSOS!$D$8,"MODELO DE ATENCION PARA EVENTOS EMERGENTES EN SALUD MENTAL (CODIGO VERDE)",IF(N231=CURSOS!$D$9,"HUMANIZACION EN SALUD, BUENAS PRACTICAS EN PACIENTE ",IF(N231=CURSOS!$D$10,"CLINICA DE HERIDAS ",IF(N231=CURSOS!$D$11,"TOMA DE CITOLOGIA A CERVICO VAGINAL ",IF(N231=CURSOS!$D$12,"SOPORTE CARDIOVASCULAR AVANZADO ",IF(N231=CURSOS!$D$13,"CAMILLERO ",IF(N231=CURSOS!$D$14,"TOMA MUESTRAS Y LABORATORIO ",IF(N231=CURSOS!$D$15,"SOPORTE VITAL BASICO (BLS)",IF(N231=CURSOS!$D$16,"ATENCION A VICTIMAS DE VIOLENCIA SEXUAL ",IF(N231=CURSOS!$D$17,"PROGRAMADO AMPLIADO DE INMUNIZACION (PAI - COVID 19)",IF(N231=CURSOS!$D$18,"ATENCION INTEGRAL EN ENFERMEDADES PREVALENTES EN PRIMERA INFANCIA (AIEPI)",IF(N231=CURSOS!$D$19,"ADMINISTRACION DE MEDICAMENTOS, IYECTOLOGIA  Y CANALIZACION ",IF(N231=CURSOS!$D$20,"OPERADOR DE VEHICULOS DE EMERGENCIA (OVE)",IF(N231=CURSOS!$D$21,"INSTITUCIONES AMIGAS DE LA MUJER Y LA INFANCIA (IAMI)",IF(N231=CURSOS!$D$22,"CUIDADO DEL DONANTE DE ORGANOS",IF(N231=CURSOS!$D$23,"ATENCION A VICTIMAS POR VIOLENCIA DE GENERO",IF(N231=CURSOS!$D$24,"IGUALDAD DE GENERO EN LA SALUD",IF(N231=CURSOS!$D$25,"BRIGADA DE EMERGENCIA",IF(N231=CURSOS!$D$26,"MANEJO DEL DOLOR Y CUIDADOS PALIATIVOS",IF(N231=CURSOS!$D$27,"TOMA MUESTRAS Y LABORATORIO POCT",IF(N231=CURSOS!$D$28,"IMPLANTE SUBDERMICO Y DISPOSITIVO INTRAUTERINO",IF(N231=CURSOS!$D$29,"SALUD MENTAL",IF(N231=CURSOS!$D$30,"PRIMEROS AUXILIOS PSICOLOGICOS",IF(N231=CURSOS!$D$31,"ATENCION A VICTIMAS POR CONFLICTO ARMADO",IF(N231=CURSOS!$D$32,"MANIPULACION DE ALIMENTOS Y BPM"))))))))))))))))))))))))))))))</f>
        <v>0</v>
      </c>
      <c r="U231" s="30" t="str">
        <f t="shared" si="33"/>
        <v xml:space="preserve">   </v>
      </c>
      <c r="V231" s="30" t="str">
        <f t="shared" si="34"/>
        <v xml:space="preserve">   </v>
      </c>
      <c r="W231" s="30" t="str">
        <f t="shared" si="35"/>
        <v xml:space="preserve">   --</v>
      </c>
    </row>
    <row r="232" spans="1:23" ht="15.75" x14ac:dyDescent="0.25">
      <c r="A232" s="52">
        <v>232</v>
      </c>
      <c r="S232" s="96"/>
      <c r="T232" s="30" t="b">
        <f>IF(N232=CURSOS!$D$3,"DIPLOMADO EN ATENCION PRE-HOSPITALARIA",IF(N232=CURSOS!$D$4,"ACOMPAÑAMIENTO Y MANEJO DEL DUELO",IF(N232=CURSOS!$D$5,"ATENCION A VICTIMAS DE ATAQUE CON AGENTES QUIMICOS ",IF(N232=CURSOS!$D$6,"PRIMEROS AUXILIOS ",IF(N232=CURSOS!$D$7,"DIPLOMADO DE UNIDAD DE CUIDADOS INTENSIVOS (UCI)",IF(N232=CURSOS!$D$8,"MODELO DE ATENCION PARA EVENTOS EMERGENTES EN SALUD MENTAL (CODIGO VERDE)",IF(N232=CURSOS!$D$9,"HUMANIZACION EN SALUD, BUENAS PRACTICAS EN PACIENTE ",IF(N232=CURSOS!$D$10,"CLINICA DE HERIDAS ",IF(N232=CURSOS!$D$11,"TOMA DE CITOLOGIA A CERVICO VAGINAL ",IF(N232=CURSOS!$D$12,"SOPORTE CARDIOVASCULAR AVANZADO ",IF(N232=CURSOS!$D$13,"CAMILLERO ",IF(N232=CURSOS!$D$14,"TOMA MUESTRAS Y LABORATORIO ",IF(N232=CURSOS!$D$15,"SOPORTE VITAL BASICO (BLS)",IF(N232=CURSOS!$D$16,"ATENCION A VICTIMAS DE VIOLENCIA SEXUAL ",IF(N232=CURSOS!$D$17,"PROGRAMADO AMPLIADO DE INMUNIZACION (PAI - COVID 19)",IF(N232=CURSOS!$D$18,"ATENCION INTEGRAL EN ENFERMEDADES PREVALENTES EN PRIMERA INFANCIA (AIEPI)",IF(N232=CURSOS!$D$19,"ADMINISTRACION DE MEDICAMENTOS, IYECTOLOGIA  Y CANALIZACION ",IF(N232=CURSOS!$D$20,"OPERADOR DE VEHICULOS DE EMERGENCIA (OVE)",IF(N232=CURSOS!$D$21,"INSTITUCIONES AMIGAS DE LA MUJER Y LA INFANCIA (IAMI)",IF(N232=CURSOS!$D$22,"CUIDADO DEL DONANTE DE ORGANOS",IF(N232=CURSOS!$D$23,"ATENCION A VICTIMAS POR VIOLENCIA DE GENERO",IF(N232=CURSOS!$D$24,"IGUALDAD DE GENERO EN LA SALUD",IF(N232=CURSOS!$D$25,"BRIGADA DE EMERGENCIA",IF(N232=CURSOS!$D$26,"MANEJO DEL DOLOR Y CUIDADOS PALIATIVOS",IF(N232=CURSOS!$D$27,"TOMA MUESTRAS Y LABORATORIO POCT",IF(N232=CURSOS!$D$28,"IMPLANTE SUBDERMICO Y DISPOSITIVO INTRAUTERINO",IF(N232=CURSOS!$D$29,"SALUD MENTAL",IF(N232=CURSOS!$D$30,"PRIMEROS AUXILIOS PSICOLOGICOS",IF(N232=CURSOS!$D$31,"ATENCION A VICTIMAS POR CONFLICTO ARMADO",IF(N232=CURSOS!$D$32,"MANIPULACION DE ALIMENTOS Y BPM"))))))))))))))))))))))))))))))</f>
        <v>0</v>
      </c>
      <c r="U232" s="30" t="str">
        <f t="shared" si="33"/>
        <v xml:space="preserve">   </v>
      </c>
      <c r="V232" s="30" t="str">
        <f t="shared" si="34"/>
        <v xml:space="preserve">   </v>
      </c>
      <c r="W232" s="30" t="str">
        <f t="shared" si="35"/>
        <v xml:space="preserve">   --</v>
      </c>
    </row>
    <row r="233" spans="1:23" ht="15.75" x14ac:dyDescent="0.25">
      <c r="A233" s="52">
        <v>233</v>
      </c>
      <c r="S233" s="96"/>
      <c r="T233" s="30" t="b">
        <f>IF(N233=CURSOS!$D$3,"DIPLOMADO EN ATENCION PRE-HOSPITALARIA",IF(N233=CURSOS!$D$4,"ACOMPAÑAMIENTO Y MANEJO DEL DUELO",IF(N233=CURSOS!$D$5,"ATENCION A VICTIMAS DE ATAQUE CON AGENTES QUIMICOS ",IF(N233=CURSOS!$D$6,"PRIMEROS AUXILIOS ",IF(N233=CURSOS!$D$7,"DIPLOMADO DE UNIDAD DE CUIDADOS INTENSIVOS (UCI)",IF(N233=CURSOS!$D$8,"MODELO DE ATENCION PARA EVENTOS EMERGENTES EN SALUD MENTAL (CODIGO VERDE)",IF(N233=CURSOS!$D$9,"HUMANIZACION EN SALUD, BUENAS PRACTICAS EN PACIENTE ",IF(N233=CURSOS!$D$10,"CLINICA DE HERIDAS ",IF(N233=CURSOS!$D$11,"TOMA DE CITOLOGIA A CERVICO VAGINAL ",IF(N233=CURSOS!$D$12,"SOPORTE CARDIOVASCULAR AVANZADO ",IF(N233=CURSOS!$D$13,"CAMILLERO ",IF(N233=CURSOS!$D$14,"TOMA MUESTRAS Y LABORATORIO ",IF(N233=CURSOS!$D$15,"SOPORTE VITAL BASICO (BLS)",IF(N233=CURSOS!$D$16,"ATENCION A VICTIMAS DE VIOLENCIA SEXUAL ",IF(N233=CURSOS!$D$17,"PROGRAMADO AMPLIADO DE INMUNIZACION (PAI - COVID 19)",IF(N233=CURSOS!$D$18,"ATENCION INTEGRAL EN ENFERMEDADES PREVALENTES EN PRIMERA INFANCIA (AIEPI)",IF(N233=CURSOS!$D$19,"ADMINISTRACION DE MEDICAMENTOS, IYECTOLOGIA  Y CANALIZACION ",IF(N233=CURSOS!$D$20,"OPERADOR DE VEHICULOS DE EMERGENCIA (OVE)",IF(N233=CURSOS!$D$21,"INSTITUCIONES AMIGAS DE LA MUJER Y LA INFANCIA (IAMI)",IF(N233=CURSOS!$D$22,"CUIDADO DEL DONANTE DE ORGANOS",IF(N233=CURSOS!$D$23,"ATENCION A VICTIMAS POR VIOLENCIA DE GENERO",IF(N233=CURSOS!$D$24,"IGUALDAD DE GENERO EN LA SALUD",IF(N233=CURSOS!$D$25,"BRIGADA DE EMERGENCIA",IF(N233=CURSOS!$D$26,"MANEJO DEL DOLOR Y CUIDADOS PALIATIVOS",IF(N233=CURSOS!$D$27,"TOMA MUESTRAS Y LABORATORIO POCT",IF(N233=CURSOS!$D$28,"IMPLANTE SUBDERMICO Y DISPOSITIVO INTRAUTERINO",IF(N233=CURSOS!$D$29,"SALUD MENTAL",IF(N233=CURSOS!$D$30,"PRIMEROS AUXILIOS PSICOLOGICOS",IF(N233=CURSOS!$D$31,"ATENCION A VICTIMAS POR CONFLICTO ARMADO",IF(N233=CURSOS!$D$32,"MANIPULACION DE ALIMENTOS Y BPM"))))))))))))))))))))))))))))))</f>
        <v>0</v>
      </c>
      <c r="U233" s="30" t="str">
        <f t="shared" si="33"/>
        <v xml:space="preserve">   </v>
      </c>
      <c r="V233" s="30" t="str">
        <f t="shared" si="34"/>
        <v xml:space="preserve">   </v>
      </c>
      <c r="W233" s="30" t="str">
        <f t="shared" si="35"/>
        <v xml:space="preserve">   --</v>
      </c>
    </row>
    <row r="234" spans="1:23" ht="15.75" x14ac:dyDescent="0.25">
      <c r="A234" s="52">
        <v>234</v>
      </c>
      <c r="S234" s="96"/>
      <c r="T234" s="30" t="b">
        <f>IF(N234=CURSOS!$D$3,"DIPLOMADO EN ATENCION PRE-HOSPITALARIA",IF(N234=CURSOS!$D$4,"ACOMPAÑAMIENTO Y MANEJO DEL DUELO",IF(N234=CURSOS!$D$5,"ATENCION A VICTIMAS DE ATAQUE CON AGENTES QUIMICOS ",IF(N234=CURSOS!$D$6,"PRIMEROS AUXILIOS ",IF(N234=CURSOS!$D$7,"DIPLOMADO DE UNIDAD DE CUIDADOS INTENSIVOS (UCI)",IF(N234=CURSOS!$D$8,"MODELO DE ATENCION PARA EVENTOS EMERGENTES EN SALUD MENTAL (CODIGO VERDE)",IF(N234=CURSOS!$D$9,"HUMANIZACION EN SALUD, BUENAS PRACTICAS EN PACIENTE ",IF(N234=CURSOS!$D$10,"CLINICA DE HERIDAS ",IF(N234=CURSOS!$D$11,"TOMA DE CITOLOGIA A CERVICO VAGINAL ",IF(N234=CURSOS!$D$12,"SOPORTE CARDIOVASCULAR AVANZADO ",IF(N234=CURSOS!$D$13,"CAMILLERO ",IF(N234=CURSOS!$D$14,"TOMA MUESTRAS Y LABORATORIO ",IF(N234=CURSOS!$D$15,"SOPORTE VITAL BASICO (BLS)",IF(N234=CURSOS!$D$16,"ATENCION A VICTIMAS DE VIOLENCIA SEXUAL ",IF(N234=CURSOS!$D$17,"PROGRAMADO AMPLIADO DE INMUNIZACION (PAI - COVID 19)",IF(N234=CURSOS!$D$18,"ATENCION INTEGRAL EN ENFERMEDADES PREVALENTES EN PRIMERA INFANCIA (AIEPI)",IF(N234=CURSOS!$D$19,"ADMINISTRACION DE MEDICAMENTOS, IYECTOLOGIA  Y CANALIZACION ",IF(N234=CURSOS!$D$20,"OPERADOR DE VEHICULOS DE EMERGENCIA (OVE)",IF(N234=CURSOS!$D$21,"INSTITUCIONES AMIGAS DE LA MUJER Y LA INFANCIA (IAMI)",IF(N234=CURSOS!$D$22,"CUIDADO DEL DONANTE DE ORGANOS",IF(N234=CURSOS!$D$23,"ATENCION A VICTIMAS POR VIOLENCIA DE GENERO",IF(N234=CURSOS!$D$24,"IGUALDAD DE GENERO EN LA SALUD",IF(N234=CURSOS!$D$25,"BRIGADA DE EMERGENCIA",IF(N234=CURSOS!$D$26,"MANEJO DEL DOLOR Y CUIDADOS PALIATIVOS",IF(N234=CURSOS!$D$27,"TOMA MUESTRAS Y LABORATORIO POCT",IF(N234=CURSOS!$D$28,"IMPLANTE SUBDERMICO Y DISPOSITIVO INTRAUTERINO",IF(N234=CURSOS!$D$29,"SALUD MENTAL",IF(N234=CURSOS!$D$30,"PRIMEROS AUXILIOS PSICOLOGICOS",IF(N234=CURSOS!$D$31,"ATENCION A VICTIMAS POR CONFLICTO ARMADO",IF(N234=CURSOS!$D$32,"MANIPULACION DE ALIMENTOS Y BPM"))))))))))))))))))))))))))))))</f>
        <v>0</v>
      </c>
      <c r="U234" s="30" t="str">
        <f t="shared" si="33"/>
        <v xml:space="preserve">   </v>
      </c>
      <c r="V234" s="30" t="str">
        <f t="shared" si="34"/>
        <v xml:space="preserve">   </v>
      </c>
      <c r="W234" s="30" t="str">
        <f t="shared" si="35"/>
        <v xml:space="preserve">   --</v>
      </c>
    </row>
    <row r="235" spans="1:23" x14ac:dyDescent="0.2">
      <c r="A235" s="52">
        <v>235</v>
      </c>
      <c r="T235" s="30" t="b">
        <f>IF(N235=CURSOS!$D$3,"DIPLOMADO EN ATENCION PRE-HOSPITALARIA",IF(N235=CURSOS!$D$4,"ACOMPAÑAMIENTO Y MANEJO DEL DUELO",IF(N235=CURSOS!$D$5,"ATENCION A VICTIMAS DE ATAQUE CON AGENTES QUIMICOS ",IF(N235=CURSOS!$D$6,"PRIMEROS AUXILIOS ",IF(N235=CURSOS!$D$7,"DIPLOMADO DE UNIDAD DE CUIDADOS INTENSIVOS (UCI)",IF(N235=CURSOS!$D$8,"MODELO DE ATENCION PARA EVENTOS EMERGENTES EN SALUD MENTAL (CODIGO VERDE)",IF(N235=CURSOS!$D$9,"HUMANIZACION EN SALUD, BUENAS PRACTICAS EN PACIENTE ",IF(N235=CURSOS!$D$10,"CLINICA DE HERIDAS ",IF(N235=CURSOS!$D$11,"TOMA DE CITOLOGIA A CERVICO VAGINAL ",IF(N235=CURSOS!$D$12,"SOPORTE CARDIOVASCULAR AVANZADO ",IF(N235=CURSOS!$D$13,"CAMILLERO ",IF(N235=CURSOS!$D$14,"TOMA MUESTRAS Y LABORATORIO ",IF(N235=CURSOS!$D$15,"SOPORTE VITAL BASICO (BLS)",IF(N235=CURSOS!$D$16,"ATENCION A VICTIMAS DE VIOLENCIA SEXUAL ",IF(N235=CURSOS!$D$17,"PROGRAMADO AMPLIADO DE INMUNIZACION (PAI - COVID 19)",IF(N235=CURSOS!$D$18,"ATENCION INTEGRAL EN ENFERMEDADES PREVALENTES EN PRIMERA INFANCIA (AIEPI)",IF(N235=CURSOS!$D$19,"ADMINISTRACION DE MEDICAMENTOS, IYECTOLOGIA  Y CANALIZACION ",IF(N235=CURSOS!$D$20,"OPERADOR DE VEHICULOS DE EMERGENCIA (OVE)",IF(N235=CURSOS!$D$21,"INSTITUCIONES AMIGAS DE LA MUJER Y LA INFANCIA (IAMI)",IF(N235=CURSOS!$D$22,"CUIDADO DEL DONANTE DE ORGANOS",IF(N235=CURSOS!$D$23,"ATENCION A VICTIMAS POR VIOLENCIA DE GENERO",IF(N235=CURSOS!$D$24,"IGUALDAD DE GENERO EN LA SALUD",IF(N235=CURSOS!$D$25,"BRIGADA DE EMERGENCIA",IF(N235=CURSOS!$D$26,"MANEJO DEL DOLOR Y CUIDADOS PALIATIVOS",IF(N235=CURSOS!$D$27,"TOMA MUESTRAS Y LABORATORIO POCT",IF(N235=CURSOS!$D$28,"IMPLANTE SUBDERMICO Y DISPOSITIVO INTRAUTERINO",IF(N235=CURSOS!$D$29,"SALUD MENTAL",IF(N235=CURSOS!$D$30,"PRIMEROS AUXILIOS PSICOLOGICOS",IF(N235=CURSOS!$D$31,"ATENCION A VICTIMAS POR CONFLICTO ARMADO",IF(N235=CURSOS!$D$32,"MANIPULACION DE ALIMENTOS Y BPM"))))))))))))))))))))))))))))))</f>
        <v>0</v>
      </c>
      <c r="U235" s="30" t="str">
        <f t="shared" si="33"/>
        <v xml:space="preserve">   </v>
      </c>
      <c r="V235" s="30" t="str">
        <f t="shared" si="34"/>
        <v xml:space="preserve">   </v>
      </c>
      <c r="W235" s="30" t="str">
        <f t="shared" si="35"/>
        <v xml:space="preserve">   --</v>
      </c>
    </row>
    <row r="236" spans="1:23" x14ac:dyDescent="0.2">
      <c r="A236" s="52">
        <v>236</v>
      </c>
      <c r="T236" s="30" t="b">
        <f>IF(N236=CURSOS!$D$3,"DIPLOMADO EN ATENCION PRE-HOSPITALARIA",IF(N236=CURSOS!$D$4,"ACOMPAÑAMIENTO Y MANEJO DEL DUELO",IF(N236=CURSOS!$D$5,"ATENCION A VICTIMAS DE ATAQUE CON AGENTES QUIMICOS ",IF(N236=CURSOS!$D$6,"PRIMEROS AUXILIOS ",IF(N236=CURSOS!$D$7,"DIPLOMADO DE UNIDAD DE CUIDADOS INTENSIVOS (UCI)",IF(N236=CURSOS!$D$8,"MODELO DE ATENCION PARA EVENTOS EMERGENTES EN SALUD MENTAL (CODIGO VERDE)",IF(N236=CURSOS!$D$9,"HUMANIZACION EN SALUD, BUENAS PRACTICAS EN PACIENTE ",IF(N236=CURSOS!$D$10,"CLINICA DE HERIDAS ",IF(N236=CURSOS!$D$11,"TOMA DE CITOLOGIA A CERVICO VAGINAL ",IF(N236=CURSOS!$D$12,"SOPORTE CARDIOVASCULAR AVANZADO ",IF(N236=CURSOS!$D$13,"CAMILLERO ",IF(N236=CURSOS!$D$14,"TOMA MUESTRAS Y LABORATORIO ",IF(N236=CURSOS!$D$15,"SOPORTE VITAL BASICO (BLS)",IF(N236=CURSOS!$D$16,"ATENCION A VICTIMAS DE VIOLENCIA SEXUAL ",IF(N236=CURSOS!$D$17,"PROGRAMADO AMPLIADO DE INMUNIZACION (PAI - COVID 19)",IF(N236=CURSOS!$D$18,"ATENCION INTEGRAL EN ENFERMEDADES PREVALENTES EN PRIMERA INFANCIA (AIEPI)",IF(N236=CURSOS!$D$19,"ADMINISTRACION DE MEDICAMENTOS, IYECTOLOGIA  Y CANALIZACION ",IF(N236=CURSOS!$D$20,"OPERADOR DE VEHICULOS DE EMERGENCIA (OVE)",IF(N236=CURSOS!$D$21,"INSTITUCIONES AMIGAS DE LA MUJER Y LA INFANCIA (IAMI)",IF(N236=CURSOS!$D$22,"CUIDADO DEL DONANTE DE ORGANOS",IF(N236=CURSOS!$D$23,"ATENCION A VICTIMAS POR VIOLENCIA DE GENERO",IF(N236=CURSOS!$D$24,"IGUALDAD DE GENERO EN LA SALUD",IF(N236=CURSOS!$D$25,"BRIGADA DE EMERGENCIA",IF(N236=CURSOS!$D$26,"MANEJO DEL DOLOR Y CUIDADOS PALIATIVOS",IF(N236=CURSOS!$D$27,"TOMA MUESTRAS Y LABORATORIO POCT",IF(N236=CURSOS!$D$28,"IMPLANTE SUBDERMICO Y DISPOSITIVO INTRAUTERINO",IF(N236=CURSOS!$D$29,"SALUD MENTAL",IF(N236=CURSOS!$D$30,"PRIMEROS AUXILIOS PSICOLOGICOS",IF(N236=CURSOS!$D$31,"ATENCION A VICTIMAS POR CONFLICTO ARMADO",IF(N236=CURSOS!$D$32,"MANIPULACION DE ALIMENTOS Y BPM"))))))))))))))))))))))))))))))</f>
        <v>0</v>
      </c>
      <c r="U236" s="30" t="str">
        <f t="shared" si="33"/>
        <v xml:space="preserve">   </v>
      </c>
      <c r="V236" s="30" t="str">
        <f t="shared" si="34"/>
        <v xml:space="preserve">   </v>
      </c>
      <c r="W236" s="30" t="str">
        <f t="shared" si="35"/>
        <v xml:space="preserve">   --</v>
      </c>
    </row>
    <row r="237" spans="1:23" x14ac:dyDescent="0.2">
      <c r="A237" s="52">
        <v>237</v>
      </c>
      <c r="T237" s="30" t="b">
        <f>IF(N237=CURSOS!$D$3,"DIPLOMADO EN ATENCION PRE-HOSPITALARIA",IF(N237=CURSOS!$D$4,"ACOMPAÑAMIENTO Y MANEJO DEL DUELO",IF(N237=CURSOS!$D$5,"ATENCION A VICTIMAS DE ATAQUE CON AGENTES QUIMICOS ",IF(N237=CURSOS!$D$6,"PRIMEROS AUXILIOS ",IF(N237=CURSOS!$D$7,"DIPLOMADO DE UNIDAD DE CUIDADOS INTENSIVOS (UCI)",IF(N237=CURSOS!$D$8,"MODELO DE ATENCION PARA EVENTOS EMERGENTES EN SALUD MENTAL (CODIGO VERDE)",IF(N237=CURSOS!$D$9,"HUMANIZACION EN SALUD, BUENAS PRACTICAS EN PACIENTE ",IF(N237=CURSOS!$D$10,"CLINICA DE HERIDAS ",IF(N237=CURSOS!$D$11,"TOMA DE CITOLOGIA A CERVICO VAGINAL ",IF(N237=CURSOS!$D$12,"SOPORTE CARDIOVASCULAR AVANZADO ",IF(N237=CURSOS!$D$13,"CAMILLERO ",IF(N237=CURSOS!$D$14,"TOMA MUESTRAS Y LABORATORIO ",IF(N237=CURSOS!$D$15,"SOPORTE VITAL BASICO (BLS)",IF(N237=CURSOS!$D$16,"ATENCION A VICTIMAS DE VIOLENCIA SEXUAL ",IF(N237=CURSOS!$D$17,"PROGRAMADO AMPLIADO DE INMUNIZACION (PAI - COVID 19)",IF(N237=CURSOS!$D$18,"ATENCION INTEGRAL EN ENFERMEDADES PREVALENTES EN PRIMERA INFANCIA (AIEPI)",IF(N237=CURSOS!$D$19,"ADMINISTRACION DE MEDICAMENTOS, IYECTOLOGIA  Y CANALIZACION ",IF(N237=CURSOS!$D$20,"OPERADOR DE VEHICULOS DE EMERGENCIA (OVE)",IF(N237=CURSOS!$D$21,"INSTITUCIONES AMIGAS DE LA MUJER Y LA INFANCIA (IAMI)",IF(N237=CURSOS!$D$22,"CUIDADO DEL DONANTE DE ORGANOS",IF(N237=CURSOS!$D$23,"ATENCION A VICTIMAS POR VIOLENCIA DE GENERO",IF(N237=CURSOS!$D$24,"IGUALDAD DE GENERO EN LA SALUD",IF(N237=CURSOS!$D$25,"BRIGADA DE EMERGENCIA",IF(N237=CURSOS!$D$26,"MANEJO DEL DOLOR Y CUIDADOS PALIATIVOS",IF(N237=CURSOS!$D$27,"TOMA MUESTRAS Y LABORATORIO POCT",IF(N237=CURSOS!$D$28,"IMPLANTE SUBDERMICO Y DISPOSITIVO INTRAUTERINO",IF(N237=CURSOS!$D$29,"SALUD MENTAL",IF(N237=CURSOS!$D$30,"PRIMEROS AUXILIOS PSICOLOGICOS",IF(N237=CURSOS!$D$31,"ATENCION A VICTIMAS POR CONFLICTO ARMADO",IF(N237=CURSOS!$D$32,"MANIPULACION DE ALIMENTOS Y BPM"))))))))))))))))))))))))))))))</f>
        <v>0</v>
      </c>
      <c r="U237" s="30" t="str">
        <f t="shared" si="33"/>
        <v xml:space="preserve">   </v>
      </c>
      <c r="V237" s="30" t="str">
        <f t="shared" si="34"/>
        <v xml:space="preserve">   </v>
      </c>
      <c r="W237" s="30" t="str">
        <f t="shared" si="35"/>
        <v xml:space="preserve">   --</v>
      </c>
    </row>
    <row r="238" spans="1:23" x14ac:dyDescent="0.2">
      <c r="A238" s="52">
        <v>238</v>
      </c>
      <c r="T238" s="30" t="b">
        <f>IF(N238=CURSOS!$D$3,"DIPLOMADO EN ATENCION PRE-HOSPITALARIA",IF(N238=CURSOS!$D$4,"ACOMPAÑAMIENTO Y MANEJO DEL DUELO",IF(N238=CURSOS!$D$5,"ATENCION A VICTIMAS DE ATAQUE CON AGENTES QUIMICOS ",IF(N238=CURSOS!$D$6,"PRIMEROS AUXILIOS ",IF(N238=CURSOS!$D$7,"DIPLOMADO DE UNIDAD DE CUIDADOS INTENSIVOS (UCI)",IF(N238=CURSOS!$D$8,"MODELO DE ATENCION PARA EVENTOS EMERGENTES EN SALUD MENTAL (CODIGO VERDE)",IF(N238=CURSOS!$D$9,"HUMANIZACION EN SALUD, BUENAS PRACTICAS EN PACIENTE ",IF(N238=CURSOS!$D$10,"CLINICA DE HERIDAS ",IF(N238=CURSOS!$D$11,"TOMA DE CITOLOGIA A CERVICO VAGINAL ",IF(N238=CURSOS!$D$12,"SOPORTE CARDIOVASCULAR AVANZADO ",IF(N238=CURSOS!$D$13,"CAMILLERO ",IF(N238=CURSOS!$D$14,"TOMA MUESTRAS Y LABORATORIO ",IF(N238=CURSOS!$D$15,"SOPORTE VITAL BASICO (BLS)",IF(N238=CURSOS!$D$16,"ATENCION A VICTIMAS DE VIOLENCIA SEXUAL ",IF(N238=CURSOS!$D$17,"PROGRAMADO AMPLIADO DE INMUNIZACION (PAI - COVID 19)",IF(N238=CURSOS!$D$18,"ATENCION INTEGRAL EN ENFERMEDADES PREVALENTES EN PRIMERA INFANCIA (AIEPI)",IF(N238=CURSOS!$D$19,"ADMINISTRACION DE MEDICAMENTOS, IYECTOLOGIA  Y CANALIZACION ",IF(N238=CURSOS!$D$20,"OPERADOR DE VEHICULOS DE EMERGENCIA (OVE)",IF(N238=CURSOS!$D$21,"INSTITUCIONES AMIGAS DE LA MUJER Y LA INFANCIA (IAMI)",IF(N238=CURSOS!$D$22,"CUIDADO DEL DONANTE DE ORGANOS",IF(N238=CURSOS!$D$23,"ATENCION A VICTIMAS POR VIOLENCIA DE GENERO",IF(N238=CURSOS!$D$24,"IGUALDAD DE GENERO EN LA SALUD",IF(N238=CURSOS!$D$25,"BRIGADA DE EMERGENCIA",IF(N238=CURSOS!$D$26,"MANEJO DEL DOLOR Y CUIDADOS PALIATIVOS",IF(N238=CURSOS!$D$27,"TOMA MUESTRAS Y LABORATORIO POCT",IF(N238=CURSOS!$D$28,"IMPLANTE SUBDERMICO Y DISPOSITIVO INTRAUTERINO",IF(N238=CURSOS!$D$29,"SALUD MENTAL",IF(N238=CURSOS!$D$30,"PRIMEROS AUXILIOS PSICOLOGICOS",IF(N238=CURSOS!$D$31,"ATENCION A VICTIMAS POR CONFLICTO ARMADO",IF(N238=CURSOS!$D$32,"MANIPULACION DE ALIMENTOS Y BPM"))))))))))))))))))))))))))))))</f>
        <v>0</v>
      </c>
      <c r="U238" s="30" t="str">
        <f t="shared" si="33"/>
        <v xml:space="preserve">   </v>
      </c>
      <c r="V238" s="30" t="str">
        <f t="shared" si="34"/>
        <v xml:space="preserve">   </v>
      </c>
      <c r="W238" s="30" t="str">
        <f t="shared" si="35"/>
        <v xml:space="preserve">   --</v>
      </c>
    </row>
    <row r="239" spans="1:23" x14ac:dyDescent="0.2">
      <c r="A239" s="52">
        <v>239</v>
      </c>
      <c r="T239" s="30" t="b">
        <f>IF(N239=CURSOS!$D$3,"DIPLOMADO EN ATENCION PRE-HOSPITALARIA",IF(N239=CURSOS!$D$4,"ACOMPAÑAMIENTO Y MANEJO DEL DUELO",IF(N239=CURSOS!$D$5,"ATENCION A VICTIMAS DE ATAQUE CON AGENTES QUIMICOS ",IF(N239=CURSOS!$D$6,"PRIMEROS AUXILIOS ",IF(N239=CURSOS!$D$7,"DIPLOMADO DE UNIDAD DE CUIDADOS INTENSIVOS (UCI)",IF(N239=CURSOS!$D$8,"MODELO DE ATENCION PARA EVENTOS EMERGENTES EN SALUD MENTAL (CODIGO VERDE)",IF(N239=CURSOS!$D$9,"HUMANIZACION EN SALUD, BUENAS PRACTICAS EN PACIENTE ",IF(N239=CURSOS!$D$10,"CLINICA DE HERIDAS ",IF(N239=CURSOS!$D$11,"TOMA DE CITOLOGIA A CERVICO VAGINAL ",IF(N239=CURSOS!$D$12,"SOPORTE CARDIOVASCULAR AVANZADO ",IF(N239=CURSOS!$D$13,"CAMILLERO ",IF(N239=CURSOS!$D$14,"TOMA MUESTRAS Y LABORATORIO ",IF(N239=CURSOS!$D$15,"SOPORTE VITAL BASICO (BLS)",IF(N239=CURSOS!$D$16,"ATENCION A VICTIMAS DE VIOLENCIA SEXUAL ",IF(N239=CURSOS!$D$17,"PROGRAMADO AMPLIADO DE INMUNIZACION (PAI - COVID 19)",IF(N239=CURSOS!$D$18,"ATENCION INTEGRAL EN ENFERMEDADES PREVALENTES EN PRIMERA INFANCIA (AIEPI)",IF(N239=CURSOS!$D$19,"ADMINISTRACION DE MEDICAMENTOS, IYECTOLOGIA  Y CANALIZACION ",IF(N239=CURSOS!$D$20,"OPERADOR DE VEHICULOS DE EMERGENCIA (OVE)",IF(N239=CURSOS!$D$21,"INSTITUCIONES AMIGAS DE LA MUJER Y LA INFANCIA (IAMI)",IF(N239=CURSOS!$D$22,"CUIDADO DEL DONANTE DE ORGANOS",IF(N239=CURSOS!$D$23,"ATENCION A VICTIMAS POR VIOLENCIA DE GENERO",IF(N239=CURSOS!$D$24,"IGUALDAD DE GENERO EN LA SALUD",IF(N239=CURSOS!$D$25,"BRIGADA DE EMERGENCIA",IF(N239=CURSOS!$D$26,"MANEJO DEL DOLOR Y CUIDADOS PALIATIVOS",IF(N239=CURSOS!$D$27,"TOMA MUESTRAS Y LABORATORIO POCT",IF(N239=CURSOS!$D$28,"IMPLANTE SUBDERMICO Y DISPOSITIVO INTRAUTERINO",IF(N239=CURSOS!$D$29,"SALUD MENTAL",IF(N239=CURSOS!$D$30,"PRIMEROS AUXILIOS PSICOLOGICOS",IF(N239=CURSOS!$D$31,"ATENCION A VICTIMAS POR CONFLICTO ARMADO",IF(N239=CURSOS!$D$32,"MANIPULACION DE ALIMENTOS Y BPM"))))))))))))))))))))))))))))))</f>
        <v>0</v>
      </c>
      <c r="U239" s="30" t="str">
        <f t="shared" si="33"/>
        <v xml:space="preserve">   </v>
      </c>
      <c r="V239" s="30" t="str">
        <f t="shared" si="34"/>
        <v xml:space="preserve">   </v>
      </c>
      <c r="W239" s="30" t="str">
        <f t="shared" si="35"/>
        <v xml:space="preserve">   --</v>
      </c>
    </row>
    <row r="240" spans="1:23" x14ac:dyDescent="0.2">
      <c r="A240" s="52">
        <v>240</v>
      </c>
      <c r="T240" s="30" t="b">
        <f>IF(N240=CURSOS!$D$3,"DIPLOMADO EN ATENCION PRE-HOSPITALARIA",IF(N240=CURSOS!$D$4,"ACOMPAÑAMIENTO Y MANEJO DEL DUELO",IF(N240=CURSOS!$D$5,"ATENCION A VICTIMAS DE ATAQUE CON AGENTES QUIMICOS ",IF(N240=CURSOS!$D$6,"PRIMEROS AUXILIOS ",IF(N240=CURSOS!$D$7,"DIPLOMADO DE UNIDAD DE CUIDADOS INTENSIVOS (UCI)",IF(N240=CURSOS!$D$8,"MODELO DE ATENCION PARA EVENTOS EMERGENTES EN SALUD MENTAL (CODIGO VERDE)",IF(N240=CURSOS!$D$9,"HUMANIZACION EN SALUD, BUENAS PRACTICAS EN PACIENTE ",IF(N240=CURSOS!$D$10,"CLINICA DE HERIDAS ",IF(N240=CURSOS!$D$11,"TOMA DE CITOLOGIA A CERVICO VAGINAL ",IF(N240=CURSOS!$D$12,"SOPORTE CARDIOVASCULAR AVANZADO ",IF(N240=CURSOS!$D$13,"CAMILLERO ",IF(N240=CURSOS!$D$14,"TOMA MUESTRAS Y LABORATORIO ",IF(N240=CURSOS!$D$15,"SOPORTE VITAL BASICO (BLS)",IF(N240=CURSOS!$D$16,"ATENCION A VICTIMAS DE VIOLENCIA SEXUAL ",IF(N240=CURSOS!$D$17,"PROGRAMADO AMPLIADO DE INMUNIZACION (PAI - COVID 19)",IF(N240=CURSOS!$D$18,"ATENCION INTEGRAL EN ENFERMEDADES PREVALENTES EN PRIMERA INFANCIA (AIEPI)",IF(N240=CURSOS!$D$19,"ADMINISTRACION DE MEDICAMENTOS, IYECTOLOGIA  Y CANALIZACION ",IF(N240=CURSOS!$D$20,"OPERADOR DE VEHICULOS DE EMERGENCIA (OVE)",IF(N240=CURSOS!$D$21,"INSTITUCIONES AMIGAS DE LA MUJER Y LA INFANCIA (IAMI)",IF(N240=CURSOS!$D$22,"CUIDADO DEL DONANTE DE ORGANOS",IF(N240=CURSOS!$D$23,"ATENCION A VICTIMAS POR VIOLENCIA DE GENERO",IF(N240=CURSOS!$D$24,"IGUALDAD DE GENERO EN LA SALUD",IF(N240=CURSOS!$D$25,"BRIGADA DE EMERGENCIA",IF(N240=CURSOS!$D$26,"MANEJO DEL DOLOR Y CUIDADOS PALIATIVOS",IF(N240=CURSOS!$D$27,"TOMA MUESTRAS Y LABORATORIO POCT",IF(N240=CURSOS!$D$28,"IMPLANTE SUBDERMICO Y DISPOSITIVO INTRAUTERINO",IF(N240=CURSOS!$D$29,"SALUD MENTAL",IF(N240=CURSOS!$D$30,"PRIMEROS AUXILIOS PSICOLOGICOS",IF(N240=CURSOS!$D$31,"ATENCION A VICTIMAS POR CONFLICTO ARMADO",IF(N240=CURSOS!$D$32,"MANIPULACION DE ALIMENTOS Y BPM"))))))))))))))))))))))))))))))</f>
        <v>0</v>
      </c>
      <c r="U240" s="30" t="str">
        <f t="shared" si="33"/>
        <v xml:space="preserve">   </v>
      </c>
      <c r="V240" s="30" t="str">
        <f t="shared" si="34"/>
        <v xml:space="preserve">   </v>
      </c>
      <c r="W240" s="30" t="str">
        <f t="shared" si="35"/>
        <v xml:space="preserve">   --</v>
      </c>
    </row>
    <row r="241" spans="1:23" x14ac:dyDescent="0.2">
      <c r="A241" s="52">
        <v>241</v>
      </c>
      <c r="T241" s="30" t="b">
        <f>IF(N241=CURSOS!$D$3,"DIPLOMADO EN ATENCION PRE-HOSPITALARIA",IF(N241=CURSOS!$D$4,"ACOMPAÑAMIENTO Y MANEJO DEL DUELO",IF(N241=CURSOS!$D$5,"ATENCION A VICTIMAS DE ATAQUE CON AGENTES QUIMICOS ",IF(N241=CURSOS!$D$6,"PRIMEROS AUXILIOS ",IF(N241=CURSOS!$D$7,"DIPLOMADO DE UNIDAD DE CUIDADOS INTENSIVOS (UCI)",IF(N241=CURSOS!$D$8,"MODELO DE ATENCION PARA EVENTOS EMERGENTES EN SALUD MENTAL (CODIGO VERDE)",IF(N241=CURSOS!$D$9,"HUMANIZACION EN SALUD, BUENAS PRACTICAS EN PACIENTE ",IF(N241=CURSOS!$D$10,"CLINICA DE HERIDAS ",IF(N241=CURSOS!$D$11,"TOMA DE CITOLOGIA A CERVICO VAGINAL ",IF(N241=CURSOS!$D$12,"SOPORTE CARDIOVASCULAR AVANZADO ",IF(N241=CURSOS!$D$13,"CAMILLERO ",IF(N241=CURSOS!$D$14,"TOMA MUESTRAS Y LABORATORIO ",IF(N241=CURSOS!$D$15,"SOPORTE VITAL BASICO (BLS)",IF(N241=CURSOS!$D$16,"ATENCION A VICTIMAS DE VIOLENCIA SEXUAL ",IF(N241=CURSOS!$D$17,"PROGRAMADO AMPLIADO DE INMUNIZACION (PAI - COVID 19)",IF(N241=CURSOS!$D$18,"ATENCION INTEGRAL EN ENFERMEDADES PREVALENTES EN PRIMERA INFANCIA (AIEPI)",IF(N241=CURSOS!$D$19,"ADMINISTRACION DE MEDICAMENTOS, IYECTOLOGIA  Y CANALIZACION ",IF(N241=CURSOS!$D$20,"OPERADOR DE VEHICULOS DE EMERGENCIA (OVE)",IF(N241=CURSOS!$D$21,"INSTITUCIONES AMIGAS DE LA MUJER Y LA INFANCIA (IAMI)",IF(N241=CURSOS!$D$22,"CUIDADO DEL DONANTE DE ORGANOS",IF(N241=CURSOS!$D$23,"ATENCION A VICTIMAS POR VIOLENCIA DE GENERO",IF(N241=CURSOS!$D$24,"IGUALDAD DE GENERO EN LA SALUD",IF(N241=CURSOS!$D$25,"BRIGADA DE EMERGENCIA",IF(N241=CURSOS!$D$26,"MANEJO DEL DOLOR Y CUIDADOS PALIATIVOS",IF(N241=CURSOS!$D$27,"TOMA MUESTRAS Y LABORATORIO POCT",IF(N241=CURSOS!$D$28,"IMPLANTE SUBDERMICO Y DISPOSITIVO INTRAUTERINO",IF(N241=CURSOS!$D$29,"SALUD MENTAL",IF(N241=CURSOS!$D$30,"PRIMEROS AUXILIOS PSICOLOGICOS",IF(N241=CURSOS!$D$31,"ATENCION A VICTIMAS POR CONFLICTO ARMADO",IF(N241=CURSOS!$D$32,"MANIPULACION DE ALIMENTOS Y BPM"))))))))))))))))))))))))))))))</f>
        <v>0</v>
      </c>
      <c r="U241" s="30" t="str">
        <f t="shared" si="33"/>
        <v xml:space="preserve">   </v>
      </c>
      <c r="V241" s="30" t="str">
        <f t="shared" si="34"/>
        <v xml:space="preserve">   </v>
      </c>
      <c r="W241" s="30" t="str">
        <f t="shared" si="35"/>
        <v xml:space="preserve">   --</v>
      </c>
    </row>
    <row r="242" spans="1:23" x14ac:dyDescent="0.2">
      <c r="A242" s="52">
        <v>242</v>
      </c>
      <c r="T242" s="30" t="b">
        <f>IF(N242=CURSOS!$D$3,"DIPLOMADO EN ATENCION PRE-HOSPITALARIA",IF(N242=CURSOS!$D$4,"ACOMPAÑAMIENTO Y MANEJO DEL DUELO",IF(N242=CURSOS!$D$5,"ATENCION A VICTIMAS DE ATAQUE CON AGENTES QUIMICOS ",IF(N242=CURSOS!$D$6,"PRIMEROS AUXILIOS ",IF(N242=CURSOS!$D$7,"DIPLOMADO DE UNIDAD DE CUIDADOS INTENSIVOS (UCI)",IF(N242=CURSOS!$D$8,"MODELO DE ATENCION PARA EVENTOS EMERGENTES EN SALUD MENTAL (CODIGO VERDE)",IF(N242=CURSOS!$D$9,"HUMANIZACION EN SALUD, BUENAS PRACTICAS EN PACIENTE ",IF(N242=CURSOS!$D$10,"CLINICA DE HERIDAS ",IF(N242=CURSOS!$D$11,"TOMA DE CITOLOGIA A CERVICO VAGINAL ",IF(N242=CURSOS!$D$12,"SOPORTE CARDIOVASCULAR AVANZADO ",IF(N242=CURSOS!$D$13,"CAMILLERO ",IF(N242=CURSOS!$D$14,"TOMA MUESTRAS Y LABORATORIO ",IF(N242=CURSOS!$D$15,"SOPORTE VITAL BASICO (BLS)",IF(N242=CURSOS!$D$16,"ATENCION A VICTIMAS DE VIOLENCIA SEXUAL ",IF(N242=CURSOS!$D$17,"PROGRAMADO AMPLIADO DE INMUNIZACION (PAI - COVID 19)",IF(N242=CURSOS!$D$18,"ATENCION INTEGRAL EN ENFERMEDADES PREVALENTES EN PRIMERA INFANCIA (AIEPI)",IF(N242=CURSOS!$D$19,"ADMINISTRACION DE MEDICAMENTOS, IYECTOLOGIA  Y CANALIZACION ",IF(N242=CURSOS!$D$20,"OPERADOR DE VEHICULOS DE EMERGENCIA (OVE)",IF(N242=CURSOS!$D$21,"INSTITUCIONES AMIGAS DE LA MUJER Y LA INFANCIA (IAMI)",IF(N242=CURSOS!$D$22,"CUIDADO DEL DONANTE DE ORGANOS",IF(N242=CURSOS!$D$23,"ATENCION A VICTIMAS POR VIOLENCIA DE GENERO",IF(N242=CURSOS!$D$24,"IGUALDAD DE GENERO EN LA SALUD",IF(N242=CURSOS!$D$25,"BRIGADA DE EMERGENCIA",IF(N242=CURSOS!$D$26,"MANEJO DEL DOLOR Y CUIDADOS PALIATIVOS",IF(N242=CURSOS!$D$27,"TOMA MUESTRAS Y LABORATORIO POCT",IF(N242=CURSOS!$D$28,"IMPLANTE SUBDERMICO Y DISPOSITIVO INTRAUTERINO",IF(N242=CURSOS!$D$29,"SALUD MENTAL",IF(N242=CURSOS!$D$30,"PRIMEROS AUXILIOS PSICOLOGICOS",IF(N242=CURSOS!$D$31,"ATENCION A VICTIMAS POR CONFLICTO ARMADO",IF(N242=CURSOS!$D$32,"MANIPULACION DE ALIMENTOS Y BPM"))))))))))))))))))))))))))))))</f>
        <v>0</v>
      </c>
      <c r="U242" s="30" t="str">
        <f t="shared" si="33"/>
        <v xml:space="preserve">   </v>
      </c>
      <c r="V242" s="30" t="str">
        <f t="shared" si="34"/>
        <v xml:space="preserve">   </v>
      </c>
      <c r="W242" s="30" t="str">
        <f t="shared" si="35"/>
        <v xml:space="preserve">   --</v>
      </c>
    </row>
    <row r="243" spans="1:23" x14ac:dyDescent="0.2">
      <c r="A243" s="52">
        <v>243</v>
      </c>
      <c r="T243" s="30" t="b">
        <f>IF(N243=CURSOS!$D$3,"DIPLOMADO EN ATENCION PRE-HOSPITALARIA",IF(N243=CURSOS!$D$4,"ACOMPAÑAMIENTO Y MANEJO DEL DUELO",IF(N243=CURSOS!$D$5,"ATENCION A VICTIMAS DE ATAQUE CON AGENTES QUIMICOS ",IF(N243=CURSOS!$D$6,"PRIMEROS AUXILIOS ",IF(N243=CURSOS!$D$7,"DIPLOMADO DE UNIDAD DE CUIDADOS INTENSIVOS (UCI)",IF(N243=CURSOS!$D$8,"MODELO DE ATENCION PARA EVENTOS EMERGENTES EN SALUD MENTAL (CODIGO VERDE)",IF(N243=CURSOS!$D$9,"HUMANIZACION EN SALUD, BUENAS PRACTICAS EN PACIENTE ",IF(N243=CURSOS!$D$10,"CLINICA DE HERIDAS ",IF(N243=CURSOS!$D$11,"TOMA DE CITOLOGIA A CERVICO VAGINAL ",IF(N243=CURSOS!$D$12,"SOPORTE CARDIOVASCULAR AVANZADO ",IF(N243=CURSOS!$D$13,"CAMILLERO ",IF(N243=CURSOS!$D$14,"TOMA MUESTRAS Y LABORATORIO ",IF(N243=CURSOS!$D$15,"SOPORTE VITAL BASICO (BLS)",IF(N243=CURSOS!$D$16,"ATENCION A VICTIMAS DE VIOLENCIA SEXUAL ",IF(N243=CURSOS!$D$17,"PROGRAMADO AMPLIADO DE INMUNIZACION (PAI - COVID 19)",IF(N243=CURSOS!$D$18,"ATENCION INTEGRAL EN ENFERMEDADES PREVALENTES EN PRIMERA INFANCIA (AIEPI)",IF(N243=CURSOS!$D$19,"ADMINISTRACION DE MEDICAMENTOS, IYECTOLOGIA  Y CANALIZACION ",IF(N243=CURSOS!$D$20,"OPERADOR DE VEHICULOS DE EMERGENCIA (OVE)",IF(N243=CURSOS!$D$21,"INSTITUCIONES AMIGAS DE LA MUJER Y LA INFANCIA (IAMI)",IF(N243=CURSOS!$D$22,"CUIDADO DEL DONANTE DE ORGANOS",IF(N243=CURSOS!$D$23,"ATENCION A VICTIMAS POR VIOLENCIA DE GENERO",IF(N243=CURSOS!$D$24,"IGUALDAD DE GENERO EN LA SALUD",IF(N243=CURSOS!$D$25,"BRIGADA DE EMERGENCIA",IF(N243=CURSOS!$D$26,"MANEJO DEL DOLOR Y CUIDADOS PALIATIVOS",IF(N243=CURSOS!$D$27,"TOMA MUESTRAS Y LABORATORIO POCT",IF(N243=CURSOS!$D$28,"IMPLANTE SUBDERMICO Y DISPOSITIVO INTRAUTERINO",IF(N243=CURSOS!$D$29,"SALUD MENTAL",IF(N243=CURSOS!$D$30,"PRIMEROS AUXILIOS PSICOLOGICOS",IF(N243=CURSOS!$D$31,"ATENCION A VICTIMAS POR CONFLICTO ARMADO",IF(N243=CURSOS!$D$32,"MANIPULACION DE ALIMENTOS Y BPM"))))))))))))))))))))))))))))))</f>
        <v>0</v>
      </c>
      <c r="U243" s="30" t="str">
        <f t="shared" si="33"/>
        <v xml:space="preserve">   </v>
      </c>
      <c r="V243" s="30" t="str">
        <f t="shared" si="34"/>
        <v xml:space="preserve">   </v>
      </c>
      <c r="W243" s="30" t="str">
        <f t="shared" si="35"/>
        <v xml:space="preserve">   --</v>
      </c>
    </row>
    <row r="244" spans="1:23" x14ac:dyDescent="0.2">
      <c r="A244" s="52">
        <v>244</v>
      </c>
      <c r="T244" s="30" t="b">
        <f>IF(N244=CURSOS!$D$3,"DIPLOMADO EN ATENCION PRE-HOSPITALARIA",IF(N244=CURSOS!$D$4,"ACOMPAÑAMIENTO Y MANEJO DEL DUELO",IF(N244=CURSOS!$D$5,"ATENCION A VICTIMAS DE ATAQUE CON AGENTES QUIMICOS ",IF(N244=CURSOS!$D$6,"PRIMEROS AUXILIOS ",IF(N244=CURSOS!$D$7,"DIPLOMADO DE UNIDAD DE CUIDADOS INTENSIVOS (UCI)",IF(N244=CURSOS!$D$8,"MODELO DE ATENCION PARA EVENTOS EMERGENTES EN SALUD MENTAL (CODIGO VERDE)",IF(N244=CURSOS!$D$9,"HUMANIZACION EN SALUD, BUENAS PRACTICAS EN PACIENTE ",IF(N244=CURSOS!$D$10,"CLINICA DE HERIDAS ",IF(N244=CURSOS!$D$11,"TOMA DE CITOLOGIA A CERVICO VAGINAL ",IF(N244=CURSOS!$D$12,"SOPORTE CARDIOVASCULAR AVANZADO ",IF(N244=CURSOS!$D$13,"CAMILLERO ",IF(N244=CURSOS!$D$14,"TOMA MUESTRAS Y LABORATORIO ",IF(N244=CURSOS!$D$15,"SOPORTE VITAL BASICO (BLS)",IF(N244=CURSOS!$D$16,"ATENCION A VICTIMAS DE VIOLENCIA SEXUAL ",IF(N244=CURSOS!$D$17,"PROGRAMADO AMPLIADO DE INMUNIZACION (PAI - COVID 19)",IF(N244=CURSOS!$D$18,"ATENCION INTEGRAL EN ENFERMEDADES PREVALENTES EN PRIMERA INFANCIA (AIEPI)",IF(N244=CURSOS!$D$19,"ADMINISTRACION DE MEDICAMENTOS, IYECTOLOGIA  Y CANALIZACION ",IF(N244=CURSOS!$D$20,"OPERADOR DE VEHICULOS DE EMERGENCIA (OVE)",IF(N244=CURSOS!$D$21,"INSTITUCIONES AMIGAS DE LA MUJER Y LA INFANCIA (IAMI)",IF(N244=CURSOS!$D$22,"CUIDADO DEL DONANTE DE ORGANOS",IF(N244=CURSOS!$D$23,"ATENCION A VICTIMAS POR VIOLENCIA DE GENERO",IF(N244=CURSOS!$D$24,"IGUALDAD DE GENERO EN LA SALUD",IF(N244=CURSOS!$D$25,"BRIGADA DE EMERGENCIA",IF(N244=CURSOS!$D$26,"MANEJO DEL DOLOR Y CUIDADOS PALIATIVOS",IF(N244=CURSOS!$D$27,"TOMA MUESTRAS Y LABORATORIO POCT",IF(N244=CURSOS!$D$28,"IMPLANTE SUBDERMICO Y DISPOSITIVO INTRAUTERINO",IF(N244=CURSOS!$D$29,"SALUD MENTAL",IF(N244=CURSOS!$D$30,"PRIMEROS AUXILIOS PSICOLOGICOS",IF(N244=CURSOS!$D$31,"ATENCION A VICTIMAS POR CONFLICTO ARMADO",IF(N244=CURSOS!$D$32,"MANIPULACION DE ALIMENTOS Y BPM"))))))))))))))))))))))))))))))</f>
        <v>0</v>
      </c>
      <c r="U244" s="30" t="str">
        <f t="shared" si="33"/>
        <v xml:space="preserve">   </v>
      </c>
      <c r="V244" s="30" t="str">
        <f t="shared" si="34"/>
        <v xml:space="preserve">   </v>
      </c>
      <c r="W244" s="30" t="str">
        <f t="shared" si="35"/>
        <v xml:space="preserve">   --</v>
      </c>
    </row>
    <row r="245" spans="1:23" x14ac:dyDescent="0.2">
      <c r="A245" s="52">
        <v>245</v>
      </c>
      <c r="T245" s="30" t="b">
        <f>IF(N245=CURSOS!$D$3,"DIPLOMADO EN ATENCION PRE-HOSPITALARIA",IF(N245=CURSOS!$D$4,"ACOMPAÑAMIENTO Y MANEJO DEL DUELO",IF(N245=CURSOS!$D$5,"ATENCION A VICTIMAS DE ATAQUE CON AGENTES QUIMICOS ",IF(N245=CURSOS!$D$6,"PRIMEROS AUXILIOS ",IF(N245=CURSOS!$D$7,"DIPLOMADO DE UNIDAD DE CUIDADOS INTENSIVOS (UCI)",IF(N245=CURSOS!$D$8,"MODELO DE ATENCION PARA EVENTOS EMERGENTES EN SALUD MENTAL (CODIGO VERDE)",IF(N245=CURSOS!$D$9,"HUMANIZACION EN SALUD, BUENAS PRACTICAS EN PACIENTE ",IF(N245=CURSOS!$D$10,"CLINICA DE HERIDAS ",IF(N245=CURSOS!$D$11,"TOMA DE CITOLOGIA A CERVICO VAGINAL ",IF(N245=CURSOS!$D$12,"SOPORTE CARDIOVASCULAR AVANZADO ",IF(N245=CURSOS!$D$13,"CAMILLERO ",IF(N245=CURSOS!$D$14,"TOMA MUESTRAS Y LABORATORIO ",IF(N245=CURSOS!$D$15,"SOPORTE VITAL BASICO (BLS)",IF(N245=CURSOS!$D$16,"ATENCION A VICTIMAS DE VIOLENCIA SEXUAL ",IF(N245=CURSOS!$D$17,"PROGRAMADO AMPLIADO DE INMUNIZACION (PAI - COVID 19)",IF(N245=CURSOS!$D$18,"ATENCION INTEGRAL EN ENFERMEDADES PREVALENTES EN PRIMERA INFANCIA (AIEPI)",IF(N245=CURSOS!$D$19,"ADMINISTRACION DE MEDICAMENTOS, IYECTOLOGIA  Y CANALIZACION ",IF(N245=CURSOS!$D$20,"OPERADOR DE VEHICULOS DE EMERGENCIA (OVE)",IF(N245=CURSOS!$D$21,"INSTITUCIONES AMIGAS DE LA MUJER Y LA INFANCIA (IAMI)",IF(N245=CURSOS!$D$22,"CUIDADO DEL DONANTE DE ORGANOS",IF(N245=CURSOS!$D$23,"ATENCION A VICTIMAS POR VIOLENCIA DE GENERO",IF(N245=CURSOS!$D$24,"IGUALDAD DE GENERO EN LA SALUD",IF(N245=CURSOS!$D$25,"BRIGADA DE EMERGENCIA",IF(N245=CURSOS!$D$26,"MANEJO DEL DOLOR Y CUIDADOS PALIATIVOS",IF(N245=CURSOS!$D$27,"TOMA MUESTRAS Y LABORATORIO POCT",IF(N245=CURSOS!$D$28,"IMPLANTE SUBDERMICO Y DISPOSITIVO INTRAUTERINO",IF(N245=CURSOS!$D$29,"SALUD MENTAL",IF(N245=CURSOS!$D$30,"PRIMEROS AUXILIOS PSICOLOGICOS",IF(N245=CURSOS!$D$31,"ATENCION A VICTIMAS POR CONFLICTO ARMADO",IF(N245=CURSOS!$D$32,"MANIPULACION DE ALIMENTOS Y BPM"))))))))))))))))))))))))))))))</f>
        <v>0</v>
      </c>
      <c r="U245" s="30" t="str">
        <f t="shared" si="33"/>
        <v xml:space="preserve">   </v>
      </c>
      <c r="V245" s="30" t="str">
        <f t="shared" si="34"/>
        <v xml:space="preserve">   </v>
      </c>
      <c r="W245" s="30" t="str">
        <f t="shared" si="35"/>
        <v xml:space="preserve">   --</v>
      </c>
    </row>
    <row r="246" spans="1:23" x14ac:dyDescent="0.2">
      <c r="A246" s="52">
        <v>246</v>
      </c>
      <c r="T246" s="30" t="b">
        <f>IF(N246=CURSOS!$D$3,"DIPLOMADO EN ATENCION PRE-HOSPITALARIA",IF(N246=CURSOS!$D$4,"ACOMPAÑAMIENTO Y MANEJO DEL DUELO",IF(N246=CURSOS!$D$5,"ATENCION A VICTIMAS DE ATAQUE CON AGENTES QUIMICOS ",IF(N246=CURSOS!$D$6,"PRIMEROS AUXILIOS ",IF(N246=CURSOS!$D$7,"DIPLOMADO DE UNIDAD DE CUIDADOS INTENSIVOS (UCI)",IF(N246=CURSOS!$D$8,"MODELO DE ATENCION PARA EVENTOS EMERGENTES EN SALUD MENTAL (CODIGO VERDE)",IF(N246=CURSOS!$D$9,"HUMANIZACION EN SALUD, BUENAS PRACTICAS EN PACIENTE ",IF(N246=CURSOS!$D$10,"CLINICA DE HERIDAS ",IF(N246=CURSOS!$D$11,"TOMA DE CITOLOGIA A CERVICO VAGINAL ",IF(N246=CURSOS!$D$12,"SOPORTE CARDIOVASCULAR AVANZADO ",IF(N246=CURSOS!$D$13,"CAMILLERO ",IF(N246=CURSOS!$D$14,"TOMA MUESTRAS Y LABORATORIO ",IF(N246=CURSOS!$D$15,"SOPORTE VITAL BASICO (BLS)",IF(N246=CURSOS!$D$16,"ATENCION A VICTIMAS DE VIOLENCIA SEXUAL ",IF(N246=CURSOS!$D$17,"PROGRAMADO AMPLIADO DE INMUNIZACION (PAI - COVID 19)",IF(N246=CURSOS!$D$18,"ATENCION INTEGRAL EN ENFERMEDADES PREVALENTES EN PRIMERA INFANCIA (AIEPI)",IF(N246=CURSOS!$D$19,"ADMINISTRACION DE MEDICAMENTOS, IYECTOLOGIA  Y CANALIZACION ",IF(N246=CURSOS!$D$20,"OPERADOR DE VEHICULOS DE EMERGENCIA (OVE)",IF(N246=CURSOS!$D$21,"INSTITUCIONES AMIGAS DE LA MUJER Y LA INFANCIA (IAMI)",IF(N246=CURSOS!$D$22,"CUIDADO DEL DONANTE DE ORGANOS",IF(N246=CURSOS!$D$23,"ATENCION A VICTIMAS POR VIOLENCIA DE GENERO",IF(N246=CURSOS!$D$24,"IGUALDAD DE GENERO EN LA SALUD",IF(N246=CURSOS!$D$25,"BRIGADA DE EMERGENCIA",IF(N246=CURSOS!$D$26,"MANEJO DEL DOLOR Y CUIDADOS PALIATIVOS",IF(N246=CURSOS!$D$27,"TOMA MUESTRAS Y LABORATORIO POCT",IF(N246=CURSOS!$D$28,"IMPLANTE SUBDERMICO Y DISPOSITIVO INTRAUTERINO",IF(N246=CURSOS!$D$29,"SALUD MENTAL",IF(N246=CURSOS!$D$30,"PRIMEROS AUXILIOS PSICOLOGICOS",IF(N246=CURSOS!$D$31,"ATENCION A VICTIMAS POR CONFLICTO ARMADO",IF(N246=CURSOS!$D$32,"MANIPULACION DE ALIMENTOS Y BPM"))))))))))))))))))))))))))))))</f>
        <v>0</v>
      </c>
      <c r="U246" s="30" t="str">
        <f t="shared" si="33"/>
        <v xml:space="preserve">   </v>
      </c>
      <c r="V246" s="30" t="str">
        <f t="shared" si="34"/>
        <v xml:space="preserve">   </v>
      </c>
      <c r="W246" s="30" t="str">
        <f t="shared" si="35"/>
        <v xml:space="preserve">   --</v>
      </c>
    </row>
    <row r="247" spans="1:23" x14ac:dyDescent="0.2">
      <c r="A247" s="52">
        <v>247</v>
      </c>
      <c r="T247" s="30" t="b">
        <f>IF(N247=CURSOS!$D$3,"DIPLOMADO EN ATENCION PRE-HOSPITALARIA",IF(N247=CURSOS!$D$4,"ACOMPAÑAMIENTO Y MANEJO DEL DUELO",IF(N247=CURSOS!$D$5,"ATENCION A VICTIMAS DE ATAQUE CON AGENTES QUIMICOS ",IF(N247=CURSOS!$D$6,"PRIMEROS AUXILIOS ",IF(N247=CURSOS!$D$7,"DIPLOMADO DE UNIDAD DE CUIDADOS INTENSIVOS (UCI)",IF(N247=CURSOS!$D$8,"MODELO DE ATENCION PARA EVENTOS EMERGENTES EN SALUD MENTAL (CODIGO VERDE)",IF(N247=CURSOS!$D$9,"HUMANIZACION EN SALUD, BUENAS PRACTICAS EN PACIENTE ",IF(N247=CURSOS!$D$10,"CLINICA DE HERIDAS ",IF(N247=CURSOS!$D$11,"TOMA DE CITOLOGIA A CERVICO VAGINAL ",IF(N247=CURSOS!$D$12,"SOPORTE CARDIOVASCULAR AVANZADO ",IF(N247=CURSOS!$D$13,"CAMILLERO ",IF(N247=CURSOS!$D$14,"TOMA MUESTRAS Y LABORATORIO ",IF(N247=CURSOS!$D$15,"SOPORTE VITAL BASICO (BLS)",IF(N247=CURSOS!$D$16,"ATENCION A VICTIMAS DE VIOLENCIA SEXUAL ",IF(N247=CURSOS!$D$17,"PROGRAMADO AMPLIADO DE INMUNIZACION (PAI - COVID 19)",IF(N247=CURSOS!$D$18,"ATENCION INTEGRAL EN ENFERMEDADES PREVALENTES EN PRIMERA INFANCIA (AIEPI)",IF(N247=CURSOS!$D$19,"ADMINISTRACION DE MEDICAMENTOS, IYECTOLOGIA  Y CANALIZACION ",IF(N247=CURSOS!$D$20,"OPERADOR DE VEHICULOS DE EMERGENCIA (OVE)",IF(N247=CURSOS!$D$21,"INSTITUCIONES AMIGAS DE LA MUJER Y LA INFANCIA (IAMI)",IF(N247=CURSOS!$D$22,"CUIDADO DEL DONANTE DE ORGANOS",IF(N247=CURSOS!$D$23,"ATENCION A VICTIMAS POR VIOLENCIA DE GENERO",IF(N247=CURSOS!$D$24,"IGUALDAD DE GENERO EN LA SALUD",IF(N247=CURSOS!$D$25,"BRIGADA DE EMERGENCIA",IF(N247=CURSOS!$D$26,"MANEJO DEL DOLOR Y CUIDADOS PALIATIVOS",IF(N247=CURSOS!$D$27,"TOMA MUESTRAS Y LABORATORIO POCT",IF(N247=CURSOS!$D$28,"IMPLANTE SUBDERMICO Y DISPOSITIVO INTRAUTERINO",IF(N247=CURSOS!$D$29,"SALUD MENTAL",IF(N247=CURSOS!$D$30,"PRIMEROS AUXILIOS PSICOLOGICOS",IF(N247=CURSOS!$D$31,"ATENCION A VICTIMAS POR CONFLICTO ARMADO",IF(N247=CURSOS!$D$32,"MANIPULACION DE ALIMENTOS Y BPM"))))))))))))))))))))))))))))))</f>
        <v>0</v>
      </c>
      <c r="U247" s="30" t="str">
        <f t="shared" si="33"/>
        <v xml:space="preserve">   </v>
      </c>
      <c r="V247" s="30" t="str">
        <f t="shared" si="34"/>
        <v xml:space="preserve">   </v>
      </c>
      <c r="W247" s="30" t="str">
        <f t="shared" si="35"/>
        <v xml:space="preserve">   --</v>
      </c>
    </row>
    <row r="248" spans="1:23" x14ac:dyDescent="0.2">
      <c r="A248" s="52">
        <v>248</v>
      </c>
      <c r="T248" s="30" t="b">
        <f>IF(N248=CURSOS!$D$3,"DIPLOMADO EN ATENCION PRE-HOSPITALARIA",IF(N248=CURSOS!$D$4,"ACOMPAÑAMIENTO Y MANEJO DEL DUELO",IF(N248=CURSOS!$D$5,"ATENCION A VICTIMAS DE ATAQUE CON AGENTES QUIMICOS ",IF(N248=CURSOS!$D$6,"PRIMEROS AUXILIOS ",IF(N248=CURSOS!$D$7,"DIPLOMADO DE UNIDAD DE CUIDADOS INTENSIVOS (UCI)",IF(N248=CURSOS!$D$8,"MODELO DE ATENCION PARA EVENTOS EMERGENTES EN SALUD MENTAL (CODIGO VERDE)",IF(N248=CURSOS!$D$9,"HUMANIZACION EN SALUD, BUENAS PRACTICAS EN PACIENTE ",IF(N248=CURSOS!$D$10,"CLINICA DE HERIDAS ",IF(N248=CURSOS!$D$11,"TOMA DE CITOLOGIA A CERVICO VAGINAL ",IF(N248=CURSOS!$D$12,"SOPORTE CARDIOVASCULAR AVANZADO ",IF(N248=CURSOS!$D$13,"CAMILLERO ",IF(N248=CURSOS!$D$14,"TOMA MUESTRAS Y LABORATORIO ",IF(N248=CURSOS!$D$15,"SOPORTE VITAL BASICO (BLS)",IF(N248=CURSOS!$D$16,"ATENCION A VICTIMAS DE VIOLENCIA SEXUAL ",IF(N248=CURSOS!$D$17,"PROGRAMADO AMPLIADO DE INMUNIZACION (PAI - COVID 19)",IF(N248=CURSOS!$D$18,"ATENCION INTEGRAL EN ENFERMEDADES PREVALENTES EN PRIMERA INFANCIA (AIEPI)",IF(N248=CURSOS!$D$19,"ADMINISTRACION DE MEDICAMENTOS, IYECTOLOGIA  Y CANALIZACION ",IF(N248=CURSOS!$D$20,"OPERADOR DE VEHICULOS DE EMERGENCIA (OVE)",IF(N248=CURSOS!$D$21,"INSTITUCIONES AMIGAS DE LA MUJER Y LA INFANCIA (IAMI)",IF(N248=CURSOS!$D$22,"CUIDADO DEL DONANTE DE ORGANOS",IF(N248=CURSOS!$D$23,"ATENCION A VICTIMAS POR VIOLENCIA DE GENERO",IF(N248=CURSOS!$D$24,"IGUALDAD DE GENERO EN LA SALUD",IF(N248=CURSOS!$D$25,"BRIGADA DE EMERGENCIA",IF(N248=CURSOS!$D$26,"MANEJO DEL DOLOR Y CUIDADOS PALIATIVOS",IF(N248=CURSOS!$D$27,"TOMA MUESTRAS Y LABORATORIO POCT",IF(N248=CURSOS!$D$28,"IMPLANTE SUBDERMICO Y DISPOSITIVO INTRAUTERINO",IF(N248=CURSOS!$D$29,"SALUD MENTAL",IF(N248=CURSOS!$D$30,"PRIMEROS AUXILIOS PSICOLOGICOS",IF(N248=CURSOS!$D$31,"ATENCION A VICTIMAS POR CONFLICTO ARMADO",IF(N248=CURSOS!$D$32,"MANIPULACION DE ALIMENTOS Y BPM"))))))))))))))))))))))))))))))</f>
        <v>0</v>
      </c>
      <c r="U248" s="30" t="str">
        <f t="shared" si="33"/>
        <v xml:space="preserve">   </v>
      </c>
      <c r="V248" s="30" t="str">
        <f t="shared" si="34"/>
        <v xml:space="preserve">   </v>
      </c>
      <c r="W248" s="30" t="str">
        <f t="shared" si="35"/>
        <v xml:space="preserve">   --</v>
      </c>
    </row>
    <row r="249" spans="1:23" x14ac:dyDescent="0.2">
      <c r="A249" s="52">
        <v>249</v>
      </c>
      <c r="T249" s="30" t="b">
        <f>IF(N249=CURSOS!$D$3,"DIPLOMADO EN ATENCION PRE-HOSPITALARIA",IF(N249=CURSOS!$D$4,"ACOMPAÑAMIENTO Y MANEJO DEL DUELO",IF(N249=CURSOS!$D$5,"ATENCION A VICTIMAS DE ATAQUE CON AGENTES QUIMICOS ",IF(N249=CURSOS!$D$6,"PRIMEROS AUXILIOS ",IF(N249=CURSOS!$D$7,"DIPLOMADO DE UNIDAD DE CUIDADOS INTENSIVOS (UCI)",IF(N249=CURSOS!$D$8,"MODELO DE ATENCION PARA EVENTOS EMERGENTES EN SALUD MENTAL (CODIGO VERDE)",IF(N249=CURSOS!$D$9,"HUMANIZACION EN SALUD, BUENAS PRACTICAS EN PACIENTE ",IF(N249=CURSOS!$D$10,"CLINICA DE HERIDAS ",IF(N249=CURSOS!$D$11,"TOMA DE CITOLOGIA A CERVICO VAGINAL ",IF(N249=CURSOS!$D$12,"SOPORTE CARDIOVASCULAR AVANZADO ",IF(N249=CURSOS!$D$13,"CAMILLERO ",IF(N249=CURSOS!$D$14,"TOMA MUESTRAS Y LABORATORIO ",IF(N249=CURSOS!$D$15,"SOPORTE VITAL BASICO (BLS)",IF(N249=CURSOS!$D$16,"ATENCION A VICTIMAS DE VIOLENCIA SEXUAL ",IF(N249=CURSOS!$D$17,"PROGRAMADO AMPLIADO DE INMUNIZACION (PAI - COVID 19)",IF(N249=CURSOS!$D$18,"ATENCION INTEGRAL EN ENFERMEDADES PREVALENTES EN PRIMERA INFANCIA (AIEPI)",IF(N249=CURSOS!$D$19,"ADMINISTRACION DE MEDICAMENTOS, IYECTOLOGIA  Y CANALIZACION ",IF(N249=CURSOS!$D$20,"OPERADOR DE VEHICULOS DE EMERGENCIA (OVE)",IF(N249=CURSOS!$D$21,"INSTITUCIONES AMIGAS DE LA MUJER Y LA INFANCIA (IAMI)",IF(N249=CURSOS!$D$22,"CUIDADO DEL DONANTE DE ORGANOS",IF(N249=CURSOS!$D$23,"ATENCION A VICTIMAS POR VIOLENCIA DE GENERO",IF(N249=CURSOS!$D$24,"IGUALDAD DE GENERO EN LA SALUD",IF(N249=CURSOS!$D$25,"BRIGADA DE EMERGENCIA",IF(N249=CURSOS!$D$26,"MANEJO DEL DOLOR Y CUIDADOS PALIATIVOS",IF(N249=CURSOS!$D$27,"TOMA MUESTRAS Y LABORATORIO POCT",IF(N249=CURSOS!$D$28,"IMPLANTE SUBDERMICO Y DISPOSITIVO INTRAUTERINO",IF(N249=CURSOS!$D$29,"SALUD MENTAL",IF(N249=CURSOS!$D$30,"PRIMEROS AUXILIOS PSICOLOGICOS",IF(N249=CURSOS!$D$31,"ATENCION A VICTIMAS POR CONFLICTO ARMADO",IF(N249=CURSOS!$D$32,"MANIPULACION DE ALIMENTOS Y BPM"))))))))))))))))))))))))))))))</f>
        <v>0</v>
      </c>
      <c r="U249" s="30" t="str">
        <f t="shared" si="33"/>
        <v xml:space="preserve">   </v>
      </c>
      <c r="V249" s="30" t="str">
        <f t="shared" si="34"/>
        <v xml:space="preserve">   </v>
      </c>
      <c r="W249" s="30" t="str">
        <f t="shared" si="35"/>
        <v xml:space="preserve">   --</v>
      </c>
    </row>
    <row r="250" spans="1:23" x14ac:dyDescent="0.2">
      <c r="A250" s="52">
        <v>250</v>
      </c>
      <c r="T250" s="30" t="b">
        <f>IF(N250=CURSOS!$D$3,"DIPLOMADO EN ATENCION PRE-HOSPITALARIA",IF(N250=CURSOS!$D$4,"ACOMPAÑAMIENTO Y MANEJO DEL DUELO",IF(N250=CURSOS!$D$5,"ATENCION A VICTIMAS DE ATAQUE CON AGENTES QUIMICOS ",IF(N250=CURSOS!$D$6,"PRIMEROS AUXILIOS ",IF(N250=CURSOS!$D$7,"DIPLOMADO DE UNIDAD DE CUIDADOS INTENSIVOS (UCI)",IF(N250=CURSOS!$D$8,"MODELO DE ATENCION PARA EVENTOS EMERGENTES EN SALUD MENTAL (CODIGO VERDE)",IF(N250=CURSOS!$D$9,"HUMANIZACION EN SALUD, BUENAS PRACTICAS EN PACIENTE ",IF(N250=CURSOS!$D$10,"CLINICA DE HERIDAS ",IF(N250=CURSOS!$D$11,"TOMA DE CITOLOGIA A CERVICO VAGINAL ",IF(N250=CURSOS!$D$12,"SOPORTE CARDIOVASCULAR AVANZADO ",IF(N250=CURSOS!$D$13,"CAMILLERO ",IF(N250=CURSOS!$D$14,"TOMA MUESTRAS Y LABORATORIO ",IF(N250=CURSOS!$D$15,"SOPORTE VITAL BASICO (BLS)",IF(N250=CURSOS!$D$16,"ATENCION A VICTIMAS DE VIOLENCIA SEXUAL ",IF(N250=CURSOS!$D$17,"PROGRAMADO AMPLIADO DE INMUNIZACION (PAI - COVID 19)",IF(N250=CURSOS!$D$18,"ATENCION INTEGRAL EN ENFERMEDADES PREVALENTES EN PRIMERA INFANCIA (AIEPI)",IF(N250=CURSOS!$D$19,"ADMINISTRACION DE MEDICAMENTOS, IYECTOLOGIA  Y CANALIZACION ",IF(N250=CURSOS!$D$20,"OPERADOR DE VEHICULOS DE EMERGENCIA (OVE)",IF(N250=CURSOS!$D$21,"INSTITUCIONES AMIGAS DE LA MUJER Y LA INFANCIA (IAMI)",IF(N250=CURSOS!$D$22,"CUIDADO DEL DONANTE DE ORGANOS",IF(N250=CURSOS!$D$23,"ATENCION A VICTIMAS POR VIOLENCIA DE GENERO",IF(N250=CURSOS!$D$24,"IGUALDAD DE GENERO EN LA SALUD",IF(N250=CURSOS!$D$25,"BRIGADA DE EMERGENCIA",IF(N250=CURSOS!$D$26,"MANEJO DEL DOLOR Y CUIDADOS PALIATIVOS",IF(N250=CURSOS!$D$27,"TOMA MUESTRAS Y LABORATORIO POCT",IF(N250=CURSOS!$D$28,"IMPLANTE SUBDERMICO Y DISPOSITIVO INTRAUTERINO",IF(N250=CURSOS!$D$29,"SALUD MENTAL",IF(N250=CURSOS!$D$30,"PRIMEROS AUXILIOS PSICOLOGICOS",IF(N250=CURSOS!$D$31,"ATENCION A VICTIMAS POR CONFLICTO ARMADO",IF(N250=CURSOS!$D$32,"MANIPULACION DE ALIMENTOS Y BPM"))))))))))))))))))))))))))))))</f>
        <v>0</v>
      </c>
      <c r="U250" s="30" t="str">
        <f t="shared" si="33"/>
        <v xml:space="preserve">   </v>
      </c>
      <c r="V250" s="30" t="str">
        <f t="shared" si="34"/>
        <v xml:space="preserve">   </v>
      </c>
      <c r="W250" s="30" t="str">
        <f t="shared" si="35"/>
        <v xml:space="preserve">   --</v>
      </c>
    </row>
    <row r="251" spans="1:23" s="95" customFormat="1" x14ac:dyDescent="0.2">
      <c r="A251" s="89">
        <v>251</v>
      </c>
      <c r="B251" s="89"/>
      <c r="C251" s="89"/>
      <c r="D251" s="89"/>
      <c r="E251" s="89"/>
      <c r="F251" s="89"/>
      <c r="G251" s="90"/>
      <c r="H251" s="90"/>
      <c r="I251" s="91"/>
      <c r="J251" s="92"/>
      <c r="K251" s="90"/>
      <c r="L251" s="90"/>
      <c r="M251" s="90"/>
      <c r="N251" s="93"/>
      <c r="O251" s="94"/>
      <c r="P251" s="89"/>
      <c r="Q251" s="89"/>
      <c r="R251" s="89"/>
      <c r="S251" s="89"/>
      <c r="T251" s="30" t="b">
        <f>IF(N251=CURSOS!$D$3,"DIPLOMADO EN ATENCION PRE-HOSPITALARIA",IF(N251=CURSOS!$D$4,"ACOMPAÑAMIENTO Y MANEJO DEL DUELO",IF(N251=CURSOS!$D$5,"ATENCION A VICTIMAS DE ATAQUE CON AGENTES QUIMICOS ",IF(N251=CURSOS!$D$6,"PRIMEROS AUXILIOS ",IF(N251=CURSOS!$D$7,"DIPLOMADO DE UNIDAD DE CUIDADOS INTENSIVOS (UCI)",IF(N251=CURSOS!$D$8,"MODELO DE ATENCION PARA EVENTOS EMERGENTES EN SALUD MENTAL (CODIGO VERDE)",IF(N251=CURSOS!$D$9,"HUMANIZACION EN SALUD, BUENAS PRACTICAS EN PACIENTE ",IF(N251=CURSOS!$D$10,"CLINICA DE HERIDAS ",IF(N251=CURSOS!$D$11,"TOMA DE CITOLOGIA A CERVICO VAGINAL ",IF(N251=CURSOS!$D$12,"SOPORTE CARDIOVASCULAR AVANZADO ",IF(N251=CURSOS!$D$13,"CAMILLERO ",IF(N251=CURSOS!$D$14,"TOMA MUESTRAS Y LABORATORIO ",IF(N251=CURSOS!$D$15,"SOPORTE VITAL BASICO (BLS)",IF(N251=CURSOS!$D$16,"ATENCION A VICTIMAS DE VIOLENCIA SEXUAL ",IF(N251=CURSOS!$D$17,"PROGRAMADO AMPLIADO DE INMUNIZACION (PAI - COVID 19)",IF(N251=CURSOS!$D$18,"ATENCION INTEGRAL EN ENFERMEDADES PREVALENTES EN PRIMERA INFANCIA (AIEPI)",IF(N251=CURSOS!$D$19,"ADMINISTRACION DE MEDICAMENTOS, IYECTOLOGIA  Y CANALIZACION ",IF(N251=CURSOS!$D$20,"OPERADOR DE VEHICULOS DE EMERGENCIA (OVE)",IF(N251=CURSOS!$D$21,"INSTITUCIONES AMIGAS DE LA MUJER Y LA INFANCIA (IAMI)",IF(N251=CURSOS!$D$22,"CUIDADO DEL DONANTE DE ORGANOS",IF(N251=CURSOS!$D$23,"ATENCION A VICTIMAS POR VIOLENCIA DE GENERO",IF(N251=CURSOS!$D$24,"IGUALDAD DE GENERO EN LA SALUD",IF(N251=CURSOS!$D$25,"BRIGADA DE EMERGENCIA",IF(N251=CURSOS!$D$26,"MANEJO DEL DOLOR Y CUIDADOS PALIATIVOS",IF(N251=CURSOS!$D$27,"TOMA MUESTRAS Y LABORATORIO POCT",IF(N251=CURSOS!$D$28,"IMPLANTE SUBDERMICO Y DISPOSITIVO INTRAUTERINO",IF(N251=CURSOS!$D$29,"SALUD MENTAL",IF(N251=CURSOS!$D$30,"PRIMEROS AUXILIOS PSICOLOGICOS",IF(N251=CURSOS!$D$31,"ATENCION A VICTIMAS POR CONFLICTO ARMADO",IF(N251=CURSOS!$D$32,"MANIPULACION DE ALIMENTOS Y BPM"))))))))))))))))))))))))))))))</f>
        <v>0</v>
      </c>
      <c r="U251" s="30" t="str">
        <f t="shared" si="33"/>
        <v xml:space="preserve">   </v>
      </c>
      <c r="V251" s="30" t="str">
        <f t="shared" si="34"/>
        <v xml:space="preserve">   </v>
      </c>
      <c r="W251" s="30" t="str">
        <f t="shared" si="35"/>
        <v xml:space="preserve">   --</v>
      </c>
    </row>
    <row r="252" spans="1:23" s="46" customFormat="1" x14ac:dyDescent="0.2">
      <c r="A252" s="31">
        <v>252</v>
      </c>
      <c r="B252" s="31"/>
      <c r="C252" s="31"/>
      <c r="D252" s="31"/>
      <c r="E252" s="31"/>
      <c r="F252" s="31"/>
      <c r="G252" s="18"/>
      <c r="H252" s="18"/>
      <c r="I252" s="22"/>
      <c r="J252" s="57"/>
      <c r="K252" s="18"/>
      <c r="L252" s="18"/>
      <c r="M252" s="18"/>
      <c r="N252" s="19"/>
      <c r="O252" s="45"/>
      <c r="P252" s="31"/>
      <c r="Q252" s="31"/>
      <c r="R252" s="31"/>
      <c r="S252" s="31"/>
      <c r="T252" s="30" t="b">
        <f>IF(N252=CURSOS!$D$3,"DIPLOMADO EN ATENCION PRE-HOSPITALARIA",IF(N252=CURSOS!$D$4,"ACOMPAÑAMIENTO Y MANEJO DEL DUELO",IF(N252=CURSOS!$D$5,"ATENCION A VICTIMAS DE ATAQUE CON AGENTES QUIMICOS ",IF(N252=CURSOS!$D$6,"PRIMEROS AUXILIOS ",IF(N252=CURSOS!$D$7,"DIPLOMADO DE UNIDAD DE CUIDADOS INTENSIVOS (UCI)",IF(N252=CURSOS!$D$8,"MODELO DE ATENCION PARA EVENTOS EMERGENTES EN SALUD MENTAL (CODIGO VERDE)",IF(N252=CURSOS!$D$9,"HUMANIZACION EN SALUD, BUENAS PRACTICAS EN PACIENTE ",IF(N252=CURSOS!$D$10,"CLINICA DE HERIDAS ",IF(N252=CURSOS!$D$11,"TOMA DE CITOLOGIA A CERVICO VAGINAL ",IF(N252=CURSOS!$D$12,"SOPORTE CARDIOVASCULAR AVANZADO ",IF(N252=CURSOS!$D$13,"CAMILLERO ",IF(N252=CURSOS!$D$14,"TOMA MUESTRAS Y LABORATORIO ",IF(N252=CURSOS!$D$15,"SOPORTE VITAL BASICO (BLS)",IF(N252=CURSOS!$D$16,"ATENCION A VICTIMAS DE VIOLENCIA SEXUAL ",IF(N252=CURSOS!$D$17,"PROGRAMADO AMPLIADO DE INMUNIZACION (PAI - COVID 19)",IF(N252=CURSOS!$D$18,"ATENCION INTEGRAL EN ENFERMEDADES PREVALENTES EN PRIMERA INFANCIA (AIEPI)",IF(N252=CURSOS!$D$19,"ADMINISTRACION DE MEDICAMENTOS, IYECTOLOGIA  Y CANALIZACION ",IF(N252=CURSOS!$D$20,"OPERADOR DE VEHICULOS DE EMERGENCIA (OVE)",IF(N252=CURSOS!$D$21,"INSTITUCIONES AMIGAS DE LA MUJER Y LA INFANCIA (IAMI)",IF(N252=CURSOS!$D$22,"CUIDADO DEL DONANTE DE ORGANOS",IF(N252=CURSOS!$D$23,"ATENCION A VICTIMAS POR VIOLENCIA DE GENERO",IF(N252=CURSOS!$D$24,"IGUALDAD DE GENERO EN LA SALUD",IF(N252=CURSOS!$D$25,"BRIGADA DE EMERGENCIA",IF(N252=CURSOS!$D$26,"MANEJO DEL DOLOR Y CUIDADOS PALIATIVOS",IF(N252=CURSOS!$D$27,"TOMA MUESTRAS Y LABORATORIO POCT",IF(N252=CURSOS!$D$28,"IMPLANTE SUBDERMICO Y DISPOSITIVO INTRAUTERINO",IF(N252=CURSOS!$D$29,"SALUD MENTAL",IF(N252=CURSOS!$D$30,"PRIMEROS AUXILIOS PSICOLOGICOS",IF(N252=CURSOS!$D$31,"ATENCION A VICTIMAS POR CONFLICTO ARMADO",IF(N252=CURSOS!$D$32,"MANIPULACION DE ALIMENTOS Y BPM"))))))))))))))))))))))))))))))</f>
        <v>0</v>
      </c>
      <c r="U252" s="30" t="str">
        <f t="shared" si="33"/>
        <v xml:space="preserve">   </v>
      </c>
      <c r="V252" s="30" t="str">
        <f t="shared" si="34"/>
        <v xml:space="preserve">   </v>
      </c>
      <c r="W252" s="30" t="str">
        <f t="shared" si="35"/>
        <v xml:space="preserve">   --</v>
      </c>
    </row>
    <row r="253" spans="1:23" s="46" customFormat="1" x14ac:dyDescent="0.2">
      <c r="A253" s="31">
        <v>253</v>
      </c>
      <c r="B253" s="31"/>
      <c r="C253" s="31"/>
      <c r="D253" s="31"/>
      <c r="E253" s="31"/>
      <c r="F253" s="31"/>
      <c r="G253" s="18"/>
      <c r="H253" s="18"/>
      <c r="I253" s="22"/>
      <c r="J253" s="57"/>
      <c r="K253" s="18"/>
      <c r="L253" s="18"/>
      <c r="M253" s="18"/>
      <c r="N253" s="19"/>
      <c r="O253" s="45"/>
      <c r="P253" s="31"/>
      <c r="Q253" s="31"/>
      <c r="R253" s="31"/>
      <c r="S253" s="31"/>
      <c r="T253" s="30" t="b">
        <f>IF(N253=CURSOS!$D$3,"DIPLOMADO EN ATENCION PRE-HOSPITALARIA",IF(N253=CURSOS!$D$4,"ACOMPAÑAMIENTO Y MANEJO DEL DUELO",IF(N253=CURSOS!$D$5,"ATENCION A VICTIMAS DE ATAQUE CON AGENTES QUIMICOS ",IF(N253=CURSOS!$D$6,"PRIMEROS AUXILIOS ",IF(N253=CURSOS!$D$7,"DIPLOMADO DE UNIDAD DE CUIDADOS INTENSIVOS (UCI)",IF(N253=CURSOS!$D$8,"MODELO DE ATENCION PARA EVENTOS EMERGENTES EN SALUD MENTAL (CODIGO VERDE)",IF(N253=CURSOS!$D$9,"HUMANIZACION EN SALUD, BUENAS PRACTICAS EN PACIENTE ",IF(N253=CURSOS!$D$10,"CLINICA DE HERIDAS ",IF(N253=CURSOS!$D$11,"TOMA DE CITOLOGIA A CERVICO VAGINAL ",IF(N253=CURSOS!$D$12,"SOPORTE CARDIOVASCULAR AVANZADO ",IF(N253=CURSOS!$D$13,"CAMILLERO ",IF(N253=CURSOS!$D$14,"TOMA MUESTRAS Y LABORATORIO ",IF(N253=CURSOS!$D$15,"SOPORTE VITAL BASICO (BLS)",IF(N253=CURSOS!$D$16,"ATENCION A VICTIMAS DE VIOLENCIA SEXUAL ",IF(N253=CURSOS!$D$17,"PROGRAMADO AMPLIADO DE INMUNIZACION (PAI - COVID 19)",IF(N253=CURSOS!$D$18,"ATENCION INTEGRAL EN ENFERMEDADES PREVALENTES EN PRIMERA INFANCIA (AIEPI)",IF(N253=CURSOS!$D$19,"ADMINISTRACION DE MEDICAMENTOS, IYECTOLOGIA  Y CANALIZACION ",IF(N253=CURSOS!$D$20,"OPERADOR DE VEHICULOS DE EMERGENCIA (OVE)",IF(N253=CURSOS!$D$21,"INSTITUCIONES AMIGAS DE LA MUJER Y LA INFANCIA (IAMI)",IF(N253=CURSOS!$D$22,"CUIDADO DEL DONANTE DE ORGANOS",IF(N253=CURSOS!$D$23,"ATENCION A VICTIMAS POR VIOLENCIA DE GENERO",IF(N253=CURSOS!$D$24,"IGUALDAD DE GENERO EN LA SALUD",IF(N253=CURSOS!$D$25,"BRIGADA DE EMERGENCIA",IF(N253=CURSOS!$D$26,"MANEJO DEL DOLOR Y CUIDADOS PALIATIVOS",IF(N253=CURSOS!$D$27,"TOMA MUESTRAS Y LABORATORIO POCT",IF(N253=CURSOS!$D$28,"IMPLANTE SUBDERMICO Y DISPOSITIVO INTRAUTERINO",IF(N253=CURSOS!$D$29,"SALUD MENTAL",IF(N253=CURSOS!$D$30,"PRIMEROS AUXILIOS PSICOLOGICOS",IF(N253=CURSOS!$D$31,"ATENCION A VICTIMAS POR CONFLICTO ARMADO",IF(N253=CURSOS!$D$32,"MANIPULACION DE ALIMENTOS Y BPM"))))))))))))))))))))))))))))))</f>
        <v>0</v>
      </c>
      <c r="U253" s="30" t="str">
        <f t="shared" si="33"/>
        <v xml:space="preserve">   </v>
      </c>
      <c r="V253" s="30" t="str">
        <f t="shared" si="34"/>
        <v xml:space="preserve">   </v>
      </c>
      <c r="W253" s="30" t="str">
        <f t="shared" si="35"/>
        <v xml:space="preserve">   --</v>
      </c>
    </row>
    <row r="254" spans="1:23" s="46" customFormat="1" x14ac:dyDescent="0.2">
      <c r="A254" s="31">
        <v>254</v>
      </c>
      <c r="B254" s="31"/>
      <c r="C254" s="31"/>
      <c r="D254" s="31"/>
      <c r="E254" s="31"/>
      <c r="F254" s="31"/>
      <c r="G254" s="18"/>
      <c r="H254" s="18"/>
      <c r="I254" s="22"/>
      <c r="J254" s="57"/>
      <c r="K254" s="18"/>
      <c r="L254" s="18"/>
      <c r="M254" s="18"/>
      <c r="N254" s="19"/>
      <c r="O254" s="45"/>
      <c r="P254" s="31"/>
      <c r="Q254" s="31"/>
      <c r="R254" s="31"/>
      <c r="S254" s="31"/>
      <c r="T254" s="30" t="b">
        <f>IF(N254=CURSOS!$D$3,"DIPLOMADO EN ATENCION PRE-HOSPITALARIA",IF(N254=CURSOS!$D$4,"ACOMPAÑAMIENTO Y MANEJO DEL DUELO",IF(N254=CURSOS!$D$5,"ATENCION A VICTIMAS DE ATAQUE CON AGENTES QUIMICOS ",IF(N254=CURSOS!$D$6,"PRIMEROS AUXILIOS ",IF(N254=CURSOS!$D$7,"DIPLOMADO DE UNIDAD DE CUIDADOS INTENSIVOS (UCI)",IF(N254=CURSOS!$D$8,"MODELO DE ATENCION PARA EVENTOS EMERGENTES EN SALUD MENTAL (CODIGO VERDE)",IF(N254=CURSOS!$D$9,"HUMANIZACION EN SALUD, BUENAS PRACTICAS EN PACIENTE ",IF(N254=CURSOS!$D$10,"CLINICA DE HERIDAS ",IF(N254=CURSOS!$D$11,"TOMA DE CITOLOGIA A CERVICO VAGINAL ",IF(N254=CURSOS!$D$12,"SOPORTE CARDIOVASCULAR AVANZADO ",IF(N254=CURSOS!$D$13,"CAMILLERO ",IF(N254=CURSOS!$D$14,"TOMA MUESTRAS Y LABORATORIO ",IF(N254=CURSOS!$D$15,"SOPORTE VITAL BASICO (BLS)",IF(N254=CURSOS!$D$16,"ATENCION A VICTIMAS DE VIOLENCIA SEXUAL ",IF(N254=CURSOS!$D$17,"PROGRAMADO AMPLIADO DE INMUNIZACION (PAI - COVID 19)",IF(N254=CURSOS!$D$18,"ATENCION INTEGRAL EN ENFERMEDADES PREVALENTES EN PRIMERA INFANCIA (AIEPI)",IF(N254=CURSOS!$D$19,"ADMINISTRACION DE MEDICAMENTOS, IYECTOLOGIA  Y CANALIZACION ",IF(N254=CURSOS!$D$20,"OPERADOR DE VEHICULOS DE EMERGENCIA (OVE)",IF(N254=CURSOS!$D$21,"INSTITUCIONES AMIGAS DE LA MUJER Y LA INFANCIA (IAMI)",IF(N254=CURSOS!$D$22,"CUIDADO DEL DONANTE DE ORGANOS",IF(N254=CURSOS!$D$23,"ATENCION A VICTIMAS POR VIOLENCIA DE GENERO",IF(N254=CURSOS!$D$24,"IGUALDAD DE GENERO EN LA SALUD",IF(N254=CURSOS!$D$25,"BRIGADA DE EMERGENCIA",IF(N254=CURSOS!$D$26,"MANEJO DEL DOLOR Y CUIDADOS PALIATIVOS",IF(N254=CURSOS!$D$27,"TOMA MUESTRAS Y LABORATORIO POCT",IF(N254=CURSOS!$D$28,"IMPLANTE SUBDERMICO Y DISPOSITIVO INTRAUTERINO",IF(N254=CURSOS!$D$29,"SALUD MENTAL",IF(N254=CURSOS!$D$30,"PRIMEROS AUXILIOS PSICOLOGICOS",IF(N254=CURSOS!$D$31,"ATENCION A VICTIMAS POR CONFLICTO ARMADO",IF(N254=CURSOS!$D$32,"MANIPULACION DE ALIMENTOS Y BPM"))))))))))))))))))))))))))))))</f>
        <v>0</v>
      </c>
      <c r="U254" s="30" t="str">
        <f t="shared" si="33"/>
        <v xml:space="preserve">   </v>
      </c>
      <c r="V254" s="30" t="str">
        <f t="shared" si="34"/>
        <v xml:space="preserve">   </v>
      </c>
      <c r="W254" s="30" t="str">
        <f t="shared" si="35"/>
        <v xml:space="preserve">   --</v>
      </c>
    </row>
    <row r="255" spans="1:23" s="46" customFormat="1" x14ac:dyDescent="0.2">
      <c r="A255" s="31">
        <v>255</v>
      </c>
      <c r="B255" s="31"/>
      <c r="C255" s="31"/>
      <c r="D255" s="31"/>
      <c r="E255" s="31"/>
      <c r="F255" s="31"/>
      <c r="G255" s="18"/>
      <c r="H255" s="18"/>
      <c r="I255" s="22"/>
      <c r="J255" s="57"/>
      <c r="K255" s="18"/>
      <c r="L255" s="18"/>
      <c r="M255" s="18"/>
      <c r="N255" s="19"/>
      <c r="O255" s="45"/>
      <c r="P255" s="31"/>
      <c r="Q255" s="31"/>
      <c r="R255" s="31"/>
      <c r="S255" s="31"/>
      <c r="T255" s="30" t="b">
        <f>IF(N255=CURSOS!$D$3,"DIPLOMADO EN ATENCION PRE-HOSPITALARIA",IF(N255=CURSOS!$D$4,"ACOMPAÑAMIENTO Y MANEJO DEL DUELO",IF(N255=CURSOS!$D$5,"ATENCION A VICTIMAS DE ATAQUE CON AGENTES QUIMICOS ",IF(N255=CURSOS!$D$6,"PRIMEROS AUXILIOS ",IF(N255=CURSOS!$D$7,"DIPLOMADO DE UNIDAD DE CUIDADOS INTENSIVOS (UCI)",IF(N255=CURSOS!$D$8,"MODELO DE ATENCION PARA EVENTOS EMERGENTES EN SALUD MENTAL (CODIGO VERDE)",IF(N255=CURSOS!$D$9,"HUMANIZACION EN SALUD, BUENAS PRACTICAS EN PACIENTE ",IF(N255=CURSOS!$D$10,"CLINICA DE HERIDAS ",IF(N255=CURSOS!$D$11,"TOMA DE CITOLOGIA A CERVICO VAGINAL ",IF(N255=CURSOS!$D$12,"SOPORTE CARDIOVASCULAR AVANZADO ",IF(N255=CURSOS!$D$13,"CAMILLERO ",IF(N255=CURSOS!$D$14,"TOMA MUESTRAS Y LABORATORIO ",IF(N255=CURSOS!$D$15,"SOPORTE VITAL BASICO (BLS)",IF(N255=CURSOS!$D$16,"ATENCION A VICTIMAS DE VIOLENCIA SEXUAL ",IF(N255=CURSOS!$D$17,"PROGRAMADO AMPLIADO DE INMUNIZACION (PAI - COVID 19)",IF(N255=CURSOS!$D$18,"ATENCION INTEGRAL EN ENFERMEDADES PREVALENTES EN PRIMERA INFANCIA (AIEPI)",IF(N255=CURSOS!$D$19,"ADMINISTRACION DE MEDICAMENTOS, IYECTOLOGIA  Y CANALIZACION ",IF(N255=CURSOS!$D$20,"OPERADOR DE VEHICULOS DE EMERGENCIA (OVE)",IF(N255=CURSOS!$D$21,"INSTITUCIONES AMIGAS DE LA MUJER Y LA INFANCIA (IAMI)",IF(N255=CURSOS!$D$22,"CUIDADO DEL DONANTE DE ORGANOS",IF(N255=CURSOS!$D$23,"ATENCION A VICTIMAS POR VIOLENCIA DE GENERO",IF(N255=CURSOS!$D$24,"IGUALDAD DE GENERO EN LA SALUD",IF(N255=CURSOS!$D$25,"BRIGADA DE EMERGENCIA",IF(N255=CURSOS!$D$26,"MANEJO DEL DOLOR Y CUIDADOS PALIATIVOS",IF(N255=CURSOS!$D$27,"TOMA MUESTRAS Y LABORATORIO POCT",IF(N255=CURSOS!$D$28,"IMPLANTE SUBDERMICO Y DISPOSITIVO INTRAUTERINO",IF(N255=CURSOS!$D$29,"SALUD MENTAL",IF(N255=CURSOS!$D$30,"PRIMEROS AUXILIOS PSICOLOGICOS",IF(N255=CURSOS!$D$31,"ATENCION A VICTIMAS POR CONFLICTO ARMADO",IF(N255=CURSOS!$D$32,"MANIPULACION DE ALIMENTOS Y BPM"))))))))))))))))))))))))))))))</f>
        <v>0</v>
      </c>
      <c r="U255" s="30" t="str">
        <f t="shared" si="33"/>
        <v xml:space="preserve">   </v>
      </c>
      <c r="V255" s="30" t="str">
        <f t="shared" si="34"/>
        <v xml:space="preserve">   </v>
      </c>
      <c r="W255" s="30" t="str">
        <f t="shared" si="35"/>
        <v xml:space="preserve">   --</v>
      </c>
    </row>
    <row r="256" spans="1:23" s="46" customFormat="1" x14ac:dyDescent="0.2">
      <c r="A256" s="31">
        <v>256</v>
      </c>
      <c r="B256" s="31"/>
      <c r="C256" s="31"/>
      <c r="D256" s="31"/>
      <c r="E256" s="31"/>
      <c r="F256" s="31"/>
      <c r="G256" s="18"/>
      <c r="H256" s="18"/>
      <c r="I256" s="22"/>
      <c r="J256" s="57"/>
      <c r="K256" s="18"/>
      <c r="L256" s="18"/>
      <c r="M256" s="18"/>
      <c r="N256" s="19"/>
      <c r="O256" s="45"/>
      <c r="P256" s="31"/>
      <c r="Q256" s="31"/>
      <c r="R256" s="31"/>
      <c r="S256" s="31"/>
      <c r="T256" s="30" t="b">
        <f>IF(N256=CURSOS!$D$3,"DIPLOMADO EN ATENCION PRE-HOSPITALARIA",IF(N256=CURSOS!$D$4,"ACOMPAÑAMIENTO Y MANEJO DEL DUELO",IF(N256=CURSOS!$D$5,"ATENCION A VICTIMAS DE ATAQUE CON AGENTES QUIMICOS ",IF(N256=CURSOS!$D$6,"PRIMEROS AUXILIOS ",IF(N256=CURSOS!$D$7,"DIPLOMADO DE UNIDAD DE CUIDADOS INTENSIVOS (UCI)",IF(N256=CURSOS!$D$8,"MODELO DE ATENCION PARA EVENTOS EMERGENTES EN SALUD MENTAL (CODIGO VERDE)",IF(N256=CURSOS!$D$9,"HUMANIZACION EN SALUD, BUENAS PRACTICAS EN PACIENTE ",IF(N256=CURSOS!$D$10,"CLINICA DE HERIDAS ",IF(N256=CURSOS!$D$11,"TOMA DE CITOLOGIA A CERVICO VAGINAL ",IF(N256=CURSOS!$D$12,"SOPORTE CARDIOVASCULAR AVANZADO ",IF(N256=CURSOS!$D$13,"CAMILLERO ",IF(N256=CURSOS!$D$14,"TOMA MUESTRAS Y LABORATORIO ",IF(N256=CURSOS!$D$15,"SOPORTE VITAL BASICO (BLS)",IF(N256=CURSOS!$D$16,"ATENCION A VICTIMAS DE VIOLENCIA SEXUAL ",IF(N256=CURSOS!$D$17,"PROGRAMADO AMPLIADO DE INMUNIZACION (PAI - COVID 19)",IF(N256=CURSOS!$D$18,"ATENCION INTEGRAL EN ENFERMEDADES PREVALENTES EN PRIMERA INFANCIA (AIEPI)",IF(N256=CURSOS!$D$19,"ADMINISTRACION DE MEDICAMENTOS, IYECTOLOGIA  Y CANALIZACION ",IF(N256=CURSOS!$D$20,"OPERADOR DE VEHICULOS DE EMERGENCIA (OVE)",IF(N256=CURSOS!$D$21,"INSTITUCIONES AMIGAS DE LA MUJER Y LA INFANCIA (IAMI)",IF(N256=CURSOS!$D$22,"CUIDADO DEL DONANTE DE ORGANOS",IF(N256=CURSOS!$D$23,"ATENCION A VICTIMAS POR VIOLENCIA DE GENERO",IF(N256=CURSOS!$D$24,"IGUALDAD DE GENERO EN LA SALUD",IF(N256=CURSOS!$D$25,"BRIGADA DE EMERGENCIA",IF(N256=CURSOS!$D$26,"MANEJO DEL DOLOR Y CUIDADOS PALIATIVOS",IF(N256=CURSOS!$D$27,"TOMA MUESTRAS Y LABORATORIO POCT",IF(N256=CURSOS!$D$28,"IMPLANTE SUBDERMICO Y DISPOSITIVO INTRAUTERINO",IF(N256=CURSOS!$D$29,"SALUD MENTAL",IF(N256=CURSOS!$D$30,"PRIMEROS AUXILIOS PSICOLOGICOS",IF(N256=CURSOS!$D$31,"ATENCION A VICTIMAS POR CONFLICTO ARMADO",IF(N256=CURSOS!$D$32,"MANIPULACION DE ALIMENTOS Y BPM"))))))))))))))))))))))))))))))</f>
        <v>0</v>
      </c>
      <c r="U256" s="30" t="str">
        <f t="shared" si="33"/>
        <v xml:space="preserve">   </v>
      </c>
      <c r="V256" s="30" t="str">
        <f t="shared" si="34"/>
        <v xml:space="preserve">   </v>
      </c>
      <c r="W256" s="30" t="str">
        <f t="shared" si="35"/>
        <v xml:space="preserve">   --</v>
      </c>
    </row>
    <row r="257" spans="1:23" s="46" customFormat="1" x14ac:dyDescent="0.2">
      <c r="A257" s="31">
        <v>257</v>
      </c>
      <c r="B257" s="31"/>
      <c r="C257" s="31"/>
      <c r="D257" s="31"/>
      <c r="E257" s="31"/>
      <c r="F257" s="31"/>
      <c r="G257" s="18"/>
      <c r="H257" s="18"/>
      <c r="I257" s="22"/>
      <c r="J257" s="57"/>
      <c r="K257" s="18"/>
      <c r="L257" s="18"/>
      <c r="M257" s="18"/>
      <c r="N257" s="19"/>
      <c r="O257" s="45"/>
      <c r="P257" s="31"/>
      <c r="Q257" s="31"/>
      <c r="R257" s="31"/>
      <c r="S257" s="31"/>
      <c r="T257" s="30" t="b">
        <f>IF(N257=CURSOS!$D$3,"DIPLOMADO EN ATENCION PRE-HOSPITALARIA",IF(N257=CURSOS!$D$4,"ACOMPAÑAMIENTO Y MANEJO DEL DUELO",IF(N257=CURSOS!$D$5,"ATENCION A VICTIMAS DE ATAQUE CON AGENTES QUIMICOS ",IF(N257=CURSOS!$D$6,"PRIMEROS AUXILIOS ",IF(N257=CURSOS!$D$7,"DIPLOMADO DE UNIDAD DE CUIDADOS INTENSIVOS (UCI)",IF(N257=CURSOS!$D$8,"MODELO DE ATENCION PARA EVENTOS EMERGENTES EN SALUD MENTAL (CODIGO VERDE)",IF(N257=CURSOS!$D$9,"HUMANIZACION EN SALUD, BUENAS PRACTICAS EN PACIENTE ",IF(N257=CURSOS!$D$10,"CLINICA DE HERIDAS ",IF(N257=CURSOS!$D$11,"TOMA DE CITOLOGIA A CERVICO VAGINAL ",IF(N257=CURSOS!$D$12,"SOPORTE CARDIOVASCULAR AVANZADO ",IF(N257=CURSOS!$D$13,"CAMILLERO ",IF(N257=CURSOS!$D$14,"TOMA MUESTRAS Y LABORATORIO ",IF(N257=CURSOS!$D$15,"SOPORTE VITAL BASICO (BLS)",IF(N257=CURSOS!$D$16,"ATENCION A VICTIMAS DE VIOLENCIA SEXUAL ",IF(N257=CURSOS!$D$17,"PROGRAMADO AMPLIADO DE INMUNIZACION (PAI - COVID 19)",IF(N257=CURSOS!$D$18,"ATENCION INTEGRAL EN ENFERMEDADES PREVALENTES EN PRIMERA INFANCIA (AIEPI)",IF(N257=CURSOS!$D$19,"ADMINISTRACION DE MEDICAMENTOS, IYECTOLOGIA  Y CANALIZACION ",IF(N257=CURSOS!$D$20,"OPERADOR DE VEHICULOS DE EMERGENCIA (OVE)",IF(N257=CURSOS!$D$21,"INSTITUCIONES AMIGAS DE LA MUJER Y LA INFANCIA (IAMI)",IF(N257=CURSOS!$D$22,"CUIDADO DEL DONANTE DE ORGANOS",IF(N257=CURSOS!$D$23,"ATENCION A VICTIMAS POR VIOLENCIA DE GENERO",IF(N257=CURSOS!$D$24,"IGUALDAD DE GENERO EN LA SALUD",IF(N257=CURSOS!$D$25,"BRIGADA DE EMERGENCIA",IF(N257=CURSOS!$D$26,"MANEJO DEL DOLOR Y CUIDADOS PALIATIVOS",IF(N257=CURSOS!$D$27,"TOMA MUESTRAS Y LABORATORIO POCT",IF(N257=CURSOS!$D$28,"IMPLANTE SUBDERMICO Y DISPOSITIVO INTRAUTERINO",IF(N257=CURSOS!$D$29,"SALUD MENTAL",IF(N257=CURSOS!$D$30,"PRIMEROS AUXILIOS PSICOLOGICOS",IF(N257=CURSOS!$D$31,"ATENCION A VICTIMAS POR CONFLICTO ARMADO",IF(N257=CURSOS!$D$32,"MANIPULACION DE ALIMENTOS Y BPM"))))))))))))))))))))))))))))))</f>
        <v>0</v>
      </c>
      <c r="U257" s="30" t="str">
        <f t="shared" si="33"/>
        <v xml:space="preserve">   </v>
      </c>
      <c r="V257" s="30" t="str">
        <f t="shared" si="34"/>
        <v xml:space="preserve">   </v>
      </c>
      <c r="W257" s="30" t="str">
        <f t="shared" si="35"/>
        <v xml:space="preserve">   --</v>
      </c>
    </row>
    <row r="258" spans="1:23" s="67" customFormat="1" x14ac:dyDescent="0.2">
      <c r="A258" s="31">
        <v>258</v>
      </c>
      <c r="B258" s="61"/>
      <c r="C258" s="61"/>
      <c r="D258" s="61"/>
      <c r="E258" s="61"/>
      <c r="F258" s="61"/>
      <c r="G258" s="62"/>
      <c r="H258" s="62"/>
      <c r="I258" s="63"/>
      <c r="J258" s="64"/>
      <c r="K258" s="62"/>
      <c r="L258" s="62"/>
      <c r="M258" s="62"/>
      <c r="N258" s="65"/>
      <c r="O258" s="66"/>
      <c r="P258" s="61"/>
      <c r="Q258" s="61"/>
      <c r="R258" s="61"/>
      <c r="S258" s="61"/>
      <c r="T258" s="30" t="b">
        <f>IF(N258=CURSOS!$D$3,"DIPLOMADO EN ATENCION PRE-HOSPITALARIA",IF(N258=CURSOS!$D$4,"ACOMPAÑAMIENTO Y MANEJO DEL DUELO",IF(N258=CURSOS!$D$5,"ATENCION A VICTIMAS DE ATAQUE CON AGENTES QUIMICOS ",IF(N258=CURSOS!$D$6,"PRIMEROS AUXILIOS ",IF(N258=CURSOS!$D$7,"DIPLOMADO DE UNIDAD DE CUIDADOS INTENSIVOS (UCI)",IF(N258=CURSOS!$D$8,"MODELO DE ATENCION PARA EVENTOS EMERGENTES EN SALUD MENTAL (CODIGO VERDE)",IF(N258=CURSOS!$D$9,"HUMANIZACION EN SALUD, BUENAS PRACTICAS EN PACIENTE ",IF(N258=CURSOS!$D$10,"CLINICA DE HERIDAS ",IF(N258=CURSOS!$D$11,"TOMA DE CITOLOGIA A CERVICO VAGINAL ",IF(N258=CURSOS!$D$12,"SOPORTE CARDIOVASCULAR AVANZADO ",IF(N258=CURSOS!$D$13,"CAMILLERO ",IF(N258=CURSOS!$D$14,"TOMA MUESTRAS Y LABORATORIO ",IF(N258=CURSOS!$D$15,"SOPORTE VITAL BASICO (BLS)",IF(N258=CURSOS!$D$16,"ATENCION A VICTIMAS DE VIOLENCIA SEXUAL ",IF(N258=CURSOS!$D$17,"PROGRAMADO AMPLIADO DE INMUNIZACION (PAI - COVID 19)",IF(N258=CURSOS!$D$18,"ATENCION INTEGRAL EN ENFERMEDADES PREVALENTES EN PRIMERA INFANCIA (AIEPI)",IF(N258=CURSOS!$D$19,"ADMINISTRACION DE MEDICAMENTOS, IYECTOLOGIA  Y CANALIZACION ",IF(N258=CURSOS!$D$20,"OPERADOR DE VEHICULOS DE EMERGENCIA (OVE)",IF(N258=CURSOS!$D$21,"INSTITUCIONES AMIGAS DE LA MUJER Y LA INFANCIA (IAMI)",IF(N258=CURSOS!$D$22,"CUIDADO DEL DONANTE DE ORGANOS",IF(N258=CURSOS!$D$23,"ATENCION A VICTIMAS POR VIOLENCIA DE GENERO",IF(N258=CURSOS!$D$24,"IGUALDAD DE GENERO EN LA SALUD",IF(N258=CURSOS!$D$25,"BRIGADA DE EMERGENCIA",IF(N258=CURSOS!$D$26,"MANEJO DEL DOLOR Y CUIDADOS PALIATIVOS",IF(N258=CURSOS!$D$27,"TOMA MUESTRAS Y LABORATORIO POCT",IF(N258=CURSOS!$D$28,"IMPLANTE SUBDERMICO Y DISPOSITIVO INTRAUTERINO",IF(N258=CURSOS!$D$29,"SALUD MENTAL",IF(N258=CURSOS!$D$30,"PRIMEROS AUXILIOS PSICOLOGICOS",IF(N258=CURSOS!$D$31,"ATENCION A VICTIMAS POR CONFLICTO ARMADO",IF(N258=CURSOS!$D$32,"MANIPULACION DE ALIMENTOS Y BPM"))))))))))))))))))))))))))))))</f>
        <v>0</v>
      </c>
      <c r="U258" s="30" t="str">
        <f t="shared" si="33"/>
        <v xml:space="preserve">   </v>
      </c>
      <c r="V258" s="30" t="str">
        <f t="shared" si="34"/>
        <v xml:space="preserve">   </v>
      </c>
      <c r="W258" s="30" t="str">
        <f t="shared" si="35"/>
        <v xml:space="preserve">   --</v>
      </c>
    </row>
    <row r="259" spans="1:23" s="46" customFormat="1" x14ac:dyDescent="0.2">
      <c r="A259" s="31">
        <v>259</v>
      </c>
      <c r="B259" s="31"/>
      <c r="C259" s="31"/>
      <c r="D259" s="31"/>
      <c r="E259" s="31"/>
      <c r="F259" s="31"/>
      <c r="G259" s="18"/>
      <c r="H259" s="18"/>
      <c r="I259" s="22"/>
      <c r="J259" s="57"/>
      <c r="K259" s="18"/>
      <c r="L259" s="18"/>
      <c r="M259" s="18"/>
      <c r="N259" s="19"/>
      <c r="O259" s="45"/>
      <c r="P259" s="31"/>
      <c r="Q259" s="31"/>
      <c r="R259" s="31"/>
      <c r="S259" s="31"/>
      <c r="T259" s="30" t="b">
        <f>IF(N259=CURSOS!$D$3,"DIPLOMADO EN ATENCION PRE-HOSPITALARIA",IF(N259=CURSOS!$D$4,"ACOMPAÑAMIENTO Y MANEJO DEL DUELO",IF(N259=CURSOS!$D$5,"ATENCION A VICTIMAS DE ATAQUE CON AGENTES QUIMICOS ",IF(N259=CURSOS!$D$6,"PRIMEROS AUXILIOS ",IF(N259=CURSOS!$D$7,"DIPLOMADO DE UNIDAD DE CUIDADOS INTENSIVOS (UCI)",IF(N259=CURSOS!$D$8,"MODELO DE ATENCION PARA EVENTOS EMERGENTES EN SALUD MENTAL (CODIGO VERDE)",IF(N259=CURSOS!$D$9,"HUMANIZACION EN SALUD, BUENAS PRACTICAS EN PACIENTE ",IF(N259=CURSOS!$D$10,"CLINICA DE HERIDAS ",IF(N259=CURSOS!$D$11,"TOMA DE CITOLOGIA A CERVICO VAGINAL ",IF(N259=CURSOS!$D$12,"SOPORTE CARDIOVASCULAR AVANZADO ",IF(N259=CURSOS!$D$13,"CAMILLERO ",IF(N259=CURSOS!$D$14,"TOMA MUESTRAS Y LABORATORIO ",IF(N259=CURSOS!$D$15,"SOPORTE VITAL BASICO (BLS)",IF(N259=CURSOS!$D$16,"ATENCION A VICTIMAS DE VIOLENCIA SEXUAL ",IF(N259=CURSOS!$D$17,"PROGRAMADO AMPLIADO DE INMUNIZACION (PAI - COVID 19)",IF(N259=CURSOS!$D$18,"ATENCION INTEGRAL EN ENFERMEDADES PREVALENTES EN PRIMERA INFANCIA (AIEPI)",IF(N259=CURSOS!$D$19,"ADMINISTRACION DE MEDICAMENTOS, IYECTOLOGIA  Y CANALIZACION ",IF(N259=CURSOS!$D$20,"OPERADOR DE VEHICULOS DE EMERGENCIA (OVE)",IF(N259=CURSOS!$D$21,"INSTITUCIONES AMIGAS DE LA MUJER Y LA INFANCIA (IAMI)",IF(N259=CURSOS!$D$22,"CUIDADO DEL DONANTE DE ORGANOS",IF(N259=CURSOS!$D$23,"ATENCION A VICTIMAS POR VIOLENCIA DE GENERO",IF(N259=CURSOS!$D$24,"IGUALDAD DE GENERO EN LA SALUD",IF(N259=CURSOS!$D$25,"BRIGADA DE EMERGENCIA",IF(N259=CURSOS!$D$26,"MANEJO DEL DOLOR Y CUIDADOS PALIATIVOS",IF(N259=CURSOS!$D$27,"TOMA MUESTRAS Y LABORATORIO POCT",IF(N259=CURSOS!$D$28,"IMPLANTE SUBDERMICO Y DISPOSITIVO INTRAUTERINO",IF(N259=CURSOS!$D$29,"SALUD MENTAL",IF(N259=CURSOS!$D$30,"PRIMEROS AUXILIOS PSICOLOGICOS",IF(N259=CURSOS!$D$31,"ATENCION A VICTIMAS POR CONFLICTO ARMADO",IF(N259=CURSOS!$D$32,"MANIPULACION DE ALIMENTOS Y BPM"))))))))))))))))))))))))))))))</f>
        <v>0</v>
      </c>
      <c r="U259" s="30" t="str">
        <f t="shared" si="33"/>
        <v xml:space="preserve">   </v>
      </c>
      <c r="V259" s="30" t="str">
        <f t="shared" si="34"/>
        <v xml:space="preserve">   </v>
      </c>
      <c r="W259" s="30" t="str">
        <f t="shared" si="35"/>
        <v xml:space="preserve">   --</v>
      </c>
    </row>
    <row r="260" spans="1:23" s="46" customFormat="1" x14ac:dyDescent="0.2">
      <c r="A260" s="31">
        <v>260</v>
      </c>
      <c r="B260" s="31"/>
      <c r="C260" s="31"/>
      <c r="D260" s="31"/>
      <c r="E260" s="31"/>
      <c r="F260" s="31"/>
      <c r="G260" s="18"/>
      <c r="H260" s="18"/>
      <c r="I260" s="22"/>
      <c r="J260" s="57"/>
      <c r="K260" s="18"/>
      <c r="L260" s="18"/>
      <c r="M260" s="18"/>
      <c r="N260" s="19"/>
      <c r="O260" s="45"/>
      <c r="P260" s="31"/>
      <c r="Q260" s="31"/>
      <c r="R260" s="31"/>
      <c r="S260" s="31"/>
      <c r="T260" s="30" t="b">
        <f>IF(N260=CURSOS!$D$3,"DIPLOMADO EN ATENCION PRE-HOSPITALARIA",IF(N260=CURSOS!$D$4,"ACOMPAÑAMIENTO Y MANEJO DEL DUELO",IF(N260=CURSOS!$D$5,"ATENCION A VICTIMAS DE ATAQUE CON AGENTES QUIMICOS ",IF(N260=CURSOS!$D$6,"PRIMEROS AUXILIOS ",IF(N260=CURSOS!$D$7,"DIPLOMADO DE UNIDAD DE CUIDADOS INTENSIVOS (UCI)",IF(N260=CURSOS!$D$8,"MODELO DE ATENCION PARA EVENTOS EMERGENTES EN SALUD MENTAL (CODIGO VERDE)",IF(N260=CURSOS!$D$9,"HUMANIZACION EN SALUD, BUENAS PRACTICAS EN PACIENTE ",IF(N260=CURSOS!$D$10,"CLINICA DE HERIDAS ",IF(N260=CURSOS!$D$11,"TOMA DE CITOLOGIA A CERVICO VAGINAL ",IF(N260=CURSOS!$D$12,"SOPORTE CARDIOVASCULAR AVANZADO ",IF(N260=CURSOS!$D$13,"CAMILLERO ",IF(N260=CURSOS!$D$14,"TOMA MUESTRAS Y LABORATORIO ",IF(N260=CURSOS!$D$15,"SOPORTE VITAL BASICO (BLS)",IF(N260=CURSOS!$D$16,"ATENCION A VICTIMAS DE VIOLENCIA SEXUAL ",IF(N260=CURSOS!$D$17,"PROGRAMADO AMPLIADO DE INMUNIZACION (PAI - COVID 19)",IF(N260=CURSOS!$D$18,"ATENCION INTEGRAL EN ENFERMEDADES PREVALENTES EN PRIMERA INFANCIA (AIEPI)",IF(N260=CURSOS!$D$19,"ADMINISTRACION DE MEDICAMENTOS, IYECTOLOGIA  Y CANALIZACION ",IF(N260=CURSOS!$D$20,"OPERADOR DE VEHICULOS DE EMERGENCIA (OVE)",IF(N260=CURSOS!$D$21,"INSTITUCIONES AMIGAS DE LA MUJER Y LA INFANCIA (IAMI)",IF(N260=CURSOS!$D$22,"CUIDADO DEL DONANTE DE ORGANOS",IF(N260=CURSOS!$D$23,"ATENCION A VICTIMAS POR VIOLENCIA DE GENERO",IF(N260=CURSOS!$D$24,"IGUALDAD DE GENERO EN LA SALUD",IF(N260=CURSOS!$D$25,"BRIGADA DE EMERGENCIA",IF(N260=CURSOS!$D$26,"MANEJO DEL DOLOR Y CUIDADOS PALIATIVOS",IF(N260=CURSOS!$D$27,"TOMA MUESTRAS Y LABORATORIO POCT",IF(N260=CURSOS!$D$28,"IMPLANTE SUBDERMICO Y DISPOSITIVO INTRAUTERINO",IF(N260=CURSOS!$D$29,"SALUD MENTAL",IF(N260=CURSOS!$D$30,"PRIMEROS AUXILIOS PSICOLOGICOS",IF(N260=CURSOS!$D$31,"ATENCION A VICTIMAS POR CONFLICTO ARMADO",IF(N260=CURSOS!$D$32,"MANIPULACION DE ALIMENTOS Y BPM"))))))))))))))))))))))))))))))</f>
        <v>0</v>
      </c>
      <c r="U260" s="30" t="str">
        <f t="shared" si="33"/>
        <v xml:space="preserve">   </v>
      </c>
      <c r="V260" s="30" t="str">
        <f t="shared" si="34"/>
        <v xml:space="preserve">   </v>
      </c>
      <c r="W260" s="30" t="str">
        <f t="shared" si="35"/>
        <v xml:space="preserve">   --</v>
      </c>
    </row>
    <row r="261" spans="1:23" s="46" customFormat="1" x14ac:dyDescent="0.2">
      <c r="A261" s="31">
        <v>261</v>
      </c>
      <c r="B261" s="31"/>
      <c r="C261" s="31"/>
      <c r="D261" s="31"/>
      <c r="E261" s="31"/>
      <c r="F261" s="31"/>
      <c r="G261" s="18"/>
      <c r="H261" s="18"/>
      <c r="I261" s="22"/>
      <c r="J261" s="57"/>
      <c r="K261" s="18"/>
      <c r="L261" s="18"/>
      <c r="M261" s="18"/>
      <c r="N261" s="19"/>
      <c r="O261" s="45"/>
      <c r="P261" s="31"/>
      <c r="Q261" s="31"/>
      <c r="R261" s="31"/>
      <c r="S261" s="31"/>
      <c r="T261" s="30" t="b">
        <f>IF(N261=CURSOS!$D$3,"DIPLOMADO EN ATENCION PRE-HOSPITALARIA",IF(N261=CURSOS!$D$4,"ACOMPAÑAMIENTO Y MANEJO DEL DUELO",IF(N261=CURSOS!$D$5,"ATENCION A VICTIMAS DE ATAQUE CON AGENTES QUIMICOS ",IF(N261=CURSOS!$D$6,"PRIMEROS AUXILIOS ",IF(N261=CURSOS!$D$7,"DIPLOMADO DE UNIDAD DE CUIDADOS INTENSIVOS (UCI)",IF(N261=CURSOS!$D$8,"MODELO DE ATENCION PARA EVENTOS EMERGENTES EN SALUD MENTAL (CODIGO VERDE)",IF(N261=CURSOS!$D$9,"HUMANIZACION EN SALUD, BUENAS PRACTICAS EN PACIENTE ",IF(N261=CURSOS!$D$10,"CLINICA DE HERIDAS ",IF(N261=CURSOS!$D$11,"TOMA DE CITOLOGIA A CERVICO VAGINAL ",IF(N261=CURSOS!$D$12,"SOPORTE CARDIOVASCULAR AVANZADO ",IF(N261=CURSOS!$D$13,"CAMILLERO ",IF(N261=CURSOS!$D$14,"TOMA MUESTRAS Y LABORATORIO ",IF(N261=CURSOS!$D$15,"SOPORTE VITAL BASICO (BLS)",IF(N261=CURSOS!$D$16,"ATENCION A VICTIMAS DE VIOLENCIA SEXUAL ",IF(N261=CURSOS!$D$17,"PROGRAMADO AMPLIADO DE INMUNIZACION (PAI - COVID 19)",IF(N261=CURSOS!$D$18,"ATENCION INTEGRAL EN ENFERMEDADES PREVALENTES EN PRIMERA INFANCIA (AIEPI)",IF(N261=CURSOS!$D$19,"ADMINISTRACION DE MEDICAMENTOS, IYECTOLOGIA  Y CANALIZACION ",IF(N261=CURSOS!$D$20,"OPERADOR DE VEHICULOS DE EMERGENCIA (OVE)",IF(N261=CURSOS!$D$21,"INSTITUCIONES AMIGAS DE LA MUJER Y LA INFANCIA (IAMI)",IF(N261=CURSOS!$D$22,"CUIDADO DEL DONANTE DE ORGANOS",IF(N261=CURSOS!$D$23,"ATENCION A VICTIMAS POR VIOLENCIA DE GENERO",IF(N261=CURSOS!$D$24,"IGUALDAD DE GENERO EN LA SALUD",IF(N261=CURSOS!$D$25,"BRIGADA DE EMERGENCIA",IF(N261=CURSOS!$D$26,"MANEJO DEL DOLOR Y CUIDADOS PALIATIVOS",IF(N261=CURSOS!$D$27,"TOMA MUESTRAS Y LABORATORIO POCT",IF(N261=CURSOS!$D$28,"IMPLANTE SUBDERMICO Y DISPOSITIVO INTRAUTERINO",IF(N261=CURSOS!$D$29,"SALUD MENTAL",IF(N261=CURSOS!$D$30,"PRIMEROS AUXILIOS PSICOLOGICOS",IF(N261=CURSOS!$D$31,"ATENCION A VICTIMAS POR CONFLICTO ARMADO",IF(N261=CURSOS!$D$32,"MANIPULACION DE ALIMENTOS Y BPM"))))))))))))))))))))))))))))))</f>
        <v>0</v>
      </c>
      <c r="U261" s="30" t="str">
        <f t="shared" si="33"/>
        <v xml:space="preserve">   </v>
      </c>
      <c r="V261" s="30" t="str">
        <f t="shared" si="34"/>
        <v xml:space="preserve">   </v>
      </c>
      <c r="W261" s="30" t="str">
        <f t="shared" si="35"/>
        <v xml:space="preserve">   --</v>
      </c>
    </row>
    <row r="262" spans="1:23" s="46" customFormat="1" x14ac:dyDescent="0.2">
      <c r="A262" s="31">
        <v>262</v>
      </c>
      <c r="B262" s="31"/>
      <c r="C262" s="31"/>
      <c r="D262" s="31"/>
      <c r="E262" s="31"/>
      <c r="F262" s="31"/>
      <c r="G262" s="18"/>
      <c r="H262" s="18"/>
      <c r="I262" s="22"/>
      <c r="J262" s="57"/>
      <c r="K262" s="18"/>
      <c r="L262" s="18"/>
      <c r="M262" s="18"/>
      <c r="N262" s="19"/>
      <c r="O262" s="45"/>
      <c r="P262" s="31"/>
      <c r="Q262" s="31"/>
      <c r="R262" s="31"/>
      <c r="S262" s="31"/>
      <c r="T262" s="30" t="b">
        <f>IF(N262=CURSOS!$D$3,"DIPLOMADO EN ATENCION PRE-HOSPITALARIA",IF(N262=CURSOS!$D$4,"ACOMPAÑAMIENTO Y MANEJO DEL DUELO",IF(N262=CURSOS!$D$5,"ATENCION A VICTIMAS DE ATAQUE CON AGENTES QUIMICOS ",IF(N262=CURSOS!$D$6,"PRIMEROS AUXILIOS ",IF(N262=CURSOS!$D$7,"DIPLOMADO DE UNIDAD DE CUIDADOS INTENSIVOS (UCI)",IF(N262=CURSOS!$D$8,"MODELO DE ATENCION PARA EVENTOS EMERGENTES EN SALUD MENTAL (CODIGO VERDE)",IF(N262=CURSOS!$D$9,"HUMANIZACION EN SALUD, BUENAS PRACTICAS EN PACIENTE ",IF(N262=CURSOS!$D$10,"CLINICA DE HERIDAS ",IF(N262=CURSOS!$D$11,"TOMA DE CITOLOGIA A CERVICO VAGINAL ",IF(N262=CURSOS!$D$12,"SOPORTE CARDIOVASCULAR AVANZADO ",IF(N262=CURSOS!$D$13,"CAMILLERO ",IF(N262=CURSOS!$D$14,"TOMA MUESTRAS Y LABORATORIO ",IF(N262=CURSOS!$D$15,"SOPORTE VITAL BASICO (BLS)",IF(N262=CURSOS!$D$16,"ATENCION A VICTIMAS DE VIOLENCIA SEXUAL ",IF(N262=CURSOS!$D$17,"PROGRAMADO AMPLIADO DE INMUNIZACION (PAI - COVID 19)",IF(N262=CURSOS!$D$18,"ATENCION INTEGRAL EN ENFERMEDADES PREVALENTES EN PRIMERA INFANCIA (AIEPI)",IF(N262=CURSOS!$D$19,"ADMINISTRACION DE MEDICAMENTOS, IYECTOLOGIA  Y CANALIZACION ",IF(N262=CURSOS!$D$20,"OPERADOR DE VEHICULOS DE EMERGENCIA (OVE)",IF(N262=CURSOS!$D$21,"INSTITUCIONES AMIGAS DE LA MUJER Y LA INFANCIA (IAMI)",IF(N262=CURSOS!$D$22,"CUIDADO DEL DONANTE DE ORGANOS",IF(N262=CURSOS!$D$23,"ATENCION A VICTIMAS POR VIOLENCIA DE GENERO",IF(N262=CURSOS!$D$24,"IGUALDAD DE GENERO EN LA SALUD",IF(N262=CURSOS!$D$25,"BRIGADA DE EMERGENCIA",IF(N262=CURSOS!$D$26,"MANEJO DEL DOLOR Y CUIDADOS PALIATIVOS",IF(N262=CURSOS!$D$27,"TOMA MUESTRAS Y LABORATORIO POCT",IF(N262=CURSOS!$D$28,"IMPLANTE SUBDERMICO Y DISPOSITIVO INTRAUTERINO",IF(N262=CURSOS!$D$29,"SALUD MENTAL",IF(N262=CURSOS!$D$30,"PRIMEROS AUXILIOS PSICOLOGICOS",IF(N262=CURSOS!$D$31,"ATENCION A VICTIMAS POR CONFLICTO ARMADO",IF(N262=CURSOS!$D$32,"MANIPULACION DE ALIMENTOS Y BPM"))))))))))))))))))))))))))))))</f>
        <v>0</v>
      </c>
      <c r="U262" s="30" t="str">
        <f t="shared" si="33"/>
        <v xml:space="preserve">   </v>
      </c>
      <c r="V262" s="30" t="str">
        <f t="shared" si="34"/>
        <v xml:space="preserve">   </v>
      </c>
      <c r="W262" s="30" t="str">
        <f t="shared" si="35"/>
        <v xml:space="preserve">   --</v>
      </c>
    </row>
    <row r="263" spans="1:23" s="31" customFormat="1" x14ac:dyDescent="0.2">
      <c r="A263" s="31">
        <v>263</v>
      </c>
      <c r="G263" s="18"/>
      <c r="H263" s="18"/>
      <c r="I263" s="22"/>
      <c r="J263" s="57"/>
      <c r="K263" s="18"/>
      <c r="L263" s="18"/>
      <c r="M263" s="18"/>
      <c r="N263" s="19"/>
      <c r="O263" s="45"/>
      <c r="T263" s="30" t="b">
        <f>IF(N263=CURSOS!$D$3,"DIPLOMADO EN ATENCION PRE-HOSPITALARIA",IF(N263=CURSOS!$D$4,"ACOMPAÑAMIENTO Y MANEJO DEL DUELO",IF(N263=CURSOS!$D$5,"ATENCION A VICTIMAS DE ATAQUE CON AGENTES QUIMICOS ",IF(N263=CURSOS!$D$6,"PRIMEROS AUXILIOS ",IF(N263=CURSOS!$D$7,"DIPLOMADO DE UNIDAD DE CUIDADOS INTENSIVOS (UCI)",IF(N263=CURSOS!$D$8,"MODELO DE ATENCION PARA EVENTOS EMERGENTES EN SALUD MENTAL (CODIGO VERDE)",IF(N263=CURSOS!$D$9,"HUMANIZACION EN SALUD, BUENAS PRACTICAS EN PACIENTE ",IF(N263=CURSOS!$D$10,"CLINICA DE HERIDAS ",IF(N263=CURSOS!$D$11,"TOMA DE CITOLOGIA A CERVICO VAGINAL ",IF(N263=CURSOS!$D$12,"SOPORTE CARDIOVASCULAR AVANZADO ",IF(N263=CURSOS!$D$13,"CAMILLERO ",IF(N263=CURSOS!$D$14,"TOMA MUESTRAS Y LABORATORIO ",IF(N263=CURSOS!$D$15,"SOPORTE VITAL BASICO (BLS)",IF(N263=CURSOS!$D$16,"ATENCION A VICTIMAS DE VIOLENCIA SEXUAL ",IF(N263=CURSOS!$D$17,"PROGRAMADO AMPLIADO DE INMUNIZACION (PAI - COVID 19)",IF(N263=CURSOS!$D$18,"ATENCION INTEGRAL EN ENFERMEDADES PREVALENTES EN PRIMERA INFANCIA (AIEPI)",IF(N263=CURSOS!$D$19,"ADMINISTRACION DE MEDICAMENTOS, IYECTOLOGIA  Y CANALIZACION ",IF(N263=CURSOS!$D$20,"OPERADOR DE VEHICULOS DE EMERGENCIA (OVE)",IF(N263=CURSOS!$D$21,"INSTITUCIONES AMIGAS DE LA MUJER Y LA INFANCIA (IAMI)",IF(N263=CURSOS!$D$22,"CUIDADO DEL DONANTE DE ORGANOS",IF(N263=CURSOS!$D$23,"ATENCION A VICTIMAS POR VIOLENCIA DE GENERO",IF(N263=CURSOS!$D$24,"IGUALDAD DE GENERO EN LA SALUD",IF(N263=CURSOS!$D$25,"BRIGADA DE EMERGENCIA",IF(N263=CURSOS!$D$26,"MANEJO DEL DOLOR Y CUIDADOS PALIATIVOS",IF(N263=CURSOS!$D$27,"TOMA MUESTRAS Y LABORATORIO POCT",IF(N263=CURSOS!$D$28,"IMPLANTE SUBDERMICO Y DISPOSITIVO INTRAUTERINO",IF(N263=CURSOS!$D$29,"SALUD MENTAL",IF(N263=CURSOS!$D$30,"PRIMEROS AUXILIOS PSICOLOGICOS",IF(N263=CURSOS!$D$31,"ATENCION A VICTIMAS POR CONFLICTO ARMADO",IF(N263=CURSOS!$D$32,"MANIPULACION DE ALIMENTOS Y BPM"))))))))))))))))))))))))))))))</f>
        <v>0</v>
      </c>
      <c r="U263" s="30" t="str">
        <f t="shared" si="33"/>
        <v xml:space="preserve">   </v>
      </c>
      <c r="V263" s="30" t="str">
        <f t="shared" si="34"/>
        <v xml:space="preserve">   </v>
      </c>
      <c r="W263" s="30" t="str">
        <f t="shared" si="35"/>
        <v xml:space="preserve">   --</v>
      </c>
    </row>
    <row r="264" spans="1:23" s="31" customFormat="1" x14ac:dyDescent="0.2">
      <c r="A264" s="31">
        <v>264</v>
      </c>
      <c r="G264" s="18"/>
      <c r="H264" s="18"/>
      <c r="I264" s="22"/>
      <c r="J264" s="57"/>
      <c r="K264" s="18"/>
      <c r="L264" s="18"/>
      <c r="M264" s="18"/>
      <c r="N264" s="19"/>
      <c r="O264" s="45"/>
      <c r="T264" s="30" t="b">
        <f>IF(N264=CURSOS!$D$3,"DIPLOMADO EN ATENCION PRE-HOSPITALARIA",IF(N264=CURSOS!$D$4,"ACOMPAÑAMIENTO Y MANEJO DEL DUELO",IF(N264=CURSOS!$D$5,"ATENCION A VICTIMAS DE ATAQUE CON AGENTES QUIMICOS ",IF(N264=CURSOS!$D$6,"PRIMEROS AUXILIOS ",IF(N264=CURSOS!$D$7,"DIPLOMADO DE UNIDAD DE CUIDADOS INTENSIVOS (UCI)",IF(N264=CURSOS!$D$8,"MODELO DE ATENCION PARA EVENTOS EMERGENTES EN SALUD MENTAL (CODIGO VERDE)",IF(N264=CURSOS!$D$9,"HUMANIZACION EN SALUD, BUENAS PRACTICAS EN PACIENTE ",IF(N264=CURSOS!$D$10,"CLINICA DE HERIDAS ",IF(N264=CURSOS!$D$11,"TOMA DE CITOLOGIA A CERVICO VAGINAL ",IF(N264=CURSOS!$D$12,"SOPORTE CARDIOVASCULAR AVANZADO ",IF(N264=CURSOS!$D$13,"CAMILLERO ",IF(N264=CURSOS!$D$14,"TOMA MUESTRAS Y LABORATORIO ",IF(N264=CURSOS!$D$15,"SOPORTE VITAL BASICO (BLS)",IF(N264=CURSOS!$D$16,"ATENCION A VICTIMAS DE VIOLENCIA SEXUAL ",IF(N264=CURSOS!$D$17,"PROGRAMADO AMPLIADO DE INMUNIZACION (PAI - COVID 19)",IF(N264=CURSOS!$D$18,"ATENCION INTEGRAL EN ENFERMEDADES PREVALENTES EN PRIMERA INFANCIA (AIEPI)",IF(N264=CURSOS!$D$19,"ADMINISTRACION DE MEDICAMENTOS, IYECTOLOGIA  Y CANALIZACION ",IF(N264=CURSOS!$D$20,"OPERADOR DE VEHICULOS DE EMERGENCIA (OVE)",IF(N264=CURSOS!$D$21,"INSTITUCIONES AMIGAS DE LA MUJER Y LA INFANCIA (IAMI)",IF(N264=CURSOS!$D$22,"CUIDADO DEL DONANTE DE ORGANOS",IF(N264=CURSOS!$D$23,"ATENCION A VICTIMAS POR VIOLENCIA DE GENERO",IF(N264=CURSOS!$D$24,"IGUALDAD DE GENERO EN LA SALUD",IF(N264=CURSOS!$D$25,"BRIGADA DE EMERGENCIA",IF(N264=CURSOS!$D$26,"MANEJO DEL DOLOR Y CUIDADOS PALIATIVOS",IF(N264=CURSOS!$D$27,"TOMA MUESTRAS Y LABORATORIO POCT",IF(N264=CURSOS!$D$28,"IMPLANTE SUBDERMICO Y DISPOSITIVO INTRAUTERINO",IF(N264=CURSOS!$D$29,"SALUD MENTAL",IF(N264=CURSOS!$D$30,"PRIMEROS AUXILIOS PSICOLOGICOS",IF(N264=CURSOS!$D$31,"ATENCION A VICTIMAS POR CONFLICTO ARMADO",IF(N264=CURSOS!$D$32,"MANIPULACION DE ALIMENTOS Y BPM"))))))))))))))))))))))))))))))</f>
        <v>0</v>
      </c>
      <c r="U264" s="30" t="str">
        <f t="shared" si="33"/>
        <v xml:space="preserve">   </v>
      </c>
      <c r="V264" s="30" t="str">
        <f t="shared" si="34"/>
        <v xml:space="preserve">   </v>
      </c>
      <c r="W264" s="30" t="str">
        <f t="shared" si="35"/>
        <v xml:space="preserve">   --</v>
      </c>
    </row>
    <row r="265" spans="1:23" s="31" customFormat="1" x14ac:dyDescent="0.2">
      <c r="A265" s="31">
        <v>265</v>
      </c>
      <c r="G265" s="18"/>
      <c r="H265" s="18"/>
      <c r="I265" s="22"/>
      <c r="J265" s="57"/>
      <c r="K265" s="18"/>
      <c r="L265" s="18"/>
      <c r="M265" s="18"/>
      <c r="N265" s="19"/>
      <c r="O265" s="45"/>
      <c r="T265" s="30" t="b">
        <f>IF(N265=CURSOS!$D$3,"DIPLOMADO EN ATENCION PRE-HOSPITALARIA",IF(N265=CURSOS!$D$4,"ACOMPAÑAMIENTO Y MANEJO DEL DUELO",IF(N265=CURSOS!$D$5,"ATENCION A VICTIMAS DE ATAQUE CON AGENTES QUIMICOS ",IF(N265=CURSOS!$D$6,"PRIMEROS AUXILIOS ",IF(N265=CURSOS!$D$7,"DIPLOMADO DE UNIDAD DE CUIDADOS INTENSIVOS (UCI)",IF(N265=CURSOS!$D$8,"MODELO DE ATENCION PARA EVENTOS EMERGENTES EN SALUD MENTAL (CODIGO VERDE)",IF(N265=CURSOS!$D$9,"HUMANIZACION EN SALUD, BUENAS PRACTICAS EN PACIENTE ",IF(N265=CURSOS!$D$10,"CLINICA DE HERIDAS ",IF(N265=CURSOS!$D$11,"TOMA DE CITOLOGIA A CERVICO VAGINAL ",IF(N265=CURSOS!$D$12,"SOPORTE CARDIOVASCULAR AVANZADO ",IF(N265=CURSOS!$D$13,"CAMILLERO ",IF(N265=CURSOS!$D$14,"TOMA MUESTRAS Y LABORATORIO ",IF(N265=CURSOS!$D$15,"SOPORTE VITAL BASICO (BLS)",IF(N265=CURSOS!$D$16,"ATENCION A VICTIMAS DE VIOLENCIA SEXUAL ",IF(N265=CURSOS!$D$17,"PROGRAMADO AMPLIADO DE INMUNIZACION (PAI - COVID 19)",IF(N265=CURSOS!$D$18,"ATENCION INTEGRAL EN ENFERMEDADES PREVALENTES EN PRIMERA INFANCIA (AIEPI)",IF(N265=CURSOS!$D$19,"ADMINISTRACION DE MEDICAMENTOS, IYECTOLOGIA  Y CANALIZACION ",IF(N265=CURSOS!$D$20,"OPERADOR DE VEHICULOS DE EMERGENCIA (OVE)",IF(N265=CURSOS!$D$21,"INSTITUCIONES AMIGAS DE LA MUJER Y LA INFANCIA (IAMI)",IF(N265=CURSOS!$D$22,"CUIDADO DEL DONANTE DE ORGANOS",IF(N265=CURSOS!$D$23,"ATENCION A VICTIMAS POR VIOLENCIA DE GENERO",IF(N265=CURSOS!$D$24,"IGUALDAD DE GENERO EN LA SALUD",IF(N265=CURSOS!$D$25,"BRIGADA DE EMERGENCIA",IF(N265=CURSOS!$D$26,"MANEJO DEL DOLOR Y CUIDADOS PALIATIVOS",IF(N265=CURSOS!$D$27,"TOMA MUESTRAS Y LABORATORIO POCT",IF(N265=CURSOS!$D$28,"IMPLANTE SUBDERMICO Y DISPOSITIVO INTRAUTERINO",IF(N265=CURSOS!$D$29,"SALUD MENTAL",IF(N265=CURSOS!$D$30,"PRIMEROS AUXILIOS PSICOLOGICOS",IF(N265=CURSOS!$D$31,"ATENCION A VICTIMAS POR CONFLICTO ARMADO",IF(N265=CURSOS!$D$32,"MANIPULACION DE ALIMENTOS Y BPM"))))))))))))))))))))))))))))))</f>
        <v>0</v>
      </c>
      <c r="U265" s="30" t="str">
        <f t="shared" si="33"/>
        <v xml:space="preserve">   </v>
      </c>
      <c r="V265" s="30" t="str">
        <f t="shared" si="34"/>
        <v xml:space="preserve">   </v>
      </c>
      <c r="W265" s="30" t="str">
        <f t="shared" si="35"/>
        <v xml:space="preserve">   --</v>
      </c>
    </row>
    <row r="266" spans="1:23" s="31" customFormat="1" x14ac:dyDescent="0.2">
      <c r="A266" s="31">
        <v>266</v>
      </c>
      <c r="G266" s="18"/>
      <c r="H266" s="18"/>
      <c r="I266" s="22"/>
      <c r="J266" s="57"/>
      <c r="K266" s="18"/>
      <c r="L266" s="18"/>
      <c r="M266" s="18"/>
      <c r="N266" s="19"/>
      <c r="O266" s="45"/>
      <c r="T266" s="30" t="b">
        <f>IF(N266=CURSOS!$D$3,"DIPLOMADO EN ATENCION PRE-HOSPITALARIA",IF(N266=CURSOS!$D$4,"ACOMPAÑAMIENTO Y MANEJO DEL DUELO",IF(N266=CURSOS!$D$5,"ATENCION A VICTIMAS DE ATAQUE CON AGENTES QUIMICOS ",IF(N266=CURSOS!$D$6,"PRIMEROS AUXILIOS ",IF(N266=CURSOS!$D$7,"DIPLOMADO DE UNIDAD DE CUIDADOS INTENSIVOS (UCI)",IF(N266=CURSOS!$D$8,"MODELO DE ATENCION PARA EVENTOS EMERGENTES EN SALUD MENTAL (CODIGO VERDE)",IF(N266=CURSOS!$D$9,"HUMANIZACION EN SALUD, BUENAS PRACTICAS EN PACIENTE ",IF(N266=CURSOS!$D$10,"CLINICA DE HERIDAS ",IF(N266=CURSOS!$D$11,"TOMA DE CITOLOGIA A CERVICO VAGINAL ",IF(N266=CURSOS!$D$12,"SOPORTE CARDIOVASCULAR AVANZADO ",IF(N266=CURSOS!$D$13,"CAMILLERO ",IF(N266=CURSOS!$D$14,"TOMA MUESTRAS Y LABORATORIO ",IF(N266=CURSOS!$D$15,"SOPORTE VITAL BASICO (BLS)",IF(N266=CURSOS!$D$16,"ATENCION A VICTIMAS DE VIOLENCIA SEXUAL ",IF(N266=CURSOS!$D$17,"PROGRAMADO AMPLIADO DE INMUNIZACION (PAI - COVID 19)",IF(N266=CURSOS!$D$18,"ATENCION INTEGRAL EN ENFERMEDADES PREVALENTES EN PRIMERA INFANCIA (AIEPI)",IF(N266=CURSOS!$D$19,"ADMINISTRACION DE MEDICAMENTOS, IYECTOLOGIA  Y CANALIZACION ",IF(N266=CURSOS!$D$20,"OPERADOR DE VEHICULOS DE EMERGENCIA (OVE)",IF(N266=CURSOS!$D$21,"INSTITUCIONES AMIGAS DE LA MUJER Y LA INFANCIA (IAMI)",IF(N266=CURSOS!$D$22,"CUIDADO DEL DONANTE DE ORGANOS",IF(N266=CURSOS!$D$23,"ATENCION A VICTIMAS POR VIOLENCIA DE GENERO",IF(N266=CURSOS!$D$24,"IGUALDAD DE GENERO EN LA SALUD",IF(N266=CURSOS!$D$25,"BRIGADA DE EMERGENCIA",IF(N266=CURSOS!$D$26,"MANEJO DEL DOLOR Y CUIDADOS PALIATIVOS",IF(N266=CURSOS!$D$27,"TOMA MUESTRAS Y LABORATORIO POCT",IF(N266=CURSOS!$D$28,"IMPLANTE SUBDERMICO Y DISPOSITIVO INTRAUTERINO",IF(N266=CURSOS!$D$29,"SALUD MENTAL",IF(N266=CURSOS!$D$30,"PRIMEROS AUXILIOS PSICOLOGICOS",IF(N266=CURSOS!$D$31,"ATENCION A VICTIMAS POR CONFLICTO ARMADO",IF(N266=CURSOS!$D$32,"MANIPULACION DE ALIMENTOS Y BPM"))))))))))))))))))))))))))))))</f>
        <v>0</v>
      </c>
      <c r="U266" s="30" t="str">
        <f t="shared" si="33"/>
        <v xml:space="preserve">   </v>
      </c>
      <c r="V266" s="30" t="str">
        <f t="shared" si="34"/>
        <v xml:space="preserve">   </v>
      </c>
      <c r="W266" s="30" t="str">
        <f t="shared" si="35"/>
        <v xml:space="preserve">   --</v>
      </c>
    </row>
    <row r="267" spans="1:23" s="31" customFormat="1" x14ac:dyDescent="0.2">
      <c r="A267" s="31">
        <v>267</v>
      </c>
      <c r="G267" s="18"/>
      <c r="H267" s="18"/>
      <c r="I267" s="22"/>
      <c r="J267" s="57"/>
      <c r="K267" s="18"/>
      <c r="L267" s="18"/>
      <c r="M267" s="18"/>
      <c r="N267" s="19"/>
      <c r="O267" s="45"/>
      <c r="T267" s="30" t="b">
        <f>IF(N267=CURSOS!$D$3,"DIPLOMADO EN ATENCION PRE-HOSPITALARIA",IF(N267=CURSOS!$D$4,"ACOMPAÑAMIENTO Y MANEJO DEL DUELO",IF(N267=CURSOS!$D$5,"ATENCION A VICTIMAS DE ATAQUE CON AGENTES QUIMICOS ",IF(N267=CURSOS!$D$6,"PRIMEROS AUXILIOS ",IF(N267=CURSOS!$D$7,"DIPLOMADO DE UNIDAD DE CUIDADOS INTENSIVOS (UCI)",IF(N267=CURSOS!$D$8,"MODELO DE ATENCION PARA EVENTOS EMERGENTES EN SALUD MENTAL (CODIGO VERDE)",IF(N267=CURSOS!$D$9,"HUMANIZACION EN SALUD, BUENAS PRACTICAS EN PACIENTE ",IF(N267=CURSOS!$D$10,"CLINICA DE HERIDAS ",IF(N267=CURSOS!$D$11,"TOMA DE CITOLOGIA A CERVICO VAGINAL ",IF(N267=CURSOS!$D$12,"SOPORTE CARDIOVASCULAR AVANZADO ",IF(N267=CURSOS!$D$13,"CAMILLERO ",IF(N267=CURSOS!$D$14,"TOMA MUESTRAS Y LABORATORIO ",IF(N267=CURSOS!$D$15,"SOPORTE VITAL BASICO (BLS)",IF(N267=CURSOS!$D$16,"ATENCION A VICTIMAS DE VIOLENCIA SEXUAL ",IF(N267=CURSOS!$D$17,"PROGRAMADO AMPLIADO DE INMUNIZACION (PAI - COVID 19)",IF(N267=CURSOS!$D$18,"ATENCION INTEGRAL EN ENFERMEDADES PREVALENTES EN PRIMERA INFANCIA (AIEPI)",IF(N267=CURSOS!$D$19,"ADMINISTRACION DE MEDICAMENTOS, IYECTOLOGIA  Y CANALIZACION ",IF(N267=CURSOS!$D$20,"OPERADOR DE VEHICULOS DE EMERGENCIA (OVE)",IF(N267=CURSOS!$D$21,"INSTITUCIONES AMIGAS DE LA MUJER Y LA INFANCIA (IAMI)",IF(N267=CURSOS!$D$22,"CUIDADO DEL DONANTE DE ORGANOS",IF(N267=CURSOS!$D$23,"ATENCION A VICTIMAS POR VIOLENCIA DE GENERO",IF(N267=CURSOS!$D$24,"IGUALDAD DE GENERO EN LA SALUD",IF(N267=CURSOS!$D$25,"BRIGADA DE EMERGENCIA",IF(N267=CURSOS!$D$26,"MANEJO DEL DOLOR Y CUIDADOS PALIATIVOS",IF(N267=CURSOS!$D$27,"TOMA MUESTRAS Y LABORATORIO POCT",IF(N267=CURSOS!$D$28,"IMPLANTE SUBDERMICO Y DISPOSITIVO INTRAUTERINO",IF(N267=CURSOS!$D$29,"SALUD MENTAL",IF(N267=CURSOS!$D$30,"PRIMEROS AUXILIOS PSICOLOGICOS",IF(N267=CURSOS!$D$31,"ATENCION A VICTIMAS POR CONFLICTO ARMADO",IF(N267=CURSOS!$D$32,"MANIPULACION DE ALIMENTOS Y BPM"))))))))))))))))))))))))))))))</f>
        <v>0</v>
      </c>
      <c r="U267" s="30" t="str">
        <f t="shared" si="33"/>
        <v xml:space="preserve">   </v>
      </c>
      <c r="V267" s="30" t="str">
        <f t="shared" si="34"/>
        <v xml:space="preserve">   </v>
      </c>
      <c r="W267" s="30" t="str">
        <f t="shared" si="35"/>
        <v xml:space="preserve">   --</v>
      </c>
    </row>
    <row r="268" spans="1:23" s="31" customFormat="1" x14ac:dyDescent="0.2">
      <c r="A268" s="31">
        <v>268</v>
      </c>
      <c r="G268" s="18"/>
      <c r="H268" s="18"/>
      <c r="I268" s="22"/>
      <c r="J268" s="57"/>
      <c r="K268" s="18"/>
      <c r="L268" s="18"/>
      <c r="M268" s="18"/>
      <c r="N268" s="19"/>
      <c r="O268" s="45"/>
      <c r="T268" s="30" t="b">
        <f>IF(N268=CURSOS!$D$3,"DIPLOMADO EN ATENCION PRE-HOSPITALARIA",IF(N268=CURSOS!$D$4,"ACOMPAÑAMIENTO Y MANEJO DEL DUELO",IF(N268=CURSOS!$D$5,"ATENCION A VICTIMAS DE ATAQUE CON AGENTES QUIMICOS ",IF(N268=CURSOS!$D$6,"PRIMEROS AUXILIOS ",IF(N268=CURSOS!$D$7,"DIPLOMADO DE UNIDAD DE CUIDADOS INTENSIVOS (UCI)",IF(N268=CURSOS!$D$8,"MODELO DE ATENCION PARA EVENTOS EMERGENTES EN SALUD MENTAL (CODIGO VERDE)",IF(N268=CURSOS!$D$9,"HUMANIZACION EN SALUD, BUENAS PRACTICAS EN PACIENTE ",IF(N268=CURSOS!$D$10,"CLINICA DE HERIDAS ",IF(N268=CURSOS!$D$11,"TOMA DE CITOLOGIA A CERVICO VAGINAL ",IF(N268=CURSOS!$D$12,"SOPORTE CARDIOVASCULAR AVANZADO ",IF(N268=CURSOS!$D$13,"CAMILLERO ",IF(N268=CURSOS!$D$14,"TOMA MUESTRAS Y LABORATORIO ",IF(N268=CURSOS!$D$15,"SOPORTE VITAL BASICO (BLS)",IF(N268=CURSOS!$D$16,"ATENCION A VICTIMAS DE VIOLENCIA SEXUAL ",IF(N268=CURSOS!$D$17,"PROGRAMADO AMPLIADO DE INMUNIZACION (PAI - COVID 19)",IF(N268=CURSOS!$D$18,"ATENCION INTEGRAL EN ENFERMEDADES PREVALENTES EN PRIMERA INFANCIA (AIEPI)",IF(N268=CURSOS!$D$19,"ADMINISTRACION DE MEDICAMENTOS, IYECTOLOGIA  Y CANALIZACION ",IF(N268=CURSOS!$D$20,"OPERADOR DE VEHICULOS DE EMERGENCIA (OVE)",IF(N268=CURSOS!$D$21,"INSTITUCIONES AMIGAS DE LA MUJER Y LA INFANCIA (IAMI)",IF(N268=CURSOS!$D$22,"CUIDADO DEL DONANTE DE ORGANOS",IF(N268=CURSOS!$D$23,"ATENCION A VICTIMAS POR VIOLENCIA DE GENERO",IF(N268=CURSOS!$D$24,"IGUALDAD DE GENERO EN LA SALUD",IF(N268=CURSOS!$D$25,"BRIGADA DE EMERGENCIA",IF(N268=CURSOS!$D$26,"MANEJO DEL DOLOR Y CUIDADOS PALIATIVOS",IF(N268=CURSOS!$D$27,"TOMA MUESTRAS Y LABORATORIO POCT",IF(N268=CURSOS!$D$28,"IMPLANTE SUBDERMICO Y DISPOSITIVO INTRAUTERINO",IF(N268=CURSOS!$D$29,"SALUD MENTAL",IF(N268=CURSOS!$D$30,"PRIMEROS AUXILIOS PSICOLOGICOS",IF(N268=CURSOS!$D$31,"ATENCION A VICTIMAS POR CONFLICTO ARMADO",IF(N268=CURSOS!$D$32,"MANIPULACION DE ALIMENTOS Y BPM"))))))))))))))))))))))))))))))</f>
        <v>0</v>
      </c>
      <c r="U268" s="30" t="str">
        <f t="shared" si="33"/>
        <v xml:space="preserve">   </v>
      </c>
      <c r="V268" s="30" t="str">
        <f t="shared" si="34"/>
        <v xml:space="preserve">   </v>
      </c>
      <c r="W268" s="30" t="str">
        <f t="shared" si="35"/>
        <v xml:space="preserve">   --</v>
      </c>
    </row>
    <row r="269" spans="1:23" s="31" customFormat="1" x14ac:dyDescent="0.2">
      <c r="A269" s="31">
        <v>269</v>
      </c>
      <c r="G269" s="18"/>
      <c r="H269" s="18"/>
      <c r="I269" s="22"/>
      <c r="J269" s="57"/>
      <c r="K269" s="18"/>
      <c r="L269" s="18"/>
      <c r="M269" s="18"/>
      <c r="N269" s="19"/>
      <c r="O269" s="45"/>
      <c r="T269" s="30" t="b">
        <f>IF(N269=CURSOS!$D$3,"DIPLOMADO EN ATENCION PRE-HOSPITALARIA",IF(N269=CURSOS!$D$4,"ACOMPAÑAMIENTO Y MANEJO DEL DUELO",IF(N269=CURSOS!$D$5,"ATENCION A VICTIMAS DE ATAQUE CON AGENTES QUIMICOS ",IF(N269=CURSOS!$D$6,"PRIMEROS AUXILIOS ",IF(N269=CURSOS!$D$7,"DIPLOMADO DE UNIDAD DE CUIDADOS INTENSIVOS (UCI)",IF(N269=CURSOS!$D$8,"MODELO DE ATENCION PARA EVENTOS EMERGENTES EN SALUD MENTAL (CODIGO VERDE)",IF(N269=CURSOS!$D$9,"HUMANIZACION EN SALUD, BUENAS PRACTICAS EN PACIENTE ",IF(N269=CURSOS!$D$10,"CLINICA DE HERIDAS ",IF(N269=CURSOS!$D$11,"TOMA DE CITOLOGIA A CERVICO VAGINAL ",IF(N269=CURSOS!$D$12,"SOPORTE CARDIOVASCULAR AVANZADO ",IF(N269=CURSOS!$D$13,"CAMILLERO ",IF(N269=CURSOS!$D$14,"TOMA MUESTRAS Y LABORATORIO ",IF(N269=CURSOS!$D$15,"SOPORTE VITAL BASICO (BLS)",IF(N269=CURSOS!$D$16,"ATENCION A VICTIMAS DE VIOLENCIA SEXUAL ",IF(N269=CURSOS!$D$17,"PROGRAMADO AMPLIADO DE INMUNIZACION (PAI - COVID 19)",IF(N269=CURSOS!$D$18,"ATENCION INTEGRAL EN ENFERMEDADES PREVALENTES EN PRIMERA INFANCIA (AIEPI)",IF(N269=CURSOS!$D$19,"ADMINISTRACION DE MEDICAMENTOS, IYECTOLOGIA  Y CANALIZACION ",IF(N269=CURSOS!$D$20,"OPERADOR DE VEHICULOS DE EMERGENCIA (OVE)",IF(N269=CURSOS!$D$21,"INSTITUCIONES AMIGAS DE LA MUJER Y LA INFANCIA (IAMI)",IF(N269=CURSOS!$D$22,"CUIDADO DEL DONANTE DE ORGANOS",IF(N269=CURSOS!$D$23,"ATENCION A VICTIMAS POR VIOLENCIA DE GENERO",IF(N269=CURSOS!$D$24,"IGUALDAD DE GENERO EN LA SALUD",IF(N269=CURSOS!$D$25,"BRIGADA DE EMERGENCIA",IF(N269=CURSOS!$D$26,"MANEJO DEL DOLOR Y CUIDADOS PALIATIVOS",IF(N269=CURSOS!$D$27,"TOMA MUESTRAS Y LABORATORIO POCT",IF(N269=CURSOS!$D$28,"IMPLANTE SUBDERMICO Y DISPOSITIVO INTRAUTERINO",IF(N269=CURSOS!$D$29,"SALUD MENTAL",IF(N269=CURSOS!$D$30,"PRIMEROS AUXILIOS PSICOLOGICOS",IF(N269=CURSOS!$D$31,"ATENCION A VICTIMAS POR CONFLICTO ARMADO",IF(N269=CURSOS!$D$32,"MANIPULACION DE ALIMENTOS Y BPM"))))))))))))))))))))))))))))))</f>
        <v>0</v>
      </c>
      <c r="U269" s="30" t="str">
        <f t="shared" si="33"/>
        <v xml:space="preserve">   </v>
      </c>
      <c r="V269" s="30" t="str">
        <f t="shared" si="34"/>
        <v xml:space="preserve">   </v>
      </c>
      <c r="W269" s="30" t="str">
        <f t="shared" si="35"/>
        <v xml:space="preserve">   --</v>
      </c>
    </row>
    <row r="270" spans="1:23" s="40" customFormat="1" x14ac:dyDescent="0.2">
      <c r="A270" s="31">
        <v>270</v>
      </c>
      <c r="G270" s="38"/>
      <c r="H270" s="38"/>
      <c r="I270" s="39"/>
      <c r="J270" s="59"/>
      <c r="K270" s="38"/>
      <c r="L270" s="38"/>
      <c r="M270" s="38"/>
      <c r="N270" s="37"/>
      <c r="O270" s="51"/>
      <c r="T270" s="30" t="b">
        <f>IF(N270=CURSOS!$D$3,"DIPLOMADO EN ATENCION PRE-HOSPITALARIA",IF(N270=CURSOS!$D$4,"ACOMPAÑAMIENTO Y MANEJO DEL DUELO",IF(N270=CURSOS!$D$5,"ATENCION A VICTIMAS DE ATAQUE CON AGENTES QUIMICOS ",IF(N270=CURSOS!$D$6,"PRIMEROS AUXILIOS ",IF(N270=CURSOS!$D$7,"DIPLOMADO DE UNIDAD DE CUIDADOS INTENSIVOS (UCI)",IF(N270=CURSOS!$D$8,"MODELO DE ATENCION PARA EVENTOS EMERGENTES EN SALUD MENTAL (CODIGO VERDE)",IF(N270=CURSOS!$D$9,"HUMANIZACION EN SALUD, BUENAS PRACTICAS EN PACIENTE ",IF(N270=CURSOS!$D$10,"CLINICA DE HERIDAS ",IF(N270=CURSOS!$D$11,"TOMA DE CITOLOGIA A CERVICO VAGINAL ",IF(N270=CURSOS!$D$12,"SOPORTE CARDIOVASCULAR AVANZADO ",IF(N270=CURSOS!$D$13,"CAMILLERO ",IF(N270=CURSOS!$D$14,"TOMA MUESTRAS Y LABORATORIO ",IF(N270=CURSOS!$D$15,"SOPORTE VITAL BASICO (BLS)",IF(N270=CURSOS!$D$16,"ATENCION A VICTIMAS DE VIOLENCIA SEXUAL ",IF(N270=CURSOS!$D$17,"PROGRAMADO AMPLIADO DE INMUNIZACION (PAI - COVID 19)",IF(N270=CURSOS!$D$18,"ATENCION INTEGRAL EN ENFERMEDADES PREVALENTES EN PRIMERA INFANCIA (AIEPI)",IF(N270=CURSOS!$D$19,"ADMINISTRACION DE MEDICAMENTOS, IYECTOLOGIA  Y CANALIZACION ",IF(N270=CURSOS!$D$20,"OPERADOR DE VEHICULOS DE EMERGENCIA (OVE)",IF(N270=CURSOS!$D$21,"INSTITUCIONES AMIGAS DE LA MUJER Y LA INFANCIA (IAMI)",IF(N270=CURSOS!$D$22,"CUIDADO DEL DONANTE DE ORGANOS",IF(N270=CURSOS!$D$23,"ATENCION A VICTIMAS POR VIOLENCIA DE GENERO",IF(N270=CURSOS!$D$24,"IGUALDAD DE GENERO EN LA SALUD",IF(N270=CURSOS!$D$25,"BRIGADA DE EMERGENCIA",IF(N270=CURSOS!$D$26,"MANEJO DEL DOLOR Y CUIDADOS PALIATIVOS",IF(N270=CURSOS!$D$27,"TOMA MUESTRAS Y LABORATORIO POCT",IF(N270=CURSOS!$D$28,"IMPLANTE SUBDERMICO Y DISPOSITIVO INTRAUTERINO",IF(N270=CURSOS!$D$29,"SALUD MENTAL",IF(N270=CURSOS!$D$30,"PRIMEROS AUXILIOS PSICOLOGICOS",IF(N270=CURSOS!$D$31,"ATENCION A VICTIMAS POR CONFLICTO ARMADO",IF(N270=CURSOS!$D$32,"MANIPULACION DE ALIMENTOS Y BPM"))))))))))))))))))))))))))))))</f>
        <v>0</v>
      </c>
      <c r="U270" s="30" t="str">
        <f t="shared" si="33"/>
        <v xml:space="preserve">   </v>
      </c>
      <c r="V270" s="30" t="str">
        <f t="shared" si="34"/>
        <v xml:space="preserve">   </v>
      </c>
      <c r="W270" s="30" t="str">
        <f t="shared" si="35"/>
        <v xml:space="preserve">   --</v>
      </c>
    </row>
    <row r="271" spans="1:23" s="40" customFormat="1" x14ac:dyDescent="0.2">
      <c r="A271" s="31">
        <v>271</v>
      </c>
      <c r="G271" s="38"/>
      <c r="H271" s="38"/>
      <c r="I271" s="39"/>
      <c r="J271" s="59"/>
      <c r="K271" s="38"/>
      <c r="L271" s="38"/>
      <c r="M271" s="38"/>
      <c r="N271" s="37"/>
      <c r="O271" s="51"/>
      <c r="T271" s="30" t="b">
        <f>IF(N271=CURSOS!$D$3,"DIPLOMADO EN ATENCION PRE-HOSPITALARIA",IF(N271=CURSOS!$D$4,"ACOMPAÑAMIENTO Y MANEJO DEL DUELO",IF(N271=CURSOS!$D$5,"ATENCION A VICTIMAS DE ATAQUE CON AGENTES QUIMICOS ",IF(N271=CURSOS!$D$6,"PRIMEROS AUXILIOS ",IF(N271=CURSOS!$D$7,"DIPLOMADO DE UNIDAD DE CUIDADOS INTENSIVOS (UCI)",IF(N271=CURSOS!$D$8,"MODELO DE ATENCION PARA EVENTOS EMERGENTES EN SALUD MENTAL (CODIGO VERDE)",IF(N271=CURSOS!$D$9,"HUMANIZACION EN SALUD, BUENAS PRACTICAS EN PACIENTE ",IF(N271=CURSOS!$D$10,"CLINICA DE HERIDAS ",IF(N271=CURSOS!$D$11,"TOMA DE CITOLOGIA A CERVICO VAGINAL ",IF(N271=CURSOS!$D$12,"SOPORTE CARDIOVASCULAR AVANZADO ",IF(N271=CURSOS!$D$13,"CAMILLERO ",IF(N271=CURSOS!$D$14,"TOMA MUESTRAS Y LABORATORIO ",IF(N271=CURSOS!$D$15,"SOPORTE VITAL BASICO (BLS)",IF(N271=CURSOS!$D$16,"ATENCION A VICTIMAS DE VIOLENCIA SEXUAL ",IF(N271=CURSOS!$D$17,"PROGRAMADO AMPLIADO DE INMUNIZACION (PAI - COVID 19)",IF(N271=CURSOS!$D$18,"ATENCION INTEGRAL EN ENFERMEDADES PREVALENTES EN PRIMERA INFANCIA (AIEPI)",IF(N271=CURSOS!$D$19,"ADMINISTRACION DE MEDICAMENTOS, IYECTOLOGIA  Y CANALIZACION ",IF(N271=CURSOS!$D$20,"OPERADOR DE VEHICULOS DE EMERGENCIA (OVE)",IF(N271=CURSOS!$D$21,"INSTITUCIONES AMIGAS DE LA MUJER Y LA INFANCIA (IAMI)",IF(N271=CURSOS!$D$22,"CUIDADO DEL DONANTE DE ORGANOS",IF(N271=CURSOS!$D$23,"ATENCION A VICTIMAS POR VIOLENCIA DE GENERO",IF(N271=CURSOS!$D$24,"IGUALDAD DE GENERO EN LA SALUD",IF(N271=CURSOS!$D$25,"BRIGADA DE EMERGENCIA",IF(N271=CURSOS!$D$26,"MANEJO DEL DOLOR Y CUIDADOS PALIATIVOS",IF(N271=CURSOS!$D$27,"TOMA MUESTRAS Y LABORATORIO POCT",IF(N271=CURSOS!$D$28,"IMPLANTE SUBDERMICO Y DISPOSITIVO INTRAUTERINO",IF(N271=CURSOS!$D$29,"SALUD MENTAL",IF(N271=CURSOS!$D$30,"PRIMEROS AUXILIOS PSICOLOGICOS",IF(N271=CURSOS!$D$31,"ATENCION A VICTIMAS POR CONFLICTO ARMADO",IF(N271=CURSOS!$D$32,"MANIPULACION DE ALIMENTOS Y BPM"))))))))))))))))))))))))))))))</f>
        <v>0</v>
      </c>
      <c r="U271" s="30" t="str">
        <f t="shared" si="33"/>
        <v xml:space="preserve">   </v>
      </c>
      <c r="V271" s="30" t="str">
        <f t="shared" si="34"/>
        <v xml:space="preserve">   </v>
      </c>
      <c r="W271" s="30" t="str">
        <f t="shared" si="35"/>
        <v xml:space="preserve">   --</v>
      </c>
    </row>
    <row r="272" spans="1:23" s="40" customFormat="1" x14ac:dyDescent="0.2">
      <c r="A272" s="31">
        <v>272</v>
      </c>
      <c r="G272" s="38"/>
      <c r="H272" s="38"/>
      <c r="I272" s="39"/>
      <c r="J272" s="59"/>
      <c r="K272" s="38"/>
      <c r="L272" s="38"/>
      <c r="M272" s="38"/>
      <c r="N272" s="37"/>
      <c r="O272" s="51"/>
      <c r="T272" s="30" t="b">
        <f>IF(N272=CURSOS!$D$3,"DIPLOMADO EN ATENCION PRE-HOSPITALARIA",IF(N272=CURSOS!$D$4,"ACOMPAÑAMIENTO Y MANEJO DEL DUELO",IF(N272=CURSOS!$D$5,"ATENCION A VICTIMAS DE ATAQUE CON AGENTES QUIMICOS ",IF(N272=CURSOS!$D$6,"PRIMEROS AUXILIOS ",IF(N272=CURSOS!$D$7,"DIPLOMADO DE UNIDAD DE CUIDADOS INTENSIVOS (UCI)",IF(N272=CURSOS!$D$8,"MODELO DE ATENCION PARA EVENTOS EMERGENTES EN SALUD MENTAL (CODIGO VERDE)",IF(N272=CURSOS!$D$9,"HUMANIZACION EN SALUD, BUENAS PRACTICAS EN PACIENTE ",IF(N272=CURSOS!$D$10,"CLINICA DE HERIDAS ",IF(N272=CURSOS!$D$11,"TOMA DE CITOLOGIA A CERVICO VAGINAL ",IF(N272=CURSOS!$D$12,"SOPORTE CARDIOVASCULAR AVANZADO ",IF(N272=CURSOS!$D$13,"CAMILLERO ",IF(N272=CURSOS!$D$14,"TOMA MUESTRAS Y LABORATORIO ",IF(N272=CURSOS!$D$15,"SOPORTE VITAL BASICO (BLS)",IF(N272=CURSOS!$D$16,"ATENCION A VICTIMAS DE VIOLENCIA SEXUAL ",IF(N272=CURSOS!$D$17,"PROGRAMADO AMPLIADO DE INMUNIZACION (PAI - COVID 19)",IF(N272=CURSOS!$D$18,"ATENCION INTEGRAL EN ENFERMEDADES PREVALENTES EN PRIMERA INFANCIA (AIEPI)",IF(N272=CURSOS!$D$19,"ADMINISTRACION DE MEDICAMENTOS, IYECTOLOGIA  Y CANALIZACION ",IF(N272=CURSOS!$D$20,"OPERADOR DE VEHICULOS DE EMERGENCIA (OVE)",IF(N272=CURSOS!$D$21,"INSTITUCIONES AMIGAS DE LA MUJER Y LA INFANCIA (IAMI)",IF(N272=CURSOS!$D$22,"CUIDADO DEL DONANTE DE ORGANOS",IF(N272=CURSOS!$D$23,"ATENCION A VICTIMAS POR VIOLENCIA DE GENERO",IF(N272=CURSOS!$D$24,"IGUALDAD DE GENERO EN LA SALUD",IF(N272=CURSOS!$D$25,"BRIGADA DE EMERGENCIA",IF(N272=CURSOS!$D$26,"MANEJO DEL DOLOR Y CUIDADOS PALIATIVOS",IF(N272=CURSOS!$D$27,"TOMA MUESTRAS Y LABORATORIO POCT",IF(N272=CURSOS!$D$28,"IMPLANTE SUBDERMICO Y DISPOSITIVO INTRAUTERINO",IF(N272=CURSOS!$D$29,"SALUD MENTAL",IF(N272=CURSOS!$D$30,"PRIMEROS AUXILIOS PSICOLOGICOS",IF(N272=CURSOS!$D$31,"ATENCION A VICTIMAS POR CONFLICTO ARMADO",IF(N272=CURSOS!$D$32,"MANIPULACION DE ALIMENTOS Y BPM"))))))))))))))))))))))))))))))</f>
        <v>0</v>
      </c>
      <c r="U272" s="30" t="str">
        <f t="shared" si="33"/>
        <v xml:space="preserve">   </v>
      </c>
      <c r="V272" s="30" t="str">
        <f t="shared" si="34"/>
        <v xml:space="preserve">   </v>
      </c>
      <c r="W272" s="30" t="str">
        <f t="shared" si="35"/>
        <v xml:space="preserve">   --</v>
      </c>
    </row>
    <row r="273" spans="1:23" s="40" customFormat="1" x14ac:dyDescent="0.2">
      <c r="A273" s="31">
        <v>273</v>
      </c>
      <c r="G273" s="38"/>
      <c r="H273" s="38"/>
      <c r="I273" s="39"/>
      <c r="J273" s="59"/>
      <c r="K273" s="38"/>
      <c r="L273" s="38"/>
      <c r="M273" s="38"/>
      <c r="N273" s="37"/>
      <c r="O273" s="51"/>
      <c r="T273" s="30" t="b">
        <f>IF(N273=CURSOS!$D$3,"DIPLOMADO EN ATENCION PRE-HOSPITALARIA",IF(N273=CURSOS!$D$4,"ACOMPAÑAMIENTO Y MANEJO DEL DUELO",IF(N273=CURSOS!$D$5,"ATENCION A VICTIMAS DE ATAQUE CON AGENTES QUIMICOS ",IF(N273=CURSOS!$D$6,"PRIMEROS AUXILIOS ",IF(N273=CURSOS!$D$7,"DIPLOMADO DE UNIDAD DE CUIDADOS INTENSIVOS (UCI)",IF(N273=CURSOS!$D$8,"MODELO DE ATENCION PARA EVENTOS EMERGENTES EN SALUD MENTAL (CODIGO VERDE)",IF(N273=CURSOS!$D$9,"HUMANIZACION EN SALUD, BUENAS PRACTICAS EN PACIENTE ",IF(N273=CURSOS!$D$10,"CLINICA DE HERIDAS ",IF(N273=CURSOS!$D$11,"TOMA DE CITOLOGIA A CERVICO VAGINAL ",IF(N273=CURSOS!$D$12,"SOPORTE CARDIOVASCULAR AVANZADO ",IF(N273=CURSOS!$D$13,"CAMILLERO ",IF(N273=CURSOS!$D$14,"TOMA MUESTRAS Y LABORATORIO ",IF(N273=CURSOS!$D$15,"SOPORTE VITAL BASICO (BLS)",IF(N273=CURSOS!$D$16,"ATENCION A VICTIMAS DE VIOLENCIA SEXUAL ",IF(N273=CURSOS!$D$17,"PROGRAMADO AMPLIADO DE INMUNIZACION (PAI - COVID 19)",IF(N273=CURSOS!$D$18,"ATENCION INTEGRAL EN ENFERMEDADES PREVALENTES EN PRIMERA INFANCIA (AIEPI)",IF(N273=CURSOS!$D$19,"ADMINISTRACION DE MEDICAMENTOS, IYECTOLOGIA  Y CANALIZACION ",IF(N273=CURSOS!$D$20,"OPERADOR DE VEHICULOS DE EMERGENCIA (OVE)",IF(N273=CURSOS!$D$21,"INSTITUCIONES AMIGAS DE LA MUJER Y LA INFANCIA (IAMI)",IF(N273=CURSOS!$D$22,"CUIDADO DEL DONANTE DE ORGANOS",IF(N273=CURSOS!$D$23,"ATENCION A VICTIMAS POR VIOLENCIA DE GENERO",IF(N273=CURSOS!$D$24,"IGUALDAD DE GENERO EN LA SALUD",IF(N273=CURSOS!$D$25,"BRIGADA DE EMERGENCIA",IF(N273=CURSOS!$D$26,"MANEJO DEL DOLOR Y CUIDADOS PALIATIVOS",IF(N273=CURSOS!$D$27,"TOMA MUESTRAS Y LABORATORIO POCT",IF(N273=CURSOS!$D$28,"IMPLANTE SUBDERMICO Y DISPOSITIVO INTRAUTERINO",IF(N273=CURSOS!$D$29,"SALUD MENTAL",IF(N273=CURSOS!$D$30,"PRIMEROS AUXILIOS PSICOLOGICOS",IF(N273=CURSOS!$D$31,"ATENCION A VICTIMAS POR CONFLICTO ARMADO",IF(N273=CURSOS!$D$32,"MANIPULACION DE ALIMENTOS Y BPM"))))))))))))))))))))))))))))))</f>
        <v>0</v>
      </c>
      <c r="U273" s="30" t="str">
        <f t="shared" si="33"/>
        <v xml:space="preserve">   </v>
      </c>
      <c r="V273" s="30" t="str">
        <f t="shared" si="34"/>
        <v xml:space="preserve">   </v>
      </c>
      <c r="W273" s="30" t="str">
        <f t="shared" si="35"/>
        <v xml:space="preserve">   --</v>
      </c>
    </row>
    <row r="274" spans="1:23" s="40" customFormat="1" x14ac:dyDescent="0.2">
      <c r="A274" s="31">
        <v>274</v>
      </c>
      <c r="G274" s="38"/>
      <c r="H274" s="38"/>
      <c r="I274" s="39"/>
      <c r="J274" s="59"/>
      <c r="K274" s="38"/>
      <c r="L274" s="38"/>
      <c r="M274" s="38"/>
      <c r="N274" s="37"/>
      <c r="O274" s="51"/>
      <c r="T274" s="30" t="b">
        <f>IF(N274=CURSOS!$D$3,"DIPLOMADO EN ATENCION PRE-HOSPITALARIA",IF(N274=CURSOS!$D$4,"ACOMPAÑAMIENTO Y MANEJO DEL DUELO",IF(N274=CURSOS!$D$5,"ATENCION A VICTIMAS DE ATAQUE CON AGENTES QUIMICOS ",IF(N274=CURSOS!$D$6,"PRIMEROS AUXILIOS ",IF(N274=CURSOS!$D$7,"DIPLOMADO DE UNIDAD DE CUIDADOS INTENSIVOS (UCI)",IF(N274=CURSOS!$D$8,"MODELO DE ATENCION PARA EVENTOS EMERGENTES EN SALUD MENTAL (CODIGO VERDE)",IF(N274=CURSOS!$D$9,"HUMANIZACION EN SALUD, BUENAS PRACTICAS EN PACIENTE ",IF(N274=CURSOS!$D$10,"CLINICA DE HERIDAS ",IF(N274=CURSOS!$D$11,"TOMA DE CITOLOGIA A CERVICO VAGINAL ",IF(N274=CURSOS!$D$12,"SOPORTE CARDIOVASCULAR AVANZADO ",IF(N274=CURSOS!$D$13,"CAMILLERO ",IF(N274=CURSOS!$D$14,"TOMA MUESTRAS Y LABORATORIO ",IF(N274=CURSOS!$D$15,"SOPORTE VITAL BASICO (BLS)",IF(N274=CURSOS!$D$16,"ATENCION A VICTIMAS DE VIOLENCIA SEXUAL ",IF(N274=CURSOS!$D$17,"PROGRAMADO AMPLIADO DE INMUNIZACION (PAI - COVID 19)",IF(N274=CURSOS!$D$18,"ATENCION INTEGRAL EN ENFERMEDADES PREVALENTES EN PRIMERA INFANCIA (AIEPI)",IF(N274=CURSOS!$D$19,"ADMINISTRACION DE MEDICAMENTOS, IYECTOLOGIA  Y CANALIZACION ",IF(N274=CURSOS!$D$20,"OPERADOR DE VEHICULOS DE EMERGENCIA (OVE)",IF(N274=CURSOS!$D$21,"INSTITUCIONES AMIGAS DE LA MUJER Y LA INFANCIA (IAMI)",IF(N274=CURSOS!$D$22,"CUIDADO DEL DONANTE DE ORGANOS",IF(N274=CURSOS!$D$23,"ATENCION A VICTIMAS POR VIOLENCIA DE GENERO",IF(N274=CURSOS!$D$24,"IGUALDAD DE GENERO EN LA SALUD",IF(N274=CURSOS!$D$25,"BRIGADA DE EMERGENCIA",IF(N274=CURSOS!$D$26,"MANEJO DEL DOLOR Y CUIDADOS PALIATIVOS",IF(N274=CURSOS!$D$27,"TOMA MUESTRAS Y LABORATORIO POCT",IF(N274=CURSOS!$D$28,"IMPLANTE SUBDERMICO Y DISPOSITIVO INTRAUTERINO",IF(N274=CURSOS!$D$29,"SALUD MENTAL",IF(N274=CURSOS!$D$30,"PRIMEROS AUXILIOS PSICOLOGICOS",IF(N274=CURSOS!$D$31,"ATENCION A VICTIMAS POR CONFLICTO ARMADO",IF(N274=CURSOS!$D$32,"MANIPULACION DE ALIMENTOS Y BPM"))))))))))))))))))))))))))))))</f>
        <v>0</v>
      </c>
      <c r="U274" s="30" t="str">
        <f t="shared" si="33"/>
        <v xml:space="preserve">   </v>
      </c>
      <c r="V274" s="30" t="str">
        <f t="shared" si="34"/>
        <v xml:space="preserve">   </v>
      </c>
      <c r="W274" s="30" t="str">
        <f t="shared" si="35"/>
        <v xml:space="preserve">   --</v>
      </c>
    </row>
    <row r="275" spans="1:23" s="40" customFormat="1" x14ac:dyDescent="0.2">
      <c r="A275" s="31">
        <v>275</v>
      </c>
      <c r="G275" s="38"/>
      <c r="H275" s="38"/>
      <c r="I275" s="39"/>
      <c r="J275" s="59"/>
      <c r="K275" s="38"/>
      <c r="L275" s="38"/>
      <c r="M275" s="38"/>
      <c r="N275" s="37"/>
      <c r="O275" s="51"/>
      <c r="T275" s="30" t="b">
        <f>IF(N275=CURSOS!$D$3,"DIPLOMADO EN ATENCION PRE-HOSPITALARIA",IF(N275=CURSOS!$D$4,"ACOMPAÑAMIENTO Y MANEJO DEL DUELO",IF(N275=CURSOS!$D$5,"ATENCION A VICTIMAS DE ATAQUE CON AGENTES QUIMICOS ",IF(N275=CURSOS!$D$6,"PRIMEROS AUXILIOS ",IF(N275=CURSOS!$D$7,"DIPLOMADO DE UNIDAD DE CUIDADOS INTENSIVOS (UCI)",IF(N275=CURSOS!$D$8,"MODELO DE ATENCION PARA EVENTOS EMERGENTES EN SALUD MENTAL (CODIGO VERDE)",IF(N275=CURSOS!$D$9,"HUMANIZACION EN SALUD, BUENAS PRACTICAS EN PACIENTE ",IF(N275=CURSOS!$D$10,"CLINICA DE HERIDAS ",IF(N275=CURSOS!$D$11,"TOMA DE CITOLOGIA A CERVICO VAGINAL ",IF(N275=CURSOS!$D$12,"SOPORTE CARDIOVASCULAR AVANZADO ",IF(N275=CURSOS!$D$13,"CAMILLERO ",IF(N275=CURSOS!$D$14,"TOMA MUESTRAS Y LABORATORIO ",IF(N275=CURSOS!$D$15,"SOPORTE VITAL BASICO (BLS)",IF(N275=CURSOS!$D$16,"ATENCION A VICTIMAS DE VIOLENCIA SEXUAL ",IF(N275=CURSOS!$D$17,"PROGRAMADO AMPLIADO DE INMUNIZACION (PAI - COVID 19)",IF(N275=CURSOS!$D$18,"ATENCION INTEGRAL EN ENFERMEDADES PREVALENTES EN PRIMERA INFANCIA (AIEPI)",IF(N275=CURSOS!$D$19,"ADMINISTRACION DE MEDICAMENTOS, IYECTOLOGIA  Y CANALIZACION ",IF(N275=CURSOS!$D$20,"OPERADOR DE VEHICULOS DE EMERGENCIA (OVE)",IF(N275=CURSOS!$D$21,"INSTITUCIONES AMIGAS DE LA MUJER Y LA INFANCIA (IAMI)",IF(N275=CURSOS!$D$22,"CUIDADO DEL DONANTE DE ORGANOS",IF(N275=CURSOS!$D$23,"ATENCION A VICTIMAS POR VIOLENCIA DE GENERO",IF(N275=CURSOS!$D$24,"IGUALDAD DE GENERO EN LA SALUD",IF(N275=CURSOS!$D$25,"BRIGADA DE EMERGENCIA",IF(N275=CURSOS!$D$26,"MANEJO DEL DOLOR Y CUIDADOS PALIATIVOS",IF(N275=CURSOS!$D$27,"TOMA MUESTRAS Y LABORATORIO POCT",IF(N275=CURSOS!$D$28,"IMPLANTE SUBDERMICO Y DISPOSITIVO INTRAUTERINO",IF(N275=CURSOS!$D$29,"SALUD MENTAL",IF(N275=CURSOS!$D$30,"PRIMEROS AUXILIOS PSICOLOGICOS",IF(N275=CURSOS!$D$31,"ATENCION A VICTIMAS POR CONFLICTO ARMADO",IF(N275=CURSOS!$D$32,"MANIPULACION DE ALIMENTOS Y BPM"))))))))))))))))))))))))))))))</f>
        <v>0</v>
      </c>
      <c r="U275" s="30" t="str">
        <f t="shared" si="33"/>
        <v xml:space="preserve">   </v>
      </c>
      <c r="V275" s="30" t="str">
        <f t="shared" si="34"/>
        <v xml:space="preserve">   </v>
      </c>
      <c r="W275" s="30" t="str">
        <f t="shared" si="35"/>
        <v xml:space="preserve">   --</v>
      </c>
    </row>
    <row r="276" spans="1:23" s="40" customFormat="1" x14ac:dyDescent="0.2">
      <c r="A276" s="31">
        <v>276</v>
      </c>
      <c r="G276" s="38"/>
      <c r="H276" s="38"/>
      <c r="I276" s="39"/>
      <c r="J276" s="59"/>
      <c r="K276" s="38"/>
      <c r="L276" s="38"/>
      <c r="M276" s="38"/>
      <c r="N276" s="37"/>
      <c r="O276" s="51"/>
      <c r="T276" s="30" t="b">
        <f>IF(N276=CURSOS!$D$3,"DIPLOMADO EN ATENCION PRE-HOSPITALARIA",IF(N276=CURSOS!$D$4,"ACOMPAÑAMIENTO Y MANEJO DEL DUELO",IF(N276=CURSOS!$D$5,"ATENCION A VICTIMAS DE ATAQUE CON AGENTES QUIMICOS ",IF(N276=CURSOS!$D$6,"PRIMEROS AUXILIOS ",IF(N276=CURSOS!$D$7,"DIPLOMADO DE UNIDAD DE CUIDADOS INTENSIVOS (UCI)",IF(N276=CURSOS!$D$8,"MODELO DE ATENCION PARA EVENTOS EMERGENTES EN SALUD MENTAL (CODIGO VERDE)",IF(N276=CURSOS!$D$9,"HUMANIZACION EN SALUD, BUENAS PRACTICAS EN PACIENTE ",IF(N276=CURSOS!$D$10,"CLINICA DE HERIDAS ",IF(N276=CURSOS!$D$11,"TOMA DE CITOLOGIA A CERVICO VAGINAL ",IF(N276=CURSOS!$D$12,"SOPORTE CARDIOVASCULAR AVANZADO ",IF(N276=CURSOS!$D$13,"CAMILLERO ",IF(N276=CURSOS!$D$14,"TOMA MUESTRAS Y LABORATORIO ",IF(N276=CURSOS!$D$15,"SOPORTE VITAL BASICO (BLS)",IF(N276=CURSOS!$D$16,"ATENCION A VICTIMAS DE VIOLENCIA SEXUAL ",IF(N276=CURSOS!$D$17,"PROGRAMADO AMPLIADO DE INMUNIZACION (PAI - COVID 19)",IF(N276=CURSOS!$D$18,"ATENCION INTEGRAL EN ENFERMEDADES PREVALENTES EN PRIMERA INFANCIA (AIEPI)",IF(N276=CURSOS!$D$19,"ADMINISTRACION DE MEDICAMENTOS, IYECTOLOGIA  Y CANALIZACION ",IF(N276=CURSOS!$D$20,"OPERADOR DE VEHICULOS DE EMERGENCIA (OVE)",IF(N276=CURSOS!$D$21,"INSTITUCIONES AMIGAS DE LA MUJER Y LA INFANCIA (IAMI)",IF(N276=CURSOS!$D$22,"CUIDADO DEL DONANTE DE ORGANOS",IF(N276=CURSOS!$D$23,"ATENCION A VICTIMAS POR VIOLENCIA DE GENERO",IF(N276=CURSOS!$D$24,"IGUALDAD DE GENERO EN LA SALUD",IF(N276=CURSOS!$D$25,"BRIGADA DE EMERGENCIA",IF(N276=CURSOS!$D$26,"MANEJO DEL DOLOR Y CUIDADOS PALIATIVOS",IF(N276=CURSOS!$D$27,"TOMA MUESTRAS Y LABORATORIO POCT",IF(N276=CURSOS!$D$28,"IMPLANTE SUBDERMICO Y DISPOSITIVO INTRAUTERINO",IF(N276=CURSOS!$D$29,"SALUD MENTAL",IF(N276=CURSOS!$D$30,"PRIMEROS AUXILIOS PSICOLOGICOS",IF(N276=CURSOS!$D$31,"ATENCION A VICTIMAS POR CONFLICTO ARMADO",IF(N276=CURSOS!$D$32,"MANIPULACION DE ALIMENTOS Y BPM"))))))))))))))))))))))))))))))</f>
        <v>0</v>
      </c>
      <c r="U276" s="30" t="str">
        <f t="shared" si="33"/>
        <v xml:space="preserve">   </v>
      </c>
      <c r="V276" s="30" t="str">
        <f t="shared" si="34"/>
        <v xml:space="preserve">   </v>
      </c>
      <c r="W276" s="30" t="str">
        <f t="shared" si="35"/>
        <v xml:space="preserve">   --</v>
      </c>
    </row>
    <row r="277" spans="1:23" s="40" customFormat="1" x14ac:dyDescent="0.2">
      <c r="A277" s="31">
        <v>277</v>
      </c>
      <c r="G277" s="38"/>
      <c r="H277" s="38"/>
      <c r="I277" s="39"/>
      <c r="J277" s="59"/>
      <c r="K277" s="38"/>
      <c r="L277" s="38"/>
      <c r="M277" s="38"/>
      <c r="N277" s="37"/>
      <c r="O277" s="51"/>
      <c r="T277" s="30" t="b">
        <f>IF(N277=CURSOS!$D$3,"DIPLOMADO EN ATENCION PRE-HOSPITALARIA",IF(N277=CURSOS!$D$4,"ACOMPAÑAMIENTO Y MANEJO DEL DUELO",IF(N277=CURSOS!$D$5,"ATENCION A VICTIMAS DE ATAQUE CON AGENTES QUIMICOS ",IF(N277=CURSOS!$D$6,"PRIMEROS AUXILIOS ",IF(N277=CURSOS!$D$7,"DIPLOMADO DE UNIDAD DE CUIDADOS INTENSIVOS (UCI)",IF(N277=CURSOS!$D$8,"MODELO DE ATENCION PARA EVENTOS EMERGENTES EN SALUD MENTAL (CODIGO VERDE)",IF(N277=CURSOS!$D$9,"HUMANIZACION EN SALUD, BUENAS PRACTICAS EN PACIENTE ",IF(N277=CURSOS!$D$10,"CLINICA DE HERIDAS ",IF(N277=CURSOS!$D$11,"TOMA DE CITOLOGIA A CERVICO VAGINAL ",IF(N277=CURSOS!$D$12,"SOPORTE CARDIOVASCULAR AVANZADO ",IF(N277=CURSOS!$D$13,"CAMILLERO ",IF(N277=CURSOS!$D$14,"TOMA MUESTRAS Y LABORATORIO ",IF(N277=CURSOS!$D$15,"SOPORTE VITAL BASICO (BLS)",IF(N277=CURSOS!$D$16,"ATENCION A VICTIMAS DE VIOLENCIA SEXUAL ",IF(N277=CURSOS!$D$17,"PROGRAMADO AMPLIADO DE INMUNIZACION (PAI - COVID 19)",IF(N277=CURSOS!$D$18,"ATENCION INTEGRAL EN ENFERMEDADES PREVALENTES EN PRIMERA INFANCIA (AIEPI)",IF(N277=CURSOS!$D$19,"ADMINISTRACION DE MEDICAMENTOS, IYECTOLOGIA  Y CANALIZACION ",IF(N277=CURSOS!$D$20,"OPERADOR DE VEHICULOS DE EMERGENCIA (OVE)",IF(N277=CURSOS!$D$21,"INSTITUCIONES AMIGAS DE LA MUJER Y LA INFANCIA (IAMI)",IF(N277=CURSOS!$D$22,"CUIDADO DEL DONANTE DE ORGANOS",IF(N277=CURSOS!$D$23,"ATENCION A VICTIMAS POR VIOLENCIA DE GENERO",IF(N277=CURSOS!$D$24,"IGUALDAD DE GENERO EN LA SALUD",IF(N277=CURSOS!$D$25,"BRIGADA DE EMERGENCIA",IF(N277=CURSOS!$D$26,"MANEJO DEL DOLOR Y CUIDADOS PALIATIVOS",IF(N277=CURSOS!$D$27,"TOMA MUESTRAS Y LABORATORIO POCT",IF(N277=CURSOS!$D$28,"IMPLANTE SUBDERMICO Y DISPOSITIVO INTRAUTERINO",IF(N277=CURSOS!$D$29,"SALUD MENTAL",IF(N277=CURSOS!$D$30,"PRIMEROS AUXILIOS PSICOLOGICOS",IF(N277=CURSOS!$D$31,"ATENCION A VICTIMAS POR CONFLICTO ARMADO",IF(N277=CURSOS!$D$32,"MANIPULACION DE ALIMENTOS Y BPM"))))))))))))))))))))))))))))))</f>
        <v>0</v>
      </c>
      <c r="U277" s="30" t="str">
        <f t="shared" si="33"/>
        <v xml:space="preserve">   </v>
      </c>
      <c r="V277" s="30" t="str">
        <f t="shared" si="34"/>
        <v xml:space="preserve">   </v>
      </c>
      <c r="W277" s="30" t="str">
        <f t="shared" si="35"/>
        <v xml:space="preserve">   --</v>
      </c>
    </row>
    <row r="278" spans="1:23" s="40" customFormat="1" x14ac:dyDescent="0.2">
      <c r="A278" s="31">
        <v>278</v>
      </c>
      <c r="G278" s="38"/>
      <c r="H278" s="38"/>
      <c r="I278" s="39"/>
      <c r="J278" s="59"/>
      <c r="K278" s="38"/>
      <c r="L278" s="38"/>
      <c r="M278" s="38"/>
      <c r="N278" s="37"/>
      <c r="O278" s="51"/>
      <c r="T278" s="30" t="b">
        <f>IF(N278=CURSOS!$D$3,"DIPLOMADO EN ATENCION PRE-HOSPITALARIA",IF(N278=CURSOS!$D$4,"ACOMPAÑAMIENTO Y MANEJO DEL DUELO",IF(N278=CURSOS!$D$5,"ATENCION A VICTIMAS DE ATAQUE CON AGENTES QUIMICOS ",IF(N278=CURSOS!$D$6,"PRIMEROS AUXILIOS ",IF(N278=CURSOS!$D$7,"DIPLOMADO DE UNIDAD DE CUIDADOS INTENSIVOS (UCI)",IF(N278=CURSOS!$D$8,"MODELO DE ATENCION PARA EVENTOS EMERGENTES EN SALUD MENTAL (CODIGO VERDE)",IF(N278=CURSOS!$D$9,"HUMANIZACION EN SALUD, BUENAS PRACTICAS EN PACIENTE ",IF(N278=CURSOS!$D$10,"CLINICA DE HERIDAS ",IF(N278=CURSOS!$D$11,"TOMA DE CITOLOGIA A CERVICO VAGINAL ",IF(N278=CURSOS!$D$12,"SOPORTE CARDIOVASCULAR AVANZADO ",IF(N278=CURSOS!$D$13,"CAMILLERO ",IF(N278=CURSOS!$D$14,"TOMA MUESTRAS Y LABORATORIO ",IF(N278=CURSOS!$D$15,"SOPORTE VITAL BASICO (BLS)",IF(N278=CURSOS!$D$16,"ATENCION A VICTIMAS DE VIOLENCIA SEXUAL ",IF(N278=CURSOS!$D$17,"PROGRAMADO AMPLIADO DE INMUNIZACION (PAI - COVID 19)",IF(N278=CURSOS!$D$18,"ATENCION INTEGRAL EN ENFERMEDADES PREVALENTES EN PRIMERA INFANCIA (AIEPI)",IF(N278=CURSOS!$D$19,"ADMINISTRACION DE MEDICAMENTOS, IYECTOLOGIA  Y CANALIZACION ",IF(N278=CURSOS!$D$20,"OPERADOR DE VEHICULOS DE EMERGENCIA (OVE)",IF(N278=CURSOS!$D$21,"INSTITUCIONES AMIGAS DE LA MUJER Y LA INFANCIA (IAMI)",IF(N278=CURSOS!$D$22,"CUIDADO DEL DONANTE DE ORGANOS",IF(N278=CURSOS!$D$23,"ATENCION A VICTIMAS POR VIOLENCIA DE GENERO",IF(N278=CURSOS!$D$24,"IGUALDAD DE GENERO EN LA SALUD",IF(N278=CURSOS!$D$25,"BRIGADA DE EMERGENCIA",IF(N278=CURSOS!$D$26,"MANEJO DEL DOLOR Y CUIDADOS PALIATIVOS",IF(N278=CURSOS!$D$27,"TOMA MUESTRAS Y LABORATORIO POCT",IF(N278=CURSOS!$D$28,"IMPLANTE SUBDERMICO Y DISPOSITIVO INTRAUTERINO",IF(N278=CURSOS!$D$29,"SALUD MENTAL",IF(N278=CURSOS!$D$30,"PRIMEROS AUXILIOS PSICOLOGICOS",IF(N278=CURSOS!$D$31,"ATENCION A VICTIMAS POR CONFLICTO ARMADO",IF(N278=CURSOS!$D$32,"MANIPULACION DE ALIMENTOS Y BPM"))))))))))))))))))))))))))))))</f>
        <v>0</v>
      </c>
      <c r="U278" s="30" t="str">
        <f t="shared" ref="U278:U341" si="36">CONCATENATE(E278," ",F278," ",C278," ",D278)</f>
        <v xml:space="preserve">   </v>
      </c>
      <c r="V278" s="30" t="str">
        <f t="shared" ref="V278:V341" si="37">+PROPER(U278)</f>
        <v xml:space="preserve">   </v>
      </c>
      <c r="W278" s="30" t="str">
        <f t="shared" ref="W278:W341" si="38">CONCATENATE(U278,"-",B278,"-",N278)</f>
        <v xml:space="preserve">   --</v>
      </c>
    </row>
    <row r="279" spans="1:23" s="40" customFormat="1" x14ac:dyDescent="0.2">
      <c r="A279" s="31">
        <v>279</v>
      </c>
      <c r="G279" s="38"/>
      <c r="H279" s="38"/>
      <c r="I279" s="39"/>
      <c r="J279" s="59"/>
      <c r="K279" s="38"/>
      <c r="L279" s="38"/>
      <c r="M279" s="38"/>
      <c r="N279" s="37"/>
      <c r="O279" s="51"/>
      <c r="T279" s="30" t="b">
        <f>IF(N279=CURSOS!$D$3,"DIPLOMADO EN ATENCION PRE-HOSPITALARIA",IF(N279=CURSOS!$D$4,"ACOMPAÑAMIENTO Y MANEJO DEL DUELO",IF(N279=CURSOS!$D$5,"ATENCION A VICTIMAS DE ATAQUE CON AGENTES QUIMICOS ",IF(N279=CURSOS!$D$6,"PRIMEROS AUXILIOS ",IF(N279=CURSOS!$D$7,"DIPLOMADO DE UNIDAD DE CUIDADOS INTENSIVOS (UCI)",IF(N279=CURSOS!$D$8,"MODELO DE ATENCION PARA EVENTOS EMERGENTES EN SALUD MENTAL (CODIGO VERDE)",IF(N279=CURSOS!$D$9,"HUMANIZACION EN SALUD, BUENAS PRACTICAS EN PACIENTE ",IF(N279=CURSOS!$D$10,"CLINICA DE HERIDAS ",IF(N279=CURSOS!$D$11,"TOMA DE CITOLOGIA A CERVICO VAGINAL ",IF(N279=CURSOS!$D$12,"SOPORTE CARDIOVASCULAR AVANZADO ",IF(N279=CURSOS!$D$13,"CAMILLERO ",IF(N279=CURSOS!$D$14,"TOMA MUESTRAS Y LABORATORIO ",IF(N279=CURSOS!$D$15,"SOPORTE VITAL BASICO (BLS)",IF(N279=CURSOS!$D$16,"ATENCION A VICTIMAS DE VIOLENCIA SEXUAL ",IF(N279=CURSOS!$D$17,"PROGRAMADO AMPLIADO DE INMUNIZACION (PAI - COVID 19)",IF(N279=CURSOS!$D$18,"ATENCION INTEGRAL EN ENFERMEDADES PREVALENTES EN PRIMERA INFANCIA (AIEPI)",IF(N279=CURSOS!$D$19,"ADMINISTRACION DE MEDICAMENTOS, IYECTOLOGIA  Y CANALIZACION ",IF(N279=CURSOS!$D$20,"OPERADOR DE VEHICULOS DE EMERGENCIA (OVE)",IF(N279=CURSOS!$D$21,"INSTITUCIONES AMIGAS DE LA MUJER Y LA INFANCIA (IAMI)",IF(N279=CURSOS!$D$22,"CUIDADO DEL DONANTE DE ORGANOS",IF(N279=CURSOS!$D$23,"ATENCION A VICTIMAS POR VIOLENCIA DE GENERO",IF(N279=CURSOS!$D$24,"IGUALDAD DE GENERO EN LA SALUD",IF(N279=CURSOS!$D$25,"BRIGADA DE EMERGENCIA",IF(N279=CURSOS!$D$26,"MANEJO DEL DOLOR Y CUIDADOS PALIATIVOS",IF(N279=CURSOS!$D$27,"TOMA MUESTRAS Y LABORATORIO POCT",IF(N279=CURSOS!$D$28,"IMPLANTE SUBDERMICO Y DISPOSITIVO INTRAUTERINO",IF(N279=CURSOS!$D$29,"SALUD MENTAL",IF(N279=CURSOS!$D$30,"PRIMEROS AUXILIOS PSICOLOGICOS",IF(N279=CURSOS!$D$31,"ATENCION A VICTIMAS POR CONFLICTO ARMADO",IF(N279=CURSOS!$D$32,"MANIPULACION DE ALIMENTOS Y BPM"))))))))))))))))))))))))))))))</f>
        <v>0</v>
      </c>
      <c r="U279" s="30" t="str">
        <f t="shared" si="36"/>
        <v xml:space="preserve">   </v>
      </c>
      <c r="V279" s="30" t="str">
        <f t="shared" si="37"/>
        <v xml:space="preserve">   </v>
      </c>
      <c r="W279" s="30" t="str">
        <f t="shared" si="38"/>
        <v xml:space="preserve">   --</v>
      </c>
    </row>
    <row r="280" spans="1:23" s="40" customFormat="1" x14ac:dyDescent="0.2">
      <c r="A280" s="31">
        <v>280</v>
      </c>
      <c r="G280" s="38"/>
      <c r="H280" s="38"/>
      <c r="I280" s="39"/>
      <c r="J280" s="59"/>
      <c r="K280" s="38"/>
      <c r="L280" s="38"/>
      <c r="M280" s="38"/>
      <c r="N280" s="37"/>
      <c r="O280" s="51"/>
      <c r="T280" s="30" t="b">
        <f>IF(N280=CURSOS!$D$3,"DIPLOMADO EN ATENCION PRE-HOSPITALARIA",IF(N280=CURSOS!$D$4,"ACOMPAÑAMIENTO Y MANEJO DEL DUELO",IF(N280=CURSOS!$D$5,"ATENCION A VICTIMAS DE ATAQUE CON AGENTES QUIMICOS ",IF(N280=CURSOS!$D$6,"PRIMEROS AUXILIOS ",IF(N280=CURSOS!$D$7,"DIPLOMADO DE UNIDAD DE CUIDADOS INTENSIVOS (UCI)",IF(N280=CURSOS!$D$8,"MODELO DE ATENCION PARA EVENTOS EMERGENTES EN SALUD MENTAL (CODIGO VERDE)",IF(N280=CURSOS!$D$9,"HUMANIZACION EN SALUD, BUENAS PRACTICAS EN PACIENTE ",IF(N280=CURSOS!$D$10,"CLINICA DE HERIDAS ",IF(N280=CURSOS!$D$11,"TOMA DE CITOLOGIA A CERVICO VAGINAL ",IF(N280=CURSOS!$D$12,"SOPORTE CARDIOVASCULAR AVANZADO ",IF(N280=CURSOS!$D$13,"CAMILLERO ",IF(N280=CURSOS!$D$14,"TOMA MUESTRAS Y LABORATORIO ",IF(N280=CURSOS!$D$15,"SOPORTE VITAL BASICO (BLS)",IF(N280=CURSOS!$D$16,"ATENCION A VICTIMAS DE VIOLENCIA SEXUAL ",IF(N280=CURSOS!$D$17,"PROGRAMADO AMPLIADO DE INMUNIZACION (PAI - COVID 19)",IF(N280=CURSOS!$D$18,"ATENCION INTEGRAL EN ENFERMEDADES PREVALENTES EN PRIMERA INFANCIA (AIEPI)",IF(N280=CURSOS!$D$19,"ADMINISTRACION DE MEDICAMENTOS, IYECTOLOGIA  Y CANALIZACION ",IF(N280=CURSOS!$D$20,"OPERADOR DE VEHICULOS DE EMERGENCIA (OVE)",IF(N280=CURSOS!$D$21,"INSTITUCIONES AMIGAS DE LA MUJER Y LA INFANCIA (IAMI)",IF(N280=CURSOS!$D$22,"CUIDADO DEL DONANTE DE ORGANOS",IF(N280=CURSOS!$D$23,"ATENCION A VICTIMAS POR VIOLENCIA DE GENERO",IF(N280=CURSOS!$D$24,"IGUALDAD DE GENERO EN LA SALUD",IF(N280=CURSOS!$D$25,"BRIGADA DE EMERGENCIA",IF(N280=CURSOS!$D$26,"MANEJO DEL DOLOR Y CUIDADOS PALIATIVOS",IF(N280=CURSOS!$D$27,"TOMA MUESTRAS Y LABORATORIO POCT",IF(N280=CURSOS!$D$28,"IMPLANTE SUBDERMICO Y DISPOSITIVO INTRAUTERINO",IF(N280=CURSOS!$D$29,"SALUD MENTAL",IF(N280=CURSOS!$D$30,"PRIMEROS AUXILIOS PSICOLOGICOS",IF(N280=CURSOS!$D$31,"ATENCION A VICTIMAS POR CONFLICTO ARMADO",IF(N280=CURSOS!$D$32,"MANIPULACION DE ALIMENTOS Y BPM"))))))))))))))))))))))))))))))</f>
        <v>0</v>
      </c>
      <c r="U280" s="30" t="str">
        <f t="shared" si="36"/>
        <v xml:space="preserve">   </v>
      </c>
      <c r="V280" s="30" t="str">
        <f t="shared" si="37"/>
        <v xml:space="preserve">   </v>
      </c>
      <c r="W280" s="30" t="str">
        <f t="shared" si="38"/>
        <v xml:space="preserve">   --</v>
      </c>
    </row>
    <row r="281" spans="1:23" s="40" customFormat="1" x14ac:dyDescent="0.2">
      <c r="A281" s="31">
        <v>281</v>
      </c>
      <c r="G281" s="38"/>
      <c r="H281" s="38"/>
      <c r="I281" s="39"/>
      <c r="J281" s="59"/>
      <c r="K281" s="38"/>
      <c r="L281" s="38"/>
      <c r="M281" s="38"/>
      <c r="N281" s="37"/>
      <c r="O281" s="51"/>
      <c r="T281" s="30" t="b">
        <f>IF(N281=CURSOS!$D$3,"DIPLOMADO EN ATENCION PRE-HOSPITALARIA",IF(N281=CURSOS!$D$4,"ACOMPAÑAMIENTO Y MANEJO DEL DUELO",IF(N281=CURSOS!$D$5,"ATENCION A VICTIMAS DE ATAQUE CON AGENTES QUIMICOS ",IF(N281=CURSOS!$D$6,"PRIMEROS AUXILIOS ",IF(N281=CURSOS!$D$7,"DIPLOMADO DE UNIDAD DE CUIDADOS INTENSIVOS (UCI)",IF(N281=CURSOS!$D$8,"MODELO DE ATENCION PARA EVENTOS EMERGENTES EN SALUD MENTAL (CODIGO VERDE)",IF(N281=CURSOS!$D$9,"HUMANIZACION EN SALUD, BUENAS PRACTICAS EN PACIENTE ",IF(N281=CURSOS!$D$10,"CLINICA DE HERIDAS ",IF(N281=CURSOS!$D$11,"TOMA DE CITOLOGIA A CERVICO VAGINAL ",IF(N281=CURSOS!$D$12,"SOPORTE CARDIOVASCULAR AVANZADO ",IF(N281=CURSOS!$D$13,"CAMILLERO ",IF(N281=CURSOS!$D$14,"TOMA MUESTRAS Y LABORATORIO ",IF(N281=CURSOS!$D$15,"SOPORTE VITAL BASICO (BLS)",IF(N281=CURSOS!$D$16,"ATENCION A VICTIMAS DE VIOLENCIA SEXUAL ",IF(N281=CURSOS!$D$17,"PROGRAMADO AMPLIADO DE INMUNIZACION (PAI - COVID 19)",IF(N281=CURSOS!$D$18,"ATENCION INTEGRAL EN ENFERMEDADES PREVALENTES EN PRIMERA INFANCIA (AIEPI)",IF(N281=CURSOS!$D$19,"ADMINISTRACION DE MEDICAMENTOS, IYECTOLOGIA  Y CANALIZACION ",IF(N281=CURSOS!$D$20,"OPERADOR DE VEHICULOS DE EMERGENCIA (OVE)",IF(N281=CURSOS!$D$21,"INSTITUCIONES AMIGAS DE LA MUJER Y LA INFANCIA (IAMI)",IF(N281=CURSOS!$D$22,"CUIDADO DEL DONANTE DE ORGANOS",IF(N281=CURSOS!$D$23,"ATENCION A VICTIMAS POR VIOLENCIA DE GENERO",IF(N281=CURSOS!$D$24,"IGUALDAD DE GENERO EN LA SALUD",IF(N281=CURSOS!$D$25,"BRIGADA DE EMERGENCIA",IF(N281=CURSOS!$D$26,"MANEJO DEL DOLOR Y CUIDADOS PALIATIVOS",IF(N281=CURSOS!$D$27,"TOMA MUESTRAS Y LABORATORIO POCT",IF(N281=CURSOS!$D$28,"IMPLANTE SUBDERMICO Y DISPOSITIVO INTRAUTERINO",IF(N281=CURSOS!$D$29,"SALUD MENTAL",IF(N281=CURSOS!$D$30,"PRIMEROS AUXILIOS PSICOLOGICOS",IF(N281=CURSOS!$D$31,"ATENCION A VICTIMAS POR CONFLICTO ARMADO",IF(N281=CURSOS!$D$32,"MANIPULACION DE ALIMENTOS Y BPM"))))))))))))))))))))))))))))))</f>
        <v>0</v>
      </c>
      <c r="U281" s="30" t="str">
        <f t="shared" si="36"/>
        <v xml:space="preserve">   </v>
      </c>
      <c r="V281" s="30" t="str">
        <f t="shared" si="37"/>
        <v xml:space="preserve">   </v>
      </c>
      <c r="W281" s="30" t="str">
        <f t="shared" si="38"/>
        <v xml:space="preserve">   --</v>
      </c>
    </row>
    <row r="282" spans="1:23" s="40" customFormat="1" x14ac:dyDescent="0.2">
      <c r="A282" s="31">
        <v>282</v>
      </c>
      <c r="G282" s="38"/>
      <c r="H282" s="38"/>
      <c r="I282" s="39"/>
      <c r="J282" s="59"/>
      <c r="K282" s="38"/>
      <c r="L282" s="38"/>
      <c r="M282" s="38"/>
      <c r="N282" s="37"/>
      <c r="O282" s="51"/>
      <c r="T282" s="30" t="b">
        <f>IF(N282=CURSOS!$D$3,"DIPLOMADO EN ATENCION PRE-HOSPITALARIA",IF(N282=CURSOS!$D$4,"ACOMPAÑAMIENTO Y MANEJO DEL DUELO",IF(N282=CURSOS!$D$5,"ATENCION A VICTIMAS DE ATAQUE CON AGENTES QUIMICOS ",IF(N282=CURSOS!$D$6,"PRIMEROS AUXILIOS ",IF(N282=CURSOS!$D$7,"DIPLOMADO DE UNIDAD DE CUIDADOS INTENSIVOS (UCI)",IF(N282=CURSOS!$D$8,"MODELO DE ATENCION PARA EVENTOS EMERGENTES EN SALUD MENTAL (CODIGO VERDE)",IF(N282=CURSOS!$D$9,"HUMANIZACION EN SALUD, BUENAS PRACTICAS EN PACIENTE ",IF(N282=CURSOS!$D$10,"CLINICA DE HERIDAS ",IF(N282=CURSOS!$D$11,"TOMA DE CITOLOGIA A CERVICO VAGINAL ",IF(N282=CURSOS!$D$12,"SOPORTE CARDIOVASCULAR AVANZADO ",IF(N282=CURSOS!$D$13,"CAMILLERO ",IF(N282=CURSOS!$D$14,"TOMA MUESTRAS Y LABORATORIO ",IF(N282=CURSOS!$D$15,"SOPORTE VITAL BASICO (BLS)",IF(N282=CURSOS!$D$16,"ATENCION A VICTIMAS DE VIOLENCIA SEXUAL ",IF(N282=CURSOS!$D$17,"PROGRAMADO AMPLIADO DE INMUNIZACION (PAI - COVID 19)",IF(N282=CURSOS!$D$18,"ATENCION INTEGRAL EN ENFERMEDADES PREVALENTES EN PRIMERA INFANCIA (AIEPI)",IF(N282=CURSOS!$D$19,"ADMINISTRACION DE MEDICAMENTOS, IYECTOLOGIA  Y CANALIZACION ",IF(N282=CURSOS!$D$20,"OPERADOR DE VEHICULOS DE EMERGENCIA (OVE)",IF(N282=CURSOS!$D$21,"INSTITUCIONES AMIGAS DE LA MUJER Y LA INFANCIA (IAMI)",IF(N282=CURSOS!$D$22,"CUIDADO DEL DONANTE DE ORGANOS",IF(N282=CURSOS!$D$23,"ATENCION A VICTIMAS POR VIOLENCIA DE GENERO",IF(N282=CURSOS!$D$24,"IGUALDAD DE GENERO EN LA SALUD",IF(N282=CURSOS!$D$25,"BRIGADA DE EMERGENCIA",IF(N282=CURSOS!$D$26,"MANEJO DEL DOLOR Y CUIDADOS PALIATIVOS",IF(N282=CURSOS!$D$27,"TOMA MUESTRAS Y LABORATORIO POCT",IF(N282=CURSOS!$D$28,"IMPLANTE SUBDERMICO Y DISPOSITIVO INTRAUTERINO",IF(N282=CURSOS!$D$29,"SALUD MENTAL",IF(N282=CURSOS!$D$30,"PRIMEROS AUXILIOS PSICOLOGICOS",IF(N282=CURSOS!$D$31,"ATENCION A VICTIMAS POR CONFLICTO ARMADO",IF(N282=CURSOS!$D$32,"MANIPULACION DE ALIMENTOS Y BPM"))))))))))))))))))))))))))))))</f>
        <v>0</v>
      </c>
      <c r="U282" s="30" t="str">
        <f t="shared" si="36"/>
        <v xml:space="preserve">   </v>
      </c>
      <c r="V282" s="30" t="str">
        <f t="shared" si="37"/>
        <v xml:space="preserve">   </v>
      </c>
      <c r="W282" s="30" t="str">
        <f t="shared" si="38"/>
        <v xml:space="preserve">   --</v>
      </c>
    </row>
    <row r="283" spans="1:23" s="40" customFormat="1" x14ac:dyDescent="0.2">
      <c r="A283" s="31">
        <v>283</v>
      </c>
      <c r="G283" s="38"/>
      <c r="H283" s="38"/>
      <c r="I283" s="39"/>
      <c r="J283" s="59"/>
      <c r="K283" s="38"/>
      <c r="L283" s="38"/>
      <c r="M283" s="38"/>
      <c r="N283" s="37"/>
      <c r="O283" s="51"/>
      <c r="T283" s="30" t="b">
        <f>IF(N283=CURSOS!$D$3,"DIPLOMADO EN ATENCION PRE-HOSPITALARIA",IF(N283=CURSOS!$D$4,"ACOMPAÑAMIENTO Y MANEJO DEL DUELO",IF(N283=CURSOS!$D$5,"ATENCION A VICTIMAS DE ATAQUE CON AGENTES QUIMICOS ",IF(N283=CURSOS!$D$6,"PRIMEROS AUXILIOS ",IF(N283=CURSOS!$D$7,"DIPLOMADO DE UNIDAD DE CUIDADOS INTENSIVOS (UCI)",IF(N283=CURSOS!$D$8,"MODELO DE ATENCION PARA EVENTOS EMERGENTES EN SALUD MENTAL (CODIGO VERDE)",IF(N283=CURSOS!$D$9,"HUMANIZACION EN SALUD, BUENAS PRACTICAS EN PACIENTE ",IF(N283=CURSOS!$D$10,"CLINICA DE HERIDAS ",IF(N283=CURSOS!$D$11,"TOMA DE CITOLOGIA A CERVICO VAGINAL ",IF(N283=CURSOS!$D$12,"SOPORTE CARDIOVASCULAR AVANZADO ",IF(N283=CURSOS!$D$13,"CAMILLERO ",IF(N283=CURSOS!$D$14,"TOMA MUESTRAS Y LABORATORIO ",IF(N283=CURSOS!$D$15,"SOPORTE VITAL BASICO (BLS)",IF(N283=CURSOS!$D$16,"ATENCION A VICTIMAS DE VIOLENCIA SEXUAL ",IF(N283=CURSOS!$D$17,"PROGRAMADO AMPLIADO DE INMUNIZACION (PAI - COVID 19)",IF(N283=CURSOS!$D$18,"ATENCION INTEGRAL EN ENFERMEDADES PREVALENTES EN PRIMERA INFANCIA (AIEPI)",IF(N283=CURSOS!$D$19,"ADMINISTRACION DE MEDICAMENTOS, IYECTOLOGIA  Y CANALIZACION ",IF(N283=CURSOS!$D$20,"OPERADOR DE VEHICULOS DE EMERGENCIA (OVE)",IF(N283=CURSOS!$D$21,"INSTITUCIONES AMIGAS DE LA MUJER Y LA INFANCIA (IAMI)",IF(N283=CURSOS!$D$22,"CUIDADO DEL DONANTE DE ORGANOS",IF(N283=CURSOS!$D$23,"ATENCION A VICTIMAS POR VIOLENCIA DE GENERO",IF(N283=CURSOS!$D$24,"IGUALDAD DE GENERO EN LA SALUD",IF(N283=CURSOS!$D$25,"BRIGADA DE EMERGENCIA",IF(N283=CURSOS!$D$26,"MANEJO DEL DOLOR Y CUIDADOS PALIATIVOS",IF(N283=CURSOS!$D$27,"TOMA MUESTRAS Y LABORATORIO POCT",IF(N283=CURSOS!$D$28,"IMPLANTE SUBDERMICO Y DISPOSITIVO INTRAUTERINO",IF(N283=CURSOS!$D$29,"SALUD MENTAL",IF(N283=CURSOS!$D$30,"PRIMEROS AUXILIOS PSICOLOGICOS",IF(N283=CURSOS!$D$31,"ATENCION A VICTIMAS POR CONFLICTO ARMADO",IF(N283=CURSOS!$D$32,"MANIPULACION DE ALIMENTOS Y BPM"))))))))))))))))))))))))))))))</f>
        <v>0</v>
      </c>
      <c r="U283" s="30" t="str">
        <f t="shared" si="36"/>
        <v xml:space="preserve">   </v>
      </c>
      <c r="V283" s="30" t="str">
        <f t="shared" si="37"/>
        <v xml:space="preserve">   </v>
      </c>
      <c r="W283" s="30" t="str">
        <f t="shared" si="38"/>
        <v xml:space="preserve">   --</v>
      </c>
    </row>
    <row r="284" spans="1:23" s="40" customFormat="1" x14ac:dyDescent="0.2">
      <c r="A284" s="31">
        <v>284</v>
      </c>
      <c r="G284" s="38"/>
      <c r="H284" s="38"/>
      <c r="I284" s="39"/>
      <c r="J284" s="59"/>
      <c r="K284" s="38"/>
      <c r="L284" s="38"/>
      <c r="M284" s="38"/>
      <c r="N284" s="37"/>
      <c r="O284" s="51"/>
      <c r="T284" s="30" t="b">
        <f>IF(N284=CURSOS!$D$3,"DIPLOMADO EN ATENCION PRE-HOSPITALARIA",IF(N284=CURSOS!$D$4,"ACOMPAÑAMIENTO Y MANEJO DEL DUELO",IF(N284=CURSOS!$D$5,"ATENCION A VICTIMAS DE ATAQUE CON AGENTES QUIMICOS ",IF(N284=CURSOS!$D$6,"PRIMEROS AUXILIOS ",IF(N284=CURSOS!$D$7,"DIPLOMADO DE UNIDAD DE CUIDADOS INTENSIVOS (UCI)",IF(N284=CURSOS!$D$8,"MODELO DE ATENCION PARA EVENTOS EMERGENTES EN SALUD MENTAL (CODIGO VERDE)",IF(N284=CURSOS!$D$9,"HUMANIZACION EN SALUD, BUENAS PRACTICAS EN PACIENTE ",IF(N284=CURSOS!$D$10,"CLINICA DE HERIDAS ",IF(N284=CURSOS!$D$11,"TOMA DE CITOLOGIA A CERVICO VAGINAL ",IF(N284=CURSOS!$D$12,"SOPORTE CARDIOVASCULAR AVANZADO ",IF(N284=CURSOS!$D$13,"CAMILLERO ",IF(N284=CURSOS!$D$14,"TOMA MUESTRAS Y LABORATORIO ",IF(N284=CURSOS!$D$15,"SOPORTE VITAL BASICO (BLS)",IF(N284=CURSOS!$D$16,"ATENCION A VICTIMAS DE VIOLENCIA SEXUAL ",IF(N284=CURSOS!$D$17,"PROGRAMADO AMPLIADO DE INMUNIZACION (PAI - COVID 19)",IF(N284=CURSOS!$D$18,"ATENCION INTEGRAL EN ENFERMEDADES PREVALENTES EN PRIMERA INFANCIA (AIEPI)",IF(N284=CURSOS!$D$19,"ADMINISTRACION DE MEDICAMENTOS, IYECTOLOGIA  Y CANALIZACION ",IF(N284=CURSOS!$D$20,"OPERADOR DE VEHICULOS DE EMERGENCIA (OVE)",IF(N284=CURSOS!$D$21,"INSTITUCIONES AMIGAS DE LA MUJER Y LA INFANCIA (IAMI)",IF(N284=CURSOS!$D$22,"CUIDADO DEL DONANTE DE ORGANOS",IF(N284=CURSOS!$D$23,"ATENCION A VICTIMAS POR VIOLENCIA DE GENERO",IF(N284=CURSOS!$D$24,"IGUALDAD DE GENERO EN LA SALUD",IF(N284=CURSOS!$D$25,"BRIGADA DE EMERGENCIA",IF(N284=CURSOS!$D$26,"MANEJO DEL DOLOR Y CUIDADOS PALIATIVOS",IF(N284=CURSOS!$D$27,"TOMA MUESTRAS Y LABORATORIO POCT",IF(N284=CURSOS!$D$28,"IMPLANTE SUBDERMICO Y DISPOSITIVO INTRAUTERINO",IF(N284=CURSOS!$D$29,"SALUD MENTAL",IF(N284=CURSOS!$D$30,"PRIMEROS AUXILIOS PSICOLOGICOS",IF(N284=CURSOS!$D$31,"ATENCION A VICTIMAS POR CONFLICTO ARMADO",IF(N284=CURSOS!$D$32,"MANIPULACION DE ALIMENTOS Y BPM"))))))))))))))))))))))))))))))</f>
        <v>0</v>
      </c>
      <c r="U284" s="30" t="str">
        <f t="shared" si="36"/>
        <v xml:space="preserve">   </v>
      </c>
      <c r="V284" s="30" t="str">
        <f t="shared" si="37"/>
        <v xml:space="preserve">   </v>
      </c>
      <c r="W284" s="30" t="str">
        <f t="shared" si="38"/>
        <v xml:space="preserve">   --</v>
      </c>
    </row>
    <row r="285" spans="1:23" s="40" customFormat="1" x14ac:dyDescent="0.2">
      <c r="A285" s="31">
        <v>285</v>
      </c>
      <c r="G285" s="38"/>
      <c r="H285" s="38"/>
      <c r="I285" s="39"/>
      <c r="J285" s="59"/>
      <c r="K285" s="38"/>
      <c r="L285" s="38"/>
      <c r="M285" s="38"/>
      <c r="N285" s="37"/>
      <c r="O285" s="51"/>
      <c r="T285" s="30" t="b">
        <f>IF(N285=CURSOS!$D$3,"DIPLOMADO EN ATENCION PRE-HOSPITALARIA",IF(N285=CURSOS!$D$4,"ACOMPAÑAMIENTO Y MANEJO DEL DUELO",IF(N285=CURSOS!$D$5,"ATENCION A VICTIMAS DE ATAQUE CON AGENTES QUIMICOS ",IF(N285=CURSOS!$D$6,"PRIMEROS AUXILIOS ",IF(N285=CURSOS!$D$7,"DIPLOMADO DE UNIDAD DE CUIDADOS INTENSIVOS (UCI)",IF(N285=CURSOS!$D$8,"MODELO DE ATENCION PARA EVENTOS EMERGENTES EN SALUD MENTAL (CODIGO VERDE)",IF(N285=CURSOS!$D$9,"HUMANIZACION EN SALUD, BUENAS PRACTICAS EN PACIENTE ",IF(N285=CURSOS!$D$10,"CLINICA DE HERIDAS ",IF(N285=CURSOS!$D$11,"TOMA DE CITOLOGIA A CERVICO VAGINAL ",IF(N285=CURSOS!$D$12,"SOPORTE CARDIOVASCULAR AVANZADO ",IF(N285=CURSOS!$D$13,"CAMILLERO ",IF(N285=CURSOS!$D$14,"TOMA MUESTRAS Y LABORATORIO ",IF(N285=CURSOS!$D$15,"SOPORTE VITAL BASICO (BLS)",IF(N285=CURSOS!$D$16,"ATENCION A VICTIMAS DE VIOLENCIA SEXUAL ",IF(N285=CURSOS!$D$17,"PROGRAMADO AMPLIADO DE INMUNIZACION (PAI - COVID 19)",IF(N285=CURSOS!$D$18,"ATENCION INTEGRAL EN ENFERMEDADES PREVALENTES EN PRIMERA INFANCIA (AIEPI)",IF(N285=CURSOS!$D$19,"ADMINISTRACION DE MEDICAMENTOS, IYECTOLOGIA  Y CANALIZACION ",IF(N285=CURSOS!$D$20,"OPERADOR DE VEHICULOS DE EMERGENCIA (OVE)",IF(N285=CURSOS!$D$21,"INSTITUCIONES AMIGAS DE LA MUJER Y LA INFANCIA (IAMI)",IF(N285=CURSOS!$D$22,"CUIDADO DEL DONANTE DE ORGANOS",IF(N285=CURSOS!$D$23,"ATENCION A VICTIMAS POR VIOLENCIA DE GENERO",IF(N285=CURSOS!$D$24,"IGUALDAD DE GENERO EN LA SALUD",IF(N285=CURSOS!$D$25,"BRIGADA DE EMERGENCIA",IF(N285=CURSOS!$D$26,"MANEJO DEL DOLOR Y CUIDADOS PALIATIVOS",IF(N285=CURSOS!$D$27,"TOMA MUESTRAS Y LABORATORIO POCT",IF(N285=CURSOS!$D$28,"IMPLANTE SUBDERMICO Y DISPOSITIVO INTRAUTERINO",IF(N285=CURSOS!$D$29,"SALUD MENTAL",IF(N285=CURSOS!$D$30,"PRIMEROS AUXILIOS PSICOLOGICOS",IF(N285=CURSOS!$D$31,"ATENCION A VICTIMAS POR CONFLICTO ARMADO",IF(N285=CURSOS!$D$32,"MANIPULACION DE ALIMENTOS Y BPM"))))))))))))))))))))))))))))))</f>
        <v>0</v>
      </c>
      <c r="U285" s="30" t="str">
        <f t="shared" si="36"/>
        <v xml:space="preserve">   </v>
      </c>
      <c r="V285" s="30" t="str">
        <f t="shared" si="37"/>
        <v xml:space="preserve">   </v>
      </c>
      <c r="W285" s="30" t="str">
        <f t="shared" si="38"/>
        <v xml:space="preserve">   --</v>
      </c>
    </row>
    <row r="286" spans="1:23" s="40" customFormat="1" x14ac:dyDescent="0.2">
      <c r="A286" s="31">
        <v>286</v>
      </c>
      <c r="G286" s="38"/>
      <c r="H286" s="38"/>
      <c r="I286" s="39"/>
      <c r="J286" s="59"/>
      <c r="K286" s="38"/>
      <c r="L286" s="38"/>
      <c r="M286" s="38"/>
      <c r="N286" s="37"/>
      <c r="O286" s="51"/>
      <c r="T286" s="30" t="b">
        <f>IF(N286=CURSOS!$D$3,"DIPLOMADO EN ATENCION PRE-HOSPITALARIA",IF(N286=CURSOS!$D$4,"ACOMPAÑAMIENTO Y MANEJO DEL DUELO",IF(N286=CURSOS!$D$5,"ATENCION A VICTIMAS DE ATAQUE CON AGENTES QUIMICOS ",IF(N286=CURSOS!$D$6,"PRIMEROS AUXILIOS ",IF(N286=CURSOS!$D$7,"DIPLOMADO DE UNIDAD DE CUIDADOS INTENSIVOS (UCI)",IF(N286=CURSOS!$D$8,"MODELO DE ATENCION PARA EVENTOS EMERGENTES EN SALUD MENTAL (CODIGO VERDE)",IF(N286=CURSOS!$D$9,"HUMANIZACION EN SALUD, BUENAS PRACTICAS EN PACIENTE ",IF(N286=CURSOS!$D$10,"CLINICA DE HERIDAS ",IF(N286=CURSOS!$D$11,"TOMA DE CITOLOGIA A CERVICO VAGINAL ",IF(N286=CURSOS!$D$12,"SOPORTE CARDIOVASCULAR AVANZADO ",IF(N286=CURSOS!$D$13,"CAMILLERO ",IF(N286=CURSOS!$D$14,"TOMA MUESTRAS Y LABORATORIO ",IF(N286=CURSOS!$D$15,"SOPORTE VITAL BASICO (BLS)",IF(N286=CURSOS!$D$16,"ATENCION A VICTIMAS DE VIOLENCIA SEXUAL ",IF(N286=CURSOS!$D$17,"PROGRAMADO AMPLIADO DE INMUNIZACION (PAI - COVID 19)",IF(N286=CURSOS!$D$18,"ATENCION INTEGRAL EN ENFERMEDADES PREVALENTES EN PRIMERA INFANCIA (AIEPI)",IF(N286=CURSOS!$D$19,"ADMINISTRACION DE MEDICAMENTOS, IYECTOLOGIA  Y CANALIZACION ",IF(N286=CURSOS!$D$20,"OPERADOR DE VEHICULOS DE EMERGENCIA (OVE)",IF(N286=CURSOS!$D$21,"INSTITUCIONES AMIGAS DE LA MUJER Y LA INFANCIA (IAMI)",IF(N286=CURSOS!$D$22,"CUIDADO DEL DONANTE DE ORGANOS",IF(N286=CURSOS!$D$23,"ATENCION A VICTIMAS POR VIOLENCIA DE GENERO",IF(N286=CURSOS!$D$24,"IGUALDAD DE GENERO EN LA SALUD",IF(N286=CURSOS!$D$25,"BRIGADA DE EMERGENCIA",IF(N286=CURSOS!$D$26,"MANEJO DEL DOLOR Y CUIDADOS PALIATIVOS",IF(N286=CURSOS!$D$27,"TOMA MUESTRAS Y LABORATORIO POCT",IF(N286=CURSOS!$D$28,"IMPLANTE SUBDERMICO Y DISPOSITIVO INTRAUTERINO",IF(N286=CURSOS!$D$29,"SALUD MENTAL",IF(N286=CURSOS!$D$30,"PRIMEROS AUXILIOS PSICOLOGICOS",IF(N286=CURSOS!$D$31,"ATENCION A VICTIMAS POR CONFLICTO ARMADO",IF(N286=CURSOS!$D$32,"MANIPULACION DE ALIMENTOS Y BPM"))))))))))))))))))))))))))))))</f>
        <v>0</v>
      </c>
      <c r="U286" s="30" t="str">
        <f t="shared" si="36"/>
        <v xml:space="preserve">   </v>
      </c>
      <c r="V286" s="30" t="str">
        <f t="shared" si="37"/>
        <v xml:space="preserve">   </v>
      </c>
      <c r="W286" s="30" t="str">
        <f t="shared" si="38"/>
        <v xml:space="preserve">   --</v>
      </c>
    </row>
    <row r="287" spans="1:23" s="40" customFormat="1" x14ac:dyDescent="0.2">
      <c r="A287" s="31">
        <v>287</v>
      </c>
      <c r="G287" s="38"/>
      <c r="H287" s="38"/>
      <c r="I287" s="39"/>
      <c r="J287" s="59"/>
      <c r="K287" s="38"/>
      <c r="L287" s="38"/>
      <c r="M287" s="38"/>
      <c r="N287" s="37"/>
      <c r="O287" s="51"/>
      <c r="T287" s="30" t="b">
        <f>IF(N287=CURSOS!$D$3,"DIPLOMADO EN ATENCION PRE-HOSPITALARIA",IF(N287=CURSOS!$D$4,"ACOMPAÑAMIENTO Y MANEJO DEL DUELO",IF(N287=CURSOS!$D$5,"ATENCION A VICTIMAS DE ATAQUE CON AGENTES QUIMICOS ",IF(N287=CURSOS!$D$6,"PRIMEROS AUXILIOS ",IF(N287=CURSOS!$D$7,"DIPLOMADO DE UNIDAD DE CUIDADOS INTENSIVOS (UCI)",IF(N287=CURSOS!$D$8,"MODELO DE ATENCION PARA EVENTOS EMERGENTES EN SALUD MENTAL (CODIGO VERDE)",IF(N287=CURSOS!$D$9,"HUMANIZACION EN SALUD, BUENAS PRACTICAS EN PACIENTE ",IF(N287=CURSOS!$D$10,"CLINICA DE HERIDAS ",IF(N287=CURSOS!$D$11,"TOMA DE CITOLOGIA A CERVICO VAGINAL ",IF(N287=CURSOS!$D$12,"SOPORTE CARDIOVASCULAR AVANZADO ",IF(N287=CURSOS!$D$13,"CAMILLERO ",IF(N287=CURSOS!$D$14,"TOMA MUESTRAS Y LABORATORIO ",IF(N287=CURSOS!$D$15,"SOPORTE VITAL BASICO (BLS)",IF(N287=CURSOS!$D$16,"ATENCION A VICTIMAS DE VIOLENCIA SEXUAL ",IF(N287=CURSOS!$D$17,"PROGRAMADO AMPLIADO DE INMUNIZACION (PAI - COVID 19)",IF(N287=CURSOS!$D$18,"ATENCION INTEGRAL EN ENFERMEDADES PREVALENTES EN PRIMERA INFANCIA (AIEPI)",IF(N287=CURSOS!$D$19,"ADMINISTRACION DE MEDICAMENTOS, IYECTOLOGIA  Y CANALIZACION ",IF(N287=CURSOS!$D$20,"OPERADOR DE VEHICULOS DE EMERGENCIA (OVE)",IF(N287=CURSOS!$D$21,"INSTITUCIONES AMIGAS DE LA MUJER Y LA INFANCIA (IAMI)",IF(N287=CURSOS!$D$22,"CUIDADO DEL DONANTE DE ORGANOS",IF(N287=CURSOS!$D$23,"ATENCION A VICTIMAS POR VIOLENCIA DE GENERO",IF(N287=CURSOS!$D$24,"IGUALDAD DE GENERO EN LA SALUD",IF(N287=CURSOS!$D$25,"BRIGADA DE EMERGENCIA",IF(N287=CURSOS!$D$26,"MANEJO DEL DOLOR Y CUIDADOS PALIATIVOS",IF(N287=CURSOS!$D$27,"TOMA MUESTRAS Y LABORATORIO POCT",IF(N287=CURSOS!$D$28,"IMPLANTE SUBDERMICO Y DISPOSITIVO INTRAUTERINO",IF(N287=CURSOS!$D$29,"SALUD MENTAL",IF(N287=CURSOS!$D$30,"PRIMEROS AUXILIOS PSICOLOGICOS",IF(N287=CURSOS!$D$31,"ATENCION A VICTIMAS POR CONFLICTO ARMADO",IF(N287=CURSOS!$D$32,"MANIPULACION DE ALIMENTOS Y BPM"))))))))))))))))))))))))))))))</f>
        <v>0</v>
      </c>
      <c r="U287" s="30" t="str">
        <f t="shared" si="36"/>
        <v xml:space="preserve">   </v>
      </c>
      <c r="V287" s="30" t="str">
        <f t="shared" si="37"/>
        <v xml:space="preserve">   </v>
      </c>
      <c r="W287" s="30" t="str">
        <f t="shared" si="38"/>
        <v xml:space="preserve">   --</v>
      </c>
    </row>
    <row r="288" spans="1:23" s="40" customFormat="1" x14ac:dyDescent="0.2">
      <c r="A288" s="31">
        <v>288</v>
      </c>
      <c r="G288" s="38"/>
      <c r="H288" s="38"/>
      <c r="I288" s="39"/>
      <c r="J288" s="59"/>
      <c r="K288" s="38"/>
      <c r="L288" s="38"/>
      <c r="M288" s="38"/>
      <c r="N288" s="37"/>
      <c r="O288" s="51"/>
      <c r="T288" s="30" t="b">
        <f>IF(N288=CURSOS!$D$3,"DIPLOMADO EN ATENCION PRE-HOSPITALARIA",IF(N288=CURSOS!$D$4,"ACOMPAÑAMIENTO Y MANEJO DEL DUELO",IF(N288=CURSOS!$D$5,"ATENCION A VICTIMAS DE ATAQUE CON AGENTES QUIMICOS ",IF(N288=CURSOS!$D$6,"PRIMEROS AUXILIOS ",IF(N288=CURSOS!$D$7,"DIPLOMADO DE UNIDAD DE CUIDADOS INTENSIVOS (UCI)",IF(N288=CURSOS!$D$8,"MODELO DE ATENCION PARA EVENTOS EMERGENTES EN SALUD MENTAL (CODIGO VERDE)",IF(N288=CURSOS!$D$9,"HUMANIZACION EN SALUD, BUENAS PRACTICAS EN PACIENTE ",IF(N288=CURSOS!$D$10,"CLINICA DE HERIDAS ",IF(N288=CURSOS!$D$11,"TOMA DE CITOLOGIA A CERVICO VAGINAL ",IF(N288=CURSOS!$D$12,"SOPORTE CARDIOVASCULAR AVANZADO ",IF(N288=CURSOS!$D$13,"CAMILLERO ",IF(N288=CURSOS!$D$14,"TOMA MUESTRAS Y LABORATORIO ",IF(N288=CURSOS!$D$15,"SOPORTE VITAL BASICO (BLS)",IF(N288=CURSOS!$D$16,"ATENCION A VICTIMAS DE VIOLENCIA SEXUAL ",IF(N288=CURSOS!$D$17,"PROGRAMADO AMPLIADO DE INMUNIZACION (PAI - COVID 19)",IF(N288=CURSOS!$D$18,"ATENCION INTEGRAL EN ENFERMEDADES PREVALENTES EN PRIMERA INFANCIA (AIEPI)",IF(N288=CURSOS!$D$19,"ADMINISTRACION DE MEDICAMENTOS, IYECTOLOGIA  Y CANALIZACION ",IF(N288=CURSOS!$D$20,"OPERADOR DE VEHICULOS DE EMERGENCIA (OVE)",IF(N288=CURSOS!$D$21,"INSTITUCIONES AMIGAS DE LA MUJER Y LA INFANCIA (IAMI)",IF(N288=CURSOS!$D$22,"CUIDADO DEL DONANTE DE ORGANOS",IF(N288=CURSOS!$D$23,"ATENCION A VICTIMAS POR VIOLENCIA DE GENERO",IF(N288=CURSOS!$D$24,"IGUALDAD DE GENERO EN LA SALUD",IF(N288=CURSOS!$D$25,"BRIGADA DE EMERGENCIA",IF(N288=CURSOS!$D$26,"MANEJO DEL DOLOR Y CUIDADOS PALIATIVOS",IF(N288=CURSOS!$D$27,"TOMA MUESTRAS Y LABORATORIO POCT",IF(N288=CURSOS!$D$28,"IMPLANTE SUBDERMICO Y DISPOSITIVO INTRAUTERINO",IF(N288=CURSOS!$D$29,"SALUD MENTAL",IF(N288=CURSOS!$D$30,"PRIMEROS AUXILIOS PSICOLOGICOS",IF(N288=CURSOS!$D$31,"ATENCION A VICTIMAS POR CONFLICTO ARMADO",IF(N288=CURSOS!$D$32,"MANIPULACION DE ALIMENTOS Y BPM"))))))))))))))))))))))))))))))</f>
        <v>0</v>
      </c>
      <c r="U288" s="30" t="str">
        <f t="shared" si="36"/>
        <v xml:space="preserve">   </v>
      </c>
      <c r="V288" s="30" t="str">
        <f t="shared" si="37"/>
        <v xml:space="preserve">   </v>
      </c>
      <c r="W288" s="30" t="str">
        <f t="shared" si="38"/>
        <v xml:space="preserve">   --</v>
      </c>
    </row>
    <row r="289" spans="1:23" s="40" customFormat="1" x14ac:dyDescent="0.2">
      <c r="A289" s="31">
        <v>289</v>
      </c>
      <c r="G289" s="38"/>
      <c r="H289" s="38"/>
      <c r="I289" s="39"/>
      <c r="J289" s="59"/>
      <c r="K289" s="38"/>
      <c r="L289" s="38"/>
      <c r="M289" s="38"/>
      <c r="N289" s="37"/>
      <c r="O289" s="51"/>
      <c r="T289" s="30" t="b">
        <f>IF(N289=CURSOS!$D$3,"DIPLOMADO EN ATENCION PRE-HOSPITALARIA",IF(N289=CURSOS!$D$4,"ACOMPAÑAMIENTO Y MANEJO DEL DUELO",IF(N289=CURSOS!$D$5,"ATENCION A VICTIMAS DE ATAQUE CON AGENTES QUIMICOS ",IF(N289=CURSOS!$D$6,"PRIMEROS AUXILIOS ",IF(N289=CURSOS!$D$7,"DIPLOMADO DE UNIDAD DE CUIDADOS INTENSIVOS (UCI)",IF(N289=CURSOS!$D$8,"MODELO DE ATENCION PARA EVENTOS EMERGENTES EN SALUD MENTAL (CODIGO VERDE)",IF(N289=CURSOS!$D$9,"HUMANIZACION EN SALUD, BUENAS PRACTICAS EN PACIENTE ",IF(N289=CURSOS!$D$10,"CLINICA DE HERIDAS ",IF(N289=CURSOS!$D$11,"TOMA DE CITOLOGIA A CERVICO VAGINAL ",IF(N289=CURSOS!$D$12,"SOPORTE CARDIOVASCULAR AVANZADO ",IF(N289=CURSOS!$D$13,"CAMILLERO ",IF(N289=CURSOS!$D$14,"TOMA MUESTRAS Y LABORATORIO ",IF(N289=CURSOS!$D$15,"SOPORTE VITAL BASICO (BLS)",IF(N289=CURSOS!$D$16,"ATENCION A VICTIMAS DE VIOLENCIA SEXUAL ",IF(N289=CURSOS!$D$17,"PROGRAMADO AMPLIADO DE INMUNIZACION (PAI - COVID 19)",IF(N289=CURSOS!$D$18,"ATENCION INTEGRAL EN ENFERMEDADES PREVALENTES EN PRIMERA INFANCIA (AIEPI)",IF(N289=CURSOS!$D$19,"ADMINISTRACION DE MEDICAMENTOS, IYECTOLOGIA  Y CANALIZACION ",IF(N289=CURSOS!$D$20,"OPERADOR DE VEHICULOS DE EMERGENCIA (OVE)",IF(N289=CURSOS!$D$21,"INSTITUCIONES AMIGAS DE LA MUJER Y LA INFANCIA (IAMI)",IF(N289=CURSOS!$D$22,"CUIDADO DEL DONANTE DE ORGANOS",IF(N289=CURSOS!$D$23,"ATENCION A VICTIMAS POR VIOLENCIA DE GENERO",IF(N289=CURSOS!$D$24,"IGUALDAD DE GENERO EN LA SALUD",IF(N289=CURSOS!$D$25,"BRIGADA DE EMERGENCIA",IF(N289=CURSOS!$D$26,"MANEJO DEL DOLOR Y CUIDADOS PALIATIVOS",IF(N289=CURSOS!$D$27,"TOMA MUESTRAS Y LABORATORIO POCT",IF(N289=CURSOS!$D$28,"IMPLANTE SUBDERMICO Y DISPOSITIVO INTRAUTERINO",IF(N289=CURSOS!$D$29,"SALUD MENTAL",IF(N289=CURSOS!$D$30,"PRIMEROS AUXILIOS PSICOLOGICOS",IF(N289=CURSOS!$D$31,"ATENCION A VICTIMAS POR CONFLICTO ARMADO",IF(N289=CURSOS!$D$32,"MANIPULACION DE ALIMENTOS Y BPM"))))))))))))))))))))))))))))))</f>
        <v>0</v>
      </c>
      <c r="U289" s="30" t="str">
        <f t="shared" si="36"/>
        <v xml:space="preserve">   </v>
      </c>
      <c r="V289" s="30" t="str">
        <f t="shared" si="37"/>
        <v xml:space="preserve">   </v>
      </c>
      <c r="W289" s="30" t="str">
        <f t="shared" si="38"/>
        <v xml:space="preserve">   --</v>
      </c>
    </row>
    <row r="290" spans="1:23" s="40" customFormat="1" x14ac:dyDescent="0.2">
      <c r="A290" s="31">
        <v>290</v>
      </c>
      <c r="G290" s="38"/>
      <c r="H290" s="38"/>
      <c r="I290" s="39"/>
      <c r="J290" s="59"/>
      <c r="K290" s="38"/>
      <c r="L290" s="38"/>
      <c r="M290" s="38"/>
      <c r="N290" s="37"/>
      <c r="O290" s="51"/>
      <c r="T290" s="30" t="b">
        <f>IF(N290=CURSOS!$D$3,"DIPLOMADO EN ATENCION PRE-HOSPITALARIA",IF(N290=CURSOS!$D$4,"ACOMPAÑAMIENTO Y MANEJO DEL DUELO",IF(N290=CURSOS!$D$5,"ATENCION A VICTIMAS DE ATAQUE CON AGENTES QUIMICOS ",IF(N290=CURSOS!$D$6,"PRIMEROS AUXILIOS ",IF(N290=CURSOS!$D$7,"DIPLOMADO DE UNIDAD DE CUIDADOS INTENSIVOS (UCI)",IF(N290=CURSOS!$D$8,"MODELO DE ATENCION PARA EVENTOS EMERGENTES EN SALUD MENTAL (CODIGO VERDE)",IF(N290=CURSOS!$D$9,"HUMANIZACION EN SALUD, BUENAS PRACTICAS EN PACIENTE ",IF(N290=CURSOS!$D$10,"CLINICA DE HERIDAS ",IF(N290=CURSOS!$D$11,"TOMA DE CITOLOGIA A CERVICO VAGINAL ",IF(N290=CURSOS!$D$12,"SOPORTE CARDIOVASCULAR AVANZADO ",IF(N290=CURSOS!$D$13,"CAMILLERO ",IF(N290=CURSOS!$D$14,"TOMA MUESTRAS Y LABORATORIO ",IF(N290=CURSOS!$D$15,"SOPORTE VITAL BASICO (BLS)",IF(N290=CURSOS!$D$16,"ATENCION A VICTIMAS DE VIOLENCIA SEXUAL ",IF(N290=CURSOS!$D$17,"PROGRAMADO AMPLIADO DE INMUNIZACION (PAI - COVID 19)",IF(N290=CURSOS!$D$18,"ATENCION INTEGRAL EN ENFERMEDADES PREVALENTES EN PRIMERA INFANCIA (AIEPI)",IF(N290=CURSOS!$D$19,"ADMINISTRACION DE MEDICAMENTOS, IYECTOLOGIA  Y CANALIZACION ",IF(N290=CURSOS!$D$20,"OPERADOR DE VEHICULOS DE EMERGENCIA (OVE)",IF(N290=CURSOS!$D$21,"INSTITUCIONES AMIGAS DE LA MUJER Y LA INFANCIA (IAMI)",IF(N290=CURSOS!$D$22,"CUIDADO DEL DONANTE DE ORGANOS",IF(N290=CURSOS!$D$23,"ATENCION A VICTIMAS POR VIOLENCIA DE GENERO",IF(N290=CURSOS!$D$24,"IGUALDAD DE GENERO EN LA SALUD",IF(N290=CURSOS!$D$25,"BRIGADA DE EMERGENCIA",IF(N290=CURSOS!$D$26,"MANEJO DEL DOLOR Y CUIDADOS PALIATIVOS",IF(N290=CURSOS!$D$27,"TOMA MUESTRAS Y LABORATORIO POCT",IF(N290=CURSOS!$D$28,"IMPLANTE SUBDERMICO Y DISPOSITIVO INTRAUTERINO",IF(N290=CURSOS!$D$29,"SALUD MENTAL",IF(N290=CURSOS!$D$30,"PRIMEROS AUXILIOS PSICOLOGICOS",IF(N290=CURSOS!$D$31,"ATENCION A VICTIMAS POR CONFLICTO ARMADO",IF(N290=CURSOS!$D$32,"MANIPULACION DE ALIMENTOS Y BPM"))))))))))))))))))))))))))))))</f>
        <v>0</v>
      </c>
      <c r="U290" s="30" t="str">
        <f t="shared" si="36"/>
        <v xml:space="preserve">   </v>
      </c>
      <c r="V290" s="30" t="str">
        <f t="shared" si="37"/>
        <v xml:space="preserve">   </v>
      </c>
      <c r="W290" s="30" t="str">
        <f t="shared" si="38"/>
        <v xml:space="preserve">   --</v>
      </c>
    </row>
    <row r="291" spans="1:23" s="40" customFormat="1" x14ac:dyDescent="0.2">
      <c r="A291" s="31">
        <v>291</v>
      </c>
      <c r="G291" s="38"/>
      <c r="H291" s="38"/>
      <c r="I291" s="39"/>
      <c r="J291" s="59"/>
      <c r="K291" s="38"/>
      <c r="L291" s="38"/>
      <c r="M291" s="38"/>
      <c r="N291" s="37"/>
      <c r="O291" s="51"/>
      <c r="T291" s="30" t="b">
        <f>IF(N291=CURSOS!$D$3,"DIPLOMADO EN ATENCION PRE-HOSPITALARIA",IF(N291=CURSOS!$D$4,"ACOMPAÑAMIENTO Y MANEJO DEL DUELO",IF(N291=CURSOS!$D$5,"ATENCION A VICTIMAS DE ATAQUE CON AGENTES QUIMICOS ",IF(N291=CURSOS!$D$6,"PRIMEROS AUXILIOS ",IF(N291=CURSOS!$D$7,"DIPLOMADO DE UNIDAD DE CUIDADOS INTENSIVOS (UCI)",IF(N291=CURSOS!$D$8,"MODELO DE ATENCION PARA EVENTOS EMERGENTES EN SALUD MENTAL (CODIGO VERDE)",IF(N291=CURSOS!$D$9,"HUMANIZACION EN SALUD, BUENAS PRACTICAS EN PACIENTE ",IF(N291=CURSOS!$D$10,"CLINICA DE HERIDAS ",IF(N291=CURSOS!$D$11,"TOMA DE CITOLOGIA A CERVICO VAGINAL ",IF(N291=CURSOS!$D$12,"SOPORTE CARDIOVASCULAR AVANZADO ",IF(N291=CURSOS!$D$13,"CAMILLERO ",IF(N291=CURSOS!$D$14,"TOMA MUESTRAS Y LABORATORIO ",IF(N291=CURSOS!$D$15,"SOPORTE VITAL BASICO (BLS)",IF(N291=CURSOS!$D$16,"ATENCION A VICTIMAS DE VIOLENCIA SEXUAL ",IF(N291=CURSOS!$D$17,"PROGRAMADO AMPLIADO DE INMUNIZACION (PAI - COVID 19)",IF(N291=CURSOS!$D$18,"ATENCION INTEGRAL EN ENFERMEDADES PREVALENTES EN PRIMERA INFANCIA (AIEPI)",IF(N291=CURSOS!$D$19,"ADMINISTRACION DE MEDICAMENTOS, IYECTOLOGIA  Y CANALIZACION ",IF(N291=CURSOS!$D$20,"OPERADOR DE VEHICULOS DE EMERGENCIA (OVE)",IF(N291=CURSOS!$D$21,"INSTITUCIONES AMIGAS DE LA MUJER Y LA INFANCIA (IAMI)",IF(N291=CURSOS!$D$22,"CUIDADO DEL DONANTE DE ORGANOS",IF(N291=CURSOS!$D$23,"ATENCION A VICTIMAS POR VIOLENCIA DE GENERO",IF(N291=CURSOS!$D$24,"IGUALDAD DE GENERO EN LA SALUD",IF(N291=CURSOS!$D$25,"BRIGADA DE EMERGENCIA",IF(N291=CURSOS!$D$26,"MANEJO DEL DOLOR Y CUIDADOS PALIATIVOS",IF(N291=CURSOS!$D$27,"TOMA MUESTRAS Y LABORATORIO POCT",IF(N291=CURSOS!$D$28,"IMPLANTE SUBDERMICO Y DISPOSITIVO INTRAUTERINO",IF(N291=CURSOS!$D$29,"SALUD MENTAL",IF(N291=CURSOS!$D$30,"PRIMEROS AUXILIOS PSICOLOGICOS",IF(N291=CURSOS!$D$31,"ATENCION A VICTIMAS POR CONFLICTO ARMADO",IF(N291=CURSOS!$D$32,"MANIPULACION DE ALIMENTOS Y BPM"))))))))))))))))))))))))))))))</f>
        <v>0</v>
      </c>
      <c r="U291" s="30" t="str">
        <f t="shared" si="36"/>
        <v xml:space="preserve">   </v>
      </c>
      <c r="V291" s="30" t="str">
        <f t="shared" si="37"/>
        <v xml:space="preserve">   </v>
      </c>
      <c r="W291" s="30" t="str">
        <f t="shared" si="38"/>
        <v xml:space="preserve">   --</v>
      </c>
    </row>
    <row r="292" spans="1:23" s="40" customFormat="1" x14ac:dyDescent="0.2">
      <c r="A292" s="31">
        <v>292</v>
      </c>
      <c r="G292" s="38"/>
      <c r="H292" s="38"/>
      <c r="I292" s="39"/>
      <c r="J292" s="59"/>
      <c r="K292" s="38"/>
      <c r="L292" s="38"/>
      <c r="M292" s="38"/>
      <c r="N292" s="37"/>
      <c r="O292" s="51"/>
      <c r="T292" s="30" t="b">
        <f>IF(N292=CURSOS!$D$3,"DIPLOMADO EN ATENCION PRE-HOSPITALARIA",IF(N292=CURSOS!$D$4,"ACOMPAÑAMIENTO Y MANEJO DEL DUELO",IF(N292=CURSOS!$D$5,"ATENCION A VICTIMAS DE ATAQUE CON AGENTES QUIMICOS ",IF(N292=CURSOS!$D$6,"PRIMEROS AUXILIOS ",IF(N292=CURSOS!$D$7,"DIPLOMADO DE UNIDAD DE CUIDADOS INTENSIVOS (UCI)",IF(N292=CURSOS!$D$8,"MODELO DE ATENCION PARA EVENTOS EMERGENTES EN SALUD MENTAL (CODIGO VERDE)",IF(N292=CURSOS!$D$9,"HUMANIZACION EN SALUD, BUENAS PRACTICAS EN PACIENTE ",IF(N292=CURSOS!$D$10,"CLINICA DE HERIDAS ",IF(N292=CURSOS!$D$11,"TOMA DE CITOLOGIA A CERVICO VAGINAL ",IF(N292=CURSOS!$D$12,"SOPORTE CARDIOVASCULAR AVANZADO ",IF(N292=CURSOS!$D$13,"CAMILLERO ",IF(N292=CURSOS!$D$14,"TOMA MUESTRAS Y LABORATORIO ",IF(N292=CURSOS!$D$15,"SOPORTE VITAL BASICO (BLS)",IF(N292=CURSOS!$D$16,"ATENCION A VICTIMAS DE VIOLENCIA SEXUAL ",IF(N292=CURSOS!$D$17,"PROGRAMADO AMPLIADO DE INMUNIZACION (PAI - COVID 19)",IF(N292=CURSOS!$D$18,"ATENCION INTEGRAL EN ENFERMEDADES PREVALENTES EN PRIMERA INFANCIA (AIEPI)",IF(N292=CURSOS!$D$19,"ADMINISTRACION DE MEDICAMENTOS, IYECTOLOGIA  Y CANALIZACION ",IF(N292=CURSOS!$D$20,"OPERADOR DE VEHICULOS DE EMERGENCIA (OVE)",IF(N292=CURSOS!$D$21,"INSTITUCIONES AMIGAS DE LA MUJER Y LA INFANCIA (IAMI)",IF(N292=CURSOS!$D$22,"CUIDADO DEL DONANTE DE ORGANOS",IF(N292=CURSOS!$D$23,"ATENCION A VICTIMAS POR VIOLENCIA DE GENERO",IF(N292=CURSOS!$D$24,"IGUALDAD DE GENERO EN LA SALUD",IF(N292=CURSOS!$D$25,"BRIGADA DE EMERGENCIA",IF(N292=CURSOS!$D$26,"MANEJO DEL DOLOR Y CUIDADOS PALIATIVOS",IF(N292=CURSOS!$D$27,"TOMA MUESTRAS Y LABORATORIO POCT",IF(N292=CURSOS!$D$28,"IMPLANTE SUBDERMICO Y DISPOSITIVO INTRAUTERINO",IF(N292=CURSOS!$D$29,"SALUD MENTAL",IF(N292=CURSOS!$D$30,"PRIMEROS AUXILIOS PSICOLOGICOS",IF(N292=CURSOS!$D$31,"ATENCION A VICTIMAS POR CONFLICTO ARMADO",IF(N292=CURSOS!$D$32,"MANIPULACION DE ALIMENTOS Y BPM"))))))))))))))))))))))))))))))</f>
        <v>0</v>
      </c>
      <c r="U292" s="30" t="str">
        <f t="shared" si="36"/>
        <v xml:space="preserve">   </v>
      </c>
      <c r="V292" s="30" t="str">
        <f t="shared" si="37"/>
        <v xml:space="preserve">   </v>
      </c>
      <c r="W292" s="30" t="str">
        <f t="shared" si="38"/>
        <v xml:space="preserve">   --</v>
      </c>
    </row>
    <row r="293" spans="1:23" s="40" customFormat="1" x14ac:dyDescent="0.2">
      <c r="A293" s="31">
        <v>293</v>
      </c>
      <c r="G293" s="38"/>
      <c r="H293" s="38"/>
      <c r="I293" s="39"/>
      <c r="J293" s="59"/>
      <c r="K293" s="38"/>
      <c r="L293" s="38"/>
      <c r="M293" s="38"/>
      <c r="N293" s="37"/>
      <c r="O293" s="51"/>
      <c r="T293" s="30" t="b">
        <f>IF(N293=CURSOS!$D$3,"DIPLOMADO EN ATENCION PRE-HOSPITALARIA",IF(N293=CURSOS!$D$4,"ACOMPAÑAMIENTO Y MANEJO DEL DUELO",IF(N293=CURSOS!$D$5,"ATENCION A VICTIMAS DE ATAQUE CON AGENTES QUIMICOS ",IF(N293=CURSOS!$D$6,"PRIMEROS AUXILIOS ",IF(N293=CURSOS!$D$7,"DIPLOMADO DE UNIDAD DE CUIDADOS INTENSIVOS (UCI)",IF(N293=CURSOS!$D$8,"MODELO DE ATENCION PARA EVENTOS EMERGENTES EN SALUD MENTAL (CODIGO VERDE)",IF(N293=CURSOS!$D$9,"HUMANIZACION EN SALUD, BUENAS PRACTICAS EN PACIENTE ",IF(N293=CURSOS!$D$10,"CLINICA DE HERIDAS ",IF(N293=CURSOS!$D$11,"TOMA DE CITOLOGIA A CERVICO VAGINAL ",IF(N293=CURSOS!$D$12,"SOPORTE CARDIOVASCULAR AVANZADO ",IF(N293=CURSOS!$D$13,"CAMILLERO ",IF(N293=CURSOS!$D$14,"TOMA MUESTRAS Y LABORATORIO ",IF(N293=CURSOS!$D$15,"SOPORTE VITAL BASICO (BLS)",IF(N293=CURSOS!$D$16,"ATENCION A VICTIMAS DE VIOLENCIA SEXUAL ",IF(N293=CURSOS!$D$17,"PROGRAMADO AMPLIADO DE INMUNIZACION (PAI - COVID 19)",IF(N293=CURSOS!$D$18,"ATENCION INTEGRAL EN ENFERMEDADES PREVALENTES EN PRIMERA INFANCIA (AIEPI)",IF(N293=CURSOS!$D$19,"ADMINISTRACION DE MEDICAMENTOS, IYECTOLOGIA  Y CANALIZACION ",IF(N293=CURSOS!$D$20,"OPERADOR DE VEHICULOS DE EMERGENCIA (OVE)",IF(N293=CURSOS!$D$21,"INSTITUCIONES AMIGAS DE LA MUJER Y LA INFANCIA (IAMI)",IF(N293=CURSOS!$D$22,"CUIDADO DEL DONANTE DE ORGANOS",IF(N293=CURSOS!$D$23,"ATENCION A VICTIMAS POR VIOLENCIA DE GENERO",IF(N293=CURSOS!$D$24,"IGUALDAD DE GENERO EN LA SALUD",IF(N293=CURSOS!$D$25,"BRIGADA DE EMERGENCIA",IF(N293=CURSOS!$D$26,"MANEJO DEL DOLOR Y CUIDADOS PALIATIVOS",IF(N293=CURSOS!$D$27,"TOMA MUESTRAS Y LABORATORIO POCT",IF(N293=CURSOS!$D$28,"IMPLANTE SUBDERMICO Y DISPOSITIVO INTRAUTERINO",IF(N293=CURSOS!$D$29,"SALUD MENTAL",IF(N293=CURSOS!$D$30,"PRIMEROS AUXILIOS PSICOLOGICOS",IF(N293=CURSOS!$D$31,"ATENCION A VICTIMAS POR CONFLICTO ARMADO",IF(N293=CURSOS!$D$32,"MANIPULACION DE ALIMENTOS Y BPM"))))))))))))))))))))))))))))))</f>
        <v>0</v>
      </c>
      <c r="U293" s="30" t="str">
        <f t="shared" si="36"/>
        <v xml:space="preserve">   </v>
      </c>
      <c r="V293" s="30" t="str">
        <f t="shared" si="37"/>
        <v xml:space="preserve">   </v>
      </c>
      <c r="W293" s="30" t="str">
        <f t="shared" si="38"/>
        <v xml:space="preserve">   --</v>
      </c>
    </row>
    <row r="294" spans="1:23" s="40" customFormat="1" x14ac:dyDescent="0.2">
      <c r="A294" s="31">
        <v>294</v>
      </c>
      <c r="G294" s="38"/>
      <c r="H294" s="38"/>
      <c r="I294" s="39"/>
      <c r="J294" s="59"/>
      <c r="K294" s="38"/>
      <c r="L294" s="38"/>
      <c r="M294" s="38"/>
      <c r="N294" s="37"/>
      <c r="O294" s="51"/>
      <c r="T294" s="30" t="b">
        <f>IF(N294=CURSOS!$D$3,"DIPLOMADO EN ATENCION PRE-HOSPITALARIA",IF(N294=CURSOS!$D$4,"ACOMPAÑAMIENTO Y MANEJO DEL DUELO",IF(N294=CURSOS!$D$5,"ATENCION A VICTIMAS DE ATAQUE CON AGENTES QUIMICOS ",IF(N294=CURSOS!$D$6,"PRIMEROS AUXILIOS ",IF(N294=CURSOS!$D$7,"DIPLOMADO DE UNIDAD DE CUIDADOS INTENSIVOS (UCI)",IF(N294=CURSOS!$D$8,"MODELO DE ATENCION PARA EVENTOS EMERGENTES EN SALUD MENTAL (CODIGO VERDE)",IF(N294=CURSOS!$D$9,"HUMANIZACION EN SALUD, BUENAS PRACTICAS EN PACIENTE ",IF(N294=CURSOS!$D$10,"CLINICA DE HERIDAS ",IF(N294=CURSOS!$D$11,"TOMA DE CITOLOGIA A CERVICO VAGINAL ",IF(N294=CURSOS!$D$12,"SOPORTE CARDIOVASCULAR AVANZADO ",IF(N294=CURSOS!$D$13,"CAMILLERO ",IF(N294=CURSOS!$D$14,"TOMA MUESTRAS Y LABORATORIO ",IF(N294=CURSOS!$D$15,"SOPORTE VITAL BASICO (BLS)",IF(N294=CURSOS!$D$16,"ATENCION A VICTIMAS DE VIOLENCIA SEXUAL ",IF(N294=CURSOS!$D$17,"PROGRAMADO AMPLIADO DE INMUNIZACION (PAI - COVID 19)",IF(N294=CURSOS!$D$18,"ATENCION INTEGRAL EN ENFERMEDADES PREVALENTES EN PRIMERA INFANCIA (AIEPI)",IF(N294=CURSOS!$D$19,"ADMINISTRACION DE MEDICAMENTOS, IYECTOLOGIA  Y CANALIZACION ",IF(N294=CURSOS!$D$20,"OPERADOR DE VEHICULOS DE EMERGENCIA (OVE)",IF(N294=CURSOS!$D$21,"INSTITUCIONES AMIGAS DE LA MUJER Y LA INFANCIA (IAMI)",IF(N294=CURSOS!$D$22,"CUIDADO DEL DONANTE DE ORGANOS",IF(N294=CURSOS!$D$23,"ATENCION A VICTIMAS POR VIOLENCIA DE GENERO",IF(N294=CURSOS!$D$24,"IGUALDAD DE GENERO EN LA SALUD",IF(N294=CURSOS!$D$25,"BRIGADA DE EMERGENCIA",IF(N294=CURSOS!$D$26,"MANEJO DEL DOLOR Y CUIDADOS PALIATIVOS",IF(N294=CURSOS!$D$27,"TOMA MUESTRAS Y LABORATORIO POCT",IF(N294=CURSOS!$D$28,"IMPLANTE SUBDERMICO Y DISPOSITIVO INTRAUTERINO",IF(N294=CURSOS!$D$29,"SALUD MENTAL",IF(N294=CURSOS!$D$30,"PRIMEROS AUXILIOS PSICOLOGICOS",IF(N294=CURSOS!$D$31,"ATENCION A VICTIMAS POR CONFLICTO ARMADO",IF(N294=CURSOS!$D$32,"MANIPULACION DE ALIMENTOS Y BPM"))))))))))))))))))))))))))))))</f>
        <v>0</v>
      </c>
      <c r="U294" s="30" t="str">
        <f t="shared" si="36"/>
        <v xml:space="preserve">   </v>
      </c>
      <c r="V294" s="30" t="str">
        <f t="shared" si="37"/>
        <v xml:space="preserve">   </v>
      </c>
      <c r="W294" s="30" t="str">
        <f t="shared" si="38"/>
        <v xml:space="preserve">   --</v>
      </c>
    </row>
    <row r="295" spans="1:23" s="40" customFormat="1" x14ac:dyDescent="0.2">
      <c r="A295" s="31">
        <v>295</v>
      </c>
      <c r="G295" s="38"/>
      <c r="H295" s="38"/>
      <c r="I295" s="39"/>
      <c r="J295" s="59"/>
      <c r="K295" s="38"/>
      <c r="L295" s="38"/>
      <c r="M295" s="38"/>
      <c r="N295" s="37"/>
      <c r="O295" s="51"/>
      <c r="T295" s="30" t="b">
        <f>IF(N295=CURSOS!$D$3,"DIPLOMADO EN ATENCION PRE-HOSPITALARIA",IF(N295=CURSOS!$D$4,"ACOMPAÑAMIENTO Y MANEJO DEL DUELO",IF(N295=CURSOS!$D$5,"ATENCION A VICTIMAS DE ATAQUE CON AGENTES QUIMICOS ",IF(N295=CURSOS!$D$6,"PRIMEROS AUXILIOS ",IF(N295=CURSOS!$D$7,"DIPLOMADO DE UNIDAD DE CUIDADOS INTENSIVOS (UCI)",IF(N295=CURSOS!$D$8,"MODELO DE ATENCION PARA EVENTOS EMERGENTES EN SALUD MENTAL (CODIGO VERDE)",IF(N295=CURSOS!$D$9,"HUMANIZACION EN SALUD, BUENAS PRACTICAS EN PACIENTE ",IF(N295=CURSOS!$D$10,"CLINICA DE HERIDAS ",IF(N295=CURSOS!$D$11,"TOMA DE CITOLOGIA A CERVICO VAGINAL ",IF(N295=CURSOS!$D$12,"SOPORTE CARDIOVASCULAR AVANZADO ",IF(N295=CURSOS!$D$13,"CAMILLERO ",IF(N295=CURSOS!$D$14,"TOMA MUESTRAS Y LABORATORIO ",IF(N295=CURSOS!$D$15,"SOPORTE VITAL BASICO (BLS)",IF(N295=CURSOS!$D$16,"ATENCION A VICTIMAS DE VIOLENCIA SEXUAL ",IF(N295=CURSOS!$D$17,"PROGRAMADO AMPLIADO DE INMUNIZACION (PAI - COVID 19)",IF(N295=CURSOS!$D$18,"ATENCION INTEGRAL EN ENFERMEDADES PREVALENTES EN PRIMERA INFANCIA (AIEPI)",IF(N295=CURSOS!$D$19,"ADMINISTRACION DE MEDICAMENTOS, IYECTOLOGIA  Y CANALIZACION ",IF(N295=CURSOS!$D$20,"OPERADOR DE VEHICULOS DE EMERGENCIA (OVE)",IF(N295=CURSOS!$D$21,"INSTITUCIONES AMIGAS DE LA MUJER Y LA INFANCIA (IAMI)",IF(N295=CURSOS!$D$22,"CUIDADO DEL DONANTE DE ORGANOS",IF(N295=CURSOS!$D$23,"ATENCION A VICTIMAS POR VIOLENCIA DE GENERO",IF(N295=CURSOS!$D$24,"IGUALDAD DE GENERO EN LA SALUD",IF(N295=CURSOS!$D$25,"BRIGADA DE EMERGENCIA",IF(N295=CURSOS!$D$26,"MANEJO DEL DOLOR Y CUIDADOS PALIATIVOS",IF(N295=CURSOS!$D$27,"TOMA MUESTRAS Y LABORATORIO POCT",IF(N295=CURSOS!$D$28,"IMPLANTE SUBDERMICO Y DISPOSITIVO INTRAUTERINO",IF(N295=CURSOS!$D$29,"SALUD MENTAL",IF(N295=CURSOS!$D$30,"PRIMEROS AUXILIOS PSICOLOGICOS",IF(N295=CURSOS!$D$31,"ATENCION A VICTIMAS POR CONFLICTO ARMADO",IF(N295=CURSOS!$D$32,"MANIPULACION DE ALIMENTOS Y BPM"))))))))))))))))))))))))))))))</f>
        <v>0</v>
      </c>
      <c r="U295" s="30" t="str">
        <f t="shared" si="36"/>
        <v xml:space="preserve">   </v>
      </c>
      <c r="V295" s="30" t="str">
        <f t="shared" si="37"/>
        <v xml:space="preserve">   </v>
      </c>
      <c r="W295" s="30" t="str">
        <f t="shared" si="38"/>
        <v xml:space="preserve">   --</v>
      </c>
    </row>
    <row r="296" spans="1:23" s="40" customFormat="1" x14ac:dyDescent="0.2">
      <c r="A296" s="31">
        <v>296</v>
      </c>
      <c r="G296" s="38"/>
      <c r="H296" s="38"/>
      <c r="I296" s="39"/>
      <c r="J296" s="59"/>
      <c r="K296" s="38"/>
      <c r="L296" s="38"/>
      <c r="M296" s="38"/>
      <c r="N296" s="37"/>
      <c r="O296" s="51"/>
      <c r="T296" s="30" t="b">
        <f>IF(N296=CURSOS!$D$3,"DIPLOMADO EN ATENCION PRE-HOSPITALARIA",IF(N296=CURSOS!$D$4,"ACOMPAÑAMIENTO Y MANEJO DEL DUELO",IF(N296=CURSOS!$D$5,"ATENCION A VICTIMAS DE ATAQUE CON AGENTES QUIMICOS ",IF(N296=CURSOS!$D$6,"PRIMEROS AUXILIOS ",IF(N296=CURSOS!$D$7,"DIPLOMADO DE UNIDAD DE CUIDADOS INTENSIVOS (UCI)",IF(N296=CURSOS!$D$8,"MODELO DE ATENCION PARA EVENTOS EMERGENTES EN SALUD MENTAL (CODIGO VERDE)",IF(N296=CURSOS!$D$9,"HUMANIZACION EN SALUD, BUENAS PRACTICAS EN PACIENTE ",IF(N296=CURSOS!$D$10,"CLINICA DE HERIDAS ",IF(N296=CURSOS!$D$11,"TOMA DE CITOLOGIA A CERVICO VAGINAL ",IF(N296=CURSOS!$D$12,"SOPORTE CARDIOVASCULAR AVANZADO ",IF(N296=CURSOS!$D$13,"CAMILLERO ",IF(N296=CURSOS!$D$14,"TOMA MUESTRAS Y LABORATORIO ",IF(N296=CURSOS!$D$15,"SOPORTE VITAL BASICO (BLS)",IF(N296=CURSOS!$D$16,"ATENCION A VICTIMAS DE VIOLENCIA SEXUAL ",IF(N296=CURSOS!$D$17,"PROGRAMADO AMPLIADO DE INMUNIZACION (PAI - COVID 19)",IF(N296=CURSOS!$D$18,"ATENCION INTEGRAL EN ENFERMEDADES PREVALENTES EN PRIMERA INFANCIA (AIEPI)",IF(N296=CURSOS!$D$19,"ADMINISTRACION DE MEDICAMENTOS, IYECTOLOGIA  Y CANALIZACION ",IF(N296=CURSOS!$D$20,"OPERADOR DE VEHICULOS DE EMERGENCIA (OVE)",IF(N296=CURSOS!$D$21,"INSTITUCIONES AMIGAS DE LA MUJER Y LA INFANCIA (IAMI)",IF(N296=CURSOS!$D$22,"CUIDADO DEL DONANTE DE ORGANOS",IF(N296=CURSOS!$D$23,"ATENCION A VICTIMAS POR VIOLENCIA DE GENERO",IF(N296=CURSOS!$D$24,"IGUALDAD DE GENERO EN LA SALUD",IF(N296=CURSOS!$D$25,"BRIGADA DE EMERGENCIA",IF(N296=CURSOS!$D$26,"MANEJO DEL DOLOR Y CUIDADOS PALIATIVOS",IF(N296=CURSOS!$D$27,"TOMA MUESTRAS Y LABORATORIO POCT",IF(N296=CURSOS!$D$28,"IMPLANTE SUBDERMICO Y DISPOSITIVO INTRAUTERINO",IF(N296=CURSOS!$D$29,"SALUD MENTAL",IF(N296=CURSOS!$D$30,"PRIMEROS AUXILIOS PSICOLOGICOS",IF(N296=CURSOS!$D$31,"ATENCION A VICTIMAS POR CONFLICTO ARMADO",IF(N296=CURSOS!$D$32,"MANIPULACION DE ALIMENTOS Y BPM"))))))))))))))))))))))))))))))</f>
        <v>0</v>
      </c>
      <c r="U296" s="30" t="str">
        <f t="shared" si="36"/>
        <v xml:space="preserve">   </v>
      </c>
      <c r="V296" s="30" t="str">
        <f t="shared" si="37"/>
        <v xml:space="preserve">   </v>
      </c>
      <c r="W296" s="30" t="str">
        <f t="shared" si="38"/>
        <v xml:space="preserve">   --</v>
      </c>
    </row>
    <row r="297" spans="1:23" s="40" customFormat="1" x14ac:dyDescent="0.2">
      <c r="A297" s="31">
        <v>297</v>
      </c>
      <c r="G297" s="38"/>
      <c r="H297" s="38"/>
      <c r="I297" s="39"/>
      <c r="J297" s="59"/>
      <c r="K297" s="38"/>
      <c r="L297" s="38"/>
      <c r="M297" s="38"/>
      <c r="N297" s="37"/>
      <c r="O297" s="51"/>
      <c r="T297" s="30" t="b">
        <f>IF(N297=CURSOS!$D$3,"DIPLOMADO EN ATENCION PRE-HOSPITALARIA",IF(N297=CURSOS!$D$4,"ACOMPAÑAMIENTO Y MANEJO DEL DUELO",IF(N297=CURSOS!$D$5,"ATENCION A VICTIMAS DE ATAQUE CON AGENTES QUIMICOS ",IF(N297=CURSOS!$D$6,"PRIMEROS AUXILIOS ",IF(N297=CURSOS!$D$7,"DIPLOMADO DE UNIDAD DE CUIDADOS INTENSIVOS (UCI)",IF(N297=CURSOS!$D$8,"MODELO DE ATENCION PARA EVENTOS EMERGENTES EN SALUD MENTAL (CODIGO VERDE)",IF(N297=CURSOS!$D$9,"HUMANIZACION EN SALUD, BUENAS PRACTICAS EN PACIENTE ",IF(N297=CURSOS!$D$10,"CLINICA DE HERIDAS ",IF(N297=CURSOS!$D$11,"TOMA DE CITOLOGIA A CERVICO VAGINAL ",IF(N297=CURSOS!$D$12,"SOPORTE CARDIOVASCULAR AVANZADO ",IF(N297=CURSOS!$D$13,"CAMILLERO ",IF(N297=CURSOS!$D$14,"TOMA MUESTRAS Y LABORATORIO ",IF(N297=CURSOS!$D$15,"SOPORTE VITAL BASICO (BLS)",IF(N297=CURSOS!$D$16,"ATENCION A VICTIMAS DE VIOLENCIA SEXUAL ",IF(N297=CURSOS!$D$17,"PROGRAMADO AMPLIADO DE INMUNIZACION (PAI - COVID 19)",IF(N297=CURSOS!$D$18,"ATENCION INTEGRAL EN ENFERMEDADES PREVALENTES EN PRIMERA INFANCIA (AIEPI)",IF(N297=CURSOS!$D$19,"ADMINISTRACION DE MEDICAMENTOS, IYECTOLOGIA  Y CANALIZACION ",IF(N297=CURSOS!$D$20,"OPERADOR DE VEHICULOS DE EMERGENCIA (OVE)",IF(N297=CURSOS!$D$21,"INSTITUCIONES AMIGAS DE LA MUJER Y LA INFANCIA (IAMI)",IF(N297=CURSOS!$D$22,"CUIDADO DEL DONANTE DE ORGANOS",IF(N297=CURSOS!$D$23,"ATENCION A VICTIMAS POR VIOLENCIA DE GENERO",IF(N297=CURSOS!$D$24,"IGUALDAD DE GENERO EN LA SALUD",IF(N297=CURSOS!$D$25,"BRIGADA DE EMERGENCIA",IF(N297=CURSOS!$D$26,"MANEJO DEL DOLOR Y CUIDADOS PALIATIVOS",IF(N297=CURSOS!$D$27,"TOMA MUESTRAS Y LABORATORIO POCT",IF(N297=CURSOS!$D$28,"IMPLANTE SUBDERMICO Y DISPOSITIVO INTRAUTERINO",IF(N297=CURSOS!$D$29,"SALUD MENTAL",IF(N297=CURSOS!$D$30,"PRIMEROS AUXILIOS PSICOLOGICOS",IF(N297=CURSOS!$D$31,"ATENCION A VICTIMAS POR CONFLICTO ARMADO",IF(N297=CURSOS!$D$32,"MANIPULACION DE ALIMENTOS Y BPM"))))))))))))))))))))))))))))))</f>
        <v>0</v>
      </c>
      <c r="U297" s="30" t="str">
        <f t="shared" si="36"/>
        <v xml:space="preserve">   </v>
      </c>
      <c r="V297" s="30" t="str">
        <f t="shared" si="37"/>
        <v xml:space="preserve">   </v>
      </c>
      <c r="W297" s="30" t="str">
        <f t="shared" si="38"/>
        <v xml:space="preserve">   --</v>
      </c>
    </row>
    <row r="298" spans="1:23" s="46" customFormat="1" x14ac:dyDescent="0.2">
      <c r="A298" s="31">
        <v>298</v>
      </c>
      <c r="B298" s="31"/>
      <c r="C298" s="31"/>
      <c r="D298" s="31"/>
      <c r="E298" s="31"/>
      <c r="F298" s="31"/>
      <c r="G298" s="18"/>
      <c r="H298" s="18"/>
      <c r="I298" s="22"/>
      <c r="J298" s="57"/>
      <c r="K298" s="18"/>
      <c r="L298" s="18"/>
      <c r="M298" s="18"/>
      <c r="N298" s="19"/>
      <c r="O298" s="45"/>
      <c r="P298" s="31"/>
      <c r="Q298" s="31"/>
      <c r="R298" s="31"/>
      <c r="S298" s="31"/>
      <c r="T298" s="30" t="b">
        <f>IF(N298=CURSOS!$D$3,"DIPLOMADO EN ATENCION PRE-HOSPITALARIA",IF(N298=CURSOS!$D$4,"ACOMPAÑAMIENTO Y MANEJO DEL DUELO",IF(N298=CURSOS!$D$5,"ATENCION A VICTIMAS DE ATAQUE CON AGENTES QUIMICOS ",IF(N298=CURSOS!$D$6,"PRIMEROS AUXILIOS ",IF(N298=CURSOS!$D$7,"DIPLOMADO DE UNIDAD DE CUIDADOS INTENSIVOS (UCI)",IF(N298=CURSOS!$D$8,"MODELO DE ATENCION PARA EVENTOS EMERGENTES EN SALUD MENTAL (CODIGO VERDE)",IF(N298=CURSOS!$D$9,"HUMANIZACION EN SALUD, BUENAS PRACTICAS EN PACIENTE ",IF(N298=CURSOS!$D$10,"CLINICA DE HERIDAS ",IF(N298=CURSOS!$D$11,"TOMA DE CITOLOGIA A CERVICO VAGINAL ",IF(N298=CURSOS!$D$12,"SOPORTE CARDIOVASCULAR AVANZADO ",IF(N298=CURSOS!$D$13,"CAMILLERO ",IF(N298=CURSOS!$D$14,"TOMA MUESTRAS Y LABORATORIO ",IF(N298=CURSOS!$D$15,"SOPORTE VITAL BASICO (BLS)",IF(N298=CURSOS!$D$16,"ATENCION A VICTIMAS DE VIOLENCIA SEXUAL ",IF(N298=CURSOS!$D$17,"PROGRAMADO AMPLIADO DE INMUNIZACION (PAI - COVID 19)",IF(N298=CURSOS!$D$18,"ATENCION INTEGRAL EN ENFERMEDADES PREVALENTES EN PRIMERA INFANCIA (AIEPI)",IF(N298=CURSOS!$D$19,"ADMINISTRACION DE MEDICAMENTOS, IYECTOLOGIA  Y CANALIZACION ",IF(N298=CURSOS!$D$20,"OPERADOR DE VEHICULOS DE EMERGENCIA (OVE)",IF(N298=CURSOS!$D$21,"INSTITUCIONES AMIGAS DE LA MUJER Y LA INFANCIA (IAMI)",IF(N298=CURSOS!$D$22,"CUIDADO DEL DONANTE DE ORGANOS",IF(N298=CURSOS!$D$23,"ATENCION A VICTIMAS POR VIOLENCIA DE GENERO",IF(N298=CURSOS!$D$24,"IGUALDAD DE GENERO EN LA SALUD",IF(N298=CURSOS!$D$25,"BRIGADA DE EMERGENCIA",IF(N298=CURSOS!$D$26,"MANEJO DEL DOLOR Y CUIDADOS PALIATIVOS",IF(N298=CURSOS!$D$27,"TOMA MUESTRAS Y LABORATORIO POCT",IF(N298=CURSOS!$D$28,"IMPLANTE SUBDERMICO Y DISPOSITIVO INTRAUTERINO",IF(N298=CURSOS!$D$29,"SALUD MENTAL",IF(N298=CURSOS!$D$30,"PRIMEROS AUXILIOS PSICOLOGICOS",IF(N298=CURSOS!$D$31,"ATENCION A VICTIMAS POR CONFLICTO ARMADO",IF(N298=CURSOS!$D$32,"MANIPULACION DE ALIMENTOS Y BPM"))))))))))))))))))))))))))))))</f>
        <v>0</v>
      </c>
      <c r="U298" s="30" t="str">
        <f t="shared" si="36"/>
        <v xml:space="preserve">   </v>
      </c>
      <c r="V298" s="30" t="str">
        <f t="shared" si="37"/>
        <v xml:space="preserve">   </v>
      </c>
      <c r="W298" s="30" t="str">
        <f t="shared" si="38"/>
        <v xml:space="preserve">   --</v>
      </c>
    </row>
    <row r="299" spans="1:23" s="46" customFormat="1" x14ac:dyDescent="0.2">
      <c r="A299" s="31">
        <v>299</v>
      </c>
      <c r="B299" s="31"/>
      <c r="C299" s="31"/>
      <c r="D299" s="31"/>
      <c r="E299" s="31"/>
      <c r="F299" s="31"/>
      <c r="G299" s="18"/>
      <c r="H299" s="18"/>
      <c r="I299" s="22"/>
      <c r="J299" s="57"/>
      <c r="K299" s="18"/>
      <c r="L299" s="18"/>
      <c r="M299" s="18"/>
      <c r="N299" s="19"/>
      <c r="O299" s="45"/>
      <c r="P299" s="31"/>
      <c r="Q299" s="31"/>
      <c r="R299" s="31"/>
      <c r="S299" s="31"/>
      <c r="T299" s="30" t="b">
        <f>IF(N299=CURSOS!$D$3,"DIPLOMADO EN ATENCION PRE-HOSPITALARIA",IF(N299=CURSOS!$D$4,"ACOMPAÑAMIENTO Y MANEJO DEL DUELO",IF(N299=CURSOS!$D$5,"ATENCION A VICTIMAS DE ATAQUE CON AGENTES QUIMICOS ",IF(N299=CURSOS!$D$6,"PRIMEROS AUXILIOS ",IF(N299=CURSOS!$D$7,"DIPLOMADO DE UNIDAD DE CUIDADOS INTENSIVOS (UCI)",IF(N299=CURSOS!$D$8,"MODELO DE ATENCION PARA EVENTOS EMERGENTES EN SALUD MENTAL (CODIGO VERDE)",IF(N299=CURSOS!$D$9,"HUMANIZACION EN SALUD, BUENAS PRACTICAS EN PACIENTE ",IF(N299=CURSOS!$D$10,"CLINICA DE HERIDAS ",IF(N299=CURSOS!$D$11,"TOMA DE CITOLOGIA A CERVICO VAGINAL ",IF(N299=CURSOS!$D$12,"SOPORTE CARDIOVASCULAR AVANZADO ",IF(N299=CURSOS!$D$13,"CAMILLERO ",IF(N299=CURSOS!$D$14,"TOMA MUESTRAS Y LABORATORIO ",IF(N299=CURSOS!$D$15,"SOPORTE VITAL BASICO (BLS)",IF(N299=CURSOS!$D$16,"ATENCION A VICTIMAS DE VIOLENCIA SEXUAL ",IF(N299=CURSOS!$D$17,"PROGRAMADO AMPLIADO DE INMUNIZACION (PAI - COVID 19)",IF(N299=CURSOS!$D$18,"ATENCION INTEGRAL EN ENFERMEDADES PREVALENTES EN PRIMERA INFANCIA (AIEPI)",IF(N299=CURSOS!$D$19,"ADMINISTRACION DE MEDICAMENTOS, IYECTOLOGIA  Y CANALIZACION ",IF(N299=CURSOS!$D$20,"OPERADOR DE VEHICULOS DE EMERGENCIA (OVE)",IF(N299=CURSOS!$D$21,"INSTITUCIONES AMIGAS DE LA MUJER Y LA INFANCIA (IAMI)",IF(N299=CURSOS!$D$22,"CUIDADO DEL DONANTE DE ORGANOS",IF(N299=CURSOS!$D$23,"ATENCION A VICTIMAS POR VIOLENCIA DE GENERO",IF(N299=CURSOS!$D$24,"IGUALDAD DE GENERO EN LA SALUD",IF(N299=CURSOS!$D$25,"BRIGADA DE EMERGENCIA",IF(N299=CURSOS!$D$26,"MANEJO DEL DOLOR Y CUIDADOS PALIATIVOS",IF(N299=CURSOS!$D$27,"TOMA MUESTRAS Y LABORATORIO POCT",IF(N299=CURSOS!$D$28,"IMPLANTE SUBDERMICO Y DISPOSITIVO INTRAUTERINO",IF(N299=CURSOS!$D$29,"SALUD MENTAL",IF(N299=CURSOS!$D$30,"PRIMEROS AUXILIOS PSICOLOGICOS",IF(N299=CURSOS!$D$31,"ATENCION A VICTIMAS POR CONFLICTO ARMADO",IF(N299=CURSOS!$D$32,"MANIPULACION DE ALIMENTOS Y BPM"))))))))))))))))))))))))))))))</f>
        <v>0</v>
      </c>
      <c r="U299" s="30" t="str">
        <f t="shared" si="36"/>
        <v xml:space="preserve">   </v>
      </c>
      <c r="V299" s="30" t="str">
        <f t="shared" si="37"/>
        <v xml:space="preserve">   </v>
      </c>
      <c r="W299" s="30" t="str">
        <f t="shared" si="38"/>
        <v xml:space="preserve">   --</v>
      </c>
    </row>
    <row r="300" spans="1:23" s="46" customFormat="1" x14ac:dyDescent="0.2">
      <c r="A300" s="31">
        <v>300</v>
      </c>
      <c r="B300" s="31"/>
      <c r="C300" s="31"/>
      <c r="D300" s="31"/>
      <c r="E300" s="31"/>
      <c r="F300" s="31"/>
      <c r="G300" s="18"/>
      <c r="H300" s="18"/>
      <c r="I300" s="22"/>
      <c r="J300" s="57"/>
      <c r="K300" s="18"/>
      <c r="L300" s="18"/>
      <c r="M300" s="18"/>
      <c r="N300" s="19"/>
      <c r="O300" s="45"/>
      <c r="P300" s="31"/>
      <c r="Q300" s="31"/>
      <c r="R300" s="31"/>
      <c r="S300" s="31"/>
      <c r="T300" s="30" t="b">
        <f>IF(N300=CURSOS!$D$3,"DIPLOMADO EN ATENCION PRE-HOSPITALARIA",IF(N300=CURSOS!$D$4,"ACOMPAÑAMIENTO Y MANEJO DEL DUELO",IF(N300=CURSOS!$D$5,"ATENCION A VICTIMAS DE ATAQUE CON AGENTES QUIMICOS ",IF(N300=CURSOS!$D$6,"PRIMEROS AUXILIOS ",IF(N300=CURSOS!$D$7,"DIPLOMADO DE UNIDAD DE CUIDADOS INTENSIVOS (UCI)",IF(N300=CURSOS!$D$8,"MODELO DE ATENCION PARA EVENTOS EMERGENTES EN SALUD MENTAL (CODIGO VERDE)",IF(N300=CURSOS!$D$9,"HUMANIZACION EN SALUD, BUENAS PRACTICAS EN PACIENTE ",IF(N300=CURSOS!$D$10,"CLINICA DE HERIDAS ",IF(N300=CURSOS!$D$11,"TOMA DE CITOLOGIA A CERVICO VAGINAL ",IF(N300=CURSOS!$D$12,"SOPORTE CARDIOVASCULAR AVANZADO ",IF(N300=CURSOS!$D$13,"CAMILLERO ",IF(N300=CURSOS!$D$14,"TOMA MUESTRAS Y LABORATORIO ",IF(N300=CURSOS!$D$15,"SOPORTE VITAL BASICO (BLS)",IF(N300=CURSOS!$D$16,"ATENCION A VICTIMAS DE VIOLENCIA SEXUAL ",IF(N300=CURSOS!$D$17,"PROGRAMADO AMPLIADO DE INMUNIZACION (PAI - COVID 19)",IF(N300=CURSOS!$D$18,"ATENCION INTEGRAL EN ENFERMEDADES PREVALENTES EN PRIMERA INFANCIA (AIEPI)",IF(N300=CURSOS!$D$19,"ADMINISTRACION DE MEDICAMENTOS, IYECTOLOGIA  Y CANALIZACION ",IF(N300=CURSOS!$D$20,"OPERADOR DE VEHICULOS DE EMERGENCIA (OVE)",IF(N300=CURSOS!$D$21,"INSTITUCIONES AMIGAS DE LA MUJER Y LA INFANCIA (IAMI)",IF(N300=CURSOS!$D$22,"CUIDADO DEL DONANTE DE ORGANOS",IF(N300=CURSOS!$D$23,"ATENCION A VICTIMAS POR VIOLENCIA DE GENERO",IF(N300=CURSOS!$D$24,"IGUALDAD DE GENERO EN LA SALUD",IF(N300=CURSOS!$D$25,"BRIGADA DE EMERGENCIA",IF(N300=CURSOS!$D$26,"MANEJO DEL DOLOR Y CUIDADOS PALIATIVOS",IF(N300=CURSOS!$D$27,"TOMA MUESTRAS Y LABORATORIO POCT",IF(N300=CURSOS!$D$28,"IMPLANTE SUBDERMICO Y DISPOSITIVO INTRAUTERINO",IF(N300=CURSOS!$D$29,"SALUD MENTAL",IF(N300=CURSOS!$D$30,"PRIMEROS AUXILIOS PSICOLOGICOS",IF(N300=CURSOS!$D$31,"ATENCION A VICTIMAS POR CONFLICTO ARMADO",IF(N300=CURSOS!$D$32,"MANIPULACION DE ALIMENTOS Y BPM"))))))))))))))))))))))))))))))</f>
        <v>0</v>
      </c>
      <c r="U300" s="30" t="str">
        <f t="shared" si="36"/>
        <v xml:space="preserve">   </v>
      </c>
      <c r="V300" s="30" t="str">
        <f t="shared" si="37"/>
        <v xml:space="preserve">   </v>
      </c>
      <c r="W300" s="30" t="str">
        <f t="shared" si="38"/>
        <v xml:space="preserve">   --</v>
      </c>
    </row>
    <row r="301" spans="1:23" s="46" customFormat="1" x14ac:dyDescent="0.2">
      <c r="A301" s="31">
        <v>301</v>
      </c>
      <c r="B301" s="31"/>
      <c r="C301" s="31"/>
      <c r="D301" s="31"/>
      <c r="E301" s="31"/>
      <c r="F301" s="31"/>
      <c r="G301" s="18"/>
      <c r="H301" s="18"/>
      <c r="I301" s="22"/>
      <c r="J301" s="57"/>
      <c r="K301" s="18"/>
      <c r="L301" s="18"/>
      <c r="M301" s="18"/>
      <c r="N301" s="19"/>
      <c r="O301" s="45"/>
      <c r="P301" s="31"/>
      <c r="Q301" s="31"/>
      <c r="R301" s="31"/>
      <c r="S301" s="31"/>
      <c r="T301" s="30" t="b">
        <f>IF(N301=CURSOS!$D$3,"DIPLOMADO EN ATENCION PRE-HOSPITALARIA",IF(N301=CURSOS!$D$4,"ACOMPAÑAMIENTO Y MANEJO DEL DUELO",IF(N301=CURSOS!$D$5,"ATENCION A VICTIMAS DE ATAQUE CON AGENTES QUIMICOS ",IF(N301=CURSOS!$D$6,"PRIMEROS AUXILIOS ",IF(N301=CURSOS!$D$7,"DIPLOMADO DE UNIDAD DE CUIDADOS INTENSIVOS (UCI)",IF(N301=CURSOS!$D$8,"MODELO DE ATENCION PARA EVENTOS EMERGENTES EN SALUD MENTAL (CODIGO VERDE)",IF(N301=CURSOS!$D$9,"HUMANIZACION EN SALUD, BUENAS PRACTICAS EN PACIENTE ",IF(N301=CURSOS!$D$10,"CLINICA DE HERIDAS ",IF(N301=CURSOS!$D$11,"TOMA DE CITOLOGIA A CERVICO VAGINAL ",IF(N301=CURSOS!$D$12,"SOPORTE CARDIOVASCULAR AVANZADO ",IF(N301=CURSOS!$D$13,"CAMILLERO ",IF(N301=CURSOS!$D$14,"TOMA MUESTRAS Y LABORATORIO ",IF(N301=CURSOS!$D$15,"SOPORTE VITAL BASICO (BLS)",IF(N301=CURSOS!$D$16,"ATENCION A VICTIMAS DE VIOLENCIA SEXUAL ",IF(N301=CURSOS!$D$17,"PROGRAMADO AMPLIADO DE INMUNIZACION (PAI - COVID 19)",IF(N301=CURSOS!$D$18,"ATENCION INTEGRAL EN ENFERMEDADES PREVALENTES EN PRIMERA INFANCIA (AIEPI)",IF(N301=CURSOS!$D$19,"ADMINISTRACION DE MEDICAMENTOS, IYECTOLOGIA  Y CANALIZACION ",IF(N301=CURSOS!$D$20,"OPERADOR DE VEHICULOS DE EMERGENCIA (OVE)",IF(N301=CURSOS!$D$21,"INSTITUCIONES AMIGAS DE LA MUJER Y LA INFANCIA (IAMI)",IF(N301=CURSOS!$D$22,"CUIDADO DEL DONANTE DE ORGANOS",IF(N301=CURSOS!$D$23,"ATENCION A VICTIMAS POR VIOLENCIA DE GENERO",IF(N301=CURSOS!$D$24,"IGUALDAD DE GENERO EN LA SALUD",IF(N301=CURSOS!$D$25,"BRIGADA DE EMERGENCIA",IF(N301=CURSOS!$D$26,"MANEJO DEL DOLOR Y CUIDADOS PALIATIVOS",IF(N301=CURSOS!$D$27,"TOMA MUESTRAS Y LABORATORIO POCT",IF(N301=CURSOS!$D$28,"IMPLANTE SUBDERMICO Y DISPOSITIVO INTRAUTERINO",IF(N301=CURSOS!$D$29,"SALUD MENTAL",IF(N301=CURSOS!$D$30,"PRIMEROS AUXILIOS PSICOLOGICOS",IF(N301=CURSOS!$D$31,"ATENCION A VICTIMAS POR CONFLICTO ARMADO",IF(N301=CURSOS!$D$32,"MANIPULACION DE ALIMENTOS Y BPM"))))))))))))))))))))))))))))))</f>
        <v>0</v>
      </c>
      <c r="U301" s="30" t="str">
        <f t="shared" si="36"/>
        <v xml:space="preserve">   </v>
      </c>
      <c r="V301" s="30" t="str">
        <f t="shared" si="37"/>
        <v xml:space="preserve">   </v>
      </c>
      <c r="W301" s="30" t="str">
        <f t="shared" si="38"/>
        <v xml:space="preserve">   --</v>
      </c>
    </row>
    <row r="302" spans="1:23" s="46" customFormat="1" x14ac:dyDescent="0.2">
      <c r="A302" s="31">
        <v>302</v>
      </c>
      <c r="B302" s="31"/>
      <c r="C302" s="31"/>
      <c r="D302" s="31"/>
      <c r="E302" s="31"/>
      <c r="F302" s="31"/>
      <c r="G302" s="18"/>
      <c r="H302" s="18"/>
      <c r="I302" s="22"/>
      <c r="J302" s="57"/>
      <c r="K302" s="18"/>
      <c r="L302" s="18"/>
      <c r="M302" s="18"/>
      <c r="N302" s="19"/>
      <c r="O302" s="45"/>
      <c r="P302" s="31"/>
      <c r="Q302" s="31"/>
      <c r="R302" s="31"/>
      <c r="S302" s="31"/>
      <c r="T302" s="30" t="b">
        <f>IF(N302=CURSOS!$D$3,"DIPLOMADO EN ATENCION PRE-HOSPITALARIA",IF(N302=CURSOS!$D$4,"ACOMPAÑAMIENTO Y MANEJO DEL DUELO",IF(N302=CURSOS!$D$5,"ATENCION A VICTIMAS DE ATAQUE CON AGENTES QUIMICOS ",IF(N302=CURSOS!$D$6,"PRIMEROS AUXILIOS ",IF(N302=CURSOS!$D$7,"DIPLOMADO DE UNIDAD DE CUIDADOS INTENSIVOS (UCI)",IF(N302=CURSOS!$D$8,"MODELO DE ATENCION PARA EVENTOS EMERGENTES EN SALUD MENTAL (CODIGO VERDE)",IF(N302=CURSOS!$D$9,"HUMANIZACION EN SALUD, BUENAS PRACTICAS EN PACIENTE ",IF(N302=CURSOS!$D$10,"CLINICA DE HERIDAS ",IF(N302=CURSOS!$D$11,"TOMA DE CITOLOGIA A CERVICO VAGINAL ",IF(N302=CURSOS!$D$12,"SOPORTE CARDIOVASCULAR AVANZADO ",IF(N302=CURSOS!$D$13,"CAMILLERO ",IF(N302=CURSOS!$D$14,"TOMA MUESTRAS Y LABORATORIO ",IF(N302=CURSOS!$D$15,"SOPORTE VITAL BASICO (BLS)",IF(N302=CURSOS!$D$16,"ATENCION A VICTIMAS DE VIOLENCIA SEXUAL ",IF(N302=CURSOS!$D$17,"PROGRAMADO AMPLIADO DE INMUNIZACION (PAI - COVID 19)",IF(N302=CURSOS!$D$18,"ATENCION INTEGRAL EN ENFERMEDADES PREVALENTES EN PRIMERA INFANCIA (AIEPI)",IF(N302=CURSOS!$D$19,"ADMINISTRACION DE MEDICAMENTOS, IYECTOLOGIA  Y CANALIZACION ",IF(N302=CURSOS!$D$20,"OPERADOR DE VEHICULOS DE EMERGENCIA (OVE)",IF(N302=CURSOS!$D$21,"INSTITUCIONES AMIGAS DE LA MUJER Y LA INFANCIA (IAMI)",IF(N302=CURSOS!$D$22,"CUIDADO DEL DONANTE DE ORGANOS",IF(N302=CURSOS!$D$23,"ATENCION A VICTIMAS POR VIOLENCIA DE GENERO",IF(N302=CURSOS!$D$24,"IGUALDAD DE GENERO EN LA SALUD",IF(N302=CURSOS!$D$25,"BRIGADA DE EMERGENCIA",IF(N302=CURSOS!$D$26,"MANEJO DEL DOLOR Y CUIDADOS PALIATIVOS",IF(N302=CURSOS!$D$27,"TOMA MUESTRAS Y LABORATORIO POCT",IF(N302=CURSOS!$D$28,"IMPLANTE SUBDERMICO Y DISPOSITIVO INTRAUTERINO",IF(N302=CURSOS!$D$29,"SALUD MENTAL",IF(N302=CURSOS!$D$30,"PRIMEROS AUXILIOS PSICOLOGICOS",IF(N302=CURSOS!$D$31,"ATENCION A VICTIMAS POR CONFLICTO ARMADO",IF(N302=CURSOS!$D$32,"MANIPULACION DE ALIMENTOS Y BPM"))))))))))))))))))))))))))))))</f>
        <v>0</v>
      </c>
      <c r="U302" s="30" t="str">
        <f t="shared" si="36"/>
        <v xml:space="preserve">   </v>
      </c>
      <c r="V302" s="30" t="str">
        <f t="shared" si="37"/>
        <v xml:space="preserve">   </v>
      </c>
      <c r="W302" s="30" t="str">
        <f t="shared" si="38"/>
        <v xml:space="preserve">   --</v>
      </c>
    </row>
    <row r="303" spans="1:23" s="46" customFormat="1" x14ac:dyDescent="0.2">
      <c r="A303" s="31">
        <v>303</v>
      </c>
      <c r="B303" s="31"/>
      <c r="C303" s="31"/>
      <c r="D303" s="31"/>
      <c r="E303" s="31"/>
      <c r="F303" s="31"/>
      <c r="G303" s="18"/>
      <c r="H303" s="18"/>
      <c r="I303" s="22"/>
      <c r="J303" s="57"/>
      <c r="K303" s="18"/>
      <c r="L303" s="18"/>
      <c r="M303" s="18"/>
      <c r="N303" s="19"/>
      <c r="O303" s="45"/>
      <c r="P303" s="31"/>
      <c r="Q303" s="31"/>
      <c r="R303" s="31"/>
      <c r="S303" s="31"/>
      <c r="T303" s="30" t="b">
        <f>IF(N303=CURSOS!$D$3,"DIPLOMADO EN ATENCION PRE-HOSPITALARIA",IF(N303=CURSOS!$D$4,"ACOMPAÑAMIENTO Y MANEJO DEL DUELO",IF(N303=CURSOS!$D$5,"ATENCION A VICTIMAS DE ATAQUE CON AGENTES QUIMICOS ",IF(N303=CURSOS!$D$6,"PRIMEROS AUXILIOS ",IF(N303=CURSOS!$D$7,"DIPLOMADO DE UNIDAD DE CUIDADOS INTENSIVOS (UCI)",IF(N303=CURSOS!$D$8,"MODELO DE ATENCION PARA EVENTOS EMERGENTES EN SALUD MENTAL (CODIGO VERDE)",IF(N303=CURSOS!$D$9,"HUMANIZACION EN SALUD, BUENAS PRACTICAS EN PACIENTE ",IF(N303=CURSOS!$D$10,"CLINICA DE HERIDAS ",IF(N303=CURSOS!$D$11,"TOMA DE CITOLOGIA A CERVICO VAGINAL ",IF(N303=CURSOS!$D$12,"SOPORTE CARDIOVASCULAR AVANZADO ",IF(N303=CURSOS!$D$13,"CAMILLERO ",IF(N303=CURSOS!$D$14,"TOMA MUESTRAS Y LABORATORIO ",IF(N303=CURSOS!$D$15,"SOPORTE VITAL BASICO (BLS)",IF(N303=CURSOS!$D$16,"ATENCION A VICTIMAS DE VIOLENCIA SEXUAL ",IF(N303=CURSOS!$D$17,"PROGRAMADO AMPLIADO DE INMUNIZACION (PAI - COVID 19)",IF(N303=CURSOS!$D$18,"ATENCION INTEGRAL EN ENFERMEDADES PREVALENTES EN PRIMERA INFANCIA (AIEPI)",IF(N303=CURSOS!$D$19,"ADMINISTRACION DE MEDICAMENTOS, IYECTOLOGIA  Y CANALIZACION ",IF(N303=CURSOS!$D$20,"OPERADOR DE VEHICULOS DE EMERGENCIA (OVE)",IF(N303=CURSOS!$D$21,"INSTITUCIONES AMIGAS DE LA MUJER Y LA INFANCIA (IAMI)",IF(N303=CURSOS!$D$22,"CUIDADO DEL DONANTE DE ORGANOS",IF(N303=CURSOS!$D$23,"ATENCION A VICTIMAS POR VIOLENCIA DE GENERO",IF(N303=CURSOS!$D$24,"IGUALDAD DE GENERO EN LA SALUD",IF(N303=CURSOS!$D$25,"BRIGADA DE EMERGENCIA",IF(N303=CURSOS!$D$26,"MANEJO DEL DOLOR Y CUIDADOS PALIATIVOS",IF(N303=CURSOS!$D$27,"TOMA MUESTRAS Y LABORATORIO POCT",IF(N303=CURSOS!$D$28,"IMPLANTE SUBDERMICO Y DISPOSITIVO INTRAUTERINO",IF(N303=CURSOS!$D$29,"SALUD MENTAL",IF(N303=CURSOS!$D$30,"PRIMEROS AUXILIOS PSICOLOGICOS",IF(N303=CURSOS!$D$31,"ATENCION A VICTIMAS POR CONFLICTO ARMADO",IF(N303=CURSOS!$D$32,"MANIPULACION DE ALIMENTOS Y BPM"))))))))))))))))))))))))))))))</f>
        <v>0</v>
      </c>
      <c r="U303" s="30" t="str">
        <f t="shared" si="36"/>
        <v xml:space="preserve">   </v>
      </c>
      <c r="V303" s="30" t="str">
        <f t="shared" si="37"/>
        <v xml:space="preserve">   </v>
      </c>
      <c r="W303" s="30" t="str">
        <f t="shared" si="38"/>
        <v xml:space="preserve">   --</v>
      </c>
    </row>
    <row r="304" spans="1:23" s="46" customFormat="1" x14ac:dyDescent="0.2">
      <c r="A304" s="31">
        <v>304</v>
      </c>
      <c r="B304" s="31"/>
      <c r="C304" s="31"/>
      <c r="D304" s="31"/>
      <c r="E304" s="31"/>
      <c r="F304" s="31"/>
      <c r="G304" s="18"/>
      <c r="H304" s="18"/>
      <c r="I304" s="22"/>
      <c r="J304" s="57"/>
      <c r="K304" s="18"/>
      <c r="L304" s="18"/>
      <c r="M304" s="18"/>
      <c r="N304" s="19"/>
      <c r="O304" s="45"/>
      <c r="P304" s="31"/>
      <c r="Q304" s="31"/>
      <c r="R304" s="31"/>
      <c r="S304" s="31"/>
      <c r="T304" s="30" t="b">
        <f>IF(N304=CURSOS!$D$3,"DIPLOMADO EN ATENCION PRE-HOSPITALARIA",IF(N304=CURSOS!$D$4,"ACOMPAÑAMIENTO Y MANEJO DEL DUELO",IF(N304=CURSOS!$D$5,"ATENCION A VICTIMAS DE ATAQUE CON AGENTES QUIMICOS ",IF(N304=CURSOS!$D$6,"PRIMEROS AUXILIOS ",IF(N304=CURSOS!$D$7,"DIPLOMADO DE UNIDAD DE CUIDADOS INTENSIVOS (UCI)",IF(N304=CURSOS!$D$8,"MODELO DE ATENCION PARA EVENTOS EMERGENTES EN SALUD MENTAL (CODIGO VERDE)",IF(N304=CURSOS!$D$9,"HUMANIZACION EN SALUD, BUENAS PRACTICAS EN PACIENTE ",IF(N304=CURSOS!$D$10,"CLINICA DE HERIDAS ",IF(N304=CURSOS!$D$11,"TOMA DE CITOLOGIA A CERVICO VAGINAL ",IF(N304=CURSOS!$D$12,"SOPORTE CARDIOVASCULAR AVANZADO ",IF(N304=CURSOS!$D$13,"CAMILLERO ",IF(N304=CURSOS!$D$14,"TOMA MUESTRAS Y LABORATORIO ",IF(N304=CURSOS!$D$15,"SOPORTE VITAL BASICO (BLS)",IF(N304=CURSOS!$D$16,"ATENCION A VICTIMAS DE VIOLENCIA SEXUAL ",IF(N304=CURSOS!$D$17,"PROGRAMADO AMPLIADO DE INMUNIZACION (PAI - COVID 19)",IF(N304=CURSOS!$D$18,"ATENCION INTEGRAL EN ENFERMEDADES PREVALENTES EN PRIMERA INFANCIA (AIEPI)",IF(N304=CURSOS!$D$19,"ADMINISTRACION DE MEDICAMENTOS, IYECTOLOGIA  Y CANALIZACION ",IF(N304=CURSOS!$D$20,"OPERADOR DE VEHICULOS DE EMERGENCIA (OVE)",IF(N304=CURSOS!$D$21,"INSTITUCIONES AMIGAS DE LA MUJER Y LA INFANCIA (IAMI)",IF(N304=CURSOS!$D$22,"CUIDADO DEL DONANTE DE ORGANOS",IF(N304=CURSOS!$D$23,"ATENCION A VICTIMAS POR VIOLENCIA DE GENERO",IF(N304=CURSOS!$D$24,"IGUALDAD DE GENERO EN LA SALUD",IF(N304=CURSOS!$D$25,"BRIGADA DE EMERGENCIA",IF(N304=CURSOS!$D$26,"MANEJO DEL DOLOR Y CUIDADOS PALIATIVOS",IF(N304=CURSOS!$D$27,"TOMA MUESTRAS Y LABORATORIO POCT",IF(N304=CURSOS!$D$28,"IMPLANTE SUBDERMICO Y DISPOSITIVO INTRAUTERINO",IF(N304=CURSOS!$D$29,"SALUD MENTAL",IF(N304=CURSOS!$D$30,"PRIMEROS AUXILIOS PSICOLOGICOS",IF(N304=CURSOS!$D$31,"ATENCION A VICTIMAS POR CONFLICTO ARMADO",IF(N304=CURSOS!$D$32,"MANIPULACION DE ALIMENTOS Y BPM"))))))))))))))))))))))))))))))</f>
        <v>0</v>
      </c>
      <c r="U304" s="30" t="str">
        <f t="shared" si="36"/>
        <v xml:space="preserve">   </v>
      </c>
      <c r="V304" s="30" t="str">
        <f t="shared" si="37"/>
        <v xml:space="preserve">   </v>
      </c>
      <c r="W304" s="30" t="str">
        <f t="shared" si="38"/>
        <v xml:space="preserve">   --</v>
      </c>
    </row>
    <row r="305" spans="1:23" s="46" customFormat="1" x14ac:dyDescent="0.2">
      <c r="A305" s="31">
        <v>305</v>
      </c>
      <c r="B305" s="31"/>
      <c r="C305" s="31"/>
      <c r="D305" s="31"/>
      <c r="E305" s="31"/>
      <c r="F305" s="31"/>
      <c r="G305" s="18"/>
      <c r="H305" s="18"/>
      <c r="I305" s="22"/>
      <c r="J305" s="57"/>
      <c r="K305" s="18"/>
      <c r="L305" s="18"/>
      <c r="M305" s="18"/>
      <c r="N305" s="19"/>
      <c r="O305" s="45"/>
      <c r="P305" s="31"/>
      <c r="Q305" s="31"/>
      <c r="R305" s="31"/>
      <c r="S305" s="31"/>
      <c r="T305" s="30" t="b">
        <f>IF(N305=CURSOS!$D$3,"DIPLOMADO EN ATENCION PRE-HOSPITALARIA",IF(N305=CURSOS!$D$4,"ACOMPAÑAMIENTO Y MANEJO DEL DUELO",IF(N305=CURSOS!$D$5,"ATENCION A VICTIMAS DE ATAQUE CON AGENTES QUIMICOS ",IF(N305=CURSOS!$D$6,"PRIMEROS AUXILIOS ",IF(N305=CURSOS!$D$7,"DIPLOMADO DE UNIDAD DE CUIDADOS INTENSIVOS (UCI)",IF(N305=CURSOS!$D$8,"MODELO DE ATENCION PARA EVENTOS EMERGENTES EN SALUD MENTAL (CODIGO VERDE)",IF(N305=CURSOS!$D$9,"HUMANIZACION EN SALUD, BUENAS PRACTICAS EN PACIENTE ",IF(N305=CURSOS!$D$10,"CLINICA DE HERIDAS ",IF(N305=CURSOS!$D$11,"TOMA DE CITOLOGIA A CERVICO VAGINAL ",IF(N305=CURSOS!$D$12,"SOPORTE CARDIOVASCULAR AVANZADO ",IF(N305=CURSOS!$D$13,"CAMILLERO ",IF(N305=CURSOS!$D$14,"TOMA MUESTRAS Y LABORATORIO ",IF(N305=CURSOS!$D$15,"SOPORTE VITAL BASICO (BLS)",IF(N305=CURSOS!$D$16,"ATENCION A VICTIMAS DE VIOLENCIA SEXUAL ",IF(N305=CURSOS!$D$17,"PROGRAMADO AMPLIADO DE INMUNIZACION (PAI - COVID 19)",IF(N305=CURSOS!$D$18,"ATENCION INTEGRAL EN ENFERMEDADES PREVALENTES EN PRIMERA INFANCIA (AIEPI)",IF(N305=CURSOS!$D$19,"ADMINISTRACION DE MEDICAMENTOS, IYECTOLOGIA  Y CANALIZACION ",IF(N305=CURSOS!$D$20,"OPERADOR DE VEHICULOS DE EMERGENCIA (OVE)",IF(N305=CURSOS!$D$21,"INSTITUCIONES AMIGAS DE LA MUJER Y LA INFANCIA (IAMI)",IF(N305=CURSOS!$D$22,"CUIDADO DEL DONANTE DE ORGANOS",IF(N305=CURSOS!$D$23,"ATENCION A VICTIMAS POR VIOLENCIA DE GENERO",IF(N305=CURSOS!$D$24,"IGUALDAD DE GENERO EN LA SALUD",IF(N305=CURSOS!$D$25,"BRIGADA DE EMERGENCIA",IF(N305=CURSOS!$D$26,"MANEJO DEL DOLOR Y CUIDADOS PALIATIVOS",IF(N305=CURSOS!$D$27,"TOMA MUESTRAS Y LABORATORIO POCT",IF(N305=CURSOS!$D$28,"IMPLANTE SUBDERMICO Y DISPOSITIVO INTRAUTERINO",IF(N305=CURSOS!$D$29,"SALUD MENTAL",IF(N305=CURSOS!$D$30,"PRIMEROS AUXILIOS PSICOLOGICOS",IF(N305=CURSOS!$D$31,"ATENCION A VICTIMAS POR CONFLICTO ARMADO",IF(N305=CURSOS!$D$32,"MANIPULACION DE ALIMENTOS Y BPM"))))))))))))))))))))))))))))))</f>
        <v>0</v>
      </c>
      <c r="U305" s="30" t="str">
        <f t="shared" si="36"/>
        <v xml:space="preserve">   </v>
      </c>
      <c r="V305" s="30" t="str">
        <f t="shared" si="37"/>
        <v xml:space="preserve">   </v>
      </c>
      <c r="W305" s="30" t="str">
        <f t="shared" si="38"/>
        <v xml:space="preserve">   --</v>
      </c>
    </row>
    <row r="306" spans="1:23" s="46" customFormat="1" x14ac:dyDescent="0.2">
      <c r="A306" s="31">
        <v>306</v>
      </c>
      <c r="B306" s="31"/>
      <c r="C306" s="31"/>
      <c r="D306" s="31"/>
      <c r="E306" s="31"/>
      <c r="F306" s="31"/>
      <c r="G306" s="18"/>
      <c r="H306" s="18"/>
      <c r="I306" s="22"/>
      <c r="J306" s="57"/>
      <c r="K306" s="18"/>
      <c r="L306" s="18"/>
      <c r="M306" s="18"/>
      <c r="N306" s="19"/>
      <c r="O306" s="45"/>
      <c r="P306" s="31"/>
      <c r="Q306" s="31"/>
      <c r="R306" s="31"/>
      <c r="S306" s="31"/>
      <c r="T306" s="30" t="b">
        <f>IF(N306=CURSOS!$D$3,"DIPLOMADO EN ATENCION PRE-HOSPITALARIA",IF(N306=CURSOS!$D$4,"ACOMPAÑAMIENTO Y MANEJO DEL DUELO",IF(N306=CURSOS!$D$5,"ATENCION A VICTIMAS DE ATAQUE CON AGENTES QUIMICOS ",IF(N306=CURSOS!$D$6,"PRIMEROS AUXILIOS ",IF(N306=CURSOS!$D$7,"DIPLOMADO DE UNIDAD DE CUIDADOS INTENSIVOS (UCI)",IF(N306=CURSOS!$D$8,"MODELO DE ATENCION PARA EVENTOS EMERGENTES EN SALUD MENTAL (CODIGO VERDE)",IF(N306=CURSOS!$D$9,"HUMANIZACION EN SALUD, BUENAS PRACTICAS EN PACIENTE ",IF(N306=CURSOS!$D$10,"CLINICA DE HERIDAS ",IF(N306=CURSOS!$D$11,"TOMA DE CITOLOGIA A CERVICO VAGINAL ",IF(N306=CURSOS!$D$12,"SOPORTE CARDIOVASCULAR AVANZADO ",IF(N306=CURSOS!$D$13,"CAMILLERO ",IF(N306=CURSOS!$D$14,"TOMA MUESTRAS Y LABORATORIO ",IF(N306=CURSOS!$D$15,"SOPORTE VITAL BASICO (BLS)",IF(N306=CURSOS!$D$16,"ATENCION A VICTIMAS DE VIOLENCIA SEXUAL ",IF(N306=CURSOS!$D$17,"PROGRAMADO AMPLIADO DE INMUNIZACION (PAI - COVID 19)",IF(N306=CURSOS!$D$18,"ATENCION INTEGRAL EN ENFERMEDADES PREVALENTES EN PRIMERA INFANCIA (AIEPI)",IF(N306=CURSOS!$D$19,"ADMINISTRACION DE MEDICAMENTOS, IYECTOLOGIA  Y CANALIZACION ",IF(N306=CURSOS!$D$20,"OPERADOR DE VEHICULOS DE EMERGENCIA (OVE)",IF(N306=CURSOS!$D$21,"INSTITUCIONES AMIGAS DE LA MUJER Y LA INFANCIA (IAMI)",IF(N306=CURSOS!$D$22,"CUIDADO DEL DONANTE DE ORGANOS",IF(N306=CURSOS!$D$23,"ATENCION A VICTIMAS POR VIOLENCIA DE GENERO",IF(N306=CURSOS!$D$24,"IGUALDAD DE GENERO EN LA SALUD",IF(N306=CURSOS!$D$25,"BRIGADA DE EMERGENCIA",IF(N306=CURSOS!$D$26,"MANEJO DEL DOLOR Y CUIDADOS PALIATIVOS",IF(N306=CURSOS!$D$27,"TOMA MUESTRAS Y LABORATORIO POCT",IF(N306=CURSOS!$D$28,"IMPLANTE SUBDERMICO Y DISPOSITIVO INTRAUTERINO",IF(N306=CURSOS!$D$29,"SALUD MENTAL",IF(N306=CURSOS!$D$30,"PRIMEROS AUXILIOS PSICOLOGICOS",IF(N306=CURSOS!$D$31,"ATENCION A VICTIMAS POR CONFLICTO ARMADO",IF(N306=CURSOS!$D$32,"MANIPULACION DE ALIMENTOS Y BPM"))))))))))))))))))))))))))))))</f>
        <v>0</v>
      </c>
      <c r="U306" s="30" t="str">
        <f t="shared" si="36"/>
        <v xml:space="preserve">   </v>
      </c>
      <c r="V306" s="30" t="str">
        <f t="shared" si="37"/>
        <v xml:space="preserve">   </v>
      </c>
      <c r="W306" s="30" t="str">
        <f t="shared" si="38"/>
        <v xml:space="preserve">   --</v>
      </c>
    </row>
    <row r="307" spans="1:23" s="46" customFormat="1" x14ac:dyDescent="0.2">
      <c r="A307" s="31">
        <v>307</v>
      </c>
      <c r="B307" s="31"/>
      <c r="C307" s="31"/>
      <c r="D307" s="31"/>
      <c r="E307" s="31"/>
      <c r="F307" s="31"/>
      <c r="G307" s="18"/>
      <c r="H307" s="18"/>
      <c r="I307" s="22"/>
      <c r="J307" s="57"/>
      <c r="K307" s="18"/>
      <c r="L307" s="18"/>
      <c r="M307" s="18"/>
      <c r="N307" s="19"/>
      <c r="O307" s="45"/>
      <c r="P307" s="31"/>
      <c r="Q307" s="31"/>
      <c r="R307" s="31"/>
      <c r="S307" s="31"/>
      <c r="T307" s="30" t="b">
        <f>IF(N307=CURSOS!$D$3,"DIPLOMADO EN ATENCION PRE-HOSPITALARIA",IF(N307=CURSOS!$D$4,"ACOMPAÑAMIENTO Y MANEJO DEL DUELO",IF(N307=CURSOS!$D$5,"ATENCION A VICTIMAS DE ATAQUE CON AGENTES QUIMICOS ",IF(N307=CURSOS!$D$6,"PRIMEROS AUXILIOS ",IF(N307=CURSOS!$D$7,"DIPLOMADO DE UNIDAD DE CUIDADOS INTENSIVOS (UCI)",IF(N307=CURSOS!$D$8,"MODELO DE ATENCION PARA EVENTOS EMERGENTES EN SALUD MENTAL (CODIGO VERDE)",IF(N307=CURSOS!$D$9,"HUMANIZACION EN SALUD, BUENAS PRACTICAS EN PACIENTE ",IF(N307=CURSOS!$D$10,"CLINICA DE HERIDAS ",IF(N307=CURSOS!$D$11,"TOMA DE CITOLOGIA A CERVICO VAGINAL ",IF(N307=CURSOS!$D$12,"SOPORTE CARDIOVASCULAR AVANZADO ",IF(N307=CURSOS!$D$13,"CAMILLERO ",IF(N307=CURSOS!$D$14,"TOMA MUESTRAS Y LABORATORIO ",IF(N307=CURSOS!$D$15,"SOPORTE VITAL BASICO (BLS)",IF(N307=CURSOS!$D$16,"ATENCION A VICTIMAS DE VIOLENCIA SEXUAL ",IF(N307=CURSOS!$D$17,"PROGRAMADO AMPLIADO DE INMUNIZACION (PAI - COVID 19)",IF(N307=CURSOS!$D$18,"ATENCION INTEGRAL EN ENFERMEDADES PREVALENTES EN PRIMERA INFANCIA (AIEPI)",IF(N307=CURSOS!$D$19,"ADMINISTRACION DE MEDICAMENTOS, IYECTOLOGIA  Y CANALIZACION ",IF(N307=CURSOS!$D$20,"OPERADOR DE VEHICULOS DE EMERGENCIA (OVE)",IF(N307=CURSOS!$D$21,"INSTITUCIONES AMIGAS DE LA MUJER Y LA INFANCIA (IAMI)",IF(N307=CURSOS!$D$22,"CUIDADO DEL DONANTE DE ORGANOS",IF(N307=CURSOS!$D$23,"ATENCION A VICTIMAS POR VIOLENCIA DE GENERO",IF(N307=CURSOS!$D$24,"IGUALDAD DE GENERO EN LA SALUD",IF(N307=CURSOS!$D$25,"BRIGADA DE EMERGENCIA",IF(N307=CURSOS!$D$26,"MANEJO DEL DOLOR Y CUIDADOS PALIATIVOS",IF(N307=CURSOS!$D$27,"TOMA MUESTRAS Y LABORATORIO POCT",IF(N307=CURSOS!$D$28,"IMPLANTE SUBDERMICO Y DISPOSITIVO INTRAUTERINO",IF(N307=CURSOS!$D$29,"SALUD MENTAL",IF(N307=CURSOS!$D$30,"PRIMEROS AUXILIOS PSICOLOGICOS",IF(N307=CURSOS!$D$31,"ATENCION A VICTIMAS POR CONFLICTO ARMADO",IF(N307=CURSOS!$D$32,"MANIPULACION DE ALIMENTOS Y BPM"))))))))))))))))))))))))))))))</f>
        <v>0</v>
      </c>
      <c r="U307" s="30" t="str">
        <f t="shared" si="36"/>
        <v xml:space="preserve">   </v>
      </c>
      <c r="V307" s="30" t="str">
        <f t="shared" si="37"/>
        <v xml:space="preserve">   </v>
      </c>
      <c r="W307" s="30" t="str">
        <f t="shared" si="38"/>
        <v xml:space="preserve">   --</v>
      </c>
    </row>
    <row r="308" spans="1:23" s="46" customFormat="1" x14ac:dyDescent="0.2">
      <c r="A308" s="31">
        <v>308</v>
      </c>
      <c r="B308" s="31"/>
      <c r="C308" s="31"/>
      <c r="D308" s="31"/>
      <c r="E308" s="31"/>
      <c r="F308" s="31"/>
      <c r="G308" s="18"/>
      <c r="H308" s="18"/>
      <c r="I308" s="22"/>
      <c r="J308" s="57"/>
      <c r="K308" s="18"/>
      <c r="L308" s="18"/>
      <c r="M308" s="18"/>
      <c r="N308" s="19"/>
      <c r="O308" s="45"/>
      <c r="P308" s="31"/>
      <c r="Q308" s="31"/>
      <c r="R308" s="31"/>
      <c r="S308" s="31"/>
      <c r="T308" s="30" t="b">
        <f>IF(N308=CURSOS!$D$3,"DIPLOMADO EN ATENCION PRE-HOSPITALARIA",IF(N308=CURSOS!$D$4,"ACOMPAÑAMIENTO Y MANEJO DEL DUELO",IF(N308=CURSOS!$D$5,"ATENCION A VICTIMAS DE ATAQUE CON AGENTES QUIMICOS ",IF(N308=CURSOS!$D$6,"PRIMEROS AUXILIOS ",IF(N308=CURSOS!$D$7,"DIPLOMADO DE UNIDAD DE CUIDADOS INTENSIVOS (UCI)",IF(N308=CURSOS!$D$8,"MODELO DE ATENCION PARA EVENTOS EMERGENTES EN SALUD MENTAL (CODIGO VERDE)",IF(N308=CURSOS!$D$9,"HUMANIZACION EN SALUD, BUENAS PRACTICAS EN PACIENTE ",IF(N308=CURSOS!$D$10,"CLINICA DE HERIDAS ",IF(N308=CURSOS!$D$11,"TOMA DE CITOLOGIA A CERVICO VAGINAL ",IF(N308=CURSOS!$D$12,"SOPORTE CARDIOVASCULAR AVANZADO ",IF(N308=CURSOS!$D$13,"CAMILLERO ",IF(N308=CURSOS!$D$14,"TOMA MUESTRAS Y LABORATORIO ",IF(N308=CURSOS!$D$15,"SOPORTE VITAL BASICO (BLS)",IF(N308=CURSOS!$D$16,"ATENCION A VICTIMAS DE VIOLENCIA SEXUAL ",IF(N308=CURSOS!$D$17,"PROGRAMADO AMPLIADO DE INMUNIZACION (PAI - COVID 19)",IF(N308=CURSOS!$D$18,"ATENCION INTEGRAL EN ENFERMEDADES PREVALENTES EN PRIMERA INFANCIA (AIEPI)",IF(N308=CURSOS!$D$19,"ADMINISTRACION DE MEDICAMENTOS, IYECTOLOGIA  Y CANALIZACION ",IF(N308=CURSOS!$D$20,"OPERADOR DE VEHICULOS DE EMERGENCIA (OVE)",IF(N308=CURSOS!$D$21,"INSTITUCIONES AMIGAS DE LA MUJER Y LA INFANCIA (IAMI)",IF(N308=CURSOS!$D$22,"CUIDADO DEL DONANTE DE ORGANOS",IF(N308=CURSOS!$D$23,"ATENCION A VICTIMAS POR VIOLENCIA DE GENERO",IF(N308=CURSOS!$D$24,"IGUALDAD DE GENERO EN LA SALUD",IF(N308=CURSOS!$D$25,"BRIGADA DE EMERGENCIA",IF(N308=CURSOS!$D$26,"MANEJO DEL DOLOR Y CUIDADOS PALIATIVOS",IF(N308=CURSOS!$D$27,"TOMA MUESTRAS Y LABORATORIO POCT",IF(N308=CURSOS!$D$28,"IMPLANTE SUBDERMICO Y DISPOSITIVO INTRAUTERINO",IF(N308=CURSOS!$D$29,"SALUD MENTAL",IF(N308=CURSOS!$D$30,"PRIMEROS AUXILIOS PSICOLOGICOS",IF(N308=CURSOS!$D$31,"ATENCION A VICTIMAS POR CONFLICTO ARMADO",IF(N308=CURSOS!$D$32,"MANIPULACION DE ALIMENTOS Y BPM"))))))))))))))))))))))))))))))</f>
        <v>0</v>
      </c>
      <c r="U308" s="30" t="str">
        <f t="shared" si="36"/>
        <v xml:space="preserve">   </v>
      </c>
      <c r="V308" s="30" t="str">
        <f t="shared" si="37"/>
        <v xml:space="preserve">   </v>
      </c>
      <c r="W308" s="30" t="str">
        <f t="shared" si="38"/>
        <v xml:space="preserve">   --</v>
      </c>
    </row>
    <row r="309" spans="1:23" s="46" customFormat="1" x14ac:dyDescent="0.2">
      <c r="A309" s="31">
        <v>309</v>
      </c>
      <c r="B309" s="31"/>
      <c r="C309" s="31"/>
      <c r="D309" s="31"/>
      <c r="E309" s="31"/>
      <c r="F309" s="31"/>
      <c r="G309" s="18"/>
      <c r="H309" s="18"/>
      <c r="I309" s="22"/>
      <c r="J309" s="57"/>
      <c r="K309" s="18"/>
      <c r="L309" s="18"/>
      <c r="M309" s="18"/>
      <c r="N309" s="19"/>
      <c r="O309" s="45"/>
      <c r="P309" s="31"/>
      <c r="Q309" s="31"/>
      <c r="R309" s="31"/>
      <c r="S309" s="31"/>
      <c r="T309" s="30" t="b">
        <f>IF(N309=CURSOS!$D$3,"DIPLOMADO EN ATENCION PRE-HOSPITALARIA",IF(N309=CURSOS!$D$4,"ACOMPAÑAMIENTO Y MANEJO DEL DUELO",IF(N309=CURSOS!$D$5,"ATENCION A VICTIMAS DE ATAQUE CON AGENTES QUIMICOS ",IF(N309=CURSOS!$D$6,"PRIMEROS AUXILIOS ",IF(N309=CURSOS!$D$7,"DIPLOMADO DE UNIDAD DE CUIDADOS INTENSIVOS (UCI)",IF(N309=CURSOS!$D$8,"MODELO DE ATENCION PARA EVENTOS EMERGENTES EN SALUD MENTAL (CODIGO VERDE)",IF(N309=CURSOS!$D$9,"HUMANIZACION EN SALUD, BUENAS PRACTICAS EN PACIENTE ",IF(N309=CURSOS!$D$10,"CLINICA DE HERIDAS ",IF(N309=CURSOS!$D$11,"TOMA DE CITOLOGIA A CERVICO VAGINAL ",IF(N309=CURSOS!$D$12,"SOPORTE CARDIOVASCULAR AVANZADO ",IF(N309=CURSOS!$D$13,"CAMILLERO ",IF(N309=CURSOS!$D$14,"TOMA MUESTRAS Y LABORATORIO ",IF(N309=CURSOS!$D$15,"SOPORTE VITAL BASICO (BLS)",IF(N309=CURSOS!$D$16,"ATENCION A VICTIMAS DE VIOLENCIA SEXUAL ",IF(N309=CURSOS!$D$17,"PROGRAMADO AMPLIADO DE INMUNIZACION (PAI - COVID 19)",IF(N309=CURSOS!$D$18,"ATENCION INTEGRAL EN ENFERMEDADES PREVALENTES EN PRIMERA INFANCIA (AIEPI)",IF(N309=CURSOS!$D$19,"ADMINISTRACION DE MEDICAMENTOS, IYECTOLOGIA  Y CANALIZACION ",IF(N309=CURSOS!$D$20,"OPERADOR DE VEHICULOS DE EMERGENCIA (OVE)",IF(N309=CURSOS!$D$21,"INSTITUCIONES AMIGAS DE LA MUJER Y LA INFANCIA (IAMI)",IF(N309=CURSOS!$D$22,"CUIDADO DEL DONANTE DE ORGANOS",IF(N309=CURSOS!$D$23,"ATENCION A VICTIMAS POR VIOLENCIA DE GENERO",IF(N309=CURSOS!$D$24,"IGUALDAD DE GENERO EN LA SALUD",IF(N309=CURSOS!$D$25,"BRIGADA DE EMERGENCIA",IF(N309=CURSOS!$D$26,"MANEJO DEL DOLOR Y CUIDADOS PALIATIVOS",IF(N309=CURSOS!$D$27,"TOMA MUESTRAS Y LABORATORIO POCT",IF(N309=CURSOS!$D$28,"IMPLANTE SUBDERMICO Y DISPOSITIVO INTRAUTERINO",IF(N309=CURSOS!$D$29,"SALUD MENTAL",IF(N309=CURSOS!$D$30,"PRIMEROS AUXILIOS PSICOLOGICOS",IF(N309=CURSOS!$D$31,"ATENCION A VICTIMAS POR CONFLICTO ARMADO",IF(N309=CURSOS!$D$32,"MANIPULACION DE ALIMENTOS Y BPM"))))))))))))))))))))))))))))))</f>
        <v>0</v>
      </c>
      <c r="U309" s="30" t="str">
        <f t="shared" si="36"/>
        <v xml:space="preserve">   </v>
      </c>
      <c r="V309" s="30" t="str">
        <f t="shared" si="37"/>
        <v xml:space="preserve">   </v>
      </c>
      <c r="W309" s="30" t="str">
        <f t="shared" si="38"/>
        <v xml:space="preserve">   --</v>
      </c>
    </row>
    <row r="310" spans="1:23" s="46" customFormat="1" x14ac:dyDescent="0.2">
      <c r="A310" s="31">
        <v>310</v>
      </c>
      <c r="B310" s="31"/>
      <c r="C310" s="31"/>
      <c r="D310" s="31"/>
      <c r="E310" s="31"/>
      <c r="F310" s="31"/>
      <c r="G310" s="18"/>
      <c r="H310" s="18"/>
      <c r="I310" s="22"/>
      <c r="J310" s="57"/>
      <c r="K310" s="18"/>
      <c r="L310" s="18"/>
      <c r="M310" s="18"/>
      <c r="N310" s="19"/>
      <c r="O310" s="45"/>
      <c r="P310" s="31"/>
      <c r="Q310" s="31"/>
      <c r="R310" s="31"/>
      <c r="S310" s="31"/>
      <c r="T310" s="30" t="b">
        <f>IF(N310=CURSOS!$D$3,"DIPLOMADO EN ATENCION PRE-HOSPITALARIA",IF(N310=CURSOS!$D$4,"ACOMPAÑAMIENTO Y MANEJO DEL DUELO",IF(N310=CURSOS!$D$5,"ATENCION A VICTIMAS DE ATAQUE CON AGENTES QUIMICOS ",IF(N310=CURSOS!$D$6,"PRIMEROS AUXILIOS ",IF(N310=CURSOS!$D$7,"DIPLOMADO DE UNIDAD DE CUIDADOS INTENSIVOS (UCI)",IF(N310=CURSOS!$D$8,"MODELO DE ATENCION PARA EVENTOS EMERGENTES EN SALUD MENTAL (CODIGO VERDE)",IF(N310=CURSOS!$D$9,"HUMANIZACION EN SALUD, BUENAS PRACTICAS EN PACIENTE ",IF(N310=CURSOS!$D$10,"CLINICA DE HERIDAS ",IF(N310=CURSOS!$D$11,"TOMA DE CITOLOGIA A CERVICO VAGINAL ",IF(N310=CURSOS!$D$12,"SOPORTE CARDIOVASCULAR AVANZADO ",IF(N310=CURSOS!$D$13,"CAMILLERO ",IF(N310=CURSOS!$D$14,"TOMA MUESTRAS Y LABORATORIO ",IF(N310=CURSOS!$D$15,"SOPORTE VITAL BASICO (BLS)",IF(N310=CURSOS!$D$16,"ATENCION A VICTIMAS DE VIOLENCIA SEXUAL ",IF(N310=CURSOS!$D$17,"PROGRAMADO AMPLIADO DE INMUNIZACION (PAI - COVID 19)",IF(N310=CURSOS!$D$18,"ATENCION INTEGRAL EN ENFERMEDADES PREVALENTES EN PRIMERA INFANCIA (AIEPI)",IF(N310=CURSOS!$D$19,"ADMINISTRACION DE MEDICAMENTOS, IYECTOLOGIA  Y CANALIZACION ",IF(N310=CURSOS!$D$20,"OPERADOR DE VEHICULOS DE EMERGENCIA (OVE)",IF(N310=CURSOS!$D$21,"INSTITUCIONES AMIGAS DE LA MUJER Y LA INFANCIA (IAMI)",IF(N310=CURSOS!$D$22,"CUIDADO DEL DONANTE DE ORGANOS",IF(N310=CURSOS!$D$23,"ATENCION A VICTIMAS POR VIOLENCIA DE GENERO",IF(N310=CURSOS!$D$24,"IGUALDAD DE GENERO EN LA SALUD",IF(N310=CURSOS!$D$25,"BRIGADA DE EMERGENCIA",IF(N310=CURSOS!$D$26,"MANEJO DEL DOLOR Y CUIDADOS PALIATIVOS",IF(N310=CURSOS!$D$27,"TOMA MUESTRAS Y LABORATORIO POCT",IF(N310=CURSOS!$D$28,"IMPLANTE SUBDERMICO Y DISPOSITIVO INTRAUTERINO",IF(N310=CURSOS!$D$29,"SALUD MENTAL",IF(N310=CURSOS!$D$30,"PRIMEROS AUXILIOS PSICOLOGICOS",IF(N310=CURSOS!$D$31,"ATENCION A VICTIMAS POR CONFLICTO ARMADO",IF(N310=CURSOS!$D$32,"MANIPULACION DE ALIMENTOS Y BPM"))))))))))))))))))))))))))))))</f>
        <v>0</v>
      </c>
      <c r="U310" s="30" t="str">
        <f t="shared" si="36"/>
        <v xml:space="preserve">   </v>
      </c>
      <c r="V310" s="30" t="str">
        <f t="shared" si="37"/>
        <v xml:space="preserve">   </v>
      </c>
      <c r="W310" s="30" t="str">
        <f t="shared" si="38"/>
        <v xml:space="preserve">   --</v>
      </c>
    </row>
    <row r="311" spans="1:23" s="46" customFormat="1" x14ac:dyDescent="0.2">
      <c r="A311" s="31">
        <v>311</v>
      </c>
      <c r="B311" s="31"/>
      <c r="C311" s="31"/>
      <c r="D311" s="31"/>
      <c r="E311" s="31"/>
      <c r="F311" s="31"/>
      <c r="G311" s="18"/>
      <c r="H311" s="18"/>
      <c r="I311" s="22"/>
      <c r="J311" s="57"/>
      <c r="K311" s="18"/>
      <c r="L311" s="18"/>
      <c r="M311" s="18"/>
      <c r="N311" s="19"/>
      <c r="O311" s="45"/>
      <c r="P311" s="31"/>
      <c r="Q311" s="31"/>
      <c r="R311" s="31"/>
      <c r="S311" s="31"/>
      <c r="T311" s="30" t="b">
        <f>IF(N311=CURSOS!$D$3,"DIPLOMADO EN ATENCION PRE-HOSPITALARIA",IF(N311=CURSOS!$D$4,"ACOMPAÑAMIENTO Y MANEJO DEL DUELO",IF(N311=CURSOS!$D$5,"ATENCION A VICTIMAS DE ATAQUE CON AGENTES QUIMICOS ",IF(N311=CURSOS!$D$6,"PRIMEROS AUXILIOS ",IF(N311=CURSOS!$D$7,"DIPLOMADO DE UNIDAD DE CUIDADOS INTENSIVOS (UCI)",IF(N311=CURSOS!$D$8,"MODELO DE ATENCION PARA EVENTOS EMERGENTES EN SALUD MENTAL (CODIGO VERDE)",IF(N311=CURSOS!$D$9,"HUMANIZACION EN SALUD, BUENAS PRACTICAS EN PACIENTE ",IF(N311=CURSOS!$D$10,"CLINICA DE HERIDAS ",IF(N311=CURSOS!$D$11,"TOMA DE CITOLOGIA A CERVICO VAGINAL ",IF(N311=CURSOS!$D$12,"SOPORTE CARDIOVASCULAR AVANZADO ",IF(N311=CURSOS!$D$13,"CAMILLERO ",IF(N311=CURSOS!$D$14,"TOMA MUESTRAS Y LABORATORIO ",IF(N311=CURSOS!$D$15,"SOPORTE VITAL BASICO (BLS)",IF(N311=CURSOS!$D$16,"ATENCION A VICTIMAS DE VIOLENCIA SEXUAL ",IF(N311=CURSOS!$D$17,"PROGRAMADO AMPLIADO DE INMUNIZACION (PAI - COVID 19)",IF(N311=CURSOS!$D$18,"ATENCION INTEGRAL EN ENFERMEDADES PREVALENTES EN PRIMERA INFANCIA (AIEPI)",IF(N311=CURSOS!$D$19,"ADMINISTRACION DE MEDICAMENTOS, IYECTOLOGIA  Y CANALIZACION ",IF(N311=CURSOS!$D$20,"OPERADOR DE VEHICULOS DE EMERGENCIA (OVE)",IF(N311=CURSOS!$D$21,"INSTITUCIONES AMIGAS DE LA MUJER Y LA INFANCIA (IAMI)",IF(N311=CURSOS!$D$22,"CUIDADO DEL DONANTE DE ORGANOS",IF(N311=CURSOS!$D$23,"ATENCION A VICTIMAS POR VIOLENCIA DE GENERO",IF(N311=CURSOS!$D$24,"IGUALDAD DE GENERO EN LA SALUD",IF(N311=CURSOS!$D$25,"BRIGADA DE EMERGENCIA",IF(N311=CURSOS!$D$26,"MANEJO DEL DOLOR Y CUIDADOS PALIATIVOS",IF(N311=CURSOS!$D$27,"TOMA MUESTRAS Y LABORATORIO POCT",IF(N311=CURSOS!$D$28,"IMPLANTE SUBDERMICO Y DISPOSITIVO INTRAUTERINO",IF(N311=CURSOS!$D$29,"SALUD MENTAL",IF(N311=CURSOS!$D$30,"PRIMEROS AUXILIOS PSICOLOGICOS",IF(N311=CURSOS!$D$31,"ATENCION A VICTIMAS POR CONFLICTO ARMADO",IF(N311=CURSOS!$D$32,"MANIPULACION DE ALIMENTOS Y BPM"))))))))))))))))))))))))))))))</f>
        <v>0</v>
      </c>
      <c r="U311" s="30" t="str">
        <f t="shared" si="36"/>
        <v xml:space="preserve">   </v>
      </c>
      <c r="V311" s="30" t="str">
        <f t="shared" si="37"/>
        <v xml:space="preserve">   </v>
      </c>
      <c r="W311" s="30" t="str">
        <f t="shared" si="38"/>
        <v xml:space="preserve">   --</v>
      </c>
    </row>
    <row r="312" spans="1:23" s="46" customFormat="1" x14ac:dyDescent="0.2">
      <c r="A312" s="31">
        <v>312</v>
      </c>
      <c r="B312" s="31"/>
      <c r="C312" s="31"/>
      <c r="D312" s="31"/>
      <c r="E312" s="31"/>
      <c r="F312" s="31"/>
      <c r="G312" s="18"/>
      <c r="H312" s="18"/>
      <c r="I312" s="22"/>
      <c r="J312" s="57"/>
      <c r="K312" s="18"/>
      <c r="L312" s="18"/>
      <c r="M312" s="18"/>
      <c r="N312" s="19"/>
      <c r="O312" s="45"/>
      <c r="P312" s="31"/>
      <c r="Q312" s="31"/>
      <c r="R312" s="31"/>
      <c r="S312" s="31"/>
      <c r="T312" s="30" t="b">
        <f>IF(N312=CURSOS!$D$3,"DIPLOMADO EN ATENCION PRE-HOSPITALARIA",IF(N312=CURSOS!$D$4,"ACOMPAÑAMIENTO Y MANEJO DEL DUELO",IF(N312=CURSOS!$D$5,"ATENCION A VICTIMAS DE ATAQUE CON AGENTES QUIMICOS ",IF(N312=CURSOS!$D$6,"PRIMEROS AUXILIOS ",IF(N312=CURSOS!$D$7,"DIPLOMADO DE UNIDAD DE CUIDADOS INTENSIVOS (UCI)",IF(N312=CURSOS!$D$8,"MODELO DE ATENCION PARA EVENTOS EMERGENTES EN SALUD MENTAL (CODIGO VERDE)",IF(N312=CURSOS!$D$9,"HUMANIZACION EN SALUD, BUENAS PRACTICAS EN PACIENTE ",IF(N312=CURSOS!$D$10,"CLINICA DE HERIDAS ",IF(N312=CURSOS!$D$11,"TOMA DE CITOLOGIA A CERVICO VAGINAL ",IF(N312=CURSOS!$D$12,"SOPORTE CARDIOVASCULAR AVANZADO ",IF(N312=CURSOS!$D$13,"CAMILLERO ",IF(N312=CURSOS!$D$14,"TOMA MUESTRAS Y LABORATORIO ",IF(N312=CURSOS!$D$15,"SOPORTE VITAL BASICO (BLS)",IF(N312=CURSOS!$D$16,"ATENCION A VICTIMAS DE VIOLENCIA SEXUAL ",IF(N312=CURSOS!$D$17,"PROGRAMADO AMPLIADO DE INMUNIZACION (PAI - COVID 19)",IF(N312=CURSOS!$D$18,"ATENCION INTEGRAL EN ENFERMEDADES PREVALENTES EN PRIMERA INFANCIA (AIEPI)",IF(N312=CURSOS!$D$19,"ADMINISTRACION DE MEDICAMENTOS, IYECTOLOGIA  Y CANALIZACION ",IF(N312=CURSOS!$D$20,"OPERADOR DE VEHICULOS DE EMERGENCIA (OVE)",IF(N312=CURSOS!$D$21,"INSTITUCIONES AMIGAS DE LA MUJER Y LA INFANCIA (IAMI)",IF(N312=CURSOS!$D$22,"CUIDADO DEL DONANTE DE ORGANOS",IF(N312=CURSOS!$D$23,"ATENCION A VICTIMAS POR VIOLENCIA DE GENERO",IF(N312=CURSOS!$D$24,"IGUALDAD DE GENERO EN LA SALUD",IF(N312=CURSOS!$D$25,"BRIGADA DE EMERGENCIA",IF(N312=CURSOS!$D$26,"MANEJO DEL DOLOR Y CUIDADOS PALIATIVOS",IF(N312=CURSOS!$D$27,"TOMA MUESTRAS Y LABORATORIO POCT",IF(N312=CURSOS!$D$28,"IMPLANTE SUBDERMICO Y DISPOSITIVO INTRAUTERINO",IF(N312=CURSOS!$D$29,"SALUD MENTAL",IF(N312=CURSOS!$D$30,"PRIMEROS AUXILIOS PSICOLOGICOS",IF(N312=CURSOS!$D$31,"ATENCION A VICTIMAS POR CONFLICTO ARMADO",IF(N312=CURSOS!$D$32,"MANIPULACION DE ALIMENTOS Y BPM"))))))))))))))))))))))))))))))</f>
        <v>0</v>
      </c>
      <c r="U312" s="30" t="str">
        <f t="shared" si="36"/>
        <v xml:space="preserve">   </v>
      </c>
      <c r="V312" s="30" t="str">
        <f t="shared" si="37"/>
        <v xml:space="preserve">   </v>
      </c>
      <c r="W312" s="30" t="str">
        <f t="shared" si="38"/>
        <v xml:space="preserve">   --</v>
      </c>
    </row>
    <row r="313" spans="1:23" s="46" customFormat="1" x14ac:dyDescent="0.2">
      <c r="A313" s="31">
        <v>313</v>
      </c>
      <c r="B313" s="31"/>
      <c r="C313" s="31"/>
      <c r="D313" s="31"/>
      <c r="E313" s="31"/>
      <c r="F313" s="31"/>
      <c r="G313" s="18"/>
      <c r="H313" s="18"/>
      <c r="I313" s="22"/>
      <c r="J313" s="57"/>
      <c r="K313" s="18"/>
      <c r="L313" s="18"/>
      <c r="M313" s="18"/>
      <c r="N313" s="19"/>
      <c r="O313" s="45"/>
      <c r="P313" s="31"/>
      <c r="Q313" s="31"/>
      <c r="R313" s="31"/>
      <c r="S313" s="31"/>
      <c r="T313" s="30" t="b">
        <f>IF(N313=CURSOS!$D$3,"DIPLOMADO EN ATENCION PRE-HOSPITALARIA",IF(N313=CURSOS!$D$4,"ACOMPAÑAMIENTO Y MANEJO DEL DUELO",IF(N313=CURSOS!$D$5,"ATENCION A VICTIMAS DE ATAQUE CON AGENTES QUIMICOS ",IF(N313=CURSOS!$D$6,"PRIMEROS AUXILIOS ",IF(N313=CURSOS!$D$7,"DIPLOMADO DE UNIDAD DE CUIDADOS INTENSIVOS (UCI)",IF(N313=CURSOS!$D$8,"MODELO DE ATENCION PARA EVENTOS EMERGENTES EN SALUD MENTAL (CODIGO VERDE)",IF(N313=CURSOS!$D$9,"HUMANIZACION EN SALUD, BUENAS PRACTICAS EN PACIENTE ",IF(N313=CURSOS!$D$10,"CLINICA DE HERIDAS ",IF(N313=CURSOS!$D$11,"TOMA DE CITOLOGIA A CERVICO VAGINAL ",IF(N313=CURSOS!$D$12,"SOPORTE CARDIOVASCULAR AVANZADO ",IF(N313=CURSOS!$D$13,"CAMILLERO ",IF(N313=CURSOS!$D$14,"TOMA MUESTRAS Y LABORATORIO ",IF(N313=CURSOS!$D$15,"SOPORTE VITAL BASICO (BLS)",IF(N313=CURSOS!$D$16,"ATENCION A VICTIMAS DE VIOLENCIA SEXUAL ",IF(N313=CURSOS!$D$17,"PROGRAMADO AMPLIADO DE INMUNIZACION (PAI - COVID 19)",IF(N313=CURSOS!$D$18,"ATENCION INTEGRAL EN ENFERMEDADES PREVALENTES EN PRIMERA INFANCIA (AIEPI)",IF(N313=CURSOS!$D$19,"ADMINISTRACION DE MEDICAMENTOS, IYECTOLOGIA  Y CANALIZACION ",IF(N313=CURSOS!$D$20,"OPERADOR DE VEHICULOS DE EMERGENCIA (OVE)",IF(N313=CURSOS!$D$21,"INSTITUCIONES AMIGAS DE LA MUJER Y LA INFANCIA (IAMI)",IF(N313=CURSOS!$D$22,"CUIDADO DEL DONANTE DE ORGANOS",IF(N313=CURSOS!$D$23,"ATENCION A VICTIMAS POR VIOLENCIA DE GENERO",IF(N313=CURSOS!$D$24,"IGUALDAD DE GENERO EN LA SALUD",IF(N313=CURSOS!$D$25,"BRIGADA DE EMERGENCIA",IF(N313=CURSOS!$D$26,"MANEJO DEL DOLOR Y CUIDADOS PALIATIVOS",IF(N313=CURSOS!$D$27,"TOMA MUESTRAS Y LABORATORIO POCT",IF(N313=CURSOS!$D$28,"IMPLANTE SUBDERMICO Y DISPOSITIVO INTRAUTERINO",IF(N313=CURSOS!$D$29,"SALUD MENTAL",IF(N313=CURSOS!$D$30,"PRIMEROS AUXILIOS PSICOLOGICOS",IF(N313=CURSOS!$D$31,"ATENCION A VICTIMAS POR CONFLICTO ARMADO",IF(N313=CURSOS!$D$32,"MANIPULACION DE ALIMENTOS Y BPM"))))))))))))))))))))))))))))))</f>
        <v>0</v>
      </c>
      <c r="U313" s="30" t="str">
        <f t="shared" si="36"/>
        <v xml:space="preserve">   </v>
      </c>
      <c r="V313" s="30" t="str">
        <f t="shared" si="37"/>
        <v xml:space="preserve">   </v>
      </c>
      <c r="W313" s="30" t="str">
        <f t="shared" si="38"/>
        <v xml:space="preserve">   --</v>
      </c>
    </row>
    <row r="314" spans="1:23" s="46" customFormat="1" x14ac:dyDescent="0.2">
      <c r="A314" s="31">
        <v>314</v>
      </c>
      <c r="B314" s="31"/>
      <c r="C314" s="31"/>
      <c r="D314" s="31"/>
      <c r="E314" s="31"/>
      <c r="F314" s="31"/>
      <c r="G314" s="18"/>
      <c r="H314" s="18"/>
      <c r="I314" s="22"/>
      <c r="J314" s="57"/>
      <c r="K314" s="18"/>
      <c r="L314" s="18"/>
      <c r="M314" s="18"/>
      <c r="N314" s="19"/>
      <c r="O314" s="45"/>
      <c r="P314" s="31"/>
      <c r="Q314" s="31"/>
      <c r="R314" s="31"/>
      <c r="S314" s="31"/>
      <c r="T314" s="30" t="b">
        <f>IF(N314=CURSOS!$D$3,"DIPLOMADO EN ATENCION PRE-HOSPITALARIA",IF(N314=CURSOS!$D$4,"ACOMPAÑAMIENTO Y MANEJO DEL DUELO",IF(N314=CURSOS!$D$5,"ATENCION A VICTIMAS DE ATAQUE CON AGENTES QUIMICOS ",IF(N314=CURSOS!$D$6,"PRIMEROS AUXILIOS ",IF(N314=CURSOS!$D$7,"DIPLOMADO DE UNIDAD DE CUIDADOS INTENSIVOS (UCI)",IF(N314=CURSOS!$D$8,"MODELO DE ATENCION PARA EVENTOS EMERGENTES EN SALUD MENTAL (CODIGO VERDE)",IF(N314=CURSOS!$D$9,"HUMANIZACION EN SALUD, BUENAS PRACTICAS EN PACIENTE ",IF(N314=CURSOS!$D$10,"CLINICA DE HERIDAS ",IF(N314=CURSOS!$D$11,"TOMA DE CITOLOGIA A CERVICO VAGINAL ",IF(N314=CURSOS!$D$12,"SOPORTE CARDIOVASCULAR AVANZADO ",IF(N314=CURSOS!$D$13,"CAMILLERO ",IF(N314=CURSOS!$D$14,"TOMA MUESTRAS Y LABORATORIO ",IF(N314=CURSOS!$D$15,"SOPORTE VITAL BASICO (BLS)",IF(N314=CURSOS!$D$16,"ATENCION A VICTIMAS DE VIOLENCIA SEXUAL ",IF(N314=CURSOS!$D$17,"PROGRAMADO AMPLIADO DE INMUNIZACION (PAI - COVID 19)",IF(N314=CURSOS!$D$18,"ATENCION INTEGRAL EN ENFERMEDADES PREVALENTES EN PRIMERA INFANCIA (AIEPI)",IF(N314=CURSOS!$D$19,"ADMINISTRACION DE MEDICAMENTOS, IYECTOLOGIA  Y CANALIZACION ",IF(N314=CURSOS!$D$20,"OPERADOR DE VEHICULOS DE EMERGENCIA (OVE)",IF(N314=CURSOS!$D$21,"INSTITUCIONES AMIGAS DE LA MUJER Y LA INFANCIA (IAMI)",IF(N314=CURSOS!$D$22,"CUIDADO DEL DONANTE DE ORGANOS",IF(N314=CURSOS!$D$23,"ATENCION A VICTIMAS POR VIOLENCIA DE GENERO",IF(N314=CURSOS!$D$24,"IGUALDAD DE GENERO EN LA SALUD",IF(N314=CURSOS!$D$25,"BRIGADA DE EMERGENCIA",IF(N314=CURSOS!$D$26,"MANEJO DEL DOLOR Y CUIDADOS PALIATIVOS",IF(N314=CURSOS!$D$27,"TOMA MUESTRAS Y LABORATORIO POCT",IF(N314=CURSOS!$D$28,"IMPLANTE SUBDERMICO Y DISPOSITIVO INTRAUTERINO",IF(N314=CURSOS!$D$29,"SALUD MENTAL",IF(N314=CURSOS!$D$30,"PRIMEROS AUXILIOS PSICOLOGICOS",IF(N314=CURSOS!$D$31,"ATENCION A VICTIMAS POR CONFLICTO ARMADO",IF(N314=CURSOS!$D$32,"MANIPULACION DE ALIMENTOS Y BPM"))))))))))))))))))))))))))))))</f>
        <v>0</v>
      </c>
      <c r="U314" s="30" t="str">
        <f t="shared" si="36"/>
        <v xml:space="preserve">   </v>
      </c>
      <c r="V314" s="30" t="str">
        <f t="shared" si="37"/>
        <v xml:space="preserve">   </v>
      </c>
      <c r="W314" s="30" t="str">
        <f t="shared" si="38"/>
        <v xml:space="preserve">   --</v>
      </c>
    </row>
    <row r="315" spans="1:23" s="46" customFormat="1" x14ac:dyDescent="0.2">
      <c r="A315" s="31">
        <v>315</v>
      </c>
      <c r="B315" s="31"/>
      <c r="C315" s="31"/>
      <c r="D315" s="31"/>
      <c r="E315" s="31"/>
      <c r="F315" s="31"/>
      <c r="G315" s="18"/>
      <c r="H315" s="18"/>
      <c r="I315" s="22"/>
      <c r="J315" s="57"/>
      <c r="K315" s="18"/>
      <c r="L315" s="18"/>
      <c r="M315" s="18"/>
      <c r="N315" s="19"/>
      <c r="O315" s="45"/>
      <c r="P315" s="31"/>
      <c r="Q315" s="31"/>
      <c r="R315" s="31"/>
      <c r="S315" s="31"/>
      <c r="T315" s="30" t="b">
        <f>IF(N315=CURSOS!$D$3,"DIPLOMADO EN ATENCION PRE-HOSPITALARIA",IF(N315=CURSOS!$D$4,"ACOMPAÑAMIENTO Y MANEJO DEL DUELO",IF(N315=CURSOS!$D$5,"ATENCION A VICTIMAS DE ATAQUE CON AGENTES QUIMICOS ",IF(N315=CURSOS!$D$6,"PRIMEROS AUXILIOS ",IF(N315=CURSOS!$D$7,"DIPLOMADO DE UNIDAD DE CUIDADOS INTENSIVOS (UCI)",IF(N315=CURSOS!$D$8,"MODELO DE ATENCION PARA EVENTOS EMERGENTES EN SALUD MENTAL (CODIGO VERDE)",IF(N315=CURSOS!$D$9,"HUMANIZACION EN SALUD, BUENAS PRACTICAS EN PACIENTE ",IF(N315=CURSOS!$D$10,"CLINICA DE HERIDAS ",IF(N315=CURSOS!$D$11,"TOMA DE CITOLOGIA A CERVICO VAGINAL ",IF(N315=CURSOS!$D$12,"SOPORTE CARDIOVASCULAR AVANZADO ",IF(N315=CURSOS!$D$13,"CAMILLERO ",IF(N315=CURSOS!$D$14,"TOMA MUESTRAS Y LABORATORIO ",IF(N315=CURSOS!$D$15,"SOPORTE VITAL BASICO (BLS)",IF(N315=CURSOS!$D$16,"ATENCION A VICTIMAS DE VIOLENCIA SEXUAL ",IF(N315=CURSOS!$D$17,"PROGRAMADO AMPLIADO DE INMUNIZACION (PAI - COVID 19)",IF(N315=CURSOS!$D$18,"ATENCION INTEGRAL EN ENFERMEDADES PREVALENTES EN PRIMERA INFANCIA (AIEPI)",IF(N315=CURSOS!$D$19,"ADMINISTRACION DE MEDICAMENTOS, IYECTOLOGIA  Y CANALIZACION ",IF(N315=CURSOS!$D$20,"OPERADOR DE VEHICULOS DE EMERGENCIA (OVE)",IF(N315=CURSOS!$D$21,"INSTITUCIONES AMIGAS DE LA MUJER Y LA INFANCIA (IAMI)",IF(N315=CURSOS!$D$22,"CUIDADO DEL DONANTE DE ORGANOS",IF(N315=CURSOS!$D$23,"ATENCION A VICTIMAS POR VIOLENCIA DE GENERO",IF(N315=CURSOS!$D$24,"IGUALDAD DE GENERO EN LA SALUD",IF(N315=CURSOS!$D$25,"BRIGADA DE EMERGENCIA",IF(N315=CURSOS!$D$26,"MANEJO DEL DOLOR Y CUIDADOS PALIATIVOS",IF(N315=CURSOS!$D$27,"TOMA MUESTRAS Y LABORATORIO POCT",IF(N315=CURSOS!$D$28,"IMPLANTE SUBDERMICO Y DISPOSITIVO INTRAUTERINO",IF(N315=CURSOS!$D$29,"SALUD MENTAL",IF(N315=CURSOS!$D$30,"PRIMEROS AUXILIOS PSICOLOGICOS",IF(N315=CURSOS!$D$31,"ATENCION A VICTIMAS POR CONFLICTO ARMADO",IF(N315=CURSOS!$D$32,"MANIPULACION DE ALIMENTOS Y BPM"))))))))))))))))))))))))))))))</f>
        <v>0</v>
      </c>
      <c r="U315" s="30" t="str">
        <f t="shared" si="36"/>
        <v xml:space="preserve">   </v>
      </c>
      <c r="V315" s="30" t="str">
        <f t="shared" si="37"/>
        <v xml:space="preserve">   </v>
      </c>
      <c r="W315" s="30" t="str">
        <f t="shared" si="38"/>
        <v xml:space="preserve">   --</v>
      </c>
    </row>
    <row r="316" spans="1:23" s="46" customFormat="1" x14ac:dyDescent="0.2">
      <c r="A316" s="31">
        <v>316</v>
      </c>
      <c r="B316" s="31"/>
      <c r="C316" s="31"/>
      <c r="D316" s="31"/>
      <c r="E316" s="31"/>
      <c r="F316" s="31"/>
      <c r="G316" s="18"/>
      <c r="H316" s="18"/>
      <c r="I316" s="22"/>
      <c r="J316" s="57"/>
      <c r="K316" s="18"/>
      <c r="L316" s="18"/>
      <c r="M316" s="18"/>
      <c r="N316" s="19"/>
      <c r="O316" s="45"/>
      <c r="P316" s="31"/>
      <c r="Q316" s="31"/>
      <c r="R316" s="31"/>
      <c r="S316" s="31"/>
      <c r="T316" s="30" t="b">
        <f>IF(N316=CURSOS!$D$3,"DIPLOMADO EN ATENCION PRE-HOSPITALARIA",IF(N316=CURSOS!$D$4,"ACOMPAÑAMIENTO Y MANEJO DEL DUELO",IF(N316=CURSOS!$D$5,"ATENCION A VICTIMAS DE ATAQUE CON AGENTES QUIMICOS ",IF(N316=CURSOS!$D$6,"PRIMEROS AUXILIOS ",IF(N316=CURSOS!$D$7,"DIPLOMADO DE UNIDAD DE CUIDADOS INTENSIVOS (UCI)",IF(N316=CURSOS!$D$8,"MODELO DE ATENCION PARA EVENTOS EMERGENTES EN SALUD MENTAL (CODIGO VERDE)",IF(N316=CURSOS!$D$9,"HUMANIZACION EN SALUD, BUENAS PRACTICAS EN PACIENTE ",IF(N316=CURSOS!$D$10,"CLINICA DE HERIDAS ",IF(N316=CURSOS!$D$11,"TOMA DE CITOLOGIA A CERVICO VAGINAL ",IF(N316=CURSOS!$D$12,"SOPORTE CARDIOVASCULAR AVANZADO ",IF(N316=CURSOS!$D$13,"CAMILLERO ",IF(N316=CURSOS!$D$14,"TOMA MUESTRAS Y LABORATORIO ",IF(N316=CURSOS!$D$15,"SOPORTE VITAL BASICO (BLS)",IF(N316=CURSOS!$D$16,"ATENCION A VICTIMAS DE VIOLENCIA SEXUAL ",IF(N316=CURSOS!$D$17,"PROGRAMADO AMPLIADO DE INMUNIZACION (PAI - COVID 19)",IF(N316=CURSOS!$D$18,"ATENCION INTEGRAL EN ENFERMEDADES PREVALENTES EN PRIMERA INFANCIA (AIEPI)",IF(N316=CURSOS!$D$19,"ADMINISTRACION DE MEDICAMENTOS, IYECTOLOGIA  Y CANALIZACION ",IF(N316=CURSOS!$D$20,"OPERADOR DE VEHICULOS DE EMERGENCIA (OVE)",IF(N316=CURSOS!$D$21,"INSTITUCIONES AMIGAS DE LA MUJER Y LA INFANCIA (IAMI)",IF(N316=CURSOS!$D$22,"CUIDADO DEL DONANTE DE ORGANOS",IF(N316=CURSOS!$D$23,"ATENCION A VICTIMAS POR VIOLENCIA DE GENERO",IF(N316=CURSOS!$D$24,"IGUALDAD DE GENERO EN LA SALUD",IF(N316=CURSOS!$D$25,"BRIGADA DE EMERGENCIA",IF(N316=CURSOS!$D$26,"MANEJO DEL DOLOR Y CUIDADOS PALIATIVOS",IF(N316=CURSOS!$D$27,"TOMA MUESTRAS Y LABORATORIO POCT",IF(N316=CURSOS!$D$28,"IMPLANTE SUBDERMICO Y DISPOSITIVO INTRAUTERINO",IF(N316=CURSOS!$D$29,"SALUD MENTAL",IF(N316=CURSOS!$D$30,"PRIMEROS AUXILIOS PSICOLOGICOS",IF(N316=CURSOS!$D$31,"ATENCION A VICTIMAS POR CONFLICTO ARMADO",IF(N316=CURSOS!$D$32,"MANIPULACION DE ALIMENTOS Y BPM"))))))))))))))))))))))))))))))</f>
        <v>0</v>
      </c>
      <c r="U316" s="30" t="str">
        <f t="shared" si="36"/>
        <v xml:space="preserve">   </v>
      </c>
      <c r="V316" s="30" t="str">
        <f t="shared" si="37"/>
        <v xml:space="preserve">   </v>
      </c>
      <c r="W316" s="30" t="str">
        <f t="shared" si="38"/>
        <v xml:space="preserve">   --</v>
      </c>
    </row>
    <row r="317" spans="1:23" s="46" customFormat="1" ht="15.75" x14ac:dyDescent="0.25">
      <c r="A317" s="31">
        <v>317</v>
      </c>
      <c r="B317" s="31"/>
      <c r="C317" s="31"/>
      <c r="D317" s="31"/>
      <c r="E317" s="31"/>
      <c r="F317" s="31"/>
      <c r="G317" s="18"/>
      <c r="H317" s="18"/>
      <c r="I317" s="22"/>
      <c r="J317" s="57"/>
      <c r="K317" s="18"/>
      <c r="L317" s="18"/>
      <c r="M317" s="18"/>
      <c r="N317" s="19"/>
      <c r="O317" s="45"/>
      <c r="P317" s="31"/>
      <c r="Q317" s="31"/>
      <c r="R317" s="31"/>
      <c r="S317" s="47"/>
      <c r="T317" s="30" t="b">
        <f>IF(N317=CURSOS!$D$3,"DIPLOMADO EN ATENCION PRE-HOSPITALARIA",IF(N317=CURSOS!$D$4,"ACOMPAÑAMIENTO Y MANEJO DEL DUELO",IF(N317=CURSOS!$D$5,"ATENCION A VICTIMAS DE ATAQUE CON AGENTES QUIMICOS ",IF(N317=CURSOS!$D$6,"PRIMEROS AUXILIOS ",IF(N317=CURSOS!$D$7,"DIPLOMADO DE UNIDAD DE CUIDADOS INTENSIVOS (UCI)",IF(N317=CURSOS!$D$8,"MODELO DE ATENCION PARA EVENTOS EMERGENTES EN SALUD MENTAL (CODIGO VERDE)",IF(N317=CURSOS!$D$9,"HUMANIZACION EN SALUD, BUENAS PRACTICAS EN PACIENTE ",IF(N317=CURSOS!$D$10,"CLINICA DE HERIDAS ",IF(N317=CURSOS!$D$11,"TOMA DE CITOLOGIA A CERVICO VAGINAL ",IF(N317=CURSOS!$D$12,"SOPORTE CARDIOVASCULAR AVANZADO ",IF(N317=CURSOS!$D$13,"CAMILLERO ",IF(N317=CURSOS!$D$14,"TOMA MUESTRAS Y LABORATORIO ",IF(N317=CURSOS!$D$15,"SOPORTE VITAL BASICO (BLS)",IF(N317=CURSOS!$D$16,"ATENCION A VICTIMAS DE VIOLENCIA SEXUAL ",IF(N317=CURSOS!$D$17,"PROGRAMADO AMPLIADO DE INMUNIZACION (PAI - COVID 19)",IF(N317=CURSOS!$D$18,"ATENCION INTEGRAL EN ENFERMEDADES PREVALENTES EN PRIMERA INFANCIA (AIEPI)",IF(N317=CURSOS!$D$19,"ADMINISTRACION DE MEDICAMENTOS, IYECTOLOGIA  Y CANALIZACION ",IF(N317=CURSOS!$D$20,"OPERADOR DE VEHICULOS DE EMERGENCIA (OVE)",IF(N317=CURSOS!$D$21,"INSTITUCIONES AMIGAS DE LA MUJER Y LA INFANCIA (IAMI)",IF(N317=CURSOS!$D$22,"CUIDADO DEL DONANTE DE ORGANOS",IF(N317=CURSOS!$D$23,"ATENCION A VICTIMAS POR VIOLENCIA DE GENERO",IF(N317=CURSOS!$D$24,"IGUALDAD DE GENERO EN LA SALUD",IF(N317=CURSOS!$D$25,"BRIGADA DE EMERGENCIA",IF(N317=CURSOS!$D$26,"MANEJO DEL DOLOR Y CUIDADOS PALIATIVOS",IF(N317=CURSOS!$D$27,"TOMA MUESTRAS Y LABORATORIO POCT",IF(N317=CURSOS!$D$28,"IMPLANTE SUBDERMICO Y DISPOSITIVO INTRAUTERINO",IF(N317=CURSOS!$D$29,"SALUD MENTAL",IF(N317=CURSOS!$D$30,"PRIMEROS AUXILIOS PSICOLOGICOS",IF(N317=CURSOS!$D$31,"ATENCION A VICTIMAS POR CONFLICTO ARMADO",IF(N317=CURSOS!$D$32,"MANIPULACION DE ALIMENTOS Y BPM"))))))))))))))))))))))))))))))</f>
        <v>0</v>
      </c>
      <c r="U317" s="30" t="str">
        <f t="shared" si="36"/>
        <v xml:space="preserve">   </v>
      </c>
      <c r="V317" s="30" t="str">
        <f t="shared" si="37"/>
        <v xml:space="preserve">   </v>
      </c>
      <c r="W317" s="30" t="str">
        <f t="shared" si="38"/>
        <v xml:space="preserve">   --</v>
      </c>
    </row>
    <row r="318" spans="1:23" s="46" customFormat="1" ht="15.75" x14ac:dyDescent="0.25">
      <c r="A318" s="31">
        <v>318</v>
      </c>
      <c r="B318" s="31"/>
      <c r="C318" s="31"/>
      <c r="D318" s="31"/>
      <c r="E318" s="31"/>
      <c r="F318" s="31"/>
      <c r="G318" s="18"/>
      <c r="H318" s="18"/>
      <c r="I318" s="22"/>
      <c r="J318" s="57"/>
      <c r="K318" s="18"/>
      <c r="L318" s="18"/>
      <c r="M318" s="18"/>
      <c r="N318" s="19"/>
      <c r="O318" s="45"/>
      <c r="P318" s="31"/>
      <c r="Q318" s="31"/>
      <c r="R318" s="31"/>
      <c r="S318" s="47"/>
      <c r="T318" s="30" t="b">
        <f>IF(N318=CURSOS!$D$3,"DIPLOMADO EN ATENCION PRE-HOSPITALARIA",IF(N318=CURSOS!$D$4,"ACOMPAÑAMIENTO Y MANEJO DEL DUELO",IF(N318=CURSOS!$D$5,"ATENCION A VICTIMAS DE ATAQUE CON AGENTES QUIMICOS ",IF(N318=CURSOS!$D$6,"PRIMEROS AUXILIOS ",IF(N318=CURSOS!$D$7,"DIPLOMADO DE UNIDAD DE CUIDADOS INTENSIVOS (UCI)",IF(N318=CURSOS!$D$8,"MODELO DE ATENCION PARA EVENTOS EMERGENTES EN SALUD MENTAL (CODIGO VERDE)",IF(N318=CURSOS!$D$9,"HUMANIZACION EN SALUD, BUENAS PRACTICAS EN PACIENTE ",IF(N318=CURSOS!$D$10,"CLINICA DE HERIDAS ",IF(N318=CURSOS!$D$11,"TOMA DE CITOLOGIA A CERVICO VAGINAL ",IF(N318=CURSOS!$D$12,"SOPORTE CARDIOVASCULAR AVANZADO ",IF(N318=CURSOS!$D$13,"CAMILLERO ",IF(N318=CURSOS!$D$14,"TOMA MUESTRAS Y LABORATORIO ",IF(N318=CURSOS!$D$15,"SOPORTE VITAL BASICO (BLS)",IF(N318=CURSOS!$D$16,"ATENCION A VICTIMAS DE VIOLENCIA SEXUAL ",IF(N318=CURSOS!$D$17,"PROGRAMADO AMPLIADO DE INMUNIZACION (PAI - COVID 19)",IF(N318=CURSOS!$D$18,"ATENCION INTEGRAL EN ENFERMEDADES PREVALENTES EN PRIMERA INFANCIA (AIEPI)",IF(N318=CURSOS!$D$19,"ADMINISTRACION DE MEDICAMENTOS, IYECTOLOGIA  Y CANALIZACION ",IF(N318=CURSOS!$D$20,"OPERADOR DE VEHICULOS DE EMERGENCIA (OVE)",IF(N318=CURSOS!$D$21,"INSTITUCIONES AMIGAS DE LA MUJER Y LA INFANCIA (IAMI)",IF(N318=CURSOS!$D$22,"CUIDADO DEL DONANTE DE ORGANOS",IF(N318=CURSOS!$D$23,"ATENCION A VICTIMAS POR VIOLENCIA DE GENERO",IF(N318=CURSOS!$D$24,"IGUALDAD DE GENERO EN LA SALUD",IF(N318=CURSOS!$D$25,"BRIGADA DE EMERGENCIA",IF(N318=CURSOS!$D$26,"MANEJO DEL DOLOR Y CUIDADOS PALIATIVOS",IF(N318=CURSOS!$D$27,"TOMA MUESTRAS Y LABORATORIO POCT",IF(N318=CURSOS!$D$28,"IMPLANTE SUBDERMICO Y DISPOSITIVO INTRAUTERINO",IF(N318=CURSOS!$D$29,"SALUD MENTAL",IF(N318=CURSOS!$D$30,"PRIMEROS AUXILIOS PSICOLOGICOS",IF(N318=CURSOS!$D$31,"ATENCION A VICTIMAS POR CONFLICTO ARMADO",IF(N318=CURSOS!$D$32,"MANIPULACION DE ALIMENTOS Y BPM"))))))))))))))))))))))))))))))</f>
        <v>0</v>
      </c>
      <c r="U318" s="30" t="str">
        <f t="shared" si="36"/>
        <v xml:space="preserve">   </v>
      </c>
      <c r="V318" s="30" t="str">
        <f t="shared" si="37"/>
        <v xml:space="preserve">   </v>
      </c>
      <c r="W318" s="30" t="str">
        <f t="shared" si="38"/>
        <v xml:space="preserve">   --</v>
      </c>
    </row>
    <row r="319" spans="1:23" s="46" customFormat="1" x14ac:dyDescent="0.2">
      <c r="A319" s="31">
        <v>319</v>
      </c>
      <c r="B319" s="31"/>
      <c r="C319" s="31"/>
      <c r="D319" s="31"/>
      <c r="E319" s="31"/>
      <c r="F319" s="31"/>
      <c r="G319" s="18"/>
      <c r="H319" s="18"/>
      <c r="I319" s="22"/>
      <c r="J319" s="57"/>
      <c r="K319" s="18"/>
      <c r="L319" s="18"/>
      <c r="M319" s="18"/>
      <c r="N319" s="19"/>
      <c r="O319" s="45"/>
      <c r="P319" s="31"/>
      <c r="Q319" s="31"/>
      <c r="R319" s="31"/>
      <c r="S319" s="31"/>
      <c r="T319" s="30" t="b">
        <f>IF(N319=CURSOS!$D$3,"DIPLOMADO EN ATENCION PRE-HOSPITALARIA",IF(N319=CURSOS!$D$4,"ACOMPAÑAMIENTO Y MANEJO DEL DUELO",IF(N319=CURSOS!$D$5,"ATENCION A VICTIMAS DE ATAQUE CON AGENTES QUIMICOS ",IF(N319=CURSOS!$D$6,"PRIMEROS AUXILIOS ",IF(N319=CURSOS!$D$7,"DIPLOMADO DE UNIDAD DE CUIDADOS INTENSIVOS (UCI)",IF(N319=CURSOS!$D$8,"MODELO DE ATENCION PARA EVENTOS EMERGENTES EN SALUD MENTAL (CODIGO VERDE)",IF(N319=CURSOS!$D$9,"HUMANIZACION EN SALUD, BUENAS PRACTICAS EN PACIENTE ",IF(N319=CURSOS!$D$10,"CLINICA DE HERIDAS ",IF(N319=CURSOS!$D$11,"TOMA DE CITOLOGIA A CERVICO VAGINAL ",IF(N319=CURSOS!$D$12,"SOPORTE CARDIOVASCULAR AVANZADO ",IF(N319=CURSOS!$D$13,"CAMILLERO ",IF(N319=CURSOS!$D$14,"TOMA MUESTRAS Y LABORATORIO ",IF(N319=CURSOS!$D$15,"SOPORTE VITAL BASICO (BLS)",IF(N319=CURSOS!$D$16,"ATENCION A VICTIMAS DE VIOLENCIA SEXUAL ",IF(N319=CURSOS!$D$17,"PROGRAMADO AMPLIADO DE INMUNIZACION (PAI - COVID 19)",IF(N319=CURSOS!$D$18,"ATENCION INTEGRAL EN ENFERMEDADES PREVALENTES EN PRIMERA INFANCIA (AIEPI)",IF(N319=CURSOS!$D$19,"ADMINISTRACION DE MEDICAMENTOS, IYECTOLOGIA  Y CANALIZACION ",IF(N319=CURSOS!$D$20,"OPERADOR DE VEHICULOS DE EMERGENCIA (OVE)",IF(N319=CURSOS!$D$21,"INSTITUCIONES AMIGAS DE LA MUJER Y LA INFANCIA (IAMI)",IF(N319=CURSOS!$D$22,"CUIDADO DEL DONANTE DE ORGANOS",IF(N319=CURSOS!$D$23,"ATENCION A VICTIMAS POR VIOLENCIA DE GENERO",IF(N319=CURSOS!$D$24,"IGUALDAD DE GENERO EN LA SALUD",IF(N319=CURSOS!$D$25,"BRIGADA DE EMERGENCIA",IF(N319=CURSOS!$D$26,"MANEJO DEL DOLOR Y CUIDADOS PALIATIVOS",IF(N319=CURSOS!$D$27,"TOMA MUESTRAS Y LABORATORIO POCT",IF(N319=CURSOS!$D$28,"IMPLANTE SUBDERMICO Y DISPOSITIVO INTRAUTERINO",IF(N319=CURSOS!$D$29,"SALUD MENTAL",IF(N319=CURSOS!$D$30,"PRIMEROS AUXILIOS PSICOLOGICOS",IF(N319=CURSOS!$D$31,"ATENCION A VICTIMAS POR CONFLICTO ARMADO",IF(N319=CURSOS!$D$32,"MANIPULACION DE ALIMENTOS Y BPM"))))))))))))))))))))))))))))))</f>
        <v>0</v>
      </c>
      <c r="U319" s="30" t="str">
        <f t="shared" si="36"/>
        <v xml:space="preserve">   </v>
      </c>
      <c r="V319" s="30" t="str">
        <f t="shared" si="37"/>
        <v xml:space="preserve">   </v>
      </c>
      <c r="W319" s="30" t="str">
        <f t="shared" si="38"/>
        <v xml:space="preserve">   --</v>
      </c>
    </row>
    <row r="320" spans="1:23" s="46" customFormat="1" x14ac:dyDescent="0.2">
      <c r="A320" s="31">
        <v>320</v>
      </c>
      <c r="B320" s="31"/>
      <c r="C320" s="31"/>
      <c r="D320" s="31"/>
      <c r="E320" s="31"/>
      <c r="F320" s="31"/>
      <c r="G320" s="18"/>
      <c r="H320" s="18"/>
      <c r="I320" s="22"/>
      <c r="J320" s="57"/>
      <c r="K320" s="18"/>
      <c r="L320" s="18"/>
      <c r="M320" s="18"/>
      <c r="N320" s="19"/>
      <c r="O320" s="45"/>
      <c r="P320" s="31"/>
      <c r="Q320" s="31"/>
      <c r="R320" s="31"/>
      <c r="S320" s="31"/>
      <c r="T320" s="30" t="b">
        <f>IF(N320=CURSOS!$D$3,"DIPLOMADO EN ATENCION PRE-HOSPITALARIA",IF(N320=CURSOS!$D$4,"ACOMPAÑAMIENTO Y MANEJO DEL DUELO",IF(N320=CURSOS!$D$5,"ATENCION A VICTIMAS DE ATAQUE CON AGENTES QUIMICOS ",IF(N320=CURSOS!$D$6,"PRIMEROS AUXILIOS ",IF(N320=CURSOS!$D$7,"DIPLOMADO DE UNIDAD DE CUIDADOS INTENSIVOS (UCI)",IF(N320=CURSOS!$D$8,"MODELO DE ATENCION PARA EVENTOS EMERGENTES EN SALUD MENTAL (CODIGO VERDE)",IF(N320=CURSOS!$D$9,"HUMANIZACION EN SALUD, BUENAS PRACTICAS EN PACIENTE ",IF(N320=CURSOS!$D$10,"CLINICA DE HERIDAS ",IF(N320=CURSOS!$D$11,"TOMA DE CITOLOGIA A CERVICO VAGINAL ",IF(N320=CURSOS!$D$12,"SOPORTE CARDIOVASCULAR AVANZADO ",IF(N320=CURSOS!$D$13,"CAMILLERO ",IF(N320=CURSOS!$D$14,"TOMA MUESTRAS Y LABORATORIO ",IF(N320=CURSOS!$D$15,"SOPORTE VITAL BASICO (BLS)",IF(N320=CURSOS!$D$16,"ATENCION A VICTIMAS DE VIOLENCIA SEXUAL ",IF(N320=CURSOS!$D$17,"PROGRAMADO AMPLIADO DE INMUNIZACION (PAI - COVID 19)",IF(N320=CURSOS!$D$18,"ATENCION INTEGRAL EN ENFERMEDADES PREVALENTES EN PRIMERA INFANCIA (AIEPI)",IF(N320=CURSOS!$D$19,"ADMINISTRACION DE MEDICAMENTOS, IYECTOLOGIA  Y CANALIZACION ",IF(N320=CURSOS!$D$20,"OPERADOR DE VEHICULOS DE EMERGENCIA (OVE)",IF(N320=CURSOS!$D$21,"INSTITUCIONES AMIGAS DE LA MUJER Y LA INFANCIA (IAMI)",IF(N320=CURSOS!$D$22,"CUIDADO DEL DONANTE DE ORGANOS",IF(N320=CURSOS!$D$23,"ATENCION A VICTIMAS POR VIOLENCIA DE GENERO",IF(N320=CURSOS!$D$24,"IGUALDAD DE GENERO EN LA SALUD",IF(N320=CURSOS!$D$25,"BRIGADA DE EMERGENCIA",IF(N320=CURSOS!$D$26,"MANEJO DEL DOLOR Y CUIDADOS PALIATIVOS",IF(N320=CURSOS!$D$27,"TOMA MUESTRAS Y LABORATORIO POCT",IF(N320=CURSOS!$D$28,"IMPLANTE SUBDERMICO Y DISPOSITIVO INTRAUTERINO",IF(N320=CURSOS!$D$29,"SALUD MENTAL",IF(N320=CURSOS!$D$30,"PRIMEROS AUXILIOS PSICOLOGICOS",IF(N320=CURSOS!$D$31,"ATENCION A VICTIMAS POR CONFLICTO ARMADO",IF(N320=CURSOS!$D$32,"MANIPULACION DE ALIMENTOS Y BPM"))))))))))))))))))))))))))))))</f>
        <v>0</v>
      </c>
      <c r="U320" s="30" t="str">
        <f t="shared" si="36"/>
        <v xml:space="preserve">   </v>
      </c>
      <c r="V320" s="30" t="str">
        <f t="shared" si="37"/>
        <v xml:space="preserve">   </v>
      </c>
      <c r="W320" s="30" t="str">
        <f t="shared" si="38"/>
        <v xml:space="preserve">   --</v>
      </c>
    </row>
    <row r="321" spans="1:23" s="46" customFormat="1" x14ac:dyDescent="0.2">
      <c r="A321" s="31">
        <v>321</v>
      </c>
      <c r="B321" s="31"/>
      <c r="C321" s="31"/>
      <c r="D321" s="31"/>
      <c r="E321" s="31"/>
      <c r="F321" s="31"/>
      <c r="G321" s="18"/>
      <c r="H321" s="18"/>
      <c r="I321" s="22"/>
      <c r="J321" s="57"/>
      <c r="K321" s="18"/>
      <c r="L321" s="18"/>
      <c r="M321" s="18"/>
      <c r="N321" s="19"/>
      <c r="O321" s="45"/>
      <c r="P321" s="31"/>
      <c r="Q321" s="31"/>
      <c r="R321" s="31"/>
      <c r="S321" s="31"/>
      <c r="T321" s="30" t="b">
        <f>IF(N321=CURSOS!$D$3,"DIPLOMADO EN ATENCION PRE-HOSPITALARIA",IF(N321=CURSOS!$D$4,"ACOMPAÑAMIENTO Y MANEJO DEL DUELO",IF(N321=CURSOS!$D$5,"ATENCION A VICTIMAS DE ATAQUE CON AGENTES QUIMICOS ",IF(N321=CURSOS!$D$6,"PRIMEROS AUXILIOS ",IF(N321=CURSOS!$D$7,"DIPLOMADO DE UNIDAD DE CUIDADOS INTENSIVOS (UCI)",IF(N321=CURSOS!$D$8,"MODELO DE ATENCION PARA EVENTOS EMERGENTES EN SALUD MENTAL (CODIGO VERDE)",IF(N321=CURSOS!$D$9,"HUMANIZACION EN SALUD, BUENAS PRACTICAS EN PACIENTE ",IF(N321=CURSOS!$D$10,"CLINICA DE HERIDAS ",IF(N321=CURSOS!$D$11,"TOMA DE CITOLOGIA A CERVICO VAGINAL ",IF(N321=CURSOS!$D$12,"SOPORTE CARDIOVASCULAR AVANZADO ",IF(N321=CURSOS!$D$13,"CAMILLERO ",IF(N321=CURSOS!$D$14,"TOMA MUESTRAS Y LABORATORIO ",IF(N321=CURSOS!$D$15,"SOPORTE VITAL BASICO (BLS)",IF(N321=CURSOS!$D$16,"ATENCION A VICTIMAS DE VIOLENCIA SEXUAL ",IF(N321=CURSOS!$D$17,"PROGRAMADO AMPLIADO DE INMUNIZACION (PAI - COVID 19)",IF(N321=CURSOS!$D$18,"ATENCION INTEGRAL EN ENFERMEDADES PREVALENTES EN PRIMERA INFANCIA (AIEPI)",IF(N321=CURSOS!$D$19,"ADMINISTRACION DE MEDICAMENTOS, IYECTOLOGIA  Y CANALIZACION ",IF(N321=CURSOS!$D$20,"OPERADOR DE VEHICULOS DE EMERGENCIA (OVE)",IF(N321=CURSOS!$D$21,"INSTITUCIONES AMIGAS DE LA MUJER Y LA INFANCIA (IAMI)",IF(N321=CURSOS!$D$22,"CUIDADO DEL DONANTE DE ORGANOS",IF(N321=CURSOS!$D$23,"ATENCION A VICTIMAS POR VIOLENCIA DE GENERO",IF(N321=CURSOS!$D$24,"IGUALDAD DE GENERO EN LA SALUD",IF(N321=CURSOS!$D$25,"BRIGADA DE EMERGENCIA",IF(N321=CURSOS!$D$26,"MANEJO DEL DOLOR Y CUIDADOS PALIATIVOS",IF(N321=CURSOS!$D$27,"TOMA MUESTRAS Y LABORATORIO POCT",IF(N321=CURSOS!$D$28,"IMPLANTE SUBDERMICO Y DISPOSITIVO INTRAUTERINO",IF(N321=CURSOS!$D$29,"SALUD MENTAL",IF(N321=CURSOS!$D$30,"PRIMEROS AUXILIOS PSICOLOGICOS",IF(N321=CURSOS!$D$31,"ATENCION A VICTIMAS POR CONFLICTO ARMADO",IF(N321=CURSOS!$D$32,"MANIPULACION DE ALIMENTOS Y BPM"))))))))))))))))))))))))))))))</f>
        <v>0</v>
      </c>
      <c r="U321" s="30" t="str">
        <f t="shared" si="36"/>
        <v xml:space="preserve">   </v>
      </c>
      <c r="V321" s="30" t="str">
        <f t="shared" si="37"/>
        <v xml:space="preserve">   </v>
      </c>
      <c r="W321" s="30" t="str">
        <f t="shared" si="38"/>
        <v xml:space="preserve">   --</v>
      </c>
    </row>
    <row r="322" spans="1:23" s="46" customFormat="1" x14ac:dyDescent="0.2">
      <c r="A322" s="31">
        <v>322</v>
      </c>
      <c r="B322" s="31"/>
      <c r="C322" s="31"/>
      <c r="D322" s="31"/>
      <c r="E322" s="31"/>
      <c r="F322" s="31"/>
      <c r="G322" s="18"/>
      <c r="H322" s="18"/>
      <c r="I322" s="22"/>
      <c r="J322" s="57"/>
      <c r="K322" s="18"/>
      <c r="L322" s="18"/>
      <c r="M322" s="18"/>
      <c r="N322" s="19"/>
      <c r="O322" s="45"/>
      <c r="P322" s="31"/>
      <c r="Q322" s="31"/>
      <c r="R322" s="31"/>
      <c r="S322" s="31"/>
      <c r="T322" s="30" t="b">
        <f>IF(N322=CURSOS!$D$3,"DIPLOMADO EN ATENCION PRE-HOSPITALARIA",IF(N322=CURSOS!$D$4,"ACOMPAÑAMIENTO Y MANEJO DEL DUELO",IF(N322=CURSOS!$D$5,"ATENCION A VICTIMAS DE ATAQUE CON AGENTES QUIMICOS ",IF(N322=CURSOS!$D$6,"PRIMEROS AUXILIOS ",IF(N322=CURSOS!$D$7,"DIPLOMADO DE UNIDAD DE CUIDADOS INTENSIVOS (UCI)",IF(N322=CURSOS!$D$8,"MODELO DE ATENCION PARA EVENTOS EMERGENTES EN SALUD MENTAL (CODIGO VERDE)",IF(N322=CURSOS!$D$9,"HUMANIZACION EN SALUD, BUENAS PRACTICAS EN PACIENTE ",IF(N322=CURSOS!$D$10,"CLINICA DE HERIDAS ",IF(N322=CURSOS!$D$11,"TOMA DE CITOLOGIA A CERVICO VAGINAL ",IF(N322=CURSOS!$D$12,"SOPORTE CARDIOVASCULAR AVANZADO ",IF(N322=CURSOS!$D$13,"CAMILLERO ",IF(N322=CURSOS!$D$14,"TOMA MUESTRAS Y LABORATORIO ",IF(N322=CURSOS!$D$15,"SOPORTE VITAL BASICO (BLS)",IF(N322=CURSOS!$D$16,"ATENCION A VICTIMAS DE VIOLENCIA SEXUAL ",IF(N322=CURSOS!$D$17,"PROGRAMADO AMPLIADO DE INMUNIZACION (PAI - COVID 19)",IF(N322=CURSOS!$D$18,"ATENCION INTEGRAL EN ENFERMEDADES PREVALENTES EN PRIMERA INFANCIA (AIEPI)",IF(N322=CURSOS!$D$19,"ADMINISTRACION DE MEDICAMENTOS, IYECTOLOGIA  Y CANALIZACION ",IF(N322=CURSOS!$D$20,"OPERADOR DE VEHICULOS DE EMERGENCIA (OVE)",IF(N322=CURSOS!$D$21,"INSTITUCIONES AMIGAS DE LA MUJER Y LA INFANCIA (IAMI)",IF(N322=CURSOS!$D$22,"CUIDADO DEL DONANTE DE ORGANOS",IF(N322=CURSOS!$D$23,"ATENCION A VICTIMAS POR VIOLENCIA DE GENERO",IF(N322=CURSOS!$D$24,"IGUALDAD DE GENERO EN LA SALUD",IF(N322=CURSOS!$D$25,"BRIGADA DE EMERGENCIA",IF(N322=CURSOS!$D$26,"MANEJO DEL DOLOR Y CUIDADOS PALIATIVOS",IF(N322=CURSOS!$D$27,"TOMA MUESTRAS Y LABORATORIO POCT",IF(N322=CURSOS!$D$28,"IMPLANTE SUBDERMICO Y DISPOSITIVO INTRAUTERINO",IF(N322=CURSOS!$D$29,"SALUD MENTAL",IF(N322=CURSOS!$D$30,"PRIMEROS AUXILIOS PSICOLOGICOS",IF(N322=CURSOS!$D$31,"ATENCION A VICTIMAS POR CONFLICTO ARMADO",IF(N322=CURSOS!$D$32,"MANIPULACION DE ALIMENTOS Y BPM"))))))))))))))))))))))))))))))</f>
        <v>0</v>
      </c>
      <c r="U322" s="30" t="str">
        <f t="shared" si="36"/>
        <v xml:space="preserve">   </v>
      </c>
      <c r="V322" s="30" t="str">
        <f t="shared" si="37"/>
        <v xml:space="preserve">   </v>
      </c>
      <c r="W322" s="30" t="str">
        <f t="shared" si="38"/>
        <v xml:space="preserve">   --</v>
      </c>
    </row>
    <row r="323" spans="1:23" s="46" customFormat="1" x14ac:dyDescent="0.2">
      <c r="A323" s="31">
        <v>323</v>
      </c>
      <c r="B323" s="31"/>
      <c r="C323" s="31"/>
      <c r="D323" s="31"/>
      <c r="E323" s="31"/>
      <c r="F323" s="31"/>
      <c r="G323" s="18"/>
      <c r="H323" s="18"/>
      <c r="I323" s="22"/>
      <c r="J323" s="57"/>
      <c r="K323" s="18"/>
      <c r="L323" s="18"/>
      <c r="M323" s="18"/>
      <c r="N323" s="19"/>
      <c r="O323" s="45"/>
      <c r="P323" s="31"/>
      <c r="Q323" s="31"/>
      <c r="R323" s="31"/>
      <c r="S323" s="31"/>
      <c r="T323" s="30" t="b">
        <f>IF(N323=CURSOS!$D$3,"DIPLOMADO EN ATENCION PRE-HOSPITALARIA",IF(N323=CURSOS!$D$4,"ACOMPAÑAMIENTO Y MANEJO DEL DUELO",IF(N323=CURSOS!$D$5,"ATENCION A VICTIMAS DE ATAQUE CON AGENTES QUIMICOS ",IF(N323=CURSOS!$D$6,"PRIMEROS AUXILIOS ",IF(N323=CURSOS!$D$7,"DIPLOMADO DE UNIDAD DE CUIDADOS INTENSIVOS (UCI)",IF(N323=CURSOS!$D$8,"MODELO DE ATENCION PARA EVENTOS EMERGENTES EN SALUD MENTAL (CODIGO VERDE)",IF(N323=CURSOS!$D$9,"HUMANIZACION EN SALUD, BUENAS PRACTICAS EN PACIENTE ",IF(N323=CURSOS!$D$10,"CLINICA DE HERIDAS ",IF(N323=CURSOS!$D$11,"TOMA DE CITOLOGIA A CERVICO VAGINAL ",IF(N323=CURSOS!$D$12,"SOPORTE CARDIOVASCULAR AVANZADO ",IF(N323=CURSOS!$D$13,"CAMILLERO ",IF(N323=CURSOS!$D$14,"TOMA MUESTRAS Y LABORATORIO ",IF(N323=CURSOS!$D$15,"SOPORTE VITAL BASICO (BLS)",IF(N323=CURSOS!$D$16,"ATENCION A VICTIMAS DE VIOLENCIA SEXUAL ",IF(N323=CURSOS!$D$17,"PROGRAMADO AMPLIADO DE INMUNIZACION (PAI - COVID 19)",IF(N323=CURSOS!$D$18,"ATENCION INTEGRAL EN ENFERMEDADES PREVALENTES EN PRIMERA INFANCIA (AIEPI)",IF(N323=CURSOS!$D$19,"ADMINISTRACION DE MEDICAMENTOS, IYECTOLOGIA  Y CANALIZACION ",IF(N323=CURSOS!$D$20,"OPERADOR DE VEHICULOS DE EMERGENCIA (OVE)",IF(N323=CURSOS!$D$21,"INSTITUCIONES AMIGAS DE LA MUJER Y LA INFANCIA (IAMI)",IF(N323=CURSOS!$D$22,"CUIDADO DEL DONANTE DE ORGANOS",IF(N323=CURSOS!$D$23,"ATENCION A VICTIMAS POR VIOLENCIA DE GENERO",IF(N323=CURSOS!$D$24,"IGUALDAD DE GENERO EN LA SALUD",IF(N323=CURSOS!$D$25,"BRIGADA DE EMERGENCIA",IF(N323=CURSOS!$D$26,"MANEJO DEL DOLOR Y CUIDADOS PALIATIVOS",IF(N323=CURSOS!$D$27,"TOMA MUESTRAS Y LABORATORIO POCT",IF(N323=CURSOS!$D$28,"IMPLANTE SUBDERMICO Y DISPOSITIVO INTRAUTERINO",IF(N323=CURSOS!$D$29,"SALUD MENTAL",IF(N323=CURSOS!$D$30,"PRIMEROS AUXILIOS PSICOLOGICOS",IF(N323=CURSOS!$D$31,"ATENCION A VICTIMAS POR CONFLICTO ARMADO",IF(N323=CURSOS!$D$32,"MANIPULACION DE ALIMENTOS Y BPM"))))))))))))))))))))))))))))))</f>
        <v>0</v>
      </c>
      <c r="U323" s="30" t="str">
        <f t="shared" si="36"/>
        <v xml:space="preserve">   </v>
      </c>
      <c r="V323" s="30" t="str">
        <f t="shared" si="37"/>
        <v xml:space="preserve">   </v>
      </c>
      <c r="W323" s="30" t="str">
        <f t="shared" si="38"/>
        <v xml:space="preserve">   --</v>
      </c>
    </row>
    <row r="324" spans="1:23" s="46" customFormat="1" x14ac:dyDescent="0.2">
      <c r="A324" s="31">
        <v>324</v>
      </c>
      <c r="B324" s="31"/>
      <c r="C324" s="31"/>
      <c r="D324" s="31"/>
      <c r="E324" s="31"/>
      <c r="F324" s="31"/>
      <c r="G324" s="18"/>
      <c r="H324" s="18"/>
      <c r="I324" s="22"/>
      <c r="J324" s="57"/>
      <c r="K324" s="18"/>
      <c r="L324" s="18"/>
      <c r="M324" s="18"/>
      <c r="N324" s="19"/>
      <c r="O324" s="45"/>
      <c r="P324" s="31"/>
      <c r="Q324" s="31"/>
      <c r="R324" s="31"/>
      <c r="S324" s="31"/>
      <c r="T324" s="30" t="b">
        <f>IF(N324=CURSOS!$D$3,"DIPLOMADO EN ATENCION PRE-HOSPITALARIA",IF(N324=CURSOS!$D$4,"ACOMPAÑAMIENTO Y MANEJO DEL DUELO",IF(N324=CURSOS!$D$5,"ATENCION A VICTIMAS DE ATAQUE CON AGENTES QUIMICOS ",IF(N324=CURSOS!$D$6,"PRIMEROS AUXILIOS ",IF(N324=CURSOS!$D$7,"DIPLOMADO DE UNIDAD DE CUIDADOS INTENSIVOS (UCI)",IF(N324=CURSOS!$D$8,"MODELO DE ATENCION PARA EVENTOS EMERGENTES EN SALUD MENTAL (CODIGO VERDE)",IF(N324=CURSOS!$D$9,"HUMANIZACION EN SALUD, BUENAS PRACTICAS EN PACIENTE ",IF(N324=CURSOS!$D$10,"CLINICA DE HERIDAS ",IF(N324=CURSOS!$D$11,"TOMA DE CITOLOGIA A CERVICO VAGINAL ",IF(N324=CURSOS!$D$12,"SOPORTE CARDIOVASCULAR AVANZADO ",IF(N324=CURSOS!$D$13,"CAMILLERO ",IF(N324=CURSOS!$D$14,"TOMA MUESTRAS Y LABORATORIO ",IF(N324=CURSOS!$D$15,"SOPORTE VITAL BASICO (BLS)",IF(N324=CURSOS!$D$16,"ATENCION A VICTIMAS DE VIOLENCIA SEXUAL ",IF(N324=CURSOS!$D$17,"PROGRAMADO AMPLIADO DE INMUNIZACION (PAI - COVID 19)",IF(N324=CURSOS!$D$18,"ATENCION INTEGRAL EN ENFERMEDADES PREVALENTES EN PRIMERA INFANCIA (AIEPI)",IF(N324=CURSOS!$D$19,"ADMINISTRACION DE MEDICAMENTOS, IYECTOLOGIA  Y CANALIZACION ",IF(N324=CURSOS!$D$20,"OPERADOR DE VEHICULOS DE EMERGENCIA (OVE)",IF(N324=CURSOS!$D$21,"INSTITUCIONES AMIGAS DE LA MUJER Y LA INFANCIA (IAMI)",IF(N324=CURSOS!$D$22,"CUIDADO DEL DONANTE DE ORGANOS",IF(N324=CURSOS!$D$23,"ATENCION A VICTIMAS POR VIOLENCIA DE GENERO",IF(N324=CURSOS!$D$24,"IGUALDAD DE GENERO EN LA SALUD",IF(N324=CURSOS!$D$25,"BRIGADA DE EMERGENCIA",IF(N324=CURSOS!$D$26,"MANEJO DEL DOLOR Y CUIDADOS PALIATIVOS",IF(N324=CURSOS!$D$27,"TOMA MUESTRAS Y LABORATORIO POCT",IF(N324=CURSOS!$D$28,"IMPLANTE SUBDERMICO Y DISPOSITIVO INTRAUTERINO",IF(N324=CURSOS!$D$29,"SALUD MENTAL",IF(N324=CURSOS!$D$30,"PRIMEROS AUXILIOS PSICOLOGICOS",IF(N324=CURSOS!$D$31,"ATENCION A VICTIMAS POR CONFLICTO ARMADO",IF(N324=CURSOS!$D$32,"MANIPULACION DE ALIMENTOS Y BPM"))))))))))))))))))))))))))))))</f>
        <v>0</v>
      </c>
      <c r="U324" s="30" t="str">
        <f t="shared" si="36"/>
        <v xml:space="preserve">   </v>
      </c>
      <c r="V324" s="30" t="str">
        <f t="shared" si="37"/>
        <v xml:space="preserve">   </v>
      </c>
      <c r="W324" s="30" t="str">
        <f t="shared" si="38"/>
        <v xml:space="preserve">   --</v>
      </c>
    </row>
    <row r="325" spans="1:23" s="46" customFormat="1" x14ac:dyDescent="0.2">
      <c r="A325" s="31">
        <v>325</v>
      </c>
      <c r="B325" s="31"/>
      <c r="C325" s="31"/>
      <c r="D325" s="31"/>
      <c r="E325" s="31"/>
      <c r="F325" s="31"/>
      <c r="G325" s="18"/>
      <c r="H325" s="18"/>
      <c r="I325" s="22"/>
      <c r="J325" s="57"/>
      <c r="K325" s="18"/>
      <c r="L325" s="18"/>
      <c r="M325" s="18"/>
      <c r="N325" s="19"/>
      <c r="O325" s="45"/>
      <c r="P325" s="31"/>
      <c r="Q325" s="31"/>
      <c r="R325" s="31"/>
      <c r="S325" s="31"/>
      <c r="T325" s="30" t="b">
        <f>IF(N325=CURSOS!$D$3,"DIPLOMADO EN ATENCION PRE-HOSPITALARIA",IF(N325=CURSOS!$D$4,"ACOMPAÑAMIENTO Y MANEJO DEL DUELO",IF(N325=CURSOS!$D$5,"ATENCION A VICTIMAS DE ATAQUE CON AGENTES QUIMICOS ",IF(N325=CURSOS!$D$6,"PRIMEROS AUXILIOS ",IF(N325=CURSOS!$D$7,"DIPLOMADO DE UNIDAD DE CUIDADOS INTENSIVOS (UCI)",IF(N325=CURSOS!$D$8,"MODELO DE ATENCION PARA EVENTOS EMERGENTES EN SALUD MENTAL (CODIGO VERDE)",IF(N325=CURSOS!$D$9,"HUMANIZACION EN SALUD, BUENAS PRACTICAS EN PACIENTE ",IF(N325=CURSOS!$D$10,"CLINICA DE HERIDAS ",IF(N325=CURSOS!$D$11,"TOMA DE CITOLOGIA A CERVICO VAGINAL ",IF(N325=CURSOS!$D$12,"SOPORTE CARDIOVASCULAR AVANZADO ",IF(N325=CURSOS!$D$13,"CAMILLERO ",IF(N325=CURSOS!$D$14,"TOMA MUESTRAS Y LABORATORIO ",IF(N325=CURSOS!$D$15,"SOPORTE VITAL BASICO (BLS)",IF(N325=CURSOS!$D$16,"ATENCION A VICTIMAS DE VIOLENCIA SEXUAL ",IF(N325=CURSOS!$D$17,"PROGRAMADO AMPLIADO DE INMUNIZACION (PAI - COVID 19)",IF(N325=CURSOS!$D$18,"ATENCION INTEGRAL EN ENFERMEDADES PREVALENTES EN PRIMERA INFANCIA (AIEPI)",IF(N325=CURSOS!$D$19,"ADMINISTRACION DE MEDICAMENTOS, IYECTOLOGIA  Y CANALIZACION ",IF(N325=CURSOS!$D$20,"OPERADOR DE VEHICULOS DE EMERGENCIA (OVE)",IF(N325=CURSOS!$D$21,"INSTITUCIONES AMIGAS DE LA MUJER Y LA INFANCIA (IAMI)",IF(N325=CURSOS!$D$22,"CUIDADO DEL DONANTE DE ORGANOS",IF(N325=CURSOS!$D$23,"ATENCION A VICTIMAS POR VIOLENCIA DE GENERO",IF(N325=CURSOS!$D$24,"IGUALDAD DE GENERO EN LA SALUD",IF(N325=CURSOS!$D$25,"BRIGADA DE EMERGENCIA",IF(N325=CURSOS!$D$26,"MANEJO DEL DOLOR Y CUIDADOS PALIATIVOS",IF(N325=CURSOS!$D$27,"TOMA MUESTRAS Y LABORATORIO POCT",IF(N325=CURSOS!$D$28,"IMPLANTE SUBDERMICO Y DISPOSITIVO INTRAUTERINO",IF(N325=CURSOS!$D$29,"SALUD MENTAL",IF(N325=CURSOS!$D$30,"PRIMEROS AUXILIOS PSICOLOGICOS",IF(N325=CURSOS!$D$31,"ATENCION A VICTIMAS POR CONFLICTO ARMADO",IF(N325=CURSOS!$D$32,"MANIPULACION DE ALIMENTOS Y BPM"))))))))))))))))))))))))))))))</f>
        <v>0</v>
      </c>
      <c r="U325" s="30" t="str">
        <f t="shared" si="36"/>
        <v xml:space="preserve">   </v>
      </c>
      <c r="V325" s="30" t="str">
        <f t="shared" si="37"/>
        <v xml:space="preserve">   </v>
      </c>
      <c r="W325" s="30" t="str">
        <f t="shared" si="38"/>
        <v xml:space="preserve">   --</v>
      </c>
    </row>
    <row r="326" spans="1:23" s="46" customFormat="1" x14ac:dyDescent="0.2">
      <c r="A326" s="31">
        <v>326</v>
      </c>
      <c r="B326" s="31"/>
      <c r="C326" s="31"/>
      <c r="D326" s="31"/>
      <c r="E326" s="31"/>
      <c r="F326" s="31"/>
      <c r="G326" s="18"/>
      <c r="H326" s="18"/>
      <c r="I326" s="22"/>
      <c r="J326" s="57"/>
      <c r="K326" s="18"/>
      <c r="L326" s="18"/>
      <c r="M326" s="18"/>
      <c r="N326" s="19"/>
      <c r="O326" s="45"/>
      <c r="P326" s="31"/>
      <c r="Q326" s="31"/>
      <c r="R326" s="31"/>
      <c r="S326" s="31"/>
      <c r="T326" s="30" t="b">
        <f>IF(N326=CURSOS!$D$3,"DIPLOMADO EN ATENCION PRE-HOSPITALARIA",IF(N326=CURSOS!$D$4,"ACOMPAÑAMIENTO Y MANEJO DEL DUELO",IF(N326=CURSOS!$D$5,"ATENCION A VICTIMAS DE ATAQUE CON AGENTES QUIMICOS ",IF(N326=CURSOS!$D$6,"PRIMEROS AUXILIOS ",IF(N326=CURSOS!$D$7,"DIPLOMADO DE UNIDAD DE CUIDADOS INTENSIVOS (UCI)",IF(N326=CURSOS!$D$8,"MODELO DE ATENCION PARA EVENTOS EMERGENTES EN SALUD MENTAL (CODIGO VERDE)",IF(N326=CURSOS!$D$9,"HUMANIZACION EN SALUD, BUENAS PRACTICAS EN PACIENTE ",IF(N326=CURSOS!$D$10,"CLINICA DE HERIDAS ",IF(N326=CURSOS!$D$11,"TOMA DE CITOLOGIA A CERVICO VAGINAL ",IF(N326=CURSOS!$D$12,"SOPORTE CARDIOVASCULAR AVANZADO ",IF(N326=CURSOS!$D$13,"CAMILLERO ",IF(N326=CURSOS!$D$14,"TOMA MUESTRAS Y LABORATORIO ",IF(N326=CURSOS!$D$15,"SOPORTE VITAL BASICO (BLS)",IF(N326=CURSOS!$D$16,"ATENCION A VICTIMAS DE VIOLENCIA SEXUAL ",IF(N326=CURSOS!$D$17,"PROGRAMADO AMPLIADO DE INMUNIZACION (PAI - COVID 19)",IF(N326=CURSOS!$D$18,"ATENCION INTEGRAL EN ENFERMEDADES PREVALENTES EN PRIMERA INFANCIA (AIEPI)",IF(N326=CURSOS!$D$19,"ADMINISTRACION DE MEDICAMENTOS, IYECTOLOGIA  Y CANALIZACION ",IF(N326=CURSOS!$D$20,"OPERADOR DE VEHICULOS DE EMERGENCIA (OVE)",IF(N326=CURSOS!$D$21,"INSTITUCIONES AMIGAS DE LA MUJER Y LA INFANCIA (IAMI)",IF(N326=CURSOS!$D$22,"CUIDADO DEL DONANTE DE ORGANOS",IF(N326=CURSOS!$D$23,"ATENCION A VICTIMAS POR VIOLENCIA DE GENERO",IF(N326=CURSOS!$D$24,"IGUALDAD DE GENERO EN LA SALUD",IF(N326=CURSOS!$D$25,"BRIGADA DE EMERGENCIA",IF(N326=CURSOS!$D$26,"MANEJO DEL DOLOR Y CUIDADOS PALIATIVOS",IF(N326=CURSOS!$D$27,"TOMA MUESTRAS Y LABORATORIO POCT",IF(N326=CURSOS!$D$28,"IMPLANTE SUBDERMICO Y DISPOSITIVO INTRAUTERINO",IF(N326=CURSOS!$D$29,"SALUD MENTAL",IF(N326=CURSOS!$D$30,"PRIMEROS AUXILIOS PSICOLOGICOS",IF(N326=CURSOS!$D$31,"ATENCION A VICTIMAS POR CONFLICTO ARMADO",IF(N326=CURSOS!$D$32,"MANIPULACION DE ALIMENTOS Y BPM"))))))))))))))))))))))))))))))</f>
        <v>0</v>
      </c>
      <c r="U326" s="30" t="str">
        <f t="shared" si="36"/>
        <v xml:space="preserve">   </v>
      </c>
      <c r="V326" s="30" t="str">
        <f t="shared" si="37"/>
        <v xml:space="preserve">   </v>
      </c>
      <c r="W326" s="30" t="str">
        <f t="shared" si="38"/>
        <v xml:space="preserve">   --</v>
      </c>
    </row>
    <row r="327" spans="1:23" s="46" customFormat="1" ht="15.75" x14ac:dyDescent="0.25">
      <c r="A327" s="31">
        <v>327</v>
      </c>
      <c r="B327" s="31"/>
      <c r="C327" s="31"/>
      <c r="D327" s="31"/>
      <c r="E327" s="31"/>
      <c r="F327" s="31"/>
      <c r="G327" s="18"/>
      <c r="H327" s="18"/>
      <c r="I327" s="22"/>
      <c r="J327" s="57"/>
      <c r="K327" s="18"/>
      <c r="L327" s="18"/>
      <c r="M327" s="18"/>
      <c r="N327" s="19"/>
      <c r="O327" s="45"/>
      <c r="P327" s="31"/>
      <c r="Q327" s="31"/>
      <c r="R327" s="31"/>
      <c r="S327" s="47"/>
      <c r="T327" s="30" t="b">
        <f>IF(N327=CURSOS!$D$3,"DIPLOMADO EN ATENCION PRE-HOSPITALARIA",IF(N327=CURSOS!$D$4,"ACOMPAÑAMIENTO Y MANEJO DEL DUELO",IF(N327=CURSOS!$D$5,"ATENCION A VICTIMAS DE ATAQUE CON AGENTES QUIMICOS ",IF(N327=CURSOS!$D$6,"PRIMEROS AUXILIOS ",IF(N327=CURSOS!$D$7,"DIPLOMADO DE UNIDAD DE CUIDADOS INTENSIVOS (UCI)",IF(N327=CURSOS!$D$8,"MODELO DE ATENCION PARA EVENTOS EMERGENTES EN SALUD MENTAL (CODIGO VERDE)",IF(N327=CURSOS!$D$9,"HUMANIZACION EN SALUD, BUENAS PRACTICAS EN PACIENTE ",IF(N327=CURSOS!$D$10,"CLINICA DE HERIDAS ",IF(N327=CURSOS!$D$11,"TOMA DE CITOLOGIA A CERVICO VAGINAL ",IF(N327=CURSOS!$D$12,"SOPORTE CARDIOVASCULAR AVANZADO ",IF(N327=CURSOS!$D$13,"CAMILLERO ",IF(N327=CURSOS!$D$14,"TOMA MUESTRAS Y LABORATORIO ",IF(N327=CURSOS!$D$15,"SOPORTE VITAL BASICO (BLS)",IF(N327=CURSOS!$D$16,"ATENCION A VICTIMAS DE VIOLENCIA SEXUAL ",IF(N327=CURSOS!$D$17,"PROGRAMADO AMPLIADO DE INMUNIZACION (PAI - COVID 19)",IF(N327=CURSOS!$D$18,"ATENCION INTEGRAL EN ENFERMEDADES PREVALENTES EN PRIMERA INFANCIA (AIEPI)",IF(N327=CURSOS!$D$19,"ADMINISTRACION DE MEDICAMENTOS, IYECTOLOGIA  Y CANALIZACION ",IF(N327=CURSOS!$D$20,"OPERADOR DE VEHICULOS DE EMERGENCIA (OVE)",IF(N327=CURSOS!$D$21,"INSTITUCIONES AMIGAS DE LA MUJER Y LA INFANCIA (IAMI)",IF(N327=CURSOS!$D$22,"CUIDADO DEL DONANTE DE ORGANOS",IF(N327=CURSOS!$D$23,"ATENCION A VICTIMAS POR VIOLENCIA DE GENERO",IF(N327=CURSOS!$D$24,"IGUALDAD DE GENERO EN LA SALUD",IF(N327=CURSOS!$D$25,"BRIGADA DE EMERGENCIA",IF(N327=CURSOS!$D$26,"MANEJO DEL DOLOR Y CUIDADOS PALIATIVOS",IF(N327=CURSOS!$D$27,"TOMA MUESTRAS Y LABORATORIO POCT",IF(N327=CURSOS!$D$28,"IMPLANTE SUBDERMICO Y DISPOSITIVO INTRAUTERINO",IF(N327=CURSOS!$D$29,"SALUD MENTAL",IF(N327=CURSOS!$D$30,"PRIMEROS AUXILIOS PSICOLOGICOS",IF(N327=CURSOS!$D$31,"ATENCION A VICTIMAS POR CONFLICTO ARMADO",IF(N327=CURSOS!$D$32,"MANIPULACION DE ALIMENTOS Y BPM"))))))))))))))))))))))))))))))</f>
        <v>0</v>
      </c>
      <c r="U327" s="30" t="str">
        <f t="shared" si="36"/>
        <v xml:space="preserve">   </v>
      </c>
      <c r="V327" s="30" t="str">
        <f t="shared" si="37"/>
        <v xml:space="preserve">   </v>
      </c>
      <c r="W327" s="30" t="str">
        <f t="shared" si="38"/>
        <v xml:space="preserve">   --</v>
      </c>
    </row>
    <row r="328" spans="1:23" s="46" customFormat="1" x14ac:dyDescent="0.2">
      <c r="A328" s="31">
        <v>328</v>
      </c>
      <c r="B328" s="31"/>
      <c r="C328" s="31"/>
      <c r="D328" s="31"/>
      <c r="E328" s="31"/>
      <c r="F328" s="31"/>
      <c r="G328" s="18"/>
      <c r="H328" s="18"/>
      <c r="I328" s="22"/>
      <c r="J328" s="57"/>
      <c r="K328" s="18"/>
      <c r="L328" s="18"/>
      <c r="M328" s="18"/>
      <c r="N328" s="19"/>
      <c r="O328" s="45"/>
      <c r="P328" s="31"/>
      <c r="Q328" s="31"/>
      <c r="R328" s="31"/>
      <c r="S328" s="31"/>
      <c r="T328" s="30" t="b">
        <f>IF(N328=CURSOS!$D$3,"DIPLOMADO EN ATENCION PRE-HOSPITALARIA",IF(N328=CURSOS!$D$4,"ACOMPAÑAMIENTO Y MANEJO DEL DUELO",IF(N328=CURSOS!$D$5,"ATENCION A VICTIMAS DE ATAQUE CON AGENTES QUIMICOS ",IF(N328=CURSOS!$D$6,"PRIMEROS AUXILIOS ",IF(N328=CURSOS!$D$7,"DIPLOMADO DE UNIDAD DE CUIDADOS INTENSIVOS (UCI)",IF(N328=CURSOS!$D$8,"MODELO DE ATENCION PARA EVENTOS EMERGENTES EN SALUD MENTAL (CODIGO VERDE)",IF(N328=CURSOS!$D$9,"HUMANIZACION EN SALUD, BUENAS PRACTICAS EN PACIENTE ",IF(N328=CURSOS!$D$10,"CLINICA DE HERIDAS ",IF(N328=CURSOS!$D$11,"TOMA DE CITOLOGIA A CERVICO VAGINAL ",IF(N328=CURSOS!$D$12,"SOPORTE CARDIOVASCULAR AVANZADO ",IF(N328=CURSOS!$D$13,"CAMILLERO ",IF(N328=CURSOS!$D$14,"TOMA MUESTRAS Y LABORATORIO ",IF(N328=CURSOS!$D$15,"SOPORTE VITAL BASICO (BLS)",IF(N328=CURSOS!$D$16,"ATENCION A VICTIMAS DE VIOLENCIA SEXUAL ",IF(N328=CURSOS!$D$17,"PROGRAMADO AMPLIADO DE INMUNIZACION (PAI - COVID 19)",IF(N328=CURSOS!$D$18,"ATENCION INTEGRAL EN ENFERMEDADES PREVALENTES EN PRIMERA INFANCIA (AIEPI)",IF(N328=CURSOS!$D$19,"ADMINISTRACION DE MEDICAMENTOS, IYECTOLOGIA  Y CANALIZACION ",IF(N328=CURSOS!$D$20,"OPERADOR DE VEHICULOS DE EMERGENCIA (OVE)",IF(N328=CURSOS!$D$21,"INSTITUCIONES AMIGAS DE LA MUJER Y LA INFANCIA (IAMI)",IF(N328=CURSOS!$D$22,"CUIDADO DEL DONANTE DE ORGANOS",IF(N328=CURSOS!$D$23,"ATENCION A VICTIMAS POR VIOLENCIA DE GENERO",IF(N328=CURSOS!$D$24,"IGUALDAD DE GENERO EN LA SALUD",IF(N328=CURSOS!$D$25,"BRIGADA DE EMERGENCIA",IF(N328=CURSOS!$D$26,"MANEJO DEL DOLOR Y CUIDADOS PALIATIVOS",IF(N328=CURSOS!$D$27,"TOMA MUESTRAS Y LABORATORIO POCT",IF(N328=CURSOS!$D$28,"IMPLANTE SUBDERMICO Y DISPOSITIVO INTRAUTERINO",IF(N328=CURSOS!$D$29,"SALUD MENTAL",IF(N328=CURSOS!$D$30,"PRIMEROS AUXILIOS PSICOLOGICOS",IF(N328=CURSOS!$D$31,"ATENCION A VICTIMAS POR CONFLICTO ARMADO",IF(N328=CURSOS!$D$32,"MANIPULACION DE ALIMENTOS Y BPM"))))))))))))))))))))))))))))))</f>
        <v>0</v>
      </c>
      <c r="U328" s="30" t="str">
        <f t="shared" si="36"/>
        <v xml:space="preserve">   </v>
      </c>
      <c r="V328" s="30" t="str">
        <f t="shared" si="37"/>
        <v xml:space="preserve">   </v>
      </c>
      <c r="W328" s="30" t="str">
        <f t="shared" si="38"/>
        <v xml:space="preserve">   --</v>
      </c>
    </row>
    <row r="329" spans="1:23" s="46" customFormat="1" x14ac:dyDescent="0.2">
      <c r="A329" s="31">
        <v>329</v>
      </c>
      <c r="B329" s="31"/>
      <c r="C329" s="31"/>
      <c r="D329" s="31"/>
      <c r="E329" s="31"/>
      <c r="F329" s="31"/>
      <c r="G329" s="18"/>
      <c r="H329" s="18"/>
      <c r="I329" s="22"/>
      <c r="J329" s="57"/>
      <c r="K329" s="18"/>
      <c r="L329" s="18"/>
      <c r="M329" s="18"/>
      <c r="N329" s="19"/>
      <c r="O329" s="45"/>
      <c r="P329" s="31"/>
      <c r="Q329" s="31"/>
      <c r="R329" s="31"/>
      <c r="S329" s="31"/>
      <c r="T329" s="30" t="b">
        <f>IF(N329=CURSOS!$D$3,"DIPLOMADO EN ATENCION PRE-HOSPITALARIA",IF(N329=CURSOS!$D$4,"ACOMPAÑAMIENTO Y MANEJO DEL DUELO",IF(N329=CURSOS!$D$5,"ATENCION A VICTIMAS DE ATAQUE CON AGENTES QUIMICOS ",IF(N329=CURSOS!$D$6,"PRIMEROS AUXILIOS ",IF(N329=CURSOS!$D$7,"DIPLOMADO DE UNIDAD DE CUIDADOS INTENSIVOS (UCI)",IF(N329=CURSOS!$D$8,"MODELO DE ATENCION PARA EVENTOS EMERGENTES EN SALUD MENTAL (CODIGO VERDE)",IF(N329=CURSOS!$D$9,"HUMANIZACION EN SALUD, BUENAS PRACTICAS EN PACIENTE ",IF(N329=CURSOS!$D$10,"CLINICA DE HERIDAS ",IF(N329=CURSOS!$D$11,"TOMA DE CITOLOGIA A CERVICO VAGINAL ",IF(N329=CURSOS!$D$12,"SOPORTE CARDIOVASCULAR AVANZADO ",IF(N329=CURSOS!$D$13,"CAMILLERO ",IF(N329=CURSOS!$D$14,"TOMA MUESTRAS Y LABORATORIO ",IF(N329=CURSOS!$D$15,"SOPORTE VITAL BASICO (BLS)",IF(N329=CURSOS!$D$16,"ATENCION A VICTIMAS DE VIOLENCIA SEXUAL ",IF(N329=CURSOS!$D$17,"PROGRAMADO AMPLIADO DE INMUNIZACION (PAI - COVID 19)",IF(N329=CURSOS!$D$18,"ATENCION INTEGRAL EN ENFERMEDADES PREVALENTES EN PRIMERA INFANCIA (AIEPI)",IF(N329=CURSOS!$D$19,"ADMINISTRACION DE MEDICAMENTOS, IYECTOLOGIA  Y CANALIZACION ",IF(N329=CURSOS!$D$20,"OPERADOR DE VEHICULOS DE EMERGENCIA (OVE)",IF(N329=CURSOS!$D$21,"INSTITUCIONES AMIGAS DE LA MUJER Y LA INFANCIA (IAMI)",IF(N329=CURSOS!$D$22,"CUIDADO DEL DONANTE DE ORGANOS",IF(N329=CURSOS!$D$23,"ATENCION A VICTIMAS POR VIOLENCIA DE GENERO",IF(N329=CURSOS!$D$24,"IGUALDAD DE GENERO EN LA SALUD",IF(N329=CURSOS!$D$25,"BRIGADA DE EMERGENCIA",IF(N329=CURSOS!$D$26,"MANEJO DEL DOLOR Y CUIDADOS PALIATIVOS",IF(N329=CURSOS!$D$27,"TOMA MUESTRAS Y LABORATORIO POCT",IF(N329=CURSOS!$D$28,"IMPLANTE SUBDERMICO Y DISPOSITIVO INTRAUTERINO",IF(N329=CURSOS!$D$29,"SALUD MENTAL",IF(N329=CURSOS!$D$30,"PRIMEROS AUXILIOS PSICOLOGICOS",IF(N329=CURSOS!$D$31,"ATENCION A VICTIMAS POR CONFLICTO ARMADO",IF(N329=CURSOS!$D$32,"MANIPULACION DE ALIMENTOS Y BPM"))))))))))))))))))))))))))))))</f>
        <v>0</v>
      </c>
      <c r="U329" s="30" t="str">
        <f t="shared" si="36"/>
        <v xml:space="preserve">   </v>
      </c>
      <c r="V329" s="30" t="str">
        <f t="shared" si="37"/>
        <v xml:space="preserve">   </v>
      </c>
      <c r="W329" s="30" t="str">
        <f t="shared" si="38"/>
        <v xml:space="preserve">   --</v>
      </c>
    </row>
    <row r="330" spans="1:23" s="46" customFormat="1" x14ac:dyDescent="0.2">
      <c r="A330" s="31">
        <v>330</v>
      </c>
      <c r="B330" s="31"/>
      <c r="C330" s="31"/>
      <c r="D330" s="31"/>
      <c r="E330" s="31"/>
      <c r="F330" s="31"/>
      <c r="G330" s="18"/>
      <c r="H330" s="18"/>
      <c r="I330" s="22"/>
      <c r="J330" s="57"/>
      <c r="K330" s="18"/>
      <c r="L330" s="18"/>
      <c r="M330" s="18"/>
      <c r="N330" s="19"/>
      <c r="O330" s="45"/>
      <c r="P330" s="31"/>
      <c r="Q330" s="31"/>
      <c r="R330" s="31"/>
      <c r="S330" s="31"/>
      <c r="T330" s="30" t="b">
        <f>IF(N330=CURSOS!$D$3,"DIPLOMADO EN ATENCION PRE-HOSPITALARIA",IF(N330=CURSOS!$D$4,"ACOMPAÑAMIENTO Y MANEJO DEL DUELO",IF(N330=CURSOS!$D$5,"ATENCION A VICTIMAS DE ATAQUE CON AGENTES QUIMICOS ",IF(N330=CURSOS!$D$6,"PRIMEROS AUXILIOS ",IF(N330=CURSOS!$D$7,"DIPLOMADO DE UNIDAD DE CUIDADOS INTENSIVOS (UCI)",IF(N330=CURSOS!$D$8,"MODELO DE ATENCION PARA EVENTOS EMERGENTES EN SALUD MENTAL (CODIGO VERDE)",IF(N330=CURSOS!$D$9,"HUMANIZACION EN SALUD, BUENAS PRACTICAS EN PACIENTE ",IF(N330=CURSOS!$D$10,"CLINICA DE HERIDAS ",IF(N330=CURSOS!$D$11,"TOMA DE CITOLOGIA A CERVICO VAGINAL ",IF(N330=CURSOS!$D$12,"SOPORTE CARDIOVASCULAR AVANZADO ",IF(N330=CURSOS!$D$13,"CAMILLERO ",IF(N330=CURSOS!$D$14,"TOMA MUESTRAS Y LABORATORIO ",IF(N330=CURSOS!$D$15,"SOPORTE VITAL BASICO (BLS)",IF(N330=CURSOS!$D$16,"ATENCION A VICTIMAS DE VIOLENCIA SEXUAL ",IF(N330=CURSOS!$D$17,"PROGRAMADO AMPLIADO DE INMUNIZACION (PAI - COVID 19)",IF(N330=CURSOS!$D$18,"ATENCION INTEGRAL EN ENFERMEDADES PREVALENTES EN PRIMERA INFANCIA (AIEPI)",IF(N330=CURSOS!$D$19,"ADMINISTRACION DE MEDICAMENTOS, IYECTOLOGIA  Y CANALIZACION ",IF(N330=CURSOS!$D$20,"OPERADOR DE VEHICULOS DE EMERGENCIA (OVE)",IF(N330=CURSOS!$D$21,"INSTITUCIONES AMIGAS DE LA MUJER Y LA INFANCIA (IAMI)",IF(N330=CURSOS!$D$22,"CUIDADO DEL DONANTE DE ORGANOS",IF(N330=CURSOS!$D$23,"ATENCION A VICTIMAS POR VIOLENCIA DE GENERO",IF(N330=CURSOS!$D$24,"IGUALDAD DE GENERO EN LA SALUD",IF(N330=CURSOS!$D$25,"BRIGADA DE EMERGENCIA",IF(N330=CURSOS!$D$26,"MANEJO DEL DOLOR Y CUIDADOS PALIATIVOS",IF(N330=CURSOS!$D$27,"TOMA MUESTRAS Y LABORATORIO POCT",IF(N330=CURSOS!$D$28,"IMPLANTE SUBDERMICO Y DISPOSITIVO INTRAUTERINO",IF(N330=CURSOS!$D$29,"SALUD MENTAL",IF(N330=CURSOS!$D$30,"PRIMEROS AUXILIOS PSICOLOGICOS",IF(N330=CURSOS!$D$31,"ATENCION A VICTIMAS POR CONFLICTO ARMADO",IF(N330=CURSOS!$D$32,"MANIPULACION DE ALIMENTOS Y BPM"))))))))))))))))))))))))))))))</f>
        <v>0</v>
      </c>
      <c r="U330" s="30" t="str">
        <f t="shared" si="36"/>
        <v xml:space="preserve">   </v>
      </c>
      <c r="V330" s="30" t="str">
        <f t="shared" si="37"/>
        <v xml:space="preserve">   </v>
      </c>
      <c r="W330" s="30" t="str">
        <f t="shared" si="38"/>
        <v xml:space="preserve">   --</v>
      </c>
    </row>
    <row r="331" spans="1:23" s="46" customFormat="1" x14ac:dyDescent="0.2">
      <c r="A331" s="31">
        <v>331</v>
      </c>
      <c r="B331" s="31"/>
      <c r="C331" s="31"/>
      <c r="D331" s="31"/>
      <c r="E331" s="31"/>
      <c r="F331" s="31"/>
      <c r="G331" s="18"/>
      <c r="H331" s="18"/>
      <c r="I331" s="22"/>
      <c r="J331" s="57"/>
      <c r="K331" s="18"/>
      <c r="L331" s="18"/>
      <c r="M331" s="18"/>
      <c r="N331" s="19"/>
      <c r="O331" s="45"/>
      <c r="P331" s="31"/>
      <c r="Q331" s="31"/>
      <c r="R331" s="31"/>
      <c r="S331" s="31"/>
      <c r="T331" s="30" t="b">
        <f>IF(N331=CURSOS!$D$3,"DIPLOMADO EN ATENCION PRE-HOSPITALARIA",IF(N331=CURSOS!$D$4,"ACOMPAÑAMIENTO Y MANEJO DEL DUELO",IF(N331=CURSOS!$D$5,"ATENCION A VICTIMAS DE ATAQUE CON AGENTES QUIMICOS ",IF(N331=CURSOS!$D$6,"PRIMEROS AUXILIOS ",IF(N331=CURSOS!$D$7,"DIPLOMADO DE UNIDAD DE CUIDADOS INTENSIVOS (UCI)",IF(N331=CURSOS!$D$8,"MODELO DE ATENCION PARA EVENTOS EMERGENTES EN SALUD MENTAL (CODIGO VERDE)",IF(N331=CURSOS!$D$9,"HUMANIZACION EN SALUD, BUENAS PRACTICAS EN PACIENTE ",IF(N331=CURSOS!$D$10,"CLINICA DE HERIDAS ",IF(N331=CURSOS!$D$11,"TOMA DE CITOLOGIA A CERVICO VAGINAL ",IF(N331=CURSOS!$D$12,"SOPORTE CARDIOVASCULAR AVANZADO ",IF(N331=CURSOS!$D$13,"CAMILLERO ",IF(N331=CURSOS!$D$14,"TOMA MUESTRAS Y LABORATORIO ",IF(N331=CURSOS!$D$15,"SOPORTE VITAL BASICO (BLS)",IF(N331=CURSOS!$D$16,"ATENCION A VICTIMAS DE VIOLENCIA SEXUAL ",IF(N331=CURSOS!$D$17,"PROGRAMADO AMPLIADO DE INMUNIZACION (PAI - COVID 19)",IF(N331=CURSOS!$D$18,"ATENCION INTEGRAL EN ENFERMEDADES PREVALENTES EN PRIMERA INFANCIA (AIEPI)",IF(N331=CURSOS!$D$19,"ADMINISTRACION DE MEDICAMENTOS, IYECTOLOGIA  Y CANALIZACION ",IF(N331=CURSOS!$D$20,"OPERADOR DE VEHICULOS DE EMERGENCIA (OVE)",IF(N331=CURSOS!$D$21,"INSTITUCIONES AMIGAS DE LA MUJER Y LA INFANCIA (IAMI)",IF(N331=CURSOS!$D$22,"CUIDADO DEL DONANTE DE ORGANOS",IF(N331=CURSOS!$D$23,"ATENCION A VICTIMAS POR VIOLENCIA DE GENERO",IF(N331=CURSOS!$D$24,"IGUALDAD DE GENERO EN LA SALUD",IF(N331=CURSOS!$D$25,"BRIGADA DE EMERGENCIA",IF(N331=CURSOS!$D$26,"MANEJO DEL DOLOR Y CUIDADOS PALIATIVOS",IF(N331=CURSOS!$D$27,"TOMA MUESTRAS Y LABORATORIO POCT",IF(N331=CURSOS!$D$28,"IMPLANTE SUBDERMICO Y DISPOSITIVO INTRAUTERINO",IF(N331=CURSOS!$D$29,"SALUD MENTAL",IF(N331=CURSOS!$D$30,"PRIMEROS AUXILIOS PSICOLOGICOS",IF(N331=CURSOS!$D$31,"ATENCION A VICTIMAS POR CONFLICTO ARMADO",IF(N331=CURSOS!$D$32,"MANIPULACION DE ALIMENTOS Y BPM"))))))))))))))))))))))))))))))</f>
        <v>0</v>
      </c>
      <c r="U331" s="30" t="str">
        <f t="shared" si="36"/>
        <v xml:space="preserve">   </v>
      </c>
      <c r="V331" s="30" t="str">
        <f t="shared" si="37"/>
        <v xml:space="preserve">   </v>
      </c>
      <c r="W331" s="30" t="str">
        <f t="shared" si="38"/>
        <v xml:space="preserve">   --</v>
      </c>
    </row>
    <row r="332" spans="1:23" s="46" customFormat="1" x14ac:dyDescent="0.2">
      <c r="A332" s="31">
        <v>332</v>
      </c>
      <c r="B332" s="31"/>
      <c r="C332" s="31"/>
      <c r="D332" s="31"/>
      <c r="E332" s="31"/>
      <c r="F332" s="31"/>
      <c r="G332" s="18"/>
      <c r="H332" s="18"/>
      <c r="I332" s="22"/>
      <c r="J332" s="57"/>
      <c r="K332" s="18"/>
      <c r="L332" s="18"/>
      <c r="M332" s="18"/>
      <c r="N332" s="19"/>
      <c r="O332" s="45"/>
      <c r="P332" s="31"/>
      <c r="Q332" s="31"/>
      <c r="R332" s="31"/>
      <c r="S332" s="31"/>
      <c r="T332" s="30" t="b">
        <f>IF(N332=CURSOS!$D$3,"DIPLOMADO EN ATENCION PRE-HOSPITALARIA",IF(N332=CURSOS!$D$4,"ACOMPAÑAMIENTO Y MANEJO DEL DUELO",IF(N332=CURSOS!$D$5,"ATENCION A VICTIMAS DE ATAQUE CON AGENTES QUIMICOS ",IF(N332=CURSOS!$D$6,"PRIMEROS AUXILIOS ",IF(N332=CURSOS!$D$7,"DIPLOMADO DE UNIDAD DE CUIDADOS INTENSIVOS (UCI)",IF(N332=CURSOS!$D$8,"MODELO DE ATENCION PARA EVENTOS EMERGENTES EN SALUD MENTAL (CODIGO VERDE)",IF(N332=CURSOS!$D$9,"HUMANIZACION EN SALUD, BUENAS PRACTICAS EN PACIENTE ",IF(N332=CURSOS!$D$10,"CLINICA DE HERIDAS ",IF(N332=CURSOS!$D$11,"TOMA DE CITOLOGIA A CERVICO VAGINAL ",IF(N332=CURSOS!$D$12,"SOPORTE CARDIOVASCULAR AVANZADO ",IF(N332=CURSOS!$D$13,"CAMILLERO ",IF(N332=CURSOS!$D$14,"TOMA MUESTRAS Y LABORATORIO ",IF(N332=CURSOS!$D$15,"SOPORTE VITAL BASICO (BLS)",IF(N332=CURSOS!$D$16,"ATENCION A VICTIMAS DE VIOLENCIA SEXUAL ",IF(N332=CURSOS!$D$17,"PROGRAMADO AMPLIADO DE INMUNIZACION (PAI - COVID 19)",IF(N332=CURSOS!$D$18,"ATENCION INTEGRAL EN ENFERMEDADES PREVALENTES EN PRIMERA INFANCIA (AIEPI)",IF(N332=CURSOS!$D$19,"ADMINISTRACION DE MEDICAMENTOS, IYECTOLOGIA  Y CANALIZACION ",IF(N332=CURSOS!$D$20,"OPERADOR DE VEHICULOS DE EMERGENCIA (OVE)",IF(N332=CURSOS!$D$21,"INSTITUCIONES AMIGAS DE LA MUJER Y LA INFANCIA (IAMI)",IF(N332=CURSOS!$D$22,"CUIDADO DEL DONANTE DE ORGANOS",IF(N332=CURSOS!$D$23,"ATENCION A VICTIMAS POR VIOLENCIA DE GENERO",IF(N332=CURSOS!$D$24,"IGUALDAD DE GENERO EN LA SALUD",IF(N332=CURSOS!$D$25,"BRIGADA DE EMERGENCIA",IF(N332=CURSOS!$D$26,"MANEJO DEL DOLOR Y CUIDADOS PALIATIVOS",IF(N332=CURSOS!$D$27,"TOMA MUESTRAS Y LABORATORIO POCT",IF(N332=CURSOS!$D$28,"IMPLANTE SUBDERMICO Y DISPOSITIVO INTRAUTERINO",IF(N332=CURSOS!$D$29,"SALUD MENTAL",IF(N332=CURSOS!$D$30,"PRIMEROS AUXILIOS PSICOLOGICOS",IF(N332=CURSOS!$D$31,"ATENCION A VICTIMAS POR CONFLICTO ARMADO",IF(N332=CURSOS!$D$32,"MANIPULACION DE ALIMENTOS Y BPM"))))))))))))))))))))))))))))))</f>
        <v>0</v>
      </c>
      <c r="U332" s="30" t="str">
        <f t="shared" si="36"/>
        <v xml:space="preserve">   </v>
      </c>
      <c r="V332" s="30" t="str">
        <f t="shared" si="37"/>
        <v xml:space="preserve">   </v>
      </c>
      <c r="W332" s="30" t="str">
        <f t="shared" si="38"/>
        <v xml:space="preserve">   --</v>
      </c>
    </row>
    <row r="333" spans="1:23" s="46" customFormat="1" x14ac:dyDescent="0.2">
      <c r="A333" s="31">
        <v>333</v>
      </c>
      <c r="B333" s="31"/>
      <c r="C333" s="31"/>
      <c r="D333" s="31"/>
      <c r="E333" s="31"/>
      <c r="F333" s="31"/>
      <c r="G333" s="18"/>
      <c r="H333" s="18"/>
      <c r="I333" s="22"/>
      <c r="J333" s="57"/>
      <c r="K333" s="18"/>
      <c r="L333" s="18"/>
      <c r="M333" s="18"/>
      <c r="N333" s="19"/>
      <c r="O333" s="45"/>
      <c r="P333" s="31"/>
      <c r="Q333" s="31"/>
      <c r="R333" s="31"/>
      <c r="S333" s="31"/>
      <c r="T333" s="30" t="b">
        <f>IF(N333=CURSOS!$D$3,"DIPLOMADO EN ATENCION PRE-HOSPITALARIA",IF(N333=CURSOS!$D$4,"ACOMPAÑAMIENTO Y MANEJO DEL DUELO",IF(N333=CURSOS!$D$5,"ATENCION A VICTIMAS DE ATAQUE CON AGENTES QUIMICOS ",IF(N333=CURSOS!$D$6,"PRIMEROS AUXILIOS ",IF(N333=CURSOS!$D$7,"DIPLOMADO DE UNIDAD DE CUIDADOS INTENSIVOS (UCI)",IF(N333=CURSOS!$D$8,"MODELO DE ATENCION PARA EVENTOS EMERGENTES EN SALUD MENTAL (CODIGO VERDE)",IF(N333=CURSOS!$D$9,"HUMANIZACION EN SALUD, BUENAS PRACTICAS EN PACIENTE ",IF(N333=CURSOS!$D$10,"CLINICA DE HERIDAS ",IF(N333=CURSOS!$D$11,"TOMA DE CITOLOGIA A CERVICO VAGINAL ",IF(N333=CURSOS!$D$12,"SOPORTE CARDIOVASCULAR AVANZADO ",IF(N333=CURSOS!$D$13,"CAMILLERO ",IF(N333=CURSOS!$D$14,"TOMA MUESTRAS Y LABORATORIO ",IF(N333=CURSOS!$D$15,"SOPORTE VITAL BASICO (BLS)",IF(N333=CURSOS!$D$16,"ATENCION A VICTIMAS DE VIOLENCIA SEXUAL ",IF(N333=CURSOS!$D$17,"PROGRAMADO AMPLIADO DE INMUNIZACION (PAI - COVID 19)",IF(N333=CURSOS!$D$18,"ATENCION INTEGRAL EN ENFERMEDADES PREVALENTES EN PRIMERA INFANCIA (AIEPI)",IF(N333=CURSOS!$D$19,"ADMINISTRACION DE MEDICAMENTOS, IYECTOLOGIA  Y CANALIZACION ",IF(N333=CURSOS!$D$20,"OPERADOR DE VEHICULOS DE EMERGENCIA (OVE)",IF(N333=CURSOS!$D$21,"INSTITUCIONES AMIGAS DE LA MUJER Y LA INFANCIA (IAMI)",IF(N333=CURSOS!$D$22,"CUIDADO DEL DONANTE DE ORGANOS",IF(N333=CURSOS!$D$23,"ATENCION A VICTIMAS POR VIOLENCIA DE GENERO",IF(N333=CURSOS!$D$24,"IGUALDAD DE GENERO EN LA SALUD",IF(N333=CURSOS!$D$25,"BRIGADA DE EMERGENCIA",IF(N333=CURSOS!$D$26,"MANEJO DEL DOLOR Y CUIDADOS PALIATIVOS",IF(N333=CURSOS!$D$27,"TOMA MUESTRAS Y LABORATORIO POCT",IF(N333=CURSOS!$D$28,"IMPLANTE SUBDERMICO Y DISPOSITIVO INTRAUTERINO",IF(N333=CURSOS!$D$29,"SALUD MENTAL",IF(N333=CURSOS!$D$30,"PRIMEROS AUXILIOS PSICOLOGICOS",IF(N333=CURSOS!$D$31,"ATENCION A VICTIMAS POR CONFLICTO ARMADO",IF(N333=CURSOS!$D$32,"MANIPULACION DE ALIMENTOS Y BPM"))))))))))))))))))))))))))))))</f>
        <v>0</v>
      </c>
      <c r="U333" s="30" t="str">
        <f t="shared" si="36"/>
        <v xml:space="preserve">   </v>
      </c>
      <c r="V333" s="30" t="str">
        <f t="shared" si="37"/>
        <v xml:space="preserve">   </v>
      </c>
      <c r="W333" s="30" t="str">
        <f t="shared" si="38"/>
        <v xml:space="preserve">   --</v>
      </c>
    </row>
    <row r="334" spans="1:23" s="46" customFormat="1" x14ac:dyDescent="0.2">
      <c r="A334" s="31">
        <v>334</v>
      </c>
      <c r="B334" s="31"/>
      <c r="C334" s="31"/>
      <c r="D334" s="31"/>
      <c r="E334" s="31"/>
      <c r="F334" s="31"/>
      <c r="G334" s="18"/>
      <c r="H334" s="18"/>
      <c r="I334" s="22"/>
      <c r="J334" s="57"/>
      <c r="K334" s="18"/>
      <c r="L334" s="18"/>
      <c r="M334" s="18"/>
      <c r="N334" s="19"/>
      <c r="O334" s="45"/>
      <c r="P334" s="31"/>
      <c r="Q334" s="31"/>
      <c r="R334" s="31"/>
      <c r="S334" s="31"/>
      <c r="T334" s="30" t="b">
        <f>IF(N334=CURSOS!$D$3,"DIPLOMADO EN ATENCION PRE-HOSPITALARIA",IF(N334=CURSOS!$D$4,"ACOMPAÑAMIENTO Y MANEJO DEL DUELO",IF(N334=CURSOS!$D$5,"ATENCION A VICTIMAS DE ATAQUE CON AGENTES QUIMICOS ",IF(N334=CURSOS!$D$6,"PRIMEROS AUXILIOS ",IF(N334=CURSOS!$D$7,"DIPLOMADO DE UNIDAD DE CUIDADOS INTENSIVOS (UCI)",IF(N334=CURSOS!$D$8,"MODELO DE ATENCION PARA EVENTOS EMERGENTES EN SALUD MENTAL (CODIGO VERDE)",IF(N334=CURSOS!$D$9,"HUMANIZACION EN SALUD, BUENAS PRACTICAS EN PACIENTE ",IF(N334=CURSOS!$D$10,"CLINICA DE HERIDAS ",IF(N334=CURSOS!$D$11,"TOMA DE CITOLOGIA A CERVICO VAGINAL ",IF(N334=CURSOS!$D$12,"SOPORTE CARDIOVASCULAR AVANZADO ",IF(N334=CURSOS!$D$13,"CAMILLERO ",IF(N334=CURSOS!$D$14,"TOMA MUESTRAS Y LABORATORIO ",IF(N334=CURSOS!$D$15,"SOPORTE VITAL BASICO (BLS)",IF(N334=CURSOS!$D$16,"ATENCION A VICTIMAS DE VIOLENCIA SEXUAL ",IF(N334=CURSOS!$D$17,"PROGRAMADO AMPLIADO DE INMUNIZACION (PAI - COVID 19)",IF(N334=CURSOS!$D$18,"ATENCION INTEGRAL EN ENFERMEDADES PREVALENTES EN PRIMERA INFANCIA (AIEPI)",IF(N334=CURSOS!$D$19,"ADMINISTRACION DE MEDICAMENTOS, IYECTOLOGIA  Y CANALIZACION ",IF(N334=CURSOS!$D$20,"OPERADOR DE VEHICULOS DE EMERGENCIA (OVE)",IF(N334=CURSOS!$D$21,"INSTITUCIONES AMIGAS DE LA MUJER Y LA INFANCIA (IAMI)",IF(N334=CURSOS!$D$22,"CUIDADO DEL DONANTE DE ORGANOS",IF(N334=CURSOS!$D$23,"ATENCION A VICTIMAS POR VIOLENCIA DE GENERO",IF(N334=CURSOS!$D$24,"IGUALDAD DE GENERO EN LA SALUD",IF(N334=CURSOS!$D$25,"BRIGADA DE EMERGENCIA",IF(N334=CURSOS!$D$26,"MANEJO DEL DOLOR Y CUIDADOS PALIATIVOS",IF(N334=CURSOS!$D$27,"TOMA MUESTRAS Y LABORATORIO POCT",IF(N334=CURSOS!$D$28,"IMPLANTE SUBDERMICO Y DISPOSITIVO INTRAUTERINO",IF(N334=CURSOS!$D$29,"SALUD MENTAL",IF(N334=CURSOS!$D$30,"PRIMEROS AUXILIOS PSICOLOGICOS",IF(N334=CURSOS!$D$31,"ATENCION A VICTIMAS POR CONFLICTO ARMADO",IF(N334=CURSOS!$D$32,"MANIPULACION DE ALIMENTOS Y BPM"))))))))))))))))))))))))))))))</f>
        <v>0</v>
      </c>
      <c r="U334" s="30" t="str">
        <f t="shared" si="36"/>
        <v xml:space="preserve">   </v>
      </c>
      <c r="V334" s="30" t="str">
        <f t="shared" si="37"/>
        <v xml:space="preserve">   </v>
      </c>
      <c r="W334" s="30" t="str">
        <f t="shared" si="38"/>
        <v xml:space="preserve">   --</v>
      </c>
    </row>
    <row r="335" spans="1:23" s="46" customFormat="1" x14ac:dyDescent="0.2">
      <c r="A335" s="31">
        <v>335</v>
      </c>
      <c r="B335" s="31"/>
      <c r="C335" s="31"/>
      <c r="D335" s="31"/>
      <c r="E335" s="31"/>
      <c r="F335" s="31"/>
      <c r="G335" s="18"/>
      <c r="H335" s="18"/>
      <c r="I335" s="22"/>
      <c r="J335" s="57"/>
      <c r="K335" s="18"/>
      <c r="L335" s="18"/>
      <c r="M335" s="18"/>
      <c r="N335" s="19"/>
      <c r="O335" s="45"/>
      <c r="P335" s="31"/>
      <c r="Q335" s="31"/>
      <c r="R335" s="31"/>
      <c r="S335" s="31"/>
      <c r="T335" s="30" t="b">
        <f>IF(N335=CURSOS!$D$3,"DIPLOMADO EN ATENCION PRE-HOSPITALARIA",IF(N335=CURSOS!$D$4,"ACOMPAÑAMIENTO Y MANEJO DEL DUELO",IF(N335=CURSOS!$D$5,"ATENCION A VICTIMAS DE ATAQUE CON AGENTES QUIMICOS ",IF(N335=CURSOS!$D$6,"PRIMEROS AUXILIOS ",IF(N335=CURSOS!$D$7,"DIPLOMADO DE UNIDAD DE CUIDADOS INTENSIVOS (UCI)",IF(N335=CURSOS!$D$8,"MODELO DE ATENCION PARA EVENTOS EMERGENTES EN SALUD MENTAL (CODIGO VERDE)",IF(N335=CURSOS!$D$9,"HUMANIZACION EN SALUD, BUENAS PRACTICAS EN PACIENTE ",IF(N335=CURSOS!$D$10,"CLINICA DE HERIDAS ",IF(N335=CURSOS!$D$11,"TOMA DE CITOLOGIA A CERVICO VAGINAL ",IF(N335=CURSOS!$D$12,"SOPORTE CARDIOVASCULAR AVANZADO ",IF(N335=CURSOS!$D$13,"CAMILLERO ",IF(N335=CURSOS!$D$14,"TOMA MUESTRAS Y LABORATORIO ",IF(N335=CURSOS!$D$15,"SOPORTE VITAL BASICO (BLS)",IF(N335=CURSOS!$D$16,"ATENCION A VICTIMAS DE VIOLENCIA SEXUAL ",IF(N335=CURSOS!$D$17,"PROGRAMADO AMPLIADO DE INMUNIZACION (PAI - COVID 19)",IF(N335=CURSOS!$D$18,"ATENCION INTEGRAL EN ENFERMEDADES PREVALENTES EN PRIMERA INFANCIA (AIEPI)",IF(N335=CURSOS!$D$19,"ADMINISTRACION DE MEDICAMENTOS, IYECTOLOGIA  Y CANALIZACION ",IF(N335=CURSOS!$D$20,"OPERADOR DE VEHICULOS DE EMERGENCIA (OVE)",IF(N335=CURSOS!$D$21,"INSTITUCIONES AMIGAS DE LA MUJER Y LA INFANCIA (IAMI)",IF(N335=CURSOS!$D$22,"CUIDADO DEL DONANTE DE ORGANOS",IF(N335=CURSOS!$D$23,"ATENCION A VICTIMAS POR VIOLENCIA DE GENERO",IF(N335=CURSOS!$D$24,"IGUALDAD DE GENERO EN LA SALUD",IF(N335=CURSOS!$D$25,"BRIGADA DE EMERGENCIA",IF(N335=CURSOS!$D$26,"MANEJO DEL DOLOR Y CUIDADOS PALIATIVOS",IF(N335=CURSOS!$D$27,"TOMA MUESTRAS Y LABORATORIO POCT",IF(N335=CURSOS!$D$28,"IMPLANTE SUBDERMICO Y DISPOSITIVO INTRAUTERINO",IF(N335=CURSOS!$D$29,"SALUD MENTAL",IF(N335=CURSOS!$D$30,"PRIMEROS AUXILIOS PSICOLOGICOS",IF(N335=CURSOS!$D$31,"ATENCION A VICTIMAS POR CONFLICTO ARMADO",IF(N335=CURSOS!$D$32,"MANIPULACION DE ALIMENTOS Y BPM"))))))))))))))))))))))))))))))</f>
        <v>0</v>
      </c>
      <c r="U335" s="30" t="str">
        <f t="shared" si="36"/>
        <v xml:space="preserve">   </v>
      </c>
      <c r="V335" s="30" t="str">
        <f t="shared" si="37"/>
        <v xml:space="preserve">   </v>
      </c>
      <c r="W335" s="30" t="str">
        <f t="shared" si="38"/>
        <v xml:space="preserve">   --</v>
      </c>
    </row>
    <row r="336" spans="1:23" s="46" customFormat="1" x14ac:dyDescent="0.2">
      <c r="A336" s="31">
        <v>336</v>
      </c>
      <c r="B336" s="31"/>
      <c r="C336" s="31"/>
      <c r="D336" s="31"/>
      <c r="E336" s="31"/>
      <c r="F336" s="31"/>
      <c r="G336" s="18"/>
      <c r="H336" s="18"/>
      <c r="I336" s="22"/>
      <c r="J336" s="57"/>
      <c r="K336" s="18"/>
      <c r="L336" s="18"/>
      <c r="M336" s="18"/>
      <c r="N336" s="19"/>
      <c r="O336" s="45"/>
      <c r="P336" s="31"/>
      <c r="Q336" s="31"/>
      <c r="R336" s="31"/>
      <c r="S336" s="31"/>
      <c r="T336" s="30" t="b">
        <f>IF(N336=CURSOS!$D$3,"DIPLOMADO EN ATENCION PRE-HOSPITALARIA",IF(N336=CURSOS!$D$4,"ACOMPAÑAMIENTO Y MANEJO DEL DUELO",IF(N336=CURSOS!$D$5,"ATENCION A VICTIMAS DE ATAQUE CON AGENTES QUIMICOS ",IF(N336=CURSOS!$D$6,"PRIMEROS AUXILIOS ",IF(N336=CURSOS!$D$7,"DIPLOMADO DE UNIDAD DE CUIDADOS INTENSIVOS (UCI)",IF(N336=CURSOS!$D$8,"MODELO DE ATENCION PARA EVENTOS EMERGENTES EN SALUD MENTAL (CODIGO VERDE)",IF(N336=CURSOS!$D$9,"HUMANIZACION EN SALUD, BUENAS PRACTICAS EN PACIENTE ",IF(N336=CURSOS!$D$10,"CLINICA DE HERIDAS ",IF(N336=CURSOS!$D$11,"TOMA DE CITOLOGIA A CERVICO VAGINAL ",IF(N336=CURSOS!$D$12,"SOPORTE CARDIOVASCULAR AVANZADO ",IF(N336=CURSOS!$D$13,"CAMILLERO ",IF(N336=CURSOS!$D$14,"TOMA MUESTRAS Y LABORATORIO ",IF(N336=CURSOS!$D$15,"SOPORTE VITAL BASICO (BLS)",IF(N336=CURSOS!$D$16,"ATENCION A VICTIMAS DE VIOLENCIA SEXUAL ",IF(N336=CURSOS!$D$17,"PROGRAMADO AMPLIADO DE INMUNIZACION (PAI - COVID 19)",IF(N336=CURSOS!$D$18,"ATENCION INTEGRAL EN ENFERMEDADES PREVALENTES EN PRIMERA INFANCIA (AIEPI)",IF(N336=CURSOS!$D$19,"ADMINISTRACION DE MEDICAMENTOS, IYECTOLOGIA  Y CANALIZACION ",IF(N336=CURSOS!$D$20,"OPERADOR DE VEHICULOS DE EMERGENCIA (OVE)",IF(N336=CURSOS!$D$21,"INSTITUCIONES AMIGAS DE LA MUJER Y LA INFANCIA (IAMI)",IF(N336=CURSOS!$D$22,"CUIDADO DEL DONANTE DE ORGANOS",IF(N336=CURSOS!$D$23,"ATENCION A VICTIMAS POR VIOLENCIA DE GENERO",IF(N336=CURSOS!$D$24,"IGUALDAD DE GENERO EN LA SALUD",IF(N336=CURSOS!$D$25,"BRIGADA DE EMERGENCIA",IF(N336=CURSOS!$D$26,"MANEJO DEL DOLOR Y CUIDADOS PALIATIVOS",IF(N336=CURSOS!$D$27,"TOMA MUESTRAS Y LABORATORIO POCT",IF(N336=CURSOS!$D$28,"IMPLANTE SUBDERMICO Y DISPOSITIVO INTRAUTERINO",IF(N336=CURSOS!$D$29,"SALUD MENTAL",IF(N336=CURSOS!$D$30,"PRIMEROS AUXILIOS PSICOLOGICOS",IF(N336=CURSOS!$D$31,"ATENCION A VICTIMAS POR CONFLICTO ARMADO",IF(N336=CURSOS!$D$32,"MANIPULACION DE ALIMENTOS Y BPM"))))))))))))))))))))))))))))))</f>
        <v>0</v>
      </c>
      <c r="U336" s="30" t="str">
        <f t="shared" si="36"/>
        <v xml:space="preserve">   </v>
      </c>
      <c r="V336" s="30" t="str">
        <f t="shared" si="37"/>
        <v xml:space="preserve">   </v>
      </c>
      <c r="W336" s="30" t="str">
        <f t="shared" si="38"/>
        <v xml:space="preserve">   --</v>
      </c>
    </row>
    <row r="337" spans="1:23" s="46" customFormat="1" x14ac:dyDescent="0.2">
      <c r="A337" s="31">
        <v>337</v>
      </c>
      <c r="B337" s="31"/>
      <c r="C337" s="31"/>
      <c r="D337" s="31"/>
      <c r="E337" s="31"/>
      <c r="F337" s="31"/>
      <c r="G337" s="18"/>
      <c r="H337" s="18"/>
      <c r="I337" s="22"/>
      <c r="J337" s="57"/>
      <c r="K337" s="18"/>
      <c r="L337" s="18"/>
      <c r="M337" s="18"/>
      <c r="N337" s="19"/>
      <c r="O337" s="45"/>
      <c r="P337" s="31"/>
      <c r="Q337" s="31"/>
      <c r="R337" s="31"/>
      <c r="S337" s="31"/>
      <c r="T337" s="30" t="b">
        <f>IF(N337=CURSOS!$D$3,"DIPLOMADO EN ATENCION PRE-HOSPITALARIA",IF(N337=CURSOS!$D$4,"ACOMPAÑAMIENTO Y MANEJO DEL DUELO",IF(N337=CURSOS!$D$5,"ATENCION A VICTIMAS DE ATAQUE CON AGENTES QUIMICOS ",IF(N337=CURSOS!$D$6,"PRIMEROS AUXILIOS ",IF(N337=CURSOS!$D$7,"DIPLOMADO DE UNIDAD DE CUIDADOS INTENSIVOS (UCI)",IF(N337=CURSOS!$D$8,"MODELO DE ATENCION PARA EVENTOS EMERGENTES EN SALUD MENTAL (CODIGO VERDE)",IF(N337=CURSOS!$D$9,"HUMANIZACION EN SALUD, BUENAS PRACTICAS EN PACIENTE ",IF(N337=CURSOS!$D$10,"CLINICA DE HERIDAS ",IF(N337=CURSOS!$D$11,"TOMA DE CITOLOGIA A CERVICO VAGINAL ",IF(N337=CURSOS!$D$12,"SOPORTE CARDIOVASCULAR AVANZADO ",IF(N337=CURSOS!$D$13,"CAMILLERO ",IF(N337=CURSOS!$D$14,"TOMA MUESTRAS Y LABORATORIO ",IF(N337=CURSOS!$D$15,"SOPORTE VITAL BASICO (BLS)",IF(N337=CURSOS!$D$16,"ATENCION A VICTIMAS DE VIOLENCIA SEXUAL ",IF(N337=CURSOS!$D$17,"PROGRAMADO AMPLIADO DE INMUNIZACION (PAI - COVID 19)",IF(N337=CURSOS!$D$18,"ATENCION INTEGRAL EN ENFERMEDADES PREVALENTES EN PRIMERA INFANCIA (AIEPI)",IF(N337=CURSOS!$D$19,"ADMINISTRACION DE MEDICAMENTOS, IYECTOLOGIA  Y CANALIZACION ",IF(N337=CURSOS!$D$20,"OPERADOR DE VEHICULOS DE EMERGENCIA (OVE)",IF(N337=CURSOS!$D$21,"INSTITUCIONES AMIGAS DE LA MUJER Y LA INFANCIA (IAMI)",IF(N337=CURSOS!$D$22,"CUIDADO DEL DONANTE DE ORGANOS",IF(N337=CURSOS!$D$23,"ATENCION A VICTIMAS POR VIOLENCIA DE GENERO",IF(N337=CURSOS!$D$24,"IGUALDAD DE GENERO EN LA SALUD",IF(N337=CURSOS!$D$25,"BRIGADA DE EMERGENCIA",IF(N337=CURSOS!$D$26,"MANEJO DEL DOLOR Y CUIDADOS PALIATIVOS",IF(N337=CURSOS!$D$27,"TOMA MUESTRAS Y LABORATORIO POCT",IF(N337=CURSOS!$D$28,"IMPLANTE SUBDERMICO Y DISPOSITIVO INTRAUTERINO",IF(N337=CURSOS!$D$29,"SALUD MENTAL",IF(N337=CURSOS!$D$30,"PRIMEROS AUXILIOS PSICOLOGICOS",IF(N337=CURSOS!$D$31,"ATENCION A VICTIMAS POR CONFLICTO ARMADO",IF(N337=CURSOS!$D$32,"MANIPULACION DE ALIMENTOS Y BPM"))))))))))))))))))))))))))))))</f>
        <v>0</v>
      </c>
      <c r="U337" s="30" t="str">
        <f t="shared" si="36"/>
        <v xml:space="preserve">   </v>
      </c>
      <c r="V337" s="30" t="str">
        <f t="shared" si="37"/>
        <v xml:space="preserve">   </v>
      </c>
      <c r="W337" s="30" t="str">
        <f t="shared" si="38"/>
        <v xml:space="preserve">   --</v>
      </c>
    </row>
    <row r="338" spans="1:23" s="46" customFormat="1" x14ac:dyDescent="0.2">
      <c r="A338" s="31">
        <v>338</v>
      </c>
      <c r="B338" s="31"/>
      <c r="C338" s="31"/>
      <c r="D338" s="31"/>
      <c r="E338" s="31"/>
      <c r="F338" s="31"/>
      <c r="G338" s="18"/>
      <c r="H338" s="18"/>
      <c r="I338" s="22"/>
      <c r="J338" s="57"/>
      <c r="K338" s="18"/>
      <c r="L338" s="18"/>
      <c r="M338" s="18"/>
      <c r="N338" s="19"/>
      <c r="O338" s="45"/>
      <c r="P338" s="31"/>
      <c r="Q338" s="31"/>
      <c r="R338" s="31"/>
      <c r="S338" s="31"/>
      <c r="T338" s="30" t="b">
        <f>IF(N338=CURSOS!$D$3,"DIPLOMADO EN ATENCION PRE-HOSPITALARIA",IF(N338=CURSOS!$D$4,"ACOMPAÑAMIENTO Y MANEJO DEL DUELO",IF(N338=CURSOS!$D$5,"ATENCION A VICTIMAS DE ATAQUE CON AGENTES QUIMICOS ",IF(N338=CURSOS!$D$6,"PRIMEROS AUXILIOS ",IF(N338=CURSOS!$D$7,"DIPLOMADO DE UNIDAD DE CUIDADOS INTENSIVOS (UCI)",IF(N338=CURSOS!$D$8,"MODELO DE ATENCION PARA EVENTOS EMERGENTES EN SALUD MENTAL (CODIGO VERDE)",IF(N338=CURSOS!$D$9,"HUMANIZACION EN SALUD, BUENAS PRACTICAS EN PACIENTE ",IF(N338=CURSOS!$D$10,"CLINICA DE HERIDAS ",IF(N338=CURSOS!$D$11,"TOMA DE CITOLOGIA A CERVICO VAGINAL ",IF(N338=CURSOS!$D$12,"SOPORTE CARDIOVASCULAR AVANZADO ",IF(N338=CURSOS!$D$13,"CAMILLERO ",IF(N338=CURSOS!$D$14,"TOMA MUESTRAS Y LABORATORIO ",IF(N338=CURSOS!$D$15,"SOPORTE VITAL BASICO (BLS)",IF(N338=CURSOS!$D$16,"ATENCION A VICTIMAS DE VIOLENCIA SEXUAL ",IF(N338=CURSOS!$D$17,"PROGRAMADO AMPLIADO DE INMUNIZACION (PAI - COVID 19)",IF(N338=CURSOS!$D$18,"ATENCION INTEGRAL EN ENFERMEDADES PREVALENTES EN PRIMERA INFANCIA (AIEPI)",IF(N338=CURSOS!$D$19,"ADMINISTRACION DE MEDICAMENTOS, IYECTOLOGIA  Y CANALIZACION ",IF(N338=CURSOS!$D$20,"OPERADOR DE VEHICULOS DE EMERGENCIA (OVE)",IF(N338=CURSOS!$D$21,"INSTITUCIONES AMIGAS DE LA MUJER Y LA INFANCIA (IAMI)",IF(N338=CURSOS!$D$22,"CUIDADO DEL DONANTE DE ORGANOS",IF(N338=CURSOS!$D$23,"ATENCION A VICTIMAS POR VIOLENCIA DE GENERO",IF(N338=CURSOS!$D$24,"IGUALDAD DE GENERO EN LA SALUD",IF(N338=CURSOS!$D$25,"BRIGADA DE EMERGENCIA",IF(N338=CURSOS!$D$26,"MANEJO DEL DOLOR Y CUIDADOS PALIATIVOS",IF(N338=CURSOS!$D$27,"TOMA MUESTRAS Y LABORATORIO POCT",IF(N338=CURSOS!$D$28,"IMPLANTE SUBDERMICO Y DISPOSITIVO INTRAUTERINO",IF(N338=CURSOS!$D$29,"SALUD MENTAL",IF(N338=CURSOS!$D$30,"PRIMEROS AUXILIOS PSICOLOGICOS",IF(N338=CURSOS!$D$31,"ATENCION A VICTIMAS POR CONFLICTO ARMADO",IF(N338=CURSOS!$D$32,"MANIPULACION DE ALIMENTOS Y BPM"))))))))))))))))))))))))))))))</f>
        <v>0</v>
      </c>
      <c r="U338" s="30" t="str">
        <f t="shared" si="36"/>
        <v xml:space="preserve">   </v>
      </c>
      <c r="V338" s="30" t="str">
        <f t="shared" si="37"/>
        <v xml:space="preserve">   </v>
      </c>
      <c r="W338" s="30" t="str">
        <f t="shared" si="38"/>
        <v xml:space="preserve">   --</v>
      </c>
    </row>
    <row r="339" spans="1:23" s="46" customFormat="1" x14ac:dyDescent="0.2">
      <c r="A339" s="31">
        <v>339</v>
      </c>
      <c r="B339" s="31"/>
      <c r="C339" s="31"/>
      <c r="D339" s="31"/>
      <c r="E339" s="31"/>
      <c r="F339" s="31"/>
      <c r="G339" s="18"/>
      <c r="H339" s="18"/>
      <c r="I339" s="22"/>
      <c r="J339" s="57"/>
      <c r="K339" s="18"/>
      <c r="L339" s="18"/>
      <c r="M339" s="18"/>
      <c r="N339" s="19"/>
      <c r="O339" s="45"/>
      <c r="P339" s="31"/>
      <c r="Q339" s="31"/>
      <c r="R339" s="31"/>
      <c r="S339" s="31"/>
      <c r="T339" s="30" t="b">
        <f>IF(N339=CURSOS!$D$3,"DIPLOMADO EN ATENCION PRE-HOSPITALARIA",IF(N339=CURSOS!$D$4,"ACOMPAÑAMIENTO Y MANEJO DEL DUELO",IF(N339=CURSOS!$D$5,"ATENCION A VICTIMAS DE ATAQUE CON AGENTES QUIMICOS ",IF(N339=CURSOS!$D$6,"PRIMEROS AUXILIOS ",IF(N339=CURSOS!$D$7,"DIPLOMADO DE UNIDAD DE CUIDADOS INTENSIVOS (UCI)",IF(N339=CURSOS!$D$8,"MODELO DE ATENCION PARA EVENTOS EMERGENTES EN SALUD MENTAL (CODIGO VERDE)",IF(N339=CURSOS!$D$9,"HUMANIZACION EN SALUD, BUENAS PRACTICAS EN PACIENTE ",IF(N339=CURSOS!$D$10,"CLINICA DE HERIDAS ",IF(N339=CURSOS!$D$11,"TOMA DE CITOLOGIA A CERVICO VAGINAL ",IF(N339=CURSOS!$D$12,"SOPORTE CARDIOVASCULAR AVANZADO ",IF(N339=CURSOS!$D$13,"CAMILLERO ",IF(N339=CURSOS!$D$14,"TOMA MUESTRAS Y LABORATORIO ",IF(N339=CURSOS!$D$15,"SOPORTE VITAL BASICO (BLS)",IF(N339=CURSOS!$D$16,"ATENCION A VICTIMAS DE VIOLENCIA SEXUAL ",IF(N339=CURSOS!$D$17,"PROGRAMADO AMPLIADO DE INMUNIZACION (PAI - COVID 19)",IF(N339=CURSOS!$D$18,"ATENCION INTEGRAL EN ENFERMEDADES PREVALENTES EN PRIMERA INFANCIA (AIEPI)",IF(N339=CURSOS!$D$19,"ADMINISTRACION DE MEDICAMENTOS, IYECTOLOGIA  Y CANALIZACION ",IF(N339=CURSOS!$D$20,"OPERADOR DE VEHICULOS DE EMERGENCIA (OVE)",IF(N339=CURSOS!$D$21,"INSTITUCIONES AMIGAS DE LA MUJER Y LA INFANCIA (IAMI)",IF(N339=CURSOS!$D$22,"CUIDADO DEL DONANTE DE ORGANOS",IF(N339=CURSOS!$D$23,"ATENCION A VICTIMAS POR VIOLENCIA DE GENERO",IF(N339=CURSOS!$D$24,"IGUALDAD DE GENERO EN LA SALUD",IF(N339=CURSOS!$D$25,"BRIGADA DE EMERGENCIA",IF(N339=CURSOS!$D$26,"MANEJO DEL DOLOR Y CUIDADOS PALIATIVOS",IF(N339=CURSOS!$D$27,"TOMA MUESTRAS Y LABORATORIO POCT",IF(N339=CURSOS!$D$28,"IMPLANTE SUBDERMICO Y DISPOSITIVO INTRAUTERINO",IF(N339=CURSOS!$D$29,"SALUD MENTAL",IF(N339=CURSOS!$D$30,"PRIMEROS AUXILIOS PSICOLOGICOS",IF(N339=CURSOS!$D$31,"ATENCION A VICTIMAS POR CONFLICTO ARMADO",IF(N339=CURSOS!$D$32,"MANIPULACION DE ALIMENTOS Y BPM"))))))))))))))))))))))))))))))</f>
        <v>0</v>
      </c>
      <c r="U339" s="30" t="str">
        <f t="shared" si="36"/>
        <v xml:space="preserve">   </v>
      </c>
      <c r="V339" s="30" t="str">
        <f t="shared" si="37"/>
        <v xml:space="preserve">   </v>
      </c>
      <c r="W339" s="30" t="str">
        <f t="shared" si="38"/>
        <v xml:space="preserve">   --</v>
      </c>
    </row>
    <row r="340" spans="1:23" s="46" customFormat="1" x14ac:dyDescent="0.2">
      <c r="A340" s="31">
        <v>340</v>
      </c>
      <c r="B340" s="31"/>
      <c r="C340" s="31"/>
      <c r="D340" s="31"/>
      <c r="E340" s="31"/>
      <c r="F340" s="31"/>
      <c r="G340" s="18"/>
      <c r="H340" s="18"/>
      <c r="I340" s="22"/>
      <c r="J340" s="57"/>
      <c r="K340" s="18"/>
      <c r="L340" s="18"/>
      <c r="M340" s="18"/>
      <c r="N340" s="19"/>
      <c r="O340" s="45"/>
      <c r="P340" s="31"/>
      <c r="Q340" s="31"/>
      <c r="R340" s="31"/>
      <c r="S340" s="31"/>
      <c r="T340" s="30" t="b">
        <f>IF(N340=CURSOS!$D$3,"DIPLOMADO EN ATENCION PRE-HOSPITALARIA",IF(N340=CURSOS!$D$4,"ACOMPAÑAMIENTO Y MANEJO DEL DUELO",IF(N340=CURSOS!$D$5,"ATENCION A VICTIMAS DE ATAQUE CON AGENTES QUIMICOS ",IF(N340=CURSOS!$D$6,"PRIMEROS AUXILIOS ",IF(N340=CURSOS!$D$7,"DIPLOMADO DE UNIDAD DE CUIDADOS INTENSIVOS (UCI)",IF(N340=CURSOS!$D$8,"MODELO DE ATENCION PARA EVENTOS EMERGENTES EN SALUD MENTAL (CODIGO VERDE)",IF(N340=CURSOS!$D$9,"HUMANIZACION EN SALUD, BUENAS PRACTICAS EN PACIENTE ",IF(N340=CURSOS!$D$10,"CLINICA DE HERIDAS ",IF(N340=CURSOS!$D$11,"TOMA DE CITOLOGIA A CERVICO VAGINAL ",IF(N340=CURSOS!$D$12,"SOPORTE CARDIOVASCULAR AVANZADO ",IF(N340=CURSOS!$D$13,"CAMILLERO ",IF(N340=CURSOS!$D$14,"TOMA MUESTRAS Y LABORATORIO ",IF(N340=CURSOS!$D$15,"SOPORTE VITAL BASICO (BLS)",IF(N340=CURSOS!$D$16,"ATENCION A VICTIMAS DE VIOLENCIA SEXUAL ",IF(N340=CURSOS!$D$17,"PROGRAMADO AMPLIADO DE INMUNIZACION (PAI - COVID 19)",IF(N340=CURSOS!$D$18,"ATENCION INTEGRAL EN ENFERMEDADES PREVALENTES EN PRIMERA INFANCIA (AIEPI)",IF(N340=CURSOS!$D$19,"ADMINISTRACION DE MEDICAMENTOS, IYECTOLOGIA  Y CANALIZACION ",IF(N340=CURSOS!$D$20,"OPERADOR DE VEHICULOS DE EMERGENCIA (OVE)",IF(N340=CURSOS!$D$21,"INSTITUCIONES AMIGAS DE LA MUJER Y LA INFANCIA (IAMI)",IF(N340=CURSOS!$D$22,"CUIDADO DEL DONANTE DE ORGANOS",IF(N340=CURSOS!$D$23,"ATENCION A VICTIMAS POR VIOLENCIA DE GENERO",IF(N340=CURSOS!$D$24,"IGUALDAD DE GENERO EN LA SALUD",IF(N340=CURSOS!$D$25,"BRIGADA DE EMERGENCIA",IF(N340=CURSOS!$D$26,"MANEJO DEL DOLOR Y CUIDADOS PALIATIVOS",IF(N340=CURSOS!$D$27,"TOMA MUESTRAS Y LABORATORIO POCT",IF(N340=CURSOS!$D$28,"IMPLANTE SUBDERMICO Y DISPOSITIVO INTRAUTERINO",IF(N340=CURSOS!$D$29,"SALUD MENTAL",IF(N340=CURSOS!$D$30,"PRIMEROS AUXILIOS PSICOLOGICOS",IF(N340=CURSOS!$D$31,"ATENCION A VICTIMAS POR CONFLICTO ARMADO",IF(N340=CURSOS!$D$32,"MANIPULACION DE ALIMENTOS Y BPM"))))))))))))))))))))))))))))))</f>
        <v>0</v>
      </c>
      <c r="U340" s="30" t="str">
        <f t="shared" si="36"/>
        <v xml:space="preserve">   </v>
      </c>
      <c r="V340" s="30" t="str">
        <f t="shared" si="37"/>
        <v xml:space="preserve">   </v>
      </c>
      <c r="W340" s="30" t="str">
        <f t="shared" si="38"/>
        <v xml:space="preserve">   --</v>
      </c>
    </row>
    <row r="341" spans="1:23" s="46" customFormat="1" x14ac:dyDescent="0.2">
      <c r="A341" s="31">
        <v>341</v>
      </c>
      <c r="B341" s="31"/>
      <c r="C341" s="31"/>
      <c r="D341" s="31"/>
      <c r="E341" s="31"/>
      <c r="F341" s="31"/>
      <c r="G341" s="18"/>
      <c r="H341" s="18"/>
      <c r="I341" s="22"/>
      <c r="J341" s="57"/>
      <c r="K341" s="18"/>
      <c r="L341" s="18"/>
      <c r="M341" s="18"/>
      <c r="N341" s="19"/>
      <c r="O341" s="45"/>
      <c r="P341" s="31"/>
      <c r="Q341" s="31"/>
      <c r="R341" s="31"/>
      <c r="S341" s="31"/>
      <c r="T341" s="30" t="b">
        <f>IF(N341=CURSOS!$D$3,"DIPLOMADO EN ATENCION PRE-HOSPITALARIA",IF(N341=CURSOS!$D$4,"ACOMPAÑAMIENTO Y MANEJO DEL DUELO",IF(N341=CURSOS!$D$5,"ATENCION A VICTIMAS DE ATAQUE CON AGENTES QUIMICOS ",IF(N341=CURSOS!$D$6,"PRIMEROS AUXILIOS ",IF(N341=CURSOS!$D$7,"DIPLOMADO DE UNIDAD DE CUIDADOS INTENSIVOS (UCI)",IF(N341=CURSOS!$D$8,"MODELO DE ATENCION PARA EVENTOS EMERGENTES EN SALUD MENTAL (CODIGO VERDE)",IF(N341=CURSOS!$D$9,"HUMANIZACION EN SALUD, BUENAS PRACTICAS EN PACIENTE ",IF(N341=CURSOS!$D$10,"CLINICA DE HERIDAS ",IF(N341=CURSOS!$D$11,"TOMA DE CITOLOGIA A CERVICO VAGINAL ",IF(N341=CURSOS!$D$12,"SOPORTE CARDIOVASCULAR AVANZADO ",IF(N341=CURSOS!$D$13,"CAMILLERO ",IF(N341=CURSOS!$D$14,"TOMA MUESTRAS Y LABORATORIO ",IF(N341=CURSOS!$D$15,"SOPORTE VITAL BASICO (BLS)",IF(N341=CURSOS!$D$16,"ATENCION A VICTIMAS DE VIOLENCIA SEXUAL ",IF(N341=CURSOS!$D$17,"PROGRAMADO AMPLIADO DE INMUNIZACION (PAI - COVID 19)",IF(N341=CURSOS!$D$18,"ATENCION INTEGRAL EN ENFERMEDADES PREVALENTES EN PRIMERA INFANCIA (AIEPI)",IF(N341=CURSOS!$D$19,"ADMINISTRACION DE MEDICAMENTOS, IYECTOLOGIA  Y CANALIZACION ",IF(N341=CURSOS!$D$20,"OPERADOR DE VEHICULOS DE EMERGENCIA (OVE)",IF(N341=CURSOS!$D$21,"INSTITUCIONES AMIGAS DE LA MUJER Y LA INFANCIA (IAMI)",IF(N341=CURSOS!$D$22,"CUIDADO DEL DONANTE DE ORGANOS",IF(N341=CURSOS!$D$23,"ATENCION A VICTIMAS POR VIOLENCIA DE GENERO",IF(N341=CURSOS!$D$24,"IGUALDAD DE GENERO EN LA SALUD",IF(N341=CURSOS!$D$25,"BRIGADA DE EMERGENCIA",IF(N341=CURSOS!$D$26,"MANEJO DEL DOLOR Y CUIDADOS PALIATIVOS",IF(N341=CURSOS!$D$27,"TOMA MUESTRAS Y LABORATORIO POCT",IF(N341=CURSOS!$D$28,"IMPLANTE SUBDERMICO Y DISPOSITIVO INTRAUTERINO",IF(N341=CURSOS!$D$29,"SALUD MENTAL",IF(N341=CURSOS!$D$30,"PRIMEROS AUXILIOS PSICOLOGICOS",IF(N341=CURSOS!$D$31,"ATENCION A VICTIMAS POR CONFLICTO ARMADO",IF(N341=CURSOS!$D$32,"MANIPULACION DE ALIMENTOS Y BPM"))))))))))))))))))))))))))))))</f>
        <v>0</v>
      </c>
      <c r="U341" s="30" t="str">
        <f t="shared" si="36"/>
        <v xml:space="preserve">   </v>
      </c>
      <c r="V341" s="30" t="str">
        <f t="shared" si="37"/>
        <v xml:space="preserve">   </v>
      </c>
      <c r="W341" s="30" t="str">
        <f t="shared" si="38"/>
        <v xml:space="preserve">   --</v>
      </c>
    </row>
    <row r="342" spans="1:23" s="46" customFormat="1" x14ac:dyDescent="0.2">
      <c r="A342" s="31">
        <v>342</v>
      </c>
      <c r="B342" s="31"/>
      <c r="C342" s="31"/>
      <c r="D342" s="31"/>
      <c r="E342" s="31"/>
      <c r="F342" s="31"/>
      <c r="G342" s="18"/>
      <c r="H342" s="18"/>
      <c r="I342" s="22"/>
      <c r="J342" s="57"/>
      <c r="K342" s="18"/>
      <c r="L342" s="18"/>
      <c r="M342" s="18"/>
      <c r="N342" s="19"/>
      <c r="O342" s="45"/>
      <c r="P342" s="31"/>
      <c r="Q342" s="31"/>
      <c r="R342" s="31"/>
      <c r="S342" s="31"/>
      <c r="T342" s="30" t="b">
        <f>IF(N342=CURSOS!$D$3,"DIPLOMADO EN ATENCION PRE-HOSPITALARIA",IF(N342=CURSOS!$D$4,"ACOMPAÑAMIENTO Y MANEJO DEL DUELO",IF(N342=CURSOS!$D$5,"ATENCION A VICTIMAS DE ATAQUE CON AGENTES QUIMICOS ",IF(N342=CURSOS!$D$6,"PRIMEROS AUXILIOS ",IF(N342=CURSOS!$D$7,"DIPLOMADO DE UNIDAD DE CUIDADOS INTENSIVOS (UCI)",IF(N342=CURSOS!$D$8,"MODELO DE ATENCION PARA EVENTOS EMERGENTES EN SALUD MENTAL (CODIGO VERDE)",IF(N342=CURSOS!$D$9,"HUMANIZACION EN SALUD, BUENAS PRACTICAS EN PACIENTE ",IF(N342=CURSOS!$D$10,"CLINICA DE HERIDAS ",IF(N342=CURSOS!$D$11,"TOMA DE CITOLOGIA A CERVICO VAGINAL ",IF(N342=CURSOS!$D$12,"SOPORTE CARDIOVASCULAR AVANZADO ",IF(N342=CURSOS!$D$13,"CAMILLERO ",IF(N342=CURSOS!$D$14,"TOMA MUESTRAS Y LABORATORIO ",IF(N342=CURSOS!$D$15,"SOPORTE VITAL BASICO (BLS)",IF(N342=CURSOS!$D$16,"ATENCION A VICTIMAS DE VIOLENCIA SEXUAL ",IF(N342=CURSOS!$D$17,"PROGRAMADO AMPLIADO DE INMUNIZACION (PAI - COVID 19)",IF(N342=CURSOS!$D$18,"ATENCION INTEGRAL EN ENFERMEDADES PREVALENTES EN PRIMERA INFANCIA (AIEPI)",IF(N342=CURSOS!$D$19,"ADMINISTRACION DE MEDICAMENTOS, IYECTOLOGIA  Y CANALIZACION ",IF(N342=CURSOS!$D$20,"OPERADOR DE VEHICULOS DE EMERGENCIA (OVE)",IF(N342=CURSOS!$D$21,"INSTITUCIONES AMIGAS DE LA MUJER Y LA INFANCIA (IAMI)",IF(N342=CURSOS!$D$22,"CUIDADO DEL DONANTE DE ORGANOS",IF(N342=CURSOS!$D$23,"ATENCION A VICTIMAS POR VIOLENCIA DE GENERO",IF(N342=CURSOS!$D$24,"IGUALDAD DE GENERO EN LA SALUD",IF(N342=CURSOS!$D$25,"BRIGADA DE EMERGENCIA",IF(N342=CURSOS!$D$26,"MANEJO DEL DOLOR Y CUIDADOS PALIATIVOS",IF(N342=CURSOS!$D$27,"TOMA MUESTRAS Y LABORATORIO POCT",IF(N342=CURSOS!$D$28,"IMPLANTE SUBDERMICO Y DISPOSITIVO INTRAUTERINO",IF(N342=CURSOS!$D$29,"SALUD MENTAL",IF(N342=CURSOS!$D$30,"PRIMEROS AUXILIOS PSICOLOGICOS",IF(N342=CURSOS!$D$31,"ATENCION A VICTIMAS POR CONFLICTO ARMADO",IF(N342=CURSOS!$D$32,"MANIPULACION DE ALIMENTOS Y BPM"))))))))))))))))))))))))))))))</f>
        <v>0</v>
      </c>
      <c r="U342" s="30" t="str">
        <f t="shared" ref="U342:U344" si="39">CONCATENATE(E342," ",F342," ",C342," ",D342)</f>
        <v xml:space="preserve">   </v>
      </c>
      <c r="V342" s="30" t="str">
        <f t="shared" ref="V342:V344" si="40">+PROPER(U342)</f>
        <v xml:space="preserve">   </v>
      </c>
      <c r="W342" s="30" t="str">
        <f t="shared" ref="W342:W344" si="41">CONCATENATE(U342,"-",B342,"-",N342)</f>
        <v xml:space="preserve">   --</v>
      </c>
    </row>
    <row r="343" spans="1:23" x14ac:dyDescent="0.2">
      <c r="T343" s="30" t="b">
        <f>IF(N343=CURSOS!$D$3,"DIPLOMADO EN ATENCION PRE-HOSPITALARIA",IF(N343=CURSOS!$D$4,"ACOMPAÑAMIENTO Y MANEJO DEL DUELO",IF(N343=CURSOS!$D$5,"ATENCION A VICTIMAS DE ATAQUE CON AGENTES QUIMICOS ",IF(N343=CURSOS!$D$6,"PRIMEROS AUXILIOS ",IF(N343=CURSOS!$D$7,"DIPLOMADO DE UNIDAD DE CUIDADOS INTENSIVOS (UCI)",IF(N343=CURSOS!$D$8,"MODELO DE ATENCION PARA EVENTOS EMERGENTES EN SALUD MENTAL (CODIGO VERDE)",IF(N343=CURSOS!$D$9,"HUMANIZACION EN SALUD, BUENAS PRACTICAS EN PACIENTE ",IF(N343=CURSOS!$D$10,"CLINICA DE HERIDAS ",IF(N343=CURSOS!$D$11,"TOMA DE CITOLOGIA A CERVICO VAGINAL ",IF(N343=CURSOS!$D$12,"SOPORTE CARDIOVASCULAR AVANZADO ",IF(N343=CURSOS!$D$13,"CAMILLERO ",IF(N343=CURSOS!$D$14,"TOMA MUESTRAS Y LABORATORIO ",IF(N343=CURSOS!$D$15,"SOPORTE VITAL BASICO (BLS)",IF(N343=CURSOS!$D$16,"ATENCION A VICTIMAS DE VIOLENCIA SEXUAL ",IF(N343=CURSOS!$D$17,"PROGRAMADO AMPLIADO DE INMUNIZACION (PAI - COVID 19)",IF(N343=CURSOS!$D$18,"ATENCION INTEGRAL EN ENFERMEDADES PREVALENTES EN PRIMERA INFANCIA (AIEPI)",IF(N343=CURSOS!$D$19,"ADMINISTRACION DE MEDICAMENTOS, IYECTOLOGIA  Y CANALIZACION ",IF(N343=CURSOS!$D$20,"OPERADOR DE VEHICULOS DE EMERGENCIA (OVE)",IF(N343=CURSOS!$D$21,"INSTITUCIONES AMIGAS DE LA MUJER Y LA INFANCIA (IAMI)",IF(N343=CURSOS!$D$22,"CUIDADO DEL DONANTE DE ORGANOS",IF(N343=CURSOS!$D$23,"ATENCION A VICTIMAS POR VIOLENCIA DE GENERO",IF(N343=CURSOS!$D$24,"IGUALDAD DE GENERO EN LA SALUD",IF(N343=CURSOS!$D$25,"BRIGADA DE EMERGENCIA",IF(N343=CURSOS!$D$26,"MANEJO DEL DOLOR Y CUIDADOS PALIATIVOS",IF(N343=CURSOS!$D$27,"TOMA MUESTRAS Y LABORATORIO POCT",IF(N343=CURSOS!$D$28,"IMPLANTE SUBDERMICO Y DISPOSITIVO INTRAUTERINO",IF(N343=CURSOS!$D$29,"SALUD MENTAL",IF(N343=CURSOS!$D$30,"PRIMEROS AUXILIOS PSICOLOGICOS",IF(N343=CURSOS!$D$31,"ATENCION A VICTIMAS POR CONFLICTO ARMADO",IF(N343=CURSOS!$D$32,"MANIPULACION DE ALIMENTOS Y BPM"))))))))))))))))))))))))))))))</f>
        <v>0</v>
      </c>
      <c r="U343" s="30" t="str">
        <f t="shared" si="39"/>
        <v xml:space="preserve">   </v>
      </c>
      <c r="V343" s="30" t="str">
        <f t="shared" si="40"/>
        <v xml:space="preserve">   </v>
      </c>
      <c r="W343" s="30" t="str">
        <f t="shared" si="41"/>
        <v xml:space="preserve">   --</v>
      </c>
    </row>
    <row r="344" spans="1:23" x14ac:dyDescent="0.2">
      <c r="T344" s="30" t="b">
        <f>IF(N344=CURSOS!$D$3,"DIPLOMADO EN ATENCION PRE-HOSPITALARIA",IF(N344=CURSOS!$D$4,"ACOMPAÑAMIENTO Y MANEJO DEL DUELO",IF(N344=CURSOS!$D$5,"ATENCION A VICTIMAS DE ATAQUE CON AGENTES QUIMICOS ",IF(N344=CURSOS!$D$6,"PRIMEROS AUXILIOS ",IF(N344=CURSOS!$D$7,"DIPLOMADO DE UNIDAD DE CUIDADOS INTENSIVOS (UCI)",IF(N344=CURSOS!$D$8,"MODELO DE ATENCION PARA EVENTOS EMERGENTES EN SALUD MENTAL (CODIGO VERDE)",IF(N344=CURSOS!$D$9,"HUMANIZACION EN SALUD, BUENAS PRACTICAS EN PACIENTE ",IF(N344=CURSOS!$D$10,"CLINICA DE HERIDAS ",IF(N344=CURSOS!$D$11,"TOMA DE CITOLOGIA A CERVICO VAGINAL ",IF(N344=CURSOS!$D$12,"SOPORTE CARDIOVASCULAR AVANZADO ",IF(N344=CURSOS!$D$13,"CAMILLERO ",IF(N344=CURSOS!$D$14,"TOMA MUESTRAS Y LABORATORIO ",IF(N344=CURSOS!$D$15,"SOPORTE VITAL BASICO (BLS)",IF(N344=CURSOS!$D$16,"ATENCION A VICTIMAS DE VIOLENCIA SEXUAL ",IF(N344=CURSOS!$D$17,"PROGRAMADO AMPLIADO DE INMUNIZACION (PAI - COVID 19)",IF(N344=CURSOS!$D$18,"ATENCION INTEGRAL EN ENFERMEDADES PREVALENTES EN PRIMERA INFANCIA (AIEPI)",IF(N344=CURSOS!$D$19,"ADMINISTRACION DE MEDICAMENTOS, IYECTOLOGIA  Y CANALIZACION ",IF(N344=CURSOS!$D$20,"OPERADOR DE VEHICULOS DE EMERGENCIA (OVE)",IF(N344=CURSOS!$D$21,"INSTITUCIONES AMIGAS DE LA MUJER Y LA INFANCIA (IAMI)",IF(N344=CURSOS!$D$22,"CUIDADO DEL DONANTE DE ORGANOS",IF(N344=CURSOS!$D$23,"ATENCION A VICTIMAS POR VIOLENCIA DE GENERO",IF(N344=CURSOS!$D$24,"IGUALDAD DE GENERO EN LA SALUD",IF(N344=CURSOS!$D$25,"BRIGADA DE EMERGENCIA",IF(N344=CURSOS!$D$26,"MANEJO DEL DOLOR Y CUIDADOS PALIATIVOS",IF(N344=CURSOS!$D$27,"TOMA MUESTRAS Y LABORATORIO POCT",IF(N344=CURSOS!$D$28,"IMPLANTE SUBDERMICO Y DISPOSITIVO INTRAUTERINO",IF(N344=CURSOS!$D$29,"SALUD MENTAL",IF(N344=CURSOS!$D$30,"PRIMEROS AUXILIOS PSICOLOGICOS",IF(N344=CURSOS!$D$31,"ATENCION A VICTIMAS POR CONFLICTO ARMADO",IF(N344=CURSOS!$D$32,"MANIPULACION DE ALIMENTOS Y BPM"))))))))))))))))))))))))))))))</f>
        <v>0</v>
      </c>
      <c r="U344" s="30" t="str">
        <f t="shared" si="39"/>
        <v xml:space="preserve">   </v>
      </c>
      <c r="V344" s="30" t="str">
        <f t="shared" si="40"/>
        <v xml:space="preserve">   </v>
      </c>
      <c r="W344" s="30" t="str">
        <f t="shared" si="41"/>
        <v xml:space="preserve">   --</v>
      </c>
    </row>
    <row r="1048566" spans="9:10" x14ac:dyDescent="0.2">
      <c r="I1048566" s="22"/>
    </row>
    <row r="1048575" spans="9:10" x14ac:dyDescent="0.2">
      <c r="J1048575" s="58"/>
    </row>
  </sheetData>
  <phoneticPr fontId="9" type="noConversion"/>
  <hyperlinks>
    <hyperlink ref="S39" r:id="rId1" xr:uid="{00000000-0004-0000-0000-000000000000}"/>
    <hyperlink ref="S84" r:id="rId2" xr:uid="{00000000-0004-0000-0000-000001000000}"/>
    <hyperlink ref="S85" r:id="rId3" xr:uid="{00000000-0004-0000-0000-000002000000}"/>
    <hyperlink ref="S86" r:id="rId4" xr:uid="{00000000-0004-0000-0000-000003000000}"/>
    <hyperlink ref="S87" r:id="rId5" xr:uid="{00000000-0004-0000-0000-000004000000}"/>
    <hyperlink ref="S88" r:id="rId6" xr:uid="{00000000-0004-0000-0000-000005000000}"/>
    <hyperlink ref="S89" r:id="rId7" xr:uid="{00000000-0004-0000-0000-000006000000}"/>
    <hyperlink ref="S90" r:id="rId8" xr:uid="{00000000-0004-0000-0000-000007000000}"/>
    <hyperlink ref="S99" r:id="rId9" xr:uid="{00000000-0004-0000-0000-000008000000}"/>
    <hyperlink ref="S107" r:id="rId10" xr:uid="{00000000-0004-0000-0000-000009000000}"/>
    <hyperlink ref="S154" r:id="rId11" xr:uid="{00000000-0004-0000-0000-00000A000000}"/>
    <hyperlink ref="S155" r:id="rId12" xr:uid="{00000000-0004-0000-0000-00000B000000}"/>
    <hyperlink ref="S156" r:id="rId13" xr:uid="{00000000-0004-0000-0000-00000C000000}"/>
    <hyperlink ref="S157" r:id="rId14" xr:uid="{00000000-0004-0000-0000-00000D000000}"/>
    <hyperlink ref="S170" r:id="rId15" xr:uid="{00000000-0004-0000-0000-00000E000000}"/>
    <hyperlink ref="S169" r:id="rId16" xr:uid="{00000000-0004-0000-0000-00000F000000}"/>
    <hyperlink ref="S168" r:id="rId17" xr:uid="{00000000-0004-0000-0000-000010000000}"/>
  </hyperlinks>
  <pageMargins left="0.7" right="0.7" top="0.75" bottom="0.75" header="0.3" footer="0.3"/>
  <pageSetup paperSize="9" scale="12" orientation="portrait" r:id="rId1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2"/>
  <sheetViews>
    <sheetView topLeftCell="B1" zoomScale="85" zoomScaleNormal="85" workbookViewId="0">
      <selection activeCell="E22" sqref="E22"/>
    </sheetView>
  </sheetViews>
  <sheetFormatPr baseColWidth="10" defaultRowHeight="15" x14ac:dyDescent="0.25"/>
  <cols>
    <col min="3" max="3" width="8.140625" style="2" bestFit="1" customWidth="1"/>
    <col min="4" max="4" width="32.5703125" bestFit="1" customWidth="1"/>
    <col min="5" max="5" width="97" bestFit="1" customWidth="1"/>
  </cols>
  <sheetData>
    <row r="1" spans="3:5" ht="15.75" thickBot="1" x14ac:dyDescent="0.3"/>
    <row r="2" spans="3:5" ht="15.75" thickBot="1" x14ac:dyDescent="0.3">
      <c r="C2" s="3" t="s">
        <v>20</v>
      </c>
      <c r="D2" s="3" t="s">
        <v>11</v>
      </c>
      <c r="E2" s="73" t="s">
        <v>15</v>
      </c>
    </row>
    <row r="3" spans="3:5" x14ac:dyDescent="0.25">
      <c r="C3" s="4">
        <v>1</v>
      </c>
      <c r="D3" s="5" t="s">
        <v>21</v>
      </c>
      <c r="E3" s="6" t="s">
        <v>22</v>
      </c>
    </row>
    <row r="4" spans="3:5" x14ac:dyDescent="0.25">
      <c r="C4" s="7">
        <v>2</v>
      </c>
      <c r="D4" s="8" t="s">
        <v>23</v>
      </c>
      <c r="E4" s="9" t="s">
        <v>24</v>
      </c>
    </row>
    <row r="5" spans="3:5" x14ac:dyDescent="0.25">
      <c r="C5" s="10">
        <v>3</v>
      </c>
      <c r="D5" s="8" t="s">
        <v>25</v>
      </c>
      <c r="E5" s="9" t="s">
        <v>26</v>
      </c>
    </row>
    <row r="6" spans="3:5" x14ac:dyDescent="0.25">
      <c r="C6" s="7">
        <v>4</v>
      </c>
      <c r="D6" s="8" t="s">
        <v>27</v>
      </c>
      <c r="E6" s="9" t="s">
        <v>28</v>
      </c>
    </row>
    <row r="7" spans="3:5" x14ac:dyDescent="0.25">
      <c r="C7" s="10">
        <v>5</v>
      </c>
      <c r="D7" s="8" t="s">
        <v>29</v>
      </c>
      <c r="E7" s="9" t="s">
        <v>30</v>
      </c>
    </row>
    <row r="8" spans="3:5" x14ac:dyDescent="0.25">
      <c r="C8" s="7">
        <v>6</v>
      </c>
      <c r="D8" s="8" t="s">
        <v>31</v>
      </c>
      <c r="E8" s="9" t="s">
        <v>32</v>
      </c>
    </row>
    <row r="9" spans="3:5" x14ac:dyDescent="0.25">
      <c r="C9" s="10">
        <v>7</v>
      </c>
      <c r="D9" s="8" t="s">
        <v>33</v>
      </c>
      <c r="E9" s="9" t="s">
        <v>34</v>
      </c>
    </row>
    <row r="10" spans="3:5" x14ac:dyDescent="0.25">
      <c r="C10" s="7">
        <v>8</v>
      </c>
      <c r="D10" s="8" t="s">
        <v>35</v>
      </c>
      <c r="E10" s="9" t="s">
        <v>36</v>
      </c>
    </row>
    <row r="11" spans="3:5" x14ac:dyDescent="0.25">
      <c r="C11" s="10">
        <v>9</v>
      </c>
      <c r="D11" s="11" t="s">
        <v>37</v>
      </c>
      <c r="E11" s="9" t="s">
        <v>38</v>
      </c>
    </row>
    <row r="12" spans="3:5" x14ac:dyDescent="0.25">
      <c r="C12" s="7">
        <v>10</v>
      </c>
      <c r="D12" s="12" t="s">
        <v>39</v>
      </c>
      <c r="E12" s="9" t="s">
        <v>40</v>
      </c>
    </row>
    <row r="13" spans="3:5" x14ac:dyDescent="0.25">
      <c r="C13" s="10">
        <v>11</v>
      </c>
      <c r="D13" s="12" t="s">
        <v>41</v>
      </c>
      <c r="E13" s="9" t="s">
        <v>42</v>
      </c>
    </row>
    <row r="14" spans="3:5" x14ac:dyDescent="0.25">
      <c r="C14" s="7">
        <v>12</v>
      </c>
      <c r="D14" s="12" t="s">
        <v>43</v>
      </c>
      <c r="E14" s="9" t="s">
        <v>44</v>
      </c>
    </row>
    <row r="15" spans="3:5" x14ac:dyDescent="0.25">
      <c r="C15" s="10">
        <v>13</v>
      </c>
      <c r="D15" s="12" t="s">
        <v>19</v>
      </c>
      <c r="E15" s="9" t="s">
        <v>45</v>
      </c>
    </row>
    <row r="16" spans="3:5" x14ac:dyDescent="0.25">
      <c r="C16" s="7">
        <v>14</v>
      </c>
      <c r="D16" s="12" t="s">
        <v>46</v>
      </c>
      <c r="E16" s="9" t="s">
        <v>47</v>
      </c>
    </row>
    <row r="17" spans="3:5" x14ac:dyDescent="0.25">
      <c r="C17" s="10">
        <v>15</v>
      </c>
      <c r="D17" s="12" t="s">
        <v>117</v>
      </c>
      <c r="E17" s="9" t="s">
        <v>48</v>
      </c>
    </row>
    <row r="18" spans="3:5" x14ac:dyDescent="0.25">
      <c r="C18" s="7">
        <v>16</v>
      </c>
      <c r="D18" s="12" t="s">
        <v>49</v>
      </c>
      <c r="E18" s="9" t="s">
        <v>50</v>
      </c>
    </row>
    <row r="19" spans="3:5" x14ac:dyDescent="0.25">
      <c r="C19" s="10">
        <v>17</v>
      </c>
      <c r="D19" s="12" t="s">
        <v>51</v>
      </c>
      <c r="E19" s="9" t="s">
        <v>150</v>
      </c>
    </row>
    <row r="20" spans="3:5" x14ac:dyDescent="0.25">
      <c r="C20" s="7">
        <v>18</v>
      </c>
      <c r="D20" s="12" t="s">
        <v>52</v>
      </c>
      <c r="E20" s="9" t="s">
        <v>53</v>
      </c>
    </row>
    <row r="21" spans="3:5" x14ac:dyDescent="0.25">
      <c r="C21" s="10">
        <v>19</v>
      </c>
      <c r="D21" s="12" t="s">
        <v>54</v>
      </c>
      <c r="E21" s="13" t="s">
        <v>55</v>
      </c>
    </row>
    <row r="22" spans="3:5" x14ac:dyDescent="0.25">
      <c r="C22" s="7">
        <v>20</v>
      </c>
      <c r="D22" s="12" t="s">
        <v>56</v>
      </c>
      <c r="E22" s="13" t="s">
        <v>57</v>
      </c>
    </row>
    <row r="23" spans="3:5" x14ac:dyDescent="0.25">
      <c r="C23" s="10">
        <v>21</v>
      </c>
      <c r="D23" s="12" t="s">
        <v>58</v>
      </c>
      <c r="E23" s="13" t="s">
        <v>59</v>
      </c>
    </row>
    <row r="24" spans="3:5" x14ac:dyDescent="0.25">
      <c r="C24" s="7">
        <v>22</v>
      </c>
      <c r="D24" s="12" t="s">
        <v>60</v>
      </c>
      <c r="E24" s="14" t="s">
        <v>61</v>
      </c>
    </row>
    <row r="25" spans="3:5" x14ac:dyDescent="0.25">
      <c r="C25" s="15">
        <v>23</v>
      </c>
      <c r="D25" s="12" t="s">
        <v>62</v>
      </c>
      <c r="E25" s="9" t="s">
        <v>63</v>
      </c>
    </row>
    <row r="26" spans="3:5" x14ac:dyDescent="0.25">
      <c r="C26" s="15">
        <v>24</v>
      </c>
      <c r="D26" s="12" t="s">
        <v>64</v>
      </c>
      <c r="E26" s="13" t="s">
        <v>65</v>
      </c>
    </row>
    <row r="27" spans="3:5" x14ac:dyDescent="0.25">
      <c r="C27" s="15">
        <v>25</v>
      </c>
      <c r="D27" s="12" t="s">
        <v>66</v>
      </c>
      <c r="E27" s="9" t="s">
        <v>67</v>
      </c>
    </row>
    <row r="28" spans="3:5" x14ac:dyDescent="0.25">
      <c r="C28" s="15">
        <v>26</v>
      </c>
      <c r="D28" s="12" t="s">
        <v>68</v>
      </c>
      <c r="E28" s="16" t="s">
        <v>69</v>
      </c>
    </row>
    <row r="29" spans="3:5" x14ac:dyDescent="0.25">
      <c r="C29" s="15">
        <v>27</v>
      </c>
      <c r="D29" s="12" t="s">
        <v>70</v>
      </c>
      <c r="E29" s="16" t="s">
        <v>70</v>
      </c>
    </row>
    <row r="30" spans="3:5" x14ac:dyDescent="0.25">
      <c r="C30" s="15">
        <v>28</v>
      </c>
      <c r="D30" s="12" t="s">
        <v>71</v>
      </c>
      <c r="E30" s="16" t="s">
        <v>72</v>
      </c>
    </row>
    <row r="31" spans="3:5" x14ac:dyDescent="0.25">
      <c r="C31" s="15">
        <v>29</v>
      </c>
      <c r="D31" s="12" t="s">
        <v>73</v>
      </c>
      <c r="E31" s="16" t="s">
        <v>74</v>
      </c>
    </row>
    <row r="32" spans="3:5" x14ac:dyDescent="0.25">
      <c r="C32" s="17">
        <v>30</v>
      </c>
      <c r="D32" s="12" t="s">
        <v>118</v>
      </c>
      <c r="E32" s="12" t="s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19"/>
  <sheetViews>
    <sheetView topLeftCell="A200" zoomScale="70" zoomScaleNormal="70" workbookViewId="0">
      <selection activeCell="E200" sqref="E1:E1048576"/>
    </sheetView>
  </sheetViews>
  <sheetFormatPr baseColWidth="10" defaultRowHeight="15" customHeight="1" x14ac:dyDescent="0.25"/>
  <cols>
    <col min="1" max="1" width="39.28515625" bestFit="1" customWidth="1"/>
    <col min="2" max="2" width="84.140625" bestFit="1" customWidth="1"/>
    <col min="3" max="3" width="14.5703125" bestFit="1" customWidth="1"/>
    <col min="4" max="4" width="100.140625" bestFit="1" customWidth="1"/>
    <col min="5" max="5" width="17.42578125" customWidth="1"/>
    <col min="6" max="6" width="38.140625" bestFit="1" customWidth="1"/>
    <col min="7" max="7" width="11.140625" bestFit="1" customWidth="1"/>
    <col min="8" max="8" width="32.5703125" bestFit="1" customWidth="1"/>
  </cols>
  <sheetData>
    <row r="1" spans="1:8" ht="15.75" thickBot="1" x14ac:dyDescent="0.3">
      <c r="F1" s="24"/>
      <c r="G1" s="125" t="s">
        <v>20</v>
      </c>
      <c r="H1" s="73" t="s">
        <v>11</v>
      </c>
    </row>
    <row r="2" spans="1:8" x14ac:dyDescent="0.25">
      <c r="A2" s="69"/>
      <c r="B2" s="68"/>
      <c r="C2" s="1"/>
      <c r="G2" s="126">
        <v>1</v>
      </c>
      <c r="H2" s="131" t="s">
        <v>21</v>
      </c>
    </row>
    <row r="3" spans="1:8" ht="15" customHeight="1" x14ac:dyDescent="0.25">
      <c r="A3" s="69"/>
      <c r="B3" s="68"/>
      <c r="C3" s="1"/>
      <c r="G3" s="127">
        <v>2</v>
      </c>
      <c r="H3" s="132" t="s">
        <v>23</v>
      </c>
    </row>
    <row r="4" spans="1:8" ht="15" customHeight="1" x14ac:dyDescent="0.3">
      <c r="A4" s="69"/>
      <c r="B4" s="68"/>
      <c r="C4" s="1"/>
      <c r="E4" s="25"/>
      <c r="G4" s="128">
        <v>3</v>
      </c>
      <c r="H4" s="132" t="s">
        <v>25</v>
      </c>
    </row>
    <row r="5" spans="1:8" ht="15" customHeight="1" x14ac:dyDescent="0.25">
      <c r="A5" s="69"/>
      <c r="B5" s="68"/>
      <c r="C5" s="1"/>
      <c r="G5" s="127">
        <v>4</v>
      </c>
      <c r="H5" s="132" t="s">
        <v>27</v>
      </c>
    </row>
    <row r="6" spans="1:8" ht="15" customHeight="1" x14ac:dyDescent="0.25">
      <c r="A6" s="69"/>
      <c r="B6" s="68"/>
      <c r="C6" s="1"/>
      <c r="G6" s="128">
        <v>5</v>
      </c>
      <c r="H6" s="132" t="s">
        <v>29</v>
      </c>
    </row>
    <row r="7" spans="1:8" ht="15" customHeight="1" x14ac:dyDescent="0.25">
      <c r="A7" s="69"/>
      <c r="B7" s="68"/>
      <c r="C7" s="1"/>
      <c r="G7" s="127">
        <v>6</v>
      </c>
      <c r="H7" s="132" t="s">
        <v>31</v>
      </c>
    </row>
    <row r="8" spans="1:8" ht="15" customHeight="1" x14ac:dyDescent="0.25">
      <c r="A8" s="69"/>
      <c r="B8" s="68"/>
      <c r="C8" s="1"/>
      <c r="G8" s="128">
        <v>7</v>
      </c>
      <c r="H8" s="132" t="s">
        <v>33</v>
      </c>
    </row>
    <row r="9" spans="1:8" ht="15" customHeight="1" x14ac:dyDescent="0.25">
      <c r="A9" s="69"/>
      <c r="B9" s="68"/>
      <c r="C9" s="1"/>
      <c r="G9" s="127">
        <v>8</v>
      </c>
      <c r="H9" s="132" t="s">
        <v>35</v>
      </c>
    </row>
    <row r="10" spans="1:8" ht="15" customHeight="1" x14ac:dyDescent="0.25">
      <c r="A10" s="69"/>
      <c r="B10" s="68"/>
      <c r="C10" s="1"/>
      <c r="G10" s="128">
        <v>9</v>
      </c>
      <c r="H10" s="133" t="s">
        <v>37</v>
      </c>
    </row>
    <row r="11" spans="1:8" ht="15" customHeight="1" x14ac:dyDescent="0.25">
      <c r="A11" s="69"/>
      <c r="B11" s="68"/>
      <c r="C11" s="1"/>
      <c r="G11" s="127">
        <v>10</v>
      </c>
      <c r="H11" s="134" t="s">
        <v>39</v>
      </c>
    </row>
    <row r="12" spans="1:8" ht="15" customHeight="1" x14ac:dyDescent="0.25">
      <c r="A12" s="69"/>
      <c r="B12" s="68"/>
      <c r="C12" s="1"/>
      <c r="G12" s="128">
        <v>11</v>
      </c>
      <c r="H12" s="134" t="s">
        <v>41</v>
      </c>
    </row>
    <row r="13" spans="1:8" ht="15" customHeight="1" x14ac:dyDescent="0.25">
      <c r="A13" s="69"/>
      <c r="B13" s="68"/>
      <c r="C13" s="1"/>
      <c r="G13" s="127">
        <v>12</v>
      </c>
      <c r="H13" s="134" t="s">
        <v>43</v>
      </c>
    </row>
    <row r="14" spans="1:8" ht="15" customHeight="1" x14ac:dyDescent="0.25">
      <c r="A14" s="69"/>
      <c r="B14" s="68"/>
      <c r="C14" s="1"/>
      <c r="G14" s="128">
        <v>13</v>
      </c>
      <c r="H14" s="134" t="s">
        <v>19</v>
      </c>
    </row>
    <row r="15" spans="1:8" ht="15" customHeight="1" x14ac:dyDescent="0.25">
      <c r="A15" s="69"/>
      <c r="B15" s="68"/>
      <c r="C15" s="1"/>
      <c r="G15" s="127">
        <v>14</v>
      </c>
      <c r="H15" s="134" t="s">
        <v>46</v>
      </c>
    </row>
    <row r="16" spans="1:8" ht="15" customHeight="1" x14ac:dyDescent="0.25">
      <c r="A16" s="69"/>
      <c r="B16" s="68"/>
      <c r="C16" s="1"/>
      <c r="G16" s="128">
        <v>15</v>
      </c>
      <c r="H16" s="134" t="s">
        <v>117</v>
      </c>
    </row>
    <row r="17" spans="1:8" ht="15" customHeight="1" x14ac:dyDescent="0.25">
      <c r="A17" s="69"/>
      <c r="B17" s="68"/>
      <c r="C17" s="1"/>
      <c r="G17" s="127">
        <v>16</v>
      </c>
      <c r="H17" s="134" t="s">
        <v>49</v>
      </c>
    </row>
    <row r="18" spans="1:8" ht="15" customHeight="1" x14ac:dyDescent="0.25">
      <c r="A18" s="69"/>
      <c r="B18" s="68"/>
      <c r="C18" s="1"/>
      <c r="G18" s="128">
        <v>17</v>
      </c>
      <c r="H18" s="134" t="s">
        <v>51</v>
      </c>
    </row>
    <row r="19" spans="1:8" ht="15" customHeight="1" x14ac:dyDescent="0.25">
      <c r="A19" s="69"/>
      <c r="B19" s="68"/>
      <c r="C19" s="1"/>
      <c r="G19" s="127">
        <v>18</v>
      </c>
      <c r="H19" s="134" t="s">
        <v>52</v>
      </c>
    </row>
    <row r="20" spans="1:8" ht="15" customHeight="1" x14ac:dyDescent="0.25">
      <c r="A20" s="69"/>
      <c r="B20" s="68"/>
      <c r="C20" s="1"/>
      <c r="G20" s="128">
        <v>19</v>
      </c>
      <c r="H20" s="134" t="s">
        <v>54</v>
      </c>
    </row>
    <row r="21" spans="1:8" ht="15" customHeight="1" x14ac:dyDescent="0.25">
      <c r="A21" s="69"/>
      <c r="B21" s="68"/>
      <c r="C21" s="1"/>
      <c r="G21" s="127">
        <v>20</v>
      </c>
      <c r="H21" s="134" t="s">
        <v>56</v>
      </c>
    </row>
    <row r="22" spans="1:8" ht="15" customHeight="1" x14ac:dyDescent="0.25">
      <c r="A22" s="70"/>
      <c r="B22" s="68"/>
      <c r="C22" s="1"/>
      <c r="G22" s="128">
        <v>21</v>
      </c>
      <c r="H22" s="134" t="s">
        <v>58</v>
      </c>
    </row>
    <row r="23" spans="1:8" ht="15" customHeight="1" x14ac:dyDescent="0.25">
      <c r="A23" s="70"/>
      <c r="B23" s="68"/>
      <c r="C23" s="1"/>
      <c r="G23" s="127">
        <v>22</v>
      </c>
      <c r="H23" s="134" t="s">
        <v>60</v>
      </c>
    </row>
    <row r="24" spans="1:8" ht="15" customHeight="1" x14ac:dyDescent="0.25">
      <c r="A24" s="69"/>
      <c r="B24" s="68"/>
      <c r="C24" s="1"/>
      <c r="G24" s="129">
        <v>23</v>
      </c>
      <c r="H24" s="134" t="s">
        <v>62</v>
      </c>
    </row>
    <row r="25" spans="1:8" ht="15" customHeight="1" x14ac:dyDescent="0.25">
      <c r="A25" s="70"/>
      <c r="B25" s="68"/>
      <c r="C25" s="1"/>
      <c r="G25" s="129">
        <v>24</v>
      </c>
      <c r="H25" s="134" t="s">
        <v>64</v>
      </c>
    </row>
    <row r="26" spans="1:8" ht="15" customHeight="1" x14ac:dyDescent="0.25">
      <c r="A26" s="70"/>
      <c r="B26" s="68"/>
      <c r="C26" s="1"/>
      <c r="G26" s="129">
        <v>25</v>
      </c>
      <c r="H26" s="134" t="s">
        <v>66</v>
      </c>
    </row>
    <row r="27" spans="1:8" ht="15" customHeight="1" x14ac:dyDescent="0.25">
      <c r="A27" s="70"/>
      <c r="B27" s="68"/>
      <c r="C27" s="1"/>
      <c r="G27" s="129">
        <v>26</v>
      </c>
      <c r="H27" s="134" t="s">
        <v>68</v>
      </c>
    </row>
    <row r="28" spans="1:8" ht="15" customHeight="1" x14ac:dyDescent="0.25">
      <c r="A28" s="69"/>
      <c r="B28" s="68"/>
      <c r="C28" s="1"/>
      <c r="G28" s="129">
        <v>27</v>
      </c>
      <c r="H28" s="134" t="s">
        <v>70</v>
      </c>
    </row>
    <row r="29" spans="1:8" ht="15" customHeight="1" x14ac:dyDescent="0.25">
      <c r="A29" s="70"/>
      <c r="B29" s="68"/>
      <c r="C29" s="1"/>
      <c r="G29" s="129">
        <v>28</v>
      </c>
      <c r="H29" s="134" t="s">
        <v>71</v>
      </c>
    </row>
    <row r="30" spans="1:8" ht="15" customHeight="1" thickBot="1" x14ac:dyDescent="0.3">
      <c r="A30" s="71"/>
      <c r="B30" s="68"/>
      <c r="C30" s="1"/>
      <c r="G30" s="129">
        <v>29</v>
      </c>
      <c r="H30" s="134" t="s">
        <v>73</v>
      </c>
    </row>
    <row r="31" spans="1:8" ht="15" customHeight="1" thickBot="1" x14ac:dyDescent="0.3">
      <c r="A31" s="136" t="s">
        <v>11</v>
      </c>
      <c r="B31" s="137" t="s">
        <v>87</v>
      </c>
      <c r="C31" s="137" t="s">
        <v>88</v>
      </c>
      <c r="D31" s="138" t="s">
        <v>89</v>
      </c>
      <c r="G31" s="130">
        <v>30</v>
      </c>
      <c r="H31" s="135" t="s">
        <v>118</v>
      </c>
    </row>
    <row r="32" spans="1:8" ht="59.25" customHeight="1" x14ac:dyDescent="0.25">
      <c r="A32" s="89" t="str">
        <f>INSCRITOS!N2</f>
        <v>DUELO</v>
      </c>
      <c r="B32" s="24" t="str">
        <f>IF(A32=$H$19,"https://centrodecapacitaciondelsur.com/o-v-e-",IF(A32=$H$2,"https://centrodecapacitaciondelsur.com/aph-",IF(A32=$H$3,"https://centrodecapacitaciondelsur.com/manejo-del-duelo-",IF(A32=$H$4,"https://centrodecapacitaciondelsur.com/victimas-por-agentes-quimicos-",IF(A32=$H$5,"https://centrodecapacitaciondelsur.com/primeros-auxilios-",IF(A32=$H$6,"https://centrodecapacitaciondelsur.com/uci-",IF(A32=$H$8,"https://centrodecapacitaciondelsur.com/humanizacion-",IF(A32=$H$11,"https://centrodecapacitaciondelsur.com/soporte-cardiovascular-avanzado-",IF(A32=$H$12,"https://centrodecapacitaciondelsur.com/camillero-",IF(A32=$H$13,"https://centrodecapacitaciondelsur.com/toma-de-muestras-y-lab-clinico-",IF(A32=$H$14,"https://centrodecapacitaciondelsur.com/soporte-basico-de-vida-",IF(A32=$H$15,"https://centrodecapacitaciondelsur.com/violencia-sexual-",IF(A32=$H$17,"https://centrodecapacitaciondelsur.com/aiepi-",IF(A32=$H$18,"https://centrodecapacitaciondelsur.com/adm-medicamentos-canalizacion-inyectologia-",IF(A32=$H$25,"https://centrodecapacitaciondelsur.com/manejo-del-dolor-y-cuidados-paliativos-",IF(A32=$H$26,"https://centrodecapacitaciondelsur.com/toma-de-muestras-y-lab-clinico-poct-",IF(A32=$H$27,"https://centrodecapacitaciondelsur.com/implante-subdermico-",IF(A32=$H$21,"https://centrodecapacitaciondelsur.com/donante-de-organos-",IF(A32=$H$30,"https://centrodecapacitaciondelsur.com/atencion-a-victimas-del-conflicto-armado-",IF(A32=$H$20,"https://centrodecapacitaciondelsur.com/iami-",IF(A32=$H$22,"https://centrodecapacitaciondelsur.com/violencia-de-genero-",IF(A32=$H$23,"https://centrodecapacitaciondelsur.com/igualdad-de-genero-",IF(A32=$H$16,"https://centrodecapacitaciondelsur.com/pai-",IF(A32=$H$31,"https://centrodecapacitaciondelsur.com/manipulacion-de-alimentos-"))))))))))))))))))))))))</f>
        <v>https://centrodecapacitaciondelsur.com/manejo-del-duelo-</v>
      </c>
      <c r="C32" s="89">
        <f>INSCRITOS!B2+LINK!B2</f>
        <v>1085282306</v>
      </c>
      <c r="D32" t="str">
        <f>CONCATENATE(B32,C32,"/")</f>
        <v>https://centrodecapacitaciondelsur.com/manejo-del-duelo-1085282306/</v>
      </c>
    </row>
    <row r="33" spans="1:8" ht="59.25" customHeight="1" x14ac:dyDescent="0.25">
      <c r="A33" s="31" t="str">
        <f>INSCRITOS!N3</f>
        <v>DUELO</v>
      </c>
      <c r="B33" s="24" t="str">
        <f t="shared" ref="B33:B93" si="0">IF(A33=$H$19,"https://centrodecapacitaciondelsur.com/o-v-e-",IF(A33=$H$2,"https://centrodecapacitaciondelsur.com/aph-",IF(A33=$H$3,"https://centrodecapacitaciondelsur.com/manejo-del-duelo-",IF(A33=$H$4,"https://centrodecapacitaciondelsur.com/victimas-por-agentes-quimicos-",IF(A33=$H$5,"https://centrodecapacitaciondelsur.com/primeros-auxilios-",IF(A33=$H$6,"https://centrodecapacitaciondelsur.com/uci-",IF(A33=$H$8,"https://centrodecapacitaciondelsur.com/humanizacion-",IF(A33=$H$11,"https://centrodecapacitaciondelsur.com/soporte-cardiovascular-avanzado-",IF(A33=$H$12,"https://centrodecapacitaciondelsur.com/camillero-",IF(A33=$H$13,"https://centrodecapacitaciondelsur.com/toma-de-muestras-y-lab-clinico-",IF(A33=$H$14,"https://centrodecapacitaciondelsur.com/soporte-basico-de-vida-",IF(A33=$H$15,"https://centrodecapacitaciondelsur.com/violencia-sexual-",IF(A33=$H$17,"https://centrodecapacitaciondelsur.com/aiepi-",IF(A33=$H$18,"https://centrodecapacitaciondelsur.com/adm-medicamentos-canalizacion-inyectologia-",IF(A33=$H$25,"https://centrodecapacitaciondelsur.com/manejo-del-dolor-y-cuidados-paliativos-",IF(A33=$H$26,"https://centrodecapacitaciondelsur.com/toma-de-muestras-y-lab-clinico-poct-",IF(A33=$H$27,"https://centrodecapacitaciondelsur.com/implante-subdermico-",IF(A33=$H$21,"https://centrodecapacitaciondelsur.com/donante-de-organos-",IF(A33=$H$30,"https://centrodecapacitaciondelsur.com/atencion-a-victimas-del-conflicto-armado-",IF(A33=$H$20,"https://centrodecapacitaciondelsur.com/iami-",IF(A33=$H$22,"https://centrodecapacitaciondelsur.com/violencia-de-genero-",IF(A33=$H$23,"https://centrodecapacitaciondelsur.com/igualdad-de-genero-",IF(A33=$H$16,"https://centrodecapacitaciondelsur.com/pai-",IF(A33=$H$31,"https://centrodecapacitaciondelsur.com/manipulacion-de-alimentos-"))))))))))))))))))))))))</f>
        <v>https://centrodecapacitaciondelsur.com/manejo-del-duelo-</v>
      </c>
      <c r="C33" s="31">
        <f>INSCRITOS!B3+LINK!B3</f>
        <v>1088735917</v>
      </c>
      <c r="D33" t="str">
        <f t="shared" ref="D33:D93" si="1">CONCATENATE(B33,C33,"/")</f>
        <v>https://centrodecapacitaciondelsur.com/manejo-del-duelo-1088735917/</v>
      </c>
    </row>
    <row r="34" spans="1:8" ht="59.25" customHeight="1" x14ac:dyDescent="0.25">
      <c r="A34" s="31" t="str">
        <f>INSCRITOS!N4</f>
        <v>QUIMICOS</v>
      </c>
      <c r="B34" s="24" t="str">
        <f t="shared" si="0"/>
        <v>https://centrodecapacitaciondelsur.com/victimas-por-agentes-quimicos-</v>
      </c>
      <c r="C34" s="31">
        <f>INSCRITOS!B4+LINK!B4</f>
        <v>59396270</v>
      </c>
      <c r="D34" t="str">
        <f t="shared" si="1"/>
        <v>https://centrodecapacitaciondelsur.com/victimas-por-agentes-quimicos-59396270/</v>
      </c>
      <c r="H34" s="24"/>
    </row>
    <row r="35" spans="1:8" ht="59.25" customHeight="1" x14ac:dyDescent="0.25">
      <c r="A35" s="31" t="str">
        <f>INSCRITOS!N5</f>
        <v>VIOLENCIA SEXUAL</v>
      </c>
      <c r="B35" s="24" t="str">
        <f t="shared" si="0"/>
        <v>https://centrodecapacitaciondelsur.com/violencia-sexual-</v>
      </c>
      <c r="C35" s="31">
        <f>INSCRITOS!B5+LINK!B5</f>
        <v>59396270</v>
      </c>
      <c r="D35" t="str">
        <f t="shared" si="1"/>
        <v>https://centrodecapacitaciondelsur.com/violencia-sexual-59396270/</v>
      </c>
      <c r="H35" s="24"/>
    </row>
    <row r="36" spans="1:8" ht="59.25" customHeight="1" x14ac:dyDescent="0.25">
      <c r="A36" s="31" t="str">
        <f>INSCRITOS!N6</f>
        <v>DUELO</v>
      </c>
      <c r="B36" s="24" t="str">
        <f t="shared" si="0"/>
        <v>https://centrodecapacitaciondelsur.com/manejo-del-duelo-</v>
      </c>
      <c r="C36" s="31">
        <f>INSCRITOS!B6+LINK!B6</f>
        <v>59396270</v>
      </c>
      <c r="D36" t="str">
        <f t="shared" si="1"/>
        <v>https://centrodecapacitaciondelsur.com/manejo-del-duelo-59396270/</v>
      </c>
    </row>
    <row r="37" spans="1:8" ht="59.25" customHeight="1" x14ac:dyDescent="0.25">
      <c r="A37" s="31" t="str">
        <f>INSCRITOS!N7</f>
        <v>BLS</v>
      </c>
      <c r="B37" s="24" t="str">
        <f t="shared" si="0"/>
        <v>https://centrodecapacitaciondelsur.com/soporte-basico-de-vida-</v>
      </c>
      <c r="C37" s="31">
        <f>INSCRITOS!B7+LINK!B7</f>
        <v>59396270</v>
      </c>
      <c r="D37" t="str">
        <f t="shared" si="1"/>
        <v>https://centrodecapacitaciondelsur.com/soporte-basico-de-vida-59396270/</v>
      </c>
    </row>
    <row r="38" spans="1:8" ht="59.25" customHeight="1" x14ac:dyDescent="0.25">
      <c r="A38" s="31" t="str">
        <f>INSCRITOS!N8</f>
        <v>VIOLENCIA SEXUAL</v>
      </c>
      <c r="B38" s="24" t="str">
        <f t="shared" si="0"/>
        <v>https://centrodecapacitaciondelsur.com/violencia-sexual-</v>
      </c>
      <c r="C38" s="31">
        <f>INSCRITOS!B8+LINK!B8</f>
        <v>1086300093</v>
      </c>
      <c r="D38" t="str">
        <f t="shared" si="1"/>
        <v>https://centrodecapacitaciondelsur.com/violencia-sexual-1086300093/</v>
      </c>
    </row>
    <row r="39" spans="1:8" ht="59.25" customHeight="1" x14ac:dyDescent="0.25">
      <c r="A39" s="31" t="str">
        <f>INSCRITOS!N9</f>
        <v>PAI</v>
      </c>
      <c r="B39" s="24" t="str">
        <f t="shared" si="0"/>
        <v>https://centrodecapacitaciondelsur.com/pai-</v>
      </c>
      <c r="C39" s="31">
        <f>INSCRITOS!B9+LINK!B9</f>
        <v>1087027154</v>
      </c>
      <c r="D39" t="str">
        <f t="shared" si="1"/>
        <v>https://centrodecapacitaciondelsur.com/pai-1087027154/</v>
      </c>
    </row>
    <row r="40" spans="1:8" ht="59.25" customHeight="1" x14ac:dyDescent="0.25">
      <c r="A40" s="31" t="str">
        <f>INSCRITOS!N10</f>
        <v>BLS</v>
      </c>
      <c r="B40" s="24" t="str">
        <f t="shared" si="0"/>
        <v>https://centrodecapacitaciondelsur.com/soporte-basico-de-vida-</v>
      </c>
      <c r="C40" s="31">
        <f>INSCRITOS!B10+LINK!B10</f>
        <v>1085933551</v>
      </c>
      <c r="D40" t="str">
        <f t="shared" si="1"/>
        <v>https://centrodecapacitaciondelsur.com/soporte-basico-de-vida-1085933551/</v>
      </c>
    </row>
    <row r="41" spans="1:8" ht="59.25" customHeight="1" x14ac:dyDescent="0.25">
      <c r="A41" s="31" t="str">
        <f>INSCRITOS!N11</f>
        <v>DUELO</v>
      </c>
      <c r="B41" s="24" t="str">
        <f t="shared" si="0"/>
        <v>https://centrodecapacitaciondelsur.com/manejo-del-duelo-</v>
      </c>
      <c r="C41" s="31">
        <f>INSCRITOS!B11+LINK!B11</f>
        <v>59312461</v>
      </c>
      <c r="D41" t="str">
        <f t="shared" si="1"/>
        <v>https://centrodecapacitaciondelsur.com/manejo-del-duelo-59312461/</v>
      </c>
    </row>
    <row r="42" spans="1:8" ht="59.25" customHeight="1" x14ac:dyDescent="0.25">
      <c r="A42" s="31" t="str">
        <f>INSCRITOS!N12</f>
        <v>BLS</v>
      </c>
      <c r="B42" s="24" t="str">
        <f t="shared" si="0"/>
        <v>https://centrodecapacitaciondelsur.com/soporte-basico-de-vida-</v>
      </c>
      <c r="C42" s="31">
        <f>INSCRITOS!B12+LINK!B12</f>
        <v>59396090</v>
      </c>
      <c r="D42" t="str">
        <f t="shared" si="1"/>
        <v>https://centrodecapacitaciondelsur.com/soporte-basico-de-vida-59396090/</v>
      </c>
    </row>
    <row r="43" spans="1:8" ht="59.25" customHeight="1" x14ac:dyDescent="0.25">
      <c r="A43" s="31" t="str">
        <f>INSCRITOS!N13</f>
        <v>PRIMEROS AUXILIOS</v>
      </c>
      <c r="B43" s="24" t="str">
        <f t="shared" si="0"/>
        <v>https://centrodecapacitaciondelsur.com/primeros-auxilios-</v>
      </c>
      <c r="C43" s="31">
        <f>INSCRITOS!B13+LINK!B13</f>
        <v>13093436</v>
      </c>
      <c r="D43" t="str">
        <f t="shared" si="1"/>
        <v>https://centrodecapacitaciondelsur.com/primeros-auxilios-13093436/</v>
      </c>
    </row>
    <row r="44" spans="1:8" ht="59.25" customHeight="1" x14ac:dyDescent="0.25">
      <c r="A44" s="31" t="str">
        <f>INSCRITOS!N14</f>
        <v>IMPLANTE</v>
      </c>
      <c r="B44" s="24" t="str">
        <f t="shared" si="0"/>
        <v>https://centrodecapacitaciondelsur.com/implante-subdermico-</v>
      </c>
      <c r="C44" s="31">
        <f>INSCRITOS!B14+LINK!B14</f>
        <v>1094937056</v>
      </c>
      <c r="D44" t="str">
        <f t="shared" si="1"/>
        <v>https://centrodecapacitaciondelsur.com/implante-subdermico-1094937056/</v>
      </c>
    </row>
    <row r="45" spans="1:8" ht="59.25" customHeight="1" x14ac:dyDescent="0.25">
      <c r="A45" s="31" t="str">
        <f>INSCRITOS!N15</f>
        <v>ADMON DE MEDICAMENTOS</v>
      </c>
      <c r="B45" s="24" t="str">
        <f t="shared" si="0"/>
        <v>https://centrodecapacitaciondelsur.com/adm-medicamentos-canalizacion-inyectologia-</v>
      </c>
      <c r="C45" s="31">
        <f>INSCRITOS!B15+LINK!B15</f>
        <v>87068693</v>
      </c>
      <c r="D45" t="str">
        <f t="shared" si="1"/>
        <v>https://centrodecapacitaciondelsur.com/adm-medicamentos-canalizacion-inyectologia-87068693/</v>
      </c>
    </row>
    <row r="46" spans="1:8" ht="59.25" customHeight="1" x14ac:dyDescent="0.25">
      <c r="A46" s="31" t="str">
        <f>INSCRITOS!N16</f>
        <v>DUELO</v>
      </c>
      <c r="B46" s="24" t="str">
        <f t="shared" si="0"/>
        <v>https://centrodecapacitaciondelsur.com/manejo-del-duelo-</v>
      </c>
      <c r="C46" s="31">
        <f>INSCRITOS!B16+LINK!B16</f>
        <v>87068693</v>
      </c>
      <c r="D46" t="str">
        <f t="shared" si="1"/>
        <v>https://centrodecapacitaciondelsur.com/manejo-del-duelo-87068693/</v>
      </c>
    </row>
    <row r="47" spans="1:8" ht="59.25" customHeight="1" x14ac:dyDescent="0.25">
      <c r="A47" s="31" t="str">
        <f>INSCRITOS!N17</f>
        <v>OVE</v>
      </c>
      <c r="B47" s="24" t="str">
        <f t="shared" si="0"/>
        <v>https://centrodecapacitaciondelsur.com/o-v-e-</v>
      </c>
      <c r="C47" s="31">
        <f>INSCRITOS!B17+LINK!B17</f>
        <v>5234490</v>
      </c>
      <c r="D47" t="str">
        <f t="shared" si="1"/>
        <v>https://centrodecapacitaciondelsur.com/o-v-e-5234490/</v>
      </c>
    </row>
    <row r="48" spans="1:8" ht="59.25" customHeight="1" x14ac:dyDescent="0.25">
      <c r="A48" s="31" t="str">
        <f>INSCRITOS!N18</f>
        <v>PRIMEROS AUXILIOS</v>
      </c>
      <c r="B48" s="24" t="str">
        <f t="shared" si="0"/>
        <v>https://centrodecapacitaciondelsur.com/primeros-auxilios-</v>
      </c>
      <c r="C48" s="31">
        <f>INSCRITOS!B18+LINK!B18</f>
        <v>5234490</v>
      </c>
      <c r="D48" t="str">
        <f t="shared" si="1"/>
        <v>https://centrodecapacitaciondelsur.com/primeros-auxilios-5234490/</v>
      </c>
    </row>
    <row r="49" spans="1:4" ht="59.25" customHeight="1" x14ac:dyDescent="0.25">
      <c r="A49" s="31" t="str">
        <f>INSCRITOS!N19</f>
        <v>PRIMEROS AUXILIOS</v>
      </c>
      <c r="B49" s="24" t="str">
        <f t="shared" si="0"/>
        <v>https://centrodecapacitaciondelsur.com/primeros-auxilios-</v>
      </c>
      <c r="C49" s="31">
        <f>INSCRITOS!B19+LINK!B19</f>
        <v>87717529</v>
      </c>
      <c r="D49" t="str">
        <f t="shared" si="1"/>
        <v>https://centrodecapacitaciondelsur.com/primeros-auxilios-87717529/</v>
      </c>
    </row>
    <row r="50" spans="1:4" ht="59.25" customHeight="1" x14ac:dyDescent="0.25">
      <c r="A50" s="31" t="str">
        <f>INSCRITOS!N20</f>
        <v>BLS</v>
      </c>
      <c r="B50" s="24" t="str">
        <f t="shared" si="0"/>
        <v>https://centrodecapacitaciondelsur.com/soporte-basico-de-vida-</v>
      </c>
      <c r="C50" s="31">
        <f>INSCRITOS!B20+LINK!B20</f>
        <v>87717529</v>
      </c>
      <c r="D50" t="str">
        <f t="shared" si="1"/>
        <v>https://centrodecapacitaciondelsur.com/soporte-basico-de-vida-87717529/</v>
      </c>
    </row>
    <row r="51" spans="1:4" ht="59.25" customHeight="1" x14ac:dyDescent="0.25">
      <c r="A51" s="31" t="str">
        <f>INSCRITOS!N21</f>
        <v>ACLS</v>
      </c>
      <c r="B51" s="24" t="str">
        <f t="shared" si="0"/>
        <v>https://centrodecapacitaciondelsur.com/soporte-cardiovascular-avanzado-</v>
      </c>
      <c r="C51" s="31">
        <f>INSCRITOS!B21+LINK!B21</f>
        <v>1085293241</v>
      </c>
      <c r="D51" t="str">
        <f t="shared" si="1"/>
        <v>https://centrodecapacitaciondelsur.com/soporte-cardiovascular-avanzado-1085293241/</v>
      </c>
    </row>
    <row r="52" spans="1:4" ht="59.25" customHeight="1" x14ac:dyDescent="0.25">
      <c r="A52" s="31" t="str">
        <f>INSCRITOS!N22</f>
        <v>BLS</v>
      </c>
      <c r="B52" s="24" t="str">
        <f t="shared" si="0"/>
        <v>https://centrodecapacitaciondelsur.com/soporte-basico-de-vida-</v>
      </c>
      <c r="C52" s="31">
        <f>INSCRITOS!B22+LINK!B22</f>
        <v>1085293241</v>
      </c>
      <c r="D52" t="str">
        <f t="shared" si="1"/>
        <v>https://centrodecapacitaciondelsur.com/soporte-basico-de-vida-1085293241/</v>
      </c>
    </row>
    <row r="53" spans="1:4" ht="59.25" customHeight="1" x14ac:dyDescent="0.25">
      <c r="A53" s="31" t="str">
        <f>INSCRITOS!N23</f>
        <v>BLS</v>
      </c>
      <c r="B53" s="24" t="str">
        <f t="shared" si="0"/>
        <v>https://centrodecapacitaciondelsur.com/soporte-basico-de-vida-</v>
      </c>
      <c r="C53" s="31">
        <f>INSCRITOS!B23+LINK!B23</f>
        <v>1193218579</v>
      </c>
      <c r="D53" t="str">
        <f t="shared" si="1"/>
        <v>https://centrodecapacitaciondelsur.com/soporte-basico-de-vida-1193218579/</v>
      </c>
    </row>
    <row r="54" spans="1:4" ht="59.25" customHeight="1" x14ac:dyDescent="0.25">
      <c r="A54" s="31" t="str">
        <f>INSCRITOS!N24</f>
        <v>DUELO</v>
      </c>
      <c r="B54" s="24" t="str">
        <f t="shared" si="0"/>
        <v>https://centrodecapacitaciondelsur.com/manejo-del-duelo-</v>
      </c>
      <c r="C54" s="31">
        <f>INSCRITOS!B24+LINK!B24</f>
        <v>27297900</v>
      </c>
      <c r="D54" t="str">
        <f t="shared" si="1"/>
        <v>https://centrodecapacitaciondelsur.com/manejo-del-duelo-27297900/</v>
      </c>
    </row>
    <row r="55" spans="1:4" ht="59.25" customHeight="1" x14ac:dyDescent="0.25">
      <c r="A55" s="31" t="str">
        <f>INSCRITOS!N25</f>
        <v>DUELO</v>
      </c>
      <c r="B55" s="24" t="str">
        <f t="shared" si="0"/>
        <v>https://centrodecapacitaciondelsur.com/manejo-del-duelo-</v>
      </c>
      <c r="C55" s="31">
        <f>INSCRITOS!B25+LINK!B25</f>
        <v>1085309193</v>
      </c>
      <c r="D55" t="str">
        <f t="shared" si="1"/>
        <v>https://centrodecapacitaciondelsur.com/manejo-del-duelo-1085309193/</v>
      </c>
    </row>
    <row r="56" spans="1:4" ht="59.25" customHeight="1" x14ac:dyDescent="0.25">
      <c r="A56" s="31" t="str">
        <f>INSCRITOS!N26</f>
        <v>AIEPI</v>
      </c>
      <c r="B56" s="24" t="str">
        <f t="shared" si="0"/>
        <v>https://centrodecapacitaciondelsur.com/aiepi-</v>
      </c>
      <c r="C56" s="31">
        <f>INSCRITOS!B26+LINK!B26</f>
        <v>1085306323</v>
      </c>
      <c r="D56" t="str">
        <f t="shared" si="1"/>
        <v>https://centrodecapacitaciondelsur.com/aiepi-1085306323/</v>
      </c>
    </row>
    <row r="57" spans="1:4" ht="59.25" customHeight="1" x14ac:dyDescent="0.25">
      <c r="A57" s="31" t="str">
        <f>INSCRITOS!N27</f>
        <v>VIOLENCIA SEXUAL</v>
      </c>
      <c r="B57" s="24" t="str">
        <f t="shared" si="0"/>
        <v>https://centrodecapacitaciondelsur.com/violencia-sexual-</v>
      </c>
      <c r="C57" s="31">
        <f>INSCRITOS!B27+LINK!B27</f>
        <v>1085306323</v>
      </c>
      <c r="D57" t="str">
        <f t="shared" si="1"/>
        <v>https://centrodecapacitaciondelsur.com/violencia-sexual-1085306323/</v>
      </c>
    </row>
    <row r="58" spans="1:4" ht="59.25" customHeight="1" x14ac:dyDescent="0.25">
      <c r="A58" s="31" t="str">
        <f>INSCRITOS!N28</f>
        <v>VIOLENCIA SEXUAL</v>
      </c>
      <c r="B58" s="24" t="str">
        <f t="shared" si="0"/>
        <v>https://centrodecapacitaciondelsur.com/violencia-sexual-</v>
      </c>
      <c r="C58" s="31">
        <f>INSCRITOS!B28+LINK!B28</f>
        <v>1085255910</v>
      </c>
      <c r="D58" t="str">
        <f t="shared" si="1"/>
        <v>https://centrodecapacitaciondelsur.com/violencia-sexual-1085255910/</v>
      </c>
    </row>
    <row r="59" spans="1:4" ht="63.75" customHeight="1" x14ac:dyDescent="0.25">
      <c r="A59" s="31" t="str">
        <f>INSCRITOS!N29</f>
        <v>VIOLENCIA SEXUAL</v>
      </c>
      <c r="B59" s="24" t="str">
        <f t="shared" si="0"/>
        <v>https://centrodecapacitaciondelsur.com/violencia-sexual-</v>
      </c>
      <c r="C59" s="31">
        <f>INSCRITOS!B29+LINK!B29</f>
        <v>36754890</v>
      </c>
      <c r="D59" t="str">
        <f t="shared" si="1"/>
        <v>https://centrodecapacitaciondelsur.com/violencia-sexual-36754890/</v>
      </c>
    </row>
    <row r="60" spans="1:4" ht="63.75" customHeight="1" x14ac:dyDescent="0.25">
      <c r="A60" s="31" t="str">
        <f>INSCRITOS!N30</f>
        <v>HUMANIZACION</v>
      </c>
      <c r="B60" s="24" t="str">
        <f t="shared" si="0"/>
        <v>https://centrodecapacitaciondelsur.com/humanizacion-</v>
      </c>
      <c r="C60" s="31">
        <f>INSCRITOS!B30+LINK!B30</f>
        <v>36754890</v>
      </c>
      <c r="D60" t="str">
        <f t="shared" si="1"/>
        <v>https://centrodecapacitaciondelsur.com/humanizacion-36754890/</v>
      </c>
    </row>
    <row r="61" spans="1:4" ht="63.75" customHeight="1" x14ac:dyDescent="0.25">
      <c r="A61" s="31" t="str">
        <f>INSCRITOS!N31</f>
        <v>VIOLENCIA SEXUAL</v>
      </c>
      <c r="B61" s="24" t="str">
        <f t="shared" si="0"/>
        <v>https://centrodecapacitaciondelsur.com/violencia-sexual-</v>
      </c>
      <c r="C61" s="31">
        <f>INSCRITOS!B31</f>
        <v>1053810512</v>
      </c>
      <c r="D61" t="str">
        <f t="shared" si="1"/>
        <v>https://centrodecapacitaciondelsur.com/violencia-sexual-1053810512/</v>
      </c>
    </row>
    <row r="62" spans="1:4" ht="63.75" customHeight="1" x14ac:dyDescent="0.25">
      <c r="A62" s="31" t="str">
        <f>INSCRITOS!N32</f>
        <v>ADMON DE MEDICAMENTOS</v>
      </c>
      <c r="B62" s="24" t="str">
        <f t="shared" si="0"/>
        <v>https://centrodecapacitaciondelsur.com/adm-medicamentos-canalizacion-inyectologia-</v>
      </c>
      <c r="C62" s="31">
        <f>INSCRITOS!B32</f>
        <v>1120217397</v>
      </c>
      <c r="D62" t="str">
        <f t="shared" si="1"/>
        <v>https://centrodecapacitaciondelsur.com/adm-medicamentos-canalizacion-inyectologia-1120217397/</v>
      </c>
    </row>
    <row r="63" spans="1:4" ht="63.75" customHeight="1" x14ac:dyDescent="0.25">
      <c r="A63" s="31" t="str">
        <f>INSCRITOS!N33</f>
        <v>DUELO</v>
      </c>
      <c r="B63" s="24" t="str">
        <f t="shared" si="0"/>
        <v>https://centrodecapacitaciondelsur.com/manejo-del-duelo-</v>
      </c>
      <c r="C63" s="31">
        <f>INSCRITOS!B33</f>
        <v>27433597</v>
      </c>
      <c r="D63" t="str">
        <f t="shared" si="1"/>
        <v>https://centrodecapacitaciondelsur.com/manejo-del-duelo-27433597/</v>
      </c>
    </row>
    <row r="64" spans="1:4" ht="63.75" customHeight="1" x14ac:dyDescent="0.25">
      <c r="A64" s="31" t="str">
        <f>INSCRITOS!N34</f>
        <v>DUELO</v>
      </c>
      <c r="B64" s="24" t="str">
        <f t="shared" si="0"/>
        <v>https://centrodecapacitaciondelsur.com/manejo-del-duelo-</v>
      </c>
      <c r="C64" s="31">
        <f>INSCRITOS!B34</f>
        <v>1085270836</v>
      </c>
      <c r="D64" t="str">
        <f t="shared" si="1"/>
        <v>https://centrodecapacitaciondelsur.com/manejo-del-duelo-1085270836/</v>
      </c>
    </row>
    <row r="65" spans="1:4" ht="63.75" customHeight="1" x14ac:dyDescent="0.25">
      <c r="A65" s="31" t="str">
        <f>INSCRITOS!N35</f>
        <v>DUELO</v>
      </c>
      <c r="B65" s="24" t="str">
        <f t="shared" si="0"/>
        <v>https://centrodecapacitaciondelsur.com/manejo-del-duelo-</v>
      </c>
      <c r="C65" s="31">
        <f>INSCRITOS!B35</f>
        <v>37080147</v>
      </c>
      <c r="D65" t="str">
        <f t="shared" si="1"/>
        <v>https://centrodecapacitaciondelsur.com/manejo-del-duelo-37080147/</v>
      </c>
    </row>
    <row r="66" spans="1:4" ht="63.75" customHeight="1" x14ac:dyDescent="0.25">
      <c r="A66" s="31" t="str">
        <f>INSCRITOS!N36</f>
        <v>DUELO</v>
      </c>
      <c r="B66" s="24" t="str">
        <f t="shared" si="0"/>
        <v>https://centrodecapacitaciondelsur.com/manejo-del-duelo-</v>
      </c>
      <c r="C66" s="31">
        <f>INSCRITOS!B36</f>
        <v>38680426</v>
      </c>
      <c r="D66" t="str">
        <f t="shared" si="1"/>
        <v>https://centrodecapacitaciondelsur.com/manejo-del-duelo-38680426/</v>
      </c>
    </row>
    <row r="67" spans="1:4" ht="63.75" customHeight="1" x14ac:dyDescent="0.25">
      <c r="A67" s="31" t="str">
        <f>INSCRITOS!N37</f>
        <v>DUELO</v>
      </c>
      <c r="B67" s="24" t="str">
        <f t="shared" si="0"/>
        <v>https://centrodecapacitaciondelsur.com/manejo-del-duelo-</v>
      </c>
      <c r="C67" s="31">
        <f>INSCRITOS!B37</f>
        <v>59816807</v>
      </c>
      <c r="D67" t="str">
        <f t="shared" si="1"/>
        <v>https://centrodecapacitaciondelsur.com/manejo-del-duelo-59816807/</v>
      </c>
    </row>
    <row r="68" spans="1:4" ht="63.75" customHeight="1" x14ac:dyDescent="0.25">
      <c r="A68" s="31" t="str">
        <f>INSCRITOS!N38</f>
        <v>DUELO</v>
      </c>
      <c r="B68" s="24" t="str">
        <f t="shared" si="0"/>
        <v>https://centrodecapacitaciondelsur.com/manejo-del-duelo-</v>
      </c>
      <c r="C68" s="31">
        <f>INSCRITOS!B38</f>
        <v>1085277525</v>
      </c>
      <c r="D68" t="str">
        <f t="shared" si="1"/>
        <v>https://centrodecapacitaciondelsur.com/manejo-del-duelo-1085277525/</v>
      </c>
    </row>
    <row r="69" spans="1:4" ht="63.75" customHeight="1" x14ac:dyDescent="0.25">
      <c r="A69" s="31" t="str">
        <f>INSCRITOS!N39</f>
        <v>DUELO</v>
      </c>
      <c r="B69" s="24" t="str">
        <f t="shared" si="0"/>
        <v>https://centrodecapacitaciondelsur.com/manejo-del-duelo-</v>
      </c>
      <c r="C69" s="31">
        <f>INSCRITOS!B39</f>
        <v>1085244627</v>
      </c>
      <c r="D69" t="str">
        <f t="shared" si="1"/>
        <v>https://centrodecapacitaciondelsur.com/manejo-del-duelo-1085244627/</v>
      </c>
    </row>
    <row r="70" spans="1:4" ht="63.75" customHeight="1" x14ac:dyDescent="0.25">
      <c r="A70" s="31" t="str">
        <f>INSCRITOS!N40</f>
        <v>DUELO</v>
      </c>
      <c r="B70" s="24" t="str">
        <f t="shared" si="0"/>
        <v>https://centrodecapacitaciondelsur.com/manejo-del-duelo-</v>
      </c>
      <c r="C70" s="31">
        <f>INSCRITOS!B40</f>
        <v>59817144</v>
      </c>
      <c r="D70" t="str">
        <f t="shared" si="1"/>
        <v>https://centrodecapacitaciondelsur.com/manejo-del-duelo-59817144/</v>
      </c>
    </row>
    <row r="71" spans="1:4" ht="63.75" customHeight="1" x14ac:dyDescent="0.25">
      <c r="A71" s="31" t="str">
        <f>INSCRITOS!N41</f>
        <v>DUELO</v>
      </c>
      <c r="B71" s="24" t="str">
        <f t="shared" si="0"/>
        <v>https://centrodecapacitaciondelsur.com/manejo-del-duelo-</v>
      </c>
      <c r="C71" s="31">
        <f>INSCRITOS!B41</f>
        <v>1085329042</v>
      </c>
      <c r="D71" t="str">
        <f t="shared" si="1"/>
        <v>https://centrodecapacitaciondelsur.com/manejo-del-duelo-1085329042/</v>
      </c>
    </row>
    <row r="72" spans="1:4" ht="63.75" customHeight="1" x14ac:dyDescent="0.25">
      <c r="A72" s="31" t="str">
        <f>INSCRITOS!N42</f>
        <v>VIOLENCIA SEXUAL</v>
      </c>
      <c r="B72" s="24" t="str">
        <f t="shared" si="0"/>
        <v>https://centrodecapacitaciondelsur.com/violencia-sexual-</v>
      </c>
      <c r="C72" s="31">
        <f>INSCRITOS!B42</f>
        <v>1085329042</v>
      </c>
      <c r="D72" t="str">
        <f t="shared" si="1"/>
        <v>https://centrodecapacitaciondelsur.com/violencia-sexual-1085329042/</v>
      </c>
    </row>
    <row r="73" spans="1:4" ht="63.75" customHeight="1" x14ac:dyDescent="0.25">
      <c r="A73" s="31" t="str">
        <f>INSCRITOS!N43</f>
        <v>QUIMICOS</v>
      </c>
      <c r="B73" s="24" t="str">
        <f t="shared" si="0"/>
        <v>https://centrodecapacitaciondelsur.com/victimas-por-agentes-quimicos-</v>
      </c>
      <c r="C73" s="31">
        <f>INSCRITOS!B43</f>
        <v>1085329042</v>
      </c>
      <c r="D73" t="str">
        <f t="shared" si="1"/>
        <v>https://centrodecapacitaciondelsur.com/victimas-por-agentes-quimicos-1085329042/</v>
      </c>
    </row>
    <row r="74" spans="1:4" ht="63.75" customHeight="1" x14ac:dyDescent="0.25">
      <c r="A74" s="31" t="str">
        <f>INSCRITOS!N44</f>
        <v>DUELO</v>
      </c>
      <c r="B74" s="24" t="str">
        <f t="shared" si="0"/>
        <v>https://centrodecapacitaciondelsur.com/manejo-del-duelo-</v>
      </c>
      <c r="C74" s="31">
        <f>INSCRITOS!B44</f>
        <v>27488362</v>
      </c>
      <c r="D74" t="str">
        <f t="shared" si="1"/>
        <v>https://centrodecapacitaciondelsur.com/manejo-del-duelo-27488362/</v>
      </c>
    </row>
    <row r="75" spans="1:4" ht="63.75" customHeight="1" x14ac:dyDescent="0.25">
      <c r="A75" s="31" t="str">
        <f>INSCRITOS!N45</f>
        <v>DUELO</v>
      </c>
      <c r="B75" s="24" t="str">
        <f t="shared" si="0"/>
        <v>https://centrodecapacitaciondelsur.com/manejo-del-duelo-</v>
      </c>
      <c r="C75" s="31">
        <f>INSCRITOS!B45</f>
        <v>36953804</v>
      </c>
      <c r="D75" t="str">
        <f t="shared" si="1"/>
        <v>https://centrodecapacitaciondelsur.com/manejo-del-duelo-36953804/</v>
      </c>
    </row>
    <row r="76" spans="1:4" ht="63.75" customHeight="1" x14ac:dyDescent="0.25">
      <c r="A76" s="31" t="str">
        <f>INSCRITOS!N46</f>
        <v>VIOLENCIA SEXUAL</v>
      </c>
      <c r="B76" s="24" t="str">
        <f t="shared" si="0"/>
        <v>https://centrodecapacitaciondelsur.com/violencia-sexual-</v>
      </c>
      <c r="C76" s="31">
        <f>INSCRITOS!B46</f>
        <v>59820026</v>
      </c>
      <c r="D76" t="str">
        <f t="shared" si="1"/>
        <v>https://centrodecapacitaciondelsur.com/violencia-sexual-59820026/</v>
      </c>
    </row>
    <row r="77" spans="1:4" ht="63.75" customHeight="1" x14ac:dyDescent="0.25">
      <c r="A77" s="31" t="str">
        <f>INSCRITOS!N47</f>
        <v>QUIMICOS</v>
      </c>
      <c r="B77" s="24" t="str">
        <f t="shared" si="0"/>
        <v>https://centrodecapacitaciondelsur.com/victimas-por-agentes-quimicos-</v>
      </c>
      <c r="C77" s="31">
        <f>INSCRITOS!B47</f>
        <v>59820026</v>
      </c>
      <c r="D77" t="str">
        <f t="shared" si="1"/>
        <v>https://centrodecapacitaciondelsur.com/victimas-por-agentes-quimicos-59820026/</v>
      </c>
    </row>
    <row r="78" spans="1:4" ht="63.75" customHeight="1" x14ac:dyDescent="0.25">
      <c r="A78" s="31" t="str">
        <f>INSCRITOS!N48</f>
        <v>DUELO</v>
      </c>
      <c r="B78" s="24" t="str">
        <f t="shared" si="0"/>
        <v>https://centrodecapacitaciondelsur.com/manejo-del-duelo-</v>
      </c>
      <c r="C78" s="31">
        <f>INSCRITOS!B48</f>
        <v>59836213</v>
      </c>
      <c r="D78" t="str">
        <f t="shared" si="1"/>
        <v>https://centrodecapacitaciondelsur.com/manejo-del-duelo-59836213/</v>
      </c>
    </row>
    <row r="79" spans="1:4" ht="63.75" customHeight="1" x14ac:dyDescent="0.25">
      <c r="A79" s="31" t="str">
        <f>INSCRITOS!N49</f>
        <v>VIOLENCIA SEXUAL</v>
      </c>
      <c r="B79" s="24" t="str">
        <f t="shared" si="0"/>
        <v>https://centrodecapacitaciondelsur.com/violencia-sexual-</v>
      </c>
      <c r="C79" s="31">
        <f>INSCRITOS!B49</f>
        <v>1085279898</v>
      </c>
      <c r="D79" t="str">
        <f t="shared" si="1"/>
        <v>https://centrodecapacitaciondelsur.com/violencia-sexual-1085279898/</v>
      </c>
    </row>
    <row r="80" spans="1:4" ht="63.75" customHeight="1" x14ac:dyDescent="0.25">
      <c r="A80" s="31" t="str">
        <f>INSCRITOS!N50</f>
        <v>VIOLENCIA SEXUAL</v>
      </c>
      <c r="B80" s="24" t="str">
        <f t="shared" si="0"/>
        <v>https://centrodecapacitaciondelsur.com/violencia-sexual-</v>
      </c>
      <c r="C80" s="31">
        <f>INSCRITOS!B50</f>
        <v>1085333014</v>
      </c>
      <c r="D80" t="str">
        <f t="shared" si="1"/>
        <v>https://centrodecapacitaciondelsur.com/violencia-sexual-1085333014/</v>
      </c>
    </row>
    <row r="81" spans="1:4" ht="63.75" customHeight="1" x14ac:dyDescent="0.25">
      <c r="A81" s="31" t="str">
        <f>INSCRITOS!N51</f>
        <v>BLS</v>
      </c>
      <c r="B81" s="24" t="str">
        <f t="shared" si="0"/>
        <v>https://centrodecapacitaciondelsur.com/soporte-basico-de-vida-</v>
      </c>
      <c r="C81" s="31">
        <f>INSCRITOS!B51</f>
        <v>1123307200</v>
      </c>
      <c r="D81" t="str">
        <f t="shared" si="1"/>
        <v>https://centrodecapacitaciondelsur.com/soporte-basico-de-vida-1123307200/</v>
      </c>
    </row>
    <row r="82" spans="1:4" ht="63.75" customHeight="1" x14ac:dyDescent="0.25">
      <c r="A82" s="31" t="str">
        <f>INSCRITOS!N52</f>
        <v>VIOLENCIA SEXUAL</v>
      </c>
      <c r="B82" s="24" t="str">
        <f t="shared" si="0"/>
        <v>https://centrodecapacitaciondelsur.com/violencia-sexual-</v>
      </c>
      <c r="C82" s="31">
        <f>INSCRITOS!B52</f>
        <v>1123307200</v>
      </c>
      <c r="D82" t="str">
        <f t="shared" si="1"/>
        <v>https://centrodecapacitaciondelsur.com/violencia-sexual-1123307200/</v>
      </c>
    </row>
    <row r="83" spans="1:4" ht="63.75" customHeight="1" x14ac:dyDescent="0.25">
      <c r="A83" s="31" t="str">
        <f>INSCRITOS!N53</f>
        <v>QUIMICOS</v>
      </c>
      <c r="B83" s="24" t="str">
        <f t="shared" si="0"/>
        <v>https://centrodecapacitaciondelsur.com/victimas-por-agentes-quimicos-</v>
      </c>
      <c r="C83" s="31">
        <f>INSCRITOS!B53</f>
        <v>1123307200</v>
      </c>
      <c r="D83" t="str">
        <f t="shared" si="1"/>
        <v>https://centrodecapacitaciondelsur.com/victimas-por-agentes-quimicos-1123307200/</v>
      </c>
    </row>
    <row r="84" spans="1:4" ht="63.75" customHeight="1" x14ac:dyDescent="0.25">
      <c r="A84" s="31" t="str">
        <f>INSCRITOS!N54</f>
        <v>DUELO</v>
      </c>
      <c r="B84" s="24" t="str">
        <f t="shared" si="0"/>
        <v>https://centrodecapacitaciondelsur.com/manejo-del-duelo-</v>
      </c>
      <c r="C84" s="31">
        <f>INSCRITOS!B54</f>
        <v>59856458</v>
      </c>
      <c r="D84" t="str">
        <f t="shared" si="1"/>
        <v>https://centrodecapacitaciondelsur.com/manejo-del-duelo-59856458/</v>
      </c>
    </row>
    <row r="85" spans="1:4" ht="63.75" customHeight="1" x14ac:dyDescent="0.25">
      <c r="A85" s="31" t="str">
        <f>INSCRITOS!N55</f>
        <v>QUIMICOS</v>
      </c>
      <c r="B85" s="24" t="str">
        <f t="shared" si="0"/>
        <v>https://centrodecapacitaciondelsur.com/victimas-por-agentes-quimicos-</v>
      </c>
      <c r="C85" s="31">
        <f>INSCRITOS!B55</f>
        <v>59856458</v>
      </c>
      <c r="D85" t="str">
        <f t="shared" si="1"/>
        <v>https://centrodecapacitaciondelsur.com/victimas-por-agentes-quimicos-59856458/</v>
      </c>
    </row>
    <row r="86" spans="1:4" ht="63.75" customHeight="1" x14ac:dyDescent="0.25">
      <c r="A86" s="31" t="str">
        <f>INSCRITOS!N56</f>
        <v>VIOLENCIA SEXUAL</v>
      </c>
      <c r="B86" s="24" t="str">
        <f t="shared" si="0"/>
        <v>https://centrodecapacitaciondelsur.com/violencia-sexual-</v>
      </c>
      <c r="C86" s="31">
        <f>INSCRITOS!B56</f>
        <v>59856458</v>
      </c>
      <c r="D86" t="str">
        <f t="shared" si="1"/>
        <v>https://centrodecapacitaciondelsur.com/violencia-sexual-59856458/</v>
      </c>
    </row>
    <row r="87" spans="1:4" ht="63.75" customHeight="1" x14ac:dyDescent="0.25">
      <c r="A87" s="31" t="str">
        <f>INSCRITOS!N57</f>
        <v>BLS</v>
      </c>
      <c r="B87" s="24" t="str">
        <f t="shared" si="0"/>
        <v>https://centrodecapacitaciondelsur.com/soporte-basico-de-vida-</v>
      </c>
      <c r="C87" s="31">
        <f>INSCRITOS!B57</f>
        <v>59856458</v>
      </c>
      <c r="D87" t="str">
        <f t="shared" si="1"/>
        <v>https://centrodecapacitaciondelsur.com/soporte-basico-de-vida-59856458/</v>
      </c>
    </row>
    <row r="88" spans="1:4" ht="63.75" customHeight="1" x14ac:dyDescent="0.25">
      <c r="A88" s="31" t="str">
        <f>INSCRITOS!N58</f>
        <v>PRIMEROS AUXILIOS</v>
      </c>
      <c r="B88" s="24" t="str">
        <f t="shared" si="0"/>
        <v>https://centrodecapacitaciondelsur.com/primeros-auxilios-</v>
      </c>
      <c r="C88" s="31">
        <f>INSCRITOS!B58</f>
        <v>59856458</v>
      </c>
      <c r="D88" t="str">
        <f t="shared" si="1"/>
        <v>https://centrodecapacitaciondelsur.com/primeros-auxilios-59856458/</v>
      </c>
    </row>
    <row r="89" spans="1:4" ht="63.75" customHeight="1" x14ac:dyDescent="0.25">
      <c r="A89" s="31" t="str">
        <f>INSCRITOS!N59</f>
        <v>DUELO</v>
      </c>
      <c r="B89" s="24" t="str">
        <f t="shared" si="0"/>
        <v>https://centrodecapacitaciondelsur.com/manejo-del-duelo-</v>
      </c>
      <c r="C89" s="31">
        <f>INSCRITOS!B59</f>
        <v>1082748410</v>
      </c>
      <c r="D89" t="str">
        <f t="shared" si="1"/>
        <v>https://centrodecapacitaciondelsur.com/manejo-del-duelo-1082748410/</v>
      </c>
    </row>
    <row r="90" spans="1:4" ht="63.75" customHeight="1" x14ac:dyDescent="0.25">
      <c r="A90" s="31" t="str">
        <f>INSCRITOS!N60</f>
        <v>QUIMICOS</v>
      </c>
      <c r="B90" s="24" t="str">
        <f t="shared" si="0"/>
        <v>https://centrodecapacitaciondelsur.com/victimas-por-agentes-quimicos-</v>
      </c>
      <c r="C90" s="31">
        <f>INSCRITOS!B60</f>
        <v>1082748410</v>
      </c>
      <c r="D90" t="str">
        <f t="shared" si="1"/>
        <v>https://centrodecapacitaciondelsur.com/victimas-por-agentes-quimicos-1082748410/</v>
      </c>
    </row>
    <row r="91" spans="1:4" ht="63.75" customHeight="1" x14ac:dyDescent="0.25">
      <c r="A91" s="31" t="str">
        <f>INSCRITOS!N61</f>
        <v>VIOLENCIA SEXUAL</v>
      </c>
      <c r="B91" s="24" t="str">
        <f t="shared" si="0"/>
        <v>https://centrodecapacitaciondelsur.com/violencia-sexual-</v>
      </c>
      <c r="C91" s="31">
        <f>INSCRITOS!B61</f>
        <v>1082748410</v>
      </c>
      <c r="D91" t="str">
        <f t="shared" si="1"/>
        <v>https://centrodecapacitaciondelsur.com/violencia-sexual-1082748410/</v>
      </c>
    </row>
    <row r="92" spans="1:4" ht="63.75" customHeight="1" x14ac:dyDescent="0.25">
      <c r="A92" s="31" t="str">
        <f>INSCRITOS!N62</f>
        <v>BLS</v>
      </c>
      <c r="B92" s="24" t="str">
        <f t="shared" si="0"/>
        <v>https://centrodecapacitaciondelsur.com/soporte-basico-de-vida-</v>
      </c>
      <c r="C92" s="31">
        <f>INSCRITOS!B62</f>
        <v>1082748410</v>
      </c>
      <c r="D92" t="str">
        <f t="shared" si="1"/>
        <v>https://centrodecapacitaciondelsur.com/soporte-basico-de-vida-1082748410/</v>
      </c>
    </row>
    <row r="93" spans="1:4" ht="63.75" customHeight="1" x14ac:dyDescent="0.25">
      <c r="A93" s="31" t="str">
        <f>INSCRITOS!N63</f>
        <v>PRIMEROS AUXILIOS</v>
      </c>
      <c r="B93" s="24" t="str">
        <f t="shared" si="0"/>
        <v>https://centrodecapacitaciondelsur.com/primeros-auxilios-</v>
      </c>
      <c r="C93" s="31">
        <f>INSCRITOS!B63</f>
        <v>1082748410</v>
      </c>
      <c r="D93" t="str">
        <f t="shared" si="1"/>
        <v>https://centrodecapacitaciondelsur.com/primeros-auxilios-1082748410/</v>
      </c>
    </row>
    <row r="94" spans="1:4" ht="63.75" customHeight="1" x14ac:dyDescent="0.25">
      <c r="A94" s="31" t="str">
        <f>INSCRITOS!N64</f>
        <v>DUELO</v>
      </c>
      <c r="B94" s="24" t="str">
        <f t="shared" ref="B94:B140" si="2">IF(A94=$H$19,"https://centrodecapacitaciondelsur.com/o-v-e-",IF(A94=$H$2,"https://centrodecapacitaciondelsur.com/aph-",IF(A94=$H$3,"https://centrodecapacitaciondelsur.com/manejo-del-duelo-",IF(A94=$H$4,"https://centrodecapacitaciondelsur.com/victimas-por-agentes-quimicos-",IF(A94=$H$5,"https://centrodecapacitaciondelsur.com/primeros-auxilios-",IF(A94=$H$6,"https://centrodecapacitaciondelsur.com/uci-",IF(A94=$H$8,"https://centrodecapacitaciondelsur.com/humanizacion-",IF(A94=$H$11,"https://centrodecapacitaciondelsur.com/soporte-cardiovascular-avanzado-",IF(A94=$H$12,"https://centrodecapacitaciondelsur.com/camillero-",IF(A94=$H$13,"https://centrodecapacitaciondelsur.com/toma-de-muestras-y-lab-clinico-",IF(A94=$H$14,"https://centrodecapacitaciondelsur.com/soporte-basico-de-vida-",IF(A94=$H$15,"https://centrodecapacitaciondelsur.com/violencia-sexual-",IF(A94=$H$17,"https://centrodecapacitaciondelsur.com/aiepi-",IF(A94=$H$18,"https://centrodecapacitaciondelsur.com/adm-medicamentos-canalizacion-inyectologia-",IF(A94=$H$25,"https://centrodecapacitaciondelsur.com/manejo-del-dolor-y-cuidados-paliativos-",IF(A94=$H$26,"https://centrodecapacitaciondelsur.com/toma-de-muestras-y-lab-clinico-poct-",IF(A94=$H$27,"https://centrodecapacitaciondelsur.com/implante-subdermico-",IF(A94=$H$21,"https://centrodecapacitaciondelsur.com/donante-de-organos-",IF(A94=$H$30,"https://centrodecapacitaciondelsur.com/atencion-a-victimas-del-conflicto-armado-",IF(A94=$H$20,"https://centrodecapacitaciondelsur.com/iami-",IF(A94=$H$22,"https://centrodecapacitaciondelsur.com/violencia-de-genero-",IF(A94=$H$23,"https://centrodecapacitaciondelsur.com/igualdad-de-genero-",IF(A94=$H$16,"https://centrodecapacitaciondelsur.com/pai-",IF(A94=$H$31,"https://centrodecapacitaciondelsur.com/manipulacion-de-alimentos-"))))))))))))))))))))))))</f>
        <v>https://centrodecapacitaciondelsur.com/manejo-del-duelo-</v>
      </c>
      <c r="C94" s="31">
        <f>INSCRITOS!B64</f>
        <v>1082748911</v>
      </c>
      <c r="D94" t="str">
        <f t="shared" ref="D94:D140" si="3">CONCATENATE(B94,C94,"/")</f>
        <v>https://centrodecapacitaciondelsur.com/manejo-del-duelo-1082748911/</v>
      </c>
    </row>
    <row r="95" spans="1:4" ht="63.75" customHeight="1" x14ac:dyDescent="0.25">
      <c r="A95" s="31" t="str">
        <f>INSCRITOS!N65</f>
        <v>QUIMICOS</v>
      </c>
      <c r="B95" s="24" t="str">
        <f t="shared" si="2"/>
        <v>https://centrodecapacitaciondelsur.com/victimas-por-agentes-quimicos-</v>
      </c>
      <c r="C95" s="31">
        <f>INSCRITOS!B65</f>
        <v>1082748911</v>
      </c>
      <c r="D95" t="str">
        <f t="shared" si="3"/>
        <v>https://centrodecapacitaciondelsur.com/victimas-por-agentes-quimicos-1082748911/</v>
      </c>
    </row>
    <row r="96" spans="1:4" ht="63.75" customHeight="1" x14ac:dyDescent="0.25">
      <c r="A96" s="31" t="str">
        <f>INSCRITOS!N66</f>
        <v>VIOLENCIA SEXUAL</v>
      </c>
      <c r="B96" s="24" t="str">
        <f t="shared" si="2"/>
        <v>https://centrodecapacitaciondelsur.com/violencia-sexual-</v>
      </c>
      <c r="C96" s="31">
        <f>INSCRITOS!B66</f>
        <v>1082748911</v>
      </c>
      <c r="D96" t="str">
        <f t="shared" si="3"/>
        <v>https://centrodecapacitaciondelsur.com/violencia-sexual-1082748911/</v>
      </c>
    </row>
    <row r="97" spans="1:4" ht="63.75" customHeight="1" x14ac:dyDescent="0.25">
      <c r="A97" s="31" t="str">
        <f>INSCRITOS!N67</f>
        <v>VIOLENCIA SEXUAL</v>
      </c>
      <c r="B97" s="24" t="str">
        <f t="shared" si="2"/>
        <v>https://centrodecapacitaciondelsur.com/violencia-sexual-</v>
      </c>
      <c r="C97" s="31">
        <f>INSCRITOS!B67</f>
        <v>1007751596</v>
      </c>
      <c r="D97" t="str">
        <f t="shared" si="3"/>
        <v>https://centrodecapacitaciondelsur.com/violencia-sexual-1007751596/</v>
      </c>
    </row>
    <row r="98" spans="1:4" ht="63.75" customHeight="1" x14ac:dyDescent="0.25">
      <c r="A98" s="31" t="str">
        <f>INSCRITOS!N68</f>
        <v>PRIMEROS AUXILIOS</v>
      </c>
      <c r="B98" s="24" t="str">
        <f t="shared" si="2"/>
        <v>https://centrodecapacitaciondelsur.com/primeros-auxilios-</v>
      </c>
      <c r="C98" s="31">
        <f>INSCRITOS!B68</f>
        <v>1007751596</v>
      </c>
      <c r="D98" t="str">
        <f t="shared" si="3"/>
        <v>https://centrodecapacitaciondelsur.com/primeros-auxilios-1007751596/</v>
      </c>
    </row>
    <row r="99" spans="1:4" ht="63.75" customHeight="1" x14ac:dyDescent="0.25">
      <c r="A99" s="31" t="str">
        <f>INSCRITOS!N69</f>
        <v>QUIMICOS</v>
      </c>
      <c r="B99" s="24" t="str">
        <f t="shared" si="2"/>
        <v>https://centrodecapacitaciondelsur.com/victimas-por-agentes-quimicos-</v>
      </c>
      <c r="C99" s="31">
        <f>INSCRITOS!B69</f>
        <v>1007751596</v>
      </c>
      <c r="D99" t="str">
        <f t="shared" si="3"/>
        <v>https://centrodecapacitaciondelsur.com/victimas-por-agentes-quimicos-1007751596/</v>
      </c>
    </row>
    <row r="100" spans="1:4" ht="63.75" customHeight="1" x14ac:dyDescent="0.25">
      <c r="A100" s="31" t="str">
        <f>INSCRITOS!N70</f>
        <v>BLS</v>
      </c>
      <c r="B100" s="24" t="str">
        <f t="shared" si="2"/>
        <v>https://centrodecapacitaciondelsur.com/soporte-basico-de-vida-</v>
      </c>
      <c r="C100" s="31">
        <f>INSCRITOS!B70</f>
        <v>1085933699</v>
      </c>
      <c r="D100" t="str">
        <f t="shared" si="3"/>
        <v>https://centrodecapacitaciondelsur.com/soporte-basico-de-vida-1085933699/</v>
      </c>
    </row>
    <row r="101" spans="1:4" ht="63.75" customHeight="1" x14ac:dyDescent="0.25">
      <c r="A101" s="31" t="str">
        <f>INSCRITOS!N71</f>
        <v>DUELO</v>
      </c>
      <c r="B101" s="24" t="str">
        <f t="shared" si="2"/>
        <v>https://centrodecapacitaciondelsur.com/manejo-del-duelo-</v>
      </c>
      <c r="C101" s="31">
        <f>INSCRITOS!B71</f>
        <v>27090397</v>
      </c>
      <c r="D101" t="str">
        <f t="shared" si="3"/>
        <v>https://centrodecapacitaciondelsur.com/manejo-del-duelo-27090397/</v>
      </c>
    </row>
    <row r="102" spans="1:4" ht="63.75" customHeight="1" x14ac:dyDescent="0.25">
      <c r="A102" s="31" t="str">
        <f>INSCRITOS!N72</f>
        <v>VIOLENCIA SEXUAL</v>
      </c>
      <c r="B102" s="24" t="str">
        <f t="shared" si="2"/>
        <v>https://centrodecapacitaciondelsur.com/violencia-sexual-</v>
      </c>
      <c r="C102" s="31">
        <f>INSCRITOS!B72</f>
        <v>1088972103</v>
      </c>
      <c r="D102" t="str">
        <f t="shared" si="3"/>
        <v>https://centrodecapacitaciondelsur.com/violencia-sexual-1088972103/</v>
      </c>
    </row>
    <row r="103" spans="1:4" ht="63.75" customHeight="1" x14ac:dyDescent="0.25">
      <c r="A103" s="31" t="str">
        <f>INSCRITOS!N73</f>
        <v>DUELO</v>
      </c>
      <c r="B103" s="24" t="str">
        <f t="shared" si="2"/>
        <v>https://centrodecapacitaciondelsur.com/manejo-del-duelo-</v>
      </c>
      <c r="C103" s="31">
        <f>INSCRITOS!B73</f>
        <v>1085326959</v>
      </c>
      <c r="D103" t="str">
        <f t="shared" si="3"/>
        <v>https://centrodecapacitaciondelsur.com/manejo-del-duelo-1085326959/</v>
      </c>
    </row>
    <row r="104" spans="1:4" ht="63.75" customHeight="1" x14ac:dyDescent="0.25">
      <c r="A104" s="31" t="str">
        <f>INSCRITOS!N74</f>
        <v>DUELO</v>
      </c>
      <c r="B104" s="24" t="str">
        <f t="shared" si="2"/>
        <v>https://centrodecapacitaciondelsur.com/manejo-del-duelo-</v>
      </c>
      <c r="C104" s="31">
        <f>INSCRITOS!B74</f>
        <v>27456132</v>
      </c>
      <c r="D104" t="str">
        <f t="shared" si="3"/>
        <v>https://centrodecapacitaciondelsur.com/manejo-del-duelo-27456132/</v>
      </c>
    </row>
    <row r="105" spans="1:4" ht="63.75" customHeight="1" x14ac:dyDescent="0.25">
      <c r="A105" s="31" t="str">
        <f>INSCRITOS!N75</f>
        <v>VIOLENCIA SEXUAL</v>
      </c>
      <c r="B105" s="24" t="str">
        <f t="shared" si="2"/>
        <v>https://centrodecapacitaciondelsur.com/violencia-sexual-</v>
      </c>
      <c r="C105" s="31">
        <f>INSCRITOS!B75</f>
        <v>1085250875</v>
      </c>
      <c r="D105" t="str">
        <f t="shared" si="3"/>
        <v>https://centrodecapacitaciondelsur.com/violencia-sexual-1085250875/</v>
      </c>
    </row>
    <row r="106" spans="1:4" ht="63.75" customHeight="1" x14ac:dyDescent="0.25">
      <c r="A106" s="31" t="str">
        <f>INSCRITOS!N76</f>
        <v>DUELO</v>
      </c>
      <c r="B106" s="24" t="str">
        <f t="shared" si="2"/>
        <v>https://centrodecapacitaciondelsur.com/manejo-del-duelo-</v>
      </c>
      <c r="C106" s="31">
        <f>INSCRITOS!B76</f>
        <v>1085254745</v>
      </c>
      <c r="D106" t="str">
        <f t="shared" si="3"/>
        <v>https://centrodecapacitaciondelsur.com/manejo-del-duelo-1085254745/</v>
      </c>
    </row>
    <row r="107" spans="1:4" ht="63.75" customHeight="1" x14ac:dyDescent="0.25">
      <c r="A107" s="31" t="str">
        <f>INSCRITOS!N77</f>
        <v>DUELO</v>
      </c>
      <c r="B107" s="24" t="str">
        <f t="shared" si="2"/>
        <v>https://centrodecapacitaciondelsur.com/manejo-del-duelo-</v>
      </c>
      <c r="C107" s="31">
        <f>INSCRITOS!B77</f>
        <v>59830881</v>
      </c>
      <c r="D107" t="str">
        <f t="shared" si="3"/>
        <v>https://centrodecapacitaciondelsur.com/manejo-del-duelo-59830881/</v>
      </c>
    </row>
    <row r="108" spans="1:4" ht="63.75" customHeight="1" x14ac:dyDescent="0.25">
      <c r="A108" s="31" t="str">
        <f>INSCRITOS!N78</f>
        <v>VIOLENCIA SEXUAL</v>
      </c>
      <c r="B108" s="24" t="str">
        <f t="shared" si="2"/>
        <v>https://centrodecapacitaciondelsur.com/violencia-sexual-</v>
      </c>
      <c r="C108" s="31">
        <f>INSCRITOS!B78</f>
        <v>59830881</v>
      </c>
      <c r="D108" t="str">
        <f t="shared" si="3"/>
        <v>https://centrodecapacitaciondelsur.com/violencia-sexual-59830881/</v>
      </c>
    </row>
    <row r="109" spans="1:4" ht="63.75" customHeight="1" x14ac:dyDescent="0.25">
      <c r="A109" s="31" t="str">
        <f>INSCRITOS!N79</f>
        <v>DUELO</v>
      </c>
      <c r="B109" s="24" t="str">
        <f t="shared" si="2"/>
        <v>https://centrodecapacitaciondelsur.com/manejo-del-duelo-</v>
      </c>
      <c r="C109" s="31">
        <f>INSCRITOS!B79</f>
        <v>13040300</v>
      </c>
      <c r="D109" t="str">
        <f t="shared" si="3"/>
        <v>https://centrodecapacitaciondelsur.com/manejo-del-duelo-13040300/</v>
      </c>
    </row>
    <row r="110" spans="1:4" ht="63.75" customHeight="1" x14ac:dyDescent="0.25">
      <c r="A110" s="31" t="str">
        <f>INSCRITOS!N80</f>
        <v>HUMANIZACION</v>
      </c>
      <c r="B110" s="24" t="str">
        <f t="shared" si="2"/>
        <v>https://centrodecapacitaciondelsur.com/humanizacion-</v>
      </c>
      <c r="C110" s="31">
        <f>INSCRITOS!B80</f>
        <v>1088734996</v>
      </c>
      <c r="D110" t="str">
        <f t="shared" si="3"/>
        <v>https://centrodecapacitaciondelsur.com/humanizacion-1088734996/</v>
      </c>
    </row>
    <row r="111" spans="1:4" ht="63.75" customHeight="1" x14ac:dyDescent="0.25">
      <c r="A111" s="31" t="str">
        <f>INSCRITOS!N81</f>
        <v>VIOLENCIA SEXUAL</v>
      </c>
      <c r="B111" s="24" t="str">
        <f t="shared" si="2"/>
        <v>https://centrodecapacitaciondelsur.com/violencia-sexual-</v>
      </c>
      <c r="C111" s="31">
        <f>INSCRITOS!B81</f>
        <v>1088734996</v>
      </c>
      <c r="D111" t="str">
        <f t="shared" si="3"/>
        <v>https://centrodecapacitaciondelsur.com/violencia-sexual-1088734996/</v>
      </c>
    </row>
    <row r="112" spans="1:4" ht="63.75" customHeight="1" x14ac:dyDescent="0.25">
      <c r="A112" s="31" t="str">
        <f>INSCRITOS!N82</f>
        <v>QUIMICOS</v>
      </c>
      <c r="B112" s="24" t="str">
        <f t="shared" si="2"/>
        <v>https://centrodecapacitaciondelsur.com/victimas-por-agentes-quimicos-</v>
      </c>
      <c r="C112" s="31">
        <f>INSCRITOS!B82</f>
        <v>1088734996</v>
      </c>
      <c r="D112" t="str">
        <f t="shared" si="3"/>
        <v>https://centrodecapacitaciondelsur.com/victimas-por-agentes-quimicos-1088734996/</v>
      </c>
    </row>
    <row r="113" spans="1:4" ht="63.75" customHeight="1" x14ac:dyDescent="0.25">
      <c r="A113" s="31" t="str">
        <f>INSCRITOS!N83</f>
        <v>HUMANIZACION</v>
      </c>
      <c r="B113" s="24" t="str">
        <f t="shared" si="2"/>
        <v>https://centrodecapacitaciondelsur.com/humanizacion-</v>
      </c>
      <c r="C113" s="31">
        <f>INSCRITOS!B83</f>
        <v>1010017953</v>
      </c>
      <c r="D113" t="str">
        <f t="shared" si="3"/>
        <v>https://centrodecapacitaciondelsur.com/humanizacion-1010017953/</v>
      </c>
    </row>
    <row r="114" spans="1:4" ht="63.75" customHeight="1" x14ac:dyDescent="0.25">
      <c r="A114" s="31" t="str">
        <f>INSCRITOS!N84</f>
        <v>VIOLENCIA SEXUAL</v>
      </c>
      <c r="B114" s="24" t="str">
        <f t="shared" si="2"/>
        <v>https://centrodecapacitaciondelsur.com/violencia-sexual-</v>
      </c>
      <c r="C114" s="31">
        <f>INSCRITOS!B84</f>
        <v>59829140</v>
      </c>
      <c r="D114" t="str">
        <f t="shared" si="3"/>
        <v>https://centrodecapacitaciondelsur.com/violencia-sexual-59829140/</v>
      </c>
    </row>
    <row r="115" spans="1:4" ht="63.75" customHeight="1" x14ac:dyDescent="0.25">
      <c r="A115" s="31" t="str">
        <f>INSCRITOS!N85</f>
        <v>VIOLENCIA SEXUAL</v>
      </c>
      <c r="B115" s="24" t="str">
        <f t="shared" si="2"/>
        <v>https://centrodecapacitaciondelsur.com/violencia-sexual-</v>
      </c>
      <c r="C115" s="31">
        <f>INSCRITOS!B85</f>
        <v>1085343638</v>
      </c>
      <c r="D115" t="str">
        <f t="shared" si="3"/>
        <v>https://centrodecapacitaciondelsur.com/violencia-sexual-1085343638/</v>
      </c>
    </row>
    <row r="116" spans="1:4" ht="63.75" customHeight="1" x14ac:dyDescent="0.25">
      <c r="A116" s="31" t="str">
        <f>INSCRITOS!N86</f>
        <v>QUIMICOS</v>
      </c>
      <c r="B116" s="24" t="str">
        <f t="shared" si="2"/>
        <v>https://centrodecapacitaciondelsur.com/victimas-por-agentes-quimicos-</v>
      </c>
      <c r="C116" s="31">
        <f>INSCRITOS!B86</f>
        <v>1085257967</v>
      </c>
      <c r="D116" t="str">
        <f t="shared" si="3"/>
        <v>https://centrodecapacitaciondelsur.com/victimas-por-agentes-quimicos-1085257967/</v>
      </c>
    </row>
    <row r="117" spans="1:4" ht="63.75" customHeight="1" x14ac:dyDescent="0.25">
      <c r="A117" s="31" t="str">
        <f>INSCRITOS!N87</f>
        <v>VIOLENCIA SEXUAL</v>
      </c>
      <c r="B117" s="24" t="str">
        <f t="shared" si="2"/>
        <v>https://centrodecapacitaciondelsur.com/violencia-sexual-</v>
      </c>
      <c r="C117" s="31">
        <f>INSCRITOS!B87</f>
        <v>1085336875</v>
      </c>
      <c r="D117" t="str">
        <f t="shared" si="3"/>
        <v>https://centrodecapacitaciondelsur.com/violencia-sexual-1085336875/</v>
      </c>
    </row>
    <row r="118" spans="1:4" ht="63.75" customHeight="1" x14ac:dyDescent="0.25">
      <c r="A118" s="31" t="str">
        <f>INSCRITOS!N88</f>
        <v>QUIMICOS</v>
      </c>
      <c r="B118" s="24" t="str">
        <f t="shared" si="2"/>
        <v>https://centrodecapacitaciondelsur.com/victimas-por-agentes-quimicos-</v>
      </c>
      <c r="C118" s="31">
        <f>INSCRITOS!B88</f>
        <v>1086329474</v>
      </c>
      <c r="D118" t="str">
        <f t="shared" si="3"/>
        <v>https://centrodecapacitaciondelsur.com/victimas-por-agentes-quimicos-1086329474/</v>
      </c>
    </row>
    <row r="119" spans="1:4" ht="63.75" customHeight="1" x14ac:dyDescent="0.25">
      <c r="A119" s="31" t="str">
        <f>INSCRITOS!N89</f>
        <v>BLS</v>
      </c>
      <c r="B119" s="24" t="str">
        <f t="shared" si="2"/>
        <v>https://centrodecapacitaciondelsur.com/soporte-basico-de-vida-</v>
      </c>
      <c r="C119" s="31">
        <f>INSCRITOS!B89</f>
        <v>1086329474</v>
      </c>
      <c r="D119" t="str">
        <f t="shared" si="3"/>
        <v>https://centrodecapacitaciondelsur.com/soporte-basico-de-vida-1086329474/</v>
      </c>
    </row>
    <row r="120" spans="1:4" ht="63.75" customHeight="1" x14ac:dyDescent="0.25">
      <c r="A120" s="31" t="str">
        <f>INSCRITOS!N90</f>
        <v>BLS</v>
      </c>
      <c r="B120" s="24" t="str">
        <f t="shared" si="2"/>
        <v>https://centrodecapacitaciondelsur.com/soporte-basico-de-vida-</v>
      </c>
      <c r="C120" s="31">
        <f>INSCRITOS!B90</f>
        <v>1085319297</v>
      </c>
      <c r="D120" t="str">
        <f t="shared" si="3"/>
        <v>https://centrodecapacitaciondelsur.com/soporte-basico-de-vida-1085319297/</v>
      </c>
    </row>
    <row r="121" spans="1:4" ht="63.75" customHeight="1" x14ac:dyDescent="0.25">
      <c r="A121" s="31" t="str">
        <f>INSCRITOS!N91</f>
        <v>BLS</v>
      </c>
      <c r="B121" s="24" t="str">
        <f t="shared" si="2"/>
        <v>https://centrodecapacitaciondelsur.com/soporte-basico-de-vida-</v>
      </c>
      <c r="C121" s="31">
        <f>INSCRITOS!B91</f>
        <v>1085327449</v>
      </c>
      <c r="D121" t="str">
        <f t="shared" si="3"/>
        <v>https://centrodecapacitaciondelsur.com/soporte-basico-de-vida-1085327449/</v>
      </c>
    </row>
    <row r="122" spans="1:4" ht="63.75" customHeight="1" x14ac:dyDescent="0.25">
      <c r="A122" s="31" t="str">
        <f>INSCRITOS!N92</f>
        <v>VIOLENCIA SEXUAL</v>
      </c>
      <c r="B122" s="24" t="str">
        <f t="shared" si="2"/>
        <v>https://centrodecapacitaciondelsur.com/violencia-sexual-</v>
      </c>
      <c r="C122" s="31">
        <f>INSCRITOS!B92</f>
        <v>27091114</v>
      </c>
      <c r="D122" t="str">
        <f t="shared" si="3"/>
        <v>https://centrodecapacitaciondelsur.com/violencia-sexual-27091114/</v>
      </c>
    </row>
    <row r="123" spans="1:4" ht="63.75" customHeight="1" x14ac:dyDescent="0.25">
      <c r="A123" s="31" t="str">
        <f>INSCRITOS!N93</f>
        <v>BLS</v>
      </c>
      <c r="B123" s="24" t="str">
        <f t="shared" si="2"/>
        <v>https://centrodecapacitaciondelsur.com/soporte-basico-de-vida-</v>
      </c>
      <c r="C123" s="31">
        <f>INSCRITOS!B93</f>
        <v>1004234165</v>
      </c>
      <c r="D123" t="str">
        <f t="shared" si="3"/>
        <v>https://centrodecapacitaciondelsur.com/soporte-basico-de-vida-1004234165/</v>
      </c>
    </row>
    <row r="124" spans="1:4" ht="63.75" customHeight="1" x14ac:dyDescent="0.25">
      <c r="A124" s="31" t="str">
        <f>INSCRITOS!N94</f>
        <v>VIOLENCIA SEXUAL</v>
      </c>
      <c r="B124" s="24" t="str">
        <f t="shared" si="2"/>
        <v>https://centrodecapacitaciondelsur.com/violencia-sexual-</v>
      </c>
      <c r="C124" s="31">
        <f>INSCRITOS!B94</f>
        <v>1004234165</v>
      </c>
      <c r="D124" t="str">
        <f t="shared" si="3"/>
        <v>https://centrodecapacitaciondelsur.com/violencia-sexual-1004234165/</v>
      </c>
    </row>
    <row r="125" spans="1:4" ht="63.75" customHeight="1" x14ac:dyDescent="0.25">
      <c r="A125" s="31" t="str">
        <f>INSCRITOS!N95</f>
        <v>QUIMICOS</v>
      </c>
      <c r="B125" s="24" t="str">
        <f t="shared" si="2"/>
        <v>https://centrodecapacitaciondelsur.com/victimas-por-agentes-quimicos-</v>
      </c>
      <c r="C125" s="31">
        <f>INSCRITOS!B95</f>
        <v>1004234165</v>
      </c>
      <c r="D125" t="str">
        <f t="shared" si="3"/>
        <v>https://centrodecapacitaciondelsur.com/victimas-por-agentes-quimicos-1004234165/</v>
      </c>
    </row>
    <row r="126" spans="1:4" ht="63.75" customHeight="1" x14ac:dyDescent="0.25">
      <c r="A126" s="31" t="str">
        <f>INSCRITOS!N96</f>
        <v>DUELO</v>
      </c>
      <c r="B126" s="24" t="str">
        <f t="shared" si="2"/>
        <v>https://centrodecapacitaciondelsur.com/manejo-del-duelo-</v>
      </c>
      <c r="C126" s="31">
        <f>INSCRITOS!B96</f>
        <v>1004234165</v>
      </c>
      <c r="D126" t="str">
        <f t="shared" si="3"/>
        <v>https://centrodecapacitaciondelsur.com/manejo-del-duelo-1004234165/</v>
      </c>
    </row>
    <row r="127" spans="1:4" ht="63.75" customHeight="1" x14ac:dyDescent="0.25">
      <c r="A127" s="31" t="str">
        <f>INSCRITOS!N97</f>
        <v>VIOLENCIA SEXUAL</v>
      </c>
      <c r="B127" s="24" t="str">
        <f t="shared" si="2"/>
        <v>https://centrodecapacitaciondelsur.com/violencia-sexual-</v>
      </c>
      <c r="C127" s="31">
        <f>INSCRITOS!B97</f>
        <v>1085340664</v>
      </c>
      <c r="D127" t="str">
        <f t="shared" si="3"/>
        <v>https://centrodecapacitaciondelsur.com/violencia-sexual-1085340664/</v>
      </c>
    </row>
    <row r="128" spans="1:4" ht="63.75" customHeight="1" x14ac:dyDescent="0.25">
      <c r="A128" s="31" t="str">
        <f>INSCRITOS!N98</f>
        <v>DONANTE</v>
      </c>
      <c r="B128" s="24" t="str">
        <f t="shared" si="2"/>
        <v>https://centrodecapacitaciondelsur.com/donante-de-organos-</v>
      </c>
      <c r="C128" s="31">
        <f>INSCRITOS!B98</f>
        <v>1085340664</v>
      </c>
      <c r="D128" t="str">
        <f t="shared" si="3"/>
        <v>https://centrodecapacitaciondelsur.com/donante-de-organos-1085340664/</v>
      </c>
    </row>
    <row r="129" spans="1:4" ht="63.75" customHeight="1" x14ac:dyDescent="0.25">
      <c r="A129" s="31" t="str">
        <f>INSCRITOS!N99</f>
        <v>QUIMICOS</v>
      </c>
      <c r="B129" s="24" t="str">
        <f t="shared" si="2"/>
        <v>https://centrodecapacitaciondelsur.com/victimas-por-agentes-quimicos-</v>
      </c>
      <c r="C129" s="31">
        <f>INSCRITOS!B99</f>
        <v>1085256402</v>
      </c>
      <c r="D129" t="str">
        <f t="shared" si="3"/>
        <v>https://centrodecapacitaciondelsur.com/victimas-por-agentes-quimicos-1085256402/</v>
      </c>
    </row>
    <row r="130" spans="1:4" ht="63.75" customHeight="1" x14ac:dyDescent="0.25">
      <c r="A130" s="31" t="str">
        <f>INSCRITOS!N100</f>
        <v>BLS</v>
      </c>
      <c r="B130" s="24" t="str">
        <f t="shared" si="2"/>
        <v>https://centrodecapacitaciondelsur.com/soporte-basico-de-vida-</v>
      </c>
      <c r="C130" s="31">
        <f>INSCRITOS!B100</f>
        <v>1085296238</v>
      </c>
      <c r="D130" t="str">
        <f t="shared" si="3"/>
        <v>https://centrodecapacitaciondelsur.com/soporte-basico-de-vida-1085296238/</v>
      </c>
    </row>
    <row r="131" spans="1:4" ht="63.75" customHeight="1" x14ac:dyDescent="0.25">
      <c r="A131" s="31" t="str">
        <f>INSCRITOS!N101</f>
        <v>VIOLENCIA SEXUAL</v>
      </c>
      <c r="B131" s="24" t="str">
        <f t="shared" si="2"/>
        <v>https://centrodecapacitaciondelsur.com/violencia-sexual-</v>
      </c>
      <c r="C131" s="31">
        <f>INSCRITOS!B101</f>
        <v>1085296238</v>
      </c>
      <c r="D131" t="str">
        <f t="shared" si="3"/>
        <v>https://centrodecapacitaciondelsur.com/violencia-sexual-1085296238/</v>
      </c>
    </row>
    <row r="132" spans="1:4" ht="60" customHeight="1" x14ac:dyDescent="0.25">
      <c r="A132" s="31" t="str">
        <f>INSCRITOS!N102</f>
        <v>BLS</v>
      </c>
      <c r="B132" s="24" t="str">
        <f t="shared" si="2"/>
        <v>https://centrodecapacitaciondelsur.com/soporte-basico-de-vida-</v>
      </c>
      <c r="C132" s="31">
        <f>INSCRITOS!B102</f>
        <v>1085252149</v>
      </c>
      <c r="D132" t="str">
        <f t="shared" si="3"/>
        <v>https://centrodecapacitaciondelsur.com/soporte-basico-de-vida-1085252149/</v>
      </c>
    </row>
    <row r="133" spans="1:4" ht="60" customHeight="1" x14ac:dyDescent="0.25">
      <c r="A133" s="31" t="str">
        <f>INSCRITOS!N103</f>
        <v>VIOLENCIA SEXUAL</v>
      </c>
      <c r="B133" s="24" t="str">
        <f t="shared" si="2"/>
        <v>https://centrodecapacitaciondelsur.com/violencia-sexual-</v>
      </c>
      <c r="C133" s="31">
        <f>INSCRITOS!B103</f>
        <v>1085252149</v>
      </c>
      <c r="D133" t="str">
        <f t="shared" si="3"/>
        <v>https://centrodecapacitaciondelsur.com/violencia-sexual-1085252149/</v>
      </c>
    </row>
    <row r="134" spans="1:4" ht="60" customHeight="1" x14ac:dyDescent="0.25">
      <c r="A134" s="31" t="str">
        <f>INSCRITOS!N104</f>
        <v>BLS</v>
      </c>
      <c r="B134" s="24" t="str">
        <f t="shared" si="2"/>
        <v>https://centrodecapacitaciondelsur.com/soporte-basico-de-vida-</v>
      </c>
      <c r="C134" s="31">
        <f>INSCRITOS!B104</f>
        <v>1085315226</v>
      </c>
      <c r="D134" t="str">
        <f t="shared" si="3"/>
        <v>https://centrodecapacitaciondelsur.com/soporte-basico-de-vida-1085315226/</v>
      </c>
    </row>
    <row r="135" spans="1:4" ht="60" customHeight="1" x14ac:dyDescent="0.25">
      <c r="A135" s="31" t="str">
        <f>INSCRITOS!N105</f>
        <v>VIOLENCIA SEXUAL</v>
      </c>
      <c r="B135" s="24" t="str">
        <f t="shared" si="2"/>
        <v>https://centrodecapacitaciondelsur.com/violencia-sexual-</v>
      </c>
      <c r="C135" s="31">
        <f>INSCRITOS!B105</f>
        <v>1085315226</v>
      </c>
      <c r="D135" t="str">
        <f t="shared" si="3"/>
        <v>https://centrodecapacitaciondelsur.com/violencia-sexual-1085315226/</v>
      </c>
    </row>
    <row r="136" spans="1:4" ht="60" customHeight="1" x14ac:dyDescent="0.25">
      <c r="A136" s="31" t="str">
        <f>INSCRITOS!N106</f>
        <v>VIOLENCIA SEXUAL</v>
      </c>
      <c r="B136" s="24" t="str">
        <f t="shared" si="2"/>
        <v>https://centrodecapacitaciondelsur.com/violencia-sexual-</v>
      </c>
      <c r="C136" s="31">
        <f>INSCRITOS!B106</f>
        <v>1004235589</v>
      </c>
      <c r="D136" t="str">
        <f t="shared" si="3"/>
        <v>https://centrodecapacitaciondelsur.com/violencia-sexual-1004235589/</v>
      </c>
    </row>
    <row r="137" spans="1:4" ht="60" customHeight="1" x14ac:dyDescent="0.25">
      <c r="A137" s="31" t="str">
        <f>INSCRITOS!N107</f>
        <v>ACLS</v>
      </c>
      <c r="B137" s="24" t="str">
        <f t="shared" si="2"/>
        <v>https://centrodecapacitaciondelsur.com/soporte-cardiovascular-avanzado-</v>
      </c>
      <c r="C137" s="31">
        <f>INSCRITOS!B107</f>
        <v>1085289481</v>
      </c>
      <c r="D137" t="str">
        <f t="shared" si="3"/>
        <v>https://centrodecapacitaciondelsur.com/soporte-cardiovascular-avanzado-1085289481/</v>
      </c>
    </row>
    <row r="138" spans="1:4" ht="60" customHeight="1" x14ac:dyDescent="0.25">
      <c r="A138" s="31" t="str">
        <f>INSCRITOS!N108</f>
        <v>ACLS</v>
      </c>
      <c r="B138" s="24" t="str">
        <f t="shared" si="2"/>
        <v>https://centrodecapacitaciondelsur.com/soporte-cardiovascular-avanzado-</v>
      </c>
      <c r="C138" s="31">
        <f>INSCRITOS!B108</f>
        <v>10298939</v>
      </c>
      <c r="D138" t="str">
        <f t="shared" si="3"/>
        <v>https://centrodecapacitaciondelsur.com/soporte-cardiovascular-avanzado-10298939/</v>
      </c>
    </row>
    <row r="139" spans="1:4" ht="60" customHeight="1" x14ac:dyDescent="0.25">
      <c r="A139" s="31" t="str">
        <f>INSCRITOS!N109</f>
        <v>VIOLENCIA SEXUAL</v>
      </c>
      <c r="B139" s="24" t="str">
        <f t="shared" si="2"/>
        <v>https://centrodecapacitaciondelsur.com/violencia-sexual-</v>
      </c>
      <c r="C139" s="31">
        <f>INSCRITOS!B109</f>
        <v>1082748529</v>
      </c>
      <c r="D139" t="str">
        <f t="shared" si="3"/>
        <v>https://centrodecapacitaciondelsur.com/violencia-sexual-1082748529/</v>
      </c>
    </row>
    <row r="140" spans="1:4" ht="60" customHeight="1" x14ac:dyDescent="0.25">
      <c r="A140" s="31" t="str">
        <f>INSCRITOS!N110</f>
        <v>Duelo</v>
      </c>
      <c r="B140" s="24" t="str">
        <f t="shared" si="2"/>
        <v>https://centrodecapacitaciondelsur.com/manejo-del-duelo-</v>
      </c>
      <c r="C140" s="31">
        <f>INSCRITOS!B110</f>
        <v>1085266801</v>
      </c>
      <c r="D140" t="str">
        <f t="shared" si="3"/>
        <v>https://centrodecapacitaciondelsur.com/manejo-del-duelo-1085266801/</v>
      </c>
    </row>
    <row r="141" spans="1:4" ht="60" customHeight="1" x14ac:dyDescent="0.25">
      <c r="A141" s="31" t="str">
        <f>INSCRITOS!N111</f>
        <v>DUELO</v>
      </c>
      <c r="B141" s="24" t="str">
        <f t="shared" ref="B141:B174" si="4">IF(A141=$H$19,"https://centrodecapacitaciondelsur.com/o-v-e-",IF(A141=$H$2,"https://centrodecapacitaciondelsur.com/aph-",IF(A141=$H$3,"https://centrodecapacitaciondelsur.com/manejo-del-duelo-",IF(A141=$H$4,"https://centrodecapacitaciondelsur.com/victimas-por-agentes-quimicos-",IF(A141=$H$5,"https://centrodecapacitaciondelsur.com/primeros-auxilios-",IF(A141=$H$6,"https://centrodecapacitaciondelsur.com/uci-",IF(A141=$H$8,"https://centrodecapacitaciondelsur.com/humanizacion-",IF(A141=$H$11,"https://centrodecapacitaciondelsur.com/soporte-cardiovascular-avanzado-",IF(A141=$H$12,"https://centrodecapacitaciondelsur.com/camillero-",IF(A141=$H$13,"https://centrodecapacitaciondelsur.com/toma-de-muestras-y-lab-clinico-",IF(A141=$H$14,"https://centrodecapacitaciondelsur.com/soporte-basico-de-vida-",IF(A141=$H$15,"https://centrodecapacitaciondelsur.com/violencia-sexual-",IF(A141=$H$17,"https://centrodecapacitaciondelsur.com/aiepi-",IF(A141=$H$18,"https://centrodecapacitaciondelsur.com/adm-medicamentos-canalizacion-inyectologia-",IF(A141=$H$25,"https://centrodecapacitaciondelsur.com/manejo-del-dolor-y-cuidados-paliativos-",IF(A141=$H$26,"https://centrodecapacitaciondelsur.com/toma-de-muestras-y-lab-clinico-poct-",IF(A141=$H$27,"https://centrodecapacitaciondelsur.com/implante-subdermico-",IF(A141=$H$21,"https://centrodecapacitaciondelsur.com/donante-de-organos-",IF(A141=$H$30,"https://centrodecapacitaciondelsur.com/atencion-a-victimas-del-conflicto-armado-",IF(A141=$H$20,"https://centrodecapacitaciondelsur.com/iami-",IF(A141=$H$22,"https://centrodecapacitaciondelsur.com/violencia-de-genero-",IF(A141=$H$23,"https://centrodecapacitaciondelsur.com/igualdad-de-genero-",IF(A141=$H$16,"https://centrodecapacitaciondelsur.com/pai-",IF(A141=$H$31,"https://centrodecapacitaciondelsur.com/manipulacion-de-alimentos-"))))))))))))))))))))))))</f>
        <v>https://centrodecapacitaciondelsur.com/manejo-del-duelo-</v>
      </c>
      <c r="C141" s="31">
        <f>INSCRITOS!B111</f>
        <v>1085264067</v>
      </c>
      <c r="D141" t="str">
        <f t="shared" ref="D141:D174" si="5">CONCATENATE(B141,C141,"/")</f>
        <v>https://centrodecapacitaciondelsur.com/manejo-del-duelo-1085264067/</v>
      </c>
    </row>
    <row r="142" spans="1:4" ht="60" customHeight="1" x14ac:dyDescent="0.25">
      <c r="A142" s="31" t="str">
        <f>INSCRITOS!N112</f>
        <v>BLS</v>
      </c>
      <c r="B142" s="24" t="str">
        <f t="shared" si="4"/>
        <v>https://centrodecapacitaciondelsur.com/soporte-basico-de-vida-</v>
      </c>
      <c r="C142" s="31">
        <f>INSCRITOS!B112</f>
        <v>1085264067</v>
      </c>
      <c r="D142" t="str">
        <f t="shared" si="5"/>
        <v>https://centrodecapacitaciondelsur.com/soporte-basico-de-vida-1085264067/</v>
      </c>
    </row>
    <row r="143" spans="1:4" ht="60" customHeight="1" x14ac:dyDescent="0.25">
      <c r="A143" s="31" t="str">
        <f>INSCRITOS!N113</f>
        <v>PRIMEROS AUXILIOS</v>
      </c>
      <c r="B143" s="24" t="str">
        <f t="shared" si="4"/>
        <v>https://centrodecapacitaciondelsur.com/primeros-auxilios-</v>
      </c>
      <c r="C143" s="31">
        <f>INSCRITOS!B113</f>
        <v>1086549721</v>
      </c>
      <c r="D143" t="str">
        <f t="shared" si="5"/>
        <v>https://centrodecapacitaciondelsur.com/primeros-auxilios-1086549721/</v>
      </c>
    </row>
    <row r="144" spans="1:4" ht="60" customHeight="1" x14ac:dyDescent="0.25">
      <c r="A144" s="31" t="str">
        <f>INSCRITOS!N114</f>
        <v>PRIMEROS AUXILIOS</v>
      </c>
      <c r="B144" s="24" t="str">
        <f t="shared" si="4"/>
        <v>https://centrodecapacitaciondelsur.com/primeros-auxilios-</v>
      </c>
      <c r="C144" s="31">
        <f>INSCRITOS!B114</f>
        <v>87301581</v>
      </c>
      <c r="D144" t="str">
        <f t="shared" si="5"/>
        <v>https://centrodecapacitaciondelsur.com/primeros-auxilios-87301581/</v>
      </c>
    </row>
    <row r="145" spans="1:4" ht="60" customHeight="1" x14ac:dyDescent="0.25">
      <c r="A145" s="31" t="str">
        <f>INSCRITOS!N115</f>
        <v>ACLS</v>
      </c>
      <c r="B145" s="24" t="str">
        <f t="shared" si="4"/>
        <v>https://centrodecapacitaciondelsur.com/soporte-cardiovascular-avanzado-</v>
      </c>
      <c r="C145" s="31">
        <f>INSCRITOS!B115</f>
        <v>1087420541</v>
      </c>
      <c r="D145" t="str">
        <f t="shared" si="5"/>
        <v>https://centrodecapacitaciondelsur.com/soporte-cardiovascular-avanzado-1087420541/</v>
      </c>
    </row>
    <row r="146" spans="1:4" ht="60" customHeight="1" x14ac:dyDescent="0.25">
      <c r="A146" s="31" t="str">
        <f>INSCRITOS!N116</f>
        <v>ADMON DE MEDICAMENTOS</v>
      </c>
      <c r="B146" s="24" t="str">
        <f t="shared" si="4"/>
        <v>https://centrodecapacitaciondelsur.com/adm-medicamentos-canalizacion-inyectologia-</v>
      </c>
      <c r="C146" s="31">
        <f>INSCRITOS!B116</f>
        <v>1087420541</v>
      </c>
      <c r="D146" t="str">
        <f t="shared" si="5"/>
        <v>https://centrodecapacitaciondelsur.com/adm-medicamentos-canalizacion-inyectologia-1087420541/</v>
      </c>
    </row>
    <row r="147" spans="1:4" ht="60" customHeight="1" x14ac:dyDescent="0.25">
      <c r="A147" s="31" t="str">
        <f>INSCRITOS!N117</f>
        <v>ACLS</v>
      </c>
      <c r="B147" s="24" t="str">
        <f t="shared" si="4"/>
        <v>https://centrodecapacitaciondelsur.com/soporte-cardiovascular-avanzado-</v>
      </c>
      <c r="C147" s="31">
        <f>INSCRITOS!B117</f>
        <v>1085262853</v>
      </c>
      <c r="D147" t="str">
        <f t="shared" si="5"/>
        <v>https://centrodecapacitaciondelsur.com/soporte-cardiovascular-avanzado-1085262853/</v>
      </c>
    </row>
    <row r="148" spans="1:4" ht="60" customHeight="1" x14ac:dyDescent="0.25">
      <c r="A148" s="31" t="str">
        <f>INSCRITOS!N118</f>
        <v>ADMON DE MEDICAMENTOS</v>
      </c>
      <c r="B148" s="24" t="str">
        <f t="shared" si="4"/>
        <v>https://centrodecapacitaciondelsur.com/adm-medicamentos-canalizacion-inyectologia-</v>
      </c>
      <c r="C148" s="31">
        <f>INSCRITOS!B118</f>
        <v>1085262853</v>
      </c>
      <c r="D148" t="str">
        <f t="shared" si="5"/>
        <v>https://centrodecapacitaciondelsur.com/adm-medicamentos-canalizacion-inyectologia-1085262853/</v>
      </c>
    </row>
    <row r="149" spans="1:4" ht="60" customHeight="1" x14ac:dyDescent="0.25">
      <c r="A149" s="31" t="str">
        <f>INSCRITOS!N119</f>
        <v>IAMI</v>
      </c>
      <c r="B149" s="24" t="str">
        <f t="shared" si="4"/>
        <v>https://centrodecapacitaciondelsur.com/iami-</v>
      </c>
      <c r="C149" s="31">
        <f>INSCRITOS!B119</f>
        <v>36754905</v>
      </c>
      <c r="D149" t="str">
        <f t="shared" si="5"/>
        <v>https://centrodecapacitaciondelsur.com/iami-36754905/</v>
      </c>
    </row>
    <row r="150" spans="1:4" ht="60" customHeight="1" x14ac:dyDescent="0.25">
      <c r="A150" s="31" t="str">
        <f>INSCRITOS!N120</f>
        <v>AIEPI</v>
      </c>
      <c r="B150" s="24" t="str">
        <f t="shared" si="4"/>
        <v>https://centrodecapacitaciondelsur.com/aiepi-</v>
      </c>
      <c r="C150" s="31">
        <f>INSCRITOS!B120</f>
        <v>36754905</v>
      </c>
      <c r="D150" t="str">
        <f t="shared" si="5"/>
        <v>https://centrodecapacitaciondelsur.com/aiepi-36754905/</v>
      </c>
    </row>
    <row r="151" spans="1:4" ht="60" customHeight="1" x14ac:dyDescent="0.25">
      <c r="A151" s="31" t="e">
        <f>INSCRITOS!#REF!</f>
        <v>#REF!</v>
      </c>
      <c r="B151" s="24" t="e">
        <f t="shared" si="4"/>
        <v>#REF!</v>
      </c>
      <c r="C151" s="31" t="e">
        <f>INSCRITOS!#REF!</f>
        <v>#REF!</v>
      </c>
      <c r="D151" t="e">
        <f t="shared" si="5"/>
        <v>#REF!</v>
      </c>
    </row>
    <row r="152" spans="1:4" ht="60" customHeight="1" x14ac:dyDescent="0.25">
      <c r="A152" s="31" t="str">
        <f>INSCRITOS!N121</f>
        <v>BLS</v>
      </c>
      <c r="B152" s="24" t="str">
        <f t="shared" si="4"/>
        <v>https://centrodecapacitaciondelsur.com/soporte-basico-de-vida-</v>
      </c>
      <c r="C152" s="31">
        <f>INSCRITOS!B121</f>
        <v>1086549721</v>
      </c>
      <c r="D152" t="str">
        <f t="shared" si="5"/>
        <v>https://centrodecapacitaciondelsur.com/soporte-basico-de-vida-1086549721/</v>
      </c>
    </row>
    <row r="153" spans="1:4" ht="60" customHeight="1" x14ac:dyDescent="0.25">
      <c r="A153" s="31" t="str">
        <f>INSCRITOS!N122</f>
        <v>BLS</v>
      </c>
      <c r="B153" s="24" t="str">
        <f t="shared" si="4"/>
        <v>https://centrodecapacitaciondelsur.com/soporte-basico-de-vida-</v>
      </c>
      <c r="C153" s="31">
        <f>INSCRITOS!B122</f>
        <v>87301581</v>
      </c>
      <c r="D153" t="str">
        <f t="shared" si="5"/>
        <v>https://centrodecapacitaciondelsur.com/soporte-basico-de-vida-87301581/</v>
      </c>
    </row>
    <row r="154" spans="1:4" ht="60" customHeight="1" x14ac:dyDescent="0.25">
      <c r="A154" s="31" t="str">
        <f>INSCRITOS!N123</f>
        <v>BLS</v>
      </c>
      <c r="B154" s="24" t="str">
        <f t="shared" si="4"/>
        <v>https://centrodecapacitaciondelsur.com/soporte-basico-de-vida-</v>
      </c>
      <c r="C154" s="31">
        <f>INSCRITOS!B123</f>
        <v>59312855</v>
      </c>
      <c r="D154" t="str">
        <f t="shared" si="5"/>
        <v>https://centrodecapacitaciondelsur.com/soporte-basico-de-vida-59312855/</v>
      </c>
    </row>
    <row r="155" spans="1:4" ht="60" customHeight="1" x14ac:dyDescent="0.25">
      <c r="A155" s="31" t="str">
        <f>INSCRITOS!N124</f>
        <v>HUMANIZACION</v>
      </c>
      <c r="B155" s="24" t="str">
        <f t="shared" si="4"/>
        <v>https://centrodecapacitaciondelsur.com/humanizacion-</v>
      </c>
      <c r="C155" s="31">
        <f>INSCRITOS!B124</f>
        <v>59312855</v>
      </c>
      <c r="D155" t="str">
        <f t="shared" si="5"/>
        <v>https://centrodecapacitaciondelsur.com/humanizacion-59312855/</v>
      </c>
    </row>
    <row r="156" spans="1:4" ht="60" customHeight="1" x14ac:dyDescent="0.25">
      <c r="A156" s="31" t="str">
        <f>INSCRITOS!N125</f>
        <v>DUELO</v>
      </c>
      <c r="B156" s="24" t="str">
        <f t="shared" si="4"/>
        <v>https://centrodecapacitaciondelsur.com/manejo-del-duelo-</v>
      </c>
      <c r="C156" s="31">
        <f>INSCRITOS!B125</f>
        <v>59312855</v>
      </c>
      <c r="D156" t="str">
        <f t="shared" si="5"/>
        <v>https://centrodecapacitaciondelsur.com/manejo-del-duelo-59312855/</v>
      </c>
    </row>
    <row r="157" spans="1:4" ht="60" customHeight="1" x14ac:dyDescent="0.25">
      <c r="A157" s="31" t="str">
        <f>INSCRITOS!N126</f>
        <v>QUIMICOS</v>
      </c>
      <c r="B157" s="24" t="str">
        <f t="shared" si="4"/>
        <v>https://centrodecapacitaciondelsur.com/victimas-por-agentes-quimicos-</v>
      </c>
      <c r="C157" s="31">
        <f>INSCRITOS!B126</f>
        <v>59312855</v>
      </c>
      <c r="D157" t="str">
        <f t="shared" si="5"/>
        <v>https://centrodecapacitaciondelsur.com/victimas-por-agentes-quimicos-59312855/</v>
      </c>
    </row>
    <row r="158" spans="1:4" ht="60" customHeight="1" x14ac:dyDescent="0.25">
      <c r="A158" s="31" t="str">
        <f>INSCRITOS!N127</f>
        <v>VIOLENCIA SEXUAL</v>
      </c>
      <c r="B158" s="24" t="str">
        <f t="shared" si="4"/>
        <v>https://centrodecapacitaciondelsur.com/violencia-sexual-</v>
      </c>
      <c r="C158" s="31">
        <f>INSCRITOS!B127</f>
        <v>59312855</v>
      </c>
      <c r="D158" t="str">
        <f t="shared" si="5"/>
        <v>https://centrodecapacitaciondelsur.com/violencia-sexual-59312855/</v>
      </c>
    </row>
    <row r="159" spans="1:4" ht="60" customHeight="1" x14ac:dyDescent="0.25">
      <c r="A159" s="31" t="str">
        <f>INSCRITOS!N128</f>
        <v>PALIATIVOS</v>
      </c>
      <c r="B159" s="24" t="str">
        <f t="shared" si="4"/>
        <v>https://centrodecapacitaciondelsur.com/manejo-del-dolor-y-cuidados-paliativos-</v>
      </c>
      <c r="C159" s="31">
        <f>INSCRITOS!B128</f>
        <v>59312855</v>
      </c>
      <c r="D159" t="str">
        <f t="shared" si="5"/>
        <v>https://centrodecapacitaciondelsur.com/manejo-del-dolor-y-cuidados-paliativos-59312855/</v>
      </c>
    </row>
    <row r="160" spans="1:4" ht="60" customHeight="1" x14ac:dyDescent="0.25">
      <c r="A160" s="31" t="str">
        <f>INSCRITOS!N129</f>
        <v>ADMON DE MEDICAMENTOS</v>
      </c>
      <c r="B160" s="24" t="str">
        <f t="shared" si="4"/>
        <v>https://centrodecapacitaciondelsur.com/adm-medicamentos-canalizacion-inyectologia-</v>
      </c>
      <c r="C160" s="31">
        <f>INSCRITOS!B129</f>
        <v>59312855</v>
      </c>
      <c r="D160" t="str">
        <f t="shared" si="5"/>
        <v>https://centrodecapacitaciondelsur.com/adm-medicamentos-canalizacion-inyectologia-59312855/</v>
      </c>
    </row>
    <row r="161" spans="1:4" ht="60" customHeight="1" x14ac:dyDescent="0.25">
      <c r="A161" s="31" t="str">
        <f>INSCRITOS!N130</f>
        <v>TOMA DE MUESTRAS</v>
      </c>
      <c r="B161" s="24" t="str">
        <f t="shared" si="4"/>
        <v>https://centrodecapacitaciondelsur.com/toma-de-muestras-y-lab-clinico-</v>
      </c>
      <c r="C161" s="31">
        <f>INSCRITOS!B130</f>
        <v>59312855</v>
      </c>
      <c r="D161" t="str">
        <f t="shared" si="5"/>
        <v>https://centrodecapacitaciondelsur.com/toma-de-muestras-y-lab-clinico-59312855/</v>
      </c>
    </row>
    <row r="162" spans="1:4" ht="60" customHeight="1" x14ac:dyDescent="0.25">
      <c r="A162" s="31" t="str">
        <f>INSCRITOS!N131</f>
        <v>VIOLENCIA SEXUAL</v>
      </c>
      <c r="B162" s="24" t="str">
        <f t="shared" si="4"/>
        <v>https://centrodecapacitaciondelsur.com/violencia-sexual-</v>
      </c>
      <c r="C162" s="31">
        <f>INSCRITOS!B131</f>
        <v>1085339035</v>
      </c>
      <c r="D162" t="str">
        <f t="shared" si="5"/>
        <v>https://centrodecapacitaciondelsur.com/violencia-sexual-1085339035/</v>
      </c>
    </row>
    <row r="163" spans="1:4" ht="60" customHeight="1" x14ac:dyDescent="0.25">
      <c r="A163" s="31" t="str">
        <f>INSCRITOS!N132</f>
        <v>QUIMICOS</v>
      </c>
      <c r="B163" s="24" t="str">
        <f t="shared" si="4"/>
        <v>https://centrodecapacitaciondelsur.com/victimas-por-agentes-quimicos-</v>
      </c>
      <c r="C163" s="31">
        <f>INSCRITOS!B132</f>
        <v>1085339035</v>
      </c>
      <c r="D163" t="str">
        <f t="shared" si="5"/>
        <v>https://centrodecapacitaciondelsur.com/victimas-por-agentes-quimicos-1085339035/</v>
      </c>
    </row>
    <row r="164" spans="1:4" ht="60" customHeight="1" x14ac:dyDescent="0.25">
      <c r="A164" s="31" t="str">
        <f>INSCRITOS!N133</f>
        <v>VIOLENCIA SEXUAL</v>
      </c>
      <c r="B164" s="24" t="str">
        <f t="shared" si="4"/>
        <v>https://centrodecapacitaciondelsur.com/violencia-sexual-</v>
      </c>
      <c r="C164" s="31">
        <f>INSCRITOS!B133</f>
        <v>36759646</v>
      </c>
      <c r="D164" t="str">
        <f t="shared" si="5"/>
        <v>https://centrodecapacitaciondelsur.com/violencia-sexual-36759646/</v>
      </c>
    </row>
    <row r="165" spans="1:4" ht="60" customHeight="1" x14ac:dyDescent="0.25">
      <c r="A165" s="31" t="str">
        <f>INSCRITOS!N134</f>
        <v>IAMI</v>
      </c>
      <c r="B165" s="24" t="str">
        <f t="shared" si="4"/>
        <v>https://centrodecapacitaciondelsur.com/iami-</v>
      </c>
      <c r="C165" s="31">
        <f>INSCRITOS!B134</f>
        <v>36759646</v>
      </c>
      <c r="D165" t="str">
        <f t="shared" si="5"/>
        <v>https://centrodecapacitaciondelsur.com/iami-36759646/</v>
      </c>
    </row>
    <row r="166" spans="1:4" ht="60" customHeight="1" x14ac:dyDescent="0.25">
      <c r="A166" s="31" t="str">
        <f>INSCRITOS!N135</f>
        <v>AIEPI</v>
      </c>
      <c r="B166" s="24" t="str">
        <f t="shared" si="4"/>
        <v>https://centrodecapacitaciondelsur.com/aiepi-</v>
      </c>
      <c r="C166" s="31">
        <f>INSCRITOS!B135</f>
        <v>36759646</v>
      </c>
      <c r="D166" t="str">
        <f t="shared" si="5"/>
        <v>https://centrodecapacitaciondelsur.com/aiepi-36759646/</v>
      </c>
    </row>
    <row r="167" spans="1:4" ht="60" customHeight="1" x14ac:dyDescent="0.25">
      <c r="A167" s="31" t="str">
        <f>INSCRITOS!N136</f>
        <v>BLS</v>
      </c>
      <c r="B167" s="24" t="str">
        <f t="shared" si="4"/>
        <v>https://centrodecapacitaciondelsur.com/soporte-basico-de-vida-</v>
      </c>
      <c r="C167" s="31">
        <f>INSCRITOS!B136</f>
        <v>98396842</v>
      </c>
      <c r="D167" t="str">
        <f t="shared" si="5"/>
        <v>https://centrodecapacitaciondelsur.com/soporte-basico-de-vida-98396842/</v>
      </c>
    </row>
    <row r="168" spans="1:4" ht="60" customHeight="1" x14ac:dyDescent="0.25">
      <c r="A168" s="31" t="str">
        <f>INSCRITOS!N137</f>
        <v>PRIMEROS AUXILIOS</v>
      </c>
      <c r="B168" s="24" t="str">
        <f t="shared" si="4"/>
        <v>https://centrodecapacitaciondelsur.com/primeros-auxilios-</v>
      </c>
      <c r="C168" s="31">
        <f>INSCRITOS!B137</f>
        <v>98396842</v>
      </c>
      <c r="D168" t="str">
        <f t="shared" si="5"/>
        <v>https://centrodecapacitaciondelsur.com/primeros-auxilios-98396842/</v>
      </c>
    </row>
    <row r="169" spans="1:4" ht="60" customHeight="1" x14ac:dyDescent="0.25">
      <c r="A169" s="31" t="str">
        <f>INSCRITOS!N138</f>
        <v>TOMA DE MUESTRAS</v>
      </c>
      <c r="B169" s="24" t="str">
        <f t="shared" si="4"/>
        <v>https://centrodecapacitaciondelsur.com/toma-de-muestras-y-lab-clinico-</v>
      </c>
      <c r="C169" s="31">
        <f>INSCRITOS!B138</f>
        <v>1193133703</v>
      </c>
      <c r="D169" t="str">
        <f t="shared" si="5"/>
        <v>https://centrodecapacitaciondelsur.com/toma-de-muestras-y-lab-clinico-1193133703/</v>
      </c>
    </row>
    <row r="170" spans="1:4" ht="60" customHeight="1" x14ac:dyDescent="0.25">
      <c r="A170" s="31" t="str">
        <f>INSCRITOS!N139</f>
        <v>PALIATIVOS</v>
      </c>
      <c r="B170" s="24" t="str">
        <f t="shared" si="4"/>
        <v>https://centrodecapacitaciondelsur.com/manejo-del-dolor-y-cuidados-paliativos-</v>
      </c>
      <c r="C170" s="31">
        <f>INSCRITOS!B139</f>
        <v>36751873</v>
      </c>
      <c r="D170" t="str">
        <f t="shared" si="5"/>
        <v>https://centrodecapacitaciondelsur.com/manejo-del-dolor-y-cuidados-paliativos-36751873/</v>
      </c>
    </row>
    <row r="171" spans="1:4" ht="60" customHeight="1" x14ac:dyDescent="0.25">
      <c r="A171" s="31" t="str">
        <f>INSCRITOS!N140</f>
        <v>OVE</v>
      </c>
      <c r="B171" s="24" t="str">
        <f t="shared" si="4"/>
        <v>https://centrodecapacitaciondelsur.com/o-v-e-</v>
      </c>
      <c r="C171" s="31">
        <f>INSCRITOS!B140</f>
        <v>1007301546</v>
      </c>
      <c r="D171" t="str">
        <f t="shared" si="5"/>
        <v>https://centrodecapacitaciondelsur.com/o-v-e-1007301546/</v>
      </c>
    </row>
    <row r="172" spans="1:4" ht="60" customHeight="1" x14ac:dyDescent="0.25">
      <c r="A172" s="31" t="str">
        <f>INSCRITOS!N141</f>
        <v>Plan Decenal de Lactancia Materna y Alimentación complementaria</v>
      </c>
      <c r="B172" s="24" t="b">
        <f t="shared" si="4"/>
        <v>0</v>
      </c>
      <c r="C172" s="31">
        <f>INSCRITOS!B141</f>
        <v>1053866321</v>
      </c>
      <c r="D172" t="str">
        <f t="shared" si="5"/>
        <v>FALSO1053866321/</v>
      </c>
    </row>
    <row r="173" spans="1:4" ht="60" customHeight="1" x14ac:dyDescent="0.25">
      <c r="A173" s="31" t="str">
        <f>INSCRITOS!N142</f>
        <v>Atencion a Personas Con Discapacidad</v>
      </c>
      <c r="B173" s="24" t="b">
        <f t="shared" si="4"/>
        <v>0</v>
      </c>
      <c r="C173" s="31">
        <f>INSCRITOS!B142</f>
        <v>1053866321</v>
      </c>
      <c r="D173" t="str">
        <f t="shared" si="5"/>
        <v>FALSO1053866321/</v>
      </c>
    </row>
    <row r="174" spans="1:4" ht="60" customHeight="1" x14ac:dyDescent="0.25">
      <c r="A174" s="31" t="str">
        <f>INSCRITOS!N143</f>
        <v>VIOLENCIA SEXUAL</v>
      </c>
      <c r="B174" s="24" t="str">
        <f t="shared" si="4"/>
        <v>https://centrodecapacitaciondelsur.com/violencia-sexual-</v>
      </c>
      <c r="C174" s="31">
        <f>INSCRITOS!B143</f>
        <v>1087112630</v>
      </c>
      <c r="D174" t="str">
        <f t="shared" si="5"/>
        <v>https://centrodecapacitaciondelsur.com/violencia-sexual-1087112630/</v>
      </c>
    </row>
    <row r="175" spans="1:4" ht="60" customHeight="1" x14ac:dyDescent="0.25">
      <c r="A175" s="31" t="str">
        <f>INSCRITOS!N144</f>
        <v>DUELO</v>
      </c>
      <c r="B175" s="24" t="str">
        <f t="shared" ref="B175:B238" si="6">IF(A175=$H$19,"https://centrodecapacitaciondelsur.com/o-v-e-",IF(A175=$H$2,"https://centrodecapacitaciondelsur.com/aph-",IF(A175=$H$3,"https://centrodecapacitaciondelsur.com/manejo-del-duelo-",IF(A175=$H$4,"https://centrodecapacitaciondelsur.com/victimas-por-agentes-quimicos-",IF(A175=$H$5,"https://centrodecapacitaciondelsur.com/primeros-auxilios-",IF(A175=$H$6,"https://centrodecapacitaciondelsur.com/uci-",IF(A175=$H$8,"https://centrodecapacitaciondelsur.com/humanizacion-",IF(A175=$H$11,"https://centrodecapacitaciondelsur.com/soporte-cardiovascular-avanzado-",IF(A175=$H$12,"https://centrodecapacitaciondelsur.com/camillero-",IF(A175=$H$13,"https://centrodecapacitaciondelsur.com/toma-de-muestras-y-lab-clinico-",IF(A175=$H$14,"https://centrodecapacitaciondelsur.com/soporte-basico-de-vida-",IF(A175=$H$15,"https://centrodecapacitaciondelsur.com/violencia-sexual-",IF(A175=$H$17,"https://centrodecapacitaciondelsur.com/aiepi-",IF(A175=$H$18,"https://centrodecapacitaciondelsur.com/adm-medicamentos-canalizacion-inyectologia-",IF(A175=$H$25,"https://centrodecapacitaciondelsur.com/manejo-del-dolor-y-cuidados-paliativos-",IF(A175=$H$26,"https://centrodecapacitaciondelsur.com/toma-de-muestras-y-lab-clinico-poct-",IF(A175=$H$27,"https://centrodecapacitaciondelsur.com/implante-subdermico-",IF(A175=$H$21,"https://centrodecapacitaciondelsur.com/donante-de-organos-",IF(A175=$H$30,"https://centrodecapacitaciondelsur.com/atencion-a-victimas-del-conflicto-armado-",IF(A175=$H$20,"https://centrodecapacitaciondelsur.com/iami-",IF(A175=$H$22,"https://centrodecapacitaciondelsur.com/violencia-de-genero-",IF(A175=$H$23,"https://centrodecapacitaciondelsur.com/igualdad-de-genero-",IF(A175=$H$16,"https://centrodecapacitaciondelsur.com/pai-",IF(A175=$H$31,"https://centrodecapacitaciondelsur.com/manipulacion-de-alimentos-"))))))))))))))))))))))))</f>
        <v>https://centrodecapacitaciondelsur.com/manejo-del-duelo-</v>
      </c>
      <c r="C175" s="31">
        <f>INSCRITOS!B144</f>
        <v>1087112630</v>
      </c>
      <c r="D175" t="str">
        <f t="shared" ref="D175:D238" si="7">CONCATENATE(B175,C175,"/")</f>
        <v>https://centrodecapacitaciondelsur.com/manejo-del-duelo-1087112630/</v>
      </c>
    </row>
    <row r="176" spans="1:4" ht="60" customHeight="1" x14ac:dyDescent="0.25">
      <c r="A176" s="31" t="str">
        <f>INSCRITOS!N145</f>
        <v>AIEPI</v>
      </c>
      <c r="B176" s="24" t="str">
        <f t="shared" si="6"/>
        <v>https://centrodecapacitaciondelsur.com/aiepi-</v>
      </c>
      <c r="C176" s="31">
        <f>INSCRITOS!B145</f>
        <v>1087112630</v>
      </c>
      <c r="D176" t="str">
        <f t="shared" si="7"/>
        <v>https://centrodecapacitaciondelsur.com/aiepi-1087112630/</v>
      </c>
    </row>
    <row r="177" spans="1:4" ht="60" customHeight="1" x14ac:dyDescent="0.25">
      <c r="A177" s="31" t="str">
        <f>INSCRITOS!N146</f>
        <v>IAMI</v>
      </c>
      <c r="B177" s="24" t="str">
        <f t="shared" si="6"/>
        <v>https://centrodecapacitaciondelsur.com/iami-</v>
      </c>
      <c r="C177" s="31">
        <f>INSCRITOS!B146</f>
        <v>1087112630</v>
      </c>
      <c r="D177" t="str">
        <f t="shared" si="7"/>
        <v>https://centrodecapacitaciondelsur.com/iami-1087112630/</v>
      </c>
    </row>
    <row r="178" spans="1:4" ht="60" customHeight="1" x14ac:dyDescent="0.25">
      <c r="A178" s="31" t="str">
        <f>INSCRITOS!N147</f>
        <v>BLS</v>
      </c>
      <c r="B178" s="24" t="str">
        <f t="shared" si="6"/>
        <v>https://centrodecapacitaciondelsur.com/soporte-basico-de-vida-</v>
      </c>
      <c r="C178" s="31">
        <f>INSCRITOS!B147</f>
        <v>1087112630</v>
      </c>
      <c r="D178" t="str">
        <f t="shared" si="7"/>
        <v>https://centrodecapacitaciondelsur.com/soporte-basico-de-vida-1087112630/</v>
      </c>
    </row>
    <row r="179" spans="1:4" ht="60" customHeight="1" x14ac:dyDescent="0.25">
      <c r="A179" s="31" t="str">
        <f>INSCRITOS!N148</f>
        <v>TRIAGE</v>
      </c>
      <c r="B179" s="24" t="s">
        <v>484</v>
      </c>
      <c r="C179" s="31">
        <f>INSCRITOS!B148</f>
        <v>1087112630</v>
      </c>
      <c r="D179" t="str">
        <f t="shared" si="7"/>
        <v>https://centrodecapacitaciondelsur.com/triage-1087112630/</v>
      </c>
    </row>
    <row r="180" spans="1:4" ht="60" customHeight="1" x14ac:dyDescent="0.25">
      <c r="A180" s="31" t="str">
        <f>INSCRITOS!N149</f>
        <v>HUMANIZACION</v>
      </c>
      <c r="B180" s="24" t="str">
        <f t="shared" si="6"/>
        <v>https://centrodecapacitaciondelsur.com/humanizacion-</v>
      </c>
      <c r="C180" s="31">
        <f>INSCRITOS!B149</f>
        <v>98394398</v>
      </c>
      <c r="D180" t="str">
        <f t="shared" si="7"/>
        <v>https://centrodecapacitaciondelsur.com/humanizacion-98394398/</v>
      </c>
    </row>
    <row r="181" spans="1:4" ht="60" customHeight="1" x14ac:dyDescent="0.25">
      <c r="A181" s="31" t="str">
        <f>INSCRITOS!N150</f>
        <v>BLS</v>
      </c>
      <c r="B181" s="24" t="str">
        <f t="shared" si="6"/>
        <v>https://centrodecapacitaciondelsur.com/soporte-basico-de-vida-</v>
      </c>
      <c r="C181" s="31">
        <f>INSCRITOS!B150</f>
        <v>36753433</v>
      </c>
      <c r="D181" t="str">
        <f t="shared" si="7"/>
        <v>https://centrodecapacitaciondelsur.com/soporte-basico-de-vida-36753433/</v>
      </c>
    </row>
    <row r="182" spans="1:4" ht="60" customHeight="1" x14ac:dyDescent="0.25">
      <c r="A182" s="31" t="str">
        <f>INSCRITOS!N151</f>
        <v>VIOLENCIA SEXUAL</v>
      </c>
      <c r="B182" s="24" t="str">
        <f t="shared" si="6"/>
        <v>https://centrodecapacitaciondelsur.com/violencia-sexual-</v>
      </c>
      <c r="C182" s="31">
        <f>INSCRITOS!B151</f>
        <v>36753433</v>
      </c>
      <c r="D182" t="str">
        <f t="shared" si="7"/>
        <v>https://centrodecapacitaciondelsur.com/violencia-sexual-36753433/</v>
      </c>
    </row>
    <row r="183" spans="1:4" ht="60" customHeight="1" x14ac:dyDescent="0.25">
      <c r="A183" s="31" t="str">
        <f>INSCRITOS!N152</f>
        <v>HUMANIZACION</v>
      </c>
      <c r="B183" s="24" t="str">
        <f t="shared" si="6"/>
        <v>https://centrodecapacitaciondelsur.com/humanizacion-</v>
      </c>
      <c r="C183" s="31">
        <f>INSCRITOS!B152</f>
        <v>1085273942</v>
      </c>
      <c r="D183" t="str">
        <f t="shared" si="7"/>
        <v>https://centrodecapacitaciondelsur.com/humanizacion-1085273942/</v>
      </c>
    </row>
    <row r="184" spans="1:4" ht="60" customHeight="1" x14ac:dyDescent="0.25">
      <c r="A184" s="31" t="str">
        <f>INSCRITOS!N153</f>
        <v>Duelo</v>
      </c>
      <c r="B184" s="24" t="str">
        <f t="shared" si="6"/>
        <v>https://centrodecapacitaciondelsur.com/manejo-del-duelo-</v>
      </c>
      <c r="C184" s="31">
        <f>INSCRITOS!B153</f>
        <v>1085273942</v>
      </c>
      <c r="D184" t="str">
        <f t="shared" si="7"/>
        <v>https://centrodecapacitaciondelsur.com/manejo-del-duelo-1085273942/</v>
      </c>
    </row>
    <row r="185" spans="1:4" ht="60" customHeight="1" x14ac:dyDescent="0.25">
      <c r="A185" s="31" t="str">
        <f>INSCRITOS!N154</f>
        <v>ACLS</v>
      </c>
      <c r="B185" s="24" t="str">
        <f t="shared" si="6"/>
        <v>https://centrodecapacitaciondelsur.com/soporte-cardiovascular-avanzado-</v>
      </c>
      <c r="C185" s="31">
        <f>INSCRITOS!B154</f>
        <v>30729017</v>
      </c>
      <c r="D185" t="str">
        <f t="shared" si="7"/>
        <v>https://centrodecapacitaciondelsur.com/soporte-cardiovascular-avanzado-30729017/</v>
      </c>
    </row>
    <row r="186" spans="1:4" ht="60" customHeight="1" x14ac:dyDescent="0.25">
      <c r="A186" s="31" t="str">
        <f>INSCRITOS!N155</f>
        <v>VIOLENCIA SEXUAL</v>
      </c>
      <c r="B186" s="24" t="str">
        <f t="shared" si="6"/>
        <v>https://centrodecapacitaciondelsur.com/violencia-sexual-</v>
      </c>
      <c r="C186" s="31">
        <f>INSCRITOS!B155</f>
        <v>30729017</v>
      </c>
      <c r="D186" t="str">
        <f t="shared" si="7"/>
        <v>https://centrodecapacitaciondelsur.com/violencia-sexual-30729017/</v>
      </c>
    </row>
    <row r="187" spans="1:4" ht="60" customHeight="1" x14ac:dyDescent="0.25">
      <c r="A187" s="31" t="str">
        <f>INSCRITOS!N156</f>
        <v>QUIMICOS</v>
      </c>
      <c r="B187" s="24" t="str">
        <f t="shared" si="6"/>
        <v>https://centrodecapacitaciondelsur.com/victimas-por-agentes-quimicos-</v>
      </c>
      <c r="C187" s="31">
        <f>INSCRITOS!B156</f>
        <v>30729017</v>
      </c>
      <c r="D187" t="str">
        <f t="shared" si="7"/>
        <v>https://centrodecapacitaciondelsur.com/victimas-por-agentes-quimicos-30729017/</v>
      </c>
    </row>
    <row r="188" spans="1:4" ht="60" customHeight="1" x14ac:dyDescent="0.25">
      <c r="A188" s="31" t="str">
        <f>INSCRITOS!N157</f>
        <v>HUMANIZACION</v>
      </c>
      <c r="B188" s="24" t="str">
        <f t="shared" si="6"/>
        <v>https://centrodecapacitaciondelsur.com/humanizacion-</v>
      </c>
      <c r="C188" s="31">
        <f>INSCRITOS!B157</f>
        <v>30729017</v>
      </c>
      <c r="D188" t="str">
        <f t="shared" si="7"/>
        <v>https://centrodecapacitaciondelsur.com/humanizacion-30729017/</v>
      </c>
    </row>
    <row r="189" spans="1:4" ht="60" customHeight="1" x14ac:dyDescent="0.25">
      <c r="A189" s="31" t="str">
        <f>INSCRITOS!N158</f>
        <v>QUIMICOS</v>
      </c>
      <c r="B189" s="24" t="str">
        <f t="shared" si="6"/>
        <v>https://centrodecapacitaciondelsur.com/victimas-por-agentes-quimicos-</v>
      </c>
      <c r="C189" s="31">
        <f>INSCRITOS!B158</f>
        <v>1007301546</v>
      </c>
      <c r="D189" t="str">
        <f t="shared" si="7"/>
        <v>https://centrodecapacitaciondelsur.com/victimas-por-agentes-quimicos-1007301546/</v>
      </c>
    </row>
    <row r="190" spans="1:4" ht="60" customHeight="1" x14ac:dyDescent="0.25">
      <c r="A190" s="31" t="str">
        <f>INSCRITOS!N159</f>
        <v>Duelo</v>
      </c>
      <c r="B190" s="24" t="str">
        <f t="shared" si="6"/>
        <v>https://centrodecapacitaciondelsur.com/manejo-del-duelo-</v>
      </c>
      <c r="C190" s="31">
        <f>INSCRITOS!B159</f>
        <v>1007301546</v>
      </c>
      <c r="D190" t="str">
        <f t="shared" si="7"/>
        <v>https://centrodecapacitaciondelsur.com/manejo-del-duelo-1007301546/</v>
      </c>
    </row>
    <row r="191" spans="1:4" ht="60" customHeight="1" x14ac:dyDescent="0.25">
      <c r="A191" s="31" t="str">
        <f>INSCRITOS!N160</f>
        <v>VIOLENCIA SEXUAL</v>
      </c>
      <c r="B191" s="24" t="str">
        <f t="shared" si="6"/>
        <v>https://centrodecapacitaciondelsur.com/violencia-sexual-</v>
      </c>
      <c r="C191" s="31">
        <f>INSCRITOS!B160</f>
        <v>1007301546</v>
      </c>
      <c r="D191" t="str">
        <f t="shared" si="7"/>
        <v>https://centrodecapacitaciondelsur.com/violencia-sexual-1007301546/</v>
      </c>
    </row>
    <row r="192" spans="1:4" ht="60" customHeight="1" x14ac:dyDescent="0.25">
      <c r="A192" s="31" t="str">
        <f>INSCRITOS!N161</f>
        <v>ACLS</v>
      </c>
      <c r="B192" s="24" t="str">
        <f t="shared" si="6"/>
        <v>https://centrodecapacitaciondelsur.com/soporte-cardiovascular-avanzado-</v>
      </c>
      <c r="C192" s="31">
        <f>INSCRITOS!B161</f>
        <v>1085282306</v>
      </c>
      <c r="D192" t="str">
        <f t="shared" si="7"/>
        <v>https://centrodecapacitaciondelsur.com/soporte-cardiovascular-avanzado-1085282306/</v>
      </c>
    </row>
    <row r="193" spans="1:4" ht="60" customHeight="1" x14ac:dyDescent="0.25">
      <c r="A193" s="31" t="str">
        <f>INSCRITOS!N162</f>
        <v>BLS</v>
      </c>
      <c r="B193" s="24" t="str">
        <f t="shared" si="6"/>
        <v>https://centrodecapacitaciondelsur.com/soporte-basico-de-vida-</v>
      </c>
      <c r="C193" s="31">
        <f>INSCRITOS!B162</f>
        <v>1085282306</v>
      </c>
      <c r="D193" t="str">
        <f t="shared" si="7"/>
        <v>https://centrodecapacitaciondelsur.com/soporte-basico-de-vida-1085282306/</v>
      </c>
    </row>
    <row r="194" spans="1:4" ht="60" customHeight="1" x14ac:dyDescent="0.25">
      <c r="A194" s="31" t="str">
        <f>INSCRITOS!N163</f>
        <v>VIOLENCIA SEXUAL</v>
      </c>
      <c r="B194" s="24" t="str">
        <f t="shared" si="6"/>
        <v>https://centrodecapacitaciondelsur.com/violencia-sexual-</v>
      </c>
      <c r="C194" s="31">
        <f>INSCRITOS!B163</f>
        <v>1085282306</v>
      </c>
      <c r="D194" t="str">
        <f t="shared" si="7"/>
        <v>https://centrodecapacitaciondelsur.com/violencia-sexual-1085282306/</v>
      </c>
    </row>
    <row r="195" spans="1:4" ht="60" customHeight="1" x14ac:dyDescent="0.25">
      <c r="A195" s="31" t="str">
        <f>INSCRITOS!N164</f>
        <v>QUIMICOS</v>
      </c>
      <c r="B195" s="24" t="str">
        <f t="shared" si="6"/>
        <v>https://centrodecapacitaciondelsur.com/victimas-por-agentes-quimicos-</v>
      </c>
      <c r="C195" s="31">
        <f>INSCRITOS!B164</f>
        <v>1085282306</v>
      </c>
      <c r="D195" t="str">
        <f t="shared" si="7"/>
        <v>https://centrodecapacitaciondelsur.com/victimas-por-agentes-quimicos-1085282306/</v>
      </c>
    </row>
    <row r="196" spans="1:4" ht="60" customHeight="1" x14ac:dyDescent="0.25">
      <c r="A196" s="31" t="str">
        <f>INSCRITOS!N165</f>
        <v>ACLS</v>
      </c>
      <c r="B196" s="24" t="str">
        <f t="shared" si="6"/>
        <v>https://centrodecapacitaciondelsur.com/soporte-cardiovascular-avanzado-</v>
      </c>
      <c r="C196" s="31">
        <f>INSCRITOS!B165</f>
        <v>27093640</v>
      </c>
      <c r="D196" t="str">
        <f t="shared" si="7"/>
        <v>https://centrodecapacitaciondelsur.com/soporte-cardiovascular-avanzado-27093640/</v>
      </c>
    </row>
    <row r="197" spans="1:4" ht="60" customHeight="1" x14ac:dyDescent="0.25">
      <c r="A197" s="31" t="str">
        <f>INSCRITOS!N166</f>
        <v>DUELO</v>
      </c>
      <c r="B197" s="24" t="str">
        <f t="shared" si="6"/>
        <v>https://centrodecapacitaciondelsur.com/manejo-del-duelo-</v>
      </c>
      <c r="C197" s="31">
        <f>INSCRITOS!B166</f>
        <v>27093640</v>
      </c>
      <c r="D197" t="str">
        <f t="shared" si="7"/>
        <v>https://centrodecapacitaciondelsur.com/manejo-del-duelo-27093640/</v>
      </c>
    </row>
    <row r="198" spans="1:4" ht="60" customHeight="1" x14ac:dyDescent="0.25">
      <c r="A198" s="31" t="str">
        <f>INSCRITOS!N167</f>
        <v>DUELO</v>
      </c>
      <c r="B198" s="24" t="str">
        <f t="shared" si="6"/>
        <v>https://centrodecapacitaciondelsur.com/manejo-del-duelo-</v>
      </c>
      <c r="C198" s="31">
        <f>INSCRITOS!B167</f>
        <v>59796183</v>
      </c>
      <c r="D198" t="str">
        <f t="shared" si="7"/>
        <v>https://centrodecapacitaciondelsur.com/manejo-del-duelo-59796183/</v>
      </c>
    </row>
    <row r="199" spans="1:4" ht="60" customHeight="1" x14ac:dyDescent="0.25">
      <c r="A199" s="31" t="str">
        <f>INSCRITOS!N168</f>
        <v>VIOLENCIA SEXUAL</v>
      </c>
      <c r="B199" s="24" t="str">
        <f t="shared" si="6"/>
        <v>https://centrodecapacitaciondelsur.com/violencia-sexual-</v>
      </c>
      <c r="C199" s="31">
        <f>INSCRITOS!B168</f>
        <v>59396292</v>
      </c>
      <c r="D199" t="str">
        <f t="shared" si="7"/>
        <v>https://centrodecapacitaciondelsur.com/violencia-sexual-59396292/</v>
      </c>
    </row>
    <row r="200" spans="1:4" ht="60" customHeight="1" x14ac:dyDescent="0.25">
      <c r="A200" s="31" t="str">
        <f>INSCRITOS!N169</f>
        <v>QUIMICOS</v>
      </c>
      <c r="B200" s="24" t="str">
        <f t="shared" si="6"/>
        <v>https://centrodecapacitaciondelsur.com/victimas-por-agentes-quimicos-</v>
      </c>
      <c r="C200" s="31">
        <f>INSCRITOS!B169</f>
        <v>59396292</v>
      </c>
      <c r="D200" t="str">
        <f t="shared" si="7"/>
        <v>https://centrodecapacitaciondelsur.com/victimas-por-agentes-quimicos-59396292/</v>
      </c>
    </row>
    <row r="201" spans="1:4" ht="60" customHeight="1" x14ac:dyDescent="0.25">
      <c r="A201" s="31" t="str">
        <f>INSCRITOS!N170</f>
        <v>BLS</v>
      </c>
      <c r="B201" s="24" t="str">
        <f t="shared" si="6"/>
        <v>https://centrodecapacitaciondelsur.com/soporte-basico-de-vida-</v>
      </c>
      <c r="C201" s="31">
        <f>INSCRITOS!B170</f>
        <v>59396292</v>
      </c>
      <c r="D201" t="str">
        <f t="shared" si="7"/>
        <v>https://centrodecapacitaciondelsur.com/soporte-basico-de-vida-59396292/</v>
      </c>
    </row>
    <row r="202" spans="1:4" ht="60" customHeight="1" x14ac:dyDescent="0.25">
      <c r="A202" s="31" t="str">
        <f>INSCRITOS!N171</f>
        <v>VIOLENCIA SEXUAL</v>
      </c>
      <c r="B202" s="24" t="str">
        <f t="shared" si="6"/>
        <v>https://centrodecapacitaciondelsur.com/violencia-sexual-</v>
      </c>
      <c r="C202" s="31">
        <f>INSCRITOS!B171</f>
        <v>1086330334</v>
      </c>
      <c r="D202" t="str">
        <f t="shared" si="7"/>
        <v>https://centrodecapacitaciondelsur.com/violencia-sexual-1086330334/</v>
      </c>
    </row>
    <row r="203" spans="1:4" ht="60" customHeight="1" x14ac:dyDescent="0.25">
      <c r="A203" s="31" t="str">
        <f>INSCRITOS!N172</f>
        <v>HUMANIZACION</v>
      </c>
      <c r="B203" s="24" t="str">
        <f t="shared" si="6"/>
        <v>https://centrodecapacitaciondelsur.com/humanizacion-</v>
      </c>
      <c r="C203" s="31">
        <f>INSCRITOS!B172</f>
        <v>1086330334</v>
      </c>
      <c r="D203" t="str">
        <f t="shared" si="7"/>
        <v>https://centrodecapacitaciondelsur.com/humanizacion-1086330334/</v>
      </c>
    </row>
    <row r="204" spans="1:4" ht="60" customHeight="1" x14ac:dyDescent="0.25">
      <c r="A204" s="31" t="str">
        <f>INSCRITOS!N173</f>
        <v>QUIMICOS</v>
      </c>
      <c r="B204" s="24" t="str">
        <f t="shared" si="6"/>
        <v>https://centrodecapacitaciondelsur.com/victimas-por-agentes-quimicos-</v>
      </c>
      <c r="C204" s="31">
        <f>INSCRITOS!B173</f>
        <v>87064290</v>
      </c>
      <c r="D204" t="str">
        <f t="shared" si="7"/>
        <v>https://centrodecapacitaciondelsur.com/victimas-por-agentes-quimicos-87064290/</v>
      </c>
    </row>
    <row r="205" spans="1:4" ht="60" customHeight="1" x14ac:dyDescent="0.25">
      <c r="A205" s="31" t="str">
        <f>INSCRITOS!N174</f>
        <v>DUELO</v>
      </c>
      <c r="B205" s="24" t="str">
        <f t="shared" si="6"/>
        <v>https://centrodecapacitaciondelsur.com/manejo-del-duelo-</v>
      </c>
      <c r="C205" s="31">
        <f>INSCRITOS!B174</f>
        <v>87064290</v>
      </c>
      <c r="D205" t="str">
        <f t="shared" si="7"/>
        <v>https://centrodecapacitaciondelsur.com/manejo-del-duelo-87064290/</v>
      </c>
    </row>
    <row r="206" spans="1:4" ht="60" customHeight="1" x14ac:dyDescent="0.25">
      <c r="A206" s="31" t="str">
        <f>INSCRITOS!N175</f>
        <v>ACLS</v>
      </c>
      <c r="B206" s="24" t="str">
        <f t="shared" si="6"/>
        <v>https://centrodecapacitaciondelsur.com/soporte-cardiovascular-avanzado-</v>
      </c>
      <c r="C206" s="31">
        <f>INSCRITOS!B175</f>
        <v>1085912454</v>
      </c>
      <c r="D206" t="str">
        <f t="shared" si="7"/>
        <v>https://centrodecapacitaciondelsur.com/soporte-cardiovascular-avanzado-1085912454/</v>
      </c>
    </row>
    <row r="207" spans="1:4" ht="60" customHeight="1" x14ac:dyDescent="0.25">
      <c r="A207" s="31" t="str">
        <f>INSCRITOS!N176</f>
        <v>ADMON DE MEDICAMENTOS</v>
      </c>
      <c r="B207" s="24" t="str">
        <f t="shared" si="6"/>
        <v>https://centrodecapacitaciondelsur.com/adm-medicamentos-canalizacion-inyectologia-</v>
      </c>
      <c r="C207" s="31">
        <f>INSCRITOS!B176</f>
        <v>1085912454</v>
      </c>
      <c r="D207" t="str">
        <f t="shared" si="7"/>
        <v>https://centrodecapacitaciondelsur.com/adm-medicamentos-canalizacion-inyectologia-1085912454/</v>
      </c>
    </row>
    <row r="208" spans="1:4" ht="60" customHeight="1" x14ac:dyDescent="0.25">
      <c r="A208" s="31" t="str">
        <f>INSCRITOS!N177</f>
        <v>BLS</v>
      </c>
      <c r="B208" s="24" t="str">
        <f t="shared" si="6"/>
        <v>https://centrodecapacitaciondelsur.com/soporte-basico-de-vida-</v>
      </c>
      <c r="C208" s="31">
        <f>INSCRITOS!B177</f>
        <v>1004731424</v>
      </c>
      <c r="D208" t="str">
        <f t="shared" si="7"/>
        <v>https://centrodecapacitaciondelsur.com/soporte-basico-de-vida-1004731424/</v>
      </c>
    </row>
    <row r="209" spans="1:4" ht="60" customHeight="1" x14ac:dyDescent="0.25">
      <c r="A209" s="31" t="str">
        <f>INSCRITOS!N178</f>
        <v>VIOLENCIA SEXUAL</v>
      </c>
      <c r="B209" s="24" t="str">
        <f t="shared" si="6"/>
        <v>https://centrodecapacitaciondelsur.com/violencia-sexual-</v>
      </c>
      <c r="C209" s="31">
        <f>INSCRITOS!B178</f>
        <v>1004731424</v>
      </c>
      <c r="D209" t="str">
        <f t="shared" si="7"/>
        <v>https://centrodecapacitaciondelsur.com/violencia-sexual-1004731424/</v>
      </c>
    </row>
    <row r="210" spans="1:4" ht="60" customHeight="1" x14ac:dyDescent="0.25">
      <c r="A210" s="31">
        <f>INSCRITOS!N179</f>
        <v>0</v>
      </c>
      <c r="B210" s="24" t="b">
        <f t="shared" si="6"/>
        <v>0</v>
      </c>
      <c r="C210" s="31">
        <f>INSCRITOS!B179</f>
        <v>0</v>
      </c>
      <c r="D210" t="str">
        <f t="shared" si="7"/>
        <v>FALSO0/</v>
      </c>
    </row>
    <row r="211" spans="1:4" ht="60" customHeight="1" x14ac:dyDescent="0.25">
      <c r="A211" s="31">
        <f>INSCRITOS!N180</f>
        <v>0</v>
      </c>
      <c r="B211" s="24" t="b">
        <f t="shared" si="6"/>
        <v>0</v>
      </c>
      <c r="C211" s="31">
        <f>INSCRITOS!B180</f>
        <v>0</v>
      </c>
      <c r="D211" t="str">
        <f t="shared" si="7"/>
        <v>FALSO0/</v>
      </c>
    </row>
    <row r="212" spans="1:4" ht="60" customHeight="1" x14ac:dyDescent="0.25">
      <c r="A212" s="31">
        <f>INSCRITOS!N181</f>
        <v>0</v>
      </c>
      <c r="B212" s="24" t="b">
        <f t="shared" si="6"/>
        <v>0</v>
      </c>
      <c r="C212" s="31">
        <f>INSCRITOS!B181</f>
        <v>0</v>
      </c>
      <c r="D212" t="str">
        <f t="shared" si="7"/>
        <v>FALSO0/</v>
      </c>
    </row>
    <row r="213" spans="1:4" ht="60" customHeight="1" x14ac:dyDescent="0.25">
      <c r="A213" s="31">
        <f>INSCRITOS!N182</f>
        <v>0</v>
      </c>
      <c r="B213" s="24" t="b">
        <f t="shared" si="6"/>
        <v>0</v>
      </c>
      <c r="C213" s="31">
        <f>INSCRITOS!B182</f>
        <v>0</v>
      </c>
      <c r="D213" t="str">
        <f t="shared" si="7"/>
        <v>FALSO0/</v>
      </c>
    </row>
    <row r="214" spans="1:4" ht="60" customHeight="1" x14ac:dyDescent="0.25">
      <c r="A214" s="31">
        <f>INSCRITOS!N183</f>
        <v>0</v>
      </c>
      <c r="B214" s="24" t="b">
        <f t="shared" si="6"/>
        <v>0</v>
      </c>
      <c r="C214" s="31">
        <f>INSCRITOS!B183</f>
        <v>0</v>
      </c>
      <c r="D214" t="str">
        <f t="shared" si="7"/>
        <v>FALSO0/</v>
      </c>
    </row>
    <row r="215" spans="1:4" ht="60" customHeight="1" x14ac:dyDescent="0.25">
      <c r="A215" s="31">
        <f>INSCRITOS!N184</f>
        <v>0</v>
      </c>
      <c r="B215" s="24" t="b">
        <f t="shared" si="6"/>
        <v>0</v>
      </c>
      <c r="C215" s="31">
        <f>INSCRITOS!B184</f>
        <v>0</v>
      </c>
      <c r="D215" t="str">
        <f t="shared" si="7"/>
        <v>FALSO0/</v>
      </c>
    </row>
    <row r="216" spans="1:4" ht="60" customHeight="1" x14ac:dyDescent="0.25">
      <c r="A216" s="31">
        <f>INSCRITOS!N185</f>
        <v>0</v>
      </c>
      <c r="B216" s="24" t="b">
        <f t="shared" si="6"/>
        <v>0</v>
      </c>
      <c r="C216" s="31">
        <f>INSCRITOS!B185</f>
        <v>0</v>
      </c>
      <c r="D216" t="str">
        <f t="shared" si="7"/>
        <v>FALSO0/</v>
      </c>
    </row>
    <row r="217" spans="1:4" ht="60.75" customHeight="1" x14ac:dyDescent="0.25">
      <c r="A217" s="31">
        <f>INSCRITOS!N186</f>
        <v>0</v>
      </c>
      <c r="B217" s="24" t="b">
        <f t="shared" si="6"/>
        <v>0</v>
      </c>
      <c r="C217" s="31">
        <f>INSCRITOS!B186</f>
        <v>0</v>
      </c>
      <c r="D217" t="str">
        <f t="shared" si="7"/>
        <v>FALSO0/</v>
      </c>
    </row>
    <row r="218" spans="1:4" ht="60.75" customHeight="1" x14ac:dyDescent="0.25">
      <c r="A218" s="31">
        <f>INSCRITOS!N187</f>
        <v>0</v>
      </c>
      <c r="B218" s="24" t="b">
        <f t="shared" si="6"/>
        <v>0</v>
      </c>
      <c r="C218" s="31">
        <f>INSCRITOS!B187</f>
        <v>0</v>
      </c>
      <c r="D218" t="str">
        <f t="shared" si="7"/>
        <v>FALSO0/</v>
      </c>
    </row>
    <row r="219" spans="1:4" ht="60.75" customHeight="1" x14ac:dyDescent="0.25">
      <c r="A219" s="31">
        <f>INSCRITOS!N188</f>
        <v>0</v>
      </c>
      <c r="B219" s="24" t="b">
        <f t="shared" si="6"/>
        <v>0</v>
      </c>
      <c r="C219" s="31">
        <f>INSCRITOS!B188</f>
        <v>0</v>
      </c>
      <c r="D219" t="str">
        <f t="shared" si="7"/>
        <v>FALSO0/</v>
      </c>
    </row>
    <row r="220" spans="1:4" ht="60.75" customHeight="1" x14ac:dyDescent="0.25">
      <c r="A220" s="31">
        <f>INSCRITOS!N189</f>
        <v>0</v>
      </c>
      <c r="B220" s="24" t="b">
        <f t="shared" si="6"/>
        <v>0</v>
      </c>
      <c r="C220" s="31">
        <f>INSCRITOS!B189</f>
        <v>0</v>
      </c>
      <c r="D220" t="str">
        <f t="shared" si="7"/>
        <v>FALSO0/</v>
      </c>
    </row>
    <row r="221" spans="1:4" ht="60.75" customHeight="1" x14ac:dyDescent="0.25">
      <c r="A221" s="31">
        <f>INSCRITOS!N190</f>
        <v>0</v>
      </c>
      <c r="B221" s="24" t="b">
        <f t="shared" si="6"/>
        <v>0</v>
      </c>
      <c r="C221" s="31">
        <f>INSCRITOS!B190</f>
        <v>0</v>
      </c>
      <c r="D221" t="str">
        <f t="shared" si="7"/>
        <v>FALSO0/</v>
      </c>
    </row>
    <row r="222" spans="1:4" ht="60.75" customHeight="1" x14ac:dyDescent="0.25">
      <c r="A222" s="31">
        <f>INSCRITOS!N191</f>
        <v>0</v>
      </c>
      <c r="B222" s="24" t="b">
        <f t="shared" si="6"/>
        <v>0</v>
      </c>
      <c r="C222" s="31">
        <f>INSCRITOS!B191</f>
        <v>0</v>
      </c>
      <c r="D222" t="str">
        <f t="shared" si="7"/>
        <v>FALSO0/</v>
      </c>
    </row>
    <row r="223" spans="1:4" ht="60.75" customHeight="1" x14ac:dyDescent="0.25">
      <c r="A223" s="31">
        <f>INSCRITOS!N192</f>
        <v>0</v>
      </c>
      <c r="B223" s="24" t="b">
        <f t="shared" si="6"/>
        <v>0</v>
      </c>
      <c r="C223" s="31">
        <f>INSCRITOS!B192</f>
        <v>0</v>
      </c>
      <c r="D223" t="str">
        <f t="shared" si="7"/>
        <v>FALSO0/</v>
      </c>
    </row>
    <row r="224" spans="1:4" ht="60.75" customHeight="1" x14ac:dyDescent="0.25">
      <c r="A224" s="31">
        <f>INSCRITOS!N193</f>
        <v>0</v>
      </c>
      <c r="B224" s="24" t="b">
        <f t="shared" si="6"/>
        <v>0</v>
      </c>
      <c r="C224" s="31">
        <f>INSCRITOS!B193</f>
        <v>0</v>
      </c>
      <c r="D224" t="str">
        <f t="shared" si="7"/>
        <v>FALSO0/</v>
      </c>
    </row>
    <row r="225" spans="1:4" ht="60.75" customHeight="1" x14ac:dyDescent="0.25">
      <c r="A225" s="31">
        <f>INSCRITOS!N194</f>
        <v>0</v>
      </c>
      <c r="B225" s="24" t="b">
        <f t="shared" si="6"/>
        <v>0</v>
      </c>
      <c r="C225" s="31">
        <f>INSCRITOS!B194</f>
        <v>0</v>
      </c>
      <c r="D225" t="str">
        <f t="shared" si="7"/>
        <v>FALSO0/</v>
      </c>
    </row>
    <row r="226" spans="1:4" ht="72.75" customHeight="1" x14ac:dyDescent="0.25">
      <c r="A226" s="31">
        <f>INSCRITOS!N195</f>
        <v>0</v>
      </c>
      <c r="B226" s="24" t="b">
        <f t="shared" si="6"/>
        <v>0</v>
      </c>
      <c r="C226" s="31">
        <f>INSCRITOS!B195</f>
        <v>0</v>
      </c>
      <c r="D226" t="str">
        <f t="shared" si="7"/>
        <v>FALSO0/</v>
      </c>
    </row>
    <row r="227" spans="1:4" ht="72.75" customHeight="1" x14ac:dyDescent="0.25">
      <c r="A227" s="31">
        <f>INSCRITOS!N196</f>
        <v>0</v>
      </c>
      <c r="B227" s="24" t="b">
        <f t="shared" si="6"/>
        <v>0</v>
      </c>
      <c r="C227" s="31">
        <f>INSCRITOS!B196</f>
        <v>0</v>
      </c>
      <c r="D227" t="str">
        <f t="shared" si="7"/>
        <v>FALSO0/</v>
      </c>
    </row>
    <row r="228" spans="1:4" ht="72.75" customHeight="1" x14ac:dyDescent="0.25">
      <c r="A228" s="31">
        <f>INSCRITOS!N197</f>
        <v>0</v>
      </c>
      <c r="B228" s="24" t="b">
        <f t="shared" si="6"/>
        <v>0</v>
      </c>
      <c r="C228" s="31">
        <f>INSCRITOS!B197</f>
        <v>0</v>
      </c>
      <c r="D228" t="str">
        <f t="shared" si="7"/>
        <v>FALSO0/</v>
      </c>
    </row>
    <row r="229" spans="1:4" ht="72.75" customHeight="1" x14ac:dyDescent="0.25">
      <c r="A229" s="31">
        <f>INSCRITOS!N198</f>
        <v>0</v>
      </c>
      <c r="B229" s="24" t="b">
        <f t="shared" si="6"/>
        <v>0</v>
      </c>
      <c r="C229" s="31">
        <f>INSCRITOS!B198</f>
        <v>0</v>
      </c>
      <c r="D229" t="str">
        <f t="shared" si="7"/>
        <v>FALSO0/</v>
      </c>
    </row>
    <row r="230" spans="1:4" ht="72.75" customHeight="1" x14ac:dyDescent="0.25">
      <c r="A230" s="31">
        <f>INSCRITOS!N199</f>
        <v>0</v>
      </c>
      <c r="B230" s="24" t="b">
        <f t="shared" si="6"/>
        <v>0</v>
      </c>
      <c r="C230" s="31">
        <f>INSCRITOS!B199</f>
        <v>0</v>
      </c>
      <c r="D230" t="str">
        <f t="shared" si="7"/>
        <v>FALSO0/</v>
      </c>
    </row>
    <row r="231" spans="1:4" ht="72.75" customHeight="1" x14ac:dyDescent="0.25">
      <c r="A231" s="31">
        <f>INSCRITOS!N200</f>
        <v>0</v>
      </c>
      <c r="B231" s="24" t="b">
        <f t="shared" si="6"/>
        <v>0</v>
      </c>
      <c r="C231" s="31">
        <f>INSCRITOS!B200</f>
        <v>0</v>
      </c>
      <c r="D231" t="str">
        <f t="shared" si="7"/>
        <v>FALSO0/</v>
      </c>
    </row>
    <row r="232" spans="1:4" ht="72.75" customHeight="1" x14ac:dyDescent="0.25">
      <c r="A232" s="31">
        <f>INSCRITOS!N201</f>
        <v>0</v>
      </c>
      <c r="B232" s="24" t="b">
        <f t="shared" si="6"/>
        <v>0</v>
      </c>
      <c r="C232" s="31">
        <f>INSCRITOS!B201</f>
        <v>0</v>
      </c>
      <c r="D232" t="str">
        <f t="shared" si="7"/>
        <v>FALSO0/</v>
      </c>
    </row>
    <row r="233" spans="1:4" ht="72.75" customHeight="1" x14ac:dyDescent="0.25">
      <c r="A233" s="31">
        <f>INSCRITOS!N202</f>
        <v>0</v>
      </c>
      <c r="B233" s="24" t="b">
        <f t="shared" si="6"/>
        <v>0</v>
      </c>
      <c r="C233" s="31">
        <f>INSCRITOS!B202</f>
        <v>0</v>
      </c>
      <c r="D233" t="str">
        <f t="shared" si="7"/>
        <v>FALSO0/</v>
      </c>
    </row>
    <row r="234" spans="1:4" ht="72.75" customHeight="1" x14ac:dyDescent="0.25">
      <c r="A234" s="31">
        <f>INSCRITOS!N203</f>
        <v>0</v>
      </c>
      <c r="B234" s="24" t="b">
        <f t="shared" si="6"/>
        <v>0</v>
      </c>
      <c r="C234" s="31">
        <f>INSCRITOS!B203</f>
        <v>0</v>
      </c>
      <c r="D234" t="str">
        <f t="shared" si="7"/>
        <v>FALSO0/</v>
      </c>
    </row>
    <row r="235" spans="1:4" ht="72.75" customHeight="1" x14ac:dyDescent="0.25">
      <c r="A235" s="31">
        <f>INSCRITOS!N204</f>
        <v>0</v>
      </c>
      <c r="B235" s="24" t="b">
        <f t="shared" si="6"/>
        <v>0</v>
      </c>
      <c r="C235" s="31">
        <f>INSCRITOS!B204</f>
        <v>0</v>
      </c>
      <c r="D235" t="str">
        <f t="shared" si="7"/>
        <v>FALSO0/</v>
      </c>
    </row>
    <row r="236" spans="1:4" ht="72.75" customHeight="1" x14ac:dyDescent="0.25">
      <c r="A236" s="31">
        <f>INSCRITOS!N205</f>
        <v>0</v>
      </c>
      <c r="B236" s="24" t="b">
        <f t="shared" si="6"/>
        <v>0</v>
      </c>
      <c r="C236" s="31">
        <f>INSCRITOS!B205</f>
        <v>0</v>
      </c>
      <c r="D236" t="str">
        <f t="shared" si="7"/>
        <v>FALSO0/</v>
      </c>
    </row>
    <row r="237" spans="1:4" ht="72.75" customHeight="1" x14ac:dyDescent="0.25">
      <c r="A237" s="31">
        <f>INSCRITOS!N206</f>
        <v>0</v>
      </c>
      <c r="B237" s="24" t="b">
        <f t="shared" si="6"/>
        <v>0</v>
      </c>
      <c r="C237" s="31">
        <f>INSCRITOS!B206</f>
        <v>0</v>
      </c>
      <c r="D237" t="str">
        <f t="shared" si="7"/>
        <v>FALSO0/</v>
      </c>
    </row>
    <row r="238" spans="1:4" ht="72.75" customHeight="1" x14ac:dyDescent="0.25">
      <c r="A238" s="31">
        <f>INSCRITOS!N207</f>
        <v>0</v>
      </c>
      <c r="B238" s="24" t="b">
        <f t="shared" si="6"/>
        <v>0</v>
      </c>
      <c r="C238" s="31">
        <f>INSCRITOS!B207</f>
        <v>0</v>
      </c>
      <c r="D238" t="str">
        <f t="shared" si="7"/>
        <v>FALSO0/</v>
      </c>
    </row>
    <row r="239" spans="1:4" ht="72.75" customHeight="1" x14ac:dyDescent="0.25">
      <c r="A239" s="31">
        <f>INSCRITOS!N208</f>
        <v>0</v>
      </c>
      <c r="B239" s="24" t="b">
        <f t="shared" ref="B239:B244" si="8">IF(A239=$H$19,"https://centrodecapacitaciondelsur.com/o-v-e-",IF(A239=$H$2,"https://centrodecapacitaciondelsur.com/aph-",IF(A239=$H$3,"https://centrodecapacitaciondelsur.com/manejo-del-duelo-",IF(A239=$H$4,"https://centrodecapacitaciondelsur.com/victimas-por-agentes-quimicos-",IF(A239=$H$5,"https://centrodecapacitaciondelsur.com/primeros-auxilios-",IF(A239=$H$6,"https://centrodecapacitaciondelsur.com/uci-",IF(A239=$H$8,"https://centrodecapacitaciondelsur.com/humanizacion-",IF(A239=$H$11,"https://centrodecapacitaciondelsur.com/soporte-cardiovascular-avanzado-",IF(A239=$H$12,"https://centrodecapacitaciondelsur.com/camillero-",IF(A239=$H$13,"https://centrodecapacitaciondelsur.com/toma-de-muestras-y-lab-clinico-",IF(A239=$H$14,"https://centrodecapacitaciondelsur.com/soporte-basico-de-vida-",IF(A239=$H$15,"https://centrodecapacitaciondelsur.com/violencia-sexual-",IF(A239=$H$17,"https://centrodecapacitaciondelsur.com/aiepi-",IF(A239=$H$18,"https://centrodecapacitaciondelsur.com/adm-medicamentos-canalizacion-inyectologia-",IF(A239=$H$25,"https://centrodecapacitaciondelsur.com/manejo-del-dolor-y-cuidados-paliativos-",IF(A239=$H$26,"https://centrodecapacitaciondelsur.com/toma-de-muestras-y-lab-clinico-poct-",IF(A239=$H$27,"https://centrodecapacitaciondelsur.com/implante-subdermico-",IF(A239=$H$21,"https://centrodecapacitaciondelsur.com/donante-de-organos-",IF(A239=$H$30,"https://centrodecapacitaciondelsur.com/atencion-a-victimas-del-conflicto-armado-",IF(A239=$H$20,"https://centrodecapacitaciondelsur.com/iami-",IF(A239=$H$22,"https://centrodecapacitaciondelsur.com/violencia-de-genero-",IF(A239=$H$23,"https://centrodecapacitaciondelsur.com/igualdad-de-genero-",IF(A239=$H$16,"https://centrodecapacitaciondelsur.com/pai-",IF(A239=$H$31,"https://centrodecapacitaciondelsur.com/manipulacion-de-alimentos-"))))))))))))))))))))))))</f>
        <v>0</v>
      </c>
      <c r="C239" s="31">
        <f>INSCRITOS!B208</f>
        <v>0</v>
      </c>
      <c r="D239" t="str">
        <f t="shared" ref="D239:D244" si="9">CONCATENATE(B239,C239,"/")</f>
        <v>FALSO0/</v>
      </c>
    </row>
    <row r="240" spans="1:4" ht="72.75" customHeight="1" x14ac:dyDescent="0.25">
      <c r="A240" s="31">
        <f>INSCRITOS!N209</f>
        <v>0</v>
      </c>
      <c r="B240" s="24" t="b">
        <f t="shared" si="8"/>
        <v>0</v>
      </c>
      <c r="C240" s="31">
        <f>INSCRITOS!B209</f>
        <v>0</v>
      </c>
      <c r="D240" t="str">
        <f t="shared" si="9"/>
        <v>FALSO0/</v>
      </c>
    </row>
    <row r="241" spans="1:4" ht="72.75" customHeight="1" x14ac:dyDescent="0.25">
      <c r="A241" s="31">
        <f>INSCRITOS!N210</f>
        <v>0</v>
      </c>
      <c r="B241" s="24" t="b">
        <f t="shared" si="8"/>
        <v>0</v>
      </c>
      <c r="C241" s="31">
        <f>INSCRITOS!B210</f>
        <v>0</v>
      </c>
      <c r="D241" t="str">
        <f t="shared" si="9"/>
        <v>FALSO0/</v>
      </c>
    </row>
    <row r="242" spans="1:4" ht="72.75" customHeight="1" x14ac:dyDescent="0.25">
      <c r="A242" s="31">
        <f>INSCRITOS!N211</f>
        <v>0</v>
      </c>
      <c r="B242" s="24" t="b">
        <f t="shared" si="8"/>
        <v>0</v>
      </c>
      <c r="C242" s="31">
        <f>INSCRITOS!B211</f>
        <v>0</v>
      </c>
      <c r="D242" t="str">
        <f t="shared" si="9"/>
        <v>FALSO0/</v>
      </c>
    </row>
    <row r="243" spans="1:4" ht="72.75" customHeight="1" x14ac:dyDescent="0.25">
      <c r="A243" s="31">
        <f>INSCRITOS!N212</f>
        <v>0</v>
      </c>
      <c r="B243" s="24" t="b">
        <f t="shared" si="8"/>
        <v>0</v>
      </c>
      <c r="C243" s="31">
        <f>INSCRITOS!B212</f>
        <v>0</v>
      </c>
      <c r="D243" t="str">
        <f t="shared" si="9"/>
        <v>FALSO0/</v>
      </c>
    </row>
    <row r="244" spans="1:4" ht="72.75" customHeight="1" x14ac:dyDescent="0.25">
      <c r="A244" s="31">
        <f>INSCRITOS!N213</f>
        <v>0</v>
      </c>
      <c r="B244" s="24" t="b">
        <f t="shared" si="8"/>
        <v>0</v>
      </c>
      <c r="C244" s="31">
        <f>INSCRITOS!B213</f>
        <v>0</v>
      </c>
      <c r="D244" t="str">
        <f t="shared" si="9"/>
        <v>FALSO0/</v>
      </c>
    </row>
    <row r="245" spans="1:4" ht="72.75" customHeight="1" x14ac:dyDescent="0.25"/>
    <row r="246" spans="1:4" ht="72.75" customHeight="1" x14ac:dyDescent="0.25"/>
    <row r="247" spans="1:4" ht="72.75" customHeight="1" x14ac:dyDescent="0.25"/>
    <row r="248" spans="1:4" ht="72.75" customHeight="1" x14ac:dyDescent="0.25"/>
    <row r="249" spans="1:4" ht="72.75" customHeight="1" x14ac:dyDescent="0.25"/>
    <row r="250" spans="1:4" ht="72.75" customHeight="1" x14ac:dyDescent="0.25"/>
    <row r="251" spans="1:4" ht="72.75" customHeight="1" x14ac:dyDescent="0.25"/>
    <row r="252" spans="1:4" ht="72.75" customHeight="1" x14ac:dyDescent="0.25"/>
    <row r="253" spans="1:4" ht="72.75" customHeight="1" x14ac:dyDescent="0.25"/>
    <row r="254" spans="1:4" ht="72.75" customHeight="1" x14ac:dyDescent="0.25"/>
    <row r="255" spans="1:4" ht="72.75" customHeight="1" x14ac:dyDescent="0.25"/>
    <row r="256" spans="1:4" ht="72.75" customHeight="1" x14ac:dyDescent="0.25"/>
    <row r="257" ht="72.75" customHeight="1" x14ac:dyDescent="0.25"/>
    <row r="258" ht="72.75" customHeight="1" x14ac:dyDescent="0.25"/>
    <row r="259" ht="72.75" customHeight="1" x14ac:dyDescent="0.25"/>
    <row r="260" ht="72.75" customHeight="1" x14ac:dyDescent="0.25"/>
    <row r="261" ht="72.75" customHeight="1" x14ac:dyDescent="0.25"/>
    <row r="262" ht="72.75" customHeight="1" x14ac:dyDescent="0.25"/>
    <row r="263" ht="72.75" customHeight="1" x14ac:dyDescent="0.25"/>
    <row r="264" ht="72.75" customHeight="1" x14ac:dyDescent="0.25"/>
    <row r="265" ht="72.75" customHeight="1" x14ac:dyDescent="0.25"/>
    <row r="266" ht="72.75" customHeight="1" x14ac:dyDescent="0.25"/>
    <row r="267" ht="72.75" customHeight="1" x14ac:dyDescent="0.25"/>
    <row r="268" ht="72.75" customHeight="1" x14ac:dyDescent="0.25"/>
    <row r="269" ht="72.75" customHeight="1" x14ac:dyDescent="0.25"/>
    <row r="270" ht="72.75" customHeight="1" x14ac:dyDescent="0.25"/>
    <row r="271" ht="72.75" customHeight="1" x14ac:dyDescent="0.25"/>
    <row r="272" ht="72.75" customHeight="1" x14ac:dyDescent="0.25"/>
    <row r="273" ht="72.75" customHeight="1" x14ac:dyDescent="0.25"/>
    <row r="274" ht="72.75" customHeight="1" x14ac:dyDescent="0.25"/>
    <row r="275" ht="72.75" customHeight="1" x14ac:dyDescent="0.25"/>
    <row r="276" ht="72.75" customHeight="1" x14ac:dyDescent="0.25"/>
    <row r="277" ht="72.75" customHeight="1" x14ac:dyDescent="0.25"/>
    <row r="278" ht="72.75" customHeight="1" x14ac:dyDescent="0.25"/>
    <row r="279" ht="72.75" customHeight="1" x14ac:dyDescent="0.25"/>
    <row r="280" ht="72.75" customHeight="1" x14ac:dyDescent="0.25"/>
    <row r="281" ht="72.75" customHeight="1" x14ac:dyDescent="0.25"/>
    <row r="282" ht="72.75" customHeight="1" x14ac:dyDescent="0.25"/>
    <row r="283" ht="72.75" customHeight="1" x14ac:dyDescent="0.25"/>
    <row r="284" ht="72.75" customHeight="1" x14ac:dyDescent="0.25"/>
    <row r="285" ht="72.75" customHeight="1" x14ac:dyDescent="0.25"/>
    <row r="286" ht="72.75" customHeight="1" x14ac:dyDescent="0.25"/>
    <row r="287" ht="72.75" customHeight="1" x14ac:dyDescent="0.25"/>
    <row r="288" ht="72.75" customHeight="1" x14ac:dyDescent="0.25"/>
    <row r="289" ht="72.75" customHeight="1" x14ac:dyDescent="0.25"/>
    <row r="290" ht="72.75" customHeight="1" x14ac:dyDescent="0.25"/>
    <row r="291" ht="72.75" customHeight="1" x14ac:dyDescent="0.25"/>
    <row r="292" ht="72.75" customHeight="1" x14ac:dyDescent="0.25"/>
    <row r="293" ht="72.75" customHeight="1" x14ac:dyDescent="0.25"/>
    <row r="294" ht="72.75" customHeight="1" x14ac:dyDescent="0.25"/>
    <row r="295" ht="72.75" customHeight="1" x14ac:dyDescent="0.25"/>
    <row r="296" ht="72.75" customHeight="1" x14ac:dyDescent="0.25"/>
    <row r="297" ht="72.75" customHeight="1" x14ac:dyDescent="0.25"/>
    <row r="298" ht="72.75" customHeight="1" x14ac:dyDescent="0.25"/>
    <row r="299" ht="72.75" customHeight="1" x14ac:dyDescent="0.25"/>
    <row r="300" ht="72.75" customHeight="1" x14ac:dyDescent="0.25"/>
    <row r="301" ht="72.75" customHeight="1" x14ac:dyDescent="0.25"/>
    <row r="302" ht="72.75" customHeight="1" x14ac:dyDescent="0.25"/>
    <row r="303" ht="72.75" customHeight="1" x14ac:dyDescent="0.25"/>
    <row r="304" ht="72.75" customHeight="1" x14ac:dyDescent="0.25"/>
    <row r="305" ht="72.75" customHeight="1" x14ac:dyDescent="0.25"/>
    <row r="306" ht="72.75" customHeight="1" x14ac:dyDescent="0.25"/>
    <row r="307" ht="72.75" customHeight="1" x14ac:dyDescent="0.25"/>
    <row r="308" ht="72.75" customHeight="1" x14ac:dyDescent="0.25"/>
    <row r="309" ht="72.75" customHeight="1" x14ac:dyDescent="0.25"/>
    <row r="310" ht="72.75" customHeight="1" x14ac:dyDescent="0.25"/>
    <row r="311" ht="72.75" customHeight="1" x14ac:dyDescent="0.25"/>
    <row r="312" ht="72.75" customHeight="1" x14ac:dyDescent="0.25"/>
    <row r="313" ht="72.75" customHeight="1" x14ac:dyDescent="0.25"/>
    <row r="314" ht="72.75" customHeight="1" x14ac:dyDescent="0.25"/>
    <row r="315" ht="72.75" customHeight="1" x14ac:dyDescent="0.25"/>
    <row r="316" ht="72.75" customHeight="1" x14ac:dyDescent="0.25"/>
    <row r="317" ht="72.75" customHeight="1" x14ac:dyDescent="0.25"/>
    <row r="318" ht="72.75" customHeight="1" x14ac:dyDescent="0.25"/>
    <row r="319" ht="72.75" customHeight="1" x14ac:dyDescent="0.25"/>
  </sheetData>
  <hyperlinks>
    <hyperlink ref="B32" r:id="rId1" display="https://centrodecapacitaciondelsur.com/soporte-basico-de-vida-" xr:uid="{00000000-0004-0000-0200-000000000000}"/>
    <hyperlink ref="B33" r:id="rId2" display="https://centrodecapacitaciondelsur.com/soporte-basico-de-vida-" xr:uid="{00000000-0004-0000-0200-000001000000}"/>
    <hyperlink ref="B34" r:id="rId3" display="https://centrodecapacitaciondelsur.com/soporte-basico-de-vida-" xr:uid="{00000000-0004-0000-0200-000002000000}"/>
    <hyperlink ref="B35" r:id="rId4" display="https://centrodecapacitaciondelsur.com/soporte-basico-de-vida-" xr:uid="{00000000-0004-0000-0200-000003000000}"/>
    <hyperlink ref="B36" r:id="rId5" display="https://centrodecapacitaciondelsur.com/soporte-basico-de-vida-" xr:uid="{00000000-0004-0000-0200-000004000000}"/>
    <hyperlink ref="B37" r:id="rId6" display="https://centrodecapacitaciondelsur.com/soporte-basico-de-vida-" xr:uid="{00000000-0004-0000-0200-000005000000}"/>
    <hyperlink ref="B38" r:id="rId7" display="https://centrodecapacitaciondelsur.com/soporte-basico-de-vida-" xr:uid="{00000000-0004-0000-0200-000006000000}"/>
    <hyperlink ref="B39" r:id="rId8" display="https://centrodecapacitaciondelsur.com/soporte-basico-de-vida-" xr:uid="{00000000-0004-0000-0200-000007000000}"/>
    <hyperlink ref="B40" r:id="rId9" display="https://centrodecapacitaciondelsur.com/soporte-basico-de-vida-" xr:uid="{00000000-0004-0000-0200-000008000000}"/>
    <hyperlink ref="B41" r:id="rId10" display="https://centrodecapacitaciondelsur.com/soporte-basico-de-vida-" xr:uid="{00000000-0004-0000-0200-000009000000}"/>
    <hyperlink ref="B42" r:id="rId11" display="https://centrodecapacitaciondelsur.com/soporte-basico-de-vida-" xr:uid="{00000000-0004-0000-0200-00000A000000}"/>
    <hyperlink ref="B43" r:id="rId12" display="https://centrodecapacitaciondelsur.com/soporte-basico-de-vida-" xr:uid="{00000000-0004-0000-0200-00000B000000}"/>
    <hyperlink ref="B44" r:id="rId13" display="https://centrodecapacitaciondelsur.com/soporte-basico-de-vida-" xr:uid="{00000000-0004-0000-0200-00000C000000}"/>
    <hyperlink ref="B45" r:id="rId14" display="https://centrodecapacitaciondelsur.com/soporte-basico-de-vida-" xr:uid="{00000000-0004-0000-0200-00000D000000}"/>
    <hyperlink ref="B46" r:id="rId15" display="https://centrodecapacitaciondelsur.com/soporte-basico-de-vida-" xr:uid="{00000000-0004-0000-0200-00000E000000}"/>
    <hyperlink ref="B47" r:id="rId16" display="https://centrodecapacitaciondelsur.com/soporte-basico-de-vida-" xr:uid="{00000000-0004-0000-0200-00000F000000}"/>
    <hyperlink ref="B48" r:id="rId17" display="https://centrodecapacitaciondelsur.com/soporte-basico-de-vida-" xr:uid="{00000000-0004-0000-0200-000010000000}"/>
    <hyperlink ref="B49" r:id="rId18" display="https://centrodecapacitaciondelsur.com/soporte-basico-de-vida-" xr:uid="{00000000-0004-0000-0200-000011000000}"/>
    <hyperlink ref="B50" r:id="rId19" display="https://centrodecapacitaciondelsur.com/soporte-basico-de-vida-" xr:uid="{00000000-0004-0000-0200-000012000000}"/>
    <hyperlink ref="B51" r:id="rId20" display="https://centrodecapacitaciondelsur.com/soporte-basico-de-vida-" xr:uid="{00000000-0004-0000-0200-000013000000}"/>
    <hyperlink ref="B52" r:id="rId21" display="https://centrodecapacitaciondelsur.com/soporte-basico-de-vida-" xr:uid="{00000000-0004-0000-0200-000014000000}"/>
    <hyperlink ref="B53" r:id="rId22" display="https://centrodecapacitaciondelsur.com/soporte-basico-de-vida-" xr:uid="{00000000-0004-0000-0200-000015000000}"/>
    <hyperlink ref="B54" r:id="rId23" display="https://centrodecapacitaciondelsur.com/soporte-basico-de-vida-" xr:uid="{00000000-0004-0000-0200-000016000000}"/>
    <hyperlink ref="B55" r:id="rId24" display="https://centrodecapacitaciondelsur.com/soporte-basico-de-vida-" xr:uid="{00000000-0004-0000-0200-000017000000}"/>
    <hyperlink ref="B56" r:id="rId25" display="https://centrodecapacitaciondelsur.com/soporte-basico-de-vida-" xr:uid="{00000000-0004-0000-0200-000018000000}"/>
    <hyperlink ref="B57" r:id="rId26" display="https://centrodecapacitaciondelsur.com/soporte-basico-de-vida-" xr:uid="{00000000-0004-0000-0200-000019000000}"/>
    <hyperlink ref="B58" r:id="rId27" display="https://centrodecapacitaciondelsur.com/soporte-basico-de-vida-" xr:uid="{00000000-0004-0000-0200-00001A000000}"/>
    <hyperlink ref="B59" r:id="rId28" display="https://centrodecapacitaciondelsur.com/soporte-basico-de-vida-" xr:uid="{00000000-0004-0000-0200-00001B000000}"/>
    <hyperlink ref="B60" r:id="rId29" display="https://centrodecapacitaciondelsur.com/soporte-basico-de-vida-" xr:uid="{00000000-0004-0000-0200-00001C000000}"/>
    <hyperlink ref="B61" r:id="rId30" display="https://centrodecapacitaciondelsur.com/soporte-basico-de-vida-" xr:uid="{00000000-0004-0000-0200-00001D000000}"/>
    <hyperlink ref="B62" r:id="rId31" display="https://centrodecapacitaciondelsur.com/soporte-basico-de-vida-" xr:uid="{00000000-0004-0000-0200-00001E000000}"/>
    <hyperlink ref="B63" r:id="rId32" display="https://centrodecapacitaciondelsur.com/soporte-basico-de-vida-" xr:uid="{00000000-0004-0000-0200-00001F000000}"/>
    <hyperlink ref="B64" r:id="rId33" display="https://centrodecapacitaciondelsur.com/soporte-basico-de-vida-" xr:uid="{00000000-0004-0000-0200-000020000000}"/>
    <hyperlink ref="B65" r:id="rId34" display="https://centrodecapacitaciondelsur.com/soporte-basico-de-vida-" xr:uid="{00000000-0004-0000-0200-000021000000}"/>
    <hyperlink ref="B66" r:id="rId35" display="https://centrodecapacitaciondelsur.com/soporte-basico-de-vida-" xr:uid="{00000000-0004-0000-0200-000022000000}"/>
    <hyperlink ref="B67" r:id="rId36" display="https://centrodecapacitaciondelsur.com/soporte-basico-de-vida-" xr:uid="{00000000-0004-0000-0200-000023000000}"/>
    <hyperlink ref="B68" r:id="rId37" display="https://centrodecapacitaciondelsur.com/soporte-basico-de-vida-" xr:uid="{00000000-0004-0000-0200-000024000000}"/>
    <hyperlink ref="B69" r:id="rId38" display="https://centrodecapacitaciondelsur.com/soporte-basico-de-vida-" xr:uid="{00000000-0004-0000-0200-000025000000}"/>
    <hyperlink ref="B70" r:id="rId39" display="https://centrodecapacitaciondelsur.com/soporte-basico-de-vida-" xr:uid="{00000000-0004-0000-0200-000026000000}"/>
    <hyperlink ref="B71" r:id="rId40" display="https://centrodecapacitaciondelsur.com/soporte-basico-de-vida-" xr:uid="{00000000-0004-0000-0200-000027000000}"/>
    <hyperlink ref="B72" r:id="rId41" display="https://centrodecapacitaciondelsur.com/soporte-basico-de-vida-" xr:uid="{00000000-0004-0000-0200-000028000000}"/>
    <hyperlink ref="B73" r:id="rId42" display="https://centrodecapacitaciondelsur.com/soporte-basico-de-vida-" xr:uid="{00000000-0004-0000-0200-000029000000}"/>
    <hyperlink ref="B74" r:id="rId43" display="https://centrodecapacitaciondelsur.com/soporte-basico-de-vida-" xr:uid="{00000000-0004-0000-0200-00002A000000}"/>
    <hyperlink ref="B75" r:id="rId44" display="https://centrodecapacitaciondelsur.com/soporte-basico-de-vida-" xr:uid="{00000000-0004-0000-0200-00002B000000}"/>
    <hyperlink ref="B76" r:id="rId45" display="https://centrodecapacitaciondelsur.com/soporte-basico-de-vida-" xr:uid="{00000000-0004-0000-0200-00002C000000}"/>
    <hyperlink ref="B77" r:id="rId46" display="https://centrodecapacitaciondelsur.com/soporte-basico-de-vida-" xr:uid="{00000000-0004-0000-0200-00002D000000}"/>
    <hyperlink ref="B78" r:id="rId47" display="https://centrodecapacitaciondelsur.com/soporte-basico-de-vida-" xr:uid="{00000000-0004-0000-0200-00002E000000}"/>
    <hyperlink ref="B79" r:id="rId48" display="https://centrodecapacitaciondelsur.com/soporte-basico-de-vida-" xr:uid="{00000000-0004-0000-0200-00002F000000}"/>
    <hyperlink ref="B80" r:id="rId49" display="https://centrodecapacitaciondelsur.com/soporte-basico-de-vida-" xr:uid="{00000000-0004-0000-0200-000030000000}"/>
    <hyperlink ref="B81" r:id="rId50" display="https://centrodecapacitaciondelsur.com/soporte-basico-de-vida-" xr:uid="{00000000-0004-0000-0200-000031000000}"/>
    <hyperlink ref="B82" r:id="rId51" display="https://centrodecapacitaciondelsur.com/soporte-basico-de-vida-" xr:uid="{00000000-0004-0000-0200-000032000000}"/>
    <hyperlink ref="B83" r:id="rId52" display="https://centrodecapacitaciondelsur.com/soporte-basico-de-vida-" xr:uid="{00000000-0004-0000-0200-000033000000}"/>
    <hyperlink ref="B84" r:id="rId53" display="https://centrodecapacitaciondelsur.com/soporte-basico-de-vida-" xr:uid="{00000000-0004-0000-0200-000034000000}"/>
    <hyperlink ref="B85" r:id="rId54" display="https://centrodecapacitaciondelsur.com/soporte-basico-de-vida-" xr:uid="{00000000-0004-0000-0200-000035000000}"/>
    <hyperlink ref="B86" r:id="rId55" display="https://centrodecapacitaciondelsur.com/soporte-basico-de-vida-" xr:uid="{00000000-0004-0000-0200-000036000000}"/>
    <hyperlink ref="B87" r:id="rId56" display="https://centrodecapacitaciondelsur.com/soporte-basico-de-vida-" xr:uid="{00000000-0004-0000-0200-000037000000}"/>
    <hyperlink ref="B88" r:id="rId57" display="https://centrodecapacitaciondelsur.com/soporte-basico-de-vida-" xr:uid="{00000000-0004-0000-0200-000038000000}"/>
    <hyperlink ref="B89" r:id="rId58" display="https://centrodecapacitaciondelsur.com/soporte-basico-de-vida-" xr:uid="{00000000-0004-0000-0200-000039000000}"/>
    <hyperlink ref="B90" r:id="rId59" display="https://centrodecapacitaciondelsur.com/soporte-basico-de-vida-" xr:uid="{00000000-0004-0000-0200-00003A000000}"/>
    <hyperlink ref="B91" r:id="rId60" display="https://centrodecapacitaciondelsur.com/soporte-basico-de-vida-" xr:uid="{00000000-0004-0000-0200-00003B000000}"/>
    <hyperlink ref="B92" r:id="rId61" display="https://centrodecapacitaciondelsur.com/soporte-basico-de-vida-" xr:uid="{00000000-0004-0000-0200-00003C000000}"/>
    <hyperlink ref="B93" r:id="rId62" display="https://centrodecapacitaciondelsur.com/soporte-basico-de-vida-" xr:uid="{00000000-0004-0000-0200-00003D000000}"/>
    <hyperlink ref="B94" r:id="rId63" display="https://centrodecapacitaciondelsur.com/soporte-basico-de-vida-" xr:uid="{00000000-0004-0000-0200-00003E000000}"/>
    <hyperlink ref="B95" r:id="rId64" display="https://centrodecapacitaciondelsur.com/soporte-basico-de-vida-" xr:uid="{00000000-0004-0000-0200-00003F000000}"/>
    <hyperlink ref="B96" r:id="rId65" display="https://centrodecapacitaciondelsur.com/soporte-basico-de-vida-" xr:uid="{00000000-0004-0000-0200-000040000000}"/>
    <hyperlink ref="B97" r:id="rId66" display="https://centrodecapacitaciondelsur.com/soporte-basico-de-vida-" xr:uid="{00000000-0004-0000-0200-000041000000}"/>
    <hyperlink ref="B98" r:id="rId67" display="https://centrodecapacitaciondelsur.com/soporte-basico-de-vida-" xr:uid="{00000000-0004-0000-0200-000042000000}"/>
    <hyperlink ref="B99" r:id="rId68" display="https://centrodecapacitaciondelsur.com/soporte-basico-de-vida-" xr:uid="{00000000-0004-0000-0200-000043000000}"/>
    <hyperlink ref="B100" r:id="rId69" display="https://centrodecapacitaciondelsur.com/soporte-basico-de-vida-" xr:uid="{00000000-0004-0000-0200-000044000000}"/>
    <hyperlink ref="B101" r:id="rId70" display="https://centrodecapacitaciondelsur.com/soporte-basico-de-vida-" xr:uid="{00000000-0004-0000-0200-000045000000}"/>
    <hyperlink ref="B102" r:id="rId71" display="https://centrodecapacitaciondelsur.com/soporte-basico-de-vida-" xr:uid="{00000000-0004-0000-0200-000046000000}"/>
    <hyperlink ref="B103" r:id="rId72" display="https://centrodecapacitaciondelsur.com/soporte-basico-de-vida-" xr:uid="{00000000-0004-0000-0200-000047000000}"/>
    <hyperlink ref="B104" r:id="rId73" display="https://centrodecapacitaciondelsur.com/soporte-basico-de-vida-" xr:uid="{00000000-0004-0000-0200-000048000000}"/>
    <hyperlink ref="B105" r:id="rId74" display="https://centrodecapacitaciondelsur.com/soporte-basico-de-vida-" xr:uid="{00000000-0004-0000-0200-000049000000}"/>
    <hyperlink ref="B106" r:id="rId75" display="https://centrodecapacitaciondelsur.com/soporte-basico-de-vida-" xr:uid="{00000000-0004-0000-0200-00004A000000}"/>
    <hyperlink ref="B107" r:id="rId76" display="https://centrodecapacitaciondelsur.com/soporte-basico-de-vida-" xr:uid="{00000000-0004-0000-0200-00004B000000}"/>
    <hyperlink ref="B108" r:id="rId77" display="https://centrodecapacitaciondelsur.com/soporte-basico-de-vida-" xr:uid="{00000000-0004-0000-0200-00004C000000}"/>
    <hyperlink ref="B109" r:id="rId78" display="https://centrodecapacitaciondelsur.com/soporte-basico-de-vida-" xr:uid="{00000000-0004-0000-0200-00004D000000}"/>
    <hyperlink ref="B110" r:id="rId79" display="https://centrodecapacitaciondelsur.com/soporte-basico-de-vida-" xr:uid="{00000000-0004-0000-0200-00004E000000}"/>
    <hyperlink ref="B111" r:id="rId80" display="https://centrodecapacitaciondelsur.com/soporte-basico-de-vida-" xr:uid="{00000000-0004-0000-0200-00004F000000}"/>
    <hyperlink ref="B112" r:id="rId81" display="https://centrodecapacitaciondelsur.com/soporte-basico-de-vida-" xr:uid="{00000000-0004-0000-0200-000050000000}"/>
    <hyperlink ref="B113" r:id="rId82" display="https://centrodecapacitaciondelsur.com/soporte-basico-de-vida-" xr:uid="{00000000-0004-0000-0200-000051000000}"/>
    <hyperlink ref="B114" r:id="rId83" display="https://centrodecapacitaciondelsur.com/soporte-basico-de-vida-" xr:uid="{00000000-0004-0000-0200-000052000000}"/>
    <hyperlink ref="B115" r:id="rId84" display="https://centrodecapacitaciondelsur.com/soporte-basico-de-vida-" xr:uid="{00000000-0004-0000-0200-000053000000}"/>
    <hyperlink ref="B116" r:id="rId85" display="https://centrodecapacitaciondelsur.com/soporte-basico-de-vida-" xr:uid="{00000000-0004-0000-0200-000054000000}"/>
    <hyperlink ref="B117" r:id="rId86" display="https://centrodecapacitaciondelsur.com/soporte-basico-de-vida-" xr:uid="{00000000-0004-0000-0200-000055000000}"/>
    <hyperlink ref="B118" r:id="rId87" display="https://centrodecapacitaciondelsur.com/soporte-basico-de-vida-" xr:uid="{00000000-0004-0000-0200-000056000000}"/>
    <hyperlink ref="B119" r:id="rId88" display="https://centrodecapacitaciondelsur.com/soporte-basico-de-vida-" xr:uid="{00000000-0004-0000-0200-000057000000}"/>
    <hyperlink ref="B120" r:id="rId89" display="https://centrodecapacitaciondelsur.com/soporte-basico-de-vida-" xr:uid="{00000000-0004-0000-0200-000058000000}"/>
    <hyperlink ref="B121" r:id="rId90" display="https://centrodecapacitaciondelsur.com/soporte-basico-de-vida-" xr:uid="{00000000-0004-0000-0200-000059000000}"/>
    <hyperlink ref="B122" r:id="rId91" display="https://centrodecapacitaciondelsur.com/soporte-basico-de-vida-" xr:uid="{00000000-0004-0000-0200-00005A000000}"/>
    <hyperlink ref="B123" r:id="rId92" display="https://centrodecapacitaciondelsur.com/soporte-basico-de-vida-" xr:uid="{00000000-0004-0000-0200-00005B000000}"/>
    <hyperlink ref="B124" r:id="rId93" display="https://centrodecapacitaciondelsur.com/soporte-basico-de-vida-" xr:uid="{00000000-0004-0000-0200-00005C000000}"/>
    <hyperlink ref="B125" r:id="rId94" display="https://centrodecapacitaciondelsur.com/soporte-basico-de-vida-" xr:uid="{00000000-0004-0000-0200-00005D000000}"/>
    <hyperlink ref="B126" r:id="rId95" display="https://centrodecapacitaciondelsur.com/soporte-basico-de-vida-" xr:uid="{00000000-0004-0000-0200-00005E000000}"/>
    <hyperlink ref="B127" r:id="rId96" display="https://centrodecapacitaciondelsur.com/soporte-basico-de-vida-" xr:uid="{00000000-0004-0000-0200-00005F000000}"/>
    <hyperlink ref="B128" r:id="rId97" display="https://centrodecapacitaciondelsur.com/soporte-basico-de-vida-" xr:uid="{00000000-0004-0000-0200-000060000000}"/>
    <hyperlink ref="B129" r:id="rId98" display="https://centrodecapacitaciondelsur.com/soporte-basico-de-vida-" xr:uid="{00000000-0004-0000-0200-000061000000}"/>
    <hyperlink ref="B130" r:id="rId99" display="https://centrodecapacitaciondelsur.com/soporte-basico-de-vida-" xr:uid="{00000000-0004-0000-0200-000062000000}"/>
    <hyperlink ref="B131" r:id="rId100" display="https://centrodecapacitaciondelsur.com/soporte-basico-de-vida-" xr:uid="{00000000-0004-0000-0200-000063000000}"/>
    <hyperlink ref="B132" r:id="rId101" display="https://centrodecapacitaciondelsur.com/soporte-basico-de-vida-" xr:uid="{00000000-0004-0000-0200-000064000000}"/>
    <hyperlink ref="B133" r:id="rId102" display="https://centrodecapacitaciondelsur.com/soporte-basico-de-vida-" xr:uid="{00000000-0004-0000-0200-000065000000}"/>
    <hyperlink ref="B134" r:id="rId103" display="https://centrodecapacitaciondelsur.com/soporte-basico-de-vida-" xr:uid="{00000000-0004-0000-0200-000066000000}"/>
    <hyperlink ref="B135" r:id="rId104" display="https://centrodecapacitaciondelsur.com/soporte-basico-de-vida-" xr:uid="{00000000-0004-0000-0200-000067000000}"/>
    <hyperlink ref="B136" r:id="rId105" display="https://centrodecapacitaciondelsur.com/soporte-basico-de-vida-" xr:uid="{00000000-0004-0000-0200-000068000000}"/>
    <hyperlink ref="B137" r:id="rId106" display="https://centrodecapacitaciondelsur.com/soporte-basico-de-vida-" xr:uid="{00000000-0004-0000-0200-000069000000}"/>
    <hyperlink ref="B138" r:id="rId107" display="https://centrodecapacitaciondelsur.com/soporte-basico-de-vida-" xr:uid="{00000000-0004-0000-0200-00006A000000}"/>
    <hyperlink ref="B139" r:id="rId108" display="https://centrodecapacitaciondelsur.com/soporte-basico-de-vida-" xr:uid="{00000000-0004-0000-0200-00006B000000}"/>
    <hyperlink ref="B140" r:id="rId109" display="https://centrodecapacitaciondelsur.com/soporte-basico-de-vida-" xr:uid="{00000000-0004-0000-0200-00006C000000}"/>
    <hyperlink ref="B141" r:id="rId110" display="https://centrodecapacitaciondelsur.com/soporte-basico-de-vida-" xr:uid="{00000000-0004-0000-0200-00006D000000}"/>
    <hyperlink ref="B143" r:id="rId111" display="https://centrodecapacitaciondelsur.com/soporte-basico-de-vida-" xr:uid="{00000000-0004-0000-0200-00006E000000}"/>
    <hyperlink ref="B145" r:id="rId112" display="https://centrodecapacitaciondelsur.com/soporte-basico-de-vida-" xr:uid="{00000000-0004-0000-0200-00006F000000}"/>
    <hyperlink ref="B147" r:id="rId113" display="https://centrodecapacitaciondelsur.com/soporte-basico-de-vida-" xr:uid="{00000000-0004-0000-0200-000070000000}"/>
    <hyperlink ref="B149" r:id="rId114" display="https://centrodecapacitaciondelsur.com/soporte-basico-de-vida-" xr:uid="{00000000-0004-0000-0200-000071000000}"/>
    <hyperlink ref="B151" r:id="rId115" display="https://centrodecapacitaciondelsur.com/soporte-basico-de-vida-" xr:uid="{00000000-0004-0000-0200-000072000000}"/>
    <hyperlink ref="B153" r:id="rId116" display="https://centrodecapacitaciondelsur.com/soporte-basico-de-vida-" xr:uid="{00000000-0004-0000-0200-000073000000}"/>
    <hyperlink ref="B155" r:id="rId117" display="https://centrodecapacitaciondelsur.com/soporte-basico-de-vida-" xr:uid="{00000000-0004-0000-0200-000074000000}"/>
    <hyperlink ref="B157" r:id="rId118" display="https://centrodecapacitaciondelsur.com/soporte-basico-de-vida-" xr:uid="{00000000-0004-0000-0200-000075000000}"/>
    <hyperlink ref="B159" r:id="rId119" display="https://centrodecapacitaciondelsur.com/soporte-basico-de-vida-" xr:uid="{00000000-0004-0000-0200-000076000000}"/>
    <hyperlink ref="B161" r:id="rId120" display="https://centrodecapacitaciondelsur.com/soporte-basico-de-vida-" xr:uid="{00000000-0004-0000-0200-000077000000}"/>
    <hyperlink ref="B163" r:id="rId121" display="https://centrodecapacitaciondelsur.com/soporte-basico-de-vida-" xr:uid="{00000000-0004-0000-0200-000078000000}"/>
    <hyperlink ref="B165" r:id="rId122" display="https://centrodecapacitaciondelsur.com/soporte-basico-de-vida-" xr:uid="{00000000-0004-0000-0200-000079000000}"/>
    <hyperlink ref="B167" r:id="rId123" display="https://centrodecapacitaciondelsur.com/soporte-basico-de-vida-" xr:uid="{00000000-0004-0000-0200-00007A000000}"/>
    <hyperlink ref="B169" r:id="rId124" display="https://centrodecapacitaciondelsur.com/soporte-basico-de-vida-" xr:uid="{00000000-0004-0000-0200-00007B000000}"/>
    <hyperlink ref="B171" r:id="rId125" display="https://centrodecapacitaciondelsur.com/soporte-basico-de-vida-" xr:uid="{00000000-0004-0000-0200-00007C000000}"/>
    <hyperlink ref="B173" r:id="rId126" display="https://centrodecapacitaciondelsur.com/soporte-basico-de-vida-" xr:uid="{00000000-0004-0000-0200-00007D000000}"/>
    <hyperlink ref="B142" r:id="rId127" display="https://centrodecapacitaciondelsur.com/soporte-basico-de-vida-" xr:uid="{00000000-0004-0000-0200-00007E000000}"/>
    <hyperlink ref="B144" r:id="rId128" display="https://centrodecapacitaciondelsur.com/soporte-basico-de-vida-" xr:uid="{00000000-0004-0000-0200-00007F000000}"/>
    <hyperlink ref="B146" r:id="rId129" display="https://centrodecapacitaciondelsur.com/soporte-basico-de-vida-" xr:uid="{00000000-0004-0000-0200-000080000000}"/>
    <hyperlink ref="B148" r:id="rId130" display="https://centrodecapacitaciondelsur.com/soporte-basico-de-vida-" xr:uid="{00000000-0004-0000-0200-000081000000}"/>
    <hyperlink ref="B150" r:id="rId131" display="https://centrodecapacitaciondelsur.com/soporte-basico-de-vida-" xr:uid="{00000000-0004-0000-0200-000082000000}"/>
    <hyperlink ref="B152" r:id="rId132" display="https://centrodecapacitaciondelsur.com/soporte-basico-de-vida-" xr:uid="{00000000-0004-0000-0200-000083000000}"/>
    <hyperlink ref="B154" r:id="rId133" display="https://centrodecapacitaciondelsur.com/soporte-basico-de-vida-" xr:uid="{00000000-0004-0000-0200-000084000000}"/>
    <hyperlink ref="B156" r:id="rId134" display="https://centrodecapacitaciondelsur.com/soporte-basico-de-vida-" xr:uid="{00000000-0004-0000-0200-000085000000}"/>
    <hyperlink ref="B158" r:id="rId135" display="https://centrodecapacitaciondelsur.com/soporte-basico-de-vida-" xr:uid="{00000000-0004-0000-0200-000086000000}"/>
    <hyperlink ref="B160" r:id="rId136" display="https://centrodecapacitaciondelsur.com/soporte-basico-de-vida-" xr:uid="{00000000-0004-0000-0200-000087000000}"/>
    <hyperlink ref="B162" r:id="rId137" display="https://centrodecapacitaciondelsur.com/soporte-basico-de-vida-" xr:uid="{00000000-0004-0000-0200-000088000000}"/>
    <hyperlink ref="B164" r:id="rId138" display="https://centrodecapacitaciondelsur.com/soporte-basico-de-vida-" xr:uid="{00000000-0004-0000-0200-000089000000}"/>
    <hyperlink ref="B166" r:id="rId139" display="https://centrodecapacitaciondelsur.com/soporte-basico-de-vida-" xr:uid="{00000000-0004-0000-0200-00008A000000}"/>
    <hyperlink ref="B168" r:id="rId140" display="https://centrodecapacitaciondelsur.com/soporte-basico-de-vida-" xr:uid="{00000000-0004-0000-0200-00008B000000}"/>
    <hyperlink ref="B170" r:id="rId141" display="https://centrodecapacitaciondelsur.com/soporte-basico-de-vida-" xr:uid="{00000000-0004-0000-0200-00008C000000}"/>
    <hyperlink ref="B172" r:id="rId142" display="https://centrodecapacitaciondelsur.com/soporte-basico-de-vida-" xr:uid="{00000000-0004-0000-0200-00008D000000}"/>
    <hyperlink ref="B174" r:id="rId143" display="https://centrodecapacitaciondelsur.com/soporte-basico-de-vida-" xr:uid="{00000000-0004-0000-0200-00008E000000}"/>
    <hyperlink ref="B175" r:id="rId144" display="https://centrodecapacitaciondelsur.com/soporte-basico-de-vida-" xr:uid="{00000000-0004-0000-0200-00008F000000}"/>
    <hyperlink ref="B176" r:id="rId145" display="https://centrodecapacitaciondelsur.com/soporte-basico-de-vida-" xr:uid="{00000000-0004-0000-0200-000090000000}"/>
    <hyperlink ref="B177" r:id="rId146" display="https://centrodecapacitaciondelsur.com/soporte-basico-de-vida-" xr:uid="{00000000-0004-0000-0200-000091000000}"/>
    <hyperlink ref="B178" r:id="rId147" display="https://centrodecapacitaciondelsur.com/soporte-basico-de-vida-" xr:uid="{00000000-0004-0000-0200-000092000000}"/>
    <hyperlink ref="B180" r:id="rId148" display="https://centrodecapacitaciondelsur.com/soporte-basico-de-vida-" xr:uid="{00000000-0004-0000-0200-000093000000}"/>
    <hyperlink ref="B181" r:id="rId149" display="https://centrodecapacitaciondelsur.com/soporte-basico-de-vida-" xr:uid="{00000000-0004-0000-0200-000094000000}"/>
    <hyperlink ref="B182" r:id="rId150" display="https://centrodecapacitaciondelsur.com/soporte-basico-de-vida-" xr:uid="{00000000-0004-0000-0200-000095000000}"/>
    <hyperlink ref="B183" r:id="rId151" display="https://centrodecapacitaciondelsur.com/soporte-basico-de-vida-" xr:uid="{00000000-0004-0000-0200-000096000000}"/>
    <hyperlink ref="B184" r:id="rId152" display="https://centrodecapacitaciondelsur.com/soporte-basico-de-vida-" xr:uid="{00000000-0004-0000-0200-000097000000}"/>
    <hyperlink ref="B185" r:id="rId153" display="https://centrodecapacitaciondelsur.com/soporte-basico-de-vida-" xr:uid="{00000000-0004-0000-0200-000098000000}"/>
    <hyperlink ref="B186" r:id="rId154" display="https://centrodecapacitaciondelsur.com/soporte-basico-de-vida-" xr:uid="{00000000-0004-0000-0200-000099000000}"/>
    <hyperlink ref="B187" r:id="rId155" display="https://centrodecapacitaciondelsur.com/soporte-basico-de-vida-" xr:uid="{00000000-0004-0000-0200-00009A000000}"/>
    <hyperlink ref="B188" r:id="rId156" display="https://centrodecapacitaciondelsur.com/soporte-basico-de-vida-" xr:uid="{00000000-0004-0000-0200-00009B000000}"/>
    <hyperlink ref="B189" r:id="rId157" display="https://centrodecapacitaciondelsur.com/soporte-basico-de-vida-" xr:uid="{00000000-0004-0000-0200-00009C000000}"/>
    <hyperlink ref="B190" r:id="rId158" display="https://centrodecapacitaciondelsur.com/soporte-basico-de-vida-" xr:uid="{00000000-0004-0000-0200-00009D000000}"/>
    <hyperlink ref="B191" r:id="rId159" display="https://centrodecapacitaciondelsur.com/soporte-basico-de-vida-" xr:uid="{00000000-0004-0000-0200-00009E000000}"/>
    <hyperlink ref="B192" r:id="rId160" display="https://centrodecapacitaciondelsur.com/soporte-basico-de-vida-" xr:uid="{00000000-0004-0000-0200-00009F000000}"/>
    <hyperlink ref="B193" r:id="rId161" display="https://centrodecapacitaciondelsur.com/soporte-basico-de-vida-" xr:uid="{00000000-0004-0000-0200-0000A0000000}"/>
    <hyperlink ref="B194" r:id="rId162" display="https://centrodecapacitaciondelsur.com/soporte-basico-de-vida-" xr:uid="{00000000-0004-0000-0200-0000A1000000}"/>
    <hyperlink ref="B195" r:id="rId163" display="https://centrodecapacitaciondelsur.com/soporte-basico-de-vida-" xr:uid="{00000000-0004-0000-0200-0000A2000000}"/>
    <hyperlink ref="B196" r:id="rId164" display="https://centrodecapacitaciondelsur.com/soporte-basico-de-vida-" xr:uid="{00000000-0004-0000-0200-0000A3000000}"/>
    <hyperlink ref="B197" r:id="rId165" display="https://centrodecapacitaciondelsur.com/soporte-basico-de-vida-" xr:uid="{00000000-0004-0000-0200-0000A4000000}"/>
    <hyperlink ref="B198" r:id="rId166" display="https://centrodecapacitaciondelsur.com/soporte-basico-de-vida-" xr:uid="{00000000-0004-0000-0200-0000A5000000}"/>
    <hyperlink ref="B199" r:id="rId167" display="https://centrodecapacitaciondelsur.com/soporte-basico-de-vida-" xr:uid="{00000000-0004-0000-0200-0000A6000000}"/>
    <hyperlink ref="B200" r:id="rId168" display="https://centrodecapacitaciondelsur.com/soporte-basico-de-vida-" xr:uid="{00000000-0004-0000-0200-0000A7000000}"/>
    <hyperlink ref="B201" r:id="rId169" display="https://centrodecapacitaciondelsur.com/soporte-basico-de-vida-" xr:uid="{00000000-0004-0000-0200-0000A8000000}"/>
    <hyperlink ref="B202" r:id="rId170" display="https://centrodecapacitaciondelsur.com/soporte-basico-de-vida-" xr:uid="{00000000-0004-0000-0200-0000A9000000}"/>
    <hyperlink ref="B203" r:id="rId171" display="https://centrodecapacitaciondelsur.com/soporte-basico-de-vida-" xr:uid="{00000000-0004-0000-0200-0000AA000000}"/>
    <hyperlink ref="B204" r:id="rId172" display="https://centrodecapacitaciondelsur.com/soporte-basico-de-vida-" xr:uid="{00000000-0004-0000-0200-0000AB000000}"/>
    <hyperlink ref="B205" r:id="rId173" display="https://centrodecapacitaciondelsur.com/soporte-basico-de-vida-" xr:uid="{00000000-0004-0000-0200-0000AC000000}"/>
    <hyperlink ref="B206" r:id="rId174" display="https://centrodecapacitaciondelsur.com/soporte-basico-de-vida-" xr:uid="{00000000-0004-0000-0200-0000AD000000}"/>
    <hyperlink ref="B207" r:id="rId175" display="https://centrodecapacitaciondelsur.com/soporte-basico-de-vida-" xr:uid="{00000000-0004-0000-0200-0000AE000000}"/>
    <hyperlink ref="B208" r:id="rId176" display="https://centrodecapacitaciondelsur.com/soporte-basico-de-vida-" xr:uid="{00000000-0004-0000-0200-0000AF000000}"/>
    <hyperlink ref="B209" r:id="rId177" display="https://centrodecapacitaciondelsur.com/soporte-basico-de-vida-" xr:uid="{00000000-0004-0000-0200-0000B0000000}"/>
    <hyperlink ref="B210" r:id="rId178" display="https://centrodecapacitaciondelsur.com/soporte-basico-de-vida-" xr:uid="{00000000-0004-0000-0200-0000B1000000}"/>
    <hyperlink ref="B211" r:id="rId179" display="https://centrodecapacitaciondelsur.com/soporte-basico-de-vida-" xr:uid="{00000000-0004-0000-0200-0000B2000000}"/>
    <hyperlink ref="B212" r:id="rId180" display="https://centrodecapacitaciondelsur.com/soporte-basico-de-vida-" xr:uid="{00000000-0004-0000-0200-0000B3000000}"/>
    <hyperlink ref="B213" r:id="rId181" display="https://centrodecapacitaciondelsur.com/soporte-basico-de-vida-" xr:uid="{00000000-0004-0000-0200-0000B4000000}"/>
    <hyperlink ref="B214" r:id="rId182" display="https://centrodecapacitaciondelsur.com/soporte-basico-de-vida-" xr:uid="{00000000-0004-0000-0200-0000B5000000}"/>
    <hyperlink ref="B215" r:id="rId183" display="https://centrodecapacitaciondelsur.com/soporte-basico-de-vida-" xr:uid="{00000000-0004-0000-0200-0000B6000000}"/>
    <hyperlink ref="B216" r:id="rId184" display="https://centrodecapacitaciondelsur.com/soporte-basico-de-vida-" xr:uid="{00000000-0004-0000-0200-0000B7000000}"/>
    <hyperlink ref="B217" r:id="rId185" display="https://centrodecapacitaciondelsur.com/soporte-basico-de-vida-" xr:uid="{00000000-0004-0000-0200-0000B8000000}"/>
    <hyperlink ref="B218" r:id="rId186" display="https://centrodecapacitaciondelsur.com/soporte-basico-de-vida-" xr:uid="{00000000-0004-0000-0200-0000B9000000}"/>
    <hyperlink ref="B219" r:id="rId187" display="https://centrodecapacitaciondelsur.com/soporte-basico-de-vida-" xr:uid="{00000000-0004-0000-0200-0000BA000000}"/>
    <hyperlink ref="B220" r:id="rId188" display="https://centrodecapacitaciondelsur.com/soporte-basico-de-vida-" xr:uid="{00000000-0004-0000-0200-0000BB000000}"/>
    <hyperlink ref="B221" r:id="rId189" display="https://centrodecapacitaciondelsur.com/soporte-basico-de-vida-" xr:uid="{00000000-0004-0000-0200-0000BC000000}"/>
    <hyperlink ref="B222" r:id="rId190" display="https://centrodecapacitaciondelsur.com/soporte-basico-de-vida-" xr:uid="{00000000-0004-0000-0200-0000BD000000}"/>
    <hyperlink ref="B223" r:id="rId191" display="https://centrodecapacitaciondelsur.com/soporte-basico-de-vida-" xr:uid="{00000000-0004-0000-0200-0000BE000000}"/>
    <hyperlink ref="B224" r:id="rId192" display="https://centrodecapacitaciondelsur.com/soporte-basico-de-vida-" xr:uid="{00000000-0004-0000-0200-0000BF000000}"/>
    <hyperlink ref="B225" r:id="rId193" display="https://centrodecapacitaciondelsur.com/soporte-basico-de-vida-" xr:uid="{00000000-0004-0000-0200-0000C0000000}"/>
    <hyperlink ref="B226" r:id="rId194" display="https://centrodecapacitaciondelsur.com/soporte-basico-de-vida-" xr:uid="{00000000-0004-0000-0200-0000C1000000}"/>
    <hyperlink ref="B227" r:id="rId195" display="https://centrodecapacitaciondelsur.com/soporte-basico-de-vida-" xr:uid="{00000000-0004-0000-0200-0000C2000000}"/>
    <hyperlink ref="B228" r:id="rId196" display="https://centrodecapacitaciondelsur.com/soporte-basico-de-vida-" xr:uid="{00000000-0004-0000-0200-0000C3000000}"/>
    <hyperlink ref="B229" r:id="rId197" display="https://centrodecapacitaciondelsur.com/soporte-basico-de-vida-" xr:uid="{00000000-0004-0000-0200-0000C4000000}"/>
    <hyperlink ref="B230" r:id="rId198" display="https://centrodecapacitaciondelsur.com/soporte-basico-de-vida-" xr:uid="{00000000-0004-0000-0200-0000C5000000}"/>
    <hyperlink ref="B231" r:id="rId199" display="https://centrodecapacitaciondelsur.com/soporte-basico-de-vida-" xr:uid="{00000000-0004-0000-0200-0000C6000000}"/>
    <hyperlink ref="B232" r:id="rId200" display="https://centrodecapacitaciondelsur.com/soporte-basico-de-vida-" xr:uid="{00000000-0004-0000-0200-0000C7000000}"/>
    <hyperlink ref="B233" r:id="rId201" display="https://centrodecapacitaciondelsur.com/soporte-basico-de-vida-" xr:uid="{00000000-0004-0000-0200-0000C8000000}"/>
    <hyperlink ref="B234" r:id="rId202" display="https://centrodecapacitaciondelsur.com/soporte-basico-de-vida-" xr:uid="{00000000-0004-0000-0200-0000C9000000}"/>
    <hyperlink ref="B235" r:id="rId203" display="https://centrodecapacitaciondelsur.com/soporte-basico-de-vida-" xr:uid="{00000000-0004-0000-0200-0000CA000000}"/>
    <hyperlink ref="B236" r:id="rId204" display="https://centrodecapacitaciondelsur.com/soporte-basico-de-vida-" xr:uid="{00000000-0004-0000-0200-0000CB000000}"/>
    <hyperlink ref="B237" r:id="rId205" display="https://centrodecapacitaciondelsur.com/soporte-basico-de-vida-" xr:uid="{00000000-0004-0000-0200-0000CC000000}"/>
    <hyperlink ref="B238" r:id="rId206" display="https://centrodecapacitaciondelsur.com/soporte-basico-de-vida-" xr:uid="{00000000-0004-0000-0200-0000CD000000}"/>
    <hyperlink ref="B239" r:id="rId207" display="https://centrodecapacitaciondelsur.com/soporte-basico-de-vida-" xr:uid="{00000000-0004-0000-0200-0000CE000000}"/>
    <hyperlink ref="B240" r:id="rId208" display="https://centrodecapacitaciondelsur.com/soporte-basico-de-vida-" xr:uid="{00000000-0004-0000-0200-0000CF000000}"/>
    <hyperlink ref="B241" r:id="rId209" display="https://centrodecapacitaciondelsur.com/soporte-basico-de-vida-" xr:uid="{00000000-0004-0000-0200-0000D0000000}"/>
    <hyperlink ref="B242" r:id="rId210" display="https://centrodecapacitaciondelsur.com/soporte-basico-de-vida-" xr:uid="{00000000-0004-0000-0200-0000D1000000}"/>
    <hyperlink ref="B243" r:id="rId211" display="https://centrodecapacitaciondelsur.com/soporte-basico-de-vida-" xr:uid="{00000000-0004-0000-0200-0000D2000000}"/>
    <hyperlink ref="B244" r:id="rId212" display="https://centrodecapacitaciondelsur.com/soporte-basico-de-vida-" xr:uid="{00000000-0004-0000-0200-0000D3000000}"/>
  </hyperlinks>
  <pageMargins left="0.7" right="0.7" top="0.75" bottom="0.75" header="0.3" footer="0.3"/>
  <pageSetup orientation="portrait" r:id="rId2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2025-04-02T03:43:59Z</dcterms:modified>
</cp:coreProperties>
</file>