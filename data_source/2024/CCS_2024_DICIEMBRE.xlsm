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go\Downloads\"/>
    </mc:Choice>
  </mc:AlternateContent>
  <xr:revisionPtr revIDLastSave="0" documentId="13_ncr:1_{7FA9AAD3-083C-429F-88A7-4CFEA03968E2}" xr6:coauthVersionLast="47" xr6:coauthVersionMax="47" xr10:uidLastSave="{00000000-0000-0000-0000-000000000000}"/>
  <bookViews>
    <workbookView xWindow="-120" yWindow="-120" windowWidth="29040" windowHeight="15720" tabRatio="574" xr2:uid="{00000000-000D-0000-FFFF-FFFF00000000}"/>
  </bookViews>
  <sheets>
    <sheet name="INSCRITOS" sheetId="1" r:id="rId1"/>
    <sheet name="CURSOS" sheetId="2" r:id="rId2"/>
    <sheet name="LINK" sheetId="7" r:id="rId3"/>
  </sheets>
  <definedNames>
    <definedName name="_xlnm._FilterDatabase" localSheetId="0" hidden="1">INSCRITOS!$A$1:$X$1048556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4" i="7" l="1"/>
  <c r="B124" i="7" s="1"/>
  <c r="C124" i="7"/>
  <c r="A125" i="7"/>
  <c r="B125" i="7" s="1"/>
  <c r="C125" i="7"/>
  <c r="A126" i="7"/>
  <c r="B126" i="7" s="1"/>
  <c r="D126" i="7" s="1"/>
  <c r="C126" i="7"/>
  <c r="A127" i="7"/>
  <c r="B127" i="7" s="1"/>
  <c r="C127" i="7"/>
  <c r="A128" i="7"/>
  <c r="B128" i="7" s="1"/>
  <c r="D128" i="7" s="1"/>
  <c r="C128" i="7"/>
  <c r="A129" i="7"/>
  <c r="B129" i="7" s="1"/>
  <c r="C129" i="7"/>
  <c r="A130" i="7"/>
  <c r="B130" i="7" s="1"/>
  <c r="C130" i="7"/>
  <c r="A131" i="7"/>
  <c r="B131" i="7" s="1"/>
  <c r="C131" i="7"/>
  <c r="A132" i="7"/>
  <c r="B132" i="7" s="1"/>
  <c r="C132" i="7"/>
  <c r="A133" i="7"/>
  <c r="B133" i="7" s="1"/>
  <c r="C133" i="7"/>
  <c r="A134" i="7"/>
  <c r="B134" i="7" s="1"/>
  <c r="C134" i="7"/>
  <c r="A135" i="7"/>
  <c r="B135" i="7" s="1"/>
  <c r="D135" i="7" s="1"/>
  <c r="C135" i="7"/>
  <c r="A136" i="7"/>
  <c r="B136" i="7" s="1"/>
  <c r="C136" i="7"/>
  <c r="A137" i="7"/>
  <c r="B137" i="7" s="1"/>
  <c r="C137" i="7"/>
  <c r="A138" i="7"/>
  <c r="B138" i="7" s="1"/>
  <c r="C138" i="7"/>
  <c r="A139" i="7"/>
  <c r="B139" i="7"/>
  <c r="D139" i="7" s="1"/>
  <c r="C139" i="7"/>
  <c r="A140" i="7"/>
  <c r="B140" i="7" s="1"/>
  <c r="C140" i="7"/>
  <c r="A141" i="7"/>
  <c r="B141" i="7" s="1"/>
  <c r="C141" i="7"/>
  <c r="A142" i="7"/>
  <c r="B142" i="7" s="1"/>
  <c r="C142" i="7"/>
  <c r="A143" i="7"/>
  <c r="B143" i="7" s="1"/>
  <c r="C143" i="7"/>
  <c r="A144" i="7"/>
  <c r="B144" i="7" s="1"/>
  <c r="C144" i="7"/>
  <c r="A145" i="7"/>
  <c r="B145" i="7" s="1"/>
  <c r="C145" i="7"/>
  <c r="A146" i="7"/>
  <c r="B146" i="7" s="1"/>
  <c r="C146" i="7"/>
  <c r="A147" i="7"/>
  <c r="C147" i="7"/>
  <c r="A148" i="7"/>
  <c r="B148" i="7" s="1"/>
  <c r="C148" i="7"/>
  <c r="A149" i="7"/>
  <c r="B149" i="7" s="1"/>
  <c r="C149" i="7"/>
  <c r="A150" i="7"/>
  <c r="B150" i="7" s="1"/>
  <c r="C150" i="7"/>
  <c r="A151" i="7"/>
  <c r="B151" i="7" s="1"/>
  <c r="C151" i="7"/>
  <c r="A152" i="7"/>
  <c r="B152" i="7" s="1"/>
  <c r="C152" i="7"/>
  <c r="A153" i="7"/>
  <c r="B153" i="7" s="1"/>
  <c r="C153" i="7"/>
  <c r="A154" i="7"/>
  <c r="B154" i="7" s="1"/>
  <c r="C154" i="7"/>
  <c r="A155" i="7"/>
  <c r="B155" i="7"/>
  <c r="C155" i="7"/>
  <c r="A156" i="7"/>
  <c r="B156" i="7" s="1"/>
  <c r="C156" i="7"/>
  <c r="A157" i="7"/>
  <c r="B157" i="7" s="1"/>
  <c r="C157" i="7"/>
  <c r="A158" i="7"/>
  <c r="B158" i="7" s="1"/>
  <c r="C158" i="7"/>
  <c r="A159" i="7"/>
  <c r="B159" i="7" s="1"/>
  <c r="C159" i="7"/>
  <c r="A160" i="7"/>
  <c r="B160" i="7" s="1"/>
  <c r="C160" i="7"/>
  <c r="A161" i="7"/>
  <c r="B161" i="7" s="1"/>
  <c r="C161" i="7"/>
  <c r="A162" i="7"/>
  <c r="B162" i="7" s="1"/>
  <c r="C162" i="7"/>
  <c r="A163" i="7"/>
  <c r="B163" i="7" s="1"/>
  <c r="C163" i="7"/>
  <c r="A164" i="7"/>
  <c r="B164" i="7" s="1"/>
  <c r="C164" i="7"/>
  <c r="A165" i="7"/>
  <c r="B165" i="7" s="1"/>
  <c r="C165" i="7"/>
  <c r="A166" i="7"/>
  <c r="B166" i="7" s="1"/>
  <c r="C166" i="7"/>
  <c r="A167" i="7"/>
  <c r="B167" i="7" s="1"/>
  <c r="C167" i="7"/>
  <c r="A168" i="7"/>
  <c r="B168" i="7" s="1"/>
  <c r="C168" i="7"/>
  <c r="A169" i="7"/>
  <c r="B169" i="7" s="1"/>
  <c r="C169" i="7"/>
  <c r="A170" i="7"/>
  <c r="B170" i="7" s="1"/>
  <c r="C170" i="7"/>
  <c r="A171" i="7"/>
  <c r="B171" i="7"/>
  <c r="D171" i="7" s="1"/>
  <c r="C171" i="7"/>
  <c r="A172" i="7"/>
  <c r="B172" i="7" s="1"/>
  <c r="C172" i="7"/>
  <c r="A173" i="7"/>
  <c r="B173" i="7" s="1"/>
  <c r="C173" i="7"/>
  <c r="A174" i="7"/>
  <c r="B174" i="7" s="1"/>
  <c r="C174" i="7"/>
  <c r="A175" i="7"/>
  <c r="B175" i="7" s="1"/>
  <c r="C175" i="7"/>
  <c r="A176" i="7"/>
  <c r="B176" i="7" s="1"/>
  <c r="C176" i="7"/>
  <c r="A177" i="7"/>
  <c r="B177" i="7"/>
  <c r="C177" i="7"/>
  <c r="A178" i="7"/>
  <c r="B178" i="7" s="1"/>
  <c r="C178" i="7"/>
  <c r="A179" i="7"/>
  <c r="B179" i="7" s="1"/>
  <c r="D179" i="7" s="1"/>
  <c r="C179" i="7"/>
  <c r="A180" i="7"/>
  <c r="B180" i="7" s="1"/>
  <c r="D180" i="7" s="1"/>
  <c r="C180" i="7"/>
  <c r="A181" i="7"/>
  <c r="B181" i="7" s="1"/>
  <c r="C181" i="7"/>
  <c r="A182" i="7"/>
  <c r="B182" i="7" s="1"/>
  <c r="D182" i="7" s="1"/>
  <c r="C182" i="7"/>
  <c r="A183" i="7"/>
  <c r="B183" i="7" s="1"/>
  <c r="D183" i="7" s="1"/>
  <c r="C183" i="7"/>
  <c r="A184" i="7"/>
  <c r="B184" i="7" s="1"/>
  <c r="D184" i="7" s="1"/>
  <c r="C184" i="7"/>
  <c r="A185" i="7"/>
  <c r="B185" i="7"/>
  <c r="C185" i="7"/>
  <c r="A186" i="7"/>
  <c r="B186" i="7" s="1"/>
  <c r="C186" i="7"/>
  <c r="A187" i="7"/>
  <c r="B187" i="7"/>
  <c r="D187" i="7" s="1"/>
  <c r="C187" i="7"/>
  <c r="A188" i="7"/>
  <c r="B188" i="7" s="1"/>
  <c r="C188" i="7"/>
  <c r="A189" i="7"/>
  <c r="B189" i="7" s="1"/>
  <c r="C189" i="7"/>
  <c r="A190" i="7"/>
  <c r="B190" i="7" s="1"/>
  <c r="C190" i="7"/>
  <c r="A191" i="7"/>
  <c r="B191" i="7" s="1"/>
  <c r="C191" i="7"/>
  <c r="A192" i="7"/>
  <c r="B192" i="7" s="1"/>
  <c r="C192" i="7"/>
  <c r="A193" i="7"/>
  <c r="B193" i="7" s="1"/>
  <c r="D193" i="7" s="1"/>
  <c r="C193" i="7"/>
  <c r="A194" i="7"/>
  <c r="B194" i="7" s="1"/>
  <c r="C194" i="7"/>
  <c r="A195" i="7"/>
  <c r="B195" i="7"/>
  <c r="C195" i="7"/>
  <c r="A196" i="7"/>
  <c r="B196" i="7" s="1"/>
  <c r="D196" i="7" s="1"/>
  <c r="C196" i="7"/>
  <c r="A197" i="7"/>
  <c r="B197" i="7" s="1"/>
  <c r="D197" i="7" s="1"/>
  <c r="C197" i="7"/>
  <c r="A198" i="7"/>
  <c r="B198" i="7" s="1"/>
  <c r="C198" i="7"/>
  <c r="A199" i="7"/>
  <c r="B199" i="7" s="1"/>
  <c r="C199" i="7"/>
  <c r="A200" i="7"/>
  <c r="B200" i="7" s="1"/>
  <c r="D200" i="7" s="1"/>
  <c r="C200" i="7"/>
  <c r="A201" i="7"/>
  <c r="B201" i="7" s="1"/>
  <c r="D201" i="7" s="1"/>
  <c r="C201" i="7"/>
  <c r="A202" i="7"/>
  <c r="B202" i="7" s="1"/>
  <c r="C202" i="7"/>
  <c r="A203" i="7"/>
  <c r="B203" i="7"/>
  <c r="D203" i="7" s="1"/>
  <c r="C203" i="7"/>
  <c r="A204" i="7"/>
  <c r="B204" i="7" s="1"/>
  <c r="D204" i="7" s="1"/>
  <c r="C204" i="7"/>
  <c r="A205" i="7"/>
  <c r="B205" i="7" s="1"/>
  <c r="C205" i="7"/>
  <c r="A206" i="7"/>
  <c r="B206" i="7" s="1"/>
  <c r="C206" i="7"/>
  <c r="A207" i="7"/>
  <c r="B207" i="7" s="1"/>
  <c r="C207" i="7"/>
  <c r="A208" i="7"/>
  <c r="B208" i="7" s="1"/>
  <c r="D208" i="7" s="1"/>
  <c r="C208" i="7"/>
  <c r="A209" i="7"/>
  <c r="B209" i="7" s="1"/>
  <c r="D209" i="7" s="1"/>
  <c r="C209" i="7"/>
  <c r="A210" i="7"/>
  <c r="B210" i="7" s="1"/>
  <c r="C210" i="7"/>
  <c r="A211" i="7"/>
  <c r="B211" i="7" s="1"/>
  <c r="C211" i="7"/>
  <c r="A212" i="7"/>
  <c r="B212" i="7" s="1"/>
  <c r="C212" i="7"/>
  <c r="A213" i="7"/>
  <c r="B213" i="7" s="1"/>
  <c r="C213" i="7"/>
  <c r="A214" i="7"/>
  <c r="B214" i="7" s="1"/>
  <c r="C214" i="7"/>
  <c r="A215" i="7"/>
  <c r="B215" i="7" s="1"/>
  <c r="C215" i="7"/>
  <c r="A216" i="7"/>
  <c r="B216" i="7" s="1"/>
  <c r="C216" i="7"/>
  <c r="A217" i="7"/>
  <c r="B217" i="7" s="1"/>
  <c r="C217" i="7"/>
  <c r="A218" i="7"/>
  <c r="B218" i="7" s="1"/>
  <c r="C218" i="7"/>
  <c r="A219" i="7"/>
  <c r="B219" i="7"/>
  <c r="D219" i="7" s="1"/>
  <c r="C219" i="7"/>
  <c r="A220" i="7"/>
  <c r="B220" i="7" s="1"/>
  <c r="C220" i="7"/>
  <c r="A221" i="7"/>
  <c r="B221" i="7" s="1"/>
  <c r="C221" i="7"/>
  <c r="A222" i="7"/>
  <c r="B222" i="7" s="1"/>
  <c r="C222" i="7"/>
  <c r="A223" i="7"/>
  <c r="B223" i="7" s="1"/>
  <c r="C223" i="7"/>
  <c r="A224" i="7"/>
  <c r="B224" i="7" s="1"/>
  <c r="C224" i="7"/>
  <c r="A225" i="7"/>
  <c r="B225" i="7" s="1"/>
  <c r="C225" i="7"/>
  <c r="A226" i="7"/>
  <c r="B226" i="7" s="1"/>
  <c r="D226" i="7" s="1"/>
  <c r="C226" i="7"/>
  <c r="A227" i="7"/>
  <c r="B227" i="7" s="1"/>
  <c r="D227" i="7" s="1"/>
  <c r="C227" i="7"/>
  <c r="A228" i="7"/>
  <c r="B228" i="7" s="1"/>
  <c r="C228" i="7"/>
  <c r="A229" i="7"/>
  <c r="B229" i="7" s="1"/>
  <c r="C229" i="7"/>
  <c r="A230" i="7"/>
  <c r="B230" i="7" s="1"/>
  <c r="D230" i="7" s="1"/>
  <c r="C230" i="7"/>
  <c r="A231" i="7"/>
  <c r="B231" i="7" s="1"/>
  <c r="D231" i="7" s="1"/>
  <c r="C231" i="7"/>
  <c r="A232" i="7"/>
  <c r="B232" i="7" s="1"/>
  <c r="C232" i="7"/>
  <c r="A233" i="7"/>
  <c r="B233" i="7" s="1"/>
  <c r="C233" i="7"/>
  <c r="A234" i="7"/>
  <c r="B234" i="7" s="1"/>
  <c r="C234" i="7"/>
  <c r="A235" i="7"/>
  <c r="B235" i="7" s="1"/>
  <c r="D235" i="7" s="1"/>
  <c r="C235" i="7"/>
  <c r="A236" i="7"/>
  <c r="B236" i="7" s="1"/>
  <c r="C236" i="7"/>
  <c r="A237" i="7"/>
  <c r="B237" i="7" s="1"/>
  <c r="C237" i="7"/>
  <c r="A238" i="7"/>
  <c r="B238" i="7" s="1"/>
  <c r="C238" i="7"/>
  <c r="A239" i="7"/>
  <c r="B239" i="7" s="1"/>
  <c r="C239" i="7"/>
  <c r="A240" i="7"/>
  <c r="B240" i="7" s="1"/>
  <c r="C240" i="7"/>
  <c r="A241" i="7"/>
  <c r="B241" i="7"/>
  <c r="C241" i="7"/>
  <c r="A242" i="7"/>
  <c r="B242" i="7" s="1"/>
  <c r="C242" i="7"/>
  <c r="A243" i="7"/>
  <c r="B243" i="7" s="1"/>
  <c r="C243" i="7"/>
  <c r="A244" i="7"/>
  <c r="B244" i="7" s="1"/>
  <c r="C244" i="7"/>
  <c r="A245" i="7"/>
  <c r="B245" i="7" s="1"/>
  <c r="C245" i="7"/>
  <c r="A246" i="7"/>
  <c r="B246" i="7" s="1"/>
  <c r="C246" i="7"/>
  <c r="A247" i="7"/>
  <c r="B247" i="7" s="1"/>
  <c r="C247" i="7"/>
  <c r="A248" i="7"/>
  <c r="B248" i="7" s="1"/>
  <c r="C248" i="7"/>
  <c r="A249" i="7"/>
  <c r="B249" i="7"/>
  <c r="C249" i="7"/>
  <c r="A250" i="7"/>
  <c r="B250" i="7" s="1"/>
  <c r="C250" i="7"/>
  <c r="A251" i="7"/>
  <c r="B251" i="7" s="1"/>
  <c r="D251" i="7" s="1"/>
  <c r="C251" i="7"/>
  <c r="A252" i="7"/>
  <c r="B252" i="7" s="1"/>
  <c r="C252" i="7"/>
  <c r="A253" i="7"/>
  <c r="B253" i="7" s="1"/>
  <c r="C253" i="7"/>
  <c r="A254" i="7"/>
  <c r="B254" i="7" s="1"/>
  <c r="C254" i="7"/>
  <c r="A255" i="7"/>
  <c r="B255" i="7" s="1"/>
  <c r="C255" i="7"/>
  <c r="A256" i="7"/>
  <c r="B256" i="7" s="1"/>
  <c r="C256" i="7"/>
  <c r="A257" i="7"/>
  <c r="B257" i="7"/>
  <c r="D257" i="7" s="1"/>
  <c r="C257" i="7"/>
  <c r="A258" i="7"/>
  <c r="B258" i="7" s="1"/>
  <c r="D258" i="7" s="1"/>
  <c r="C258" i="7"/>
  <c r="A259" i="7"/>
  <c r="B259" i="7"/>
  <c r="C259" i="7"/>
  <c r="A260" i="7"/>
  <c r="B260" i="7" s="1"/>
  <c r="C260" i="7"/>
  <c r="A261" i="7"/>
  <c r="B261" i="7" s="1"/>
  <c r="C261" i="7"/>
  <c r="A262" i="7"/>
  <c r="B262" i="7" s="1"/>
  <c r="C262" i="7"/>
  <c r="A263" i="7"/>
  <c r="B263" i="7" s="1"/>
  <c r="C263" i="7"/>
  <c r="A264" i="7"/>
  <c r="B264" i="7" s="1"/>
  <c r="C264" i="7"/>
  <c r="A265" i="7"/>
  <c r="B265" i="7" s="1"/>
  <c r="C265" i="7"/>
  <c r="A266" i="7"/>
  <c r="B266" i="7" s="1"/>
  <c r="C266" i="7"/>
  <c r="A267" i="7"/>
  <c r="B267" i="7"/>
  <c r="D267" i="7" s="1"/>
  <c r="C267" i="7"/>
  <c r="A268" i="7"/>
  <c r="B268" i="7" s="1"/>
  <c r="C268" i="7"/>
  <c r="A269" i="7"/>
  <c r="B269" i="7" s="1"/>
  <c r="C269" i="7"/>
  <c r="A270" i="7"/>
  <c r="B270" i="7" s="1"/>
  <c r="C270" i="7"/>
  <c r="A271" i="7"/>
  <c r="B271" i="7" s="1"/>
  <c r="C271" i="7"/>
  <c r="A272" i="7"/>
  <c r="B272" i="7" s="1"/>
  <c r="C272" i="7"/>
  <c r="A273" i="7"/>
  <c r="B273" i="7"/>
  <c r="C273" i="7"/>
  <c r="A274" i="7"/>
  <c r="B274" i="7" s="1"/>
  <c r="D274" i="7" s="1"/>
  <c r="C274" i="7"/>
  <c r="A275" i="7"/>
  <c r="B275" i="7" s="1"/>
  <c r="D275" i="7" s="1"/>
  <c r="C275" i="7"/>
  <c r="A276" i="7"/>
  <c r="B276" i="7" s="1"/>
  <c r="D276" i="7" s="1"/>
  <c r="C276" i="7"/>
  <c r="A277" i="7"/>
  <c r="B277" i="7" s="1"/>
  <c r="C277" i="7"/>
  <c r="A278" i="7"/>
  <c r="B278" i="7" s="1"/>
  <c r="C278" i="7"/>
  <c r="A279" i="7"/>
  <c r="B279" i="7" s="1"/>
  <c r="C279" i="7"/>
  <c r="A280" i="7"/>
  <c r="B280" i="7" s="1"/>
  <c r="C280" i="7"/>
  <c r="A281" i="7"/>
  <c r="B281" i="7" s="1"/>
  <c r="C281" i="7"/>
  <c r="A282" i="7"/>
  <c r="B282" i="7" s="1"/>
  <c r="D282" i="7" s="1"/>
  <c r="C282" i="7"/>
  <c r="A283" i="7"/>
  <c r="B283" i="7" s="1"/>
  <c r="D283" i="7" s="1"/>
  <c r="C283" i="7"/>
  <c r="A284" i="7"/>
  <c r="B284" i="7" s="1"/>
  <c r="C284" i="7"/>
  <c r="A285" i="7"/>
  <c r="B285" i="7" s="1"/>
  <c r="C285" i="7"/>
  <c r="A286" i="7"/>
  <c r="B286" i="7" s="1"/>
  <c r="C286" i="7"/>
  <c r="A287" i="7"/>
  <c r="B287" i="7" s="1"/>
  <c r="C287" i="7"/>
  <c r="A288" i="7"/>
  <c r="B288" i="7" s="1"/>
  <c r="C288" i="7"/>
  <c r="A289" i="7"/>
  <c r="B289" i="7" s="1"/>
  <c r="C289" i="7"/>
  <c r="A290" i="7"/>
  <c r="B290" i="7" s="1"/>
  <c r="C290" i="7"/>
  <c r="A291" i="7"/>
  <c r="B291" i="7" s="1"/>
  <c r="C291" i="7"/>
  <c r="A292" i="7"/>
  <c r="B292" i="7" s="1"/>
  <c r="C292" i="7"/>
  <c r="A293" i="7"/>
  <c r="B293" i="7" s="1"/>
  <c r="C293" i="7"/>
  <c r="A294" i="7"/>
  <c r="B294" i="7" s="1"/>
  <c r="C294" i="7"/>
  <c r="A295" i="7"/>
  <c r="B295" i="7" s="1"/>
  <c r="C295" i="7"/>
  <c r="A296" i="7"/>
  <c r="B296" i="7"/>
  <c r="C296" i="7"/>
  <c r="A297" i="7"/>
  <c r="B297" i="7" s="1"/>
  <c r="D297" i="7" s="1"/>
  <c r="C297" i="7"/>
  <c r="A298" i="7"/>
  <c r="B298" i="7" s="1"/>
  <c r="D298" i="7" s="1"/>
  <c r="C298" i="7"/>
  <c r="A299" i="7"/>
  <c r="B299" i="7" s="1"/>
  <c r="C299" i="7"/>
  <c r="A300" i="7"/>
  <c r="B300" i="7"/>
  <c r="C300" i="7"/>
  <c r="A301" i="7"/>
  <c r="B301" i="7" s="1"/>
  <c r="C301" i="7"/>
  <c r="A302" i="7"/>
  <c r="B302" i="7"/>
  <c r="C302" i="7"/>
  <c r="A303" i="7"/>
  <c r="B303" i="7" s="1"/>
  <c r="C303" i="7"/>
  <c r="A304" i="7"/>
  <c r="B304" i="7" s="1"/>
  <c r="D304" i="7" s="1"/>
  <c r="C304" i="7"/>
  <c r="A305" i="7"/>
  <c r="B305" i="7" s="1"/>
  <c r="C305" i="7"/>
  <c r="A306" i="7"/>
  <c r="B306" i="7" s="1"/>
  <c r="C306" i="7"/>
  <c r="A307" i="7"/>
  <c r="B307" i="7" s="1"/>
  <c r="C307" i="7"/>
  <c r="A308" i="7"/>
  <c r="B308" i="7" s="1"/>
  <c r="C308" i="7"/>
  <c r="A309" i="7"/>
  <c r="B309" i="7" s="1"/>
  <c r="C309" i="7"/>
  <c r="A310" i="7"/>
  <c r="B310" i="7" s="1"/>
  <c r="C310" i="7"/>
  <c r="A311" i="7"/>
  <c r="B311" i="7" s="1"/>
  <c r="C311" i="7"/>
  <c r="A312" i="7"/>
  <c r="B312" i="7"/>
  <c r="D312" i="7" s="1"/>
  <c r="C312" i="7"/>
  <c r="A313" i="7"/>
  <c r="B313" i="7" s="1"/>
  <c r="D313" i="7" s="1"/>
  <c r="C313" i="7"/>
  <c r="A314" i="7"/>
  <c r="B314" i="7" s="1"/>
  <c r="C314" i="7"/>
  <c r="A315" i="7"/>
  <c r="B315" i="7" s="1"/>
  <c r="C315" i="7"/>
  <c r="A316" i="7"/>
  <c r="B316" i="7" s="1"/>
  <c r="D316" i="7" s="1"/>
  <c r="C316" i="7"/>
  <c r="A317" i="7"/>
  <c r="B317" i="7" s="1"/>
  <c r="C317" i="7"/>
  <c r="A318" i="7"/>
  <c r="B318" i="7"/>
  <c r="C318" i="7"/>
  <c r="A319" i="7"/>
  <c r="B319" i="7" s="1"/>
  <c r="C319" i="7"/>
  <c r="A320" i="7"/>
  <c r="B320" i="7" s="1"/>
  <c r="D320" i="7" s="1"/>
  <c r="C320" i="7"/>
  <c r="A321" i="7"/>
  <c r="B321" i="7" s="1"/>
  <c r="C321" i="7"/>
  <c r="A322" i="7"/>
  <c r="B322" i="7" s="1"/>
  <c r="C322" i="7"/>
  <c r="A323" i="7"/>
  <c r="B323" i="7" s="1"/>
  <c r="C323" i="7"/>
  <c r="A324" i="7"/>
  <c r="B324" i="7" s="1"/>
  <c r="C324" i="7"/>
  <c r="A325" i="7"/>
  <c r="B325" i="7" s="1"/>
  <c r="C325" i="7"/>
  <c r="A326" i="7"/>
  <c r="B326" i="7" s="1"/>
  <c r="C326" i="7"/>
  <c r="A327" i="7"/>
  <c r="B327" i="7" s="1"/>
  <c r="C327" i="7"/>
  <c r="A328" i="7"/>
  <c r="B328" i="7"/>
  <c r="C328" i="7"/>
  <c r="A329" i="7"/>
  <c r="B329" i="7" s="1"/>
  <c r="D329" i="7" s="1"/>
  <c r="C329" i="7"/>
  <c r="A330" i="7"/>
  <c r="B330" i="7" s="1"/>
  <c r="D330" i="7" s="1"/>
  <c r="C330" i="7"/>
  <c r="A331" i="7"/>
  <c r="B331" i="7" s="1"/>
  <c r="C331" i="7"/>
  <c r="A332" i="7"/>
  <c r="B332" i="7"/>
  <c r="C332" i="7"/>
  <c r="A333" i="7"/>
  <c r="B333" i="7" s="1"/>
  <c r="C333" i="7"/>
  <c r="A334" i="7"/>
  <c r="B334" i="7"/>
  <c r="C334" i="7"/>
  <c r="A335" i="7"/>
  <c r="B335" i="7" s="1"/>
  <c r="C335" i="7"/>
  <c r="A336" i="7"/>
  <c r="B336" i="7" s="1"/>
  <c r="D336" i="7" s="1"/>
  <c r="C336" i="7"/>
  <c r="A337" i="7"/>
  <c r="B337" i="7" s="1"/>
  <c r="C337" i="7"/>
  <c r="A338" i="7"/>
  <c r="B338" i="7" s="1"/>
  <c r="C338" i="7"/>
  <c r="A339" i="7"/>
  <c r="B339" i="7" s="1"/>
  <c r="C339" i="7"/>
  <c r="A340" i="7"/>
  <c r="B340" i="7" s="1"/>
  <c r="C340" i="7"/>
  <c r="A341" i="7"/>
  <c r="B341" i="7" s="1"/>
  <c r="C341" i="7"/>
  <c r="A342" i="7"/>
  <c r="B342" i="7" s="1"/>
  <c r="C342" i="7"/>
  <c r="A343" i="7"/>
  <c r="B343" i="7" s="1"/>
  <c r="C343" i="7"/>
  <c r="A344" i="7"/>
  <c r="B344" i="7"/>
  <c r="D344" i="7" s="1"/>
  <c r="C344" i="7"/>
  <c r="A345" i="7"/>
  <c r="B345" i="7" s="1"/>
  <c r="D345" i="7" s="1"/>
  <c r="C345" i="7"/>
  <c r="A346" i="7"/>
  <c r="B346" i="7" s="1"/>
  <c r="C346" i="7"/>
  <c r="A347" i="7"/>
  <c r="B347" i="7" s="1"/>
  <c r="C347" i="7"/>
  <c r="A348" i="7"/>
  <c r="B348" i="7" s="1"/>
  <c r="D348" i="7" s="1"/>
  <c r="C348" i="7"/>
  <c r="A349" i="7"/>
  <c r="B349" i="7" s="1"/>
  <c r="C349" i="7"/>
  <c r="A350" i="7"/>
  <c r="B350" i="7"/>
  <c r="C350" i="7"/>
  <c r="A351" i="7"/>
  <c r="B351" i="7" s="1"/>
  <c r="C351" i="7"/>
  <c r="A352" i="7"/>
  <c r="B352" i="7" s="1"/>
  <c r="D352" i="7" s="1"/>
  <c r="C352" i="7"/>
  <c r="A353" i="7"/>
  <c r="B353" i="7" s="1"/>
  <c r="C353" i="7"/>
  <c r="A354" i="7"/>
  <c r="B354" i="7" s="1"/>
  <c r="C354" i="7"/>
  <c r="A355" i="7"/>
  <c r="B355" i="7" s="1"/>
  <c r="C355" i="7"/>
  <c r="A74" i="7"/>
  <c r="B74" i="7" s="1"/>
  <c r="C74" i="7"/>
  <c r="A75" i="7"/>
  <c r="B75" i="7" s="1"/>
  <c r="C75" i="7"/>
  <c r="A76" i="7"/>
  <c r="B76" i="7" s="1"/>
  <c r="C76" i="7"/>
  <c r="A77" i="7"/>
  <c r="B77" i="7" s="1"/>
  <c r="C77" i="7"/>
  <c r="A78" i="7"/>
  <c r="B78" i="7" s="1"/>
  <c r="C78" i="7"/>
  <c r="A79" i="7"/>
  <c r="B79" i="7" s="1"/>
  <c r="C79" i="7"/>
  <c r="A80" i="7"/>
  <c r="B80" i="7" s="1"/>
  <c r="C80" i="7"/>
  <c r="A81" i="7"/>
  <c r="B81" i="7" s="1"/>
  <c r="C81" i="7"/>
  <c r="A82" i="7"/>
  <c r="B82" i="7" s="1"/>
  <c r="C82" i="7"/>
  <c r="A83" i="7"/>
  <c r="C83" i="7"/>
  <c r="A84" i="7"/>
  <c r="B84" i="7" s="1"/>
  <c r="C84" i="7"/>
  <c r="D84" i="7" s="1"/>
  <c r="A85" i="7"/>
  <c r="B85" i="7" s="1"/>
  <c r="C85" i="7"/>
  <c r="A86" i="7"/>
  <c r="B86" i="7" s="1"/>
  <c r="C86" i="7"/>
  <c r="A87" i="7"/>
  <c r="B87" i="7" s="1"/>
  <c r="C87" i="7"/>
  <c r="A88" i="7"/>
  <c r="B88" i="7" s="1"/>
  <c r="C88" i="7"/>
  <c r="A89" i="7"/>
  <c r="B89" i="7" s="1"/>
  <c r="C89" i="7"/>
  <c r="A90" i="7"/>
  <c r="B90" i="7" s="1"/>
  <c r="C90" i="7"/>
  <c r="A91" i="7"/>
  <c r="B91" i="7" s="1"/>
  <c r="C91" i="7"/>
  <c r="A92" i="7"/>
  <c r="B92" i="7" s="1"/>
  <c r="C92" i="7"/>
  <c r="D92" i="7" s="1"/>
  <c r="A93" i="7"/>
  <c r="B93" i="7" s="1"/>
  <c r="C93" i="7"/>
  <c r="A94" i="7"/>
  <c r="B94" i="7" s="1"/>
  <c r="C94" i="7"/>
  <c r="A95" i="7"/>
  <c r="B95" i="7" s="1"/>
  <c r="C95" i="7"/>
  <c r="A96" i="7"/>
  <c r="B96" i="7" s="1"/>
  <c r="C96" i="7"/>
  <c r="A97" i="7"/>
  <c r="B97" i="7" s="1"/>
  <c r="C97" i="7"/>
  <c r="A98" i="7"/>
  <c r="B98" i="7" s="1"/>
  <c r="C98" i="7"/>
  <c r="A99" i="7"/>
  <c r="B99" i="7" s="1"/>
  <c r="C99" i="7"/>
  <c r="A100" i="7"/>
  <c r="B100" i="7" s="1"/>
  <c r="C100" i="7"/>
  <c r="A101" i="7"/>
  <c r="B101" i="7" s="1"/>
  <c r="C101" i="7"/>
  <c r="A102" i="7"/>
  <c r="B102" i="7" s="1"/>
  <c r="C102" i="7"/>
  <c r="A103" i="7"/>
  <c r="B103" i="7" s="1"/>
  <c r="C103" i="7"/>
  <c r="A104" i="7"/>
  <c r="B104" i="7" s="1"/>
  <c r="C104" i="7"/>
  <c r="A105" i="7"/>
  <c r="B105" i="7" s="1"/>
  <c r="C105" i="7"/>
  <c r="A106" i="7"/>
  <c r="B106" i="7" s="1"/>
  <c r="C106" i="7"/>
  <c r="A107" i="7"/>
  <c r="B107" i="7" s="1"/>
  <c r="C107" i="7"/>
  <c r="A108" i="7"/>
  <c r="B108" i="7" s="1"/>
  <c r="C108" i="7"/>
  <c r="A109" i="7"/>
  <c r="B109" i="7" s="1"/>
  <c r="C109" i="7"/>
  <c r="A110" i="7"/>
  <c r="B110" i="7" s="1"/>
  <c r="C110" i="7"/>
  <c r="A111" i="7"/>
  <c r="B111" i="7" s="1"/>
  <c r="C111" i="7"/>
  <c r="A112" i="7"/>
  <c r="B112" i="7" s="1"/>
  <c r="C112" i="7"/>
  <c r="A113" i="7"/>
  <c r="B113" i="7" s="1"/>
  <c r="C113" i="7"/>
  <c r="A114" i="7"/>
  <c r="B114" i="7" s="1"/>
  <c r="C114" i="7"/>
  <c r="A115" i="7"/>
  <c r="B115" i="7" s="1"/>
  <c r="C115" i="7"/>
  <c r="A116" i="7"/>
  <c r="B116" i="7" s="1"/>
  <c r="C116" i="7"/>
  <c r="A117" i="7"/>
  <c r="B117" i="7" s="1"/>
  <c r="C117" i="7"/>
  <c r="A118" i="7"/>
  <c r="B118" i="7" s="1"/>
  <c r="C118" i="7"/>
  <c r="A119" i="7"/>
  <c r="B119" i="7" s="1"/>
  <c r="C119" i="7"/>
  <c r="A120" i="7"/>
  <c r="B120" i="7" s="1"/>
  <c r="C120" i="7"/>
  <c r="A121" i="7"/>
  <c r="B121" i="7" s="1"/>
  <c r="C121" i="7"/>
  <c r="A122" i="7"/>
  <c r="B122" i="7" s="1"/>
  <c r="C122" i="7"/>
  <c r="A123" i="7"/>
  <c r="B123" i="7" s="1"/>
  <c r="C123" i="7"/>
  <c r="A56" i="7"/>
  <c r="B56" i="7" s="1"/>
  <c r="C56" i="7"/>
  <c r="A57" i="7"/>
  <c r="B57" i="7" s="1"/>
  <c r="C57" i="7"/>
  <c r="A58" i="7"/>
  <c r="B58" i="7" s="1"/>
  <c r="C58" i="7"/>
  <c r="A59" i="7"/>
  <c r="B59" i="7" s="1"/>
  <c r="C59" i="7"/>
  <c r="A60" i="7"/>
  <c r="B60" i="7" s="1"/>
  <c r="C60" i="7"/>
  <c r="A61" i="7"/>
  <c r="B61" i="7" s="1"/>
  <c r="C61" i="7"/>
  <c r="A62" i="7"/>
  <c r="B62" i="7" s="1"/>
  <c r="C62" i="7"/>
  <c r="A63" i="7"/>
  <c r="B63" i="7" s="1"/>
  <c r="C63" i="7"/>
  <c r="A64" i="7"/>
  <c r="B64" i="7" s="1"/>
  <c r="C64" i="7"/>
  <c r="A65" i="7"/>
  <c r="B65" i="7" s="1"/>
  <c r="C65" i="7"/>
  <c r="A66" i="7"/>
  <c r="B66" i="7" s="1"/>
  <c r="C66" i="7"/>
  <c r="A67" i="7"/>
  <c r="B67" i="7" s="1"/>
  <c r="C67" i="7"/>
  <c r="A68" i="7"/>
  <c r="B68" i="7" s="1"/>
  <c r="C68" i="7"/>
  <c r="A69" i="7"/>
  <c r="B69" i="7" s="1"/>
  <c r="C69" i="7"/>
  <c r="A70" i="7"/>
  <c r="B70" i="7" s="1"/>
  <c r="C70" i="7"/>
  <c r="A71" i="7"/>
  <c r="B71" i="7" s="1"/>
  <c r="C71" i="7"/>
  <c r="A72" i="7"/>
  <c r="B72" i="7" s="1"/>
  <c r="C72" i="7"/>
  <c r="A73" i="7"/>
  <c r="B73" i="7" s="1"/>
  <c r="C73" i="7"/>
  <c r="A48" i="7"/>
  <c r="B48" i="7" s="1"/>
  <c r="C48" i="7"/>
  <c r="A49" i="7"/>
  <c r="B49" i="7" s="1"/>
  <c r="C49" i="7"/>
  <c r="A50" i="7"/>
  <c r="B50" i="7" s="1"/>
  <c r="C50" i="7"/>
  <c r="A51" i="7"/>
  <c r="B51" i="7" s="1"/>
  <c r="C51" i="7"/>
  <c r="A52" i="7"/>
  <c r="B52" i="7" s="1"/>
  <c r="C52" i="7"/>
  <c r="A53" i="7"/>
  <c r="B53" i="7" s="1"/>
  <c r="C53" i="7"/>
  <c r="A54" i="7"/>
  <c r="B54" i="7" s="1"/>
  <c r="C54" i="7"/>
  <c r="A55" i="7"/>
  <c r="B55" i="7" s="1"/>
  <c r="C55" i="7"/>
  <c r="A40" i="7"/>
  <c r="B40" i="7" s="1"/>
  <c r="C40" i="7"/>
  <c r="A41" i="7"/>
  <c r="B41" i="7" s="1"/>
  <c r="C41" i="7"/>
  <c r="A42" i="7"/>
  <c r="B42" i="7" s="1"/>
  <c r="C42" i="7"/>
  <c r="A43" i="7"/>
  <c r="B43" i="7" s="1"/>
  <c r="C43" i="7"/>
  <c r="A44" i="7"/>
  <c r="B44" i="7" s="1"/>
  <c r="C44" i="7"/>
  <c r="A45" i="7"/>
  <c r="B45" i="7" s="1"/>
  <c r="C45" i="7"/>
  <c r="A46" i="7"/>
  <c r="B46" i="7" s="1"/>
  <c r="C46" i="7"/>
  <c r="A47" i="7"/>
  <c r="B47" i="7" s="1"/>
  <c r="C47" i="7"/>
  <c r="U3" i="1"/>
  <c r="V3" i="1"/>
  <c r="U4" i="1"/>
  <c r="V4" i="1"/>
  <c r="W4" i="1" s="1"/>
  <c r="U5" i="1"/>
  <c r="V5" i="1"/>
  <c r="U6" i="1"/>
  <c r="V6" i="1"/>
  <c r="W6" i="1" s="1"/>
  <c r="U7" i="1"/>
  <c r="V7" i="1"/>
  <c r="U8" i="1"/>
  <c r="V8" i="1"/>
  <c r="W8" i="1" s="1"/>
  <c r="U9" i="1"/>
  <c r="V9" i="1"/>
  <c r="U10" i="1"/>
  <c r="V10" i="1"/>
  <c r="W10" i="1" s="1"/>
  <c r="U11" i="1"/>
  <c r="V11" i="1"/>
  <c r="U12" i="1"/>
  <c r="V12" i="1"/>
  <c r="W12" i="1" s="1"/>
  <c r="U13" i="1"/>
  <c r="V13" i="1"/>
  <c r="U14" i="1"/>
  <c r="V14" i="1"/>
  <c r="W14" i="1" s="1"/>
  <c r="U15" i="1"/>
  <c r="V15" i="1"/>
  <c r="U16" i="1"/>
  <c r="V16" i="1"/>
  <c r="W16" i="1" s="1"/>
  <c r="U17" i="1"/>
  <c r="V17" i="1"/>
  <c r="U18" i="1"/>
  <c r="V18" i="1"/>
  <c r="W18" i="1" s="1"/>
  <c r="U19" i="1"/>
  <c r="V19" i="1"/>
  <c r="U20" i="1"/>
  <c r="V20" i="1"/>
  <c r="W20" i="1" s="1"/>
  <c r="U21" i="1"/>
  <c r="V21" i="1"/>
  <c r="W21" i="1" s="1"/>
  <c r="U22" i="1"/>
  <c r="V22" i="1"/>
  <c r="U23" i="1"/>
  <c r="V23" i="1"/>
  <c r="W23" i="1" s="1"/>
  <c r="U24" i="1"/>
  <c r="V24" i="1"/>
  <c r="U25" i="1"/>
  <c r="V25" i="1"/>
  <c r="U26" i="1"/>
  <c r="V26" i="1"/>
  <c r="W26" i="1" s="1"/>
  <c r="U27" i="1"/>
  <c r="V27" i="1"/>
  <c r="U28" i="1"/>
  <c r="V28" i="1"/>
  <c r="W28" i="1" s="1"/>
  <c r="U29" i="1"/>
  <c r="V29" i="1"/>
  <c r="U30" i="1"/>
  <c r="V30" i="1"/>
  <c r="W30" i="1" s="1"/>
  <c r="U31" i="1"/>
  <c r="V31" i="1"/>
  <c r="U32" i="1"/>
  <c r="V32" i="1"/>
  <c r="W32" i="1" s="1"/>
  <c r="U33" i="1"/>
  <c r="V33" i="1"/>
  <c r="U34" i="1"/>
  <c r="V34" i="1"/>
  <c r="W34" i="1" s="1"/>
  <c r="U35" i="1"/>
  <c r="V35" i="1"/>
  <c r="U36" i="1"/>
  <c r="V36" i="1"/>
  <c r="W36" i="1" s="1"/>
  <c r="U37" i="1"/>
  <c r="V37" i="1"/>
  <c r="U38" i="1"/>
  <c r="V38" i="1"/>
  <c r="W38" i="1" s="1"/>
  <c r="U39" i="1"/>
  <c r="V39" i="1"/>
  <c r="U40" i="1"/>
  <c r="V40" i="1"/>
  <c r="W40" i="1" s="1"/>
  <c r="U41" i="1"/>
  <c r="V41" i="1"/>
  <c r="U42" i="1"/>
  <c r="V42" i="1"/>
  <c r="W42" i="1" s="1"/>
  <c r="U43" i="1"/>
  <c r="V43" i="1"/>
  <c r="U44" i="1"/>
  <c r="V44" i="1"/>
  <c r="W44" i="1" s="1"/>
  <c r="U45" i="1"/>
  <c r="V45" i="1"/>
  <c r="V46" i="1"/>
  <c r="W46" i="1" s="1"/>
  <c r="U47" i="1"/>
  <c r="V47" i="1"/>
  <c r="U48" i="1"/>
  <c r="V48" i="1"/>
  <c r="W48" i="1" s="1"/>
  <c r="U49" i="1"/>
  <c r="V49" i="1"/>
  <c r="U50" i="1"/>
  <c r="V50" i="1"/>
  <c r="W50" i="1" s="1"/>
  <c r="U51" i="1"/>
  <c r="V51" i="1"/>
  <c r="U52" i="1"/>
  <c r="V52" i="1"/>
  <c r="W52" i="1" s="1"/>
  <c r="U53" i="1"/>
  <c r="V53" i="1"/>
  <c r="U54" i="1"/>
  <c r="V54" i="1"/>
  <c r="W54" i="1" s="1"/>
  <c r="U55" i="1"/>
  <c r="V55" i="1"/>
  <c r="U56" i="1"/>
  <c r="V56" i="1"/>
  <c r="W56" i="1" s="1"/>
  <c r="U57" i="1"/>
  <c r="V57" i="1"/>
  <c r="U58" i="1"/>
  <c r="V58" i="1"/>
  <c r="W58" i="1" s="1"/>
  <c r="U59" i="1"/>
  <c r="V59" i="1"/>
  <c r="U60" i="1"/>
  <c r="V60" i="1"/>
  <c r="W60" i="1" s="1"/>
  <c r="U61" i="1"/>
  <c r="V61" i="1"/>
  <c r="U62" i="1"/>
  <c r="V62" i="1"/>
  <c r="W62" i="1" s="1"/>
  <c r="U63" i="1"/>
  <c r="V63" i="1"/>
  <c r="U64" i="1"/>
  <c r="V64" i="1"/>
  <c r="W64" i="1" s="1"/>
  <c r="U65" i="1"/>
  <c r="V65" i="1"/>
  <c r="U66" i="1"/>
  <c r="V66" i="1"/>
  <c r="W66" i="1" s="1"/>
  <c r="U67" i="1"/>
  <c r="V67" i="1"/>
  <c r="U68" i="1"/>
  <c r="V68" i="1"/>
  <c r="W68" i="1" s="1"/>
  <c r="U69" i="1"/>
  <c r="V69" i="1"/>
  <c r="U70" i="1"/>
  <c r="V70" i="1"/>
  <c r="W70" i="1" s="1"/>
  <c r="U71" i="1"/>
  <c r="V71" i="1"/>
  <c r="U72" i="1"/>
  <c r="V72" i="1"/>
  <c r="W72" i="1" s="1"/>
  <c r="U73" i="1"/>
  <c r="V73" i="1"/>
  <c r="U74" i="1"/>
  <c r="V74" i="1"/>
  <c r="W74" i="1" s="1"/>
  <c r="U75" i="1"/>
  <c r="V75" i="1"/>
  <c r="U76" i="1"/>
  <c r="V76" i="1"/>
  <c r="W76" i="1" s="1"/>
  <c r="U77" i="1"/>
  <c r="V77" i="1"/>
  <c r="U78" i="1"/>
  <c r="V78" i="1"/>
  <c r="W78" i="1" s="1"/>
  <c r="U79" i="1"/>
  <c r="V79" i="1"/>
  <c r="U80" i="1"/>
  <c r="V80" i="1"/>
  <c r="W80" i="1" s="1"/>
  <c r="U81" i="1"/>
  <c r="V81" i="1"/>
  <c r="U82" i="1"/>
  <c r="V82" i="1"/>
  <c r="W82" i="1" s="1"/>
  <c r="U83" i="1"/>
  <c r="V83" i="1"/>
  <c r="U84" i="1"/>
  <c r="V84" i="1"/>
  <c r="W84" i="1" s="1"/>
  <c r="U85" i="1"/>
  <c r="V85" i="1"/>
  <c r="U86" i="1"/>
  <c r="V86" i="1"/>
  <c r="W86" i="1" s="1"/>
  <c r="U87" i="1"/>
  <c r="V87" i="1"/>
  <c r="U88" i="1"/>
  <c r="V88" i="1"/>
  <c r="W88" i="1" s="1"/>
  <c r="U89" i="1"/>
  <c r="V89" i="1"/>
  <c r="U90" i="1"/>
  <c r="V90" i="1"/>
  <c r="W90" i="1" s="1"/>
  <c r="U91" i="1"/>
  <c r="V91" i="1"/>
  <c r="U92" i="1"/>
  <c r="V92" i="1"/>
  <c r="W92" i="1" s="1"/>
  <c r="U93" i="1"/>
  <c r="V93" i="1"/>
  <c r="U94" i="1"/>
  <c r="V94" i="1"/>
  <c r="W94" i="1" s="1"/>
  <c r="U95" i="1"/>
  <c r="V95" i="1"/>
  <c r="U96" i="1"/>
  <c r="V96" i="1"/>
  <c r="W96" i="1" s="1"/>
  <c r="U97" i="1"/>
  <c r="V97" i="1"/>
  <c r="U98" i="1"/>
  <c r="V98" i="1"/>
  <c r="W98" i="1" s="1"/>
  <c r="U99" i="1"/>
  <c r="V99" i="1"/>
  <c r="U100" i="1"/>
  <c r="V100" i="1"/>
  <c r="W100" i="1" s="1"/>
  <c r="U101" i="1"/>
  <c r="V101" i="1"/>
  <c r="U102" i="1"/>
  <c r="V102" i="1"/>
  <c r="W102" i="1" s="1"/>
  <c r="U103" i="1"/>
  <c r="V103" i="1"/>
  <c r="U104" i="1"/>
  <c r="V104" i="1"/>
  <c r="W104" i="1" s="1"/>
  <c r="U105" i="1"/>
  <c r="V105" i="1"/>
  <c r="U106" i="1"/>
  <c r="V106" i="1"/>
  <c r="W106" i="1" s="1"/>
  <c r="U107" i="1"/>
  <c r="V107" i="1"/>
  <c r="U108" i="1"/>
  <c r="V108" i="1"/>
  <c r="W108" i="1" s="1"/>
  <c r="U109" i="1"/>
  <c r="V109" i="1"/>
  <c r="V110" i="1"/>
  <c r="W110" i="1" s="1"/>
  <c r="U111" i="1"/>
  <c r="V111" i="1"/>
  <c r="U112" i="1"/>
  <c r="V112" i="1"/>
  <c r="W112" i="1" s="1"/>
  <c r="U113" i="1"/>
  <c r="V113" i="1"/>
  <c r="U114" i="1"/>
  <c r="V114" i="1"/>
  <c r="W114" i="1" s="1"/>
  <c r="U115" i="1"/>
  <c r="V115" i="1"/>
  <c r="U116" i="1"/>
  <c r="V116" i="1"/>
  <c r="W116" i="1" s="1"/>
  <c r="U117" i="1"/>
  <c r="V117" i="1"/>
  <c r="U118" i="1"/>
  <c r="V118" i="1"/>
  <c r="W118" i="1" s="1"/>
  <c r="U119" i="1"/>
  <c r="V119" i="1"/>
  <c r="U120" i="1"/>
  <c r="V120" i="1"/>
  <c r="W120" i="1" s="1"/>
  <c r="U121" i="1"/>
  <c r="V121" i="1"/>
  <c r="U122" i="1"/>
  <c r="V122" i="1"/>
  <c r="W122" i="1" s="1"/>
  <c r="U123" i="1"/>
  <c r="V123" i="1"/>
  <c r="U124" i="1"/>
  <c r="V124" i="1"/>
  <c r="W124" i="1" s="1"/>
  <c r="U125" i="1"/>
  <c r="V125" i="1"/>
  <c r="U126" i="1"/>
  <c r="V126" i="1"/>
  <c r="W126" i="1" s="1"/>
  <c r="U127" i="1"/>
  <c r="V127" i="1"/>
  <c r="U128" i="1"/>
  <c r="V128" i="1"/>
  <c r="W128" i="1" s="1"/>
  <c r="U129" i="1"/>
  <c r="V129" i="1"/>
  <c r="U130" i="1"/>
  <c r="V130" i="1"/>
  <c r="W130" i="1" s="1"/>
  <c r="U131" i="1"/>
  <c r="V131" i="1"/>
  <c r="U132" i="1"/>
  <c r="V132" i="1"/>
  <c r="W132" i="1" s="1"/>
  <c r="U133" i="1"/>
  <c r="V133" i="1"/>
  <c r="U134" i="1"/>
  <c r="V134" i="1"/>
  <c r="W134" i="1" s="1"/>
  <c r="U135" i="1"/>
  <c r="V135" i="1"/>
  <c r="U136" i="1"/>
  <c r="V136" i="1"/>
  <c r="W136" i="1" s="1"/>
  <c r="U137" i="1"/>
  <c r="V137" i="1"/>
  <c r="U138" i="1"/>
  <c r="V138" i="1"/>
  <c r="W138" i="1" s="1"/>
  <c r="U139" i="1"/>
  <c r="V139" i="1"/>
  <c r="U140" i="1"/>
  <c r="V140" i="1"/>
  <c r="W140" i="1" s="1"/>
  <c r="U141" i="1"/>
  <c r="V141" i="1"/>
  <c r="U142" i="1"/>
  <c r="V142" i="1"/>
  <c r="W142" i="1" s="1"/>
  <c r="U143" i="1"/>
  <c r="V143" i="1"/>
  <c r="U144" i="1"/>
  <c r="V144" i="1"/>
  <c r="W144" i="1" s="1"/>
  <c r="U145" i="1"/>
  <c r="V145" i="1"/>
  <c r="U146" i="1"/>
  <c r="V146" i="1"/>
  <c r="W146" i="1" s="1"/>
  <c r="U147" i="1"/>
  <c r="V147" i="1"/>
  <c r="U148" i="1"/>
  <c r="V148" i="1"/>
  <c r="W148" i="1" s="1"/>
  <c r="U149" i="1"/>
  <c r="V149" i="1"/>
  <c r="U150" i="1"/>
  <c r="V150" i="1"/>
  <c r="W150" i="1" s="1"/>
  <c r="U151" i="1"/>
  <c r="V151" i="1"/>
  <c r="U152" i="1"/>
  <c r="V152" i="1"/>
  <c r="W152" i="1" s="1"/>
  <c r="U153" i="1"/>
  <c r="V153" i="1"/>
  <c r="U154" i="1"/>
  <c r="V154" i="1"/>
  <c r="W154" i="1" s="1"/>
  <c r="U155" i="1"/>
  <c r="V155" i="1"/>
  <c r="X155" i="1" s="1"/>
  <c r="U156" i="1"/>
  <c r="V156" i="1"/>
  <c r="W156" i="1" s="1"/>
  <c r="U157" i="1"/>
  <c r="V157" i="1"/>
  <c r="X157" i="1" s="1"/>
  <c r="U158" i="1"/>
  <c r="V158" i="1"/>
  <c r="W158" i="1" s="1"/>
  <c r="U159" i="1"/>
  <c r="V159" i="1"/>
  <c r="X159" i="1" s="1"/>
  <c r="U160" i="1"/>
  <c r="V160" i="1"/>
  <c r="W160" i="1" s="1"/>
  <c r="U161" i="1"/>
  <c r="V161" i="1"/>
  <c r="X161" i="1" s="1"/>
  <c r="U162" i="1"/>
  <c r="V162" i="1"/>
  <c r="W162" i="1" s="1"/>
  <c r="U163" i="1"/>
  <c r="V163" i="1"/>
  <c r="X163" i="1" s="1"/>
  <c r="U164" i="1"/>
  <c r="V164" i="1"/>
  <c r="W164" i="1" s="1"/>
  <c r="U165" i="1"/>
  <c r="V165" i="1"/>
  <c r="X165" i="1" s="1"/>
  <c r="U166" i="1"/>
  <c r="V166" i="1"/>
  <c r="W166" i="1" s="1"/>
  <c r="U167" i="1"/>
  <c r="V167" i="1"/>
  <c r="X167" i="1" s="1"/>
  <c r="U168" i="1"/>
  <c r="V168" i="1"/>
  <c r="W168" i="1" s="1"/>
  <c r="U169" i="1"/>
  <c r="V169" i="1"/>
  <c r="X169" i="1" s="1"/>
  <c r="U170" i="1"/>
  <c r="V170" i="1"/>
  <c r="W170" i="1" s="1"/>
  <c r="U171" i="1"/>
  <c r="V171" i="1"/>
  <c r="W171" i="1" s="1"/>
  <c r="U172" i="1"/>
  <c r="V172" i="1"/>
  <c r="X172" i="1" s="1"/>
  <c r="U173" i="1"/>
  <c r="V173" i="1"/>
  <c r="W173" i="1" s="1"/>
  <c r="U174" i="1"/>
  <c r="V174" i="1"/>
  <c r="W174" i="1" s="1"/>
  <c r="U175" i="1"/>
  <c r="V175" i="1"/>
  <c r="W175" i="1" s="1"/>
  <c r="U176" i="1"/>
  <c r="V176" i="1"/>
  <c r="X176" i="1" s="1"/>
  <c r="U177" i="1"/>
  <c r="V177" i="1"/>
  <c r="W177" i="1" s="1"/>
  <c r="U178" i="1"/>
  <c r="V178" i="1"/>
  <c r="W178" i="1" s="1"/>
  <c r="X178" i="1"/>
  <c r="U179" i="1"/>
  <c r="V179" i="1"/>
  <c r="W179" i="1" s="1"/>
  <c r="U180" i="1"/>
  <c r="V180" i="1"/>
  <c r="X180" i="1" s="1"/>
  <c r="U181" i="1"/>
  <c r="V181" i="1"/>
  <c r="W181" i="1" s="1"/>
  <c r="U182" i="1"/>
  <c r="V182" i="1"/>
  <c r="W182" i="1" s="1"/>
  <c r="U183" i="1"/>
  <c r="V183" i="1"/>
  <c r="W183" i="1" s="1"/>
  <c r="U184" i="1"/>
  <c r="V184" i="1"/>
  <c r="W184" i="1" s="1"/>
  <c r="U185" i="1"/>
  <c r="V185" i="1"/>
  <c r="W185" i="1" s="1"/>
  <c r="U186" i="1"/>
  <c r="V186" i="1"/>
  <c r="W186" i="1" s="1"/>
  <c r="U187" i="1"/>
  <c r="V187" i="1"/>
  <c r="W187" i="1" s="1"/>
  <c r="U188" i="1"/>
  <c r="V188" i="1"/>
  <c r="X188" i="1" s="1"/>
  <c r="U189" i="1"/>
  <c r="V189" i="1"/>
  <c r="W189" i="1" s="1"/>
  <c r="U190" i="1"/>
  <c r="V190" i="1"/>
  <c r="X190" i="1" s="1"/>
  <c r="W190" i="1"/>
  <c r="U191" i="1"/>
  <c r="V191" i="1"/>
  <c r="W191" i="1" s="1"/>
  <c r="U192" i="1"/>
  <c r="V192" i="1"/>
  <c r="W192" i="1" s="1"/>
  <c r="U193" i="1"/>
  <c r="V193" i="1"/>
  <c r="W193" i="1" s="1"/>
  <c r="U194" i="1"/>
  <c r="V194" i="1"/>
  <c r="W194" i="1" s="1"/>
  <c r="U195" i="1"/>
  <c r="V195" i="1"/>
  <c r="W195" i="1" s="1"/>
  <c r="U196" i="1"/>
  <c r="V196" i="1"/>
  <c r="X196" i="1" s="1"/>
  <c r="U197" i="1"/>
  <c r="V197" i="1"/>
  <c r="W197" i="1" s="1"/>
  <c r="U198" i="1"/>
  <c r="V198" i="1"/>
  <c r="W198" i="1" s="1"/>
  <c r="X198" i="1"/>
  <c r="U199" i="1"/>
  <c r="V199" i="1"/>
  <c r="W199" i="1" s="1"/>
  <c r="U200" i="1"/>
  <c r="V200" i="1"/>
  <c r="W200" i="1" s="1"/>
  <c r="U201" i="1"/>
  <c r="V201" i="1"/>
  <c r="W201" i="1" s="1"/>
  <c r="U202" i="1"/>
  <c r="V202" i="1"/>
  <c r="W202" i="1" s="1"/>
  <c r="U203" i="1"/>
  <c r="V203" i="1"/>
  <c r="W203" i="1" s="1"/>
  <c r="U204" i="1"/>
  <c r="V204" i="1"/>
  <c r="X204" i="1" s="1"/>
  <c r="U205" i="1"/>
  <c r="V205" i="1"/>
  <c r="W205" i="1" s="1"/>
  <c r="U206" i="1"/>
  <c r="V206" i="1"/>
  <c r="W206" i="1" s="1"/>
  <c r="U207" i="1"/>
  <c r="V207" i="1"/>
  <c r="W207" i="1" s="1"/>
  <c r="U208" i="1"/>
  <c r="V208" i="1"/>
  <c r="W208" i="1" s="1"/>
  <c r="U209" i="1"/>
  <c r="V209" i="1"/>
  <c r="W209" i="1" s="1"/>
  <c r="U210" i="1"/>
  <c r="V210" i="1"/>
  <c r="X210" i="1" s="1"/>
  <c r="U211" i="1"/>
  <c r="V211" i="1"/>
  <c r="W211" i="1" s="1"/>
  <c r="U212" i="1"/>
  <c r="V212" i="1"/>
  <c r="X212" i="1" s="1"/>
  <c r="U213" i="1"/>
  <c r="V213" i="1"/>
  <c r="W213" i="1" s="1"/>
  <c r="U214" i="1"/>
  <c r="V214" i="1"/>
  <c r="W214" i="1" s="1"/>
  <c r="U215" i="1"/>
  <c r="V215" i="1"/>
  <c r="W215" i="1" s="1"/>
  <c r="U216" i="1"/>
  <c r="V216" i="1"/>
  <c r="W216" i="1" s="1"/>
  <c r="U217" i="1"/>
  <c r="V217" i="1"/>
  <c r="W217" i="1" s="1"/>
  <c r="U218" i="1"/>
  <c r="V218" i="1"/>
  <c r="W218" i="1" s="1"/>
  <c r="U219" i="1"/>
  <c r="V219" i="1"/>
  <c r="W219" i="1" s="1"/>
  <c r="U220" i="1"/>
  <c r="V220" i="1"/>
  <c r="X220" i="1" s="1"/>
  <c r="U221" i="1"/>
  <c r="V221" i="1"/>
  <c r="W221" i="1" s="1"/>
  <c r="U222" i="1"/>
  <c r="V222" i="1"/>
  <c r="W222" i="1" s="1"/>
  <c r="U223" i="1"/>
  <c r="V223" i="1"/>
  <c r="W223" i="1" s="1"/>
  <c r="U224" i="1"/>
  <c r="V224" i="1"/>
  <c r="W224" i="1" s="1"/>
  <c r="U225" i="1"/>
  <c r="V225" i="1"/>
  <c r="W225" i="1" s="1"/>
  <c r="U226" i="1"/>
  <c r="V226" i="1"/>
  <c r="X226" i="1" s="1"/>
  <c r="U227" i="1"/>
  <c r="V227" i="1"/>
  <c r="W227" i="1" s="1"/>
  <c r="U228" i="1"/>
  <c r="V228" i="1"/>
  <c r="X228" i="1" s="1"/>
  <c r="U229" i="1"/>
  <c r="V229" i="1"/>
  <c r="W229" i="1" s="1"/>
  <c r="U230" i="1"/>
  <c r="V230" i="1"/>
  <c r="W230" i="1" s="1"/>
  <c r="E126" i="7" a="1"/>
  <c r="D149" i="7" l="1"/>
  <c r="D341" i="7"/>
  <c r="D327" i="7"/>
  <c r="D309" i="7"/>
  <c r="D295" i="7"/>
  <c r="D291" i="7"/>
  <c r="D268" i="7"/>
  <c r="D265" i="7"/>
  <c r="D261" i="7"/>
  <c r="D247" i="7"/>
  <c r="D243" i="7"/>
  <c r="D216" i="7"/>
  <c r="D212" i="7"/>
  <c r="D194" i="7"/>
  <c r="D169" i="7"/>
  <c r="D165" i="7"/>
  <c r="D150" i="7"/>
  <c r="X224" i="1"/>
  <c r="D354" i="7"/>
  <c r="D340" i="7"/>
  <c r="D333" i="7"/>
  <c r="D326" i="7"/>
  <c r="D322" i="7"/>
  <c r="D308" i="7"/>
  <c r="D301" i="7"/>
  <c r="D294" i="7"/>
  <c r="D290" i="7"/>
  <c r="D260" i="7"/>
  <c r="D211" i="7"/>
  <c r="D153" i="7"/>
  <c r="D343" i="7"/>
  <c r="D332" i="7"/>
  <c r="D325" i="7"/>
  <c r="D311" i="7"/>
  <c r="D300" i="7"/>
  <c r="D293" i="7"/>
  <c r="D289" i="7"/>
  <c r="D285" i="7"/>
  <c r="D263" i="7"/>
  <c r="D259" i="7"/>
  <c r="D241" i="7"/>
  <c r="D218" i="7"/>
  <c r="D214" i="7"/>
  <c r="D210" i="7"/>
  <c r="D167" i="7"/>
  <c r="D163" i="7"/>
  <c r="D152" i="7"/>
  <c r="D346" i="7"/>
  <c r="D328" i="7"/>
  <c r="D314" i="7"/>
  <c r="D296" i="7"/>
  <c r="D281" i="7"/>
  <c r="D277" i="7"/>
  <c r="D273" i="7"/>
  <c r="D233" i="7"/>
  <c r="D229" i="7"/>
  <c r="D225" i="7"/>
  <c r="D221" i="7"/>
  <c r="D199" i="7"/>
  <c r="D195" i="7"/>
  <c r="D177" i="7"/>
  <c r="D155" i="7"/>
  <c r="D148" i="7"/>
  <c r="D78" i="7"/>
  <c r="D74" i="7"/>
  <c r="D349" i="7"/>
  <c r="D342" i="7"/>
  <c r="D338" i="7"/>
  <c r="D324" i="7"/>
  <c r="D317" i="7"/>
  <c r="D310" i="7"/>
  <c r="D306" i="7"/>
  <c r="D255" i="7"/>
  <c r="D244" i="7"/>
  <c r="D217" i="7"/>
  <c r="D213" i="7"/>
  <c r="D166" i="7"/>
  <c r="D162" i="7"/>
  <c r="D151" i="7"/>
  <c r="D115" i="7"/>
  <c r="D107" i="7"/>
  <c r="D95" i="7"/>
  <c r="D87" i="7"/>
  <c r="D79" i="7"/>
  <c r="D75" i="7"/>
  <c r="D350" i="7"/>
  <c r="D347" i="7"/>
  <c r="D334" i="7"/>
  <c r="D331" i="7"/>
  <c r="D318" i="7"/>
  <c r="D315" i="7"/>
  <c r="D302" i="7"/>
  <c r="D299" i="7"/>
  <c r="D269" i="7"/>
  <c r="D266" i="7"/>
  <c r="D252" i="7"/>
  <c r="D249" i="7"/>
  <c r="D239" i="7"/>
  <c r="D222" i="7"/>
  <c r="D205" i="7"/>
  <c r="D202" i="7"/>
  <c r="D192" i="7"/>
  <c r="D188" i="7"/>
  <c r="D185" i="7"/>
  <c r="D175" i="7"/>
  <c r="D158" i="7"/>
  <c r="D138" i="7"/>
  <c r="D353" i="7"/>
  <c r="D337" i="7"/>
  <c r="D321" i="7"/>
  <c r="D305" i="7"/>
  <c r="D292" i="7"/>
  <c r="D279" i="7"/>
  <c r="D245" i="7"/>
  <c r="D242" i="7"/>
  <c r="D232" i="7"/>
  <c r="D228" i="7"/>
  <c r="D215" i="7"/>
  <c r="D198" i="7"/>
  <c r="D181" i="7"/>
  <c r="D178" i="7"/>
  <c r="D168" i="7"/>
  <c r="D164" i="7"/>
  <c r="D161" i="7"/>
  <c r="D127" i="7"/>
  <c r="D191" i="7"/>
  <c r="D174" i="7"/>
  <c r="D157" i="7"/>
  <c r="D154" i="7"/>
  <c r="D134" i="7"/>
  <c r="W212" i="1"/>
  <c r="X174" i="1"/>
  <c r="D355" i="7"/>
  <c r="D339" i="7"/>
  <c r="D323" i="7"/>
  <c r="D307" i="7"/>
  <c r="D284" i="7"/>
  <c r="D271" i="7"/>
  <c r="D237" i="7"/>
  <c r="D234" i="7"/>
  <c r="D224" i="7"/>
  <c r="D220" i="7"/>
  <c r="D207" i="7"/>
  <c r="D190" i="7"/>
  <c r="D173" i="7"/>
  <c r="D170" i="7"/>
  <c r="D160" i="7"/>
  <c r="D156" i="7"/>
  <c r="D64" i="7"/>
  <c r="D60" i="7"/>
  <c r="D56" i="7"/>
  <c r="D351" i="7"/>
  <c r="D335" i="7"/>
  <c r="D319" i="7"/>
  <c r="D303" i="7"/>
  <c r="D287" i="7"/>
  <c r="D253" i="7"/>
  <c r="D250" i="7"/>
  <c r="D236" i="7"/>
  <c r="D223" i="7"/>
  <c r="D206" i="7"/>
  <c r="D189" i="7"/>
  <c r="D186" i="7"/>
  <c r="D176" i="7"/>
  <c r="D172" i="7"/>
  <c r="D159" i="7"/>
  <c r="D147" i="7"/>
  <c r="D146" i="7"/>
  <c r="D145" i="7"/>
  <c r="D144" i="7"/>
  <c r="D143" i="7"/>
  <c r="D142" i="7"/>
  <c r="D141" i="7"/>
  <c r="D140" i="7"/>
  <c r="D137" i="7"/>
  <c r="D136" i="7"/>
  <c r="D133" i="7"/>
  <c r="D132" i="7"/>
  <c r="D131" i="7"/>
  <c r="D130" i="7"/>
  <c r="D129" i="7"/>
  <c r="E126" i="7"/>
  <c r="D125" i="7"/>
  <c r="D124" i="7"/>
  <c r="D286" i="7"/>
  <c r="D278" i="7"/>
  <c r="D270" i="7"/>
  <c r="D262" i="7"/>
  <c r="D254" i="7"/>
  <c r="D246" i="7"/>
  <c r="D238" i="7"/>
  <c r="D288" i="7"/>
  <c r="D280" i="7"/>
  <c r="D256" i="7"/>
  <c r="D240" i="7"/>
  <c r="D272" i="7"/>
  <c r="D264" i="7"/>
  <c r="D248" i="7"/>
  <c r="D120" i="7"/>
  <c r="D119" i="7"/>
  <c r="D117" i="7"/>
  <c r="X80" i="1"/>
  <c r="D116" i="7"/>
  <c r="D114" i="7"/>
  <c r="D112" i="7"/>
  <c r="D111" i="7"/>
  <c r="D108" i="7"/>
  <c r="D103" i="7"/>
  <c r="D101" i="7"/>
  <c r="D100" i="7"/>
  <c r="D96" i="7"/>
  <c r="D93" i="7"/>
  <c r="D65" i="7"/>
  <c r="D121" i="7"/>
  <c r="D104" i="7"/>
  <c r="D97" i="7"/>
  <c r="D110" i="7"/>
  <c r="D77" i="7"/>
  <c r="X182" i="1"/>
  <c r="X160" i="1"/>
  <c r="D113" i="7"/>
  <c r="D88" i="7"/>
  <c r="D76" i="7"/>
  <c r="W228" i="1"/>
  <c r="W210" i="1"/>
  <c r="D67" i="7"/>
  <c r="D63" i="7"/>
  <c r="D123" i="7"/>
  <c r="D106" i="7"/>
  <c r="D102" i="7"/>
  <c r="D99" i="7"/>
  <c r="X206" i="1"/>
  <c r="W220" i="1"/>
  <c r="D66" i="7"/>
  <c r="D58" i="7"/>
  <c r="D122" i="7"/>
  <c r="D118" i="7"/>
  <c r="D105" i="7"/>
  <c r="D98" i="7"/>
  <c r="D94" i="7"/>
  <c r="D86" i="7"/>
  <c r="D89" i="7"/>
  <c r="D90" i="7"/>
  <c r="D83" i="7"/>
  <c r="D82" i="7"/>
  <c r="D81" i="7"/>
  <c r="D80" i="7"/>
  <c r="D91" i="7"/>
  <c r="D109" i="7"/>
  <c r="D85" i="7"/>
  <c r="X218" i="1"/>
  <c r="X184" i="1"/>
  <c r="X140" i="1"/>
  <c r="D43" i="7"/>
  <c r="D55" i="7"/>
  <c r="D51" i="7"/>
  <c r="X44" i="1"/>
  <c r="D54" i="7"/>
  <c r="D50" i="7"/>
  <c r="W226" i="1"/>
  <c r="W196" i="1"/>
  <c r="W176" i="1"/>
  <c r="D53" i="7"/>
  <c r="D49" i="7"/>
  <c r="D61" i="7"/>
  <c r="X192" i="1"/>
  <c r="D52" i="7"/>
  <c r="D48" i="7"/>
  <c r="D59" i="7"/>
  <c r="D57" i="7"/>
  <c r="D62" i="7"/>
  <c r="D73" i="7"/>
  <c r="D72" i="7"/>
  <c r="D71" i="7"/>
  <c r="D70" i="7"/>
  <c r="D68" i="7"/>
  <c r="D69" i="7"/>
  <c r="X166" i="1"/>
  <c r="W159" i="1"/>
  <c r="X144" i="1"/>
  <c r="X214" i="1"/>
  <c r="X186" i="1"/>
  <c r="X200" i="1"/>
  <c r="X222" i="1"/>
  <c r="X208" i="1"/>
  <c r="X194" i="1"/>
  <c r="W172" i="1"/>
  <c r="X124" i="1"/>
  <c r="X230" i="1"/>
  <c r="X216" i="1"/>
  <c r="X202" i="1"/>
  <c r="W180" i="1"/>
  <c r="X168" i="1"/>
  <c r="X158" i="1"/>
  <c r="X108" i="1"/>
  <c r="W188" i="1"/>
  <c r="X92" i="1"/>
  <c r="W204" i="1"/>
  <c r="X60" i="1"/>
  <c r="X76" i="1"/>
  <c r="D40" i="7"/>
  <c r="W161" i="1"/>
  <c r="X128" i="1"/>
  <c r="X64" i="1"/>
  <c r="W167" i="1"/>
  <c r="X112" i="1"/>
  <c r="X48" i="1"/>
  <c r="D42" i="7"/>
  <c r="W169" i="1"/>
  <c r="X96" i="1"/>
  <c r="X32" i="1"/>
  <c r="X18" i="1"/>
  <c r="D47" i="7"/>
  <c r="D46" i="7"/>
  <c r="D45" i="7"/>
  <c r="D44" i="7"/>
  <c r="D41" i="7"/>
  <c r="W125" i="1"/>
  <c r="X125" i="1"/>
  <c r="W77" i="1"/>
  <c r="X77" i="1"/>
  <c r="W29" i="1"/>
  <c r="X29" i="1"/>
  <c r="W15" i="1"/>
  <c r="X15" i="1"/>
  <c r="X164" i="1"/>
  <c r="X156" i="1"/>
  <c r="X150" i="1"/>
  <c r="W147" i="1"/>
  <c r="X147" i="1"/>
  <c r="X134" i="1"/>
  <c r="W131" i="1"/>
  <c r="X131" i="1"/>
  <c r="X118" i="1"/>
  <c r="W115" i="1"/>
  <c r="X115" i="1"/>
  <c r="X102" i="1"/>
  <c r="W99" i="1"/>
  <c r="X99" i="1"/>
  <c r="X86" i="1"/>
  <c r="W83" i="1"/>
  <c r="X83" i="1"/>
  <c r="X70" i="1"/>
  <c r="W67" i="1"/>
  <c r="X67" i="1"/>
  <c r="X54" i="1"/>
  <c r="W51" i="1"/>
  <c r="X51" i="1"/>
  <c r="X38" i="1"/>
  <c r="W35" i="1"/>
  <c r="X35" i="1"/>
  <c r="X23" i="1"/>
  <c r="X8" i="1"/>
  <c r="W5" i="1"/>
  <c r="X5" i="1"/>
  <c r="W93" i="1"/>
  <c r="X93" i="1"/>
  <c r="W153" i="1"/>
  <c r="X153" i="1"/>
  <c r="W137" i="1"/>
  <c r="X137" i="1"/>
  <c r="W121" i="1"/>
  <c r="X121" i="1"/>
  <c r="W105" i="1"/>
  <c r="X105" i="1"/>
  <c r="W89" i="1"/>
  <c r="X89" i="1"/>
  <c r="W73" i="1"/>
  <c r="X73" i="1"/>
  <c r="W57" i="1"/>
  <c r="X57" i="1"/>
  <c r="W41" i="1"/>
  <c r="X41" i="1"/>
  <c r="X28" i="1"/>
  <c r="W25" i="1"/>
  <c r="X25" i="1"/>
  <c r="X14" i="1"/>
  <c r="W11" i="1"/>
  <c r="X11" i="1"/>
  <c r="W61" i="1"/>
  <c r="X61" i="1"/>
  <c r="X229" i="1"/>
  <c r="X227" i="1"/>
  <c r="X225" i="1"/>
  <c r="X223" i="1"/>
  <c r="X221" i="1"/>
  <c r="X219" i="1"/>
  <c r="X217" i="1"/>
  <c r="X215" i="1"/>
  <c r="X213" i="1"/>
  <c r="X211" i="1"/>
  <c r="X209" i="1"/>
  <c r="X207" i="1"/>
  <c r="X205" i="1"/>
  <c r="X203" i="1"/>
  <c r="X201" i="1"/>
  <c r="X199" i="1"/>
  <c r="X197" i="1"/>
  <c r="X195" i="1"/>
  <c r="X193" i="1"/>
  <c r="X191" i="1"/>
  <c r="X189" i="1"/>
  <c r="X187" i="1"/>
  <c r="X185" i="1"/>
  <c r="X183" i="1"/>
  <c r="X181" i="1"/>
  <c r="X179" i="1"/>
  <c r="X177" i="1"/>
  <c r="X175" i="1"/>
  <c r="X173" i="1"/>
  <c r="X171" i="1"/>
  <c r="X146" i="1"/>
  <c r="W143" i="1"/>
  <c r="X143" i="1"/>
  <c r="X130" i="1"/>
  <c r="W127" i="1"/>
  <c r="X127" i="1"/>
  <c r="X114" i="1"/>
  <c r="W111" i="1"/>
  <c r="X111" i="1"/>
  <c r="X98" i="1"/>
  <c r="W95" i="1"/>
  <c r="X95" i="1"/>
  <c r="X82" i="1"/>
  <c r="W79" i="1"/>
  <c r="X79" i="1"/>
  <c r="X66" i="1"/>
  <c r="W63" i="1"/>
  <c r="X63" i="1"/>
  <c r="X50" i="1"/>
  <c r="W47" i="1"/>
  <c r="X47" i="1"/>
  <c r="X34" i="1"/>
  <c r="W31" i="1"/>
  <c r="X31" i="1"/>
  <c r="X20" i="1"/>
  <c r="W17" i="1"/>
  <c r="X17" i="1"/>
  <c r="X4" i="1"/>
  <c r="W45" i="1"/>
  <c r="X45" i="1"/>
  <c r="W163" i="1"/>
  <c r="W155" i="1"/>
  <c r="X152" i="1"/>
  <c r="W149" i="1"/>
  <c r="X149" i="1"/>
  <c r="X136" i="1"/>
  <c r="W133" i="1"/>
  <c r="X133" i="1"/>
  <c r="X120" i="1"/>
  <c r="W117" i="1"/>
  <c r="X117" i="1"/>
  <c r="X104" i="1"/>
  <c r="W101" i="1"/>
  <c r="X101" i="1"/>
  <c r="X88" i="1"/>
  <c r="W85" i="1"/>
  <c r="X85" i="1"/>
  <c r="X72" i="1"/>
  <c r="W69" i="1"/>
  <c r="X69" i="1"/>
  <c r="X56" i="1"/>
  <c r="W53" i="1"/>
  <c r="X53" i="1"/>
  <c r="X40" i="1"/>
  <c r="W37" i="1"/>
  <c r="X37" i="1"/>
  <c r="W22" i="1"/>
  <c r="X22" i="1"/>
  <c r="X10" i="1"/>
  <c r="W7" i="1"/>
  <c r="X7" i="1"/>
  <c r="W141" i="1"/>
  <c r="X141" i="1"/>
  <c r="W109" i="1"/>
  <c r="X109" i="1"/>
  <c r="X142" i="1"/>
  <c r="W139" i="1"/>
  <c r="X139" i="1"/>
  <c r="X126" i="1"/>
  <c r="W123" i="1"/>
  <c r="X123" i="1"/>
  <c r="X110" i="1"/>
  <c r="W107" i="1"/>
  <c r="X107" i="1"/>
  <c r="X94" i="1"/>
  <c r="W91" i="1"/>
  <c r="X91" i="1"/>
  <c r="X78" i="1"/>
  <c r="W75" i="1"/>
  <c r="X75" i="1"/>
  <c r="X62" i="1"/>
  <c r="W59" i="1"/>
  <c r="X59" i="1"/>
  <c r="X46" i="1"/>
  <c r="W43" i="1"/>
  <c r="X43" i="1"/>
  <c r="X30" i="1"/>
  <c r="W27" i="1"/>
  <c r="X27" i="1"/>
  <c r="X16" i="1"/>
  <c r="W13" i="1"/>
  <c r="X13" i="1"/>
  <c r="W165" i="1"/>
  <c r="W157" i="1"/>
  <c r="X148" i="1"/>
  <c r="W145" i="1"/>
  <c r="X145" i="1"/>
  <c r="X132" i="1"/>
  <c r="W129" i="1"/>
  <c r="X129" i="1"/>
  <c r="X116" i="1"/>
  <c r="W113" i="1"/>
  <c r="X113" i="1"/>
  <c r="X100" i="1"/>
  <c r="W97" i="1"/>
  <c r="X97" i="1"/>
  <c r="X84" i="1"/>
  <c r="W81" i="1"/>
  <c r="X81" i="1"/>
  <c r="X68" i="1"/>
  <c r="W65" i="1"/>
  <c r="X65" i="1"/>
  <c r="X52" i="1"/>
  <c r="W49" i="1"/>
  <c r="X49" i="1"/>
  <c r="X36" i="1"/>
  <c r="W33" i="1"/>
  <c r="X33" i="1"/>
  <c r="X21" i="1"/>
  <c r="W19" i="1"/>
  <c r="X19" i="1"/>
  <c r="X6" i="1"/>
  <c r="W3" i="1"/>
  <c r="X3" i="1"/>
  <c r="X170" i="1"/>
  <c r="X162" i="1"/>
  <c r="X154" i="1"/>
  <c r="W151" i="1"/>
  <c r="X151" i="1"/>
  <c r="X138" i="1"/>
  <c r="W135" i="1"/>
  <c r="X135" i="1"/>
  <c r="X122" i="1"/>
  <c r="W119" i="1"/>
  <c r="X119" i="1"/>
  <c r="X106" i="1"/>
  <c r="W103" i="1"/>
  <c r="X103" i="1"/>
  <c r="X90" i="1"/>
  <c r="W87" i="1"/>
  <c r="X87" i="1"/>
  <c r="X74" i="1"/>
  <c r="W71" i="1"/>
  <c r="X71" i="1"/>
  <c r="X58" i="1"/>
  <c r="W55" i="1"/>
  <c r="X55" i="1"/>
  <c r="X42" i="1"/>
  <c r="W39" i="1"/>
  <c r="X39" i="1"/>
  <c r="X26" i="1"/>
  <c r="W24" i="1"/>
  <c r="X24" i="1"/>
  <c r="X12" i="1"/>
  <c r="W9" i="1"/>
  <c r="X9" i="1"/>
  <c r="F91" i="7"/>
  <c r="E98" i="7" a="1"/>
  <c r="E125" i="7" a="1"/>
  <c r="E110" i="7" a="1"/>
  <c r="E109" i="7" a="1"/>
  <c r="E96" i="7" a="1"/>
  <c r="E131" i="7" a="1"/>
  <c r="E108" i="7" a="1"/>
  <c r="E105" i="7" a="1"/>
  <c r="E105" i="7" l="1"/>
  <c r="E108" i="7"/>
  <c r="E131" i="7"/>
  <c r="E96" i="7"/>
  <c r="E109" i="7"/>
  <c r="E110" i="7"/>
  <c r="E125" i="7"/>
  <c r="E98" i="7"/>
  <c r="V2" i="1"/>
  <c r="X2" i="1" s="1"/>
  <c r="C39" i="7"/>
  <c r="U2" i="1"/>
  <c r="A39" i="7" l="1"/>
  <c r="B39" i="7" s="1"/>
  <c r="W2" i="1" l="1"/>
  <c r="D39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<sst xmlns="http://schemas.openxmlformats.org/spreadsheetml/2006/main" count="1619" uniqueCount="380">
  <si>
    <t xml:space="preserve">NUMERO DE IDENTIFICACION </t>
  </si>
  <si>
    <t>PRIMER APELLIDO</t>
  </si>
  <si>
    <t>SEGUNDO APELLIDO</t>
  </si>
  <si>
    <t>PRIMER NOMBRE</t>
  </si>
  <si>
    <t>SEGUNDO NOMBRE</t>
  </si>
  <si>
    <t>DIA</t>
  </si>
  <si>
    <t>MES</t>
  </si>
  <si>
    <t>FECHA DE PAGO</t>
  </si>
  <si>
    <t>VALOR UNITARIO</t>
  </si>
  <si>
    <t>MEDIO DE PAGO</t>
  </si>
  <si>
    <t>RESPONSABLE</t>
  </si>
  <si>
    <t>CURSO</t>
  </si>
  <si>
    <t>GENERO</t>
  </si>
  <si>
    <t>PERFIL DEL PROFESIONAL</t>
  </si>
  <si>
    <t>CELULAR</t>
  </si>
  <si>
    <t>NOMBRE CURSO</t>
  </si>
  <si>
    <t>NOMBRE COMPLETO</t>
  </si>
  <si>
    <t>NOMBRE CERTIFICADO</t>
  </si>
  <si>
    <t>NOMBRE PDF</t>
  </si>
  <si>
    <t>BLS</t>
  </si>
  <si>
    <t>CODIGO</t>
  </si>
  <si>
    <t>ATENCION PRE-HOSPITALARIA</t>
  </si>
  <si>
    <t>DIPLOMADO EN ATENCION PRE-HOSPITALARIA</t>
  </si>
  <si>
    <t>DUELO</t>
  </si>
  <si>
    <t>ACOMPAÑAMIENTO Y MANEJO DEL DUELO</t>
  </si>
  <si>
    <t>QUIMICOS</t>
  </si>
  <si>
    <t>PRIMEROS AUXILIOS</t>
  </si>
  <si>
    <t xml:space="preserve">PRIMEROS AUXILIOS </t>
  </si>
  <si>
    <t>UCI</t>
  </si>
  <si>
    <t>DIPLOMADO DE UNIDAD DE CUIDADOS INTENSIVOS (UCI)</t>
  </si>
  <si>
    <t>CODIGO VERDE</t>
  </si>
  <si>
    <t>MODELO DE ATENCION PARA EVENTOS EMERGENTES EN SALUD MENTAL (CODIGO VERDE)</t>
  </si>
  <si>
    <t>HUMANIZACION</t>
  </si>
  <si>
    <t>CLINICA DE HERIDAS</t>
  </si>
  <si>
    <t xml:space="preserve">CLINICA DE HERIDAS </t>
  </si>
  <si>
    <t>CITOLOGIA</t>
  </si>
  <si>
    <t xml:space="preserve">TOMA DE CITOLOGIA A CERVICO VAGINAL </t>
  </si>
  <si>
    <t>ACLS</t>
  </si>
  <si>
    <t>CAMILLERO</t>
  </si>
  <si>
    <t xml:space="preserve">CAMILLERO </t>
  </si>
  <si>
    <t>TOMA DE MUESTRAS</t>
  </si>
  <si>
    <t>SOPORTE VITAL BASICO (BLS)</t>
  </si>
  <si>
    <t>VIOLENCIA SEXUAL</t>
  </si>
  <si>
    <t>PROGRAMADO AMPLIADO DE INMUNIZACION (PAI - COVID 19)</t>
  </si>
  <si>
    <t>AIEPI</t>
  </si>
  <si>
    <t>ADMON DE MEDICAMENTOS</t>
  </si>
  <si>
    <t>OVE</t>
  </si>
  <si>
    <t>OPERADOR DE VEHICULOS DE EMERGENCIA (OVE)</t>
  </si>
  <si>
    <t>IAMI</t>
  </si>
  <si>
    <t>INSTITUCIONES AMIGAS DE LA MUJER Y LA INFANCIA (IAMI)</t>
  </si>
  <si>
    <t>DONANTE</t>
  </si>
  <si>
    <t>CUIDADO DEL DONANTE DE ORGANOS</t>
  </si>
  <si>
    <t>VIOLENCIA DE GENERO</t>
  </si>
  <si>
    <t>IGUALDAD DE GENERO</t>
  </si>
  <si>
    <t>IGUALDAD DE GENERO EN LA SALUD</t>
  </si>
  <si>
    <t>BRIGADA</t>
  </si>
  <si>
    <t>BRIGADA DE EMERGENCIA</t>
  </si>
  <si>
    <t>PALIATIVOS</t>
  </si>
  <si>
    <t>MANEJO DEL DOLOR Y CUIDADOS PALIATIVOS</t>
  </si>
  <si>
    <t>POCT</t>
  </si>
  <si>
    <t>IMPLANTE</t>
  </si>
  <si>
    <t>SALUD MENTAL</t>
  </si>
  <si>
    <t>PRIMEROS AUXILIOS P</t>
  </si>
  <si>
    <t>PRIMEROS AUXILIOS PSICOLOGICOS</t>
  </si>
  <si>
    <t>CONFLICTO ARMADO</t>
  </si>
  <si>
    <t>ATENCION A VICTIMAS POR CONFLICTO ARMADO</t>
  </si>
  <si>
    <t>FECHA DE NACIMIENTO</t>
  </si>
  <si>
    <t>X</t>
  </si>
  <si>
    <t>ELABORO</t>
  </si>
  <si>
    <t xml:space="preserve">CORREO </t>
  </si>
  <si>
    <t>LINK BASE</t>
  </si>
  <si>
    <t>CEDULA</t>
  </si>
  <si>
    <t>LINK</t>
  </si>
  <si>
    <t>PAI</t>
  </si>
  <si>
    <t>MANIPULACION DE ALIMENTOS</t>
  </si>
  <si>
    <t>MANIPULACION DE ALIMENTOS Y BPM</t>
  </si>
  <si>
    <t>ATENCION A PERSONAS CON DISCAPACIDAD</t>
  </si>
  <si>
    <t>DISCAPACIDAD</t>
  </si>
  <si>
    <t>ADULTO MAYOR</t>
  </si>
  <si>
    <t>CUIDADO INTEGRAL DEL PACIENTE ADULTO</t>
  </si>
  <si>
    <t>MANEJO DEFENSIVO</t>
  </si>
  <si>
    <t>ACLSN</t>
  </si>
  <si>
    <t>SOPORTE CARDIOVASCULAR AVANZADO NEONATAL</t>
  </si>
  <si>
    <t>SOPORTE CARDIOVASCULAR AVANZADO (ACLS)</t>
  </si>
  <si>
    <t>TOMA DE MUESTRAS Y LABORATORIO POCT</t>
  </si>
  <si>
    <t>IMPLANTE SUBDERMICO DE DISPOSITIVO INTRAUTERINO</t>
  </si>
  <si>
    <t>SEGURIDAD DEL PACIENTE</t>
  </si>
  <si>
    <t>PACIENTE</t>
  </si>
  <si>
    <t>MODALIDAD</t>
  </si>
  <si>
    <t>TOMA DE MUESTRAS Y LABORATORIO CLINICO</t>
  </si>
  <si>
    <t>RESIDUOS</t>
  </si>
  <si>
    <t>MANEJO DE RESIDUOS HOSPITALARIOS</t>
  </si>
  <si>
    <t xml:space="preserve">ATENCIÓN A VÍCTIMAS DE ATAQUE CON AGENTES QUIMICOS </t>
  </si>
  <si>
    <t xml:space="preserve">HUMANIZACIÓN EN EL SERVICIO DE LA SALUD Y BUENAS PRACTICAS EN PACIENTE </t>
  </si>
  <si>
    <t xml:space="preserve">ATENCIÓN A VÍCTIMAS DE VIOLENCIA SEXUAL </t>
  </si>
  <si>
    <t>ATENCIÓN INTEGRAL EN ENFERMEDADES PREVALENTES EN PRIMERA INFANCIA (AIEPI)</t>
  </si>
  <si>
    <t xml:space="preserve">ADMINISTRACIÓN DE MEDICAMENTOS, INYECTOLOGIA  Y CANALIZACION </t>
  </si>
  <si>
    <t>ATENCIÓN A VICTIMAS POR VIOLENCIA DE GENERO</t>
  </si>
  <si>
    <t>Fajardo</t>
  </si>
  <si>
    <t>Pantoja</t>
  </si>
  <si>
    <t>Sara</t>
  </si>
  <si>
    <t>Paola</t>
  </si>
  <si>
    <t>Diciembre</t>
  </si>
  <si>
    <t>RENOVACION</t>
  </si>
  <si>
    <t>BANCOLOMBIA</t>
  </si>
  <si>
    <t>CAMILO</t>
  </si>
  <si>
    <t>CCS</t>
  </si>
  <si>
    <t>F</t>
  </si>
  <si>
    <t>FISIOTERAPEUTA</t>
  </si>
  <si>
    <t xml:space="preserve">saritapaolita03@gmail.com </t>
  </si>
  <si>
    <t>López</t>
  </si>
  <si>
    <t>Villota</t>
  </si>
  <si>
    <t>Nayely</t>
  </si>
  <si>
    <t>Vanessa</t>
  </si>
  <si>
    <t>NEQUI</t>
  </si>
  <si>
    <t xml:space="preserve">vanevillo.18@gmail.com </t>
  </si>
  <si>
    <t>AUX DE ENFERMERIA</t>
  </si>
  <si>
    <t>Pejendino</t>
  </si>
  <si>
    <t>Martinez</t>
  </si>
  <si>
    <t>Luis</t>
  </si>
  <si>
    <t>Leobar</t>
  </si>
  <si>
    <t>luisleomartinez1988@gmail.com</t>
  </si>
  <si>
    <t>Parreño</t>
  </si>
  <si>
    <t>Meza</t>
  </si>
  <si>
    <t>Kelly</t>
  </si>
  <si>
    <t>Rocío</t>
  </si>
  <si>
    <t>Kellymeza1506@gmail.com</t>
  </si>
  <si>
    <t>Noviembre</t>
  </si>
  <si>
    <t>Acosta</t>
  </si>
  <si>
    <t>Zambrano</t>
  </si>
  <si>
    <t>Angie</t>
  </si>
  <si>
    <t>Tatiana</t>
  </si>
  <si>
    <t>YURANI</t>
  </si>
  <si>
    <t>ENFERMERA</t>
  </si>
  <si>
    <t>angiezambrano240@gmail.com</t>
  </si>
  <si>
    <t>Erira</t>
  </si>
  <si>
    <t>Santander</t>
  </si>
  <si>
    <t>William</t>
  </si>
  <si>
    <t>Fernando</t>
  </si>
  <si>
    <t>M</t>
  </si>
  <si>
    <t>CONDUCTOR</t>
  </si>
  <si>
    <t xml:space="preserve">wiffo27@hotmail.com </t>
  </si>
  <si>
    <t>Ipujan</t>
  </si>
  <si>
    <t>Hernandez</t>
  </si>
  <si>
    <t>Marcela</t>
  </si>
  <si>
    <t>marcelaipujanh@gmail.com</t>
  </si>
  <si>
    <t>Burgos</t>
  </si>
  <si>
    <t>Karen</t>
  </si>
  <si>
    <t>Dayana</t>
  </si>
  <si>
    <t xml:space="preserve">dayaniita2304@gmail.com </t>
  </si>
  <si>
    <t>David</t>
  </si>
  <si>
    <t>Rodriguez</t>
  </si>
  <si>
    <t>Yesid</t>
  </si>
  <si>
    <t>Alexys</t>
  </si>
  <si>
    <t>CAPACITACION</t>
  </si>
  <si>
    <t>PSICOLOG@</t>
  </si>
  <si>
    <t>yeso9326@gmail.com</t>
  </si>
  <si>
    <t>Gualguan</t>
  </si>
  <si>
    <t>Tulcán</t>
  </si>
  <si>
    <t>Melina</t>
  </si>
  <si>
    <t>Andrea</t>
  </si>
  <si>
    <t>melinaandreagu@hotmail.com</t>
  </si>
  <si>
    <t>Hurtado</t>
  </si>
  <si>
    <t>Guerrero</t>
  </si>
  <si>
    <t>Ibet</t>
  </si>
  <si>
    <t>saraibethhurtadoguerrero@gmail.com</t>
  </si>
  <si>
    <t>Portilla</t>
  </si>
  <si>
    <t>Bravo</t>
  </si>
  <si>
    <t>Amalia</t>
  </si>
  <si>
    <t>Lucía</t>
  </si>
  <si>
    <t>MEDIC@</t>
  </si>
  <si>
    <t>amalia_portilla@hotmail.com</t>
  </si>
  <si>
    <t>Cerón</t>
  </si>
  <si>
    <t>Fuertes</t>
  </si>
  <si>
    <t>Katherine</t>
  </si>
  <si>
    <t>pceronfuertes303@gmail.com</t>
  </si>
  <si>
    <t>EFECTY</t>
  </si>
  <si>
    <t>Bucheli</t>
  </si>
  <si>
    <t>Alfonso</t>
  </si>
  <si>
    <t>Alexander</t>
  </si>
  <si>
    <t>FRANCISCO</t>
  </si>
  <si>
    <t>Alex.0817@hotmail.com</t>
  </si>
  <si>
    <t>Erazo</t>
  </si>
  <si>
    <t>Melo</t>
  </si>
  <si>
    <t>Brainer</t>
  </si>
  <si>
    <t>Esneyder</t>
  </si>
  <si>
    <t>erazobrainer@gmail.com</t>
  </si>
  <si>
    <t>Torres</t>
  </si>
  <si>
    <t>Jhosvan</t>
  </si>
  <si>
    <t>Danilo</t>
  </si>
  <si>
    <t>jhosvanyjk@gmail.com</t>
  </si>
  <si>
    <t>VENDEDOR DE MEDICAMENTOS</t>
  </si>
  <si>
    <t>CAJA</t>
  </si>
  <si>
    <t xml:space="preserve"> Yela </t>
  </si>
  <si>
    <t>Guevara</t>
  </si>
  <si>
    <t>Aura</t>
  </si>
  <si>
    <t>Elizabeth</t>
  </si>
  <si>
    <t>SEBASTIAN</t>
  </si>
  <si>
    <t>yelaelizabeth@hotmail.com</t>
  </si>
  <si>
    <t>Rosero</t>
  </si>
  <si>
    <t>Oliva</t>
  </si>
  <si>
    <t>Edith</t>
  </si>
  <si>
    <t>Lucia</t>
  </si>
  <si>
    <t>luciarosero1213@gmail.com</t>
  </si>
  <si>
    <t>NUTRICIONISTA</t>
  </si>
  <si>
    <t>Morales</t>
  </si>
  <si>
    <t>Ramirez</t>
  </si>
  <si>
    <t>Yulieth</t>
  </si>
  <si>
    <t>Lizhet</t>
  </si>
  <si>
    <t>lizhetmorales04@gmail.com</t>
  </si>
  <si>
    <t>Anganoy</t>
  </si>
  <si>
    <t>Soscue</t>
  </si>
  <si>
    <t>Julieth</t>
  </si>
  <si>
    <t xml:space="preserve">juliethvanessa46@gmail.com </t>
  </si>
  <si>
    <t>Ramos</t>
  </si>
  <si>
    <t>Chañag</t>
  </si>
  <si>
    <t>Brayan</t>
  </si>
  <si>
    <t>Gilberto</t>
  </si>
  <si>
    <t>TECNICO EN PREPARACION FISICA</t>
  </si>
  <si>
    <t>chanagbrayan9@gmail.com</t>
  </si>
  <si>
    <t>Colunge</t>
  </si>
  <si>
    <t>Daniela</t>
  </si>
  <si>
    <t>Valentina</t>
  </si>
  <si>
    <t>ODONTOLOGA</t>
  </si>
  <si>
    <t>valentinacolunge11@gmail.com</t>
  </si>
  <si>
    <t>Dorado</t>
  </si>
  <si>
    <t>Oviedo</t>
  </si>
  <si>
    <t>Yesenia</t>
  </si>
  <si>
    <t>Isabel</t>
  </si>
  <si>
    <t>doradoisabela5@gmail.com</t>
  </si>
  <si>
    <t>Yanguatin</t>
  </si>
  <si>
    <t>Criollo</t>
  </si>
  <si>
    <t>Fernanda</t>
  </si>
  <si>
    <t xml:space="preserve">ydanielafernanda5@gmail.com </t>
  </si>
  <si>
    <t>Ibarra</t>
  </si>
  <si>
    <t>Ana</t>
  </si>
  <si>
    <t>Maria</t>
  </si>
  <si>
    <t>Ammi00@hotmail.com</t>
  </si>
  <si>
    <t>Pulido</t>
  </si>
  <si>
    <t>Recalde</t>
  </si>
  <si>
    <t>valentinapulido97@gmail.com</t>
  </si>
  <si>
    <t>USO Y MANEJO DEL DEA</t>
  </si>
  <si>
    <t>https://centrodecapacitaciondelsur.com/uso-y-manejo-del-dea-</t>
  </si>
  <si>
    <t>Ricaurte</t>
  </si>
  <si>
    <t>Estrada</t>
  </si>
  <si>
    <t>Del carmen</t>
  </si>
  <si>
    <t xml:space="preserve">ricaurtemaria29@gmail.com </t>
  </si>
  <si>
    <t>Camues</t>
  </si>
  <si>
    <t>Monica</t>
  </si>
  <si>
    <t>Yolanda</t>
  </si>
  <si>
    <t xml:space="preserve">yr301601@gmail.com </t>
  </si>
  <si>
    <t>Obando</t>
  </si>
  <si>
    <t>Omar</t>
  </si>
  <si>
    <t>Laureano</t>
  </si>
  <si>
    <t>oibarraobando@gmail.com</t>
  </si>
  <si>
    <t>Puerres</t>
  </si>
  <si>
    <t>Mora</t>
  </si>
  <si>
    <t>Diana</t>
  </si>
  <si>
    <t>Sofia</t>
  </si>
  <si>
    <t xml:space="preserve">dianitapuerres38@gmail.com </t>
  </si>
  <si>
    <t>Riascos</t>
  </si>
  <si>
    <t>Coral</t>
  </si>
  <si>
    <t>Viviana</t>
  </si>
  <si>
    <t>Maritza</t>
  </si>
  <si>
    <t>REGENTE DE FARMACIA</t>
  </si>
  <si>
    <t>maritzacoral81@gmail.com</t>
  </si>
  <si>
    <t>Ayala</t>
  </si>
  <si>
    <t>Delgado</t>
  </si>
  <si>
    <t>Balvina</t>
  </si>
  <si>
    <t xml:space="preserve">dianitaa34@gmail.com </t>
  </si>
  <si>
    <t>Pazmiño</t>
  </si>
  <si>
    <t>Gaviria</t>
  </si>
  <si>
    <t>Lizeth</t>
  </si>
  <si>
    <t>Xiomara</t>
  </si>
  <si>
    <t>TECNOLOGA EN IMÁGENES DIAGNOSTICAS</t>
  </si>
  <si>
    <t xml:space="preserve">Lizethpazmino01@gmail.com </t>
  </si>
  <si>
    <t>DAVIPLATA</t>
  </si>
  <si>
    <t>Mesias</t>
  </si>
  <si>
    <t>Ximena</t>
  </si>
  <si>
    <t>INDEPENDIENTE</t>
  </si>
  <si>
    <t>mesiasximena8@gmail.com</t>
  </si>
  <si>
    <t>2/12/2024-5/12/2024</t>
  </si>
  <si>
    <t>9/12/2024-11/12/2024</t>
  </si>
  <si>
    <t>CAJA/NEQUI</t>
  </si>
  <si>
    <t>CAJA/BANCOLOMBIA</t>
  </si>
  <si>
    <t>10/12/2024-11/12/2024</t>
  </si>
  <si>
    <t>Rojas</t>
  </si>
  <si>
    <t>Yasmin</t>
  </si>
  <si>
    <t>Carolina</t>
  </si>
  <si>
    <t>rojasguerrero513@gmail.com</t>
  </si>
  <si>
    <t>Bernal</t>
  </si>
  <si>
    <t>Cristina</t>
  </si>
  <si>
    <t>criscoral94@gmail.com</t>
  </si>
  <si>
    <t>Landazuri</t>
  </si>
  <si>
    <t>Portillo</t>
  </si>
  <si>
    <t>Samanta</t>
  </si>
  <si>
    <t xml:space="preserve">Samyga0216@gmail.com </t>
  </si>
  <si>
    <t>Cepeda</t>
  </si>
  <si>
    <t>Omaira</t>
  </si>
  <si>
    <t>Luz Edith</t>
  </si>
  <si>
    <t>or8543283@gmail.com</t>
  </si>
  <si>
    <t>11/12/2024-12/12/2024</t>
  </si>
  <si>
    <t>Guacales</t>
  </si>
  <si>
    <t>Esteban</t>
  </si>
  <si>
    <t>Bladimir</t>
  </si>
  <si>
    <t>bladimirencristo@gmail.com</t>
  </si>
  <si>
    <t>Solarte</t>
  </si>
  <si>
    <t>Palacios</t>
  </si>
  <si>
    <t>Mercedes</t>
  </si>
  <si>
    <t>Mercedessolartep@hotmail.com</t>
  </si>
  <si>
    <t>Nandar</t>
  </si>
  <si>
    <t>Pinchao</t>
  </si>
  <si>
    <t>Jairo</t>
  </si>
  <si>
    <t>Antonio</t>
  </si>
  <si>
    <t xml:space="preserve">jaironandar44@hotmail.com </t>
  </si>
  <si>
    <t>Yusty</t>
  </si>
  <si>
    <t>Osorio</t>
  </si>
  <si>
    <t>Sonia</t>
  </si>
  <si>
    <t>soniayusty@gmail.com</t>
  </si>
  <si>
    <t>Ceballos</t>
  </si>
  <si>
    <t>Botina</t>
  </si>
  <si>
    <t xml:space="preserve">ce12carolina08@gmail.com </t>
  </si>
  <si>
    <t>dafercoh@hotmail.com</t>
  </si>
  <si>
    <t>Moran</t>
  </si>
  <si>
    <t>Chaves</t>
  </si>
  <si>
    <t>Elizabet</t>
  </si>
  <si>
    <t>Rubi</t>
  </si>
  <si>
    <t>rubimoran10@hotmail.com</t>
  </si>
  <si>
    <t>Zarama</t>
  </si>
  <si>
    <t>Muñoz</t>
  </si>
  <si>
    <t>Mario</t>
  </si>
  <si>
    <t>Francisco</t>
  </si>
  <si>
    <t>QUIROPRACTICO</t>
  </si>
  <si>
    <t>abogadozarama@gmail.com</t>
  </si>
  <si>
    <t>Cuastumal</t>
  </si>
  <si>
    <t>Edison</t>
  </si>
  <si>
    <t>Felipe</t>
  </si>
  <si>
    <t>edisoncuastumal41@gmail.com</t>
  </si>
  <si>
    <t>Vinasco</t>
  </si>
  <si>
    <t>Jimenez</t>
  </si>
  <si>
    <t>Nathaly</t>
  </si>
  <si>
    <t>Alejandra</t>
  </si>
  <si>
    <t>Nathy.vinasco@hotmail.com</t>
  </si>
  <si>
    <t>18/12/2024-19/12/2024</t>
  </si>
  <si>
    <t xml:space="preserve">Coral </t>
  </si>
  <si>
    <t>Ordoñez</t>
  </si>
  <si>
    <t>Victor</t>
  </si>
  <si>
    <t>Iván</t>
  </si>
  <si>
    <t>victorivan.77@hotmail.com</t>
  </si>
  <si>
    <t>Burbano</t>
  </si>
  <si>
    <t>Diego</t>
  </si>
  <si>
    <t xml:space="preserve">diegoobando95@hotmail.com </t>
  </si>
  <si>
    <t>19/12/2024-23/12/2024</t>
  </si>
  <si>
    <t>Mitis</t>
  </si>
  <si>
    <t>Rivera</t>
  </si>
  <si>
    <t>Yuli</t>
  </si>
  <si>
    <t>Katerine</t>
  </si>
  <si>
    <t>yulikaterinemitis@gmail.com</t>
  </si>
  <si>
    <t>Sánchez</t>
  </si>
  <si>
    <t>Eraso</t>
  </si>
  <si>
    <t>Andres</t>
  </si>
  <si>
    <t>diego122andres@gmail.com</t>
  </si>
  <si>
    <t>Samantha</t>
  </si>
  <si>
    <t xml:space="preserve">Kathe913005@yahoo.com </t>
  </si>
  <si>
    <t>laos2581@hotmail.com</t>
  </si>
  <si>
    <t>Lagos</t>
  </si>
  <si>
    <t>Amanda</t>
  </si>
  <si>
    <t>Argelia</t>
  </si>
  <si>
    <t>Rosa</t>
  </si>
  <si>
    <t>Guadalupe</t>
  </si>
  <si>
    <t xml:space="preserve">guadalupeburbano@gmail.com </t>
  </si>
  <si>
    <t>anilu0106_@hotmail.com</t>
  </si>
  <si>
    <t>Cifuentes</t>
  </si>
  <si>
    <t>Arsenio</t>
  </si>
  <si>
    <t>SALVAMENTO ACUATICO</t>
  </si>
  <si>
    <t>OBSEQUIO</t>
  </si>
  <si>
    <t>https://centrodecapacitaciondelsur.com/salvamento-acuatico-</t>
  </si>
  <si>
    <t>26/12/2024-27/12/2024</t>
  </si>
  <si>
    <t>Alvarez</t>
  </si>
  <si>
    <t>carolinaalva782@gmail.com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</si>
</sst>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</numFmts>
  <fonts count="14" x14ac:knownFonts="1"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b/>
      <sz val="12"/>
      <color theme="1"/>
      <name val="Arial"/>
      <family val="2"/>
    </font>
    <font>
      <sz val="12"/>
      <color rgb="FFFF0000"/>
      <name val="Arial"/>
      <family val="2"/>
    </font>
    <font>
      <sz val="12"/>
      <color rgb="FF7030A0"/>
      <name val="Arial"/>
      <family val="2"/>
    </font>
    <font>
      <u/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0" tint="-0.14999847407452621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106">
    <xf numFmtId="0" fontId="0" fillId="0" borderId="0" xfId="0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0" fontId="5" fillId="0" borderId="7" xfId="0" applyFont="1" applyBorder="1"/>
    <xf numFmtId="0" fontId="5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left"/>
    </xf>
    <xf numFmtId="0" fontId="5" fillId="0" borderId="7" xfId="0" applyFont="1" applyBorder="1" applyAlignment="1">
      <alignment horizontal="left"/>
    </xf>
    <xf numFmtId="0" fontId="8" fillId="0" borderId="0" xfId="3"/>
    <xf numFmtId="0" fontId="2" fillId="0" borderId="9" xfId="0" applyFont="1" applyBorder="1" applyAlignment="1">
      <alignment horizontal="center"/>
    </xf>
    <xf numFmtId="0" fontId="4" fillId="2" borderId="8" xfId="0" applyFont="1" applyFill="1" applyBorder="1"/>
    <xf numFmtId="0" fontId="2" fillId="0" borderId="10" xfId="0" applyFont="1" applyBorder="1" applyAlignment="1">
      <alignment horizontal="center"/>
    </xf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5" fillId="0" borderId="14" xfId="0" applyFont="1" applyBorder="1" applyAlignment="1">
      <alignment horizontal="center"/>
    </xf>
    <xf numFmtId="0" fontId="5" fillId="0" borderId="5" xfId="0" applyFont="1" applyBorder="1" applyAlignment="1">
      <alignment horizontal="left" vertical="center"/>
    </xf>
    <xf numFmtId="0" fontId="0" fillId="0" borderId="6" xfId="0" applyBorder="1" applyAlignment="1">
      <alignment horizontal="center"/>
    </xf>
    <xf numFmtId="0" fontId="5" fillId="0" borderId="16" xfId="0" applyFont="1" applyBorder="1"/>
    <xf numFmtId="14" fontId="4" fillId="2" borderId="8" xfId="0" applyNumberFormat="1" applyFont="1" applyFill="1" applyBorder="1"/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/>
    <xf numFmtId="0" fontId="9" fillId="0" borderId="6" xfId="0" applyFont="1" applyBorder="1" applyAlignment="1">
      <alignment horizontal="center"/>
    </xf>
    <xf numFmtId="0" fontId="9" fillId="0" borderId="1" xfId="0" applyFont="1" applyBorder="1" applyAlignment="1">
      <alignment horizontal="left"/>
    </xf>
    <xf numFmtId="0" fontId="4" fillId="0" borderId="7" xfId="0" applyFont="1" applyBorder="1"/>
    <xf numFmtId="0" fontId="4" fillId="0" borderId="6" xfId="0" applyFont="1" applyBorder="1" applyAlignment="1">
      <alignment horizontal="center" vertic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/>
    <xf numFmtId="0" fontId="9" fillId="0" borderId="7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/>
    <xf numFmtId="0" fontId="4" fillId="0" borderId="16" xfId="0" applyFont="1" applyBorder="1"/>
    <xf numFmtId="0" fontId="10" fillId="0" borderId="2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9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14" fontId="9" fillId="2" borderId="0" xfId="1" applyNumberFormat="1" applyFont="1" applyFill="1" applyBorder="1" applyAlignment="1">
      <alignment horizontal="center" vertical="center"/>
    </xf>
    <xf numFmtId="164" fontId="9" fillId="2" borderId="0" xfId="0" applyNumberFormat="1" applyFont="1" applyFill="1" applyAlignment="1">
      <alignment horizontal="center" vertical="center"/>
    </xf>
    <xf numFmtId="14" fontId="9" fillId="2" borderId="0" xfId="0" applyNumberFormat="1" applyFont="1" applyFill="1" applyAlignment="1">
      <alignment horizontal="center" vertical="center"/>
    </xf>
    <xf numFmtId="15" fontId="9" fillId="2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64" fontId="9" fillId="2" borderId="0" xfId="1" applyNumberFormat="1" applyFont="1" applyFill="1" applyBorder="1" applyAlignment="1">
      <alignment horizontal="center" vertical="center"/>
    </xf>
    <xf numFmtId="0" fontId="9" fillId="2" borderId="0" xfId="3" applyFont="1" applyFill="1" applyBorder="1" applyAlignment="1">
      <alignment horizontal="center" vertical="center"/>
    </xf>
    <xf numFmtId="0" fontId="9" fillId="2" borderId="0" xfId="3" applyNumberFormat="1" applyFont="1" applyFill="1" applyBorder="1" applyAlignment="1">
      <alignment horizontal="center" vertical="center"/>
    </xf>
    <xf numFmtId="14" fontId="9" fillId="2" borderId="0" xfId="0" applyNumberFormat="1" applyFont="1" applyFill="1" applyAlignment="1">
      <alignment horizontal="center" vertical="center" wrapText="1"/>
    </xf>
    <xf numFmtId="14" fontId="9" fillId="2" borderId="0" xfId="1" applyNumberFormat="1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/>
    </xf>
    <xf numFmtId="0" fontId="9" fillId="2" borderId="1" xfId="0" applyFont="1" applyFill="1" applyBorder="1" applyAlignment="1">
      <alignment horizontal="center" vertical="center"/>
    </xf>
    <xf numFmtId="14" fontId="9" fillId="2" borderId="1" xfId="1" applyNumberFormat="1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14" fontId="9" fillId="2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3" fillId="2" borderId="1" xfId="2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49" fontId="3" fillId="2" borderId="1" xfId="0" applyNumberFormat="1" applyFont="1" applyFill="1" applyBorder="1" applyAlignment="1" applyProtection="1">
      <alignment horizontal="center" vertical="center"/>
      <protection locked="0"/>
    </xf>
    <xf numFmtId="49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14" fontId="3" fillId="2" borderId="1" xfId="2" applyNumberFormat="1" applyFont="1" applyFill="1" applyBorder="1" applyAlignment="1" applyProtection="1">
      <alignment horizontal="center" vertical="center"/>
      <protection locked="0"/>
    </xf>
    <xf numFmtId="164" fontId="3" fillId="2" borderId="1" xfId="1" applyNumberFormat="1" applyFont="1" applyFill="1" applyBorder="1" applyAlignment="1" applyProtection="1">
      <alignment horizontal="center" vertical="center"/>
      <protection locked="0"/>
    </xf>
    <xf numFmtId="14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64" fontId="9" fillId="2" borderId="1" xfId="1" applyNumberFormat="1" applyFont="1" applyFill="1" applyBorder="1" applyAlignment="1">
      <alignment horizontal="center" vertical="center"/>
    </xf>
    <xf numFmtId="0" fontId="9" fillId="2" borderId="1" xfId="3" applyFont="1" applyFill="1" applyBorder="1" applyAlignment="1">
      <alignment horizontal="center" vertical="center"/>
    </xf>
    <xf numFmtId="1" fontId="9" fillId="2" borderId="8" xfId="0" applyNumberFormat="1" applyFont="1" applyFill="1" applyBorder="1" applyAlignment="1">
      <alignment horizontal="center" vertical="center"/>
    </xf>
    <xf numFmtId="164" fontId="11" fillId="2" borderId="1" xfId="1" applyNumberFormat="1" applyFont="1" applyFill="1" applyBorder="1" applyAlignment="1">
      <alignment horizontal="center" vertical="center"/>
    </xf>
    <xf numFmtId="1" fontId="9" fillId="2" borderId="0" xfId="0" applyNumberFormat="1" applyFont="1" applyFill="1" applyAlignment="1">
      <alignment horizontal="center" vertical="center"/>
    </xf>
    <xf numFmtId="1" fontId="11" fillId="2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14" fontId="11" fillId="2" borderId="1" xfId="0" applyNumberFormat="1" applyFont="1" applyFill="1" applyBorder="1" applyAlignment="1">
      <alignment horizontal="center" vertical="center"/>
    </xf>
    <xf numFmtId="14" fontId="11" fillId="2" borderId="1" xfId="1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9" fillId="2" borderId="1" xfId="3" applyNumberFormat="1" applyFont="1" applyFill="1" applyBorder="1" applyAlignment="1">
      <alignment horizontal="center" vertical="center"/>
    </xf>
    <xf numFmtId="1" fontId="12" fillId="2" borderId="1" xfId="0" applyNumberFormat="1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14" fontId="12" fillId="2" borderId="1" xfId="0" applyNumberFormat="1" applyFont="1" applyFill="1" applyBorder="1" applyAlignment="1">
      <alignment horizontal="center" vertical="center"/>
    </xf>
    <xf numFmtId="14" fontId="12" fillId="2" borderId="1" xfId="1" applyNumberFormat="1" applyFont="1" applyFill="1" applyBorder="1" applyAlignment="1">
      <alignment horizontal="center" vertical="center"/>
    </xf>
    <xf numFmtId="164" fontId="12" fillId="2" borderId="1" xfId="1" applyNumberFormat="1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164" fontId="0" fillId="2" borderId="1" xfId="1" applyNumberFormat="1" applyFont="1" applyFill="1" applyBorder="1" applyAlignment="1">
      <alignment horizontal="center" vertical="center"/>
    </xf>
    <xf numFmtId="0" fontId="13" fillId="2" borderId="0" xfId="3" applyFont="1" applyFill="1" applyBorder="1" applyAlignment="1">
      <alignment horizontal="center" vertical="center" wrapText="1"/>
    </xf>
    <xf numFmtId="0" fontId="13" fillId="2" borderId="0" xfId="3" applyFont="1" applyFill="1" applyBorder="1" applyAlignment="1">
      <alignment horizontal="center" vertical="center"/>
    </xf>
    <xf numFmtId="0" fontId="13" fillId="2" borderId="0" xfId="3" applyNumberFormat="1" applyFont="1" applyFill="1" applyBorder="1" applyAlignment="1">
      <alignment horizontal="center" vertical="center"/>
    </xf>
    <xf numFmtId="0" fontId="8" fillId="2" borderId="1" xfId="3" applyFill="1" applyBorder="1" applyAlignment="1">
      <alignment horizontal="center" vertical="center"/>
    </xf>
    <xf numFmtId="164" fontId="12" fillId="2" borderId="1" xfId="0" applyNumberFormat="1" applyFont="1" applyFill="1" applyBorder="1" applyAlignment="1">
      <alignment horizontal="center" vertical="center"/>
    </xf>
    <xf numFmtId="0" fontId="12" fillId="2" borderId="1" xfId="3" applyFont="1" applyFill="1" applyBorder="1" applyAlignment="1">
      <alignment horizontal="center" vertical="center"/>
    </xf>
    <xf numFmtId="0" fontId="9" fillId="5" borderId="1" xfId="3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8" fillId="2" borderId="1" xfId="3" applyNumberFormat="1" applyFill="1" applyBorder="1" applyAlignment="1">
      <alignment horizontal="center" vertical="center"/>
    </xf>
    <xf numFmtId="14" fontId="9" fillId="2" borderId="1" xfId="0" applyNumberFormat="1" applyFont="1" applyFill="1" applyBorder="1" applyAlignment="1">
      <alignment horizontal="center" vertical="center" wrapText="1"/>
    </xf>
    <xf numFmtId="0" fontId="9" fillId="2" borderId="1" xfId="3" applyFont="1" applyFill="1" applyBorder="1" applyAlignment="1">
      <alignment horizontal="center" vertical="center" wrapText="1"/>
    </xf>
    <xf numFmtId="14" fontId="9" fillId="2" borderId="1" xfId="1" applyNumberFormat="1" applyFont="1" applyFill="1" applyBorder="1" applyAlignment="1">
      <alignment horizontal="center" vertical="center" wrapText="1"/>
    </xf>
    <xf numFmtId="164" fontId="9" fillId="2" borderId="1" xfId="0" applyNumberFormat="1" applyFont="1" applyFill="1" applyBorder="1" applyAlignment="1">
      <alignment horizontal="center" vertical="center" wrapText="1"/>
    </xf>
    <xf numFmtId="0" fontId="8" fillId="2" borderId="1" xfId="3" applyFill="1" applyBorder="1" applyAlignment="1">
      <alignment horizontal="center" vertical="center" wrapText="1"/>
    </xf>
    <xf numFmtId="0" fontId="13" fillId="2" borderId="1" xfId="3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14" fontId="12" fillId="2" borderId="1" xfId="0" applyNumberFormat="1" applyFont="1" applyFill="1" applyBorder="1" applyAlignment="1">
      <alignment horizontal="center" vertical="center" wrapText="1"/>
    </xf>
    <xf numFmtId="0" fontId="12" fillId="2" borderId="1" xfId="3" applyFont="1" applyFill="1" applyBorder="1" applyAlignment="1">
      <alignment horizontal="center" vertical="center" wrapText="1"/>
    </xf>
  </cellXfs>
  <cellStyles count="4">
    <cellStyle name="Hipervínculo" xfId="3" builtinId="8"/>
    <cellStyle name="Millares" xfId="1" builtinId="3"/>
    <cellStyle name="Millares [0]" xfId="2" builtinId="6"/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98244</xdr:colOff>
      <xdr:row>125</xdr:row>
      <xdr:rowOff>45851</xdr:rowOff>
    </xdr:from>
    <xdr:to>
      <xdr:col>4</xdr:col>
      <xdr:colOff>1559107</xdr:colOff>
      <xdr:row>125</xdr:row>
      <xdr:rowOff>1506714</xdr:rowOff>
    </xdr:to>
    <xdr:grpSp>
      <xdr:nvGrpSpPr>
        <xdr:cNvPr id="981" name="$E$126" descr="QuickResponse barcode, level L, version 4, mode binary, 33x33 cells" title="https://centrodecapacitaciondelsur.com/soporte-basico-de-vida-1004534118/">
          <a:extLst>
            <a:ext uri="{FF2B5EF4-FFF2-40B4-BE49-F238E27FC236}">
              <a16:creationId xmlns:a16="http://schemas.microsoft.com/office/drawing/2014/main" id="{165FEE30-6B55-4DA2-934F-35DD6337FE20}"/>
            </a:ext>
          </a:extLst>
        </xdr:cNvPr>
        <xdr:cNvGrpSpPr>
          <a:grpSpLocks noChangeAspect="1"/>
        </xdr:cNvGrpSpPr>
      </xdr:nvGrpSpPr>
      <xdr:grpSpPr>
        <a:xfrm>
          <a:off x="20672244" y="143873351"/>
          <a:ext cx="1460863" cy="1460863"/>
          <a:chOff x="0" y="0"/>
          <a:chExt cx="419100" cy="419100"/>
        </a:xfrm>
      </xdr:grpSpPr>
      <xdr:sp macro="" textlink="">
        <xdr:nvSpPr>
          <xdr:cNvPr id="444" name="$E$126">
            <a:extLst>
              <a:ext uri="{FF2B5EF4-FFF2-40B4-BE49-F238E27FC236}">
                <a16:creationId xmlns:a16="http://schemas.microsoft.com/office/drawing/2014/main" id="{9964AF6A-8A9D-4902-8854-5E0002F218DE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" name="$E$126">
            <a:extLst>
              <a:ext uri="{FF2B5EF4-FFF2-40B4-BE49-F238E27FC236}">
                <a16:creationId xmlns:a16="http://schemas.microsoft.com/office/drawing/2014/main" id="{490BE589-57CD-438D-B327-CDEBCFCE2DD5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" name="$E$126">
            <a:extLst>
              <a:ext uri="{FF2B5EF4-FFF2-40B4-BE49-F238E27FC236}">
                <a16:creationId xmlns:a16="http://schemas.microsoft.com/office/drawing/2014/main" id="{BCEC398E-F983-4991-8110-69E1F68FF01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7" name="$E$126">
            <a:extLst>
              <a:ext uri="{FF2B5EF4-FFF2-40B4-BE49-F238E27FC236}">
                <a16:creationId xmlns:a16="http://schemas.microsoft.com/office/drawing/2014/main" id="{834521E0-8FDC-4EF4-848E-43BDA0D3D31D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" name="$E$126">
            <a:extLst>
              <a:ext uri="{FF2B5EF4-FFF2-40B4-BE49-F238E27FC236}">
                <a16:creationId xmlns:a16="http://schemas.microsoft.com/office/drawing/2014/main" id="{15D55C10-F4F4-4257-AB50-F5BC86FABE5D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9" name="$E$126">
            <a:extLst>
              <a:ext uri="{FF2B5EF4-FFF2-40B4-BE49-F238E27FC236}">
                <a16:creationId xmlns:a16="http://schemas.microsoft.com/office/drawing/2014/main" id="{58665405-D241-4182-8CAD-CD92901B4E8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" name="$E$126">
            <a:extLst>
              <a:ext uri="{FF2B5EF4-FFF2-40B4-BE49-F238E27FC236}">
                <a16:creationId xmlns:a16="http://schemas.microsoft.com/office/drawing/2014/main" id="{948EDEA3-7A7B-457A-A714-3A85ACD0D751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" name="$E$126">
            <a:extLst>
              <a:ext uri="{FF2B5EF4-FFF2-40B4-BE49-F238E27FC236}">
                <a16:creationId xmlns:a16="http://schemas.microsoft.com/office/drawing/2014/main" id="{543FF0B3-0978-41D7-B8E5-B901D8CFA027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" name="$E$126">
            <a:extLst>
              <a:ext uri="{FF2B5EF4-FFF2-40B4-BE49-F238E27FC236}">
                <a16:creationId xmlns:a16="http://schemas.microsoft.com/office/drawing/2014/main" id="{C0B02FBC-EE3C-4596-8419-DAA365183B5E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" name="$E$126">
            <a:extLst>
              <a:ext uri="{FF2B5EF4-FFF2-40B4-BE49-F238E27FC236}">
                <a16:creationId xmlns:a16="http://schemas.microsoft.com/office/drawing/2014/main" id="{2EF2CB92-CCBC-432F-AF0F-EEC32D52AE7F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" name="$E$126">
            <a:extLst>
              <a:ext uri="{FF2B5EF4-FFF2-40B4-BE49-F238E27FC236}">
                <a16:creationId xmlns:a16="http://schemas.microsoft.com/office/drawing/2014/main" id="{56B40897-C4B7-47FB-916F-B33AE4B73FE1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" name="$E$126">
            <a:extLst>
              <a:ext uri="{FF2B5EF4-FFF2-40B4-BE49-F238E27FC236}">
                <a16:creationId xmlns:a16="http://schemas.microsoft.com/office/drawing/2014/main" id="{F7217ADB-2C30-4E92-B621-A3CC550C2AA3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" name="$E$126">
            <a:extLst>
              <a:ext uri="{FF2B5EF4-FFF2-40B4-BE49-F238E27FC236}">
                <a16:creationId xmlns:a16="http://schemas.microsoft.com/office/drawing/2014/main" id="{4ECE1A37-798C-4C2E-8142-E6F543174FC3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" name="$E$126">
            <a:extLst>
              <a:ext uri="{FF2B5EF4-FFF2-40B4-BE49-F238E27FC236}">
                <a16:creationId xmlns:a16="http://schemas.microsoft.com/office/drawing/2014/main" id="{07B0D5BE-807C-4E1E-8642-6770B7339E6F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" name="$E$126">
            <a:extLst>
              <a:ext uri="{FF2B5EF4-FFF2-40B4-BE49-F238E27FC236}">
                <a16:creationId xmlns:a16="http://schemas.microsoft.com/office/drawing/2014/main" id="{97E11FE1-E91F-4F9A-B1B7-1DF496A29062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" name="$E$126">
            <a:extLst>
              <a:ext uri="{FF2B5EF4-FFF2-40B4-BE49-F238E27FC236}">
                <a16:creationId xmlns:a16="http://schemas.microsoft.com/office/drawing/2014/main" id="{5EB1C980-B37F-49F5-AFDA-46AA3AA4CC64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" name="$E$126">
            <a:extLst>
              <a:ext uri="{FF2B5EF4-FFF2-40B4-BE49-F238E27FC236}">
                <a16:creationId xmlns:a16="http://schemas.microsoft.com/office/drawing/2014/main" id="{7E5A088C-8C48-4DF5-9B97-36B9B81DA0B2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" name="$E$126">
            <a:extLst>
              <a:ext uri="{FF2B5EF4-FFF2-40B4-BE49-F238E27FC236}">
                <a16:creationId xmlns:a16="http://schemas.microsoft.com/office/drawing/2014/main" id="{4C55E2B9-0D85-4053-8370-B17AAE4E29A4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" name="$E$126">
            <a:extLst>
              <a:ext uri="{FF2B5EF4-FFF2-40B4-BE49-F238E27FC236}">
                <a16:creationId xmlns:a16="http://schemas.microsoft.com/office/drawing/2014/main" id="{3C90B586-67AB-44B9-9B1E-9304559DD66E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" name="$E$126">
            <a:extLst>
              <a:ext uri="{FF2B5EF4-FFF2-40B4-BE49-F238E27FC236}">
                <a16:creationId xmlns:a16="http://schemas.microsoft.com/office/drawing/2014/main" id="{A4523D80-3C0E-45CF-AFDD-A1886985F789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" name="$E$126">
            <a:extLst>
              <a:ext uri="{FF2B5EF4-FFF2-40B4-BE49-F238E27FC236}">
                <a16:creationId xmlns:a16="http://schemas.microsoft.com/office/drawing/2014/main" id="{930E3929-0DD6-400F-AEA3-6001644346ED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" name="$E$126">
            <a:extLst>
              <a:ext uri="{FF2B5EF4-FFF2-40B4-BE49-F238E27FC236}">
                <a16:creationId xmlns:a16="http://schemas.microsoft.com/office/drawing/2014/main" id="{254DD2E9-5154-4133-9943-8FA0811FF325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" name="$E$126">
            <a:extLst>
              <a:ext uri="{FF2B5EF4-FFF2-40B4-BE49-F238E27FC236}">
                <a16:creationId xmlns:a16="http://schemas.microsoft.com/office/drawing/2014/main" id="{E7789F8D-3132-48F3-9A76-3021F61E47FE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" name="$E$126">
            <a:extLst>
              <a:ext uri="{FF2B5EF4-FFF2-40B4-BE49-F238E27FC236}">
                <a16:creationId xmlns:a16="http://schemas.microsoft.com/office/drawing/2014/main" id="{1A1A888F-83C5-48A5-AEC3-B594F1EBEA1F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" name="$E$126">
            <a:extLst>
              <a:ext uri="{FF2B5EF4-FFF2-40B4-BE49-F238E27FC236}">
                <a16:creationId xmlns:a16="http://schemas.microsoft.com/office/drawing/2014/main" id="{0BF7675E-1178-427F-9FB8-E3CE7FB03CF8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" name="$E$126">
            <a:extLst>
              <a:ext uri="{FF2B5EF4-FFF2-40B4-BE49-F238E27FC236}">
                <a16:creationId xmlns:a16="http://schemas.microsoft.com/office/drawing/2014/main" id="{767F99D9-FD65-47F9-98D9-047A45803FE8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" name="$E$126">
            <a:extLst>
              <a:ext uri="{FF2B5EF4-FFF2-40B4-BE49-F238E27FC236}">
                <a16:creationId xmlns:a16="http://schemas.microsoft.com/office/drawing/2014/main" id="{78BF3C04-BEE2-42E1-A98C-09419929D50F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" name="$E$126">
            <a:extLst>
              <a:ext uri="{FF2B5EF4-FFF2-40B4-BE49-F238E27FC236}">
                <a16:creationId xmlns:a16="http://schemas.microsoft.com/office/drawing/2014/main" id="{8227EF8D-87AC-4009-B2CC-D10C55C5B5C5}"/>
              </a:ext>
            </a:extLst>
          </xdr:cNvPr>
          <xdr:cNvSpPr/>
        </xdr:nvSpPr>
        <xdr:spPr>
          <a:xfrm>
            <a:off x="215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" name="$E$126">
            <a:extLst>
              <a:ext uri="{FF2B5EF4-FFF2-40B4-BE49-F238E27FC236}">
                <a16:creationId xmlns:a16="http://schemas.microsoft.com/office/drawing/2014/main" id="{94A72FE9-00E2-4D0A-AC4F-65CE55EE3D6F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" name="$E$126">
            <a:extLst>
              <a:ext uri="{FF2B5EF4-FFF2-40B4-BE49-F238E27FC236}">
                <a16:creationId xmlns:a16="http://schemas.microsoft.com/office/drawing/2014/main" id="{5B0548F8-A48F-4798-8C4F-91DDAFC9F4A3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" name="$E$126">
            <a:extLst>
              <a:ext uri="{FF2B5EF4-FFF2-40B4-BE49-F238E27FC236}">
                <a16:creationId xmlns:a16="http://schemas.microsoft.com/office/drawing/2014/main" id="{1E8F9529-C04A-487C-95FB-9D806D4562D8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" name="$E$126">
            <a:extLst>
              <a:ext uri="{FF2B5EF4-FFF2-40B4-BE49-F238E27FC236}">
                <a16:creationId xmlns:a16="http://schemas.microsoft.com/office/drawing/2014/main" id="{4E91F3D3-C8F9-4E75-8840-38D41C226008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" name="$E$126">
            <a:extLst>
              <a:ext uri="{FF2B5EF4-FFF2-40B4-BE49-F238E27FC236}">
                <a16:creationId xmlns:a16="http://schemas.microsoft.com/office/drawing/2014/main" id="{40C10FBA-ECE7-47FA-89DD-5B530ED0F03B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" name="$E$126">
            <a:extLst>
              <a:ext uri="{FF2B5EF4-FFF2-40B4-BE49-F238E27FC236}">
                <a16:creationId xmlns:a16="http://schemas.microsoft.com/office/drawing/2014/main" id="{8112815F-A4E0-4000-9E93-7DC8EB2EE383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" name="$E$126">
            <a:extLst>
              <a:ext uri="{FF2B5EF4-FFF2-40B4-BE49-F238E27FC236}">
                <a16:creationId xmlns:a16="http://schemas.microsoft.com/office/drawing/2014/main" id="{133402FF-3121-4DA2-97F9-1601499FF0DA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" name="$E$126">
            <a:extLst>
              <a:ext uri="{FF2B5EF4-FFF2-40B4-BE49-F238E27FC236}">
                <a16:creationId xmlns:a16="http://schemas.microsoft.com/office/drawing/2014/main" id="{1A87315C-B1EE-41E2-AD04-B6C135C4FD1E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" name="$E$126">
            <a:extLst>
              <a:ext uri="{FF2B5EF4-FFF2-40B4-BE49-F238E27FC236}">
                <a16:creationId xmlns:a16="http://schemas.microsoft.com/office/drawing/2014/main" id="{6B919BAA-3DAB-4639-A109-017806F1D55F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" name="$E$126">
            <a:extLst>
              <a:ext uri="{FF2B5EF4-FFF2-40B4-BE49-F238E27FC236}">
                <a16:creationId xmlns:a16="http://schemas.microsoft.com/office/drawing/2014/main" id="{D71B4888-D881-4158-BAD5-2E2857AD016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" name="$E$126">
            <a:extLst>
              <a:ext uri="{FF2B5EF4-FFF2-40B4-BE49-F238E27FC236}">
                <a16:creationId xmlns:a16="http://schemas.microsoft.com/office/drawing/2014/main" id="{CE909B47-0C59-4A83-B4A7-661AEF529008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" name="$E$126">
            <a:extLst>
              <a:ext uri="{FF2B5EF4-FFF2-40B4-BE49-F238E27FC236}">
                <a16:creationId xmlns:a16="http://schemas.microsoft.com/office/drawing/2014/main" id="{B3632524-B980-482D-B311-D25F97005DDC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" name="$E$126">
            <a:extLst>
              <a:ext uri="{FF2B5EF4-FFF2-40B4-BE49-F238E27FC236}">
                <a16:creationId xmlns:a16="http://schemas.microsoft.com/office/drawing/2014/main" id="{C0F1B484-BBAF-4084-8016-0ACFB79D3977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" name="$E$126">
            <a:extLst>
              <a:ext uri="{FF2B5EF4-FFF2-40B4-BE49-F238E27FC236}">
                <a16:creationId xmlns:a16="http://schemas.microsoft.com/office/drawing/2014/main" id="{992D8586-0559-4AD2-8BB9-8F76947ACA05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" name="$E$126">
            <a:extLst>
              <a:ext uri="{FF2B5EF4-FFF2-40B4-BE49-F238E27FC236}">
                <a16:creationId xmlns:a16="http://schemas.microsoft.com/office/drawing/2014/main" id="{9C869A99-B9A1-4359-9EAD-99E458CEDE28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" name="$E$126">
            <a:extLst>
              <a:ext uri="{FF2B5EF4-FFF2-40B4-BE49-F238E27FC236}">
                <a16:creationId xmlns:a16="http://schemas.microsoft.com/office/drawing/2014/main" id="{D6087515-6752-448B-96CD-D164C0D58F09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" name="$E$126">
            <a:extLst>
              <a:ext uri="{FF2B5EF4-FFF2-40B4-BE49-F238E27FC236}">
                <a16:creationId xmlns:a16="http://schemas.microsoft.com/office/drawing/2014/main" id="{FE74359C-750E-4DA1-ACB1-7AA9269467CA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" name="$E$126">
            <a:extLst>
              <a:ext uri="{FF2B5EF4-FFF2-40B4-BE49-F238E27FC236}">
                <a16:creationId xmlns:a16="http://schemas.microsoft.com/office/drawing/2014/main" id="{630A7F4C-665F-41F6-B86B-F9DE55102EF5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" name="$E$126">
            <a:extLst>
              <a:ext uri="{FF2B5EF4-FFF2-40B4-BE49-F238E27FC236}">
                <a16:creationId xmlns:a16="http://schemas.microsoft.com/office/drawing/2014/main" id="{F9FBAD3D-6BF4-4DB6-8B48-AA462CA2E1D2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" name="$E$126">
            <a:extLst>
              <a:ext uri="{FF2B5EF4-FFF2-40B4-BE49-F238E27FC236}">
                <a16:creationId xmlns:a16="http://schemas.microsoft.com/office/drawing/2014/main" id="{B50E7A25-8373-4239-B819-72D4F8417057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" name="$E$126">
            <a:extLst>
              <a:ext uri="{FF2B5EF4-FFF2-40B4-BE49-F238E27FC236}">
                <a16:creationId xmlns:a16="http://schemas.microsoft.com/office/drawing/2014/main" id="{268D7F06-D62F-4C4F-863D-9A2185248DD9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" name="$E$126">
            <a:extLst>
              <a:ext uri="{FF2B5EF4-FFF2-40B4-BE49-F238E27FC236}">
                <a16:creationId xmlns:a16="http://schemas.microsoft.com/office/drawing/2014/main" id="{C09D98E5-928D-4A44-92BC-92F62FF07DBF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" name="$E$126">
            <a:extLst>
              <a:ext uri="{FF2B5EF4-FFF2-40B4-BE49-F238E27FC236}">
                <a16:creationId xmlns:a16="http://schemas.microsoft.com/office/drawing/2014/main" id="{0717B33E-E53D-42AD-A439-DD2328E05B8C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" name="$E$126">
            <a:extLst>
              <a:ext uri="{FF2B5EF4-FFF2-40B4-BE49-F238E27FC236}">
                <a16:creationId xmlns:a16="http://schemas.microsoft.com/office/drawing/2014/main" id="{E427DF62-83A4-4F9C-A5F4-4E8B077FFFB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" name="$E$126">
            <a:extLst>
              <a:ext uri="{FF2B5EF4-FFF2-40B4-BE49-F238E27FC236}">
                <a16:creationId xmlns:a16="http://schemas.microsoft.com/office/drawing/2014/main" id="{C77C0244-9CC0-4653-9EE0-FF2A6EE61496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" name="$E$126">
            <a:extLst>
              <a:ext uri="{FF2B5EF4-FFF2-40B4-BE49-F238E27FC236}">
                <a16:creationId xmlns:a16="http://schemas.microsoft.com/office/drawing/2014/main" id="{B7410CB0-017C-4DFE-8E59-65AD9BC873CD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" name="$E$126">
            <a:extLst>
              <a:ext uri="{FF2B5EF4-FFF2-40B4-BE49-F238E27FC236}">
                <a16:creationId xmlns:a16="http://schemas.microsoft.com/office/drawing/2014/main" id="{12C27B6D-2208-422A-9AD9-2A7CB6B07DDD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" name="$E$126">
            <a:extLst>
              <a:ext uri="{FF2B5EF4-FFF2-40B4-BE49-F238E27FC236}">
                <a16:creationId xmlns:a16="http://schemas.microsoft.com/office/drawing/2014/main" id="{B13EFDA6-7AD6-4761-8D9C-856C08090234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" name="$E$126">
            <a:extLst>
              <a:ext uri="{FF2B5EF4-FFF2-40B4-BE49-F238E27FC236}">
                <a16:creationId xmlns:a16="http://schemas.microsoft.com/office/drawing/2014/main" id="{AAE941D7-01EE-4608-883E-341B1BB9BA1F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" name="$E$126">
            <a:extLst>
              <a:ext uri="{FF2B5EF4-FFF2-40B4-BE49-F238E27FC236}">
                <a16:creationId xmlns:a16="http://schemas.microsoft.com/office/drawing/2014/main" id="{DB68B3A4-2F2F-4BD7-9F17-E16C7CE09B17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" name="$E$126">
            <a:extLst>
              <a:ext uri="{FF2B5EF4-FFF2-40B4-BE49-F238E27FC236}">
                <a16:creationId xmlns:a16="http://schemas.microsoft.com/office/drawing/2014/main" id="{9063F5A9-D7BD-4652-876B-F583A6BBA58F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" name="$E$126">
            <a:extLst>
              <a:ext uri="{FF2B5EF4-FFF2-40B4-BE49-F238E27FC236}">
                <a16:creationId xmlns:a16="http://schemas.microsoft.com/office/drawing/2014/main" id="{EC254C71-B466-47ED-B9A6-C69A971B5BB9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" name="$E$126">
            <a:extLst>
              <a:ext uri="{FF2B5EF4-FFF2-40B4-BE49-F238E27FC236}">
                <a16:creationId xmlns:a16="http://schemas.microsoft.com/office/drawing/2014/main" id="{4C510DAB-FFB4-43F8-BBEA-24B7B7B9F82C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" name="$E$126">
            <a:extLst>
              <a:ext uri="{FF2B5EF4-FFF2-40B4-BE49-F238E27FC236}">
                <a16:creationId xmlns:a16="http://schemas.microsoft.com/office/drawing/2014/main" id="{1B91DDB9-D0CB-4C89-BFFF-3C6F7BD0C2CD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" name="$E$126">
            <a:extLst>
              <a:ext uri="{FF2B5EF4-FFF2-40B4-BE49-F238E27FC236}">
                <a16:creationId xmlns:a16="http://schemas.microsoft.com/office/drawing/2014/main" id="{D3C311D2-58CA-4CBD-821F-68105499EC2C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" name="$E$126">
            <a:extLst>
              <a:ext uri="{FF2B5EF4-FFF2-40B4-BE49-F238E27FC236}">
                <a16:creationId xmlns:a16="http://schemas.microsoft.com/office/drawing/2014/main" id="{8047D043-5B42-4705-BC56-9740B6AF9D4D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" name="$E$126">
            <a:extLst>
              <a:ext uri="{FF2B5EF4-FFF2-40B4-BE49-F238E27FC236}">
                <a16:creationId xmlns:a16="http://schemas.microsoft.com/office/drawing/2014/main" id="{1370BC79-5376-4C1F-A2B2-33B4F4EDF6CC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" name="$E$126">
            <a:extLst>
              <a:ext uri="{FF2B5EF4-FFF2-40B4-BE49-F238E27FC236}">
                <a16:creationId xmlns:a16="http://schemas.microsoft.com/office/drawing/2014/main" id="{E7143E2D-388C-4E2B-BDF3-2ACC05A5AB81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" name="$E$126">
            <a:extLst>
              <a:ext uri="{FF2B5EF4-FFF2-40B4-BE49-F238E27FC236}">
                <a16:creationId xmlns:a16="http://schemas.microsoft.com/office/drawing/2014/main" id="{EB6C71C1-D647-4B6E-B3B3-8790112A9D2A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" name="$E$126">
            <a:extLst>
              <a:ext uri="{FF2B5EF4-FFF2-40B4-BE49-F238E27FC236}">
                <a16:creationId xmlns:a16="http://schemas.microsoft.com/office/drawing/2014/main" id="{C00554A5-06D5-4C06-BFB1-50CBA6E055A7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" name="$E$126">
            <a:extLst>
              <a:ext uri="{FF2B5EF4-FFF2-40B4-BE49-F238E27FC236}">
                <a16:creationId xmlns:a16="http://schemas.microsoft.com/office/drawing/2014/main" id="{9620D4D4-4CD2-4D28-917F-9E6170BA4FB1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" name="$E$126">
            <a:extLst>
              <a:ext uri="{FF2B5EF4-FFF2-40B4-BE49-F238E27FC236}">
                <a16:creationId xmlns:a16="http://schemas.microsoft.com/office/drawing/2014/main" id="{26FF7076-BEC4-42F7-8788-866D31025453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" name="$E$126">
            <a:extLst>
              <a:ext uri="{FF2B5EF4-FFF2-40B4-BE49-F238E27FC236}">
                <a16:creationId xmlns:a16="http://schemas.microsoft.com/office/drawing/2014/main" id="{619DCC05-AC78-4A7D-A722-1458E124768C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" name="$E$126">
            <a:extLst>
              <a:ext uri="{FF2B5EF4-FFF2-40B4-BE49-F238E27FC236}">
                <a16:creationId xmlns:a16="http://schemas.microsoft.com/office/drawing/2014/main" id="{D61B1A2D-37F7-4381-AC5D-9FF444F14279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" name="$E$126">
            <a:extLst>
              <a:ext uri="{FF2B5EF4-FFF2-40B4-BE49-F238E27FC236}">
                <a16:creationId xmlns:a16="http://schemas.microsoft.com/office/drawing/2014/main" id="{97FAAC7C-BF75-4A78-8FA0-AB79490DB95A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" name="$E$126">
            <a:extLst>
              <a:ext uri="{FF2B5EF4-FFF2-40B4-BE49-F238E27FC236}">
                <a16:creationId xmlns:a16="http://schemas.microsoft.com/office/drawing/2014/main" id="{07B0DEF6-B982-4821-9BD9-DE00ECB2AB14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" name="$E$126">
            <a:extLst>
              <a:ext uri="{FF2B5EF4-FFF2-40B4-BE49-F238E27FC236}">
                <a16:creationId xmlns:a16="http://schemas.microsoft.com/office/drawing/2014/main" id="{C6A9A499-F55C-4CD7-8CE8-CABB97F39F8E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" name="$E$126">
            <a:extLst>
              <a:ext uri="{FF2B5EF4-FFF2-40B4-BE49-F238E27FC236}">
                <a16:creationId xmlns:a16="http://schemas.microsoft.com/office/drawing/2014/main" id="{EBB8DE36-C768-4879-B0E5-06A14FEE7785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" name="$E$126">
            <a:extLst>
              <a:ext uri="{FF2B5EF4-FFF2-40B4-BE49-F238E27FC236}">
                <a16:creationId xmlns:a16="http://schemas.microsoft.com/office/drawing/2014/main" id="{786C4133-BD92-45FC-8BCD-91E6218F62B9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" name="$E$126">
            <a:extLst>
              <a:ext uri="{FF2B5EF4-FFF2-40B4-BE49-F238E27FC236}">
                <a16:creationId xmlns:a16="http://schemas.microsoft.com/office/drawing/2014/main" id="{4C57DFDE-30D7-4350-9136-FA8112BF2D5A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" name="$E$126">
            <a:extLst>
              <a:ext uri="{FF2B5EF4-FFF2-40B4-BE49-F238E27FC236}">
                <a16:creationId xmlns:a16="http://schemas.microsoft.com/office/drawing/2014/main" id="{EAE48BAB-1300-4BD3-B5B7-E28D49FF0FAD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" name="$E$126">
            <a:extLst>
              <a:ext uri="{FF2B5EF4-FFF2-40B4-BE49-F238E27FC236}">
                <a16:creationId xmlns:a16="http://schemas.microsoft.com/office/drawing/2014/main" id="{02534D52-D8B0-4F4F-A743-69ABB0EC36D6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" name="$E$126">
            <a:extLst>
              <a:ext uri="{FF2B5EF4-FFF2-40B4-BE49-F238E27FC236}">
                <a16:creationId xmlns:a16="http://schemas.microsoft.com/office/drawing/2014/main" id="{94F60816-A016-409A-B3E7-900C25A1E2AF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" name="$E$126">
            <a:extLst>
              <a:ext uri="{FF2B5EF4-FFF2-40B4-BE49-F238E27FC236}">
                <a16:creationId xmlns:a16="http://schemas.microsoft.com/office/drawing/2014/main" id="{F380ADF8-2363-4388-85EF-51CA7A692067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" name="$E$126">
            <a:extLst>
              <a:ext uri="{FF2B5EF4-FFF2-40B4-BE49-F238E27FC236}">
                <a16:creationId xmlns:a16="http://schemas.microsoft.com/office/drawing/2014/main" id="{684EEC48-EBE7-46F0-AB4B-08792CDE2C7A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" name="$E$126">
            <a:extLst>
              <a:ext uri="{FF2B5EF4-FFF2-40B4-BE49-F238E27FC236}">
                <a16:creationId xmlns:a16="http://schemas.microsoft.com/office/drawing/2014/main" id="{B7D3A9BA-D302-4072-9ECC-EE33DD03878E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" name="$E$126">
            <a:extLst>
              <a:ext uri="{FF2B5EF4-FFF2-40B4-BE49-F238E27FC236}">
                <a16:creationId xmlns:a16="http://schemas.microsoft.com/office/drawing/2014/main" id="{DAE4C018-B18A-4B65-8A0A-828A5BC81A29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" name="$E$126">
            <a:extLst>
              <a:ext uri="{FF2B5EF4-FFF2-40B4-BE49-F238E27FC236}">
                <a16:creationId xmlns:a16="http://schemas.microsoft.com/office/drawing/2014/main" id="{E0346ACF-A0F4-49E4-A0E3-7F05CD063BF0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" name="$E$126">
            <a:extLst>
              <a:ext uri="{FF2B5EF4-FFF2-40B4-BE49-F238E27FC236}">
                <a16:creationId xmlns:a16="http://schemas.microsoft.com/office/drawing/2014/main" id="{4947F0F5-C5FA-415A-85CB-8FDD9658B85A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" name="$E$126">
            <a:extLst>
              <a:ext uri="{FF2B5EF4-FFF2-40B4-BE49-F238E27FC236}">
                <a16:creationId xmlns:a16="http://schemas.microsoft.com/office/drawing/2014/main" id="{46B0D0B0-AF3D-440A-A906-BC6C88E4F54A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" name="$E$126">
            <a:extLst>
              <a:ext uri="{FF2B5EF4-FFF2-40B4-BE49-F238E27FC236}">
                <a16:creationId xmlns:a16="http://schemas.microsoft.com/office/drawing/2014/main" id="{EE867231-4804-4AC5-9B4F-CD2FB05BFFB1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" name="$E$126">
            <a:extLst>
              <a:ext uri="{FF2B5EF4-FFF2-40B4-BE49-F238E27FC236}">
                <a16:creationId xmlns:a16="http://schemas.microsoft.com/office/drawing/2014/main" id="{4CECF8D1-47A5-496E-8BD0-DB12854E7D98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" name="$E$126">
            <a:extLst>
              <a:ext uri="{FF2B5EF4-FFF2-40B4-BE49-F238E27FC236}">
                <a16:creationId xmlns:a16="http://schemas.microsoft.com/office/drawing/2014/main" id="{5821E4FB-0343-499A-877A-9416125E52AA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" name="$E$126">
            <a:extLst>
              <a:ext uri="{FF2B5EF4-FFF2-40B4-BE49-F238E27FC236}">
                <a16:creationId xmlns:a16="http://schemas.microsoft.com/office/drawing/2014/main" id="{85E5B567-1B90-44FC-9735-7048CF633E1A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" name="$E$126">
            <a:extLst>
              <a:ext uri="{FF2B5EF4-FFF2-40B4-BE49-F238E27FC236}">
                <a16:creationId xmlns:a16="http://schemas.microsoft.com/office/drawing/2014/main" id="{05F8B945-B452-4341-AD02-098ACC3373ED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" name="$E$126">
            <a:extLst>
              <a:ext uri="{FF2B5EF4-FFF2-40B4-BE49-F238E27FC236}">
                <a16:creationId xmlns:a16="http://schemas.microsoft.com/office/drawing/2014/main" id="{89758CC2-2747-4C4F-8BA1-32B712F1C42C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" name="$E$126">
            <a:extLst>
              <a:ext uri="{FF2B5EF4-FFF2-40B4-BE49-F238E27FC236}">
                <a16:creationId xmlns:a16="http://schemas.microsoft.com/office/drawing/2014/main" id="{E1A08C46-2713-410F-AB30-5DA0EA43D34F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" name="$E$126">
            <a:extLst>
              <a:ext uri="{FF2B5EF4-FFF2-40B4-BE49-F238E27FC236}">
                <a16:creationId xmlns:a16="http://schemas.microsoft.com/office/drawing/2014/main" id="{FF969CBE-9848-4C89-8BB8-C54ED31F9078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" name="$E$126">
            <a:extLst>
              <a:ext uri="{FF2B5EF4-FFF2-40B4-BE49-F238E27FC236}">
                <a16:creationId xmlns:a16="http://schemas.microsoft.com/office/drawing/2014/main" id="{7F62D638-3CA9-467E-91A5-3E62DECDB67C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" name="$E$126">
            <a:extLst>
              <a:ext uri="{FF2B5EF4-FFF2-40B4-BE49-F238E27FC236}">
                <a16:creationId xmlns:a16="http://schemas.microsoft.com/office/drawing/2014/main" id="{DB52E757-A847-4B43-91D7-8715C552D456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" name="$E$126">
            <a:extLst>
              <a:ext uri="{FF2B5EF4-FFF2-40B4-BE49-F238E27FC236}">
                <a16:creationId xmlns:a16="http://schemas.microsoft.com/office/drawing/2014/main" id="{0AF8F7AC-1D16-4024-A1DB-F87B21880727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" name="$E$126">
            <a:extLst>
              <a:ext uri="{FF2B5EF4-FFF2-40B4-BE49-F238E27FC236}">
                <a16:creationId xmlns:a16="http://schemas.microsoft.com/office/drawing/2014/main" id="{CFFFC226-F171-4D1B-8314-151037B80CFD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" name="$E$126">
            <a:extLst>
              <a:ext uri="{FF2B5EF4-FFF2-40B4-BE49-F238E27FC236}">
                <a16:creationId xmlns:a16="http://schemas.microsoft.com/office/drawing/2014/main" id="{A16279E8-C378-4521-92F5-1CF98009B44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" name="$E$126">
            <a:extLst>
              <a:ext uri="{FF2B5EF4-FFF2-40B4-BE49-F238E27FC236}">
                <a16:creationId xmlns:a16="http://schemas.microsoft.com/office/drawing/2014/main" id="{C40AFAC7-3992-4A15-978C-0E758AEEE845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" name="$E$126">
            <a:extLst>
              <a:ext uri="{FF2B5EF4-FFF2-40B4-BE49-F238E27FC236}">
                <a16:creationId xmlns:a16="http://schemas.microsoft.com/office/drawing/2014/main" id="{414F5FE7-3876-4997-BDB0-AFB4F68639D2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" name="$E$126">
            <a:extLst>
              <a:ext uri="{FF2B5EF4-FFF2-40B4-BE49-F238E27FC236}">
                <a16:creationId xmlns:a16="http://schemas.microsoft.com/office/drawing/2014/main" id="{78F3C102-6CCC-40C9-92BC-2FEBE867785E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" name="$E$126">
            <a:extLst>
              <a:ext uri="{FF2B5EF4-FFF2-40B4-BE49-F238E27FC236}">
                <a16:creationId xmlns:a16="http://schemas.microsoft.com/office/drawing/2014/main" id="{DC9357D9-4798-4F85-BF1A-E9DA9E91FC74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" name="$E$126">
            <a:extLst>
              <a:ext uri="{FF2B5EF4-FFF2-40B4-BE49-F238E27FC236}">
                <a16:creationId xmlns:a16="http://schemas.microsoft.com/office/drawing/2014/main" id="{F4A854D2-D462-45DC-BDB1-E49C821B4E5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" name="$E$126">
            <a:extLst>
              <a:ext uri="{FF2B5EF4-FFF2-40B4-BE49-F238E27FC236}">
                <a16:creationId xmlns:a16="http://schemas.microsoft.com/office/drawing/2014/main" id="{1D024883-C3C2-4527-8152-C804E73FE0CB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" name="$E$126">
            <a:extLst>
              <a:ext uri="{FF2B5EF4-FFF2-40B4-BE49-F238E27FC236}">
                <a16:creationId xmlns:a16="http://schemas.microsoft.com/office/drawing/2014/main" id="{E5381DBC-6FDA-4E47-8C51-1F1A07A9AE48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" name="$E$126">
            <a:extLst>
              <a:ext uri="{FF2B5EF4-FFF2-40B4-BE49-F238E27FC236}">
                <a16:creationId xmlns:a16="http://schemas.microsoft.com/office/drawing/2014/main" id="{A359E8EB-9630-4290-843D-DA174588525F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" name="$E$126">
            <a:extLst>
              <a:ext uri="{FF2B5EF4-FFF2-40B4-BE49-F238E27FC236}">
                <a16:creationId xmlns:a16="http://schemas.microsoft.com/office/drawing/2014/main" id="{50D41173-CFCC-477B-B450-E176FC15D851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" name="$E$126">
            <a:extLst>
              <a:ext uri="{FF2B5EF4-FFF2-40B4-BE49-F238E27FC236}">
                <a16:creationId xmlns:a16="http://schemas.microsoft.com/office/drawing/2014/main" id="{9CAA4280-A58C-4596-9209-4D5F6916D84D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" name="$E$126">
            <a:extLst>
              <a:ext uri="{FF2B5EF4-FFF2-40B4-BE49-F238E27FC236}">
                <a16:creationId xmlns:a16="http://schemas.microsoft.com/office/drawing/2014/main" id="{1F6E4BEF-21FD-44CD-A09B-FC7056D1323F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" name="$E$126">
            <a:extLst>
              <a:ext uri="{FF2B5EF4-FFF2-40B4-BE49-F238E27FC236}">
                <a16:creationId xmlns:a16="http://schemas.microsoft.com/office/drawing/2014/main" id="{E3EBD605-5AFC-4268-BDD5-7AC7D7315297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7" name="$E$126">
            <a:extLst>
              <a:ext uri="{FF2B5EF4-FFF2-40B4-BE49-F238E27FC236}">
                <a16:creationId xmlns:a16="http://schemas.microsoft.com/office/drawing/2014/main" id="{4FCB5D21-4B95-40FA-9B33-AC2A2EF0F3DE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" name="$E$126">
            <a:extLst>
              <a:ext uri="{FF2B5EF4-FFF2-40B4-BE49-F238E27FC236}">
                <a16:creationId xmlns:a16="http://schemas.microsoft.com/office/drawing/2014/main" id="{0AD5DC3E-FF5B-4E29-B412-74DC9B867CD2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" name="$E$126">
            <a:extLst>
              <a:ext uri="{FF2B5EF4-FFF2-40B4-BE49-F238E27FC236}">
                <a16:creationId xmlns:a16="http://schemas.microsoft.com/office/drawing/2014/main" id="{7A944EC8-A4F6-4ADB-9FA4-B4C9F65B8EB6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" name="$E$126">
            <a:extLst>
              <a:ext uri="{FF2B5EF4-FFF2-40B4-BE49-F238E27FC236}">
                <a16:creationId xmlns:a16="http://schemas.microsoft.com/office/drawing/2014/main" id="{DC28AC67-9A2F-45CF-ADBA-32CBE69DF3BE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" name="$E$126">
            <a:extLst>
              <a:ext uri="{FF2B5EF4-FFF2-40B4-BE49-F238E27FC236}">
                <a16:creationId xmlns:a16="http://schemas.microsoft.com/office/drawing/2014/main" id="{08BA5445-CACF-4C78-A593-185858A8311B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" name="$E$126">
            <a:extLst>
              <a:ext uri="{FF2B5EF4-FFF2-40B4-BE49-F238E27FC236}">
                <a16:creationId xmlns:a16="http://schemas.microsoft.com/office/drawing/2014/main" id="{B18DA19A-1839-4086-9667-6A0BB619BF1A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3" name="$E$126">
            <a:extLst>
              <a:ext uri="{FF2B5EF4-FFF2-40B4-BE49-F238E27FC236}">
                <a16:creationId xmlns:a16="http://schemas.microsoft.com/office/drawing/2014/main" id="{86E3FB91-BA80-41AD-8CBE-193973185FA4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4" name="$E$126">
            <a:extLst>
              <a:ext uri="{FF2B5EF4-FFF2-40B4-BE49-F238E27FC236}">
                <a16:creationId xmlns:a16="http://schemas.microsoft.com/office/drawing/2014/main" id="{6FA5E6D0-0253-4082-A663-EF700A2A7C9F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5" name="$E$126">
            <a:extLst>
              <a:ext uri="{FF2B5EF4-FFF2-40B4-BE49-F238E27FC236}">
                <a16:creationId xmlns:a16="http://schemas.microsoft.com/office/drawing/2014/main" id="{E35F89AA-322D-4A1C-A668-9248ACDC3021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6" name="$E$126">
            <a:extLst>
              <a:ext uri="{FF2B5EF4-FFF2-40B4-BE49-F238E27FC236}">
                <a16:creationId xmlns:a16="http://schemas.microsoft.com/office/drawing/2014/main" id="{9670157D-5652-41D0-8DF6-26C1038C556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7" name="$E$126">
            <a:extLst>
              <a:ext uri="{FF2B5EF4-FFF2-40B4-BE49-F238E27FC236}">
                <a16:creationId xmlns:a16="http://schemas.microsoft.com/office/drawing/2014/main" id="{393F8BF3-E598-4BB8-A5AF-60ACD7700BFE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8" name="$E$126">
            <a:extLst>
              <a:ext uri="{FF2B5EF4-FFF2-40B4-BE49-F238E27FC236}">
                <a16:creationId xmlns:a16="http://schemas.microsoft.com/office/drawing/2014/main" id="{8733F96B-164D-4BA0-9DA0-E9BEF5195733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9" name="$E$126">
            <a:extLst>
              <a:ext uri="{FF2B5EF4-FFF2-40B4-BE49-F238E27FC236}">
                <a16:creationId xmlns:a16="http://schemas.microsoft.com/office/drawing/2014/main" id="{717434E3-5229-48AC-A027-562A9CB46C39}"/>
              </a:ext>
            </a:extLst>
          </xdr:cNvPr>
          <xdr:cNvSpPr/>
        </xdr:nvSpPr>
        <xdr:spPr>
          <a:xfrm>
            <a:off x="2032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0" name="$E$126">
            <a:extLst>
              <a:ext uri="{FF2B5EF4-FFF2-40B4-BE49-F238E27FC236}">
                <a16:creationId xmlns:a16="http://schemas.microsoft.com/office/drawing/2014/main" id="{BE595FFD-38F1-4AAD-842F-021E0D66FBC7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1" name="$E$126">
            <a:extLst>
              <a:ext uri="{FF2B5EF4-FFF2-40B4-BE49-F238E27FC236}">
                <a16:creationId xmlns:a16="http://schemas.microsoft.com/office/drawing/2014/main" id="{9B72A2A7-31D2-4DA9-B09B-27E535AD21E7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2" name="$E$126">
            <a:extLst>
              <a:ext uri="{FF2B5EF4-FFF2-40B4-BE49-F238E27FC236}">
                <a16:creationId xmlns:a16="http://schemas.microsoft.com/office/drawing/2014/main" id="{97BE171D-280E-4449-BE20-EAA93F6C5B64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3" name="$E$126">
            <a:extLst>
              <a:ext uri="{FF2B5EF4-FFF2-40B4-BE49-F238E27FC236}">
                <a16:creationId xmlns:a16="http://schemas.microsoft.com/office/drawing/2014/main" id="{C32E0EC0-ACF7-4AE4-9698-B81AB0DB0146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4" name="$E$126">
            <a:extLst>
              <a:ext uri="{FF2B5EF4-FFF2-40B4-BE49-F238E27FC236}">
                <a16:creationId xmlns:a16="http://schemas.microsoft.com/office/drawing/2014/main" id="{14C91409-166F-4FFC-A6AB-16D3F4719E3E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5" name="$E$126">
            <a:extLst>
              <a:ext uri="{FF2B5EF4-FFF2-40B4-BE49-F238E27FC236}">
                <a16:creationId xmlns:a16="http://schemas.microsoft.com/office/drawing/2014/main" id="{3E2AC0A6-BC3F-44C9-A7B0-04C87FD9D9CA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6" name="$E$126">
            <a:extLst>
              <a:ext uri="{FF2B5EF4-FFF2-40B4-BE49-F238E27FC236}">
                <a16:creationId xmlns:a16="http://schemas.microsoft.com/office/drawing/2014/main" id="{B2375914-4D54-400C-A540-3B27A793D41D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7" name="$E$126">
            <a:extLst>
              <a:ext uri="{FF2B5EF4-FFF2-40B4-BE49-F238E27FC236}">
                <a16:creationId xmlns:a16="http://schemas.microsoft.com/office/drawing/2014/main" id="{83CF0B94-3309-4FAA-A463-81DD933291D3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8" name="$E$126">
            <a:extLst>
              <a:ext uri="{FF2B5EF4-FFF2-40B4-BE49-F238E27FC236}">
                <a16:creationId xmlns:a16="http://schemas.microsoft.com/office/drawing/2014/main" id="{79CE9D36-EB28-4735-9118-6426EBE3DF13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9" name="$E$126">
            <a:extLst>
              <a:ext uri="{FF2B5EF4-FFF2-40B4-BE49-F238E27FC236}">
                <a16:creationId xmlns:a16="http://schemas.microsoft.com/office/drawing/2014/main" id="{9BE95665-37BE-40C4-8EC9-D2BDBB6F5512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0" name="$E$126">
            <a:extLst>
              <a:ext uri="{FF2B5EF4-FFF2-40B4-BE49-F238E27FC236}">
                <a16:creationId xmlns:a16="http://schemas.microsoft.com/office/drawing/2014/main" id="{D0DB56EC-3FB4-4811-BB1F-BE702FE8F49D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1" name="$E$126">
            <a:extLst>
              <a:ext uri="{FF2B5EF4-FFF2-40B4-BE49-F238E27FC236}">
                <a16:creationId xmlns:a16="http://schemas.microsoft.com/office/drawing/2014/main" id="{E88760E4-EEA5-4259-BC7E-18BF8FDCD1CC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2" name="$E$126">
            <a:extLst>
              <a:ext uri="{FF2B5EF4-FFF2-40B4-BE49-F238E27FC236}">
                <a16:creationId xmlns:a16="http://schemas.microsoft.com/office/drawing/2014/main" id="{D45D78B1-EA88-42A4-AE9D-3ED2C736B5C7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3" name="$E$126">
            <a:extLst>
              <a:ext uri="{FF2B5EF4-FFF2-40B4-BE49-F238E27FC236}">
                <a16:creationId xmlns:a16="http://schemas.microsoft.com/office/drawing/2014/main" id="{157A3667-B063-4D3D-8AE3-2BA25A43FD01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4" name="$E$126">
            <a:extLst>
              <a:ext uri="{FF2B5EF4-FFF2-40B4-BE49-F238E27FC236}">
                <a16:creationId xmlns:a16="http://schemas.microsoft.com/office/drawing/2014/main" id="{91724094-561F-4E06-B748-4E3221676C93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5" name="$E$126">
            <a:extLst>
              <a:ext uri="{FF2B5EF4-FFF2-40B4-BE49-F238E27FC236}">
                <a16:creationId xmlns:a16="http://schemas.microsoft.com/office/drawing/2014/main" id="{CBA51D7B-179C-4A85-B3A3-97AFFE09AD40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6" name="$E$126">
            <a:extLst>
              <a:ext uri="{FF2B5EF4-FFF2-40B4-BE49-F238E27FC236}">
                <a16:creationId xmlns:a16="http://schemas.microsoft.com/office/drawing/2014/main" id="{B2387D95-3417-46EA-87E6-21B5086F3473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7" name="$E$126">
            <a:extLst>
              <a:ext uri="{FF2B5EF4-FFF2-40B4-BE49-F238E27FC236}">
                <a16:creationId xmlns:a16="http://schemas.microsoft.com/office/drawing/2014/main" id="{C01743C7-DF7E-41BC-B515-A99356ED3A7C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8" name="$E$126">
            <a:extLst>
              <a:ext uri="{FF2B5EF4-FFF2-40B4-BE49-F238E27FC236}">
                <a16:creationId xmlns:a16="http://schemas.microsoft.com/office/drawing/2014/main" id="{83A59049-94F1-47B9-8468-0BC9057D6A90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9" name="$E$126">
            <a:extLst>
              <a:ext uri="{FF2B5EF4-FFF2-40B4-BE49-F238E27FC236}">
                <a16:creationId xmlns:a16="http://schemas.microsoft.com/office/drawing/2014/main" id="{C87716E0-9C8D-4C46-A3DC-96650AF725AE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0" name="$E$126">
            <a:extLst>
              <a:ext uri="{FF2B5EF4-FFF2-40B4-BE49-F238E27FC236}">
                <a16:creationId xmlns:a16="http://schemas.microsoft.com/office/drawing/2014/main" id="{A337B257-7D85-4FDC-84B8-A702926B6939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1" name="$E$126">
            <a:extLst>
              <a:ext uri="{FF2B5EF4-FFF2-40B4-BE49-F238E27FC236}">
                <a16:creationId xmlns:a16="http://schemas.microsoft.com/office/drawing/2014/main" id="{2E6B7620-7065-4E08-8148-6223DF31EA0B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2" name="$E$126">
            <a:extLst>
              <a:ext uri="{FF2B5EF4-FFF2-40B4-BE49-F238E27FC236}">
                <a16:creationId xmlns:a16="http://schemas.microsoft.com/office/drawing/2014/main" id="{2A213249-5B34-4E50-9C37-A88AA7A2C78B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3" name="$E$126">
            <a:extLst>
              <a:ext uri="{FF2B5EF4-FFF2-40B4-BE49-F238E27FC236}">
                <a16:creationId xmlns:a16="http://schemas.microsoft.com/office/drawing/2014/main" id="{B8620069-527B-4484-A17B-74E70F5FBEE8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4" name="$E$126">
            <a:extLst>
              <a:ext uri="{FF2B5EF4-FFF2-40B4-BE49-F238E27FC236}">
                <a16:creationId xmlns:a16="http://schemas.microsoft.com/office/drawing/2014/main" id="{A84D9815-91E7-4BB8-B76E-73E002406231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5" name="$E$126">
            <a:extLst>
              <a:ext uri="{FF2B5EF4-FFF2-40B4-BE49-F238E27FC236}">
                <a16:creationId xmlns:a16="http://schemas.microsoft.com/office/drawing/2014/main" id="{46C91B30-38F6-4CD7-A928-13B78A4FCC03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6" name="$E$126">
            <a:extLst>
              <a:ext uri="{FF2B5EF4-FFF2-40B4-BE49-F238E27FC236}">
                <a16:creationId xmlns:a16="http://schemas.microsoft.com/office/drawing/2014/main" id="{E5A67828-D67C-42ED-9539-550651254998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7" name="$E$126">
            <a:extLst>
              <a:ext uri="{FF2B5EF4-FFF2-40B4-BE49-F238E27FC236}">
                <a16:creationId xmlns:a16="http://schemas.microsoft.com/office/drawing/2014/main" id="{AD5131ED-5FE8-4A20-AE6E-1ABDAEE7CDC7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8" name="$E$126">
            <a:extLst>
              <a:ext uri="{FF2B5EF4-FFF2-40B4-BE49-F238E27FC236}">
                <a16:creationId xmlns:a16="http://schemas.microsoft.com/office/drawing/2014/main" id="{2C43EBE3-5D3C-462D-BABA-4FA4BA2D0AA3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9" name="$E$126">
            <a:extLst>
              <a:ext uri="{FF2B5EF4-FFF2-40B4-BE49-F238E27FC236}">
                <a16:creationId xmlns:a16="http://schemas.microsoft.com/office/drawing/2014/main" id="{4425CD55-3768-4652-9050-B632220D0002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0" name="$E$126">
            <a:extLst>
              <a:ext uri="{FF2B5EF4-FFF2-40B4-BE49-F238E27FC236}">
                <a16:creationId xmlns:a16="http://schemas.microsoft.com/office/drawing/2014/main" id="{6F64ACE6-466E-434B-9A2A-B840486FA782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1" name="$E$126">
            <a:extLst>
              <a:ext uri="{FF2B5EF4-FFF2-40B4-BE49-F238E27FC236}">
                <a16:creationId xmlns:a16="http://schemas.microsoft.com/office/drawing/2014/main" id="{F740A348-8C97-401A-A0E9-B644875B108B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2" name="$E$126">
            <a:extLst>
              <a:ext uri="{FF2B5EF4-FFF2-40B4-BE49-F238E27FC236}">
                <a16:creationId xmlns:a16="http://schemas.microsoft.com/office/drawing/2014/main" id="{2526562B-30BC-43F7-8505-1626C89F54DA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3" name="$E$126">
            <a:extLst>
              <a:ext uri="{FF2B5EF4-FFF2-40B4-BE49-F238E27FC236}">
                <a16:creationId xmlns:a16="http://schemas.microsoft.com/office/drawing/2014/main" id="{6EC391E4-7852-4729-AFBE-09844D17571C}"/>
              </a:ext>
            </a:extLst>
          </xdr:cNvPr>
          <xdr:cNvSpPr/>
        </xdr:nvSpPr>
        <xdr:spPr>
          <a:xfrm>
            <a:off x="203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4" name="$E$126">
            <a:extLst>
              <a:ext uri="{FF2B5EF4-FFF2-40B4-BE49-F238E27FC236}">
                <a16:creationId xmlns:a16="http://schemas.microsoft.com/office/drawing/2014/main" id="{74D05932-E828-4011-B8A1-83C42EFF6A53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5" name="$E$126">
            <a:extLst>
              <a:ext uri="{FF2B5EF4-FFF2-40B4-BE49-F238E27FC236}">
                <a16:creationId xmlns:a16="http://schemas.microsoft.com/office/drawing/2014/main" id="{F738C70A-C856-465B-829A-89682AEBD26A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6" name="$E$126">
            <a:extLst>
              <a:ext uri="{FF2B5EF4-FFF2-40B4-BE49-F238E27FC236}">
                <a16:creationId xmlns:a16="http://schemas.microsoft.com/office/drawing/2014/main" id="{AF4E47B8-6763-40F3-8A6D-6D31C074AA21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7" name="$E$126">
            <a:extLst>
              <a:ext uri="{FF2B5EF4-FFF2-40B4-BE49-F238E27FC236}">
                <a16:creationId xmlns:a16="http://schemas.microsoft.com/office/drawing/2014/main" id="{7609313D-000F-45EE-9F7C-6A072DAE8BAF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8" name="$E$126">
            <a:extLst>
              <a:ext uri="{FF2B5EF4-FFF2-40B4-BE49-F238E27FC236}">
                <a16:creationId xmlns:a16="http://schemas.microsoft.com/office/drawing/2014/main" id="{78F9531D-1C4E-4FB1-BE40-EFA5A2B93349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9" name="$E$126">
            <a:extLst>
              <a:ext uri="{FF2B5EF4-FFF2-40B4-BE49-F238E27FC236}">
                <a16:creationId xmlns:a16="http://schemas.microsoft.com/office/drawing/2014/main" id="{F1C73A66-13A0-402E-96F7-AE1F239BC1F6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0" name="$E$126">
            <a:extLst>
              <a:ext uri="{FF2B5EF4-FFF2-40B4-BE49-F238E27FC236}">
                <a16:creationId xmlns:a16="http://schemas.microsoft.com/office/drawing/2014/main" id="{CADFEE3E-40BB-491B-8624-E9010BE0DD8B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1" name="$E$126">
            <a:extLst>
              <a:ext uri="{FF2B5EF4-FFF2-40B4-BE49-F238E27FC236}">
                <a16:creationId xmlns:a16="http://schemas.microsoft.com/office/drawing/2014/main" id="{132B90C5-475C-4C11-8B04-D4479DBB67DC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2" name="$E$126">
            <a:extLst>
              <a:ext uri="{FF2B5EF4-FFF2-40B4-BE49-F238E27FC236}">
                <a16:creationId xmlns:a16="http://schemas.microsoft.com/office/drawing/2014/main" id="{6F927EC8-84BD-4E22-8370-086B7F0D7CED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3" name="$E$126">
            <a:extLst>
              <a:ext uri="{FF2B5EF4-FFF2-40B4-BE49-F238E27FC236}">
                <a16:creationId xmlns:a16="http://schemas.microsoft.com/office/drawing/2014/main" id="{C5A97C63-C651-4E12-8683-763FFDA9A580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4" name="$E$126">
            <a:extLst>
              <a:ext uri="{FF2B5EF4-FFF2-40B4-BE49-F238E27FC236}">
                <a16:creationId xmlns:a16="http://schemas.microsoft.com/office/drawing/2014/main" id="{9EDE8532-0B45-4A4E-8A6D-15B81903DF4A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5" name="$E$126">
            <a:extLst>
              <a:ext uri="{FF2B5EF4-FFF2-40B4-BE49-F238E27FC236}">
                <a16:creationId xmlns:a16="http://schemas.microsoft.com/office/drawing/2014/main" id="{095B2B9D-25BA-40ED-861B-B49D1D0BBF6A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6" name="$E$126">
            <a:extLst>
              <a:ext uri="{FF2B5EF4-FFF2-40B4-BE49-F238E27FC236}">
                <a16:creationId xmlns:a16="http://schemas.microsoft.com/office/drawing/2014/main" id="{7D00EB57-EBE1-4AA1-8B1A-68AD288AD925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7" name="$E$126">
            <a:extLst>
              <a:ext uri="{FF2B5EF4-FFF2-40B4-BE49-F238E27FC236}">
                <a16:creationId xmlns:a16="http://schemas.microsoft.com/office/drawing/2014/main" id="{B1270E6C-0B45-4FC1-BAA7-A8AC8F28A4CB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8" name="$E$126">
            <a:extLst>
              <a:ext uri="{FF2B5EF4-FFF2-40B4-BE49-F238E27FC236}">
                <a16:creationId xmlns:a16="http://schemas.microsoft.com/office/drawing/2014/main" id="{CECDF28D-03BE-45A0-82A9-A6ADB5E49D96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9" name="$E$126">
            <a:extLst>
              <a:ext uri="{FF2B5EF4-FFF2-40B4-BE49-F238E27FC236}">
                <a16:creationId xmlns:a16="http://schemas.microsoft.com/office/drawing/2014/main" id="{D50536D8-02D0-4985-8587-CAFCFB24802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0" name="$E$126">
            <a:extLst>
              <a:ext uri="{FF2B5EF4-FFF2-40B4-BE49-F238E27FC236}">
                <a16:creationId xmlns:a16="http://schemas.microsoft.com/office/drawing/2014/main" id="{DF9D8094-B197-40C9-AC4D-F698AD591516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1" name="$E$126">
            <a:extLst>
              <a:ext uri="{FF2B5EF4-FFF2-40B4-BE49-F238E27FC236}">
                <a16:creationId xmlns:a16="http://schemas.microsoft.com/office/drawing/2014/main" id="{ACA2761A-63E9-4CC9-8027-05EEC956B8DF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2" name="$E$126">
            <a:extLst>
              <a:ext uri="{FF2B5EF4-FFF2-40B4-BE49-F238E27FC236}">
                <a16:creationId xmlns:a16="http://schemas.microsoft.com/office/drawing/2014/main" id="{9BBB87D1-BE6E-4F2C-87B3-7738251328A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3" name="$E$126">
            <a:extLst>
              <a:ext uri="{FF2B5EF4-FFF2-40B4-BE49-F238E27FC236}">
                <a16:creationId xmlns:a16="http://schemas.microsoft.com/office/drawing/2014/main" id="{45E3F70F-BA61-4C2A-BC6F-D67A87F9538B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4" name="$E$126">
            <a:extLst>
              <a:ext uri="{FF2B5EF4-FFF2-40B4-BE49-F238E27FC236}">
                <a16:creationId xmlns:a16="http://schemas.microsoft.com/office/drawing/2014/main" id="{076B809C-58B6-4238-8B04-EF2BFD6F87D0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5" name="$E$126">
            <a:extLst>
              <a:ext uri="{FF2B5EF4-FFF2-40B4-BE49-F238E27FC236}">
                <a16:creationId xmlns:a16="http://schemas.microsoft.com/office/drawing/2014/main" id="{A72A1AE9-82F6-4453-A6B7-51370814E68F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6" name="$E$126">
            <a:extLst>
              <a:ext uri="{FF2B5EF4-FFF2-40B4-BE49-F238E27FC236}">
                <a16:creationId xmlns:a16="http://schemas.microsoft.com/office/drawing/2014/main" id="{A0C8D472-7BED-4801-A8C0-136F308DDDCF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" name="$E$126">
            <a:extLst>
              <a:ext uri="{FF2B5EF4-FFF2-40B4-BE49-F238E27FC236}">
                <a16:creationId xmlns:a16="http://schemas.microsoft.com/office/drawing/2014/main" id="{BB4511A4-B9A7-44FD-B10C-42020C6CD60C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" name="$E$126">
            <a:extLst>
              <a:ext uri="{FF2B5EF4-FFF2-40B4-BE49-F238E27FC236}">
                <a16:creationId xmlns:a16="http://schemas.microsoft.com/office/drawing/2014/main" id="{5CFDF770-DEF8-4AF6-88FE-1872F6D53C31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" name="$E$126">
            <a:extLst>
              <a:ext uri="{FF2B5EF4-FFF2-40B4-BE49-F238E27FC236}">
                <a16:creationId xmlns:a16="http://schemas.microsoft.com/office/drawing/2014/main" id="{5049617B-ECCA-4BFD-88BD-45BD6BE730FB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" name="$E$126">
            <a:extLst>
              <a:ext uri="{FF2B5EF4-FFF2-40B4-BE49-F238E27FC236}">
                <a16:creationId xmlns:a16="http://schemas.microsoft.com/office/drawing/2014/main" id="{205CE2F8-6563-43BE-87DF-5521EB300BC5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" name="$E$126">
            <a:extLst>
              <a:ext uri="{FF2B5EF4-FFF2-40B4-BE49-F238E27FC236}">
                <a16:creationId xmlns:a16="http://schemas.microsoft.com/office/drawing/2014/main" id="{38F68DDD-FFB9-4E37-AB51-2E83E3705BF5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" name="$E$126">
            <a:extLst>
              <a:ext uri="{FF2B5EF4-FFF2-40B4-BE49-F238E27FC236}">
                <a16:creationId xmlns:a16="http://schemas.microsoft.com/office/drawing/2014/main" id="{B5E0AD4C-AE19-472F-8DF4-309C85D06DC2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" name="$E$126">
            <a:extLst>
              <a:ext uri="{FF2B5EF4-FFF2-40B4-BE49-F238E27FC236}">
                <a16:creationId xmlns:a16="http://schemas.microsoft.com/office/drawing/2014/main" id="{BC15CEE3-00EC-4E0C-A67D-AF2FB7AC6189}"/>
              </a:ext>
            </a:extLst>
          </xdr:cNvPr>
          <xdr:cNvSpPr/>
        </xdr:nvSpPr>
        <xdr:spPr>
          <a:xfrm>
            <a:off x="241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" name="$E$126">
            <a:extLst>
              <a:ext uri="{FF2B5EF4-FFF2-40B4-BE49-F238E27FC236}">
                <a16:creationId xmlns:a16="http://schemas.microsoft.com/office/drawing/2014/main" id="{E5BF27EC-BA2A-43F9-B26B-13B3026C81A4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" name="$E$126">
            <a:extLst>
              <a:ext uri="{FF2B5EF4-FFF2-40B4-BE49-F238E27FC236}">
                <a16:creationId xmlns:a16="http://schemas.microsoft.com/office/drawing/2014/main" id="{0D2B2E87-30D6-41E1-98CD-1699CDD7F6F7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" name="$E$126">
            <a:extLst>
              <a:ext uri="{FF2B5EF4-FFF2-40B4-BE49-F238E27FC236}">
                <a16:creationId xmlns:a16="http://schemas.microsoft.com/office/drawing/2014/main" id="{77FC9DB9-F0FF-4420-8E62-0A5AC46C2BBE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" name="$E$126">
            <a:extLst>
              <a:ext uri="{FF2B5EF4-FFF2-40B4-BE49-F238E27FC236}">
                <a16:creationId xmlns:a16="http://schemas.microsoft.com/office/drawing/2014/main" id="{DCBAE75F-4797-4CCA-ABA1-4C6D45660B17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" name="$E$126">
            <a:extLst>
              <a:ext uri="{FF2B5EF4-FFF2-40B4-BE49-F238E27FC236}">
                <a16:creationId xmlns:a16="http://schemas.microsoft.com/office/drawing/2014/main" id="{82F1AC04-6914-46CC-A4EC-0CC5AAC164F2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" name="$E$126">
            <a:extLst>
              <a:ext uri="{FF2B5EF4-FFF2-40B4-BE49-F238E27FC236}">
                <a16:creationId xmlns:a16="http://schemas.microsoft.com/office/drawing/2014/main" id="{94580A52-8159-4F4F-920F-07A39B7E4B15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" name="$E$126">
            <a:extLst>
              <a:ext uri="{FF2B5EF4-FFF2-40B4-BE49-F238E27FC236}">
                <a16:creationId xmlns:a16="http://schemas.microsoft.com/office/drawing/2014/main" id="{EECFC7CC-8123-463C-8D29-8E1AC023956D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" name="$E$126">
            <a:extLst>
              <a:ext uri="{FF2B5EF4-FFF2-40B4-BE49-F238E27FC236}">
                <a16:creationId xmlns:a16="http://schemas.microsoft.com/office/drawing/2014/main" id="{961C046B-BED6-46EC-8313-78407D808B65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" name="$E$126">
            <a:extLst>
              <a:ext uri="{FF2B5EF4-FFF2-40B4-BE49-F238E27FC236}">
                <a16:creationId xmlns:a16="http://schemas.microsoft.com/office/drawing/2014/main" id="{0AB24B6D-F6CE-4842-A9D6-F7499A2AC159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" name="$E$126">
            <a:extLst>
              <a:ext uri="{FF2B5EF4-FFF2-40B4-BE49-F238E27FC236}">
                <a16:creationId xmlns:a16="http://schemas.microsoft.com/office/drawing/2014/main" id="{7DC9EFB6-EF15-4AFC-8B2F-368AF87080FB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" name="$E$126">
            <a:extLst>
              <a:ext uri="{FF2B5EF4-FFF2-40B4-BE49-F238E27FC236}">
                <a16:creationId xmlns:a16="http://schemas.microsoft.com/office/drawing/2014/main" id="{7F33910F-63A6-45E6-BF32-F1C1A118B308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5" name="$E$126">
            <a:extLst>
              <a:ext uri="{FF2B5EF4-FFF2-40B4-BE49-F238E27FC236}">
                <a16:creationId xmlns:a16="http://schemas.microsoft.com/office/drawing/2014/main" id="{347D28CA-67E1-429E-84C0-33AB8F6D71C5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" name="$E$126">
            <a:extLst>
              <a:ext uri="{FF2B5EF4-FFF2-40B4-BE49-F238E27FC236}">
                <a16:creationId xmlns:a16="http://schemas.microsoft.com/office/drawing/2014/main" id="{CABE928E-0FC3-474B-89BB-325B4852E48D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" name="$E$126">
            <a:extLst>
              <a:ext uri="{FF2B5EF4-FFF2-40B4-BE49-F238E27FC236}">
                <a16:creationId xmlns:a16="http://schemas.microsoft.com/office/drawing/2014/main" id="{A58E9A8A-8392-4997-B3DB-458C6997E2A3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" name="$E$126">
            <a:extLst>
              <a:ext uri="{FF2B5EF4-FFF2-40B4-BE49-F238E27FC236}">
                <a16:creationId xmlns:a16="http://schemas.microsoft.com/office/drawing/2014/main" id="{9F8913A0-221A-4ED2-A50E-CAD2A701CEB9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" name="$E$126">
            <a:extLst>
              <a:ext uri="{FF2B5EF4-FFF2-40B4-BE49-F238E27FC236}">
                <a16:creationId xmlns:a16="http://schemas.microsoft.com/office/drawing/2014/main" id="{4ED571D5-4513-4E00-9A74-78ABE5C8DA2D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" name="$E$126">
            <a:extLst>
              <a:ext uri="{FF2B5EF4-FFF2-40B4-BE49-F238E27FC236}">
                <a16:creationId xmlns:a16="http://schemas.microsoft.com/office/drawing/2014/main" id="{8E6C906E-8314-44AD-81FF-AD5C6C36884A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" name="$E$126">
            <a:extLst>
              <a:ext uri="{FF2B5EF4-FFF2-40B4-BE49-F238E27FC236}">
                <a16:creationId xmlns:a16="http://schemas.microsoft.com/office/drawing/2014/main" id="{E9E045E5-BDF6-471E-AC34-DE419C2EEDCC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" name="$E$126">
            <a:extLst>
              <a:ext uri="{FF2B5EF4-FFF2-40B4-BE49-F238E27FC236}">
                <a16:creationId xmlns:a16="http://schemas.microsoft.com/office/drawing/2014/main" id="{C40386CC-54F9-4FF9-8F22-6F3F65132515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" name="$E$126">
            <a:extLst>
              <a:ext uri="{FF2B5EF4-FFF2-40B4-BE49-F238E27FC236}">
                <a16:creationId xmlns:a16="http://schemas.microsoft.com/office/drawing/2014/main" id="{9FA4B74F-DA01-436F-BD15-E2E675479443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" name="$E$126">
            <a:extLst>
              <a:ext uri="{FF2B5EF4-FFF2-40B4-BE49-F238E27FC236}">
                <a16:creationId xmlns:a16="http://schemas.microsoft.com/office/drawing/2014/main" id="{362E74E7-3F0C-45AA-A160-DA9629A79B86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" name="$E$126">
            <a:extLst>
              <a:ext uri="{FF2B5EF4-FFF2-40B4-BE49-F238E27FC236}">
                <a16:creationId xmlns:a16="http://schemas.microsoft.com/office/drawing/2014/main" id="{7992BB3B-352E-4A68-81D0-06C69141C67F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" name="$E$126">
            <a:extLst>
              <a:ext uri="{FF2B5EF4-FFF2-40B4-BE49-F238E27FC236}">
                <a16:creationId xmlns:a16="http://schemas.microsoft.com/office/drawing/2014/main" id="{6C019204-F59E-4B16-824A-985364D74A72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" name="$E$126">
            <a:extLst>
              <a:ext uri="{FF2B5EF4-FFF2-40B4-BE49-F238E27FC236}">
                <a16:creationId xmlns:a16="http://schemas.microsoft.com/office/drawing/2014/main" id="{D9CE8FAB-B678-456B-8E53-5999ACD09FAA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" name="$E$126">
            <a:extLst>
              <a:ext uri="{FF2B5EF4-FFF2-40B4-BE49-F238E27FC236}">
                <a16:creationId xmlns:a16="http://schemas.microsoft.com/office/drawing/2014/main" id="{55C04F47-B600-4674-88A8-C098B4EA6AAC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" name="$E$126">
            <a:extLst>
              <a:ext uri="{FF2B5EF4-FFF2-40B4-BE49-F238E27FC236}">
                <a16:creationId xmlns:a16="http://schemas.microsoft.com/office/drawing/2014/main" id="{D83D340D-9AB4-488E-90D4-2AD9DC6995B7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" name="$E$126">
            <a:extLst>
              <a:ext uri="{FF2B5EF4-FFF2-40B4-BE49-F238E27FC236}">
                <a16:creationId xmlns:a16="http://schemas.microsoft.com/office/drawing/2014/main" id="{CE2E808A-117F-42B3-A39E-A907F27AA054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" name="$E$126">
            <a:extLst>
              <a:ext uri="{FF2B5EF4-FFF2-40B4-BE49-F238E27FC236}">
                <a16:creationId xmlns:a16="http://schemas.microsoft.com/office/drawing/2014/main" id="{3097079E-0CBD-4328-AFEA-50B738E51F8C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" name="$E$126">
            <a:extLst>
              <a:ext uri="{FF2B5EF4-FFF2-40B4-BE49-F238E27FC236}">
                <a16:creationId xmlns:a16="http://schemas.microsoft.com/office/drawing/2014/main" id="{79BD5D36-B3D2-4ACB-BB0A-1E6CC7F1FA84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" name="$E$126">
            <a:extLst>
              <a:ext uri="{FF2B5EF4-FFF2-40B4-BE49-F238E27FC236}">
                <a16:creationId xmlns:a16="http://schemas.microsoft.com/office/drawing/2014/main" id="{5D8794D0-A50D-498B-A6DF-65D5CCD191F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" name="$E$126">
            <a:extLst>
              <a:ext uri="{FF2B5EF4-FFF2-40B4-BE49-F238E27FC236}">
                <a16:creationId xmlns:a16="http://schemas.microsoft.com/office/drawing/2014/main" id="{5889EDBC-5EA0-434E-AAB0-7B6AEF566C0A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" name="$E$126">
            <a:extLst>
              <a:ext uri="{FF2B5EF4-FFF2-40B4-BE49-F238E27FC236}">
                <a16:creationId xmlns:a16="http://schemas.microsoft.com/office/drawing/2014/main" id="{33A1E419-BA4F-4CA2-B11C-FA342FFB8B3A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" name="$E$126">
            <a:extLst>
              <a:ext uri="{FF2B5EF4-FFF2-40B4-BE49-F238E27FC236}">
                <a16:creationId xmlns:a16="http://schemas.microsoft.com/office/drawing/2014/main" id="{45705134-7454-43FC-98CF-C0383447A39E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" name="$E$126">
            <a:extLst>
              <a:ext uri="{FF2B5EF4-FFF2-40B4-BE49-F238E27FC236}">
                <a16:creationId xmlns:a16="http://schemas.microsoft.com/office/drawing/2014/main" id="{AF2C0F65-01BC-427B-8A30-93F6CAE5AE97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" name="$E$126">
            <a:extLst>
              <a:ext uri="{FF2B5EF4-FFF2-40B4-BE49-F238E27FC236}">
                <a16:creationId xmlns:a16="http://schemas.microsoft.com/office/drawing/2014/main" id="{C26E51AC-1F0D-42C5-A0FF-ACBB58C08D3B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" name="$E$126">
            <a:extLst>
              <a:ext uri="{FF2B5EF4-FFF2-40B4-BE49-F238E27FC236}">
                <a16:creationId xmlns:a16="http://schemas.microsoft.com/office/drawing/2014/main" id="{075D95B2-AEB8-47EA-829D-7B55C08B052C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" name="$E$126">
            <a:extLst>
              <a:ext uri="{FF2B5EF4-FFF2-40B4-BE49-F238E27FC236}">
                <a16:creationId xmlns:a16="http://schemas.microsoft.com/office/drawing/2014/main" id="{C039F7A3-72A2-4661-AF3C-32C71572F1C5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" name="$E$126">
            <a:extLst>
              <a:ext uri="{FF2B5EF4-FFF2-40B4-BE49-F238E27FC236}">
                <a16:creationId xmlns:a16="http://schemas.microsoft.com/office/drawing/2014/main" id="{88DADB5C-8BC6-4E4C-8174-C337C87688BC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" name="$E$126">
            <a:extLst>
              <a:ext uri="{FF2B5EF4-FFF2-40B4-BE49-F238E27FC236}">
                <a16:creationId xmlns:a16="http://schemas.microsoft.com/office/drawing/2014/main" id="{D3DBD398-DD7E-4DEB-977B-B7A2335D7716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" name="$E$126">
            <a:extLst>
              <a:ext uri="{FF2B5EF4-FFF2-40B4-BE49-F238E27FC236}">
                <a16:creationId xmlns:a16="http://schemas.microsoft.com/office/drawing/2014/main" id="{78841B1F-208D-44B1-8267-FEA4DAADF39A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" name="$E$126">
            <a:extLst>
              <a:ext uri="{FF2B5EF4-FFF2-40B4-BE49-F238E27FC236}">
                <a16:creationId xmlns:a16="http://schemas.microsoft.com/office/drawing/2014/main" id="{69C00BCB-534E-462A-AD1A-02094E8FABE1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" name="$E$126">
            <a:extLst>
              <a:ext uri="{FF2B5EF4-FFF2-40B4-BE49-F238E27FC236}">
                <a16:creationId xmlns:a16="http://schemas.microsoft.com/office/drawing/2014/main" id="{830D86FB-69F7-4135-A81F-7446033C8A91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" name="$E$126">
            <a:extLst>
              <a:ext uri="{FF2B5EF4-FFF2-40B4-BE49-F238E27FC236}">
                <a16:creationId xmlns:a16="http://schemas.microsoft.com/office/drawing/2014/main" id="{FA6DF836-EE4A-4B99-9C36-44D30FF42764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" name="$E$126">
            <a:extLst>
              <a:ext uri="{FF2B5EF4-FFF2-40B4-BE49-F238E27FC236}">
                <a16:creationId xmlns:a16="http://schemas.microsoft.com/office/drawing/2014/main" id="{398C60AC-AEEC-4CC0-B7D3-7C9D6B05A7DD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" name="$E$126">
            <a:extLst>
              <a:ext uri="{FF2B5EF4-FFF2-40B4-BE49-F238E27FC236}">
                <a16:creationId xmlns:a16="http://schemas.microsoft.com/office/drawing/2014/main" id="{57C9C003-2FCF-424D-A504-1C75AC80DF41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" name="$E$126">
            <a:extLst>
              <a:ext uri="{FF2B5EF4-FFF2-40B4-BE49-F238E27FC236}">
                <a16:creationId xmlns:a16="http://schemas.microsoft.com/office/drawing/2014/main" id="{1D15E1DA-73BC-4993-A47F-FCB0D5BA709E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" name="$E$126">
            <a:extLst>
              <a:ext uri="{FF2B5EF4-FFF2-40B4-BE49-F238E27FC236}">
                <a16:creationId xmlns:a16="http://schemas.microsoft.com/office/drawing/2014/main" id="{E01336B3-C134-4FF1-BB5D-A2E7F3D17D0C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" name="$E$126">
            <a:extLst>
              <a:ext uri="{FF2B5EF4-FFF2-40B4-BE49-F238E27FC236}">
                <a16:creationId xmlns:a16="http://schemas.microsoft.com/office/drawing/2014/main" id="{231FB65C-B9C1-4713-BCAA-8128FCAB03DF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" name="$E$126">
            <a:extLst>
              <a:ext uri="{FF2B5EF4-FFF2-40B4-BE49-F238E27FC236}">
                <a16:creationId xmlns:a16="http://schemas.microsoft.com/office/drawing/2014/main" id="{470A9EDB-6674-4895-984A-F81629198615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" name="$E$126">
            <a:extLst>
              <a:ext uri="{FF2B5EF4-FFF2-40B4-BE49-F238E27FC236}">
                <a16:creationId xmlns:a16="http://schemas.microsoft.com/office/drawing/2014/main" id="{10552110-7BC7-4AD6-B82C-ABAC897FFEC4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" name="$E$126">
            <a:extLst>
              <a:ext uri="{FF2B5EF4-FFF2-40B4-BE49-F238E27FC236}">
                <a16:creationId xmlns:a16="http://schemas.microsoft.com/office/drawing/2014/main" id="{4068F2EB-58A4-4C24-AB37-2B50EBDAE89A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" name="$E$126">
            <a:extLst>
              <a:ext uri="{FF2B5EF4-FFF2-40B4-BE49-F238E27FC236}">
                <a16:creationId xmlns:a16="http://schemas.microsoft.com/office/drawing/2014/main" id="{8D1F9EF4-2AF9-4720-AE39-36F220F7EF9B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" name="$E$126">
            <a:extLst>
              <a:ext uri="{FF2B5EF4-FFF2-40B4-BE49-F238E27FC236}">
                <a16:creationId xmlns:a16="http://schemas.microsoft.com/office/drawing/2014/main" id="{91124452-A188-459F-B3DC-D1817E91311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" name="$E$126">
            <a:extLst>
              <a:ext uri="{FF2B5EF4-FFF2-40B4-BE49-F238E27FC236}">
                <a16:creationId xmlns:a16="http://schemas.microsoft.com/office/drawing/2014/main" id="{D75F1716-3723-4EE7-8925-717FA7D2D288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" name="$E$126">
            <a:extLst>
              <a:ext uri="{FF2B5EF4-FFF2-40B4-BE49-F238E27FC236}">
                <a16:creationId xmlns:a16="http://schemas.microsoft.com/office/drawing/2014/main" id="{A0BB0F6E-424E-441E-BB9A-4B7850C976AF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" name="$E$126">
            <a:extLst>
              <a:ext uri="{FF2B5EF4-FFF2-40B4-BE49-F238E27FC236}">
                <a16:creationId xmlns:a16="http://schemas.microsoft.com/office/drawing/2014/main" id="{3D0C3607-E1D5-43EB-8F19-BCA71D55A224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" name="$E$126">
            <a:extLst>
              <a:ext uri="{FF2B5EF4-FFF2-40B4-BE49-F238E27FC236}">
                <a16:creationId xmlns:a16="http://schemas.microsoft.com/office/drawing/2014/main" id="{6055A93B-0AE8-44EB-822C-C304B708EC4A}"/>
              </a:ext>
            </a:extLst>
          </xdr:cNvPr>
          <xdr:cNvSpPr/>
        </xdr:nvSpPr>
        <xdr:spPr>
          <a:xfrm>
            <a:off x="12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" name="$E$126">
            <a:extLst>
              <a:ext uri="{FF2B5EF4-FFF2-40B4-BE49-F238E27FC236}">
                <a16:creationId xmlns:a16="http://schemas.microsoft.com/office/drawing/2014/main" id="{BCD01B99-0793-4BB5-808C-0E4D89EAB9ED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" name="$E$126">
            <a:extLst>
              <a:ext uri="{FF2B5EF4-FFF2-40B4-BE49-F238E27FC236}">
                <a16:creationId xmlns:a16="http://schemas.microsoft.com/office/drawing/2014/main" id="{DA6AFFCE-317F-4D6D-810A-E4C790A474DD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" name="$E$126">
            <a:extLst>
              <a:ext uri="{FF2B5EF4-FFF2-40B4-BE49-F238E27FC236}">
                <a16:creationId xmlns:a16="http://schemas.microsoft.com/office/drawing/2014/main" id="{F6520B31-96F5-4A46-9405-6690B4B0A578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" name="$E$126">
            <a:extLst>
              <a:ext uri="{FF2B5EF4-FFF2-40B4-BE49-F238E27FC236}">
                <a16:creationId xmlns:a16="http://schemas.microsoft.com/office/drawing/2014/main" id="{96A6FF75-39D6-419E-B30B-24625653F77E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" name="$E$126">
            <a:extLst>
              <a:ext uri="{FF2B5EF4-FFF2-40B4-BE49-F238E27FC236}">
                <a16:creationId xmlns:a16="http://schemas.microsoft.com/office/drawing/2014/main" id="{11F41B15-9BB8-441A-94A8-9F636C6DE1C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6" name="$E$126">
            <a:extLst>
              <a:ext uri="{FF2B5EF4-FFF2-40B4-BE49-F238E27FC236}">
                <a16:creationId xmlns:a16="http://schemas.microsoft.com/office/drawing/2014/main" id="{12ACD377-15E4-488A-9B97-4416401601F4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" name="$E$126">
            <a:extLst>
              <a:ext uri="{FF2B5EF4-FFF2-40B4-BE49-F238E27FC236}">
                <a16:creationId xmlns:a16="http://schemas.microsoft.com/office/drawing/2014/main" id="{5B5B1A5C-71FF-4E03-8A4C-B10E440B5339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" name="$E$126">
            <a:extLst>
              <a:ext uri="{FF2B5EF4-FFF2-40B4-BE49-F238E27FC236}">
                <a16:creationId xmlns:a16="http://schemas.microsoft.com/office/drawing/2014/main" id="{057DC8E1-84D9-43B3-A583-BD94816BB5FF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" name="$E$126">
            <a:extLst>
              <a:ext uri="{FF2B5EF4-FFF2-40B4-BE49-F238E27FC236}">
                <a16:creationId xmlns:a16="http://schemas.microsoft.com/office/drawing/2014/main" id="{69351F1C-E6CE-4BE4-8CAE-6CBB50A13013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" name="$E$126">
            <a:extLst>
              <a:ext uri="{FF2B5EF4-FFF2-40B4-BE49-F238E27FC236}">
                <a16:creationId xmlns:a16="http://schemas.microsoft.com/office/drawing/2014/main" id="{D43DC272-EC15-4F18-8B18-3EFF519C1457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" name="$E$126">
            <a:extLst>
              <a:ext uri="{FF2B5EF4-FFF2-40B4-BE49-F238E27FC236}">
                <a16:creationId xmlns:a16="http://schemas.microsoft.com/office/drawing/2014/main" id="{572B1399-E0AD-4498-94E4-02DAB7A48243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" name="$E$126">
            <a:extLst>
              <a:ext uri="{FF2B5EF4-FFF2-40B4-BE49-F238E27FC236}">
                <a16:creationId xmlns:a16="http://schemas.microsoft.com/office/drawing/2014/main" id="{0192EF5C-0A19-47E4-AAE3-F233553E555E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" name="$E$126">
            <a:extLst>
              <a:ext uri="{FF2B5EF4-FFF2-40B4-BE49-F238E27FC236}">
                <a16:creationId xmlns:a16="http://schemas.microsoft.com/office/drawing/2014/main" id="{68E00338-D084-4A84-A09D-47568599124B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" name="$E$126">
            <a:extLst>
              <a:ext uri="{FF2B5EF4-FFF2-40B4-BE49-F238E27FC236}">
                <a16:creationId xmlns:a16="http://schemas.microsoft.com/office/drawing/2014/main" id="{1DC9FA03-2161-42B9-911C-7FAEB4FD03A0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" name="$E$126">
            <a:extLst>
              <a:ext uri="{FF2B5EF4-FFF2-40B4-BE49-F238E27FC236}">
                <a16:creationId xmlns:a16="http://schemas.microsoft.com/office/drawing/2014/main" id="{C1A75A93-0115-4A9C-9A57-6F57B188DC5B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" name="$E$126">
            <a:extLst>
              <a:ext uri="{FF2B5EF4-FFF2-40B4-BE49-F238E27FC236}">
                <a16:creationId xmlns:a16="http://schemas.microsoft.com/office/drawing/2014/main" id="{8976BB09-35ED-4D44-AA48-F46E40234EEA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" name="$E$126">
            <a:extLst>
              <a:ext uri="{FF2B5EF4-FFF2-40B4-BE49-F238E27FC236}">
                <a16:creationId xmlns:a16="http://schemas.microsoft.com/office/drawing/2014/main" id="{1A860571-B1C8-45C0-AF46-DDD722CD0B0F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" name="$E$126">
            <a:extLst>
              <a:ext uri="{FF2B5EF4-FFF2-40B4-BE49-F238E27FC236}">
                <a16:creationId xmlns:a16="http://schemas.microsoft.com/office/drawing/2014/main" id="{D6DC4DAE-A63C-4628-896B-01DDFB20E8F2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" name="$E$126">
            <a:extLst>
              <a:ext uri="{FF2B5EF4-FFF2-40B4-BE49-F238E27FC236}">
                <a16:creationId xmlns:a16="http://schemas.microsoft.com/office/drawing/2014/main" id="{F7AAAB90-778D-4919-B16B-EF0A89582A8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" name="$E$126">
            <a:extLst>
              <a:ext uri="{FF2B5EF4-FFF2-40B4-BE49-F238E27FC236}">
                <a16:creationId xmlns:a16="http://schemas.microsoft.com/office/drawing/2014/main" id="{DB078292-4273-4F01-9BA0-D0AA2063DFAD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" name="$E$126">
            <a:extLst>
              <a:ext uri="{FF2B5EF4-FFF2-40B4-BE49-F238E27FC236}">
                <a16:creationId xmlns:a16="http://schemas.microsoft.com/office/drawing/2014/main" id="{B7187893-305E-4706-9C44-8BC6E1C38AEE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" name="$E$126">
            <a:extLst>
              <a:ext uri="{FF2B5EF4-FFF2-40B4-BE49-F238E27FC236}">
                <a16:creationId xmlns:a16="http://schemas.microsoft.com/office/drawing/2014/main" id="{51740BDB-C523-49FF-BFC2-56C2664DD9B1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" name="$E$126">
            <a:extLst>
              <a:ext uri="{FF2B5EF4-FFF2-40B4-BE49-F238E27FC236}">
                <a16:creationId xmlns:a16="http://schemas.microsoft.com/office/drawing/2014/main" id="{3B1BEEE6-AC80-49DA-8E54-A8B0470CFC19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" name="$E$126">
            <a:extLst>
              <a:ext uri="{FF2B5EF4-FFF2-40B4-BE49-F238E27FC236}">
                <a16:creationId xmlns:a16="http://schemas.microsoft.com/office/drawing/2014/main" id="{9BCA1E1A-A16B-4110-832F-BA4C79A16F44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5" name="$E$126">
            <a:extLst>
              <a:ext uri="{FF2B5EF4-FFF2-40B4-BE49-F238E27FC236}">
                <a16:creationId xmlns:a16="http://schemas.microsoft.com/office/drawing/2014/main" id="{1B90A225-22D2-45E8-9DC1-CF07DD4EE639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" name="$E$126">
            <a:extLst>
              <a:ext uri="{FF2B5EF4-FFF2-40B4-BE49-F238E27FC236}">
                <a16:creationId xmlns:a16="http://schemas.microsoft.com/office/drawing/2014/main" id="{7350E726-CE80-407F-BDCF-963AEADF7926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" name="$E$126">
            <a:extLst>
              <a:ext uri="{FF2B5EF4-FFF2-40B4-BE49-F238E27FC236}">
                <a16:creationId xmlns:a16="http://schemas.microsoft.com/office/drawing/2014/main" id="{75028D2B-50E6-46B5-97AC-682F9347F291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" name="$E$126">
            <a:extLst>
              <a:ext uri="{FF2B5EF4-FFF2-40B4-BE49-F238E27FC236}">
                <a16:creationId xmlns:a16="http://schemas.microsoft.com/office/drawing/2014/main" id="{2565F7EB-4902-4408-9A6D-F4EE17D7A48D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" name="$E$126">
            <a:extLst>
              <a:ext uri="{FF2B5EF4-FFF2-40B4-BE49-F238E27FC236}">
                <a16:creationId xmlns:a16="http://schemas.microsoft.com/office/drawing/2014/main" id="{92E67462-2E66-4C15-8990-9068951137A6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" name="$E$126">
            <a:extLst>
              <a:ext uri="{FF2B5EF4-FFF2-40B4-BE49-F238E27FC236}">
                <a16:creationId xmlns:a16="http://schemas.microsoft.com/office/drawing/2014/main" id="{58538D85-A0FD-448A-8F5C-037EE3B91114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" name="$E$126">
            <a:extLst>
              <a:ext uri="{FF2B5EF4-FFF2-40B4-BE49-F238E27FC236}">
                <a16:creationId xmlns:a16="http://schemas.microsoft.com/office/drawing/2014/main" id="{78F279FF-C08D-4781-ACFE-05A26B861BE1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" name="$E$126">
            <a:extLst>
              <a:ext uri="{FF2B5EF4-FFF2-40B4-BE49-F238E27FC236}">
                <a16:creationId xmlns:a16="http://schemas.microsoft.com/office/drawing/2014/main" id="{354C0123-CA64-436B-98C0-52A7C8D26C36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" name="$E$126">
            <a:extLst>
              <a:ext uri="{FF2B5EF4-FFF2-40B4-BE49-F238E27FC236}">
                <a16:creationId xmlns:a16="http://schemas.microsoft.com/office/drawing/2014/main" id="{C3C54FD7-CC2C-4CF1-A73E-9EE3575E4083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" name="$E$126">
            <a:extLst>
              <a:ext uri="{FF2B5EF4-FFF2-40B4-BE49-F238E27FC236}">
                <a16:creationId xmlns:a16="http://schemas.microsoft.com/office/drawing/2014/main" id="{E6C677C8-8E96-49F0-9A67-376A1B3E3B31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" name="$E$126">
            <a:extLst>
              <a:ext uri="{FF2B5EF4-FFF2-40B4-BE49-F238E27FC236}">
                <a16:creationId xmlns:a16="http://schemas.microsoft.com/office/drawing/2014/main" id="{132423FC-4BF8-43DE-95CA-F9228D9FB89E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" name="$E$126">
            <a:extLst>
              <a:ext uri="{FF2B5EF4-FFF2-40B4-BE49-F238E27FC236}">
                <a16:creationId xmlns:a16="http://schemas.microsoft.com/office/drawing/2014/main" id="{0865E1B5-9DEA-41EC-8B08-C6253547B0CA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" name="$E$126">
            <a:extLst>
              <a:ext uri="{FF2B5EF4-FFF2-40B4-BE49-F238E27FC236}">
                <a16:creationId xmlns:a16="http://schemas.microsoft.com/office/drawing/2014/main" id="{8547EDEC-4170-4480-B96D-848215B05CA5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" name="$E$126">
            <a:extLst>
              <a:ext uri="{FF2B5EF4-FFF2-40B4-BE49-F238E27FC236}">
                <a16:creationId xmlns:a16="http://schemas.microsoft.com/office/drawing/2014/main" id="{E39A477C-68D5-4FA0-BA44-DBE6ABD8D24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" name="$E$126">
            <a:extLst>
              <a:ext uri="{FF2B5EF4-FFF2-40B4-BE49-F238E27FC236}">
                <a16:creationId xmlns:a16="http://schemas.microsoft.com/office/drawing/2014/main" id="{8559242E-A121-421E-8E29-1955349F4148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" name="$E$126">
            <a:extLst>
              <a:ext uri="{FF2B5EF4-FFF2-40B4-BE49-F238E27FC236}">
                <a16:creationId xmlns:a16="http://schemas.microsoft.com/office/drawing/2014/main" id="{EB37C800-00F0-44E3-9580-238FFAD922E4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" name="$E$126">
            <a:extLst>
              <a:ext uri="{FF2B5EF4-FFF2-40B4-BE49-F238E27FC236}">
                <a16:creationId xmlns:a16="http://schemas.microsoft.com/office/drawing/2014/main" id="{53E19DE9-105E-4210-A289-53A56E64FD0C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" name="$E$126">
            <a:extLst>
              <a:ext uri="{FF2B5EF4-FFF2-40B4-BE49-F238E27FC236}">
                <a16:creationId xmlns:a16="http://schemas.microsoft.com/office/drawing/2014/main" id="{282602D8-3D28-48D3-9022-53D505B14DBF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" name="$E$126">
            <a:extLst>
              <a:ext uri="{FF2B5EF4-FFF2-40B4-BE49-F238E27FC236}">
                <a16:creationId xmlns:a16="http://schemas.microsoft.com/office/drawing/2014/main" id="{86FE9B83-E120-4DB4-AD2F-39A97AC1B70C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" name="$E$126">
            <a:extLst>
              <a:ext uri="{FF2B5EF4-FFF2-40B4-BE49-F238E27FC236}">
                <a16:creationId xmlns:a16="http://schemas.microsoft.com/office/drawing/2014/main" id="{1FEECB0B-C6AA-4CC2-AE49-F4F2F0B390F5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" name="$E$126">
            <a:extLst>
              <a:ext uri="{FF2B5EF4-FFF2-40B4-BE49-F238E27FC236}">
                <a16:creationId xmlns:a16="http://schemas.microsoft.com/office/drawing/2014/main" id="{7A2BD180-C5C0-4912-875A-0AF48A792F81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" name="$E$126">
            <a:extLst>
              <a:ext uri="{FF2B5EF4-FFF2-40B4-BE49-F238E27FC236}">
                <a16:creationId xmlns:a16="http://schemas.microsoft.com/office/drawing/2014/main" id="{ADA982F1-9BAF-466C-89CD-FC69C202AACB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" name="$E$126">
            <a:extLst>
              <a:ext uri="{FF2B5EF4-FFF2-40B4-BE49-F238E27FC236}">
                <a16:creationId xmlns:a16="http://schemas.microsoft.com/office/drawing/2014/main" id="{47E6A249-4C4D-4700-B6E2-30EAF63C529B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" name="$E$126">
            <a:extLst>
              <a:ext uri="{FF2B5EF4-FFF2-40B4-BE49-F238E27FC236}">
                <a16:creationId xmlns:a16="http://schemas.microsoft.com/office/drawing/2014/main" id="{F64B7A2D-E117-4389-814C-82E26F6E2D7D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" name="$E$126">
            <a:extLst>
              <a:ext uri="{FF2B5EF4-FFF2-40B4-BE49-F238E27FC236}">
                <a16:creationId xmlns:a16="http://schemas.microsoft.com/office/drawing/2014/main" id="{319A5647-3387-4289-88CA-F472674521E8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" name="$E$126">
            <a:extLst>
              <a:ext uri="{FF2B5EF4-FFF2-40B4-BE49-F238E27FC236}">
                <a16:creationId xmlns:a16="http://schemas.microsoft.com/office/drawing/2014/main" id="{5ABA1857-F81F-42C0-9CD9-C295F5800C9C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" name="$E$126">
            <a:extLst>
              <a:ext uri="{FF2B5EF4-FFF2-40B4-BE49-F238E27FC236}">
                <a16:creationId xmlns:a16="http://schemas.microsoft.com/office/drawing/2014/main" id="{E77C46B1-D17D-438E-81CE-60DA50632BCD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" name="$E$126">
            <a:extLst>
              <a:ext uri="{FF2B5EF4-FFF2-40B4-BE49-F238E27FC236}">
                <a16:creationId xmlns:a16="http://schemas.microsoft.com/office/drawing/2014/main" id="{7CE97B4E-847A-4DC5-A6DB-FCD1D8D6F89D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" name="$E$126">
            <a:extLst>
              <a:ext uri="{FF2B5EF4-FFF2-40B4-BE49-F238E27FC236}">
                <a16:creationId xmlns:a16="http://schemas.microsoft.com/office/drawing/2014/main" id="{3C6D31A9-CD06-4908-9465-BE0BE3FCAEA9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" name="$E$126">
            <a:extLst>
              <a:ext uri="{FF2B5EF4-FFF2-40B4-BE49-F238E27FC236}">
                <a16:creationId xmlns:a16="http://schemas.microsoft.com/office/drawing/2014/main" id="{FEB97CD6-2923-43EA-8482-194564871857}"/>
              </a:ext>
            </a:extLst>
          </xdr:cNvPr>
          <xdr:cNvSpPr/>
        </xdr:nvSpPr>
        <xdr:spPr>
          <a:xfrm>
            <a:off x="127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" name="$E$126">
            <a:extLst>
              <a:ext uri="{FF2B5EF4-FFF2-40B4-BE49-F238E27FC236}">
                <a16:creationId xmlns:a16="http://schemas.microsoft.com/office/drawing/2014/main" id="{7B670B0E-E053-40ED-BD4B-010CCE6C5ECF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" name="$E$126">
            <a:extLst>
              <a:ext uri="{FF2B5EF4-FFF2-40B4-BE49-F238E27FC236}">
                <a16:creationId xmlns:a16="http://schemas.microsoft.com/office/drawing/2014/main" id="{48B182CB-BDF5-4DE5-BF1A-911005AED7B2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" name="$E$126">
            <a:extLst>
              <a:ext uri="{FF2B5EF4-FFF2-40B4-BE49-F238E27FC236}">
                <a16:creationId xmlns:a16="http://schemas.microsoft.com/office/drawing/2014/main" id="{512FA821-B166-40E2-AC93-22BF9D0E3169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" name="$E$126">
            <a:extLst>
              <a:ext uri="{FF2B5EF4-FFF2-40B4-BE49-F238E27FC236}">
                <a16:creationId xmlns:a16="http://schemas.microsoft.com/office/drawing/2014/main" id="{7D05C81D-314E-4A99-92B3-211365441081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" name="$E$126">
            <a:extLst>
              <a:ext uri="{FF2B5EF4-FFF2-40B4-BE49-F238E27FC236}">
                <a16:creationId xmlns:a16="http://schemas.microsoft.com/office/drawing/2014/main" id="{0EC55764-68F5-4E20-8FD2-4AAEBA1170E3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0" name="$E$126">
            <a:extLst>
              <a:ext uri="{FF2B5EF4-FFF2-40B4-BE49-F238E27FC236}">
                <a16:creationId xmlns:a16="http://schemas.microsoft.com/office/drawing/2014/main" id="{0A13804C-CE90-4117-BC6D-79ECD71AAA67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" name="$E$126">
            <a:extLst>
              <a:ext uri="{FF2B5EF4-FFF2-40B4-BE49-F238E27FC236}">
                <a16:creationId xmlns:a16="http://schemas.microsoft.com/office/drawing/2014/main" id="{DCA07B03-AC68-45C5-BD8A-7893A0335A11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" name="$E$126">
            <a:extLst>
              <a:ext uri="{FF2B5EF4-FFF2-40B4-BE49-F238E27FC236}">
                <a16:creationId xmlns:a16="http://schemas.microsoft.com/office/drawing/2014/main" id="{0693BBF4-33B0-4FA2-ABED-83CC20B6BFF1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" name="$E$126">
            <a:extLst>
              <a:ext uri="{FF2B5EF4-FFF2-40B4-BE49-F238E27FC236}">
                <a16:creationId xmlns:a16="http://schemas.microsoft.com/office/drawing/2014/main" id="{6191FDA7-E004-47AB-9D89-F290D54F12AA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" name="$E$126">
            <a:extLst>
              <a:ext uri="{FF2B5EF4-FFF2-40B4-BE49-F238E27FC236}">
                <a16:creationId xmlns:a16="http://schemas.microsoft.com/office/drawing/2014/main" id="{2A89E4D3-20F0-4205-9041-D26D1EB1DDBC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" name="$E$126">
            <a:extLst>
              <a:ext uri="{FF2B5EF4-FFF2-40B4-BE49-F238E27FC236}">
                <a16:creationId xmlns:a16="http://schemas.microsoft.com/office/drawing/2014/main" id="{3D73C9E1-06B2-461B-93FE-E2D45525A1C4}"/>
              </a:ext>
            </a:extLst>
          </xdr:cNvPr>
          <xdr:cNvSpPr/>
        </xdr:nvSpPr>
        <xdr:spPr>
          <a:xfrm>
            <a:off x="50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" name="$E$126">
            <a:extLst>
              <a:ext uri="{FF2B5EF4-FFF2-40B4-BE49-F238E27FC236}">
                <a16:creationId xmlns:a16="http://schemas.microsoft.com/office/drawing/2014/main" id="{F3A2D81B-C0F2-49B4-98ED-2BFAAC3BF8A1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" name="$E$126">
            <a:extLst>
              <a:ext uri="{FF2B5EF4-FFF2-40B4-BE49-F238E27FC236}">
                <a16:creationId xmlns:a16="http://schemas.microsoft.com/office/drawing/2014/main" id="{E55B5910-F1C4-416D-B5D2-AB524B1021B9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" name="$E$126">
            <a:extLst>
              <a:ext uri="{FF2B5EF4-FFF2-40B4-BE49-F238E27FC236}">
                <a16:creationId xmlns:a16="http://schemas.microsoft.com/office/drawing/2014/main" id="{786E96E7-BAA4-4B90-8D6A-95AFAFE81621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" name="$E$126">
            <a:extLst>
              <a:ext uri="{FF2B5EF4-FFF2-40B4-BE49-F238E27FC236}">
                <a16:creationId xmlns:a16="http://schemas.microsoft.com/office/drawing/2014/main" id="{D77CF19C-4DD2-48FB-A9F8-8C90173771D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" name="$E$126">
            <a:extLst>
              <a:ext uri="{FF2B5EF4-FFF2-40B4-BE49-F238E27FC236}">
                <a16:creationId xmlns:a16="http://schemas.microsoft.com/office/drawing/2014/main" id="{3A6CD551-31EF-465D-9D7D-FFA1DAB417D3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" name="$E$126">
            <a:extLst>
              <a:ext uri="{FF2B5EF4-FFF2-40B4-BE49-F238E27FC236}">
                <a16:creationId xmlns:a16="http://schemas.microsoft.com/office/drawing/2014/main" id="{4375AC45-B93B-4098-A256-C671C2853742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" name="$E$126">
            <a:extLst>
              <a:ext uri="{FF2B5EF4-FFF2-40B4-BE49-F238E27FC236}">
                <a16:creationId xmlns:a16="http://schemas.microsoft.com/office/drawing/2014/main" id="{FCA28949-0E25-4310-88E1-0FE151CBCB81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" name="$E$126">
            <a:extLst>
              <a:ext uri="{FF2B5EF4-FFF2-40B4-BE49-F238E27FC236}">
                <a16:creationId xmlns:a16="http://schemas.microsoft.com/office/drawing/2014/main" id="{29A4B437-AAD5-4E67-8347-E46107547A65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" name="$E$126">
            <a:extLst>
              <a:ext uri="{FF2B5EF4-FFF2-40B4-BE49-F238E27FC236}">
                <a16:creationId xmlns:a16="http://schemas.microsoft.com/office/drawing/2014/main" id="{9A059308-097C-4E9F-8F74-0F365F6FE4FA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" name="$E$126">
            <a:extLst>
              <a:ext uri="{FF2B5EF4-FFF2-40B4-BE49-F238E27FC236}">
                <a16:creationId xmlns:a16="http://schemas.microsoft.com/office/drawing/2014/main" id="{B170DFCA-DCCC-4D25-8BD5-33EB312E0820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" name="$E$126">
            <a:extLst>
              <a:ext uri="{FF2B5EF4-FFF2-40B4-BE49-F238E27FC236}">
                <a16:creationId xmlns:a16="http://schemas.microsoft.com/office/drawing/2014/main" id="{915C61F5-3A34-42C0-A36C-7075A3A01668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" name="$E$126">
            <a:extLst>
              <a:ext uri="{FF2B5EF4-FFF2-40B4-BE49-F238E27FC236}">
                <a16:creationId xmlns:a16="http://schemas.microsoft.com/office/drawing/2014/main" id="{C3181660-7875-4CC5-9435-AA091EC6849B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" name="$E$126">
            <a:extLst>
              <a:ext uri="{FF2B5EF4-FFF2-40B4-BE49-F238E27FC236}">
                <a16:creationId xmlns:a16="http://schemas.microsoft.com/office/drawing/2014/main" id="{D2D688DF-1704-4604-BAA3-97765AC33262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" name="$E$126">
            <a:extLst>
              <a:ext uri="{FF2B5EF4-FFF2-40B4-BE49-F238E27FC236}">
                <a16:creationId xmlns:a16="http://schemas.microsoft.com/office/drawing/2014/main" id="{CE337C1D-4701-4163-B0F2-0B5C97218E78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0" name="$E$126">
            <a:extLst>
              <a:ext uri="{FF2B5EF4-FFF2-40B4-BE49-F238E27FC236}">
                <a16:creationId xmlns:a16="http://schemas.microsoft.com/office/drawing/2014/main" id="{F02907C8-AEFD-4856-B0EF-E66E13F42489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" name="$E$126">
            <a:extLst>
              <a:ext uri="{FF2B5EF4-FFF2-40B4-BE49-F238E27FC236}">
                <a16:creationId xmlns:a16="http://schemas.microsoft.com/office/drawing/2014/main" id="{2240285D-16CE-46DA-B427-B05A09DC1D96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" name="$E$126">
            <a:extLst>
              <a:ext uri="{FF2B5EF4-FFF2-40B4-BE49-F238E27FC236}">
                <a16:creationId xmlns:a16="http://schemas.microsoft.com/office/drawing/2014/main" id="{0A245717-B17E-4037-951B-ED64362B89AE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" name="$E$126">
            <a:extLst>
              <a:ext uri="{FF2B5EF4-FFF2-40B4-BE49-F238E27FC236}">
                <a16:creationId xmlns:a16="http://schemas.microsoft.com/office/drawing/2014/main" id="{C247721A-8643-4A1A-A6A9-9205FA555654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" name="$E$126">
            <a:extLst>
              <a:ext uri="{FF2B5EF4-FFF2-40B4-BE49-F238E27FC236}">
                <a16:creationId xmlns:a16="http://schemas.microsoft.com/office/drawing/2014/main" id="{85504558-49D6-4A79-AF86-7F814EA08645}"/>
              </a:ext>
            </a:extLst>
          </xdr:cNvPr>
          <xdr:cNvSpPr/>
        </xdr:nvSpPr>
        <xdr:spPr>
          <a:xfrm>
            <a:off x="101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" name="$E$126">
            <a:extLst>
              <a:ext uri="{FF2B5EF4-FFF2-40B4-BE49-F238E27FC236}">
                <a16:creationId xmlns:a16="http://schemas.microsoft.com/office/drawing/2014/main" id="{6C91B029-C546-4EC3-909C-1C39D3699EF8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" name="$E$126">
            <a:extLst>
              <a:ext uri="{FF2B5EF4-FFF2-40B4-BE49-F238E27FC236}">
                <a16:creationId xmlns:a16="http://schemas.microsoft.com/office/drawing/2014/main" id="{79C094DD-45BF-41B5-A8CF-793094A517E6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" name="$E$126">
            <a:extLst>
              <a:ext uri="{FF2B5EF4-FFF2-40B4-BE49-F238E27FC236}">
                <a16:creationId xmlns:a16="http://schemas.microsoft.com/office/drawing/2014/main" id="{DD333D14-2EFD-4C35-B4A1-0F114C6C9649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" name="$E$126">
            <a:extLst>
              <a:ext uri="{FF2B5EF4-FFF2-40B4-BE49-F238E27FC236}">
                <a16:creationId xmlns:a16="http://schemas.microsoft.com/office/drawing/2014/main" id="{5AF459B7-ECD1-443A-93C8-8280DC461B55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" name="$E$126">
            <a:extLst>
              <a:ext uri="{FF2B5EF4-FFF2-40B4-BE49-F238E27FC236}">
                <a16:creationId xmlns:a16="http://schemas.microsoft.com/office/drawing/2014/main" id="{17CDF6B4-B593-43DB-996E-2073FFF1559A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" name="$E$126">
            <a:extLst>
              <a:ext uri="{FF2B5EF4-FFF2-40B4-BE49-F238E27FC236}">
                <a16:creationId xmlns:a16="http://schemas.microsoft.com/office/drawing/2014/main" id="{422E085E-EBAC-4C8D-98DC-BF37055CA108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" name="$E$126">
            <a:extLst>
              <a:ext uri="{FF2B5EF4-FFF2-40B4-BE49-F238E27FC236}">
                <a16:creationId xmlns:a16="http://schemas.microsoft.com/office/drawing/2014/main" id="{4146BE58-0B96-427E-8C3E-0F3968003876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" name="$E$126">
            <a:extLst>
              <a:ext uri="{FF2B5EF4-FFF2-40B4-BE49-F238E27FC236}">
                <a16:creationId xmlns:a16="http://schemas.microsoft.com/office/drawing/2014/main" id="{1BD287DA-D5F5-49E3-9534-D871C883D3C3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" name="$E$126">
            <a:extLst>
              <a:ext uri="{FF2B5EF4-FFF2-40B4-BE49-F238E27FC236}">
                <a16:creationId xmlns:a16="http://schemas.microsoft.com/office/drawing/2014/main" id="{2294CEC0-3622-479A-88FB-3FCF7778AF91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" name="$E$126">
            <a:extLst>
              <a:ext uri="{FF2B5EF4-FFF2-40B4-BE49-F238E27FC236}">
                <a16:creationId xmlns:a16="http://schemas.microsoft.com/office/drawing/2014/main" id="{F3A4A3D3-E89A-4A5D-93E0-F802AB1E481A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" name="$E$126">
            <a:extLst>
              <a:ext uri="{FF2B5EF4-FFF2-40B4-BE49-F238E27FC236}">
                <a16:creationId xmlns:a16="http://schemas.microsoft.com/office/drawing/2014/main" id="{9F904FD5-6B29-4676-900A-6BA69EECDDC7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" name="$E$126">
            <a:extLst>
              <a:ext uri="{FF2B5EF4-FFF2-40B4-BE49-F238E27FC236}">
                <a16:creationId xmlns:a16="http://schemas.microsoft.com/office/drawing/2014/main" id="{9A789EEB-A35C-4787-8709-58988C86F9B9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" name="$E$126">
            <a:extLst>
              <a:ext uri="{FF2B5EF4-FFF2-40B4-BE49-F238E27FC236}">
                <a16:creationId xmlns:a16="http://schemas.microsoft.com/office/drawing/2014/main" id="{B409D250-63AD-406A-A3AD-D21047F56830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" name="$E$126">
            <a:extLst>
              <a:ext uri="{FF2B5EF4-FFF2-40B4-BE49-F238E27FC236}">
                <a16:creationId xmlns:a16="http://schemas.microsoft.com/office/drawing/2014/main" id="{5B51B54B-C22F-4A06-B2E5-FB91C68B065F}"/>
              </a:ext>
            </a:extLst>
          </xdr:cNvPr>
          <xdr:cNvSpPr/>
        </xdr:nvSpPr>
        <xdr:spPr>
          <a:xfrm>
            <a:off x="139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" name="$E$126">
            <a:extLst>
              <a:ext uri="{FF2B5EF4-FFF2-40B4-BE49-F238E27FC236}">
                <a16:creationId xmlns:a16="http://schemas.microsoft.com/office/drawing/2014/main" id="{715E1B6A-26AB-4543-8A7A-01AB3B5A7B0C}"/>
              </a:ext>
            </a:extLst>
          </xdr:cNvPr>
          <xdr:cNvSpPr/>
        </xdr:nvSpPr>
        <xdr:spPr>
          <a:xfrm>
            <a:off x="152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" name="$E$126">
            <a:extLst>
              <a:ext uri="{FF2B5EF4-FFF2-40B4-BE49-F238E27FC236}">
                <a16:creationId xmlns:a16="http://schemas.microsoft.com/office/drawing/2014/main" id="{B7CA18CD-CDFC-4C6F-9F10-83219B606B48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" name="$E$126">
            <a:extLst>
              <a:ext uri="{FF2B5EF4-FFF2-40B4-BE49-F238E27FC236}">
                <a16:creationId xmlns:a16="http://schemas.microsoft.com/office/drawing/2014/main" id="{4B6E7DC5-0B36-426B-9E8B-7693E897591F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" name="$E$126">
            <a:extLst>
              <a:ext uri="{FF2B5EF4-FFF2-40B4-BE49-F238E27FC236}">
                <a16:creationId xmlns:a16="http://schemas.microsoft.com/office/drawing/2014/main" id="{66A35C68-4698-45E0-98CF-31ECC62E110C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" name="$E$126">
            <a:extLst>
              <a:ext uri="{FF2B5EF4-FFF2-40B4-BE49-F238E27FC236}">
                <a16:creationId xmlns:a16="http://schemas.microsoft.com/office/drawing/2014/main" id="{431AFC30-CF2D-42C4-A447-C8775122D947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" name="$E$126">
            <a:extLst>
              <a:ext uri="{FF2B5EF4-FFF2-40B4-BE49-F238E27FC236}">
                <a16:creationId xmlns:a16="http://schemas.microsoft.com/office/drawing/2014/main" id="{FC73B47C-A829-4632-A467-E4A499C9B6FE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" name="$E$126">
            <a:extLst>
              <a:ext uri="{FF2B5EF4-FFF2-40B4-BE49-F238E27FC236}">
                <a16:creationId xmlns:a16="http://schemas.microsoft.com/office/drawing/2014/main" id="{07EE7160-BB57-4786-9D4A-CCD3850D7997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" name="$E$126">
            <a:extLst>
              <a:ext uri="{FF2B5EF4-FFF2-40B4-BE49-F238E27FC236}">
                <a16:creationId xmlns:a16="http://schemas.microsoft.com/office/drawing/2014/main" id="{13AF4CD6-7E6F-4857-9330-7D34A8A5F5C7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" name="$E$126">
            <a:extLst>
              <a:ext uri="{FF2B5EF4-FFF2-40B4-BE49-F238E27FC236}">
                <a16:creationId xmlns:a16="http://schemas.microsoft.com/office/drawing/2014/main" id="{31A0DF27-CEAC-4E9E-AFBF-7F42856339C6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" name="$E$126">
            <a:extLst>
              <a:ext uri="{FF2B5EF4-FFF2-40B4-BE49-F238E27FC236}">
                <a16:creationId xmlns:a16="http://schemas.microsoft.com/office/drawing/2014/main" id="{34BA0786-E54D-45F9-A9EF-F2BF0DA7C155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" name="$E$126">
            <a:extLst>
              <a:ext uri="{FF2B5EF4-FFF2-40B4-BE49-F238E27FC236}">
                <a16:creationId xmlns:a16="http://schemas.microsoft.com/office/drawing/2014/main" id="{38EB432E-A7E7-4430-B6BF-FC93711ABEFE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" name="$E$126">
            <a:extLst>
              <a:ext uri="{FF2B5EF4-FFF2-40B4-BE49-F238E27FC236}">
                <a16:creationId xmlns:a16="http://schemas.microsoft.com/office/drawing/2014/main" id="{BE09F57D-31B6-4DC2-8B1E-5D7407AEAE49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" name="$E$126">
            <a:extLst>
              <a:ext uri="{FF2B5EF4-FFF2-40B4-BE49-F238E27FC236}">
                <a16:creationId xmlns:a16="http://schemas.microsoft.com/office/drawing/2014/main" id="{F2E17CC3-D427-469B-90BE-F64705322854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" name="$E$126">
            <a:extLst>
              <a:ext uri="{FF2B5EF4-FFF2-40B4-BE49-F238E27FC236}">
                <a16:creationId xmlns:a16="http://schemas.microsoft.com/office/drawing/2014/main" id="{35EBD25D-ED7B-4C56-9AD2-BCDE233A0339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" name="$E$126">
            <a:extLst>
              <a:ext uri="{FF2B5EF4-FFF2-40B4-BE49-F238E27FC236}">
                <a16:creationId xmlns:a16="http://schemas.microsoft.com/office/drawing/2014/main" id="{F8B47FB2-6D38-48DE-BEA1-F043A181EEE1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" name="$E$126">
            <a:extLst>
              <a:ext uri="{FF2B5EF4-FFF2-40B4-BE49-F238E27FC236}">
                <a16:creationId xmlns:a16="http://schemas.microsoft.com/office/drawing/2014/main" id="{EEBCF0BD-5682-4D19-8594-5A0F9F125F5A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5" name="$E$126">
            <a:extLst>
              <a:ext uri="{FF2B5EF4-FFF2-40B4-BE49-F238E27FC236}">
                <a16:creationId xmlns:a16="http://schemas.microsoft.com/office/drawing/2014/main" id="{F7923684-C865-438A-B117-43A0F2699FFE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6" name="$E$126">
            <a:extLst>
              <a:ext uri="{FF2B5EF4-FFF2-40B4-BE49-F238E27FC236}">
                <a16:creationId xmlns:a16="http://schemas.microsoft.com/office/drawing/2014/main" id="{36179B6B-730B-459F-B61A-5DA309D6D391}"/>
              </a:ext>
            </a:extLst>
          </xdr:cNvPr>
          <xdr:cNvSpPr/>
        </xdr:nvSpPr>
        <xdr:spPr>
          <a:xfrm>
            <a:off x="101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7" name="$E$126">
            <a:extLst>
              <a:ext uri="{FF2B5EF4-FFF2-40B4-BE49-F238E27FC236}">
                <a16:creationId xmlns:a16="http://schemas.microsoft.com/office/drawing/2014/main" id="{2140777B-A9FA-4817-B5B3-BAEF0FBB1AEC}"/>
              </a:ext>
            </a:extLst>
          </xdr:cNvPr>
          <xdr:cNvSpPr/>
        </xdr:nvSpPr>
        <xdr:spPr>
          <a:xfrm>
            <a:off x="114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8" name="$E$126">
            <a:extLst>
              <a:ext uri="{FF2B5EF4-FFF2-40B4-BE49-F238E27FC236}">
                <a16:creationId xmlns:a16="http://schemas.microsoft.com/office/drawing/2014/main" id="{AB69A678-2D14-4EFE-89C4-1E99CFFF641D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9" name="$E$126">
            <a:extLst>
              <a:ext uri="{FF2B5EF4-FFF2-40B4-BE49-F238E27FC236}">
                <a16:creationId xmlns:a16="http://schemas.microsoft.com/office/drawing/2014/main" id="{E942E038-E5D6-422E-B4AB-6332EE0EA907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0" name="$E$126">
            <a:extLst>
              <a:ext uri="{FF2B5EF4-FFF2-40B4-BE49-F238E27FC236}">
                <a16:creationId xmlns:a16="http://schemas.microsoft.com/office/drawing/2014/main" id="{BA9F0DBF-B557-48DA-BFF5-8262721487D6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1" name="$E$126">
            <a:extLst>
              <a:ext uri="{FF2B5EF4-FFF2-40B4-BE49-F238E27FC236}">
                <a16:creationId xmlns:a16="http://schemas.microsoft.com/office/drawing/2014/main" id="{F0BCEEE1-B999-42D8-B8FF-2CDEC37D934C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2" name="$E$126">
            <a:extLst>
              <a:ext uri="{FF2B5EF4-FFF2-40B4-BE49-F238E27FC236}">
                <a16:creationId xmlns:a16="http://schemas.microsoft.com/office/drawing/2014/main" id="{BA3604B2-EDDE-4643-930F-EA2F410F8A7A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3" name="$E$126">
            <a:extLst>
              <a:ext uri="{FF2B5EF4-FFF2-40B4-BE49-F238E27FC236}">
                <a16:creationId xmlns:a16="http://schemas.microsoft.com/office/drawing/2014/main" id="{713D013F-6B3D-4BA8-98C7-0F807A21911B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4" name="$E$126">
            <a:extLst>
              <a:ext uri="{FF2B5EF4-FFF2-40B4-BE49-F238E27FC236}">
                <a16:creationId xmlns:a16="http://schemas.microsoft.com/office/drawing/2014/main" id="{7B9912AD-18F4-41A5-9BA2-E759CF16D39A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5" name="$E$126">
            <a:extLst>
              <a:ext uri="{FF2B5EF4-FFF2-40B4-BE49-F238E27FC236}">
                <a16:creationId xmlns:a16="http://schemas.microsoft.com/office/drawing/2014/main" id="{36B0B626-4D41-4387-878A-B45A9141463C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6" name="$E$126">
            <a:extLst>
              <a:ext uri="{FF2B5EF4-FFF2-40B4-BE49-F238E27FC236}">
                <a16:creationId xmlns:a16="http://schemas.microsoft.com/office/drawing/2014/main" id="{99EE530E-03A6-41AA-B2DD-F701C71A8C0D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7" name="$E$126">
            <a:extLst>
              <a:ext uri="{FF2B5EF4-FFF2-40B4-BE49-F238E27FC236}">
                <a16:creationId xmlns:a16="http://schemas.microsoft.com/office/drawing/2014/main" id="{CD57210A-1414-4815-9247-C9722B6687EA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8" name="$E$126">
            <a:extLst>
              <a:ext uri="{FF2B5EF4-FFF2-40B4-BE49-F238E27FC236}">
                <a16:creationId xmlns:a16="http://schemas.microsoft.com/office/drawing/2014/main" id="{97EBAA1D-E926-4545-8E66-1FA25CE8429A}"/>
              </a:ext>
            </a:extLst>
          </xdr:cNvPr>
          <xdr:cNvSpPr/>
        </xdr:nvSpPr>
        <xdr:spPr>
          <a:xfrm>
            <a:off x="50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9" name="$E$126">
            <a:extLst>
              <a:ext uri="{FF2B5EF4-FFF2-40B4-BE49-F238E27FC236}">
                <a16:creationId xmlns:a16="http://schemas.microsoft.com/office/drawing/2014/main" id="{03C7B7B3-E3AE-40D0-B44E-13C77B7DA94E}"/>
              </a:ext>
            </a:extLst>
          </xdr:cNvPr>
          <xdr:cNvSpPr/>
        </xdr:nvSpPr>
        <xdr:spPr>
          <a:xfrm>
            <a:off x="114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0" name="$E$126">
            <a:extLst>
              <a:ext uri="{FF2B5EF4-FFF2-40B4-BE49-F238E27FC236}">
                <a16:creationId xmlns:a16="http://schemas.microsoft.com/office/drawing/2014/main" id="{6FFE752D-1590-4008-876D-2DA8422B2DB2}"/>
              </a:ext>
            </a:extLst>
          </xdr:cNvPr>
          <xdr:cNvSpPr/>
        </xdr:nvSpPr>
        <xdr:spPr>
          <a:xfrm>
            <a:off x="127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1" name="$E$126">
            <a:extLst>
              <a:ext uri="{FF2B5EF4-FFF2-40B4-BE49-F238E27FC236}">
                <a16:creationId xmlns:a16="http://schemas.microsoft.com/office/drawing/2014/main" id="{456FC327-5456-4B51-B127-C49BCC72942A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2" name="$E$126">
            <a:extLst>
              <a:ext uri="{FF2B5EF4-FFF2-40B4-BE49-F238E27FC236}">
                <a16:creationId xmlns:a16="http://schemas.microsoft.com/office/drawing/2014/main" id="{9FCCC90B-F388-47B8-9D3D-1597F6E565F6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3" name="$E$126">
            <a:extLst>
              <a:ext uri="{FF2B5EF4-FFF2-40B4-BE49-F238E27FC236}">
                <a16:creationId xmlns:a16="http://schemas.microsoft.com/office/drawing/2014/main" id="{8625FCAB-92F5-4DBB-AE2E-04A7B940E63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4" name="$E$126">
            <a:extLst>
              <a:ext uri="{FF2B5EF4-FFF2-40B4-BE49-F238E27FC236}">
                <a16:creationId xmlns:a16="http://schemas.microsoft.com/office/drawing/2014/main" id="{101CA3D0-BC71-4422-A684-52157E2AAF6B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5" name="$E$126">
            <a:extLst>
              <a:ext uri="{FF2B5EF4-FFF2-40B4-BE49-F238E27FC236}">
                <a16:creationId xmlns:a16="http://schemas.microsoft.com/office/drawing/2014/main" id="{143AFFA5-3918-45C1-A949-2B1AD0F1404C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6" name="$E$126">
            <a:extLst>
              <a:ext uri="{FF2B5EF4-FFF2-40B4-BE49-F238E27FC236}">
                <a16:creationId xmlns:a16="http://schemas.microsoft.com/office/drawing/2014/main" id="{6E3013F9-7B1E-4B59-9AF1-F9B3CE361C4A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7" name="$E$126">
            <a:extLst>
              <a:ext uri="{FF2B5EF4-FFF2-40B4-BE49-F238E27FC236}">
                <a16:creationId xmlns:a16="http://schemas.microsoft.com/office/drawing/2014/main" id="{576AE0FB-B7E6-46DF-927F-D0861DE3C209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8" name="$E$126">
            <a:extLst>
              <a:ext uri="{FF2B5EF4-FFF2-40B4-BE49-F238E27FC236}">
                <a16:creationId xmlns:a16="http://schemas.microsoft.com/office/drawing/2014/main" id="{9EBE1C6A-2C2E-4E4E-B5A3-DF2516FE12FF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9" name="$E$126">
            <a:extLst>
              <a:ext uri="{FF2B5EF4-FFF2-40B4-BE49-F238E27FC236}">
                <a16:creationId xmlns:a16="http://schemas.microsoft.com/office/drawing/2014/main" id="{3F76380C-626D-4C59-A66D-CDC5718CAA40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30" name="$E$126">
            <a:extLst>
              <a:ext uri="{FF2B5EF4-FFF2-40B4-BE49-F238E27FC236}">
                <a16:creationId xmlns:a16="http://schemas.microsoft.com/office/drawing/2014/main" id="{DCBC2FA3-6389-4939-B7C1-6193FD65B2DA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31" name="$E$126">
            <a:extLst>
              <a:ext uri="{FF2B5EF4-FFF2-40B4-BE49-F238E27FC236}">
                <a16:creationId xmlns:a16="http://schemas.microsoft.com/office/drawing/2014/main" id="{61317CE4-806F-4FCD-A519-F5169E47EC15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32" name="$E$126">
            <a:extLst>
              <a:ext uri="{FF2B5EF4-FFF2-40B4-BE49-F238E27FC236}">
                <a16:creationId xmlns:a16="http://schemas.microsoft.com/office/drawing/2014/main" id="{40BE0087-1C5F-4643-A6DB-E2A50303D1FB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33" name="$E$126">
            <a:extLst>
              <a:ext uri="{FF2B5EF4-FFF2-40B4-BE49-F238E27FC236}">
                <a16:creationId xmlns:a16="http://schemas.microsoft.com/office/drawing/2014/main" id="{E675A0DB-1358-4831-8EB5-8060ED4292DD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34" name="$E$126">
            <a:extLst>
              <a:ext uri="{FF2B5EF4-FFF2-40B4-BE49-F238E27FC236}">
                <a16:creationId xmlns:a16="http://schemas.microsoft.com/office/drawing/2014/main" id="{381BF840-3130-4A4B-967B-CF8B102D9638}"/>
              </a:ext>
            </a:extLst>
          </xdr:cNvPr>
          <xdr:cNvSpPr/>
        </xdr:nvSpPr>
        <xdr:spPr>
          <a:xfrm>
            <a:off x="101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35" name="$E$126">
            <a:extLst>
              <a:ext uri="{FF2B5EF4-FFF2-40B4-BE49-F238E27FC236}">
                <a16:creationId xmlns:a16="http://schemas.microsoft.com/office/drawing/2014/main" id="{A05945AC-41C4-4B1D-B346-37419BF15C7E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36" name="$E$126">
            <a:extLst>
              <a:ext uri="{FF2B5EF4-FFF2-40B4-BE49-F238E27FC236}">
                <a16:creationId xmlns:a16="http://schemas.microsoft.com/office/drawing/2014/main" id="{4F352108-40E5-4C10-ACE8-9D1DE378D283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37" name="$E$126">
            <a:extLst>
              <a:ext uri="{FF2B5EF4-FFF2-40B4-BE49-F238E27FC236}">
                <a16:creationId xmlns:a16="http://schemas.microsoft.com/office/drawing/2014/main" id="{F029B0C7-3702-4A6E-9291-30C792991C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38" name="$E$126">
            <a:extLst>
              <a:ext uri="{FF2B5EF4-FFF2-40B4-BE49-F238E27FC236}">
                <a16:creationId xmlns:a16="http://schemas.microsoft.com/office/drawing/2014/main" id="{F3EAD16C-395D-433D-A4E4-9B3AA51B60AA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39" name="$E$126">
            <a:extLst>
              <a:ext uri="{FF2B5EF4-FFF2-40B4-BE49-F238E27FC236}">
                <a16:creationId xmlns:a16="http://schemas.microsoft.com/office/drawing/2014/main" id="{D050A494-E53E-449C-B115-FDE56C44F57D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40" name="$E$126">
            <a:extLst>
              <a:ext uri="{FF2B5EF4-FFF2-40B4-BE49-F238E27FC236}">
                <a16:creationId xmlns:a16="http://schemas.microsoft.com/office/drawing/2014/main" id="{C1AB7281-A750-4060-90B9-0792C1157199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41" name="$E$126">
            <a:extLst>
              <a:ext uri="{FF2B5EF4-FFF2-40B4-BE49-F238E27FC236}">
                <a16:creationId xmlns:a16="http://schemas.microsoft.com/office/drawing/2014/main" id="{9B98E521-C4DA-4A5E-AC69-CD3A5F1EB696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42" name="$E$126">
            <a:extLst>
              <a:ext uri="{FF2B5EF4-FFF2-40B4-BE49-F238E27FC236}">
                <a16:creationId xmlns:a16="http://schemas.microsoft.com/office/drawing/2014/main" id="{05D8A60A-BF8B-4E99-9A74-4A6DC70B7D1A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43" name="$E$126">
            <a:extLst>
              <a:ext uri="{FF2B5EF4-FFF2-40B4-BE49-F238E27FC236}">
                <a16:creationId xmlns:a16="http://schemas.microsoft.com/office/drawing/2014/main" id="{103AD0F1-F9F9-4D48-9B57-7816744EA4CE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44" name="$E$126">
            <a:extLst>
              <a:ext uri="{FF2B5EF4-FFF2-40B4-BE49-F238E27FC236}">
                <a16:creationId xmlns:a16="http://schemas.microsoft.com/office/drawing/2014/main" id="{8BFFC966-600D-458B-B1CA-E42D4E702BA6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45" name="$E$126">
            <a:extLst>
              <a:ext uri="{FF2B5EF4-FFF2-40B4-BE49-F238E27FC236}">
                <a16:creationId xmlns:a16="http://schemas.microsoft.com/office/drawing/2014/main" id="{B5060EBF-B1BC-4B6E-99B0-76424C4316F7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46" name="$E$126">
            <a:extLst>
              <a:ext uri="{FF2B5EF4-FFF2-40B4-BE49-F238E27FC236}">
                <a16:creationId xmlns:a16="http://schemas.microsoft.com/office/drawing/2014/main" id="{7C4093F9-5EE1-4522-9CD8-900446363F99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47" name="$E$126">
            <a:extLst>
              <a:ext uri="{FF2B5EF4-FFF2-40B4-BE49-F238E27FC236}">
                <a16:creationId xmlns:a16="http://schemas.microsoft.com/office/drawing/2014/main" id="{6129C41E-9099-4EC2-ADB9-A856446164EC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48" name="$E$126">
            <a:extLst>
              <a:ext uri="{FF2B5EF4-FFF2-40B4-BE49-F238E27FC236}">
                <a16:creationId xmlns:a16="http://schemas.microsoft.com/office/drawing/2014/main" id="{63B81549-F353-4AAF-BED5-53363C9CF1B6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49" name="$E$126">
            <a:extLst>
              <a:ext uri="{FF2B5EF4-FFF2-40B4-BE49-F238E27FC236}">
                <a16:creationId xmlns:a16="http://schemas.microsoft.com/office/drawing/2014/main" id="{A07D7513-769D-4D91-A917-A40738A849A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50" name="$E$126">
            <a:extLst>
              <a:ext uri="{FF2B5EF4-FFF2-40B4-BE49-F238E27FC236}">
                <a16:creationId xmlns:a16="http://schemas.microsoft.com/office/drawing/2014/main" id="{A82DE414-47D7-41B6-B449-957AFC3CB4BF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51" name="$E$126">
            <a:extLst>
              <a:ext uri="{FF2B5EF4-FFF2-40B4-BE49-F238E27FC236}">
                <a16:creationId xmlns:a16="http://schemas.microsoft.com/office/drawing/2014/main" id="{BC8E211E-4331-47D2-BC91-F18CE56CB522}"/>
              </a:ext>
            </a:extLst>
          </xdr:cNvPr>
          <xdr:cNvSpPr/>
        </xdr:nvSpPr>
        <xdr:spPr>
          <a:xfrm>
            <a:off x="177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52" name="$E$126">
            <a:extLst>
              <a:ext uri="{FF2B5EF4-FFF2-40B4-BE49-F238E27FC236}">
                <a16:creationId xmlns:a16="http://schemas.microsoft.com/office/drawing/2014/main" id="{C252B2D6-3507-400E-BC1C-8B9106BCB84B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53" name="$E$126">
            <a:extLst>
              <a:ext uri="{FF2B5EF4-FFF2-40B4-BE49-F238E27FC236}">
                <a16:creationId xmlns:a16="http://schemas.microsoft.com/office/drawing/2014/main" id="{AA9BF3BE-8DD7-4322-9D49-8D7AB214F59D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54" name="$E$126">
            <a:extLst>
              <a:ext uri="{FF2B5EF4-FFF2-40B4-BE49-F238E27FC236}">
                <a16:creationId xmlns:a16="http://schemas.microsoft.com/office/drawing/2014/main" id="{CDD64DA9-DF9A-4395-A16F-09B30F4F5FBD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55" name="$E$126">
            <a:extLst>
              <a:ext uri="{FF2B5EF4-FFF2-40B4-BE49-F238E27FC236}">
                <a16:creationId xmlns:a16="http://schemas.microsoft.com/office/drawing/2014/main" id="{65513BDE-3DFB-4856-9B4B-F01BAE411436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56" name="$E$126">
            <a:extLst>
              <a:ext uri="{FF2B5EF4-FFF2-40B4-BE49-F238E27FC236}">
                <a16:creationId xmlns:a16="http://schemas.microsoft.com/office/drawing/2014/main" id="{345FBE25-DAD2-43B6-B651-189EFFB90232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57" name="$E$126">
            <a:extLst>
              <a:ext uri="{FF2B5EF4-FFF2-40B4-BE49-F238E27FC236}">
                <a16:creationId xmlns:a16="http://schemas.microsoft.com/office/drawing/2014/main" id="{D3093D5C-F372-44F6-9846-BBF52224F295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58" name="$E$126">
            <a:extLst>
              <a:ext uri="{FF2B5EF4-FFF2-40B4-BE49-F238E27FC236}">
                <a16:creationId xmlns:a16="http://schemas.microsoft.com/office/drawing/2014/main" id="{C8FEA2D0-A52C-489B-8B83-E36FC95AA6AE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59" name="$E$126">
            <a:extLst>
              <a:ext uri="{FF2B5EF4-FFF2-40B4-BE49-F238E27FC236}">
                <a16:creationId xmlns:a16="http://schemas.microsoft.com/office/drawing/2014/main" id="{098B442E-04BE-440B-91B5-A110AEF636C3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60" name="$E$126">
            <a:extLst>
              <a:ext uri="{FF2B5EF4-FFF2-40B4-BE49-F238E27FC236}">
                <a16:creationId xmlns:a16="http://schemas.microsoft.com/office/drawing/2014/main" id="{13EB3784-7A75-4645-8274-8A28D3A958C6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61" name="$E$126">
            <a:extLst>
              <a:ext uri="{FF2B5EF4-FFF2-40B4-BE49-F238E27FC236}">
                <a16:creationId xmlns:a16="http://schemas.microsoft.com/office/drawing/2014/main" id="{54690C12-68F9-4DD7-B811-48481D5C5D60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62" name="$E$126">
            <a:extLst>
              <a:ext uri="{FF2B5EF4-FFF2-40B4-BE49-F238E27FC236}">
                <a16:creationId xmlns:a16="http://schemas.microsoft.com/office/drawing/2014/main" id="{217C397F-FC36-4F4F-8AA1-07F4B60320FF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63" name="$E$126">
            <a:extLst>
              <a:ext uri="{FF2B5EF4-FFF2-40B4-BE49-F238E27FC236}">
                <a16:creationId xmlns:a16="http://schemas.microsoft.com/office/drawing/2014/main" id="{7C0D530F-624D-4F13-B9D9-05DE5A3C5A5D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64" name="$E$126">
            <a:extLst>
              <a:ext uri="{FF2B5EF4-FFF2-40B4-BE49-F238E27FC236}">
                <a16:creationId xmlns:a16="http://schemas.microsoft.com/office/drawing/2014/main" id="{50C6D5F1-5AE3-4427-8D0E-9DB7A92BEA8B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65" name="$E$126">
            <a:extLst>
              <a:ext uri="{FF2B5EF4-FFF2-40B4-BE49-F238E27FC236}">
                <a16:creationId xmlns:a16="http://schemas.microsoft.com/office/drawing/2014/main" id="{ADEEF634-67F3-41A7-9E13-D4CF1AC5E5E2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66" name="$E$126">
            <a:extLst>
              <a:ext uri="{FF2B5EF4-FFF2-40B4-BE49-F238E27FC236}">
                <a16:creationId xmlns:a16="http://schemas.microsoft.com/office/drawing/2014/main" id="{250AA851-DC53-4555-A7FE-446A6EA9E20D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67" name="$E$126">
            <a:extLst>
              <a:ext uri="{FF2B5EF4-FFF2-40B4-BE49-F238E27FC236}">
                <a16:creationId xmlns:a16="http://schemas.microsoft.com/office/drawing/2014/main" id="{F1AE44ED-DC33-40B4-AA8F-9DB697E1D911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68" name="$E$126">
            <a:extLst>
              <a:ext uri="{FF2B5EF4-FFF2-40B4-BE49-F238E27FC236}">
                <a16:creationId xmlns:a16="http://schemas.microsoft.com/office/drawing/2014/main" id="{A0F945B3-9F0D-4EAA-9FE1-A417B1597C2C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69" name="$E$126">
            <a:extLst>
              <a:ext uri="{FF2B5EF4-FFF2-40B4-BE49-F238E27FC236}">
                <a16:creationId xmlns:a16="http://schemas.microsoft.com/office/drawing/2014/main" id="{5BD3B78F-E5EB-4357-B642-760029D839BA}"/>
              </a:ext>
            </a:extLst>
          </xdr:cNvPr>
          <xdr:cNvSpPr/>
        </xdr:nvSpPr>
        <xdr:spPr>
          <a:xfrm>
            <a:off x="177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70" name="$E$126">
            <a:extLst>
              <a:ext uri="{FF2B5EF4-FFF2-40B4-BE49-F238E27FC236}">
                <a16:creationId xmlns:a16="http://schemas.microsoft.com/office/drawing/2014/main" id="{62054987-96DB-413A-93A5-E40842A4010A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71" name="$E$126">
            <a:extLst>
              <a:ext uri="{FF2B5EF4-FFF2-40B4-BE49-F238E27FC236}">
                <a16:creationId xmlns:a16="http://schemas.microsoft.com/office/drawing/2014/main" id="{9EFBFE23-3CBB-4EF6-A507-467FCE3FBBB0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72" name="$E$126">
            <a:extLst>
              <a:ext uri="{FF2B5EF4-FFF2-40B4-BE49-F238E27FC236}">
                <a16:creationId xmlns:a16="http://schemas.microsoft.com/office/drawing/2014/main" id="{A7D705C8-111B-46B1-976C-020049090C0A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73" name="$E$126">
            <a:extLst>
              <a:ext uri="{FF2B5EF4-FFF2-40B4-BE49-F238E27FC236}">
                <a16:creationId xmlns:a16="http://schemas.microsoft.com/office/drawing/2014/main" id="{287FF6BB-74B6-4A41-B707-EF1F17867B19}"/>
              </a:ext>
            </a:extLst>
          </xdr:cNvPr>
          <xdr:cNvSpPr/>
        </xdr:nvSpPr>
        <xdr:spPr>
          <a:xfrm>
            <a:off x="228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74" name="$E$126">
            <a:extLst>
              <a:ext uri="{FF2B5EF4-FFF2-40B4-BE49-F238E27FC236}">
                <a16:creationId xmlns:a16="http://schemas.microsoft.com/office/drawing/2014/main" id="{F6AFEF55-5F7E-4258-AF25-B7DBB9ABBAA0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75" name="$E$126">
            <a:extLst>
              <a:ext uri="{FF2B5EF4-FFF2-40B4-BE49-F238E27FC236}">
                <a16:creationId xmlns:a16="http://schemas.microsoft.com/office/drawing/2014/main" id="{36BBD208-2817-47BC-9EEA-DCD5AB5A016A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76" name="$E$126">
            <a:extLst>
              <a:ext uri="{FF2B5EF4-FFF2-40B4-BE49-F238E27FC236}">
                <a16:creationId xmlns:a16="http://schemas.microsoft.com/office/drawing/2014/main" id="{8305793C-85C2-42D9-80F7-C2776642FE4F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77" name="$E$126">
            <a:extLst>
              <a:ext uri="{FF2B5EF4-FFF2-40B4-BE49-F238E27FC236}">
                <a16:creationId xmlns:a16="http://schemas.microsoft.com/office/drawing/2014/main" id="{5E07BAE3-F651-4AD5-84CF-2D8FFC2C843E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78" name="$E$126">
            <a:extLst>
              <a:ext uri="{FF2B5EF4-FFF2-40B4-BE49-F238E27FC236}">
                <a16:creationId xmlns:a16="http://schemas.microsoft.com/office/drawing/2014/main" id="{06C0CD82-E998-4CB0-B32D-29C93FAC1886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79" name="$E$126">
            <a:extLst>
              <a:ext uri="{FF2B5EF4-FFF2-40B4-BE49-F238E27FC236}">
                <a16:creationId xmlns:a16="http://schemas.microsoft.com/office/drawing/2014/main" id="{FB47E62A-3438-4CC1-8D74-1BB845CF3D94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80" name="$E$126">
            <a:extLst>
              <a:ext uri="{FF2B5EF4-FFF2-40B4-BE49-F238E27FC236}">
                <a16:creationId xmlns:a16="http://schemas.microsoft.com/office/drawing/2014/main" id="{6B018004-2EFA-494A-9F27-9CF857624748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81" name="$E$126">
            <a:extLst>
              <a:ext uri="{FF2B5EF4-FFF2-40B4-BE49-F238E27FC236}">
                <a16:creationId xmlns:a16="http://schemas.microsoft.com/office/drawing/2014/main" id="{962F1718-8C4B-48D0-8306-E5BAB656C58D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82" name="$E$126">
            <a:extLst>
              <a:ext uri="{FF2B5EF4-FFF2-40B4-BE49-F238E27FC236}">
                <a16:creationId xmlns:a16="http://schemas.microsoft.com/office/drawing/2014/main" id="{2B82FE93-7A6D-4BF9-B07E-E6E9B6AA4CD6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83" name="$E$126">
            <a:extLst>
              <a:ext uri="{FF2B5EF4-FFF2-40B4-BE49-F238E27FC236}">
                <a16:creationId xmlns:a16="http://schemas.microsoft.com/office/drawing/2014/main" id="{D07E8578-713C-4450-A525-632F8E7216E9}"/>
              </a:ext>
            </a:extLst>
          </xdr:cNvPr>
          <xdr:cNvSpPr/>
        </xdr:nvSpPr>
        <xdr:spPr>
          <a:xfrm>
            <a:off x="114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84" name="$E$126">
            <a:extLst>
              <a:ext uri="{FF2B5EF4-FFF2-40B4-BE49-F238E27FC236}">
                <a16:creationId xmlns:a16="http://schemas.microsoft.com/office/drawing/2014/main" id="{FFD4AC92-F85D-413F-A19A-BDE515FC9DE5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85" name="$E$126">
            <a:extLst>
              <a:ext uri="{FF2B5EF4-FFF2-40B4-BE49-F238E27FC236}">
                <a16:creationId xmlns:a16="http://schemas.microsoft.com/office/drawing/2014/main" id="{7A456D38-B14E-43DE-8D59-51FF88DF7795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86" name="$E$126">
            <a:extLst>
              <a:ext uri="{FF2B5EF4-FFF2-40B4-BE49-F238E27FC236}">
                <a16:creationId xmlns:a16="http://schemas.microsoft.com/office/drawing/2014/main" id="{3B760EA9-188D-4B20-96BD-4536BD7790D1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87" name="$E$126">
            <a:extLst>
              <a:ext uri="{FF2B5EF4-FFF2-40B4-BE49-F238E27FC236}">
                <a16:creationId xmlns:a16="http://schemas.microsoft.com/office/drawing/2014/main" id="{D411A078-87A3-4E35-9D91-BFF99B1243B2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88" name="$E$126">
            <a:extLst>
              <a:ext uri="{FF2B5EF4-FFF2-40B4-BE49-F238E27FC236}">
                <a16:creationId xmlns:a16="http://schemas.microsoft.com/office/drawing/2014/main" id="{9DE31923-2658-4ED1-A027-95ACF2138A3C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89" name="$E$126">
            <a:extLst>
              <a:ext uri="{FF2B5EF4-FFF2-40B4-BE49-F238E27FC236}">
                <a16:creationId xmlns:a16="http://schemas.microsoft.com/office/drawing/2014/main" id="{517D0681-E39E-448D-9F90-6FEFD9E10A40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90" name="$E$126">
            <a:extLst>
              <a:ext uri="{FF2B5EF4-FFF2-40B4-BE49-F238E27FC236}">
                <a16:creationId xmlns:a16="http://schemas.microsoft.com/office/drawing/2014/main" id="{BD99F765-726C-4E47-B32E-02434C822D3A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91" name="$E$126">
            <a:extLst>
              <a:ext uri="{FF2B5EF4-FFF2-40B4-BE49-F238E27FC236}">
                <a16:creationId xmlns:a16="http://schemas.microsoft.com/office/drawing/2014/main" id="{CA649558-DE62-43D9-B930-73D3FCEDE809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92" name="$E$126">
            <a:extLst>
              <a:ext uri="{FF2B5EF4-FFF2-40B4-BE49-F238E27FC236}">
                <a16:creationId xmlns:a16="http://schemas.microsoft.com/office/drawing/2014/main" id="{87FEB2A6-99D1-46B0-96CE-0C7A782BC408}"/>
              </a:ext>
            </a:extLst>
          </xdr:cNvPr>
          <xdr:cNvSpPr/>
        </xdr:nvSpPr>
        <xdr:spPr>
          <a:xfrm>
            <a:off x="368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93" name="$E$126">
            <a:extLst>
              <a:ext uri="{FF2B5EF4-FFF2-40B4-BE49-F238E27FC236}">
                <a16:creationId xmlns:a16="http://schemas.microsoft.com/office/drawing/2014/main" id="{E1BF7CEF-3B29-4240-B011-50F01241F341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94" name="$E$126">
            <a:extLst>
              <a:ext uri="{FF2B5EF4-FFF2-40B4-BE49-F238E27FC236}">
                <a16:creationId xmlns:a16="http://schemas.microsoft.com/office/drawing/2014/main" id="{DA82434B-D66A-4313-98F4-A4EB987677A6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95" name="$E$126">
            <a:extLst>
              <a:ext uri="{FF2B5EF4-FFF2-40B4-BE49-F238E27FC236}">
                <a16:creationId xmlns:a16="http://schemas.microsoft.com/office/drawing/2014/main" id="{91F7F0B7-FEC0-4E52-92EA-DC12D7260DC5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96" name="$E$126">
            <a:extLst>
              <a:ext uri="{FF2B5EF4-FFF2-40B4-BE49-F238E27FC236}">
                <a16:creationId xmlns:a16="http://schemas.microsoft.com/office/drawing/2014/main" id="{CC67DCD8-98F3-4841-88BA-C3DC83BE60F6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97" name="$E$126">
            <a:extLst>
              <a:ext uri="{FF2B5EF4-FFF2-40B4-BE49-F238E27FC236}">
                <a16:creationId xmlns:a16="http://schemas.microsoft.com/office/drawing/2014/main" id="{1213DFD5-160B-40E7-ADFF-ADB181CA96ED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98" name="$E$126">
            <a:extLst>
              <a:ext uri="{FF2B5EF4-FFF2-40B4-BE49-F238E27FC236}">
                <a16:creationId xmlns:a16="http://schemas.microsoft.com/office/drawing/2014/main" id="{6A70F48C-8282-4CEE-92E1-86749D270B6D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99" name="$E$126">
            <a:extLst>
              <a:ext uri="{FF2B5EF4-FFF2-40B4-BE49-F238E27FC236}">
                <a16:creationId xmlns:a16="http://schemas.microsoft.com/office/drawing/2014/main" id="{8278CB18-983E-43CA-B4B6-864DD15596AE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00" name="$E$126">
            <a:extLst>
              <a:ext uri="{FF2B5EF4-FFF2-40B4-BE49-F238E27FC236}">
                <a16:creationId xmlns:a16="http://schemas.microsoft.com/office/drawing/2014/main" id="{D1BCB1DF-E193-42E5-A3EC-2E03A74C88CA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01" name="$E$126">
            <a:extLst>
              <a:ext uri="{FF2B5EF4-FFF2-40B4-BE49-F238E27FC236}">
                <a16:creationId xmlns:a16="http://schemas.microsoft.com/office/drawing/2014/main" id="{840CC1F3-CCBA-48D1-9971-C63BF10BF98B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02" name="$E$126">
            <a:extLst>
              <a:ext uri="{FF2B5EF4-FFF2-40B4-BE49-F238E27FC236}">
                <a16:creationId xmlns:a16="http://schemas.microsoft.com/office/drawing/2014/main" id="{672558DC-B30E-4C5A-8441-D2FAB1CED113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03" name="$E$126">
            <a:extLst>
              <a:ext uri="{FF2B5EF4-FFF2-40B4-BE49-F238E27FC236}">
                <a16:creationId xmlns:a16="http://schemas.microsoft.com/office/drawing/2014/main" id="{35C1037C-12B3-4D4E-B7D9-42BFEC7D4D25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04" name="$E$126">
            <a:extLst>
              <a:ext uri="{FF2B5EF4-FFF2-40B4-BE49-F238E27FC236}">
                <a16:creationId xmlns:a16="http://schemas.microsoft.com/office/drawing/2014/main" id="{774F9149-44D4-4E28-B7D9-BCD83D14A041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05" name="$E$126">
            <a:extLst>
              <a:ext uri="{FF2B5EF4-FFF2-40B4-BE49-F238E27FC236}">
                <a16:creationId xmlns:a16="http://schemas.microsoft.com/office/drawing/2014/main" id="{B601D268-34BF-48E8-966D-D349BC555E55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06" name="$E$126">
            <a:extLst>
              <a:ext uri="{FF2B5EF4-FFF2-40B4-BE49-F238E27FC236}">
                <a16:creationId xmlns:a16="http://schemas.microsoft.com/office/drawing/2014/main" id="{8EB775F1-8174-444A-8C9D-A4B46FECF8CC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07" name="$E$126">
            <a:extLst>
              <a:ext uri="{FF2B5EF4-FFF2-40B4-BE49-F238E27FC236}">
                <a16:creationId xmlns:a16="http://schemas.microsoft.com/office/drawing/2014/main" id="{48DBF472-EC55-4DAF-8703-FC48C9A1CD75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08" name="$E$126">
            <a:extLst>
              <a:ext uri="{FF2B5EF4-FFF2-40B4-BE49-F238E27FC236}">
                <a16:creationId xmlns:a16="http://schemas.microsoft.com/office/drawing/2014/main" id="{4177181B-B1C7-48B2-8ABD-9676B0DC8DCD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09" name="$E$126">
            <a:extLst>
              <a:ext uri="{FF2B5EF4-FFF2-40B4-BE49-F238E27FC236}">
                <a16:creationId xmlns:a16="http://schemas.microsoft.com/office/drawing/2014/main" id="{905E8A30-9C2E-4F66-BC3C-859337760072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10" name="$E$126">
            <a:extLst>
              <a:ext uri="{FF2B5EF4-FFF2-40B4-BE49-F238E27FC236}">
                <a16:creationId xmlns:a16="http://schemas.microsoft.com/office/drawing/2014/main" id="{9835358F-E63B-46C6-B4DC-23B0FFFB2B78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11" name="$E$126">
            <a:extLst>
              <a:ext uri="{FF2B5EF4-FFF2-40B4-BE49-F238E27FC236}">
                <a16:creationId xmlns:a16="http://schemas.microsoft.com/office/drawing/2014/main" id="{4FDCC138-C690-48A8-A588-4873DAC2DC40}"/>
              </a:ext>
            </a:extLst>
          </xdr:cNvPr>
          <xdr:cNvSpPr/>
        </xdr:nvSpPr>
        <xdr:spPr>
          <a:xfrm>
            <a:off x="406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12" name="$E$126">
            <a:extLst>
              <a:ext uri="{FF2B5EF4-FFF2-40B4-BE49-F238E27FC236}">
                <a16:creationId xmlns:a16="http://schemas.microsoft.com/office/drawing/2014/main" id="{3AC9028A-D8B3-4DCF-A1AE-3D5B4CCFC280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13" name="$E$126">
            <a:extLst>
              <a:ext uri="{FF2B5EF4-FFF2-40B4-BE49-F238E27FC236}">
                <a16:creationId xmlns:a16="http://schemas.microsoft.com/office/drawing/2014/main" id="{2E2A4671-F7D7-4162-B65D-A03B8ADE53CE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14" name="$E$126">
            <a:extLst>
              <a:ext uri="{FF2B5EF4-FFF2-40B4-BE49-F238E27FC236}">
                <a16:creationId xmlns:a16="http://schemas.microsoft.com/office/drawing/2014/main" id="{33276A20-B73A-433F-87CA-BAC80DCD8A4B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15" name="$E$126">
            <a:extLst>
              <a:ext uri="{FF2B5EF4-FFF2-40B4-BE49-F238E27FC236}">
                <a16:creationId xmlns:a16="http://schemas.microsoft.com/office/drawing/2014/main" id="{9A1B96E9-E967-4154-89F7-E96457CBB4C8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16" name="$E$126">
            <a:extLst>
              <a:ext uri="{FF2B5EF4-FFF2-40B4-BE49-F238E27FC236}">
                <a16:creationId xmlns:a16="http://schemas.microsoft.com/office/drawing/2014/main" id="{2B9AD15E-41DC-4613-9DE2-D949F397E59C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17" name="$E$126">
            <a:extLst>
              <a:ext uri="{FF2B5EF4-FFF2-40B4-BE49-F238E27FC236}">
                <a16:creationId xmlns:a16="http://schemas.microsoft.com/office/drawing/2014/main" id="{2669B22A-3C0B-454B-948A-2E6C1386A450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18" name="$E$126">
            <a:extLst>
              <a:ext uri="{FF2B5EF4-FFF2-40B4-BE49-F238E27FC236}">
                <a16:creationId xmlns:a16="http://schemas.microsoft.com/office/drawing/2014/main" id="{5C9ACBB3-B15F-4D05-A121-B742EBE9DC75}"/>
              </a:ext>
            </a:extLst>
          </xdr:cNvPr>
          <xdr:cNvSpPr/>
        </xdr:nvSpPr>
        <xdr:spPr>
          <a:xfrm>
            <a:off x="114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19" name="$E$126">
            <a:extLst>
              <a:ext uri="{FF2B5EF4-FFF2-40B4-BE49-F238E27FC236}">
                <a16:creationId xmlns:a16="http://schemas.microsoft.com/office/drawing/2014/main" id="{23EC5C62-93D7-475F-A7BA-47D522EB2514}"/>
              </a:ext>
            </a:extLst>
          </xdr:cNvPr>
          <xdr:cNvSpPr/>
        </xdr:nvSpPr>
        <xdr:spPr>
          <a:xfrm>
            <a:off x="127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20" name="$E$126">
            <a:extLst>
              <a:ext uri="{FF2B5EF4-FFF2-40B4-BE49-F238E27FC236}">
                <a16:creationId xmlns:a16="http://schemas.microsoft.com/office/drawing/2014/main" id="{6B6CFFC4-205E-4D1E-919D-1462E5C50D99}"/>
              </a:ext>
            </a:extLst>
          </xdr:cNvPr>
          <xdr:cNvSpPr/>
        </xdr:nvSpPr>
        <xdr:spPr>
          <a:xfrm>
            <a:off x="139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21" name="$E$126">
            <a:extLst>
              <a:ext uri="{FF2B5EF4-FFF2-40B4-BE49-F238E27FC236}">
                <a16:creationId xmlns:a16="http://schemas.microsoft.com/office/drawing/2014/main" id="{138BFDCC-9408-498B-9CD3-C533B5AFF73C}"/>
              </a:ext>
            </a:extLst>
          </xdr:cNvPr>
          <xdr:cNvSpPr/>
        </xdr:nvSpPr>
        <xdr:spPr>
          <a:xfrm>
            <a:off x="152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22" name="$E$126">
            <a:extLst>
              <a:ext uri="{FF2B5EF4-FFF2-40B4-BE49-F238E27FC236}">
                <a16:creationId xmlns:a16="http://schemas.microsoft.com/office/drawing/2014/main" id="{9BDCC8D6-5BF1-4B7C-AB5A-B602B9ACBC01}"/>
              </a:ext>
            </a:extLst>
          </xdr:cNvPr>
          <xdr:cNvSpPr/>
        </xdr:nvSpPr>
        <xdr:spPr>
          <a:xfrm>
            <a:off x="177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23" name="$E$126">
            <a:extLst>
              <a:ext uri="{FF2B5EF4-FFF2-40B4-BE49-F238E27FC236}">
                <a16:creationId xmlns:a16="http://schemas.microsoft.com/office/drawing/2014/main" id="{856065B5-6490-4571-8BE6-FCB19BB3E4C3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24" name="$E$126">
            <a:extLst>
              <a:ext uri="{FF2B5EF4-FFF2-40B4-BE49-F238E27FC236}">
                <a16:creationId xmlns:a16="http://schemas.microsoft.com/office/drawing/2014/main" id="{A3D33DAC-34C0-438A-8B77-30B293CDB25F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25" name="$E$126">
            <a:extLst>
              <a:ext uri="{FF2B5EF4-FFF2-40B4-BE49-F238E27FC236}">
                <a16:creationId xmlns:a16="http://schemas.microsoft.com/office/drawing/2014/main" id="{9861AC05-A02E-420A-96AA-8DED732D197B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26" name="$E$126">
            <a:extLst>
              <a:ext uri="{FF2B5EF4-FFF2-40B4-BE49-F238E27FC236}">
                <a16:creationId xmlns:a16="http://schemas.microsoft.com/office/drawing/2014/main" id="{90DBD7CA-4697-406B-BCF3-5DC7776F2133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27" name="$E$126">
            <a:extLst>
              <a:ext uri="{FF2B5EF4-FFF2-40B4-BE49-F238E27FC236}">
                <a16:creationId xmlns:a16="http://schemas.microsoft.com/office/drawing/2014/main" id="{79324CB1-7335-4DBF-AE00-62D96DE76801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28" name="$E$126">
            <a:extLst>
              <a:ext uri="{FF2B5EF4-FFF2-40B4-BE49-F238E27FC236}">
                <a16:creationId xmlns:a16="http://schemas.microsoft.com/office/drawing/2014/main" id="{5BE6A37A-7EE7-4617-97A8-D3C3F8D50746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29" name="$E$126">
            <a:extLst>
              <a:ext uri="{FF2B5EF4-FFF2-40B4-BE49-F238E27FC236}">
                <a16:creationId xmlns:a16="http://schemas.microsoft.com/office/drawing/2014/main" id="{4E1DE19E-68C9-4907-8F0F-2EE326ECB4F7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30" name="$E$126">
            <a:extLst>
              <a:ext uri="{FF2B5EF4-FFF2-40B4-BE49-F238E27FC236}">
                <a16:creationId xmlns:a16="http://schemas.microsoft.com/office/drawing/2014/main" id="{2FDDBDC9-39CB-4597-868C-6BA4FB6D896A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31" name="$E$126">
            <a:extLst>
              <a:ext uri="{FF2B5EF4-FFF2-40B4-BE49-F238E27FC236}">
                <a16:creationId xmlns:a16="http://schemas.microsoft.com/office/drawing/2014/main" id="{3C16A40D-72BE-429E-B8B1-E28D01303E1E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32" name="$E$126">
            <a:extLst>
              <a:ext uri="{FF2B5EF4-FFF2-40B4-BE49-F238E27FC236}">
                <a16:creationId xmlns:a16="http://schemas.microsoft.com/office/drawing/2014/main" id="{32748F16-8799-44DB-8370-05D77C8DF272}"/>
              </a:ext>
            </a:extLst>
          </xdr:cNvPr>
          <xdr:cNvSpPr/>
        </xdr:nvSpPr>
        <xdr:spPr>
          <a:xfrm>
            <a:off x="381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33" name="$E$126">
            <a:extLst>
              <a:ext uri="{FF2B5EF4-FFF2-40B4-BE49-F238E27FC236}">
                <a16:creationId xmlns:a16="http://schemas.microsoft.com/office/drawing/2014/main" id="{69357AFE-11D2-45B4-AD5E-514B5C298066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34" name="$E$126">
            <a:extLst>
              <a:ext uri="{FF2B5EF4-FFF2-40B4-BE49-F238E27FC236}">
                <a16:creationId xmlns:a16="http://schemas.microsoft.com/office/drawing/2014/main" id="{BCAFF433-B986-4E28-A766-9672DA432157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35" name="$E$126">
            <a:extLst>
              <a:ext uri="{FF2B5EF4-FFF2-40B4-BE49-F238E27FC236}">
                <a16:creationId xmlns:a16="http://schemas.microsoft.com/office/drawing/2014/main" id="{70C6AA21-BDC3-41E8-A0E3-1E23CC4590E0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36" name="$E$126">
            <a:extLst>
              <a:ext uri="{FF2B5EF4-FFF2-40B4-BE49-F238E27FC236}">
                <a16:creationId xmlns:a16="http://schemas.microsoft.com/office/drawing/2014/main" id="{A7BE9C23-965A-4DA7-8CF1-ECC9E8C5BE39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37" name="$E$126">
            <a:extLst>
              <a:ext uri="{FF2B5EF4-FFF2-40B4-BE49-F238E27FC236}">
                <a16:creationId xmlns:a16="http://schemas.microsoft.com/office/drawing/2014/main" id="{F753ACC4-A36B-4F9D-A2FB-65BBD21A6873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38" name="$E$126">
            <a:extLst>
              <a:ext uri="{FF2B5EF4-FFF2-40B4-BE49-F238E27FC236}">
                <a16:creationId xmlns:a16="http://schemas.microsoft.com/office/drawing/2014/main" id="{A12851D6-C27F-42D3-939A-9A9FD98400B2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39" name="$E$126">
            <a:extLst>
              <a:ext uri="{FF2B5EF4-FFF2-40B4-BE49-F238E27FC236}">
                <a16:creationId xmlns:a16="http://schemas.microsoft.com/office/drawing/2014/main" id="{73D0452B-73B3-4D22-93A5-C51BD688E77A}"/>
              </a:ext>
            </a:extLst>
          </xdr:cNvPr>
          <xdr:cNvSpPr/>
        </xdr:nvSpPr>
        <xdr:spPr>
          <a:xfrm>
            <a:off x="127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40" name="$E$126">
            <a:extLst>
              <a:ext uri="{FF2B5EF4-FFF2-40B4-BE49-F238E27FC236}">
                <a16:creationId xmlns:a16="http://schemas.microsoft.com/office/drawing/2014/main" id="{B97286CB-3D28-42D7-B085-3429F5A3A9CB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41" name="$E$126">
            <a:extLst>
              <a:ext uri="{FF2B5EF4-FFF2-40B4-BE49-F238E27FC236}">
                <a16:creationId xmlns:a16="http://schemas.microsoft.com/office/drawing/2014/main" id="{D22198B0-7B4E-44DE-BDE8-CA79EDF085DE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42" name="$E$126">
            <a:extLst>
              <a:ext uri="{FF2B5EF4-FFF2-40B4-BE49-F238E27FC236}">
                <a16:creationId xmlns:a16="http://schemas.microsoft.com/office/drawing/2014/main" id="{7620B01A-F615-423E-875C-1976BD039882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43" name="$E$126">
            <a:extLst>
              <a:ext uri="{FF2B5EF4-FFF2-40B4-BE49-F238E27FC236}">
                <a16:creationId xmlns:a16="http://schemas.microsoft.com/office/drawing/2014/main" id="{5F3C7464-82E9-4D45-B653-7DF8685B25E4}"/>
              </a:ext>
            </a:extLst>
          </xdr:cNvPr>
          <xdr:cNvSpPr/>
        </xdr:nvSpPr>
        <xdr:spPr>
          <a:xfrm>
            <a:off x="228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44" name="$E$126">
            <a:extLst>
              <a:ext uri="{FF2B5EF4-FFF2-40B4-BE49-F238E27FC236}">
                <a16:creationId xmlns:a16="http://schemas.microsoft.com/office/drawing/2014/main" id="{06BB990D-BB83-46E6-9DD1-F8934FD84714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45" name="$E$126">
            <a:extLst>
              <a:ext uri="{FF2B5EF4-FFF2-40B4-BE49-F238E27FC236}">
                <a16:creationId xmlns:a16="http://schemas.microsoft.com/office/drawing/2014/main" id="{D75D6F46-EB2B-4C78-9DCE-13ECBEB48831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46" name="$E$126">
            <a:extLst>
              <a:ext uri="{FF2B5EF4-FFF2-40B4-BE49-F238E27FC236}">
                <a16:creationId xmlns:a16="http://schemas.microsoft.com/office/drawing/2014/main" id="{1C1B37C7-4E80-4D55-BA55-BB0109DE604C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47" name="$E$126">
            <a:extLst>
              <a:ext uri="{FF2B5EF4-FFF2-40B4-BE49-F238E27FC236}">
                <a16:creationId xmlns:a16="http://schemas.microsoft.com/office/drawing/2014/main" id="{DDA58E9B-75ED-4EED-AEC3-8A71956CF4B9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48" name="$E$126">
            <a:extLst>
              <a:ext uri="{FF2B5EF4-FFF2-40B4-BE49-F238E27FC236}">
                <a16:creationId xmlns:a16="http://schemas.microsoft.com/office/drawing/2014/main" id="{72AA2BF5-9CD7-44C3-A026-F86C952307EE}"/>
              </a:ext>
            </a:extLst>
          </xdr:cNvPr>
          <xdr:cNvSpPr/>
        </xdr:nvSpPr>
        <xdr:spPr>
          <a:xfrm>
            <a:off x="368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49" name="$E$126">
            <a:extLst>
              <a:ext uri="{FF2B5EF4-FFF2-40B4-BE49-F238E27FC236}">
                <a16:creationId xmlns:a16="http://schemas.microsoft.com/office/drawing/2014/main" id="{DFF0B084-2D16-4D60-91F7-89BAD2F2BCA0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50" name="$E$126">
            <a:extLst>
              <a:ext uri="{FF2B5EF4-FFF2-40B4-BE49-F238E27FC236}">
                <a16:creationId xmlns:a16="http://schemas.microsoft.com/office/drawing/2014/main" id="{3FD19B3E-54C0-42F4-9435-24F4C4A52FD2}"/>
              </a:ext>
            </a:extLst>
          </xdr:cNvPr>
          <xdr:cNvSpPr/>
        </xdr:nvSpPr>
        <xdr:spPr>
          <a:xfrm>
            <a:off x="393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51" name="$E$126">
            <a:extLst>
              <a:ext uri="{FF2B5EF4-FFF2-40B4-BE49-F238E27FC236}">
                <a16:creationId xmlns:a16="http://schemas.microsoft.com/office/drawing/2014/main" id="{7F169090-EE84-48B3-80BD-2F7A5D6D9C68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52" name="$E$126">
            <a:extLst>
              <a:ext uri="{FF2B5EF4-FFF2-40B4-BE49-F238E27FC236}">
                <a16:creationId xmlns:a16="http://schemas.microsoft.com/office/drawing/2014/main" id="{5C747E8E-3951-46F4-A4E2-35FB0F03A0FB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53" name="$E$126">
            <a:extLst>
              <a:ext uri="{FF2B5EF4-FFF2-40B4-BE49-F238E27FC236}">
                <a16:creationId xmlns:a16="http://schemas.microsoft.com/office/drawing/2014/main" id="{71D4B68A-DCB8-4D46-B8D9-20D9C11D489A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54" name="$E$126">
            <a:extLst>
              <a:ext uri="{FF2B5EF4-FFF2-40B4-BE49-F238E27FC236}">
                <a16:creationId xmlns:a16="http://schemas.microsoft.com/office/drawing/2014/main" id="{BDCDA036-5EF1-4693-8C92-1F1E8869912A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55" name="$E$126">
            <a:extLst>
              <a:ext uri="{FF2B5EF4-FFF2-40B4-BE49-F238E27FC236}">
                <a16:creationId xmlns:a16="http://schemas.microsoft.com/office/drawing/2014/main" id="{AC3196D1-A3CB-4F16-8106-9FBFB2C1F3FB}"/>
              </a:ext>
            </a:extLst>
          </xdr:cNvPr>
          <xdr:cNvSpPr/>
        </xdr:nvSpPr>
        <xdr:spPr>
          <a:xfrm>
            <a:off x="152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56" name="$E$126">
            <a:extLst>
              <a:ext uri="{FF2B5EF4-FFF2-40B4-BE49-F238E27FC236}">
                <a16:creationId xmlns:a16="http://schemas.microsoft.com/office/drawing/2014/main" id="{D4D7D77B-A0B7-44C4-848A-BC47AB4E7E7F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57" name="$E$126">
            <a:extLst>
              <a:ext uri="{FF2B5EF4-FFF2-40B4-BE49-F238E27FC236}">
                <a16:creationId xmlns:a16="http://schemas.microsoft.com/office/drawing/2014/main" id="{DD98950A-AE87-4B85-BE1D-BC571583FDE4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58" name="$E$126">
            <a:extLst>
              <a:ext uri="{FF2B5EF4-FFF2-40B4-BE49-F238E27FC236}">
                <a16:creationId xmlns:a16="http://schemas.microsoft.com/office/drawing/2014/main" id="{95949DB4-4FF3-4FF4-9133-F89C3210C083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59" name="$E$126">
            <a:extLst>
              <a:ext uri="{FF2B5EF4-FFF2-40B4-BE49-F238E27FC236}">
                <a16:creationId xmlns:a16="http://schemas.microsoft.com/office/drawing/2014/main" id="{01395C5A-DE6A-4E30-A07F-98A88644DDDE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60" name="$E$126">
            <a:extLst>
              <a:ext uri="{FF2B5EF4-FFF2-40B4-BE49-F238E27FC236}">
                <a16:creationId xmlns:a16="http://schemas.microsoft.com/office/drawing/2014/main" id="{4B19FEC8-3F52-4BA5-9352-CEAF72566827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61" name="$E$126">
            <a:extLst>
              <a:ext uri="{FF2B5EF4-FFF2-40B4-BE49-F238E27FC236}">
                <a16:creationId xmlns:a16="http://schemas.microsoft.com/office/drawing/2014/main" id="{1D1CCC35-9A22-45FA-A8CD-DED8C00410C6}"/>
              </a:ext>
            </a:extLst>
          </xdr:cNvPr>
          <xdr:cNvSpPr/>
        </xdr:nvSpPr>
        <xdr:spPr>
          <a:xfrm>
            <a:off x="368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62" name="$E$126">
            <a:extLst>
              <a:ext uri="{FF2B5EF4-FFF2-40B4-BE49-F238E27FC236}">
                <a16:creationId xmlns:a16="http://schemas.microsoft.com/office/drawing/2014/main" id="{F1D52335-8734-4B84-BDF5-43E33FC017DB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63" name="$E$126">
            <a:extLst>
              <a:ext uri="{FF2B5EF4-FFF2-40B4-BE49-F238E27FC236}">
                <a16:creationId xmlns:a16="http://schemas.microsoft.com/office/drawing/2014/main" id="{42EE05C4-F4B5-4A5A-A1CA-D1DD7F3F36D5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64" name="$E$126">
            <a:extLst>
              <a:ext uri="{FF2B5EF4-FFF2-40B4-BE49-F238E27FC236}">
                <a16:creationId xmlns:a16="http://schemas.microsoft.com/office/drawing/2014/main" id="{B5E5A4B6-9969-4262-A787-1D1AD24CF609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65" name="$E$126">
            <a:extLst>
              <a:ext uri="{FF2B5EF4-FFF2-40B4-BE49-F238E27FC236}">
                <a16:creationId xmlns:a16="http://schemas.microsoft.com/office/drawing/2014/main" id="{2619EA10-E2D5-4BCF-B917-764F8AE5DA11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66" name="$E$126">
            <a:extLst>
              <a:ext uri="{FF2B5EF4-FFF2-40B4-BE49-F238E27FC236}">
                <a16:creationId xmlns:a16="http://schemas.microsoft.com/office/drawing/2014/main" id="{C4FBFB5A-75B2-4B98-9A35-81E11CC184A2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67" name="$E$126">
            <a:extLst>
              <a:ext uri="{FF2B5EF4-FFF2-40B4-BE49-F238E27FC236}">
                <a16:creationId xmlns:a16="http://schemas.microsoft.com/office/drawing/2014/main" id="{1FF0B76A-95E0-4D52-944C-B805C24F02AE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68" name="$E$126">
            <a:extLst>
              <a:ext uri="{FF2B5EF4-FFF2-40B4-BE49-F238E27FC236}">
                <a16:creationId xmlns:a16="http://schemas.microsoft.com/office/drawing/2014/main" id="{0C44B075-7D64-4187-A484-89F226A347FC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69" name="$E$126">
            <a:extLst>
              <a:ext uri="{FF2B5EF4-FFF2-40B4-BE49-F238E27FC236}">
                <a16:creationId xmlns:a16="http://schemas.microsoft.com/office/drawing/2014/main" id="{126D0293-6597-4272-9792-BF408ADD462C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70" name="$E$126">
            <a:extLst>
              <a:ext uri="{FF2B5EF4-FFF2-40B4-BE49-F238E27FC236}">
                <a16:creationId xmlns:a16="http://schemas.microsoft.com/office/drawing/2014/main" id="{2C9487A9-B5DF-4C6E-8CDD-DBFDB1124FDB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71" name="$E$126">
            <a:extLst>
              <a:ext uri="{FF2B5EF4-FFF2-40B4-BE49-F238E27FC236}">
                <a16:creationId xmlns:a16="http://schemas.microsoft.com/office/drawing/2014/main" id="{638364C3-8699-48E6-A468-D799C1610D94}"/>
              </a:ext>
            </a:extLst>
          </xdr:cNvPr>
          <xdr:cNvSpPr/>
        </xdr:nvSpPr>
        <xdr:spPr>
          <a:xfrm>
            <a:off x="127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72" name="$E$126">
            <a:extLst>
              <a:ext uri="{FF2B5EF4-FFF2-40B4-BE49-F238E27FC236}">
                <a16:creationId xmlns:a16="http://schemas.microsoft.com/office/drawing/2014/main" id="{77925748-1EC1-42EE-853B-D6631DC48C50}"/>
              </a:ext>
            </a:extLst>
          </xdr:cNvPr>
          <xdr:cNvSpPr/>
        </xdr:nvSpPr>
        <xdr:spPr>
          <a:xfrm>
            <a:off x="165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73" name="$E$126">
            <a:extLst>
              <a:ext uri="{FF2B5EF4-FFF2-40B4-BE49-F238E27FC236}">
                <a16:creationId xmlns:a16="http://schemas.microsoft.com/office/drawing/2014/main" id="{163D1061-FFA1-4495-9884-9B00939D4AFA}"/>
              </a:ext>
            </a:extLst>
          </xdr:cNvPr>
          <xdr:cNvSpPr/>
        </xdr:nvSpPr>
        <xdr:spPr>
          <a:xfrm>
            <a:off x="190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74" name="$E$126">
            <a:extLst>
              <a:ext uri="{FF2B5EF4-FFF2-40B4-BE49-F238E27FC236}">
                <a16:creationId xmlns:a16="http://schemas.microsoft.com/office/drawing/2014/main" id="{3502C65B-61A3-496F-A55A-1D4DBF647AA8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75" name="$E$126">
            <a:extLst>
              <a:ext uri="{FF2B5EF4-FFF2-40B4-BE49-F238E27FC236}">
                <a16:creationId xmlns:a16="http://schemas.microsoft.com/office/drawing/2014/main" id="{31A22F07-F837-4090-A8DE-EE45291A46DA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76" name="$E$126">
            <a:extLst>
              <a:ext uri="{FF2B5EF4-FFF2-40B4-BE49-F238E27FC236}">
                <a16:creationId xmlns:a16="http://schemas.microsoft.com/office/drawing/2014/main" id="{81041D61-6361-4A92-BA6F-DABB67725E84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77" name="$E$126">
            <a:extLst>
              <a:ext uri="{FF2B5EF4-FFF2-40B4-BE49-F238E27FC236}">
                <a16:creationId xmlns:a16="http://schemas.microsoft.com/office/drawing/2014/main" id="{D95D679A-5FAB-4E62-93CB-CBC90818698B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78" name="$E$126">
            <a:extLst>
              <a:ext uri="{FF2B5EF4-FFF2-40B4-BE49-F238E27FC236}">
                <a16:creationId xmlns:a16="http://schemas.microsoft.com/office/drawing/2014/main" id="{7B8BF285-4EE0-4EA6-B1F1-63999CF28674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79" name="$E$126">
            <a:extLst>
              <a:ext uri="{FF2B5EF4-FFF2-40B4-BE49-F238E27FC236}">
                <a16:creationId xmlns:a16="http://schemas.microsoft.com/office/drawing/2014/main" id="{C53F4520-ECA9-4980-A7D2-FF29F7BA536E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80" name="$E$126">
            <a:extLst>
              <a:ext uri="{FF2B5EF4-FFF2-40B4-BE49-F238E27FC236}">
                <a16:creationId xmlns:a16="http://schemas.microsoft.com/office/drawing/2014/main" id="{A4FB9169-C00D-4B86-B322-30D5B9E92B24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5</xdr:col>
      <xdr:colOff>907869</xdr:colOff>
      <xdr:row>90</xdr:row>
      <xdr:rowOff>45858</xdr:rowOff>
    </xdr:from>
    <xdr:to>
      <xdr:col>5</xdr:col>
      <xdr:colOff>2368732</xdr:colOff>
      <xdr:row>90</xdr:row>
      <xdr:rowOff>1506721</xdr:rowOff>
    </xdr:to>
    <xdr:grpSp>
      <xdr:nvGrpSpPr>
        <xdr:cNvPr id="3074" name="$F$91" descr="QuickResponse barcode, level L, version 4, mode binary, 33x33 cells" title="https://centrodecapacitaciondelsur.com/violencia-sexual-87453231/">
          <a:extLst>
            <a:ext uri="{FF2B5EF4-FFF2-40B4-BE49-F238E27FC236}">
              <a16:creationId xmlns:a16="http://schemas.microsoft.com/office/drawing/2014/main" id="{47445F2D-C7D9-4B61-9FC8-83DB4251CFB0}"/>
            </a:ext>
          </a:extLst>
        </xdr:cNvPr>
        <xdr:cNvGrpSpPr>
          <a:grpSpLocks noChangeAspect="1"/>
        </xdr:cNvGrpSpPr>
      </xdr:nvGrpSpPr>
      <xdr:grpSpPr>
        <a:xfrm>
          <a:off x="23139219" y="89199858"/>
          <a:ext cx="1460863" cy="1460863"/>
          <a:chOff x="0" y="0"/>
          <a:chExt cx="419100" cy="419100"/>
        </a:xfrm>
      </xdr:grpSpPr>
      <xdr:sp macro="" textlink="">
        <xdr:nvSpPr>
          <xdr:cNvPr id="2529" name="$F$91">
            <a:extLst>
              <a:ext uri="{FF2B5EF4-FFF2-40B4-BE49-F238E27FC236}">
                <a16:creationId xmlns:a16="http://schemas.microsoft.com/office/drawing/2014/main" id="{3ECF7B67-3F01-46E8-B7BA-15CD68E7D9CD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0" name="$F$91">
            <a:extLst>
              <a:ext uri="{FF2B5EF4-FFF2-40B4-BE49-F238E27FC236}">
                <a16:creationId xmlns:a16="http://schemas.microsoft.com/office/drawing/2014/main" id="{D5AE4013-3402-4CE1-A8F7-13689C333D8A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1" name="$F$91">
            <a:extLst>
              <a:ext uri="{FF2B5EF4-FFF2-40B4-BE49-F238E27FC236}">
                <a16:creationId xmlns:a16="http://schemas.microsoft.com/office/drawing/2014/main" id="{94A9AC0A-F098-4CF5-90FB-03387C258DC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2" name="$F$91">
            <a:extLst>
              <a:ext uri="{FF2B5EF4-FFF2-40B4-BE49-F238E27FC236}">
                <a16:creationId xmlns:a16="http://schemas.microsoft.com/office/drawing/2014/main" id="{4F5C3AA1-1C58-40C3-AF39-CA698486F908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3" name="$F$91">
            <a:extLst>
              <a:ext uri="{FF2B5EF4-FFF2-40B4-BE49-F238E27FC236}">
                <a16:creationId xmlns:a16="http://schemas.microsoft.com/office/drawing/2014/main" id="{A42D1933-6884-456E-976F-DBBEE388E887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4" name="$F$91">
            <a:extLst>
              <a:ext uri="{FF2B5EF4-FFF2-40B4-BE49-F238E27FC236}">
                <a16:creationId xmlns:a16="http://schemas.microsoft.com/office/drawing/2014/main" id="{F7C255D9-6F22-43EB-9EED-58B13113AB16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5" name="$F$91">
            <a:extLst>
              <a:ext uri="{FF2B5EF4-FFF2-40B4-BE49-F238E27FC236}">
                <a16:creationId xmlns:a16="http://schemas.microsoft.com/office/drawing/2014/main" id="{6509D86F-AEE8-4A80-A97A-E37717EEDEE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6" name="$F$91">
            <a:extLst>
              <a:ext uri="{FF2B5EF4-FFF2-40B4-BE49-F238E27FC236}">
                <a16:creationId xmlns:a16="http://schemas.microsoft.com/office/drawing/2014/main" id="{55F52B85-505C-450A-8171-2A0FAAF7E86C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7" name="$F$91">
            <a:extLst>
              <a:ext uri="{FF2B5EF4-FFF2-40B4-BE49-F238E27FC236}">
                <a16:creationId xmlns:a16="http://schemas.microsoft.com/office/drawing/2014/main" id="{96EDC541-8F21-436F-A784-242BE358B415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8" name="$F$91">
            <a:extLst>
              <a:ext uri="{FF2B5EF4-FFF2-40B4-BE49-F238E27FC236}">
                <a16:creationId xmlns:a16="http://schemas.microsoft.com/office/drawing/2014/main" id="{814D2C84-F27B-44E7-B864-B9B4E0F8E13D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39" name="$F$91">
            <a:extLst>
              <a:ext uri="{FF2B5EF4-FFF2-40B4-BE49-F238E27FC236}">
                <a16:creationId xmlns:a16="http://schemas.microsoft.com/office/drawing/2014/main" id="{C4092F10-234C-4A98-8335-58EDFA72AD28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0" name="$F$91">
            <a:extLst>
              <a:ext uri="{FF2B5EF4-FFF2-40B4-BE49-F238E27FC236}">
                <a16:creationId xmlns:a16="http://schemas.microsoft.com/office/drawing/2014/main" id="{9958A4B4-AE86-4A3D-A08A-4E1CD26455F5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1" name="$F$91">
            <a:extLst>
              <a:ext uri="{FF2B5EF4-FFF2-40B4-BE49-F238E27FC236}">
                <a16:creationId xmlns:a16="http://schemas.microsoft.com/office/drawing/2014/main" id="{D69E1223-F90A-474D-87CB-B17DFD58BE37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2" name="$F$91">
            <a:extLst>
              <a:ext uri="{FF2B5EF4-FFF2-40B4-BE49-F238E27FC236}">
                <a16:creationId xmlns:a16="http://schemas.microsoft.com/office/drawing/2014/main" id="{CDBF6BD5-D7E6-4B87-AA29-5C0B763EECC3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3" name="$F$91">
            <a:extLst>
              <a:ext uri="{FF2B5EF4-FFF2-40B4-BE49-F238E27FC236}">
                <a16:creationId xmlns:a16="http://schemas.microsoft.com/office/drawing/2014/main" id="{25AFD798-F0A0-4711-9C4F-CE8D12B9212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4" name="$F$91">
            <a:extLst>
              <a:ext uri="{FF2B5EF4-FFF2-40B4-BE49-F238E27FC236}">
                <a16:creationId xmlns:a16="http://schemas.microsoft.com/office/drawing/2014/main" id="{9186BBC7-7A7D-4C20-86F2-90ABAC4EC6FE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5" name="$F$91">
            <a:extLst>
              <a:ext uri="{FF2B5EF4-FFF2-40B4-BE49-F238E27FC236}">
                <a16:creationId xmlns:a16="http://schemas.microsoft.com/office/drawing/2014/main" id="{E0CE667E-B5D2-4CA3-A022-04ED90FD844D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6" name="$F$91">
            <a:extLst>
              <a:ext uri="{FF2B5EF4-FFF2-40B4-BE49-F238E27FC236}">
                <a16:creationId xmlns:a16="http://schemas.microsoft.com/office/drawing/2014/main" id="{54F5F600-E5D7-4F53-A395-6546612D67DA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7" name="$F$91">
            <a:extLst>
              <a:ext uri="{FF2B5EF4-FFF2-40B4-BE49-F238E27FC236}">
                <a16:creationId xmlns:a16="http://schemas.microsoft.com/office/drawing/2014/main" id="{7625D8D2-6DA1-45D8-86DB-E0261B08B5CC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8" name="$F$91">
            <a:extLst>
              <a:ext uri="{FF2B5EF4-FFF2-40B4-BE49-F238E27FC236}">
                <a16:creationId xmlns:a16="http://schemas.microsoft.com/office/drawing/2014/main" id="{95DA5F40-9D68-4D0F-BDDC-BB6EB1ABA1DE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49" name="$F$91">
            <a:extLst>
              <a:ext uri="{FF2B5EF4-FFF2-40B4-BE49-F238E27FC236}">
                <a16:creationId xmlns:a16="http://schemas.microsoft.com/office/drawing/2014/main" id="{8E735C1C-5F49-4632-B927-7FC948FD6E2C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0" name="$F$91">
            <a:extLst>
              <a:ext uri="{FF2B5EF4-FFF2-40B4-BE49-F238E27FC236}">
                <a16:creationId xmlns:a16="http://schemas.microsoft.com/office/drawing/2014/main" id="{8A4C1893-BC5C-446C-A384-D3352EA28DA5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1" name="$F$91">
            <a:extLst>
              <a:ext uri="{FF2B5EF4-FFF2-40B4-BE49-F238E27FC236}">
                <a16:creationId xmlns:a16="http://schemas.microsoft.com/office/drawing/2014/main" id="{2D1B787D-F42C-49AF-A539-D96E30CCEDCA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2" name="$F$91">
            <a:extLst>
              <a:ext uri="{FF2B5EF4-FFF2-40B4-BE49-F238E27FC236}">
                <a16:creationId xmlns:a16="http://schemas.microsoft.com/office/drawing/2014/main" id="{2F4CAFCE-4D74-475F-84B9-1CC300D8A30D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3" name="$F$91">
            <a:extLst>
              <a:ext uri="{FF2B5EF4-FFF2-40B4-BE49-F238E27FC236}">
                <a16:creationId xmlns:a16="http://schemas.microsoft.com/office/drawing/2014/main" id="{45678CAD-E3D3-460A-BF10-1BC0725902C9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4" name="$F$91">
            <a:extLst>
              <a:ext uri="{FF2B5EF4-FFF2-40B4-BE49-F238E27FC236}">
                <a16:creationId xmlns:a16="http://schemas.microsoft.com/office/drawing/2014/main" id="{939F5C8E-7886-4BF7-8C1A-80C1EE3DCF40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5" name="$F$91">
            <a:extLst>
              <a:ext uri="{FF2B5EF4-FFF2-40B4-BE49-F238E27FC236}">
                <a16:creationId xmlns:a16="http://schemas.microsoft.com/office/drawing/2014/main" id="{84ACFAD0-7296-4E34-8843-1D5178F536C7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6" name="$F$91">
            <a:extLst>
              <a:ext uri="{FF2B5EF4-FFF2-40B4-BE49-F238E27FC236}">
                <a16:creationId xmlns:a16="http://schemas.microsoft.com/office/drawing/2014/main" id="{3D0E2383-A727-4D78-A2DC-A5C34C793D63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7" name="$F$91">
            <a:extLst>
              <a:ext uri="{FF2B5EF4-FFF2-40B4-BE49-F238E27FC236}">
                <a16:creationId xmlns:a16="http://schemas.microsoft.com/office/drawing/2014/main" id="{E7B2D0DB-AC17-4B67-AF93-0FA4960D18EC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8" name="$F$91">
            <a:extLst>
              <a:ext uri="{FF2B5EF4-FFF2-40B4-BE49-F238E27FC236}">
                <a16:creationId xmlns:a16="http://schemas.microsoft.com/office/drawing/2014/main" id="{B47B6AB2-A72C-4630-B1AF-9A2721D35179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59" name="$F$91">
            <a:extLst>
              <a:ext uri="{FF2B5EF4-FFF2-40B4-BE49-F238E27FC236}">
                <a16:creationId xmlns:a16="http://schemas.microsoft.com/office/drawing/2014/main" id="{980509CF-F616-447C-9940-C54FB352945D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0" name="$F$91">
            <a:extLst>
              <a:ext uri="{FF2B5EF4-FFF2-40B4-BE49-F238E27FC236}">
                <a16:creationId xmlns:a16="http://schemas.microsoft.com/office/drawing/2014/main" id="{5DBDEB65-7FDF-4778-B286-65131ABE4261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1" name="$F$91">
            <a:extLst>
              <a:ext uri="{FF2B5EF4-FFF2-40B4-BE49-F238E27FC236}">
                <a16:creationId xmlns:a16="http://schemas.microsoft.com/office/drawing/2014/main" id="{6CCA7F65-0138-448C-8CF4-2E820F5E9B2B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2" name="$F$91">
            <a:extLst>
              <a:ext uri="{FF2B5EF4-FFF2-40B4-BE49-F238E27FC236}">
                <a16:creationId xmlns:a16="http://schemas.microsoft.com/office/drawing/2014/main" id="{56E12AFF-7561-4E84-90CA-3468E27FEDD3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3" name="$F$91">
            <a:extLst>
              <a:ext uri="{FF2B5EF4-FFF2-40B4-BE49-F238E27FC236}">
                <a16:creationId xmlns:a16="http://schemas.microsoft.com/office/drawing/2014/main" id="{14E2CA09-DE6F-4C87-A8C7-C7795F37BA4D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4" name="$F$91">
            <a:extLst>
              <a:ext uri="{FF2B5EF4-FFF2-40B4-BE49-F238E27FC236}">
                <a16:creationId xmlns:a16="http://schemas.microsoft.com/office/drawing/2014/main" id="{EDB4CE01-CFE1-4CF4-BBBB-A3028F634A7A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5" name="$F$91">
            <a:extLst>
              <a:ext uri="{FF2B5EF4-FFF2-40B4-BE49-F238E27FC236}">
                <a16:creationId xmlns:a16="http://schemas.microsoft.com/office/drawing/2014/main" id="{762CAB07-7E65-462D-B0BD-E56485E8C10A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6" name="$F$91">
            <a:extLst>
              <a:ext uri="{FF2B5EF4-FFF2-40B4-BE49-F238E27FC236}">
                <a16:creationId xmlns:a16="http://schemas.microsoft.com/office/drawing/2014/main" id="{1EB5F642-2565-443E-AC72-DD826B598DCB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7" name="$F$91">
            <a:extLst>
              <a:ext uri="{FF2B5EF4-FFF2-40B4-BE49-F238E27FC236}">
                <a16:creationId xmlns:a16="http://schemas.microsoft.com/office/drawing/2014/main" id="{8C275045-4069-4DDA-83CE-28B1F53EDFD2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8" name="$F$91">
            <a:extLst>
              <a:ext uri="{FF2B5EF4-FFF2-40B4-BE49-F238E27FC236}">
                <a16:creationId xmlns:a16="http://schemas.microsoft.com/office/drawing/2014/main" id="{4050091A-EE30-4875-8B6D-5B991CDB1E3E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69" name="$F$91">
            <a:extLst>
              <a:ext uri="{FF2B5EF4-FFF2-40B4-BE49-F238E27FC236}">
                <a16:creationId xmlns:a16="http://schemas.microsoft.com/office/drawing/2014/main" id="{9BDDA3F2-231E-43C8-AA2F-4A7CE5C356CF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0" name="$F$91">
            <a:extLst>
              <a:ext uri="{FF2B5EF4-FFF2-40B4-BE49-F238E27FC236}">
                <a16:creationId xmlns:a16="http://schemas.microsoft.com/office/drawing/2014/main" id="{D55AB61D-5DFD-4E8C-A764-16869D7628D3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1" name="$F$91">
            <a:extLst>
              <a:ext uri="{FF2B5EF4-FFF2-40B4-BE49-F238E27FC236}">
                <a16:creationId xmlns:a16="http://schemas.microsoft.com/office/drawing/2014/main" id="{AADEFFC8-D16A-489F-918D-57CDDC080393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2" name="$F$91">
            <a:extLst>
              <a:ext uri="{FF2B5EF4-FFF2-40B4-BE49-F238E27FC236}">
                <a16:creationId xmlns:a16="http://schemas.microsoft.com/office/drawing/2014/main" id="{904A2CC5-8DA6-4F76-97BA-18EE22F1D927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3" name="$F$91">
            <a:extLst>
              <a:ext uri="{FF2B5EF4-FFF2-40B4-BE49-F238E27FC236}">
                <a16:creationId xmlns:a16="http://schemas.microsoft.com/office/drawing/2014/main" id="{C4521082-4E23-4D69-913A-4940F6D444F9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4" name="$F$91">
            <a:extLst>
              <a:ext uri="{FF2B5EF4-FFF2-40B4-BE49-F238E27FC236}">
                <a16:creationId xmlns:a16="http://schemas.microsoft.com/office/drawing/2014/main" id="{DD771DD8-6567-465D-80DB-25AC18100847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5" name="$F$91">
            <a:extLst>
              <a:ext uri="{FF2B5EF4-FFF2-40B4-BE49-F238E27FC236}">
                <a16:creationId xmlns:a16="http://schemas.microsoft.com/office/drawing/2014/main" id="{A9A69E1A-B003-4EDF-9947-C90B0643E6E0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6" name="$F$91">
            <a:extLst>
              <a:ext uri="{FF2B5EF4-FFF2-40B4-BE49-F238E27FC236}">
                <a16:creationId xmlns:a16="http://schemas.microsoft.com/office/drawing/2014/main" id="{08F9C55A-B5CE-47B3-9B81-409E9CF33EB1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7" name="$F$91">
            <a:extLst>
              <a:ext uri="{FF2B5EF4-FFF2-40B4-BE49-F238E27FC236}">
                <a16:creationId xmlns:a16="http://schemas.microsoft.com/office/drawing/2014/main" id="{952F47F7-1715-4311-87F5-03C33AE433CE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8" name="$F$91">
            <a:extLst>
              <a:ext uri="{FF2B5EF4-FFF2-40B4-BE49-F238E27FC236}">
                <a16:creationId xmlns:a16="http://schemas.microsoft.com/office/drawing/2014/main" id="{D9DA8FC7-3783-4692-A25E-6AEED13C9D7D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79" name="$F$91">
            <a:extLst>
              <a:ext uri="{FF2B5EF4-FFF2-40B4-BE49-F238E27FC236}">
                <a16:creationId xmlns:a16="http://schemas.microsoft.com/office/drawing/2014/main" id="{8B1AA6AC-35C6-41D5-9DBD-4FB6DC375A4A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0" name="$F$91">
            <a:extLst>
              <a:ext uri="{FF2B5EF4-FFF2-40B4-BE49-F238E27FC236}">
                <a16:creationId xmlns:a16="http://schemas.microsoft.com/office/drawing/2014/main" id="{C083CACA-6102-4FDD-B351-004C8497EE6A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1" name="$F$91">
            <a:extLst>
              <a:ext uri="{FF2B5EF4-FFF2-40B4-BE49-F238E27FC236}">
                <a16:creationId xmlns:a16="http://schemas.microsoft.com/office/drawing/2014/main" id="{00024C01-2E95-4D5A-8A93-F54C7ED0364E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2" name="$F$91">
            <a:extLst>
              <a:ext uri="{FF2B5EF4-FFF2-40B4-BE49-F238E27FC236}">
                <a16:creationId xmlns:a16="http://schemas.microsoft.com/office/drawing/2014/main" id="{C106AB8B-7B22-449B-9CDE-585D71E8CE81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3" name="$F$91">
            <a:extLst>
              <a:ext uri="{FF2B5EF4-FFF2-40B4-BE49-F238E27FC236}">
                <a16:creationId xmlns:a16="http://schemas.microsoft.com/office/drawing/2014/main" id="{85592799-B409-4DB5-8B78-3D061E3D7727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4" name="$F$91">
            <a:extLst>
              <a:ext uri="{FF2B5EF4-FFF2-40B4-BE49-F238E27FC236}">
                <a16:creationId xmlns:a16="http://schemas.microsoft.com/office/drawing/2014/main" id="{E395F5FC-2ADB-491A-A1EC-6D0B8640E3FB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5" name="$F$91">
            <a:extLst>
              <a:ext uri="{FF2B5EF4-FFF2-40B4-BE49-F238E27FC236}">
                <a16:creationId xmlns:a16="http://schemas.microsoft.com/office/drawing/2014/main" id="{983828D0-9871-4A67-ADD4-D8EA937F66B9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6" name="$F$91">
            <a:extLst>
              <a:ext uri="{FF2B5EF4-FFF2-40B4-BE49-F238E27FC236}">
                <a16:creationId xmlns:a16="http://schemas.microsoft.com/office/drawing/2014/main" id="{CAA91E34-CCAB-47FB-82B7-0A5566FC4AF2}"/>
              </a:ext>
            </a:extLst>
          </xdr:cNvPr>
          <xdr:cNvSpPr/>
        </xdr:nvSpPr>
        <xdr:spPr>
          <a:xfrm>
            <a:off x="190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7" name="$F$91">
            <a:extLst>
              <a:ext uri="{FF2B5EF4-FFF2-40B4-BE49-F238E27FC236}">
                <a16:creationId xmlns:a16="http://schemas.microsoft.com/office/drawing/2014/main" id="{637BDC6D-FC89-403E-B538-FB6AD1B8B2B3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8" name="$F$91">
            <a:extLst>
              <a:ext uri="{FF2B5EF4-FFF2-40B4-BE49-F238E27FC236}">
                <a16:creationId xmlns:a16="http://schemas.microsoft.com/office/drawing/2014/main" id="{644E35CA-851D-4265-878A-8A2CE6E82F95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89" name="$F$91">
            <a:extLst>
              <a:ext uri="{FF2B5EF4-FFF2-40B4-BE49-F238E27FC236}">
                <a16:creationId xmlns:a16="http://schemas.microsoft.com/office/drawing/2014/main" id="{28DC4EDD-903B-4E38-91AA-826FE6719849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0" name="$F$91">
            <a:extLst>
              <a:ext uri="{FF2B5EF4-FFF2-40B4-BE49-F238E27FC236}">
                <a16:creationId xmlns:a16="http://schemas.microsoft.com/office/drawing/2014/main" id="{84222FA9-3FD3-4537-A1F8-89962644A2EA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1" name="$F$91">
            <a:extLst>
              <a:ext uri="{FF2B5EF4-FFF2-40B4-BE49-F238E27FC236}">
                <a16:creationId xmlns:a16="http://schemas.microsoft.com/office/drawing/2014/main" id="{533F9F64-50E7-402A-B2D3-BD442394D0AD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2" name="$F$91">
            <a:extLst>
              <a:ext uri="{FF2B5EF4-FFF2-40B4-BE49-F238E27FC236}">
                <a16:creationId xmlns:a16="http://schemas.microsoft.com/office/drawing/2014/main" id="{C73CECB2-7E64-4C18-B06F-2D0899E8840D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3" name="$F$91">
            <a:extLst>
              <a:ext uri="{FF2B5EF4-FFF2-40B4-BE49-F238E27FC236}">
                <a16:creationId xmlns:a16="http://schemas.microsoft.com/office/drawing/2014/main" id="{EC5FAD32-5A78-4CE2-9FE1-C51CD8BE60F6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4" name="$F$91">
            <a:extLst>
              <a:ext uri="{FF2B5EF4-FFF2-40B4-BE49-F238E27FC236}">
                <a16:creationId xmlns:a16="http://schemas.microsoft.com/office/drawing/2014/main" id="{B9FB2A77-E1FE-441A-9CAC-2BEB3513CAB9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5" name="$F$91">
            <a:extLst>
              <a:ext uri="{FF2B5EF4-FFF2-40B4-BE49-F238E27FC236}">
                <a16:creationId xmlns:a16="http://schemas.microsoft.com/office/drawing/2014/main" id="{78FA3DF8-D9B1-4196-82F9-C00C0736A7CC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6" name="$F$91">
            <a:extLst>
              <a:ext uri="{FF2B5EF4-FFF2-40B4-BE49-F238E27FC236}">
                <a16:creationId xmlns:a16="http://schemas.microsoft.com/office/drawing/2014/main" id="{BB749612-CADB-4232-BD25-D281D0C5190E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7" name="$F$91">
            <a:extLst>
              <a:ext uri="{FF2B5EF4-FFF2-40B4-BE49-F238E27FC236}">
                <a16:creationId xmlns:a16="http://schemas.microsoft.com/office/drawing/2014/main" id="{5A3C801B-E1BF-4E45-B04C-CB5BE22FE844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8" name="$F$91">
            <a:extLst>
              <a:ext uri="{FF2B5EF4-FFF2-40B4-BE49-F238E27FC236}">
                <a16:creationId xmlns:a16="http://schemas.microsoft.com/office/drawing/2014/main" id="{ADB95F57-1995-4EA9-8E2D-4A7E7CEBDCA3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99" name="$F$91">
            <a:extLst>
              <a:ext uri="{FF2B5EF4-FFF2-40B4-BE49-F238E27FC236}">
                <a16:creationId xmlns:a16="http://schemas.microsoft.com/office/drawing/2014/main" id="{56A56ECD-CDFC-47B3-AC88-610E18E21C1E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0" name="$F$91">
            <a:extLst>
              <a:ext uri="{FF2B5EF4-FFF2-40B4-BE49-F238E27FC236}">
                <a16:creationId xmlns:a16="http://schemas.microsoft.com/office/drawing/2014/main" id="{0FAEA520-6DBF-4B31-9B28-63106359844D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1" name="$F$91">
            <a:extLst>
              <a:ext uri="{FF2B5EF4-FFF2-40B4-BE49-F238E27FC236}">
                <a16:creationId xmlns:a16="http://schemas.microsoft.com/office/drawing/2014/main" id="{A61E4CC7-0E27-4900-B459-6EDA5E0FA0F4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2" name="$F$91">
            <a:extLst>
              <a:ext uri="{FF2B5EF4-FFF2-40B4-BE49-F238E27FC236}">
                <a16:creationId xmlns:a16="http://schemas.microsoft.com/office/drawing/2014/main" id="{14DFB544-19EB-49C5-BCE6-29ED1419D94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3" name="$F$91">
            <a:extLst>
              <a:ext uri="{FF2B5EF4-FFF2-40B4-BE49-F238E27FC236}">
                <a16:creationId xmlns:a16="http://schemas.microsoft.com/office/drawing/2014/main" id="{7EC747D4-2CA3-4D02-84AD-AF413CD0D59C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4" name="$F$91">
            <a:extLst>
              <a:ext uri="{FF2B5EF4-FFF2-40B4-BE49-F238E27FC236}">
                <a16:creationId xmlns:a16="http://schemas.microsoft.com/office/drawing/2014/main" id="{12CAE709-3B01-42DD-9058-1533BACC54A8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5" name="$F$91">
            <a:extLst>
              <a:ext uri="{FF2B5EF4-FFF2-40B4-BE49-F238E27FC236}">
                <a16:creationId xmlns:a16="http://schemas.microsoft.com/office/drawing/2014/main" id="{21900D7B-5C30-4C20-8D9E-C6C4C8A4DCF3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6" name="$F$91">
            <a:extLst>
              <a:ext uri="{FF2B5EF4-FFF2-40B4-BE49-F238E27FC236}">
                <a16:creationId xmlns:a16="http://schemas.microsoft.com/office/drawing/2014/main" id="{25786445-F027-4BE3-8719-7564AA972C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7" name="$F$91">
            <a:extLst>
              <a:ext uri="{FF2B5EF4-FFF2-40B4-BE49-F238E27FC236}">
                <a16:creationId xmlns:a16="http://schemas.microsoft.com/office/drawing/2014/main" id="{AC97BAA5-1C6B-47B2-9DE9-D9C0C00844ED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8" name="$F$91">
            <a:extLst>
              <a:ext uri="{FF2B5EF4-FFF2-40B4-BE49-F238E27FC236}">
                <a16:creationId xmlns:a16="http://schemas.microsoft.com/office/drawing/2014/main" id="{E64E602D-1643-4345-AE48-404CC1F65163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09" name="$F$91">
            <a:extLst>
              <a:ext uri="{FF2B5EF4-FFF2-40B4-BE49-F238E27FC236}">
                <a16:creationId xmlns:a16="http://schemas.microsoft.com/office/drawing/2014/main" id="{ECDF6B89-C18D-473C-BF83-243026EC6147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0" name="$F$91">
            <a:extLst>
              <a:ext uri="{FF2B5EF4-FFF2-40B4-BE49-F238E27FC236}">
                <a16:creationId xmlns:a16="http://schemas.microsoft.com/office/drawing/2014/main" id="{1B50F8E1-CDB1-4777-A6A8-FD903A387B6B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1" name="$F$91">
            <a:extLst>
              <a:ext uri="{FF2B5EF4-FFF2-40B4-BE49-F238E27FC236}">
                <a16:creationId xmlns:a16="http://schemas.microsoft.com/office/drawing/2014/main" id="{B009D7E5-2143-4F75-80FF-1AC4387B3C4F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2" name="$F$91">
            <a:extLst>
              <a:ext uri="{FF2B5EF4-FFF2-40B4-BE49-F238E27FC236}">
                <a16:creationId xmlns:a16="http://schemas.microsoft.com/office/drawing/2014/main" id="{065BC64A-26FE-4952-B8CF-672F829EF953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3" name="$F$91">
            <a:extLst>
              <a:ext uri="{FF2B5EF4-FFF2-40B4-BE49-F238E27FC236}">
                <a16:creationId xmlns:a16="http://schemas.microsoft.com/office/drawing/2014/main" id="{9BB90E36-976D-46E5-BB3D-1CAB0869EB71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4" name="$F$91">
            <a:extLst>
              <a:ext uri="{FF2B5EF4-FFF2-40B4-BE49-F238E27FC236}">
                <a16:creationId xmlns:a16="http://schemas.microsoft.com/office/drawing/2014/main" id="{1F38C0DE-F7BF-44A8-A348-A1B8DA988D4C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5" name="$F$91">
            <a:extLst>
              <a:ext uri="{FF2B5EF4-FFF2-40B4-BE49-F238E27FC236}">
                <a16:creationId xmlns:a16="http://schemas.microsoft.com/office/drawing/2014/main" id="{99686C0A-E1C0-4811-A22E-E2D589718BCC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6" name="$F$91">
            <a:extLst>
              <a:ext uri="{FF2B5EF4-FFF2-40B4-BE49-F238E27FC236}">
                <a16:creationId xmlns:a16="http://schemas.microsoft.com/office/drawing/2014/main" id="{8218F7B8-3977-4796-B4B3-02E12C445AF2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7" name="$F$91">
            <a:extLst>
              <a:ext uri="{FF2B5EF4-FFF2-40B4-BE49-F238E27FC236}">
                <a16:creationId xmlns:a16="http://schemas.microsoft.com/office/drawing/2014/main" id="{69B877B9-599F-4B81-A9B0-4A2556BAEE8D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8" name="$F$91">
            <a:extLst>
              <a:ext uri="{FF2B5EF4-FFF2-40B4-BE49-F238E27FC236}">
                <a16:creationId xmlns:a16="http://schemas.microsoft.com/office/drawing/2014/main" id="{D8B56319-CE11-45A8-A803-388076634AA9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19" name="$F$91">
            <a:extLst>
              <a:ext uri="{FF2B5EF4-FFF2-40B4-BE49-F238E27FC236}">
                <a16:creationId xmlns:a16="http://schemas.microsoft.com/office/drawing/2014/main" id="{C4E77AA4-0393-4D0D-84DE-6B7DB7550773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0" name="$F$91">
            <a:extLst>
              <a:ext uri="{FF2B5EF4-FFF2-40B4-BE49-F238E27FC236}">
                <a16:creationId xmlns:a16="http://schemas.microsoft.com/office/drawing/2014/main" id="{E9A7A43B-7609-4819-B341-010B3BFB1C98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1" name="$F$91">
            <a:extLst>
              <a:ext uri="{FF2B5EF4-FFF2-40B4-BE49-F238E27FC236}">
                <a16:creationId xmlns:a16="http://schemas.microsoft.com/office/drawing/2014/main" id="{FAC8AA33-BC94-4377-8955-CDC44F756932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2" name="$F$91">
            <a:extLst>
              <a:ext uri="{FF2B5EF4-FFF2-40B4-BE49-F238E27FC236}">
                <a16:creationId xmlns:a16="http://schemas.microsoft.com/office/drawing/2014/main" id="{62A44D07-3895-4560-A005-87F9A0B7410D}"/>
              </a:ext>
            </a:extLst>
          </xdr:cNvPr>
          <xdr:cNvSpPr/>
        </xdr:nvSpPr>
        <xdr:spPr>
          <a:xfrm>
            <a:off x="165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3" name="$F$91">
            <a:extLst>
              <a:ext uri="{FF2B5EF4-FFF2-40B4-BE49-F238E27FC236}">
                <a16:creationId xmlns:a16="http://schemas.microsoft.com/office/drawing/2014/main" id="{525F2629-37C2-42E8-97C5-024F789D78FB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4" name="$F$91">
            <a:extLst>
              <a:ext uri="{FF2B5EF4-FFF2-40B4-BE49-F238E27FC236}">
                <a16:creationId xmlns:a16="http://schemas.microsoft.com/office/drawing/2014/main" id="{03114DBA-81FC-4BF4-B56B-F0D773E2BCB3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5" name="$F$91">
            <a:extLst>
              <a:ext uri="{FF2B5EF4-FFF2-40B4-BE49-F238E27FC236}">
                <a16:creationId xmlns:a16="http://schemas.microsoft.com/office/drawing/2014/main" id="{7254D371-BC55-42E0-BF1E-821B9805366D}"/>
              </a:ext>
            </a:extLst>
          </xdr:cNvPr>
          <xdr:cNvSpPr/>
        </xdr:nvSpPr>
        <xdr:spPr>
          <a:xfrm>
            <a:off x="215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6" name="$F$91">
            <a:extLst>
              <a:ext uri="{FF2B5EF4-FFF2-40B4-BE49-F238E27FC236}">
                <a16:creationId xmlns:a16="http://schemas.microsoft.com/office/drawing/2014/main" id="{F1FD1E76-2625-43B7-B47F-1E49706D7E31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7" name="$F$91">
            <a:extLst>
              <a:ext uri="{FF2B5EF4-FFF2-40B4-BE49-F238E27FC236}">
                <a16:creationId xmlns:a16="http://schemas.microsoft.com/office/drawing/2014/main" id="{29F2CE5E-11D8-406C-90BD-23B67D8C1CEA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8" name="$F$91">
            <a:extLst>
              <a:ext uri="{FF2B5EF4-FFF2-40B4-BE49-F238E27FC236}">
                <a16:creationId xmlns:a16="http://schemas.microsoft.com/office/drawing/2014/main" id="{C0152469-2BED-4FDF-919A-8D5057D481B1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29" name="$F$91">
            <a:extLst>
              <a:ext uri="{FF2B5EF4-FFF2-40B4-BE49-F238E27FC236}">
                <a16:creationId xmlns:a16="http://schemas.microsoft.com/office/drawing/2014/main" id="{827D3BB0-1FEB-4DC9-8719-ADB569A03395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0" name="$F$91">
            <a:extLst>
              <a:ext uri="{FF2B5EF4-FFF2-40B4-BE49-F238E27FC236}">
                <a16:creationId xmlns:a16="http://schemas.microsoft.com/office/drawing/2014/main" id="{72E70295-15F5-4E8C-AEEB-CE19EA44310F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1" name="$F$91">
            <a:extLst>
              <a:ext uri="{FF2B5EF4-FFF2-40B4-BE49-F238E27FC236}">
                <a16:creationId xmlns:a16="http://schemas.microsoft.com/office/drawing/2014/main" id="{BE36B835-48C8-4970-9063-8758AE1FC291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2" name="$F$91">
            <a:extLst>
              <a:ext uri="{FF2B5EF4-FFF2-40B4-BE49-F238E27FC236}">
                <a16:creationId xmlns:a16="http://schemas.microsoft.com/office/drawing/2014/main" id="{C11207FB-F98A-42B3-BEFF-822A10D2FDEB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3" name="$F$91">
            <a:extLst>
              <a:ext uri="{FF2B5EF4-FFF2-40B4-BE49-F238E27FC236}">
                <a16:creationId xmlns:a16="http://schemas.microsoft.com/office/drawing/2014/main" id="{22E4A92A-7108-4417-8B8E-F9F26FBE1E44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4" name="$F$91">
            <a:extLst>
              <a:ext uri="{FF2B5EF4-FFF2-40B4-BE49-F238E27FC236}">
                <a16:creationId xmlns:a16="http://schemas.microsoft.com/office/drawing/2014/main" id="{3B473D05-AED0-4729-A9EF-51531FFFFEDC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5" name="$F$91">
            <a:extLst>
              <a:ext uri="{FF2B5EF4-FFF2-40B4-BE49-F238E27FC236}">
                <a16:creationId xmlns:a16="http://schemas.microsoft.com/office/drawing/2014/main" id="{F0402607-30E3-4062-BACE-4D717150BAC1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6" name="$F$91">
            <a:extLst>
              <a:ext uri="{FF2B5EF4-FFF2-40B4-BE49-F238E27FC236}">
                <a16:creationId xmlns:a16="http://schemas.microsoft.com/office/drawing/2014/main" id="{E0BE0921-CC2B-4AAC-8B6A-31F4A14047B8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7" name="$F$91">
            <a:extLst>
              <a:ext uri="{FF2B5EF4-FFF2-40B4-BE49-F238E27FC236}">
                <a16:creationId xmlns:a16="http://schemas.microsoft.com/office/drawing/2014/main" id="{02F65CEC-F5A5-492D-9917-EA6F73D8C72A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8" name="$F$91">
            <a:extLst>
              <a:ext uri="{FF2B5EF4-FFF2-40B4-BE49-F238E27FC236}">
                <a16:creationId xmlns:a16="http://schemas.microsoft.com/office/drawing/2014/main" id="{CBE55E4E-1F7D-4662-92E9-7E51D2DE3A4C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39" name="$F$91">
            <a:extLst>
              <a:ext uri="{FF2B5EF4-FFF2-40B4-BE49-F238E27FC236}">
                <a16:creationId xmlns:a16="http://schemas.microsoft.com/office/drawing/2014/main" id="{922339B1-9588-4D50-9076-1D1AC75DB614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40" name="$F$91">
            <a:extLst>
              <a:ext uri="{FF2B5EF4-FFF2-40B4-BE49-F238E27FC236}">
                <a16:creationId xmlns:a16="http://schemas.microsoft.com/office/drawing/2014/main" id="{8A956C82-9075-4CFD-95FD-E9D3A45CEBEC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41" name="$F$91">
            <a:extLst>
              <a:ext uri="{FF2B5EF4-FFF2-40B4-BE49-F238E27FC236}">
                <a16:creationId xmlns:a16="http://schemas.microsoft.com/office/drawing/2014/main" id="{FF472614-9BA1-462E-8120-8349138F75D3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42" name="$F$91">
            <a:extLst>
              <a:ext uri="{FF2B5EF4-FFF2-40B4-BE49-F238E27FC236}">
                <a16:creationId xmlns:a16="http://schemas.microsoft.com/office/drawing/2014/main" id="{E18EAC25-11BC-476C-A91E-F782B02148A7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43" name="$F$91">
            <a:extLst>
              <a:ext uri="{FF2B5EF4-FFF2-40B4-BE49-F238E27FC236}">
                <a16:creationId xmlns:a16="http://schemas.microsoft.com/office/drawing/2014/main" id="{9A0C581E-C0FF-4758-A399-A5B5D03858DD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44" name="$F$91">
            <a:extLst>
              <a:ext uri="{FF2B5EF4-FFF2-40B4-BE49-F238E27FC236}">
                <a16:creationId xmlns:a16="http://schemas.microsoft.com/office/drawing/2014/main" id="{172DD6E8-A8E1-4D91-AB72-FD0C6509BF1F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45" name="$F$91">
            <a:extLst>
              <a:ext uri="{FF2B5EF4-FFF2-40B4-BE49-F238E27FC236}">
                <a16:creationId xmlns:a16="http://schemas.microsoft.com/office/drawing/2014/main" id="{83C156C1-1F82-4926-8CD6-054808AF2509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46" name="$F$91">
            <a:extLst>
              <a:ext uri="{FF2B5EF4-FFF2-40B4-BE49-F238E27FC236}">
                <a16:creationId xmlns:a16="http://schemas.microsoft.com/office/drawing/2014/main" id="{27546FBA-04BA-4662-A652-17B3338F63DB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47" name="$F$91">
            <a:extLst>
              <a:ext uri="{FF2B5EF4-FFF2-40B4-BE49-F238E27FC236}">
                <a16:creationId xmlns:a16="http://schemas.microsoft.com/office/drawing/2014/main" id="{15694D6B-2558-480E-B8FF-9131859ACCAE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48" name="$F$91">
            <a:extLst>
              <a:ext uri="{FF2B5EF4-FFF2-40B4-BE49-F238E27FC236}">
                <a16:creationId xmlns:a16="http://schemas.microsoft.com/office/drawing/2014/main" id="{1D035D14-391E-460E-9374-821E571A4732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49" name="$F$91">
            <a:extLst>
              <a:ext uri="{FF2B5EF4-FFF2-40B4-BE49-F238E27FC236}">
                <a16:creationId xmlns:a16="http://schemas.microsoft.com/office/drawing/2014/main" id="{F9208E07-C644-474B-9B04-43927991B567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50" name="$F$91">
            <a:extLst>
              <a:ext uri="{FF2B5EF4-FFF2-40B4-BE49-F238E27FC236}">
                <a16:creationId xmlns:a16="http://schemas.microsoft.com/office/drawing/2014/main" id="{8CEE3394-0615-409A-A0CE-9B2BB7023CD2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51" name="$F$91">
            <a:extLst>
              <a:ext uri="{FF2B5EF4-FFF2-40B4-BE49-F238E27FC236}">
                <a16:creationId xmlns:a16="http://schemas.microsoft.com/office/drawing/2014/main" id="{5900FD27-E1F0-4EA6-949E-0A5817F81F29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52" name="$F$91">
            <a:extLst>
              <a:ext uri="{FF2B5EF4-FFF2-40B4-BE49-F238E27FC236}">
                <a16:creationId xmlns:a16="http://schemas.microsoft.com/office/drawing/2014/main" id="{B470FA93-CFC6-4E54-8084-A55767E8B008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53" name="$F$91">
            <a:extLst>
              <a:ext uri="{FF2B5EF4-FFF2-40B4-BE49-F238E27FC236}">
                <a16:creationId xmlns:a16="http://schemas.microsoft.com/office/drawing/2014/main" id="{39526CA3-84CE-480C-BCBE-7A28CF57BA2F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54" name="$F$91">
            <a:extLst>
              <a:ext uri="{FF2B5EF4-FFF2-40B4-BE49-F238E27FC236}">
                <a16:creationId xmlns:a16="http://schemas.microsoft.com/office/drawing/2014/main" id="{6D7DF2C3-BD53-4104-9E83-89CD2965FCF3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55" name="$F$91">
            <a:extLst>
              <a:ext uri="{FF2B5EF4-FFF2-40B4-BE49-F238E27FC236}">
                <a16:creationId xmlns:a16="http://schemas.microsoft.com/office/drawing/2014/main" id="{E0923BAA-BA4B-4153-909D-1675AF80762D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56" name="$F$91">
            <a:extLst>
              <a:ext uri="{FF2B5EF4-FFF2-40B4-BE49-F238E27FC236}">
                <a16:creationId xmlns:a16="http://schemas.microsoft.com/office/drawing/2014/main" id="{3FB98DE7-B2BB-42A1-9408-7F00646108E4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57" name="$F$91">
            <a:extLst>
              <a:ext uri="{FF2B5EF4-FFF2-40B4-BE49-F238E27FC236}">
                <a16:creationId xmlns:a16="http://schemas.microsoft.com/office/drawing/2014/main" id="{924189A9-4475-4EED-829D-20422E04A554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58" name="$F$91">
            <a:extLst>
              <a:ext uri="{FF2B5EF4-FFF2-40B4-BE49-F238E27FC236}">
                <a16:creationId xmlns:a16="http://schemas.microsoft.com/office/drawing/2014/main" id="{74AE88B2-EAB8-485C-8C82-8284E459DEFB}"/>
              </a:ext>
            </a:extLst>
          </xdr:cNvPr>
          <xdr:cNvSpPr/>
        </xdr:nvSpPr>
        <xdr:spPr>
          <a:xfrm>
            <a:off x="2032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59" name="$F$91">
            <a:extLst>
              <a:ext uri="{FF2B5EF4-FFF2-40B4-BE49-F238E27FC236}">
                <a16:creationId xmlns:a16="http://schemas.microsoft.com/office/drawing/2014/main" id="{5B3178D5-0913-4C44-9EBA-3A051516C703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60" name="$F$91">
            <a:extLst>
              <a:ext uri="{FF2B5EF4-FFF2-40B4-BE49-F238E27FC236}">
                <a16:creationId xmlns:a16="http://schemas.microsoft.com/office/drawing/2014/main" id="{91DCF1C8-8424-40A5-BB08-683C4FC20F29}"/>
              </a:ext>
            </a:extLst>
          </xdr:cNvPr>
          <xdr:cNvSpPr/>
        </xdr:nvSpPr>
        <xdr:spPr>
          <a:xfrm>
            <a:off x="241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61" name="$F$91">
            <a:extLst>
              <a:ext uri="{FF2B5EF4-FFF2-40B4-BE49-F238E27FC236}">
                <a16:creationId xmlns:a16="http://schemas.microsoft.com/office/drawing/2014/main" id="{330176EC-80AA-406A-8DA7-073BD13B3404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62" name="$F$91">
            <a:extLst>
              <a:ext uri="{FF2B5EF4-FFF2-40B4-BE49-F238E27FC236}">
                <a16:creationId xmlns:a16="http://schemas.microsoft.com/office/drawing/2014/main" id="{49C0B788-850E-40C0-8E28-D58EBEADDECA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63" name="$F$91">
            <a:extLst>
              <a:ext uri="{FF2B5EF4-FFF2-40B4-BE49-F238E27FC236}">
                <a16:creationId xmlns:a16="http://schemas.microsoft.com/office/drawing/2014/main" id="{AE19A89E-ACCA-49D6-B1C4-DA5625B98913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64" name="$F$91">
            <a:extLst>
              <a:ext uri="{FF2B5EF4-FFF2-40B4-BE49-F238E27FC236}">
                <a16:creationId xmlns:a16="http://schemas.microsoft.com/office/drawing/2014/main" id="{85ECD7A7-3389-40D5-91AA-D6CFC3E362AC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65" name="$F$91">
            <a:extLst>
              <a:ext uri="{FF2B5EF4-FFF2-40B4-BE49-F238E27FC236}">
                <a16:creationId xmlns:a16="http://schemas.microsoft.com/office/drawing/2014/main" id="{26B8DAC5-AA8B-49DF-A257-D31D60F98484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66" name="$F$91">
            <a:extLst>
              <a:ext uri="{FF2B5EF4-FFF2-40B4-BE49-F238E27FC236}">
                <a16:creationId xmlns:a16="http://schemas.microsoft.com/office/drawing/2014/main" id="{E9760A3E-EA9A-4D4E-A3F8-7BEFAB8C5F30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67" name="$F$91">
            <a:extLst>
              <a:ext uri="{FF2B5EF4-FFF2-40B4-BE49-F238E27FC236}">
                <a16:creationId xmlns:a16="http://schemas.microsoft.com/office/drawing/2014/main" id="{8E161250-C2BB-46F7-98EE-BB76978970FC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68" name="$F$91">
            <a:extLst>
              <a:ext uri="{FF2B5EF4-FFF2-40B4-BE49-F238E27FC236}">
                <a16:creationId xmlns:a16="http://schemas.microsoft.com/office/drawing/2014/main" id="{24495497-EF3B-41BA-B049-CF0A5A11F5A3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69" name="$F$91">
            <a:extLst>
              <a:ext uri="{FF2B5EF4-FFF2-40B4-BE49-F238E27FC236}">
                <a16:creationId xmlns:a16="http://schemas.microsoft.com/office/drawing/2014/main" id="{B16B46E8-B734-4983-842F-7BF24D27AB83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70" name="$F$91">
            <a:extLst>
              <a:ext uri="{FF2B5EF4-FFF2-40B4-BE49-F238E27FC236}">
                <a16:creationId xmlns:a16="http://schemas.microsoft.com/office/drawing/2014/main" id="{90943330-0CB0-44B0-A00B-982F4A2F68C1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71" name="$F$91">
            <a:extLst>
              <a:ext uri="{FF2B5EF4-FFF2-40B4-BE49-F238E27FC236}">
                <a16:creationId xmlns:a16="http://schemas.microsoft.com/office/drawing/2014/main" id="{C57A3925-74A7-4470-8E39-20633DD87FD3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72" name="$F$91">
            <a:extLst>
              <a:ext uri="{FF2B5EF4-FFF2-40B4-BE49-F238E27FC236}">
                <a16:creationId xmlns:a16="http://schemas.microsoft.com/office/drawing/2014/main" id="{36099CBA-D85B-4B49-8BA2-1991A5614411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73" name="$F$91">
            <a:extLst>
              <a:ext uri="{FF2B5EF4-FFF2-40B4-BE49-F238E27FC236}">
                <a16:creationId xmlns:a16="http://schemas.microsoft.com/office/drawing/2014/main" id="{207BAE11-C9F3-4DEB-A68E-EFB8E2B6614B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74" name="$F$91">
            <a:extLst>
              <a:ext uri="{FF2B5EF4-FFF2-40B4-BE49-F238E27FC236}">
                <a16:creationId xmlns:a16="http://schemas.microsoft.com/office/drawing/2014/main" id="{F870E4E3-933A-448C-9B4E-F80D809B4F95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75" name="$F$91">
            <a:extLst>
              <a:ext uri="{FF2B5EF4-FFF2-40B4-BE49-F238E27FC236}">
                <a16:creationId xmlns:a16="http://schemas.microsoft.com/office/drawing/2014/main" id="{79DF2242-3F7A-4F20-9EE0-2BD734D9B7E1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76" name="$F$91">
            <a:extLst>
              <a:ext uri="{FF2B5EF4-FFF2-40B4-BE49-F238E27FC236}">
                <a16:creationId xmlns:a16="http://schemas.microsoft.com/office/drawing/2014/main" id="{2BAACAC9-0343-4CE7-B849-5E5ED1C0CC29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77" name="$F$91">
            <a:extLst>
              <a:ext uri="{FF2B5EF4-FFF2-40B4-BE49-F238E27FC236}">
                <a16:creationId xmlns:a16="http://schemas.microsoft.com/office/drawing/2014/main" id="{5168A77F-8766-43BC-A3AF-73B3617DE44E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78" name="$F$91">
            <a:extLst>
              <a:ext uri="{FF2B5EF4-FFF2-40B4-BE49-F238E27FC236}">
                <a16:creationId xmlns:a16="http://schemas.microsoft.com/office/drawing/2014/main" id="{644B6745-5C85-4527-AD5E-0C26F383510B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79" name="$F$91">
            <a:extLst>
              <a:ext uri="{FF2B5EF4-FFF2-40B4-BE49-F238E27FC236}">
                <a16:creationId xmlns:a16="http://schemas.microsoft.com/office/drawing/2014/main" id="{EECE3046-571C-4D3D-88DB-4913AAD590B6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80" name="$F$91">
            <a:extLst>
              <a:ext uri="{FF2B5EF4-FFF2-40B4-BE49-F238E27FC236}">
                <a16:creationId xmlns:a16="http://schemas.microsoft.com/office/drawing/2014/main" id="{3E5741F4-02F6-4BAB-B7F5-8B0F35264667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81" name="$F$91">
            <a:extLst>
              <a:ext uri="{FF2B5EF4-FFF2-40B4-BE49-F238E27FC236}">
                <a16:creationId xmlns:a16="http://schemas.microsoft.com/office/drawing/2014/main" id="{4A5AC872-C6E3-4EDA-9A79-F87DF1C973A4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82" name="$F$91">
            <a:extLst>
              <a:ext uri="{FF2B5EF4-FFF2-40B4-BE49-F238E27FC236}">
                <a16:creationId xmlns:a16="http://schemas.microsoft.com/office/drawing/2014/main" id="{D0752758-A83E-4A8C-B531-B9314EB925ED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83" name="$F$91">
            <a:extLst>
              <a:ext uri="{FF2B5EF4-FFF2-40B4-BE49-F238E27FC236}">
                <a16:creationId xmlns:a16="http://schemas.microsoft.com/office/drawing/2014/main" id="{9BA8E202-6CF5-49CA-8355-A7EB34963251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84" name="$F$91">
            <a:extLst>
              <a:ext uri="{FF2B5EF4-FFF2-40B4-BE49-F238E27FC236}">
                <a16:creationId xmlns:a16="http://schemas.microsoft.com/office/drawing/2014/main" id="{6BCA2352-9F4C-4222-935C-B6E5D82FCA2D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85" name="$F$91">
            <a:extLst>
              <a:ext uri="{FF2B5EF4-FFF2-40B4-BE49-F238E27FC236}">
                <a16:creationId xmlns:a16="http://schemas.microsoft.com/office/drawing/2014/main" id="{B2DF28EE-E9BD-4415-8AB9-98BF18E98B45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86" name="$F$91">
            <a:extLst>
              <a:ext uri="{FF2B5EF4-FFF2-40B4-BE49-F238E27FC236}">
                <a16:creationId xmlns:a16="http://schemas.microsoft.com/office/drawing/2014/main" id="{32EDC3AB-BC02-4C04-8EE5-639B87BBC895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87" name="$F$91">
            <a:extLst>
              <a:ext uri="{FF2B5EF4-FFF2-40B4-BE49-F238E27FC236}">
                <a16:creationId xmlns:a16="http://schemas.microsoft.com/office/drawing/2014/main" id="{8EA03EFE-1DEE-45B6-9CC2-2D2ACFCF8A4B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88" name="$F$91">
            <a:extLst>
              <a:ext uri="{FF2B5EF4-FFF2-40B4-BE49-F238E27FC236}">
                <a16:creationId xmlns:a16="http://schemas.microsoft.com/office/drawing/2014/main" id="{705CEB4F-78D9-45F7-AC93-62DC3B41EBA9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89" name="$F$91">
            <a:extLst>
              <a:ext uri="{FF2B5EF4-FFF2-40B4-BE49-F238E27FC236}">
                <a16:creationId xmlns:a16="http://schemas.microsoft.com/office/drawing/2014/main" id="{237A35BF-F686-40E3-8FE9-6A9AD26B8DC3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90" name="$F$91">
            <a:extLst>
              <a:ext uri="{FF2B5EF4-FFF2-40B4-BE49-F238E27FC236}">
                <a16:creationId xmlns:a16="http://schemas.microsoft.com/office/drawing/2014/main" id="{6DF1395C-709F-40DB-9C1A-FA08FAC6E86B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91" name="$F$91">
            <a:extLst>
              <a:ext uri="{FF2B5EF4-FFF2-40B4-BE49-F238E27FC236}">
                <a16:creationId xmlns:a16="http://schemas.microsoft.com/office/drawing/2014/main" id="{2DE4BC1C-3E25-420F-A8CA-B7B064FDCF64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92" name="$F$91">
            <a:extLst>
              <a:ext uri="{FF2B5EF4-FFF2-40B4-BE49-F238E27FC236}">
                <a16:creationId xmlns:a16="http://schemas.microsoft.com/office/drawing/2014/main" id="{4A9BBD5C-F847-42E4-AF02-FAA94DBACA06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93" name="$F$91">
            <a:extLst>
              <a:ext uri="{FF2B5EF4-FFF2-40B4-BE49-F238E27FC236}">
                <a16:creationId xmlns:a16="http://schemas.microsoft.com/office/drawing/2014/main" id="{BF86FCD6-604D-401F-B111-D46867A3633B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94" name="$F$91">
            <a:extLst>
              <a:ext uri="{FF2B5EF4-FFF2-40B4-BE49-F238E27FC236}">
                <a16:creationId xmlns:a16="http://schemas.microsoft.com/office/drawing/2014/main" id="{7EDD4578-35BB-48A9-BB0C-0D8A3A037CEE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95" name="$F$91">
            <a:extLst>
              <a:ext uri="{FF2B5EF4-FFF2-40B4-BE49-F238E27FC236}">
                <a16:creationId xmlns:a16="http://schemas.microsoft.com/office/drawing/2014/main" id="{E92E5B51-A0A3-4735-8A36-C329B317232E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96" name="$F$91">
            <a:extLst>
              <a:ext uri="{FF2B5EF4-FFF2-40B4-BE49-F238E27FC236}">
                <a16:creationId xmlns:a16="http://schemas.microsoft.com/office/drawing/2014/main" id="{AA97E65E-9A38-43E8-BB71-BCD8A9B5401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97" name="$F$91">
            <a:extLst>
              <a:ext uri="{FF2B5EF4-FFF2-40B4-BE49-F238E27FC236}">
                <a16:creationId xmlns:a16="http://schemas.microsoft.com/office/drawing/2014/main" id="{515988E5-D704-4409-9C26-60905CB7F31B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98" name="$F$91">
            <a:extLst>
              <a:ext uri="{FF2B5EF4-FFF2-40B4-BE49-F238E27FC236}">
                <a16:creationId xmlns:a16="http://schemas.microsoft.com/office/drawing/2014/main" id="{A71E285E-B577-44D2-9C59-8C4845B43AEE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699" name="$F$91">
            <a:extLst>
              <a:ext uri="{FF2B5EF4-FFF2-40B4-BE49-F238E27FC236}">
                <a16:creationId xmlns:a16="http://schemas.microsoft.com/office/drawing/2014/main" id="{E1A02051-31F1-49F3-B106-EA67643456DB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00" name="$F$91">
            <a:extLst>
              <a:ext uri="{FF2B5EF4-FFF2-40B4-BE49-F238E27FC236}">
                <a16:creationId xmlns:a16="http://schemas.microsoft.com/office/drawing/2014/main" id="{9FA6774F-E5A9-4A55-AECD-5729D56BCE44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01" name="$F$91">
            <a:extLst>
              <a:ext uri="{FF2B5EF4-FFF2-40B4-BE49-F238E27FC236}">
                <a16:creationId xmlns:a16="http://schemas.microsoft.com/office/drawing/2014/main" id="{2A284DB2-7096-46AD-8839-229B4A42D650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02" name="$F$91">
            <a:extLst>
              <a:ext uri="{FF2B5EF4-FFF2-40B4-BE49-F238E27FC236}">
                <a16:creationId xmlns:a16="http://schemas.microsoft.com/office/drawing/2014/main" id="{E8DF5506-7858-486F-AEDD-9A360A18FD3C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03" name="$F$91">
            <a:extLst>
              <a:ext uri="{FF2B5EF4-FFF2-40B4-BE49-F238E27FC236}">
                <a16:creationId xmlns:a16="http://schemas.microsoft.com/office/drawing/2014/main" id="{AAB4410E-1062-4643-BC2F-26D2C22377A5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04" name="$F$91">
            <a:extLst>
              <a:ext uri="{FF2B5EF4-FFF2-40B4-BE49-F238E27FC236}">
                <a16:creationId xmlns:a16="http://schemas.microsoft.com/office/drawing/2014/main" id="{23975219-EE7F-4D6E-A519-8E528DD36762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05" name="$F$91">
            <a:extLst>
              <a:ext uri="{FF2B5EF4-FFF2-40B4-BE49-F238E27FC236}">
                <a16:creationId xmlns:a16="http://schemas.microsoft.com/office/drawing/2014/main" id="{D6F2B523-A382-4E02-9C24-4586AE2D14B1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06" name="$F$91">
            <a:extLst>
              <a:ext uri="{FF2B5EF4-FFF2-40B4-BE49-F238E27FC236}">
                <a16:creationId xmlns:a16="http://schemas.microsoft.com/office/drawing/2014/main" id="{BA3F9ABE-1D8E-4B77-9EC5-CE39B9BC51BB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07" name="$F$91">
            <a:extLst>
              <a:ext uri="{FF2B5EF4-FFF2-40B4-BE49-F238E27FC236}">
                <a16:creationId xmlns:a16="http://schemas.microsoft.com/office/drawing/2014/main" id="{FE5B49AF-B066-4C07-A28A-470F2CC5B7AF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08" name="$F$91">
            <a:extLst>
              <a:ext uri="{FF2B5EF4-FFF2-40B4-BE49-F238E27FC236}">
                <a16:creationId xmlns:a16="http://schemas.microsoft.com/office/drawing/2014/main" id="{A2174440-11A5-45ED-922B-B9FCA6A00A0B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09" name="$F$91">
            <a:extLst>
              <a:ext uri="{FF2B5EF4-FFF2-40B4-BE49-F238E27FC236}">
                <a16:creationId xmlns:a16="http://schemas.microsoft.com/office/drawing/2014/main" id="{56EA51A2-D02D-41DB-BC90-BC22A6916F1E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10" name="$F$91">
            <a:extLst>
              <a:ext uri="{FF2B5EF4-FFF2-40B4-BE49-F238E27FC236}">
                <a16:creationId xmlns:a16="http://schemas.microsoft.com/office/drawing/2014/main" id="{A32B33CA-A695-4642-88EE-36038E6DD71E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11" name="$F$91">
            <a:extLst>
              <a:ext uri="{FF2B5EF4-FFF2-40B4-BE49-F238E27FC236}">
                <a16:creationId xmlns:a16="http://schemas.microsoft.com/office/drawing/2014/main" id="{29C7D177-9FB3-4B35-BBCB-A15FE83FB103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12" name="$F$91">
            <a:extLst>
              <a:ext uri="{FF2B5EF4-FFF2-40B4-BE49-F238E27FC236}">
                <a16:creationId xmlns:a16="http://schemas.microsoft.com/office/drawing/2014/main" id="{D8E5D8DD-0FC6-4FCE-A92A-46279B99A126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13" name="$F$91">
            <a:extLst>
              <a:ext uri="{FF2B5EF4-FFF2-40B4-BE49-F238E27FC236}">
                <a16:creationId xmlns:a16="http://schemas.microsoft.com/office/drawing/2014/main" id="{B0C09EFD-1BA0-4C79-8F42-1A3D26CB6542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14" name="$F$91">
            <a:extLst>
              <a:ext uri="{FF2B5EF4-FFF2-40B4-BE49-F238E27FC236}">
                <a16:creationId xmlns:a16="http://schemas.microsoft.com/office/drawing/2014/main" id="{8A3EFF8D-8BC5-422A-945C-86FB0A083FA5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15" name="$F$91">
            <a:extLst>
              <a:ext uri="{FF2B5EF4-FFF2-40B4-BE49-F238E27FC236}">
                <a16:creationId xmlns:a16="http://schemas.microsoft.com/office/drawing/2014/main" id="{90C39FCE-7321-458A-95B3-0B44B002EF67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16" name="$F$91">
            <a:extLst>
              <a:ext uri="{FF2B5EF4-FFF2-40B4-BE49-F238E27FC236}">
                <a16:creationId xmlns:a16="http://schemas.microsoft.com/office/drawing/2014/main" id="{23D80EBF-1847-48C0-9793-CD4E5A834FC2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17" name="$F$91">
            <a:extLst>
              <a:ext uri="{FF2B5EF4-FFF2-40B4-BE49-F238E27FC236}">
                <a16:creationId xmlns:a16="http://schemas.microsoft.com/office/drawing/2014/main" id="{262C5026-63F0-492D-AAE2-0E2C695B7B0E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18" name="$F$91">
            <a:extLst>
              <a:ext uri="{FF2B5EF4-FFF2-40B4-BE49-F238E27FC236}">
                <a16:creationId xmlns:a16="http://schemas.microsoft.com/office/drawing/2014/main" id="{47676E43-A208-4751-9CF9-C385B608C659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19" name="$F$91">
            <a:extLst>
              <a:ext uri="{FF2B5EF4-FFF2-40B4-BE49-F238E27FC236}">
                <a16:creationId xmlns:a16="http://schemas.microsoft.com/office/drawing/2014/main" id="{094C9FFA-E1FE-4169-8235-55847E0BA55E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20" name="$F$91">
            <a:extLst>
              <a:ext uri="{FF2B5EF4-FFF2-40B4-BE49-F238E27FC236}">
                <a16:creationId xmlns:a16="http://schemas.microsoft.com/office/drawing/2014/main" id="{0DD52B73-6E7F-4DBF-94DC-20910A89BB03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21" name="$F$91">
            <a:extLst>
              <a:ext uri="{FF2B5EF4-FFF2-40B4-BE49-F238E27FC236}">
                <a16:creationId xmlns:a16="http://schemas.microsoft.com/office/drawing/2014/main" id="{B24D9DD8-0183-4085-9E15-F45F397C718A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22" name="$F$91">
            <a:extLst>
              <a:ext uri="{FF2B5EF4-FFF2-40B4-BE49-F238E27FC236}">
                <a16:creationId xmlns:a16="http://schemas.microsoft.com/office/drawing/2014/main" id="{A61E176C-4B0F-42AC-ABCF-F4C9482FAC2B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23" name="$F$91">
            <a:extLst>
              <a:ext uri="{FF2B5EF4-FFF2-40B4-BE49-F238E27FC236}">
                <a16:creationId xmlns:a16="http://schemas.microsoft.com/office/drawing/2014/main" id="{FC734723-5A4B-4CAB-A7B5-A65BA520028C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24" name="$F$91">
            <a:extLst>
              <a:ext uri="{FF2B5EF4-FFF2-40B4-BE49-F238E27FC236}">
                <a16:creationId xmlns:a16="http://schemas.microsoft.com/office/drawing/2014/main" id="{3AA9A40F-9648-4B11-8B14-404F3D9FBB93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25" name="$F$91">
            <a:extLst>
              <a:ext uri="{FF2B5EF4-FFF2-40B4-BE49-F238E27FC236}">
                <a16:creationId xmlns:a16="http://schemas.microsoft.com/office/drawing/2014/main" id="{F8D0DDDB-E50A-41CE-B4AB-67278E17C8DD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26" name="$F$91">
            <a:extLst>
              <a:ext uri="{FF2B5EF4-FFF2-40B4-BE49-F238E27FC236}">
                <a16:creationId xmlns:a16="http://schemas.microsoft.com/office/drawing/2014/main" id="{F20FAAA2-5280-4620-924D-1798D6398890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27" name="$F$91">
            <a:extLst>
              <a:ext uri="{FF2B5EF4-FFF2-40B4-BE49-F238E27FC236}">
                <a16:creationId xmlns:a16="http://schemas.microsoft.com/office/drawing/2014/main" id="{E198E9DD-A9A8-4BE5-AA88-5B080A6DA602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28" name="$F$91">
            <a:extLst>
              <a:ext uri="{FF2B5EF4-FFF2-40B4-BE49-F238E27FC236}">
                <a16:creationId xmlns:a16="http://schemas.microsoft.com/office/drawing/2014/main" id="{4495C0BF-7EDE-404B-B09A-1656A4E2C26F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29" name="$F$91">
            <a:extLst>
              <a:ext uri="{FF2B5EF4-FFF2-40B4-BE49-F238E27FC236}">
                <a16:creationId xmlns:a16="http://schemas.microsoft.com/office/drawing/2014/main" id="{19724A66-1BB6-41D5-8F97-EF966101D981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30" name="$F$91">
            <a:extLst>
              <a:ext uri="{FF2B5EF4-FFF2-40B4-BE49-F238E27FC236}">
                <a16:creationId xmlns:a16="http://schemas.microsoft.com/office/drawing/2014/main" id="{DBE8E441-D643-41AE-A6E0-162B16DF9B06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31" name="$F$91">
            <a:extLst>
              <a:ext uri="{FF2B5EF4-FFF2-40B4-BE49-F238E27FC236}">
                <a16:creationId xmlns:a16="http://schemas.microsoft.com/office/drawing/2014/main" id="{0B6A91D0-63F8-4142-957C-5A40C0C128AB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32" name="$F$91">
            <a:extLst>
              <a:ext uri="{FF2B5EF4-FFF2-40B4-BE49-F238E27FC236}">
                <a16:creationId xmlns:a16="http://schemas.microsoft.com/office/drawing/2014/main" id="{5DDF5693-6FD2-4742-A7F5-FBD614183501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33" name="$F$91">
            <a:extLst>
              <a:ext uri="{FF2B5EF4-FFF2-40B4-BE49-F238E27FC236}">
                <a16:creationId xmlns:a16="http://schemas.microsoft.com/office/drawing/2014/main" id="{0CADDBDD-2AD2-488F-94A9-5FBDF28AF6C6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34" name="$F$91">
            <a:extLst>
              <a:ext uri="{FF2B5EF4-FFF2-40B4-BE49-F238E27FC236}">
                <a16:creationId xmlns:a16="http://schemas.microsoft.com/office/drawing/2014/main" id="{DFC735FB-71DD-4317-8B82-3779B6723507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35" name="$F$91">
            <a:extLst>
              <a:ext uri="{FF2B5EF4-FFF2-40B4-BE49-F238E27FC236}">
                <a16:creationId xmlns:a16="http://schemas.microsoft.com/office/drawing/2014/main" id="{0AF99BBF-3EE6-48B5-9D65-2B76FA286238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36" name="$F$91">
            <a:extLst>
              <a:ext uri="{FF2B5EF4-FFF2-40B4-BE49-F238E27FC236}">
                <a16:creationId xmlns:a16="http://schemas.microsoft.com/office/drawing/2014/main" id="{9650A6BE-E75D-4680-A95F-4ADAE885CA8F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37" name="$F$91">
            <a:extLst>
              <a:ext uri="{FF2B5EF4-FFF2-40B4-BE49-F238E27FC236}">
                <a16:creationId xmlns:a16="http://schemas.microsoft.com/office/drawing/2014/main" id="{53C9C9B5-FE1D-4D5B-BF50-BC12274F7B09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38" name="$F$91">
            <a:extLst>
              <a:ext uri="{FF2B5EF4-FFF2-40B4-BE49-F238E27FC236}">
                <a16:creationId xmlns:a16="http://schemas.microsoft.com/office/drawing/2014/main" id="{02F9B77E-E6C1-4AE3-BDA1-519A6E2D8DAC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39" name="$F$91">
            <a:extLst>
              <a:ext uri="{FF2B5EF4-FFF2-40B4-BE49-F238E27FC236}">
                <a16:creationId xmlns:a16="http://schemas.microsoft.com/office/drawing/2014/main" id="{2705B51E-6415-47F8-A30E-4B7B7C13D883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40" name="$F$91">
            <a:extLst>
              <a:ext uri="{FF2B5EF4-FFF2-40B4-BE49-F238E27FC236}">
                <a16:creationId xmlns:a16="http://schemas.microsoft.com/office/drawing/2014/main" id="{FD3C1995-4880-4D4A-B34F-AE37483022E9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41" name="$F$91">
            <a:extLst>
              <a:ext uri="{FF2B5EF4-FFF2-40B4-BE49-F238E27FC236}">
                <a16:creationId xmlns:a16="http://schemas.microsoft.com/office/drawing/2014/main" id="{FB46851F-37E0-4CD6-9335-E0375E550483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42" name="$F$91">
            <a:extLst>
              <a:ext uri="{FF2B5EF4-FFF2-40B4-BE49-F238E27FC236}">
                <a16:creationId xmlns:a16="http://schemas.microsoft.com/office/drawing/2014/main" id="{E6518A72-79C4-4E1B-9BF2-0173BDBC73CE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43" name="$F$91">
            <a:extLst>
              <a:ext uri="{FF2B5EF4-FFF2-40B4-BE49-F238E27FC236}">
                <a16:creationId xmlns:a16="http://schemas.microsoft.com/office/drawing/2014/main" id="{7D8B2A69-77A9-4FB2-A572-67B2FD7A8893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44" name="$F$91">
            <a:extLst>
              <a:ext uri="{FF2B5EF4-FFF2-40B4-BE49-F238E27FC236}">
                <a16:creationId xmlns:a16="http://schemas.microsoft.com/office/drawing/2014/main" id="{3DC7DD8A-71D4-44EA-8C9C-F9B421AC568A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45" name="$F$91">
            <a:extLst>
              <a:ext uri="{FF2B5EF4-FFF2-40B4-BE49-F238E27FC236}">
                <a16:creationId xmlns:a16="http://schemas.microsoft.com/office/drawing/2014/main" id="{89056FA5-AC55-4410-81D5-0D1545275CF9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46" name="$F$91">
            <a:extLst>
              <a:ext uri="{FF2B5EF4-FFF2-40B4-BE49-F238E27FC236}">
                <a16:creationId xmlns:a16="http://schemas.microsoft.com/office/drawing/2014/main" id="{EB1FB683-43BA-40C5-9A4D-A181C57907D1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47" name="$F$91">
            <a:extLst>
              <a:ext uri="{FF2B5EF4-FFF2-40B4-BE49-F238E27FC236}">
                <a16:creationId xmlns:a16="http://schemas.microsoft.com/office/drawing/2014/main" id="{6F29BAA3-DF14-47B5-ABE8-F814B6037E1D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48" name="$F$91">
            <a:extLst>
              <a:ext uri="{FF2B5EF4-FFF2-40B4-BE49-F238E27FC236}">
                <a16:creationId xmlns:a16="http://schemas.microsoft.com/office/drawing/2014/main" id="{8F6EA298-3C27-4640-B79A-B326E94CEC2C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49" name="$F$91">
            <a:extLst>
              <a:ext uri="{FF2B5EF4-FFF2-40B4-BE49-F238E27FC236}">
                <a16:creationId xmlns:a16="http://schemas.microsoft.com/office/drawing/2014/main" id="{E23F067D-FFD5-4CD9-B911-A8CCF789137F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50" name="$F$91">
            <a:extLst>
              <a:ext uri="{FF2B5EF4-FFF2-40B4-BE49-F238E27FC236}">
                <a16:creationId xmlns:a16="http://schemas.microsoft.com/office/drawing/2014/main" id="{99851B64-1FCE-4F79-B8C9-DDE512DD09D4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51" name="$F$91">
            <a:extLst>
              <a:ext uri="{FF2B5EF4-FFF2-40B4-BE49-F238E27FC236}">
                <a16:creationId xmlns:a16="http://schemas.microsoft.com/office/drawing/2014/main" id="{481C5D9C-FBE9-4673-B0CF-5B20BF868D4B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52" name="$F$91">
            <a:extLst>
              <a:ext uri="{FF2B5EF4-FFF2-40B4-BE49-F238E27FC236}">
                <a16:creationId xmlns:a16="http://schemas.microsoft.com/office/drawing/2014/main" id="{F5F81818-7785-4B64-AD1D-DA8E3A867F14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53" name="$F$91">
            <a:extLst>
              <a:ext uri="{FF2B5EF4-FFF2-40B4-BE49-F238E27FC236}">
                <a16:creationId xmlns:a16="http://schemas.microsoft.com/office/drawing/2014/main" id="{7CECAD7B-9535-45E3-95C2-7A8B3FB66DFE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54" name="$F$91">
            <a:extLst>
              <a:ext uri="{FF2B5EF4-FFF2-40B4-BE49-F238E27FC236}">
                <a16:creationId xmlns:a16="http://schemas.microsoft.com/office/drawing/2014/main" id="{B0B534EA-87E7-4225-864F-653FECA36E08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55" name="$F$91">
            <a:extLst>
              <a:ext uri="{FF2B5EF4-FFF2-40B4-BE49-F238E27FC236}">
                <a16:creationId xmlns:a16="http://schemas.microsoft.com/office/drawing/2014/main" id="{FB68E41C-E011-4E6D-89E0-CAE43A27826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56" name="$F$91">
            <a:extLst>
              <a:ext uri="{FF2B5EF4-FFF2-40B4-BE49-F238E27FC236}">
                <a16:creationId xmlns:a16="http://schemas.microsoft.com/office/drawing/2014/main" id="{04D5544E-B297-4B9A-BFC1-C69C6EBD3565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57" name="$F$91">
            <a:extLst>
              <a:ext uri="{FF2B5EF4-FFF2-40B4-BE49-F238E27FC236}">
                <a16:creationId xmlns:a16="http://schemas.microsoft.com/office/drawing/2014/main" id="{75252673-4CCF-4693-B49B-A06DD8A3F842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58" name="$F$91">
            <a:extLst>
              <a:ext uri="{FF2B5EF4-FFF2-40B4-BE49-F238E27FC236}">
                <a16:creationId xmlns:a16="http://schemas.microsoft.com/office/drawing/2014/main" id="{308EFB52-6933-4BE0-A60E-B4EE31266DC6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59" name="$F$91">
            <a:extLst>
              <a:ext uri="{FF2B5EF4-FFF2-40B4-BE49-F238E27FC236}">
                <a16:creationId xmlns:a16="http://schemas.microsoft.com/office/drawing/2014/main" id="{66045257-A253-4C54-9B75-015EFE765908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60" name="$F$91">
            <a:extLst>
              <a:ext uri="{FF2B5EF4-FFF2-40B4-BE49-F238E27FC236}">
                <a16:creationId xmlns:a16="http://schemas.microsoft.com/office/drawing/2014/main" id="{DD07345A-5C66-46E9-83D7-22A241514280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61" name="$F$91">
            <a:extLst>
              <a:ext uri="{FF2B5EF4-FFF2-40B4-BE49-F238E27FC236}">
                <a16:creationId xmlns:a16="http://schemas.microsoft.com/office/drawing/2014/main" id="{979165C4-99E7-4D35-9F54-5B9685E8CAE0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62" name="$F$91">
            <a:extLst>
              <a:ext uri="{FF2B5EF4-FFF2-40B4-BE49-F238E27FC236}">
                <a16:creationId xmlns:a16="http://schemas.microsoft.com/office/drawing/2014/main" id="{E942276C-F8BB-45BD-AB94-C4731490D4F1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63" name="$F$91">
            <a:extLst>
              <a:ext uri="{FF2B5EF4-FFF2-40B4-BE49-F238E27FC236}">
                <a16:creationId xmlns:a16="http://schemas.microsoft.com/office/drawing/2014/main" id="{DB7B6CBB-3BDA-4AC0-8936-828111DF637B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64" name="$F$91">
            <a:extLst>
              <a:ext uri="{FF2B5EF4-FFF2-40B4-BE49-F238E27FC236}">
                <a16:creationId xmlns:a16="http://schemas.microsoft.com/office/drawing/2014/main" id="{28711875-7CAC-4325-BD68-3926E4E36900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65" name="$F$91">
            <a:extLst>
              <a:ext uri="{FF2B5EF4-FFF2-40B4-BE49-F238E27FC236}">
                <a16:creationId xmlns:a16="http://schemas.microsoft.com/office/drawing/2014/main" id="{D3485D4A-D9DB-4E12-B284-2786BE6C6B8B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66" name="$F$91">
            <a:extLst>
              <a:ext uri="{FF2B5EF4-FFF2-40B4-BE49-F238E27FC236}">
                <a16:creationId xmlns:a16="http://schemas.microsoft.com/office/drawing/2014/main" id="{F675EAEF-8246-4750-90DF-466B25A06755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67" name="$F$91">
            <a:extLst>
              <a:ext uri="{FF2B5EF4-FFF2-40B4-BE49-F238E27FC236}">
                <a16:creationId xmlns:a16="http://schemas.microsoft.com/office/drawing/2014/main" id="{4D18C44B-3454-474F-BC3E-0C3AB489121F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68" name="$F$91">
            <a:extLst>
              <a:ext uri="{FF2B5EF4-FFF2-40B4-BE49-F238E27FC236}">
                <a16:creationId xmlns:a16="http://schemas.microsoft.com/office/drawing/2014/main" id="{506AB445-79CF-442D-959F-8D5B0256ADCC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69" name="$F$91">
            <a:extLst>
              <a:ext uri="{FF2B5EF4-FFF2-40B4-BE49-F238E27FC236}">
                <a16:creationId xmlns:a16="http://schemas.microsoft.com/office/drawing/2014/main" id="{42936760-F464-407C-AB2B-5BD163CD9595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70" name="$F$91">
            <a:extLst>
              <a:ext uri="{FF2B5EF4-FFF2-40B4-BE49-F238E27FC236}">
                <a16:creationId xmlns:a16="http://schemas.microsoft.com/office/drawing/2014/main" id="{1FCCDDB2-3391-44E4-8E8B-FB6C05E46632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71" name="$F$91">
            <a:extLst>
              <a:ext uri="{FF2B5EF4-FFF2-40B4-BE49-F238E27FC236}">
                <a16:creationId xmlns:a16="http://schemas.microsoft.com/office/drawing/2014/main" id="{1CD5BEAB-57F2-4176-86B5-67E4AED8B546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72" name="$F$91">
            <a:extLst>
              <a:ext uri="{FF2B5EF4-FFF2-40B4-BE49-F238E27FC236}">
                <a16:creationId xmlns:a16="http://schemas.microsoft.com/office/drawing/2014/main" id="{31E3292B-83CC-40F8-A3E8-A6749C75D0BF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73" name="$F$91">
            <a:extLst>
              <a:ext uri="{FF2B5EF4-FFF2-40B4-BE49-F238E27FC236}">
                <a16:creationId xmlns:a16="http://schemas.microsoft.com/office/drawing/2014/main" id="{B8EE08FB-C3F7-4BF2-BDDA-0A35B5ED4BFF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74" name="$F$91">
            <a:extLst>
              <a:ext uri="{FF2B5EF4-FFF2-40B4-BE49-F238E27FC236}">
                <a16:creationId xmlns:a16="http://schemas.microsoft.com/office/drawing/2014/main" id="{2D6F4433-3DCE-4FFB-9B8C-D467EEAC9569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75" name="$F$91">
            <a:extLst>
              <a:ext uri="{FF2B5EF4-FFF2-40B4-BE49-F238E27FC236}">
                <a16:creationId xmlns:a16="http://schemas.microsoft.com/office/drawing/2014/main" id="{565C18C5-4508-4B0C-A157-CC4C6AEAA222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76" name="$F$91">
            <a:extLst>
              <a:ext uri="{FF2B5EF4-FFF2-40B4-BE49-F238E27FC236}">
                <a16:creationId xmlns:a16="http://schemas.microsoft.com/office/drawing/2014/main" id="{93DB816F-3252-408F-852B-50E6787280CC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77" name="$F$91">
            <a:extLst>
              <a:ext uri="{FF2B5EF4-FFF2-40B4-BE49-F238E27FC236}">
                <a16:creationId xmlns:a16="http://schemas.microsoft.com/office/drawing/2014/main" id="{A04E33A1-6E99-4DA7-80B4-29E558E47292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78" name="$F$91">
            <a:extLst>
              <a:ext uri="{FF2B5EF4-FFF2-40B4-BE49-F238E27FC236}">
                <a16:creationId xmlns:a16="http://schemas.microsoft.com/office/drawing/2014/main" id="{DD22EE4E-DB06-446E-AD97-79432E009718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79" name="$F$91">
            <a:extLst>
              <a:ext uri="{FF2B5EF4-FFF2-40B4-BE49-F238E27FC236}">
                <a16:creationId xmlns:a16="http://schemas.microsoft.com/office/drawing/2014/main" id="{8FC94270-AAFA-48F2-B1D1-E6767EACE11B}"/>
              </a:ext>
            </a:extLst>
          </xdr:cNvPr>
          <xdr:cNvSpPr/>
        </xdr:nvSpPr>
        <xdr:spPr>
          <a:xfrm>
            <a:off x="12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80" name="$F$91">
            <a:extLst>
              <a:ext uri="{FF2B5EF4-FFF2-40B4-BE49-F238E27FC236}">
                <a16:creationId xmlns:a16="http://schemas.microsoft.com/office/drawing/2014/main" id="{7B5E4FEF-5656-4920-82F2-B77D8B6615EB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81" name="$F$91">
            <a:extLst>
              <a:ext uri="{FF2B5EF4-FFF2-40B4-BE49-F238E27FC236}">
                <a16:creationId xmlns:a16="http://schemas.microsoft.com/office/drawing/2014/main" id="{5AB79C86-8E25-4299-9C83-F2C5BC1DCF3A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82" name="$F$91">
            <a:extLst>
              <a:ext uri="{FF2B5EF4-FFF2-40B4-BE49-F238E27FC236}">
                <a16:creationId xmlns:a16="http://schemas.microsoft.com/office/drawing/2014/main" id="{4701E122-8688-4892-837C-3615E8C6E970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83" name="$F$91">
            <a:extLst>
              <a:ext uri="{FF2B5EF4-FFF2-40B4-BE49-F238E27FC236}">
                <a16:creationId xmlns:a16="http://schemas.microsoft.com/office/drawing/2014/main" id="{25CB888F-6534-4B3B-962B-A1957D851D41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84" name="$F$91">
            <a:extLst>
              <a:ext uri="{FF2B5EF4-FFF2-40B4-BE49-F238E27FC236}">
                <a16:creationId xmlns:a16="http://schemas.microsoft.com/office/drawing/2014/main" id="{FBB6A99E-4F45-4A7C-9816-FF59660BEA38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85" name="$F$91">
            <a:extLst>
              <a:ext uri="{FF2B5EF4-FFF2-40B4-BE49-F238E27FC236}">
                <a16:creationId xmlns:a16="http://schemas.microsoft.com/office/drawing/2014/main" id="{E2138B5B-F8CB-442B-93A7-1FD392A648DD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86" name="$F$91">
            <a:extLst>
              <a:ext uri="{FF2B5EF4-FFF2-40B4-BE49-F238E27FC236}">
                <a16:creationId xmlns:a16="http://schemas.microsoft.com/office/drawing/2014/main" id="{BF3B50BC-F68E-4CF6-BF7D-C445995DE59B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87" name="$F$91">
            <a:extLst>
              <a:ext uri="{FF2B5EF4-FFF2-40B4-BE49-F238E27FC236}">
                <a16:creationId xmlns:a16="http://schemas.microsoft.com/office/drawing/2014/main" id="{6B17E8C2-901F-42EA-9F88-3F5F49741233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88" name="$F$91">
            <a:extLst>
              <a:ext uri="{FF2B5EF4-FFF2-40B4-BE49-F238E27FC236}">
                <a16:creationId xmlns:a16="http://schemas.microsoft.com/office/drawing/2014/main" id="{DDA3B2D4-CD61-4F10-9FE0-89A1E05A9E67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89" name="$F$91">
            <a:extLst>
              <a:ext uri="{FF2B5EF4-FFF2-40B4-BE49-F238E27FC236}">
                <a16:creationId xmlns:a16="http://schemas.microsoft.com/office/drawing/2014/main" id="{6A25DAD9-5743-4B02-92F8-D57A81F83C1C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90" name="$F$91">
            <a:extLst>
              <a:ext uri="{FF2B5EF4-FFF2-40B4-BE49-F238E27FC236}">
                <a16:creationId xmlns:a16="http://schemas.microsoft.com/office/drawing/2014/main" id="{599A8231-314B-4BD2-8785-CC5D2E12A3F1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91" name="$F$91">
            <a:extLst>
              <a:ext uri="{FF2B5EF4-FFF2-40B4-BE49-F238E27FC236}">
                <a16:creationId xmlns:a16="http://schemas.microsoft.com/office/drawing/2014/main" id="{C1270AE5-B31C-449D-A041-3F1D0B0DEA75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92" name="$F$91">
            <a:extLst>
              <a:ext uri="{FF2B5EF4-FFF2-40B4-BE49-F238E27FC236}">
                <a16:creationId xmlns:a16="http://schemas.microsoft.com/office/drawing/2014/main" id="{2FE23B7B-6044-44C2-BA96-0C5D27FDB47A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93" name="$F$91">
            <a:extLst>
              <a:ext uri="{FF2B5EF4-FFF2-40B4-BE49-F238E27FC236}">
                <a16:creationId xmlns:a16="http://schemas.microsoft.com/office/drawing/2014/main" id="{1A83F4AC-04CF-44EE-92D1-61F8E82255F8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94" name="$F$91">
            <a:extLst>
              <a:ext uri="{FF2B5EF4-FFF2-40B4-BE49-F238E27FC236}">
                <a16:creationId xmlns:a16="http://schemas.microsoft.com/office/drawing/2014/main" id="{88092F29-EC73-4806-9F05-851920A34145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95" name="$F$91">
            <a:extLst>
              <a:ext uri="{FF2B5EF4-FFF2-40B4-BE49-F238E27FC236}">
                <a16:creationId xmlns:a16="http://schemas.microsoft.com/office/drawing/2014/main" id="{20553785-0EAE-435E-8E04-BCF4452BC3F1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96" name="$F$91">
            <a:extLst>
              <a:ext uri="{FF2B5EF4-FFF2-40B4-BE49-F238E27FC236}">
                <a16:creationId xmlns:a16="http://schemas.microsoft.com/office/drawing/2014/main" id="{57D896FF-E91C-4D0D-B1E8-5D1C57101539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97" name="$F$91">
            <a:extLst>
              <a:ext uri="{FF2B5EF4-FFF2-40B4-BE49-F238E27FC236}">
                <a16:creationId xmlns:a16="http://schemas.microsoft.com/office/drawing/2014/main" id="{4FE9EFED-6CE6-4897-BC50-24D034E450F9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98" name="$F$91">
            <a:extLst>
              <a:ext uri="{FF2B5EF4-FFF2-40B4-BE49-F238E27FC236}">
                <a16:creationId xmlns:a16="http://schemas.microsoft.com/office/drawing/2014/main" id="{E818FF12-76C5-4B41-8C48-39AFBD490B67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799" name="$F$91">
            <a:extLst>
              <a:ext uri="{FF2B5EF4-FFF2-40B4-BE49-F238E27FC236}">
                <a16:creationId xmlns:a16="http://schemas.microsoft.com/office/drawing/2014/main" id="{E0877531-A59C-484B-9C6B-EAEAABED86E7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00" name="$F$91">
            <a:extLst>
              <a:ext uri="{FF2B5EF4-FFF2-40B4-BE49-F238E27FC236}">
                <a16:creationId xmlns:a16="http://schemas.microsoft.com/office/drawing/2014/main" id="{5C092938-A2DF-433F-AB64-6CCBDD35227F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01" name="$F$91">
            <a:extLst>
              <a:ext uri="{FF2B5EF4-FFF2-40B4-BE49-F238E27FC236}">
                <a16:creationId xmlns:a16="http://schemas.microsoft.com/office/drawing/2014/main" id="{D7643EEA-CEA9-4FFA-8B0B-0D631862FD39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02" name="$F$91">
            <a:extLst>
              <a:ext uri="{FF2B5EF4-FFF2-40B4-BE49-F238E27FC236}">
                <a16:creationId xmlns:a16="http://schemas.microsoft.com/office/drawing/2014/main" id="{E8D77EF1-570E-48EC-BC99-899A908ED835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03" name="$F$91">
            <a:extLst>
              <a:ext uri="{FF2B5EF4-FFF2-40B4-BE49-F238E27FC236}">
                <a16:creationId xmlns:a16="http://schemas.microsoft.com/office/drawing/2014/main" id="{EC8A9920-0FA6-40C7-BF46-DC0FB31A395C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04" name="$F$91">
            <a:extLst>
              <a:ext uri="{FF2B5EF4-FFF2-40B4-BE49-F238E27FC236}">
                <a16:creationId xmlns:a16="http://schemas.microsoft.com/office/drawing/2014/main" id="{167ACB13-6B9E-4E46-9483-49349D9D6584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05" name="$F$91">
            <a:extLst>
              <a:ext uri="{FF2B5EF4-FFF2-40B4-BE49-F238E27FC236}">
                <a16:creationId xmlns:a16="http://schemas.microsoft.com/office/drawing/2014/main" id="{BBAC985E-39B9-4529-9B20-F70E8175DC17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06" name="$F$91">
            <a:extLst>
              <a:ext uri="{FF2B5EF4-FFF2-40B4-BE49-F238E27FC236}">
                <a16:creationId xmlns:a16="http://schemas.microsoft.com/office/drawing/2014/main" id="{6A425CEB-91A8-496E-B32A-6C552CA5E962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07" name="$F$91">
            <a:extLst>
              <a:ext uri="{FF2B5EF4-FFF2-40B4-BE49-F238E27FC236}">
                <a16:creationId xmlns:a16="http://schemas.microsoft.com/office/drawing/2014/main" id="{8FF01B9A-DF1A-4A05-B965-0AEDE9B0DCB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08" name="$F$91">
            <a:extLst>
              <a:ext uri="{FF2B5EF4-FFF2-40B4-BE49-F238E27FC236}">
                <a16:creationId xmlns:a16="http://schemas.microsoft.com/office/drawing/2014/main" id="{9A655C5C-B5E0-4CAB-A3CB-8D6DE56EAD04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09" name="$F$91">
            <a:extLst>
              <a:ext uri="{FF2B5EF4-FFF2-40B4-BE49-F238E27FC236}">
                <a16:creationId xmlns:a16="http://schemas.microsoft.com/office/drawing/2014/main" id="{8BAD00D6-6317-4E41-A67A-6786A2A28F84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10" name="$F$91">
            <a:extLst>
              <a:ext uri="{FF2B5EF4-FFF2-40B4-BE49-F238E27FC236}">
                <a16:creationId xmlns:a16="http://schemas.microsoft.com/office/drawing/2014/main" id="{7FCF7775-3B1B-4A20-97BF-9C1A7A92083E}"/>
              </a:ext>
            </a:extLst>
          </xdr:cNvPr>
          <xdr:cNvSpPr/>
        </xdr:nvSpPr>
        <xdr:spPr>
          <a:xfrm>
            <a:off x="12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11" name="$F$91">
            <a:extLst>
              <a:ext uri="{FF2B5EF4-FFF2-40B4-BE49-F238E27FC236}">
                <a16:creationId xmlns:a16="http://schemas.microsoft.com/office/drawing/2014/main" id="{69601731-8C47-4791-903D-C384ABE62952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12" name="$F$91">
            <a:extLst>
              <a:ext uri="{FF2B5EF4-FFF2-40B4-BE49-F238E27FC236}">
                <a16:creationId xmlns:a16="http://schemas.microsoft.com/office/drawing/2014/main" id="{042F4D89-31D9-4EEE-B26E-C0197D337575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13" name="$F$91">
            <a:extLst>
              <a:ext uri="{FF2B5EF4-FFF2-40B4-BE49-F238E27FC236}">
                <a16:creationId xmlns:a16="http://schemas.microsoft.com/office/drawing/2014/main" id="{B487CA9F-6858-491C-8F0B-8F76E09D5386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14" name="$F$91">
            <a:extLst>
              <a:ext uri="{FF2B5EF4-FFF2-40B4-BE49-F238E27FC236}">
                <a16:creationId xmlns:a16="http://schemas.microsoft.com/office/drawing/2014/main" id="{0579453E-0A37-44F4-893E-4D71F3881CEE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15" name="$F$91">
            <a:extLst>
              <a:ext uri="{FF2B5EF4-FFF2-40B4-BE49-F238E27FC236}">
                <a16:creationId xmlns:a16="http://schemas.microsoft.com/office/drawing/2014/main" id="{AFD422C4-EBDC-4A56-B198-96810E384122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16" name="$F$91">
            <a:extLst>
              <a:ext uri="{FF2B5EF4-FFF2-40B4-BE49-F238E27FC236}">
                <a16:creationId xmlns:a16="http://schemas.microsoft.com/office/drawing/2014/main" id="{849670BF-590E-4FE9-A6FB-D529154FEFF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17" name="$F$91">
            <a:extLst>
              <a:ext uri="{FF2B5EF4-FFF2-40B4-BE49-F238E27FC236}">
                <a16:creationId xmlns:a16="http://schemas.microsoft.com/office/drawing/2014/main" id="{B6130CCC-51E7-49DD-BDA4-9AF351C2B9A1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18" name="$F$91">
            <a:extLst>
              <a:ext uri="{FF2B5EF4-FFF2-40B4-BE49-F238E27FC236}">
                <a16:creationId xmlns:a16="http://schemas.microsoft.com/office/drawing/2014/main" id="{982D6E5A-5400-4563-A92E-09558AF2857C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19" name="$F$91">
            <a:extLst>
              <a:ext uri="{FF2B5EF4-FFF2-40B4-BE49-F238E27FC236}">
                <a16:creationId xmlns:a16="http://schemas.microsoft.com/office/drawing/2014/main" id="{8AA98B8D-0B5A-4001-82FE-45CD82E14217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20" name="$F$91">
            <a:extLst>
              <a:ext uri="{FF2B5EF4-FFF2-40B4-BE49-F238E27FC236}">
                <a16:creationId xmlns:a16="http://schemas.microsoft.com/office/drawing/2014/main" id="{A0C2EBCE-D756-4BF0-82D2-E4647A1408D4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21" name="$F$91">
            <a:extLst>
              <a:ext uri="{FF2B5EF4-FFF2-40B4-BE49-F238E27FC236}">
                <a16:creationId xmlns:a16="http://schemas.microsoft.com/office/drawing/2014/main" id="{FFB532DE-771A-46A6-8B28-42DDB72D3D76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22" name="$F$91">
            <a:extLst>
              <a:ext uri="{FF2B5EF4-FFF2-40B4-BE49-F238E27FC236}">
                <a16:creationId xmlns:a16="http://schemas.microsoft.com/office/drawing/2014/main" id="{8118D4A7-7B07-467B-AE09-F7F183D5BBC5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23" name="$F$91">
            <a:extLst>
              <a:ext uri="{FF2B5EF4-FFF2-40B4-BE49-F238E27FC236}">
                <a16:creationId xmlns:a16="http://schemas.microsoft.com/office/drawing/2014/main" id="{DB521142-B8E2-4578-AC18-3C722918B839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24" name="$F$91">
            <a:extLst>
              <a:ext uri="{FF2B5EF4-FFF2-40B4-BE49-F238E27FC236}">
                <a16:creationId xmlns:a16="http://schemas.microsoft.com/office/drawing/2014/main" id="{CC6A6717-D3E5-4C47-817D-2CC2B1F20B29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25" name="$F$91">
            <a:extLst>
              <a:ext uri="{FF2B5EF4-FFF2-40B4-BE49-F238E27FC236}">
                <a16:creationId xmlns:a16="http://schemas.microsoft.com/office/drawing/2014/main" id="{493B1ED0-D369-4804-803B-4456FFEE4ABB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26" name="$F$91">
            <a:extLst>
              <a:ext uri="{FF2B5EF4-FFF2-40B4-BE49-F238E27FC236}">
                <a16:creationId xmlns:a16="http://schemas.microsoft.com/office/drawing/2014/main" id="{AF60A0AF-902B-4C6B-9FFF-4FD9C22F80A1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27" name="$F$91">
            <a:extLst>
              <a:ext uri="{FF2B5EF4-FFF2-40B4-BE49-F238E27FC236}">
                <a16:creationId xmlns:a16="http://schemas.microsoft.com/office/drawing/2014/main" id="{80463323-92F9-497F-A864-A716732D367E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28" name="$F$91">
            <a:extLst>
              <a:ext uri="{FF2B5EF4-FFF2-40B4-BE49-F238E27FC236}">
                <a16:creationId xmlns:a16="http://schemas.microsoft.com/office/drawing/2014/main" id="{B226CAB7-455A-4A37-A3EF-D2003A1DC752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29" name="$F$91">
            <a:extLst>
              <a:ext uri="{FF2B5EF4-FFF2-40B4-BE49-F238E27FC236}">
                <a16:creationId xmlns:a16="http://schemas.microsoft.com/office/drawing/2014/main" id="{C2F18D5A-4FDD-4B93-B884-50C839758C07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30" name="$F$91">
            <a:extLst>
              <a:ext uri="{FF2B5EF4-FFF2-40B4-BE49-F238E27FC236}">
                <a16:creationId xmlns:a16="http://schemas.microsoft.com/office/drawing/2014/main" id="{06A46677-9237-4FBF-AC2C-1AC781B1EE46}"/>
              </a:ext>
            </a:extLst>
          </xdr:cNvPr>
          <xdr:cNvSpPr/>
        </xdr:nvSpPr>
        <xdr:spPr>
          <a:xfrm>
            <a:off x="63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31" name="$F$91">
            <a:extLst>
              <a:ext uri="{FF2B5EF4-FFF2-40B4-BE49-F238E27FC236}">
                <a16:creationId xmlns:a16="http://schemas.microsoft.com/office/drawing/2014/main" id="{738817B7-D1C6-4B45-8CF3-ECACE1D9D53D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32" name="$F$91">
            <a:extLst>
              <a:ext uri="{FF2B5EF4-FFF2-40B4-BE49-F238E27FC236}">
                <a16:creationId xmlns:a16="http://schemas.microsoft.com/office/drawing/2014/main" id="{A3AD949B-7E0B-41D1-9A3D-965349243997}"/>
              </a:ext>
            </a:extLst>
          </xdr:cNvPr>
          <xdr:cNvSpPr/>
        </xdr:nvSpPr>
        <xdr:spPr>
          <a:xfrm>
            <a:off x="88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33" name="$F$91">
            <a:extLst>
              <a:ext uri="{FF2B5EF4-FFF2-40B4-BE49-F238E27FC236}">
                <a16:creationId xmlns:a16="http://schemas.microsoft.com/office/drawing/2014/main" id="{30D8DCBA-5508-42C6-B52C-F836CD4657E2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34" name="$F$91">
            <a:extLst>
              <a:ext uri="{FF2B5EF4-FFF2-40B4-BE49-F238E27FC236}">
                <a16:creationId xmlns:a16="http://schemas.microsoft.com/office/drawing/2014/main" id="{005E4222-68AE-4AF5-A334-6F505530C99E}"/>
              </a:ext>
            </a:extLst>
          </xdr:cNvPr>
          <xdr:cNvSpPr/>
        </xdr:nvSpPr>
        <xdr:spPr>
          <a:xfrm>
            <a:off x="127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35" name="$F$91">
            <a:extLst>
              <a:ext uri="{FF2B5EF4-FFF2-40B4-BE49-F238E27FC236}">
                <a16:creationId xmlns:a16="http://schemas.microsoft.com/office/drawing/2014/main" id="{BBE72CFB-8E8E-4563-BED1-F938B460A45A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36" name="$F$91">
            <a:extLst>
              <a:ext uri="{FF2B5EF4-FFF2-40B4-BE49-F238E27FC236}">
                <a16:creationId xmlns:a16="http://schemas.microsoft.com/office/drawing/2014/main" id="{A7617FB2-2E6C-4F07-A4EE-7FB9CB4C199A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37" name="$F$91">
            <a:extLst>
              <a:ext uri="{FF2B5EF4-FFF2-40B4-BE49-F238E27FC236}">
                <a16:creationId xmlns:a16="http://schemas.microsoft.com/office/drawing/2014/main" id="{6FF5A8FA-B000-4629-90F5-04D792BFEF35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38" name="$F$91">
            <a:extLst>
              <a:ext uri="{FF2B5EF4-FFF2-40B4-BE49-F238E27FC236}">
                <a16:creationId xmlns:a16="http://schemas.microsoft.com/office/drawing/2014/main" id="{10AE4ABA-B71D-4ED1-ABDA-AEB957B28493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39" name="$F$91">
            <a:extLst>
              <a:ext uri="{FF2B5EF4-FFF2-40B4-BE49-F238E27FC236}">
                <a16:creationId xmlns:a16="http://schemas.microsoft.com/office/drawing/2014/main" id="{46A00683-3460-47D2-8D19-30A11B6C3756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40" name="$F$91">
            <a:extLst>
              <a:ext uri="{FF2B5EF4-FFF2-40B4-BE49-F238E27FC236}">
                <a16:creationId xmlns:a16="http://schemas.microsoft.com/office/drawing/2014/main" id="{75663CF2-2002-4DFD-98F6-369AE68A4A4F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41" name="$F$91">
            <a:extLst>
              <a:ext uri="{FF2B5EF4-FFF2-40B4-BE49-F238E27FC236}">
                <a16:creationId xmlns:a16="http://schemas.microsoft.com/office/drawing/2014/main" id="{6AB2CEF3-8521-4669-9EA2-790023AB010B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42" name="$F$91">
            <a:extLst>
              <a:ext uri="{FF2B5EF4-FFF2-40B4-BE49-F238E27FC236}">
                <a16:creationId xmlns:a16="http://schemas.microsoft.com/office/drawing/2014/main" id="{947AEEA0-CF9A-4F44-B76E-46585D1DA792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43" name="$F$91">
            <a:extLst>
              <a:ext uri="{FF2B5EF4-FFF2-40B4-BE49-F238E27FC236}">
                <a16:creationId xmlns:a16="http://schemas.microsoft.com/office/drawing/2014/main" id="{1DEE7BFB-D830-4140-A5D2-30D6D0AA6182}"/>
              </a:ext>
            </a:extLst>
          </xdr:cNvPr>
          <xdr:cNvSpPr/>
        </xdr:nvSpPr>
        <xdr:spPr>
          <a:xfrm>
            <a:off x="12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44" name="$F$91">
            <a:extLst>
              <a:ext uri="{FF2B5EF4-FFF2-40B4-BE49-F238E27FC236}">
                <a16:creationId xmlns:a16="http://schemas.microsoft.com/office/drawing/2014/main" id="{A9C6B074-AAC1-41C0-8BA1-BC02B0D8E741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45" name="$F$91">
            <a:extLst>
              <a:ext uri="{FF2B5EF4-FFF2-40B4-BE49-F238E27FC236}">
                <a16:creationId xmlns:a16="http://schemas.microsoft.com/office/drawing/2014/main" id="{8C1FAE51-4709-4A79-B8C9-CCA4C37DAB3D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46" name="$F$91">
            <a:extLst>
              <a:ext uri="{FF2B5EF4-FFF2-40B4-BE49-F238E27FC236}">
                <a16:creationId xmlns:a16="http://schemas.microsoft.com/office/drawing/2014/main" id="{6D0F7C6A-8C5A-4B20-9B94-4E717B77631D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47" name="$F$91">
            <a:extLst>
              <a:ext uri="{FF2B5EF4-FFF2-40B4-BE49-F238E27FC236}">
                <a16:creationId xmlns:a16="http://schemas.microsoft.com/office/drawing/2014/main" id="{52F5CCD8-0FF3-42B8-BD08-5A87E817521E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48" name="$F$91">
            <a:extLst>
              <a:ext uri="{FF2B5EF4-FFF2-40B4-BE49-F238E27FC236}">
                <a16:creationId xmlns:a16="http://schemas.microsoft.com/office/drawing/2014/main" id="{42DCC416-E110-4E76-A9E9-D4CEA781512C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49" name="$F$91">
            <a:extLst>
              <a:ext uri="{FF2B5EF4-FFF2-40B4-BE49-F238E27FC236}">
                <a16:creationId xmlns:a16="http://schemas.microsoft.com/office/drawing/2014/main" id="{3E5FFCF8-4D83-4D9B-B51B-32F417580D9B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50" name="$F$91">
            <a:extLst>
              <a:ext uri="{FF2B5EF4-FFF2-40B4-BE49-F238E27FC236}">
                <a16:creationId xmlns:a16="http://schemas.microsoft.com/office/drawing/2014/main" id="{4BB9281E-9DCA-40F3-AD40-2BCCD1B8AB37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51" name="$F$91">
            <a:extLst>
              <a:ext uri="{FF2B5EF4-FFF2-40B4-BE49-F238E27FC236}">
                <a16:creationId xmlns:a16="http://schemas.microsoft.com/office/drawing/2014/main" id="{FE4B9B88-385E-44CA-B6F4-5C6EA93DA497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52" name="$F$91">
            <a:extLst>
              <a:ext uri="{FF2B5EF4-FFF2-40B4-BE49-F238E27FC236}">
                <a16:creationId xmlns:a16="http://schemas.microsoft.com/office/drawing/2014/main" id="{74D453AE-7F85-45F5-978B-7CE21A72B056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53" name="$F$91">
            <a:extLst>
              <a:ext uri="{FF2B5EF4-FFF2-40B4-BE49-F238E27FC236}">
                <a16:creationId xmlns:a16="http://schemas.microsoft.com/office/drawing/2014/main" id="{5D040510-5B6F-4FCA-9785-F73079943F67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54" name="$F$91">
            <a:extLst>
              <a:ext uri="{FF2B5EF4-FFF2-40B4-BE49-F238E27FC236}">
                <a16:creationId xmlns:a16="http://schemas.microsoft.com/office/drawing/2014/main" id="{9A4866F0-5911-4108-9815-CA76BF7D1DAA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55" name="$F$91">
            <a:extLst>
              <a:ext uri="{FF2B5EF4-FFF2-40B4-BE49-F238E27FC236}">
                <a16:creationId xmlns:a16="http://schemas.microsoft.com/office/drawing/2014/main" id="{14C3F0B2-D6B1-4509-A289-A077E6B3A2BC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56" name="$F$91">
            <a:extLst>
              <a:ext uri="{FF2B5EF4-FFF2-40B4-BE49-F238E27FC236}">
                <a16:creationId xmlns:a16="http://schemas.microsoft.com/office/drawing/2014/main" id="{8E0DEEBB-A59E-4553-92CF-C8A215D2B544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57" name="$F$91">
            <a:extLst>
              <a:ext uri="{FF2B5EF4-FFF2-40B4-BE49-F238E27FC236}">
                <a16:creationId xmlns:a16="http://schemas.microsoft.com/office/drawing/2014/main" id="{A6AA21BC-36E8-424A-879A-4B7A81991878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58" name="$F$91">
            <a:extLst>
              <a:ext uri="{FF2B5EF4-FFF2-40B4-BE49-F238E27FC236}">
                <a16:creationId xmlns:a16="http://schemas.microsoft.com/office/drawing/2014/main" id="{EA5E2FC9-B979-46A9-B76B-F2B698CB988D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59" name="$F$91">
            <a:extLst>
              <a:ext uri="{FF2B5EF4-FFF2-40B4-BE49-F238E27FC236}">
                <a16:creationId xmlns:a16="http://schemas.microsoft.com/office/drawing/2014/main" id="{FFB5C437-BBD4-4066-9911-4F07EE8827B1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60" name="$F$91">
            <a:extLst>
              <a:ext uri="{FF2B5EF4-FFF2-40B4-BE49-F238E27FC236}">
                <a16:creationId xmlns:a16="http://schemas.microsoft.com/office/drawing/2014/main" id="{78291F1D-7497-47E6-BF8E-BD25870DD0FE}"/>
              </a:ext>
            </a:extLst>
          </xdr:cNvPr>
          <xdr:cNvSpPr/>
        </xdr:nvSpPr>
        <xdr:spPr>
          <a:xfrm>
            <a:off x="101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61" name="$F$91">
            <a:extLst>
              <a:ext uri="{FF2B5EF4-FFF2-40B4-BE49-F238E27FC236}">
                <a16:creationId xmlns:a16="http://schemas.microsoft.com/office/drawing/2014/main" id="{631B88D6-09EF-4FFD-9A51-7D0782BEBBA5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62" name="$F$91">
            <a:extLst>
              <a:ext uri="{FF2B5EF4-FFF2-40B4-BE49-F238E27FC236}">
                <a16:creationId xmlns:a16="http://schemas.microsoft.com/office/drawing/2014/main" id="{9E21A9BA-2B87-4BC8-A420-BDC68C4CA862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63" name="$F$91">
            <a:extLst>
              <a:ext uri="{FF2B5EF4-FFF2-40B4-BE49-F238E27FC236}">
                <a16:creationId xmlns:a16="http://schemas.microsoft.com/office/drawing/2014/main" id="{DC461E5F-C8B3-4BE9-BFB7-9B19B04B747A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64" name="$F$91">
            <a:extLst>
              <a:ext uri="{FF2B5EF4-FFF2-40B4-BE49-F238E27FC236}">
                <a16:creationId xmlns:a16="http://schemas.microsoft.com/office/drawing/2014/main" id="{8889E752-33C8-49CB-918B-8CC36CEAFA17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65" name="$F$91">
            <a:extLst>
              <a:ext uri="{FF2B5EF4-FFF2-40B4-BE49-F238E27FC236}">
                <a16:creationId xmlns:a16="http://schemas.microsoft.com/office/drawing/2014/main" id="{8A85EBE2-D1CA-4C52-BBDD-C691137AC7E4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66" name="$F$91">
            <a:extLst>
              <a:ext uri="{FF2B5EF4-FFF2-40B4-BE49-F238E27FC236}">
                <a16:creationId xmlns:a16="http://schemas.microsoft.com/office/drawing/2014/main" id="{B085C9E3-403B-4273-88AE-A2AE0CBD2D4B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67" name="$F$91">
            <a:extLst>
              <a:ext uri="{FF2B5EF4-FFF2-40B4-BE49-F238E27FC236}">
                <a16:creationId xmlns:a16="http://schemas.microsoft.com/office/drawing/2014/main" id="{DD3C8F1A-27F2-4724-AB12-21284DF1D3C1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68" name="$F$91">
            <a:extLst>
              <a:ext uri="{FF2B5EF4-FFF2-40B4-BE49-F238E27FC236}">
                <a16:creationId xmlns:a16="http://schemas.microsoft.com/office/drawing/2014/main" id="{B9EB78E0-B972-434D-8BB0-00397A90EA5D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69" name="$F$91">
            <a:extLst>
              <a:ext uri="{FF2B5EF4-FFF2-40B4-BE49-F238E27FC236}">
                <a16:creationId xmlns:a16="http://schemas.microsoft.com/office/drawing/2014/main" id="{DD5E9C9D-917D-40F4-9E5F-2F664736BBA7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70" name="$F$91">
            <a:extLst>
              <a:ext uri="{FF2B5EF4-FFF2-40B4-BE49-F238E27FC236}">
                <a16:creationId xmlns:a16="http://schemas.microsoft.com/office/drawing/2014/main" id="{D17CC891-CAE2-4E8F-BD7C-5FDE609DD515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71" name="$F$91">
            <a:extLst>
              <a:ext uri="{FF2B5EF4-FFF2-40B4-BE49-F238E27FC236}">
                <a16:creationId xmlns:a16="http://schemas.microsoft.com/office/drawing/2014/main" id="{A329ED95-CD5E-40C6-82E3-53712FE1C74E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72" name="$F$91">
            <a:extLst>
              <a:ext uri="{FF2B5EF4-FFF2-40B4-BE49-F238E27FC236}">
                <a16:creationId xmlns:a16="http://schemas.microsoft.com/office/drawing/2014/main" id="{B14E7F0B-58D3-4B03-B805-46056FAB32D6}"/>
              </a:ext>
            </a:extLst>
          </xdr:cNvPr>
          <xdr:cNvSpPr/>
        </xdr:nvSpPr>
        <xdr:spPr>
          <a:xfrm>
            <a:off x="63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73" name="$F$91">
            <a:extLst>
              <a:ext uri="{FF2B5EF4-FFF2-40B4-BE49-F238E27FC236}">
                <a16:creationId xmlns:a16="http://schemas.microsoft.com/office/drawing/2014/main" id="{8A93492A-707C-4B21-9C92-A5DC7EE2D5B7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74" name="$F$91">
            <a:extLst>
              <a:ext uri="{FF2B5EF4-FFF2-40B4-BE49-F238E27FC236}">
                <a16:creationId xmlns:a16="http://schemas.microsoft.com/office/drawing/2014/main" id="{C90B78E8-5523-4CFF-ADA5-0928E65BCA8E}"/>
              </a:ext>
            </a:extLst>
          </xdr:cNvPr>
          <xdr:cNvSpPr/>
        </xdr:nvSpPr>
        <xdr:spPr>
          <a:xfrm>
            <a:off x="165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75" name="$F$91">
            <a:extLst>
              <a:ext uri="{FF2B5EF4-FFF2-40B4-BE49-F238E27FC236}">
                <a16:creationId xmlns:a16="http://schemas.microsoft.com/office/drawing/2014/main" id="{DC35094B-040D-41E3-9702-473327A00FAD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76" name="$F$91">
            <a:extLst>
              <a:ext uri="{FF2B5EF4-FFF2-40B4-BE49-F238E27FC236}">
                <a16:creationId xmlns:a16="http://schemas.microsoft.com/office/drawing/2014/main" id="{BC242E76-BEA2-47E1-ACEB-66572AF8209B}"/>
              </a:ext>
            </a:extLst>
          </xdr:cNvPr>
          <xdr:cNvSpPr/>
        </xdr:nvSpPr>
        <xdr:spPr>
          <a:xfrm>
            <a:off x="215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77" name="$F$91">
            <a:extLst>
              <a:ext uri="{FF2B5EF4-FFF2-40B4-BE49-F238E27FC236}">
                <a16:creationId xmlns:a16="http://schemas.microsoft.com/office/drawing/2014/main" id="{376B4ED7-C69F-47B8-91A4-2A4AFBCDA2F1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78" name="$F$91">
            <a:extLst>
              <a:ext uri="{FF2B5EF4-FFF2-40B4-BE49-F238E27FC236}">
                <a16:creationId xmlns:a16="http://schemas.microsoft.com/office/drawing/2014/main" id="{D94F6E1E-EAF2-4130-835D-503B446353AE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79" name="$F$91">
            <a:extLst>
              <a:ext uri="{FF2B5EF4-FFF2-40B4-BE49-F238E27FC236}">
                <a16:creationId xmlns:a16="http://schemas.microsoft.com/office/drawing/2014/main" id="{D093962B-C1EB-40F3-90F2-ACFFD4DFCFC6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0" name="$F$91">
            <a:extLst>
              <a:ext uri="{FF2B5EF4-FFF2-40B4-BE49-F238E27FC236}">
                <a16:creationId xmlns:a16="http://schemas.microsoft.com/office/drawing/2014/main" id="{8BBF6031-C472-44EE-AC7F-4FB0181E8881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1" name="$F$91">
            <a:extLst>
              <a:ext uri="{FF2B5EF4-FFF2-40B4-BE49-F238E27FC236}">
                <a16:creationId xmlns:a16="http://schemas.microsoft.com/office/drawing/2014/main" id="{C7A02120-C083-467A-8065-537E00280231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2" name="$F$91">
            <a:extLst>
              <a:ext uri="{FF2B5EF4-FFF2-40B4-BE49-F238E27FC236}">
                <a16:creationId xmlns:a16="http://schemas.microsoft.com/office/drawing/2014/main" id="{C081E063-6ED6-42E8-B50D-30F7DDA952EC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3" name="$F$91">
            <a:extLst>
              <a:ext uri="{FF2B5EF4-FFF2-40B4-BE49-F238E27FC236}">
                <a16:creationId xmlns:a16="http://schemas.microsoft.com/office/drawing/2014/main" id="{3A159B41-54B4-4BA6-A720-06D14268790C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4" name="$F$91">
            <a:extLst>
              <a:ext uri="{FF2B5EF4-FFF2-40B4-BE49-F238E27FC236}">
                <a16:creationId xmlns:a16="http://schemas.microsoft.com/office/drawing/2014/main" id="{C28FC127-4AF1-4D98-ACCC-368F717B333C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5" name="$F$91">
            <a:extLst>
              <a:ext uri="{FF2B5EF4-FFF2-40B4-BE49-F238E27FC236}">
                <a16:creationId xmlns:a16="http://schemas.microsoft.com/office/drawing/2014/main" id="{F5517A28-1492-48BD-A08E-19495A0BAE92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6" name="$F$91">
            <a:extLst>
              <a:ext uri="{FF2B5EF4-FFF2-40B4-BE49-F238E27FC236}">
                <a16:creationId xmlns:a16="http://schemas.microsoft.com/office/drawing/2014/main" id="{AE00B3FC-12BE-409B-9516-27402B4E0B07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7" name="$F$91">
            <a:extLst>
              <a:ext uri="{FF2B5EF4-FFF2-40B4-BE49-F238E27FC236}">
                <a16:creationId xmlns:a16="http://schemas.microsoft.com/office/drawing/2014/main" id="{227C4BDA-192E-426F-9C8A-F6A937D4AC71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8" name="$F$91">
            <a:extLst>
              <a:ext uri="{FF2B5EF4-FFF2-40B4-BE49-F238E27FC236}">
                <a16:creationId xmlns:a16="http://schemas.microsoft.com/office/drawing/2014/main" id="{584622D2-170E-44F8-A00F-4A70FA421815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9" name="$F$91">
            <a:extLst>
              <a:ext uri="{FF2B5EF4-FFF2-40B4-BE49-F238E27FC236}">
                <a16:creationId xmlns:a16="http://schemas.microsoft.com/office/drawing/2014/main" id="{844682DD-E033-475C-B518-3C3344B2657C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0" name="$F$91">
            <a:extLst>
              <a:ext uri="{FF2B5EF4-FFF2-40B4-BE49-F238E27FC236}">
                <a16:creationId xmlns:a16="http://schemas.microsoft.com/office/drawing/2014/main" id="{2CB16C7F-E592-49D2-85B1-ADAA65AF41CB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1" name="$F$91">
            <a:extLst>
              <a:ext uri="{FF2B5EF4-FFF2-40B4-BE49-F238E27FC236}">
                <a16:creationId xmlns:a16="http://schemas.microsoft.com/office/drawing/2014/main" id="{3EB976E8-3160-4756-A676-BCBA37A0A2C8}"/>
              </a:ext>
            </a:extLst>
          </xdr:cNvPr>
          <xdr:cNvSpPr/>
        </xdr:nvSpPr>
        <xdr:spPr>
          <a:xfrm>
            <a:off x="88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2" name="$F$91">
            <a:extLst>
              <a:ext uri="{FF2B5EF4-FFF2-40B4-BE49-F238E27FC236}">
                <a16:creationId xmlns:a16="http://schemas.microsoft.com/office/drawing/2014/main" id="{34E9ECA2-19EE-4A7E-A446-1FD69072C562}"/>
              </a:ext>
            </a:extLst>
          </xdr:cNvPr>
          <xdr:cNvSpPr/>
        </xdr:nvSpPr>
        <xdr:spPr>
          <a:xfrm>
            <a:off x="101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3" name="$F$91">
            <a:extLst>
              <a:ext uri="{FF2B5EF4-FFF2-40B4-BE49-F238E27FC236}">
                <a16:creationId xmlns:a16="http://schemas.microsoft.com/office/drawing/2014/main" id="{7AFA17EC-D3C8-4FFF-B89E-B7B425FB9CE6}"/>
              </a:ext>
            </a:extLst>
          </xdr:cNvPr>
          <xdr:cNvSpPr/>
        </xdr:nvSpPr>
        <xdr:spPr>
          <a:xfrm>
            <a:off x="114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4" name="$F$91">
            <a:extLst>
              <a:ext uri="{FF2B5EF4-FFF2-40B4-BE49-F238E27FC236}">
                <a16:creationId xmlns:a16="http://schemas.microsoft.com/office/drawing/2014/main" id="{87DC8E24-BB26-48D2-9540-237EEA14DC68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5" name="$F$91">
            <a:extLst>
              <a:ext uri="{FF2B5EF4-FFF2-40B4-BE49-F238E27FC236}">
                <a16:creationId xmlns:a16="http://schemas.microsoft.com/office/drawing/2014/main" id="{79115210-E96B-4200-A911-F4032079B654}"/>
              </a:ext>
            </a:extLst>
          </xdr:cNvPr>
          <xdr:cNvSpPr/>
        </xdr:nvSpPr>
        <xdr:spPr>
          <a:xfrm>
            <a:off x="139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6" name="$F$91">
            <a:extLst>
              <a:ext uri="{FF2B5EF4-FFF2-40B4-BE49-F238E27FC236}">
                <a16:creationId xmlns:a16="http://schemas.microsoft.com/office/drawing/2014/main" id="{6CD5E5BC-BA1F-4A84-85BC-D7CF4786E093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7" name="$F$91">
            <a:extLst>
              <a:ext uri="{FF2B5EF4-FFF2-40B4-BE49-F238E27FC236}">
                <a16:creationId xmlns:a16="http://schemas.microsoft.com/office/drawing/2014/main" id="{153D9DBC-E52D-44A0-9466-2DDE90AC19CA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8" name="$F$91">
            <a:extLst>
              <a:ext uri="{FF2B5EF4-FFF2-40B4-BE49-F238E27FC236}">
                <a16:creationId xmlns:a16="http://schemas.microsoft.com/office/drawing/2014/main" id="{E71F03F1-5A24-45D8-BA33-1E12AC3E1990}"/>
              </a:ext>
            </a:extLst>
          </xdr:cNvPr>
          <xdr:cNvSpPr/>
        </xdr:nvSpPr>
        <xdr:spPr>
          <a:xfrm>
            <a:off x="177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9" name="$F$91">
            <a:extLst>
              <a:ext uri="{FF2B5EF4-FFF2-40B4-BE49-F238E27FC236}">
                <a16:creationId xmlns:a16="http://schemas.microsoft.com/office/drawing/2014/main" id="{14BB77D8-D56B-4C23-97E7-64B5A6DC34D1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00" name="$F$91">
            <a:extLst>
              <a:ext uri="{FF2B5EF4-FFF2-40B4-BE49-F238E27FC236}">
                <a16:creationId xmlns:a16="http://schemas.microsoft.com/office/drawing/2014/main" id="{6C15A3F2-40FF-4552-B06E-B95DD6045109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01" name="$F$91">
            <a:extLst>
              <a:ext uri="{FF2B5EF4-FFF2-40B4-BE49-F238E27FC236}">
                <a16:creationId xmlns:a16="http://schemas.microsoft.com/office/drawing/2014/main" id="{64003DBB-1A5C-4BDD-8EAC-3BBBFF79A8E3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02" name="$F$91">
            <a:extLst>
              <a:ext uri="{FF2B5EF4-FFF2-40B4-BE49-F238E27FC236}">
                <a16:creationId xmlns:a16="http://schemas.microsoft.com/office/drawing/2014/main" id="{94DEA755-FA71-4025-BFC7-34DD483B1660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03" name="$F$91">
            <a:extLst>
              <a:ext uri="{FF2B5EF4-FFF2-40B4-BE49-F238E27FC236}">
                <a16:creationId xmlns:a16="http://schemas.microsoft.com/office/drawing/2014/main" id="{09E823F9-2D39-43F2-9D79-9EA45F968C1A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04" name="$F$91">
            <a:extLst>
              <a:ext uri="{FF2B5EF4-FFF2-40B4-BE49-F238E27FC236}">
                <a16:creationId xmlns:a16="http://schemas.microsoft.com/office/drawing/2014/main" id="{25371CCE-1A3E-4978-8EF7-0E467EFAFED2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05" name="$F$91">
            <a:extLst>
              <a:ext uri="{FF2B5EF4-FFF2-40B4-BE49-F238E27FC236}">
                <a16:creationId xmlns:a16="http://schemas.microsoft.com/office/drawing/2014/main" id="{E2B197A6-DE3C-48E7-8FD9-B076765534C5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06" name="$F$91">
            <a:extLst>
              <a:ext uri="{FF2B5EF4-FFF2-40B4-BE49-F238E27FC236}">
                <a16:creationId xmlns:a16="http://schemas.microsoft.com/office/drawing/2014/main" id="{00577A3F-8A7C-4938-B792-65D798109AE2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07" name="$F$91">
            <a:extLst>
              <a:ext uri="{FF2B5EF4-FFF2-40B4-BE49-F238E27FC236}">
                <a16:creationId xmlns:a16="http://schemas.microsoft.com/office/drawing/2014/main" id="{2D3E8C84-DFF2-4504-BEBF-5E2674FA3CE4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08" name="$F$91">
            <a:extLst>
              <a:ext uri="{FF2B5EF4-FFF2-40B4-BE49-F238E27FC236}">
                <a16:creationId xmlns:a16="http://schemas.microsoft.com/office/drawing/2014/main" id="{0CA31722-9FA1-4BDB-84B7-B1E7B7C93453}"/>
              </a:ext>
            </a:extLst>
          </xdr:cNvPr>
          <xdr:cNvSpPr/>
        </xdr:nvSpPr>
        <xdr:spPr>
          <a:xfrm>
            <a:off x="38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09" name="$F$91">
            <a:extLst>
              <a:ext uri="{FF2B5EF4-FFF2-40B4-BE49-F238E27FC236}">
                <a16:creationId xmlns:a16="http://schemas.microsoft.com/office/drawing/2014/main" id="{1E2CA710-E36C-47EF-9F77-354BF68273F9}"/>
              </a:ext>
            </a:extLst>
          </xdr:cNvPr>
          <xdr:cNvSpPr/>
        </xdr:nvSpPr>
        <xdr:spPr>
          <a:xfrm>
            <a:off x="50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10" name="$F$91">
            <a:extLst>
              <a:ext uri="{FF2B5EF4-FFF2-40B4-BE49-F238E27FC236}">
                <a16:creationId xmlns:a16="http://schemas.microsoft.com/office/drawing/2014/main" id="{8D2551C6-3A98-486C-8F09-46C65D7BD52C}"/>
              </a:ext>
            </a:extLst>
          </xdr:cNvPr>
          <xdr:cNvSpPr/>
        </xdr:nvSpPr>
        <xdr:spPr>
          <a:xfrm>
            <a:off x="63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11" name="$F$91">
            <a:extLst>
              <a:ext uri="{FF2B5EF4-FFF2-40B4-BE49-F238E27FC236}">
                <a16:creationId xmlns:a16="http://schemas.microsoft.com/office/drawing/2014/main" id="{4DE1771C-8AAD-484E-9F70-E616A1B69870}"/>
              </a:ext>
            </a:extLst>
          </xdr:cNvPr>
          <xdr:cNvSpPr/>
        </xdr:nvSpPr>
        <xdr:spPr>
          <a:xfrm>
            <a:off x="88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12" name="$F$91">
            <a:extLst>
              <a:ext uri="{FF2B5EF4-FFF2-40B4-BE49-F238E27FC236}">
                <a16:creationId xmlns:a16="http://schemas.microsoft.com/office/drawing/2014/main" id="{7EE1EA2B-B36A-4FED-9DAB-896E0369CCB7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13" name="$F$91">
            <a:extLst>
              <a:ext uri="{FF2B5EF4-FFF2-40B4-BE49-F238E27FC236}">
                <a16:creationId xmlns:a16="http://schemas.microsoft.com/office/drawing/2014/main" id="{85FA9111-A837-41E4-9D31-2190F50BF42A}"/>
              </a:ext>
            </a:extLst>
          </xdr:cNvPr>
          <xdr:cNvSpPr/>
        </xdr:nvSpPr>
        <xdr:spPr>
          <a:xfrm>
            <a:off x="127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14" name="$F$91">
            <a:extLst>
              <a:ext uri="{FF2B5EF4-FFF2-40B4-BE49-F238E27FC236}">
                <a16:creationId xmlns:a16="http://schemas.microsoft.com/office/drawing/2014/main" id="{35076E37-340A-4472-9CBD-C0A75AED2992}"/>
              </a:ext>
            </a:extLst>
          </xdr:cNvPr>
          <xdr:cNvSpPr/>
        </xdr:nvSpPr>
        <xdr:spPr>
          <a:xfrm>
            <a:off x="139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15" name="$F$91">
            <a:extLst>
              <a:ext uri="{FF2B5EF4-FFF2-40B4-BE49-F238E27FC236}">
                <a16:creationId xmlns:a16="http://schemas.microsoft.com/office/drawing/2014/main" id="{517AB5E9-B909-4F35-A895-652200137A9E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16" name="$F$91">
            <a:extLst>
              <a:ext uri="{FF2B5EF4-FFF2-40B4-BE49-F238E27FC236}">
                <a16:creationId xmlns:a16="http://schemas.microsoft.com/office/drawing/2014/main" id="{AFC060FF-B3CC-4EDA-982A-1DFF110BE08B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17" name="$F$91">
            <a:extLst>
              <a:ext uri="{FF2B5EF4-FFF2-40B4-BE49-F238E27FC236}">
                <a16:creationId xmlns:a16="http://schemas.microsoft.com/office/drawing/2014/main" id="{3CC4AC28-4698-4CC7-8594-E6C74D67477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18" name="$F$91">
            <a:extLst>
              <a:ext uri="{FF2B5EF4-FFF2-40B4-BE49-F238E27FC236}">
                <a16:creationId xmlns:a16="http://schemas.microsoft.com/office/drawing/2014/main" id="{778EAFD0-0085-4983-B097-0A13770DD436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19" name="$F$91">
            <a:extLst>
              <a:ext uri="{FF2B5EF4-FFF2-40B4-BE49-F238E27FC236}">
                <a16:creationId xmlns:a16="http://schemas.microsoft.com/office/drawing/2014/main" id="{CE6C567B-5483-4B00-A815-6727BDEBFFB6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20" name="$F$91">
            <a:extLst>
              <a:ext uri="{FF2B5EF4-FFF2-40B4-BE49-F238E27FC236}">
                <a16:creationId xmlns:a16="http://schemas.microsoft.com/office/drawing/2014/main" id="{0DB30B22-45AA-4A48-8A1C-28B1A4D68F8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21" name="$F$91">
            <a:extLst>
              <a:ext uri="{FF2B5EF4-FFF2-40B4-BE49-F238E27FC236}">
                <a16:creationId xmlns:a16="http://schemas.microsoft.com/office/drawing/2014/main" id="{87F3D00F-4285-4FA9-9418-675784BC5D0E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22" name="$F$91">
            <a:extLst>
              <a:ext uri="{FF2B5EF4-FFF2-40B4-BE49-F238E27FC236}">
                <a16:creationId xmlns:a16="http://schemas.microsoft.com/office/drawing/2014/main" id="{4C0184F5-F82C-48E6-8293-63BC583E3F97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23" name="$F$91">
            <a:extLst>
              <a:ext uri="{FF2B5EF4-FFF2-40B4-BE49-F238E27FC236}">
                <a16:creationId xmlns:a16="http://schemas.microsoft.com/office/drawing/2014/main" id="{11BE9A69-BF02-4732-B4BA-03ADE313C313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24" name="$F$91">
            <a:extLst>
              <a:ext uri="{FF2B5EF4-FFF2-40B4-BE49-F238E27FC236}">
                <a16:creationId xmlns:a16="http://schemas.microsoft.com/office/drawing/2014/main" id="{1439E2AA-200D-47B2-8510-FB65905A0F72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25" name="$F$91">
            <a:extLst>
              <a:ext uri="{FF2B5EF4-FFF2-40B4-BE49-F238E27FC236}">
                <a16:creationId xmlns:a16="http://schemas.microsoft.com/office/drawing/2014/main" id="{C90490D7-AAD0-4171-B123-84FB456ED0B1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26" name="$F$91">
            <a:extLst>
              <a:ext uri="{FF2B5EF4-FFF2-40B4-BE49-F238E27FC236}">
                <a16:creationId xmlns:a16="http://schemas.microsoft.com/office/drawing/2014/main" id="{E0306BA4-56AD-46D0-A0AA-5C3496BC9915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27" name="$F$91">
            <a:extLst>
              <a:ext uri="{FF2B5EF4-FFF2-40B4-BE49-F238E27FC236}">
                <a16:creationId xmlns:a16="http://schemas.microsoft.com/office/drawing/2014/main" id="{B7C331B9-5899-49E4-B690-975DE98959F6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28" name="$F$91">
            <a:extLst>
              <a:ext uri="{FF2B5EF4-FFF2-40B4-BE49-F238E27FC236}">
                <a16:creationId xmlns:a16="http://schemas.microsoft.com/office/drawing/2014/main" id="{A2B22835-9EDC-4EDC-B8C8-2CFB6FBDBAE2}"/>
              </a:ext>
            </a:extLst>
          </xdr:cNvPr>
          <xdr:cNvSpPr/>
        </xdr:nvSpPr>
        <xdr:spPr>
          <a:xfrm>
            <a:off x="101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29" name="$F$91">
            <a:extLst>
              <a:ext uri="{FF2B5EF4-FFF2-40B4-BE49-F238E27FC236}">
                <a16:creationId xmlns:a16="http://schemas.microsoft.com/office/drawing/2014/main" id="{71BD8B45-1FEF-41E4-A260-2FB43D3860D6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30" name="$F$91">
            <a:extLst>
              <a:ext uri="{FF2B5EF4-FFF2-40B4-BE49-F238E27FC236}">
                <a16:creationId xmlns:a16="http://schemas.microsoft.com/office/drawing/2014/main" id="{7F8AD38D-C2B5-4E82-9398-384FAC42ADF6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31" name="$F$91">
            <a:extLst>
              <a:ext uri="{FF2B5EF4-FFF2-40B4-BE49-F238E27FC236}">
                <a16:creationId xmlns:a16="http://schemas.microsoft.com/office/drawing/2014/main" id="{554739C6-8DB4-4E22-B90F-4CB63AAF1DCA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32" name="$F$91">
            <a:extLst>
              <a:ext uri="{FF2B5EF4-FFF2-40B4-BE49-F238E27FC236}">
                <a16:creationId xmlns:a16="http://schemas.microsoft.com/office/drawing/2014/main" id="{256E71B4-816E-4F0C-82A2-B1091C938C21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33" name="$F$91">
            <a:extLst>
              <a:ext uri="{FF2B5EF4-FFF2-40B4-BE49-F238E27FC236}">
                <a16:creationId xmlns:a16="http://schemas.microsoft.com/office/drawing/2014/main" id="{6D39A092-355D-4378-8ED9-B0DB2CF5CD4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34" name="$F$91">
            <a:extLst>
              <a:ext uri="{FF2B5EF4-FFF2-40B4-BE49-F238E27FC236}">
                <a16:creationId xmlns:a16="http://schemas.microsoft.com/office/drawing/2014/main" id="{409B7D62-27C5-4B83-BC61-615C6966CD38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35" name="$F$91">
            <a:extLst>
              <a:ext uri="{FF2B5EF4-FFF2-40B4-BE49-F238E27FC236}">
                <a16:creationId xmlns:a16="http://schemas.microsoft.com/office/drawing/2014/main" id="{B7908917-C149-4A79-BD93-F9CDB907155F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36" name="$F$91">
            <a:extLst>
              <a:ext uri="{FF2B5EF4-FFF2-40B4-BE49-F238E27FC236}">
                <a16:creationId xmlns:a16="http://schemas.microsoft.com/office/drawing/2014/main" id="{A642AAB5-3BF2-4546-AC59-7EE4C0CFA8B1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37" name="$F$91">
            <a:extLst>
              <a:ext uri="{FF2B5EF4-FFF2-40B4-BE49-F238E27FC236}">
                <a16:creationId xmlns:a16="http://schemas.microsoft.com/office/drawing/2014/main" id="{B1E91B2C-7CCF-4F74-814A-CB857048C350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38" name="$F$91">
            <a:extLst>
              <a:ext uri="{FF2B5EF4-FFF2-40B4-BE49-F238E27FC236}">
                <a16:creationId xmlns:a16="http://schemas.microsoft.com/office/drawing/2014/main" id="{38A41AB5-568F-4484-993B-61BD18AD635C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39" name="$F$91">
            <a:extLst>
              <a:ext uri="{FF2B5EF4-FFF2-40B4-BE49-F238E27FC236}">
                <a16:creationId xmlns:a16="http://schemas.microsoft.com/office/drawing/2014/main" id="{93284CF4-70B6-4A1D-BCAC-B8A255C58145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40" name="$F$91">
            <a:extLst>
              <a:ext uri="{FF2B5EF4-FFF2-40B4-BE49-F238E27FC236}">
                <a16:creationId xmlns:a16="http://schemas.microsoft.com/office/drawing/2014/main" id="{4B123134-7CEE-49E3-9E29-691ED0410D3B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41" name="$F$91">
            <a:extLst>
              <a:ext uri="{FF2B5EF4-FFF2-40B4-BE49-F238E27FC236}">
                <a16:creationId xmlns:a16="http://schemas.microsoft.com/office/drawing/2014/main" id="{BB349169-A2D8-4997-A22F-18DAD8627DD9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42" name="$F$91">
            <a:extLst>
              <a:ext uri="{FF2B5EF4-FFF2-40B4-BE49-F238E27FC236}">
                <a16:creationId xmlns:a16="http://schemas.microsoft.com/office/drawing/2014/main" id="{2FCB22FA-EF6A-451E-ABFE-DBAECEDD3044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43" name="$F$91">
            <a:extLst>
              <a:ext uri="{FF2B5EF4-FFF2-40B4-BE49-F238E27FC236}">
                <a16:creationId xmlns:a16="http://schemas.microsoft.com/office/drawing/2014/main" id="{F3A71F5F-6E97-47D8-8501-5585A163DD55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44" name="$F$91">
            <a:extLst>
              <a:ext uri="{FF2B5EF4-FFF2-40B4-BE49-F238E27FC236}">
                <a16:creationId xmlns:a16="http://schemas.microsoft.com/office/drawing/2014/main" id="{0DB1EE33-918C-44F3-9AF3-AB81E04F9354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45" name="$F$91">
            <a:extLst>
              <a:ext uri="{FF2B5EF4-FFF2-40B4-BE49-F238E27FC236}">
                <a16:creationId xmlns:a16="http://schemas.microsoft.com/office/drawing/2014/main" id="{811993F1-AB4C-49CB-B66C-DCFA1354A476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46" name="$F$91">
            <a:extLst>
              <a:ext uri="{FF2B5EF4-FFF2-40B4-BE49-F238E27FC236}">
                <a16:creationId xmlns:a16="http://schemas.microsoft.com/office/drawing/2014/main" id="{4DDC5617-644A-4B1E-86EC-FFFB36CD1E83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47" name="$F$91">
            <a:extLst>
              <a:ext uri="{FF2B5EF4-FFF2-40B4-BE49-F238E27FC236}">
                <a16:creationId xmlns:a16="http://schemas.microsoft.com/office/drawing/2014/main" id="{1C658419-5E5C-4098-90B6-38B2823A25A1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48" name="$F$91">
            <a:extLst>
              <a:ext uri="{FF2B5EF4-FFF2-40B4-BE49-F238E27FC236}">
                <a16:creationId xmlns:a16="http://schemas.microsoft.com/office/drawing/2014/main" id="{AE35EBBB-D75B-43E8-99AC-DA27FB78D5E1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49" name="$F$91">
            <a:extLst>
              <a:ext uri="{FF2B5EF4-FFF2-40B4-BE49-F238E27FC236}">
                <a16:creationId xmlns:a16="http://schemas.microsoft.com/office/drawing/2014/main" id="{4C87DFDA-DC5B-4C8D-98A5-8729409F908B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50" name="$F$91">
            <a:extLst>
              <a:ext uri="{FF2B5EF4-FFF2-40B4-BE49-F238E27FC236}">
                <a16:creationId xmlns:a16="http://schemas.microsoft.com/office/drawing/2014/main" id="{DA943CB9-5800-4A14-AC74-E3262CC81614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51" name="$F$91">
            <a:extLst>
              <a:ext uri="{FF2B5EF4-FFF2-40B4-BE49-F238E27FC236}">
                <a16:creationId xmlns:a16="http://schemas.microsoft.com/office/drawing/2014/main" id="{76631EAB-079F-4383-93F3-1409AB0831A6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52" name="$F$91">
            <a:extLst>
              <a:ext uri="{FF2B5EF4-FFF2-40B4-BE49-F238E27FC236}">
                <a16:creationId xmlns:a16="http://schemas.microsoft.com/office/drawing/2014/main" id="{CDBE2C4B-0D3D-40CB-971C-FCA028581F8D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53" name="$F$91">
            <a:extLst>
              <a:ext uri="{FF2B5EF4-FFF2-40B4-BE49-F238E27FC236}">
                <a16:creationId xmlns:a16="http://schemas.microsoft.com/office/drawing/2014/main" id="{02D0C989-BA59-4778-A414-80C01FA90CD1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54" name="$F$91">
            <a:extLst>
              <a:ext uri="{FF2B5EF4-FFF2-40B4-BE49-F238E27FC236}">
                <a16:creationId xmlns:a16="http://schemas.microsoft.com/office/drawing/2014/main" id="{350511C3-399B-4EE4-B7C0-C901F72BA8A1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55" name="$F$91">
            <a:extLst>
              <a:ext uri="{FF2B5EF4-FFF2-40B4-BE49-F238E27FC236}">
                <a16:creationId xmlns:a16="http://schemas.microsoft.com/office/drawing/2014/main" id="{DF28F7EB-570E-42B0-9269-40C70083CD4D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56" name="$F$91">
            <a:extLst>
              <a:ext uri="{FF2B5EF4-FFF2-40B4-BE49-F238E27FC236}">
                <a16:creationId xmlns:a16="http://schemas.microsoft.com/office/drawing/2014/main" id="{BD39286E-9A8E-4041-BCF7-EC6E39548DA1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57" name="$F$91">
            <a:extLst>
              <a:ext uri="{FF2B5EF4-FFF2-40B4-BE49-F238E27FC236}">
                <a16:creationId xmlns:a16="http://schemas.microsoft.com/office/drawing/2014/main" id="{7BB14687-0CCD-494D-B6F0-60AD07F19AC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58" name="$F$91">
            <a:extLst>
              <a:ext uri="{FF2B5EF4-FFF2-40B4-BE49-F238E27FC236}">
                <a16:creationId xmlns:a16="http://schemas.microsoft.com/office/drawing/2014/main" id="{CC4DDF91-A03B-4732-B880-55F6D91B3146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59" name="$F$91">
            <a:extLst>
              <a:ext uri="{FF2B5EF4-FFF2-40B4-BE49-F238E27FC236}">
                <a16:creationId xmlns:a16="http://schemas.microsoft.com/office/drawing/2014/main" id="{FD9964CD-B4D7-4CA0-9118-4D6C403DB62A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60" name="$F$91">
            <a:extLst>
              <a:ext uri="{FF2B5EF4-FFF2-40B4-BE49-F238E27FC236}">
                <a16:creationId xmlns:a16="http://schemas.microsoft.com/office/drawing/2014/main" id="{1916A15C-7351-4181-BBA7-0BDCC94C34A5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61" name="$F$91">
            <a:extLst>
              <a:ext uri="{FF2B5EF4-FFF2-40B4-BE49-F238E27FC236}">
                <a16:creationId xmlns:a16="http://schemas.microsoft.com/office/drawing/2014/main" id="{470907B6-0683-4DC5-8EEF-DA76069B41EB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62" name="$F$91">
            <a:extLst>
              <a:ext uri="{FF2B5EF4-FFF2-40B4-BE49-F238E27FC236}">
                <a16:creationId xmlns:a16="http://schemas.microsoft.com/office/drawing/2014/main" id="{2AD051B8-C5E0-47D1-8F22-E33C93EA82A7}"/>
              </a:ext>
            </a:extLst>
          </xdr:cNvPr>
          <xdr:cNvSpPr/>
        </xdr:nvSpPr>
        <xdr:spPr>
          <a:xfrm>
            <a:off x="114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63" name="$F$91">
            <a:extLst>
              <a:ext uri="{FF2B5EF4-FFF2-40B4-BE49-F238E27FC236}">
                <a16:creationId xmlns:a16="http://schemas.microsoft.com/office/drawing/2014/main" id="{73AD1209-522A-48D7-8CAC-423A802A5468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64" name="$F$91">
            <a:extLst>
              <a:ext uri="{FF2B5EF4-FFF2-40B4-BE49-F238E27FC236}">
                <a16:creationId xmlns:a16="http://schemas.microsoft.com/office/drawing/2014/main" id="{EED63B51-8C54-4E3F-BEAB-3E6C1DC6FA28}"/>
              </a:ext>
            </a:extLst>
          </xdr:cNvPr>
          <xdr:cNvSpPr/>
        </xdr:nvSpPr>
        <xdr:spPr>
          <a:xfrm>
            <a:off x="177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65" name="$F$91">
            <a:extLst>
              <a:ext uri="{FF2B5EF4-FFF2-40B4-BE49-F238E27FC236}">
                <a16:creationId xmlns:a16="http://schemas.microsoft.com/office/drawing/2014/main" id="{766DC28B-3632-4DFD-91FC-243DA7EE40AF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66" name="$F$91">
            <a:extLst>
              <a:ext uri="{FF2B5EF4-FFF2-40B4-BE49-F238E27FC236}">
                <a16:creationId xmlns:a16="http://schemas.microsoft.com/office/drawing/2014/main" id="{D0BE247F-82D0-4412-9563-AEF6FA3C7CBF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67" name="$F$91">
            <a:extLst>
              <a:ext uri="{FF2B5EF4-FFF2-40B4-BE49-F238E27FC236}">
                <a16:creationId xmlns:a16="http://schemas.microsoft.com/office/drawing/2014/main" id="{69C7AC22-AA01-4490-9A34-558F885958E1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68" name="$F$91">
            <a:extLst>
              <a:ext uri="{FF2B5EF4-FFF2-40B4-BE49-F238E27FC236}">
                <a16:creationId xmlns:a16="http://schemas.microsoft.com/office/drawing/2014/main" id="{5D66B3BF-3AB2-4D1F-A623-C6F2AED09F90}"/>
              </a:ext>
            </a:extLst>
          </xdr:cNvPr>
          <xdr:cNvSpPr/>
        </xdr:nvSpPr>
        <xdr:spPr>
          <a:xfrm>
            <a:off x="228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69" name="$F$91">
            <a:extLst>
              <a:ext uri="{FF2B5EF4-FFF2-40B4-BE49-F238E27FC236}">
                <a16:creationId xmlns:a16="http://schemas.microsoft.com/office/drawing/2014/main" id="{0F0ADD7F-4882-42DF-AFAF-999682BFD29D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70" name="$F$91">
            <a:extLst>
              <a:ext uri="{FF2B5EF4-FFF2-40B4-BE49-F238E27FC236}">
                <a16:creationId xmlns:a16="http://schemas.microsoft.com/office/drawing/2014/main" id="{BEE10810-4530-4640-B7F8-53191C14186C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71" name="$F$91">
            <a:extLst>
              <a:ext uri="{FF2B5EF4-FFF2-40B4-BE49-F238E27FC236}">
                <a16:creationId xmlns:a16="http://schemas.microsoft.com/office/drawing/2014/main" id="{1ED67A6A-ED24-48CF-BF4D-BE741768BF51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72" name="$F$91">
            <a:extLst>
              <a:ext uri="{FF2B5EF4-FFF2-40B4-BE49-F238E27FC236}">
                <a16:creationId xmlns:a16="http://schemas.microsoft.com/office/drawing/2014/main" id="{A48F853E-3943-4E73-A964-1C95625D36A3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73" name="$F$91">
            <a:extLst>
              <a:ext uri="{FF2B5EF4-FFF2-40B4-BE49-F238E27FC236}">
                <a16:creationId xmlns:a16="http://schemas.microsoft.com/office/drawing/2014/main" id="{C752F7B6-B9C4-4C95-A062-D1B6C884D3F2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74" name="$F$91">
            <a:extLst>
              <a:ext uri="{FF2B5EF4-FFF2-40B4-BE49-F238E27FC236}">
                <a16:creationId xmlns:a16="http://schemas.microsoft.com/office/drawing/2014/main" id="{CB72C7B5-0DDD-418D-A957-0516F9D58102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75" name="$F$91">
            <a:extLst>
              <a:ext uri="{FF2B5EF4-FFF2-40B4-BE49-F238E27FC236}">
                <a16:creationId xmlns:a16="http://schemas.microsoft.com/office/drawing/2014/main" id="{4C4ED02D-0845-40AD-8E13-AE22F1CE5AAD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76" name="$F$91">
            <a:extLst>
              <a:ext uri="{FF2B5EF4-FFF2-40B4-BE49-F238E27FC236}">
                <a16:creationId xmlns:a16="http://schemas.microsoft.com/office/drawing/2014/main" id="{41A5E342-5518-41F9-B872-28827AA71573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77" name="$F$91">
            <a:extLst>
              <a:ext uri="{FF2B5EF4-FFF2-40B4-BE49-F238E27FC236}">
                <a16:creationId xmlns:a16="http://schemas.microsoft.com/office/drawing/2014/main" id="{0C88103B-9C6C-4247-8768-E4E1B14D9B5D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78" name="$F$91">
            <a:extLst>
              <a:ext uri="{FF2B5EF4-FFF2-40B4-BE49-F238E27FC236}">
                <a16:creationId xmlns:a16="http://schemas.microsoft.com/office/drawing/2014/main" id="{77E2F32F-DD18-4F11-8A38-A77F5DB7402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79" name="$F$91">
            <a:extLst>
              <a:ext uri="{FF2B5EF4-FFF2-40B4-BE49-F238E27FC236}">
                <a16:creationId xmlns:a16="http://schemas.microsoft.com/office/drawing/2014/main" id="{B795A584-9E5D-40C8-ABD4-5F1EC36029AF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80" name="$F$91">
            <a:extLst>
              <a:ext uri="{FF2B5EF4-FFF2-40B4-BE49-F238E27FC236}">
                <a16:creationId xmlns:a16="http://schemas.microsoft.com/office/drawing/2014/main" id="{BFA20D2C-F48D-4420-9045-AA5A59B4B836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81" name="$F$91">
            <a:extLst>
              <a:ext uri="{FF2B5EF4-FFF2-40B4-BE49-F238E27FC236}">
                <a16:creationId xmlns:a16="http://schemas.microsoft.com/office/drawing/2014/main" id="{A1897F86-63B8-4F7F-A806-F872CC2AE216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82" name="$F$91">
            <a:extLst>
              <a:ext uri="{FF2B5EF4-FFF2-40B4-BE49-F238E27FC236}">
                <a16:creationId xmlns:a16="http://schemas.microsoft.com/office/drawing/2014/main" id="{69F5EEC3-C6BE-48A5-8D81-4CCC80C3CF0B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83" name="$F$91">
            <a:extLst>
              <a:ext uri="{FF2B5EF4-FFF2-40B4-BE49-F238E27FC236}">
                <a16:creationId xmlns:a16="http://schemas.microsoft.com/office/drawing/2014/main" id="{A98C6259-0BBE-4860-9FDD-246D71A1EF33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84" name="$F$91">
            <a:extLst>
              <a:ext uri="{FF2B5EF4-FFF2-40B4-BE49-F238E27FC236}">
                <a16:creationId xmlns:a16="http://schemas.microsoft.com/office/drawing/2014/main" id="{B0367F96-0DDB-49C0-947A-CE4AA8B554FA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85" name="$F$91">
            <a:extLst>
              <a:ext uri="{FF2B5EF4-FFF2-40B4-BE49-F238E27FC236}">
                <a16:creationId xmlns:a16="http://schemas.microsoft.com/office/drawing/2014/main" id="{1EB8162B-68C2-4A2E-95A9-3C4EE3EC8048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86" name="$F$91">
            <a:extLst>
              <a:ext uri="{FF2B5EF4-FFF2-40B4-BE49-F238E27FC236}">
                <a16:creationId xmlns:a16="http://schemas.microsoft.com/office/drawing/2014/main" id="{46D2E3FA-6B8E-49D9-B905-D3996131EE67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87" name="$F$91">
            <a:extLst>
              <a:ext uri="{FF2B5EF4-FFF2-40B4-BE49-F238E27FC236}">
                <a16:creationId xmlns:a16="http://schemas.microsoft.com/office/drawing/2014/main" id="{4B9BA409-DB21-4921-91BA-3F05FFC4A181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88" name="$F$91">
            <a:extLst>
              <a:ext uri="{FF2B5EF4-FFF2-40B4-BE49-F238E27FC236}">
                <a16:creationId xmlns:a16="http://schemas.microsoft.com/office/drawing/2014/main" id="{5B1185F6-1913-41E1-9DD9-ACECF9EDFC99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89" name="$F$91">
            <a:extLst>
              <a:ext uri="{FF2B5EF4-FFF2-40B4-BE49-F238E27FC236}">
                <a16:creationId xmlns:a16="http://schemas.microsoft.com/office/drawing/2014/main" id="{DDB685F2-6A42-4022-ABEF-ED6069886F27}"/>
              </a:ext>
            </a:extLst>
          </xdr:cNvPr>
          <xdr:cNvSpPr/>
        </xdr:nvSpPr>
        <xdr:spPr>
          <a:xfrm>
            <a:off x="368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90" name="$F$91">
            <a:extLst>
              <a:ext uri="{FF2B5EF4-FFF2-40B4-BE49-F238E27FC236}">
                <a16:creationId xmlns:a16="http://schemas.microsoft.com/office/drawing/2014/main" id="{98B7288A-B2C1-4E98-AC81-EC2001888F2B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91" name="$F$91">
            <a:extLst>
              <a:ext uri="{FF2B5EF4-FFF2-40B4-BE49-F238E27FC236}">
                <a16:creationId xmlns:a16="http://schemas.microsoft.com/office/drawing/2014/main" id="{961485BE-D572-4401-984C-8A92EC059C4E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92" name="$F$91">
            <a:extLst>
              <a:ext uri="{FF2B5EF4-FFF2-40B4-BE49-F238E27FC236}">
                <a16:creationId xmlns:a16="http://schemas.microsoft.com/office/drawing/2014/main" id="{B1BA7617-2E93-4401-B43C-229404CD2BCD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93" name="$F$91">
            <a:extLst>
              <a:ext uri="{FF2B5EF4-FFF2-40B4-BE49-F238E27FC236}">
                <a16:creationId xmlns:a16="http://schemas.microsoft.com/office/drawing/2014/main" id="{0C0641F1-FDE3-41AC-B17E-03D347069173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94" name="$F$91">
            <a:extLst>
              <a:ext uri="{FF2B5EF4-FFF2-40B4-BE49-F238E27FC236}">
                <a16:creationId xmlns:a16="http://schemas.microsoft.com/office/drawing/2014/main" id="{C74BEB8A-8326-4E94-A206-41920480B8FC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95" name="$F$91">
            <a:extLst>
              <a:ext uri="{FF2B5EF4-FFF2-40B4-BE49-F238E27FC236}">
                <a16:creationId xmlns:a16="http://schemas.microsoft.com/office/drawing/2014/main" id="{075EE955-9B7C-4856-A320-B039FB7A45FE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96" name="$F$91">
            <a:extLst>
              <a:ext uri="{FF2B5EF4-FFF2-40B4-BE49-F238E27FC236}">
                <a16:creationId xmlns:a16="http://schemas.microsoft.com/office/drawing/2014/main" id="{D6455474-AEE5-49ED-907D-2BFB283110C6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97" name="$F$91">
            <a:extLst>
              <a:ext uri="{FF2B5EF4-FFF2-40B4-BE49-F238E27FC236}">
                <a16:creationId xmlns:a16="http://schemas.microsoft.com/office/drawing/2014/main" id="{0D4B41CE-6FD2-456B-A966-844016850DE6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98" name="$F$91">
            <a:extLst>
              <a:ext uri="{FF2B5EF4-FFF2-40B4-BE49-F238E27FC236}">
                <a16:creationId xmlns:a16="http://schemas.microsoft.com/office/drawing/2014/main" id="{C3C4EE80-71AD-4F16-B147-8130D409C32F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999" name="$F$91">
            <a:extLst>
              <a:ext uri="{FF2B5EF4-FFF2-40B4-BE49-F238E27FC236}">
                <a16:creationId xmlns:a16="http://schemas.microsoft.com/office/drawing/2014/main" id="{650B28D6-6B0D-4223-8F49-31E0B72442C5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00" name="$F$91">
            <a:extLst>
              <a:ext uri="{FF2B5EF4-FFF2-40B4-BE49-F238E27FC236}">
                <a16:creationId xmlns:a16="http://schemas.microsoft.com/office/drawing/2014/main" id="{802FA25C-3D59-4E5B-A471-6987439AD1AD}"/>
              </a:ext>
            </a:extLst>
          </xdr:cNvPr>
          <xdr:cNvSpPr/>
        </xdr:nvSpPr>
        <xdr:spPr>
          <a:xfrm>
            <a:off x="177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01" name="$F$91">
            <a:extLst>
              <a:ext uri="{FF2B5EF4-FFF2-40B4-BE49-F238E27FC236}">
                <a16:creationId xmlns:a16="http://schemas.microsoft.com/office/drawing/2014/main" id="{11DC8E0F-09E7-4B76-AEC9-7DFA419458CF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02" name="$F$91">
            <a:extLst>
              <a:ext uri="{FF2B5EF4-FFF2-40B4-BE49-F238E27FC236}">
                <a16:creationId xmlns:a16="http://schemas.microsoft.com/office/drawing/2014/main" id="{61DC6EEF-8D52-4CAA-8B15-047521BC0E9F}"/>
              </a:ext>
            </a:extLst>
          </xdr:cNvPr>
          <xdr:cNvSpPr/>
        </xdr:nvSpPr>
        <xdr:spPr>
          <a:xfrm>
            <a:off x="203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03" name="$F$91">
            <a:extLst>
              <a:ext uri="{FF2B5EF4-FFF2-40B4-BE49-F238E27FC236}">
                <a16:creationId xmlns:a16="http://schemas.microsoft.com/office/drawing/2014/main" id="{1676F1EA-36BB-48F4-B9AE-03A6C8360AF3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04" name="$F$91">
            <a:extLst>
              <a:ext uri="{FF2B5EF4-FFF2-40B4-BE49-F238E27FC236}">
                <a16:creationId xmlns:a16="http://schemas.microsoft.com/office/drawing/2014/main" id="{B1BB5BB7-9AB1-4645-A608-B06FC5E1D062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05" name="$F$91">
            <a:extLst>
              <a:ext uri="{FF2B5EF4-FFF2-40B4-BE49-F238E27FC236}">
                <a16:creationId xmlns:a16="http://schemas.microsoft.com/office/drawing/2014/main" id="{9BC2DBC9-0D99-4E12-867C-36A5E4D77DE8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06" name="$F$91">
            <a:extLst>
              <a:ext uri="{FF2B5EF4-FFF2-40B4-BE49-F238E27FC236}">
                <a16:creationId xmlns:a16="http://schemas.microsoft.com/office/drawing/2014/main" id="{2D7F15D3-23A1-4990-9DE3-736FF6A72E5B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07" name="$F$91">
            <a:extLst>
              <a:ext uri="{FF2B5EF4-FFF2-40B4-BE49-F238E27FC236}">
                <a16:creationId xmlns:a16="http://schemas.microsoft.com/office/drawing/2014/main" id="{8A55B826-2B27-4099-8D80-66CC6695F86C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08" name="$F$91">
            <a:extLst>
              <a:ext uri="{FF2B5EF4-FFF2-40B4-BE49-F238E27FC236}">
                <a16:creationId xmlns:a16="http://schemas.microsoft.com/office/drawing/2014/main" id="{606C324F-C934-4A97-9C1A-10FAC996AD8F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09" name="$F$91">
            <a:extLst>
              <a:ext uri="{FF2B5EF4-FFF2-40B4-BE49-F238E27FC236}">
                <a16:creationId xmlns:a16="http://schemas.microsoft.com/office/drawing/2014/main" id="{B7EC8902-FD4A-4E80-8166-D61D7BC6D066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10" name="$F$91">
            <a:extLst>
              <a:ext uri="{FF2B5EF4-FFF2-40B4-BE49-F238E27FC236}">
                <a16:creationId xmlns:a16="http://schemas.microsoft.com/office/drawing/2014/main" id="{C441F739-DAEE-40EA-93DE-61A9982B530C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11" name="$F$91">
            <a:extLst>
              <a:ext uri="{FF2B5EF4-FFF2-40B4-BE49-F238E27FC236}">
                <a16:creationId xmlns:a16="http://schemas.microsoft.com/office/drawing/2014/main" id="{7A82F5BE-78FF-49A8-827D-67A8138D2304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12" name="$F$91">
            <a:extLst>
              <a:ext uri="{FF2B5EF4-FFF2-40B4-BE49-F238E27FC236}">
                <a16:creationId xmlns:a16="http://schemas.microsoft.com/office/drawing/2014/main" id="{9E056425-75B9-430C-A165-7168CB709BE8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13" name="$F$91">
            <a:extLst>
              <a:ext uri="{FF2B5EF4-FFF2-40B4-BE49-F238E27FC236}">
                <a16:creationId xmlns:a16="http://schemas.microsoft.com/office/drawing/2014/main" id="{61BC4B70-3340-49C3-AD76-29DC74991553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14" name="$F$91">
            <a:extLst>
              <a:ext uri="{FF2B5EF4-FFF2-40B4-BE49-F238E27FC236}">
                <a16:creationId xmlns:a16="http://schemas.microsoft.com/office/drawing/2014/main" id="{3D0DCAF9-216D-44CB-B627-E9C9C12F222B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15" name="$F$91">
            <a:extLst>
              <a:ext uri="{FF2B5EF4-FFF2-40B4-BE49-F238E27FC236}">
                <a16:creationId xmlns:a16="http://schemas.microsoft.com/office/drawing/2014/main" id="{2EECC248-296C-4D0A-9606-CF8183CD9EEE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16" name="$F$91">
            <a:extLst>
              <a:ext uri="{FF2B5EF4-FFF2-40B4-BE49-F238E27FC236}">
                <a16:creationId xmlns:a16="http://schemas.microsoft.com/office/drawing/2014/main" id="{0D8DB684-7D2C-4F3A-94B3-9666E6257446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17" name="$F$91">
            <a:extLst>
              <a:ext uri="{FF2B5EF4-FFF2-40B4-BE49-F238E27FC236}">
                <a16:creationId xmlns:a16="http://schemas.microsoft.com/office/drawing/2014/main" id="{AF4EE431-3844-486A-83B8-F0BE4702E51F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18" name="$F$91">
            <a:extLst>
              <a:ext uri="{FF2B5EF4-FFF2-40B4-BE49-F238E27FC236}">
                <a16:creationId xmlns:a16="http://schemas.microsoft.com/office/drawing/2014/main" id="{D1C1DC2A-FABA-4951-BEEA-344B6A6CE479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19" name="$F$91">
            <a:extLst>
              <a:ext uri="{FF2B5EF4-FFF2-40B4-BE49-F238E27FC236}">
                <a16:creationId xmlns:a16="http://schemas.microsoft.com/office/drawing/2014/main" id="{C73C7CB9-15D6-4895-B036-AB1C5D7B6D5E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20" name="$F$91">
            <a:extLst>
              <a:ext uri="{FF2B5EF4-FFF2-40B4-BE49-F238E27FC236}">
                <a16:creationId xmlns:a16="http://schemas.microsoft.com/office/drawing/2014/main" id="{C8D8C297-35E0-43CF-955A-808DE528793B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21" name="$F$91">
            <a:extLst>
              <a:ext uri="{FF2B5EF4-FFF2-40B4-BE49-F238E27FC236}">
                <a16:creationId xmlns:a16="http://schemas.microsoft.com/office/drawing/2014/main" id="{ACDF4411-F657-4B76-9E6B-51B8D8F8D893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22" name="$F$91">
            <a:extLst>
              <a:ext uri="{FF2B5EF4-FFF2-40B4-BE49-F238E27FC236}">
                <a16:creationId xmlns:a16="http://schemas.microsoft.com/office/drawing/2014/main" id="{08A6099B-907D-4FA6-9E0C-7BAFE6A2F3AB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23" name="$F$91">
            <a:extLst>
              <a:ext uri="{FF2B5EF4-FFF2-40B4-BE49-F238E27FC236}">
                <a16:creationId xmlns:a16="http://schemas.microsoft.com/office/drawing/2014/main" id="{643EA429-EEFF-48D9-A388-44C20442B084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24" name="$F$91">
            <a:extLst>
              <a:ext uri="{FF2B5EF4-FFF2-40B4-BE49-F238E27FC236}">
                <a16:creationId xmlns:a16="http://schemas.microsoft.com/office/drawing/2014/main" id="{13D1B3C6-F710-4CD9-9CF0-ED2ED57872D9}"/>
              </a:ext>
            </a:extLst>
          </xdr:cNvPr>
          <xdr:cNvSpPr/>
        </xdr:nvSpPr>
        <xdr:spPr>
          <a:xfrm>
            <a:off x="381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25" name="$F$91">
            <a:extLst>
              <a:ext uri="{FF2B5EF4-FFF2-40B4-BE49-F238E27FC236}">
                <a16:creationId xmlns:a16="http://schemas.microsoft.com/office/drawing/2014/main" id="{4482A827-40F2-45D9-ADCE-9DFEE5C1BBB7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26" name="$F$91">
            <a:extLst>
              <a:ext uri="{FF2B5EF4-FFF2-40B4-BE49-F238E27FC236}">
                <a16:creationId xmlns:a16="http://schemas.microsoft.com/office/drawing/2014/main" id="{B48EE123-1702-4F33-9603-4ADB1957E297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27" name="$F$91">
            <a:extLst>
              <a:ext uri="{FF2B5EF4-FFF2-40B4-BE49-F238E27FC236}">
                <a16:creationId xmlns:a16="http://schemas.microsoft.com/office/drawing/2014/main" id="{99B1415C-236F-41FA-A41D-E2ED77C3CED0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28" name="$F$91">
            <a:extLst>
              <a:ext uri="{FF2B5EF4-FFF2-40B4-BE49-F238E27FC236}">
                <a16:creationId xmlns:a16="http://schemas.microsoft.com/office/drawing/2014/main" id="{4C773A2A-5AF2-4342-A563-AFFFE080F627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29" name="$F$91">
            <a:extLst>
              <a:ext uri="{FF2B5EF4-FFF2-40B4-BE49-F238E27FC236}">
                <a16:creationId xmlns:a16="http://schemas.microsoft.com/office/drawing/2014/main" id="{BE138526-CD35-413D-B502-48C5E511AEB1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30" name="$F$91">
            <a:extLst>
              <a:ext uri="{FF2B5EF4-FFF2-40B4-BE49-F238E27FC236}">
                <a16:creationId xmlns:a16="http://schemas.microsoft.com/office/drawing/2014/main" id="{FB7BDDEF-CF3D-43F3-A254-308BED7A1EF1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31" name="$F$91">
            <a:extLst>
              <a:ext uri="{FF2B5EF4-FFF2-40B4-BE49-F238E27FC236}">
                <a16:creationId xmlns:a16="http://schemas.microsoft.com/office/drawing/2014/main" id="{8BAC9A1F-C96C-456E-9B2F-F674CBD41F94}"/>
              </a:ext>
            </a:extLst>
          </xdr:cNvPr>
          <xdr:cNvSpPr/>
        </xdr:nvSpPr>
        <xdr:spPr>
          <a:xfrm>
            <a:off x="114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32" name="$F$91">
            <a:extLst>
              <a:ext uri="{FF2B5EF4-FFF2-40B4-BE49-F238E27FC236}">
                <a16:creationId xmlns:a16="http://schemas.microsoft.com/office/drawing/2014/main" id="{40DBCE2A-9BA1-4333-9AE7-526C528D71AE}"/>
              </a:ext>
            </a:extLst>
          </xdr:cNvPr>
          <xdr:cNvSpPr/>
        </xdr:nvSpPr>
        <xdr:spPr>
          <a:xfrm>
            <a:off x="127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33" name="$F$91">
            <a:extLst>
              <a:ext uri="{FF2B5EF4-FFF2-40B4-BE49-F238E27FC236}">
                <a16:creationId xmlns:a16="http://schemas.microsoft.com/office/drawing/2014/main" id="{A2C38B53-ED0F-4869-BB92-2F3C627BF628}"/>
              </a:ext>
            </a:extLst>
          </xdr:cNvPr>
          <xdr:cNvSpPr/>
        </xdr:nvSpPr>
        <xdr:spPr>
          <a:xfrm>
            <a:off x="139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34" name="$F$91">
            <a:extLst>
              <a:ext uri="{FF2B5EF4-FFF2-40B4-BE49-F238E27FC236}">
                <a16:creationId xmlns:a16="http://schemas.microsoft.com/office/drawing/2014/main" id="{484A4447-A758-42B0-AED2-292309D01D59}"/>
              </a:ext>
            </a:extLst>
          </xdr:cNvPr>
          <xdr:cNvSpPr/>
        </xdr:nvSpPr>
        <xdr:spPr>
          <a:xfrm>
            <a:off x="152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35" name="$F$91">
            <a:extLst>
              <a:ext uri="{FF2B5EF4-FFF2-40B4-BE49-F238E27FC236}">
                <a16:creationId xmlns:a16="http://schemas.microsoft.com/office/drawing/2014/main" id="{FF023206-2E99-407A-8D45-3FF97EDF2367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36" name="$F$91">
            <a:extLst>
              <a:ext uri="{FF2B5EF4-FFF2-40B4-BE49-F238E27FC236}">
                <a16:creationId xmlns:a16="http://schemas.microsoft.com/office/drawing/2014/main" id="{BE19243F-7FF5-42EB-8978-FD6E7D8778CD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37" name="$F$91">
            <a:extLst>
              <a:ext uri="{FF2B5EF4-FFF2-40B4-BE49-F238E27FC236}">
                <a16:creationId xmlns:a16="http://schemas.microsoft.com/office/drawing/2014/main" id="{F0337E91-BA50-4CB9-89AE-92564012811D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38" name="$F$91">
            <a:extLst>
              <a:ext uri="{FF2B5EF4-FFF2-40B4-BE49-F238E27FC236}">
                <a16:creationId xmlns:a16="http://schemas.microsoft.com/office/drawing/2014/main" id="{B4261CCB-2918-49B0-8646-EB469A31C72A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39" name="$F$91">
            <a:extLst>
              <a:ext uri="{FF2B5EF4-FFF2-40B4-BE49-F238E27FC236}">
                <a16:creationId xmlns:a16="http://schemas.microsoft.com/office/drawing/2014/main" id="{3866D351-52D2-4FA3-9557-06762E9D2B94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40" name="$F$91">
            <a:extLst>
              <a:ext uri="{FF2B5EF4-FFF2-40B4-BE49-F238E27FC236}">
                <a16:creationId xmlns:a16="http://schemas.microsoft.com/office/drawing/2014/main" id="{4175C669-7618-4C2E-9610-2D73C68A90F0}"/>
              </a:ext>
            </a:extLst>
          </xdr:cNvPr>
          <xdr:cNvSpPr/>
        </xdr:nvSpPr>
        <xdr:spPr>
          <a:xfrm>
            <a:off x="368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41" name="$F$91">
            <a:extLst>
              <a:ext uri="{FF2B5EF4-FFF2-40B4-BE49-F238E27FC236}">
                <a16:creationId xmlns:a16="http://schemas.microsoft.com/office/drawing/2014/main" id="{18D7EF52-B66C-4F14-99DA-864A471B313A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42" name="$F$91">
            <a:extLst>
              <a:ext uri="{FF2B5EF4-FFF2-40B4-BE49-F238E27FC236}">
                <a16:creationId xmlns:a16="http://schemas.microsoft.com/office/drawing/2014/main" id="{485EAB48-0536-4A93-892A-6F8CC3F095F8}"/>
              </a:ext>
            </a:extLst>
          </xdr:cNvPr>
          <xdr:cNvSpPr/>
        </xdr:nvSpPr>
        <xdr:spPr>
          <a:xfrm>
            <a:off x="393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43" name="$F$91">
            <a:extLst>
              <a:ext uri="{FF2B5EF4-FFF2-40B4-BE49-F238E27FC236}">
                <a16:creationId xmlns:a16="http://schemas.microsoft.com/office/drawing/2014/main" id="{C9695DFE-AC47-4A8A-95EF-9A916749F9FD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44" name="$F$91">
            <a:extLst>
              <a:ext uri="{FF2B5EF4-FFF2-40B4-BE49-F238E27FC236}">
                <a16:creationId xmlns:a16="http://schemas.microsoft.com/office/drawing/2014/main" id="{20740C7B-A232-4E66-9A62-FFE145793EB7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45" name="$F$91">
            <a:extLst>
              <a:ext uri="{FF2B5EF4-FFF2-40B4-BE49-F238E27FC236}">
                <a16:creationId xmlns:a16="http://schemas.microsoft.com/office/drawing/2014/main" id="{D9A34C9C-000D-4E6B-B604-4B3FC723BF9F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46" name="$F$91">
            <a:extLst>
              <a:ext uri="{FF2B5EF4-FFF2-40B4-BE49-F238E27FC236}">
                <a16:creationId xmlns:a16="http://schemas.microsoft.com/office/drawing/2014/main" id="{B46F6B41-CB49-455D-A7B8-073174F0C142}"/>
              </a:ext>
            </a:extLst>
          </xdr:cNvPr>
          <xdr:cNvSpPr/>
        </xdr:nvSpPr>
        <xdr:spPr>
          <a:xfrm>
            <a:off x="127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47" name="$F$91">
            <a:extLst>
              <a:ext uri="{FF2B5EF4-FFF2-40B4-BE49-F238E27FC236}">
                <a16:creationId xmlns:a16="http://schemas.microsoft.com/office/drawing/2014/main" id="{970495AA-B75D-4329-852F-942C8BF7F2F0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48" name="$F$91">
            <a:extLst>
              <a:ext uri="{FF2B5EF4-FFF2-40B4-BE49-F238E27FC236}">
                <a16:creationId xmlns:a16="http://schemas.microsoft.com/office/drawing/2014/main" id="{6C903EBF-5A47-43C4-BA4E-F0FA00293530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49" name="$F$91">
            <a:extLst>
              <a:ext uri="{FF2B5EF4-FFF2-40B4-BE49-F238E27FC236}">
                <a16:creationId xmlns:a16="http://schemas.microsoft.com/office/drawing/2014/main" id="{924C375D-AE5B-45FB-AEB3-903CBA9C506C}"/>
              </a:ext>
            </a:extLst>
          </xdr:cNvPr>
          <xdr:cNvSpPr/>
        </xdr:nvSpPr>
        <xdr:spPr>
          <a:xfrm>
            <a:off x="190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50" name="$F$91">
            <a:extLst>
              <a:ext uri="{FF2B5EF4-FFF2-40B4-BE49-F238E27FC236}">
                <a16:creationId xmlns:a16="http://schemas.microsoft.com/office/drawing/2014/main" id="{59F31B08-9B06-4CD9-B13B-DA855EA99C01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51" name="$F$91">
            <a:extLst>
              <a:ext uri="{FF2B5EF4-FFF2-40B4-BE49-F238E27FC236}">
                <a16:creationId xmlns:a16="http://schemas.microsoft.com/office/drawing/2014/main" id="{AF100602-D31C-4224-A8E3-A4E6BD3E4A5D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52" name="$F$91">
            <a:extLst>
              <a:ext uri="{FF2B5EF4-FFF2-40B4-BE49-F238E27FC236}">
                <a16:creationId xmlns:a16="http://schemas.microsoft.com/office/drawing/2014/main" id="{06113AEB-B8B6-49DA-8942-EC92C81FF4EA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53" name="$F$91">
            <a:extLst>
              <a:ext uri="{FF2B5EF4-FFF2-40B4-BE49-F238E27FC236}">
                <a16:creationId xmlns:a16="http://schemas.microsoft.com/office/drawing/2014/main" id="{D9FB978D-1CEF-4E91-BFB5-4939431441FD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54" name="$F$91">
            <a:extLst>
              <a:ext uri="{FF2B5EF4-FFF2-40B4-BE49-F238E27FC236}">
                <a16:creationId xmlns:a16="http://schemas.microsoft.com/office/drawing/2014/main" id="{31EA6A9A-7E7B-4EA2-97AE-604C926B149D}"/>
              </a:ext>
            </a:extLst>
          </xdr:cNvPr>
          <xdr:cNvSpPr/>
        </xdr:nvSpPr>
        <xdr:spPr>
          <a:xfrm>
            <a:off x="368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55" name="$F$91">
            <a:extLst>
              <a:ext uri="{FF2B5EF4-FFF2-40B4-BE49-F238E27FC236}">
                <a16:creationId xmlns:a16="http://schemas.microsoft.com/office/drawing/2014/main" id="{0CBA9E6F-820B-43A7-8245-878E86483D59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56" name="$F$91">
            <a:extLst>
              <a:ext uri="{FF2B5EF4-FFF2-40B4-BE49-F238E27FC236}">
                <a16:creationId xmlns:a16="http://schemas.microsoft.com/office/drawing/2014/main" id="{D2322940-F238-4D2F-BFF8-A3A09EF6182E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57" name="$F$91">
            <a:extLst>
              <a:ext uri="{FF2B5EF4-FFF2-40B4-BE49-F238E27FC236}">
                <a16:creationId xmlns:a16="http://schemas.microsoft.com/office/drawing/2014/main" id="{1383A825-3A93-4FCC-9758-169B51089E44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58" name="$F$91">
            <a:extLst>
              <a:ext uri="{FF2B5EF4-FFF2-40B4-BE49-F238E27FC236}">
                <a16:creationId xmlns:a16="http://schemas.microsoft.com/office/drawing/2014/main" id="{4F9A8B21-176A-4893-BF24-922D280E75BC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59" name="$F$91">
            <a:extLst>
              <a:ext uri="{FF2B5EF4-FFF2-40B4-BE49-F238E27FC236}">
                <a16:creationId xmlns:a16="http://schemas.microsoft.com/office/drawing/2014/main" id="{B8D0891F-9389-4404-8E17-5FB867C51774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60" name="$F$91">
            <a:extLst>
              <a:ext uri="{FF2B5EF4-FFF2-40B4-BE49-F238E27FC236}">
                <a16:creationId xmlns:a16="http://schemas.microsoft.com/office/drawing/2014/main" id="{F79C6780-3643-459C-87A6-EE56CB005F7F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61" name="$F$91">
            <a:extLst>
              <a:ext uri="{FF2B5EF4-FFF2-40B4-BE49-F238E27FC236}">
                <a16:creationId xmlns:a16="http://schemas.microsoft.com/office/drawing/2014/main" id="{5E8C711B-665D-4B5B-8D58-BBDAF2114AF0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62" name="$F$91">
            <a:extLst>
              <a:ext uri="{FF2B5EF4-FFF2-40B4-BE49-F238E27FC236}">
                <a16:creationId xmlns:a16="http://schemas.microsoft.com/office/drawing/2014/main" id="{36D272E6-E6C4-4994-A789-DE8769EDAAFB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63" name="$F$91">
            <a:extLst>
              <a:ext uri="{FF2B5EF4-FFF2-40B4-BE49-F238E27FC236}">
                <a16:creationId xmlns:a16="http://schemas.microsoft.com/office/drawing/2014/main" id="{E36E6E7E-1D29-4707-8B74-E7693A2A1F95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64" name="$F$91">
            <a:extLst>
              <a:ext uri="{FF2B5EF4-FFF2-40B4-BE49-F238E27FC236}">
                <a16:creationId xmlns:a16="http://schemas.microsoft.com/office/drawing/2014/main" id="{8823FECC-1A64-43C7-9204-5AFD1D815357}"/>
              </a:ext>
            </a:extLst>
          </xdr:cNvPr>
          <xdr:cNvSpPr/>
        </xdr:nvSpPr>
        <xdr:spPr>
          <a:xfrm>
            <a:off x="114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65" name="$F$91">
            <a:extLst>
              <a:ext uri="{FF2B5EF4-FFF2-40B4-BE49-F238E27FC236}">
                <a16:creationId xmlns:a16="http://schemas.microsoft.com/office/drawing/2014/main" id="{F45867A1-C25E-40F7-A612-185AA99DA1C3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66" name="$F$91">
            <a:extLst>
              <a:ext uri="{FF2B5EF4-FFF2-40B4-BE49-F238E27FC236}">
                <a16:creationId xmlns:a16="http://schemas.microsoft.com/office/drawing/2014/main" id="{A62B3F38-B800-45D0-9572-C35DDB513DAC}"/>
              </a:ext>
            </a:extLst>
          </xdr:cNvPr>
          <xdr:cNvSpPr/>
        </xdr:nvSpPr>
        <xdr:spPr>
          <a:xfrm>
            <a:off x="203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67" name="$F$91">
            <a:extLst>
              <a:ext uri="{FF2B5EF4-FFF2-40B4-BE49-F238E27FC236}">
                <a16:creationId xmlns:a16="http://schemas.microsoft.com/office/drawing/2014/main" id="{574DFE8B-1B58-410F-9814-38BBB6F5557A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68" name="$F$91">
            <a:extLst>
              <a:ext uri="{FF2B5EF4-FFF2-40B4-BE49-F238E27FC236}">
                <a16:creationId xmlns:a16="http://schemas.microsoft.com/office/drawing/2014/main" id="{3B6B4DD4-8C82-4D36-AB7A-60F94CF35FA1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69" name="$F$91">
            <a:extLst>
              <a:ext uri="{FF2B5EF4-FFF2-40B4-BE49-F238E27FC236}">
                <a16:creationId xmlns:a16="http://schemas.microsoft.com/office/drawing/2014/main" id="{85B11193-B7CF-42C7-AF97-3DE07E304E74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70" name="$F$91">
            <a:extLst>
              <a:ext uri="{FF2B5EF4-FFF2-40B4-BE49-F238E27FC236}">
                <a16:creationId xmlns:a16="http://schemas.microsoft.com/office/drawing/2014/main" id="{6C6DC84D-DB4D-42AF-AA05-0691B68E886F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71" name="$F$91">
            <a:extLst>
              <a:ext uri="{FF2B5EF4-FFF2-40B4-BE49-F238E27FC236}">
                <a16:creationId xmlns:a16="http://schemas.microsoft.com/office/drawing/2014/main" id="{9110ECD2-05CE-487B-A2B6-C71AE2EB972B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72" name="$F$91">
            <a:extLst>
              <a:ext uri="{FF2B5EF4-FFF2-40B4-BE49-F238E27FC236}">
                <a16:creationId xmlns:a16="http://schemas.microsoft.com/office/drawing/2014/main" id="{17D4A4D8-006F-41BC-9022-D615D7CB102B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73" name="$F$91">
            <a:extLst>
              <a:ext uri="{FF2B5EF4-FFF2-40B4-BE49-F238E27FC236}">
                <a16:creationId xmlns:a16="http://schemas.microsoft.com/office/drawing/2014/main" id="{BF2DF81F-967F-4ECC-9AB9-077DBF46BDD4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93703</xdr:colOff>
      <xdr:row>97</xdr:row>
      <xdr:rowOff>41318</xdr:rowOff>
    </xdr:from>
    <xdr:to>
      <xdr:col>4</xdr:col>
      <xdr:colOff>1563647</xdr:colOff>
      <xdr:row>97</xdr:row>
      <xdr:rowOff>1511262</xdr:rowOff>
    </xdr:to>
    <xdr:grpSp>
      <xdr:nvGrpSpPr>
        <xdr:cNvPr id="3785" name="$E$98" descr="QuickResponse barcode, level L, version 5, mode binary, 37x37 cells" title="https://centrodecapacitaciondelsur.com/adm-medicamentos-canalizacion-inyectologia-1085305753/">
          <a:extLst>
            <a:ext uri="{FF2B5EF4-FFF2-40B4-BE49-F238E27FC236}">
              <a16:creationId xmlns:a16="http://schemas.microsoft.com/office/drawing/2014/main" id="{14EF0FC2-1C5C-41FC-8649-4353800D80C4}"/>
            </a:ext>
          </a:extLst>
        </xdr:cNvPr>
        <xdr:cNvGrpSpPr>
          <a:grpSpLocks noChangeAspect="1"/>
        </xdr:cNvGrpSpPr>
      </xdr:nvGrpSpPr>
      <xdr:grpSpPr>
        <a:xfrm>
          <a:off x="20667703" y="100130018"/>
          <a:ext cx="1469944" cy="1469944"/>
          <a:chOff x="0" y="0"/>
          <a:chExt cx="469900" cy="469900"/>
        </a:xfrm>
      </xdr:grpSpPr>
      <xdr:sp macro="" textlink="">
        <xdr:nvSpPr>
          <xdr:cNvPr id="3075" name="$E$98">
            <a:extLst>
              <a:ext uri="{FF2B5EF4-FFF2-40B4-BE49-F238E27FC236}">
                <a16:creationId xmlns:a16="http://schemas.microsoft.com/office/drawing/2014/main" id="{6F93B5E4-320C-4490-B75D-2784E6C8810B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76" name="$E$98">
            <a:extLst>
              <a:ext uri="{FF2B5EF4-FFF2-40B4-BE49-F238E27FC236}">
                <a16:creationId xmlns:a16="http://schemas.microsoft.com/office/drawing/2014/main" id="{F19EF3DC-06D5-49ED-9BC9-C8E4E3017036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77" name="$E$98">
            <a:extLst>
              <a:ext uri="{FF2B5EF4-FFF2-40B4-BE49-F238E27FC236}">
                <a16:creationId xmlns:a16="http://schemas.microsoft.com/office/drawing/2014/main" id="{561A66BC-CE17-4AFC-A48C-17638F66598E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78" name="$E$98">
            <a:extLst>
              <a:ext uri="{FF2B5EF4-FFF2-40B4-BE49-F238E27FC236}">
                <a16:creationId xmlns:a16="http://schemas.microsoft.com/office/drawing/2014/main" id="{38F744EC-1F04-42B6-9A43-77C1E2AE8AC8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79" name="$E$98">
            <a:extLst>
              <a:ext uri="{FF2B5EF4-FFF2-40B4-BE49-F238E27FC236}">
                <a16:creationId xmlns:a16="http://schemas.microsoft.com/office/drawing/2014/main" id="{C9B6F741-9F0D-4560-AA32-CD306EDC3A55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80" name="$E$98">
            <a:extLst>
              <a:ext uri="{FF2B5EF4-FFF2-40B4-BE49-F238E27FC236}">
                <a16:creationId xmlns:a16="http://schemas.microsoft.com/office/drawing/2014/main" id="{6EF18E85-9893-4AC4-A049-C4FCD51F9CE1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81" name="$E$98">
            <a:extLst>
              <a:ext uri="{FF2B5EF4-FFF2-40B4-BE49-F238E27FC236}">
                <a16:creationId xmlns:a16="http://schemas.microsoft.com/office/drawing/2014/main" id="{060DCC4D-5A3B-4F8A-B655-D7C7F62F8851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82" name="$E$98">
            <a:extLst>
              <a:ext uri="{FF2B5EF4-FFF2-40B4-BE49-F238E27FC236}">
                <a16:creationId xmlns:a16="http://schemas.microsoft.com/office/drawing/2014/main" id="{926AC334-34BE-438A-9B1E-39D0BE1D1A7A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83" name="$E$98">
            <a:extLst>
              <a:ext uri="{FF2B5EF4-FFF2-40B4-BE49-F238E27FC236}">
                <a16:creationId xmlns:a16="http://schemas.microsoft.com/office/drawing/2014/main" id="{CDDC1841-B4D8-4821-8EF9-C35A079A570E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84" name="$E$98">
            <a:extLst>
              <a:ext uri="{FF2B5EF4-FFF2-40B4-BE49-F238E27FC236}">
                <a16:creationId xmlns:a16="http://schemas.microsoft.com/office/drawing/2014/main" id="{88798D89-426E-4C06-89BC-C86394AC0DD0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85" name="$E$98">
            <a:extLst>
              <a:ext uri="{FF2B5EF4-FFF2-40B4-BE49-F238E27FC236}">
                <a16:creationId xmlns:a16="http://schemas.microsoft.com/office/drawing/2014/main" id="{D69C588F-60D4-417D-B37E-A713418E13D8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86" name="$E$98">
            <a:extLst>
              <a:ext uri="{FF2B5EF4-FFF2-40B4-BE49-F238E27FC236}">
                <a16:creationId xmlns:a16="http://schemas.microsoft.com/office/drawing/2014/main" id="{CE600588-61AF-48B5-930D-A813994C961D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87" name="$E$98">
            <a:extLst>
              <a:ext uri="{FF2B5EF4-FFF2-40B4-BE49-F238E27FC236}">
                <a16:creationId xmlns:a16="http://schemas.microsoft.com/office/drawing/2014/main" id="{B18E80C3-D784-420C-89DA-368BD5824F8C}"/>
              </a:ext>
            </a:extLst>
          </xdr:cNvPr>
          <xdr:cNvSpPr/>
        </xdr:nvSpPr>
        <xdr:spPr>
          <a:xfrm>
            <a:off x="266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88" name="$E$98">
            <a:extLst>
              <a:ext uri="{FF2B5EF4-FFF2-40B4-BE49-F238E27FC236}">
                <a16:creationId xmlns:a16="http://schemas.microsoft.com/office/drawing/2014/main" id="{1B3C4959-55E9-4295-9FF5-61CEE230703C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89" name="$E$98">
            <a:extLst>
              <a:ext uri="{FF2B5EF4-FFF2-40B4-BE49-F238E27FC236}">
                <a16:creationId xmlns:a16="http://schemas.microsoft.com/office/drawing/2014/main" id="{62A05F36-7CF2-46EA-B862-150FEE846129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90" name="$E$98">
            <a:extLst>
              <a:ext uri="{FF2B5EF4-FFF2-40B4-BE49-F238E27FC236}">
                <a16:creationId xmlns:a16="http://schemas.microsoft.com/office/drawing/2014/main" id="{17C1FC0E-7BD9-4EA6-92E3-436AED12129F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91" name="$E$98">
            <a:extLst>
              <a:ext uri="{FF2B5EF4-FFF2-40B4-BE49-F238E27FC236}">
                <a16:creationId xmlns:a16="http://schemas.microsoft.com/office/drawing/2014/main" id="{B812B2AF-2BC2-4B7E-AD3C-1CBD45E1D3D6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92" name="$E$98">
            <a:extLst>
              <a:ext uri="{FF2B5EF4-FFF2-40B4-BE49-F238E27FC236}">
                <a16:creationId xmlns:a16="http://schemas.microsoft.com/office/drawing/2014/main" id="{192D206D-33D5-4E5B-BB7B-11951E699021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93" name="$E$98">
            <a:extLst>
              <a:ext uri="{FF2B5EF4-FFF2-40B4-BE49-F238E27FC236}">
                <a16:creationId xmlns:a16="http://schemas.microsoft.com/office/drawing/2014/main" id="{8F4542FD-4384-41AD-8616-C9F5E23A6C69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94" name="$E$98">
            <a:extLst>
              <a:ext uri="{FF2B5EF4-FFF2-40B4-BE49-F238E27FC236}">
                <a16:creationId xmlns:a16="http://schemas.microsoft.com/office/drawing/2014/main" id="{D9DA23EB-DEE0-4243-A331-127582B85852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95" name="$E$98">
            <a:extLst>
              <a:ext uri="{FF2B5EF4-FFF2-40B4-BE49-F238E27FC236}">
                <a16:creationId xmlns:a16="http://schemas.microsoft.com/office/drawing/2014/main" id="{5601212B-190E-49D5-9380-9EE8F1DF2FDA}"/>
              </a:ext>
            </a:extLst>
          </xdr:cNvPr>
          <xdr:cNvSpPr/>
        </xdr:nvSpPr>
        <xdr:spPr>
          <a:xfrm>
            <a:off x="431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96" name="$E$98">
            <a:extLst>
              <a:ext uri="{FF2B5EF4-FFF2-40B4-BE49-F238E27FC236}">
                <a16:creationId xmlns:a16="http://schemas.microsoft.com/office/drawing/2014/main" id="{FDFB49D0-E778-42B3-847D-79AC4BBFF6C1}"/>
              </a:ext>
            </a:extLst>
          </xdr:cNvPr>
          <xdr:cNvSpPr/>
        </xdr:nvSpPr>
        <xdr:spPr>
          <a:xfrm>
            <a:off x="444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97" name="$E$98">
            <a:extLst>
              <a:ext uri="{FF2B5EF4-FFF2-40B4-BE49-F238E27FC236}">
                <a16:creationId xmlns:a16="http://schemas.microsoft.com/office/drawing/2014/main" id="{5E47A044-EEFF-41A9-BA26-BCAC47D668A7}"/>
              </a:ext>
            </a:extLst>
          </xdr:cNvPr>
          <xdr:cNvSpPr/>
        </xdr:nvSpPr>
        <xdr:spPr>
          <a:xfrm>
            <a:off x="457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98" name="$E$98">
            <a:extLst>
              <a:ext uri="{FF2B5EF4-FFF2-40B4-BE49-F238E27FC236}">
                <a16:creationId xmlns:a16="http://schemas.microsoft.com/office/drawing/2014/main" id="{F7360D80-D27F-49A6-B37F-C6BF97ACD0AB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099" name="$E$98">
            <a:extLst>
              <a:ext uri="{FF2B5EF4-FFF2-40B4-BE49-F238E27FC236}">
                <a16:creationId xmlns:a16="http://schemas.microsoft.com/office/drawing/2014/main" id="{1B371211-E91F-4427-AC38-4E56C28F83CB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00" name="$E$98">
            <a:extLst>
              <a:ext uri="{FF2B5EF4-FFF2-40B4-BE49-F238E27FC236}">
                <a16:creationId xmlns:a16="http://schemas.microsoft.com/office/drawing/2014/main" id="{FC7C5E90-7C8C-437F-8936-2FE3DAA6BBDE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01" name="$E$98">
            <a:extLst>
              <a:ext uri="{FF2B5EF4-FFF2-40B4-BE49-F238E27FC236}">
                <a16:creationId xmlns:a16="http://schemas.microsoft.com/office/drawing/2014/main" id="{5BE4B04F-DC7E-4619-B01F-EBEB27811CC5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02" name="$E$98">
            <a:extLst>
              <a:ext uri="{FF2B5EF4-FFF2-40B4-BE49-F238E27FC236}">
                <a16:creationId xmlns:a16="http://schemas.microsoft.com/office/drawing/2014/main" id="{30FA78B2-4797-4BE1-9155-B9D6068B9362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03" name="$E$98">
            <a:extLst>
              <a:ext uri="{FF2B5EF4-FFF2-40B4-BE49-F238E27FC236}">
                <a16:creationId xmlns:a16="http://schemas.microsoft.com/office/drawing/2014/main" id="{C5CD8630-A44D-4E8E-BE0D-A45C0E01C382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04" name="$E$98">
            <a:extLst>
              <a:ext uri="{FF2B5EF4-FFF2-40B4-BE49-F238E27FC236}">
                <a16:creationId xmlns:a16="http://schemas.microsoft.com/office/drawing/2014/main" id="{D389545D-503D-4AF7-9625-0430108FB5E1}"/>
              </a:ext>
            </a:extLst>
          </xdr:cNvPr>
          <xdr:cNvSpPr/>
        </xdr:nvSpPr>
        <xdr:spPr>
          <a:xfrm>
            <a:off x="165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05" name="$E$98">
            <a:extLst>
              <a:ext uri="{FF2B5EF4-FFF2-40B4-BE49-F238E27FC236}">
                <a16:creationId xmlns:a16="http://schemas.microsoft.com/office/drawing/2014/main" id="{494BFEC4-1BDD-4E23-9139-ED2B82989F51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06" name="$E$98">
            <a:extLst>
              <a:ext uri="{FF2B5EF4-FFF2-40B4-BE49-F238E27FC236}">
                <a16:creationId xmlns:a16="http://schemas.microsoft.com/office/drawing/2014/main" id="{026DE151-F30C-4793-9905-251BD470AE8B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07" name="$E$98">
            <a:extLst>
              <a:ext uri="{FF2B5EF4-FFF2-40B4-BE49-F238E27FC236}">
                <a16:creationId xmlns:a16="http://schemas.microsoft.com/office/drawing/2014/main" id="{889F8B30-53A4-4EEE-8FAA-764619C7E2CF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08" name="$E$98">
            <a:extLst>
              <a:ext uri="{FF2B5EF4-FFF2-40B4-BE49-F238E27FC236}">
                <a16:creationId xmlns:a16="http://schemas.microsoft.com/office/drawing/2014/main" id="{3BF50214-8376-417D-801E-5CBF5A2DA3EB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09" name="$E$98">
            <a:extLst>
              <a:ext uri="{FF2B5EF4-FFF2-40B4-BE49-F238E27FC236}">
                <a16:creationId xmlns:a16="http://schemas.microsoft.com/office/drawing/2014/main" id="{8582BD12-0320-49E7-B946-9A2015BEBD0D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10" name="$E$98">
            <a:extLst>
              <a:ext uri="{FF2B5EF4-FFF2-40B4-BE49-F238E27FC236}">
                <a16:creationId xmlns:a16="http://schemas.microsoft.com/office/drawing/2014/main" id="{5D948F14-53FE-42ED-88A3-62215A9B9E77}"/>
              </a:ext>
            </a:extLst>
          </xdr:cNvPr>
          <xdr:cNvSpPr/>
        </xdr:nvSpPr>
        <xdr:spPr>
          <a:xfrm>
            <a:off x="342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11" name="$E$98">
            <a:extLst>
              <a:ext uri="{FF2B5EF4-FFF2-40B4-BE49-F238E27FC236}">
                <a16:creationId xmlns:a16="http://schemas.microsoft.com/office/drawing/2014/main" id="{68E5BA13-0B0C-46BF-A483-B76188E14D34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12" name="$E$98">
            <a:extLst>
              <a:ext uri="{FF2B5EF4-FFF2-40B4-BE49-F238E27FC236}">
                <a16:creationId xmlns:a16="http://schemas.microsoft.com/office/drawing/2014/main" id="{DDA025DE-3B03-4AD1-BBE4-4AD1F37F1A99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13" name="$E$98">
            <a:extLst>
              <a:ext uri="{FF2B5EF4-FFF2-40B4-BE49-F238E27FC236}">
                <a16:creationId xmlns:a16="http://schemas.microsoft.com/office/drawing/2014/main" id="{D28A210A-617A-4704-A562-8FBD030CE728}"/>
              </a:ext>
            </a:extLst>
          </xdr:cNvPr>
          <xdr:cNvSpPr/>
        </xdr:nvSpPr>
        <xdr:spPr>
          <a:xfrm>
            <a:off x="457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14" name="$E$98">
            <a:extLst>
              <a:ext uri="{FF2B5EF4-FFF2-40B4-BE49-F238E27FC236}">
                <a16:creationId xmlns:a16="http://schemas.microsoft.com/office/drawing/2014/main" id="{2929410C-24D4-4E96-BE4B-D7B329201298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15" name="$E$98">
            <a:extLst>
              <a:ext uri="{FF2B5EF4-FFF2-40B4-BE49-F238E27FC236}">
                <a16:creationId xmlns:a16="http://schemas.microsoft.com/office/drawing/2014/main" id="{6CEB79CC-1B4B-46E3-92A2-3708B421A03D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16" name="$E$98">
            <a:extLst>
              <a:ext uri="{FF2B5EF4-FFF2-40B4-BE49-F238E27FC236}">
                <a16:creationId xmlns:a16="http://schemas.microsoft.com/office/drawing/2014/main" id="{A3F00CE2-A8FF-4B91-8F35-0CB9F198CAE2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17" name="$E$98">
            <a:extLst>
              <a:ext uri="{FF2B5EF4-FFF2-40B4-BE49-F238E27FC236}">
                <a16:creationId xmlns:a16="http://schemas.microsoft.com/office/drawing/2014/main" id="{B6BD5C72-DA52-4FC2-803C-DFCE97EFDB47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18" name="$E$98">
            <a:extLst>
              <a:ext uri="{FF2B5EF4-FFF2-40B4-BE49-F238E27FC236}">
                <a16:creationId xmlns:a16="http://schemas.microsoft.com/office/drawing/2014/main" id="{557CA2EA-AD4F-4585-B009-12A965FB4605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19" name="$E$98">
            <a:extLst>
              <a:ext uri="{FF2B5EF4-FFF2-40B4-BE49-F238E27FC236}">
                <a16:creationId xmlns:a16="http://schemas.microsoft.com/office/drawing/2014/main" id="{EC4D7531-974E-42B5-BBBD-7A99B5217CE2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20" name="$E$98">
            <a:extLst>
              <a:ext uri="{FF2B5EF4-FFF2-40B4-BE49-F238E27FC236}">
                <a16:creationId xmlns:a16="http://schemas.microsoft.com/office/drawing/2014/main" id="{FC275FC1-FB10-426F-8336-1A0F07222EC7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21" name="$E$98">
            <a:extLst>
              <a:ext uri="{FF2B5EF4-FFF2-40B4-BE49-F238E27FC236}">
                <a16:creationId xmlns:a16="http://schemas.microsoft.com/office/drawing/2014/main" id="{E84EAF60-8E5F-4C24-B58B-732EB745D370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22" name="$E$98">
            <a:extLst>
              <a:ext uri="{FF2B5EF4-FFF2-40B4-BE49-F238E27FC236}">
                <a16:creationId xmlns:a16="http://schemas.microsoft.com/office/drawing/2014/main" id="{E0A541B0-0462-4D52-B125-92699BB586C2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23" name="$E$98">
            <a:extLst>
              <a:ext uri="{FF2B5EF4-FFF2-40B4-BE49-F238E27FC236}">
                <a16:creationId xmlns:a16="http://schemas.microsoft.com/office/drawing/2014/main" id="{E9DEF2BF-698B-44ED-A320-8F9D7B79E467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24" name="$E$98">
            <a:extLst>
              <a:ext uri="{FF2B5EF4-FFF2-40B4-BE49-F238E27FC236}">
                <a16:creationId xmlns:a16="http://schemas.microsoft.com/office/drawing/2014/main" id="{ED3A236C-3444-47B9-9F0C-1FEB1410F7AF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25" name="$E$98">
            <a:extLst>
              <a:ext uri="{FF2B5EF4-FFF2-40B4-BE49-F238E27FC236}">
                <a16:creationId xmlns:a16="http://schemas.microsoft.com/office/drawing/2014/main" id="{F5B3BDD7-634A-46C6-8CEB-F9F34E8F76C4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26" name="$E$98">
            <a:extLst>
              <a:ext uri="{FF2B5EF4-FFF2-40B4-BE49-F238E27FC236}">
                <a16:creationId xmlns:a16="http://schemas.microsoft.com/office/drawing/2014/main" id="{E0E37395-00AF-4300-B275-6ABB01BFEA08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27" name="$E$98">
            <a:extLst>
              <a:ext uri="{FF2B5EF4-FFF2-40B4-BE49-F238E27FC236}">
                <a16:creationId xmlns:a16="http://schemas.microsoft.com/office/drawing/2014/main" id="{105A5A71-006F-4DDC-9068-B8BDA60FA634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28" name="$E$98">
            <a:extLst>
              <a:ext uri="{FF2B5EF4-FFF2-40B4-BE49-F238E27FC236}">
                <a16:creationId xmlns:a16="http://schemas.microsoft.com/office/drawing/2014/main" id="{B194984A-BCC8-49C1-8C60-8AD59BAC47CE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29" name="$E$98">
            <a:extLst>
              <a:ext uri="{FF2B5EF4-FFF2-40B4-BE49-F238E27FC236}">
                <a16:creationId xmlns:a16="http://schemas.microsoft.com/office/drawing/2014/main" id="{F71F492A-85BD-4D1B-B782-EFE486194524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30" name="$E$98">
            <a:extLst>
              <a:ext uri="{FF2B5EF4-FFF2-40B4-BE49-F238E27FC236}">
                <a16:creationId xmlns:a16="http://schemas.microsoft.com/office/drawing/2014/main" id="{C02416F7-7FB9-4E24-ABFD-0D23B1D442D9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31" name="$E$98">
            <a:extLst>
              <a:ext uri="{FF2B5EF4-FFF2-40B4-BE49-F238E27FC236}">
                <a16:creationId xmlns:a16="http://schemas.microsoft.com/office/drawing/2014/main" id="{0FCF181B-98D8-466A-A153-E4435DFAE12D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32" name="$E$98">
            <a:extLst>
              <a:ext uri="{FF2B5EF4-FFF2-40B4-BE49-F238E27FC236}">
                <a16:creationId xmlns:a16="http://schemas.microsoft.com/office/drawing/2014/main" id="{DDE8F61C-D081-4BE7-A5AB-9A852578E5D8}"/>
              </a:ext>
            </a:extLst>
          </xdr:cNvPr>
          <xdr:cNvSpPr/>
        </xdr:nvSpPr>
        <xdr:spPr>
          <a:xfrm>
            <a:off x="419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33" name="$E$98">
            <a:extLst>
              <a:ext uri="{FF2B5EF4-FFF2-40B4-BE49-F238E27FC236}">
                <a16:creationId xmlns:a16="http://schemas.microsoft.com/office/drawing/2014/main" id="{3F62FD9C-B7C0-4903-A940-B3BEF3567624}"/>
              </a:ext>
            </a:extLst>
          </xdr:cNvPr>
          <xdr:cNvSpPr/>
        </xdr:nvSpPr>
        <xdr:spPr>
          <a:xfrm>
            <a:off x="431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34" name="$E$98">
            <a:extLst>
              <a:ext uri="{FF2B5EF4-FFF2-40B4-BE49-F238E27FC236}">
                <a16:creationId xmlns:a16="http://schemas.microsoft.com/office/drawing/2014/main" id="{3FE2475E-029F-4A6C-B8EB-41A691F9D559}"/>
              </a:ext>
            </a:extLst>
          </xdr:cNvPr>
          <xdr:cNvSpPr/>
        </xdr:nvSpPr>
        <xdr:spPr>
          <a:xfrm>
            <a:off x="457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35" name="$E$98">
            <a:extLst>
              <a:ext uri="{FF2B5EF4-FFF2-40B4-BE49-F238E27FC236}">
                <a16:creationId xmlns:a16="http://schemas.microsoft.com/office/drawing/2014/main" id="{04C9FD16-6077-44A9-8AB3-2918F6D3CCE2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36" name="$E$98">
            <a:extLst>
              <a:ext uri="{FF2B5EF4-FFF2-40B4-BE49-F238E27FC236}">
                <a16:creationId xmlns:a16="http://schemas.microsoft.com/office/drawing/2014/main" id="{C75DABA4-EA7B-4136-91A8-1AA42E104EFC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37" name="$E$98">
            <a:extLst>
              <a:ext uri="{FF2B5EF4-FFF2-40B4-BE49-F238E27FC236}">
                <a16:creationId xmlns:a16="http://schemas.microsoft.com/office/drawing/2014/main" id="{26AEE022-CB59-4CE0-B200-85B99C96600A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38" name="$E$98">
            <a:extLst>
              <a:ext uri="{FF2B5EF4-FFF2-40B4-BE49-F238E27FC236}">
                <a16:creationId xmlns:a16="http://schemas.microsoft.com/office/drawing/2014/main" id="{0B6EC506-749F-430D-9466-B5D0740331A9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39" name="$E$98">
            <a:extLst>
              <a:ext uri="{FF2B5EF4-FFF2-40B4-BE49-F238E27FC236}">
                <a16:creationId xmlns:a16="http://schemas.microsoft.com/office/drawing/2014/main" id="{D1C22F30-70F8-4466-A2A4-CD4328EA833C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40" name="$E$98">
            <a:extLst>
              <a:ext uri="{FF2B5EF4-FFF2-40B4-BE49-F238E27FC236}">
                <a16:creationId xmlns:a16="http://schemas.microsoft.com/office/drawing/2014/main" id="{475A4545-B821-4CD1-930C-BFD24245CC9D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41" name="$E$98">
            <a:extLst>
              <a:ext uri="{FF2B5EF4-FFF2-40B4-BE49-F238E27FC236}">
                <a16:creationId xmlns:a16="http://schemas.microsoft.com/office/drawing/2014/main" id="{D68DD334-7873-4E82-8A73-533A6C61A2A6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42" name="$E$98">
            <a:extLst>
              <a:ext uri="{FF2B5EF4-FFF2-40B4-BE49-F238E27FC236}">
                <a16:creationId xmlns:a16="http://schemas.microsoft.com/office/drawing/2014/main" id="{D01248B9-BFA8-401B-B169-6AB144079112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43" name="$E$98">
            <a:extLst>
              <a:ext uri="{FF2B5EF4-FFF2-40B4-BE49-F238E27FC236}">
                <a16:creationId xmlns:a16="http://schemas.microsoft.com/office/drawing/2014/main" id="{E9648A7C-4545-430C-8801-90FA06FAD085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44" name="$E$98">
            <a:extLst>
              <a:ext uri="{FF2B5EF4-FFF2-40B4-BE49-F238E27FC236}">
                <a16:creationId xmlns:a16="http://schemas.microsoft.com/office/drawing/2014/main" id="{1D16F602-0AC8-4699-A330-C75B96457E4F}"/>
              </a:ext>
            </a:extLst>
          </xdr:cNvPr>
          <xdr:cNvSpPr/>
        </xdr:nvSpPr>
        <xdr:spPr>
          <a:xfrm>
            <a:off x="190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45" name="$E$98">
            <a:extLst>
              <a:ext uri="{FF2B5EF4-FFF2-40B4-BE49-F238E27FC236}">
                <a16:creationId xmlns:a16="http://schemas.microsoft.com/office/drawing/2014/main" id="{DF4AFB95-4086-442A-A416-ABD71A7C9380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46" name="$E$98">
            <a:extLst>
              <a:ext uri="{FF2B5EF4-FFF2-40B4-BE49-F238E27FC236}">
                <a16:creationId xmlns:a16="http://schemas.microsoft.com/office/drawing/2014/main" id="{7652AD29-3FA9-43A2-8A96-9F9554D34706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47" name="$E$98">
            <a:extLst>
              <a:ext uri="{FF2B5EF4-FFF2-40B4-BE49-F238E27FC236}">
                <a16:creationId xmlns:a16="http://schemas.microsoft.com/office/drawing/2014/main" id="{2A4829E5-C31D-496C-8F6C-38068A884DC2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48" name="$E$98">
            <a:extLst>
              <a:ext uri="{FF2B5EF4-FFF2-40B4-BE49-F238E27FC236}">
                <a16:creationId xmlns:a16="http://schemas.microsoft.com/office/drawing/2014/main" id="{D81918EF-1CFB-4C78-B53E-C05441AD99D5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49" name="$E$98">
            <a:extLst>
              <a:ext uri="{FF2B5EF4-FFF2-40B4-BE49-F238E27FC236}">
                <a16:creationId xmlns:a16="http://schemas.microsoft.com/office/drawing/2014/main" id="{389E2C7F-41C1-4742-B5DF-21705244028D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50" name="$E$98">
            <a:extLst>
              <a:ext uri="{FF2B5EF4-FFF2-40B4-BE49-F238E27FC236}">
                <a16:creationId xmlns:a16="http://schemas.microsoft.com/office/drawing/2014/main" id="{DFE13948-5601-45E9-BF76-4CF1134ED65F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51" name="$E$98">
            <a:extLst>
              <a:ext uri="{FF2B5EF4-FFF2-40B4-BE49-F238E27FC236}">
                <a16:creationId xmlns:a16="http://schemas.microsoft.com/office/drawing/2014/main" id="{07BFCF91-AE91-4891-AFCF-565818033F5C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52" name="$E$98">
            <a:extLst>
              <a:ext uri="{FF2B5EF4-FFF2-40B4-BE49-F238E27FC236}">
                <a16:creationId xmlns:a16="http://schemas.microsoft.com/office/drawing/2014/main" id="{6FDE4AF1-B90F-48A5-AF28-0B8894D3F766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53" name="$E$98">
            <a:extLst>
              <a:ext uri="{FF2B5EF4-FFF2-40B4-BE49-F238E27FC236}">
                <a16:creationId xmlns:a16="http://schemas.microsoft.com/office/drawing/2014/main" id="{3C5B24C8-88F3-4806-A13C-FBF845EF0996}"/>
              </a:ext>
            </a:extLst>
          </xdr:cNvPr>
          <xdr:cNvSpPr/>
        </xdr:nvSpPr>
        <xdr:spPr>
          <a:xfrm>
            <a:off x="342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54" name="$E$98">
            <a:extLst>
              <a:ext uri="{FF2B5EF4-FFF2-40B4-BE49-F238E27FC236}">
                <a16:creationId xmlns:a16="http://schemas.microsoft.com/office/drawing/2014/main" id="{865B205B-DFB8-4A53-A980-FF5EC0403F4D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55" name="$E$98">
            <a:extLst>
              <a:ext uri="{FF2B5EF4-FFF2-40B4-BE49-F238E27FC236}">
                <a16:creationId xmlns:a16="http://schemas.microsoft.com/office/drawing/2014/main" id="{644ACE6B-741C-4051-8A05-AFE71FFC9722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56" name="$E$98">
            <a:extLst>
              <a:ext uri="{FF2B5EF4-FFF2-40B4-BE49-F238E27FC236}">
                <a16:creationId xmlns:a16="http://schemas.microsoft.com/office/drawing/2014/main" id="{E17218E9-D725-4210-8E0A-4CF247550088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57" name="$E$98">
            <a:extLst>
              <a:ext uri="{FF2B5EF4-FFF2-40B4-BE49-F238E27FC236}">
                <a16:creationId xmlns:a16="http://schemas.microsoft.com/office/drawing/2014/main" id="{A1084BC9-354E-4D34-B291-E251BCF28E44}"/>
              </a:ext>
            </a:extLst>
          </xdr:cNvPr>
          <xdr:cNvSpPr/>
        </xdr:nvSpPr>
        <xdr:spPr>
          <a:xfrm>
            <a:off x="419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58" name="$E$98">
            <a:extLst>
              <a:ext uri="{FF2B5EF4-FFF2-40B4-BE49-F238E27FC236}">
                <a16:creationId xmlns:a16="http://schemas.microsoft.com/office/drawing/2014/main" id="{26E09F11-7711-4E73-AEA8-1158625E539B}"/>
              </a:ext>
            </a:extLst>
          </xdr:cNvPr>
          <xdr:cNvSpPr/>
        </xdr:nvSpPr>
        <xdr:spPr>
          <a:xfrm>
            <a:off x="431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59" name="$E$98">
            <a:extLst>
              <a:ext uri="{FF2B5EF4-FFF2-40B4-BE49-F238E27FC236}">
                <a16:creationId xmlns:a16="http://schemas.microsoft.com/office/drawing/2014/main" id="{C273116D-FBA2-4B97-AC2C-C83952043BFB}"/>
              </a:ext>
            </a:extLst>
          </xdr:cNvPr>
          <xdr:cNvSpPr/>
        </xdr:nvSpPr>
        <xdr:spPr>
          <a:xfrm>
            <a:off x="457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60" name="$E$98">
            <a:extLst>
              <a:ext uri="{FF2B5EF4-FFF2-40B4-BE49-F238E27FC236}">
                <a16:creationId xmlns:a16="http://schemas.microsoft.com/office/drawing/2014/main" id="{6213511F-0CC8-4BA4-8B70-B497DD177002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61" name="$E$98">
            <a:extLst>
              <a:ext uri="{FF2B5EF4-FFF2-40B4-BE49-F238E27FC236}">
                <a16:creationId xmlns:a16="http://schemas.microsoft.com/office/drawing/2014/main" id="{BEFFE976-CC6A-437C-B99C-C871A24F5858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62" name="$E$98">
            <a:extLst>
              <a:ext uri="{FF2B5EF4-FFF2-40B4-BE49-F238E27FC236}">
                <a16:creationId xmlns:a16="http://schemas.microsoft.com/office/drawing/2014/main" id="{31EE0691-4455-4375-8ACC-B182B4DAD549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63" name="$E$98">
            <a:extLst>
              <a:ext uri="{FF2B5EF4-FFF2-40B4-BE49-F238E27FC236}">
                <a16:creationId xmlns:a16="http://schemas.microsoft.com/office/drawing/2014/main" id="{DA2CA781-304A-4629-9985-680E254A75C2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64" name="$E$98">
            <a:extLst>
              <a:ext uri="{FF2B5EF4-FFF2-40B4-BE49-F238E27FC236}">
                <a16:creationId xmlns:a16="http://schemas.microsoft.com/office/drawing/2014/main" id="{54BD704D-301F-46BD-95C6-7D570FA2B29E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65" name="$E$98">
            <a:extLst>
              <a:ext uri="{FF2B5EF4-FFF2-40B4-BE49-F238E27FC236}">
                <a16:creationId xmlns:a16="http://schemas.microsoft.com/office/drawing/2014/main" id="{EAE2F025-4E49-4F3F-9135-265EA625D663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66" name="$E$98">
            <a:extLst>
              <a:ext uri="{FF2B5EF4-FFF2-40B4-BE49-F238E27FC236}">
                <a16:creationId xmlns:a16="http://schemas.microsoft.com/office/drawing/2014/main" id="{A02B77DF-6ED9-4B13-B8DE-9A479EEBFB63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67" name="$E$98">
            <a:extLst>
              <a:ext uri="{FF2B5EF4-FFF2-40B4-BE49-F238E27FC236}">
                <a16:creationId xmlns:a16="http://schemas.microsoft.com/office/drawing/2014/main" id="{93951F1F-4623-4DCF-909A-40A6B921372B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68" name="$E$98">
            <a:extLst>
              <a:ext uri="{FF2B5EF4-FFF2-40B4-BE49-F238E27FC236}">
                <a16:creationId xmlns:a16="http://schemas.microsoft.com/office/drawing/2014/main" id="{D744805D-2349-48DF-9457-2A7D24587069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69" name="$E$98">
            <a:extLst>
              <a:ext uri="{FF2B5EF4-FFF2-40B4-BE49-F238E27FC236}">
                <a16:creationId xmlns:a16="http://schemas.microsoft.com/office/drawing/2014/main" id="{FE72B646-AF8A-48CE-B540-35189C4BF445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70" name="$E$98">
            <a:extLst>
              <a:ext uri="{FF2B5EF4-FFF2-40B4-BE49-F238E27FC236}">
                <a16:creationId xmlns:a16="http://schemas.microsoft.com/office/drawing/2014/main" id="{9CEBFFB1-E880-4DDA-8495-C0EF1CFB6B96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71" name="$E$98">
            <a:extLst>
              <a:ext uri="{FF2B5EF4-FFF2-40B4-BE49-F238E27FC236}">
                <a16:creationId xmlns:a16="http://schemas.microsoft.com/office/drawing/2014/main" id="{9A66473E-6AD7-44E3-96A9-227FABA07C95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72" name="$E$98">
            <a:extLst>
              <a:ext uri="{FF2B5EF4-FFF2-40B4-BE49-F238E27FC236}">
                <a16:creationId xmlns:a16="http://schemas.microsoft.com/office/drawing/2014/main" id="{68FC18B5-67D7-4767-9576-786F68AFAEFC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73" name="$E$98">
            <a:extLst>
              <a:ext uri="{FF2B5EF4-FFF2-40B4-BE49-F238E27FC236}">
                <a16:creationId xmlns:a16="http://schemas.microsoft.com/office/drawing/2014/main" id="{A59DA048-9EC4-4351-8E0C-D7A07344763C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74" name="$E$98">
            <a:extLst>
              <a:ext uri="{FF2B5EF4-FFF2-40B4-BE49-F238E27FC236}">
                <a16:creationId xmlns:a16="http://schemas.microsoft.com/office/drawing/2014/main" id="{55A66471-7CB0-4AE1-8F2E-BC5C5AD2F5BA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75" name="$E$98">
            <a:extLst>
              <a:ext uri="{FF2B5EF4-FFF2-40B4-BE49-F238E27FC236}">
                <a16:creationId xmlns:a16="http://schemas.microsoft.com/office/drawing/2014/main" id="{C7C00055-CD69-42E3-BE26-3C8F27DFD653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76" name="$E$98">
            <a:extLst>
              <a:ext uri="{FF2B5EF4-FFF2-40B4-BE49-F238E27FC236}">
                <a16:creationId xmlns:a16="http://schemas.microsoft.com/office/drawing/2014/main" id="{D92DD879-D476-425B-BC84-CCB89D8B0304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77" name="$E$98">
            <a:extLst>
              <a:ext uri="{FF2B5EF4-FFF2-40B4-BE49-F238E27FC236}">
                <a16:creationId xmlns:a16="http://schemas.microsoft.com/office/drawing/2014/main" id="{713E2F50-1AAF-40F6-988B-6179BCADF134}"/>
              </a:ext>
            </a:extLst>
          </xdr:cNvPr>
          <xdr:cNvSpPr/>
        </xdr:nvSpPr>
        <xdr:spPr>
          <a:xfrm>
            <a:off x="419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78" name="$E$98">
            <a:extLst>
              <a:ext uri="{FF2B5EF4-FFF2-40B4-BE49-F238E27FC236}">
                <a16:creationId xmlns:a16="http://schemas.microsoft.com/office/drawing/2014/main" id="{DDA07871-99A2-4B97-BD27-A83331772F36}"/>
              </a:ext>
            </a:extLst>
          </xdr:cNvPr>
          <xdr:cNvSpPr/>
        </xdr:nvSpPr>
        <xdr:spPr>
          <a:xfrm>
            <a:off x="431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79" name="$E$98">
            <a:extLst>
              <a:ext uri="{FF2B5EF4-FFF2-40B4-BE49-F238E27FC236}">
                <a16:creationId xmlns:a16="http://schemas.microsoft.com/office/drawing/2014/main" id="{9D27687C-5E18-4512-BFA6-169D10860360}"/>
              </a:ext>
            </a:extLst>
          </xdr:cNvPr>
          <xdr:cNvSpPr/>
        </xdr:nvSpPr>
        <xdr:spPr>
          <a:xfrm>
            <a:off x="457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80" name="$E$98">
            <a:extLst>
              <a:ext uri="{FF2B5EF4-FFF2-40B4-BE49-F238E27FC236}">
                <a16:creationId xmlns:a16="http://schemas.microsoft.com/office/drawing/2014/main" id="{1F774025-D982-4759-BEAB-2C256D855765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81" name="$E$98">
            <a:extLst>
              <a:ext uri="{FF2B5EF4-FFF2-40B4-BE49-F238E27FC236}">
                <a16:creationId xmlns:a16="http://schemas.microsoft.com/office/drawing/2014/main" id="{3B8848A7-80DC-472B-8357-5539FD670BD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82" name="$E$98">
            <a:extLst>
              <a:ext uri="{FF2B5EF4-FFF2-40B4-BE49-F238E27FC236}">
                <a16:creationId xmlns:a16="http://schemas.microsoft.com/office/drawing/2014/main" id="{BEDAA855-6D70-427D-8A06-87584E915CC6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83" name="$E$98">
            <a:extLst>
              <a:ext uri="{FF2B5EF4-FFF2-40B4-BE49-F238E27FC236}">
                <a16:creationId xmlns:a16="http://schemas.microsoft.com/office/drawing/2014/main" id="{00C2CEE7-9167-4C65-B416-3F0356C695F6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84" name="$E$98">
            <a:extLst>
              <a:ext uri="{FF2B5EF4-FFF2-40B4-BE49-F238E27FC236}">
                <a16:creationId xmlns:a16="http://schemas.microsoft.com/office/drawing/2014/main" id="{23E27A18-6A89-48BB-920F-A1B0F61CE3EA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85" name="$E$98">
            <a:extLst>
              <a:ext uri="{FF2B5EF4-FFF2-40B4-BE49-F238E27FC236}">
                <a16:creationId xmlns:a16="http://schemas.microsoft.com/office/drawing/2014/main" id="{AAE69120-61F9-4794-8093-6A4461A91F0A}"/>
              </a:ext>
            </a:extLst>
          </xdr:cNvPr>
          <xdr:cNvSpPr/>
        </xdr:nvSpPr>
        <xdr:spPr>
          <a:xfrm>
            <a:off x="228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86" name="$E$98">
            <a:extLst>
              <a:ext uri="{FF2B5EF4-FFF2-40B4-BE49-F238E27FC236}">
                <a16:creationId xmlns:a16="http://schemas.microsoft.com/office/drawing/2014/main" id="{232C06C3-CEEE-4415-B3F9-2C6AD82D2D72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87" name="$E$98">
            <a:extLst>
              <a:ext uri="{FF2B5EF4-FFF2-40B4-BE49-F238E27FC236}">
                <a16:creationId xmlns:a16="http://schemas.microsoft.com/office/drawing/2014/main" id="{29C39A62-6EB6-4C62-817E-E3A4C212D866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88" name="$E$98">
            <a:extLst>
              <a:ext uri="{FF2B5EF4-FFF2-40B4-BE49-F238E27FC236}">
                <a16:creationId xmlns:a16="http://schemas.microsoft.com/office/drawing/2014/main" id="{C3086A75-9910-4453-BF93-D72082598E0A}"/>
              </a:ext>
            </a:extLst>
          </xdr:cNvPr>
          <xdr:cNvSpPr/>
        </xdr:nvSpPr>
        <xdr:spPr>
          <a:xfrm>
            <a:off x="317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89" name="$E$98">
            <a:extLst>
              <a:ext uri="{FF2B5EF4-FFF2-40B4-BE49-F238E27FC236}">
                <a16:creationId xmlns:a16="http://schemas.microsoft.com/office/drawing/2014/main" id="{19007D73-0FB1-4C9F-BAF2-AE6F1C1A341B}"/>
              </a:ext>
            </a:extLst>
          </xdr:cNvPr>
          <xdr:cNvSpPr/>
        </xdr:nvSpPr>
        <xdr:spPr>
          <a:xfrm>
            <a:off x="342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90" name="$E$98">
            <a:extLst>
              <a:ext uri="{FF2B5EF4-FFF2-40B4-BE49-F238E27FC236}">
                <a16:creationId xmlns:a16="http://schemas.microsoft.com/office/drawing/2014/main" id="{E8210A21-0A61-4099-8322-57BD9FA67C74}"/>
              </a:ext>
            </a:extLst>
          </xdr:cNvPr>
          <xdr:cNvSpPr/>
        </xdr:nvSpPr>
        <xdr:spPr>
          <a:xfrm>
            <a:off x="381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91" name="$E$98">
            <a:extLst>
              <a:ext uri="{FF2B5EF4-FFF2-40B4-BE49-F238E27FC236}">
                <a16:creationId xmlns:a16="http://schemas.microsoft.com/office/drawing/2014/main" id="{989E10E5-DF4E-43B5-BF67-B9C06C33C587}"/>
              </a:ext>
            </a:extLst>
          </xdr:cNvPr>
          <xdr:cNvSpPr/>
        </xdr:nvSpPr>
        <xdr:spPr>
          <a:xfrm>
            <a:off x="457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92" name="$E$98">
            <a:extLst>
              <a:ext uri="{FF2B5EF4-FFF2-40B4-BE49-F238E27FC236}">
                <a16:creationId xmlns:a16="http://schemas.microsoft.com/office/drawing/2014/main" id="{7BA7A606-BF89-4C63-BFFB-E53ECF1ED237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93" name="$E$98">
            <a:extLst>
              <a:ext uri="{FF2B5EF4-FFF2-40B4-BE49-F238E27FC236}">
                <a16:creationId xmlns:a16="http://schemas.microsoft.com/office/drawing/2014/main" id="{FE4EA362-36CE-4262-BBD8-4402BF096E27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94" name="$E$98">
            <a:extLst>
              <a:ext uri="{FF2B5EF4-FFF2-40B4-BE49-F238E27FC236}">
                <a16:creationId xmlns:a16="http://schemas.microsoft.com/office/drawing/2014/main" id="{D460B2F5-5C8C-475E-BF55-F22C812C6C2F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95" name="$E$98">
            <a:extLst>
              <a:ext uri="{FF2B5EF4-FFF2-40B4-BE49-F238E27FC236}">
                <a16:creationId xmlns:a16="http://schemas.microsoft.com/office/drawing/2014/main" id="{B4ED2E33-5C8F-44B6-9526-CD4815627D77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96" name="$E$98">
            <a:extLst>
              <a:ext uri="{FF2B5EF4-FFF2-40B4-BE49-F238E27FC236}">
                <a16:creationId xmlns:a16="http://schemas.microsoft.com/office/drawing/2014/main" id="{61143741-1F56-44F8-841C-E4F65BAE6AF8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97" name="$E$98">
            <a:extLst>
              <a:ext uri="{FF2B5EF4-FFF2-40B4-BE49-F238E27FC236}">
                <a16:creationId xmlns:a16="http://schemas.microsoft.com/office/drawing/2014/main" id="{26931BE6-4A3A-4722-ADA1-A3566FCB5866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98" name="$E$98">
            <a:extLst>
              <a:ext uri="{FF2B5EF4-FFF2-40B4-BE49-F238E27FC236}">
                <a16:creationId xmlns:a16="http://schemas.microsoft.com/office/drawing/2014/main" id="{B69A6363-410D-46A7-AC35-B4F4A192C885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99" name="$E$98">
            <a:extLst>
              <a:ext uri="{FF2B5EF4-FFF2-40B4-BE49-F238E27FC236}">
                <a16:creationId xmlns:a16="http://schemas.microsoft.com/office/drawing/2014/main" id="{82D4CBF4-107A-4E01-9680-9034300B290C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00" name="$E$98">
            <a:extLst>
              <a:ext uri="{FF2B5EF4-FFF2-40B4-BE49-F238E27FC236}">
                <a16:creationId xmlns:a16="http://schemas.microsoft.com/office/drawing/2014/main" id="{387E7F8F-B333-4D78-824B-164708421E0F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01" name="$E$98">
            <a:extLst>
              <a:ext uri="{FF2B5EF4-FFF2-40B4-BE49-F238E27FC236}">
                <a16:creationId xmlns:a16="http://schemas.microsoft.com/office/drawing/2014/main" id="{40CCAF7D-4619-42DA-B93D-463B1207DFCA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02" name="$E$98">
            <a:extLst>
              <a:ext uri="{FF2B5EF4-FFF2-40B4-BE49-F238E27FC236}">
                <a16:creationId xmlns:a16="http://schemas.microsoft.com/office/drawing/2014/main" id="{6C65C66C-DEC6-4D44-B451-FA36B945562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03" name="$E$98">
            <a:extLst>
              <a:ext uri="{FF2B5EF4-FFF2-40B4-BE49-F238E27FC236}">
                <a16:creationId xmlns:a16="http://schemas.microsoft.com/office/drawing/2014/main" id="{769480DC-D861-4E07-BC26-A374B82113F3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04" name="$E$98">
            <a:extLst>
              <a:ext uri="{FF2B5EF4-FFF2-40B4-BE49-F238E27FC236}">
                <a16:creationId xmlns:a16="http://schemas.microsoft.com/office/drawing/2014/main" id="{0CF8CC58-1EF8-4603-8638-40B748F38C36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05" name="$E$98">
            <a:extLst>
              <a:ext uri="{FF2B5EF4-FFF2-40B4-BE49-F238E27FC236}">
                <a16:creationId xmlns:a16="http://schemas.microsoft.com/office/drawing/2014/main" id="{83761DB3-DEC4-4E32-98FF-EBCC60FE0449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06" name="$E$98">
            <a:extLst>
              <a:ext uri="{FF2B5EF4-FFF2-40B4-BE49-F238E27FC236}">
                <a16:creationId xmlns:a16="http://schemas.microsoft.com/office/drawing/2014/main" id="{34786005-FA00-4BF3-A235-1A5A16014C51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07" name="$E$98">
            <a:extLst>
              <a:ext uri="{FF2B5EF4-FFF2-40B4-BE49-F238E27FC236}">
                <a16:creationId xmlns:a16="http://schemas.microsoft.com/office/drawing/2014/main" id="{7784A232-D5BD-46C3-BE70-26E02BE13D69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08" name="$E$98">
            <a:extLst>
              <a:ext uri="{FF2B5EF4-FFF2-40B4-BE49-F238E27FC236}">
                <a16:creationId xmlns:a16="http://schemas.microsoft.com/office/drawing/2014/main" id="{CE1B454C-DFFB-4486-8772-29462874662F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09" name="$E$98">
            <a:extLst>
              <a:ext uri="{FF2B5EF4-FFF2-40B4-BE49-F238E27FC236}">
                <a16:creationId xmlns:a16="http://schemas.microsoft.com/office/drawing/2014/main" id="{852622BA-E211-487B-90A9-03572C30D80B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10" name="$E$98">
            <a:extLst>
              <a:ext uri="{FF2B5EF4-FFF2-40B4-BE49-F238E27FC236}">
                <a16:creationId xmlns:a16="http://schemas.microsoft.com/office/drawing/2014/main" id="{C7A82FE6-1C5D-428D-9A6A-A3555B15436F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11" name="$E$98">
            <a:extLst>
              <a:ext uri="{FF2B5EF4-FFF2-40B4-BE49-F238E27FC236}">
                <a16:creationId xmlns:a16="http://schemas.microsoft.com/office/drawing/2014/main" id="{F13A8452-1636-4E2E-A4A6-171468E561C0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12" name="$E$98">
            <a:extLst>
              <a:ext uri="{FF2B5EF4-FFF2-40B4-BE49-F238E27FC236}">
                <a16:creationId xmlns:a16="http://schemas.microsoft.com/office/drawing/2014/main" id="{7218DA05-39EB-4DC9-BBA6-8BA9F3E47B51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13" name="$E$98">
            <a:extLst>
              <a:ext uri="{FF2B5EF4-FFF2-40B4-BE49-F238E27FC236}">
                <a16:creationId xmlns:a16="http://schemas.microsoft.com/office/drawing/2014/main" id="{87721319-D0F1-41AE-B2E2-07848DDBCF15}"/>
              </a:ext>
            </a:extLst>
          </xdr:cNvPr>
          <xdr:cNvSpPr/>
        </xdr:nvSpPr>
        <xdr:spPr>
          <a:xfrm>
            <a:off x="419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14" name="$E$98">
            <a:extLst>
              <a:ext uri="{FF2B5EF4-FFF2-40B4-BE49-F238E27FC236}">
                <a16:creationId xmlns:a16="http://schemas.microsoft.com/office/drawing/2014/main" id="{98B81BBF-9A97-4A6A-90BF-440D98193519}"/>
              </a:ext>
            </a:extLst>
          </xdr:cNvPr>
          <xdr:cNvSpPr/>
        </xdr:nvSpPr>
        <xdr:spPr>
          <a:xfrm>
            <a:off x="431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15" name="$E$98">
            <a:extLst>
              <a:ext uri="{FF2B5EF4-FFF2-40B4-BE49-F238E27FC236}">
                <a16:creationId xmlns:a16="http://schemas.microsoft.com/office/drawing/2014/main" id="{EB3CA418-78DD-49BE-9245-197BBAA30FEE}"/>
              </a:ext>
            </a:extLst>
          </xdr:cNvPr>
          <xdr:cNvSpPr/>
        </xdr:nvSpPr>
        <xdr:spPr>
          <a:xfrm>
            <a:off x="444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16" name="$E$98">
            <a:extLst>
              <a:ext uri="{FF2B5EF4-FFF2-40B4-BE49-F238E27FC236}">
                <a16:creationId xmlns:a16="http://schemas.microsoft.com/office/drawing/2014/main" id="{9140311C-BE48-4C0C-B3D5-7939A0F98CF6}"/>
              </a:ext>
            </a:extLst>
          </xdr:cNvPr>
          <xdr:cNvSpPr/>
        </xdr:nvSpPr>
        <xdr:spPr>
          <a:xfrm>
            <a:off x="457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17" name="$E$98">
            <a:extLst>
              <a:ext uri="{FF2B5EF4-FFF2-40B4-BE49-F238E27FC236}">
                <a16:creationId xmlns:a16="http://schemas.microsoft.com/office/drawing/2014/main" id="{1C90BF3E-0963-4B57-AF14-6A7C724ADCEE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18" name="$E$98">
            <a:extLst>
              <a:ext uri="{FF2B5EF4-FFF2-40B4-BE49-F238E27FC236}">
                <a16:creationId xmlns:a16="http://schemas.microsoft.com/office/drawing/2014/main" id="{56FF54BD-3DA2-469B-A4F3-B19F244C9E0C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19" name="$E$98">
            <a:extLst>
              <a:ext uri="{FF2B5EF4-FFF2-40B4-BE49-F238E27FC236}">
                <a16:creationId xmlns:a16="http://schemas.microsoft.com/office/drawing/2014/main" id="{CA5696DD-0A2A-4B12-81A3-58E1589C0D28}"/>
              </a:ext>
            </a:extLst>
          </xdr:cNvPr>
          <xdr:cNvSpPr/>
        </xdr:nvSpPr>
        <xdr:spPr>
          <a:xfrm>
            <a:off x="241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20" name="$E$98">
            <a:extLst>
              <a:ext uri="{FF2B5EF4-FFF2-40B4-BE49-F238E27FC236}">
                <a16:creationId xmlns:a16="http://schemas.microsoft.com/office/drawing/2014/main" id="{6158D5E5-2A92-4138-8C06-3DEC651E3F49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21" name="$E$98">
            <a:extLst>
              <a:ext uri="{FF2B5EF4-FFF2-40B4-BE49-F238E27FC236}">
                <a16:creationId xmlns:a16="http://schemas.microsoft.com/office/drawing/2014/main" id="{87AEA856-4083-4668-83D3-8A5C76249625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22" name="$E$98">
            <a:extLst>
              <a:ext uri="{FF2B5EF4-FFF2-40B4-BE49-F238E27FC236}">
                <a16:creationId xmlns:a16="http://schemas.microsoft.com/office/drawing/2014/main" id="{8AC4E8F4-D828-4152-90F3-21416FFF1D20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23" name="$E$98">
            <a:extLst>
              <a:ext uri="{FF2B5EF4-FFF2-40B4-BE49-F238E27FC236}">
                <a16:creationId xmlns:a16="http://schemas.microsoft.com/office/drawing/2014/main" id="{6DF80D6A-58CE-4C0F-81B5-3264B69ED13F}"/>
              </a:ext>
            </a:extLst>
          </xdr:cNvPr>
          <xdr:cNvSpPr/>
        </xdr:nvSpPr>
        <xdr:spPr>
          <a:xfrm>
            <a:off x="342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24" name="$E$98">
            <a:extLst>
              <a:ext uri="{FF2B5EF4-FFF2-40B4-BE49-F238E27FC236}">
                <a16:creationId xmlns:a16="http://schemas.microsoft.com/office/drawing/2014/main" id="{11368C9F-6001-42A7-9031-FAB2D0DFA190}"/>
              </a:ext>
            </a:extLst>
          </xdr:cNvPr>
          <xdr:cNvSpPr/>
        </xdr:nvSpPr>
        <xdr:spPr>
          <a:xfrm>
            <a:off x="355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25" name="$E$98">
            <a:extLst>
              <a:ext uri="{FF2B5EF4-FFF2-40B4-BE49-F238E27FC236}">
                <a16:creationId xmlns:a16="http://schemas.microsoft.com/office/drawing/2014/main" id="{891B3155-04D2-4BA9-B269-03C1DB06B283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26" name="$E$98">
            <a:extLst>
              <a:ext uri="{FF2B5EF4-FFF2-40B4-BE49-F238E27FC236}">
                <a16:creationId xmlns:a16="http://schemas.microsoft.com/office/drawing/2014/main" id="{EC0D6A70-A943-46A8-8FD9-4E987F102076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27" name="$E$98">
            <a:extLst>
              <a:ext uri="{FF2B5EF4-FFF2-40B4-BE49-F238E27FC236}">
                <a16:creationId xmlns:a16="http://schemas.microsoft.com/office/drawing/2014/main" id="{46A9A3E7-964E-4D27-B2D7-6252EF0B555C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28" name="$E$98">
            <a:extLst>
              <a:ext uri="{FF2B5EF4-FFF2-40B4-BE49-F238E27FC236}">
                <a16:creationId xmlns:a16="http://schemas.microsoft.com/office/drawing/2014/main" id="{AEA23E0A-FB51-4EC1-A2EF-E45FF078C836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29" name="$E$98">
            <a:extLst>
              <a:ext uri="{FF2B5EF4-FFF2-40B4-BE49-F238E27FC236}">
                <a16:creationId xmlns:a16="http://schemas.microsoft.com/office/drawing/2014/main" id="{8AB4F3D0-8803-4B35-9C02-F2AC5C457356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30" name="$E$98">
            <a:extLst>
              <a:ext uri="{FF2B5EF4-FFF2-40B4-BE49-F238E27FC236}">
                <a16:creationId xmlns:a16="http://schemas.microsoft.com/office/drawing/2014/main" id="{3E337014-58AD-4B19-B1DB-071ACC8B0C18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31" name="$E$98">
            <a:extLst>
              <a:ext uri="{FF2B5EF4-FFF2-40B4-BE49-F238E27FC236}">
                <a16:creationId xmlns:a16="http://schemas.microsoft.com/office/drawing/2014/main" id="{3879A925-4539-4A0F-A46E-64F49E5ABF11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32" name="$E$98">
            <a:extLst>
              <a:ext uri="{FF2B5EF4-FFF2-40B4-BE49-F238E27FC236}">
                <a16:creationId xmlns:a16="http://schemas.microsoft.com/office/drawing/2014/main" id="{74A1E587-1AD8-4436-A8E1-0F5507ECA70E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33" name="$E$98">
            <a:extLst>
              <a:ext uri="{FF2B5EF4-FFF2-40B4-BE49-F238E27FC236}">
                <a16:creationId xmlns:a16="http://schemas.microsoft.com/office/drawing/2014/main" id="{A1C52D1F-0B74-42B4-838D-DF1C7705D8E3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34" name="$E$98">
            <a:extLst>
              <a:ext uri="{FF2B5EF4-FFF2-40B4-BE49-F238E27FC236}">
                <a16:creationId xmlns:a16="http://schemas.microsoft.com/office/drawing/2014/main" id="{7D475CA2-196B-4C71-92C5-5765C7DB9479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35" name="$E$98">
            <a:extLst>
              <a:ext uri="{FF2B5EF4-FFF2-40B4-BE49-F238E27FC236}">
                <a16:creationId xmlns:a16="http://schemas.microsoft.com/office/drawing/2014/main" id="{D5D2B4D7-AC9C-44EC-8EF5-D80AA36C5DCE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36" name="$E$98">
            <a:extLst>
              <a:ext uri="{FF2B5EF4-FFF2-40B4-BE49-F238E27FC236}">
                <a16:creationId xmlns:a16="http://schemas.microsoft.com/office/drawing/2014/main" id="{D7B798DA-E4E9-43BB-A5A9-AE3D25CC6FA0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37" name="$E$98">
            <a:extLst>
              <a:ext uri="{FF2B5EF4-FFF2-40B4-BE49-F238E27FC236}">
                <a16:creationId xmlns:a16="http://schemas.microsoft.com/office/drawing/2014/main" id="{53303F77-15A8-43A7-9E58-B8DE1C2456BA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38" name="$E$98">
            <a:extLst>
              <a:ext uri="{FF2B5EF4-FFF2-40B4-BE49-F238E27FC236}">
                <a16:creationId xmlns:a16="http://schemas.microsoft.com/office/drawing/2014/main" id="{F5E10016-BF65-4206-9F58-BE2902E35518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39" name="$E$98">
            <a:extLst>
              <a:ext uri="{FF2B5EF4-FFF2-40B4-BE49-F238E27FC236}">
                <a16:creationId xmlns:a16="http://schemas.microsoft.com/office/drawing/2014/main" id="{5884919F-A919-4B2E-84A6-25E3B8002DC9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40" name="$E$98">
            <a:extLst>
              <a:ext uri="{FF2B5EF4-FFF2-40B4-BE49-F238E27FC236}">
                <a16:creationId xmlns:a16="http://schemas.microsoft.com/office/drawing/2014/main" id="{FA60C588-33F0-4CC0-BDEB-244D3094A9E9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41" name="$E$98">
            <a:extLst>
              <a:ext uri="{FF2B5EF4-FFF2-40B4-BE49-F238E27FC236}">
                <a16:creationId xmlns:a16="http://schemas.microsoft.com/office/drawing/2014/main" id="{FC59E65F-DF0D-499A-A867-938DBB092175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42" name="$E$98">
            <a:extLst>
              <a:ext uri="{FF2B5EF4-FFF2-40B4-BE49-F238E27FC236}">
                <a16:creationId xmlns:a16="http://schemas.microsoft.com/office/drawing/2014/main" id="{28759D0F-76DA-4B51-9884-39616548ABF9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43" name="$E$98">
            <a:extLst>
              <a:ext uri="{FF2B5EF4-FFF2-40B4-BE49-F238E27FC236}">
                <a16:creationId xmlns:a16="http://schemas.microsoft.com/office/drawing/2014/main" id="{CFA427A3-E0D2-4489-9A11-6672EA96616B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44" name="$E$98">
            <a:extLst>
              <a:ext uri="{FF2B5EF4-FFF2-40B4-BE49-F238E27FC236}">
                <a16:creationId xmlns:a16="http://schemas.microsoft.com/office/drawing/2014/main" id="{9127E704-817B-47F3-A724-D06BA1939199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45" name="$E$98">
            <a:extLst>
              <a:ext uri="{FF2B5EF4-FFF2-40B4-BE49-F238E27FC236}">
                <a16:creationId xmlns:a16="http://schemas.microsoft.com/office/drawing/2014/main" id="{A801CF6E-148D-4B29-99A7-66028F35E1E8}"/>
              </a:ext>
            </a:extLst>
          </xdr:cNvPr>
          <xdr:cNvSpPr/>
        </xdr:nvSpPr>
        <xdr:spPr>
          <a:xfrm>
            <a:off x="419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46" name="$E$98">
            <a:extLst>
              <a:ext uri="{FF2B5EF4-FFF2-40B4-BE49-F238E27FC236}">
                <a16:creationId xmlns:a16="http://schemas.microsoft.com/office/drawing/2014/main" id="{705EDB3A-4FD8-44EA-B86F-7DC1D9DD59D4}"/>
              </a:ext>
            </a:extLst>
          </xdr:cNvPr>
          <xdr:cNvSpPr/>
        </xdr:nvSpPr>
        <xdr:spPr>
          <a:xfrm>
            <a:off x="444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47" name="$E$98">
            <a:extLst>
              <a:ext uri="{FF2B5EF4-FFF2-40B4-BE49-F238E27FC236}">
                <a16:creationId xmlns:a16="http://schemas.microsoft.com/office/drawing/2014/main" id="{E3C11A8F-4362-456B-8292-6727A02AC88C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48" name="$E$98">
            <a:extLst>
              <a:ext uri="{FF2B5EF4-FFF2-40B4-BE49-F238E27FC236}">
                <a16:creationId xmlns:a16="http://schemas.microsoft.com/office/drawing/2014/main" id="{1704B1DD-17EF-41C2-90E6-61C83595D4DD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49" name="$E$98">
            <a:extLst>
              <a:ext uri="{FF2B5EF4-FFF2-40B4-BE49-F238E27FC236}">
                <a16:creationId xmlns:a16="http://schemas.microsoft.com/office/drawing/2014/main" id="{3011FA12-46F0-4C09-BF04-60A780E376B8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50" name="$E$98">
            <a:extLst>
              <a:ext uri="{FF2B5EF4-FFF2-40B4-BE49-F238E27FC236}">
                <a16:creationId xmlns:a16="http://schemas.microsoft.com/office/drawing/2014/main" id="{995D71AA-9A0C-4FE2-96A2-9B483C9F6083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51" name="$E$98">
            <a:extLst>
              <a:ext uri="{FF2B5EF4-FFF2-40B4-BE49-F238E27FC236}">
                <a16:creationId xmlns:a16="http://schemas.microsoft.com/office/drawing/2014/main" id="{2334F286-C07F-4641-8BB0-F3C70747EE31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52" name="$E$98">
            <a:extLst>
              <a:ext uri="{FF2B5EF4-FFF2-40B4-BE49-F238E27FC236}">
                <a16:creationId xmlns:a16="http://schemas.microsoft.com/office/drawing/2014/main" id="{64AEB826-103A-4370-BC69-4728CC83ABBF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53" name="$E$98">
            <a:extLst>
              <a:ext uri="{FF2B5EF4-FFF2-40B4-BE49-F238E27FC236}">
                <a16:creationId xmlns:a16="http://schemas.microsoft.com/office/drawing/2014/main" id="{17C7FECF-BF55-40A9-ADD3-067352AFBBA6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54" name="$E$98">
            <a:extLst>
              <a:ext uri="{FF2B5EF4-FFF2-40B4-BE49-F238E27FC236}">
                <a16:creationId xmlns:a16="http://schemas.microsoft.com/office/drawing/2014/main" id="{4BF5A623-140D-4E69-BAF2-AAAEF3E493B4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55" name="$E$98">
            <a:extLst>
              <a:ext uri="{FF2B5EF4-FFF2-40B4-BE49-F238E27FC236}">
                <a16:creationId xmlns:a16="http://schemas.microsoft.com/office/drawing/2014/main" id="{9B78D2E9-D4E0-4B41-89E1-71A969840B23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56" name="$E$98">
            <a:extLst>
              <a:ext uri="{FF2B5EF4-FFF2-40B4-BE49-F238E27FC236}">
                <a16:creationId xmlns:a16="http://schemas.microsoft.com/office/drawing/2014/main" id="{FFE6E50D-5BB9-4A84-A724-13756113CBC6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57" name="$E$98">
            <a:extLst>
              <a:ext uri="{FF2B5EF4-FFF2-40B4-BE49-F238E27FC236}">
                <a16:creationId xmlns:a16="http://schemas.microsoft.com/office/drawing/2014/main" id="{D9CA07B1-CA37-4407-9CE9-F2B67178477D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58" name="$E$98">
            <a:extLst>
              <a:ext uri="{FF2B5EF4-FFF2-40B4-BE49-F238E27FC236}">
                <a16:creationId xmlns:a16="http://schemas.microsoft.com/office/drawing/2014/main" id="{6D4DEE51-4042-4CF4-B970-4A2F018D098F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59" name="$E$98">
            <a:extLst>
              <a:ext uri="{FF2B5EF4-FFF2-40B4-BE49-F238E27FC236}">
                <a16:creationId xmlns:a16="http://schemas.microsoft.com/office/drawing/2014/main" id="{5CA7B5A1-8160-4144-B823-456C03388F62}"/>
              </a:ext>
            </a:extLst>
          </xdr:cNvPr>
          <xdr:cNvSpPr/>
        </xdr:nvSpPr>
        <xdr:spPr>
          <a:xfrm>
            <a:off x="279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60" name="$E$98">
            <a:extLst>
              <a:ext uri="{FF2B5EF4-FFF2-40B4-BE49-F238E27FC236}">
                <a16:creationId xmlns:a16="http://schemas.microsoft.com/office/drawing/2014/main" id="{E85F47E6-CA93-4E89-9EA6-22DD863D4A9D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61" name="$E$98">
            <a:extLst>
              <a:ext uri="{FF2B5EF4-FFF2-40B4-BE49-F238E27FC236}">
                <a16:creationId xmlns:a16="http://schemas.microsoft.com/office/drawing/2014/main" id="{940E3D01-A1B9-456C-9931-DDDEDC26D9FF}"/>
              </a:ext>
            </a:extLst>
          </xdr:cNvPr>
          <xdr:cNvSpPr/>
        </xdr:nvSpPr>
        <xdr:spPr>
          <a:xfrm>
            <a:off x="317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62" name="$E$98">
            <a:extLst>
              <a:ext uri="{FF2B5EF4-FFF2-40B4-BE49-F238E27FC236}">
                <a16:creationId xmlns:a16="http://schemas.microsoft.com/office/drawing/2014/main" id="{9C6BEB71-A9B3-4609-9139-67E3D1F9676E}"/>
              </a:ext>
            </a:extLst>
          </xdr:cNvPr>
          <xdr:cNvSpPr/>
        </xdr:nvSpPr>
        <xdr:spPr>
          <a:xfrm>
            <a:off x="355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63" name="$E$98">
            <a:extLst>
              <a:ext uri="{FF2B5EF4-FFF2-40B4-BE49-F238E27FC236}">
                <a16:creationId xmlns:a16="http://schemas.microsoft.com/office/drawing/2014/main" id="{AC348A83-0921-46C3-944A-DAC2CE6A8453}"/>
              </a:ext>
            </a:extLst>
          </xdr:cNvPr>
          <xdr:cNvSpPr/>
        </xdr:nvSpPr>
        <xdr:spPr>
          <a:xfrm>
            <a:off x="368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64" name="$E$98">
            <a:extLst>
              <a:ext uri="{FF2B5EF4-FFF2-40B4-BE49-F238E27FC236}">
                <a16:creationId xmlns:a16="http://schemas.microsoft.com/office/drawing/2014/main" id="{27B49E9B-A31C-491F-9B11-3DBF40B23377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65" name="$E$98">
            <a:extLst>
              <a:ext uri="{FF2B5EF4-FFF2-40B4-BE49-F238E27FC236}">
                <a16:creationId xmlns:a16="http://schemas.microsoft.com/office/drawing/2014/main" id="{504BE7B8-B62A-4BA9-9B16-0CDBF0E09D6F}"/>
              </a:ext>
            </a:extLst>
          </xdr:cNvPr>
          <xdr:cNvSpPr/>
        </xdr:nvSpPr>
        <xdr:spPr>
          <a:xfrm>
            <a:off x="419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66" name="$E$98">
            <a:extLst>
              <a:ext uri="{FF2B5EF4-FFF2-40B4-BE49-F238E27FC236}">
                <a16:creationId xmlns:a16="http://schemas.microsoft.com/office/drawing/2014/main" id="{6BCAB375-A0CA-42D9-AB5D-0EE57F8760C5}"/>
              </a:ext>
            </a:extLst>
          </xdr:cNvPr>
          <xdr:cNvSpPr/>
        </xdr:nvSpPr>
        <xdr:spPr>
          <a:xfrm>
            <a:off x="431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67" name="$E$98">
            <a:extLst>
              <a:ext uri="{FF2B5EF4-FFF2-40B4-BE49-F238E27FC236}">
                <a16:creationId xmlns:a16="http://schemas.microsoft.com/office/drawing/2014/main" id="{F704E526-DAE7-48E7-B374-0F2989B9B349}"/>
              </a:ext>
            </a:extLst>
          </xdr:cNvPr>
          <xdr:cNvSpPr/>
        </xdr:nvSpPr>
        <xdr:spPr>
          <a:xfrm>
            <a:off x="444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68" name="$E$98">
            <a:extLst>
              <a:ext uri="{FF2B5EF4-FFF2-40B4-BE49-F238E27FC236}">
                <a16:creationId xmlns:a16="http://schemas.microsoft.com/office/drawing/2014/main" id="{D6CC6205-1BEA-4041-8C37-58A745188F75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69" name="$E$98">
            <a:extLst>
              <a:ext uri="{FF2B5EF4-FFF2-40B4-BE49-F238E27FC236}">
                <a16:creationId xmlns:a16="http://schemas.microsoft.com/office/drawing/2014/main" id="{7DE122D2-CB30-44D3-8778-1116361B75EB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70" name="$E$98">
            <a:extLst>
              <a:ext uri="{FF2B5EF4-FFF2-40B4-BE49-F238E27FC236}">
                <a16:creationId xmlns:a16="http://schemas.microsoft.com/office/drawing/2014/main" id="{F03944C5-010C-4B97-A2D7-B4E92FB31048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71" name="$E$98">
            <a:extLst>
              <a:ext uri="{FF2B5EF4-FFF2-40B4-BE49-F238E27FC236}">
                <a16:creationId xmlns:a16="http://schemas.microsoft.com/office/drawing/2014/main" id="{53083DDF-4A70-45F5-AE43-8C12379AA004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72" name="$E$98">
            <a:extLst>
              <a:ext uri="{FF2B5EF4-FFF2-40B4-BE49-F238E27FC236}">
                <a16:creationId xmlns:a16="http://schemas.microsoft.com/office/drawing/2014/main" id="{BF788F69-168F-4738-890F-1DA392ED7257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73" name="$E$98">
            <a:extLst>
              <a:ext uri="{FF2B5EF4-FFF2-40B4-BE49-F238E27FC236}">
                <a16:creationId xmlns:a16="http://schemas.microsoft.com/office/drawing/2014/main" id="{0FA7A72F-4A4B-40D8-BDD8-4C19075BCDC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74" name="$E$98">
            <a:extLst>
              <a:ext uri="{FF2B5EF4-FFF2-40B4-BE49-F238E27FC236}">
                <a16:creationId xmlns:a16="http://schemas.microsoft.com/office/drawing/2014/main" id="{B72346AD-8895-4A50-8912-6A08EECEAA0A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75" name="$E$98">
            <a:extLst>
              <a:ext uri="{FF2B5EF4-FFF2-40B4-BE49-F238E27FC236}">
                <a16:creationId xmlns:a16="http://schemas.microsoft.com/office/drawing/2014/main" id="{4DF850D5-DDD3-49F6-BF0B-24E007E55AA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76" name="$E$98">
            <a:extLst>
              <a:ext uri="{FF2B5EF4-FFF2-40B4-BE49-F238E27FC236}">
                <a16:creationId xmlns:a16="http://schemas.microsoft.com/office/drawing/2014/main" id="{F18B8DB6-36FE-4BED-AFE9-3E391894A37F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77" name="$E$98">
            <a:extLst>
              <a:ext uri="{FF2B5EF4-FFF2-40B4-BE49-F238E27FC236}">
                <a16:creationId xmlns:a16="http://schemas.microsoft.com/office/drawing/2014/main" id="{910C81C1-E693-4593-8747-643E25D987A2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78" name="$E$98">
            <a:extLst>
              <a:ext uri="{FF2B5EF4-FFF2-40B4-BE49-F238E27FC236}">
                <a16:creationId xmlns:a16="http://schemas.microsoft.com/office/drawing/2014/main" id="{F0FAE14F-06C3-4EA2-9846-2AD9BE003F08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79" name="$E$98">
            <a:extLst>
              <a:ext uri="{FF2B5EF4-FFF2-40B4-BE49-F238E27FC236}">
                <a16:creationId xmlns:a16="http://schemas.microsoft.com/office/drawing/2014/main" id="{BA8D3DB3-0F48-4A13-B4C1-026D1FB80B9E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80" name="$E$98">
            <a:extLst>
              <a:ext uri="{FF2B5EF4-FFF2-40B4-BE49-F238E27FC236}">
                <a16:creationId xmlns:a16="http://schemas.microsoft.com/office/drawing/2014/main" id="{43BBC8D6-4D02-41BC-86FF-FD6D1411A70F}"/>
              </a:ext>
            </a:extLst>
          </xdr:cNvPr>
          <xdr:cNvSpPr/>
        </xdr:nvSpPr>
        <xdr:spPr>
          <a:xfrm>
            <a:off x="330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81" name="$E$98">
            <a:extLst>
              <a:ext uri="{FF2B5EF4-FFF2-40B4-BE49-F238E27FC236}">
                <a16:creationId xmlns:a16="http://schemas.microsoft.com/office/drawing/2014/main" id="{D9CBECDC-7527-4ED2-AFA2-2245E16BE03B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82" name="$E$98">
            <a:extLst>
              <a:ext uri="{FF2B5EF4-FFF2-40B4-BE49-F238E27FC236}">
                <a16:creationId xmlns:a16="http://schemas.microsoft.com/office/drawing/2014/main" id="{3F057C5D-4591-4B88-BAD7-2AEF0E11252A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83" name="$E$98">
            <a:extLst>
              <a:ext uri="{FF2B5EF4-FFF2-40B4-BE49-F238E27FC236}">
                <a16:creationId xmlns:a16="http://schemas.microsoft.com/office/drawing/2014/main" id="{25A9B0F4-C04F-419D-B100-8472DC47E3B2}"/>
              </a:ext>
            </a:extLst>
          </xdr:cNvPr>
          <xdr:cNvSpPr/>
        </xdr:nvSpPr>
        <xdr:spPr>
          <a:xfrm>
            <a:off x="381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84" name="$E$98">
            <a:extLst>
              <a:ext uri="{FF2B5EF4-FFF2-40B4-BE49-F238E27FC236}">
                <a16:creationId xmlns:a16="http://schemas.microsoft.com/office/drawing/2014/main" id="{3944E4F7-F801-44BF-B989-96F5D4CC0B82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85" name="$E$98">
            <a:extLst>
              <a:ext uri="{FF2B5EF4-FFF2-40B4-BE49-F238E27FC236}">
                <a16:creationId xmlns:a16="http://schemas.microsoft.com/office/drawing/2014/main" id="{EA9827B2-4C3C-439F-AD53-E2E860B4829F}"/>
              </a:ext>
            </a:extLst>
          </xdr:cNvPr>
          <xdr:cNvSpPr/>
        </xdr:nvSpPr>
        <xdr:spPr>
          <a:xfrm>
            <a:off x="419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86" name="$E$98">
            <a:extLst>
              <a:ext uri="{FF2B5EF4-FFF2-40B4-BE49-F238E27FC236}">
                <a16:creationId xmlns:a16="http://schemas.microsoft.com/office/drawing/2014/main" id="{BCCA467A-2944-4D63-9B26-22D335E15176}"/>
              </a:ext>
            </a:extLst>
          </xdr:cNvPr>
          <xdr:cNvSpPr/>
        </xdr:nvSpPr>
        <xdr:spPr>
          <a:xfrm>
            <a:off x="431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87" name="$E$98">
            <a:extLst>
              <a:ext uri="{FF2B5EF4-FFF2-40B4-BE49-F238E27FC236}">
                <a16:creationId xmlns:a16="http://schemas.microsoft.com/office/drawing/2014/main" id="{BEB4ABED-BB82-4048-9CAB-6BABC192EBFF}"/>
              </a:ext>
            </a:extLst>
          </xdr:cNvPr>
          <xdr:cNvSpPr/>
        </xdr:nvSpPr>
        <xdr:spPr>
          <a:xfrm>
            <a:off x="457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88" name="$E$98">
            <a:extLst>
              <a:ext uri="{FF2B5EF4-FFF2-40B4-BE49-F238E27FC236}">
                <a16:creationId xmlns:a16="http://schemas.microsoft.com/office/drawing/2014/main" id="{89F2D4CF-0C3E-44A8-BDAC-4A01E828E501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89" name="$E$98">
            <a:extLst>
              <a:ext uri="{FF2B5EF4-FFF2-40B4-BE49-F238E27FC236}">
                <a16:creationId xmlns:a16="http://schemas.microsoft.com/office/drawing/2014/main" id="{17B76D8A-E73A-43EF-A535-DD588B03EB17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90" name="$E$98">
            <a:extLst>
              <a:ext uri="{FF2B5EF4-FFF2-40B4-BE49-F238E27FC236}">
                <a16:creationId xmlns:a16="http://schemas.microsoft.com/office/drawing/2014/main" id="{865A112C-913B-4159-B058-63DC95FD39E1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91" name="$E$98">
            <a:extLst>
              <a:ext uri="{FF2B5EF4-FFF2-40B4-BE49-F238E27FC236}">
                <a16:creationId xmlns:a16="http://schemas.microsoft.com/office/drawing/2014/main" id="{9E7E0152-9548-461E-8266-0716E9A79936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92" name="$E$98">
            <a:extLst>
              <a:ext uri="{FF2B5EF4-FFF2-40B4-BE49-F238E27FC236}">
                <a16:creationId xmlns:a16="http://schemas.microsoft.com/office/drawing/2014/main" id="{5DE6C68F-6F4C-4D4D-95FB-DBE7AEFF30C3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93" name="$E$98">
            <a:extLst>
              <a:ext uri="{FF2B5EF4-FFF2-40B4-BE49-F238E27FC236}">
                <a16:creationId xmlns:a16="http://schemas.microsoft.com/office/drawing/2014/main" id="{95BE6882-BD44-406C-BC15-C57A02BAF575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94" name="$E$98">
            <a:extLst>
              <a:ext uri="{FF2B5EF4-FFF2-40B4-BE49-F238E27FC236}">
                <a16:creationId xmlns:a16="http://schemas.microsoft.com/office/drawing/2014/main" id="{3F93FFE9-DC12-4495-AD2E-3D96D49F35A4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95" name="$E$98">
            <a:extLst>
              <a:ext uri="{FF2B5EF4-FFF2-40B4-BE49-F238E27FC236}">
                <a16:creationId xmlns:a16="http://schemas.microsoft.com/office/drawing/2014/main" id="{06551193-3048-4004-A94D-11D209EAE64C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96" name="$E$98">
            <a:extLst>
              <a:ext uri="{FF2B5EF4-FFF2-40B4-BE49-F238E27FC236}">
                <a16:creationId xmlns:a16="http://schemas.microsoft.com/office/drawing/2014/main" id="{DDD0331D-3395-47DC-9C65-E8D442964758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97" name="$E$98">
            <a:extLst>
              <a:ext uri="{FF2B5EF4-FFF2-40B4-BE49-F238E27FC236}">
                <a16:creationId xmlns:a16="http://schemas.microsoft.com/office/drawing/2014/main" id="{E911D8C3-6B85-474A-864A-E451CB01CF4D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98" name="$E$98">
            <a:extLst>
              <a:ext uri="{FF2B5EF4-FFF2-40B4-BE49-F238E27FC236}">
                <a16:creationId xmlns:a16="http://schemas.microsoft.com/office/drawing/2014/main" id="{CDBD60AC-83D0-4985-8944-F28BC40A2DA6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299" name="$E$98">
            <a:extLst>
              <a:ext uri="{FF2B5EF4-FFF2-40B4-BE49-F238E27FC236}">
                <a16:creationId xmlns:a16="http://schemas.microsoft.com/office/drawing/2014/main" id="{F25FC4F1-360A-4703-A1E2-F67146DE20E4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00" name="$E$98">
            <a:extLst>
              <a:ext uri="{FF2B5EF4-FFF2-40B4-BE49-F238E27FC236}">
                <a16:creationId xmlns:a16="http://schemas.microsoft.com/office/drawing/2014/main" id="{7023CD15-1BB5-47D1-B59E-CA1F19CC4D6F}"/>
              </a:ext>
            </a:extLst>
          </xdr:cNvPr>
          <xdr:cNvSpPr/>
        </xdr:nvSpPr>
        <xdr:spPr>
          <a:xfrm>
            <a:off x="342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01" name="$E$98">
            <a:extLst>
              <a:ext uri="{FF2B5EF4-FFF2-40B4-BE49-F238E27FC236}">
                <a16:creationId xmlns:a16="http://schemas.microsoft.com/office/drawing/2014/main" id="{37C11F1D-5961-4840-A3D6-CFA5AE482FB6}"/>
              </a:ext>
            </a:extLst>
          </xdr:cNvPr>
          <xdr:cNvSpPr/>
        </xdr:nvSpPr>
        <xdr:spPr>
          <a:xfrm>
            <a:off x="355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02" name="$E$98">
            <a:extLst>
              <a:ext uri="{FF2B5EF4-FFF2-40B4-BE49-F238E27FC236}">
                <a16:creationId xmlns:a16="http://schemas.microsoft.com/office/drawing/2014/main" id="{88923188-CEDB-45B6-B77A-67DB64ADE5F4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03" name="$E$98">
            <a:extLst>
              <a:ext uri="{FF2B5EF4-FFF2-40B4-BE49-F238E27FC236}">
                <a16:creationId xmlns:a16="http://schemas.microsoft.com/office/drawing/2014/main" id="{6F3675F0-77FA-41D0-9873-E04764BB328D}"/>
              </a:ext>
            </a:extLst>
          </xdr:cNvPr>
          <xdr:cNvSpPr/>
        </xdr:nvSpPr>
        <xdr:spPr>
          <a:xfrm>
            <a:off x="419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04" name="$E$98">
            <a:extLst>
              <a:ext uri="{FF2B5EF4-FFF2-40B4-BE49-F238E27FC236}">
                <a16:creationId xmlns:a16="http://schemas.microsoft.com/office/drawing/2014/main" id="{77928DB6-9B28-424C-8517-87363E661BDA}"/>
              </a:ext>
            </a:extLst>
          </xdr:cNvPr>
          <xdr:cNvSpPr/>
        </xdr:nvSpPr>
        <xdr:spPr>
          <a:xfrm>
            <a:off x="444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05" name="$E$98">
            <a:extLst>
              <a:ext uri="{FF2B5EF4-FFF2-40B4-BE49-F238E27FC236}">
                <a16:creationId xmlns:a16="http://schemas.microsoft.com/office/drawing/2014/main" id="{B039DBDA-FC78-456D-90AA-882AAD45CF7A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06" name="$E$98">
            <a:extLst>
              <a:ext uri="{FF2B5EF4-FFF2-40B4-BE49-F238E27FC236}">
                <a16:creationId xmlns:a16="http://schemas.microsoft.com/office/drawing/2014/main" id="{CFD87B0F-51DE-403B-9EA4-03C481E59DA5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07" name="$E$98">
            <a:extLst>
              <a:ext uri="{FF2B5EF4-FFF2-40B4-BE49-F238E27FC236}">
                <a16:creationId xmlns:a16="http://schemas.microsoft.com/office/drawing/2014/main" id="{93808E5C-897A-4ED2-B90B-545C37392AEE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08" name="$E$98">
            <a:extLst>
              <a:ext uri="{FF2B5EF4-FFF2-40B4-BE49-F238E27FC236}">
                <a16:creationId xmlns:a16="http://schemas.microsoft.com/office/drawing/2014/main" id="{4AF43EA7-14BC-4681-86E0-3CE863E8349D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09" name="$E$98">
            <a:extLst>
              <a:ext uri="{FF2B5EF4-FFF2-40B4-BE49-F238E27FC236}">
                <a16:creationId xmlns:a16="http://schemas.microsoft.com/office/drawing/2014/main" id="{68E721A6-9842-4B61-AD10-CEA3FD8A614C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10" name="$E$98">
            <a:extLst>
              <a:ext uri="{FF2B5EF4-FFF2-40B4-BE49-F238E27FC236}">
                <a16:creationId xmlns:a16="http://schemas.microsoft.com/office/drawing/2014/main" id="{6A600422-F0D5-48BF-9DD0-2C6D295A5E06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11" name="$E$98">
            <a:extLst>
              <a:ext uri="{FF2B5EF4-FFF2-40B4-BE49-F238E27FC236}">
                <a16:creationId xmlns:a16="http://schemas.microsoft.com/office/drawing/2014/main" id="{4CA8AC9C-1F68-4753-93AC-6EE1FD919B95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12" name="$E$98">
            <a:extLst>
              <a:ext uri="{FF2B5EF4-FFF2-40B4-BE49-F238E27FC236}">
                <a16:creationId xmlns:a16="http://schemas.microsoft.com/office/drawing/2014/main" id="{B00B1ACA-04DE-45B3-87BE-C9B55E53C861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13" name="$E$98">
            <a:extLst>
              <a:ext uri="{FF2B5EF4-FFF2-40B4-BE49-F238E27FC236}">
                <a16:creationId xmlns:a16="http://schemas.microsoft.com/office/drawing/2014/main" id="{3A680AF8-C90B-4892-8F6D-B52496F00C94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14" name="$E$98">
            <a:extLst>
              <a:ext uri="{FF2B5EF4-FFF2-40B4-BE49-F238E27FC236}">
                <a16:creationId xmlns:a16="http://schemas.microsoft.com/office/drawing/2014/main" id="{4D360B4D-D914-49CC-BCBC-BF64981AC288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15" name="$E$98">
            <a:extLst>
              <a:ext uri="{FF2B5EF4-FFF2-40B4-BE49-F238E27FC236}">
                <a16:creationId xmlns:a16="http://schemas.microsoft.com/office/drawing/2014/main" id="{C8816129-7AFB-4F52-AADE-0C3AF3E273E6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16" name="$E$98">
            <a:extLst>
              <a:ext uri="{FF2B5EF4-FFF2-40B4-BE49-F238E27FC236}">
                <a16:creationId xmlns:a16="http://schemas.microsoft.com/office/drawing/2014/main" id="{3DD5929D-7E93-4A31-B2EF-EA050B6B44B9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17" name="$E$98">
            <a:extLst>
              <a:ext uri="{FF2B5EF4-FFF2-40B4-BE49-F238E27FC236}">
                <a16:creationId xmlns:a16="http://schemas.microsoft.com/office/drawing/2014/main" id="{814F83BF-1ADC-485C-8897-447DF2FD80FA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18" name="$E$98">
            <a:extLst>
              <a:ext uri="{FF2B5EF4-FFF2-40B4-BE49-F238E27FC236}">
                <a16:creationId xmlns:a16="http://schemas.microsoft.com/office/drawing/2014/main" id="{C7975BF8-B4B1-4E23-875A-57D6C965C2E1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19" name="$E$98">
            <a:extLst>
              <a:ext uri="{FF2B5EF4-FFF2-40B4-BE49-F238E27FC236}">
                <a16:creationId xmlns:a16="http://schemas.microsoft.com/office/drawing/2014/main" id="{96E11E33-7338-4225-BADD-3C53C2245037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20" name="$E$98">
            <a:extLst>
              <a:ext uri="{FF2B5EF4-FFF2-40B4-BE49-F238E27FC236}">
                <a16:creationId xmlns:a16="http://schemas.microsoft.com/office/drawing/2014/main" id="{6F0B818C-1E55-4111-A39E-91F3264A3452}"/>
              </a:ext>
            </a:extLst>
          </xdr:cNvPr>
          <xdr:cNvSpPr/>
        </xdr:nvSpPr>
        <xdr:spPr>
          <a:xfrm>
            <a:off x="330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21" name="$E$98">
            <a:extLst>
              <a:ext uri="{FF2B5EF4-FFF2-40B4-BE49-F238E27FC236}">
                <a16:creationId xmlns:a16="http://schemas.microsoft.com/office/drawing/2014/main" id="{2E11AA13-7B49-4776-88C7-AA6609326BBD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22" name="$E$98">
            <a:extLst>
              <a:ext uri="{FF2B5EF4-FFF2-40B4-BE49-F238E27FC236}">
                <a16:creationId xmlns:a16="http://schemas.microsoft.com/office/drawing/2014/main" id="{3558A3D8-87BE-4E07-9163-67FD33B0DB9B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23" name="$E$98">
            <a:extLst>
              <a:ext uri="{FF2B5EF4-FFF2-40B4-BE49-F238E27FC236}">
                <a16:creationId xmlns:a16="http://schemas.microsoft.com/office/drawing/2014/main" id="{0FF4F649-A298-469B-B9E5-C203F252ECA5}"/>
              </a:ext>
            </a:extLst>
          </xdr:cNvPr>
          <xdr:cNvSpPr/>
        </xdr:nvSpPr>
        <xdr:spPr>
          <a:xfrm>
            <a:off x="381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24" name="$E$98">
            <a:extLst>
              <a:ext uri="{FF2B5EF4-FFF2-40B4-BE49-F238E27FC236}">
                <a16:creationId xmlns:a16="http://schemas.microsoft.com/office/drawing/2014/main" id="{B2E5F49C-B3A7-4E7D-824A-519F4897A899}"/>
              </a:ext>
            </a:extLst>
          </xdr:cNvPr>
          <xdr:cNvSpPr/>
        </xdr:nvSpPr>
        <xdr:spPr>
          <a:xfrm>
            <a:off x="406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25" name="$E$98">
            <a:extLst>
              <a:ext uri="{FF2B5EF4-FFF2-40B4-BE49-F238E27FC236}">
                <a16:creationId xmlns:a16="http://schemas.microsoft.com/office/drawing/2014/main" id="{9A8021A8-1925-4928-920B-4C4189166F26}"/>
              </a:ext>
            </a:extLst>
          </xdr:cNvPr>
          <xdr:cNvSpPr/>
        </xdr:nvSpPr>
        <xdr:spPr>
          <a:xfrm>
            <a:off x="419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26" name="$E$98">
            <a:extLst>
              <a:ext uri="{FF2B5EF4-FFF2-40B4-BE49-F238E27FC236}">
                <a16:creationId xmlns:a16="http://schemas.microsoft.com/office/drawing/2014/main" id="{845DA9FB-8A94-4564-9B35-5287AD16B50E}"/>
              </a:ext>
            </a:extLst>
          </xdr:cNvPr>
          <xdr:cNvSpPr/>
        </xdr:nvSpPr>
        <xdr:spPr>
          <a:xfrm>
            <a:off x="431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27" name="$E$98">
            <a:extLst>
              <a:ext uri="{FF2B5EF4-FFF2-40B4-BE49-F238E27FC236}">
                <a16:creationId xmlns:a16="http://schemas.microsoft.com/office/drawing/2014/main" id="{AD11082B-075D-4600-8BA1-49FE61F0FFBC}"/>
              </a:ext>
            </a:extLst>
          </xdr:cNvPr>
          <xdr:cNvSpPr/>
        </xdr:nvSpPr>
        <xdr:spPr>
          <a:xfrm>
            <a:off x="457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28" name="$E$98">
            <a:extLst>
              <a:ext uri="{FF2B5EF4-FFF2-40B4-BE49-F238E27FC236}">
                <a16:creationId xmlns:a16="http://schemas.microsoft.com/office/drawing/2014/main" id="{48265BA1-DA7B-4625-AE73-972C97A7BC0A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29" name="$E$98">
            <a:extLst>
              <a:ext uri="{FF2B5EF4-FFF2-40B4-BE49-F238E27FC236}">
                <a16:creationId xmlns:a16="http://schemas.microsoft.com/office/drawing/2014/main" id="{D13B235B-9274-4696-8276-B7391483FF0C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30" name="$E$98">
            <a:extLst>
              <a:ext uri="{FF2B5EF4-FFF2-40B4-BE49-F238E27FC236}">
                <a16:creationId xmlns:a16="http://schemas.microsoft.com/office/drawing/2014/main" id="{9FEDF9E0-2BAD-49A6-8396-3BC21EDEADEE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31" name="$E$98">
            <a:extLst>
              <a:ext uri="{FF2B5EF4-FFF2-40B4-BE49-F238E27FC236}">
                <a16:creationId xmlns:a16="http://schemas.microsoft.com/office/drawing/2014/main" id="{BFF25D55-443D-4CED-A91D-EC0CD377CEF2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32" name="$E$98">
            <a:extLst>
              <a:ext uri="{FF2B5EF4-FFF2-40B4-BE49-F238E27FC236}">
                <a16:creationId xmlns:a16="http://schemas.microsoft.com/office/drawing/2014/main" id="{88E368E2-D563-4581-A568-19773E768E02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33" name="$E$98">
            <a:extLst>
              <a:ext uri="{FF2B5EF4-FFF2-40B4-BE49-F238E27FC236}">
                <a16:creationId xmlns:a16="http://schemas.microsoft.com/office/drawing/2014/main" id="{F499F83C-D22A-4C95-BE17-C7A0DD1DE6B9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34" name="$E$98">
            <a:extLst>
              <a:ext uri="{FF2B5EF4-FFF2-40B4-BE49-F238E27FC236}">
                <a16:creationId xmlns:a16="http://schemas.microsoft.com/office/drawing/2014/main" id="{228A1470-FA6C-4B30-BDBB-5B5ECDED5B92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35" name="$E$98">
            <a:extLst>
              <a:ext uri="{FF2B5EF4-FFF2-40B4-BE49-F238E27FC236}">
                <a16:creationId xmlns:a16="http://schemas.microsoft.com/office/drawing/2014/main" id="{AF97D2CA-7271-4246-8232-B056CA0070B8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36" name="$E$98">
            <a:extLst>
              <a:ext uri="{FF2B5EF4-FFF2-40B4-BE49-F238E27FC236}">
                <a16:creationId xmlns:a16="http://schemas.microsoft.com/office/drawing/2014/main" id="{98745541-4DD7-4848-B202-EE7F333C897C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37" name="$E$98">
            <a:extLst>
              <a:ext uri="{FF2B5EF4-FFF2-40B4-BE49-F238E27FC236}">
                <a16:creationId xmlns:a16="http://schemas.microsoft.com/office/drawing/2014/main" id="{0E77CE28-2B31-4818-8E80-65431E6E39E4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38" name="$E$98">
            <a:extLst>
              <a:ext uri="{FF2B5EF4-FFF2-40B4-BE49-F238E27FC236}">
                <a16:creationId xmlns:a16="http://schemas.microsoft.com/office/drawing/2014/main" id="{52016011-6581-4E33-9C4C-175D371CA98D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39" name="$E$98">
            <a:extLst>
              <a:ext uri="{FF2B5EF4-FFF2-40B4-BE49-F238E27FC236}">
                <a16:creationId xmlns:a16="http://schemas.microsoft.com/office/drawing/2014/main" id="{EC7CA868-E515-4F33-8F92-370F9B333E99}"/>
              </a:ext>
            </a:extLst>
          </xdr:cNvPr>
          <xdr:cNvSpPr/>
        </xdr:nvSpPr>
        <xdr:spPr>
          <a:xfrm>
            <a:off x="355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40" name="$E$98">
            <a:extLst>
              <a:ext uri="{FF2B5EF4-FFF2-40B4-BE49-F238E27FC236}">
                <a16:creationId xmlns:a16="http://schemas.microsoft.com/office/drawing/2014/main" id="{C9CFA2FA-68F4-45A9-B271-5E84271062BF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41" name="$E$98">
            <a:extLst>
              <a:ext uri="{FF2B5EF4-FFF2-40B4-BE49-F238E27FC236}">
                <a16:creationId xmlns:a16="http://schemas.microsoft.com/office/drawing/2014/main" id="{FE08AA8A-488B-4419-B9D4-25B3C3FD542A}"/>
              </a:ext>
            </a:extLst>
          </xdr:cNvPr>
          <xdr:cNvSpPr/>
        </xdr:nvSpPr>
        <xdr:spPr>
          <a:xfrm>
            <a:off x="431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42" name="$E$98">
            <a:extLst>
              <a:ext uri="{FF2B5EF4-FFF2-40B4-BE49-F238E27FC236}">
                <a16:creationId xmlns:a16="http://schemas.microsoft.com/office/drawing/2014/main" id="{B065C309-C840-4C0D-9661-1DA33F6E6FF5}"/>
              </a:ext>
            </a:extLst>
          </xdr:cNvPr>
          <xdr:cNvSpPr/>
        </xdr:nvSpPr>
        <xdr:spPr>
          <a:xfrm>
            <a:off x="444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43" name="$E$98">
            <a:extLst>
              <a:ext uri="{FF2B5EF4-FFF2-40B4-BE49-F238E27FC236}">
                <a16:creationId xmlns:a16="http://schemas.microsoft.com/office/drawing/2014/main" id="{4C6C5EDF-145F-4246-B38E-34914AFDB2A6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44" name="$E$98">
            <a:extLst>
              <a:ext uri="{FF2B5EF4-FFF2-40B4-BE49-F238E27FC236}">
                <a16:creationId xmlns:a16="http://schemas.microsoft.com/office/drawing/2014/main" id="{3E2FE935-AF40-49A7-9C45-5AA88D4E2E24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45" name="$E$98">
            <a:extLst>
              <a:ext uri="{FF2B5EF4-FFF2-40B4-BE49-F238E27FC236}">
                <a16:creationId xmlns:a16="http://schemas.microsoft.com/office/drawing/2014/main" id="{F18E9458-EFAC-435D-AF9E-69BD415D69A9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46" name="$E$98">
            <a:extLst>
              <a:ext uri="{FF2B5EF4-FFF2-40B4-BE49-F238E27FC236}">
                <a16:creationId xmlns:a16="http://schemas.microsoft.com/office/drawing/2014/main" id="{60AEA9DD-D079-43D9-B383-6DC0235081F6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47" name="$E$98">
            <a:extLst>
              <a:ext uri="{FF2B5EF4-FFF2-40B4-BE49-F238E27FC236}">
                <a16:creationId xmlns:a16="http://schemas.microsoft.com/office/drawing/2014/main" id="{1A614A56-17BB-4068-A7D5-C9D80A1F7AE9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48" name="$E$98">
            <a:extLst>
              <a:ext uri="{FF2B5EF4-FFF2-40B4-BE49-F238E27FC236}">
                <a16:creationId xmlns:a16="http://schemas.microsoft.com/office/drawing/2014/main" id="{ABFDCA63-45D7-446B-B7EF-19C92F36AD1C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49" name="$E$98">
            <a:extLst>
              <a:ext uri="{FF2B5EF4-FFF2-40B4-BE49-F238E27FC236}">
                <a16:creationId xmlns:a16="http://schemas.microsoft.com/office/drawing/2014/main" id="{CE565AD6-FE7D-446F-8E8A-B8D9AD15848F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50" name="$E$98">
            <a:extLst>
              <a:ext uri="{FF2B5EF4-FFF2-40B4-BE49-F238E27FC236}">
                <a16:creationId xmlns:a16="http://schemas.microsoft.com/office/drawing/2014/main" id="{A74EA631-115C-4D1A-9FEC-46FFCFE2CD34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51" name="$E$98">
            <a:extLst>
              <a:ext uri="{FF2B5EF4-FFF2-40B4-BE49-F238E27FC236}">
                <a16:creationId xmlns:a16="http://schemas.microsoft.com/office/drawing/2014/main" id="{FD66EC85-F348-49EC-91DB-CBF7CB6F7595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52" name="$E$98">
            <a:extLst>
              <a:ext uri="{FF2B5EF4-FFF2-40B4-BE49-F238E27FC236}">
                <a16:creationId xmlns:a16="http://schemas.microsoft.com/office/drawing/2014/main" id="{742AA8F1-CCC8-474D-A079-DC15E0CAEBF4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53" name="$E$98">
            <a:extLst>
              <a:ext uri="{FF2B5EF4-FFF2-40B4-BE49-F238E27FC236}">
                <a16:creationId xmlns:a16="http://schemas.microsoft.com/office/drawing/2014/main" id="{3B79ED79-0275-4C34-A5B2-B2EDB13B93EC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54" name="$E$98">
            <a:extLst>
              <a:ext uri="{FF2B5EF4-FFF2-40B4-BE49-F238E27FC236}">
                <a16:creationId xmlns:a16="http://schemas.microsoft.com/office/drawing/2014/main" id="{4C059729-D4EA-42E9-9527-115FFC96C20C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55" name="$E$98">
            <a:extLst>
              <a:ext uri="{FF2B5EF4-FFF2-40B4-BE49-F238E27FC236}">
                <a16:creationId xmlns:a16="http://schemas.microsoft.com/office/drawing/2014/main" id="{199720C2-E610-4CD3-A2A2-BF9ED2FFA167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56" name="$E$98">
            <a:extLst>
              <a:ext uri="{FF2B5EF4-FFF2-40B4-BE49-F238E27FC236}">
                <a16:creationId xmlns:a16="http://schemas.microsoft.com/office/drawing/2014/main" id="{924C1A8C-03C4-4B3A-9479-4214E17E28E7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57" name="$E$98">
            <a:extLst>
              <a:ext uri="{FF2B5EF4-FFF2-40B4-BE49-F238E27FC236}">
                <a16:creationId xmlns:a16="http://schemas.microsoft.com/office/drawing/2014/main" id="{D53884E9-1965-461B-9C5C-2FFB022FAAD0}"/>
              </a:ext>
            </a:extLst>
          </xdr:cNvPr>
          <xdr:cNvSpPr/>
        </xdr:nvSpPr>
        <xdr:spPr>
          <a:xfrm>
            <a:off x="317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58" name="$E$98">
            <a:extLst>
              <a:ext uri="{FF2B5EF4-FFF2-40B4-BE49-F238E27FC236}">
                <a16:creationId xmlns:a16="http://schemas.microsoft.com/office/drawing/2014/main" id="{221B0B30-A87C-42F6-AB44-12D87CB1C117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59" name="$E$98">
            <a:extLst>
              <a:ext uri="{FF2B5EF4-FFF2-40B4-BE49-F238E27FC236}">
                <a16:creationId xmlns:a16="http://schemas.microsoft.com/office/drawing/2014/main" id="{3F7F9E20-6C5F-4E60-AE2F-AD5BE862A79E}"/>
              </a:ext>
            </a:extLst>
          </xdr:cNvPr>
          <xdr:cNvSpPr/>
        </xdr:nvSpPr>
        <xdr:spPr>
          <a:xfrm>
            <a:off x="381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60" name="$E$98">
            <a:extLst>
              <a:ext uri="{FF2B5EF4-FFF2-40B4-BE49-F238E27FC236}">
                <a16:creationId xmlns:a16="http://schemas.microsoft.com/office/drawing/2014/main" id="{AF104094-A971-4AC1-AF2A-7DCE3B29FA2E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61" name="$E$98">
            <a:extLst>
              <a:ext uri="{FF2B5EF4-FFF2-40B4-BE49-F238E27FC236}">
                <a16:creationId xmlns:a16="http://schemas.microsoft.com/office/drawing/2014/main" id="{DE589088-1EED-4B3B-846D-56AFE867FF69}"/>
              </a:ext>
            </a:extLst>
          </xdr:cNvPr>
          <xdr:cNvSpPr/>
        </xdr:nvSpPr>
        <xdr:spPr>
          <a:xfrm>
            <a:off x="406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62" name="$E$98">
            <a:extLst>
              <a:ext uri="{FF2B5EF4-FFF2-40B4-BE49-F238E27FC236}">
                <a16:creationId xmlns:a16="http://schemas.microsoft.com/office/drawing/2014/main" id="{7E13D939-B68E-45AF-861E-2044BA4FA65E}"/>
              </a:ext>
            </a:extLst>
          </xdr:cNvPr>
          <xdr:cNvSpPr/>
        </xdr:nvSpPr>
        <xdr:spPr>
          <a:xfrm>
            <a:off x="431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63" name="$E$98">
            <a:extLst>
              <a:ext uri="{FF2B5EF4-FFF2-40B4-BE49-F238E27FC236}">
                <a16:creationId xmlns:a16="http://schemas.microsoft.com/office/drawing/2014/main" id="{1AFBBF04-15EE-43CC-B4A5-F1E594D2D9A9}"/>
              </a:ext>
            </a:extLst>
          </xdr:cNvPr>
          <xdr:cNvSpPr/>
        </xdr:nvSpPr>
        <xdr:spPr>
          <a:xfrm>
            <a:off x="444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64" name="$E$98">
            <a:extLst>
              <a:ext uri="{FF2B5EF4-FFF2-40B4-BE49-F238E27FC236}">
                <a16:creationId xmlns:a16="http://schemas.microsoft.com/office/drawing/2014/main" id="{BDF6D09A-9AA6-44C9-8227-21A43C2E40B0}"/>
              </a:ext>
            </a:extLst>
          </xdr:cNvPr>
          <xdr:cNvSpPr/>
        </xdr:nvSpPr>
        <xdr:spPr>
          <a:xfrm>
            <a:off x="457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65" name="$E$98">
            <a:extLst>
              <a:ext uri="{FF2B5EF4-FFF2-40B4-BE49-F238E27FC236}">
                <a16:creationId xmlns:a16="http://schemas.microsoft.com/office/drawing/2014/main" id="{0CBB2374-3396-4634-B61C-B3859604D44B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66" name="$E$98">
            <a:extLst>
              <a:ext uri="{FF2B5EF4-FFF2-40B4-BE49-F238E27FC236}">
                <a16:creationId xmlns:a16="http://schemas.microsoft.com/office/drawing/2014/main" id="{CF280234-BB26-41DF-B33D-A0F5A7327684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67" name="$E$98">
            <a:extLst>
              <a:ext uri="{FF2B5EF4-FFF2-40B4-BE49-F238E27FC236}">
                <a16:creationId xmlns:a16="http://schemas.microsoft.com/office/drawing/2014/main" id="{CCADFC0A-5484-4736-8F58-A5C2D0B4CFC5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68" name="$E$98">
            <a:extLst>
              <a:ext uri="{FF2B5EF4-FFF2-40B4-BE49-F238E27FC236}">
                <a16:creationId xmlns:a16="http://schemas.microsoft.com/office/drawing/2014/main" id="{1ACFE33F-99F3-4488-AA2C-C16A11CD0908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69" name="$E$98">
            <a:extLst>
              <a:ext uri="{FF2B5EF4-FFF2-40B4-BE49-F238E27FC236}">
                <a16:creationId xmlns:a16="http://schemas.microsoft.com/office/drawing/2014/main" id="{AC916FD8-AE02-47E8-900A-D3E5A33775A2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70" name="$E$98">
            <a:extLst>
              <a:ext uri="{FF2B5EF4-FFF2-40B4-BE49-F238E27FC236}">
                <a16:creationId xmlns:a16="http://schemas.microsoft.com/office/drawing/2014/main" id="{B4E7E5F0-4EA9-4477-9DCE-4A807F03FF8F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71" name="$E$98">
            <a:extLst>
              <a:ext uri="{FF2B5EF4-FFF2-40B4-BE49-F238E27FC236}">
                <a16:creationId xmlns:a16="http://schemas.microsoft.com/office/drawing/2014/main" id="{DC7F6EA1-25D8-4F23-989C-97B9D86A3BDD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72" name="$E$98">
            <a:extLst>
              <a:ext uri="{FF2B5EF4-FFF2-40B4-BE49-F238E27FC236}">
                <a16:creationId xmlns:a16="http://schemas.microsoft.com/office/drawing/2014/main" id="{1AADB31C-DE94-47F8-9E51-AE4B7E891E58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73" name="$E$98">
            <a:extLst>
              <a:ext uri="{FF2B5EF4-FFF2-40B4-BE49-F238E27FC236}">
                <a16:creationId xmlns:a16="http://schemas.microsoft.com/office/drawing/2014/main" id="{3C00AF82-818C-4199-BD94-C581CCBD595A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74" name="$E$98">
            <a:extLst>
              <a:ext uri="{FF2B5EF4-FFF2-40B4-BE49-F238E27FC236}">
                <a16:creationId xmlns:a16="http://schemas.microsoft.com/office/drawing/2014/main" id="{1C7668C9-FF67-4A15-928C-45AD437AF6CD}"/>
              </a:ext>
            </a:extLst>
          </xdr:cNvPr>
          <xdr:cNvSpPr/>
        </xdr:nvSpPr>
        <xdr:spPr>
          <a:xfrm>
            <a:off x="279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75" name="$E$98">
            <a:extLst>
              <a:ext uri="{FF2B5EF4-FFF2-40B4-BE49-F238E27FC236}">
                <a16:creationId xmlns:a16="http://schemas.microsoft.com/office/drawing/2014/main" id="{99D2FC2C-90D6-47B0-8AB0-BD5CB426AC37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76" name="$E$98">
            <a:extLst>
              <a:ext uri="{FF2B5EF4-FFF2-40B4-BE49-F238E27FC236}">
                <a16:creationId xmlns:a16="http://schemas.microsoft.com/office/drawing/2014/main" id="{3CFD57DB-FAFB-418D-8BED-2E59D889F28B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77" name="$E$98">
            <a:extLst>
              <a:ext uri="{FF2B5EF4-FFF2-40B4-BE49-F238E27FC236}">
                <a16:creationId xmlns:a16="http://schemas.microsoft.com/office/drawing/2014/main" id="{5321763C-B171-4C90-9297-57A81CA78032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78" name="$E$98">
            <a:extLst>
              <a:ext uri="{FF2B5EF4-FFF2-40B4-BE49-F238E27FC236}">
                <a16:creationId xmlns:a16="http://schemas.microsoft.com/office/drawing/2014/main" id="{8EAFBCCC-8DF9-4868-BF3B-4CE0752B2A1A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79" name="$E$98">
            <a:extLst>
              <a:ext uri="{FF2B5EF4-FFF2-40B4-BE49-F238E27FC236}">
                <a16:creationId xmlns:a16="http://schemas.microsoft.com/office/drawing/2014/main" id="{7CD7F397-0A97-49DE-9C74-E2DFAD4D09F0}"/>
              </a:ext>
            </a:extLst>
          </xdr:cNvPr>
          <xdr:cNvSpPr/>
        </xdr:nvSpPr>
        <xdr:spPr>
          <a:xfrm>
            <a:off x="368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80" name="$E$98">
            <a:extLst>
              <a:ext uri="{FF2B5EF4-FFF2-40B4-BE49-F238E27FC236}">
                <a16:creationId xmlns:a16="http://schemas.microsoft.com/office/drawing/2014/main" id="{B3453AF3-9C8F-4B21-A34C-B9FEE04BB8B9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81" name="$E$98">
            <a:extLst>
              <a:ext uri="{FF2B5EF4-FFF2-40B4-BE49-F238E27FC236}">
                <a16:creationId xmlns:a16="http://schemas.microsoft.com/office/drawing/2014/main" id="{620865DA-EE08-4C92-B708-D798F6422AF5}"/>
              </a:ext>
            </a:extLst>
          </xdr:cNvPr>
          <xdr:cNvSpPr/>
        </xdr:nvSpPr>
        <xdr:spPr>
          <a:xfrm>
            <a:off x="419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82" name="$E$98">
            <a:extLst>
              <a:ext uri="{FF2B5EF4-FFF2-40B4-BE49-F238E27FC236}">
                <a16:creationId xmlns:a16="http://schemas.microsoft.com/office/drawing/2014/main" id="{A7D5D15A-B6DB-4F5B-A5B0-1ABC3F0A4F5B}"/>
              </a:ext>
            </a:extLst>
          </xdr:cNvPr>
          <xdr:cNvSpPr/>
        </xdr:nvSpPr>
        <xdr:spPr>
          <a:xfrm>
            <a:off x="457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83" name="$E$98">
            <a:extLst>
              <a:ext uri="{FF2B5EF4-FFF2-40B4-BE49-F238E27FC236}">
                <a16:creationId xmlns:a16="http://schemas.microsoft.com/office/drawing/2014/main" id="{0D293FE6-7E2D-4FE9-B468-D3391EA1F7CD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84" name="$E$98">
            <a:extLst>
              <a:ext uri="{FF2B5EF4-FFF2-40B4-BE49-F238E27FC236}">
                <a16:creationId xmlns:a16="http://schemas.microsoft.com/office/drawing/2014/main" id="{EFE422C1-A663-4524-B01E-2E62662E474F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85" name="$E$98">
            <a:extLst>
              <a:ext uri="{FF2B5EF4-FFF2-40B4-BE49-F238E27FC236}">
                <a16:creationId xmlns:a16="http://schemas.microsoft.com/office/drawing/2014/main" id="{ABCEE6F2-E8A8-4610-8C4D-C7191C77A379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86" name="$E$98">
            <a:extLst>
              <a:ext uri="{FF2B5EF4-FFF2-40B4-BE49-F238E27FC236}">
                <a16:creationId xmlns:a16="http://schemas.microsoft.com/office/drawing/2014/main" id="{80FBDE4D-1AF3-45E8-BCB4-A6FB5598E4EB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87" name="$E$98">
            <a:extLst>
              <a:ext uri="{FF2B5EF4-FFF2-40B4-BE49-F238E27FC236}">
                <a16:creationId xmlns:a16="http://schemas.microsoft.com/office/drawing/2014/main" id="{AF144632-1B16-4AE3-A062-223BAA1DAB88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88" name="$E$98">
            <a:extLst>
              <a:ext uri="{FF2B5EF4-FFF2-40B4-BE49-F238E27FC236}">
                <a16:creationId xmlns:a16="http://schemas.microsoft.com/office/drawing/2014/main" id="{CC1D426B-E074-4A42-878D-38D7C9FF577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89" name="$E$98">
            <a:extLst>
              <a:ext uri="{FF2B5EF4-FFF2-40B4-BE49-F238E27FC236}">
                <a16:creationId xmlns:a16="http://schemas.microsoft.com/office/drawing/2014/main" id="{E284C93F-8153-4397-83DE-5E7D4618BF4B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90" name="$E$98">
            <a:extLst>
              <a:ext uri="{FF2B5EF4-FFF2-40B4-BE49-F238E27FC236}">
                <a16:creationId xmlns:a16="http://schemas.microsoft.com/office/drawing/2014/main" id="{BF67C0DE-D315-4565-8E00-D98381D8246C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91" name="$E$98">
            <a:extLst>
              <a:ext uri="{FF2B5EF4-FFF2-40B4-BE49-F238E27FC236}">
                <a16:creationId xmlns:a16="http://schemas.microsoft.com/office/drawing/2014/main" id="{D9500FD5-2201-4147-A013-B73B6A053343}"/>
              </a:ext>
            </a:extLst>
          </xdr:cNvPr>
          <xdr:cNvSpPr/>
        </xdr:nvSpPr>
        <xdr:spPr>
          <a:xfrm>
            <a:off x="203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92" name="$E$98">
            <a:extLst>
              <a:ext uri="{FF2B5EF4-FFF2-40B4-BE49-F238E27FC236}">
                <a16:creationId xmlns:a16="http://schemas.microsoft.com/office/drawing/2014/main" id="{B1EE33CF-4275-466C-A5B2-E6DD788D4178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93" name="$E$98">
            <a:extLst>
              <a:ext uri="{FF2B5EF4-FFF2-40B4-BE49-F238E27FC236}">
                <a16:creationId xmlns:a16="http://schemas.microsoft.com/office/drawing/2014/main" id="{CAC2AC9C-7FBC-4840-9769-A28385A6B618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94" name="$E$98">
            <a:extLst>
              <a:ext uri="{FF2B5EF4-FFF2-40B4-BE49-F238E27FC236}">
                <a16:creationId xmlns:a16="http://schemas.microsoft.com/office/drawing/2014/main" id="{0EFEB703-B823-4274-9127-EDF32F2A735F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95" name="$E$98">
            <a:extLst>
              <a:ext uri="{FF2B5EF4-FFF2-40B4-BE49-F238E27FC236}">
                <a16:creationId xmlns:a16="http://schemas.microsoft.com/office/drawing/2014/main" id="{AC4AC7F9-D387-4F9A-B841-82E3C956F456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96" name="$E$98">
            <a:extLst>
              <a:ext uri="{FF2B5EF4-FFF2-40B4-BE49-F238E27FC236}">
                <a16:creationId xmlns:a16="http://schemas.microsoft.com/office/drawing/2014/main" id="{4038ABE4-9325-4B6D-AD66-6AB8A67454C4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97" name="$E$98">
            <a:extLst>
              <a:ext uri="{FF2B5EF4-FFF2-40B4-BE49-F238E27FC236}">
                <a16:creationId xmlns:a16="http://schemas.microsoft.com/office/drawing/2014/main" id="{A46B96F5-B910-41AD-A159-070905CB0A01}"/>
              </a:ext>
            </a:extLst>
          </xdr:cNvPr>
          <xdr:cNvSpPr/>
        </xdr:nvSpPr>
        <xdr:spPr>
          <a:xfrm>
            <a:off x="330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98" name="$E$98">
            <a:extLst>
              <a:ext uri="{FF2B5EF4-FFF2-40B4-BE49-F238E27FC236}">
                <a16:creationId xmlns:a16="http://schemas.microsoft.com/office/drawing/2014/main" id="{97DBD0C1-0684-489E-9BBC-6A373B44B0F7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399" name="$E$98">
            <a:extLst>
              <a:ext uri="{FF2B5EF4-FFF2-40B4-BE49-F238E27FC236}">
                <a16:creationId xmlns:a16="http://schemas.microsoft.com/office/drawing/2014/main" id="{3FF3BFDB-2073-4085-98AD-A97EDD4205BB}"/>
              </a:ext>
            </a:extLst>
          </xdr:cNvPr>
          <xdr:cNvSpPr/>
        </xdr:nvSpPr>
        <xdr:spPr>
          <a:xfrm>
            <a:off x="368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00" name="$E$98">
            <a:extLst>
              <a:ext uri="{FF2B5EF4-FFF2-40B4-BE49-F238E27FC236}">
                <a16:creationId xmlns:a16="http://schemas.microsoft.com/office/drawing/2014/main" id="{61051C19-B8C3-4009-95BD-9CFD47F181E2}"/>
              </a:ext>
            </a:extLst>
          </xdr:cNvPr>
          <xdr:cNvSpPr/>
        </xdr:nvSpPr>
        <xdr:spPr>
          <a:xfrm>
            <a:off x="381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01" name="$E$98">
            <a:extLst>
              <a:ext uri="{FF2B5EF4-FFF2-40B4-BE49-F238E27FC236}">
                <a16:creationId xmlns:a16="http://schemas.microsoft.com/office/drawing/2014/main" id="{7D902499-6291-4748-BCD4-1CF52A325F46}"/>
              </a:ext>
            </a:extLst>
          </xdr:cNvPr>
          <xdr:cNvSpPr/>
        </xdr:nvSpPr>
        <xdr:spPr>
          <a:xfrm>
            <a:off x="406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02" name="$E$98">
            <a:extLst>
              <a:ext uri="{FF2B5EF4-FFF2-40B4-BE49-F238E27FC236}">
                <a16:creationId xmlns:a16="http://schemas.microsoft.com/office/drawing/2014/main" id="{6E40B49A-0C44-496F-B621-0F54D661475C}"/>
              </a:ext>
            </a:extLst>
          </xdr:cNvPr>
          <xdr:cNvSpPr/>
        </xdr:nvSpPr>
        <xdr:spPr>
          <a:xfrm>
            <a:off x="419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03" name="$E$98">
            <a:extLst>
              <a:ext uri="{FF2B5EF4-FFF2-40B4-BE49-F238E27FC236}">
                <a16:creationId xmlns:a16="http://schemas.microsoft.com/office/drawing/2014/main" id="{78D6B124-B764-49CA-9166-7278B11F8AD3}"/>
              </a:ext>
            </a:extLst>
          </xdr:cNvPr>
          <xdr:cNvSpPr/>
        </xdr:nvSpPr>
        <xdr:spPr>
          <a:xfrm>
            <a:off x="431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04" name="$E$98">
            <a:extLst>
              <a:ext uri="{FF2B5EF4-FFF2-40B4-BE49-F238E27FC236}">
                <a16:creationId xmlns:a16="http://schemas.microsoft.com/office/drawing/2014/main" id="{C1CF7C42-3B93-49D2-B51A-39BC856B4C56}"/>
              </a:ext>
            </a:extLst>
          </xdr:cNvPr>
          <xdr:cNvSpPr/>
        </xdr:nvSpPr>
        <xdr:spPr>
          <a:xfrm>
            <a:off x="457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05" name="$E$98">
            <a:extLst>
              <a:ext uri="{FF2B5EF4-FFF2-40B4-BE49-F238E27FC236}">
                <a16:creationId xmlns:a16="http://schemas.microsoft.com/office/drawing/2014/main" id="{7BADEE9C-CEA6-4386-A729-0C5D676FCEF7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06" name="$E$98">
            <a:extLst>
              <a:ext uri="{FF2B5EF4-FFF2-40B4-BE49-F238E27FC236}">
                <a16:creationId xmlns:a16="http://schemas.microsoft.com/office/drawing/2014/main" id="{B68B1754-E946-4B35-9E79-4F3BD84791BE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07" name="$E$98">
            <a:extLst>
              <a:ext uri="{FF2B5EF4-FFF2-40B4-BE49-F238E27FC236}">
                <a16:creationId xmlns:a16="http://schemas.microsoft.com/office/drawing/2014/main" id="{08836887-9BB5-45F1-85D9-CF858E6FDB27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08" name="$E$98">
            <a:extLst>
              <a:ext uri="{FF2B5EF4-FFF2-40B4-BE49-F238E27FC236}">
                <a16:creationId xmlns:a16="http://schemas.microsoft.com/office/drawing/2014/main" id="{ACBBA30B-117C-4E68-B50D-05BC840B4A1F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09" name="$E$98">
            <a:extLst>
              <a:ext uri="{FF2B5EF4-FFF2-40B4-BE49-F238E27FC236}">
                <a16:creationId xmlns:a16="http://schemas.microsoft.com/office/drawing/2014/main" id="{3C2611DD-E78C-4A7D-B924-5AF82811D2A3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10" name="$E$98">
            <a:extLst>
              <a:ext uri="{FF2B5EF4-FFF2-40B4-BE49-F238E27FC236}">
                <a16:creationId xmlns:a16="http://schemas.microsoft.com/office/drawing/2014/main" id="{56C44877-6DC8-4134-8001-8EED1747E10B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11" name="$E$98">
            <a:extLst>
              <a:ext uri="{FF2B5EF4-FFF2-40B4-BE49-F238E27FC236}">
                <a16:creationId xmlns:a16="http://schemas.microsoft.com/office/drawing/2014/main" id="{EE5758CF-F48D-401B-A62E-741B73ACFCBA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12" name="$E$98">
            <a:extLst>
              <a:ext uri="{FF2B5EF4-FFF2-40B4-BE49-F238E27FC236}">
                <a16:creationId xmlns:a16="http://schemas.microsoft.com/office/drawing/2014/main" id="{C9DB44F8-425F-4104-BA39-131011C8C694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13" name="$E$98">
            <a:extLst>
              <a:ext uri="{FF2B5EF4-FFF2-40B4-BE49-F238E27FC236}">
                <a16:creationId xmlns:a16="http://schemas.microsoft.com/office/drawing/2014/main" id="{0D3F2241-7776-4544-82F8-0FE13C4FA1AD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14" name="$E$98">
            <a:extLst>
              <a:ext uri="{FF2B5EF4-FFF2-40B4-BE49-F238E27FC236}">
                <a16:creationId xmlns:a16="http://schemas.microsoft.com/office/drawing/2014/main" id="{058343F6-4D20-4E84-9580-789D6A3A7B3C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15" name="$E$98">
            <a:extLst>
              <a:ext uri="{FF2B5EF4-FFF2-40B4-BE49-F238E27FC236}">
                <a16:creationId xmlns:a16="http://schemas.microsoft.com/office/drawing/2014/main" id="{00A64192-73AC-42BA-A186-F7DA27155753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16" name="$E$98">
            <a:extLst>
              <a:ext uri="{FF2B5EF4-FFF2-40B4-BE49-F238E27FC236}">
                <a16:creationId xmlns:a16="http://schemas.microsoft.com/office/drawing/2014/main" id="{0480610F-F510-4700-8C70-D86A7BF8480C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17" name="$E$98">
            <a:extLst>
              <a:ext uri="{FF2B5EF4-FFF2-40B4-BE49-F238E27FC236}">
                <a16:creationId xmlns:a16="http://schemas.microsoft.com/office/drawing/2014/main" id="{2E7BF962-9B20-42F9-8E24-A75B71683C49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18" name="$E$98">
            <a:extLst>
              <a:ext uri="{FF2B5EF4-FFF2-40B4-BE49-F238E27FC236}">
                <a16:creationId xmlns:a16="http://schemas.microsoft.com/office/drawing/2014/main" id="{99D034CC-9AFE-482C-8552-4233AE481BBE}"/>
              </a:ext>
            </a:extLst>
          </xdr:cNvPr>
          <xdr:cNvSpPr/>
        </xdr:nvSpPr>
        <xdr:spPr>
          <a:xfrm>
            <a:off x="431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19" name="$E$98">
            <a:extLst>
              <a:ext uri="{FF2B5EF4-FFF2-40B4-BE49-F238E27FC236}">
                <a16:creationId xmlns:a16="http://schemas.microsoft.com/office/drawing/2014/main" id="{72B32653-F7A8-493D-B1FD-F54F00A9B12E}"/>
              </a:ext>
            </a:extLst>
          </xdr:cNvPr>
          <xdr:cNvSpPr/>
        </xdr:nvSpPr>
        <xdr:spPr>
          <a:xfrm>
            <a:off x="444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20" name="$E$98">
            <a:extLst>
              <a:ext uri="{FF2B5EF4-FFF2-40B4-BE49-F238E27FC236}">
                <a16:creationId xmlns:a16="http://schemas.microsoft.com/office/drawing/2014/main" id="{243FAF26-17AE-4940-9CCB-B15830D8B4DA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21" name="$E$98">
            <a:extLst>
              <a:ext uri="{FF2B5EF4-FFF2-40B4-BE49-F238E27FC236}">
                <a16:creationId xmlns:a16="http://schemas.microsoft.com/office/drawing/2014/main" id="{6B1964CE-E8A4-4358-B9DA-78CC03DF439F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22" name="$E$98">
            <a:extLst>
              <a:ext uri="{FF2B5EF4-FFF2-40B4-BE49-F238E27FC236}">
                <a16:creationId xmlns:a16="http://schemas.microsoft.com/office/drawing/2014/main" id="{06B354A9-4E6E-4FEA-809E-A662890EAA28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23" name="$E$98">
            <a:extLst>
              <a:ext uri="{FF2B5EF4-FFF2-40B4-BE49-F238E27FC236}">
                <a16:creationId xmlns:a16="http://schemas.microsoft.com/office/drawing/2014/main" id="{10A88138-A740-455F-A604-EA951562FFA0}"/>
              </a:ext>
            </a:extLst>
          </xdr:cNvPr>
          <xdr:cNvSpPr/>
        </xdr:nvSpPr>
        <xdr:spPr>
          <a:xfrm>
            <a:off x="63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24" name="$E$98">
            <a:extLst>
              <a:ext uri="{FF2B5EF4-FFF2-40B4-BE49-F238E27FC236}">
                <a16:creationId xmlns:a16="http://schemas.microsoft.com/office/drawing/2014/main" id="{40DF4311-D427-4DC6-B1FA-26CFF05F5A33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25" name="$E$98">
            <a:extLst>
              <a:ext uri="{FF2B5EF4-FFF2-40B4-BE49-F238E27FC236}">
                <a16:creationId xmlns:a16="http://schemas.microsoft.com/office/drawing/2014/main" id="{D677C0F9-ED92-4D5B-8170-E60B32359872}"/>
              </a:ext>
            </a:extLst>
          </xdr:cNvPr>
          <xdr:cNvSpPr/>
        </xdr:nvSpPr>
        <xdr:spPr>
          <a:xfrm>
            <a:off x="88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26" name="$E$98">
            <a:extLst>
              <a:ext uri="{FF2B5EF4-FFF2-40B4-BE49-F238E27FC236}">
                <a16:creationId xmlns:a16="http://schemas.microsoft.com/office/drawing/2014/main" id="{78978FEB-06FB-47BD-A75A-0367FD1A52CE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27" name="$E$98">
            <a:extLst>
              <a:ext uri="{FF2B5EF4-FFF2-40B4-BE49-F238E27FC236}">
                <a16:creationId xmlns:a16="http://schemas.microsoft.com/office/drawing/2014/main" id="{1F874B18-2625-41A9-B588-4E6C9CC10EAB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28" name="$E$98">
            <a:extLst>
              <a:ext uri="{FF2B5EF4-FFF2-40B4-BE49-F238E27FC236}">
                <a16:creationId xmlns:a16="http://schemas.microsoft.com/office/drawing/2014/main" id="{317B9B6F-E538-49E9-A2B4-B76F24EE2322}"/>
              </a:ext>
            </a:extLst>
          </xdr:cNvPr>
          <xdr:cNvSpPr/>
        </xdr:nvSpPr>
        <xdr:spPr>
          <a:xfrm>
            <a:off x="127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29" name="$E$98">
            <a:extLst>
              <a:ext uri="{FF2B5EF4-FFF2-40B4-BE49-F238E27FC236}">
                <a16:creationId xmlns:a16="http://schemas.microsoft.com/office/drawing/2014/main" id="{21279976-A416-4BC5-A97F-3D948BE11A61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30" name="$E$98">
            <a:extLst>
              <a:ext uri="{FF2B5EF4-FFF2-40B4-BE49-F238E27FC236}">
                <a16:creationId xmlns:a16="http://schemas.microsoft.com/office/drawing/2014/main" id="{2A22505A-B466-4756-AEF6-B6EF6AAC4FFB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31" name="$E$98">
            <a:extLst>
              <a:ext uri="{FF2B5EF4-FFF2-40B4-BE49-F238E27FC236}">
                <a16:creationId xmlns:a16="http://schemas.microsoft.com/office/drawing/2014/main" id="{B65E1E01-5E90-4428-89D3-39413CF2A3E2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32" name="$E$98">
            <a:extLst>
              <a:ext uri="{FF2B5EF4-FFF2-40B4-BE49-F238E27FC236}">
                <a16:creationId xmlns:a16="http://schemas.microsoft.com/office/drawing/2014/main" id="{E1146255-C309-4ABC-99F7-142DAC693403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33" name="$E$98">
            <a:extLst>
              <a:ext uri="{FF2B5EF4-FFF2-40B4-BE49-F238E27FC236}">
                <a16:creationId xmlns:a16="http://schemas.microsoft.com/office/drawing/2014/main" id="{92C6025F-950D-4F43-B868-FE0FF9564C7A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34" name="$E$98">
            <a:extLst>
              <a:ext uri="{FF2B5EF4-FFF2-40B4-BE49-F238E27FC236}">
                <a16:creationId xmlns:a16="http://schemas.microsoft.com/office/drawing/2014/main" id="{0F8494EE-41C0-4181-8214-AF3338EC9FA4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35" name="$E$98">
            <a:extLst>
              <a:ext uri="{FF2B5EF4-FFF2-40B4-BE49-F238E27FC236}">
                <a16:creationId xmlns:a16="http://schemas.microsoft.com/office/drawing/2014/main" id="{DC4C285B-4D24-4ED5-8D9A-1370D32DD0CE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36" name="$E$98">
            <a:extLst>
              <a:ext uri="{FF2B5EF4-FFF2-40B4-BE49-F238E27FC236}">
                <a16:creationId xmlns:a16="http://schemas.microsoft.com/office/drawing/2014/main" id="{7EC2A4DD-40A4-41F2-943B-815CAE81B71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37" name="$E$98">
            <a:extLst>
              <a:ext uri="{FF2B5EF4-FFF2-40B4-BE49-F238E27FC236}">
                <a16:creationId xmlns:a16="http://schemas.microsoft.com/office/drawing/2014/main" id="{E6B9E789-C16F-40D7-9510-10391B4F45BB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38" name="$E$98">
            <a:extLst>
              <a:ext uri="{FF2B5EF4-FFF2-40B4-BE49-F238E27FC236}">
                <a16:creationId xmlns:a16="http://schemas.microsoft.com/office/drawing/2014/main" id="{FFE1CE32-34F5-4CD5-91E6-DACB01C71063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39" name="$E$98">
            <a:extLst>
              <a:ext uri="{FF2B5EF4-FFF2-40B4-BE49-F238E27FC236}">
                <a16:creationId xmlns:a16="http://schemas.microsoft.com/office/drawing/2014/main" id="{3C7B2C1C-E51D-473E-BF4F-3AD6D42650BA}"/>
              </a:ext>
            </a:extLst>
          </xdr:cNvPr>
          <xdr:cNvSpPr/>
        </xdr:nvSpPr>
        <xdr:spPr>
          <a:xfrm>
            <a:off x="381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40" name="$E$98">
            <a:extLst>
              <a:ext uri="{FF2B5EF4-FFF2-40B4-BE49-F238E27FC236}">
                <a16:creationId xmlns:a16="http://schemas.microsoft.com/office/drawing/2014/main" id="{9F79BA64-AA3C-47CD-9E34-E84968D161A1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41" name="$E$98">
            <a:extLst>
              <a:ext uri="{FF2B5EF4-FFF2-40B4-BE49-F238E27FC236}">
                <a16:creationId xmlns:a16="http://schemas.microsoft.com/office/drawing/2014/main" id="{E43FE4C5-6682-4332-B581-436B4DD5045E}"/>
              </a:ext>
            </a:extLst>
          </xdr:cNvPr>
          <xdr:cNvSpPr/>
        </xdr:nvSpPr>
        <xdr:spPr>
          <a:xfrm>
            <a:off x="431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42" name="$E$98">
            <a:extLst>
              <a:ext uri="{FF2B5EF4-FFF2-40B4-BE49-F238E27FC236}">
                <a16:creationId xmlns:a16="http://schemas.microsoft.com/office/drawing/2014/main" id="{B267408D-5B05-474E-85A1-C77006389BCA}"/>
              </a:ext>
            </a:extLst>
          </xdr:cNvPr>
          <xdr:cNvSpPr/>
        </xdr:nvSpPr>
        <xdr:spPr>
          <a:xfrm>
            <a:off x="444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43" name="$E$98">
            <a:extLst>
              <a:ext uri="{FF2B5EF4-FFF2-40B4-BE49-F238E27FC236}">
                <a16:creationId xmlns:a16="http://schemas.microsoft.com/office/drawing/2014/main" id="{9367157F-3E6D-4530-9CD1-97B119AD2393}"/>
              </a:ext>
            </a:extLst>
          </xdr:cNvPr>
          <xdr:cNvSpPr/>
        </xdr:nvSpPr>
        <xdr:spPr>
          <a:xfrm>
            <a:off x="457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44" name="$E$98">
            <a:extLst>
              <a:ext uri="{FF2B5EF4-FFF2-40B4-BE49-F238E27FC236}">
                <a16:creationId xmlns:a16="http://schemas.microsoft.com/office/drawing/2014/main" id="{C8499FE5-1ADD-414B-9005-B58E26CB4068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45" name="$E$98">
            <a:extLst>
              <a:ext uri="{FF2B5EF4-FFF2-40B4-BE49-F238E27FC236}">
                <a16:creationId xmlns:a16="http://schemas.microsoft.com/office/drawing/2014/main" id="{CAEE49D4-710E-45B0-A64A-CC6A97F8D6C2}"/>
              </a:ext>
            </a:extLst>
          </xdr:cNvPr>
          <xdr:cNvSpPr/>
        </xdr:nvSpPr>
        <xdr:spPr>
          <a:xfrm>
            <a:off x="50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46" name="$E$98">
            <a:extLst>
              <a:ext uri="{FF2B5EF4-FFF2-40B4-BE49-F238E27FC236}">
                <a16:creationId xmlns:a16="http://schemas.microsoft.com/office/drawing/2014/main" id="{C30357A2-0643-40A2-8745-FC6623CD4599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47" name="$E$98">
            <a:extLst>
              <a:ext uri="{FF2B5EF4-FFF2-40B4-BE49-F238E27FC236}">
                <a16:creationId xmlns:a16="http://schemas.microsoft.com/office/drawing/2014/main" id="{D3691E83-3069-4B1C-975E-3DD85B0E9008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48" name="$E$98">
            <a:extLst>
              <a:ext uri="{FF2B5EF4-FFF2-40B4-BE49-F238E27FC236}">
                <a16:creationId xmlns:a16="http://schemas.microsoft.com/office/drawing/2014/main" id="{6AC1C9E9-1076-467C-9148-D678A12BA66D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49" name="$E$98">
            <a:extLst>
              <a:ext uri="{FF2B5EF4-FFF2-40B4-BE49-F238E27FC236}">
                <a16:creationId xmlns:a16="http://schemas.microsoft.com/office/drawing/2014/main" id="{06EE44E2-720B-493A-8C22-B67CB402F2B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50" name="$E$98">
            <a:extLst>
              <a:ext uri="{FF2B5EF4-FFF2-40B4-BE49-F238E27FC236}">
                <a16:creationId xmlns:a16="http://schemas.microsoft.com/office/drawing/2014/main" id="{48AA394F-BCAC-4244-B93C-478DE648C854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51" name="$E$98">
            <a:extLst>
              <a:ext uri="{FF2B5EF4-FFF2-40B4-BE49-F238E27FC236}">
                <a16:creationId xmlns:a16="http://schemas.microsoft.com/office/drawing/2014/main" id="{BDB9D576-E0CE-4319-9142-E38EC7264D2E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52" name="$E$98">
            <a:extLst>
              <a:ext uri="{FF2B5EF4-FFF2-40B4-BE49-F238E27FC236}">
                <a16:creationId xmlns:a16="http://schemas.microsoft.com/office/drawing/2014/main" id="{E3C342A7-F80A-4A06-8920-C873E4BC633D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53" name="$E$98">
            <a:extLst>
              <a:ext uri="{FF2B5EF4-FFF2-40B4-BE49-F238E27FC236}">
                <a16:creationId xmlns:a16="http://schemas.microsoft.com/office/drawing/2014/main" id="{EDBD8868-9E2B-4BA9-993E-7BB383A506E1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54" name="$E$98">
            <a:extLst>
              <a:ext uri="{FF2B5EF4-FFF2-40B4-BE49-F238E27FC236}">
                <a16:creationId xmlns:a16="http://schemas.microsoft.com/office/drawing/2014/main" id="{715CAC44-A541-4344-A4F7-6F26C7C7CD36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55" name="$E$98">
            <a:extLst>
              <a:ext uri="{FF2B5EF4-FFF2-40B4-BE49-F238E27FC236}">
                <a16:creationId xmlns:a16="http://schemas.microsoft.com/office/drawing/2014/main" id="{B52231FD-5478-4BB2-A980-F3EBE64A3ECE}"/>
              </a:ext>
            </a:extLst>
          </xdr:cNvPr>
          <xdr:cNvSpPr/>
        </xdr:nvSpPr>
        <xdr:spPr>
          <a:xfrm>
            <a:off x="355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56" name="$E$98">
            <a:extLst>
              <a:ext uri="{FF2B5EF4-FFF2-40B4-BE49-F238E27FC236}">
                <a16:creationId xmlns:a16="http://schemas.microsoft.com/office/drawing/2014/main" id="{850DABA9-2D7C-4310-8ED8-29B77DF7157C}"/>
              </a:ext>
            </a:extLst>
          </xdr:cNvPr>
          <xdr:cNvSpPr/>
        </xdr:nvSpPr>
        <xdr:spPr>
          <a:xfrm>
            <a:off x="368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57" name="$E$98">
            <a:extLst>
              <a:ext uri="{FF2B5EF4-FFF2-40B4-BE49-F238E27FC236}">
                <a16:creationId xmlns:a16="http://schemas.microsoft.com/office/drawing/2014/main" id="{0F863611-2102-438E-AC43-9E1245908A7C}"/>
              </a:ext>
            </a:extLst>
          </xdr:cNvPr>
          <xdr:cNvSpPr/>
        </xdr:nvSpPr>
        <xdr:spPr>
          <a:xfrm>
            <a:off x="393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58" name="$E$98">
            <a:extLst>
              <a:ext uri="{FF2B5EF4-FFF2-40B4-BE49-F238E27FC236}">
                <a16:creationId xmlns:a16="http://schemas.microsoft.com/office/drawing/2014/main" id="{7CF8D451-CE17-40F4-B6B7-6F8A97AEA414}"/>
              </a:ext>
            </a:extLst>
          </xdr:cNvPr>
          <xdr:cNvSpPr/>
        </xdr:nvSpPr>
        <xdr:spPr>
          <a:xfrm>
            <a:off x="457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59" name="$E$98">
            <a:extLst>
              <a:ext uri="{FF2B5EF4-FFF2-40B4-BE49-F238E27FC236}">
                <a16:creationId xmlns:a16="http://schemas.microsoft.com/office/drawing/2014/main" id="{A4F7E3FB-454C-4E26-A041-02EAC17998EC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60" name="$E$98">
            <a:extLst>
              <a:ext uri="{FF2B5EF4-FFF2-40B4-BE49-F238E27FC236}">
                <a16:creationId xmlns:a16="http://schemas.microsoft.com/office/drawing/2014/main" id="{B4C911EF-A66C-4AED-B567-35E8939D515A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61" name="$E$98">
            <a:extLst>
              <a:ext uri="{FF2B5EF4-FFF2-40B4-BE49-F238E27FC236}">
                <a16:creationId xmlns:a16="http://schemas.microsoft.com/office/drawing/2014/main" id="{8DD0682A-6B55-495E-A0FF-D0B6C75715B3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62" name="$E$98">
            <a:extLst>
              <a:ext uri="{FF2B5EF4-FFF2-40B4-BE49-F238E27FC236}">
                <a16:creationId xmlns:a16="http://schemas.microsoft.com/office/drawing/2014/main" id="{F546624A-8C09-471C-97D8-A9FFCA09C429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63" name="$E$98">
            <a:extLst>
              <a:ext uri="{FF2B5EF4-FFF2-40B4-BE49-F238E27FC236}">
                <a16:creationId xmlns:a16="http://schemas.microsoft.com/office/drawing/2014/main" id="{7E47C510-FEE4-4767-9540-C0804CC8D984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64" name="$E$98">
            <a:extLst>
              <a:ext uri="{FF2B5EF4-FFF2-40B4-BE49-F238E27FC236}">
                <a16:creationId xmlns:a16="http://schemas.microsoft.com/office/drawing/2014/main" id="{89012632-EEA8-4AEA-AF3A-645E818BCD3E}"/>
              </a:ext>
            </a:extLst>
          </xdr:cNvPr>
          <xdr:cNvSpPr/>
        </xdr:nvSpPr>
        <xdr:spPr>
          <a:xfrm>
            <a:off x="88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65" name="$E$98">
            <a:extLst>
              <a:ext uri="{FF2B5EF4-FFF2-40B4-BE49-F238E27FC236}">
                <a16:creationId xmlns:a16="http://schemas.microsoft.com/office/drawing/2014/main" id="{221CB9C0-15CC-43EF-937A-E5530D8E7ED9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66" name="$E$98">
            <a:extLst>
              <a:ext uri="{FF2B5EF4-FFF2-40B4-BE49-F238E27FC236}">
                <a16:creationId xmlns:a16="http://schemas.microsoft.com/office/drawing/2014/main" id="{15B208E8-30E7-4457-B055-9F0EC80E56F1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67" name="$E$98">
            <a:extLst>
              <a:ext uri="{FF2B5EF4-FFF2-40B4-BE49-F238E27FC236}">
                <a16:creationId xmlns:a16="http://schemas.microsoft.com/office/drawing/2014/main" id="{FB1F2F65-FABB-4E79-8C01-0F96C99121F3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68" name="$E$98">
            <a:extLst>
              <a:ext uri="{FF2B5EF4-FFF2-40B4-BE49-F238E27FC236}">
                <a16:creationId xmlns:a16="http://schemas.microsoft.com/office/drawing/2014/main" id="{6206CAC5-BC76-40E9-A93B-3308B343F754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69" name="$E$98">
            <a:extLst>
              <a:ext uri="{FF2B5EF4-FFF2-40B4-BE49-F238E27FC236}">
                <a16:creationId xmlns:a16="http://schemas.microsoft.com/office/drawing/2014/main" id="{1FF68B5E-4148-447D-B2B6-D4095B727F8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70" name="$E$98">
            <a:extLst>
              <a:ext uri="{FF2B5EF4-FFF2-40B4-BE49-F238E27FC236}">
                <a16:creationId xmlns:a16="http://schemas.microsoft.com/office/drawing/2014/main" id="{F6E2EAEE-1D89-47AB-9219-2F1DFCD3C4EB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71" name="$E$98">
            <a:extLst>
              <a:ext uri="{FF2B5EF4-FFF2-40B4-BE49-F238E27FC236}">
                <a16:creationId xmlns:a16="http://schemas.microsoft.com/office/drawing/2014/main" id="{8ED0D057-AAC9-478B-8786-5315B759260F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72" name="$E$98">
            <a:extLst>
              <a:ext uri="{FF2B5EF4-FFF2-40B4-BE49-F238E27FC236}">
                <a16:creationId xmlns:a16="http://schemas.microsoft.com/office/drawing/2014/main" id="{C701B603-A622-499B-8593-B19BD9A9DBD2}"/>
              </a:ext>
            </a:extLst>
          </xdr:cNvPr>
          <xdr:cNvSpPr/>
        </xdr:nvSpPr>
        <xdr:spPr>
          <a:xfrm>
            <a:off x="330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73" name="$E$98">
            <a:extLst>
              <a:ext uri="{FF2B5EF4-FFF2-40B4-BE49-F238E27FC236}">
                <a16:creationId xmlns:a16="http://schemas.microsoft.com/office/drawing/2014/main" id="{885857C8-DCEE-4002-866A-3A105278D534}"/>
              </a:ext>
            </a:extLst>
          </xdr:cNvPr>
          <xdr:cNvSpPr/>
        </xdr:nvSpPr>
        <xdr:spPr>
          <a:xfrm>
            <a:off x="368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74" name="$E$98">
            <a:extLst>
              <a:ext uri="{FF2B5EF4-FFF2-40B4-BE49-F238E27FC236}">
                <a16:creationId xmlns:a16="http://schemas.microsoft.com/office/drawing/2014/main" id="{6AD430E5-A9BF-4D5A-B285-533FB62D0756}"/>
              </a:ext>
            </a:extLst>
          </xdr:cNvPr>
          <xdr:cNvSpPr/>
        </xdr:nvSpPr>
        <xdr:spPr>
          <a:xfrm>
            <a:off x="381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75" name="$E$98">
            <a:extLst>
              <a:ext uri="{FF2B5EF4-FFF2-40B4-BE49-F238E27FC236}">
                <a16:creationId xmlns:a16="http://schemas.microsoft.com/office/drawing/2014/main" id="{5B68A272-D281-4C3B-ACDA-3C25785D1F75}"/>
              </a:ext>
            </a:extLst>
          </xdr:cNvPr>
          <xdr:cNvSpPr/>
        </xdr:nvSpPr>
        <xdr:spPr>
          <a:xfrm>
            <a:off x="406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76" name="$E$98">
            <a:extLst>
              <a:ext uri="{FF2B5EF4-FFF2-40B4-BE49-F238E27FC236}">
                <a16:creationId xmlns:a16="http://schemas.microsoft.com/office/drawing/2014/main" id="{E5DB2B8F-7BDB-47F6-AAF7-3D33EB47ABDB}"/>
              </a:ext>
            </a:extLst>
          </xdr:cNvPr>
          <xdr:cNvSpPr/>
        </xdr:nvSpPr>
        <xdr:spPr>
          <a:xfrm>
            <a:off x="419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77" name="$E$98">
            <a:extLst>
              <a:ext uri="{FF2B5EF4-FFF2-40B4-BE49-F238E27FC236}">
                <a16:creationId xmlns:a16="http://schemas.microsoft.com/office/drawing/2014/main" id="{CE04F7F6-2EFE-48EF-A8C1-2DEE7BEB6005}"/>
              </a:ext>
            </a:extLst>
          </xdr:cNvPr>
          <xdr:cNvSpPr/>
        </xdr:nvSpPr>
        <xdr:spPr>
          <a:xfrm>
            <a:off x="431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78" name="$E$98">
            <a:extLst>
              <a:ext uri="{FF2B5EF4-FFF2-40B4-BE49-F238E27FC236}">
                <a16:creationId xmlns:a16="http://schemas.microsoft.com/office/drawing/2014/main" id="{5777982B-A61D-4516-ADCB-4D72824994F8}"/>
              </a:ext>
            </a:extLst>
          </xdr:cNvPr>
          <xdr:cNvSpPr/>
        </xdr:nvSpPr>
        <xdr:spPr>
          <a:xfrm>
            <a:off x="444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79" name="$E$98">
            <a:extLst>
              <a:ext uri="{FF2B5EF4-FFF2-40B4-BE49-F238E27FC236}">
                <a16:creationId xmlns:a16="http://schemas.microsoft.com/office/drawing/2014/main" id="{10235F4F-4619-40C3-941E-3D6DA0951EF9}"/>
              </a:ext>
            </a:extLst>
          </xdr:cNvPr>
          <xdr:cNvSpPr/>
        </xdr:nvSpPr>
        <xdr:spPr>
          <a:xfrm>
            <a:off x="457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80" name="$E$98">
            <a:extLst>
              <a:ext uri="{FF2B5EF4-FFF2-40B4-BE49-F238E27FC236}">
                <a16:creationId xmlns:a16="http://schemas.microsoft.com/office/drawing/2014/main" id="{C1CF6688-334D-4775-A785-729D97E7F615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81" name="$E$98">
            <a:extLst>
              <a:ext uri="{FF2B5EF4-FFF2-40B4-BE49-F238E27FC236}">
                <a16:creationId xmlns:a16="http://schemas.microsoft.com/office/drawing/2014/main" id="{D757704A-D898-4BB6-ADE6-497801F7D088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82" name="$E$98">
            <a:extLst>
              <a:ext uri="{FF2B5EF4-FFF2-40B4-BE49-F238E27FC236}">
                <a16:creationId xmlns:a16="http://schemas.microsoft.com/office/drawing/2014/main" id="{255411E1-22C9-40BA-B015-8C4228023022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83" name="$E$98">
            <a:extLst>
              <a:ext uri="{FF2B5EF4-FFF2-40B4-BE49-F238E27FC236}">
                <a16:creationId xmlns:a16="http://schemas.microsoft.com/office/drawing/2014/main" id="{C92B0F84-D688-4E6E-A63E-4D1FAED737A5}"/>
              </a:ext>
            </a:extLst>
          </xdr:cNvPr>
          <xdr:cNvSpPr/>
        </xdr:nvSpPr>
        <xdr:spPr>
          <a:xfrm>
            <a:off x="152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84" name="$E$98">
            <a:extLst>
              <a:ext uri="{FF2B5EF4-FFF2-40B4-BE49-F238E27FC236}">
                <a16:creationId xmlns:a16="http://schemas.microsoft.com/office/drawing/2014/main" id="{D1317CBB-1B81-4A8F-922C-A648812014A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85" name="$E$98">
            <a:extLst>
              <a:ext uri="{FF2B5EF4-FFF2-40B4-BE49-F238E27FC236}">
                <a16:creationId xmlns:a16="http://schemas.microsoft.com/office/drawing/2014/main" id="{4FACD34F-9070-433B-AF9C-E25644ED3623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86" name="$E$98">
            <a:extLst>
              <a:ext uri="{FF2B5EF4-FFF2-40B4-BE49-F238E27FC236}">
                <a16:creationId xmlns:a16="http://schemas.microsoft.com/office/drawing/2014/main" id="{EE871B5C-AD01-40AB-9248-89385014124A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87" name="$E$98">
            <a:extLst>
              <a:ext uri="{FF2B5EF4-FFF2-40B4-BE49-F238E27FC236}">
                <a16:creationId xmlns:a16="http://schemas.microsoft.com/office/drawing/2014/main" id="{A13388F9-FF5E-4E82-AF79-87E5DB90DDD4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88" name="$E$98">
            <a:extLst>
              <a:ext uri="{FF2B5EF4-FFF2-40B4-BE49-F238E27FC236}">
                <a16:creationId xmlns:a16="http://schemas.microsoft.com/office/drawing/2014/main" id="{40FAD5C0-CB89-4B1E-A295-6A183D2BC2B4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89" name="$E$98">
            <a:extLst>
              <a:ext uri="{FF2B5EF4-FFF2-40B4-BE49-F238E27FC236}">
                <a16:creationId xmlns:a16="http://schemas.microsoft.com/office/drawing/2014/main" id="{2C3A6857-567F-4FB0-B911-FA880C778876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90" name="$E$98">
            <a:extLst>
              <a:ext uri="{FF2B5EF4-FFF2-40B4-BE49-F238E27FC236}">
                <a16:creationId xmlns:a16="http://schemas.microsoft.com/office/drawing/2014/main" id="{B3170507-18E5-4299-846C-C63ABB4001A2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91" name="$E$98">
            <a:extLst>
              <a:ext uri="{FF2B5EF4-FFF2-40B4-BE49-F238E27FC236}">
                <a16:creationId xmlns:a16="http://schemas.microsoft.com/office/drawing/2014/main" id="{39BA899E-5A66-4093-8D77-D2C352059AD3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92" name="$E$98">
            <a:extLst>
              <a:ext uri="{FF2B5EF4-FFF2-40B4-BE49-F238E27FC236}">
                <a16:creationId xmlns:a16="http://schemas.microsoft.com/office/drawing/2014/main" id="{332D4451-61E1-4A1F-BC30-6DF29CE1A900}"/>
              </a:ext>
            </a:extLst>
          </xdr:cNvPr>
          <xdr:cNvSpPr/>
        </xdr:nvSpPr>
        <xdr:spPr>
          <a:xfrm>
            <a:off x="419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93" name="$E$98">
            <a:extLst>
              <a:ext uri="{FF2B5EF4-FFF2-40B4-BE49-F238E27FC236}">
                <a16:creationId xmlns:a16="http://schemas.microsoft.com/office/drawing/2014/main" id="{87A37965-FD03-4B5D-BAC1-D6878FF6100D}"/>
              </a:ext>
            </a:extLst>
          </xdr:cNvPr>
          <xdr:cNvSpPr/>
        </xdr:nvSpPr>
        <xdr:spPr>
          <a:xfrm>
            <a:off x="444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94" name="$E$98">
            <a:extLst>
              <a:ext uri="{FF2B5EF4-FFF2-40B4-BE49-F238E27FC236}">
                <a16:creationId xmlns:a16="http://schemas.microsoft.com/office/drawing/2014/main" id="{887B8098-EBDB-4DFB-8F60-D3A410EB1BB1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95" name="$E$98">
            <a:extLst>
              <a:ext uri="{FF2B5EF4-FFF2-40B4-BE49-F238E27FC236}">
                <a16:creationId xmlns:a16="http://schemas.microsoft.com/office/drawing/2014/main" id="{A680F9B5-9B85-4B90-BA93-BF7B9E3730B3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96" name="$E$98">
            <a:extLst>
              <a:ext uri="{FF2B5EF4-FFF2-40B4-BE49-F238E27FC236}">
                <a16:creationId xmlns:a16="http://schemas.microsoft.com/office/drawing/2014/main" id="{C5511D86-4FC1-4D74-9901-012C7F5E408A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97" name="$E$98">
            <a:extLst>
              <a:ext uri="{FF2B5EF4-FFF2-40B4-BE49-F238E27FC236}">
                <a16:creationId xmlns:a16="http://schemas.microsoft.com/office/drawing/2014/main" id="{8728E3E2-B698-412A-9603-A3A85657A5DA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98" name="$E$98">
            <a:extLst>
              <a:ext uri="{FF2B5EF4-FFF2-40B4-BE49-F238E27FC236}">
                <a16:creationId xmlns:a16="http://schemas.microsoft.com/office/drawing/2014/main" id="{85F9B125-48E7-4327-96C2-4BDE4367ED96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499" name="$E$98">
            <a:extLst>
              <a:ext uri="{FF2B5EF4-FFF2-40B4-BE49-F238E27FC236}">
                <a16:creationId xmlns:a16="http://schemas.microsoft.com/office/drawing/2014/main" id="{09FB33C3-6682-4009-BD88-1A5644A6FA4A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00" name="$E$98">
            <a:extLst>
              <a:ext uri="{FF2B5EF4-FFF2-40B4-BE49-F238E27FC236}">
                <a16:creationId xmlns:a16="http://schemas.microsoft.com/office/drawing/2014/main" id="{83433F1F-A478-45AA-B9ED-B70678FEDF81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01" name="$E$98">
            <a:extLst>
              <a:ext uri="{FF2B5EF4-FFF2-40B4-BE49-F238E27FC236}">
                <a16:creationId xmlns:a16="http://schemas.microsoft.com/office/drawing/2014/main" id="{0D810A16-2DB4-4982-A374-14EDA92FDC22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02" name="$E$98">
            <a:extLst>
              <a:ext uri="{FF2B5EF4-FFF2-40B4-BE49-F238E27FC236}">
                <a16:creationId xmlns:a16="http://schemas.microsoft.com/office/drawing/2014/main" id="{CA04032E-A655-4F79-88C4-A2E35ABD1366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03" name="$E$98">
            <a:extLst>
              <a:ext uri="{FF2B5EF4-FFF2-40B4-BE49-F238E27FC236}">
                <a16:creationId xmlns:a16="http://schemas.microsoft.com/office/drawing/2014/main" id="{A28BE591-0370-4FE9-A716-50F9A883037C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04" name="$E$98">
            <a:extLst>
              <a:ext uri="{FF2B5EF4-FFF2-40B4-BE49-F238E27FC236}">
                <a16:creationId xmlns:a16="http://schemas.microsoft.com/office/drawing/2014/main" id="{5EF6A1D3-4F65-46A9-803D-1FE0A9AC1F82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05" name="$E$98">
            <a:extLst>
              <a:ext uri="{FF2B5EF4-FFF2-40B4-BE49-F238E27FC236}">
                <a16:creationId xmlns:a16="http://schemas.microsoft.com/office/drawing/2014/main" id="{4CFB300E-64E4-4DB5-B286-58A336F2AAA2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06" name="$E$98">
            <a:extLst>
              <a:ext uri="{FF2B5EF4-FFF2-40B4-BE49-F238E27FC236}">
                <a16:creationId xmlns:a16="http://schemas.microsoft.com/office/drawing/2014/main" id="{5D3911CC-4D8A-4187-90D3-EC8AFD24F312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07" name="$E$98">
            <a:extLst>
              <a:ext uri="{FF2B5EF4-FFF2-40B4-BE49-F238E27FC236}">
                <a16:creationId xmlns:a16="http://schemas.microsoft.com/office/drawing/2014/main" id="{4E316823-2E60-4777-B1CB-F612B610D94A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08" name="$E$98">
            <a:extLst>
              <a:ext uri="{FF2B5EF4-FFF2-40B4-BE49-F238E27FC236}">
                <a16:creationId xmlns:a16="http://schemas.microsoft.com/office/drawing/2014/main" id="{DE672C07-4632-45E5-BBEE-1C784C4FB3CF}"/>
              </a:ext>
            </a:extLst>
          </xdr:cNvPr>
          <xdr:cNvSpPr/>
        </xdr:nvSpPr>
        <xdr:spPr>
          <a:xfrm>
            <a:off x="330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09" name="$E$98">
            <a:extLst>
              <a:ext uri="{FF2B5EF4-FFF2-40B4-BE49-F238E27FC236}">
                <a16:creationId xmlns:a16="http://schemas.microsoft.com/office/drawing/2014/main" id="{D8564C81-FC59-4C6B-A209-30EA846DD314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10" name="$E$98">
            <a:extLst>
              <a:ext uri="{FF2B5EF4-FFF2-40B4-BE49-F238E27FC236}">
                <a16:creationId xmlns:a16="http://schemas.microsoft.com/office/drawing/2014/main" id="{13A15726-D8B5-48A7-A74E-3A4634490823}"/>
              </a:ext>
            </a:extLst>
          </xdr:cNvPr>
          <xdr:cNvSpPr/>
        </xdr:nvSpPr>
        <xdr:spPr>
          <a:xfrm>
            <a:off x="355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11" name="$E$98">
            <a:extLst>
              <a:ext uri="{FF2B5EF4-FFF2-40B4-BE49-F238E27FC236}">
                <a16:creationId xmlns:a16="http://schemas.microsoft.com/office/drawing/2014/main" id="{7625DA73-7D8C-49A3-8739-B7AC852FD14B}"/>
              </a:ext>
            </a:extLst>
          </xdr:cNvPr>
          <xdr:cNvSpPr/>
        </xdr:nvSpPr>
        <xdr:spPr>
          <a:xfrm>
            <a:off x="431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12" name="$E$98">
            <a:extLst>
              <a:ext uri="{FF2B5EF4-FFF2-40B4-BE49-F238E27FC236}">
                <a16:creationId xmlns:a16="http://schemas.microsoft.com/office/drawing/2014/main" id="{E0BBCD76-A036-4934-B01B-AA44447D119D}"/>
              </a:ext>
            </a:extLst>
          </xdr:cNvPr>
          <xdr:cNvSpPr/>
        </xdr:nvSpPr>
        <xdr:spPr>
          <a:xfrm>
            <a:off x="444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13" name="$E$98">
            <a:extLst>
              <a:ext uri="{FF2B5EF4-FFF2-40B4-BE49-F238E27FC236}">
                <a16:creationId xmlns:a16="http://schemas.microsoft.com/office/drawing/2014/main" id="{2548A653-C3CD-45A1-960E-4844CC9BDFC9}"/>
              </a:ext>
            </a:extLst>
          </xdr:cNvPr>
          <xdr:cNvSpPr/>
        </xdr:nvSpPr>
        <xdr:spPr>
          <a:xfrm>
            <a:off x="457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14" name="$E$98">
            <a:extLst>
              <a:ext uri="{FF2B5EF4-FFF2-40B4-BE49-F238E27FC236}">
                <a16:creationId xmlns:a16="http://schemas.microsoft.com/office/drawing/2014/main" id="{867DC0B3-F47D-4746-9851-4319E6A12035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15" name="$E$98">
            <a:extLst>
              <a:ext uri="{FF2B5EF4-FFF2-40B4-BE49-F238E27FC236}">
                <a16:creationId xmlns:a16="http://schemas.microsoft.com/office/drawing/2014/main" id="{7109E3C5-8A3C-4EBA-93E1-9A469F646235}"/>
              </a:ext>
            </a:extLst>
          </xdr:cNvPr>
          <xdr:cNvSpPr/>
        </xdr:nvSpPr>
        <xdr:spPr>
          <a:xfrm>
            <a:off x="50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16" name="$E$98">
            <a:extLst>
              <a:ext uri="{FF2B5EF4-FFF2-40B4-BE49-F238E27FC236}">
                <a16:creationId xmlns:a16="http://schemas.microsoft.com/office/drawing/2014/main" id="{50FE7D40-EB3D-4582-BBFF-E486F7748AE5}"/>
              </a:ext>
            </a:extLst>
          </xdr:cNvPr>
          <xdr:cNvSpPr/>
        </xdr:nvSpPr>
        <xdr:spPr>
          <a:xfrm>
            <a:off x="88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17" name="$E$98">
            <a:extLst>
              <a:ext uri="{FF2B5EF4-FFF2-40B4-BE49-F238E27FC236}">
                <a16:creationId xmlns:a16="http://schemas.microsoft.com/office/drawing/2014/main" id="{5A3F9A2D-F15D-48D3-B8B7-822D31DE26CC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18" name="$E$98">
            <a:extLst>
              <a:ext uri="{FF2B5EF4-FFF2-40B4-BE49-F238E27FC236}">
                <a16:creationId xmlns:a16="http://schemas.microsoft.com/office/drawing/2014/main" id="{8F5AAB88-4F29-4AC7-8AE9-B5AC821C9435}"/>
              </a:ext>
            </a:extLst>
          </xdr:cNvPr>
          <xdr:cNvSpPr/>
        </xdr:nvSpPr>
        <xdr:spPr>
          <a:xfrm>
            <a:off x="127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19" name="$E$98">
            <a:extLst>
              <a:ext uri="{FF2B5EF4-FFF2-40B4-BE49-F238E27FC236}">
                <a16:creationId xmlns:a16="http://schemas.microsoft.com/office/drawing/2014/main" id="{C3F824CA-C7F7-41AA-B80C-59B9F9FC9F07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20" name="$E$98">
            <a:extLst>
              <a:ext uri="{FF2B5EF4-FFF2-40B4-BE49-F238E27FC236}">
                <a16:creationId xmlns:a16="http://schemas.microsoft.com/office/drawing/2014/main" id="{CA87B59A-9D44-402F-AB51-06EB40E1C5A3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21" name="$E$98">
            <a:extLst>
              <a:ext uri="{FF2B5EF4-FFF2-40B4-BE49-F238E27FC236}">
                <a16:creationId xmlns:a16="http://schemas.microsoft.com/office/drawing/2014/main" id="{F686E08B-2CD8-4F5D-B9E0-C563FC49E566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22" name="$E$98">
            <a:extLst>
              <a:ext uri="{FF2B5EF4-FFF2-40B4-BE49-F238E27FC236}">
                <a16:creationId xmlns:a16="http://schemas.microsoft.com/office/drawing/2014/main" id="{877646BF-9271-44EF-A438-5874DAFA6DA9}"/>
              </a:ext>
            </a:extLst>
          </xdr:cNvPr>
          <xdr:cNvSpPr/>
        </xdr:nvSpPr>
        <xdr:spPr>
          <a:xfrm>
            <a:off x="241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23" name="$E$98">
            <a:extLst>
              <a:ext uri="{FF2B5EF4-FFF2-40B4-BE49-F238E27FC236}">
                <a16:creationId xmlns:a16="http://schemas.microsoft.com/office/drawing/2014/main" id="{9F70660E-A3FC-441B-8373-BB480C200C2A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24" name="$E$98">
            <a:extLst>
              <a:ext uri="{FF2B5EF4-FFF2-40B4-BE49-F238E27FC236}">
                <a16:creationId xmlns:a16="http://schemas.microsoft.com/office/drawing/2014/main" id="{261D302C-BF45-44CA-9D15-F851B603F4FF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25" name="$E$98">
            <a:extLst>
              <a:ext uri="{FF2B5EF4-FFF2-40B4-BE49-F238E27FC236}">
                <a16:creationId xmlns:a16="http://schemas.microsoft.com/office/drawing/2014/main" id="{F78E55E2-39B7-41F4-AEAB-F395DE9BA41D}"/>
              </a:ext>
            </a:extLst>
          </xdr:cNvPr>
          <xdr:cNvSpPr/>
        </xdr:nvSpPr>
        <xdr:spPr>
          <a:xfrm>
            <a:off x="330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26" name="$E$98">
            <a:extLst>
              <a:ext uri="{FF2B5EF4-FFF2-40B4-BE49-F238E27FC236}">
                <a16:creationId xmlns:a16="http://schemas.microsoft.com/office/drawing/2014/main" id="{76DBA6C2-02B3-4451-A3EF-525096AFCA93}"/>
              </a:ext>
            </a:extLst>
          </xdr:cNvPr>
          <xdr:cNvSpPr/>
        </xdr:nvSpPr>
        <xdr:spPr>
          <a:xfrm>
            <a:off x="355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27" name="$E$98">
            <a:extLst>
              <a:ext uri="{FF2B5EF4-FFF2-40B4-BE49-F238E27FC236}">
                <a16:creationId xmlns:a16="http://schemas.microsoft.com/office/drawing/2014/main" id="{1DADF70F-0D29-4ADC-8142-D04D1EDB52A1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28" name="$E$98">
            <a:extLst>
              <a:ext uri="{FF2B5EF4-FFF2-40B4-BE49-F238E27FC236}">
                <a16:creationId xmlns:a16="http://schemas.microsoft.com/office/drawing/2014/main" id="{C0CF492D-1691-4E51-BB56-246C8B9751A6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29" name="$E$98">
            <a:extLst>
              <a:ext uri="{FF2B5EF4-FFF2-40B4-BE49-F238E27FC236}">
                <a16:creationId xmlns:a16="http://schemas.microsoft.com/office/drawing/2014/main" id="{EBA39088-E98A-4181-91A6-22C302A97A19}"/>
              </a:ext>
            </a:extLst>
          </xdr:cNvPr>
          <xdr:cNvSpPr/>
        </xdr:nvSpPr>
        <xdr:spPr>
          <a:xfrm>
            <a:off x="393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30" name="$E$98">
            <a:extLst>
              <a:ext uri="{FF2B5EF4-FFF2-40B4-BE49-F238E27FC236}">
                <a16:creationId xmlns:a16="http://schemas.microsoft.com/office/drawing/2014/main" id="{73E27EDC-7AEB-45B8-A907-F7F2D3E683D5}"/>
              </a:ext>
            </a:extLst>
          </xdr:cNvPr>
          <xdr:cNvSpPr/>
        </xdr:nvSpPr>
        <xdr:spPr>
          <a:xfrm>
            <a:off x="457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31" name="$E$98">
            <a:extLst>
              <a:ext uri="{FF2B5EF4-FFF2-40B4-BE49-F238E27FC236}">
                <a16:creationId xmlns:a16="http://schemas.microsoft.com/office/drawing/2014/main" id="{13D2DBE8-0994-4CCC-9428-2D96499D65AC}"/>
              </a:ext>
            </a:extLst>
          </xdr:cNvPr>
          <xdr:cNvSpPr/>
        </xdr:nvSpPr>
        <xdr:spPr>
          <a:xfrm>
            <a:off x="12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32" name="$E$98">
            <a:extLst>
              <a:ext uri="{FF2B5EF4-FFF2-40B4-BE49-F238E27FC236}">
                <a16:creationId xmlns:a16="http://schemas.microsoft.com/office/drawing/2014/main" id="{4579ABE3-6CCB-4DF9-AA50-ABBB93E60F51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33" name="$E$98">
            <a:extLst>
              <a:ext uri="{FF2B5EF4-FFF2-40B4-BE49-F238E27FC236}">
                <a16:creationId xmlns:a16="http://schemas.microsoft.com/office/drawing/2014/main" id="{E27FF69E-49F7-4BE2-A1DB-E94F467CA1A6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34" name="$E$98">
            <a:extLst>
              <a:ext uri="{FF2B5EF4-FFF2-40B4-BE49-F238E27FC236}">
                <a16:creationId xmlns:a16="http://schemas.microsoft.com/office/drawing/2014/main" id="{814328B8-5198-4348-8CE9-82B1C9248C52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35" name="$E$98">
            <a:extLst>
              <a:ext uri="{FF2B5EF4-FFF2-40B4-BE49-F238E27FC236}">
                <a16:creationId xmlns:a16="http://schemas.microsoft.com/office/drawing/2014/main" id="{6A9648BB-6992-42A8-964B-DA933586418A}"/>
              </a:ext>
            </a:extLst>
          </xdr:cNvPr>
          <xdr:cNvSpPr/>
        </xdr:nvSpPr>
        <xdr:spPr>
          <a:xfrm>
            <a:off x="88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36" name="$E$98">
            <a:extLst>
              <a:ext uri="{FF2B5EF4-FFF2-40B4-BE49-F238E27FC236}">
                <a16:creationId xmlns:a16="http://schemas.microsoft.com/office/drawing/2014/main" id="{6715834B-449B-4FE6-8674-BB98BDD69DFE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37" name="$E$98">
            <a:extLst>
              <a:ext uri="{FF2B5EF4-FFF2-40B4-BE49-F238E27FC236}">
                <a16:creationId xmlns:a16="http://schemas.microsoft.com/office/drawing/2014/main" id="{B650D6F6-279A-412A-A741-38BD41BF344B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38" name="$E$98">
            <a:extLst>
              <a:ext uri="{FF2B5EF4-FFF2-40B4-BE49-F238E27FC236}">
                <a16:creationId xmlns:a16="http://schemas.microsoft.com/office/drawing/2014/main" id="{56168997-A5F1-4F17-B076-92ECFBB47200}"/>
              </a:ext>
            </a:extLst>
          </xdr:cNvPr>
          <xdr:cNvSpPr/>
        </xdr:nvSpPr>
        <xdr:spPr>
          <a:xfrm>
            <a:off x="152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39" name="$E$98">
            <a:extLst>
              <a:ext uri="{FF2B5EF4-FFF2-40B4-BE49-F238E27FC236}">
                <a16:creationId xmlns:a16="http://schemas.microsoft.com/office/drawing/2014/main" id="{E6B665CC-502A-453E-9A02-AFF9E308B787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40" name="$E$98">
            <a:extLst>
              <a:ext uri="{FF2B5EF4-FFF2-40B4-BE49-F238E27FC236}">
                <a16:creationId xmlns:a16="http://schemas.microsoft.com/office/drawing/2014/main" id="{56F7AD47-F959-4314-AA5D-107728713AF7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41" name="$E$98">
            <a:extLst>
              <a:ext uri="{FF2B5EF4-FFF2-40B4-BE49-F238E27FC236}">
                <a16:creationId xmlns:a16="http://schemas.microsoft.com/office/drawing/2014/main" id="{F5A90406-ADD1-4E99-9DF5-6DBD6D089BCF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42" name="$E$98">
            <a:extLst>
              <a:ext uri="{FF2B5EF4-FFF2-40B4-BE49-F238E27FC236}">
                <a16:creationId xmlns:a16="http://schemas.microsoft.com/office/drawing/2014/main" id="{EF0F9CAD-E6FF-4020-84D1-AB08A1A7468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43" name="$E$98">
            <a:extLst>
              <a:ext uri="{FF2B5EF4-FFF2-40B4-BE49-F238E27FC236}">
                <a16:creationId xmlns:a16="http://schemas.microsoft.com/office/drawing/2014/main" id="{F58B7401-053B-4F4C-B549-4DFACBC7514C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44" name="$E$98">
            <a:extLst>
              <a:ext uri="{FF2B5EF4-FFF2-40B4-BE49-F238E27FC236}">
                <a16:creationId xmlns:a16="http://schemas.microsoft.com/office/drawing/2014/main" id="{3610FBEA-6E09-4AA9-AB30-B880888402CF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45" name="$E$98">
            <a:extLst>
              <a:ext uri="{FF2B5EF4-FFF2-40B4-BE49-F238E27FC236}">
                <a16:creationId xmlns:a16="http://schemas.microsoft.com/office/drawing/2014/main" id="{05357507-D32E-49DA-99E9-E0821FBC958D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46" name="$E$98">
            <a:extLst>
              <a:ext uri="{FF2B5EF4-FFF2-40B4-BE49-F238E27FC236}">
                <a16:creationId xmlns:a16="http://schemas.microsoft.com/office/drawing/2014/main" id="{D9F83B1D-990D-42B9-BD96-46FE36E0BD68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47" name="$E$98">
            <a:extLst>
              <a:ext uri="{FF2B5EF4-FFF2-40B4-BE49-F238E27FC236}">
                <a16:creationId xmlns:a16="http://schemas.microsoft.com/office/drawing/2014/main" id="{BC4A3A91-78F3-42BA-83B1-5C46F9E357D2}"/>
              </a:ext>
            </a:extLst>
          </xdr:cNvPr>
          <xdr:cNvSpPr/>
        </xdr:nvSpPr>
        <xdr:spPr>
          <a:xfrm>
            <a:off x="368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48" name="$E$98">
            <a:extLst>
              <a:ext uri="{FF2B5EF4-FFF2-40B4-BE49-F238E27FC236}">
                <a16:creationId xmlns:a16="http://schemas.microsoft.com/office/drawing/2014/main" id="{91AAA220-AC3E-49AF-93D4-C2EAD4D9BA05}"/>
              </a:ext>
            </a:extLst>
          </xdr:cNvPr>
          <xdr:cNvSpPr/>
        </xdr:nvSpPr>
        <xdr:spPr>
          <a:xfrm>
            <a:off x="381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49" name="$E$98">
            <a:extLst>
              <a:ext uri="{FF2B5EF4-FFF2-40B4-BE49-F238E27FC236}">
                <a16:creationId xmlns:a16="http://schemas.microsoft.com/office/drawing/2014/main" id="{FE134B49-2F85-4A83-ADD4-9C7E5DC4E1DA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50" name="$E$98">
            <a:extLst>
              <a:ext uri="{FF2B5EF4-FFF2-40B4-BE49-F238E27FC236}">
                <a16:creationId xmlns:a16="http://schemas.microsoft.com/office/drawing/2014/main" id="{D2124A10-366D-41EA-A12F-88900B6F9306}"/>
              </a:ext>
            </a:extLst>
          </xdr:cNvPr>
          <xdr:cNvSpPr/>
        </xdr:nvSpPr>
        <xdr:spPr>
          <a:xfrm>
            <a:off x="419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51" name="$E$98">
            <a:extLst>
              <a:ext uri="{FF2B5EF4-FFF2-40B4-BE49-F238E27FC236}">
                <a16:creationId xmlns:a16="http://schemas.microsoft.com/office/drawing/2014/main" id="{47782945-B1C2-4BF7-BFE8-FED161ACADC6}"/>
              </a:ext>
            </a:extLst>
          </xdr:cNvPr>
          <xdr:cNvSpPr/>
        </xdr:nvSpPr>
        <xdr:spPr>
          <a:xfrm>
            <a:off x="431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52" name="$E$98">
            <a:extLst>
              <a:ext uri="{FF2B5EF4-FFF2-40B4-BE49-F238E27FC236}">
                <a16:creationId xmlns:a16="http://schemas.microsoft.com/office/drawing/2014/main" id="{4935AFC9-2096-4F4E-AEDD-E990CC5189FD}"/>
              </a:ext>
            </a:extLst>
          </xdr:cNvPr>
          <xdr:cNvSpPr/>
        </xdr:nvSpPr>
        <xdr:spPr>
          <a:xfrm>
            <a:off x="444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53" name="$E$98">
            <a:extLst>
              <a:ext uri="{FF2B5EF4-FFF2-40B4-BE49-F238E27FC236}">
                <a16:creationId xmlns:a16="http://schemas.microsoft.com/office/drawing/2014/main" id="{8472073E-D42A-4FBD-B393-AA6051B16C11}"/>
              </a:ext>
            </a:extLst>
          </xdr:cNvPr>
          <xdr:cNvSpPr/>
        </xdr:nvSpPr>
        <xdr:spPr>
          <a:xfrm>
            <a:off x="457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54" name="$E$98">
            <a:extLst>
              <a:ext uri="{FF2B5EF4-FFF2-40B4-BE49-F238E27FC236}">
                <a16:creationId xmlns:a16="http://schemas.microsoft.com/office/drawing/2014/main" id="{7F99B556-4FA2-4537-8D61-4998BBC65C17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55" name="$E$98">
            <a:extLst>
              <a:ext uri="{FF2B5EF4-FFF2-40B4-BE49-F238E27FC236}">
                <a16:creationId xmlns:a16="http://schemas.microsoft.com/office/drawing/2014/main" id="{BD8A951C-68A9-4C50-B6B4-E6CB9AC1D61A}"/>
              </a:ext>
            </a:extLst>
          </xdr:cNvPr>
          <xdr:cNvSpPr/>
        </xdr:nvSpPr>
        <xdr:spPr>
          <a:xfrm>
            <a:off x="12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56" name="$E$98">
            <a:extLst>
              <a:ext uri="{FF2B5EF4-FFF2-40B4-BE49-F238E27FC236}">
                <a16:creationId xmlns:a16="http://schemas.microsoft.com/office/drawing/2014/main" id="{CAECC444-11FC-4265-94D6-5789408E9D28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57" name="$E$98">
            <a:extLst>
              <a:ext uri="{FF2B5EF4-FFF2-40B4-BE49-F238E27FC236}">
                <a16:creationId xmlns:a16="http://schemas.microsoft.com/office/drawing/2014/main" id="{2DCD1BBF-EB39-4409-84C3-1EF4B9FA4CDA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58" name="$E$98">
            <a:extLst>
              <a:ext uri="{FF2B5EF4-FFF2-40B4-BE49-F238E27FC236}">
                <a16:creationId xmlns:a16="http://schemas.microsoft.com/office/drawing/2014/main" id="{F236BBDC-D086-49D9-90CC-90E81614BFA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59" name="$E$98">
            <a:extLst>
              <a:ext uri="{FF2B5EF4-FFF2-40B4-BE49-F238E27FC236}">
                <a16:creationId xmlns:a16="http://schemas.microsoft.com/office/drawing/2014/main" id="{D142ED26-89AE-4DD2-82B2-9D9208F95EE6}"/>
              </a:ext>
            </a:extLst>
          </xdr:cNvPr>
          <xdr:cNvSpPr/>
        </xdr:nvSpPr>
        <xdr:spPr>
          <a:xfrm>
            <a:off x="63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60" name="$E$98">
            <a:extLst>
              <a:ext uri="{FF2B5EF4-FFF2-40B4-BE49-F238E27FC236}">
                <a16:creationId xmlns:a16="http://schemas.microsoft.com/office/drawing/2014/main" id="{74C1BA6F-DF73-4A0E-9D90-A9D153B96183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61" name="$E$98">
            <a:extLst>
              <a:ext uri="{FF2B5EF4-FFF2-40B4-BE49-F238E27FC236}">
                <a16:creationId xmlns:a16="http://schemas.microsoft.com/office/drawing/2014/main" id="{DB5026CD-674C-4FEB-A23F-18C1BC956240}"/>
              </a:ext>
            </a:extLst>
          </xdr:cNvPr>
          <xdr:cNvSpPr/>
        </xdr:nvSpPr>
        <xdr:spPr>
          <a:xfrm>
            <a:off x="127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62" name="$E$98">
            <a:extLst>
              <a:ext uri="{FF2B5EF4-FFF2-40B4-BE49-F238E27FC236}">
                <a16:creationId xmlns:a16="http://schemas.microsoft.com/office/drawing/2014/main" id="{23E3E33E-21E4-47D6-8908-95675BE17D3C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63" name="$E$98">
            <a:extLst>
              <a:ext uri="{FF2B5EF4-FFF2-40B4-BE49-F238E27FC236}">
                <a16:creationId xmlns:a16="http://schemas.microsoft.com/office/drawing/2014/main" id="{B119CBD1-6E27-43AA-BC74-F516766C2B1F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64" name="$E$98">
            <a:extLst>
              <a:ext uri="{FF2B5EF4-FFF2-40B4-BE49-F238E27FC236}">
                <a16:creationId xmlns:a16="http://schemas.microsoft.com/office/drawing/2014/main" id="{8C4A8F02-72DE-4468-BD11-43BF5CEB2D6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65" name="$E$98">
            <a:extLst>
              <a:ext uri="{FF2B5EF4-FFF2-40B4-BE49-F238E27FC236}">
                <a16:creationId xmlns:a16="http://schemas.microsoft.com/office/drawing/2014/main" id="{D4AF7959-585E-43D8-8E7C-35E83F8A072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66" name="$E$98">
            <a:extLst>
              <a:ext uri="{FF2B5EF4-FFF2-40B4-BE49-F238E27FC236}">
                <a16:creationId xmlns:a16="http://schemas.microsoft.com/office/drawing/2014/main" id="{57C82C77-8F72-4C26-B958-16456088CF97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67" name="$E$98">
            <a:extLst>
              <a:ext uri="{FF2B5EF4-FFF2-40B4-BE49-F238E27FC236}">
                <a16:creationId xmlns:a16="http://schemas.microsoft.com/office/drawing/2014/main" id="{75CE36F5-FFFB-469F-B9ED-DA6581DD2DFE}"/>
              </a:ext>
            </a:extLst>
          </xdr:cNvPr>
          <xdr:cNvSpPr/>
        </xdr:nvSpPr>
        <xdr:spPr>
          <a:xfrm>
            <a:off x="292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68" name="$E$98">
            <a:extLst>
              <a:ext uri="{FF2B5EF4-FFF2-40B4-BE49-F238E27FC236}">
                <a16:creationId xmlns:a16="http://schemas.microsoft.com/office/drawing/2014/main" id="{9DCE6C61-8E3A-4581-9D6C-9FCC7418FD7F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69" name="$E$98">
            <a:extLst>
              <a:ext uri="{FF2B5EF4-FFF2-40B4-BE49-F238E27FC236}">
                <a16:creationId xmlns:a16="http://schemas.microsoft.com/office/drawing/2014/main" id="{B3D1EE12-8B14-40C7-9A16-69179F7A2184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70" name="$E$98">
            <a:extLst>
              <a:ext uri="{FF2B5EF4-FFF2-40B4-BE49-F238E27FC236}">
                <a16:creationId xmlns:a16="http://schemas.microsoft.com/office/drawing/2014/main" id="{D0DE9685-9F03-4098-908E-FB4453C20147}"/>
              </a:ext>
            </a:extLst>
          </xdr:cNvPr>
          <xdr:cNvSpPr/>
        </xdr:nvSpPr>
        <xdr:spPr>
          <a:xfrm>
            <a:off x="368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71" name="$E$98">
            <a:extLst>
              <a:ext uri="{FF2B5EF4-FFF2-40B4-BE49-F238E27FC236}">
                <a16:creationId xmlns:a16="http://schemas.microsoft.com/office/drawing/2014/main" id="{F8EC5B6B-871B-48F7-91FF-FBCF73B9DF08}"/>
              </a:ext>
            </a:extLst>
          </xdr:cNvPr>
          <xdr:cNvSpPr/>
        </xdr:nvSpPr>
        <xdr:spPr>
          <a:xfrm>
            <a:off x="393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72" name="$E$98">
            <a:extLst>
              <a:ext uri="{FF2B5EF4-FFF2-40B4-BE49-F238E27FC236}">
                <a16:creationId xmlns:a16="http://schemas.microsoft.com/office/drawing/2014/main" id="{9E9DF93C-FAF5-4A05-B8A5-745E6C6F9338}"/>
              </a:ext>
            </a:extLst>
          </xdr:cNvPr>
          <xdr:cNvSpPr/>
        </xdr:nvSpPr>
        <xdr:spPr>
          <a:xfrm>
            <a:off x="444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73" name="$E$98">
            <a:extLst>
              <a:ext uri="{FF2B5EF4-FFF2-40B4-BE49-F238E27FC236}">
                <a16:creationId xmlns:a16="http://schemas.microsoft.com/office/drawing/2014/main" id="{BFE5366B-3F9D-4313-9E25-C8ABC3FAB478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74" name="$E$98">
            <a:extLst>
              <a:ext uri="{FF2B5EF4-FFF2-40B4-BE49-F238E27FC236}">
                <a16:creationId xmlns:a16="http://schemas.microsoft.com/office/drawing/2014/main" id="{7C486904-D54D-456B-B79C-DC57744EB8CA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75" name="$E$98">
            <a:extLst>
              <a:ext uri="{FF2B5EF4-FFF2-40B4-BE49-F238E27FC236}">
                <a16:creationId xmlns:a16="http://schemas.microsoft.com/office/drawing/2014/main" id="{0FAA4E1F-58CC-462D-BC84-261B0C96DA4C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76" name="$E$98">
            <a:extLst>
              <a:ext uri="{FF2B5EF4-FFF2-40B4-BE49-F238E27FC236}">
                <a16:creationId xmlns:a16="http://schemas.microsoft.com/office/drawing/2014/main" id="{BC76198E-706D-49E0-B7F8-2157A17CAF6E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77" name="$E$98">
            <a:extLst>
              <a:ext uri="{FF2B5EF4-FFF2-40B4-BE49-F238E27FC236}">
                <a16:creationId xmlns:a16="http://schemas.microsoft.com/office/drawing/2014/main" id="{248C5EBA-2315-4322-93E1-43D9E64E44D2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78" name="$E$98">
            <a:extLst>
              <a:ext uri="{FF2B5EF4-FFF2-40B4-BE49-F238E27FC236}">
                <a16:creationId xmlns:a16="http://schemas.microsoft.com/office/drawing/2014/main" id="{C629067B-2483-472D-89F9-0E85E9AC83A1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79" name="$E$98">
            <a:extLst>
              <a:ext uri="{FF2B5EF4-FFF2-40B4-BE49-F238E27FC236}">
                <a16:creationId xmlns:a16="http://schemas.microsoft.com/office/drawing/2014/main" id="{2FEA82E8-6DDE-444C-A8A0-6C27A97C4873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80" name="$E$98">
            <a:extLst>
              <a:ext uri="{FF2B5EF4-FFF2-40B4-BE49-F238E27FC236}">
                <a16:creationId xmlns:a16="http://schemas.microsoft.com/office/drawing/2014/main" id="{C7B092F3-3C7E-402E-B920-224354AC70F7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81" name="$E$98">
            <a:extLst>
              <a:ext uri="{FF2B5EF4-FFF2-40B4-BE49-F238E27FC236}">
                <a16:creationId xmlns:a16="http://schemas.microsoft.com/office/drawing/2014/main" id="{E316B2C8-D3E5-4466-B81A-74A091EB9013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82" name="$E$98">
            <a:extLst>
              <a:ext uri="{FF2B5EF4-FFF2-40B4-BE49-F238E27FC236}">
                <a16:creationId xmlns:a16="http://schemas.microsoft.com/office/drawing/2014/main" id="{329DA571-0010-4238-A640-19B45CBDCE0C}"/>
              </a:ext>
            </a:extLst>
          </xdr:cNvPr>
          <xdr:cNvSpPr/>
        </xdr:nvSpPr>
        <xdr:spPr>
          <a:xfrm>
            <a:off x="177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83" name="$E$98">
            <a:extLst>
              <a:ext uri="{FF2B5EF4-FFF2-40B4-BE49-F238E27FC236}">
                <a16:creationId xmlns:a16="http://schemas.microsoft.com/office/drawing/2014/main" id="{0A6013AB-3793-469D-BE4D-49871E3C8E1A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84" name="$E$98">
            <a:extLst>
              <a:ext uri="{FF2B5EF4-FFF2-40B4-BE49-F238E27FC236}">
                <a16:creationId xmlns:a16="http://schemas.microsoft.com/office/drawing/2014/main" id="{77313D90-EF21-480C-871A-4A387A356378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85" name="$E$98">
            <a:extLst>
              <a:ext uri="{FF2B5EF4-FFF2-40B4-BE49-F238E27FC236}">
                <a16:creationId xmlns:a16="http://schemas.microsoft.com/office/drawing/2014/main" id="{392C050A-1765-4E26-80C8-C92D4E5C9DB0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86" name="$E$98">
            <a:extLst>
              <a:ext uri="{FF2B5EF4-FFF2-40B4-BE49-F238E27FC236}">
                <a16:creationId xmlns:a16="http://schemas.microsoft.com/office/drawing/2014/main" id="{64618CFA-FFE8-4C46-8F13-24A58E672231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87" name="$E$98">
            <a:extLst>
              <a:ext uri="{FF2B5EF4-FFF2-40B4-BE49-F238E27FC236}">
                <a16:creationId xmlns:a16="http://schemas.microsoft.com/office/drawing/2014/main" id="{DB3A282A-19D5-4AE6-83DF-D7CDF74E1615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88" name="$E$98">
            <a:extLst>
              <a:ext uri="{FF2B5EF4-FFF2-40B4-BE49-F238E27FC236}">
                <a16:creationId xmlns:a16="http://schemas.microsoft.com/office/drawing/2014/main" id="{4CEDAD5E-DF97-4D9A-B377-AA5D470B6895}"/>
              </a:ext>
            </a:extLst>
          </xdr:cNvPr>
          <xdr:cNvSpPr/>
        </xdr:nvSpPr>
        <xdr:spPr>
          <a:xfrm>
            <a:off x="342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89" name="$E$98">
            <a:extLst>
              <a:ext uri="{FF2B5EF4-FFF2-40B4-BE49-F238E27FC236}">
                <a16:creationId xmlns:a16="http://schemas.microsoft.com/office/drawing/2014/main" id="{D41EA1C6-BCAD-4597-B186-408F663DF2CD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90" name="$E$98">
            <a:extLst>
              <a:ext uri="{FF2B5EF4-FFF2-40B4-BE49-F238E27FC236}">
                <a16:creationId xmlns:a16="http://schemas.microsoft.com/office/drawing/2014/main" id="{03AB8B37-E773-46CA-9AC6-EFB6FEDAF391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91" name="$E$98">
            <a:extLst>
              <a:ext uri="{FF2B5EF4-FFF2-40B4-BE49-F238E27FC236}">
                <a16:creationId xmlns:a16="http://schemas.microsoft.com/office/drawing/2014/main" id="{FD00D35D-4F51-4A45-8D70-B2695058234A}"/>
              </a:ext>
            </a:extLst>
          </xdr:cNvPr>
          <xdr:cNvSpPr/>
        </xdr:nvSpPr>
        <xdr:spPr>
          <a:xfrm>
            <a:off x="381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92" name="$E$98">
            <a:extLst>
              <a:ext uri="{FF2B5EF4-FFF2-40B4-BE49-F238E27FC236}">
                <a16:creationId xmlns:a16="http://schemas.microsoft.com/office/drawing/2014/main" id="{B3A6E001-B67E-4575-AA5E-36F62A722D91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93" name="$E$98">
            <a:extLst>
              <a:ext uri="{FF2B5EF4-FFF2-40B4-BE49-F238E27FC236}">
                <a16:creationId xmlns:a16="http://schemas.microsoft.com/office/drawing/2014/main" id="{58A820C7-EECF-4257-B3B5-F4559A7E87DA}"/>
              </a:ext>
            </a:extLst>
          </xdr:cNvPr>
          <xdr:cNvSpPr/>
        </xdr:nvSpPr>
        <xdr:spPr>
          <a:xfrm>
            <a:off x="406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94" name="$E$98">
            <a:extLst>
              <a:ext uri="{FF2B5EF4-FFF2-40B4-BE49-F238E27FC236}">
                <a16:creationId xmlns:a16="http://schemas.microsoft.com/office/drawing/2014/main" id="{C9D2B3FA-6F4D-40C2-8F57-037C3A175416}"/>
              </a:ext>
            </a:extLst>
          </xdr:cNvPr>
          <xdr:cNvSpPr/>
        </xdr:nvSpPr>
        <xdr:spPr>
          <a:xfrm>
            <a:off x="444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95" name="$E$98">
            <a:extLst>
              <a:ext uri="{FF2B5EF4-FFF2-40B4-BE49-F238E27FC236}">
                <a16:creationId xmlns:a16="http://schemas.microsoft.com/office/drawing/2014/main" id="{A7AD9832-5632-4E48-993F-E0D47382AAAB}"/>
              </a:ext>
            </a:extLst>
          </xdr:cNvPr>
          <xdr:cNvSpPr/>
        </xdr:nvSpPr>
        <xdr:spPr>
          <a:xfrm>
            <a:off x="457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96" name="$E$98">
            <a:extLst>
              <a:ext uri="{FF2B5EF4-FFF2-40B4-BE49-F238E27FC236}">
                <a16:creationId xmlns:a16="http://schemas.microsoft.com/office/drawing/2014/main" id="{FA3DAE3E-48E4-4732-B08D-51460B91E49B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97" name="$E$98">
            <a:extLst>
              <a:ext uri="{FF2B5EF4-FFF2-40B4-BE49-F238E27FC236}">
                <a16:creationId xmlns:a16="http://schemas.microsoft.com/office/drawing/2014/main" id="{293C1FBD-CA46-4923-AEB4-B08C7FBB4BB5}"/>
              </a:ext>
            </a:extLst>
          </xdr:cNvPr>
          <xdr:cNvSpPr/>
        </xdr:nvSpPr>
        <xdr:spPr>
          <a:xfrm>
            <a:off x="50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98" name="$E$98">
            <a:extLst>
              <a:ext uri="{FF2B5EF4-FFF2-40B4-BE49-F238E27FC236}">
                <a16:creationId xmlns:a16="http://schemas.microsoft.com/office/drawing/2014/main" id="{667ECEB4-FFCB-4550-A177-76B13B02CE7E}"/>
              </a:ext>
            </a:extLst>
          </xdr:cNvPr>
          <xdr:cNvSpPr/>
        </xdr:nvSpPr>
        <xdr:spPr>
          <a:xfrm>
            <a:off x="88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599" name="$E$98">
            <a:extLst>
              <a:ext uri="{FF2B5EF4-FFF2-40B4-BE49-F238E27FC236}">
                <a16:creationId xmlns:a16="http://schemas.microsoft.com/office/drawing/2014/main" id="{D5F476EC-8816-447A-A433-91011BDC0D1C}"/>
              </a:ext>
            </a:extLst>
          </xdr:cNvPr>
          <xdr:cNvSpPr/>
        </xdr:nvSpPr>
        <xdr:spPr>
          <a:xfrm>
            <a:off x="101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00" name="$E$98">
            <a:extLst>
              <a:ext uri="{FF2B5EF4-FFF2-40B4-BE49-F238E27FC236}">
                <a16:creationId xmlns:a16="http://schemas.microsoft.com/office/drawing/2014/main" id="{0D00936F-EE97-487E-9F1E-940C63B62662}"/>
              </a:ext>
            </a:extLst>
          </xdr:cNvPr>
          <xdr:cNvSpPr/>
        </xdr:nvSpPr>
        <xdr:spPr>
          <a:xfrm>
            <a:off x="114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01" name="$E$98">
            <a:extLst>
              <a:ext uri="{FF2B5EF4-FFF2-40B4-BE49-F238E27FC236}">
                <a16:creationId xmlns:a16="http://schemas.microsoft.com/office/drawing/2014/main" id="{61110F62-AE47-4160-A36F-74DB61F069D9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02" name="$E$98">
            <a:extLst>
              <a:ext uri="{FF2B5EF4-FFF2-40B4-BE49-F238E27FC236}">
                <a16:creationId xmlns:a16="http://schemas.microsoft.com/office/drawing/2014/main" id="{B532DD2D-804A-4FD2-AEEC-11492E99A75F}"/>
              </a:ext>
            </a:extLst>
          </xdr:cNvPr>
          <xdr:cNvSpPr/>
        </xdr:nvSpPr>
        <xdr:spPr>
          <a:xfrm>
            <a:off x="139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03" name="$E$98">
            <a:extLst>
              <a:ext uri="{FF2B5EF4-FFF2-40B4-BE49-F238E27FC236}">
                <a16:creationId xmlns:a16="http://schemas.microsoft.com/office/drawing/2014/main" id="{397C0CE3-E612-4A3B-B754-36D12FCEB2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04" name="$E$98">
            <a:extLst>
              <a:ext uri="{FF2B5EF4-FFF2-40B4-BE49-F238E27FC236}">
                <a16:creationId xmlns:a16="http://schemas.microsoft.com/office/drawing/2014/main" id="{AD2AB527-7796-48E6-A3DF-518DB447976E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05" name="$E$98">
            <a:extLst>
              <a:ext uri="{FF2B5EF4-FFF2-40B4-BE49-F238E27FC236}">
                <a16:creationId xmlns:a16="http://schemas.microsoft.com/office/drawing/2014/main" id="{7A36F65C-F715-47F6-88AC-3429F2012C28}"/>
              </a:ext>
            </a:extLst>
          </xdr:cNvPr>
          <xdr:cNvSpPr/>
        </xdr:nvSpPr>
        <xdr:spPr>
          <a:xfrm>
            <a:off x="228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06" name="$E$98">
            <a:extLst>
              <a:ext uri="{FF2B5EF4-FFF2-40B4-BE49-F238E27FC236}">
                <a16:creationId xmlns:a16="http://schemas.microsoft.com/office/drawing/2014/main" id="{C9D33647-F3F8-40D4-A6C4-5A20C4FD2B32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07" name="$E$98">
            <a:extLst>
              <a:ext uri="{FF2B5EF4-FFF2-40B4-BE49-F238E27FC236}">
                <a16:creationId xmlns:a16="http://schemas.microsoft.com/office/drawing/2014/main" id="{36EF24D3-9C43-4E66-A9CC-1BE0DEF33A2C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08" name="$E$98">
            <a:extLst>
              <a:ext uri="{FF2B5EF4-FFF2-40B4-BE49-F238E27FC236}">
                <a16:creationId xmlns:a16="http://schemas.microsoft.com/office/drawing/2014/main" id="{F059F7D9-E533-4119-BCE9-44D2AE6C079B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09" name="$E$98">
            <a:extLst>
              <a:ext uri="{FF2B5EF4-FFF2-40B4-BE49-F238E27FC236}">
                <a16:creationId xmlns:a16="http://schemas.microsoft.com/office/drawing/2014/main" id="{81CC3282-DE8C-400F-8BE0-F4B352F9F3C2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10" name="$E$98">
            <a:extLst>
              <a:ext uri="{FF2B5EF4-FFF2-40B4-BE49-F238E27FC236}">
                <a16:creationId xmlns:a16="http://schemas.microsoft.com/office/drawing/2014/main" id="{874663F2-8571-4748-A6C2-BB487066817F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11" name="$E$98">
            <a:extLst>
              <a:ext uri="{FF2B5EF4-FFF2-40B4-BE49-F238E27FC236}">
                <a16:creationId xmlns:a16="http://schemas.microsoft.com/office/drawing/2014/main" id="{344F5EDF-B28D-43A9-8D69-BB4D64CD0929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12" name="$E$98">
            <a:extLst>
              <a:ext uri="{FF2B5EF4-FFF2-40B4-BE49-F238E27FC236}">
                <a16:creationId xmlns:a16="http://schemas.microsoft.com/office/drawing/2014/main" id="{F8240268-7D26-4607-9D0E-29E5D25B3F44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13" name="$E$98">
            <a:extLst>
              <a:ext uri="{FF2B5EF4-FFF2-40B4-BE49-F238E27FC236}">
                <a16:creationId xmlns:a16="http://schemas.microsoft.com/office/drawing/2014/main" id="{FAC4274B-9D50-43D7-8CE8-2A190289AD24}"/>
              </a:ext>
            </a:extLst>
          </xdr:cNvPr>
          <xdr:cNvSpPr/>
        </xdr:nvSpPr>
        <xdr:spPr>
          <a:xfrm>
            <a:off x="457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14" name="$E$98">
            <a:extLst>
              <a:ext uri="{FF2B5EF4-FFF2-40B4-BE49-F238E27FC236}">
                <a16:creationId xmlns:a16="http://schemas.microsoft.com/office/drawing/2014/main" id="{B2968BDA-B4D5-4E63-9B3F-D3085A815DB8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15" name="$E$98">
            <a:extLst>
              <a:ext uri="{FF2B5EF4-FFF2-40B4-BE49-F238E27FC236}">
                <a16:creationId xmlns:a16="http://schemas.microsoft.com/office/drawing/2014/main" id="{28D31439-781D-496E-B1B8-64952824BD8B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16" name="$E$98">
            <a:extLst>
              <a:ext uri="{FF2B5EF4-FFF2-40B4-BE49-F238E27FC236}">
                <a16:creationId xmlns:a16="http://schemas.microsoft.com/office/drawing/2014/main" id="{4D2C994E-871C-4428-868D-7A24D6CDFE33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17" name="$E$98">
            <a:extLst>
              <a:ext uri="{FF2B5EF4-FFF2-40B4-BE49-F238E27FC236}">
                <a16:creationId xmlns:a16="http://schemas.microsoft.com/office/drawing/2014/main" id="{B90537F1-E69F-4C02-80DF-1EEA6F0D87B8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18" name="$E$98">
            <a:extLst>
              <a:ext uri="{FF2B5EF4-FFF2-40B4-BE49-F238E27FC236}">
                <a16:creationId xmlns:a16="http://schemas.microsoft.com/office/drawing/2014/main" id="{89EA259D-E890-41BD-A502-0E48C57F6878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19" name="$E$98">
            <a:extLst>
              <a:ext uri="{FF2B5EF4-FFF2-40B4-BE49-F238E27FC236}">
                <a16:creationId xmlns:a16="http://schemas.microsoft.com/office/drawing/2014/main" id="{2727D372-823D-4ED4-9466-8BE924F1FCE1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20" name="$E$98">
            <a:extLst>
              <a:ext uri="{FF2B5EF4-FFF2-40B4-BE49-F238E27FC236}">
                <a16:creationId xmlns:a16="http://schemas.microsoft.com/office/drawing/2014/main" id="{0E8BECCA-5801-4DE1-A9F2-2C6908EB23DB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21" name="$E$98">
            <a:extLst>
              <a:ext uri="{FF2B5EF4-FFF2-40B4-BE49-F238E27FC236}">
                <a16:creationId xmlns:a16="http://schemas.microsoft.com/office/drawing/2014/main" id="{4C4AFB8A-D7D7-4761-B09A-8FBC8D47AF31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22" name="$E$98">
            <a:extLst>
              <a:ext uri="{FF2B5EF4-FFF2-40B4-BE49-F238E27FC236}">
                <a16:creationId xmlns:a16="http://schemas.microsoft.com/office/drawing/2014/main" id="{7916AC27-CD0E-49B6-AC8E-85E201AD3543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23" name="$E$98">
            <a:extLst>
              <a:ext uri="{FF2B5EF4-FFF2-40B4-BE49-F238E27FC236}">
                <a16:creationId xmlns:a16="http://schemas.microsoft.com/office/drawing/2014/main" id="{3F49A7B9-246B-4A9D-A6AE-A3F6E380DDF8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24" name="$E$98">
            <a:extLst>
              <a:ext uri="{FF2B5EF4-FFF2-40B4-BE49-F238E27FC236}">
                <a16:creationId xmlns:a16="http://schemas.microsoft.com/office/drawing/2014/main" id="{2FACDB00-6329-475E-AF9A-7E047309E544}"/>
              </a:ext>
            </a:extLst>
          </xdr:cNvPr>
          <xdr:cNvSpPr/>
        </xdr:nvSpPr>
        <xdr:spPr>
          <a:xfrm>
            <a:off x="292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25" name="$E$98">
            <a:extLst>
              <a:ext uri="{FF2B5EF4-FFF2-40B4-BE49-F238E27FC236}">
                <a16:creationId xmlns:a16="http://schemas.microsoft.com/office/drawing/2014/main" id="{F0ABDEB5-ACF0-4115-9A45-D52AF4F6C79B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26" name="$E$98">
            <a:extLst>
              <a:ext uri="{FF2B5EF4-FFF2-40B4-BE49-F238E27FC236}">
                <a16:creationId xmlns:a16="http://schemas.microsoft.com/office/drawing/2014/main" id="{D369A69A-3DEA-4C4A-9095-6E1195B7AED4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27" name="$E$98">
            <a:extLst>
              <a:ext uri="{FF2B5EF4-FFF2-40B4-BE49-F238E27FC236}">
                <a16:creationId xmlns:a16="http://schemas.microsoft.com/office/drawing/2014/main" id="{B8F0CAE4-5E09-4E45-8088-CC0396F570EE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28" name="$E$98">
            <a:extLst>
              <a:ext uri="{FF2B5EF4-FFF2-40B4-BE49-F238E27FC236}">
                <a16:creationId xmlns:a16="http://schemas.microsoft.com/office/drawing/2014/main" id="{967131DE-4C02-4474-BAAD-FCCA3D18EF77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29" name="$E$98">
            <a:extLst>
              <a:ext uri="{FF2B5EF4-FFF2-40B4-BE49-F238E27FC236}">
                <a16:creationId xmlns:a16="http://schemas.microsoft.com/office/drawing/2014/main" id="{DC4EF05B-84BA-47AE-A869-75DCAAE0027A}"/>
              </a:ext>
            </a:extLst>
          </xdr:cNvPr>
          <xdr:cNvSpPr/>
        </xdr:nvSpPr>
        <xdr:spPr>
          <a:xfrm>
            <a:off x="368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30" name="$E$98">
            <a:extLst>
              <a:ext uri="{FF2B5EF4-FFF2-40B4-BE49-F238E27FC236}">
                <a16:creationId xmlns:a16="http://schemas.microsoft.com/office/drawing/2014/main" id="{8AFE045C-3FEF-4AEE-BEBB-6FD8748715CD}"/>
              </a:ext>
            </a:extLst>
          </xdr:cNvPr>
          <xdr:cNvSpPr/>
        </xdr:nvSpPr>
        <xdr:spPr>
          <a:xfrm>
            <a:off x="381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31" name="$E$98">
            <a:extLst>
              <a:ext uri="{FF2B5EF4-FFF2-40B4-BE49-F238E27FC236}">
                <a16:creationId xmlns:a16="http://schemas.microsoft.com/office/drawing/2014/main" id="{656B66DD-ADA7-48FD-A46E-071D0E3F9106}"/>
              </a:ext>
            </a:extLst>
          </xdr:cNvPr>
          <xdr:cNvSpPr/>
        </xdr:nvSpPr>
        <xdr:spPr>
          <a:xfrm>
            <a:off x="393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32" name="$E$98">
            <a:extLst>
              <a:ext uri="{FF2B5EF4-FFF2-40B4-BE49-F238E27FC236}">
                <a16:creationId xmlns:a16="http://schemas.microsoft.com/office/drawing/2014/main" id="{101FD82A-0FCA-448A-B159-868498488B61}"/>
              </a:ext>
            </a:extLst>
          </xdr:cNvPr>
          <xdr:cNvSpPr/>
        </xdr:nvSpPr>
        <xdr:spPr>
          <a:xfrm>
            <a:off x="406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33" name="$E$98">
            <a:extLst>
              <a:ext uri="{FF2B5EF4-FFF2-40B4-BE49-F238E27FC236}">
                <a16:creationId xmlns:a16="http://schemas.microsoft.com/office/drawing/2014/main" id="{7701C045-7A22-4708-9D3A-D16E9FD85DD5}"/>
              </a:ext>
            </a:extLst>
          </xdr:cNvPr>
          <xdr:cNvSpPr/>
        </xdr:nvSpPr>
        <xdr:spPr>
          <a:xfrm>
            <a:off x="419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34" name="$E$98">
            <a:extLst>
              <a:ext uri="{FF2B5EF4-FFF2-40B4-BE49-F238E27FC236}">
                <a16:creationId xmlns:a16="http://schemas.microsoft.com/office/drawing/2014/main" id="{C0BBB2B2-8B83-47AE-99E8-A93146633D2E}"/>
              </a:ext>
            </a:extLst>
          </xdr:cNvPr>
          <xdr:cNvSpPr/>
        </xdr:nvSpPr>
        <xdr:spPr>
          <a:xfrm>
            <a:off x="431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35" name="$E$98">
            <a:extLst>
              <a:ext uri="{FF2B5EF4-FFF2-40B4-BE49-F238E27FC236}">
                <a16:creationId xmlns:a16="http://schemas.microsoft.com/office/drawing/2014/main" id="{6A02BDEF-C86C-41D9-AE8D-F733AF453D87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36" name="$E$98">
            <a:extLst>
              <a:ext uri="{FF2B5EF4-FFF2-40B4-BE49-F238E27FC236}">
                <a16:creationId xmlns:a16="http://schemas.microsoft.com/office/drawing/2014/main" id="{B0C0D5C0-71F5-46DC-9FF5-801BE010EF43}"/>
              </a:ext>
            </a:extLst>
          </xdr:cNvPr>
          <xdr:cNvSpPr/>
        </xdr:nvSpPr>
        <xdr:spPr>
          <a:xfrm>
            <a:off x="114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37" name="$E$98">
            <a:extLst>
              <a:ext uri="{FF2B5EF4-FFF2-40B4-BE49-F238E27FC236}">
                <a16:creationId xmlns:a16="http://schemas.microsoft.com/office/drawing/2014/main" id="{1605DD55-535F-4E0D-98E8-9465079A4312}"/>
              </a:ext>
            </a:extLst>
          </xdr:cNvPr>
          <xdr:cNvSpPr/>
        </xdr:nvSpPr>
        <xdr:spPr>
          <a:xfrm>
            <a:off x="127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38" name="$E$98">
            <a:extLst>
              <a:ext uri="{FF2B5EF4-FFF2-40B4-BE49-F238E27FC236}">
                <a16:creationId xmlns:a16="http://schemas.microsoft.com/office/drawing/2014/main" id="{75F91C48-8C03-40F3-A4C3-964B5F31FAF3}"/>
              </a:ext>
            </a:extLst>
          </xdr:cNvPr>
          <xdr:cNvSpPr/>
        </xdr:nvSpPr>
        <xdr:spPr>
          <a:xfrm>
            <a:off x="152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39" name="$E$98">
            <a:extLst>
              <a:ext uri="{FF2B5EF4-FFF2-40B4-BE49-F238E27FC236}">
                <a16:creationId xmlns:a16="http://schemas.microsoft.com/office/drawing/2014/main" id="{C2D01583-18A9-4F0D-A3BB-949FD7DCEA88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40" name="$E$98">
            <a:extLst>
              <a:ext uri="{FF2B5EF4-FFF2-40B4-BE49-F238E27FC236}">
                <a16:creationId xmlns:a16="http://schemas.microsoft.com/office/drawing/2014/main" id="{7B063664-C214-4C7D-9557-9AD0D270CE3D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41" name="$E$98">
            <a:extLst>
              <a:ext uri="{FF2B5EF4-FFF2-40B4-BE49-F238E27FC236}">
                <a16:creationId xmlns:a16="http://schemas.microsoft.com/office/drawing/2014/main" id="{46ECA647-C00F-4E7F-BDF7-A012CE30D675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42" name="$E$98">
            <a:extLst>
              <a:ext uri="{FF2B5EF4-FFF2-40B4-BE49-F238E27FC236}">
                <a16:creationId xmlns:a16="http://schemas.microsoft.com/office/drawing/2014/main" id="{7BED2DE3-D9F5-49B6-96B7-CB031677DE8B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43" name="$E$98">
            <a:extLst>
              <a:ext uri="{FF2B5EF4-FFF2-40B4-BE49-F238E27FC236}">
                <a16:creationId xmlns:a16="http://schemas.microsoft.com/office/drawing/2014/main" id="{6510FC1E-2C58-42AF-B179-BEDA625281B8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44" name="$E$98">
            <a:extLst>
              <a:ext uri="{FF2B5EF4-FFF2-40B4-BE49-F238E27FC236}">
                <a16:creationId xmlns:a16="http://schemas.microsoft.com/office/drawing/2014/main" id="{57E6D282-09CE-4353-97EF-98603D5A83F3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45" name="$E$98">
            <a:extLst>
              <a:ext uri="{FF2B5EF4-FFF2-40B4-BE49-F238E27FC236}">
                <a16:creationId xmlns:a16="http://schemas.microsoft.com/office/drawing/2014/main" id="{F7D07A16-9F13-485E-8FB5-E1AD2AB8B720}"/>
              </a:ext>
            </a:extLst>
          </xdr:cNvPr>
          <xdr:cNvSpPr/>
        </xdr:nvSpPr>
        <xdr:spPr>
          <a:xfrm>
            <a:off x="266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46" name="$E$98">
            <a:extLst>
              <a:ext uri="{FF2B5EF4-FFF2-40B4-BE49-F238E27FC236}">
                <a16:creationId xmlns:a16="http://schemas.microsoft.com/office/drawing/2014/main" id="{95A09327-F122-4013-A86E-1CB438DF2438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47" name="$E$98">
            <a:extLst>
              <a:ext uri="{FF2B5EF4-FFF2-40B4-BE49-F238E27FC236}">
                <a16:creationId xmlns:a16="http://schemas.microsoft.com/office/drawing/2014/main" id="{F614C291-15A0-4000-810F-3EA01DEAEE3E}"/>
              </a:ext>
            </a:extLst>
          </xdr:cNvPr>
          <xdr:cNvSpPr/>
        </xdr:nvSpPr>
        <xdr:spPr>
          <a:xfrm>
            <a:off x="342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48" name="$E$98">
            <a:extLst>
              <a:ext uri="{FF2B5EF4-FFF2-40B4-BE49-F238E27FC236}">
                <a16:creationId xmlns:a16="http://schemas.microsoft.com/office/drawing/2014/main" id="{E237B175-E18F-4E20-9E30-BEA0018C826F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49" name="$E$98">
            <a:extLst>
              <a:ext uri="{FF2B5EF4-FFF2-40B4-BE49-F238E27FC236}">
                <a16:creationId xmlns:a16="http://schemas.microsoft.com/office/drawing/2014/main" id="{C137B830-37F2-4397-9549-5B0EF2110548}"/>
              </a:ext>
            </a:extLst>
          </xdr:cNvPr>
          <xdr:cNvSpPr/>
        </xdr:nvSpPr>
        <xdr:spPr>
          <a:xfrm>
            <a:off x="406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50" name="$E$98">
            <a:extLst>
              <a:ext uri="{FF2B5EF4-FFF2-40B4-BE49-F238E27FC236}">
                <a16:creationId xmlns:a16="http://schemas.microsoft.com/office/drawing/2014/main" id="{F722C7B5-5488-4828-A731-69FDB8F85CB8}"/>
              </a:ext>
            </a:extLst>
          </xdr:cNvPr>
          <xdr:cNvSpPr/>
        </xdr:nvSpPr>
        <xdr:spPr>
          <a:xfrm>
            <a:off x="431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51" name="$E$98">
            <a:extLst>
              <a:ext uri="{FF2B5EF4-FFF2-40B4-BE49-F238E27FC236}">
                <a16:creationId xmlns:a16="http://schemas.microsoft.com/office/drawing/2014/main" id="{E0166336-0F2F-43BA-B6F3-724C9E561D57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52" name="$E$98">
            <a:extLst>
              <a:ext uri="{FF2B5EF4-FFF2-40B4-BE49-F238E27FC236}">
                <a16:creationId xmlns:a16="http://schemas.microsoft.com/office/drawing/2014/main" id="{3251B992-BF05-473C-B5CF-0DF63DE95F66}"/>
              </a:ext>
            </a:extLst>
          </xdr:cNvPr>
          <xdr:cNvSpPr/>
        </xdr:nvSpPr>
        <xdr:spPr>
          <a:xfrm>
            <a:off x="12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53" name="$E$98">
            <a:extLst>
              <a:ext uri="{FF2B5EF4-FFF2-40B4-BE49-F238E27FC236}">
                <a16:creationId xmlns:a16="http://schemas.microsoft.com/office/drawing/2014/main" id="{CB49D90D-3144-420C-8747-2CEE98AED887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54" name="$E$98">
            <a:extLst>
              <a:ext uri="{FF2B5EF4-FFF2-40B4-BE49-F238E27FC236}">
                <a16:creationId xmlns:a16="http://schemas.microsoft.com/office/drawing/2014/main" id="{4FC7C7FC-AD85-40DE-B99F-86EF21E29E95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55" name="$E$98">
            <a:extLst>
              <a:ext uri="{FF2B5EF4-FFF2-40B4-BE49-F238E27FC236}">
                <a16:creationId xmlns:a16="http://schemas.microsoft.com/office/drawing/2014/main" id="{36611D1D-5463-4BF0-B4CD-FA85A62D5198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56" name="$E$98">
            <a:extLst>
              <a:ext uri="{FF2B5EF4-FFF2-40B4-BE49-F238E27FC236}">
                <a16:creationId xmlns:a16="http://schemas.microsoft.com/office/drawing/2014/main" id="{16914B4E-A56F-4719-BFC1-86DE716A3681}"/>
              </a:ext>
            </a:extLst>
          </xdr:cNvPr>
          <xdr:cNvSpPr/>
        </xdr:nvSpPr>
        <xdr:spPr>
          <a:xfrm>
            <a:off x="63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57" name="$E$98">
            <a:extLst>
              <a:ext uri="{FF2B5EF4-FFF2-40B4-BE49-F238E27FC236}">
                <a16:creationId xmlns:a16="http://schemas.microsoft.com/office/drawing/2014/main" id="{BEC16253-08F7-4D25-A757-6AEC81CB0ED7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58" name="$E$98">
            <a:extLst>
              <a:ext uri="{FF2B5EF4-FFF2-40B4-BE49-F238E27FC236}">
                <a16:creationId xmlns:a16="http://schemas.microsoft.com/office/drawing/2014/main" id="{82B24EEE-AA9E-479C-B4E1-8AE7D167B0D3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59" name="$E$98">
            <a:extLst>
              <a:ext uri="{FF2B5EF4-FFF2-40B4-BE49-F238E27FC236}">
                <a16:creationId xmlns:a16="http://schemas.microsoft.com/office/drawing/2014/main" id="{BA2F8B84-3E02-4B90-9040-75F783F60FE7}"/>
              </a:ext>
            </a:extLst>
          </xdr:cNvPr>
          <xdr:cNvSpPr/>
        </xdr:nvSpPr>
        <xdr:spPr>
          <a:xfrm>
            <a:off x="114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60" name="$E$98">
            <a:extLst>
              <a:ext uri="{FF2B5EF4-FFF2-40B4-BE49-F238E27FC236}">
                <a16:creationId xmlns:a16="http://schemas.microsoft.com/office/drawing/2014/main" id="{7010E5CC-DA08-428B-A8CE-FABBAD18C2B2}"/>
              </a:ext>
            </a:extLst>
          </xdr:cNvPr>
          <xdr:cNvSpPr/>
        </xdr:nvSpPr>
        <xdr:spPr>
          <a:xfrm>
            <a:off x="165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61" name="$E$98">
            <a:extLst>
              <a:ext uri="{FF2B5EF4-FFF2-40B4-BE49-F238E27FC236}">
                <a16:creationId xmlns:a16="http://schemas.microsoft.com/office/drawing/2014/main" id="{676D98A3-98DF-4AA4-A64C-DCF3E7F1C0F3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62" name="$E$98">
            <a:extLst>
              <a:ext uri="{FF2B5EF4-FFF2-40B4-BE49-F238E27FC236}">
                <a16:creationId xmlns:a16="http://schemas.microsoft.com/office/drawing/2014/main" id="{A8AD4CAF-95CE-42E1-8C17-D700A67725CE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63" name="$E$98">
            <a:extLst>
              <a:ext uri="{FF2B5EF4-FFF2-40B4-BE49-F238E27FC236}">
                <a16:creationId xmlns:a16="http://schemas.microsoft.com/office/drawing/2014/main" id="{73FE415A-BF15-4CAA-8B33-48FCD76DD05A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64" name="$E$98">
            <a:extLst>
              <a:ext uri="{FF2B5EF4-FFF2-40B4-BE49-F238E27FC236}">
                <a16:creationId xmlns:a16="http://schemas.microsoft.com/office/drawing/2014/main" id="{98AB39E0-748B-46B7-8278-51F3154EDAEB}"/>
              </a:ext>
            </a:extLst>
          </xdr:cNvPr>
          <xdr:cNvSpPr/>
        </xdr:nvSpPr>
        <xdr:spPr>
          <a:xfrm>
            <a:off x="2159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65" name="$E$98">
            <a:extLst>
              <a:ext uri="{FF2B5EF4-FFF2-40B4-BE49-F238E27FC236}">
                <a16:creationId xmlns:a16="http://schemas.microsoft.com/office/drawing/2014/main" id="{9BC84396-495E-40FC-9CCE-94A90503FCA6}"/>
              </a:ext>
            </a:extLst>
          </xdr:cNvPr>
          <xdr:cNvSpPr/>
        </xdr:nvSpPr>
        <xdr:spPr>
          <a:xfrm>
            <a:off x="266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66" name="$E$98">
            <a:extLst>
              <a:ext uri="{FF2B5EF4-FFF2-40B4-BE49-F238E27FC236}">
                <a16:creationId xmlns:a16="http://schemas.microsoft.com/office/drawing/2014/main" id="{6CC881C5-A622-4848-8D16-6BF3F35E25AE}"/>
              </a:ext>
            </a:extLst>
          </xdr:cNvPr>
          <xdr:cNvSpPr/>
        </xdr:nvSpPr>
        <xdr:spPr>
          <a:xfrm>
            <a:off x="355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67" name="$E$98">
            <a:extLst>
              <a:ext uri="{FF2B5EF4-FFF2-40B4-BE49-F238E27FC236}">
                <a16:creationId xmlns:a16="http://schemas.microsoft.com/office/drawing/2014/main" id="{B9D73018-02ED-41CE-B25A-94A4B54FC74D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68" name="$E$98">
            <a:extLst>
              <a:ext uri="{FF2B5EF4-FFF2-40B4-BE49-F238E27FC236}">
                <a16:creationId xmlns:a16="http://schemas.microsoft.com/office/drawing/2014/main" id="{D0AD68B4-7B38-40DC-B32F-65F91F3D1389}"/>
              </a:ext>
            </a:extLst>
          </xdr:cNvPr>
          <xdr:cNvSpPr/>
        </xdr:nvSpPr>
        <xdr:spPr>
          <a:xfrm>
            <a:off x="406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69" name="$E$98">
            <a:extLst>
              <a:ext uri="{FF2B5EF4-FFF2-40B4-BE49-F238E27FC236}">
                <a16:creationId xmlns:a16="http://schemas.microsoft.com/office/drawing/2014/main" id="{221324CE-893F-48C5-8BD5-08006D697233}"/>
              </a:ext>
            </a:extLst>
          </xdr:cNvPr>
          <xdr:cNvSpPr/>
        </xdr:nvSpPr>
        <xdr:spPr>
          <a:xfrm>
            <a:off x="419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70" name="$E$98">
            <a:extLst>
              <a:ext uri="{FF2B5EF4-FFF2-40B4-BE49-F238E27FC236}">
                <a16:creationId xmlns:a16="http://schemas.microsoft.com/office/drawing/2014/main" id="{1BE24C56-EFC5-4996-9D92-1249C7110AE6}"/>
              </a:ext>
            </a:extLst>
          </xdr:cNvPr>
          <xdr:cNvSpPr/>
        </xdr:nvSpPr>
        <xdr:spPr>
          <a:xfrm>
            <a:off x="431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71" name="$E$98">
            <a:extLst>
              <a:ext uri="{FF2B5EF4-FFF2-40B4-BE49-F238E27FC236}">
                <a16:creationId xmlns:a16="http://schemas.microsoft.com/office/drawing/2014/main" id="{C1011799-3F0E-4201-92D6-6A3C2B427CA1}"/>
              </a:ext>
            </a:extLst>
          </xdr:cNvPr>
          <xdr:cNvSpPr/>
        </xdr:nvSpPr>
        <xdr:spPr>
          <a:xfrm>
            <a:off x="444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72" name="$E$98">
            <a:extLst>
              <a:ext uri="{FF2B5EF4-FFF2-40B4-BE49-F238E27FC236}">
                <a16:creationId xmlns:a16="http://schemas.microsoft.com/office/drawing/2014/main" id="{78C698CE-000D-4847-9462-A9A13CC2D3B6}"/>
              </a:ext>
            </a:extLst>
          </xdr:cNvPr>
          <xdr:cNvSpPr/>
        </xdr:nvSpPr>
        <xdr:spPr>
          <a:xfrm>
            <a:off x="457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73" name="$E$98">
            <a:extLst>
              <a:ext uri="{FF2B5EF4-FFF2-40B4-BE49-F238E27FC236}">
                <a16:creationId xmlns:a16="http://schemas.microsoft.com/office/drawing/2014/main" id="{492EE83D-8674-4702-B3F6-92DB68964965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74" name="$E$98">
            <a:extLst>
              <a:ext uri="{FF2B5EF4-FFF2-40B4-BE49-F238E27FC236}">
                <a16:creationId xmlns:a16="http://schemas.microsoft.com/office/drawing/2014/main" id="{ECB4D5D1-E5BF-4B33-9B14-15C37D9887AB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75" name="$E$98">
            <a:extLst>
              <a:ext uri="{FF2B5EF4-FFF2-40B4-BE49-F238E27FC236}">
                <a16:creationId xmlns:a16="http://schemas.microsoft.com/office/drawing/2014/main" id="{C90C8D84-8EAD-4E23-99A5-AE9340389950}"/>
              </a:ext>
            </a:extLst>
          </xdr:cNvPr>
          <xdr:cNvSpPr/>
        </xdr:nvSpPr>
        <xdr:spPr>
          <a:xfrm>
            <a:off x="114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76" name="$E$98">
            <a:extLst>
              <a:ext uri="{FF2B5EF4-FFF2-40B4-BE49-F238E27FC236}">
                <a16:creationId xmlns:a16="http://schemas.microsoft.com/office/drawing/2014/main" id="{C565765C-E0C3-439B-8A91-46EEDD36D5A2}"/>
              </a:ext>
            </a:extLst>
          </xdr:cNvPr>
          <xdr:cNvSpPr/>
        </xdr:nvSpPr>
        <xdr:spPr>
          <a:xfrm>
            <a:off x="127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77" name="$E$98">
            <a:extLst>
              <a:ext uri="{FF2B5EF4-FFF2-40B4-BE49-F238E27FC236}">
                <a16:creationId xmlns:a16="http://schemas.microsoft.com/office/drawing/2014/main" id="{34C36967-73F0-4158-830C-7B46202C9ED7}"/>
              </a:ext>
            </a:extLst>
          </xdr:cNvPr>
          <xdr:cNvSpPr/>
        </xdr:nvSpPr>
        <xdr:spPr>
          <a:xfrm>
            <a:off x="152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78" name="$E$98">
            <a:extLst>
              <a:ext uri="{FF2B5EF4-FFF2-40B4-BE49-F238E27FC236}">
                <a16:creationId xmlns:a16="http://schemas.microsoft.com/office/drawing/2014/main" id="{506B3012-7FA6-4AFC-8BA8-23176AD1D062}"/>
              </a:ext>
            </a:extLst>
          </xdr:cNvPr>
          <xdr:cNvSpPr/>
        </xdr:nvSpPr>
        <xdr:spPr>
          <a:xfrm>
            <a:off x="165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79" name="$E$98">
            <a:extLst>
              <a:ext uri="{FF2B5EF4-FFF2-40B4-BE49-F238E27FC236}">
                <a16:creationId xmlns:a16="http://schemas.microsoft.com/office/drawing/2014/main" id="{2AF2CB7D-6EFF-4343-AF5F-B70BC4B0F948}"/>
              </a:ext>
            </a:extLst>
          </xdr:cNvPr>
          <xdr:cNvSpPr/>
        </xdr:nvSpPr>
        <xdr:spPr>
          <a:xfrm>
            <a:off x="203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80" name="$E$98">
            <a:extLst>
              <a:ext uri="{FF2B5EF4-FFF2-40B4-BE49-F238E27FC236}">
                <a16:creationId xmlns:a16="http://schemas.microsoft.com/office/drawing/2014/main" id="{C1F98AD7-41C4-449B-924B-58F28D031B97}"/>
              </a:ext>
            </a:extLst>
          </xdr:cNvPr>
          <xdr:cNvSpPr/>
        </xdr:nvSpPr>
        <xdr:spPr>
          <a:xfrm>
            <a:off x="254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81" name="$E$98">
            <a:extLst>
              <a:ext uri="{FF2B5EF4-FFF2-40B4-BE49-F238E27FC236}">
                <a16:creationId xmlns:a16="http://schemas.microsoft.com/office/drawing/2014/main" id="{B5B9C5FD-F447-44DD-8E32-B46AC769721F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82" name="$E$98">
            <a:extLst>
              <a:ext uri="{FF2B5EF4-FFF2-40B4-BE49-F238E27FC236}">
                <a16:creationId xmlns:a16="http://schemas.microsoft.com/office/drawing/2014/main" id="{5DB61B18-4B1D-4F9D-AA89-AC995C2702ED}"/>
              </a:ext>
            </a:extLst>
          </xdr:cNvPr>
          <xdr:cNvSpPr/>
        </xdr:nvSpPr>
        <xdr:spPr>
          <a:xfrm>
            <a:off x="279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83" name="$E$98">
            <a:extLst>
              <a:ext uri="{FF2B5EF4-FFF2-40B4-BE49-F238E27FC236}">
                <a16:creationId xmlns:a16="http://schemas.microsoft.com/office/drawing/2014/main" id="{369FE6B6-9920-49E4-BFC8-25526F4286D0}"/>
              </a:ext>
            </a:extLst>
          </xdr:cNvPr>
          <xdr:cNvSpPr/>
        </xdr:nvSpPr>
        <xdr:spPr>
          <a:xfrm>
            <a:off x="330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84" name="$E$98">
            <a:extLst>
              <a:ext uri="{FF2B5EF4-FFF2-40B4-BE49-F238E27FC236}">
                <a16:creationId xmlns:a16="http://schemas.microsoft.com/office/drawing/2014/main" id="{1F93E09F-D747-43EA-9413-4E59AA39128B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85" name="$E$98">
            <a:extLst>
              <a:ext uri="{FF2B5EF4-FFF2-40B4-BE49-F238E27FC236}">
                <a16:creationId xmlns:a16="http://schemas.microsoft.com/office/drawing/2014/main" id="{0273211C-DD9A-4297-AB21-FD0C55F17FAC}"/>
              </a:ext>
            </a:extLst>
          </xdr:cNvPr>
          <xdr:cNvSpPr/>
        </xdr:nvSpPr>
        <xdr:spPr>
          <a:xfrm>
            <a:off x="406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86" name="$E$98">
            <a:extLst>
              <a:ext uri="{FF2B5EF4-FFF2-40B4-BE49-F238E27FC236}">
                <a16:creationId xmlns:a16="http://schemas.microsoft.com/office/drawing/2014/main" id="{B35CBCE6-AE72-4EDC-9B35-04F39572D40C}"/>
              </a:ext>
            </a:extLst>
          </xdr:cNvPr>
          <xdr:cNvSpPr/>
        </xdr:nvSpPr>
        <xdr:spPr>
          <a:xfrm>
            <a:off x="444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87" name="$E$98">
            <a:extLst>
              <a:ext uri="{FF2B5EF4-FFF2-40B4-BE49-F238E27FC236}">
                <a16:creationId xmlns:a16="http://schemas.microsoft.com/office/drawing/2014/main" id="{52E4A57B-D195-472C-B352-16AF52062F7D}"/>
              </a:ext>
            </a:extLst>
          </xdr:cNvPr>
          <xdr:cNvSpPr/>
        </xdr:nvSpPr>
        <xdr:spPr>
          <a:xfrm>
            <a:off x="457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88" name="$E$98">
            <a:extLst>
              <a:ext uri="{FF2B5EF4-FFF2-40B4-BE49-F238E27FC236}">
                <a16:creationId xmlns:a16="http://schemas.microsoft.com/office/drawing/2014/main" id="{44510939-C661-47B2-A454-2DBC5904769D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89" name="$E$98">
            <a:extLst>
              <a:ext uri="{FF2B5EF4-FFF2-40B4-BE49-F238E27FC236}">
                <a16:creationId xmlns:a16="http://schemas.microsoft.com/office/drawing/2014/main" id="{9C9D8A5E-3061-467A-A999-891162594A45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90" name="$E$98">
            <a:extLst>
              <a:ext uri="{FF2B5EF4-FFF2-40B4-BE49-F238E27FC236}">
                <a16:creationId xmlns:a16="http://schemas.microsoft.com/office/drawing/2014/main" id="{C5F6C1EA-A3E5-456B-86D8-A2625DB6BF48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91" name="$E$98">
            <a:extLst>
              <a:ext uri="{FF2B5EF4-FFF2-40B4-BE49-F238E27FC236}">
                <a16:creationId xmlns:a16="http://schemas.microsoft.com/office/drawing/2014/main" id="{E85AAAA7-BBB1-4425-BEAB-71E41B2CC0A4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92" name="$E$98">
            <a:extLst>
              <a:ext uri="{FF2B5EF4-FFF2-40B4-BE49-F238E27FC236}">
                <a16:creationId xmlns:a16="http://schemas.microsoft.com/office/drawing/2014/main" id="{EB4C5317-E6A2-4016-8AF3-4361CB976E22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93" name="$E$98">
            <a:extLst>
              <a:ext uri="{FF2B5EF4-FFF2-40B4-BE49-F238E27FC236}">
                <a16:creationId xmlns:a16="http://schemas.microsoft.com/office/drawing/2014/main" id="{5FF1DD87-4E05-4258-8964-00A45DE77053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94" name="$E$98">
            <a:extLst>
              <a:ext uri="{FF2B5EF4-FFF2-40B4-BE49-F238E27FC236}">
                <a16:creationId xmlns:a16="http://schemas.microsoft.com/office/drawing/2014/main" id="{8CA9EE08-EE57-4D6F-A584-6408F8A114C4}"/>
              </a:ext>
            </a:extLst>
          </xdr:cNvPr>
          <xdr:cNvSpPr/>
        </xdr:nvSpPr>
        <xdr:spPr>
          <a:xfrm>
            <a:off x="114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95" name="$E$98">
            <a:extLst>
              <a:ext uri="{FF2B5EF4-FFF2-40B4-BE49-F238E27FC236}">
                <a16:creationId xmlns:a16="http://schemas.microsoft.com/office/drawing/2014/main" id="{A96C6D07-99C4-4196-A9D2-9445AE5D8F52}"/>
              </a:ext>
            </a:extLst>
          </xdr:cNvPr>
          <xdr:cNvSpPr/>
        </xdr:nvSpPr>
        <xdr:spPr>
          <a:xfrm>
            <a:off x="152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96" name="$E$98">
            <a:extLst>
              <a:ext uri="{FF2B5EF4-FFF2-40B4-BE49-F238E27FC236}">
                <a16:creationId xmlns:a16="http://schemas.microsoft.com/office/drawing/2014/main" id="{8CDF12C7-16EB-41BF-B349-F98E8341A069}"/>
              </a:ext>
            </a:extLst>
          </xdr:cNvPr>
          <xdr:cNvSpPr/>
        </xdr:nvSpPr>
        <xdr:spPr>
          <a:xfrm>
            <a:off x="177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97" name="$E$98">
            <a:extLst>
              <a:ext uri="{FF2B5EF4-FFF2-40B4-BE49-F238E27FC236}">
                <a16:creationId xmlns:a16="http://schemas.microsoft.com/office/drawing/2014/main" id="{159BC4A5-0D75-4CA0-BFDF-5CB759D7C059}"/>
              </a:ext>
            </a:extLst>
          </xdr:cNvPr>
          <xdr:cNvSpPr/>
        </xdr:nvSpPr>
        <xdr:spPr>
          <a:xfrm>
            <a:off x="190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98" name="$E$98">
            <a:extLst>
              <a:ext uri="{FF2B5EF4-FFF2-40B4-BE49-F238E27FC236}">
                <a16:creationId xmlns:a16="http://schemas.microsoft.com/office/drawing/2014/main" id="{1556BDBC-0F53-4B49-8923-DA08FA5E6C71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99" name="$E$98">
            <a:extLst>
              <a:ext uri="{FF2B5EF4-FFF2-40B4-BE49-F238E27FC236}">
                <a16:creationId xmlns:a16="http://schemas.microsoft.com/office/drawing/2014/main" id="{591A7F89-6138-49AC-978A-C42758F19093}"/>
              </a:ext>
            </a:extLst>
          </xdr:cNvPr>
          <xdr:cNvSpPr/>
        </xdr:nvSpPr>
        <xdr:spPr>
          <a:xfrm>
            <a:off x="241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00" name="$E$98">
            <a:extLst>
              <a:ext uri="{FF2B5EF4-FFF2-40B4-BE49-F238E27FC236}">
                <a16:creationId xmlns:a16="http://schemas.microsoft.com/office/drawing/2014/main" id="{54B05651-A1AD-4CE5-8761-8D0D503E1492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01" name="$E$98">
            <a:extLst>
              <a:ext uri="{FF2B5EF4-FFF2-40B4-BE49-F238E27FC236}">
                <a16:creationId xmlns:a16="http://schemas.microsoft.com/office/drawing/2014/main" id="{8C05C8DB-38AF-41A8-A8F6-F54F1CECD74B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02" name="$E$98">
            <a:extLst>
              <a:ext uri="{FF2B5EF4-FFF2-40B4-BE49-F238E27FC236}">
                <a16:creationId xmlns:a16="http://schemas.microsoft.com/office/drawing/2014/main" id="{3AF1486F-8AF0-4690-AB4D-97DF4A88C798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03" name="$E$98">
            <a:extLst>
              <a:ext uri="{FF2B5EF4-FFF2-40B4-BE49-F238E27FC236}">
                <a16:creationId xmlns:a16="http://schemas.microsoft.com/office/drawing/2014/main" id="{D284030B-277F-4AA8-9A54-3315955B4135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04" name="$E$98">
            <a:extLst>
              <a:ext uri="{FF2B5EF4-FFF2-40B4-BE49-F238E27FC236}">
                <a16:creationId xmlns:a16="http://schemas.microsoft.com/office/drawing/2014/main" id="{5E021443-B11C-473C-83E9-6F47A73BD88E}"/>
              </a:ext>
            </a:extLst>
          </xdr:cNvPr>
          <xdr:cNvSpPr/>
        </xdr:nvSpPr>
        <xdr:spPr>
          <a:xfrm>
            <a:off x="330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05" name="$E$98">
            <a:extLst>
              <a:ext uri="{FF2B5EF4-FFF2-40B4-BE49-F238E27FC236}">
                <a16:creationId xmlns:a16="http://schemas.microsoft.com/office/drawing/2014/main" id="{67B54011-3FFC-4876-8134-094002D52F48}"/>
              </a:ext>
            </a:extLst>
          </xdr:cNvPr>
          <xdr:cNvSpPr/>
        </xdr:nvSpPr>
        <xdr:spPr>
          <a:xfrm>
            <a:off x="342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06" name="$E$98">
            <a:extLst>
              <a:ext uri="{FF2B5EF4-FFF2-40B4-BE49-F238E27FC236}">
                <a16:creationId xmlns:a16="http://schemas.microsoft.com/office/drawing/2014/main" id="{F19D3152-D04D-4CA8-BF18-13E75842DA46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07" name="$E$98">
            <a:extLst>
              <a:ext uri="{FF2B5EF4-FFF2-40B4-BE49-F238E27FC236}">
                <a16:creationId xmlns:a16="http://schemas.microsoft.com/office/drawing/2014/main" id="{CC957560-CC0C-42C3-8C27-0A20080C5ED6}"/>
              </a:ext>
            </a:extLst>
          </xdr:cNvPr>
          <xdr:cNvSpPr/>
        </xdr:nvSpPr>
        <xdr:spPr>
          <a:xfrm>
            <a:off x="368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08" name="$E$98">
            <a:extLst>
              <a:ext uri="{FF2B5EF4-FFF2-40B4-BE49-F238E27FC236}">
                <a16:creationId xmlns:a16="http://schemas.microsoft.com/office/drawing/2014/main" id="{85FF6AF0-2AB7-48DC-801A-3A76E682E799}"/>
              </a:ext>
            </a:extLst>
          </xdr:cNvPr>
          <xdr:cNvSpPr/>
        </xdr:nvSpPr>
        <xdr:spPr>
          <a:xfrm>
            <a:off x="381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09" name="$E$98">
            <a:extLst>
              <a:ext uri="{FF2B5EF4-FFF2-40B4-BE49-F238E27FC236}">
                <a16:creationId xmlns:a16="http://schemas.microsoft.com/office/drawing/2014/main" id="{1E0EBE33-0604-408C-A652-638F48CA409B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10" name="$E$98">
            <a:extLst>
              <a:ext uri="{FF2B5EF4-FFF2-40B4-BE49-F238E27FC236}">
                <a16:creationId xmlns:a16="http://schemas.microsoft.com/office/drawing/2014/main" id="{8B912881-A5AF-4939-9498-B6523A1A5793}"/>
              </a:ext>
            </a:extLst>
          </xdr:cNvPr>
          <xdr:cNvSpPr/>
        </xdr:nvSpPr>
        <xdr:spPr>
          <a:xfrm>
            <a:off x="406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11" name="$E$98">
            <a:extLst>
              <a:ext uri="{FF2B5EF4-FFF2-40B4-BE49-F238E27FC236}">
                <a16:creationId xmlns:a16="http://schemas.microsoft.com/office/drawing/2014/main" id="{D2649301-41D8-4E35-9262-73388EFB2C4E}"/>
              </a:ext>
            </a:extLst>
          </xdr:cNvPr>
          <xdr:cNvSpPr/>
        </xdr:nvSpPr>
        <xdr:spPr>
          <a:xfrm>
            <a:off x="431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12" name="$E$98">
            <a:extLst>
              <a:ext uri="{FF2B5EF4-FFF2-40B4-BE49-F238E27FC236}">
                <a16:creationId xmlns:a16="http://schemas.microsoft.com/office/drawing/2014/main" id="{DF2C3954-3399-4160-8518-15311699DC0C}"/>
              </a:ext>
            </a:extLst>
          </xdr:cNvPr>
          <xdr:cNvSpPr/>
        </xdr:nvSpPr>
        <xdr:spPr>
          <a:xfrm>
            <a:off x="444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13" name="$E$98">
            <a:extLst>
              <a:ext uri="{FF2B5EF4-FFF2-40B4-BE49-F238E27FC236}">
                <a16:creationId xmlns:a16="http://schemas.microsoft.com/office/drawing/2014/main" id="{9175C74A-2B08-4A9E-B81C-B2FEB0D0F4BD}"/>
              </a:ext>
            </a:extLst>
          </xdr:cNvPr>
          <xdr:cNvSpPr/>
        </xdr:nvSpPr>
        <xdr:spPr>
          <a:xfrm>
            <a:off x="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14" name="$E$98">
            <a:extLst>
              <a:ext uri="{FF2B5EF4-FFF2-40B4-BE49-F238E27FC236}">
                <a16:creationId xmlns:a16="http://schemas.microsoft.com/office/drawing/2014/main" id="{2ED70E75-186B-4E45-961F-438E3408544C}"/>
              </a:ext>
            </a:extLst>
          </xdr:cNvPr>
          <xdr:cNvSpPr/>
        </xdr:nvSpPr>
        <xdr:spPr>
          <a:xfrm>
            <a:off x="25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15" name="$E$98">
            <a:extLst>
              <a:ext uri="{FF2B5EF4-FFF2-40B4-BE49-F238E27FC236}">
                <a16:creationId xmlns:a16="http://schemas.microsoft.com/office/drawing/2014/main" id="{AA687824-7690-455A-87E0-BA5602147DC7}"/>
              </a:ext>
            </a:extLst>
          </xdr:cNvPr>
          <xdr:cNvSpPr/>
        </xdr:nvSpPr>
        <xdr:spPr>
          <a:xfrm>
            <a:off x="38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16" name="$E$98">
            <a:extLst>
              <a:ext uri="{FF2B5EF4-FFF2-40B4-BE49-F238E27FC236}">
                <a16:creationId xmlns:a16="http://schemas.microsoft.com/office/drawing/2014/main" id="{61DF3BDD-AD30-47F2-B620-8B8AA1DBEB35}"/>
              </a:ext>
            </a:extLst>
          </xdr:cNvPr>
          <xdr:cNvSpPr/>
        </xdr:nvSpPr>
        <xdr:spPr>
          <a:xfrm>
            <a:off x="50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17" name="$E$98">
            <a:extLst>
              <a:ext uri="{FF2B5EF4-FFF2-40B4-BE49-F238E27FC236}">
                <a16:creationId xmlns:a16="http://schemas.microsoft.com/office/drawing/2014/main" id="{C1BDE56C-7AF0-4297-B260-3D95671C7B66}"/>
              </a:ext>
            </a:extLst>
          </xdr:cNvPr>
          <xdr:cNvSpPr/>
        </xdr:nvSpPr>
        <xdr:spPr>
          <a:xfrm>
            <a:off x="76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18" name="$E$98">
            <a:extLst>
              <a:ext uri="{FF2B5EF4-FFF2-40B4-BE49-F238E27FC236}">
                <a16:creationId xmlns:a16="http://schemas.microsoft.com/office/drawing/2014/main" id="{ED6E8CE7-3F44-4BAE-88EA-D340D30A6811}"/>
              </a:ext>
            </a:extLst>
          </xdr:cNvPr>
          <xdr:cNvSpPr/>
        </xdr:nvSpPr>
        <xdr:spPr>
          <a:xfrm>
            <a:off x="101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19" name="$E$98">
            <a:extLst>
              <a:ext uri="{FF2B5EF4-FFF2-40B4-BE49-F238E27FC236}">
                <a16:creationId xmlns:a16="http://schemas.microsoft.com/office/drawing/2014/main" id="{7F7B5247-26F5-4554-9176-1B0C8D212048}"/>
              </a:ext>
            </a:extLst>
          </xdr:cNvPr>
          <xdr:cNvSpPr/>
        </xdr:nvSpPr>
        <xdr:spPr>
          <a:xfrm>
            <a:off x="203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20" name="$E$98">
            <a:extLst>
              <a:ext uri="{FF2B5EF4-FFF2-40B4-BE49-F238E27FC236}">
                <a16:creationId xmlns:a16="http://schemas.microsoft.com/office/drawing/2014/main" id="{E9A5D09D-9417-48D8-9CE3-719CA5C31B51}"/>
              </a:ext>
            </a:extLst>
          </xdr:cNvPr>
          <xdr:cNvSpPr/>
        </xdr:nvSpPr>
        <xdr:spPr>
          <a:xfrm>
            <a:off x="2159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21" name="$E$98">
            <a:extLst>
              <a:ext uri="{FF2B5EF4-FFF2-40B4-BE49-F238E27FC236}">
                <a16:creationId xmlns:a16="http://schemas.microsoft.com/office/drawing/2014/main" id="{6980067B-5E74-47F7-8A52-AD8EFFF78BA7}"/>
              </a:ext>
            </a:extLst>
          </xdr:cNvPr>
          <xdr:cNvSpPr/>
        </xdr:nvSpPr>
        <xdr:spPr>
          <a:xfrm>
            <a:off x="228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22" name="$E$98">
            <a:extLst>
              <a:ext uri="{FF2B5EF4-FFF2-40B4-BE49-F238E27FC236}">
                <a16:creationId xmlns:a16="http://schemas.microsoft.com/office/drawing/2014/main" id="{FDA731E7-47BC-46CE-9AD4-D5BD2F294AD2}"/>
              </a:ext>
            </a:extLst>
          </xdr:cNvPr>
          <xdr:cNvSpPr/>
        </xdr:nvSpPr>
        <xdr:spPr>
          <a:xfrm>
            <a:off x="241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23" name="$E$98">
            <a:extLst>
              <a:ext uri="{FF2B5EF4-FFF2-40B4-BE49-F238E27FC236}">
                <a16:creationId xmlns:a16="http://schemas.microsoft.com/office/drawing/2014/main" id="{E95D8C03-089C-4766-80F8-E41C0996E56C}"/>
              </a:ext>
            </a:extLst>
          </xdr:cNvPr>
          <xdr:cNvSpPr/>
        </xdr:nvSpPr>
        <xdr:spPr>
          <a:xfrm>
            <a:off x="254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24" name="$E$98">
            <a:extLst>
              <a:ext uri="{FF2B5EF4-FFF2-40B4-BE49-F238E27FC236}">
                <a16:creationId xmlns:a16="http://schemas.microsoft.com/office/drawing/2014/main" id="{530FBE88-C2F1-4C5B-9B12-5D6C67ED50F0}"/>
              </a:ext>
            </a:extLst>
          </xdr:cNvPr>
          <xdr:cNvSpPr/>
        </xdr:nvSpPr>
        <xdr:spPr>
          <a:xfrm>
            <a:off x="292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25" name="$E$98">
            <a:extLst>
              <a:ext uri="{FF2B5EF4-FFF2-40B4-BE49-F238E27FC236}">
                <a16:creationId xmlns:a16="http://schemas.microsoft.com/office/drawing/2014/main" id="{6B4F452A-1E14-4E6E-B560-ABFFC5532003}"/>
              </a:ext>
            </a:extLst>
          </xdr:cNvPr>
          <xdr:cNvSpPr/>
        </xdr:nvSpPr>
        <xdr:spPr>
          <a:xfrm>
            <a:off x="304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26" name="$E$98">
            <a:extLst>
              <a:ext uri="{FF2B5EF4-FFF2-40B4-BE49-F238E27FC236}">
                <a16:creationId xmlns:a16="http://schemas.microsoft.com/office/drawing/2014/main" id="{4731AFB4-FED8-4BAA-948F-775265E257D7}"/>
              </a:ext>
            </a:extLst>
          </xdr:cNvPr>
          <xdr:cNvSpPr/>
        </xdr:nvSpPr>
        <xdr:spPr>
          <a:xfrm>
            <a:off x="355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27" name="$E$98">
            <a:extLst>
              <a:ext uri="{FF2B5EF4-FFF2-40B4-BE49-F238E27FC236}">
                <a16:creationId xmlns:a16="http://schemas.microsoft.com/office/drawing/2014/main" id="{B0A01EE0-4480-4286-93A6-04253AF8F560}"/>
              </a:ext>
            </a:extLst>
          </xdr:cNvPr>
          <xdr:cNvSpPr/>
        </xdr:nvSpPr>
        <xdr:spPr>
          <a:xfrm>
            <a:off x="368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28" name="$E$98">
            <a:extLst>
              <a:ext uri="{FF2B5EF4-FFF2-40B4-BE49-F238E27FC236}">
                <a16:creationId xmlns:a16="http://schemas.microsoft.com/office/drawing/2014/main" id="{3E41F1B9-360B-4757-89E2-E7798FB7ACDC}"/>
              </a:ext>
            </a:extLst>
          </xdr:cNvPr>
          <xdr:cNvSpPr/>
        </xdr:nvSpPr>
        <xdr:spPr>
          <a:xfrm>
            <a:off x="381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29" name="$E$98">
            <a:extLst>
              <a:ext uri="{FF2B5EF4-FFF2-40B4-BE49-F238E27FC236}">
                <a16:creationId xmlns:a16="http://schemas.microsoft.com/office/drawing/2014/main" id="{CD19C67D-E2E5-4306-A6EA-24E209F38300}"/>
              </a:ext>
            </a:extLst>
          </xdr:cNvPr>
          <xdr:cNvSpPr/>
        </xdr:nvSpPr>
        <xdr:spPr>
          <a:xfrm>
            <a:off x="406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30" name="$E$98">
            <a:extLst>
              <a:ext uri="{FF2B5EF4-FFF2-40B4-BE49-F238E27FC236}">
                <a16:creationId xmlns:a16="http://schemas.microsoft.com/office/drawing/2014/main" id="{8E9C3024-1A32-48DA-AE19-41FD34841088}"/>
              </a:ext>
            </a:extLst>
          </xdr:cNvPr>
          <xdr:cNvSpPr/>
        </xdr:nvSpPr>
        <xdr:spPr>
          <a:xfrm>
            <a:off x="4445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31" name="$E$98">
            <a:extLst>
              <a:ext uri="{FF2B5EF4-FFF2-40B4-BE49-F238E27FC236}">
                <a16:creationId xmlns:a16="http://schemas.microsoft.com/office/drawing/2014/main" id="{0D03AA2C-8B4B-4B4A-8860-A4E79B267B81}"/>
              </a:ext>
            </a:extLst>
          </xdr:cNvPr>
          <xdr:cNvSpPr/>
        </xdr:nvSpPr>
        <xdr:spPr>
          <a:xfrm>
            <a:off x="457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32" name="$E$98">
            <a:extLst>
              <a:ext uri="{FF2B5EF4-FFF2-40B4-BE49-F238E27FC236}">
                <a16:creationId xmlns:a16="http://schemas.microsoft.com/office/drawing/2014/main" id="{99BFE5A4-031C-4EB7-A626-E05E42B807CC}"/>
              </a:ext>
            </a:extLst>
          </xdr:cNvPr>
          <xdr:cNvSpPr/>
        </xdr:nvSpPr>
        <xdr:spPr>
          <a:xfrm>
            <a:off x="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33" name="$E$98">
            <a:extLst>
              <a:ext uri="{FF2B5EF4-FFF2-40B4-BE49-F238E27FC236}">
                <a16:creationId xmlns:a16="http://schemas.microsoft.com/office/drawing/2014/main" id="{DA8095C4-A6B4-46F0-BCEA-DA4E0D1D714D}"/>
              </a:ext>
            </a:extLst>
          </xdr:cNvPr>
          <xdr:cNvSpPr/>
        </xdr:nvSpPr>
        <xdr:spPr>
          <a:xfrm>
            <a:off x="25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34" name="$E$98">
            <a:extLst>
              <a:ext uri="{FF2B5EF4-FFF2-40B4-BE49-F238E27FC236}">
                <a16:creationId xmlns:a16="http://schemas.microsoft.com/office/drawing/2014/main" id="{C33D48F8-03CB-43C2-A029-BE9D06E192FB}"/>
              </a:ext>
            </a:extLst>
          </xdr:cNvPr>
          <xdr:cNvSpPr/>
        </xdr:nvSpPr>
        <xdr:spPr>
          <a:xfrm>
            <a:off x="38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35" name="$E$98">
            <a:extLst>
              <a:ext uri="{FF2B5EF4-FFF2-40B4-BE49-F238E27FC236}">
                <a16:creationId xmlns:a16="http://schemas.microsoft.com/office/drawing/2014/main" id="{A9DB7ACF-CD28-4A3E-ADCB-5F34A4980E48}"/>
              </a:ext>
            </a:extLst>
          </xdr:cNvPr>
          <xdr:cNvSpPr/>
        </xdr:nvSpPr>
        <xdr:spPr>
          <a:xfrm>
            <a:off x="50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36" name="$E$98">
            <a:extLst>
              <a:ext uri="{FF2B5EF4-FFF2-40B4-BE49-F238E27FC236}">
                <a16:creationId xmlns:a16="http://schemas.microsoft.com/office/drawing/2014/main" id="{B99D9B45-9647-4360-A0AB-8EA8E8CAEB8A}"/>
              </a:ext>
            </a:extLst>
          </xdr:cNvPr>
          <xdr:cNvSpPr/>
        </xdr:nvSpPr>
        <xdr:spPr>
          <a:xfrm>
            <a:off x="76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37" name="$E$98">
            <a:extLst>
              <a:ext uri="{FF2B5EF4-FFF2-40B4-BE49-F238E27FC236}">
                <a16:creationId xmlns:a16="http://schemas.microsoft.com/office/drawing/2014/main" id="{D121C7F7-3A13-49A0-8746-69E900A457B9}"/>
              </a:ext>
            </a:extLst>
          </xdr:cNvPr>
          <xdr:cNvSpPr/>
        </xdr:nvSpPr>
        <xdr:spPr>
          <a:xfrm>
            <a:off x="1016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38" name="$E$98">
            <a:extLst>
              <a:ext uri="{FF2B5EF4-FFF2-40B4-BE49-F238E27FC236}">
                <a16:creationId xmlns:a16="http://schemas.microsoft.com/office/drawing/2014/main" id="{B8ED9AD8-A7B3-4CF8-ADFB-B73CE0CB5B42}"/>
              </a:ext>
            </a:extLst>
          </xdr:cNvPr>
          <xdr:cNvSpPr/>
        </xdr:nvSpPr>
        <xdr:spPr>
          <a:xfrm>
            <a:off x="1143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39" name="$E$98">
            <a:extLst>
              <a:ext uri="{FF2B5EF4-FFF2-40B4-BE49-F238E27FC236}">
                <a16:creationId xmlns:a16="http://schemas.microsoft.com/office/drawing/2014/main" id="{3F995CBC-DE01-438A-B00D-89927518A114}"/>
              </a:ext>
            </a:extLst>
          </xdr:cNvPr>
          <xdr:cNvSpPr/>
        </xdr:nvSpPr>
        <xdr:spPr>
          <a:xfrm>
            <a:off x="139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40" name="$E$98">
            <a:extLst>
              <a:ext uri="{FF2B5EF4-FFF2-40B4-BE49-F238E27FC236}">
                <a16:creationId xmlns:a16="http://schemas.microsoft.com/office/drawing/2014/main" id="{50D5379B-2A4D-4CC1-AC58-533483EB3F99}"/>
              </a:ext>
            </a:extLst>
          </xdr:cNvPr>
          <xdr:cNvSpPr/>
        </xdr:nvSpPr>
        <xdr:spPr>
          <a:xfrm>
            <a:off x="152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41" name="$E$98">
            <a:extLst>
              <a:ext uri="{FF2B5EF4-FFF2-40B4-BE49-F238E27FC236}">
                <a16:creationId xmlns:a16="http://schemas.microsoft.com/office/drawing/2014/main" id="{6D5880DD-4B15-4883-A4BD-FA984ABC6FBA}"/>
              </a:ext>
            </a:extLst>
          </xdr:cNvPr>
          <xdr:cNvSpPr/>
        </xdr:nvSpPr>
        <xdr:spPr>
          <a:xfrm>
            <a:off x="190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42" name="$E$98">
            <a:extLst>
              <a:ext uri="{FF2B5EF4-FFF2-40B4-BE49-F238E27FC236}">
                <a16:creationId xmlns:a16="http://schemas.microsoft.com/office/drawing/2014/main" id="{A211D912-B239-4BCC-9336-12B8AEFA6C8D}"/>
              </a:ext>
            </a:extLst>
          </xdr:cNvPr>
          <xdr:cNvSpPr/>
        </xdr:nvSpPr>
        <xdr:spPr>
          <a:xfrm>
            <a:off x="203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43" name="$E$98">
            <a:extLst>
              <a:ext uri="{FF2B5EF4-FFF2-40B4-BE49-F238E27FC236}">
                <a16:creationId xmlns:a16="http://schemas.microsoft.com/office/drawing/2014/main" id="{47411DE6-0A0A-459F-8F81-DF8705749EA0}"/>
              </a:ext>
            </a:extLst>
          </xdr:cNvPr>
          <xdr:cNvSpPr/>
        </xdr:nvSpPr>
        <xdr:spPr>
          <a:xfrm>
            <a:off x="254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44" name="$E$98">
            <a:extLst>
              <a:ext uri="{FF2B5EF4-FFF2-40B4-BE49-F238E27FC236}">
                <a16:creationId xmlns:a16="http://schemas.microsoft.com/office/drawing/2014/main" id="{CC0B4799-8D95-4319-B728-5BC7BD0048FD}"/>
              </a:ext>
            </a:extLst>
          </xdr:cNvPr>
          <xdr:cNvSpPr/>
        </xdr:nvSpPr>
        <xdr:spPr>
          <a:xfrm>
            <a:off x="279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45" name="$E$98">
            <a:extLst>
              <a:ext uri="{FF2B5EF4-FFF2-40B4-BE49-F238E27FC236}">
                <a16:creationId xmlns:a16="http://schemas.microsoft.com/office/drawing/2014/main" id="{09F1B1BE-4F12-4D10-BCC0-097F30251F36}"/>
              </a:ext>
            </a:extLst>
          </xdr:cNvPr>
          <xdr:cNvSpPr/>
        </xdr:nvSpPr>
        <xdr:spPr>
          <a:xfrm>
            <a:off x="330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46" name="$E$98">
            <a:extLst>
              <a:ext uri="{FF2B5EF4-FFF2-40B4-BE49-F238E27FC236}">
                <a16:creationId xmlns:a16="http://schemas.microsoft.com/office/drawing/2014/main" id="{03B1A437-3957-49D4-B619-2B064D340261}"/>
              </a:ext>
            </a:extLst>
          </xdr:cNvPr>
          <xdr:cNvSpPr/>
        </xdr:nvSpPr>
        <xdr:spPr>
          <a:xfrm>
            <a:off x="3429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47" name="$E$98">
            <a:extLst>
              <a:ext uri="{FF2B5EF4-FFF2-40B4-BE49-F238E27FC236}">
                <a16:creationId xmlns:a16="http://schemas.microsoft.com/office/drawing/2014/main" id="{539335B5-C6BF-418C-A9F3-CCF90508EBD8}"/>
              </a:ext>
            </a:extLst>
          </xdr:cNvPr>
          <xdr:cNvSpPr/>
        </xdr:nvSpPr>
        <xdr:spPr>
          <a:xfrm>
            <a:off x="393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48" name="$E$98">
            <a:extLst>
              <a:ext uri="{FF2B5EF4-FFF2-40B4-BE49-F238E27FC236}">
                <a16:creationId xmlns:a16="http://schemas.microsoft.com/office/drawing/2014/main" id="{0FF5BF17-53E6-4396-9B9F-B1739E281D26}"/>
              </a:ext>
            </a:extLst>
          </xdr:cNvPr>
          <xdr:cNvSpPr/>
        </xdr:nvSpPr>
        <xdr:spPr>
          <a:xfrm>
            <a:off x="419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49" name="$E$98">
            <a:extLst>
              <a:ext uri="{FF2B5EF4-FFF2-40B4-BE49-F238E27FC236}">
                <a16:creationId xmlns:a16="http://schemas.microsoft.com/office/drawing/2014/main" id="{B113B271-8BDA-4693-B5D3-0FF893FE102C}"/>
              </a:ext>
            </a:extLst>
          </xdr:cNvPr>
          <xdr:cNvSpPr/>
        </xdr:nvSpPr>
        <xdr:spPr>
          <a:xfrm>
            <a:off x="444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50" name="$E$98">
            <a:extLst>
              <a:ext uri="{FF2B5EF4-FFF2-40B4-BE49-F238E27FC236}">
                <a16:creationId xmlns:a16="http://schemas.microsoft.com/office/drawing/2014/main" id="{1D256918-C8FB-486E-A989-A6795FE93670}"/>
              </a:ext>
            </a:extLst>
          </xdr:cNvPr>
          <xdr:cNvSpPr/>
        </xdr:nvSpPr>
        <xdr:spPr>
          <a:xfrm>
            <a:off x="457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51" name="$E$98">
            <a:extLst>
              <a:ext uri="{FF2B5EF4-FFF2-40B4-BE49-F238E27FC236}">
                <a16:creationId xmlns:a16="http://schemas.microsoft.com/office/drawing/2014/main" id="{48CB4ABA-FA55-4A96-855D-1F8FA9120CCA}"/>
              </a:ext>
            </a:extLst>
          </xdr:cNvPr>
          <xdr:cNvSpPr/>
        </xdr:nvSpPr>
        <xdr:spPr>
          <a:xfrm>
            <a:off x="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52" name="$E$98">
            <a:extLst>
              <a:ext uri="{FF2B5EF4-FFF2-40B4-BE49-F238E27FC236}">
                <a16:creationId xmlns:a16="http://schemas.microsoft.com/office/drawing/2014/main" id="{B8C790CF-1475-4E73-9F59-EBE3C17C7C0C}"/>
              </a:ext>
            </a:extLst>
          </xdr:cNvPr>
          <xdr:cNvSpPr/>
        </xdr:nvSpPr>
        <xdr:spPr>
          <a:xfrm>
            <a:off x="76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53" name="$E$98">
            <a:extLst>
              <a:ext uri="{FF2B5EF4-FFF2-40B4-BE49-F238E27FC236}">
                <a16:creationId xmlns:a16="http://schemas.microsoft.com/office/drawing/2014/main" id="{CD7DC732-0ED9-437C-B162-5CA54B4F969E}"/>
              </a:ext>
            </a:extLst>
          </xdr:cNvPr>
          <xdr:cNvSpPr/>
        </xdr:nvSpPr>
        <xdr:spPr>
          <a:xfrm>
            <a:off x="101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54" name="$E$98">
            <a:extLst>
              <a:ext uri="{FF2B5EF4-FFF2-40B4-BE49-F238E27FC236}">
                <a16:creationId xmlns:a16="http://schemas.microsoft.com/office/drawing/2014/main" id="{043D3C21-15A0-4933-85E9-4E1026092E08}"/>
              </a:ext>
            </a:extLst>
          </xdr:cNvPr>
          <xdr:cNvSpPr/>
        </xdr:nvSpPr>
        <xdr:spPr>
          <a:xfrm>
            <a:off x="1143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55" name="$E$98">
            <a:extLst>
              <a:ext uri="{FF2B5EF4-FFF2-40B4-BE49-F238E27FC236}">
                <a16:creationId xmlns:a16="http://schemas.microsoft.com/office/drawing/2014/main" id="{FC7914A0-13A3-4BA4-9ABC-D13051BC874C}"/>
              </a:ext>
            </a:extLst>
          </xdr:cNvPr>
          <xdr:cNvSpPr/>
        </xdr:nvSpPr>
        <xdr:spPr>
          <a:xfrm>
            <a:off x="1397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56" name="$E$98">
            <a:extLst>
              <a:ext uri="{FF2B5EF4-FFF2-40B4-BE49-F238E27FC236}">
                <a16:creationId xmlns:a16="http://schemas.microsoft.com/office/drawing/2014/main" id="{2E638C58-1CB5-458B-8E7C-F9D9C63C81E0}"/>
              </a:ext>
            </a:extLst>
          </xdr:cNvPr>
          <xdr:cNvSpPr/>
        </xdr:nvSpPr>
        <xdr:spPr>
          <a:xfrm>
            <a:off x="1778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57" name="$E$98">
            <a:extLst>
              <a:ext uri="{FF2B5EF4-FFF2-40B4-BE49-F238E27FC236}">
                <a16:creationId xmlns:a16="http://schemas.microsoft.com/office/drawing/2014/main" id="{36A8D8E1-CAFA-4624-965E-13C5D92D4CDC}"/>
              </a:ext>
            </a:extLst>
          </xdr:cNvPr>
          <xdr:cNvSpPr/>
        </xdr:nvSpPr>
        <xdr:spPr>
          <a:xfrm>
            <a:off x="203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58" name="$E$98">
            <a:extLst>
              <a:ext uri="{FF2B5EF4-FFF2-40B4-BE49-F238E27FC236}">
                <a16:creationId xmlns:a16="http://schemas.microsoft.com/office/drawing/2014/main" id="{29C7302F-F997-498E-8577-F7A970911217}"/>
              </a:ext>
            </a:extLst>
          </xdr:cNvPr>
          <xdr:cNvSpPr/>
        </xdr:nvSpPr>
        <xdr:spPr>
          <a:xfrm>
            <a:off x="228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59" name="$E$98">
            <a:extLst>
              <a:ext uri="{FF2B5EF4-FFF2-40B4-BE49-F238E27FC236}">
                <a16:creationId xmlns:a16="http://schemas.microsoft.com/office/drawing/2014/main" id="{B0B70DD9-E09E-4758-A7A4-5674FE30631D}"/>
              </a:ext>
            </a:extLst>
          </xdr:cNvPr>
          <xdr:cNvSpPr/>
        </xdr:nvSpPr>
        <xdr:spPr>
          <a:xfrm>
            <a:off x="2667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60" name="$E$98">
            <a:extLst>
              <a:ext uri="{FF2B5EF4-FFF2-40B4-BE49-F238E27FC236}">
                <a16:creationId xmlns:a16="http://schemas.microsoft.com/office/drawing/2014/main" id="{EDF40367-7ED5-4B58-955C-CF6C5F1B501C}"/>
              </a:ext>
            </a:extLst>
          </xdr:cNvPr>
          <xdr:cNvSpPr/>
        </xdr:nvSpPr>
        <xdr:spPr>
          <a:xfrm>
            <a:off x="3429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61" name="$E$98">
            <a:extLst>
              <a:ext uri="{FF2B5EF4-FFF2-40B4-BE49-F238E27FC236}">
                <a16:creationId xmlns:a16="http://schemas.microsoft.com/office/drawing/2014/main" id="{21E0ADC3-F007-48F8-A9F1-403DCB1CDF5C}"/>
              </a:ext>
            </a:extLst>
          </xdr:cNvPr>
          <xdr:cNvSpPr/>
        </xdr:nvSpPr>
        <xdr:spPr>
          <a:xfrm>
            <a:off x="355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62" name="$E$98">
            <a:extLst>
              <a:ext uri="{FF2B5EF4-FFF2-40B4-BE49-F238E27FC236}">
                <a16:creationId xmlns:a16="http://schemas.microsoft.com/office/drawing/2014/main" id="{2058F043-B646-42E1-A806-D627D44D52FF}"/>
              </a:ext>
            </a:extLst>
          </xdr:cNvPr>
          <xdr:cNvSpPr/>
        </xdr:nvSpPr>
        <xdr:spPr>
          <a:xfrm>
            <a:off x="381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63" name="$E$98">
            <a:extLst>
              <a:ext uri="{FF2B5EF4-FFF2-40B4-BE49-F238E27FC236}">
                <a16:creationId xmlns:a16="http://schemas.microsoft.com/office/drawing/2014/main" id="{3C33F3E5-914B-4F4F-9ADE-DA5F9567DF12}"/>
              </a:ext>
            </a:extLst>
          </xdr:cNvPr>
          <xdr:cNvSpPr/>
        </xdr:nvSpPr>
        <xdr:spPr>
          <a:xfrm>
            <a:off x="406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64" name="$E$98">
            <a:extLst>
              <a:ext uri="{FF2B5EF4-FFF2-40B4-BE49-F238E27FC236}">
                <a16:creationId xmlns:a16="http://schemas.microsoft.com/office/drawing/2014/main" id="{AFE4E0CA-7778-47E4-8E3D-8A465187BCD4}"/>
              </a:ext>
            </a:extLst>
          </xdr:cNvPr>
          <xdr:cNvSpPr/>
        </xdr:nvSpPr>
        <xdr:spPr>
          <a:xfrm>
            <a:off x="457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65" name="$E$98">
            <a:extLst>
              <a:ext uri="{FF2B5EF4-FFF2-40B4-BE49-F238E27FC236}">
                <a16:creationId xmlns:a16="http://schemas.microsoft.com/office/drawing/2014/main" id="{9652CC6F-70AA-4763-B706-1A702D033E8F}"/>
              </a:ext>
            </a:extLst>
          </xdr:cNvPr>
          <xdr:cNvSpPr/>
        </xdr:nvSpPr>
        <xdr:spPr>
          <a:xfrm>
            <a:off x="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66" name="$E$98">
            <a:extLst>
              <a:ext uri="{FF2B5EF4-FFF2-40B4-BE49-F238E27FC236}">
                <a16:creationId xmlns:a16="http://schemas.microsoft.com/office/drawing/2014/main" id="{835153C3-1B54-48C7-8FF9-38303912C5A2}"/>
              </a:ext>
            </a:extLst>
          </xdr:cNvPr>
          <xdr:cNvSpPr/>
        </xdr:nvSpPr>
        <xdr:spPr>
          <a:xfrm>
            <a:off x="12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67" name="$E$98">
            <a:extLst>
              <a:ext uri="{FF2B5EF4-FFF2-40B4-BE49-F238E27FC236}">
                <a16:creationId xmlns:a16="http://schemas.microsoft.com/office/drawing/2014/main" id="{F112A4EF-F86F-41A4-9527-5F9377476F3D}"/>
              </a:ext>
            </a:extLst>
          </xdr:cNvPr>
          <xdr:cNvSpPr/>
        </xdr:nvSpPr>
        <xdr:spPr>
          <a:xfrm>
            <a:off x="25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68" name="$E$98">
            <a:extLst>
              <a:ext uri="{FF2B5EF4-FFF2-40B4-BE49-F238E27FC236}">
                <a16:creationId xmlns:a16="http://schemas.microsoft.com/office/drawing/2014/main" id="{2A29440B-F852-47F0-9896-768B0AFD62DE}"/>
              </a:ext>
            </a:extLst>
          </xdr:cNvPr>
          <xdr:cNvSpPr/>
        </xdr:nvSpPr>
        <xdr:spPr>
          <a:xfrm>
            <a:off x="38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69" name="$E$98">
            <a:extLst>
              <a:ext uri="{FF2B5EF4-FFF2-40B4-BE49-F238E27FC236}">
                <a16:creationId xmlns:a16="http://schemas.microsoft.com/office/drawing/2014/main" id="{DCEABB34-2136-49DA-8282-978F112288BB}"/>
              </a:ext>
            </a:extLst>
          </xdr:cNvPr>
          <xdr:cNvSpPr/>
        </xdr:nvSpPr>
        <xdr:spPr>
          <a:xfrm>
            <a:off x="50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70" name="$E$98">
            <a:extLst>
              <a:ext uri="{FF2B5EF4-FFF2-40B4-BE49-F238E27FC236}">
                <a16:creationId xmlns:a16="http://schemas.microsoft.com/office/drawing/2014/main" id="{732C0A6A-F0AC-4641-B6FD-97E5149E749B}"/>
              </a:ext>
            </a:extLst>
          </xdr:cNvPr>
          <xdr:cNvSpPr/>
        </xdr:nvSpPr>
        <xdr:spPr>
          <a:xfrm>
            <a:off x="63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71" name="$E$98">
            <a:extLst>
              <a:ext uri="{FF2B5EF4-FFF2-40B4-BE49-F238E27FC236}">
                <a16:creationId xmlns:a16="http://schemas.microsoft.com/office/drawing/2014/main" id="{BFF3688A-73F5-4093-9926-F47A61B3CFC7}"/>
              </a:ext>
            </a:extLst>
          </xdr:cNvPr>
          <xdr:cNvSpPr/>
        </xdr:nvSpPr>
        <xdr:spPr>
          <a:xfrm>
            <a:off x="76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72" name="$E$98">
            <a:extLst>
              <a:ext uri="{FF2B5EF4-FFF2-40B4-BE49-F238E27FC236}">
                <a16:creationId xmlns:a16="http://schemas.microsoft.com/office/drawing/2014/main" id="{115AF6AC-E57E-484B-AC25-F7578C094E66}"/>
              </a:ext>
            </a:extLst>
          </xdr:cNvPr>
          <xdr:cNvSpPr/>
        </xdr:nvSpPr>
        <xdr:spPr>
          <a:xfrm>
            <a:off x="101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73" name="$E$98">
            <a:extLst>
              <a:ext uri="{FF2B5EF4-FFF2-40B4-BE49-F238E27FC236}">
                <a16:creationId xmlns:a16="http://schemas.microsoft.com/office/drawing/2014/main" id="{85FAA6D7-020C-4AE9-B172-7561DD9BD684}"/>
              </a:ext>
            </a:extLst>
          </xdr:cNvPr>
          <xdr:cNvSpPr/>
        </xdr:nvSpPr>
        <xdr:spPr>
          <a:xfrm>
            <a:off x="139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74" name="$E$98">
            <a:extLst>
              <a:ext uri="{FF2B5EF4-FFF2-40B4-BE49-F238E27FC236}">
                <a16:creationId xmlns:a16="http://schemas.microsoft.com/office/drawing/2014/main" id="{BDCB85A8-D4AB-40EF-869F-95EBD6C2BE46}"/>
              </a:ext>
            </a:extLst>
          </xdr:cNvPr>
          <xdr:cNvSpPr/>
        </xdr:nvSpPr>
        <xdr:spPr>
          <a:xfrm>
            <a:off x="2159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75" name="$E$98">
            <a:extLst>
              <a:ext uri="{FF2B5EF4-FFF2-40B4-BE49-F238E27FC236}">
                <a16:creationId xmlns:a16="http://schemas.microsoft.com/office/drawing/2014/main" id="{F11017D5-3037-43C5-8F4D-A07590B20D8F}"/>
              </a:ext>
            </a:extLst>
          </xdr:cNvPr>
          <xdr:cNvSpPr/>
        </xdr:nvSpPr>
        <xdr:spPr>
          <a:xfrm>
            <a:off x="279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76" name="$E$98">
            <a:extLst>
              <a:ext uri="{FF2B5EF4-FFF2-40B4-BE49-F238E27FC236}">
                <a16:creationId xmlns:a16="http://schemas.microsoft.com/office/drawing/2014/main" id="{989C01A3-CFC1-479D-A7AC-92172F768DD0}"/>
              </a:ext>
            </a:extLst>
          </xdr:cNvPr>
          <xdr:cNvSpPr/>
        </xdr:nvSpPr>
        <xdr:spPr>
          <a:xfrm>
            <a:off x="292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77" name="$E$98">
            <a:extLst>
              <a:ext uri="{FF2B5EF4-FFF2-40B4-BE49-F238E27FC236}">
                <a16:creationId xmlns:a16="http://schemas.microsoft.com/office/drawing/2014/main" id="{71080E33-B4C7-47AE-8A4C-AD0F0F2CA215}"/>
              </a:ext>
            </a:extLst>
          </xdr:cNvPr>
          <xdr:cNvSpPr/>
        </xdr:nvSpPr>
        <xdr:spPr>
          <a:xfrm>
            <a:off x="304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78" name="$E$98">
            <a:extLst>
              <a:ext uri="{FF2B5EF4-FFF2-40B4-BE49-F238E27FC236}">
                <a16:creationId xmlns:a16="http://schemas.microsoft.com/office/drawing/2014/main" id="{926CC925-BF15-48B7-B888-CA236007E68F}"/>
              </a:ext>
            </a:extLst>
          </xdr:cNvPr>
          <xdr:cNvSpPr/>
        </xdr:nvSpPr>
        <xdr:spPr>
          <a:xfrm>
            <a:off x="317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79" name="$E$98">
            <a:extLst>
              <a:ext uri="{FF2B5EF4-FFF2-40B4-BE49-F238E27FC236}">
                <a16:creationId xmlns:a16="http://schemas.microsoft.com/office/drawing/2014/main" id="{F650A3E8-8C16-4B68-A81A-6909E7988327}"/>
              </a:ext>
            </a:extLst>
          </xdr:cNvPr>
          <xdr:cNvSpPr/>
        </xdr:nvSpPr>
        <xdr:spPr>
          <a:xfrm>
            <a:off x="330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80" name="$E$98">
            <a:extLst>
              <a:ext uri="{FF2B5EF4-FFF2-40B4-BE49-F238E27FC236}">
                <a16:creationId xmlns:a16="http://schemas.microsoft.com/office/drawing/2014/main" id="{E1977639-79FC-46A2-B4F7-FCBEF85F521A}"/>
              </a:ext>
            </a:extLst>
          </xdr:cNvPr>
          <xdr:cNvSpPr/>
        </xdr:nvSpPr>
        <xdr:spPr>
          <a:xfrm>
            <a:off x="368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81" name="$E$98">
            <a:extLst>
              <a:ext uri="{FF2B5EF4-FFF2-40B4-BE49-F238E27FC236}">
                <a16:creationId xmlns:a16="http://schemas.microsoft.com/office/drawing/2014/main" id="{CDBF1DA4-6076-43C5-8F50-CC6FF03719D7}"/>
              </a:ext>
            </a:extLst>
          </xdr:cNvPr>
          <xdr:cNvSpPr/>
        </xdr:nvSpPr>
        <xdr:spPr>
          <a:xfrm>
            <a:off x="381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82" name="$E$98">
            <a:extLst>
              <a:ext uri="{FF2B5EF4-FFF2-40B4-BE49-F238E27FC236}">
                <a16:creationId xmlns:a16="http://schemas.microsoft.com/office/drawing/2014/main" id="{D04D157A-C0B7-4A20-A2CA-FA45E669055A}"/>
              </a:ext>
            </a:extLst>
          </xdr:cNvPr>
          <xdr:cNvSpPr/>
        </xdr:nvSpPr>
        <xdr:spPr>
          <a:xfrm>
            <a:off x="431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83" name="$E$98">
            <a:extLst>
              <a:ext uri="{FF2B5EF4-FFF2-40B4-BE49-F238E27FC236}">
                <a16:creationId xmlns:a16="http://schemas.microsoft.com/office/drawing/2014/main" id="{C5C42ECB-FC42-46A4-AFAF-697C20497664}"/>
              </a:ext>
            </a:extLst>
          </xdr:cNvPr>
          <xdr:cNvSpPr/>
        </xdr:nvSpPr>
        <xdr:spPr>
          <a:xfrm>
            <a:off x="444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84" name="$E$98">
            <a:extLst>
              <a:ext uri="{FF2B5EF4-FFF2-40B4-BE49-F238E27FC236}">
                <a16:creationId xmlns:a16="http://schemas.microsoft.com/office/drawing/2014/main" id="{9BF5A9EA-9FC3-41EE-876B-6550F0BA0EED}"/>
              </a:ext>
            </a:extLst>
          </xdr:cNvPr>
          <xdr:cNvSpPr/>
        </xdr:nvSpPr>
        <xdr:spPr>
          <a:xfrm>
            <a:off x="457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93703</xdr:colOff>
      <xdr:row>124</xdr:row>
      <xdr:rowOff>41312</xdr:rowOff>
    </xdr:from>
    <xdr:to>
      <xdr:col>4</xdr:col>
      <xdr:colOff>1563647</xdr:colOff>
      <xdr:row>124</xdr:row>
      <xdr:rowOff>1511256</xdr:rowOff>
    </xdr:to>
    <xdr:grpSp>
      <xdr:nvGrpSpPr>
        <xdr:cNvPr id="4492" name="$E$125" descr="QuickResponse barcode, level L, version 5, mode binary, 37x37 cells" title="https://centrodecapacitaciondelsur.com/adm-medicamentos-canalizacion-inyectologia-1085313732/">
          <a:extLst>
            <a:ext uri="{FF2B5EF4-FFF2-40B4-BE49-F238E27FC236}">
              <a16:creationId xmlns:a16="http://schemas.microsoft.com/office/drawing/2014/main" id="{2844A74E-E8C5-4FD8-9584-58C0A4CE95EB}"/>
            </a:ext>
          </a:extLst>
        </xdr:cNvPr>
        <xdr:cNvGrpSpPr>
          <a:grpSpLocks noChangeAspect="1"/>
        </xdr:cNvGrpSpPr>
      </xdr:nvGrpSpPr>
      <xdr:grpSpPr>
        <a:xfrm>
          <a:off x="20667703" y="142306712"/>
          <a:ext cx="1469944" cy="1469944"/>
          <a:chOff x="0" y="0"/>
          <a:chExt cx="469900" cy="469900"/>
        </a:xfrm>
      </xdr:grpSpPr>
      <xdr:sp macro="" textlink="">
        <xdr:nvSpPr>
          <xdr:cNvPr id="3786" name="$E$125">
            <a:extLst>
              <a:ext uri="{FF2B5EF4-FFF2-40B4-BE49-F238E27FC236}">
                <a16:creationId xmlns:a16="http://schemas.microsoft.com/office/drawing/2014/main" id="{2C34B4E8-7E11-4F2B-922E-F77FCD85DA56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87" name="$E$125">
            <a:extLst>
              <a:ext uri="{FF2B5EF4-FFF2-40B4-BE49-F238E27FC236}">
                <a16:creationId xmlns:a16="http://schemas.microsoft.com/office/drawing/2014/main" id="{A31BD5B2-47AB-4C8E-8C80-6C89A134CAD4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88" name="$E$125">
            <a:extLst>
              <a:ext uri="{FF2B5EF4-FFF2-40B4-BE49-F238E27FC236}">
                <a16:creationId xmlns:a16="http://schemas.microsoft.com/office/drawing/2014/main" id="{6C857EFD-F51C-4663-B8CF-BDB491BC058C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89" name="$E$125">
            <a:extLst>
              <a:ext uri="{FF2B5EF4-FFF2-40B4-BE49-F238E27FC236}">
                <a16:creationId xmlns:a16="http://schemas.microsoft.com/office/drawing/2014/main" id="{5596B8C4-420F-4983-B506-C860E058982A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90" name="$E$125">
            <a:extLst>
              <a:ext uri="{FF2B5EF4-FFF2-40B4-BE49-F238E27FC236}">
                <a16:creationId xmlns:a16="http://schemas.microsoft.com/office/drawing/2014/main" id="{1DF722B2-1164-4D42-9649-C04BECE2408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91" name="$E$125">
            <a:extLst>
              <a:ext uri="{FF2B5EF4-FFF2-40B4-BE49-F238E27FC236}">
                <a16:creationId xmlns:a16="http://schemas.microsoft.com/office/drawing/2014/main" id="{5150D1D5-39B5-4682-977C-EC6A95F69768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92" name="$E$125">
            <a:extLst>
              <a:ext uri="{FF2B5EF4-FFF2-40B4-BE49-F238E27FC236}">
                <a16:creationId xmlns:a16="http://schemas.microsoft.com/office/drawing/2014/main" id="{80A0385F-DB03-420B-9C0F-7B295ACF2F44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93" name="$E$125">
            <a:extLst>
              <a:ext uri="{FF2B5EF4-FFF2-40B4-BE49-F238E27FC236}">
                <a16:creationId xmlns:a16="http://schemas.microsoft.com/office/drawing/2014/main" id="{F877D9C0-66B9-4CD5-8A43-900166AA4EE9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94" name="$E$125">
            <a:extLst>
              <a:ext uri="{FF2B5EF4-FFF2-40B4-BE49-F238E27FC236}">
                <a16:creationId xmlns:a16="http://schemas.microsoft.com/office/drawing/2014/main" id="{A088956A-F41E-4E06-A1D3-31C69E3455FF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95" name="$E$125">
            <a:extLst>
              <a:ext uri="{FF2B5EF4-FFF2-40B4-BE49-F238E27FC236}">
                <a16:creationId xmlns:a16="http://schemas.microsoft.com/office/drawing/2014/main" id="{AE4CE12C-B25C-4CF4-A480-CBDC94A846B3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96" name="$E$125">
            <a:extLst>
              <a:ext uri="{FF2B5EF4-FFF2-40B4-BE49-F238E27FC236}">
                <a16:creationId xmlns:a16="http://schemas.microsoft.com/office/drawing/2014/main" id="{322C802B-A819-4D5B-90B3-9F47B2F1044E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97" name="$E$125">
            <a:extLst>
              <a:ext uri="{FF2B5EF4-FFF2-40B4-BE49-F238E27FC236}">
                <a16:creationId xmlns:a16="http://schemas.microsoft.com/office/drawing/2014/main" id="{F9018FBF-9658-4AFE-B207-BD15F876905B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98" name="$E$125">
            <a:extLst>
              <a:ext uri="{FF2B5EF4-FFF2-40B4-BE49-F238E27FC236}">
                <a16:creationId xmlns:a16="http://schemas.microsoft.com/office/drawing/2014/main" id="{73BAC714-9932-4579-8A05-343D9851D192}"/>
              </a:ext>
            </a:extLst>
          </xdr:cNvPr>
          <xdr:cNvSpPr/>
        </xdr:nvSpPr>
        <xdr:spPr>
          <a:xfrm>
            <a:off x="266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99" name="$E$125">
            <a:extLst>
              <a:ext uri="{FF2B5EF4-FFF2-40B4-BE49-F238E27FC236}">
                <a16:creationId xmlns:a16="http://schemas.microsoft.com/office/drawing/2014/main" id="{9CE586D7-1994-45EC-A644-666F7FC03972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00" name="$E$125">
            <a:extLst>
              <a:ext uri="{FF2B5EF4-FFF2-40B4-BE49-F238E27FC236}">
                <a16:creationId xmlns:a16="http://schemas.microsoft.com/office/drawing/2014/main" id="{9EEA0064-70CE-4C4C-9B3D-D2AFA7E54643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01" name="$E$125">
            <a:extLst>
              <a:ext uri="{FF2B5EF4-FFF2-40B4-BE49-F238E27FC236}">
                <a16:creationId xmlns:a16="http://schemas.microsoft.com/office/drawing/2014/main" id="{180D6F5F-4B00-46C8-857D-D6C6B11DBD33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02" name="$E$125">
            <a:extLst>
              <a:ext uri="{FF2B5EF4-FFF2-40B4-BE49-F238E27FC236}">
                <a16:creationId xmlns:a16="http://schemas.microsoft.com/office/drawing/2014/main" id="{F7BB88E4-962A-4225-8F54-AE88061953BA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03" name="$E$125">
            <a:extLst>
              <a:ext uri="{FF2B5EF4-FFF2-40B4-BE49-F238E27FC236}">
                <a16:creationId xmlns:a16="http://schemas.microsoft.com/office/drawing/2014/main" id="{51ED3ADB-288A-4B49-AE5D-333F846E75F6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04" name="$E$125">
            <a:extLst>
              <a:ext uri="{FF2B5EF4-FFF2-40B4-BE49-F238E27FC236}">
                <a16:creationId xmlns:a16="http://schemas.microsoft.com/office/drawing/2014/main" id="{89702C3D-AF5A-4F0E-B1A1-EB8F8FBFA878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05" name="$E$125">
            <a:extLst>
              <a:ext uri="{FF2B5EF4-FFF2-40B4-BE49-F238E27FC236}">
                <a16:creationId xmlns:a16="http://schemas.microsoft.com/office/drawing/2014/main" id="{2E85D892-446B-4F63-906D-F14682A6231C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06" name="$E$125">
            <a:extLst>
              <a:ext uri="{FF2B5EF4-FFF2-40B4-BE49-F238E27FC236}">
                <a16:creationId xmlns:a16="http://schemas.microsoft.com/office/drawing/2014/main" id="{DFAB80FF-7F1B-404B-9A48-C013F8FD6708}"/>
              </a:ext>
            </a:extLst>
          </xdr:cNvPr>
          <xdr:cNvSpPr/>
        </xdr:nvSpPr>
        <xdr:spPr>
          <a:xfrm>
            <a:off x="431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07" name="$E$125">
            <a:extLst>
              <a:ext uri="{FF2B5EF4-FFF2-40B4-BE49-F238E27FC236}">
                <a16:creationId xmlns:a16="http://schemas.microsoft.com/office/drawing/2014/main" id="{038BC720-B0F2-416E-85FB-5A5E1183B9B8}"/>
              </a:ext>
            </a:extLst>
          </xdr:cNvPr>
          <xdr:cNvSpPr/>
        </xdr:nvSpPr>
        <xdr:spPr>
          <a:xfrm>
            <a:off x="444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08" name="$E$125">
            <a:extLst>
              <a:ext uri="{FF2B5EF4-FFF2-40B4-BE49-F238E27FC236}">
                <a16:creationId xmlns:a16="http://schemas.microsoft.com/office/drawing/2014/main" id="{8885AADE-3F6D-4446-A1BA-65BA1AD0F9D3}"/>
              </a:ext>
            </a:extLst>
          </xdr:cNvPr>
          <xdr:cNvSpPr/>
        </xdr:nvSpPr>
        <xdr:spPr>
          <a:xfrm>
            <a:off x="457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09" name="$E$125">
            <a:extLst>
              <a:ext uri="{FF2B5EF4-FFF2-40B4-BE49-F238E27FC236}">
                <a16:creationId xmlns:a16="http://schemas.microsoft.com/office/drawing/2014/main" id="{453D1E6A-FF29-4BCF-BC2D-ADA5E86915CD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10" name="$E$125">
            <a:extLst>
              <a:ext uri="{FF2B5EF4-FFF2-40B4-BE49-F238E27FC236}">
                <a16:creationId xmlns:a16="http://schemas.microsoft.com/office/drawing/2014/main" id="{9E28760A-9410-4C20-B9F9-F438BDDBBA7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11" name="$E$125">
            <a:extLst>
              <a:ext uri="{FF2B5EF4-FFF2-40B4-BE49-F238E27FC236}">
                <a16:creationId xmlns:a16="http://schemas.microsoft.com/office/drawing/2014/main" id="{66E95DF8-86E8-47A9-884B-BCA2D590A9FF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12" name="$E$125">
            <a:extLst>
              <a:ext uri="{FF2B5EF4-FFF2-40B4-BE49-F238E27FC236}">
                <a16:creationId xmlns:a16="http://schemas.microsoft.com/office/drawing/2014/main" id="{0586F6E6-6052-415B-ACF1-D15CB414A02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13" name="$E$125">
            <a:extLst>
              <a:ext uri="{FF2B5EF4-FFF2-40B4-BE49-F238E27FC236}">
                <a16:creationId xmlns:a16="http://schemas.microsoft.com/office/drawing/2014/main" id="{E9C2C772-EFBD-4F74-AF0C-1B221D354F12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14" name="$E$125">
            <a:extLst>
              <a:ext uri="{FF2B5EF4-FFF2-40B4-BE49-F238E27FC236}">
                <a16:creationId xmlns:a16="http://schemas.microsoft.com/office/drawing/2014/main" id="{E28CA0E5-C6BA-4B2A-8F27-8736086C107B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15" name="$E$125">
            <a:extLst>
              <a:ext uri="{FF2B5EF4-FFF2-40B4-BE49-F238E27FC236}">
                <a16:creationId xmlns:a16="http://schemas.microsoft.com/office/drawing/2014/main" id="{DC0A4313-7A46-4026-AF88-486FE1F15C62}"/>
              </a:ext>
            </a:extLst>
          </xdr:cNvPr>
          <xdr:cNvSpPr/>
        </xdr:nvSpPr>
        <xdr:spPr>
          <a:xfrm>
            <a:off x="165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16" name="$E$125">
            <a:extLst>
              <a:ext uri="{FF2B5EF4-FFF2-40B4-BE49-F238E27FC236}">
                <a16:creationId xmlns:a16="http://schemas.microsoft.com/office/drawing/2014/main" id="{9B539D71-38DC-4430-A665-01678AE98F78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17" name="$E$125">
            <a:extLst>
              <a:ext uri="{FF2B5EF4-FFF2-40B4-BE49-F238E27FC236}">
                <a16:creationId xmlns:a16="http://schemas.microsoft.com/office/drawing/2014/main" id="{CF3B6FC3-059C-40D7-B102-871A187DEAFB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18" name="$E$125">
            <a:extLst>
              <a:ext uri="{FF2B5EF4-FFF2-40B4-BE49-F238E27FC236}">
                <a16:creationId xmlns:a16="http://schemas.microsoft.com/office/drawing/2014/main" id="{799B0116-4EFD-4283-9C88-4192601E5331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19" name="$E$125">
            <a:extLst>
              <a:ext uri="{FF2B5EF4-FFF2-40B4-BE49-F238E27FC236}">
                <a16:creationId xmlns:a16="http://schemas.microsoft.com/office/drawing/2014/main" id="{9C917251-70B3-4827-BDA5-6DE02AB6731C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20" name="$E$125">
            <a:extLst>
              <a:ext uri="{FF2B5EF4-FFF2-40B4-BE49-F238E27FC236}">
                <a16:creationId xmlns:a16="http://schemas.microsoft.com/office/drawing/2014/main" id="{A0D13C72-3B5C-48C7-AC21-C8E4F61DE2D4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21" name="$E$125">
            <a:extLst>
              <a:ext uri="{FF2B5EF4-FFF2-40B4-BE49-F238E27FC236}">
                <a16:creationId xmlns:a16="http://schemas.microsoft.com/office/drawing/2014/main" id="{AA9CE088-A2B3-48BE-9E0E-8EA2A52FCBED}"/>
              </a:ext>
            </a:extLst>
          </xdr:cNvPr>
          <xdr:cNvSpPr/>
        </xdr:nvSpPr>
        <xdr:spPr>
          <a:xfrm>
            <a:off x="342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22" name="$E$125">
            <a:extLst>
              <a:ext uri="{FF2B5EF4-FFF2-40B4-BE49-F238E27FC236}">
                <a16:creationId xmlns:a16="http://schemas.microsoft.com/office/drawing/2014/main" id="{2F573EEC-07F8-49BD-ACE9-4680E96DF8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23" name="$E$125">
            <a:extLst>
              <a:ext uri="{FF2B5EF4-FFF2-40B4-BE49-F238E27FC236}">
                <a16:creationId xmlns:a16="http://schemas.microsoft.com/office/drawing/2014/main" id="{B945BC6D-CAEC-4309-9FFD-6D1C0CF550B9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24" name="$E$125">
            <a:extLst>
              <a:ext uri="{FF2B5EF4-FFF2-40B4-BE49-F238E27FC236}">
                <a16:creationId xmlns:a16="http://schemas.microsoft.com/office/drawing/2014/main" id="{1D60A59C-CF09-47FB-B8B6-ED3D63AB51DF}"/>
              </a:ext>
            </a:extLst>
          </xdr:cNvPr>
          <xdr:cNvSpPr/>
        </xdr:nvSpPr>
        <xdr:spPr>
          <a:xfrm>
            <a:off x="457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25" name="$E$125">
            <a:extLst>
              <a:ext uri="{FF2B5EF4-FFF2-40B4-BE49-F238E27FC236}">
                <a16:creationId xmlns:a16="http://schemas.microsoft.com/office/drawing/2014/main" id="{A9C78721-AADB-4964-833B-91C225CF1509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26" name="$E$125">
            <a:extLst>
              <a:ext uri="{FF2B5EF4-FFF2-40B4-BE49-F238E27FC236}">
                <a16:creationId xmlns:a16="http://schemas.microsoft.com/office/drawing/2014/main" id="{8FD6F0DE-825F-4706-A814-F0199BF979A1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27" name="$E$125">
            <a:extLst>
              <a:ext uri="{FF2B5EF4-FFF2-40B4-BE49-F238E27FC236}">
                <a16:creationId xmlns:a16="http://schemas.microsoft.com/office/drawing/2014/main" id="{1F04EB35-E0B0-42B9-B59E-4642AE2D6CF1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28" name="$E$125">
            <a:extLst>
              <a:ext uri="{FF2B5EF4-FFF2-40B4-BE49-F238E27FC236}">
                <a16:creationId xmlns:a16="http://schemas.microsoft.com/office/drawing/2014/main" id="{3DC15EBA-7E5D-4D0A-A13E-ED72435043EF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29" name="$E$125">
            <a:extLst>
              <a:ext uri="{FF2B5EF4-FFF2-40B4-BE49-F238E27FC236}">
                <a16:creationId xmlns:a16="http://schemas.microsoft.com/office/drawing/2014/main" id="{F14C764F-ED35-4F30-B4A3-599D1255DDCB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30" name="$E$125">
            <a:extLst>
              <a:ext uri="{FF2B5EF4-FFF2-40B4-BE49-F238E27FC236}">
                <a16:creationId xmlns:a16="http://schemas.microsoft.com/office/drawing/2014/main" id="{97B10F24-8FE6-447A-B9B9-A5BCE664104D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31" name="$E$125">
            <a:extLst>
              <a:ext uri="{FF2B5EF4-FFF2-40B4-BE49-F238E27FC236}">
                <a16:creationId xmlns:a16="http://schemas.microsoft.com/office/drawing/2014/main" id="{E84EA3FC-D0FB-4D71-A037-C63FBF4C8F3F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32" name="$E$125">
            <a:extLst>
              <a:ext uri="{FF2B5EF4-FFF2-40B4-BE49-F238E27FC236}">
                <a16:creationId xmlns:a16="http://schemas.microsoft.com/office/drawing/2014/main" id="{C6052340-C806-4DFC-A1AB-82F37201EF7C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33" name="$E$125">
            <a:extLst>
              <a:ext uri="{FF2B5EF4-FFF2-40B4-BE49-F238E27FC236}">
                <a16:creationId xmlns:a16="http://schemas.microsoft.com/office/drawing/2014/main" id="{7AF58D78-AFE1-42FF-BAD6-B82AA49F17EE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34" name="$E$125">
            <a:extLst>
              <a:ext uri="{FF2B5EF4-FFF2-40B4-BE49-F238E27FC236}">
                <a16:creationId xmlns:a16="http://schemas.microsoft.com/office/drawing/2014/main" id="{B1992171-2504-43AF-904A-0C30EDA87B0F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35" name="$E$125">
            <a:extLst>
              <a:ext uri="{FF2B5EF4-FFF2-40B4-BE49-F238E27FC236}">
                <a16:creationId xmlns:a16="http://schemas.microsoft.com/office/drawing/2014/main" id="{F16C3EE4-347F-451D-8CBE-F32EC3686F86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36" name="$E$125">
            <a:extLst>
              <a:ext uri="{FF2B5EF4-FFF2-40B4-BE49-F238E27FC236}">
                <a16:creationId xmlns:a16="http://schemas.microsoft.com/office/drawing/2014/main" id="{D690B476-C7E2-48AE-BCCE-4816B10D50EF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37" name="$E$125">
            <a:extLst>
              <a:ext uri="{FF2B5EF4-FFF2-40B4-BE49-F238E27FC236}">
                <a16:creationId xmlns:a16="http://schemas.microsoft.com/office/drawing/2014/main" id="{43FC3093-D06E-4C6E-A79D-A7E7029687FA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38" name="$E$125">
            <a:extLst>
              <a:ext uri="{FF2B5EF4-FFF2-40B4-BE49-F238E27FC236}">
                <a16:creationId xmlns:a16="http://schemas.microsoft.com/office/drawing/2014/main" id="{0FCBD469-C023-4D0C-9BBA-D8FD0547FDEA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39" name="$E$125">
            <a:extLst>
              <a:ext uri="{FF2B5EF4-FFF2-40B4-BE49-F238E27FC236}">
                <a16:creationId xmlns:a16="http://schemas.microsoft.com/office/drawing/2014/main" id="{A2F22290-91FD-4C99-86A7-FB6FC3CF39A2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40" name="$E$125">
            <a:extLst>
              <a:ext uri="{FF2B5EF4-FFF2-40B4-BE49-F238E27FC236}">
                <a16:creationId xmlns:a16="http://schemas.microsoft.com/office/drawing/2014/main" id="{CBFCC200-6BF7-4BF7-9D12-410E6D025B91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41" name="$E$125">
            <a:extLst>
              <a:ext uri="{FF2B5EF4-FFF2-40B4-BE49-F238E27FC236}">
                <a16:creationId xmlns:a16="http://schemas.microsoft.com/office/drawing/2014/main" id="{5947C132-82FC-4FA3-ADE4-31586CB4843A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42" name="$E$125">
            <a:extLst>
              <a:ext uri="{FF2B5EF4-FFF2-40B4-BE49-F238E27FC236}">
                <a16:creationId xmlns:a16="http://schemas.microsoft.com/office/drawing/2014/main" id="{087FD4AC-F6A9-47D8-AF2B-9677D19E35A9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43" name="$E$125">
            <a:extLst>
              <a:ext uri="{FF2B5EF4-FFF2-40B4-BE49-F238E27FC236}">
                <a16:creationId xmlns:a16="http://schemas.microsoft.com/office/drawing/2014/main" id="{EB38483A-1522-4340-8B19-F2877979B07D}"/>
              </a:ext>
            </a:extLst>
          </xdr:cNvPr>
          <xdr:cNvSpPr/>
        </xdr:nvSpPr>
        <xdr:spPr>
          <a:xfrm>
            <a:off x="419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44" name="$E$125">
            <a:extLst>
              <a:ext uri="{FF2B5EF4-FFF2-40B4-BE49-F238E27FC236}">
                <a16:creationId xmlns:a16="http://schemas.microsoft.com/office/drawing/2014/main" id="{3604A0A4-AEF3-4C43-B59D-E8EE1C64EDF5}"/>
              </a:ext>
            </a:extLst>
          </xdr:cNvPr>
          <xdr:cNvSpPr/>
        </xdr:nvSpPr>
        <xdr:spPr>
          <a:xfrm>
            <a:off x="431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45" name="$E$125">
            <a:extLst>
              <a:ext uri="{FF2B5EF4-FFF2-40B4-BE49-F238E27FC236}">
                <a16:creationId xmlns:a16="http://schemas.microsoft.com/office/drawing/2014/main" id="{F6E46396-DD38-487F-96C0-5086033FC2EF}"/>
              </a:ext>
            </a:extLst>
          </xdr:cNvPr>
          <xdr:cNvSpPr/>
        </xdr:nvSpPr>
        <xdr:spPr>
          <a:xfrm>
            <a:off x="457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46" name="$E$125">
            <a:extLst>
              <a:ext uri="{FF2B5EF4-FFF2-40B4-BE49-F238E27FC236}">
                <a16:creationId xmlns:a16="http://schemas.microsoft.com/office/drawing/2014/main" id="{128569C3-F495-4763-A1F9-8F8B5B27EF64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47" name="$E$125">
            <a:extLst>
              <a:ext uri="{FF2B5EF4-FFF2-40B4-BE49-F238E27FC236}">
                <a16:creationId xmlns:a16="http://schemas.microsoft.com/office/drawing/2014/main" id="{47A515C3-E6E0-4664-8198-4AE9E0376F69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48" name="$E$125">
            <a:extLst>
              <a:ext uri="{FF2B5EF4-FFF2-40B4-BE49-F238E27FC236}">
                <a16:creationId xmlns:a16="http://schemas.microsoft.com/office/drawing/2014/main" id="{6E8AC1A4-B6D5-431A-B2CF-92DE9FE67845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49" name="$E$125">
            <a:extLst>
              <a:ext uri="{FF2B5EF4-FFF2-40B4-BE49-F238E27FC236}">
                <a16:creationId xmlns:a16="http://schemas.microsoft.com/office/drawing/2014/main" id="{70717C19-E5CC-406B-9DBB-05380752A765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50" name="$E$125">
            <a:extLst>
              <a:ext uri="{FF2B5EF4-FFF2-40B4-BE49-F238E27FC236}">
                <a16:creationId xmlns:a16="http://schemas.microsoft.com/office/drawing/2014/main" id="{F97E6F6F-231F-46E3-909C-5EC6A967F09F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51" name="$E$125">
            <a:extLst>
              <a:ext uri="{FF2B5EF4-FFF2-40B4-BE49-F238E27FC236}">
                <a16:creationId xmlns:a16="http://schemas.microsoft.com/office/drawing/2014/main" id="{4A6BACB6-378D-45C7-AABC-5F55667A79A3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52" name="$E$125">
            <a:extLst>
              <a:ext uri="{FF2B5EF4-FFF2-40B4-BE49-F238E27FC236}">
                <a16:creationId xmlns:a16="http://schemas.microsoft.com/office/drawing/2014/main" id="{78E34D32-2175-4F21-9B26-84568F883026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53" name="$E$125">
            <a:extLst>
              <a:ext uri="{FF2B5EF4-FFF2-40B4-BE49-F238E27FC236}">
                <a16:creationId xmlns:a16="http://schemas.microsoft.com/office/drawing/2014/main" id="{D5D4BF0C-5BFF-4F1F-825E-2C030F9C39CF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54" name="$E$125">
            <a:extLst>
              <a:ext uri="{FF2B5EF4-FFF2-40B4-BE49-F238E27FC236}">
                <a16:creationId xmlns:a16="http://schemas.microsoft.com/office/drawing/2014/main" id="{B4C6371F-6EED-4F96-84B6-24B1570A4F14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55" name="$E$125">
            <a:extLst>
              <a:ext uri="{FF2B5EF4-FFF2-40B4-BE49-F238E27FC236}">
                <a16:creationId xmlns:a16="http://schemas.microsoft.com/office/drawing/2014/main" id="{A07B34CB-3E8D-4907-B025-9ED6B49EA8F4}"/>
              </a:ext>
            </a:extLst>
          </xdr:cNvPr>
          <xdr:cNvSpPr/>
        </xdr:nvSpPr>
        <xdr:spPr>
          <a:xfrm>
            <a:off x="190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56" name="$E$125">
            <a:extLst>
              <a:ext uri="{FF2B5EF4-FFF2-40B4-BE49-F238E27FC236}">
                <a16:creationId xmlns:a16="http://schemas.microsoft.com/office/drawing/2014/main" id="{D528D474-DECE-40A0-A71E-887A34DE9F06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57" name="$E$125">
            <a:extLst>
              <a:ext uri="{FF2B5EF4-FFF2-40B4-BE49-F238E27FC236}">
                <a16:creationId xmlns:a16="http://schemas.microsoft.com/office/drawing/2014/main" id="{33F664A8-0547-4DDA-B976-42780ED643A4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58" name="$E$125">
            <a:extLst>
              <a:ext uri="{FF2B5EF4-FFF2-40B4-BE49-F238E27FC236}">
                <a16:creationId xmlns:a16="http://schemas.microsoft.com/office/drawing/2014/main" id="{1AE4875B-FE4B-452B-8912-F0B81FA8EE57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59" name="$E$125">
            <a:extLst>
              <a:ext uri="{FF2B5EF4-FFF2-40B4-BE49-F238E27FC236}">
                <a16:creationId xmlns:a16="http://schemas.microsoft.com/office/drawing/2014/main" id="{0D3584FC-6C20-44D7-B4C7-CD9B895986BB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60" name="$E$125">
            <a:extLst>
              <a:ext uri="{FF2B5EF4-FFF2-40B4-BE49-F238E27FC236}">
                <a16:creationId xmlns:a16="http://schemas.microsoft.com/office/drawing/2014/main" id="{C3A9200F-BB65-4AB3-B699-0D7525A4AB6E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61" name="$E$125">
            <a:extLst>
              <a:ext uri="{FF2B5EF4-FFF2-40B4-BE49-F238E27FC236}">
                <a16:creationId xmlns:a16="http://schemas.microsoft.com/office/drawing/2014/main" id="{80BC77F9-E1F8-4FCC-9B4C-26FDB5203AE1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62" name="$E$125">
            <a:extLst>
              <a:ext uri="{FF2B5EF4-FFF2-40B4-BE49-F238E27FC236}">
                <a16:creationId xmlns:a16="http://schemas.microsoft.com/office/drawing/2014/main" id="{D0D597E5-762C-4A4E-8DC7-8198194D4B3A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63" name="$E$125">
            <a:extLst>
              <a:ext uri="{FF2B5EF4-FFF2-40B4-BE49-F238E27FC236}">
                <a16:creationId xmlns:a16="http://schemas.microsoft.com/office/drawing/2014/main" id="{6B580129-10E0-477F-ACD2-BCF8A881E116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64" name="$E$125">
            <a:extLst>
              <a:ext uri="{FF2B5EF4-FFF2-40B4-BE49-F238E27FC236}">
                <a16:creationId xmlns:a16="http://schemas.microsoft.com/office/drawing/2014/main" id="{CB02D548-A1E1-463A-9373-123385B676BA}"/>
              </a:ext>
            </a:extLst>
          </xdr:cNvPr>
          <xdr:cNvSpPr/>
        </xdr:nvSpPr>
        <xdr:spPr>
          <a:xfrm>
            <a:off x="342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65" name="$E$125">
            <a:extLst>
              <a:ext uri="{FF2B5EF4-FFF2-40B4-BE49-F238E27FC236}">
                <a16:creationId xmlns:a16="http://schemas.microsoft.com/office/drawing/2014/main" id="{4E894F0F-1A95-49FD-8EE6-760BD46F894A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66" name="$E$125">
            <a:extLst>
              <a:ext uri="{FF2B5EF4-FFF2-40B4-BE49-F238E27FC236}">
                <a16:creationId xmlns:a16="http://schemas.microsoft.com/office/drawing/2014/main" id="{889A3DF7-779E-4E35-AA39-6FD3C9FB64D3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67" name="$E$125">
            <a:extLst>
              <a:ext uri="{FF2B5EF4-FFF2-40B4-BE49-F238E27FC236}">
                <a16:creationId xmlns:a16="http://schemas.microsoft.com/office/drawing/2014/main" id="{A9691288-C5C8-42DD-8F87-65DDB3708EE8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68" name="$E$125">
            <a:extLst>
              <a:ext uri="{FF2B5EF4-FFF2-40B4-BE49-F238E27FC236}">
                <a16:creationId xmlns:a16="http://schemas.microsoft.com/office/drawing/2014/main" id="{F7AC8464-1DD5-4BA7-9940-7683D9BB4E11}"/>
              </a:ext>
            </a:extLst>
          </xdr:cNvPr>
          <xdr:cNvSpPr/>
        </xdr:nvSpPr>
        <xdr:spPr>
          <a:xfrm>
            <a:off x="419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69" name="$E$125">
            <a:extLst>
              <a:ext uri="{FF2B5EF4-FFF2-40B4-BE49-F238E27FC236}">
                <a16:creationId xmlns:a16="http://schemas.microsoft.com/office/drawing/2014/main" id="{7954B30F-25F2-4467-A086-644D43C4779E}"/>
              </a:ext>
            </a:extLst>
          </xdr:cNvPr>
          <xdr:cNvSpPr/>
        </xdr:nvSpPr>
        <xdr:spPr>
          <a:xfrm>
            <a:off x="431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70" name="$E$125">
            <a:extLst>
              <a:ext uri="{FF2B5EF4-FFF2-40B4-BE49-F238E27FC236}">
                <a16:creationId xmlns:a16="http://schemas.microsoft.com/office/drawing/2014/main" id="{31F29112-B9CF-4152-932E-7BBC99871BE2}"/>
              </a:ext>
            </a:extLst>
          </xdr:cNvPr>
          <xdr:cNvSpPr/>
        </xdr:nvSpPr>
        <xdr:spPr>
          <a:xfrm>
            <a:off x="457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71" name="$E$125">
            <a:extLst>
              <a:ext uri="{FF2B5EF4-FFF2-40B4-BE49-F238E27FC236}">
                <a16:creationId xmlns:a16="http://schemas.microsoft.com/office/drawing/2014/main" id="{71C3DBA4-AA2C-4019-9051-8E1024BF5DEB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72" name="$E$125">
            <a:extLst>
              <a:ext uri="{FF2B5EF4-FFF2-40B4-BE49-F238E27FC236}">
                <a16:creationId xmlns:a16="http://schemas.microsoft.com/office/drawing/2014/main" id="{428C5EC2-5233-4F21-831C-C935C4B08D7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73" name="$E$125">
            <a:extLst>
              <a:ext uri="{FF2B5EF4-FFF2-40B4-BE49-F238E27FC236}">
                <a16:creationId xmlns:a16="http://schemas.microsoft.com/office/drawing/2014/main" id="{DC4F15DB-8841-414A-A11B-85D37208B33A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74" name="$E$125">
            <a:extLst>
              <a:ext uri="{FF2B5EF4-FFF2-40B4-BE49-F238E27FC236}">
                <a16:creationId xmlns:a16="http://schemas.microsoft.com/office/drawing/2014/main" id="{8A4BC80B-A53C-4B1A-8B8C-B139D9EAF961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75" name="$E$125">
            <a:extLst>
              <a:ext uri="{FF2B5EF4-FFF2-40B4-BE49-F238E27FC236}">
                <a16:creationId xmlns:a16="http://schemas.microsoft.com/office/drawing/2014/main" id="{660947C7-A143-4CB1-A1EB-B0D155ED4401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76" name="$E$125">
            <a:extLst>
              <a:ext uri="{FF2B5EF4-FFF2-40B4-BE49-F238E27FC236}">
                <a16:creationId xmlns:a16="http://schemas.microsoft.com/office/drawing/2014/main" id="{19AC05EB-EA0F-4457-A2BF-9F774307C2E8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77" name="$E$125">
            <a:extLst>
              <a:ext uri="{FF2B5EF4-FFF2-40B4-BE49-F238E27FC236}">
                <a16:creationId xmlns:a16="http://schemas.microsoft.com/office/drawing/2014/main" id="{512861BD-35F3-4D5A-93B4-AA9282BE7063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78" name="$E$125">
            <a:extLst>
              <a:ext uri="{FF2B5EF4-FFF2-40B4-BE49-F238E27FC236}">
                <a16:creationId xmlns:a16="http://schemas.microsoft.com/office/drawing/2014/main" id="{70F6BBFF-F14C-4FE0-ACE4-42AA6A9200BB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79" name="$E$125">
            <a:extLst>
              <a:ext uri="{FF2B5EF4-FFF2-40B4-BE49-F238E27FC236}">
                <a16:creationId xmlns:a16="http://schemas.microsoft.com/office/drawing/2014/main" id="{EC96C103-3815-4A82-9901-8DC4D99DB6D7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80" name="$E$125">
            <a:extLst>
              <a:ext uri="{FF2B5EF4-FFF2-40B4-BE49-F238E27FC236}">
                <a16:creationId xmlns:a16="http://schemas.microsoft.com/office/drawing/2014/main" id="{F295CEF6-7055-464F-9E55-C7350F2BA97E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81" name="$E$125">
            <a:extLst>
              <a:ext uri="{FF2B5EF4-FFF2-40B4-BE49-F238E27FC236}">
                <a16:creationId xmlns:a16="http://schemas.microsoft.com/office/drawing/2014/main" id="{E1D0DA41-D645-4869-948A-1EAF5BF7E762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82" name="$E$125">
            <a:extLst>
              <a:ext uri="{FF2B5EF4-FFF2-40B4-BE49-F238E27FC236}">
                <a16:creationId xmlns:a16="http://schemas.microsoft.com/office/drawing/2014/main" id="{65F0F8CD-B98D-4A54-9959-9D2341FF08DF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83" name="$E$125">
            <a:extLst>
              <a:ext uri="{FF2B5EF4-FFF2-40B4-BE49-F238E27FC236}">
                <a16:creationId xmlns:a16="http://schemas.microsoft.com/office/drawing/2014/main" id="{8915B886-51D7-4F52-A6AC-BD290C22F584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84" name="$E$125">
            <a:extLst>
              <a:ext uri="{FF2B5EF4-FFF2-40B4-BE49-F238E27FC236}">
                <a16:creationId xmlns:a16="http://schemas.microsoft.com/office/drawing/2014/main" id="{682EBFBC-3A01-423D-9A28-BA12F4C241D1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85" name="$E$125">
            <a:extLst>
              <a:ext uri="{FF2B5EF4-FFF2-40B4-BE49-F238E27FC236}">
                <a16:creationId xmlns:a16="http://schemas.microsoft.com/office/drawing/2014/main" id="{79CA0F79-E2B1-40B8-9FEB-74F656CD2BE5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86" name="$E$125">
            <a:extLst>
              <a:ext uri="{FF2B5EF4-FFF2-40B4-BE49-F238E27FC236}">
                <a16:creationId xmlns:a16="http://schemas.microsoft.com/office/drawing/2014/main" id="{8D20B4A8-432F-4C28-9E5F-2C684E74F15C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87" name="$E$125">
            <a:extLst>
              <a:ext uri="{FF2B5EF4-FFF2-40B4-BE49-F238E27FC236}">
                <a16:creationId xmlns:a16="http://schemas.microsoft.com/office/drawing/2014/main" id="{C983376F-766B-437C-A8EF-90077D0AC92F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88" name="$E$125">
            <a:extLst>
              <a:ext uri="{FF2B5EF4-FFF2-40B4-BE49-F238E27FC236}">
                <a16:creationId xmlns:a16="http://schemas.microsoft.com/office/drawing/2014/main" id="{5213233F-20AD-4848-AC89-39DCED6EE5DB}"/>
              </a:ext>
            </a:extLst>
          </xdr:cNvPr>
          <xdr:cNvSpPr/>
        </xdr:nvSpPr>
        <xdr:spPr>
          <a:xfrm>
            <a:off x="419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89" name="$E$125">
            <a:extLst>
              <a:ext uri="{FF2B5EF4-FFF2-40B4-BE49-F238E27FC236}">
                <a16:creationId xmlns:a16="http://schemas.microsoft.com/office/drawing/2014/main" id="{B3DF5338-1E52-48BC-9329-0806E3D3F530}"/>
              </a:ext>
            </a:extLst>
          </xdr:cNvPr>
          <xdr:cNvSpPr/>
        </xdr:nvSpPr>
        <xdr:spPr>
          <a:xfrm>
            <a:off x="431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90" name="$E$125">
            <a:extLst>
              <a:ext uri="{FF2B5EF4-FFF2-40B4-BE49-F238E27FC236}">
                <a16:creationId xmlns:a16="http://schemas.microsoft.com/office/drawing/2014/main" id="{2F7812E2-081C-42F7-BE4A-5F2C5AEFA0AB}"/>
              </a:ext>
            </a:extLst>
          </xdr:cNvPr>
          <xdr:cNvSpPr/>
        </xdr:nvSpPr>
        <xdr:spPr>
          <a:xfrm>
            <a:off x="457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91" name="$E$125">
            <a:extLst>
              <a:ext uri="{FF2B5EF4-FFF2-40B4-BE49-F238E27FC236}">
                <a16:creationId xmlns:a16="http://schemas.microsoft.com/office/drawing/2014/main" id="{89F1C7BB-CABC-4443-A96E-661F2BCD14CC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92" name="$E$125">
            <a:extLst>
              <a:ext uri="{FF2B5EF4-FFF2-40B4-BE49-F238E27FC236}">
                <a16:creationId xmlns:a16="http://schemas.microsoft.com/office/drawing/2014/main" id="{A81BF6E0-FC90-4BEA-8045-FFF64AF9E0D5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93" name="$E$125">
            <a:extLst>
              <a:ext uri="{FF2B5EF4-FFF2-40B4-BE49-F238E27FC236}">
                <a16:creationId xmlns:a16="http://schemas.microsoft.com/office/drawing/2014/main" id="{D2A0D424-6577-44B0-AEB8-3CF15F9637A8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94" name="$E$125">
            <a:extLst>
              <a:ext uri="{FF2B5EF4-FFF2-40B4-BE49-F238E27FC236}">
                <a16:creationId xmlns:a16="http://schemas.microsoft.com/office/drawing/2014/main" id="{4E1E9699-7928-47A6-8904-1EA958548C05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95" name="$E$125">
            <a:extLst>
              <a:ext uri="{FF2B5EF4-FFF2-40B4-BE49-F238E27FC236}">
                <a16:creationId xmlns:a16="http://schemas.microsoft.com/office/drawing/2014/main" id="{99C8B0D3-4F1A-400F-8E75-99533451ECEF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96" name="$E$125">
            <a:extLst>
              <a:ext uri="{FF2B5EF4-FFF2-40B4-BE49-F238E27FC236}">
                <a16:creationId xmlns:a16="http://schemas.microsoft.com/office/drawing/2014/main" id="{DAC3013B-0B04-4A22-BC38-3EC98254507F}"/>
              </a:ext>
            </a:extLst>
          </xdr:cNvPr>
          <xdr:cNvSpPr/>
        </xdr:nvSpPr>
        <xdr:spPr>
          <a:xfrm>
            <a:off x="228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97" name="$E$125">
            <a:extLst>
              <a:ext uri="{FF2B5EF4-FFF2-40B4-BE49-F238E27FC236}">
                <a16:creationId xmlns:a16="http://schemas.microsoft.com/office/drawing/2014/main" id="{A4E9E42B-EADF-4F4E-B223-AB292F0D56DE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98" name="$E$125">
            <a:extLst>
              <a:ext uri="{FF2B5EF4-FFF2-40B4-BE49-F238E27FC236}">
                <a16:creationId xmlns:a16="http://schemas.microsoft.com/office/drawing/2014/main" id="{977B9DFC-CEAF-447E-8B9C-2F3467846BD8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99" name="$E$125">
            <a:extLst>
              <a:ext uri="{FF2B5EF4-FFF2-40B4-BE49-F238E27FC236}">
                <a16:creationId xmlns:a16="http://schemas.microsoft.com/office/drawing/2014/main" id="{F388591E-3385-4D6E-97B9-8DC88A6A30A9}"/>
              </a:ext>
            </a:extLst>
          </xdr:cNvPr>
          <xdr:cNvSpPr/>
        </xdr:nvSpPr>
        <xdr:spPr>
          <a:xfrm>
            <a:off x="317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00" name="$E$125">
            <a:extLst>
              <a:ext uri="{FF2B5EF4-FFF2-40B4-BE49-F238E27FC236}">
                <a16:creationId xmlns:a16="http://schemas.microsoft.com/office/drawing/2014/main" id="{E09BEB34-3F1F-4E8B-8539-61F9AFECD57F}"/>
              </a:ext>
            </a:extLst>
          </xdr:cNvPr>
          <xdr:cNvSpPr/>
        </xdr:nvSpPr>
        <xdr:spPr>
          <a:xfrm>
            <a:off x="342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01" name="$E$125">
            <a:extLst>
              <a:ext uri="{FF2B5EF4-FFF2-40B4-BE49-F238E27FC236}">
                <a16:creationId xmlns:a16="http://schemas.microsoft.com/office/drawing/2014/main" id="{C617449B-5C6E-43E5-9B69-0BE3373D5C17}"/>
              </a:ext>
            </a:extLst>
          </xdr:cNvPr>
          <xdr:cNvSpPr/>
        </xdr:nvSpPr>
        <xdr:spPr>
          <a:xfrm>
            <a:off x="381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02" name="$E$125">
            <a:extLst>
              <a:ext uri="{FF2B5EF4-FFF2-40B4-BE49-F238E27FC236}">
                <a16:creationId xmlns:a16="http://schemas.microsoft.com/office/drawing/2014/main" id="{8CD9F299-92A2-4A28-AE95-B7B89FFB67A9}"/>
              </a:ext>
            </a:extLst>
          </xdr:cNvPr>
          <xdr:cNvSpPr/>
        </xdr:nvSpPr>
        <xdr:spPr>
          <a:xfrm>
            <a:off x="457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03" name="$E$125">
            <a:extLst>
              <a:ext uri="{FF2B5EF4-FFF2-40B4-BE49-F238E27FC236}">
                <a16:creationId xmlns:a16="http://schemas.microsoft.com/office/drawing/2014/main" id="{56905D68-6AA5-4D3D-9C6B-6C6FA099B3B4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04" name="$E$125">
            <a:extLst>
              <a:ext uri="{FF2B5EF4-FFF2-40B4-BE49-F238E27FC236}">
                <a16:creationId xmlns:a16="http://schemas.microsoft.com/office/drawing/2014/main" id="{1753AE51-3C42-49D0-86B3-BBDB65CF0D33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05" name="$E$125">
            <a:extLst>
              <a:ext uri="{FF2B5EF4-FFF2-40B4-BE49-F238E27FC236}">
                <a16:creationId xmlns:a16="http://schemas.microsoft.com/office/drawing/2014/main" id="{446D7B3C-FFBC-4F5A-BDF8-3C0EDB72AF18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06" name="$E$125">
            <a:extLst>
              <a:ext uri="{FF2B5EF4-FFF2-40B4-BE49-F238E27FC236}">
                <a16:creationId xmlns:a16="http://schemas.microsoft.com/office/drawing/2014/main" id="{0DDECB4D-2630-4FFD-BD2F-31F10066F116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07" name="$E$125">
            <a:extLst>
              <a:ext uri="{FF2B5EF4-FFF2-40B4-BE49-F238E27FC236}">
                <a16:creationId xmlns:a16="http://schemas.microsoft.com/office/drawing/2014/main" id="{CE7A3C32-ED15-4321-80FB-C52F19A45F86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08" name="$E$125">
            <a:extLst>
              <a:ext uri="{FF2B5EF4-FFF2-40B4-BE49-F238E27FC236}">
                <a16:creationId xmlns:a16="http://schemas.microsoft.com/office/drawing/2014/main" id="{1CD59ECE-360C-4DED-85CC-18058CACDDD5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09" name="$E$125">
            <a:extLst>
              <a:ext uri="{FF2B5EF4-FFF2-40B4-BE49-F238E27FC236}">
                <a16:creationId xmlns:a16="http://schemas.microsoft.com/office/drawing/2014/main" id="{E612DB18-32B4-4FE1-B5A1-8029B5A51F7C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10" name="$E$125">
            <a:extLst>
              <a:ext uri="{FF2B5EF4-FFF2-40B4-BE49-F238E27FC236}">
                <a16:creationId xmlns:a16="http://schemas.microsoft.com/office/drawing/2014/main" id="{51CCEDCB-1811-40CE-AE5F-98EC0781E10C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11" name="$E$125">
            <a:extLst>
              <a:ext uri="{FF2B5EF4-FFF2-40B4-BE49-F238E27FC236}">
                <a16:creationId xmlns:a16="http://schemas.microsoft.com/office/drawing/2014/main" id="{9FDAA315-BDE2-49FF-AE7E-98D01EC9B3A9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12" name="$E$125">
            <a:extLst>
              <a:ext uri="{FF2B5EF4-FFF2-40B4-BE49-F238E27FC236}">
                <a16:creationId xmlns:a16="http://schemas.microsoft.com/office/drawing/2014/main" id="{2BF784E5-AEB4-4DE3-A105-3885BEC6CB91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13" name="$E$125">
            <a:extLst>
              <a:ext uri="{FF2B5EF4-FFF2-40B4-BE49-F238E27FC236}">
                <a16:creationId xmlns:a16="http://schemas.microsoft.com/office/drawing/2014/main" id="{07B04078-9925-4CC8-8E91-7E40FFF5C3A5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14" name="$E$125">
            <a:extLst>
              <a:ext uri="{FF2B5EF4-FFF2-40B4-BE49-F238E27FC236}">
                <a16:creationId xmlns:a16="http://schemas.microsoft.com/office/drawing/2014/main" id="{DEB9C2E3-D3D0-4308-943F-B73E1959532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15" name="$E$125">
            <a:extLst>
              <a:ext uri="{FF2B5EF4-FFF2-40B4-BE49-F238E27FC236}">
                <a16:creationId xmlns:a16="http://schemas.microsoft.com/office/drawing/2014/main" id="{9B946E3A-B2C2-4A83-9A53-226B030BF1A5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16" name="$E$125">
            <a:extLst>
              <a:ext uri="{FF2B5EF4-FFF2-40B4-BE49-F238E27FC236}">
                <a16:creationId xmlns:a16="http://schemas.microsoft.com/office/drawing/2014/main" id="{CF8C3ADD-6D9B-4583-89F4-60256473F597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17" name="$E$125">
            <a:extLst>
              <a:ext uri="{FF2B5EF4-FFF2-40B4-BE49-F238E27FC236}">
                <a16:creationId xmlns:a16="http://schemas.microsoft.com/office/drawing/2014/main" id="{C16DC6CA-F74E-427F-985D-0D5F701BB95C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18" name="$E$125">
            <a:extLst>
              <a:ext uri="{FF2B5EF4-FFF2-40B4-BE49-F238E27FC236}">
                <a16:creationId xmlns:a16="http://schemas.microsoft.com/office/drawing/2014/main" id="{0C47D63F-A09B-4CF2-970F-A3ED3DFEB59A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19" name="$E$125">
            <a:extLst>
              <a:ext uri="{FF2B5EF4-FFF2-40B4-BE49-F238E27FC236}">
                <a16:creationId xmlns:a16="http://schemas.microsoft.com/office/drawing/2014/main" id="{F9D34FEB-A426-4944-802E-C6BD6172CC42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20" name="$E$125">
            <a:extLst>
              <a:ext uri="{FF2B5EF4-FFF2-40B4-BE49-F238E27FC236}">
                <a16:creationId xmlns:a16="http://schemas.microsoft.com/office/drawing/2014/main" id="{91C20C46-F78B-4EDA-8392-F82CCBD44286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21" name="$E$125">
            <a:extLst>
              <a:ext uri="{FF2B5EF4-FFF2-40B4-BE49-F238E27FC236}">
                <a16:creationId xmlns:a16="http://schemas.microsoft.com/office/drawing/2014/main" id="{A0EF1945-4971-4FD1-ADE7-F75784BF4AD5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22" name="$E$125">
            <a:extLst>
              <a:ext uri="{FF2B5EF4-FFF2-40B4-BE49-F238E27FC236}">
                <a16:creationId xmlns:a16="http://schemas.microsoft.com/office/drawing/2014/main" id="{158860FF-342F-463E-8531-B0712BB33598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23" name="$E$125">
            <a:extLst>
              <a:ext uri="{FF2B5EF4-FFF2-40B4-BE49-F238E27FC236}">
                <a16:creationId xmlns:a16="http://schemas.microsoft.com/office/drawing/2014/main" id="{BCE52536-852B-4964-8B0B-54810BDE053C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24" name="$E$125">
            <a:extLst>
              <a:ext uri="{FF2B5EF4-FFF2-40B4-BE49-F238E27FC236}">
                <a16:creationId xmlns:a16="http://schemas.microsoft.com/office/drawing/2014/main" id="{12438770-7DB3-4C95-84B3-1B8A4FDF887C}"/>
              </a:ext>
            </a:extLst>
          </xdr:cNvPr>
          <xdr:cNvSpPr/>
        </xdr:nvSpPr>
        <xdr:spPr>
          <a:xfrm>
            <a:off x="419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25" name="$E$125">
            <a:extLst>
              <a:ext uri="{FF2B5EF4-FFF2-40B4-BE49-F238E27FC236}">
                <a16:creationId xmlns:a16="http://schemas.microsoft.com/office/drawing/2014/main" id="{F89BA2B6-4CE9-42D6-AC11-5B199DBEE0FC}"/>
              </a:ext>
            </a:extLst>
          </xdr:cNvPr>
          <xdr:cNvSpPr/>
        </xdr:nvSpPr>
        <xdr:spPr>
          <a:xfrm>
            <a:off x="431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26" name="$E$125">
            <a:extLst>
              <a:ext uri="{FF2B5EF4-FFF2-40B4-BE49-F238E27FC236}">
                <a16:creationId xmlns:a16="http://schemas.microsoft.com/office/drawing/2014/main" id="{9740D5EF-4578-4E5C-BA28-C4B851AC010F}"/>
              </a:ext>
            </a:extLst>
          </xdr:cNvPr>
          <xdr:cNvSpPr/>
        </xdr:nvSpPr>
        <xdr:spPr>
          <a:xfrm>
            <a:off x="444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27" name="$E$125">
            <a:extLst>
              <a:ext uri="{FF2B5EF4-FFF2-40B4-BE49-F238E27FC236}">
                <a16:creationId xmlns:a16="http://schemas.microsoft.com/office/drawing/2014/main" id="{A0AD9AC4-4532-4808-B39E-410BC684459E}"/>
              </a:ext>
            </a:extLst>
          </xdr:cNvPr>
          <xdr:cNvSpPr/>
        </xdr:nvSpPr>
        <xdr:spPr>
          <a:xfrm>
            <a:off x="457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28" name="$E$125">
            <a:extLst>
              <a:ext uri="{FF2B5EF4-FFF2-40B4-BE49-F238E27FC236}">
                <a16:creationId xmlns:a16="http://schemas.microsoft.com/office/drawing/2014/main" id="{D3625A79-DB76-4962-BD32-D9AE01B57F27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29" name="$E$125">
            <a:extLst>
              <a:ext uri="{FF2B5EF4-FFF2-40B4-BE49-F238E27FC236}">
                <a16:creationId xmlns:a16="http://schemas.microsoft.com/office/drawing/2014/main" id="{A2BD4205-0B47-4C62-A0C8-4E39CF9214E9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30" name="$E$125">
            <a:extLst>
              <a:ext uri="{FF2B5EF4-FFF2-40B4-BE49-F238E27FC236}">
                <a16:creationId xmlns:a16="http://schemas.microsoft.com/office/drawing/2014/main" id="{6ABF9190-A7BA-42CE-9810-294F911B63E2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31" name="$E$125">
            <a:extLst>
              <a:ext uri="{FF2B5EF4-FFF2-40B4-BE49-F238E27FC236}">
                <a16:creationId xmlns:a16="http://schemas.microsoft.com/office/drawing/2014/main" id="{9968B6EE-10A8-4DC3-83E7-D1F627E2AEF3}"/>
              </a:ext>
            </a:extLst>
          </xdr:cNvPr>
          <xdr:cNvSpPr/>
        </xdr:nvSpPr>
        <xdr:spPr>
          <a:xfrm>
            <a:off x="241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32" name="$E$125">
            <a:extLst>
              <a:ext uri="{FF2B5EF4-FFF2-40B4-BE49-F238E27FC236}">
                <a16:creationId xmlns:a16="http://schemas.microsoft.com/office/drawing/2014/main" id="{BEFE281E-DE20-40F0-BF94-7311990024BB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33" name="$E$125">
            <a:extLst>
              <a:ext uri="{FF2B5EF4-FFF2-40B4-BE49-F238E27FC236}">
                <a16:creationId xmlns:a16="http://schemas.microsoft.com/office/drawing/2014/main" id="{225DEEB1-E6EC-4EB1-A521-A0E56F4B32EF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34" name="$E$125">
            <a:extLst>
              <a:ext uri="{FF2B5EF4-FFF2-40B4-BE49-F238E27FC236}">
                <a16:creationId xmlns:a16="http://schemas.microsoft.com/office/drawing/2014/main" id="{C977EB9C-9BEC-497A-90CB-961A3C4A8B2A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35" name="$E$125">
            <a:extLst>
              <a:ext uri="{FF2B5EF4-FFF2-40B4-BE49-F238E27FC236}">
                <a16:creationId xmlns:a16="http://schemas.microsoft.com/office/drawing/2014/main" id="{4DA0E296-ABA5-417C-AC56-4B3FB0E9828E}"/>
              </a:ext>
            </a:extLst>
          </xdr:cNvPr>
          <xdr:cNvSpPr/>
        </xdr:nvSpPr>
        <xdr:spPr>
          <a:xfrm>
            <a:off x="342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36" name="$E$125">
            <a:extLst>
              <a:ext uri="{FF2B5EF4-FFF2-40B4-BE49-F238E27FC236}">
                <a16:creationId xmlns:a16="http://schemas.microsoft.com/office/drawing/2014/main" id="{32927C48-D3CB-48FB-AA2A-F25EBDC2DBB2}"/>
              </a:ext>
            </a:extLst>
          </xdr:cNvPr>
          <xdr:cNvSpPr/>
        </xdr:nvSpPr>
        <xdr:spPr>
          <a:xfrm>
            <a:off x="355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37" name="$E$125">
            <a:extLst>
              <a:ext uri="{FF2B5EF4-FFF2-40B4-BE49-F238E27FC236}">
                <a16:creationId xmlns:a16="http://schemas.microsoft.com/office/drawing/2014/main" id="{1EC72E63-E6CA-4462-8998-7F9E238742E8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38" name="$E$125">
            <a:extLst>
              <a:ext uri="{FF2B5EF4-FFF2-40B4-BE49-F238E27FC236}">
                <a16:creationId xmlns:a16="http://schemas.microsoft.com/office/drawing/2014/main" id="{351B2903-1767-4963-BF82-76853E9378D8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39" name="$E$125">
            <a:extLst>
              <a:ext uri="{FF2B5EF4-FFF2-40B4-BE49-F238E27FC236}">
                <a16:creationId xmlns:a16="http://schemas.microsoft.com/office/drawing/2014/main" id="{1CEB5997-60A2-4A7A-9F0A-EB03A7B0EB89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40" name="$E$125">
            <a:extLst>
              <a:ext uri="{FF2B5EF4-FFF2-40B4-BE49-F238E27FC236}">
                <a16:creationId xmlns:a16="http://schemas.microsoft.com/office/drawing/2014/main" id="{358C752E-3754-4207-93F7-5B70E6E3189E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41" name="$E$125">
            <a:extLst>
              <a:ext uri="{FF2B5EF4-FFF2-40B4-BE49-F238E27FC236}">
                <a16:creationId xmlns:a16="http://schemas.microsoft.com/office/drawing/2014/main" id="{B9A07C27-EE2A-4EB0-AB31-3077D53F18A6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42" name="$E$125">
            <a:extLst>
              <a:ext uri="{FF2B5EF4-FFF2-40B4-BE49-F238E27FC236}">
                <a16:creationId xmlns:a16="http://schemas.microsoft.com/office/drawing/2014/main" id="{577E67FA-A73D-4C2A-904B-943240E4052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43" name="$E$125">
            <a:extLst>
              <a:ext uri="{FF2B5EF4-FFF2-40B4-BE49-F238E27FC236}">
                <a16:creationId xmlns:a16="http://schemas.microsoft.com/office/drawing/2014/main" id="{753A8C50-7152-4E74-83E3-01D1233A7DB8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44" name="$E$125">
            <a:extLst>
              <a:ext uri="{FF2B5EF4-FFF2-40B4-BE49-F238E27FC236}">
                <a16:creationId xmlns:a16="http://schemas.microsoft.com/office/drawing/2014/main" id="{25769AAC-0692-449F-A2A5-B83B0175EA1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45" name="$E$125">
            <a:extLst>
              <a:ext uri="{FF2B5EF4-FFF2-40B4-BE49-F238E27FC236}">
                <a16:creationId xmlns:a16="http://schemas.microsoft.com/office/drawing/2014/main" id="{15E45162-273B-417C-826C-6BBF7458EEA6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46" name="$E$125">
            <a:extLst>
              <a:ext uri="{FF2B5EF4-FFF2-40B4-BE49-F238E27FC236}">
                <a16:creationId xmlns:a16="http://schemas.microsoft.com/office/drawing/2014/main" id="{C001C2A6-490F-40CF-8ECA-99795FE1FAF8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47" name="$E$125">
            <a:extLst>
              <a:ext uri="{FF2B5EF4-FFF2-40B4-BE49-F238E27FC236}">
                <a16:creationId xmlns:a16="http://schemas.microsoft.com/office/drawing/2014/main" id="{6DC28E9C-1B10-4625-A429-8E27FEF51D5D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48" name="$E$125">
            <a:extLst>
              <a:ext uri="{FF2B5EF4-FFF2-40B4-BE49-F238E27FC236}">
                <a16:creationId xmlns:a16="http://schemas.microsoft.com/office/drawing/2014/main" id="{E956BAC9-A83E-4D75-AEE1-D52BD7A24BF4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49" name="$E$125">
            <a:extLst>
              <a:ext uri="{FF2B5EF4-FFF2-40B4-BE49-F238E27FC236}">
                <a16:creationId xmlns:a16="http://schemas.microsoft.com/office/drawing/2014/main" id="{915CFDF9-C8DA-4C12-8335-41FC1E888809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50" name="$E$125">
            <a:extLst>
              <a:ext uri="{FF2B5EF4-FFF2-40B4-BE49-F238E27FC236}">
                <a16:creationId xmlns:a16="http://schemas.microsoft.com/office/drawing/2014/main" id="{35E3B303-099A-4F20-B907-B84C0FFB851A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51" name="$E$125">
            <a:extLst>
              <a:ext uri="{FF2B5EF4-FFF2-40B4-BE49-F238E27FC236}">
                <a16:creationId xmlns:a16="http://schemas.microsoft.com/office/drawing/2014/main" id="{7CE1556D-3C2D-4752-9A03-151C8E9CABC1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52" name="$E$125">
            <a:extLst>
              <a:ext uri="{FF2B5EF4-FFF2-40B4-BE49-F238E27FC236}">
                <a16:creationId xmlns:a16="http://schemas.microsoft.com/office/drawing/2014/main" id="{AB06B83F-DC13-4970-BBA8-4E4F9653215A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53" name="$E$125">
            <a:extLst>
              <a:ext uri="{FF2B5EF4-FFF2-40B4-BE49-F238E27FC236}">
                <a16:creationId xmlns:a16="http://schemas.microsoft.com/office/drawing/2014/main" id="{71B5ABF4-F864-4262-ADB8-F601DDDEEF2E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54" name="$E$125">
            <a:extLst>
              <a:ext uri="{FF2B5EF4-FFF2-40B4-BE49-F238E27FC236}">
                <a16:creationId xmlns:a16="http://schemas.microsoft.com/office/drawing/2014/main" id="{E66C7A05-8F4E-4801-9EC4-B8A1C4067199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55" name="$E$125">
            <a:extLst>
              <a:ext uri="{FF2B5EF4-FFF2-40B4-BE49-F238E27FC236}">
                <a16:creationId xmlns:a16="http://schemas.microsoft.com/office/drawing/2014/main" id="{0EBCC052-1EB2-4B93-9E67-06080921F360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56" name="$E$125">
            <a:extLst>
              <a:ext uri="{FF2B5EF4-FFF2-40B4-BE49-F238E27FC236}">
                <a16:creationId xmlns:a16="http://schemas.microsoft.com/office/drawing/2014/main" id="{98348396-EAE1-485A-BBEF-F209830703A5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57" name="$E$125">
            <a:extLst>
              <a:ext uri="{FF2B5EF4-FFF2-40B4-BE49-F238E27FC236}">
                <a16:creationId xmlns:a16="http://schemas.microsoft.com/office/drawing/2014/main" id="{7A9C8ECD-0FE3-44C3-AD9C-D0238108E999}"/>
              </a:ext>
            </a:extLst>
          </xdr:cNvPr>
          <xdr:cNvSpPr/>
        </xdr:nvSpPr>
        <xdr:spPr>
          <a:xfrm>
            <a:off x="419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58" name="$E$125">
            <a:extLst>
              <a:ext uri="{FF2B5EF4-FFF2-40B4-BE49-F238E27FC236}">
                <a16:creationId xmlns:a16="http://schemas.microsoft.com/office/drawing/2014/main" id="{BEAE53CC-8B11-4822-9D1A-5EE36A9E1C3B}"/>
              </a:ext>
            </a:extLst>
          </xdr:cNvPr>
          <xdr:cNvSpPr/>
        </xdr:nvSpPr>
        <xdr:spPr>
          <a:xfrm>
            <a:off x="444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59" name="$E$125">
            <a:extLst>
              <a:ext uri="{FF2B5EF4-FFF2-40B4-BE49-F238E27FC236}">
                <a16:creationId xmlns:a16="http://schemas.microsoft.com/office/drawing/2014/main" id="{18EA1116-EAAE-4906-8EED-E86352DF09BA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60" name="$E$125">
            <a:extLst>
              <a:ext uri="{FF2B5EF4-FFF2-40B4-BE49-F238E27FC236}">
                <a16:creationId xmlns:a16="http://schemas.microsoft.com/office/drawing/2014/main" id="{F49318AE-2A55-4667-947C-B81623178008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61" name="$E$125">
            <a:extLst>
              <a:ext uri="{FF2B5EF4-FFF2-40B4-BE49-F238E27FC236}">
                <a16:creationId xmlns:a16="http://schemas.microsoft.com/office/drawing/2014/main" id="{DEFE51DF-4274-4F8A-9822-B5B72FC70803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62" name="$E$125">
            <a:extLst>
              <a:ext uri="{FF2B5EF4-FFF2-40B4-BE49-F238E27FC236}">
                <a16:creationId xmlns:a16="http://schemas.microsoft.com/office/drawing/2014/main" id="{DD0CD735-CC8A-42D9-A2D6-A5ED77CFC066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63" name="$E$125">
            <a:extLst>
              <a:ext uri="{FF2B5EF4-FFF2-40B4-BE49-F238E27FC236}">
                <a16:creationId xmlns:a16="http://schemas.microsoft.com/office/drawing/2014/main" id="{ADC93141-15CE-45E0-A3A2-5C07283EC50A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64" name="$E$125">
            <a:extLst>
              <a:ext uri="{FF2B5EF4-FFF2-40B4-BE49-F238E27FC236}">
                <a16:creationId xmlns:a16="http://schemas.microsoft.com/office/drawing/2014/main" id="{1DDA2706-9125-4373-BFD0-6110C0601684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65" name="$E$125">
            <a:extLst>
              <a:ext uri="{FF2B5EF4-FFF2-40B4-BE49-F238E27FC236}">
                <a16:creationId xmlns:a16="http://schemas.microsoft.com/office/drawing/2014/main" id="{E925C69D-E0A6-45D9-AF6A-D2E0CD57C27B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66" name="$E$125">
            <a:extLst>
              <a:ext uri="{FF2B5EF4-FFF2-40B4-BE49-F238E27FC236}">
                <a16:creationId xmlns:a16="http://schemas.microsoft.com/office/drawing/2014/main" id="{81A169E6-22A0-495C-8E5C-EA537DDE70A8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67" name="$E$125">
            <a:extLst>
              <a:ext uri="{FF2B5EF4-FFF2-40B4-BE49-F238E27FC236}">
                <a16:creationId xmlns:a16="http://schemas.microsoft.com/office/drawing/2014/main" id="{438F8DE1-51C8-4E26-BC6D-B8E82C8091C5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68" name="$E$125">
            <a:extLst>
              <a:ext uri="{FF2B5EF4-FFF2-40B4-BE49-F238E27FC236}">
                <a16:creationId xmlns:a16="http://schemas.microsoft.com/office/drawing/2014/main" id="{D724C7BC-63F1-4512-A997-F81EFC8C5329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69" name="$E$125">
            <a:extLst>
              <a:ext uri="{FF2B5EF4-FFF2-40B4-BE49-F238E27FC236}">
                <a16:creationId xmlns:a16="http://schemas.microsoft.com/office/drawing/2014/main" id="{E65A615E-905F-4FC9-BEFF-80FD7277E1B7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70" name="$E$125">
            <a:extLst>
              <a:ext uri="{FF2B5EF4-FFF2-40B4-BE49-F238E27FC236}">
                <a16:creationId xmlns:a16="http://schemas.microsoft.com/office/drawing/2014/main" id="{356DBE50-B1EE-477C-BD10-7ADF25C2680E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71" name="$E$125">
            <a:extLst>
              <a:ext uri="{FF2B5EF4-FFF2-40B4-BE49-F238E27FC236}">
                <a16:creationId xmlns:a16="http://schemas.microsoft.com/office/drawing/2014/main" id="{5D9778D4-08C8-4866-B5C9-3BC98E471143}"/>
              </a:ext>
            </a:extLst>
          </xdr:cNvPr>
          <xdr:cNvSpPr/>
        </xdr:nvSpPr>
        <xdr:spPr>
          <a:xfrm>
            <a:off x="279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72" name="$E$125">
            <a:extLst>
              <a:ext uri="{FF2B5EF4-FFF2-40B4-BE49-F238E27FC236}">
                <a16:creationId xmlns:a16="http://schemas.microsoft.com/office/drawing/2014/main" id="{B69BF335-806A-4FE9-8D35-D1B57BD8BE1A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73" name="$E$125">
            <a:extLst>
              <a:ext uri="{FF2B5EF4-FFF2-40B4-BE49-F238E27FC236}">
                <a16:creationId xmlns:a16="http://schemas.microsoft.com/office/drawing/2014/main" id="{EEC3E97F-26CC-4B40-A513-2BE830D382C5}"/>
              </a:ext>
            </a:extLst>
          </xdr:cNvPr>
          <xdr:cNvSpPr/>
        </xdr:nvSpPr>
        <xdr:spPr>
          <a:xfrm>
            <a:off x="317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74" name="$E$125">
            <a:extLst>
              <a:ext uri="{FF2B5EF4-FFF2-40B4-BE49-F238E27FC236}">
                <a16:creationId xmlns:a16="http://schemas.microsoft.com/office/drawing/2014/main" id="{BD944EEF-E006-41C7-BDF0-F4E04F7CC1E7}"/>
              </a:ext>
            </a:extLst>
          </xdr:cNvPr>
          <xdr:cNvSpPr/>
        </xdr:nvSpPr>
        <xdr:spPr>
          <a:xfrm>
            <a:off x="355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75" name="$E$125">
            <a:extLst>
              <a:ext uri="{FF2B5EF4-FFF2-40B4-BE49-F238E27FC236}">
                <a16:creationId xmlns:a16="http://schemas.microsoft.com/office/drawing/2014/main" id="{2F8954F9-20DE-4751-903D-4221B7579F6D}"/>
              </a:ext>
            </a:extLst>
          </xdr:cNvPr>
          <xdr:cNvSpPr/>
        </xdr:nvSpPr>
        <xdr:spPr>
          <a:xfrm>
            <a:off x="368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76" name="$E$125">
            <a:extLst>
              <a:ext uri="{FF2B5EF4-FFF2-40B4-BE49-F238E27FC236}">
                <a16:creationId xmlns:a16="http://schemas.microsoft.com/office/drawing/2014/main" id="{2753069F-515C-46DB-A464-80FB6E21312A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77" name="$E$125">
            <a:extLst>
              <a:ext uri="{FF2B5EF4-FFF2-40B4-BE49-F238E27FC236}">
                <a16:creationId xmlns:a16="http://schemas.microsoft.com/office/drawing/2014/main" id="{558BD184-662D-484A-B7FF-3D227630D5F4}"/>
              </a:ext>
            </a:extLst>
          </xdr:cNvPr>
          <xdr:cNvSpPr/>
        </xdr:nvSpPr>
        <xdr:spPr>
          <a:xfrm>
            <a:off x="419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78" name="$E$125">
            <a:extLst>
              <a:ext uri="{FF2B5EF4-FFF2-40B4-BE49-F238E27FC236}">
                <a16:creationId xmlns:a16="http://schemas.microsoft.com/office/drawing/2014/main" id="{8E4918C7-4919-4A2D-81BD-4688418D7569}"/>
              </a:ext>
            </a:extLst>
          </xdr:cNvPr>
          <xdr:cNvSpPr/>
        </xdr:nvSpPr>
        <xdr:spPr>
          <a:xfrm>
            <a:off x="431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79" name="$E$125">
            <a:extLst>
              <a:ext uri="{FF2B5EF4-FFF2-40B4-BE49-F238E27FC236}">
                <a16:creationId xmlns:a16="http://schemas.microsoft.com/office/drawing/2014/main" id="{37F380D5-B29C-45BD-9EE3-2661461E0A40}"/>
              </a:ext>
            </a:extLst>
          </xdr:cNvPr>
          <xdr:cNvSpPr/>
        </xdr:nvSpPr>
        <xdr:spPr>
          <a:xfrm>
            <a:off x="444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80" name="$E$125">
            <a:extLst>
              <a:ext uri="{FF2B5EF4-FFF2-40B4-BE49-F238E27FC236}">
                <a16:creationId xmlns:a16="http://schemas.microsoft.com/office/drawing/2014/main" id="{7D233DF6-CB89-47F6-AED6-D635EF825821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81" name="$E$125">
            <a:extLst>
              <a:ext uri="{FF2B5EF4-FFF2-40B4-BE49-F238E27FC236}">
                <a16:creationId xmlns:a16="http://schemas.microsoft.com/office/drawing/2014/main" id="{59DC9850-0ACF-44B4-AEFB-F6D044C1D5A8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82" name="$E$125">
            <a:extLst>
              <a:ext uri="{FF2B5EF4-FFF2-40B4-BE49-F238E27FC236}">
                <a16:creationId xmlns:a16="http://schemas.microsoft.com/office/drawing/2014/main" id="{457FAFEB-0026-4054-80EE-24F220832D6E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83" name="$E$125">
            <a:extLst>
              <a:ext uri="{FF2B5EF4-FFF2-40B4-BE49-F238E27FC236}">
                <a16:creationId xmlns:a16="http://schemas.microsoft.com/office/drawing/2014/main" id="{5ABA193E-85C1-44A8-B69C-A549119DD384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84" name="$E$125">
            <a:extLst>
              <a:ext uri="{FF2B5EF4-FFF2-40B4-BE49-F238E27FC236}">
                <a16:creationId xmlns:a16="http://schemas.microsoft.com/office/drawing/2014/main" id="{E1DD1CDB-0AC9-48AD-9C2F-02DF2E99624F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85" name="$E$125">
            <a:extLst>
              <a:ext uri="{FF2B5EF4-FFF2-40B4-BE49-F238E27FC236}">
                <a16:creationId xmlns:a16="http://schemas.microsoft.com/office/drawing/2014/main" id="{40D9D033-0473-4DEB-A56E-D534C558996F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86" name="$E$125">
            <a:extLst>
              <a:ext uri="{FF2B5EF4-FFF2-40B4-BE49-F238E27FC236}">
                <a16:creationId xmlns:a16="http://schemas.microsoft.com/office/drawing/2014/main" id="{675BF3E5-32CB-4860-8A18-32A86EF999DB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87" name="$E$125">
            <a:extLst>
              <a:ext uri="{FF2B5EF4-FFF2-40B4-BE49-F238E27FC236}">
                <a16:creationId xmlns:a16="http://schemas.microsoft.com/office/drawing/2014/main" id="{DB4ABF74-1D7B-414C-809C-38584E0A548D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88" name="$E$125">
            <a:extLst>
              <a:ext uri="{FF2B5EF4-FFF2-40B4-BE49-F238E27FC236}">
                <a16:creationId xmlns:a16="http://schemas.microsoft.com/office/drawing/2014/main" id="{2F027051-F041-4E1F-9253-D37CF208E2CA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89" name="$E$125">
            <a:extLst>
              <a:ext uri="{FF2B5EF4-FFF2-40B4-BE49-F238E27FC236}">
                <a16:creationId xmlns:a16="http://schemas.microsoft.com/office/drawing/2014/main" id="{B0D965B5-7C07-4345-AD4C-65E96FFACAFC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90" name="$E$125">
            <a:extLst>
              <a:ext uri="{FF2B5EF4-FFF2-40B4-BE49-F238E27FC236}">
                <a16:creationId xmlns:a16="http://schemas.microsoft.com/office/drawing/2014/main" id="{7F88CC33-ABF1-4FFC-AE16-8EDBC6083AF8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91" name="$E$125">
            <a:extLst>
              <a:ext uri="{FF2B5EF4-FFF2-40B4-BE49-F238E27FC236}">
                <a16:creationId xmlns:a16="http://schemas.microsoft.com/office/drawing/2014/main" id="{C6CD1A07-CB8B-4BBF-9646-D28D900565E6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92" name="$E$125">
            <a:extLst>
              <a:ext uri="{FF2B5EF4-FFF2-40B4-BE49-F238E27FC236}">
                <a16:creationId xmlns:a16="http://schemas.microsoft.com/office/drawing/2014/main" id="{B176D6F3-C4FD-4542-ABF6-793AE8825F5E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93" name="$E$125">
            <a:extLst>
              <a:ext uri="{FF2B5EF4-FFF2-40B4-BE49-F238E27FC236}">
                <a16:creationId xmlns:a16="http://schemas.microsoft.com/office/drawing/2014/main" id="{75FC2FC6-A5A8-4A75-B6FD-7ACEDE1DE5AE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94" name="$E$125">
            <a:extLst>
              <a:ext uri="{FF2B5EF4-FFF2-40B4-BE49-F238E27FC236}">
                <a16:creationId xmlns:a16="http://schemas.microsoft.com/office/drawing/2014/main" id="{80C3C64B-981E-4A30-9BFF-BC631CDD67B8}"/>
              </a:ext>
            </a:extLst>
          </xdr:cNvPr>
          <xdr:cNvSpPr/>
        </xdr:nvSpPr>
        <xdr:spPr>
          <a:xfrm>
            <a:off x="330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95" name="$E$125">
            <a:extLst>
              <a:ext uri="{FF2B5EF4-FFF2-40B4-BE49-F238E27FC236}">
                <a16:creationId xmlns:a16="http://schemas.microsoft.com/office/drawing/2014/main" id="{AA86B7A9-8ED0-4943-B917-DCA28FB5C98E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96" name="$E$125">
            <a:extLst>
              <a:ext uri="{FF2B5EF4-FFF2-40B4-BE49-F238E27FC236}">
                <a16:creationId xmlns:a16="http://schemas.microsoft.com/office/drawing/2014/main" id="{A4F4AFD2-1664-4E90-9ACD-285F2C2A535B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97" name="$E$125">
            <a:extLst>
              <a:ext uri="{FF2B5EF4-FFF2-40B4-BE49-F238E27FC236}">
                <a16:creationId xmlns:a16="http://schemas.microsoft.com/office/drawing/2014/main" id="{90E4BD08-E774-4146-96B1-2C47DA86CE00}"/>
              </a:ext>
            </a:extLst>
          </xdr:cNvPr>
          <xdr:cNvSpPr/>
        </xdr:nvSpPr>
        <xdr:spPr>
          <a:xfrm>
            <a:off x="381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98" name="$E$125">
            <a:extLst>
              <a:ext uri="{FF2B5EF4-FFF2-40B4-BE49-F238E27FC236}">
                <a16:creationId xmlns:a16="http://schemas.microsoft.com/office/drawing/2014/main" id="{F1179754-8B58-437C-A133-A01C02DFB305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999" name="$E$125">
            <a:extLst>
              <a:ext uri="{FF2B5EF4-FFF2-40B4-BE49-F238E27FC236}">
                <a16:creationId xmlns:a16="http://schemas.microsoft.com/office/drawing/2014/main" id="{92AC6E8E-AD2D-4107-9D95-A22A457F56C9}"/>
              </a:ext>
            </a:extLst>
          </xdr:cNvPr>
          <xdr:cNvSpPr/>
        </xdr:nvSpPr>
        <xdr:spPr>
          <a:xfrm>
            <a:off x="419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00" name="$E$125">
            <a:extLst>
              <a:ext uri="{FF2B5EF4-FFF2-40B4-BE49-F238E27FC236}">
                <a16:creationId xmlns:a16="http://schemas.microsoft.com/office/drawing/2014/main" id="{384A168C-0B24-4961-8EA9-13AE92B217B3}"/>
              </a:ext>
            </a:extLst>
          </xdr:cNvPr>
          <xdr:cNvSpPr/>
        </xdr:nvSpPr>
        <xdr:spPr>
          <a:xfrm>
            <a:off x="431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01" name="$E$125">
            <a:extLst>
              <a:ext uri="{FF2B5EF4-FFF2-40B4-BE49-F238E27FC236}">
                <a16:creationId xmlns:a16="http://schemas.microsoft.com/office/drawing/2014/main" id="{AFC5D03A-64BE-4D68-942F-B4014A086C25}"/>
              </a:ext>
            </a:extLst>
          </xdr:cNvPr>
          <xdr:cNvSpPr/>
        </xdr:nvSpPr>
        <xdr:spPr>
          <a:xfrm>
            <a:off x="457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02" name="$E$125">
            <a:extLst>
              <a:ext uri="{FF2B5EF4-FFF2-40B4-BE49-F238E27FC236}">
                <a16:creationId xmlns:a16="http://schemas.microsoft.com/office/drawing/2014/main" id="{6637802E-7B2E-464C-8E73-AC4C511141B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03" name="$E$125">
            <a:extLst>
              <a:ext uri="{FF2B5EF4-FFF2-40B4-BE49-F238E27FC236}">
                <a16:creationId xmlns:a16="http://schemas.microsoft.com/office/drawing/2014/main" id="{53A2104D-4C97-4CDF-8C66-C85B62CA73C7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04" name="$E$125">
            <a:extLst>
              <a:ext uri="{FF2B5EF4-FFF2-40B4-BE49-F238E27FC236}">
                <a16:creationId xmlns:a16="http://schemas.microsoft.com/office/drawing/2014/main" id="{A774E1DB-2F46-4B5D-BDFF-DCB0A2421009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05" name="$E$125">
            <a:extLst>
              <a:ext uri="{FF2B5EF4-FFF2-40B4-BE49-F238E27FC236}">
                <a16:creationId xmlns:a16="http://schemas.microsoft.com/office/drawing/2014/main" id="{9C957F6E-D4A7-4207-9414-7F530A0B7D78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06" name="$E$125">
            <a:extLst>
              <a:ext uri="{FF2B5EF4-FFF2-40B4-BE49-F238E27FC236}">
                <a16:creationId xmlns:a16="http://schemas.microsoft.com/office/drawing/2014/main" id="{0AF1AA7F-24F7-46C0-A680-E36A395D9CD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07" name="$E$125">
            <a:extLst>
              <a:ext uri="{FF2B5EF4-FFF2-40B4-BE49-F238E27FC236}">
                <a16:creationId xmlns:a16="http://schemas.microsoft.com/office/drawing/2014/main" id="{BC8A7DB8-8B6A-4761-B57A-D78920A8A764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08" name="$E$125">
            <a:extLst>
              <a:ext uri="{FF2B5EF4-FFF2-40B4-BE49-F238E27FC236}">
                <a16:creationId xmlns:a16="http://schemas.microsoft.com/office/drawing/2014/main" id="{4C0FB6F7-042F-425F-A7DF-7F9845967E20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09" name="$E$125">
            <a:extLst>
              <a:ext uri="{FF2B5EF4-FFF2-40B4-BE49-F238E27FC236}">
                <a16:creationId xmlns:a16="http://schemas.microsoft.com/office/drawing/2014/main" id="{B81AD766-1235-4E9A-BDE6-A31C70B6E96E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10" name="$E$125">
            <a:extLst>
              <a:ext uri="{FF2B5EF4-FFF2-40B4-BE49-F238E27FC236}">
                <a16:creationId xmlns:a16="http://schemas.microsoft.com/office/drawing/2014/main" id="{3BD6C6B8-B351-4D5B-802A-E9A3D3990523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11" name="$E$125">
            <a:extLst>
              <a:ext uri="{FF2B5EF4-FFF2-40B4-BE49-F238E27FC236}">
                <a16:creationId xmlns:a16="http://schemas.microsoft.com/office/drawing/2014/main" id="{0467B706-3AEE-4772-8002-8769B1F7C0ED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12" name="$E$125">
            <a:extLst>
              <a:ext uri="{FF2B5EF4-FFF2-40B4-BE49-F238E27FC236}">
                <a16:creationId xmlns:a16="http://schemas.microsoft.com/office/drawing/2014/main" id="{0730ED7D-19C3-465D-AA16-23E913E23D6F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13" name="$E$125">
            <a:extLst>
              <a:ext uri="{FF2B5EF4-FFF2-40B4-BE49-F238E27FC236}">
                <a16:creationId xmlns:a16="http://schemas.microsoft.com/office/drawing/2014/main" id="{400C0D73-FD18-4F26-9510-92BAE448E02E}"/>
              </a:ext>
            </a:extLst>
          </xdr:cNvPr>
          <xdr:cNvSpPr/>
        </xdr:nvSpPr>
        <xdr:spPr>
          <a:xfrm>
            <a:off x="342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14" name="$E$125">
            <a:extLst>
              <a:ext uri="{FF2B5EF4-FFF2-40B4-BE49-F238E27FC236}">
                <a16:creationId xmlns:a16="http://schemas.microsoft.com/office/drawing/2014/main" id="{AB7976EE-5B7E-4C7E-9C20-51CA42F31E36}"/>
              </a:ext>
            </a:extLst>
          </xdr:cNvPr>
          <xdr:cNvSpPr/>
        </xdr:nvSpPr>
        <xdr:spPr>
          <a:xfrm>
            <a:off x="355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15" name="$E$125">
            <a:extLst>
              <a:ext uri="{FF2B5EF4-FFF2-40B4-BE49-F238E27FC236}">
                <a16:creationId xmlns:a16="http://schemas.microsoft.com/office/drawing/2014/main" id="{F174961E-310F-48A6-BA6E-5371158CB860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16" name="$E$125">
            <a:extLst>
              <a:ext uri="{FF2B5EF4-FFF2-40B4-BE49-F238E27FC236}">
                <a16:creationId xmlns:a16="http://schemas.microsoft.com/office/drawing/2014/main" id="{5DCC394E-8772-44F0-A1E4-B5BCC7EEC64F}"/>
              </a:ext>
            </a:extLst>
          </xdr:cNvPr>
          <xdr:cNvSpPr/>
        </xdr:nvSpPr>
        <xdr:spPr>
          <a:xfrm>
            <a:off x="419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17" name="$E$125">
            <a:extLst>
              <a:ext uri="{FF2B5EF4-FFF2-40B4-BE49-F238E27FC236}">
                <a16:creationId xmlns:a16="http://schemas.microsoft.com/office/drawing/2014/main" id="{1443FF36-86DF-4515-B167-E26761628BA2}"/>
              </a:ext>
            </a:extLst>
          </xdr:cNvPr>
          <xdr:cNvSpPr/>
        </xdr:nvSpPr>
        <xdr:spPr>
          <a:xfrm>
            <a:off x="444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18" name="$E$125">
            <a:extLst>
              <a:ext uri="{FF2B5EF4-FFF2-40B4-BE49-F238E27FC236}">
                <a16:creationId xmlns:a16="http://schemas.microsoft.com/office/drawing/2014/main" id="{8BD1717B-CD16-4CC1-871F-63C756958277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19" name="$E$125">
            <a:extLst>
              <a:ext uri="{FF2B5EF4-FFF2-40B4-BE49-F238E27FC236}">
                <a16:creationId xmlns:a16="http://schemas.microsoft.com/office/drawing/2014/main" id="{76C643F2-9142-4B0D-9D62-EF0210182CDA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20" name="$E$125">
            <a:extLst>
              <a:ext uri="{FF2B5EF4-FFF2-40B4-BE49-F238E27FC236}">
                <a16:creationId xmlns:a16="http://schemas.microsoft.com/office/drawing/2014/main" id="{B33DBF62-C8E2-4C3F-8C43-107B8EFD9E75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21" name="$E$125">
            <a:extLst>
              <a:ext uri="{FF2B5EF4-FFF2-40B4-BE49-F238E27FC236}">
                <a16:creationId xmlns:a16="http://schemas.microsoft.com/office/drawing/2014/main" id="{D97C647D-F1B6-4422-82D9-F717C189F8E8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22" name="$E$125">
            <a:extLst>
              <a:ext uri="{FF2B5EF4-FFF2-40B4-BE49-F238E27FC236}">
                <a16:creationId xmlns:a16="http://schemas.microsoft.com/office/drawing/2014/main" id="{AC8F3B10-A95E-472B-B38D-508B61395ABF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23" name="$E$125">
            <a:extLst>
              <a:ext uri="{FF2B5EF4-FFF2-40B4-BE49-F238E27FC236}">
                <a16:creationId xmlns:a16="http://schemas.microsoft.com/office/drawing/2014/main" id="{319DA2E7-525C-4638-A25F-5F69B251529B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24" name="$E$125">
            <a:extLst>
              <a:ext uri="{FF2B5EF4-FFF2-40B4-BE49-F238E27FC236}">
                <a16:creationId xmlns:a16="http://schemas.microsoft.com/office/drawing/2014/main" id="{1AE8EE04-4F1F-4EBB-A191-7D41033588FF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25" name="$E$125">
            <a:extLst>
              <a:ext uri="{FF2B5EF4-FFF2-40B4-BE49-F238E27FC236}">
                <a16:creationId xmlns:a16="http://schemas.microsoft.com/office/drawing/2014/main" id="{3B2CEDF3-7E63-4D32-81E1-1BCA422D9B0D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26" name="$E$125">
            <a:extLst>
              <a:ext uri="{FF2B5EF4-FFF2-40B4-BE49-F238E27FC236}">
                <a16:creationId xmlns:a16="http://schemas.microsoft.com/office/drawing/2014/main" id="{E024F220-948F-4818-AC26-3AC70693BF8A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27" name="$E$125">
            <a:extLst>
              <a:ext uri="{FF2B5EF4-FFF2-40B4-BE49-F238E27FC236}">
                <a16:creationId xmlns:a16="http://schemas.microsoft.com/office/drawing/2014/main" id="{DE67DE63-4BE1-4AF0-82AE-9EC1F1225D1B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28" name="$E$125">
            <a:extLst>
              <a:ext uri="{FF2B5EF4-FFF2-40B4-BE49-F238E27FC236}">
                <a16:creationId xmlns:a16="http://schemas.microsoft.com/office/drawing/2014/main" id="{F2D4D1BD-6170-4DDC-973A-5D92BE225B18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29" name="$E$125">
            <a:extLst>
              <a:ext uri="{FF2B5EF4-FFF2-40B4-BE49-F238E27FC236}">
                <a16:creationId xmlns:a16="http://schemas.microsoft.com/office/drawing/2014/main" id="{28A3AD9D-1566-4998-A97C-2680EC9BC2D7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30" name="$E$125">
            <a:extLst>
              <a:ext uri="{FF2B5EF4-FFF2-40B4-BE49-F238E27FC236}">
                <a16:creationId xmlns:a16="http://schemas.microsoft.com/office/drawing/2014/main" id="{BA802E25-D867-4F3B-8279-3DCECD335419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31" name="$E$125">
            <a:extLst>
              <a:ext uri="{FF2B5EF4-FFF2-40B4-BE49-F238E27FC236}">
                <a16:creationId xmlns:a16="http://schemas.microsoft.com/office/drawing/2014/main" id="{8AA23B85-18FB-404A-B014-44939606340A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32" name="$E$125">
            <a:extLst>
              <a:ext uri="{FF2B5EF4-FFF2-40B4-BE49-F238E27FC236}">
                <a16:creationId xmlns:a16="http://schemas.microsoft.com/office/drawing/2014/main" id="{5AB16F7A-DD57-4732-B8D9-4C3E8D6CA1F3}"/>
              </a:ext>
            </a:extLst>
          </xdr:cNvPr>
          <xdr:cNvSpPr/>
        </xdr:nvSpPr>
        <xdr:spPr>
          <a:xfrm>
            <a:off x="330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33" name="$E$125">
            <a:extLst>
              <a:ext uri="{FF2B5EF4-FFF2-40B4-BE49-F238E27FC236}">
                <a16:creationId xmlns:a16="http://schemas.microsoft.com/office/drawing/2014/main" id="{9F1BE458-D211-4053-8D88-59810DAC5993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34" name="$E$125">
            <a:extLst>
              <a:ext uri="{FF2B5EF4-FFF2-40B4-BE49-F238E27FC236}">
                <a16:creationId xmlns:a16="http://schemas.microsoft.com/office/drawing/2014/main" id="{5C1DDAAF-0A39-4363-9624-3A467E141884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35" name="$E$125">
            <a:extLst>
              <a:ext uri="{FF2B5EF4-FFF2-40B4-BE49-F238E27FC236}">
                <a16:creationId xmlns:a16="http://schemas.microsoft.com/office/drawing/2014/main" id="{3C24ACF3-3C01-4DE6-9AD5-20774AA1D4AB}"/>
              </a:ext>
            </a:extLst>
          </xdr:cNvPr>
          <xdr:cNvSpPr/>
        </xdr:nvSpPr>
        <xdr:spPr>
          <a:xfrm>
            <a:off x="381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36" name="$E$125">
            <a:extLst>
              <a:ext uri="{FF2B5EF4-FFF2-40B4-BE49-F238E27FC236}">
                <a16:creationId xmlns:a16="http://schemas.microsoft.com/office/drawing/2014/main" id="{F258C21E-5019-4214-B15E-530451B65591}"/>
              </a:ext>
            </a:extLst>
          </xdr:cNvPr>
          <xdr:cNvSpPr/>
        </xdr:nvSpPr>
        <xdr:spPr>
          <a:xfrm>
            <a:off x="406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37" name="$E$125">
            <a:extLst>
              <a:ext uri="{FF2B5EF4-FFF2-40B4-BE49-F238E27FC236}">
                <a16:creationId xmlns:a16="http://schemas.microsoft.com/office/drawing/2014/main" id="{1EA18650-C38D-45A3-AC05-5BA9E4B731DC}"/>
              </a:ext>
            </a:extLst>
          </xdr:cNvPr>
          <xdr:cNvSpPr/>
        </xdr:nvSpPr>
        <xdr:spPr>
          <a:xfrm>
            <a:off x="419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38" name="$E$125">
            <a:extLst>
              <a:ext uri="{FF2B5EF4-FFF2-40B4-BE49-F238E27FC236}">
                <a16:creationId xmlns:a16="http://schemas.microsoft.com/office/drawing/2014/main" id="{EBDBD145-3D0D-41C4-99D3-D89E69F1459A}"/>
              </a:ext>
            </a:extLst>
          </xdr:cNvPr>
          <xdr:cNvSpPr/>
        </xdr:nvSpPr>
        <xdr:spPr>
          <a:xfrm>
            <a:off x="431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39" name="$E$125">
            <a:extLst>
              <a:ext uri="{FF2B5EF4-FFF2-40B4-BE49-F238E27FC236}">
                <a16:creationId xmlns:a16="http://schemas.microsoft.com/office/drawing/2014/main" id="{DBACFB29-2F9B-4314-AFF5-9015959AFFCE}"/>
              </a:ext>
            </a:extLst>
          </xdr:cNvPr>
          <xdr:cNvSpPr/>
        </xdr:nvSpPr>
        <xdr:spPr>
          <a:xfrm>
            <a:off x="457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40" name="$E$125">
            <a:extLst>
              <a:ext uri="{FF2B5EF4-FFF2-40B4-BE49-F238E27FC236}">
                <a16:creationId xmlns:a16="http://schemas.microsoft.com/office/drawing/2014/main" id="{D3B8065F-A710-4D10-B7F0-0A58087242EF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41" name="$E$125">
            <a:extLst>
              <a:ext uri="{FF2B5EF4-FFF2-40B4-BE49-F238E27FC236}">
                <a16:creationId xmlns:a16="http://schemas.microsoft.com/office/drawing/2014/main" id="{F3A8E853-59FC-4C65-BA7A-20547C000972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42" name="$E$125">
            <a:extLst>
              <a:ext uri="{FF2B5EF4-FFF2-40B4-BE49-F238E27FC236}">
                <a16:creationId xmlns:a16="http://schemas.microsoft.com/office/drawing/2014/main" id="{37776DAC-99F8-43CA-A376-DFE20DA82AD7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43" name="$E$125">
            <a:extLst>
              <a:ext uri="{FF2B5EF4-FFF2-40B4-BE49-F238E27FC236}">
                <a16:creationId xmlns:a16="http://schemas.microsoft.com/office/drawing/2014/main" id="{CF4E19E8-2F47-4BA4-864C-70E9AF95F0F5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44" name="$E$125">
            <a:extLst>
              <a:ext uri="{FF2B5EF4-FFF2-40B4-BE49-F238E27FC236}">
                <a16:creationId xmlns:a16="http://schemas.microsoft.com/office/drawing/2014/main" id="{9FB785AE-4E5C-4A58-BA07-7ABBC97CA60F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45" name="$E$125">
            <a:extLst>
              <a:ext uri="{FF2B5EF4-FFF2-40B4-BE49-F238E27FC236}">
                <a16:creationId xmlns:a16="http://schemas.microsoft.com/office/drawing/2014/main" id="{F960494F-BE35-4BC8-A718-5984E9519B4D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46" name="$E$125">
            <a:extLst>
              <a:ext uri="{FF2B5EF4-FFF2-40B4-BE49-F238E27FC236}">
                <a16:creationId xmlns:a16="http://schemas.microsoft.com/office/drawing/2014/main" id="{FE3C5C52-DDC0-40B7-9249-23DD576546C5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47" name="$E$125">
            <a:extLst>
              <a:ext uri="{FF2B5EF4-FFF2-40B4-BE49-F238E27FC236}">
                <a16:creationId xmlns:a16="http://schemas.microsoft.com/office/drawing/2014/main" id="{B00EB469-D937-463D-920B-58C21A47754B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48" name="$E$125">
            <a:extLst>
              <a:ext uri="{FF2B5EF4-FFF2-40B4-BE49-F238E27FC236}">
                <a16:creationId xmlns:a16="http://schemas.microsoft.com/office/drawing/2014/main" id="{654D65FA-EEBC-42FB-B98B-E723C096A3B7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49" name="$E$125">
            <a:extLst>
              <a:ext uri="{FF2B5EF4-FFF2-40B4-BE49-F238E27FC236}">
                <a16:creationId xmlns:a16="http://schemas.microsoft.com/office/drawing/2014/main" id="{7C6665CE-A65A-4D75-9382-D5023F66C81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50" name="$E$125">
            <a:extLst>
              <a:ext uri="{FF2B5EF4-FFF2-40B4-BE49-F238E27FC236}">
                <a16:creationId xmlns:a16="http://schemas.microsoft.com/office/drawing/2014/main" id="{737BA252-B905-43AD-8213-A1CB051DA94E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51" name="$E$125">
            <a:extLst>
              <a:ext uri="{FF2B5EF4-FFF2-40B4-BE49-F238E27FC236}">
                <a16:creationId xmlns:a16="http://schemas.microsoft.com/office/drawing/2014/main" id="{4AF6F5CC-CE64-4A05-8BCE-12B4862D3C68}"/>
              </a:ext>
            </a:extLst>
          </xdr:cNvPr>
          <xdr:cNvSpPr/>
        </xdr:nvSpPr>
        <xdr:spPr>
          <a:xfrm>
            <a:off x="355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52" name="$E$125">
            <a:extLst>
              <a:ext uri="{FF2B5EF4-FFF2-40B4-BE49-F238E27FC236}">
                <a16:creationId xmlns:a16="http://schemas.microsoft.com/office/drawing/2014/main" id="{7A6EC7AA-95D8-430D-B707-DAE10A6B4FF8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53" name="$E$125">
            <a:extLst>
              <a:ext uri="{FF2B5EF4-FFF2-40B4-BE49-F238E27FC236}">
                <a16:creationId xmlns:a16="http://schemas.microsoft.com/office/drawing/2014/main" id="{2C8CE8FD-CC23-4621-9B5F-0514DCE00D69}"/>
              </a:ext>
            </a:extLst>
          </xdr:cNvPr>
          <xdr:cNvSpPr/>
        </xdr:nvSpPr>
        <xdr:spPr>
          <a:xfrm>
            <a:off x="431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54" name="$E$125">
            <a:extLst>
              <a:ext uri="{FF2B5EF4-FFF2-40B4-BE49-F238E27FC236}">
                <a16:creationId xmlns:a16="http://schemas.microsoft.com/office/drawing/2014/main" id="{47BB540D-B807-42FB-A2E6-9EBA9B1E7E7B}"/>
              </a:ext>
            </a:extLst>
          </xdr:cNvPr>
          <xdr:cNvSpPr/>
        </xdr:nvSpPr>
        <xdr:spPr>
          <a:xfrm>
            <a:off x="444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55" name="$E$125">
            <a:extLst>
              <a:ext uri="{FF2B5EF4-FFF2-40B4-BE49-F238E27FC236}">
                <a16:creationId xmlns:a16="http://schemas.microsoft.com/office/drawing/2014/main" id="{399835BE-7C58-45DC-9380-828A5DECFAB1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56" name="$E$125">
            <a:extLst>
              <a:ext uri="{FF2B5EF4-FFF2-40B4-BE49-F238E27FC236}">
                <a16:creationId xmlns:a16="http://schemas.microsoft.com/office/drawing/2014/main" id="{90751AAB-BCCB-4074-91FD-84EA4EF02EC7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57" name="$E$125">
            <a:extLst>
              <a:ext uri="{FF2B5EF4-FFF2-40B4-BE49-F238E27FC236}">
                <a16:creationId xmlns:a16="http://schemas.microsoft.com/office/drawing/2014/main" id="{2417A073-F081-4DCD-8B32-BBA1965E4E5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58" name="$E$125">
            <a:extLst>
              <a:ext uri="{FF2B5EF4-FFF2-40B4-BE49-F238E27FC236}">
                <a16:creationId xmlns:a16="http://schemas.microsoft.com/office/drawing/2014/main" id="{46E43AFB-B76D-445C-AE55-BDFAB12ED331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59" name="$E$125">
            <a:extLst>
              <a:ext uri="{FF2B5EF4-FFF2-40B4-BE49-F238E27FC236}">
                <a16:creationId xmlns:a16="http://schemas.microsoft.com/office/drawing/2014/main" id="{4E1A44DC-338F-48B5-9B99-DE1A86CC005A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60" name="$E$125">
            <a:extLst>
              <a:ext uri="{FF2B5EF4-FFF2-40B4-BE49-F238E27FC236}">
                <a16:creationId xmlns:a16="http://schemas.microsoft.com/office/drawing/2014/main" id="{4287770A-C099-40D6-9003-E7A50C9430B8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61" name="$E$125">
            <a:extLst>
              <a:ext uri="{FF2B5EF4-FFF2-40B4-BE49-F238E27FC236}">
                <a16:creationId xmlns:a16="http://schemas.microsoft.com/office/drawing/2014/main" id="{38300A4D-D29E-47F1-8EDB-A3C8FCDFF682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62" name="$E$125">
            <a:extLst>
              <a:ext uri="{FF2B5EF4-FFF2-40B4-BE49-F238E27FC236}">
                <a16:creationId xmlns:a16="http://schemas.microsoft.com/office/drawing/2014/main" id="{EE020628-E130-478E-98C8-1B4059AAE72D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63" name="$E$125">
            <a:extLst>
              <a:ext uri="{FF2B5EF4-FFF2-40B4-BE49-F238E27FC236}">
                <a16:creationId xmlns:a16="http://schemas.microsoft.com/office/drawing/2014/main" id="{B3BDFCF9-7C80-4954-9728-F88BE59ADF25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64" name="$E$125">
            <a:extLst>
              <a:ext uri="{FF2B5EF4-FFF2-40B4-BE49-F238E27FC236}">
                <a16:creationId xmlns:a16="http://schemas.microsoft.com/office/drawing/2014/main" id="{0A7C70BE-CC24-4053-B785-83A0D6C4EC69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65" name="$E$125">
            <a:extLst>
              <a:ext uri="{FF2B5EF4-FFF2-40B4-BE49-F238E27FC236}">
                <a16:creationId xmlns:a16="http://schemas.microsoft.com/office/drawing/2014/main" id="{82DC09DB-0293-4313-82DA-F7D295425B1F}"/>
              </a:ext>
            </a:extLst>
          </xdr:cNvPr>
          <xdr:cNvSpPr/>
        </xdr:nvSpPr>
        <xdr:spPr>
          <a:xfrm>
            <a:off x="317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66" name="$E$125">
            <a:extLst>
              <a:ext uri="{FF2B5EF4-FFF2-40B4-BE49-F238E27FC236}">
                <a16:creationId xmlns:a16="http://schemas.microsoft.com/office/drawing/2014/main" id="{069BA5DF-D80D-46DC-A260-7D39BECCFCF6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67" name="$E$125">
            <a:extLst>
              <a:ext uri="{FF2B5EF4-FFF2-40B4-BE49-F238E27FC236}">
                <a16:creationId xmlns:a16="http://schemas.microsoft.com/office/drawing/2014/main" id="{0E88683A-9440-488F-A237-7440D0BF7D88}"/>
              </a:ext>
            </a:extLst>
          </xdr:cNvPr>
          <xdr:cNvSpPr/>
        </xdr:nvSpPr>
        <xdr:spPr>
          <a:xfrm>
            <a:off x="381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68" name="$E$125">
            <a:extLst>
              <a:ext uri="{FF2B5EF4-FFF2-40B4-BE49-F238E27FC236}">
                <a16:creationId xmlns:a16="http://schemas.microsoft.com/office/drawing/2014/main" id="{3C7F3870-9A5F-4A85-8A5F-43446F559D08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69" name="$E$125">
            <a:extLst>
              <a:ext uri="{FF2B5EF4-FFF2-40B4-BE49-F238E27FC236}">
                <a16:creationId xmlns:a16="http://schemas.microsoft.com/office/drawing/2014/main" id="{8216576F-4B7F-4128-8200-BC22DD0AD63B}"/>
              </a:ext>
            </a:extLst>
          </xdr:cNvPr>
          <xdr:cNvSpPr/>
        </xdr:nvSpPr>
        <xdr:spPr>
          <a:xfrm>
            <a:off x="406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70" name="$E$125">
            <a:extLst>
              <a:ext uri="{FF2B5EF4-FFF2-40B4-BE49-F238E27FC236}">
                <a16:creationId xmlns:a16="http://schemas.microsoft.com/office/drawing/2014/main" id="{2CE9AD03-7DA8-4C0E-BBA1-637EEC99096C}"/>
              </a:ext>
            </a:extLst>
          </xdr:cNvPr>
          <xdr:cNvSpPr/>
        </xdr:nvSpPr>
        <xdr:spPr>
          <a:xfrm>
            <a:off x="431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71" name="$E$125">
            <a:extLst>
              <a:ext uri="{FF2B5EF4-FFF2-40B4-BE49-F238E27FC236}">
                <a16:creationId xmlns:a16="http://schemas.microsoft.com/office/drawing/2014/main" id="{6018E6CF-950E-4D45-9D79-21BFF64A5CB1}"/>
              </a:ext>
            </a:extLst>
          </xdr:cNvPr>
          <xdr:cNvSpPr/>
        </xdr:nvSpPr>
        <xdr:spPr>
          <a:xfrm>
            <a:off x="444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72" name="$E$125">
            <a:extLst>
              <a:ext uri="{FF2B5EF4-FFF2-40B4-BE49-F238E27FC236}">
                <a16:creationId xmlns:a16="http://schemas.microsoft.com/office/drawing/2014/main" id="{82F012D9-E87E-49C9-94A2-96AA49C5FD77}"/>
              </a:ext>
            </a:extLst>
          </xdr:cNvPr>
          <xdr:cNvSpPr/>
        </xdr:nvSpPr>
        <xdr:spPr>
          <a:xfrm>
            <a:off x="457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73" name="$E$125">
            <a:extLst>
              <a:ext uri="{FF2B5EF4-FFF2-40B4-BE49-F238E27FC236}">
                <a16:creationId xmlns:a16="http://schemas.microsoft.com/office/drawing/2014/main" id="{5D1F3B1A-F7EB-43EB-80A0-62B2701CEA2E}"/>
              </a:ext>
            </a:extLst>
          </xdr:cNvPr>
          <xdr:cNvSpPr/>
        </xdr:nvSpPr>
        <xdr:spPr>
          <a:xfrm>
            <a:off x="12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74" name="$E$125">
            <a:extLst>
              <a:ext uri="{FF2B5EF4-FFF2-40B4-BE49-F238E27FC236}">
                <a16:creationId xmlns:a16="http://schemas.microsoft.com/office/drawing/2014/main" id="{C4212FCE-18E3-4A6E-B644-C772E7C4C771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75" name="$E$125">
            <a:extLst>
              <a:ext uri="{FF2B5EF4-FFF2-40B4-BE49-F238E27FC236}">
                <a16:creationId xmlns:a16="http://schemas.microsoft.com/office/drawing/2014/main" id="{099E66A7-42A0-41F9-B997-F77A571DC18E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76" name="$E$125">
            <a:extLst>
              <a:ext uri="{FF2B5EF4-FFF2-40B4-BE49-F238E27FC236}">
                <a16:creationId xmlns:a16="http://schemas.microsoft.com/office/drawing/2014/main" id="{3888AB2A-7758-4F6C-B83C-EB284E90C7AF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77" name="$E$125">
            <a:extLst>
              <a:ext uri="{FF2B5EF4-FFF2-40B4-BE49-F238E27FC236}">
                <a16:creationId xmlns:a16="http://schemas.microsoft.com/office/drawing/2014/main" id="{B03AB70F-DF0C-456C-8C9A-FDA09C06E8CD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78" name="$E$125">
            <a:extLst>
              <a:ext uri="{FF2B5EF4-FFF2-40B4-BE49-F238E27FC236}">
                <a16:creationId xmlns:a16="http://schemas.microsoft.com/office/drawing/2014/main" id="{904587B5-56B2-4A85-A644-A6E02B1A6C5B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79" name="$E$125">
            <a:extLst>
              <a:ext uri="{FF2B5EF4-FFF2-40B4-BE49-F238E27FC236}">
                <a16:creationId xmlns:a16="http://schemas.microsoft.com/office/drawing/2014/main" id="{CD1FCA0C-661E-4B0E-8517-71F243D105C0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80" name="$E$125">
            <a:extLst>
              <a:ext uri="{FF2B5EF4-FFF2-40B4-BE49-F238E27FC236}">
                <a16:creationId xmlns:a16="http://schemas.microsoft.com/office/drawing/2014/main" id="{82E09F5B-0DEF-478C-BE73-C09E34499761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81" name="$E$125">
            <a:extLst>
              <a:ext uri="{FF2B5EF4-FFF2-40B4-BE49-F238E27FC236}">
                <a16:creationId xmlns:a16="http://schemas.microsoft.com/office/drawing/2014/main" id="{347BE321-B8E7-470A-88AD-F40D8C2F5580}"/>
              </a:ext>
            </a:extLst>
          </xdr:cNvPr>
          <xdr:cNvSpPr/>
        </xdr:nvSpPr>
        <xdr:spPr>
          <a:xfrm>
            <a:off x="279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82" name="$E$125">
            <a:extLst>
              <a:ext uri="{FF2B5EF4-FFF2-40B4-BE49-F238E27FC236}">
                <a16:creationId xmlns:a16="http://schemas.microsoft.com/office/drawing/2014/main" id="{EE689C19-CAFC-4BBC-83A1-B1E327EB5A0D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83" name="$E$125">
            <a:extLst>
              <a:ext uri="{FF2B5EF4-FFF2-40B4-BE49-F238E27FC236}">
                <a16:creationId xmlns:a16="http://schemas.microsoft.com/office/drawing/2014/main" id="{1373A8A2-5A6B-411C-8147-5E6CF40D1C86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84" name="$E$125">
            <a:extLst>
              <a:ext uri="{FF2B5EF4-FFF2-40B4-BE49-F238E27FC236}">
                <a16:creationId xmlns:a16="http://schemas.microsoft.com/office/drawing/2014/main" id="{D291177B-0AFD-4D9F-9AA0-2AAD29D6E82E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85" name="$E$125">
            <a:extLst>
              <a:ext uri="{FF2B5EF4-FFF2-40B4-BE49-F238E27FC236}">
                <a16:creationId xmlns:a16="http://schemas.microsoft.com/office/drawing/2014/main" id="{BCD5134D-2F98-4391-BFB0-7BADD40B2400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86" name="$E$125">
            <a:extLst>
              <a:ext uri="{FF2B5EF4-FFF2-40B4-BE49-F238E27FC236}">
                <a16:creationId xmlns:a16="http://schemas.microsoft.com/office/drawing/2014/main" id="{C71C1A3A-CB8D-4328-A15F-445E1295604A}"/>
              </a:ext>
            </a:extLst>
          </xdr:cNvPr>
          <xdr:cNvSpPr/>
        </xdr:nvSpPr>
        <xdr:spPr>
          <a:xfrm>
            <a:off x="368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87" name="$E$125">
            <a:extLst>
              <a:ext uri="{FF2B5EF4-FFF2-40B4-BE49-F238E27FC236}">
                <a16:creationId xmlns:a16="http://schemas.microsoft.com/office/drawing/2014/main" id="{7FE32AD2-F021-4D5E-9CDB-D72B82B3FC26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88" name="$E$125">
            <a:extLst>
              <a:ext uri="{FF2B5EF4-FFF2-40B4-BE49-F238E27FC236}">
                <a16:creationId xmlns:a16="http://schemas.microsoft.com/office/drawing/2014/main" id="{67C4DA6A-0F60-48FE-AD7A-81C1B926F5B3}"/>
              </a:ext>
            </a:extLst>
          </xdr:cNvPr>
          <xdr:cNvSpPr/>
        </xdr:nvSpPr>
        <xdr:spPr>
          <a:xfrm>
            <a:off x="419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89" name="$E$125">
            <a:extLst>
              <a:ext uri="{FF2B5EF4-FFF2-40B4-BE49-F238E27FC236}">
                <a16:creationId xmlns:a16="http://schemas.microsoft.com/office/drawing/2014/main" id="{68FEBC1F-7A5E-4EA2-B3E2-B1F85473E02E}"/>
              </a:ext>
            </a:extLst>
          </xdr:cNvPr>
          <xdr:cNvSpPr/>
        </xdr:nvSpPr>
        <xdr:spPr>
          <a:xfrm>
            <a:off x="457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90" name="$E$125">
            <a:extLst>
              <a:ext uri="{FF2B5EF4-FFF2-40B4-BE49-F238E27FC236}">
                <a16:creationId xmlns:a16="http://schemas.microsoft.com/office/drawing/2014/main" id="{85253F0D-9F46-45DC-A505-518E82A417F2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91" name="$E$125">
            <a:extLst>
              <a:ext uri="{FF2B5EF4-FFF2-40B4-BE49-F238E27FC236}">
                <a16:creationId xmlns:a16="http://schemas.microsoft.com/office/drawing/2014/main" id="{1F19B40D-64D1-4E6E-9720-3ABE3919DCEB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92" name="$E$125">
            <a:extLst>
              <a:ext uri="{FF2B5EF4-FFF2-40B4-BE49-F238E27FC236}">
                <a16:creationId xmlns:a16="http://schemas.microsoft.com/office/drawing/2014/main" id="{14763478-548E-44D1-AE5B-7B4AD0CF56E7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93" name="$E$125">
            <a:extLst>
              <a:ext uri="{FF2B5EF4-FFF2-40B4-BE49-F238E27FC236}">
                <a16:creationId xmlns:a16="http://schemas.microsoft.com/office/drawing/2014/main" id="{02FBDB71-CED3-40DE-96D2-2B297B4D95F3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94" name="$E$125">
            <a:extLst>
              <a:ext uri="{FF2B5EF4-FFF2-40B4-BE49-F238E27FC236}">
                <a16:creationId xmlns:a16="http://schemas.microsoft.com/office/drawing/2014/main" id="{204E68B0-D399-4271-BC17-DC572019CE29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95" name="$E$125">
            <a:extLst>
              <a:ext uri="{FF2B5EF4-FFF2-40B4-BE49-F238E27FC236}">
                <a16:creationId xmlns:a16="http://schemas.microsoft.com/office/drawing/2014/main" id="{055FC544-B7D7-4B8A-B358-A1788940836A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96" name="$E$125">
            <a:extLst>
              <a:ext uri="{FF2B5EF4-FFF2-40B4-BE49-F238E27FC236}">
                <a16:creationId xmlns:a16="http://schemas.microsoft.com/office/drawing/2014/main" id="{2009E750-67F8-4A95-BCD0-4EF95AD848DF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97" name="$E$125">
            <a:extLst>
              <a:ext uri="{FF2B5EF4-FFF2-40B4-BE49-F238E27FC236}">
                <a16:creationId xmlns:a16="http://schemas.microsoft.com/office/drawing/2014/main" id="{915064AD-7F14-40FB-BBB9-C9960A50CB1B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98" name="$E$125">
            <a:extLst>
              <a:ext uri="{FF2B5EF4-FFF2-40B4-BE49-F238E27FC236}">
                <a16:creationId xmlns:a16="http://schemas.microsoft.com/office/drawing/2014/main" id="{5508DB8D-F7EC-42AB-8DDF-CC0BF56E6352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99" name="$E$125">
            <a:extLst>
              <a:ext uri="{FF2B5EF4-FFF2-40B4-BE49-F238E27FC236}">
                <a16:creationId xmlns:a16="http://schemas.microsoft.com/office/drawing/2014/main" id="{76BB00DA-611F-41F3-ADBB-82E862EDEEDE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00" name="$E$125">
            <a:extLst>
              <a:ext uri="{FF2B5EF4-FFF2-40B4-BE49-F238E27FC236}">
                <a16:creationId xmlns:a16="http://schemas.microsoft.com/office/drawing/2014/main" id="{C49BD4CE-7D66-4AF6-8641-2D396760BB32}"/>
              </a:ext>
            </a:extLst>
          </xdr:cNvPr>
          <xdr:cNvSpPr/>
        </xdr:nvSpPr>
        <xdr:spPr>
          <a:xfrm>
            <a:off x="203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01" name="$E$125">
            <a:extLst>
              <a:ext uri="{FF2B5EF4-FFF2-40B4-BE49-F238E27FC236}">
                <a16:creationId xmlns:a16="http://schemas.microsoft.com/office/drawing/2014/main" id="{82D53000-DCCF-444A-ADE0-44CAC5CB1B86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02" name="$E$125">
            <a:extLst>
              <a:ext uri="{FF2B5EF4-FFF2-40B4-BE49-F238E27FC236}">
                <a16:creationId xmlns:a16="http://schemas.microsoft.com/office/drawing/2014/main" id="{13A95598-2A7F-4A1A-A66C-127ED2EF2603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03" name="$E$125">
            <a:extLst>
              <a:ext uri="{FF2B5EF4-FFF2-40B4-BE49-F238E27FC236}">
                <a16:creationId xmlns:a16="http://schemas.microsoft.com/office/drawing/2014/main" id="{143128F8-E1B4-457A-BC0B-3C98D419519A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04" name="$E$125">
            <a:extLst>
              <a:ext uri="{FF2B5EF4-FFF2-40B4-BE49-F238E27FC236}">
                <a16:creationId xmlns:a16="http://schemas.microsoft.com/office/drawing/2014/main" id="{9A4DF3B8-3113-45DC-AB12-CBACCE2A8847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05" name="$E$125">
            <a:extLst>
              <a:ext uri="{FF2B5EF4-FFF2-40B4-BE49-F238E27FC236}">
                <a16:creationId xmlns:a16="http://schemas.microsoft.com/office/drawing/2014/main" id="{21CA85CB-4D94-486E-8F77-FEE568217489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06" name="$E$125">
            <a:extLst>
              <a:ext uri="{FF2B5EF4-FFF2-40B4-BE49-F238E27FC236}">
                <a16:creationId xmlns:a16="http://schemas.microsoft.com/office/drawing/2014/main" id="{AEE94338-8E17-4230-8B15-332580EAD690}"/>
              </a:ext>
            </a:extLst>
          </xdr:cNvPr>
          <xdr:cNvSpPr/>
        </xdr:nvSpPr>
        <xdr:spPr>
          <a:xfrm>
            <a:off x="330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07" name="$E$125">
            <a:extLst>
              <a:ext uri="{FF2B5EF4-FFF2-40B4-BE49-F238E27FC236}">
                <a16:creationId xmlns:a16="http://schemas.microsoft.com/office/drawing/2014/main" id="{1EA69C74-D044-4F92-A7E5-85A31C9DBB68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08" name="$E$125">
            <a:extLst>
              <a:ext uri="{FF2B5EF4-FFF2-40B4-BE49-F238E27FC236}">
                <a16:creationId xmlns:a16="http://schemas.microsoft.com/office/drawing/2014/main" id="{9BA59487-670A-43CC-BBAE-4E637615C141}"/>
              </a:ext>
            </a:extLst>
          </xdr:cNvPr>
          <xdr:cNvSpPr/>
        </xdr:nvSpPr>
        <xdr:spPr>
          <a:xfrm>
            <a:off x="368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09" name="$E$125">
            <a:extLst>
              <a:ext uri="{FF2B5EF4-FFF2-40B4-BE49-F238E27FC236}">
                <a16:creationId xmlns:a16="http://schemas.microsoft.com/office/drawing/2014/main" id="{5CE80DED-B2F5-4568-9A12-16B62D754413}"/>
              </a:ext>
            </a:extLst>
          </xdr:cNvPr>
          <xdr:cNvSpPr/>
        </xdr:nvSpPr>
        <xdr:spPr>
          <a:xfrm>
            <a:off x="381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10" name="$E$125">
            <a:extLst>
              <a:ext uri="{FF2B5EF4-FFF2-40B4-BE49-F238E27FC236}">
                <a16:creationId xmlns:a16="http://schemas.microsoft.com/office/drawing/2014/main" id="{C0EA2B3E-4DBC-4802-B8A3-D408AD67ADDD}"/>
              </a:ext>
            </a:extLst>
          </xdr:cNvPr>
          <xdr:cNvSpPr/>
        </xdr:nvSpPr>
        <xdr:spPr>
          <a:xfrm>
            <a:off x="406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11" name="$E$125">
            <a:extLst>
              <a:ext uri="{FF2B5EF4-FFF2-40B4-BE49-F238E27FC236}">
                <a16:creationId xmlns:a16="http://schemas.microsoft.com/office/drawing/2014/main" id="{BBA9CDBC-6A6B-443D-95A7-F7B2459EAAB5}"/>
              </a:ext>
            </a:extLst>
          </xdr:cNvPr>
          <xdr:cNvSpPr/>
        </xdr:nvSpPr>
        <xdr:spPr>
          <a:xfrm>
            <a:off x="419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12" name="$E$125">
            <a:extLst>
              <a:ext uri="{FF2B5EF4-FFF2-40B4-BE49-F238E27FC236}">
                <a16:creationId xmlns:a16="http://schemas.microsoft.com/office/drawing/2014/main" id="{389DE381-421D-430C-B6D4-9016D66E323C}"/>
              </a:ext>
            </a:extLst>
          </xdr:cNvPr>
          <xdr:cNvSpPr/>
        </xdr:nvSpPr>
        <xdr:spPr>
          <a:xfrm>
            <a:off x="431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13" name="$E$125">
            <a:extLst>
              <a:ext uri="{FF2B5EF4-FFF2-40B4-BE49-F238E27FC236}">
                <a16:creationId xmlns:a16="http://schemas.microsoft.com/office/drawing/2014/main" id="{75430767-1730-4ADD-89B2-624A7D75813E}"/>
              </a:ext>
            </a:extLst>
          </xdr:cNvPr>
          <xdr:cNvSpPr/>
        </xdr:nvSpPr>
        <xdr:spPr>
          <a:xfrm>
            <a:off x="457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14" name="$E$125">
            <a:extLst>
              <a:ext uri="{FF2B5EF4-FFF2-40B4-BE49-F238E27FC236}">
                <a16:creationId xmlns:a16="http://schemas.microsoft.com/office/drawing/2014/main" id="{7DD3A13C-2819-45C4-A862-3B346E643911}"/>
              </a:ext>
            </a:extLst>
          </xdr:cNvPr>
          <xdr:cNvSpPr/>
        </xdr:nvSpPr>
        <xdr:spPr>
          <a:xfrm>
            <a:off x="12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15" name="$E$125">
            <a:extLst>
              <a:ext uri="{FF2B5EF4-FFF2-40B4-BE49-F238E27FC236}">
                <a16:creationId xmlns:a16="http://schemas.microsoft.com/office/drawing/2014/main" id="{4EB04650-02E2-41A7-85D0-82B8A9F7BF45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16" name="$E$125">
            <a:extLst>
              <a:ext uri="{FF2B5EF4-FFF2-40B4-BE49-F238E27FC236}">
                <a16:creationId xmlns:a16="http://schemas.microsoft.com/office/drawing/2014/main" id="{371AD677-0494-4BDF-9BD6-CC8923DCDF1B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17" name="$E$125">
            <a:extLst>
              <a:ext uri="{FF2B5EF4-FFF2-40B4-BE49-F238E27FC236}">
                <a16:creationId xmlns:a16="http://schemas.microsoft.com/office/drawing/2014/main" id="{9756A8C1-94D0-48B0-B373-76BF51C3C067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18" name="$E$125">
            <a:extLst>
              <a:ext uri="{FF2B5EF4-FFF2-40B4-BE49-F238E27FC236}">
                <a16:creationId xmlns:a16="http://schemas.microsoft.com/office/drawing/2014/main" id="{78A91933-4130-401D-9FC8-08D1C1C1922D}"/>
              </a:ext>
            </a:extLst>
          </xdr:cNvPr>
          <xdr:cNvSpPr/>
        </xdr:nvSpPr>
        <xdr:spPr>
          <a:xfrm>
            <a:off x="114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19" name="$E$125">
            <a:extLst>
              <a:ext uri="{FF2B5EF4-FFF2-40B4-BE49-F238E27FC236}">
                <a16:creationId xmlns:a16="http://schemas.microsoft.com/office/drawing/2014/main" id="{740E24EE-E035-45B5-9D27-A0B5E9C6D4A5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20" name="$E$125">
            <a:extLst>
              <a:ext uri="{FF2B5EF4-FFF2-40B4-BE49-F238E27FC236}">
                <a16:creationId xmlns:a16="http://schemas.microsoft.com/office/drawing/2014/main" id="{E489BDC2-A5B5-4D96-8B20-83B0431F3C72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21" name="$E$125">
            <a:extLst>
              <a:ext uri="{FF2B5EF4-FFF2-40B4-BE49-F238E27FC236}">
                <a16:creationId xmlns:a16="http://schemas.microsoft.com/office/drawing/2014/main" id="{5029902E-DA04-4888-890D-1B2E56970F9A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22" name="$E$125">
            <a:extLst>
              <a:ext uri="{FF2B5EF4-FFF2-40B4-BE49-F238E27FC236}">
                <a16:creationId xmlns:a16="http://schemas.microsoft.com/office/drawing/2014/main" id="{9394A887-48D2-41A2-8C46-242F5850AB86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23" name="$E$125">
            <a:extLst>
              <a:ext uri="{FF2B5EF4-FFF2-40B4-BE49-F238E27FC236}">
                <a16:creationId xmlns:a16="http://schemas.microsoft.com/office/drawing/2014/main" id="{4CA7BDFD-8CB0-44A4-BB2A-E9119BF48F6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24" name="$E$125">
            <a:extLst>
              <a:ext uri="{FF2B5EF4-FFF2-40B4-BE49-F238E27FC236}">
                <a16:creationId xmlns:a16="http://schemas.microsoft.com/office/drawing/2014/main" id="{F572268D-5A6F-4429-9867-5BDC9E71559A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25" name="$E$125">
            <a:extLst>
              <a:ext uri="{FF2B5EF4-FFF2-40B4-BE49-F238E27FC236}">
                <a16:creationId xmlns:a16="http://schemas.microsoft.com/office/drawing/2014/main" id="{3E17A6F9-5828-4ECE-ACFF-B1185CE7D759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26" name="$E$125">
            <a:extLst>
              <a:ext uri="{FF2B5EF4-FFF2-40B4-BE49-F238E27FC236}">
                <a16:creationId xmlns:a16="http://schemas.microsoft.com/office/drawing/2014/main" id="{5FDE24BB-C761-46A0-BD65-A931D0344303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27" name="$E$125">
            <a:extLst>
              <a:ext uri="{FF2B5EF4-FFF2-40B4-BE49-F238E27FC236}">
                <a16:creationId xmlns:a16="http://schemas.microsoft.com/office/drawing/2014/main" id="{EDF687C3-8F01-4376-B667-5926A0FEA05F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28" name="$E$125">
            <a:extLst>
              <a:ext uri="{FF2B5EF4-FFF2-40B4-BE49-F238E27FC236}">
                <a16:creationId xmlns:a16="http://schemas.microsoft.com/office/drawing/2014/main" id="{54C65D3A-7B7A-46BF-827E-99EB1BBC47B6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29" name="$E$125">
            <a:extLst>
              <a:ext uri="{FF2B5EF4-FFF2-40B4-BE49-F238E27FC236}">
                <a16:creationId xmlns:a16="http://schemas.microsoft.com/office/drawing/2014/main" id="{9A8F6C8C-A359-4BD3-A372-E3279FA68EE6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30" name="$E$125">
            <a:extLst>
              <a:ext uri="{FF2B5EF4-FFF2-40B4-BE49-F238E27FC236}">
                <a16:creationId xmlns:a16="http://schemas.microsoft.com/office/drawing/2014/main" id="{B317D7B1-FE47-454F-8DB7-8D559003A2D2}"/>
              </a:ext>
            </a:extLst>
          </xdr:cNvPr>
          <xdr:cNvSpPr/>
        </xdr:nvSpPr>
        <xdr:spPr>
          <a:xfrm>
            <a:off x="431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31" name="$E$125">
            <a:extLst>
              <a:ext uri="{FF2B5EF4-FFF2-40B4-BE49-F238E27FC236}">
                <a16:creationId xmlns:a16="http://schemas.microsoft.com/office/drawing/2014/main" id="{98BC936D-1B84-4162-9AD0-E2DC131B9296}"/>
              </a:ext>
            </a:extLst>
          </xdr:cNvPr>
          <xdr:cNvSpPr/>
        </xdr:nvSpPr>
        <xdr:spPr>
          <a:xfrm>
            <a:off x="444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32" name="$E$125">
            <a:extLst>
              <a:ext uri="{FF2B5EF4-FFF2-40B4-BE49-F238E27FC236}">
                <a16:creationId xmlns:a16="http://schemas.microsoft.com/office/drawing/2014/main" id="{05B58C81-C80C-4994-AFA8-6C243D85AFA2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33" name="$E$125">
            <a:extLst>
              <a:ext uri="{FF2B5EF4-FFF2-40B4-BE49-F238E27FC236}">
                <a16:creationId xmlns:a16="http://schemas.microsoft.com/office/drawing/2014/main" id="{90829E19-A975-48CC-8610-F50E2D1A2FE7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34" name="$E$125">
            <a:extLst>
              <a:ext uri="{FF2B5EF4-FFF2-40B4-BE49-F238E27FC236}">
                <a16:creationId xmlns:a16="http://schemas.microsoft.com/office/drawing/2014/main" id="{394E99E8-16C9-4C04-8AFE-260A213CAC15}"/>
              </a:ext>
            </a:extLst>
          </xdr:cNvPr>
          <xdr:cNvSpPr/>
        </xdr:nvSpPr>
        <xdr:spPr>
          <a:xfrm>
            <a:off x="63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35" name="$E$125">
            <a:extLst>
              <a:ext uri="{FF2B5EF4-FFF2-40B4-BE49-F238E27FC236}">
                <a16:creationId xmlns:a16="http://schemas.microsoft.com/office/drawing/2014/main" id="{A44F0A19-94E5-4E60-B5E4-548D0646D044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36" name="$E$125">
            <a:extLst>
              <a:ext uri="{FF2B5EF4-FFF2-40B4-BE49-F238E27FC236}">
                <a16:creationId xmlns:a16="http://schemas.microsoft.com/office/drawing/2014/main" id="{1D6FC91C-72E7-4D58-A34E-7CFD4F1BB386}"/>
              </a:ext>
            </a:extLst>
          </xdr:cNvPr>
          <xdr:cNvSpPr/>
        </xdr:nvSpPr>
        <xdr:spPr>
          <a:xfrm>
            <a:off x="88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37" name="$E$125">
            <a:extLst>
              <a:ext uri="{FF2B5EF4-FFF2-40B4-BE49-F238E27FC236}">
                <a16:creationId xmlns:a16="http://schemas.microsoft.com/office/drawing/2014/main" id="{453ABDC5-17B2-46FF-8800-CB423486F50D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38" name="$E$125">
            <a:extLst>
              <a:ext uri="{FF2B5EF4-FFF2-40B4-BE49-F238E27FC236}">
                <a16:creationId xmlns:a16="http://schemas.microsoft.com/office/drawing/2014/main" id="{E221F7D7-832A-4484-BC10-9B79E70C6039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39" name="$E$125">
            <a:extLst>
              <a:ext uri="{FF2B5EF4-FFF2-40B4-BE49-F238E27FC236}">
                <a16:creationId xmlns:a16="http://schemas.microsoft.com/office/drawing/2014/main" id="{3FE0DC90-6F24-4776-89E6-094EFDC1678E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40" name="$E$125">
            <a:extLst>
              <a:ext uri="{FF2B5EF4-FFF2-40B4-BE49-F238E27FC236}">
                <a16:creationId xmlns:a16="http://schemas.microsoft.com/office/drawing/2014/main" id="{D86A893D-486E-4FE5-ACE2-3192BB9238A9}"/>
              </a:ext>
            </a:extLst>
          </xdr:cNvPr>
          <xdr:cNvSpPr/>
        </xdr:nvSpPr>
        <xdr:spPr>
          <a:xfrm>
            <a:off x="165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41" name="$E$125">
            <a:extLst>
              <a:ext uri="{FF2B5EF4-FFF2-40B4-BE49-F238E27FC236}">
                <a16:creationId xmlns:a16="http://schemas.microsoft.com/office/drawing/2014/main" id="{A2A7576B-2911-4F26-898A-A45E1F6BF802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42" name="$E$125">
            <a:extLst>
              <a:ext uri="{FF2B5EF4-FFF2-40B4-BE49-F238E27FC236}">
                <a16:creationId xmlns:a16="http://schemas.microsoft.com/office/drawing/2014/main" id="{D9DF31FD-A182-4457-A1AD-2787366A1860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43" name="$E$125">
            <a:extLst>
              <a:ext uri="{FF2B5EF4-FFF2-40B4-BE49-F238E27FC236}">
                <a16:creationId xmlns:a16="http://schemas.microsoft.com/office/drawing/2014/main" id="{143B0A22-D1E0-41DF-96FF-12CE9FA03266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44" name="$E$125">
            <a:extLst>
              <a:ext uri="{FF2B5EF4-FFF2-40B4-BE49-F238E27FC236}">
                <a16:creationId xmlns:a16="http://schemas.microsoft.com/office/drawing/2014/main" id="{369D3DB7-ED32-41D4-B326-F29A644DC227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45" name="$E$125">
            <a:extLst>
              <a:ext uri="{FF2B5EF4-FFF2-40B4-BE49-F238E27FC236}">
                <a16:creationId xmlns:a16="http://schemas.microsoft.com/office/drawing/2014/main" id="{01CC541F-CA9B-46F3-847B-C4FEA41AFFD3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46" name="$E$125">
            <a:extLst>
              <a:ext uri="{FF2B5EF4-FFF2-40B4-BE49-F238E27FC236}">
                <a16:creationId xmlns:a16="http://schemas.microsoft.com/office/drawing/2014/main" id="{540760BC-6C15-4519-B7B7-193AB4FDD46E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47" name="$E$125">
            <a:extLst>
              <a:ext uri="{FF2B5EF4-FFF2-40B4-BE49-F238E27FC236}">
                <a16:creationId xmlns:a16="http://schemas.microsoft.com/office/drawing/2014/main" id="{2EA58B91-6741-44BF-ADF8-367230AB740B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48" name="$E$125">
            <a:extLst>
              <a:ext uri="{FF2B5EF4-FFF2-40B4-BE49-F238E27FC236}">
                <a16:creationId xmlns:a16="http://schemas.microsoft.com/office/drawing/2014/main" id="{9B408A2C-4B00-4761-A080-8BE79F3AE634}"/>
              </a:ext>
            </a:extLst>
          </xdr:cNvPr>
          <xdr:cNvSpPr/>
        </xdr:nvSpPr>
        <xdr:spPr>
          <a:xfrm>
            <a:off x="381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49" name="$E$125">
            <a:extLst>
              <a:ext uri="{FF2B5EF4-FFF2-40B4-BE49-F238E27FC236}">
                <a16:creationId xmlns:a16="http://schemas.microsoft.com/office/drawing/2014/main" id="{9BCE6364-1DD5-463D-B5DA-5AA9E821B0D6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50" name="$E$125">
            <a:extLst>
              <a:ext uri="{FF2B5EF4-FFF2-40B4-BE49-F238E27FC236}">
                <a16:creationId xmlns:a16="http://schemas.microsoft.com/office/drawing/2014/main" id="{BA02943A-9462-4CA0-971D-2D4FAAA51642}"/>
              </a:ext>
            </a:extLst>
          </xdr:cNvPr>
          <xdr:cNvSpPr/>
        </xdr:nvSpPr>
        <xdr:spPr>
          <a:xfrm>
            <a:off x="431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51" name="$E$125">
            <a:extLst>
              <a:ext uri="{FF2B5EF4-FFF2-40B4-BE49-F238E27FC236}">
                <a16:creationId xmlns:a16="http://schemas.microsoft.com/office/drawing/2014/main" id="{192EF611-3344-4B7D-96B3-ED68C1BCD6B2}"/>
              </a:ext>
            </a:extLst>
          </xdr:cNvPr>
          <xdr:cNvSpPr/>
        </xdr:nvSpPr>
        <xdr:spPr>
          <a:xfrm>
            <a:off x="444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52" name="$E$125">
            <a:extLst>
              <a:ext uri="{FF2B5EF4-FFF2-40B4-BE49-F238E27FC236}">
                <a16:creationId xmlns:a16="http://schemas.microsoft.com/office/drawing/2014/main" id="{830598D1-AE5A-4B2B-B35B-12291C795482}"/>
              </a:ext>
            </a:extLst>
          </xdr:cNvPr>
          <xdr:cNvSpPr/>
        </xdr:nvSpPr>
        <xdr:spPr>
          <a:xfrm>
            <a:off x="457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53" name="$E$125">
            <a:extLst>
              <a:ext uri="{FF2B5EF4-FFF2-40B4-BE49-F238E27FC236}">
                <a16:creationId xmlns:a16="http://schemas.microsoft.com/office/drawing/2014/main" id="{233889C3-6DE0-4A60-86A2-08908DF99C5F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54" name="$E$125">
            <a:extLst>
              <a:ext uri="{FF2B5EF4-FFF2-40B4-BE49-F238E27FC236}">
                <a16:creationId xmlns:a16="http://schemas.microsoft.com/office/drawing/2014/main" id="{EC0520EF-0C59-49CE-BD59-3F701C032B6E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55" name="$E$125">
            <a:extLst>
              <a:ext uri="{FF2B5EF4-FFF2-40B4-BE49-F238E27FC236}">
                <a16:creationId xmlns:a16="http://schemas.microsoft.com/office/drawing/2014/main" id="{8F2D36B2-A51B-4466-B89B-89383818C42E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56" name="$E$125">
            <a:extLst>
              <a:ext uri="{FF2B5EF4-FFF2-40B4-BE49-F238E27FC236}">
                <a16:creationId xmlns:a16="http://schemas.microsoft.com/office/drawing/2014/main" id="{92807BC4-D9C5-455D-851E-1C15C0722A96}"/>
              </a:ext>
            </a:extLst>
          </xdr:cNvPr>
          <xdr:cNvSpPr/>
        </xdr:nvSpPr>
        <xdr:spPr>
          <a:xfrm>
            <a:off x="50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57" name="$E$125">
            <a:extLst>
              <a:ext uri="{FF2B5EF4-FFF2-40B4-BE49-F238E27FC236}">
                <a16:creationId xmlns:a16="http://schemas.microsoft.com/office/drawing/2014/main" id="{09FD46D3-15A5-42D5-BA8F-8640D6DF8F73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58" name="$E$125">
            <a:extLst>
              <a:ext uri="{FF2B5EF4-FFF2-40B4-BE49-F238E27FC236}">
                <a16:creationId xmlns:a16="http://schemas.microsoft.com/office/drawing/2014/main" id="{870C1715-6E99-4ACF-9946-1C5BCE8462F8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59" name="$E$125">
            <a:extLst>
              <a:ext uri="{FF2B5EF4-FFF2-40B4-BE49-F238E27FC236}">
                <a16:creationId xmlns:a16="http://schemas.microsoft.com/office/drawing/2014/main" id="{C8261AAA-8780-4700-A51F-5AC2870111E1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60" name="$E$125">
            <a:extLst>
              <a:ext uri="{FF2B5EF4-FFF2-40B4-BE49-F238E27FC236}">
                <a16:creationId xmlns:a16="http://schemas.microsoft.com/office/drawing/2014/main" id="{A8E33C74-8349-48A0-81CC-85B4CF0DE223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61" name="$E$125">
            <a:extLst>
              <a:ext uri="{FF2B5EF4-FFF2-40B4-BE49-F238E27FC236}">
                <a16:creationId xmlns:a16="http://schemas.microsoft.com/office/drawing/2014/main" id="{EB2254C4-7264-4226-879E-4C79861436B4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62" name="$E$125">
            <a:extLst>
              <a:ext uri="{FF2B5EF4-FFF2-40B4-BE49-F238E27FC236}">
                <a16:creationId xmlns:a16="http://schemas.microsoft.com/office/drawing/2014/main" id="{4B0052BA-A01B-431B-A81C-D069144699D8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63" name="$E$125">
            <a:extLst>
              <a:ext uri="{FF2B5EF4-FFF2-40B4-BE49-F238E27FC236}">
                <a16:creationId xmlns:a16="http://schemas.microsoft.com/office/drawing/2014/main" id="{FC7EDD72-0FAE-4663-9F96-8DC2770B3D8D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64" name="$E$125">
            <a:extLst>
              <a:ext uri="{FF2B5EF4-FFF2-40B4-BE49-F238E27FC236}">
                <a16:creationId xmlns:a16="http://schemas.microsoft.com/office/drawing/2014/main" id="{0EAE42AB-14FE-4831-9FCA-E0B0FA297C3A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65" name="$E$125">
            <a:extLst>
              <a:ext uri="{FF2B5EF4-FFF2-40B4-BE49-F238E27FC236}">
                <a16:creationId xmlns:a16="http://schemas.microsoft.com/office/drawing/2014/main" id="{C5BF7FE0-B777-48F4-B44B-E88A961FECD9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66" name="$E$125">
            <a:extLst>
              <a:ext uri="{FF2B5EF4-FFF2-40B4-BE49-F238E27FC236}">
                <a16:creationId xmlns:a16="http://schemas.microsoft.com/office/drawing/2014/main" id="{64ADFB7F-F332-44F5-A288-CCB843CD4735}"/>
              </a:ext>
            </a:extLst>
          </xdr:cNvPr>
          <xdr:cNvSpPr/>
        </xdr:nvSpPr>
        <xdr:spPr>
          <a:xfrm>
            <a:off x="355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67" name="$E$125">
            <a:extLst>
              <a:ext uri="{FF2B5EF4-FFF2-40B4-BE49-F238E27FC236}">
                <a16:creationId xmlns:a16="http://schemas.microsoft.com/office/drawing/2014/main" id="{1F200150-7835-46CB-86E1-DEFDB9E503DF}"/>
              </a:ext>
            </a:extLst>
          </xdr:cNvPr>
          <xdr:cNvSpPr/>
        </xdr:nvSpPr>
        <xdr:spPr>
          <a:xfrm>
            <a:off x="368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68" name="$E$125">
            <a:extLst>
              <a:ext uri="{FF2B5EF4-FFF2-40B4-BE49-F238E27FC236}">
                <a16:creationId xmlns:a16="http://schemas.microsoft.com/office/drawing/2014/main" id="{FA95B051-163D-4C98-87AF-44C6B029049A}"/>
              </a:ext>
            </a:extLst>
          </xdr:cNvPr>
          <xdr:cNvSpPr/>
        </xdr:nvSpPr>
        <xdr:spPr>
          <a:xfrm>
            <a:off x="393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69" name="$E$125">
            <a:extLst>
              <a:ext uri="{FF2B5EF4-FFF2-40B4-BE49-F238E27FC236}">
                <a16:creationId xmlns:a16="http://schemas.microsoft.com/office/drawing/2014/main" id="{E40A8E99-CA4C-4B07-B7C8-544ABB291454}"/>
              </a:ext>
            </a:extLst>
          </xdr:cNvPr>
          <xdr:cNvSpPr/>
        </xdr:nvSpPr>
        <xdr:spPr>
          <a:xfrm>
            <a:off x="457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70" name="$E$125">
            <a:extLst>
              <a:ext uri="{FF2B5EF4-FFF2-40B4-BE49-F238E27FC236}">
                <a16:creationId xmlns:a16="http://schemas.microsoft.com/office/drawing/2014/main" id="{1B15674F-68CB-4FE8-A1F7-43B786A6496C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71" name="$E$125">
            <a:extLst>
              <a:ext uri="{FF2B5EF4-FFF2-40B4-BE49-F238E27FC236}">
                <a16:creationId xmlns:a16="http://schemas.microsoft.com/office/drawing/2014/main" id="{4F3B0D3E-610A-47F5-9CAC-29385080879E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72" name="$E$125">
            <a:extLst>
              <a:ext uri="{FF2B5EF4-FFF2-40B4-BE49-F238E27FC236}">
                <a16:creationId xmlns:a16="http://schemas.microsoft.com/office/drawing/2014/main" id="{EE1F2302-8D96-4E56-BD83-361203392DF8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73" name="$E$125">
            <a:extLst>
              <a:ext uri="{FF2B5EF4-FFF2-40B4-BE49-F238E27FC236}">
                <a16:creationId xmlns:a16="http://schemas.microsoft.com/office/drawing/2014/main" id="{155EE639-E65F-47B9-B3E6-11DE863DF3BB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74" name="$E$125">
            <a:extLst>
              <a:ext uri="{FF2B5EF4-FFF2-40B4-BE49-F238E27FC236}">
                <a16:creationId xmlns:a16="http://schemas.microsoft.com/office/drawing/2014/main" id="{0240E8A2-6519-4A78-AB4A-0D2E8D9346D9}"/>
              </a:ext>
            </a:extLst>
          </xdr:cNvPr>
          <xdr:cNvSpPr/>
        </xdr:nvSpPr>
        <xdr:spPr>
          <a:xfrm>
            <a:off x="101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75" name="$E$125">
            <a:extLst>
              <a:ext uri="{FF2B5EF4-FFF2-40B4-BE49-F238E27FC236}">
                <a16:creationId xmlns:a16="http://schemas.microsoft.com/office/drawing/2014/main" id="{B16B9BB0-5F0F-4CE6-BEF2-BE6B067848AC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76" name="$E$125">
            <a:extLst>
              <a:ext uri="{FF2B5EF4-FFF2-40B4-BE49-F238E27FC236}">
                <a16:creationId xmlns:a16="http://schemas.microsoft.com/office/drawing/2014/main" id="{707B18C8-AED1-4BEE-9113-0059CE70ADDC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77" name="$E$125">
            <a:extLst>
              <a:ext uri="{FF2B5EF4-FFF2-40B4-BE49-F238E27FC236}">
                <a16:creationId xmlns:a16="http://schemas.microsoft.com/office/drawing/2014/main" id="{E14E855B-D341-4AE4-B169-A7BFE837CA91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78" name="$E$125">
            <a:extLst>
              <a:ext uri="{FF2B5EF4-FFF2-40B4-BE49-F238E27FC236}">
                <a16:creationId xmlns:a16="http://schemas.microsoft.com/office/drawing/2014/main" id="{3FE12326-F4EF-42BC-8FAE-FD1C43F33A96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79" name="$E$125">
            <a:extLst>
              <a:ext uri="{FF2B5EF4-FFF2-40B4-BE49-F238E27FC236}">
                <a16:creationId xmlns:a16="http://schemas.microsoft.com/office/drawing/2014/main" id="{1ACBD02D-1089-4FA2-B87A-E5044A9EB604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80" name="$E$125">
            <a:extLst>
              <a:ext uri="{FF2B5EF4-FFF2-40B4-BE49-F238E27FC236}">
                <a16:creationId xmlns:a16="http://schemas.microsoft.com/office/drawing/2014/main" id="{90054D3E-DCC3-4C18-8480-D6C8AB70310F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81" name="$E$125">
            <a:extLst>
              <a:ext uri="{FF2B5EF4-FFF2-40B4-BE49-F238E27FC236}">
                <a16:creationId xmlns:a16="http://schemas.microsoft.com/office/drawing/2014/main" id="{03AD7410-BCF0-4BF9-BD3D-F326F4A3260C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82" name="$E$125">
            <a:extLst>
              <a:ext uri="{FF2B5EF4-FFF2-40B4-BE49-F238E27FC236}">
                <a16:creationId xmlns:a16="http://schemas.microsoft.com/office/drawing/2014/main" id="{CC503EA5-AE1F-4934-B737-9225016846BE}"/>
              </a:ext>
            </a:extLst>
          </xdr:cNvPr>
          <xdr:cNvSpPr/>
        </xdr:nvSpPr>
        <xdr:spPr>
          <a:xfrm>
            <a:off x="330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83" name="$E$125">
            <a:extLst>
              <a:ext uri="{FF2B5EF4-FFF2-40B4-BE49-F238E27FC236}">
                <a16:creationId xmlns:a16="http://schemas.microsoft.com/office/drawing/2014/main" id="{27B5508F-DE10-4C6E-B183-1109A0475742}"/>
              </a:ext>
            </a:extLst>
          </xdr:cNvPr>
          <xdr:cNvSpPr/>
        </xdr:nvSpPr>
        <xdr:spPr>
          <a:xfrm>
            <a:off x="368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84" name="$E$125">
            <a:extLst>
              <a:ext uri="{FF2B5EF4-FFF2-40B4-BE49-F238E27FC236}">
                <a16:creationId xmlns:a16="http://schemas.microsoft.com/office/drawing/2014/main" id="{0823C481-CFB5-4D93-8A7F-EF1BE3304F6B}"/>
              </a:ext>
            </a:extLst>
          </xdr:cNvPr>
          <xdr:cNvSpPr/>
        </xdr:nvSpPr>
        <xdr:spPr>
          <a:xfrm>
            <a:off x="381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85" name="$E$125">
            <a:extLst>
              <a:ext uri="{FF2B5EF4-FFF2-40B4-BE49-F238E27FC236}">
                <a16:creationId xmlns:a16="http://schemas.microsoft.com/office/drawing/2014/main" id="{F03B8DE0-A80C-4174-8B73-CA6F01C85465}"/>
              </a:ext>
            </a:extLst>
          </xdr:cNvPr>
          <xdr:cNvSpPr/>
        </xdr:nvSpPr>
        <xdr:spPr>
          <a:xfrm>
            <a:off x="406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86" name="$E$125">
            <a:extLst>
              <a:ext uri="{FF2B5EF4-FFF2-40B4-BE49-F238E27FC236}">
                <a16:creationId xmlns:a16="http://schemas.microsoft.com/office/drawing/2014/main" id="{4933F58E-5C64-49A8-9490-DF1F7CEB58C3}"/>
              </a:ext>
            </a:extLst>
          </xdr:cNvPr>
          <xdr:cNvSpPr/>
        </xdr:nvSpPr>
        <xdr:spPr>
          <a:xfrm>
            <a:off x="419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87" name="$E$125">
            <a:extLst>
              <a:ext uri="{FF2B5EF4-FFF2-40B4-BE49-F238E27FC236}">
                <a16:creationId xmlns:a16="http://schemas.microsoft.com/office/drawing/2014/main" id="{07F8433B-38BB-4438-8DA6-A5B279FAC193}"/>
              </a:ext>
            </a:extLst>
          </xdr:cNvPr>
          <xdr:cNvSpPr/>
        </xdr:nvSpPr>
        <xdr:spPr>
          <a:xfrm>
            <a:off x="431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88" name="$E$125">
            <a:extLst>
              <a:ext uri="{FF2B5EF4-FFF2-40B4-BE49-F238E27FC236}">
                <a16:creationId xmlns:a16="http://schemas.microsoft.com/office/drawing/2014/main" id="{4EA0EEF6-4C01-4660-AF12-EBD2F62E885A}"/>
              </a:ext>
            </a:extLst>
          </xdr:cNvPr>
          <xdr:cNvSpPr/>
        </xdr:nvSpPr>
        <xdr:spPr>
          <a:xfrm>
            <a:off x="444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89" name="$E$125">
            <a:extLst>
              <a:ext uri="{FF2B5EF4-FFF2-40B4-BE49-F238E27FC236}">
                <a16:creationId xmlns:a16="http://schemas.microsoft.com/office/drawing/2014/main" id="{B02807B5-A2A6-4D21-86D9-F3E59B178C5B}"/>
              </a:ext>
            </a:extLst>
          </xdr:cNvPr>
          <xdr:cNvSpPr/>
        </xdr:nvSpPr>
        <xdr:spPr>
          <a:xfrm>
            <a:off x="457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90" name="$E$125">
            <a:extLst>
              <a:ext uri="{FF2B5EF4-FFF2-40B4-BE49-F238E27FC236}">
                <a16:creationId xmlns:a16="http://schemas.microsoft.com/office/drawing/2014/main" id="{4CE6BC5C-551D-492C-A104-4987E2188F1A}"/>
              </a:ext>
            </a:extLst>
          </xdr:cNvPr>
          <xdr:cNvSpPr/>
        </xdr:nvSpPr>
        <xdr:spPr>
          <a:xfrm>
            <a:off x="12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91" name="$E$125">
            <a:extLst>
              <a:ext uri="{FF2B5EF4-FFF2-40B4-BE49-F238E27FC236}">
                <a16:creationId xmlns:a16="http://schemas.microsoft.com/office/drawing/2014/main" id="{82DBC88B-DD54-49A2-8963-167032A654AD}"/>
              </a:ext>
            </a:extLst>
          </xdr:cNvPr>
          <xdr:cNvSpPr/>
        </xdr:nvSpPr>
        <xdr:spPr>
          <a:xfrm>
            <a:off x="38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92" name="$E$125">
            <a:extLst>
              <a:ext uri="{FF2B5EF4-FFF2-40B4-BE49-F238E27FC236}">
                <a16:creationId xmlns:a16="http://schemas.microsoft.com/office/drawing/2014/main" id="{550F7D32-F769-4DE9-AB72-D03280A63936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93" name="$E$125">
            <a:extLst>
              <a:ext uri="{FF2B5EF4-FFF2-40B4-BE49-F238E27FC236}">
                <a16:creationId xmlns:a16="http://schemas.microsoft.com/office/drawing/2014/main" id="{E223CAF9-8033-49BD-8FC4-5D2DA21B61CA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94" name="$E$125">
            <a:extLst>
              <a:ext uri="{FF2B5EF4-FFF2-40B4-BE49-F238E27FC236}">
                <a16:creationId xmlns:a16="http://schemas.microsoft.com/office/drawing/2014/main" id="{2A9BF713-41F5-488A-9833-B12703890657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95" name="$E$125">
            <a:extLst>
              <a:ext uri="{FF2B5EF4-FFF2-40B4-BE49-F238E27FC236}">
                <a16:creationId xmlns:a16="http://schemas.microsoft.com/office/drawing/2014/main" id="{C9EB4EA4-9CC3-43F2-AED9-A47AA5627C69}"/>
              </a:ext>
            </a:extLst>
          </xdr:cNvPr>
          <xdr:cNvSpPr/>
        </xdr:nvSpPr>
        <xdr:spPr>
          <a:xfrm>
            <a:off x="152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96" name="$E$125">
            <a:extLst>
              <a:ext uri="{FF2B5EF4-FFF2-40B4-BE49-F238E27FC236}">
                <a16:creationId xmlns:a16="http://schemas.microsoft.com/office/drawing/2014/main" id="{006AEBBC-61C6-41BE-9CC5-26F7ECC64F14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97" name="$E$125">
            <a:extLst>
              <a:ext uri="{FF2B5EF4-FFF2-40B4-BE49-F238E27FC236}">
                <a16:creationId xmlns:a16="http://schemas.microsoft.com/office/drawing/2014/main" id="{6C905CD8-56FF-4A18-9DA0-97D130278B43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98" name="$E$125">
            <a:extLst>
              <a:ext uri="{FF2B5EF4-FFF2-40B4-BE49-F238E27FC236}">
                <a16:creationId xmlns:a16="http://schemas.microsoft.com/office/drawing/2014/main" id="{A9C6587F-9B46-4FE9-9047-398E711C16B9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199" name="$E$125">
            <a:extLst>
              <a:ext uri="{FF2B5EF4-FFF2-40B4-BE49-F238E27FC236}">
                <a16:creationId xmlns:a16="http://schemas.microsoft.com/office/drawing/2014/main" id="{7A6BE14A-AEEC-4068-AD1B-22BF62FB551D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00" name="$E$125">
            <a:extLst>
              <a:ext uri="{FF2B5EF4-FFF2-40B4-BE49-F238E27FC236}">
                <a16:creationId xmlns:a16="http://schemas.microsoft.com/office/drawing/2014/main" id="{24AD330E-132E-4CE7-AA4A-25F089F6EFB2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01" name="$E$125">
            <a:extLst>
              <a:ext uri="{FF2B5EF4-FFF2-40B4-BE49-F238E27FC236}">
                <a16:creationId xmlns:a16="http://schemas.microsoft.com/office/drawing/2014/main" id="{5AA3F474-C74C-45B0-8E22-7A3162158FF6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02" name="$E$125">
            <a:extLst>
              <a:ext uri="{FF2B5EF4-FFF2-40B4-BE49-F238E27FC236}">
                <a16:creationId xmlns:a16="http://schemas.microsoft.com/office/drawing/2014/main" id="{AEA05262-49E9-4BBA-A8B3-94EC2204EC01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03" name="$E$125">
            <a:extLst>
              <a:ext uri="{FF2B5EF4-FFF2-40B4-BE49-F238E27FC236}">
                <a16:creationId xmlns:a16="http://schemas.microsoft.com/office/drawing/2014/main" id="{3C893E1E-E085-4815-8C77-408123837AC3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04" name="$E$125">
            <a:extLst>
              <a:ext uri="{FF2B5EF4-FFF2-40B4-BE49-F238E27FC236}">
                <a16:creationId xmlns:a16="http://schemas.microsoft.com/office/drawing/2014/main" id="{1E210CAA-8E50-4589-A3E0-31C13F5F23C5}"/>
              </a:ext>
            </a:extLst>
          </xdr:cNvPr>
          <xdr:cNvSpPr/>
        </xdr:nvSpPr>
        <xdr:spPr>
          <a:xfrm>
            <a:off x="419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05" name="$E$125">
            <a:extLst>
              <a:ext uri="{FF2B5EF4-FFF2-40B4-BE49-F238E27FC236}">
                <a16:creationId xmlns:a16="http://schemas.microsoft.com/office/drawing/2014/main" id="{3A0C4D38-F5D9-4299-B05A-809B60E7C0F9}"/>
              </a:ext>
            </a:extLst>
          </xdr:cNvPr>
          <xdr:cNvSpPr/>
        </xdr:nvSpPr>
        <xdr:spPr>
          <a:xfrm>
            <a:off x="444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06" name="$E$125">
            <a:extLst>
              <a:ext uri="{FF2B5EF4-FFF2-40B4-BE49-F238E27FC236}">
                <a16:creationId xmlns:a16="http://schemas.microsoft.com/office/drawing/2014/main" id="{810D9D3E-31F9-40B3-B3C7-FAAC664F40AF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07" name="$E$125">
            <a:extLst>
              <a:ext uri="{FF2B5EF4-FFF2-40B4-BE49-F238E27FC236}">
                <a16:creationId xmlns:a16="http://schemas.microsoft.com/office/drawing/2014/main" id="{29DB9239-6031-4AE3-B733-521C8C347698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08" name="$E$125">
            <a:extLst>
              <a:ext uri="{FF2B5EF4-FFF2-40B4-BE49-F238E27FC236}">
                <a16:creationId xmlns:a16="http://schemas.microsoft.com/office/drawing/2014/main" id="{5936C508-B529-4F84-A4D5-31F87443B6B1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09" name="$E$125">
            <a:extLst>
              <a:ext uri="{FF2B5EF4-FFF2-40B4-BE49-F238E27FC236}">
                <a16:creationId xmlns:a16="http://schemas.microsoft.com/office/drawing/2014/main" id="{FFB9E298-78F2-48D4-BDC1-C37D839AB727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10" name="$E$125">
            <a:extLst>
              <a:ext uri="{FF2B5EF4-FFF2-40B4-BE49-F238E27FC236}">
                <a16:creationId xmlns:a16="http://schemas.microsoft.com/office/drawing/2014/main" id="{546C9A14-944F-47DC-8751-FC2C5D8BF285}"/>
              </a:ext>
            </a:extLst>
          </xdr:cNvPr>
          <xdr:cNvSpPr/>
        </xdr:nvSpPr>
        <xdr:spPr>
          <a:xfrm>
            <a:off x="101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11" name="$E$125">
            <a:extLst>
              <a:ext uri="{FF2B5EF4-FFF2-40B4-BE49-F238E27FC236}">
                <a16:creationId xmlns:a16="http://schemas.microsoft.com/office/drawing/2014/main" id="{D2E72FED-C413-4761-855D-5141AE53CFB5}"/>
              </a:ext>
            </a:extLst>
          </xdr:cNvPr>
          <xdr:cNvSpPr/>
        </xdr:nvSpPr>
        <xdr:spPr>
          <a:xfrm>
            <a:off x="114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12" name="$E$125">
            <a:extLst>
              <a:ext uri="{FF2B5EF4-FFF2-40B4-BE49-F238E27FC236}">
                <a16:creationId xmlns:a16="http://schemas.microsoft.com/office/drawing/2014/main" id="{71AB14C5-AAF9-47F9-9245-A5587BDD1D7A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13" name="$E$125">
            <a:extLst>
              <a:ext uri="{FF2B5EF4-FFF2-40B4-BE49-F238E27FC236}">
                <a16:creationId xmlns:a16="http://schemas.microsoft.com/office/drawing/2014/main" id="{A4969FFB-B9C4-418F-880E-3CB6ECF762B8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14" name="$E$125">
            <a:extLst>
              <a:ext uri="{FF2B5EF4-FFF2-40B4-BE49-F238E27FC236}">
                <a16:creationId xmlns:a16="http://schemas.microsoft.com/office/drawing/2014/main" id="{D58CCD65-68D7-4DD4-9094-E907DE5F3A95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15" name="$E$125">
            <a:extLst>
              <a:ext uri="{FF2B5EF4-FFF2-40B4-BE49-F238E27FC236}">
                <a16:creationId xmlns:a16="http://schemas.microsoft.com/office/drawing/2014/main" id="{CED89F53-2495-4CE1-942C-735AA8025126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16" name="$E$125">
            <a:extLst>
              <a:ext uri="{FF2B5EF4-FFF2-40B4-BE49-F238E27FC236}">
                <a16:creationId xmlns:a16="http://schemas.microsoft.com/office/drawing/2014/main" id="{99A39E35-0BE1-4DC0-8EBB-467FE239B694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17" name="$E$125">
            <a:extLst>
              <a:ext uri="{FF2B5EF4-FFF2-40B4-BE49-F238E27FC236}">
                <a16:creationId xmlns:a16="http://schemas.microsoft.com/office/drawing/2014/main" id="{12C226CC-911A-495A-A990-A83877860AC1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18" name="$E$125">
            <a:extLst>
              <a:ext uri="{FF2B5EF4-FFF2-40B4-BE49-F238E27FC236}">
                <a16:creationId xmlns:a16="http://schemas.microsoft.com/office/drawing/2014/main" id="{93E0FEB1-24B3-48CE-A6EF-0BDA2ED06498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19" name="$E$125">
            <a:extLst>
              <a:ext uri="{FF2B5EF4-FFF2-40B4-BE49-F238E27FC236}">
                <a16:creationId xmlns:a16="http://schemas.microsoft.com/office/drawing/2014/main" id="{DC98F214-5028-4A96-9A00-C799F578C299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20" name="$E$125">
            <a:extLst>
              <a:ext uri="{FF2B5EF4-FFF2-40B4-BE49-F238E27FC236}">
                <a16:creationId xmlns:a16="http://schemas.microsoft.com/office/drawing/2014/main" id="{9F5AC115-19A4-40C6-957A-B4813B09E1D6}"/>
              </a:ext>
            </a:extLst>
          </xdr:cNvPr>
          <xdr:cNvSpPr/>
        </xdr:nvSpPr>
        <xdr:spPr>
          <a:xfrm>
            <a:off x="330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21" name="$E$125">
            <a:extLst>
              <a:ext uri="{FF2B5EF4-FFF2-40B4-BE49-F238E27FC236}">
                <a16:creationId xmlns:a16="http://schemas.microsoft.com/office/drawing/2014/main" id="{AA8D77F7-FDCC-455C-9696-78F680FE7989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22" name="$E$125">
            <a:extLst>
              <a:ext uri="{FF2B5EF4-FFF2-40B4-BE49-F238E27FC236}">
                <a16:creationId xmlns:a16="http://schemas.microsoft.com/office/drawing/2014/main" id="{069D5722-4587-4B84-BF3F-C9BF5FFA0CAE}"/>
              </a:ext>
            </a:extLst>
          </xdr:cNvPr>
          <xdr:cNvSpPr/>
        </xdr:nvSpPr>
        <xdr:spPr>
          <a:xfrm>
            <a:off x="355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23" name="$E$125">
            <a:extLst>
              <a:ext uri="{FF2B5EF4-FFF2-40B4-BE49-F238E27FC236}">
                <a16:creationId xmlns:a16="http://schemas.microsoft.com/office/drawing/2014/main" id="{1F457BB8-5178-4568-A695-C3F7BC34300A}"/>
              </a:ext>
            </a:extLst>
          </xdr:cNvPr>
          <xdr:cNvSpPr/>
        </xdr:nvSpPr>
        <xdr:spPr>
          <a:xfrm>
            <a:off x="431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24" name="$E$125">
            <a:extLst>
              <a:ext uri="{FF2B5EF4-FFF2-40B4-BE49-F238E27FC236}">
                <a16:creationId xmlns:a16="http://schemas.microsoft.com/office/drawing/2014/main" id="{4F803A08-4E1B-40C4-98BB-0E25128BFF2B}"/>
              </a:ext>
            </a:extLst>
          </xdr:cNvPr>
          <xdr:cNvSpPr/>
        </xdr:nvSpPr>
        <xdr:spPr>
          <a:xfrm>
            <a:off x="444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25" name="$E$125">
            <a:extLst>
              <a:ext uri="{FF2B5EF4-FFF2-40B4-BE49-F238E27FC236}">
                <a16:creationId xmlns:a16="http://schemas.microsoft.com/office/drawing/2014/main" id="{93E59B7A-A7E8-4EAE-9DCA-63E26DE1EF74}"/>
              </a:ext>
            </a:extLst>
          </xdr:cNvPr>
          <xdr:cNvSpPr/>
        </xdr:nvSpPr>
        <xdr:spPr>
          <a:xfrm>
            <a:off x="457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26" name="$E$125">
            <a:extLst>
              <a:ext uri="{FF2B5EF4-FFF2-40B4-BE49-F238E27FC236}">
                <a16:creationId xmlns:a16="http://schemas.microsoft.com/office/drawing/2014/main" id="{0B951DF2-6C1A-42EC-986C-44508A6F8FCA}"/>
              </a:ext>
            </a:extLst>
          </xdr:cNvPr>
          <xdr:cNvSpPr/>
        </xdr:nvSpPr>
        <xdr:spPr>
          <a:xfrm>
            <a:off x="12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27" name="$E$125">
            <a:extLst>
              <a:ext uri="{FF2B5EF4-FFF2-40B4-BE49-F238E27FC236}">
                <a16:creationId xmlns:a16="http://schemas.microsoft.com/office/drawing/2014/main" id="{E5A28EFA-D5F3-4E00-9C6E-8E3DB1B65180}"/>
              </a:ext>
            </a:extLst>
          </xdr:cNvPr>
          <xdr:cNvSpPr/>
        </xdr:nvSpPr>
        <xdr:spPr>
          <a:xfrm>
            <a:off x="50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28" name="$E$125">
            <a:extLst>
              <a:ext uri="{FF2B5EF4-FFF2-40B4-BE49-F238E27FC236}">
                <a16:creationId xmlns:a16="http://schemas.microsoft.com/office/drawing/2014/main" id="{7B3158EE-DF22-433C-9F7F-D00926FB0B1D}"/>
              </a:ext>
            </a:extLst>
          </xdr:cNvPr>
          <xdr:cNvSpPr/>
        </xdr:nvSpPr>
        <xdr:spPr>
          <a:xfrm>
            <a:off x="88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29" name="$E$125">
            <a:extLst>
              <a:ext uri="{FF2B5EF4-FFF2-40B4-BE49-F238E27FC236}">
                <a16:creationId xmlns:a16="http://schemas.microsoft.com/office/drawing/2014/main" id="{79D473FF-DA3A-4F11-B939-5CC43BF1E5C1}"/>
              </a:ext>
            </a:extLst>
          </xdr:cNvPr>
          <xdr:cNvSpPr/>
        </xdr:nvSpPr>
        <xdr:spPr>
          <a:xfrm>
            <a:off x="127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30" name="$E$125">
            <a:extLst>
              <a:ext uri="{FF2B5EF4-FFF2-40B4-BE49-F238E27FC236}">
                <a16:creationId xmlns:a16="http://schemas.microsoft.com/office/drawing/2014/main" id="{20FBAD10-2BC2-49FE-9A35-9D1907E59FE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31" name="$E$125">
            <a:extLst>
              <a:ext uri="{FF2B5EF4-FFF2-40B4-BE49-F238E27FC236}">
                <a16:creationId xmlns:a16="http://schemas.microsoft.com/office/drawing/2014/main" id="{92446942-D1E4-4C95-B21F-03EFBF2F64B3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32" name="$E$125">
            <a:extLst>
              <a:ext uri="{FF2B5EF4-FFF2-40B4-BE49-F238E27FC236}">
                <a16:creationId xmlns:a16="http://schemas.microsoft.com/office/drawing/2014/main" id="{A0780CD0-547F-4E04-ACC7-0486954A2CF4}"/>
              </a:ext>
            </a:extLst>
          </xdr:cNvPr>
          <xdr:cNvSpPr/>
        </xdr:nvSpPr>
        <xdr:spPr>
          <a:xfrm>
            <a:off x="241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33" name="$E$125">
            <a:extLst>
              <a:ext uri="{FF2B5EF4-FFF2-40B4-BE49-F238E27FC236}">
                <a16:creationId xmlns:a16="http://schemas.microsoft.com/office/drawing/2014/main" id="{0BCA9216-6E1A-4626-9A8E-7B2502F660CE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34" name="$E$125">
            <a:extLst>
              <a:ext uri="{FF2B5EF4-FFF2-40B4-BE49-F238E27FC236}">
                <a16:creationId xmlns:a16="http://schemas.microsoft.com/office/drawing/2014/main" id="{4944FB27-BF38-4B3B-BB3A-3317F5A710C4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35" name="$E$125">
            <a:extLst>
              <a:ext uri="{FF2B5EF4-FFF2-40B4-BE49-F238E27FC236}">
                <a16:creationId xmlns:a16="http://schemas.microsoft.com/office/drawing/2014/main" id="{6CABE410-410B-43BC-9AE6-B2938D63844A}"/>
              </a:ext>
            </a:extLst>
          </xdr:cNvPr>
          <xdr:cNvSpPr/>
        </xdr:nvSpPr>
        <xdr:spPr>
          <a:xfrm>
            <a:off x="330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36" name="$E$125">
            <a:extLst>
              <a:ext uri="{FF2B5EF4-FFF2-40B4-BE49-F238E27FC236}">
                <a16:creationId xmlns:a16="http://schemas.microsoft.com/office/drawing/2014/main" id="{DBA60440-D80C-42FA-8901-0F54ECF76231}"/>
              </a:ext>
            </a:extLst>
          </xdr:cNvPr>
          <xdr:cNvSpPr/>
        </xdr:nvSpPr>
        <xdr:spPr>
          <a:xfrm>
            <a:off x="355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37" name="$E$125">
            <a:extLst>
              <a:ext uri="{FF2B5EF4-FFF2-40B4-BE49-F238E27FC236}">
                <a16:creationId xmlns:a16="http://schemas.microsoft.com/office/drawing/2014/main" id="{6B270029-5446-41E9-9FD3-38E3B21C8A16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38" name="$E$125">
            <a:extLst>
              <a:ext uri="{FF2B5EF4-FFF2-40B4-BE49-F238E27FC236}">
                <a16:creationId xmlns:a16="http://schemas.microsoft.com/office/drawing/2014/main" id="{C08CEB5C-6C03-4FC0-B345-466721D570AA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39" name="$E$125">
            <a:extLst>
              <a:ext uri="{FF2B5EF4-FFF2-40B4-BE49-F238E27FC236}">
                <a16:creationId xmlns:a16="http://schemas.microsoft.com/office/drawing/2014/main" id="{0BC21565-4ED9-40C9-AA34-450BCB58DBAB}"/>
              </a:ext>
            </a:extLst>
          </xdr:cNvPr>
          <xdr:cNvSpPr/>
        </xdr:nvSpPr>
        <xdr:spPr>
          <a:xfrm>
            <a:off x="393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40" name="$E$125">
            <a:extLst>
              <a:ext uri="{FF2B5EF4-FFF2-40B4-BE49-F238E27FC236}">
                <a16:creationId xmlns:a16="http://schemas.microsoft.com/office/drawing/2014/main" id="{2741CC17-A6ED-47CB-99D3-CB5291411B8B}"/>
              </a:ext>
            </a:extLst>
          </xdr:cNvPr>
          <xdr:cNvSpPr/>
        </xdr:nvSpPr>
        <xdr:spPr>
          <a:xfrm>
            <a:off x="457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41" name="$E$125">
            <a:extLst>
              <a:ext uri="{FF2B5EF4-FFF2-40B4-BE49-F238E27FC236}">
                <a16:creationId xmlns:a16="http://schemas.microsoft.com/office/drawing/2014/main" id="{4ACD2573-66C2-4A54-AD22-A8DA6426EFC7}"/>
              </a:ext>
            </a:extLst>
          </xdr:cNvPr>
          <xdr:cNvSpPr/>
        </xdr:nvSpPr>
        <xdr:spPr>
          <a:xfrm>
            <a:off x="12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42" name="$E$125">
            <a:extLst>
              <a:ext uri="{FF2B5EF4-FFF2-40B4-BE49-F238E27FC236}">
                <a16:creationId xmlns:a16="http://schemas.microsoft.com/office/drawing/2014/main" id="{BACFE409-17DD-45FA-BB28-E5FE888FDDE9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43" name="$E$125">
            <a:extLst>
              <a:ext uri="{FF2B5EF4-FFF2-40B4-BE49-F238E27FC236}">
                <a16:creationId xmlns:a16="http://schemas.microsoft.com/office/drawing/2014/main" id="{32600AD2-A669-40A0-8407-291A0DF4C8DA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44" name="$E$125">
            <a:extLst>
              <a:ext uri="{FF2B5EF4-FFF2-40B4-BE49-F238E27FC236}">
                <a16:creationId xmlns:a16="http://schemas.microsoft.com/office/drawing/2014/main" id="{97586050-E389-468E-820D-967946D92248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45" name="$E$125">
            <a:extLst>
              <a:ext uri="{FF2B5EF4-FFF2-40B4-BE49-F238E27FC236}">
                <a16:creationId xmlns:a16="http://schemas.microsoft.com/office/drawing/2014/main" id="{2380CF6B-A9F7-4E07-8DD2-0188E4667175}"/>
              </a:ext>
            </a:extLst>
          </xdr:cNvPr>
          <xdr:cNvSpPr/>
        </xdr:nvSpPr>
        <xdr:spPr>
          <a:xfrm>
            <a:off x="88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46" name="$E$125">
            <a:extLst>
              <a:ext uri="{FF2B5EF4-FFF2-40B4-BE49-F238E27FC236}">
                <a16:creationId xmlns:a16="http://schemas.microsoft.com/office/drawing/2014/main" id="{6B7D5A14-04D5-47BA-A5C2-11B24C9C05BF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47" name="$E$125">
            <a:extLst>
              <a:ext uri="{FF2B5EF4-FFF2-40B4-BE49-F238E27FC236}">
                <a16:creationId xmlns:a16="http://schemas.microsoft.com/office/drawing/2014/main" id="{8B6B6307-6B3B-48C2-837F-9109EDA802DC}"/>
              </a:ext>
            </a:extLst>
          </xdr:cNvPr>
          <xdr:cNvSpPr/>
        </xdr:nvSpPr>
        <xdr:spPr>
          <a:xfrm>
            <a:off x="152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48" name="$E$125">
            <a:extLst>
              <a:ext uri="{FF2B5EF4-FFF2-40B4-BE49-F238E27FC236}">
                <a16:creationId xmlns:a16="http://schemas.microsoft.com/office/drawing/2014/main" id="{508BB858-9AE2-469A-9892-76E98C121CD3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49" name="$E$125">
            <a:extLst>
              <a:ext uri="{FF2B5EF4-FFF2-40B4-BE49-F238E27FC236}">
                <a16:creationId xmlns:a16="http://schemas.microsoft.com/office/drawing/2014/main" id="{30B9631C-7871-4B70-8709-58F32BFDF564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50" name="$E$125">
            <a:extLst>
              <a:ext uri="{FF2B5EF4-FFF2-40B4-BE49-F238E27FC236}">
                <a16:creationId xmlns:a16="http://schemas.microsoft.com/office/drawing/2014/main" id="{FD198CF1-FF15-40FA-A952-3780AC2F2421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51" name="$E$125">
            <a:extLst>
              <a:ext uri="{FF2B5EF4-FFF2-40B4-BE49-F238E27FC236}">
                <a16:creationId xmlns:a16="http://schemas.microsoft.com/office/drawing/2014/main" id="{E5669D35-A558-4839-8A3F-F33F1D53F451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52" name="$E$125">
            <a:extLst>
              <a:ext uri="{FF2B5EF4-FFF2-40B4-BE49-F238E27FC236}">
                <a16:creationId xmlns:a16="http://schemas.microsoft.com/office/drawing/2014/main" id="{E9FDA8F2-2EEB-4D4D-8C94-5A506302EFB1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53" name="$E$125">
            <a:extLst>
              <a:ext uri="{FF2B5EF4-FFF2-40B4-BE49-F238E27FC236}">
                <a16:creationId xmlns:a16="http://schemas.microsoft.com/office/drawing/2014/main" id="{D7858ABF-C691-435A-8A81-592B06E423CC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54" name="$E$125">
            <a:extLst>
              <a:ext uri="{FF2B5EF4-FFF2-40B4-BE49-F238E27FC236}">
                <a16:creationId xmlns:a16="http://schemas.microsoft.com/office/drawing/2014/main" id="{ED9B4C65-C1A8-4D71-BCF3-411B40F1C3EF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55" name="$E$125">
            <a:extLst>
              <a:ext uri="{FF2B5EF4-FFF2-40B4-BE49-F238E27FC236}">
                <a16:creationId xmlns:a16="http://schemas.microsoft.com/office/drawing/2014/main" id="{1E3408F6-4BDD-4158-BD36-B36B76CA0BD4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56" name="$E$125">
            <a:extLst>
              <a:ext uri="{FF2B5EF4-FFF2-40B4-BE49-F238E27FC236}">
                <a16:creationId xmlns:a16="http://schemas.microsoft.com/office/drawing/2014/main" id="{6FB8B60A-B925-43B1-9D7E-B2900339F98B}"/>
              </a:ext>
            </a:extLst>
          </xdr:cNvPr>
          <xdr:cNvSpPr/>
        </xdr:nvSpPr>
        <xdr:spPr>
          <a:xfrm>
            <a:off x="368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57" name="$E$125">
            <a:extLst>
              <a:ext uri="{FF2B5EF4-FFF2-40B4-BE49-F238E27FC236}">
                <a16:creationId xmlns:a16="http://schemas.microsoft.com/office/drawing/2014/main" id="{BE479C6A-8ED2-4F7D-A9BF-901EA209E67A}"/>
              </a:ext>
            </a:extLst>
          </xdr:cNvPr>
          <xdr:cNvSpPr/>
        </xdr:nvSpPr>
        <xdr:spPr>
          <a:xfrm>
            <a:off x="381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58" name="$E$125">
            <a:extLst>
              <a:ext uri="{FF2B5EF4-FFF2-40B4-BE49-F238E27FC236}">
                <a16:creationId xmlns:a16="http://schemas.microsoft.com/office/drawing/2014/main" id="{D6D1CAC0-085B-4E82-865A-9613BFAE7DAC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59" name="$E$125">
            <a:extLst>
              <a:ext uri="{FF2B5EF4-FFF2-40B4-BE49-F238E27FC236}">
                <a16:creationId xmlns:a16="http://schemas.microsoft.com/office/drawing/2014/main" id="{3A10B4C6-2AE5-46CE-83CF-F1629F5FDC42}"/>
              </a:ext>
            </a:extLst>
          </xdr:cNvPr>
          <xdr:cNvSpPr/>
        </xdr:nvSpPr>
        <xdr:spPr>
          <a:xfrm>
            <a:off x="419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60" name="$E$125">
            <a:extLst>
              <a:ext uri="{FF2B5EF4-FFF2-40B4-BE49-F238E27FC236}">
                <a16:creationId xmlns:a16="http://schemas.microsoft.com/office/drawing/2014/main" id="{FFF6E599-0FE4-472B-8E31-ADEBF76CADD7}"/>
              </a:ext>
            </a:extLst>
          </xdr:cNvPr>
          <xdr:cNvSpPr/>
        </xdr:nvSpPr>
        <xdr:spPr>
          <a:xfrm>
            <a:off x="431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61" name="$E$125">
            <a:extLst>
              <a:ext uri="{FF2B5EF4-FFF2-40B4-BE49-F238E27FC236}">
                <a16:creationId xmlns:a16="http://schemas.microsoft.com/office/drawing/2014/main" id="{E6E0A61B-462B-46B7-9EA5-1E1F46D62E97}"/>
              </a:ext>
            </a:extLst>
          </xdr:cNvPr>
          <xdr:cNvSpPr/>
        </xdr:nvSpPr>
        <xdr:spPr>
          <a:xfrm>
            <a:off x="444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62" name="$E$125">
            <a:extLst>
              <a:ext uri="{FF2B5EF4-FFF2-40B4-BE49-F238E27FC236}">
                <a16:creationId xmlns:a16="http://schemas.microsoft.com/office/drawing/2014/main" id="{21E451C5-CF59-4A07-B5EF-0FE910E269FC}"/>
              </a:ext>
            </a:extLst>
          </xdr:cNvPr>
          <xdr:cNvSpPr/>
        </xdr:nvSpPr>
        <xdr:spPr>
          <a:xfrm>
            <a:off x="457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63" name="$E$125">
            <a:extLst>
              <a:ext uri="{FF2B5EF4-FFF2-40B4-BE49-F238E27FC236}">
                <a16:creationId xmlns:a16="http://schemas.microsoft.com/office/drawing/2014/main" id="{10A5349A-1650-4CDB-97AE-146C5032385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64" name="$E$125">
            <a:extLst>
              <a:ext uri="{FF2B5EF4-FFF2-40B4-BE49-F238E27FC236}">
                <a16:creationId xmlns:a16="http://schemas.microsoft.com/office/drawing/2014/main" id="{6063B659-3A26-4FFF-8097-59E3F4E7A499}"/>
              </a:ext>
            </a:extLst>
          </xdr:cNvPr>
          <xdr:cNvSpPr/>
        </xdr:nvSpPr>
        <xdr:spPr>
          <a:xfrm>
            <a:off x="12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65" name="$E$125">
            <a:extLst>
              <a:ext uri="{FF2B5EF4-FFF2-40B4-BE49-F238E27FC236}">
                <a16:creationId xmlns:a16="http://schemas.microsoft.com/office/drawing/2014/main" id="{9586E744-D5C0-4767-B702-B7B471F34DC3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66" name="$E$125">
            <a:extLst>
              <a:ext uri="{FF2B5EF4-FFF2-40B4-BE49-F238E27FC236}">
                <a16:creationId xmlns:a16="http://schemas.microsoft.com/office/drawing/2014/main" id="{57C136E4-9FB9-40CC-B98F-D74D1B80A98A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67" name="$E$125">
            <a:extLst>
              <a:ext uri="{FF2B5EF4-FFF2-40B4-BE49-F238E27FC236}">
                <a16:creationId xmlns:a16="http://schemas.microsoft.com/office/drawing/2014/main" id="{6C3B4810-10CD-40A3-941B-D3CDB79105B1}"/>
              </a:ext>
            </a:extLst>
          </xdr:cNvPr>
          <xdr:cNvSpPr/>
        </xdr:nvSpPr>
        <xdr:spPr>
          <a:xfrm>
            <a:off x="63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68" name="$E$125">
            <a:extLst>
              <a:ext uri="{FF2B5EF4-FFF2-40B4-BE49-F238E27FC236}">
                <a16:creationId xmlns:a16="http://schemas.microsoft.com/office/drawing/2014/main" id="{A5B1E792-BCFA-453C-AFD9-C5E26E633077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69" name="$E$125">
            <a:extLst>
              <a:ext uri="{FF2B5EF4-FFF2-40B4-BE49-F238E27FC236}">
                <a16:creationId xmlns:a16="http://schemas.microsoft.com/office/drawing/2014/main" id="{E834D8C9-F138-4C1A-B317-FADC3CEDEEF6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70" name="$E$125">
            <a:extLst>
              <a:ext uri="{FF2B5EF4-FFF2-40B4-BE49-F238E27FC236}">
                <a16:creationId xmlns:a16="http://schemas.microsoft.com/office/drawing/2014/main" id="{8EA8128C-B7B2-4BD3-BC8E-9337C2FED26F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71" name="$E$125">
            <a:extLst>
              <a:ext uri="{FF2B5EF4-FFF2-40B4-BE49-F238E27FC236}">
                <a16:creationId xmlns:a16="http://schemas.microsoft.com/office/drawing/2014/main" id="{4A878527-CB14-4BB1-8F15-123D8996E64D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72" name="$E$125">
            <a:extLst>
              <a:ext uri="{FF2B5EF4-FFF2-40B4-BE49-F238E27FC236}">
                <a16:creationId xmlns:a16="http://schemas.microsoft.com/office/drawing/2014/main" id="{962A6ED3-8D85-42B2-B910-C5748BC9FF71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73" name="$E$125">
            <a:extLst>
              <a:ext uri="{FF2B5EF4-FFF2-40B4-BE49-F238E27FC236}">
                <a16:creationId xmlns:a16="http://schemas.microsoft.com/office/drawing/2014/main" id="{82131C92-FC38-4F4C-8129-BF283455B73E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74" name="$E$125">
            <a:extLst>
              <a:ext uri="{FF2B5EF4-FFF2-40B4-BE49-F238E27FC236}">
                <a16:creationId xmlns:a16="http://schemas.microsoft.com/office/drawing/2014/main" id="{6A707B33-83FB-4230-A3ED-A1604F3F7040}"/>
              </a:ext>
            </a:extLst>
          </xdr:cNvPr>
          <xdr:cNvSpPr/>
        </xdr:nvSpPr>
        <xdr:spPr>
          <a:xfrm>
            <a:off x="292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75" name="$E$125">
            <a:extLst>
              <a:ext uri="{FF2B5EF4-FFF2-40B4-BE49-F238E27FC236}">
                <a16:creationId xmlns:a16="http://schemas.microsoft.com/office/drawing/2014/main" id="{681CEA83-0F78-411E-963F-210FE13A09E7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76" name="$E$125">
            <a:extLst>
              <a:ext uri="{FF2B5EF4-FFF2-40B4-BE49-F238E27FC236}">
                <a16:creationId xmlns:a16="http://schemas.microsoft.com/office/drawing/2014/main" id="{1F8E48CF-F9BA-42F9-A272-311DEA0457BC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77" name="$E$125">
            <a:extLst>
              <a:ext uri="{FF2B5EF4-FFF2-40B4-BE49-F238E27FC236}">
                <a16:creationId xmlns:a16="http://schemas.microsoft.com/office/drawing/2014/main" id="{2B6D52E8-78E0-4855-9170-033DB69DA10D}"/>
              </a:ext>
            </a:extLst>
          </xdr:cNvPr>
          <xdr:cNvSpPr/>
        </xdr:nvSpPr>
        <xdr:spPr>
          <a:xfrm>
            <a:off x="368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78" name="$E$125">
            <a:extLst>
              <a:ext uri="{FF2B5EF4-FFF2-40B4-BE49-F238E27FC236}">
                <a16:creationId xmlns:a16="http://schemas.microsoft.com/office/drawing/2014/main" id="{D8E80C63-86FC-4CC3-A765-E810A9E25E7C}"/>
              </a:ext>
            </a:extLst>
          </xdr:cNvPr>
          <xdr:cNvSpPr/>
        </xdr:nvSpPr>
        <xdr:spPr>
          <a:xfrm>
            <a:off x="393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79" name="$E$125">
            <a:extLst>
              <a:ext uri="{FF2B5EF4-FFF2-40B4-BE49-F238E27FC236}">
                <a16:creationId xmlns:a16="http://schemas.microsoft.com/office/drawing/2014/main" id="{5AB37C91-9177-4169-B1EC-A1CA5BEFEBF8}"/>
              </a:ext>
            </a:extLst>
          </xdr:cNvPr>
          <xdr:cNvSpPr/>
        </xdr:nvSpPr>
        <xdr:spPr>
          <a:xfrm>
            <a:off x="444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80" name="$E$125">
            <a:extLst>
              <a:ext uri="{FF2B5EF4-FFF2-40B4-BE49-F238E27FC236}">
                <a16:creationId xmlns:a16="http://schemas.microsoft.com/office/drawing/2014/main" id="{F093528A-4FB7-4D9A-A979-A4A57D07F006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81" name="$E$125">
            <a:extLst>
              <a:ext uri="{FF2B5EF4-FFF2-40B4-BE49-F238E27FC236}">
                <a16:creationId xmlns:a16="http://schemas.microsoft.com/office/drawing/2014/main" id="{EE88987D-2C3C-43CD-ACDB-41BE046EDDAC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82" name="$E$125">
            <a:extLst>
              <a:ext uri="{FF2B5EF4-FFF2-40B4-BE49-F238E27FC236}">
                <a16:creationId xmlns:a16="http://schemas.microsoft.com/office/drawing/2014/main" id="{FFCC3A67-D745-431C-AE09-53D4D8426A75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83" name="$E$125">
            <a:extLst>
              <a:ext uri="{FF2B5EF4-FFF2-40B4-BE49-F238E27FC236}">
                <a16:creationId xmlns:a16="http://schemas.microsoft.com/office/drawing/2014/main" id="{5BF2F570-EB3A-4D61-9B04-A785F033F839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84" name="$E$125">
            <a:extLst>
              <a:ext uri="{FF2B5EF4-FFF2-40B4-BE49-F238E27FC236}">
                <a16:creationId xmlns:a16="http://schemas.microsoft.com/office/drawing/2014/main" id="{C69A0BCB-9476-46AE-AA02-29AD3009A171}"/>
              </a:ext>
            </a:extLst>
          </xdr:cNvPr>
          <xdr:cNvSpPr/>
        </xdr:nvSpPr>
        <xdr:spPr>
          <a:xfrm>
            <a:off x="88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85" name="$E$125">
            <a:extLst>
              <a:ext uri="{FF2B5EF4-FFF2-40B4-BE49-F238E27FC236}">
                <a16:creationId xmlns:a16="http://schemas.microsoft.com/office/drawing/2014/main" id="{B063C06B-BDBF-4C17-9992-960AE2C7E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86" name="$E$125">
            <a:extLst>
              <a:ext uri="{FF2B5EF4-FFF2-40B4-BE49-F238E27FC236}">
                <a16:creationId xmlns:a16="http://schemas.microsoft.com/office/drawing/2014/main" id="{768E8BBA-C6C6-47C7-8786-13C97340975E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87" name="$E$125">
            <a:extLst>
              <a:ext uri="{FF2B5EF4-FFF2-40B4-BE49-F238E27FC236}">
                <a16:creationId xmlns:a16="http://schemas.microsoft.com/office/drawing/2014/main" id="{2C91CD54-0187-44A2-8CC2-22AA6AF8EAF7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88" name="$E$125">
            <a:extLst>
              <a:ext uri="{FF2B5EF4-FFF2-40B4-BE49-F238E27FC236}">
                <a16:creationId xmlns:a16="http://schemas.microsoft.com/office/drawing/2014/main" id="{F6915932-7860-4D83-BE42-4D1B097C1301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89" name="$E$125">
            <a:extLst>
              <a:ext uri="{FF2B5EF4-FFF2-40B4-BE49-F238E27FC236}">
                <a16:creationId xmlns:a16="http://schemas.microsoft.com/office/drawing/2014/main" id="{EABF4DEF-1180-4CD9-9D2E-CE04DE70A6EF}"/>
              </a:ext>
            </a:extLst>
          </xdr:cNvPr>
          <xdr:cNvSpPr/>
        </xdr:nvSpPr>
        <xdr:spPr>
          <a:xfrm>
            <a:off x="177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90" name="$E$125">
            <a:extLst>
              <a:ext uri="{FF2B5EF4-FFF2-40B4-BE49-F238E27FC236}">
                <a16:creationId xmlns:a16="http://schemas.microsoft.com/office/drawing/2014/main" id="{8ECE7CF6-8908-4593-B86E-C9DA272304AD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91" name="$E$125">
            <a:extLst>
              <a:ext uri="{FF2B5EF4-FFF2-40B4-BE49-F238E27FC236}">
                <a16:creationId xmlns:a16="http://schemas.microsoft.com/office/drawing/2014/main" id="{AFD9983C-3192-4A27-A6CA-85DBF1655629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92" name="$E$125">
            <a:extLst>
              <a:ext uri="{FF2B5EF4-FFF2-40B4-BE49-F238E27FC236}">
                <a16:creationId xmlns:a16="http://schemas.microsoft.com/office/drawing/2014/main" id="{21DFA31E-3A75-495F-B106-1045AFC5444B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93" name="$E$125">
            <a:extLst>
              <a:ext uri="{FF2B5EF4-FFF2-40B4-BE49-F238E27FC236}">
                <a16:creationId xmlns:a16="http://schemas.microsoft.com/office/drawing/2014/main" id="{A33B616B-9DD4-40F8-A6CE-EBE9900B881E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94" name="$E$125">
            <a:extLst>
              <a:ext uri="{FF2B5EF4-FFF2-40B4-BE49-F238E27FC236}">
                <a16:creationId xmlns:a16="http://schemas.microsoft.com/office/drawing/2014/main" id="{09779E2E-4F64-4A40-8AE5-5D6C8B32FC1A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95" name="$E$125">
            <a:extLst>
              <a:ext uri="{FF2B5EF4-FFF2-40B4-BE49-F238E27FC236}">
                <a16:creationId xmlns:a16="http://schemas.microsoft.com/office/drawing/2014/main" id="{B0B8EE18-5571-4FF4-94E1-9266A5C6E817}"/>
              </a:ext>
            </a:extLst>
          </xdr:cNvPr>
          <xdr:cNvSpPr/>
        </xdr:nvSpPr>
        <xdr:spPr>
          <a:xfrm>
            <a:off x="342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96" name="$E$125">
            <a:extLst>
              <a:ext uri="{FF2B5EF4-FFF2-40B4-BE49-F238E27FC236}">
                <a16:creationId xmlns:a16="http://schemas.microsoft.com/office/drawing/2014/main" id="{25E2995D-AFC4-4C7A-BBE4-E7EA9C470BED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97" name="$E$125">
            <a:extLst>
              <a:ext uri="{FF2B5EF4-FFF2-40B4-BE49-F238E27FC236}">
                <a16:creationId xmlns:a16="http://schemas.microsoft.com/office/drawing/2014/main" id="{68A39731-570E-41ED-B173-8646D59A59A6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98" name="$E$125">
            <a:extLst>
              <a:ext uri="{FF2B5EF4-FFF2-40B4-BE49-F238E27FC236}">
                <a16:creationId xmlns:a16="http://schemas.microsoft.com/office/drawing/2014/main" id="{6828A3BE-D185-41C4-9484-37BB8149D32E}"/>
              </a:ext>
            </a:extLst>
          </xdr:cNvPr>
          <xdr:cNvSpPr/>
        </xdr:nvSpPr>
        <xdr:spPr>
          <a:xfrm>
            <a:off x="381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299" name="$E$125">
            <a:extLst>
              <a:ext uri="{FF2B5EF4-FFF2-40B4-BE49-F238E27FC236}">
                <a16:creationId xmlns:a16="http://schemas.microsoft.com/office/drawing/2014/main" id="{6374BFD2-F72F-412C-BDC1-A12542CA810B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00" name="$E$125">
            <a:extLst>
              <a:ext uri="{FF2B5EF4-FFF2-40B4-BE49-F238E27FC236}">
                <a16:creationId xmlns:a16="http://schemas.microsoft.com/office/drawing/2014/main" id="{2F9C4035-7313-4836-8C7F-7BF11F794B41}"/>
              </a:ext>
            </a:extLst>
          </xdr:cNvPr>
          <xdr:cNvSpPr/>
        </xdr:nvSpPr>
        <xdr:spPr>
          <a:xfrm>
            <a:off x="406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01" name="$E$125">
            <a:extLst>
              <a:ext uri="{FF2B5EF4-FFF2-40B4-BE49-F238E27FC236}">
                <a16:creationId xmlns:a16="http://schemas.microsoft.com/office/drawing/2014/main" id="{CEE949B6-7843-4BBC-A10A-D22ACD66875E}"/>
              </a:ext>
            </a:extLst>
          </xdr:cNvPr>
          <xdr:cNvSpPr/>
        </xdr:nvSpPr>
        <xdr:spPr>
          <a:xfrm>
            <a:off x="444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02" name="$E$125">
            <a:extLst>
              <a:ext uri="{FF2B5EF4-FFF2-40B4-BE49-F238E27FC236}">
                <a16:creationId xmlns:a16="http://schemas.microsoft.com/office/drawing/2014/main" id="{FA2F7254-5F1B-43A3-BBA6-3B6F1B7A9892}"/>
              </a:ext>
            </a:extLst>
          </xdr:cNvPr>
          <xdr:cNvSpPr/>
        </xdr:nvSpPr>
        <xdr:spPr>
          <a:xfrm>
            <a:off x="457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03" name="$E$125">
            <a:extLst>
              <a:ext uri="{FF2B5EF4-FFF2-40B4-BE49-F238E27FC236}">
                <a16:creationId xmlns:a16="http://schemas.microsoft.com/office/drawing/2014/main" id="{FB609E3C-F903-42D6-8479-C1CA77AA1CE3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04" name="$E$125">
            <a:extLst>
              <a:ext uri="{FF2B5EF4-FFF2-40B4-BE49-F238E27FC236}">
                <a16:creationId xmlns:a16="http://schemas.microsoft.com/office/drawing/2014/main" id="{2AC6F9B5-42DC-40CF-9FAF-F260770E613B}"/>
              </a:ext>
            </a:extLst>
          </xdr:cNvPr>
          <xdr:cNvSpPr/>
        </xdr:nvSpPr>
        <xdr:spPr>
          <a:xfrm>
            <a:off x="25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05" name="$E$125">
            <a:extLst>
              <a:ext uri="{FF2B5EF4-FFF2-40B4-BE49-F238E27FC236}">
                <a16:creationId xmlns:a16="http://schemas.microsoft.com/office/drawing/2014/main" id="{212F5303-999D-4F7B-BC42-67AA25C2665E}"/>
              </a:ext>
            </a:extLst>
          </xdr:cNvPr>
          <xdr:cNvSpPr/>
        </xdr:nvSpPr>
        <xdr:spPr>
          <a:xfrm>
            <a:off x="63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06" name="$E$125">
            <a:extLst>
              <a:ext uri="{FF2B5EF4-FFF2-40B4-BE49-F238E27FC236}">
                <a16:creationId xmlns:a16="http://schemas.microsoft.com/office/drawing/2014/main" id="{D467A684-20A1-4BFF-940D-CB0CD32FDD80}"/>
              </a:ext>
            </a:extLst>
          </xdr:cNvPr>
          <xdr:cNvSpPr/>
        </xdr:nvSpPr>
        <xdr:spPr>
          <a:xfrm>
            <a:off x="139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07" name="$E$125">
            <a:extLst>
              <a:ext uri="{FF2B5EF4-FFF2-40B4-BE49-F238E27FC236}">
                <a16:creationId xmlns:a16="http://schemas.microsoft.com/office/drawing/2014/main" id="{99F9E9A1-A44C-4A17-BB10-8E71042E15AB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08" name="$E$125">
            <a:extLst>
              <a:ext uri="{FF2B5EF4-FFF2-40B4-BE49-F238E27FC236}">
                <a16:creationId xmlns:a16="http://schemas.microsoft.com/office/drawing/2014/main" id="{47816706-6999-4360-A548-26AEAE57793F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09" name="$E$125">
            <a:extLst>
              <a:ext uri="{FF2B5EF4-FFF2-40B4-BE49-F238E27FC236}">
                <a16:creationId xmlns:a16="http://schemas.microsoft.com/office/drawing/2014/main" id="{9FCE0901-9022-48C7-9FA9-E5056C81D0E1}"/>
              </a:ext>
            </a:extLst>
          </xdr:cNvPr>
          <xdr:cNvSpPr/>
        </xdr:nvSpPr>
        <xdr:spPr>
          <a:xfrm>
            <a:off x="228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10" name="$E$125">
            <a:extLst>
              <a:ext uri="{FF2B5EF4-FFF2-40B4-BE49-F238E27FC236}">
                <a16:creationId xmlns:a16="http://schemas.microsoft.com/office/drawing/2014/main" id="{9F8E647C-924F-4618-8E41-7649EC51DBC3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11" name="$E$125">
            <a:extLst>
              <a:ext uri="{FF2B5EF4-FFF2-40B4-BE49-F238E27FC236}">
                <a16:creationId xmlns:a16="http://schemas.microsoft.com/office/drawing/2014/main" id="{B6709FE0-0F9C-4C37-8507-11AE44CBAA91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12" name="$E$125">
            <a:extLst>
              <a:ext uri="{FF2B5EF4-FFF2-40B4-BE49-F238E27FC236}">
                <a16:creationId xmlns:a16="http://schemas.microsoft.com/office/drawing/2014/main" id="{FC22FBA4-4264-4985-AC54-3EC359E8AB58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13" name="$E$125">
            <a:extLst>
              <a:ext uri="{FF2B5EF4-FFF2-40B4-BE49-F238E27FC236}">
                <a16:creationId xmlns:a16="http://schemas.microsoft.com/office/drawing/2014/main" id="{4C92A7EC-8ADF-4CCF-A357-B91DAEDFDC04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14" name="$E$125">
            <a:extLst>
              <a:ext uri="{FF2B5EF4-FFF2-40B4-BE49-F238E27FC236}">
                <a16:creationId xmlns:a16="http://schemas.microsoft.com/office/drawing/2014/main" id="{ABF9FD79-B6FF-4927-8937-50B78C2264CC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15" name="$E$125">
            <a:extLst>
              <a:ext uri="{FF2B5EF4-FFF2-40B4-BE49-F238E27FC236}">
                <a16:creationId xmlns:a16="http://schemas.microsoft.com/office/drawing/2014/main" id="{5C6FC1A2-4446-43F4-B594-0DD1A9447091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16" name="$E$125">
            <a:extLst>
              <a:ext uri="{FF2B5EF4-FFF2-40B4-BE49-F238E27FC236}">
                <a16:creationId xmlns:a16="http://schemas.microsoft.com/office/drawing/2014/main" id="{D97F750C-F001-40DD-A056-C939E668439E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17" name="$E$125">
            <a:extLst>
              <a:ext uri="{FF2B5EF4-FFF2-40B4-BE49-F238E27FC236}">
                <a16:creationId xmlns:a16="http://schemas.microsoft.com/office/drawing/2014/main" id="{46957301-C06A-4484-86CD-5C5E3FC8175F}"/>
              </a:ext>
            </a:extLst>
          </xdr:cNvPr>
          <xdr:cNvSpPr/>
        </xdr:nvSpPr>
        <xdr:spPr>
          <a:xfrm>
            <a:off x="457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18" name="$E$125">
            <a:extLst>
              <a:ext uri="{FF2B5EF4-FFF2-40B4-BE49-F238E27FC236}">
                <a16:creationId xmlns:a16="http://schemas.microsoft.com/office/drawing/2014/main" id="{4C9C3ADD-C15B-4108-9830-DAB93AD1ABED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19" name="$E$125">
            <a:extLst>
              <a:ext uri="{FF2B5EF4-FFF2-40B4-BE49-F238E27FC236}">
                <a16:creationId xmlns:a16="http://schemas.microsoft.com/office/drawing/2014/main" id="{F2548021-7BAB-49FC-B24F-47A0176CB566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20" name="$E$125">
            <a:extLst>
              <a:ext uri="{FF2B5EF4-FFF2-40B4-BE49-F238E27FC236}">
                <a16:creationId xmlns:a16="http://schemas.microsoft.com/office/drawing/2014/main" id="{463B48A4-762A-4C90-9BB2-A69C2B2AD07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21" name="$E$125">
            <a:extLst>
              <a:ext uri="{FF2B5EF4-FFF2-40B4-BE49-F238E27FC236}">
                <a16:creationId xmlns:a16="http://schemas.microsoft.com/office/drawing/2014/main" id="{50585803-D700-4A54-8115-DD351978828F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22" name="$E$125">
            <a:extLst>
              <a:ext uri="{FF2B5EF4-FFF2-40B4-BE49-F238E27FC236}">
                <a16:creationId xmlns:a16="http://schemas.microsoft.com/office/drawing/2014/main" id="{37B7BA05-6064-4BEC-A274-5DEA34CF5877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23" name="$E$125">
            <a:extLst>
              <a:ext uri="{FF2B5EF4-FFF2-40B4-BE49-F238E27FC236}">
                <a16:creationId xmlns:a16="http://schemas.microsoft.com/office/drawing/2014/main" id="{BCB21470-1CA3-487D-B67A-2ACEA825C45A}"/>
              </a:ext>
            </a:extLst>
          </xdr:cNvPr>
          <xdr:cNvSpPr/>
        </xdr:nvSpPr>
        <xdr:spPr>
          <a:xfrm>
            <a:off x="88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24" name="$E$125">
            <a:extLst>
              <a:ext uri="{FF2B5EF4-FFF2-40B4-BE49-F238E27FC236}">
                <a16:creationId xmlns:a16="http://schemas.microsoft.com/office/drawing/2014/main" id="{F3D57740-7DC5-445F-803D-24DB213BC077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25" name="$E$125">
            <a:extLst>
              <a:ext uri="{FF2B5EF4-FFF2-40B4-BE49-F238E27FC236}">
                <a16:creationId xmlns:a16="http://schemas.microsoft.com/office/drawing/2014/main" id="{78954D83-9371-40CC-A6D2-CD5B2FA4EBF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26" name="$E$125">
            <a:extLst>
              <a:ext uri="{FF2B5EF4-FFF2-40B4-BE49-F238E27FC236}">
                <a16:creationId xmlns:a16="http://schemas.microsoft.com/office/drawing/2014/main" id="{07CE1E07-E22C-4336-8034-6206598FC0A2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27" name="$E$125">
            <a:extLst>
              <a:ext uri="{FF2B5EF4-FFF2-40B4-BE49-F238E27FC236}">
                <a16:creationId xmlns:a16="http://schemas.microsoft.com/office/drawing/2014/main" id="{C9C25F37-010B-40F2-8443-996A0B547FE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28" name="$E$125">
            <a:extLst>
              <a:ext uri="{FF2B5EF4-FFF2-40B4-BE49-F238E27FC236}">
                <a16:creationId xmlns:a16="http://schemas.microsoft.com/office/drawing/2014/main" id="{DB51873D-77E3-43E3-A0F4-16719F67C54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29" name="$E$125">
            <a:extLst>
              <a:ext uri="{FF2B5EF4-FFF2-40B4-BE49-F238E27FC236}">
                <a16:creationId xmlns:a16="http://schemas.microsoft.com/office/drawing/2014/main" id="{6F49DDE1-9030-4DD9-8C03-C0A5DE61CC36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30" name="$E$125">
            <a:extLst>
              <a:ext uri="{FF2B5EF4-FFF2-40B4-BE49-F238E27FC236}">
                <a16:creationId xmlns:a16="http://schemas.microsoft.com/office/drawing/2014/main" id="{9785A467-9560-4913-94FA-23CD8CD43FCF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31" name="$E$125">
            <a:extLst>
              <a:ext uri="{FF2B5EF4-FFF2-40B4-BE49-F238E27FC236}">
                <a16:creationId xmlns:a16="http://schemas.microsoft.com/office/drawing/2014/main" id="{F6ECEDA1-5F9C-4707-BFD1-3C045D76854A}"/>
              </a:ext>
            </a:extLst>
          </xdr:cNvPr>
          <xdr:cNvSpPr/>
        </xdr:nvSpPr>
        <xdr:spPr>
          <a:xfrm>
            <a:off x="292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32" name="$E$125">
            <a:extLst>
              <a:ext uri="{FF2B5EF4-FFF2-40B4-BE49-F238E27FC236}">
                <a16:creationId xmlns:a16="http://schemas.microsoft.com/office/drawing/2014/main" id="{D40EFDE6-C80B-49FC-8823-C6DB89C931BD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33" name="$E$125">
            <a:extLst>
              <a:ext uri="{FF2B5EF4-FFF2-40B4-BE49-F238E27FC236}">
                <a16:creationId xmlns:a16="http://schemas.microsoft.com/office/drawing/2014/main" id="{150D9256-9B5F-40B1-9A3E-AB04CD58A896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34" name="$E$125">
            <a:extLst>
              <a:ext uri="{FF2B5EF4-FFF2-40B4-BE49-F238E27FC236}">
                <a16:creationId xmlns:a16="http://schemas.microsoft.com/office/drawing/2014/main" id="{A12CDC70-EC9C-4702-8F9D-92EA16F882F7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35" name="$E$125">
            <a:extLst>
              <a:ext uri="{FF2B5EF4-FFF2-40B4-BE49-F238E27FC236}">
                <a16:creationId xmlns:a16="http://schemas.microsoft.com/office/drawing/2014/main" id="{9210EC84-2AA1-45B3-B4AA-9E26D3883FD1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36" name="$E$125">
            <a:extLst>
              <a:ext uri="{FF2B5EF4-FFF2-40B4-BE49-F238E27FC236}">
                <a16:creationId xmlns:a16="http://schemas.microsoft.com/office/drawing/2014/main" id="{F1220898-6E51-474D-A019-DACE5B323275}"/>
              </a:ext>
            </a:extLst>
          </xdr:cNvPr>
          <xdr:cNvSpPr/>
        </xdr:nvSpPr>
        <xdr:spPr>
          <a:xfrm>
            <a:off x="368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37" name="$E$125">
            <a:extLst>
              <a:ext uri="{FF2B5EF4-FFF2-40B4-BE49-F238E27FC236}">
                <a16:creationId xmlns:a16="http://schemas.microsoft.com/office/drawing/2014/main" id="{B1C4AC0B-B37C-432E-8B95-009D40594D74}"/>
              </a:ext>
            </a:extLst>
          </xdr:cNvPr>
          <xdr:cNvSpPr/>
        </xdr:nvSpPr>
        <xdr:spPr>
          <a:xfrm>
            <a:off x="381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38" name="$E$125">
            <a:extLst>
              <a:ext uri="{FF2B5EF4-FFF2-40B4-BE49-F238E27FC236}">
                <a16:creationId xmlns:a16="http://schemas.microsoft.com/office/drawing/2014/main" id="{EFB2584E-B280-4551-A073-F73163DC303B}"/>
              </a:ext>
            </a:extLst>
          </xdr:cNvPr>
          <xdr:cNvSpPr/>
        </xdr:nvSpPr>
        <xdr:spPr>
          <a:xfrm>
            <a:off x="393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39" name="$E$125">
            <a:extLst>
              <a:ext uri="{FF2B5EF4-FFF2-40B4-BE49-F238E27FC236}">
                <a16:creationId xmlns:a16="http://schemas.microsoft.com/office/drawing/2014/main" id="{2A45A85C-5A69-4941-AFA7-C709CC510FC2}"/>
              </a:ext>
            </a:extLst>
          </xdr:cNvPr>
          <xdr:cNvSpPr/>
        </xdr:nvSpPr>
        <xdr:spPr>
          <a:xfrm>
            <a:off x="406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40" name="$E$125">
            <a:extLst>
              <a:ext uri="{FF2B5EF4-FFF2-40B4-BE49-F238E27FC236}">
                <a16:creationId xmlns:a16="http://schemas.microsoft.com/office/drawing/2014/main" id="{E9F0373B-CB51-4AAF-8450-1AAE517DDC45}"/>
              </a:ext>
            </a:extLst>
          </xdr:cNvPr>
          <xdr:cNvSpPr/>
        </xdr:nvSpPr>
        <xdr:spPr>
          <a:xfrm>
            <a:off x="419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41" name="$E$125">
            <a:extLst>
              <a:ext uri="{FF2B5EF4-FFF2-40B4-BE49-F238E27FC236}">
                <a16:creationId xmlns:a16="http://schemas.microsoft.com/office/drawing/2014/main" id="{B5BDC821-B9D9-4E82-AD16-B72A942D9057}"/>
              </a:ext>
            </a:extLst>
          </xdr:cNvPr>
          <xdr:cNvSpPr/>
        </xdr:nvSpPr>
        <xdr:spPr>
          <a:xfrm>
            <a:off x="431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42" name="$E$125">
            <a:extLst>
              <a:ext uri="{FF2B5EF4-FFF2-40B4-BE49-F238E27FC236}">
                <a16:creationId xmlns:a16="http://schemas.microsoft.com/office/drawing/2014/main" id="{917E1664-FADF-4908-918B-27273A1A05D6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43" name="$E$125">
            <a:extLst>
              <a:ext uri="{FF2B5EF4-FFF2-40B4-BE49-F238E27FC236}">
                <a16:creationId xmlns:a16="http://schemas.microsoft.com/office/drawing/2014/main" id="{416220C3-01BF-47C1-921E-0F5BB758EFF9}"/>
              </a:ext>
            </a:extLst>
          </xdr:cNvPr>
          <xdr:cNvSpPr/>
        </xdr:nvSpPr>
        <xdr:spPr>
          <a:xfrm>
            <a:off x="114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44" name="$E$125">
            <a:extLst>
              <a:ext uri="{FF2B5EF4-FFF2-40B4-BE49-F238E27FC236}">
                <a16:creationId xmlns:a16="http://schemas.microsoft.com/office/drawing/2014/main" id="{5C7DB2F5-0CCC-42F7-BE83-78CFB3DCF996}"/>
              </a:ext>
            </a:extLst>
          </xdr:cNvPr>
          <xdr:cNvSpPr/>
        </xdr:nvSpPr>
        <xdr:spPr>
          <a:xfrm>
            <a:off x="127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45" name="$E$125">
            <a:extLst>
              <a:ext uri="{FF2B5EF4-FFF2-40B4-BE49-F238E27FC236}">
                <a16:creationId xmlns:a16="http://schemas.microsoft.com/office/drawing/2014/main" id="{4022A13F-4FA9-4D86-87EE-3EE4D8807FCD}"/>
              </a:ext>
            </a:extLst>
          </xdr:cNvPr>
          <xdr:cNvSpPr/>
        </xdr:nvSpPr>
        <xdr:spPr>
          <a:xfrm>
            <a:off x="152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46" name="$E$125">
            <a:extLst>
              <a:ext uri="{FF2B5EF4-FFF2-40B4-BE49-F238E27FC236}">
                <a16:creationId xmlns:a16="http://schemas.microsoft.com/office/drawing/2014/main" id="{20F3F8B8-DAAD-42C2-80BB-46B45D46B1F6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47" name="$E$125">
            <a:extLst>
              <a:ext uri="{FF2B5EF4-FFF2-40B4-BE49-F238E27FC236}">
                <a16:creationId xmlns:a16="http://schemas.microsoft.com/office/drawing/2014/main" id="{211E5FC3-28D1-489C-93C1-6AA51AA63141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48" name="$E$125">
            <a:extLst>
              <a:ext uri="{FF2B5EF4-FFF2-40B4-BE49-F238E27FC236}">
                <a16:creationId xmlns:a16="http://schemas.microsoft.com/office/drawing/2014/main" id="{BEFF0E46-81BC-41DD-9309-529A176E76E7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49" name="$E$125">
            <a:extLst>
              <a:ext uri="{FF2B5EF4-FFF2-40B4-BE49-F238E27FC236}">
                <a16:creationId xmlns:a16="http://schemas.microsoft.com/office/drawing/2014/main" id="{CC2410CB-5FFF-452A-8806-0AFCFA863249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50" name="$E$125">
            <a:extLst>
              <a:ext uri="{FF2B5EF4-FFF2-40B4-BE49-F238E27FC236}">
                <a16:creationId xmlns:a16="http://schemas.microsoft.com/office/drawing/2014/main" id="{1EEDAA07-F3FE-4D85-A4E3-4AE3D402A88C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51" name="$E$125">
            <a:extLst>
              <a:ext uri="{FF2B5EF4-FFF2-40B4-BE49-F238E27FC236}">
                <a16:creationId xmlns:a16="http://schemas.microsoft.com/office/drawing/2014/main" id="{452B498B-C2B8-43E6-A9C9-4559D0F41BFB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52" name="$E$125">
            <a:extLst>
              <a:ext uri="{FF2B5EF4-FFF2-40B4-BE49-F238E27FC236}">
                <a16:creationId xmlns:a16="http://schemas.microsoft.com/office/drawing/2014/main" id="{5B0D2B78-5B16-427D-8AA8-7A762E19F6BB}"/>
              </a:ext>
            </a:extLst>
          </xdr:cNvPr>
          <xdr:cNvSpPr/>
        </xdr:nvSpPr>
        <xdr:spPr>
          <a:xfrm>
            <a:off x="266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53" name="$E$125">
            <a:extLst>
              <a:ext uri="{FF2B5EF4-FFF2-40B4-BE49-F238E27FC236}">
                <a16:creationId xmlns:a16="http://schemas.microsoft.com/office/drawing/2014/main" id="{38EB33BB-495C-49E4-9A06-4D105191F996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54" name="$E$125">
            <a:extLst>
              <a:ext uri="{FF2B5EF4-FFF2-40B4-BE49-F238E27FC236}">
                <a16:creationId xmlns:a16="http://schemas.microsoft.com/office/drawing/2014/main" id="{B0C3103E-3B96-4400-99E9-0C5A0DA15198}"/>
              </a:ext>
            </a:extLst>
          </xdr:cNvPr>
          <xdr:cNvSpPr/>
        </xdr:nvSpPr>
        <xdr:spPr>
          <a:xfrm>
            <a:off x="342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55" name="$E$125">
            <a:extLst>
              <a:ext uri="{FF2B5EF4-FFF2-40B4-BE49-F238E27FC236}">
                <a16:creationId xmlns:a16="http://schemas.microsoft.com/office/drawing/2014/main" id="{22744B82-3E74-4324-9E02-AE3A42863398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56" name="$E$125">
            <a:extLst>
              <a:ext uri="{FF2B5EF4-FFF2-40B4-BE49-F238E27FC236}">
                <a16:creationId xmlns:a16="http://schemas.microsoft.com/office/drawing/2014/main" id="{79D270F8-2697-49C3-8060-EED4DFAF2CE9}"/>
              </a:ext>
            </a:extLst>
          </xdr:cNvPr>
          <xdr:cNvSpPr/>
        </xdr:nvSpPr>
        <xdr:spPr>
          <a:xfrm>
            <a:off x="406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57" name="$E$125">
            <a:extLst>
              <a:ext uri="{FF2B5EF4-FFF2-40B4-BE49-F238E27FC236}">
                <a16:creationId xmlns:a16="http://schemas.microsoft.com/office/drawing/2014/main" id="{103F66A9-51C4-4F89-896B-4A08B3E4EBF3}"/>
              </a:ext>
            </a:extLst>
          </xdr:cNvPr>
          <xdr:cNvSpPr/>
        </xdr:nvSpPr>
        <xdr:spPr>
          <a:xfrm>
            <a:off x="431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58" name="$E$125">
            <a:extLst>
              <a:ext uri="{FF2B5EF4-FFF2-40B4-BE49-F238E27FC236}">
                <a16:creationId xmlns:a16="http://schemas.microsoft.com/office/drawing/2014/main" id="{7B4ED856-436C-409C-806E-0744159C6522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59" name="$E$125">
            <a:extLst>
              <a:ext uri="{FF2B5EF4-FFF2-40B4-BE49-F238E27FC236}">
                <a16:creationId xmlns:a16="http://schemas.microsoft.com/office/drawing/2014/main" id="{97CD6A11-21DE-4855-A21F-B256974DB839}"/>
              </a:ext>
            </a:extLst>
          </xdr:cNvPr>
          <xdr:cNvSpPr/>
        </xdr:nvSpPr>
        <xdr:spPr>
          <a:xfrm>
            <a:off x="12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60" name="$E$125">
            <a:extLst>
              <a:ext uri="{FF2B5EF4-FFF2-40B4-BE49-F238E27FC236}">
                <a16:creationId xmlns:a16="http://schemas.microsoft.com/office/drawing/2014/main" id="{FEF9465B-91BB-4607-BAC1-44425C131EF8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61" name="$E$125">
            <a:extLst>
              <a:ext uri="{FF2B5EF4-FFF2-40B4-BE49-F238E27FC236}">
                <a16:creationId xmlns:a16="http://schemas.microsoft.com/office/drawing/2014/main" id="{6D46942B-7F1A-4F56-9B36-C66CA21219F8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62" name="$E$125">
            <a:extLst>
              <a:ext uri="{FF2B5EF4-FFF2-40B4-BE49-F238E27FC236}">
                <a16:creationId xmlns:a16="http://schemas.microsoft.com/office/drawing/2014/main" id="{5D448A4E-E1B4-4BF7-BA27-E2929B05E6D4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63" name="$E$125">
            <a:extLst>
              <a:ext uri="{FF2B5EF4-FFF2-40B4-BE49-F238E27FC236}">
                <a16:creationId xmlns:a16="http://schemas.microsoft.com/office/drawing/2014/main" id="{760E48E1-CA69-4A6F-8DBE-C72A3385E982}"/>
              </a:ext>
            </a:extLst>
          </xdr:cNvPr>
          <xdr:cNvSpPr/>
        </xdr:nvSpPr>
        <xdr:spPr>
          <a:xfrm>
            <a:off x="63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64" name="$E$125">
            <a:extLst>
              <a:ext uri="{FF2B5EF4-FFF2-40B4-BE49-F238E27FC236}">
                <a16:creationId xmlns:a16="http://schemas.microsoft.com/office/drawing/2014/main" id="{310A75A7-8E3B-452A-B834-DC897798AA4B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65" name="$E$125">
            <a:extLst>
              <a:ext uri="{FF2B5EF4-FFF2-40B4-BE49-F238E27FC236}">
                <a16:creationId xmlns:a16="http://schemas.microsoft.com/office/drawing/2014/main" id="{90A78BDE-6586-4A0C-ADAB-78231C805F69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66" name="$E$125">
            <a:extLst>
              <a:ext uri="{FF2B5EF4-FFF2-40B4-BE49-F238E27FC236}">
                <a16:creationId xmlns:a16="http://schemas.microsoft.com/office/drawing/2014/main" id="{C443FFAA-8DAB-49CD-B275-EFAA3663FD9C}"/>
              </a:ext>
            </a:extLst>
          </xdr:cNvPr>
          <xdr:cNvSpPr/>
        </xdr:nvSpPr>
        <xdr:spPr>
          <a:xfrm>
            <a:off x="165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67" name="$E$125">
            <a:extLst>
              <a:ext uri="{FF2B5EF4-FFF2-40B4-BE49-F238E27FC236}">
                <a16:creationId xmlns:a16="http://schemas.microsoft.com/office/drawing/2014/main" id="{77629F68-D49A-4C86-BE6E-6A653C6BE413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68" name="$E$125">
            <a:extLst>
              <a:ext uri="{FF2B5EF4-FFF2-40B4-BE49-F238E27FC236}">
                <a16:creationId xmlns:a16="http://schemas.microsoft.com/office/drawing/2014/main" id="{634839F9-CA88-4D66-8160-59770F5C1FA3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69" name="$E$125">
            <a:extLst>
              <a:ext uri="{FF2B5EF4-FFF2-40B4-BE49-F238E27FC236}">
                <a16:creationId xmlns:a16="http://schemas.microsoft.com/office/drawing/2014/main" id="{E75F39EB-96D7-4D55-8A53-453FA2D7D89E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70" name="$E$125">
            <a:extLst>
              <a:ext uri="{FF2B5EF4-FFF2-40B4-BE49-F238E27FC236}">
                <a16:creationId xmlns:a16="http://schemas.microsoft.com/office/drawing/2014/main" id="{D95C777E-C8D1-4DC4-A08A-186D1F882DC4}"/>
              </a:ext>
            </a:extLst>
          </xdr:cNvPr>
          <xdr:cNvSpPr/>
        </xdr:nvSpPr>
        <xdr:spPr>
          <a:xfrm>
            <a:off x="2159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71" name="$E$125">
            <a:extLst>
              <a:ext uri="{FF2B5EF4-FFF2-40B4-BE49-F238E27FC236}">
                <a16:creationId xmlns:a16="http://schemas.microsoft.com/office/drawing/2014/main" id="{6FDC8E15-4F06-4B10-AEE7-A706B6F7695D}"/>
              </a:ext>
            </a:extLst>
          </xdr:cNvPr>
          <xdr:cNvSpPr/>
        </xdr:nvSpPr>
        <xdr:spPr>
          <a:xfrm>
            <a:off x="266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72" name="$E$125">
            <a:extLst>
              <a:ext uri="{FF2B5EF4-FFF2-40B4-BE49-F238E27FC236}">
                <a16:creationId xmlns:a16="http://schemas.microsoft.com/office/drawing/2014/main" id="{6D534823-09DF-4234-B9B5-55E635240AC5}"/>
              </a:ext>
            </a:extLst>
          </xdr:cNvPr>
          <xdr:cNvSpPr/>
        </xdr:nvSpPr>
        <xdr:spPr>
          <a:xfrm>
            <a:off x="355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73" name="$E$125">
            <a:extLst>
              <a:ext uri="{FF2B5EF4-FFF2-40B4-BE49-F238E27FC236}">
                <a16:creationId xmlns:a16="http://schemas.microsoft.com/office/drawing/2014/main" id="{0CF849E0-4D4A-4E91-A497-1623500A78E5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74" name="$E$125">
            <a:extLst>
              <a:ext uri="{FF2B5EF4-FFF2-40B4-BE49-F238E27FC236}">
                <a16:creationId xmlns:a16="http://schemas.microsoft.com/office/drawing/2014/main" id="{A23FFA3D-C746-4DA0-ABB8-4ADDEDE8F817}"/>
              </a:ext>
            </a:extLst>
          </xdr:cNvPr>
          <xdr:cNvSpPr/>
        </xdr:nvSpPr>
        <xdr:spPr>
          <a:xfrm>
            <a:off x="406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75" name="$E$125">
            <a:extLst>
              <a:ext uri="{FF2B5EF4-FFF2-40B4-BE49-F238E27FC236}">
                <a16:creationId xmlns:a16="http://schemas.microsoft.com/office/drawing/2014/main" id="{D40FF95F-5B9F-48B7-872F-C0B1B45BE048}"/>
              </a:ext>
            </a:extLst>
          </xdr:cNvPr>
          <xdr:cNvSpPr/>
        </xdr:nvSpPr>
        <xdr:spPr>
          <a:xfrm>
            <a:off x="419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76" name="$E$125">
            <a:extLst>
              <a:ext uri="{FF2B5EF4-FFF2-40B4-BE49-F238E27FC236}">
                <a16:creationId xmlns:a16="http://schemas.microsoft.com/office/drawing/2014/main" id="{E9FD7090-6C4C-44B4-B921-CCB5F2E7D751}"/>
              </a:ext>
            </a:extLst>
          </xdr:cNvPr>
          <xdr:cNvSpPr/>
        </xdr:nvSpPr>
        <xdr:spPr>
          <a:xfrm>
            <a:off x="431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77" name="$E$125">
            <a:extLst>
              <a:ext uri="{FF2B5EF4-FFF2-40B4-BE49-F238E27FC236}">
                <a16:creationId xmlns:a16="http://schemas.microsoft.com/office/drawing/2014/main" id="{95C737DB-93FA-4F56-9DAF-2689A40D5C3D}"/>
              </a:ext>
            </a:extLst>
          </xdr:cNvPr>
          <xdr:cNvSpPr/>
        </xdr:nvSpPr>
        <xdr:spPr>
          <a:xfrm>
            <a:off x="444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78" name="$E$125">
            <a:extLst>
              <a:ext uri="{FF2B5EF4-FFF2-40B4-BE49-F238E27FC236}">
                <a16:creationId xmlns:a16="http://schemas.microsoft.com/office/drawing/2014/main" id="{B0B5B3AC-1583-48DE-99CF-D6593C6AAB0E}"/>
              </a:ext>
            </a:extLst>
          </xdr:cNvPr>
          <xdr:cNvSpPr/>
        </xdr:nvSpPr>
        <xdr:spPr>
          <a:xfrm>
            <a:off x="457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79" name="$E$125">
            <a:extLst>
              <a:ext uri="{FF2B5EF4-FFF2-40B4-BE49-F238E27FC236}">
                <a16:creationId xmlns:a16="http://schemas.microsoft.com/office/drawing/2014/main" id="{FCB6F8CE-2EE9-4E2B-9D57-9A5AC4E76BCD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80" name="$E$125">
            <a:extLst>
              <a:ext uri="{FF2B5EF4-FFF2-40B4-BE49-F238E27FC236}">
                <a16:creationId xmlns:a16="http://schemas.microsoft.com/office/drawing/2014/main" id="{ED3A4785-2A58-4C2C-84E6-CF10F06EA946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81" name="$E$125">
            <a:extLst>
              <a:ext uri="{FF2B5EF4-FFF2-40B4-BE49-F238E27FC236}">
                <a16:creationId xmlns:a16="http://schemas.microsoft.com/office/drawing/2014/main" id="{150DBB87-849B-4468-B18E-0394E6935EEF}"/>
              </a:ext>
            </a:extLst>
          </xdr:cNvPr>
          <xdr:cNvSpPr/>
        </xdr:nvSpPr>
        <xdr:spPr>
          <a:xfrm>
            <a:off x="152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82" name="$E$125">
            <a:extLst>
              <a:ext uri="{FF2B5EF4-FFF2-40B4-BE49-F238E27FC236}">
                <a16:creationId xmlns:a16="http://schemas.microsoft.com/office/drawing/2014/main" id="{9E01D15F-C0F1-41E2-A8F6-0A40A148485B}"/>
              </a:ext>
            </a:extLst>
          </xdr:cNvPr>
          <xdr:cNvSpPr/>
        </xdr:nvSpPr>
        <xdr:spPr>
          <a:xfrm>
            <a:off x="165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83" name="$E$125">
            <a:extLst>
              <a:ext uri="{FF2B5EF4-FFF2-40B4-BE49-F238E27FC236}">
                <a16:creationId xmlns:a16="http://schemas.microsoft.com/office/drawing/2014/main" id="{07B4A1C4-633F-4F6E-9090-4BAA37DABC41}"/>
              </a:ext>
            </a:extLst>
          </xdr:cNvPr>
          <xdr:cNvSpPr/>
        </xdr:nvSpPr>
        <xdr:spPr>
          <a:xfrm>
            <a:off x="203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84" name="$E$125">
            <a:extLst>
              <a:ext uri="{FF2B5EF4-FFF2-40B4-BE49-F238E27FC236}">
                <a16:creationId xmlns:a16="http://schemas.microsoft.com/office/drawing/2014/main" id="{CFEDD63B-B791-45EF-B13B-8810145CA057}"/>
              </a:ext>
            </a:extLst>
          </xdr:cNvPr>
          <xdr:cNvSpPr/>
        </xdr:nvSpPr>
        <xdr:spPr>
          <a:xfrm>
            <a:off x="254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85" name="$E$125">
            <a:extLst>
              <a:ext uri="{FF2B5EF4-FFF2-40B4-BE49-F238E27FC236}">
                <a16:creationId xmlns:a16="http://schemas.microsoft.com/office/drawing/2014/main" id="{286717D7-DB46-4587-88A6-98F55857D4FC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86" name="$E$125">
            <a:extLst>
              <a:ext uri="{FF2B5EF4-FFF2-40B4-BE49-F238E27FC236}">
                <a16:creationId xmlns:a16="http://schemas.microsoft.com/office/drawing/2014/main" id="{E9FB112E-DD13-4F0E-BF6F-C13149E03C0A}"/>
              </a:ext>
            </a:extLst>
          </xdr:cNvPr>
          <xdr:cNvSpPr/>
        </xdr:nvSpPr>
        <xdr:spPr>
          <a:xfrm>
            <a:off x="279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87" name="$E$125">
            <a:extLst>
              <a:ext uri="{FF2B5EF4-FFF2-40B4-BE49-F238E27FC236}">
                <a16:creationId xmlns:a16="http://schemas.microsoft.com/office/drawing/2014/main" id="{BD19986E-56DE-46AF-B3A8-83BF4F30F756}"/>
              </a:ext>
            </a:extLst>
          </xdr:cNvPr>
          <xdr:cNvSpPr/>
        </xdr:nvSpPr>
        <xdr:spPr>
          <a:xfrm>
            <a:off x="330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88" name="$E$125">
            <a:extLst>
              <a:ext uri="{FF2B5EF4-FFF2-40B4-BE49-F238E27FC236}">
                <a16:creationId xmlns:a16="http://schemas.microsoft.com/office/drawing/2014/main" id="{4190A232-BCD9-4841-BC92-ECF4FB980458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89" name="$E$125">
            <a:extLst>
              <a:ext uri="{FF2B5EF4-FFF2-40B4-BE49-F238E27FC236}">
                <a16:creationId xmlns:a16="http://schemas.microsoft.com/office/drawing/2014/main" id="{D07455C6-7580-4418-A59F-BFD81812E570}"/>
              </a:ext>
            </a:extLst>
          </xdr:cNvPr>
          <xdr:cNvSpPr/>
        </xdr:nvSpPr>
        <xdr:spPr>
          <a:xfrm>
            <a:off x="406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90" name="$E$125">
            <a:extLst>
              <a:ext uri="{FF2B5EF4-FFF2-40B4-BE49-F238E27FC236}">
                <a16:creationId xmlns:a16="http://schemas.microsoft.com/office/drawing/2014/main" id="{27081FBA-3E28-400F-A337-5D4237975C8F}"/>
              </a:ext>
            </a:extLst>
          </xdr:cNvPr>
          <xdr:cNvSpPr/>
        </xdr:nvSpPr>
        <xdr:spPr>
          <a:xfrm>
            <a:off x="444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91" name="$E$125">
            <a:extLst>
              <a:ext uri="{FF2B5EF4-FFF2-40B4-BE49-F238E27FC236}">
                <a16:creationId xmlns:a16="http://schemas.microsoft.com/office/drawing/2014/main" id="{F58BA113-D853-4D61-ADEB-7BF2F8E3F114}"/>
              </a:ext>
            </a:extLst>
          </xdr:cNvPr>
          <xdr:cNvSpPr/>
        </xdr:nvSpPr>
        <xdr:spPr>
          <a:xfrm>
            <a:off x="457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92" name="$E$125">
            <a:extLst>
              <a:ext uri="{FF2B5EF4-FFF2-40B4-BE49-F238E27FC236}">
                <a16:creationId xmlns:a16="http://schemas.microsoft.com/office/drawing/2014/main" id="{5A4A3D65-8358-40FA-9510-670F6EE9E192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93" name="$E$125">
            <a:extLst>
              <a:ext uri="{FF2B5EF4-FFF2-40B4-BE49-F238E27FC236}">
                <a16:creationId xmlns:a16="http://schemas.microsoft.com/office/drawing/2014/main" id="{20948238-8FD8-460A-BF89-E002917C8FA8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94" name="$E$125">
            <a:extLst>
              <a:ext uri="{FF2B5EF4-FFF2-40B4-BE49-F238E27FC236}">
                <a16:creationId xmlns:a16="http://schemas.microsoft.com/office/drawing/2014/main" id="{212E7C3D-241D-4A98-AE0E-60B7548F0C53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95" name="$E$125">
            <a:extLst>
              <a:ext uri="{FF2B5EF4-FFF2-40B4-BE49-F238E27FC236}">
                <a16:creationId xmlns:a16="http://schemas.microsoft.com/office/drawing/2014/main" id="{F7256E83-9A92-4897-857F-9AB7E1C5DB8D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96" name="$E$125">
            <a:extLst>
              <a:ext uri="{FF2B5EF4-FFF2-40B4-BE49-F238E27FC236}">
                <a16:creationId xmlns:a16="http://schemas.microsoft.com/office/drawing/2014/main" id="{0C33B1CD-FD12-4844-A65A-B2829AD54169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97" name="$E$125">
            <a:extLst>
              <a:ext uri="{FF2B5EF4-FFF2-40B4-BE49-F238E27FC236}">
                <a16:creationId xmlns:a16="http://schemas.microsoft.com/office/drawing/2014/main" id="{0C3DE357-8A25-460C-961E-6D8BC1E7A5E9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98" name="$E$125">
            <a:extLst>
              <a:ext uri="{FF2B5EF4-FFF2-40B4-BE49-F238E27FC236}">
                <a16:creationId xmlns:a16="http://schemas.microsoft.com/office/drawing/2014/main" id="{822B55C5-D5C6-4786-969D-686B9D09CAF0}"/>
              </a:ext>
            </a:extLst>
          </xdr:cNvPr>
          <xdr:cNvSpPr/>
        </xdr:nvSpPr>
        <xdr:spPr>
          <a:xfrm>
            <a:off x="127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399" name="$E$125">
            <a:extLst>
              <a:ext uri="{FF2B5EF4-FFF2-40B4-BE49-F238E27FC236}">
                <a16:creationId xmlns:a16="http://schemas.microsoft.com/office/drawing/2014/main" id="{9D93DF51-A6E2-43CB-BEA5-FAAD6687F200}"/>
              </a:ext>
            </a:extLst>
          </xdr:cNvPr>
          <xdr:cNvSpPr/>
        </xdr:nvSpPr>
        <xdr:spPr>
          <a:xfrm>
            <a:off x="152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00" name="$E$125">
            <a:extLst>
              <a:ext uri="{FF2B5EF4-FFF2-40B4-BE49-F238E27FC236}">
                <a16:creationId xmlns:a16="http://schemas.microsoft.com/office/drawing/2014/main" id="{511871D1-FA12-4F32-8BB7-8E36B5D29E32}"/>
              </a:ext>
            </a:extLst>
          </xdr:cNvPr>
          <xdr:cNvSpPr/>
        </xdr:nvSpPr>
        <xdr:spPr>
          <a:xfrm>
            <a:off x="177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01" name="$E$125">
            <a:extLst>
              <a:ext uri="{FF2B5EF4-FFF2-40B4-BE49-F238E27FC236}">
                <a16:creationId xmlns:a16="http://schemas.microsoft.com/office/drawing/2014/main" id="{43E52E67-D91F-4834-9CCB-C78EB4CE1EDB}"/>
              </a:ext>
            </a:extLst>
          </xdr:cNvPr>
          <xdr:cNvSpPr/>
        </xdr:nvSpPr>
        <xdr:spPr>
          <a:xfrm>
            <a:off x="190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02" name="$E$125">
            <a:extLst>
              <a:ext uri="{FF2B5EF4-FFF2-40B4-BE49-F238E27FC236}">
                <a16:creationId xmlns:a16="http://schemas.microsoft.com/office/drawing/2014/main" id="{35A975BB-9AE1-4523-902E-2706F94C1E20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03" name="$E$125">
            <a:extLst>
              <a:ext uri="{FF2B5EF4-FFF2-40B4-BE49-F238E27FC236}">
                <a16:creationId xmlns:a16="http://schemas.microsoft.com/office/drawing/2014/main" id="{B17FAEF7-5BF5-4CE3-8BF2-0679C790E656}"/>
              </a:ext>
            </a:extLst>
          </xdr:cNvPr>
          <xdr:cNvSpPr/>
        </xdr:nvSpPr>
        <xdr:spPr>
          <a:xfrm>
            <a:off x="241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04" name="$E$125">
            <a:extLst>
              <a:ext uri="{FF2B5EF4-FFF2-40B4-BE49-F238E27FC236}">
                <a16:creationId xmlns:a16="http://schemas.microsoft.com/office/drawing/2014/main" id="{8F93DC4C-4DB2-4402-B1BD-B5CA8CCC33C1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05" name="$E$125">
            <a:extLst>
              <a:ext uri="{FF2B5EF4-FFF2-40B4-BE49-F238E27FC236}">
                <a16:creationId xmlns:a16="http://schemas.microsoft.com/office/drawing/2014/main" id="{3B7F0D6F-CB0C-4C31-85B4-F564FCE32729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06" name="$E$125">
            <a:extLst>
              <a:ext uri="{FF2B5EF4-FFF2-40B4-BE49-F238E27FC236}">
                <a16:creationId xmlns:a16="http://schemas.microsoft.com/office/drawing/2014/main" id="{97FD2912-ADEC-41A5-A1B5-0622B45F9C02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07" name="$E$125">
            <a:extLst>
              <a:ext uri="{FF2B5EF4-FFF2-40B4-BE49-F238E27FC236}">
                <a16:creationId xmlns:a16="http://schemas.microsoft.com/office/drawing/2014/main" id="{50B0B9D5-02B8-4A7B-BA73-58F719EA529E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08" name="$E$125">
            <a:extLst>
              <a:ext uri="{FF2B5EF4-FFF2-40B4-BE49-F238E27FC236}">
                <a16:creationId xmlns:a16="http://schemas.microsoft.com/office/drawing/2014/main" id="{BE9693D4-619B-43EB-99B3-040676D78362}"/>
              </a:ext>
            </a:extLst>
          </xdr:cNvPr>
          <xdr:cNvSpPr/>
        </xdr:nvSpPr>
        <xdr:spPr>
          <a:xfrm>
            <a:off x="330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09" name="$E$125">
            <a:extLst>
              <a:ext uri="{FF2B5EF4-FFF2-40B4-BE49-F238E27FC236}">
                <a16:creationId xmlns:a16="http://schemas.microsoft.com/office/drawing/2014/main" id="{DD6C8E33-711B-4CB8-80EE-77E28C579B39}"/>
              </a:ext>
            </a:extLst>
          </xdr:cNvPr>
          <xdr:cNvSpPr/>
        </xdr:nvSpPr>
        <xdr:spPr>
          <a:xfrm>
            <a:off x="342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10" name="$E$125">
            <a:extLst>
              <a:ext uri="{FF2B5EF4-FFF2-40B4-BE49-F238E27FC236}">
                <a16:creationId xmlns:a16="http://schemas.microsoft.com/office/drawing/2014/main" id="{4F5C3383-C26E-4717-9567-D3476A4F605D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11" name="$E$125">
            <a:extLst>
              <a:ext uri="{FF2B5EF4-FFF2-40B4-BE49-F238E27FC236}">
                <a16:creationId xmlns:a16="http://schemas.microsoft.com/office/drawing/2014/main" id="{BE6CAB35-DE7C-487F-97A5-E06C26968BAC}"/>
              </a:ext>
            </a:extLst>
          </xdr:cNvPr>
          <xdr:cNvSpPr/>
        </xdr:nvSpPr>
        <xdr:spPr>
          <a:xfrm>
            <a:off x="368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12" name="$E$125">
            <a:extLst>
              <a:ext uri="{FF2B5EF4-FFF2-40B4-BE49-F238E27FC236}">
                <a16:creationId xmlns:a16="http://schemas.microsoft.com/office/drawing/2014/main" id="{6817C3A5-3F6A-4439-B14B-79A7D30C8221}"/>
              </a:ext>
            </a:extLst>
          </xdr:cNvPr>
          <xdr:cNvSpPr/>
        </xdr:nvSpPr>
        <xdr:spPr>
          <a:xfrm>
            <a:off x="381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13" name="$E$125">
            <a:extLst>
              <a:ext uri="{FF2B5EF4-FFF2-40B4-BE49-F238E27FC236}">
                <a16:creationId xmlns:a16="http://schemas.microsoft.com/office/drawing/2014/main" id="{5386B515-2EB8-4E8E-A2DE-9C546A4586C9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14" name="$E$125">
            <a:extLst>
              <a:ext uri="{FF2B5EF4-FFF2-40B4-BE49-F238E27FC236}">
                <a16:creationId xmlns:a16="http://schemas.microsoft.com/office/drawing/2014/main" id="{FF852440-BB07-480B-B4F8-B4D941A6AABA}"/>
              </a:ext>
            </a:extLst>
          </xdr:cNvPr>
          <xdr:cNvSpPr/>
        </xdr:nvSpPr>
        <xdr:spPr>
          <a:xfrm>
            <a:off x="406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15" name="$E$125">
            <a:extLst>
              <a:ext uri="{FF2B5EF4-FFF2-40B4-BE49-F238E27FC236}">
                <a16:creationId xmlns:a16="http://schemas.microsoft.com/office/drawing/2014/main" id="{593124D9-5135-4C79-B02B-70820B666A12}"/>
              </a:ext>
            </a:extLst>
          </xdr:cNvPr>
          <xdr:cNvSpPr/>
        </xdr:nvSpPr>
        <xdr:spPr>
          <a:xfrm>
            <a:off x="431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16" name="$E$125">
            <a:extLst>
              <a:ext uri="{FF2B5EF4-FFF2-40B4-BE49-F238E27FC236}">
                <a16:creationId xmlns:a16="http://schemas.microsoft.com/office/drawing/2014/main" id="{61F81847-5BA8-40A7-B828-A1F66322ECC5}"/>
              </a:ext>
            </a:extLst>
          </xdr:cNvPr>
          <xdr:cNvSpPr/>
        </xdr:nvSpPr>
        <xdr:spPr>
          <a:xfrm>
            <a:off x="444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17" name="$E$125">
            <a:extLst>
              <a:ext uri="{FF2B5EF4-FFF2-40B4-BE49-F238E27FC236}">
                <a16:creationId xmlns:a16="http://schemas.microsoft.com/office/drawing/2014/main" id="{F71E56E1-68A1-4D90-B8CA-68E0C2881DD8}"/>
              </a:ext>
            </a:extLst>
          </xdr:cNvPr>
          <xdr:cNvSpPr/>
        </xdr:nvSpPr>
        <xdr:spPr>
          <a:xfrm>
            <a:off x="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18" name="$E$125">
            <a:extLst>
              <a:ext uri="{FF2B5EF4-FFF2-40B4-BE49-F238E27FC236}">
                <a16:creationId xmlns:a16="http://schemas.microsoft.com/office/drawing/2014/main" id="{FCE86F28-6A32-4450-A93A-37E98491A9F5}"/>
              </a:ext>
            </a:extLst>
          </xdr:cNvPr>
          <xdr:cNvSpPr/>
        </xdr:nvSpPr>
        <xdr:spPr>
          <a:xfrm>
            <a:off x="25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19" name="$E$125">
            <a:extLst>
              <a:ext uri="{FF2B5EF4-FFF2-40B4-BE49-F238E27FC236}">
                <a16:creationId xmlns:a16="http://schemas.microsoft.com/office/drawing/2014/main" id="{118A21D8-A802-410F-8584-4CFB4355B386}"/>
              </a:ext>
            </a:extLst>
          </xdr:cNvPr>
          <xdr:cNvSpPr/>
        </xdr:nvSpPr>
        <xdr:spPr>
          <a:xfrm>
            <a:off x="38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20" name="$E$125">
            <a:extLst>
              <a:ext uri="{FF2B5EF4-FFF2-40B4-BE49-F238E27FC236}">
                <a16:creationId xmlns:a16="http://schemas.microsoft.com/office/drawing/2014/main" id="{2E5DB53A-25C0-4EAA-86F9-9B4AFF6AACCC}"/>
              </a:ext>
            </a:extLst>
          </xdr:cNvPr>
          <xdr:cNvSpPr/>
        </xdr:nvSpPr>
        <xdr:spPr>
          <a:xfrm>
            <a:off x="50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21" name="$E$125">
            <a:extLst>
              <a:ext uri="{FF2B5EF4-FFF2-40B4-BE49-F238E27FC236}">
                <a16:creationId xmlns:a16="http://schemas.microsoft.com/office/drawing/2014/main" id="{20967F86-E562-4981-86B1-4347C7A43303}"/>
              </a:ext>
            </a:extLst>
          </xdr:cNvPr>
          <xdr:cNvSpPr/>
        </xdr:nvSpPr>
        <xdr:spPr>
          <a:xfrm>
            <a:off x="76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22" name="$E$125">
            <a:extLst>
              <a:ext uri="{FF2B5EF4-FFF2-40B4-BE49-F238E27FC236}">
                <a16:creationId xmlns:a16="http://schemas.microsoft.com/office/drawing/2014/main" id="{8D1EC934-F816-4281-AD12-F89B1B2188A6}"/>
              </a:ext>
            </a:extLst>
          </xdr:cNvPr>
          <xdr:cNvSpPr/>
        </xdr:nvSpPr>
        <xdr:spPr>
          <a:xfrm>
            <a:off x="101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23" name="$E$125">
            <a:extLst>
              <a:ext uri="{FF2B5EF4-FFF2-40B4-BE49-F238E27FC236}">
                <a16:creationId xmlns:a16="http://schemas.microsoft.com/office/drawing/2014/main" id="{91526E8D-5182-47B4-B6A8-31BCB3E29A54}"/>
              </a:ext>
            </a:extLst>
          </xdr:cNvPr>
          <xdr:cNvSpPr/>
        </xdr:nvSpPr>
        <xdr:spPr>
          <a:xfrm>
            <a:off x="114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24" name="$E$125">
            <a:extLst>
              <a:ext uri="{FF2B5EF4-FFF2-40B4-BE49-F238E27FC236}">
                <a16:creationId xmlns:a16="http://schemas.microsoft.com/office/drawing/2014/main" id="{C14EC630-2381-4BC8-ACF0-8F93EA4C60FD}"/>
              </a:ext>
            </a:extLst>
          </xdr:cNvPr>
          <xdr:cNvSpPr/>
        </xdr:nvSpPr>
        <xdr:spPr>
          <a:xfrm>
            <a:off x="127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25" name="$E$125">
            <a:extLst>
              <a:ext uri="{FF2B5EF4-FFF2-40B4-BE49-F238E27FC236}">
                <a16:creationId xmlns:a16="http://schemas.microsoft.com/office/drawing/2014/main" id="{9B9B37F1-FBB5-4A03-99EA-7CE7171A4AF8}"/>
              </a:ext>
            </a:extLst>
          </xdr:cNvPr>
          <xdr:cNvSpPr/>
        </xdr:nvSpPr>
        <xdr:spPr>
          <a:xfrm>
            <a:off x="203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26" name="$E$125">
            <a:extLst>
              <a:ext uri="{FF2B5EF4-FFF2-40B4-BE49-F238E27FC236}">
                <a16:creationId xmlns:a16="http://schemas.microsoft.com/office/drawing/2014/main" id="{A218D57A-AFAE-4DDE-9E99-E2B194FE086A}"/>
              </a:ext>
            </a:extLst>
          </xdr:cNvPr>
          <xdr:cNvSpPr/>
        </xdr:nvSpPr>
        <xdr:spPr>
          <a:xfrm>
            <a:off x="2159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27" name="$E$125">
            <a:extLst>
              <a:ext uri="{FF2B5EF4-FFF2-40B4-BE49-F238E27FC236}">
                <a16:creationId xmlns:a16="http://schemas.microsoft.com/office/drawing/2014/main" id="{DD4D2138-015F-465B-8F5C-A88D64CF482F}"/>
              </a:ext>
            </a:extLst>
          </xdr:cNvPr>
          <xdr:cNvSpPr/>
        </xdr:nvSpPr>
        <xdr:spPr>
          <a:xfrm>
            <a:off x="228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28" name="$E$125">
            <a:extLst>
              <a:ext uri="{FF2B5EF4-FFF2-40B4-BE49-F238E27FC236}">
                <a16:creationId xmlns:a16="http://schemas.microsoft.com/office/drawing/2014/main" id="{5637227F-53C7-4887-8232-7B27178B136F}"/>
              </a:ext>
            </a:extLst>
          </xdr:cNvPr>
          <xdr:cNvSpPr/>
        </xdr:nvSpPr>
        <xdr:spPr>
          <a:xfrm>
            <a:off x="241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29" name="$E$125">
            <a:extLst>
              <a:ext uri="{FF2B5EF4-FFF2-40B4-BE49-F238E27FC236}">
                <a16:creationId xmlns:a16="http://schemas.microsoft.com/office/drawing/2014/main" id="{7769A548-20CB-4585-9382-CA486DB7E6F7}"/>
              </a:ext>
            </a:extLst>
          </xdr:cNvPr>
          <xdr:cNvSpPr/>
        </xdr:nvSpPr>
        <xdr:spPr>
          <a:xfrm>
            <a:off x="254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30" name="$E$125">
            <a:extLst>
              <a:ext uri="{FF2B5EF4-FFF2-40B4-BE49-F238E27FC236}">
                <a16:creationId xmlns:a16="http://schemas.microsoft.com/office/drawing/2014/main" id="{18878428-86B5-4923-9019-23DFF2DBF3A8}"/>
              </a:ext>
            </a:extLst>
          </xdr:cNvPr>
          <xdr:cNvSpPr/>
        </xdr:nvSpPr>
        <xdr:spPr>
          <a:xfrm>
            <a:off x="292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31" name="$E$125">
            <a:extLst>
              <a:ext uri="{FF2B5EF4-FFF2-40B4-BE49-F238E27FC236}">
                <a16:creationId xmlns:a16="http://schemas.microsoft.com/office/drawing/2014/main" id="{5F4B3647-0CF7-4AE7-A038-820A997F6099}"/>
              </a:ext>
            </a:extLst>
          </xdr:cNvPr>
          <xdr:cNvSpPr/>
        </xdr:nvSpPr>
        <xdr:spPr>
          <a:xfrm>
            <a:off x="304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32" name="$E$125">
            <a:extLst>
              <a:ext uri="{FF2B5EF4-FFF2-40B4-BE49-F238E27FC236}">
                <a16:creationId xmlns:a16="http://schemas.microsoft.com/office/drawing/2014/main" id="{87919486-C6A4-492D-8211-11CA2C7EFA1B}"/>
              </a:ext>
            </a:extLst>
          </xdr:cNvPr>
          <xdr:cNvSpPr/>
        </xdr:nvSpPr>
        <xdr:spPr>
          <a:xfrm>
            <a:off x="355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33" name="$E$125">
            <a:extLst>
              <a:ext uri="{FF2B5EF4-FFF2-40B4-BE49-F238E27FC236}">
                <a16:creationId xmlns:a16="http://schemas.microsoft.com/office/drawing/2014/main" id="{BA57364F-3DCE-46F6-A86D-A76406739DE6}"/>
              </a:ext>
            </a:extLst>
          </xdr:cNvPr>
          <xdr:cNvSpPr/>
        </xdr:nvSpPr>
        <xdr:spPr>
          <a:xfrm>
            <a:off x="368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34" name="$E$125">
            <a:extLst>
              <a:ext uri="{FF2B5EF4-FFF2-40B4-BE49-F238E27FC236}">
                <a16:creationId xmlns:a16="http://schemas.microsoft.com/office/drawing/2014/main" id="{E56BD4F9-9EA1-437B-9364-CCB33AA983C4}"/>
              </a:ext>
            </a:extLst>
          </xdr:cNvPr>
          <xdr:cNvSpPr/>
        </xdr:nvSpPr>
        <xdr:spPr>
          <a:xfrm>
            <a:off x="381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35" name="$E$125">
            <a:extLst>
              <a:ext uri="{FF2B5EF4-FFF2-40B4-BE49-F238E27FC236}">
                <a16:creationId xmlns:a16="http://schemas.microsoft.com/office/drawing/2014/main" id="{CF91A852-633A-4ACA-9446-1D5D9078A99E}"/>
              </a:ext>
            </a:extLst>
          </xdr:cNvPr>
          <xdr:cNvSpPr/>
        </xdr:nvSpPr>
        <xdr:spPr>
          <a:xfrm>
            <a:off x="406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36" name="$E$125">
            <a:extLst>
              <a:ext uri="{FF2B5EF4-FFF2-40B4-BE49-F238E27FC236}">
                <a16:creationId xmlns:a16="http://schemas.microsoft.com/office/drawing/2014/main" id="{201277B9-9FD0-4553-B7F6-8AEE94994D84}"/>
              </a:ext>
            </a:extLst>
          </xdr:cNvPr>
          <xdr:cNvSpPr/>
        </xdr:nvSpPr>
        <xdr:spPr>
          <a:xfrm>
            <a:off x="4445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37" name="$E$125">
            <a:extLst>
              <a:ext uri="{FF2B5EF4-FFF2-40B4-BE49-F238E27FC236}">
                <a16:creationId xmlns:a16="http://schemas.microsoft.com/office/drawing/2014/main" id="{A5994168-31ED-48F5-A275-111F2D571336}"/>
              </a:ext>
            </a:extLst>
          </xdr:cNvPr>
          <xdr:cNvSpPr/>
        </xdr:nvSpPr>
        <xdr:spPr>
          <a:xfrm>
            <a:off x="457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38" name="$E$125">
            <a:extLst>
              <a:ext uri="{FF2B5EF4-FFF2-40B4-BE49-F238E27FC236}">
                <a16:creationId xmlns:a16="http://schemas.microsoft.com/office/drawing/2014/main" id="{FFCBB2AC-EDB6-4989-90D5-3B42CFE1809B}"/>
              </a:ext>
            </a:extLst>
          </xdr:cNvPr>
          <xdr:cNvSpPr/>
        </xdr:nvSpPr>
        <xdr:spPr>
          <a:xfrm>
            <a:off x="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39" name="$E$125">
            <a:extLst>
              <a:ext uri="{FF2B5EF4-FFF2-40B4-BE49-F238E27FC236}">
                <a16:creationId xmlns:a16="http://schemas.microsoft.com/office/drawing/2014/main" id="{5A2BA33F-3EB5-4B0E-B4DE-DD9F032D91EF}"/>
              </a:ext>
            </a:extLst>
          </xdr:cNvPr>
          <xdr:cNvSpPr/>
        </xdr:nvSpPr>
        <xdr:spPr>
          <a:xfrm>
            <a:off x="25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40" name="$E$125">
            <a:extLst>
              <a:ext uri="{FF2B5EF4-FFF2-40B4-BE49-F238E27FC236}">
                <a16:creationId xmlns:a16="http://schemas.microsoft.com/office/drawing/2014/main" id="{3024CD8C-13DA-4B6B-939A-CB190C04F04B}"/>
              </a:ext>
            </a:extLst>
          </xdr:cNvPr>
          <xdr:cNvSpPr/>
        </xdr:nvSpPr>
        <xdr:spPr>
          <a:xfrm>
            <a:off x="38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41" name="$E$125">
            <a:extLst>
              <a:ext uri="{FF2B5EF4-FFF2-40B4-BE49-F238E27FC236}">
                <a16:creationId xmlns:a16="http://schemas.microsoft.com/office/drawing/2014/main" id="{199D2910-5D65-4C84-A556-89A14768F43A}"/>
              </a:ext>
            </a:extLst>
          </xdr:cNvPr>
          <xdr:cNvSpPr/>
        </xdr:nvSpPr>
        <xdr:spPr>
          <a:xfrm>
            <a:off x="50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42" name="$E$125">
            <a:extLst>
              <a:ext uri="{FF2B5EF4-FFF2-40B4-BE49-F238E27FC236}">
                <a16:creationId xmlns:a16="http://schemas.microsoft.com/office/drawing/2014/main" id="{7292B7EF-DB3A-48CC-A2F0-BCA33CCC8352}"/>
              </a:ext>
            </a:extLst>
          </xdr:cNvPr>
          <xdr:cNvSpPr/>
        </xdr:nvSpPr>
        <xdr:spPr>
          <a:xfrm>
            <a:off x="76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43" name="$E$125">
            <a:extLst>
              <a:ext uri="{FF2B5EF4-FFF2-40B4-BE49-F238E27FC236}">
                <a16:creationId xmlns:a16="http://schemas.microsoft.com/office/drawing/2014/main" id="{BDC254FF-9351-4ADF-827F-560CBD52AE5D}"/>
              </a:ext>
            </a:extLst>
          </xdr:cNvPr>
          <xdr:cNvSpPr/>
        </xdr:nvSpPr>
        <xdr:spPr>
          <a:xfrm>
            <a:off x="1016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44" name="$E$125">
            <a:extLst>
              <a:ext uri="{FF2B5EF4-FFF2-40B4-BE49-F238E27FC236}">
                <a16:creationId xmlns:a16="http://schemas.microsoft.com/office/drawing/2014/main" id="{41F0F578-77D9-4633-A8D7-44EE28BC3007}"/>
              </a:ext>
            </a:extLst>
          </xdr:cNvPr>
          <xdr:cNvSpPr/>
        </xdr:nvSpPr>
        <xdr:spPr>
          <a:xfrm>
            <a:off x="1143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45" name="$E$125">
            <a:extLst>
              <a:ext uri="{FF2B5EF4-FFF2-40B4-BE49-F238E27FC236}">
                <a16:creationId xmlns:a16="http://schemas.microsoft.com/office/drawing/2014/main" id="{44E8F5D4-4783-4509-AD30-55F35820B0EF}"/>
              </a:ext>
            </a:extLst>
          </xdr:cNvPr>
          <xdr:cNvSpPr/>
        </xdr:nvSpPr>
        <xdr:spPr>
          <a:xfrm>
            <a:off x="139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46" name="$E$125">
            <a:extLst>
              <a:ext uri="{FF2B5EF4-FFF2-40B4-BE49-F238E27FC236}">
                <a16:creationId xmlns:a16="http://schemas.microsoft.com/office/drawing/2014/main" id="{47F2CC5F-A624-4548-8718-7E9A24847FF8}"/>
              </a:ext>
            </a:extLst>
          </xdr:cNvPr>
          <xdr:cNvSpPr/>
        </xdr:nvSpPr>
        <xdr:spPr>
          <a:xfrm>
            <a:off x="152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47" name="$E$125">
            <a:extLst>
              <a:ext uri="{FF2B5EF4-FFF2-40B4-BE49-F238E27FC236}">
                <a16:creationId xmlns:a16="http://schemas.microsoft.com/office/drawing/2014/main" id="{A6B54AA6-5CAD-4847-B237-3BC9907DB511}"/>
              </a:ext>
            </a:extLst>
          </xdr:cNvPr>
          <xdr:cNvSpPr/>
        </xdr:nvSpPr>
        <xdr:spPr>
          <a:xfrm>
            <a:off x="190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48" name="$E$125">
            <a:extLst>
              <a:ext uri="{FF2B5EF4-FFF2-40B4-BE49-F238E27FC236}">
                <a16:creationId xmlns:a16="http://schemas.microsoft.com/office/drawing/2014/main" id="{12CE77B1-00B6-41C0-97BA-1F4C753A0F5F}"/>
              </a:ext>
            </a:extLst>
          </xdr:cNvPr>
          <xdr:cNvSpPr/>
        </xdr:nvSpPr>
        <xdr:spPr>
          <a:xfrm>
            <a:off x="203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49" name="$E$125">
            <a:extLst>
              <a:ext uri="{FF2B5EF4-FFF2-40B4-BE49-F238E27FC236}">
                <a16:creationId xmlns:a16="http://schemas.microsoft.com/office/drawing/2014/main" id="{34FC31E3-742D-4AD5-B1CB-A759C14FC8CB}"/>
              </a:ext>
            </a:extLst>
          </xdr:cNvPr>
          <xdr:cNvSpPr/>
        </xdr:nvSpPr>
        <xdr:spPr>
          <a:xfrm>
            <a:off x="254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0" name="$E$125">
            <a:extLst>
              <a:ext uri="{FF2B5EF4-FFF2-40B4-BE49-F238E27FC236}">
                <a16:creationId xmlns:a16="http://schemas.microsoft.com/office/drawing/2014/main" id="{B4D9E536-5AD7-4530-B21A-C83E35F13A49}"/>
              </a:ext>
            </a:extLst>
          </xdr:cNvPr>
          <xdr:cNvSpPr/>
        </xdr:nvSpPr>
        <xdr:spPr>
          <a:xfrm>
            <a:off x="279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1" name="$E$125">
            <a:extLst>
              <a:ext uri="{FF2B5EF4-FFF2-40B4-BE49-F238E27FC236}">
                <a16:creationId xmlns:a16="http://schemas.microsoft.com/office/drawing/2014/main" id="{3CC70469-2FC9-49E0-A5D1-A346B9D94EBF}"/>
              </a:ext>
            </a:extLst>
          </xdr:cNvPr>
          <xdr:cNvSpPr/>
        </xdr:nvSpPr>
        <xdr:spPr>
          <a:xfrm>
            <a:off x="330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2" name="$E$125">
            <a:extLst>
              <a:ext uri="{FF2B5EF4-FFF2-40B4-BE49-F238E27FC236}">
                <a16:creationId xmlns:a16="http://schemas.microsoft.com/office/drawing/2014/main" id="{A5CFE745-07CD-4F63-8888-AADF26993904}"/>
              </a:ext>
            </a:extLst>
          </xdr:cNvPr>
          <xdr:cNvSpPr/>
        </xdr:nvSpPr>
        <xdr:spPr>
          <a:xfrm>
            <a:off x="3429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3" name="$E$125">
            <a:extLst>
              <a:ext uri="{FF2B5EF4-FFF2-40B4-BE49-F238E27FC236}">
                <a16:creationId xmlns:a16="http://schemas.microsoft.com/office/drawing/2014/main" id="{C7D4FFEF-6046-4829-95F2-0BF75A0ACEEA}"/>
              </a:ext>
            </a:extLst>
          </xdr:cNvPr>
          <xdr:cNvSpPr/>
        </xdr:nvSpPr>
        <xdr:spPr>
          <a:xfrm>
            <a:off x="393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4" name="$E$125">
            <a:extLst>
              <a:ext uri="{FF2B5EF4-FFF2-40B4-BE49-F238E27FC236}">
                <a16:creationId xmlns:a16="http://schemas.microsoft.com/office/drawing/2014/main" id="{10D892A6-DDF5-466E-A950-8D8AE20FCA01}"/>
              </a:ext>
            </a:extLst>
          </xdr:cNvPr>
          <xdr:cNvSpPr/>
        </xdr:nvSpPr>
        <xdr:spPr>
          <a:xfrm>
            <a:off x="419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5" name="$E$125">
            <a:extLst>
              <a:ext uri="{FF2B5EF4-FFF2-40B4-BE49-F238E27FC236}">
                <a16:creationId xmlns:a16="http://schemas.microsoft.com/office/drawing/2014/main" id="{958C1022-B0EE-4EB3-BD22-58D3A3C467F4}"/>
              </a:ext>
            </a:extLst>
          </xdr:cNvPr>
          <xdr:cNvSpPr/>
        </xdr:nvSpPr>
        <xdr:spPr>
          <a:xfrm>
            <a:off x="444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6" name="$E$125">
            <a:extLst>
              <a:ext uri="{FF2B5EF4-FFF2-40B4-BE49-F238E27FC236}">
                <a16:creationId xmlns:a16="http://schemas.microsoft.com/office/drawing/2014/main" id="{A7C710E8-4C74-4742-A9BC-238B1207B267}"/>
              </a:ext>
            </a:extLst>
          </xdr:cNvPr>
          <xdr:cNvSpPr/>
        </xdr:nvSpPr>
        <xdr:spPr>
          <a:xfrm>
            <a:off x="457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7" name="$E$125">
            <a:extLst>
              <a:ext uri="{FF2B5EF4-FFF2-40B4-BE49-F238E27FC236}">
                <a16:creationId xmlns:a16="http://schemas.microsoft.com/office/drawing/2014/main" id="{E6103073-E7A9-4C31-916C-B31611DB31BA}"/>
              </a:ext>
            </a:extLst>
          </xdr:cNvPr>
          <xdr:cNvSpPr/>
        </xdr:nvSpPr>
        <xdr:spPr>
          <a:xfrm>
            <a:off x="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8" name="$E$125">
            <a:extLst>
              <a:ext uri="{FF2B5EF4-FFF2-40B4-BE49-F238E27FC236}">
                <a16:creationId xmlns:a16="http://schemas.microsoft.com/office/drawing/2014/main" id="{15385E53-C4DC-4D2A-BA3E-6E437D58CFFA}"/>
              </a:ext>
            </a:extLst>
          </xdr:cNvPr>
          <xdr:cNvSpPr/>
        </xdr:nvSpPr>
        <xdr:spPr>
          <a:xfrm>
            <a:off x="76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59" name="$E$125">
            <a:extLst>
              <a:ext uri="{FF2B5EF4-FFF2-40B4-BE49-F238E27FC236}">
                <a16:creationId xmlns:a16="http://schemas.microsoft.com/office/drawing/2014/main" id="{FEE65546-8FEC-4B8B-877F-AF51913C78B6}"/>
              </a:ext>
            </a:extLst>
          </xdr:cNvPr>
          <xdr:cNvSpPr/>
        </xdr:nvSpPr>
        <xdr:spPr>
          <a:xfrm>
            <a:off x="101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0" name="$E$125">
            <a:extLst>
              <a:ext uri="{FF2B5EF4-FFF2-40B4-BE49-F238E27FC236}">
                <a16:creationId xmlns:a16="http://schemas.microsoft.com/office/drawing/2014/main" id="{BA59767A-74FF-4083-A2D2-369086BF7F37}"/>
              </a:ext>
            </a:extLst>
          </xdr:cNvPr>
          <xdr:cNvSpPr/>
        </xdr:nvSpPr>
        <xdr:spPr>
          <a:xfrm>
            <a:off x="1143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1" name="$E$125">
            <a:extLst>
              <a:ext uri="{FF2B5EF4-FFF2-40B4-BE49-F238E27FC236}">
                <a16:creationId xmlns:a16="http://schemas.microsoft.com/office/drawing/2014/main" id="{0BFABD0F-1BEB-4885-85BA-3955B51CC783}"/>
              </a:ext>
            </a:extLst>
          </xdr:cNvPr>
          <xdr:cNvSpPr/>
        </xdr:nvSpPr>
        <xdr:spPr>
          <a:xfrm>
            <a:off x="1397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2" name="$E$125">
            <a:extLst>
              <a:ext uri="{FF2B5EF4-FFF2-40B4-BE49-F238E27FC236}">
                <a16:creationId xmlns:a16="http://schemas.microsoft.com/office/drawing/2014/main" id="{6CE8DBDA-4129-4826-8653-F1F29BF0CE23}"/>
              </a:ext>
            </a:extLst>
          </xdr:cNvPr>
          <xdr:cNvSpPr/>
        </xdr:nvSpPr>
        <xdr:spPr>
          <a:xfrm>
            <a:off x="1778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3" name="$E$125">
            <a:extLst>
              <a:ext uri="{FF2B5EF4-FFF2-40B4-BE49-F238E27FC236}">
                <a16:creationId xmlns:a16="http://schemas.microsoft.com/office/drawing/2014/main" id="{F4D9C5B7-1264-4CD0-9819-14D6BF812133}"/>
              </a:ext>
            </a:extLst>
          </xdr:cNvPr>
          <xdr:cNvSpPr/>
        </xdr:nvSpPr>
        <xdr:spPr>
          <a:xfrm>
            <a:off x="203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4" name="$E$125">
            <a:extLst>
              <a:ext uri="{FF2B5EF4-FFF2-40B4-BE49-F238E27FC236}">
                <a16:creationId xmlns:a16="http://schemas.microsoft.com/office/drawing/2014/main" id="{0F53CBF7-2092-41CA-AC39-0E6E022C9461}"/>
              </a:ext>
            </a:extLst>
          </xdr:cNvPr>
          <xdr:cNvSpPr/>
        </xdr:nvSpPr>
        <xdr:spPr>
          <a:xfrm>
            <a:off x="228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5" name="$E$125">
            <a:extLst>
              <a:ext uri="{FF2B5EF4-FFF2-40B4-BE49-F238E27FC236}">
                <a16:creationId xmlns:a16="http://schemas.microsoft.com/office/drawing/2014/main" id="{CD37C05B-9203-487A-A30A-82F0C51365BA}"/>
              </a:ext>
            </a:extLst>
          </xdr:cNvPr>
          <xdr:cNvSpPr/>
        </xdr:nvSpPr>
        <xdr:spPr>
          <a:xfrm>
            <a:off x="2667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6" name="$E$125">
            <a:extLst>
              <a:ext uri="{FF2B5EF4-FFF2-40B4-BE49-F238E27FC236}">
                <a16:creationId xmlns:a16="http://schemas.microsoft.com/office/drawing/2014/main" id="{07FFE361-587D-4718-A878-87C492A4171F}"/>
              </a:ext>
            </a:extLst>
          </xdr:cNvPr>
          <xdr:cNvSpPr/>
        </xdr:nvSpPr>
        <xdr:spPr>
          <a:xfrm>
            <a:off x="3429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7" name="$E$125">
            <a:extLst>
              <a:ext uri="{FF2B5EF4-FFF2-40B4-BE49-F238E27FC236}">
                <a16:creationId xmlns:a16="http://schemas.microsoft.com/office/drawing/2014/main" id="{997736FB-C5C0-4BBE-ACC3-536BC0B0057D}"/>
              </a:ext>
            </a:extLst>
          </xdr:cNvPr>
          <xdr:cNvSpPr/>
        </xdr:nvSpPr>
        <xdr:spPr>
          <a:xfrm>
            <a:off x="355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8" name="$E$125">
            <a:extLst>
              <a:ext uri="{FF2B5EF4-FFF2-40B4-BE49-F238E27FC236}">
                <a16:creationId xmlns:a16="http://schemas.microsoft.com/office/drawing/2014/main" id="{68655A2A-4C2B-4A34-A500-64F07AA02DED}"/>
              </a:ext>
            </a:extLst>
          </xdr:cNvPr>
          <xdr:cNvSpPr/>
        </xdr:nvSpPr>
        <xdr:spPr>
          <a:xfrm>
            <a:off x="381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69" name="$E$125">
            <a:extLst>
              <a:ext uri="{FF2B5EF4-FFF2-40B4-BE49-F238E27FC236}">
                <a16:creationId xmlns:a16="http://schemas.microsoft.com/office/drawing/2014/main" id="{E5F5CFDC-94CC-43E7-96A9-0744852609B3}"/>
              </a:ext>
            </a:extLst>
          </xdr:cNvPr>
          <xdr:cNvSpPr/>
        </xdr:nvSpPr>
        <xdr:spPr>
          <a:xfrm>
            <a:off x="406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70" name="$E$125">
            <a:extLst>
              <a:ext uri="{FF2B5EF4-FFF2-40B4-BE49-F238E27FC236}">
                <a16:creationId xmlns:a16="http://schemas.microsoft.com/office/drawing/2014/main" id="{EFEBD59C-10A7-4218-A841-76F8D5D05618}"/>
              </a:ext>
            </a:extLst>
          </xdr:cNvPr>
          <xdr:cNvSpPr/>
        </xdr:nvSpPr>
        <xdr:spPr>
          <a:xfrm>
            <a:off x="457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71" name="$E$125">
            <a:extLst>
              <a:ext uri="{FF2B5EF4-FFF2-40B4-BE49-F238E27FC236}">
                <a16:creationId xmlns:a16="http://schemas.microsoft.com/office/drawing/2014/main" id="{DC69D3A6-1C35-4AF9-B30E-E6FCC4E79EA1}"/>
              </a:ext>
            </a:extLst>
          </xdr:cNvPr>
          <xdr:cNvSpPr/>
        </xdr:nvSpPr>
        <xdr:spPr>
          <a:xfrm>
            <a:off x="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72" name="$E$125">
            <a:extLst>
              <a:ext uri="{FF2B5EF4-FFF2-40B4-BE49-F238E27FC236}">
                <a16:creationId xmlns:a16="http://schemas.microsoft.com/office/drawing/2014/main" id="{06396130-1483-4DF6-9D10-E0F426A3B9C3}"/>
              </a:ext>
            </a:extLst>
          </xdr:cNvPr>
          <xdr:cNvSpPr/>
        </xdr:nvSpPr>
        <xdr:spPr>
          <a:xfrm>
            <a:off x="12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73" name="$E$125">
            <a:extLst>
              <a:ext uri="{FF2B5EF4-FFF2-40B4-BE49-F238E27FC236}">
                <a16:creationId xmlns:a16="http://schemas.microsoft.com/office/drawing/2014/main" id="{C0294AC8-0868-4C33-B97E-24D473C2B677}"/>
              </a:ext>
            </a:extLst>
          </xdr:cNvPr>
          <xdr:cNvSpPr/>
        </xdr:nvSpPr>
        <xdr:spPr>
          <a:xfrm>
            <a:off x="25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74" name="$E$125">
            <a:extLst>
              <a:ext uri="{FF2B5EF4-FFF2-40B4-BE49-F238E27FC236}">
                <a16:creationId xmlns:a16="http://schemas.microsoft.com/office/drawing/2014/main" id="{04C34C78-3809-4875-B8DE-266A0AD72B7C}"/>
              </a:ext>
            </a:extLst>
          </xdr:cNvPr>
          <xdr:cNvSpPr/>
        </xdr:nvSpPr>
        <xdr:spPr>
          <a:xfrm>
            <a:off x="38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75" name="$E$125">
            <a:extLst>
              <a:ext uri="{FF2B5EF4-FFF2-40B4-BE49-F238E27FC236}">
                <a16:creationId xmlns:a16="http://schemas.microsoft.com/office/drawing/2014/main" id="{BADA39FC-5BAD-4DB9-8C71-0F7530DCB86B}"/>
              </a:ext>
            </a:extLst>
          </xdr:cNvPr>
          <xdr:cNvSpPr/>
        </xdr:nvSpPr>
        <xdr:spPr>
          <a:xfrm>
            <a:off x="50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76" name="$E$125">
            <a:extLst>
              <a:ext uri="{FF2B5EF4-FFF2-40B4-BE49-F238E27FC236}">
                <a16:creationId xmlns:a16="http://schemas.microsoft.com/office/drawing/2014/main" id="{C1D08FC0-130A-487E-9E16-630BC0B5DCE2}"/>
              </a:ext>
            </a:extLst>
          </xdr:cNvPr>
          <xdr:cNvSpPr/>
        </xdr:nvSpPr>
        <xdr:spPr>
          <a:xfrm>
            <a:off x="63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77" name="$E$125">
            <a:extLst>
              <a:ext uri="{FF2B5EF4-FFF2-40B4-BE49-F238E27FC236}">
                <a16:creationId xmlns:a16="http://schemas.microsoft.com/office/drawing/2014/main" id="{5C511594-8AC4-4ECB-BE26-55A4ABC8EFB8}"/>
              </a:ext>
            </a:extLst>
          </xdr:cNvPr>
          <xdr:cNvSpPr/>
        </xdr:nvSpPr>
        <xdr:spPr>
          <a:xfrm>
            <a:off x="76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78" name="$E$125">
            <a:extLst>
              <a:ext uri="{FF2B5EF4-FFF2-40B4-BE49-F238E27FC236}">
                <a16:creationId xmlns:a16="http://schemas.microsoft.com/office/drawing/2014/main" id="{7AE691C6-D5E2-4E6F-860A-013B07F07840}"/>
              </a:ext>
            </a:extLst>
          </xdr:cNvPr>
          <xdr:cNvSpPr/>
        </xdr:nvSpPr>
        <xdr:spPr>
          <a:xfrm>
            <a:off x="101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79" name="$E$125">
            <a:extLst>
              <a:ext uri="{FF2B5EF4-FFF2-40B4-BE49-F238E27FC236}">
                <a16:creationId xmlns:a16="http://schemas.microsoft.com/office/drawing/2014/main" id="{DD7E1D1D-8DC0-4F2D-96E6-00FCC028CD6A}"/>
              </a:ext>
            </a:extLst>
          </xdr:cNvPr>
          <xdr:cNvSpPr/>
        </xdr:nvSpPr>
        <xdr:spPr>
          <a:xfrm>
            <a:off x="127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0" name="$E$125">
            <a:extLst>
              <a:ext uri="{FF2B5EF4-FFF2-40B4-BE49-F238E27FC236}">
                <a16:creationId xmlns:a16="http://schemas.microsoft.com/office/drawing/2014/main" id="{0AF48EEE-5C1F-4145-8559-D4C142DA717D}"/>
              </a:ext>
            </a:extLst>
          </xdr:cNvPr>
          <xdr:cNvSpPr/>
        </xdr:nvSpPr>
        <xdr:spPr>
          <a:xfrm>
            <a:off x="139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1" name="$E$125">
            <a:extLst>
              <a:ext uri="{FF2B5EF4-FFF2-40B4-BE49-F238E27FC236}">
                <a16:creationId xmlns:a16="http://schemas.microsoft.com/office/drawing/2014/main" id="{010DF216-6BF6-4C54-BFE6-4A0A3C519B4F}"/>
              </a:ext>
            </a:extLst>
          </xdr:cNvPr>
          <xdr:cNvSpPr/>
        </xdr:nvSpPr>
        <xdr:spPr>
          <a:xfrm>
            <a:off x="2159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2" name="$E$125">
            <a:extLst>
              <a:ext uri="{FF2B5EF4-FFF2-40B4-BE49-F238E27FC236}">
                <a16:creationId xmlns:a16="http://schemas.microsoft.com/office/drawing/2014/main" id="{29E281E0-FD7C-4F99-88F9-262FD8CFC953}"/>
              </a:ext>
            </a:extLst>
          </xdr:cNvPr>
          <xdr:cNvSpPr/>
        </xdr:nvSpPr>
        <xdr:spPr>
          <a:xfrm>
            <a:off x="279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3" name="$E$125">
            <a:extLst>
              <a:ext uri="{FF2B5EF4-FFF2-40B4-BE49-F238E27FC236}">
                <a16:creationId xmlns:a16="http://schemas.microsoft.com/office/drawing/2014/main" id="{3D70C895-A653-4C24-86D8-8AA985EE94E0}"/>
              </a:ext>
            </a:extLst>
          </xdr:cNvPr>
          <xdr:cNvSpPr/>
        </xdr:nvSpPr>
        <xdr:spPr>
          <a:xfrm>
            <a:off x="292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4" name="$E$125">
            <a:extLst>
              <a:ext uri="{FF2B5EF4-FFF2-40B4-BE49-F238E27FC236}">
                <a16:creationId xmlns:a16="http://schemas.microsoft.com/office/drawing/2014/main" id="{7224CEC5-9923-4D57-AA2F-09EF5488ED9A}"/>
              </a:ext>
            </a:extLst>
          </xdr:cNvPr>
          <xdr:cNvSpPr/>
        </xdr:nvSpPr>
        <xdr:spPr>
          <a:xfrm>
            <a:off x="304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5" name="$E$125">
            <a:extLst>
              <a:ext uri="{FF2B5EF4-FFF2-40B4-BE49-F238E27FC236}">
                <a16:creationId xmlns:a16="http://schemas.microsoft.com/office/drawing/2014/main" id="{9B6407FB-79EF-4F94-8F2C-D3100401FBF6}"/>
              </a:ext>
            </a:extLst>
          </xdr:cNvPr>
          <xdr:cNvSpPr/>
        </xdr:nvSpPr>
        <xdr:spPr>
          <a:xfrm>
            <a:off x="317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6" name="$E$125">
            <a:extLst>
              <a:ext uri="{FF2B5EF4-FFF2-40B4-BE49-F238E27FC236}">
                <a16:creationId xmlns:a16="http://schemas.microsoft.com/office/drawing/2014/main" id="{3DE59CEB-F48B-44B3-8BF8-001E827E45BA}"/>
              </a:ext>
            </a:extLst>
          </xdr:cNvPr>
          <xdr:cNvSpPr/>
        </xdr:nvSpPr>
        <xdr:spPr>
          <a:xfrm>
            <a:off x="330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7" name="$E$125">
            <a:extLst>
              <a:ext uri="{FF2B5EF4-FFF2-40B4-BE49-F238E27FC236}">
                <a16:creationId xmlns:a16="http://schemas.microsoft.com/office/drawing/2014/main" id="{0220FC57-AE44-4E6B-AA71-7C9AF19882AD}"/>
              </a:ext>
            </a:extLst>
          </xdr:cNvPr>
          <xdr:cNvSpPr/>
        </xdr:nvSpPr>
        <xdr:spPr>
          <a:xfrm>
            <a:off x="368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8" name="$E$125">
            <a:extLst>
              <a:ext uri="{FF2B5EF4-FFF2-40B4-BE49-F238E27FC236}">
                <a16:creationId xmlns:a16="http://schemas.microsoft.com/office/drawing/2014/main" id="{51C56D49-2E21-4794-9AC7-CAB6748ED270}"/>
              </a:ext>
            </a:extLst>
          </xdr:cNvPr>
          <xdr:cNvSpPr/>
        </xdr:nvSpPr>
        <xdr:spPr>
          <a:xfrm>
            <a:off x="381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89" name="$E$125">
            <a:extLst>
              <a:ext uri="{FF2B5EF4-FFF2-40B4-BE49-F238E27FC236}">
                <a16:creationId xmlns:a16="http://schemas.microsoft.com/office/drawing/2014/main" id="{61D5C5CE-22FC-4BC0-B62F-36391AA6B5B6}"/>
              </a:ext>
            </a:extLst>
          </xdr:cNvPr>
          <xdr:cNvSpPr/>
        </xdr:nvSpPr>
        <xdr:spPr>
          <a:xfrm>
            <a:off x="431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90" name="$E$125">
            <a:extLst>
              <a:ext uri="{FF2B5EF4-FFF2-40B4-BE49-F238E27FC236}">
                <a16:creationId xmlns:a16="http://schemas.microsoft.com/office/drawing/2014/main" id="{7BF81CF0-2FF6-47A7-B901-521E44DE19EB}"/>
              </a:ext>
            </a:extLst>
          </xdr:cNvPr>
          <xdr:cNvSpPr/>
        </xdr:nvSpPr>
        <xdr:spPr>
          <a:xfrm>
            <a:off x="444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91" name="$E$125">
            <a:extLst>
              <a:ext uri="{FF2B5EF4-FFF2-40B4-BE49-F238E27FC236}">
                <a16:creationId xmlns:a16="http://schemas.microsoft.com/office/drawing/2014/main" id="{85BB9D92-A4BD-4A1B-B1F3-385E0CA3C0E7}"/>
              </a:ext>
            </a:extLst>
          </xdr:cNvPr>
          <xdr:cNvSpPr/>
        </xdr:nvSpPr>
        <xdr:spPr>
          <a:xfrm>
            <a:off x="457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98244</xdr:colOff>
      <xdr:row>109</xdr:row>
      <xdr:rowOff>45851</xdr:rowOff>
    </xdr:from>
    <xdr:to>
      <xdr:col>4</xdr:col>
      <xdr:colOff>1559107</xdr:colOff>
      <xdr:row>109</xdr:row>
      <xdr:rowOff>1506714</xdr:rowOff>
    </xdr:to>
    <xdr:grpSp>
      <xdr:nvGrpSpPr>
        <xdr:cNvPr id="5034" name="$E$110" descr="QuickResponse barcode, level L, version 4, mode binary, 33x33 cells" title="https://centrodecapacitaciondelsur.com/violencia-sexual-52702928/">
          <a:extLst>
            <a:ext uri="{FF2B5EF4-FFF2-40B4-BE49-F238E27FC236}">
              <a16:creationId xmlns:a16="http://schemas.microsoft.com/office/drawing/2014/main" id="{5A29E057-1129-47C4-BC8B-AFD2FD545B62}"/>
            </a:ext>
          </a:extLst>
        </xdr:cNvPr>
        <xdr:cNvGrpSpPr>
          <a:grpSpLocks noChangeAspect="1"/>
        </xdr:cNvGrpSpPr>
      </xdr:nvGrpSpPr>
      <xdr:grpSpPr>
        <a:xfrm>
          <a:off x="20672244" y="118879751"/>
          <a:ext cx="1460863" cy="1460863"/>
          <a:chOff x="0" y="0"/>
          <a:chExt cx="419100" cy="419100"/>
        </a:xfrm>
      </xdr:grpSpPr>
      <xdr:sp macro="" textlink="">
        <xdr:nvSpPr>
          <xdr:cNvPr id="4493" name="$E$110">
            <a:extLst>
              <a:ext uri="{FF2B5EF4-FFF2-40B4-BE49-F238E27FC236}">
                <a16:creationId xmlns:a16="http://schemas.microsoft.com/office/drawing/2014/main" id="{3554D512-09F8-4990-8703-F4145087BEF6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94" name="$E$110">
            <a:extLst>
              <a:ext uri="{FF2B5EF4-FFF2-40B4-BE49-F238E27FC236}">
                <a16:creationId xmlns:a16="http://schemas.microsoft.com/office/drawing/2014/main" id="{3308064D-56F4-493F-8E74-E9C0680F9091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95" name="$E$110">
            <a:extLst>
              <a:ext uri="{FF2B5EF4-FFF2-40B4-BE49-F238E27FC236}">
                <a16:creationId xmlns:a16="http://schemas.microsoft.com/office/drawing/2014/main" id="{B94621B2-03A7-4730-A049-E389BDA6F282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96" name="$E$110">
            <a:extLst>
              <a:ext uri="{FF2B5EF4-FFF2-40B4-BE49-F238E27FC236}">
                <a16:creationId xmlns:a16="http://schemas.microsoft.com/office/drawing/2014/main" id="{758C0368-FC20-49D1-BD35-BCF2C6C804C3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97" name="$E$110">
            <a:extLst>
              <a:ext uri="{FF2B5EF4-FFF2-40B4-BE49-F238E27FC236}">
                <a16:creationId xmlns:a16="http://schemas.microsoft.com/office/drawing/2014/main" id="{D95001B9-EE59-42F3-B864-63AEAFF4B723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98" name="$E$110">
            <a:extLst>
              <a:ext uri="{FF2B5EF4-FFF2-40B4-BE49-F238E27FC236}">
                <a16:creationId xmlns:a16="http://schemas.microsoft.com/office/drawing/2014/main" id="{D5C0EFE8-7D12-41BB-9B51-111D2756B8CD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499" name="$E$110">
            <a:extLst>
              <a:ext uri="{FF2B5EF4-FFF2-40B4-BE49-F238E27FC236}">
                <a16:creationId xmlns:a16="http://schemas.microsoft.com/office/drawing/2014/main" id="{A30579CC-5DB5-4E28-875C-0215AE20E8A3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0" name="$E$110">
            <a:extLst>
              <a:ext uri="{FF2B5EF4-FFF2-40B4-BE49-F238E27FC236}">
                <a16:creationId xmlns:a16="http://schemas.microsoft.com/office/drawing/2014/main" id="{16E2A68C-861B-4868-B14C-8FE569A91B67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1" name="$E$110">
            <a:extLst>
              <a:ext uri="{FF2B5EF4-FFF2-40B4-BE49-F238E27FC236}">
                <a16:creationId xmlns:a16="http://schemas.microsoft.com/office/drawing/2014/main" id="{D27A30B5-9AFE-448E-B7D5-DE4CF648A781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2" name="$E$110">
            <a:extLst>
              <a:ext uri="{FF2B5EF4-FFF2-40B4-BE49-F238E27FC236}">
                <a16:creationId xmlns:a16="http://schemas.microsoft.com/office/drawing/2014/main" id="{A6E3FEE0-6EE0-428F-B23F-C9FD0E5800C7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3" name="$E$110">
            <a:extLst>
              <a:ext uri="{FF2B5EF4-FFF2-40B4-BE49-F238E27FC236}">
                <a16:creationId xmlns:a16="http://schemas.microsoft.com/office/drawing/2014/main" id="{A8FB023A-2786-425E-A8DF-FDF0E55C425D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4" name="$E$110">
            <a:extLst>
              <a:ext uri="{FF2B5EF4-FFF2-40B4-BE49-F238E27FC236}">
                <a16:creationId xmlns:a16="http://schemas.microsoft.com/office/drawing/2014/main" id="{3D37F9B6-FD2A-4E47-AEA8-F90899CC89E9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5" name="$E$110">
            <a:extLst>
              <a:ext uri="{FF2B5EF4-FFF2-40B4-BE49-F238E27FC236}">
                <a16:creationId xmlns:a16="http://schemas.microsoft.com/office/drawing/2014/main" id="{BB597F9E-128C-48E5-BDDC-AD49456166FA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6" name="$E$110">
            <a:extLst>
              <a:ext uri="{FF2B5EF4-FFF2-40B4-BE49-F238E27FC236}">
                <a16:creationId xmlns:a16="http://schemas.microsoft.com/office/drawing/2014/main" id="{6292CE7B-39F4-433F-82A1-8019CDB5C323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7" name="$E$110">
            <a:extLst>
              <a:ext uri="{FF2B5EF4-FFF2-40B4-BE49-F238E27FC236}">
                <a16:creationId xmlns:a16="http://schemas.microsoft.com/office/drawing/2014/main" id="{26124C81-6390-4257-95DE-1856F8D1C361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8" name="$E$110">
            <a:extLst>
              <a:ext uri="{FF2B5EF4-FFF2-40B4-BE49-F238E27FC236}">
                <a16:creationId xmlns:a16="http://schemas.microsoft.com/office/drawing/2014/main" id="{9CD5A88E-B65A-48DB-9872-513D7D801D78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09" name="$E$110">
            <a:extLst>
              <a:ext uri="{FF2B5EF4-FFF2-40B4-BE49-F238E27FC236}">
                <a16:creationId xmlns:a16="http://schemas.microsoft.com/office/drawing/2014/main" id="{E233E575-DBC1-42B2-A191-06FBADD92B8D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0" name="$E$110">
            <a:extLst>
              <a:ext uri="{FF2B5EF4-FFF2-40B4-BE49-F238E27FC236}">
                <a16:creationId xmlns:a16="http://schemas.microsoft.com/office/drawing/2014/main" id="{072898D8-3EA1-4607-8354-3600F14BC056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1" name="$E$110">
            <a:extLst>
              <a:ext uri="{FF2B5EF4-FFF2-40B4-BE49-F238E27FC236}">
                <a16:creationId xmlns:a16="http://schemas.microsoft.com/office/drawing/2014/main" id="{CF0F5DBB-F5E3-4811-BFB9-6C2D02CFBC34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2" name="$E$110">
            <a:extLst>
              <a:ext uri="{FF2B5EF4-FFF2-40B4-BE49-F238E27FC236}">
                <a16:creationId xmlns:a16="http://schemas.microsoft.com/office/drawing/2014/main" id="{E9AAB311-B735-4881-BCB6-5E771E842751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3" name="$E$110">
            <a:extLst>
              <a:ext uri="{FF2B5EF4-FFF2-40B4-BE49-F238E27FC236}">
                <a16:creationId xmlns:a16="http://schemas.microsoft.com/office/drawing/2014/main" id="{906E04B6-B554-4390-8B9B-3EFB5284E143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4" name="$E$110">
            <a:extLst>
              <a:ext uri="{FF2B5EF4-FFF2-40B4-BE49-F238E27FC236}">
                <a16:creationId xmlns:a16="http://schemas.microsoft.com/office/drawing/2014/main" id="{4BCA684F-ECAA-48A3-B117-A8B237C91D3C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5" name="$E$110">
            <a:extLst>
              <a:ext uri="{FF2B5EF4-FFF2-40B4-BE49-F238E27FC236}">
                <a16:creationId xmlns:a16="http://schemas.microsoft.com/office/drawing/2014/main" id="{ADE37E08-074B-4FA8-A4F5-5E811473AEAD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6" name="$E$110">
            <a:extLst>
              <a:ext uri="{FF2B5EF4-FFF2-40B4-BE49-F238E27FC236}">
                <a16:creationId xmlns:a16="http://schemas.microsoft.com/office/drawing/2014/main" id="{93E5E99A-1888-4857-8FE7-79EB69834DA2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7" name="$E$110">
            <a:extLst>
              <a:ext uri="{FF2B5EF4-FFF2-40B4-BE49-F238E27FC236}">
                <a16:creationId xmlns:a16="http://schemas.microsoft.com/office/drawing/2014/main" id="{6DF8F5B8-F26A-4D8E-BAAB-881E729984F6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8" name="$E$110">
            <a:extLst>
              <a:ext uri="{FF2B5EF4-FFF2-40B4-BE49-F238E27FC236}">
                <a16:creationId xmlns:a16="http://schemas.microsoft.com/office/drawing/2014/main" id="{27371C45-8229-4FB6-B7CD-B67A15749F88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19" name="$E$110">
            <a:extLst>
              <a:ext uri="{FF2B5EF4-FFF2-40B4-BE49-F238E27FC236}">
                <a16:creationId xmlns:a16="http://schemas.microsoft.com/office/drawing/2014/main" id="{1E658AF8-C066-4594-8ADC-E8DAD8308D8A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0" name="$E$110">
            <a:extLst>
              <a:ext uri="{FF2B5EF4-FFF2-40B4-BE49-F238E27FC236}">
                <a16:creationId xmlns:a16="http://schemas.microsoft.com/office/drawing/2014/main" id="{574C2FAD-4A50-40B2-BB05-AB417D315BBD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1" name="$E$110">
            <a:extLst>
              <a:ext uri="{FF2B5EF4-FFF2-40B4-BE49-F238E27FC236}">
                <a16:creationId xmlns:a16="http://schemas.microsoft.com/office/drawing/2014/main" id="{7D45B59E-BC02-4E69-B567-1B52CB4D6CF3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2" name="$E$110">
            <a:extLst>
              <a:ext uri="{FF2B5EF4-FFF2-40B4-BE49-F238E27FC236}">
                <a16:creationId xmlns:a16="http://schemas.microsoft.com/office/drawing/2014/main" id="{7A116247-505C-40E0-AB98-888D45D874C2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3" name="$E$110">
            <a:extLst>
              <a:ext uri="{FF2B5EF4-FFF2-40B4-BE49-F238E27FC236}">
                <a16:creationId xmlns:a16="http://schemas.microsoft.com/office/drawing/2014/main" id="{2FFF859A-638A-4C04-81A5-8228849E869C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4" name="$E$110">
            <a:extLst>
              <a:ext uri="{FF2B5EF4-FFF2-40B4-BE49-F238E27FC236}">
                <a16:creationId xmlns:a16="http://schemas.microsoft.com/office/drawing/2014/main" id="{D89D35A5-2A57-4795-BF16-4E78FD95ECBE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5" name="$E$110">
            <a:extLst>
              <a:ext uri="{FF2B5EF4-FFF2-40B4-BE49-F238E27FC236}">
                <a16:creationId xmlns:a16="http://schemas.microsoft.com/office/drawing/2014/main" id="{74882989-197B-4786-93C4-510A153DF338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6" name="$E$110">
            <a:extLst>
              <a:ext uri="{FF2B5EF4-FFF2-40B4-BE49-F238E27FC236}">
                <a16:creationId xmlns:a16="http://schemas.microsoft.com/office/drawing/2014/main" id="{DA7E78CF-9DE0-43F2-806C-935CF938DBFF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7" name="$E$110">
            <a:extLst>
              <a:ext uri="{FF2B5EF4-FFF2-40B4-BE49-F238E27FC236}">
                <a16:creationId xmlns:a16="http://schemas.microsoft.com/office/drawing/2014/main" id="{723C92B8-89A2-43D1-BBC8-286F0897FB82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8" name="$E$110">
            <a:extLst>
              <a:ext uri="{FF2B5EF4-FFF2-40B4-BE49-F238E27FC236}">
                <a16:creationId xmlns:a16="http://schemas.microsoft.com/office/drawing/2014/main" id="{F0B5F8A9-4D12-436C-AA33-CF00D37B9177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29" name="$E$110">
            <a:extLst>
              <a:ext uri="{FF2B5EF4-FFF2-40B4-BE49-F238E27FC236}">
                <a16:creationId xmlns:a16="http://schemas.microsoft.com/office/drawing/2014/main" id="{6AB63224-819B-4EAC-871C-6BB9D25A8B8D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0" name="$E$110">
            <a:extLst>
              <a:ext uri="{FF2B5EF4-FFF2-40B4-BE49-F238E27FC236}">
                <a16:creationId xmlns:a16="http://schemas.microsoft.com/office/drawing/2014/main" id="{F15A18A4-F03B-4084-B86E-617BF9416B7F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1" name="$E$110">
            <a:extLst>
              <a:ext uri="{FF2B5EF4-FFF2-40B4-BE49-F238E27FC236}">
                <a16:creationId xmlns:a16="http://schemas.microsoft.com/office/drawing/2014/main" id="{7E7F6418-D750-43C8-9C93-8CBCD9904C75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2" name="$E$110">
            <a:extLst>
              <a:ext uri="{FF2B5EF4-FFF2-40B4-BE49-F238E27FC236}">
                <a16:creationId xmlns:a16="http://schemas.microsoft.com/office/drawing/2014/main" id="{65C402C6-2339-4AB9-9C0F-E73E1AB7EBA8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3" name="$E$110">
            <a:extLst>
              <a:ext uri="{FF2B5EF4-FFF2-40B4-BE49-F238E27FC236}">
                <a16:creationId xmlns:a16="http://schemas.microsoft.com/office/drawing/2014/main" id="{89BEFF74-9B07-4E35-B2B8-4459CFE80C19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4" name="$E$110">
            <a:extLst>
              <a:ext uri="{FF2B5EF4-FFF2-40B4-BE49-F238E27FC236}">
                <a16:creationId xmlns:a16="http://schemas.microsoft.com/office/drawing/2014/main" id="{675A9F28-B9D3-476B-A39D-17179D1C87DF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5" name="$E$110">
            <a:extLst>
              <a:ext uri="{FF2B5EF4-FFF2-40B4-BE49-F238E27FC236}">
                <a16:creationId xmlns:a16="http://schemas.microsoft.com/office/drawing/2014/main" id="{49E38220-5581-4D55-964D-D194D6E87A7F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6" name="$E$110">
            <a:extLst>
              <a:ext uri="{FF2B5EF4-FFF2-40B4-BE49-F238E27FC236}">
                <a16:creationId xmlns:a16="http://schemas.microsoft.com/office/drawing/2014/main" id="{2C284297-FF93-410F-8879-B64D2EDEDD03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7" name="$E$110">
            <a:extLst>
              <a:ext uri="{FF2B5EF4-FFF2-40B4-BE49-F238E27FC236}">
                <a16:creationId xmlns:a16="http://schemas.microsoft.com/office/drawing/2014/main" id="{3B32080D-4435-4B8C-8AAC-C134D6C2CDFE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8" name="$E$110">
            <a:extLst>
              <a:ext uri="{FF2B5EF4-FFF2-40B4-BE49-F238E27FC236}">
                <a16:creationId xmlns:a16="http://schemas.microsoft.com/office/drawing/2014/main" id="{D921F9A1-8DFB-4DEC-B435-E6B8EB8B12B5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39" name="$E$110">
            <a:extLst>
              <a:ext uri="{FF2B5EF4-FFF2-40B4-BE49-F238E27FC236}">
                <a16:creationId xmlns:a16="http://schemas.microsoft.com/office/drawing/2014/main" id="{C97AED12-FB53-4895-B266-AA5B903F6A1F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0" name="$E$110">
            <a:extLst>
              <a:ext uri="{FF2B5EF4-FFF2-40B4-BE49-F238E27FC236}">
                <a16:creationId xmlns:a16="http://schemas.microsoft.com/office/drawing/2014/main" id="{528A6F9E-13FA-43B6-BAE7-5BC0C00ABEC5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1" name="$E$110">
            <a:extLst>
              <a:ext uri="{FF2B5EF4-FFF2-40B4-BE49-F238E27FC236}">
                <a16:creationId xmlns:a16="http://schemas.microsoft.com/office/drawing/2014/main" id="{03917A7F-3EBF-4CCB-BA20-17B349D9C803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2" name="$E$110">
            <a:extLst>
              <a:ext uri="{FF2B5EF4-FFF2-40B4-BE49-F238E27FC236}">
                <a16:creationId xmlns:a16="http://schemas.microsoft.com/office/drawing/2014/main" id="{6C6A4ADE-4413-4A80-9211-FBBA0A3ECDE2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3" name="$E$110">
            <a:extLst>
              <a:ext uri="{FF2B5EF4-FFF2-40B4-BE49-F238E27FC236}">
                <a16:creationId xmlns:a16="http://schemas.microsoft.com/office/drawing/2014/main" id="{10F1A1A9-F091-448D-A579-AF27BF92A9A3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4" name="$E$110">
            <a:extLst>
              <a:ext uri="{FF2B5EF4-FFF2-40B4-BE49-F238E27FC236}">
                <a16:creationId xmlns:a16="http://schemas.microsoft.com/office/drawing/2014/main" id="{1CFA2918-F2DD-4F25-9415-443729EC696E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5" name="$E$110">
            <a:extLst>
              <a:ext uri="{FF2B5EF4-FFF2-40B4-BE49-F238E27FC236}">
                <a16:creationId xmlns:a16="http://schemas.microsoft.com/office/drawing/2014/main" id="{F261BACC-6163-45CA-8043-79E5E813A614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6" name="$E$110">
            <a:extLst>
              <a:ext uri="{FF2B5EF4-FFF2-40B4-BE49-F238E27FC236}">
                <a16:creationId xmlns:a16="http://schemas.microsoft.com/office/drawing/2014/main" id="{AD0D6A12-5E39-4EB5-8493-86019C4D0276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7" name="$E$110">
            <a:extLst>
              <a:ext uri="{FF2B5EF4-FFF2-40B4-BE49-F238E27FC236}">
                <a16:creationId xmlns:a16="http://schemas.microsoft.com/office/drawing/2014/main" id="{0B4ED9B9-10F8-43D1-A8C1-991E7CD0AC0F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8" name="$E$110">
            <a:extLst>
              <a:ext uri="{FF2B5EF4-FFF2-40B4-BE49-F238E27FC236}">
                <a16:creationId xmlns:a16="http://schemas.microsoft.com/office/drawing/2014/main" id="{E23CA8C5-B884-4718-B3C4-FB65105E46E5}"/>
              </a:ext>
            </a:extLst>
          </xdr:cNvPr>
          <xdr:cNvSpPr/>
        </xdr:nvSpPr>
        <xdr:spPr>
          <a:xfrm>
            <a:off x="190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49" name="$E$110">
            <a:extLst>
              <a:ext uri="{FF2B5EF4-FFF2-40B4-BE49-F238E27FC236}">
                <a16:creationId xmlns:a16="http://schemas.microsoft.com/office/drawing/2014/main" id="{36493F74-A6FB-400F-8604-DF0E10D7DFF2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0" name="$E$110">
            <a:extLst>
              <a:ext uri="{FF2B5EF4-FFF2-40B4-BE49-F238E27FC236}">
                <a16:creationId xmlns:a16="http://schemas.microsoft.com/office/drawing/2014/main" id="{798E662F-7AEC-4E97-B567-1299D398E927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1" name="$E$110">
            <a:extLst>
              <a:ext uri="{FF2B5EF4-FFF2-40B4-BE49-F238E27FC236}">
                <a16:creationId xmlns:a16="http://schemas.microsoft.com/office/drawing/2014/main" id="{1056EB02-FA6B-4455-893A-EE9861B430EB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2" name="$E$110">
            <a:extLst>
              <a:ext uri="{FF2B5EF4-FFF2-40B4-BE49-F238E27FC236}">
                <a16:creationId xmlns:a16="http://schemas.microsoft.com/office/drawing/2014/main" id="{52C02B20-A016-49A0-9413-2E358B3EFB19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3" name="$E$110">
            <a:extLst>
              <a:ext uri="{FF2B5EF4-FFF2-40B4-BE49-F238E27FC236}">
                <a16:creationId xmlns:a16="http://schemas.microsoft.com/office/drawing/2014/main" id="{50B29CD4-DC97-4F31-AE13-FE0F69287741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4" name="$E$110">
            <a:extLst>
              <a:ext uri="{FF2B5EF4-FFF2-40B4-BE49-F238E27FC236}">
                <a16:creationId xmlns:a16="http://schemas.microsoft.com/office/drawing/2014/main" id="{1C2D8529-B18A-48BD-8768-5E266ED49AF3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5" name="$E$110">
            <a:extLst>
              <a:ext uri="{FF2B5EF4-FFF2-40B4-BE49-F238E27FC236}">
                <a16:creationId xmlns:a16="http://schemas.microsoft.com/office/drawing/2014/main" id="{9EE67CAB-DFF5-4381-8352-540FCCAF079F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6" name="$E$110">
            <a:extLst>
              <a:ext uri="{FF2B5EF4-FFF2-40B4-BE49-F238E27FC236}">
                <a16:creationId xmlns:a16="http://schemas.microsoft.com/office/drawing/2014/main" id="{0A3F5A22-8153-40E0-BFB3-F321DA6B0EF4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7" name="$E$110">
            <a:extLst>
              <a:ext uri="{FF2B5EF4-FFF2-40B4-BE49-F238E27FC236}">
                <a16:creationId xmlns:a16="http://schemas.microsoft.com/office/drawing/2014/main" id="{D0A25B44-5894-45A8-BECC-8D072FD65E91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8" name="$E$110">
            <a:extLst>
              <a:ext uri="{FF2B5EF4-FFF2-40B4-BE49-F238E27FC236}">
                <a16:creationId xmlns:a16="http://schemas.microsoft.com/office/drawing/2014/main" id="{FF735D82-15E7-4669-B76C-7FBF793C0EF2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59" name="$E$110">
            <a:extLst>
              <a:ext uri="{FF2B5EF4-FFF2-40B4-BE49-F238E27FC236}">
                <a16:creationId xmlns:a16="http://schemas.microsoft.com/office/drawing/2014/main" id="{1D16D2F4-528D-4CA1-B3B2-937378CF038C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0" name="$E$110">
            <a:extLst>
              <a:ext uri="{FF2B5EF4-FFF2-40B4-BE49-F238E27FC236}">
                <a16:creationId xmlns:a16="http://schemas.microsoft.com/office/drawing/2014/main" id="{16615EAC-86AB-4A19-AD07-305B06FC6D6E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1" name="$E$110">
            <a:extLst>
              <a:ext uri="{FF2B5EF4-FFF2-40B4-BE49-F238E27FC236}">
                <a16:creationId xmlns:a16="http://schemas.microsoft.com/office/drawing/2014/main" id="{B74C7F9C-4E00-489B-ABD1-B8C2AF2F22E6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2" name="$E$110">
            <a:extLst>
              <a:ext uri="{FF2B5EF4-FFF2-40B4-BE49-F238E27FC236}">
                <a16:creationId xmlns:a16="http://schemas.microsoft.com/office/drawing/2014/main" id="{6AAEF3C5-56CC-4DD8-A81F-1ABDA02D6A02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3" name="$E$110">
            <a:extLst>
              <a:ext uri="{FF2B5EF4-FFF2-40B4-BE49-F238E27FC236}">
                <a16:creationId xmlns:a16="http://schemas.microsoft.com/office/drawing/2014/main" id="{FC9824DA-A689-4C84-AB73-4D60D11261A7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4" name="$E$110">
            <a:extLst>
              <a:ext uri="{FF2B5EF4-FFF2-40B4-BE49-F238E27FC236}">
                <a16:creationId xmlns:a16="http://schemas.microsoft.com/office/drawing/2014/main" id="{4654EEA8-F382-442B-A485-E74B4E1CDE4E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5" name="$E$110">
            <a:extLst>
              <a:ext uri="{FF2B5EF4-FFF2-40B4-BE49-F238E27FC236}">
                <a16:creationId xmlns:a16="http://schemas.microsoft.com/office/drawing/2014/main" id="{904A1849-773D-4BFC-BE7E-D4301C76497D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6" name="$E$110">
            <a:extLst>
              <a:ext uri="{FF2B5EF4-FFF2-40B4-BE49-F238E27FC236}">
                <a16:creationId xmlns:a16="http://schemas.microsoft.com/office/drawing/2014/main" id="{3857B8A0-460C-4305-B56C-F4B15BBCE93B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7" name="$E$110">
            <a:extLst>
              <a:ext uri="{FF2B5EF4-FFF2-40B4-BE49-F238E27FC236}">
                <a16:creationId xmlns:a16="http://schemas.microsoft.com/office/drawing/2014/main" id="{3B846224-8862-4A24-9F74-E8B8459B321C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8" name="$E$110">
            <a:extLst>
              <a:ext uri="{FF2B5EF4-FFF2-40B4-BE49-F238E27FC236}">
                <a16:creationId xmlns:a16="http://schemas.microsoft.com/office/drawing/2014/main" id="{606A1971-88E4-4B92-9C94-B9B330845008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69" name="$E$110">
            <a:extLst>
              <a:ext uri="{FF2B5EF4-FFF2-40B4-BE49-F238E27FC236}">
                <a16:creationId xmlns:a16="http://schemas.microsoft.com/office/drawing/2014/main" id="{8DC6759B-03F2-477F-B21E-36C83B3CC7C4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0" name="$E$110">
            <a:extLst>
              <a:ext uri="{FF2B5EF4-FFF2-40B4-BE49-F238E27FC236}">
                <a16:creationId xmlns:a16="http://schemas.microsoft.com/office/drawing/2014/main" id="{63750CB8-452A-48D7-ABF3-BC9A4A0B1E54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1" name="$E$110">
            <a:extLst>
              <a:ext uri="{FF2B5EF4-FFF2-40B4-BE49-F238E27FC236}">
                <a16:creationId xmlns:a16="http://schemas.microsoft.com/office/drawing/2014/main" id="{E94AAA69-C6F2-4ADA-98FF-DC7AEEB8AA00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2" name="$E$110">
            <a:extLst>
              <a:ext uri="{FF2B5EF4-FFF2-40B4-BE49-F238E27FC236}">
                <a16:creationId xmlns:a16="http://schemas.microsoft.com/office/drawing/2014/main" id="{001F6AC6-3A8C-4028-B974-F7A5467449B7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3" name="$E$110">
            <a:extLst>
              <a:ext uri="{FF2B5EF4-FFF2-40B4-BE49-F238E27FC236}">
                <a16:creationId xmlns:a16="http://schemas.microsoft.com/office/drawing/2014/main" id="{8B67F9E6-1781-49A1-927A-6B6E85716468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4" name="$E$110">
            <a:extLst>
              <a:ext uri="{FF2B5EF4-FFF2-40B4-BE49-F238E27FC236}">
                <a16:creationId xmlns:a16="http://schemas.microsoft.com/office/drawing/2014/main" id="{DF18FC06-4428-4008-9718-3B229207F3A4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5" name="$E$110">
            <a:extLst>
              <a:ext uri="{FF2B5EF4-FFF2-40B4-BE49-F238E27FC236}">
                <a16:creationId xmlns:a16="http://schemas.microsoft.com/office/drawing/2014/main" id="{8FA8D809-A2C1-4ADB-9F4F-2EBF22A3A3C3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6" name="$E$110">
            <a:extLst>
              <a:ext uri="{FF2B5EF4-FFF2-40B4-BE49-F238E27FC236}">
                <a16:creationId xmlns:a16="http://schemas.microsoft.com/office/drawing/2014/main" id="{8B4D9301-0B3F-468E-8C66-51E299E24A4A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7" name="$E$110">
            <a:extLst>
              <a:ext uri="{FF2B5EF4-FFF2-40B4-BE49-F238E27FC236}">
                <a16:creationId xmlns:a16="http://schemas.microsoft.com/office/drawing/2014/main" id="{4F7E8B8D-BEFD-408B-AD11-9C80F55A6B4D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8" name="$E$110">
            <a:extLst>
              <a:ext uri="{FF2B5EF4-FFF2-40B4-BE49-F238E27FC236}">
                <a16:creationId xmlns:a16="http://schemas.microsoft.com/office/drawing/2014/main" id="{80B6F9B8-35CB-400D-833F-F5B8928EAB1D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79" name="$E$110">
            <a:extLst>
              <a:ext uri="{FF2B5EF4-FFF2-40B4-BE49-F238E27FC236}">
                <a16:creationId xmlns:a16="http://schemas.microsoft.com/office/drawing/2014/main" id="{8DB918E3-8930-4FA1-A44B-74CA85DCFF79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0" name="$E$110">
            <a:extLst>
              <a:ext uri="{FF2B5EF4-FFF2-40B4-BE49-F238E27FC236}">
                <a16:creationId xmlns:a16="http://schemas.microsoft.com/office/drawing/2014/main" id="{DF25FFE3-58B2-45FB-9E45-BD587E9C0D21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1" name="$E$110">
            <a:extLst>
              <a:ext uri="{FF2B5EF4-FFF2-40B4-BE49-F238E27FC236}">
                <a16:creationId xmlns:a16="http://schemas.microsoft.com/office/drawing/2014/main" id="{7DD168C9-1E82-4D7E-88ED-C7B302047564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2" name="$E$110">
            <a:extLst>
              <a:ext uri="{FF2B5EF4-FFF2-40B4-BE49-F238E27FC236}">
                <a16:creationId xmlns:a16="http://schemas.microsoft.com/office/drawing/2014/main" id="{1B5FBCD6-CC37-4FA3-AB6C-CF8A25611101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3" name="$E$110">
            <a:extLst>
              <a:ext uri="{FF2B5EF4-FFF2-40B4-BE49-F238E27FC236}">
                <a16:creationId xmlns:a16="http://schemas.microsoft.com/office/drawing/2014/main" id="{A81BB5B4-4204-4EC9-A632-FFFEC3D4D330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4" name="$E$110">
            <a:extLst>
              <a:ext uri="{FF2B5EF4-FFF2-40B4-BE49-F238E27FC236}">
                <a16:creationId xmlns:a16="http://schemas.microsoft.com/office/drawing/2014/main" id="{14F390B6-4B5C-495D-BC56-E5506B44DE72}"/>
              </a:ext>
            </a:extLst>
          </xdr:cNvPr>
          <xdr:cNvSpPr/>
        </xdr:nvSpPr>
        <xdr:spPr>
          <a:xfrm>
            <a:off x="165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5" name="$E$110">
            <a:extLst>
              <a:ext uri="{FF2B5EF4-FFF2-40B4-BE49-F238E27FC236}">
                <a16:creationId xmlns:a16="http://schemas.microsoft.com/office/drawing/2014/main" id="{03375BFA-E2C1-4970-B5CC-1D346F69CA18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6" name="$E$110">
            <a:extLst>
              <a:ext uri="{FF2B5EF4-FFF2-40B4-BE49-F238E27FC236}">
                <a16:creationId xmlns:a16="http://schemas.microsoft.com/office/drawing/2014/main" id="{9A07FDF1-01B6-4E4D-9446-6401B560FC90}"/>
              </a:ext>
            </a:extLst>
          </xdr:cNvPr>
          <xdr:cNvSpPr/>
        </xdr:nvSpPr>
        <xdr:spPr>
          <a:xfrm>
            <a:off x="215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7" name="$E$110">
            <a:extLst>
              <a:ext uri="{FF2B5EF4-FFF2-40B4-BE49-F238E27FC236}">
                <a16:creationId xmlns:a16="http://schemas.microsoft.com/office/drawing/2014/main" id="{06FDC740-52DE-4321-81D5-2B1E1761D8DF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8" name="$E$110">
            <a:extLst>
              <a:ext uri="{FF2B5EF4-FFF2-40B4-BE49-F238E27FC236}">
                <a16:creationId xmlns:a16="http://schemas.microsoft.com/office/drawing/2014/main" id="{E55C203D-F412-4425-B29D-B487F98AE6D5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89" name="$E$110">
            <a:extLst>
              <a:ext uri="{FF2B5EF4-FFF2-40B4-BE49-F238E27FC236}">
                <a16:creationId xmlns:a16="http://schemas.microsoft.com/office/drawing/2014/main" id="{AC98A711-76AB-447A-966F-8327B9852956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0" name="$E$110">
            <a:extLst>
              <a:ext uri="{FF2B5EF4-FFF2-40B4-BE49-F238E27FC236}">
                <a16:creationId xmlns:a16="http://schemas.microsoft.com/office/drawing/2014/main" id="{B255D199-FDC5-46A6-B032-4A8F8474D835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1" name="$E$110">
            <a:extLst>
              <a:ext uri="{FF2B5EF4-FFF2-40B4-BE49-F238E27FC236}">
                <a16:creationId xmlns:a16="http://schemas.microsoft.com/office/drawing/2014/main" id="{C2E6AAA9-3A99-4C2D-AFE8-1699F8B1CB6C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2" name="$E$110">
            <a:extLst>
              <a:ext uri="{FF2B5EF4-FFF2-40B4-BE49-F238E27FC236}">
                <a16:creationId xmlns:a16="http://schemas.microsoft.com/office/drawing/2014/main" id="{CB25F14F-090A-4DDC-914E-F4579EE5A0B1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3" name="$E$110">
            <a:extLst>
              <a:ext uri="{FF2B5EF4-FFF2-40B4-BE49-F238E27FC236}">
                <a16:creationId xmlns:a16="http://schemas.microsoft.com/office/drawing/2014/main" id="{14725168-60B8-4055-BAF0-9CCE07C4F8DD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4" name="$E$110">
            <a:extLst>
              <a:ext uri="{FF2B5EF4-FFF2-40B4-BE49-F238E27FC236}">
                <a16:creationId xmlns:a16="http://schemas.microsoft.com/office/drawing/2014/main" id="{CB057985-9B9F-4A13-BFCE-D7DB9B7D66A1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5" name="$E$110">
            <a:extLst>
              <a:ext uri="{FF2B5EF4-FFF2-40B4-BE49-F238E27FC236}">
                <a16:creationId xmlns:a16="http://schemas.microsoft.com/office/drawing/2014/main" id="{00B88CC1-C061-4627-9744-FA7D021C9862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6" name="$E$110">
            <a:extLst>
              <a:ext uri="{FF2B5EF4-FFF2-40B4-BE49-F238E27FC236}">
                <a16:creationId xmlns:a16="http://schemas.microsoft.com/office/drawing/2014/main" id="{62E89660-0C49-4143-A8A4-A718E3F7E35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7" name="$E$110">
            <a:extLst>
              <a:ext uri="{FF2B5EF4-FFF2-40B4-BE49-F238E27FC236}">
                <a16:creationId xmlns:a16="http://schemas.microsoft.com/office/drawing/2014/main" id="{0D6E1F40-C8D8-4EB6-936F-479C82589268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8" name="$E$110">
            <a:extLst>
              <a:ext uri="{FF2B5EF4-FFF2-40B4-BE49-F238E27FC236}">
                <a16:creationId xmlns:a16="http://schemas.microsoft.com/office/drawing/2014/main" id="{9B6250AB-6F25-430D-8135-02942661EE2F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599" name="$E$110">
            <a:extLst>
              <a:ext uri="{FF2B5EF4-FFF2-40B4-BE49-F238E27FC236}">
                <a16:creationId xmlns:a16="http://schemas.microsoft.com/office/drawing/2014/main" id="{C2498382-091F-497F-84F7-2CB2C3FFDAA7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0" name="$E$110">
            <a:extLst>
              <a:ext uri="{FF2B5EF4-FFF2-40B4-BE49-F238E27FC236}">
                <a16:creationId xmlns:a16="http://schemas.microsoft.com/office/drawing/2014/main" id="{8304F4D1-F9CA-46D5-A97B-077A68A1757C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1" name="$E$110">
            <a:extLst>
              <a:ext uri="{FF2B5EF4-FFF2-40B4-BE49-F238E27FC236}">
                <a16:creationId xmlns:a16="http://schemas.microsoft.com/office/drawing/2014/main" id="{D548E251-F244-41E5-9508-F0D1DB18B26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2" name="$E$110">
            <a:extLst>
              <a:ext uri="{FF2B5EF4-FFF2-40B4-BE49-F238E27FC236}">
                <a16:creationId xmlns:a16="http://schemas.microsoft.com/office/drawing/2014/main" id="{BE95183E-BD5A-4A44-ADE2-A2E11028E091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3" name="$E$110">
            <a:extLst>
              <a:ext uri="{FF2B5EF4-FFF2-40B4-BE49-F238E27FC236}">
                <a16:creationId xmlns:a16="http://schemas.microsoft.com/office/drawing/2014/main" id="{F993C9CE-FC1A-476E-AAE6-C0EC20D01BFD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4" name="$E$110">
            <a:extLst>
              <a:ext uri="{FF2B5EF4-FFF2-40B4-BE49-F238E27FC236}">
                <a16:creationId xmlns:a16="http://schemas.microsoft.com/office/drawing/2014/main" id="{DF14538C-1437-4F16-905E-D7411142ACD5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5" name="$E$110">
            <a:extLst>
              <a:ext uri="{FF2B5EF4-FFF2-40B4-BE49-F238E27FC236}">
                <a16:creationId xmlns:a16="http://schemas.microsoft.com/office/drawing/2014/main" id="{63B5B036-E3E4-4907-9C44-CAD4BE5EC6DF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6" name="$E$110">
            <a:extLst>
              <a:ext uri="{FF2B5EF4-FFF2-40B4-BE49-F238E27FC236}">
                <a16:creationId xmlns:a16="http://schemas.microsoft.com/office/drawing/2014/main" id="{FD2D4D94-4B77-4F3E-B1FB-DCB00989A368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7" name="$E$110">
            <a:extLst>
              <a:ext uri="{FF2B5EF4-FFF2-40B4-BE49-F238E27FC236}">
                <a16:creationId xmlns:a16="http://schemas.microsoft.com/office/drawing/2014/main" id="{FA76117B-7D35-4871-98BE-2E1F8531A1C2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8" name="$E$110">
            <a:extLst>
              <a:ext uri="{FF2B5EF4-FFF2-40B4-BE49-F238E27FC236}">
                <a16:creationId xmlns:a16="http://schemas.microsoft.com/office/drawing/2014/main" id="{9F4EBCC0-C41C-43CD-995B-A4D339BA79BE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09" name="$E$110">
            <a:extLst>
              <a:ext uri="{FF2B5EF4-FFF2-40B4-BE49-F238E27FC236}">
                <a16:creationId xmlns:a16="http://schemas.microsoft.com/office/drawing/2014/main" id="{E6EF2CF3-27DF-4762-8B36-BF238F4E9B7E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0" name="$E$110">
            <a:extLst>
              <a:ext uri="{FF2B5EF4-FFF2-40B4-BE49-F238E27FC236}">
                <a16:creationId xmlns:a16="http://schemas.microsoft.com/office/drawing/2014/main" id="{69D90320-4798-4BB1-9FD5-DDC2CC206126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1" name="$E$110">
            <a:extLst>
              <a:ext uri="{FF2B5EF4-FFF2-40B4-BE49-F238E27FC236}">
                <a16:creationId xmlns:a16="http://schemas.microsoft.com/office/drawing/2014/main" id="{1376448B-425C-4B8A-A4BD-ADEE35BCA477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2" name="$E$110">
            <a:extLst>
              <a:ext uri="{FF2B5EF4-FFF2-40B4-BE49-F238E27FC236}">
                <a16:creationId xmlns:a16="http://schemas.microsoft.com/office/drawing/2014/main" id="{061E8698-4C76-446D-BF35-324F35574027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3" name="$E$110">
            <a:extLst>
              <a:ext uri="{FF2B5EF4-FFF2-40B4-BE49-F238E27FC236}">
                <a16:creationId xmlns:a16="http://schemas.microsoft.com/office/drawing/2014/main" id="{4126FB69-4F8C-478B-894C-B353D4F1B328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4" name="$E$110">
            <a:extLst>
              <a:ext uri="{FF2B5EF4-FFF2-40B4-BE49-F238E27FC236}">
                <a16:creationId xmlns:a16="http://schemas.microsoft.com/office/drawing/2014/main" id="{C0CDDDA9-6124-4FE6-B793-BB8B7F970F39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5" name="$E$110">
            <a:extLst>
              <a:ext uri="{FF2B5EF4-FFF2-40B4-BE49-F238E27FC236}">
                <a16:creationId xmlns:a16="http://schemas.microsoft.com/office/drawing/2014/main" id="{9833A630-5D4A-4AF3-9C01-28E320A9E015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6" name="$E$110">
            <a:extLst>
              <a:ext uri="{FF2B5EF4-FFF2-40B4-BE49-F238E27FC236}">
                <a16:creationId xmlns:a16="http://schemas.microsoft.com/office/drawing/2014/main" id="{109C3040-EC7C-4080-8B80-4F2481DC596D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7" name="$E$110">
            <a:extLst>
              <a:ext uri="{FF2B5EF4-FFF2-40B4-BE49-F238E27FC236}">
                <a16:creationId xmlns:a16="http://schemas.microsoft.com/office/drawing/2014/main" id="{10E7C587-25FB-4F05-B035-C9F33DE91B10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8" name="$E$110">
            <a:extLst>
              <a:ext uri="{FF2B5EF4-FFF2-40B4-BE49-F238E27FC236}">
                <a16:creationId xmlns:a16="http://schemas.microsoft.com/office/drawing/2014/main" id="{7AD96D7F-A476-421F-BE1E-A1B8EBBD8F2A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19" name="$E$110">
            <a:extLst>
              <a:ext uri="{FF2B5EF4-FFF2-40B4-BE49-F238E27FC236}">
                <a16:creationId xmlns:a16="http://schemas.microsoft.com/office/drawing/2014/main" id="{0835481D-D56F-4493-AAA4-C75EA75BD800}"/>
              </a:ext>
            </a:extLst>
          </xdr:cNvPr>
          <xdr:cNvSpPr/>
        </xdr:nvSpPr>
        <xdr:spPr>
          <a:xfrm>
            <a:off x="241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0" name="$E$110">
            <a:extLst>
              <a:ext uri="{FF2B5EF4-FFF2-40B4-BE49-F238E27FC236}">
                <a16:creationId xmlns:a16="http://schemas.microsoft.com/office/drawing/2014/main" id="{BCD9322D-6F79-4F70-9327-8EEA8BDCB66F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1" name="$E$110">
            <a:extLst>
              <a:ext uri="{FF2B5EF4-FFF2-40B4-BE49-F238E27FC236}">
                <a16:creationId xmlns:a16="http://schemas.microsoft.com/office/drawing/2014/main" id="{F3335047-4006-4F75-BAF1-15B9D9AB563E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2" name="$E$110">
            <a:extLst>
              <a:ext uri="{FF2B5EF4-FFF2-40B4-BE49-F238E27FC236}">
                <a16:creationId xmlns:a16="http://schemas.microsoft.com/office/drawing/2014/main" id="{1047026D-EBBC-419A-AD5D-C746C0138F3D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3" name="$E$110">
            <a:extLst>
              <a:ext uri="{FF2B5EF4-FFF2-40B4-BE49-F238E27FC236}">
                <a16:creationId xmlns:a16="http://schemas.microsoft.com/office/drawing/2014/main" id="{73A30DFA-1D74-4671-A16B-3D25FBB06E8E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4" name="$E$110">
            <a:extLst>
              <a:ext uri="{FF2B5EF4-FFF2-40B4-BE49-F238E27FC236}">
                <a16:creationId xmlns:a16="http://schemas.microsoft.com/office/drawing/2014/main" id="{CFA6BA08-589C-45D8-B178-07C21722F911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5" name="$E$110">
            <a:extLst>
              <a:ext uri="{FF2B5EF4-FFF2-40B4-BE49-F238E27FC236}">
                <a16:creationId xmlns:a16="http://schemas.microsoft.com/office/drawing/2014/main" id="{FFFC7BB0-2E3A-45FF-AC5A-1F0271845978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6" name="$E$110">
            <a:extLst>
              <a:ext uri="{FF2B5EF4-FFF2-40B4-BE49-F238E27FC236}">
                <a16:creationId xmlns:a16="http://schemas.microsoft.com/office/drawing/2014/main" id="{205F63F2-B427-4BCE-AE21-D578ED802AA8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7" name="$E$110">
            <a:extLst>
              <a:ext uri="{FF2B5EF4-FFF2-40B4-BE49-F238E27FC236}">
                <a16:creationId xmlns:a16="http://schemas.microsoft.com/office/drawing/2014/main" id="{9F632999-F251-4194-99FD-073052E299CA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8" name="$E$110">
            <a:extLst>
              <a:ext uri="{FF2B5EF4-FFF2-40B4-BE49-F238E27FC236}">
                <a16:creationId xmlns:a16="http://schemas.microsoft.com/office/drawing/2014/main" id="{DB9D6736-8285-4E97-A53F-A01748CB3E7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29" name="$E$110">
            <a:extLst>
              <a:ext uri="{FF2B5EF4-FFF2-40B4-BE49-F238E27FC236}">
                <a16:creationId xmlns:a16="http://schemas.microsoft.com/office/drawing/2014/main" id="{A6D2D741-9CAF-449F-B7C5-6D4EEA566F47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0" name="$E$110">
            <a:extLst>
              <a:ext uri="{FF2B5EF4-FFF2-40B4-BE49-F238E27FC236}">
                <a16:creationId xmlns:a16="http://schemas.microsoft.com/office/drawing/2014/main" id="{603B116F-75C0-48FA-B0D6-F5ADF88FD997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1" name="$E$110">
            <a:extLst>
              <a:ext uri="{FF2B5EF4-FFF2-40B4-BE49-F238E27FC236}">
                <a16:creationId xmlns:a16="http://schemas.microsoft.com/office/drawing/2014/main" id="{F641A2F4-AED4-4866-AD64-01896B715355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2" name="$E$110">
            <a:extLst>
              <a:ext uri="{FF2B5EF4-FFF2-40B4-BE49-F238E27FC236}">
                <a16:creationId xmlns:a16="http://schemas.microsoft.com/office/drawing/2014/main" id="{0749BB83-3117-4215-8D63-C33064539097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3" name="$E$110">
            <a:extLst>
              <a:ext uri="{FF2B5EF4-FFF2-40B4-BE49-F238E27FC236}">
                <a16:creationId xmlns:a16="http://schemas.microsoft.com/office/drawing/2014/main" id="{781A2C74-83EE-4A61-9065-172D291DBC76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4" name="$E$110">
            <a:extLst>
              <a:ext uri="{FF2B5EF4-FFF2-40B4-BE49-F238E27FC236}">
                <a16:creationId xmlns:a16="http://schemas.microsoft.com/office/drawing/2014/main" id="{EE611335-0579-4614-87C6-22ADCA05EBE4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5" name="$E$110">
            <a:extLst>
              <a:ext uri="{FF2B5EF4-FFF2-40B4-BE49-F238E27FC236}">
                <a16:creationId xmlns:a16="http://schemas.microsoft.com/office/drawing/2014/main" id="{E605B653-6794-4E5A-8300-E9544CA3E307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6" name="$E$110">
            <a:extLst>
              <a:ext uri="{FF2B5EF4-FFF2-40B4-BE49-F238E27FC236}">
                <a16:creationId xmlns:a16="http://schemas.microsoft.com/office/drawing/2014/main" id="{1101856E-BED2-4508-840B-375A89572D0B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7" name="$E$110">
            <a:extLst>
              <a:ext uri="{FF2B5EF4-FFF2-40B4-BE49-F238E27FC236}">
                <a16:creationId xmlns:a16="http://schemas.microsoft.com/office/drawing/2014/main" id="{273B5D03-7EBC-4380-9D77-EC9F6C939062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8" name="$E$110">
            <a:extLst>
              <a:ext uri="{FF2B5EF4-FFF2-40B4-BE49-F238E27FC236}">
                <a16:creationId xmlns:a16="http://schemas.microsoft.com/office/drawing/2014/main" id="{5319154D-09C9-48F4-A304-D4D696056A36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39" name="$E$110">
            <a:extLst>
              <a:ext uri="{FF2B5EF4-FFF2-40B4-BE49-F238E27FC236}">
                <a16:creationId xmlns:a16="http://schemas.microsoft.com/office/drawing/2014/main" id="{E2E4310D-145C-45D0-B0ED-A898291EC5B3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0" name="$E$110">
            <a:extLst>
              <a:ext uri="{FF2B5EF4-FFF2-40B4-BE49-F238E27FC236}">
                <a16:creationId xmlns:a16="http://schemas.microsoft.com/office/drawing/2014/main" id="{24ACEC97-EE58-479E-BDA9-0BF7D3BF37A6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1" name="$E$110">
            <a:extLst>
              <a:ext uri="{FF2B5EF4-FFF2-40B4-BE49-F238E27FC236}">
                <a16:creationId xmlns:a16="http://schemas.microsoft.com/office/drawing/2014/main" id="{31070F08-9032-447A-A440-AF32457AB4F3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2" name="$E$110">
            <a:extLst>
              <a:ext uri="{FF2B5EF4-FFF2-40B4-BE49-F238E27FC236}">
                <a16:creationId xmlns:a16="http://schemas.microsoft.com/office/drawing/2014/main" id="{AAEB6F94-AD87-4D2D-8526-E1D515B00909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3" name="$E$110">
            <a:extLst>
              <a:ext uri="{FF2B5EF4-FFF2-40B4-BE49-F238E27FC236}">
                <a16:creationId xmlns:a16="http://schemas.microsoft.com/office/drawing/2014/main" id="{071BBACE-FB92-4E40-AC69-BE1FC19A395C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4" name="$E$110">
            <a:extLst>
              <a:ext uri="{FF2B5EF4-FFF2-40B4-BE49-F238E27FC236}">
                <a16:creationId xmlns:a16="http://schemas.microsoft.com/office/drawing/2014/main" id="{154DBCDB-2732-4FC8-B569-FFB8D7B9CB1A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5" name="$E$110">
            <a:extLst>
              <a:ext uri="{FF2B5EF4-FFF2-40B4-BE49-F238E27FC236}">
                <a16:creationId xmlns:a16="http://schemas.microsoft.com/office/drawing/2014/main" id="{A043DCD0-7E48-45EC-A18C-05D70904BF4C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6" name="$E$110">
            <a:extLst>
              <a:ext uri="{FF2B5EF4-FFF2-40B4-BE49-F238E27FC236}">
                <a16:creationId xmlns:a16="http://schemas.microsoft.com/office/drawing/2014/main" id="{760789B2-75F5-4067-A6EA-2FE7C887E243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7" name="$E$110">
            <a:extLst>
              <a:ext uri="{FF2B5EF4-FFF2-40B4-BE49-F238E27FC236}">
                <a16:creationId xmlns:a16="http://schemas.microsoft.com/office/drawing/2014/main" id="{24967CD4-4127-4A62-9B4B-9DAAC353FE6E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8" name="$E$110">
            <a:extLst>
              <a:ext uri="{FF2B5EF4-FFF2-40B4-BE49-F238E27FC236}">
                <a16:creationId xmlns:a16="http://schemas.microsoft.com/office/drawing/2014/main" id="{D467F4F7-913F-4181-9A22-1D6784B5DE9D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49" name="$E$110">
            <a:extLst>
              <a:ext uri="{FF2B5EF4-FFF2-40B4-BE49-F238E27FC236}">
                <a16:creationId xmlns:a16="http://schemas.microsoft.com/office/drawing/2014/main" id="{6D2F5E0A-A96A-493D-8CDB-6C3DC2C60E01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0" name="$E$110">
            <a:extLst>
              <a:ext uri="{FF2B5EF4-FFF2-40B4-BE49-F238E27FC236}">
                <a16:creationId xmlns:a16="http://schemas.microsoft.com/office/drawing/2014/main" id="{F9784EAC-6502-4883-9D55-F1AF7EA5E4EC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1" name="$E$110">
            <a:extLst>
              <a:ext uri="{FF2B5EF4-FFF2-40B4-BE49-F238E27FC236}">
                <a16:creationId xmlns:a16="http://schemas.microsoft.com/office/drawing/2014/main" id="{37937B6E-F8C9-47B1-B5AE-00358CF879FF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2" name="$E$110">
            <a:extLst>
              <a:ext uri="{FF2B5EF4-FFF2-40B4-BE49-F238E27FC236}">
                <a16:creationId xmlns:a16="http://schemas.microsoft.com/office/drawing/2014/main" id="{B594A613-FB08-4B8E-A047-D66C8C035172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3" name="$E$110">
            <a:extLst>
              <a:ext uri="{FF2B5EF4-FFF2-40B4-BE49-F238E27FC236}">
                <a16:creationId xmlns:a16="http://schemas.microsoft.com/office/drawing/2014/main" id="{8D312503-A2CC-476B-969B-DA71E1CA012F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4" name="$E$110">
            <a:extLst>
              <a:ext uri="{FF2B5EF4-FFF2-40B4-BE49-F238E27FC236}">
                <a16:creationId xmlns:a16="http://schemas.microsoft.com/office/drawing/2014/main" id="{8A4608F1-91C1-4F0E-998D-2CD4984C25D8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5" name="$E$110">
            <a:extLst>
              <a:ext uri="{FF2B5EF4-FFF2-40B4-BE49-F238E27FC236}">
                <a16:creationId xmlns:a16="http://schemas.microsoft.com/office/drawing/2014/main" id="{365E2694-E5C5-419C-AD12-166BEB37DE78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6" name="$E$110">
            <a:extLst>
              <a:ext uri="{FF2B5EF4-FFF2-40B4-BE49-F238E27FC236}">
                <a16:creationId xmlns:a16="http://schemas.microsoft.com/office/drawing/2014/main" id="{BCD3F536-868C-4E3C-BDF0-A2AC8129D70C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7" name="$E$110">
            <a:extLst>
              <a:ext uri="{FF2B5EF4-FFF2-40B4-BE49-F238E27FC236}">
                <a16:creationId xmlns:a16="http://schemas.microsoft.com/office/drawing/2014/main" id="{484BA8F0-66D4-4A84-88A9-2FF7AE464CFB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8" name="$E$110">
            <a:extLst>
              <a:ext uri="{FF2B5EF4-FFF2-40B4-BE49-F238E27FC236}">
                <a16:creationId xmlns:a16="http://schemas.microsoft.com/office/drawing/2014/main" id="{7903B095-9B84-43B4-89CB-9132ADD63F08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59" name="$E$110">
            <a:extLst>
              <a:ext uri="{FF2B5EF4-FFF2-40B4-BE49-F238E27FC236}">
                <a16:creationId xmlns:a16="http://schemas.microsoft.com/office/drawing/2014/main" id="{CDBF1A94-4B23-4E19-B217-72F95FA155A5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0" name="$E$110">
            <a:extLst>
              <a:ext uri="{FF2B5EF4-FFF2-40B4-BE49-F238E27FC236}">
                <a16:creationId xmlns:a16="http://schemas.microsoft.com/office/drawing/2014/main" id="{5A0DD402-3130-4214-8B36-3F9E384E1293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1" name="$E$110">
            <a:extLst>
              <a:ext uri="{FF2B5EF4-FFF2-40B4-BE49-F238E27FC236}">
                <a16:creationId xmlns:a16="http://schemas.microsoft.com/office/drawing/2014/main" id="{416BD321-C38E-41E6-9C81-8C47FD7392AD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2" name="$E$110">
            <a:extLst>
              <a:ext uri="{FF2B5EF4-FFF2-40B4-BE49-F238E27FC236}">
                <a16:creationId xmlns:a16="http://schemas.microsoft.com/office/drawing/2014/main" id="{60EE6BC6-3A4E-4186-90B1-FF94998C83A6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3" name="$E$110">
            <a:extLst>
              <a:ext uri="{FF2B5EF4-FFF2-40B4-BE49-F238E27FC236}">
                <a16:creationId xmlns:a16="http://schemas.microsoft.com/office/drawing/2014/main" id="{02D9ABA0-9AC6-445C-A37D-CF84C0F32E24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4" name="$E$110">
            <a:extLst>
              <a:ext uri="{FF2B5EF4-FFF2-40B4-BE49-F238E27FC236}">
                <a16:creationId xmlns:a16="http://schemas.microsoft.com/office/drawing/2014/main" id="{E8B54540-373B-4F3A-9914-09E1778BE1E4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5" name="$E$110">
            <a:extLst>
              <a:ext uri="{FF2B5EF4-FFF2-40B4-BE49-F238E27FC236}">
                <a16:creationId xmlns:a16="http://schemas.microsoft.com/office/drawing/2014/main" id="{80DEE1E0-3A0A-4B58-8692-F28171C4000B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6" name="$E$110">
            <a:extLst>
              <a:ext uri="{FF2B5EF4-FFF2-40B4-BE49-F238E27FC236}">
                <a16:creationId xmlns:a16="http://schemas.microsoft.com/office/drawing/2014/main" id="{25064E32-018C-41AF-8C62-01977532D5E4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7" name="$E$110">
            <a:extLst>
              <a:ext uri="{FF2B5EF4-FFF2-40B4-BE49-F238E27FC236}">
                <a16:creationId xmlns:a16="http://schemas.microsoft.com/office/drawing/2014/main" id="{F54AB033-E049-4EDD-9A3C-A37876EA673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8" name="$E$110">
            <a:extLst>
              <a:ext uri="{FF2B5EF4-FFF2-40B4-BE49-F238E27FC236}">
                <a16:creationId xmlns:a16="http://schemas.microsoft.com/office/drawing/2014/main" id="{941C3AE0-A76C-4018-A67B-E2F2E38EF81A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69" name="$E$110">
            <a:extLst>
              <a:ext uri="{FF2B5EF4-FFF2-40B4-BE49-F238E27FC236}">
                <a16:creationId xmlns:a16="http://schemas.microsoft.com/office/drawing/2014/main" id="{80B7B53F-215A-4A82-85BE-550C6B1CEB54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0" name="$E$110">
            <a:extLst>
              <a:ext uri="{FF2B5EF4-FFF2-40B4-BE49-F238E27FC236}">
                <a16:creationId xmlns:a16="http://schemas.microsoft.com/office/drawing/2014/main" id="{A0E2F121-4B7E-4D40-84BC-592CA9E9D497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1" name="$E$110">
            <a:extLst>
              <a:ext uri="{FF2B5EF4-FFF2-40B4-BE49-F238E27FC236}">
                <a16:creationId xmlns:a16="http://schemas.microsoft.com/office/drawing/2014/main" id="{01576AB6-EDE6-4CB2-945A-D41347FE1203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2" name="$E$110">
            <a:extLst>
              <a:ext uri="{FF2B5EF4-FFF2-40B4-BE49-F238E27FC236}">
                <a16:creationId xmlns:a16="http://schemas.microsoft.com/office/drawing/2014/main" id="{55C664AC-9140-4D4E-9295-C94DEF97EB7D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3" name="$E$110">
            <a:extLst>
              <a:ext uri="{FF2B5EF4-FFF2-40B4-BE49-F238E27FC236}">
                <a16:creationId xmlns:a16="http://schemas.microsoft.com/office/drawing/2014/main" id="{680D2725-345A-4696-9730-C4A85B0F28D8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4" name="$E$110">
            <a:extLst>
              <a:ext uri="{FF2B5EF4-FFF2-40B4-BE49-F238E27FC236}">
                <a16:creationId xmlns:a16="http://schemas.microsoft.com/office/drawing/2014/main" id="{8D17AFBD-21A0-4E40-A8A7-06330A179072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5" name="$E$110">
            <a:extLst>
              <a:ext uri="{FF2B5EF4-FFF2-40B4-BE49-F238E27FC236}">
                <a16:creationId xmlns:a16="http://schemas.microsoft.com/office/drawing/2014/main" id="{ACA82597-7DBD-43D0-8B01-FA6768D99BF8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6" name="$E$110">
            <a:extLst>
              <a:ext uri="{FF2B5EF4-FFF2-40B4-BE49-F238E27FC236}">
                <a16:creationId xmlns:a16="http://schemas.microsoft.com/office/drawing/2014/main" id="{A6B6CCA6-C48B-435B-8E01-E67E5E7B5BCB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7" name="$E$110">
            <a:extLst>
              <a:ext uri="{FF2B5EF4-FFF2-40B4-BE49-F238E27FC236}">
                <a16:creationId xmlns:a16="http://schemas.microsoft.com/office/drawing/2014/main" id="{85FB23A6-25C7-45D6-8ED1-72FA0875BDB0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8" name="$E$110">
            <a:extLst>
              <a:ext uri="{FF2B5EF4-FFF2-40B4-BE49-F238E27FC236}">
                <a16:creationId xmlns:a16="http://schemas.microsoft.com/office/drawing/2014/main" id="{BEFADB30-E647-41DE-AD4E-BEDA71967299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79" name="$E$110">
            <a:extLst>
              <a:ext uri="{FF2B5EF4-FFF2-40B4-BE49-F238E27FC236}">
                <a16:creationId xmlns:a16="http://schemas.microsoft.com/office/drawing/2014/main" id="{378BFBBD-B781-4C98-9C9F-D05FFF3D424B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0" name="$E$110">
            <a:extLst>
              <a:ext uri="{FF2B5EF4-FFF2-40B4-BE49-F238E27FC236}">
                <a16:creationId xmlns:a16="http://schemas.microsoft.com/office/drawing/2014/main" id="{C17DB456-384E-4E7D-BFB9-A965E30A4D5A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1" name="$E$110">
            <a:extLst>
              <a:ext uri="{FF2B5EF4-FFF2-40B4-BE49-F238E27FC236}">
                <a16:creationId xmlns:a16="http://schemas.microsoft.com/office/drawing/2014/main" id="{B35B485D-3AAB-43F2-B036-AF963254290D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2" name="$E$110">
            <a:extLst>
              <a:ext uri="{FF2B5EF4-FFF2-40B4-BE49-F238E27FC236}">
                <a16:creationId xmlns:a16="http://schemas.microsoft.com/office/drawing/2014/main" id="{8D570CCC-61E8-49EA-AD39-10CFB395EA90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3" name="$E$110">
            <a:extLst>
              <a:ext uri="{FF2B5EF4-FFF2-40B4-BE49-F238E27FC236}">
                <a16:creationId xmlns:a16="http://schemas.microsoft.com/office/drawing/2014/main" id="{DE6C3F43-F787-4232-ADA5-B69825840B9C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4" name="$E$110">
            <a:extLst>
              <a:ext uri="{FF2B5EF4-FFF2-40B4-BE49-F238E27FC236}">
                <a16:creationId xmlns:a16="http://schemas.microsoft.com/office/drawing/2014/main" id="{D4909437-018F-4264-9795-998E786A9A6F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5" name="$E$110">
            <a:extLst>
              <a:ext uri="{FF2B5EF4-FFF2-40B4-BE49-F238E27FC236}">
                <a16:creationId xmlns:a16="http://schemas.microsoft.com/office/drawing/2014/main" id="{F093EB6D-9A2C-480B-A964-2C8B2E11794B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6" name="$E$110">
            <a:extLst>
              <a:ext uri="{FF2B5EF4-FFF2-40B4-BE49-F238E27FC236}">
                <a16:creationId xmlns:a16="http://schemas.microsoft.com/office/drawing/2014/main" id="{04121BF3-F8FD-47B3-9729-9A414C763196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7" name="$E$110">
            <a:extLst>
              <a:ext uri="{FF2B5EF4-FFF2-40B4-BE49-F238E27FC236}">
                <a16:creationId xmlns:a16="http://schemas.microsoft.com/office/drawing/2014/main" id="{E6D07E87-7788-465B-AE52-25275F83EF0D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8" name="$E$110">
            <a:extLst>
              <a:ext uri="{FF2B5EF4-FFF2-40B4-BE49-F238E27FC236}">
                <a16:creationId xmlns:a16="http://schemas.microsoft.com/office/drawing/2014/main" id="{8884D4D6-EF92-4DBF-9D76-D3D7D5CB39D7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89" name="$E$110">
            <a:extLst>
              <a:ext uri="{FF2B5EF4-FFF2-40B4-BE49-F238E27FC236}">
                <a16:creationId xmlns:a16="http://schemas.microsoft.com/office/drawing/2014/main" id="{9AD55DEE-E67E-41AC-A6C5-B0EC412005C2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0" name="$E$110">
            <a:extLst>
              <a:ext uri="{FF2B5EF4-FFF2-40B4-BE49-F238E27FC236}">
                <a16:creationId xmlns:a16="http://schemas.microsoft.com/office/drawing/2014/main" id="{6DA7D426-3512-4F02-B2E4-CF1B942A2FD8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1" name="$E$110">
            <a:extLst>
              <a:ext uri="{FF2B5EF4-FFF2-40B4-BE49-F238E27FC236}">
                <a16:creationId xmlns:a16="http://schemas.microsoft.com/office/drawing/2014/main" id="{CD834576-D492-486E-97EE-150A9C162BC3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2" name="$E$110">
            <a:extLst>
              <a:ext uri="{FF2B5EF4-FFF2-40B4-BE49-F238E27FC236}">
                <a16:creationId xmlns:a16="http://schemas.microsoft.com/office/drawing/2014/main" id="{11CDFC9A-5BFF-436C-8674-95546A71D31A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3" name="$E$110">
            <a:extLst>
              <a:ext uri="{FF2B5EF4-FFF2-40B4-BE49-F238E27FC236}">
                <a16:creationId xmlns:a16="http://schemas.microsoft.com/office/drawing/2014/main" id="{4D683368-FE61-4599-BEAF-EDF6EAB9FA06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4" name="$E$110">
            <a:extLst>
              <a:ext uri="{FF2B5EF4-FFF2-40B4-BE49-F238E27FC236}">
                <a16:creationId xmlns:a16="http://schemas.microsoft.com/office/drawing/2014/main" id="{91576B58-9772-487F-83DD-F89C9249B3F9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5" name="$E$110">
            <a:extLst>
              <a:ext uri="{FF2B5EF4-FFF2-40B4-BE49-F238E27FC236}">
                <a16:creationId xmlns:a16="http://schemas.microsoft.com/office/drawing/2014/main" id="{2E8E09DF-FEB7-4F84-8668-A53CAD1060CB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6" name="$E$110">
            <a:extLst>
              <a:ext uri="{FF2B5EF4-FFF2-40B4-BE49-F238E27FC236}">
                <a16:creationId xmlns:a16="http://schemas.microsoft.com/office/drawing/2014/main" id="{4119181A-9831-45E6-BD43-EA02510C6606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7" name="$E$110">
            <a:extLst>
              <a:ext uri="{FF2B5EF4-FFF2-40B4-BE49-F238E27FC236}">
                <a16:creationId xmlns:a16="http://schemas.microsoft.com/office/drawing/2014/main" id="{27011176-E40C-4E65-AA87-54CB66CBB60E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8" name="$E$110">
            <a:extLst>
              <a:ext uri="{FF2B5EF4-FFF2-40B4-BE49-F238E27FC236}">
                <a16:creationId xmlns:a16="http://schemas.microsoft.com/office/drawing/2014/main" id="{BD650E88-222E-4A77-A8EC-A1234D6B8F83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699" name="$E$110">
            <a:extLst>
              <a:ext uri="{FF2B5EF4-FFF2-40B4-BE49-F238E27FC236}">
                <a16:creationId xmlns:a16="http://schemas.microsoft.com/office/drawing/2014/main" id="{738CA0F9-7725-49C7-83D7-149AF25FE088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0" name="$E$110">
            <a:extLst>
              <a:ext uri="{FF2B5EF4-FFF2-40B4-BE49-F238E27FC236}">
                <a16:creationId xmlns:a16="http://schemas.microsoft.com/office/drawing/2014/main" id="{EF5042E6-759C-4B5D-A3FD-376DDB4EE477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1" name="$E$110">
            <a:extLst>
              <a:ext uri="{FF2B5EF4-FFF2-40B4-BE49-F238E27FC236}">
                <a16:creationId xmlns:a16="http://schemas.microsoft.com/office/drawing/2014/main" id="{83660DE8-28FE-4123-BE5E-64C5F0977D72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2" name="$E$110">
            <a:extLst>
              <a:ext uri="{FF2B5EF4-FFF2-40B4-BE49-F238E27FC236}">
                <a16:creationId xmlns:a16="http://schemas.microsoft.com/office/drawing/2014/main" id="{9D754981-65D8-46B1-B36E-6A7B0344C555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3" name="$E$110">
            <a:extLst>
              <a:ext uri="{FF2B5EF4-FFF2-40B4-BE49-F238E27FC236}">
                <a16:creationId xmlns:a16="http://schemas.microsoft.com/office/drawing/2014/main" id="{CCBE76C6-D40C-440A-92A3-2C900B6F7D11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4" name="$E$110">
            <a:extLst>
              <a:ext uri="{FF2B5EF4-FFF2-40B4-BE49-F238E27FC236}">
                <a16:creationId xmlns:a16="http://schemas.microsoft.com/office/drawing/2014/main" id="{447D29D3-3F6D-405E-ADD9-B7EEC4FCBD6D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5" name="$E$110">
            <a:extLst>
              <a:ext uri="{FF2B5EF4-FFF2-40B4-BE49-F238E27FC236}">
                <a16:creationId xmlns:a16="http://schemas.microsoft.com/office/drawing/2014/main" id="{47CBB18F-4076-475B-A2FD-6F83636D0DDF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6" name="$E$110">
            <a:extLst>
              <a:ext uri="{FF2B5EF4-FFF2-40B4-BE49-F238E27FC236}">
                <a16:creationId xmlns:a16="http://schemas.microsoft.com/office/drawing/2014/main" id="{F76930C9-6D5C-4C63-96ED-B4E8DF5A0724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7" name="$E$110">
            <a:extLst>
              <a:ext uri="{FF2B5EF4-FFF2-40B4-BE49-F238E27FC236}">
                <a16:creationId xmlns:a16="http://schemas.microsoft.com/office/drawing/2014/main" id="{790BD9AA-BBB5-4393-BF06-E4D49AD2D156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8" name="$E$110">
            <a:extLst>
              <a:ext uri="{FF2B5EF4-FFF2-40B4-BE49-F238E27FC236}">
                <a16:creationId xmlns:a16="http://schemas.microsoft.com/office/drawing/2014/main" id="{0936818F-6248-4695-9420-5F1F4A38A5F4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09" name="$E$110">
            <a:extLst>
              <a:ext uri="{FF2B5EF4-FFF2-40B4-BE49-F238E27FC236}">
                <a16:creationId xmlns:a16="http://schemas.microsoft.com/office/drawing/2014/main" id="{DBFF679E-00D5-4938-BE4C-AD13D818EEE6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0" name="$E$110">
            <a:extLst>
              <a:ext uri="{FF2B5EF4-FFF2-40B4-BE49-F238E27FC236}">
                <a16:creationId xmlns:a16="http://schemas.microsoft.com/office/drawing/2014/main" id="{422E1C3D-5E7E-45B4-8A9A-73DECB8E8EA5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1" name="$E$110">
            <a:extLst>
              <a:ext uri="{FF2B5EF4-FFF2-40B4-BE49-F238E27FC236}">
                <a16:creationId xmlns:a16="http://schemas.microsoft.com/office/drawing/2014/main" id="{ED2FFF74-E5B4-42AD-B3E6-7BC41EBE6780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2" name="$E$110">
            <a:extLst>
              <a:ext uri="{FF2B5EF4-FFF2-40B4-BE49-F238E27FC236}">
                <a16:creationId xmlns:a16="http://schemas.microsoft.com/office/drawing/2014/main" id="{43F1D435-C308-4194-8D5F-590E8306DD37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3" name="$E$110">
            <a:extLst>
              <a:ext uri="{FF2B5EF4-FFF2-40B4-BE49-F238E27FC236}">
                <a16:creationId xmlns:a16="http://schemas.microsoft.com/office/drawing/2014/main" id="{1D09C962-42DE-401A-8FB2-F4A8D82E3457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4" name="$E$110">
            <a:extLst>
              <a:ext uri="{FF2B5EF4-FFF2-40B4-BE49-F238E27FC236}">
                <a16:creationId xmlns:a16="http://schemas.microsoft.com/office/drawing/2014/main" id="{79902426-CB26-4F6A-9DA3-283BBC169639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5" name="$E$110">
            <a:extLst>
              <a:ext uri="{FF2B5EF4-FFF2-40B4-BE49-F238E27FC236}">
                <a16:creationId xmlns:a16="http://schemas.microsoft.com/office/drawing/2014/main" id="{DE3B667F-3E7D-4066-9CCB-80EB55815084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6" name="$E$110">
            <a:extLst>
              <a:ext uri="{FF2B5EF4-FFF2-40B4-BE49-F238E27FC236}">
                <a16:creationId xmlns:a16="http://schemas.microsoft.com/office/drawing/2014/main" id="{08CC6F01-E739-405A-9524-93FBE97B2E9C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7" name="$E$110">
            <a:extLst>
              <a:ext uri="{FF2B5EF4-FFF2-40B4-BE49-F238E27FC236}">
                <a16:creationId xmlns:a16="http://schemas.microsoft.com/office/drawing/2014/main" id="{D2DB5411-4C17-4B97-98D1-FD244A4A55AF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8" name="$E$110">
            <a:extLst>
              <a:ext uri="{FF2B5EF4-FFF2-40B4-BE49-F238E27FC236}">
                <a16:creationId xmlns:a16="http://schemas.microsoft.com/office/drawing/2014/main" id="{9F3B883B-7FFD-467F-BBF4-6E3DFBAE654E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19" name="$E$110">
            <a:extLst>
              <a:ext uri="{FF2B5EF4-FFF2-40B4-BE49-F238E27FC236}">
                <a16:creationId xmlns:a16="http://schemas.microsoft.com/office/drawing/2014/main" id="{E7F25BC7-4CCE-4673-9639-D2720361912E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0" name="$E$110">
            <a:extLst>
              <a:ext uri="{FF2B5EF4-FFF2-40B4-BE49-F238E27FC236}">
                <a16:creationId xmlns:a16="http://schemas.microsoft.com/office/drawing/2014/main" id="{7CD5BA60-FD95-45BA-94A9-607D8AD1BC2B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1" name="$E$110">
            <a:extLst>
              <a:ext uri="{FF2B5EF4-FFF2-40B4-BE49-F238E27FC236}">
                <a16:creationId xmlns:a16="http://schemas.microsoft.com/office/drawing/2014/main" id="{5D1FBBCE-685D-465B-ABAD-4876A17D710B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2" name="$E$110">
            <a:extLst>
              <a:ext uri="{FF2B5EF4-FFF2-40B4-BE49-F238E27FC236}">
                <a16:creationId xmlns:a16="http://schemas.microsoft.com/office/drawing/2014/main" id="{CF479AA1-717D-43A9-BF91-9703F9908996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3" name="$E$110">
            <a:extLst>
              <a:ext uri="{FF2B5EF4-FFF2-40B4-BE49-F238E27FC236}">
                <a16:creationId xmlns:a16="http://schemas.microsoft.com/office/drawing/2014/main" id="{7E41D64E-C7E6-4010-85C7-D58034EB06AC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4" name="$E$110">
            <a:extLst>
              <a:ext uri="{FF2B5EF4-FFF2-40B4-BE49-F238E27FC236}">
                <a16:creationId xmlns:a16="http://schemas.microsoft.com/office/drawing/2014/main" id="{E6D56A69-1B1A-4BD9-8031-B611D8CCDD55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5" name="$E$110">
            <a:extLst>
              <a:ext uri="{FF2B5EF4-FFF2-40B4-BE49-F238E27FC236}">
                <a16:creationId xmlns:a16="http://schemas.microsoft.com/office/drawing/2014/main" id="{7D02D315-B85A-489F-8DF3-F5344AC393AF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6" name="$E$110">
            <a:extLst>
              <a:ext uri="{FF2B5EF4-FFF2-40B4-BE49-F238E27FC236}">
                <a16:creationId xmlns:a16="http://schemas.microsoft.com/office/drawing/2014/main" id="{BB64BB17-64FE-4A46-9917-5D7B5343BEF5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7" name="$E$110">
            <a:extLst>
              <a:ext uri="{FF2B5EF4-FFF2-40B4-BE49-F238E27FC236}">
                <a16:creationId xmlns:a16="http://schemas.microsoft.com/office/drawing/2014/main" id="{20A32AF1-4259-4689-B3D0-3F648B0F56FC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8" name="$E$110">
            <a:extLst>
              <a:ext uri="{FF2B5EF4-FFF2-40B4-BE49-F238E27FC236}">
                <a16:creationId xmlns:a16="http://schemas.microsoft.com/office/drawing/2014/main" id="{5DE8D753-5A84-4462-945D-65E3F82F491E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29" name="$E$110">
            <a:extLst>
              <a:ext uri="{FF2B5EF4-FFF2-40B4-BE49-F238E27FC236}">
                <a16:creationId xmlns:a16="http://schemas.microsoft.com/office/drawing/2014/main" id="{96DAB89E-FC09-4517-8C16-48EA4E6DA850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0" name="$E$110">
            <a:extLst>
              <a:ext uri="{FF2B5EF4-FFF2-40B4-BE49-F238E27FC236}">
                <a16:creationId xmlns:a16="http://schemas.microsoft.com/office/drawing/2014/main" id="{CC9B8967-68C7-4301-88A7-B2D983E70987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1" name="$E$110">
            <a:extLst>
              <a:ext uri="{FF2B5EF4-FFF2-40B4-BE49-F238E27FC236}">
                <a16:creationId xmlns:a16="http://schemas.microsoft.com/office/drawing/2014/main" id="{0EA4D2E7-CEEE-4753-88CA-B41F5A8B7F5C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2" name="$E$110">
            <a:extLst>
              <a:ext uri="{FF2B5EF4-FFF2-40B4-BE49-F238E27FC236}">
                <a16:creationId xmlns:a16="http://schemas.microsoft.com/office/drawing/2014/main" id="{60D7BB6E-536C-41EB-88E0-BFF4856310A5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3" name="$E$110">
            <a:extLst>
              <a:ext uri="{FF2B5EF4-FFF2-40B4-BE49-F238E27FC236}">
                <a16:creationId xmlns:a16="http://schemas.microsoft.com/office/drawing/2014/main" id="{F328AF34-1CA0-447C-8157-EAAA2078384B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4" name="$E$110">
            <a:extLst>
              <a:ext uri="{FF2B5EF4-FFF2-40B4-BE49-F238E27FC236}">
                <a16:creationId xmlns:a16="http://schemas.microsoft.com/office/drawing/2014/main" id="{15BBC822-3133-4C58-9800-872ADC75801C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5" name="$E$110">
            <a:extLst>
              <a:ext uri="{FF2B5EF4-FFF2-40B4-BE49-F238E27FC236}">
                <a16:creationId xmlns:a16="http://schemas.microsoft.com/office/drawing/2014/main" id="{D149BAF7-4F2E-4405-99C1-07134867213A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6" name="$E$110">
            <a:extLst>
              <a:ext uri="{FF2B5EF4-FFF2-40B4-BE49-F238E27FC236}">
                <a16:creationId xmlns:a16="http://schemas.microsoft.com/office/drawing/2014/main" id="{A0DAD284-37E9-480C-91C3-AA99B9601926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7" name="$E$110">
            <a:extLst>
              <a:ext uri="{FF2B5EF4-FFF2-40B4-BE49-F238E27FC236}">
                <a16:creationId xmlns:a16="http://schemas.microsoft.com/office/drawing/2014/main" id="{2EA3B4BA-12ED-4ACA-81F2-C40F5BAFBA7E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8" name="$E$110">
            <a:extLst>
              <a:ext uri="{FF2B5EF4-FFF2-40B4-BE49-F238E27FC236}">
                <a16:creationId xmlns:a16="http://schemas.microsoft.com/office/drawing/2014/main" id="{F63EF524-3E57-4FD0-817D-169E9C5996D6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39" name="$E$110">
            <a:extLst>
              <a:ext uri="{FF2B5EF4-FFF2-40B4-BE49-F238E27FC236}">
                <a16:creationId xmlns:a16="http://schemas.microsoft.com/office/drawing/2014/main" id="{1DD978CB-B809-4762-8F7D-1F833B340091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0" name="$E$110">
            <a:extLst>
              <a:ext uri="{FF2B5EF4-FFF2-40B4-BE49-F238E27FC236}">
                <a16:creationId xmlns:a16="http://schemas.microsoft.com/office/drawing/2014/main" id="{6CEB84B4-E67A-4B73-95C3-D18E468A3778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1" name="$E$110">
            <a:extLst>
              <a:ext uri="{FF2B5EF4-FFF2-40B4-BE49-F238E27FC236}">
                <a16:creationId xmlns:a16="http://schemas.microsoft.com/office/drawing/2014/main" id="{AE22CE3C-58BC-412A-9770-6421B6283CAC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2" name="$E$110">
            <a:extLst>
              <a:ext uri="{FF2B5EF4-FFF2-40B4-BE49-F238E27FC236}">
                <a16:creationId xmlns:a16="http://schemas.microsoft.com/office/drawing/2014/main" id="{67FBF160-33F0-4F03-B73A-4125BA18036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3" name="$E$110">
            <a:extLst>
              <a:ext uri="{FF2B5EF4-FFF2-40B4-BE49-F238E27FC236}">
                <a16:creationId xmlns:a16="http://schemas.microsoft.com/office/drawing/2014/main" id="{CF588AAE-0B6D-4707-B261-969BBA4BF08F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4" name="$E$110">
            <a:extLst>
              <a:ext uri="{FF2B5EF4-FFF2-40B4-BE49-F238E27FC236}">
                <a16:creationId xmlns:a16="http://schemas.microsoft.com/office/drawing/2014/main" id="{F61684C0-4A7A-41A1-91D5-F717D7634BC3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5" name="$E$110">
            <a:extLst>
              <a:ext uri="{FF2B5EF4-FFF2-40B4-BE49-F238E27FC236}">
                <a16:creationId xmlns:a16="http://schemas.microsoft.com/office/drawing/2014/main" id="{1BF49737-8AEC-48E5-8DEE-C3D59FA8D3BD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6" name="$E$110">
            <a:extLst>
              <a:ext uri="{FF2B5EF4-FFF2-40B4-BE49-F238E27FC236}">
                <a16:creationId xmlns:a16="http://schemas.microsoft.com/office/drawing/2014/main" id="{FF3393FB-DCDC-42C0-A4F2-1B28A0243AD6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7" name="$E$110">
            <a:extLst>
              <a:ext uri="{FF2B5EF4-FFF2-40B4-BE49-F238E27FC236}">
                <a16:creationId xmlns:a16="http://schemas.microsoft.com/office/drawing/2014/main" id="{8B91D397-6A6E-44BC-8787-CFB8C36D6D94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8" name="$E$110">
            <a:extLst>
              <a:ext uri="{FF2B5EF4-FFF2-40B4-BE49-F238E27FC236}">
                <a16:creationId xmlns:a16="http://schemas.microsoft.com/office/drawing/2014/main" id="{1D1A161E-9440-4022-9560-48B29929BDD1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49" name="$E$110">
            <a:extLst>
              <a:ext uri="{FF2B5EF4-FFF2-40B4-BE49-F238E27FC236}">
                <a16:creationId xmlns:a16="http://schemas.microsoft.com/office/drawing/2014/main" id="{B93B74FB-3233-436A-8114-5434A2798C39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0" name="$E$110">
            <a:extLst>
              <a:ext uri="{FF2B5EF4-FFF2-40B4-BE49-F238E27FC236}">
                <a16:creationId xmlns:a16="http://schemas.microsoft.com/office/drawing/2014/main" id="{84D465E2-A0AB-499E-8315-860F304B3EE4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1" name="$E$110">
            <a:extLst>
              <a:ext uri="{FF2B5EF4-FFF2-40B4-BE49-F238E27FC236}">
                <a16:creationId xmlns:a16="http://schemas.microsoft.com/office/drawing/2014/main" id="{67D99B76-56A2-41E0-978E-A1A4801DECE8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2" name="$E$110">
            <a:extLst>
              <a:ext uri="{FF2B5EF4-FFF2-40B4-BE49-F238E27FC236}">
                <a16:creationId xmlns:a16="http://schemas.microsoft.com/office/drawing/2014/main" id="{2A9052A5-81AD-48B1-BD2A-CD89DD26F182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3" name="$E$110">
            <a:extLst>
              <a:ext uri="{FF2B5EF4-FFF2-40B4-BE49-F238E27FC236}">
                <a16:creationId xmlns:a16="http://schemas.microsoft.com/office/drawing/2014/main" id="{DD8B8F79-C92F-4B66-A669-72FDCA4D64E5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4" name="$E$110">
            <a:extLst>
              <a:ext uri="{FF2B5EF4-FFF2-40B4-BE49-F238E27FC236}">
                <a16:creationId xmlns:a16="http://schemas.microsoft.com/office/drawing/2014/main" id="{13883D9E-208B-4804-B634-C765008B29F7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5" name="$E$110">
            <a:extLst>
              <a:ext uri="{FF2B5EF4-FFF2-40B4-BE49-F238E27FC236}">
                <a16:creationId xmlns:a16="http://schemas.microsoft.com/office/drawing/2014/main" id="{F568EBAC-9F23-4AF7-9678-FA2793598EB7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6" name="$E$110">
            <a:extLst>
              <a:ext uri="{FF2B5EF4-FFF2-40B4-BE49-F238E27FC236}">
                <a16:creationId xmlns:a16="http://schemas.microsoft.com/office/drawing/2014/main" id="{08578845-08D2-496B-99F7-B341FC5F5EFA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7" name="$E$110">
            <a:extLst>
              <a:ext uri="{FF2B5EF4-FFF2-40B4-BE49-F238E27FC236}">
                <a16:creationId xmlns:a16="http://schemas.microsoft.com/office/drawing/2014/main" id="{1D044265-5327-401E-B98B-5C79319A176A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8" name="$E$110">
            <a:extLst>
              <a:ext uri="{FF2B5EF4-FFF2-40B4-BE49-F238E27FC236}">
                <a16:creationId xmlns:a16="http://schemas.microsoft.com/office/drawing/2014/main" id="{43EE7AD8-ACEA-421C-8C3E-2213CEA70FDA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59" name="$E$110">
            <a:extLst>
              <a:ext uri="{FF2B5EF4-FFF2-40B4-BE49-F238E27FC236}">
                <a16:creationId xmlns:a16="http://schemas.microsoft.com/office/drawing/2014/main" id="{7E99C502-07C4-4506-853D-E1C26C70B9A7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0" name="$E$110">
            <a:extLst>
              <a:ext uri="{FF2B5EF4-FFF2-40B4-BE49-F238E27FC236}">
                <a16:creationId xmlns:a16="http://schemas.microsoft.com/office/drawing/2014/main" id="{5E73A94D-721D-47AC-918C-CF9EDC4E00B6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1" name="$E$110">
            <a:extLst>
              <a:ext uri="{FF2B5EF4-FFF2-40B4-BE49-F238E27FC236}">
                <a16:creationId xmlns:a16="http://schemas.microsoft.com/office/drawing/2014/main" id="{996AF805-459C-4714-906E-62E7D42C88A4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2" name="$E$110">
            <a:extLst>
              <a:ext uri="{FF2B5EF4-FFF2-40B4-BE49-F238E27FC236}">
                <a16:creationId xmlns:a16="http://schemas.microsoft.com/office/drawing/2014/main" id="{5842BEDB-D562-45DD-83FA-8AF1DD60807F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3" name="$E$110">
            <a:extLst>
              <a:ext uri="{FF2B5EF4-FFF2-40B4-BE49-F238E27FC236}">
                <a16:creationId xmlns:a16="http://schemas.microsoft.com/office/drawing/2014/main" id="{3654612F-6489-41AF-A3BB-4E55CDB2CFD6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4" name="$E$110">
            <a:extLst>
              <a:ext uri="{FF2B5EF4-FFF2-40B4-BE49-F238E27FC236}">
                <a16:creationId xmlns:a16="http://schemas.microsoft.com/office/drawing/2014/main" id="{ACC18808-2812-4887-B3B9-63764B2F6A32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5" name="$E$110">
            <a:extLst>
              <a:ext uri="{FF2B5EF4-FFF2-40B4-BE49-F238E27FC236}">
                <a16:creationId xmlns:a16="http://schemas.microsoft.com/office/drawing/2014/main" id="{16DDC9B3-2A23-45F0-8684-5FE3689CCD48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6" name="$E$110">
            <a:extLst>
              <a:ext uri="{FF2B5EF4-FFF2-40B4-BE49-F238E27FC236}">
                <a16:creationId xmlns:a16="http://schemas.microsoft.com/office/drawing/2014/main" id="{47CB8C73-4C3D-40BA-AE67-4C0B9D627105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7" name="$E$110">
            <a:extLst>
              <a:ext uri="{FF2B5EF4-FFF2-40B4-BE49-F238E27FC236}">
                <a16:creationId xmlns:a16="http://schemas.microsoft.com/office/drawing/2014/main" id="{1F60A45A-4BC9-43F5-9927-375550BDF686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8" name="$E$110">
            <a:extLst>
              <a:ext uri="{FF2B5EF4-FFF2-40B4-BE49-F238E27FC236}">
                <a16:creationId xmlns:a16="http://schemas.microsoft.com/office/drawing/2014/main" id="{7AB5B4BE-CBF6-45D9-8D11-B1FE96CE51AB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69" name="$E$110">
            <a:extLst>
              <a:ext uri="{FF2B5EF4-FFF2-40B4-BE49-F238E27FC236}">
                <a16:creationId xmlns:a16="http://schemas.microsoft.com/office/drawing/2014/main" id="{AB0C84F1-459F-4639-96FD-38ACF52F8CC3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0" name="$E$110">
            <a:extLst>
              <a:ext uri="{FF2B5EF4-FFF2-40B4-BE49-F238E27FC236}">
                <a16:creationId xmlns:a16="http://schemas.microsoft.com/office/drawing/2014/main" id="{4BD5F1E7-27FA-4016-AAFB-2AC1642E4253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1" name="$E$110">
            <a:extLst>
              <a:ext uri="{FF2B5EF4-FFF2-40B4-BE49-F238E27FC236}">
                <a16:creationId xmlns:a16="http://schemas.microsoft.com/office/drawing/2014/main" id="{DD2143DB-3CB9-4D6C-B468-7E0FDF109A72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2" name="$E$110">
            <a:extLst>
              <a:ext uri="{FF2B5EF4-FFF2-40B4-BE49-F238E27FC236}">
                <a16:creationId xmlns:a16="http://schemas.microsoft.com/office/drawing/2014/main" id="{277D744D-79FC-4D7C-AD05-F2D378BAECE5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3" name="$E$110">
            <a:extLst>
              <a:ext uri="{FF2B5EF4-FFF2-40B4-BE49-F238E27FC236}">
                <a16:creationId xmlns:a16="http://schemas.microsoft.com/office/drawing/2014/main" id="{8C5CEF33-5255-46BC-A76A-0FC8D3B130B1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4" name="$E$110">
            <a:extLst>
              <a:ext uri="{FF2B5EF4-FFF2-40B4-BE49-F238E27FC236}">
                <a16:creationId xmlns:a16="http://schemas.microsoft.com/office/drawing/2014/main" id="{DF3F4D05-B1C9-4013-8B2B-817504313F8D}"/>
              </a:ext>
            </a:extLst>
          </xdr:cNvPr>
          <xdr:cNvSpPr/>
        </xdr:nvSpPr>
        <xdr:spPr>
          <a:xfrm>
            <a:off x="114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5" name="$E$110">
            <a:extLst>
              <a:ext uri="{FF2B5EF4-FFF2-40B4-BE49-F238E27FC236}">
                <a16:creationId xmlns:a16="http://schemas.microsoft.com/office/drawing/2014/main" id="{4B8AE926-0C4D-4284-AD95-B3B09DE4915B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6" name="$E$110">
            <a:extLst>
              <a:ext uri="{FF2B5EF4-FFF2-40B4-BE49-F238E27FC236}">
                <a16:creationId xmlns:a16="http://schemas.microsoft.com/office/drawing/2014/main" id="{A54C24A6-3554-4462-835F-77A1A774B293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7" name="$E$110">
            <a:extLst>
              <a:ext uri="{FF2B5EF4-FFF2-40B4-BE49-F238E27FC236}">
                <a16:creationId xmlns:a16="http://schemas.microsoft.com/office/drawing/2014/main" id="{6B51B576-A907-442F-847E-22387AC760CF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8" name="$E$110">
            <a:extLst>
              <a:ext uri="{FF2B5EF4-FFF2-40B4-BE49-F238E27FC236}">
                <a16:creationId xmlns:a16="http://schemas.microsoft.com/office/drawing/2014/main" id="{AB3BE5B4-B387-4302-8A5E-FF0E3725E94D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79" name="$E$110">
            <a:extLst>
              <a:ext uri="{FF2B5EF4-FFF2-40B4-BE49-F238E27FC236}">
                <a16:creationId xmlns:a16="http://schemas.microsoft.com/office/drawing/2014/main" id="{F12B935B-77D8-4AB7-BD0B-5A781B5E0791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0" name="$E$110">
            <a:extLst>
              <a:ext uri="{FF2B5EF4-FFF2-40B4-BE49-F238E27FC236}">
                <a16:creationId xmlns:a16="http://schemas.microsoft.com/office/drawing/2014/main" id="{CB89D9B2-89E2-48DB-856C-D5EDAA0F3B3E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1" name="$E$110">
            <a:extLst>
              <a:ext uri="{FF2B5EF4-FFF2-40B4-BE49-F238E27FC236}">
                <a16:creationId xmlns:a16="http://schemas.microsoft.com/office/drawing/2014/main" id="{AF03B2E7-AA96-4595-8376-E62EC5F35CB1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2" name="$E$110">
            <a:extLst>
              <a:ext uri="{FF2B5EF4-FFF2-40B4-BE49-F238E27FC236}">
                <a16:creationId xmlns:a16="http://schemas.microsoft.com/office/drawing/2014/main" id="{39AF7A8F-1528-47D6-921B-B985F5B37481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3" name="$E$110">
            <a:extLst>
              <a:ext uri="{FF2B5EF4-FFF2-40B4-BE49-F238E27FC236}">
                <a16:creationId xmlns:a16="http://schemas.microsoft.com/office/drawing/2014/main" id="{30BA6B31-FD66-4519-9C48-8A2E77856586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4" name="$E$110">
            <a:extLst>
              <a:ext uri="{FF2B5EF4-FFF2-40B4-BE49-F238E27FC236}">
                <a16:creationId xmlns:a16="http://schemas.microsoft.com/office/drawing/2014/main" id="{1A361AF5-3961-455B-B97A-8309A35C35F2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5" name="$E$110">
            <a:extLst>
              <a:ext uri="{FF2B5EF4-FFF2-40B4-BE49-F238E27FC236}">
                <a16:creationId xmlns:a16="http://schemas.microsoft.com/office/drawing/2014/main" id="{C11505B9-54D7-42EA-AD52-14051029DFDC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6" name="$E$110">
            <a:extLst>
              <a:ext uri="{FF2B5EF4-FFF2-40B4-BE49-F238E27FC236}">
                <a16:creationId xmlns:a16="http://schemas.microsoft.com/office/drawing/2014/main" id="{71F85A9C-4B25-4B51-9831-6A67234B09FD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7" name="$E$110">
            <a:extLst>
              <a:ext uri="{FF2B5EF4-FFF2-40B4-BE49-F238E27FC236}">
                <a16:creationId xmlns:a16="http://schemas.microsoft.com/office/drawing/2014/main" id="{B3955363-BBB3-4DBB-B6EE-BB3E4C817CD9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8" name="$E$110">
            <a:extLst>
              <a:ext uri="{FF2B5EF4-FFF2-40B4-BE49-F238E27FC236}">
                <a16:creationId xmlns:a16="http://schemas.microsoft.com/office/drawing/2014/main" id="{5DF3470D-5F44-4A25-BC3E-9121FE9F9FE6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89" name="$E$110">
            <a:extLst>
              <a:ext uri="{FF2B5EF4-FFF2-40B4-BE49-F238E27FC236}">
                <a16:creationId xmlns:a16="http://schemas.microsoft.com/office/drawing/2014/main" id="{E8B5E481-5572-4E0E-82A1-51E4929199F8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0" name="$E$110">
            <a:extLst>
              <a:ext uri="{FF2B5EF4-FFF2-40B4-BE49-F238E27FC236}">
                <a16:creationId xmlns:a16="http://schemas.microsoft.com/office/drawing/2014/main" id="{9AB95C12-18DF-40A1-8FAB-13F4DF20862D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1" name="$E$110">
            <a:extLst>
              <a:ext uri="{FF2B5EF4-FFF2-40B4-BE49-F238E27FC236}">
                <a16:creationId xmlns:a16="http://schemas.microsoft.com/office/drawing/2014/main" id="{0831A6DE-F192-4A70-BF72-217894E2714D}"/>
              </a:ext>
            </a:extLst>
          </xdr:cNvPr>
          <xdr:cNvSpPr/>
        </xdr:nvSpPr>
        <xdr:spPr>
          <a:xfrm>
            <a:off x="63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2" name="$E$110">
            <a:extLst>
              <a:ext uri="{FF2B5EF4-FFF2-40B4-BE49-F238E27FC236}">
                <a16:creationId xmlns:a16="http://schemas.microsoft.com/office/drawing/2014/main" id="{61725E01-420D-44D6-BFE5-7AECD3B9C6DD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3" name="$E$110">
            <a:extLst>
              <a:ext uri="{FF2B5EF4-FFF2-40B4-BE49-F238E27FC236}">
                <a16:creationId xmlns:a16="http://schemas.microsoft.com/office/drawing/2014/main" id="{3AFE8AE4-ED05-4618-A935-812F0F159C6C}"/>
              </a:ext>
            </a:extLst>
          </xdr:cNvPr>
          <xdr:cNvSpPr/>
        </xdr:nvSpPr>
        <xdr:spPr>
          <a:xfrm>
            <a:off x="88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4" name="$E$110">
            <a:extLst>
              <a:ext uri="{FF2B5EF4-FFF2-40B4-BE49-F238E27FC236}">
                <a16:creationId xmlns:a16="http://schemas.microsoft.com/office/drawing/2014/main" id="{0101CAC3-5639-414F-9E3D-280F1C76B3A9}"/>
              </a:ext>
            </a:extLst>
          </xdr:cNvPr>
          <xdr:cNvSpPr/>
        </xdr:nvSpPr>
        <xdr:spPr>
          <a:xfrm>
            <a:off x="127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5" name="$E$110">
            <a:extLst>
              <a:ext uri="{FF2B5EF4-FFF2-40B4-BE49-F238E27FC236}">
                <a16:creationId xmlns:a16="http://schemas.microsoft.com/office/drawing/2014/main" id="{D0DCA957-9242-498F-9841-687D8C9DEC74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6" name="$E$110">
            <a:extLst>
              <a:ext uri="{FF2B5EF4-FFF2-40B4-BE49-F238E27FC236}">
                <a16:creationId xmlns:a16="http://schemas.microsoft.com/office/drawing/2014/main" id="{11CD6815-4BFF-45E8-96FE-BA660239FFD4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7" name="$E$110">
            <a:extLst>
              <a:ext uri="{FF2B5EF4-FFF2-40B4-BE49-F238E27FC236}">
                <a16:creationId xmlns:a16="http://schemas.microsoft.com/office/drawing/2014/main" id="{A4262DE9-569A-4F4A-BEDD-31D88EACCBEB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8" name="$E$110">
            <a:extLst>
              <a:ext uri="{FF2B5EF4-FFF2-40B4-BE49-F238E27FC236}">
                <a16:creationId xmlns:a16="http://schemas.microsoft.com/office/drawing/2014/main" id="{69F509B1-B418-4832-B08D-E0BB3E0F7BAE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99" name="$E$110">
            <a:extLst>
              <a:ext uri="{FF2B5EF4-FFF2-40B4-BE49-F238E27FC236}">
                <a16:creationId xmlns:a16="http://schemas.microsoft.com/office/drawing/2014/main" id="{765E7683-C10B-439A-B95A-CD5750CF0DC1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0" name="$E$110">
            <a:extLst>
              <a:ext uri="{FF2B5EF4-FFF2-40B4-BE49-F238E27FC236}">
                <a16:creationId xmlns:a16="http://schemas.microsoft.com/office/drawing/2014/main" id="{8444FD46-FDDD-4707-814C-77C5C1B5994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1" name="$E$110">
            <a:extLst>
              <a:ext uri="{FF2B5EF4-FFF2-40B4-BE49-F238E27FC236}">
                <a16:creationId xmlns:a16="http://schemas.microsoft.com/office/drawing/2014/main" id="{2C41DCBF-FA5A-4EB0-A83A-BD5C62CDA7EA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2" name="$E$110">
            <a:extLst>
              <a:ext uri="{FF2B5EF4-FFF2-40B4-BE49-F238E27FC236}">
                <a16:creationId xmlns:a16="http://schemas.microsoft.com/office/drawing/2014/main" id="{43BC834C-63E0-439C-8F78-23C6BCF7BEDB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3" name="$E$110">
            <a:extLst>
              <a:ext uri="{FF2B5EF4-FFF2-40B4-BE49-F238E27FC236}">
                <a16:creationId xmlns:a16="http://schemas.microsoft.com/office/drawing/2014/main" id="{15071149-DF73-40B1-9BFE-23FB7AE067DB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4" name="$E$110">
            <a:extLst>
              <a:ext uri="{FF2B5EF4-FFF2-40B4-BE49-F238E27FC236}">
                <a16:creationId xmlns:a16="http://schemas.microsoft.com/office/drawing/2014/main" id="{19B536BD-29D8-479D-BF26-923D4AC48894}"/>
              </a:ext>
            </a:extLst>
          </xdr:cNvPr>
          <xdr:cNvSpPr/>
        </xdr:nvSpPr>
        <xdr:spPr>
          <a:xfrm>
            <a:off x="12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5" name="$E$110">
            <a:extLst>
              <a:ext uri="{FF2B5EF4-FFF2-40B4-BE49-F238E27FC236}">
                <a16:creationId xmlns:a16="http://schemas.microsoft.com/office/drawing/2014/main" id="{78404883-42C3-4A6C-9730-7664E5C45EC7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6" name="$E$110">
            <a:extLst>
              <a:ext uri="{FF2B5EF4-FFF2-40B4-BE49-F238E27FC236}">
                <a16:creationId xmlns:a16="http://schemas.microsoft.com/office/drawing/2014/main" id="{A1345154-23F5-43E2-BC26-149FE3D4D8C0}"/>
              </a:ext>
            </a:extLst>
          </xdr:cNvPr>
          <xdr:cNvSpPr/>
        </xdr:nvSpPr>
        <xdr:spPr>
          <a:xfrm>
            <a:off x="50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7" name="$E$110">
            <a:extLst>
              <a:ext uri="{FF2B5EF4-FFF2-40B4-BE49-F238E27FC236}">
                <a16:creationId xmlns:a16="http://schemas.microsoft.com/office/drawing/2014/main" id="{97AFC4DD-1F3C-4593-9C61-44BDAE1C7159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8" name="$E$110">
            <a:extLst>
              <a:ext uri="{FF2B5EF4-FFF2-40B4-BE49-F238E27FC236}">
                <a16:creationId xmlns:a16="http://schemas.microsoft.com/office/drawing/2014/main" id="{7C6BD0A1-F173-490B-BA8C-43B4BCDD1E5C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09" name="$E$110">
            <a:extLst>
              <a:ext uri="{FF2B5EF4-FFF2-40B4-BE49-F238E27FC236}">
                <a16:creationId xmlns:a16="http://schemas.microsoft.com/office/drawing/2014/main" id="{AABE6D42-A0F7-4E0C-855C-E3431BD8F92E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0" name="$E$110">
            <a:extLst>
              <a:ext uri="{FF2B5EF4-FFF2-40B4-BE49-F238E27FC236}">
                <a16:creationId xmlns:a16="http://schemas.microsoft.com/office/drawing/2014/main" id="{CA2D2A05-1729-4689-A937-0DF8F0428D3D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1" name="$E$110">
            <a:extLst>
              <a:ext uri="{FF2B5EF4-FFF2-40B4-BE49-F238E27FC236}">
                <a16:creationId xmlns:a16="http://schemas.microsoft.com/office/drawing/2014/main" id="{E1EE85E1-414D-4067-886D-09B850CCD1E1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2" name="$E$110">
            <a:extLst>
              <a:ext uri="{FF2B5EF4-FFF2-40B4-BE49-F238E27FC236}">
                <a16:creationId xmlns:a16="http://schemas.microsoft.com/office/drawing/2014/main" id="{B53FBD83-33DD-460A-9A1C-28C2AD45A6FE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3" name="$E$110">
            <a:extLst>
              <a:ext uri="{FF2B5EF4-FFF2-40B4-BE49-F238E27FC236}">
                <a16:creationId xmlns:a16="http://schemas.microsoft.com/office/drawing/2014/main" id="{FC60D0F8-E7E2-4064-8672-4CEEFCBA8354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4" name="$E$110">
            <a:extLst>
              <a:ext uri="{FF2B5EF4-FFF2-40B4-BE49-F238E27FC236}">
                <a16:creationId xmlns:a16="http://schemas.microsoft.com/office/drawing/2014/main" id="{BDDA3855-4DB9-46EA-8217-2732514FCD0E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5" name="$E$110">
            <a:extLst>
              <a:ext uri="{FF2B5EF4-FFF2-40B4-BE49-F238E27FC236}">
                <a16:creationId xmlns:a16="http://schemas.microsoft.com/office/drawing/2014/main" id="{B132AC2C-7FD4-4B9D-8C6E-E65F1A727026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6" name="$E$110">
            <a:extLst>
              <a:ext uri="{FF2B5EF4-FFF2-40B4-BE49-F238E27FC236}">
                <a16:creationId xmlns:a16="http://schemas.microsoft.com/office/drawing/2014/main" id="{C077FB10-2CBA-4B38-A24B-69BB97240DD0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7" name="$E$110">
            <a:extLst>
              <a:ext uri="{FF2B5EF4-FFF2-40B4-BE49-F238E27FC236}">
                <a16:creationId xmlns:a16="http://schemas.microsoft.com/office/drawing/2014/main" id="{147B7510-5EED-432F-803E-4ACA2F4AD21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8" name="$E$110">
            <a:extLst>
              <a:ext uri="{FF2B5EF4-FFF2-40B4-BE49-F238E27FC236}">
                <a16:creationId xmlns:a16="http://schemas.microsoft.com/office/drawing/2014/main" id="{B0BFA527-E7BF-4407-ADF9-AD669184CB1A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19" name="$E$110">
            <a:extLst>
              <a:ext uri="{FF2B5EF4-FFF2-40B4-BE49-F238E27FC236}">
                <a16:creationId xmlns:a16="http://schemas.microsoft.com/office/drawing/2014/main" id="{F9A82980-6067-4235-96FA-46DF4EEDBB5F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0" name="$E$110">
            <a:extLst>
              <a:ext uri="{FF2B5EF4-FFF2-40B4-BE49-F238E27FC236}">
                <a16:creationId xmlns:a16="http://schemas.microsoft.com/office/drawing/2014/main" id="{0E355384-6265-446E-AA0F-F4BD4FC2068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1" name="$E$110">
            <a:extLst>
              <a:ext uri="{FF2B5EF4-FFF2-40B4-BE49-F238E27FC236}">
                <a16:creationId xmlns:a16="http://schemas.microsoft.com/office/drawing/2014/main" id="{D695C96F-60EE-4E2F-AA41-C134802C0BF7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2" name="$E$110">
            <a:extLst>
              <a:ext uri="{FF2B5EF4-FFF2-40B4-BE49-F238E27FC236}">
                <a16:creationId xmlns:a16="http://schemas.microsoft.com/office/drawing/2014/main" id="{ABB8636F-174D-4806-B09C-6B56E739523E}"/>
              </a:ext>
            </a:extLst>
          </xdr:cNvPr>
          <xdr:cNvSpPr/>
        </xdr:nvSpPr>
        <xdr:spPr>
          <a:xfrm>
            <a:off x="88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3" name="$E$110">
            <a:extLst>
              <a:ext uri="{FF2B5EF4-FFF2-40B4-BE49-F238E27FC236}">
                <a16:creationId xmlns:a16="http://schemas.microsoft.com/office/drawing/2014/main" id="{C15D5055-4D27-4E00-B38D-BC8D901A60CE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4" name="$E$110">
            <a:extLst>
              <a:ext uri="{FF2B5EF4-FFF2-40B4-BE49-F238E27FC236}">
                <a16:creationId xmlns:a16="http://schemas.microsoft.com/office/drawing/2014/main" id="{8E7F18B0-AF78-4369-AD67-9AD0F6B326E8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5" name="$E$110">
            <a:extLst>
              <a:ext uri="{FF2B5EF4-FFF2-40B4-BE49-F238E27FC236}">
                <a16:creationId xmlns:a16="http://schemas.microsoft.com/office/drawing/2014/main" id="{0E8F1174-F1EE-49ED-8D68-2FBFC29560A7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6" name="$E$110">
            <a:extLst>
              <a:ext uri="{FF2B5EF4-FFF2-40B4-BE49-F238E27FC236}">
                <a16:creationId xmlns:a16="http://schemas.microsoft.com/office/drawing/2014/main" id="{BE2C8F98-DF0F-4B46-BE3E-D4828840AFBF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7" name="$E$110">
            <a:extLst>
              <a:ext uri="{FF2B5EF4-FFF2-40B4-BE49-F238E27FC236}">
                <a16:creationId xmlns:a16="http://schemas.microsoft.com/office/drawing/2014/main" id="{AB4D20AF-30AC-4B71-AFAD-6A29B9268997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8" name="$E$110">
            <a:extLst>
              <a:ext uri="{FF2B5EF4-FFF2-40B4-BE49-F238E27FC236}">
                <a16:creationId xmlns:a16="http://schemas.microsoft.com/office/drawing/2014/main" id="{9B12A6F1-6500-4E2F-9711-45EDA47F41AF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29" name="$E$110">
            <a:extLst>
              <a:ext uri="{FF2B5EF4-FFF2-40B4-BE49-F238E27FC236}">
                <a16:creationId xmlns:a16="http://schemas.microsoft.com/office/drawing/2014/main" id="{A8CE1E90-53C0-466C-A5D1-C4E05B5FD3F6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0" name="$E$110">
            <a:extLst>
              <a:ext uri="{FF2B5EF4-FFF2-40B4-BE49-F238E27FC236}">
                <a16:creationId xmlns:a16="http://schemas.microsoft.com/office/drawing/2014/main" id="{B05033AC-D5A1-47AD-8316-52DF14E30FBA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1" name="$E$110">
            <a:extLst>
              <a:ext uri="{FF2B5EF4-FFF2-40B4-BE49-F238E27FC236}">
                <a16:creationId xmlns:a16="http://schemas.microsoft.com/office/drawing/2014/main" id="{0CCBB625-2DCB-4814-9930-0DEFC0DEEDB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2" name="$E$110">
            <a:extLst>
              <a:ext uri="{FF2B5EF4-FFF2-40B4-BE49-F238E27FC236}">
                <a16:creationId xmlns:a16="http://schemas.microsoft.com/office/drawing/2014/main" id="{AD25C4FE-C364-4E0B-A6E5-A39692D64AFF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3" name="$E$110">
            <a:extLst>
              <a:ext uri="{FF2B5EF4-FFF2-40B4-BE49-F238E27FC236}">
                <a16:creationId xmlns:a16="http://schemas.microsoft.com/office/drawing/2014/main" id="{810289B1-5145-4D34-B6F0-11348B22E896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4" name="$E$110">
            <a:extLst>
              <a:ext uri="{FF2B5EF4-FFF2-40B4-BE49-F238E27FC236}">
                <a16:creationId xmlns:a16="http://schemas.microsoft.com/office/drawing/2014/main" id="{5CCF709C-2705-460A-8B23-E4E6158D8151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5" name="$E$110">
            <a:extLst>
              <a:ext uri="{FF2B5EF4-FFF2-40B4-BE49-F238E27FC236}">
                <a16:creationId xmlns:a16="http://schemas.microsoft.com/office/drawing/2014/main" id="{C53F2A5C-32E9-49F6-9188-A690B60B74DC}"/>
              </a:ext>
            </a:extLst>
          </xdr:cNvPr>
          <xdr:cNvSpPr/>
        </xdr:nvSpPr>
        <xdr:spPr>
          <a:xfrm>
            <a:off x="12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6" name="$E$110">
            <a:extLst>
              <a:ext uri="{FF2B5EF4-FFF2-40B4-BE49-F238E27FC236}">
                <a16:creationId xmlns:a16="http://schemas.microsoft.com/office/drawing/2014/main" id="{61576F8E-43E5-462B-8C07-C24100D12F68}"/>
              </a:ext>
            </a:extLst>
          </xdr:cNvPr>
          <xdr:cNvSpPr/>
        </xdr:nvSpPr>
        <xdr:spPr>
          <a:xfrm>
            <a:off x="25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7" name="$E$110">
            <a:extLst>
              <a:ext uri="{FF2B5EF4-FFF2-40B4-BE49-F238E27FC236}">
                <a16:creationId xmlns:a16="http://schemas.microsoft.com/office/drawing/2014/main" id="{54458FE9-7F8B-47FC-B2D3-BBC22F211AD9}"/>
              </a:ext>
            </a:extLst>
          </xdr:cNvPr>
          <xdr:cNvSpPr/>
        </xdr:nvSpPr>
        <xdr:spPr>
          <a:xfrm>
            <a:off x="38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8" name="$E$110">
            <a:extLst>
              <a:ext uri="{FF2B5EF4-FFF2-40B4-BE49-F238E27FC236}">
                <a16:creationId xmlns:a16="http://schemas.microsoft.com/office/drawing/2014/main" id="{052BB8EC-6EDD-4452-A51D-4764B299D26E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39" name="$E$110">
            <a:extLst>
              <a:ext uri="{FF2B5EF4-FFF2-40B4-BE49-F238E27FC236}">
                <a16:creationId xmlns:a16="http://schemas.microsoft.com/office/drawing/2014/main" id="{ADF3B4B4-F91F-42A5-A318-62F536224D09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0" name="$E$110">
            <a:extLst>
              <a:ext uri="{FF2B5EF4-FFF2-40B4-BE49-F238E27FC236}">
                <a16:creationId xmlns:a16="http://schemas.microsoft.com/office/drawing/2014/main" id="{7C65B673-ACAC-47DB-8F1A-95AC2BFD1E2E}"/>
              </a:ext>
            </a:extLst>
          </xdr:cNvPr>
          <xdr:cNvSpPr/>
        </xdr:nvSpPr>
        <xdr:spPr>
          <a:xfrm>
            <a:off x="165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1" name="$E$110">
            <a:extLst>
              <a:ext uri="{FF2B5EF4-FFF2-40B4-BE49-F238E27FC236}">
                <a16:creationId xmlns:a16="http://schemas.microsoft.com/office/drawing/2014/main" id="{DE40680A-14EC-45C9-8A4A-DC09E42B086A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2" name="$E$110">
            <a:extLst>
              <a:ext uri="{FF2B5EF4-FFF2-40B4-BE49-F238E27FC236}">
                <a16:creationId xmlns:a16="http://schemas.microsoft.com/office/drawing/2014/main" id="{ED38E3B6-31EC-4B4E-901B-4328D3323C2E}"/>
              </a:ext>
            </a:extLst>
          </xdr:cNvPr>
          <xdr:cNvSpPr/>
        </xdr:nvSpPr>
        <xdr:spPr>
          <a:xfrm>
            <a:off x="215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3" name="$E$110">
            <a:extLst>
              <a:ext uri="{FF2B5EF4-FFF2-40B4-BE49-F238E27FC236}">
                <a16:creationId xmlns:a16="http://schemas.microsoft.com/office/drawing/2014/main" id="{AF56A0F9-7856-4160-BB2D-7E91B9492568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4" name="$E$110">
            <a:extLst>
              <a:ext uri="{FF2B5EF4-FFF2-40B4-BE49-F238E27FC236}">
                <a16:creationId xmlns:a16="http://schemas.microsoft.com/office/drawing/2014/main" id="{B8F58126-4A51-4A35-9897-32F937777706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5" name="$E$110">
            <a:extLst>
              <a:ext uri="{FF2B5EF4-FFF2-40B4-BE49-F238E27FC236}">
                <a16:creationId xmlns:a16="http://schemas.microsoft.com/office/drawing/2014/main" id="{BB269E06-F82B-4EED-A403-9E83B4482C4A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6" name="$E$110">
            <a:extLst>
              <a:ext uri="{FF2B5EF4-FFF2-40B4-BE49-F238E27FC236}">
                <a16:creationId xmlns:a16="http://schemas.microsoft.com/office/drawing/2014/main" id="{38CCEE41-00C9-44F7-9E93-8DB8E8A0F989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7" name="$E$110">
            <a:extLst>
              <a:ext uri="{FF2B5EF4-FFF2-40B4-BE49-F238E27FC236}">
                <a16:creationId xmlns:a16="http://schemas.microsoft.com/office/drawing/2014/main" id="{E54907E3-0146-46F9-A6D5-6BB440CECD9B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8" name="$E$110">
            <a:extLst>
              <a:ext uri="{FF2B5EF4-FFF2-40B4-BE49-F238E27FC236}">
                <a16:creationId xmlns:a16="http://schemas.microsoft.com/office/drawing/2014/main" id="{87453148-BC62-43DE-9938-442E6F59A0DC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49" name="$E$110">
            <a:extLst>
              <a:ext uri="{FF2B5EF4-FFF2-40B4-BE49-F238E27FC236}">
                <a16:creationId xmlns:a16="http://schemas.microsoft.com/office/drawing/2014/main" id="{61C4AC40-8E74-431F-AA02-F6BF96863299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0" name="$E$110">
            <a:extLst>
              <a:ext uri="{FF2B5EF4-FFF2-40B4-BE49-F238E27FC236}">
                <a16:creationId xmlns:a16="http://schemas.microsoft.com/office/drawing/2014/main" id="{7F1997FE-D132-4FF3-B27A-AC012A0D956F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1" name="$E$110">
            <a:extLst>
              <a:ext uri="{FF2B5EF4-FFF2-40B4-BE49-F238E27FC236}">
                <a16:creationId xmlns:a16="http://schemas.microsoft.com/office/drawing/2014/main" id="{45B43EE9-DEC3-47E2-BA77-B2FD1C656CFD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2" name="$E$110">
            <a:extLst>
              <a:ext uri="{FF2B5EF4-FFF2-40B4-BE49-F238E27FC236}">
                <a16:creationId xmlns:a16="http://schemas.microsoft.com/office/drawing/2014/main" id="{1AB2A709-1F05-4128-A4C7-F85FF8BD9C61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3" name="$E$110">
            <a:extLst>
              <a:ext uri="{FF2B5EF4-FFF2-40B4-BE49-F238E27FC236}">
                <a16:creationId xmlns:a16="http://schemas.microsoft.com/office/drawing/2014/main" id="{FEB0547C-02C3-4433-9F44-481E02007926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4" name="$E$110">
            <a:extLst>
              <a:ext uri="{FF2B5EF4-FFF2-40B4-BE49-F238E27FC236}">
                <a16:creationId xmlns:a16="http://schemas.microsoft.com/office/drawing/2014/main" id="{2E42DE9B-5307-4926-A6E3-393006E6E882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5" name="$E$110">
            <a:extLst>
              <a:ext uri="{FF2B5EF4-FFF2-40B4-BE49-F238E27FC236}">
                <a16:creationId xmlns:a16="http://schemas.microsoft.com/office/drawing/2014/main" id="{2BB20913-E332-4B2E-87A0-6FDA9D0D926F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6" name="$E$110">
            <a:extLst>
              <a:ext uri="{FF2B5EF4-FFF2-40B4-BE49-F238E27FC236}">
                <a16:creationId xmlns:a16="http://schemas.microsoft.com/office/drawing/2014/main" id="{F7A2B26C-811E-4137-872D-83B5EA731CE3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7" name="$E$110">
            <a:extLst>
              <a:ext uri="{FF2B5EF4-FFF2-40B4-BE49-F238E27FC236}">
                <a16:creationId xmlns:a16="http://schemas.microsoft.com/office/drawing/2014/main" id="{78A1235B-14D7-4973-8319-5422612E6CB1}"/>
              </a:ext>
            </a:extLst>
          </xdr:cNvPr>
          <xdr:cNvSpPr/>
        </xdr:nvSpPr>
        <xdr:spPr>
          <a:xfrm>
            <a:off x="114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8" name="$E$110">
            <a:extLst>
              <a:ext uri="{FF2B5EF4-FFF2-40B4-BE49-F238E27FC236}">
                <a16:creationId xmlns:a16="http://schemas.microsoft.com/office/drawing/2014/main" id="{306F6D5F-8DB3-46FA-933E-74511359786C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59" name="$E$110">
            <a:extLst>
              <a:ext uri="{FF2B5EF4-FFF2-40B4-BE49-F238E27FC236}">
                <a16:creationId xmlns:a16="http://schemas.microsoft.com/office/drawing/2014/main" id="{BA9B9A0C-94DC-4463-8740-5D03CD11BD29}"/>
              </a:ext>
            </a:extLst>
          </xdr:cNvPr>
          <xdr:cNvSpPr/>
        </xdr:nvSpPr>
        <xdr:spPr>
          <a:xfrm>
            <a:off x="139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0" name="$E$110">
            <a:extLst>
              <a:ext uri="{FF2B5EF4-FFF2-40B4-BE49-F238E27FC236}">
                <a16:creationId xmlns:a16="http://schemas.microsoft.com/office/drawing/2014/main" id="{5173646B-BF93-40EB-A868-9BA3ED0795E4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1" name="$E$110">
            <a:extLst>
              <a:ext uri="{FF2B5EF4-FFF2-40B4-BE49-F238E27FC236}">
                <a16:creationId xmlns:a16="http://schemas.microsoft.com/office/drawing/2014/main" id="{8E91F89D-50A6-4791-B136-44E870C9A4E8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2" name="$E$110">
            <a:extLst>
              <a:ext uri="{FF2B5EF4-FFF2-40B4-BE49-F238E27FC236}">
                <a16:creationId xmlns:a16="http://schemas.microsoft.com/office/drawing/2014/main" id="{8F496BE3-8EF8-4747-8B85-C5038EB751E5}"/>
              </a:ext>
            </a:extLst>
          </xdr:cNvPr>
          <xdr:cNvSpPr/>
        </xdr:nvSpPr>
        <xdr:spPr>
          <a:xfrm>
            <a:off x="177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3" name="$E$110">
            <a:extLst>
              <a:ext uri="{FF2B5EF4-FFF2-40B4-BE49-F238E27FC236}">
                <a16:creationId xmlns:a16="http://schemas.microsoft.com/office/drawing/2014/main" id="{1A2F0DE6-9429-4433-AC96-CA007E813B6B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4" name="$E$110">
            <a:extLst>
              <a:ext uri="{FF2B5EF4-FFF2-40B4-BE49-F238E27FC236}">
                <a16:creationId xmlns:a16="http://schemas.microsoft.com/office/drawing/2014/main" id="{AB337143-B3C6-4C3F-BBF4-56FA5521C325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5" name="$E$110">
            <a:extLst>
              <a:ext uri="{FF2B5EF4-FFF2-40B4-BE49-F238E27FC236}">
                <a16:creationId xmlns:a16="http://schemas.microsoft.com/office/drawing/2014/main" id="{85175D08-8940-41D3-B905-B7035B5A21B3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6" name="$E$110">
            <a:extLst>
              <a:ext uri="{FF2B5EF4-FFF2-40B4-BE49-F238E27FC236}">
                <a16:creationId xmlns:a16="http://schemas.microsoft.com/office/drawing/2014/main" id="{90C8F080-D0EF-47E1-9A9B-530B1EA74C6C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7" name="$E$110">
            <a:extLst>
              <a:ext uri="{FF2B5EF4-FFF2-40B4-BE49-F238E27FC236}">
                <a16:creationId xmlns:a16="http://schemas.microsoft.com/office/drawing/2014/main" id="{1DEB9C78-06C3-4400-AD00-E02F4AAE54A2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8" name="$E$110">
            <a:extLst>
              <a:ext uri="{FF2B5EF4-FFF2-40B4-BE49-F238E27FC236}">
                <a16:creationId xmlns:a16="http://schemas.microsoft.com/office/drawing/2014/main" id="{C0D18C1E-D551-4E6C-9B1A-E9B086FE769B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69" name="$E$110">
            <a:extLst>
              <a:ext uri="{FF2B5EF4-FFF2-40B4-BE49-F238E27FC236}">
                <a16:creationId xmlns:a16="http://schemas.microsoft.com/office/drawing/2014/main" id="{B244F07C-0649-45A5-95BB-3D9246A7AF76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0" name="$E$110">
            <a:extLst>
              <a:ext uri="{FF2B5EF4-FFF2-40B4-BE49-F238E27FC236}">
                <a16:creationId xmlns:a16="http://schemas.microsoft.com/office/drawing/2014/main" id="{E00A1912-E064-419A-9122-D12330FB9A16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1" name="$E$110">
            <a:extLst>
              <a:ext uri="{FF2B5EF4-FFF2-40B4-BE49-F238E27FC236}">
                <a16:creationId xmlns:a16="http://schemas.microsoft.com/office/drawing/2014/main" id="{A07BC25D-281C-441C-8CC7-014D7C2F4186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2" name="$E$110">
            <a:extLst>
              <a:ext uri="{FF2B5EF4-FFF2-40B4-BE49-F238E27FC236}">
                <a16:creationId xmlns:a16="http://schemas.microsoft.com/office/drawing/2014/main" id="{CDE1EE52-229F-4067-9C9E-734EB3FF4973}"/>
              </a:ext>
            </a:extLst>
          </xdr:cNvPr>
          <xdr:cNvSpPr/>
        </xdr:nvSpPr>
        <xdr:spPr>
          <a:xfrm>
            <a:off x="50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3" name="$E$110">
            <a:extLst>
              <a:ext uri="{FF2B5EF4-FFF2-40B4-BE49-F238E27FC236}">
                <a16:creationId xmlns:a16="http://schemas.microsoft.com/office/drawing/2014/main" id="{48D4516F-69FC-48A8-8A3C-FEBDE4250705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4" name="$E$110">
            <a:extLst>
              <a:ext uri="{FF2B5EF4-FFF2-40B4-BE49-F238E27FC236}">
                <a16:creationId xmlns:a16="http://schemas.microsoft.com/office/drawing/2014/main" id="{4B4F64FA-1B02-4B8D-B13C-AA4261A9D606}"/>
              </a:ext>
            </a:extLst>
          </xdr:cNvPr>
          <xdr:cNvSpPr/>
        </xdr:nvSpPr>
        <xdr:spPr>
          <a:xfrm>
            <a:off x="127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5" name="$E$110">
            <a:extLst>
              <a:ext uri="{FF2B5EF4-FFF2-40B4-BE49-F238E27FC236}">
                <a16:creationId xmlns:a16="http://schemas.microsoft.com/office/drawing/2014/main" id="{CAA9F12B-4FB1-4370-8BA4-B06AB2B3FED3}"/>
              </a:ext>
            </a:extLst>
          </xdr:cNvPr>
          <xdr:cNvSpPr/>
        </xdr:nvSpPr>
        <xdr:spPr>
          <a:xfrm>
            <a:off x="139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6" name="$E$110">
            <a:extLst>
              <a:ext uri="{FF2B5EF4-FFF2-40B4-BE49-F238E27FC236}">
                <a16:creationId xmlns:a16="http://schemas.microsoft.com/office/drawing/2014/main" id="{E58EF868-921F-4971-B189-C402F3B596D4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7" name="$E$110">
            <a:extLst>
              <a:ext uri="{FF2B5EF4-FFF2-40B4-BE49-F238E27FC236}">
                <a16:creationId xmlns:a16="http://schemas.microsoft.com/office/drawing/2014/main" id="{4AD87ADC-0250-4BF1-9FD7-82642685BD49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8" name="$E$110">
            <a:extLst>
              <a:ext uri="{FF2B5EF4-FFF2-40B4-BE49-F238E27FC236}">
                <a16:creationId xmlns:a16="http://schemas.microsoft.com/office/drawing/2014/main" id="{1BF1028A-BA6E-4D60-B2E5-D309FBEDDEA4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79" name="$E$110">
            <a:extLst>
              <a:ext uri="{FF2B5EF4-FFF2-40B4-BE49-F238E27FC236}">
                <a16:creationId xmlns:a16="http://schemas.microsoft.com/office/drawing/2014/main" id="{0EB52FEB-D5CC-4ADE-A467-E68DFCD16CBA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0" name="$E$110">
            <a:extLst>
              <a:ext uri="{FF2B5EF4-FFF2-40B4-BE49-F238E27FC236}">
                <a16:creationId xmlns:a16="http://schemas.microsoft.com/office/drawing/2014/main" id="{DE91A3CB-46A2-49CF-96B8-B02592B1F4A6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1" name="$E$110">
            <a:extLst>
              <a:ext uri="{FF2B5EF4-FFF2-40B4-BE49-F238E27FC236}">
                <a16:creationId xmlns:a16="http://schemas.microsoft.com/office/drawing/2014/main" id="{1D910752-2B05-434A-8A19-1E0B73C262F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2" name="$E$110">
            <a:extLst>
              <a:ext uri="{FF2B5EF4-FFF2-40B4-BE49-F238E27FC236}">
                <a16:creationId xmlns:a16="http://schemas.microsoft.com/office/drawing/2014/main" id="{476762A2-B8CD-4A54-BBF9-5D4FB0B9F6E2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3" name="$E$110">
            <a:extLst>
              <a:ext uri="{FF2B5EF4-FFF2-40B4-BE49-F238E27FC236}">
                <a16:creationId xmlns:a16="http://schemas.microsoft.com/office/drawing/2014/main" id="{92A6293A-7CA8-46D4-AB40-DF9FD90E5905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4" name="$E$110">
            <a:extLst>
              <a:ext uri="{FF2B5EF4-FFF2-40B4-BE49-F238E27FC236}">
                <a16:creationId xmlns:a16="http://schemas.microsoft.com/office/drawing/2014/main" id="{1C0337F2-1B33-4723-80D4-BD56E06525D2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5" name="$E$110">
            <a:extLst>
              <a:ext uri="{FF2B5EF4-FFF2-40B4-BE49-F238E27FC236}">
                <a16:creationId xmlns:a16="http://schemas.microsoft.com/office/drawing/2014/main" id="{5A67CC98-8E6A-4338-BD50-D49DE99C855F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6" name="$E$110">
            <a:extLst>
              <a:ext uri="{FF2B5EF4-FFF2-40B4-BE49-F238E27FC236}">
                <a16:creationId xmlns:a16="http://schemas.microsoft.com/office/drawing/2014/main" id="{70229FD2-222E-4E2D-B92E-97E2167A9706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7" name="$E$110">
            <a:extLst>
              <a:ext uri="{FF2B5EF4-FFF2-40B4-BE49-F238E27FC236}">
                <a16:creationId xmlns:a16="http://schemas.microsoft.com/office/drawing/2014/main" id="{5E43A5CB-5AF8-46CC-936D-EE17B044C891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8" name="$E$110">
            <a:extLst>
              <a:ext uri="{FF2B5EF4-FFF2-40B4-BE49-F238E27FC236}">
                <a16:creationId xmlns:a16="http://schemas.microsoft.com/office/drawing/2014/main" id="{57B9B010-89B1-473A-8357-8BCE0C3F044E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89" name="$E$110">
            <a:extLst>
              <a:ext uri="{FF2B5EF4-FFF2-40B4-BE49-F238E27FC236}">
                <a16:creationId xmlns:a16="http://schemas.microsoft.com/office/drawing/2014/main" id="{B1CEF711-1C0E-40F1-A0D2-E7CA946CD2A9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0" name="$E$110">
            <a:extLst>
              <a:ext uri="{FF2B5EF4-FFF2-40B4-BE49-F238E27FC236}">
                <a16:creationId xmlns:a16="http://schemas.microsoft.com/office/drawing/2014/main" id="{2C6FB651-01C3-4055-9B36-3CB7641D0DB4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1" name="$E$110">
            <a:extLst>
              <a:ext uri="{FF2B5EF4-FFF2-40B4-BE49-F238E27FC236}">
                <a16:creationId xmlns:a16="http://schemas.microsoft.com/office/drawing/2014/main" id="{32D2F2AD-4FA4-4A54-A161-94E9803907B6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2" name="$E$110">
            <a:extLst>
              <a:ext uri="{FF2B5EF4-FFF2-40B4-BE49-F238E27FC236}">
                <a16:creationId xmlns:a16="http://schemas.microsoft.com/office/drawing/2014/main" id="{AE5D87E3-C5F5-468E-922A-2FF9F78F5CA6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3" name="$E$110">
            <a:extLst>
              <a:ext uri="{FF2B5EF4-FFF2-40B4-BE49-F238E27FC236}">
                <a16:creationId xmlns:a16="http://schemas.microsoft.com/office/drawing/2014/main" id="{D4785381-840E-4541-B1B5-05D8F01E25D4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4" name="$E$110">
            <a:extLst>
              <a:ext uri="{FF2B5EF4-FFF2-40B4-BE49-F238E27FC236}">
                <a16:creationId xmlns:a16="http://schemas.microsoft.com/office/drawing/2014/main" id="{BBA42202-36E8-4406-85ED-F587B43D7F8B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5" name="$E$110">
            <a:extLst>
              <a:ext uri="{FF2B5EF4-FFF2-40B4-BE49-F238E27FC236}">
                <a16:creationId xmlns:a16="http://schemas.microsoft.com/office/drawing/2014/main" id="{F7DD1646-DF74-4E04-A91E-04F25828A385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6" name="$E$110">
            <a:extLst>
              <a:ext uri="{FF2B5EF4-FFF2-40B4-BE49-F238E27FC236}">
                <a16:creationId xmlns:a16="http://schemas.microsoft.com/office/drawing/2014/main" id="{3E2D7C31-4189-4DC8-ABF1-CDA7120AC354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7" name="$E$110">
            <a:extLst>
              <a:ext uri="{FF2B5EF4-FFF2-40B4-BE49-F238E27FC236}">
                <a16:creationId xmlns:a16="http://schemas.microsoft.com/office/drawing/2014/main" id="{71D6E375-3448-447E-8732-585122EEC0FC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8" name="$E$110">
            <a:extLst>
              <a:ext uri="{FF2B5EF4-FFF2-40B4-BE49-F238E27FC236}">
                <a16:creationId xmlns:a16="http://schemas.microsoft.com/office/drawing/2014/main" id="{53E090AC-AD36-4DF5-B1FC-3C9E3C1CB998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899" name="$E$110">
            <a:extLst>
              <a:ext uri="{FF2B5EF4-FFF2-40B4-BE49-F238E27FC236}">
                <a16:creationId xmlns:a16="http://schemas.microsoft.com/office/drawing/2014/main" id="{1476DDAB-03D0-49A0-83C4-E74710EA571C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0" name="$E$110">
            <a:extLst>
              <a:ext uri="{FF2B5EF4-FFF2-40B4-BE49-F238E27FC236}">
                <a16:creationId xmlns:a16="http://schemas.microsoft.com/office/drawing/2014/main" id="{ABBDE11C-FA05-438D-B202-0635956DCDFB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1" name="$E$110">
            <a:extLst>
              <a:ext uri="{FF2B5EF4-FFF2-40B4-BE49-F238E27FC236}">
                <a16:creationId xmlns:a16="http://schemas.microsoft.com/office/drawing/2014/main" id="{48D3FA16-F561-4B34-A3DC-F8F9851C7916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2" name="$E$110">
            <a:extLst>
              <a:ext uri="{FF2B5EF4-FFF2-40B4-BE49-F238E27FC236}">
                <a16:creationId xmlns:a16="http://schemas.microsoft.com/office/drawing/2014/main" id="{AD8E2BB8-A79E-4900-90FC-84D902D93230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3" name="$E$110">
            <a:extLst>
              <a:ext uri="{FF2B5EF4-FFF2-40B4-BE49-F238E27FC236}">
                <a16:creationId xmlns:a16="http://schemas.microsoft.com/office/drawing/2014/main" id="{13097228-C458-4D5F-AF02-145E88096357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4" name="$E$110">
            <a:extLst>
              <a:ext uri="{FF2B5EF4-FFF2-40B4-BE49-F238E27FC236}">
                <a16:creationId xmlns:a16="http://schemas.microsoft.com/office/drawing/2014/main" id="{4C659FBC-DE96-43E2-86B4-2C59ACFD55D8}"/>
              </a:ext>
            </a:extLst>
          </xdr:cNvPr>
          <xdr:cNvSpPr/>
        </xdr:nvSpPr>
        <xdr:spPr>
          <a:xfrm>
            <a:off x="127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5" name="$E$110">
            <a:extLst>
              <a:ext uri="{FF2B5EF4-FFF2-40B4-BE49-F238E27FC236}">
                <a16:creationId xmlns:a16="http://schemas.microsoft.com/office/drawing/2014/main" id="{E8A6B592-ACAC-4B99-802F-B069E515D43C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6" name="$E$110">
            <a:extLst>
              <a:ext uri="{FF2B5EF4-FFF2-40B4-BE49-F238E27FC236}">
                <a16:creationId xmlns:a16="http://schemas.microsoft.com/office/drawing/2014/main" id="{5BDE5418-9BAB-47C4-8CF8-D3CA0A65F5F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7" name="$E$110">
            <a:extLst>
              <a:ext uri="{FF2B5EF4-FFF2-40B4-BE49-F238E27FC236}">
                <a16:creationId xmlns:a16="http://schemas.microsoft.com/office/drawing/2014/main" id="{6A4E30F5-1572-4E18-A63E-96532BCEECD9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8" name="$E$110">
            <a:extLst>
              <a:ext uri="{FF2B5EF4-FFF2-40B4-BE49-F238E27FC236}">
                <a16:creationId xmlns:a16="http://schemas.microsoft.com/office/drawing/2014/main" id="{21FD2B8C-B1FA-4DC1-A43A-B5E00F90761C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09" name="$E$110">
            <a:extLst>
              <a:ext uri="{FF2B5EF4-FFF2-40B4-BE49-F238E27FC236}">
                <a16:creationId xmlns:a16="http://schemas.microsoft.com/office/drawing/2014/main" id="{C00B8A51-F099-4A15-82A1-FAE5A0976B99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0" name="$E$110">
            <a:extLst>
              <a:ext uri="{FF2B5EF4-FFF2-40B4-BE49-F238E27FC236}">
                <a16:creationId xmlns:a16="http://schemas.microsoft.com/office/drawing/2014/main" id="{7C29F3C2-9793-456E-A566-5D74179F51E1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1" name="$E$110">
            <a:extLst>
              <a:ext uri="{FF2B5EF4-FFF2-40B4-BE49-F238E27FC236}">
                <a16:creationId xmlns:a16="http://schemas.microsoft.com/office/drawing/2014/main" id="{4B28FAF0-4B7D-4EB8-912A-0B95D954A004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2" name="$E$110">
            <a:extLst>
              <a:ext uri="{FF2B5EF4-FFF2-40B4-BE49-F238E27FC236}">
                <a16:creationId xmlns:a16="http://schemas.microsoft.com/office/drawing/2014/main" id="{EFBA68F1-79AF-48CE-8C67-5E1196DA6D05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3" name="$E$110">
            <a:extLst>
              <a:ext uri="{FF2B5EF4-FFF2-40B4-BE49-F238E27FC236}">
                <a16:creationId xmlns:a16="http://schemas.microsoft.com/office/drawing/2014/main" id="{BF087E3B-41B8-4D59-839C-749C536A9F16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4" name="$E$110">
            <a:extLst>
              <a:ext uri="{FF2B5EF4-FFF2-40B4-BE49-F238E27FC236}">
                <a16:creationId xmlns:a16="http://schemas.microsoft.com/office/drawing/2014/main" id="{B6BF38E8-B654-4E6C-943A-E75A0ECBD713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5" name="$E$110">
            <a:extLst>
              <a:ext uri="{FF2B5EF4-FFF2-40B4-BE49-F238E27FC236}">
                <a16:creationId xmlns:a16="http://schemas.microsoft.com/office/drawing/2014/main" id="{DE263939-146A-4516-AA8F-8373A5B42747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6" name="$E$110">
            <a:extLst>
              <a:ext uri="{FF2B5EF4-FFF2-40B4-BE49-F238E27FC236}">
                <a16:creationId xmlns:a16="http://schemas.microsoft.com/office/drawing/2014/main" id="{FDE44619-7CB6-467B-8B2D-000722AD8E31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7" name="$E$110">
            <a:extLst>
              <a:ext uri="{FF2B5EF4-FFF2-40B4-BE49-F238E27FC236}">
                <a16:creationId xmlns:a16="http://schemas.microsoft.com/office/drawing/2014/main" id="{5E07C04F-8869-4D29-AB73-3AD41030EAF6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8" name="$E$110">
            <a:extLst>
              <a:ext uri="{FF2B5EF4-FFF2-40B4-BE49-F238E27FC236}">
                <a16:creationId xmlns:a16="http://schemas.microsoft.com/office/drawing/2014/main" id="{C65E125E-E20D-47F9-A162-A9BC290DCC9A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19" name="$E$110">
            <a:extLst>
              <a:ext uri="{FF2B5EF4-FFF2-40B4-BE49-F238E27FC236}">
                <a16:creationId xmlns:a16="http://schemas.microsoft.com/office/drawing/2014/main" id="{DD34D972-ACB9-43D5-BB73-938FD856127C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0" name="$E$110">
            <a:extLst>
              <a:ext uri="{FF2B5EF4-FFF2-40B4-BE49-F238E27FC236}">
                <a16:creationId xmlns:a16="http://schemas.microsoft.com/office/drawing/2014/main" id="{2DDBC842-C369-4244-B7CB-6834540A734E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1" name="$E$110">
            <a:extLst>
              <a:ext uri="{FF2B5EF4-FFF2-40B4-BE49-F238E27FC236}">
                <a16:creationId xmlns:a16="http://schemas.microsoft.com/office/drawing/2014/main" id="{3E75AD94-A817-49EF-B9C0-46E53FBFB9CE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2" name="$E$110">
            <a:extLst>
              <a:ext uri="{FF2B5EF4-FFF2-40B4-BE49-F238E27FC236}">
                <a16:creationId xmlns:a16="http://schemas.microsoft.com/office/drawing/2014/main" id="{7B6C76BF-D18C-48F1-9F6A-DEA24D1FA848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3" name="$E$110">
            <a:extLst>
              <a:ext uri="{FF2B5EF4-FFF2-40B4-BE49-F238E27FC236}">
                <a16:creationId xmlns:a16="http://schemas.microsoft.com/office/drawing/2014/main" id="{673008AB-D711-409A-90B7-A5367EBDCC6C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4" name="$E$110">
            <a:extLst>
              <a:ext uri="{FF2B5EF4-FFF2-40B4-BE49-F238E27FC236}">
                <a16:creationId xmlns:a16="http://schemas.microsoft.com/office/drawing/2014/main" id="{20FF6C9C-2430-436D-A839-69AD01B9FF63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5" name="$E$110">
            <a:extLst>
              <a:ext uri="{FF2B5EF4-FFF2-40B4-BE49-F238E27FC236}">
                <a16:creationId xmlns:a16="http://schemas.microsoft.com/office/drawing/2014/main" id="{BA36AAEE-89CE-4F55-8AEB-4945C9FDA884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6" name="$E$110">
            <a:extLst>
              <a:ext uri="{FF2B5EF4-FFF2-40B4-BE49-F238E27FC236}">
                <a16:creationId xmlns:a16="http://schemas.microsoft.com/office/drawing/2014/main" id="{B7B68D84-EBDA-4E07-9EAD-2943243A4DE7}"/>
              </a:ext>
            </a:extLst>
          </xdr:cNvPr>
          <xdr:cNvSpPr/>
        </xdr:nvSpPr>
        <xdr:spPr>
          <a:xfrm>
            <a:off x="177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7" name="$E$110">
            <a:extLst>
              <a:ext uri="{FF2B5EF4-FFF2-40B4-BE49-F238E27FC236}">
                <a16:creationId xmlns:a16="http://schemas.microsoft.com/office/drawing/2014/main" id="{8FC77970-B5DB-4EFF-B62B-E103BC63C833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8" name="$E$110">
            <a:extLst>
              <a:ext uri="{FF2B5EF4-FFF2-40B4-BE49-F238E27FC236}">
                <a16:creationId xmlns:a16="http://schemas.microsoft.com/office/drawing/2014/main" id="{583E04C8-E0BF-4B5E-8EDF-35645C40E470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29" name="$E$110">
            <a:extLst>
              <a:ext uri="{FF2B5EF4-FFF2-40B4-BE49-F238E27FC236}">
                <a16:creationId xmlns:a16="http://schemas.microsoft.com/office/drawing/2014/main" id="{5B654466-D683-425C-A6E3-B1B499F493CD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0" name="$E$110">
            <a:extLst>
              <a:ext uri="{FF2B5EF4-FFF2-40B4-BE49-F238E27FC236}">
                <a16:creationId xmlns:a16="http://schemas.microsoft.com/office/drawing/2014/main" id="{33CE5F22-5FB8-4A73-B7BA-46733AE6CF1B}"/>
              </a:ext>
            </a:extLst>
          </xdr:cNvPr>
          <xdr:cNvSpPr/>
        </xdr:nvSpPr>
        <xdr:spPr>
          <a:xfrm>
            <a:off x="228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1" name="$E$110">
            <a:extLst>
              <a:ext uri="{FF2B5EF4-FFF2-40B4-BE49-F238E27FC236}">
                <a16:creationId xmlns:a16="http://schemas.microsoft.com/office/drawing/2014/main" id="{AF32841E-750A-41CB-8926-80457642BB6C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2" name="$E$110">
            <a:extLst>
              <a:ext uri="{FF2B5EF4-FFF2-40B4-BE49-F238E27FC236}">
                <a16:creationId xmlns:a16="http://schemas.microsoft.com/office/drawing/2014/main" id="{84E88913-1D88-4DFA-B6A6-0EF7600D9DB6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3" name="$E$110">
            <a:extLst>
              <a:ext uri="{FF2B5EF4-FFF2-40B4-BE49-F238E27FC236}">
                <a16:creationId xmlns:a16="http://schemas.microsoft.com/office/drawing/2014/main" id="{2451B653-7214-47C6-BEA4-7D84DAD71638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4" name="$E$110">
            <a:extLst>
              <a:ext uri="{FF2B5EF4-FFF2-40B4-BE49-F238E27FC236}">
                <a16:creationId xmlns:a16="http://schemas.microsoft.com/office/drawing/2014/main" id="{18A2C582-6074-44B6-B713-8F0D5C459B13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5" name="$E$110">
            <a:extLst>
              <a:ext uri="{FF2B5EF4-FFF2-40B4-BE49-F238E27FC236}">
                <a16:creationId xmlns:a16="http://schemas.microsoft.com/office/drawing/2014/main" id="{CE181B8F-F777-45DD-8D56-90D98F8D92DB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6" name="$E$110">
            <a:extLst>
              <a:ext uri="{FF2B5EF4-FFF2-40B4-BE49-F238E27FC236}">
                <a16:creationId xmlns:a16="http://schemas.microsoft.com/office/drawing/2014/main" id="{3992F934-69F1-471D-B11B-BB55FDE4C9C0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7" name="$E$110">
            <a:extLst>
              <a:ext uri="{FF2B5EF4-FFF2-40B4-BE49-F238E27FC236}">
                <a16:creationId xmlns:a16="http://schemas.microsoft.com/office/drawing/2014/main" id="{C1C65CD4-6D88-437C-B520-09E707C68B61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8" name="$E$110">
            <a:extLst>
              <a:ext uri="{FF2B5EF4-FFF2-40B4-BE49-F238E27FC236}">
                <a16:creationId xmlns:a16="http://schemas.microsoft.com/office/drawing/2014/main" id="{8EE44903-8CA2-4E0E-ADC6-BC06DF539DC7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39" name="$E$110">
            <a:extLst>
              <a:ext uri="{FF2B5EF4-FFF2-40B4-BE49-F238E27FC236}">
                <a16:creationId xmlns:a16="http://schemas.microsoft.com/office/drawing/2014/main" id="{CA8D6AA9-8557-4EDB-A7ED-2A1CD44F12BB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0" name="$E$110">
            <a:extLst>
              <a:ext uri="{FF2B5EF4-FFF2-40B4-BE49-F238E27FC236}">
                <a16:creationId xmlns:a16="http://schemas.microsoft.com/office/drawing/2014/main" id="{A844AB81-AC39-49FA-9E4F-54F6229CFE01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1" name="$E$110">
            <a:extLst>
              <a:ext uri="{FF2B5EF4-FFF2-40B4-BE49-F238E27FC236}">
                <a16:creationId xmlns:a16="http://schemas.microsoft.com/office/drawing/2014/main" id="{A33ECD89-091F-41C8-9BC4-3C2F54D494E7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2" name="$E$110">
            <a:extLst>
              <a:ext uri="{FF2B5EF4-FFF2-40B4-BE49-F238E27FC236}">
                <a16:creationId xmlns:a16="http://schemas.microsoft.com/office/drawing/2014/main" id="{670136F7-6E72-421F-8A32-F7E93949BCD1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3" name="$E$110">
            <a:extLst>
              <a:ext uri="{FF2B5EF4-FFF2-40B4-BE49-F238E27FC236}">
                <a16:creationId xmlns:a16="http://schemas.microsoft.com/office/drawing/2014/main" id="{18E0157D-BF38-4C36-AAC5-CCC540F4F735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4" name="$E$110">
            <a:extLst>
              <a:ext uri="{FF2B5EF4-FFF2-40B4-BE49-F238E27FC236}">
                <a16:creationId xmlns:a16="http://schemas.microsoft.com/office/drawing/2014/main" id="{88A0FD38-3204-4173-9B42-1D675EA64E7B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5" name="$E$110">
            <a:extLst>
              <a:ext uri="{FF2B5EF4-FFF2-40B4-BE49-F238E27FC236}">
                <a16:creationId xmlns:a16="http://schemas.microsoft.com/office/drawing/2014/main" id="{BA3841B9-527F-487A-92F1-0C0E72663B74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6" name="$E$110">
            <a:extLst>
              <a:ext uri="{FF2B5EF4-FFF2-40B4-BE49-F238E27FC236}">
                <a16:creationId xmlns:a16="http://schemas.microsoft.com/office/drawing/2014/main" id="{E5083C47-6FCA-433E-A76D-7C2447E24AC5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7" name="$E$110">
            <a:extLst>
              <a:ext uri="{FF2B5EF4-FFF2-40B4-BE49-F238E27FC236}">
                <a16:creationId xmlns:a16="http://schemas.microsoft.com/office/drawing/2014/main" id="{2EC4544E-A69D-4EDF-9621-9DC98960D7B0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8" name="$E$110">
            <a:extLst>
              <a:ext uri="{FF2B5EF4-FFF2-40B4-BE49-F238E27FC236}">
                <a16:creationId xmlns:a16="http://schemas.microsoft.com/office/drawing/2014/main" id="{1E060899-8C43-4041-BC3E-128FFBF369E1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49" name="$E$110">
            <a:extLst>
              <a:ext uri="{FF2B5EF4-FFF2-40B4-BE49-F238E27FC236}">
                <a16:creationId xmlns:a16="http://schemas.microsoft.com/office/drawing/2014/main" id="{2F6CB41A-1C17-4F2A-A505-D4E63FBA5B0C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0" name="$E$110">
            <a:extLst>
              <a:ext uri="{FF2B5EF4-FFF2-40B4-BE49-F238E27FC236}">
                <a16:creationId xmlns:a16="http://schemas.microsoft.com/office/drawing/2014/main" id="{B7234698-7F93-4DAF-805A-53F19F0ADD02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1" name="$E$110">
            <a:extLst>
              <a:ext uri="{FF2B5EF4-FFF2-40B4-BE49-F238E27FC236}">
                <a16:creationId xmlns:a16="http://schemas.microsoft.com/office/drawing/2014/main" id="{4524688C-86C6-45FD-8AFD-A52523DBCA84}"/>
              </a:ext>
            </a:extLst>
          </xdr:cNvPr>
          <xdr:cNvSpPr/>
        </xdr:nvSpPr>
        <xdr:spPr>
          <a:xfrm>
            <a:off x="368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2" name="$E$110">
            <a:extLst>
              <a:ext uri="{FF2B5EF4-FFF2-40B4-BE49-F238E27FC236}">
                <a16:creationId xmlns:a16="http://schemas.microsoft.com/office/drawing/2014/main" id="{CE674159-3AA1-41CA-A5F8-2E27055C2458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3" name="$E$110">
            <a:extLst>
              <a:ext uri="{FF2B5EF4-FFF2-40B4-BE49-F238E27FC236}">
                <a16:creationId xmlns:a16="http://schemas.microsoft.com/office/drawing/2014/main" id="{89ADB36D-BD34-4F1A-9BD3-CC80768BAFC1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4" name="$E$110">
            <a:extLst>
              <a:ext uri="{FF2B5EF4-FFF2-40B4-BE49-F238E27FC236}">
                <a16:creationId xmlns:a16="http://schemas.microsoft.com/office/drawing/2014/main" id="{5E9AB75A-72FB-430D-B7FE-013309232E5B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5" name="$E$110">
            <a:extLst>
              <a:ext uri="{FF2B5EF4-FFF2-40B4-BE49-F238E27FC236}">
                <a16:creationId xmlns:a16="http://schemas.microsoft.com/office/drawing/2014/main" id="{CB998F35-6A13-47D8-BDE7-9CC2091B4C8C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6" name="$E$110">
            <a:extLst>
              <a:ext uri="{FF2B5EF4-FFF2-40B4-BE49-F238E27FC236}">
                <a16:creationId xmlns:a16="http://schemas.microsoft.com/office/drawing/2014/main" id="{05143934-7798-4F24-9D08-3D2B68FAA6F4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7" name="$E$110">
            <a:extLst>
              <a:ext uri="{FF2B5EF4-FFF2-40B4-BE49-F238E27FC236}">
                <a16:creationId xmlns:a16="http://schemas.microsoft.com/office/drawing/2014/main" id="{F23D979A-6B93-4DA1-AFBA-11C4B5707DB1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8" name="$E$110">
            <a:extLst>
              <a:ext uri="{FF2B5EF4-FFF2-40B4-BE49-F238E27FC236}">
                <a16:creationId xmlns:a16="http://schemas.microsoft.com/office/drawing/2014/main" id="{6409F719-9953-48A3-A36C-486BC9E1A261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59" name="$E$110">
            <a:extLst>
              <a:ext uri="{FF2B5EF4-FFF2-40B4-BE49-F238E27FC236}">
                <a16:creationId xmlns:a16="http://schemas.microsoft.com/office/drawing/2014/main" id="{4AEAB695-005B-49AF-B121-BC557237758E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0" name="$E$110">
            <a:extLst>
              <a:ext uri="{FF2B5EF4-FFF2-40B4-BE49-F238E27FC236}">
                <a16:creationId xmlns:a16="http://schemas.microsoft.com/office/drawing/2014/main" id="{423FF685-9D87-41DC-BC65-2A0DFBD499D1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1" name="$E$110">
            <a:extLst>
              <a:ext uri="{FF2B5EF4-FFF2-40B4-BE49-F238E27FC236}">
                <a16:creationId xmlns:a16="http://schemas.microsoft.com/office/drawing/2014/main" id="{8C9BDB49-8F53-4B5C-961F-1B2001B216AB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2" name="$E$110">
            <a:extLst>
              <a:ext uri="{FF2B5EF4-FFF2-40B4-BE49-F238E27FC236}">
                <a16:creationId xmlns:a16="http://schemas.microsoft.com/office/drawing/2014/main" id="{4915E62B-41B6-4085-BF2A-3AA38912A89F}"/>
              </a:ext>
            </a:extLst>
          </xdr:cNvPr>
          <xdr:cNvSpPr/>
        </xdr:nvSpPr>
        <xdr:spPr>
          <a:xfrm>
            <a:off x="177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3" name="$E$110">
            <a:extLst>
              <a:ext uri="{FF2B5EF4-FFF2-40B4-BE49-F238E27FC236}">
                <a16:creationId xmlns:a16="http://schemas.microsoft.com/office/drawing/2014/main" id="{8DADD245-BC0B-4D46-89AC-D5A3BE22B966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4" name="$E$110">
            <a:extLst>
              <a:ext uri="{FF2B5EF4-FFF2-40B4-BE49-F238E27FC236}">
                <a16:creationId xmlns:a16="http://schemas.microsoft.com/office/drawing/2014/main" id="{12EF4360-1288-46D9-8B63-7EFA79AB65F6}"/>
              </a:ext>
            </a:extLst>
          </xdr:cNvPr>
          <xdr:cNvSpPr/>
        </xdr:nvSpPr>
        <xdr:spPr>
          <a:xfrm>
            <a:off x="203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5" name="$E$110">
            <a:extLst>
              <a:ext uri="{FF2B5EF4-FFF2-40B4-BE49-F238E27FC236}">
                <a16:creationId xmlns:a16="http://schemas.microsoft.com/office/drawing/2014/main" id="{9304BD6E-EBA3-4C04-8393-B2ACD312962F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6" name="$E$110">
            <a:extLst>
              <a:ext uri="{FF2B5EF4-FFF2-40B4-BE49-F238E27FC236}">
                <a16:creationId xmlns:a16="http://schemas.microsoft.com/office/drawing/2014/main" id="{EB68904E-4CD8-4A2C-8111-EFF7E14A381E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7" name="$E$110">
            <a:extLst>
              <a:ext uri="{FF2B5EF4-FFF2-40B4-BE49-F238E27FC236}">
                <a16:creationId xmlns:a16="http://schemas.microsoft.com/office/drawing/2014/main" id="{6A50A70F-FF46-4B48-BC25-E1E6FE7F146F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8" name="$E$110">
            <a:extLst>
              <a:ext uri="{FF2B5EF4-FFF2-40B4-BE49-F238E27FC236}">
                <a16:creationId xmlns:a16="http://schemas.microsoft.com/office/drawing/2014/main" id="{B2232358-1A6F-4FA0-B0F6-0350C2C9EC98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69" name="$E$110">
            <a:extLst>
              <a:ext uri="{FF2B5EF4-FFF2-40B4-BE49-F238E27FC236}">
                <a16:creationId xmlns:a16="http://schemas.microsoft.com/office/drawing/2014/main" id="{CA516026-8442-409F-AA41-2D826F78DC43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0" name="$E$110">
            <a:extLst>
              <a:ext uri="{FF2B5EF4-FFF2-40B4-BE49-F238E27FC236}">
                <a16:creationId xmlns:a16="http://schemas.microsoft.com/office/drawing/2014/main" id="{50234327-EC2B-468D-819F-D75344FCC3FB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1" name="$E$110">
            <a:extLst>
              <a:ext uri="{FF2B5EF4-FFF2-40B4-BE49-F238E27FC236}">
                <a16:creationId xmlns:a16="http://schemas.microsoft.com/office/drawing/2014/main" id="{2FA875A1-D6CC-4C4D-9237-69DF83626B61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2" name="$E$110">
            <a:extLst>
              <a:ext uri="{FF2B5EF4-FFF2-40B4-BE49-F238E27FC236}">
                <a16:creationId xmlns:a16="http://schemas.microsoft.com/office/drawing/2014/main" id="{DB830B07-342A-46E4-A882-88A18AC39594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3" name="$E$110">
            <a:extLst>
              <a:ext uri="{FF2B5EF4-FFF2-40B4-BE49-F238E27FC236}">
                <a16:creationId xmlns:a16="http://schemas.microsoft.com/office/drawing/2014/main" id="{1F3DABDE-81A6-4E0D-8FF1-D0653087E62A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4" name="$E$110">
            <a:extLst>
              <a:ext uri="{FF2B5EF4-FFF2-40B4-BE49-F238E27FC236}">
                <a16:creationId xmlns:a16="http://schemas.microsoft.com/office/drawing/2014/main" id="{60FA4AC4-504C-4DCB-AAC6-4662132BE343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5" name="$E$110">
            <a:extLst>
              <a:ext uri="{FF2B5EF4-FFF2-40B4-BE49-F238E27FC236}">
                <a16:creationId xmlns:a16="http://schemas.microsoft.com/office/drawing/2014/main" id="{E8A2EFA2-D9F7-4472-A15A-69A1FE044E72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6" name="$E$110">
            <a:extLst>
              <a:ext uri="{FF2B5EF4-FFF2-40B4-BE49-F238E27FC236}">
                <a16:creationId xmlns:a16="http://schemas.microsoft.com/office/drawing/2014/main" id="{A54B8952-48B3-4AD6-AE79-A650AA447013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7" name="$E$110">
            <a:extLst>
              <a:ext uri="{FF2B5EF4-FFF2-40B4-BE49-F238E27FC236}">
                <a16:creationId xmlns:a16="http://schemas.microsoft.com/office/drawing/2014/main" id="{9EF05E69-1CED-44F9-9511-3E567BA9E7B4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8" name="$E$110">
            <a:extLst>
              <a:ext uri="{FF2B5EF4-FFF2-40B4-BE49-F238E27FC236}">
                <a16:creationId xmlns:a16="http://schemas.microsoft.com/office/drawing/2014/main" id="{A8BFDD93-D3F9-449A-BDB7-FBCCDFD12DF6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79" name="$E$110">
            <a:extLst>
              <a:ext uri="{FF2B5EF4-FFF2-40B4-BE49-F238E27FC236}">
                <a16:creationId xmlns:a16="http://schemas.microsoft.com/office/drawing/2014/main" id="{722C39AD-D5D0-44E2-A01D-5088DDDE0428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0" name="$E$110">
            <a:extLst>
              <a:ext uri="{FF2B5EF4-FFF2-40B4-BE49-F238E27FC236}">
                <a16:creationId xmlns:a16="http://schemas.microsoft.com/office/drawing/2014/main" id="{FF0BCB13-0360-4DB7-8558-605B3E37042D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1" name="$E$110">
            <a:extLst>
              <a:ext uri="{FF2B5EF4-FFF2-40B4-BE49-F238E27FC236}">
                <a16:creationId xmlns:a16="http://schemas.microsoft.com/office/drawing/2014/main" id="{1E893C9C-C5EB-4570-ACEC-2871AA6AF474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2" name="$E$110">
            <a:extLst>
              <a:ext uri="{FF2B5EF4-FFF2-40B4-BE49-F238E27FC236}">
                <a16:creationId xmlns:a16="http://schemas.microsoft.com/office/drawing/2014/main" id="{25F3B74A-D60B-453A-A87F-0E950CFFC114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3" name="$E$110">
            <a:extLst>
              <a:ext uri="{FF2B5EF4-FFF2-40B4-BE49-F238E27FC236}">
                <a16:creationId xmlns:a16="http://schemas.microsoft.com/office/drawing/2014/main" id="{1E26C89F-356A-4E46-AEDE-C29A8A48E4E6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4" name="$E$110">
            <a:extLst>
              <a:ext uri="{FF2B5EF4-FFF2-40B4-BE49-F238E27FC236}">
                <a16:creationId xmlns:a16="http://schemas.microsoft.com/office/drawing/2014/main" id="{0576A72D-43F4-4E3A-8212-C9385505E9CD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5" name="$E$110">
            <a:extLst>
              <a:ext uri="{FF2B5EF4-FFF2-40B4-BE49-F238E27FC236}">
                <a16:creationId xmlns:a16="http://schemas.microsoft.com/office/drawing/2014/main" id="{3AEE1E08-5ACC-4F42-84E1-C61E4D37871E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6" name="$E$110">
            <a:extLst>
              <a:ext uri="{FF2B5EF4-FFF2-40B4-BE49-F238E27FC236}">
                <a16:creationId xmlns:a16="http://schemas.microsoft.com/office/drawing/2014/main" id="{9077C5CD-D585-4ACB-B5C4-A9E985DFC2C0}"/>
              </a:ext>
            </a:extLst>
          </xdr:cNvPr>
          <xdr:cNvSpPr/>
        </xdr:nvSpPr>
        <xdr:spPr>
          <a:xfrm>
            <a:off x="381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7" name="$E$110">
            <a:extLst>
              <a:ext uri="{FF2B5EF4-FFF2-40B4-BE49-F238E27FC236}">
                <a16:creationId xmlns:a16="http://schemas.microsoft.com/office/drawing/2014/main" id="{41D0ABFB-BC00-47A8-AA73-C365DD61E0E2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8" name="$E$110">
            <a:extLst>
              <a:ext uri="{FF2B5EF4-FFF2-40B4-BE49-F238E27FC236}">
                <a16:creationId xmlns:a16="http://schemas.microsoft.com/office/drawing/2014/main" id="{7E1DF281-CD8C-4931-A125-DB663C55F874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89" name="$E$110">
            <a:extLst>
              <a:ext uri="{FF2B5EF4-FFF2-40B4-BE49-F238E27FC236}">
                <a16:creationId xmlns:a16="http://schemas.microsoft.com/office/drawing/2014/main" id="{13E60F79-79F6-4490-8991-98AF1BC1645F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0" name="$E$110">
            <a:extLst>
              <a:ext uri="{FF2B5EF4-FFF2-40B4-BE49-F238E27FC236}">
                <a16:creationId xmlns:a16="http://schemas.microsoft.com/office/drawing/2014/main" id="{6E7A48B9-C6D0-417A-9B95-34DE9E1B2AC1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1" name="$E$110">
            <a:extLst>
              <a:ext uri="{FF2B5EF4-FFF2-40B4-BE49-F238E27FC236}">
                <a16:creationId xmlns:a16="http://schemas.microsoft.com/office/drawing/2014/main" id="{613A0F20-C779-4C82-9D2B-F2D61E2E4F9B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2" name="$E$110">
            <a:extLst>
              <a:ext uri="{FF2B5EF4-FFF2-40B4-BE49-F238E27FC236}">
                <a16:creationId xmlns:a16="http://schemas.microsoft.com/office/drawing/2014/main" id="{69AE8AEA-BA0E-42F4-8800-3DA69D4AC177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3" name="$E$110">
            <a:extLst>
              <a:ext uri="{FF2B5EF4-FFF2-40B4-BE49-F238E27FC236}">
                <a16:creationId xmlns:a16="http://schemas.microsoft.com/office/drawing/2014/main" id="{AF553FEB-1EF4-47DA-97FA-F47BB1FD8278}"/>
              </a:ext>
            </a:extLst>
          </xdr:cNvPr>
          <xdr:cNvSpPr/>
        </xdr:nvSpPr>
        <xdr:spPr>
          <a:xfrm>
            <a:off x="139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4" name="$E$110">
            <a:extLst>
              <a:ext uri="{FF2B5EF4-FFF2-40B4-BE49-F238E27FC236}">
                <a16:creationId xmlns:a16="http://schemas.microsoft.com/office/drawing/2014/main" id="{D77178DA-DCF9-4A8A-91B7-FD87D04E3DDB}"/>
              </a:ext>
            </a:extLst>
          </xdr:cNvPr>
          <xdr:cNvSpPr/>
        </xdr:nvSpPr>
        <xdr:spPr>
          <a:xfrm>
            <a:off x="152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5" name="$E$110">
            <a:extLst>
              <a:ext uri="{FF2B5EF4-FFF2-40B4-BE49-F238E27FC236}">
                <a16:creationId xmlns:a16="http://schemas.microsoft.com/office/drawing/2014/main" id="{9BB13473-4E47-47C3-BA86-4CCF6003770A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6" name="$E$110">
            <a:extLst>
              <a:ext uri="{FF2B5EF4-FFF2-40B4-BE49-F238E27FC236}">
                <a16:creationId xmlns:a16="http://schemas.microsoft.com/office/drawing/2014/main" id="{1F6B551E-70DD-45F4-ABF0-3A00B12704C3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7" name="$E$110">
            <a:extLst>
              <a:ext uri="{FF2B5EF4-FFF2-40B4-BE49-F238E27FC236}">
                <a16:creationId xmlns:a16="http://schemas.microsoft.com/office/drawing/2014/main" id="{2884E5D8-42DE-44A8-9C55-E81272CC2557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8" name="$E$110">
            <a:extLst>
              <a:ext uri="{FF2B5EF4-FFF2-40B4-BE49-F238E27FC236}">
                <a16:creationId xmlns:a16="http://schemas.microsoft.com/office/drawing/2014/main" id="{1BD2C231-AB7C-4966-8499-3D1461C09A47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99" name="$E$110">
            <a:extLst>
              <a:ext uri="{FF2B5EF4-FFF2-40B4-BE49-F238E27FC236}">
                <a16:creationId xmlns:a16="http://schemas.microsoft.com/office/drawing/2014/main" id="{958B20B7-9E16-4842-BE56-BE8EB2C90704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0" name="$E$110">
            <a:extLst>
              <a:ext uri="{FF2B5EF4-FFF2-40B4-BE49-F238E27FC236}">
                <a16:creationId xmlns:a16="http://schemas.microsoft.com/office/drawing/2014/main" id="{4829B3E5-6FCD-4A0B-8976-221C7FF168C4}"/>
              </a:ext>
            </a:extLst>
          </xdr:cNvPr>
          <xdr:cNvSpPr/>
        </xdr:nvSpPr>
        <xdr:spPr>
          <a:xfrm>
            <a:off x="368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1" name="$E$110">
            <a:extLst>
              <a:ext uri="{FF2B5EF4-FFF2-40B4-BE49-F238E27FC236}">
                <a16:creationId xmlns:a16="http://schemas.microsoft.com/office/drawing/2014/main" id="{12D5B116-B389-48B0-8048-C2F7FAE949B4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2" name="$E$110">
            <a:extLst>
              <a:ext uri="{FF2B5EF4-FFF2-40B4-BE49-F238E27FC236}">
                <a16:creationId xmlns:a16="http://schemas.microsoft.com/office/drawing/2014/main" id="{BF44F826-7BC4-4183-BC56-8149ACAAD8E6}"/>
              </a:ext>
            </a:extLst>
          </xdr:cNvPr>
          <xdr:cNvSpPr/>
        </xdr:nvSpPr>
        <xdr:spPr>
          <a:xfrm>
            <a:off x="393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3" name="$E$110">
            <a:extLst>
              <a:ext uri="{FF2B5EF4-FFF2-40B4-BE49-F238E27FC236}">
                <a16:creationId xmlns:a16="http://schemas.microsoft.com/office/drawing/2014/main" id="{12DB42FC-D452-409E-9A18-91EFDD7B9AFD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4" name="$E$110">
            <a:extLst>
              <a:ext uri="{FF2B5EF4-FFF2-40B4-BE49-F238E27FC236}">
                <a16:creationId xmlns:a16="http://schemas.microsoft.com/office/drawing/2014/main" id="{3AD6B6BE-9C61-4573-8A9C-81301E2BCBC1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5" name="$E$110">
            <a:extLst>
              <a:ext uri="{FF2B5EF4-FFF2-40B4-BE49-F238E27FC236}">
                <a16:creationId xmlns:a16="http://schemas.microsoft.com/office/drawing/2014/main" id="{8AB72EE2-DE4D-4C4F-8794-1366A6FE7414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6" name="$E$110">
            <a:extLst>
              <a:ext uri="{FF2B5EF4-FFF2-40B4-BE49-F238E27FC236}">
                <a16:creationId xmlns:a16="http://schemas.microsoft.com/office/drawing/2014/main" id="{DDF662CB-7797-4542-9D57-7DE819863560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7" name="$E$110">
            <a:extLst>
              <a:ext uri="{FF2B5EF4-FFF2-40B4-BE49-F238E27FC236}">
                <a16:creationId xmlns:a16="http://schemas.microsoft.com/office/drawing/2014/main" id="{25E46817-FBB1-4BD9-A52D-E86BF9A9669A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8" name="$E$110">
            <a:extLst>
              <a:ext uri="{FF2B5EF4-FFF2-40B4-BE49-F238E27FC236}">
                <a16:creationId xmlns:a16="http://schemas.microsoft.com/office/drawing/2014/main" id="{884E3A0F-9894-4150-B9FA-210708F225CE}"/>
              </a:ext>
            </a:extLst>
          </xdr:cNvPr>
          <xdr:cNvSpPr/>
        </xdr:nvSpPr>
        <xdr:spPr>
          <a:xfrm>
            <a:off x="190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09" name="$E$110">
            <a:extLst>
              <a:ext uri="{FF2B5EF4-FFF2-40B4-BE49-F238E27FC236}">
                <a16:creationId xmlns:a16="http://schemas.microsoft.com/office/drawing/2014/main" id="{496E10D8-58F8-4032-8CC3-A2C9B43D144D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0" name="$E$110">
            <a:extLst>
              <a:ext uri="{FF2B5EF4-FFF2-40B4-BE49-F238E27FC236}">
                <a16:creationId xmlns:a16="http://schemas.microsoft.com/office/drawing/2014/main" id="{E864F45F-524E-4D07-AF90-6732CCAA00F3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1" name="$E$110">
            <a:extLst>
              <a:ext uri="{FF2B5EF4-FFF2-40B4-BE49-F238E27FC236}">
                <a16:creationId xmlns:a16="http://schemas.microsoft.com/office/drawing/2014/main" id="{232AA7A7-08C8-4B49-83BE-75C9830F682F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2" name="$E$110">
            <a:extLst>
              <a:ext uri="{FF2B5EF4-FFF2-40B4-BE49-F238E27FC236}">
                <a16:creationId xmlns:a16="http://schemas.microsoft.com/office/drawing/2014/main" id="{71C80B31-657F-40B0-A6F2-189A01C29605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3" name="$E$110">
            <a:extLst>
              <a:ext uri="{FF2B5EF4-FFF2-40B4-BE49-F238E27FC236}">
                <a16:creationId xmlns:a16="http://schemas.microsoft.com/office/drawing/2014/main" id="{0E0F2C3D-A96C-48B5-BD00-65A98A663899}"/>
              </a:ext>
            </a:extLst>
          </xdr:cNvPr>
          <xdr:cNvSpPr/>
        </xdr:nvSpPr>
        <xdr:spPr>
          <a:xfrm>
            <a:off x="368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4" name="$E$110">
            <a:extLst>
              <a:ext uri="{FF2B5EF4-FFF2-40B4-BE49-F238E27FC236}">
                <a16:creationId xmlns:a16="http://schemas.microsoft.com/office/drawing/2014/main" id="{A167B5D9-69C7-4DB5-A64B-E9A8EB318321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5" name="$E$110">
            <a:extLst>
              <a:ext uri="{FF2B5EF4-FFF2-40B4-BE49-F238E27FC236}">
                <a16:creationId xmlns:a16="http://schemas.microsoft.com/office/drawing/2014/main" id="{BD282F0F-F309-4844-92EC-82D028166BBD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6" name="$E$110">
            <a:extLst>
              <a:ext uri="{FF2B5EF4-FFF2-40B4-BE49-F238E27FC236}">
                <a16:creationId xmlns:a16="http://schemas.microsoft.com/office/drawing/2014/main" id="{5264E564-7A8D-485C-8FC9-4BDE7905398B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7" name="$E$110">
            <a:extLst>
              <a:ext uri="{FF2B5EF4-FFF2-40B4-BE49-F238E27FC236}">
                <a16:creationId xmlns:a16="http://schemas.microsoft.com/office/drawing/2014/main" id="{00F1CA83-9377-4831-9AE5-61B3EBDBFC2E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8" name="$E$110">
            <a:extLst>
              <a:ext uri="{FF2B5EF4-FFF2-40B4-BE49-F238E27FC236}">
                <a16:creationId xmlns:a16="http://schemas.microsoft.com/office/drawing/2014/main" id="{C7467369-E294-479C-A0C1-C479808EB346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19" name="$E$110">
            <a:extLst>
              <a:ext uri="{FF2B5EF4-FFF2-40B4-BE49-F238E27FC236}">
                <a16:creationId xmlns:a16="http://schemas.microsoft.com/office/drawing/2014/main" id="{BD904B40-6644-4C99-AA81-26D58BC1A60E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0" name="$E$110">
            <a:extLst>
              <a:ext uri="{FF2B5EF4-FFF2-40B4-BE49-F238E27FC236}">
                <a16:creationId xmlns:a16="http://schemas.microsoft.com/office/drawing/2014/main" id="{DAE18689-A8D8-4D10-88C9-2BB1DCAED425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1" name="$E$110">
            <a:extLst>
              <a:ext uri="{FF2B5EF4-FFF2-40B4-BE49-F238E27FC236}">
                <a16:creationId xmlns:a16="http://schemas.microsoft.com/office/drawing/2014/main" id="{CC604348-BBA7-44AF-ABAE-78BA542B633F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2" name="$E$110">
            <a:extLst>
              <a:ext uri="{FF2B5EF4-FFF2-40B4-BE49-F238E27FC236}">
                <a16:creationId xmlns:a16="http://schemas.microsoft.com/office/drawing/2014/main" id="{F1A4F4CE-125A-4117-BF0D-2954AEE97422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3" name="$E$110">
            <a:extLst>
              <a:ext uri="{FF2B5EF4-FFF2-40B4-BE49-F238E27FC236}">
                <a16:creationId xmlns:a16="http://schemas.microsoft.com/office/drawing/2014/main" id="{BC81A266-8614-499F-B7B4-2BD54697735F}"/>
              </a:ext>
            </a:extLst>
          </xdr:cNvPr>
          <xdr:cNvSpPr/>
        </xdr:nvSpPr>
        <xdr:spPr>
          <a:xfrm>
            <a:off x="114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4" name="$E$110">
            <a:extLst>
              <a:ext uri="{FF2B5EF4-FFF2-40B4-BE49-F238E27FC236}">
                <a16:creationId xmlns:a16="http://schemas.microsoft.com/office/drawing/2014/main" id="{27265C58-BC49-4110-BF66-59626CE288F8}"/>
              </a:ext>
            </a:extLst>
          </xdr:cNvPr>
          <xdr:cNvSpPr/>
        </xdr:nvSpPr>
        <xdr:spPr>
          <a:xfrm>
            <a:off x="127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5" name="$E$110">
            <a:extLst>
              <a:ext uri="{FF2B5EF4-FFF2-40B4-BE49-F238E27FC236}">
                <a16:creationId xmlns:a16="http://schemas.microsoft.com/office/drawing/2014/main" id="{BF606CA4-9596-4467-A7FF-31C78139A762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6" name="$E$110">
            <a:extLst>
              <a:ext uri="{FF2B5EF4-FFF2-40B4-BE49-F238E27FC236}">
                <a16:creationId xmlns:a16="http://schemas.microsoft.com/office/drawing/2014/main" id="{52E5B560-6676-45C9-8068-6ECBD18010FD}"/>
              </a:ext>
            </a:extLst>
          </xdr:cNvPr>
          <xdr:cNvSpPr/>
        </xdr:nvSpPr>
        <xdr:spPr>
          <a:xfrm>
            <a:off x="203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7" name="$E$110">
            <a:extLst>
              <a:ext uri="{FF2B5EF4-FFF2-40B4-BE49-F238E27FC236}">
                <a16:creationId xmlns:a16="http://schemas.microsoft.com/office/drawing/2014/main" id="{6A7F2CA0-CD1F-4182-9646-09092BD9C87C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8" name="$E$110">
            <a:extLst>
              <a:ext uri="{FF2B5EF4-FFF2-40B4-BE49-F238E27FC236}">
                <a16:creationId xmlns:a16="http://schemas.microsoft.com/office/drawing/2014/main" id="{CB6A9973-A387-45DC-80DD-BF024A1B9E04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29" name="$E$110">
            <a:extLst>
              <a:ext uri="{FF2B5EF4-FFF2-40B4-BE49-F238E27FC236}">
                <a16:creationId xmlns:a16="http://schemas.microsoft.com/office/drawing/2014/main" id="{23C21542-FDFA-463C-B99A-61F6D617F3A6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0" name="$E$110">
            <a:extLst>
              <a:ext uri="{FF2B5EF4-FFF2-40B4-BE49-F238E27FC236}">
                <a16:creationId xmlns:a16="http://schemas.microsoft.com/office/drawing/2014/main" id="{4FA98B22-3D4B-44AE-9065-4B884951835B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1" name="$E$110">
            <a:extLst>
              <a:ext uri="{FF2B5EF4-FFF2-40B4-BE49-F238E27FC236}">
                <a16:creationId xmlns:a16="http://schemas.microsoft.com/office/drawing/2014/main" id="{5CB65E8F-C216-4833-AE99-6EAE9C71249D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2" name="$E$110">
            <a:extLst>
              <a:ext uri="{FF2B5EF4-FFF2-40B4-BE49-F238E27FC236}">
                <a16:creationId xmlns:a16="http://schemas.microsoft.com/office/drawing/2014/main" id="{F52B4B5F-EA60-476F-B857-ABEBBD56568D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3" name="$E$110">
            <a:extLst>
              <a:ext uri="{FF2B5EF4-FFF2-40B4-BE49-F238E27FC236}">
                <a16:creationId xmlns:a16="http://schemas.microsoft.com/office/drawing/2014/main" id="{0877F023-C319-44B3-93BF-C80B248E73A7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93703</xdr:colOff>
      <xdr:row>108</xdr:row>
      <xdr:rowOff>41312</xdr:rowOff>
    </xdr:from>
    <xdr:to>
      <xdr:col>4</xdr:col>
      <xdr:colOff>1563647</xdr:colOff>
      <xdr:row>108</xdr:row>
      <xdr:rowOff>1511256</xdr:rowOff>
    </xdr:to>
    <xdr:grpSp>
      <xdr:nvGrpSpPr>
        <xdr:cNvPr id="5748" name="$E$109" descr="QuickResponse barcode, level M, version 5, mode binary, 37x37 cells" title="https://centrodecapacitaciondelsur.com/soporte-cardiovascular-avanzado-52702928/">
          <a:extLst>
            <a:ext uri="{FF2B5EF4-FFF2-40B4-BE49-F238E27FC236}">
              <a16:creationId xmlns:a16="http://schemas.microsoft.com/office/drawing/2014/main" id="{B55AD20D-E6B5-42C0-89FD-5AEE83623C3F}"/>
            </a:ext>
          </a:extLst>
        </xdr:cNvPr>
        <xdr:cNvGrpSpPr>
          <a:grpSpLocks noChangeAspect="1"/>
        </xdr:cNvGrpSpPr>
      </xdr:nvGrpSpPr>
      <xdr:grpSpPr>
        <a:xfrm>
          <a:off x="20667703" y="117313112"/>
          <a:ext cx="1469944" cy="1469944"/>
          <a:chOff x="0" y="0"/>
          <a:chExt cx="469900" cy="469900"/>
        </a:xfrm>
      </xdr:grpSpPr>
      <xdr:sp macro="" textlink="">
        <xdr:nvSpPr>
          <xdr:cNvPr id="5035" name="$E$109">
            <a:extLst>
              <a:ext uri="{FF2B5EF4-FFF2-40B4-BE49-F238E27FC236}">
                <a16:creationId xmlns:a16="http://schemas.microsoft.com/office/drawing/2014/main" id="{99114332-E9FC-4DD4-94A8-CF766DD30A74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6" name="$E$109">
            <a:extLst>
              <a:ext uri="{FF2B5EF4-FFF2-40B4-BE49-F238E27FC236}">
                <a16:creationId xmlns:a16="http://schemas.microsoft.com/office/drawing/2014/main" id="{4A445D4A-EED7-4DB5-AF68-B7F5F40EEFB6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7" name="$E$109">
            <a:extLst>
              <a:ext uri="{FF2B5EF4-FFF2-40B4-BE49-F238E27FC236}">
                <a16:creationId xmlns:a16="http://schemas.microsoft.com/office/drawing/2014/main" id="{725FAA30-9C65-4C1C-BC62-81C9AE4B8BF6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8" name="$E$109">
            <a:extLst>
              <a:ext uri="{FF2B5EF4-FFF2-40B4-BE49-F238E27FC236}">
                <a16:creationId xmlns:a16="http://schemas.microsoft.com/office/drawing/2014/main" id="{52A5A5D2-B325-4BA4-B398-1EDF0E9086A1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39" name="$E$109">
            <a:extLst>
              <a:ext uri="{FF2B5EF4-FFF2-40B4-BE49-F238E27FC236}">
                <a16:creationId xmlns:a16="http://schemas.microsoft.com/office/drawing/2014/main" id="{7594FB13-88DB-4840-8A25-3A23CD85C096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0" name="$E$109">
            <a:extLst>
              <a:ext uri="{FF2B5EF4-FFF2-40B4-BE49-F238E27FC236}">
                <a16:creationId xmlns:a16="http://schemas.microsoft.com/office/drawing/2014/main" id="{E134C873-D976-4DA8-8ADE-40DFD4B98F4F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1" name="$E$109">
            <a:extLst>
              <a:ext uri="{FF2B5EF4-FFF2-40B4-BE49-F238E27FC236}">
                <a16:creationId xmlns:a16="http://schemas.microsoft.com/office/drawing/2014/main" id="{8CD9B4A2-3114-4FB9-ADB0-89431A96E8A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2" name="$E$109">
            <a:extLst>
              <a:ext uri="{FF2B5EF4-FFF2-40B4-BE49-F238E27FC236}">
                <a16:creationId xmlns:a16="http://schemas.microsoft.com/office/drawing/2014/main" id="{FE7A9FA1-72B8-4526-BB4F-28326837DB0C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3" name="$E$109">
            <a:extLst>
              <a:ext uri="{FF2B5EF4-FFF2-40B4-BE49-F238E27FC236}">
                <a16:creationId xmlns:a16="http://schemas.microsoft.com/office/drawing/2014/main" id="{3342CAB4-1610-4E5A-BEEA-7165CD254ACD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4" name="$E$109">
            <a:extLst>
              <a:ext uri="{FF2B5EF4-FFF2-40B4-BE49-F238E27FC236}">
                <a16:creationId xmlns:a16="http://schemas.microsoft.com/office/drawing/2014/main" id="{43EC11A0-01E3-40BA-8F6D-0B390EBDA671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5" name="$E$109">
            <a:extLst>
              <a:ext uri="{FF2B5EF4-FFF2-40B4-BE49-F238E27FC236}">
                <a16:creationId xmlns:a16="http://schemas.microsoft.com/office/drawing/2014/main" id="{B765BFF7-7913-4EB4-85DE-204E4E3BA9AC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6" name="$E$109">
            <a:extLst>
              <a:ext uri="{FF2B5EF4-FFF2-40B4-BE49-F238E27FC236}">
                <a16:creationId xmlns:a16="http://schemas.microsoft.com/office/drawing/2014/main" id="{367C80FD-10A7-4545-A605-68C487F6EF15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7" name="$E$109">
            <a:extLst>
              <a:ext uri="{FF2B5EF4-FFF2-40B4-BE49-F238E27FC236}">
                <a16:creationId xmlns:a16="http://schemas.microsoft.com/office/drawing/2014/main" id="{76A92155-8B42-462D-8AE4-7CA78C71FF08}"/>
              </a:ext>
            </a:extLst>
          </xdr:cNvPr>
          <xdr:cNvSpPr/>
        </xdr:nvSpPr>
        <xdr:spPr>
          <a:xfrm>
            <a:off x="266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8" name="$E$109">
            <a:extLst>
              <a:ext uri="{FF2B5EF4-FFF2-40B4-BE49-F238E27FC236}">
                <a16:creationId xmlns:a16="http://schemas.microsoft.com/office/drawing/2014/main" id="{E5A6DD3C-A40A-497E-B2D2-2985B64E1868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49" name="$E$109">
            <a:extLst>
              <a:ext uri="{FF2B5EF4-FFF2-40B4-BE49-F238E27FC236}">
                <a16:creationId xmlns:a16="http://schemas.microsoft.com/office/drawing/2014/main" id="{BD636D1C-E073-4954-B018-76DEE1DA71B6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0" name="$E$109">
            <a:extLst>
              <a:ext uri="{FF2B5EF4-FFF2-40B4-BE49-F238E27FC236}">
                <a16:creationId xmlns:a16="http://schemas.microsoft.com/office/drawing/2014/main" id="{4766BC83-1CA3-4F4C-BD90-357C64BA6649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1" name="$E$109">
            <a:extLst>
              <a:ext uri="{FF2B5EF4-FFF2-40B4-BE49-F238E27FC236}">
                <a16:creationId xmlns:a16="http://schemas.microsoft.com/office/drawing/2014/main" id="{EC0CFED3-8CEA-4302-9F88-9D5FC9B25ADB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2" name="$E$109">
            <a:extLst>
              <a:ext uri="{FF2B5EF4-FFF2-40B4-BE49-F238E27FC236}">
                <a16:creationId xmlns:a16="http://schemas.microsoft.com/office/drawing/2014/main" id="{8540C4CB-08FB-40CA-A35B-67110F0AC4DD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3" name="$E$109">
            <a:extLst>
              <a:ext uri="{FF2B5EF4-FFF2-40B4-BE49-F238E27FC236}">
                <a16:creationId xmlns:a16="http://schemas.microsoft.com/office/drawing/2014/main" id="{7F66DF87-614B-412E-A171-1E1315D56405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4" name="$E$109">
            <a:extLst>
              <a:ext uri="{FF2B5EF4-FFF2-40B4-BE49-F238E27FC236}">
                <a16:creationId xmlns:a16="http://schemas.microsoft.com/office/drawing/2014/main" id="{287D16BF-78A5-4A4C-94B2-A2E050137501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5" name="$E$109">
            <a:extLst>
              <a:ext uri="{FF2B5EF4-FFF2-40B4-BE49-F238E27FC236}">
                <a16:creationId xmlns:a16="http://schemas.microsoft.com/office/drawing/2014/main" id="{CF8CADE7-3BFF-4D72-AF4E-800883680330}"/>
              </a:ext>
            </a:extLst>
          </xdr:cNvPr>
          <xdr:cNvSpPr/>
        </xdr:nvSpPr>
        <xdr:spPr>
          <a:xfrm>
            <a:off x="431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6" name="$E$109">
            <a:extLst>
              <a:ext uri="{FF2B5EF4-FFF2-40B4-BE49-F238E27FC236}">
                <a16:creationId xmlns:a16="http://schemas.microsoft.com/office/drawing/2014/main" id="{C63D03E0-B39F-4DEB-9C31-3F5078480692}"/>
              </a:ext>
            </a:extLst>
          </xdr:cNvPr>
          <xdr:cNvSpPr/>
        </xdr:nvSpPr>
        <xdr:spPr>
          <a:xfrm>
            <a:off x="444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7" name="$E$109">
            <a:extLst>
              <a:ext uri="{FF2B5EF4-FFF2-40B4-BE49-F238E27FC236}">
                <a16:creationId xmlns:a16="http://schemas.microsoft.com/office/drawing/2014/main" id="{4058C57B-CB44-4482-9775-1DACBE53AFCE}"/>
              </a:ext>
            </a:extLst>
          </xdr:cNvPr>
          <xdr:cNvSpPr/>
        </xdr:nvSpPr>
        <xdr:spPr>
          <a:xfrm>
            <a:off x="457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8" name="$E$109">
            <a:extLst>
              <a:ext uri="{FF2B5EF4-FFF2-40B4-BE49-F238E27FC236}">
                <a16:creationId xmlns:a16="http://schemas.microsoft.com/office/drawing/2014/main" id="{FF2B34CF-7513-4341-AF72-90D77F17CFD9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59" name="$E$109">
            <a:extLst>
              <a:ext uri="{FF2B5EF4-FFF2-40B4-BE49-F238E27FC236}">
                <a16:creationId xmlns:a16="http://schemas.microsoft.com/office/drawing/2014/main" id="{7BE88004-886D-4C84-935B-C755038C1EC8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0" name="$E$109">
            <a:extLst>
              <a:ext uri="{FF2B5EF4-FFF2-40B4-BE49-F238E27FC236}">
                <a16:creationId xmlns:a16="http://schemas.microsoft.com/office/drawing/2014/main" id="{3555FC74-C83A-4DBA-A16A-16C5E46422DD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1" name="$E$109">
            <a:extLst>
              <a:ext uri="{FF2B5EF4-FFF2-40B4-BE49-F238E27FC236}">
                <a16:creationId xmlns:a16="http://schemas.microsoft.com/office/drawing/2014/main" id="{EDD7643C-BDC2-43F2-A561-080869944809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2" name="$E$109">
            <a:extLst>
              <a:ext uri="{FF2B5EF4-FFF2-40B4-BE49-F238E27FC236}">
                <a16:creationId xmlns:a16="http://schemas.microsoft.com/office/drawing/2014/main" id="{B33B6832-FB5C-4B7B-920C-78D024249D74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3" name="$E$109">
            <a:extLst>
              <a:ext uri="{FF2B5EF4-FFF2-40B4-BE49-F238E27FC236}">
                <a16:creationId xmlns:a16="http://schemas.microsoft.com/office/drawing/2014/main" id="{ECB89768-B1BA-4A46-B16B-29D188FA26C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4" name="$E$109">
            <a:extLst>
              <a:ext uri="{FF2B5EF4-FFF2-40B4-BE49-F238E27FC236}">
                <a16:creationId xmlns:a16="http://schemas.microsoft.com/office/drawing/2014/main" id="{9F2752B1-CEA7-4E33-9166-935C10B30EF2}"/>
              </a:ext>
            </a:extLst>
          </xdr:cNvPr>
          <xdr:cNvSpPr/>
        </xdr:nvSpPr>
        <xdr:spPr>
          <a:xfrm>
            <a:off x="215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5" name="$E$109">
            <a:extLst>
              <a:ext uri="{FF2B5EF4-FFF2-40B4-BE49-F238E27FC236}">
                <a16:creationId xmlns:a16="http://schemas.microsoft.com/office/drawing/2014/main" id="{2AF110C8-6829-478A-9B23-6A6D9459A122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6" name="$E$109">
            <a:extLst>
              <a:ext uri="{FF2B5EF4-FFF2-40B4-BE49-F238E27FC236}">
                <a16:creationId xmlns:a16="http://schemas.microsoft.com/office/drawing/2014/main" id="{17D85B36-3093-4807-B32D-DD146C0A160D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7" name="$E$109">
            <a:extLst>
              <a:ext uri="{FF2B5EF4-FFF2-40B4-BE49-F238E27FC236}">
                <a16:creationId xmlns:a16="http://schemas.microsoft.com/office/drawing/2014/main" id="{7C45A252-9C9A-41F1-B7A6-5B2718E8A164}"/>
              </a:ext>
            </a:extLst>
          </xdr:cNvPr>
          <xdr:cNvSpPr/>
        </xdr:nvSpPr>
        <xdr:spPr>
          <a:xfrm>
            <a:off x="304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8" name="$E$109">
            <a:extLst>
              <a:ext uri="{FF2B5EF4-FFF2-40B4-BE49-F238E27FC236}">
                <a16:creationId xmlns:a16="http://schemas.microsoft.com/office/drawing/2014/main" id="{062AA8D6-D1C0-46A7-AFEC-6CF7CBF17084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69" name="$E$109">
            <a:extLst>
              <a:ext uri="{FF2B5EF4-FFF2-40B4-BE49-F238E27FC236}">
                <a16:creationId xmlns:a16="http://schemas.microsoft.com/office/drawing/2014/main" id="{10A236DD-F317-454F-9DD8-C4291785A8B7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0" name="$E$109">
            <a:extLst>
              <a:ext uri="{FF2B5EF4-FFF2-40B4-BE49-F238E27FC236}">
                <a16:creationId xmlns:a16="http://schemas.microsoft.com/office/drawing/2014/main" id="{A6CF4B81-36AE-4E92-838F-8700F21BFEB3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1" name="$E$109">
            <a:extLst>
              <a:ext uri="{FF2B5EF4-FFF2-40B4-BE49-F238E27FC236}">
                <a16:creationId xmlns:a16="http://schemas.microsoft.com/office/drawing/2014/main" id="{BD61A53E-2A89-44F4-B824-63825FC1266A}"/>
              </a:ext>
            </a:extLst>
          </xdr:cNvPr>
          <xdr:cNvSpPr/>
        </xdr:nvSpPr>
        <xdr:spPr>
          <a:xfrm>
            <a:off x="457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2" name="$E$109">
            <a:extLst>
              <a:ext uri="{FF2B5EF4-FFF2-40B4-BE49-F238E27FC236}">
                <a16:creationId xmlns:a16="http://schemas.microsoft.com/office/drawing/2014/main" id="{9CE2CA12-8668-416A-80EA-6B690452A751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3" name="$E$109">
            <a:extLst>
              <a:ext uri="{FF2B5EF4-FFF2-40B4-BE49-F238E27FC236}">
                <a16:creationId xmlns:a16="http://schemas.microsoft.com/office/drawing/2014/main" id="{15DDA08A-F4B5-4B2C-9AA0-F01CE7B87591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4" name="$E$109">
            <a:extLst>
              <a:ext uri="{FF2B5EF4-FFF2-40B4-BE49-F238E27FC236}">
                <a16:creationId xmlns:a16="http://schemas.microsoft.com/office/drawing/2014/main" id="{7AA9098F-A0A4-4F08-A849-495AE31386CF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5" name="$E$109">
            <a:extLst>
              <a:ext uri="{FF2B5EF4-FFF2-40B4-BE49-F238E27FC236}">
                <a16:creationId xmlns:a16="http://schemas.microsoft.com/office/drawing/2014/main" id="{EE140DAF-A8E3-4576-9718-798BAE732416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6" name="$E$109">
            <a:extLst>
              <a:ext uri="{FF2B5EF4-FFF2-40B4-BE49-F238E27FC236}">
                <a16:creationId xmlns:a16="http://schemas.microsoft.com/office/drawing/2014/main" id="{2B4D3C56-6B58-44BE-B8D3-A69ED8BB2F87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7" name="$E$109">
            <a:extLst>
              <a:ext uri="{FF2B5EF4-FFF2-40B4-BE49-F238E27FC236}">
                <a16:creationId xmlns:a16="http://schemas.microsoft.com/office/drawing/2014/main" id="{43B56D1A-E4DD-4D16-976C-4B850ABF7428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8" name="$E$109">
            <a:extLst>
              <a:ext uri="{FF2B5EF4-FFF2-40B4-BE49-F238E27FC236}">
                <a16:creationId xmlns:a16="http://schemas.microsoft.com/office/drawing/2014/main" id="{E88E1019-6AB5-46B2-B815-0B4708AB1DB3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79" name="$E$109">
            <a:extLst>
              <a:ext uri="{FF2B5EF4-FFF2-40B4-BE49-F238E27FC236}">
                <a16:creationId xmlns:a16="http://schemas.microsoft.com/office/drawing/2014/main" id="{6DBF09AB-7A16-4D37-A0CB-DF053C0F412C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0" name="$E$109">
            <a:extLst>
              <a:ext uri="{FF2B5EF4-FFF2-40B4-BE49-F238E27FC236}">
                <a16:creationId xmlns:a16="http://schemas.microsoft.com/office/drawing/2014/main" id="{E001DF7A-4D6B-457D-BAA5-F43C78E1C0CB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1" name="$E$109">
            <a:extLst>
              <a:ext uri="{FF2B5EF4-FFF2-40B4-BE49-F238E27FC236}">
                <a16:creationId xmlns:a16="http://schemas.microsoft.com/office/drawing/2014/main" id="{81F7C512-4748-4B94-BF62-2856FA4F1A5D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2" name="$E$109">
            <a:extLst>
              <a:ext uri="{FF2B5EF4-FFF2-40B4-BE49-F238E27FC236}">
                <a16:creationId xmlns:a16="http://schemas.microsoft.com/office/drawing/2014/main" id="{3AE29223-008C-47AD-8EFF-619605C2E87E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3" name="$E$109">
            <a:extLst>
              <a:ext uri="{FF2B5EF4-FFF2-40B4-BE49-F238E27FC236}">
                <a16:creationId xmlns:a16="http://schemas.microsoft.com/office/drawing/2014/main" id="{867259F1-C1A9-41CB-AB06-370793676CC3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4" name="$E$109">
            <a:extLst>
              <a:ext uri="{FF2B5EF4-FFF2-40B4-BE49-F238E27FC236}">
                <a16:creationId xmlns:a16="http://schemas.microsoft.com/office/drawing/2014/main" id="{1F53DC74-4AA8-4D7A-9EC5-0FA5B7BCF979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5" name="$E$109">
            <a:extLst>
              <a:ext uri="{FF2B5EF4-FFF2-40B4-BE49-F238E27FC236}">
                <a16:creationId xmlns:a16="http://schemas.microsoft.com/office/drawing/2014/main" id="{043A4A77-45BB-44BE-875F-B005DCCEEAA4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6" name="$E$109">
            <a:extLst>
              <a:ext uri="{FF2B5EF4-FFF2-40B4-BE49-F238E27FC236}">
                <a16:creationId xmlns:a16="http://schemas.microsoft.com/office/drawing/2014/main" id="{8D192457-8E1D-43CB-9E92-7F75B3B0EB25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7" name="$E$109">
            <a:extLst>
              <a:ext uri="{FF2B5EF4-FFF2-40B4-BE49-F238E27FC236}">
                <a16:creationId xmlns:a16="http://schemas.microsoft.com/office/drawing/2014/main" id="{D5B6D209-667F-4995-A8D6-0EAF4B374BF9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8" name="$E$109">
            <a:extLst>
              <a:ext uri="{FF2B5EF4-FFF2-40B4-BE49-F238E27FC236}">
                <a16:creationId xmlns:a16="http://schemas.microsoft.com/office/drawing/2014/main" id="{B23761F2-F290-43D8-AC90-A4048AE6E41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89" name="$E$109">
            <a:extLst>
              <a:ext uri="{FF2B5EF4-FFF2-40B4-BE49-F238E27FC236}">
                <a16:creationId xmlns:a16="http://schemas.microsoft.com/office/drawing/2014/main" id="{F380974B-8143-416C-B555-7A721C67FE53}"/>
              </a:ext>
            </a:extLst>
          </xdr:cNvPr>
          <xdr:cNvSpPr/>
        </xdr:nvSpPr>
        <xdr:spPr>
          <a:xfrm>
            <a:off x="342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0" name="$E$109">
            <a:extLst>
              <a:ext uri="{FF2B5EF4-FFF2-40B4-BE49-F238E27FC236}">
                <a16:creationId xmlns:a16="http://schemas.microsoft.com/office/drawing/2014/main" id="{C5EA79D5-0B31-439C-B23B-93985A4AA89D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1" name="$E$109">
            <a:extLst>
              <a:ext uri="{FF2B5EF4-FFF2-40B4-BE49-F238E27FC236}">
                <a16:creationId xmlns:a16="http://schemas.microsoft.com/office/drawing/2014/main" id="{F9E0C897-BC2D-4854-9B8E-68AC0AA652B6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2" name="$E$109">
            <a:extLst>
              <a:ext uri="{FF2B5EF4-FFF2-40B4-BE49-F238E27FC236}">
                <a16:creationId xmlns:a16="http://schemas.microsoft.com/office/drawing/2014/main" id="{BF3EA679-C466-4EDF-849D-C4953130304C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3" name="$E$109">
            <a:extLst>
              <a:ext uri="{FF2B5EF4-FFF2-40B4-BE49-F238E27FC236}">
                <a16:creationId xmlns:a16="http://schemas.microsoft.com/office/drawing/2014/main" id="{E7248D27-E057-46C9-80E3-0B9801A1E7CD}"/>
              </a:ext>
            </a:extLst>
          </xdr:cNvPr>
          <xdr:cNvSpPr/>
        </xdr:nvSpPr>
        <xdr:spPr>
          <a:xfrm>
            <a:off x="419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4" name="$E$109">
            <a:extLst>
              <a:ext uri="{FF2B5EF4-FFF2-40B4-BE49-F238E27FC236}">
                <a16:creationId xmlns:a16="http://schemas.microsoft.com/office/drawing/2014/main" id="{1783708C-0CC4-42B6-9E22-FFE6529B4264}"/>
              </a:ext>
            </a:extLst>
          </xdr:cNvPr>
          <xdr:cNvSpPr/>
        </xdr:nvSpPr>
        <xdr:spPr>
          <a:xfrm>
            <a:off x="431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5" name="$E$109">
            <a:extLst>
              <a:ext uri="{FF2B5EF4-FFF2-40B4-BE49-F238E27FC236}">
                <a16:creationId xmlns:a16="http://schemas.microsoft.com/office/drawing/2014/main" id="{A1D82347-6869-4BEE-B875-87F4E4A46A9F}"/>
              </a:ext>
            </a:extLst>
          </xdr:cNvPr>
          <xdr:cNvSpPr/>
        </xdr:nvSpPr>
        <xdr:spPr>
          <a:xfrm>
            <a:off x="457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6" name="$E$109">
            <a:extLst>
              <a:ext uri="{FF2B5EF4-FFF2-40B4-BE49-F238E27FC236}">
                <a16:creationId xmlns:a16="http://schemas.microsoft.com/office/drawing/2014/main" id="{E75F7953-45CB-4519-89FD-87E83D304218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7" name="$E$109">
            <a:extLst>
              <a:ext uri="{FF2B5EF4-FFF2-40B4-BE49-F238E27FC236}">
                <a16:creationId xmlns:a16="http://schemas.microsoft.com/office/drawing/2014/main" id="{40A907C2-A04B-440A-BFAE-79F9998CC431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8" name="$E$109">
            <a:extLst>
              <a:ext uri="{FF2B5EF4-FFF2-40B4-BE49-F238E27FC236}">
                <a16:creationId xmlns:a16="http://schemas.microsoft.com/office/drawing/2014/main" id="{DCE35DFD-8152-4983-9378-2EA17C6B1E9E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099" name="$E$109">
            <a:extLst>
              <a:ext uri="{FF2B5EF4-FFF2-40B4-BE49-F238E27FC236}">
                <a16:creationId xmlns:a16="http://schemas.microsoft.com/office/drawing/2014/main" id="{17B8DE4D-6F24-4CCF-BF23-BE6DDCAEDAD7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0" name="$E$109">
            <a:extLst>
              <a:ext uri="{FF2B5EF4-FFF2-40B4-BE49-F238E27FC236}">
                <a16:creationId xmlns:a16="http://schemas.microsoft.com/office/drawing/2014/main" id="{92E848A8-9824-4B18-A966-8FD9C6BF5828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1" name="$E$109">
            <a:extLst>
              <a:ext uri="{FF2B5EF4-FFF2-40B4-BE49-F238E27FC236}">
                <a16:creationId xmlns:a16="http://schemas.microsoft.com/office/drawing/2014/main" id="{232B9C86-0F9C-4243-B3D0-BE0B81D16194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2" name="$E$109">
            <a:extLst>
              <a:ext uri="{FF2B5EF4-FFF2-40B4-BE49-F238E27FC236}">
                <a16:creationId xmlns:a16="http://schemas.microsoft.com/office/drawing/2014/main" id="{C4F6CC26-2DD8-4A05-AB56-F18810832097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3" name="$E$109">
            <a:extLst>
              <a:ext uri="{FF2B5EF4-FFF2-40B4-BE49-F238E27FC236}">
                <a16:creationId xmlns:a16="http://schemas.microsoft.com/office/drawing/2014/main" id="{B8C7A851-AD27-4A56-9B27-6D67228DB3EC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4" name="$E$109">
            <a:extLst>
              <a:ext uri="{FF2B5EF4-FFF2-40B4-BE49-F238E27FC236}">
                <a16:creationId xmlns:a16="http://schemas.microsoft.com/office/drawing/2014/main" id="{933575E4-F79E-4C90-AC32-3BE40848824A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5" name="$E$109">
            <a:extLst>
              <a:ext uri="{FF2B5EF4-FFF2-40B4-BE49-F238E27FC236}">
                <a16:creationId xmlns:a16="http://schemas.microsoft.com/office/drawing/2014/main" id="{EB432E0B-6FAC-4D09-84AA-DD71284D563C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6" name="$E$109">
            <a:extLst>
              <a:ext uri="{FF2B5EF4-FFF2-40B4-BE49-F238E27FC236}">
                <a16:creationId xmlns:a16="http://schemas.microsoft.com/office/drawing/2014/main" id="{63A18FD2-5DD2-442E-B391-EC255E386B5A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7" name="$E$109">
            <a:extLst>
              <a:ext uri="{FF2B5EF4-FFF2-40B4-BE49-F238E27FC236}">
                <a16:creationId xmlns:a16="http://schemas.microsoft.com/office/drawing/2014/main" id="{1710CA95-8B8A-47F8-95B1-FC0187CD1484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8" name="$E$109">
            <a:extLst>
              <a:ext uri="{FF2B5EF4-FFF2-40B4-BE49-F238E27FC236}">
                <a16:creationId xmlns:a16="http://schemas.microsoft.com/office/drawing/2014/main" id="{260B412F-6B33-462B-B0DA-EF602F035B96}"/>
              </a:ext>
            </a:extLst>
          </xdr:cNvPr>
          <xdr:cNvSpPr/>
        </xdr:nvSpPr>
        <xdr:spPr>
          <a:xfrm>
            <a:off x="266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09" name="$E$109">
            <a:extLst>
              <a:ext uri="{FF2B5EF4-FFF2-40B4-BE49-F238E27FC236}">
                <a16:creationId xmlns:a16="http://schemas.microsoft.com/office/drawing/2014/main" id="{F5B1DEC3-DF15-43D5-A9C8-74C6DDF2CB48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0" name="$E$109">
            <a:extLst>
              <a:ext uri="{FF2B5EF4-FFF2-40B4-BE49-F238E27FC236}">
                <a16:creationId xmlns:a16="http://schemas.microsoft.com/office/drawing/2014/main" id="{C61E1011-DF63-441C-B2B6-2765BAC4D6C9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1" name="$E$109">
            <a:extLst>
              <a:ext uri="{FF2B5EF4-FFF2-40B4-BE49-F238E27FC236}">
                <a16:creationId xmlns:a16="http://schemas.microsoft.com/office/drawing/2014/main" id="{1040CF42-35A0-4526-8B66-FC7D1B7AF3EE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2" name="$E$109">
            <a:extLst>
              <a:ext uri="{FF2B5EF4-FFF2-40B4-BE49-F238E27FC236}">
                <a16:creationId xmlns:a16="http://schemas.microsoft.com/office/drawing/2014/main" id="{7026B0B6-305B-42AE-B616-384A57B1A52C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3" name="$E$109">
            <a:extLst>
              <a:ext uri="{FF2B5EF4-FFF2-40B4-BE49-F238E27FC236}">
                <a16:creationId xmlns:a16="http://schemas.microsoft.com/office/drawing/2014/main" id="{D7FC4F8A-7F96-4F4E-8933-80676C0BFC8C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4" name="$E$109">
            <a:extLst>
              <a:ext uri="{FF2B5EF4-FFF2-40B4-BE49-F238E27FC236}">
                <a16:creationId xmlns:a16="http://schemas.microsoft.com/office/drawing/2014/main" id="{B8E0C986-70E2-4213-8E0E-1A8AA1EDBA22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5" name="$E$109">
            <a:extLst>
              <a:ext uri="{FF2B5EF4-FFF2-40B4-BE49-F238E27FC236}">
                <a16:creationId xmlns:a16="http://schemas.microsoft.com/office/drawing/2014/main" id="{EA2871B5-731A-45F1-9A50-DC32E83A1A65}"/>
              </a:ext>
            </a:extLst>
          </xdr:cNvPr>
          <xdr:cNvSpPr/>
        </xdr:nvSpPr>
        <xdr:spPr>
          <a:xfrm>
            <a:off x="419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6" name="$E$109">
            <a:extLst>
              <a:ext uri="{FF2B5EF4-FFF2-40B4-BE49-F238E27FC236}">
                <a16:creationId xmlns:a16="http://schemas.microsoft.com/office/drawing/2014/main" id="{87D27FB4-5BAE-4B34-A869-1F1E9B7FC3D2}"/>
              </a:ext>
            </a:extLst>
          </xdr:cNvPr>
          <xdr:cNvSpPr/>
        </xdr:nvSpPr>
        <xdr:spPr>
          <a:xfrm>
            <a:off x="431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7" name="$E$109">
            <a:extLst>
              <a:ext uri="{FF2B5EF4-FFF2-40B4-BE49-F238E27FC236}">
                <a16:creationId xmlns:a16="http://schemas.microsoft.com/office/drawing/2014/main" id="{0C1AC9FC-68E6-46AF-AD39-C97579CA84DB}"/>
              </a:ext>
            </a:extLst>
          </xdr:cNvPr>
          <xdr:cNvSpPr/>
        </xdr:nvSpPr>
        <xdr:spPr>
          <a:xfrm>
            <a:off x="457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8" name="$E$109">
            <a:extLst>
              <a:ext uri="{FF2B5EF4-FFF2-40B4-BE49-F238E27FC236}">
                <a16:creationId xmlns:a16="http://schemas.microsoft.com/office/drawing/2014/main" id="{39B0DC6F-CF6B-458E-867A-BEB9405C1BC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19" name="$E$109">
            <a:extLst>
              <a:ext uri="{FF2B5EF4-FFF2-40B4-BE49-F238E27FC236}">
                <a16:creationId xmlns:a16="http://schemas.microsoft.com/office/drawing/2014/main" id="{F40CEDBF-0796-4B19-AFC7-6776F21F1A2C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0" name="$E$109">
            <a:extLst>
              <a:ext uri="{FF2B5EF4-FFF2-40B4-BE49-F238E27FC236}">
                <a16:creationId xmlns:a16="http://schemas.microsoft.com/office/drawing/2014/main" id="{5326BF59-3D04-4729-8591-53948D961692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1" name="$E$109">
            <a:extLst>
              <a:ext uri="{FF2B5EF4-FFF2-40B4-BE49-F238E27FC236}">
                <a16:creationId xmlns:a16="http://schemas.microsoft.com/office/drawing/2014/main" id="{92D81533-0BAB-4408-814E-3B6D662007BE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2" name="$E$109">
            <a:extLst>
              <a:ext uri="{FF2B5EF4-FFF2-40B4-BE49-F238E27FC236}">
                <a16:creationId xmlns:a16="http://schemas.microsoft.com/office/drawing/2014/main" id="{917A9482-2AB5-4439-8829-40B1B1DBF545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3" name="$E$109">
            <a:extLst>
              <a:ext uri="{FF2B5EF4-FFF2-40B4-BE49-F238E27FC236}">
                <a16:creationId xmlns:a16="http://schemas.microsoft.com/office/drawing/2014/main" id="{8571A31B-636E-4128-BC03-C1D87B79AD92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4" name="$E$109">
            <a:extLst>
              <a:ext uri="{FF2B5EF4-FFF2-40B4-BE49-F238E27FC236}">
                <a16:creationId xmlns:a16="http://schemas.microsoft.com/office/drawing/2014/main" id="{DB195EDB-656F-4ED3-9BC3-2AA6A6E2D98D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5" name="$E$109">
            <a:extLst>
              <a:ext uri="{FF2B5EF4-FFF2-40B4-BE49-F238E27FC236}">
                <a16:creationId xmlns:a16="http://schemas.microsoft.com/office/drawing/2014/main" id="{E4631C1B-6AE6-43DE-9152-64C159D282D1}"/>
              </a:ext>
            </a:extLst>
          </xdr:cNvPr>
          <xdr:cNvSpPr/>
        </xdr:nvSpPr>
        <xdr:spPr>
          <a:xfrm>
            <a:off x="165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6" name="$E$109">
            <a:extLst>
              <a:ext uri="{FF2B5EF4-FFF2-40B4-BE49-F238E27FC236}">
                <a16:creationId xmlns:a16="http://schemas.microsoft.com/office/drawing/2014/main" id="{4A676705-4A6B-4542-98D7-27A25EAB219A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7" name="$E$109">
            <a:extLst>
              <a:ext uri="{FF2B5EF4-FFF2-40B4-BE49-F238E27FC236}">
                <a16:creationId xmlns:a16="http://schemas.microsoft.com/office/drawing/2014/main" id="{9BDF398E-C63D-46DC-9FEE-82C2CC447DF4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8" name="$E$109">
            <a:extLst>
              <a:ext uri="{FF2B5EF4-FFF2-40B4-BE49-F238E27FC236}">
                <a16:creationId xmlns:a16="http://schemas.microsoft.com/office/drawing/2014/main" id="{9911389F-FC4D-4F17-A060-32F6322CF5D1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29" name="$E$109">
            <a:extLst>
              <a:ext uri="{FF2B5EF4-FFF2-40B4-BE49-F238E27FC236}">
                <a16:creationId xmlns:a16="http://schemas.microsoft.com/office/drawing/2014/main" id="{FBCDE87F-9C97-47B5-BA2C-305D360381AE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0" name="$E$109">
            <a:extLst>
              <a:ext uri="{FF2B5EF4-FFF2-40B4-BE49-F238E27FC236}">
                <a16:creationId xmlns:a16="http://schemas.microsoft.com/office/drawing/2014/main" id="{C1559382-0319-4276-A88E-9EB795D23453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1" name="$E$109">
            <a:extLst>
              <a:ext uri="{FF2B5EF4-FFF2-40B4-BE49-F238E27FC236}">
                <a16:creationId xmlns:a16="http://schemas.microsoft.com/office/drawing/2014/main" id="{CD5697A6-B809-49FE-913E-48C506FF0C50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2" name="$E$109">
            <a:extLst>
              <a:ext uri="{FF2B5EF4-FFF2-40B4-BE49-F238E27FC236}">
                <a16:creationId xmlns:a16="http://schemas.microsoft.com/office/drawing/2014/main" id="{8B49741F-912D-47FD-9BA5-0F9FF9F4DE3C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3" name="$E$109">
            <a:extLst>
              <a:ext uri="{FF2B5EF4-FFF2-40B4-BE49-F238E27FC236}">
                <a16:creationId xmlns:a16="http://schemas.microsoft.com/office/drawing/2014/main" id="{D8E02981-59CE-4EFF-9A5D-A155FC792589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4" name="$E$109">
            <a:extLst>
              <a:ext uri="{FF2B5EF4-FFF2-40B4-BE49-F238E27FC236}">
                <a16:creationId xmlns:a16="http://schemas.microsoft.com/office/drawing/2014/main" id="{0B100A43-9490-4C2F-87B9-E2662BCFB60F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5" name="$E$109">
            <a:extLst>
              <a:ext uri="{FF2B5EF4-FFF2-40B4-BE49-F238E27FC236}">
                <a16:creationId xmlns:a16="http://schemas.microsoft.com/office/drawing/2014/main" id="{2CE44CB0-768F-462D-BD33-7FD6099436D8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6" name="$E$109">
            <a:extLst>
              <a:ext uri="{FF2B5EF4-FFF2-40B4-BE49-F238E27FC236}">
                <a16:creationId xmlns:a16="http://schemas.microsoft.com/office/drawing/2014/main" id="{A7796317-4670-4DCC-B935-FF643B966A56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7" name="$E$109">
            <a:extLst>
              <a:ext uri="{FF2B5EF4-FFF2-40B4-BE49-F238E27FC236}">
                <a16:creationId xmlns:a16="http://schemas.microsoft.com/office/drawing/2014/main" id="{181E405A-A5D4-40D2-9D42-C9BA1ED4D916}"/>
              </a:ext>
            </a:extLst>
          </xdr:cNvPr>
          <xdr:cNvSpPr/>
        </xdr:nvSpPr>
        <xdr:spPr>
          <a:xfrm>
            <a:off x="419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8" name="$E$109">
            <a:extLst>
              <a:ext uri="{FF2B5EF4-FFF2-40B4-BE49-F238E27FC236}">
                <a16:creationId xmlns:a16="http://schemas.microsoft.com/office/drawing/2014/main" id="{FF41A558-4C5C-4092-A8A3-750820F730DD}"/>
              </a:ext>
            </a:extLst>
          </xdr:cNvPr>
          <xdr:cNvSpPr/>
        </xdr:nvSpPr>
        <xdr:spPr>
          <a:xfrm>
            <a:off x="431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39" name="$E$109">
            <a:extLst>
              <a:ext uri="{FF2B5EF4-FFF2-40B4-BE49-F238E27FC236}">
                <a16:creationId xmlns:a16="http://schemas.microsoft.com/office/drawing/2014/main" id="{AF29A0FC-8077-45A4-8D60-D2FA07C40CFB}"/>
              </a:ext>
            </a:extLst>
          </xdr:cNvPr>
          <xdr:cNvSpPr/>
        </xdr:nvSpPr>
        <xdr:spPr>
          <a:xfrm>
            <a:off x="457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0" name="$E$109">
            <a:extLst>
              <a:ext uri="{FF2B5EF4-FFF2-40B4-BE49-F238E27FC236}">
                <a16:creationId xmlns:a16="http://schemas.microsoft.com/office/drawing/2014/main" id="{867C7EC6-15B3-42F9-87AD-F7B13C997EE2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1" name="$E$109">
            <a:extLst>
              <a:ext uri="{FF2B5EF4-FFF2-40B4-BE49-F238E27FC236}">
                <a16:creationId xmlns:a16="http://schemas.microsoft.com/office/drawing/2014/main" id="{C9F07068-5669-4847-8FFF-5A1CAE953617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2" name="$E$109">
            <a:extLst>
              <a:ext uri="{FF2B5EF4-FFF2-40B4-BE49-F238E27FC236}">
                <a16:creationId xmlns:a16="http://schemas.microsoft.com/office/drawing/2014/main" id="{D2488830-AEAA-4F7E-BBEC-1F99361E5E21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3" name="$E$109">
            <a:extLst>
              <a:ext uri="{FF2B5EF4-FFF2-40B4-BE49-F238E27FC236}">
                <a16:creationId xmlns:a16="http://schemas.microsoft.com/office/drawing/2014/main" id="{0BD6A93D-1BD0-4A7B-82AB-E846C2E88DDC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4" name="$E$109">
            <a:extLst>
              <a:ext uri="{FF2B5EF4-FFF2-40B4-BE49-F238E27FC236}">
                <a16:creationId xmlns:a16="http://schemas.microsoft.com/office/drawing/2014/main" id="{FC3D7D2D-C84C-499A-B902-B31002938E3F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5" name="$E$109">
            <a:extLst>
              <a:ext uri="{FF2B5EF4-FFF2-40B4-BE49-F238E27FC236}">
                <a16:creationId xmlns:a16="http://schemas.microsoft.com/office/drawing/2014/main" id="{0BF124DF-9B53-47F8-A9A5-D29749F9CEDC}"/>
              </a:ext>
            </a:extLst>
          </xdr:cNvPr>
          <xdr:cNvSpPr/>
        </xdr:nvSpPr>
        <xdr:spPr>
          <a:xfrm>
            <a:off x="165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6" name="$E$109">
            <a:extLst>
              <a:ext uri="{FF2B5EF4-FFF2-40B4-BE49-F238E27FC236}">
                <a16:creationId xmlns:a16="http://schemas.microsoft.com/office/drawing/2014/main" id="{C7446C0E-F427-4677-9547-E875092A001C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7" name="$E$109">
            <a:extLst>
              <a:ext uri="{FF2B5EF4-FFF2-40B4-BE49-F238E27FC236}">
                <a16:creationId xmlns:a16="http://schemas.microsoft.com/office/drawing/2014/main" id="{18ACD5C2-4E59-4001-A450-CAAAB4CC08FF}"/>
              </a:ext>
            </a:extLst>
          </xdr:cNvPr>
          <xdr:cNvSpPr/>
        </xdr:nvSpPr>
        <xdr:spPr>
          <a:xfrm>
            <a:off x="228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8" name="$E$109">
            <a:extLst>
              <a:ext uri="{FF2B5EF4-FFF2-40B4-BE49-F238E27FC236}">
                <a16:creationId xmlns:a16="http://schemas.microsoft.com/office/drawing/2014/main" id="{6283E6FB-0AB5-45B5-9196-EC6AB146489E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49" name="$E$109">
            <a:extLst>
              <a:ext uri="{FF2B5EF4-FFF2-40B4-BE49-F238E27FC236}">
                <a16:creationId xmlns:a16="http://schemas.microsoft.com/office/drawing/2014/main" id="{1FEFFB4B-D9B7-45BF-8E4A-4C76804AB319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0" name="$E$109">
            <a:extLst>
              <a:ext uri="{FF2B5EF4-FFF2-40B4-BE49-F238E27FC236}">
                <a16:creationId xmlns:a16="http://schemas.microsoft.com/office/drawing/2014/main" id="{7696E60C-E1E2-4D4C-B3C7-6F05FC6D9301}"/>
              </a:ext>
            </a:extLst>
          </xdr:cNvPr>
          <xdr:cNvSpPr/>
        </xdr:nvSpPr>
        <xdr:spPr>
          <a:xfrm>
            <a:off x="381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1" name="$E$109">
            <a:extLst>
              <a:ext uri="{FF2B5EF4-FFF2-40B4-BE49-F238E27FC236}">
                <a16:creationId xmlns:a16="http://schemas.microsoft.com/office/drawing/2014/main" id="{A055B1A3-CED6-4266-8FC1-12C3D22BCC23}"/>
              </a:ext>
            </a:extLst>
          </xdr:cNvPr>
          <xdr:cNvSpPr/>
        </xdr:nvSpPr>
        <xdr:spPr>
          <a:xfrm>
            <a:off x="457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2" name="$E$109">
            <a:extLst>
              <a:ext uri="{FF2B5EF4-FFF2-40B4-BE49-F238E27FC236}">
                <a16:creationId xmlns:a16="http://schemas.microsoft.com/office/drawing/2014/main" id="{89A9ED7E-A024-4CC0-AC1F-9CA131D7C1FE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3" name="$E$109">
            <a:extLst>
              <a:ext uri="{FF2B5EF4-FFF2-40B4-BE49-F238E27FC236}">
                <a16:creationId xmlns:a16="http://schemas.microsoft.com/office/drawing/2014/main" id="{C594E84D-FB88-4AA7-AE53-6BB34D47894B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4" name="$E$109">
            <a:extLst>
              <a:ext uri="{FF2B5EF4-FFF2-40B4-BE49-F238E27FC236}">
                <a16:creationId xmlns:a16="http://schemas.microsoft.com/office/drawing/2014/main" id="{368BDBC5-A37B-4B07-B324-6EFA8B09F4B3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5" name="$E$109">
            <a:extLst>
              <a:ext uri="{FF2B5EF4-FFF2-40B4-BE49-F238E27FC236}">
                <a16:creationId xmlns:a16="http://schemas.microsoft.com/office/drawing/2014/main" id="{5B72B31E-C614-4399-91C5-C57A320A7CD8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6" name="$E$109">
            <a:extLst>
              <a:ext uri="{FF2B5EF4-FFF2-40B4-BE49-F238E27FC236}">
                <a16:creationId xmlns:a16="http://schemas.microsoft.com/office/drawing/2014/main" id="{A85C36F4-C4A9-4ADC-B8C4-86EF40B8F4EA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7" name="$E$109">
            <a:extLst>
              <a:ext uri="{FF2B5EF4-FFF2-40B4-BE49-F238E27FC236}">
                <a16:creationId xmlns:a16="http://schemas.microsoft.com/office/drawing/2014/main" id="{46977E7E-39BD-4AC3-8F16-52B72B88EE9E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8" name="$E$109">
            <a:extLst>
              <a:ext uri="{FF2B5EF4-FFF2-40B4-BE49-F238E27FC236}">
                <a16:creationId xmlns:a16="http://schemas.microsoft.com/office/drawing/2014/main" id="{E1F9133B-DA0A-40DD-BC58-9FB427AA6308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59" name="$E$109">
            <a:extLst>
              <a:ext uri="{FF2B5EF4-FFF2-40B4-BE49-F238E27FC236}">
                <a16:creationId xmlns:a16="http://schemas.microsoft.com/office/drawing/2014/main" id="{007427A1-C10E-4F33-8FDC-93A014A30EEE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0" name="$E$109">
            <a:extLst>
              <a:ext uri="{FF2B5EF4-FFF2-40B4-BE49-F238E27FC236}">
                <a16:creationId xmlns:a16="http://schemas.microsoft.com/office/drawing/2014/main" id="{BC348008-6537-4A00-BE75-2E626459E6F9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1" name="$E$109">
            <a:extLst>
              <a:ext uri="{FF2B5EF4-FFF2-40B4-BE49-F238E27FC236}">
                <a16:creationId xmlns:a16="http://schemas.microsoft.com/office/drawing/2014/main" id="{4707D226-BD20-4238-AAD5-7234137A2405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2" name="$E$109">
            <a:extLst>
              <a:ext uri="{FF2B5EF4-FFF2-40B4-BE49-F238E27FC236}">
                <a16:creationId xmlns:a16="http://schemas.microsoft.com/office/drawing/2014/main" id="{D4AFF659-BFEA-4939-9320-B6074B5D1F22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3" name="$E$109">
            <a:extLst>
              <a:ext uri="{FF2B5EF4-FFF2-40B4-BE49-F238E27FC236}">
                <a16:creationId xmlns:a16="http://schemas.microsoft.com/office/drawing/2014/main" id="{C22CD05D-74FA-4751-86FF-8DA20607C1F6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4" name="$E$109">
            <a:extLst>
              <a:ext uri="{FF2B5EF4-FFF2-40B4-BE49-F238E27FC236}">
                <a16:creationId xmlns:a16="http://schemas.microsoft.com/office/drawing/2014/main" id="{2EDE5FCC-EF8E-4143-B977-2924A8385BDD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5" name="$E$109">
            <a:extLst>
              <a:ext uri="{FF2B5EF4-FFF2-40B4-BE49-F238E27FC236}">
                <a16:creationId xmlns:a16="http://schemas.microsoft.com/office/drawing/2014/main" id="{35E3EB45-CE13-470F-834A-84C78351D556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6" name="$E$109">
            <a:extLst>
              <a:ext uri="{FF2B5EF4-FFF2-40B4-BE49-F238E27FC236}">
                <a16:creationId xmlns:a16="http://schemas.microsoft.com/office/drawing/2014/main" id="{48151124-0766-4484-99E8-564F12BE524B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7" name="$E$109">
            <a:extLst>
              <a:ext uri="{FF2B5EF4-FFF2-40B4-BE49-F238E27FC236}">
                <a16:creationId xmlns:a16="http://schemas.microsoft.com/office/drawing/2014/main" id="{EE78C1DE-E593-4D9C-9000-FDB8E44736DE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8" name="$E$109">
            <a:extLst>
              <a:ext uri="{FF2B5EF4-FFF2-40B4-BE49-F238E27FC236}">
                <a16:creationId xmlns:a16="http://schemas.microsoft.com/office/drawing/2014/main" id="{40BFF97D-6953-4014-8623-6E912CD30E51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69" name="$E$109">
            <a:extLst>
              <a:ext uri="{FF2B5EF4-FFF2-40B4-BE49-F238E27FC236}">
                <a16:creationId xmlns:a16="http://schemas.microsoft.com/office/drawing/2014/main" id="{893D0F81-B000-4F92-8A8F-EAEBD9CD55FF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0" name="$E$109">
            <a:extLst>
              <a:ext uri="{FF2B5EF4-FFF2-40B4-BE49-F238E27FC236}">
                <a16:creationId xmlns:a16="http://schemas.microsoft.com/office/drawing/2014/main" id="{1883573F-D3D8-4393-B17D-FD4788F52364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1" name="$E$109">
            <a:extLst>
              <a:ext uri="{FF2B5EF4-FFF2-40B4-BE49-F238E27FC236}">
                <a16:creationId xmlns:a16="http://schemas.microsoft.com/office/drawing/2014/main" id="{F9019DDD-F018-4614-874E-34C01F71AA0B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2" name="$E$109">
            <a:extLst>
              <a:ext uri="{FF2B5EF4-FFF2-40B4-BE49-F238E27FC236}">
                <a16:creationId xmlns:a16="http://schemas.microsoft.com/office/drawing/2014/main" id="{B6C7E6E1-02D2-409F-BFE2-5907B431B75D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3" name="$E$109">
            <a:extLst>
              <a:ext uri="{FF2B5EF4-FFF2-40B4-BE49-F238E27FC236}">
                <a16:creationId xmlns:a16="http://schemas.microsoft.com/office/drawing/2014/main" id="{DE10BC9A-CBE8-4F51-9FB4-8903F949A462}"/>
              </a:ext>
            </a:extLst>
          </xdr:cNvPr>
          <xdr:cNvSpPr/>
        </xdr:nvSpPr>
        <xdr:spPr>
          <a:xfrm>
            <a:off x="419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4" name="$E$109">
            <a:extLst>
              <a:ext uri="{FF2B5EF4-FFF2-40B4-BE49-F238E27FC236}">
                <a16:creationId xmlns:a16="http://schemas.microsoft.com/office/drawing/2014/main" id="{E98A93CD-9DC7-48CB-BE10-E49D4B811C65}"/>
              </a:ext>
            </a:extLst>
          </xdr:cNvPr>
          <xdr:cNvSpPr/>
        </xdr:nvSpPr>
        <xdr:spPr>
          <a:xfrm>
            <a:off x="431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5" name="$E$109">
            <a:extLst>
              <a:ext uri="{FF2B5EF4-FFF2-40B4-BE49-F238E27FC236}">
                <a16:creationId xmlns:a16="http://schemas.microsoft.com/office/drawing/2014/main" id="{8731E1C9-131A-4DDE-B358-E1B10E41C178}"/>
              </a:ext>
            </a:extLst>
          </xdr:cNvPr>
          <xdr:cNvSpPr/>
        </xdr:nvSpPr>
        <xdr:spPr>
          <a:xfrm>
            <a:off x="444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6" name="$E$109">
            <a:extLst>
              <a:ext uri="{FF2B5EF4-FFF2-40B4-BE49-F238E27FC236}">
                <a16:creationId xmlns:a16="http://schemas.microsoft.com/office/drawing/2014/main" id="{0F7A43A8-4277-4708-9E5E-AD050D630B1B}"/>
              </a:ext>
            </a:extLst>
          </xdr:cNvPr>
          <xdr:cNvSpPr/>
        </xdr:nvSpPr>
        <xdr:spPr>
          <a:xfrm>
            <a:off x="457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7" name="$E$109">
            <a:extLst>
              <a:ext uri="{FF2B5EF4-FFF2-40B4-BE49-F238E27FC236}">
                <a16:creationId xmlns:a16="http://schemas.microsoft.com/office/drawing/2014/main" id="{5055D7BD-6BEE-4F7F-A6D9-197B1DF4F66C}"/>
              </a:ext>
            </a:extLst>
          </xdr:cNvPr>
          <xdr:cNvSpPr/>
        </xdr:nvSpPr>
        <xdr:spPr>
          <a:xfrm>
            <a:off x="101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8" name="$E$109">
            <a:extLst>
              <a:ext uri="{FF2B5EF4-FFF2-40B4-BE49-F238E27FC236}">
                <a16:creationId xmlns:a16="http://schemas.microsoft.com/office/drawing/2014/main" id="{CA785E96-0E92-4DDE-AD85-6EF6C7948105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79" name="$E$109">
            <a:extLst>
              <a:ext uri="{FF2B5EF4-FFF2-40B4-BE49-F238E27FC236}">
                <a16:creationId xmlns:a16="http://schemas.microsoft.com/office/drawing/2014/main" id="{741A4A09-1175-4346-A531-66F3686E8E64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0" name="$E$109">
            <a:extLst>
              <a:ext uri="{FF2B5EF4-FFF2-40B4-BE49-F238E27FC236}">
                <a16:creationId xmlns:a16="http://schemas.microsoft.com/office/drawing/2014/main" id="{88A3BB8B-EEAC-48FD-A398-4A45D49F2ECE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1" name="$E$109">
            <a:extLst>
              <a:ext uri="{FF2B5EF4-FFF2-40B4-BE49-F238E27FC236}">
                <a16:creationId xmlns:a16="http://schemas.microsoft.com/office/drawing/2014/main" id="{72876818-E580-44F7-B50E-63E9AC2F83B5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2" name="$E$109">
            <a:extLst>
              <a:ext uri="{FF2B5EF4-FFF2-40B4-BE49-F238E27FC236}">
                <a16:creationId xmlns:a16="http://schemas.microsoft.com/office/drawing/2014/main" id="{B48AF8AA-407E-4801-B627-3DEB7A1D51F4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3" name="$E$109">
            <a:extLst>
              <a:ext uri="{FF2B5EF4-FFF2-40B4-BE49-F238E27FC236}">
                <a16:creationId xmlns:a16="http://schemas.microsoft.com/office/drawing/2014/main" id="{8E3442FD-FC3F-45AF-927A-0DB943B3043C}"/>
              </a:ext>
            </a:extLst>
          </xdr:cNvPr>
          <xdr:cNvSpPr/>
        </xdr:nvSpPr>
        <xdr:spPr>
          <a:xfrm>
            <a:off x="279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4" name="$E$109">
            <a:extLst>
              <a:ext uri="{FF2B5EF4-FFF2-40B4-BE49-F238E27FC236}">
                <a16:creationId xmlns:a16="http://schemas.microsoft.com/office/drawing/2014/main" id="{DBE339BB-C8B4-4EBF-B517-7455CA17EFDC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5" name="$E$109">
            <a:extLst>
              <a:ext uri="{FF2B5EF4-FFF2-40B4-BE49-F238E27FC236}">
                <a16:creationId xmlns:a16="http://schemas.microsoft.com/office/drawing/2014/main" id="{FD9321E9-C3BD-4F91-9400-11BCE280A7B1}"/>
              </a:ext>
            </a:extLst>
          </xdr:cNvPr>
          <xdr:cNvSpPr/>
        </xdr:nvSpPr>
        <xdr:spPr>
          <a:xfrm>
            <a:off x="355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6" name="$E$109">
            <a:extLst>
              <a:ext uri="{FF2B5EF4-FFF2-40B4-BE49-F238E27FC236}">
                <a16:creationId xmlns:a16="http://schemas.microsoft.com/office/drawing/2014/main" id="{4A5C1BD9-44D3-439B-A632-87AE9D5D1A31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7" name="$E$109">
            <a:extLst>
              <a:ext uri="{FF2B5EF4-FFF2-40B4-BE49-F238E27FC236}">
                <a16:creationId xmlns:a16="http://schemas.microsoft.com/office/drawing/2014/main" id="{2C75D45B-289C-47A6-91E0-029AFA5BA145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8" name="$E$109">
            <a:extLst>
              <a:ext uri="{FF2B5EF4-FFF2-40B4-BE49-F238E27FC236}">
                <a16:creationId xmlns:a16="http://schemas.microsoft.com/office/drawing/2014/main" id="{6EF51168-ED51-44BE-B3F2-46F2531A1C28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89" name="$E$109">
            <a:extLst>
              <a:ext uri="{FF2B5EF4-FFF2-40B4-BE49-F238E27FC236}">
                <a16:creationId xmlns:a16="http://schemas.microsoft.com/office/drawing/2014/main" id="{97CE27BD-7A46-4B2F-B16A-7CE9F8C642CB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0" name="$E$109">
            <a:extLst>
              <a:ext uri="{FF2B5EF4-FFF2-40B4-BE49-F238E27FC236}">
                <a16:creationId xmlns:a16="http://schemas.microsoft.com/office/drawing/2014/main" id="{2EF02431-94B4-4945-A7B1-E481801F6EF3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1" name="$E$109">
            <a:extLst>
              <a:ext uri="{FF2B5EF4-FFF2-40B4-BE49-F238E27FC236}">
                <a16:creationId xmlns:a16="http://schemas.microsoft.com/office/drawing/2014/main" id="{BD3420D9-8553-47E1-8733-6579492FC2B3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2" name="$E$109">
            <a:extLst>
              <a:ext uri="{FF2B5EF4-FFF2-40B4-BE49-F238E27FC236}">
                <a16:creationId xmlns:a16="http://schemas.microsoft.com/office/drawing/2014/main" id="{4F460CF2-5BBE-4315-82B6-2FFAC0F9B89D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3" name="$E$109">
            <a:extLst>
              <a:ext uri="{FF2B5EF4-FFF2-40B4-BE49-F238E27FC236}">
                <a16:creationId xmlns:a16="http://schemas.microsoft.com/office/drawing/2014/main" id="{D4BD9A3B-157F-48AB-AD2C-D78EE1309806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4" name="$E$109">
            <a:extLst>
              <a:ext uri="{FF2B5EF4-FFF2-40B4-BE49-F238E27FC236}">
                <a16:creationId xmlns:a16="http://schemas.microsoft.com/office/drawing/2014/main" id="{32DCEF15-0351-4B90-A95B-17EDF277AE9E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5" name="$E$109">
            <a:extLst>
              <a:ext uri="{FF2B5EF4-FFF2-40B4-BE49-F238E27FC236}">
                <a16:creationId xmlns:a16="http://schemas.microsoft.com/office/drawing/2014/main" id="{7E597A8C-6B6E-4B60-86FB-9F7DCBD3F60A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6" name="$E$109">
            <a:extLst>
              <a:ext uri="{FF2B5EF4-FFF2-40B4-BE49-F238E27FC236}">
                <a16:creationId xmlns:a16="http://schemas.microsoft.com/office/drawing/2014/main" id="{119EBC5E-72A5-4128-9A78-11DF1C188193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7" name="$E$109">
            <a:extLst>
              <a:ext uri="{FF2B5EF4-FFF2-40B4-BE49-F238E27FC236}">
                <a16:creationId xmlns:a16="http://schemas.microsoft.com/office/drawing/2014/main" id="{BCACEBA3-7E8C-44D9-953A-4E29A8E8C5D4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8" name="$E$109">
            <a:extLst>
              <a:ext uri="{FF2B5EF4-FFF2-40B4-BE49-F238E27FC236}">
                <a16:creationId xmlns:a16="http://schemas.microsoft.com/office/drawing/2014/main" id="{396CF202-758A-4ACA-AA87-CAB4CD8D2C65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99" name="$E$109">
            <a:extLst>
              <a:ext uri="{FF2B5EF4-FFF2-40B4-BE49-F238E27FC236}">
                <a16:creationId xmlns:a16="http://schemas.microsoft.com/office/drawing/2014/main" id="{3F968E62-0DFD-4DCF-840A-B489317BEF1E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0" name="$E$109">
            <a:extLst>
              <a:ext uri="{FF2B5EF4-FFF2-40B4-BE49-F238E27FC236}">
                <a16:creationId xmlns:a16="http://schemas.microsoft.com/office/drawing/2014/main" id="{96B5E8FF-B840-44D2-9F47-1EFF9CE678EA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1" name="$E$109">
            <a:extLst>
              <a:ext uri="{FF2B5EF4-FFF2-40B4-BE49-F238E27FC236}">
                <a16:creationId xmlns:a16="http://schemas.microsoft.com/office/drawing/2014/main" id="{1DC77582-226E-4D05-A84B-1250B5012584}"/>
              </a:ext>
            </a:extLst>
          </xdr:cNvPr>
          <xdr:cNvSpPr/>
        </xdr:nvSpPr>
        <xdr:spPr>
          <a:xfrm>
            <a:off x="330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2" name="$E$109">
            <a:extLst>
              <a:ext uri="{FF2B5EF4-FFF2-40B4-BE49-F238E27FC236}">
                <a16:creationId xmlns:a16="http://schemas.microsoft.com/office/drawing/2014/main" id="{567FB1EC-CC14-4C8F-8E63-C7301494C484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3" name="$E$109">
            <a:extLst>
              <a:ext uri="{FF2B5EF4-FFF2-40B4-BE49-F238E27FC236}">
                <a16:creationId xmlns:a16="http://schemas.microsoft.com/office/drawing/2014/main" id="{D9F9640A-1B2C-4C8B-8A7B-F31D7988F96A}"/>
              </a:ext>
            </a:extLst>
          </xdr:cNvPr>
          <xdr:cNvSpPr/>
        </xdr:nvSpPr>
        <xdr:spPr>
          <a:xfrm>
            <a:off x="355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4" name="$E$109">
            <a:extLst>
              <a:ext uri="{FF2B5EF4-FFF2-40B4-BE49-F238E27FC236}">
                <a16:creationId xmlns:a16="http://schemas.microsoft.com/office/drawing/2014/main" id="{4238308D-D9E7-4ADA-B55C-17F68E66115B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5" name="$E$109">
            <a:extLst>
              <a:ext uri="{FF2B5EF4-FFF2-40B4-BE49-F238E27FC236}">
                <a16:creationId xmlns:a16="http://schemas.microsoft.com/office/drawing/2014/main" id="{8A0334C9-9EB5-4F4A-B1AB-9B42F0F6AD03}"/>
              </a:ext>
            </a:extLst>
          </xdr:cNvPr>
          <xdr:cNvSpPr/>
        </xdr:nvSpPr>
        <xdr:spPr>
          <a:xfrm>
            <a:off x="381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6" name="$E$109">
            <a:extLst>
              <a:ext uri="{FF2B5EF4-FFF2-40B4-BE49-F238E27FC236}">
                <a16:creationId xmlns:a16="http://schemas.microsoft.com/office/drawing/2014/main" id="{22778ACA-CB0C-4AC4-9930-596A9D020B27}"/>
              </a:ext>
            </a:extLst>
          </xdr:cNvPr>
          <xdr:cNvSpPr/>
        </xdr:nvSpPr>
        <xdr:spPr>
          <a:xfrm>
            <a:off x="419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7" name="$E$109">
            <a:extLst>
              <a:ext uri="{FF2B5EF4-FFF2-40B4-BE49-F238E27FC236}">
                <a16:creationId xmlns:a16="http://schemas.microsoft.com/office/drawing/2014/main" id="{0D449607-9A5E-4A75-8C86-57FAF956E997}"/>
              </a:ext>
            </a:extLst>
          </xdr:cNvPr>
          <xdr:cNvSpPr/>
        </xdr:nvSpPr>
        <xdr:spPr>
          <a:xfrm>
            <a:off x="431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8" name="$E$109">
            <a:extLst>
              <a:ext uri="{FF2B5EF4-FFF2-40B4-BE49-F238E27FC236}">
                <a16:creationId xmlns:a16="http://schemas.microsoft.com/office/drawing/2014/main" id="{316CAE4E-F6C0-4C89-8790-8A63ED1CA489}"/>
              </a:ext>
            </a:extLst>
          </xdr:cNvPr>
          <xdr:cNvSpPr/>
        </xdr:nvSpPr>
        <xdr:spPr>
          <a:xfrm>
            <a:off x="444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09" name="$E$109">
            <a:extLst>
              <a:ext uri="{FF2B5EF4-FFF2-40B4-BE49-F238E27FC236}">
                <a16:creationId xmlns:a16="http://schemas.microsoft.com/office/drawing/2014/main" id="{2033100B-429E-420D-84F8-2C22B2E043F8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0" name="$E$109">
            <a:extLst>
              <a:ext uri="{FF2B5EF4-FFF2-40B4-BE49-F238E27FC236}">
                <a16:creationId xmlns:a16="http://schemas.microsoft.com/office/drawing/2014/main" id="{5F4B821A-5B58-439D-9973-C017472F8119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1" name="$E$109">
            <a:extLst>
              <a:ext uri="{FF2B5EF4-FFF2-40B4-BE49-F238E27FC236}">
                <a16:creationId xmlns:a16="http://schemas.microsoft.com/office/drawing/2014/main" id="{45E119A9-E788-4271-A8D6-2C3B4A1BBCC4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2" name="$E$109">
            <a:extLst>
              <a:ext uri="{FF2B5EF4-FFF2-40B4-BE49-F238E27FC236}">
                <a16:creationId xmlns:a16="http://schemas.microsoft.com/office/drawing/2014/main" id="{7FC515BF-FA31-4BBB-8E26-1C5E0AA613E0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3" name="$E$109">
            <a:extLst>
              <a:ext uri="{FF2B5EF4-FFF2-40B4-BE49-F238E27FC236}">
                <a16:creationId xmlns:a16="http://schemas.microsoft.com/office/drawing/2014/main" id="{EBB7D19C-392C-4A6F-B7DC-F1AF705688C5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4" name="$E$109">
            <a:extLst>
              <a:ext uri="{FF2B5EF4-FFF2-40B4-BE49-F238E27FC236}">
                <a16:creationId xmlns:a16="http://schemas.microsoft.com/office/drawing/2014/main" id="{C6728656-01C5-4991-8A7E-84B81E7FF7B1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5" name="$E$109">
            <a:extLst>
              <a:ext uri="{FF2B5EF4-FFF2-40B4-BE49-F238E27FC236}">
                <a16:creationId xmlns:a16="http://schemas.microsoft.com/office/drawing/2014/main" id="{CC3E1F36-9AD8-45BC-934E-A195E706B591}"/>
              </a:ext>
            </a:extLst>
          </xdr:cNvPr>
          <xdr:cNvSpPr/>
        </xdr:nvSpPr>
        <xdr:spPr>
          <a:xfrm>
            <a:off x="203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6" name="$E$109">
            <a:extLst>
              <a:ext uri="{FF2B5EF4-FFF2-40B4-BE49-F238E27FC236}">
                <a16:creationId xmlns:a16="http://schemas.microsoft.com/office/drawing/2014/main" id="{34896566-7E5C-4097-AFC3-090886575D11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7" name="$E$109">
            <a:extLst>
              <a:ext uri="{FF2B5EF4-FFF2-40B4-BE49-F238E27FC236}">
                <a16:creationId xmlns:a16="http://schemas.microsoft.com/office/drawing/2014/main" id="{B4FF437C-F985-42B2-858F-569876D441F5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8" name="$E$109">
            <a:extLst>
              <a:ext uri="{FF2B5EF4-FFF2-40B4-BE49-F238E27FC236}">
                <a16:creationId xmlns:a16="http://schemas.microsoft.com/office/drawing/2014/main" id="{10D784EE-064E-4D6B-9566-92F34DCA1F3C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19" name="$E$109">
            <a:extLst>
              <a:ext uri="{FF2B5EF4-FFF2-40B4-BE49-F238E27FC236}">
                <a16:creationId xmlns:a16="http://schemas.microsoft.com/office/drawing/2014/main" id="{195FACCC-4C7A-4D92-9F01-EDD63A8F7FE5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0" name="$E$109">
            <a:extLst>
              <a:ext uri="{FF2B5EF4-FFF2-40B4-BE49-F238E27FC236}">
                <a16:creationId xmlns:a16="http://schemas.microsoft.com/office/drawing/2014/main" id="{5BEEB4E1-70C2-44AE-A995-AA57818A7C59}"/>
              </a:ext>
            </a:extLst>
          </xdr:cNvPr>
          <xdr:cNvSpPr/>
        </xdr:nvSpPr>
        <xdr:spPr>
          <a:xfrm>
            <a:off x="279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1" name="$E$109">
            <a:extLst>
              <a:ext uri="{FF2B5EF4-FFF2-40B4-BE49-F238E27FC236}">
                <a16:creationId xmlns:a16="http://schemas.microsoft.com/office/drawing/2014/main" id="{1558E01B-7863-452D-816A-B46F48086F14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2" name="$E$109">
            <a:extLst>
              <a:ext uri="{FF2B5EF4-FFF2-40B4-BE49-F238E27FC236}">
                <a16:creationId xmlns:a16="http://schemas.microsoft.com/office/drawing/2014/main" id="{CD2FEC13-F9CF-4231-ABE7-2408DC8A176D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3" name="$E$109">
            <a:extLst>
              <a:ext uri="{FF2B5EF4-FFF2-40B4-BE49-F238E27FC236}">
                <a16:creationId xmlns:a16="http://schemas.microsoft.com/office/drawing/2014/main" id="{B844D14C-A9FB-4C3D-BE97-E25342A4B78A}"/>
              </a:ext>
            </a:extLst>
          </xdr:cNvPr>
          <xdr:cNvSpPr/>
        </xdr:nvSpPr>
        <xdr:spPr>
          <a:xfrm>
            <a:off x="342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4" name="$E$109">
            <a:extLst>
              <a:ext uri="{FF2B5EF4-FFF2-40B4-BE49-F238E27FC236}">
                <a16:creationId xmlns:a16="http://schemas.microsoft.com/office/drawing/2014/main" id="{A50330B4-2640-4EC8-B4CC-A0EC9368F201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5" name="$E$109">
            <a:extLst>
              <a:ext uri="{FF2B5EF4-FFF2-40B4-BE49-F238E27FC236}">
                <a16:creationId xmlns:a16="http://schemas.microsoft.com/office/drawing/2014/main" id="{22AB62F9-EEBF-41F4-BAC5-9703C7557C20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6" name="$E$109">
            <a:extLst>
              <a:ext uri="{FF2B5EF4-FFF2-40B4-BE49-F238E27FC236}">
                <a16:creationId xmlns:a16="http://schemas.microsoft.com/office/drawing/2014/main" id="{8E630F2F-3D9B-4C6D-B6CF-431669CBCEEB}"/>
              </a:ext>
            </a:extLst>
          </xdr:cNvPr>
          <xdr:cNvSpPr/>
        </xdr:nvSpPr>
        <xdr:spPr>
          <a:xfrm>
            <a:off x="419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7" name="$E$109">
            <a:extLst>
              <a:ext uri="{FF2B5EF4-FFF2-40B4-BE49-F238E27FC236}">
                <a16:creationId xmlns:a16="http://schemas.microsoft.com/office/drawing/2014/main" id="{F53AD327-AE5C-4375-83FB-D7A5BBDD1335}"/>
              </a:ext>
            </a:extLst>
          </xdr:cNvPr>
          <xdr:cNvSpPr/>
        </xdr:nvSpPr>
        <xdr:spPr>
          <a:xfrm>
            <a:off x="431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8" name="$E$109">
            <a:extLst>
              <a:ext uri="{FF2B5EF4-FFF2-40B4-BE49-F238E27FC236}">
                <a16:creationId xmlns:a16="http://schemas.microsoft.com/office/drawing/2014/main" id="{E4B77940-B0AA-4E87-A711-AA47B36AC219}"/>
              </a:ext>
            </a:extLst>
          </xdr:cNvPr>
          <xdr:cNvSpPr/>
        </xdr:nvSpPr>
        <xdr:spPr>
          <a:xfrm>
            <a:off x="444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29" name="$E$109">
            <a:extLst>
              <a:ext uri="{FF2B5EF4-FFF2-40B4-BE49-F238E27FC236}">
                <a16:creationId xmlns:a16="http://schemas.microsoft.com/office/drawing/2014/main" id="{09248BBD-42B3-4EC5-A905-A8AAEFA35705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0" name="$E$109">
            <a:extLst>
              <a:ext uri="{FF2B5EF4-FFF2-40B4-BE49-F238E27FC236}">
                <a16:creationId xmlns:a16="http://schemas.microsoft.com/office/drawing/2014/main" id="{449221F3-D5A9-47EE-BDA6-FCE11BF4CFBE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1" name="$E$109">
            <a:extLst>
              <a:ext uri="{FF2B5EF4-FFF2-40B4-BE49-F238E27FC236}">
                <a16:creationId xmlns:a16="http://schemas.microsoft.com/office/drawing/2014/main" id="{B97DF357-CC0D-44BF-ABAD-AFB053DBC32B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2" name="$E$109">
            <a:extLst>
              <a:ext uri="{FF2B5EF4-FFF2-40B4-BE49-F238E27FC236}">
                <a16:creationId xmlns:a16="http://schemas.microsoft.com/office/drawing/2014/main" id="{E7D7D078-AE13-4911-9616-82EC3E619A07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3" name="$E$109">
            <a:extLst>
              <a:ext uri="{FF2B5EF4-FFF2-40B4-BE49-F238E27FC236}">
                <a16:creationId xmlns:a16="http://schemas.microsoft.com/office/drawing/2014/main" id="{12C9FC55-419E-4EC1-86F0-AB8A0533188E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4" name="$E$109">
            <a:extLst>
              <a:ext uri="{FF2B5EF4-FFF2-40B4-BE49-F238E27FC236}">
                <a16:creationId xmlns:a16="http://schemas.microsoft.com/office/drawing/2014/main" id="{0D6F24ED-EAE0-4F82-A7FB-79C71292A1A5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5" name="$E$109">
            <a:extLst>
              <a:ext uri="{FF2B5EF4-FFF2-40B4-BE49-F238E27FC236}">
                <a16:creationId xmlns:a16="http://schemas.microsoft.com/office/drawing/2014/main" id="{0324012F-1FF8-4B25-AB09-18A9C9B5CAA4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6" name="$E$109">
            <a:extLst>
              <a:ext uri="{FF2B5EF4-FFF2-40B4-BE49-F238E27FC236}">
                <a16:creationId xmlns:a16="http://schemas.microsoft.com/office/drawing/2014/main" id="{64F72099-10A2-4213-B265-A5A37017F99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7" name="$E$109">
            <a:extLst>
              <a:ext uri="{FF2B5EF4-FFF2-40B4-BE49-F238E27FC236}">
                <a16:creationId xmlns:a16="http://schemas.microsoft.com/office/drawing/2014/main" id="{7BC92DF1-6B9A-4E76-8B21-E309DD9B605B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8" name="$E$109">
            <a:extLst>
              <a:ext uri="{FF2B5EF4-FFF2-40B4-BE49-F238E27FC236}">
                <a16:creationId xmlns:a16="http://schemas.microsoft.com/office/drawing/2014/main" id="{0B9B9E82-A423-4AEC-8725-EE675E5A0356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39" name="$E$109">
            <a:extLst>
              <a:ext uri="{FF2B5EF4-FFF2-40B4-BE49-F238E27FC236}">
                <a16:creationId xmlns:a16="http://schemas.microsoft.com/office/drawing/2014/main" id="{7D93A2A0-4673-4DA2-B643-7E27E63B22B1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0" name="$E$109">
            <a:extLst>
              <a:ext uri="{FF2B5EF4-FFF2-40B4-BE49-F238E27FC236}">
                <a16:creationId xmlns:a16="http://schemas.microsoft.com/office/drawing/2014/main" id="{B2E62068-724F-4F01-8AA9-AC08888AC2CE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1" name="$E$109">
            <a:extLst>
              <a:ext uri="{FF2B5EF4-FFF2-40B4-BE49-F238E27FC236}">
                <a16:creationId xmlns:a16="http://schemas.microsoft.com/office/drawing/2014/main" id="{6EDEA4DB-B1F5-496F-A4B2-A7AB034B931A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2" name="$E$109">
            <a:extLst>
              <a:ext uri="{FF2B5EF4-FFF2-40B4-BE49-F238E27FC236}">
                <a16:creationId xmlns:a16="http://schemas.microsoft.com/office/drawing/2014/main" id="{2136237D-262B-4436-959F-5F5EAF5BFB1F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3" name="$E$109">
            <a:extLst>
              <a:ext uri="{FF2B5EF4-FFF2-40B4-BE49-F238E27FC236}">
                <a16:creationId xmlns:a16="http://schemas.microsoft.com/office/drawing/2014/main" id="{DC4F2D48-E46F-4799-A0CF-21E29EE7C35C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4" name="$E$109">
            <a:extLst>
              <a:ext uri="{FF2B5EF4-FFF2-40B4-BE49-F238E27FC236}">
                <a16:creationId xmlns:a16="http://schemas.microsoft.com/office/drawing/2014/main" id="{58ACBA2D-04C1-4A4C-95CB-8388E92E4767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5" name="$E$109">
            <a:extLst>
              <a:ext uri="{FF2B5EF4-FFF2-40B4-BE49-F238E27FC236}">
                <a16:creationId xmlns:a16="http://schemas.microsoft.com/office/drawing/2014/main" id="{F678576A-2EF5-4607-9E82-3510777B138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6" name="$E$109">
            <a:extLst>
              <a:ext uri="{FF2B5EF4-FFF2-40B4-BE49-F238E27FC236}">
                <a16:creationId xmlns:a16="http://schemas.microsoft.com/office/drawing/2014/main" id="{1B608C7B-BDB8-4F0D-89ED-E7374215FEBB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7" name="$E$109">
            <a:extLst>
              <a:ext uri="{FF2B5EF4-FFF2-40B4-BE49-F238E27FC236}">
                <a16:creationId xmlns:a16="http://schemas.microsoft.com/office/drawing/2014/main" id="{84FBC22B-3181-4C0D-851F-E6305D309042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8" name="$E$109">
            <a:extLst>
              <a:ext uri="{FF2B5EF4-FFF2-40B4-BE49-F238E27FC236}">
                <a16:creationId xmlns:a16="http://schemas.microsoft.com/office/drawing/2014/main" id="{BD1FEB85-3091-4F3B-BD3C-77CAB821E17B}"/>
              </a:ext>
            </a:extLst>
          </xdr:cNvPr>
          <xdr:cNvSpPr/>
        </xdr:nvSpPr>
        <xdr:spPr>
          <a:xfrm>
            <a:off x="381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49" name="$E$109">
            <a:extLst>
              <a:ext uri="{FF2B5EF4-FFF2-40B4-BE49-F238E27FC236}">
                <a16:creationId xmlns:a16="http://schemas.microsoft.com/office/drawing/2014/main" id="{AD64811C-D125-4749-BEB4-76906BC7901F}"/>
              </a:ext>
            </a:extLst>
          </xdr:cNvPr>
          <xdr:cNvSpPr/>
        </xdr:nvSpPr>
        <xdr:spPr>
          <a:xfrm>
            <a:off x="419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0" name="$E$109">
            <a:extLst>
              <a:ext uri="{FF2B5EF4-FFF2-40B4-BE49-F238E27FC236}">
                <a16:creationId xmlns:a16="http://schemas.microsoft.com/office/drawing/2014/main" id="{241ADEB1-D5B4-4980-A72A-ED0EFFE12F55}"/>
              </a:ext>
            </a:extLst>
          </xdr:cNvPr>
          <xdr:cNvSpPr/>
        </xdr:nvSpPr>
        <xdr:spPr>
          <a:xfrm>
            <a:off x="444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1" name="$E$109">
            <a:extLst>
              <a:ext uri="{FF2B5EF4-FFF2-40B4-BE49-F238E27FC236}">
                <a16:creationId xmlns:a16="http://schemas.microsoft.com/office/drawing/2014/main" id="{8303B672-BCA8-4A8E-974E-A49FEA091C13}"/>
              </a:ext>
            </a:extLst>
          </xdr:cNvPr>
          <xdr:cNvSpPr/>
        </xdr:nvSpPr>
        <xdr:spPr>
          <a:xfrm>
            <a:off x="457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2" name="$E$109">
            <a:extLst>
              <a:ext uri="{FF2B5EF4-FFF2-40B4-BE49-F238E27FC236}">
                <a16:creationId xmlns:a16="http://schemas.microsoft.com/office/drawing/2014/main" id="{B5C21854-ED3E-4EA9-913D-EE5E251F67A8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3" name="$E$109">
            <a:extLst>
              <a:ext uri="{FF2B5EF4-FFF2-40B4-BE49-F238E27FC236}">
                <a16:creationId xmlns:a16="http://schemas.microsoft.com/office/drawing/2014/main" id="{2D3D3549-E0D5-436E-B5F4-76149CD3EC0E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4" name="$E$109">
            <a:extLst>
              <a:ext uri="{FF2B5EF4-FFF2-40B4-BE49-F238E27FC236}">
                <a16:creationId xmlns:a16="http://schemas.microsoft.com/office/drawing/2014/main" id="{F57EB585-B9C9-43C9-8F0A-475359C8C9BA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5" name="$E$109">
            <a:extLst>
              <a:ext uri="{FF2B5EF4-FFF2-40B4-BE49-F238E27FC236}">
                <a16:creationId xmlns:a16="http://schemas.microsoft.com/office/drawing/2014/main" id="{9E026ABF-A380-4611-A5B9-9F30C20918B3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6" name="$E$109">
            <a:extLst>
              <a:ext uri="{FF2B5EF4-FFF2-40B4-BE49-F238E27FC236}">
                <a16:creationId xmlns:a16="http://schemas.microsoft.com/office/drawing/2014/main" id="{9415024E-B281-4695-8F86-A974E019D422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7" name="$E$109">
            <a:extLst>
              <a:ext uri="{FF2B5EF4-FFF2-40B4-BE49-F238E27FC236}">
                <a16:creationId xmlns:a16="http://schemas.microsoft.com/office/drawing/2014/main" id="{32076D11-64EF-4781-AA94-855C67615F28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8" name="$E$109">
            <a:extLst>
              <a:ext uri="{FF2B5EF4-FFF2-40B4-BE49-F238E27FC236}">
                <a16:creationId xmlns:a16="http://schemas.microsoft.com/office/drawing/2014/main" id="{F41D8E38-1FFE-4566-AA13-4A0F81A028E5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59" name="$E$109">
            <a:extLst>
              <a:ext uri="{FF2B5EF4-FFF2-40B4-BE49-F238E27FC236}">
                <a16:creationId xmlns:a16="http://schemas.microsoft.com/office/drawing/2014/main" id="{AE051E3E-C06C-4FE5-BF10-BA33307A40E1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0" name="$E$109">
            <a:extLst>
              <a:ext uri="{FF2B5EF4-FFF2-40B4-BE49-F238E27FC236}">
                <a16:creationId xmlns:a16="http://schemas.microsoft.com/office/drawing/2014/main" id="{91824925-D0D6-4787-8DAD-B3F27128E6F5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1" name="$E$109">
            <a:extLst>
              <a:ext uri="{FF2B5EF4-FFF2-40B4-BE49-F238E27FC236}">
                <a16:creationId xmlns:a16="http://schemas.microsoft.com/office/drawing/2014/main" id="{433C31EA-B6FC-4D3C-8AF8-041805F3917A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2" name="$E$109">
            <a:extLst>
              <a:ext uri="{FF2B5EF4-FFF2-40B4-BE49-F238E27FC236}">
                <a16:creationId xmlns:a16="http://schemas.microsoft.com/office/drawing/2014/main" id="{867BB6A2-812F-4DCD-B0FD-C98C703A60DE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3" name="$E$109">
            <a:extLst>
              <a:ext uri="{FF2B5EF4-FFF2-40B4-BE49-F238E27FC236}">
                <a16:creationId xmlns:a16="http://schemas.microsoft.com/office/drawing/2014/main" id="{A3B51C30-8D7B-40AF-98B9-9C2A697C2A01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4" name="$E$109">
            <a:extLst>
              <a:ext uri="{FF2B5EF4-FFF2-40B4-BE49-F238E27FC236}">
                <a16:creationId xmlns:a16="http://schemas.microsoft.com/office/drawing/2014/main" id="{979FBE8B-CC67-412A-BED8-4625BA4AEC04}"/>
              </a:ext>
            </a:extLst>
          </xdr:cNvPr>
          <xdr:cNvSpPr/>
        </xdr:nvSpPr>
        <xdr:spPr>
          <a:xfrm>
            <a:off x="330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5" name="$E$109">
            <a:extLst>
              <a:ext uri="{FF2B5EF4-FFF2-40B4-BE49-F238E27FC236}">
                <a16:creationId xmlns:a16="http://schemas.microsoft.com/office/drawing/2014/main" id="{43A7664B-7D91-4322-B41D-CB45C0675C9E}"/>
              </a:ext>
            </a:extLst>
          </xdr:cNvPr>
          <xdr:cNvSpPr/>
        </xdr:nvSpPr>
        <xdr:spPr>
          <a:xfrm>
            <a:off x="342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6" name="$E$109">
            <a:extLst>
              <a:ext uri="{FF2B5EF4-FFF2-40B4-BE49-F238E27FC236}">
                <a16:creationId xmlns:a16="http://schemas.microsoft.com/office/drawing/2014/main" id="{F1911B06-A235-4E2D-BEA4-E116F7BA8744}"/>
              </a:ext>
            </a:extLst>
          </xdr:cNvPr>
          <xdr:cNvSpPr/>
        </xdr:nvSpPr>
        <xdr:spPr>
          <a:xfrm>
            <a:off x="368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7" name="$E$109">
            <a:extLst>
              <a:ext uri="{FF2B5EF4-FFF2-40B4-BE49-F238E27FC236}">
                <a16:creationId xmlns:a16="http://schemas.microsoft.com/office/drawing/2014/main" id="{60414750-54BC-4943-9858-175C5F875780}"/>
              </a:ext>
            </a:extLst>
          </xdr:cNvPr>
          <xdr:cNvSpPr/>
        </xdr:nvSpPr>
        <xdr:spPr>
          <a:xfrm>
            <a:off x="393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8" name="$E$109">
            <a:extLst>
              <a:ext uri="{FF2B5EF4-FFF2-40B4-BE49-F238E27FC236}">
                <a16:creationId xmlns:a16="http://schemas.microsoft.com/office/drawing/2014/main" id="{A4136CCA-8807-4C80-97C4-0716F8350FCD}"/>
              </a:ext>
            </a:extLst>
          </xdr:cNvPr>
          <xdr:cNvSpPr/>
        </xdr:nvSpPr>
        <xdr:spPr>
          <a:xfrm>
            <a:off x="419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69" name="$E$109">
            <a:extLst>
              <a:ext uri="{FF2B5EF4-FFF2-40B4-BE49-F238E27FC236}">
                <a16:creationId xmlns:a16="http://schemas.microsoft.com/office/drawing/2014/main" id="{292DA585-CFC6-4195-8BE7-9F0F16866A4A}"/>
              </a:ext>
            </a:extLst>
          </xdr:cNvPr>
          <xdr:cNvSpPr/>
        </xdr:nvSpPr>
        <xdr:spPr>
          <a:xfrm>
            <a:off x="457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0" name="$E$109">
            <a:extLst>
              <a:ext uri="{FF2B5EF4-FFF2-40B4-BE49-F238E27FC236}">
                <a16:creationId xmlns:a16="http://schemas.microsoft.com/office/drawing/2014/main" id="{EE96601B-A337-4D2D-9C95-0A1927D1E6F3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1" name="$E$109">
            <a:extLst>
              <a:ext uri="{FF2B5EF4-FFF2-40B4-BE49-F238E27FC236}">
                <a16:creationId xmlns:a16="http://schemas.microsoft.com/office/drawing/2014/main" id="{FD618615-9FF1-4D72-9A72-2FE3918E8AC3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2" name="$E$109">
            <a:extLst>
              <a:ext uri="{FF2B5EF4-FFF2-40B4-BE49-F238E27FC236}">
                <a16:creationId xmlns:a16="http://schemas.microsoft.com/office/drawing/2014/main" id="{261E9F50-557F-445F-8D16-5864A6FDB95D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3" name="$E$109">
            <a:extLst>
              <a:ext uri="{FF2B5EF4-FFF2-40B4-BE49-F238E27FC236}">
                <a16:creationId xmlns:a16="http://schemas.microsoft.com/office/drawing/2014/main" id="{657D2DE7-3C65-48E5-B970-466ADB19DE7C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4" name="$E$109">
            <a:extLst>
              <a:ext uri="{FF2B5EF4-FFF2-40B4-BE49-F238E27FC236}">
                <a16:creationId xmlns:a16="http://schemas.microsoft.com/office/drawing/2014/main" id="{F909EC64-6E08-465A-9902-1618A1223C15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5" name="$E$109">
            <a:extLst>
              <a:ext uri="{FF2B5EF4-FFF2-40B4-BE49-F238E27FC236}">
                <a16:creationId xmlns:a16="http://schemas.microsoft.com/office/drawing/2014/main" id="{59DE680F-C118-4B19-907B-910C9DAADBFA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6" name="$E$109">
            <a:extLst>
              <a:ext uri="{FF2B5EF4-FFF2-40B4-BE49-F238E27FC236}">
                <a16:creationId xmlns:a16="http://schemas.microsoft.com/office/drawing/2014/main" id="{5E50F333-EC1E-4486-843E-A124EF33CE63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7" name="$E$109">
            <a:extLst>
              <a:ext uri="{FF2B5EF4-FFF2-40B4-BE49-F238E27FC236}">
                <a16:creationId xmlns:a16="http://schemas.microsoft.com/office/drawing/2014/main" id="{90B42F20-4590-4247-B9A5-A0F55B98244E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8" name="$E$109">
            <a:extLst>
              <a:ext uri="{FF2B5EF4-FFF2-40B4-BE49-F238E27FC236}">
                <a16:creationId xmlns:a16="http://schemas.microsoft.com/office/drawing/2014/main" id="{0839CFDD-FF5D-495E-AF87-860CDF96512D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79" name="$E$109">
            <a:extLst>
              <a:ext uri="{FF2B5EF4-FFF2-40B4-BE49-F238E27FC236}">
                <a16:creationId xmlns:a16="http://schemas.microsoft.com/office/drawing/2014/main" id="{E45DDF1C-25FA-46FC-9002-116E2AC59CAA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0" name="$E$109">
            <a:extLst>
              <a:ext uri="{FF2B5EF4-FFF2-40B4-BE49-F238E27FC236}">
                <a16:creationId xmlns:a16="http://schemas.microsoft.com/office/drawing/2014/main" id="{AD34A2DF-6DBC-408B-9B84-F2D91335788B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1" name="$E$109">
            <a:extLst>
              <a:ext uri="{FF2B5EF4-FFF2-40B4-BE49-F238E27FC236}">
                <a16:creationId xmlns:a16="http://schemas.microsoft.com/office/drawing/2014/main" id="{82A8D9C8-95F0-446E-9E57-316EE749E189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2" name="$E$109">
            <a:extLst>
              <a:ext uri="{FF2B5EF4-FFF2-40B4-BE49-F238E27FC236}">
                <a16:creationId xmlns:a16="http://schemas.microsoft.com/office/drawing/2014/main" id="{D8AABC08-4944-4F23-AC60-8456AE529BAE}"/>
              </a:ext>
            </a:extLst>
          </xdr:cNvPr>
          <xdr:cNvSpPr/>
        </xdr:nvSpPr>
        <xdr:spPr>
          <a:xfrm>
            <a:off x="381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3" name="$E$109">
            <a:extLst>
              <a:ext uri="{FF2B5EF4-FFF2-40B4-BE49-F238E27FC236}">
                <a16:creationId xmlns:a16="http://schemas.microsoft.com/office/drawing/2014/main" id="{431BBD59-8FD6-42D3-8AF1-13F672FC5183}"/>
              </a:ext>
            </a:extLst>
          </xdr:cNvPr>
          <xdr:cNvSpPr/>
        </xdr:nvSpPr>
        <xdr:spPr>
          <a:xfrm>
            <a:off x="393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4" name="$E$109">
            <a:extLst>
              <a:ext uri="{FF2B5EF4-FFF2-40B4-BE49-F238E27FC236}">
                <a16:creationId xmlns:a16="http://schemas.microsoft.com/office/drawing/2014/main" id="{FC32ADE2-AA9A-4EBF-AF66-8FC136D6BCA1}"/>
              </a:ext>
            </a:extLst>
          </xdr:cNvPr>
          <xdr:cNvSpPr/>
        </xdr:nvSpPr>
        <xdr:spPr>
          <a:xfrm>
            <a:off x="419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5" name="$E$109">
            <a:extLst>
              <a:ext uri="{FF2B5EF4-FFF2-40B4-BE49-F238E27FC236}">
                <a16:creationId xmlns:a16="http://schemas.microsoft.com/office/drawing/2014/main" id="{29707DA2-7298-4573-81F6-E3B236444931}"/>
              </a:ext>
            </a:extLst>
          </xdr:cNvPr>
          <xdr:cNvSpPr/>
        </xdr:nvSpPr>
        <xdr:spPr>
          <a:xfrm>
            <a:off x="457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6" name="$E$109">
            <a:extLst>
              <a:ext uri="{FF2B5EF4-FFF2-40B4-BE49-F238E27FC236}">
                <a16:creationId xmlns:a16="http://schemas.microsoft.com/office/drawing/2014/main" id="{F95B56DC-64D2-45BD-9FA7-4E14736874C2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7" name="$E$109">
            <a:extLst>
              <a:ext uri="{FF2B5EF4-FFF2-40B4-BE49-F238E27FC236}">
                <a16:creationId xmlns:a16="http://schemas.microsoft.com/office/drawing/2014/main" id="{A2F1AFBF-96F6-4FAF-B3CC-2E8B43B2AF88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8" name="$E$109">
            <a:extLst>
              <a:ext uri="{FF2B5EF4-FFF2-40B4-BE49-F238E27FC236}">
                <a16:creationId xmlns:a16="http://schemas.microsoft.com/office/drawing/2014/main" id="{84D05D5F-B756-4BDD-A732-14CDADF910E7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89" name="$E$109">
            <a:extLst>
              <a:ext uri="{FF2B5EF4-FFF2-40B4-BE49-F238E27FC236}">
                <a16:creationId xmlns:a16="http://schemas.microsoft.com/office/drawing/2014/main" id="{E4CD7818-1905-4B66-9D59-8A7CC8E9CC0F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0" name="$E$109">
            <a:extLst>
              <a:ext uri="{FF2B5EF4-FFF2-40B4-BE49-F238E27FC236}">
                <a16:creationId xmlns:a16="http://schemas.microsoft.com/office/drawing/2014/main" id="{F31944AE-FC0D-4EA2-B5C6-2DB2AB8D4D58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1" name="$E$109">
            <a:extLst>
              <a:ext uri="{FF2B5EF4-FFF2-40B4-BE49-F238E27FC236}">
                <a16:creationId xmlns:a16="http://schemas.microsoft.com/office/drawing/2014/main" id="{ED2A9371-1E1C-41A0-9377-19311283575A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2" name="$E$109">
            <a:extLst>
              <a:ext uri="{FF2B5EF4-FFF2-40B4-BE49-F238E27FC236}">
                <a16:creationId xmlns:a16="http://schemas.microsoft.com/office/drawing/2014/main" id="{7F6A9226-E203-4856-BBC5-4C30A6ECF8EF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3" name="$E$109">
            <a:extLst>
              <a:ext uri="{FF2B5EF4-FFF2-40B4-BE49-F238E27FC236}">
                <a16:creationId xmlns:a16="http://schemas.microsoft.com/office/drawing/2014/main" id="{5552BEB7-5C07-412D-910D-1652E468CD78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4" name="$E$109">
            <a:extLst>
              <a:ext uri="{FF2B5EF4-FFF2-40B4-BE49-F238E27FC236}">
                <a16:creationId xmlns:a16="http://schemas.microsoft.com/office/drawing/2014/main" id="{44183491-9D1D-4533-9967-3E2DDA1856DC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5" name="$E$109">
            <a:extLst>
              <a:ext uri="{FF2B5EF4-FFF2-40B4-BE49-F238E27FC236}">
                <a16:creationId xmlns:a16="http://schemas.microsoft.com/office/drawing/2014/main" id="{81D530E2-CAD5-4693-89FF-44E15164AC71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6" name="$E$109">
            <a:extLst>
              <a:ext uri="{FF2B5EF4-FFF2-40B4-BE49-F238E27FC236}">
                <a16:creationId xmlns:a16="http://schemas.microsoft.com/office/drawing/2014/main" id="{5C4FCB5C-FB66-4130-AFA9-C7820A9E462B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7" name="$E$109">
            <a:extLst>
              <a:ext uri="{FF2B5EF4-FFF2-40B4-BE49-F238E27FC236}">
                <a16:creationId xmlns:a16="http://schemas.microsoft.com/office/drawing/2014/main" id="{35F904B1-5530-4DA4-AA76-175685B98B47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8" name="$E$109">
            <a:extLst>
              <a:ext uri="{FF2B5EF4-FFF2-40B4-BE49-F238E27FC236}">
                <a16:creationId xmlns:a16="http://schemas.microsoft.com/office/drawing/2014/main" id="{AE317F9B-7CD9-4F5E-94ED-67D4A1997E6C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99" name="$E$109">
            <a:extLst>
              <a:ext uri="{FF2B5EF4-FFF2-40B4-BE49-F238E27FC236}">
                <a16:creationId xmlns:a16="http://schemas.microsoft.com/office/drawing/2014/main" id="{80D160F7-AA8A-401B-86B7-765F186657CC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0" name="$E$109">
            <a:extLst>
              <a:ext uri="{FF2B5EF4-FFF2-40B4-BE49-F238E27FC236}">
                <a16:creationId xmlns:a16="http://schemas.microsoft.com/office/drawing/2014/main" id="{8ABD34CC-DA95-4FB2-997C-248E8CFE314D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1" name="$E$109">
            <a:extLst>
              <a:ext uri="{FF2B5EF4-FFF2-40B4-BE49-F238E27FC236}">
                <a16:creationId xmlns:a16="http://schemas.microsoft.com/office/drawing/2014/main" id="{41775778-4341-4D39-8C16-D8158D9E7CC1}"/>
              </a:ext>
            </a:extLst>
          </xdr:cNvPr>
          <xdr:cNvSpPr/>
        </xdr:nvSpPr>
        <xdr:spPr>
          <a:xfrm>
            <a:off x="355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2" name="$E$109">
            <a:extLst>
              <a:ext uri="{FF2B5EF4-FFF2-40B4-BE49-F238E27FC236}">
                <a16:creationId xmlns:a16="http://schemas.microsoft.com/office/drawing/2014/main" id="{11953A68-435B-47CA-9213-96D95FEF3FE1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3" name="$E$109">
            <a:extLst>
              <a:ext uri="{FF2B5EF4-FFF2-40B4-BE49-F238E27FC236}">
                <a16:creationId xmlns:a16="http://schemas.microsoft.com/office/drawing/2014/main" id="{1D35DCF0-F02C-4259-9F59-DA9F6B7E39BA}"/>
              </a:ext>
            </a:extLst>
          </xdr:cNvPr>
          <xdr:cNvSpPr/>
        </xdr:nvSpPr>
        <xdr:spPr>
          <a:xfrm>
            <a:off x="419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4" name="$E$109">
            <a:extLst>
              <a:ext uri="{FF2B5EF4-FFF2-40B4-BE49-F238E27FC236}">
                <a16:creationId xmlns:a16="http://schemas.microsoft.com/office/drawing/2014/main" id="{3C3A4E74-1E5B-45F8-B010-DFC6226732FB}"/>
              </a:ext>
            </a:extLst>
          </xdr:cNvPr>
          <xdr:cNvSpPr/>
        </xdr:nvSpPr>
        <xdr:spPr>
          <a:xfrm>
            <a:off x="444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5" name="$E$109">
            <a:extLst>
              <a:ext uri="{FF2B5EF4-FFF2-40B4-BE49-F238E27FC236}">
                <a16:creationId xmlns:a16="http://schemas.microsoft.com/office/drawing/2014/main" id="{61E8D167-F02E-4783-80B4-34E9DBADB621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6" name="$E$109">
            <a:extLst>
              <a:ext uri="{FF2B5EF4-FFF2-40B4-BE49-F238E27FC236}">
                <a16:creationId xmlns:a16="http://schemas.microsoft.com/office/drawing/2014/main" id="{60597B2F-F4ED-468E-8AB5-9C28D1AC76F5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7" name="$E$109">
            <a:extLst>
              <a:ext uri="{FF2B5EF4-FFF2-40B4-BE49-F238E27FC236}">
                <a16:creationId xmlns:a16="http://schemas.microsoft.com/office/drawing/2014/main" id="{EEEA517B-789B-4322-ABF2-E232390206B1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8" name="$E$109">
            <a:extLst>
              <a:ext uri="{FF2B5EF4-FFF2-40B4-BE49-F238E27FC236}">
                <a16:creationId xmlns:a16="http://schemas.microsoft.com/office/drawing/2014/main" id="{B57962C1-9422-483F-81FC-C2ACFC0E657A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09" name="$E$109">
            <a:extLst>
              <a:ext uri="{FF2B5EF4-FFF2-40B4-BE49-F238E27FC236}">
                <a16:creationId xmlns:a16="http://schemas.microsoft.com/office/drawing/2014/main" id="{7CA401FA-76E6-43B8-B310-5188D5B7B7D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0" name="$E$109">
            <a:extLst>
              <a:ext uri="{FF2B5EF4-FFF2-40B4-BE49-F238E27FC236}">
                <a16:creationId xmlns:a16="http://schemas.microsoft.com/office/drawing/2014/main" id="{DD802942-F4A9-4201-9519-916BE7A1A407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1" name="$E$109">
            <a:extLst>
              <a:ext uri="{FF2B5EF4-FFF2-40B4-BE49-F238E27FC236}">
                <a16:creationId xmlns:a16="http://schemas.microsoft.com/office/drawing/2014/main" id="{37A2D3E6-9F0D-4351-9928-47199F84126A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2" name="$E$109">
            <a:extLst>
              <a:ext uri="{FF2B5EF4-FFF2-40B4-BE49-F238E27FC236}">
                <a16:creationId xmlns:a16="http://schemas.microsoft.com/office/drawing/2014/main" id="{D5EFF726-055D-4530-8A49-58C89AB99A28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3" name="$E$109">
            <a:extLst>
              <a:ext uri="{FF2B5EF4-FFF2-40B4-BE49-F238E27FC236}">
                <a16:creationId xmlns:a16="http://schemas.microsoft.com/office/drawing/2014/main" id="{691DEB0F-D68E-4CD9-B70E-383E00A3B2BC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4" name="$E$109">
            <a:extLst>
              <a:ext uri="{FF2B5EF4-FFF2-40B4-BE49-F238E27FC236}">
                <a16:creationId xmlns:a16="http://schemas.microsoft.com/office/drawing/2014/main" id="{74772D94-C3C8-4532-BA07-0E207BBFF07B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5" name="$E$109">
            <a:extLst>
              <a:ext uri="{FF2B5EF4-FFF2-40B4-BE49-F238E27FC236}">
                <a16:creationId xmlns:a16="http://schemas.microsoft.com/office/drawing/2014/main" id="{E39912FA-9283-4AA8-926A-0AF8A139AACA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6" name="$E$109">
            <a:extLst>
              <a:ext uri="{FF2B5EF4-FFF2-40B4-BE49-F238E27FC236}">
                <a16:creationId xmlns:a16="http://schemas.microsoft.com/office/drawing/2014/main" id="{7E84CBDC-5722-4566-9134-18F8EE6C2F6A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7" name="$E$109">
            <a:extLst>
              <a:ext uri="{FF2B5EF4-FFF2-40B4-BE49-F238E27FC236}">
                <a16:creationId xmlns:a16="http://schemas.microsoft.com/office/drawing/2014/main" id="{E25295C0-F297-46FA-80C6-FF37237603B6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8" name="$E$109">
            <a:extLst>
              <a:ext uri="{FF2B5EF4-FFF2-40B4-BE49-F238E27FC236}">
                <a16:creationId xmlns:a16="http://schemas.microsoft.com/office/drawing/2014/main" id="{E31C4A59-DB09-4B63-8CF0-F157405258EB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19" name="$E$109">
            <a:extLst>
              <a:ext uri="{FF2B5EF4-FFF2-40B4-BE49-F238E27FC236}">
                <a16:creationId xmlns:a16="http://schemas.microsoft.com/office/drawing/2014/main" id="{B2182B36-1BF0-4EE8-882B-8DD0509CA86A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0" name="$E$109">
            <a:extLst>
              <a:ext uri="{FF2B5EF4-FFF2-40B4-BE49-F238E27FC236}">
                <a16:creationId xmlns:a16="http://schemas.microsoft.com/office/drawing/2014/main" id="{6A6472BC-33C3-4AB6-B9E8-731BEF522DBF}"/>
              </a:ext>
            </a:extLst>
          </xdr:cNvPr>
          <xdr:cNvSpPr/>
        </xdr:nvSpPr>
        <xdr:spPr>
          <a:xfrm>
            <a:off x="304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1" name="$E$109">
            <a:extLst>
              <a:ext uri="{FF2B5EF4-FFF2-40B4-BE49-F238E27FC236}">
                <a16:creationId xmlns:a16="http://schemas.microsoft.com/office/drawing/2014/main" id="{A4BFAC11-67C2-4D27-93F8-60C22EDC83A9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2" name="$E$109">
            <a:extLst>
              <a:ext uri="{FF2B5EF4-FFF2-40B4-BE49-F238E27FC236}">
                <a16:creationId xmlns:a16="http://schemas.microsoft.com/office/drawing/2014/main" id="{7B96FED9-A67C-427E-8BA6-FFD3F30F4E60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3" name="$E$109">
            <a:extLst>
              <a:ext uri="{FF2B5EF4-FFF2-40B4-BE49-F238E27FC236}">
                <a16:creationId xmlns:a16="http://schemas.microsoft.com/office/drawing/2014/main" id="{21A834AF-C8E0-4ECD-A097-B5057D66018D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4" name="$E$109">
            <a:extLst>
              <a:ext uri="{FF2B5EF4-FFF2-40B4-BE49-F238E27FC236}">
                <a16:creationId xmlns:a16="http://schemas.microsoft.com/office/drawing/2014/main" id="{D8CFD128-081C-47E4-9C9F-8C4D628365B7}"/>
              </a:ext>
            </a:extLst>
          </xdr:cNvPr>
          <xdr:cNvSpPr/>
        </xdr:nvSpPr>
        <xdr:spPr>
          <a:xfrm>
            <a:off x="406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5" name="$E$109">
            <a:extLst>
              <a:ext uri="{FF2B5EF4-FFF2-40B4-BE49-F238E27FC236}">
                <a16:creationId xmlns:a16="http://schemas.microsoft.com/office/drawing/2014/main" id="{85EA8C6A-9B70-4E66-BD4F-FEDA6F73C699}"/>
              </a:ext>
            </a:extLst>
          </xdr:cNvPr>
          <xdr:cNvSpPr/>
        </xdr:nvSpPr>
        <xdr:spPr>
          <a:xfrm>
            <a:off x="419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6" name="$E$109">
            <a:extLst>
              <a:ext uri="{FF2B5EF4-FFF2-40B4-BE49-F238E27FC236}">
                <a16:creationId xmlns:a16="http://schemas.microsoft.com/office/drawing/2014/main" id="{134196B8-FD7C-4320-8574-F844A4A3F6C0}"/>
              </a:ext>
            </a:extLst>
          </xdr:cNvPr>
          <xdr:cNvSpPr/>
        </xdr:nvSpPr>
        <xdr:spPr>
          <a:xfrm>
            <a:off x="444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7" name="$E$109">
            <a:extLst>
              <a:ext uri="{FF2B5EF4-FFF2-40B4-BE49-F238E27FC236}">
                <a16:creationId xmlns:a16="http://schemas.microsoft.com/office/drawing/2014/main" id="{B7805E1F-56A8-46A4-9307-4861E8346807}"/>
              </a:ext>
            </a:extLst>
          </xdr:cNvPr>
          <xdr:cNvSpPr/>
        </xdr:nvSpPr>
        <xdr:spPr>
          <a:xfrm>
            <a:off x="457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8" name="$E$109">
            <a:extLst>
              <a:ext uri="{FF2B5EF4-FFF2-40B4-BE49-F238E27FC236}">
                <a16:creationId xmlns:a16="http://schemas.microsoft.com/office/drawing/2014/main" id="{14BBDE29-A532-4F0B-A072-A835A1E4B573}"/>
              </a:ext>
            </a:extLst>
          </xdr:cNvPr>
          <xdr:cNvSpPr/>
        </xdr:nvSpPr>
        <xdr:spPr>
          <a:xfrm>
            <a:off x="12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29" name="$E$109">
            <a:extLst>
              <a:ext uri="{FF2B5EF4-FFF2-40B4-BE49-F238E27FC236}">
                <a16:creationId xmlns:a16="http://schemas.microsoft.com/office/drawing/2014/main" id="{A7431C13-E036-4806-8CD4-7E2C3577700A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0" name="$E$109">
            <a:extLst>
              <a:ext uri="{FF2B5EF4-FFF2-40B4-BE49-F238E27FC236}">
                <a16:creationId xmlns:a16="http://schemas.microsoft.com/office/drawing/2014/main" id="{C695B001-0E32-49EE-9F9B-24A5D5EBE555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1" name="$E$109">
            <a:extLst>
              <a:ext uri="{FF2B5EF4-FFF2-40B4-BE49-F238E27FC236}">
                <a16:creationId xmlns:a16="http://schemas.microsoft.com/office/drawing/2014/main" id="{348896D4-9D76-4455-B6F9-2FD8F1B05398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2" name="$E$109">
            <a:extLst>
              <a:ext uri="{FF2B5EF4-FFF2-40B4-BE49-F238E27FC236}">
                <a16:creationId xmlns:a16="http://schemas.microsoft.com/office/drawing/2014/main" id="{D00195F3-ED00-49D3-8330-E76442A5709A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3" name="$E$109">
            <a:extLst>
              <a:ext uri="{FF2B5EF4-FFF2-40B4-BE49-F238E27FC236}">
                <a16:creationId xmlns:a16="http://schemas.microsoft.com/office/drawing/2014/main" id="{B5FC5FFD-345F-44DA-8542-4DD70A3AF9AA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4" name="$E$109">
            <a:extLst>
              <a:ext uri="{FF2B5EF4-FFF2-40B4-BE49-F238E27FC236}">
                <a16:creationId xmlns:a16="http://schemas.microsoft.com/office/drawing/2014/main" id="{B041C489-7AFB-4916-A111-44642AE6BBEC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5" name="$E$109">
            <a:extLst>
              <a:ext uri="{FF2B5EF4-FFF2-40B4-BE49-F238E27FC236}">
                <a16:creationId xmlns:a16="http://schemas.microsoft.com/office/drawing/2014/main" id="{5CBE6B96-D998-42AE-B7DB-150B184F7E8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6" name="$E$109">
            <a:extLst>
              <a:ext uri="{FF2B5EF4-FFF2-40B4-BE49-F238E27FC236}">
                <a16:creationId xmlns:a16="http://schemas.microsoft.com/office/drawing/2014/main" id="{D7FBC117-075A-42D0-B933-EF1C2B016E84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7" name="$E$109">
            <a:extLst>
              <a:ext uri="{FF2B5EF4-FFF2-40B4-BE49-F238E27FC236}">
                <a16:creationId xmlns:a16="http://schemas.microsoft.com/office/drawing/2014/main" id="{320150E4-3DBB-4ED5-9993-171C16B2BE55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8" name="$E$109">
            <a:extLst>
              <a:ext uri="{FF2B5EF4-FFF2-40B4-BE49-F238E27FC236}">
                <a16:creationId xmlns:a16="http://schemas.microsoft.com/office/drawing/2014/main" id="{948E1A36-A23E-4069-8DCF-D9A43C3C9863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39" name="$E$109">
            <a:extLst>
              <a:ext uri="{FF2B5EF4-FFF2-40B4-BE49-F238E27FC236}">
                <a16:creationId xmlns:a16="http://schemas.microsoft.com/office/drawing/2014/main" id="{AFEC6A0B-F364-49EE-B05C-389DE868E04F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0" name="$E$109">
            <a:extLst>
              <a:ext uri="{FF2B5EF4-FFF2-40B4-BE49-F238E27FC236}">
                <a16:creationId xmlns:a16="http://schemas.microsoft.com/office/drawing/2014/main" id="{2AF7964C-EB48-43C0-948E-E20E4AF09484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1" name="$E$109">
            <a:extLst>
              <a:ext uri="{FF2B5EF4-FFF2-40B4-BE49-F238E27FC236}">
                <a16:creationId xmlns:a16="http://schemas.microsoft.com/office/drawing/2014/main" id="{4CF90AE9-25C1-40FF-A4CD-D505DE5F5E34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2" name="$E$109">
            <a:extLst>
              <a:ext uri="{FF2B5EF4-FFF2-40B4-BE49-F238E27FC236}">
                <a16:creationId xmlns:a16="http://schemas.microsoft.com/office/drawing/2014/main" id="{1460412C-E5AE-46D8-AEA7-AF1BE04AB88E}"/>
              </a:ext>
            </a:extLst>
          </xdr:cNvPr>
          <xdr:cNvSpPr/>
        </xdr:nvSpPr>
        <xdr:spPr>
          <a:xfrm>
            <a:off x="279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3" name="$E$109">
            <a:extLst>
              <a:ext uri="{FF2B5EF4-FFF2-40B4-BE49-F238E27FC236}">
                <a16:creationId xmlns:a16="http://schemas.microsoft.com/office/drawing/2014/main" id="{30EE10A6-2E4C-4E0E-A5C5-A906686703C3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4" name="$E$109">
            <a:extLst>
              <a:ext uri="{FF2B5EF4-FFF2-40B4-BE49-F238E27FC236}">
                <a16:creationId xmlns:a16="http://schemas.microsoft.com/office/drawing/2014/main" id="{1E4CA3DE-6A5E-4F90-BB97-EF06466B0437}"/>
              </a:ext>
            </a:extLst>
          </xdr:cNvPr>
          <xdr:cNvSpPr/>
        </xdr:nvSpPr>
        <xdr:spPr>
          <a:xfrm>
            <a:off x="368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5" name="$E$109">
            <a:extLst>
              <a:ext uri="{FF2B5EF4-FFF2-40B4-BE49-F238E27FC236}">
                <a16:creationId xmlns:a16="http://schemas.microsoft.com/office/drawing/2014/main" id="{6630FA34-B40D-4150-AAED-7DA6FBA3D27A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6" name="$E$109">
            <a:extLst>
              <a:ext uri="{FF2B5EF4-FFF2-40B4-BE49-F238E27FC236}">
                <a16:creationId xmlns:a16="http://schemas.microsoft.com/office/drawing/2014/main" id="{DA862CCB-A238-4BB7-84E1-5C2183392673}"/>
              </a:ext>
            </a:extLst>
          </xdr:cNvPr>
          <xdr:cNvSpPr/>
        </xdr:nvSpPr>
        <xdr:spPr>
          <a:xfrm>
            <a:off x="393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7" name="$E$109">
            <a:extLst>
              <a:ext uri="{FF2B5EF4-FFF2-40B4-BE49-F238E27FC236}">
                <a16:creationId xmlns:a16="http://schemas.microsoft.com/office/drawing/2014/main" id="{7088F352-0A5C-4B3C-8B6E-8DD1991372A6}"/>
              </a:ext>
            </a:extLst>
          </xdr:cNvPr>
          <xdr:cNvSpPr/>
        </xdr:nvSpPr>
        <xdr:spPr>
          <a:xfrm>
            <a:off x="419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8" name="$E$109">
            <a:extLst>
              <a:ext uri="{FF2B5EF4-FFF2-40B4-BE49-F238E27FC236}">
                <a16:creationId xmlns:a16="http://schemas.microsoft.com/office/drawing/2014/main" id="{57C889E3-F92B-4503-B1BD-B1377BD7127D}"/>
              </a:ext>
            </a:extLst>
          </xdr:cNvPr>
          <xdr:cNvSpPr/>
        </xdr:nvSpPr>
        <xdr:spPr>
          <a:xfrm>
            <a:off x="431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49" name="$E$109">
            <a:extLst>
              <a:ext uri="{FF2B5EF4-FFF2-40B4-BE49-F238E27FC236}">
                <a16:creationId xmlns:a16="http://schemas.microsoft.com/office/drawing/2014/main" id="{2996CE5D-2790-4083-B722-AB0279E7FD9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0" name="$E$109">
            <a:extLst>
              <a:ext uri="{FF2B5EF4-FFF2-40B4-BE49-F238E27FC236}">
                <a16:creationId xmlns:a16="http://schemas.microsoft.com/office/drawing/2014/main" id="{AB000184-937B-4912-9AD0-1468DADB0AC5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1" name="$E$109">
            <a:extLst>
              <a:ext uri="{FF2B5EF4-FFF2-40B4-BE49-F238E27FC236}">
                <a16:creationId xmlns:a16="http://schemas.microsoft.com/office/drawing/2014/main" id="{12F4CE40-51D9-4F46-946C-77711554A65B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2" name="$E$109">
            <a:extLst>
              <a:ext uri="{FF2B5EF4-FFF2-40B4-BE49-F238E27FC236}">
                <a16:creationId xmlns:a16="http://schemas.microsoft.com/office/drawing/2014/main" id="{2881B083-B961-46AE-AF51-E91829AEACD3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3" name="$E$109">
            <a:extLst>
              <a:ext uri="{FF2B5EF4-FFF2-40B4-BE49-F238E27FC236}">
                <a16:creationId xmlns:a16="http://schemas.microsoft.com/office/drawing/2014/main" id="{BBC46ADA-4FC3-4C47-8C85-7FAC6836619C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4" name="$E$109">
            <a:extLst>
              <a:ext uri="{FF2B5EF4-FFF2-40B4-BE49-F238E27FC236}">
                <a16:creationId xmlns:a16="http://schemas.microsoft.com/office/drawing/2014/main" id="{0B361047-1F45-42FD-98B1-1F400C162D9F}"/>
              </a:ext>
            </a:extLst>
          </xdr:cNvPr>
          <xdr:cNvSpPr/>
        </xdr:nvSpPr>
        <xdr:spPr>
          <a:xfrm>
            <a:off x="228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5" name="$E$109">
            <a:extLst>
              <a:ext uri="{FF2B5EF4-FFF2-40B4-BE49-F238E27FC236}">
                <a16:creationId xmlns:a16="http://schemas.microsoft.com/office/drawing/2014/main" id="{3E2B88C7-5D8D-431A-BB80-FD3B7629D74C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6" name="$E$109">
            <a:extLst>
              <a:ext uri="{FF2B5EF4-FFF2-40B4-BE49-F238E27FC236}">
                <a16:creationId xmlns:a16="http://schemas.microsoft.com/office/drawing/2014/main" id="{2396381C-C73B-4E40-A060-0AD2F15554EE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7" name="$E$109">
            <a:extLst>
              <a:ext uri="{FF2B5EF4-FFF2-40B4-BE49-F238E27FC236}">
                <a16:creationId xmlns:a16="http://schemas.microsoft.com/office/drawing/2014/main" id="{CE9D6FC0-ADD2-4A5C-A324-B941387F35FF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8" name="$E$109">
            <a:extLst>
              <a:ext uri="{FF2B5EF4-FFF2-40B4-BE49-F238E27FC236}">
                <a16:creationId xmlns:a16="http://schemas.microsoft.com/office/drawing/2014/main" id="{DFAF296F-3110-4F9F-A9CB-235C99EB3C98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59" name="$E$109">
            <a:extLst>
              <a:ext uri="{FF2B5EF4-FFF2-40B4-BE49-F238E27FC236}">
                <a16:creationId xmlns:a16="http://schemas.microsoft.com/office/drawing/2014/main" id="{75230668-BF9C-4B50-9196-8B5DEC69911D}"/>
              </a:ext>
            </a:extLst>
          </xdr:cNvPr>
          <xdr:cNvSpPr/>
        </xdr:nvSpPr>
        <xdr:spPr>
          <a:xfrm>
            <a:off x="330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0" name="$E$109">
            <a:extLst>
              <a:ext uri="{FF2B5EF4-FFF2-40B4-BE49-F238E27FC236}">
                <a16:creationId xmlns:a16="http://schemas.microsoft.com/office/drawing/2014/main" id="{E576C031-462D-4C38-B33E-7180BF26AA0C}"/>
              </a:ext>
            </a:extLst>
          </xdr:cNvPr>
          <xdr:cNvSpPr/>
        </xdr:nvSpPr>
        <xdr:spPr>
          <a:xfrm>
            <a:off x="368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1" name="$E$109">
            <a:extLst>
              <a:ext uri="{FF2B5EF4-FFF2-40B4-BE49-F238E27FC236}">
                <a16:creationId xmlns:a16="http://schemas.microsoft.com/office/drawing/2014/main" id="{12394366-B7DC-47B8-BFFC-D04C78E76EDF}"/>
              </a:ext>
            </a:extLst>
          </xdr:cNvPr>
          <xdr:cNvSpPr/>
        </xdr:nvSpPr>
        <xdr:spPr>
          <a:xfrm>
            <a:off x="381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2" name="$E$109">
            <a:extLst>
              <a:ext uri="{FF2B5EF4-FFF2-40B4-BE49-F238E27FC236}">
                <a16:creationId xmlns:a16="http://schemas.microsoft.com/office/drawing/2014/main" id="{551E24F1-9CE1-463D-B59A-23BF2EA0311F}"/>
              </a:ext>
            </a:extLst>
          </xdr:cNvPr>
          <xdr:cNvSpPr/>
        </xdr:nvSpPr>
        <xdr:spPr>
          <a:xfrm>
            <a:off x="406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3" name="$E$109">
            <a:extLst>
              <a:ext uri="{FF2B5EF4-FFF2-40B4-BE49-F238E27FC236}">
                <a16:creationId xmlns:a16="http://schemas.microsoft.com/office/drawing/2014/main" id="{706043C3-5FCA-430A-AB9F-0DBCB9A642FB}"/>
              </a:ext>
            </a:extLst>
          </xdr:cNvPr>
          <xdr:cNvSpPr/>
        </xdr:nvSpPr>
        <xdr:spPr>
          <a:xfrm>
            <a:off x="431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4" name="$E$109">
            <a:extLst>
              <a:ext uri="{FF2B5EF4-FFF2-40B4-BE49-F238E27FC236}">
                <a16:creationId xmlns:a16="http://schemas.microsoft.com/office/drawing/2014/main" id="{6400278A-274F-4ECD-8FF9-D98B71892E59}"/>
              </a:ext>
            </a:extLst>
          </xdr:cNvPr>
          <xdr:cNvSpPr/>
        </xdr:nvSpPr>
        <xdr:spPr>
          <a:xfrm>
            <a:off x="457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5" name="$E$109">
            <a:extLst>
              <a:ext uri="{FF2B5EF4-FFF2-40B4-BE49-F238E27FC236}">
                <a16:creationId xmlns:a16="http://schemas.microsoft.com/office/drawing/2014/main" id="{58F36947-AF71-483B-BD0B-65008C4F3AA1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6" name="$E$109">
            <a:extLst>
              <a:ext uri="{FF2B5EF4-FFF2-40B4-BE49-F238E27FC236}">
                <a16:creationId xmlns:a16="http://schemas.microsoft.com/office/drawing/2014/main" id="{8E005972-C804-405F-BC94-99CA7D8F0913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7" name="$E$109">
            <a:extLst>
              <a:ext uri="{FF2B5EF4-FFF2-40B4-BE49-F238E27FC236}">
                <a16:creationId xmlns:a16="http://schemas.microsoft.com/office/drawing/2014/main" id="{2C531E57-DADE-45B8-B4B0-784F47AAA4AD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8" name="$E$109">
            <a:extLst>
              <a:ext uri="{FF2B5EF4-FFF2-40B4-BE49-F238E27FC236}">
                <a16:creationId xmlns:a16="http://schemas.microsoft.com/office/drawing/2014/main" id="{FDF4E9DF-E2D7-4CAC-B8C7-8F002558B57C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69" name="$E$109">
            <a:extLst>
              <a:ext uri="{FF2B5EF4-FFF2-40B4-BE49-F238E27FC236}">
                <a16:creationId xmlns:a16="http://schemas.microsoft.com/office/drawing/2014/main" id="{844E664E-3B90-48F8-904C-47E7A7C264F3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0" name="$E$109">
            <a:extLst>
              <a:ext uri="{FF2B5EF4-FFF2-40B4-BE49-F238E27FC236}">
                <a16:creationId xmlns:a16="http://schemas.microsoft.com/office/drawing/2014/main" id="{BF0B518C-D73C-4D63-9575-43918498C53F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1" name="$E$109">
            <a:extLst>
              <a:ext uri="{FF2B5EF4-FFF2-40B4-BE49-F238E27FC236}">
                <a16:creationId xmlns:a16="http://schemas.microsoft.com/office/drawing/2014/main" id="{6715A50E-AA72-4582-BF97-C92CE78521B2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2" name="$E$109">
            <a:extLst>
              <a:ext uri="{FF2B5EF4-FFF2-40B4-BE49-F238E27FC236}">
                <a16:creationId xmlns:a16="http://schemas.microsoft.com/office/drawing/2014/main" id="{73431BC9-34F6-4B97-BF51-2AF3BFE43F7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3" name="$E$109">
            <a:extLst>
              <a:ext uri="{FF2B5EF4-FFF2-40B4-BE49-F238E27FC236}">
                <a16:creationId xmlns:a16="http://schemas.microsoft.com/office/drawing/2014/main" id="{DEABB042-549D-47F8-9113-7A352599CA7D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4" name="$E$109">
            <a:extLst>
              <a:ext uri="{FF2B5EF4-FFF2-40B4-BE49-F238E27FC236}">
                <a16:creationId xmlns:a16="http://schemas.microsoft.com/office/drawing/2014/main" id="{C17ACF01-748E-4CCE-803A-E74A94700764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5" name="$E$109">
            <a:extLst>
              <a:ext uri="{FF2B5EF4-FFF2-40B4-BE49-F238E27FC236}">
                <a16:creationId xmlns:a16="http://schemas.microsoft.com/office/drawing/2014/main" id="{3A07A52F-EA34-48F7-8D6A-E7590F392436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6" name="$E$109">
            <a:extLst>
              <a:ext uri="{FF2B5EF4-FFF2-40B4-BE49-F238E27FC236}">
                <a16:creationId xmlns:a16="http://schemas.microsoft.com/office/drawing/2014/main" id="{714F2F82-B77B-4763-A95E-5E5C7A8E7CAD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7" name="$E$109">
            <a:extLst>
              <a:ext uri="{FF2B5EF4-FFF2-40B4-BE49-F238E27FC236}">
                <a16:creationId xmlns:a16="http://schemas.microsoft.com/office/drawing/2014/main" id="{4ADD7194-196A-4CDC-9573-A7FB22CC986C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8" name="$E$109">
            <a:extLst>
              <a:ext uri="{FF2B5EF4-FFF2-40B4-BE49-F238E27FC236}">
                <a16:creationId xmlns:a16="http://schemas.microsoft.com/office/drawing/2014/main" id="{23C1ECC2-95C6-45C2-AF56-EF1D53C78B98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79" name="$E$109">
            <a:extLst>
              <a:ext uri="{FF2B5EF4-FFF2-40B4-BE49-F238E27FC236}">
                <a16:creationId xmlns:a16="http://schemas.microsoft.com/office/drawing/2014/main" id="{6C9A5A39-A271-42AD-85C9-A8D5AC8C204D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0" name="$E$109">
            <a:extLst>
              <a:ext uri="{FF2B5EF4-FFF2-40B4-BE49-F238E27FC236}">
                <a16:creationId xmlns:a16="http://schemas.microsoft.com/office/drawing/2014/main" id="{7B6B42A6-AE2E-4BAC-AAB3-892624C80F52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1" name="$E$109">
            <a:extLst>
              <a:ext uri="{FF2B5EF4-FFF2-40B4-BE49-F238E27FC236}">
                <a16:creationId xmlns:a16="http://schemas.microsoft.com/office/drawing/2014/main" id="{93E3399C-217B-47D8-A961-A595489CEE5C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2" name="$E$109">
            <a:extLst>
              <a:ext uri="{FF2B5EF4-FFF2-40B4-BE49-F238E27FC236}">
                <a16:creationId xmlns:a16="http://schemas.microsoft.com/office/drawing/2014/main" id="{AD9A5804-1A46-40C0-BAF7-CF568934E0F0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3" name="$E$109">
            <a:extLst>
              <a:ext uri="{FF2B5EF4-FFF2-40B4-BE49-F238E27FC236}">
                <a16:creationId xmlns:a16="http://schemas.microsoft.com/office/drawing/2014/main" id="{F2F539E1-5DBC-424B-B810-EF7DCC2508FE}"/>
              </a:ext>
            </a:extLst>
          </xdr:cNvPr>
          <xdr:cNvSpPr/>
        </xdr:nvSpPr>
        <xdr:spPr>
          <a:xfrm>
            <a:off x="419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4" name="$E$109">
            <a:extLst>
              <a:ext uri="{FF2B5EF4-FFF2-40B4-BE49-F238E27FC236}">
                <a16:creationId xmlns:a16="http://schemas.microsoft.com/office/drawing/2014/main" id="{2544FCBC-3450-42A6-8E54-54535A8FAC4C}"/>
              </a:ext>
            </a:extLst>
          </xdr:cNvPr>
          <xdr:cNvSpPr/>
        </xdr:nvSpPr>
        <xdr:spPr>
          <a:xfrm>
            <a:off x="444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5" name="$E$109">
            <a:extLst>
              <a:ext uri="{FF2B5EF4-FFF2-40B4-BE49-F238E27FC236}">
                <a16:creationId xmlns:a16="http://schemas.microsoft.com/office/drawing/2014/main" id="{EF625A6B-25E3-4D11-807B-463177837956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6" name="$E$109">
            <a:extLst>
              <a:ext uri="{FF2B5EF4-FFF2-40B4-BE49-F238E27FC236}">
                <a16:creationId xmlns:a16="http://schemas.microsoft.com/office/drawing/2014/main" id="{10C8EF5A-BDF2-4FB4-B3DE-1446FCDD6ECD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7" name="$E$109">
            <a:extLst>
              <a:ext uri="{FF2B5EF4-FFF2-40B4-BE49-F238E27FC236}">
                <a16:creationId xmlns:a16="http://schemas.microsoft.com/office/drawing/2014/main" id="{286B2FE8-8016-4B31-8815-49C13B347B5C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8" name="$E$109">
            <a:extLst>
              <a:ext uri="{FF2B5EF4-FFF2-40B4-BE49-F238E27FC236}">
                <a16:creationId xmlns:a16="http://schemas.microsoft.com/office/drawing/2014/main" id="{ED6713D8-4A64-4C21-BC47-5BE5506EBD10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89" name="$E$109">
            <a:extLst>
              <a:ext uri="{FF2B5EF4-FFF2-40B4-BE49-F238E27FC236}">
                <a16:creationId xmlns:a16="http://schemas.microsoft.com/office/drawing/2014/main" id="{EAF9C049-114A-42EE-9DD9-67F67A4B8D25}"/>
              </a:ext>
            </a:extLst>
          </xdr:cNvPr>
          <xdr:cNvSpPr/>
        </xdr:nvSpPr>
        <xdr:spPr>
          <a:xfrm>
            <a:off x="63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0" name="$E$109">
            <a:extLst>
              <a:ext uri="{FF2B5EF4-FFF2-40B4-BE49-F238E27FC236}">
                <a16:creationId xmlns:a16="http://schemas.microsoft.com/office/drawing/2014/main" id="{DACF7BCE-47DE-4B37-B5B7-0DBDBFAB2474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1" name="$E$109">
            <a:extLst>
              <a:ext uri="{FF2B5EF4-FFF2-40B4-BE49-F238E27FC236}">
                <a16:creationId xmlns:a16="http://schemas.microsoft.com/office/drawing/2014/main" id="{29C48E39-D435-47B0-A87C-79DC971CE6B9}"/>
              </a:ext>
            </a:extLst>
          </xdr:cNvPr>
          <xdr:cNvSpPr/>
        </xdr:nvSpPr>
        <xdr:spPr>
          <a:xfrm>
            <a:off x="88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2" name="$E$109">
            <a:extLst>
              <a:ext uri="{FF2B5EF4-FFF2-40B4-BE49-F238E27FC236}">
                <a16:creationId xmlns:a16="http://schemas.microsoft.com/office/drawing/2014/main" id="{C21F890E-BC04-4F9C-8DA1-4A8EEB9F6613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3" name="$E$109">
            <a:extLst>
              <a:ext uri="{FF2B5EF4-FFF2-40B4-BE49-F238E27FC236}">
                <a16:creationId xmlns:a16="http://schemas.microsoft.com/office/drawing/2014/main" id="{638EB5D1-0394-4B50-946C-ED47D632EAA0}"/>
              </a:ext>
            </a:extLst>
          </xdr:cNvPr>
          <xdr:cNvSpPr/>
        </xdr:nvSpPr>
        <xdr:spPr>
          <a:xfrm>
            <a:off x="127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4" name="$E$109">
            <a:extLst>
              <a:ext uri="{FF2B5EF4-FFF2-40B4-BE49-F238E27FC236}">
                <a16:creationId xmlns:a16="http://schemas.microsoft.com/office/drawing/2014/main" id="{FAC2CED2-00B3-4B1C-B56F-758586F77CDD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5" name="$E$109">
            <a:extLst>
              <a:ext uri="{FF2B5EF4-FFF2-40B4-BE49-F238E27FC236}">
                <a16:creationId xmlns:a16="http://schemas.microsoft.com/office/drawing/2014/main" id="{5B5D9E08-3782-461E-9237-7EAC384CF006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6" name="$E$109">
            <a:extLst>
              <a:ext uri="{FF2B5EF4-FFF2-40B4-BE49-F238E27FC236}">
                <a16:creationId xmlns:a16="http://schemas.microsoft.com/office/drawing/2014/main" id="{41B01422-0E3E-4340-BE7A-A15E35D65F40}"/>
              </a:ext>
            </a:extLst>
          </xdr:cNvPr>
          <xdr:cNvSpPr/>
        </xdr:nvSpPr>
        <xdr:spPr>
          <a:xfrm>
            <a:off x="165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7" name="$E$109">
            <a:extLst>
              <a:ext uri="{FF2B5EF4-FFF2-40B4-BE49-F238E27FC236}">
                <a16:creationId xmlns:a16="http://schemas.microsoft.com/office/drawing/2014/main" id="{0E2C3100-4795-4A9E-96DC-4F445DDA0002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8" name="$E$109">
            <a:extLst>
              <a:ext uri="{FF2B5EF4-FFF2-40B4-BE49-F238E27FC236}">
                <a16:creationId xmlns:a16="http://schemas.microsoft.com/office/drawing/2014/main" id="{26BAFEDC-E927-4CA5-BF8D-EE790A08B7FE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399" name="$E$109">
            <a:extLst>
              <a:ext uri="{FF2B5EF4-FFF2-40B4-BE49-F238E27FC236}">
                <a16:creationId xmlns:a16="http://schemas.microsoft.com/office/drawing/2014/main" id="{6F12972F-031E-4DAA-866F-AB1A12006135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0" name="$E$109">
            <a:extLst>
              <a:ext uri="{FF2B5EF4-FFF2-40B4-BE49-F238E27FC236}">
                <a16:creationId xmlns:a16="http://schemas.microsoft.com/office/drawing/2014/main" id="{D5408E88-0C10-4A9F-89ED-AEC00CAA38CD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1" name="$E$109">
            <a:extLst>
              <a:ext uri="{FF2B5EF4-FFF2-40B4-BE49-F238E27FC236}">
                <a16:creationId xmlns:a16="http://schemas.microsoft.com/office/drawing/2014/main" id="{92CDAE14-3AAE-48C1-AA19-12E5C6A67D8B}"/>
              </a:ext>
            </a:extLst>
          </xdr:cNvPr>
          <xdr:cNvSpPr/>
        </xdr:nvSpPr>
        <xdr:spPr>
          <a:xfrm>
            <a:off x="292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2" name="$E$109">
            <a:extLst>
              <a:ext uri="{FF2B5EF4-FFF2-40B4-BE49-F238E27FC236}">
                <a16:creationId xmlns:a16="http://schemas.microsoft.com/office/drawing/2014/main" id="{469472DB-E424-481B-9E77-795C9EC65B97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3" name="$E$109">
            <a:extLst>
              <a:ext uri="{FF2B5EF4-FFF2-40B4-BE49-F238E27FC236}">
                <a16:creationId xmlns:a16="http://schemas.microsoft.com/office/drawing/2014/main" id="{C65D4A7E-121D-4BF5-9961-1733AB05A4D8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4" name="$E$109">
            <a:extLst>
              <a:ext uri="{FF2B5EF4-FFF2-40B4-BE49-F238E27FC236}">
                <a16:creationId xmlns:a16="http://schemas.microsoft.com/office/drawing/2014/main" id="{19C6B6D0-A1A6-4B0B-9925-6250BC4B533A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5" name="$E$109">
            <a:extLst>
              <a:ext uri="{FF2B5EF4-FFF2-40B4-BE49-F238E27FC236}">
                <a16:creationId xmlns:a16="http://schemas.microsoft.com/office/drawing/2014/main" id="{BF2489E2-DBDC-4341-804B-5CB1BB4BFE71}"/>
              </a:ext>
            </a:extLst>
          </xdr:cNvPr>
          <xdr:cNvSpPr/>
        </xdr:nvSpPr>
        <xdr:spPr>
          <a:xfrm>
            <a:off x="381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6" name="$E$109">
            <a:extLst>
              <a:ext uri="{FF2B5EF4-FFF2-40B4-BE49-F238E27FC236}">
                <a16:creationId xmlns:a16="http://schemas.microsoft.com/office/drawing/2014/main" id="{75143A9C-A05B-40E7-95ED-B73C1253B9DD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7" name="$E$109">
            <a:extLst>
              <a:ext uri="{FF2B5EF4-FFF2-40B4-BE49-F238E27FC236}">
                <a16:creationId xmlns:a16="http://schemas.microsoft.com/office/drawing/2014/main" id="{20AB9AF0-4E5F-420D-98BE-A8D4D677593B}"/>
              </a:ext>
            </a:extLst>
          </xdr:cNvPr>
          <xdr:cNvSpPr/>
        </xdr:nvSpPr>
        <xdr:spPr>
          <a:xfrm>
            <a:off x="431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8" name="$E$109">
            <a:extLst>
              <a:ext uri="{FF2B5EF4-FFF2-40B4-BE49-F238E27FC236}">
                <a16:creationId xmlns:a16="http://schemas.microsoft.com/office/drawing/2014/main" id="{BB0935EC-53BE-42D1-8D63-509C3C6C8623}"/>
              </a:ext>
            </a:extLst>
          </xdr:cNvPr>
          <xdr:cNvSpPr/>
        </xdr:nvSpPr>
        <xdr:spPr>
          <a:xfrm>
            <a:off x="457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09" name="$E$109">
            <a:extLst>
              <a:ext uri="{FF2B5EF4-FFF2-40B4-BE49-F238E27FC236}">
                <a16:creationId xmlns:a16="http://schemas.microsoft.com/office/drawing/2014/main" id="{79A235B2-BC7E-41B9-9B3A-66F981C1BB72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0" name="$E$109">
            <a:extLst>
              <a:ext uri="{FF2B5EF4-FFF2-40B4-BE49-F238E27FC236}">
                <a16:creationId xmlns:a16="http://schemas.microsoft.com/office/drawing/2014/main" id="{3E9BA8F9-6382-4155-914B-1CA8B0C85740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1" name="$E$109">
            <a:extLst>
              <a:ext uri="{FF2B5EF4-FFF2-40B4-BE49-F238E27FC236}">
                <a16:creationId xmlns:a16="http://schemas.microsoft.com/office/drawing/2014/main" id="{DD931C77-3925-4362-A263-FD9C8C0FFAA5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2" name="$E$109">
            <a:extLst>
              <a:ext uri="{FF2B5EF4-FFF2-40B4-BE49-F238E27FC236}">
                <a16:creationId xmlns:a16="http://schemas.microsoft.com/office/drawing/2014/main" id="{E1073841-0279-4548-A2D8-3F4A91947266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3" name="$E$109">
            <a:extLst>
              <a:ext uri="{FF2B5EF4-FFF2-40B4-BE49-F238E27FC236}">
                <a16:creationId xmlns:a16="http://schemas.microsoft.com/office/drawing/2014/main" id="{BB6493C9-902D-4F24-B206-BA7D6BD5664A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4" name="$E$109">
            <a:extLst>
              <a:ext uri="{FF2B5EF4-FFF2-40B4-BE49-F238E27FC236}">
                <a16:creationId xmlns:a16="http://schemas.microsoft.com/office/drawing/2014/main" id="{60B9E7D9-7DBC-4681-ABC1-59F2E9A898BA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5" name="$E$109">
            <a:extLst>
              <a:ext uri="{FF2B5EF4-FFF2-40B4-BE49-F238E27FC236}">
                <a16:creationId xmlns:a16="http://schemas.microsoft.com/office/drawing/2014/main" id="{E60DF937-7702-4FB4-AED8-56AD524DB2A5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6" name="$E$109">
            <a:extLst>
              <a:ext uri="{FF2B5EF4-FFF2-40B4-BE49-F238E27FC236}">
                <a16:creationId xmlns:a16="http://schemas.microsoft.com/office/drawing/2014/main" id="{D778D654-B492-44DD-99FB-2379E911AB2D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7" name="$E$109">
            <a:extLst>
              <a:ext uri="{FF2B5EF4-FFF2-40B4-BE49-F238E27FC236}">
                <a16:creationId xmlns:a16="http://schemas.microsoft.com/office/drawing/2014/main" id="{48D500F3-EFDD-44FC-9722-67E46D65B56D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8" name="$E$109">
            <a:extLst>
              <a:ext uri="{FF2B5EF4-FFF2-40B4-BE49-F238E27FC236}">
                <a16:creationId xmlns:a16="http://schemas.microsoft.com/office/drawing/2014/main" id="{D7DD34EA-0670-45B7-92C3-3582A7081847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19" name="$E$109">
            <a:extLst>
              <a:ext uri="{FF2B5EF4-FFF2-40B4-BE49-F238E27FC236}">
                <a16:creationId xmlns:a16="http://schemas.microsoft.com/office/drawing/2014/main" id="{3ADDB8F2-3036-41D7-96E3-13BC3E2572AF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0" name="$E$109">
            <a:extLst>
              <a:ext uri="{FF2B5EF4-FFF2-40B4-BE49-F238E27FC236}">
                <a16:creationId xmlns:a16="http://schemas.microsoft.com/office/drawing/2014/main" id="{13C35972-51BA-4555-9E6C-B91E72F2204F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1" name="$E$109">
            <a:extLst>
              <a:ext uri="{FF2B5EF4-FFF2-40B4-BE49-F238E27FC236}">
                <a16:creationId xmlns:a16="http://schemas.microsoft.com/office/drawing/2014/main" id="{F9CA33F5-8D6D-4DA6-AB1B-5924F89ADB00}"/>
              </a:ext>
            </a:extLst>
          </xdr:cNvPr>
          <xdr:cNvSpPr/>
        </xdr:nvSpPr>
        <xdr:spPr>
          <a:xfrm>
            <a:off x="368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2" name="$E$109">
            <a:extLst>
              <a:ext uri="{FF2B5EF4-FFF2-40B4-BE49-F238E27FC236}">
                <a16:creationId xmlns:a16="http://schemas.microsoft.com/office/drawing/2014/main" id="{11C5D8D5-A27D-46DE-BF75-C5B513E80D45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3" name="$E$109">
            <a:extLst>
              <a:ext uri="{FF2B5EF4-FFF2-40B4-BE49-F238E27FC236}">
                <a16:creationId xmlns:a16="http://schemas.microsoft.com/office/drawing/2014/main" id="{0339F42A-75C6-4FAC-8D18-96E7E2EE867A}"/>
              </a:ext>
            </a:extLst>
          </xdr:cNvPr>
          <xdr:cNvSpPr/>
        </xdr:nvSpPr>
        <xdr:spPr>
          <a:xfrm>
            <a:off x="457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4" name="$E$109">
            <a:extLst>
              <a:ext uri="{FF2B5EF4-FFF2-40B4-BE49-F238E27FC236}">
                <a16:creationId xmlns:a16="http://schemas.microsoft.com/office/drawing/2014/main" id="{7076EC70-D8C2-414E-8AE0-DFA562702117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5" name="$E$109">
            <a:extLst>
              <a:ext uri="{FF2B5EF4-FFF2-40B4-BE49-F238E27FC236}">
                <a16:creationId xmlns:a16="http://schemas.microsoft.com/office/drawing/2014/main" id="{9317B056-58FE-41F5-BF33-805BF135E09A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6" name="$E$109">
            <a:extLst>
              <a:ext uri="{FF2B5EF4-FFF2-40B4-BE49-F238E27FC236}">
                <a16:creationId xmlns:a16="http://schemas.microsoft.com/office/drawing/2014/main" id="{05E269F7-BBA4-4A98-9C24-48DD495CC47A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7" name="$E$109">
            <a:extLst>
              <a:ext uri="{FF2B5EF4-FFF2-40B4-BE49-F238E27FC236}">
                <a16:creationId xmlns:a16="http://schemas.microsoft.com/office/drawing/2014/main" id="{36BADFB2-C537-4098-A4D3-7C1D0FDE63CE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8" name="$E$109">
            <a:extLst>
              <a:ext uri="{FF2B5EF4-FFF2-40B4-BE49-F238E27FC236}">
                <a16:creationId xmlns:a16="http://schemas.microsoft.com/office/drawing/2014/main" id="{410D535C-B5CB-4054-B626-FDBDAF4C414E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29" name="$E$109">
            <a:extLst>
              <a:ext uri="{FF2B5EF4-FFF2-40B4-BE49-F238E27FC236}">
                <a16:creationId xmlns:a16="http://schemas.microsoft.com/office/drawing/2014/main" id="{3FF37E9E-B4B8-464C-88CA-8C52D45743EE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0" name="$E$109">
            <a:extLst>
              <a:ext uri="{FF2B5EF4-FFF2-40B4-BE49-F238E27FC236}">
                <a16:creationId xmlns:a16="http://schemas.microsoft.com/office/drawing/2014/main" id="{825DC947-9071-4C6E-A1E7-B70549F7A8C2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1" name="$E$109">
            <a:extLst>
              <a:ext uri="{FF2B5EF4-FFF2-40B4-BE49-F238E27FC236}">
                <a16:creationId xmlns:a16="http://schemas.microsoft.com/office/drawing/2014/main" id="{D229C02F-8B2E-483D-B9B4-644432E0E198}"/>
              </a:ext>
            </a:extLst>
          </xdr:cNvPr>
          <xdr:cNvSpPr/>
        </xdr:nvSpPr>
        <xdr:spPr>
          <a:xfrm>
            <a:off x="177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2" name="$E$109">
            <a:extLst>
              <a:ext uri="{FF2B5EF4-FFF2-40B4-BE49-F238E27FC236}">
                <a16:creationId xmlns:a16="http://schemas.microsoft.com/office/drawing/2014/main" id="{3CAFE99F-1929-4B64-A315-C200AF3F1007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3" name="$E$109">
            <a:extLst>
              <a:ext uri="{FF2B5EF4-FFF2-40B4-BE49-F238E27FC236}">
                <a16:creationId xmlns:a16="http://schemas.microsoft.com/office/drawing/2014/main" id="{25E299EA-75C3-4A29-A0B8-939D247E790C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4" name="$E$109">
            <a:extLst>
              <a:ext uri="{FF2B5EF4-FFF2-40B4-BE49-F238E27FC236}">
                <a16:creationId xmlns:a16="http://schemas.microsoft.com/office/drawing/2014/main" id="{E26A2EC0-8E56-4D7B-870C-7D3A70B7AD3C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5" name="$E$109">
            <a:extLst>
              <a:ext uri="{FF2B5EF4-FFF2-40B4-BE49-F238E27FC236}">
                <a16:creationId xmlns:a16="http://schemas.microsoft.com/office/drawing/2014/main" id="{50990BC0-CE47-4BE0-BC10-4E38F99E100F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6" name="$E$109">
            <a:extLst>
              <a:ext uri="{FF2B5EF4-FFF2-40B4-BE49-F238E27FC236}">
                <a16:creationId xmlns:a16="http://schemas.microsoft.com/office/drawing/2014/main" id="{AFD8BEE8-C26D-4F73-AEB7-147FC8F33203}"/>
              </a:ext>
            </a:extLst>
          </xdr:cNvPr>
          <xdr:cNvSpPr/>
        </xdr:nvSpPr>
        <xdr:spPr>
          <a:xfrm>
            <a:off x="330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7" name="$E$109">
            <a:extLst>
              <a:ext uri="{FF2B5EF4-FFF2-40B4-BE49-F238E27FC236}">
                <a16:creationId xmlns:a16="http://schemas.microsoft.com/office/drawing/2014/main" id="{DEBDD165-6AE7-42B3-8657-295BBC9E2F27}"/>
              </a:ext>
            </a:extLst>
          </xdr:cNvPr>
          <xdr:cNvSpPr/>
        </xdr:nvSpPr>
        <xdr:spPr>
          <a:xfrm>
            <a:off x="342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8" name="$E$109">
            <a:extLst>
              <a:ext uri="{FF2B5EF4-FFF2-40B4-BE49-F238E27FC236}">
                <a16:creationId xmlns:a16="http://schemas.microsoft.com/office/drawing/2014/main" id="{B8397705-7355-498F-AB82-C77395EBE751}"/>
              </a:ext>
            </a:extLst>
          </xdr:cNvPr>
          <xdr:cNvSpPr/>
        </xdr:nvSpPr>
        <xdr:spPr>
          <a:xfrm>
            <a:off x="368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39" name="$E$109">
            <a:extLst>
              <a:ext uri="{FF2B5EF4-FFF2-40B4-BE49-F238E27FC236}">
                <a16:creationId xmlns:a16="http://schemas.microsoft.com/office/drawing/2014/main" id="{DB3BAD21-F549-4417-9CFD-B5E845BA6710}"/>
              </a:ext>
            </a:extLst>
          </xdr:cNvPr>
          <xdr:cNvSpPr/>
        </xdr:nvSpPr>
        <xdr:spPr>
          <a:xfrm>
            <a:off x="381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0" name="$E$109">
            <a:extLst>
              <a:ext uri="{FF2B5EF4-FFF2-40B4-BE49-F238E27FC236}">
                <a16:creationId xmlns:a16="http://schemas.microsoft.com/office/drawing/2014/main" id="{4E5C494E-6350-4275-8522-5C392F754515}"/>
              </a:ext>
            </a:extLst>
          </xdr:cNvPr>
          <xdr:cNvSpPr/>
        </xdr:nvSpPr>
        <xdr:spPr>
          <a:xfrm>
            <a:off x="406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1" name="$E$109">
            <a:extLst>
              <a:ext uri="{FF2B5EF4-FFF2-40B4-BE49-F238E27FC236}">
                <a16:creationId xmlns:a16="http://schemas.microsoft.com/office/drawing/2014/main" id="{47C9A03F-1225-4B6C-8A55-09DD7189E2DA}"/>
              </a:ext>
            </a:extLst>
          </xdr:cNvPr>
          <xdr:cNvSpPr/>
        </xdr:nvSpPr>
        <xdr:spPr>
          <a:xfrm>
            <a:off x="419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2" name="$E$109">
            <a:extLst>
              <a:ext uri="{FF2B5EF4-FFF2-40B4-BE49-F238E27FC236}">
                <a16:creationId xmlns:a16="http://schemas.microsoft.com/office/drawing/2014/main" id="{E396D3A4-57FA-454D-AEC3-A336EBF3D67F}"/>
              </a:ext>
            </a:extLst>
          </xdr:cNvPr>
          <xdr:cNvSpPr/>
        </xdr:nvSpPr>
        <xdr:spPr>
          <a:xfrm>
            <a:off x="431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3" name="$E$109">
            <a:extLst>
              <a:ext uri="{FF2B5EF4-FFF2-40B4-BE49-F238E27FC236}">
                <a16:creationId xmlns:a16="http://schemas.microsoft.com/office/drawing/2014/main" id="{E05C4B92-18B1-46C4-BA83-ABF0D320FDAD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4" name="$E$109">
            <a:extLst>
              <a:ext uri="{FF2B5EF4-FFF2-40B4-BE49-F238E27FC236}">
                <a16:creationId xmlns:a16="http://schemas.microsoft.com/office/drawing/2014/main" id="{E2D1654C-28C6-45FB-BE48-63EC7F65104D}"/>
              </a:ext>
            </a:extLst>
          </xdr:cNvPr>
          <xdr:cNvSpPr/>
        </xdr:nvSpPr>
        <xdr:spPr>
          <a:xfrm>
            <a:off x="12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5" name="$E$109">
            <a:extLst>
              <a:ext uri="{FF2B5EF4-FFF2-40B4-BE49-F238E27FC236}">
                <a16:creationId xmlns:a16="http://schemas.microsoft.com/office/drawing/2014/main" id="{4C7DC87B-BC3B-40D3-8B5D-FBCC6DF58EAF}"/>
              </a:ext>
            </a:extLst>
          </xdr:cNvPr>
          <xdr:cNvSpPr/>
        </xdr:nvSpPr>
        <xdr:spPr>
          <a:xfrm>
            <a:off x="63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6" name="$E$109">
            <a:extLst>
              <a:ext uri="{FF2B5EF4-FFF2-40B4-BE49-F238E27FC236}">
                <a16:creationId xmlns:a16="http://schemas.microsoft.com/office/drawing/2014/main" id="{2373853A-E5C2-43E0-9C60-89182C1DA860}"/>
              </a:ext>
            </a:extLst>
          </xdr:cNvPr>
          <xdr:cNvSpPr/>
        </xdr:nvSpPr>
        <xdr:spPr>
          <a:xfrm>
            <a:off x="88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7" name="$E$109">
            <a:extLst>
              <a:ext uri="{FF2B5EF4-FFF2-40B4-BE49-F238E27FC236}">
                <a16:creationId xmlns:a16="http://schemas.microsoft.com/office/drawing/2014/main" id="{A7637D8E-DBE8-4445-BE32-DA2D694D4165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8" name="$E$109">
            <a:extLst>
              <a:ext uri="{FF2B5EF4-FFF2-40B4-BE49-F238E27FC236}">
                <a16:creationId xmlns:a16="http://schemas.microsoft.com/office/drawing/2014/main" id="{94567644-3A6A-49AD-8E82-EB0B1C5FF0D7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49" name="$E$109">
            <a:extLst>
              <a:ext uri="{FF2B5EF4-FFF2-40B4-BE49-F238E27FC236}">
                <a16:creationId xmlns:a16="http://schemas.microsoft.com/office/drawing/2014/main" id="{64BB1614-0A85-4DCA-8097-C3A8628A52E0}"/>
              </a:ext>
            </a:extLst>
          </xdr:cNvPr>
          <xdr:cNvSpPr/>
        </xdr:nvSpPr>
        <xdr:spPr>
          <a:xfrm>
            <a:off x="165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0" name="$E$109">
            <a:extLst>
              <a:ext uri="{FF2B5EF4-FFF2-40B4-BE49-F238E27FC236}">
                <a16:creationId xmlns:a16="http://schemas.microsoft.com/office/drawing/2014/main" id="{49165DE6-8C7F-4437-94DD-DBF9010146C6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1" name="$E$109">
            <a:extLst>
              <a:ext uri="{FF2B5EF4-FFF2-40B4-BE49-F238E27FC236}">
                <a16:creationId xmlns:a16="http://schemas.microsoft.com/office/drawing/2014/main" id="{576D9F4B-E909-4DF8-8780-1C0FB1683794}"/>
              </a:ext>
            </a:extLst>
          </xdr:cNvPr>
          <xdr:cNvSpPr/>
        </xdr:nvSpPr>
        <xdr:spPr>
          <a:xfrm>
            <a:off x="215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2" name="$E$109">
            <a:extLst>
              <a:ext uri="{FF2B5EF4-FFF2-40B4-BE49-F238E27FC236}">
                <a16:creationId xmlns:a16="http://schemas.microsoft.com/office/drawing/2014/main" id="{8158CB67-AD29-4F50-8D9B-F1DB5B39858B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3" name="$E$109">
            <a:extLst>
              <a:ext uri="{FF2B5EF4-FFF2-40B4-BE49-F238E27FC236}">
                <a16:creationId xmlns:a16="http://schemas.microsoft.com/office/drawing/2014/main" id="{CE7F0EA0-06B5-41F0-8FC0-82D2A4DF33DD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4" name="$E$109">
            <a:extLst>
              <a:ext uri="{FF2B5EF4-FFF2-40B4-BE49-F238E27FC236}">
                <a16:creationId xmlns:a16="http://schemas.microsoft.com/office/drawing/2014/main" id="{08D41F9C-8851-4A1D-8D59-19470C7C86A4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5" name="$E$109">
            <a:extLst>
              <a:ext uri="{FF2B5EF4-FFF2-40B4-BE49-F238E27FC236}">
                <a16:creationId xmlns:a16="http://schemas.microsoft.com/office/drawing/2014/main" id="{A15AF758-95C3-4D46-8FC9-9356C7E63DEC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6" name="$E$109">
            <a:extLst>
              <a:ext uri="{FF2B5EF4-FFF2-40B4-BE49-F238E27FC236}">
                <a16:creationId xmlns:a16="http://schemas.microsoft.com/office/drawing/2014/main" id="{E4FC214E-2100-49FB-9AC8-0277B04BB385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7" name="$E$109">
            <a:extLst>
              <a:ext uri="{FF2B5EF4-FFF2-40B4-BE49-F238E27FC236}">
                <a16:creationId xmlns:a16="http://schemas.microsoft.com/office/drawing/2014/main" id="{E86F1849-AC2B-495F-A75F-623816C5AF6C}"/>
              </a:ext>
            </a:extLst>
          </xdr:cNvPr>
          <xdr:cNvSpPr/>
        </xdr:nvSpPr>
        <xdr:spPr>
          <a:xfrm>
            <a:off x="342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8" name="$E$109">
            <a:extLst>
              <a:ext uri="{FF2B5EF4-FFF2-40B4-BE49-F238E27FC236}">
                <a16:creationId xmlns:a16="http://schemas.microsoft.com/office/drawing/2014/main" id="{BB9BF59A-FA55-4699-8839-1D87D81B1671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59" name="$E$109">
            <a:extLst>
              <a:ext uri="{FF2B5EF4-FFF2-40B4-BE49-F238E27FC236}">
                <a16:creationId xmlns:a16="http://schemas.microsoft.com/office/drawing/2014/main" id="{8EE9AD79-C2AE-4220-B203-40E27BF9CF15}"/>
              </a:ext>
            </a:extLst>
          </xdr:cNvPr>
          <xdr:cNvSpPr/>
        </xdr:nvSpPr>
        <xdr:spPr>
          <a:xfrm>
            <a:off x="431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0" name="$E$109">
            <a:extLst>
              <a:ext uri="{FF2B5EF4-FFF2-40B4-BE49-F238E27FC236}">
                <a16:creationId xmlns:a16="http://schemas.microsoft.com/office/drawing/2014/main" id="{94FC3C3C-E033-47C4-8843-632AADB38539}"/>
              </a:ext>
            </a:extLst>
          </xdr:cNvPr>
          <xdr:cNvSpPr/>
        </xdr:nvSpPr>
        <xdr:spPr>
          <a:xfrm>
            <a:off x="444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1" name="$E$109">
            <a:extLst>
              <a:ext uri="{FF2B5EF4-FFF2-40B4-BE49-F238E27FC236}">
                <a16:creationId xmlns:a16="http://schemas.microsoft.com/office/drawing/2014/main" id="{9962E692-F7AB-4A0F-892A-180C1FB0D84B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2" name="$E$109">
            <a:extLst>
              <a:ext uri="{FF2B5EF4-FFF2-40B4-BE49-F238E27FC236}">
                <a16:creationId xmlns:a16="http://schemas.microsoft.com/office/drawing/2014/main" id="{26871047-9623-408E-A9C5-A498EB04F73F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3" name="$E$109">
            <a:extLst>
              <a:ext uri="{FF2B5EF4-FFF2-40B4-BE49-F238E27FC236}">
                <a16:creationId xmlns:a16="http://schemas.microsoft.com/office/drawing/2014/main" id="{B0721BD1-3168-49CC-9DED-A97A042FAAB6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4" name="$E$109">
            <a:extLst>
              <a:ext uri="{FF2B5EF4-FFF2-40B4-BE49-F238E27FC236}">
                <a16:creationId xmlns:a16="http://schemas.microsoft.com/office/drawing/2014/main" id="{C50CC039-FC86-445E-B22E-322DEA893A3C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5" name="$E$109">
            <a:extLst>
              <a:ext uri="{FF2B5EF4-FFF2-40B4-BE49-F238E27FC236}">
                <a16:creationId xmlns:a16="http://schemas.microsoft.com/office/drawing/2014/main" id="{C8DAA33D-BDFD-4D34-8125-F5F74B98EE29}"/>
              </a:ext>
            </a:extLst>
          </xdr:cNvPr>
          <xdr:cNvSpPr/>
        </xdr:nvSpPr>
        <xdr:spPr>
          <a:xfrm>
            <a:off x="88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6" name="$E$109">
            <a:extLst>
              <a:ext uri="{FF2B5EF4-FFF2-40B4-BE49-F238E27FC236}">
                <a16:creationId xmlns:a16="http://schemas.microsoft.com/office/drawing/2014/main" id="{1DAE9B72-A2AA-4CEE-B674-B0788276776E}"/>
              </a:ext>
            </a:extLst>
          </xdr:cNvPr>
          <xdr:cNvSpPr/>
        </xdr:nvSpPr>
        <xdr:spPr>
          <a:xfrm>
            <a:off x="139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7" name="$E$109">
            <a:extLst>
              <a:ext uri="{FF2B5EF4-FFF2-40B4-BE49-F238E27FC236}">
                <a16:creationId xmlns:a16="http://schemas.microsoft.com/office/drawing/2014/main" id="{EF34A80A-EDD5-4915-AEA1-848D2755420D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8" name="$E$109">
            <a:extLst>
              <a:ext uri="{FF2B5EF4-FFF2-40B4-BE49-F238E27FC236}">
                <a16:creationId xmlns:a16="http://schemas.microsoft.com/office/drawing/2014/main" id="{F41BAB19-89A4-47AE-8A06-A8BEB6032B9C}"/>
              </a:ext>
            </a:extLst>
          </xdr:cNvPr>
          <xdr:cNvSpPr/>
        </xdr:nvSpPr>
        <xdr:spPr>
          <a:xfrm>
            <a:off x="177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69" name="$E$109">
            <a:extLst>
              <a:ext uri="{FF2B5EF4-FFF2-40B4-BE49-F238E27FC236}">
                <a16:creationId xmlns:a16="http://schemas.microsoft.com/office/drawing/2014/main" id="{72AEB005-3B2A-43F6-8077-21E6A2E46FAC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0" name="$E$109">
            <a:extLst>
              <a:ext uri="{FF2B5EF4-FFF2-40B4-BE49-F238E27FC236}">
                <a16:creationId xmlns:a16="http://schemas.microsoft.com/office/drawing/2014/main" id="{C1C6F76A-5B6B-4D32-B3AF-C2D8A53919F7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1" name="$E$109">
            <a:extLst>
              <a:ext uri="{FF2B5EF4-FFF2-40B4-BE49-F238E27FC236}">
                <a16:creationId xmlns:a16="http://schemas.microsoft.com/office/drawing/2014/main" id="{EC3D050C-E86C-461B-B443-52A264E20909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2" name="$E$109">
            <a:extLst>
              <a:ext uri="{FF2B5EF4-FFF2-40B4-BE49-F238E27FC236}">
                <a16:creationId xmlns:a16="http://schemas.microsoft.com/office/drawing/2014/main" id="{A68C579D-9141-402B-961A-543ABA8C02B6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3" name="$E$109">
            <a:extLst>
              <a:ext uri="{FF2B5EF4-FFF2-40B4-BE49-F238E27FC236}">
                <a16:creationId xmlns:a16="http://schemas.microsoft.com/office/drawing/2014/main" id="{B2F5501E-A5A8-4B24-9915-C20462246B4D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4" name="$E$109">
            <a:extLst>
              <a:ext uri="{FF2B5EF4-FFF2-40B4-BE49-F238E27FC236}">
                <a16:creationId xmlns:a16="http://schemas.microsoft.com/office/drawing/2014/main" id="{9507610A-863E-4301-96E1-BEBA0EB822C7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5" name="$E$109">
            <a:extLst>
              <a:ext uri="{FF2B5EF4-FFF2-40B4-BE49-F238E27FC236}">
                <a16:creationId xmlns:a16="http://schemas.microsoft.com/office/drawing/2014/main" id="{6BD1BDAF-B971-438A-ADE3-7735B4909F8D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6" name="$E$109">
            <a:extLst>
              <a:ext uri="{FF2B5EF4-FFF2-40B4-BE49-F238E27FC236}">
                <a16:creationId xmlns:a16="http://schemas.microsoft.com/office/drawing/2014/main" id="{0860D868-16EC-41CB-8EBA-A2C0CF7CEE3C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7" name="$E$109">
            <a:extLst>
              <a:ext uri="{FF2B5EF4-FFF2-40B4-BE49-F238E27FC236}">
                <a16:creationId xmlns:a16="http://schemas.microsoft.com/office/drawing/2014/main" id="{A112B42B-1289-4753-AB95-A75B847BE284}"/>
              </a:ext>
            </a:extLst>
          </xdr:cNvPr>
          <xdr:cNvSpPr/>
        </xdr:nvSpPr>
        <xdr:spPr>
          <a:xfrm>
            <a:off x="406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8" name="$E$109">
            <a:extLst>
              <a:ext uri="{FF2B5EF4-FFF2-40B4-BE49-F238E27FC236}">
                <a16:creationId xmlns:a16="http://schemas.microsoft.com/office/drawing/2014/main" id="{3F195FD7-4A78-4594-A479-6FCFF6A8AEC4}"/>
              </a:ext>
            </a:extLst>
          </xdr:cNvPr>
          <xdr:cNvSpPr/>
        </xdr:nvSpPr>
        <xdr:spPr>
          <a:xfrm>
            <a:off x="419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79" name="$E$109">
            <a:extLst>
              <a:ext uri="{FF2B5EF4-FFF2-40B4-BE49-F238E27FC236}">
                <a16:creationId xmlns:a16="http://schemas.microsoft.com/office/drawing/2014/main" id="{74765047-2E7B-4862-BE9A-F1475776EC96}"/>
              </a:ext>
            </a:extLst>
          </xdr:cNvPr>
          <xdr:cNvSpPr/>
        </xdr:nvSpPr>
        <xdr:spPr>
          <a:xfrm>
            <a:off x="444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0" name="$E$109">
            <a:extLst>
              <a:ext uri="{FF2B5EF4-FFF2-40B4-BE49-F238E27FC236}">
                <a16:creationId xmlns:a16="http://schemas.microsoft.com/office/drawing/2014/main" id="{4F1308CE-05E3-4516-8FF4-7279EE674F94}"/>
              </a:ext>
            </a:extLst>
          </xdr:cNvPr>
          <xdr:cNvSpPr/>
        </xdr:nvSpPr>
        <xdr:spPr>
          <a:xfrm>
            <a:off x="457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1" name="$E$109">
            <a:extLst>
              <a:ext uri="{FF2B5EF4-FFF2-40B4-BE49-F238E27FC236}">
                <a16:creationId xmlns:a16="http://schemas.microsoft.com/office/drawing/2014/main" id="{E6956A38-2AD1-43CF-B9F9-2716EAE9C6E8}"/>
              </a:ext>
            </a:extLst>
          </xdr:cNvPr>
          <xdr:cNvSpPr/>
        </xdr:nvSpPr>
        <xdr:spPr>
          <a:xfrm>
            <a:off x="12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2" name="$E$109">
            <a:extLst>
              <a:ext uri="{FF2B5EF4-FFF2-40B4-BE49-F238E27FC236}">
                <a16:creationId xmlns:a16="http://schemas.microsoft.com/office/drawing/2014/main" id="{95E5C77F-0995-4D55-B179-2240CEBD6085}"/>
              </a:ext>
            </a:extLst>
          </xdr:cNvPr>
          <xdr:cNvSpPr/>
        </xdr:nvSpPr>
        <xdr:spPr>
          <a:xfrm>
            <a:off x="25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3" name="$E$109">
            <a:extLst>
              <a:ext uri="{FF2B5EF4-FFF2-40B4-BE49-F238E27FC236}">
                <a16:creationId xmlns:a16="http://schemas.microsoft.com/office/drawing/2014/main" id="{3553E84B-D9C6-434D-A638-E6762E278CE3}"/>
              </a:ext>
            </a:extLst>
          </xdr:cNvPr>
          <xdr:cNvSpPr/>
        </xdr:nvSpPr>
        <xdr:spPr>
          <a:xfrm>
            <a:off x="88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4" name="$E$109">
            <a:extLst>
              <a:ext uri="{FF2B5EF4-FFF2-40B4-BE49-F238E27FC236}">
                <a16:creationId xmlns:a16="http://schemas.microsoft.com/office/drawing/2014/main" id="{67DFEBD9-C0E4-4FC6-8491-5937BEC12748}"/>
              </a:ext>
            </a:extLst>
          </xdr:cNvPr>
          <xdr:cNvSpPr/>
        </xdr:nvSpPr>
        <xdr:spPr>
          <a:xfrm>
            <a:off x="114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5" name="$E$109">
            <a:extLst>
              <a:ext uri="{FF2B5EF4-FFF2-40B4-BE49-F238E27FC236}">
                <a16:creationId xmlns:a16="http://schemas.microsoft.com/office/drawing/2014/main" id="{3984A54A-CDF0-461E-8400-25340641C0DD}"/>
              </a:ext>
            </a:extLst>
          </xdr:cNvPr>
          <xdr:cNvSpPr/>
        </xdr:nvSpPr>
        <xdr:spPr>
          <a:xfrm>
            <a:off x="127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6" name="$E$109">
            <a:extLst>
              <a:ext uri="{FF2B5EF4-FFF2-40B4-BE49-F238E27FC236}">
                <a16:creationId xmlns:a16="http://schemas.microsoft.com/office/drawing/2014/main" id="{7C24ACD2-062E-4813-B46E-B98C345EC76C}"/>
              </a:ext>
            </a:extLst>
          </xdr:cNvPr>
          <xdr:cNvSpPr/>
        </xdr:nvSpPr>
        <xdr:spPr>
          <a:xfrm>
            <a:off x="165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7" name="$E$109">
            <a:extLst>
              <a:ext uri="{FF2B5EF4-FFF2-40B4-BE49-F238E27FC236}">
                <a16:creationId xmlns:a16="http://schemas.microsoft.com/office/drawing/2014/main" id="{33797D51-7FB9-4AB6-87DD-E3B938044988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8" name="$E$109">
            <a:extLst>
              <a:ext uri="{FF2B5EF4-FFF2-40B4-BE49-F238E27FC236}">
                <a16:creationId xmlns:a16="http://schemas.microsoft.com/office/drawing/2014/main" id="{A43A0DBC-82BA-48AB-A793-22B44FC9EB9B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89" name="$E$109">
            <a:extLst>
              <a:ext uri="{FF2B5EF4-FFF2-40B4-BE49-F238E27FC236}">
                <a16:creationId xmlns:a16="http://schemas.microsoft.com/office/drawing/2014/main" id="{16C3CDAF-D0FD-4184-A97C-8FA66563D6B1}"/>
              </a:ext>
            </a:extLst>
          </xdr:cNvPr>
          <xdr:cNvSpPr/>
        </xdr:nvSpPr>
        <xdr:spPr>
          <a:xfrm>
            <a:off x="228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0" name="$E$109">
            <a:extLst>
              <a:ext uri="{FF2B5EF4-FFF2-40B4-BE49-F238E27FC236}">
                <a16:creationId xmlns:a16="http://schemas.microsoft.com/office/drawing/2014/main" id="{DCB6DB50-CC68-494B-BB39-B7B95C681FCB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1" name="$E$109">
            <a:extLst>
              <a:ext uri="{FF2B5EF4-FFF2-40B4-BE49-F238E27FC236}">
                <a16:creationId xmlns:a16="http://schemas.microsoft.com/office/drawing/2014/main" id="{87608D0D-9BFD-4084-8D99-2BEEE7AC5AA9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2" name="$E$109">
            <a:extLst>
              <a:ext uri="{FF2B5EF4-FFF2-40B4-BE49-F238E27FC236}">
                <a16:creationId xmlns:a16="http://schemas.microsoft.com/office/drawing/2014/main" id="{2ABE8855-BA3A-47AA-B6F8-525EA54BD8BE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3" name="$E$109">
            <a:extLst>
              <a:ext uri="{FF2B5EF4-FFF2-40B4-BE49-F238E27FC236}">
                <a16:creationId xmlns:a16="http://schemas.microsoft.com/office/drawing/2014/main" id="{3836B8F2-D506-4282-9A63-850E4225AA08}"/>
              </a:ext>
            </a:extLst>
          </xdr:cNvPr>
          <xdr:cNvSpPr/>
        </xdr:nvSpPr>
        <xdr:spPr>
          <a:xfrm>
            <a:off x="342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4" name="$E$109">
            <a:extLst>
              <a:ext uri="{FF2B5EF4-FFF2-40B4-BE49-F238E27FC236}">
                <a16:creationId xmlns:a16="http://schemas.microsoft.com/office/drawing/2014/main" id="{511C46BE-08CF-48C2-A227-7FB50753BDC5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5" name="$E$109">
            <a:extLst>
              <a:ext uri="{FF2B5EF4-FFF2-40B4-BE49-F238E27FC236}">
                <a16:creationId xmlns:a16="http://schemas.microsoft.com/office/drawing/2014/main" id="{CC2E7A4D-6FDF-47F4-8CD6-99F4FE951F8C}"/>
              </a:ext>
            </a:extLst>
          </xdr:cNvPr>
          <xdr:cNvSpPr/>
        </xdr:nvSpPr>
        <xdr:spPr>
          <a:xfrm>
            <a:off x="393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6" name="$E$109">
            <a:extLst>
              <a:ext uri="{FF2B5EF4-FFF2-40B4-BE49-F238E27FC236}">
                <a16:creationId xmlns:a16="http://schemas.microsoft.com/office/drawing/2014/main" id="{1AB9D83A-5F3B-476E-BE8B-144FE2433C5F}"/>
              </a:ext>
            </a:extLst>
          </xdr:cNvPr>
          <xdr:cNvSpPr/>
        </xdr:nvSpPr>
        <xdr:spPr>
          <a:xfrm>
            <a:off x="406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7" name="$E$109">
            <a:extLst>
              <a:ext uri="{FF2B5EF4-FFF2-40B4-BE49-F238E27FC236}">
                <a16:creationId xmlns:a16="http://schemas.microsoft.com/office/drawing/2014/main" id="{F369A1E5-3A4C-4ADE-80E4-7909B295B8C9}"/>
              </a:ext>
            </a:extLst>
          </xdr:cNvPr>
          <xdr:cNvSpPr/>
        </xdr:nvSpPr>
        <xdr:spPr>
          <a:xfrm>
            <a:off x="4191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8" name="$E$109">
            <a:extLst>
              <a:ext uri="{FF2B5EF4-FFF2-40B4-BE49-F238E27FC236}">
                <a16:creationId xmlns:a16="http://schemas.microsoft.com/office/drawing/2014/main" id="{0EAE80A2-637C-4E98-8287-872951A08A7A}"/>
              </a:ext>
            </a:extLst>
          </xdr:cNvPr>
          <xdr:cNvSpPr/>
        </xdr:nvSpPr>
        <xdr:spPr>
          <a:xfrm>
            <a:off x="444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499" name="$E$109">
            <a:extLst>
              <a:ext uri="{FF2B5EF4-FFF2-40B4-BE49-F238E27FC236}">
                <a16:creationId xmlns:a16="http://schemas.microsoft.com/office/drawing/2014/main" id="{F443167C-42A9-4136-9492-34547A8D8F7A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0" name="$E$109">
            <a:extLst>
              <a:ext uri="{FF2B5EF4-FFF2-40B4-BE49-F238E27FC236}">
                <a16:creationId xmlns:a16="http://schemas.microsoft.com/office/drawing/2014/main" id="{96CCDB6A-42C2-4E15-8FBC-E93EA1CD903B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1" name="$E$109">
            <a:extLst>
              <a:ext uri="{FF2B5EF4-FFF2-40B4-BE49-F238E27FC236}">
                <a16:creationId xmlns:a16="http://schemas.microsoft.com/office/drawing/2014/main" id="{4D6016BB-A459-4A89-A9C3-DACCF47FBFB8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2" name="$E$109">
            <a:extLst>
              <a:ext uri="{FF2B5EF4-FFF2-40B4-BE49-F238E27FC236}">
                <a16:creationId xmlns:a16="http://schemas.microsoft.com/office/drawing/2014/main" id="{8124E3EC-9820-4F7A-A43F-5C1C91A322A3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3" name="$E$109">
            <a:extLst>
              <a:ext uri="{FF2B5EF4-FFF2-40B4-BE49-F238E27FC236}">
                <a16:creationId xmlns:a16="http://schemas.microsoft.com/office/drawing/2014/main" id="{97C863B1-5DDE-4651-AEAD-113D7C37EB5D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4" name="$E$109">
            <a:extLst>
              <a:ext uri="{FF2B5EF4-FFF2-40B4-BE49-F238E27FC236}">
                <a16:creationId xmlns:a16="http://schemas.microsoft.com/office/drawing/2014/main" id="{29FE45FB-E4A7-4BE5-88BB-38372D9A8EAE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5" name="$E$109">
            <a:extLst>
              <a:ext uri="{FF2B5EF4-FFF2-40B4-BE49-F238E27FC236}">
                <a16:creationId xmlns:a16="http://schemas.microsoft.com/office/drawing/2014/main" id="{33A498A6-6A75-4B9A-9B50-E1388D0D4457}"/>
              </a:ext>
            </a:extLst>
          </xdr:cNvPr>
          <xdr:cNvSpPr/>
        </xdr:nvSpPr>
        <xdr:spPr>
          <a:xfrm>
            <a:off x="101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6" name="$E$109">
            <a:extLst>
              <a:ext uri="{FF2B5EF4-FFF2-40B4-BE49-F238E27FC236}">
                <a16:creationId xmlns:a16="http://schemas.microsoft.com/office/drawing/2014/main" id="{FF97960D-B24F-4F50-B6B0-F884CE1FE699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7" name="$E$109">
            <a:extLst>
              <a:ext uri="{FF2B5EF4-FFF2-40B4-BE49-F238E27FC236}">
                <a16:creationId xmlns:a16="http://schemas.microsoft.com/office/drawing/2014/main" id="{EF13F316-692C-4E9B-A9B6-7FF2553E8231}"/>
              </a:ext>
            </a:extLst>
          </xdr:cNvPr>
          <xdr:cNvSpPr/>
        </xdr:nvSpPr>
        <xdr:spPr>
          <a:xfrm>
            <a:off x="152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8" name="$E$109">
            <a:extLst>
              <a:ext uri="{FF2B5EF4-FFF2-40B4-BE49-F238E27FC236}">
                <a16:creationId xmlns:a16="http://schemas.microsoft.com/office/drawing/2014/main" id="{F6865DF6-927D-4AED-ABB1-76CE63A31A4A}"/>
              </a:ext>
            </a:extLst>
          </xdr:cNvPr>
          <xdr:cNvSpPr/>
        </xdr:nvSpPr>
        <xdr:spPr>
          <a:xfrm>
            <a:off x="177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09" name="$E$109">
            <a:extLst>
              <a:ext uri="{FF2B5EF4-FFF2-40B4-BE49-F238E27FC236}">
                <a16:creationId xmlns:a16="http://schemas.microsoft.com/office/drawing/2014/main" id="{16EA669B-61BF-46B2-817E-4AC088EDBCAC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0" name="$E$109">
            <a:extLst>
              <a:ext uri="{FF2B5EF4-FFF2-40B4-BE49-F238E27FC236}">
                <a16:creationId xmlns:a16="http://schemas.microsoft.com/office/drawing/2014/main" id="{DFEA9411-2ABC-4EEE-886D-5BF78A7CCBD5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1" name="$E$109">
            <a:extLst>
              <a:ext uri="{FF2B5EF4-FFF2-40B4-BE49-F238E27FC236}">
                <a16:creationId xmlns:a16="http://schemas.microsoft.com/office/drawing/2014/main" id="{BF7352CD-8F31-4750-A00D-D3AC1D09EA86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2" name="$E$109">
            <a:extLst>
              <a:ext uri="{FF2B5EF4-FFF2-40B4-BE49-F238E27FC236}">
                <a16:creationId xmlns:a16="http://schemas.microsoft.com/office/drawing/2014/main" id="{EAFA1FFD-2975-4B0E-8949-9E8E3EA4B7CA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3" name="$E$109">
            <a:extLst>
              <a:ext uri="{FF2B5EF4-FFF2-40B4-BE49-F238E27FC236}">
                <a16:creationId xmlns:a16="http://schemas.microsoft.com/office/drawing/2014/main" id="{5C5D278F-E032-4FFE-B59E-CFB322F35BE6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4" name="$E$109">
            <a:extLst>
              <a:ext uri="{FF2B5EF4-FFF2-40B4-BE49-F238E27FC236}">
                <a16:creationId xmlns:a16="http://schemas.microsoft.com/office/drawing/2014/main" id="{207A30B8-C5A2-416D-A61A-BD29D2C5718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5" name="$E$109">
            <a:extLst>
              <a:ext uri="{FF2B5EF4-FFF2-40B4-BE49-F238E27FC236}">
                <a16:creationId xmlns:a16="http://schemas.microsoft.com/office/drawing/2014/main" id="{A6C89C65-141D-456A-906E-96253FB90529}"/>
              </a:ext>
            </a:extLst>
          </xdr:cNvPr>
          <xdr:cNvSpPr/>
        </xdr:nvSpPr>
        <xdr:spPr>
          <a:xfrm>
            <a:off x="381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6" name="$E$109">
            <a:extLst>
              <a:ext uri="{FF2B5EF4-FFF2-40B4-BE49-F238E27FC236}">
                <a16:creationId xmlns:a16="http://schemas.microsoft.com/office/drawing/2014/main" id="{7AD6041F-8AED-4536-876B-DBCD23D80E81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7" name="$E$109">
            <a:extLst>
              <a:ext uri="{FF2B5EF4-FFF2-40B4-BE49-F238E27FC236}">
                <a16:creationId xmlns:a16="http://schemas.microsoft.com/office/drawing/2014/main" id="{1CAFD21B-A2A3-48C0-BADF-9A35770E3E6E}"/>
              </a:ext>
            </a:extLst>
          </xdr:cNvPr>
          <xdr:cNvSpPr/>
        </xdr:nvSpPr>
        <xdr:spPr>
          <a:xfrm>
            <a:off x="12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8" name="$E$109">
            <a:extLst>
              <a:ext uri="{FF2B5EF4-FFF2-40B4-BE49-F238E27FC236}">
                <a16:creationId xmlns:a16="http://schemas.microsoft.com/office/drawing/2014/main" id="{E749AF79-9FAB-4DE7-B647-52036F7824A2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19" name="$E$109">
            <a:extLst>
              <a:ext uri="{FF2B5EF4-FFF2-40B4-BE49-F238E27FC236}">
                <a16:creationId xmlns:a16="http://schemas.microsoft.com/office/drawing/2014/main" id="{54778991-DA31-4809-8528-C7F92A456976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0" name="$E$109">
            <a:extLst>
              <a:ext uri="{FF2B5EF4-FFF2-40B4-BE49-F238E27FC236}">
                <a16:creationId xmlns:a16="http://schemas.microsoft.com/office/drawing/2014/main" id="{B21D1AD1-64F4-43B3-B035-DCF78C0B84B9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1" name="$E$109">
            <a:extLst>
              <a:ext uri="{FF2B5EF4-FFF2-40B4-BE49-F238E27FC236}">
                <a16:creationId xmlns:a16="http://schemas.microsoft.com/office/drawing/2014/main" id="{7F479603-99B9-49B8-B304-CE60F7656EFD}"/>
              </a:ext>
            </a:extLst>
          </xdr:cNvPr>
          <xdr:cNvSpPr/>
        </xdr:nvSpPr>
        <xdr:spPr>
          <a:xfrm>
            <a:off x="88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2" name="$E$109">
            <a:extLst>
              <a:ext uri="{FF2B5EF4-FFF2-40B4-BE49-F238E27FC236}">
                <a16:creationId xmlns:a16="http://schemas.microsoft.com/office/drawing/2014/main" id="{70222DC4-6017-41A4-9A0B-C19DAA35AC78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3" name="$E$109">
            <a:extLst>
              <a:ext uri="{FF2B5EF4-FFF2-40B4-BE49-F238E27FC236}">
                <a16:creationId xmlns:a16="http://schemas.microsoft.com/office/drawing/2014/main" id="{56D9FA62-C462-4744-827E-DBCB769AF05C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4" name="$E$109">
            <a:extLst>
              <a:ext uri="{FF2B5EF4-FFF2-40B4-BE49-F238E27FC236}">
                <a16:creationId xmlns:a16="http://schemas.microsoft.com/office/drawing/2014/main" id="{9A7A9490-164E-4A2F-9EA5-29AA490172B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5" name="$E$109">
            <a:extLst>
              <a:ext uri="{FF2B5EF4-FFF2-40B4-BE49-F238E27FC236}">
                <a16:creationId xmlns:a16="http://schemas.microsoft.com/office/drawing/2014/main" id="{3BCA2E8F-FB03-4F94-99FB-F65DB8914D65}"/>
              </a:ext>
            </a:extLst>
          </xdr:cNvPr>
          <xdr:cNvSpPr/>
        </xdr:nvSpPr>
        <xdr:spPr>
          <a:xfrm>
            <a:off x="177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6" name="$E$109">
            <a:extLst>
              <a:ext uri="{FF2B5EF4-FFF2-40B4-BE49-F238E27FC236}">
                <a16:creationId xmlns:a16="http://schemas.microsoft.com/office/drawing/2014/main" id="{6E699233-5FC1-48FF-B2A5-11C42AE58162}"/>
              </a:ext>
            </a:extLst>
          </xdr:cNvPr>
          <xdr:cNvSpPr/>
        </xdr:nvSpPr>
        <xdr:spPr>
          <a:xfrm>
            <a:off x="215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7" name="$E$109">
            <a:extLst>
              <a:ext uri="{FF2B5EF4-FFF2-40B4-BE49-F238E27FC236}">
                <a16:creationId xmlns:a16="http://schemas.microsoft.com/office/drawing/2014/main" id="{BD3B4CD4-750F-4277-A3F7-ED973B1CFAD7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8" name="$E$109">
            <a:extLst>
              <a:ext uri="{FF2B5EF4-FFF2-40B4-BE49-F238E27FC236}">
                <a16:creationId xmlns:a16="http://schemas.microsoft.com/office/drawing/2014/main" id="{5922CE72-CE19-45FC-901E-6A763A16E1EF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29" name="$E$109">
            <a:extLst>
              <a:ext uri="{FF2B5EF4-FFF2-40B4-BE49-F238E27FC236}">
                <a16:creationId xmlns:a16="http://schemas.microsoft.com/office/drawing/2014/main" id="{181E6AC1-3E71-4DCD-8F96-01E07471139B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0" name="$E$109">
            <a:extLst>
              <a:ext uri="{FF2B5EF4-FFF2-40B4-BE49-F238E27FC236}">
                <a16:creationId xmlns:a16="http://schemas.microsoft.com/office/drawing/2014/main" id="{33E4A019-FBE8-44E5-872B-ED56795DAF26}"/>
              </a:ext>
            </a:extLst>
          </xdr:cNvPr>
          <xdr:cNvSpPr/>
        </xdr:nvSpPr>
        <xdr:spPr>
          <a:xfrm>
            <a:off x="292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1" name="$E$109">
            <a:extLst>
              <a:ext uri="{FF2B5EF4-FFF2-40B4-BE49-F238E27FC236}">
                <a16:creationId xmlns:a16="http://schemas.microsoft.com/office/drawing/2014/main" id="{45142BFC-C45A-4EE1-98CD-AD95A7480F2E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2" name="$E$109">
            <a:extLst>
              <a:ext uri="{FF2B5EF4-FFF2-40B4-BE49-F238E27FC236}">
                <a16:creationId xmlns:a16="http://schemas.microsoft.com/office/drawing/2014/main" id="{001FA6E3-F3E1-4149-89B9-F8365A8F7212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3" name="$E$109">
            <a:extLst>
              <a:ext uri="{FF2B5EF4-FFF2-40B4-BE49-F238E27FC236}">
                <a16:creationId xmlns:a16="http://schemas.microsoft.com/office/drawing/2014/main" id="{3E0DA5FA-A34A-48D5-924B-E939DD605565}"/>
              </a:ext>
            </a:extLst>
          </xdr:cNvPr>
          <xdr:cNvSpPr/>
        </xdr:nvSpPr>
        <xdr:spPr>
          <a:xfrm>
            <a:off x="368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4" name="$E$109">
            <a:extLst>
              <a:ext uri="{FF2B5EF4-FFF2-40B4-BE49-F238E27FC236}">
                <a16:creationId xmlns:a16="http://schemas.microsoft.com/office/drawing/2014/main" id="{21774BA5-CADF-4EC1-A677-81C917482E7F}"/>
              </a:ext>
            </a:extLst>
          </xdr:cNvPr>
          <xdr:cNvSpPr/>
        </xdr:nvSpPr>
        <xdr:spPr>
          <a:xfrm>
            <a:off x="393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5" name="$E$109">
            <a:extLst>
              <a:ext uri="{FF2B5EF4-FFF2-40B4-BE49-F238E27FC236}">
                <a16:creationId xmlns:a16="http://schemas.microsoft.com/office/drawing/2014/main" id="{6D005FCA-AA41-4921-942F-786F90EB54FC}"/>
              </a:ext>
            </a:extLst>
          </xdr:cNvPr>
          <xdr:cNvSpPr/>
        </xdr:nvSpPr>
        <xdr:spPr>
          <a:xfrm>
            <a:off x="419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6" name="$E$109">
            <a:extLst>
              <a:ext uri="{FF2B5EF4-FFF2-40B4-BE49-F238E27FC236}">
                <a16:creationId xmlns:a16="http://schemas.microsoft.com/office/drawing/2014/main" id="{0D2622C5-2831-42C9-B5A3-6825EA2DDC08}"/>
              </a:ext>
            </a:extLst>
          </xdr:cNvPr>
          <xdr:cNvSpPr/>
        </xdr:nvSpPr>
        <xdr:spPr>
          <a:xfrm>
            <a:off x="431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7" name="$E$109">
            <a:extLst>
              <a:ext uri="{FF2B5EF4-FFF2-40B4-BE49-F238E27FC236}">
                <a16:creationId xmlns:a16="http://schemas.microsoft.com/office/drawing/2014/main" id="{B5E5F429-F694-46FC-B49C-7C7410F84CB8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8" name="$E$109">
            <a:extLst>
              <a:ext uri="{FF2B5EF4-FFF2-40B4-BE49-F238E27FC236}">
                <a16:creationId xmlns:a16="http://schemas.microsoft.com/office/drawing/2014/main" id="{951D589D-B465-432B-9310-DA230E3B902D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39" name="$E$109">
            <a:extLst>
              <a:ext uri="{FF2B5EF4-FFF2-40B4-BE49-F238E27FC236}">
                <a16:creationId xmlns:a16="http://schemas.microsoft.com/office/drawing/2014/main" id="{7E0006CB-A3A9-4D12-8FB6-5AA98662BC43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0" name="$E$109">
            <a:extLst>
              <a:ext uri="{FF2B5EF4-FFF2-40B4-BE49-F238E27FC236}">
                <a16:creationId xmlns:a16="http://schemas.microsoft.com/office/drawing/2014/main" id="{982C6E80-5EDD-483D-9979-4317A437AD44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1" name="$E$109">
            <a:extLst>
              <a:ext uri="{FF2B5EF4-FFF2-40B4-BE49-F238E27FC236}">
                <a16:creationId xmlns:a16="http://schemas.microsoft.com/office/drawing/2014/main" id="{5C121615-7E5D-48E0-B69F-A81887BB59AE}"/>
              </a:ext>
            </a:extLst>
          </xdr:cNvPr>
          <xdr:cNvSpPr/>
        </xdr:nvSpPr>
        <xdr:spPr>
          <a:xfrm>
            <a:off x="88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2" name="$E$109">
            <a:extLst>
              <a:ext uri="{FF2B5EF4-FFF2-40B4-BE49-F238E27FC236}">
                <a16:creationId xmlns:a16="http://schemas.microsoft.com/office/drawing/2014/main" id="{42A8FFCD-FEC3-474E-A8B7-6A93646CFA49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3" name="$E$109">
            <a:extLst>
              <a:ext uri="{FF2B5EF4-FFF2-40B4-BE49-F238E27FC236}">
                <a16:creationId xmlns:a16="http://schemas.microsoft.com/office/drawing/2014/main" id="{4A8BE8B6-D68E-431E-A110-70039DF56CF9}"/>
              </a:ext>
            </a:extLst>
          </xdr:cNvPr>
          <xdr:cNvSpPr/>
        </xdr:nvSpPr>
        <xdr:spPr>
          <a:xfrm>
            <a:off x="114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4" name="$E$109">
            <a:extLst>
              <a:ext uri="{FF2B5EF4-FFF2-40B4-BE49-F238E27FC236}">
                <a16:creationId xmlns:a16="http://schemas.microsoft.com/office/drawing/2014/main" id="{1E10E987-0ACB-42EF-A945-EBFEAE6CD578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5" name="$E$109">
            <a:extLst>
              <a:ext uri="{FF2B5EF4-FFF2-40B4-BE49-F238E27FC236}">
                <a16:creationId xmlns:a16="http://schemas.microsoft.com/office/drawing/2014/main" id="{A2FD27C7-9FC5-4159-88B6-F67F65A33C23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6" name="$E$109">
            <a:extLst>
              <a:ext uri="{FF2B5EF4-FFF2-40B4-BE49-F238E27FC236}">
                <a16:creationId xmlns:a16="http://schemas.microsoft.com/office/drawing/2014/main" id="{7511C5D4-0DEC-4AA8-8AB5-B952B224E426}"/>
              </a:ext>
            </a:extLst>
          </xdr:cNvPr>
          <xdr:cNvSpPr/>
        </xdr:nvSpPr>
        <xdr:spPr>
          <a:xfrm>
            <a:off x="177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7" name="$E$109">
            <a:extLst>
              <a:ext uri="{FF2B5EF4-FFF2-40B4-BE49-F238E27FC236}">
                <a16:creationId xmlns:a16="http://schemas.microsoft.com/office/drawing/2014/main" id="{C96828BC-90F1-4A96-B883-C22D7A7B4405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8" name="$E$109">
            <a:extLst>
              <a:ext uri="{FF2B5EF4-FFF2-40B4-BE49-F238E27FC236}">
                <a16:creationId xmlns:a16="http://schemas.microsoft.com/office/drawing/2014/main" id="{FED209D9-A01F-404B-85D5-1B882A113A25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49" name="$E$109">
            <a:extLst>
              <a:ext uri="{FF2B5EF4-FFF2-40B4-BE49-F238E27FC236}">
                <a16:creationId xmlns:a16="http://schemas.microsoft.com/office/drawing/2014/main" id="{ED3A1505-9863-4FBD-850B-BDD6236B6AEA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0" name="$E$109">
            <a:extLst>
              <a:ext uri="{FF2B5EF4-FFF2-40B4-BE49-F238E27FC236}">
                <a16:creationId xmlns:a16="http://schemas.microsoft.com/office/drawing/2014/main" id="{B23F239A-EBA8-4931-B2A9-41444570296A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1" name="$E$109">
            <a:extLst>
              <a:ext uri="{FF2B5EF4-FFF2-40B4-BE49-F238E27FC236}">
                <a16:creationId xmlns:a16="http://schemas.microsoft.com/office/drawing/2014/main" id="{3B9E9A65-1C91-4B74-A0B0-A1B7553423BF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2" name="$E$109">
            <a:extLst>
              <a:ext uri="{FF2B5EF4-FFF2-40B4-BE49-F238E27FC236}">
                <a16:creationId xmlns:a16="http://schemas.microsoft.com/office/drawing/2014/main" id="{7D3CB919-B4A9-447A-A3FA-265547A91314}"/>
              </a:ext>
            </a:extLst>
          </xdr:cNvPr>
          <xdr:cNvSpPr/>
        </xdr:nvSpPr>
        <xdr:spPr>
          <a:xfrm>
            <a:off x="342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3" name="$E$109">
            <a:extLst>
              <a:ext uri="{FF2B5EF4-FFF2-40B4-BE49-F238E27FC236}">
                <a16:creationId xmlns:a16="http://schemas.microsoft.com/office/drawing/2014/main" id="{AEEC383D-515E-4038-8661-1786417EFFB3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4" name="$E$109">
            <a:extLst>
              <a:ext uri="{FF2B5EF4-FFF2-40B4-BE49-F238E27FC236}">
                <a16:creationId xmlns:a16="http://schemas.microsoft.com/office/drawing/2014/main" id="{B1169543-C152-44A9-95A7-CE7607C7E406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5" name="$E$109">
            <a:extLst>
              <a:ext uri="{FF2B5EF4-FFF2-40B4-BE49-F238E27FC236}">
                <a16:creationId xmlns:a16="http://schemas.microsoft.com/office/drawing/2014/main" id="{653DB27D-A174-44CE-A88C-DB5554DE9F17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6" name="$E$109">
            <a:extLst>
              <a:ext uri="{FF2B5EF4-FFF2-40B4-BE49-F238E27FC236}">
                <a16:creationId xmlns:a16="http://schemas.microsoft.com/office/drawing/2014/main" id="{AED139B5-2670-45AF-81FA-AD58A77419CD}"/>
              </a:ext>
            </a:extLst>
          </xdr:cNvPr>
          <xdr:cNvSpPr/>
        </xdr:nvSpPr>
        <xdr:spPr>
          <a:xfrm>
            <a:off x="444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7" name="$E$109">
            <a:extLst>
              <a:ext uri="{FF2B5EF4-FFF2-40B4-BE49-F238E27FC236}">
                <a16:creationId xmlns:a16="http://schemas.microsoft.com/office/drawing/2014/main" id="{9386C45C-A069-4C3A-8CAF-651E8FDC4FF9}"/>
              </a:ext>
            </a:extLst>
          </xdr:cNvPr>
          <xdr:cNvSpPr/>
        </xdr:nvSpPr>
        <xdr:spPr>
          <a:xfrm>
            <a:off x="457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8" name="$E$109">
            <a:extLst>
              <a:ext uri="{FF2B5EF4-FFF2-40B4-BE49-F238E27FC236}">
                <a16:creationId xmlns:a16="http://schemas.microsoft.com/office/drawing/2014/main" id="{47E173C8-9DC0-4370-B621-5C54210B1C33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59" name="$E$109">
            <a:extLst>
              <a:ext uri="{FF2B5EF4-FFF2-40B4-BE49-F238E27FC236}">
                <a16:creationId xmlns:a16="http://schemas.microsoft.com/office/drawing/2014/main" id="{0AD614D7-D536-44D0-9736-D70AAD64AEF7}"/>
              </a:ext>
            </a:extLst>
          </xdr:cNvPr>
          <xdr:cNvSpPr/>
        </xdr:nvSpPr>
        <xdr:spPr>
          <a:xfrm>
            <a:off x="25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0" name="$E$109">
            <a:extLst>
              <a:ext uri="{FF2B5EF4-FFF2-40B4-BE49-F238E27FC236}">
                <a16:creationId xmlns:a16="http://schemas.microsoft.com/office/drawing/2014/main" id="{515A0435-9B16-44AC-B643-44F4219D30D2}"/>
              </a:ext>
            </a:extLst>
          </xdr:cNvPr>
          <xdr:cNvSpPr/>
        </xdr:nvSpPr>
        <xdr:spPr>
          <a:xfrm>
            <a:off x="50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1" name="$E$109">
            <a:extLst>
              <a:ext uri="{FF2B5EF4-FFF2-40B4-BE49-F238E27FC236}">
                <a16:creationId xmlns:a16="http://schemas.microsoft.com/office/drawing/2014/main" id="{C9040B96-D8F1-4015-A156-60EED5708E9E}"/>
              </a:ext>
            </a:extLst>
          </xdr:cNvPr>
          <xdr:cNvSpPr/>
        </xdr:nvSpPr>
        <xdr:spPr>
          <a:xfrm>
            <a:off x="88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2" name="$E$109">
            <a:extLst>
              <a:ext uri="{FF2B5EF4-FFF2-40B4-BE49-F238E27FC236}">
                <a16:creationId xmlns:a16="http://schemas.microsoft.com/office/drawing/2014/main" id="{1EC84B39-A9CC-4452-BBF6-44D89EBF94AD}"/>
              </a:ext>
            </a:extLst>
          </xdr:cNvPr>
          <xdr:cNvSpPr/>
        </xdr:nvSpPr>
        <xdr:spPr>
          <a:xfrm>
            <a:off x="101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3" name="$E$109">
            <a:extLst>
              <a:ext uri="{FF2B5EF4-FFF2-40B4-BE49-F238E27FC236}">
                <a16:creationId xmlns:a16="http://schemas.microsoft.com/office/drawing/2014/main" id="{C8C06DFF-399E-4A1C-BE1E-FEB9CA0C4AB7}"/>
              </a:ext>
            </a:extLst>
          </xdr:cNvPr>
          <xdr:cNvSpPr/>
        </xdr:nvSpPr>
        <xdr:spPr>
          <a:xfrm>
            <a:off x="139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4" name="$E$109">
            <a:extLst>
              <a:ext uri="{FF2B5EF4-FFF2-40B4-BE49-F238E27FC236}">
                <a16:creationId xmlns:a16="http://schemas.microsoft.com/office/drawing/2014/main" id="{B65CFA5F-6CC8-41AD-BA34-4C4F923BB432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5" name="$E$109">
            <a:extLst>
              <a:ext uri="{FF2B5EF4-FFF2-40B4-BE49-F238E27FC236}">
                <a16:creationId xmlns:a16="http://schemas.microsoft.com/office/drawing/2014/main" id="{2A791B66-DB32-4E60-899A-A30EAB3C0971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6" name="$E$109">
            <a:extLst>
              <a:ext uri="{FF2B5EF4-FFF2-40B4-BE49-F238E27FC236}">
                <a16:creationId xmlns:a16="http://schemas.microsoft.com/office/drawing/2014/main" id="{78677B6D-C5C0-43EF-92B2-B2B283775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7" name="$E$109">
            <a:extLst>
              <a:ext uri="{FF2B5EF4-FFF2-40B4-BE49-F238E27FC236}">
                <a16:creationId xmlns:a16="http://schemas.microsoft.com/office/drawing/2014/main" id="{8C983A1C-69FF-4D72-AA5A-5696405AFF30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8" name="$E$109">
            <a:extLst>
              <a:ext uri="{FF2B5EF4-FFF2-40B4-BE49-F238E27FC236}">
                <a16:creationId xmlns:a16="http://schemas.microsoft.com/office/drawing/2014/main" id="{4BA22F37-4A67-4CF7-AAF1-674F7CFC0B98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69" name="$E$109">
            <a:extLst>
              <a:ext uri="{FF2B5EF4-FFF2-40B4-BE49-F238E27FC236}">
                <a16:creationId xmlns:a16="http://schemas.microsoft.com/office/drawing/2014/main" id="{7654FC36-EC3F-4C79-8E8E-AD34B3D46F33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70" name="$E$109">
            <a:extLst>
              <a:ext uri="{FF2B5EF4-FFF2-40B4-BE49-F238E27FC236}">
                <a16:creationId xmlns:a16="http://schemas.microsoft.com/office/drawing/2014/main" id="{65D83212-2634-471C-B1DE-6FF414EF9C18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71" name="$E$109">
            <a:extLst>
              <a:ext uri="{FF2B5EF4-FFF2-40B4-BE49-F238E27FC236}">
                <a16:creationId xmlns:a16="http://schemas.microsoft.com/office/drawing/2014/main" id="{EB632289-1BCF-41B2-AA0C-17D98B40A928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72" name="$E$109">
            <a:extLst>
              <a:ext uri="{FF2B5EF4-FFF2-40B4-BE49-F238E27FC236}">
                <a16:creationId xmlns:a16="http://schemas.microsoft.com/office/drawing/2014/main" id="{BF482D93-EB5D-4BBF-80DE-6C83CA8C1726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73" name="$E$109">
            <a:extLst>
              <a:ext uri="{FF2B5EF4-FFF2-40B4-BE49-F238E27FC236}">
                <a16:creationId xmlns:a16="http://schemas.microsoft.com/office/drawing/2014/main" id="{DE668152-A429-434E-A1FA-01F3D38DD3A8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74" name="$E$109">
            <a:extLst>
              <a:ext uri="{FF2B5EF4-FFF2-40B4-BE49-F238E27FC236}">
                <a16:creationId xmlns:a16="http://schemas.microsoft.com/office/drawing/2014/main" id="{596E04BD-D160-45E7-8E55-10AF90AE02FF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75" name="$E$109">
            <a:extLst>
              <a:ext uri="{FF2B5EF4-FFF2-40B4-BE49-F238E27FC236}">
                <a16:creationId xmlns:a16="http://schemas.microsoft.com/office/drawing/2014/main" id="{153973C0-DE35-43D7-877F-3D4A03E9309D}"/>
              </a:ext>
            </a:extLst>
          </xdr:cNvPr>
          <xdr:cNvSpPr/>
        </xdr:nvSpPr>
        <xdr:spPr>
          <a:xfrm>
            <a:off x="419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76" name="$E$109">
            <a:extLst>
              <a:ext uri="{FF2B5EF4-FFF2-40B4-BE49-F238E27FC236}">
                <a16:creationId xmlns:a16="http://schemas.microsoft.com/office/drawing/2014/main" id="{60C93F79-D536-46C6-922C-28B4B1961BF5}"/>
              </a:ext>
            </a:extLst>
          </xdr:cNvPr>
          <xdr:cNvSpPr/>
        </xdr:nvSpPr>
        <xdr:spPr>
          <a:xfrm>
            <a:off x="431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77" name="$E$109">
            <a:extLst>
              <a:ext uri="{FF2B5EF4-FFF2-40B4-BE49-F238E27FC236}">
                <a16:creationId xmlns:a16="http://schemas.microsoft.com/office/drawing/2014/main" id="{4DA32B43-ECF1-4FE2-AD21-64E2600A45E3}"/>
              </a:ext>
            </a:extLst>
          </xdr:cNvPr>
          <xdr:cNvSpPr/>
        </xdr:nvSpPr>
        <xdr:spPr>
          <a:xfrm>
            <a:off x="457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78" name="$E$109">
            <a:extLst>
              <a:ext uri="{FF2B5EF4-FFF2-40B4-BE49-F238E27FC236}">
                <a16:creationId xmlns:a16="http://schemas.microsoft.com/office/drawing/2014/main" id="{5BEAAD94-FA85-47B7-8ECA-BBC4CA89F9F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79" name="$E$109">
            <a:extLst>
              <a:ext uri="{FF2B5EF4-FFF2-40B4-BE49-F238E27FC236}">
                <a16:creationId xmlns:a16="http://schemas.microsoft.com/office/drawing/2014/main" id="{42E788B5-32A2-43B8-86C4-2C83406A135C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0" name="$E$109">
            <a:extLst>
              <a:ext uri="{FF2B5EF4-FFF2-40B4-BE49-F238E27FC236}">
                <a16:creationId xmlns:a16="http://schemas.microsoft.com/office/drawing/2014/main" id="{62DD731D-00BC-4531-951C-A929CABA3603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1" name="$E$109">
            <a:extLst>
              <a:ext uri="{FF2B5EF4-FFF2-40B4-BE49-F238E27FC236}">
                <a16:creationId xmlns:a16="http://schemas.microsoft.com/office/drawing/2014/main" id="{C0EDEA8B-538C-4190-B6B9-0D51A267C3E3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2" name="$E$109">
            <a:extLst>
              <a:ext uri="{FF2B5EF4-FFF2-40B4-BE49-F238E27FC236}">
                <a16:creationId xmlns:a16="http://schemas.microsoft.com/office/drawing/2014/main" id="{FA5CA744-F2E3-40E0-B9DD-9250571E3DFC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3" name="$E$109">
            <a:extLst>
              <a:ext uri="{FF2B5EF4-FFF2-40B4-BE49-F238E27FC236}">
                <a16:creationId xmlns:a16="http://schemas.microsoft.com/office/drawing/2014/main" id="{ECE1758B-C462-42F6-A846-3433A58CBD4A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4" name="$E$109">
            <a:extLst>
              <a:ext uri="{FF2B5EF4-FFF2-40B4-BE49-F238E27FC236}">
                <a16:creationId xmlns:a16="http://schemas.microsoft.com/office/drawing/2014/main" id="{814FB189-00C3-4908-A074-367446D944EA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5" name="$E$109">
            <a:extLst>
              <a:ext uri="{FF2B5EF4-FFF2-40B4-BE49-F238E27FC236}">
                <a16:creationId xmlns:a16="http://schemas.microsoft.com/office/drawing/2014/main" id="{4F4DB563-F278-4280-8024-FE8E4C262249}"/>
              </a:ext>
            </a:extLst>
          </xdr:cNvPr>
          <xdr:cNvSpPr/>
        </xdr:nvSpPr>
        <xdr:spPr>
          <a:xfrm>
            <a:off x="177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6" name="$E$109">
            <a:extLst>
              <a:ext uri="{FF2B5EF4-FFF2-40B4-BE49-F238E27FC236}">
                <a16:creationId xmlns:a16="http://schemas.microsoft.com/office/drawing/2014/main" id="{DBA035F8-F25F-4C0D-A2A9-291F0A1FFE3B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7" name="$E$109">
            <a:extLst>
              <a:ext uri="{FF2B5EF4-FFF2-40B4-BE49-F238E27FC236}">
                <a16:creationId xmlns:a16="http://schemas.microsoft.com/office/drawing/2014/main" id="{AA6A4C17-6CFD-407E-9739-9E2A35082917}"/>
              </a:ext>
            </a:extLst>
          </xdr:cNvPr>
          <xdr:cNvSpPr/>
        </xdr:nvSpPr>
        <xdr:spPr>
          <a:xfrm>
            <a:off x="203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8" name="$E$109">
            <a:extLst>
              <a:ext uri="{FF2B5EF4-FFF2-40B4-BE49-F238E27FC236}">
                <a16:creationId xmlns:a16="http://schemas.microsoft.com/office/drawing/2014/main" id="{E21F8FB4-AC74-42C0-9C98-BB3050156611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89" name="$E$109">
            <a:extLst>
              <a:ext uri="{FF2B5EF4-FFF2-40B4-BE49-F238E27FC236}">
                <a16:creationId xmlns:a16="http://schemas.microsoft.com/office/drawing/2014/main" id="{E2ABABD8-E449-457C-B02B-9F47AB9D64C5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0" name="$E$109">
            <a:extLst>
              <a:ext uri="{FF2B5EF4-FFF2-40B4-BE49-F238E27FC236}">
                <a16:creationId xmlns:a16="http://schemas.microsoft.com/office/drawing/2014/main" id="{672318D1-F7A6-457D-83E9-3269D7D65252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1" name="$E$109">
            <a:extLst>
              <a:ext uri="{FF2B5EF4-FFF2-40B4-BE49-F238E27FC236}">
                <a16:creationId xmlns:a16="http://schemas.microsoft.com/office/drawing/2014/main" id="{8BD6DCA4-32D9-4634-923F-0C42D3E83ADE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2" name="$E$109">
            <a:extLst>
              <a:ext uri="{FF2B5EF4-FFF2-40B4-BE49-F238E27FC236}">
                <a16:creationId xmlns:a16="http://schemas.microsoft.com/office/drawing/2014/main" id="{787D3509-38E2-437C-93C7-6EDCA67E1ECB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3" name="$E$109">
            <a:extLst>
              <a:ext uri="{FF2B5EF4-FFF2-40B4-BE49-F238E27FC236}">
                <a16:creationId xmlns:a16="http://schemas.microsoft.com/office/drawing/2014/main" id="{D34DBD93-C685-4979-92A5-89A085593D95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4" name="$E$109">
            <a:extLst>
              <a:ext uri="{FF2B5EF4-FFF2-40B4-BE49-F238E27FC236}">
                <a16:creationId xmlns:a16="http://schemas.microsoft.com/office/drawing/2014/main" id="{078B4056-5518-4D45-B7D5-8F47449BEB54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5" name="$E$109">
            <a:extLst>
              <a:ext uri="{FF2B5EF4-FFF2-40B4-BE49-F238E27FC236}">
                <a16:creationId xmlns:a16="http://schemas.microsoft.com/office/drawing/2014/main" id="{E0E6B0F1-8E63-42B9-AB38-88E044AF74D0}"/>
              </a:ext>
            </a:extLst>
          </xdr:cNvPr>
          <xdr:cNvSpPr/>
        </xdr:nvSpPr>
        <xdr:spPr>
          <a:xfrm>
            <a:off x="368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6" name="$E$109">
            <a:extLst>
              <a:ext uri="{FF2B5EF4-FFF2-40B4-BE49-F238E27FC236}">
                <a16:creationId xmlns:a16="http://schemas.microsoft.com/office/drawing/2014/main" id="{1D5F107B-F4D0-4D5D-8359-802180F1C8DD}"/>
              </a:ext>
            </a:extLst>
          </xdr:cNvPr>
          <xdr:cNvSpPr/>
        </xdr:nvSpPr>
        <xdr:spPr>
          <a:xfrm>
            <a:off x="381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7" name="$E$109">
            <a:extLst>
              <a:ext uri="{FF2B5EF4-FFF2-40B4-BE49-F238E27FC236}">
                <a16:creationId xmlns:a16="http://schemas.microsoft.com/office/drawing/2014/main" id="{43890DFD-AA3B-4FA0-A8F2-115D4FAE0C3B}"/>
              </a:ext>
            </a:extLst>
          </xdr:cNvPr>
          <xdr:cNvSpPr/>
        </xdr:nvSpPr>
        <xdr:spPr>
          <a:xfrm>
            <a:off x="393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8" name="$E$109">
            <a:extLst>
              <a:ext uri="{FF2B5EF4-FFF2-40B4-BE49-F238E27FC236}">
                <a16:creationId xmlns:a16="http://schemas.microsoft.com/office/drawing/2014/main" id="{C22FFB53-2761-49F4-9269-43D53346E313}"/>
              </a:ext>
            </a:extLst>
          </xdr:cNvPr>
          <xdr:cNvSpPr/>
        </xdr:nvSpPr>
        <xdr:spPr>
          <a:xfrm>
            <a:off x="406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599" name="$E$109">
            <a:extLst>
              <a:ext uri="{FF2B5EF4-FFF2-40B4-BE49-F238E27FC236}">
                <a16:creationId xmlns:a16="http://schemas.microsoft.com/office/drawing/2014/main" id="{E3F162C7-C9ED-4F9C-A3C2-AACCD979C005}"/>
              </a:ext>
            </a:extLst>
          </xdr:cNvPr>
          <xdr:cNvSpPr/>
        </xdr:nvSpPr>
        <xdr:spPr>
          <a:xfrm>
            <a:off x="419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0" name="$E$109">
            <a:extLst>
              <a:ext uri="{FF2B5EF4-FFF2-40B4-BE49-F238E27FC236}">
                <a16:creationId xmlns:a16="http://schemas.microsoft.com/office/drawing/2014/main" id="{F0AD29AE-035A-4E93-9FBB-DB2B70094B9B}"/>
              </a:ext>
            </a:extLst>
          </xdr:cNvPr>
          <xdr:cNvSpPr/>
        </xdr:nvSpPr>
        <xdr:spPr>
          <a:xfrm>
            <a:off x="431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1" name="$E$109">
            <a:extLst>
              <a:ext uri="{FF2B5EF4-FFF2-40B4-BE49-F238E27FC236}">
                <a16:creationId xmlns:a16="http://schemas.microsoft.com/office/drawing/2014/main" id="{E869D14B-3170-4847-B59A-1BDE4AF10664}"/>
              </a:ext>
            </a:extLst>
          </xdr:cNvPr>
          <xdr:cNvSpPr/>
        </xdr:nvSpPr>
        <xdr:spPr>
          <a:xfrm>
            <a:off x="457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2" name="$E$109">
            <a:extLst>
              <a:ext uri="{FF2B5EF4-FFF2-40B4-BE49-F238E27FC236}">
                <a16:creationId xmlns:a16="http://schemas.microsoft.com/office/drawing/2014/main" id="{A57CC0C9-E5E1-4334-87FC-0174CB36FBFD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3" name="$E$109">
            <a:extLst>
              <a:ext uri="{FF2B5EF4-FFF2-40B4-BE49-F238E27FC236}">
                <a16:creationId xmlns:a16="http://schemas.microsoft.com/office/drawing/2014/main" id="{C1ECF5CC-E1B1-4ECC-ABD4-A76EAE4F7B7C}"/>
              </a:ext>
            </a:extLst>
          </xdr:cNvPr>
          <xdr:cNvSpPr/>
        </xdr:nvSpPr>
        <xdr:spPr>
          <a:xfrm>
            <a:off x="114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4" name="$E$109">
            <a:extLst>
              <a:ext uri="{FF2B5EF4-FFF2-40B4-BE49-F238E27FC236}">
                <a16:creationId xmlns:a16="http://schemas.microsoft.com/office/drawing/2014/main" id="{8051AB3E-0095-4BD3-BEA1-B2D9FEA7F896}"/>
              </a:ext>
            </a:extLst>
          </xdr:cNvPr>
          <xdr:cNvSpPr/>
        </xdr:nvSpPr>
        <xdr:spPr>
          <a:xfrm>
            <a:off x="139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5" name="$E$109">
            <a:extLst>
              <a:ext uri="{FF2B5EF4-FFF2-40B4-BE49-F238E27FC236}">
                <a16:creationId xmlns:a16="http://schemas.microsoft.com/office/drawing/2014/main" id="{AF5B41E5-D751-4093-928C-F9351F2E7552}"/>
              </a:ext>
            </a:extLst>
          </xdr:cNvPr>
          <xdr:cNvSpPr/>
        </xdr:nvSpPr>
        <xdr:spPr>
          <a:xfrm>
            <a:off x="152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6" name="$E$109">
            <a:extLst>
              <a:ext uri="{FF2B5EF4-FFF2-40B4-BE49-F238E27FC236}">
                <a16:creationId xmlns:a16="http://schemas.microsoft.com/office/drawing/2014/main" id="{558CD71E-E05A-4894-9472-DD5DCB0D1EF7}"/>
              </a:ext>
            </a:extLst>
          </xdr:cNvPr>
          <xdr:cNvSpPr/>
        </xdr:nvSpPr>
        <xdr:spPr>
          <a:xfrm>
            <a:off x="190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7" name="$E$109">
            <a:extLst>
              <a:ext uri="{FF2B5EF4-FFF2-40B4-BE49-F238E27FC236}">
                <a16:creationId xmlns:a16="http://schemas.microsoft.com/office/drawing/2014/main" id="{2B045D15-3BFF-4397-A78C-6CD68B79D96B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8" name="$E$109">
            <a:extLst>
              <a:ext uri="{FF2B5EF4-FFF2-40B4-BE49-F238E27FC236}">
                <a16:creationId xmlns:a16="http://schemas.microsoft.com/office/drawing/2014/main" id="{9968A4BC-EE5B-4A94-9027-FC2C78AF959D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09" name="$E$109">
            <a:extLst>
              <a:ext uri="{FF2B5EF4-FFF2-40B4-BE49-F238E27FC236}">
                <a16:creationId xmlns:a16="http://schemas.microsoft.com/office/drawing/2014/main" id="{B135F13F-ACC9-4CA6-8EE2-602408706BEE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0" name="$E$109">
            <a:extLst>
              <a:ext uri="{FF2B5EF4-FFF2-40B4-BE49-F238E27FC236}">
                <a16:creationId xmlns:a16="http://schemas.microsoft.com/office/drawing/2014/main" id="{5AF4DE18-F162-4BC0-843E-BBE3F17A4812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1" name="$E$109">
            <a:extLst>
              <a:ext uri="{FF2B5EF4-FFF2-40B4-BE49-F238E27FC236}">
                <a16:creationId xmlns:a16="http://schemas.microsoft.com/office/drawing/2014/main" id="{45A25D37-D27C-4868-9DDC-2E321688DE42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2" name="$E$109">
            <a:extLst>
              <a:ext uri="{FF2B5EF4-FFF2-40B4-BE49-F238E27FC236}">
                <a16:creationId xmlns:a16="http://schemas.microsoft.com/office/drawing/2014/main" id="{705D606B-8ACA-451F-8983-D40A6DC413D1}"/>
              </a:ext>
            </a:extLst>
          </xdr:cNvPr>
          <xdr:cNvSpPr/>
        </xdr:nvSpPr>
        <xdr:spPr>
          <a:xfrm>
            <a:off x="266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3" name="$E$109">
            <a:extLst>
              <a:ext uri="{FF2B5EF4-FFF2-40B4-BE49-F238E27FC236}">
                <a16:creationId xmlns:a16="http://schemas.microsoft.com/office/drawing/2014/main" id="{323CA120-E7C5-4CF0-8A5A-F423E3FAE660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4" name="$E$109">
            <a:extLst>
              <a:ext uri="{FF2B5EF4-FFF2-40B4-BE49-F238E27FC236}">
                <a16:creationId xmlns:a16="http://schemas.microsoft.com/office/drawing/2014/main" id="{4C558EEB-7AAB-474E-AE92-BE0B7637A87E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5" name="$E$109">
            <a:extLst>
              <a:ext uri="{FF2B5EF4-FFF2-40B4-BE49-F238E27FC236}">
                <a16:creationId xmlns:a16="http://schemas.microsoft.com/office/drawing/2014/main" id="{241D8946-2584-482B-83D8-4D70B3460031}"/>
              </a:ext>
            </a:extLst>
          </xdr:cNvPr>
          <xdr:cNvSpPr/>
        </xdr:nvSpPr>
        <xdr:spPr>
          <a:xfrm>
            <a:off x="342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6" name="$E$109">
            <a:extLst>
              <a:ext uri="{FF2B5EF4-FFF2-40B4-BE49-F238E27FC236}">
                <a16:creationId xmlns:a16="http://schemas.microsoft.com/office/drawing/2014/main" id="{8A688B60-CB85-4265-B60E-40661963B463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7" name="$E$109">
            <a:extLst>
              <a:ext uri="{FF2B5EF4-FFF2-40B4-BE49-F238E27FC236}">
                <a16:creationId xmlns:a16="http://schemas.microsoft.com/office/drawing/2014/main" id="{4F1E44DD-F087-4A16-A849-9F771D5B680C}"/>
              </a:ext>
            </a:extLst>
          </xdr:cNvPr>
          <xdr:cNvSpPr/>
        </xdr:nvSpPr>
        <xdr:spPr>
          <a:xfrm>
            <a:off x="406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8" name="$E$109">
            <a:extLst>
              <a:ext uri="{FF2B5EF4-FFF2-40B4-BE49-F238E27FC236}">
                <a16:creationId xmlns:a16="http://schemas.microsoft.com/office/drawing/2014/main" id="{4B5F1F2C-EDEC-43B4-9ED5-B25F3D85E836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19" name="$E$109">
            <a:extLst>
              <a:ext uri="{FF2B5EF4-FFF2-40B4-BE49-F238E27FC236}">
                <a16:creationId xmlns:a16="http://schemas.microsoft.com/office/drawing/2014/main" id="{90EF68B2-1729-4F55-AB4C-621F81AA7987}"/>
              </a:ext>
            </a:extLst>
          </xdr:cNvPr>
          <xdr:cNvSpPr/>
        </xdr:nvSpPr>
        <xdr:spPr>
          <a:xfrm>
            <a:off x="12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0" name="$E$109">
            <a:extLst>
              <a:ext uri="{FF2B5EF4-FFF2-40B4-BE49-F238E27FC236}">
                <a16:creationId xmlns:a16="http://schemas.microsoft.com/office/drawing/2014/main" id="{2A6C6197-5152-498B-9CC9-F734D0A33042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1" name="$E$109">
            <a:extLst>
              <a:ext uri="{FF2B5EF4-FFF2-40B4-BE49-F238E27FC236}">
                <a16:creationId xmlns:a16="http://schemas.microsoft.com/office/drawing/2014/main" id="{82061FAB-D599-4EE1-B65C-A9F37D756F97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2" name="$E$109">
            <a:extLst>
              <a:ext uri="{FF2B5EF4-FFF2-40B4-BE49-F238E27FC236}">
                <a16:creationId xmlns:a16="http://schemas.microsoft.com/office/drawing/2014/main" id="{9C1D03BA-3CE8-48CE-AE3E-2FF21B670187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3" name="$E$109">
            <a:extLst>
              <a:ext uri="{FF2B5EF4-FFF2-40B4-BE49-F238E27FC236}">
                <a16:creationId xmlns:a16="http://schemas.microsoft.com/office/drawing/2014/main" id="{32B64972-7DD6-4FBE-A4E8-E515112D54AC}"/>
              </a:ext>
            </a:extLst>
          </xdr:cNvPr>
          <xdr:cNvSpPr/>
        </xdr:nvSpPr>
        <xdr:spPr>
          <a:xfrm>
            <a:off x="63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4" name="$E$109">
            <a:extLst>
              <a:ext uri="{FF2B5EF4-FFF2-40B4-BE49-F238E27FC236}">
                <a16:creationId xmlns:a16="http://schemas.microsoft.com/office/drawing/2014/main" id="{0CCBFF95-7A57-4FBA-9FB8-EE6D0F6137E3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5" name="$E$109">
            <a:extLst>
              <a:ext uri="{FF2B5EF4-FFF2-40B4-BE49-F238E27FC236}">
                <a16:creationId xmlns:a16="http://schemas.microsoft.com/office/drawing/2014/main" id="{A0C28878-6B6A-4140-AC4F-AE9875B907A3}"/>
              </a:ext>
            </a:extLst>
          </xdr:cNvPr>
          <xdr:cNvSpPr/>
        </xdr:nvSpPr>
        <xdr:spPr>
          <a:xfrm>
            <a:off x="127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6" name="$E$109">
            <a:extLst>
              <a:ext uri="{FF2B5EF4-FFF2-40B4-BE49-F238E27FC236}">
                <a16:creationId xmlns:a16="http://schemas.microsoft.com/office/drawing/2014/main" id="{79D59CA1-736B-451C-B141-6E26E0E801D4}"/>
              </a:ext>
            </a:extLst>
          </xdr:cNvPr>
          <xdr:cNvSpPr/>
        </xdr:nvSpPr>
        <xdr:spPr>
          <a:xfrm>
            <a:off x="139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7" name="$E$109">
            <a:extLst>
              <a:ext uri="{FF2B5EF4-FFF2-40B4-BE49-F238E27FC236}">
                <a16:creationId xmlns:a16="http://schemas.microsoft.com/office/drawing/2014/main" id="{00F772BC-E421-4FA0-8508-9D641F431BB1}"/>
              </a:ext>
            </a:extLst>
          </xdr:cNvPr>
          <xdr:cNvSpPr/>
        </xdr:nvSpPr>
        <xdr:spPr>
          <a:xfrm>
            <a:off x="152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8" name="$E$109">
            <a:extLst>
              <a:ext uri="{FF2B5EF4-FFF2-40B4-BE49-F238E27FC236}">
                <a16:creationId xmlns:a16="http://schemas.microsoft.com/office/drawing/2014/main" id="{108B57CB-4EDC-46F8-8415-5A2DCA6AFE10}"/>
              </a:ext>
            </a:extLst>
          </xdr:cNvPr>
          <xdr:cNvSpPr/>
        </xdr:nvSpPr>
        <xdr:spPr>
          <a:xfrm>
            <a:off x="165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29" name="$E$109">
            <a:extLst>
              <a:ext uri="{FF2B5EF4-FFF2-40B4-BE49-F238E27FC236}">
                <a16:creationId xmlns:a16="http://schemas.microsoft.com/office/drawing/2014/main" id="{455BA54C-ECCC-4834-A94A-B60971F916CC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30" name="$E$109">
            <a:extLst>
              <a:ext uri="{FF2B5EF4-FFF2-40B4-BE49-F238E27FC236}">
                <a16:creationId xmlns:a16="http://schemas.microsoft.com/office/drawing/2014/main" id="{BCA3CB4A-6D73-411A-922C-65FE99F9BAF2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31" name="$E$109">
            <a:extLst>
              <a:ext uri="{FF2B5EF4-FFF2-40B4-BE49-F238E27FC236}">
                <a16:creationId xmlns:a16="http://schemas.microsoft.com/office/drawing/2014/main" id="{2D691019-4285-4CF4-8243-D88A1555AC09}"/>
              </a:ext>
            </a:extLst>
          </xdr:cNvPr>
          <xdr:cNvSpPr/>
        </xdr:nvSpPr>
        <xdr:spPr>
          <a:xfrm>
            <a:off x="241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32" name="$E$109">
            <a:extLst>
              <a:ext uri="{FF2B5EF4-FFF2-40B4-BE49-F238E27FC236}">
                <a16:creationId xmlns:a16="http://schemas.microsoft.com/office/drawing/2014/main" id="{FD04CDAF-1FE7-49B2-A6D1-1A4C9FC99C67}"/>
              </a:ext>
            </a:extLst>
          </xdr:cNvPr>
          <xdr:cNvSpPr/>
        </xdr:nvSpPr>
        <xdr:spPr>
          <a:xfrm>
            <a:off x="266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33" name="$E$109">
            <a:extLst>
              <a:ext uri="{FF2B5EF4-FFF2-40B4-BE49-F238E27FC236}">
                <a16:creationId xmlns:a16="http://schemas.microsoft.com/office/drawing/2014/main" id="{BC8C6855-852A-4806-B9B1-BB07B4D1A92E}"/>
              </a:ext>
            </a:extLst>
          </xdr:cNvPr>
          <xdr:cNvSpPr/>
        </xdr:nvSpPr>
        <xdr:spPr>
          <a:xfrm>
            <a:off x="292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34" name="$E$109">
            <a:extLst>
              <a:ext uri="{FF2B5EF4-FFF2-40B4-BE49-F238E27FC236}">
                <a16:creationId xmlns:a16="http://schemas.microsoft.com/office/drawing/2014/main" id="{BA7E0A07-009F-4586-9EB0-84A0CD0E7CC0}"/>
              </a:ext>
            </a:extLst>
          </xdr:cNvPr>
          <xdr:cNvSpPr/>
        </xdr:nvSpPr>
        <xdr:spPr>
          <a:xfrm>
            <a:off x="317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35" name="$E$109">
            <a:extLst>
              <a:ext uri="{FF2B5EF4-FFF2-40B4-BE49-F238E27FC236}">
                <a16:creationId xmlns:a16="http://schemas.microsoft.com/office/drawing/2014/main" id="{88174434-9A91-4225-972E-9A86F23250BD}"/>
              </a:ext>
            </a:extLst>
          </xdr:cNvPr>
          <xdr:cNvSpPr/>
        </xdr:nvSpPr>
        <xdr:spPr>
          <a:xfrm>
            <a:off x="355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36" name="$E$109">
            <a:extLst>
              <a:ext uri="{FF2B5EF4-FFF2-40B4-BE49-F238E27FC236}">
                <a16:creationId xmlns:a16="http://schemas.microsoft.com/office/drawing/2014/main" id="{39E35ABF-CC26-468B-BED7-D8E998A74346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37" name="$E$109">
            <a:extLst>
              <a:ext uri="{FF2B5EF4-FFF2-40B4-BE49-F238E27FC236}">
                <a16:creationId xmlns:a16="http://schemas.microsoft.com/office/drawing/2014/main" id="{64642A51-176D-4B0B-8ADB-62D9F4C10204}"/>
              </a:ext>
            </a:extLst>
          </xdr:cNvPr>
          <xdr:cNvSpPr/>
        </xdr:nvSpPr>
        <xdr:spPr>
          <a:xfrm>
            <a:off x="406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38" name="$E$109">
            <a:extLst>
              <a:ext uri="{FF2B5EF4-FFF2-40B4-BE49-F238E27FC236}">
                <a16:creationId xmlns:a16="http://schemas.microsoft.com/office/drawing/2014/main" id="{47753BE1-AE65-46BD-9B70-BC419C40CCD1}"/>
              </a:ext>
            </a:extLst>
          </xdr:cNvPr>
          <xdr:cNvSpPr/>
        </xdr:nvSpPr>
        <xdr:spPr>
          <a:xfrm>
            <a:off x="457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39" name="$E$109">
            <a:extLst>
              <a:ext uri="{FF2B5EF4-FFF2-40B4-BE49-F238E27FC236}">
                <a16:creationId xmlns:a16="http://schemas.microsoft.com/office/drawing/2014/main" id="{F1C38121-4FE0-4481-9BA4-1C6C3BAB323B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40" name="$E$109">
            <a:extLst>
              <a:ext uri="{FF2B5EF4-FFF2-40B4-BE49-F238E27FC236}">
                <a16:creationId xmlns:a16="http://schemas.microsoft.com/office/drawing/2014/main" id="{30E3174F-2E3A-4DCE-85D4-1A535BE87AE6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41" name="$E$109">
            <a:extLst>
              <a:ext uri="{FF2B5EF4-FFF2-40B4-BE49-F238E27FC236}">
                <a16:creationId xmlns:a16="http://schemas.microsoft.com/office/drawing/2014/main" id="{91EB5107-16CC-4F72-AAE8-090689041FC7}"/>
              </a:ext>
            </a:extLst>
          </xdr:cNvPr>
          <xdr:cNvSpPr/>
        </xdr:nvSpPr>
        <xdr:spPr>
          <a:xfrm>
            <a:off x="127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42" name="$E$109">
            <a:extLst>
              <a:ext uri="{FF2B5EF4-FFF2-40B4-BE49-F238E27FC236}">
                <a16:creationId xmlns:a16="http://schemas.microsoft.com/office/drawing/2014/main" id="{750819C4-C1E8-4196-A9C3-418A9525CDDF}"/>
              </a:ext>
            </a:extLst>
          </xdr:cNvPr>
          <xdr:cNvSpPr/>
        </xdr:nvSpPr>
        <xdr:spPr>
          <a:xfrm>
            <a:off x="139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43" name="$E$109">
            <a:extLst>
              <a:ext uri="{FF2B5EF4-FFF2-40B4-BE49-F238E27FC236}">
                <a16:creationId xmlns:a16="http://schemas.microsoft.com/office/drawing/2014/main" id="{1E917AF8-4E73-454F-A301-CBA129C71565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44" name="$E$109">
            <a:extLst>
              <a:ext uri="{FF2B5EF4-FFF2-40B4-BE49-F238E27FC236}">
                <a16:creationId xmlns:a16="http://schemas.microsoft.com/office/drawing/2014/main" id="{873A7A01-3716-48F1-A7FA-919B3AA9F27F}"/>
              </a:ext>
            </a:extLst>
          </xdr:cNvPr>
          <xdr:cNvSpPr/>
        </xdr:nvSpPr>
        <xdr:spPr>
          <a:xfrm>
            <a:off x="190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45" name="$E$109">
            <a:extLst>
              <a:ext uri="{FF2B5EF4-FFF2-40B4-BE49-F238E27FC236}">
                <a16:creationId xmlns:a16="http://schemas.microsoft.com/office/drawing/2014/main" id="{D3DE7735-8858-4E0D-8E12-D7904DD082B0}"/>
              </a:ext>
            </a:extLst>
          </xdr:cNvPr>
          <xdr:cNvSpPr/>
        </xdr:nvSpPr>
        <xdr:spPr>
          <a:xfrm>
            <a:off x="203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46" name="$E$109">
            <a:extLst>
              <a:ext uri="{FF2B5EF4-FFF2-40B4-BE49-F238E27FC236}">
                <a16:creationId xmlns:a16="http://schemas.microsoft.com/office/drawing/2014/main" id="{4B3DC8BE-6D37-4E41-85AB-2F785621CF4A}"/>
              </a:ext>
            </a:extLst>
          </xdr:cNvPr>
          <xdr:cNvSpPr/>
        </xdr:nvSpPr>
        <xdr:spPr>
          <a:xfrm>
            <a:off x="254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47" name="$E$109">
            <a:extLst>
              <a:ext uri="{FF2B5EF4-FFF2-40B4-BE49-F238E27FC236}">
                <a16:creationId xmlns:a16="http://schemas.microsoft.com/office/drawing/2014/main" id="{4DAEB4E6-B1E4-49B1-AE0A-2C39D9EE3D8F}"/>
              </a:ext>
            </a:extLst>
          </xdr:cNvPr>
          <xdr:cNvSpPr/>
        </xdr:nvSpPr>
        <xdr:spPr>
          <a:xfrm>
            <a:off x="279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48" name="$E$109">
            <a:extLst>
              <a:ext uri="{FF2B5EF4-FFF2-40B4-BE49-F238E27FC236}">
                <a16:creationId xmlns:a16="http://schemas.microsoft.com/office/drawing/2014/main" id="{6D315E29-9ACF-4F68-A3D3-F1EBD27373FF}"/>
              </a:ext>
            </a:extLst>
          </xdr:cNvPr>
          <xdr:cNvSpPr/>
        </xdr:nvSpPr>
        <xdr:spPr>
          <a:xfrm>
            <a:off x="292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49" name="$E$109">
            <a:extLst>
              <a:ext uri="{FF2B5EF4-FFF2-40B4-BE49-F238E27FC236}">
                <a16:creationId xmlns:a16="http://schemas.microsoft.com/office/drawing/2014/main" id="{9D5931EB-0F4F-4F69-A9D1-52CD7B83AA7C}"/>
              </a:ext>
            </a:extLst>
          </xdr:cNvPr>
          <xdr:cNvSpPr/>
        </xdr:nvSpPr>
        <xdr:spPr>
          <a:xfrm>
            <a:off x="304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50" name="$E$109">
            <a:extLst>
              <a:ext uri="{FF2B5EF4-FFF2-40B4-BE49-F238E27FC236}">
                <a16:creationId xmlns:a16="http://schemas.microsoft.com/office/drawing/2014/main" id="{B0105C53-25FC-42F1-ACDF-CFBADBB9B58D}"/>
              </a:ext>
            </a:extLst>
          </xdr:cNvPr>
          <xdr:cNvSpPr/>
        </xdr:nvSpPr>
        <xdr:spPr>
          <a:xfrm>
            <a:off x="330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51" name="$E$109">
            <a:extLst>
              <a:ext uri="{FF2B5EF4-FFF2-40B4-BE49-F238E27FC236}">
                <a16:creationId xmlns:a16="http://schemas.microsoft.com/office/drawing/2014/main" id="{DFB8AC43-ADCA-4075-8563-3A5B6DE722DE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52" name="$E$109">
            <a:extLst>
              <a:ext uri="{FF2B5EF4-FFF2-40B4-BE49-F238E27FC236}">
                <a16:creationId xmlns:a16="http://schemas.microsoft.com/office/drawing/2014/main" id="{43163F6A-28FB-4F8F-93E7-5DEFB732CC55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53" name="$E$109">
            <a:extLst>
              <a:ext uri="{FF2B5EF4-FFF2-40B4-BE49-F238E27FC236}">
                <a16:creationId xmlns:a16="http://schemas.microsoft.com/office/drawing/2014/main" id="{7DC94FEF-3979-47D0-9080-607877F6386D}"/>
              </a:ext>
            </a:extLst>
          </xdr:cNvPr>
          <xdr:cNvSpPr/>
        </xdr:nvSpPr>
        <xdr:spPr>
          <a:xfrm>
            <a:off x="406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54" name="$E$109">
            <a:extLst>
              <a:ext uri="{FF2B5EF4-FFF2-40B4-BE49-F238E27FC236}">
                <a16:creationId xmlns:a16="http://schemas.microsoft.com/office/drawing/2014/main" id="{6DB02EAB-41B1-4979-920B-0E75FBA3C5E6}"/>
              </a:ext>
            </a:extLst>
          </xdr:cNvPr>
          <xdr:cNvSpPr/>
        </xdr:nvSpPr>
        <xdr:spPr>
          <a:xfrm>
            <a:off x="457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55" name="$E$109">
            <a:extLst>
              <a:ext uri="{FF2B5EF4-FFF2-40B4-BE49-F238E27FC236}">
                <a16:creationId xmlns:a16="http://schemas.microsoft.com/office/drawing/2014/main" id="{B0D58C6F-7BE1-4087-A63E-933D7DA56BDE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56" name="$E$109">
            <a:extLst>
              <a:ext uri="{FF2B5EF4-FFF2-40B4-BE49-F238E27FC236}">
                <a16:creationId xmlns:a16="http://schemas.microsoft.com/office/drawing/2014/main" id="{D380149B-264C-4963-8BC3-C752AE90982F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57" name="$E$109">
            <a:extLst>
              <a:ext uri="{FF2B5EF4-FFF2-40B4-BE49-F238E27FC236}">
                <a16:creationId xmlns:a16="http://schemas.microsoft.com/office/drawing/2014/main" id="{3AB128E5-8848-48F8-9CFA-C18E3290620E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58" name="$E$109">
            <a:extLst>
              <a:ext uri="{FF2B5EF4-FFF2-40B4-BE49-F238E27FC236}">
                <a16:creationId xmlns:a16="http://schemas.microsoft.com/office/drawing/2014/main" id="{C1B4E825-121F-4201-B783-F045AD82FB01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59" name="$E$109">
            <a:extLst>
              <a:ext uri="{FF2B5EF4-FFF2-40B4-BE49-F238E27FC236}">
                <a16:creationId xmlns:a16="http://schemas.microsoft.com/office/drawing/2014/main" id="{F74AF0D2-FE66-430E-B2AA-DF0C3B736E0E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60" name="$E$109">
            <a:extLst>
              <a:ext uri="{FF2B5EF4-FFF2-40B4-BE49-F238E27FC236}">
                <a16:creationId xmlns:a16="http://schemas.microsoft.com/office/drawing/2014/main" id="{9A3829FB-A345-4E20-AE9B-84962D37B8A0}"/>
              </a:ext>
            </a:extLst>
          </xdr:cNvPr>
          <xdr:cNvSpPr/>
        </xdr:nvSpPr>
        <xdr:spPr>
          <a:xfrm>
            <a:off x="114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61" name="$E$109">
            <a:extLst>
              <a:ext uri="{FF2B5EF4-FFF2-40B4-BE49-F238E27FC236}">
                <a16:creationId xmlns:a16="http://schemas.microsoft.com/office/drawing/2014/main" id="{008D6581-A341-4C17-A23F-FA1054EAEEDC}"/>
              </a:ext>
            </a:extLst>
          </xdr:cNvPr>
          <xdr:cNvSpPr/>
        </xdr:nvSpPr>
        <xdr:spPr>
          <a:xfrm>
            <a:off x="127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62" name="$E$109">
            <a:extLst>
              <a:ext uri="{FF2B5EF4-FFF2-40B4-BE49-F238E27FC236}">
                <a16:creationId xmlns:a16="http://schemas.microsoft.com/office/drawing/2014/main" id="{6DADDAC8-A3D0-4BCC-80FC-1A87BD113639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63" name="$E$109">
            <a:extLst>
              <a:ext uri="{FF2B5EF4-FFF2-40B4-BE49-F238E27FC236}">
                <a16:creationId xmlns:a16="http://schemas.microsoft.com/office/drawing/2014/main" id="{C0108309-DA3C-4A49-B260-27354CE33871}"/>
              </a:ext>
            </a:extLst>
          </xdr:cNvPr>
          <xdr:cNvSpPr/>
        </xdr:nvSpPr>
        <xdr:spPr>
          <a:xfrm>
            <a:off x="165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64" name="$E$109">
            <a:extLst>
              <a:ext uri="{FF2B5EF4-FFF2-40B4-BE49-F238E27FC236}">
                <a16:creationId xmlns:a16="http://schemas.microsoft.com/office/drawing/2014/main" id="{D14706FD-4EDE-4BB9-B6AD-B8CC6E5F979C}"/>
              </a:ext>
            </a:extLst>
          </xdr:cNvPr>
          <xdr:cNvSpPr/>
        </xdr:nvSpPr>
        <xdr:spPr>
          <a:xfrm>
            <a:off x="228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65" name="$E$109">
            <a:extLst>
              <a:ext uri="{FF2B5EF4-FFF2-40B4-BE49-F238E27FC236}">
                <a16:creationId xmlns:a16="http://schemas.microsoft.com/office/drawing/2014/main" id="{4B1BE174-6DF3-484A-9A0E-95120843E9CF}"/>
              </a:ext>
            </a:extLst>
          </xdr:cNvPr>
          <xdr:cNvSpPr/>
        </xdr:nvSpPr>
        <xdr:spPr>
          <a:xfrm>
            <a:off x="254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66" name="$E$109">
            <a:extLst>
              <a:ext uri="{FF2B5EF4-FFF2-40B4-BE49-F238E27FC236}">
                <a16:creationId xmlns:a16="http://schemas.microsoft.com/office/drawing/2014/main" id="{12CF4BD0-A59B-4029-8C38-708A5FF5731B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67" name="$E$109">
            <a:extLst>
              <a:ext uri="{FF2B5EF4-FFF2-40B4-BE49-F238E27FC236}">
                <a16:creationId xmlns:a16="http://schemas.microsoft.com/office/drawing/2014/main" id="{FB89353B-A55E-44DC-B50E-8A40A530A1A2}"/>
              </a:ext>
            </a:extLst>
          </xdr:cNvPr>
          <xdr:cNvSpPr/>
        </xdr:nvSpPr>
        <xdr:spPr>
          <a:xfrm>
            <a:off x="330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68" name="$E$109">
            <a:extLst>
              <a:ext uri="{FF2B5EF4-FFF2-40B4-BE49-F238E27FC236}">
                <a16:creationId xmlns:a16="http://schemas.microsoft.com/office/drawing/2014/main" id="{2D194615-8335-4306-83E2-C58714D22143}"/>
              </a:ext>
            </a:extLst>
          </xdr:cNvPr>
          <xdr:cNvSpPr/>
        </xdr:nvSpPr>
        <xdr:spPr>
          <a:xfrm>
            <a:off x="342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69" name="$E$109">
            <a:extLst>
              <a:ext uri="{FF2B5EF4-FFF2-40B4-BE49-F238E27FC236}">
                <a16:creationId xmlns:a16="http://schemas.microsoft.com/office/drawing/2014/main" id="{A193AF04-F59D-4DF5-903E-D746C8054A5D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70" name="$E$109">
            <a:extLst>
              <a:ext uri="{FF2B5EF4-FFF2-40B4-BE49-F238E27FC236}">
                <a16:creationId xmlns:a16="http://schemas.microsoft.com/office/drawing/2014/main" id="{679DC468-EEEB-4D39-9458-6891238C40FC}"/>
              </a:ext>
            </a:extLst>
          </xdr:cNvPr>
          <xdr:cNvSpPr/>
        </xdr:nvSpPr>
        <xdr:spPr>
          <a:xfrm>
            <a:off x="368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71" name="$E$109">
            <a:extLst>
              <a:ext uri="{FF2B5EF4-FFF2-40B4-BE49-F238E27FC236}">
                <a16:creationId xmlns:a16="http://schemas.microsoft.com/office/drawing/2014/main" id="{B9696EF3-5AF9-4094-8294-421549A6BD8E}"/>
              </a:ext>
            </a:extLst>
          </xdr:cNvPr>
          <xdr:cNvSpPr/>
        </xdr:nvSpPr>
        <xdr:spPr>
          <a:xfrm>
            <a:off x="381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72" name="$E$109">
            <a:extLst>
              <a:ext uri="{FF2B5EF4-FFF2-40B4-BE49-F238E27FC236}">
                <a16:creationId xmlns:a16="http://schemas.microsoft.com/office/drawing/2014/main" id="{6E4A587D-43CB-4423-A29C-ABA99626C8A0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73" name="$E$109">
            <a:extLst>
              <a:ext uri="{FF2B5EF4-FFF2-40B4-BE49-F238E27FC236}">
                <a16:creationId xmlns:a16="http://schemas.microsoft.com/office/drawing/2014/main" id="{AB2F5A51-62FD-40FC-BED5-9E881473CCCB}"/>
              </a:ext>
            </a:extLst>
          </xdr:cNvPr>
          <xdr:cNvSpPr/>
        </xdr:nvSpPr>
        <xdr:spPr>
          <a:xfrm>
            <a:off x="406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74" name="$E$109">
            <a:extLst>
              <a:ext uri="{FF2B5EF4-FFF2-40B4-BE49-F238E27FC236}">
                <a16:creationId xmlns:a16="http://schemas.microsoft.com/office/drawing/2014/main" id="{01A78A2A-EACA-4234-A078-AFA608D9494E}"/>
              </a:ext>
            </a:extLst>
          </xdr:cNvPr>
          <xdr:cNvSpPr/>
        </xdr:nvSpPr>
        <xdr:spPr>
          <a:xfrm>
            <a:off x="431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75" name="$E$109">
            <a:extLst>
              <a:ext uri="{FF2B5EF4-FFF2-40B4-BE49-F238E27FC236}">
                <a16:creationId xmlns:a16="http://schemas.microsoft.com/office/drawing/2014/main" id="{39AF3F5D-ABC4-4E50-A181-3A12A15EFD0F}"/>
              </a:ext>
            </a:extLst>
          </xdr:cNvPr>
          <xdr:cNvSpPr/>
        </xdr:nvSpPr>
        <xdr:spPr>
          <a:xfrm>
            <a:off x="457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76" name="$E$109">
            <a:extLst>
              <a:ext uri="{FF2B5EF4-FFF2-40B4-BE49-F238E27FC236}">
                <a16:creationId xmlns:a16="http://schemas.microsoft.com/office/drawing/2014/main" id="{69C1FC99-40AD-4037-8AA0-23DD80E8F122}"/>
              </a:ext>
            </a:extLst>
          </xdr:cNvPr>
          <xdr:cNvSpPr/>
        </xdr:nvSpPr>
        <xdr:spPr>
          <a:xfrm>
            <a:off x="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77" name="$E$109">
            <a:extLst>
              <a:ext uri="{FF2B5EF4-FFF2-40B4-BE49-F238E27FC236}">
                <a16:creationId xmlns:a16="http://schemas.microsoft.com/office/drawing/2014/main" id="{BD14AD4E-5651-487B-B81C-C37E499F7975}"/>
              </a:ext>
            </a:extLst>
          </xdr:cNvPr>
          <xdr:cNvSpPr/>
        </xdr:nvSpPr>
        <xdr:spPr>
          <a:xfrm>
            <a:off x="25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78" name="$E$109">
            <a:extLst>
              <a:ext uri="{FF2B5EF4-FFF2-40B4-BE49-F238E27FC236}">
                <a16:creationId xmlns:a16="http://schemas.microsoft.com/office/drawing/2014/main" id="{78C3F50B-96A5-41A5-9E28-5261B3FCC0CA}"/>
              </a:ext>
            </a:extLst>
          </xdr:cNvPr>
          <xdr:cNvSpPr/>
        </xdr:nvSpPr>
        <xdr:spPr>
          <a:xfrm>
            <a:off x="38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79" name="$E$109">
            <a:extLst>
              <a:ext uri="{FF2B5EF4-FFF2-40B4-BE49-F238E27FC236}">
                <a16:creationId xmlns:a16="http://schemas.microsoft.com/office/drawing/2014/main" id="{FAD44509-88E0-491F-AF98-A08EE14E9D5C}"/>
              </a:ext>
            </a:extLst>
          </xdr:cNvPr>
          <xdr:cNvSpPr/>
        </xdr:nvSpPr>
        <xdr:spPr>
          <a:xfrm>
            <a:off x="50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80" name="$E$109">
            <a:extLst>
              <a:ext uri="{FF2B5EF4-FFF2-40B4-BE49-F238E27FC236}">
                <a16:creationId xmlns:a16="http://schemas.microsoft.com/office/drawing/2014/main" id="{32964A7C-585F-48E5-BDAD-57676C490066}"/>
              </a:ext>
            </a:extLst>
          </xdr:cNvPr>
          <xdr:cNvSpPr/>
        </xdr:nvSpPr>
        <xdr:spPr>
          <a:xfrm>
            <a:off x="76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81" name="$E$109">
            <a:extLst>
              <a:ext uri="{FF2B5EF4-FFF2-40B4-BE49-F238E27FC236}">
                <a16:creationId xmlns:a16="http://schemas.microsoft.com/office/drawing/2014/main" id="{1F78AC5E-66B8-4DEC-8B7C-85F8F0F41BDB}"/>
              </a:ext>
            </a:extLst>
          </xdr:cNvPr>
          <xdr:cNvSpPr/>
        </xdr:nvSpPr>
        <xdr:spPr>
          <a:xfrm>
            <a:off x="114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82" name="$E$109">
            <a:extLst>
              <a:ext uri="{FF2B5EF4-FFF2-40B4-BE49-F238E27FC236}">
                <a16:creationId xmlns:a16="http://schemas.microsoft.com/office/drawing/2014/main" id="{BCA5EE5F-933C-4295-9776-7B313EA1DE2E}"/>
              </a:ext>
            </a:extLst>
          </xdr:cNvPr>
          <xdr:cNvSpPr/>
        </xdr:nvSpPr>
        <xdr:spPr>
          <a:xfrm>
            <a:off x="127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83" name="$E$109">
            <a:extLst>
              <a:ext uri="{FF2B5EF4-FFF2-40B4-BE49-F238E27FC236}">
                <a16:creationId xmlns:a16="http://schemas.microsoft.com/office/drawing/2014/main" id="{5478931B-A184-43E1-B82D-999885EE3593}"/>
              </a:ext>
            </a:extLst>
          </xdr:cNvPr>
          <xdr:cNvSpPr/>
        </xdr:nvSpPr>
        <xdr:spPr>
          <a:xfrm>
            <a:off x="165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84" name="$E$109">
            <a:extLst>
              <a:ext uri="{FF2B5EF4-FFF2-40B4-BE49-F238E27FC236}">
                <a16:creationId xmlns:a16="http://schemas.microsoft.com/office/drawing/2014/main" id="{D6E51B32-323B-40B5-8074-9966EC8389C3}"/>
              </a:ext>
            </a:extLst>
          </xdr:cNvPr>
          <xdr:cNvSpPr/>
        </xdr:nvSpPr>
        <xdr:spPr>
          <a:xfrm>
            <a:off x="2159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85" name="$E$109">
            <a:extLst>
              <a:ext uri="{FF2B5EF4-FFF2-40B4-BE49-F238E27FC236}">
                <a16:creationId xmlns:a16="http://schemas.microsoft.com/office/drawing/2014/main" id="{9C8F0320-75AD-4C15-99CE-07A10ECC724E}"/>
              </a:ext>
            </a:extLst>
          </xdr:cNvPr>
          <xdr:cNvSpPr/>
        </xdr:nvSpPr>
        <xdr:spPr>
          <a:xfrm>
            <a:off x="228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86" name="$E$109">
            <a:extLst>
              <a:ext uri="{FF2B5EF4-FFF2-40B4-BE49-F238E27FC236}">
                <a16:creationId xmlns:a16="http://schemas.microsoft.com/office/drawing/2014/main" id="{A8508D6E-A549-4F64-ACCB-AD1A395FA3FA}"/>
              </a:ext>
            </a:extLst>
          </xdr:cNvPr>
          <xdr:cNvSpPr/>
        </xdr:nvSpPr>
        <xdr:spPr>
          <a:xfrm>
            <a:off x="241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87" name="$E$109">
            <a:extLst>
              <a:ext uri="{FF2B5EF4-FFF2-40B4-BE49-F238E27FC236}">
                <a16:creationId xmlns:a16="http://schemas.microsoft.com/office/drawing/2014/main" id="{2C8EE97E-AFC1-4EAD-824C-4ACC54AE8C15}"/>
              </a:ext>
            </a:extLst>
          </xdr:cNvPr>
          <xdr:cNvSpPr/>
        </xdr:nvSpPr>
        <xdr:spPr>
          <a:xfrm>
            <a:off x="254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88" name="$E$109">
            <a:extLst>
              <a:ext uri="{FF2B5EF4-FFF2-40B4-BE49-F238E27FC236}">
                <a16:creationId xmlns:a16="http://schemas.microsoft.com/office/drawing/2014/main" id="{6E2F37F0-9263-49ED-A37A-30D775E5B6FC}"/>
              </a:ext>
            </a:extLst>
          </xdr:cNvPr>
          <xdr:cNvSpPr/>
        </xdr:nvSpPr>
        <xdr:spPr>
          <a:xfrm>
            <a:off x="292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89" name="$E$109">
            <a:extLst>
              <a:ext uri="{FF2B5EF4-FFF2-40B4-BE49-F238E27FC236}">
                <a16:creationId xmlns:a16="http://schemas.microsoft.com/office/drawing/2014/main" id="{19AE423D-FB9C-4274-A083-9A493DB107BF}"/>
              </a:ext>
            </a:extLst>
          </xdr:cNvPr>
          <xdr:cNvSpPr/>
        </xdr:nvSpPr>
        <xdr:spPr>
          <a:xfrm>
            <a:off x="330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90" name="$E$109">
            <a:extLst>
              <a:ext uri="{FF2B5EF4-FFF2-40B4-BE49-F238E27FC236}">
                <a16:creationId xmlns:a16="http://schemas.microsoft.com/office/drawing/2014/main" id="{4784421E-E2DD-4FDF-B139-CF0E70A752A1}"/>
              </a:ext>
            </a:extLst>
          </xdr:cNvPr>
          <xdr:cNvSpPr/>
        </xdr:nvSpPr>
        <xdr:spPr>
          <a:xfrm>
            <a:off x="355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91" name="$E$109">
            <a:extLst>
              <a:ext uri="{FF2B5EF4-FFF2-40B4-BE49-F238E27FC236}">
                <a16:creationId xmlns:a16="http://schemas.microsoft.com/office/drawing/2014/main" id="{6DB8FA71-C75D-4C79-8BFE-E7F41848141F}"/>
              </a:ext>
            </a:extLst>
          </xdr:cNvPr>
          <xdr:cNvSpPr/>
        </xdr:nvSpPr>
        <xdr:spPr>
          <a:xfrm>
            <a:off x="368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92" name="$E$109">
            <a:extLst>
              <a:ext uri="{FF2B5EF4-FFF2-40B4-BE49-F238E27FC236}">
                <a16:creationId xmlns:a16="http://schemas.microsoft.com/office/drawing/2014/main" id="{55308984-8838-45B5-B162-63C941240F68}"/>
              </a:ext>
            </a:extLst>
          </xdr:cNvPr>
          <xdr:cNvSpPr/>
        </xdr:nvSpPr>
        <xdr:spPr>
          <a:xfrm>
            <a:off x="381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93" name="$E$109">
            <a:extLst>
              <a:ext uri="{FF2B5EF4-FFF2-40B4-BE49-F238E27FC236}">
                <a16:creationId xmlns:a16="http://schemas.microsoft.com/office/drawing/2014/main" id="{35150CD7-0493-41CF-B2F9-25F47B214B7D}"/>
              </a:ext>
            </a:extLst>
          </xdr:cNvPr>
          <xdr:cNvSpPr/>
        </xdr:nvSpPr>
        <xdr:spPr>
          <a:xfrm>
            <a:off x="431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94" name="$E$109">
            <a:extLst>
              <a:ext uri="{FF2B5EF4-FFF2-40B4-BE49-F238E27FC236}">
                <a16:creationId xmlns:a16="http://schemas.microsoft.com/office/drawing/2014/main" id="{29B48C7F-71EC-4FBC-A4E1-7D643F9923F5}"/>
              </a:ext>
            </a:extLst>
          </xdr:cNvPr>
          <xdr:cNvSpPr/>
        </xdr:nvSpPr>
        <xdr:spPr>
          <a:xfrm>
            <a:off x="4445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95" name="$E$109">
            <a:extLst>
              <a:ext uri="{FF2B5EF4-FFF2-40B4-BE49-F238E27FC236}">
                <a16:creationId xmlns:a16="http://schemas.microsoft.com/office/drawing/2014/main" id="{06D61B48-AC05-4D79-BB4A-1D102BCBA797}"/>
              </a:ext>
            </a:extLst>
          </xdr:cNvPr>
          <xdr:cNvSpPr/>
        </xdr:nvSpPr>
        <xdr:spPr>
          <a:xfrm>
            <a:off x="457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96" name="$E$109">
            <a:extLst>
              <a:ext uri="{FF2B5EF4-FFF2-40B4-BE49-F238E27FC236}">
                <a16:creationId xmlns:a16="http://schemas.microsoft.com/office/drawing/2014/main" id="{6CF8D16F-67B0-40B7-B7DB-BE0B9F91223A}"/>
              </a:ext>
            </a:extLst>
          </xdr:cNvPr>
          <xdr:cNvSpPr/>
        </xdr:nvSpPr>
        <xdr:spPr>
          <a:xfrm>
            <a:off x="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97" name="$E$109">
            <a:extLst>
              <a:ext uri="{FF2B5EF4-FFF2-40B4-BE49-F238E27FC236}">
                <a16:creationId xmlns:a16="http://schemas.microsoft.com/office/drawing/2014/main" id="{A3C9686C-35D4-499C-AF24-6FD62445BFEE}"/>
              </a:ext>
            </a:extLst>
          </xdr:cNvPr>
          <xdr:cNvSpPr/>
        </xdr:nvSpPr>
        <xdr:spPr>
          <a:xfrm>
            <a:off x="25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98" name="$E$109">
            <a:extLst>
              <a:ext uri="{FF2B5EF4-FFF2-40B4-BE49-F238E27FC236}">
                <a16:creationId xmlns:a16="http://schemas.microsoft.com/office/drawing/2014/main" id="{6F069167-E871-4E15-B37C-F4342ABD9423}"/>
              </a:ext>
            </a:extLst>
          </xdr:cNvPr>
          <xdr:cNvSpPr/>
        </xdr:nvSpPr>
        <xdr:spPr>
          <a:xfrm>
            <a:off x="38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699" name="$E$109">
            <a:extLst>
              <a:ext uri="{FF2B5EF4-FFF2-40B4-BE49-F238E27FC236}">
                <a16:creationId xmlns:a16="http://schemas.microsoft.com/office/drawing/2014/main" id="{15E1FC07-594F-48DC-B342-4F68EBDADAC6}"/>
              </a:ext>
            </a:extLst>
          </xdr:cNvPr>
          <xdr:cNvSpPr/>
        </xdr:nvSpPr>
        <xdr:spPr>
          <a:xfrm>
            <a:off x="50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00" name="$E$109">
            <a:extLst>
              <a:ext uri="{FF2B5EF4-FFF2-40B4-BE49-F238E27FC236}">
                <a16:creationId xmlns:a16="http://schemas.microsoft.com/office/drawing/2014/main" id="{BA62A1B8-503C-4F9A-A522-276F59ECDEF6}"/>
              </a:ext>
            </a:extLst>
          </xdr:cNvPr>
          <xdr:cNvSpPr/>
        </xdr:nvSpPr>
        <xdr:spPr>
          <a:xfrm>
            <a:off x="76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01" name="$E$109">
            <a:extLst>
              <a:ext uri="{FF2B5EF4-FFF2-40B4-BE49-F238E27FC236}">
                <a16:creationId xmlns:a16="http://schemas.microsoft.com/office/drawing/2014/main" id="{150B2CD1-9452-4756-8501-9212BEB55C7A}"/>
              </a:ext>
            </a:extLst>
          </xdr:cNvPr>
          <xdr:cNvSpPr/>
        </xdr:nvSpPr>
        <xdr:spPr>
          <a:xfrm>
            <a:off x="127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02" name="$E$109">
            <a:extLst>
              <a:ext uri="{FF2B5EF4-FFF2-40B4-BE49-F238E27FC236}">
                <a16:creationId xmlns:a16="http://schemas.microsoft.com/office/drawing/2014/main" id="{64FA7A40-3CED-4D23-BB7C-8B89DF73A836}"/>
              </a:ext>
            </a:extLst>
          </xdr:cNvPr>
          <xdr:cNvSpPr/>
        </xdr:nvSpPr>
        <xdr:spPr>
          <a:xfrm>
            <a:off x="177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03" name="$E$109">
            <a:extLst>
              <a:ext uri="{FF2B5EF4-FFF2-40B4-BE49-F238E27FC236}">
                <a16:creationId xmlns:a16="http://schemas.microsoft.com/office/drawing/2014/main" id="{A3E022A3-4EB5-4189-9F03-20374A1EF965}"/>
              </a:ext>
            </a:extLst>
          </xdr:cNvPr>
          <xdr:cNvSpPr/>
        </xdr:nvSpPr>
        <xdr:spPr>
          <a:xfrm>
            <a:off x="254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04" name="$E$109">
            <a:extLst>
              <a:ext uri="{FF2B5EF4-FFF2-40B4-BE49-F238E27FC236}">
                <a16:creationId xmlns:a16="http://schemas.microsoft.com/office/drawing/2014/main" id="{DDA88C76-C5FD-4B71-A587-F2D958B2F7F2}"/>
              </a:ext>
            </a:extLst>
          </xdr:cNvPr>
          <xdr:cNvSpPr/>
        </xdr:nvSpPr>
        <xdr:spPr>
          <a:xfrm>
            <a:off x="266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05" name="$E$109">
            <a:extLst>
              <a:ext uri="{FF2B5EF4-FFF2-40B4-BE49-F238E27FC236}">
                <a16:creationId xmlns:a16="http://schemas.microsoft.com/office/drawing/2014/main" id="{78DE9F96-BE6A-4CEC-913E-9DEA93C7DC46}"/>
              </a:ext>
            </a:extLst>
          </xdr:cNvPr>
          <xdr:cNvSpPr/>
        </xdr:nvSpPr>
        <xdr:spPr>
          <a:xfrm>
            <a:off x="279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06" name="$E$109">
            <a:extLst>
              <a:ext uri="{FF2B5EF4-FFF2-40B4-BE49-F238E27FC236}">
                <a16:creationId xmlns:a16="http://schemas.microsoft.com/office/drawing/2014/main" id="{DBBB57D0-2D11-4E3C-AF2B-2FD28925DD59}"/>
              </a:ext>
            </a:extLst>
          </xdr:cNvPr>
          <xdr:cNvSpPr/>
        </xdr:nvSpPr>
        <xdr:spPr>
          <a:xfrm>
            <a:off x="3683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07" name="$E$109">
            <a:extLst>
              <a:ext uri="{FF2B5EF4-FFF2-40B4-BE49-F238E27FC236}">
                <a16:creationId xmlns:a16="http://schemas.microsoft.com/office/drawing/2014/main" id="{6394FBDA-5DD3-4610-9BDD-7708F1EB9C90}"/>
              </a:ext>
            </a:extLst>
          </xdr:cNvPr>
          <xdr:cNvSpPr/>
        </xdr:nvSpPr>
        <xdr:spPr>
          <a:xfrm>
            <a:off x="431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08" name="$E$109">
            <a:extLst>
              <a:ext uri="{FF2B5EF4-FFF2-40B4-BE49-F238E27FC236}">
                <a16:creationId xmlns:a16="http://schemas.microsoft.com/office/drawing/2014/main" id="{ED8B2FCE-D39D-48B9-9CE1-5EC8F28CF33D}"/>
              </a:ext>
            </a:extLst>
          </xdr:cNvPr>
          <xdr:cNvSpPr/>
        </xdr:nvSpPr>
        <xdr:spPr>
          <a:xfrm>
            <a:off x="444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09" name="$E$109">
            <a:extLst>
              <a:ext uri="{FF2B5EF4-FFF2-40B4-BE49-F238E27FC236}">
                <a16:creationId xmlns:a16="http://schemas.microsoft.com/office/drawing/2014/main" id="{A2308A59-7E0E-4402-901E-5C53F711EC14}"/>
              </a:ext>
            </a:extLst>
          </xdr:cNvPr>
          <xdr:cNvSpPr/>
        </xdr:nvSpPr>
        <xdr:spPr>
          <a:xfrm>
            <a:off x="457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10" name="$E$109">
            <a:extLst>
              <a:ext uri="{FF2B5EF4-FFF2-40B4-BE49-F238E27FC236}">
                <a16:creationId xmlns:a16="http://schemas.microsoft.com/office/drawing/2014/main" id="{844FA826-0BFD-4F8C-8808-C763D2ECF4CD}"/>
              </a:ext>
            </a:extLst>
          </xdr:cNvPr>
          <xdr:cNvSpPr/>
        </xdr:nvSpPr>
        <xdr:spPr>
          <a:xfrm>
            <a:off x="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11" name="$E$109">
            <a:extLst>
              <a:ext uri="{FF2B5EF4-FFF2-40B4-BE49-F238E27FC236}">
                <a16:creationId xmlns:a16="http://schemas.microsoft.com/office/drawing/2014/main" id="{481D47C1-7CCF-44CC-87C9-3B02F6000074}"/>
              </a:ext>
            </a:extLst>
          </xdr:cNvPr>
          <xdr:cNvSpPr/>
        </xdr:nvSpPr>
        <xdr:spPr>
          <a:xfrm>
            <a:off x="76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12" name="$E$109">
            <a:extLst>
              <a:ext uri="{FF2B5EF4-FFF2-40B4-BE49-F238E27FC236}">
                <a16:creationId xmlns:a16="http://schemas.microsoft.com/office/drawing/2014/main" id="{ACD03F16-56FC-4281-A8EF-B1CE5006FAC1}"/>
              </a:ext>
            </a:extLst>
          </xdr:cNvPr>
          <xdr:cNvSpPr/>
        </xdr:nvSpPr>
        <xdr:spPr>
          <a:xfrm>
            <a:off x="127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13" name="$E$109">
            <a:extLst>
              <a:ext uri="{FF2B5EF4-FFF2-40B4-BE49-F238E27FC236}">
                <a16:creationId xmlns:a16="http://schemas.microsoft.com/office/drawing/2014/main" id="{0F932689-5EF0-42B1-AA41-27AA3066237C}"/>
              </a:ext>
            </a:extLst>
          </xdr:cNvPr>
          <xdr:cNvSpPr/>
        </xdr:nvSpPr>
        <xdr:spPr>
          <a:xfrm>
            <a:off x="152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14" name="$E$109">
            <a:extLst>
              <a:ext uri="{FF2B5EF4-FFF2-40B4-BE49-F238E27FC236}">
                <a16:creationId xmlns:a16="http://schemas.microsoft.com/office/drawing/2014/main" id="{08202C68-FF34-44A0-8A56-38E111B29C74}"/>
              </a:ext>
            </a:extLst>
          </xdr:cNvPr>
          <xdr:cNvSpPr/>
        </xdr:nvSpPr>
        <xdr:spPr>
          <a:xfrm>
            <a:off x="1778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15" name="$E$109">
            <a:extLst>
              <a:ext uri="{FF2B5EF4-FFF2-40B4-BE49-F238E27FC236}">
                <a16:creationId xmlns:a16="http://schemas.microsoft.com/office/drawing/2014/main" id="{54BAFE4A-380A-47C2-8258-981AB9FEBD8C}"/>
              </a:ext>
            </a:extLst>
          </xdr:cNvPr>
          <xdr:cNvSpPr/>
        </xdr:nvSpPr>
        <xdr:spPr>
          <a:xfrm>
            <a:off x="1905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16" name="$E$109">
            <a:extLst>
              <a:ext uri="{FF2B5EF4-FFF2-40B4-BE49-F238E27FC236}">
                <a16:creationId xmlns:a16="http://schemas.microsoft.com/office/drawing/2014/main" id="{438ADD9A-457E-4210-8EEE-F4C0AA478163}"/>
              </a:ext>
            </a:extLst>
          </xdr:cNvPr>
          <xdr:cNvSpPr/>
        </xdr:nvSpPr>
        <xdr:spPr>
          <a:xfrm>
            <a:off x="203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17" name="$E$109">
            <a:extLst>
              <a:ext uri="{FF2B5EF4-FFF2-40B4-BE49-F238E27FC236}">
                <a16:creationId xmlns:a16="http://schemas.microsoft.com/office/drawing/2014/main" id="{64CC859F-FAB1-4057-8FC7-5CEC708964C6}"/>
              </a:ext>
            </a:extLst>
          </xdr:cNvPr>
          <xdr:cNvSpPr/>
        </xdr:nvSpPr>
        <xdr:spPr>
          <a:xfrm>
            <a:off x="254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18" name="$E$109">
            <a:extLst>
              <a:ext uri="{FF2B5EF4-FFF2-40B4-BE49-F238E27FC236}">
                <a16:creationId xmlns:a16="http://schemas.microsoft.com/office/drawing/2014/main" id="{488DECFC-8BA2-4353-84B7-156DE2A64164}"/>
              </a:ext>
            </a:extLst>
          </xdr:cNvPr>
          <xdr:cNvSpPr/>
        </xdr:nvSpPr>
        <xdr:spPr>
          <a:xfrm>
            <a:off x="3048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19" name="$E$109">
            <a:extLst>
              <a:ext uri="{FF2B5EF4-FFF2-40B4-BE49-F238E27FC236}">
                <a16:creationId xmlns:a16="http://schemas.microsoft.com/office/drawing/2014/main" id="{68E1CF85-1A6D-4FFC-83D0-4AB0A460262C}"/>
              </a:ext>
            </a:extLst>
          </xdr:cNvPr>
          <xdr:cNvSpPr/>
        </xdr:nvSpPr>
        <xdr:spPr>
          <a:xfrm>
            <a:off x="330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20" name="$E$109">
            <a:extLst>
              <a:ext uri="{FF2B5EF4-FFF2-40B4-BE49-F238E27FC236}">
                <a16:creationId xmlns:a16="http://schemas.microsoft.com/office/drawing/2014/main" id="{2407628C-F60C-45E1-A68F-A8126F2766DB}"/>
              </a:ext>
            </a:extLst>
          </xdr:cNvPr>
          <xdr:cNvSpPr/>
        </xdr:nvSpPr>
        <xdr:spPr>
          <a:xfrm>
            <a:off x="355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21" name="$E$109">
            <a:extLst>
              <a:ext uri="{FF2B5EF4-FFF2-40B4-BE49-F238E27FC236}">
                <a16:creationId xmlns:a16="http://schemas.microsoft.com/office/drawing/2014/main" id="{0BB52A1E-A55B-4C93-B0F1-2CB25F657B64}"/>
              </a:ext>
            </a:extLst>
          </xdr:cNvPr>
          <xdr:cNvSpPr/>
        </xdr:nvSpPr>
        <xdr:spPr>
          <a:xfrm>
            <a:off x="3683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22" name="$E$109">
            <a:extLst>
              <a:ext uri="{FF2B5EF4-FFF2-40B4-BE49-F238E27FC236}">
                <a16:creationId xmlns:a16="http://schemas.microsoft.com/office/drawing/2014/main" id="{38D81519-5175-47D9-9BEF-B0C3C202809F}"/>
              </a:ext>
            </a:extLst>
          </xdr:cNvPr>
          <xdr:cNvSpPr/>
        </xdr:nvSpPr>
        <xdr:spPr>
          <a:xfrm>
            <a:off x="381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23" name="$E$109">
            <a:extLst>
              <a:ext uri="{FF2B5EF4-FFF2-40B4-BE49-F238E27FC236}">
                <a16:creationId xmlns:a16="http://schemas.microsoft.com/office/drawing/2014/main" id="{CBF68549-4D8B-4FD3-9B6F-D91F90A42975}"/>
              </a:ext>
            </a:extLst>
          </xdr:cNvPr>
          <xdr:cNvSpPr/>
        </xdr:nvSpPr>
        <xdr:spPr>
          <a:xfrm>
            <a:off x="406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24" name="$E$109">
            <a:extLst>
              <a:ext uri="{FF2B5EF4-FFF2-40B4-BE49-F238E27FC236}">
                <a16:creationId xmlns:a16="http://schemas.microsoft.com/office/drawing/2014/main" id="{FEAE374B-D612-472A-9F43-FDBC9875EAD3}"/>
              </a:ext>
            </a:extLst>
          </xdr:cNvPr>
          <xdr:cNvSpPr/>
        </xdr:nvSpPr>
        <xdr:spPr>
          <a:xfrm>
            <a:off x="4191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25" name="$E$109">
            <a:extLst>
              <a:ext uri="{FF2B5EF4-FFF2-40B4-BE49-F238E27FC236}">
                <a16:creationId xmlns:a16="http://schemas.microsoft.com/office/drawing/2014/main" id="{904C9DF2-1792-4AF9-98E6-846B555FAB7C}"/>
              </a:ext>
            </a:extLst>
          </xdr:cNvPr>
          <xdr:cNvSpPr/>
        </xdr:nvSpPr>
        <xdr:spPr>
          <a:xfrm>
            <a:off x="457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26" name="$E$109">
            <a:extLst>
              <a:ext uri="{FF2B5EF4-FFF2-40B4-BE49-F238E27FC236}">
                <a16:creationId xmlns:a16="http://schemas.microsoft.com/office/drawing/2014/main" id="{64CF1C52-2B38-4073-AAD1-8467BE626FDA}"/>
              </a:ext>
            </a:extLst>
          </xdr:cNvPr>
          <xdr:cNvSpPr/>
        </xdr:nvSpPr>
        <xdr:spPr>
          <a:xfrm>
            <a:off x="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27" name="$E$109">
            <a:extLst>
              <a:ext uri="{FF2B5EF4-FFF2-40B4-BE49-F238E27FC236}">
                <a16:creationId xmlns:a16="http://schemas.microsoft.com/office/drawing/2014/main" id="{DB483543-E517-43E0-BD45-3B521DD37876}"/>
              </a:ext>
            </a:extLst>
          </xdr:cNvPr>
          <xdr:cNvSpPr/>
        </xdr:nvSpPr>
        <xdr:spPr>
          <a:xfrm>
            <a:off x="12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28" name="$E$109">
            <a:extLst>
              <a:ext uri="{FF2B5EF4-FFF2-40B4-BE49-F238E27FC236}">
                <a16:creationId xmlns:a16="http://schemas.microsoft.com/office/drawing/2014/main" id="{4C383F88-BBDD-48AE-B46F-00108F156DFF}"/>
              </a:ext>
            </a:extLst>
          </xdr:cNvPr>
          <xdr:cNvSpPr/>
        </xdr:nvSpPr>
        <xdr:spPr>
          <a:xfrm>
            <a:off x="25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29" name="$E$109">
            <a:extLst>
              <a:ext uri="{FF2B5EF4-FFF2-40B4-BE49-F238E27FC236}">
                <a16:creationId xmlns:a16="http://schemas.microsoft.com/office/drawing/2014/main" id="{508E3143-7651-4A48-B890-2FFF2084EC86}"/>
              </a:ext>
            </a:extLst>
          </xdr:cNvPr>
          <xdr:cNvSpPr/>
        </xdr:nvSpPr>
        <xdr:spPr>
          <a:xfrm>
            <a:off x="38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30" name="$E$109">
            <a:extLst>
              <a:ext uri="{FF2B5EF4-FFF2-40B4-BE49-F238E27FC236}">
                <a16:creationId xmlns:a16="http://schemas.microsoft.com/office/drawing/2014/main" id="{AA2D0FBA-42B3-4F6D-B78F-4D241A1EC21B}"/>
              </a:ext>
            </a:extLst>
          </xdr:cNvPr>
          <xdr:cNvSpPr/>
        </xdr:nvSpPr>
        <xdr:spPr>
          <a:xfrm>
            <a:off x="50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31" name="$E$109">
            <a:extLst>
              <a:ext uri="{FF2B5EF4-FFF2-40B4-BE49-F238E27FC236}">
                <a16:creationId xmlns:a16="http://schemas.microsoft.com/office/drawing/2014/main" id="{4EF61FFE-7969-4E49-B2D9-C13251D1D842}"/>
              </a:ext>
            </a:extLst>
          </xdr:cNvPr>
          <xdr:cNvSpPr/>
        </xdr:nvSpPr>
        <xdr:spPr>
          <a:xfrm>
            <a:off x="63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32" name="$E$109">
            <a:extLst>
              <a:ext uri="{FF2B5EF4-FFF2-40B4-BE49-F238E27FC236}">
                <a16:creationId xmlns:a16="http://schemas.microsoft.com/office/drawing/2014/main" id="{9270B5BD-3574-48AF-BB28-BF81DE47D6D2}"/>
              </a:ext>
            </a:extLst>
          </xdr:cNvPr>
          <xdr:cNvSpPr/>
        </xdr:nvSpPr>
        <xdr:spPr>
          <a:xfrm>
            <a:off x="76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33" name="$E$109">
            <a:extLst>
              <a:ext uri="{FF2B5EF4-FFF2-40B4-BE49-F238E27FC236}">
                <a16:creationId xmlns:a16="http://schemas.microsoft.com/office/drawing/2014/main" id="{BFA3B619-A291-46BD-A864-C571D3A097B8}"/>
              </a:ext>
            </a:extLst>
          </xdr:cNvPr>
          <xdr:cNvSpPr/>
        </xdr:nvSpPr>
        <xdr:spPr>
          <a:xfrm>
            <a:off x="101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34" name="$E$109">
            <a:extLst>
              <a:ext uri="{FF2B5EF4-FFF2-40B4-BE49-F238E27FC236}">
                <a16:creationId xmlns:a16="http://schemas.microsoft.com/office/drawing/2014/main" id="{E5A74C4B-2E09-4324-831B-EF4F990CA817}"/>
              </a:ext>
            </a:extLst>
          </xdr:cNvPr>
          <xdr:cNvSpPr/>
        </xdr:nvSpPr>
        <xdr:spPr>
          <a:xfrm>
            <a:off x="127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35" name="$E$109">
            <a:extLst>
              <a:ext uri="{FF2B5EF4-FFF2-40B4-BE49-F238E27FC236}">
                <a16:creationId xmlns:a16="http://schemas.microsoft.com/office/drawing/2014/main" id="{81A39554-5FAF-4629-A3BB-6F308417F52E}"/>
              </a:ext>
            </a:extLst>
          </xdr:cNvPr>
          <xdr:cNvSpPr/>
        </xdr:nvSpPr>
        <xdr:spPr>
          <a:xfrm>
            <a:off x="139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36" name="$E$109">
            <a:extLst>
              <a:ext uri="{FF2B5EF4-FFF2-40B4-BE49-F238E27FC236}">
                <a16:creationId xmlns:a16="http://schemas.microsoft.com/office/drawing/2014/main" id="{E252D10C-09BE-4953-91B7-7B6DD0AFCE04}"/>
              </a:ext>
            </a:extLst>
          </xdr:cNvPr>
          <xdr:cNvSpPr/>
        </xdr:nvSpPr>
        <xdr:spPr>
          <a:xfrm>
            <a:off x="165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37" name="$E$109">
            <a:extLst>
              <a:ext uri="{FF2B5EF4-FFF2-40B4-BE49-F238E27FC236}">
                <a16:creationId xmlns:a16="http://schemas.microsoft.com/office/drawing/2014/main" id="{E086978F-DFA6-4FAC-9939-6147F7D85576}"/>
              </a:ext>
            </a:extLst>
          </xdr:cNvPr>
          <xdr:cNvSpPr/>
        </xdr:nvSpPr>
        <xdr:spPr>
          <a:xfrm>
            <a:off x="203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38" name="$E$109">
            <a:extLst>
              <a:ext uri="{FF2B5EF4-FFF2-40B4-BE49-F238E27FC236}">
                <a16:creationId xmlns:a16="http://schemas.microsoft.com/office/drawing/2014/main" id="{77C19E99-3694-4476-BDB3-C963B9CDFAF0}"/>
              </a:ext>
            </a:extLst>
          </xdr:cNvPr>
          <xdr:cNvSpPr/>
        </xdr:nvSpPr>
        <xdr:spPr>
          <a:xfrm>
            <a:off x="228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39" name="$E$109">
            <a:extLst>
              <a:ext uri="{FF2B5EF4-FFF2-40B4-BE49-F238E27FC236}">
                <a16:creationId xmlns:a16="http://schemas.microsoft.com/office/drawing/2014/main" id="{1338AFB4-1088-4EFC-AB47-06399FC924B5}"/>
              </a:ext>
            </a:extLst>
          </xdr:cNvPr>
          <xdr:cNvSpPr/>
        </xdr:nvSpPr>
        <xdr:spPr>
          <a:xfrm>
            <a:off x="241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40" name="$E$109">
            <a:extLst>
              <a:ext uri="{FF2B5EF4-FFF2-40B4-BE49-F238E27FC236}">
                <a16:creationId xmlns:a16="http://schemas.microsoft.com/office/drawing/2014/main" id="{AAE469BC-5BCC-4A4E-9F70-3EA5916FA6F0}"/>
              </a:ext>
            </a:extLst>
          </xdr:cNvPr>
          <xdr:cNvSpPr/>
        </xdr:nvSpPr>
        <xdr:spPr>
          <a:xfrm>
            <a:off x="254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41" name="$E$109">
            <a:extLst>
              <a:ext uri="{FF2B5EF4-FFF2-40B4-BE49-F238E27FC236}">
                <a16:creationId xmlns:a16="http://schemas.microsoft.com/office/drawing/2014/main" id="{40AD5FC8-7AFA-4C60-AC18-AECC1B394BFD}"/>
              </a:ext>
            </a:extLst>
          </xdr:cNvPr>
          <xdr:cNvSpPr/>
        </xdr:nvSpPr>
        <xdr:spPr>
          <a:xfrm>
            <a:off x="292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42" name="$E$109">
            <a:extLst>
              <a:ext uri="{FF2B5EF4-FFF2-40B4-BE49-F238E27FC236}">
                <a16:creationId xmlns:a16="http://schemas.microsoft.com/office/drawing/2014/main" id="{A30CE0CD-593A-4683-9706-D43672DD1114}"/>
              </a:ext>
            </a:extLst>
          </xdr:cNvPr>
          <xdr:cNvSpPr/>
        </xdr:nvSpPr>
        <xdr:spPr>
          <a:xfrm>
            <a:off x="304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43" name="$E$109">
            <a:extLst>
              <a:ext uri="{FF2B5EF4-FFF2-40B4-BE49-F238E27FC236}">
                <a16:creationId xmlns:a16="http://schemas.microsoft.com/office/drawing/2014/main" id="{94AAF6AB-4BA4-4FD3-9CB7-5E329B7DCA8B}"/>
              </a:ext>
            </a:extLst>
          </xdr:cNvPr>
          <xdr:cNvSpPr/>
        </xdr:nvSpPr>
        <xdr:spPr>
          <a:xfrm>
            <a:off x="355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44" name="$E$109">
            <a:extLst>
              <a:ext uri="{FF2B5EF4-FFF2-40B4-BE49-F238E27FC236}">
                <a16:creationId xmlns:a16="http://schemas.microsoft.com/office/drawing/2014/main" id="{08A57A0A-CBBA-4378-A8E2-14250B4815AE}"/>
              </a:ext>
            </a:extLst>
          </xdr:cNvPr>
          <xdr:cNvSpPr/>
        </xdr:nvSpPr>
        <xdr:spPr>
          <a:xfrm>
            <a:off x="368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45" name="$E$109">
            <a:extLst>
              <a:ext uri="{FF2B5EF4-FFF2-40B4-BE49-F238E27FC236}">
                <a16:creationId xmlns:a16="http://schemas.microsoft.com/office/drawing/2014/main" id="{BF5A1B81-F528-42EC-93A6-D4CE403122B3}"/>
              </a:ext>
            </a:extLst>
          </xdr:cNvPr>
          <xdr:cNvSpPr/>
        </xdr:nvSpPr>
        <xdr:spPr>
          <a:xfrm>
            <a:off x="393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46" name="$E$109">
            <a:extLst>
              <a:ext uri="{FF2B5EF4-FFF2-40B4-BE49-F238E27FC236}">
                <a16:creationId xmlns:a16="http://schemas.microsoft.com/office/drawing/2014/main" id="{F124935E-5A86-4673-8060-843F8F1F468E}"/>
              </a:ext>
            </a:extLst>
          </xdr:cNvPr>
          <xdr:cNvSpPr/>
        </xdr:nvSpPr>
        <xdr:spPr>
          <a:xfrm>
            <a:off x="419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47" name="$E$109">
            <a:extLst>
              <a:ext uri="{FF2B5EF4-FFF2-40B4-BE49-F238E27FC236}">
                <a16:creationId xmlns:a16="http://schemas.microsoft.com/office/drawing/2014/main" id="{002466BB-8997-4800-A80F-DE8826613BE0}"/>
              </a:ext>
            </a:extLst>
          </xdr:cNvPr>
          <xdr:cNvSpPr/>
        </xdr:nvSpPr>
        <xdr:spPr>
          <a:xfrm>
            <a:off x="457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93703</xdr:colOff>
      <xdr:row>95</xdr:row>
      <xdr:rowOff>41318</xdr:rowOff>
    </xdr:from>
    <xdr:to>
      <xdr:col>4</xdr:col>
      <xdr:colOff>1563647</xdr:colOff>
      <xdr:row>95</xdr:row>
      <xdr:rowOff>1511262</xdr:rowOff>
    </xdr:to>
    <xdr:grpSp>
      <xdr:nvGrpSpPr>
        <xdr:cNvPr id="6453" name="$E$96" descr="QuickResponse barcode, level L, version 5, mode binary, 37x37 cells" title="https://centrodecapacitaciondelsur.com/adm-medicamentos-canalizacion-inyectologia-1085300566/">
          <a:extLst>
            <a:ext uri="{FF2B5EF4-FFF2-40B4-BE49-F238E27FC236}">
              <a16:creationId xmlns:a16="http://schemas.microsoft.com/office/drawing/2014/main" id="{A79B9787-E4FE-4FEB-BF1A-95F198ADE1A1}"/>
            </a:ext>
          </a:extLst>
        </xdr:cNvPr>
        <xdr:cNvGrpSpPr>
          <a:grpSpLocks noChangeAspect="1"/>
        </xdr:cNvGrpSpPr>
      </xdr:nvGrpSpPr>
      <xdr:grpSpPr>
        <a:xfrm>
          <a:off x="20667703" y="97005818"/>
          <a:ext cx="1469944" cy="1469944"/>
          <a:chOff x="0" y="0"/>
          <a:chExt cx="469900" cy="469900"/>
        </a:xfrm>
      </xdr:grpSpPr>
      <xdr:sp macro="" textlink="">
        <xdr:nvSpPr>
          <xdr:cNvPr id="5749" name="$E$96">
            <a:extLst>
              <a:ext uri="{FF2B5EF4-FFF2-40B4-BE49-F238E27FC236}">
                <a16:creationId xmlns:a16="http://schemas.microsoft.com/office/drawing/2014/main" id="{8940EAD5-8D0D-4588-A724-D5D715E60A1B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50" name="$E$96">
            <a:extLst>
              <a:ext uri="{FF2B5EF4-FFF2-40B4-BE49-F238E27FC236}">
                <a16:creationId xmlns:a16="http://schemas.microsoft.com/office/drawing/2014/main" id="{5EC15AA8-E206-4185-BC7B-B23B2164045E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51" name="$E$96">
            <a:extLst>
              <a:ext uri="{FF2B5EF4-FFF2-40B4-BE49-F238E27FC236}">
                <a16:creationId xmlns:a16="http://schemas.microsoft.com/office/drawing/2014/main" id="{C2909FD8-581E-4454-88A5-E0E1D582D8AB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52" name="$E$96">
            <a:extLst>
              <a:ext uri="{FF2B5EF4-FFF2-40B4-BE49-F238E27FC236}">
                <a16:creationId xmlns:a16="http://schemas.microsoft.com/office/drawing/2014/main" id="{C827FBD0-7ADE-4CA7-8FA1-51FC89465A1B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53" name="$E$96">
            <a:extLst>
              <a:ext uri="{FF2B5EF4-FFF2-40B4-BE49-F238E27FC236}">
                <a16:creationId xmlns:a16="http://schemas.microsoft.com/office/drawing/2014/main" id="{52944D8A-12F1-4786-9592-1C8D0BCC1CFA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54" name="$E$96">
            <a:extLst>
              <a:ext uri="{FF2B5EF4-FFF2-40B4-BE49-F238E27FC236}">
                <a16:creationId xmlns:a16="http://schemas.microsoft.com/office/drawing/2014/main" id="{869CE79B-9BB0-47E4-AB0C-E83F4FAF7339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55" name="$E$96">
            <a:extLst>
              <a:ext uri="{FF2B5EF4-FFF2-40B4-BE49-F238E27FC236}">
                <a16:creationId xmlns:a16="http://schemas.microsoft.com/office/drawing/2014/main" id="{62709BFA-8EFF-49FB-B069-B2BE24A97645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56" name="$E$96">
            <a:extLst>
              <a:ext uri="{FF2B5EF4-FFF2-40B4-BE49-F238E27FC236}">
                <a16:creationId xmlns:a16="http://schemas.microsoft.com/office/drawing/2014/main" id="{1D988078-5B95-4C65-8984-9DF3630F0324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57" name="$E$96">
            <a:extLst>
              <a:ext uri="{FF2B5EF4-FFF2-40B4-BE49-F238E27FC236}">
                <a16:creationId xmlns:a16="http://schemas.microsoft.com/office/drawing/2014/main" id="{BB500EBB-25E5-4C13-A782-308DD10C6552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58" name="$E$96">
            <a:extLst>
              <a:ext uri="{FF2B5EF4-FFF2-40B4-BE49-F238E27FC236}">
                <a16:creationId xmlns:a16="http://schemas.microsoft.com/office/drawing/2014/main" id="{93B6FAD2-FDEA-4982-A89E-47E5990BCA08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59" name="$E$96">
            <a:extLst>
              <a:ext uri="{FF2B5EF4-FFF2-40B4-BE49-F238E27FC236}">
                <a16:creationId xmlns:a16="http://schemas.microsoft.com/office/drawing/2014/main" id="{4C565C6D-0B99-4F00-917C-37D808F7C0B3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60" name="$E$96">
            <a:extLst>
              <a:ext uri="{FF2B5EF4-FFF2-40B4-BE49-F238E27FC236}">
                <a16:creationId xmlns:a16="http://schemas.microsoft.com/office/drawing/2014/main" id="{EFD7182F-7D84-42CF-831B-A97C33F076A8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61" name="$E$96">
            <a:extLst>
              <a:ext uri="{FF2B5EF4-FFF2-40B4-BE49-F238E27FC236}">
                <a16:creationId xmlns:a16="http://schemas.microsoft.com/office/drawing/2014/main" id="{63B831F2-80E9-4791-A03A-18C1FC1FC3C8}"/>
              </a:ext>
            </a:extLst>
          </xdr:cNvPr>
          <xdr:cNvSpPr/>
        </xdr:nvSpPr>
        <xdr:spPr>
          <a:xfrm>
            <a:off x="266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62" name="$E$96">
            <a:extLst>
              <a:ext uri="{FF2B5EF4-FFF2-40B4-BE49-F238E27FC236}">
                <a16:creationId xmlns:a16="http://schemas.microsoft.com/office/drawing/2014/main" id="{BC9AFB67-034D-4BCD-8333-5C67C021A44D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63" name="$E$96">
            <a:extLst>
              <a:ext uri="{FF2B5EF4-FFF2-40B4-BE49-F238E27FC236}">
                <a16:creationId xmlns:a16="http://schemas.microsoft.com/office/drawing/2014/main" id="{9711EC08-0557-436E-A721-82BBF3F5C841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64" name="$E$96">
            <a:extLst>
              <a:ext uri="{FF2B5EF4-FFF2-40B4-BE49-F238E27FC236}">
                <a16:creationId xmlns:a16="http://schemas.microsoft.com/office/drawing/2014/main" id="{FDAD6B42-D249-43EE-AE0D-D60F9B98A589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65" name="$E$96">
            <a:extLst>
              <a:ext uri="{FF2B5EF4-FFF2-40B4-BE49-F238E27FC236}">
                <a16:creationId xmlns:a16="http://schemas.microsoft.com/office/drawing/2014/main" id="{F3735A51-0619-4765-BEBD-67001C0F1C14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66" name="$E$96">
            <a:extLst>
              <a:ext uri="{FF2B5EF4-FFF2-40B4-BE49-F238E27FC236}">
                <a16:creationId xmlns:a16="http://schemas.microsoft.com/office/drawing/2014/main" id="{7E9474DE-67B5-4AFD-86BB-3F566DE6C024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67" name="$E$96">
            <a:extLst>
              <a:ext uri="{FF2B5EF4-FFF2-40B4-BE49-F238E27FC236}">
                <a16:creationId xmlns:a16="http://schemas.microsoft.com/office/drawing/2014/main" id="{CBB73D91-8D60-4FF1-A04F-CE9C2F8594C7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68" name="$E$96">
            <a:extLst>
              <a:ext uri="{FF2B5EF4-FFF2-40B4-BE49-F238E27FC236}">
                <a16:creationId xmlns:a16="http://schemas.microsoft.com/office/drawing/2014/main" id="{F22BB9C5-2C4A-4E21-B4C3-F627941DC708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69" name="$E$96">
            <a:extLst>
              <a:ext uri="{FF2B5EF4-FFF2-40B4-BE49-F238E27FC236}">
                <a16:creationId xmlns:a16="http://schemas.microsoft.com/office/drawing/2014/main" id="{03219A77-3D15-405A-9C9F-5BBDBB163ED2}"/>
              </a:ext>
            </a:extLst>
          </xdr:cNvPr>
          <xdr:cNvSpPr/>
        </xdr:nvSpPr>
        <xdr:spPr>
          <a:xfrm>
            <a:off x="431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70" name="$E$96">
            <a:extLst>
              <a:ext uri="{FF2B5EF4-FFF2-40B4-BE49-F238E27FC236}">
                <a16:creationId xmlns:a16="http://schemas.microsoft.com/office/drawing/2014/main" id="{7341241A-AB4E-47A2-8704-14E4A37566FA}"/>
              </a:ext>
            </a:extLst>
          </xdr:cNvPr>
          <xdr:cNvSpPr/>
        </xdr:nvSpPr>
        <xdr:spPr>
          <a:xfrm>
            <a:off x="444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71" name="$E$96">
            <a:extLst>
              <a:ext uri="{FF2B5EF4-FFF2-40B4-BE49-F238E27FC236}">
                <a16:creationId xmlns:a16="http://schemas.microsoft.com/office/drawing/2014/main" id="{64E74791-62FB-4EDC-A978-609EFB24A75A}"/>
              </a:ext>
            </a:extLst>
          </xdr:cNvPr>
          <xdr:cNvSpPr/>
        </xdr:nvSpPr>
        <xdr:spPr>
          <a:xfrm>
            <a:off x="457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72" name="$E$96">
            <a:extLst>
              <a:ext uri="{FF2B5EF4-FFF2-40B4-BE49-F238E27FC236}">
                <a16:creationId xmlns:a16="http://schemas.microsoft.com/office/drawing/2014/main" id="{727527EA-3189-4B9B-AF5F-B722E826C1AB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73" name="$E$96">
            <a:extLst>
              <a:ext uri="{FF2B5EF4-FFF2-40B4-BE49-F238E27FC236}">
                <a16:creationId xmlns:a16="http://schemas.microsoft.com/office/drawing/2014/main" id="{FEF41011-7D07-45AE-9B0E-1A5FDE953443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74" name="$E$96">
            <a:extLst>
              <a:ext uri="{FF2B5EF4-FFF2-40B4-BE49-F238E27FC236}">
                <a16:creationId xmlns:a16="http://schemas.microsoft.com/office/drawing/2014/main" id="{CEF464D9-FC4D-4EED-8C26-C626E23A417F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75" name="$E$96">
            <a:extLst>
              <a:ext uri="{FF2B5EF4-FFF2-40B4-BE49-F238E27FC236}">
                <a16:creationId xmlns:a16="http://schemas.microsoft.com/office/drawing/2014/main" id="{8029D7A0-64E7-45AA-9F3A-CAC1D66DBC98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76" name="$E$96">
            <a:extLst>
              <a:ext uri="{FF2B5EF4-FFF2-40B4-BE49-F238E27FC236}">
                <a16:creationId xmlns:a16="http://schemas.microsoft.com/office/drawing/2014/main" id="{5FF09131-7D34-4899-A530-D77417A46C35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77" name="$E$96">
            <a:extLst>
              <a:ext uri="{FF2B5EF4-FFF2-40B4-BE49-F238E27FC236}">
                <a16:creationId xmlns:a16="http://schemas.microsoft.com/office/drawing/2014/main" id="{46D4A179-8000-45B8-A37A-0E531B987514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78" name="$E$96">
            <a:extLst>
              <a:ext uri="{FF2B5EF4-FFF2-40B4-BE49-F238E27FC236}">
                <a16:creationId xmlns:a16="http://schemas.microsoft.com/office/drawing/2014/main" id="{62DA6658-36AE-4267-ACB7-FA7DD4329B52}"/>
              </a:ext>
            </a:extLst>
          </xdr:cNvPr>
          <xdr:cNvSpPr/>
        </xdr:nvSpPr>
        <xdr:spPr>
          <a:xfrm>
            <a:off x="165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79" name="$E$96">
            <a:extLst>
              <a:ext uri="{FF2B5EF4-FFF2-40B4-BE49-F238E27FC236}">
                <a16:creationId xmlns:a16="http://schemas.microsoft.com/office/drawing/2014/main" id="{D0857F53-72CA-48CF-99D7-23925996712F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80" name="$E$96">
            <a:extLst>
              <a:ext uri="{FF2B5EF4-FFF2-40B4-BE49-F238E27FC236}">
                <a16:creationId xmlns:a16="http://schemas.microsoft.com/office/drawing/2014/main" id="{E75BFF68-1335-404B-8F31-0711ABEF6203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81" name="$E$96">
            <a:extLst>
              <a:ext uri="{FF2B5EF4-FFF2-40B4-BE49-F238E27FC236}">
                <a16:creationId xmlns:a16="http://schemas.microsoft.com/office/drawing/2014/main" id="{0EB1D1E3-A85D-4B56-B752-24BAB063EA06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82" name="$E$96">
            <a:extLst>
              <a:ext uri="{FF2B5EF4-FFF2-40B4-BE49-F238E27FC236}">
                <a16:creationId xmlns:a16="http://schemas.microsoft.com/office/drawing/2014/main" id="{EDFBB4CB-F3BA-41A0-808A-164AE07D6EF8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83" name="$E$96">
            <a:extLst>
              <a:ext uri="{FF2B5EF4-FFF2-40B4-BE49-F238E27FC236}">
                <a16:creationId xmlns:a16="http://schemas.microsoft.com/office/drawing/2014/main" id="{BA000434-2233-4ED5-A367-35BF5B11A01C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84" name="$E$96">
            <a:extLst>
              <a:ext uri="{FF2B5EF4-FFF2-40B4-BE49-F238E27FC236}">
                <a16:creationId xmlns:a16="http://schemas.microsoft.com/office/drawing/2014/main" id="{49E813C6-A32A-4B90-9126-70684B5B2182}"/>
              </a:ext>
            </a:extLst>
          </xdr:cNvPr>
          <xdr:cNvSpPr/>
        </xdr:nvSpPr>
        <xdr:spPr>
          <a:xfrm>
            <a:off x="342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85" name="$E$96">
            <a:extLst>
              <a:ext uri="{FF2B5EF4-FFF2-40B4-BE49-F238E27FC236}">
                <a16:creationId xmlns:a16="http://schemas.microsoft.com/office/drawing/2014/main" id="{20B5AFC5-642E-4F8D-BB50-46312F31534C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86" name="$E$96">
            <a:extLst>
              <a:ext uri="{FF2B5EF4-FFF2-40B4-BE49-F238E27FC236}">
                <a16:creationId xmlns:a16="http://schemas.microsoft.com/office/drawing/2014/main" id="{9EBF26A9-A607-4BCD-A76C-C6B9612BD91A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87" name="$E$96">
            <a:extLst>
              <a:ext uri="{FF2B5EF4-FFF2-40B4-BE49-F238E27FC236}">
                <a16:creationId xmlns:a16="http://schemas.microsoft.com/office/drawing/2014/main" id="{076F563F-7235-4F5E-BC6A-EDC857767922}"/>
              </a:ext>
            </a:extLst>
          </xdr:cNvPr>
          <xdr:cNvSpPr/>
        </xdr:nvSpPr>
        <xdr:spPr>
          <a:xfrm>
            <a:off x="457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88" name="$E$96">
            <a:extLst>
              <a:ext uri="{FF2B5EF4-FFF2-40B4-BE49-F238E27FC236}">
                <a16:creationId xmlns:a16="http://schemas.microsoft.com/office/drawing/2014/main" id="{D76FC37B-6525-4D5F-A5DF-A2803E12A68B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89" name="$E$96">
            <a:extLst>
              <a:ext uri="{FF2B5EF4-FFF2-40B4-BE49-F238E27FC236}">
                <a16:creationId xmlns:a16="http://schemas.microsoft.com/office/drawing/2014/main" id="{29B1710B-ABB6-4351-99CC-DCA41809C84B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90" name="$E$96">
            <a:extLst>
              <a:ext uri="{FF2B5EF4-FFF2-40B4-BE49-F238E27FC236}">
                <a16:creationId xmlns:a16="http://schemas.microsoft.com/office/drawing/2014/main" id="{CB52C650-F82C-442D-82E8-04A9F0F717D7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91" name="$E$96">
            <a:extLst>
              <a:ext uri="{FF2B5EF4-FFF2-40B4-BE49-F238E27FC236}">
                <a16:creationId xmlns:a16="http://schemas.microsoft.com/office/drawing/2014/main" id="{0817DD74-502E-461B-884D-A0C8B70FF992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92" name="$E$96">
            <a:extLst>
              <a:ext uri="{FF2B5EF4-FFF2-40B4-BE49-F238E27FC236}">
                <a16:creationId xmlns:a16="http://schemas.microsoft.com/office/drawing/2014/main" id="{DC5A2B88-3A54-4A0B-A50C-A7D5B304FA1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93" name="$E$96">
            <a:extLst>
              <a:ext uri="{FF2B5EF4-FFF2-40B4-BE49-F238E27FC236}">
                <a16:creationId xmlns:a16="http://schemas.microsoft.com/office/drawing/2014/main" id="{3E668AD0-BDD5-4D19-A24B-C452CAC53D79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94" name="$E$96">
            <a:extLst>
              <a:ext uri="{FF2B5EF4-FFF2-40B4-BE49-F238E27FC236}">
                <a16:creationId xmlns:a16="http://schemas.microsoft.com/office/drawing/2014/main" id="{6813D3D6-7F6D-4F0C-B6BB-825BE9DA9FC3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95" name="$E$96">
            <a:extLst>
              <a:ext uri="{FF2B5EF4-FFF2-40B4-BE49-F238E27FC236}">
                <a16:creationId xmlns:a16="http://schemas.microsoft.com/office/drawing/2014/main" id="{7947FAF0-1C49-41F9-AFFE-13C7F2D26A09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96" name="$E$96">
            <a:extLst>
              <a:ext uri="{FF2B5EF4-FFF2-40B4-BE49-F238E27FC236}">
                <a16:creationId xmlns:a16="http://schemas.microsoft.com/office/drawing/2014/main" id="{23D29C2E-86AE-47D2-8902-B9C72AB0EFC8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97" name="$E$96">
            <a:extLst>
              <a:ext uri="{FF2B5EF4-FFF2-40B4-BE49-F238E27FC236}">
                <a16:creationId xmlns:a16="http://schemas.microsoft.com/office/drawing/2014/main" id="{35806B1D-F839-48A5-ACDA-412D7E1FFFDC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98" name="$E$96">
            <a:extLst>
              <a:ext uri="{FF2B5EF4-FFF2-40B4-BE49-F238E27FC236}">
                <a16:creationId xmlns:a16="http://schemas.microsoft.com/office/drawing/2014/main" id="{7F8B884C-71E3-47FF-B561-C8E352E880F8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799" name="$E$96">
            <a:extLst>
              <a:ext uri="{FF2B5EF4-FFF2-40B4-BE49-F238E27FC236}">
                <a16:creationId xmlns:a16="http://schemas.microsoft.com/office/drawing/2014/main" id="{239D2F2E-877F-4E72-BC65-CF754B56B708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00" name="$E$96">
            <a:extLst>
              <a:ext uri="{FF2B5EF4-FFF2-40B4-BE49-F238E27FC236}">
                <a16:creationId xmlns:a16="http://schemas.microsoft.com/office/drawing/2014/main" id="{A06412E4-ADAB-4E9B-91A7-B2BA1EDB3F0C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01" name="$E$96">
            <a:extLst>
              <a:ext uri="{FF2B5EF4-FFF2-40B4-BE49-F238E27FC236}">
                <a16:creationId xmlns:a16="http://schemas.microsoft.com/office/drawing/2014/main" id="{C875FBBF-C62A-40DA-8CD2-B06CAE17FDF8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02" name="$E$96">
            <a:extLst>
              <a:ext uri="{FF2B5EF4-FFF2-40B4-BE49-F238E27FC236}">
                <a16:creationId xmlns:a16="http://schemas.microsoft.com/office/drawing/2014/main" id="{A989FE61-5142-4E54-8086-F302F2EA1837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03" name="$E$96">
            <a:extLst>
              <a:ext uri="{FF2B5EF4-FFF2-40B4-BE49-F238E27FC236}">
                <a16:creationId xmlns:a16="http://schemas.microsoft.com/office/drawing/2014/main" id="{13633E8E-6EFB-4D86-B951-5514F4BD399C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04" name="$E$96">
            <a:extLst>
              <a:ext uri="{FF2B5EF4-FFF2-40B4-BE49-F238E27FC236}">
                <a16:creationId xmlns:a16="http://schemas.microsoft.com/office/drawing/2014/main" id="{B65591CB-CCF9-4256-A984-003D1313FC56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05" name="$E$96">
            <a:extLst>
              <a:ext uri="{FF2B5EF4-FFF2-40B4-BE49-F238E27FC236}">
                <a16:creationId xmlns:a16="http://schemas.microsoft.com/office/drawing/2014/main" id="{9590CCED-CF2E-4EF7-90EB-F9F081E6CB2E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06" name="$E$96">
            <a:extLst>
              <a:ext uri="{FF2B5EF4-FFF2-40B4-BE49-F238E27FC236}">
                <a16:creationId xmlns:a16="http://schemas.microsoft.com/office/drawing/2014/main" id="{93E018B8-6542-4AFD-9D03-4882BCF54979}"/>
              </a:ext>
            </a:extLst>
          </xdr:cNvPr>
          <xdr:cNvSpPr/>
        </xdr:nvSpPr>
        <xdr:spPr>
          <a:xfrm>
            <a:off x="419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07" name="$E$96">
            <a:extLst>
              <a:ext uri="{FF2B5EF4-FFF2-40B4-BE49-F238E27FC236}">
                <a16:creationId xmlns:a16="http://schemas.microsoft.com/office/drawing/2014/main" id="{3D1B3E98-3383-4077-AEEC-5A250F8B420D}"/>
              </a:ext>
            </a:extLst>
          </xdr:cNvPr>
          <xdr:cNvSpPr/>
        </xdr:nvSpPr>
        <xdr:spPr>
          <a:xfrm>
            <a:off x="431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08" name="$E$96">
            <a:extLst>
              <a:ext uri="{FF2B5EF4-FFF2-40B4-BE49-F238E27FC236}">
                <a16:creationId xmlns:a16="http://schemas.microsoft.com/office/drawing/2014/main" id="{62C769F4-C765-4F64-9A87-E25750655CA7}"/>
              </a:ext>
            </a:extLst>
          </xdr:cNvPr>
          <xdr:cNvSpPr/>
        </xdr:nvSpPr>
        <xdr:spPr>
          <a:xfrm>
            <a:off x="457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09" name="$E$96">
            <a:extLst>
              <a:ext uri="{FF2B5EF4-FFF2-40B4-BE49-F238E27FC236}">
                <a16:creationId xmlns:a16="http://schemas.microsoft.com/office/drawing/2014/main" id="{FA68340E-86AD-4EA0-88E3-1C50803376AA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10" name="$E$96">
            <a:extLst>
              <a:ext uri="{FF2B5EF4-FFF2-40B4-BE49-F238E27FC236}">
                <a16:creationId xmlns:a16="http://schemas.microsoft.com/office/drawing/2014/main" id="{BF2D6D12-3CF3-406C-B5E6-1AF2B17EA15D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11" name="$E$96">
            <a:extLst>
              <a:ext uri="{FF2B5EF4-FFF2-40B4-BE49-F238E27FC236}">
                <a16:creationId xmlns:a16="http://schemas.microsoft.com/office/drawing/2014/main" id="{D950EE1B-CADD-4917-B22E-1D06A7456884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12" name="$E$96">
            <a:extLst>
              <a:ext uri="{FF2B5EF4-FFF2-40B4-BE49-F238E27FC236}">
                <a16:creationId xmlns:a16="http://schemas.microsoft.com/office/drawing/2014/main" id="{307F0124-20FC-43CB-8136-A0BE0D3CFF8C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13" name="$E$96">
            <a:extLst>
              <a:ext uri="{FF2B5EF4-FFF2-40B4-BE49-F238E27FC236}">
                <a16:creationId xmlns:a16="http://schemas.microsoft.com/office/drawing/2014/main" id="{0CCE0116-36DB-479A-8E17-8EB0B50FE3F3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14" name="$E$96">
            <a:extLst>
              <a:ext uri="{FF2B5EF4-FFF2-40B4-BE49-F238E27FC236}">
                <a16:creationId xmlns:a16="http://schemas.microsoft.com/office/drawing/2014/main" id="{B2576E8C-0147-4B2F-B6A8-D2265A26B709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15" name="$E$96">
            <a:extLst>
              <a:ext uri="{FF2B5EF4-FFF2-40B4-BE49-F238E27FC236}">
                <a16:creationId xmlns:a16="http://schemas.microsoft.com/office/drawing/2014/main" id="{4C6B9976-0A0D-488B-841F-1786BC638E7E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16" name="$E$96">
            <a:extLst>
              <a:ext uri="{FF2B5EF4-FFF2-40B4-BE49-F238E27FC236}">
                <a16:creationId xmlns:a16="http://schemas.microsoft.com/office/drawing/2014/main" id="{51DD4429-69A2-4111-AD56-C355252FE0FF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17" name="$E$96">
            <a:extLst>
              <a:ext uri="{FF2B5EF4-FFF2-40B4-BE49-F238E27FC236}">
                <a16:creationId xmlns:a16="http://schemas.microsoft.com/office/drawing/2014/main" id="{5732CF40-BF50-4B7C-A373-F682DF24E4E2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18" name="$E$96">
            <a:extLst>
              <a:ext uri="{FF2B5EF4-FFF2-40B4-BE49-F238E27FC236}">
                <a16:creationId xmlns:a16="http://schemas.microsoft.com/office/drawing/2014/main" id="{874EE754-4FE3-4041-9463-C7B0E64F6220}"/>
              </a:ext>
            </a:extLst>
          </xdr:cNvPr>
          <xdr:cNvSpPr/>
        </xdr:nvSpPr>
        <xdr:spPr>
          <a:xfrm>
            <a:off x="190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19" name="$E$96">
            <a:extLst>
              <a:ext uri="{FF2B5EF4-FFF2-40B4-BE49-F238E27FC236}">
                <a16:creationId xmlns:a16="http://schemas.microsoft.com/office/drawing/2014/main" id="{BE4C0636-9D45-48C9-A39F-0408493E06CA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20" name="$E$96">
            <a:extLst>
              <a:ext uri="{FF2B5EF4-FFF2-40B4-BE49-F238E27FC236}">
                <a16:creationId xmlns:a16="http://schemas.microsoft.com/office/drawing/2014/main" id="{623ACEBA-CDAC-4ECF-AB64-8F450048EFC9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21" name="$E$96">
            <a:extLst>
              <a:ext uri="{FF2B5EF4-FFF2-40B4-BE49-F238E27FC236}">
                <a16:creationId xmlns:a16="http://schemas.microsoft.com/office/drawing/2014/main" id="{BDCDCF16-540E-4473-9AC0-B83615CF8662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22" name="$E$96">
            <a:extLst>
              <a:ext uri="{FF2B5EF4-FFF2-40B4-BE49-F238E27FC236}">
                <a16:creationId xmlns:a16="http://schemas.microsoft.com/office/drawing/2014/main" id="{544CC772-BE66-4A93-B944-428F51FC54E9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23" name="$E$96">
            <a:extLst>
              <a:ext uri="{FF2B5EF4-FFF2-40B4-BE49-F238E27FC236}">
                <a16:creationId xmlns:a16="http://schemas.microsoft.com/office/drawing/2014/main" id="{F3A89D07-1627-4799-8FF5-015B1B2D642E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24" name="$E$96">
            <a:extLst>
              <a:ext uri="{FF2B5EF4-FFF2-40B4-BE49-F238E27FC236}">
                <a16:creationId xmlns:a16="http://schemas.microsoft.com/office/drawing/2014/main" id="{07D7EE84-D9C0-4C63-ACC6-B49CD68BE4DE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25" name="$E$96">
            <a:extLst>
              <a:ext uri="{FF2B5EF4-FFF2-40B4-BE49-F238E27FC236}">
                <a16:creationId xmlns:a16="http://schemas.microsoft.com/office/drawing/2014/main" id="{3CA0E37F-EB9A-4B32-A7A5-66B83D52CB0D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26" name="$E$96">
            <a:extLst>
              <a:ext uri="{FF2B5EF4-FFF2-40B4-BE49-F238E27FC236}">
                <a16:creationId xmlns:a16="http://schemas.microsoft.com/office/drawing/2014/main" id="{1A153918-7484-4FD4-B1AE-9A2E9D54D5CC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27" name="$E$96">
            <a:extLst>
              <a:ext uri="{FF2B5EF4-FFF2-40B4-BE49-F238E27FC236}">
                <a16:creationId xmlns:a16="http://schemas.microsoft.com/office/drawing/2014/main" id="{20A3DA78-7520-44D2-ADBF-C63C5CC4301C}"/>
              </a:ext>
            </a:extLst>
          </xdr:cNvPr>
          <xdr:cNvSpPr/>
        </xdr:nvSpPr>
        <xdr:spPr>
          <a:xfrm>
            <a:off x="342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28" name="$E$96">
            <a:extLst>
              <a:ext uri="{FF2B5EF4-FFF2-40B4-BE49-F238E27FC236}">
                <a16:creationId xmlns:a16="http://schemas.microsoft.com/office/drawing/2014/main" id="{62363ECF-E4CA-4B6B-AC22-E2BEA3E7F016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29" name="$E$96">
            <a:extLst>
              <a:ext uri="{FF2B5EF4-FFF2-40B4-BE49-F238E27FC236}">
                <a16:creationId xmlns:a16="http://schemas.microsoft.com/office/drawing/2014/main" id="{B873DAC8-7691-47A1-A5F2-30FC0C37695B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30" name="$E$96">
            <a:extLst>
              <a:ext uri="{FF2B5EF4-FFF2-40B4-BE49-F238E27FC236}">
                <a16:creationId xmlns:a16="http://schemas.microsoft.com/office/drawing/2014/main" id="{68E9EFEE-5B6A-472B-B36D-FD3FC804EF2A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31" name="$E$96">
            <a:extLst>
              <a:ext uri="{FF2B5EF4-FFF2-40B4-BE49-F238E27FC236}">
                <a16:creationId xmlns:a16="http://schemas.microsoft.com/office/drawing/2014/main" id="{35F27018-D541-490B-AF83-4AB261BE9D03}"/>
              </a:ext>
            </a:extLst>
          </xdr:cNvPr>
          <xdr:cNvSpPr/>
        </xdr:nvSpPr>
        <xdr:spPr>
          <a:xfrm>
            <a:off x="419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32" name="$E$96">
            <a:extLst>
              <a:ext uri="{FF2B5EF4-FFF2-40B4-BE49-F238E27FC236}">
                <a16:creationId xmlns:a16="http://schemas.microsoft.com/office/drawing/2014/main" id="{FD157093-468F-4C00-BDEE-D8E302FE4248}"/>
              </a:ext>
            </a:extLst>
          </xdr:cNvPr>
          <xdr:cNvSpPr/>
        </xdr:nvSpPr>
        <xdr:spPr>
          <a:xfrm>
            <a:off x="431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33" name="$E$96">
            <a:extLst>
              <a:ext uri="{FF2B5EF4-FFF2-40B4-BE49-F238E27FC236}">
                <a16:creationId xmlns:a16="http://schemas.microsoft.com/office/drawing/2014/main" id="{4C13975B-618D-4B5D-9B2F-1A969CA993AB}"/>
              </a:ext>
            </a:extLst>
          </xdr:cNvPr>
          <xdr:cNvSpPr/>
        </xdr:nvSpPr>
        <xdr:spPr>
          <a:xfrm>
            <a:off x="457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34" name="$E$96">
            <a:extLst>
              <a:ext uri="{FF2B5EF4-FFF2-40B4-BE49-F238E27FC236}">
                <a16:creationId xmlns:a16="http://schemas.microsoft.com/office/drawing/2014/main" id="{1C2B7C42-6796-4810-A195-0D6BD0BE322A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35" name="$E$96">
            <a:extLst>
              <a:ext uri="{FF2B5EF4-FFF2-40B4-BE49-F238E27FC236}">
                <a16:creationId xmlns:a16="http://schemas.microsoft.com/office/drawing/2014/main" id="{F83D4229-F69B-4839-AFF8-23553B5899FF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36" name="$E$96">
            <a:extLst>
              <a:ext uri="{FF2B5EF4-FFF2-40B4-BE49-F238E27FC236}">
                <a16:creationId xmlns:a16="http://schemas.microsoft.com/office/drawing/2014/main" id="{7B486E58-07FA-41A7-A758-414A0439D915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37" name="$E$96">
            <a:extLst>
              <a:ext uri="{FF2B5EF4-FFF2-40B4-BE49-F238E27FC236}">
                <a16:creationId xmlns:a16="http://schemas.microsoft.com/office/drawing/2014/main" id="{C2D00B26-E133-4136-868D-83AD88C48FE4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38" name="$E$96">
            <a:extLst>
              <a:ext uri="{FF2B5EF4-FFF2-40B4-BE49-F238E27FC236}">
                <a16:creationId xmlns:a16="http://schemas.microsoft.com/office/drawing/2014/main" id="{3CF6A747-17C5-4968-8073-5570A9B5AFF9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39" name="$E$96">
            <a:extLst>
              <a:ext uri="{FF2B5EF4-FFF2-40B4-BE49-F238E27FC236}">
                <a16:creationId xmlns:a16="http://schemas.microsoft.com/office/drawing/2014/main" id="{58BADC80-67F9-4D27-982C-4076A61983AE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40" name="$E$96">
            <a:extLst>
              <a:ext uri="{FF2B5EF4-FFF2-40B4-BE49-F238E27FC236}">
                <a16:creationId xmlns:a16="http://schemas.microsoft.com/office/drawing/2014/main" id="{5F64D9BD-2D94-4F30-89D8-3C769B529C6B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41" name="$E$96">
            <a:extLst>
              <a:ext uri="{FF2B5EF4-FFF2-40B4-BE49-F238E27FC236}">
                <a16:creationId xmlns:a16="http://schemas.microsoft.com/office/drawing/2014/main" id="{0C4F100E-CB55-4751-8390-3853507E0F3C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42" name="$E$96">
            <a:extLst>
              <a:ext uri="{FF2B5EF4-FFF2-40B4-BE49-F238E27FC236}">
                <a16:creationId xmlns:a16="http://schemas.microsoft.com/office/drawing/2014/main" id="{E2A0C3AD-7579-4611-B7B8-BC617D060A75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43" name="$E$96">
            <a:extLst>
              <a:ext uri="{FF2B5EF4-FFF2-40B4-BE49-F238E27FC236}">
                <a16:creationId xmlns:a16="http://schemas.microsoft.com/office/drawing/2014/main" id="{5D521C7E-F36F-4E68-BACF-47F22A7217C7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44" name="$E$96">
            <a:extLst>
              <a:ext uri="{FF2B5EF4-FFF2-40B4-BE49-F238E27FC236}">
                <a16:creationId xmlns:a16="http://schemas.microsoft.com/office/drawing/2014/main" id="{2327D2DA-6250-4E2B-AA8F-522E219DE2E7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45" name="$E$96">
            <a:extLst>
              <a:ext uri="{FF2B5EF4-FFF2-40B4-BE49-F238E27FC236}">
                <a16:creationId xmlns:a16="http://schemas.microsoft.com/office/drawing/2014/main" id="{5D764002-0D7C-4CFD-8602-BD6FA65DFA4A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46" name="$E$96">
            <a:extLst>
              <a:ext uri="{FF2B5EF4-FFF2-40B4-BE49-F238E27FC236}">
                <a16:creationId xmlns:a16="http://schemas.microsoft.com/office/drawing/2014/main" id="{EF31978C-F821-4827-B8A0-87D630EB1950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47" name="$E$96">
            <a:extLst>
              <a:ext uri="{FF2B5EF4-FFF2-40B4-BE49-F238E27FC236}">
                <a16:creationId xmlns:a16="http://schemas.microsoft.com/office/drawing/2014/main" id="{5B9F74EC-08B8-4672-93F1-98220A9B7EF9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48" name="$E$96">
            <a:extLst>
              <a:ext uri="{FF2B5EF4-FFF2-40B4-BE49-F238E27FC236}">
                <a16:creationId xmlns:a16="http://schemas.microsoft.com/office/drawing/2014/main" id="{BFD5B73A-3A1F-4809-B938-8E0439624EA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49" name="$E$96">
            <a:extLst>
              <a:ext uri="{FF2B5EF4-FFF2-40B4-BE49-F238E27FC236}">
                <a16:creationId xmlns:a16="http://schemas.microsoft.com/office/drawing/2014/main" id="{3514E1B0-6BFD-4CCF-8A56-39439B6F7199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50" name="$E$96">
            <a:extLst>
              <a:ext uri="{FF2B5EF4-FFF2-40B4-BE49-F238E27FC236}">
                <a16:creationId xmlns:a16="http://schemas.microsoft.com/office/drawing/2014/main" id="{5C6764C8-DBE3-4EE8-AB0D-79A548269239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51" name="$E$96">
            <a:extLst>
              <a:ext uri="{FF2B5EF4-FFF2-40B4-BE49-F238E27FC236}">
                <a16:creationId xmlns:a16="http://schemas.microsoft.com/office/drawing/2014/main" id="{5CCAF417-6CB3-4D86-9FA8-772056E424B3}"/>
              </a:ext>
            </a:extLst>
          </xdr:cNvPr>
          <xdr:cNvSpPr/>
        </xdr:nvSpPr>
        <xdr:spPr>
          <a:xfrm>
            <a:off x="419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52" name="$E$96">
            <a:extLst>
              <a:ext uri="{FF2B5EF4-FFF2-40B4-BE49-F238E27FC236}">
                <a16:creationId xmlns:a16="http://schemas.microsoft.com/office/drawing/2014/main" id="{0B98B1F7-FAC0-4CBE-A367-3A8A59EA8625}"/>
              </a:ext>
            </a:extLst>
          </xdr:cNvPr>
          <xdr:cNvSpPr/>
        </xdr:nvSpPr>
        <xdr:spPr>
          <a:xfrm>
            <a:off x="431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53" name="$E$96">
            <a:extLst>
              <a:ext uri="{FF2B5EF4-FFF2-40B4-BE49-F238E27FC236}">
                <a16:creationId xmlns:a16="http://schemas.microsoft.com/office/drawing/2014/main" id="{3CDBF777-BF52-406D-B979-377AEA3C673E}"/>
              </a:ext>
            </a:extLst>
          </xdr:cNvPr>
          <xdr:cNvSpPr/>
        </xdr:nvSpPr>
        <xdr:spPr>
          <a:xfrm>
            <a:off x="457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54" name="$E$96">
            <a:extLst>
              <a:ext uri="{FF2B5EF4-FFF2-40B4-BE49-F238E27FC236}">
                <a16:creationId xmlns:a16="http://schemas.microsoft.com/office/drawing/2014/main" id="{C51D11C4-FF1A-4064-A43D-62F134A651C9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55" name="$E$96">
            <a:extLst>
              <a:ext uri="{FF2B5EF4-FFF2-40B4-BE49-F238E27FC236}">
                <a16:creationId xmlns:a16="http://schemas.microsoft.com/office/drawing/2014/main" id="{11544C30-FDB7-407C-BC3D-337EA483A142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56" name="$E$96">
            <a:extLst>
              <a:ext uri="{FF2B5EF4-FFF2-40B4-BE49-F238E27FC236}">
                <a16:creationId xmlns:a16="http://schemas.microsoft.com/office/drawing/2014/main" id="{D2DECF30-3C72-43D4-8CA0-DBD1AAD29D3F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57" name="$E$96">
            <a:extLst>
              <a:ext uri="{FF2B5EF4-FFF2-40B4-BE49-F238E27FC236}">
                <a16:creationId xmlns:a16="http://schemas.microsoft.com/office/drawing/2014/main" id="{90DD0458-1F2F-478B-8E53-EE7C4A33ED21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58" name="$E$96">
            <a:extLst>
              <a:ext uri="{FF2B5EF4-FFF2-40B4-BE49-F238E27FC236}">
                <a16:creationId xmlns:a16="http://schemas.microsoft.com/office/drawing/2014/main" id="{B507B3EA-0C89-434C-8689-A30ADE1876D3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59" name="$E$96">
            <a:extLst>
              <a:ext uri="{FF2B5EF4-FFF2-40B4-BE49-F238E27FC236}">
                <a16:creationId xmlns:a16="http://schemas.microsoft.com/office/drawing/2014/main" id="{98191849-6C62-4848-8F88-2CA52F99782F}"/>
              </a:ext>
            </a:extLst>
          </xdr:cNvPr>
          <xdr:cNvSpPr/>
        </xdr:nvSpPr>
        <xdr:spPr>
          <a:xfrm>
            <a:off x="228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60" name="$E$96">
            <a:extLst>
              <a:ext uri="{FF2B5EF4-FFF2-40B4-BE49-F238E27FC236}">
                <a16:creationId xmlns:a16="http://schemas.microsoft.com/office/drawing/2014/main" id="{AB14A0B9-1722-4994-90B5-47498A418A39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61" name="$E$96">
            <a:extLst>
              <a:ext uri="{FF2B5EF4-FFF2-40B4-BE49-F238E27FC236}">
                <a16:creationId xmlns:a16="http://schemas.microsoft.com/office/drawing/2014/main" id="{759EFDD3-E4F9-4FE5-B6C7-19C6DEFB1A34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62" name="$E$96">
            <a:extLst>
              <a:ext uri="{FF2B5EF4-FFF2-40B4-BE49-F238E27FC236}">
                <a16:creationId xmlns:a16="http://schemas.microsoft.com/office/drawing/2014/main" id="{B8A39951-4572-4042-86D2-DB6935700DEE}"/>
              </a:ext>
            </a:extLst>
          </xdr:cNvPr>
          <xdr:cNvSpPr/>
        </xdr:nvSpPr>
        <xdr:spPr>
          <a:xfrm>
            <a:off x="317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63" name="$E$96">
            <a:extLst>
              <a:ext uri="{FF2B5EF4-FFF2-40B4-BE49-F238E27FC236}">
                <a16:creationId xmlns:a16="http://schemas.microsoft.com/office/drawing/2014/main" id="{98BF860C-B2AA-41FA-BB56-23CCB10FD04A}"/>
              </a:ext>
            </a:extLst>
          </xdr:cNvPr>
          <xdr:cNvSpPr/>
        </xdr:nvSpPr>
        <xdr:spPr>
          <a:xfrm>
            <a:off x="342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64" name="$E$96">
            <a:extLst>
              <a:ext uri="{FF2B5EF4-FFF2-40B4-BE49-F238E27FC236}">
                <a16:creationId xmlns:a16="http://schemas.microsoft.com/office/drawing/2014/main" id="{D84A2AB5-B761-48A3-B26A-1A2A5ACE1783}"/>
              </a:ext>
            </a:extLst>
          </xdr:cNvPr>
          <xdr:cNvSpPr/>
        </xdr:nvSpPr>
        <xdr:spPr>
          <a:xfrm>
            <a:off x="381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65" name="$E$96">
            <a:extLst>
              <a:ext uri="{FF2B5EF4-FFF2-40B4-BE49-F238E27FC236}">
                <a16:creationId xmlns:a16="http://schemas.microsoft.com/office/drawing/2014/main" id="{C7F355BE-3C64-4BA8-8B78-8749424D0A5B}"/>
              </a:ext>
            </a:extLst>
          </xdr:cNvPr>
          <xdr:cNvSpPr/>
        </xdr:nvSpPr>
        <xdr:spPr>
          <a:xfrm>
            <a:off x="457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66" name="$E$96">
            <a:extLst>
              <a:ext uri="{FF2B5EF4-FFF2-40B4-BE49-F238E27FC236}">
                <a16:creationId xmlns:a16="http://schemas.microsoft.com/office/drawing/2014/main" id="{EEC3BDA4-DF90-423A-B03E-ECF29561A293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67" name="$E$96">
            <a:extLst>
              <a:ext uri="{FF2B5EF4-FFF2-40B4-BE49-F238E27FC236}">
                <a16:creationId xmlns:a16="http://schemas.microsoft.com/office/drawing/2014/main" id="{5BF047A3-F669-4697-B6BC-7F274A017A0D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68" name="$E$96">
            <a:extLst>
              <a:ext uri="{FF2B5EF4-FFF2-40B4-BE49-F238E27FC236}">
                <a16:creationId xmlns:a16="http://schemas.microsoft.com/office/drawing/2014/main" id="{96193BDC-ADAB-459E-A1CE-B834CBCC5EB5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69" name="$E$96">
            <a:extLst>
              <a:ext uri="{FF2B5EF4-FFF2-40B4-BE49-F238E27FC236}">
                <a16:creationId xmlns:a16="http://schemas.microsoft.com/office/drawing/2014/main" id="{64F22F03-04FA-48F3-A63B-290F1B3AF96C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70" name="$E$96">
            <a:extLst>
              <a:ext uri="{FF2B5EF4-FFF2-40B4-BE49-F238E27FC236}">
                <a16:creationId xmlns:a16="http://schemas.microsoft.com/office/drawing/2014/main" id="{81BEE097-FA8F-431C-9928-DD5207609D0A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71" name="$E$96">
            <a:extLst>
              <a:ext uri="{FF2B5EF4-FFF2-40B4-BE49-F238E27FC236}">
                <a16:creationId xmlns:a16="http://schemas.microsoft.com/office/drawing/2014/main" id="{0E11137E-0C62-48EF-B8ED-3D8A1E71EECA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72" name="$E$96">
            <a:extLst>
              <a:ext uri="{FF2B5EF4-FFF2-40B4-BE49-F238E27FC236}">
                <a16:creationId xmlns:a16="http://schemas.microsoft.com/office/drawing/2014/main" id="{EA693127-3591-42CD-AEBD-F6A307318E46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73" name="$E$96">
            <a:extLst>
              <a:ext uri="{FF2B5EF4-FFF2-40B4-BE49-F238E27FC236}">
                <a16:creationId xmlns:a16="http://schemas.microsoft.com/office/drawing/2014/main" id="{27113F67-9063-414D-81E1-AE2A3694DB8E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74" name="$E$96">
            <a:extLst>
              <a:ext uri="{FF2B5EF4-FFF2-40B4-BE49-F238E27FC236}">
                <a16:creationId xmlns:a16="http://schemas.microsoft.com/office/drawing/2014/main" id="{AE7729BE-2670-47C3-96D7-445FF8EC6746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75" name="$E$96">
            <a:extLst>
              <a:ext uri="{FF2B5EF4-FFF2-40B4-BE49-F238E27FC236}">
                <a16:creationId xmlns:a16="http://schemas.microsoft.com/office/drawing/2014/main" id="{4D31F147-64FE-4731-B43E-707057861987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76" name="$E$96">
            <a:extLst>
              <a:ext uri="{FF2B5EF4-FFF2-40B4-BE49-F238E27FC236}">
                <a16:creationId xmlns:a16="http://schemas.microsoft.com/office/drawing/2014/main" id="{C17A665E-141F-4F72-9A9D-A6E5F5A2AD9A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77" name="$E$96">
            <a:extLst>
              <a:ext uri="{FF2B5EF4-FFF2-40B4-BE49-F238E27FC236}">
                <a16:creationId xmlns:a16="http://schemas.microsoft.com/office/drawing/2014/main" id="{1CC20CEE-B818-41E3-AC87-BB8584E9A83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78" name="$E$96">
            <a:extLst>
              <a:ext uri="{FF2B5EF4-FFF2-40B4-BE49-F238E27FC236}">
                <a16:creationId xmlns:a16="http://schemas.microsoft.com/office/drawing/2014/main" id="{7E78D1AB-917F-421F-B55D-2B2839E92C36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79" name="$E$96">
            <a:extLst>
              <a:ext uri="{FF2B5EF4-FFF2-40B4-BE49-F238E27FC236}">
                <a16:creationId xmlns:a16="http://schemas.microsoft.com/office/drawing/2014/main" id="{131E253F-741C-4159-9AAC-86851B59AD02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80" name="$E$96">
            <a:extLst>
              <a:ext uri="{FF2B5EF4-FFF2-40B4-BE49-F238E27FC236}">
                <a16:creationId xmlns:a16="http://schemas.microsoft.com/office/drawing/2014/main" id="{34AF82E4-F8EA-44E5-829C-6C6125BB74B7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81" name="$E$96">
            <a:extLst>
              <a:ext uri="{FF2B5EF4-FFF2-40B4-BE49-F238E27FC236}">
                <a16:creationId xmlns:a16="http://schemas.microsoft.com/office/drawing/2014/main" id="{4430ABE0-08F8-4714-B41E-3644DA639E27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82" name="$E$96">
            <a:extLst>
              <a:ext uri="{FF2B5EF4-FFF2-40B4-BE49-F238E27FC236}">
                <a16:creationId xmlns:a16="http://schemas.microsoft.com/office/drawing/2014/main" id="{44C56592-9776-442C-9FAD-BF6A02755302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83" name="$E$96">
            <a:extLst>
              <a:ext uri="{FF2B5EF4-FFF2-40B4-BE49-F238E27FC236}">
                <a16:creationId xmlns:a16="http://schemas.microsoft.com/office/drawing/2014/main" id="{AAC87563-A017-4251-A673-800B1E304F5C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84" name="$E$96">
            <a:extLst>
              <a:ext uri="{FF2B5EF4-FFF2-40B4-BE49-F238E27FC236}">
                <a16:creationId xmlns:a16="http://schemas.microsoft.com/office/drawing/2014/main" id="{0086CE8D-9E7A-4A87-8467-9073482913A0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85" name="$E$96">
            <a:extLst>
              <a:ext uri="{FF2B5EF4-FFF2-40B4-BE49-F238E27FC236}">
                <a16:creationId xmlns:a16="http://schemas.microsoft.com/office/drawing/2014/main" id="{8E2E5679-8798-46A6-ACDE-2C14B3E0BDFB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86" name="$E$96">
            <a:extLst>
              <a:ext uri="{FF2B5EF4-FFF2-40B4-BE49-F238E27FC236}">
                <a16:creationId xmlns:a16="http://schemas.microsoft.com/office/drawing/2014/main" id="{D8087403-8399-4357-B9F7-48CCAD799E29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87" name="$E$96">
            <a:extLst>
              <a:ext uri="{FF2B5EF4-FFF2-40B4-BE49-F238E27FC236}">
                <a16:creationId xmlns:a16="http://schemas.microsoft.com/office/drawing/2014/main" id="{CC31D3D1-27C2-4E6C-A8A8-A8F49447D221}"/>
              </a:ext>
            </a:extLst>
          </xdr:cNvPr>
          <xdr:cNvSpPr/>
        </xdr:nvSpPr>
        <xdr:spPr>
          <a:xfrm>
            <a:off x="419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88" name="$E$96">
            <a:extLst>
              <a:ext uri="{FF2B5EF4-FFF2-40B4-BE49-F238E27FC236}">
                <a16:creationId xmlns:a16="http://schemas.microsoft.com/office/drawing/2014/main" id="{3FAAD782-D6A7-4A2E-9A2E-6C88210FE00D}"/>
              </a:ext>
            </a:extLst>
          </xdr:cNvPr>
          <xdr:cNvSpPr/>
        </xdr:nvSpPr>
        <xdr:spPr>
          <a:xfrm>
            <a:off x="431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89" name="$E$96">
            <a:extLst>
              <a:ext uri="{FF2B5EF4-FFF2-40B4-BE49-F238E27FC236}">
                <a16:creationId xmlns:a16="http://schemas.microsoft.com/office/drawing/2014/main" id="{B21018B1-8279-4D37-A4B7-FEAF82AE3D05}"/>
              </a:ext>
            </a:extLst>
          </xdr:cNvPr>
          <xdr:cNvSpPr/>
        </xdr:nvSpPr>
        <xdr:spPr>
          <a:xfrm>
            <a:off x="444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90" name="$E$96">
            <a:extLst>
              <a:ext uri="{FF2B5EF4-FFF2-40B4-BE49-F238E27FC236}">
                <a16:creationId xmlns:a16="http://schemas.microsoft.com/office/drawing/2014/main" id="{1403C96C-226E-44EC-A21E-B72E70BDBF00}"/>
              </a:ext>
            </a:extLst>
          </xdr:cNvPr>
          <xdr:cNvSpPr/>
        </xdr:nvSpPr>
        <xdr:spPr>
          <a:xfrm>
            <a:off x="457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91" name="$E$96">
            <a:extLst>
              <a:ext uri="{FF2B5EF4-FFF2-40B4-BE49-F238E27FC236}">
                <a16:creationId xmlns:a16="http://schemas.microsoft.com/office/drawing/2014/main" id="{5F8F2063-8FDD-4EB3-95B2-15DA6565C347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92" name="$E$96">
            <a:extLst>
              <a:ext uri="{FF2B5EF4-FFF2-40B4-BE49-F238E27FC236}">
                <a16:creationId xmlns:a16="http://schemas.microsoft.com/office/drawing/2014/main" id="{1347BB77-610F-4758-9E8B-EFCFDE2016D7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93" name="$E$96">
            <a:extLst>
              <a:ext uri="{FF2B5EF4-FFF2-40B4-BE49-F238E27FC236}">
                <a16:creationId xmlns:a16="http://schemas.microsoft.com/office/drawing/2014/main" id="{CC308BFF-2363-4853-9B90-40622BDE297B}"/>
              </a:ext>
            </a:extLst>
          </xdr:cNvPr>
          <xdr:cNvSpPr/>
        </xdr:nvSpPr>
        <xdr:spPr>
          <a:xfrm>
            <a:off x="241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94" name="$E$96">
            <a:extLst>
              <a:ext uri="{FF2B5EF4-FFF2-40B4-BE49-F238E27FC236}">
                <a16:creationId xmlns:a16="http://schemas.microsoft.com/office/drawing/2014/main" id="{0E1E8659-4D90-446A-95AE-3F01FA767C30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95" name="$E$96">
            <a:extLst>
              <a:ext uri="{FF2B5EF4-FFF2-40B4-BE49-F238E27FC236}">
                <a16:creationId xmlns:a16="http://schemas.microsoft.com/office/drawing/2014/main" id="{F8C4318B-664C-46F7-A974-263897079263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96" name="$E$96">
            <a:extLst>
              <a:ext uri="{FF2B5EF4-FFF2-40B4-BE49-F238E27FC236}">
                <a16:creationId xmlns:a16="http://schemas.microsoft.com/office/drawing/2014/main" id="{DF10F65D-CE9B-44F8-A113-43DF3659CDD1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97" name="$E$96">
            <a:extLst>
              <a:ext uri="{FF2B5EF4-FFF2-40B4-BE49-F238E27FC236}">
                <a16:creationId xmlns:a16="http://schemas.microsoft.com/office/drawing/2014/main" id="{BF230E89-3972-4955-BB6D-8B5FD81A2123}"/>
              </a:ext>
            </a:extLst>
          </xdr:cNvPr>
          <xdr:cNvSpPr/>
        </xdr:nvSpPr>
        <xdr:spPr>
          <a:xfrm>
            <a:off x="342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98" name="$E$96">
            <a:extLst>
              <a:ext uri="{FF2B5EF4-FFF2-40B4-BE49-F238E27FC236}">
                <a16:creationId xmlns:a16="http://schemas.microsoft.com/office/drawing/2014/main" id="{D1D1F1EC-D574-4DB4-AAEF-C0FE11FC92F9}"/>
              </a:ext>
            </a:extLst>
          </xdr:cNvPr>
          <xdr:cNvSpPr/>
        </xdr:nvSpPr>
        <xdr:spPr>
          <a:xfrm>
            <a:off x="355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899" name="$E$96">
            <a:extLst>
              <a:ext uri="{FF2B5EF4-FFF2-40B4-BE49-F238E27FC236}">
                <a16:creationId xmlns:a16="http://schemas.microsoft.com/office/drawing/2014/main" id="{CAF2E666-3531-40E2-986F-9A19DEAA53FC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00" name="$E$96">
            <a:extLst>
              <a:ext uri="{FF2B5EF4-FFF2-40B4-BE49-F238E27FC236}">
                <a16:creationId xmlns:a16="http://schemas.microsoft.com/office/drawing/2014/main" id="{1B0CB853-48A1-45C6-A554-35822F11AB70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01" name="$E$96">
            <a:extLst>
              <a:ext uri="{FF2B5EF4-FFF2-40B4-BE49-F238E27FC236}">
                <a16:creationId xmlns:a16="http://schemas.microsoft.com/office/drawing/2014/main" id="{3A650916-B2F9-4F7E-9BD3-9BDD12145C7A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02" name="$E$96">
            <a:extLst>
              <a:ext uri="{FF2B5EF4-FFF2-40B4-BE49-F238E27FC236}">
                <a16:creationId xmlns:a16="http://schemas.microsoft.com/office/drawing/2014/main" id="{52B64F92-D369-41C3-AB36-747FF5AC8C34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03" name="$E$96">
            <a:extLst>
              <a:ext uri="{FF2B5EF4-FFF2-40B4-BE49-F238E27FC236}">
                <a16:creationId xmlns:a16="http://schemas.microsoft.com/office/drawing/2014/main" id="{9638798E-088B-44A6-9418-16473690F93B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04" name="$E$96">
            <a:extLst>
              <a:ext uri="{FF2B5EF4-FFF2-40B4-BE49-F238E27FC236}">
                <a16:creationId xmlns:a16="http://schemas.microsoft.com/office/drawing/2014/main" id="{3512FB4F-2976-499C-B778-6E95D70DEBC1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05" name="$E$96">
            <a:extLst>
              <a:ext uri="{FF2B5EF4-FFF2-40B4-BE49-F238E27FC236}">
                <a16:creationId xmlns:a16="http://schemas.microsoft.com/office/drawing/2014/main" id="{5AD35DDF-1114-4B84-8AE4-1347FF0DD778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06" name="$E$96">
            <a:extLst>
              <a:ext uri="{FF2B5EF4-FFF2-40B4-BE49-F238E27FC236}">
                <a16:creationId xmlns:a16="http://schemas.microsoft.com/office/drawing/2014/main" id="{881474B5-3E84-4CF4-B2A1-49D8EBAF136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07" name="$E$96">
            <a:extLst>
              <a:ext uri="{FF2B5EF4-FFF2-40B4-BE49-F238E27FC236}">
                <a16:creationId xmlns:a16="http://schemas.microsoft.com/office/drawing/2014/main" id="{B95A0BAF-B4F6-47A3-9AF7-7320B41D7C4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08" name="$E$96">
            <a:extLst>
              <a:ext uri="{FF2B5EF4-FFF2-40B4-BE49-F238E27FC236}">
                <a16:creationId xmlns:a16="http://schemas.microsoft.com/office/drawing/2014/main" id="{9354D7CA-1378-47DF-ABA1-36B5EDCCAFEE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09" name="$E$96">
            <a:extLst>
              <a:ext uri="{FF2B5EF4-FFF2-40B4-BE49-F238E27FC236}">
                <a16:creationId xmlns:a16="http://schemas.microsoft.com/office/drawing/2014/main" id="{6C5F10CA-6C63-40C4-8A76-7FB5D4B51A1F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10" name="$E$96">
            <a:extLst>
              <a:ext uri="{FF2B5EF4-FFF2-40B4-BE49-F238E27FC236}">
                <a16:creationId xmlns:a16="http://schemas.microsoft.com/office/drawing/2014/main" id="{7E4CB33D-4E29-4260-ADD8-03DB6EB0C12E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11" name="$E$96">
            <a:extLst>
              <a:ext uri="{FF2B5EF4-FFF2-40B4-BE49-F238E27FC236}">
                <a16:creationId xmlns:a16="http://schemas.microsoft.com/office/drawing/2014/main" id="{5627A5A1-F0B1-4F59-967C-E94BC6C12714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12" name="$E$96">
            <a:extLst>
              <a:ext uri="{FF2B5EF4-FFF2-40B4-BE49-F238E27FC236}">
                <a16:creationId xmlns:a16="http://schemas.microsoft.com/office/drawing/2014/main" id="{385389D0-1DDB-4900-9A34-4A86CCE0D90B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13" name="$E$96">
            <a:extLst>
              <a:ext uri="{FF2B5EF4-FFF2-40B4-BE49-F238E27FC236}">
                <a16:creationId xmlns:a16="http://schemas.microsoft.com/office/drawing/2014/main" id="{8012CA7A-74F1-4594-BFA6-720C313B18DA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14" name="$E$96">
            <a:extLst>
              <a:ext uri="{FF2B5EF4-FFF2-40B4-BE49-F238E27FC236}">
                <a16:creationId xmlns:a16="http://schemas.microsoft.com/office/drawing/2014/main" id="{34B2C374-FE37-473E-9DF0-652E831C41AF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15" name="$E$96">
            <a:extLst>
              <a:ext uri="{FF2B5EF4-FFF2-40B4-BE49-F238E27FC236}">
                <a16:creationId xmlns:a16="http://schemas.microsoft.com/office/drawing/2014/main" id="{9DB836C8-06A3-4EFE-AEBA-FB8F16CE0CC3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16" name="$E$96">
            <a:extLst>
              <a:ext uri="{FF2B5EF4-FFF2-40B4-BE49-F238E27FC236}">
                <a16:creationId xmlns:a16="http://schemas.microsoft.com/office/drawing/2014/main" id="{29163953-8586-42B5-849F-B8C42ECD416E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17" name="$E$96">
            <a:extLst>
              <a:ext uri="{FF2B5EF4-FFF2-40B4-BE49-F238E27FC236}">
                <a16:creationId xmlns:a16="http://schemas.microsoft.com/office/drawing/2014/main" id="{A300BEA8-8E51-425D-BD8B-BBA70378E9E6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18" name="$E$96">
            <a:extLst>
              <a:ext uri="{FF2B5EF4-FFF2-40B4-BE49-F238E27FC236}">
                <a16:creationId xmlns:a16="http://schemas.microsoft.com/office/drawing/2014/main" id="{2F95C10A-0ACA-4B19-8199-C4CA185A729A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19" name="$E$96">
            <a:extLst>
              <a:ext uri="{FF2B5EF4-FFF2-40B4-BE49-F238E27FC236}">
                <a16:creationId xmlns:a16="http://schemas.microsoft.com/office/drawing/2014/main" id="{ABC02E15-41B5-495B-8B99-0654BDDE5D25}"/>
              </a:ext>
            </a:extLst>
          </xdr:cNvPr>
          <xdr:cNvSpPr/>
        </xdr:nvSpPr>
        <xdr:spPr>
          <a:xfrm>
            <a:off x="419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20" name="$E$96">
            <a:extLst>
              <a:ext uri="{FF2B5EF4-FFF2-40B4-BE49-F238E27FC236}">
                <a16:creationId xmlns:a16="http://schemas.microsoft.com/office/drawing/2014/main" id="{AAEF2B1E-2AB6-4AAC-8C12-4FE37D2D46AF}"/>
              </a:ext>
            </a:extLst>
          </xdr:cNvPr>
          <xdr:cNvSpPr/>
        </xdr:nvSpPr>
        <xdr:spPr>
          <a:xfrm>
            <a:off x="444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21" name="$E$96">
            <a:extLst>
              <a:ext uri="{FF2B5EF4-FFF2-40B4-BE49-F238E27FC236}">
                <a16:creationId xmlns:a16="http://schemas.microsoft.com/office/drawing/2014/main" id="{71DDBF44-0E9C-4478-8D04-11AAF4A9F6DF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22" name="$E$96">
            <a:extLst>
              <a:ext uri="{FF2B5EF4-FFF2-40B4-BE49-F238E27FC236}">
                <a16:creationId xmlns:a16="http://schemas.microsoft.com/office/drawing/2014/main" id="{8BBBE6AE-9F5C-41A1-8782-ED1CDB5B4AF8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23" name="$E$96">
            <a:extLst>
              <a:ext uri="{FF2B5EF4-FFF2-40B4-BE49-F238E27FC236}">
                <a16:creationId xmlns:a16="http://schemas.microsoft.com/office/drawing/2014/main" id="{616B0316-2C5E-40E3-8589-D8497A976848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24" name="$E$96">
            <a:extLst>
              <a:ext uri="{FF2B5EF4-FFF2-40B4-BE49-F238E27FC236}">
                <a16:creationId xmlns:a16="http://schemas.microsoft.com/office/drawing/2014/main" id="{87104873-25F3-447A-929C-343175B9197E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25" name="$E$96">
            <a:extLst>
              <a:ext uri="{FF2B5EF4-FFF2-40B4-BE49-F238E27FC236}">
                <a16:creationId xmlns:a16="http://schemas.microsoft.com/office/drawing/2014/main" id="{54423645-33D2-4AAD-A9FA-A489F9FE69C2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26" name="$E$96">
            <a:extLst>
              <a:ext uri="{FF2B5EF4-FFF2-40B4-BE49-F238E27FC236}">
                <a16:creationId xmlns:a16="http://schemas.microsoft.com/office/drawing/2014/main" id="{8DC0D686-2F9A-4D6F-81D4-0D7A511A7BD1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27" name="$E$96">
            <a:extLst>
              <a:ext uri="{FF2B5EF4-FFF2-40B4-BE49-F238E27FC236}">
                <a16:creationId xmlns:a16="http://schemas.microsoft.com/office/drawing/2014/main" id="{3FD84E69-101D-4669-BBE2-E28F2CE148B2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28" name="$E$96">
            <a:extLst>
              <a:ext uri="{FF2B5EF4-FFF2-40B4-BE49-F238E27FC236}">
                <a16:creationId xmlns:a16="http://schemas.microsoft.com/office/drawing/2014/main" id="{2985D472-3A30-451F-A98E-1D6C5D474D21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29" name="$E$96">
            <a:extLst>
              <a:ext uri="{FF2B5EF4-FFF2-40B4-BE49-F238E27FC236}">
                <a16:creationId xmlns:a16="http://schemas.microsoft.com/office/drawing/2014/main" id="{FD17A5C2-5AA0-4F5B-8335-8BDDABCDB43C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30" name="$E$96">
            <a:extLst>
              <a:ext uri="{FF2B5EF4-FFF2-40B4-BE49-F238E27FC236}">
                <a16:creationId xmlns:a16="http://schemas.microsoft.com/office/drawing/2014/main" id="{F8407394-C8B3-4541-9B17-EA79A7196A82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31" name="$E$96">
            <a:extLst>
              <a:ext uri="{FF2B5EF4-FFF2-40B4-BE49-F238E27FC236}">
                <a16:creationId xmlns:a16="http://schemas.microsoft.com/office/drawing/2014/main" id="{A0F61460-C963-4F5D-9FB1-E2F17827EEA7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32" name="$E$96">
            <a:extLst>
              <a:ext uri="{FF2B5EF4-FFF2-40B4-BE49-F238E27FC236}">
                <a16:creationId xmlns:a16="http://schemas.microsoft.com/office/drawing/2014/main" id="{856887B4-0D7A-44FC-9EAD-3A50308E7ED9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33" name="$E$96">
            <a:extLst>
              <a:ext uri="{FF2B5EF4-FFF2-40B4-BE49-F238E27FC236}">
                <a16:creationId xmlns:a16="http://schemas.microsoft.com/office/drawing/2014/main" id="{EBFA36BE-7C3D-4E4F-A86B-D3480677279C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34" name="$E$96">
            <a:extLst>
              <a:ext uri="{FF2B5EF4-FFF2-40B4-BE49-F238E27FC236}">
                <a16:creationId xmlns:a16="http://schemas.microsoft.com/office/drawing/2014/main" id="{57883A67-D14E-4C4E-9B01-7B6079E96DFC}"/>
              </a:ext>
            </a:extLst>
          </xdr:cNvPr>
          <xdr:cNvSpPr/>
        </xdr:nvSpPr>
        <xdr:spPr>
          <a:xfrm>
            <a:off x="279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35" name="$E$96">
            <a:extLst>
              <a:ext uri="{FF2B5EF4-FFF2-40B4-BE49-F238E27FC236}">
                <a16:creationId xmlns:a16="http://schemas.microsoft.com/office/drawing/2014/main" id="{ED381DFE-E780-4B01-9638-352FA5B9A88A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36" name="$E$96">
            <a:extLst>
              <a:ext uri="{FF2B5EF4-FFF2-40B4-BE49-F238E27FC236}">
                <a16:creationId xmlns:a16="http://schemas.microsoft.com/office/drawing/2014/main" id="{71C74EB0-F85D-440B-BA75-8326F8EFD9C0}"/>
              </a:ext>
            </a:extLst>
          </xdr:cNvPr>
          <xdr:cNvSpPr/>
        </xdr:nvSpPr>
        <xdr:spPr>
          <a:xfrm>
            <a:off x="317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37" name="$E$96">
            <a:extLst>
              <a:ext uri="{FF2B5EF4-FFF2-40B4-BE49-F238E27FC236}">
                <a16:creationId xmlns:a16="http://schemas.microsoft.com/office/drawing/2014/main" id="{815E5DC1-A82B-4C64-BC21-CEF612626090}"/>
              </a:ext>
            </a:extLst>
          </xdr:cNvPr>
          <xdr:cNvSpPr/>
        </xdr:nvSpPr>
        <xdr:spPr>
          <a:xfrm>
            <a:off x="355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38" name="$E$96">
            <a:extLst>
              <a:ext uri="{FF2B5EF4-FFF2-40B4-BE49-F238E27FC236}">
                <a16:creationId xmlns:a16="http://schemas.microsoft.com/office/drawing/2014/main" id="{EFCAD59C-2EA6-4A00-8885-71436DF0071F}"/>
              </a:ext>
            </a:extLst>
          </xdr:cNvPr>
          <xdr:cNvSpPr/>
        </xdr:nvSpPr>
        <xdr:spPr>
          <a:xfrm>
            <a:off x="368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39" name="$E$96">
            <a:extLst>
              <a:ext uri="{FF2B5EF4-FFF2-40B4-BE49-F238E27FC236}">
                <a16:creationId xmlns:a16="http://schemas.microsoft.com/office/drawing/2014/main" id="{7D858D2D-E9DB-498C-92FE-2BFB32F49A1A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40" name="$E$96">
            <a:extLst>
              <a:ext uri="{FF2B5EF4-FFF2-40B4-BE49-F238E27FC236}">
                <a16:creationId xmlns:a16="http://schemas.microsoft.com/office/drawing/2014/main" id="{F7B444A7-14E1-4B7A-9516-89A1C4671FDA}"/>
              </a:ext>
            </a:extLst>
          </xdr:cNvPr>
          <xdr:cNvSpPr/>
        </xdr:nvSpPr>
        <xdr:spPr>
          <a:xfrm>
            <a:off x="419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41" name="$E$96">
            <a:extLst>
              <a:ext uri="{FF2B5EF4-FFF2-40B4-BE49-F238E27FC236}">
                <a16:creationId xmlns:a16="http://schemas.microsoft.com/office/drawing/2014/main" id="{B5332203-BCFD-40F7-90ED-BD6DA64DCA4D}"/>
              </a:ext>
            </a:extLst>
          </xdr:cNvPr>
          <xdr:cNvSpPr/>
        </xdr:nvSpPr>
        <xdr:spPr>
          <a:xfrm>
            <a:off x="431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42" name="$E$96">
            <a:extLst>
              <a:ext uri="{FF2B5EF4-FFF2-40B4-BE49-F238E27FC236}">
                <a16:creationId xmlns:a16="http://schemas.microsoft.com/office/drawing/2014/main" id="{938BBE28-30AD-42A4-9FCE-DE1ADB7511D0}"/>
              </a:ext>
            </a:extLst>
          </xdr:cNvPr>
          <xdr:cNvSpPr/>
        </xdr:nvSpPr>
        <xdr:spPr>
          <a:xfrm>
            <a:off x="444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43" name="$E$96">
            <a:extLst>
              <a:ext uri="{FF2B5EF4-FFF2-40B4-BE49-F238E27FC236}">
                <a16:creationId xmlns:a16="http://schemas.microsoft.com/office/drawing/2014/main" id="{A625E34F-FC85-4581-A0E1-88AA24E79BA0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44" name="$E$96">
            <a:extLst>
              <a:ext uri="{FF2B5EF4-FFF2-40B4-BE49-F238E27FC236}">
                <a16:creationId xmlns:a16="http://schemas.microsoft.com/office/drawing/2014/main" id="{4245B5B4-0D9D-4D34-8153-02C8520F2865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45" name="$E$96">
            <a:extLst>
              <a:ext uri="{FF2B5EF4-FFF2-40B4-BE49-F238E27FC236}">
                <a16:creationId xmlns:a16="http://schemas.microsoft.com/office/drawing/2014/main" id="{3D7A3B3D-4530-4C2F-9ACD-F495355FD236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46" name="$E$96">
            <a:extLst>
              <a:ext uri="{FF2B5EF4-FFF2-40B4-BE49-F238E27FC236}">
                <a16:creationId xmlns:a16="http://schemas.microsoft.com/office/drawing/2014/main" id="{B100F97A-D2C0-489E-8960-EC33A829EC7E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47" name="$E$96">
            <a:extLst>
              <a:ext uri="{FF2B5EF4-FFF2-40B4-BE49-F238E27FC236}">
                <a16:creationId xmlns:a16="http://schemas.microsoft.com/office/drawing/2014/main" id="{8277F16C-1D90-4CFA-9A95-26BAE70EE7EF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48" name="$E$96">
            <a:extLst>
              <a:ext uri="{FF2B5EF4-FFF2-40B4-BE49-F238E27FC236}">
                <a16:creationId xmlns:a16="http://schemas.microsoft.com/office/drawing/2014/main" id="{9B910733-D378-4E34-9888-62821DC09DD4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49" name="$E$96">
            <a:extLst>
              <a:ext uri="{FF2B5EF4-FFF2-40B4-BE49-F238E27FC236}">
                <a16:creationId xmlns:a16="http://schemas.microsoft.com/office/drawing/2014/main" id="{E9B92F6E-9CEE-4869-B64F-B5821F8EF7B3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50" name="$E$96">
            <a:extLst>
              <a:ext uri="{FF2B5EF4-FFF2-40B4-BE49-F238E27FC236}">
                <a16:creationId xmlns:a16="http://schemas.microsoft.com/office/drawing/2014/main" id="{2205F60B-E28F-4D41-9BED-37045EB90A73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51" name="$E$96">
            <a:extLst>
              <a:ext uri="{FF2B5EF4-FFF2-40B4-BE49-F238E27FC236}">
                <a16:creationId xmlns:a16="http://schemas.microsoft.com/office/drawing/2014/main" id="{992525BD-61C3-4B8A-B640-854C988C039E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52" name="$E$96">
            <a:extLst>
              <a:ext uri="{FF2B5EF4-FFF2-40B4-BE49-F238E27FC236}">
                <a16:creationId xmlns:a16="http://schemas.microsoft.com/office/drawing/2014/main" id="{19011F02-C381-410E-AB88-3EC007313CBA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53" name="$E$96">
            <a:extLst>
              <a:ext uri="{FF2B5EF4-FFF2-40B4-BE49-F238E27FC236}">
                <a16:creationId xmlns:a16="http://schemas.microsoft.com/office/drawing/2014/main" id="{C54DA5E1-0402-4E8A-9DA9-4FE88DFBF017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54" name="$E$96">
            <a:extLst>
              <a:ext uri="{FF2B5EF4-FFF2-40B4-BE49-F238E27FC236}">
                <a16:creationId xmlns:a16="http://schemas.microsoft.com/office/drawing/2014/main" id="{A4158275-9CCE-470D-AC70-959FBB969F53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55" name="$E$96">
            <a:extLst>
              <a:ext uri="{FF2B5EF4-FFF2-40B4-BE49-F238E27FC236}">
                <a16:creationId xmlns:a16="http://schemas.microsoft.com/office/drawing/2014/main" id="{EBCA8AC8-D55A-4871-BCD6-939012DD5979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56" name="$E$96">
            <a:extLst>
              <a:ext uri="{FF2B5EF4-FFF2-40B4-BE49-F238E27FC236}">
                <a16:creationId xmlns:a16="http://schemas.microsoft.com/office/drawing/2014/main" id="{0413E1A8-0F99-491B-810C-FD6D21FDE72C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57" name="$E$96">
            <a:extLst>
              <a:ext uri="{FF2B5EF4-FFF2-40B4-BE49-F238E27FC236}">
                <a16:creationId xmlns:a16="http://schemas.microsoft.com/office/drawing/2014/main" id="{41816985-FF92-455C-8B73-0F253F8E27B4}"/>
              </a:ext>
            </a:extLst>
          </xdr:cNvPr>
          <xdr:cNvSpPr/>
        </xdr:nvSpPr>
        <xdr:spPr>
          <a:xfrm>
            <a:off x="330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58" name="$E$96">
            <a:extLst>
              <a:ext uri="{FF2B5EF4-FFF2-40B4-BE49-F238E27FC236}">
                <a16:creationId xmlns:a16="http://schemas.microsoft.com/office/drawing/2014/main" id="{4CA6E3C2-23C5-4139-BB17-14BE1F2D2E16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59" name="$E$96">
            <a:extLst>
              <a:ext uri="{FF2B5EF4-FFF2-40B4-BE49-F238E27FC236}">
                <a16:creationId xmlns:a16="http://schemas.microsoft.com/office/drawing/2014/main" id="{128BDB2C-28C0-4718-9F63-A488EE3BB3E5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60" name="$E$96">
            <a:extLst>
              <a:ext uri="{FF2B5EF4-FFF2-40B4-BE49-F238E27FC236}">
                <a16:creationId xmlns:a16="http://schemas.microsoft.com/office/drawing/2014/main" id="{4324C88B-9826-406A-B57D-B44E56FDE546}"/>
              </a:ext>
            </a:extLst>
          </xdr:cNvPr>
          <xdr:cNvSpPr/>
        </xdr:nvSpPr>
        <xdr:spPr>
          <a:xfrm>
            <a:off x="381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61" name="$E$96">
            <a:extLst>
              <a:ext uri="{FF2B5EF4-FFF2-40B4-BE49-F238E27FC236}">
                <a16:creationId xmlns:a16="http://schemas.microsoft.com/office/drawing/2014/main" id="{71599257-1570-48BF-A2B8-8068899CC7F3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62" name="$E$96">
            <a:extLst>
              <a:ext uri="{FF2B5EF4-FFF2-40B4-BE49-F238E27FC236}">
                <a16:creationId xmlns:a16="http://schemas.microsoft.com/office/drawing/2014/main" id="{9BBC334E-748A-46EB-A4D8-B44D4BAADD8B}"/>
              </a:ext>
            </a:extLst>
          </xdr:cNvPr>
          <xdr:cNvSpPr/>
        </xdr:nvSpPr>
        <xdr:spPr>
          <a:xfrm>
            <a:off x="419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63" name="$E$96">
            <a:extLst>
              <a:ext uri="{FF2B5EF4-FFF2-40B4-BE49-F238E27FC236}">
                <a16:creationId xmlns:a16="http://schemas.microsoft.com/office/drawing/2014/main" id="{6FEA5742-14C5-4F7D-B421-D3D52D45C515}"/>
              </a:ext>
            </a:extLst>
          </xdr:cNvPr>
          <xdr:cNvSpPr/>
        </xdr:nvSpPr>
        <xdr:spPr>
          <a:xfrm>
            <a:off x="431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64" name="$E$96">
            <a:extLst>
              <a:ext uri="{FF2B5EF4-FFF2-40B4-BE49-F238E27FC236}">
                <a16:creationId xmlns:a16="http://schemas.microsoft.com/office/drawing/2014/main" id="{E0611064-963E-43FA-B78E-0207C18F2069}"/>
              </a:ext>
            </a:extLst>
          </xdr:cNvPr>
          <xdr:cNvSpPr/>
        </xdr:nvSpPr>
        <xdr:spPr>
          <a:xfrm>
            <a:off x="457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65" name="$E$96">
            <a:extLst>
              <a:ext uri="{FF2B5EF4-FFF2-40B4-BE49-F238E27FC236}">
                <a16:creationId xmlns:a16="http://schemas.microsoft.com/office/drawing/2014/main" id="{FE1EB1A2-55C0-4263-9EC2-5D2B988B45ED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66" name="$E$96">
            <a:extLst>
              <a:ext uri="{FF2B5EF4-FFF2-40B4-BE49-F238E27FC236}">
                <a16:creationId xmlns:a16="http://schemas.microsoft.com/office/drawing/2014/main" id="{1EBC0E66-0FA6-4ED0-AB5D-2024C5831199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67" name="$E$96">
            <a:extLst>
              <a:ext uri="{FF2B5EF4-FFF2-40B4-BE49-F238E27FC236}">
                <a16:creationId xmlns:a16="http://schemas.microsoft.com/office/drawing/2014/main" id="{1840F04D-CB48-49FF-985C-97F96732BFA7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68" name="$E$96">
            <a:extLst>
              <a:ext uri="{FF2B5EF4-FFF2-40B4-BE49-F238E27FC236}">
                <a16:creationId xmlns:a16="http://schemas.microsoft.com/office/drawing/2014/main" id="{7BBC2FC9-8C4F-471C-BC38-5E25D7797180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69" name="$E$96">
            <a:extLst>
              <a:ext uri="{FF2B5EF4-FFF2-40B4-BE49-F238E27FC236}">
                <a16:creationId xmlns:a16="http://schemas.microsoft.com/office/drawing/2014/main" id="{69B59FE7-177C-4E36-AD26-9A9AA17024D3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70" name="$E$96">
            <a:extLst>
              <a:ext uri="{FF2B5EF4-FFF2-40B4-BE49-F238E27FC236}">
                <a16:creationId xmlns:a16="http://schemas.microsoft.com/office/drawing/2014/main" id="{54CEC04D-0424-4D64-A05F-5B6DFEA56A08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71" name="$E$96">
            <a:extLst>
              <a:ext uri="{FF2B5EF4-FFF2-40B4-BE49-F238E27FC236}">
                <a16:creationId xmlns:a16="http://schemas.microsoft.com/office/drawing/2014/main" id="{152D2E09-7B29-4632-974A-84BE1717CEDE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72" name="$E$96">
            <a:extLst>
              <a:ext uri="{FF2B5EF4-FFF2-40B4-BE49-F238E27FC236}">
                <a16:creationId xmlns:a16="http://schemas.microsoft.com/office/drawing/2014/main" id="{13952836-E97F-41C8-890E-E04F607BC361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73" name="$E$96">
            <a:extLst>
              <a:ext uri="{FF2B5EF4-FFF2-40B4-BE49-F238E27FC236}">
                <a16:creationId xmlns:a16="http://schemas.microsoft.com/office/drawing/2014/main" id="{4C11C807-DDCB-4780-8B65-0DFE80CF3F89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74" name="$E$96">
            <a:extLst>
              <a:ext uri="{FF2B5EF4-FFF2-40B4-BE49-F238E27FC236}">
                <a16:creationId xmlns:a16="http://schemas.microsoft.com/office/drawing/2014/main" id="{09582116-4A5C-4DED-B163-51E661647E41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75" name="$E$96">
            <a:extLst>
              <a:ext uri="{FF2B5EF4-FFF2-40B4-BE49-F238E27FC236}">
                <a16:creationId xmlns:a16="http://schemas.microsoft.com/office/drawing/2014/main" id="{E67F482A-7AC2-46CC-BBD1-DE79DBDE04FE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76" name="$E$96">
            <a:extLst>
              <a:ext uri="{FF2B5EF4-FFF2-40B4-BE49-F238E27FC236}">
                <a16:creationId xmlns:a16="http://schemas.microsoft.com/office/drawing/2014/main" id="{5DF82156-6815-4452-B740-83D239231E49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77" name="$E$96">
            <a:extLst>
              <a:ext uri="{FF2B5EF4-FFF2-40B4-BE49-F238E27FC236}">
                <a16:creationId xmlns:a16="http://schemas.microsoft.com/office/drawing/2014/main" id="{D9CE5E9D-1E0B-4994-8A7D-5768911C9309}"/>
              </a:ext>
            </a:extLst>
          </xdr:cNvPr>
          <xdr:cNvSpPr/>
        </xdr:nvSpPr>
        <xdr:spPr>
          <a:xfrm>
            <a:off x="342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78" name="$E$96">
            <a:extLst>
              <a:ext uri="{FF2B5EF4-FFF2-40B4-BE49-F238E27FC236}">
                <a16:creationId xmlns:a16="http://schemas.microsoft.com/office/drawing/2014/main" id="{9DCEE390-A8D5-4B9A-9417-9C2CEFF5E03C}"/>
              </a:ext>
            </a:extLst>
          </xdr:cNvPr>
          <xdr:cNvSpPr/>
        </xdr:nvSpPr>
        <xdr:spPr>
          <a:xfrm>
            <a:off x="355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79" name="$E$96">
            <a:extLst>
              <a:ext uri="{FF2B5EF4-FFF2-40B4-BE49-F238E27FC236}">
                <a16:creationId xmlns:a16="http://schemas.microsoft.com/office/drawing/2014/main" id="{32F21D11-2D19-4159-9C4D-025651CFE659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80" name="$E$96">
            <a:extLst>
              <a:ext uri="{FF2B5EF4-FFF2-40B4-BE49-F238E27FC236}">
                <a16:creationId xmlns:a16="http://schemas.microsoft.com/office/drawing/2014/main" id="{0E94C84B-DA17-4CE5-8E36-CFD50E1D025C}"/>
              </a:ext>
            </a:extLst>
          </xdr:cNvPr>
          <xdr:cNvSpPr/>
        </xdr:nvSpPr>
        <xdr:spPr>
          <a:xfrm>
            <a:off x="419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81" name="$E$96">
            <a:extLst>
              <a:ext uri="{FF2B5EF4-FFF2-40B4-BE49-F238E27FC236}">
                <a16:creationId xmlns:a16="http://schemas.microsoft.com/office/drawing/2014/main" id="{17CA9DB4-829F-4C6C-8F7C-BDA7FF342888}"/>
              </a:ext>
            </a:extLst>
          </xdr:cNvPr>
          <xdr:cNvSpPr/>
        </xdr:nvSpPr>
        <xdr:spPr>
          <a:xfrm>
            <a:off x="444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82" name="$E$96">
            <a:extLst>
              <a:ext uri="{FF2B5EF4-FFF2-40B4-BE49-F238E27FC236}">
                <a16:creationId xmlns:a16="http://schemas.microsoft.com/office/drawing/2014/main" id="{60A32E16-5130-401B-87F8-F0F2B2EE0550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83" name="$E$96">
            <a:extLst>
              <a:ext uri="{FF2B5EF4-FFF2-40B4-BE49-F238E27FC236}">
                <a16:creationId xmlns:a16="http://schemas.microsoft.com/office/drawing/2014/main" id="{145BF72E-15AA-4EAF-A8F9-85FFE4D38516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84" name="$E$96">
            <a:extLst>
              <a:ext uri="{FF2B5EF4-FFF2-40B4-BE49-F238E27FC236}">
                <a16:creationId xmlns:a16="http://schemas.microsoft.com/office/drawing/2014/main" id="{09DC3635-DE9B-4268-8489-1A9F90D081EB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85" name="$E$96">
            <a:extLst>
              <a:ext uri="{FF2B5EF4-FFF2-40B4-BE49-F238E27FC236}">
                <a16:creationId xmlns:a16="http://schemas.microsoft.com/office/drawing/2014/main" id="{32A94A13-8866-4C09-BCC5-2A9610AC745C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86" name="$E$96">
            <a:extLst>
              <a:ext uri="{FF2B5EF4-FFF2-40B4-BE49-F238E27FC236}">
                <a16:creationId xmlns:a16="http://schemas.microsoft.com/office/drawing/2014/main" id="{C66A0CB2-B111-47C3-B4CD-C8997C38729E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87" name="$E$96">
            <a:extLst>
              <a:ext uri="{FF2B5EF4-FFF2-40B4-BE49-F238E27FC236}">
                <a16:creationId xmlns:a16="http://schemas.microsoft.com/office/drawing/2014/main" id="{9715AC52-CA55-4C2A-9143-BDE575F87BD9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88" name="$E$96">
            <a:extLst>
              <a:ext uri="{FF2B5EF4-FFF2-40B4-BE49-F238E27FC236}">
                <a16:creationId xmlns:a16="http://schemas.microsoft.com/office/drawing/2014/main" id="{3401D041-91CF-4413-A5C5-EEDE78BD43F1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89" name="$E$96">
            <a:extLst>
              <a:ext uri="{FF2B5EF4-FFF2-40B4-BE49-F238E27FC236}">
                <a16:creationId xmlns:a16="http://schemas.microsoft.com/office/drawing/2014/main" id="{FA7FDC2A-D151-4D9D-BB5D-5DB36B16A96F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90" name="$E$96">
            <a:extLst>
              <a:ext uri="{FF2B5EF4-FFF2-40B4-BE49-F238E27FC236}">
                <a16:creationId xmlns:a16="http://schemas.microsoft.com/office/drawing/2014/main" id="{022D6920-9646-4737-BF9C-869A149B2F64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91" name="$E$96">
            <a:extLst>
              <a:ext uri="{FF2B5EF4-FFF2-40B4-BE49-F238E27FC236}">
                <a16:creationId xmlns:a16="http://schemas.microsoft.com/office/drawing/2014/main" id="{9D2C31E3-6857-488A-9483-FD579EAB1579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92" name="$E$96">
            <a:extLst>
              <a:ext uri="{FF2B5EF4-FFF2-40B4-BE49-F238E27FC236}">
                <a16:creationId xmlns:a16="http://schemas.microsoft.com/office/drawing/2014/main" id="{A0FBCF6D-272E-4A97-8F94-7308FD5DE55F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93" name="$E$96">
            <a:extLst>
              <a:ext uri="{FF2B5EF4-FFF2-40B4-BE49-F238E27FC236}">
                <a16:creationId xmlns:a16="http://schemas.microsoft.com/office/drawing/2014/main" id="{C66140C4-4C64-4D2D-945F-F2331989F063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94" name="$E$96">
            <a:extLst>
              <a:ext uri="{FF2B5EF4-FFF2-40B4-BE49-F238E27FC236}">
                <a16:creationId xmlns:a16="http://schemas.microsoft.com/office/drawing/2014/main" id="{3C93AC05-E480-4E54-8560-BB28F15FAB0C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95" name="$E$96">
            <a:extLst>
              <a:ext uri="{FF2B5EF4-FFF2-40B4-BE49-F238E27FC236}">
                <a16:creationId xmlns:a16="http://schemas.microsoft.com/office/drawing/2014/main" id="{375279AD-2128-4016-A297-ADA8C64A7E9A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96" name="$E$96">
            <a:extLst>
              <a:ext uri="{FF2B5EF4-FFF2-40B4-BE49-F238E27FC236}">
                <a16:creationId xmlns:a16="http://schemas.microsoft.com/office/drawing/2014/main" id="{C5064929-BBCA-4272-B505-0511669BEED4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97" name="$E$96">
            <a:extLst>
              <a:ext uri="{FF2B5EF4-FFF2-40B4-BE49-F238E27FC236}">
                <a16:creationId xmlns:a16="http://schemas.microsoft.com/office/drawing/2014/main" id="{414C36B7-86B5-4A47-B89A-A65E4C49D644}"/>
              </a:ext>
            </a:extLst>
          </xdr:cNvPr>
          <xdr:cNvSpPr/>
        </xdr:nvSpPr>
        <xdr:spPr>
          <a:xfrm>
            <a:off x="330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98" name="$E$96">
            <a:extLst>
              <a:ext uri="{FF2B5EF4-FFF2-40B4-BE49-F238E27FC236}">
                <a16:creationId xmlns:a16="http://schemas.microsoft.com/office/drawing/2014/main" id="{7AC6AF54-74D6-4D48-B29D-9BC6BFE2BBD8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999" name="$E$96">
            <a:extLst>
              <a:ext uri="{FF2B5EF4-FFF2-40B4-BE49-F238E27FC236}">
                <a16:creationId xmlns:a16="http://schemas.microsoft.com/office/drawing/2014/main" id="{AA3F384C-432A-4224-89F1-8B8229B8BAC7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00" name="$E$96">
            <a:extLst>
              <a:ext uri="{FF2B5EF4-FFF2-40B4-BE49-F238E27FC236}">
                <a16:creationId xmlns:a16="http://schemas.microsoft.com/office/drawing/2014/main" id="{720CF098-075C-47D4-A369-137A09269277}"/>
              </a:ext>
            </a:extLst>
          </xdr:cNvPr>
          <xdr:cNvSpPr/>
        </xdr:nvSpPr>
        <xdr:spPr>
          <a:xfrm>
            <a:off x="381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01" name="$E$96">
            <a:extLst>
              <a:ext uri="{FF2B5EF4-FFF2-40B4-BE49-F238E27FC236}">
                <a16:creationId xmlns:a16="http://schemas.microsoft.com/office/drawing/2014/main" id="{E7841032-A875-4159-8E38-C705AF06B9D5}"/>
              </a:ext>
            </a:extLst>
          </xdr:cNvPr>
          <xdr:cNvSpPr/>
        </xdr:nvSpPr>
        <xdr:spPr>
          <a:xfrm>
            <a:off x="406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02" name="$E$96">
            <a:extLst>
              <a:ext uri="{FF2B5EF4-FFF2-40B4-BE49-F238E27FC236}">
                <a16:creationId xmlns:a16="http://schemas.microsoft.com/office/drawing/2014/main" id="{ED4EE0E8-2D38-4D9C-91BA-BD50C93CBD7B}"/>
              </a:ext>
            </a:extLst>
          </xdr:cNvPr>
          <xdr:cNvSpPr/>
        </xdr:nvSpPr>
        <xdr:spPr>
          <a:xfrm>
            <a:off x="419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03" name="$E$96">
            <a:extLst>
              <a:ext uri="{FF2B5EF4-FFF2-40B4-BE49-F238E27FC236}">
                <a16:creationId xmlns:a16="http://schemas.microsoft.com/office/drawing/2014/main" id="{0DCED8F8-DFF2-4866-A9DE-AEECB5CA804A}"/>
              </a:ext>
            </a:extLst>
          </xdr:cNvPr>
          <xdr:cNvSpPr/>
        </xdr:nvSpPr>
        <xdr:spPr>
          <a:xfrm>
            <a:off x="431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04" name="$E$96">
            <a:extLst>
              <a:ext uri="{FF2B5EF4-FFF2-40B4-BE49-F238E27FC236}">
                <a16:creationId xmlns:a16="http://schemas.microsoft.com/office/drawing/2014/main" id="{2CDA5463-A3AA-40B2-A936-0793387B10B0}"/>
              </a:ext>
            </a:extLst>
          </xdr:cNvPr>
          <xdr:cNvSpPr/>
        </xdr:nvSpPr>
        <xdr:spPr>
          <a:xfrm>
            <a:off x="457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05" name="$E$96">
            <a:extLst>
              <a:ext uri="{FF2B5EF4-FFF2-40B4-BE49-F238E27FC236}">
                <a16:creationId xmlns:a16="http://schemas.microsoft.com/office/drawing/2014/main" id="{F64A0AF4-7ADD-41FA-9CFC-C280269FB51D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06" name="$E$96">
            <a:extLst>
              <a:ext uri="{FF2B5EF4-FFF2-40B4-BE49-F238E27FC236}">
                <a16:creationId xmlns:a16="http://schemas.microsoft.com/office/drawing/2014/main" id="{6F815602-E6CD-45F5-B8E9-C887767CF461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07" name="$E$96">
            <a:extLst>
              <a:ext uri="{FF2B5EF4-FFF2-40B4-BE49-F238E27FC236}">
                <a16:creationId xmlns:a16="http://schemas.microsoft.com/office/drawing/2014/main" id="{2DD6D674-264C-48AD-BCD8-2CB22305E9A1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08" name="$E$96">
            <a:extLst>
              <a:ext uri="{FF2B5EF4-FFF2-40B4-BE49-F238E27FC236}">
                <a16:creationId xmlns:a16="http://schemas.microsoft.com/office/drawing/2014/main" id="{BBC5DF8F-374B-4E1A-8C9A-C40E4E6329DA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09" name="$E$96">
            <a:extLst>
              <a:ext uri="{FF2B5EF4-FFF2-40B4-BE49-F238E27FC236}">
                <a16:creationId xmlns:a16="http://schemas.microsoft.com/office/drawing/2014/main" id="{B615C997-FD5D-4B4D-8232-CF8E8386144C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10" name="$E$96">
            <a:extLst>
              <a:ext uri="{FF2B5EF4-FFF2-40B4-BE49-F238E27FC236}">
                <a16:creationId xmlns:a16="http://schemas.microsoft.com/office/drawing/2014/main" id="{DFBDF867-C89F-4931-8468-D2691F8B7224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11" name="$E$96">
            <a:extLst>
              <a:ext uri="{FF2B5EF4-FFF2-40B4-BE49-F238E27FC236}">
                <a16:creationId xmlns:a16="http://schemas.microsoft.com/office/drawing/2014/main" id="{1012F799-5F63-4D85-946D-E1160B0C05F2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12" name="$E$96">
            <a:extLst>
              <a:ext uri="{FF2B5EF4-FFF2-40B4-BE49-F238E27FC236}">
                <a16:creationId xmlns:a16="http://schemas.microsoft.com/office/drawing/2014/main" id="{BF1A2DCE-4BE1-427E-8F08-EDFE13B0F7D2}"/>
              </a:ext>
            </a:extLst>
          </xdr:cNvPr>
          <xdr:cNvSpPr/>
        </xdr:nvSpPr>
        <xdr:spPr>
          <a:xfrm>
            <a:off x="355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13" name="$E$96">
            <a:extLst>
              <a:ext uri="{FF2B5EF4-FFF2-40B4-BE49-F238E27FC236}">
                <a16:creationId xmlns:a16="http://schemas.microsoft.com/office/drawing/2014/main" id="{9312149D-C66E-4044-BD2D-B9E64880D0F0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14" name="$E$96">
            <a:extLst>
              <a:ext uri="{FF2B5EF4-FFF2-40B4-BE49-F238E27FC236}">
                <a16:creationId xmlns:a16="http://schemas.microsoft.com/office/drawing/2014/main" id="{6C18EE28-B24E-4485-94C7-06F2B868137C}"/>
              </a:ext>
            </a:extLst>
          </xdr:cNvPr>
          <xdr:cNvSpPr/>
        </xdr:nvSpPr>
        <xdr:spPr>
          <a:xfrm>
            <a:off x="431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15" name="$E$96">
            <a:extLst>
              <a:ext uri="{FF2B5EF4-FFF2-40B4-BE49-F238E27FC236}">
                <a16:creationId xmlns:a16="http://schemas.microsoft.com/office/drawing/2014/main" id="{8EB1DA7C-C0DE-4151-8272-E6BE36C7BA0E}"/>
              </a:ext>
            </a:extLst>
          </xdr:cNvPr>
          <xdr:cNvSpPr/>
        </xdr:nvSpPr>
        <xdr:spPr>
          <a:xfrm>
            <a:off x="444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16" name="$E$96">
            <a:extLst>
              <a:ext uri="{FF2B5EF4-FFF2-40B4-BE49-F238E27FC236}">
                <a16:creationId xmlns:a16="http://schemas.microsoft.com/office/drawing/2014/main" id="{AAB59859-F690-435B-966D-A31E04B32441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17" name="$E$96">
            <a:extLst>
              <a:ext uri="{FF2B5EF4-FFF2-40B4-BE49-F238E27FC236}">
                <a16:creationId xmlns:a16="http://schemas.microsoft.com/office/drawing/2014/main" id="{8C5F49A0-BE09-4AA8-A067-ACADD0D4435D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18" name="$E$96">
            <a:extLst>
              <a:ext uri="{FF2B5EF4-FFF2-40B4-BE49-F238E27FC236}">
                <a16:creationId xmlns:a16="http://schemas.microsoft.com/office/drawing/2014/main" id="{E94ACFCA-A1F9-4ADE-9A59-37F275BA0377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19" name="$E$96">
            <a:extLst>
              <a:ext uri="{FF2B5EF4-FFF2-40B4-BE49-F238E27FC236}">
                <a16:creationId xmlns:a16="http://schemas.microsoft.com/office/drawing/2014/main" id="{46F6C033-CCA1-4E8C-BE64-046238E2CA1D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20" name="$E$96">
            <a:extLst>
              <a:ext uri="{FF2B5EF4-FFF2-40B4-BE49-F238E27FC236}">
                <a16:creationId xmlns:a16="http://schemas.microsoft.com/office/drawing/2014/main" id="{3C33EAE3-759E-49F6-A691-18F4F6B25B39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21" name="$E$96">
            <a:extLst>
              <a:ext uri="{FF2B5EF4-FFF2-40B4-BE49-F238E27FC236}">
                <a16:creationId xmlns:a16="http://schemas.microsoft.com/office/drawing/2014/main" id="{4B7CF321-09F5-4A2E-B639-D2C32AED3CC7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22" name="$E$96">
            <a:extLst>
              <a:ext uri="{FF2B5EF4-FFF2-40B4-BE49-F238E27FC236}">
                <a16:creationId xmlns:a16="http://schemas.microsoft.com/office/drawing/2014/main" id="{77A0E397-7B92-4BB0-AFEC-89338FE2ED97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23" name="$E$96">
            <a:extLst>
              <a:ext uri="{FF2B5EF4-FFF2-40B4-BE49-F238E27FC236}">
                <a16:creationId xmlns:a16="http://schemas.microsoft.com/office/drawing/2014/main" id="{E212E57A-F450-4B02-B196-FABBFDE0E982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24" name="$E$96">
            <a:extLst>
              <a:ext uri="{FF2B5EF4-FFF2-40B4-BE49-F238E27FC236}">
                <a16:creationId xmlns:a16="http://schemas.microsoft.com/office/drawing/2014/main" id="{05437CA7-E080-4A7A-8FCB-CEEEF30F8731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25" name="$E$96">
            <a:extLst>
              <a:ext uri="{FF2B5EF4-FFF2-40B4-BE49-F238E27FC236}">
                <a16:creationId xmlns:a16="http://schemas.microsoft.com/office/drawing/2014/main" id="{D6F8044A-0E1F-4F80-88D4-3A694AE16083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26" name="$E$96">
            <a:extLst>
              <a:ext uri="{FF2B5EF4-FFF2-40B4-BE49-F238E27FC236}">
                <a16:creationId xmlns:a16="http://schemas.microsoft.com/office/drawing/2014/main" id="{47A3C776-3207-4B96-AD57-F79CD4310116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27" name="$E$96">
            <a:extLst>
              <a:ext uri="{FF2B5EF4-FFF2-40B4-BE49-F238E27FC236}">
                <a16:creationId xmlns:a16="http://schemas.microsoft.com/office/drawing/2014/main" id="{55CAB0B3-D000-4A54-81C0-B771A6C801C6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28" name="$E$96">
            <a:extLst>
              <a:ext uri="{FF2B5EF4-FFF2-40B4-BE49-F238E27FC236}">
                <a16:creationId xmlns:a16="http://schemas.microsoft.com/office/drawing/2014/main" id="{B782E24D-404C-454D-9BC6-7B49B3316D5C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29" name="$E$96">
            <a:extLst>
              <a:ext uri="{FF2B5EF4-FFF2-40B4-BE49-F238E27FC236}">
                <a16:creationId xmlns:a16="http://schemas.microsoft.com/office/drawing/2014/main" id="{7623A44D-ADD3-45DC-A261-E73304902F56}"/>
              </a:ext>
            </a:extLst>
          </xdr:cNvPr>
          <xdr:cNvSpPr/>
        </xdr:nvSpPr>
        <xdr:spPr>
          <a:xfrm>
            <a:off x="317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30" name="$E$96">
            <a:extLst>
              <a:ext uri="{FF2B5EF4-FFF2-40B4-BE49-F238E27FC236}">
                <a16:creationId xmlns:a16="http://schemas.microsoft.com/office/drawing/2014/main" id="{AA0C2B54-3565-4217-9534-9F0AD6E0CC7D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31" name="$E$96">
            <a:extLst>
              <a:ext uri="{FF2B5EF4-FFF2-40B4-BE49-F238E27FC236}">
                <a16:creationId xmlns:a16="http://schemas.microsoft.com/office/drawing/2014/main" id="{54BFA34B-9E7B-4EA9-83C9-35D986FD452A}"/>
              </a:ext>
            </a:extLst>
          </xdr:cNvPr>
          <xdr:cNvSpPr/>
        </xdr:nvSpPr>
        <xdr:spPr>
          <a:xfrm>
            <a:off x="381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32" name="$E$96">
            <a:extLst>
              <a:ext uri="{FF2B5EF4-FFF2-40B4-BE49-F238E27FC236}">
                <a16:creationId xmlns:a16="http://schemas.microsoft.com/office/drawing/2014/main" id="{4F4477B1-F9B1-4CC4-BC91-59BF9F67D622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33" name="$E$96">
            <a:extLst>
              <a:ext uri="{FF2B5EF4-FFF2-40B4-BE49-F238E27FC236}">
                <a16:creationId xmlns:a16="http://schemas.microsoft.com/office/drawing/2014/main" id="{25C3EEC7-4D8A-4289-9282-825B5EE00C5D}"/>
              </a:ext>
            </a:extLst>
          </xdr:cNvPr>
          <xdr:cNvSpPr/>
        </xdr:nvSpPr>
        <xdr:spPr>
          <a:xfrm>
            <a:off x="406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34" name="$E$96">
            <a:extLst>
              <a:ext uri="{FF2B5EF4-FFF2-40B4-BE49-F238E27FC236}">
                <a16:creationId xmlns:a16="http://schemas.microsoft.com/office/drawing/2014/main" id="{99509BF8-3286-46B0-AD81-47E4E5D9D0AD}"/>
              </a:ext>
            </a:extLst>
          </xdr:cNvPr>
          <xdr:cNvSpPr/>
        </xdr:nvSpPr>
        <xdr:spPr>
          <a:xfrm>
            <a:off x="431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35" name="$E$96">
            <a:extLst>
              <a:ext uri="{FF2B5EF4-FFF2-40B4-BE49-F238E27FC236}">
                <a16:creationId xmlns:a16="http://schemas.microsoft.com/office/drawing/2014/main" id="{E1D6868B-4A1A-4CD0-B6BD-0D81C3277FFC}"/>
              </a:ext>
            </a:extLst>
          </xdr:cNvPr>
          <xdr:cNvSpPr/>
        </xdr:nvSpPr>
        <xdr:spPr>
          <a:xfrm>
            <a:off x="444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36" name="$E$96">
            <a:extLst>
              <a:ext uri="{FF2B5EF4-FFF2-40B4-BE49-F238E27FC236}">
                <a16:creationId xmlns:a16="http://schemas.microsoft.com/office/drawing/2014/main" id="{1CB1AD9C-DECF-4A15-BDB4-1E6DEA29543B}"/>
              </a:ext>
            </a:extLst>
          </xdr:cNvPr>
          <xdr:cNvSpPr/>
        </xdr:nvSpPr>
        <xdr:spPr>
          <a:xfrm>
            <a:off x="457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37" name="$E$96">
            <a:extLst>
              <a:ext uri="{FF2B5EF4-FFF2-40B4-BE49-F238E27FC236}">
                <a16:creationId xmlns:a16="http://schemas.microsoft.com/office/drawing/2014/main" id="{1367EBC1-ED3D-438B-B183-4018C2090CF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38" name="$E$96">
            <a:extLst>
              <a:ext uri="{FF2B5EF4-FFF2-40B4-BE49-F238E27FC236}">
                <a16:creationId xmlns:a16="http://schemas.microsoft.com/office/drawing/2014/main" id="{D2A8934E-FBD4-48C4-A17D-702A9F01DE2A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39" name="$E$96">
            <a:extLst>
              <a:ext uri="{FF2B5EF4-FFF2-40B4-BE49-F238E27FC236}">
                <a16:creationId xmlns:a16="http://schemas.microsoft.com/office/drawing/2014/main" id="{4CFDA3B5-0F4B-4166-997B-C6928678B73E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40" name="$E$96">
            <a:extLst>
              <a:ext uri="{FF2B5EF4-FFF2-40B4-BE49-F238E27FC236}">
                <a16:creationId xmlns:a16="http://schemas.microsoft.com/office/drawing/2014/main" id="{44CFC245-4BE2-4B11-859A-CD38E6894EAB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41" name="$E$96">
            <a:extLst>
              <a:ext uri="{FF2B5EF4-FFF2-40B4-BE49-F238E27FC236}">
                <a16:creationId xmlns:a16="http://schemas.microsoft.com/office/drawing/2014/main" id="{FDB06157-126B-444A-BAD0-4009CB4D153A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42" name="$E$96">
            <a:extLst>
              <a:ext uri="{FF2B5EF4-FFF2-40B4-BE49-F238E27FC236}">
                <a16:creationId xmlns:a16="http://schemas.microsoft.com/office/drawing/2014/main" id="{531881ED-51BB-4128-88BC-C9556B7D484C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43" name="$E$96">
            <a:extLst>
              <a:ext uri="{FF2B5EF4-FFF2-40B4-BE49-F238E27FC236}">
                <a16:creationId xmlns:a16="http://schemas.microsoft.com/office/drawing/2014/main" id="{03399879-7752-4009-AB07-8D06F3BF48EB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44" name="$E$96">
            <a:extLst>
              <a:ext uri="{FF2B5EF4-FFF2-40B4-BE49-F238E27FC236}">
                <a16:creationId xmlns:a16="http://schemas.microsoft.com/office/drawing/2014/main" id="{5D246A30-4448-459C-AC27-B5033C087401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45" name="$E$96">
            <a:extLst>
              <a:ext uri="{FF2B5EF4-FFF2-40B4-BE49-F238E27FC236}">
                <a16:creationId xmlns:a16="http://schemas.microsoft.com/office/drawing/2014/main" id="{35C7F771-2D2F-4AE1-956E-A89869C7F148}"/>
              </a:ext>
            </a:extLst>
          </xdr:cNvPr>
          <xdr:cNvSpPr/>
        </xdr:nvSpPr>
        <xdr:spPr>
          <a:xfrm>
            <a:off x="279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46" name="$E$96">
            <a:extLst>
              <a:ext uri="{FF2B5EF4-FFF2-40B4-BE49-F238E27FC236}">
                <a16:creationId xmlns:a16="http://schemas.microsoft.com/office/drawing/2014/main" id="{46B38E4F-4FE0-4C0A-AEAF-CBDD9CFE6D2E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47" name="$E$96">
            <a:extLst>
              <a:ext uri="{FF2B5EF4-FFF2-40B4-BE49-F238E27FC236}">
                <a16:creationId xmlns:a16="http://schemas.microsoft.com/office/drawing/2014/main" id="{790CCE75-A1AE-401C-AB5A-A3B34F98FF13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48" name="$E$96">
            <a:extLst>
              <a:ext uri="{FF2B5EF4-FFF2-40B4-BE49-F238E27FC236}">
                <a16:creationId xmlns:a16="http://schemas.microsoft.com/office/drawing/2014/main" id="{0C9BAF90-FC80-461B-AA90-627268D7607D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49" name="$E$96">
            <a:extLst>
              <a:ext uri="{FF2B5EF4-FFF2-40B4-BE49-F238E27FC236}">
                <a16:creationId xmlns:a16="http://schemas.microsoft.com/office/drawing/2014/main" id="{5E155371-34B0-46AA-8FFA-FC7499CC54A7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50" name="$E$96">
            <a:extLst>
              <a:ext uri="{FF2B5EF4-FFF2-40B4-BE49-F238E27FC236}">
                <a16:creationId xmlns:a16="http://schemas.microsoft.com/office/drawing/2014/main" id="{1AED5FA7-42B1-4997-A5DE-DD0710A5D14A}"/>
              </a:ext>
            </a:extLst>
          </xdr:cNvPr>
          <xdr:cNvSpPr/>
        </xdr:nvSpPr>
        <xdr:spPr>
          <a:xfrm>
            <a:off x="368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51" name="$E$96">
            <a:extLst>
              <a:ext uri="{FF2B5EF4-FFF2-40B4-BE49-F238E27FC236}">
                <a16:creationId xmlns:a16="http://schemas.microsoft.com/office/drawing/2014/main" id="{49BFE121-2E4B-4E0D-96DB-6DAEF5BACDAA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52" name="$E$96">
            <a:extLst>
              <a:ext uri="{FF2B5EF4-FFF2-40B4-BE49-F238E27FC236}">
                <a16:creationId xmlns:a16="http://schemas.microsoft.com/office/drawing/2014/main" id="{3549EA3E-9586-4DBA-8903-40C2E2ECDB21}"/>
              </a:ext>
            </a:extLst>
          </xdr:cNvPr>
          <xdr:cNvSpPr/>
        </xdr:nvSpPr>
        <xdr:spPr>
          <a:xfrm>
            <a:off x="419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53" name="$E$96">
            <a:extLst>
              <a:ext uri="{FF2B5EF4-FFF2-40B4-BE49-F238E27FC236}">
                <a16:creationId xmlns:a16="http://schemas.microsoft.com/office/drawing/2014/main" id="{16199BF0-3419-4B22-978C-721B36F6AD65}"/>
              </a:ext>
            </a:extLst>
          </xdr:cNvPr>
          <xdr:cNvSpPr/>
        </xdr:nvSpPr>
        <xdr:spPr>
          <a:xfrm>
            <a:off x="457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54" name="$E$96">
            <a:extLst>
              <a:ext uri="{FF2B5EF4-FFF2-40B4-BE49-F238E27FC236}">
                <a16:creationId xmlns:a16="http://schemas.microsoft.com/office/drawing/2014/main" id="{FB62FA83-8396-4D8A-8FC0-48580C56EA1B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55" name="$E$96">
            <a:extLst>
              <a:ext uri="{FF2B5EF4-FFF2-40B4-BE49-F238E27FC236}">
                <a16:creationId xmlns:a16="http://schemas.microsoft.com/office/drawing/2014/main" id="{1F6F225B-8034-4928-9B70-FA1E733738D8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56" name="$E$96">
            <a:extLst>
              <a:ext uri="{FF2B5EF4-FFF2-40B4-BE49-F238E27FC236}">
                <a16:creationId xmlns:a16="http://schemas.microsoft.com/office/drawing/2014/main" id="{F54D5BC7-7736-44FE-96AF-1D71E9F522CB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57" name="$E$96">
            <a:extLst>
              <a:ext uri="{FF2B5EF4-FFF2-40B4-BE49-F238E27FC236}">
                <a16:creationId xmlns:a16="http://schemas.microsoft.com/office/drawing/2014/main" id="{A1481331-F977-4E9C-B2E7-9D911A405A31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58" name="$E$96">
            <a:extLst>
              <a:ext uri="{FF2B5EF4-FFF2-40B4-BE49-F238E27FC236}">
                <a16:creationId xmlns:a16="http://schemas.microsoft.com/office/drawing/2014/main" id="{0ED32593-F370-48BD-A1EB-3BCFCC085954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59" name="$E$96">
            <a:extLst>
              <a:ext uri="{FF2B5EF4-FFF2-40B4-BE49-F238E27FC236}">
                <a16:creationId xmlns:a16="http://schemas.microsoft.com/office/drawing/2014/main" id="{5180F8D4-006A-4DB0-8982-56D1EE0C6269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60" name="$E$96">
            <a:extLst>
              <a:ext uri="{FF2B5EF4-FFF2-40B4-BE49-F238E27FC236}">
                <a16:creationId xmlns:a16="http://schemas.microsoft.com/office/drawing/2014/main" id="{0347156F-78BC-4983-AD47-53AE7EF9E2E7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61" name="$E$96">
            <a:extLst>
              <a:ext uri="{FF2B5EF4-FFF2-40B4-BE49-F238E27FC236}">
                <a16:creationId xmlns:a16="http://schemas.microsoft.com/office/drawing/2014/main" id="{2FB1D070-B77B-450E-A78B-865BDE288561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62" name="$E$96">
            <a:extLst>
              <a:ext uri="{FF2B5EF4-FFF2-40B4-BE49-F238E27FC236}">
                <a16:creationId xmlns:a16="http://schemas.microsoft.com/office/drawing/2014/main" id="{40A91E7A-A6F3-4013-9E67-0B174A01A6D7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63" name="$E$96">
            <a:extLst>
              <a:ext uri="{FF2B5EF4-FFF2-40B4-BE49-F238E27FC236}">
                <a16:creationId xmlns:a16="http://schemas.microsoft.com/office/drawing/2014/main" id="{8B812768-17E1-46C0-B2A1-700D839E816B}"/>
              </a:ext>
            </a:extLst>
          </xdr:cNvPr>
          <xdr:cNvSpPr/>
        </xdr:nvSpPr>
        <xdr:spPr>
          <a:xfrm>
            <a:off x="203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64" name="$E$96">
            <a:extLst>
              <a:ext uri="{FF2B5EF4-FFF2-40B4-BE49-F238E27FC236}">
                <a16:creationId xmlns:a16="http://schemas.microsoft.com/office/drawing/2014/main" id="{91BDD196-5B89-4BFD-9F1B-2344DD65CE97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65" name="$E$96">
            <a:extLst>
              <a:ext uri="{FF2B5EF4-FFF2-40B4-BE49-F238E27FC236}">
                <a16:creationId xmlns:a16="http://schemas.microsoft.com/office/drawing/2014/main" id="{50ED6C8F-8F88-42D2-A140-D32F4A18FB0E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66" name="$E$96">
            <a:extLst>
              <a:ext uri="{FF2B5EF4-FFF2-40B4-BE49-F238E27FC236}">
                <a16:creationId xmlns:a16="http://schemas.microsoft.com/office/drawing/2014/main" id="{DE2A869C-093A-4DE2-9C78-8F5A2546DEB1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67" name="$E$96">
            <a:extLst>
              <a:ext uri="{FF2B5EF4-FFF2-40B4-BE49-F238E27FC236}">
                <a16:creationId xmlns:a16="http://schemas.microsoft.com/office/drawing/2014/main" id="{44046615-73D1-4C30-961B-C63CDF2A01A1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68" name="$E$96">
            <a:extLst>
              <a:ext uri="{FF2B5EF4-FFF2-40B4-BE49-F238E27FC236}">
                <a16:creationId xmlns:a16="http://schemas.microsoft.com/office/drawing/2014/main" id="{EB27A967-E1F8-411C-86A4-4D7A4E1FFB7B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69" name="$E$96">
            <a:extLst>
              <a:ext uri="{FF2B5EF4-FFF2-40B4-BE49-F238E27FC236}">
                <a16:creationId xmlns:a16="http://schemas.microsoft.com/office/drawing/2014/main" id="{FA7D9DDE-79CC-4257-9E36-0EF4963FB2DA}"/>
              </a:ext>
            </a:extLst>
          </xdr:cNvPr>
          <xdr:cNvSpPr/>
        </xdr:nvSpPr>
        <xdr:spPr>
          <a:xfrm>
            <a:off x="330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70" name="$E$96">
            <a:extLst>
              <a:ext uri="{FF2B5EF4-FFF2-40B4-BE49-F238E27FC236}">
                <a16:creationId xmlns:a16="http://schemas.microsoft.com/office/drawing/2014/main" id="{3314A7DA-16D4-439B-B2DE-701760A22612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71" name="$E$96">
            <a:extLst>
              <a:ext uri="{FF2B5EF4-FFF2-40B4-BE49-F238E27FC236}">
                <a16:creationId xmlns:a16="http://schemas.microsoft.com/office/drawing/2014/main" id="{E0B3DAA8-FE8F-49C6-90C8-14A270C47111}"/>
              </a:ext>
            </a:extLst>
          </xdr:cNvPr>
          <xdr:cNvSpPr/>
        </xdr:nvSpPr>
        <xdr:spPr>
          <a:xfrm>
            <a:off x="368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72" name="$E$96">
            <a:extLst>
              <a:ext uri="{FF2B5EF4-FFF2-40B4-BE49-F238E27FC236}">
                <a16:creationId xmlns:a16="http://schemas.microsoft.com/office/drawing/2014/main" id="{8D437DB7-8CC0-4FC3-BFF8-E93F39C8A687}"/>
              </a:ext>
            </a:extLst>
          </xdr:cNvPr>
          <xdr:cNvSpPr/>
        </xdr:nvSpPr>
        <xdr:spPr>
          <a:xfrm>
            <a:off x="381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73" name="$E$96">
            <a:extLst>
              <a:ext uri="{FF2B5EF4-FFF2-40B4-BE49-F238E27FC236}">
                <a16:creationId xmlns:a16="http://schemas.microsoft.com/office/drawing/2014/main" id="{0D9029D8-5316-4BBD-BAEC-A25AB04DB0E2}"/>
              </a:ext>
            </a:extLst>
          </xdr:cNvPr>
          <xdr:cNvSpPr/>
        </xdr:nvSpPr>
        <xdr:spPr>
          <a:xfrm>
            <a:off x="406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74" name="$E$96">
            <a:extLst>
              <a:ext uri="{FF2B5EF4-FFF2-40B4-BE49-F238E27FC236}">
                <a16:creationId xmlns:a16="http://schemas.microsoft.com/office/drawing/2014/main" id="{FDB3BB9E-A2C8-43CF-BA9C-89207A2687F7}"/>
              </a:ext>
            </a:extLst>
          </xdr:cNvPr>
          <xdr:cNvSpPr/>
        </xdr:nvSpPr>
        <xdr:spPr>
          <a:xfrm>
            <a:off x="419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75" name="$E$96">
            <a:extLst>
              <a:ext uri="{FF2B5EF4-FFF2-40B4-BE49-F238E27FC236}">
                <a16:creationId xmlns:a16="http://schemas.microsoft.com/office/drawing/2014/main" id="{017FFF89-A129-466E-BCC2-4079E1BCB459}"/>
              </a:ext>
            </a:extLst>
          </xdr:cNvPr>
          <xdr:cNvSpPr/>
        </xdr:nvSpPr>
        <xdr:spPr>
          <a:xfrm>
            <a:off x="431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76" name="$E$96">
            <a:extLst>
              <a:ext uri="{FF2B5EF4-FFF2-40B4-BE49-F238E27FC236}">
                <a16:creationId xmlns:a16="http://schemas.microsoft.com/office/drawing/2014/main" id="{BA351CB6-126A-4CF2-9B41-7A7D6F4FD6CE}"/>
              </a:ext>
            </a:extLst>
          </xdr:cNvPr>
          <xdr:cNvSpPr/>
        </xdr:nvSpPr>
        <xdr:spPr>
          <a:xfrm>
            <a:off x="457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77" name="$E$96">
            <a:extLst>
              <a:ext uri="{FF2B5EF4-FFF2-40B4-BE49-F238E27FC236}">
                <a16:creationId xmlns:a16="http://schemas.microsoft.com/office/drawing/2014/main" id="{02A5A1BB-E445-4558-9ACD-49C1D6EAC143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78" name="$E$96">
            <a:extLst>
              <a:ext uri="{FF2B5EF4-FFF2-40B4-BE49-F238E27FC236}">
                <a16:creationId xmlns:a16="http://schemas.microsoft.com/office/drawing/2014/main" id="{96A4782B-D260-4F44-A0A4-43B6A035ED78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79" name="$E$96">
            <a:extLst>
              <a:ext uri="{FF2B5EF4-FFF2-40B4-BE49-F238E27FC236}">
                <a16:creationId xmlns:a16="http://schemas.microsoft.com/office/drawing/2014/main" id="{66B7637B-5DA9-45A6-9F95-20A6C81B3B48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80" name="$E$96">
            <a:extLst>
              <a:ext uri="{FF2B5EF4-FFF2-40B4-BE49-F238E27FC236}">
                <a16:creationId xmlns:a16="http://schemas.microsoft.com/office/drawing/2014/main" id="{17B32AE2-9F7E-4F43-85A1-5A946D28021B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81" name="$E$96">
            <a:extLst>
              <a:ext uri="{FF2B5EF4-FFF2-40B4-BE49-F238E27FC236}">
                <a16:creationId xmlns:a16="http://schemas.microsoft.com/office/drawing/2014/main" id="{21F641D4-22AE-4E5E-AEAD-0F113B01B14E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82" name="$E$96">
            <a:extLst>
              <a:ext uri="{FF2B5EF4-FFF2-40B4-BE49-F238E27FC236}">
                <a16:creationId xmlns:a16="http://schemas.microsoft.com/office/drawing/2014/main" id="{95C94982-DBCA-478E-83A5-E6C4A68593FA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83" name="$E$96">
            <a:extLst>
              <a:ext uri="{FF2B5EF4-FFF2-40B4-BE49-F238E27FC236}">
                <a16:creationId xmlns:a16="http://schemas.microsoft.com/office/drawing/2014/main" id="{AEC6C988-649B-4DDA-9716-E419FF1FFCBC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84" name="$E$96">
            <a:extLst>
              <a:ext uri="{FF2B5EF4-FFF2-40B4-BE49-F238E27FC236}">
                <a16:creationId xmlns:a16="http://schemas.microsoft.com/office/drawing/2014/main" id="{CFEEE037-B5F9-409F-A92D-670657CDDE56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85" name="$E$96">
            <a:extLst>
              <a:ext uri="{FF2B5EF4-FFF2-40B4-BE49-F238E27FC236}">
                <a16:creationId xmlns:a16="http://schemas.microsoft.com/office/drawing/2014/main" id="{93EDF788-2DEA-4476-B3FA-5439A133DE21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86" name="$E$96">
            <a:extLst>
              <a:ext uri="{FF2B5EF4-FFF2-40B4-BE49-F238E27FC236}">
                <a16:creationId xmlns:a16="http://schemas.microsoft.com/office/drawing/2014/main" id="{EE135420-2D9E-4C4F-BE3E-352C8D144418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87" name="$E$96">
            <a:extLst>
              <a:ext uri="{FF2B5EF4-FFF2-40B4-BE49-F238E27FC236}">
                <a16:creationId xmlns:a16="http://schemas.microsoft.com/office/drawing/2014/main" id="{6585780A-FB02-48DA-9720-37EDD060C2F5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88" name="$E$96">
            <a:extLst>
              <a:ext uri="{FF2B5EF4-FFF2-40B4-BE49-F238E27FC236}">
                <a16:creationId xmlns:a16="http://schemas.microsoft.com/office/drawing/2014/main" id="{ED6A3B9D-44CB-42CF-A189-BF831BE5E0FE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89" name="$E$96">
            <a:extLst>
              <a:ext uri="{FF2B5EF4-FFF2-40B4-BE49-F238E27FC236}">
                <a16:creationId xmlns:a16="http://schemas.microsoft.com/office/drawing/2014/main" id="{37EEBD0A-536B-4F28-9346-8AA7BAB49973}"/>
              </a:ext>
            </a:extLst>
          </xdr:cNvPr>
          <xdr:cNvSpPr/>
        </xdr:nvSpPr>
        <xdr:spPr>
          <a:xfrm>
            <a:off x="431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90" name="$E$96">
            <a:extLst>
              <a:ext uri="{FF2B5EF4-FFF2-40B4-BE49-F238E27FC236}">
                <a16:creationId xmlns:a16="http://schemas.microsoft.com/office/drawing/2014/main" id="{5DEA7CFF-3207-4330-90C0-023469990A1F}"/>
              </a:ext>
            </a:extLst>
          </xdr:cNvPr>
          <xdr:cNvSpPr/>
        </xdr:nvSpPr>
        <xdr:spPr>
          <a:xfrm>
            <a:off x="444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91" name="$E$96">
            <a:extLst>
              <a:ext uri="{FF2B5EF4-FFF2-40B4-BE49-F238E27FC236}">
                <a16:creationId xmlns:a16="http://schemas.microsoft.com/office/drawing/2014/main" id="{E67A9478-9B4B-4A78-8D3D-E91C71C2D8BF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92" name="$E$96">
            <a:extLst>
              <a:ext uri="{FF2B5EF4-FFF2-40B4-BE49-F238E27FC236}">
                <a16:creationId xmlns:a16="http://schemas.microsoft.com/office/drawing/2014/main" id="{FDA31C76-FA98-489A-8C2B-0C363DF3369F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93" name="$E$96">
            <a:extLst>
              <a:ext uri="{FF2B5EF4-FFF2-40B4-BE49-F238E27FC236}">
                <a16:creationId xmlns:a16="http://schemas.microsoft.com/office/drawing/2014/main" id="{AF7B1AAC-FC34-461E-8807-FD67177380F4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94" name="$E$96">
            <a:extLst>
              <a:ext uri="{FF2B5EF4-FFF2-40B4-BE49-F238E27FC236}">
                <a16:creationId xmlns:a16="http://schemas.microsoft.com/office/drawing/2014/main" id="{0BAD98CB-1EC8-4CB0-B1B1-50C7991D076B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95" name="$E$96">
            <a:extLst>
              <a:ext uri="{FF2B5EF4-FFF2-40B4-BE49-F238E27FC236}">
                <a16:creationId xmlns:a16="http://schemas.microsoft.com/office/drawing/2014/main" id="{B0A1D850-24E3-4BCE-A195-6AF5D54B5676}"/>
              </a:ext>
            </a:extLst>
          </xdr:cNvPr>
          <xdr:cNvSpPr/>
        </xdr:nvSpPr>
        <xdr:spPr>
          <a:xfrm>
            <a:off x="88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96" name="$E$96">
            <a:extLst>
              <a:ext uri="{FF2B5EF4-FFF2-40B4-BE49-F238E27FC236}">
                <a16:creationId xmlns:a16="http://schemas.microsoft.com/office/drawing/2014/main" id="{AB468B8C-B7C5-4760-9755-B3EF18CABF62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97" name="$E$96">
            <a:extLst>
              <a:ext uri="{FF2B5EF4-FFF2-40B4-BE49-F238E27FC236}">
                <a16:creationId xmlns:a16="http://schemas.microsoft.com/office/drawing/2014/main" id="{944ADFE0-8879-4F94-81C8-E533060327F8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98" name="$E$96">
            <a:extLst>
              <a:ext uri="{FF2B5EF4-FFF2-40B4-BE49-F238E27FC236}">
                <a16:creationId xmlns:a16="http://schemas.microsoft.com/office/drawing/2014/main" id="{CA28C141-42E6-4529-88D8-80FAEA14BFBB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099" name="$E$96">
            <a:extLst>
              <a:ext uri="{FF2B5EF4-FFF2-40B4-BE49-F238E27FC236}">
                <a16:creationId xmlns:a16="http://schemas.microsoft.com/office/drawing/2014/main" id="{01E29401-F4B2-4886-A0E6-50259B0A84A8}"/>
              </a:ext>
            </a:extLst>
          </xdr:cNvPr>
          <xdr:cNvSpPr/>
        </xdr:nvSpPr>
        <xdr:spPr>
          <a:xfrm>
            <a:off x="165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00" name="$E$96">
            <a:extLst>
              <a:ext uri="{FF2B5EF4-FFF2-40B4-BE49-F238E27FC236}">
                <a16:creationId xmlns:a16="http://schemas.microsoft.com/office/drawing/2014/main" id="{A8ADF838-E98B-4DF0-9DF6-7DC707A7054B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01" name="$E$96">
            <a:extLst>
              <a:ext uri="{FF2B5EF4-FFF2-40B4-BE49-F238E27FC236}">
                <a16:creationId xmlns:a16="http://schemas.microsoft.com/office/drawing/2014/main" id="{B6EA7FBE-7A7F-42CE-B272-4C42431FCA5C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02" name="$E$96">
            <a:extLst>
              <a:ext uri="{FF2B5EF4-FFF2-40B4-BE49-F238E27FC236}">
                <a16:creationId xmlns:a16="http://schemas.microsoft.com/office/drawing/2014/main" id="{395DAB06-995E-4E46-8F35-D8CA74815559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03" name="$E$96">
            <a:extLst>
              <a:ext uri="{FF2B5EF4-FFF2-40B4-BE49-F238E27FC236}">
                <a16:creationId xmlns:a16="http://schemas.microsoft.com/office/drawing/2014/main" id="{0E7332FE-A476-4E7A-80CE-A12866FC813C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04" name="$E$96">
            <a:extLst>
              <a:ext uri="{FF2B5EF4-FFF2-40B4-BE49-F238E27FC236}">
                <a16:creationId xmlns:a16="http://schemas.microsoft.com/office/drawing/2014/main" id="{EDA9A802-929A-4E06-9B17-88691ED7D48E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05" name="$E$96">
            <a:extLst>
              <a:ext uri="{FF2B5EF4-FFF2-40B4-BE49-F238E27FC236}">
                <a16:creationId xmlns:a16="http://schemas.microsoft.com/office/drawing/2014/main" id="{FBE21008-4A28-4CAD-959E-6F995DC78189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06" name="$E$96">
            <a:extLst>
              <a:ext uri="{FF2B5EF4-FFF2-40B4-BE49-F238E27FC236}">
                <a16:creationId xmlns:a16="http://schemas.microsoft.com/office/drawing/2014/main" id="{1AFBADB4-BAA2-47D1-924D-0EA4DE2950D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07" name="$E$96">
            <a:extLst>
              <a:ext uri="{FF2B5EF4-FFF2-40B4-BE49-F238E27FC236}">
                <a16:creationId xmlns:a16="http://schemas.microsoft.com/office/drawing/2014/main" id="{61D8F708-3681-437D-99DA-D39BB96FB18C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08" name="$E$96">
            <a:extLst>
              <a:ext uri="{FF2B5EF4-FFF2-40B4-BE49-F238E27FC236}">
                <a16:creationId xmlns:a16="http://schemas.microsoft.com/office/drawing/2014/main" id="{3F22E698-C229-4E79-9276-00343B93B8D7}"/>
              </a:ext>
            </a:extLst>
          </xdr:cNvPr>
          <xdr:cNvSpPr/>
        </xdr:nvSpPr>
        <xdr:spPr>
          <a:xfrm>
            <a:off x="381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09" name="$E$96">
            <a:extLst>
              <a:ext uri="{FF2B5EF4-FFF2-40B4-BE49-F238E27FC236}">
                <a16:creationId xmlns:a16="http://schemas.microsoft.com/office/drawing/2014/main" id="{407431FA-B156-4E9C-93BF-3843E71E399D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10" name="$E$96">
            <a:extLst>
              <a:ext uri="{FF2B5EF4-FFF2-40B4-BE49-F238E27FC236}">
                <a16:creationId xmlns:a16="http://schemas.microsoft.com/office/drawing/2014/main" id="{C79E69C1-124E-4B30-81BD-36DD414DEA55}"/>
              </a:ext>
            </a:extLst>
          </xdr:cNvPr>
          <xdr:cNvSpPr/>
        </xdr:nvSpPr>
        <xdr:spPr>
          <a:xfrm>
            <a:off x="431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11" name="$E$96">
            <a:extLst>
              <a:ext uri="{FF2B5EF4-FFF2-40B4-BE49-F238E27FC236}">
                <a16:creationId xmlns:a16="http://schemas.microsoft.com/office/drawing/2014/main" id="{9DD966B9-F325-4CAE-8767-FFC24A4A18FD}"/>
              </a:ext>
            </a:extLst>
          </xdr:cNvPr>
          <xdr:cNvSpPr/>
        </xdr:nvSpPr>
        <xdr:spPr>
          <a:xfrm>
            <a:off x="444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12" name="$E$96">
            <a:extLst>
              <a:ext uri="{FF2B5EF4-FFF2-40B4-BE49-F238E27FC236}">
                <a16:creationId xmlns:a16="http://schemas.microsoft.com/office/drawing/2014/main" id="{33F95F6C-E272-4FDA-85B8-3DC50BA77162}"/>
              </a:ext>
            </a:extLst>
          </xdr:cNvPr>
          <xdr:cNvSpPr/>
        </xdr:nvSpPr>
        <xdr:spPr>
          <a:xfrm>
            <a:off x="457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13" name="$E$96">
            <a:extLst>
              <a:ext uri="{FF2B5EF4-FFF2-40B4-BE49-F238E27FC236}">
                <a16:creationId xmlns:a16="http://schemas.microsoft.com/office/drawing/2014/main" id="{771C70A7-611F-4E67-941C-1AA2107C49C8}"/>
              </a:ext>
            </a:extLst>
          </xdr:cNvPr>
          <xdr:cNvSpPr/>
        </xdr:nvSpPr>
        <xdr:spPr>
          <a:xfrm>
            <a:off x="12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14" name="$E$96">
            <a:extLst>
              <a:ext uri="{FF2B5EF4-FFF2-40B4-BE49-F238E27FC236}">
                <a16:creationId xmlns:a16="http://schemas.microsoft.com/office/drawing/2014/main" id="{FE5B4A18-D372-490F-828A-F180B76C60FE}"/>
              </a:ext>
            </a:extLst>
          </xdr:cNvPr>
          <xdr:cNvSpPr/>
        </xdr:nvSpPr>
        <xdr:spPr>
          <a:xfrm>
            <a:off x="50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15" name="$E$96">
            <a:extLst>
              <a:ext uri="{FF2B5EF4-FFF2-40B4-BE49-F238E27FC236}">
                <a16:creationId xmlns:a16="http://schemas.microsoft.com/office/drawing/2014/main" id="{582DD297-78A8-4CE0-8259-26C02FF114C3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16" name="$E$96">
            <a:extLst>
              <a:ext uri="{FF2B5EF4-FFF2-40B4-BE49-F238E27FC236}">
                <a16:creationId xmlns:a16="http://schemas.microsoft.com/office/drawing/2014/main" id="{2D2DBA0F-A8B9-4AF1-87C3-C89418ADF7B1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17" name="$E$96">
            <a:extLst>
              <a:ext uri="{FF2B5EF4-FFF2-40B4-BE49-F238E27FC236}">
                <a16:creationId xmlns:a16="http://schemas.microsoft.com/office/drawing/2014/main" id="{92ABE129-9D99-4148-8C57-B3905BBC84EA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18" name="$E$96">
            <a:extLst>
              <a:ext uri="{FF2B5EF4-FFF2-40B4-BE49-F238E27FC236}">
                <a16:creationId xmlns:a16="http://schemas.microsoft.com/office/drawing/2014/main" id="{95C250C9-D9E1-4DF7-8A69-828FD4A97EBE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19" name="$E$96">
            <a:extLst>
              <a:ext uri="{FF2B5EF4-FFF2-40B4-BE49-F238E27FC236}">
                <a16:creationId xmlns:a16="http://schemas.microsoft.com/office/drawing/2014/main" id="{5F7EF5A8-ED58-4E07-B4F8-AD3A09EFB76E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20" name="$E$96">
            <a:extLst>
              <a:ext uri="{FF2B5EF4-FFF2-40B4-BE49-F238E27FC236}">
                <a16:creationId xmlns:a16="http://schemas.microsoft.com/office/drawing/2014/main" id="{C72A9407-C2E3-4CA8-BBEA-6408C02BE20D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21" name="$E$96">
            <a:extLst>
              <a:ext uri="{FF2B5EF4-FFF2-40B4-BE49-F238E27FC236}">
                <a16:creationId xmlns:a16="http://schemas.microsoft.com/office/drawing/2014/main" id="{316145AE-5FD7-481F-B018-7F3230AA6341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22" name="$E$96">
            <a:extLst>
              <a:ext uri="{FF2B5EF4-FFF2-40B4-BE49-F238E27FC236}">
                <a16:creationId xmlns:a16="http://schemas.microsoft.com/office/drawing/2014/main" id="{444E5B9C-F22A-4E04-B1ED-ED96E7E827A4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23" name="$E$96">
            <a:extLst>
              <a:ext uri="{FF2B5EF4-FFF2-40B4-BE49-F238E27FC236}">
                <a16:creationId xmlns:a16="http://schemas.microsoft.com/office/drawing/2014/main" id="{D750B9EF-7B6E-44B7-8FC9-C030C130BEC8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24" name="$E$96">
            <a:extLst>
              <a:ext uri="{FF2B5EF4-FFF2-40B4-BE49-F238E27FC236}">
                <a16:creationId xmlns:a16="http://schemas.microsoft.com/office/drawing/2014/main" id="{D64B66B3-FC2E-4E96-8651-2D95D276C755}"/>
              </a:ext>
            </a:extLst>
          </xdr:cNvPr>
          <xdr:cNvSpPr/>
        </xdr:nvSpPr>
        <xdr:spPr>
          <a:xfrm>
            <a:off x="355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25" name="$E$96">
            <a:extLst>
              <a:ext uri="{FF2B5EF4-FFF2-40B4-BE49-F238E27FC236}">
                <a16:creationId xmlns:a16="http://schemas.microsoft.com/office/drawing/2014/main" id="{976B12AD-C05B-4CE7-9048-2508F7F24466}"/>
              </a:ext>
            </a:extLst>
          </xdr:cNvPr>
          <xdr:cNvSpPr/>
        </xdr:nvSpPr>
        <xdr:spPr>
          <a:xfrm>
            <a:off x="368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26" name="$E$96">
            <a:extLst>
              <a:ext uri="{FF2B5EF4-FFF2-40B4-BE49-F238E27FC236}">
                <a16:creationId xmlns:a16="http://schemas.microsoft.com/office/drawing/2014/main" id="{89CA31B2-E1A6-4807-8E31-90B31E96F3BC}"/>
              </a:ext>
            </a:extLst>
          </xdr:cNvPr>
          <xdr:cNvSpPr/>
        </xdr:nvSpPr>
        <xdr:spPr>
          <a:xfrm>
            <a:off x="393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27" name="$E$96">
            <a:extLst>
              <a:ext uri="{FF2B5EF4-FFF2-40B4-BE49-F238E27FC236}">
                <a16:creationId xmlns:a16="http://schemas.microsoft.com/office/drawing/2014/main" id="{2E1CDC66-7042-402E-9B31-23895486BE25}"/>
              </a:ext>
            </a:extLst>
          </xdr:cNvPr>
          <xdr:cNvSpPr/>
        </xdr:nvSpPr>
        <xdr:spPr>
          <a:xfrm>
            <a:off x="457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28" name="$E$96">
            <a:extLst>
              <a:ext uri="{FF2B5EF4-FFF2-40B4-BE49-F238E27FC236}">
                <a16:creationId xmlns:a16="http://schemas.microsoft.com/office/drawing/2014/main" id="{58AB687B-0F5A-4414-A7BE-46080A45C0E7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29" name="$E$96">
            <a:extLst>
              <a:ext uri="{FF2B5EF4-FFF2-40B4-BE49-F238E27FC236}">
                <a16:creationId xmlns:a16="http://schemas.microsoft.com/office/drawing/2014/main" id="{E9918B85-80B5-4058-90C2-F5180F66A798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30" name="$E$96">
            <a:extLst>
              <a:ext uri="{FF2B5EF4-FFF2-40B4-BE49-F238E27FC236}">
                <a16:creationId xmlns:a16="http://schemas.microsoft.com/office/drawing/2014/main" id="{979C860A-1AB7-4B7E-A4C0-384539C157C7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31" name="$E$96">
            <a:extLst>
              <a:ext uri="{FF2B5EF4-FFF2-40B4-BE49-F238E27FC236}">
                <a16:creationId xmlns:a16="http://schemas.microsoft.com/office/drawing/2014/main" id="{998DC21F-8967-42EC-A7FC-DAC8DB6B2EFE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32" name="$E$96">
            <a:extLst>
              <a:ext uri="{FF2B5EF4-FFF2-40B4-BE49-F238E27FC236}">
                <a16:creationId xmlns:a16="http://schemas.microsoft.com/office/drawing/2014/main" id="{D43BCF83-1324-4A02-854A-3CC543EE87BB}"/>
              </a:ext>
            </a:extLst>
          </xdr:cNvPr>
          <xdr:cNvSpPr/>
        </xdr:nvSpPr>
        <xdr:spPr>
          <a:xfrm>
            <a:off x="101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33" name="$E$96">
            <a:extLst>
              <a:ext uri="{FF2B5EF4-FFF2-40B4-BE49-F238E27FC236}">
                <a16:creationId xmlns:a16="http://schemas.microsoft.com/office/drawing/2014/main" id="{25F86B88-EC2D-4763-A7CE-FB261CBF6FD0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34" name="$E$96">
            <a:extLst>
              <a:ext uri="{FF2B5EF4-FFF2-40B4-BE49-F238E27FC236}">
                <a16:creationId xmlns:a16="http://schemas.microsoft.com/office/drawing/2014/main" id="{4B1FA80A-2126-4952-8B65-FB3FF5CC67AA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35" name="$E$96">
            <a:extLst>
              <a:ext uri="{FF2B5EF4-FFF2-40B4-BE49-F238E27FC236}">
                <a16:creationId xmlns:a16="http://schemas.microsoft.com/office/drawing/2014/main" id="{1C5909DE-91BC-48F7-8CEC-B0CA12BFE3D4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36" name="$E$96">
            <a:extLst>
              <a:ext uri="{FF2B5EF4-FFF2-40B4-BE49-F238E27FC236}">
                <a16:creationId xmlns:a16="http://schemas.microsoft.com/office/drawing/2014/main" id="{7C320CC1-6BFB-4B45-BC64-F1E876040BC9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37" name="$E$96">
            <a:extLst>
              <a:ext uri="{FF2B5EF4-FFF2-40B4-BE49-F238E27FC236}">
                <a16:creationId xmlns:a16="http://schemas.microsoft.com/office/drawing/2014/main" id="{266D0482-4F3E-41E1-B62B-C41D814DC25D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38" name="$E$96">
            <a:extLst>
              <a:ext uri="{FF2B5EF4-FFF2-40B4-BE49-F238E27FC236}">
                <a16:creationId xmlns:a16="http://schemas.microsoft.com/office/drawing/2014/main" id="{E37B831A-6F16-4183-B6BE-CD1E60E43544}"/>
              </a:ext>
            </a:extLst>
          </xdr:cNvPr>
          <xdr:cNvSpPr/>
        </xdr:nvSpPr>
        <xdr:spPr>
          <a:xfrm>
            <a:off x="330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39" name="$E$96">
            <a:extLst>
              <a:ext uri="{FF2B5EF4-FFF2-40B4-BE49-F238E27FC236}">
                <a16:creationId xmlns:a16="http://schemas.microsoft.com/office/drawing/2014/main" id="{59899A6B-B38B-41AD-8A39-0133321C25AA}"/>
              </a:ext>
            </a:extLst>
          </xdr:cNvPr>
          <xdr:cNvSpPr/>
        </xdr:nvSpPr>
        <xdr:spPr>
          <a:xfrm>
            <a:off x="368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40" name="$E$96">
            <a:extLst>
              <a:ext uri="{FF2B5EF4-FFF2-40B4-BE49-F238E27FC236}">
                <a16:creationId xmlns:a16="http://schemas.microsoft.com/office/drawing/2014/main" id="{429FF037-1D6B-4188-A979-B8B5D95C37E7}"/>
              </a:ext>
            </a:extLst>
          </xdr:cNvPr>
          <xdr:cNvSpPr/>
        </xdr:nvSpPr>
        <xdr:spPr>
          <a:xfrm>
            <a:off x="381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41" name="$E$96">
            <a:extLst>
              <a:ext uri="{FF2B5EF4-FFF2-40B4-BE49-F238E27FC236}">
                <a16:creationId xmlns:a16="http://schemas.microsoft.com/office/drawing/2014/main" id="{373353BD-3C61-4F61-B5E0-7678A7F172B5}"/>
              </a:ext>
            </a:extLst>
          </xdr:cNvPr>
          <xdr:cNvSpPr/>
        </xdr:nvSpPr>
        <xdr:spPr>
          <a:xfrm>
            <a:off x="406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42" name="$E$96">
            <a:extLst>
              <a:ext uri="{FF2B5EF4-FFF2-40B4-BE49-F238E27FC236}">
                <a16:creationId xmlns:a16="http://schemas.microsoft.com/office/drawing/2014/main" id="{5CCEC3FC-D92E-4835-954E-86403E84CC1C}"/>
              </a:ext>
            </a:extLst>
          </xdr:cNvPr>
          <xdr:cNvSpPr/>
        </xdr:nvSpPr>
        <xdr:spPr>
          <a:xfrm>
            <a:off x="419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43" name="$E$96">
            <a:extLst>
              <a:ext uri="{FF2B5EF4-FFF2-40B4-BE49-F238E27FC236}">
                <a16:creationId xmlns:a16="http://schemas.microsoft.com/office/drawing/2014/main" id="{2BB01E4D-F59D-4C63-AC23-56D07020A9BD}"/>
              </a:ext>
            </a:extLst>
          </xdr:cNvPr>
          <xdr:cNvSpPr/>
        </xdr:nvSpPr>
        <xdr:spPr>
          <a:xfrm>
            <a:off x="431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44" name="$E$96">
            <a:extLst>
              <a:ext uri="{FF2B5EF4-FFF2-40B4-BE49-F238E27FC236}">
                <a16:creationId xmlns:a16="http://schemas.microsoft.com/office/drawing/2014/main" id="{6E73C0AC-0853-46CC-8857-42E9CAC3BF98}"/>
              </a:ext>
            </a:extLst>
          </xdr:cNvPr>
          <xdr:cNvSpPr/>
        </xdr:nvSpPr>
        <xdr:spPr>
          <a:xfrm>
            <a:off x="444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45" name="$E$96">
            <a:extLst>
              <a:ext uri="{FF2B5EF4-FFF2-40B4-BE49-F238E27FC236}">
                <a16:creationId xmlns:a16="http://schemas.microsoft.com/office/drawing/2014/main" id="{8024B191-64DF-449F-A05A-150AED3E932E}"/>
              </a:ext>
            </a:extLst>
          </xdr:cNvPr>
          <xdr:cNvSpPr/>
        </xdr:nvSpPr>
        <xdr:spPr>
          <a:xfrm>
            <a:off x="457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46" name="$E$96">
            <a:extLst>
              <a:ext uri="{FF2B5EF4-FFF2-40B4-BE49-F238E27FC236}">
                <a16:creationId xmlns:a16="http://schemas.microsoft.com/office/drawing/2014/main" id="{83519494-E0E8-41C6-B3C7-939D327AC80B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47" name="$E$96">
            <a:extLst>
              <a:ext uri="{FF2B5EF4-FFF2-40B4-BE49-F238E27FC236}">
                <a16:creationId xmlns:a16="http://schemas.microsoft.com/office/drawing/2014/main" id="{AF10E3FE-6D42-4BDA-AFCF-059C571168FB}"/>
              </a:ext>
            </a:extLst>
          </xdr:cNvPr>
          <xdr:cNvSpPr/>
        </xdr:nvSpPr>
        <xdr:spPr>
          <a:xfrm>
            <a:off x="12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48" name="$E$96">
            <a:extLst>
              <a:ext uri="{FF2B5EF4-FFF2-40B4-BE49-F238E27FC236}">
                <a16:creationId xmlns:a16="http://schemas.microsoft.com/office/drawing/2014/main" id="{E8EA9D3D-E367-4D20-B96B-B993A4203DE0}"/>
              </a:ext>
            </a:extLst>
          </xdr:cNvPr>
          <xdr:cNvSpPr/>
        </xdr:nvSpPr>
        <xdr:spPr>
          <a:xfrm>
            <a:off x="38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49" name="$E$96">
            <a:extLst>
              <a:ext uri="{FF2B5EF4-FFF2-40B4-BE49-F238E27FC236}">
                <a16:creationId xmlns:a16="http://schemas.microsoft.com/office/drawing/2014/main" id="{61ADD3B8-A165-438B-9710-026B4B279141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50" name="$E$96">
            <a:extLst>
              <a:ext uri="{FF2B5EF4-FFF2-40B4-BE49-F238E27FC236}">
                <a16:creationId xmlns:a16="http://schemas.microsoft.com/office/drawing/2014/main" id="{0FB94E54-84FE-4E59-AEE6-2183709E2F1A}"/>
              </a:ext>
            </a:extLst>
          </xdr:cNvPr>
          <xdr:cNvSpPr/>
        </xdr:nvSpPr>
        <xdr:spPr>
          <a:xfrm>
            <a:off x="63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51" name="$E$96">
            <a:extLst>
              <a:ext uri="{FF2B5EF4-FFF2-40B4-BE49-F238E27FC236}">
                <a16:creationId xmlns:a16="http://schemas.microsoft.com/office/drawing/2014/main" id="{CF4AB06C-3F88-499B-A097-2C4D84357CA1}"/>
              </a:ext>
            </a:extLst>
          </xdr:cNvPr>
          <xdr:cNvSpPr/>
        </xdr:nvSpPr>
        <xdr:spPr>
          <a:xfrm>
            <a:off x="88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52" name="$E$96">
            <a:extLst>
              <a:ext uri="{FF2B5EF4-FFF2-40B4-BE49-F238E27FC236}">
                <a16:creationId xmlns:a16="http://schemas.microsoft.com/office/drawing/2014/main" id="{4A183260-D664-4F1D-B12B-3F8D6F34317E}"/>
              </a:ext>
            </a:extLst>
          </xdr:cNvPr>
          <xdr:cNvSpPr/>
        </xdr:nvSpPr>
        <xdr:spPr>
          <a:xfrm>
            <a:off x="152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53" name="$E$96">
            <a:extLst>
              <a:ext uri="{FF2B5EF4-FFF2-40B4-BE49-F238E27FC236}">
                <a16:creationId xmlns:a16="http://schemas.microsoft.com/office/drawing/2014/main" id="{FC4CA57A-8363-4537-9B1F-8C35DAB3D913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54" name="$E$96">
            <a:extLst>
              <a:ext uri="{FF2B5EF4-FFF2-40B4-BE49-F238E27FC236}">
                <a16:creationId xmlns:a16="http://schemas.microsoft.com/office/drawing/2014/main" id="{7F9E4F7A-B2F7-4EB1-B5F6-C26290862BD4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55" name="$E$96">
            <a:extLst>
              <a:ext uri="{FF2B5EF4-FFF2-40B4-BE49-F238E27FC236}">
                <a16:creationId xmlns:a16="http://schemas.microsoft.com/office/drawing/2014/main" id="{A12C75B5-9616-4C27-B161-A4969EFF471E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56" name="$E$96">
            <a:extLst>
              <a:ext uri="{FF2B5EF4-FFF2-40B4-BE49-F238E27FC236}">
                <a16:creationId xmlns:a16="http://schemas.microsoft.com/office/drawing/2014/main" id="{448A0195-D184-44FB-B3B4-81D992F63202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57" name="$E$96">
            <a:extLst>
              <a:ext uri="{FF2B5EF4-FFF2-40B4-BE49-F238E27FC236}">
                <a16:creationId xmlns:a16="http://schemas.microsoft.com/office/drawing/2014/main" id="{ED766807-783D-4CFC-92E3-C5D23AE07F46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58" name="$E$96">
            <a:extLst>
              <a:ext uri="{FF2B5EF4-FFF2-40B4-BE49-F238E27FC236}">
                <a16:creationId xmlns:a16="http://schemas.microsoft.com/office/drawing/2014/main" id="{DEA3D54C-362E-4832-8326-E8C270DDA351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59" name="$E$96">
            <a:extLst>
              <a:ext uri="{FF2B5EF4-FFF2-40B4-BE49-F238E27FC236}">
                <a16:creationId xmlns:a16="http://schemas.microsoft.com/office/drawing/2014/main" id="{9DC08617-FEFF-4E7D-82C5-6D9CE37DF96E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60" name="$E$96">
            <a:extLst>
              <a:ext uri="{FF2B5EF4-FFF2-40B4-BE49-F238E27FC236}">
                <a16:creationId xmlns:a16="http://schemas.microsoft.com/office/drawing/2014/main" id="{623B3EBB-F96D-4457-AC44-56AE1671C717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61" name="$E$96">
            <a:extLst>
              <a:ext uri="{FF2B5EF4-FFF2-40B4-BE49-F238E27FC236}">
                <a16:creationId xmlns:a16="http://schemas.microsoft.com/office/drawing/2014/main" id="{031C257F-A9C3-40BA-BB31-E527C1FEF588}"/>
              </a:ext>
            </a:extLst>
          </xdr:cNvPr>
          <xdr:cNvSpPr/>
        </xdr:nvSpPr>
        <xdr:spPr>
          <a:xfrm>
            <a:off x="419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62" name="$E$96">
            <a:extLst>
              <a:ext uri="{FF2B5EF4-FFF2-40B4-BE49-F238E27FC236}">
                <a16:creationId xmlns:a16="http://schemas.microsoft.com/office/drawing/2014/main" id="{D6FDFDF2-6217-4148-8EA6-63C1E784EFFE}"/>
              </a:ext>
            </a:extLst>
          </xdr:cNvPr>
          <xdr:cNvSpPr/>
        </xdr:nvSpPr>
        <xdr:spPr>
          <a:xfrm>
            <a:off x="444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63" name="$E$96">
            <a:extLst>
              <a:ext uri="{FF2B5EF4-FFF2-40B4-BE49-F238E27FC236}">
                <a16:creationId xmlns:a16="http://schemas.microsoft.com/office/drawing/2014/main" id="{7A7C64CE-503F-4F4C-BF2D-9282CBF4B046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64" name="$E$96">
            <a:extLst>
              <a:ext uri="{FF2B5EF4-FFF2-40B4-BE49-F238E27FC236}">
                <a16:creationId xmlns:a16="http://schemas.microsoft.com/office/drawing/2014/main" id="{1B73CD21-CDAE-4569-9C67-6D28DC638E1E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65" name="$E$96">
            <a:extLst>
              <a:ext uri="{FF2B5EF4-FFF2-40B4-BE49-F238E27FC236}">
                <a16:creationId xmlns:a16="http://schemas.microsoft.com/office/drawing/2014/main" id="{3ED32C6E-04C5-4DC9-A3BD-3FA43B231AB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66" name="$E$96">
            <a:extLst>
              <a:ext uri="{FF2B5EF4-FFF2-40B4-BE49-F238E27FC236}">
                <a16:creationId xmlns:a16="http://schemas.microsoft.com/office/drawing/2014/main" id="{8A5DA44C-777A-4A02-B296-2391748F1AB8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67" name="$E$96">
            <a:extLst>
              <a:ext uri="{FF2B5EF4-FFF2-40B4-BE49-F238E27FC236}">
                <a16:creationId xmlns:a16="http://schemas.microsoft.com/office/drawing/2014/main" id="{655A5D87-DEA8-45F3-99B0-B6EB172B41B3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68" name="$E$96">
            <a:extLst>
              <a:ext uri="{FF2B5EF4-FFF2-40B4-BE49-F238E27FC236}">
                <a16:creationId xmlns:a16="http://schemas.microsoft.com/office/drawing/2014/main" id="{D14FA425-19CE-4051-A5B2-B1676035D44F}"/>
              </a:ext>
            </a:extLst>
          </xdr:cNvPr>
          <xdr:cNvSpPr/>
        </xdr:nvSpPr>
        <xdr:spPr>
          <a:xfrm>
            <a:off x="88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69" name="$E$96">
            <a:extLst>
              <a:ext uri="{FF2B5EF4-FFF2-40B4-BE49-F238E27FC236}">
                <a16:creationId xmlns:a16="http://schemas.microsoft.com/office/drawing/2014/main" id="{E878D74C-BE9A-4936-950E-93A36DE7A34D}"/>
              </a:ext>
            </a:extLst>
          </xdr:cNvPr>
          <xdr:cNvSpPr/>
        </xdr:nvSpPr>
        <xdr:spPr>
          <a:xfrm>
            <a:off x="101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70" name="$E$96">
            <a:extLst>
              <a:ext uri="{FF2B5EF4-FFF2-40B4-BE49-F238E27FC236}">
                <a16:creationId xmlns:a16="http://schemas.microsoft.com/office/drawing/2014/main" id="{5B0FE644-97A6-425B-9BBE-52AC25801FB1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71" name="$E$96">
            <a:extLst>
              <a:ext uri="{FF2B5EF4-FFF2-40B4-BE49-F238E27FC236}">
                <a16:creationId xmlns:a16="http://schemas.microsoft.com/office/drawing/2014/main" id="{D8B4E9DE-7166-46BA-ADBA-F67C3C14BDAE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72" name="$E$96">
            <a:extLst>
              <a:ext uri="{FF2B5EF4-FFF2-40B4-BE49-F238E27FC236}">
                <a16:creationId xmlns:a16="http://schemas.microsoft.com/office/drawing/2014/main" id="{430B84C6-9B0F-488A-8848-0EEED7FF167A}"/>
              </a:ext>
            </a:extLst>
          </xdr:cNvPr>
          <xdr:cNvSpPr/>
        </xdr:nvSpPr>
        <xdr:spPr>
          <a:xfrm>
            <a:off x="177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73" name="$E$96">
            <a:extLst>
              <a:ext uri="{FF2B5EF4-FFF2-40B4-BE49-F238E27FC236}">
                <a16:creationId xmlns:a16="http://schemas.microsoft.com/office/drawing/2014/main" id="{CC2594BE-1E28-435A-85F7-E4AEB2264D11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74" name="$E$96">
            <a:extLst>
              <a:ext uri="{FF2B5EF4-FFF2-40B4-BE49-F238E27FC236}">
                <a16:creationId xmlns:a16="http://schemas.microsoft.com/office/drawing/2014/main" id="{80016F15-5992-4857-8A2F-4D889A5C36F2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75" name="$E$96">
            <a:extLst>
              <a:ext uri="{FF2B5EF4-FFF2-40B4-BE49-F238E27FC236}">
                <a16:creationId xmlns:a16="http://schemas.microsoft.com/office/drawing/2014/main" id="{858D0C9D-611E-4FDA-BB4C-B4B4FED6E0F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76" name="$E$96">
            <a:extLst>
              <a:ext uri="{FF2B5EF4-FFF2-40B4-BE49-F238E27FC236}">
                <a16:creationId xmlns:a16="http://schemas.microsoft.com/office/drawing/2014/main" id="{89D72D6E-FD8A-4825-B062-439F93D94F7A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77" name="$E$96">
            <a:extLst>
              <a:ext uri="{FF2B5EF4-FFF2-40B4-BE49-F238E27FC236}">
                <a16:creationId xmlns:a16="http://schemas.microsoft.com/office/drawing/2014/main" id="{75B9BCF3-812A-4D44-8D0E-FB9A3E2ADCB6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78" name="$E$96">
            <a:extLst>
              <a:ext uri="{FF2B5EF4-FFF2-40B4-BE49-F238E27FC236}">
                <a16:creationId xmlns:a16="http://schemas.microsoft.com/office/drawing/2014/main" id="{76E983A0-7BB0-44CE-8FC4-E68FBA994184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79" name="$E$96">
            <a:extLst>
              <a:ext uri="{FF2B5EF4-FFF2-40B4-BE49-F238E27FC236}">
                <a16:creationId xmlns:a16="http://schemas.microsoft.com/office/drawing/2014/main" id="{E8CF5312-487A-4328-A730-5AED99892492}"/>
              </a:ext>
            </a:extLst>
          </xdr:cNvPr>
          <xdr:cNvSpPr/>
        </xdr:nvSpPr>
        <xdr:spPr>
          <a:xfrm>
            <a:off x="330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80" name="$E$96">
            <a:extLst>
              <a:ext uri="{FF2B5EF4-FFF2-40B4-BE49-F238E27FC236}">
                <a16:creationId xmlns:a16="http://schemas.microsoft.com/office/drawing/2014/main" id="{E27CD4A7-A4D9-4CDE-A8E7-CA64D71473B7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81" name="$E$96">
            <a:extLst>
              <a:ext uri="{FF2B5EF4-FFF2-40B4-BE49-F238E27FC236}">
                <a16:creationId xmlns:a16="http://schemas.microsoft.com/office/drawing/2014/main" id="{1CCF1BD4-E766-40CB-9A08-04845FEF7E09}"/>
              </a:ext>
            </a:extLst>
          </xdr:cNvPr>
          <xdr:cNvSpPr/>
        </xdr:nvSpPr>
        <xdr:spPr>
          <a:xfrm>
            <a:off x="355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82" name="$E$96">
            <a:extLst>
              <a:ext uri="{FF2B5EF4-FFF2-40B4-BE49-F238E27FC236}">
                <a16:creationId xmlns:a16="http://schemas.microsoft.com/office/drawing/2014/main" id="{32D8404E-090A-4ECB-BE4D-74A23298D546}"/>
              </a:ext>
            </a:extLst>
          </xdr:cNvPr>
          <xdr:cNvSpPr/>
        </xdr:nvSpPr>
        <xdr:spPr>
          <a:xfrm>
            <a:off x="431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83" name="$E$96">
            <a:extLst>
              <a:ext uri="{FF2B5EF4-FFF2-40B4-BE49-F238E27FC236}">
                <a16:creationId xmlns:a16="http://schemas.microsoft.com/office/drawing/2014/main" id="{F8010BA6-83EC-42E4-BE59-912DA8AF61FE}"/>
              </a:ext>
            </a:extLst>
          </xdr:cNvPr>
          <xdr:cNvSpPr/>
        </xdr:nvSpPr>
        <xdr:spPr>
          <a:xfrm>
            <a:off x="444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84" name="$E$96">
            <a:extLst>
              <a:ext uri="{FF2B5EF4-FFF2-40B4-BE49-F238E27FC236}">
                <a16:creationId xmlns:a16="http://schemas.microsoft.com/office/drawing/2014/main" id="{5C4DA097-FB9A-4121-8B9D-9560BB277712}"/>
              </a:ext>
            </a:extLst>
          </xdr:cNvPr>
          <xdr:cNvSpPr/>
        </xdr:nvSpPr>
        <xdr:spPr>
          <a:xfrm>
            <a:off x="457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85" name="$E$96">
            <a:extLst>
              <a:ext uri="{FF2B5EF4-FFF2-40B4-BE49-F238E27FC236}">
                <a16:creationId xmlns:a16="http://schemas.microsoft.com/office/drawing/2014/main" id="{F5513A9C-F3CD-447F-8019-33F68F355358}"/>
              </a:ext>
            </a:extLst>
          </xdr:cNvPr>
          <xdr:cNvSpPr/>
        </xdr:nvSpPr>
        <xdr:spPr>
          <a:xfrm>
            <a:off x="25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86" name="$E$96">
            <a:extLst>
              <a:ext uri="{FF2B5EF4-FFF2-40B4-BE49-F238E27FC236}">
                <a16:creationId xmlns:a16="http://schemas.microsoft.com/office/drawing/2014/main" id="{D24C00E4-2BDE-4A40-835B-4F8F50F449F0}"/>
              </a:ext>
            </a:extLst>
          </xdr:cNvPr>
          <xdr:cNvSpPr/>
        </xdr:nvSpPr>
        <xdr:spPr>
          <a:xfrm>
            <a:off x="63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87" name="$E$96">
            <a:extLst>
              <a:ext uri="{FF2B5EF4-FFF2-40B4-BE49-F238E27FC236}">
                <a16:creationId xmlns:a16="http://schemas.microsoft.com/office/drawing/2014/main" id="{67D3D038-B9A3-4503-AB0F-09EF2EEC35A1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88" name="$E$96">
            <a:extLst>
              <a:ext uri="{FF2B5EF4-FFF2-40B4-BE49-F238E27FC236}">
                <a16:creationId xmlns:a16="http://schemas.microsoft.com/office/drawing/2014/main" id="{16196C47-BE1A-4342-B078-048D1E4854BD}"/>
              </a:ext>
            </a:extLst>
          </xdr:cNvPr>
          <xdr:cNvSpPr/>
        </xdr:nvSpPr>
        <xdr:spPr>
          <a:xfrm>
            <a:off x="114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89" name="$E$96">
            <a:extLst>
              <a:ext uri="{FF2B5EF4-FFF2-40B4-BE49-F238E27FC236}">
                <a16:creationId xmlns:a16="http://schemas.microsoft.com/office/drawing/2014/main" id="{6D1603CE-AF58-49B7-95F3-09AA769D2C3E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90" name="$E$96">
            <a:extLst>
              <a:ext uri="{FF2B5EF4-FFF2-40B4-BE49-F238E27FC236}">
                <a16:creationId xmlns:a16="http://schemas.microsoft.com/office/drawing/2014/main" id="{4A15FC40-5999-48C5-B9E1-0A9497932744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91" name="$E$96">
            <a:extLst>
              <a:ext uri="{FF2B5EF4-FFF2-40B4-BE49-F238E27FC236}">
                <a16:creationId xmlns:a16="http://schemas.microsoft.com/office/drawing/2014/main" id="{41265595-342C-4E94-9CA2-F4A04FDFF1EB}"/>
              </a:ext>
            </a:extLst>
          </xdr:cNvPr>
          <xdr:cNvSpPr/>
        </xdr:nvSpPr>
        <xdr:spPr>
          <a:xfrm>
            <a:off x="241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92" name="$E$96">
            <a:extLst>
              <a:ext uri="{FF2B5EF4-FFF2-40B4-BE49-F238E27FC236}">
                <a16:creationId xmlns:a16="http://schemas.microsoft.com/office/drawing/2014/main" id="{969137AB-910D-41F4-B747-6220634923C4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93" name="$E$96">
            <a:extLst>
              <a:ext uri="{FF2B5EF4-FFF2-40B4-BE49-F238E27FC236}">
                <a16:creationId xmlns:a16="http://schemas.microsoft.com/office/drawing/2014/main" id="{EC7467BE-D511-4F97-AEE8-A4732A68CBD5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94" name="$E$96">
            <a:extLst>
              <a:ext uri="{FF2B5EF4-FFF2-40B4-BE49-F238E27FC236}">
                <a16:creationId xmlns:a16="http://schemas.microsoft.com/office/drawing/2014/main" id="{E804C808-94FE-4657-9896-06C4831C9AD2}"/>
              </a:ext>
            </a:extLst>
          </xdr:cNvPr>
          <xdr:cNvSpPr/>
        </xdr:nvSpPr>
        <xdr:spPr>
          <a:xfrm>
            <a:off x="330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95" name="$E$96">
            <a:extLst>
              <a:ext uri="{FF2B5EF4-FFF2-40B4-BE49-F238E27FC236}">
                <a16:creationId xmlns:a16="http://schemas.microsoft.com/office/drawing/2014/main" id="{81BF39A2-BFEE-4C75-9EFD-973DEC8036D4}"/>
              </a:ext>
            </a:extLst>
          </xdr:cNvPr>
          <xdr:cNvSpPr/>
        </xdr:nvSpPr>
        <xdr:spPr>
          <a:xfrm>
            <a:off x="355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96" name="$E$96">
            <a:extLst>
              <a:ext uri="{FF2B5EF4-FFF2-40B4-BE49-F238E27FC236}">
                <a16:creationId xmlns:a16="http://schemas.microsoft.com/office/drawing/2014/main" id="{A5028379-BB8C-49E1-A1C9-71E84057CF78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97" name="$E$96">
            <a:extLst>
              <a:ext uri="{FF2B5EF4-FFF2-40B4-BE49-F238E27FC236}">
                <a16:creationId xmlns:a16="http://schemas.microsoft.com/office/drawing/2014/main" id="{30B2A213-DE51-4FE3-A4FB-3BF40D33E4F7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98" name="$E$96">
            <a:extLst>
              <a:ext uri="{FF2B5EF4-FFF2-40B4-BE49-F238E27FC236}">
                <a16:creationId xmlns:a16="http://schemas.microsoft.com/office/drawing/2014/main" id="{8C5A25F9-79E5-4B34-A0FD-510C81B84B79}"/>
              </a:ext>
            </a:extLst>
          </xdr:cNvPr>
          <xdr:cNvSpPr/>
        </xdr:nvSpPr>
        <xdr:spPr>
          <a:xfrm>
            <a:off x="393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199" name="$E$96">
            <a:extLst>
              <a:ext uri="{FF2B5EF4-FFF2-40B4-BE49-F238E27FC236}">
                <a16:creationId xmlns:a16="http://schemas.microsoft.com/office/drawing/2014/main" id="{A2575AC5-8028-45F0-951F-9AB5FE7ED5B0}"/>
              </a:ext>
            </a:extLst>
          </xdr:cNvPr>
          <xdr:cNvSpPr/>
        </xdr:nvSpPr>
        <xdr:spPr>
          <a:xfrm>
            <a:off x="457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00" name="$E$96">
            <a:extLst>
              <a:ext uri="{FF2B5EF4-FFF2-40B4-BE49-F238E27FC236}">
                <a16:creationId xmlns:a16="http://schemas.microsoft.com/office/drawing/2014/main" id="{73C3121D-0107-4ED9-896F-87581A8A1795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01" name="$E$96">
            <a:extLst>
              <a:ext uri="{FF2B5EF4-FFF2-40B4-BE49-F238E27FC236}">
                <a16:creationId xmlns:a16="http://schemas.microsoft.com/office/drawing/2014/main" id="{ADB5C4F7-792B-46BA-8957-6A217EBA1BD2}"/>
              </a:ext>
            </a:extLst>
          </xdr:cNvPr>
          <xdr:cNvSpPr/>
        </xdr:nvSpPr>
        <xdr:spPr>
          <a:xfrm>
            <a:off x="12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02" name="$E$96">
            <a:extLst>
              <a:ext uri="{FF2B5EF4-FFF2-40B4-BE49-F238E27FC236}">
                <a16:creationId xmlns:a16="http://schemas.microsoft.com/office/drawing/2014/main" id="{F7B512A3-B31A-4BBD-BFDF-95D4D5BFD2C7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03" name="$E$96">
            <a:extLst>
              <a:ext uri="{FF2B5EF4-FFF2-40B4-BE49-F238E27FC236}">
                <a16:creationId xmlns:a16="http://schemas.microsoft.com/office/drawing/2014/main" id="{9708DFA7-FB92-4443-8F0B-5DE35106715C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04" name="$E$96">
            <a:extLst>
              <a:ext uri="{FF2B5EF4-FFF2-40B4-BE49-F238E27FC236}">
                <a16:creationId xmlns:a16="http://schemas.microsoft.com/office/drawing/2014/main" id="{7537D76E-803A-4CB2-A007-B85D39B7BBE9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05" name="$E$96">
            <a:extLst>
              <a:ext uri="{FF2B5EF4-FFF2-40B4-BE49-F238E27FC236}">
                <a16:creationId xmlns:a16="http://schemas.microsoft.com/office/drawing/2014/main" id="{7224788D-8A06-4CE4-AB6A-615846191C6E}"/>
              </a:ext>
            </a:extLst>
          </xdr:cNvPr>
          <xdr:cNvSpPr/>
        </xdr:nvSpPr>
        <xdr:spPr>
          <a:xfrm>
            <a:off x="88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06" name="$E$96">
            <a:extLst>
              <a:ext uri="{FF2B5EF4-FFF2-40B4-BE49-F238E27FC236}">
                <a16:creationId xmlns:a16="http://schemas.microsoft.com/office/drawing/2014/main" id="{1A315FAF-8396-485F-B6B2-CD9E4BB1EA20}"/>
              </a:ext>
            </a:extLst>
          </xdr:cNvPr>
          <xdr:cNvSpPr/>
        </xdr:nvSpPr>
        <xdr:spPr>
          <a:xfrm>
            <a:off x="101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07" name="$E$96">
            <a:extLst>
              <a:ext uri="{FF2B5EF4-FFF2-40B4-BE49-F238E27FC236}">
                <a16:creationId xmlns:a16="http://schemas.microsoft.com/office/drawing/2014/main" id="{9E1EC482-BF73-446A-A4CC-9D53AB386035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08" name="$E$96">
            <a:extLst>
              <a:ext uri="{FF2B5EF4-FFF2-40B4-BE49-F238E27FC236}">
                <a16:creationId xmlns:a16="http://schemas.microsoft.com/office/drawing/2014/main" id="{E4619425-25DF-4076-8E3F-4BA653345093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09" name="$E$96">
            <a:extLst>
              <a:ext uri="{FF2B5EF4-FFF2-40B4-BE49-F238E27FC236}">
                <a16:creationId xmlns:a16="http://schemas.microsoft.com/office/drawing/2014/main" id="{52646219-832B-4133-B3C6-8094D7271480}"/>
              </a:ext>
            </a:extLst>
          </xdr:cNvPr>
          <xdr:cNvSpPr/>
        </xdr:nvSpPr>
        <xdr:spPr>
          <a:xfrm>
            <a:off x="152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10" name="$E$96">
            <a:extLst>
              <a:ext uri="{FF2B5EF4-FFF2-40B4-BE49-F238E27FC236}">
                <a16:creationId xmlns:a16="http://schemas.microsoft.com/office/drawing/2014/main" id="{E544B06F-F9DC-4554-BF71-688F4A007B7A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11" name="$E$96">
            <a:extLst>
              <a:ext uri="{FF2B5EF4-FFF2-40B4-BE49-F238E27FC236}">
                <a16:creationId xmlns:a16="http://schemas.microsoft.com/office/drawing/2014/main" id="{1987BB5F-61F7-48BB-A366-2DE4C8236C6D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12" name="$E$96">
            <a:extLst>
              <a:ext uri="{FF2B5EF4-FFF2-40B4-BE49-F238E27FC236}">
                <a16:creationId xmlns:a16="http://schemas.microsoft.com/office/drawing/2014/main" id="{391AED05-0D5F-4C07-9A98-7CD4F53667F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13" name="$E$96">
            <a:extLst>
              <a:ext uri="{FF2B5EF4-FFF2-40B4-BE49-F238E27FC236}">
                <a16:creationId xmlns:a16="http://schemas.microsoft.com/office/drawing/2014/main" id="{8A444352-3D3C-4482-BC26-4C175CE8E45F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14" name="$E$96">
            <a:extLst>
              <a:ext uri="{FF2B5EF4-FFF2-40B4-BE49-F238E27FC236}">
                <a16:creationId xmlns:a16="http://schemas.microsoft.com/office/drawing/2014/main" id="{3C900D90-DAEC-499C-9C77-1A2C253B2FED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15" name="$E$96">
            <a:extLst>
              <a:ext uri="{FF2B5EF4-FFF2-40B4-BE49-F238E27FC236}">
                <a16:creationId xmlns:a16="http://schemas.microsoft.com/office/drawing/2014/main" id="{069D845C-08B6-4FB8-8E3C-675A1F479F5A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16" name="$E$96">
            <a:extLst>
              <a:ext uri="{FF2B5EF4-FFF2-40B4-BE49-F238E27FC236}">
                <a16:creationId xmlns:a16="http://schemas.microsoft.com/office/drawing/2014/main" id="{67EB4652-D677-4FBA-AEED-9A45A1DC6DDD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17" name="$E$96">
            <a:extLst>
              <a:ext uri="{FF2B5EF4-FFF2-40B4-BE49-F238E27FC236}">
                <a16:creationId xmlns:a16="http://schemas.microsoft.com/office/drawing/2014/main" id="{53C76D6D-5AEC-4490-97F9-8D063F4726A0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18" name="$E$96">
            <a:extLst>
              <a:ext uri="{FF2B5EF4-FFF2-40B4-BE49-F238E27FC236}">
                <a16:creationId xmlns:a16="http://schemas.microsoft.com/office/drawing/2014/main" id="{C3009E22-848C-476B-805B-3A71A58F1466}"/>
              </a:ext>
            </a:extLst>
          </xdr:cNvPr>
          <xdr:cNvSpPr/>
        </xdr:nvSpPr>
        <xdr:spPr>
          <a:xfrm>
            <a:off x="368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19" name="$E$96">
            <a:extLst>
              <a:ext uri="{FF2B5EF4-FFF2-40B4-BE49-F238E27FC236}">
                <a16:creationId xmlns:a16="http://schemas.microsoft.com/office/drawing/2014/main" id="{20C46C78-8AEC-414F-B1D9-073E1E9656A7}"/>
              </a:ext>
            </a:extLst>
          </xdr:cNvPr>
          <xdr:cNvSpPr/>
        </xdr:nvSpPr>
        <xdr:spPr>
          <a:xfrm>
            <a:off x="381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20" name="$E$96">
            <a:extLst>
              <a:ext uri="{FF2B5EF4-FFF2-40B4-BE49-F238E27FC236}">
                <a16:creationId xmlns:a16="http://schemas.microsoft.com/office/drawing/2014/main" id="{9F136AC1-A9A5-4B42-A2B3-503718E02519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21" name="$E$96">
            <a:extLst>
              <a:ext uri="{FF2B5EF4-FFF2-40B4-BE49-F238E27FC236}">
                <a16:creationId xmlns:a16="http://schemas.microsoft.com/office/drawing/2014/main" id="{1E58C92F-C567-489D-9AB1-D57F8BD80959}"/>
              </a:ext>
            </a:extLst>
          </xdr:cNvPr>
          <xdr:cNvSpPr/>
        </xdr:nvSpPr>
        <xdr:spPr>
          <a:xfrm>
            <a:off x="419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22" name="$E$96">
            <a:extLst>
              <a:ext uri="{FF2B5EF4-FFF2-40B4-BE49-F238E27FC236}">
                <a16:creationId xmlns:a16="http://schemas.microsoft.com/office/drawing/2014/main" id="{2F9E4E83-0D15-47A4-8CB1-1E16DA6F1A0A}"/>
              </a:ext>
            </a:extLst>
          </xdr:cNvPr>
          <xdr:cNvSpPr/>
        </xdr:nvSpPr>
        <xdr:spPr>
          <a:xfrm>
            <a:off x="431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23" name="$E$96">
            <a:extLst>
              <a:ext uri="{FF2B5EF4-FFF2-40B4-BE49-F238E27FC236}">
                <a16:creationId xmlns:a16="http://schemas.microsoft.com/office/drawing/2014/main" id="{77BCCB9A-8B1A-4992-A3B8-DFCDC80239C8}"/>
              </a:ext>
            </a:extLst>
          </xdr:cNvPr>
          <xdr:cNvSpPr/>
        </xdr:nvSpPr>
        <xdr:spPr>
          <a:xfrm>
            <a:off x="444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24" name="$E$96">
            <a:extLst>
              <a:ext uri="{FF2B5EF4-FFF2-40B4-BE49-F238E27FC236}">
                <a16:creationId xmlns:a16="http://schemas.microsoft.com/office/drawing/2014/main" id="{3D810E76-CE1C-4F55-8096-6C76E6550285}"/>
              </a:ext>
            </a:extLst>
          </xdr:cNvPr>
          <xdr:cNvSpPr/>
        </xdr:nvSpPr>
        <xdr:spPr>
          <a:xfrm>
            <a:off x="457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25" name="$E$96">
            <a:extLst>
              <a:ext uri="{FF2B5EF4-FFF2-40B4-BE49-F238E27FC236}">
                <a16:creationId xmlns:a16="http://schemas.microsoft.com/office/drawing/2014/main" id="{773184C6-A331-4BD9-88DF-DD0A6D65AE03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26" name="$E$96">
            <a:extLst>
              <a:ext uri="{FF2B5EF4-FFF2-40B4-BE49-F238E27FC236}">
                <a16:creationId xmlns:a16="http://schemas.microsoft.com/office/drawing/2014/main" id="{E28C100E-79BD-4D71-9E5D-28EBF8DFD803}"/>
              </a:ext>
            </a:extLst>
          </xdr:cNvPr>
          <xdr:cNvSpPr/>
        </xdr:nvSpPr>
        <xdr:spPr>
          <a:xfrm>
            <a:off x="12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27" name="$E$96">
            <a:extLst>
              <a:ext uri="{FF2B5EF4-FFF2-40B4-BE49-F238E27FC236}">
                <a16:creationId xmlns:a16="http://schemas.microsoft.com/office/drawing/2014/main" id="{BDD638C8-CC57-4D24-8E09-EE5297D8741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28" name="$E$96">
            <a:extLst>
              <a:ext uri="{FF2B5EF4-FFF2-40B4-BE49-F238E27FC236}">
                <a16:creationId xmlns:a16="http://schemas.microsoft.com/office/drawing/2014/main" id="{CD4B27B6-08EA-4722-B736-6D5BB015969B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29" name="$E$96">
            <a:extLst>
              <a:ext uri="{FF2B5EF4-FFF2-40B4-BE49-F238E27FC236}">
                <a16:creationId xmlns:a16="http://schemas.microsoft.com/office/drawing/2014/main" id="{38B21B35-B98B-4737-A9B1-3C927FDBE477}"/>
              </a:ext>
            </a:extLst>
          </xdr:cNvPr>
          <xdr:cNvSpPr/>
        </xdr:nvSpPr>
        <xdr:spPr>
          <a:xfrm>
            <a:off x="63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30" name="$E$96">
            <a:extLst>
              <a:ext uri="{FF2B5EF4-FFF2-40B4-BE49-F238E27FC236}">
                <a16:creationId xmlns:a16="http://schemas.microsoft.com/office/drawing/2014/main" id="{ED18572B-2015-45B8-8C27-0938A1E28135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31" name="$E$96">
            <a:extLst>
              <a:ext uri="{FF2B5EF4-FFF2-40B4-BE49-F238E27FC236}">
                <a16:creationId xmlns:a16="http://schemas.microsoft.com/office/drawing/2014/main" id="{CE9011D0-D247-4271-88D6-4A5071366C31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32" name="$E$96">
            <a:extLst>
              <a:ext uri="{FF2B5EF4-FFF2-40B4-BE49-F238E27FC236}">
                <a16:creationId xmlns:a16="http://schemas.microsoft.com/office/drawing/2014/main" id="{10235789-1CBC-4DCE-A4CA-0C67E841CFCD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33" name="$E$96">
            <a:extLst>
              <a:ext uri="{FF2B5EF4-FFF2-40B4-BE49-F238E27FC236}">
                <a16:creationId xmlns:a16="http://schemas.microsoft.com/office/drawing/2014/main" id="{97FA9D98-4BC2-4FED-B391-9EB957DF03F4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34" name="$E$96">
            <a:extLst>
              <a:ext uri="{FF2B5EF4-FFF2-40B4-BE49-F238E27FC236}">
                <a16:creationId xmlns:a16="http://schemas.microsoft.com/office/drawing/2014/main" id="{DD79D74D-C42D-4EA6-BB18-AEC33D68ACAB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35" name="$E$96">
            <a:extLst>
              <a:ext uri="{FF2B5EF4-FFF2-40B4-BE49-F238E27FC236}">
                <a16:creationId xmlns:a16="http://schemas.microsoft.com/office/drawing/2014/main" id="{04CBB913-933C-48A0-9D18-DBDA3A6219D7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36" name="$E$96">
            <a:extLst>
              <a:ext uri="{FF2B5EF4-FFF2-40B4-BE49-F238E27FC236}">
                <a16:creationId xmlns:a16="http://schemas.microsoft.com/office/drawing/2014/main" id="{A0E505F4-E00B-4E3E-A418-54DBE1B84A49}"/>
              </a:ext>
            </a:extLst>
          </xdr:cNvPr>
          <xdr:cNvSpPr/>
        </xdr:nvSpPr>
        <xdr:spPr>
          <a:xfrm>
            <a:off x="292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37" name="$E$96">
            <a:extLst>
              <a:ext uri="{FF2B5EF4-FFF2-40B4-BE49-F238E27FC236}">
                <a16:creationId xmlns:a16="http://schemas.microsoft.com/office/drawing/2014/main" id="{38762558-65D9-455A-A31B-5B2B7E28848A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38" name="$E$96">
            <a:extLst>
              <a:ext uri="{FF2B5EF4-FFF2-40B4-BE49-F238E27FC236}">
                <a16:creationId xmlns:a16="http://schemas.microsoft.com/office/drawing/2014/main" id="{2862D09F-773C-46E0-B89A-19215C163D2C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39" name="$E$96">
            <a:extLst>
              <a:ext uri="{FF2B5EF4-FFF2-40B4-BE49-F238E27FC236}">
                <a16:creationId xmlns:a16="http://schemas.microsoft.com/office/drawing/2014/main" id="{9A8E28F6-D812-4815-9A17-48781FE579F3}"/>
              </a:ext>
            </a:extLst>
          </xdr:cNvPr>
          <xdr:cNvSpPr/>
        </xdr:nvSpPr>
        <xdr:spPr>
          <a:xfrm>
            <a:off x="368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40" name="$E$96">
            <a:extLst>
              <a:ext uri="{FF2B5EF4-FFF2-40B4-BE49-F238E27FC236}">
                <a16:creationId xmlns:a16="http://schemas.microsoft.com/office/drawing/2014/main" id="{8D40E56F-09FC-44BE-B07D-D74DA03A5F07}"/>
              </a:ext>
            </a:extLst>
          </xdr:cNvPr>
          <xdr:cNvSpPr/>
        </xdr:nvSpPr>
        <xdr:spPr>
          <a:xfrm>
            <a:off x="393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41" name="$E$96">
            <a:extLst>
              <a:ext uri="{FF2B5EF4-FFF2-40B4-BE49-F238E27FC236}">
                <a16:creationId xmlns:a16="http://schemas.microsoft.com/office/drawing/2014/main" id="{4BA96631-6918-4B00-BFF0-BDD814D55F3C}"/>
              </a:ext>
            </a:extLst>
          </xdr:cNvPr>
          <xdr:cNvSpPr/>
        </xdr:nvSpPr>
        <xdr:spPr>
          <a:xfrm>
            <a:off x="444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42" name="$E$96">
            <a:extLst>
              <a:ext uri="{FF2B5EF4-FFF2-40B4-BE49-F238E27FC236}">
                <a16:creationId xmlns:a16="http://schemas.microsoft.com/office/drawing/2014/main" id="{47954077-4598-453B-8680-8AE337D09F08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43" name="$E$96">
            <a:extLst>
              <a:ext uri="{FF2B5EF4-FFF2-40B4-BE49-F238E27FC236}">
                <a16:creationId xmlns:a16="http://schemas.microsoft.com/office/drawing/2014/main" id="{51A8616E-26BD-497C-8EF3-2BBBB2E1658E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44" name="$E$96">
            <a:extLst>
              <a:ext uri="{FF2B5EF4-FFF2-40B4-BE49-F238E27FC236}">
                <a16:creationId xmlns:a16="http://schemas.microsoft.com/office/drawing/2014/main" id="{FD3A6DC9-9FB8-4C48-98A4-0B32C0D30443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45" name="$E$96">
            <a:extLst>
              <a:ext uri="{FF2B5EF4-FFF2-40B4-BE49-F238E27FC236}">
                <a16:creationId xmlns:a16="http://schemas.microsoft.com/office/drawing/2014/main" id="{E11B9221-D05B-4166-A22E-950275324D09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46" name="$E$96">
            <a:extLst>
              <a:ext uri="{FF2B5EF4-FFF2-40B4-BE49-F238E27FC236}">
                <a16:creationId xmlns:a16="http://schemas.microsoft.com/office/drawing/2014/main" id="{5806C186-3DF1-4581-BE0F-0256C5CF20DD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47" name="$E$96">
            <a:extLst>
              <a:ext uri="{FF2B5EF4-FFF2-40B4-BE49-F238E27FC236}">
                <a16:creationId xmlns:a16="http://schemas.microsoft.com/office/drawing/2014/main" id="{F1421195-6B83-46F4-B906-028A6ECBAB21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48" name="$E$96">
            <a:extLst>
              <a:ext uri="{FF2B5EF4-FFF2-40B4-BE49-F238E27FC236}">
                <a16:creationId xmlns:a16="http://schemas.microsoft.com/office/drawing/2014/main" id="{E7D0B07E-5A8B-4DE6-9074-EC01DC564E37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49" name="$E$96">
            <a:extLst>
              <a:ext uri="{FF2B5EF4-FFF2-40B4-BE49-F238E27FC236}">
                <a16:creationId xmlns:a16="http://schemas.microsoft.com/office/drawing/2014/main" id="{C7658334-3381-4AA4-A30A-20569260707A}"/>
              </a:ext>
            </a:extLst>
          </xdr:cNvPr>
          <xdr:cNvSpPr/>
        </xdr:nvSpPr>
        <xdr:spPr>
          <a:xfrm>
            <a:off x="177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50" name="$E$96">
            <a:extLst>
              <a:ext uri="{FF2B5EF4-FFF2-40B4-BE49-F238E27FC236}">
                <a16:creationId xmlns:a16="http://schemas.microsoft.com/office/drawing/2014/main" id="{DED4AA42-9966-4CD3-8954-9F3AB69A3076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51" name="$E$96">
            <a:extLst>
              <a:ext uri="{FF2B5EF4-FFF2-40B4-BE49-F238E27FC236}">
                <a16:creationId xmlns:a16="http://schemas.microsoft.com/office/drawing/2014/main" id="{DB3F3DC0-A8E0-4154-B841-86D2AED09231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52" name="$E$96">
            <a:extLst>
              <a:ext uri="{FF2B5EF4-FFF2-40B4-BE49-F238E27FC236}">
                <a16:creationId xmlns:a16="http://schemas.microsoft.com/office/drawing/2014/main" id="{87B360CA-0FE5-4CFF-B574-2D368E4D7A31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53" name="$E$96">
            <a:extLst>
              <a:ext uri="{FF2B5EF4-FFF2-40B4-BE49-F238E27FC236}">
                <a16:creationId xmlns:a16="http://schemas.microsoft.com/office/drawing/2014/main" id="{78D2A524-6952-444A-A6E5-20A1F77BA032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54" name="$E$96">
            <a:extLst>
              <a:ext uri="{FF2B5EF4-FFF2-40B4-BE49-F238E27FC236}">
                <a16:creationId xmlns:a16="http://schemas.microsoft.com/office/drawing/2014/main" id="{7DE11DAE-47E0-4F2B-B6DB-01234D360ACD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55" name="$E$96">
            <a:extLst>
              <a:ext uri="{FF2B5EF4-FFF2-40B4-BE49-F238E27FC236}">
                <a16:creationId xmlns:a16="http://schemas.microsoft.com/office/drawing/2014/main" id="{EC1150AE-BEFB-432E-A7CB-4E8F6CBD45CC}"/>
              </a:ext>
            </a:extLst>
          </xdr:cNvPr>
          <xdr:cNvSpPr/>
        </xdr:nvSpPr>
        <xdr:spPr>
          <a:xfrm>
            <a:off x="342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56" name="$E$96">
            <a:extLst>
              <a:ext uri="{FF2B5EF4-FFF2-40B4-BE49-F238E27FC236}">
                <a16:creationId xmlns:a16="http://schemas.microsoft.com/office/drawing/2014/main" id="{81F8B5CF-D92A-4163-8BF9-CA626D4D7C02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57" name="$E$96">
            <a:extLst>
              <a:ext uri="{FF2B5EF4-FFF2-40B4-BE49-F238E27FC236}">
                <a16:creationId xmlns:a16="http://schemas.microsoft.com/office/drawing/2014/main" id="{9E763B38-12CE-449D-9AC9-116ECF9F5ADD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58" name="$E$96">
            <a:extLst>
              <a:ext uri="{FF2B5EF4-FFF2-40B4-BE49-F238E27FC236}">
                <a16:creationId xmlns:a16="http://schemas.microsoft.com/office/drawing/2014/main" id="{D09D976B-5214-4028-BC60-FF79B4EF3743}"/>
              </a:ext>
            </a:extLst>
          </xdr:cNvPr>
          <xdr:cNvSpPr/>
        </xdr:nvSpPr>
        <xdr:spPr>
          <a:xfrm>
            <a:off x="381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59" name="$E$96">
            <a:extLst>
              <a:ext uri="{FF2B5EF4-FFF2-40B4-BE49-F238E27FC236}">
                <a16:creationId xmlns:a16="http://schemas.microsoft.com/office/drawing/2014/main" id="{1851E521-CE50-4458-AD01-ACD190B80FE7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60" name="$E$96">
            <a:extLst>
              <a:ext uri="{FF2B5EF4-FFF2-40B4-BE49-F238E27FC236}">
                <a16:creationId xmlns:a16="http://schemas.microsoft.com/office/drawing/2014/main" id="{085E3B92-11C6-4775-971A-53AFB8A168CD}"/>
              </a:ext>
            </a:extLst>
          </xdr:cNvPr>
          <xdr:cNvSpPr/>
        </xdr:nvSpPr>
        <xdr:spPr>
          <a:xfrm>
            <a:off x="406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61" name="$E$96">
            <a:extLst>
              <a:ext uri="{FF2B5EF4-FFF2-40B4-BE49-F238E27FC236}">
                <a16:creationId xmlns:a16="http://schemas.microsoft.com/office/drawing/2014/main" id="{FD69A027-F018-4796-8420-D98A94325317}"/>
              </a:ext>
            </a:extLst>
          </xdr:cNvPr>
          <xdr:cNvSpPr/>
        </xdr:nvSpPr>
        <xdr:spPr>
          <a:xfrm>
            <a:off x="444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62" name="$E$96">
            <a:extLst>
              <a:ext uri="{FF2B5EF4-FFF2-40B4-BE49-F238E27FC236}">
                <a16:creationId xmlns:a16="http://schemas.microsoft.com/office/drawing/2014/main" id="{ED853EA6-9A26-4559-9C37-6B9E8E7159E0}"/>
              </a:ext>
            </a:extLst>
          </xdr:cNvPr>
          <xdr:cNvSpPr/>
        </xdr:nvSpPr>
        <xdr:spPr>
          <a:xfrm>
            <a:off x="457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63" name="$E$96">
            <a:extLst>
              <a:ext uri="{FF2B5EF4-FFF2-40B4-BE49-F238E27FC236}">
                <a16:creationId xmlns:a16="http://schemas.microsoft.com/office/drawing/2014/main" id="{F7AC51D2-E9C1-4806-BFA8-A8D2537F95AC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64" name="$E$96">
            <a:extLst>
              <a:ext uri="{FF2B5EF4-FFF2-40B4-BE49-F238E27FC236}">
                <a16:creationId xmlns:a16="http://schemas.microsoft.com/office/drawing/2014/main" id="{62D557D0-5479-44D8-8187-188EC4722E1A}"/>
              </a:ext>
            </a:extLst>
          </xdr:cNvPr>
          <xdr:cNvSpPr/>
        </xdr:nvSpPr>
        <xdr:spPr>
          <a:xfrm>
            <a:off x="25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65" name="$E$96">
            <a:extLst>
              <a:ext uri="{FF2B5EF4-FFF2-40B4-BE49-F238E27FC236}">
                <a16:creationId xmlns:a16="http://schemas.microsoft.com/office/drawing/2014/main" id="{EA560A8F-A03E-4965-A7C4-A7103705AE53}"/>
              </a:ext>
            </a:extLst>
          </xdr:cNvPr>
          <xdr:cNvSpPr/>
        </xdr:nvSpPr>
        <xdr:spPr>
          <a:xfrm>
            <a:off x="38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66" name="$E$96">
            <a:extLst>
              <a:ext uri="{FF2B5EF4-FFF2-40B4-BE49-F238E27FC236}">
                <a16:creationId xmlns:a16="http://schemas.microsoft.com/office/drawing/2014/main" id="{CD3DA39F-A4E1-4FF5-A026-21B868307318}"/>
              </a:ext>
            </a:extLst>
          </xdr:cNvPr>
          <xdr:cNvSpPr/>
        </xdr:nvSpPr>
        <xdr:spPr>
          <a:xfrm>
            <a:off x="63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67" name="$E$96">
            <a:extLst>
              <a:ext uri="{FF2B5EF4-FFF2-40B4-BE49-F238E27FC236}">
                <a16:creationId xmlns:a16="http://schemas.microsoft.com/office/drawing/2014/main" id="{A98B09AD-EFD3-42F6-ABF9-70F4AC50829A}"/>
              </a:ext>
            </a:extLst>
          </xdr:cNvPr>
          <xdr:cNvSpPr/>
        </xdr:nvSpPr>
        <xdr:spPr>
          <a:xfrm>
            <a:off x="88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68" name="$E$96">
            <a:extLst>
              <a:ext uri="{FF2B5EF4-FFF2-40B4-BE49-F238E27FC236}">
                <a16:creationId xmlns:a16="http://schemas.microsoft.com/office/drawing/2014/main" id="{1648AB72-6AB2-4C49-B70F-E01E1F2A37EC}"/>
              </a:ext>
            </a:extLst>
          </xdr:cNvPr>
          <xdr:cNvSpPr/>
        </xdr:nvSpPr>
        <xdr:spPr>
          <a:xfrm>
            <a:off x="101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69" name="$E$96">
            <a:extLst>
              <a:ext uri="{FF2B5EF4-FFF2-40B4-BE49-F238E27FC236}">
                <a16:creationId xmlns:a16="http://schemas.microsoft.com/office/drawing/2014/main" id="{3C192690-D487-4DBB-9767-098946ED27DE}"/>
              </a:ext>
            </a:extLst>
          </xdr:cNvPr>
          <xdr:cNvSpPr/>
        </xdr:nvSpPr>
        <xdr:spPr>
          <a:xfrm>
            <a:off x="114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0" name="$E$96">
            <a:extLst>
              <a:ext uri="{FF2B5EF4-FFF2-40B4-BE49-F238E27FC236}">
                <a16:creationId xmlns:a16="http://schemas.microsoft.com/office/drawing/2014/main" id="{78EFD34E-F002-40E1-99C4-07710285D2E4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1" name="$E$96">
            <a:extLst>
              <a:ext uri="{FF2B5EF4-FFF2-40B4-BE49-F238E27FC236}">
                <a16:creationId xmlns:a16="http://schemas.microsoft.com/office/drawing/2014/main" id="{7CFAB862-4C09-45D7-8DD8-4946FA767D30}"/>
              </a:ext>
            </a:extLst>
          </xdr:cNvPr>
          <xdr:cNvSpPr/>
        </xdr:nvSpPr>
        <xdr:spPr>
          <a:xfrm>
            <a:off x="139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2" name="$E$96">
            <a:extLst>
              <a:ext uri="{FF2B5EF4-FFF2-40B4-BE49-F238E27FC236}">
                <a16:creationId xmlns:a16="http://schemas.microsoft.com/office/drawing/2014/main" id="{033534D9-AC96-464D-8AB1-846AD7F25412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3" name="$E$96">
            <a:extLst>
              <a:ext uri="{FF2B5EF4-FFF2-40B4-BE49-F238E27FC236}">
                <a16:creationId xmlns:a16="http://schemas.microsoft.com/office/drawing/2014/main" id="{1A9EBEAF-FE65-461B-BC3E-3ECE6B216B5C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4" name="$E$96">
            <a:extLst>
              <a:ext uri="{FF2B5EF4-FFF2-40B4-BE49-F238E27FC236}">
                <a16:creationId xmlns:a16="http://schemas.microsoft.com/office/drawing/2014/main" id="{D81EB7FA-E1A6-453B-B873-FD37BFF61E86}"/>
              </a:ext>
            </a:extLst>
          </xdr:cNvPr>
          <xdr:cNvSpPr/>
        </xdr:nvSpPr>
        <xdr:spPr>
          <a:xfrm>
            <a:off x="228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5" name="$E$96">
            <a:extLst>
              <a:ext uri="{FF2B5EF4-FFF2-40B4-BE49-F238E27FC236}">
                <a16:creationId xmlns:a16="http://schemas.microsoft.com/office/drawing/2014/main" id="{523E0792-6738-46A5-9869-0C026F449437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6" name="$E$96">
            <a:extLst>
              <a:ext uri="{FF2B5EF4-FFF2-40B4-BE49-F238E27FC236}">
                <a16:creationId xmlns:a16="http://schemas.microsoft.com/office/drawing/2014/main" id="{44F76DC7-6AD9-42CA-9E31-8FF70D6232F1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7" name="$E$96">
            <a:extLst>
              <a:ext uri="{FF2B5EF4-FFF2-40B4-BE49-F238E27FC236}">
                <a16:creationId xmlns:a16="http://schemas.microsoft.com/office/drawing/2014/main" id="{389A45BF-17BD-446A-85C9-1475387BF5DE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8" name="$E$96">
            <a:extLst>
              <a:ext uri="{FF2B5EF4-FFF2-40B4-BE49-F238E27FC236}">
                <a16:creationId xmlns:a16="http://schemas.microsoft.com/office/drawing/2014/main" id="{3C98DC2C-9A79-42CC-8D89-ED0D4D4F8236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79" name="$E$96">
            <a:extLst>
              <a:ext uri="{FF2B5EF4-FFF2-40B4-BE49-F238E27FC236}">
                <a16:creationId xmlns:a16="http://schemas.microsoft.com/office/drawing/2014/main" id="{474D7C95-E0E9-4ADD-983B-E5F618730B17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0" name="$E$96">
            <a:extLst>
              <a:ext uri="{FF2B5EF4-FFF2-40B4-BE49-F238E27FC236}">
                <a16:creationId xmlns:a16="http://schemas.microsoft.com/office/drawing/2014/main" id="{EAC39232-DF4E-4BE2-882C-A543FA07F288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1" name="$E$96">
            <a:extLst>
              <a:ext uri="{FF2B5EF4-FFF2-40B4-BE49-F238E27FC236}">
                <a16:creationId xmlns:a16="http://schemas.microsoft.com/office/drawing/2014/main" id="{490E1E6C-984D-4614-8A27-EB5325E15178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2" name="$E$96">
            <a:extLst>
              <a:ext uri="{FF2B5EF4-FFF2-40B4-BE49-F238E27FC236}">
                <a16:creationId xmlns:a16="http://schemas.microsoft.com/office/drawing/2014/main" id="{BBC16D32-5C29-43F5-8F61-C58EF090E79A}"/>
              </a:ext>
            </a:extLst>
          </xdr:cNvPr>
          <xdr:cNvSpPr/>
        </xdr:nvSpPr>
        <xdr:spPr>
          <a:xfrm>
            <a:off x="457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3" name="$E$96">
            <a:extLst>
              <a:ext uri="{FF2B5EF4-FFF2-40B4-BE49-F238E27FC236}">
                <a16:creationId xmlns:a16="http://schemas.microsoft.com/office/drawing/2014/main" id="{FBBB0EFB-76D9-48AF-B585-98ECFFF55683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4" name="$E$96">
            <a:extLst>
              <a:ext uri="{FF2B5EF4-FFF2-40B4-BE49-F238E27FC236}">
                <a16:creationId xmlns:a16="http://schemas.microsoft.com/office/drawing/2014/main" id="{A42FE2AD-2F3E-4872-AEBE-FE59F193D4AE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5" name="$E$96">
            <a:extLst>
              <a:ext uri="{FF2B5EF4-FFF2-40B4-BE49-F238E27FC236}">
                <a16:creationId xmlns:a16="http://schemas.microsoft.com/office/drawing/2014/main" id="{B21F80F0-1682-498F-A682-02099C90C456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6" name="$E$96">
            <a:extLst>
              <a:ext uri="{FF2B5EF4-FFF2-40B4-BE49-F238E27FC236}">
                <a16:creationId xmlns:a16="http://schemas.microsoft.com/office/drawing/2014/main" id="{D56F3321-9204-4430-8573-833D4AD5CFDF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7" name="$E$96">
            <a:extLst>
              <a:ext uri="{FF2B5EF4-FFF2-40B4-BE49-F238E27FC236}">
                <a16:creationId xmlns:a16="http://schemas.microsoft.com/office/drawing/2014/main" id="{24EE9111-AFC2-4534-B7A2-F8FE46506F7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8" name="$E$96">
            <a:extLst>
              <a:ext uri="{FF2B5EF4-FFF2-40B4-BE49-F238E27FC236}">
                <a16:creationId xmlns:a16="http://schemas.microsoft.com/office/drawing/2014/main" id="{857CD255-F6A7-41E6-AE49-66DB09976509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89" name="$E$96">
            <a:extLst>
              <a:ext uri="{FF2B5EF4-FFF2-40B4-BE49-F238E27FC236}">
                <a16:creationId xmlns:a16="http://schemas.microsoft.com/office/drawing/2014/main" id="{31E9E2FE-BD75-4976-B7AD-4556258CF641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0" name="$E$96">
            <a:extLst>
              <a:ext uri="{FF2B5EF4-FFF2-40B4-BE49-F238E27FC236}">
                <a16:creationId xmlns:a16="http://schemas.microsoft.com/office/drawing/2014/main" id="{9707A3DC-E9A4-4B79-A8DD-DC619880C582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1" name="$E$96">
            <a:extLst>
              <a:ext uri="{FF2B5EF4-FFF2-40B4-BE49-F238E27FC236}">
                <a16:creationId xmlns:a16="http://schemas.microsoft.com/office/drawing/2014/main" id="{E7586D00-4F8F-412F-BBEB-97289415C227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2" name="$E$96">
            <a:extLst>
              <a:ext uri="{FF2B5EF4-FFF2-40B4-BE49-F238E27FC236}">
                <a16:creationId xmlns:a16="http://schemas.microsoft.com/office/drawing/2014/main" id="{C0CCC6C1-B76F-4D39-AD33-A5F409835DB1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3" name="$E$96">
            <a:extLst>
              <a:ext uri="{FF2B5EF4-FFF2-40B4-BE49-F238E27FC236}">
                <a16:creationId xmlns:a16="http://schemas.microsoft.com/office/drawing/2014/main" id="{D5A27781-9355-450A-B0E9-4DC131887C54}"/>
              </a:ext>
            </a:extLst>
          </xdr:cNvPr>
          <xdr:cNvSpPr/>
        </xdr:nvSpPr>
        <xdr:spPr>
          <a:xfrm>
            <a:off x="292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4" name="$E$96">
            <a:extLst>
              <a:ext uri="{FF2B5EF4-FFF2-40B4-BE49-F238E27FC236}">
                <a16:creationId xmlns:a16="http://schemas.microsoft.com/office/drawing/2014/main" id="{A9EF3A7A-DEC3-4C35-ADDA-1C2944FF13B9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5" name="$E$96">
            <a:extLst>
              <a:ext uri="{FF2B5EF4-FFF2-40B4-BE49-F238E27FC236}">
                <a16:creationId xmlns:a16="http://schemas.microsoft.com/office/drawing/2014/main" id="{099630C1-E656-4ED8-BC1D-8F4988B7AE9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6" name="$E$96">
            <a:extLst>
              <a:ext uri="{FF2B5EF4-FFF2-40B4-BE49-F238E27FC236}">
                <a16:creationId xmlns:a16="http://schemas.microsoft.com/office/drawing/2014/main" id="{74C99CBE-6EB6-4031-805C-569F92F9C011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7" name="$E$96">
            <a:extLst>
              <a:ext uri="{FF2B5EF4-FFF2-40B4-BE49-F238E27FC236}">
                <a16:creationId xmlns:a16="http://schemas.microsoft.com/office/drawing/2014/main" id="{B641615A-E07E-476D-A314-D5640B887048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8" name="$E$96">
            <a:extLst>
              <a:ext uri="{FF2B5EF4-FFF2-40B4-BE49-F238E27FC236}">
                <a16:creationId xmlns:a16="http://schemas.microsoft.com/office/drawing/2014/main" id="{2DAEC15A-51DD-43D5-AF38-7B552F254920}"/>
              </a:ext>
            </a:extLst>
          </xdr:cNvPr>
          <xdr:cNvSpPr/>
        </xdr:nvSpPr>
        <xdr:spPr>
          <a:xfrm>
            <a:off x="368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299" name="$E$96">
            <a:extLst>
              <a:ext uri="{FF2B5EF4-FFF2-40B4-BE49-F238E27FC236}">
                <a16:creationId xmlns:a16="http://schemas.microsoft.com/office/drawing/2014/main" id="{1515A11C-2ED6-4D40-8803-14E345D0FC25}"/>
              </a:ext>
            </a:extLst>
          </xdr:cNvPr>
          <xdr:cNvSpPr/>
        </xdr:nvSpPr>
        <xdr:spPr>
          <a:xfrm>
            <a:off x="381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0" name="$E$96">
            <a:extLst>
              <a:ext uri="{FF2B5EF4-FFF2-40B4-BE49-F238E27FC236}">
                <a16:creationId xmlns:a16="http://schemas.microsoft.com/office/drawing/2014/main" id="{8E0E2944-C99C-43B7-B2D4-A13FF488E18A}"/>
              </a:ext>
            </a:extLst>
          </xdr:cNvPr>
          <xdr:cNvSpPr/>
        </xdr:nvSpPr>
        <xdr:spPr>
          <a:xfrm>
            <a:off x="393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1" name="$E$96">
            <a:extLst>
              <a:ext uri="{FF2B5EF4-FFF2-40B4-BE49-F238E27FC236}">
                <a16:creationId xmlns:a16="http://schemas.microsoft.com/office/drawing/2014/main" id="{4083546D-D911-4902-B480-159B5F95CEAD}"/>
              </a:ext>
            </a:extLst>
          </xdr:cNvPr>
          <xdr:cNvSpPr/>
        </xdr:nvSpPr>
        <xdr:spPr>
          <a:xfrm>
            <a:off x="406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2" name="$E$96">
            <a:extLst>
              <a:ext uri="{FF2B5EF4-FFF2-40B4-BE49-F238E27FC236}">
                <a16:creationId xmlns:a16="http://schemas.microsoft.com/office/drawing/2014/main" id="{D7F64F24-FFB6-4DFE-B132-19D0F49DB620}"/>
              </a:ext>
            </a:extLst>
          </xdr:cNvPr>
          <xdr:cNvSpPr/>
        </xdr:nvSpPr>
        <xdr:spPr>
          <a:xfrm>
            <a:off x="419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3" name="$E$96">
            <a:extLst>
              <a:ext uri="{FF2B5EF4-FFF2-40B4-BE49-F238E27FC236}">
                <a16:creationId xmlns:a16="http://schemas.microsoft.com/office/drawing/2014/main" id="{33034FCC-F405-4B6B-8474-B8C1439EA689}"/>
              </a:ext>
            </a:extLst>
          </xdr:cNvPr>
          <xdr:cNvSpPr/>
        </xdr:nvSpPr>
        <xdr:spPr>
          <a:xfrm>
            <a:off x="431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4" name="$E$96">
            <a:extLst>
              <a:ext uri="{FF2B5EF4-FFF2-40B4-BE49-F238E27FC236}">
                <a16:creationId xmlns:a16="http://schemas.microsoft.com/office/drawing/2014/main" id="{E15728A9-F2F4-476F-9648-8ACAAC7D7335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5" name="$E$96">
            <a:extLst>
              <a:ext uri="{FF2B5EF4-FFF2-40B4-BE49-F238E27FC236}">
                <a16:creationId xmlns:a16="http://schemas.microsoft.com/office/drawing/2014/main" id="{2CFD5D18-DC84-40B1-B608-6EB1940B13C5}"/>
              </a:ext>
            </a:extLst>
          </xdr:cNvPr>
          <xdr:cNvSpPr/>
        </xdr:nvSpPr>
        <xdr:spPr>
          <a:xfrm>
            <a:off x="127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6" name="$E$96">
            <a:extLst>
              <a:ext uri="{FF2B5EF4-FFF2-40B4-BE49-F238E27FC236}">
                <a16:creationId xmlns:a16="http://schemas.microsoft.com/office/drawing/2014/main" id="{519672A3-D2CF-4A37-99B2-02052A29F35A}"/>
              </a:ext>
            </a:extLst>
          </xdr:cNvPr>
          <xdr:cNvSpPr/>
        </xdr:nvSpPr>
        <xdr:spPr>
          <a:xfrm>
            <a:off x="152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7" name="$E$96">
            <a:extLst>
              <a:ext uri="{FF2B5EF4-FFF2-40B4-BE49-F238E27FC236}">
                <a16:creationId xmlns:a16="http://schemas.microsoft.com/office/drawing/2014/main" id="{BC9E9951-96F0-468B-B46C-176B9F9062C9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8" name="$E$96">
            <a:extLst>
              <a:ext uri="{FF2B5EF4-FFF2-40B4-BE49-F238E27FC236}">
                <a16:creationId xmlns:a16="http://schemas.microsoft.com/office/drawing/2014/main" id="{ABB10B9E-B250-4650-A25E-C8CDF652689F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09" name="$E$96">
            <a:extLst>
              <a:ext uri="{FF2B5EF4-FFF2-40B4-BE49-F238E27FC236}">
                <a16:creationId xmlns:a16="http://schemas.microsoft.com/office/drawing/2014/main" id="{B0D01D31-94B0-49FC-9BB3-80802E7F7D6C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0" name="$E$96">
            <a:extLst>
              <a:ext uri="{FF2B5EF4-FFF2-40B4-BE49-F238E27FC236}">
                <a16:creationId xmlns:a16="http://schemas.microsoft.com/office/drawing/2014/main" id="{248EA7BC-B52A-4381-A25F-018F817628D1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1" name="$E$96">
            <a:extLst>
              <a:ext uri="{FF2B5EF4-FFF2-40B4-BE49-F238E27FC236}">
                <a16:creationId xmlns:a16="http://schemas.microsoft.com/office/drawing/2014/main" id="{4886C746-921D-4771-BE32-5E5E380377E9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2" name="$E$96">
            <a:extLst>
              <a:ext uri="{FF2B5EF4-FFF2-40B4-BE49-F238E27FC236}">
                <a16:creationId xmlns:a16="http://schemas.microsoft.com/office/drawing/2014/main" id="{6B853A6A-7771-406F-835C-89E59F08EB0E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3" name="$E$96">
            <a:extLst>
              <a:ext uri="{FF2B5EF4-FFF2-40B4-BE49-F238E27FC236}">
                <a16:creationId xmlns:a16="http://schemas.microsoft.com/office/drawing/2014/main" id="{76980184-6810-4994-92BD-0D1B569494D5}"/>
              </a:ext>
            </a:extLst>
          </xdr:cNvPr>
          <xdr:cNvSpPr/>
        </xdr:nvSpPr>
        <xdr:spPr>
          <a:xfrm>
            <a:off x="266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4" name="$E$96">
            <a:extLst>
              <a:ext uri="{FF2B5EF4-FFF2-40B4-BE49-F238E27FC236}">
                <a16:creationId xmlns:a16="http://schemas.microsoft.com/office/drawing/2014/main" id="{B39AE4F6-885E-4EC0-8A73-4A925559D1AC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5" name="$E$96">
            <a:extLst>
              <a:ext uri="{FF2B5EF4-FFF2-40B4-BE49-F238E27FC236}">
                <a16:creationId xmlns:a16="http://schemas.microsoft.com/office/drawing/2014/main" id="{FBC721E9-1FD3-4C5D-B8D1-3AAB99F2CCD2}"/>
              </a:ext>
            </a:extLst>
          </xdr:cNvPr>
          <xdr:cNvSpPr/>
        </xdr:nvSpPr>
        <xdr:spPr>
          <a:xfrm>
            <a:off x="342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6" name="$E$96">
            <a:extLst>
              <a:ext uri="{FF2B5EF4-FFF2-40B4-BE49-F238E27FC236}">
                <a16:creationId xmlns:a16="http://schemas.microsoft.com/office/drawing/2014/main" id="{94C0B866-6F87-4927-A971-63BACCDF349E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7" name="$E$96">
            <a:extLst>
              <a:ext uri="{FF2B5EF4-FFF2-40B4-BE49-F238E27FC236}">
                <a16:creationId xmlns:a16="http://schemas.microsoft.com/office/drawing/2014/main" id="{8909DE34-6422-4A5E-908C-34854B30B06B}"/>
              </a:ext>
            </a:extLst>
          </xdr:cNvPr>
          <xdr:cNvSpPr/>
        </xdr:nvSpPr>
        <xdr:spPr>
          <a:xfrm>
            <a:off x="406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8" name="$E$96">
            <a:extLst>
              <a:ext uri="{FF2B5EF4-FFF2-40B4-BE49-F238E27FC236}">
                <a16:creationId xmlns:a16="http://schemas.microsoft.com/office/drawing/2014/main" id="{FD940BDE-9965-48F4-8877-D6412FC65D71}"/>
              </a:ext>
            </a:extLst>
          </xdr:cNvPr>
          <xdr:cNvSpPr/>
        </xdr:nvSpPr>
        <xdr:spPr>
          <a:xfrm>
            <a:off x="431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19" name="$E$96">
            <a:extLst>
              <a:ext uri="{FF2B5EF4-FFF2-40B4-BE49-F238E27FC236}">
                <a16:creationId xmlns:a16="http://schemas.microsoft.com/office/drawing/2014/main" id="{3CF69539-708E-45E3-8E02-A9B5208D4AE5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0" name="$E$96">
            <a:extLst>
              <a:ext uri="{FF2B5EF4-FFF2-40B4-BE49-F238E27FC236}">
                <a16:creationId xmlns:a16="http://schemas.microsoft.com/office/drawing/2014/main" id="{FCFC9ACC-5DFC-4883-A7EE-9B3117F95902}"/>
              </a:ext>
            </a:extLst>
          </xdr:cNvPr>
          <xdr:cNvSpPr/>
        </xdr:nvSpPr>
        <xdr:spPr>
          <a:xfrm>
            <a:off x="12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1" name="$E$96">
            <a:extLst>
              <a:ext uri="{FF2B5EF4-FFF2-40B4-BE49-F238E27FC236}">
                <a16:creationId xmlns:a16="http://schemas.microsoft.com/office/drawing/2014/main" id="{F86C963E-E06C-4D66-A5A3-575FF1224992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2" name="$E$96">
            <a:extLst>
              <a:ext uri="{FF2B5EF4-FFF2-40B4-BE49-F238E27FC236}">
                <a16:creationId xmlns:a16="http://schemas.microsoft.com/office/drawing/2014/main" id="{0C2A2688-F4C0-40FA-BC65-4F680AFA2ADF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3" name="$E$96">
            <a:extLst>
              <a:ext uri="{FF2B5EF4-FFF2-40B4-BE49-F238E27FC236}">
                <a16:creationId xmlns:a16="http://schemas.microsoft.com/office/drawing/2014/main" id="{BA11F7C3-B67D-4584-A840-E8BD635A321A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4" name="$E$96">
            <a:extLst>
              <a:ext uri="{FF2B5EF4-FFF2-40B4-BE49-F238E27FC236}">
                <a16:creationId xmlns:a16="http://schemas.microsoft.com/office/drawing/2014/main" id="{754D0F83-F90D-44C9-9D7E-1589FAD279A9}"/>
              </a:ext>
            </a:extLst>
          </xdr:cNvPr>
          <xdr:cNvSpPr/>
        </xdr:nvSpPr>
        <xdr:spPr>
          <a:xfrm>
            <a:off x="63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5" name="$E$96">
            <a:extLst>
              <a:ext uri="{FF2B5EF4-FFF2-40B4-BE49-F238E27FC236}">
                <a16:creationId xmlns:a16="http://schemas.microsoft.com/office/drawing/2014/main" id="{7B7DD9CF-B698-47F7-81A2-FF1FAD7370BE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6" name="$E$96">
            <a:extLst>
              <a:ext uri="{FF2B5EF4-FFF2-40B4-BE49-F238E27FC236}">
                <a16:creationId xmlns:a16="http://schemas.microsoft.com/office/drawing/2014/main" id="{F0E09797-25EB-4D1C-A8B9-B21F600356BF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7" name="$E$96">
            <a:extLst>
              <a:ext uri="{FF2B5EF4-FFF2-40B4-BE49-F238E27FC236}">
                <a16:creationId xmlns:a16="http://schemas.microsoft.com/office/drawing/2014/main" id="{9DB6F9D1-8B1E-45A1-8776-6F6D56375F97}"/>
              </a:ext>
            </a:extLst>
          </xdr:cNvPr>
          <xdr:cNvSpPr/>
        </xdr:nvSpPr>
        <xdr:spPr>
          <a:xfrm>
            <a:off x="114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8" name="$E$96">
            <a:extLst>
              <a:ext uri="{FF2B5EF4-FFF2-40B4-BE49-F238E27FC236}">
                <a16:creationId xmlns:a16="http://schemas.microsoft.com/office/drawing/2014/main" id="{47278D41-309C-4FCE-8118-A949BDA19133}"/>
              </a:ext>
            </a:extLst>
          </xdr:cNvPr>
          <xdr:cNvSpPr/>
        </xdr:nvSpPr>
        <xdr:spPr>
          <a:xfrm>
            <a:off x="127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29" name="$E$96">
            <a:extLst>
              <a:ext uri="{FF2B5EF4-FFF2-40B4-BE49-F238E27FC236}">
                <a16:creationId xmlns:a16="http://schemas.microsoft.com/office/drawing/2014/main" id="{57049231-CF11-48D2-837A-EECD007618BB}"/>
              </a:ext>
            </a:extLst>
          </xdr:cNvPr>
          <xdr:cNvSpPr/>
        </xdr:nvSpPr>
        <xdr:spPr>
          <a:xfrm>
            <a:off x="165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0" name="$E$96">
            <a:extLst>
              <a:ext uri="{FF2B5EF4-FFF2-40B4-BE49-F238E27FC236}">
                <a16:creationId xmlns:a16="http://schemas.microsoft.com/office/drawing/2014/main" id="{DD93508F-960F-41E1-AFC8-BC6C2929F404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1" name="$E$96">
            <a:extLst>
              <a:ext uri="{FF2B5EF4-FFF2-40B4-BE49-F238E27FC236}">
                <a16:creationId xmlns:a16="http://schemas.microsoft.com/office/drawing/2014/main" id="{DAAAC521-10D1-4400-B9F3-B7913AC6EFE2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2" name="$E$96">
            <a:extLst>
              <a:ext uri="{FF2B5EF4-FFF2-40B4-BE49-F238E27FC236}">
                <a16:creationId xmlns:a16="http://schemas.microsoft.com/office/drawing/2014/main" id="{A37520D0-2617-4C5F-BF3C-438FEC021EB3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3" name="$E$96">
            <a:extLst>
              <a:ext uri="{FF2B5EF4-FFF2-40B4-BE49-F238E27FC236}">
                <a16:creationId xmlns:a16="http://schemas.microsoft.com/office/drawing/2014/main" id="{E6EE6137-5867-473A-992F-E670234877BF}"/>
              </a:ext>
            </a:extLst>
          </xdr:cNvPr>
          <xdr:cNvSpPr/>
        </xdr:nvSpPr>
        <xdr:spPr>
          <a:xfrm>
            <a:off x="2159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4" name="$E$96">
            <a:extLst>
              <a:ext uri="{FF2B5EF4-FFF2-40B4-BE49-F238E27FC236}">
                <a16:creationId xmlns:a16="http://schemas.microsoft.com/office/drawing/2014/main" id="{D2A6515A-3E12-4CA3-872F-F7A528B3ED59}"/>
              </a:ext>
            </a:extLst>
          </xdr:cNvPr>
          <xdr:cNvSpPr/>
        </xdr:nvSpPr>
        <xdr:spPr>
          <a:xfrm>
            <a:off x="266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5" name="$E$96">
            <a:extLst>
              <a:ext uri="{FF2B5EF4-FFF2-40B4-BE49-F238E27FC236}">
                <a16:creationId xmlns:a16="http://schemas.microsoft.com/office/drawing/2014/main" id="{E217546E-7AAF-4C4D-9290-B82524C76E94}"/>
              </a:ext>
            </a:extLst>
          </xdr:cNvPr>
          <xdr:cNvSpPr/>
        </xdr:nvSpPr>
        <xdr:spPr>
          <a:xfrm>
            <a:off x="355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6" name="$E$96">
            <a:extLst>
              <a:ext uri="{FF2B5EF4-FFF2-40B4-BE49-F238E27FC236}">
                <a16:creationId xmlns:a16="http://schemas.microsoft.com/office/drawing/2014/main" id="{32E53632-6AA2-4069-A4CD-7D85DCCBB11F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7" name="$E$96">
            <a:extLst>
              <a:ext uri="{FF2B5EF4-FFF2-40B4-BE49-F238E27FC236}">
                <a16:creationId xmlns:a16="http://schemas.microsoft.com/office/drawing/2014/main" id="{8589699F-6029-4586-80EA-2F59077048EC}"/>
              </a:ext>
            </a:extLst>
          </xdr:cNvPr>
          <xdr:cNvSpPr/>
        </xdr:nvSpPr>
        <xdr:spPr>
          <a:xfrm>
            <a:off x="406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8" name="$E$96">
            <a:extLst>
              <a:ext uri="{FF2B5EF4-FFF2-40B4-BE49-F238E27FC236}">
                <a16:creationId xmlns:a16="http://schemas.microsoft.com/office/drawing/2014/main" id="{71029745-2A7F-4818-9462-E450E63F5DA7}"/>
              </a:ext>
            </a:extLst>
          </xdr:cNvPr>
          <xdr:cNvSpPr/>
        </xdr:nvSpPr>
        <xdr:spPr>
          <a:xfrm>
            <a:off x="419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39" name="$E$96">
            <a:extLst>
              <a:ext uri="{FF2B5EF4-FFF2-40B4-BE49-F238E27FC236}">
                <a16:creationId xmlns:a16="http://schemas.microsoft.com/office/drawing/2014/main" id="{E040367A-9BFF-4E5C-96D2-FEF2B80925B2}"/>
              </a:ext>
            </a:extLst>
          </xdr:cNvPr>
          <xdr:cNvSpPr/>
        </xdr:nvSpPr>
        <xdr:spPr>
          <a:xfrm>
            <a:off x="431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0" name="$E$96">
            <a:extLst>
              <a:ext uri="{FF2B5EF4-FFF2-40B4-BE49-F238E27FC236}">
                <a16:creationId xmlns:a16="http://schemas.microsoft.com/office/drawing/2014/main" id="{5BFB0BEB-D69D-4493-A511-38C27CC1B7DE}"/>
              </a:ext>
            </a:extLst>
          </xdr:cNvPr>
          <xdr:cNvSpPr/>
        </xdr:nvSpPr>
        <xdr:spPr>
          <a:xfrm>
            <a:off x="444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1" name="$E$96">
            <a:extLst>
              <a:ext uri="{FF2B5EF4-FFF2-40B4-BE49-F238E27FC236}">
                <a16:creationId xmlns:a16="http://schemas.microsoft.com/office/drawing/2014/main" id="{15CC75B4-25A0-4830-A079-08D8B6C22801}"/>
              </a:ext>
            </a:extLst>
          </xdr:cNvPr>
          <xdr:cNvSpPr/>
        </xdr:nvSpPr>
        <xdr:spPr>
          <a:xfrm>
            <a:off x="457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2" name="$E$96">
            <a:extLst>
              <a:ext uri="{FF2B5EF4-FFF2-40B4-BE49-F238E27FC236}">
                <a16:creationId xmlns:a16="http://schemas.microsoft.com/office/drawing/2014/main" id="{7CA7A96C-64AF-4A20-B5E0-131DC8536191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3" name="$E$96">
            <a:extLst>
              <a:ext uri="{FF2B5EF4-FFF2-40B4-BE49-F238E27FC236}">
                <a16:creationId xmlns:a16="http://schemas.microsoft.com/office/drawing/2014/main" id="{FC22DA46-4670-41EA-A0C6-C4686719B4DF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4" name="$E$96">
            <a:extLst>
              <a:ext uri="{FF2B5EF4-FFF2-40B4-BE49-F238E27FC236}">
                <a16:creationId xmlns:a16="http://schemas.microsoft.com/office/drawing/2014/main" id="{3F0ED71A-DAD0-4A8A-A67C-9DBDDA496020}"/>
              </a:ext>
            </a:extLst>
          </xdr:cNvPr>
          <xdr:cNvSpPr/>
        </xdr:nvSpPr>
        <xdr:spPr>
          <a:xfrm>
            <a:off x="152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5" name="$E$96">
            <a:extLst>
              <a:ext uri="{FF2B5EF4-FFF2-40B4-BE49-F238E27FC236}">
                <a16:creationId xmlns:a16="http://schemas.microsoft.com/office/drawing/2014/main" id="{D1FD17C0-9A90-4F7E-920B-91509061CB1E}"/>
              </a:ext>
            </a:extLst>
          </xdr:cNvPr>
          <xdr:cNvSpPr/>
        </xdr:nvSpPr>
        <xdr:spPr>
          <a:xfrm>
            <a:off x="165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6" name="$E$96">
            <a:extLst>
              <a:ext uri="{FF2B5EF4-FFF2-40B4-BE49-F238E27FC236}">
                <a16:creationId xmlns:a16="http://schemas.microsoft.com/office/drawing/2014/main" id="{C3BF4B39-DE15-4530-8630-788E70AD0838}"/>
              </a:ext>
            </a:extLst>
          </xdr:cNvPr>
          <xdr:cNvSpPr/>
        </xdr:nvSpPr>
        <xdr:spPr>
          <a:xfrm>
            <a:off x="203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7" name="$E$96">
            <a:extLst>
              <a:ext uri="{FF2B5EF4-FFF2-40B4-BE49-F238E27FC236}">
                <a16:creationId xmlns:a16="http://schemas.microsoft.com/office/drawing/2014/main" id="{84685975-5742-4DCC-B8E4-2ABCCDC25C07}"/>
              </a:ext>
            </a:extLst>
          </xdr:cNvPr>
          <xdr:cNvSpPr/>
        </xdr:nvSpPr>
        <xdr:spPr>
          <a:xfrm>
            <a:off x="254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8" name="$E$96">
            <a:extLst>
              <a:ext uri="{FF2B5EF4-FFF2-40B4-BE49-F238E27FC236}">
                <a16:creationId xmlns:a16="http://schemas.microsoft.com/office/drawing/2014/main" id="{33A9DFC4-8A23-449D-9EB4-2523ED4FCCBF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49" name="$E$96">
            <a:extLst>
              <a:ext uri="{FF2B5EF4-FFF2-40B4-BE49-F238E27FC236}">
                <a16:creationId xmlns:a16="http://schemas.microsoft.com/office/drawing/2014/main" id="{7CA7B0D5-BCAA-4764-AF3B-512FE816152A}"/>
              </a:ext>
            </a:extLst>
          </xdr:cNvPr>
          <xdr:cNvSpPr/>
        </xdr:nvSpPr>
        <xdr:spPr>
          <a:xfrm>
            <a:off x="279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0" name="$E$96">
            <a:extLst>
              <a:ext uri="{FF2B5EF4-FFF2-40B4-BE49-F238E27FC236}">
                <a16:creationId xmlns:a16="http://schemas.microsoft.com/office/drawing/2014/main" id="{997B0C60-15DC-4EA3-839B-1DBF8352A85C}"/>
              </a:ext>
            </a:extLst>
          </xdr:cNvPr>
          <xdr:cNvSpPr/>
        </xdr:nvSpPr>
        <xdr:spPr>
          <a:xfrm>
            <a:off x="330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1" name="$E$96">
            <a:extLst>
              <a:ext uri="{FF2B5EF4-FFF2-40B4-BE49-F238E27FC236}">
                <a16:creationId xmlns:a16="http://schemas.microsoft.com/office/drawing/2014/main" id="{07E936AC-7B88-409C-8499-E047DEB22143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2" name="$E$96">
            <a:extLst>
              <a:ext uri="{FF2B5EF4-FFF2-40B4-BE49-F238E27FC236}">
                <a16:creationId xmlns:a16="http://schemas.microsoft.com/office/drawing/2014/main" id="{F262684F-1185-4F57-ADD8-3990397B31D3}"/>
              </a:ext>
            </a:extLst>
          </xdr:cNvPr>
          <xdr:cNvSpPr/>
        </xdr:nvSpPr>
        <xdr:spPr>
          <a:xfrm>
            <a:off x="406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3" name="$E$96">
            <a:extLst>
              <a:ext uri="{FF2B5EF4-FFF2-40B4-BE49-F238E27FC236}">
                <a16:creationId xmlns:a16="http://schemas.microsoft.com/office/drawing/2014/main" id="{E0691B98-5A1A-47FC-8A27-1FEC1ADC1E8D}"/>
              </a:ext>
            </a:extLst>
          </xdr:cNvPr>
          <xdr:cNvSpPr/>
        </xdr:nvSpPr>
        <xdr:spPr>
          <a:xfrm>
            <a:off x="444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4" name="$E$96">
            <a:extLst>
              <a:ext uri="{FF2B5EF4-FFF2-40B4-BE49-F238E27FC236}">
                <a16:creationId xmlns:a16="http://schemas.microsoft.com/office/drawing/2014/main" id="{C0BC1216-4845-43AE-9487-A30BDD3FBBD8}"/>
              </a:ext>
            </a:extLst>
          </xdr:cNvPr>
          <xdr:cNvSpPr/>
        </xdr:nvSpPr>
        <xdr:spPr>
          <a:xfrm>
            <a:off x="457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5" name="$E$96">
            <a:extLst>
              <a:ext uri="{FF2B5EF4-FFF2-40B4-BE49-F238E27FC236}">
                <a16:creationId xmlns:a16="http://schemas.microsoft.com/office/drawing/2014/main" id="{1355A6E8-5C85-4EC1-8424-759B68A77435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6" name="$E$96">
            <a:extLst>
              <a:ext uri="{FF2B5EF4-FFF2-40B4-BE49-F238E27FC236}">
                <a16:creationId xmlns:a16="http://schemas.microsoft.com/office/drawing/2014/main" id="{BC23B725-1FE2-46C7-AB3A-5E9188D0651D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7" name="$E$96">
            <a:extLst>
              <a:ext uri="{FF2B5EF4-FFF2-40B4-BE49-F238E27FC236}">
                <a16:creationId xmlns:a16="http://schemas.microsoft.com/office/drawing/2014/main" id="{4B9CA892-9F55-42DF-808A-A1FB7B959EAA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8" name="$E$96">
            <a:extLst>
              <a:ext uri="{FF2B5EF4-FFF2-40B4-BE49-F238E27FC236}">
                <a16:creationId xmlns:a16="http://schemas.microsoft.com/office/drawing/2014/main" id="{2CA8969F-2C0E-4BD4-96B6-DB3225DEF440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59" name="$E$96">
            <a:extLst>
              <a:ext uri="{FF2B5EF4-FFF2-40B4-BE49-F238E27FC236}">
                <a16:creationId xmlns:a16="http://schemas.microsoft.com/office/drawing/2014/main" id="{C23BBF04-8FA9-4899-A0B1-1AABCAA19974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0" name="$E$96">
            <a:extLst>
              <a:ext uri="{FF2B5EF4-FFF2-40B4-BE49-F238E27FC236}">
                <a16:creationId xmlns:a16="http://schemas.microsoft.com/office/drawing/2014/main" id="{FEDADD01-1E1C-4270-B234-26AA48D1ED42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1" name="$E$96">
            <a:extLst>
              <a:ext uri="{FF2B5EF4-FFF2-40B4-BE49-F238E27FC236}">
                <a16:creationId xmlns:a16="http://schemas.microsoft.com/office/drawing/2014/main" id="{B5211123-284D-4FE8-8CC2-0B5DFD4CF65F}"/>
              </a:ext>
            </a:extLst>
          </xdr:cNvPr>
          <xdr:cNvSpPr/>
        </xdr:nvSpPr>
        <xdr:spPr>
          <a:xfrm>
            <a:off x="114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2" name="$E$96">
            <a:extLst>
              <a:ext uri="{FF2B5EF4-FFF2-40B4-BE49-F238E27FC236}">
                <a16:creationId xmlns:a16="http://schemas.microsoft.com/office/drawing/2014/main" id="{11CE5D57-6596-4755-B164-9917F98D8600}"/>
              </a:ext>
            </a:extLst>
          </xdr:cNvPr>
          <xdr:cNvSpPr/>
        </xdr:nvSpPr>
        <xdr:spPr>
          <a:xfrm>
            <a:off x="152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3" name="$E$96">
            <a:extLst>
              <a:ext uri="{FF2B5EF4-FFF2-40B4-BE49-F238E27FC236}">
                <a16:creationId xmlns:a16="http://schemas.microsoft.com/office/drawing/2014/main" id="{2552BBEF-0953-438E-A016-5812464FC7CA}"/>
              </a:ext>
            </a:extLst>
          </xdr:cNvPr>
          <xdr:cNvSpPr/>
        </xdr:nvSpPr>
        <xdr:spPr>
          <a:xfrm>
            <a:off x="177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4" name="$E$96">
            <a:extLst>
              <a:ext uri="{FF2B5EF4-FFF2-40B4-BE49-F238E27FC236}">
                <a16:creationId xmlns:a16="http://schemas.microsoft.com/office/drawing/2014/main" id="{C9413AB2-91E5-4B96-BBF1-211046053163}"/>
              </a:ext>
            </a:extLst>
          </xdr:cNvPr>
          <xdr:cNvSpPr/>
        </xdr:nvSpPr>
        <xdr:spPr>
          <a:xfrm>
            <a:off x="190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5" name="$E$96">
            <a:extLst>
              <a:ext uri="{FF2B5EF4-FFF2-40B4-BE49-F238E27FC236}">
                <a16:creationId xmlns:a16="http://schemas.microsoft.com/office/drawing/2014/main" id="{017942B7-3A18-4794-81FB-B17B6B12D683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6" name="$E$96">
            <a:extLst>
              <a:ext uri="{FF2B5EF4-FFF2-40B4-BE49-F238E27FC236}">
                <a16:creationId xmlns:a16="http://schemas.microsoft.com/office/drawing/2014/main" id="{1E292E43-2C2F-4F5A-989F-AE185A1E0D34}"/>
              </a:ext>
            </a:extLst>
          </xdr:cNvPr>
          <xdr:cNvSpPr/>
        </xdr:nvSpPr>
        <xdr:spPr>
          <a:xfrm>
            <a:off x="241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7" name="$E$96">
            <a:extLst>
              <a:ext uri="{FF2B5EF4-FFF2-40B4-BE49-F238E27FC236}">
                <a16:creationId xmlns:a16="http://schemas.microsoft.com/office/drawing/2014/main" id="{04F754B8-8C90-48BA-9A45-465EB969FC42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8" name="$E$96">
            <a:extLst>
              <a:ext uri="{FF2B5EF4-FFF2-40B4-BE49-F238E27FC236}">
                <a16:creationId xmlns:a16="http://schemas.microsoft.com/office/drawing/2014/main" id="{2C682B6B-B2FA-4531-B46A-85AABD8CBA1D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69" name="$E$96">
            <a:extLst>
              <a:ext uri="{FF2B5EF4-FFF2-40B4-BE49-F238E27FC236}">
                <a16:creationId xmlns:a16="http://schemas.microsoft.com/office/drawing/2014/main" id="{40711517-3246-4B12-A175-D565536B2A43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0" name="$E$96">
            <a:extLst>
              <a:ext uri="{FF2B5EF4-FFF2-40B4-BE49-F238E27FC236}">
                <a16:creationId xmlns:a16="http://schemas.microsoft.com/office/drawing/2014/main" id="{2E00DEA9-467E-4C4D-BA8E-94661A4F1D57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1" name="$E$96">
            <a:extLst>
              <a:ext uri="{FF2B5EF4-FFF2-40B4-BE49-F238E27FC236}">
                <a16:creationId xmlns:a16="http://schemas.microsoft.com/office/drawing/2014/main" id="{14E21152-AB0B-4046-8A97-714A24BDD260}"/>
              </a:ext>
            </a:extLst>
          </xdr:cNvPr>
          <xdr:cNvSpPr/>
        </xdr:nvSpPr>
        <xdr:spPr>
          <a:xfrm>
            <a:off x="330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2" name="$E$96">
            <a:extLst>
              <a:ext uri="{FF2B5EF4-FFF2-40B4-BE49-F238E27FC236}">
                <a16:creationId xmlns:a16="http://schemas.microsoft.com/office/drawing/2014/main" id="{ACF79A4D-4ADB-4742-8A2B-1C07C375FBBA}"/>
              </a:ext>
            </a:extLst>
          </xdr:cNvPr>
          <xdr:cNvSpPr/>
        </xdr:nvSpPr>
        <xdr:spPr>
          <a:xfrm>
            <a:off x="342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3" name="$E$96">
            <a:extLst>
              <a:ext uri="{FF2B5EF4-FFF2-40B4-BE49-F238E27FC236}">
                <a16:creationId xmlns:a16="http://schemas.microsoft.com/office/drawing/2014/main" id="{07F6F38C-C909-4B97-B9C5-924DB64E97AA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4" name="$E$96">
            <a:extLst>
              <a:ext uri="{FF2B5EF4-FFF2-40B4-BE49-F238E27FC236}">
                <a16:creationId xmlns:a16="http://schemas.microsoft.com/office/drawing/2014/main" id="{25269DC3-7B90-4E11-A3AD-9A826EDBDA54}"/>
              </a:ext>
            </a:extLst>
          </xdr:cNvPr>
          <xdr:cNvSpPr/>
        </xdr:nvSpPr>
        <xdr:spPr>
          <a:xfrm>
            <a:off x="368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5" name="$E$96">
            <a:extLst>
              <a:ext uri="{FF2B5EF4-FFF2-40B4-BE49-F238E27FC236}">
                <a16:creationId xmlns:a16="http://schemas.microsoft.com/office/drawing/2014/main" id="{5480D467-520D-4C21-8048-0DF946B798E4}"/>
              </a:ext>
            </a:extLst>
          </xdr:cNvPr>
          <xdr:cNvSpPr/>
        </xdr:nvSpPr>
        <xdr:spPr>
          <a:xfrm>
            <a:off x="381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6" name="$E$96">
            <a:extLst>
              <a:ext uri="{FF2B5EF4-FFF2-40B4-BE49-F238E27FC236}">
                <a16:creationId xmlns:a16="http://schemas.microsoft.com/office/drawing/2014/main" id="{D5133B38-CF9B-407C-BF4C-653507293A9C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7" name="$E$96">
            <a:extLst>
              <a:ext uri="{FF2B5EF4-FFF2-40B4-BE49-F238E27FC236}">
                <a16:creationId xmlns:a16="http://schemas.microsoft.com/office/drawing/2014/main" id="{5EF12165-7A1A-4B5D-A9FB-E2676C91D21B}"/>
              </a:ext>
            </a:extLst>
          </xdr:cNvPr>
          <xdr:cNvSpPr/>
        </xdr:nvSpPr>
        <xdr:spPr>
          <a:xfrm>
            <a:off x="406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8" name="$E$96">
            <a:extLst>
              <a:ext uri="{FF2B5EF4-FFF2-40B4-BE49-F238E27FC236}">
                <a16:creationId xmlns:a16="http://schemas.microsoft.com/office/drawing/2014/main" id="{36CF15DA-293D-4A63-A904-00314C97BA62}"/>
              </a:ext>
            </a:extLst>
          </xdr:cNvPr>
          <xdr:cNvSpPr/>
        </xdr:nvSpPr>
        <xdr:spPr>
          <a:xfrm>
            <a:off x="431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79" name="$E$96">
            <a:extLst>
              <a:ext uri="{FF2B5EF4-FFF2-40B4-BE49-F238E27FC236}">
                <a16:creationId xmlns:a16="http://schemas.microsoft.com/office/drawing/2014/main" id="{23836DC3-EFCD-40C0-ABB4-7F3C5A3D9A58}"/>
              </a:ext>
            </a:extLst>
          </xdr:cNvPr>
          <xdr:cNvSpPr/>
        </xdr:nvSpPr>
        <xdr:spPr>
          <a:xfrm>
            <a:off x="444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0" name="$E$96">
            <a:extLst>
              <a:ext uri="{FF2B5EF4-FFF2-40B4-BE49-F238E27FC236}">
                <a16:creationId xmlns:a16="http://schemas.microsoft.com/office/drawing/2014/main" id="{28679E06-9E2E-45E7-90D2-D235556D28E7}"/>
              </a:ext>
            </a:extLst>
          </xdr:cNvPr>
          <xdr:cNvSpPr/>
        </xdr:nvSpPr>
        <xdr:spPr>
          <a:xfrm>
            <a:off x="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1" name="$E$96">
            <a:extLst>
              <a:ext uri="{FF2B5EF4-FFF2-40B4-BE49-F238E27FC236}">
                <a16:creationId xmlns:a16="http://schemas.microsoft.com/office/drawing/2014/main" id="{22EED9B0-6969-4EC0-A756-4917DA929607}"/>
              </a:ext>
            </a:extLst>
          </xdr:cNvPr>
          <xdr:cNvSpPr/>
        </xdr:nvSpPr>
        <xdr:spPr>
          <a:xfrm>
            <a:off x="25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2" name="$E$96">
            <a:extLst>
              <a:ext uri="{FF2B5EF4-FFF2-40B4-BE49-F238E27FC236}">
                <a16:creationId xmlns:a16="http://schemas.microsoft.com/office/drawing/2014/main" id="{7AEC6C48-C9F1-4092-BD1B-545988DF8D2A}"/>
              </a:ext>
            </a:extLst>
          </xdr:cNvPr>
          <xdr:cNvSpPr/>
        </xdr:nvSpPr>
        <xdr:spPr>
          <a:xfrm>
            <a:off x="38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3" name="$E$96">
            <a:extLst>
              <a:ext uri="{FF2B5EF4-FFF2-40B4-BE49-F238E27FC236}">
                <a16:creationId xmlns:a16="http://schemas.microsoft.com/office/drawing/2014/main" id="{4CF0A999-AA0E-4D1E-8ABE-B60180B4617C}"/>
              </a:ext>
            </a:extLst>
          </xdr:cNvPr>
          <xdr:cNvSpPr/>
        </xdr:nvSpPr>
        <xdr:spPr>
          <a:xfrm>
            <a:off x="50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4" name="$E$96">
            <a:extLst>
              <a:ext uri="{FF2B5EF4-FFF2-40B4-BE49-F238E27FC236}">
                <a16:creationId xmlns:a16="http://schemas.microsoft.com/office/drawing/2014/main" id="{A63A692B-3676-4398-BB95-04FE0A9A8A4C}"/>
              </a:ext>
            </a:extLst>
          </xdr:cNvPr>
          <xdr:cNvSpPr/>
        </xdr:nvSpPr>
        <xdr:spPr>
          <a:xfrm>
            <a:off x="76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5" name="$E$96">
            <a:extLst>
              <a:ext uri="{FF2B5EF4-FFF2-40B4-BE49-F238E27FC236}">
                <a16:creationId xmlns:a16="http://schemas.microsoft.com/office/drawing/2014/main" id="{673D2D77-7656-4A5E-AD1C-4F7B16650CFC}"/>
              </a:ext>
            </a:extLst>
          </xdr:cNvPr>
          <xdr:cNvSpPr/>
        </xdr:nvSpPr>
        <xdr:spPr>
          <a:xfrm>
            <a:off x="101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6" name="$E$96">
            <a:extLst>
              <a:ext uri="{FF2B5EF4-FFF2-40B4-BE49-F238E27FC236}">
                <a16:creationId xmlns:a16="http://schemas.microsoft.com/office/drawing/2014/main" id="{D88FAE5E-CB87-44BB-8B4F-1FF6D2B1F862}"/>
              </a:ext>
            </a:extLst>
          </xdr:cNvPr>
          <xdr:cNvSpPr/>
        </xdr:nvSpPr>
        <xdr:spPr>
          <a:xfrm>
            <a:off x="127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7" name="$E$96">
            <a:extLst>
              <a:ext uri="{FF2B5EF4-FFF2-40B4-BE49-F238E27FC236}">
                <a16:creationId xmlns:a16="http://schemas.microsoft.com/office/drawing/2014/main" id="{EB844672-9BB1-4D97-97A7-641462E500AB}"/>
              </a:ext>
            </a:extLst>
          </xdr:cNvPr>
          <xdr:cNvSpPr/>
        </xdr:nvSpPr>
        <xdr:spPr>
          <a:xfrm>
            <a:off x="203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8" name="$E$96">
            <a:extLst>
              <a:ext uri="{FF2B5EF4-FFF2-40B4-BE49-F238E27FC236}">
                <a16:creationId xmlns:a16="http://schemas.microsoft.com/office/drawing/2014/main" id="{EAC60FF4-1F6E-4EC6-A47B-A30C50A1A2FD}"/>
              </a:ext>
            </a:extLst>
          </xdr:cNvPr>
          <xdr:cNvSpPr/>
        </xdr:nvSpPr>
        <xdr:spPr>
          <a:xfrm>
            <a:off x="2159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89" name="$E$96">
            <a:extLst>
              <a:ext uri="{FF2B5EF4-FFF2-40B4-BE49-F238E27FC236}">
                <a16:creationId xmlns:a16="http://schemas.microsoft.com/office/drawing/2014/main" id="{9855CA94-D097-46D8-9229-9ADC533E6763}"/>
              </a:ext>
            </a:extLst>
          </xdr:cNvPr>
          <xdr:cNvSpPr/>
        </xdr:nvSpPr>
        <xdr:spPr>
          <a:xfrm>
            <a:off x="228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0" name="$E$96">
            <a:extLst>
              <a:ext uri="{FF2B5EF4-FFF2-40B4-BE49-F238E27FC236}">
                <a16:creationId xmlns:a16="http://schemas.microsoft.com/office/drawing/2014/main" id="{AD244D62-6640-4E72-9434-C19AAFE9F82F}"/>
              </a:ext>
            </a:extLst>
          </xdr:cNvPr>
          <xdr:cNvSpPr/>
        </xdr:nvSpPr>
        <xdr:spPr>
          <a:xfrm>
            <a:off x="241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1" name="$E$96">
            <a:extLst>
              <a:ext uri="{FF2B5EF4-FFF2-40B4-BE49-F238E27FC236}">
                <a16:creationId xmlns:a16="http://schemas.microsoft.com/office/drawing/2014/main" id="{6CEF2523-2DFF-4520-B430-87FC2BFDEF3C}"/>
              </a:ext>
            </a:extLst>
          </xdr:cNvPr>
          <xdr:cNvSpPr/>
        </xdr:nvSpPr>
        <xdr:spPr>
          <a:xfrm>
            <a:off x="254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2" name="$E$96">
            <a:extLst>
              <a:ext uri="{FF2B5EF4-FFF2-40B4-BE49-F238E27FC236}">
                <a16:creationId xmlns:a16="http://schemas.microsoft.com/office/drawing/2014/main" id="{D57DF647-550F-4207-B96A-8B6FDC62B633}"/>
              </a:ext>
            </a:extLst>
          </xdr:cNvPr>
          <xdr:cNvSpPr/>
        </xdr:nvSpPr>
        <xdr:spPr>
          <a:xfrm>
            <a:off x="292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3" name="$E$96">
            <a:extLst>
              <a:ext uri="{FF2B5EF4-FFF2-40B4-BE49-F238E27FC236}">
                <a16:creationId xmlns:a16="http://schemas.microsoft.com/office/drawing/2014/main" id="{DB7DC4B6-0978-47CF-87D9-346858418399}"/>
              </a:ext>
            </a:extLst>
          </xdr:cNvPr>
          <xdr:cNvSpPr/>
        </xdr:nvSpPr>
        <xdr:spPr>
          <a:xfrm>
            <a:off x="304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4" name="$E$96">
            <a:extLst>
              <a:ext uri="{FF2B5EF4-FFF2-40B4-BE49-F238E27FC236}">
                <a16:creationId xmlns:a16="http://schemas.microsoft.com/office/drawing/2014/main" id="{F0CE8C5B-810B-45E1-8ECC-ED87C867C088}"/>
              </a:ext>
            </a:extLst>
          </xdr:cNvPr>
          <xdr:cNvSpPr/>
        </xdr:nvSpPr>
        <xdr:spPr>
          <a:xfrm>
            <a:off x="355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5" name="$E$96">
            <a:extLst>
              <a:ext uri="{FF2B5EF4-FFF2-40B4-BE49-F238E27FC236}">
                <a16:creationId xmlns:a16="http://schemas.microsoft.com/office/drawing/2014/main" id="{AA0C14A8-DEAF-41B3-93BF-1A335BE5F84A}"/>
              </a:ext>
            </a:extLst>
          </xdr:cNvPr>
          <xdr:cNvSpPr/>
        </xdr:nvSpPr>
        <xdr:spPr>
          <a:xfrm>
            <a:off x="368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6" name="$E$96">
            <a:extLst>
              <a:ext uri="{FF2B5EF4-FFF2-40B4-BE49-F238E27FC236}">
                <a16:creationId xmlns:a16="http://schemas.microsoft.com/office/drawing/2014/main" id="{EF4A8CCF-30B6-4E7D-B012-F807F488EE2D}"/>
              </a:ext>
            </a:extLst>
          </xdr:cNvPr>
          <xdr:cNvSpPr/>
        </xdr:nvSpPr>
        <xdr:spPr>
          <a:xfrm>
            <a:off x="381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7" name="$E$96">
            <a:extLst>
              <a:ext uri="{FF2B5EF4-FFF2-40B4-BE49-F238E27FC236}">
                <a16:creationId xmlns:a16="http://schemas.microsoft.com/office/drawing/2014/main" id="{B9914746-953F-44E3-B3A2-B0500961DE36}"/>
              </a:ext>
            </a:extLst>
          </xdr:cNvPr>
          <xdr:cNvSpPr/>
        </xdr:nvSpPr>
        <xdr:spPr>
          <a:xfrm>
            <a:off x="406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8" name="$E$96">
            <a:extLst>
              <a:ext uri="{FF2B5EF4-FFF2-40B4-BE49-F238E27FC236}">
                <a16:creationId xmlns:a16="http://schemas.microsoft.com/office/drawing/2014/main" id="{4E546D61-54D6-4450-B2EC-83A912049F88}"/>
              </a:ext>
            </a:extLst>
          </xdr:cNvPr>
          <xdr:cNvSpPr/>
        </xdr:nvSpPr>
        <xdr:spPr>
          <a:xfrm>
            <a:off x="4445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399" name="$E$96">
            <a:extLst>
              <a:ext uri="{FF2B5EF4-FFF2-40B4-BE49-F238E27FC236}">
                <a16:creationId xmlns:a16="http://schemas.microsoft.com/office/drawing/2014/main" id="{9F6A7483-3C44-4D41-B9E3-C3AF1538A9C8}"/>
              </a:ext>
            </a:extLst>
          </xdr:cNvPr>
          <xdr:cNvSpPr/>
        </xdr:nvSpPr>
        <xdr:spPr>
          <a:xfrm>
            <a:off x="457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0" name="$E$96">
            <a:extLst>
              <a:ext uri="{FF2B5EF4-FFF2-40B4-BE49-F238E27FC236}">
                <a16:creationId xmlns:a16="http://schemas.microsoft.com/office/drawing/2014/main" id="{6877A608-5D07-4E80-B16F-82455B28FC06}"/>
              </a:ext>
            </a:extLst>
          </xdr:cNvPr>
          <xdr:cNvSpPr/>
        </xdr:nvSpPr>
        <xdr:spPr>
          <a:xfrm>
            <a:off x="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1" name="$E$96">
            <a:extLst>
              <a:ext uri="{FF2B5EF4-FFF2-40B4-BE49-F238E27FC236}">
                <a16:creationId xmlns:a16="http://schemas.microsoft.com/office/drawing/2014/main" id="{82C1EF6E-A540-4F9E-B85A-2C371EC857BF}"/>
              </a:ext>
            </a:extLst>
          </xdr:cNvPr>
          <xdr:cNvSpPr/>
        </xdr:nvSpPr>
        <xdr:spPr>
          <a:xfrm>
            <a:off x="25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2" name="$E$96">
            <a:extLst>
              <a:ext uri="{FF2B5EF4-FFF2-40B4-BE49-F238E27FC236}">
                <a16:creationId xmlns:a16="http://schemas.microsoft.com/office/drawing/2014/main" id="{34407F0B-3F53-4AA7-9AA5-3AFD3BF84675}"/>
              </a:ext>
            </a:extLst>
          </xdr:cNvPr>
          <xdr:cNvSpPr/>
        </xdr:nvSpPr>
        <xdr:spPr>
          <a:xfrm>
            <a:off x="38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3" name="$E$96">
            <a:extLst>
              <a:ext uri="{FF2B5EF4-FFF2-40B4-BE49-F238E27FC236}">
                <a16:creationId xmlns:a16="http://schemas.microsoft.com/office/drawing/2014/main" id="{49F7F48C-0B44-4415-AE02-ED098958B60F}"/>
              </a:ext>
            </a:extLst>
          </xdr:cNvPr>
          <xdr:cNvSpPr/>
        </xdr:nvSpPr>
        <xdr:spPr>
          <a:xfrm>
            <a:off x="50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4" name="$E$96">
            <a:extLst>
              <a:ext uri="{FF2B5EF4-FFF2-40B4-BE49-F238E27FC236}">
                <a16:creationId xmlns:a16="http://schemas.microsoft.com/office/drawing/2014/main" id="{8C1A3BCC-E555-4C0E-A2E4-6CC862AED69D}"/>
              </a:ext>
            </a:extLst>
          </xdr:cNvPr>
          <xdr:cNvSpPr/>
        </xdr:nvSpPr>
        <xdr:spPr>
          <a:xfrm>
            <a:off x="76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5" name="$E$96">
            <a:extLst>
              <a:ext uri="{FF2B5EF4-FFF2-40B4-BE49-F238E27FC236}">
                <a16:creationId xmlns:a16="http://schemas.microsoft.com/office/drawing/2014/main" id="{F2895484-1108-42DE-89B7-202A327B7C42}"/>
              </a:ext>
            </a:extLst>
          </xdr:cNvPr>
          <xdr:cNvSpPr/>
        </xdr:nvSpPr>
        <xdr:spPr>
          <a:xfrm>
            <a:off x="1016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6" name="$E$96">
            <a:extLst>
              <a:ext uri="{FF2B5EF4-FFF2-40B4-BE49-F238E27FC236}">
                <a16:creationId xmlns:a16="http://schemas.microsoft.com/office/drawing/2014/main" id="{A02723CF-F1A6-4138-9BD7-3346A7F3C925}"/>
              </a:ext>
            </a:extLst>
          </xdr:cNvPr>
          <xdr:cNvSpPr/>
        </xdr:nvSpPr>
        <xdr:spPr>
          <a:xfrm>
            <a:off x="139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7" name="$E$96">
            <a:extLst>
              <a:ext uri="{FF2B5EF4-FFF2-40B4-BE49-F238E27FC236}">
                <a16:creationId xmlns:a16="http://schemas.microsoft.com/office/drawing/2014/main" id="{8ADDF6CB-9B69-4C71-A9E5-257CE131FA32}"/>
              </a:ext>
            </a:extLst>
          </xdr:cNvPr>
          <xdr:cNvSpPr/>
        </xdr:nvSpPr>
        <xdr:spPr>
          <a:xfrm>
            <a:off x="152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8" name="$E$96">
            <a:extLst>
              <a:ext uri="{FF2B5EF4-FFF2-40B4-BE49-F238E27FC236}">
                <a16:creationId xmlns:a16="http://schemas.microsoft.com/office/drawing/2014/main" id="{04766E9E-4201-4E57-AE0D-87DA41037962}"/>
              </a:ext>
            </a:extLst>
          </xdr:cNvPr>
          <xdr:cNvSpPr/>
        </xdr:nvSpPr>
        <xdr:spPr>
          <a:xfrm>
            <a:off x="190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09" name="$E$96">
            <a:extLst>
              <a:ext uri="{FF2B5EF4-FFF2-40B4-BE49-F238E27FC236}">
                <a16:creationId xmlns:a16="http://schemas.microsoft.com/office/drawing/2014/main" id="{10052A55-B8A1-4E6A-9D01-A0D0798A894C}"/>
              </a:ext>
            </a:extLst>
          </xdr:cNvPr>
          <xdr:cNvSpPr/>
        </xdr:nvSpPr>
        <xdr:spPr>
          <a:xfrm>
            <a:off x="203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0" name="$E$96">
            <a:extLst>
              <a:ext uri="{FF2B5EF4-FFF2-40B4-BE49-F238E27FC236}">
                <a16:creationId xmlns:a16="http://schemas.microsoft.com/office/drawing/2014/main" id="{9EBB2CC2-E78B-49E4-88BD-1C088C937500}"/>
              </a:ext>
            </a:extLst>
          </xdr:cNvPr>
          <xdr:cNvSpPr/>
        </xdr:nvSpPr>
        <xdr:spPr>
          <a:xfrm>
            <a:off x="254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1" name="$E$96">
            <a:extLst>
              <a:ext uri="{FF2B5EF4-FFF2-40B4-BE49-F238E27FC236}">
                <a16:creationId xmlns:a16="http://schemas.microsoft.com/office/drawing/2014/main" id="{B06133D0-E257-4344-B53D-1F5F41C93BA1}"/>
              </a:ext>
            </a:extLst>
          </xdr:cNvPr>
          <xdr:cNvSpPr/>
        </xdr:nvSpPr>
        <xdr:spPr>
          <a:xfrm>
            <a:off x="279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2" name="$E$96">
            <a:extLst>
              <a:ext uri="{FF2B5EF4-FFF2-40B4-BE49-F238E27FC236}">
                <a16:creationId xmlns:a16="http://schemas.microsoft.com/office/drawing/2014/main" id="{B0F34BBF-2628-4701-BB94-F9F20C8EF9C0}"/>
              </a:ext>
            </a:extLst>
          </xdr:cNvPr>
          <xdr:cNvSpPr/>
        </xdr:nvSpPr>
        <xdr:spPr>
          <a:xfrm>
            <a:off x="330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3" name="$E$96">
            <a:extLst>
              <a:ext uri="{FF2B5EF4-FFF2-40B4-BE49-F238E27FC236}">
                <a16:creationId xmlns:a16="http://schemas.microsoft.com/office/drawing/2014/main" id="{B25839E1-855E-41A7-8B00-FD2432485822}"/>
              </a:ext>
            </a:extLst>
          </xdr:cNvPr>
          <xdr:cNvSpPr/>
        </xdr:nvSpPr>
        <xdr:spPr>
          <a:xfrm>
            <a:off x="3429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4" name="$E$96">
            <a:extLst>
              <a:ext uri="{FF2B5EF4-FFF2-40B4-BE49-F238E27FC236}">
                <a16:creationId xmlns:a16="http://schemas.microsoft.com/office/drawing/2014/main" id="{D56E5C4B-BD29-4B08-BE7D-19305B7D4A01}"/>
              </a:ext>
            </a:extLst>
          </xdr:cNvPr>
          <xdr:cNvSpPr/>
        </xdr:nvSpPr>
        <xdr:spPr>
          <a:xfrm>
            <a:off x="393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5" name="$E$96">
            <a:extLst>
              <a:ext uri="{FF2B5EF4-FFF2-40B4-BE49-F238E27FC236}">
                <a16:creationId xmlns:a16="http://schemas.microsoft.com/office/drawing/2014/main" id="{A92E0CA5-F93F-42F6-8EA7-1C0C55ABB91D}"/>
              </a:ext>
            </a:extLst>
          </xdr:cNvPr>
          <xdr:cNvSpPr/>
        </xdr:nvSpPr>
        <xdr:spPr>
          <a:xfrm>
            <a:off x="419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6" name="$E$96">
            <a:extLst>
              <a:ext uri="{FF2B5EF4-FFF2-40B4-BE49-F238E27FC236}">
                <a16:creationId xmlns:a16="http://schemas.microsoft.com/office/drawing/2014/main" id="{E8D8B214-0FE3-4C9E-81A3-037324F8C8C4}"/>
              </a:ext>
            </a:extLst>
          </xdr:cNvPr>
          <xdr:cNvSpPr/>
        </xdr:nvSpPr>
        <xdr:spPr>
          <a:xfrm>
            <a:off x="444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7" name="$E$96">
            <a:extLst>
              <a:ext uri="{FF2B5EF4-FFF2-40B4-BE49-F238E27FC236}">
                <a16:creationId xmlns:a16="http://schemas.microsoft.com/office/drawing/2014/main" id="{7AB1DF50-E52A-4938-93F3-F223D1ADC20E}"/>
              </a:ext>
            </a:extLst>
          </xdr:cNvPr>
          <xdr:cNvSpPr/>
        </xdr:nvSpPr>
        <xdr:spPr>
          <a:xfrm>
            <a:off x="457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8" name="$E$96">
            <a:extLst>
              <a:ext uri="{FF2B5EF4-FFF2-40B4-BE49-F238E27FC236}">
                <a16:creationId xmlns:a16="http://schemas.microsoft.com/office/drawing/2014/main" id="{5628E1C2-9B7F-4236-A452-51FD6B5377E8}"/>
              </a:ext>
            </a:extLst>
          </xdr:cNvPr>
          <xdr:cNvSpPr/>
        </xdr:nvSpPr>
        <xdr:spPr>
          <a:xfrm>
            <a:off x="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19" name="$E$96">
            <a:extLst>
              <a:ext uri="{FF2B5EF4-FFF2-40B4-BE49-F238E27FC236}">
                <a16:creationId xmlns:a16="http://schemas.microsoft.com/office/drawing/2014/main" id="{C3ACC003-6044-47EF-A56B-225292562244}"/>
              </a:ext>
            </a:extLst>
          </xdr:cNvPr>
          <xdr:cNvSpPr/>
        </xdr:nvSpPr>
        <xdr:spPr>
          <a:xfrm>
            <a:off x="76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0" name="$E$96">
            <a:extLst>
              <a:ext uri="{FF2B5EF4-FFF2-40B4-BE49-F238E27FC236}">
                <a16:creationId xmlns:a16="http://schemas.microsoft.com/office/drawing/2014/main" id="{134520CF-6E08-4F06-8AFE-4F66D706043B}"/>
              </a:ext>
            </a:extLst>
          </xdr:cNvPr>
          <xdr:cNvSpPr/>
        </xdr:nvSpPr>
        <xdr:spPr>
          <a:xfrm>
            <a:off x="101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1" name="$E$96">
            <a:extLst>
              <a:ext uri="{FF2B5EF4-FFF2-40B4-BE49-F238E27FC236}">
                <a16:creationId xmlns:a16="http://schemas.microsoft.com/office/drawing/2014/main" id="{ADBE4206-553E-40C3-8773-393AB90D5D70}"/>
              </a:ext>
            </a:extLst>
          </xdr:cNvPr>
          <xdr:cNvSpPr/>
        </xdr:nvSpPr>
        <xdr:spPr>
          <a:xfrm>
            <a:off x="1143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2" name="$E$96">
            <a:extLst>
              <a:ext uri="{FF2B5EF4-FFF2-40B4-BE49-F238E27FC236}">
                <a16:creationId xmlns:a16="http://schemas.microsoft.com/office/drawing/2014/main" id="{D68E4321-FE84-4B57-9CD8-5F90C3607144}"/>
              </a:ext>
            </a:extLst>
          </xdr:cNvPr>
          <xdr:cNvSpPr/>
        </xdr:nvSpPr>
        <xdr:spPr>
          <a:xfrm>
            <a:off x="1397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3" name="$E$96">
            <a:extLst>
              <a:ext uri="{FF2B5EF4-FFF2-40B4-BE49-F238E27FC236}">
                <a16:creationId xmlns:a16="http://schemas.microsoft.com/office/drawing/2014/main" id="{C1B1C168-BE6C-43BB-B0C3-587409D6E183}"/>
              </a:ext>
            </a:extLst>
          </xdr:cNvPr>
          <xdr:cNvSpPr/>
        </xdr:nvSpPr>
        <xdr:spPr>
          <a:xfrm>
            <a:off x="1778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4" name="$E$96">
            <a:extLst>
              <a:ext uri="{FF2B5EF4-FFF2-40B4-BE49-F238E27FC236}">
                <a16:creationId xmlns:a16="http://schemas.microsoft.com/office/drawing/2014/main" id="{028D2FCC-F018-4ABA-BCF3-2A3DD419B18E}"/>
              </a:ext>
            </a:extLst>
          </xdr:cNvPr>
          <xdr:cNvSpPr/>
        </xdr:nvSpPr>
        <xdr:spPr>
          <a:xfrm>
            <a:off x="203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5" name="$E$96">
            <a:extLst>
              <a:ext uri="{FF2B5EF4-FFF2-40B4-BE49-F238E27FC236}">
                <a16:creationId xmlns:a16="http://schemas.microsoft.com/office/drawing/2014/main" id="{375E4874-670A-494C-B60D-15E409E7D814}"/>
              </a:ext>
            </a:extLst>
          </xdr:cNvPr>
          <xdr:cNvSpPr/>
        </xdr:nvSpPr>
        <xdr:spPr>
          <a:xfrm>
            <a:off x="228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6" name="$E$96">
            <a:extLst>
              <a:ext uri="{FF2B5EF4-FFF2-40B4-BE49-F238E27FC236}">
                <a16:creationId xmlns:a16="http://schemas.microsoft.com/office/drawing/2014/main" id="{5E3650C9-4F7F-4FCD-856E-47C06FB09F83}"/>
              </a:ext>
            </a:extLst>
          </xdr:cNvPr>
          <xdr:cNvSpPr/>
        </xdr:nvSpPr>
        <xdr:spPr>
          <a:xfrm>
            <a:off x="2667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7" name="$E$96">
            <a:extLst>
              <a:ext uri="{FF2B5EF4-FFF2-40B4-BE49-F238E27FC236}">
                <a16:creationId xmlns:a16="http://schemas.microsoft.com/office/drawing/2014/main" id="{D13E5337-7502-4BC6-8B19-AA65EA6ACD81}"/>
              </a:ext>
            </a:extLst>
          </xdr:cNvPr>
          <xdr:cNvSpPr/>
        </xdr:nvSpPr>
        <xdr:spPr>
          <a:xfrm>
            <a:off x="3429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8" name="$E$96">
            <a:extLst>
              <a:ext uri="{FF2B5EF4-FFF2-40B4-BE49-F238E27FC236}">
                <a16:creationId xmlns:a16="http://schemas.microsoft.com/office/drawing/2014/main" id="{6B0D9245-1E83-4607-BEC6-5D5C0A949C13}"/>
              </a:ext>
            </a:extLst>
          </xdr:cNvPr>
          <xdr:cNvSpPr/>
        </xdr:nvSpPr>
        <xdr:spPr>
          <a:xfrm>
            <a:off x="355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29" name="$E$96">
            <a:extLst>
              <a:ext uri="{FF2B5EF4-FFF2-40B4-BE49-F238E27FC236}">
                <a16:creationId xmlns:a16="http://schemas.microsoft.com/office/drawing/2014/main" id="{24A228E8-4643-466C-9639-BD9F1AD3B1DA}"/>
              </a:ext>
            </a:extLst>
          </xdr:cNvPr>
          <xdr:cNvSpPr/>
        </xdr:nvSpPr>
        <xdr:spPr>
          <a:xfrm>
            <a:off x="381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0" name="$E$96">
            <a:extLst>
              <a:ext uri="{FF2B5EF4-FFF2-40B4-BE49-F238E27FC236}">
                <a16:creationId xmlns:a16="http://schemas.microsoft.com/office/drawing/2014/main" id="{00E6F051-351B-4695-AD78-09AA788011C4}"/>
              </a:ext>
            </a:extLst>
          </xdr:cNvPr>
          <xdr:cNvSpPr/>
        </xdr:nvSpPr>
        <xdr:spPr>
          <a:xfrm>
            <a:off x="406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1" name="$E$96">
            <a:extLst>
              <a:ext uri="{FF2B5EF4-FFF2-40B4-BE49-F238E27FC236}">
                <a16:creationId xmlns:a16="http://schemas.microsoft.com/office/drawing/2014/main" id="{743C423B-8770-4690-B4D2-3C2D4C0C94A2}"/>
              </a:ext>
            </a:extLst>
          </xdr:cNvPr>
          <xdr:cNvSpPr/>
        </xdr:nvSpPr>
        <xdr:spPr>
          <a:xfrm>
            <a:off x="457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2" name="$E$96">
            <a:extLst>
              <a:ext uri="{FF2B5EF4-FFF2-40B4-BE49-F238E27FC236}">
                <a16:creationId xmlns:a16="http://schemas.microsoft.com/office/drawing/2014/main" id="{E4AE93C7-7979-4DD1-8730-0BD92730A1AD}"/>
              </a:ext>
            </a:extLst>
          </xdr:cNvPr>
          <xdr:cNvSpPr/>
        </xdr:nvSpPr>
        <xdr:spPr>
          <a:xfrm>
            <a:off x="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3" name="$E$96">
            <a:extLst>
              <a:ext uri="{FF2B5EF4-FFF2-40B4-BE49-F238E27FC236}">
                <a16:creationId xmlns:a16="http://schemas.microsoft.com/office/drawing/2014/main" id="{B4C0E88E-E6C6-47EA-A5AC-D176023F6A28}"/>
              </a:ext>
            </a:extLst>
          </xdr:cNvPr>
          <xdr:cNvSpPr/>
        </xdr:nvSpPr>
        <xdr:spPr>
          <a:xfrm>
            <a:off x="12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4" name="$E$96">
            <a:extLst>
              <a:ext uri="{FF2B5EF4-FFF2-40B4-BE49-F238E27FC236}">
                <a16:creationId xmlns:a16="http://schemas.microsoft.com/office/drawing/2014/main" id="{65900645-6B5B-4770-A4ED-3462ED0B14BD}"/>
              </a:ext>
            </a:extLst>
          </xdr:cNvPr>
          <xdr:cNvSpPr/>
        </xdr:nvSpPr>
        <xdr:spPr>
          <a:xfrm>
            <a:off x="25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5" name="$E$96">
            <a:extLst>
              <a:ext uri="{FF2B5EF4-FFF2-40B4-BE49-F238E27FC236}">
                <a16:creationId xmlns:a16="http://schemas.microsoft.com/office/drawing/2014/main" id="{BC0782D6-ED46-4E83-AC32-DEF1DA6F0C00}"/>
              </a:ext>
            </a:extLst>
          </xdr:cNvPr>
          <xdr:cNvSpPr/>
        </xdr:nvSpPr>
        <xdr:spPr>
          <a:xfrm>
            <a:off x="38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6" name="$E$96">
            <a:extLst>
              <a:ext uri="{FF2B5EF4-FFF2-40B4-BE49-F238E27FC236}">
                <a16:creationId xmlns:a16="http://schemas.microsoft.com/office/drawing/2014/main" id="{8DDD23E2-F415-4358-AA9A-577B0E441E21}"/>
              </a:ext>
            </a:extLst>
          </xdr:cNvPr>
          <xdr:cNvSpPr/>
        </xdr:nvSpPr>
        <xdr:spPr>
          <a:xfrm>
            <a:off x="50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7" name="$E$96">
            <a:extLst>
              <a:ext uri="{FF2B5EF4-FFF2-40B4-BE49-F238E27FC236}">
                <a16:creationId xmlns:a16="http://schemas.microsoft.com/office/drawing/2014/main" id="{A72B9996-4EEF-415B-9303-A245548E7717}"/>
              </a:ext>
            </a:extLst>
          </xdr:cNvPr>
          <xdr:cNvSpPr/>
        </xdr:nvSpPr>
        <xdr:spPr>
          <a:xfrm>
            <a:off x="63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8" name="$E$96">
            <a:extLst>
              <a:ext uri="{FF2B5EF4-FFF2-40B4-BE49-F238E27FC236}">
                <a16:creationId xmlns:a16="http://schemas.microsoft.com/office/drawing/2014/main" id="{3FACE3E0-92EE-47B8-88D8-E8A3932CD374}"/>
              </a:ext>
            </a:extLst>
          </xdr:cNvPr>
          <xdr:cNvSpPr/>
        </xdr:nvSpPr>
        <xdr:spPr>
          <a:xfrm>
            <a:off x="76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39" name="$E$96">
            <a:extLst>
              <a:ext uri="{FF2B5EF4-FFF2-40B4-BE49-F238E27FC236}">
                <a16:creationId xmlns:a16="http://schemas.microsoft.com/office/drawing/2014/main" id="{53FC99E6-C5D8-4E12-A9EC-02C77E4F27E0}"/>
              </a:ext>
            </a:extLst>
          </xdr:cNvPr>
          <xdr:cNvSpPr/>
        </xdr:nvSpPr>
        <xdr:spPr>
          <a:xfrm>
            <a:off x="101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0" name="$E$96">
            <a:extLst>
              <a:ext uri="{FF2B5EF4-FFF2-40B4-BE49-F238E27FC236}">
                <a16:creationId xmlns:a16="http://schemas.microsoft.com/office/drawing/2014/main" id="{EC9C9A98-2EBE-4C56-9948-A3F171A885FE}"/>
              </a:ext>
            </a:extLst>
          </xdr:cNvPr>
          <xdr:cNvSpPr/>
        </xdr:nvSpPr>
        <xdr:spPr>
          <a:xfrm>
            <a:off x="114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1" name="$E$96">
            <a:extLst>
              <a:ext uri="{FF2B5EF4-FFF2-40B4-BE49-F238E27FC236}">
                <a16:creationId xmlns:a16="http://schemas.microsoft.com/office/drawing/2014/main" id="{E5A6DB98-8FFA-4F59-B385-4612DC0EAA98}"/>
              </a:ext>
            </a:extLst>
          </xdr:cNvPr>
          <xdr:cNvSpPr/>
        </xdr:nvSpPr>
        <xdr:spPr>
          <a:xfrm>
            <a:off x="139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2" name="$E$96">
            <a:extLst>
              <a:ext uri="{FF2B5EF4-FFF2-40B4-BE49-F238E27FC236}">
                <a16:creationId xmlns:a16="http://schemas.microsoft.com/office/drawing/2014/main" id="{6C4005FE-059D-44C2-966A-F9DEC20415E7}"/>
              </a:ext>
            </a:extLst>
          </xdr:cNvPr>
          <xdr:cNvSpPr/>
        </xdr:nvSpPr>
        <xdr:spPr>
          <a:xfrm>
            <a:off x="2159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3" name="$E$96">
            <a:extLst>
              <a:ext uri="{FF2B5EF4-FFF2-40B4-BE49-F238E27FC236}">
                <a16:creationId xmlns:a16="http://schemas.microsoft.com/office/drawing/2014/main" id="{02B06A1B-95C4-4910-B987-C6B8D0BC23A2}"/>
              </a:ext>
            </a:extLst>
          </xdr:cNvPr>
          <xdr:cNvSpPr/>
        </xdr:nvSpPr>
        <xdr:spPr>
          <a:xfrm>
            <a:off x="279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4" name="$E$96">
            <a:extLst>
              <a:ext uri="{FF2B5EF4-FFF2-40B4-BE49-F238E27FC236}">
                <a16:creationId xmlns:a16="http://schemas.microsoft.com/office/drawing/2014/main" id="{383C3A83-8EAE-4E0C-B24B-590BAAE8D2E3}"/>
              </a:ext>
            </a:extLst>
          </xdr:cNvPr>
          <xdr:cNvSpPr/>
        </xdr:nvSpPr>
        <xdr:spPr>
          <a:xfrm>
            <a:off x="292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5" name="$E$96">
            <a:extLst>
              <a:ext uri="{FF2B5EF4-FFF2-40B4-BE49-F238E27FC236}">
                <a16:creationId xmlns:a16="http://schemas.microsoft.com/office/drawing/2014/main" id="{A82F2394-86A8-4B6D-AD32-5D48A62CB9EF}"/>
              </a:ext>
            </a:extLst>
          </xdr:cNvPr>
          <xdr:cNvSpPr/>
        </xdr:nvSpPr>
        <xdr:spPr>
          <a:xfrm>
            <a:off x="304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6" name="$E$96">
            <a:extLst>
              <a:ext uri="{FF2B5EF4-FFF2-40B4-BE49-F238E27FC236}">
                <a16:creationId xmlns:a16="http://schemas.microsoft.com/office/drawing/2014/main" id="{94A51A69-F072-4FC1-8FC1-658597CC114F}"/>
              </a:ext>
            </a:extLst>
          </xdr:cNvPr>
          <xdr:cNvSpPr/>
        </xdr:nvSpPr>
        <xdr:spPr>
          <a:xfrm>
            <a:off x="317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7" name="$E$96">
            <a:extLst>
              <a:ext uri="{FF2B5EF4-FFF2-40B4-BE49-F238E27FC236}">
                <a16:creationId xmlns:a16="http://schemas.microsoft.com/office/drawing/2014/main" id="{F688048A-5B86-4B3C-92B0-60DCAAC50491}"/>
              </a:ext>
            </a:extLst>
          </xdr:cNvPr>
          <xdr:cNvSpPr/>
        </xdr:nvSpPr>
        <xdr:spPr>
          <a:xfrm>
            <a:off x="330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8" name="$E$96">
            <a:extLst>
              <a:ext uri="{FF2B5EF4-FFF2-40B4-BE49-F238E27FC236}">
                <a16:creationId xmlns:a16="http://schemas.microsoft.com/office/drawing/2014/main" id="{DFA7DB13-C2E7-45D1-A85B-A1E2BDC8C3A6}"/>
              </a:ext>
            </a:extLst>
          </xdr:cNvPr>
          <xdr:cNvSpPr/>
        </xdr:nvSpPr>
        <xdr:spPr>
          <a:xfrm>
            <a:off x="368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49" name="$E$96">
            <a:extLst>
              <a:ext uri="{FF2B5EF4-FFF2-40B4-BE49-F238E27FC236}">
                <a16:creationId xmlns:a16="http://schemas.microsoft.com/office/drawing/2014/main" id="{A47B9CA3-44B1-4257-90B1-BA4CF28E0D1B}"/>
              </a:ext>
            </a:extLst>
          </xdr:cNvPr>
          <xdr:cNvSpPr/>
        </xdr:nvSpPr>
        <xdr:spPr>
          <a:xfrm>
            <a:off x="381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50" name="$E$96">
            <a:extLst>
              <a:ext uri="{FF2B5EF4-FFF2-40B4-BE49-F238E27FC236}">
                <a16:creationId xmlns:a16="http://schemas.microsoft.com/office/drawing/2014/main" id="{79AE69F2-E364-4793-916A-60E82BB6B886}"/>
              </a:ext>
            </a:extLst>
          </xdr:cNvPr>
          <xdr:cNvSpPr/>
        </xdr:nvSpPr>
        <xdr:spPr>
          <a:xfrm>
            <a:off x="431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51" name="$E$96">
            <a:extLst>
              <a:ext uri="{FF2B5EF4-FFF2-40B4-BE49-F238E27FC236}">
                <a16:creationId xmlns:a16="http://schemas.microsoft.com/office/drawing/2014/main" id="{DB12CD98-FCC7-47EE-B433-DBA9BBE5F715}"/>
              </a:ext>
            </a:extLst>
          </xdr:cNvPr>
          <xdr:cNvSpPr/>
        </xdr:nvSpPr>
        <xdr:spPr>
          <a:xfrm>
            <a:off x="444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52" name="$E$96">
            <a:extLst>
              <a:ext uri="{FF2B5EF4-FFF2-40B4-BE49-F238E27FC236}">
                <a16:creationId xmlns:a16="http://schemas.microsoft.com/office/drawing/2014/main" id="{D5660A15-38CB-4016-99A8-D2FB932E4B67}"/>
              </a:ext>
            </a:extLst>
          </xdr:cNvPr>
          <xdr:cNvSpPr/>
        </xdr:nvSpPr>
        <xdr:spPr>
          <a:xfrm>
            <a:off x="457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93703</xdr:colOff>
      <xdr:row>130</xdr:row>
      <xdr:rowOff>41312</xdr:rowOff>
    </xdr:from>
    <xdr:to>
      <xdr:col>4</xdr:col>
      <xdr:colOff>1563647</xdr:colOff>
      <xdr:row>130</xdr:row>
      <xdr:rowOff>1511256</xdr:rowOff>
    </xdr:to>
    <xdr:grpSp>
      <xdr:nvGrpSpPr>
        <xdr:cNvPr id="7152" name="$E$131" descr="QuickResponse barcode, level L, version 5, mode binary, 37x37 cells" title="https://centrodecapacitaciondelsur.com/adm-medicamentos-canalizacion-inyectologia-1085283877/">
          <a:extLst>
            <a:ext uri="{FF2B5EF4-FFF2-40B4-BE49-F238E27FC236}">
              <a16:creationId xmlns:a16="http://schemas.microsoft.com/office/drawing/2014/main" id="{CB2D1679-B824-4AD3-90AD-8916AC3C7E5F}"/>
            </a:ext>
          </a:extLst>
        </xdr:cNvPr>
        <xdr:cNvGrpSpPr>
          <a:grpSpLocks noChangeAspect="1"/>
        </xdr:cNvGrpSpPr>
      </xdr:nvGrpSpPr>
      <xdr:grpSpPr>
        <a:xfrm>
          <a:off x="20667703" y="151679312"/>
          <a:ext cx="1469944" cy="1469944"/>
          <a:chOff x="0" y="0"/>
          <a:chExt cx="469900" cy="469900"/>
        </a:xfrm>
      </xdr:grpSpPr>
      <xdr:sp macro="" textlink="">
        <xdr:nvSpPr>
          <xdr:cNvPr id="6454" name="$E$131">
            <a:extLst>
              <a:ext uri="{FF2B5EF4-FFF2-40B4-BE49-F238E27FC236}">
                <a16:creationId xmlns:a16="http://schemas.microsoft.com/office/drawing/2014/main" id="{69FDEB92-FA59-4DF4-8282-2D5D9D68E81E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55" name="$E$131">
            <a:extLst>
              <a:ext uri="{FF2B5EF4-FFF2-40B4-BE49-F238E27FC236}">
                <a16:creationId xmlns:a16="http://schemas.microsoft.com/office/drawing/2014/main" id="{3CAF2668-9BB5-4AF6-B7CE-A8A83C0FE292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56" name="$E$131">
            <a:extLst>
              <a:ext uri="{FF2B5EF4-FFF2-40B4-BE49-F238E27FC236}">
                <a16:creationId xmlns:a16="http://schemas.microsoft.com/office/drawing/2014/main" id="{431DB2C8-CF9A-4FF5-8BF5-BF3B1D20A103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57" name="$E$131">
            <a:extLst>
              <a:ext uri="{FF2B5EF4-FFF2-40B4-BE49-F238E27FC236}">
                <a16:creationId xmlns:a16="http://schemas.microsoft.com/office/drawing/2014/main" id="{EF2CF8F8-5AAF-4655-9717-59070AACCE62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58" name="$E$131">
            <a:extLst>
              <a:ext uri="{FF2B5EF4-FFF2-40B4-BE49-F238E27FC236}">
                <a16:creationId xmlns:a16="http://schemas.microsoft.com/office/drawing/2014/main" id="{946611A3-778F-4FE9-8AB7-AD60FF7DE62D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59" name="$E$131">
            <a:extLst>
              <a:ext uri="{FF2B5EF4-FFF2-40B4-BE49-F238E27FC236}">
                <a16:creationId xmlns:a16="http://schemas.microsoft.com/office/drawing/2014/main" id="{CE4AC320-5A13-46B9-8251-6C2C5D8E76C4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0" name="$E$131">
            <a:extLst>
              <a:ext uri="{FF2B5EF4-FFF2-40B4-BE49-F238E27FC236}">
                <a16:creationId xmlns:a16="http://schemas.microsoft.com/office/drawing/2014/main" id="{005A4D28-5F63-4FC8-889F-25CC63F4C393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1" name="$E$131">
            <a:extLst>
              <a:ext uri="{FF2B5EF4-FFF2-40B4-BE49-F238E27FC236}">
                <a16:creationId xmlns:a16="http://schemas.microsoft.com/office/drawing/2014/main" id="{9AB57F4A-8BDB-437E-93DB-74A510C581A2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2" name="$E$131">
            <a:extLst>
              <a:ext uri="{FF2B5EF4-FFF2-40B4-BE49-F238E27FC236}">
                <a16:creationId xmlns:a16="http://schemas.microsoft.com/office/drawing/2014/main" id="{1675E3EA-F132-49AE-841C-D66376D87F9B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3" name="$E$131">
            <a:extLst>
              <a:ext uri="{FF2B5EF4-FFF2-40B4-BE49-F238E27FC236}">
                <a16:creationId xmlns:a16="http://schemas.microsoft.com/office/drawing/2014/main" id="{C77DF99A-115E-4931-8C71-B574D6F88BB1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4" name="$E$131">
            <a:extLst>
              <a:ext uri="{FF2B5EF4-FFF2-40B4-BE49-F238E27FC236}">
                <a16:creationId xmlns:a16="http://schemas.microsoft.com/office/drawing/2014/main" id="{FF939E7F-862F-49E0-A7A3-838879BFB22C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5" name="$E$131">
            <a:extLst>
              <a:ext uri="{FF2B5EF4-FFF2-40B4-BE49-F238E27FC236}">
                <a16:creationId xmlns:a16="http://schemas.microsoft.com/office/drawing/2014/main" id="{36125A87-20EC-4F18-B84B-161E243443CF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6" name="$E$131">
            <a:extLst>
              <a:ext uri="{FF2B5EF4-FFF2-40B4-BE49-F238E27FC236}">
                <a16:creationId xmlns:a16="http://schemas.microsoft.com/office/drawing/2014/main" id="{E93AE267-5432-4696-AE09-25100009188D}"/>
              </a:ext>
            </a:extLst>
          </xdr:cNvPr>
          <xdr:cNvSpPr/>
        </xdr:nvSpPr>
        <xdr:spPr>
          <a:xfrm>
            <a:off x="266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7" name="$E$131">
            <a:extLst>
              <a:ext uri="{FF2B5EF4-FFF2-40B4-BE49-F238E27FC236}">
                <a16:creationId xmlns:a16="http://schemas.microsoft.com/office/drawing/2014/main" id="{9C4BB026-466D-4938-B4C8-3194FE7861CB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8" name="$E$131">
            <a:extLst>
              <a:ext uri="{FF2B5EF4-FFF2-40B4-BE49-F238E27FC236}">
                <a16:creationId xmlns:a16="http://schemas.microsoft.com/office/drawing/2014/main" id="{95D0E3D9-9750-46AC-A018-E23024E5CEDC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69" name="$E$131">
            <a:extLst>
              <a:ext uri="{FF2B5EF4-FFF2-40B4-BE49-F238E27FC236}">
                <a16:creationId xmlns:a16="http://schemas.microsoft.com/office/drawing/2014/main" id="{82A797EB-7360-40A3-ADA2-15519B375D62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0" name="$E$131">
            <a:extLst>
              <a:ext uri="{FF2B5EF4-FFF2-40B4-BE49-F238E27FC236}">
                <a16:creationId xmlns:a16="http://schemas.microsoft.com/office/drawing/2014/main" id="{BF931C61-52F4-4E78-9F1D-C22FD28C36B8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1" name="$E$131">
            <a:extLst>
              <a:ext uri="{FF2B5EF4-FFF2-40B4-BE49-F238E27FC236}">
                <a16:creationId xmlns:a16="http://schemas.microsoft.com/office/drawing/2014/main" id="{3499765A-D078-4CA7-AC58-74A961588D96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2" name="$E$131">
            <a:extLst>
              <a:ext uri="{FF2B5EF4-FFF2-40B4-BE49-F238E27FC236}">
                <a16:creationId xmlns:a16="http://schemas.microsoft.com/office/drawing/2014/main" id="{B8BE51EB-491F-4A71-9E02-46602008A1D9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3" name="$E$131">
            <a:extLst>
              <a:ext uri="{FF2B5EF4-FFF2-40B4-BE49-F238E27FC236}">
                <a16:creationId xmlns:a16="http://schemas.microsoft.com/office/drawing/2014/main" id="{12DD74F0-6085-4F0C-9412-53419EF44B01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4" name="$E$131">
            <a:extLst>
              <a:ext uri="{FF2B5EF4-FFF2-40B4-BE49-F238E27FC236}">
                <a16:creationId xmlns:a16="http://schemas.microsoft.com/office/drawing/2014/main" id="{A83F9F21-0D94-44D4-BF88-6E6938632CE2}"/>
              </a:ext>
            </a:extLst>
          </xdr:cNvPr>
          <xdr:cNvSpPr/>
        </xdr:nvSpPr>
        <xdr:spPr>
          <a:xfrm>
            <a:off x="431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5" name="$E$131">
            <a:extLst>
              <a:ext uri="{FF2B5EF4-FFF2-40B4-BE49-F238E27FC236}">
                <a16:creationId xmlns:a16="http://schemas.microsoft.com/office/drawing/2014/main" id="{6444FF77-5A92-4FC5-AC64-532EA35C31A4}"/>
              </a:ext>
            </a:extLst>
          </xdr:cNvPr>
          <xdr:cNvSpPr/>
        </xdr:nvSpPr>
        <xdr:spPr>
          <a:xfrm>
            <a:off x="444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6" name="$E$131">
            <a:extLst>
              <a:ext uri="{FF2B5EF4-FFF2-40B4-BE49-F238E27FC236}">
                <a16:creationId xmlns:a16="http://schemas.microsoft.com/office/drawing/2014/main" id="{1FB41086-1A5D-4696-B231-ED9BFEA6FBAF}"/>
              </a:ext>
            </a:extLst>
          </xdr:cNvPr>
          <xdr:cNvSpPr/>
        </xdr:nvSpPr>
        <xdr:spPr>
          <a:xfrm>
            <a:off x="457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7" name="$E$131">
            <a:extLst>
              <a:ext uri="{FF2B5EF4-FFF2-40B4-BE49-F238E27FC236}">
                <a16:creationId xmlns:a16="http://schemas.microsoft.com/office/drawing/2014/main" id="{5B261EB9-01E7-4CE3-B751-323C0AF2B806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8" name="$E$131">
            <a:extLst>
              <a:ext uri="{FF2B5EF4-FFF2-40B4-BE49-F238E27FC236}">
                <a16:creationId xmlns:a16="http://schemas.microsoft.com/office/drawing/2014/main" id="{699D2E8C-5B36-4B18-98E6-EC35BB8C8F1D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79" name="$E$131">
            <a:extLst>
              <a:ext uri="{FF2B5EF4-FFF2-40B4-BE49-F238E27FC236}">
                <a16:creationId xmlns:a16="http://schemas.microsoft.com/office/drawing/2014/main" id="{15BE950E-D661-486B-847B-69F25E100B5F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0" name="$E$131">
            <a:extLst>
              <a:ext uri="{FF2B5EF4-FFF2-40B4-BE49-F238E27FC236}">
                <a16:creationId xmlns:a16="http://schemas.microsoft.com/office/drawing/2014/main" id="{E17857CE-DE8C-4972-A4FD-AA7B28F676C4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1" name="$E$131">
            <a:extLst>
              <a:ext uri="{FF2B5EF4-FFF2-40B4-BE49-F238E27FC236}">
                <a16:creationId xmlns:a16="http://schemas.microsoft.com/office/drawing/2014/main" id="{D3414E7B-70A0-4D2F-91BC-88083DD8E8C7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2" name="$E$131">
            <a:extLst>
              <a:ext uri="{FF2B5EF4-FFF2-40B4-BE49-F238E27FC236}">
                <a16:creationId xmlns:a16="http://schemas.microsoft.com/office/drawing/2014/main" id="{6D1B47DC-D96F-4461-A272-0D815404F4D8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3" name="$E$131">
            <a:extLst>
              <a:ext uri="{FF2B5EF4-FFF2-40B4-BE49-F238E27FC236}">
                <a16:creationId xmlns:a16="http://schemas.microsoft.com/office/drawing/2014/main" id="{F6026730-8A86-4753-824C-41A8C32AF8E7}"/>
              </a:ext>
            </a:extLst>
          </xdr:cNvPr>
          <xdr:cNvSpPr/>
        </xdr:nvSpPr>
        <xdr:spPr>
          <a:xfrm>
            <a:off x="165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4" name="$E$131">
            <a:extLst>
              <a:ext uri="{FF2B5EF4-FFF2-40B4-BE49-F238E27FC236}">
                <a16:creationId xmlns:a16="http://schemas.microsoft.com/office/drawing/2014/main" id="{1515CEE5-BFE2-495F-9E98-2A16FF676505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5" name="$E$131">
            <a:extLst>
              <a:ext uri="{FF2B5EF4-FFF2-40B4-BE49-F238E27FC236}">
                <a16:creationId xmlns:a16="http://schemas.microsoft.com/office/drawing/2014/main" id="{5AB795A0-A46C-483C-AA8D-671BD30DBEF2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6" name="$E$131">
            <a:extLst>
              <a:ext uri="{FF2B5EF4-FFF2-40B4-BE49-F238E27FC236}">
                <a16:creationId xmlns:a16="http://schemas.microsoft.com/office/drawing/2014/main" id="{60C1F30B-4EA4-4168-8200-ACDA97343595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7" name="$E$131">
            <a:extLst>
              <a:ext uri="{FF2B5EF4-FFF2-40B4-BE49-F238E27FC236}">
                <a16:creationId xmlns:a16="http://schemas.microsoft.com/office/drawing/2014/main" id="{14D85BAF-8AF4-4F3C-A15A-96BABDF90094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8" name="$E$131">
            <a:extLst>
              <a:ext uri="{FF2B5EF4-FFF2-40B4-BE49-F238E27FC236}">
                <a16:creationId xmlns:a16="http://schemas.microsoft.com/office/drawing/2014/main" id="{7F84A41D-9590-47B4-8042-03DD4CA26027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89" name="$E$131">
            <a:extLst>
              <a:ext uri="{FF2B5EF4-FFF2-40B4-BE49-F238E27FC236}">
                <a16:creationId xmlns:a16="http://schemas.microsoft.com/office/drawing/2014/main" id="{461BDE18-B69D-4011-BD5E-F72CD405A7F4}"/>
              </a:ext>
            </a:extLst>
          </xdr:cNvPr>
          <xdr:cNvSpPr/>
        </xdr:nvSpPr>
        <xdr:spPr>
          <a:xfrm>
            <a:off x="342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0" name="$E$131">
            <a:extLst>
              <a:ext uri="{FF2B5EF4-FFF2-40B4-BE49-F238E27FC236}">
                <a16:creationId xmlns:a16="http://schemas.microsoft.com/office/drawing/2014/main" id="{CF319D52-182A-4CB8-8684-E5D296C2EAD7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1" name="$E$131">
            <a:extLst>
              <a:ext uri="{FF2B5EF4-FFF2-40B4-BE49-F238E27FC236}">
                <a16:creationId xmlns:a16="http://schemas.microsoft.com/office/drawing/2014/main" id="{9456557B-E4CD-4EB2-A891-24838A58D9F0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2" name="$E$131">
            <a:extLst>
              <a:ext uri="{FF2B5EF4-FFF2-40B4-BE49-F238E27FC236}">
                <a16:creationId xmlns:a16="http://schemas.microsoft.com/office/drawing/2014/main" id="{67AF9E43-6A45-4E0B-B585-C00C7D7CC9C1}"/>
              </a:ext>
            </a:extLst>
          </xdr:cNvPr>
          <xdr:cNvSpPr/>
        </xdr:nvSpPr>
        <xdr:spPr>
          <a:xfrm>
            <a:off x="457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3" name="$E$131">
            <a:extLst>
              <a:ext uri="{FF2B5EF4-FFF2-40B4-BE49-F238E27FC236}">
                <a16:creationId xmlns:a16="http://schemas.microsoft.com/office/drawing/2014/main" id="{DDEF9639-880D-4131-A373-E7633BF4DA3D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4" name="$E$131">
            <a:extLst>
              <a:ext uri="{FF2B5EF4-FFF2-40B4-BE49-F238E27FC236}">
                <a16:creationId xmlns:a16="http://schemas.microsoft.com/office/drawing/2014/main" id="{CA065340-3454-4BE2-BF9B-AF042FB05E8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5" name="$E$131">
            <a:extLst>
              <a:ext uri="{FF2B5EF4-FFF2-40B4-BE49-F238E27FC236}">
                <a16:creationId xmlns:a16="http://schemas.microsoft.com/office/drawing/2014/main" id="{D78D39ED-0F4B-4A55-B13C-51B3F965E6C4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6" name="$E$131">
            <a:extLst>
              <a:ext uri="{FF2B5EF4-FFF2-40B4-BE49-F238E27FC236}">
                <a16:creationId xmlns:a16="http://schemas.microsoft.com/office/drawing/2014/main" id="{02037B3F-FECD-41A3-A78C-734DAD27C937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7" name="$E$131">
            <a:extLst>
              <a:ext uri="{FF2B5EF4-FFF2-40B4-BE49-F238E27FC236}">
                <a16:creationId xmlns:a16="http://schemas.microsoft.com/office/drawing/2014/main" id="{BCC1F032-F8AB-4DC5-9931-BCAA42738A63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8" name="$E$131">
            <a:extLst>
              <a:ext uri="{FF2B5EF4-FFF2-40B4-BE49-F238E27FC236}">
                <a16:creationId xmlns:a16="http://schemas.microsoft.com/office/drawing/2014/main" id="{B33AFFDD-E124-4DD3-9C99-02E202DCD141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499" name="$E$131">
            <a:extLst>
              <a:ext uri="{FF2B5EF4-FFF2-40B4-BE49-F238E27FC236}">
                <a16:creationId xmlns:a16="http://schemas.microsoft.com/office/drawing/2014/main" id="{258BA3BD-7C65-4B50-BFAC-43F1A037DBE5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0" name="$E$131">
            <a:extLst>
              <a:ext uri="{FF2B5EF4-FFF2-40B4-BE49-F238E27FC236}">
                <a16:creationId xmlns:a16="http://schemas.microsoft.com/office/drawing/2014/main" id="{98412E96-0BBD-4831-8C11-8B80C54925A6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1" name="$E$131">
            <a:extLst>
              <a:ext uri="{FF2B5EF4-FFF2-40B4-BE49-F238E27FC236}">
                <a16:creationId xmlns:a16="http://schemas.microsoft.com/office/drawing/2014/main" id="{243AEB57-42AB-4CD7-B6D1-1E3B43A6DD30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2" name="$E$131">
            <a:extLst>
              <a:ext uri="{FF2B5EF4-FFF2-40B4-BE49-F238E27FC236}">
                <a16:creationId xmlns:a16="http://schemas.microsoft.com/office/drawing/2014/main" id="{72C4F2E3-E55D-43D4-ABEC-802782C92A94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3" name="$E$131">
            <a:extLst>
              <a:ext uri="{FF2B5EF4-FFF2-40B4-BE49-F238E27FC236}">
                <a16:creationId xmlns:a16="http://schemas.microsoft.com/office/drawing/2014/main" id="{C170E49B-D57A-4435-A688-1C7277D0379B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4" name="$E$131">
            <a:extLst>
              <a:ext uri="{FF2B5EF4-FFF2-40B4-BE49-F238E27FC236}">
                <a16:creationId xmlns:a16="http://schemas.microsoft.com/office/drawing/2014/main" id="{5E9E2EE1-8A57-45A8-8EFC-8638E9DB822C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5" name="$E$131">
            <a:extLst>
              <a:ext uri="{FF2B5EF4-FFF2-40B4-BE49-F238E27FC236}">
                <a16:creationId xmlns:a16="http://schemas.microsoft.com/office/drawing/2014/main" id="{25711134-0F9C-4DD6-B3E8-8813EBB5A6C0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6" name="$E$131">
            <a:extLst>
              <a:ext uri="{FF2B5EF4-FFF2-40B4-BE49-F238E27FC236}">
                <a16:creationId xmlns:a16="http://schemas.microsoft.com/office/drawing/2014/main" id="{6F026285-780D-4D77-8672-C9D6FBBE09F9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7" name="$E$131">
            <a:extLst>
              <a:ext uri="{FF2B5EF4-FFF2-40B4-BE49-F238E27FC236}">
                <a16:creationId xmlns:a16="http://schemas.microsoft.com/office/drawing/2014/main" id="{7B85B512-E6EF-472D-9ECB-B80C8ECA18B4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8" name="$E$131">
            <a:extLst>
              <a:ext uri="{FF2B5EF4-FFF2-40B4-BE49-F238E27FC236}">
                <a16:creationId xmlns:a16="http://schemas.microsoft.com/office/drawing/2014/main" id="{F9272479-A2BD-4469-9E91-405A4C3C9985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09" name="$E$131">
            <a:extLst>
              <a:ext uri="{FF2B5EF4-FFF2-40B4-BE49-F238E27FC236}">
                <a16:creationId xmlns:a16="http://schemas.microsoft.com/office/drawing/2014/main" id="{01560F40-1249-464B-B807-17BF1DE986EA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0" name="$E$131">
            <a:extLst>
              <a:ext uri="{FF2B5EF4-FFF2-40B4-BE49-F238E27FC236}">
                <a16:creationId xmlns:a16="http://schemas.microsoft.com/office/drawing/2014/main" id="{0F51FE79-6CA3-473F-8B65-3BD909F03374}"/>
              </a:ext>
            </a:extLst>
          </xdr:cNvPr>
          <xdr:cNvSpPr/>
        </xdr:nvSpPr>
        <xdr:spPr>
          <a:xfrm>
            <a:off x="419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1" name="$E$131">
            <a:extLst>
              <a:ext uri="{FF2B5EF4-FFF2-40B4-BE49-F238E27FC236}">
                <a16:creationId xmlns:a16="http://schemas.microsoft.com/office/drawing/2014/main" id="{20C06D8C-F1EB-4D24-A058-4B2CB1F31435}"/>
              </a:ext>
            </a:extLst>
          </xdr:cNvPr>
          <xdr:cNvSpPr/>
        </xdr:nvSpPr>
        <xdr:spPr>
          <a:xfrm>
            <a:off x="431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2" name="$E$131">
            <a:extLst>
              <a:ext uri="{FF2B5EF4-FFF2-40B4-BE49-F238E27FC236}">
                <a16:creationId xmlns:a16="http://schemas.microsoft.com/office/drawing/2014/main" id="{1AE59ABF-1FDB-4720-BE7A-84FFA7A78C21}"/>
              </a:ext>
            </a:extLst>
          </xdr:cNvPr>
          <xdr:cNvSpPr/>
        </xdr:nvSpPr>
        <xdr:spPr>
          <a:xfrm>
            <a:off x="457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3" name="$E$131">
            <a:extLst>
              <a:ext uri="{FF2B5EF4-FFF2-40B4-BE49-F238E27FC236}">
                <a16:creationId xmlns:a16="http://schemas.microsoft.com/office/drawing/2014/main" id="{344D201C-33BB-4D52-A11E-A7546EEB6FCB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4" name="$E$131">
            <a:extLst>
              <a:ext uri="{FF2B5EF4-FFF2-40B4-BE49-F238E27FC236}">
                <a16:creationId xmlns:a16="http://schemas.microsoft.com/office/drawing/2014/main" id="{11F10687-6674-4A8F-9D8A-44B27A009725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5" name="$E$131">
            <a:extLst>
              <a:ext uri="{FF2B5EF4-FFF2-40B4-BE49-F238E27FC236}">
                <a16:creationId xmlns:a16="http://schemas.microsoft.com/office/drawing/2014/main" id="{E740AB29-5742-4EDD-925A-F8DF6AB7F469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6" name="$E$131">
            <a:extLst>
              <a:ext uri="{FF2B5EF4-FFF2-40B4-BE49-F238E27FC236}">
                <a16:creationId xmlns:a16="http://schemas.microsoft.com/office/drawing/2014/main" id="{28B7C6D3-E362-4600-9DCA-081CC2AF471C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7" name="$E$131">
            <a:extLst>
              <a:ext uri="{FF2B5EF4-FFF2-40B4-BE49-F238E27FC236}">
                <a16:creationId xmlns:a16="http://schemas.microsoft.com/office/drawing/2014/main" id="{7B06A28F-B127-484B-B624-8C7424D3CD83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8" name="$E$131">
            <a:extLst>
              <a:ext uri="{FF2B5EF4-FFF2-40B4-BE49-F238E27FC236}">
                <a16:creationId xmlns:a16="http://schemas.microsoft.com/office/drawing/2014/main" id="{1FD3FED9-C74D-47AA-85DB-8D8F2EF3BD71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19" name="$E$131">
            <a:extLst>
              <a:ext uri="{FF2B5EF4-FFF2-40B4-BE49-F238E27FC236}">
                <a16:creationId xmlns:a16="http://schemas.microsoft.com/office/drawing/2014/main" id="{A8A0078C-581E-4F77-8726-D74A1D9AA9C3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0" name="$E$131">
            <a:extLst>
              <a:ext uri="{FF2B5EF4-FFF2-40B4-BE49-F238E27FC236}">
                <a16:creationId xmlns:a16="http://schemas.microsoft.com/office/drawing/2014/main" id="{88792281-EEE8-4212-AA22-02BD869DBB10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1" name="$E$131">
            <a:extLst>
              <a:ext uri="{FF2B5EF4-FFF2-40B4-BE49-F238E27FC236}">
                <a16:creationId xmlns:a16="http://schemas.microsoft.com/office/drawing/2014/main" id="{4981824E-787F-4BA4-8FD7-96538F889172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2" name="$E$131">
            <a:extLst>
              <a:ext uri="{FF2B5EF4-FFF2-40B4-BE49-F238E27FC236}">
                <a16:creationId xmlns:a16="http://schemas.microsoft.com/office/drawing/2014/main" id="{0882FC47-50FC-4BFB-A582-37A8596E6EF5}"/>
              </a:ext>
            </a:extLst>
          </xdr:cNvPr>
          <xdr:cNvSpPr/>
        </xdr:nvSpPr>
        <xdr:spPr>
          <a:xfrm>
            <a:off x="190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3" name="$E$131">
            <a:extLst>
              <a:ext uri="{FF2B5EF4-FFF2-40B4-BE49-F238E27FC236}">
                <a16:creationId xmlns:a16="http://schemas.microsoft.com/office/drawing/2014/main" id="{A59D9215-695C-40A4-BA05-F4D0AED03B02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4" name="$E$131">
            <a:extLst>
              <a:ext uri="{FF2B5EF4-FFF2-40B4-BE49-F238E27FC236}">
                <a16:creationId xmlns:a16="http://schemas.microsoft.com/office/drawing/2014/main" id="{A161C33B-B8A2-4E99-85BC-83EBC6ACF1B4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5" name="$E$131">
            <a:extLst>
              <a:ext uri="{FF2B5EF4-FFF2-40B4-BE49-F238E27FC236}">
                <a16:creationId xmlns:a16="http://schemas.microsoft.com/office/drawing/2014/main" id="{D8D563A5-0109-4B87-BAB0-421AAF9D7AEC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6" name="$E$131">
            <a:extLst>
              <a:ext uri="{FF2B5EF4-FFF2-40B4-BE49-F238E27FC236}">
                <a16:creationId xmlns:a16="http://schemas.microsoft.com/office/drawing/2014/main" id="{0B2D6612-903F-4ADF-BC2B-E834C70C8964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7" name="$E$131">
            <a:extLst>
              <a:ext uri="{FF2B5EF4-FFF2-40B4-BE49-F238E27FC236}">
                <a16:creationId xmlns:a16="http://schemas.microsoft.com/office/drawing/2014/main" id="{7F4B88E7-94E8-49D2-90FA-C118B13AC4CF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8" name="$E$131">
            <a:extLst>
              <a:ext uri="{FF2B5EF4-FFF2-40B4-BE49-F238E27FC236}">
                <a16:creationId xmlns:a16="http://schemas.microsoft.com/office/drawing/2014/main" id="{92B2F19E-9AA9-4AA8-A92F-49D27025C30F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29" name="$E$131">
            <a:extLst>
              <a:ext uri="{FF2B5EF4-FFF2-40B4-BE49-F238E27FC236}">
                <a16:creationId xmlns:a16="http://schemas.microsoft.com/office/drawing/2014/main" id="{DF2D59F5-B8DC-457D-B12B-AE4A83D5F42D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0" name="$E$131">
            <a:extLst>
              <a:ext uri="{FF2B5EF4-FFF2-40B4-BE49-F238E27FC236}">
                <a16:creationId xmlns:a16="http://schemas.microsoft.com/office/drawing/2014/main" id="{169B3B8E-0CB2-43FF-9784-AA9D88C28DB1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1" name="$E$131">
            <a:extLst>
              <a:ext uri="{FF2B5EF4-FFF2-40B4-BE49-F238E27FC236}">
                <a16:creationId xmlns:a16="http://schemas.microsoft.com/office/drawing/2014/main" id="{494D43FC-8ABA-476A-A837-5788E5AEE525}"/>
              </a:ext>
            </a:extLst>
          </xdr:cNvPr>
          <xdr:cNvSpPr/>
        </xdr:nvSpPr>
        <xdr:spPr>
          <a:xfrm>
            <a:off x="342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2" name="$E$131">
            <a:extLst>
              <a:ext uri="{FF2B5EF4-FFF2-40B4-BE49-F238E27FC236}">
                <a16:creationId xmlns:a16="http://schemas.microsoft.com/office/drawing/2014/main" id="{D0CEEB8D-86EA-4314-8931-8FF7A3B751D3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3" name="$E$131">
            <a:extLst>
              <a:ext uri="{FF2B5EF4-FFF2-40B4-BE49-F238E27FC236}">
                <a16:creationId xmlns:a16="http://schemas.microsoft.com/office/drawing/2014/main" id="{3E34FEB9-2E5B-4B9A-BE4B-52A2FEC941F7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4" name="$E$131">
            <a:extLst>
              <a:ext uri="{FF2B5EF4-FFF2-40B4-BE49-F238E27FC236}">
                <a16:creationId xmlns:a16="http://schemas.microsoft.com/office/drawing/2014/main" id="{851B8C5D-7B9A-4D26-9CBC-9EEB77427072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5" name="$E$131">
            <a:extLst>
              <a:ext uri="{FF2B5EF4-FFF2-40B4-BE49-F238E27FC236}">
                <a16:creationId xmlns:a16="http://schemas.microsoft.com/office/drawing/2014/main" id="{70353157-87B7-45C0-AA31-DE61D1C8F6FB}"/>
              </a:ext>
            </a:extLst>
          </xdr:cNvPr>
          <xdr:cNvSpPr/>
        </xdr:nvSpPr>
        <xdr:spPr>
          <a:xfrm>
            <a:off x="419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6" name="$E$131">
            <a:extLst>
              <a:ext uri="{FF2B5EF4-FFF2-40B4-BE49-F238E27FC236}">
                <a16:creationId xmlns:a16="http://schemas.microsoft.com/office/drawing/2014/main" id="{983EE527-4235-4110-894D-010F2B719888}"/>
              </a:ext>
            </a:extLst>
          </xdr:cNvPr>
          <xdr:cNvSpPr/>
        </xdr:nvSpPr>
        <xdr:spPr>
          <a:xfrm>
            <a:off x="431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7" name="$E$131">
            <a:extLst>
              <a:ext uri="{FF2B5EF4-FFF2-40B4-BE49-F238E27FC236}">
                <a16:creationId xmlns:a16="http://schemas.microsoft.com/office/drawing/2014/main" id="{C1DD9D70-4217-484E-A2AC-635EBD8979BD}"/>
              </a:ext>
            </a:extLst>
          </xdr:cNvPr>
          <xdr:cNvSpPr/>
        </xdr:nvSpPr>
        <xdr:spPr>
          <a:xfrm>
            <a:off x="457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8" name="$E$131">
            <a:extLst>
              <a:ext uri="{FF2B5EF4-FFF2-40B4-BE49-F238E27FC236}">
                <a16:creationId xmlns:a16="http://schemas.microsoft.com/office/drawing/2014/main" id="{CE6967D8-770A-41EB-9396-51ED9E56222C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39" name="$E$131">
            <a:extLst>
              <a:ext uri="{FF2B5EF4-FFF2-40B4-BE49-F238E27FC236}">
                <a16:creationId xmlns:a16="http://schemas.microsoft.com/office/drawing/2014/main" id="{66E2B244-6388-47D0-A787-D26B4004E4E1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0" name="$E$131">
            <a:extLst>
              <a:ext uri="{FF2B5EF4-FFF2-40B4-BE49-F238E27FC236}">
                <a16:creationId xmlns:a16="http://schemas.microsoft.com/office/drawing/2014/main" id="{030226D5-59DE-4E56-8D68-44109DEBD3DA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1" name="$E$131">
            <a:extLst>
              <a:ext uri="{FF2B5EF4-FFF2-40B4-BE49-F238E27FC236}">
                <a16:creationId xmlns:a16="http://schemas.microsoft.com/office/drawing/2014/main" id="{43EBE90E-3F5A-47D1-B33F-6F290394975A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2" name="$E$131">
            <a:extLst>
              <a:ext uri="{FF2B5EF4-FFF2-40B4-BE49-F238E27FC236}">
                <a16:creationId xmlns:a16="http://schemas.microsoft.com/office/drawing/2014/main" id="{37D88640-DB43-41DF-BC62-55A9EF65C92C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3" name="$E$131">
            <a:extLst>
              <a:ext uri="{FF2B5EF4-FFF2-40B4-BE49-F238E27FC236}">
                <a16:creationId xmlns:a16="http://schemas.microsoft.com/office/drawing/2014/main" id="{FEE8B43F-2208-485F-A16B-9410E320EE88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4" name="$E$131">
            <a:extLst>
              <a:ext uri="{FF2B5EF4-FFF2-40B4-BE49-F238E27FC236}">
                <a16:creationId xmlns:a16="http://schemas.microsoft.com/office/drawing/2014/main" id="{2EA5704D-71DA-445B-85F4-9063818B925C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5" name="$E$131">
            <a:extLst>
              <a:ext uri="{FF2B5EF4-FFF2-40B4-BE49-F238E27FC236}">
                <a16:creationId xmlns:a16="http://schemas.microsoft.com/office/drawing/2014/main" id="{0044F7DE-6AAD-436B-8F17-24D8F7ABC10A}"/>
              </a:ext>
            </a:extLst>
          </xdr:cNvPr>
          <xdr:cNvSpPr/>
        </xdr:nvSpPr>
        <xdr:spPr>
          <a:xfrm>
            <a:off x="165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6" name="$E$131">
            <a:extLst>
              <a:ext uri="{FF2B5EF4-FFF2-40B4-BE49-F238E27FC236}">
                <a16:creationId xmlns:a16="http://schemas.microsoft.com/office/drawing/2014/main" id="{CA73A52F-9A47-489A-8859-877E50AB32F6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7" name="$E$131">
            <a:extLst>
              <a:ext uri="{FF2B5EF4-FFF2-40B4-BE49-F238E27FC236}">
                <a16:creationId xmlns:a16="http://schemas.microsoft.com/office/drawing/2014/main" id="{EBEDEAEA-8FFA-4911-863D-90AD3EAAFFE4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8" name="$E$131">
            <a:extLst>
              <a:ext uri="{FF2B5EF4-FFF2-40B4-BE49-F238E27FC236}">
                <a16:creationId xmlns:a16="http://schemas.microsoft.com/office/drawing/2014/main" id="{910A840E-827D-48DA-B84B-E82514C26F04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49" name="$E$131">
            <a:extLst>
              <a:ext uri="{FF2B5EF4-FFF2-40B4-BE49-F238E27FC236}">
                <a16:creationId xmlns:a16="http://schemas.microsoft.com/office/drawing/2014/main" id="{AE3357EE-2732-4838-B6C3-4B98BC823895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0" name="$E$131">
            <a:extLst>
              <a:ext uri="{FF2B5EF4-FFF2-40B4-BE49-F238E27FC236}">
                <a16:creationId xmlns:a16="http://schemas.microsoft.com/office/drawing/2014/main" id="{9C5F3AF7-8B38-49EE-B9F8-C833A18F8FB8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1" name="$E$131">
            <a:extLst>
              <a:ext uri="{FF2B5EF4-FFF2-40B4-BE49-F238E27FC236}">
                <a16:creationId xmlns:a16="http://schemas.microsoft.com/office/drawing/2014/main" id="{58ABBDB9-8D32-40F4-8DEC-59E4696E439B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2" name="$E$131">
            <a:extLst>
              <a:ext uri="{FF2B5EF4-FFF2-40B4-BE49-F238E27FC236}">
                <a16:creationId xmlns:a16="http://schemas.microsoft.com/office/drawing/2014/main" id="{068032AC-ACB4-414B-A72E-6E888FFE2F36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3" name="$E$131">
            <a:extLst>
              <a:ext uri="{FF2B5EF4-FFF2-40B4-BE49-F238E27FC236}">
                <a16:creationId xmlns:a16="http://schemas.microsoft.com/office/drawing/2014/main" id="{3DFBC524-6979-427E-883C-DE8F828164FF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4" name="$E$131">
            <a:extLst>
              <a:ext uri="{FF2B5EF4-FFF2-40B4-BE49-F238E27FC236}">
                <a16:creationId xmlns:a16="http://schemas.microsoft.com/office/drawing/2014/main" id="{8171AF6E-4E2B-4EAA-9F63-333D2B17569D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5" name="$E$131">
            <a:extLst>
              <a:ext uri="{FF2B5EF4-FFF2-40B4-BE49-F238E27FC236}">
                <a16:creationId xmlns:a16="http://schemas.microsoft.com/office/drawing/2014/main" id="{456C278E-FA5C-41F4-95EC-F0327E209CBC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6" name="$E$131">
            <a:extLst>
              <a:ext uri="{FF2B5EF4-FFF2-40B4-BE49-F238E27FC236}">
                <a16:creationId xmlns:a16="http://schemas.microsoft.com/office/drawing/2014/main" id="{152AC8B7-C811-4F7E-9787-BA4F3368CBF2}"/>
              </a:ext>
            </a:extLst>
          </xdr:cNvPr>
          <xdr:cNvSpPr/>
        </xdr:nvSpPr>
        <xdr:spPr>
          <a:xfrm>
            <a:off x="419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7" name="$E$131">
            <a:extLst>
              <a:ext uri="{FF2B5EF4-FFF2-40B4-BE49-F238E27FC236}">
                <a16:creationId xmlns:a16="http://schemas.microsoft.com/office/drawing/2014/main" id="{1ECB1D14-5689-41A0-AD37-73B288C4C321}"/>
              </a:ext>
            </a:extLst>
          </xdr:cNvPr>
          <xdr:cNvSpPr/>
        </xdr:nvSpPr>
        <xdr:spPr>
          <a:xfrm>
            <a:off x="431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8" name="$E$131">
            <a:extLst>
              <a:ext uri="{FF2B5EF4-FFF2-40B4-BE49-F238E27FC236}">
                <a16:creationId xmlns:a16="http://schemas.microsoft.com/office/drawing/2014/main" id="{E95CF659-BB9A-4C62-9FBE-8D9A3197A9ED}"/>
              </a:ext>
            </a:extLst>
          </xdr:cNvPr>
          <xdr:cNvSpPr/>
        </xdr:nvSpPr>
        <xdr:spPr>
          <a:xfrm>
            <a:off x="457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59" name="$E$131">
            <a:extLst>
              <a:ext uri="{FF2B5EF4-FFF2-40B4-BE49-F238E27FC236}">
                <a16:creationId xmlns:a16="http://schemas.microsoft.com/office/drawing/2014/main" id="{C9580B4C-AD15-40D3-A988-C58DE645FFB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0" name="$E$131">
            <a:extLst>
              <a:ext uri="{FF2B5EF4-FFF2-40B4-BE49-F238E27FC236}">
                <a16:creationId xmlns:a16="http://schemas.microsoft.com/office/drawing/2014/main" id="{6A4FC9AC-6EA8-47E3-A612-CB4DEAAAEF55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1" name="$E$131">
            <a:extLst>
              <a:ext uri="{FF2B5EF4-FFF2-40B4-BE49-F238E27FC236}">
                <a16:creationId xmlns:a16="http://schemas.microsoft.com/office/drawing/2014/main" id="{8E976DD4-23C9-4FB8-8368-F1FE4C011151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2" name="$E$131">
            <a:extLst>
              <a:ext uri="{FF2B5EF4-FFF2-40B4-BE49-F238E27FC236}">
                <a16:creationId xmlns:a16="http://schemas.microsoft.com/office/drawing/2014/main" id="{0F4A8AEF-8762-498F-B03C-3800385B6A96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3" name="$E$131">
            <a:extLst>
              <a:ext uri="{FF2B5EF4-FFF2-40B4-BE49-F238E27FC236}">
                <a16:creationId xmlns:a16="http://schemas.microsoft.com/office/drawing/2014/main" id="{7D86FEFB-9E13-4890-B474-49E336FF5AF6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4" name="$E$131">
            <a:extLst>
              <a:ext uri="{FF2B5EF4-FFF2-40B4-BE49-F238E27FC236}">
                <a16:creationId xmlns:a16="http://schemas.microsoft.com/office/drawing/2014/main" id="{ED695E09-E073-45A8-AC4E-CB6875090015}"/>
              </a:ext>
            </a:extLst>
          </xdr:cNvPr>
          <xdr:cNvSpPr/>
        </xdr:nvSpPr>
        <xdr:spPr>
          <a:xfrm>
            <a:off x="228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5" name="$E$131">
            <a:extLst>
              <a:ext uri="{FF2B5EF4-FFF2-40B4-BE49-F238E27FC236}">
                <a16:creationId xmlns:a16="http://schemas.microsoft.com/office/drawing/2014/main" id="{8E757358-1155-467C-B2DD-FCC09EC000DF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6" name="$E$131">
            <a:extLst>
              <a:ext uri="{FF2B5EF4-FFF2-40B4-BE49-F238E27FC236}">
                <a16:creationId xmlns:a16="http://schemas.microsoft.com/office/drawing/2014/main" id="{1CA9E83B-49AC-4789-803E-79F95003A3F4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7" name="$E$131">
            <a:extLst>
              <a:ext uri="{FF2B5EF4-FFF2-40B4-BE49-F238E27FC236}">
                <a16:creationId xmlns:a16="http://schemas.microsoft.com/office/drawing/2014/main" id="{20637DB6-DCE7-4C2C-98B6-21F29767B620}"/>
              </a:ext>
            </a:extLst>
          </xdr:cNvPr>
          <xdr:cNvSpPr/>
        </xdr:nvSpPr>
        <xdr:spPr>
          <a:xfrm>
            <a:off x="317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8" name="$E$131">
            <a:extLst>
              <a:ext uri="{FF2B5EF4-FFF2-40B4-BE49-F238E27FC236}">
                <a16:creationId xmlns:a16="http://schemas.microsoft.com/office/drawing/2014/main" id="{FEE18C4C-BCD4-4F02-91FA-E18B6B74007D}"/>
              </a:ext>
            </a:extLst>
          </xdr:cNvPr>
          <xdr:cNvSpPr/>
        </xdr:nvSpPr>
        <xdr:spPr>
          <a:xfrm>
            <a:off x="342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69" name="$E$131">
            <a:extLst>
              <a:ext uri="{FF2B5EF4-FFF2-40B4-BE49-F238E27FC236}">
                <a16:creationId xmlns:a16="http://schemas.microsoft.com/office/drawing/2014/main" id="{438DB35D-51FF-4097-8B12-E6FC6DF37FEE}"/>
              </a:ext>
            </a:extLst>
          </xdr:cNvPr>
          <xdr:cNvSpPr/>
        </xdr:nvSpPr>
        <xdr:spPr>
          <a:xfrm>
            <a:off x="381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0" name="$E$131">
            <a:extLst>
              <a:ext uri="{FF2B5EF4-FFF2-40B4-BE49-F238E27FC236}">
                <a16:creationId xmlns:a16="http://schemas.microsoft.com/office/drawing/2014/main" id="{897447CB-7951-45AC-BE3B-F92B96E1B574}"/>
              </a:ext>
            </a:extLst>
          </xdr:cNvPr>
          <xdr:cNvSpPr/>
        </xdr:nvSpPr>
        <xdr:spPr>
          <a:xfrm>
            <a:off x="457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1" name="$E$131">
            <a:extLst>
              <a:ext uri="{FF2B5EF4-FFF2-40B4-BE49-F238E27FC236}">
                <a16:creationId xmlns:a16="http://schemas.microsoft.com/office/drawing/2014/main" id="{2882C932-1909-4648-B66C-5931CE799102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2" name="$E$131">
            <a:extLst>
              <a:ext uri="{FF2B5EF4-FFF2-40B4-BE49-F238E27FC236}">
                <a16:creationId xmlns:a16="http://schemas.microsoft.com/office/drawing/2014/main" id="{7C1D3DD4-FDB3-4F4A-8F0B-1660C091522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3" name="$E$131">
            <a:extLst>
              <a:ext uri="{FF2B5EF4-FFF2-40B4-BE49-F238E27FC236}">
                <a16:creationId xmlns:a16="http://schemas.microsoft.com/office/drawing/2014/main" id="{A16FA4D9-733E-498E-917A-030A3D546EE2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4" name="$E$131">
            <a:extLst>
              <a:ext uri="{FF2B5EF4-FFF2-40B4-BE49-F238E27FC236}">
                <a16:creationId xmlns:a16="http://schemas.microsoft.com/office/drawing/2014/main" id="{35114762-2127-4F72-ABB2-0187A45801CA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5" name="$E$131">
            <a:extLst>
              <a:ext uri="{FF2B5EF4-FFF2-40B4-BE49-F238E27FC236}">
                <a16:creationId xmlns:a16="http://schemas.microsoft.com/office/drawing/2014/main" id="{1EC73B9A-9653-4B2D-B121-71CA1E12A421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6" name="$E$131">
            <a:extLst>
              <a:ext uri="{FF2B5EF4-FFF2-40B4-BE49-F238E27FC236}">
                <a16:creationId xmlns:a16="http://schemas.microsoft.com/office/drawing/2014/main" id="{98FF44AC-13D0-459D-ABD5-1869C467CDD1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7" name="$E$131">
            <a:extLst>
              <a:ext uri="{FF2B5EF4-FFF2-40B4-BE49-F238E27FC236}">
                <a16:creationId xmlns:a16="http://schemas.microsoft.com/office/drawing/2014/main" id="{FB1044B5-19C5-4183-814A-5B410EB895FF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8" name="$E$131">
            <a:extLst>
              <a:ext uri="{FF2B5EF4-FFF2-40B4-BE49-F238E27FC236}">
                <a16:creationId xmlns:a16="http://schemas.microsoft.com/office/drawing/2014/main" id="{8289B74F-7663-4662-A872-688272EE732B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79" name="$E$131">
            <a:extLst>
              <a:ext uri="{FF2B5EF4-FFF2-40B4-BE49-F238E27FC236}">
                <a16:creationId xmlns:a16="http://schemas.microsoft.com/office/drawing/2014/main" id="{CD395855-08BF-41A0-9EE6-004335C326CD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0" name="$E$131">
            <a:extLst>
              <a:ext uri="{FF2B5EF4-FFF2-40B4-BE49-F238E27FC236}">
                <a16:creationId xmlns:a16="http://schemas.microsoft.com/office/drawing/2014/main" id="{EFDFE24C-09E1-490C-A98F-9C449B17A42D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1" name="$E$131">
            <a:extLst>
              <a:ext uri="{FF2B5EF4-FFF2-40B4-BE49-F238E27FC236}">
                <a16:creationId xmlns:a16="http://schemas.microsoft.com/office/drawing/2014/main" id="{255452D8-5F93-4357-A2A3-3E34747436F9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2" name="$E$131">
            <a:extLst>
              <a:ext uri="{FF2B5EF4-FFF2-40B4-BE49-F238E27FC236}">
                <a16:creationId xmlns:a16="http://schemas.microsoft.com/office/drawing/2014/main" id="{EE24A44A-A1C5-46C8-81B9-1A5CC1A3A831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3" name="$E$131">
            <a:extLst>
              <a:ext uri="{FF2B5EF4-FFF2-40B4-BE49-F238E27FC236}">
                <a16:creationId xmlns:a16="http://schemas.microsoft.com/office/drawing/2014/main" id="{56914188-60F7-47E3-A862-BE30D83B6D3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4" name="$E$131">
            <a:extLst>
              <a:ext uri="{FF2B5EF4-FFF2-40B4-BE49-F238E27FC236}">
                <a16:creationId xmlns:a16="http://schemas.microsoft.com/office/drawing/2014/main" id="{366C1D96-6E99-453A-8E13-0F9873E108B7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5" name="$E$131">
            <a:extLst>
              <a:ext uri="{FF2B5EF4-FFF2-40B4-BE49-F238E27FC236}">
                <a16:creationId xmlns:a16="http://schemas.microsoft.com/office/drawing/2014/main" id="{65E97AFF-93B0-47A8-AA29-A948EE509125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6" name="$E$131">
            <a:extLst>
              <a:ext uri="{FF2B5EF4-FFF2-40B4-BE49-F238E27FC236}">
                <a16:creationId xmlns:a16="http://schemas.microsoft.com/office/drawing/2014/main" id="{6DE38E6D-F987-4854-B6C8-54F307F19516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7" name="$E$131">
            <a:extLst>
              <a:ext uri="{FF2B5EF4-FFF2-40B4-BE49-F238E27FC236}">
                <a16:creationId xmlns:a16="http://schemas.microsoft.com/office/drawing/2014/main" id="{F688567C-3CD0-42E8-90E1-C0D3C60E67CE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8" name="$E$131">
            <a:extLst>
              <a:ext uri="{FF2B5EF4-FFF2-40B4-BE49-F238E27FC236}">
                <a16:creationId xmlns:a16="http://schemas.microsoft.com/office/drawing/2014/main" id="{88112F32-97D7-40D8-9060-7230E5FE5CFC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89" name="$E$131">
            <a:extLst>
              <a:ext uri="{FF2B5EF4-FFF2-40B4-BE49-F238E27FC236}">
                <a16:creationId xmlns:a16="http://schemas.microsoft.com/office/drawing/2014/main" id="{A424F37B-0A66-48DF-8E8C-7F2B9DC2651E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0" name="$E$131">
            <a:extLst>
              <a:ext uri="{FF2B5EF4-FFF2-40B4-BE49-F238E27FC236}">
                <a16:creationId xmlns:a16="http://schemas.microsoft.com/office/drawing/2014/main" id="{C334CA29-7DB6-46EA-96BE-40F172DB10D3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1" name="$E$131">
            <a:extLst>
              <a:ext uri="{FF2B5EF4-FFF2-40B4-BE49-F238E27FC236}">
                <a16:creationId xmlns:a16="http://schemas.microsoft.com/office/drawing/2014/main" id="{632DCFD2-95CB-4CA1-A2F3-B3AF250A514A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2" name="$E$131">
            <a:extLst>
              <a:ext uri="{FF2B5EF4-FFF2-40B4-BE49-F238E27FC236}">
                <a16:creationId xmlns:a16="http://schemas.microsoft.com/office/drawing/2014/main" id="{647D79D7-2C7C-4170-8782-FA462520DCD1}"/>
              </a:ext>
            </a:extLst>
          </xdr:cNvPr>
          <xdr:cNvSpPr/>
        </xdr:nvSpPr>
        <xdr:spPr>
          <a:xfrm>
            <a:off x="419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3" name="$E$131">
            <a:extLst>
              <a:ext uri="{FF2B5EF4-FFF2-40B4-BE49-F238E27FC236}">
                <a16:creationId xmlns:a16="http://schemas.microsoft.com/office/drawing/2014/main" id="{430420A6-954C-42FA-A66C-7E98FFB351C2}"/>
              </a:ext>
            </a:extLst>
          </xdr:cNvPr>
          <xdr:cNvSpPr/>
        </xdr:nvSpPr>
        <xdr:spPr>
          <a:xfrm>
            <a:off x="431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4" name="$E$131">
            <a:extLst>
              <a:ext uri="{FF2B5EF4-FFF2-40B4-BE49-F238E27FC236}">
                <a16:creationId xmlns:a16="http://schemas.microsoft.com/office/drawing/2014/main" id="{5324DF46-8189-482F-9803-DE0C19B07A72}"/>
              </a:ext>
            </a:extLst>
          </xdr:cNvPr>
          <xdr:cNvSpPr/>
        </xdr:nvSpPr>
        <xdr:spPr>
          <a:xfrm>
            <a:off x="444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5" name="$E$131">
            <a:extLst>
              <a:ext uri="{FF2B5EF4-FFF2-40B4-BE49-F238E27FC236}">
                <a16:creationId xmlns:a16="http://schemas.microsoft.com/office/drawing/2014/main" id="{D0287F8D-8E07-433C-9F9B-FDF800E8774E}"/>
              </a:ext>
            </a:extLst>
          </xdr:cNvPr>
          <xdr:cNvSpPr/>
        </xdr:nvSpPr>
        <xdr:spPr>
          <a:xfrm>
            <a:off x="457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6" name="$E$131">
            <a:extLst>
              <a:ext uri="{FF2B5EF4-FFF2-40B4-BE49-F238E27FC236}">
                <a16:creationId xmlns:a16="http://schemas.microsoft.com/office/drawing/2014/main" id="{2B073F28-B587-4EF0-8F56-69D85E26F7E2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7" name="$E$131">
            <a:extLst>
              <a:ext uri="{FF2B5EF4-FFF2-40B4-BE49-F238E27FC236}">
                <a16:creationId xmlns:a16="http://schemas.microsoft.com/office/drawing/2014/main" id="{C15FFC9E-C3AB-43D0-8B3E-FFDF0AF1E7A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8" name="$E$131">
            <a:extLst>
              <a:ext uri="{FF2B5EF4-FFF2-40B4-BE49-F238E27FC236}">
                <a16:creationId xmlns:a16="http://schemas.microsoft.com/office/drawing/2014/main" id="{2226A49D-95E5-4461-90B5-529988776FD8}"/>
              </a:ext>
            </a:extLst>
          </xdr:cNvPr>
          <xdr:cNvSpPr/>
        </xdr:nvSpPr>
        <xdr:spPr>
          <a:xfrm>
            <a:off x="241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599" name="$E$131">
            <a:extLst>
              <a:ext uri="{FF2B5EF4-FFF2-40B4-BE49-F238E27FC236}">
                <a16:creationId xmlns:a16="http://schemas.microsoft.com/office/drawing/2014/main" id="{BBF06265-13FE-4EAB-9201-FDF903C46919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0" name="$E$131">
            <a:extLst>
              <a:ext uri="{FF2B5EF4-FFF2-40B4-BE49-F238E27FC236}">
                <a16:creationId xmlns:a16="http://schemas.microsoft.com/office/drawing/2014/main" id="{1D99F8EE-7E25-48DC-BC65-2B48FB3BFB1F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1" name="$E$131">
            <a:extLst>
              <a:ext uri="{FF2B5EF4-FFF2-40B4-BE49-F238E27FC236}">
                <a16:creationId xmlns:a16="http://schemas.microsoft.com/office/drawing/2014/main" id="{17A1D9A7-FD88-435A-90D4-AC127E78A910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2" name="$E$131">
            <a:extLst>
              <a:ext uri="{FF2B5EF4-FFF2-40B4-BE49-F238E27FC236}">
                <a16:creationId xmlns:a16="http://schemas.microsoft.com/office/drawing/2014/main" id="{C0ECD763-3B9E-460A-9CDE-86603A5543B0}"/>
              </a:ext>
            </a:extLst>
          </xdr:cNvPr>
          <xdr:cNvSpPr/>
        </xdr:nvSpPr>
        <xdr:spPr>
          <a:xfrm>
            <a:off x="342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3" name="$E$131">
            <a:extLst>
              <a:ext uri="{FF2B5EF4-FFF2-40B4-BE49-F238E27FC236}">
                <a16:creationId xmlns:a16="http://schemas.microsoft.com/office/drawing/2014/main" id="{BDFE038D-B02F-4257-BD27-3CD48975E325}"/>
              </a:ext>
            </a:extLst>
          </xdr:cNvPr>
          <xdr:cNvSpPr/>
        </xdr:nvSpPr>
        <xdr:spPr>
          <a:xfrm>
            <a:off x="355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4" name="$E$131">
            <a:extLst>
              <a:ext uri="{FF2B5EF4-FFF2-40B4-BE49-F238E27FC236}">
                <a16:creationId xmlns:a16="http://schemas.microsoft.com/office/drawing/2014/main" id="{6C59113D-8AFA-4542-80AD-24CD1E4DEA65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5" name="$E$131">
            <a:extLst>
              <a:ext uri="{FF2B5EF4-FFF2-40B4-BE49-F238E27FC236}">
                <a16:creationId xmlns:a16="http://schemas.microsoft.com/office/drawing/2014/main" id="{39B2BF76-6200-4F98-A5E6-A3E8FAA1E5C6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6" name="$E$131">
            <a:extLst>
              <a:ext uri="{FF2B5EF4-FFF2-40B4-BE49-F238E27FC236}">
                <a16:creationId xmlns:a16="http://schemas.microsoft.com/office/drawing/2014/main" id="{F6612507-6625-4CAB-8A15-93090A94D455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7" name="$E$131">
            <a:extLst>
              <a:ext uri="{FF2B5EF4-FFF2-40B4-BE49-F238E27FC236}">
                <a16:creationId xmlns:a16="http://schemas.microsoft.com/office/drawing/2014/main" id="{D0190334-EBCE-4474-A450-176697B94016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8" name="$E$131">
            <a:extLst>
              <a:ext uri="{FF2B5EF4-FFF2-40B4-BE49-F238E27FC236}">
                <a16:creationId xmlns:a16="http://schemas.microsoft.com/office/drawing/2014/main" id="{77A134D5-80F0-4A22-BAC0-3F6D047DA3AB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09" name="$E$131">
            <a:extLst>
              <a:ext uri="{FF2B5EF4-FFF2-40B4-BE49-F238E27FC236}">
                <a16:creationId xmlns:a16="http://schemas.microsoft.com/office/drawing/2014/main" id="{0EA97BC3-9316-4336-A8B5-DC4CCA29E9B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0" name="$E$131">
            <a:extLst>
              <a:ext uri="{FF2B5EF4-FFF2-40B4-BE49-F238E27FC236}">
                <a16:creationId xmlns:a16="http://schemas.microsoft.com/office/drawing/2014/main" id="{C59156EC-BAB1-482C-864E-FD80A0498292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1" name="$E$131">
            <a:extLst>
              <a:ext uri="{FF2B5EF4-FFF2-40B4-BE49-F238E27FC236}">
                <a16:creationId xmlns:a16="http://schemas.microsoft.com/office/drawing/2014/main" id="{16A09F97-0BD8-421F-8214-19AA9C786A34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2" name="$E$131">
            <a:extLst>
              <a:ext uri="{FF2B5EF4-FFF2-40B4-BE49-F238E27FC236}">
                <a16:creationId xmlns:a16="http://schemas.microsoft.com/office/drawing/2014/main" id="{478B8A7F-D870-4F5B-92E4-29BAFAC89E9B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3" name="$E$131">
            <a:extLst>
              <a:ext uri="{FF2B5EF4-FFF2-40B4-BE49-F238E27FC236}">
                <a16:creationId xmlns:a16="http://schemas.microsoft.com/office/drawing/2014/main" id="{B7C348D3-4A03-4CD9-8B71-FA3561A05FAE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4" name="$E$131">
            <a:extLst>
              <a:ext uri="{FF2B5EF4-FFF2-40B4-BE49-F238E27FC236}">
                <a16:creationId xmlns:a16="http://schemas.microsoft.com/office/drawing/2014/main" id="{B4EC5117-81B2-407C-B9A9-6145C8F0430C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5" name="$E$131">
            <a:extLst>
              <a:ext uri="{FF2B5EF4-FFF2-40B4-BE49-F238E27FC236}">
                <a16:creationId xmlns:a16="http://schemas.microsoft.com/office/drawing/2014/main" id="{13D07174-A7A7-4769-8FFF-CCB15B9DA399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6" name="$E$131">
            <a:extLst>
              <a:ext uri="{FF2B5EF4-FFF2-40B4-BE49-F238E27FC236}">
                <a16:creationId xmlns:a16="http://schemas.microsoft.com/office/drawing/2014/main" id="{D4D7FFB1-389F-4CE3-9305-F86C1AE182B3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7" name="$E$131">
            <a:extLst>
              <a:ext uri="{FF2B5EF4-FFF2-40B4-BE49-F238E27FC236}">
                <a16:creationId xmlns:a16="http://schemas.microsoft.com/office/drawing/2014/main" id="{E939B37F-1593-4D89-A278-5CE9B0D92166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8" name="$E$131">
            <a:extLst>
              <a:ext uri="{FF2B5EF4-FFF2-40B4-BE49-F238E27FC236}">
                <a16:creationId xmlns:a16="http://schemas.microsoft.com/office/drawing/2014/main" id="{1EACF0EF-2F55-44DF-823A-93950556820B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19" name="$E$131">
            <a:extLst>
              <a:ext uri="{FF2B5EF4-FFF2-40B4-BE49-F238E27FC236}">
                <a16:creationId xmlns:a16="http://schemas.microsoft.com/office/drawing/2014/main" id="{9D907685-52EF-4375-9BF6-C2A05B9CB295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0" name="$E$131">
            <a:extLst>
              <a:ext uri="{FF2B5EF4-FFF2-40B4-BE49-F238E27FC236}">
                <a16:creationId xmlns:a16="http://schemas.microsoft.com/office/drawing/2014/main" id="{ED775359-20F8-4E3A-8632-06D07FA227F8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1" name="$E$131">
            <a:extLst>
              <a:ext uri="{FF2B5EF4-FFF2-40B4-BE49-F238E27FC236}">
                <a16:creationId xmlns:a16="http://schemas.microsoft.com/office/drawing/2014/main" id="{812D5B94-D3EF-466E-B384-F68B7BB5602B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2" name="$E$131">
            <a:extLst>
              <a:ext uri="{FF2B5EF4-FFF2-40B4-BE49-F238E27FC236}">
                <a16:creationId xmlns:a16="http://schemas.microsoft.com/office/drawing/2014/main" id="{AD08AB83-4B92-4047-B3B7-02CA80AA68B2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3" name="$E$131">
            <a:extLst>
              <a:ext uri="{FF2B5EF4-FFF2-40B4-BE49-F238E27FC236}">
                <a16:creationId xmlns:a16="http://schemas.microsoft.com/office/drawing/2014/main" id="{B1C94603-B0CC-4B06-A7C2-CF0E8D6D773D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4" name="$E$131">
            <a:extLst>
              <a:ext uri="{FF2B5EF4-FFF2-40B4-BE49-F238E27FC236}">
                <a16:creationId xmlns:a16="http://schemas.microsoft.com/office/drawing/2014/main" id="{17EFB42A-6A7B-405C-A73D-2B6C3DC37227}"/>
              </a:ext>
            </a:extLst>
          </xdr:cNvPr>
          <xdr:cNvSpPr/>
        </xdr:nvSpPr>
        <xdr:spPr>
          <a:xfrm>
            <a:off x="419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5" name="$E$131">
            <a:extLst>
              <a:ext uri="{FF2B5EF4-FFF2-40B4-BE49-F238E27FC236}">
                <a16:creationId xmlns:a16="http://schemas.microsoft.com/office/drawing/2014/main" id="{FA4B8EB5-1782-4502-8091-7A81F33CF62A}"/>
              </a:ext>
            </a:extLst>
          </xdr:cNvPr>
          <xdr:cNvSpPr/>
        </xdr:nvSpPr>
        <xdr:spPr>
          <a:xfrm>
            <a:off x="444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6" name="$E$131">
            <a:extLst>
              <a:ext uri="{FF2B5EF4-FFF2-40B4-BE49-F238E27FC236}">
                <a16:creationId xmlns:a16="http://schemas.microsoft.com/office/drawing/2014/main" id="{AD112B8E-AFFA-455F-BC14-279439E3FA26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7" name="$E$131">
            <a:extLst>
              <a:ext uri="{FF2B5EF4-FFF2-40B4-BE49-F238E27FC236}">
                <a16:creationId xmlns:a16="http://schemas.microsoft.com/office/drawing/2014/main" id="{4DA896EB-5B6B-4DD3-9104-A541D5EF3672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8" name="$E$131">
            <a:extLst>
              <a:ext uri="{FF2B5EF4-FFF2-40B4-BE49-F238E27FC236}">
                <a16:creationId xmlns:a16="http://schemas.microsoft.com/office/drawing/2014/main" id="{F0D737B0-E94C-4A18-B57F-AAB7F8F6E92D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29" name="$E$131">
            <a:extLst>
              <a:ext uri="{FF2B5EF4-FFF2-40B4-BE49-F238E27FC236}">
                <a16:creationId xmlns:a16="http://schemas.microsoft.com/office/drawing/2014/main" id="{A6C5F886-B1DB-4413-94D9-EA1ACFF796A4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0" name="$E$131">
            <a:extLst>
              <a:ext uri="{FF2B5EF4-FFF2-40B4-BE49-F238E27FC236}">
                <a16:creationId xmlns:a16="http://schemas.microsoft.com/office/drawing/2014/main" id="{BDA6FBA3-16B0-4901-903E-D06BC4B616E5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1" name="$E$131">
            <a:extLst>
              <a:ext uri="{FF2B5EF4-FFF2-40B4-BE49-F238E27FC236}">
                <a16:creationId xmlns:a16="http://schemas.microsoft.com/office/drawing/2014/main" id="{946BE738-1BDF-4B26-9A2D-46258461C297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2" name="$E$131">
            <a:extLst>
              <a:ext uri="{FF2B5EF4-FFF2-40B4-BE49-F238E27FC236}">
                <a16:creationId xmlns:a16="http://schemas.microsoft.com/office/drawing/2014/main" id="{B74B35A0-AA66-4568-A524-270C0CF0389C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3" name="$E$131">
            <a:extLst>
              <a:ext uri="{FF2B5EF4-FFF2-40B4-BE49-F238E27FC236}">
                <a16:creationId xmlns:a16="http://schemas.microsoft.com/office/drawing/2014/main" id="{DB9CAFD5-A053-4BDA-8AB7-C89774EDA4B4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4" name="$E$131">
            <a:extLst>
              <a:ext uri="{FF2B5EF4-FFF2-40B4-BE49-F238E27FC236}">
                <a16:creationId xmlns:a16="http://schemas.microsoft.com/office/drawing/2014/main" id="{90191605-B068-41D0-ABAB-CAF528D2AC48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5" name="$E$131">
            <a:extLst>
              <a:ext uri="{FF2B5EF4-FFF2-40B4-BE49-F238E27FC236}">
                <a16:creationId xmlns:a16="http://schemas.microsoft.com/office/drawing/2014/main" id="{141D0FA8-32F3-49EA-BF73-8E9482A4EB7A}"/>
              </a:ext>
            </a:extLst>
          </xdr:cNvPr>
          <xdr:cNvSpPr/>
        </xdr:nvSpPr>
        <xdr:spPr>
          <a:xfrm>
            <a:off x="279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6" name="$E$131">
            <a:extLst>
              <a:ext uri="{FF2B5EF4-FFF2-40B4-BE49-F238E27FC236}">
                <a16:creationId xmlns:a16="http://schemas.microsoft.com/office/drawing/2014/main" id="{35D1B647-470B-46D5-A9AF-D509029D1241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7" name="$E$131">
            <a:extLst>
              <a:ext uri="{FF2B5EF4-FFF2-40B4-BE49-F238E27FC236}">
                <a16:creationId xmlns:a16="http://schemas.microsoft.com/office/drawing/2014/main" id="{084D60E6-BBBB-49DF-B2C5-5DDC1A287B18}"/>
              </a:ext>
            </a:extLst>
          </xdr:cNvPr>
          <xdr:cNvSpPr/>
        </xdr:nvSpPr>
        <xdr:spPr>
          <a:xfrm>
            <a:off x="317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8" name="$E$131">
            <a:extLst>
              <a:ext uri="{FF2B5EF4-FFF2-40B4-BE49-F238E27FC236}">
                <a16:creationId xmlns:a16="http://schemas.microsoft.com/office/drawing/2014/main" id="{87ADF508-C987-4981-82A9-2D247B3527CB}"/>
              </a:ext>
            </a:extLst>
          </xdr:cNvPr>
          <xdr:cNvSpPr/>
        </xdr:nvSpPr>
        <xdr:spPr>
          <a:xfrm>
            <a:off x="355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39" name="$E$131">
            <a:extLst>
              <a:ext uri="{FF2B5EF4-FFF2-40B4-BE49-F238E27FC236}">
                <a16:creationId xmlns:a16="http://schemas.microsoft.com/office/drawing/2014/main" id="{C68FE21B-3A83-4D1D-BB94-DFB0544D8588}"/>
              </a:ext>
            </a:extLst>
          </xdr:cNvPr>
          <xdr:cNvSpPr/>
        </xdr:nvSpPr>
        <xdr:spPr>
          <a:xfrm>
            <a:off x="368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0" name="$E$131">
            <a:extLst>
              <a:ext uri="{FF2B5EF4-FFF2-40B4-BE49-F238E27FC236}">
                <a16:creationId xmlns:a16="http://schemas.microsoft.com/office/drawing/2014/main" id="{89150969-0FA4-4963-9319-7BE20800E723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1" name="$E$131">
            <a:extLst>
              <a:ext uri="{FF2B5EF4-FFF2-40B4-BE49-F238E27FC236}">
                <a16:creationId xmlns:a16="http://schemas.microsoft.com/office/drawing/2014/main" id="{C99C4144-99DC-4576-9504-6361814550C9}"/>
              </a:ext>
            </a:extLst>
          </xdr:cNvPr>
          <xdr:cNvSpPr/>
        </xdr:nvSpPr>
        <xdr:spPr>
          <a:xfrm>
            <a:off x="419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2" name="$E$131">
            <a:extLst>
              <a:ext uri="{FF2B5EF4-FFF2-40B4-BE49-F238E27FC236}">
                <a16:creationId xmlns:a16="http://schemas.microsoft.com/office/drawing/2014/main" id="{F0796DF5-9A92-45FA-8659-61AA90F25D44}"/>
              </a:ext>
            </a:extLst>
          </xdr:cNvPr>
          <xdr:cNvSpPr/>
        </xdr:nvSpPr>
        <xdr:spPr>
          <a:xfrm>
            <a:off x="431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3" name="$E$131">
            <a:extLst>
              <a:ext uri="{FF2B5EF4-FFF2-40B4-BE49-F238E27FC236}">
                <a16:creationId xmlns:a16="http://schemas.microsoft.com/office/drawing/2014/main" id="{BC26FB38-E4E8-42F3-9890-D14E12BDE38E}"/>
              </a:ext>
            </a:extLst>
          </xdr:cNvPr>
          <xdr:cNvSpPr/>
        </xdr:nvSpPr>
        <xdr:spPr>
          <a:xfrm>
            <a:off x="444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4" name="$E$131">
            <a:extLst>
              <a:ext uri="{FF2B5EF4-FFF2-40B4-BE49-F238E27FC236}">
                <a16:creationId xmlns:a16="http://schemas.microsoft.com/office/drawing/2014/main" id="{1C861B8F-73F2-4ED8-97E7-BC4EA1D86862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5" name="$E$131">
            <a:extLst>
              <a:ext uri="{FF2B5EF4-FFF2-40B4-BE49-F238E27FC236}">
                <a16:creationId xmlns:a16="http://schemas.microsoft.com/office/drawing/2014/main" id="{099A1457-DD03-4155-A326-CF1E5DDEE14F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6" name="$E$131">
            <a:extLst>
              <a:ext uri="{FF2B5EF4-FFF2-40B4-BE49-F238E27FC236}">
                <a16:creationId xmlns:a16="http://schemas.microsoft.com/office/drawing/2014/main" id="{9246A353-F2D7-4139-8DFA-C959333AADB2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7" name="$E$131">
            <a:extLst>
              <a:ext uri="{FF2B5EF4-FFF2-40B4-BE49-F238E27FC236}">
                <a16:creationId xmlns:a16="http://schemas.microsoft.com/office/drawing/2014/main" id="{D2AC6FB8-65FB-4923-8935-E57634AA2AA7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8" name="$E$131">
            <a:extLst>
              <a:ext uri="{FF2B5EF4-FFF2-40B4-BE49-F238E27FC236}">
                <a16:creationId xmlns:a16="http://schemas.microsoft.com/office/drawing/2014/main" id="{5F7DA326-C951-4405-82C1-5FA759DBA4BD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49" name="$E$131">
            <a:extLst>
              <a:ext uri="{FF2B5EF4-FFF2-40B4-BE49-F238E27FC236}">
                <a16:creationId xmlns:a16="http://schemas.microsoft.com/office/drawing/2014/main" id="{7EF5F3E1-A353-4ECB-9835-15EC852EC188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0" name="$E$131">
            <a:extLst>
              <a:ext uri="{FF2B5EF4-FFF2-40B4-BE49-F238E27FC236}">
                <a16:creationId xmlns:a16="http://schemas.microsoft.com/office/drawing/2014/main" id="{758DE2A7-322F-4BFB-A7E6-72A4F59EC049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1" name="$E$131">
            <a:extLst>
              <a:ext uri="{FF2B5EF4-FFF2-40B4-BE49-F238E27FC236}">
                <a16:creationId xmlns:a16="http://schemas.microsoft.com/office/drawing/2014/main" id="{81B510FC-79E0-4CB6-8D52-2C9455E45362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2" name="$E$131">
            <a:extLst>
              <a:ext uri="{FF2B5EF4-FFF2-40B4-BE49-F238E27FC236}">
                <a16:creationId xmlns:a16="http://schemas.microsoft.com/office/drawing/2014/main" id="{A3DD17E3-3974-4C81-AACC-870EB9C6ED1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3" name="$E$131">
            <a:extLst>
              <a:ext uri="{FF2B5EF4-FFF2-40B4-BE49-F238E27FC236}">
                <a16:creationId xmlns:a16="http://schemas.microsoft.com/office/drawing/2014/main" id="{0ABB6054-6D96-4A2B-B168-0B768B8A8207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4" name="$E$131">
            <a:extLst>
              <a:ext uri="{FF2B5EF4-FFF2-40B4-BE49-F238E27FC236}">
                <a16:creationId xmlns:a16="http://schemas.microsoft.com/office/drawing/2014/main" id="{67721C76-F252-4B8F-A4B1-394631F550F1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5" name="$E$131">
            <a:extLst>
              <a:ext uri="{FF2B5EF4-FFF2-40B4-BE49-F238E27FC236}">
                <a16:creationId xmlns:a16="http://schemas.microsoft.com/office/drawing/2014/main" id="{6C21728D-7896-4B58-8606-C334889016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6" name="$E$131">
            <a:extLst>
              <a:ext uri="{FF2B5EF4-FFF2-40B4-BE49-F238E27FC236}">
                <a16:creationId xmlns:a16="http://schemas.microsoft.com/office/drawing/2014/main" id="{2E0AC35C-37F3-4310-85C9-805DDF50B512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7" name="$E$131">
            <a:extLst>
              <a:ext uri="{FF2B5EF4-FFF2-40B4-BE49-F238E27FC236}">
                <a16:creationId xmlns:a16="http://schemas.microsoft.com/office/drawing/2014/main" id="{7098F4DC-F27D-48EC-B3ED-861BF8AB293C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8" name="$E$131">
            <a:extLst>
              <a:ext uri="{FF2B5EF4-FFF2-40B4-BE49-F238E27FC236}">
                <a16:creationId xmlns:a16="http://schemas.microsoft.com/office/drawing/2014/main" id="{FA9B3007-510A-4932-915E-0224F1B2310D}"/>
              </a:ext>
            </a:extLst>
          </xdr:cNvPr>
          <xdr:cNvSpPr/>
        </xdr:nvSpPr>
        <xdr:spPr>
          <a:xfrm>
            <a:off x="330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59" name="$E$131">
            <a:extLst>
              <a:ext uri="{FF2B5EF4-FFF2-40B4-BE49-F238E27FC236}">
                <a16:creationId xmlns:a16="http://schemas.microsoft.com/office/drawing/2014/main" id="{752632D6-9E9A-4921-82EE-B1876C79CACE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0" name="$E$131">
            <a:extLst>
              <a:ext uri="{FF2B5EF4-FFF2-40B4-BE49-F238E27FC236}">
                <a16:creationId xmlns:a16="http://schemas.microsoft.com/office/drawing/2014/main" id="{0419F99A-202F-4B04-8F9C-A5523E31B08D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1" name="$E$131">
            <a:extLst>
              <a:ext uri="{FF2B5EF4-FFF2-40B4-BE49-F238E27FC236}">
                <a16:creationId xmlns:a16="http://schemas.microsoft.com/office/drawing/2014/main" id="{7EE2945C-54ED-4477-90D5-81B721CEFB37}"/>
              </a:ext>
            </a:extLst>
          </xdr:cNvPr>
          <xdr:cNvSpPr/>
        </xdr:nvSpPr>
        <xdr:spPr>
          <a:xfrm>
            <a:off x="381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2" name="$E$131">
            <a:extLst>
              <a:ext uri="{FF2B5EF4-FFF2-40B4-BE49-F238E27FC236}">
                <a16:creationId xmlns:a16="http://schemas.microsoft.com/office/drawing/2014/main" id="{7C6C589A-4552-491A-8C3C-88562F8C8D0E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3" name="$E$131">
            <a:extLst>
              <a:ext uri="{FF2B5EF4-FFF2-40B4-BE49-F238E27FC236}">
                <a16:creationId xmlns:a16="http://schemas.microsoft.com/office/drawing/2014/main" id="{49A12055-BD0A-41C5-A386-DE25FFFCCB76}"/>
              </a:ext>
            </a:extLst>
          </xdr:cNvPr>
          <xdr:cNvSpPr/>
        </xdr:nvSpPr>
        <xdr:spPr>
          <a:xfrm>
            <a:off x="419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4" name="$E$131">
            <a:extLst>
              <a:ext uri="{FF2B5EF4-FFF2-40B4-BE49-F238E27FC236}">
                <a16:creationId xmlns:a16="http://schemas.microsoft.com/office/drawing/2014/main" id="{C87AB666-5B99-4DE1-A753-F3CD3B9BAFF8}"/>
              </a:ext>
            </a:extLst>
          </xdr:cNvPr>
          <xdr:cNvSpPr/>
        </xdr:nvSpPr>
        <xdr:spPr>
          <a:xfrm>
            <a:off x="431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5" name="$E$131">
            <a:extLst>
              <a:ext uri="{FF2B5EF4-FFF2-40B4-BE49-F238E27FC236}">
                <a16:creationId xmlns:a16="http://schemas.microsoft.com/office/drawing/2014/main" id="{23EFBDA8-E39A-40F8-9AC3-563195CF4B0D}"/>
              </a:ext>
            </a:extLst>
          </xdr:cNvPr>
          <xdr:cNvSpPr/>
        </xdr:nvSpPr>
        <xdr:spPr>
          <a:xfrm>
            <a:off x="457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6" name="$E$131">
            <a:extLst>
              <a:ext uri="{FF2B5EF4-FFF2-40B4-BE49-F238E27FC236}">
                <a16:creationId xmlns:a16="http://schemas.microsoft.com/office/drawing/2014/main" id="{4119914D-18D8-4094-9C74-B977DEDCC39E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7" name="$E$131">
            <a:extLst>
              <a:ext uri="{FF2B5EF4-FFF2-40B4-BE49-F238E27FC236}">
                <a16:creationId xmlns:a16="http://schemas.microsoft.com/office/drawing/2014/main" id="{78FD1267-43D1-4A7D-AE5D-6B59883EE6E5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8" name="$E$131">
            <a:extLst>
              <a:ext uri="{FF2B5EF4-FFF2-40B4-BE49-F238E27FC236}">
                <a16:creationId xmlns:a16="http://schemas.microsoft.com/office/drawing/2014/main" id="{69E4F337-4DA9-4749-84EA-75490990ECF4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69" name="$E$131">
            <a:extLst>
              <a:ext uri="{FF2B5EF4-FFF2-40B4-BE49-F238E27FC236}">
                <a16:creationId xmlns:a16="http://schemas.microsoft.com/office/drawing/2014/main" id="{0454D09B-E40A-4AF3-B69A-725706E48459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0" name="$E$131">
            <a:extLst>
              <a:ext uri="{FF2B5EF4-FFF2-40B4-BE49-F238E27FC236}">
                <a16:creationId xmlns:a16="http://schemas.microsoft.com/office/drawing/2014/main" id="{456EF25A-2129-402F-A1A8-82390402B252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1" name="$E$131">
            <a:extLst>
              <a:ext uri="{FF2B5EF4-FFF2-40B4-BE49-F238E27FC236}">
                <a16:creationId xmlns:a16="http://schemas.microsoft.com/office/drawing/2014/main" id="{A3EA7401-2F7D-4F9E-880E-03EF99BBF599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2" name="$E$131">
            <a:extLst>
              <a:ext uri="{FF2B5EF4-FFF2-40B4-BE49-F238E27FC236}">
                <a16:creationId xmlns:a16="http://schemas.microsoft.com/office/drawing/2014/main" id="{F3EB6748-E824-48BB-8C79-11A91350650D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3" name="$E$131">
            <a:extLst>
              <a:ext uri="{FF2B5EF4-FFF2-40B4-BE49-F238E27FC236}">
                <a16:creationId xmlns:a16="http://schemas.microsoft.com/office/drawing/2014/main" id="{363D0D2A-87BA-45F4-91B3-DB049F5100F7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4" name="$E$131">
            <a:extLst>
              <a:ext uri="{FF2B5EF4-FFF2-40B4-BE49-F238E27FC236}">
                <a16:creationId xmlns:a16="http://schemas.microsoft.com/office/drawing/2014/main" id="{20F9D1AA-EDEC-4CFF-ABDE-D09399E170E9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5" name="$E$131">
            <a:extLst>
              <a:ext uri="{FF2B5EF4-FFF2-40B4-BE49-F238E27FC236}">
                <a16:creationId xmlns:a16="http://schemas.microsoft.com/office/drawing/2014/main" id="{A9200C95-9A72-46FC-A2D9-D2AA399E2E08}"/>
              </a:ext>
            </a:extLst>
          </xdr:cNvPr>
          <xdr:cNvSpPr/>
        </xdr:nvSpPr>
        <xdr:spPr>
          <a:xfrm>
            <a:off x="342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6" name="$E$131">
            <a:extLst>
              <a:ext uri="{FF2B5EF4-FFF2-40B4-BE49-F238E27FC236}">
                <a16:creationId xmlns:a16="http://schemas.microsoft.com/office/drawing/2014/main" id="{BC0A089C-39E8-47A0-AB43-21D8F01829E4}"/>
              </a:ext>
            </a:extLst>
          </xdr:cNvPr>
          <xdr:cNvSpPr/>
        </xdr:nvSpPr>
        <xdr:spPr>
          <a:xfrm>
            <a:off x="355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7" name="$E$131">
            <a:extLst>
              <a:ext uri="{FF2B5EF4-FFF2-40B4-BE49-F238E27FC236}">
                <a16:creationId xmlns:a16="http://schemas.microsoft.com/office/drawing/2014/main" id="{1BE55197-3EE2-429B-B187-6EFE1B8549D4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8" name="$E$131">
            <a:extLst>
              <a:ext uri="{FF2B5EF4-FFF2-40B4-BE49-F238E27FC236}">
                <a16:creationId xmlns:a16="http://schemas.microsoft.com/office/drawing/2014/main" id="{409D3F05-75FD-47E9-B778-05AA0C3F30FD}"/>
              </a:ext>
            </a:extLst>
          </xdr:cNvPr>
          <xdr:cNvSpPr/>
        </xdr:nvSpPr>
        <xdr:spPr>
          <a:xfrm>
            <a:off x="419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79" name="$E$131">
            <a:extLst>
              <a:ext uri="{FF2B5EF4-FFF2-40B4-BE49-F238E27FC236}">
                <a16:creationId xmlns:a16="http://schemas.microsoft.com/office/drawing/2014/main" id="{316A9D15-9233-43BB-9C32-EFC7EE00F23C}"/>
              </a:ext>
            </a:extLst>
          </xdr:cNvPr>
          <xdr:cNvSpPr/>
        </xdr:nvSpPr>
        <xdr:spPr>
          <a:xfrm>
            <a:off x="444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0" name="$E$131">
            <a:extLst>
              <a:ext uri="{FF2B5EF4-FFF2-40B4-BE49-F238E27FC236}">
                <a16:creationId xmlns:a16="http://schemas.microsoft.com/office/drawing/2014/main" id="{337840CD-CD1D-4A45-9D71-2D5BA0618280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1" name="$E$131">
            <a:extLst>
              <a:ext uri="{FF2B5EF4-FFF2-40B4-BE49-F238E27FC236}">
                <a16:creationId xmlns:a16="http://schemas.microsoft.com/office/drawing/2014/main" id="{DAF0CC75-A989-4A03-8508-BAC442EEC67B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2" name="$E$131">
            <a:extLst>
              <a:ext uri="{FF2B5EF4-FFF2-40B4-BE49-F238E27FC236}">
                <a16:creationId xmlns:a16="http://schemas.microsoft.com/office/drawing/2014/main" id="{1D4BC596-19BC-4C16-8A41-D3761FE0D72C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3" name="$E$131">
            <a:extLst>
              <a:ext uri="{FF2B5EF4-FFF2-40B4-BE49-F238E27FC236}">
                <a16:creationId xmlns:a16="http://schemas.microsoft.com/office/drawing/2014/main" id="{B6397B45-2BF8-45D5-A3BE-86E9F4C35A4C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4" name="$E$131">
            <a:extLst>
              <a:ext uri="{FF2B5EF4-FFF2-40B4-BE49-F238E27FC236}">
                <a16:creationId xmlns:a16="http://schemas.microsoft.com/office/drawing/2014/main" id="{C22FCB2B-F8BD-4F4E-93C2-81E37E6D4FEC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5" name="$E$131">
            <a:extLst>
              <a:ext uri="{FF2B5EF4-FFF2-40B4-BE49-F238E27FC236}">
                <a16:creationId xmlns:a16="http://schemas.microsoft.com/office/drawing/2014/main" id="{2530435D-33D7-4F9D-8F5B-B01907DADD4A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6" name="$E$131">
            <a:extLst>
              <a:ext uri="{FF2B5EF4-FFF2-40B4-BE49-F238E27FC236}">
                <a16:creationId xmlns:a16="http://schemas.microsoft.com/office/drawing/2014/main" id="{5E11F2D6-5146-4F29-906E-1FCEFF39B525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7" name="$E$131">
            <a:extLst>
              <a:ext uri="{FF2B5EF4-FFF2-40B4-BE49-F238E27FC236}">
                <a16:creationId xmlns:a16="http://schemas.microsoft.com/office/drawing/2014/main" id="{611CB254-7E81-47C5-B4D8-38C525736CE4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8" name="$E$131">
            <a:extLst>
              <a:ext uri="{FF2B5EF4-FFF2-40B4-BE49-F238E27FC236}">
                <a16:creationId xmlns:a16="http://schemas.microsoft.com/office/drawing/2014/main" id="{418FF377-2122-4BAB-9801-4262D64934EE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89" name="$E$131">
            <a:extLst>
              <a:ext uri="{FF2B5EF4-FFF2-40B4-BE49-F238E27FC236}">
                <a16:creationId xmlns:a16="http://schemas.microsoft.com/office/drawing/2014/main" id="{AC1AF225-94F1-4790-9813-0711F6E6FC3E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0" name="$E$131">
            <a:extLst>
              <a:ext uri="{FF2B5EF4-FFF2-40B4-BE49-F238E27FC236}">
                <a16:creationId xmlns:a16="http://schemas.microsoft.com/office/drawing/2014/main" id="{E5F9BE06-EE9E-48E9-84EB-9C48049C7FC2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1" name="$E$131">
            <a:extLst>
              <a:ext uri="{FF2B5EF4-FFF2-40B4-BE49-F238E27FC236}">
                <a16:creationId xmlns:a16="http://schemas.microsoft.com/office/drawing/2014/main" id="{9FBC642E-4751-4F70-A94F-0D1F151E0D9E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2" name="$E$131">
            <a:extLst>
              <a:ext uri="{FF2B5EF4-FFF2-40B4-BE49-F238E27FC236}">
                <a16:creationId xmlns:a16="http://schemas.microsoft.com/office/drawing/2014/main" id="{8586F452-5F98-488E-AEFF-FD3CBA2B5E1C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3" name="$E$131">
            <a:extLst>
              <a:ext uri="{FF2B5EF4-FFF2-40B4-BE49-F238E27FC236}">
                <a16:creationId xmlns:a16="http://schemas.microsoft.com/office/drawing/2014/main" id="{C313948A-837E-4759-9D5F-D67D681786AA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4" name="$E$131">
            <a:extLst>
              <a:ext uri="{FF2B5EF4-FFF2-40B4-BE49-F238E27FC236}">
                <a16:creationId xmlns:a16="http://schemas.microsoft.com/office/drawing/2014/main" id="{64C1E63E-5C35-4AFA-9F05-21D4EB1A5E3B}"/>
              </a:ext>
            </a:extLst>
          </xdr:cNvPr>
          <xdr:cNvSpPr/>
        </xdr:nvSpPr>
        <xdr:spPr>
          <a:xfrm>
            <a:off x="330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5" name="$E$131">
            <a:extLst>
              <a:ext uri="{FF2B5EF4-FFF2-40B4-BE49-F238E27FC236}">
                <a16:creationId xmlns:a16="http://schemas.microsoft.com/office/drawing/2014/main" id="{829A58D2-F69D-49B9-8D67-C67036485C57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6" name="$E$131">
            <a:extLst>
              <a:ext uri="{FF2B5EF4-FFF2-40B4-BE49-F238E27FC236}">
                <a16:creationId xmlns:a16="http://schemas.microsoft.com/office/drawing/2014/main" id="{4EA5BF05-9C7A-47D4-9C68-D7026367D333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7" name="$E$131">
            <a:extLst>
              <a:ext uri="{FF2B5EF4-FFF2-40B4-BE49-F238E27FC236}">
                <a16:creationId xmlns:a16="http://schemas.microsoft.com/office/drawing/2014/main" id="{C68CA7F2-808B-4409-832E-F11311680DCC}"/>
              </a:ext>
            </a:extLst>
          </xdr:cNvPr>
          <xdr:cNvSpPr/>
        </xdr:nvSpPr>
        <xdr:spPr>
          <a:xfrm>
            <a:off x="381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8" name="$E$131">
            <a:extLst>
              <a:ext uri="{FF2B5EF4-FFF2-40B4-BE49-F238E27FC236}">
                <a16:creationId xmlns:a16="http://schemas.microsoft.com/office/drawing/2014/main" id="{A705B065-4334-4424-B4B1-D7C05931796A}"/>
              </a:ext>
            </a:extLst>
          </xdr:cNvPr>
          <xdr:cNvSpPr/>
        </xdr:nvSpPr>
        <xdr:spPr>
          <a:xfrm>
            <a:off x="406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699" name="$E$131">
            <a:extLst>
              <a:ext uri="{FF2B5EF4-FFF2-40B4-BE49-F238E27FC236}">
                <a16:creationId xmlns:a16="http://schemas.microsoft.com/office/drawing/2014/main" id="{342B1AFD-5CA2-4DB7-BE5A-FAA8B5F50592}"/>
              </a:ext>
            </a:extLst>
          </xdr:cNvPr>
          <xdr:cNvSpPr/>
        </xdr:nvSpPr>
        <xdr:spPr>
          <a:xfrm>
            <a:off x="419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0" name="$E$131">
            <a:extLst>
              <a:ext uri="{FF2B5EF4-FFF2-40B4-BE49-F238E27FC236}">
                <a16:creationId xmlns:a16="http://schemas.microsoft.com/office/drawing/2014/main" id="{8D12E08E-7436-45BE-9BD6-775D77A4098F}"/>
              </a:ext>
            </a:extLst>
          </xdr:cNvPr>
          <xdr:cNvSpPr/>
        </xdr:nvSpPr>
        <xdr:spPr>
          <a:xfrm>
            <a:off x="431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1" name="$E$131">
            <a:extLst>
              <a:ext uri="{FF2B5EF4-FFF2-40B4-BE49-F238E27FC236}">
                <a16:creationId xmlns:a16="http://schemas.microsoft.com/office/drawing/2014/main" id="{65744941-8B42-4D02-A352-47F74454DAAA}"/>
              </a:ext>
            </a:extLst>
          </xdr:cNvPr>
          <xdr:cNvSpPr/>
        </xdr:nvSpPr>
        <xdr:spPr>
          <a:xfrm>
            <a:off x="457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2" name="$E$131">
            <a:extLst>
              <a:ext uri="{FF2B5EF4-FFF2-40B4-BE49-F238E27FC236}">
                <a16:creationId xmlns:a16="http://schemas.microsoft.com/office/drawing/2014/main" id="{3A0BAE32-A700-4A9C-95C2-2D7C6F42816A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3" name="$E$131">
            <a:extLst>
              <a:ext uri="{FF2B5EF4-FFF2-40B4-BE49-F238E27FC236}">
                <a16:creationId xmlns:a16="http://schemas.microsoft.com/office/drawing/2014/main" id="{3CA74042-2384-46A3-A3F3-0711F32F78C3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4" name="$E$131">
            <a:extLst>
              <a:ext uri="{FF2B5EF4-FFF2-40B4-BE49-F238E27FC236}">
                <a16:creationId xmlns:a16="http://schemas.microsoft.com/office/drawing/2014/main" id="{95649DC7-EE9E-4060-A366-2A81B24DE15B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5" name="$E$131">
            <a:extLst>
              <a:ext uri="{FF2B5EF4-FFF2-40B4-BE49-F238E27FC236}">
                <a16:creationId xmlns:a16="http://schemas.microsoft.com/office/drawing/2014/main" id="{E7F36835-9F67-4896-86ED-6F26AFA93EC6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6" name="$E$131">
            <a:extLst>
              <a:ext uri="{FF2B5EF4-FFF2-40B4-BE49-F238E27FC236}">
                <a16:creationId xmlns:a16="http://schemas.microsoft.com/office/drawing/2014/main" id="{69654D25-77FF-4D9E-82D2-990FCA8BB853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7" name="$E$131">
            <a:extLst>
              <a:ext uri="{FF2B5EF4-FFF2-40B4-BE49-F238E27FC236}">
                <a16:creationId xmlns:a16="http://schemas.microsoft.com/office/drawing/2014/main" id="{5C6642DC-DDAC-4B2A-AE9A-EA9E8F1E6F99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8" name="$E$131">
            <a:extLst>
              <a:ext uri="{FF2B5EF4-FFF2-40B4-BE49-F238E27FC236}">
                <a16:creationId xmlns:a16="http://schemas.microsoft.com/office/drawing/2014/main" id="{37A6C739-E8A1-4CA4-B426-E6DBE1F0AB2A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09" name="$E$131">
            <a:extLst>
              <a:ext uri="{FF2B5EF4-FFF2-40B4-BE49-F238E27FC236}">
                <a16:creationId xmlns:a16="http://schemas.microsoft.com/office/drawing/2014/main" id="{1DAB2244-9EA1-49D7-A086-696931AC7251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0" name="$E$131">
            <a:extLst>
              <a:ext uri="{FF2B5EF4-FFF2-40B4-BE49-F238E27FC236}">
                <a16:creationId xmlns:a16="http://schemas.microsoft.com/office/drawing/2014/main" id="{AD82FE8A-CBCD-48AB-9698-E354D879CA71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1" name="$E$131">
            <a:extLst>
              <a:ext uri="{FF2B5EF4-FFF2-40B4-BE49-F238E27FC236}">
                <a16:creationId xmlns:a16="http://schemas.microsoft.com/office/drawing/2014/main" id="{DE4EE681-2406-4623-A602-062834FCFB3E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2" name="$E$131">
            <a:extLst>
              <a:ext uri="{FF2B5EF4-FFF2-40B4-BE49-F238E27FC236}">
                <a16:creationId xmlns:a16="http://schemas.microsoft.com/office/drawing/2014/main" id="{E2F2F388-324D-4327-B0DD-1B0451243923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3" name="$E$131">
            <a:extLst>
              <a:ext uri="{FF2B5EF4-FFF2-40B4-BE49-F238E27FC236}">
                <a16:creationId xmlns:a16="http://schemas.microsoft.com/office/drawing/2014/main" id="{D170D149-5FA7-4C6E-ACC6-308F31AF084E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4" name="$E$131">
            <a:extLst>
              <a:ext uri="{FF2B5EF4-FFF2-40B4-BE49-F238E27FC236}">
                <a16:creationId xmlns:a16="http://schemas.microsoft.com/office/drawing/2014/main" id="{D340FA0B-E93E-4E3F-B524-75F6118F4E0D}"/>
              </a:ext>
            </a:extLst>
          </xdr:cNvPr>
          <xdr:cNvSpPr/>
        </xdr:nvSpPr>
        <xdr:spPr>
          <a:xfrm>
            <a:off x="355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5" name="$E$131">
            <a:extLst>
              <a:ext uri="{FF2B5EF4-FFF2-40B4-BE49-F238E27FC236}">
                <a16:creationId xmlns:a16="http://schemas.microsoft.com/office/drawing/2014/main" id="{635AAE51-57ED-439E-922D-3A4EFD9D6173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6" name="$E$131">
            <a:extLst>
              <a:ext uri="{FF2B5EF4-FFF2-40B4-BE49-F238E27FC236}">
                <a16:creationId xmlns:a16="http://schemas.microsoft.com/office/drawing/2014/main" id="{5336156F-F456-492E-A9F0-EB0E21044D55}"/>
              </a:ext>
            </a:extLst>
          </xdr:cNvPr>
          <xdr:cNvSpPr/>
        </xdr:nvSpPr>
        <xdr:spPr>
          <a:xfrm>
            <a:off x="431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7" name="$E$131">
            <a:extLst>
              <a:ext uri="{FF2B5EF4-FFF2-40B4-BE49-F238E27FC236}">
                <a16:creationId xmlns:a16="http://schemas.microsoft.com/office/drawing/2014/main" id="{D1EABC66-CDDA-4F08-BAE5-13B6115D0634}"/>
              </a:ext>
            </a:extLst>
          </xdr:cNvPr>
          <xdr:cNvSpPr/>
        </xdr:nvSpPr>
        <xdr:spPr>
          <a:xfrm>
            <a:off x="444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8" name="$E$131">
            <a:extLst>
              <a:ext uri="{FF2B5EF4-FFF2-40B4-BE49-F238E27FC236}">
                <a16:creationId xmlns:a16="http://schemas.microsoft.com/office/drawing/2014/main" id="{06EBCB99-7BC8-42BF-8BCD-5257787A6711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19" name="$E$131">
            <a:extLst>
              <a:ext uri="{FF2B5EF4-FFF2-40B4-BE49-F238E27FC236}">
                <a16:creationId xmlns:a16="http://schemas.microsoft.com/office/drawing/2014/main" id="{726678DE-72CB-4DA0-80AA-4C0D1DDD9144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0" name="$E$131">
            <a:extLst>
              <a:ext uri="{FF2B5EF4-FFF2-40B4-BE49-F238E27FC236}">
                <a16:creationId xmlns:a16="http://schemas.microsoft.com/office/drawing/2014/main" id="{777E3A70-689C-48DC-8B7E-A0A19F5E72A4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1" name="$E$131">
            <a:extLst>
              <a:ext uri="{FF2B5EF4-FFF2-40B4-BE49-F238E27FC236}">
                <a16:creationId xmlns:a16="http://schemas.microsoft.com/office/drawing/2014/main" id="{7A9806A5-4E2F-4423-81B0-F19BA36EBFE5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2" name="$E$131">
            <a:extLst>
              <a:ext uri="{FF2B5EF4-FFF2-40B4-BE49-F238E27FC236}">
                <a16:creationId xmlns:a16="http://schemas.microsoft.com/office/drawing/2014/main" id="{100EAF44-CF93-4C83-9EEE-AC3806078BCA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3" name="$E$131">
            <a:extLst>
              <a:ext uri="{FF2B5EF4-FFF2-40B4-BE49-F238E27FC236}">
                <a16:creationId xmlns:a16="http://schemas.microsoft.com/office/drawing/2014/main" id="{503B3B23-55A8-43A3-B41B-466D00E17E09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4" name="$E$131">
            <a:extLst>
              <a:ext uri="{FF2B5EF4-FFF2-40B4-BE49-F238E27FC236}">
                <a16:creationId xmlns:a16="http://schemas.microsoft.com/office/drawing/2014/main" id="{B495192F-B4A6-4260-A3C9-E75C9BAF55BC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5" name="$E$131">
            <a:extLst>
              <a:ext uri="{FF2B5EF4-FFF2-40B4-BE49-F238E27FC236}">
                <a16:creationId xmlns:a16="http://schemas.microsoft.com/office/drawing/2014/main" id="{7BB6CB54-9FF6-49C0-B360-0D3B47559AA5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6" name="$E$131">
            <a:extLst>
              <a:ext uri="{FF2B5EF4-FFF2-40B4-BE49-F238E27FC236}">
                <a16:creationId xmlns:a16="http://schemas.microsoft.com/office/drawing/2014/main" id="{924AB5FE-703F-44F4-AECD-DC2F0BB7A24B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7" name="$E$131">
            <a:extLst>
              <a:ext uri="{FF2B5EF4-FFF2-40B4-BE49-F238E27FC236}">
                <a16:creationId xmlns:a16="http://schemas.microsoft.com/office/drawing/2014/main" id="{2DAAEB76-8E7C-4E02-B77E-06622486F215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8" name="$E$131">
            <a:extLst>
              <a:ext uri="{FF2B5EF4-FFF2-40B4-BE49-F238E27FC236}">
                <a16:creationId xmlns:a16="http://schemas.microsoft.com/office/drawing/2014/main" id="{4AC8359B-0B99-42E4-909C-762BAC5C4206}"/>
              </a:ext>
            </a:extLst>
          </xdr:cNvPr>
          <xdr:cNvSpPr/>
        </xdr:nvSpPr>
        <xdr:spPr>
          <a:xfrm>
            <a:off x="317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29" name="$E$131">
            <a:extLst>
              <a:ext uri="{FF2B5EF4-FFF2-40B4-BE49-F238E27FC236}">
                <a16:creationId xmlns:a16="http://schemas.microsoft.com/office/drawing/2014/main" id="{5F43E2E8-5130-42DD-9709-89A40EC48E65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0" name="$E$131">
            <a:extLst>
              <a:ext uri="{FF2B5EF4-FFF2-40B4-BE49-F238E27FC236}">
                <a16:creationId xmlns:a16="http://schemas.microsoft.com/office/drawing/2014/main" id="{F7DB7E8C-53C8-4147-A36E-44773BF8798F}"/>
              </a:ext>
            </a:extLst>
          </xdr:cNvPr>
          <xdr:cNvSpPr/>
        </xdr:nvSpPr>
        <xdr:spPr>
          <a:xfrm>
            <a:off x="381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1" name="$E$131">
            <a:extLst>
              <a:ext uri="{FF2B5EF4-FFF2-40B4-BE49-F238E27FC236}">
                <a16:creationId xmlns:a16="http://schemas.microsoft.com/office/drawing/2014/main" id="{51EEAB0A-AC88-48C7-A433-184EBF5405A5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2" name="$E$131">
            <a:extLst>
              <a:ext uri="{FF2B5EF4-FFF2-40B4-BE49-F238E27FC236}">
                <a16:creationId xmlns:a16="http://schemas.microsoft.com/office/drawing/2014/main" id="{0A144035-F44C-4D36-86FD-2ECA60348391}"/>
              </a:ext>
            </a:extLst>
          </xdr:cNvPr>
          <xdr:cNvSpPr/>
        </xdr:nvSpPr>
        <xdr:spPr>
          <a:xfrm>
            <a:off x="406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3" name="$E$131">
            <a:extLst>
              <a:ext uri="{FF2B5EF4-FFF2-40B4-BE49-F238E27FC236}">
                <a16:creationId xmlns:a16="http://schemas.microsoft.com/office/drawing/2014/main" id="{CC0F36F1-B87E-4EA9-B9CD-583C2B258472}"/>
              </a:ext>
            </a:extLst>
          </xdr:cNvPr>
          <xdr:cNvSpPr/>
        </xdr:nvSpPr>
        <xdr:spPr>
          <a:xfrm>
            <a:off x="431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4" name="$E$131">
            <a:extLst>
              <a:ext uri="{FF2B5EF4-FFF2-40B4-BE49-F238E27FC236}">
                <a16:creationId xmlns:a16="http://schemas.microsoft.com/office/drawing/2014/main" id="{1E6BFBD8-B749-4BCA-B06D-3AAB35DF0269}"/>
              </a:ext>
            </a:extLst>
          </xdr:cNvPr>
          <xdr:cNvSpPr/>
        </xdr:nvSpPr>
        <xdr:spPr>
          <a:xfrm>
            <a:off x="444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5" name="$E$131">
            <a:extLst>
              <a:ext uri="{FF2B5EF4-FFF2-40B4-BE49-F238E27FC236}">
                <a16:creationId xmlns:a16="http://schemas.microsoft.com/office/drawing/2014/main" id="{CD00F4AA-A7F7-4D6E-A67F-86552E8107F6}"/>
              </a:ext>
            </a:extLst>
          </xdr:cNvPr>
          <xdr:cNvSpPr/>
        </xdr:nvSpPr>
        <xdr:spPr>
          <a:xfrm>
            <a:off x="457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6" name="$E$131">
            <a:extLst>
              <a:ext uri="{FF2B5EF4-FFF2-40B4-BE49-F238E27FC236}">
                <a16:creationId xmlns:a16="http://schemas.microsoft.com/office/drawing/2014/main" id="{9A58F6D1-F1DD-407D-9A23-7E62DBA96448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7" name="$E$131">
            <a:extLst>
              <a:ext uri="{FF2B5EF4-FFF2-40B4-BE49-F238E27FC236}">
                <a16:creationId xmlns:a16="http://schemas.microsoft.com/office/drawing/2014/main" id="{98E3E30C-AC5A-4217-BA5F-89510C5EDDE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8" name="$E$131">
            <a:extLst>
              <a:ext uri="{FF2B5EF4-FFF2-40B4-BE49-F238E27FC236}">
                <a16:creationId xmlns:a16="http://schemas.microsoft.com/office/drawing/2014/main" id="{E0572F0E-8459-4EA5-B854-EF10AAA84D6F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39" name="$E$131">
            <a:extLst>
              <a:ext uri="{FF2B5EF4-FFF2-40B4-BE49-F238E27FC236}">
                <a16:creationId xmlns:a16="http://schemas.microsoft.com/office/drawing/2014/main" id="{32A56D92-B195-49F1-88CB-D1FE1216853C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0" name="$E$131">
            <a:extLst>
              <a:ext uri="{FF2B5EF4-FFF2-40B4-BE49-F238E27FC236}">
                <a16:creationId xmlns:a16="http://schemas.microsoft.com/office/drawing/2014/main" id="{F4CFC64D-D06A-45A4-8A1F-C48926B57DC7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1" name="$E$131">
            <a:extLst>
              <a:ext uri="{FF2B5EF4-FFF2-40B4-BE49-F238E27FC236}">
                <a16:creationId xmlns:a16="http://schemas.microsoft.com/office/drawing/2014/main" id="{719E4D38-C456-4C03-B2EF-A192EEBB99D8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2" name="$E$131">
            <a:extLst>
              <a:ext uri="{FF2B5EF4-FFF2-40B4-BE49-F238E27FC236}">
                <a16:creationId xmlns:a16="http://schemas.microsoft.com/office/drawing/2014/main" id="{ACFCFB19-D6D8-43A4-AEFE-9553C64CC09F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3" name="$E$131">
            <a:extLst>
              <a:ext uri="{FF2B5EF4-FFF2-40B4-BE49-F238E27FC236}">
                <a16:creationId xmlns:a16="http://schemas.microsoft.com/office/drawing/2014/main" id="{AF9CD337-89A2-4DC5-840D-1BD9D70BA527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4" name="$E$131">
            <a:extLst>
              <a:ext uri="{FF2B5EF4-FFF2-40B4-BE49-F238E27FC236}">
                <a16:creationId xmlns:a16="http://schemas.microsoft.com/office/drawing/2014/main" id="{998A4FEC-5C20-4F91-93E6-B67C58F672F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5" name="$E$131">
            <a:extLst>
              <a:ext uri="{FF2B5EF4-FFF2-40B4-BE49-F238E27FC236}">
                <a16:creationId xmlns:a16="http://schemas.microsoft.com/office/drawing/2014/main" id="{F3071E2F-2615-4275-99FF-795CF029161E}"/>
              </a:ext>
            </a:extLst>
          </xdr:cNvPr>
          <xdr:cNvSpPr/>
        </xdr:nvSpPr>
        <xdr:spPr>
          <a:xfrm>
            <a:off x="279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6" name="$E$131">
            <a:extLst>
              <a:ext uri="{FF2B5EF4-FFF2-40B4-BE49-F238E27FC236}">
                <a16:creationId xmlns:a16="http://schemas.microsoft.com/office/drawing/2014/main" id="{C024835D-12EA-442A-B350-9C9034B2A121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7" name="$E$131">
            <a:extLst>
              <a:ext uri="{FF2B5EF4-FFF2-40B4-BE49-F238E27FC236}">
                <a16:creationId xmlns:a16="http://schemas.microsoft.com/office/drawing/2014/main" id="{1CE7BED4-4F4D-4DE9-8B0E-F4E967929DC9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8" name="$E$131">
            <a:extLst>
              <a:ext uri="{FF2B5EF4-FFF2-40B4-BE49-F238E27FC236}">
                <a16:creationId xmlns:a16="http://schemas.microsoft.com/office/drawing/2014/main" id="{514E9189-F839-4F52-92AF-4CC280B0A285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49" name="$E$131">
            <a:extLst>
              <a:ext uri="{FF2B5EF4-FFF2-40B4-BE49-F238E27FC236}">
                <a16:creationId xmlns:a16="http://schemas.microsoft.com/office/drawing/2014/main" id="{20809CA7-B8EE-4A4F-AAC4-5D0B38600DC8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0" name="$E$131">
            <a:extLst>
              <a:ext uri="{FF2B5EF4-FFF2-40B4-BE49-F238E27FC236}">
                <a16:creationId xmlns:a16="http://schemas.microsoft.com/office/drawing/2014/main" id="{D591CE03-B80B-477E-A57E-A88D831ACB98}"/>
              </a:ext>
            </a:extLst>
          </xdr:cNvPr>
          <xdr:cNvSpPr/>
        </xdr:nvSpPr>
        <xdr:spPr>
          <a:xfrm>
            <a:off x="368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1" name="$E$131">
            <a:extLst>
              <a:ext uri="{FF2B5EF4-FFF2-40B4-BE49-F238E27FC236}">
                <a16:creationId xmlns:a16="http://schemas.microsoft.com/office/drawing/2014/main" id="{10F96ECA-6B4B-4191-8804-4D1251E3E3C3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2" name="$E$131">
            <a:extLst>
              <a:ext uri="{FF2B5EF4-FFF2-40B4-BE49-F238E27FC236}">
                <a16:creationId xmlns:a16="http://schemas.microsoft.com/office/drawing/2014/main" id="{C47DD040-96C7-4C31-8FCD-4DD18AC0B10D}"/>
              </a:ext>
            </a:extLst>
          </xdr:cNvPr>
          <xdr:cNvSpPr/>
        </xdr:nvSpPr>
        <xdr:spPr>
          <a:xfrm>
            <a:off x="419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3" name="$E$131">
            <a:extLst>
              <a:ext uri="{FF2B5EF4-FFF2-40B4-BE49-F238E27FC236}">
                <a16:creationId xmlns:a16="http://schemas.microsoft.com/office/drawing/2014/main" id="{CA9D74CD-6801-4CAD-A23A-A26C11A51796}"/>
              </a:ext>
            </a:extLst>
          </xdr:cNvPr>
          <xdr:cNvSpPr/>
        </xdr:nvSpPr>
        <xdr:spPr>
          <a:xfrm>
            <a:off x="457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4" name="$E$131">
            <a:extLst>
              <a:ext uri="{FF2B5EF4-FFF2-40B4-BE49-F238E27FC236}">
                <a16:creationId xmlns:a16="http://schemas.microsoft.com/office/drawing/2014/main" id="{2E2F5C5D-02D0-4BFE-924D-A10B8A85E25F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5" name="$E$131">
            <a:extLst>
              <a:ext uri="{FF2B5EF4-FFF2-40B4-BE49-F238E27FC236}">
                <a16:creationId xmlns:a16="http://schemas.microsoft.com/office/drawing/2014/main" id="{61158CA6-0F52-4EB9-A971-F3AD3A3C7094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6" name="$E$131">
            <a:extLst>
              <a:ext uri="{FF2B5EF4-FFF2-40B4-BE49-F238E27FC236}">
                <a16:creationId xmlns:a16="http://schemas.microsoft.com/office/drawing/2014/main" id="{7087DE73-5026-4E1B-8BB2-AD82F4E0C1B1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7" name="$E$131">
            <a:extLst>
              <a:ext uri="{FF2B5EF4-FFF2-40B4-BE49-F238E27FC236}">
                <a16:creationId xmlns:a16="http://schemas.microsoft.com/office/drawing/2014/main" id="{67FDEF52-340F-4368-853C-81DEE26DEE5A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8" name="$E$131">
            <a:extLst>
              <a:ext uri="{FF2B5EF4-FFF2-40B4-BE49-F238E27FC236}">
                <a16:creationId xmlns:a16="http://schemas.microsoft.com/office/drawing/2014/main" id="{0C3EE116-17B3-4253-B72C-6EA8C6D6065D}"/>
              </a:ext>
            </a:extLst>
          </xdr:cNvPr>
          <xdr:cNvSpPr/>
        </xdr:nvSpPr>
        <xdr:spPr>
          <a:xfrm>
            <a:off x="88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59" name="$E$131">
            <a:extLst>
              <a:ext uri="{FF2B5EF4-FFF2-40B4-BE49-F238E27FC236}">
                <a16:creationId xmlns:a16="http://schemas.microsoft.com/office/drawing/2014/main" id="{A6A1CF4B-1502-48F2-A3B2-13E09302407A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0" name="$E$131">
            <a:extLst>
              <a:ext uri="{FF2B5EF4-FFF2-40B4-BE49-F238E27FC236}">
                <a16:creationId xmlns:a16="http://schemas.microsoft.com/office/drawing/2014/main" id="{B69149D6-3641-4FB7-B085-7C89DE550B32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1" name="$E$131">
            <a:extLst>
              <a:ext uri="{FF2B5EF4-FFF2-40B4-BE49-F238E27FC236}">
                <a16:creationId xmlns:a16="http://schemas.microsoft.com/office/drawing/2014/main" id="{79918777-53FC-4EC5-8011-CDA4A508E8FC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2" name="$E$131">
            <a:extLst>
              <a:ext uri="{FF2B5EF4-FFF2-40B4-BE49-F238E27FC236}">
                <a16:creationId xmlns:a16="http://schemas.microsoft.com/office/drawing/2014/main" id="{854D16C5-F597-4509-9309-D2A43E9C1529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3" name="$E$131">
            <a:extLst>
              <a:ext uri="{FF2B5EF4-FFF2-40B4-BE49-F238E27FC236}">
                <a16:creationId xmlns:a16="http://schemas.microsoft.com/office/drawing/2014/main" id="{FF6B9757-5E5B-4235-81DE-A487E3C42FA4}"/>
              </a:ext>
            </a:extLst>
          </xdr:cNvPr>
          <xdr:cNvSpPr/>
        </xdr:nvSpPr>
        <xdr:spPr>
          <a:xfrm>
            <a:off x="203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4" name="$E$131">
            <a:extLst>
              <a:ext uri="{FF2B5EF4-FFF2-40B4-BE49-F238E27FC236}">
                <a16:creationId xmlns:a16="http://schemas.microsoft.com/office/drawing/2014/main" id="{BD1AE91A-D587-4869-84B7-CC3744C6CC23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5" name="$E$131">
            <a:extLst>
              <a:ext uri="{FF2B5EF4-FFF2-40B4-BE49-F238E27FC236}">
                <a16:creationId xmlns:a16="http://schemas.microsoft.com/office/drawing/2014/main" id="{693902D3-1981-4ECA-9627-60E00A235916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6" name="$E$131">
            <a:extLst>
              <a:ext uri="{FF2B5EF4-FFF2-40B4-BE49-F238E27FC236}">
                <a16:creationId xmlns:a16="http://schemas.microsoft.com/office/drawing/2014/main" id="{1FE88B84-5508-4776-8A3F-78FB168A2EFD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7" name="$E$131">
            <a:extLst>
              <a:ext uri="{FF2B5EF4-FFF2-40B4-BE49-F238E27FC236}">
                <a16:creationId xmlns:a16="http://schemas.microsoft.com/office/drawing/2014/main" id="{BA1D7F1A-CAC0-4641-916A-D912A01F8BC3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8" name="$E$131">
            <a:extLst>
              <a:ext uri="{FF2B5EF4-FFF2-40B4-BE49-F238E27FC236}">
                <a16:creationId xmlns:a16="http://schemas.microsoft.com/office/drawing/2014/main" id="{2F9E8F17-0D31-4112-898F-E48F5A527757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69" name="$E$131">
            <a:extLst>
              <a:ext uri="{FF2B5EF4-FFF2-40B4-BE49-F238E27FC236}">
                <a16:creationId xmlns:a16="http://schemas.microsoft.com/office/drawing/2014/main" id="{B548325E-7139-4DC5-B077-538ECD67CFD9}"/>
              </a:ext>
            </a:extLst>
          </xdr:cNvPr>
          <xdr:cNvSpPr/>
        </xdr:nvSpPr>
        <xdr:spPr>
          <a:xfrm>
            <a:off x="330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0" name="$E$131">
            <a:extLst>
              <a:ext uri="{FF2B5EF4-FFF2-40B4-BE49-F238E27FC236}">
                <a16:creationId xmlns:a16="http://schemas.microsoft.com/office/drawing/2014/main" id="{8ACE3735-C836-44F4-BF5B-E3A21E24C14A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1" name="$E$131">
            <a:extLst>
              <a:ext uri="{FF2B5EF4-FFF2-40B4-BE49-F238E27FC236}">
                <a16:creationId xmlns:a16="http://schemas.microsoft.com/office/drawing/2014/main" id="{22BB1DEA-F178-49DC-B921-D4CEF852E620}"/>
              </a:ext>
            </a:extLst>
          </xdr:cNvPr>
          <xdr:cNvSpPr/>
        </xdr:nvSpPr>
        <xdr:spPr>
          <a:xfrm>
            <a:off x="368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2" name="$E$131">
            <a:extLst>
              <a:ext uri="{FF2B5EF4-FFF2-40B4-BE49-F238E27FC236}">
                <a16:creationId xmlns:a16="http://schemas.microsoft.com/office/drawing/2014/main" id="{4C176199-E2AF-46FA-B21B-04AFEB1B5619}"/>
              </a:ext>
            </a:extLst>
          </xdr:cNvPr>
          <xdr:cNvSpPr/>
        </xdr:nvSpPr>
        <xdr:spPr>
          <a:xfrm>
            <a:off x="381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3" name="$E$131">
            <a:extLst>
              <a:ext uri="{FF2B5EF4-FFF2-40B4-BE49-F238E27FC236}">
                <a16:creationId xmlns:a16="http://schemas.microsoft.com/office/drawing/2014/main" id="{F0A9E325-2FC5-4626-A682-6759617A8DC2}"/>
              </a:ext>
            </a:extLst>
          </xdr:cNvPr>
          <xdr:cNvSpPr/>
        </xdr:nvSpPr>
        <xdr:spPr>
          <a:xfrm>
            <a:off x="406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4" name="$E$131">
            <a:extLst>
              <a:ext uri="{FF2B5EF4-FFF2-40B4-BE49-F238E27FC236}">
                <a16:creationId xmlns:a16="http://schemas.microsoft.com/office/drawing/2014/main" id="{1186A5EE-DB71-495D-8024-F13FE03144FE}"/>
              </a:ext>
            </a:extLst>
          </xdr:cNvPr>
          <xdr:cNvSpPr/>
        </xdr:nvSpPr>
        <xdr:spPr>
          <a:xfrm>
            <a:off x="419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5" name="$E$131">
            <a:extLst>
              <a:ext uri="{FF2B5EF4-FFF2-40B4-BE49-F238E27FC236}">
                <a16:creationId xmlns:a16="http://schemas.microsoft.com/office/drawing/2014/main" id="{6604A70C-FD4E-46A6-8A50-6B64E301148B}"/>
              </a:ext>
            </a:extLst>
          </xdr:cNvPr>
          <xdr:cNvSpPr/>
        </xdr:nvSpPr>
        <xdr:spPr>
          <a:xfrm>
            <a:off x="431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6" name="$E$131">
            <a:extLst>
              <a:ext uri="{FF2B5EF4-FFF2-40B4-BE49-F238E27FC236}">
                <a16:creationId xmlns:a16="http://schemas.microsoft.com/office/drawing/2014/main" id="{FA9EFD0F-4714-4ABE-9650-11CB29592700}"/>
              </a:ext>
            </a:extLst>
          </xdr:cNvPr>
          <xdr:cNvSpPr/>
        </xdr:nvSpPr>
        <xdr:spPr>
          <a:xfrm>
            <a:off x="457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7" name="$E$131">
            <a:extLst>
              <a:ext uri="{FF2B5EF4-FFF2-40B4-BE49-F238E27FC236}">
                <a16:creationId xmlns:a16="http://schemas.microsoft.com/office/drawing/2014/main" id="{94B3A8C8-1363-4A03-8E51-ABEC238A0A62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8" name="$E$131">
            <a:extLst>
              <a:ext uri="{FF2B5EF4-FFF2-40B4-BE49-F238E27FC236}">
                <a16:creationId xmlns:a16="http://schemas.microsoft.com/office/drawing/2014/main" id="{6FE052BA-2C9A-40B4-B22E-7E4A577D0996}"/>
              </a:ext>
            </a:extLst>
          </xdr:cNvPr>
          <xdr:cNvSpPr/>
        </xdr:nvSpPr>
        <xdr:spPr>
          <a:xfrm>
            <a:off x="12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79" name="$E$131">
            <a:extLst>
              <a:ext uri="{FF2B5EF4-FFF2-40B4-BE49-F238E27FC236}">
                <a16:creationId xmlns:a16="http://schemas.microsoft.com/office/drawing/2014/main" id="{4F4F6CA1-3B7D-4EFA-88F6-6AEBCACCF7B1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0" name="$E$131">
            <a:extLst>
              <a:ext uri="{FF2B5EF4-FFF2-40B4-BE49-F238E27FC236}">
                <a16:creationId xmlns:a16="http://schemas.microsoft.com/office/drawing/2014/main" id="{E057AD90-09BC-44E6-974C-0BFD87FD6B9A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1" name="$E$131">
            <a:extLst>
              <a:ext uri="{FF2B5EF4-FFF2-40B4-BE49-F238E27FC236}">
                <a16:creationId xmlns:a16="http://schemas.microsoft.com/office/drawing/2014/main" id="{57186A37-CE7C-4BEA-8E0F-1A6A05DAF8EF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2" name="$E$131">
            <a:extLst>
              <a:ext uri="{FF2B5EF4-FFF2-40B4-BE49-F238E27FC236}">
                <a16:creationId xmlns:a16="http://schemas.microsoft.com/office/drawing/2014/main" id="{BFAD8BD1-3C1B-45A1-9E9E-816F29A99063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3" name="$E$131">
            <a:extLst>
              <a:ext uri="{FF2B5EF4-FFF2-40B4-BE49-F238E27FC236}">
                <a16:creationId xmlns:a16="http://schemas.microsoft.com/office/drawing/2014/main" id="{AC2D3164-435B-4B52-BFA3-C4B3A169B6E1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4" name="$E$131">
            <a:extLst>
              <a:ext uri="{FF2B5EF4-FFF2-40B4-BE49-F238E27FC236}">
                <a16:creationId xmlns:a16="http://schemas.microsoft.com/office/drawing/2014/main" id="{D552484E-DE6B-48A3-9015-B63A670A852F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5" name="$E$131">
            <a:extLst>
              <a:ext uri="{FF2B5EF4-FFF2-40B4-BE49-F238E27FC236}">
                <a16:creationId xmlns:a16="http://schemas.microsoft.com/office/drawing/2014/main" id="{8E3052CC-8321-4310-AF36-65B1992EAA4D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6" name="$E$131">
            <a:extLst>
              <a:ext uri="{FF2B5EF4-FFF2-40B4-BE49-F238E27FC236}">
                <a16:creationId xmlns:a16="http://schemas.microsoft.com/office/drawing/2014/main" id="{2071FDB1-CB3F-43A2-8C09-D6033F2732AB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7" name="$E$131">
            <a:extLst>
              <a:ext uri="{FF2B5EF4-FFF2-40B4-BE49-F238E27FC236}">
                <a16:creationId xmlns:a16="http://schemas.microsoft.com/office/drawing/2014/main" id="{1B011156-769A-4A01-BC57-B2D338C66DB8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8" name="$E$131">
            <a:extLst>
              <a:ext uri="{FF2B5EF4-FFF2-40B4-BE49-F238E27FC236}">
                <a16:creationId xmlns:a16="http://schemas.microsoft.com/office/drawing/2014/main" id="{839480BE-DFA9-41A2-A181-508D6CDD7036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89" name="$E$131">
            <a:extLst>
              <a:ext uri="{FF2B5EF4-FFF2-40B4-BE49-F238E27FC236}">
                <a16:creationId xmlns:a16="http://schemas.microsoft.com/office/drawing/2014/main" id="{0E74C0C7-C098-46A7-9566-5A1C4FA61034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0" name="$E$131">
            <a:extLst>
              <a:ext uri="{FF2B5EF4-FFF2-40B4-BE49-F238E27FC236}">
                <a16:creationId xmlns:a16="http://schemas.microsoft.com/office/drawing/2014/main" id="{B8CF25D4-B1EB-4EB7-AC39-757E14B00BFC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1" name="$E$131">
            <a:extLst>
              <a:ext uri="{FF2B5EF4-FFF2-40B4-BE49-F238E27FC236}">
                <a16:creationId xmlns:a16="http://schemas.microsoft.com/office/drawing/2014/main" id="{5F76FCE3-7528-474C-9AF6-F628D63CEF24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2" name="$E$131">
            <a:extLst>
              <a:ext uri="{FF2B5EF4-FFF2-40B4-BE49-F238E27FC236}">
                <a16:creationId xmlns:a16="http://schemas.microsoft.com/office/drawing/2014/main" id="{FA446722-4A00-4983-A692-C395996B52EE}"/>
              </a:ext>
            </a:extLst>
          </xdr:cNvPr>
          <xdr:cNvSpPr/>
        </xdr:nvSpPr>
        <xdr:spPr>
          <a:xfrm>
            <a:off x="431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3" name="$E$131">
            <a:extLst>
              <a:ext uri="{FF2B5EF4-FFF2-40B4-BE49-F238E27FC236}">
                <a16:creationId xmlns:a16="http://schemas.microsoft.com/office/drawing/2014/main" id="{B38CB0F9-7A38-4770-80D6-5D0620720670}"/>
              </a:ext>
            </a:extLst>
          </xdr:cNvPr>
          <xdr:cNvSpPr/>
        </xdr:nvSpPr>
        <xdr:spPr>
          <a:xfrm>
            <a:off x="444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4" name="$E$131">
            <a:extLst>
              <a:ext uri="{FF2B5EF4-FFF2-40B4-BE49-F238E27FC236}">
                <a16:creationId xmlns:a16="http://schemas.microsoft.com/office/drawing/2014/main" id="{74B8A026-DC29-47E3-BE99-E51B48BA5468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5" name="$E$131">
            <a:extLst>
              <a:ext uri="{FF2B5EF4-FFF2-40B4-BE49-F238E27FC236}">
                <a16:creationId xmlns:a16="http://schemas.microsoft.com/office/drawing/2014/main" id="{A5960F71-E18B-4D5C-8B09-F40E96A9A65D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6" name="$E$131">
            <a:extLst>
              <a:ext uri="{FF2B5EF4-FFF2-40B4-BE49-F238E27FC236}">
                <a16:creationId xmlns:a16="http://schemas.microsoft.com/office/drawing/2014/main" id="{9F560E15-0A74-4A7C-9966-CB75C0C04FCE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7" name="$E$131">
            <a:extLst>
              <a:ext uri="{FF2B5EF4-FFF2-40B4-BE49-F238E27FC236}">
                <a16:creationId xmlns:a16="http://schemas.microsoft.com/office/drawing/2014/main" id="{C9B606D5-4CD4-4F57-8B6F-F440506CBD13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8" name="$E$131">
            <a:extLst>
              <a:ext uri="{FF2B5EF4-FFF2-40B4-BE49-F238E27FC236}">
                <a16:creationId xmlns:a16="http://schemas.microsoft.com/office/drawing/2014/main" id="{F96E2D50-B383-45FF-8114-0DB411AB1BD6}"/>
              </a:ext>
            </a:extLst>
          </xdr:cNvPr>
          <xdr:cNvSpPr/>
        </xdr:nvSpPr>
        <xdr:spPr>
          <a:xfrm>
            <a:off x="88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799" name="$E$131">
            <a:extLst>
              <a:ext uri="{FF2B5EF4-FFF2-40B4-BE49-F238E27FC236}">
                <a16:creationId xmlns:a16="http://schemas.microsoft.com/office/drawing/2014/main" id="{E83A636A-BE67-45B6-844C-AC212A86D80F}"/>
              </a:ext>
            </a:extLst>
          </xdr:cNvPr>
          <xdr:cNvSpPr/>
        </xdr:nvSpPr>
        <xdr:spPr>
          <a:xfrm>
            <a:off x="127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0" name="$E$131">
            <a:extLst>
              <a:ext uri="{FF2B5EF4-FFF2-40B4-BE49-F238E27FC236}">
                <a16:creationId xmlns:a16="http://schemas.microsoft.com/office/drawing/2014/main" id="{2BA32E5D-15C6-4499-96F6-0789A1C43982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1" name="$E$131">
            <a:extLst>
              <a:ext uri="{FF2B5EF4-FFF2-40B4-BE49-F238E27FC236}">
                <a16:creationId xmlns:a16="http://schemas.microsoft.com/office/drawing/2014/main" id="{80756BD1-700E-4856-BBD0-DCFF527D1AFF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2" name="$E$131">
            <a:extLst>
              <a:ext uri="{FF2B5EF4-FFF2-40B4-BE49-F238E27FC236}">
                <a16:creationId xmlns:a16="http://schemas.microsoft.com/office/drawing/2014/main" id="{D25B2D72-6A5D-4BC5-AB0F-B413BC2E0DBE}"/>
              </a:ext>
            </a:extLst>
          </xdr:cNvPr>
          <xdr:cNvSpPr/>
        </xdr:nvSpPr>
        <xdr:spPr>
          <a:xfrm>
            <a:off x="165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3" name="$E$131">
            <a:extLst>
              <a:ext uri="{FF2B5EF4-FFF2-40B4-BE49-F238E27FC236}">
                <a16:creationId xmlns:a16="http://schemas.microsoft.com/office/drawing/2014/main" id="{BAF2D76C-32A2-49A9-B398-AE142EFF17B2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4" name="$E$131">
            <a:extLst>
              <a:ext uri="{FF2B5EF4-FFF2-40B4-BE49-F238E27FC236}">
                <a16:creationId xmlns:a16="http://schemas.microsoft.com/office/drawing/2014/main" id="{EB1900A4-A8AE-4C38-A9D9-D4849F3A13CB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5" name="$E$131">
            <a:extLst>
              <a:ext uri="{FF2B5EF4-FFF2-40B4-BE49-F238E27FC236}">
                <a16:creationId xmlns:a16="http://schemas.microsoft.com/office/drawing/2014/main" id="{F94F9DD6-F6BF-4398-A684-F1B954AA64D7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6" name="$E$131">
            <a:extLst>
              <a:ext uri="{FF2B5EF4-FFF2-40B4-BE49-F238E27FC236}">
                <a16:creationId xmlns:a16="http://schemas.microsoft.com/office/drawing/2014/main" id="{09729320-7EF2-44A5-8822-CFCA98E41EEE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7" name="$E$131">
            <a:extLst>
              <a:ext uri="{FF2B5EF4-FFF2-40B4-BE49-F238E27FC236}">
                <a16:creationId xmlns:a16="http://schemas.microsoft.com/office/drawing/2014/main" id="{3AAD730C-30BF-4221-9EF2-452E833111DA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8" name="$E$131">
            <a:extLst>
              <a:ext uri="{FF2B5EF4-FFF2-40B4-BE49-F238E27FC236}">
                <a16:creationId xmlns:a16="http://schemas.microsoft.com/office/drawing/2014/main" id="{49E024B8-0A3B-4767-9FE7-B6760993DE7A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09" name="$E$131">
            <a:extLst>
              <a:ext uri="{FF2B5EF4-FFF2-40B4-BE49-F238E27FC236}">
                <a16:creationId xmlns:a16="http://schemas.microsoft.com/office/drawing/2014/main" id="{F830F498-F1CB-4C40-AFBE-098A6DB417EA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0" name="$E$131">
            <a:extLst>
              <a:ext uri="{FF2B5EF4-FFF2-40B4-BE49-F238E27FC236}">
                <a16:creationId xmlns:a16="http://schemas.microsoft.com/office/drawing/2014/main" id="{364A19B9-D822-4993-BF21-18EABB108814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1" name="$E$131">
            <a:extLst>
              <a:ext uri="{FF2B5EF4-FFF2-40B4-BE49-F238E27FC236}">
                <a16:creationId xmlns:a16="http://schemas.microsoft.com/office/drawing/2014/main" id="{F179828B-26D6-41EE-A7EB-93807A92899C}"/>
              </a:ext>
            </a:extLst>
          </xdr:cNvPr>
          <xdr:cNvSpPr/>
        </xdr:nvSpPr>
        <xdr:spPr>
          <a:xfrm>
            <a:off x="381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2" name="$E$131">
            <a:extLst>
              <a:ext uri="{FF2B5EF4-FFF2-40B4-BE49-F238E27FC236}">
                <a16:creationId xmlns:a16="http://schemas.microsoft.com/office/drawing/2014/main" id="{A780C058-63C4-4846-B7B7-1F3A0A6CE1ED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3" name="$E$131">
            <a:extLst>
              <a:ext uri="{FF2B5EF4-FFF2-40B4-BE49-F238E27FC236}">
                <a16:creationId xmlns:a16="http://schemas.microsoft.com/office/drawing/2014/main" id="{A67A737D-9720-497E-88D4-58A9D703664A}"/>
              </a:ext>
            </a:extLst>
          </xdr:cNvPr>
          <xdr:cNvSpPr/>
        </xdr:nvSpPr>
        <xdr:spPr>
          <a:xfrm>
            <a:off x="431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4" name="$E$131">
            <a:extLst>
              <a:ext uri="{FF2B5EF4-FFF2-40B4-BE49-F238E27FC236}">
                <a16:creationId xmlns:a16="http://schemas.microsoft.com/office/drawing/2014/main" id="{CCD7168F-11F1-4208-80FD-90DDE3D8A37D}"/>
              </a:ext>
            </a:extLst>
          </xdr:cNvPr>
          <xdr:cNvSpPr/>
        </xdr:nvSpPr>
        <xdr:spPr>
          <a:xfrm>
            <a:off x="444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5" name="$E$131">
            <a:extLst>
              <a:ext uri="{FF2B5EF4-FFF2-40B4-BE49-F238E27FC236}">
                <a16:creationId xmlns:a16="http://schemas.microsoft.com/office/drawing/2014/main" id="{75F10989-8A51-4D38-82BF-3B16AD20ABC6}"/>
              </a:ext>
            </a:extLst>
          </xdr:cNvPr>
          <xdr:cNvSpPr/>
        </xdr:nvSpPr>
        <xdr:spPr>
          <a:xfrm>
            <a:off x="457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6" name="$E$131">
            <a:extLst>
              <a:ext uri="{FF2B5EF4-FFF2-40B4-BE49-F238E27FC236}">
                <a16:creationId xmlns:a16="http://schemas.microsoft.com/office/drawing/2014/main" id="{F33E20C5-94C7-4359-B662-E170C99DF09A}"/>
              </a:ext>
            </a:extLst>
          </xdr:cNvPr>
          <xdr:cNvSpPr/>
        </xdr:nvSpPr>
        <xdr:spPr>
          <a:xfrm>
            <a:off x="12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7" name="$E$131">
            <a:extLst>
              <a:ext uri="{FF2B5EF4-FFF2-40B4-BE49-F238E27FC236}">
                <a16:creationId xmlns:a16="http://schemas.microsoft.com/office/drawing/2014/main" id="{BCDBCFAC-E2EB-4328-9AF8-E550D0F29839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8" name="$E$131">
            <a:extLst>
              <a:ext uri="{FF2B5EF4-FFF2-40B4-BE49-F238E27FC236}">
                <a16:creationId xmlns:a16="http://schemas.microsoft.com/office/drawing/2014/main" id="{773CDADB-175A-4261-81E7-EAF3F10BE1F8}"/>
              </a:ext>
            </a:extLst>
          </xdr:cNvPr>
          <xdr:cNvSpPr/>
        </xdr:nvSpPr>
        <xdr:spPr>
          <a:xfrm>
            <a:off x="63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19" name="$E$131">
            <a:extLst>
              <a:ext uri="{FF2B5EF4-FFF2-40B4-BE49-F238E27FC236}">
                <a16:creationId xmlns:a16="http://schemas.microsoft.com/office/drawing/2014/main" id="{30F280A2-2D00-4462-93AA-760D77C4D0FD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0" name="$E$131">
            <a:extLst>
              <a:ext uri="{FF2B5EF4-FFF2-40B4-BE49-F238E27FC236}">
                <a16:creationId xmlns:a16="http://schemas.microsoft.com/office/drawing/2014/main" id="{40D48787-CEE8-429A-944D-E8D58D2C3AF4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1" name="$E$131">
            <a:extLst>
              <a:ext uri="{FF2B5EF4-FFF2-40B4-BE49-F238E27FC236}">
                <a16:creationId xmlns:a16="http://schemas.microsoft.com/office/drawing/2014/main" id="{F004EDA4-A84D-45CC-8E15-EE60E422722A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2" name="$E$131">
            <a:extLst>
              <a:ext uri="{FF2B5EF4-FFF2-40B4-BE49-F238E27FC236}">
                <a16:creationId xmlns:a16="http://schemas.microsoft.com/office/drawing/2014/main" id="{6F394CD0-A5B2-47B4-AF26-0A918F92F27D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3" name="$E$131">
            <a:extLst>
              <a:ext uri="{FF2B5EF4-FFF2-40B4-BE49-F238E27FC236}">
                <a16:creationId xmlns:a16="http://schemas.microsoft.com/office/drawing/2014/main" id="{2BB3237D-FC1B-4819-9B59-CCDE9F8C04E6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4" name="$E$131">
            <a:extLst>
              <a:ext uri="{FF2B5EF4-FFF2-40B4-BE49-F238E27FC236}">
                <a16:creationId xmlns:a16="http://schemas.microsoft.com/office/drawing/2014/main" id="{9325A083-06DB-46A9-BC16-3B8E42C40BED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5" name="$E$131">
            <a:extLst>
              <a:ext uri="{FF2B5EF4-FFF2-40B4-BE49-F238E27FC236}">
                <a16:creationId xmlns:a16="http://schemas.microsoft.com/office/drawing/2014/main" id="{45523808-215B-458D-BCE6-796FEF6CE027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6" name="$E$131">
            <a:extLst>
              <a:ext uri="{FF2B5EF4-FFF2-40B4-BE49-F238E27FC236}">
                <a16:creationId xmlns:a16="http://schemas.microsoft.com/office/drawing/2014/main" id="{81F71658-C947-4A59-8EA6-E00B809B7C5D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7" name="$E$131">
            <a:extLst>
              <a:ext uri="{FF2B5EF4-FFF2-40B4-BE49-F238E27FC236}">
                <a16:creationId xmlns:a16="http://schemas.microsoft.com/office/drawing/2014/main" id="{97071056-1657-41D5-B1C2-E3D605CE74E1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8" name="$E$131">
            <a:extLst>
              <a:ext uri="{FF2B5EF4-FFF2-40B4-BE49-F238E27FC236}">
                <a16:creationId xmlns:a16="http://schemas.microsoft.com/office/drawing/2014/main" id="{5680F186-8F19-43DC-A91A-1090642E946A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29" name="$E$131">
            <a:extLst>
              <a:ext uri="{FF2B5EF4-FFF2-40B4-BE49-F238E27FC236}">
                <a16:creationId xmlns:a16="http://schemas.microsoft.com/office/drawing/2014/main" id="{73C1C75F-D861-46F7-9EA7-81A44FB231FB}"/>
              </a:ext>
            </a:extLst>
          </xdr:cNvPr>
          <xdr:cNvSpPr/>
        </xdr:nvSpPr>
        <xdr:spPr>
          <a:xfrm>
            <a:off x="355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0" name="$E$131">
            <a:extLst>
              <a:ext uri="{FF2B5EF4-FFF2-40B4-BE49-F238E27FC236}">
                <a16:creationId xmlns:a16="http://schemas.microsoft.com/office/drawing/2014/main" id="{12939EB0-7D49-4B83-97F5-125FD2C5DDA8}"/>
              </a:ext>
            </a:extLst>
          </xdr:cNvPr>
          <xdr:cNvSpPr/>
        </xdr:nvSpPr>
        <xdr:spPr>
          <a:xfrm>
            <a:off x="368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1" name="$E$131">
            <a:extLst>
              <a:ext uri="{FF2B5EF4-FFF2-40B4-BE49-F238E27FC236}">
                <a16:creationId xmlns:a16="http://schemas.microsoft.com/office/drawing/2014/main" id="{FC36E649-18A3-4249-BC0D-214AB07160EF}"/>
              </a:ext>
            </a:extLst>
          </xdr:cNvPr>
          <xdr:cNvSpPr/>
        </xdr:nvSpPr>
        <xdr:spPr>
          <a:xfrm>
            <a:off x="393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2" name="$E$131">
            <a:extLst>
              <a:ext uri="{FF2B5EF4-FFF2-40B4-BE49-F238E27FC236}">
                <a16:creationId xmlns:a16="http://schemas.microsoft.com/office/drawing/2014/main" id="{01C577F5-8281-4697-A794-2A912AF1C4E9}"/>
              </a:ext>
            </a:extLst>
          </xdr:cNvPr>
          <xdr:cNvSpPr/>
        </xdr:nvSpPr>
        <xdr:spPr>
          <a:xfrm>
            <a:off x="457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3" name="$E$131">
            <a:extLst>
              <a:ext uri="{FF2B5EF4-FFF2-40B4-BE49-F238E27FC236}">
                <a16:creationId xmlns:a16="http://schemas.microsoft.com/office/drawing/2014/main" id="{36D6A0EF-1914-4B1F-8FD1-4D4C02521B6D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4" name="$E$131">
            <a:extLst>
              <a:ext uri="{FF2B5EF4-FFF2-40B4-BE49-F238E27FC236}">
                <a16:creationId xmlns:a16="http://schemas.microsoft.com/office/drawing/2014/main" id="{C5E5758D-2413-4944-82CE-4FEF7600D615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5" name="$E$131">
            <a:extLst>
              <a:ext uri="{FF2B5EF4-FFF2-40B4-BE49-F238E27FC236}">
                <a16:creationId xmlns:a16="http://schemas.microsoft.com/office/drawing/2014/main" id="{8E5C0FD1-A56E-4F33-8EAE-D5B86E4E1E8C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6" name="$E$131">
            <a:extLst>
              <a:ext uri="{FF2B5EF4-FFF2-40B4-BE49-F238E27FC236}">
                <a16:creationId xmlns:a16="http://schemas.microsoft.com/office/drawing/2014/main" id="{FB974BAF-64A1-4FCD-9D61-917B084D4C58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7" name="$E$131">
            <a:extLst>
              <a:ext uri="{FF2B5EF4-FFF2-40B4-BE49-F238E27FC236}">
                <a16:creationId xmlns:a16="http://schemas.microsoft.com/office/drawing/2014/main" id="{E00E88F0-8B6D-4644-A46C-6462A60B3F54}"/>
              </a:ext>
            </a:extLst>
          </xdr:cNvPr>
          <xdr:cNvSpPr/>
        </xdr:nvSpPr>
        <xdr:spPr>
          <a:xfrm>
            <a:off x="88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8" name="$E$131">
            <a:extLst>
              <a:ext uri="{FF2B5EF4-FFF2-40B4-BE49-F238E27FC236}">
                <a16:creationId xmlns:a16="http://schemas.microsoft.com/office/drawing/2014/main" id="{E6B422D9-6742-4F9B-923B-4D0B8A48CB20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39" name="$E$131">
            <a:extLst>
              <a:ext uri="{FF2B5EF4-FFF2-40B4-BE49-F238E27FC236}">
                <a16:creationId xmlns:a16="http://schemas.microsoft.com/office/drawing/2014/main" id="{F7584FFC-B914-4788-A15A-DEFF102CC3B8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0" name="$E$131">
            <a:extLst>
              <a:ext uri="{FF2B5EF4-FFF2-40B4-BE49-F238E27FC236}">
                <a16:creationId xmlns:a16="http://schemas.microsoft.com/office/drawing/2014/main" id="{903EAB1C-179B-4EDB-A517-06DEA9B5682D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1" name="$E$131">
            <a:extLst>
              <a:ext uri="{FF2B5EF4-FFF2-40B4-BE49-F238E27FC236}">
                <a16:creationId xmlns:a16="http://schemas.microsoft.com/office/drawing/2014/main" id="{950A0357-1753-4D8D-80F7-D963D4FADF13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2" name="$E$131">
            <a:extLst>
              <a:ext uri="{FF2B5EF4-FFF2-40B4-BE49-F238E27FC236}">
                <a16:creationId xmlns:a16="http://schemas.microsoft.com/office/drawing/2014/main" id="{22418CAD-ED93-4198-BE45-B14DBCE1987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3" name="$E$131">
            <a:extLst>
              <a:ext uri="{FF2B5EF4-FFF2-40B4-BE49-F238E27FC236}">
                <a16:creationId xmlns:a16="http://schemas.microsoft.com/office/drawing/2014/main" id="{556AB8FC-188C-448E-88ED-EAA31AA84223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4" name="$E$131">
            <a:extLst>
              <a:ext uri="{FF2B5EF4-FFF2-40B4-BE49-F238E27FC236}">
                <a16:creationId xmlns:a16="http://schemas.microsoft.com/office/drawing/2014/main" id="{61E6D24C-77AC-4F65-B3C5-EFB8C56C19FF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5" name="$E$131">
            <a:extLst>
              <a:ext uri="{FF2B5EF4-FFF2-40B4-BE49-F238E27FC236}">
                <a16:creationId xmlns:a16="http://schemas.microsoft.com/office/drawing/2014/main" id="{72532FF1-F2A7-4BD0-9605-F0519B18B2E8}"/>
              </a:ext>
            </a:extLst>
          </xdr:cNvPr>
          <xdr:cNvSpPr/>
        </xdr:nvSpPr>
        <xdr:spPr>
          <a:xfrm>
            <a:off x="330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6" name="$E$131">
            <a:extLst>
              <a:ext uri="{FF2B5EF4-FFF2-40B4-BE49-F238E27FC236}">
                <a16:creationId xmlns:a16="http://schemas.microsoft.com/office/drawing/2014/main" id="{171729B9-3B5D-4C64-AC33-6BCFFFDAF6D7}"/>
              </a:ext>
            </a:extLst>
          </xdr:cNvPr>
          <xdr:cNvSpPr/>
        </xdr:nvSpPr>
        <xdr:spPr>
          <a:xfrm>
            <a:off x="368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7" name="$E$131">
            <a:extLst>
              <a:ext uri="{FF2B5EF4-FFF2-40B4-BE49-F238E27FC236}">
                <a16:creationId xmlns:a16="http://schemas.microsoft.com/office/drawing/2014/main" id="{A9069B05-1E7B-4D54-968C-D0813ACDC94B}"/>
              </a:ext>
            </a:extLst>
          </xdr:cNvPr>
          <xdr:cNvSpPr/>
        </xdr:nvSpPr>
        <xdr:spPr>
          <a:xfrm>
            <a:off x="381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8" name="$E$131">
            <a:extLst>
              <a:ext uri="{FF2B5EF4-FFF2-40B4-BE49-F238E27FC236}">
                <a16:creationId xmlns:a16="http://schemas.microsoft.com/office/drawing/2014/main" id="{14679D33-D342-4BCC-A2F4-CF695CF4F315}"/>
              </a:ext>
            </a:extLst>
          </xdr:cNvPr>
          <xdr:cNvSpPr/>
        </xdr:nvSpPr>
        <xdr:spPr>
          <a:xfrm>
            <a:off x="406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49" name="$E$131">
            <a:extLst>
              <a:ext uri="{FF2B5EF4-FFF2-40B4-BE49-F238E27FC236}">
                <a16:creationId xmlns:a16="http://schemas.microsoft.com/office/drawing/2014/main" id="{EC9D00E7-8739-41FA-9F8E-285AEBA3FCF6}"/>
              </a:ext>
            </a:extLst>
          </xdr:cNvPr>
          <xdr:cNvSpPr/>
        </xdr:nvSpPr>
        <xdr:spPr>
          <a:xfrm>
            <a:off x="419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0" name="$E$131">
            <a:extLst>
              <a:ext uri="{FF2B5EF4-FFF2-40B4-BE49-F238E27FC236}">
                <a16:creationId xmlns:a16="http://schemas.microsoft.com/office/drawing/2014/main" id="{270BA86B-DA01-4D30-B0DA-8686CFD7BA99}"/>
              </a:ext>
            </a:extLst>
          </xdr:cNvPr>
          <xdr:cNvSpPr/>
        </xdr:nvSpPr>
        <xdr:spPr>
          <a:xfrm>
            <a:off x="431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1" name="$E$131">
            <a:extLst>
              <a:ext uri="{FF2B5EF4-FFF2-40B4-BE49-F238E27FC236}">
                <a16:creationId xmlns:a16="http://schemas.microsoft.com/office/drawing/2014/main" id="{9398B7D8-7D24-4250-B3F4-5EA5D1093E95}"/>
              </a:ext>
            </a:extLst>
          </xdr:cNvPr>
          <xdr:cNvSpPr/>
        </xdr:nvSpPr>
        <xdr:spPr>
          <a:xfrm>
            <a:off x="444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2" name="$E$131">
            <a:extLst>
              <a:ext uri="{FF2B5EF4-FFF2-40B4-BE49-F238E27FC236}">
                <a16:creationId xmlns:a16="http://schemas.microsoft.com/office/drawing/2014/main" id="{31381757-9F04-4E76-962E-ED624C827FA0}"/>
              </a:ext>
            </a:extLst>
          </xdr:cNvPr>
          <xdr:cNvSpPr/>
        </xdr:nvSpPr>
        <xdr:spPr>
          <a:xfrm>
            <a:off x="457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3" name="$E$131">
            <a:extLst>
              <a:ext uri="{FF2B5EF4-FFF2-40B4-BE49-F238E27FC236}">
                <a16:creationId xmlns:a16="http://schemas.microsoft.com/office/drawing/2014/main" id="{3B7171EC-7B71-4F25-BAFB-12078CF93A4B}"/>
              </a:ext>
            </a:extLst>
          </xdr:cNvPr>
          <xdr:cNvSpPr/>
        </xdr:nvSpPr>
        <xdr:spPr>
          <a:xfrm>
            <a:off x="12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4" name="$E$131">
            <a:extLst>
              <a:ext uri="{FF2B5EF4-FFF2-40B4-BE49-F238E27FC236}">
                <a16:creationId xmlns:a16="http://schemas.microsoft.com/office/drawing/2014/main" id="{8F10C74B-910D-48AB-B6F1-0493899A20DB}"/>
              </a:ext>
            </a:extLst>
          </xdr:cNvPr>
          <xdr:cNvSpPr/>
        </xdr:nvSpPr>
        <xdr:spPr>
          <a:xfrm>
            <a:off x="38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5" name="$E$131">
            <a:extLst>
              <a:ext uri="{FF2B5EF4-FFF2-40B4-BE49-F238E27FC236}">
                <a16:creationId xmlns:a16="http://schemas.microsoft.com/office/drawing/2014/main" id="{E7841B11-2D7D-4466-9228-C5F455A491C8}"/>
              </a:ext>
            </a:extLst>
          </xdr:cNvPr>
          <xdr:cNvSpPr/>
        </xdr:nvSpPr>
        <xdr:spPr>
          <a:xfrm>
            <a:off x="63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6" name="$E$131">
            <a:extLst>
              <a:ext uri="{FF2B5EF4-FFF2-40B4-BE49-F238E27FC236}">
                <a16:creationId xmlns:a16="http://schemas.microsoft.com/office/drawing/2014/main" id="{57D1ACF8-30E9-4150-8E88-D4E775D83D27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7" name="$E$131">
            <a:extLst>
              <a:ext uri="{FF2B5EF4-FFF2-40B4-BE49-F238E27FC236}">
                <a16:creationId xmlns:a16="http://schemas.microsoft.com/office/drawing/2014/main" id="{98893982-037F-4A22-B838-9FD52F24B845}"/>
              </a:ext>
            </a:extLst>
          </xdr:cNvPr>
          <xdr:cNvSpPr/>
        </xdr:nvSpPr>
        <xdr:spPr>
          <a:xfrm>
            <a:off x="152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8" name="$E$131">
            <a:extLst>
              <a:ext uri="{FF2B5EF4-FFF2-40B4-BE49-F238E27FC236}">
                <a16:creationId xmlns:a16="http://schemas.microsoft.com/office/drawing/2014/main" id="{A9C5BA13-06BD-4449-863F-E33C21E4E15C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59" name="$E$131">
            <a:extLst>
              <a:ext uri="{FF2B5EF4-FFF2-40B4-BE49-F238E27FC236}">
                <a16:creationId xmlns:a16="http://schemas.microsoft.com/office/drawing/2014/main" id="{E57D0FE9-C26A-49CA-8F06-9BF804C6E20C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0" name="$E$131">
            <a:extLst>
              <a:ext uri="{FF2B5EF4-FFF2-40B4-BE49-F238E27FC236}">
                <a16:creationId xmlns:a16="http://schemas.microsoft.com/office/drawing/2014/main" id="{AA57D2CA-E3CF-4C03-82A8-2490593A1CED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1" name="$E$131">
            <a:extLst>
              <a:ext uri="{FF2B5EF4-FFF2-40B4-BE49-F238E27FC236}">
                <a16:creationId xmlns:a16="http://schemas.microsoft.com/office/drawing/2014/main" id="{CD43252F-0EDF-4CC1-9A5F-C368CE58BB5B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2" name="$E$131">
            <a:extLst>
              <a:ext uri="{FF2B5EF4-FFF2-40B4-BE49-F238E27FC236}">
                <a16:creationId xmlns:a16="http://schemas.microsoft.com/office/drawing/2014/main" id="{15179F80-DF99-4F1B-AFA2-2F3F207BBE4A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3" name="$E$131">
            <a:extLst>
              <a:ext uri="{FF2B5EF4-FFF2-40B4-BE49-F238E27FC236}">
                <a16:creationId xmlns:a16="http://schemas.microsoft.com/office/drawing/2014/main" id="{D8DD7E93-75E6-4AB9-BC1D-0D8FF05C9F3E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4" name="$E$131">
            <a:extLst>
              <a:ext uri="{FF2B5EF4-FFF2-40B4-BE49-F238E27FC236}">
                <a16:creationId xmlns:a16="http://schemas.microsoft.com/office/drawing/2014/main" id="{484EEAA7-4227-4B34-AA2F-39B12934C68D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5" name="$E$131">
            <a:extLst>
              <a:ext uri="{FF2B5EF4-FFF2-40B4-BE49-F238E27FC236}">
                <a16:creationId xmlns:a16="http://schemas.microsoft.com/office/drawing/2014/main" id="{3883619A-040E-42C1-A8C4-A34FEC1DC493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6" name="$E$131">
            <a:extLst>
              <a:ext uri="{FF2B5EF4-FFF2-40B4-BE49-F238E27FC236}">
                <a16:creationId xmlns:a16="http://schemas.microsoft.com/office/drawing/2014/main" id="{10742B98-45A8-4F59-B52A-8019B84B0C6C}"/>
              </a:ext>
            </a:extLst>
          </xdr:cNvPr>
          <xdr:cNvSpPr/>
        </xdr:nvSpPr>
        <xdr:spPr>
          <a:xfrm>
            <a:off x="419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7" name="$E$131">
            <a:extLst>
              <a:ext uri="{FF2B5EF4-FFF2-40B4-BE49-F238E27FC236}">
                <a16:creationId xmlns:a16="http://schemas.microsoft.com/office/drawing/2014/main" id="{0EEF4984-7453-4C91-AD57-46396A9B9761}"/>
              </a:ext>
            </a:extLst>
          </xdr:cNvPr>
          <xdr:cNvSpPr/>
        </xdr:nvSpPr>
        <xdr:spPr>
          <a:xfrm>
            <a:off x="444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8" name="$E$131">
            <a:extLst>
              <a:ext uri="{FF2B5EF4-FFF2-40B4-BE49-F238E27FC236}">
                <a16:creationId xmlns:a16="http://schemas.microsoft.com/office/drawing/2014/main" id="{203EFE69-67AD-4A73-A062-A354F8A16E8E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69" name="$E$131">
            <a:extLst>
              <a:ext uri="{FF2B5EF4-FFF2-40B4-BE49-F238E27FC236}">
                <a16:creationId xmlns:a16="http://schemas.microsoft.com/office/drawing/2014/main" id="{8864C33A-319B-4A55-BD5F-8576CF957638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0" name="$E$131">
            <a:extLst>
              <a:ext uri="{FF2B5EF4-FFF2-40B4-BE49-F238E27FC236}">
                <a16:creationId xmlns:a16="http://schemas.microsoft.com/office/drawing/2014/main" id="{EC301034-934B-45B1-8649-8182D4C52F2F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1" name="$E$131">
            <a:extLst>
              <a:ext uri="{FF2B5EF4-FFF2-40B4-BE49-F238E27FC236}">
                <a16:creationId xmlns:a16="http://schemas.microsoft.com/office/drawing/2014/main" id="{3879C6E6-1BC6-45DC-8867-0A02108DD871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2" name="$E$131">
            <a:extLst>
              <a:ext uri="{FF2B5EF4-FFF2-40B4-BE49-F238E27FC236}">
                <a16:creationId xmlns:a16="http://schemas.microsoft.com/office/drawing/2014/main" id="{3582DDF6-8724-4775-A79E-7EBCB3A6F73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3" name="$E$131">
            <a:extLst>
              <a:ext uri="{FF2B5EF4-FFF2-40B4-BE49-F238E27FC236}">
                <a16:creationId xmlns:a16="http://schemas.microsoft.com/office/drawing/2014/main" id="{5804732D-84DF-462B-81BF-34BCF41CCBAE}"/>
              </a:ext>
            </a:extLst>
          </xdr:cNvPr>
          <xdr:cNvSpPr/>
        </xdr:nvSpPr>
        <xdr:spPr>
          <a:xfrm>
            <a:off x="88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4" name="$E$131">
            <a:extLst>
              <a:ext uri="{FF2B5EF4-FFF2-40B4-BE49-F238E27FC236}">
                <a16:creationId xmlns:a16="http://schemas.microsoft.com/office/drawing/2014/main" id="{52CA723E-E51B-4774-9708-5E8DF632A5E7}"/>
              </a:ext>
            </a:extLst>
          </xdr:cNvPr>
          <xdr:cNvSpPr/>
        </xdr:nvSpPr>
        <xdr:spPr>
          <a:xfrm>
            <a:off x="101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5" name="$E$131">
            <a:extLst>
              <a:ext uri="{FF2B5EF4-FFF2-40B4-BE49-F238E27FC236}">
                <a16:creationId xmlns:a16="http://schemas.microsoft.com/office/drawing/2014/main" id="{F832227D-6196-43D8-8219-4EDB6269443F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6" name="$E$131">
            <a:extLst>
              <a:ext uri="{FF2B5EF4-FFF2-40B4-BE49-F238E27FC236}">
                <a16:creationId xmlns:a16="http://schemas.microsoft.com/office/drawing/2014/main" id="{890BE3D3-73F2-47E7-B24E-13B6EF63A6F5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7" name="$E$131">
            <a:extLst>
              <a:ext uri="{FF2B5EF4-FFF2-40B4-BE49-F238E27FC236}">
                <a16:creationId xmlns:a16="http://schemas.microsoft.com/office/drawing/2014/main" id="{B42C8F0E-2A10-485B-8AAF-0C9F539269DB}"/>
              </a:ext>
            </a:extLst>
          </xdr:cNvPr>
          <xdr:cNvSpPr/>
        </xdr:nvSpPr>
        <xdr:spPr>
          <a:xfrm>
            <a:off x="177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8" name="$E$131">
            <a:extLst>
              <a:ext uri="{FF2B5EF4-FFF2-40B4-BE49-F238E27FC236}">
                <a16:creationId xmlns:a16="http://schemas.microsoft.com/office/drawing/2014/main" id="{D7390FEA-98DC-4694-88AA-9327CD2BF1EA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79" name="$E$131">
            <a:extLst>
              <a:ext uri="{FF2B5EF4-FFF2-40B4-BE49-F238E27FC236}">
                <a16:creationId xmlns:a16="http://schemas.microsoft.com/office/drawing/2014/main" id="{96E3C9FB-7691-48D9-81D7-3CC39F815AC8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0" name="$E$131">
            <a:extLst>
              <a:ext uri="{FF2B5EF4-FFF2-40B4-BE49-F238E27FC236}">
                <a16:creationId xmlns:a16="http://schemas.microsoft.com/office/drawing/2014/main" id="{71972D3E-73B2-4A18-88BF-6070033462E1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1" name="$E$131">
            <a:extLst>
              <a:ext uri="{FF2B5EF4-FFF2-40B4-BE49-F238E27FC236}">
                <a16:creationId xmlns:a16="http://schemas.microsoft.com/office/drawing/2014/main" id="{AE6C3A37-0032-48B7-9E59-CE55ADCD1D00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2" name="$E$131">
            <a:extLst>
              <a:ext uri="{FF2B5EF4-FFF2-40B4-BE49-F238E27FC236}">
                <a16:creationId xmlns:a16="http://schemas.microsoft.com/office/drawing/2014/main" id="{3AD31930-2564-42A1-B26D-F36B5867BC8A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3" name="$E$131">
            <a:extLst>
              <a:ext uri="{FF2B5EF4-FFF2-40B4-BE49-F238E27FC236}">
                <a16:creationId xmlns:a16="http://schemas.microsoft.com/office/drawing/2014/main" id="{AC028A8B-6953-4B66-BCED-F5430C153687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4" name="$E$131">
            <a:extLst>
              <a:ext uri="{FF2B5EF4-FFF2-40B4-BE49-F238E27FC236}">
                <a16:creationId xmlns:a16="http://schemas.microsoft.com/office/drawing/2014/main" id="{4408723F-12DF-4506-82D7-2646F22F68F7}"/>
              </a:ext>
            </a:extLst>
          </xdr:cNvPr>
          <xdr:cNvSpPr/>
        </xdr:nvSpPr>
        <xdr:spPr>
          <a:xfrm>
            <a:off x="330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5" name="$E$131">
            <a:extLst>
              <a:ext uri="{FF2B5EF4-FFF2-40B4-BE49-F238E27FC236}">
                <a16:creationId xmlns:a16="http://schemas.microsoft.com/office/drawing/2014/main" id="{AAA82B22-6561-450A-948E-E03D4F1A600F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6" name="$E$131">
            <a:extLst>
              <a:ext uri="{FF2B5EF4-FFF2-40B4-BE49-F238E27FC236}">
                <a16:creationId xmlns:a16="http://schemas.microsoft.com/office/drawing/2014/main" id="{E0464ACF-DBFF-4906-AE09-5F0E308FCD4C}"/>
              </a:ext>
            </a:extLst>
          </xdr:cNvPr>
          <xdr:cNvSpPr/>
        </xdr:nvSpPr>
        <xdr:spPr>
          <a:xfrm>
            <a:off x="355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7" name="$E$131">
            <a:extLst>
              <a:ext uri="{FF2B5EF4-FFF2-40B4-BE49-F238E27FC236}">
                <a16:creationId xmlns:a16="http://schemas.microsoft.com/office/drawing/2014/main" id="{0587F084-F102-46D4-B29F-F66F7EA7BC9E}"/>
              </a:ext>
            </a:extLst>
          </xdr:cNvPr>
          <xdr:cNvSpPr/>
        </xdr:nvSpPr>
        <xdr:spPr>
          <a:xfrm>
            <a:off x="431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8" name="$E$131">
            <a:extLst>
              <a:ext uri="{FF2B5EF4-FFF2-40B4-BE49-F238E27FC236}">
                <a16:creationId xmlns:a16="http://schemas.microsoft.com/office/drawing/2014/main" id="{83375C4F-33DC-443E-96EF-70822CDC0768}"/>
              </a:ext>
            </a:extLst>
          </xdr:cNvPr>
          <xdr:cNvSpPr/>
        </xdr:nvSpPr>
        <xdr:spPr>
          <a:xfrm>
            <a:off x="444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89" name="$E$131">
            <a:extLst>
              <a:ext uri="{FF2B5EF4-FFF2-40B4-BE49-F238E27FC236}">
                <a16:creationId xmlns:a16="http://schemas.microsoft.com/office/drawing/2014/main" id="{1BDA246E-4C17-436C-9395-E99922F22519}"/>
              </a:ext>
            </a:extLst>
          </xdr:cNvPr>
          <xdr:cNvSpPr/>
        </xdr:nvSpPr>
        <xdr:spPr>
          <a:xfrm>
            <a:off x="457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0" name="$E$131">
            <a:extLst>
              <a:ext uri="{FF2B5EF4-FFF2-40B4-BE49-F238E27FC236}">
                <a16:creationId xmlns:a16="http://schemas.microsoft.com/office/drawing/2014/main" id="{56D05954-B6E9-40A3-8ADD-D2ADE2E9AE49}"/>
              </a:ext>
            </a:extLst>
          </xdr:cNvPr>
          <xdr:cNvSpPr/>
        </xdr:nvSpPr>
        <xdr:spPr>
          <a:xfrm>
            <a:off x="63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1" name="$E$131">
            <a:extLst>
              <a:ext uri="{FF2B5EF4-FFF2-40B4-BE49-F238E27FC236}">
                <a16:creationId xmlns:a16="http://schemas.microsoft.com/office/drawing/2014/main" id="{C57B4161-2333-4434-8198-0230985D2AD3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2" name="$E$131">
            <a:extLst>
              <a:ext uri="{FF2B5EF4-FFF2-40B4-BE49-F238E27FC236}">
                <a16:creationId xmlns:a16="http://schemas.microsoft.com/office/drawing/2014/main" id="{551BC32F-50E3-48DE-BE2B-D245B507827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3" name="$E$131">
            <a:extLst>
              <a:ext uri="{FF2B5EF4-FFF2-40B4-BE49-F238E27FC236}">
                <a16:creationId xmlns:a16="http://schemas.microsoft.com/office/drawing/2014/main" id="{C7B4072C-E56F-4F07-814B-FBDCD1254401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4" name="$E$131">
            <a:extLst>
              <a:ext uri="{FF2B5EF4-FFF2-40B4-BE49-F238E27FC236}">
                <a16:creationId xmlns:a16="http://schemas.microsoft.com/office/drawing/2014/main" id="{92848D1A-64EC-4E67-B1C9-09F737C40306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5" name="$E$131">
            <a:extLst>
              <a:ext uri="{FF2B5EF4-FFF2-40B4-BE49-F238E27FC236}">
                <a16:creationId xmlns:a16="http://schemas.microsoft.com/office/drawing/2014/main" id="{81B10D01-4D5F-4E6C-9192-93DA6FA3F930}"/>
              </a:ext>
            </a:extLst>
          </xdr:cNvPr>
          <xdr:cNvSpPr/>
        </xdr:nvSpPr>
        <xdr:spPr>
          <a:xfrm>
            <a:off x="241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6" name="$E$131">
            <a:extLst>
              <a:ext uri="{FF2B5EF4-FFF2-40B4-BE49-F238E27FC236}">
                <a16:creationId xmlns:a16="http://schemas.microsoft.com/office/drawing/2014/main" id="{06A44460-9D61-465E-A0E4-1C5765520C53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7" name="$E$131">
            <a:extLst>
              <a:ext uri="{FF2B5EF4-FFF2-40B4-BE49-F238E27FC236}">
                <a16:creationId xmlns:a16="http://schemas.microsoft.com/office/drawing/2014/main" id="{4154C83E-69F5-434C-A270-198855C5384B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8" name="$E$131">
            <a:extLst>
              <a:ext uri="{FF2B5EF4-FFF2-40B4-BE49-F238E27FC236}">
                <a16:creationId xmlns:a16="http://schemas.microsoft.com/office/drawing/2014/main" id="{1591D2A3-02A2-4B8F-AFA4-5E404F448956}"/>
              </a:ext>
            </a:extLst>
          </xdr:cNvPr>
          <xdr:cNvSpPr/>
        </xdr:nvSpPr>
        <xdr:spPr>
          <a:xfrm>
            <a:off x="330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899" name="$E$131">
            <a:extLst>
              <a:ext uri="{FF2B5EF4-FFF2-40B4-BE49-F238E27FC236}">
                <a16:creationId xmlns:a16="http://schemas.microsoft.com/office/drawing/2014/main" id="{A18B5AC6-B7C4-45D8-B815-990FFF14231A}"/>
              </a:ext>
            </a:extLst>
          </xdr:cNvPr>
          <xdr:cNvSpPr/>
        </xdr:nvSpPr>
        <xdr:spPr>
          <a:xfrm>
            <a:off x="355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0" name="$E$131">
            <a:extLst>
              <a:ext uri="{FF2B5EF4-FFF2-40B4-BE49-F238E27FC236}">
                <a16:creationId xmlns:a16="http://schemas.microsoft.com/office/drawing/2014/main" id="{E1E648AC-8C9F-4A1D-98F1-B947A58E39A4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1" name="$E$131">
            <a:extLst>
              <a:ext uri="{FF2B5EF4-FFF2-40B4-BE49-F238E27FC236}">
                <a16:creationId xmlns:a16="http://schemas.microsoft.com/office/drawing/2014/main" id="{1DA4B44F-9A3B-4155-9A7E-85791CDDE5A9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2" name="$E$131">
            <a:extLst>
              <a:ext uri="{FF2B5EF4-FFF2-40B4-BE49-F238E27FC236}">
                <a16:creationId xmlns:a16="http://schemas.microsoft.com/office/drawing/2014/main" id="{4FD7172F-27CC-4D47-AE74-A850E807D658}"/>
              </a:ext>
            </a:extLst>
          </xdr:cNvPr>
          <xdr:cNvSpPr/>
        </xdr:nvSpPr>
        <xdr:spPr>
          <a:xfrm>
            <a:off x="393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3" name="$E$131">
            <a:extLst>
              <a:ext uri="{FF2B5EF4-FFF2-40B4-BE49-F238E27FC236}">
                <a16:creationId xmlns:a16="http://schemas.microsoft.com/office/drawing/2014/main" id="{334A92B7-8173-4B0A-B594-2B247F69BFA8}"/>
              </a:ext>
            </a:extLst>
          </xdr:cNvPr>
          <xdr:cNvSpPr/>
        </xdr:nvSpPr>
        <xdr:spPr>
          <a:xfrm>
            <a:off x="457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4" name="$E$131">
            <a:extLst>
              <a:ext uri="{FF2B5EF4-FFF2-40B4-BE49-F238E27FC236}">
                <a16:creationId xmlns:a16="http://schemas.microsoft.com/office/drawing/2014/main" id="{0D3F9BB9-3C2C-4041-9FEB-5F7C9D42461E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5" name="$E$131">
            <a:extLst>
              <a:ext uri="{FF2B5EF4-FFF2-40B4-BE49-F238E27FC236}">
                <a16:creationId xmlns:a16="http://schemas.microsoft.com/office/drawing/2014/main" id="{E661D78D-B92D-4890-8D48-9360A5B34FE8}"/>
              </a:ext>
            </a:extLst>
          </xdr:cNvPr>
          <xdr:cNvSpPr/>
        </xdr:nvSpPr>
        <xdr:spPr>
          <a:xfrm>
            <a:off x="88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6" name="$E$131">
            <a:extLst>
              <a:ext uri="{FF2B5EF4-FFF2-40B4-BE49-F238E27FC236}">
                <a16:creationId xmlns:a16="http://schemas.microsoft.com/office/drawing/2014/main" id="{9E108621-E809-40AF-84E5-98268D81796B}"/>
              </a:ext>
            </a:extLst>
          </xdr:cNvPr>
          <xdr:cNvSpPr/>
        </xdr:nvSpPr>
        <xdr:spPr>
          <a:xfrm>
            <a:off x="101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7" name="$E$131">
            <a:extLst>
              <a:ext uri="{FF2B5EF4-FFF2-40B4-BE49-F238E27FC236}">
                <a16:creationId xmlns:a16="http://schemas.microsoft.com/office/drawing/2014/main" id="{F9AFE64B-2ED0-4408-BE3D-9B28EF19ECFE}"/>
              </a:ext>
            </a:extLst>
          </xdr:cNvPr>
          <xdr:cNvSpPr/>
        </xdr:nvSpPr>
        <xdr:spPr>
          <a:xfrm>
            <a:off x="152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8" name="$E$131">
            <a:extLst>
              <a:ext uri="{FF2B5EF4-FFF2-40B4-BE49-F238E27FC236}">
                <a16:creationId xmlns:a16="http://schemas.microsoft.com/office/drawing/2014/main" id="{121DCADB-081D-4083-8775-A84225569846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09" name="$E$131">
            <a:extLst>
              <a:ext uri="{FF2B5EF4-FFF2-40B4-BE49-F238E27FC236}">
                <a16:creationId xmlns:a16="http://schemas.microsoft.com/office/drawing/2014/main" id="{4936E3E3-8FB4-4A69-9948-A15B1FB1CDBC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0" name="$E$131">
            <a:extLst>
              <a:ext uri="{FF2B5EF4-FFF2-40B4-BE49-F238E27FC236}">
                <a16:creationId xmlns:a16="http://schemas.microsoft.com/office/drawing/2014/main" id="{4D194DC0-A049-4722-877B-61999B0847AB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1" name="$E$131">
            <a:extLst>
              <a:ext uri="{FF2B5EF4-FFF2-40B4-BE49-F238E27FC236}">
                <a16:creationId xmlns:a16="http://schemas.microsoft.com/office/drawing/2014/main" id="{E9581CBF-1474-437F-B026-D6E47C5DC569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2" name="$E$131">
            <a:extLst>
              <a:ext uri="{FF2B5EF4-FFF2-40B4-BE49-F238E27FC236}">
                <a16:creationId xmlns:a16="http://schemas.microsoft.com/office/drawing/2014/main" id="{03291D4C-3A5B-4B77-A78B-2C89633827A2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3" name="$E$131">
            <a:extLst>
              <a:ext uri="{FF2B5EF4-FFF2-40B4-BE49-F238E27FC236}">
                <a16:creationId xmlns:a16="http://schemas.microsoft.com/office/drawing/2014/main" id="{CF7A52BC-ACCE-478E-BF82-C49E5A575866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4" name="$E$131">
            <a:extLst>
              <a:ext uri="{FF2B5EF4-FFF2-40B4-BE49-F238E27FC236}">
                <a16:creationId xmlns:a16="http://schemas.microsoft.com/office/drawing/2014/main" id="{BDEFD3C7-7C7E-4A40-8111-5C06DE613E4C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5" name="$E$131">
            <a:extLst>
              <a:ext uri="{FF2B5EF4-FFF2-40B4-BE49-F238E27FC236}">
                <a16:creationId xmlns:a16="http://schemas.microsoft.com/office/drawing/2014/main" id="{DB7C56CF-D41C-4F32-973A-0583B015FEB7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6" name="$E$131">
            <a:extLst>
              <a:ext uri="{FF2B5EF4-FFF2-40B4-BE49-F238E27FC236}">
                <a16:creationId xmlns:a16="http://schemas.microsoft.com/office/drawing/2014/main" id="{2423DCFF-FE8B-4500-A447-A58754EDC957}"/>
              </a:ext>
            </a:extLst>
          </xdr:cNvPr>
          <xdr:cNvSpPr/>
        </xdr:nvSpPr>
        <xdr:spPr>
          <a:xfrm>
            <a:off x="368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7" name="$E$131">
            <a:extLst>
              <a:ext uri="{FF2B5EF4-FFF2-40B4-BE49-F238E27FC236}">
                <a16:creationId xmlns:a16="http://schemas.microsoft.com/office/drawing/2014/main" id="{1052F795-7649-4AF7-80C2-3374B0C2208C}"/>
              </a:ext>
            </a:extLst>
          </xdr:cNvPr>
          <xdr:cNvSpPr/>
        </xdr:nvSpPr>
        <xdr:spPr>
          <a:xfrm>
            <a:off x="3810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8" name="$E$131">
            <a:extLst>
              <a:ext uri="{FF2B5EF4-FFF2-40B4-BE49-F238E27FC236}">
                <a16:creationId xmlns:a16="http://schemas.microsoft.com/office/drawing/2014/main" id="{BC9D67EF-777C-42C4-9735-A5ACC9C4236F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19" name="$E$131">
            <a:extLst>
              <a:ext uri="{FF2B5EF4-FFF2-40B4-BE49-F238E27FC236}">
                <a16:creationId xmlns:a16="http://schemas.microsoft.com/office/drawing/2014/main" id="{87589A67-36AE-4C49-9CCA-66B397570983}"/>
              </a:ext>
            </a:extLst>
          </xdr:cNvPr>
          <xdr:cNvSpPr/>
        </xdr:nvSpPr>
        <xdr:spPr>
          <a:xfrm>
            <a:off x="419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0" name="$E$131">
            <a:extLst>
              <a:ext uri="{FF2B5EF4-FFF2-40B4-BE49-F238E27FC236}">
                <a16:creationId xmlns:a16="http://schemas.microsoft.com/office/drawing/2014/main" id="{9D0D2652-1771-4515-87FE-2D54CC9FB3EF}"/>
              </a:ext>
            </a:extLst>
          </xdr:cNvPr>
          <xdr:cNvSpPr/>
        </xdr:nvSpPr>
        <xdr:spPr>
          <a:xfrm>
            <a:off x="431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1" name="$E$131">
            <a:extLst>
              <a:ext uri="{FF2B5EF4-FFF2-40B4-BE49-F238E27FC236}">
                <a16:creationId xmlns:a16="http://schemas.microsoft.com/office/drawing/2014/main" id="{A0E67DC6-76CD-4B76-BA25-02DD37095627}"/>
              </a:ext>
            </a:extLst>
          </xdr:cNvPr>
          <xdr:cNvSpPr/>
        </xdr:nvSpPr>
        <xdr:spPr>
          <a:xfrm>
            <a:off x="444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2" name="$E$131">
            <a:extLst>
              <a:ext uri="{FF2B5EF4-FFF2-40B4-BE49-F238E27FC236}">
                <a16:creationId xmlns:a16="http://schemas.microsoft.com/office/drawing/2014/main" id="{F7A08097-A1E8-4B46-B4E4-CD6014BED9AA}"/>
              </a:ext>
            </a:extLst>
          </xdr:cNvPr>
          <xdr:cNvSpPr/>
        </xdr:nvSpPr>
        <xdr:spPr>
          <a:xfrm>
            <a:off x="457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3" name="$E$131">
            <a:extLst>
              <a:ext uri="{FF2B5EF4-FFF2-40B4-BE49-F238E27FC236}">
                <a16:creationId xmlns:a16="http://schemas.microsoft.com/office/drawing/2014/main" id="{BA79AA83-00DE-42E0-A864-401FAEE214A4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4" name="$E$131">
            <a:extLst>
              <a:ext uri="{FF2B5EF4-FFF2-40B4-BE49-F238E27FC236}">
                <a16:creationId xmlns:a16="http://schemas.microsoft.com/office/drawing/2014/main" id="{F83DA612-5E3A-4F09-932A-DD8ED7456BB1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5" name="$E$131">
            <a:extLst>
              <a:ext uri="{FF2B5EF4-FFF2-40B4-BE49-F238E27FC236}">
                <a16:creationId xmlns:a16="http://schemas.microsoft.com/office/drawing/2014/main" id="{75814EA9-789E-4B39-AB78-328982B10A20}"/>
              </a:ext>
            </a:extLst>
          </xdr:cNvPr>
          <xdr:cNvSpPr/>
        </xdr:nvSpPr>
        <xdr:spPr>
          <a:xfrm>
            <a:off x="63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6" name="$E$131">
            <a:extLst>
              <a:ext uri="{FF2B5EF4-FFF2-40B4-BE49-F238E27FC236}">
                <a16:creationId xmlns:a16="http://schemas.microsoft.com/office/drawing/2014/main" id="{42686395-5BB3-4D02-B2CF-1BDE76035F43}"/>
              </a:ext>
            </a:extLst>
          </xdr:cNvPr>
          <xdr:cNvSpPr/>
        </xdr:nvSpPr>
        <xdr:spPr>
          <a:xfrm>
            <a:off x="88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7" name="$E$131">
            <a:extLst>
              <a:ext uri="{FF2B5EF4-FFF2-40B4-BE49-F238E27FC236}">
                <a16:creationId xmlns:a16="http://schemas.microsoft.com/office/drawing/2014/main" id="{3681752C-94CE-422E-B25D-1B6F823B6CE4}"/>
              </a:ext>
            </a:extLst>
          </xdr:cNvPr>
          <xdr:cNvSpPr/>
        </xdr:nvSpPr>
        <xdr:spPr>
          <a:xfrm>
            <a:off x="127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8" name="$E$131">
            <a:extLst>
              <a:ext uri="{FF2B5EF4-FFF2-40B4-BE49-F238E27FC236}">
                <a16:creationId xmlns:a16="http://schemas.microsoft.com/office/drawing/2014/main" id="{86A44C40-3BD7-4FF9-BA25-5B133ADB6B26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29" name="$E$131">
            <a:extLst>
              <a:ext uri="{FF2B5EF4-FFF2-40B4-BE49-F238E27FC236}">
                <a16:creationId xmlns:a16="http://schemas.microsoft.com/office/drawing/2014/main" id="{6FCE0BAC-2652-4147-90AD-E407012E4986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0" name="$E$131">
            <a:extLst>
              <a:ext uri="{FF2B5EF4-FFF2-40B4-BE49-F238E27FC236}">
                <a16:creationId xmlns:a16="http://schemas.microsoft.com/office/drawing/2014/main" id="{0BED24B9-A8ED-4842-A5EB-96C59BD997EF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1" name="$E$131">
            <a:extLst>
              <a:ext uri="{FF2B5EF4-FFF2-40B4-BE49-F238E27FC236}">
                <a16:creationId xmlns:a16="http://schemas.microsoft.com/office/drawing/2014/main" id="{17DDF273-3FCD-4D30-BDFA-9B09F6DEE1D1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2" name="$E$131">
            <a:extLst>
              <a:ext uri="{FF2B5EF4-FFF2-40B4-BE49-F238E27FC236}">
                <a16:creationId xmlns:a16="http://schemas.microsoft.com/office/drawing/2014/main" id="{FC71573E-3475-4BDB-BB8D-A9CD02801072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3" name="$E$131">
            <a:extLst>
              <a:ext uri="{FF2B5EF4-FFF2-40B4-BE49-F238E27FC236}">
                <a16:creationId xmlns:a16="http://schemas.microsoft.com/office/drawing/2014/main" id="{71669BF7-281C-4CC4-BB59-14D0FC117A6D}"/>
              </a:ext>
            </a:extLst>
          </xdr:cNvPr>
          <xdr:cNvSpPr/>
        </xdr:nvSpPr>
        <xdr:spPr>
          <a:xfrm>
            <a:off x="292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4" name="$E$131">
            <a:extLst>
              <a:ext uri="{FF2B5EF4-FFF2-40B4-BE49-F238E27FC236}">
                <a16:creationId xmlns:a16="http://schemas.microsoft.com/office/drawing/2014/main" id="{CB2E2B07-7E53-4DEF-BD02-1EB5307CDC8B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5" name="$E$131">
            <a:extLst>
              <a:ext uri="{FF2B5EF4-FFF2-40B4-BE49-F238E27FC236}">
                <a16:creationId xmlns:a16="http://schemas.microsoft.com/office/drawing/2014/main" id="{7D20AAEB-31A8-4A64-BE63-2250E0DFAB04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6" name="$E$131">
            <a:extLst>
              <a:ext uri="{FF2B5EF4-FFF2-40B4-BE49-F238E27FC236}">
                <a16:creationId xmlns:a16="http://schemas.microsoft.com/office/drawing/2014/main" id="{0B012691-070C-4761-8574-F24647F43392}"/>
              </a:ext>
            </a:extLst>
          </xdr:cNvPr>
          <xdr:cNvSpPr/>
        </xdr:nvSpPr>
        <xdr:spPr>
          <a:xfrm>
            <a:off x="368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7" name="$E$131">
            <a:extLst>
              <a:ext uri="{FF2B5EF4-FFF2-40B4-BE49-F238E27FC236}">
                <a16:creationId xmlns:a16="http://schemas.microsoft.com/office/drawing/2014/main" id="{BA822BF0-2A0B-47A4-8E17-49E33A9C71D0}"/>
              </a:ext>
            </a:extLst>
          </xdr:cNvPr>
          <xdr:cNvSpPr/>
        </xdr:nvSpPr>
        <xdr:spPr>
          <a:xfrm>
            <a:off x="393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8" name="$E$131">
            <a:extLst>
              <a:ext uri="{FF2B5EF4-FFF2-40B4-BE49-F238E27FC236}">
                <a16:creationId xmlns:a16="http://schemas.microsoft.com/office/drawing/2014/main" id="{042A873D-8748-4CAC-9C5C-0A94B4588B7D}"/>
              </a:ext>
            </a:extLst>
          </xdr:cNvPr>
          <xdr:cNvSpPr/>
        </xdr:nvSpPr>
        <xdr:spPr>
          <a:xfrm>
            <a:off x="444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39" name="$E$131">
            <a:extLst>
              <a:ext uri="{FF2B5EF4-FFF2-40B4-BE49-F238E27FC236}">
                <a16:creationId xmlns:a16="http://schemas.microsoft.com/office/drawing/2014/main" id="{3F9AED2A-AB90-492C-90DC-8396B926B25A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0" name="$E$131">
            <a:extLst>
              <a:ext uri="{FF2B5EF4-FFF2-40B4-BE49-F238E27FC236}">
                <a16:creationId xmlns:a16="http://schemas.microsoft.com/office/drawing/2014/main" id="{97D18582-6FA6-40C6-B7F6-41301E3B2DEE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1" name="$E$131">
            <a:extLst>
              <a:ext uri="{FF2B5EF4-FFF2-40B4-BE49-F238E27FC236}">
                <a16:creationId xmlns:a16="http://schemas.microsoft.com/office/drawing/2014/main" id="{E49A1386-7405-437A-A4A3-7092D4722E05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2" name="$E$131">
            <a:extLst>
              <a:ext uri="{FF2B5EF4-FFF2-40B4-BE49-F238E27FC236}">
                <a16:creationId xmlns:a16="http://schemas.microsoft.com/office/drawing/2014/main" id="{569B1238-0E8E-4837-94A3-8E32B66714C8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3" name="$E$131">
            <a:extLst>
              <a:ext uri="{FF2B5EF4-FFF2-40B4-BE49-F238E27FC236}">
                <a16:creationId xmlns:a16="http://schemas.microsoft.com/office/drawing/2014/main" id="{CAFEA791-7DE7-42CD-8053-ADCA6ADD91EB}"/>
              </a:ext>
            </a:extLst>
          </xdr:cNvPr>
          <xdr:cNvSpPr/>
        </xdr:nvSpPr>
        <xdr:spPr>
          <a:xfrm>
            <a:off x="88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4" name="$E$131">
            <a:extLst>
              <a:ext uri="{FF2B5EF4-FFF2-40B4-BE49-F238E27FC236}">
                <a16:creationId xmlns:a16="http://schemas.microsoft.com/office/drawing/2014/main" id="{4C107F8F-9A3E-495E-934E-D2C6998341C8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5" name="$E$131">
            <a:extLst>
              <a:ext uri="{FF2B5EF4-FFF2-40B4-BE49-F238E27FC236}">
                <a16:creationId xmlns:a16="http://schemas.microsoft.com/office/drawing/2014/main" id="{AA0922C1-2BB0-45FA-AD65-6F9B3C61073A}"/>
              </a:ext>
            </a:extLst>
          </xdr:cNvPr>
          <xdr:cNvSpPr/>
        </xdr:nvSpPr>
        <xdr:spPr>
          <a:xfrm>
            <a:off x="114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6" name="$E$131">
            <a:extLst>
              <a:ext uri="{FF2B5EF4-FFF2-40B4-BE49-F238E27FC236}">
                <a16:creationId xmlns:a16="http://schemas.microsoft.com/office/drawing/2014/main" id="{B4B89C6E-4821-4C51-AA01-9C02C1076C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7" name="$E$131">
            <a:extLst>
              <a:ext uri="{FF2B5EF4-FFF2-40B4-BE49-F238E27FC236}">
                <a16:creationId xmlns:a16="http://schemas.microsoft.com/office/drawing/2014/main" id="{09A9282A-5CA3-4B7C-98CC-7F0CC6DCF94E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8" name="$E$131">
            <a:extLst>
              <a:ext uri="{FF2B5EF4-FFF2-40B4-BE49-F238E27FC236}">
                <a16:creationId xmlns:a16="http://schemas.microsoft.com/office/drawing/2014/main" id="{30504AE9-9C7B-462A-A907-3DC10A1ACBF2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49" name="$E$131">
            <a:extLst>
              <a:ext uri="{FF2B5EF4-FFF2-40B4-BE49-F238E27FC236}">
                <a16:creationId xmlns:a16="http://schemas.microsoft.com/office/drawing/2014/main" id="{22627608-C52C-4FCD-BA27-F1C008DBCB6E}"/>
              </a:ext>
            </a:extLst>
          </xdr:cNvPr>
          <xdr:cNvSpPr/>
        </xdr:nvSpPr>
        <xdr:spPr>
          <a:xfrm>
            <a:off x="177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0" name="$E$131">
            <a:extLst>
              <a:ext uri="{FF2B5EF4-FFF2-40B4-BE49-F238E27FC236}">
                <a16:creationId xmlns:a16="http://schemas.microsoft.com/office/drawing/2014/main" id="{0768CB05-0D55-4BCA-A0BF-55383A37101E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1" name="$E$131">
            <a:extLst>
              <a:ext uri="{FF2B5EF4-FFF2-40B4-BE49-F238E27FC236}">
                <a16:creationId xmlns:a16="http://schemas.microsoft.com/office/drawing/2014/main" id="{3D336050-6AF1-44DE-93DE-7FD758086264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2" name="$E$131">
            <a:extLst>
              <a:ext uri="{FF2B5EF4-FFF2-40B4-BE49-F238E27FC236}">
                <a16:creationId xmlns:a16="http://schemas.microsoft.com/office/drawing/2014/main" id="{0F1607B8-1A38-4818-B1BE-B50528A8EA1F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3" name="$E$131">
            <a:extLst>
              <a:ext uri="{FF2B5EF4-FFF2-40B4-BE49-F238E27FC236}">
                <a16:creationId xmlns:a16="http://schemas.microsoft.com/office/drawing/2014/main" id="{E42BC0B5-8D3D-486D-ADFF-EB6F8B510562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4" name="$E$131">
            <a:extLst>
              <a:ext uri="{FF2B5EF4-FFF2-40B4-BE49-F238E27FC236}">
                <a16:creationId xmlns:a16="http://schemas.microsoft.com/office/drawing/2014/main" id="{8EC979A9-73FA-4BD3-9DE0-DF3260C2959D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5" name="$E$131">
            <a:extLst>
              <a:ext uri="{FF2B5EF4-FFF2-40B4-BE49-F238E27FC236}">
                <a16:creationId xmlns:a16="http://schemas.microsoft.com/office/drawing/2014/main" id="{6367FEFE-C00F-4785-957A-8EB41107D49D}"/>
              </a:ext>
            </a:extLst>
          </xdr:cNvPr>
          <xdr:cNvSpPr/>
        </xdr:nvSpPr>
        <xdr:spPr>
          <a:xfrm>
            <a:off x="342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6" name="$E$131">
            <a:extLst>
              <a:ext uri="{FF2B5EF4-FFF2-40B4-BE49-F238E27FC236}">
                <a16:creationId xmlns:a16="http://schemas.microsoft.com/office/drawing/2014/main" id="{DFD25A41-F6E3-44D6-A29C-5FD1F58CEA19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7" name="$E$131">
            <a:extLst>
              <a:ext uri="{FF2B5EF4-FFF2-40B4-BE49-F238E27FC236}">
                <a16:creationId xmlns:a16="http://schemas.microsoft.com/office/drawing/2014/main" id="{DF2496DD-5322-4DD1-9D78-1735FC6E4133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8" name="$E$131">
            <a:extLst>
              <a:ext uri="{FF2B5EF4-FFF2-40B4-BE49-F238E27FC236}">
                <a16:creationId xmlns:a16="http://schemas.microsoft.com/office/drawing/2014/main" id="{58F3E0B5-2866-482C-99E0-7D62D271E675}"/>
              </a:ext>
            </a:extLst>
          </xdr:cNvPr>
          <xdr:cNvSpPr/>
        </xdr:nvSpPr>
        <xdr:spPr>
          <a:xfrm>
            <a:off x="381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59" name="$E$131">
            <a:extLst>
              <a:ext uri="{FF2B5EF4-FFF2-40B4-BE49-F238E27FC236}">
                <a16:creationId xmlns:a16="http://schemas.microsoft.com/office/drawing/2014/main" id="{34B82DB5-357F-4423-881B-C2AFE630308C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60" name="$E$131">
            <a:extLst>
              <a:ext uri="{FF2B5EF4-FFF2-40B4-BE49-F238E27FC236}">
                <a16:creationId xmlns:a16="http://schemas.microsoft.com/office/drawing/2014/main" id="{25AA8B46-122B-435D-A892-0D3F371CA64F}"/>
              </a:ext>
            </a:extLst>
          </xdr:cNvPr>
          <xdr:cNvSpPr/>
        </xdr:nvSpPr>
        <xdr:spPr>
          <a:xfrm>
            <a:off x="406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61" name="$E$131">
            <a:extLst>
              <a:ext uri="{FF2B5EF4-FFF2-40B4-BE49-F238E27FC236}">
                <a16:creationId xmlns:a16="http://schemas.microsoft.com/office/drawing/2014/main" id="{03D26365-BE65-4F33-8423-4AE2666F58EC}"/>
              </a:ext>
            </a:extLst>
          </xdr:cNvPr>
          <xdr:cNvSpPr/>
        </xdr:nvSpPr>
        <xdr:spPr>
          <a:xfrm>
            <a:off x="444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62" name="$E$131">
            <a:extLst>
              <a:ext uri="{FF2B5EF4-FFF2-40B4-BE49-F238E27FC236}">
                <a16:creationId xmlns:a16="http://schemas.microsoft.com/office/drawing/2014/main" id="{CCD6797C-A191-4626-AD3B-4A13F58EDA34}"/>
              </a:ext>
            </a:extLst>
          </xdr:cNvPr>
          <xdr:cNvSpPr/>
        </xdr:nvSpPr>
        <xdr:spPr>
          <a:xfrm>
            <a:off x="457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63" name="$E$131">
            <a:extLst>
              <a:ext uri="{FF2B5EF4-FFF2-40B4-BE49-F238E27FC236}">
                <a16:creationId xmlns:a16="http://schemas.microsoft.com/office/drawing/2014/main" id="{A23E2A12-D49E-437D-9785-381AD6F2C118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64" name="$E$131">
            <a:extLst>
              <a:ext uri="{FF2B5EF4-FFF2-40B4-BE49-F238E27FC236}">
                <a16:creationId xmlns:a16="http://schemas.microsoft.com/office/drawing/2014/main" id="{0ED49918-316A-45FC-9C65-D043FA9D9089}"/>
              </a:ext>
            </a:extLst>
          </xdr:cNvPr>
          <xdr:cNvSpPr/>
        </xdr:nvSpPr>
        <xdr:spPr>
          <a:xfrm>
            <a:off x="38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65" name="$E$131">
            <a:extLst>
              <a:ext uri="{FF2B5EF4-FFF2-40B4-BE49-F238E27FC236}">
                <a16:creationId xmlns:a16="http://schemas.microsoft.com/office/drawing/2014/main" id="{102F8859-7BA6-4C97-A33A-20A0AEF6ED8D}"/>
              </a:ext>
            </a:extLst>
          </xdr:cNvPr>
          <xdr:cNvSpPr/>
        </xdr:nvSpPr>
        <xdr:spPr>
          <a:xfrm>
            <a:off x="50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66" name="$E$131">
            <a:extLst>
              <a:ext uri="{FF2B5EF4-FFF2-40B4-BE49-F238E27FC236}">
                <a16:creationId xmlns:a16="http://schemas.microsoft.com/office/drawing/2014/main" id="{8DCBDC0F-5E68-4E60-BC37-9A4894CC5EB8}"/>
              </a:ext>
            </a:extLst>
          </xdr:cNvPr>
          <xdr:cNvSpPr/>
        </xdr:nvSpPr>
        <xdr:spPr>
          <a:xfrm>
            <a:off x="63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67" name="$E$131">
            <a:extLst>
              <a:ext uri="{FF2B5EF4-FFF2-40B4-BE49-F238E27FC236}">
                <a16:creationId xmlns:a16="http://schemas.microsoft.com/office/drawing/2014/main" id="{0DC2CDF7-B4A9-490A-8BA0-E2E8574717AB}"/>
              </a:ext>
            </a:extLst>
          </xdr:cNvPr>
          <xdr:cNvSpPr/>
        </xdr:nvSpPr>
        <xdr:spPr>
          <a:xfrm>
            <a:off x="88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68" name="$E$131">
            <a:extLst>
              <a:ext uri="{FF2B5EF4-FFF2-40B4-BE49-F238E27FC236}">
                <a16:creationId xmlns:a16="http://schemas.microsoft.com/office/drawing/2014/main" id="{3DF44651-6636-4B12-96BF-6DF0D133D84C}"/>
              </a:ext>
            </a:extLst>
          </xdr:cNvPr>
          <xdr:cNvSpPr/>
        </xdr:nvSpPr>
        <xdr:spPr>
          <a:xfrm>
            <a:off x="101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69" name="$E$131">
            <a:extLst>
              <a:ext uri="{FF2B5EF4-FFF2-40B4-BE49-F238E27FC236}">
                <a16:creationId xmlns:a16="http://schemas.microsoft.com/office/drawing/2014/main" id="{CF2E7E2E-7B36-48F7-A9EE-8B0F8D4CBEAB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0" name="$E$131">
            <a:extLst>
              <a:ext uri="{FF2B5EF4-FFF2-40B4-BE49-F238E27FC236}">
                <a16:creationId xmlns:a16="http://schemas.microsoft.com/office/drawing/2014/main" id="{D45AF654-27B6-4024-B492-0180E2CB6D75}"/>
              </a:ext>
            </a:extLst>
          </xdr:cNvPr>
          <xdr:cNvSpPr/>
        </xdr:nvSpPr>
        <xdr:spPr>
          <a:xfrm>
            <a:off x="139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1" name="$E$131">
            <a:extLst>
              <a:ext uri="{FF2B5EF4-FFF2-40B4-BE49-F238E27FC236}">
                <a16:creationId xmlns:a16="http://schemas.microsoft.com/office/drawing/2014/main" id="{357DFB2F-FAEF-4BCB-820B-E60BC5D47EC2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2" name="$E$131">
            <a:extLst>
              <a:ext uri="{FF2B5EF4-FFF2-40B4-BE49-F238E27FC236}">
                <a16:creationId xmlns:a16="http://schemas.microsoft.com/office/drawing/2014/main" id="{56DEE51E-A857-4A32-B6FD-63E8CD88524C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3" name="$E$131">
            <a:extLst>
              <a:ext uri="{FF2B5EF4-FFF2-40B4-BE49-F238E27FC236}">
                <a16:creationId xmlns:a16="http://schemas.microsoft.com/office/drawing/2014/main" id="{9D670A87-2D6A-4D7F-A688-7C39F958B089}"/>
              </a:ext>
            </a:extLst>
          </xdr:cNvPr>
          <xdr:cNvSpPr/>
        </xdr:nvSpPr>
        <xdr:spPr>
          <a:xfrm>
            <a:off x="228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4" name="$E$131">
            <a:extLst>
              <a:ext uri="{FF2B5EF4-FFF2-40B4-BE49-F238E27FC236}">
                <a16:creationId xmlns:a16="http://schemas.microsoft.com/office/drawing/2014/main" id="{6A74FB87-1CC2-4836-91AB-C2EAB268C033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5" name="$E$131">
            <a:extLst>
              <a:ext uri="{FF2B5EF4-FFF2-40B4-BE49-F238E27FC236}">
                <a16:creationId xmlns:a16="http://schemas.microsoft.com/office/drawing/2014/main" id="{B1423CF7-95EC-4FF1-A64B-F801C570B0EE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6" name="$E$131">
            <a:extLst>
              <a:ext uri="{FF2B5EF4-FFF2-40B4-BE49-F238E27FC236}">
                <a16:creationId xmlns:a16="http://schemas.microsoft.com/office/drawing/2014/main" id="{B7DBA3B4-F1D5-4AF7-B15B-F965F3E47002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7" name="$E$131">
            <a:extLst>
              <a:ext uri="{FF2B5EF4-FFF2-40B4-BE49-F238E27FC236}">
                <a16:creationId xmlns:a16="http://schemas.microsoft.com/office/drawing/2014/main" id="{4EB15C57-CDCB-4A51-B39E-50B8DECD4D0A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8" name="$E$131">
            <a:extLst>
              <a:ext uri="{FF2B5EF4-FFF2-40B4-BE49-F238E27FC236}">
                <a16:creationId xmlns:a16="http://schemas.microsoft.com/office/drawing/2014/main" id="{F2183A00-F3FB-4432-8F4D-C4BE762102F6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79" name="$E$131">
            <a:extLst>
              <a:ext uri="{FF2B5EF4-FFF2-40B4-BE49-F238E27FC236}">
                <a16:creationId xmlns:a16="http://schemas.microsoft.com/office/drawing/2014/main" id="{A9FE5860-E0EA-4B05-82C0-52D350752DE1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0" name="$E$131">
            <a:extLst>
              <a:ext uri="{FF2B5EF4-FFF2-40B4-BE49-F238E27FC236}">
                <a16:creationId xmlns:a16="http://schemas.microsoft.com/office/drawing/2014/main" id="{4E912209-CA62-4225-AD5D-62431EBFE7EF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1" name="$E$131">
            <a:extLst>
              <a:ext uri="{FF2B5EF4-FFF2-40B4-BE49-F238E27FC236}">
                <a16:creationId xmlns:a16="http://schemas.microsoft.com/office/drawing/2014/main" id="{934B04B7-C431-4139-B270-32C04C3B9B04}"/>
              </a:ext>
            </a:extLst>
          </xdr:cNvPr>
          <xdr:cNvSpPr/>
        </xdr:nvSpPr>
        <xdr:spPr>
          <a:xfrm>
            <a:off x="457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2" name="$E$131">
            <a:extLst>
              <a:ext uri="{FF2B5EF4-FFF2-40B4-BE49-F238E27FC236}">
                <a16:creationId xmlns:a16="http://schemas.microsoft.com/office/drawing/2014/main" id="{18D7309C-EE74-4279-A533-71B7F1401133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3" name="$E$131">
            <a:extLst>
              <a:ext uri="{FF2B5EF4-FFF2-40B4-BE49-F238E27FC236}">
                <a16:creationId xmlns:a16="http://schemas.microsoft.com/office/drawing/2014/main" id="{F054B997-99B8-4A59-8FD8-15D6A7F2C2D2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4" name="$E$131">
            <a:extLst>
              <a:ext uri="{FF2B5EF4-FFF2-40B4-BE49-F238E27FC236}">
                <a16:creationId xmlns:a16="http://schemas.microsoft.com/office/drawing/2014/main" id="{BF0CD559-B033-49CB-B94F-976416634CC4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5" name="$E$131">
            <a:extLst>
              <a:ext uri="{FF2B5EF4-FFF2-40B4-BE49-F238E27FC236}">
                <a16:creationId xmlns:a16="http://schemas.microsoft.com/office/drawing/2014/main" id="{6647557B-E69A-4793-B2C2-C1C0559532A5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6" name="$E$131">
            <a:extLst>
              <a:ext uri="{FF2B5EF4-FFF2-40B4-BE49-F238E27FC236}">
                <a16:creationId xmlns:a16="http://schemas.microsoft.com/office/drawing/2014/main" id="{A3FB1FF4-9B0C-4063-979B-215F33142302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7" name="$E$131">
            <a:extLst>
              <a:ext uri="{FF2B5EF4-FFF2-40B4-BE49-F238E27FC236}">
                <a16:creationId xmlns:a16="http://schemas.microsoft.com/office/drawing/2014/main" id="{24E964B4-6579-4C51-9B7B-D87D0ACB2D3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8" name="$E$131">
            <a:extLst>
              <a:ext uri="{FF2B5EF4-FFF2-40B4-BE49-F238E27FC236}">
                <a16:creationId xmlns:a16="http://schemas.microsoft.com/office/drawing/2014/main" id="{DCB8F50A-1D9D-4897-81DE-4A489F907A7E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89" name="$E$131">
            <a:extLst>
              <a:ext uri="{FF2B5EF4-FFF2-40B4-BE49-F238E27FC236}">
                <a16:creationId xmlns:a16="http://schemas.microsoft.com/office/drawing/2014/main" id="{A7F520E9-8A53-4640-8695-8166829466A8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0" name="$E$131">
            <a:extLst>
              <a:ext uri="{FF2B5EF4-FFF2-40B4-BE49-F238E27FC236}">
                <a16:creationId xmlns:a16="http://schemas.microsoft.com/office/drawing/2014/main" id="{C486476E-0A91-47A0-8FBA-8BF8200BF341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1" name="$E$131">
            <a:extLst>
              <a:ext uri="{FF2B5EF4-FFF2-40B4-BE49-F238E27FC236}">
                <a16:creationId xmlns:a16="http://schemas.microsoft.com/office/drawing/2014/main" id="{5281A2C4-FF6D-4E0F-B2B2-3C03EE1E5253}"/>
              </a:ext>
            </a:extLst>
          </xdr:cNvPr>
          <xdr:cNvSpPr/>
        </xdr:nvSpPr>
        <xdr:spPr>
          <a:xfrm>
            <a:off x="292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2" name="$E$131">
            <a:extLst>
              <a:ext uri="{FF2B5EF4-FFF2-40B4-BE49-F238E27FC236}">
                <a16:creationId xmlns:a16="http://schemas.microsoft.com/office/drawing/2014/main" id="{4932EC54-0DFC-4B16-9882-3B370E267B0D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3" name="$E$131">
            <a:extLst>
              <a:ext uri="{FF2B5EF4-FFF2-40B4-BE49-F238E27FC236}">
                <a16:creationId xmlns:a16="http://schemas.microsoft.com/office/drawing/2014/main" id="{DDA43157-7E0B-44CA-9EF4-FCF2ACF4C815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4" name="$E$131">
            <a:extLst>
              <a:ext uri="{FF2B5EF4-FFF2-40B4-BE49-F238E27FC236}">
                <a16:creationId xmlns:a16="http://schemas.microsoft.com/office/drawing/2014/main" id="{19F1C740-C09E-45B8-9BE9-11EC5E596A24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5" name="$E$131">
            <a:extLst>
              <a:ext uri="{FF2B5EF4-FFF2-40B4-BE49-F238E27FC236}">
                <a16:creationId xmlns:a16="http://schemas.microsoft.com/office/drawing/2014/main" id="{01F11D01-E35F-44FA-BED0-B1FB2F000E2F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6" name="$E$131">
            <a:extLst>
              <a:ext uri="{FF2B5EF4-FFF2-40B4-BE49-F238E27FC236}">
                <a16:creationId xmlns:a16="http://schemas.microsoft.com/office/drawing/2014/main" id="{38748636-ABCB-48FB-9A9A-1F5B2DA05BFA}"/>
              </a:ext>
            </a:extLst>
          </xdr:cNvPr>
          <xdr:cNvSpPr/>
        </xdr:nvSpPr>
        <xdr:spPr>
          <a:xfrm>
            <a:off x="368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7" name="$E$131">
            <a:extLst>
              <a:ext uri="{FF2B5EF4-FFF2-40B4-BE49-F238E27FC236}">
                <a16:creationId xmlns:a16="http://schemas.microsoft.com/office/drawing/2014/main" id="{6B68BE35-87CA-45BC-8BAD-91591B52A0FA}"/>
              </a:ext>
            </a:extLst>
          </xdr:cNvPr>
          <xdr:cNvSpPr/>
        </xdr:nvSpPr>
        <xdr:spPr>
          <a:xfrm>
            <a:off x="3810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8" name="$E$131">
            <a:extLst>
              <a:ext uri="{FF2B5EF4-FFF2-40B4-BE49-F238E27FC236}">
                <a16:creationId xmlns:a16="http://schemas.microsoft.com/office/drawing/2014/main" id="{CDDC78CA-5CC1-4443-B8B4-FD4AA3F43A76}"/>
              </a:ext>
            </a:extLst>
          </xdr:cNvPr>
          <xdr:cNvSpPr/>
        </xdr:nvSpPr>
        <xdr:spPr>
          <a:xfrm>
            <a:off x="393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999" name="$E$131">
            <a:extLst>
              <a:ext uri="{FF2B5EF4-FFF2-40B4-BE49-F238E27FC236}">
                <a16:creationId xmlns:a16="http://schemas.microsoft.com/office/drawing/2014/main" id="{C4545167-855D-4DE3-89C3-FF4FA70EAA07}"/>
              </a:ext>
            </a:extLst>
          </xdr:cNvPr>
          <xdr:cNvSpPr/>
        </xdr:nvSpPr>
        <xdr:spPr>
          <a:xfrm>
            <a:off x="406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0" name="$E$131">
            <a:extLst>
              <a:ext uri="{FF2B5EF4-FFF2-40B4-BE49-F238E27FC236}">
                <a16:creationId xmlns:a16="http://schemas.microsoft.com/office/drawing/2014/main" id="{986C6C0A-040E-439F-9FA0-2AAC2AD4FCF8}"/>
              </a:ext>
            </a:extLst>
          </xdr:cNvPr>
          <xdr:cNvSpPr/>
        </xdr:nvSpPr>
        <xdr:spPr>
          <a:xfrm>
            <a:off x="419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1" name="$E$131">
            <a:extLst>
              <a:ext uri="{FF2B5EF4-FFF2-40B4-BE49-F238E27FC236}">
                <a16:creationId xmlns:a16="http://schemas.microsoft.com/office/drawing/2014/main" id="{9DB3B371-C0A2-462F-9841-B90808DB8808}"/>
              </a:ext>
            </a:extLst>
          </xdr:cNvPr>
          <xdr:cNvSpPr/>
        </xdr:nvSpPr>
        <xdr:spPr>
          <a:xfrm>
            <a:off x="431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2" name="$E$131">
            <a:extLst>
              <a:ext uri="{FF2B5EF4-FFF2-40B4-BE49-F238E27FC236}">
                <a16:creationId xmlns:a16="http://schemas.microsoft.com/office/drawing/2014/main" id="{8C4B471F-29CE-4797-AE78-DC678E226ED7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3" name="$E$131">
            <a:extLst>
              <a:ext uri="{FF2B5EF4-FFF2-40B4-BE49-F238E27FC236}">
                <a16:creationId xmlns:a16="http://schemas.microsoft.com/office/drawing/2014/main" id="{9148D4E1-94A3-4AFF-B148-7A714C05BC38}"/>
              </a:ext>
            </a:extLst>
          </xdr:cNvPr>
          <xdr:cNvSpPr/>
        </xdr:nvSpPr>
        <xdr:spPr>
          <a:xfrm>
            <a:off x="127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4" name="$E$131">
            <a:extLst>
              <a:ext uri="{FF2B5EF4-FFF2-40B4-BE49-F238E27FC236}">
                <a16:creationId xmlns:a16="http://schemas.microsoft.com/office/drawing/2014/main" id="{9671B0DD-FEFA-4AB1-8A81-52CD10F8BB18}"/>
              </a:ext>
            </a:extLst>
          </xdr:cNvPr>
          <xdr:cNvSpPr/>
        </xdr:nvSpPr>
        <xdr:spPr>
          <a:xfrm>
            <a:off x="152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5" name="$E$131">
            <a:extLst>
              <a:ext uri="{FF2B5EF4-FFF2-40B4-BE49-F238E27FC236}">
                <a16:creationId xmlns:a16="http://schemas.microsoft.com/office/drawing/2014/main" id="{4F83450E-B7CF-40ED-90F5-915D317E20C3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6" name="$E$131">
            <a:extLst>
              <a:ext uri="{FF2B5EF4-FFF2-40B4-BE49-F238E27FC236}">
                <a16:creationId xmlns:a16="http://schemas.microsoft.com/office/drawing/2014/main" id="{61526B99-4B8C-4F72-914E-7B40D5F6FC9A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7" name="$E$131">
            <a:extLst>
              <a:ext uri="{FF2B5EF4-FFF2-40B4-BE49-F238E27FC236}">
                <a16:creationId xmlns:a16="http://schemas.microsoft.com/office/drawing/2014/main" id="{DDAC22DC-09C8-44FD-965A-95C60C60698F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8" name="$E$131">
            <a:extLst>
              <a:ext uri="{FF2B5EF4-FFF2-40B4-BE49-F238E27FC236}">
                <a16:creationId xmlns:a16="http://schemas.microsoft.com/office/drawing/2014/main" id="{866D3273-8809-4799-A79E-1C8421AEAC32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09" name="$E$131">
            <a:extLst>
              <a:ext uri="{FF2B5EF4-FFF2-40B4-BE49-F238E27FC236}">
                <a16:creationId xmlns:a16="http://schemas.microsoft.com/office/drawing/2014/main" id="{D5D036E6-A666-4D64-BE4B-F8C081BF732C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0" name="$E$131">
            <a:extLst>
              <a:ext uri="{FF2B5EF4-FFF2-40B4-BE49-F238E27FC236}">
                <a16:creationId xmlns:a16="http://schemas.microsoft.com/office/drawing/2014/main" id="{5E303D14-CAD5-4CF1-9AFB-F9AD5DD341B5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1" name="$E$131">
            <a:extLst>
              <a:ext uri="{FF2B5EF4-FFF2-40B4-BE49-F238E27FC236}">
                <a16:creationId xmlns:a16="http://schemas.microsoft.com/office/drawing/2014/main" id="{2D8CD4D3-B2BC-4E9B-99DE-CC6490A2E56C}"/>
              </a:ext>
            </a:extLst>
          </xdr:cNvPr>
          <xdr:cNvSpPr/>
        </xdr:nvSpPr>
        <xdr:spPr>
          <a:xfrm>
            <a:off x="266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2" name="$E$131">
            <a:extLst>
              <a:ext uri="{FF2B5EF4-FFF2-40B4-BE49-F238E27FC236}">
                <a16:creationId xmlns:a16="http://schemas.microsoft.com/office/drawing/2014/main" id="{98BA23EA-A7CD-46F1-90FC-AE360E479C3A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3" name="$E$131">
            <a:extLst>
              <a:ext uri="{FF2B5EF4-FFF2-40B4-BE49-F238E27FC236}">
                <a16:creationId xmlns:a16="http://schemas.microsoft.com/office/drawing/2014/main" id="{88BFBFF0-52E5-48FD-B968-937384766F3B}"/>
              </a:ext>
            </a:extLst>
          </xdr:cNvPr>
          <xdr:cNvSpPr/>
        </xdr:nvSpPr>
        <xdr:spPr>
          <a:xfrm>
            <a:off x="342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4" name="$E$131">
            <a:extLst>
              <a:ext uri="{FF2B5EF4-FFF2-40B4-BE49-F238E27FC236}">
                <a16:creationId xmlns:a16="http://schemas.microsoft.com/office/drawing/2014/main" id="{FA1D4A56-895A-456C-941D-E3D49DEE34BF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5" name="$E$131">
            <a:extLst>
              <a:ext uri="{FF2B5EF4-FFF2-40B4-BE49-F238E27FC236}">
                <a16:creationId xmlns:a16="http://schemas.microsoft.com/office/drawing/2014/main" id="{59862E0C-8CD3-49AA-9142-75A6C80AD697}"/>
              </a:ext>
            </a:extLst>
          </xdr:cNvPr>
          <xdr:cNvSpPr/>
        </xdr:nvSpPr>
        <xdr:spPr>
          <a:xfrm>
            <a:off x="406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6" name="$E$131">
            <a:extLst>
              <a:ext uri="{FF2B5EF4-FFF2-40B4-BE49-F238E27FC236}">
                <a16:creationId xmlns:a16="http://schemas.microsoft.com/office/drawing/2014/main" id="{337755C0-0C86-4274-83F6-B29713330CFE}"/>
              </a:ext>
            </a:extLst>
          </xdr:cNvPr>
          <xdr:cNvSpPr/>
        </xdr:nvSpPr>
        <xdr:spPr>
          <a:xfrm>
            <a:off x="431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7" name="$E$131">
            <a:extLst>
              <a:ext uri="{FF2B5EF4-FFF2-40B4-BE49-F238E27FC236}">
                <a16:creationId xmlns:a16="http://schemas.microsoft.com/office/drawing/2014/main" id="{BD862124-818F-4AA0-A1BE-419A62FF9F55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8" name="$E$131">
            <a:extLst>
              <a:ext uri="{FF2B5EF4-FFF2-40B4-BE49-F238E27FC236}">
                <a16:creationId xmlns:a16="http://schemas.microsoft.com/office/drawing/2014/main" id="{BAB2CF06-68C2-4F6E-88E1-A4F7CFC3BCF7}"/>
              </a:ext>
            </a:extLst>
          </xdr:cNvPr>
          <xdr:cNvSpPr/>
        </xdr:nvSpPr>
        <xdr:spPr>
          <a:xfrm>
            <a:off x="12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19" name="$E$131">
            <a:extLst>
              <a:ext uri="{FF2B5EF4-FFF2-40B4-BE49-F238E27FC236}">
                <a16:creationId xmlns:a16="http://schemas.microsoft.com/office/drawing/2014/main" id="{AF1BFD33-F3B4-4A57-9DCB-F16EFE51B96C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0" name="$E$131">
            <a:extLst>
              <a:ext uri="{FF2B5EF4-FFF2-40B4-BE49-F238E27FC236}">
                <a16:creationId xmlns:a16="http://schemas.microsoft.com/office/drawing/2014/main" id="{FB6EC0C2-E6A2-4D7E-825C-9F0630BBE689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1" name="$E$131">
            <a:extLst>
              <a:ext uri="{FF2B5EF4-FFF2-40B4-BE49-F238E27FC236}">
                <a16:creationId xmlns:a16="http://schemas.microsoft.com/office/drawing/2014/main" id="{0BAC5987-6C45-4229-88F2-919B2DA4A23A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2" name="$E$131">
            <a:extLst>
              <a:ext uri="{FF2B5EF4-FFF2-40B4-BE49-F238E27FC236}">
                <a16:creationId xmlns:a16="http://schemas.microsoft.com/office/drawing/2014/main" id="{F922C8E7-3B17-40C2-A4A6-225C408AE430}"/>
              </a:ext>
            </a:extLst>
          </xdr:cNvPr>
          <xdr:cNvSpPr/>
        </xdr:nvSpPr>
        <xdr:spPr>
          <a:xfrm>
            <a:off x="63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3" name="$E$131">
            <a:extLst>
              <a:ext uri="{FF2B5EF4-FFF2-40B4-BE49-F238E27FC236}">
                <a16:creationId xmlns:a16="http://schemas.microsoft.com/office/drawing/2014/main" id="{35465F3F-A915-4926-AEA3-8E71F1866F9D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4" name="$E$131">
            <a:extLst>
              <a:ext uri="{FF2B5EF4-FFF2-40B4-BE49-F238E27FC236}">
                <a16:creationId xmlns:a16="http://schemas.microsoft.com/office/drawing/2014/main" id="{61ABFF8C-9A5D-4D98-B6B6-0BFF0A3382B2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5" name="$E$131">
            <a:extLst>
              <a:ext uri="{FF2B5EF4-FFF2-40B4-BE49-F238E27FC236}">
                <a16:creationId xmlns:a16="http://schemas.microsoft.com/office/drawing/2014/main" id="{2081368B-994D-4F86-81F5-5E1A82752139}"/>
              </a:ext>
            </a:extLst>
          </xdr:cNvPr>
          <xdr:cNvSpPr/>
        </xdr:nvSpPr>
        <xdr:spPr>
          <a:xfrm>
            <a:off x="165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6" name="$E$131">
            <a:extLst>
              <a:ext uri="{FF2B5EF4-FFF2-40B4-BE49-F238E27FC236}">
                <a16:creationId xmlns:a16="http://schemas.microsoft.com/office/drawing/2014/main" id="{88DA8ED7-AD84-43A4-B8B6-A72F0956A99A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7" name="$E$131">
            <a:extLst>
              <a:ext uri="{FF2B5EF4-FFF2-40B4-BE49-F238E27FC236}">
                <a16:creationId xmlns:a16="http://schemas.microsoft.com/office/drawing/2014/main" id="{E7C24DA9-D4B4-42D9-B439-1A6E6AD03952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8" name="$E$131">
            <a:extLst>
              <a:ext uri="{FF2B5EF4-FFF2-40B4-BE49-F238E27FC236}">
                <a16:creationId xmlns:a16="http://schemas.microsoft.com/office/drawing/2014/main" id="{8B6CD643-842A-43B6-B8E6-A8392839775D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29" name="$E$131">
            <a:extLst>
              <a:ext uri="{FF2B5EF4-FFF2-40B4-BE49-F238E27FC236}">
                <a16:creationId xmlns:a16="http://schemas.microsoft.com/office/drawing/2014/main" id="{47A43EF3-44C7-4F6E-8AA3-A9A19302DAE7}"/>
              </a:ext>
            </a:extLst>
          </xdr:cNvPr>
          <xdr:cNvSpPr/>
        </xdr:nvSpPr>
        <xdr:spPr>
          <a:xfrm>
            <a:off x="2159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0" name="$E$131">
            <a:extLst>
              <a:ext uri="{FF2B5EF4-FFF2-40B4-BE49-F238E27FC236}">
                <a16:creationId xmlns:a16="http://schemas.microsoft.com/office/drawing/2014/main" id="{B0773583-23F9-4190-9356-9A14AF2C6FEB}"/>
              </a:ext>
            </a:extLst>
          </xdr:cNvPr>
          <xdr:cNvSpPr/>
        </xdr:nvSpPr>
        <xdr:spPr>
          <a:xfrm>
            <a:off x="266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1" name="$E$131">
            <a:extLst>
              <a:ext uri="{FF2B5EF4-FFF2-40B4-BE49-F238E27FC236}">
                <a16:creationId xmlns:a16="http://schemas.microsoft.com/office/drawing/2014/main" id="{261E51F1-BFA6-413E-9880-D6FECE3379BA}"/>
              </a:ext>
            </a:extLst>
          </xdr:cNvPr>
          <xdr:cNvSpPr/>
        </xdr:nvSpPr>
        <xdr:spPr>
          <a:xfrm>
            <a:off x="355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2" name="$E$131">
            <a:extLst>
              <a:ext uri="{FF2B5EF4-FFF2-40B4-BE49-F238E27FC236}">
                <a16:creationId xmlns:a16="http://schemas.microsoft.com/office/drawing/2014/main" id="{C377F085-1B7F-4C83-9E8A-2D47AFF38781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3" name="$E$131">
            <a:extLst>
              <a:ext uri="{FF2B5EF4-FFF2-40B4-BE49-F238E27FC236}">
                <a16:creationId xmlns:a16="http://schemas.microsoft.com/office/drawing/2014/main" id="{097D3699-8426-4D63-BAE4-E93381AA86A1}"/>
              </a:ext>
            </a:extLst>
          </xdr:cNvPr>
          <xdr:cNvSpPr/>
        </xdr:nvSpPr>
        <xdr:spPr>
          <a:xfrm>
            <a:off x="406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4" name="$E$131">
            <a:extLst>
              <a:ext uri="{FF2B5EF4-FFF2-40B4-BE49-F238E27FC236}">
                <a16:creationId xmlns:a16="http://schemas.microsoft.com/office/drawing/2014/main" id="{E3403F2C-DEFB-42AB-9452-597AF53CD385}"/>
              </a:ext>
            </a:extLst>
          </xdr:cNvPr>
          <xdr:cNvSpPr/>
        </xdr:nvSpPr>
        <xdr:spPr>
          <a:xfrm>
            <a:off x="419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5" name="$E$131">
            <a:extLst>
              <a:ext uri="{FF2B5EF4-FFF2-40B4-BE49-F238E27FC236}">
                <a16:creationId xmlns:a16="http://schemas.microsoft.com/office/drawing/2014/main" id="{A8A70D98-D804-4E7C-8481-96F44EBF2460}"/>
              </a:ext>
            </a:extLst>
          </xdr:cNvPr>
          <xdr:cNvSpPr/>
        </xdr:nvSpPr>
        <xdr:spPr>
          <a:xfrm>
            <a:off x="431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6" name="$E$131">
            <a:extLst>
              <a:ext uri="{FF2B5EF4-FFF2-40B4-BE49-F238E27FC236}">
                <a16:creationId xmlns:a16="http://schemas.microsoft.com/office/drawing/2014/main" id="{EA205F40-7617-444A-9D87-8857BB11C0F2}"/>
              </a:ext>
            </a:extLst>
          </xdr:cNvPr>
          <xdr:cNvSpPr/>
        </xdr:nvSpPr>
        <xdr:spPr>
          <a:xfrm>
            <a:off x="444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7" name="$E$131">
            <a:extLst>
              <a:ext uri="{FF2B5EF4-FFF2-40B4-BE49-F238E27FC236}">
                <a16:creationId xmlns:a16="http://schemas.microsoft.com/office/drawing/2014/main" id="{FA501841-F2CF-4EBE-BFC2-C0A33A7AD1A2}"/>
              </a:ext>
            </a:extLst>
          </xdr:cNvPr>
          <xdr:cNvSpPr/>
        </xdr:nvSpPr>
        <xdr:spPr>
          <a:xfrm>
            <a:off x="457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8" name="$E$131">
            <a:extLst>
              <a:ext uri="{FF2B5EF4-FFF2-40B4-BE49-F238E27FC236}">
                <a16:creationId xmlns:a16="http://schemas.microsoft.com/office/drawing/2014/main" id="{0FD79CBE-4B1D-434D-924A-31F3792580C8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39" name="$E$131">
            <a:extLst>
              <a:ext uri="{FF2B5EF4-FFF2-40B4-BE49-F238E27FC236}">
                <a16:creationId xmlns:a16="http://schemas.microsoft.com/office/drawing/2014/main" id="{91EDB15E-F5F1-4F05-A32E-A0AA7374C9CB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0" name="$E$131">
            <a:extLst>
              <a:ext uri="{FF2B5EF4-FFF2-40B4-BE49-F238E27FC236}">
                <a16:creationId xmlns:a16="http://schemas.microsoft.com/office/drawing/2014/main" id="{5C50956A-D073-4C7B-B898-F904D79C678B}"/>
              </a:ext>
            </a:extLst>
          </xdr:cNvPr>
          <xdr:cNvSpPr/>
        </xdr:nvSpPr>
        <xdr:spPr>
          <a:xfrm>
            <a:off x="114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1" name="$E$131">
            <a:extLst>
              <a:ext uri="{FF2B5EF4-FFF2-40B4-BE49-F238E27FC236}">
                <a16:creationId xmlns:a16="http://schemas.microsoft.com/office/drawing/2014/main" id="{DE4BEC89-32BA-41DD-9F30-791E82596A01}"/>
              </a:ext>
            </a:extLst>
          </xdr:cNvPr>
          <xdr:cNvSpPr/>
        </xdr:nvSpPr>
        <xdr:spPr>
          <a:xfrm>
            <a:off x="127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2" name="$E$131">
            <a:extLst>
              <a:ext uri="{FF2B5EF4-FFF2-40B4-BE49-F238E27FC236}">
                <a16:creationId xmlns:a16="http://schemas.microsoft.com/office/drawing/2014/main" id="{5799FC58-5876-4867-9A14-9855229ACE4B}"/>
              </a:ext>
            </a:extLst>
          </xdr:cNvPr>
          <xdr:cNvSpPr/>
        </xdr:nvSpPr>
        <xdr:spPr>
          <a:xfrm>
            <a:off x="152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3" name="$E$131">
            <a:extLst>
              <a:ext uri="{FF2B5EF4-FFF2-40B4-BE49-F238E27FC236}">
                <a16:creationId xmlns:a16="http://schemas.microsoft.com/office/drawing/2014/main" id="{F8E67202-3AEC-4E53-9408-FD7C0D6F9AE1}"/>
              </a:ext>
            </a:extLst>
          </xdr:cNvPr>
          <xdr:cNvSpPr/>
        </xdr:nvSpPr>
        <xdr:spPr>
          <a:xfrm>
            <a:off x="1651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4" name="$E$131">
            <a:extLst>
              <a:ext uri="{FF2B5EF4-FFF2-40B4-BE49-F238E27FC236}">
                <a16:creationId xmlns:a16="http://schemas.microsoft.com/office/drawing/2014/main" id="{6D0513D9-01D8-4CD0-814B-524B4533938A}"/>
              </a:ext>
            </a:extLst>
          </xdr:cNvPr>
          <xdr:cNvSpPr/>
        </xdr:nvSpPr>
        <xdr:spPr>
          <a:xfrm>
            <a:off x="203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5" name="$E$131">
            <a:extLst>
              <a:ext uri="{FF2B5EF4-FFF2-40B4-BE49-F238E27FC236}">
                <a16:creationId xmlns:a16="http://schemas.microsoft.com/office/drawing/2014/main" id="{A26A03D0-42CD-4B3F-B5E3-18F1083D4E33}"/>
              </a:ext>
            </a:extLst>
          </xdr:cNvPr>
          <xdr:cNvSpPr/>
        </xdr:nvSpPr>
        <xdr:spPr>
          <a:xfrm>
            <a:off x="254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6" name="$E$131">
            <a:extLst>
              <a:ext uri="{FF2B5EF4-FFF2-40B4-BE49-F238E27FC236}">
                <a16:creationId xmlns:a16="http://schemas.microsoft.com/office/drawing/2014/main" id="{C1EB50D0-A7A9-4AC8-B3BB-4CD789EAE8F7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7" name="$E$131">
            <a:extLst>
              <a:ext uri="{FF2B5EF4-FFF2-40B4-BE49-F238E27FC236}">
                <a16:creationId xmlns:a16="http://schemas.microsoft.com/office/drawing/2014/main" id="{236BB293-7532-490E-A316-CBD5F9C08F27}"/>
              </a:ext>
            </a:extLst>
          </xdr:cNvPr>
          <xdr:cNvSpPr/>
        </xdr:nvSpPr>
        <xdr:spPr>
          <a:xfrm>
            <a:off x="279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8" name="$E$131">
            <a:extLst>
              <a:ext uri="{FF2B5EF4-FFF2-40B4-BE49-F238E27FC236}">
                <a16:creationId xmlns:a16="http://schemas.microsoft.com/office/drawing/2014/main" id="{A7BAB080-D07B-4D2B-A86F-5751AC01122A}"/>
              </a:ext>
            </a:extLst>
          </xdr:cNvPr>
          <xdr:cNvSpPr/>
        </xdr:nvSpPr>
        <xdr:spPr>
          <a:xfrm>
            <a:off x="330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49" name="$E$131">
            <a:extLst>
              <a:ext uri="{FF2B5EF4-FFF2-40B4-BE49-F238E27FC236}">
                <a16:creationId xmlns:a16="http://schemas.microsoft.com/office/drawing/2014/main" id="{8A4AAC04-8854-4213-8DF6-EE6BD227C128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0" name="$E$131">
            <a:extLst>
              <a:ext uri="{FF2B5EF4-FFF2-40B4-BE49-F238E27FC236}">
                <a16:creationId xmlns:a16="http://schemas.microsoft.com/office/drawing/2014/main" id="{AE14CAD1-23BF-4D3B-A2C2-5AC40FFBA7BE}"/>
              </a:ext>
            </a:extLst>
          </xdr:cNvPr>
          <xdr:cNvSpPr/>
        </xdr:nvSpPr>
        <xdr:spPr>
          <a:xfrm>
            <a:off x="406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1" name="$E$131">
            <a:extLst>
              <a:ext uri="{FF2B5EF4-FFF2-40B4-BE49-F238E27FC236}">
                <a16:creationId xmlns:a16="http://schemas.microsoft.com/office/drawing/2014/main" id="{C304A995-CFBA-4F2B-944F-25D0A523834A}"/>
              </a:ext>
            </a:extLst>
          </xdr:cNvPr>
          <xdr:cNvSpPr/>
        </xdr:nvSpPr>
        <xdr:spPr>
          <a:xfrm>
            <a:off x="444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2" name="$E$131">
            <a:extLst>
              <a:ext uri="{FF2B5EF4-FFF2-40B4-BE49-F238E27FC236}">
                <a16:creationId xmlns:a16="http://schemas.microsoft.com/office/drawing/2014/main" id="{B45C353F-913E-427C-9FFF-6BA05F18D2E6}"/>
              </a:ext>
            </a:extLst>
          </xdr:cNvPr>
          <xdr:cNvSpPr/>
        </xdr:nvSpPr>
        <xdr:spPr>
          <a:xfrm>
            <a:off x="457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3" name="$E$131">
            <a:extLst>
              <a:ext uri="{FF2B5EF4-FFF2-40B4-BE49-F238E27FC236}">
                <a16:creationId xmlns:a16="http://schemas.microsoft.com/office/drawing/2014/main" id="{63096ADD-2469-4B0F-853F-BB3DEE6D3D5F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4" name="$E$131">
            <a:extLst>
              <a:ext uri="{FF2B5EF4-FFF2-40B4-BE49-F238E27FC236}">
                <a16:creationId xmlns:a16="http://schemas.microsoft.com/office/drawing/2014/main" id="{C9E0CF7A-201B-42FB-B6D9-CDEBF6E1D669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5" name="$E$131">
            <a:extLst>
              <a:ext uri="{FF2B5EF4-FFF2-40B4-BE49-F238E27FC236}">
                <a16:creationId xmlns:a16="http://schemas.microsoft.com/office/drawing/2014/main" id="{5D904BE5-1B8B-4E8F-8B96-A3EE52B9CFCB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6" name="$E$131">
            <a:extLst>
              <a:ext uri="{FF2B5EF4-FFF2-40B4-BE49-F238E27FC236}">
                <a16:creationId xmlns:a16="http://schemas.microsoft.com/office/drawing/2014/main" id="{8C983779-D816-4292-A81F-2444C6513A80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7" name="$E$131">
            <a:extLst>
              <a:ext uri="{FF2B5EF4-FFF2-40B4-BE49-F238E27FC236}">
                <a16:creationId xmlns:a16="http://schemas.microsoft.com/office/drawing/2014/main" id="{1A50BF4B-BE9F-468F-85EE-1BDD217F57F3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8" name="$E$131">
            <a:extLst>
              <a:ext uri="{FF2B5EF4-FFF2-40B4-BE49-F238E27FC236}">
                <a16:creationId xmlns:a16="http://schemas.microsoft.com/office/drawing/2014/main" id="{18956EED-821A-42F6-B721-8A0B64E2D082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59" name="$E$131">
            <a:extLst>
              <a:ext uri="{FF2B5EF4-FFF2-40B4-BE49-F238E27FC236}">
                <a16:creationId xmlns:a16="http://schemas.microsoft.com/office/drawing/2014/main" id="{36FEF977-9432-4A72-B68D-6A4D57D45F39}"/>
              </a:ext>
            </a:extLst>
          </xdr:cNvPr>
          <xdr:cNvSpPr/>
        </xdr:nvSpPr>
        <xdr:spPr>
          <a:xfrm>
            <a:off x="152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0" name="$E$131">
            <a:extLst>
              <a:ext uri="{FF2B5EF4-FFF2-40B4-BE49-F238E27FC236}">
                <a16:creationId xmlns:a16="http://schemas.microsoft.com/office/drawing/2014/main" id="{E5B9BAEB-91EC-4104-9B13-AC39AB1EF450}"/>
              </a:ext>
            </a:extLst>
          </xdr:cNvPr>
          <xdr:cNvSpPr/>
        </xdr:nvSpPr>
        <xdr:spPr>
          <a:xfrm>
            <a:off x="177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1" name="$E$131">
            <a:extLst>
              <a:ext uri="{FF2B5EF4-FFF2-40B4-BE49-F238E27FC236}">
                <a16:creationId xmlns:a16="http://schemas.microsoft.com/office/drawing/2014/main" id="{D1F36483-873A-441E-8717-6E9CFFA6C731}"/>
              </a:ext>
            </a:extLst>
          </xdr:cNvPr>
          <xdr:cNvSpPr/>
        </xdr:nvSpPr>
        <xdr:spPr>
          <a:xfrm>
            <a:off x="190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2" name="$E$131">
            <a:extLst>
              <a:ext uri="{FF2B5EF4-FFF2-40B4-BE49-F238E27FC236}">
                <a16:creationId xmlns:a16="http://schemas.microsoft.com/office/drawing/2014/main" id="{033C0DBE-EEC5-460F-A326-624FF54E97F2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3" name="$E$131">
            <a:extLst>
              <a:ext uri="{FF2B5EF4-FFF2-40B4-BE49-F238E27FC236}">
                <a16:creationId xmlns:a16="http://schemas.microsoft.com/office/drawing/2014/main" id="{320BF3DE-904D-4BE3-84F0-1BD02EADE81C}"/>
              </a:ext>
            </a:extLst>
          </xdr:cNvPr>
          <xdr:cNvSpPr/>
        </xdr:nvSpPr>
        <xdr:spPr>
          <a:xfrm>
            <a:off x="241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4" name="$E$131">
            <a:extLst>
              <a:ext uri="{FF2B5EF4-FFF2-40B4-BE49-F238E27FC236}">
                <a16:creationId xmlns:a16="http://schemas.microsoft.com/office/drawing/2014/main" id="{12F2F9BB-9774-48E6-A081-80E25A26FFCB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5" name="$E$131">
            <a:extLst>
              <a:ext uri="{FF2B5EF4-FFF2-40B4-BE49-F238E27FC236}">
                <a16:creationId xmlns:a16="http://schemas.microsoft.com/office/drawing/2014/main" id="{3A636343-401B-445C-B119-D4C1FFA33361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6" name="$E$131">
            <a:extLst>
              <a:ext uri="{FF2B5EF4-FFF2-40B4-BE49-F238E27FC236}">
                <a16:creationId xmlns:a16="http://schemas.microsoft.com/office/drawing/2014/main" id="{C5F1FC94-E37C-427D-90D2-4F5AC3385412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7" name="$E$131">
            <a:extLst>
              <a:ext uri="{FF2B5EF4-FFF2-40B4-BE49-F238E27FC236}">
                <a16:creationId xmlns:a16="http://schemas.microsoft.com/office/drawing/2014/main" id="{844247F7-748E-472F-ACFE-0809A46C13E0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8" name="$E$131">
            <a:extLst>
              <a:ext uri="{FF2B5EF4-FFF2-40B4-BE49-F238E27FC236}">
                <a16:creationId xmlns:a16="http://schemas.microsoft.com/office/drawing/2014/main" id="{4C6ED428-9C8D-479A-99CF-8C185C6857FC}"/>
              </a:ext>
            </a:extLst>
          </xdr:cNvPr>
          <xdr:cNvSpPr/>
        </xdr:nvSpPr>
        <xdr:spPr>
          <a:xfrm>
            <a:off x="330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69" name="$E$131">
            <a:extLst>
              <a:ext uri="{FF2B5EF4-FFF2-40B4-BE49-F238E27FC236}">
                <a16:creationId xmlns:a16="http://schemas.microsoft.com/office/drawing/2014/main" id="{8777890C-D242-436D-9204-1B8AD330F054}"/>
              </a:ext>
            </a:extLst>
          </xdr:cNvPr>
          <xdr:cNvSpPr/>
        </xdr:nvSpPr>
        <xdr:spPr>
          <a:xfrm>
            <a:off x="342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0" name="$E$131">
            <a:extLst>
              <a:ext uri="{FF2B5EF4-FFF2-40B4-BE49-F238E27FC236}">
                <a16:creationId xmlns:a16="http://schemas.microsoft.com/office/drawing/2014/main" id="{7BC7861E-A6AF-41FA-827D-2D6D395CBD41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1" name="$E$131">
            <a:extLst>
              <a:ext uri="{FF2B5EF4-FFF2-40B4-BE49-F238E27FC236}">
                <a16:creationId xmlns:a16="http://schemas.microsoft.com/office/drawing/2014/main" id="{1A21F9A6-BC5B-46D3-8FEC-681AA8F3C527}"/>
              </a:ext>
            </a:extLst>
          </xdr:cNvPr>
          <xdr:cNvSpPr/>
        </xdr:nvSpPr>
        <xdr:spPr>
          <a:xfrm>
            <a:off x="368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2" name="$E$131">
            <a:extLst>
              <a:ext uri="{FF2B5EF4-FFF2-40B4-BE49-F238E27FC236}">
                <a16:creationId xmlns:a16="http://schemas.microsoft.com/office/drawing/2014/main" id="{602AE52F-A4B7-4605-8A62-447C4BDADD31}"/>
              </a:ext>
            </a:extLst>
          </xdr:cNvPr>
          <xdr:cNvSpPr/>
        </xdr:nvSpPr>
        <xdr:spPr>
          <a:xfrm>
            <a:off x="381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3" name="$E$131">
            <a:extLst>
              <a:ext uri="{FF2B5EF4-FFF2-40B4-BE49-F238E27FC236}">
                <a16:creationId xmlns:a16="http://schemas.microsoft.com/office/drawing/2014/main" id="{FC0A1EC4-75E4-4CA6-A9A1-6A9301D0D0A9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4" name="$E$131">
            <a:extLst>
              <a:ext uri="{FF2B5EF4-FFF2-40B4-BE49-F238E27FC236}">
                <a16:creationId xmlns:a16="http://schemas.microsoft.com/office/drawing/2014/main" id="{0156EC73-C98C-4856-8B55-9F1A286392C1}"/>
              </a:ext>
            </a:extLst>
          </xdr:cNvPr>
          <xdr:cNvSpPr/>
        </xdr:nvSpPr>
        <xdr:spPr>
          <a:xfrm>
            <a:off x="406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5" name="$E$131">
            <a:extLst>
              <a:ext uri="{FF2B5EF4-FFF2-40B4-BE49-F238E27FC236}">
                <a16:creationId xmlns:a16="http://schemas.microsoft.com/office/drawing/2014/main" id="{430B265A-8F64-49B5-9F27-5B7BEB8F7742}"/>
              </a:ext>
            </a:extLst>
          </xdr:cNvPr>
          <xdr:cNvSpPr/>
        </xdr:nvSpPr>
        <xdr:spPr>
          <a:xfrm>
            <a:off x="431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6" name="$E$131">
            <a:extLst>
              <a:ext uri="{FF2B5EF4-FFF2-40B4-BE49-F238E27FC236}">
                <a16:creationId xmlns:a16="http://schemas.microsoft.com/office/drawing/2014/main" id="{C4F26AF8-FE45-4BF0-9BAE-2C038E133598}"/>
              </a:ext>
            </a:extLst>
          </xdr:cNvPr>
          <xdr:cNvSpPr/>
        </xdr:nvSpPr>
        <xdr:spPr>
          <a:xfrm>
            <a:off x="444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7" name="$E$131">
            <a:extLst>
              <a:ext uri="{FF2B5EF4-FFF2-40B4-BE49-F238E27FC236}">
                <a16:creationId xmlns:a16="http://schemas.microsoft.com/office/drawing/2014/main" id="{DD58D0A0-C0E3-4331-A71B-39D577770A19}"/>
              </a:ext>
            </a:extLst>
          </xdr:cNvPr>
          <xdr:cNvSpPr/>
        </xdr:nvSpPr>
        <xdr:spPr>
          <a:xfrm>
            <a:off x="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8" name="$E$131">
            <a:extLst>
              <a:ext uri="{FF2B5EF4-FFF2-40B4-BE49-F238E27FC236}">
                <a16:creationId xmlns:a16="http://schemas.microsoft.com/office/drawing/2014/main" id="{99A94C7D-6332-45A6-BE51-A186F406DEE2}"/>
              </a:ext>
            </a:extLst>
          </xdr:cNvPr>
          <xdr:cNvSpPr/>
        </xdr:nvSpPr>
        <xdr:spPr>
          <a:xfrm>
            <a:off x="25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79" name="$E$131">
            <a:extLst>
              <a:ext uri="{FF2B5EF4-FFF2-40B4-BE49-F238E27FC236}">
                <a16:creationId xmlns:a16="http://schemas.microsoft.com/office/drawing/2014/main" id="{962CEFB5-14AC-4BE9-9A24-F86655D47650}"/>
              </a:ext>
            </a:extLst>
          </xdr:cNvPr>
          <xdr:cNvSpPr/>
        </xdr:nvSpPr>
        <xdr:spPr>
          <a:xfrm>
            <a:off x="38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0" name="$E$131">
            <a:extLst>
              <a:ext uri="{FF2B5EF4-FFF2-40B4-BE49-F238E27FC236}">
                <a16:creationId xmlns:a16="http://schemas.microsoft.com/office/drawing/2014/main" id="{7324808C-5E52-46DE-B725-B26784E6BDA0}"/>
              </a:ext>
            </a:extLst>
          </xdr:cNvPr>
          <xdr:cNvSpPr/>
        </xdr:nvSpPr>
        <xdr:spPr>
          <a:xfrm>
            <a:off x="50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1" name="$E$131">
            <a:extLst>
              <a:ext uri="{FF2B5EF4-FFF2-40B4-BE49-F238E27FC236}">
                <a16:creationId xmlns:a16="http://schemas.microsoft.com/office/drawing/2014/main" id="{4DAC462B-183D-46B3-955E-8D7A364E9200}"/>
              </a:ext>
            </a:extLst>
          </xdr:cNvPr>
          <xdr:cNvSpPr/>
        </xdr:nvSpPr>
        <xdr:spPr>
          <a:xfrm>
            <a:off x="76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2" name="$E$131">
            <a:extLst>
              <a:ext uri="{FF2B5EF4-FFF2-40B4-BE49-F238E27FC236}">
                <a16:creationId xmlns:a16="http://schemas.microsoft.com/office/drawing/2014/main" id="{6B0E059B-940C-47B4-B92E-F77D79B78E61}"/>
              </a:ext>
            </a:extLst>
          </xdr:cNvPr>
          <xdr:cNvSpPr/>
        </xdr:nvSpPr>
        <xdr:spPr>
          <a:xfrm>
            <a:off x="101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3" name="$E$131">
            <a:extLst>
              <a:ext uri="{FF2B5EF4-FFF2-40B4-BE49-F238E27FC236}">
                <a16:creationId xmlns:a16="http://schemas.microsoft.com/office/drawing/2014/main" id="{4F49285B-66A5-4348-B5FD-D98889CF44F9}"/>
              </a:ext>
            </a:extLst>
          </xdr:cNvPr>
          <xdr:cNvSpPr/>
        </xdr:nvSpPr>
        <xdr:spPr>
          <a:xfrm>
            <a:off x="114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4" name="$E$131">
            <a:extLst>
              <a:ext uri="{FF2B5EF4-FFF2-40B4-BE49-F238E27FC236}">
                <a16:creationId xmlns:a16="http://schemas.microsoft.com/office/drawing/2014/main" id="{AA17C50F-A0EA-471A-8F83-23E3FF1A535C}"/>
              </a:ext>
            </a:extLst>
          </xdr:cNvPr>
          <xdr:cNvSpPr/>
        </xdr:nvSpPr>
        <xdr:spPr>
          <a:xfrm>
            <a:off x="127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5" name="$E$131">
            <a:extLst>
              <a:ext uri="{FF2B5EF4-FFF2-40B4-BE49-F238E27FC236}">
                <a16:creationId xmlns:a16="http://schemas.microsoft.com/office/drawing/2014/main" id="{CC0E6246-9E34-4251-B64A-7A59E52F7555}"/>
              </a:ext>
            </a:extLst>
          </xdr:cNvPr>
          <xdr:cNvSpPr/>
        </xdr:nvSpPr>
        <xdr:spPr>
          <a:xfrm>
            <a:off x="203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6" name="$E$131">
            <a:extLst>
              <a:ext uri="{FF2B5EF4-FFF2-40B4-BE49-F238E27FC236}">
                <a16:creationId xmlns:a16="http://schemas.microsoft.com/office/drawing/2014/main" id="{C798ECF0-2B90-4C8F-A02E-DD9C0B34A4FC}"/>
              </a:ext>
            </a:extLst>
          </xdr:cNvPr>
          <xdr:cNvSpPr/>
        </xdr:nvSpPr>
        <xdr:spPr>
          <a:xfrm>
            <a:off x="2159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7" name="$E$131">
            <a:extLst>
              <a:ext uri="{FF2B5EF4-FFF2-40B4-BE49-F238E27FC236}">
                <a16:creationId xmlns:a16="http://schemas.microsoft.com/office/drawing/2014/main" id="{E114FD6E-6FA4-41D5-B05C-744268C3495D}"/>
              </a:ext>
            </a:extLst>
          </xdr:cNvPr>
          <xdr:cNvSpPr/>
        </xdr:nvSpPr>
        <xdr:spPr>
          <a:xfrm>
            <a:off x="228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8" name="$E$131">
            <a:extLst>
              <a:ext uri="{FF2B5EF4-FFF2-40B4-BE49-F238E27FC236}">
                <a16:creationId xmlns:a16="http://schemas.microsoft.com/office/drawing/2014/main" id="{2DC2D354-3D62-4AAA-B892-E040805FDB8B}"/>
              </a:ext>
            </a:extLst>
          </xdr:cNvPr>
          <xdr:cNvSpPr/>
        </xdr:nvSpPr>
        <xdr:spPr>
          <a:xfrm>
            <a:off x="241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89" name="$E$131">
            <a:extLst>
              <a:ext uri="{FF2B5EF4-FFF2-40B4-BE49-F238E27FC236}">
                <a16:creationId xmlns:a16="http://schemas.microsoft.com/office/drawing/2014/main" id="{61511C6E-5122-457B-AE5C-CA43B0706AE0}"/>
              </a:ext>
            </a:extLst>
          </xdr:cNvPr>
          <xdr:cNvSpPr/>
        </xdr:nvSpPr>
        <xdr:spPr>
          <a:xfrm>
            <a:off x="254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0" name="$E$131">
            <a:extLst>
              <a:ext uri="{FF2B5EF4-FFF2-40B4-BE49-F238E27FC236}">
                <a16:creationId xmlns:a16="http://schemas.microsoft.com/office/drawing/2014/main" id="{2429953F-160E-4E51-BB48-1A10D77EBF18}"/>
              </a:ext>
            </a:extLst>
          </xdr:cNvPr>
          <xdr:cNvSpPr/>
        </xdr:nvSpPr>
        <xdr:spPr>
          <a:xfrm>
            <a:off x="2921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1" name="$E$131">
            <a:extLst>
              <a:ext uri="{FF2B5EF4-FFF2-40B4-BE49-F238E27FC236}">
                <a16:creationId xmlns:a16="http://schemas.microsoft.com/office/drawing/2014/main" id="{4862EFB1-8173-4228-A49C-CA6B96F58941}"/>
              </a:ext>
            </a:extLst>
          </xdr:cNvPr>
          <xdr:cNvSpPr/>
        </xdr:nvSpPr>
        <xdr:spPr>
          <a:xfrm>
            <a:off x="3048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2" name="$E$131">
            <a:extLst>
              <a:ext uri="{FF2B5EF4-FFF2-40B4-BE49-F238E27FC236}">
                <a16:creationId xmlns:a16="http://schemas.microsoft.com/office/drawing/2014/main" id="{6257A597-1141-4BD0-A190-542CC6A6E857}"/>
              </a:ext>
            </a:extLst>
          </xdr:cNvPr>
          <xdr:cNvSpPr/>
        </xdr:nvSpPr>
        <xdr:spPr>
          <a:xfrm>
            <a:off x="3556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3" name="$E$131">
            <a:extLst>
              <a:ext uri="{FF2B5EF4-FFF2-40B4-BE49-F238E27FC236}">
                <a16:creationId xmlns:a16="http://schemas.microsoft.com/office/drawing/2014/main" id="{413B6897-6E05-451E-954B-EBFCCF083B9D}"/>
              </a:ext>
            </a:extLst>
          </xdr:cNvPr>
          <xdr:cNvSpPr/>
        </xdr:nvSpPr>
        <xdr:spPr>
          <a:xfrm>
            <a:off x="3683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4" name="$E$131">
            <a:extLst>
              <a:ext uri="{FF2B5EF4-FFF2-40B4-BE49-F238E27FC236}">
                <a16:creationId xmlns:a16="http://schemas.microsoft.com/office/drawing/2014/main" id="{4BB4CAD5-36ED-483B-8919-DDAE78B9E650}"/>
              </a:ext>
            </a:extLst>
          </xdr:cNvPr>
          <xdr:cNvSpPr/>
        </xdr:nvSpPr>
        <xdr:spPr>
          <a:xfrm>
            <a:off x="3810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5" name="$E$131">
            <a:extLst>
              <a:ext uri="{FF2B5EF4-FFF2-40B4-BE49-F238E27FC236}">
                <a16:creationId xmlns:a16="http://schemas.microsoft.com/office/drawing/2014/main" id="{F4139BBC-EB62-41BE-A589-B546457EC995}"/>
              </a:ext>
            </a:extLst>
          </xdr:cNvPr>
          <xdr:cNvSpPr/>
        </xdr:nvSpPr>
        <xdr:spPr>
          <a:xfrm>
            <a:off x="4064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6" name="$E$131">
            <a:extLst>
              <a:ext uri="{FF2B5EF4-FFF2-40B4-BE49-F238E27FC236}">
                <a16:creationId xmlns:a16="http://schemas.microsoft.com/office/drawing/2014/main" id="{AF01126D-B9FA-4318-8BBD-E65836A470E2}"/>
              </a:ext>
            </a:extLst>
          </xdr:cNvPr>
          <xdr:cNvSpPr/>
        </xdr:nvSpPr>
        <xdr:spPr>
          <a:xfrm>
            <a:off x="4445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7" name="$E$131">
            <a:extLst>
              <a:ext uri="{FF2B5EF4-FFF2-40B4-BE49-F238E27FC236}">
                <a16:creationId xmlns:a16="http://schemas.microsoft.com/office/drawing/2014/main" id="{9C26DB4E-991D-4577-800A-243B465291E3}"/>
              </a:ext>
            </a:extLst>
          </xdr:cNvPr>
          <xdr:cNvSpPr/>
        </xdr:nvSpPr>
        <xdr:spPr>
          <a:xfrm>
            <a:off x="457200" y="419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8" name="$E$131">
            <a:extLst>
              <a:ext uri="{FF2B5EF4-FFF2-40B4-BE49-F238E27FC236}">
                <a16:creationId xmlns:a16="http://schemas.microsoft.com/office/drawing/2014/main" id="{55A57E05-E31F-4B38-A28D-36048B5CF364}"/>
              </a:ext>
            </a:extLst>
          </xdr:cNvPr>
          <xdr:cNvSpPr/>
        </xdr:nvSpPr>
        <xdr:spPr>
          <a:xfrm>
            <a:off x="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099" name="$E$131">
            <a:extLst>
              <a:ext uri="{FF2B5EF4-FFF2-40B4-BE49-F238E27FC236}">
                <a16:creationId xmlns:a16="http://schemas.microsoft.com/office/drawing/2014/main" id="{B9EB1D7F-103F-4CD8-95D0-7F898A8CB9C5}"/>
              </a:ext>
            </a:extLst>
          </xdr:cNvPr>
          <xdr:cNvSpPr/>
        </xdr:nvSpPr>
        <xdr:spPr>
          <a:xfrm>
            <a:off x="25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0" name="$E$131">
            <a:extLst>
              <a:ext uri="{FF2B5EF4-FFF2-40B4-BE49-F238E27FC236}">
                <a16:creationId xmlns:a16="http://schemas.microsoft.com/office/drawing/2014/main" id="{B2382424-2BF6-4FAD-9C21-BB1949768742}"/>
              </a:ext>
            </a:extLst>
          </xdr:cNvPr>
          <xdr:cNvSpPr/>
        </xdr:nvSpPr>
        <xdr:spPr>
          <a:xfrm>
            <a:off x="38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1" name="$E$131">
            <a:extLst>
              <a:ext uri="{FF2B5EF4-FFF2-40B4-BE49-F238E27FC236}">
                <a16:creationId xmlns:a16="http://schemas.microsoft.com/office/drawing/2014/main" id="{DE24197D-BF5C-435C-8056-9562F266078C}"/>
              </a:ext>
            </a:extLst>
          </xdr:cNvPr>
          <xdr:cNvSpPr/>
        </xdr:nvSpPr>
        <xdr:spPr>
          <a:xfrm>
            <a:off x="508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2" name="$E$131">
            <a:extLst>
              <a:ext uri="{FF2B5EF4-FFF2-40B4-BE49-F238E27FC236}">
                <a16:creationId xmlns:a16="http://schemas.microsoft.com/office/drawing/2014/main" id="{B8B35D5C-799E-4AFA-ADA0-FDC5218C5299}"/>
              </a:ext>
            </a:extLst>
          </xdr:cNvPr>
          <xdr:cNvSpPr/>
        </xdr:nvSpPr>
        <xdr:spPr>
          <a:xfrm>
            <a:off x="76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3" name="$E$131">
            <a:extLst>
              <a:ext uri="{FF2B5EF4-FFF2-40B4-BE49-F238E27FC236}">
                <a16:creationId xmlns:a16="http://schemas.microsoft.com/office/drawing/2014/main" id="{E2F8044C-F751-4417-8C99-460770731FA0}"/>
              </a:ext>
            </a:extLst>
          </xdr:cNvPr>
          <xdr:cNvSpPr/>
        </xdr:nvSpPr>
        <xdr:spPr>
          <a:xfrm>
            <a:off x="1016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4" name="$E$131">
            <a:extLst>
              <a:ext uri="{FF2B5EF4-FFF2-40B4-BE49-F238E27FC236}">
                <a16:creationId xmlns:a16="http://schemas.microsoft.com/office/drawing/2014/main" id="{AE72D6C6-475D-4762-A578-FD87DF5D40B5}"/>
              </a:ext>
            </a:extLst>
          </xdr:cNvPr>
          <xdr:cNvSpPr/>
        </xdr:nvSpPr>
        <xdr:spPr>
          <a:xfrm>
            <a:off x="127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5" name="$E$131">
            <a:extLst>
              <a:ext uri="{FF2B5EF4-FFF2-40B4-BE49-F238E27FC236}">
                <a16:creationId xmlns:a16="http://schemas.microsoft.com/office/drawing/2014/main" id="{AACBE542-939D-48BE-98E2-9DB0018F145E}"/>
              </a:ext>
            </a:extLst>
          </xdr:cNvPr>
          <xdr:cNvSpPr/>
        </xdr:nvSpPr>
        <xdr:spPr>
          <a:xfrm>
            <a:off x="139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6" name="$E$131">
            <a:extLst>
              <a:ext uri="{FF2B5EF4-FFF2-40B4-BE49-F238E27FC236}">
                <a16:creationId xmlns:a16="http://schemas.microsoft.com/office/drawing/2014/main" id="{B43D9088-5E8A-49CB-A789-A5BBB8B5D0EF}"/>
              </a:ext>
            </a:extLst>
          </xdr:cNvPr>
          <xdr:cNvSpPr/>
        </xdr:nvSpPr>
        <xdr:spPr>
          <a:xfrm>
            <a:off x="152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7" name="$E$131">
            <a:extLst>
              <a:ext uri="{FF2B5EF4-FFF2-40B4-BE49-F238E27FC236}">
                <a16:creationId xmlns:a16="http://schemas.microsoft.com/office/drawing/2014/main" id="{02A1F051-ED69-4E2A-B0E9-DB6D40CD2A38}"/>
              </a:ext>
            </a:extLst>
          </xdr:cNvPr>
          <xdr:cNvSpPr/>
        </xdr:nvSpPr>
        <xdr:spPr>
          <a:xfrm>
            <a:off x="190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8" name="$E$131">
            <a:extLst>
              <a:ext uri="{FF2B5EF4-FFF2-40B4-BE49-F238E27FC236}">
                <a16:creationId xmlns:a16="http://schemas.microsoft.com/office/drawing/2014/main" id="{C7AF55CC-C931-4135-8064-251A56F1C45D}"/>
              </a:ext>
            </a:extLst>
          </xdr:cNvPr>
          <xdr:cNvSpPr/>
        </xdr:nvSpPr>
        <xdr:spPr>
          <a:xfrm>
            <a:off x="203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09" name="$E$131">
            <a:extLst>
              <a:ext uri="{FF2B5EF4-FFF2-40B4-BE49-F238E27FC236}">
                <a16:creationId xmlns:a16="http://schemas.microsoft.com/office/drawing/2014/main" id="{825DEB6F-C532-4D87-A05D-1835569F294B}"/>
              </a:ext>
            </a:extLst>
          </xdr:cNvPr>
          <xdr:cNvSpPr/>
        </xdr:nvSpPr>
        <xdr:spPr>
          <a:xfrm>
            <a:off x="2540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0" name="$E$131">
            <a:extLst>
              <a:ext uri="{FF2B5EF4-FFF2-40B4-BE49-F238E27FC236}">
                <a16:creationId xmlns:a16="http://schemas.microsoft.com/office/drawing/2014/main" id="{C754CBDC-BF9D-471D-8961-33D67EA14209}"/>
              </a:ext>
            </a:extLst>
          </xdr:cNvPr>
          <xdr:cNvSpPr/>
        </xdr:nvSpPr>
        <xdr:spPr>
          <a:xfrm>
            <a:off x="2794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1" name="$E$131">
            <a:extLst>
              <a:ext uri="{FF2B5EF4-FFF2-40B4-BE49-F238E27FC236}">
                <a16:creationId xmlns:a16="http://schemas.microsoft.com/office/drawing/2014/main" id="{7FA40739-CE4B-45F9-8C59-F8405ED2E959}"/>
              </a:ext>
            </a:extLst>
          </xdr:cNvPr>
          <xdr:cNvSpPr/>
        </xdr:nvSpPr>
        <xdr:spPr>
          <a:xfrm>
            <a:off x="330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2" name="$E$131">
            <a:extLst>
              <a:ext uri="{FF2B5EF4-FFF2-40B4-BE49-F238E27FC236}">
                <a16:creationId xmlns:a16="http://schemas.microsoft.com/office/drawing/2014/main" id="{7A4502EF-2656-4FC9-9692-E03CB041CC38}"/>
              </a:ext>
            </a:extLst>
          </xdr:cNvPr>
          <xdr:cNvSpPr/>
        </xdr:nvSpPr>
        <xdr:spPr>
          <a:xfrm>
            <a:off x="3429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3" name="$E$131">
            <a:extLst>
              <a:ext uri="{FF2B5EF4-FFF2-40B4-BE49-F238E27FC236}">
                <a16:creationId xmlns:a16="http://schemas.microsoft.com/office/drawing/2014/main" id="{640AE1BE-A55F-4C97-B201-8B108E0F3F55}"/>
              </a:ext>
            </a:extLst>
          </xdr:cNvPr>
          <xdr:cNvSpPr/>
        </xdr:nvSpPr>
        <xdr:spPr>
          <a:xfrm>
            <a:off x="3937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4" name="$E$131">
            <a:extLst>
              <a:ext uri="{FF2B5EF4-FFF2-40B4-BE49-F238E27FC236}">
                <a16:creationId xmlns:a16="http://schemas.microsoft.com/office/drawing/2014/main" id="{DBA4182E-EFC7-4BC8-8DBA-8427D2E154E4}"/>
              </a:ext>
            </a:extLst>
          </xdr:cNvPr>
          <xdr:cNvSpPr/>
        </xdr:nvSpPr>
        <xdr:spPr>
          <a:xfrm>
            <a:off x="4191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5" name="$E$131">
            <a:extLst>
              <a:ext uri="{FF2B5EF4-FFF2-40B4-BE49-F238E27FC236}">
                <a16:creationId xmlns:a16="http://schemas.microsoft.com/office/drawing/2014/main" id="{A5672754-C7CA-4C37-9301-22174D32F468}"/>
              </a:ext>
            </a:extLst>
          </xdr:cNvPr>
          <xdr:cNvSpPr/>
        </xdr:nvSpPr>
        <xdr:spPr>
          <a:xfrm>
            <a:off x="4445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6" name="$E$131">
            <a:extLst>
              <a:ext uri="{FF2B5EF4-FFF2-40B4-BE49-F238E27FC236}">
                <a16:creationId xmlns:a16="http://schemas.microsoft.com/office/drawing/2014/main" id="{D5418994-50C4-42B9-AB70-48ACEB90CAA9}"/>
              </a:ext>
            </a:extLst>
          </xdr:cNvPr>
          <xdr:cNvSpPr/>
        </xdr:nvSpPr>
        <xdr:spPr>
          <a:xfrm>
            <a:off x="457200" y="431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7" name="$E$131">
            <a:extLst>
              <a:ext uri="{FF2B5EF4-FFF2-40B4-BE49-F238E27FC236}">
                <a16:creationId xmlns:a16="http://schemas.microsoft.com/office/drawing/2014/main" id="{80514B6F-D329-4339-B866-AB1C65A0C114}"/>
              </a:ext>
            </a:extLst>
          </xdr:cNvPr>
          <xdr:cNvSpPr/>
        </xdr:nvSpPr>
        <xdr:spPr>
          <a:xfrm>
            <a:off x="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8" name="$E$131">
            <a:extLst>
              <a:ext uri="{FF2B5EF4-FFF2-40B4-BE49-F238E27FC236}">
                <a16:creationId xmlns:a16="http://schemas.microsoft.com/office/drawing/2014/main" id="{2FC2EFBF-D748-42BE-AB78-14B245AB452C}"/>
              </a:ext>
            </a:extLst>
          </xdr:cNvPr>
          <xdr:cNvSpPr/>
        </xdr:nvSpPr>
        <xdr:spPr>
          <a:xfrm>
            <a:off x="76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19" name="$E$131">
            <a:extLst>
              <a:ext uri="{FF2B5EF4-FFF2-40B4-BE49-F238E27FC236}">
                <a16:creationId xmlns:a16="http://schemas.microsoft.com/office/drawing/2014/main" id="{529A25A9-BB1E-45DE-9D6E-DED900B0B29C}"/>
              </a:ext>
            </a:extLst>
          </xdr:cNvPr>
          <xdr:cNvSpPr/>
        </xdr:nvSpPr>
        <xdr:spPr>
          <a:xfrm>
            <a:off x="101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0" name="$E$131">
            <a:extLst>
              <a:ext uri="{FF2B5EF4-FFF2-40B4-BE49-F238E27FC236}">
                <a16:creationId xmlns:a16="http://schemas.microsoft.com/office/drawing/2014/main" id="{485DE2EA-3614-4279-819F-C11BC0FE4F0C}"/>
              </a:ext>
            </a:extLst>
          </xdr:cNvPr>
          <xdr:cNvSpPr/>
        </xdr:nvSpPr>
        <xdr:spPr>
          <a:xfrm>
            <a:off x="1143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1" name="$E$131">
            <a:extLst>
              <a:ext uri="{FF2B5EF4-FFF2-40B4-BE49-F238E27FC236}">
                <a16:creationId xmlns:a16="http://schemas.microsoft.com/office/drawing/2014/main" id="{AF67D530-EB24-45E8-8712-E4528A51AEC7}"/>
              </a:ext>
            </a:extLst>
          </xdr:cNvPr>
          <xdr:cNvSpPr/>
        </xdr:nvSpPr>
        <xdr:spPr>
          <a:xfrm>
            <a:off x="1397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2" name="$E$131">
            <a:extLst>
              <a:ext uri="{FF2B5EF4-FFF2-40B4-BE49-F238E27FC236}">
                <a16:creationId xmlns:a16="http://schemas.microsoft.com/office/drawing/2014/main" id="{34730DBC-F291-4BEB-8E18-C988BC1C4789}"/>
              </a:ext>
            </a:extLst>
          </xdr:cNvPr>
          <xdr:cNvSpPr/>
        </xdr:nvSpPr>
        <xdr:spPr>
          <a:xfrm>
            <a:off x="1778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3" name="$E$131">
            <a:extLst>
              <a:ext uri="{FF2B5EF4-FFF2-40B4-BE49-F238E27FC236}">
                <a16:creationId xmlns:a16="http://schemas.microsoft.com/office/drawing/2014/main" id="{2199DE60-C870-4078-9D2D-6B1EBBF977EE}"/>
              </a:ext>
            </a:extLst>
          </xdr:cNvPr>
          <xdr:cNvSpPr/>
        </xdr:nvSpPr>
        <xdr:spPr>
          <a:xfrm>
            <a:off x="203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4" name="$E$131">
            <a:extLst>
              <a:ext uri="{FF2B5EF4-FFF2-40B4-BE49-F238E27FC236}">
                <a16:creationId xmlns:a16="http://schemas.microsoft.com/office/drawing/2014/main" id="{EDA934DF-8DBE-4F5A-A196-4996AF171182}"/>
              </a:ext>
            </a:extLst>
          </xdr:cNvPr>
          <xdr:cNvSpPr/>
        </xdr:nvSpPr>
        <xdr:spPr>
          <a:xfrm>
            <a:off x="228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5" name="$E$131">
            <a:extLst>
              <a:ext uri="{FF2B5EF4-FFF2-40B4-BE49-F238E27FC236}">
                <a16:creationId xmlns:a16="http://schemas.microsoft.com/office/drawing/2014/main" id="{5EC0D231-EDB8-469F-86BC-0A459C5B27B6}"/>
              </a:ext>
            </a:extLst>
          </xdr:cNvPr>
          <xdr:cNvSpPr/>
        </xdr:nvSpPr>
        <xdr:spPr>
          <a:xfrm>
            <a:off x="2667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6" name="$E$131">
            <a:extLst>
              <a:ext uri="{FF2B5EF4-FFF2-40B4-BE49-F238E27FC236}">
                <a16:creationId xmlns:a16="http://schemas.microsoft.com/office/drawing/2014/main" id="{BA0D1FF9-7A37-4D2E-9524-3A3AD1046104}"/>
              </a:ext>
            </a:extLst>
          </xdr:cNvPr>
          <xdr:cNvSpPr/>
        </xdr:nvSpPr>
        <xdr:spPr>
          <a:xfrm>
            <a:off x="3429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7" name="$E$131">
            <a:extLst>
              <a:ext uri="{FF2B5EF4-FFF2-40B4-BE49-F238E27FC236}">
                <a16:creationId xmlns:a16="http://schemas.microsoft.com/office/drawing/2014/main" id="{45A14145-0D18-47B2-9194-A3A47F73EEFB}"/>
              </a:ext>
            </a:extLst>
          </xdr:cNvPr>
          <xdr:cNvSpPr/>
        </xdr:nvSpPr>
        <xdr:spPr>
          <a:xfrm>
            <a:off x="3556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8" name="$E$131">
            <a:extLst>
              <a:ext uri="{FF2B5EF4-FFF2-40B4-BE49-F238E27FC236}">
                <a16:creationId xmlns:a16="http://schemas.microsoft.com/office/drawing/2014/main" id="{B376023D-7588-484E-8384-93E85E4754E8}"/>
              </a:ext>
            </a:extLst>
          </xdr:cNvPr>
          <xdr:cNvSpPr/>
        </xdr:nvSpPr>
        <xdr:spPr>
          <a:xfrm>
            <a:off x="3810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29" name="$E$131">
            <a:extLst>
              <a:ext uri="{FF2B5EF4-FFF2-40B4-BE49-F238E27FC236}">
                <a16:creationId xmlns:a16="http://schemas.microsoft.com/office/drawing/2014/main" id="{B2C086CF-9243-4BD3-BAF7-16E3D129CE76}"/>
              </a:ext>
            </a:extLst>
          </xdr:cNvPr>
          <xdr:cNvSpPr/>
        </xdr:nvSpPr>
        <xdr:spPr>
          <a:xfrm>
            <a:off x="4064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0" name="$E$131">
            <a:extLst>
              <a:ext uri="{FF2B5EF4-FFF2-40B4-BE49-F238E27FC236}">
                <a16:creationId xmlns:a16="http://schemas.microsoft.com/office/drawing/2014/main" id="{5CA7E911-88CF-4A09-9583-A931A58ACE56}"/>
              </a:ext>
            </a:extLst>
          </xdr:cNvPr>
          <xdr:cNvSpPr/>
        </xdr:nvSpPr>
        <xdr:spPr>
          <a:xfrm>
            <a:off x="457200" y="444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1" name="$E$131">
            <a:extLst>
              <a:ext uri="{FF2B5EF4-FFF2-40B4-BE49-F238E27FC236}">
                <a16:creationId xmlns:a16="http://schemas.microsoft.com/office/drawing/2014/main" id="{A46872C2-0F5A-4556-9FE1-62AEE098691B}"/>
              </a:ext>
            </a:extLst>
          </xdr:cNvPr>
          <xdr:cNvSpPr/>
        </xdr:nvSpPr>
        <xdr:spPr>
          <a:xfrm>
            <a:off x="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2" name="$E$131">
            <a:extLst>
              <a:ext uri="{FF2B5EF4-FFF2-40B4-BE49-F238E27FC236}">
                <a16:creationId xmlns:a16="http://schemas.microsoft.com/office/drawing/2014/main" id="{E60D2B70-8D0F-4100-88DF-E157058A10F8}"/>
              </a:ext>
            </a:extLst>
          </xdr:cNvPr>
          <xdr:cNvSpPr/>
        </xdr:nvSpPr>
        <xdr:spPr>
          <a:xfrm>
            <a:off x="12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3" name="$E$131">
            <a:extLst>
              <a:ext uri="{FF2B5EF4-FFF2-40B4-BE49-F238E27FC236}">
                <a16:creationId xmlns:a16="http://schemas.microsoft.com/office/drawing/2014/main" id="{80CBAFAB-DEB6-4159-8297-C9B3157F3423}"/>
              </a:ext>
            </a:extLst>
          </xdr:cNvPr>
          <xdr:cNvSpPr/>
        </xdr:nvSpPr>
        <xdr:spPr>
          <a:xfrm>
            <a:off x="25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4" name="$E$131">
            <a:extLst>
              <a:ext uri="{FF2B5EF4-FFF2-40B4-BE49-F238E27FC236}">
                <a16:creationId xmlns:a16="http://schemas.microsoft.com/office/drawing/2014/main" id="{FCAE3A33-7A61-4073-A3E0-91CAD69AEF0C}"/>
              </a:ext>
            </a:extLst>
          </xdr:cNvPr>
          <xdr:cNvSpPr/>
        </xdr:nvSpPr>
        <xdr:spPr>
          <a:xfrm>
            <a:off x="38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5" name="$E$131">
            <a:extLst>
              <a:ext uri="{FF2B5EF4-FFF2-40B4-BE49-F238E27FC236}">
                <a16:creationId xmlns:a16="http://schemas.microsoft.com/office/drawing/2014/main" id="{550D9B6F-C01F-463E-A7C4-AA3FE221023E}"/>
              </a:ext>
            </a:extLst>
          </xdr:cNvPr>
          <xdr:cNvSpPr/>
        </xdr:nvSpPr>
        <xdr:spPr>
          <a:xfrm>
            <a:off x="50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6" name="$E$131">
            <a:extLst>
              <a:ext uri="{FF2B5EF4-FFF2-40B4-BE49-F238E27FC236}">
                <a16:creationId xmlns:a16="http://schemas.microsoft.com/office/drawing/2014/main" id="{661EC5D2-9B70-448E-9CE3-BB6E3EA0B90C}"/>
              </a:ext>
            </a:extLst>
          </xdr:cNvPr>
          <xdr:cNvSpPr/>
        </xdr:nvSpPr>
        <xdr:spPr>
          <a:xfrm>
            <a:off x="63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7" name="$E$131">
            <a:extLst>
              <a:ext uri="{FF2B5EF4-FFF2-40B4-BE49-F238E27FC236}">
                <a16:creationId xmlns:a16="http://schemas.microsoft.com/office/drawing/2014/main" id="{DDAF34B2-012C-4952-ADE8-81D14CC33A7F}"/>
              </a:ext>
            </a:extLst>
          </xdr:cNvPr>
          <xdr:cNvSpPr/>
        </xdr:nvSpPr>
        <xdr:spPr>
          <a:xfrm>
            <a:off x="76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8" name="$E$131">
            <a:extLst>
              <a:ext uri="{FF2B5EF4-FFF2-40B4-BE49-F238E27FC236}">
                <a16:creationId xmlns:a16="http://schemas.microsoft.com/office/drawing/2014/main" id="{B6CF9B54-B416-432A-9194-C72842B3532A}"/>
              </a:ext>
            </a:extLst>
          </xdr:cNvPr>
          <xdr:cNvSpPr/>
        </xdr:nvSpPr>
        <xdr:spPr>
          <a:xfrm>
            <a:off x="1016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39" name="$E$131">
            <a:extLst>
              <a:ext uri="{FF2B5EF4-FFF2-40B4-BE49-F238E27FC236}">
                <a16:creationId xmlns:a16="http://schemas.microsoft.com/office/drawing/2014/main" id="{BC10B1D7-7B2B-4B95-94A2-CB5BE32AC07D}"/>
              </a:ext>
            </a:extLst>
          </xdr:cNvPr>
          <xdr:cNvSpPr/>
        </xdr:nvSpPr>
        <xdr:spPr>
          <a:xfrm>
            <a:off x="114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0" name="$E$131">
            <a:extLst>
              <a:ext uri="{FF2B5EF4-FFF2-40B4-BE49-F238E27FC236}">
                <a16:creationId xmlns:a16="http://schemas.microsoft.com/office/drawing/2014/main" id="{553A7D54-08EA-4A3B-9F38-2AD538900DBA}"/>
              </a:ext>
            </a:extLst>
          </xdr:cNvPr>
          <xdr:cNvSpPr/>
        </xdr:nvSpPr>
        <xdr:spPr>
          <a:xfrm>
            <a:off x="1397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1" name="$E$131">
            <a:extLst>
              <a:ext uri="{FF2B5EF4-FFF2-40B4-BE49-F238E27FC236}">
                <a16:creationId xmlns:a16="http://schemas.microsoft.com/office/drawing/2014/main" id="{C2033884-FC84-445F-9316-BEB97E16C5C1}"/>
              </a:ext>
            </a:extLst>
          </xdr:cNvPr>
          <xdr:cNvSpPr/>
        </xdr:nvSpPr>
        <xdr:spPr>
          <a:xfrm>
            <a:off x="2159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2" name="$E$131">
            <a:extLst>
              <a:ext uri="{FF2B5EF4-FFF2-40B4-BE49-F238E27FC236}">
                <a16:creationId xmlns:a16="http://schemas.microsoft.com/office/drawing/2014/main" id="{7D591EA0-D472-4829-86C7-53AD9AF64446}"/>
              </a:ext>
            </a:extLst>
          </xdr:cNvPr>
          <xdr:cNvSpPr/>
        </xdr:nvSpPr>
        <xdr:spPr>
          <a:xfrm>
            <a:off x="2794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3" name="$E$131">
            <a:extLst>
              <a:ext uri="{FF2B5EF4-FFF2-40B4-BE49-F238E27FC236}">
                <a16:creationId xmlns:a16="http://schemas.microsoft.com/office/drawing/2014/main" id="{0F2EB3A9-BC15-4EB8-B255-C13297AEF78F}"/>
              </a:ext>
            </a:extLst>
          </xdr:cNvPr>
          <xdr:cNvSpPr/>
        </xdr:nvSpPr>
        <xdr:spPr>
          <a:xfrm>
            <a:off x="2921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4" name="$E$131">
            <a:extLst>
              <a:ext uri="{FF2B5EF4-FFF2-40B4-BE49-F238E27FC236}">
                <a16:creationId xmlns:a16="http://schemas.microsoft.com/office/drawing/2014/main" id="{355820AC-79D6-4D73-B4FC-68DFAC7874FC}"/>
              </a:ext>
            </a:extLst>
          </xdr:cNvPr>
          <xdr:cNvSpPr/>
        </xdr:nvSpPr>
        <xdr:spPr>
          <a:xfrm>
            <a:off x="304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5" name="$E$131">
            <a:extLst>
              <a:ext uri="{FF2B5EF4-FFF2-40B4-BE49-F238E27FC236}">
                <a16:creationId xmlns:a16="http://schemas.microsoft.com/office/drawing/2014/main" id="{92E89FC4-C15F-4BC2-9E38-F1FF36C5E0C7}"/>
              </a:ext>
            </a:extLst>
          </xdr:cNvPr>
          <xdr:cNvSpPr/>
        </xdr:nvSpPr>
        <xdr:spPr>
          <a:xfrm>
            <a:off x="317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6" name="$E$131">
            <a:extLst>
              <a:ext uri="{FF2B5EF4-FFF2-40B4-BE49-F238E27FC236}">
                <a16:creationId xmlns:a16="http://schemas.microsoft.com/office/drawing/2014/main" id="{1298B807-FAFA-4F10-A27B-EC212C498F58}"/>
              </a:ext>
            </a:extLst>
          </xdr:cNvPr>
          <xdr:cNvSpPr/>
        </xdr:nvSpPr>
        <xdr:spPr>
          <a:xfrm>
            <a:off x="330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7" name="$E$131">
            <a:extLst>
              <a:ext uri="{FF2B5EF4-FFF2-40B4-BE49-F238E27FC236}">
                <a16:creationId xmlns:a16="http://schemas.microsoft.com/office/drawing/2014/main" id="{E2FC5A7E-6CB8-4EFD-AD6B-CC4D06A2CA8E}"/>
              </a:ext>
            </a:extLst>
          </xdr:cNvPr>
          <xdr:cNvSpPr/>
        </xdr:nvSpPr>
        <xdr:spPr>
          <a:xfrm>
            <a:off x="3683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8" name="$E$131">
            <a:extLst>
              <a:ext uri="{FF2B5EF4-FFF2-40B4-BE49-F238E27FC236}">
                <a16:creationId xmlns:a16="http://schemas.microsoft.com/office/drawing/2014/main" id="{A82DE67F-8A26-4246-AE3C-29BCF7E55E1D}"/>
              </a:ext>
            </a:extLst>
          </xdr:cNvPr>
          <xdr:cNvSpPr/>
        </xdr:nvSpPr>
        <xdr:spPr>
          <a:xfrm>
            <a:off x="3810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49" name="$E$131">
            <a:extLst>
              <a:ext uri="{FF2B5EF4-FFF2-40B4-BE49-F238E27FC236}">
                <a16:creationId xmlns:a16="http://schemas.microsoft.com/office/drawing/2014/main" id="{00A20793-F8A5-4806-B818-ABCDF95FF4B3}"/>
              </a:ext>
            </a:extLst>
          </xdr:cNvPr>
          <xdr:cNvSpPr/>
        </xdr:nvSpPr>
        <xdr:spPr>
          <a:xfrm>
            <a:off x="4318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50" name="$E$131">
            <a:extLst>
              <a:ext uri="{FF2B5EF4-FFF2-40B4-BE49-F238E27FC236}">
                <a16:creationId xmlns:a16="http://schemas.microsoft.com/office/drawing/2014/main" id="{E52CA238-7458-401E-9D8C-529F0206A0B8}"/>
              </a:ext>
            </a:extLst>
          </xdr:cNvPr>
          <xdr:cNvSpPr/>
        </xdr:nvSpPr>
        <xdr:spPr>
          <a:xfrm>
            <a:off x="4445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51" name="$E$131">
            <a:extLst>
              <a:ext uri="{FF2B5EF4-FFF2-40B4-BE49-F238E27FC236}">
                <a16:creationId xmlns:a16="http://schemas.microsoft.com/office/drawing/2014/main" id="{8C961D27-4149-4617-9017-A09539C35B65}"/>
              </a:ext>
            </a:extLst>
          </xdr:cNvPr>
          <xdr:cNvSpPr/>
        </xdr:nvSpPr>
        <xdr:spPr>
          <a:xfrm>
            <a:off x="457200" y="457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98244</xdr:colOff>
      <xdr:row>107</xdr:row>
      <xdr:rowOff>45851</xdr:rowOff>
    </xdr:from>
    <xdr:to>
      <xdr:col>4</xdr:col>
      <xdr:colOff>1559107</xdr:colOff>
      <xdr:row>107</xdr:row>
      <xdr:rowOff>1506714</xdr:rowOff>
    </xdr:to>
    <xdr:grpSp>
      <xdr:nvGrpSpPr>
        <xdr:cNvPr id="7705" name="$E$108" descr="QuickResponse barcode, level M, version 4, mode binary, 33x33 cells" title="https://centrodecapacitaciondelsur.com/o-v-e-1085285813/">
          <a:extLst>
            <a:ext uri="{FF2B5EF4-FFF2-40B4-BE49-F238E27FC236}">
              <a16:creationId xmlns:a16="http://schemas.microsoft.com/office/drawing/2014/main" id="{551A6D24-C676-47EE-8112-2451AE0174CA}"/>
            </a:ext>
          </a:extLst>
        </xdr:cNvPr>
        <xdr:cNvGrpSpPr>
          <a:grpSpLocks noChangeAspect="1"/>
        </xdr:cNvGrpSpPr>
      </xdr:nvGrpSpPr>
      <xdr:grpSpPr>
        <a:xfrm>
          <a:off x="20672244" y="115755551"/>
          <a:ext cx="1460863" cy="1460863"/>
          <a:chOff x="0" y="0"/>
          <a:chExt cx="419100" cy="419100"/>
        </a:xfrm>
      </xdr:grpSpPr>
      <xdr:sp macro="" textlink="">
        <xdr:nvSpPr>
          <xdr:cNvPr id="7153" name="$E$108">
            <a:extLst>
              <a:ext uri="{FF2B5EF4-FFF2-40B4-BE49-F238E27FC236}">
                <a16:creationId xmlns:a16="http://schemas.microsoft.com/office/drawing/2014/main" id="{520E9F23-2298-494F-B276-013AC280D14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54" name="$E$108">
            <a:extLst>
              <a:ext uri="{FF2B5EF4-FFF2-40B4-BE49-F238E27FC236}">
                <a16:creationId xmlns:a16="http://schemas.microsoft.com/office/drawing/2014/main" id="{97256791-4873-43A3-BCD6-A6C821BFD45D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55" name="$E$108">
            <a:extLst>
              <a:ext uri="{FF2B5EF4-FFF2-40B4-BE49-F238E27FC236}">
                <a16:creationId xmlns:a16="http://schemas.microsoft.com/office/drawing/2014/main" id="{9CFD9F6D-3A6E-42EE-BAE7-2755C24D358B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56" name="$E$108">
            <a:extLst>
              <a:ext uri="{FF2B5EF4-FFF2-40B4-BE49-F238E27FC236}">
                <a16:creationId xmlns:a16="http://schemas.microsoft.com/office/drawing/2014/main" id="{9E63BC70-2EDD-4EEC-B24C-C35FD17693D5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57" name="$E$108">
            <a:extLst>
              <a:ext uri="{FF2B5EF4-FFF2-40B4-BE49-F238E27FC236}">
                <a16:creationId xmlns:a16="http://schemas.microsoft.com/office/drawing/2014/main" id="{AB4C236F-73A9-4FB7-9FE2-F63D5578A92F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58" name="$E$108">
            <a:extLst>
              <a:ext uri="{FF2B5EF4-FFF2-40B4-BE49-F238E27FC236}">
                <a16:creationId xmlns:a16="http://schemas.microsoft.com/office/drawing/2014/main" id="{037B8566-F374-4E90-83A9-482E93EA4261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59" name="$E$108">
            <a:extLst>
              <a:ext uri="{FF2B5EF4-FFF2-40B4-BE49-F238E27FC236}">
                <a16:creationId xmlns:a16="http://schemas.microsoft.com/office/drawing/2014/main" id="{1D2CDE2C-AF0E-4B65-9F5A-C35A08C83897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0" name="$E$108">
            <a:extLst>
              <a:ext uri="{FF2B5EF4-FFF2-40B4-BE49-F238E27FC236}">
                <a16:creationId xmlns:a16="http://schemas.microsoft.com/office/drawing/2014/main" id="{AF69AA3E-64A9-40A9-96F7-F44B11359C2A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1" name="$E$108">
            <a:extLst>
              <a:ext uri="{FF2B5EF4-FFF2-40B4-BE49-F238E27FC236}">
                <a16:creationId xmlns:a16="http://schemas.microsoft.com/office/drawing/2014/main" id="{D8AFA527-6543-42BD-8A41-E6BE04DEEAB6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2" name="$E$108">
            <a:extLst>
              <a:ext uri="{FF2B5EF4-FFF2-40B4-BE49-F238E27FC236}">
                <a16:creationId xmlns:a16="http://schemas.microsoft.com/office/drawing/2014/main" id="{E8896B0A-230A-4843-B1F2-81BEF9D3BF3E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3" name="$E$108">
            <a:extLst>
              <a:ext uri="{FF2B5EF4-FFF2-40B4-BE49-F238E27FC236}">
                <a16:creationId xmlns:a16="http://schemas.microsoft.com/office/drawing/2014/main" id="{9E53718D-79A2-4D80-9E77-5C5ADE42D929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4" name="$E$108">
            <a:extLst>
              <a:ext uri="{FF2B5EF4-FFF2-40B4-BE49-F238E27FC236}">
                <a16:creationId xmlns:a16="http://schemas.microsoft.com/office/drawing/2014/main" id="{C7B8CBEF-9542-4904-A3FA-402E622875D1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5" name="$E$108">
            <a:extLst>
              <a:ext uri="{FF2B5EF4-FFF2-40B4-BE49-F238E27FC236}">
                <a16:creationId xmlns:a16="http://schemas.microsoft.com/office/drawing/2014/main" id="{1E1F5A15-5EAC-41D9-8EDB-0C016DDACBCF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6" name="$E$108">
            <a:extLst>
              <a:ext uri="{FF2B5EF4-FFF2-40B4-BE49-F238E27FC236}">
                <a16:creationId xmlns:a16="http://schemas.microsoft.com/office/drawing/2014/main" id="{0278C15D-1D8A-43CD-AA5D-DA30ADBF1D5D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7" name="$E$108">
            <a:extLst>
              <a:ext uri="{FF2B5EF4-FFF2-40B4-BE49-F238E27FC236}">
                <a16:creationId xmlns:a16="http://schemas.microsoft.com/office/drawing/2014/main" id="{F4D2F602-AC41-4165-A6C2-B76B2BBDFB36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8" name="$E$108">
            <a:extLst>
              <a:ext uri="{FF2B5EF4-FFF2-40B4-BE49-F238E27FC236}">
                <a16:creationId xmlns:a16="http://schemas.microsoft.com/office/drawing/2014/main" id="{C25D5BC6-D3AE-452F-84CE-CC085E2A1047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69" name="$E$108">
            <a:extLst>
              <a:ext uri="{FF2B5EF4-FFF2-40B4-BE49-F238E27FC236}">
                <a16:creationId xmlns:a16="http://schemas.microsoft.com/office/drawing/2014/main" id="{6270E461-E081-48E3-9C53-F6E04FD23354}"/>
              </a:ext>
            </a:extLst>
          </xdr:cNvPr>
          <xdr:cNvSpPr/>
        </xdr:nvSpPr>
        <xdr:spPr>
          <a:xfrm>
            <a:off x="266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0" name="$E$108">
            <a:extLst>
              <a:ext uri="{FF2B5EF4-FFF2-40B4-BE49-F238E27FC236}">
                <a16:creationId xmlns:a16="http://schemas.microsoft.com/office/drawing/2014/main" id="{7E773C29-4427-43FA-B441-F60372B6A7FF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1" name="$E$108">
            <a:extLst>
              <a:ext uri="{FF2B5EF4-FFF2-40B4-BE49-F238E27FC236}">
                <a16:creationId xmlns:a16="http://schemas.microsoft.com/office/drawing/2014/main" id="{1A05F5B3-7F36-4F08-8D55-BC590E4232F3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2" name="$E$108">
            <a:extLst>
              <a:ext uri="{FF2B5EF4-FFF2-40B4-BE49-F238E27FC236}">
                <a16:creationId xmlns:a16="http://schemas.microsoft.com/office/drawing/2014/main" id="{056FF757-366F-4698-831A-5B47590FEA7A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3" name="$E$108">
            <a:extLst>
              <a:ext uri="{FF2B5EF4-FFF2-40B4-BE49-F238E27FC236}">
                <a16:creationId xmlns:a16="http://schemas.microsoft.com/office/drawing/2014/main" id="{AE129724-C675-4CC6-AE2D-EE5809D119AE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4" name="$E$108">
            <a:extLst>
              <a:ext uri="{FF2B5EF4-FFF2-40B4-BE49-F238E27FC236}">
                <a16:creationId xmlns:a16="http://schemas.microsoft.com/office/drawing/2014/main" id="{6EC5CB2E-8B07-4C6A-8C4F-886A5D35DBDE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5" name="$E$108">
            <a:extLst>
              <a:ext uri="{FF2B5EF4-FFF2-40B4-BE49-F238E27FC236}">
                <a16:creationId xmlns:a16="http://schemas.microsoft.com/office/drawing/2014/main" id="{11764670-EF8E-4E40-826C-A475A12E0F4C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6" name="$E$108">
            <a:extLst>
              <a:ext uri="{FF2B5EF4-FFF2-40B4-BE49-F238E27FC236}">
                <a16:creationId xmlns:a16="http://schemas.microsoft.com/office/drawing/2014/main" id="{E4BF1B7B-1221-4F50-8EE5-382C57A77E5E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7" name="$E$108">
            <a:extLst>
              <a:ext uri="{FF2B5EF4-FFF2-40B4-BE49-F238E27FC236}">
                <a16:creationId xmlns:a16="http://schemas.microsoft.com/office/drawing/2014/main" id="{14F67AA4-315D-432F-9CC2-1BDDF2B61181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8" name="$E$108">
            <a:extLst>
              <a:ext uri="{FF2B5EF4-FFF2-40B4-BE49-F238E27FC236}">
                <a16:creationId xmlns:a16="http://schemas.microsoft.com/office/drawing/2014/main" id="{CC2AC257-BE3D-4F9E-B67E-9CF566423376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79" name="$E$108">
            <a:extLst>
              <a:ext uri="{FF2B5EF4-FFF2-40B4-BE49-F238E27FC236}">
                <a16:creationId xmlns:a16="http://schemas.microsoft.com/office/drawing/2014/main" id="{42DC9911-12CF-4339-B293-512CA150439C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0" name="$E$108">
            <a:extLst>
              <a:ext uri="{FF2B5EF4-FFF2-40B4-BE49-F238E27FC236}">
                <a16:creationId xmlns:a16="http://schemas.microsoft.com/office/drawing/2014/main" id="{7BD91ED8-F53E-4ADB-9655-2F2704547995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1" name="$E$108">
            <a:extLst>
              <a:ext uri="{FF2B5EF4-FFF2-40B4-BE49-F238E27FC236}">
                <a16:creationId xmlns:a16="http://schemas.microsoft.com/office/drawing/2014/main" id="{0DE4D778-06A5-4E71-AE72-8792EE523BE5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2" name="$E$108">
            <a:extLst>
              <a:ext uri="{FF2B5EF4-FFF2-40B4-BE49-F238E27FC236}">
                <a16:creationId xmlns:a16="http://schemas.microsoft.com/office/drawing/2014/main" id="{1B2B0599-5FB3-43FB-A45E-DB2A0FF6DCBE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3" name="$E$108">
            <a:extLst>
              <a:ext uri="{FF2B5EF4-FFF2-40B4-BE49-F238E27FC236}">
                <a16:creationId xmlns:a16="http://schemas.microsoft.com/office/drawing/2014/main" id="{1FB8BC48-335B-43D0-A05E-798CD6FA19BB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4" name="$E$108">
            <a:extLst>
              <a:ext uri="{FF2B5EF4-FFF2-40B4-BE49-F238E27FC236}">
                <a16:creationId xmlns:a16="http://schemas.microsoft.com/office/drawing/2014/main" id="{412F269F-25DF-4CF3-A314-776A7730D576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5" name="$E$108">
            <a:extLst>
              <a:ext uri="{FF2B5EF4-FFF2-40B4-BE49-F238E27FC236}">
                <a16:creationId xmlns:a16="http://schemas.microsoft.com/office/drawing/2014/main" id="{C8D54713-F137-4430-8E5D-B8A6A746BD10}"/>
              </a:ext>
            </a:extLst>
          </xdr:cNvPr>
          <xdr:cNvSpPr/>
        </xdr:nvSpPr>
        <xdr:spPr>
          <a:xfrm>
            <a:off x="304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6" name="$E$108">
            <a:extLst>
              <a:ext uri="{FF2B5EF4-FFF2-40B4-BE49-F238E27FC236}">
                <a16:creationId xmlns:a16="http://schemas.microsoft.com/office/drawing/2014/main" id="{F21DE8DA-48F4-4068-B911-1168F6CA1FFA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7" name="$E$108">
            <a:extLst>
              <a:ext uri="{FF2B5EF4-FFF2-40B4-BE49-F238E27FC236}">
                <a16:creationId xmlns:a16="http://schemas.microsoft.com/office/drawing/2014/main" id="{8E5A5471-B209-4CEC-84EC-7DF9C701A281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8" name="$E$108">
            <a:extLst>
              <a:ext uri="{FF2B5EF4-FFF2-40B4-BE49-F238E27FC236}">
                <a16:creationId xmlns:a16="http://schemas.microsoft.com/office/drawing/2014/main" id="{E98556C6-E9DC-4B5A-8DBB-E15BDD2A8D6D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89" name="$E$108">
            <a:extLst>
              <a:ext uri="{FF2B5EF4-FFF2-40B4-BE49-F238E27FC236}">
                <a16:creationId xmlns:a16="http://schemas.microsoft.com/office/drawing/2014/main" id="{83622956-F503-40A0-B1AB-F4C78E96ECEF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0" name="$E$108">
            <a:extLst>
              <a:ext uri="{FF2B5EF4-FFF2-40B4-BE49-F238E27FC236}">
                <a16:creationId xmlns:a16="http://schemas.microsoft.com/office/drawing/2014/main" id="{40A758B7-56A5-46AE-870A-5EC88FF6030F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1" name="$E$108">
            <a:extLst>
              <a:ext uri="{FF2B5EF4-FFF2-40B4-BE49-F238E27FC236}">
                <a16:creationId xmlns:a16="http://schemas.microsoft.com/office/drawing/2014/main" id="{8640F43B-4501-47AA-B3D0-8F2B759A4744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2" name="$E$108">
            <a:extLst>
              <a:ext uri="{FF2B5EF4-FFF2-40B4-BE49-F238E27FC236}">
                <a16:creationId xmlns:a16="http://schemas.microsoft.com/office/drawing/2014/main" id="{29DED242-2F9B-4133-99C5-90B9187689EB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3" name="$E$108">
            <a:extLst>
              <a:ext uri="{FF2B5EF4-FFF2-40B4-BE49-F238E27FC236}">
                <a16:creationId xmlns:a16="http://schemas.microsoft.com/office/drawing/2014/main" id="{A4912D22-3CF4-406E-82F1-ACF45AD8EF69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4" name="$E$108">
            <a:extLst>
              <a:ext uri="{FF2B5EF4-FFF2-40B4-BE49-F238E27FC236}">
                <a16:creationId xmlns:a16="http://schemas.microsoft.com/office/drawing/2014/main" id="{E59FCB07-1B6D-4BF6-950D-66CFB924F461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5" name="$E$108">
            <a:extLst>
              <a:ext uri="{FF2B5EF4-FFF2-40B4-BE49-F238E27FC236}">
                <a16:creationId xmlns:a16="http://schemas.microsoft.com/office/drawing/2014/main" id="{2A96E4F5-CEEC-486C-A2EA-F2EDBD877E57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6" name="$E$108">
            <a:extLst>
              <a:ext uri="{FF2B5EF4-FFF2-40B4-BE49-F238E27FC236}">
                <a16:creationId xmlns:a16="http://schemas.microsoft.com/office/drawing/2014/main" id="{29495CB3-1385-4396-BF77-8D8C02504690}"/>
              </a:ext>
            </a:extLst>
          </xdr:cNvPr>
          <xdr:cNvSpPr/>
        </xdr:nvSpPr>
        <xdr:spPr>
          <a:xfrm>
            <a:off x="165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7" name="$E$108">
            <a:extLst>
              <a:ext uri="{FF2B5EF4-FFF2-40B4-BE49-F238E27FC236}">
                <a16:creationId xmlns:a16="http://schemas.microsoft.com/office/drawing/2014/main" id="{0740D5E7-508C-44A1-9E71-57DACF5EB15C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8" name="$E$108">
            <a:extLst>
              <a:ext uri="{FF2B5EF4-FFF2-40B4-BE49-F238E27FC236}">
                <a16:creationId xmlns:a16="http://schemas.microsoft.com/office/drawing/2014/main" id="{D55AB6A9-35F9-4FC7-B838-E567676EF2BC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199" name="$E$108">
            <a:extLst>
              <a:ext uri="{FF2B5EF4-FFF2-40B4-BE49-F238E27FC236}">
                <a16:creationId xmlns:a16="http://schemas.microsoft.com/office/drawing/2014/main" id="{17E27F54-A129-400C-856B-13D5FE26EF3B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0" name="$E$108">
            <a:extLst>
              <a:ext uri="{FF2B5EF4-FFF2-40B4-BE49-F238E27FC236}">
                <a16:creationId xmlns:a16="http://schemas.microsoft.com/office/drawing/2014/main" id="{0B88C67F-4354-4E06-A965-BF2AE2391EE9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1" name="$E$108">
            <a:extLst>
              <a:ext uri="{FF2B5EF4-FFF2-40B4-BE49-F238E27FC236}">
                <a16:creationId xmlns:a16="http://schemas.microsoft.com/office/drawing/2014/main" id="{0E572274-46FC-4C99-BBA7-044A10532A04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2" name="$E$108">
            <a:extLst>
              <a:ext uri="{FF2B5EF4-FFF2-40B4-BE49-F238E27FC236}">
                <a16:creationId xmlns:a16="http://schemas.microsoft.com/office/drawing/2014/main" id="{A4ABB284-05DF-4C74-8D27-6A0F85215ACA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3" name="$E$108">
            <a:extLst>
              <a:ext uri="{FF2B5EF4-FFF2-40B4-BE49-F238E27FC236}">
                <a16:creationId xmlns:a16="http://schemas.microsoft.com/office/drawing/2014/main" id="{0A70C9BF-CCE7-4CA8-B91B-7CE7C924C6FC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4" name="$E$108">
            <a:extLst>
              <a:ext uri="{FF2B5EF4-FFF2-40B4-BE49-F238E27FC236}">
                <a16:creationId xmlns:a16="http://schemas.microsoft.com/office/drawing/2014/main" id="{19974C6A-8A54-4602-985A-349BC8B12EB1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5" name="$E$108">
            <a:extLst>
              <a:ext uri="{FF2B5EF4-FFF2-40B4-BE49-F238E27FC236}">
                <a16:creationId xmlns:a16="http://schemas.microsoft.com/office/drawing/2014/main" id="{B19B5D7D-8622-47C7-8B75-45C14DA3833E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6" name="$E$108">
            <a:extLst>
              <a:ext uri="{FF2B5EF4-FFF2-40B4-BE49-F238E27FC236}">
                <a16:creationId xmlns:a16="http://schemas.microsoft.com/office/drawing/2014/main" id="{B4BA0A69-3D72-4161-B763-BF63EB96AB4E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7" name="$E$108">
            <a:extLst>
              <a:ext uri="{FF2B5EF4-FFF2-40B4-BE49-F238E27FC236}">
                <a16:creationId xmlns:a16="http://schemas.microsoft.com/office/drawing/2014/main" id="{A8DC3322-83FA-4AFB-9726-2BCF6281A554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8" name="$E$108">
            <a:extLst>
              <a:ext uri="{FF2B5EF4-FFF2-40B4-BE49-F238E27FC236}">
                <a16:creationId xmlns:a16="http://schemas.microsoft.com/office/drawing/2014/main" id="{73575327-F7FC-4763-87F0-B01572DBC619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09" name="$E$108">
            <a:extLst>
              <a:ext uri="{FF2B5EF4-FFF2-40B4-BE49-F238E27FC236}">
                <a16:creationId xmlns:a16="http://schemas.microsoft.com/office/drawing/2014/main" id="{F6674D9C-538D-4DF7-988A-DCFB5067879B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0" name="$E$108">
            <a:extLst>
              <a:ext uri="{FF2B5EF4-FFF2-40B4-BE49-F238E27FC236}">
                <a16:creationId xmlns:a16="http://schemas.microsoft.com/office/drawing/2014/main" id="{060D6FFE-8C3F-4DED-A9AC-13985C9D4B5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1" name="$E$108">
            <a:extLst>
              <a:ext uri="{FF2B5EF4-FFF2-40B4-BE49-F238E27FC236}">
                <a16:creationId xmlns:a16="http://schemas.microsoft.com/office/drawing/2014/main" id="{6856504E-3D14-4967-A6CA-738893B88038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2" name="$E$108">
            <a:extLst>
              <a:ext uri="{FF2B5EF4-FFF2-40B4-BE49-F238E27FC236}">
                <a16:creationId xmlns:a16="http://schemas.microsoft.com/office/drawing/2014/main" id="{7030927A-987A-4BCF-93F2-47B6E2A127A1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3" name="$E$108">
            <a:extLst>
              <a:ext uri="{FF2B5EF4-FFF2-40B4-BE49-F238E27FC236}">
                <a16:creationId xmlns:a16="http://schemas.microsoft.com/office/drawing/2014/main" id="{C1205A53-25EF-4C29-BB2E-A3B371ED0E4E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4" name="$E$108">
            <a:extLst>
              <a:ext uri="{FF2B5EF4-FFF2-40B4-BE49-F238E27FC236}">
                <a16:creationId xmlns:a16="http://schemas.microsoft.com/office/drawing/2014/main" id="{D9A92F24-3DBE-4031-A939-51CAB17A4EA8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5" name="$E$108">
            <a:extLst>
              <a:ext uri="{FF2B5EF4-FFF2-40B4-BE49-F238E27FC236}">
                <a16:creationId xmlns:a16="http://schemas.microsoft.com/office/drawing/2014/main" id="{BB5D4C2B-35DD-497C-BCCB-785AE6766860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6" name="$E$108">
            <a:extLst>
              <a:ext uri="{FF2B5EF4-FFF2-40B4-BE49-F238E27FC236}">
                <a16:creationId xmlns:a16="http://schemas.microsoft.com/office/drawing/2014/main" id="{8081D30F-847B-41CA-92AA-49699BB12485}"/>
              </a:ext>
            </a:extLst>
          </xdr:cNvPr>
          <xdr:cNvSpPr/>
        </xdr:nvSpPr>
        <xdr:spPr>
          <a:xfrm>
            <a:off x="190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7" name="$E$108">
            <a:extLst>
              <a:ext uri="{FF2B5EF4-FFF2-40B4-BE49-F238E27FC236}">
                <a16:creationId xmlns:a16="http://schemas.microsoft.com/office/drawing/2014/main" id="{B8DA3218-BE5B-44F3-B036-5C4733D6F2C1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8" name="$E$108">
            <a:extLst>
              <a:ext uri="{FF2B5EF4-FFF2-40B4-BE49-F238E27FC236}">
                <a16:creationId xmlns:a16="http://schemas.microsoft.com/office/drawing/2014/main" id="{C9A9DFF4-6A6F-4A8E-A750-E719A521A94F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19" name="$E$108">
            <a:extLst>
              <a:ext uri="{FF2B5EF4-FFF2-40B4-BE49-F238E27FC236}">
                <a16:creationId xmlns:a16="http://schemas.microsoft.com/office/drawing/2014/main" id="{3947A669-3863-4158-BF71-C2005E468C78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0" name="$E$108">
            <a:extLst>
              <a:ext uri="{FF2B5EF4-FFF2-40B4-BE49-F238E27FC236}">
                <a16:creationId xmlns:a16="http://schemas.microsoft.com/office/drawing/2014/main" id="{22261F0B-BE25-40E2-9BA9-A7774F559638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1" name="$E$108">
            <a:extLst>
              <a:ext uri="{FF2B5EF4-FFF2-40B4-BE49-F238E27FC236}">
                <a16:creationId xmlns:a16="http://schemas.microsoft.com/office/drawing/2014/main" id="{09BC9A3C-0942-4DAE-A9FB-C4982CE09BA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2" name="$E$108">
            <a:extLst>
              <a:ext uri="{FF2B5EF4-FFF2-40B4-BE49-F238E27FC236}">
                <a16:creationId xmlns:a16="http://schemas.microsoft.com/office/drawing/2014/main" id="{F0543C4E-72B0-476A-B71E-1E46145EDA94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3" name="$E$108">
            <a:extLst>
              <a:ext uri="{FF2B5EF4-FFF2-40B4-BE49-F238E27FC236}">
                <a16:creationId xmlns:a16="http://schemas.microsoft.com/office/drawing/2014/main" id="{10F8E73F-A1ED-42F9-A1A1-473D1C711583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4" name="$E$108">
            <a:extLst>
              <a:ext uri="{FF2B5EF4-FFF2-40B4-BE49-F238E27FC236}">
                <a16:creationId xmlns:a16="http://schemas.microsoft.com/office/drawing/2014/main" id="{05F19332-8D7C-4453-A6C7-31A0A66F29A6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5" name="$E$108">
            <a:extLst>
              <a:ext uri="{FF2B5EF4-FFF2-40B4-BE49-F238E27FC236}">
                <a16:creationId xmlns:a16="http://schemas.microsoft.com/office/drawing/2014/main" id="{F93E362C-87C0-48E1-91AD-271CDFBBAE01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6" name="$E$108">
            <a:extLst>
              <a:ext uri="{FF2B5EF4-FFF2-40B4-BE49-F238E27FC236}">
                <a16:creationId xmlns:a16="http://schemas.microsoft.com/office/drawing/2014/main" id="{5562F2F8-AF04-43B1-857C-86ECBEB5CC6A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7" name="$E$108">
            <a:extLst>
              <a:ext uri="{FF2B5EF4-FFF2-40B4-BE49-F238E27FC236}">
                <a16:creationId xmlns:a16="http://schemas.microsoft.com/office/drawing/2014/main" id="{7025478F-0CEF-444C-8C17-C598B0A183D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8" name="$E$108">
            <a:extLst>
              <a:ext uri="{FF2B5EF4-FFF2-40B4-BE49-F238E27FC236}">
                <a16:creationId xmlns:a16="http://schemas.microsoft.com/office/drawing/2014/main" id="{A58DEEF6-75FD-4B0A-94D0-ABB006AF3973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29" name="$E$108">
            <a:extLst>
              <a:ext uri="{FF2B5EF4-FFF2-40B4-BE49-F238E27FC236}">
                <a16:creationId xmlns:a16="http://schemas.microsoft.com/office/drawing/2014/main" id="{E6FC247F-353B-41D6-B0C9-65A27192CAD9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0" name="$E$108">
            <a:extLst>
              <a:ext uri="{FF2B5EF4-FFF2-40B4-BE49-F238E27FC236}">
                <a16:creationId xmlns:a16="http://schemas.microsoft.com/office/drawing/2014/main" id="{BF600467-2236-4EB9-91F3-187748FE9578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1" name="$E$108">
            <a:extLst>
              <a:ext uri="{FF2B5EF4-FFF2-40B4-BE49-F238E27FC236}">
                <a16:creationId xmlns:a16="http://schemas.microsoft.com/office/drawing/2014/main" id="{5CCF5085-AE90-4F03-9147-1C1D085AD582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2" name="$E$108">
            <a:extLst>
              <a:ext uri="{FF2B5EF4-FFF2-40B4-BE49-F238E27FC236}">
                <a16:creationId xmlns:a16="http://schemas.microsoft.com/office/drawing/2014/main" id="{BC03C4D1-D3EA-4521-B8BE-F1B21D80C5F0}"/>
              </a:ext>
            </a:extLst>
          </xdr:cNvPr>
          <xdr:cNvSpPr/>
        </xdr:nvSpPr>
        <xdr:spPr>
          <a:xfrm>
            <a:off x="165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3" name="$E$108">
            <a:extLst>
              <a:ext uri="{FF2B5EF4-FFF2-40B4-BE49-F238E27FC236}">
                <a16:creationId xmlns:a16="http://schemas.microsoft.com/office/drawing/2014/main" id="{D66583B5-B2FE-4EB0-B68D-0ED52A080601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4" name="$E$108">
            <a:extLst>
              <a:ext uri="{FF2B5EF4-FFF2-40B4-BE49-F238E27FC236}">
                <a16:creationId xmlns:a16="http://schemas.microsoft.com/office/drawing/2014/main" id="{7E6EB0BF-88AF-4AC5-AD97-6EEFCB2227A2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5" name="$E$108">
            <a:extLst>
              <a:ext uri="{FF2B5EF4-FFF2-40B4-BE49-F238E27FC236}">
                <a16:creationId xmlns:a16="http://schemas.microsoft.com/office/drawing/2014/main" id="{03831B48-7574-494C-8589-E8A762EB412A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6" name="$E$108">
            <a:extLst>
              <a:ext uri="{FF2B5EF4-FFF2-40B4-BE49-F238E27FC236}">
                <a16:creationId xmlns:a16="http://schemas.microsoft.com/office/drawing/2014/main" id="{4B93CD97-936D-41A7-9E4C-307969CFC8F4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7" name="$E$108">
            <a:extLst>
              <a:ext uri="{FF2B5EF4-FFF2-40B4-BE49-F238E27FC236}">
                <a16:creationId xmlns:a16="http://schemas.microsoft.com/office/drawing/2014/main" id="{FD310732-9E4D-47E4-B39A-D29845DA2E1D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8" name="$E$108">
            <a:extLst>
              <a:ext uri="{FF2B5EF4-FFF2-40B4-BE49-F238E27FC236}">
                <a16:creationId xmlns:a16="http://schemas.microsoft.com/office/drawing/2014/main" id="{E7C6396E-EE91-4A3C-BA03-7CD2CFBC687D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39" name="$E$108">
            <a:extLst>
              <a:ext uri="{FF2B5EF4-FFF2-40B4-BE49-F238E27FC236}">
                <a16:creationId xmlns:a16="http://schemas.microsoft.com/office/drawing/2014/main" id="{41D34B3B-6AD3-46C4-BBAE-1F0322DEDFDE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0" name="$E$108">
            <a:extLst>
              <a:ext uri="{FF2B5EF4-FFF2-40B4-BE49-F238E27FC236}">
                <a16:creationId xmlns:a16="http://schemas.microsoft.com/office/drawing/2014/main" id="{D91BA8C1-FE14-4FBF-BD96-E9A62D27D57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1" name="$E$108">
            <a:extLst>
              <a:ext uri="{FF2B5EF4-FFF2-40B4-BE49-F238E27FC236}">
                <a16:creationId xmlns:a16="http://schemas.microsoft.com/office/drawing/2014/main" id="{A349CBBF-EB2B-4CCD-9A93-7D7531BBD895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2" name="$E$108">
            <a:extLst>
              <a:ext uri="{FF2B5EF4-FFF2-40B4-BE49-F238E27FC236}">
                <a16:creationId xmlns:a16="http://schemas.microsoft.com/office/drawing/2014/main" id="{D53BE806-D77B-492A-A784-CE7C52644B61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3" name="$E$108">
            <a:extLst>
              <a:ext uri="{FF2B5EF4-FFF2-40B4-BE49-F238E27FC236}">
                <a16:creationId xmlns:a16="http://schemas.microsoft.com/office/drawing/2014/main" id="{662CB686-DC7F-4CCB-B72B-20F87CB7E4DF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4" name="$E$108">
            <a:extLst>
              <a:ext uri="{FF2B5EF4-FFF2-40B4-BE49-F238E27FC236}">
                <a16:creationId xmlns:a16="http://schemas.microsoft.com/office/drawing/2014/main" id="{0902C22F-472D-4308-A2BC-637C19242C36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5" name="$E$108">
            <a:extLst>
              <a:ext uri="{FF2B5EF4-FFF2-40B4-BE49-F238E27FC236}">
                <a16:creationId xmlns:a16="http://schemas.microsoft.com/office/drawing/2014/main" id="{4925540B-3B64-4DF1-954B-2B67F23D4E6D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6" name="$E$108">
            <a:extLst>
              <a:ext uri="{FF2B5EF4-FFF2-40B4-BE49-F238E27FC236}">
                <a16:creationId xmlns:a16="http://schemas.microsoft.com/office/drawing/2014/main" id="{E7FBCDD3-7DC2-4DB3-BD64-4992D456336A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7" name="$E$108">
            <a:extLst>
              <a:ext uri="{FF2B5EF4-FFF2-40B4-BE49-F238E27FC236}">
                <a16:creationId xmlns:a16="http://schemas.microsoft.com/office/drawing/2014/main" id="{B1226902-5EF4-4864-B711-0FCFD8EC88B4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8" name="$E$108">
            <a:extLst>
              <a:ext uri="{FF2B5EF4-FFF2-40B4-BE49-F238E27FC236}">
                <a16:creationId xmlns:a16="http://schemas.microsoft.com/office/drawing/2014/main" id="{309CF4DD-EAB8-4398-A79B-10D8022DFC83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49" name="$E$108">
            <a:extLst>
              <a:ext uri="{FF2B5EF4-FFF2-40B4-BE49-F238E27FC236}">
                <a16:creationId xmlns:a16="http://schemas.microsoft.com/office/drawing/2014/main" id="{17CBDCEC-FAA2-4640-B55C-515921D07310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0" name="$E$108">
            <a:extLst>
              <a:ext uri="{FF2B5EF4-FFF2-40B4-BE49-F238E27FC236}">
                <a16:creationId xmlns:a16="http://schemas.microsoft.com/office/drawing/2014/main" id="{A1675575-579B-4320-B496-8D55A62F44C7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1" name="$E$108">
            <a:extLst>
              <a:ext uri="{FF2B5EF4-FFF2-40B4-BE49-F238E27FC236}">
                <a16:creationId xmlns:a16="http://schemas.microsoft.com/office/drawing/2014/main" id="{8317B060-EFAC-43B8-9B70-3FD0411D10C4}"/>
              </a:ext>
            </a:extLst>
          </xdr:cNvPr>
          <xdr:cNvSpPr/>
        </xdr:nvSpPr>
        <xdr:spPr>
          <a:xfrm>
            <a:off x="165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2" name="$E$108">
            <a:extLst>
              <a:ext uri="{FF2B5EF4-FFF2-40B4-BE49-F238E27FC236}">
                <a16:creationId xmlns:a16="http://schemas.microsoft.com/office/drawing/2014/main" id="{1CA842F0-FE6A-4093-9F45-231969869584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3" name="$E$108">
            <a:extLst>
              <a:ext uri="{FF2B5EF4-FFF2-40B4-BE49-F238E27FC236}">
                <a16:creationId xmlns:a16="http://schemas.microsoft.com/office/drawing/2014/main" id="{7F98045D-F1B6-4BC7-8049-48E6C62DD403}"/>
              </a:ext>
            </a:extLst>
          </xdr:cNvPr>
          <xdr:cNvSpPr/>
        </xdr:nvSpPr>
        <xdr:spPr>
          <a:xfrm>
            <a:off x="228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4" name="$E$108">
            <a:extLst>
              <a:ext uri="{FF2B5EF4-FFF2-40B4-BE49-F238E27FC236}">
                <a16:creationId xmlns:a16="http://schemas.microsoft.com/office/drawing/2014/main" id="{52FD4E99-E32B-40BB-A522-20215F8DB757}"/>
              </a:ext>
            </a:extLst>
          </xdr:cNvPr>
          <xdr:cNvSpPr/>
        </xdr:nvSpPr>
        <xdr:spPr>
          <a:xfrm>
            <a:off x="241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5" name="$E$108">
            <a:extLst>
              <a:ext uri="{FF2B5EF4-FFF2-40B4-BE49-F238E27FC236}">
                <a16:creationId xmlns:a16="http://schemas.microsoft.com/office/drawing/2014/main" id="{B1B426B0-EE15-4FDB-8E71-D3BAE5FAE2C6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6" name="$E$108">
            <a:extLst>
              <a:ext uri="{FF2B5EF4-FFF2-40B4-BE49-F238E27FC236}">
                <a16:creationId xmlns:a16="http://schemas.microsoft.com/office/drawing/2014/main" id="{9EDA1F60-C3D6-499D-AA1D-F64D9E1B377C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7" name="$E$108">
            <a:extLst>
              <a:ext uri="{FF2B5EF4-FFF2-40B4-BE49-F238E27FC236}">
                <a16:creationId xmlns:a16="http://schemas.microsoft.com/office/drawing/2014/main" id="{018F80F6-4414-4223-9D8D-17166522FCD7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8" name="$E$108">
            <a:extLst>
              <a:ext uri="{FF2B5EF4-FFF2-40B4-BE49-F238E27FC236}">
                <a16:creationId xmlns:a16="http://schemas.microsoft.com/office/drawing/2014/main" id="{FD8C739F-0AB6-4E85-B2E1-34493567FBBE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59" name="$E$108">
            <a:extLst>
              <a:ext uri="{FF2B5EF4-FFF2-40B4-BE49-F238E27FC236}">
                <a16:creationId xmlns:a16="http://schemas.microsoft.com/office/drawing/2014/main" id="{A66BBCBD-D472-48E5-8F1C-A4101E7E97C9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0" name="$E$108">
            <a:extLst>
              <a:ext uri="{FF2B5EF4-FFF2-40B4-BE49-F238E27FC236}">
                <a16:creationId xmlns:a16="http://schemas.microsoft.com/office/drawing/2014/main" id="{6658367F-4D61-4539-B279-630C6B6D2292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1" name="$E$108">
            <a:extLst>
              <a:ext uri="{FF2B5EF4-FFF2-40B4-BE49-F238E27FC236}">
                <a16:creationId xmlns:a16="http://schemas.microsoft.com/office/drawing/2014/main" id="{97FBF48B-01E1-4D8A-8DFC-A6A9953936DB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2" name="$E$108">
            <a:extLst>
              <a:ext uri="{FF2B5EF4-FFF2-40B4-BE49-F238E27FC236}">
                <a16:creationId xmlns:a16="http://schemas.microsoft.com/office/drawing/2014/main" id="{FB1A3A7D-AE5A-40B5-AF9E-68D903D0DE12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3" name="$E$108">
            <a:extLst>
              <a:ext uri="{FF2B5EF4-FFF2-40B4-BE49-F238E27FC236}">
                <a16:creationId xmlns:a16="http://schemas.microsoft.com/office/drawing/2014/main" id="{9C59244A-3B7B-44CD-8B6E-568581D5D7C4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4" name="$E$108">
            <a:extLst>
              <a:ext uri="{FF2B5EF4-FFF2-40B4-BE49-F238E27FC236}">
                <a16:creationId xmlns:a16="http://schemas.microsoft.com/office/drawing/2014/main" id="{2F5413A3-42D4-4C6C-9190-E6CDE26185B1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5" name="$E$108">
            <a:extLst>
              <a:ext uri="{FF2B5EF4-FFF2-40B4-BE49-F238E27FC236}">
                <a16:creationId xmlns:a16="http://schemas.microsoft.com/office/drawing/2014/main" id="{B627E6F6-C10D-4929-8C82-70E908F0E27E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6" name="$E$108">
            <a:extLst>
              <a:ext uri="{FF2B5EF4-FFF2-40B4-BE49-F238E27FC236}">
                <a16:creationId xmlns:a16="http://schemas.microsoft.com/office/drawing/2014/main" id="{FA315946-4A30-4D09-837B-F76BA92A1CE7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7" name="$E$108">
            <a:extLst>
              <a:ext uri="{FF2B5EF4-FFF2-40B4-BE49-F238E27FC236}">
                <a16:creationId xmlns:a16="http://schemas.microsoft.com/office/drawing/2014/main" id="{6257660A-04F2-4BEA-A9FC-DD527BB4694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8" name="$E$108">
            <a:extLst>
              <a:ext uri="{FF2B5EF4-FFF2-40B4-BE49-F238E27FC236}">
                <a16:creationId xmlns:a16="http://schemas.microsoft.com/office/drawing/2014/main" id="{F536173A-9368-40C1-BBB4-1E3EB77832D2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69" name="$E$108">
            <a:extLst>
              <a:ext uri="{FF2B5EF4-FFF2-40B4-BE49-F238E27FC236}">
                <a16:creationId xmlns:a16="http://schemas.microsoft.com/office/drawing/2014/main" id="{555E8E0C-2CA7-4C4F-818E-C2760AB000D7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0" name="$E$108">
            <a:extLst>
              <a:ext uri="{FF2B5EF4-FFF2-40B4-BE49-F238E27FC236}">
                <a16:creationId xmlns:a16="http://schemas.microsoft.com/office/drawing/2014/main" id="{DDF242A7-1A9F-40C1-A860-42B574B8DACD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1" name="$E$108">
            <a:extLst>
              <a:ext uri="{FF2B5EF4-FFF2-40B4-BE49-F238E27FC236}">
                <a16:creationId xmlns:a16="http://schemas.microsoft.com/office/drawing/2014/main" id="{8889DC6C-99A4-479C-A093-DE46059F415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2" name="$E$108">
            <a:extLst>
              <a:ext uri="{FF2B5EF4-FFF2-40B4-BE49-F238E27FC236}">
                <a16:creationId xmlns:a16="http://schemas.microsoft.com/office/drawing/2014/main" id="{3218ABA5-5F5B-489B-B40B-F1F732493B0F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3" name="$E$108">
            <a:extLst>
              <a:ext uri="{FF2B5EF4-FFF2-40B4-BE49-F238E27FC236}">
                <a16:creationId xmlns:a16="http://schemas.microsoft.com/office/drawing/2014/main" id="{227E4CEE-FB53-43DE-AA08-12162C0160DF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4" name="$E$108">
            <a:extLst>
              <a:ext uri="{FF2B5EF4-FFF2-40B4-BE49-F238E27FC236}">
                <a16:creationId xmlns:a16="http://schemas.microsoft.com/office/drawing/2014/main" id="{910A3B1B-2003-45F5-8703-B49251881E46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5" name="$E$108">
            <a:extLst>
              <a:ext uri="{FF2B5EF4-FFF2-40B4-BE49-F238E27FC236}">
                <a16:creationId xmlns:a16="http://schemas.microsoft.com/office/drawing/2014/main" id="{AFE729CB-6DF0-434C-8B9E-D4ABF4CDF672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6" name="$E$108">
            <a:extLst>
              <a:ext uri="{FF2B5EF4-FFF2-40B4-BE49-F238E27FC236}">
                <a16:creationId xmlns:a16="http://schemas.microsoft.com/office/drawing/2014/main" id="{F8569180-2743-4EDC-AAE7-4288B55F2301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7" name="$E$108">
            <a:extLst>
              <a:ext uri="{FF2B5EF4-FFF2-40B4-BE49-F238E27FC236}">
                <a16:creationId xmlns:a16="http://schemas.microsoft.com/office/drawing/2014/main" id="{7A08C531-6B7C-4049-8CFE-7A023D05CE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8" name="$E$108">
            <a:extLst>
              <a:ext uri="{FF2B5EF4-FFF2-40B4-BE49-F238E27FC236}">
                <a16:creationId xmlns:a16="http://schemas.microsoft.com/office/drawing/2014/main" id="{1FA0FB31-6918-4881-AE59-B85F92759813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79" name="$E$108">
            <a:extLst>
              <a:ext uri="{FF2B5EF4-FFF2-40B4-BE49-F238E27FC236}">
                <a16:creationId xmlns:a16="http://schemas.microsoft.com/office/drawing/2014/main" id="{19C5CC82-40FC-48F0-98D4-FF5D474B13F2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0" name="$E$108">
            <a:extLst>
              <a:ext uri="{FF2B5EF4-FFF2-40B4-BE49-F238E27FC236}">
                <a16:creationId xmlns:a16="http://schemas.microsoft.com/office/drawing/2014/main" id="{8F613948-A5C4-4CF6-9A71-A7FA8235CE7A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1" name="$E$108">
            <a:extLst>
              <a:ext uri="{FF2B5EF4-FFF2-40B4-BE49-F238E27FC236}">
                <a16:creationId xmlns:a16="http://schemas.microsoft.com/office/drawing/2014/main" id="{EE544BF8-81EE-4691-BE0F-BA1448B7110A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2" name="$E$108">
            <a:extLst>
              <a:ext uri="{FF2B5EF4-FFF2-40B4-BE49-F238E27FC236}">
                <a16:creationId xmlns:a16="http://schemas.microsoft.com/office/drawing/2014/main" id="{B8CBD7CD-D894-4F5C-8628-952266E83AA9}"/>
              </a:ext>
            </a:extLst>
          </xdr:cNvPr>
          <xdr:cNvSpPr/>
        </xdr:nvSpPr>
        <xdr:spPr>
          <a:xfrm>
            <a:off x="101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3" name="$E$108">
            <a:extLst>
              <a:ext uri="{FF2B5EF4-FFF2-40B4-BE49-F238E27FC236}">
                <a16:creationId xmlns:a16="http://schemas.microsoft.com/office/drawing/2014/main" id="{4DA2E8C5-A73E-4144-A6E4-391DDAC909F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4" name="$E$108">
            <a:extLst>
              <a:ext uri="{FF2B5EF4-FFF2-40B4-BE49-F238E27FC236}">
                <a16:creationId xmlns:a16="http://schemas.microsoft.com/office/drawing/2014/main" id="{03B4DD32-668E-4B22-A4C2-B527DFE163A1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5" name="$E$108">
            <a:extLst>
              <a:ext uri="{FF2B5EF4-FFF2-40B4-BE49-F238E27FC236}">
                <a16:creationId xmlns:a16="http://schemas.microsoft.com/office/drawing/2014/main" id="{9615CC4B-5C3B-481C-A007-A0D124583A3A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6" name="$E$108">
            <a:extLst>
              <a:ext uri="{FF2B5EF4-FFF2-40B4-BE49-F238E27FC236}">
                <a16:creationId xmlns:a16="http://schemas.microsoft.com/office/drawing/2014/main" id="{807F95F0-45EB-4D40-83C9-147CC3E72368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7" name="$E$108">
            <a:extLst>
              <a:ext uri="{FF2B5EF4-FFF2-40B4-BE49-F238E27FC236}">
                <a16:creationId xmlns:a16="http://schemas.microsoft.com/office/drawing/2014/main" id="{C1942139-627D-40E6-B36D-7A2168231D48}"/>
              </a:ext>
            </a:extLst>
          </xdr:cNvPr>
          <xdr:cNvSpPr/>
        </xdr:nvSpPr>
        <xdr:spPr>
          <a:xfrm>
            <a:off x="2032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8" name="$E$108">
            <a:extLst>
              <a:ext uri="{FF2B5EF4-FFF2-40B4-BE49-F238E27FC236}">
                <a16:creationId xmlns:a16="http://schemas.microsoft.com/office/drawing/2014/main" id="{F9F2CE76-9042-45A7-876B-141DBE21130A}"/>
              </a:ext>
            </a:extLst>
          </xdr:cNvPr>
          <xdr:cNvSpPr/>
        </xdr:nvSpPr>
        <xdr:spPr>
          <a:xfrm>
            <a:off x="215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89" name="$E$108">
            <a:extLst>
              <a:ext uri="{FF2B5EF4-FFF2-40B4-BE49-F238E27FC236}">
                <a16:creationId xmlns:a16="http://schemas.microsoft.com/office/drawing/2014/main" id="{2B20FCB5-7813-4E57-8811-40C86067E751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0" name="$E$108">
            <a:extLst>
              <a:ext uri="{FF2B5EF4-FFF2-40B4-BE49-F238E27FC236}">
                <a16:creationId xmlns:a16="http://schemas.microsoft.com/office/drawing/2014/main" id="{C407A5F6-CFA3-46FA-B1FF-0A13C03465CD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1" name="$E$108">
            <a:extLst>
              <a:ext uri="{FF2B5EF4-FFF2-40B4-BE49-F238E27FC236}">
                <a16:creationId xmlns:a16="http://schemas.microsoft.com/office/drawing/2014/main" id="{F3759948-F752-44C6-8719-43B0C4FC0445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2" name="$E$108">
            <a:extLst>
              <a:ext uri="{FF2B5EF4-FFF2-40B4-BE49-F238E27FC236}">
                <a16:creationId xmlns:a16="http://schemas.microsoft.com/office/drawing/2014/main" id="{7B7FB9D3-16D3-4090-A45F-523F3820691D}"/>
              </a:ext>
            </a:extLst>
          </xdr:cNvPr>
          <xdr:cNvSpPr/>
        </xdr:nvSpPr>
        <xdr:spPr>
          <a:xfrm>
            <a:off x="292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3" name="$E$108">
            <a:extLst>
              <a:ext uri="{FF2B5EF4-FFF2-40B4-BE49-F238E27FC236}">
                <a16:creationId xmlns:a16="http://schemas.microsoft.com/office/drawing/2014/main" id="{7EC4F4B7-AFD5-4096-9C40-3A9A47A88DDD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4" name="$E$108">
            <a:extLst>
              <a:ext uri="{FF2B5EF4-FFF2-40B4-BE49-F238E27FC236}">
                <a16:creationId xmlns:a16="http://schemas.microsoft.com/office/drawing/2014/main" id="{3EA115E9-3F59-4086-8612-FF017BC57FED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5" name="$E$108">
            <a:extLst>
              <a:ext uri="{FF2B5EF4-FFF2-40B4-BE49-F238E27FC236}">
                <a16:creationId xmlns:a16="http://schemas.microsoft.com/office/drawing/2014/main" id="{8F6907DB-DE5A-45FC-9665-D6565973B498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6" name="$E$108">
            <a:extLst>
              <a:ext uri="{FF2B5EF4-FFF2-40B4-BE49-F238E27FC236}">
                <a16:creationId xmlns:a16="http://schemas.microsoft.com/office/drawing/2014/main" id="{87C19A0A-8A18-48A3-B092-F7134129AAE8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7" name="$E$108">
            <a:extLst>
              <a:ext uri="{FF2B5EF4-FFF2-40B4-BE49-F238E27FC236}">
                <a16:creationId xmlns:a16="http://schemas.microsoft.com/office/drawing/2014/main" id="{F19C3D9E-843D-4EF9-88AE-BBDD50275798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8" name="$E$108">
            <a:extLst>
              <a:ext uri="{FF2B5EF4-FFF2-40B4-BE49-F238E27FC236}">
                <a16:creationId xmlns:a16="http://schemas.microsoft.com/office/drawing/2014/main" id="{521783CD-AB88-4C04-96ED-D754822459B2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299" name="$E$108">
            <a:extLst>
              <a:ext uri="{FF2B5EF4-FFF2-40B4-BE49-F238E27FC236}">
                <a16:creationId xmlns:a16="http://schemas.microsoft.com/office/drawing/2014/main" id="{F3B16840-1135-4AC0-B01E-91B4CB5682E7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0" name="$E$108">
            <a:extLst>
              <a:ext uri="{FF2B5EF4-FFF2-40B4-BE49-F238E27FC236}">
                <a16:creationId xmlns:a16="http://schemas.microsoft.com/office/drawing/2014/main" id="{3526A083-F8FB-48F1-A4A9-E9249D8B0E9C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1" name="$E$108">
            <a:extLst>
              <a:ext uri="{FF2B5EF4-FFF2-40B4-BE49-F238E27FC236}">
                <a16:creationId xmlns:a16="http://schemas.microsoft.com/office/drawing/2014/main" id="{DEEB5873-6655-416C-89E8-32083172BAAC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2" name="$E$108">
            <a:extLst>
              <a:ext uri="{FF2B5EF4-FFF2-40B4-BE49-F238E27FC236}">
                <a16:creationId xmlns:a16="http://schemas.microsoft.com/office/drawing/2014/main" id="{FF70DF97-58A6-4794-90C0-814035BA91B2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3" name="$E$108">
            <a:extLst>
              <a:ext uri="{FF2B5EF4-FFF2-40B4-BE49-F238E27FC236}">
                <a16:creationId xmlns:a16="http://schemas.microsoft.com/office/drawing/2014/main" id="{CFAE3857-7CE1-4D2C-AE75-537151E4B7B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4" name="$E$108">
            <a:extLst>
              <a:ext uri="{FF2B5EF4-FFF2-40B4-BE49-F238E27FC236}">
                <a16:creationId xmlns:a16="http://schemas.microsoft.com/office/drawing/2014/main" id="{598A1462-A8C5-428C-AA4C-6290A89B3898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5" name="$E$108">
            <a:extLst>
              <a:ext uri="{FF2B5EF4-FFF2-40B4-BE49-F238E27FC236}">
                <a16:creationId xmlns:a16="http://schemas.microsoft.com/office/drawing/2014/main" id="{44DDD37B-691B-411E-9E73-291DCCF654CC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6" name="$E$108">
            <a:extLst>
              <a:ext uri="{FF2B5EF4-FFF2-40B4-BE49-F238E27FC236}">
                <a16:creationId xmlns:a16="http://schemas.microsoft.com/office/drawing/2014/main" id="{A9472F6E-92B9-4CA6-A1DB-2129DE240F93}"/>
              </a:ext>
            </a:extLst>
          </xdr:cNvPr>
          <xdr:cNvSpPr/>
        </xdr:nvSpPr>
        <xdr:spPr>
          <a:xfrm>
            <a:off x="330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7" name="$E$108">
            <a:extLst>
              <a:ext uri="{FF2B5EF4-FFF2-40B4-BE49-F238E27FC236}">
                <a16:creationId xmlns:a16="http://schemas.microsoft.com/office/drawing/2014/main" id="{55977187-6CFD-4351-81F8-556E0DEF2C8E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8" name="$E$108">
            <a:extLst>
              <a:ext uri="{FF2B5EF4-FFF2-40B4-BE49-F238E27FC236}">
                <a16:creationId xmlns:a16="http://schemas.microsoft.com/office/drawing/2014/main" id="{AE7BCF20-AB45-4DE8-B6A6-B1BA2A010D9D}"/>
              </a:ext>
            </a:extLst>
          </xdr:cNvPr>
          <xdr:cNvSpPr/>
        </xdr:nvSpPr>
        <xdr:spPr>
          <a:xfrm>
            <a:off x="355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09" name="$E$108">
            <a:extLst>
              <a:ext uri="{FF2B5EF4-FFF2-40B4-BE49-F238E27FC236}">
                <a16:creationId xmlns:a16="http://schemas.microsoft.com/office/drawing/2014/main" id="{AD5ACF6C-058F-41E5-9167-76F7C69FB568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0" name="$E$108">
            <a:extLst>
              <a:ext uri="{FF2B5EF4-FFF2-40B4-BE49-F238E27FC236}">
                <a16:creationId xmlns:a16="http://schemas.microsoft.com/office/drawing/2014/main" id="{9FA01FE6-460F-47E5-BE89-8090AFC54876}"/>
              </a:ext>
            </a:extLst>
          </xdr:cNvPr>
          <xdr:cNvSpPr/>
        </xdr:nvSpPr>
        <xdr:spPr>
          <a:xfrm>
            <a:off x="406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1" name="$E$108">
            <a:extLst>
              <a:ext uri="{FF2B5EF4-FFF2-40B4-BE49-F238E27FC236}">
                <a16:creationId xmlns:a16="http://schemas.microsoft.com/office/drawing/2014/main" id="{40C46A87-B13F-4B47-99C5-9D1A6E615954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2" name="$E$108">
            <a:extLst>
              <a:ext uri="{FF2B5EF4-FFF2-40B4-BE49-F238E27FC236}">
                <a16:creationId xmlns:a16="http://schemas.microsoft.com/office/drawing/2014/main" id="{0CF36B07-AE4E-43DD-949F-1D870B0ECED2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3" name="$E$108">
            <a:extLst>
              <a:ext uri="{FF2B5EF4-FFF2-40B4-BE49-F238E27FC236}">
                <a16:creationId xmlns:a16="http://schemas.microsoft.com/office/drawing/2014/main" id="{C40C8753-F146-4D2A-AF32-0E67B9BD5248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4" name="$E$108">
            <a:extLst>
              <a:ext uri="{FF2B5EF4-FFF2-40B4-BE49-F238E27FC236}">
                <a16:creationId xmlns:a16="http://schemas.microsoft.com/office/drawing/2014/main" id="{2C57D4CC-A65F-408A-B7FC-BC9BFBBE009A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5" name="$E$108">
            <a:extLst>
              <a:ext uri="{FF2B5EF4-FFF2-40B4-BE49-F238E27FC236}">
                <a16:creationId xmlns:a16="http://schemas.microsoft.com/office/drawing/2014/main" id="{121BFFED-ED59-44D6-938E-FB99542279C3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6" name="$E$108">
            <a:extLst>
              <a:ext uri="{FF2B5EF4-FFF2-40B4-BE49-F238E27FC236}">
                <a16:creationId xmlns:a16="http://schemas.microsoft.com/office/drawing/2014/main" id="{3A4FDACF-451A-42D9-8557-23BF490C193E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7" name="$E$108">
            <a:extLst>
              <a:ext uri="{FF2B5EF4-FFF2-40B4-BE49-F238E27FC236}">
                <a16:creationId xmlns:a16="http://schemas.microsoft.com/office/drawing/2014/main" id="{996485D9-F35D-4B1A-B653-3ED0ABBCFB6D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8" name="$E$108">
            <a:extLst>
              <a:ext uri="{FF2B5EF4-FFF2-40B4-BE49-F238E27FC236}">
                <a16:creationId xmlns:a16="http://schemas.microsoft.com/office/drawing/2014/main" id="{D584CF8C-F611-4B58-8E96-C2C76EF065FE}"/>
              </a:ext>
            </a:extLst>
          </xdr:cNvPr>
          <xdr:cNvSpPr/>
        </xdr:nvSpPr>
        <xdr:spPr>
          <a:xfrm>
            <a:off x="203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19" name="$E$108">
            <a:extLst>
              <a:ext uri="{FF2B5EF4-FFF2-40B4-BE49-F238E27FC236}">
                <a16:creationId xmlns:a16="http://schemas.microsoft.com/office/drawing/2014/main" id="{4D38FD3F-F013-465A-BEF9-2CBB99884F4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0" name="$E$108">
            <a:extLst>
              <a:ext uri="{FF2B5EF4-FFF2-40B4-BE49-F238E27FC236}">
                <a16:creationId xmlns:a16="http://schemas.microsoft.com/office/drawing/2014/main" id="{E9557E09-C44A-4A9A-82BC-19C5262979AE}"/>
              </a:ext>
            </a:extLst>
          </xdr:cNvPr>
          <xdr:cNvSpPr/>
        </xdr:nvSpPr>
        <xdr:spPr>
          <a:xfrm>
            <a:off x="317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1" name="$E$108">
            <a:extLst>
              <a:ext uri="{FF2B5EF4-FFF2-40B4-BE49-F238E27FC236}">
                <a16:creationId xmlns:a16="http://schemas.microsoft.com/office/drawing/2014/main" id="{AFAD0550-56C3-4287-A434-88AA8FED3F31}"/>
              </a:ext>
            </a:extLst>
          </xdr:cNvPr>
          <xdr:cNvSpPr/>
        </xdr:nvSpPr>
        <xdr:spPr>
          <a:xfrm>
            <a:off x="368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2" name="$E$108">
            <a:extLst>
              <a:ext uri="{FF2B5EF4-FFF2-40B4-BE49-F238E27FC236}">
                <a16:creationId xmlns:a16="http://schemas.microsoft.com/office/drawing/2014/main" id="{31456F63-C00C-4E23-8F5D-D0E2D5CA31F2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3" name="$E$108">
            <a:extLst>
              <a:ext uri="{FF2B5EF4-FFF2-40B4-BE49-F238E27FC236}">
                <a16:creationId xmlns:a16="http://schemas.microsoft.com/office/drawing/2014/main" id="{186778A3-4C48-4731-8010-B09029DE642A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4" name="$E$108">
            <a:extLst>
              <a:ext uri="{FF2B5EF4-FFF2-40B4-BE49-F238E27FC236}">
                <a16:creationId xmlns:a16="http://schemas.microsoft.com/office/drawing/2014/main" id="{F8CD7D46-9B9D-452B-BBF7-EC54845C6081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5" name="$E$108">
            <a:extLst>
              <a:ext uri="{FF2B5EF4-FFF2-40B4-BE49-F238E27FC236}">
                <a16:creationId xmlns:a16="http://schemas.microsoft.com/office/drawing/2014/main" id="{51AAEAE4-1E49-4D8B-AEB0-3A545804F6BD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6" name="$E$108">
            <a:extLst>
              <a:ext uri="{FF2B5EF4-FFF2-40B4-BE49-F238E27FC236}">
                <a16:creationId xmlns:a16="http://schemas.microsoft.com/office/drawing/2014/main" id="{1C904BB3-8B4D-40FD-8D5A-CF5FCEEACF9A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7" name="$E$108">
            <a:extLst>
              <a:ext uri="{FF2B5EF4-FFF2-40B4-BE49-F238E27FC236}">
                <a16:creationId xmlns:a16="http://schemas.microsoft.com/office/drawing/2014/main" id="{9E867F8A-C684-4D22-9F8D-180AB34C2A77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8" name="$E$108">
            <a:extLst>
              <a:ext uri="{FF2B5EF4-FFF2-40B4-BE49-F238E27FC236}">
                <a16:creationId xmlns:a16="http://schemas.microsoft.com/office/drawing/2014/main" id="{2B6AF35A-6FE1-40CE-B4D4-93AD61368F41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29" name="$E$108">
            <a:extLst>
              <a:ext uri="{FF2B5EF4-FFF2-40B4-BE49-F238E27FC236}">
                <a16:creationId xmlns:a16="http://schemas.microsoft.com/office/drawing/2014/main" id="{D4D65EF3-2DF9-4CEA-9746-B7191A4BE606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0" name="$E$108">
            <a:extLst>
              <a:ext uri="{FF2B5EF4-FFF2-40B4-BE49-F238E27FC236}">
                <a16:creationId xmlns:a16="http://schemas.microsoft.com/office/drawing/2014/main" id="{51A95E9F-C970-4055-9EF3-04B92C56BCE5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1" name="$E$108">
            <a:extLst>
              <a:ext uri="{FF2B5EF4-FFF2-40B4-BE49-F238E27FC236}">
                <a16:creationId xmlns:a16="http://schemas.microsoft.com/office/drawing/2014/main" id="{1991BD2A-5C30-4F73-B85B-3B0B1A5FB92D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2" name="$E$108">
            <a:extLst>
              <a:ext uri="{FF2B5EF4-FFF2-40B4-BE49-F238E27FC236}">
                <a16:creationId xmlns:a16="http://schemas.microsoft.com/office/drawing/2014/main" id="{AE37B603-A77D-4E75-8DCA-AD02018503E9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3" name="$E$108">
            <a:extLst>
              <a:ext uri="{FF2B5EF4-FFF2-40B4-BE49-F238E27FC236}">
                <a16:creationId xmlns:a16="http://schemas.microsoft.com/office/drawing/2014/main" id="{E4C09EBA-A754-4F2C-AFF2-DF9C225DE535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4" name="$E$108">
            <a:extLst>
              <a:ext uri="{FF2B5EF4-FFF2-40B4-BE49-F238E27FC236}">
                <a16:creationId xmlns:a16="http://schemas.microsoft.com/office/drawing/2014/main" id="{65D81D18-9202-4B83-8F33-8B298E93EF61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5" name="$E$108">
            <a:extLst>
              <a:ext uri="{FF2B5EF4-FFF2-40B4-BE49-F238E27FC236}">
                <a16:creationId xmlns:a16="http://schemas.microsoft.com/office/drawing/2014/main" id="{7BDC7E81-6B3D-4746-B77F-6363A4152B68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6" name="$E$108">
            <a:extLst>
              <a:ext uri="{FF2B5EF4-FFF2-40B4-BE49-F238E27FC236}">
                <a16:creationId xmlns:a16="http://schemas.microsoft.com/office/drawing/2014/main" id="{0B350A37-7775-4FB5-917C-2BCB60902A38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7" name="$E$108">
            <a:extLst>
              <a:ext uri="{FF2B5EF4-FFF2-40B4-BE49-F238E27FC236}">
                <a16:creationId xmlns:a16="http://schemas.microsoft.com/office/drawing/2014/main" id="{0AFD2BAD-1638-4648-9807-315296EC377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8" name="$E$108">
            <a:extLst>
              <a:ext uri="{FF2B5EF4-FFF2-40B4-BE49-F238E27FC236}">
                <a16:creationId xmlns:a16="http://schemas.microsoft.com/office/drawing/2014/main" id="{DC3334FA-401F-4081-92F1-AC6A36A1C904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39" name="$E$108">
            <a:extLst>
              <a:ext uri="{FF2B5EF4-FFF2-40B4-BE49-F238E27FC236}">
                <a16:creationId xmlns:a16="http://schemas.microsoft.com/office/drawing/2014/main" id="{FC7F9F45-C443-483D-920E-13F50F2E18F7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0" name="$E$108">
            <a:extLst>
              <a:ext uri="{FF2B5EF4-FFF2-40B4-BE49-F238E27FC236}">
                <a16:creationId xmlns:a16="http://schemas.microsoft.com/office/drawing/2014/main" id="{D65994F5-F82D-4B7F-8C12-81A4479A17DB}"/>
              </a:ext>
            </a:extLst>
          </xdr:cNvPr>
          <xdr:cNvSpPr/>
        </xdr:nvSpPr>
        <xdr:spPr>
          <a:xfrm>
            <a:off x="330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1" name="$E$108">
            <a:extLst>
              <a:ext uri="{FF2B5EF4-FFF2-40B4-BE49-F238E27FC236}">
                <a16:creationId xmlns:a16="http://schemas.microsoft.com/office/drawing/2014/main" id="{FFA82930-FC41-4E42-98D3-EF9F1976E438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2" name="$E$108">
            <a:extLst>
              <a:ext uri="{FF2B5EF4-FFF2-40B4-BE49-F238E27FC236}">
                <a16:creationId xmlns:a16="http://schemas.microsoft.com/office/drawing/2014/main" id="{7FC0DB87-B2F8-41A1-B946-F5DE01879034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3" name="$E$108">
            <a:extLst>
              <a:ext uri="{FF2B5EF4-FFF2-40B4-BE49-F238E27FC236}">
                <a16:creationId xmlns:a16="http://schemas.microsoft.com/office/drawing/2014/main" id="{2490AE96-BE75-47CD-87EB-5D714EE7C30F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4" name="$E$108">
            <a:extLst>
              <a:ext uri="{FF2B5EF4-FFF2-40B4-BE49-F238E27FC236}">
                <a16:creationId xmlns:a16="http://schemas.microsoft.com/office/drawing/2014/main" id="{2FC8EF2B-FE87-45E7-8C18-0A4D223EE488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5" name="$E$108">
            <a:extLst>
              <a:ext uri="{FF2B5EF4-FFF2-40B4-BE49-F238E27FC236}">
                <a16:creationId xmlns:a16="http://schemas.microsoft.com/office/drawing/2014/main" id="{4F3660ED-2E07-474F-BB8B-A4FDD19FED7E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6" name="$E$108">
            <a:extLst>
              <a:ext uri="{FF2B5EF4-FFF2-40B4-BE49-F238E27FC236}">
                <a16:creationId xmlns:a16="http://schemas.microsoft.com/office/drawing/2014/main" id="{42779E38-EAA1-4D56-8E57-5A9A540DC33A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7" name="$E$108">
            <a:extLst>
              <a:ext uri="{FF2B5EF4-FFF2-40B4-BE49-F238E27FC236}">
                <a16:creationId xmlns:a16="http://schemas.microsoft.com/office/drawing/2014/main" id="{6024EC1D-A07A-43EF-B4B4-8F8AD7871E96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8" name="$E$108">
            <a:extLst>
              <a:ext uri="{FF2B5EF4-FFF2-40B4-BE49-F238E27FC236}">
                <a16:creationId xmlns:a16="http://schemas.microsoft.com/office/drawing/2014/main" id="{78C9F442-E966-4774-B537-D7E50740FB97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49" name="$E$108">
            <a:extLst>
              <a:ext uri="{FF2B5EF4-FFF2-40B4-BE49-F238E27FC236}">
                <a16:creationId xmlns:a16="http://schemas.microsoft.com/office/drawing/2014/main" id="{352791BF-2BA8-4C87-9CCF-48091AE16D2A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0" name="$E$108">
            <a:extLst>
              <a:ext uri="{FF2B5EF4-FFF2-40B4-BE49-F238E27FC236}">
                <a16:creationId xmlns:a16="http://schemas.microsoft.com/office/drawing/2014/main" id="{CB933E87-58E6-44E4-A3B0-B30573CEE1B5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1" name="$E$108">
            <a:extLst>
              <a:ext uri="{FF2B5EF4-FFF2-40B4-BE49-F238E27FC236}">
                <a16:creationId xmlns:a16="http://schemas.microsoft.com/office/drawing/2014/main" id="{3C82AA6E-EFE6-4CE5-A341-89B2399A82A3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2" name="$E$108">
            <a:extLst>
              <a:ext uri="{FF2B5EF4-FFF2-40B4-BE49-F238E27FC236}">
                <a16:creationId xmlns:a16="http://schemas.microsoft.com/office/drawing/2014/main" id="{0DDF413B-031F-43FF-89D4-FE95793D11C2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3" name="$E$108">
            <a:extLst>
              <a:ext uri="{FF2B5EF4-FFF2-40B4-BE49-F238E27FC236}">
                <a16:creationId xmlns:a16="http://schemas.microsoft.com/office/drawing/2014/main" id="{ECE5407F-9EF3-4FBF-91C9-181524276A7B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4" name="$E$108">
            <a:extLst>
              <a:ext uri="{FF2B5EF4-FFF2-40B4-BE49-F238E27FC236}">
                <a16:creationId xmlns:a16="http://schemas.microsoft.com/office/drawing/2014/main" id="{946CF852-2CEC-411E-A79C-035D6808CFF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5" name="$E$108">
            <a:extLst>
              <a:ext uri="{FF2B5EF4-FFF2-40B4-BE49-F238E27FC236}">
                <a16:creationId xmlns:a16="http://schemas.microsoft.com/office/drawing/2014/main" id="{43A0E451-117E-445F-837B-57F36A33391A}"/>
              </a:ext>
            </a:extLst>
          </xdr:cNvPr>
          <xdr:cNvSpPr/>
        </xdr:nvSpPr>
        <xdr:spPr>
          <a:xfrm>
            <a:off x="330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6" name="$E$108">
            <a:extLst>
              <a:ext uri="{FF2B5EF4-FFF2-40B4-BE49-F238E27FC236}">
                <a16:creationId xmlns:a16="http://schemas.microsoft.com/office/drawing/2014/main" id="{3F944F17-7419-4835-8313-245C1F6B48AA}"/>
              </a:ext>
            </a:extLst>
          </xdr:cNvPr>
          <xdr:cNvSpPr/>
        </xdr:nvSpPr>
        <xdr:spPr>
          <a:xfrm>
            <a:off x="393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7" name="$E$108">
            <a:extLst>
              <a:ext uri="{FF2B5EF4-FFF2-40B4-BE49-F238E27FC236}">
                <a16:creationId xmlns:a16="http://schemas.microsoft.com/office/drawing/2014/main" id="{6E5DEB84-A962-4EE8-A6D2-ABD82C69C558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8" name="$E$108">
            <a:extLst>
              <a:ext uri="{FF2B5EF4-FFF2-40B4-BE49-F238E27FC236}">
                <a16:creationId xmlns:a16="http://schemas.microsoft.com/office/drawing/2014/main" id="{970C5D6E-CEB3-4796-A05B-E2AC9D329241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59" name="$E$108">
            <a:extLst>
              <a:ext uri="{FF2B5EF4-FFF2-40B4-BE49-F238E27FC236}">
                <a16:creationId xmlns:a16="http://schemas.microsoft.com/office/drawing/2014/main" id="{C627AF9D-A9B1-43E2-A3E3-F3A151B4A0D0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0" name="$E$108">
            <a:extLst>
              <a:ext uri="{FF2B5EF4-FFF2-40B4-BE49-F238E27FC236}">
                <a16:creationId xmlns:a16="http://schemas.microsoft.com/office/drawing/2014/main" id="{C335309F-F4F6-444E-88BA-CBFEDD92D8B4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1" name="$E$108">
            <a:extLst>
              <a:ext uri="{FF2B5EF4-FFF2-40B4-BE49-F238E27FC236}">
                <a16:creationId xmlns:a16="http://schemas.microsoft.com/office/drawing/2014/main" id="{178DC814-C787-45DE-88DB-ED69E2DB505A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2" name="$E$108">
            <a:extLst>
              <a:ext uri="{FF2B5EF4-FFF2-40B4-BE49-F238E27FC236}">
                <a16:creationId xmlns:a16="http://schemas.microsoft.com/office/drawing/2014/main" id="{C16AC809-F273-47BB-813E-6C60A2B81825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3" name="$E$108">
            <a:extLst>
              <a:ext uri="{FF2B5EF4-FFF2-40B4-BE49-F238E27FC236}">
                <a16:creationId xmlns:a16="http://schemas.microsoft.com/office/drawing/2014/main" id="{043D3826-A537-4E51-ABD7-4921F8C16D56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4" name="$E$108">
            <a:extLst>
              <a:ext uri="{FF2B5EF4-FFF2-40B4-BE49-F238E27FC236}">
                <a16:creationId xmlns:a16="http://schemas.microsoft.com/office/drawing/2014/main" id="{68AF9261-0284-4F5E-9D20-D05F8494F3EE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5" name="$E$108">
            <a:extLst>
              <a:ext uri="{FF2B5EF4-FFF2-40B4-BE49-F238E27FC236}">
                <a16:creationId xmlns:a16="http://schemas.microsoft.com/office/drawing/2014/main" id="{57736E44-FB5C-4688-B290-B6C427EAA83C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6" name="$E$108">
            <a:extLst>
              <a:ext uri="{FF2B5EF4-FFF2-40B4-BE49-F238E27FC236}">
                <a16:creationId xmlns:a16="http://schemas.microsoft.com/office/drawing/2014/main" id="{9B926CFA-3402-4ADF-826D-31E4212FB7BC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7" name="$E$108">
            <a:extLst>
              <a:ext uri="{FF2B5EF4-FFF2-40B4-BE49-F238E27FC236}">
                <a16:creationId xmlns:a16="http://schemas.microsoft.com/office/drawing/2014/main" id="{1FCB4944-AB55-4E7D-9224-0AABE4A8DC8B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8" name="$E$108">
            <a:extLst>
              <a:ext uri="{FF2B5EF4-FFF2-40B4-BE49-F238E27FC236}">
                <a16:creationId xmlns:a16="http://schemas.microsoft.com/office/drawing/2014/main" id="{248D5819-F67F-4835-94B4-47BB11D47EDE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69" name="$E$108">
            <a:extLst>
              <a:ext uri="{FF2B5EF4-FFF2-40B4-BE49-F238E27FC236}">
                <a16:creationId xmlns:a16="http://schemas.microsoft.com/office/drawing/2014/main" id="{BF479556-62FF-4572-89AE-026E2FD2FB99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0" name="$E$108">
            <a:extLst>
              <a:ext uri="{FF2B5EF4-FFF2-40B4-BE49-F238E27FC236}">
                <a16:creationId xmlns:a16="http://schemas.microsoft.com/office/drawing/2014/main" id="{69854C2A-219C-47F3-A8E6-E28EBF21E28A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1" name="$E$108">
            <a:extLst>
              <a:ext uri="{FF2B5EF4-FFF2-40B4-BE49-F238E27FC236}">
                <a16:creationId xmlns:a16="http://schemas.microsoft.com/office/drawing/2014/main" id="{C428F895-F5B2-4D3B-9B7E-3C0F4F467CE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2" name="$E$108">
            <a:extLst>
              <a:ext uri="{FF2B5EF4-FFF2-40B4-BE49-F238E27FC236}">
                <a16:creationId xmlns:a16="http://schemas.microsoft.com/office/drawing/2014/main" id="{A7242639-5C7B-4C5E-A499-229C09A57028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3" name="$E$108">
            <a:extLst>
              <a:ext uri="{FF2B5EF4-FFF2-40B4-BE49-F238E27FC236}">
                <a16:creationId xmlns:a16="http://schemas.microsoft.com/office/drawing/2014/main" id="{5F514169-CC98-43F8-A0C0-5FEF6AFAA333}"/>
              </a:ext>
            </a:extLst>
          </xdr:cNvPr>
          <xdr:cNvSpPr/>
        </xdr:nvSpPr>
        <xdr:spPr>
          <a:xfrm>
            <a:off x="266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4" name="$E$108">
            <a:extLst>
              <a:ext uri="{FF2B5EF4-FFF2-40B4-BE49-F238E27FC236}">
                <a16:creationId xmlns:a16="http://schemas.microsoft.com/office/drawing/2014/main" id="{40B2630E-4094-407F-911D-4B28B8AFD8E5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5" name="$E$108">
            <a:extLst>
              <a:ext uri="{FF2B5EF4-FFF2-40B4-BE49-F238E27FC236}">
                <a16:creationId xmlns:a16="http://schemas.microsoft.com/office/drawing/2014/main" id="{7F1BD15A-D9A8-4884-831F-EEB305C8F560}"/>
              </a:ext>
            </a:extLst>
          </xdr:cNvPr>
          <xdr:cNvSpPr/>
        </xdr:nvSpPr>
        <xdr:spPr>
          <a:xfrm>
            <a:off x="330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6" name="$E$108">
            <a:extLst>
              <a:ext uri="{FF2B5EF4-FFF2-40B4-BE49-F238E27FC236}">
                <a16:creationId xmlns:a16="http://schemas.microsoft.com/office/drawing/2014/main" id="{18A4967C-2051-42D7-8CCD-049D45563C5C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7" name="$E$108">
            <a:extLst>
              <a:ext uri="{FF2B5EF4-FFF2-40B4-BE49-F238E27FC236}">
                <a16:creationId xmlns:a16="http://schemas.microsoft.com/office/drawing/2014/main" id="{31FA3464-847E-4A14-BBDB-FE809BAC54EB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8" name="$E$108">
            <a:extLst>
              <a:ext uri="{FF2B5EF4-FFF2-40B4-BE49-F238E27FC236}">
                <a16:creationId xmlns:a16="http://schemas.microsoft.com/office/drawing/2014/main" id="{DE79B26A-540E-4F41-AF1B-C18481F192F2}"/>
              </a:ext>
            </a:extLst>
          </xdr:cNvPr>
          <xdr:cNvSpPr/>
        </xdr:nvSpPr>
        <xdr:spPr>
          <a:xfrm>
            <a:off x="406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79" name="$E$108">
            <a:extLst>
              <a:ext uri="{FF2B5EF4-FFF2-40B4-BE49-F238E27FC236}">
                <a16:creationId xmlns:a16="http://schemas.microsoft.com/office/drawing/2014/main" id="{D416ADE2-871F-40E2-ADEC-923BAC647590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0" name="$E$108">
            <a:extLst>
              <a:ext uri="{FF2B5EF4-FFF2-40B4-BE49-F238E27FC236}">
                <a16:creationId xmlns:a16="http://schemas.microsoft.com/office/drawing/2014/main" id="{ACDAE58B-3FA4-40C7-AC15-9E987783C2AC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1" name="$E$108">
            <a:extLst>
              <a:ext uri="{FF2B5EF4-FFF2-40B4-BE49-F238E27FC236}">
                <a16:creationId xmlns:a16="http://schemas.microsoft.com/office/drawing/2014/main" id="{5258187D-6479-471C-8C0F-4D29F3E5E7D7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2" name="$E$108">
            <a:extLst>
              <a:ext uri="{FF2B5EF4-FFF2-40B4-BE49-F238E27FC236}">
                <a16:creationId xmlns:a16="http://schemas.microsoft.com/office/drawing/2014/main" id="{8F292D7D-5A6C-40F6-8788-BA807C8E2207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3" name="$E$108">
            <a:extLst>
              <a:ext uri="{FF2B5EF4-FFF2-40B4-BE49-F238E27FC236}">
                <a16:creationId xmlns:a16="http://schemas.microsoft.com/office/drawing/2014/main" id="{F6125B5D-E85B-4D61-92DA-CFED65CA8D56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4" name="$E$108">
            <a:extLst>
              <a:ext uri="{FF2B5EF4-FFF2-40B4-BE49-F238E27FC236}">
                <a16:creationId xmlns:a16="http://schemas.microsoft.com/office/drawing/2014/main" id="{FB444B55-47B6-42F2-B61D-BD42B62423B1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5" name="$E$108">
            <a:extLst>
              <a:ext uri="{FF2B5EF4-FFF2-40B4-BE49-F238E27FC236}">
                <a16:creationId xmlns:a16="http://schemas.microsoft.com/office/drawing/2014/main" id="{D7FE3774-F0B6-4732-B5A4-618599A4F7A3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6" name="$E$108">
            <a:extLst>
              <a:ext uri="{FF2B5EF4-FFF2-40B4-BE49-F238E27FC236}">
                <a16:creationId xmlns:a16="http://schemas.microsoft.com/office/drawing/2014/main" id="{EABB5919-C1F9-4E41-879A-C430DB205D14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7" name="$E$108">
            <a:extLst>
              <a:ext uri="{FF2B5EF4-FFF2-40B4-BE49-F238E27FC236}">
                <a16:creationId xmlns:a16="http://schemas.microsoft.com/office/drawing/2014/main" id="{8FE4FA71-351D-4067-B47A-00A5089CD164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8" name="$E$108">
            <a:extLst>
              <a:ext uri="{FF2B5EF4-FFF2-40B4-BE49-F238E27FC236}">
                <a16:creationId xmlns:a16="http://schemas.microsoft.com/office/drawing/2014/main" id="{B4F34AA7-A634-494D-ABB8-75E82FE8C28B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89" name="$E$108">
            <a:extLst>
              <a:ext uri="{FF2B5EF4-FFF2-40B4-BE49-F238E27FC236}">
                <a16:creationId xmlns:a16="http://schemas.microsoft.com/office/drawing/2014/main" id="{8C0AD064-7A42-4681-9B34-CF6B08837A98}"/>
              </a:ext>
            </a:extLst>
          </xdr:cNvPr>
          <xdr:cNvSpPr/>
        </xdr:nvSpPr>
        <xdr:spPr>
          <a:xfrm>
            <a:off x="317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0" name="$E$108">
            <a:extLst>
              <a:ext uri="{FF2B5EF4-FFF2-40B4-BE49-F238E27FC236}">
                <a16:creationId xmlns:a16="http://schemas.microsoft.com/office/drawing/2014/main" id="{A3795D01-A0B7-47CA-9C54-CDE569E7BC64}"/>
              </a:ext>
            </a:extLst>
          </xdr:cNvPr>
          <xdr:cNvSpPr/>
        </xdr:nvSpPr>
        <xdr:spPr>
          <a:xfrm>
            <a:off x="381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1" name="$E$108">
            <a:extLst>
              <a:ext uri="{FF2B5EF4-FFF2-40B4-BE49-F238E27FC236}">
                <a16:creationId xmlns:a16="http://schemas.microsoft.com/office/drawing/2014/main" id="{742D3D11-073D-4889-9C85-2B7649C81109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2" name="$E$108">
            <a:extLst>
              <a:ext uri="{FF2B5EF4-FFF2-40B4-BE49-F238E27FC236}">
                <a16:creationId xmlns:a16="http://schemas.microsoft.com/office/drawing/2014/main" id="{A998CB46-2D0F-4784-9363-13660693857F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3" name="$E$108">
            <a:extLst>
              <a:ext uri="{FF2B5EF4-FFF2-40B4-BE49-F238E27FC236}">
                <a16:creationId xmlns:a16="http://schemas.microsoft.com/office/drawing/2014/main" id="{4D25CDFE-97FB-4064-840F-93E7452061DB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4" name="$E$108">
            <a:extLst>
              <a:ext uri="{FF2B5EF4-FFF2-40B4-BE49-F238E27FC236}">
                <a16:creationId xmlns:a16="http://schemas.microsoft.com/office/drawing/2014/main" id="{3748577F-D33D-45AF-BB7A-D18FE11A659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5" name="$E$108">
            <a:extLst>
              <a:ext uri="{FF2B5EF4-FFF2-40B4-BE49-F238E27FC236}">
                <a16:creationId xmlns:a16="http://schemas.microsoft.com/office/drawing/2014/main" id="{C1AA80B7-A558-44C1-967E-0CD4043A2B0C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6" name="$E$108">
            <a:extLst>
              <a:ext uri="{FF2B5EF4-FFF2-40B4-BE49-F238E27FC236}">
                <a16:creationId xmlns:a16="http://schemas.microsoft.com/office/drawing/2014/main" id="{51FC1FCF-B291-4691-AFC1-4088658F85EE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7" name="$E$108">
            <a:extLst>
              <a:ext uri="{FF2B5EF4-FFF2-40B4-BE49-F238E27FC236}">
                <a16:creationId xmlns:a16="http://schemas.microsoft.com/office/drawing/2014/main" id="{63FF761D-C6D5-4EA8-8134-9903BAADBE67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8" name="$E$108">
            <a:extLst>
              <a:ext uri="{FF2B5EF4-FFF2-40B4-BE49-F238E27FC236}">
                <a16:creationId xmlns:a16="http://schemas.microsoft.com/office/drawing/2014/main" id="{85115172-FC54-4FDE-845E-1B6AC135AD14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399" name="$E$108">
            <a:extLst>
              <a:ext uri="{FF2B5EF4-FFF2-40B4-BE49-F238E27FC236}">
                <a16:creationId xmlns:a16="http://schemas.microsoft.com/office/drawing/2014/main" id="{C92230DC-7041-4EE6-99F2-9902F72A9E57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0" name="$E$108">
            <a:extLst>
              <a:ext uri="{FF2B5EF4-FFF2-40B4-BE49-F238E27FC236}">
                <a16:creationId xmlns:a16="http://schemas.microsoft.com/office/drawing/2014/main" id="{B63A651D-6812-473E-8254-1D18B601DBDF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1" name="$E$108">
            <a:extLst>
              <a:ext uri="{FF2B5EF4-FFF2-40B4-BE49-F238E27FC236}">
                <a16:creationId xmlns:a16="http://schemas.microsoft.com/office/drawing/2014/main" id="{21E07932-A93C-4DAD-99A2-579902B904B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2" name="$E$108">
            <a:extLst>
              <a:ext uri="{FF2B5EF4-FFF2-40B4-BE49-F238E27FC236}">
                <a16:creationId xmlns:a16="http://schemas.microsoft.com/office/drawing/2014/main" id="{441C3B65-2ADD-4A1F-B511-44643AB028CD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3" name="$E$108">
            <a:extLst>
              <a:ext uri="{FF2B5EF4-FFF2-40B4-BE49-F238E27FC236}">
                <a16:creationId xmlns:a16="http://schemas.microsoft.com/office/drawing/2014/main" id="{9ECF861B-7DA8-4F35-A7A4-4413372C9137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4" name="$E$108">
            <a:extLst>
              <a:ext uri="{FF2B5EF4-FFF2-40B4-BE49-F238E27FC236}">
                <a16:creationId xmlns:a16="http://schemas.microsoft.com/office/drawing/2014/main" id="{15197FA3-7545-4B56-8D5B-EB794E43FDEF}"/>
              </a:ext>
            </a:extLst>
          </xdr:cNvPr>
          <xdr:cNvSpPr/>
        </xdr:nvSpPr>
        <xdr:spPr>
          <a:xfrm>
            <a:off x="292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5" name="$E$108">
            <a:extLst>
              <a:ext uri="{FF2B5EF4-FFF2-40B4-BE49-F238E27FC236}">
                <a16:creationId xmlns:a16="http://schemas.microsoft.com/office/drawing/2014/main" id="{65E9AD4F-1AEB-4C4D-9DEA-AB4528015074}"/>
              </a:ext>
            </a:extLst>
          </xdr:cNvPr>
          <xdr:cNvSpPr/>
        </xdr:nvSpPr>
        <xdr:spPr>
          <a:xfrm>
            <a:off x="304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6" name="$E$108">
            <a:extLst>
              <a:ext uri="{FF2B5EF4-FFF2-40B4-BE49-F238E27FC236}">
                <a16:creationId xmlns:a16="http://schemas.microsoft.com/office/drawing/2014/main" id="{748C0A60-6627-4AFC-85B0-1C3FC7CD7652}"/>
              </a:ext>
            </a:extLst>
          </xdr:cNvPr>
          <xdr:cNvSpPr/>
        </xdr:nvSpPr>
        <xdr:spPr>
          <a:xfrm>
            <a:off x="317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7" name="$E$108">
            <a:extLst>
              <a:ext uri="{FF2B5EF4-FFF2-40B4-BE49-F238E27FC236}">
                <a16:creationId xmlns:a16="http://schemas.microsoft.com/office/drawing/2014/main" id="{E6D4437C-73D7-45F4-9C85-30413A5A5ECE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8" name="$E$108">
            <a:extLst>
              <a:ext uri="{FF2B5EF4-FFF2-40B4-BE49-F238E27FC236}">
                <a16:creationId xmlns:a16="http://schemas.microsoft.com/office/drawing/2014/main" id="{988EC85F-F91C-44E4-8E9D-1EB168DBB47F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09" name="$E$108">
            <a:extLst>
              <a:ext uri="{FF2B5EF4-FFF2-40B4-BE49-F238E27FC236}">
                <a16:creationId xmlns:a16="http://schemas.microsoft.com/office/drawing/2014/main" id="{0AB55ED6-D4E2-4D29-BC05-1EF5E37AFAB9}"/>
              </a:ext>
            </a:extLst>
          </xdr:cNvPr>
          <xdr:cNvSpPr/>
        </xdr:nvSpPr>
        <xdr:spPr>
          <a:xfrm>
            <a:off x="368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0" name="$E$108">
            <a:extLst>
              <a:ext uri="{FF2B5EF4-FFF2-40B4-BE49-F238E27FC236}">
                <a16:creationId xmlns:a16="http://schemas.microsoft.com/office/drawing/2014/main" id="{BD618F25-7D62-44D3-A9A5-3A9F4BB8DE0A}"/>
              </a:ext>
            </a:extLst>
          </xdr:cNvPr>
          <xdr:cNvSpPr/>
        </xdr:nvSpPr>
        <xdr:spPr>
          <a:xfrm>
            <a:off x="381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1" name="$E$108">
            <a:extLst>
              <a:ext uri="{FF2B5EF4-FFF2-40B4-BE49-F238E27FC236}">
                <a16:creationId xmlns:a16="http://schemas.microsoft.com/office/drawing/2014/main" id="{A9BF728F-D7F5-49BD-9205-EAF756D162AB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2" name="$E$108">
            <a:extLst>
              <a:ext uri="{FF2B5EF4-FFF2-40B4-BE49-F238E27FC236}">
                <a16:creationId xmlns:a16="http://schemas.microsoft.com/office/drawing/2014/main" id="{9C739A8E-50AB-4465-A53F-F065F34D2A24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3" name="$E$108">
            <a:extLst>
              <a:ext uri="{FF2B5EF4-FFF2-40B4-BE49-F238E27FC236}">
                <a16:creationId xmlns:a16="http://schemas.microsoft.com/office/drawing/2014/main" id="{035E1722-224B-4DB6-B7A3-4C378EF914C9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4" name="$E$108">
            <a:extLst>
              <a:ext uri="{FF2B5EF4-FFF2-40B4-BE49-F238E27FC236}">
                <a16:creationId xmlns:a16="http://schemas.microsoft.com/office/drawing/2014/main" id="{E536921E-B782-4BA4-B04A-59248E8741A9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5" name="$E$108">
            <a:extLst>
              <a:ext uri="{FF2B5EF4-FFF2-40B4-BE49-F238E27FC236}">
                <a16:creationId xmlns:a16="http://schemas.microsoft.com/office/drawing/2014/main" id="{519A7871-6BB1-42C9-9E36-DCF4E0CA1182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6" name="$E$108">
            <a:extLst>
              <a:ext uri="{FF2B5EF4-FFF2-40B4-BE49-F238E27FC236}">
                <a16:creationId xmlns:a16="http://schemas.microsoft.com/office/drawing/2014/main" id="{5F3CC4B8-9EBA-4317-937B-D9C881FFBF91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7" name="$E$108">
            <a:extLst>
              <a:ext uri="{FF2B5EF4-FFF2-40B4-BE49-F238E27FC236}">
                <a16:creationId xmlns:a16="http://schemas.microsoft.com/office/drawing/2014/main" id="{CE728EE4-59A3-4588-A593-D837D26D8576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8" name="$E$108">
            <a:extLst>
              <a:ext uri="{FF2B5EF4-FFF2-40B4-BE49-F238E27FC236}">
                <a16:creationId xmlns:a16="http://schemas.microsoft.com/office/drawing/2014/main" id="{419CAE6B-72B1-4694-8494-1EADB3CBBF92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19" name="$E$108">
            <a:extLst>
              <a:ext uri="{FF2B5EF4-FFF2-40B4-BE49-F238E27FC236}">
                <a16:creationId xmlns:a16="http://schemas.microsoft.com/office/drawing/2014/main" id="{5F7D8781-46CF-4A4E-8635-3B9A0FA3A579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0" name="$E$108">
            <a:extLst>
              <a:ext uri="{FF2B5EF4-FFF2-40B4-BE49-F238E27FC236}">
                <a16:creationId xmlns:a16="http://schemas.microsoft.com/office/drawing/2014/main" id="{D9B54856-DB5E-46C6-AF58-B7FAF71CF0E0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1" name="$E$108">
            <a:extLst>
              <a:ext uri="{FF2B5EF4-FFF2-40B4-BE49-F238E27FC236}">
                <a16:creationId xmlns:a16="http://schemas.microsoft.com/office/drawing/2014/main" id="{DEE0448F-FC82-4D4D-BB77-F281B028FCC2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2" name="$E$108">
            <a:extLst>
              <a:ext uri="{FF2B5EF4-FFF2-40B4-BE49-F238E27FC236}">
                <a16:creationId xmlns:a16="http://schemas.microsoft.com/office/drawing/2014/main" id="{6ADBD44C-3A6A-4BBF-9F5D-BCAFA00FA0D4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3" name="$E$108">
            <a:extLst>
              <a:ext uri="{FF2B5EF4-FFF2-40B4-BE49-F238E27FC236}">
                <a16:creationId xmlns:a16="http://schemas.microsoft.com/office/drawing/2014/main" id="{1C3A6E0C-3DF4-4AF2-B3F9-3446D22F2145}"/>
              </a:ext>
            </a:extLst>
          </xdr:cNvPr>
          <xdr:cNvSpPr/>
        </xdr:nvSpPr>
        <xdr:spPr>
          <a:xfrm>
            <a:off x="279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4" name="$E$108">
            <a:extLst>
              <a:ext uri="{FF2B5EF4-FFF2-40B4-BE49-F238E27FC236}">
                <a16:creationId xmlns:a16="http://schemas.microsoft.com/office/drawing/2014/main" id="{480AEBFD-AED7-4079-A101-4E7A0815E62D}"/>
              </a:ext>
            </a:extLst>
          </xdr:cNvPr>
          <xdr:cNvSpPr/>
        </xdr:nvSpPr>
        <xdr:spPr>
          <a:xfrm>
            <a:off x="292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5" name="$E$108">
            <a:extLst>
              <a:ext uri="{FF2B5EF4-FFF2-40B4-BE49-F238E27FC236}">
                <a16:creationId xmlns:a16="http://schemas.microsoft.com/office/drawing/2014/main" id="{0544FE15-4D21-4D79-A4A1-E2C5F0F114C3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6" name="$E$108">
            <a:extLst>
              <a:ext uri="{FF2B5EF4-FFF2-40B4-BE49-F238E27FC236}">
                <a16:creationId xmlns:a16="http://schemas.microsoft.com/office/drawing/2014/main" id="{679916F5-6006-40DE-B89A-EAC43AE53794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7" name="$E$108">
            <a:extLst>
              <a:ext uri="{FF2B5EF4-FFF2-40B4-BE49-F238E27FC236}">
                <a16:creationId xmlns:a16="http://schemas.microsoft.com/office/drawing/2014/main" id="{9CA0E006-1914-465F-A9D6-6E7D73549B05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8" name="$E$108">
            <a:extLst>
              <a:ext uri="{FF2B5EF4-FFF2-40B4-BE49-F238E27FC236}">
                <a16:creationId xmlns:a16="http://schemas.microsoft.com/office/drawing/2014/main" id="{BDC2BF26-7AAE-487E-8748-4252644E7FD1}"/>
              </a:ext>
            </a:extLst>
          </xdr:cNvPr>
          <xdr:cNvSpPr/>
        </xdr:nvSpPr>
        <xdr:spPr>
          <a:xfrm>
            <a:off x="368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29" name="$E$108">
            <a:extLst>
              <a:ext uri="{FF2B5EF4-FFF2-40B4-BE49-F238E27FC236}">
                <a16:creationId xmlns:a16="http://schemas.microsoft.com/office/drawing/2014/main" id="{8A26597C-7740-473B-9E51-210984D3BC29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0" name="$E$108">
            <a:extLst>
              <a:ext uri="{FF2B5EF4-FFF2-40B4-BE49-F238E27FC236}">
                <a16:creationId xmlns:a16="http://schemas.microsoft.com/office/drawing/2014/main" id="{617A03CD-E393-4852-BC6A-8CD49049B09E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1" name="$E$108">
            <a:extLst>
              <a:ext uri="{FF2B5EF4-FFF2-40B4-BE49-F238E27FC236}">
                <a16:creationId xmlns:a16="http://schemas.microsoft.com/office/drawing/2014/main" id="{9B2824C0-29C7-4AE4-9EC5-CCC788E163A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2" name="$E$108">
            <a:extLst>
              <a:ext uri="{FF2B5EF4-FFF2-40B4-BE49-F238E27FC236}">
                <a16:creationId xmlns:a16="http://schemas.microsoft.com/office/drawing/2014/main" id="{2EA421A3-41FF-460E-9B87-EFF675522635}"/>
              </a:ext>
            </a:extLst>
          </xdr:cNvPr>
          <xdr:cNvSpPr/>
        </xdr:nvSpPr>
        <xdr:spPr>
          <a:xfrm>
            <a:off x="88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3" name="$E$108">
            <a:extLst>
              <a:ext uri="{FF2B5EF4-FFF2-40B4-BE49-F238E27FC236}">
                <a16:creationId xmlns:a16="http://schemas.microsoft.com/office/drawing/2014/main" id="{C1A251CC-2766-42D7-9AB1-548BF85C76C1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4" name="$E$108">
            <a:extLst>
              <a:ext uri="{FF2B5EF4-FFF2-40B4-BE49-F238E27FC236}">
                <a16:creationId xmlns:a16="http://schemas.microsoft.com/office/drawing/2014/main" id="{F1428F27-2DAB-4718-869F-5FD468C34EA3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5" name="$E$108">
            <a:extLst>
              <a:ext uri="{FF2B5EF4-FFF2-40B4-BE49-F238E27FC236}">
                <a16:creationId xmlns:a16="http://schemas.microsoft.com/office/drawing/2014/main" id="{36887CF0-F64C-4931-B233-0B5B24B796E2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6" name="$E$108">
            <a:extLst>
              <a:ext uri="{FF2B5EF4-FFF2-40B4-BE49-F238E27FC236}">
                <a16:creationId xmlns:a16="http://schemas.microsoft.com/office/drawing/2014/main" id="{BFB030B8-A4FB-47A8-9438-43966DDDDE0E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7" name="$E$108">
            <a:extLst>
              <a:ext uri="{FF2B5EF4-FFF2-40B4-BE49-F238E27FC236}">
                <a16:creationId xmlns:a16="http://schemas.microsoft.com/office/drawing/2014/main" id="{E4F339BE-B82C-4DAF-B7D8-00EFAE51A381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8" name="$E$108">
            <a:extLst>
              <a:ext uri="{FF2B5EF4-FFF2-40B4-BE49-F238E27FC236}">
                <a16:creationId xmlns:a16="http://schemas.microsoft.com/office/drawing/2014/main" id="{ECF894DF-D54B-4253-AB07-9793CF339089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39" name="$E$108">
            <a:extLst>
              <a:ext uri="{FF2B5EF4-FFF2-40B4-BE49-F238E27FC236}">
                <a16:creationId xmlns:a16="http://schemas.microsoft.com/office/drawing/2014/main" id="{32854425-DB3D-49B9-A33F-EBAB60D8EB62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0" name="$E$108">
            <a:extLst>
              <a:ext uri="{FF2B5EF4-FFF2-40B4-BE49-F238E27FC236}">
                <a16:creationId xmlns:a16="http://schemas.microsoft.com/office/drawing/2014/main" id="{A804010C-92CA-44B7-9F6C-52E6330FDA3C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1" name="$E$108">
            <a:extLst>
              <a:ext uri="{FF2B5EF4-FFF2-40B4-BE49-F238E27FC236}">
                <a16:creationId xmlns:a16="http://schemas.microsoft.com/office/drawing/2014/main" id="{9C14228B-6F06-4845-8F29-572BA319706D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2" name="$E$108">
            <a:extLst>
              <a:ext uri="{FF2B5EF4-FFF2-40B4-BE49-F238E27FC236}">
                <a16:creationId xmlns:a16="http://schemas.microsoft.com/office/drawing/2014/main" id="{91FFA149-B796-4138-8F5E-CB91C6472DE4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3" name="$E$108">
            <a:extLst>
              <a:ext uri="{FF2B5EF4-FFF2-40B4-BE49-F238E27FC236}">
                <a16:creationId xmlns:a16="http://schemas.microsoft.com/office/drawing/2014/main" id="{D9B0F18E-D5B5-4656-A546-800D6827F323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4" name="$E$108">
            <a:extLst>
              <a:ext uri="{FF2B5EF4-FFF2-40B4-BE49-F238E27FC236}">
                <a16:creationId xmlns:a16="http://schemas.microsoft.com/office/drawing/2014/main" id="{30FF9823-5039-4088-860E-352B9915F168}"/>
              </a:ext>
            </a:extLst>
          </xdr:cNvPr>
          <xdr:cNvSpPr/>
        </xdr:nvSpPr>
        <xdr:spPr>
          <a:xfrm>
            <a:off x="330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5" name="$E$108">
            <a:extLst>
              <a:ext uri="{FF2B5EF4-FFF2-40B4-BE49-F238E27FC236}">
                <a16:creationId xmlns:a16="http://schemas.microsoft.com/office/drawing/2014/main" id="{B60CD1C5-6551-4D8D-A214-E2BB1A3F2C2E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6" name="$E$108">
            <a:extLst>
              <a:ext uri="{FF2B5EF4-FFF2-40B4-BE49-F238E27FC236}">
                <a16:creationId xmlns:a16="http://schemas.microsoft.com/office/drawing/2014/main" id="{51FCE12C-FD8A-496B-89B2-855BD84FBC73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7" name="$E$108">
            <a:extLst>
              <a:ext uri="{FF2B5EF4-FFF2-40B4-BE49-F238E27FC236}">
                <a16:creationId xmlns:a16="http://schemas.microsoft.com/office/drawing/2014/main" id="{8279C905-C255-4DF4-B775-F72A8030A303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8" name="$E$108">
            <a:extLst>
              <a:ext uri="{FF2B5EF4-FFF2-40B4-BE49-F238E27FC236}">
                <a16:creationId xmlns:a16="http://schemas.microsoft.com/office/drawing/2014/main" id="{C1A439C3-BE14-4AC4-BD3F-957842FFE7D2}"/>
              </a:ext>
            </a:extLst>
          </xdr:cNvPr>
          <xdr:cNvSpPr/>
        </xdr:nvSpPr>
        <xdr:spPr>
          <a:xfrm>
            <a:off x="12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49" name="$E$108">
            <a:extLst>
              <a:ext uri="{FF2B5EF4-FFF2-40B4-BE49-F238E27FC236}">
                <a16:creationId xmlns:a16="http://schemas.microsoft.com/office/drawing/2014/main" id="{E642C219-89D3-4806-BBDA-A4AFEA97D989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0" name="$E$108">
            <a:extLst>
              <a:ext uri="{FF2B5EF4-FFF2-40B4-BE49-F238E27FC236}">
                <a16:creationId xmlns:a16="http://schemas.microsoft.com/office/drawing/2014/main" id="{88537ED7-AD40-4A5C-B3C3-B6A24278F1D3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1" name="$E$108">
            <a:extLst>
              <a:ext uri="{FF2B5EF4-FFF2-40B4-BE49-F238E27FC236}">
                <a16:creationId xmlns:a16="http://schemas.microsoft.com/office/drawing/2014/main" id="{D8C27DA8-87DE-4C17-BE2A-2E8D9295D529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2" name="$E$108">
            <a:extLst>
              <a:ext uri="{FF2B5EF4-FFF2-40B4-BE49-F238E27FC236}">
                <a16:creationId xmlns:a16="http://schemas.microsoft.com/office/drawing/2014/main" id="{8940CE62-C82A-4679-9736-D6A5835D5BDF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3" name="$E$108">
            <a:extLst>
              <a:ext uri="{FF2B5EF4-FFF2-40B4-BE49-F238E27FC236}">
                <a16:creationId xmlns:a16="http://schemas.microsoft.com/office/drawing/2014/main" id="{2EA18FC0-ED74-4607-8DF0-971E69ED2E26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4" name="$E$108">
            <a:extLst>
              <a:ext uri="{FF2B5EF4-FFF2-40B4-BE49-F238E27FC236}">
                <a16:creationId xmlns:a16="http://schemas.microsoft.com/office/drawing/2014/main" id="{BBC11ED5-D295-4D75-AD4F-4617FC113FF4}"/>
              </a:ext>
            </a:extLst>
          </xdr:cNvPr>
          <xdr:cNvSpPr/>
        </xdr:nvSpPr>
        <xdr:spPr>
          <a:xfrm>
            <a:off x="190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5" name="$E$108">
            <a:extLst>
              <a:ext uri="{FF2B5EF4-FFF2-40B4-BE49-F238E27FC236}">
                <a16:creationId xmlns:a16="http://schemas.microsoft.com/office/drawing/2014/main" id="{B15E8880-704B-4A5D-AE03-49CB79DD668D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6" name="$E$108">
            <a:extLst>
              <a:ext uri="{FF2B5EF4-FFF2-40B4-BE49-F238E27FC236}">
                <a16:creationId xmlns:a16="http://schemas.microsoft.com/office/drawing/2014/main" id="{0DD7AB20-9357-46E1-A685-0214267AA077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7" name="$E$108">
            <a:extLst>
              <a:ext uri="{FF2B5EF4-FFF2-40B4-BE49-F238E27FC236}">
                <a16:creationId xmlns:a16="http://schemas.microsoft.com/office/drawing/2014/main" id="{054D3441-E4BE-4A36-9E52-AE0ED259A9F7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8" name="$E$108">
            <a:extLst>
              <a:ext uri="{FF2B5EF4-FFF2-40B4-BE49-F238E27FC236}">
                <a16:creationId xmlns:a16="http://schemas.microsoft.com/office/drawing/2014/main" id="{9FD88EC2-91D7-4988-8A41-C54549C3C1EE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59" name="$E$108">
            <a:extLst>
              <a:ext uri="{FF2B5EF4-FFF2-40B4-BE49-F238E27FC236}">
                <a16:creationId xmlns:a16="http://schemas.microsoft.com/office/drawing/2014/main" id="{43588EE3-D1AD-4F60-A03C-87C5132215CF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0" name="$E$108">
            <a:extLst>
              <a:ext uri="{FF2B5EF4-FFF2-40B4-BE49-F238E27FC236}">
                <a16:creationId xmlns:a16="http://schemas.microsoft.com/office/drawing/2014/main" id="{F01A33DC-952B-45AF-AD5C-EA60B986E872}"/>
              </a:ext>
            </a:extLst>
          </xdr:cNvPr>
          <xdr:cNvSpPr/>
        </xdr:nvSpPr>
        <xdr:spPr>
          <a:xfrm>
            <a:off x="381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1" name="$E$108">
            <a:extLst>
              <a:ext uri="{FF2B5EF4-FFF2-40B4-BE49-F238E27FC236}">
                <a16:creationId xmlns:a16="http://schemas.microsoft.com/office/drawing/2014/main" id="{7B57F4C5-90EE-4276-AF46-0BD4D188D3CE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2" name="$E$108">
            <a:extLst>
              <a:ext uri="{FF2B5EF4-FFF2-40B4-BE49-F238E27FC236}">
                <a16:creationId xmlns:a16="http://schemas.microsoft.com/office/drawing/2014/main" id="{287A9AEB-9764-4C68-B5B1-2DF2374A8B2C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3" name="$E$108">
            <a:extLst>
              <a:ext uri="{FF2B5EF4-FFF2-40B4-BE49-F238E27FC236}">
                <a16:creationId xmlns:a16="http://schemas.microsoft.com/office/drawing/2014/main" id="{6AEAF9B5-34A1-4C06-905C-BDEFB4317B35}"/>
              </a:ext>
            </a:extLst>
          </xdr:cNvPr>
          <xdr:cNvSpPr/>
        </xdr:nvSpPr>
        <xdr:spPr>
          <a:xfrm>
            <a:off x="88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4" name="$E$108">
            <a:extLst>
              <a:ext uri="{FF2B5EF4-FFF2-40B4-BE49-F238E27FC236}">
                <a16:creationId xmlns:a16="http://schemas.microsoft.com/office/drawing/2014/main" id="{E5842171-17F7-45C1-B787-00A2C0C1AEA8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5" name="$E$108">
            <a:extLst>
              <a:ext uri="{FF2B5EF4-FFF2-40B4-BE49-F238E27FC236}">
                <a16:creationId xmlns:a16="http://schemas.microsoft.com/office/drawing/2014/main" id="{9D19C3E3-6E32-4C5A-A070-0ECA597FAF07}"/>
              </a:ext>
            </a:extLst>
          </xdr:cNvPr>
          <xdr:cNvSpPr/>
        </xdr:nvSpPr>
        <xdr:spPr>
          <a:xfrm>
            <a:off x="165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6" name="$E$108">
            <a:extLst>
              <a:ext uri="{FF2B5EF4-FFF2-40B4-BE49-F238E27FC236}">
                <a16:creationId xmlns:a16="http://schemas.microsoft.com/office/drawing/2014/main" id="{18EC463F-41E7-42D7-8E20-E2DF89C14A3A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7" name="$E$108">
            <a:extLst>
              <a:ext uri="{FF2B5EF4-FFF2-40B4-BE49-F238E27FC236}">
                <a16:creationId xmlns:a16="http://schemas.microsoft.com/office/drawing/2014/main" id="{F6287278-8CEF-4D08-9F78-9759756733C2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8" name="$E$108">
            <a:extLst>
              <a:ext uri="{FF2B5EF4-FFF2-40B4-BE49-F238E27FC236}">
                <a16:creationId xmlns:a16="http://schemas.microsoft.com/office/drawing/2014/main" id="{3FD240DD-1485-40A8-84D3-3217970AEEEB}"/>
              </a:ext>
            </a:extLst>
          </xdr:cNvPr>
          <xdr:cNvSpPr/>
        </xdr:nvSpPr>
        <xdr:spPr>
          <a:xfrm>
            <a:off x="266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69" name="$E$108">
            <a:extLst>
              <a:ext uri="{FF2B5EF4-FFF2-40B4-BE49-F238E27FC236}">
                <a16:creationId xmlns:a16="http://schemas.microsoft.com/office/drawing/2014/main" id="{85F616C5-46CC-4AD7-AD9D-BF51C5B4F00C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0" name="$E$108">
            <a:extLst>
              <a:ext uri="{FF2B5EF4-FFF2-40B4-BE49-F238E27FC236}">
                <a16:creationId xmlns:a16="http://schemas.microsoft.com/office/drawing/2014/main" id="{EF9C5393-F81C-4263-A7DC-38D7D2074081}"/>
              </a:ext>
            </a:extLst>
          </xdr:cNvPr>
          <xdr:cNvSpPr/>
        </xdr:nvSpPr>
        <xdr:spPr>
          <a:xfrm>
            <a:off x="292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1" name="$E$108">
            <a:extLst>
              <a:ext uri="{FF2B5EF4-FFF2-40B4-BE49-F238E27FC236}">
                <a16:creationId xmlns:a16="http://schemas.microsoft.com/office/drawing/2014/main" id="{E168D0D5-0BAD-4E6F-BAB2-11FBED8C39D8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2" name="$E$108">
            <a:extLst>
              <a:ext uri="{FF2B5EF4-FFF2-40B4-BE49-F238E27FC236}">
                <a16:creationId xmlns:a16="http://schemas.microsoft.com/office/drawing/2014/main" id="{C86B16F9-8AB3-4B86-954C-F70ABB86EA5C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3" name="$E$108">
            <a:extLst>
              <a:ext uri="{FF2B5EF4-FFF2-40B4-BE49-F238E27FC236}">
                <a16:creationId xmlns:a16="http://schemas.microsoft.com/office/drawing/2014/main" id="{C5D2A983-ECF4-4AF1-B5E8-59535834CBF1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4" name="$E$108">
            <a:extLst>
              <a:ext uri="{FF2B5EF4-FFF2-40B4-BE49-F238E27FC236}">
                <a16:creationId xmlns:a16="http://schemas.microsoft.com/office/drawing/2014/main" id="{8C799EA4-4F1C-4DD3-995B-D78301B279E0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5" name="$E$108">
            <a:extLst>
              <a:ext uri="{FF2B5EF4-FFF2-40B4-BE49-F238E27FC236}">
                <a16:creationId xmlns:a16="http://schemas.microsoft.com/office/drawing/2014/main" id="{CE352362-20F5-4391-8032-CD7036B981BE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6" name="$E$108">
            <a:extLst>
              <a:ext uri="{FF2B5EF4-FFF2-40B4-BE49-F238E27FC236}">
                <a16:creationId xmlns:a16="http://schemas.microsoft.com/office/drawing/2014/main" id="{CF647273-6476-47F3-80B6-1CF8883058F1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7" name="$E$108">
            <a:extLst>
              <a:ext uri="{FF2B5EF4-FFF2-40B4-BE49-F238E27FC236}">
                <a16:creationId xmlns:a16="http://schemas.microsoft.com/office/drawing/2014/main" id="{EEA6457C-12F2-41E4-8225-0FC9CFD9FFEC}"/>
              </a:ext>
            </a:extLst>
          </xdr:cNvPr>
          <xdr:cNvSpPr/>
        </xdr:nvSpPr>
        <xdr:spPr>
          <a:xfrm>
            <a:off x="12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8" name="$E$108">
            <a:extLst>
              <a:ext uri="{FF2B5EF4-FFF2-40B4-BE49-F238E27FC236}">
                <a16:creationId xmlns:a16="http://schemas.microsoft.com/office/drawing/2014/main" id="{53C86D57-12D5-4A77-A879-ACFDD684B79F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79" name="$E$108">
            <a:extLst>
              <a:ext uri="{FF2B5EF4-FFF2-40B4-BE49-F238E27FC236}">
                <a16:creationId xmlns:a16="http://schemas.microsoft.com/office/drawing/2014/main" id="{728E8136-9FB4-4C19-984A-0E7B0C7BDAE8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0" name="$E$108">
            <a:extLst>
              <a:ext uri="{FF2B5EF4-FFF2-40B4-BE49-F238E27FC236}">
                <a16:creationId xmlns:a16="http://schemas.microsoft.com/office/drawing/2014/main" id="{5489CDEB-A90A-4408-8182-F087944A3B47}"/>
              </a:ext>
            </a:extLst>
          </xdr:cNvPr>
          <xdr:cNvSpPr/>
        </xdr:nvSpPr>
        <xdr:spPr>
          <a:xfrm>
            <a:off x="50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1" name="$E$108">
            <a:extLst>
              <a:ext uri="{FF2B5EF4-FFF2-40B4-BE49-F238E27FC236}">
                <a16:creationId xmlns:a16="http://schemas.microsoft.com/office/drawing/2014/main" id="{6CE3FA4F-8D1D-4AAE-B36A-6A24190BCC72}"/>
              </a:ext>
            </a:extLst>
          </xdr:cNvPr>
          <xdr:cNvSpPr/>
        </xdr:nvSpPr>
        <xdr:spPr>
          <a:xfrm>
            <a:off x="63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2" name="$E$108">
            <a:extLst>
              <a:ext uri="{FF2B5EF4-FFF2-40B4-BE49-F238E27FC236}">
                <a16:creationId xmlns:a16="http://schemas.microsoft.com/office/drawing/2014/main" id="{EBA4BE9B-CE9D-4244-B7C5-7757A069E56F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3" name="$E$108">
            <a:extLst>
              <a:ext uri="{FF2B5EF4-FFF2-40B4-BE49-F238E27FC236}">
                <a16:creationId xmlns:a16="http://schemas.microsoft.com/office/drawing/2014/main" id="{94E7709C-47C4-42E2-B3F4-86E00A2C3B26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4" name="$E$108">
            <a:extLst>
              <a:ext uri="{FF2B5EF4-FFF2-40B4-BE49-F238E27FC236}">
                <a16:creationId xmlns:a16="http://schemas.microsoft.com/office/drawing/2014/main" id="{71BFADEC-5067-4829-8F05-2112CC1A0E0A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5" name="$E$108">
            <a:extLst>
              <a:ext uri="{FF2B5EF4-FFF2-40B4-BE49-F238E27FC236}">
                <a16:creationId xmlns:a16="http://schemas.microsoft.com/office/drawing/2014/main" id="{15DD4E20-75BC-41E6-912D-77483EF96785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6" name="$E$108">
            <a:extLst>
              <a:ext uri="{FF2B5EF4-FFF2-40B4-BE49-F238E27FC236}">
                <a16:creationId xmlns:a16="http://schemas.microsoft.com/office/drawing/2014/main" id="{C85200EA-0510-40C5-AAE8-9E8E07D3304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7" name="$E$108">
            <a:extLst>
              <a:ext uri="{FF2B5EF4-FFF2-40B4-BE49-F238E27FC236}">
                <a16:creationId xmlns:a16="http://schemas.microsoft.com/office/drawing/2014/main" id="{DD15C6EE-AD22-48EA-A2D4-6192D2D56E42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8" name="$E$108">
            <a:extLst>
              <a:ext uri="{FF2B5EF4-FFF2-40B4-BE49-F238E27FC236}">
                <a16:creationId xmlns:a16="http://schemas.microsoft.com/office/drawing/2014/main" id="{390CF1DB-BA9B-476E-92C0-06723381B62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89" name="$E$108">
            <a:extLst>
              <a:ext uri="{FF2B5EF4-FFF2-40B4-BE49-F238E27FC236}">
                <a16:creationId xmlns:a16="http://schemas.microsoft.com/office/drawing/2014/main" id="{F5BDC681-4A0C-4D5E-A606-C00E4DFBE5EB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0" name="$E$108">
            <a:extLst>
              <a:ext uri="{FF2B5EF4-FFF2-40B4-BE49-F238E27FC236}">
                <a16:creationId xmlns:a16="http://schemas.microsoft.com/office/drawing/2014/main" id="{3E3989F7-A138-43B7-B4F2-281FAEC9D2F3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1" name="$E$108">
            <a:extLst>
              <a:ext uri="{FF2B5EF4-FFF2-40B4-BE49-F238E27FC236}">
                <a16:creationId xmlns:a16="http://schemas.microsoft.com/office/drawing/2014/main" id="{138C24F8-8D10-48BE-B1DC-EBBCCEC2BB14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2" name="$E$108">
            <a:extLst>
              <a:ext uri="{FF2B5EF4-FFF2-40B4-BE49-F238E27FC236}">
                <a16:creationId xmlns:a16="http://schemas.microsoft.com/office/drawing/2014/main" id="{B50E1542-793B-4EA3-B06C-C06BD72118B8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3" name="$E$108">
            <a:extLst>
              <a:ext uri="{FF2B5EF4-FFF2-40B4-BE49-F238E27FC236}">
                <a16:creationId xmlns:a16="http://schemas.microsoft.com/office/drawing/2014/main" id="{CE682DEC-085B-4674-8EE1-4B860B0BCE47}"/>
              </a:ext>
            </a:extLst>
          </xdr:cNvPr>
          <xdr:cNvSpPr/>
        </xdr:nvSpPr>
        <xdr:spPr>
          <a:xfrm>
            <a:off x="393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4" name="$E$108">
            <a:extLst>
              <a:ext uri="{FF2B5EF4-FFF2-40B4-BE49-F238E27FC236}">
                <a16:creationId xmlns:a16="http://schemas.microsoft.com/office/drawing/2014/main" id="{FB0599A0-45F0-4ABA-8FC5-3F598A040A26}"/>
              </a:ext>
            </a:extLst>
          </xdr:cNvPr>
          <xdr:cNvSpPr/>
        </xdr:nvSpPr>
        <xdr:spPr>
          <a:xfrm>
            <a:off x="406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5" name="$E$108">
            <a:extLst>
              <a:ext uri="{FF2B5EF4-FFF2-40B4-BE49-F238E27FC236}">
                <a16:creationId xmlns:a16="http://schemas.microsoft.com/office/drawing/2014/main" id="{5437408A-0C47-4EAD-A8F2-FE88988286C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6" name="$E$108">
            <a:extLst>
              <a:ext uri="{FF2B5EF4-FFF2-40B4-BE49-F238E27FC236}">
                <a16:creationId xmlns:a16="http://schemas.microsoft.com/office/drawing/2014/main" id="{2006D021-1CC6-40EA-8CD2-FA4FEDCF96F3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7" name="$E$108">
            <a:extLst>
              <a:ext uri="{FF2B5EF4-FFF2-40B4-BE49-F238E27FC236}">
                <a16:creationId xmlns:a16="http://schemas.microsoft.com/office/drawing/2014/main" id="{4F35EFF0-1D1A-484E-A3FA-631D5C0B8DD2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8" name="$E$108">
            <a:extLst>
              <a:ext uri="{FF2B5EF4-FFF2-40B4-BE49-F238E27FC236}">
                <a16:creationId xmlns:a16="http://schemas.microsoft.com/office/drawing/2014/main" id="{73C9F25E-DB9E-45EE-8E04-E0D3AE51DC4F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499" name="$E$108">
            <a:extLst>
              <a:ext uri="{FF2B5EF4-FFF2-40B4-BE49-F238E27FC236}">
                <a16:creationId xmlns:a16="http://schemas.microsoft.com/office/drawing/2014/main" id="{71C59674-5D33-47F5-9A2B-CF73524C0841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00" name="$E$108">
            <a:extLst>
              <a:ext uri="{FF2B5EF4-FFF2-40B4-BE49-F238E27FC236}">
                <a16:creationId xmlns:a16="http://schemas.microsoft.com/office/drawing/2014/main" id="{762C3800-418C-4A24-907E-D689BA7AB1BD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01" name="$E$108">
            <a:extLst>
              <a:ext uri="{FF2B5EF4-FFF2-40B4-BE49-F238E27FC236}">
                <a16:creationId xmlns:a16="http://schemas.microsoft.com/office/drawing/2014/main" id="{91894AA2-DB1C-475A-8BE5-57D7839022DD}"/>
              </a:ext>
            </a:extLst>
          </xdr:cNvPr>
          <xdr:cNvSpPr/>
        </xdr:nvSpPr>
        <xdr:spPr>
          <a:xfrm>
            <a:off x="88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02" name="$E$108">
            <a:extLst>
              <a:ext uri="{FF2B5EF4-FFF2-40B4-BE49-F238E27FC236}">
                <a16:creationId xmlns:a16="http://schemas.microsoft.com/office/drawing/2014/main" id="{141DD378-EC36-4528-8024-D759F8B736D2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03" name="$E$108">
            <a:extLst>
              <a:ext uri="{FF2B5EF4-FFF2-40B4-BE49-F238E27FC236}">
                <a16:creationId xmlns:a16="http://schemas.microsoft.com/office/drawing/2014/main" id="{8D5CC187-E51D-4E08-9B41-14ACC9738B8B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04" name="$E$108">
            <a:extLst>
              <a:ext uri="{FF2B5EF4-FFF2-40B4-BE49-F238E27FC236}">
                <a16:creationId xmlns:a16="http://schemas.microsoft.com/office/drawing/2014/main" id="{C4A09C03-7030-41AF-A1AD-23DC87532D6A}"/>
              </a:ext>
            </a:extLst>
          </xdr:cNvPr>
          <xdr:cNvSpPr/>
        </xdr:nvSpPr>
        <xdr:spPr>
          <a:xfrm>
            <a:off x="203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05" name="$E$108">
            <a:extLst>
              <a:ext uri="{FF2B5EF4-FFF2-40B4-BE49-F238E27FC236}">
                <a16:creationId xmlns:a16="http://schemas.microsoft.com/office/drawing/2014/main" id="{491396BE-9F9F-422E-B9E2-3954CE206613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06" name="$E$108">
            <a:extLst>
              <a:ext uri="{FF2B5EF4-FFF2-40B4-BE49-F238E27FC236}">
                <a16:creationId xmlns:a16="http://schemas.microsoft.com/office/drawing/2014/main" id="{A4BAEFD5-A677-4946-98A5-3812EAAB3DEE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07" name="$E$108">
            <a:extLst>
              <a:ext uri="{FF2B5EF4-FFF2-40B4-BE49-F238E27FC236}">
                <a16:creationId xmlns:a16="http://schemas.microsoft.com/office/drawing/2014/main" id="{275FE33F-4FE0-47A9-8B85-8EA0C509D551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08" name="$E$108">
            <a:extLst>
              <a:ext uri="{FF2B5EF4-FFF2-40B4-BE49-F238E27FC236}">
                <a16:creationId xmlns:a16="http://schemas.microsoft.com/office/drawing/2014/main" id="{E8741D5B-7B64-4576-BA90-E74E295FA1DB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09" name="$E$108">
            <a:extLst>
              <a:ext uri="{FF2B5EF4-FFF2-40B4-BE49-F238E27FC236}">
                <a16:creationId xmlns:a16="http://schemas.microsoft.com/office/drawing/2014/main" id="{EFC75288-0517-4DE3-9773-9A331AD5C6C1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0" name="$E$108">
            <a:extLst>
              <a:ext uri="{FF2B5EF4-FFF2-40B4-BE49-F238E27FC236}">
                <a16:creationId xmlns:a16="http://schemas.microsoft.com/office/drawing/2014/main" id="{A11D490F-10ED-4A26-A0B4-B92379D7A709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1" name="$E$108">
            <a:extLst>
              <a:ext uri="{FF2B5EF4-FFF2-40B4-BE49-F238E27FC236}">
                <a16:creationId xmlns:a16="http://schemas.microsoft.com/office/drawing/2014/main" id="{F85484F7-B81C-4E62-87FB-74F607E26E1A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2" name="$E$108">
            <a:extLst>
              <a:ext uri="{FF2B5EF4-FFF2-40B4-BE49-F238E27FC236}">
                <a16:creationId xmlns:a16="http://schemas.microsoft.com/office/drawing/2014/main" id="{3AA33E80-1539-4DBB-A7CE-D287376E3BAE}"/>
              </a:ext>
            </a:extLst>
          </xdr:cNvPr>
          <xdr:cNvSpPr/>
        </xdr:nvSpPr>
        <xdr:spPr>
          <a:xfrm>
            <a:off x="330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3" name="$E$108">
            <a:extLst>
              <a:ext uri="{FF2B5EF4-FFF2-40B4-BE49-F238E27FC236}">
                <a16:creationId xmlns:a16="http://schemas.microsoft.com/office/drawing/2014/main" id="{888B49C1-5F2F-43F5-A7B3-6AB9CD9F7D3E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4" name="$E$108">
            <a:extLst>
              <a:ext uri="{FF2B5EF4-FFF2-40B4-BE49-F238E27FC236}">
                <a16:creationId xmlns:a16="http://schemas.microsoft.com/office/drawing/2014/main" id="{BA8FEBB3-8DD9-482E-A695-450E893E9501}"/>
              </a:ext>
            </a:extLst>
          </xdr:cNvPr>
          <xdr:cNvSpPr/>
        </xdr:nvSpPr>
        <xdr:spPr>
          <a:xfrm>
            <a:off x="368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5" name="$E$108">
            <a:extLst>
              <a:ext uri="{FF2B5EF4-FFF2-40B4-BE49-F238E27FC236}">
                <a16:creationId xmlns:a16="http://schemas.microsoft.com/office/drawing/2014/main" id="{767AE111-64F1-430E-9150-5610B2D1025B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6" name="$E$108">
            <a:extLst>
              <a:ext uri="{FF2B5EF4-FFF2-40B4-BE49-F238E27FC236}">
                <a16:creationId xmlns:a16="http://schemas.microsoft.com/office/drawing/2014/main" id="{C8934E90-6441-413D-B9E4-B44DB98E64B7}"/>
              </a:ext>
            </a:extLst>
          </xdr:cNvPr>
          <xdr:cNvSpPr/>
        </xdr:nvSpPr>
        <xdr:spPr>
          <a:xfrm>
            <a:off x="406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7" name="$E$108">
            <a:extLst>
              <a:ext uri="{FF2B5EF4-FFF2-40B4-BE49-F238E27FC236}">
                <a16:creationId xmlns:a16="http://schemas.microsoft.com/office/drawing/2014/main" id="{47BE1474-0777-4C4E-A337-DF32331E9E59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8" name="$E$108">
            <a:extLst>
              <a:ext uri="{FF2B5EF4-FFF2-40B4-BE49-F238E27FC236}">
                <a16:creationId xmlns:a16="http://schemas.microsoft.com/office/drawing/2014/main" id="{FE42D644-F3F2-4B55-B7C0-E7FCDC88637B}"/>
              </a:ext>
            </a:extLst>
          </xdr:cNvPr>
          <xdr:cNvSpPr/>
        </xdr:nvSpPr>
        <xdr:spPr>
          <a:xfrm>
            <a:off x="38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19" name="$E$108">
            <a:extLst>
              <a:ext uri="{FF2B5EF4-FFF2-40B4-BE49-F238E27FC236}">
                <a16:creationId xmlns:a16="http://schemas.microsoft.com/office/drawing/2014/main" id="{0E3CD8D9-B8C3-418C-A033-3FE49CE77D2F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0" name="$E$108">
            <a:extLst>
              <a:ext uri="{FF2B5EF4-FFF2-40B4-BE49-F238E27FC236}">
                <a16:creationId xmlns:a16="http://schemas.microsoft.com/office/drawing/2014/main" id="{566E8591-036B-4E76-BC3F-CEFA48F1672F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1" name="$E$108">
            <a:extLst>
              <a:ext uri="{FF2B5EF4-FFF2-40B4-BE49-F238E27FC236}">
                <a16:creationId xmlns:a16="http://schemas.microsoft.com/office/drawing/2014/main" id="{B9A7EAAE-1659-4995-B562-CA581889A20E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2" name="$E$108">
            <a:extLst>
              <a:ext uri="{FF2B5EF4-FFF2-40B4-BE49-F238E27FC236}">
                <a16:creationId xmlns:a16="http://schemas.microsoft.com/office/drawing/2014/main" id="{67A8101B-0DDA-451C-98A1-2C686047C82A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3" name="$E$108">
            <a:extLst>
              <a:ext uri="{FF2B5EF4-FFF2-40B4-BE49-F238E27FC236}">
                <a16:creationId xmlns:a16="http://schemas.microsoft.com/office/drawing/2014/main" id="{51694516-D22A-4417-942E-C57D5E9D0A7E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4" name="$E$108">
            <a:extLst>
              <a:ext uri="{FF2B5EF4-FFF2-40B4-BE49-F238E27FC236}">
                <a16:creationId xmlns:a16="http://schemas.microsoft.com/office/drawing/2014/main" id="{D04D76F4-E6E8-44DF-A39D-C105F60FD061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5" name="$E$108">
            <a:extLst>
              <a:ext uri="{FF2B5EF4-FFF2-40B4-BE49-F238E27FC236}">
                <a16:creationId xmlns:a16="http://schemas.microsoft.com/office/drawing/2014/main" id="{5F011902-065D-4607-BD19-4F797FE29344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6" name="$E$108">
            <a:extLst>
              <a:ext uri="{FF2B5EF4-FFF2-40B4-BE49-F238E27FC236}">
                <a16:creationId xmlns:a16="http://schemas.microsoft.com/office/drawing/2014/main" id="{F884CEA0-DE68-458E-B55A-79EBDF42B168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7" name="$E$108">
            <a:extLst>
              <a:ext uri="{FF2B5EF4-FFF2-40B4-BE49-F238E27FC236}">
                <a16:creationId xmlns:a16="http://schemas.microsoft.com/office/drawing/2014/main" id="{03AE49AE-55FB-434E-A08C-C163B7C344EC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8" name="$E$108">
            <a:extLst>
              <a:ext uri="{FF2B5EF4-FFF2-40B4-BE49-F238E27FC236}">
                <a16:creationId xmlns:a16="http://schemas.microsoft.com/office/drawing/2014/main" id="{5016DD72-601D-4049-B0DC-8511C941DEC1}"/>
              </a:ext>
            </a:extLst>
          </xdr:cNvPr>
          <xdr:cNvSpPr/>
        </xdr:nvSpPr>
        <xdr:spPr>
          <a:xfrm>
            <a:off x="3429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29" name="$E$108">
            <a:extLst>
              <a:ext uri="{FF2B5EF4-FFF2-40B4-BE49-F238E27FC236}">
                <a16:creationId xmlns:a16="http://schemas.microsoft.com/office/drawing/2014/main" id="{9FED9673-100E-47ED-96D0-54751C3BAEF3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0" name="$E$108">
            <a:extLst>
              <a:ext uri="{FF2B5EF4-FFF2-40B4-BE49-F238E27FC236}">
                <a16:creationId xmlns:a16="http://schemas.microsoft.com/office/drawing/2014/main" id="{790E061C-A3F9-44FE-B6A3-3E21314EB147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1" name="$E$108">
            <a:extLst>
              <a:ext uri="{FF2B5EF4-FFF2-40B4-BE49-F238E27FC236}">
                <a16:creationId xmlns:a16="http://schemas.microsoft.com/office/drawing/2014/main" id="{CAD83662-F7F4-4A4A-9A6E-5D27E31FB203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2" name="$E$108">
            <a:extLst>
              <a:ext uri="{FF2B5EF4-FFF2-40B4-BE49-F238E27FC236}">
                <a16:creationId xmlns:a16="http://schemas.microsoft.com/office/drawing/2014/main" id="{A3CDA0E0-CC52-42CA-8F79-7AF73905BE06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3" name="$E$108">
            <a:extLst>
              <a:ext uri="{FF2B5EF4-FFF2-40B4-BE49-F238E27FC236}">
                <a16:creationId xmlns:a16="http://schemas.microsoft.com/office/drawing/2014/main" id="{228AAB9A-AD5E-49D0-8A5F-67C0C6EF8A6A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4" name="$E$108">
            <a:extLst>
              <a:ext uri="{FF2B5EF4-FFF2-40B4-BE49-F238E27FC236}">
                <a16:creationId xmlns:a16="http://schemas.microsoft.com/office/drawing/2014/main" id="{B80F1712-8496-4E5F-821A-E6E6E49C483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5" name="$E$108">
            <a:extLst>
              <a:ext uri="{FF2B5EF4-FFF2-40B4-BE49-F238E27FC236}">
                <a16:creationId xmlns:a16="http://schemas.microsoft.com/office/drawing/2014/main" id="{D25DBF7E-00F7-4657-978E-606A6DBED6A1}"/>
              </a:ext>
            </a:extLst>
          </xdr:cNvPr>
          <xdr:cNvSpPr/>
        </xdr:nvSpPr>
        <xdr:spPr>
          <a:xfrm>
            <a:off x="88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6" name="$E$108">
            <a:extLst>
              <a:ext uri="{FF2B5EF4-FFF2-40B4-BE49-F238E27FC236}">
                <a16:creationId xmlns:a16="http://schemas.microsoft.com/office/drawing/2014/main" id="{4A03E782-2C9F-4E62-AFE2-0E4C0A26138C}"/>
              </a:ext>
            </a:extLst>
          </xdr:cNvPr>
          <xdr:cNvSpPr/>
        </xdr:nvSpPr>
        <xdr:spPr>
          <a:xfrm>
            <a:off x="101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7" name="$E$108">
            <a:extLst>
              <a:ext uri="{FF2B5EF4-FFF2-40B4-BE49-F238E27FC236}">
                <a16:creationId xmlns:a16="http://schemas.microsoft.com/office/drawing/2014/main" id="{16F713EC-7715-4811-861E-8D68F4D236C5}"/>
              </a:ext>
            </a:extLst>
          </xdr:cNvPr>
          <xdr:cNvSpPr/>
        </xdr:nvSpPr>
        <xdr:spPr>
          <a:xfrm>
            <a:off x="114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8" name="$E$108">
            <a:extLst>
              <a:ext uri="{FF2B5EF4-FFF2-40B4-BE49-F238E27FC236}">
                <a16:creationId xmlns:a16="http://schemas.microsoft.com/office/drawing/2014/main" id="{63555C94-13EB-48FC-8C13-A972AA0985A1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39" name="$E$108">
            <a:extLst>
              <a:ext uri="{FF2B5EF4-FFF2-40B4-BE49-F238E27FC236}">
                <a16:creationId xmlns:a16="http://schemas.microsoft.com/office/drawing/2014/main" id="{FC776685-188F-43B0-AAD9-9CE001D95085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0" name="$E$108">
            <a:extLst>
              <a:ext uri="{FF2B5EF4-FFF2-40B4-BE49-F238E27FC236}">
                <a16:creationId xmlns:a16="http://schemas.microsoft.com/office/drawing/2014/main" id="{0EABC586-2328-46D2-AC49-FAF23AF43288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1" name="$E$108">
            <a:extLst>
              <a:ext uri="{FF2B5EF4-FFF2-40B4-BE49-F238E27FC236}">
                <a16:creationId xmlns:a16="http://schemas.microsoft.com/office/drawing/2014/main" id="{D5358880-054F-4DBB-8B3D-FDD16DD87B16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2" name="$E$108">
            <a:extLst>
              <a:ext uri="{FF2B5EF4-FFF2-40B4-BE49-F238E27FC236}">
                <a16:creationId xmlns:a16="http://schemas.microsoft.com/office/drawing/2014/main" id="{EF5BCDB6-F955-4000-BF81-CFA376A74C7D}"/>
              </a:ext>
            </a:extLst>
          </xdr:cNvPr>
          <xdr:cNvSpPr/>
        </xdr:nvSpPr>
        <xdr:spPr>
          <a:xfrm>
            <a:off x="292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3" name="$E$108">
            <a:extLst>
              <a:ext uri="{FF2B5EF4-FFF2-40B4-BE49-F238E27FC236}">
                <a16:creationId xmlns:a16="http://schemas.microsoft.com/office/drawing/2014/main" id="{A188B116-A29A-4E3A-9407-E13E4E64E082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4" name="$E$108">
            <a:extLst>
              <a:ext uri="{FF2B5EF4-FFF2-40B4-BE49-F238E27FC236}">
                <a16:creationId xmlns:a16="http://schemas.microsoft.com/office/drawing/2014/main" id="{2A3A9F71-BA59-4F6C-B82C-29ADF385A3F7}"/>
              </a:ext>
            </a:extLst>
          </xdr:cNvPr>
          <xdr:cNvSpPr/>
        </xdr:nvSpPr>
        <xdr:spPr>
          <a:xfrm>
            <a:off x="381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5" name="$E$108">
            <a:extLst>
              <a:ext uri="{FF2B5EF4-FFF2-40B4-BE49-F238E27FC236}">
                <a16:creationId xmlns:a16="http://schemas.microsoft.com/office/drawing/2014/main" id="{789C5FBB-E9F4-4E53-9695-572CE87D1857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6" name="$E$108">
            <a:extLst>
              <a:ext uri="{FF2B5EF4-FFF2-40B4-BE49-F238E27FC236}">
                <a16:creationId xmlns:a16="http://schemas.microsoft.com/office/drawing/2014/main" id="{C90EAA1D-1CEE-4ACA-AB34-B6888B9215F2}"/>
              </a:ext>
            </a:extLst>
          </xdr:cNvPr>
          <xdr:cNvSpPr/>
        </xdr:nvSpPr>
        <xdr:spPr>
          <a:xfrm>
            <a:off x="25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7" name="$E$108">
            <a:extLst>
              <a:ext uri="{FF2B5EF4-FFF2-40B4-BE49-F238E27FC236}">
                <a16:creationId xmlns:a16="http://schemas.microsoft.com/office/drawing/2014/main" id="{774991DF-71A0-4CB0-8B49-E302D0F8E693}"/>
              </a:ext>
            </a:extLst>
          </xdr:cNvPr>
          <xdr:cNvSpPr/>
        </xdr:nvSpPr>
        <xdr:spPr>
          <a:xfrm>
            <a:off x="50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8" name="$E$108">
            <a:extLst>
              <a:ext uri="{FF2B5EF4-FFF2-40B4-BE49-F238E27FC236}">
                <a16:creationId xmlns:a16="http://schemas.microsoft.com/office/drawing/2014/main" id="{8646DBE3-783C-4361-9014-4113D16A9091}"/>
              </a:ext>
            </a:extLst>
          </xdr:cNvPr>
          <xdr:cNvSpPr/>
        </xdr:nvSpPr>
        <xdr:spPr>
          <a:xfrm>
            <a:off x="63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49" name="$E$108">
            <a:extLst>
              <a:ext uri="{FF2B5EF4-FFF2-40B4-BE49-F238E27FC236}">
                <a16:creationId xmlns:a16="http://schemas.microsoft.com/office/drawing/2014/main" id="{5A7CD660-2AB3-47FB-8B89-BA916F4EEEAF}"/>
              </a:ext>
            </a:extLst>
          </xdr:cNvPr>
          <xdr:cNvSpPr/>
        </xdr:nvSpPr>
        <xdr:spPr>
          <a:xfrm>
            <a:off x="139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0" name="$E$108">
            <a:extLst>
              <a:ext uri="{FF2B5EF4-FFF2-40B4-BE49-F238E27FC236}">
                <a16:creationId xmlns:a16="http://schemas.microsoft.com/office/drawing/2014/main" id="{F5EE8CA2-E40D-4438-89A0-0CF94B639321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1" name="$E$108">
            <a:extLst>
              <a:ext uri="{FF2B5EF4-FFF2-40B4-BE49-F238E27FC236}">
                <a16:creationId xmlns:a16="http://schemas.microsoft.com/office/drawing/2014/main" id="{C9264D02-4C4A-42D2-824C-EE7AEC52A5BB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2" name="$E$108">
            <a:extLst>
              <a:ext uri="{FF2B5EF4-FFF2-40B4-BE49-F238E27FC236}">
                <a16:creationId xmlns:a16="http://schemas.microsoft.com/office/drawing/2014/main" id="{43CF54CB-096F-4B16-BC67-A453AEC78A15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3" name="$E$108">
            <a:extLst>
              <a:ext uri="{FF2B5EF4-FFF2-40B4-BE49-F238E27FC236}">
                <a16:creationId xmlns:a16="http://schemas.microsoft.com/office/drawing/2014/main" id="{DFDB3F1C-03CF-4AB2-8C6D-A9379148B920}"/>
              </a:ext>
            </a:extLst>
          </xdr:cNvPr>
          <xdr:cNvSpPr/>
        </xdr:nvSpPr>
        <xdr:spPr>
          <a:xfrm>
            <a:off x="2286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4" name="$E$108">
            <a:extLst>
              <a:ext uri="{FF2B5EF4-FFF2-40B4-BE49-F238E27FC236}">
                <a16:creationId xmlns:a16="http://schemas.microsoft.com/office/drawing/2014/main" id="{6BB82FE8-5192-43BA-AB89-2554CC90759A}"/>
              </a:ext>
            </a:extLst>
          </xdr:cNvPr>
          <xdr:cNvSpPr/>
        </xdr:nvSpPr>
        <xdr:spPr>
          <a:xfrm>
            <a:off x="241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5" name="$E$108">
            <a:extLst>
              <a:ext uri="{FF2B5EF4-FFF2-40B4-BE49-F238E27FC236}">
                <a16:creationId xmlns:a16="http://schemas.microsoft.com/office/drawing/2014/main" id="{3004C409-1C56-466D-B433-C9ED0DED60F1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6" name="$E$108">
            <a:extLst>
              <a:ext uri="{FF2B5EF4-FFF2-40B4-BE49-F238E27FC236}">
                <a16:creationId xmlns:a16="http://schemas.microsoft.com/office/drawing/2014/main" id="{0F567FCC-01A4-4397-8187-3CA47CBCADD7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7" name="$E$108">
            <a:extLst>
              <a:ext uri="{FF2B5EF4-FFF2-40B4-BE49-F238E27FC236}">
                <a16:creationId xmlns:a16="http://schemas.microsoft.com/office/drawing/2014/main" id="{180D9AF1-2BE9-4DA3-B164-11876A868F8E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8" name="$E$108">
            <a:extLst>
              <a:ext uri="{FF2B5EF4-FFF2-40B4-BE49-F238E27FC236}">
                <a16:creationId xmlns:a16="http://schemas.microsoft.com/office/drawing/2014/main" id="{03B569D3-AF51-43B2-BE50-3D7B080B5D27}"/>
              </a:ext>
            </a:extLst>
          </xdr:cNvPr>
          <xdr:cNvSpPr/>
        </xdr:nvSpPr>
        <xdr:spPr>
          <a:xfrm>
            <a:off x="330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59" name="$E$108">
            <a:extLst>
              <a:ext uri="{FF2B5EF4-FFF2-40B4-BE49-F238E27FC236}">
                <a16:creationId xmlns:a16="http://schemas.microsoft.com/office/drawing/2014/main" id="{D5FEA237-5811-43F9-9EA1-973721731A81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0" name="$E$108">
            <a:extLst>
              <a:ext uri="{FF2B5EF4-FFF2-40B4-BE49-F238E27FC236}">
                <a16:creationId xmlns:a16="http://schemas.microsoft.com/office/drawing/2014/main" id="{C9705419-2E49-4659-95AB-4D4BD093D3C7}"/>
              </a:ext>
            </a:extLst>
          </xdr:cNvPr>
          <xdr:cNvSpPr/>
        </xdr:nvSpPr>
        <xdr:spPr>
          <a:xfrm>
            <a:off x="12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1" name="$E$108">
            <a:extLst>
              <a:ext uri="{FF2B5EF4-FFF2-40B4-BE49-F238E27FC236}">
                <a16:creationId xmlns:a16="http://schemas.microsoft.com/office/drawing/2014/main" id="{0C74CB5D-C55E-428A-9AE4-49817F4D023D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2" name="$E$108">
            <a:extLst>
              <a:ext uri="{FF2B5EF4-FFF2-40B4-BE49-F238E27FC236}">
                <a16:creationId xmlns:a16="http://schemas.microsoft.com/office/drawing/2014/main" id="{38AF8268-4F87-4D1D-84F2-353759D2BEAA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3" name="$E$108">
            <a:extLst>
              <a:ext uri="{FF2B5EF4-FFF2-40B4-BE49-F238E27FC236}">
                <a16:creationId xmlns:a16="http://schemas.microsoft.com/office/drawing/2014/main" id="{9D6D4924-17BD-4ECF-8683-2516C5B2A216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4" name="$E$108">
            <a:extLst>
              <a:ext uri="{FF2B5EF4-FFF2-40B4-BE49-F238E27FC236}">
                <a16:creationId xmlns:a16="http://schemas.microsoft.com/office/drawing/2014/main" id="{D9300C91-055E-43F4-8153-9F47BA74D5D5}"/>
              </a:ext>
            </a:extLst>
          </xdr:cNvPr>
          <xdr:cNvSpPr/>
        </xdr:nvSpPr>
        <xdr:spPr>
          <a:xfrm>
            <a:off x="101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5" name="$E$108">
            <a:extLst>
              <a:ext uri="{FF2B5EF4-FFF2-40B4-BE49-F238E27FC236}">
                <a16:creationId xmlns:a16="http://schemas.microsoft.com/office/drawing/2014/main" id="{54446BF5-BC97-4A50-B800-57F38986F652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6" name="$E$108">
            <a:extLst>
              <a:ext uri="{FF2B5EF4-FFF2-40B4-BE49-F238E27FC236}">
                <a16:creationId xmlns:a16="http://schemas.microsoft.com/office/drawing/2014/main" id="{50BC9C6E-0905-43A5-B493-C721F633A042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7" name="$E$108">
            <a:extLst>
              <a:ext uri="{FF2B5EF4-FFF2-40B4-BE49-F238E27FC236}">
                <a16:creationId xmlns:a16="http://schemas.microsoft.com/office/drawing/2014/main" id="{26DE8161-B9FC-408B-806D-61896868E6B7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8" name="$E$108">
            <a:extLst>
              <a:ext uri="{FF2B5EF4-FFF2-40B4-BE49-F238E27FC236}">
                <a16:creationId xmlns:a16="http://schemas.microsoft.com/office/drawing/2014/main" id="{A4E1DD7B-DD79-4FDE-9F62-986E275E450A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69" name="$E$108">
            <a:extLst>
              <a:ext uri="{FF2B5EF4-FFF2-40B4-BE49-F238E27FC236}">
                <a16:creationId xmlns:a16="http://schemas.microsoft.com/office/drawing/2014/main" id="{71998312-10E6-4E39-822D-5CDA0BD5E166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0" name="$E$108">
            <a:extLst>
              <a:ext uri="{FF2B5EF4-FFF2-40B4-BE49-F238E27FC236}">
                <a16:creationId xmlns:a16="http://schemas.microsoft.com/office/drawing/2014/main" id="{7159F32C-1F26-4CA1-8803-9187F8CA0AAB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1" name="$E$108">
            <a:extLst>
              <a:ext uri="{FF2B5EF4-FFF2-40B4-BE49-F238E27FC236}">
                <a16:creationId xmlns:a16="http://schemas.microsoft.com/office/drawing/2014/main" id="{618F13B0-0C57-4601-982D-DB5A5B6286AB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2" name="$E$108">
            <a:extLst>
              <a:ext uri="{FF2B5EF4-FFF2-40B4-BE49-F238E27FC236}">
                <a16:creationId xmlns:a16="http://schemas.microsoft.com/office/drawing/2014/main" id="{390376E8-E622-4D04-9D7F-F3FEEB366407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3" name="$E$108">
            <a:extLst>
              <a:ext uri="{FF2B5EF4-FFF2-40B4-BE49-F238E27FC236}">
                <a16:creationId xmlns:a16="http://schemas.microsoft.com/office/drawing/2014/main" id="{F0A0F44C-4C5E-4A99-B374-E70631DB25BB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4" name="$E$108">
            <a:extLst>
              <a:ext uri="{FF2B5EF4-FFF2-40B4-BE49-F238E27FC236}">
                <a16:creationId xmlns:a16="http://schemas.microsoft.com/office/drawing/2014/main" id="{D2F8F80F-17A9-4700-915A-D2E237988B45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5" name="$E$108">
            <a:extLst>
              <a:ext uri="{FF2B5EF4-FFF2-40B4-BE49-F238E27FC236}">
                <a16:creationId xmlns:a16="http://schemas.microsoft.com/office/drawing/2014/main" id="{36F6AE4C-46A7-4357-A0C4-0B0946642CBC}"/>
              </a:ext>
            </a:extLst>
          </xdr:cNvPr>
          <xdr:cNvSpPr/>
        </xdr:nvSpPr>
        <xdr:spPr>
          <a:xfrm>
            <a:off x="3937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6" name="$E$108">
            <a:extLst>
              <a:ext uri="{FF2B5EF4-FFF2-40B4-BE49-F238E27FC236}">
                <a16:creationId xmlns:a16="http://schemas.microsoft.com/office/drawing/2014/main" id="{9792D4BE-B633-43C0-AF82-A375384CC8CF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7" name="$E$108">
            <a:extLst>
              <a:ext uri="{FF2B5EF4-FFF2-40B4-BE49-F238E27FC236}">
                <a16:creationId xmlns:a16="http://schemas.microsoft.com/office/drawing/2014/main" id="{EE3BFDDD-CFCA-4B3C-B825-A1C23BA61B9F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8" name="$E$108">
            <a:extLst>
              <a:ext uri="{FF2B5EF4-FFF2-40B4-BE49-F238E27FC236}">
                <a16:creationId xmlns:a16="http://schemas.microsoft.com/office/drawing/2014/main" id="{1C4BE03D-8341-43D2-82E1-4BE13CB5029D}"/>
              </a:ext>
            </a:extLst>
          </xdr:cNvPr>
          <xdr:cNvSpPr/>
        </xdr:nvSpPr>
        <xdr:spPr>
          <a:xfrm>
            <a:off x="127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79" name="$E$108">
            <a:extLst>
              <a:ext uri="{FF2B5EF4-FFF2-40B4-BE49-F238E27FC236}">
                <a16:creationId xmlns:a16="http://schemas.microsoft.com/office/drawing/2014/main" id="{D931D4D8-8A3D-4555-A9FA-129C997CB4DB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0" name="$E$108">
            <a:extLst>
              <a:ext uri="{FF2B5EF4-FFF2-40B4-BE49-F238E27FC236}">
                <a16:creationId xmlns:a16="http://schemas.microsoft.com/office/drawing/2014/main" id="{0811A57D-607C-48CF-9877-C9D494EB15B5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1" name="$E$108">
            <a:extLst>
              <a:ext uri="{FF2B5EF4-FFF2-40B4-BE49-F238E27FC236}">
                <a16:creationId xmlns:a16="http://schemas.microsoft.com/office/drawing/2014/main" id="{3F1B3775-8E72-4FE4-98DF-433C363D56FD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2" name="$E$108">
            <a:extLst>
              <a:ext uri="{FF2B5EF4-FFF2-40B4-BE49-F238E27FC236}">
                <a16:creationId xmlns:a16="http://schemas.microsoft.com/office/drawing/2014/main" id="{89DF48C8-760A-4E4D-9E6E-C490963471CB}"/>
              </a:ext>
            </a:extLst>
          </xdr:cNvPr>
          <xdr:cNvSpPr/>
        </xdr:nvSpPr>
        <xdr:spPr>
          <a:xfrm>
            <a:off x="177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3" name="$E$108">
            <a:extLst>
              <a:ext uri="{FF2B5EF4-FFF2-40B4-BE49-F238E27FC236}">
                <a16:creationId xmlns:a16="http://schemas.microsoft.com/office/drawing/2014/main" id="{38B895AA-8F61-4B96-BE2D-A0E4FCFC5E09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4" name="$E$108">
            <a:extLst>
              <a:ext uri="{FF2B5EF4-FFF2-40B4-BE49-F238E27FC236}">
                <a16:creationId xmlns:a16="http://schemas.microsoft.com/office/drawing/2014/main" id="{BC9C0D2B-EB72-4757-8047-AF158070C91B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5" name="$E$108">
            <a:extLst>
              <a:ext uri="{FF2B5EF4-FFF2-40B4-BE49-F238E27FC236}">
                <a16:creationId xmlns:a16="http://schemas.microsoft.com/office/drawing/2014/main" id="{CD353AC3-89DB-4E4A-95B9-3552D9E8CC1B}"/>
              </a:ext>
            </a:extLst>
          </xdr:cNvPr>
          <xdr:cNvSpPr/>
        </xdr:nvSpPr>
        <xdr:spPr>
          <a:xfrm>
            <a:off x="2159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6" name="$E$108">
            <a:extLst>
              <a:ext uri="{FF2B5EF4-FFF2-40B4-BE49-F238E27FC236}">
                <a16:creationId xmlns:a16="http://schemas.microsoft.com/office/drawing/2014/main" id="{EC634E66-25DB-49E8-8A68-E01247CA36BD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7" name="$E$108">
            <a:extLst>
              <a:ext uri="{FF2B5EF4-FFF2-40B4-BE49-F238E27FC236}">
                <a16:creationId xmlns:a16="http://schemas.microsoft.com/office/drawing/2014/main" id="{6A6F0C63-A50E-42D6-8E3A-309587B41BDA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8" name="$E$108">
            <a:extLst>
              <a:ext uri="{FF2B5EF4-FFF2-40B4-BE49-F238E27FC236}">
                <a16:creationId xmlns:a16="http://schemas.microsoft.com/office/drawing/2014/main" id="{2833BC55-069E-4963-A2FB-6C5185D87692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89" name="$E$108">
            <a:extLst>
              <a:ext uri="{FF2B5EF4-FFF2-40B4-BE49-F238E27FC236}">
                <a16:creationId xmlns:a16="http://schemas.microsoft.com/office/drawing/2014/main" id="{96996F3C-16CA-41A9-951A-9A1EC88D90E5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0" name="$E$108">
            <a:extLst>
              <a:ext uri="{FF2B5EF4-FFF2-40B4-BE49-F238E27FC236}">
                <a16:creationId xmlns:a16="http://schemas.microsoft.com/office/drawing/2014/main" id="{28EB7632-0B0C-4743-9B20-6F98A4664577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1" name="$E$108">
            <a:extLst>
              <a:ext uri="{FF2B5EF4-FFF2-40B4-BE49-F238E27FC236}">
                <a16:creationId xmlns:a16="http://schemas.microsoft.com/office/drawing/2014/main" id="{739E46BC-36E1-4467-B303-B8795A9A5821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2" name="$E$108">
            <a:extLst>
              <a:ext uri="{FF2B5EF4-FFF2-40B4-BE49-F238E27FC236}">
                <a16:creationId xmlns:a16="http://schemas.microsoft.com/office/drawing/2014/main" id="{340EB911-8E37-4F4B-B350-6D87CA2E7A12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3" name="$E$108">
            <a:extLst>
              <a:ext uri="{FF2B5EF4-FFF2-40B4-BE49-F238E27FC236}">
                <a16:creationId xmlns:a16="http://schemas.microsoft.com/office/drawing/2014/main" id="{A5DEB80D-E789-4F13-9C89-151D09A357BB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4" name="$E$108">
            <a:extLst>
              <a:ext uri="{FF2B5EF4-FFF2-40B4-BE49-F238E27FC236}">
                <a16:creationId xmlns:a16="http://schemas.microsoft.com/office/drawing/2014/main" id="{E83A2823-1D60-4D3A-8172-59C76D6601FE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5" name="$E$108">
            <a:extLst>
              <a:ext uri="{FF2B5EF4-FFF2-40B4-BE49-F238E27FC236}">
                <a16:creationId xmlns:a16="http://schemas.microsoft.com/office/drawing/2014/main" id="{FEE85B17-E0B0-46F0-BD23-211D8AA66CBE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6" name="$E$108">
            <a:extLst>
              <a:ext uri="{FF2B5EF4-FFF2-40B4-BE49-F238E27FC236}">
                <a16:creationId xmlns:a16="http://schemas.microsoft.com/office/drawing/2014/main" id="{2D1285FC-982E-4C9C-8578-12909EC03108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7" name="$E$108">
            <a:extLst>
              <a:ext uri="{FF2B5EF4-FFF2-40B4-BE49-F238E27FC236}">
                <a16:creationId xmlns:a16="http://schemas.microsoft.com/office/drawing/2014/main" id="{CE343E3E-0E01-4CBD-9F4F-34A0E9E0AD8D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8" name="$E$108">
            <a:extLst>
              <a:ext uri="{FF2B5EF4-FFF2-40B4-BE49-F238E27FC236}">
                <a16:creationId xmlns:a16="http://schemas.microsoft.com/office/drawing/2014/main" id="{5361FA12-57AF-4B57-8174-F38FB0AE851B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599" name="$E$108">
            <a:extLst>
              <a:ext uri="{FF2B5EF4-FFF2-40B4-BE49-F238E27FC236}">
                <a16:creationId xmlns:a16="http://schemas.microsoft.com/office/drawing/2014/main" id="{C8524529-D20F-4A42-A48C-E01F2BBCABD6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0" name="$E$108">
            <a:extLst>
              <a:ext uri="{FF2B5EF4-FFF2-40B4-BE49-F238E27FC236}">
                <a16:creationId xmlns:a16="http://schemas.microsoft.com/office/drawing/2014/main" id="{AAC47915-E7F5-44FC-8A56-097E3AC55A38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1" name="$E$108">
            <a:extLst>
              <a:ext uri="{FF2B5EF4-FFF2-40B4-BE49-F238E27FC236}">
                <a16:creationId xmlns:a16="http://schemas.microsoft.com/office/drawing/2014/main" id="{E8E91EAC-EBE9-4968-ADA1-95FDC5645CC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2" name="$E$108">
            <a:extLst>
              <a:ext uri="{FF2B5EF4-FFF2-40B4-BE49-F238E27FC236}">
                <a16:creationId xmlns:a16="http://schemas.microsoft.com/office/drawing/2014/main" id="{0E6E68AD-326D-45F5-9731-78DAD9A6F0C9}"/>
              </a:ext>
            </a:extLst>
          </xdr:cNvPr>
          <xdr:cNvSpPr/>
        </xdr:nvSpPr>
        <xdr:spPr>
          <a:xfrm>
            <a:off x="228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3" name="$E$108">
            <a:extLst>
              <a:ext uri="{FF2B5EF4-FFF2-40B4-BE49-F238E27FC236}">
                <a16:creationId xmlns:a16="http://schemas.microsoft.com/office/drawing/2014/main" id="{58AC2D6E-468C-4462-AE4D-ACE05B00ACE7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4" name="$E$108">
            <a:extLst>
              <a:ext uri="{FF2B5EF4-FFF2-40B4-BE49-F238E27FC236}">
                <a16:creationId xmlns:a16="http://schemas.microsoft.com/office/drawing/2014/main" id="{BDC6EDDB-EAA3-448F-AFFF-7873E87CB5FB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5" name="$E$108">
            <a:extLst>
              <a:ext uri="{FF2B5EF4-FFF2-40B4-BE49-F238E27FC236}">
                <a16:creationId xmlns:a16="http://schemas.microsoft.com/office/drawing/2014/main" id="{D6AED349-D6AE-4B3E-96D4-9EB07B9CB41C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6" name="$E$108">
            <a:extLst>
              <a:ext uri="{FF2B5EF4-FFF2-40B4-BE49-F238E27FC236}">
                <a16:creationId xmlns:a16="http://schemas.microsoft.com/office/drawing/2014/main" id="{86026487-94F8-4E76-A25C-795A7A36E5D9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7" name="$E$108">
            <a:extLst>
              <a:ext uri="{FF2B5EF4-FFF2-40B4-BE49-F238E27FC236}">
                <a16:creationId xmlns:a16="http://schemas.microsoft.com/office/drawing/2014/main" id="{1E433060-C7AD-4337-92EE-4E329CD598B8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8" name="$E$108">
            <a:extLst>
              <a:ext uri="{FF2B5EF4-FFF2-40B4-BE49-F238E27FC236}">
                <a16:creationId xmlns:a16="http://schemas.microsoft.com/office/drawing/2014/main" id="{1FDCF848-0A9F-4E3B-9D74-C55CDF394B0E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09" name="$E$108">
            <a:extLst>
              <a:ext uri="{FF2B5EF4-FFF2-40B4-BE49-F238E27FC236}">
                <a16:creationId xmlns:a16="http://schemas.microsoft.com/office/drawing/2014/main" id="{B0357292-2B16-467F-8928-5E5B97E2B82E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0" name="$E$108">
            <a:extLst>
              <a:ext uri="{FF2B5EF4-FFF2-40B4-BE49-F238E27FC236}">
                <a16:creationId xmlns:a16="http://schemas.microsoft.com/office/drawing/2014/main" id="{E762798A-8800-413D-BF86-8BA8E2F76831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1" name="$E$108">
            <a:extLst>
              <a:ext uri="{FF2B5EF4-FFF2-40B4-BE49-F238E27FC236}">
                <a16:creationId xmlns:a16="http://schemas.microsoft.com/office/drawing/2014/main" id="{B0B4216B-4888-45BD-BEEF-8A8CA57ADE78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2" name="$E$108">
            <a:extLst>
              <a:ext uri="{FF2B5EF4-FFF2-40B4-BE49-F238E27FC236}">
                <a16:creationId xmlns:a16="http://schemas.microsoft.com/office/drawing/2014/main" id="{B7BB29DB-2448-487E-8AE3-754A5A8D47A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3" name="$E$108">
            <a:extLst>
              <a:ext uri="{FF2B5EF4-FFF2-40B4-BE49-F238E27FC236}">
                <a16:creationId xmlns:a16="http://schemas.microsoft.com/office/drawing/2014/main" id="{75C4571D-D986-4984-BF46-751719BFBB25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4" name="$E$108">
            <a:extLst>
              <a:ext uri="{FF2B5EF4-FFF2-40B4-BE49-F238E27FC236}">
                <a16:creationId xmlns:a16="http://schemas.microsoft.com/office/drawing/2014/main" id="{5CBC72E9-884F-4F03-86B5-986E35A020EF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5" name="$E$108">
            <a:extLst>
              <a:ext uri="{FF2B5EF4-FFF2-40B4-BE49-F238E27FC236}">
                <a16:creationId xmlns:a16="http://schemas.microsoft.com/office/drawing/2014/main" id="{000C7288-F3DD-4219-82EC-9E9B66554C86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6" name="$E$108">
            <a:extLst>
              <a:ext uri="{FF2B5EF4-FFF2-40B4-BE49-F238E27FC236}">
                <a16:creationId xmlns:a16="http://schemas.microsoft.com/office/drawing/2014/main" id="{8A5E68C3-AFBA-4AA9-840E-543D4B2BA5E0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7" name="$E$108">
            <a:extLst>
              <a:ext uri="{FF2B5EF4-FFF2-40B4-BE49-F238E27FC236}">
                <a16:creationId xmlns:a16="http://schemas.microsoft.com/office/drawing/2014/main" id="{78F32683-9E86-4097-8928-30EDC0A03B53}"/>
              </a:ext>
            </a:extLst>
          </xdr:cNvPr>
          <xdr:cNvSpPr/>
        </xdr:nvSpPr>
        <xdr:spPr>
          <a:xfrm>
            <a:off x="2159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8" name="$E$108">
            <a:extLst>
              <a:ext uri="{FF2B5EF4-FFF2-40B4-BE49-F238E27FC236}">
                <a16:creationId xmlns:a16="http://schemas.microsoft.com/office/drawing/2014/main" id="{7C009EF9-A705-451A-9AF3-DF14E83D2C9E}"/>
              </a:ext>
            </a:extLst>
          </xdr:cNvPr>
          <xdr:cNvSpPr/>
        </xdr:nvSpPr>
        <xdr:spPr>
          <a:xfrm>
            <a:off x="228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19" name="$E$108">
            <a:extLst>
              <a:ext uri="{FF2B5EF4-FFF2-40B4-BE49-F238E27FC236}">
                <a16:creationId xmlns:a16="http://schemas.microsoft.com/office/drawing/2014/main" id="{5CA24C98-2B3F-4A1B-BB89-2511BFE8289C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0" name="$E$108">
            <a:extLst>
              <a:ext uri="{FF2B5EF4-FFF2-40B4-BE49-F238E27FC236}">
                <a16:creationId xmlns:a16="http://schemas.microsoft.com/office/drawing/2014/main" id="{2ED49458-69C1-4ED8-A421-A40F9EC613C1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1" name="$E$108">
            <a:extLst>
              <a:ext uri="{FF2B5EF4-FFF2-40B4-BE49-F238E27FC236}">
                <a16:creationId xmlns:a16="http://schemas.microsoft.com/office/drawing/2014/main" id="{FCF092A6-277A-4874-AB18-386A2172EFF2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2" name="$E$108">
            <a:extLst>
              <a:ext uri="{FF2B5EF4-FFF2-40B4-BE49-F238E27FC236}">
                <a16:creationId xmlns:a16="http://schemas.microsoft.com/office/drawing/2014/main" id="{91FDF89D-763F-4A5B-B059-C87E129280F0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3" name="$E$108">
            <a:extLst>
              <a:ext uri="{FF2B5EF4-FFF2-40B4-BE49-F238E27FC236}">
                <a16:creationId xmlns:a16="http://schemas.microsoft.com/office/drawing/2014/main" id="{EB14E766-E365-431C-9B27-838C2D16B912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4" name="$E$108">
            <a:extLst>
              <a:ext uri="{FF2B5EF4-FFF2-40B4-BE49-F238E27FC236}">
                <a16:creationId xmlns:a16="http://schemas.microsoft.com/office/drawing/2014/main" id="{3F8DB09D-8C46-4CD7-A007-D358784A01E6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5" name="$E$108">
            <a:extLst>
              <a:ext uri="{FF2B5EF4-FFF2-40B4-BE49-F238E27FC236}">
                <a16:creationId xmlns:a16="http://schemas.microsoft.com/office/drawing/2014/main" id="{C8F9A344-172A-4C14-999C-C7F13E7D91DD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6" name="$E$108">
            <a:extLst>
              <a:ext uri="{FF2B5EF4-FFF2-40B4-BE49-F238E27FC236}">
                <a16:creationId xmlns:a16="http://schemas.microsoft.com/office/drawing/2014/main" id="{EE790951-3ADE-4785-AFFC-02DBC41B599A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7" name="$E$108">
            <a:extLst>
              <a:ext uri="{FF2B5EF4-FFF2-40B4-BE49-F238E27FC236}">
                <a16:creationId xmlns:a16="http://schemas.microsoft.com/office/drawing/2014/main" id="{E9B69F47-AE98-4576-BC75-5F836E86EB6D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8" name="$E$108">
            <a:extLst>
              <a:ext uri="{FF2B5EF4-FFF2-40B4-BE49-F238E27FC236}">
                <a16:creationId xmlns:a16="http://schemas.microsoft.com/office/drawing/2014/main" id="{282BC336-AA2D-4AC4-BFF5-F6802B5E9D7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29" name="$E$108">
            <a:extLst>
              <a:ext uri="{FF2B5EF4-FFF2-40B4-BE49-F238E27FC236}">
                <a16:creationId xmlns:a16="http://schemas.microsoft.com/office/drawing/2014/main" id="{045E9305-D2E8-4C81-8FF1-71D5FBFE75CF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0" name="$E$108">
            <a:extLst>
              <a:ext uri="{FF2B5EF4-FFF2-40B4-BE49-F238E27FC236}">
                <a16:creationId xmlns:a16="http://schemas.microsoft.com/office/drawing/2014/main" id="{59F07FEA-A7C6-4979-9A83-F9E6AA78D1CC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1" name="$E$108">
            <a:extLst>
              <a:ext uri="{FF2B5EF4-FFF2-40B4-BE49-F238E27FC236}">
                <a16:creationId xmlns:a16="http://schemas.microsoft.com/office/drawing/2014/main" id="{02C522C1-577A-4FA5-8852-C37BF65B6CCE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2" name="$E$108">
            <a:extLst>
              <a:ext uri="{FF2B5EF4-FFF2-40B4-BE49-F238E27FC236}">
                <a16:creationId xmlns:a16="http://schemas.microsoft.com/office/drawing/2014/main" id="{A45B9ED5-204D-46E7-A266-202C0625C21C}"/>
              </a:ext>
            </a:extLst>
          </xdr:cNvPr>
          <xdr:cNvSpPr/>
        </xdr:nvSpPr>
        <xdr:spPr>
          <a:xfrm>
            <a:off x="177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3" name="$E$108">
            <a:extLst>
              <a:ext uri="{FF2B5EF4-FFF2-40B4-BE49-F238E27FC236}">
                <a16:creationId xmlns:a16="http://schemas.microsoft.com/office/drawing/2014/main" id="{2BACA4C9-94B2-48DE-ABF0-B05C6E13D53A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4" name="$E$108">
            <a:extLst>
              <a:ext uri="{FF2B5EF4-FFF2-40B4-BE49-F238E27FC236}">
                <a16:creationId xmlns:a16="http://schemas.microsoft.com/office/drawing/2014/main" id="{6B7B9363-6BB6-4437-B33B-2FC7DEDCE196}"/>
              </a:ext>
            </a:extLst>
          </xdr:cNvPr>
          <xdr:cNvSpPr/>
        </xdr:nvSpPr>
        <xdr:spPr>
          <a:xfrm>
            <a:off x="228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5" name="$E$108">
            <a:extLst>
              <a:ext uri="{FF2B5EF4-FFF2-40B4-BE49-F238E27FC236}">
                <a16:creationId xmlns:a16="http://schemas.microsoft.com/office/drawing/2014/main" id="{9F7ABC44-ABEE-4DA3-AB79-CA1BD272D1E7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6" name="$E$108">
            <a:extLst>
              <a:ext uri="{FF2B5EF4-FFF2-40B4-BE49-F238E27FC236}">
                <a16:creationId xmlns:a16="http://schemas.microsoft.com/office/drawing/2014/main" id="{C264E874-9CF9-403C-8365-2D7DC16A39B0}"/>
              </a:ext>
            </a:extLst>
          </xdr:cNvPr>
          <xdr:cNvSpPr/>
        </xdr:nvSpPr>
        <xdr:spPr>
          <a:xfrm>
            <a:off x="2667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7" name="$E$108">
            <a:extLst>
              <a:ext uri="{FF2B5EF4-FFF2-40B4-BE49-F238E27FC236}">
                <a16:creationId xmlns:a16="http://schemas.microsoft.com/office/drawing/2014/main" id="{93A3F8C8-3907-4925-8CC0-4F88EC29F8CF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8" name="$E$108">
            <a:extLst>
              <a:ext uri="{FF2B5EF4-FFF2-40B4-BE49-F238E27FC236}">
                <a16:creationId xmlns:a16="http://schemas.microsoft.com/office/drawing/2014/main" id="{C113EA0A-4044-4F11-B24B-6D315D9A2FB7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39" name="$E$108">
            <a:extLst>
              <a:ext uri="{FF2B5EF4-FFF2-40B4-BE49-F238E27FC236}">
                <a16:creationId xmlns:a16="http://schemas.microsoft.com/office/drawing/2014/main" id="{95F22072-1701-4A74-B254-1FA58AF3EAA6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0" name="$E$108">
            <a:extLst>
              <a:ext uri="{FF2B5EF4-FFF2-40B4-BE49-F238E27FC236}">
                <a16:creationId xmlns:a16="http://schemas.microsoft.com/office/drawing/2014/main" id="{697B574C-2B3A-48F9-9368-93ADA0C8AB23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1" name="$E$108">
            <a:extLst>
              <a:ext uri="{FF2B5EF4-FFF2-40B4-BE49-F238E27FC236}">
                <a16:creationId xmlns:a16="http://schemas.microsoft.com/office/drawing/2014/main" id="{B59F86F1-DBCB-4B96-B99A-400954BED40B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2" name="$E$108">
            <a:extLst>
              <a:ext uri="{FF2B5EF4-FFF2-40B4-BE49-F238E27FC236}">
                <a16:creationId xmlns:a16="http://schemas.microsoft.com/office/drawing/2014/main" id="{2D211202-FB01-4798-9FD0-6466EB750977}"/>
              </a:ext>
            </a:extLst>
          </xdr:cNvPr>
          <xdr:cNvSpPr/>
        </xdr:nvSpPr>
        <xdr:spPr>
          <a:xfrm>
            <a:off x="368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3" name="$E$108">
            <a:extLst>
              <a:ext uri="{FF2B5EF4-FFF2-40B4-BE49-F238E27FC236}">
                <a16:creationId xmlns:a16="http://schemas.microsoft.com/office/drawing/2014/main" id="{4D104983-EF01-4E07-AB6E-1491E06B2B19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4" name="$E$108">
            <a:extLst>
              <a:ext uri="{FF2B5EF4-FFF2-40B4-BE49-F238E27FC236}">
                <a16:creationId xmlns:a16="http://schemas.microsoft.com/office/drawing/2014/main" id="{141FC2AA-1A72-4C27-AD3B-E6AF3504ADEE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5" name="$E$108">
            <a:extLst>
              <a:ext uri="{FF2B5EF4-FFF2-40B4-BE49-F238E27FC236}">
                <a16:creationId xmlns:a16="http://schemas.microsoft.com/office/drawing/2014/main" id="{CF7C48EC-B98C-477B-93A1-3844C1D7233A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6" name="$E$108">
            <a:extLst>
              <a:ext uri="{FF2B5EF4-FFF2-40B4-BE49-F238E27FC236}">
                <a16:creationId xmlns:a16="http://schemas.microsoft.com/office/drawing/2014/main" id="{D36D7710-5697-4CD6-8532-E69E5B544A65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7" name="$E$108">
            <a:extLst>
              <a:ext uri="{FF2B5EF4-FFF2-40B4-BE49-F238E27FC236}">
                <a16:creationId xmlns:a16="http://schemas.microsoft.com/office/drawing/2014/main" id="{634A7909-3FE6-4D1F-AF4E-D9D3FD0C7AC5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8" name="$E$108">
            <a:extLst>
              <a:ext uri="{FF2B5EF4-FFF2-40B4-BE49-F238E27FC236}">
                <a16:creationId xmlns:a16="http://schemas.microsoft.com/office/drawing/2014/main" id="{0860B024-6289-4B11-964F-056C7982E06B}"/>
              </a:ext>
            </a:extLst>
          </xdr:cNvPr>
          <xdr:cNvSpPr/>
        </xdr:nvSpPr>
        <xdr:spPr>
          <a:xfrm>
            <a:off x="139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49" name="$E$108">
            <a:extLst>
              <a:ext uri="{FF2B5EF4-FFF2-40B4-BE49-F238E27FC236}">
                <a16:creationId xmlns:a16="http://schemas.microsoft.com/office/drawing/2014/main" id="{6444450B-F805-4FC8-BDA6-3AE2E1C0F630}"/>
              </a:ext>
            </a:extLst>
          </xdr:cNvPr>
          <xdr:cNvSpPr/>
        </xdr:nvSpPr>
        <xdr:spPr>
          <a:xfrm>
            <a:off x="152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0" name="$E$108">
            <a:extLst>
              <a:ext uri="{FF2B5EF4-FFF2-40B4-BE49-F238E27FC236}">
                <a16:creationId xmlns:a16="http://schemas.microsoft.com/office/drawing/2014/main" id="{88E09E6A-6856-4B58-B6AC-60EC26CF48C8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1" name="$E$108">
            <a:extLst>
              <a:ext uri="{FF2B5EF4-FFF2-40B4-BE49-F238E27FC236}">
                <a16:creationId xmlns:a16="http://schemas.microsoft.com/office/drawing/2014/main" id="{AF4AD082-5EA7-4366-B23A-D7CB0F4F35DD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2" name="$E$108">
            <a:extLst>
              <a:ext uri="{FF2B5EF4-FFF2-40B4-BE49-F238E27FC236}">
                <a16:creationId xmlns:a16="http://schemas.microsoft.com/office/drawing/2014/main" id="{27B990C4-FF96-4B51-9625-6A91B9592FAE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3" name="$E$108">
            <a:extLst>
              <a:ext uri="{FF2B5EF4-FFF2-40B4-BE49-F238E27FC236}">
                <a16:creationId xmlns:a16="http://schemas.microsoft.com/office/drawing/2014/main" id="{3A0E1A6B-D619-4FFA-B322-7FCA39D95A91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4" name="$E$108">
            <a:extLst>
              <a:ext uri="{FF2B5EF4-FFF2-40B4-BE49-F238E27FC236}">
                <a16:creationId xmlns:a16="http://schemas.microsoft.com/office/drawing/2014/main" id="{FAC48766-744B-421B-ABE9-B979C6FA9FF4}"/>
              </a:ext>
            </a:extLst>
          </xdr:cNvPr>
          <xdr:cNvSpPr/>
        </xdr:nvSpPr>
        <xdr:spPr>
          <a:xfrm>
            <a:off x="279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5" name="$E$108">
            <a:extLst>
              <a:ext uri="{FF2B5EF4-FFF2-40B4-BE49-F238E27FC236}">
                <a16:creationId xmlns:a16="http://schemas.microsoft.com/office/drawing/2014/main" id="{674BF3BD-9F1B-4255-9315-2DDA8682C18A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6" name="$E$108">
            <a:extLst>
              <a:ext uri="{FF2B5EF4-FFF2-40B4-BE49-F238E27FC236}">
                <a16:creationId xmlns:a16="http://schemas.microsoft.com/office/drawing/2014/main" id="{C269FB89-376C-4C0A-9A87-A2BBFA36C8F6}"/>
              </a:ext>
            </a:extLst>
          </xdr:cNvPr>
          <xdr:cNvSpPr/>
        </xdr:nvSpPr>
        <xdr:spPr>
          <a:xfrm>
            <a:off x="304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7" name="$E$108">
            <a:extLst>
              <a:ext uri="{FF2B5EF4-FFF2-40B4-BE49-F238E27FC236}">
                <a16:creationId xmlns:a16="http://schemas.microsoft.com/office/drawing/2014/main" id="{A89552CD-563B-41FF-9181-DA89D99DE03E}"/>
              </a:ext>
            </a:extLst>
          </xdr:cNvPr>
          <xdr:cNvSpPr/>
        </xdr:nvSpPr>
        <xdr:spPr>
          <a:xfrm>
            <a:off x="330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8" name="$E$108">
            <a:extLst>
              <a:ext uri="{FF2B5EF4-FFF2-40B4-BE49-F238E27FC236}">
                <a16:creationId xmlns:a16="http://schemas.microsoft.com/office/drawing/2014/main" id="{BEAE19BC-9412-4D10-AD32-5B32AF6A04B0}"/>
              </a:ext>
            </a:extLst>
          </xdr:cNvPr>
          <xdr:cNvSpPr/>
        </xdr:nvSpPr>
        <xdr:spPr>
          <a:xfrm>
            <a:off x="342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59" name="$E$108">
            <a:extLst>
              <a:ext uri="{FF2B5EF4-FFF2-40B4-BE49-F238E27FC236}">
                <a16:creationId xmlns:a16="http://schemas.microsoft.com/office/drawing/2014/main" id="{7B168420-3944-4B9D-B13F-5F77D59CB7E8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0" name="$E$108">
            <a:extLst>
              <a:ext uri="{FF2B5EF4-FFF2-40B4-BE49-F238E27FC236}">
                <a16:creationId xmlns:a16="http://schemas.microsoft.com/office/drawing/2014/main" id="{0C18F12A-9F6E-4B94-8FB0-41BC1D6F964B}"/>
              </a:ext>
            </a:extLst>
          </xdr:cNvPr>
          <xdr:cNvSpPr/>
        </xdr:nvSpPr>
        <xdr:spPr>
          <a:xfrm>
            <a:off x="381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1" name="$E$108">
            <a:extLst>
              <a:ext uri="{FF2B5EF4-FFF2-40B4-BE49-F238E27FC236}">
                <a16:creationId xmlns:a16="http://schemas.microsoft.com/office/drawing/2014/main" id="{53197449-34AC-48A4-833A-0F55496D0BF0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2" name="$E$108">
            <a:extLst>
              <a:ext uri="{FF2B5EF4-FFF2-40B4-BE49-F238E27FC236}">
                <a16:creationId xmlns:a16="http://schemas.microsoft.com/office/drawing/2014/main" id="{C9C5E8B3-D032-4573-9725-5B8B58CEF321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3" name="$E$108">
            <a:extLst>
              <a:ext uri="{FF2B5EF4-FFF2-40B4-BE49-F238E27FC236}">
                <a16:creationId xmlns:a16="http://schemas.microsoft.com/office/drawing/2014/main" id="{22C7535B-4947-47BE-AE78-A8B4945E695B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4" name="$E$108">
            <a:extLst>
              <a:ext uri="{FF2B5EF4-FFF2-40B4-BE49-F238E27FC236}">
                <a16:creationId xmlns:a16="http://schemas.microsoft.com/office/drawing/2014/main" id="{F2FBFA20-09DE-47C6-A019-3BD34FB4FF26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5" name="$E$108">
            <a:extLst>
              <a:ext uri="{FF2B5EF4-FFF2-40B4-BE49-F238E27FC236}">
                <a16:creationId xmlns:a16="http://schemas.microsoft.com/office/drawing/2014/main" id="{CE1978AE-534E-4045-999D-FD437AD4A3F9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6" name="$E$108">
            <a:extLst>
              <a:ext uri="{FF2B5EF4-FFF2-40B4-BE49-F238E27FC236}">
                <a16:creationId xmlns:a16="http://schemas.microsoft.com/office/drawing/2014/main" id="{03F523FC-BF9B-45A3-B14A-E663BDA895ED}"/>
              </a:ext>
            </a:extLst>
          </xdr:cNvPr>
          <xdr:cNvSpPr/>
        </xdr:nvSpPr>
        <xdr:spPr>
          <a:xfrm>
            <a:off x="139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7" name="$E$108">
            <a:extLst>
              <a:ext uri="{FF2B5EF4-FFF2-40B4-BE49-F238E27FC236}">
                <a16:creationId xmlns:a16="http://schemas.microsoft.com/office/drawing/2014/main" id="{75E673F0-70EE-46F6-BB34-5D61714A0D67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8" name="$E$108">
            <a:extLst>
              <a:ext uri="{FF2B5EF4-FFF2-40B4-BE49-F238E27FC236}">
                <a16:creationId xmlns:a16="http://schemas.microsoft.com/office/drawing/2014/main" id="{4299BA66-DE47-485D-99F1-42D68A93A52D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69" name="$E$108">
            <a:extLst>
              <a:ext uri="{FF2B5EF4-FFF2-40B4-BE49-F238E27FC236}">
                <a16:creationId xmlns:a16="http://schemas.microsoft.com/office/drawing/2014/main" id="{9FD6ED01-4690-4B22-926D-E312A44C0B1E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0" name="$E$108">
            <a:extLst>
              <a:ext uri="{FF2B5EF4-FFF2-40B4-BE49-F238E27FC236}">
                <a16:creationId xmlns:a16="http://schemas.microsoft.com/office/drawing/2014/main" id="{80FC86D8-9A11-409B-9945-BEF8BFB46DBF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1" name="$E$108">
            <a:extLst>
              <a:ext uri="{FF2B5EF4-FFF2-40B4-BE49-F238E27FC236}">
                <a16:creationId xmlns:a16="http://schemas.microsoft.com/office/drawing/2014/main" id="{E3768E3E-6EDA-4EC7-A284-FBC3380F456B}"/>
              </a:ext>
            </a:extLst>
          </xdr:cNvPr>
          <xdr:cNvSpPr/>
        </xdr:nvSpPr>
        <xdr:spPr>
          <a:xfrm>
            <a:off x="3429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2" name="$E$108">
            <a:extLst>
              <a:ext uri="{FF2B5EF4-FFF2-40B4-BE49-F238E27FC236}">
                <a16:creationId xmlns:a16="http://schemas.microsoft.com/office/drawing/2014/main" id="{331E423D-B84B-46D4-BDA6-7B045CBBDA06}"/>
              </a:ext>
            </a:extLst>
          </xdr:cNvPr>
          <xdr:cNvSpPr/>
        </xdr:nvSpPr>
        <xdr:spPr>
          <a:xfrm>
            <a:off x="355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3" name="$E$108">
            <a:extLst>
              <a:ext uri="{FF2B5EF4-FFF2-40B4-BE49-F238E27FC236}">
                <a16:creationId xmlns:a16="http://schemas.microsoft.com/office/drawing/2014/main" id="{DA1744F7-4221-4547-95E9-D65C12AE501D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4" name="$E$108">
            <a:extLst>
              <a:ext uri="{FF2B5EF4-FFF2-40B4-BE49-F238E27FC236}">
                <a16:creationId xmlns:a16="http://schemas.microsoft.com/office/drawing/2014/main" id="{247F238A-4C6E-4585-B9D0-2E922B5DA699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5" name="$E$108">
            <a:extLst>
              <a:ext uri="{FF2B5EF4-FFF2-40B4-BE49-F238E27FC236}">
                <a16:creationId xmlns:a16="http://schemas.microsoft.com/office/drawing/2014/main" id="{B06229A9-AA4F-4405-93DB-65227BA4B9C5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6" name="$E$108">
            <a:extLst>
              <a:ext uri="{FF2B5EF4-FFF2-40B4-BE49-F238E27FC236}">
                <a16:creationId xmlns:a16="http://schemas.microsoft.com/office/drawing/2014/main" id="{AB2775AF-0562-4F5F-AF39-4C251B142190}"/>
              </a:ext>
            </a:extLst>
          </xdr:cNvPr>
          <xdr:cNvSpPr/>
        </xdr:nvSpPr>
        <xdr:spPr>
          <a:xfrm>
            <a:off x="152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7" name="$E$108">
            <a:extLst>
              <a:ext uri="{FF2B5EF4-FFF2-40B4-BE49-F238E27FC236}">
                <a16:creationId xmlns:a16="http://schemas.microsoft.com/office/drawing/2014/main" id="{E785262B-5856-4FCA-AF4B-EB2A38347AAE}"/>
              </a:ext>
            </a:extLst>
          </xdr:cNvPr>
          <xdr:cNvSpPr/>
        </xdr:nvSpPr>
        <xdr:spPr>
          <a:xfrm>
            <a:off x="215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8" name="$E$108">
            <a:extLst>
              <a:ext uri="{FF2B5EF4-FFF2-40B4-BE49-F238E27FC236}">
                <a16:creationId xmlns:a16="http://schemas.microsoft.com/office/drawing/2014/main" id="{8655434C-4A91-4DAC-ABF5-2FF5B263B2F2}"/>
              </a:ext>
            </a:extLst>
          </xdr:cNvPr>
          <xdr:cNvSpPr/>
        </xdr:nvSpPr>
        <xdr:spPr>
          <a:xfrm>
            <a:off x="228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79" name="$E$108">
            <a:extLst>
              <a:ext uri="{FF2B5EF4-FFF2-40B4-BE49-F238E27FC236}">
                <a16:creationId xmlns:a16="http://schemas.microsoft.com/office/drawing/2014/main" id="{A9777BCD-C9C3-4BE1-ADE3-CC1FB7C5F6C0}"/>
              </a:ext>
            </a:extLst>
          </xdr:cNvPr>
          <xdr:cNvSpPr/>
        </xdr:nvSpPr>
        <xdr:spPr>
          <a:xfrm>
            <a:off x="254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0" name="$E$108">
            <a:extLst>
              <a:ext uri="{FF2B5EF4-FFF2-40B4-BE49-F238E27FC236}">
                <a16:creationId xmlns:a16="http://schemas.microsoft.com/office/drawing/2014/main" id="{F15BC2A1-E1E2-4D53-90B0-BDD77D919F1F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1" name="$E$108">
            <a:extLst>
              <a:ext uri="{FF2B5EF4-FFF2-40B4-BE49-F238E27FC236}">
                <a16:creationId xmlns:a16="http://schemas.microsoft.com/office/drawing/2014/main" id="{2FAB8614-0A68-4643-A2B0-4BEA7530A1F3}"/>
              </a:ext>
            </a:extLst>
          </xdr:cNvPr>
          <xdr:cNvSpPr/>
        </xdr:nvSpPr>
        <xdr:spPr>
          <a:xfrm>
            <a:off x="304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2" name="$E$108">
            <a:extLst>
              <a:ext uri="{FF2B5EF4-FFF2-40B4-BE49-F238E27FC236}">
                <a16:creationId xmlns:a16="http://schemas.microsoft.com/office/drawing/2014/main" id="{044B4478-27EE-405A-9E98-A089F2902922}"/>
              </a:ext>
            </a:extLst>
          </xdr:cNvPr>
          <xdr:cNvSpPr/>
        </xdr:nvSpPr>
        <xdr:spPr>
          <a:xfrm>
            <a:off x="3175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3" name="$E$108">
            <a:extLst>
              <a:ext uri="{FF2B5EF4-FFF2-40B4-BE49-F238E27FC236}">
                <a16:creationId xmlns:a16="http://schemas.microsoft.com/office/drawing/2014/main" id="{B4CE297D-8978-40C7-8E62-BC83E7062209}"/>
              </a:ext>
            </a:extLst>
          </xdr:cNvPr>
          <xdr:cNvSpPr/>
        </xdr:nvSpPr>
        <xdr:spPr>
          <a:xfrm>
            <a:off x="330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4" name="$E$108">
            <a:extLst>
              <a:ext uri="{FF2B5EF4-FFF2-40B4-BE49-F238E27FC236}">
                <a16:creationId xmlns:a16="http://schemas.microsoft.com/office/drawing/2014/main" id="{57E044ED-75A2-44C2-91FC-1A47F7F0FB07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5" name="$E$108">
            <a:extLst>
              <a:ext uri="{FF2B5EF4-FFF2-40B4-BE49-F238E27FC236}">
                <a16:creationId xmlns:a16="http://schemas.microsoft.com/office/drawing/2014/main" id="{EA069D35-A380-431B-BD7D-5CCEE17AE47E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6" name="$E$108">
            <a:extLst>
              <a:ext uri="{FF2B5EF4-FFF2-40B4-BE49-F238E27FC236}">
                <a16:creationId xmlns:a16="http://schemas.microsoft.com/office/drawing/2014/main" id="{18CB8C64-8530-43C9-92DA-744BC2665FB5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7" name="$E$108">
            <a:extLst>
              <a:ext uri="{FF2B5EF4-FFF2-40B4-BE49-F238E27FC236}">
                <a16:creationId xmlns:a16="http://schemas.microsoft.com/office/drawing/2014/main" id="{9EBCD6A6-4B73-4FF0-8648-3791DF02EDC1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8" name="$E$108">
            <a:extLst>
              <a:ext uri="{FF2B5EF4-FFF2-40B4-BE49-F238E27FC236}">
                <a16:creationId xmlns:a16="http://schemas.microsoft.com/office/drawing/2014/main" id="{5E8B2FDD-5EE0-4938-B2A4-46DD563F5C59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89" name="$E$108">
            <a:extLst>
              <a:ext uri="{FF2B5EF4-FFF2-40B4-BE49-F238E27FC236}">
                <a16:creationId xmlns:a16="http://schemas.microsoft.com/office/drawing/2014/main" id="{3D388EE0-1A9A-4DC4-AAC8-D72046415FD1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0" name="$E$108">
            <a:extLst>
              <a:ext uri="{FF2B5EF4-FFF2-40B4-BE49-F238E27FC236}">
                <a16:creationId xmlns:a16="http://schemas.microsoft.com/office/drawing/2014/main" id="{0824E5A1-25E6-4617-A1A6-AB114A4F42D4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1" name="$E$108">
            <a:extLst>
              <a:ext uri="{FF2B5EF4-FFF2-40B4-BE49-F238E27FC236}">
                <a16:creationId xmlns:a16="http://schemas.microsoft.com/office/drawing/2014/main" id="{87792169-FF02-4218-AF02-95E2C01A4542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2" name="$E$108">
            <a:extLst>
              <a:ext uri="{FF2B5EF4-FFF2-40B4-BE49-F238E27FC236}">
                <a16:creationId xmlns:a16="http://schemas.microsoft.com/office/drawing/2014/main" id="{E154F32F-CA93-45FF-9581-3C5322F4474D}"/>
              </a:ext>
            </a:extLst>
          </xdr:cNvPr>
          <xdr:cNvSpPr/>
        </xdr:nvSpPr>
        <xdr:spPr>
          <a:xfrm>
            <a:off x="114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3" name="$E$108">
            <a:extLst>
              <a:ext uri="{FF2B5EF4-FFF2-40B4-BE49-F238E27FC236}">
                <a16:creationId xmlns:a16="http://schemas.microsoft.com/office/drawing/2014/main" id="{1A1FBEC1-C477-4028-9D97-13E74E2EE20D}"/>
              </a:ext>
            </a:extLst>
          </xdr:cNvPr>
          <xdr:cNvSpPr/>
        </xdr:nvSpPr>
        <xdr:spPr>
          <a:xfrm>
            <a:off x="127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4" name="$E$108">
            <a:extLst>
              <a:ext uri="{FF2B5EF4-FFF2-40B4-BE49-F238E27FC236}">
                <a16:creationId xmlns:a16="http://schemas.microsoft.com/office/drawing/2014/main" id="{7AF3911E-219D-45A5-BCB8-A5BE993C55FB}"/>
              </a:ext>
            </a:extLst>
          </xdr:cNvPr>
          <xdr:cNvSpPr/>
        </xdr:nvSpPr>
        <xdr:spPr>
          <a:xfrm>
            <a:off x="165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5" name="$E$108">
            <a:extLst>
              <a:ext uri="{FF2B5EF4-FFF2-40B4-BE49-F238E27FC236}">
                <a16:creationId xmlns:a16="http://schemas.microsoft.com/office/drawing/2014/main" id="{22EAEC85-5869-4AFB-8CFB-6BFE8888999D}"/>
              </a:ext>
            </a:extLst>
          </xdr:cNvPr>
          <xdr:cNvSpPr/>
        </xdr:nvSpPr>
        <xdr:spPr>
          <a:xfrm>
            <a:off x="190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6" name="$E$108">
            <a:extLst>
              <a:ext uri="{FF2B5EF4-FFF2-40B4-BE49-F238E27FC236}">
                <a16:creationId xmlns:a16="http://schemas.microsoft.com/office/drawing/2014/main" id="{F0E7BEEB-87E4-477F-94A3-2522AAD061C4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7" name="$E$108">
            <a:extLst>
              <a:ext uri="{FF2B5EF4-FFF2-40B4-BE49-F238E27FC236}">
                <a16:creationId xmlns:a16="http://schemas.microsoft.com/office/drawing/2014/main" id="{2E3BD9EB-66C0-4804-B841-8F5CD7705DE0}"/>
              </a:ext>
            </a:extLst>
          </xdr:cNvPr>
          <xdr:cNvSpPr/>
        </xdr:nvSpPr>
        <xdr:spPr>
          <a:xfrm>
            <a:off x="2413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8" name="$E$108">
            <a:extLst>
              <a:ext uri="{FF2B5EF4-FFF2-40B4-BE49-F238E27FC236}">
                <a16:creationId xmlns:a16="http://schemas.microsoft.com/office/drawing/2014/main" id="{3FE9ADA0-2302-4E6B-A59D-D1A548D0320F}"/>
              </a:ext>
            </a:extLst>
          </xdr:cNvPr>
          <xdr:cNvSpPr/>
        </xdr:nvSpPr>
        <xdr:spPr>
          <a:xfrm>
            <a:off x="254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699" name="$E$108">
            <a:extLst>
              <a:ext uri="{FF2B5EF4-FFF2-40B4-BE49-F238E27FC236}">
                <a16:creationId xmlns:a16="http://schemas.microsoft.com/office/drawing/2014/main" id="{47A8C66E-CFC9-497F-9512-E6413078AEE1}"/>
              </a:ext>
            </a:extLst>
          </xdr:cNvPr>
          <xdr:cNvSpPr/>
        </xdr:nvSpPr>
        <xdr:spPr>
          <a:xfrm>
            <a:off x="266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00" name="$E$108">
            <a:extLst>
              <a:ext uri="{FF2B5EF4-FFF2-40B4-BE49-F238E27FC236}">
                <a16:creationId xmlns:a16="http://schemas.microsoft.com/office/drawing/2014/main" id="{2BB78EEF-12D7-4E72-9744-5B294A495E16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01" name="$E$108">
            <a:extLst>
              <a:ext uri="{FF2B5EF4-FFF2-40B4-BE49-F238E27FC236}">
                <a16:creationId xmlns:a16="http://schemas.microsoft.com/office/drawing/2014/main" id="{033FFFED-E290-4331-9A58-3F1E2902ED84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02" name="$E$108">
            <a:extLst>
              <a:ext uri="{FF2B5EF4-FFF2-40B4-BE49-F238E27FC236}">
                <a16:creationId xmlns:a16="http://schemas.microsoft.com/office/drawing/2014/main" id="{F5D61D56-3BF7-47BD-8612-C598C88609FB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03" name="$E$108">
            <a:extLst>
              <a:ext uri="{FF2B5EF4-FFF2-40B4-BE49-F238E27FC236}">
                <a16:creationId xmlns:a16="http://schemas.microsoft.com/office/drawing/2014/main" id="{662ED6E9-0AAF-41B8-B5CD-203FF1EC6E47}"/>
              </a:ext>
            </a:extLst>
          </xdr:cNvPr>
          <xdr:cNvSpPr/>
        </xdr:nvSpPr>
        <xdr:spPr>
          <a:xfrm>
            <a:off x="330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04" name="$E$108">
            <a:extLst>
              <a:ext uri="{FF2B5EF4-FFF2-40B4-BE49-F238E27FC236}">
                <a16:creationId xmlns:a16="http://schemas.microsoft.com/office/drawing/2014/main" id="{FB2DE5A7-A9C4-4355-AF76-D7E2A79E7DBB}"/>
              </a:ext>
            </a:extLst>
          </xdr:cNvPr>
          <xdr:cNvSpPr/>
        </xdr:nvSpPr>
        <xdr:spPr>
          <a:xfrm>
            <a:off x="406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 editAs="oneCell">
    <xdr:from>
      <xdr:col>4</xdr:col>
      <xdr:colOff>98244</xdr:colOff>
      <xdr:row>104</xdr:row>
      <xdr:rowOff>45851</xdr:rowOff>
    </xdr:from>
    <xdr:to>
      <xdr:col>4</xdr:col>
      <xdr:colOff>1559107</xdr:colOff>
      <xdr:row>104</xdr:row>
      <xdr:rowOff>1506714</xdr:rowOff>
    </xdr:to>
    <xdr:grpSp>
      <xdr:nvGrpSpPr>
        <xdr:cNvPr id="8263" name="$E$105" descr="QuickResponse barcode, level L, version 4, mode binary, 33x33 cells" title="https://centrodecapacitaciondelsur.com/soporte-basico-de-vida-1086982487/">
          <a:extLst>
            <a:ext uri="{FF2B5EF4-FFF2-40B4-BE49-F238E27FC236}">
              <a16:creationId xmlns:a16="http://schemas.microsoft.com/office/drawing/2014/main" id="{4D38249F-9975-4BE6-ADF4-F05CF64B5316}"/>
            </a:ext>
          </a:extLst>
        </xdr:cNvPr>
        <xdr:cNvGrpSpPr>
          <a:grpSpLocks noChangeAspect="1"/>
        </xdr:cNvGrpSpPr>
      </xdr:nvGrpSpPr>
      <xdr:grpSpPr>
        <a:xfrm>
          <a:off x="20672244" y="111069251"/>
          <a:ext cx="1460863" cy="1460863"/>
          <a:chOff x="0" y="0"/>
          <a:chExt cx="419100" cy="419100"/>
        </a:xfrm>
      </xdr:grpSpPr>
      <xdr:sp macro="" textlink="">
        <xdr:nvSpPr>
          <xdr:cNvPr id="7706" name="$E$105">
            <a:extLst>
              <a:ext uri="{FF2B5EF4-FFF2-40B4-BE49-F238E27FC236}">
                <a16:creationId xmlns:a16="http://schemas.microsoft.com/office/drawing/2014/main" id="{EF7D5F38-0CB2-4BAE-861A-183E6EB7CAEE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07" name="$E$105">
            <a:extLst>
              <a:ext uri="{FF2B5EF4-FFF2-40B4-BE49-F238E27FC236}">
                <a16:creationId xmlns:a16="http://schemas.microsoft.com/office/drawing/2014/main" id="{44E65F1B-F72F-4999-81C4-FBA57EDCC796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08" name="$E$105">
            <a:extLst>
              <a:ext uri="{FF2B5EF4-FFF2-40B4-BE49-F238E27FC236}">
                <a16:creationId xmlns:a16="http://schemas.microsoft.com/office/drawing/2014/main" id="{B886C3C3-F56F-4A8F-AFB2-95AD90BA9304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09" name="$E$105">
            <a:extLst>
              <a:ext uri="{FF2B5EF4-FFF2-40B4-BE49-F238E27FC236}">
                <a16:creationId xmlns:a16="http://schemas.microsoft.com/office/drawing/2014/main" id="{819E081E-3AB9-438B-B561-F8B529654EA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0" name="$E$105">
            <a:extLst>
              <a:ext uri="{FF2B5EF4-FFF2-40B4-BE49-F238E27FC236}">
                <a16:creationId xmlns:a16="http://schemas.microsoft.com/office/drawing/2014/main" id="{98A08F95-7C7A-4CD0-A6B1-47A95883D86B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1" name="$E$105">
            <a:extLst>
              <a:ext uri="{FF2B5EF4-FFF2-40B4-BE49-F238E27FC236}">
                <a16:creationId xmlns:a16="http://schemas.microsoft.com/office/drawing/2014/main" id="{31E36BA8-2CA0-405D-ACE9-23007E4AD847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2" name="$E$105">
            <a:extLst>
              <a:ext uri="{FF2B5EF4-FFF2-40B4-BE49-F238E27FC236}">
                <a16:creationId xmlns:a16="http://schemas.microsoft.com/office/drawing/2014/main" id="{940366B2-759E-470D-AC69-5D42CA87D8FC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3" name="$E$105">
            <a:extLst>
              <a:ext uri="{FF2B5EF4-FFF2-40B4-BE49-F238E27FC236}">
                <a16:creationId xmlns:a16="http://schemas.microsoft.com/office/drawing/2014/main" id="{63F127BE-9A92-44B9-91C3-9B5FD340D997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4" name="$E$105">
            <a:extLst>
              <a:ext uri="{FF2B5EF4-FFF2-40B4-BE49-F238E27FC236}">
                <a16:creationId xmlns:a16="http://schemas.microsoft.com/office/drawing/2014/main" id="{11144AA6-0808-4BA2-879F-9DB7294F773B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5" name="$E$105">
            <a:extLst>
              <a:ext uri="{FF2B5EF4-FFF2-40B4-BE49-F238E27FC236}">
                <a16:creationId xmlns:a16="http://schemas.microsoft.com/office/drawing/2014/main" id="{B2928CF6-54EC-4831-BA93-D215FA35C3E2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6" name="$E$105">
            <a:extLst>
              <a:ext uri="{FF2B5EF4-FFF2-40B4-BE49-F238E27FC236}">
                <a16:creationId xmlns:a16="http://schemas.microsoft.com/office/drawing/2014/main" id="{43C33AE0-515A-4004-9CF4-26CD77AE24D4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7" name="$E$105">
            <a:extLst>
              <a:ext uri="{FF2B5EF4-FFF2-40B4-BE49-F238E27FC236}">
                <a16:creationId xmlns:a16="http://schemas.microsoft.com/office/drawing/2014/main" id="{02C08EB9-4E23-4ECE-8064-4A252F52A097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8" name="$E$105">
            <a:extLst>
              <a:ext uri="{FF2B5EF4-FFF2-40B4-BE49-F238E27FC236}">
                <a16:creationId xmlns:a16="http://schemas.microsoft.com/office/drawing/2014/main" id="{BB739C6E-AAD7-4143-91BB-5077806F3009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19" name="$E$105">
            <a:extLst>
              <a:ext uri="{FF2B5EF4-FFF2-40B4-BE49-F238E27FC236}">
                <a16:creationId xmlns:a16="http://schemas.microsoft.com/office/drawing/2014/main" id="{3AA64289-320A-4AB6-9642-CCAA0FD6FB6B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0" name="$E$105">
            <a:extLst>
              <a:ext uri="{FF2B5EF4-FFF2-40B4-BE49-F238E27FC236}">
                <a16:creationId xmlns:a16="http://schemas.microsoft.com/office/drawing/2014/main" id="{70ED0C1B-BDE6-4EAD-8CC4-D402A4EB200C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1" name="$E$105">
            <a:extLst>
              <a:ext uri="{FF2B5EF4-FFF2-40B4-BE49-F238E27FC236}">
                <a16:creationId xmlns:a16="http://schemas.microsoft.com/office/drawing/2014/main" id="{BFD2E5ED-4D75-4BFE-BDFD-33B5940A72CE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2" name="$E$105">
            <a:extLst>
              <a:ext uri="{FF2B5EF4-FFF2-40B4-BE49-F238E27FC236}">
                <a16:creationId xmlns:a16="http://schemas.microsoft.com/office/drawing/2014/main" id="{25793991-6CB4-4894-860E-41F04FADB902}"/>
              </a:ext>
            </a:extLst>
          </xdr:cNvPr>
          <xdr:cNvSpPr/>
        </xdr:nvSpPr>
        <xdr:spPr>
          <a:xfrm>
            <a:off x="368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3" name="$E$105">
            <a:extLst>
              <a:ext uri="{FF2B5EF4-FFF2-40B4-BE49-F238E27FC236}">
                <a16:creationId xmlns:a16="http://schemas.microsoft.com/office/drawing/2014/main" id="{939A3B40-EE22-4DED-B37B-07F5AB22C6EE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4" name="$E$105">
            <a:extLst>
              <a:ext uri="{FF2B5EF4-FFF2-40B4-BE49-F238E27FC236}">
                <a16:creationId xmlns:a16="http://schemas.microsoft.com/office/drawing/2014/main" id="{C87C1DCA-C0A0-42C3-959B-A80B0939BA41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5" name="$E$105">
            <a:extLst>
              <a:ext uri="{FF2B5EF4-FFF2-40B4-BE49-F238E27FC236}">
                <a16:creationId xmlns:a16="http://schemas.microsoft.com/office/drawing/2014/main" id="{84B8AA12-02BF-4E4C-9820-04495DCC8BD2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6" name="$E$105">
            <a:extLst>
              <a:ext uri="{FF2B5EF4-FFF2-40B4-BE49-F238E27FC236}">
                <a16:creationId xmlns:a16="http://schemas.microsoft.com/office/drawing/2014/main" id="{51DBF9FE-5A22-45E7-BA29-23FD3DD35CB9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7" name="$E$105">
            <a:extLst>
              <a:ext uri="{FF2B5EF4-FFF2-40B4-BE49-F238E27FC236}">
                <a16:creationId xmlns:a16="http://schemas.microsoft.com/office/drawing/2014/main" id="{5570E9B2-CE4C-4E5A-8A90-B592DE1C5607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8" name="$E$105">
            <a:extLst>
              <a:ext uri="{FF2B5EF4-FFF2-40B4-BE49-F238E27FC236}">
                <a16:creationId xmlns:a16="http://schemas.microsoft.com/office/drawing/2014/main" id="{6B875395-5093-4052-B90E-9DA8F8A4D062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29" name="$E$105">
            <a:extLst>
              <a:ext uri="{FF2B5EF4-FFF2-40B4-BE49-F238E27FC236}">
                <a16:creationId xmlns:a16="http://schemas.microsoft.com/office/drawing/2014/main" id="{FB2AAD5F-098B-46EF-8975-C5C238F1C74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0" name="$E$105">
            <a:extLst>
              <a:ext uri="{FF2B5EF4-FFF2-40B4-BE49-F238E27FC236}">
                <a16:creationId xmlns:a16="http://schemas.microsoft.com/office/drawing/2014/main" id="{FEEDED16-2243-4526-8379-2939346ED9E1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1" name="$E$105">
            <a:extLst>
              <a:ext uri="{FF2B5EF4-FFF2-40B4-BE49-F238E27FC236}">
                <a16:creationId xmlns:a16="http://schemas.microsoft.com/office/drawing/2014/main" id="{667F588C-74AF-4E19-9C55-885094D4CFE7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2" name="$E$105">
            <a:extLst>
              <a:ext uri="{FF2B5EF4-FFF2-40B4-BE49-F238E27FC236}">
                <a16:creationId xmlns:a16="http://schemas.microsoft.com/office/drawing/2014/main" id="{8F489495-FCBB-4DD8-A28B-F2D4EB033392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3" name="$E$105">
            <a:extLst>
              <a:ext uri="{FF2B5EF4-FFF2-40B4-BE49-F238E27FC236}">
                <a16:creationId xmlns:a16="http://schemas.microsoft.com/office/drawing/2014/main" id="{1C3346DE-508B-45B0-8F7F-CEC898121323}"/>
              </a:ext>
            </a:extLst>
          </xdr:cNvPr>
          <xdr:cNvSpPr/>
        </xdr:nvSpPr>
        <xdr:spPr>
          <a:xfrm>
            <a:off x="215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4" name="$E$105">
            <a:extLst>
              <a:ext uri="{FF2B5EF4-FFF2-40B4-BE49-F238E27FC236}">
                <a16:creationId xmlns:a16="http://schemas.microsoft.com/office/drawing/2014/main" id="{A102904D-E6C0-4BDA-9261-C5DE49D91C57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5" name="$E$105">
            <a:extLst>
              <a:ext uri="{FF2B5EF4-FFF2-40B4-BE49-F238E27FC236}">
                <a16:creationId xmlns:a16="http://schemas.microsoft.com/office/drawing/2014/main" id="{E2319115-9343-4B79-84E4-B149BBBA1394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6" name="$E$105">
            <a:extLst>
              <a:ext uri="{FF2B5EF4-FFF2-40B4-BE49-F238E27FC236}">
                <a16:creationId xmlns:a16="http://schemas.microsoft.com/office/drawing/2014/main" id="{DD77ED6D-382A-4608-835C-7C83BB59ABA1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7" name="$E$105">
            <a:extLst>
              <a:ext uri="{FF2B5EF4-FFF2-40B4-BE49-F238E27FC236}">
                <a16:creationId xmlns:a16="http://schemas.microsoft.com/office/drawing/2014/main" id="{4934571F-AD0E-4479-ACE9-E6A95BBA5FBB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8" name="$E$105">
            <a:extLst>
              <a:ext uri="{FF2B5EF4-FFF2-40B4-BE49-F238E27FC236}">
                <a16:creationId xmlns:a16="http://schemas.microsoft.com/office/drawing/2014/main" id="{D437E9B0-0308-48D4-8158-9FDA9B1C826F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39" name="$E$105">
            <a:extLst>
              <a:ext uri="{FF2B5EF4-FFF2-40B4-BE49-F238E27FC236}">
                <a16:creationId xmlns:a16="http://schemas.microsoft.com/office/drawing/2014/main" id="{F2822871-D671-4874-BC9D-CB3C9A74D207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0" name="$E$105">
            <a:extLst>
              <a:ext uri="{FF2B5EF4-FFF2-40B4-BE49-F238E27FC236}">
                <a16:creationId xmlns:a16="http://schemas.microsoft.com/office/drawing/2014/main" id="{B36D85CD-E9EE-401C-9978-5144FC4C7A1D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1" name="$E$105">
            <a:extLst>
              <a:ext uri="{FF2B5EF4-FFF2-40B4-BE49-F238E27FC236}">
                <a16:creationId xmlns:a16="http://schemas.microsoft.com/office/drawing/2014/main" id="{87957782-CE0A-4DAD-99C9-BCAB23DDD245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2" name="$E$105">
            <a:extLst>
              <a:ext uri="{FF2B5EF4-FFF2-40B4-BE49-F238E27FC236}">
                <a16:creationId xmlns:a16="http://schemas.microsoft.com/office/drawing/2014/main" id="{644B1BD6-A82A-4969-995C-25197505D312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3" name="$E$105">
            <a:extLst>
              <a:ext uri="{FF2B5EF4-FFF2-40B4-BE49-F238E27FC236}">
                <a16:creationId xmlns:a16="http://schemas.microsoft.com/office/drawing/2014/main" id="{A0524E0A-2CF0-4EEC-AF11-60A771536385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4" name="$E$105">
            <a:extLst>
              <a:ext uri="{FF2B5EF4-FFF2-40B4-BE49-F238E27FC236}">
                <a16:creationId xmlns:a16="http://schemas.microsoft.com/office/drawing/2014/main" id="{4F9926D4-FE00-4443-9D5C-F099402B0CAE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5" name="$E$105">
            <a:extLst>
              <a:ext uri="{FF2B5EF4-FFF2-40B4-BE49-F238E27FC236}">
                <a16:creationId xmlns:a16="http://schemas.microsoft.com/office/drawing/2014/main" id="{7A058FAC-06AC-4572-8A5F-02AEE7D4DF0B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6" name="$E$105">
            <a:extLst>
              <a:ext uri="{FF2B5EF4-FFF2-40B4-BE49-F238E27FC236}">
                <a16:creationId xmlns:a16="http://schemas.microsoft.com/office/drawing/2014/main" id="{022D524B-2E88-48ED-8E0C-B568904CCFAE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7" name="$E$105">
            <a:extLst>
              <a:ext uri="{FF2B5EF4-FFF2-40B4-BE49-F238E27FC236}">
                <a16:creationId xmlns:a16="http://schemas.microsoft.com/office/drawing/2014/main" id="{DAA1D691-93FB-42C0-AAD7-B1401DC1F3DA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8" name="$E$105">
            <a:extLst>
              <a:ext uri="{FF2B5EF4-FFF2-40B4-BE49-F238E27FC236}">
                <a16:creationId xmlns:a16="http://schemas.microsoft.com/office/drawing/2014/main" id="{8B3CA1EF-A006-4B1E-95BA-FE2FD7CE0BC7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49" name="$E$105">
            <a:extLst>
              <a:ext uri="{FF2B5EF4-FFF2-40B4-BE49-F238E27FC236}">
                <a16:creationId xmlns:a16="http://schemas.microsoft.com/office/drawing/2014/main" id="{3B601968-63B6-4082-987B-83451C9E434D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0" name="$E$105">
            <a:extLst>
              <a:ext uri="{FF2B5EF4-FFF2-40B4-BE49-F238E27FC236}">
                <a16:creationId xmlns:a16="http://schemas.microsoft.com/office/drawing/2014/main" id="{B8F6D173-54B1-4FB9-B868-7452015245D3}"/>
              </a:ext>
            </a:extLst>
          </xdr:cNvPr>
          <xdr:cNvSpPr/>
        </xdr:nvSpPr>
        <xdr:spPr>
          <a:xfrm>
            <a:off x="292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1" name="$E$105">
            <a:extLst>
              <a:ext uri="{FF2B5EF4-FFF2-40B4-BE49-F238E27FC236}">
                <a16:creationId xmlns:a16="http://schemas.microsoft.com/office/drawing/2014/main" id="{8A469EE2-6CDE-4502-ACF1-132BD1607919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2" name="$E$105">
            <a:extLst>
              <a:ext uri="{FF2B5EF4-FFF2-40B4-BE49-F238E27FC236}">
                <a16:creationId xmlns:a16="http://schemas.microsoft.com/office/drawing/2014/main" id="{6148273C-6884-47F7-A506-B416AB6A0889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3" name="$E$105">
            <a:extLst>
              <a:ext uri="{FF2B5EF4-FFF2-40B4-BE49-F238E27FC236}">
                <a16:creationId xmlns:a16="http://schemas.microsoft.com/office/drawing/2014/main" id="{DA0C5465-41E3-49CE-A25A-597A4C4A1ED9}"/>
              </a:ext>
            </a:extLst>
          </xdr:cNvPr>
          <xdr:cNvSpPr/>
        </xdr:nvSpPr>
        <xdr:spPr>
          <a:xfrm>
            <a:off x="368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4" name="$E$105">
            <a:extLst>
              <a:ext uri="{FF2B5EF4-FFF2-40B4-BE49-F238E27FC236}">
                <a16:creationId xmlns:a16="http://schemas.microsoft.com/office/drawing/2014/main" id="{06D04727-7712-48C1-9D8C-E04E61686949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5" name="$E$105">
            <a:extLst>
              <a:ext uri="{FF2B5EF4-FFF2-40B4-BE49-F238E27FC236}">
                <a16:creationId xmlns:a16="http://schemas.microsoft.com/office/drawing/2014/main" id="{4778EDED-E5BA-479F-A986-E6B30BB3B87C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6" name="$E$105">
            <a:extLst>
              <a:ext uri="{FF2B5EF4-FFF2-40B4-BE49-F238E27FC236}">
                <a16:creationId xmlns:a16="http://schemas.microsoft.com/office/drawing/2014/main" id="{214D883E-88E9-4C32-A82B-38D70D376C06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7" name="$E$105">
            <a:extLst>
              <a:ext uri="{FF2B5EF4-FFF2-40B4-BE49-F238E27FC236}">
                <a16:creationId xmlns:a16="http://schemas.microsoft.com/office/drawing/2014/main" id="{272F11A8-303B-43D3-BCEA-32905193182E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8" name="$E$105">
            <a:extLst>
              <a:ext uri="{FF2B5EF4-FFF2-40B4-BE49-F238E27FC236}">
                <a16:creationId xmlns:a16="http://schemas.microsoft.com/office/drawing/2014/main" id="{06F501E3-B08B-4AE0-AABD-EA79800F784A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59" name="$E$105">
            <a:extLst>
              <a:ext uri="{FF2B5EF4-FFF2-40B4-BE49-F238E27FC236}">
                <a16:creationId xmlns:a16="http://schemas.microsoft.com/office/drawing/2014/main" id="{ED9751DD-045E-45DF-9981-5F23A9C8514F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0" name="$E$105">
            <a:extLst>
              <a:ext uri="{FF2B5EF4-FFF2-40B4-BE49-F238E27FC236}">
                <a16:creationId xmlns:a16="http://schemas.microsoft.com/office/drawing/2014/main" id="{EF185E8B-1388-4FA7-83F9-B8CFA4EC4217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1" name="$E$105">
            <a:extLst>
              <a:ext uri="{FF2B5EF4-FFF2-40B4-BE49-F238E27FC236}">
                <a16:creationId xmlns:a16="http://schemas.microsoft.com/office/drawing/2014/main" id="{EDB69D15-7358-4684-8B89-1354AD811F9A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2" name="$E$105">
            <a:extLst>
              <a:ext uri="{FF2B5EF4-FFF2-40B4-BE49-F238E27FC236}">
                <a16:creationId xmlns:a16="http://schemas.microsoft.com/office/drawing/2014/main" id="{0DAC2D57-2004-4CD8-9612-B6B3770F2E98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3" name="$E$105">
            <a:extLst>
              <a:ext uri="{FF2B5EF4-FFF2-40B4-BE49-F238E27FC236}">
                <a16:creationId xmlns:a16="http://schemas.microsoft.com/office/drawing/2014/main" id="{53B4BE02-0414-424E-A914-C6BBA334F9AC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4" name="$E$105">
            <a:extLst>
              <a:ext uri="{FF2B5EF4-FFF2-40B4-BE49-F238E27FC236}">
                <a16:creationId xmlns:a16="http://schemas.microsoft.com/office/drawing/2014/main" id="{6D938AA5-8510-4951-A389-4FF1F7E3A0D7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5" name="$E$105">
            <a:extLst>
              <a:ext uri="{FF2B5EF4-FFF2-40B4-BE49-F238E27FC236}">
                <a16:creationId xmlns:a16="http://schemas.microsoft.com/office/drawing/2014/main" id="{5C6D6751-3C77-4B86-99CE-3C034E7098E3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6" name="$E$105">
            <a:extLst>
              <a:ext uri="{FF2B5EF4-FFF2-40B4-BE49-F238E27FC236}">
                <a16:creationId xmlns:a16="http://schemas.microsoft.com/office/drawing/2014/main" id="{06FE0CD2-195E-466F-A439-C2ECEE031339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7" name="$E$105">
            <a:extLst>
              <a:ext uri="{FF2B5EF4-FFF2-40B4-BE49-F238E27FC236}">
                <a16:creationId xmlns:a16="http://schemas.microsoft.com/office/drawing/2014/main" id="{5304C588-00F0-4C8F-9492-9DCB7EC43429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8" name="$E$105">
            <a:extLst>
              <a:ext uri="{FF2B5EF4-FFF2-40B4-BE49-F238E27FC236}">
                <a16:creationId xmlns:a16="http://schemas.microsoft.com/office/drawing/2014/main" id="{22D99F4C-6EF1-409F-AF6C-9B014DA161EC}"/>
              </a:ext>
            </a:extLst>
          </xdr:cNvPr>
          <xdr:cNvSpPr/>
        </xdr:nvSpPr>
        <xdr:spPr>
          <a:xfrm>
            <a:off x="241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69" name="$E$105">
            <a:extLst>
              <a:ext uri="{FF2B5EF4-FFF2-40B4-BE49-F238E27FC236}">
                <a16:creationId xmlns:a16="http://schemas.microsoft.com/office/drawing/2014/main" id="{072FD532-9911-43A5-90FA-A71DBD70433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0" name="$E$105">
            <a:extLst>
              <a:ext uri="{FF2B5EF4-FFF2-40B4-BE49-F238E27FC236}">
                <a16:creationId xmlns:a16="http://schemas.microsoft.com/office/drawing/2014/main" id="{6C0AF10E-1D4D-4FE0-A77D-BE738987DFC7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1" name="$E$105">
            <a:extLst>
              <a:ext uri="{FF2B5EF4-FFF2-40B4-BE49-F238E27FC236}">
                <a16:creationId xmlns:a16="http://schemas.microsoft.com/office/drawing/2014/main" id="{613D09F5-882B-4987-B6EB-1779C8123E96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2" name="$E$105">
            <a:extLst>
              <a:ext uri="{FF2B5EF4-FFF2-40B4-BE49-F238E27FC236}">
                <a16:creationId xmlns:a16="http://schemas.microsoft.com/office/drawing/2014/main" id="{3483818A-058D-4289-8EE0-4833DDE20BE5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3" name="$E$105">
            <a:extLst>
              <a:ext uri="{FF2B5EF4-FFF2-40B4-BE49-F238E27FC236}">
                <a16:creationId xmlns:a16="http://schemas.microsoft.com/office/drawing/2014/main" id="{FB70F839-BAA3-47D4-96E4-6B74640A6165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4" name="$E$105">
            <a:extLst>
              <a:ext uri="{FF2B5EF4-FFF2-40B4-BE49-F238E27FC236}">
                <a16:creationId xmlns:a16="http://schemas.microsoft.com/office/drawing/2014/main" id="{08E6D77D-63A0-4202-A414-274BBDA9E67D}"/>
              </a:ext>
            </a:extLst>
          </xdr:cNvPr>
          <xdr:cNvSpPr/>
        </xdr:nvSpPr>
        <xdr:spPr>
          <a:xfrm>
            <a:off x="368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5" name="$E$105">
            <a:extLst>
              <a:ext uri="{FF2B5EF4-FFF2-40B4-BE49-F238E27FC236}">
                <a16:creationId xmlns:a16="http://schemas.microsoft.com/office/drawing/2014/main" id="{02F18A58-74C7-49D6-BE9B-EFEB6A312974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6" name="$E$105">
            <a:extLst>
              <a:ext uri="{FF2B5EF4-FFF2-40B4-BE49-F238E27FC236}">
                <a16:creationId xmlns:a16="http://schemas.microsoft.com/office/drawing/2014/main" id="{9E8E845B-43EB-4CC0-8150-A42059CF5A69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7" name="$E$105">
            <a:extLst>
              <a:ext uri="{FF2B5EF4-FFF2-40B4-BE49-F238E27FC236}">
                <a16:creationId xmlns:a16="http://schemas.microsoft.com/office/drawing/2014/main" id="{2CD5495C-CDEB-4FDC-A13D-C5CAAB27E44B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8" name="$E$105">
            <a:extLst>
              <a:ext uri="{FF2B5EF4-FFF2-40B4-BE49-F238E27FC236}">
                <a16:creationId xmlns:a16="http://schemas.microsoft.com/office/drawing/2014/main" id="{D4210987-445C-44D0-9348-B689085AA3C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79" name="$E$105">
            <a:extLst>
              <a:ext uri="{FF2B5EF4-FFF2-40B4-BE49-F238E27FC236}">
                <a16:creationId xmlns:a16="http://schemas.microsoft.com/office/drawing/2014/main" id="{519C9CC4-4562-4B1D-98A0-A85696C7AB87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0" name="$E$105">
            <a:extLst>
              <a:ext uri="{FF2B5EF4-FFF2-40B4-BE49-F238E27FC236}">
                <a16:creationId xmlns:a16="http://schemas.microsoft.com/office/drawing/2014/main" id="{393BCD37-CC1B-4980-8740-7584CBBF9AF3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1" name="$E$105">
            <a:extLst>
              <a:ext uri="{FF2B5EF4-FFF2-40B4-BE49-F238E27FC236}">
                <a16:creationId xmlns:a16="http://schemas.microsoft.com/office/drawing/2014/main" id="{F026EC31-188B-4EA1-97EA-9A0808A1CD7F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2" name="$E$105">
            <a:extLst>
              <a:ext uri="{FF2B5EF4-FFF2-40B4-BE49-F238E27FC236}">
                <a16:creationId xmlns:a16="http://schemas.microsoft.com/office/drawing/2014/main" id="{DE278CC2-2BB5-4A48-8D4B-C19240DCA1BD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3" name="$E$105">
            <a:extLst>
              <a:ext uri="{FF2B5EF4-FFF2-40B4-BE49-F238E27FC236}">
                <a16:creationId xmlns:a16="http://schemas.microsoft.com/office/drawing/2014/main" id="{7DE11C47-52C9-43A1-8207-BB5526B4D026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4" name="$E$105">
            <a:extLst>
              <a:ext uri="{FF2B5EF4-FFF2-40B4-BE49-F238E27FC236}">
                <a16:creationId xmlns:a16="http://schemas.microsoft.com/office/drawing/2014/main" id="{9F64C322-D94B-4650-9560-6D1C8D8DF59B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5" name="$E$105">
            <a:extLst>
              <a:ext uri="{FF2B5EF4-FFF2-40B4-BE49-F238E27FC236}">
                <a16:creationId xmlns:a16="http://schemas.microsoft.com/office/drawing/2014/main" id="{4C2A209F-1C9F-4DB1-B5D2-2998E58F3BFE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6" name="$E$105">
            <a:extLst>
              <a:ext uri="{FF2B5EF4-FFF2-40B4-BE49-F238E27FC236}">
                <a16:creationId xmlns:a16="http://schemas.microsoft.com/office/drawing/2014/main" id="{64C22C3D-432F-4A3E-9C43-C6F2BBBC04A6}"/>
              </a:ext>
            </a:extLst>
          </xdr:cNvPr>
          <xdr:cNvSpPr/>
        </xdr:nvSpPr>
        <xdr:spPr>
          <a:xfrm>
            <a:off x="266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7" name="$E$105">
            <a:extLst>
              <a:ext uri="{FF2B5EF4-FFF2-40B4-BE49-F238E27FC236}">
                <a16:creationId xmlns:a16="http://schemas.microsoft.com/office/drawing/2014/main" id="{A072ACAC-29E4-49CE-9215-DF68684EE802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8" name="$E$105">
            <a:extLst>
              <a:ext uri="{FF2B5EF4-FFF2-40B4-BE49-F238E27FC236}">
                <a16:creationId xmlns:a16="http://schemas.microsoft.com/office/drawing/2014/main" id="{05B55ABE-9D00-4762-BDB5-AB6821A36F5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89" name="$E$105">
            <a:extLst>
              <a:ext uri="{FF2B5EF4-FFF2-40B4-BE49-F238E27FC236}">
                <a16:creationId xmlns:a16="http://schemas.microsoft.com/office/drawing/2014/main" id="{0F752D68-FC72-4C0B-AEDF-DDAC2245FC07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0" name="$E$105">
            <a:extLst>
              <a:ext uri="{FF2B5EF4-FFF2-40B4-BE49-F238E27FC236}">
                <a16:creationId xmlns:a16="http://schemas.microsoft.com/office/drawing/2014/main" id="{D0E91826-E785-4AE2-9E6E-0E74947238AB}"/>
              </a:ext>
            </a:extLst>
          </xdr:cNvPr>
          <xdr:cNvSpPr/>
        </xdr:nvSpPr>
        <xdr:spPr>
          <a:xfrm>
            <a:off x="368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1" name="$E$105">
            <a:extLst>
              <a:ext uri="{FF2B5EF4-FFF2-40B4-BE49-F238E27FC236}">
                <a16:creationId xmlns:a16="http://schemas.microsoft.com/office/drawing/2014/main" id="{D342C594-2786-420E-98B2-EED97388F34F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2" name="$E$105">
            <a:extLst>
              <a:ext uri="{FF2B5EF4-FFF2-40B4-BE49-F238E27FC236}">
                <a16:creationId xmlns:a16="http://schemas.microsoft.com/office/drawing/2014/main" id="{7EC2FF0B-A257-4219-82BE-16FAAAB91F38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3" name="$E$105">
            <a:extLst>
              <a:ext uri="{FF2B5EF4-FFF2-40B4-BE49-F238E27FC236}">
                <a16:creationId xmlns:a16="http://schemas.microsoft.com/office/drawing/2014/main" id="{ECC99485-06B0-4143-8F93-C35FCBB09C92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4" name="$E$105">
            <a:extLst>
              <a:ext uri="{FF2B5EF4-FFF2-40B4-BE49-F238E27FC236}">
                <a16:creationId xmlns:a16="http://schemas.microsoft.com/office/drawing/2014/main" id="{EC091F75-AE82-44E2-99C4-89680E8E255D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5" name="$E$105">
            <a:extLst>
              <a:ext uri="{FF2B5EF4-FFF2-40B4-BE49-F238E27FC236}">
                <a16:creationId xmlns:a16="http://schemas.microsoft.com/office/drawing/2014/main" id="{DA54CF32-C4A2-4956-8ACB-AEDC5D939755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6" name="$E$105">
            <a:extLst>
              <a:ext uri="{FF2B5EF4-FFF2-40B4-BE49-F238E27FC236}">
                <a16:creationId xmlns:a16="http://schemas.microsoft.com/office/drawing/2014/main" id="{A4FD13D0-FB35-4CC8-AE3E-4EC3D71D694D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7" name="$E$105">
            <a:extLst>
              <a:ext uri="{FF2B5EF4-FFF2-40B4-BE49-F238E27FC236}">
                <a16:creationId xmlns:a16="http://schemas.microsoft.com/office/drawing/2014/main" id="{C7D4CA5D-92DC-42B7-9737-DBC1A406F46C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8" name="$E$105">
            <a:extLst>
              <a:ext uri="{FF2B5EF4-FFF2-40B4-BE49-F238E27FC236}">
                <a16:creationId xmlns:a16="http://schemas.microsoft.com/office/drawing/2014/main" id="{486DB58A-3D2D-43A4-8351-05096E7D6A50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799" name="$E$105">
            <a:extLst>
              <a:ext uri="{FF2B5EF4-FFF2-40B4-BE49-F238E27FC236}">
                <a16:creationId xmlns:a16="http://schemas.microsoft.com/office/drawing/2014/main" id="{4E9B9080-B1F0-4C66-A0C1-AFB68EAB501C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0" name="$E$105">
            <a:extLst>
              <a:ext uri="{FF2B5EF4-FFF2-40B4-BE49-F238E27FC236}">
                <a16:creationId xmlns:a16="http://schemas.microsoft.com/office/drawing/2014/main" id="{6DB06BAC-F21A-47E5-86D4-811940A33B91}"/>
              </a:ext>
            </a:extLst>
          </xdr:cNvPr>
          <xdr:cNvSpPr/>
        </xdr:nvSpPr>
        <xdr:spPr>
          <a:xfrm>
            <a:off x="266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1" name="$E$105">
            <a:extLst>
              <a:ext uri="{FF2B5EF4-FFF2-40B4-BE49-F238E27FC236}">
                <a16:creationId xmlns:a16="http://schemas.microsoft.com/office/drawing/2014/main" id="{519BCAA0-B2A2-41AF-87A4-DF6C1C3E2971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2" name="$E$105">
            <a:extLst>
              <a:ext uri="{FF2B5EF4-FFF2-40B4-BE49-F238E27FC236}">
                <a16:creationId xmlns:a16="http://schemas.microsoft.com/office/drawing/2014/main" id="{5915AFC1-4194-485C-866D-C444E4DE76EB}"/>
              </a:ext>
            </a:extLst>
          </xdr:cNvPr>
          <xdr:cNvSpPr/>
        </xdr:nvSpPr>
        <xdr:spPr>
          <a:xfrm>
            <a:off x="330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3" name="$E$105">
            <a:extLst>
              <a:ext uri="{FF2B5EF4-FFF2-40B4-BE49-F238E27FC236}">
                <a16:creationId xmlns:a16="http://schemas.microsoft.com/office/drawing/2014/main" id="{1A60D823-8627-4C91-9339-5643AE5BB5DE}"/>
              </a:ext>
            </a:extLst>
          </xdr:cNvPr>
          <xdr:cNvSpPr/>
        </xdr:nvSpPr>
        <xdr:spPr>
          <a:xfrm>
            <a:off x="406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4" name="$E$105">
            <a:extLst>
              <a:ext uri="{FF2B5EF4-FFF2-40B4-BE49-F238E27FC236}">
                <a16:creationId xmlns:a16="http://schemas.microsoft.com/office/drawing/2014/main" id="{2791E0D9-B311-470A-9B5B-A590222DA5A7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5" name="$E$105">
            <a:extLst>
              <a:ext uri="{FF2B5EF4-FFF2-40B4-BE49-F238E27FC236}">
                <a16:creationId xmlns:a16="http://schemas.microsoft.com/office/drawing/2014/main" id="{83FC955C-063B-4017-8D9C-60B14D11842E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6" name="$E$105">
            <a:extLst>
              <a:ext uri="{FF2B5EF4-FFF2-40B4-BE49-F238E27FC236}">
                <a16:creationId xmlns:a16="http://schemas.microsoft.com/office/drawing/2014/main" id="{8C20A5FE-0F0B-46DA-85E7-788A2972B3E3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7" name="$E$105">
            <a:extLst>
              <a:ext uri="{FF2B5EF4-FFF2-40B4-BE49-F238E27FC236}">
                <a16:creationId xmlns:a16="http://schemas.microsoft.com/office/drawing/2014/main" id="{551CC013-2889-4A6D-99AA-4466B6A2A7C1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8" name="$E$105">
            <a:extLst>
              <a:ext uri="{FF2B5EF4-FFF2-40B4-BE49-F238E27FC236}">
                <a16:creationId xmlns:a16="http://schemas.microsoft.com/office/drawing/2014/main" id="{2E85E173-861F-425E-9F83-49B8DF639F7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09" name="$E$105">
            <a:extLst>
              <a:ext uri="{FF2B5EF4-FFF2-40B4-BE49-F238E27FC236}">
                <a16:creationId xmlns:a16="http://schemas.microsoft.com/office/drawing/2014/main" id="{6D8DE204-748F-430B-B378-0D2FD8A71EE1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0" name="$E$105">
            <a:extLst>
              <a:ext uri="{FF2B5EF4-FFF2-40B4-BE49-F238E27FC236}">
                <a16:creationId xmlns:a16="http://schemas.microsoft.com/office/drawing/2014/main" id="{B695E35A-1299-4E20-8156-C1D34587C2B1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1" name="$E$105">
            <a:extLst>
              <a:ext uri="{FF2B5EF4-FFF2-40B4-BE49-F238E27FC236}">
                <a16:creationId xmlns:a16="http://schemas.microsoft.com/office/drawing/2014/main" id="{B5194601-5116-4928-ABD6-5ABFE1289B18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2" name="$E$105">
            <a:extLst>
              <a:ext uri="{FF2B5EF4-FFF2-40B4-BE49-F238E27FC236}">
                <a16:creationId xmlns:a16="http://schemas.microsoft.com/office/drawing/2014/main" id="{422260A4-0149-4B8B-ABF0-94FFDC876F71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3" name="$E$105">
            <a:extLst>
              <a:ext uri="{FF2B5EF4-FFF2-40B4-BE49-F238E27FC236}">
                <a16:creationId xmlns:a16="http://schemas.microsoft.com/office/drawing/2014/main" id="{5E66048E-451A-4D1A-A44D-5463566DF1D1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4" name="$E$105">
            <a:extLst>
              <a:ext uri="{FF2B5EF4-FFF2-40B4-BE49-F238E27FC236}">
                <a16:creationId xmlns:a16="http://schemas.microsoft.com/office/drawing/2014/main" id="{A099C4BC-4D5B-415C-B11F-438B5B43D52D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5" name="$E$105">
            <a:extLst>
              <a:ext uri="{FF2B5EF4-FFF2-40B4-BE49-F238E27FC236}">
                <a16:creationId xmlns:a16="http://schemas.microsoft.com/office/drawing/2014/main" id="{1E5F32C2-FFF4-4764-980A-8A1471D0A25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6" name="$E$105">
            <a:extLst>
              <a:ext uri="{FF2B5EF4-FFF2-40B4-BE49-F238E27FC236}">
                <a16:creationId xmlns:a16="http://schemas.microsoft.com/office/drawing/2014/main" id="{61520109-3AD8-4411-90AF-E84720895F03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7" name="$E$105">
            <a:extLst>
              <a:ext uri="{FF2B5EF4-FFF2-40B4-BE49-F238E27FC236}">
                <a16:creationId xmlns:a16="http://schemas.microsoft.com/office/drawing/2014/main" id="{0DB6DF51-4109-448F-9E27-ED6C28EC0F21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8" name="$E$105">
            <a:extLst>
              <a:ext uri="{FF2B5EF4-FFF2-40B4-BE49-F238E27FC236}">
                <a16:creationId xmlns:a16="http://schemas.microsoft.com/office/drawing/2014/main" id="{ABFB801F-B0D2-4F00-91B2-A5875E7A0CD2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19" name="$E$105">
            <a:extLst>
              <a:ext uri="{FF2B5EF4-FFF2-40B4-BE49-F238E27FC236}">
                <a16:creationId xmlns:a16="http://schemas.microsoft.com/office/drawing/2014/main" id="{20B676EC-90DE-41BE-8DA7-F3D9FFF1B9C5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0" name="$E$105">
            <a:extLst>
              <a:ext uri="{FF2B5EF4-FFF2-40B4-BE49-F238E27FC236}">
                <a16:creationId xmlns:a16="http://schemas.microsoft.com/office/drawing/2014/main" id="{C4255856-986F-414E-85DD-568D46A7D977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1" name="$E$105">
            <a:extLst>
              <a:ext uri="{FF2B5EF4-FFF2-40B4-BE49-F238E27FC236}">
                <a16:creationId xmlns:a16="http://schemas.microsoft.com/office/drawing/2014/main" id="{03EBE469-9608-43EF-BECA-C513B98CA062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2" name="$E$105">
            <a:extLst>
              <a:ext uri="{FF2B5EF4-FFF2-40B4-BE49-F238E27FC236}">
                <a16:creationId xmlns:a16="http://schemas.microsoft.com/office/drawing/2014/main" id="{C5B89CCB-A47A-4E48-98B1-697652420D36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3" name="$E$105">
            <a:extLst>
              <a:ext uri="{FF2B5EF4-FFF2-40B4-BE49-F238E27FC236}">
                <a16:creationId xmlns:a16="http://schemas.microsoft.com/office/drawing/2014/main" id="{4F0C1603-B519-4A28-BE35-A2C4F61E9FAA}"/>
              </a:ext>
            </a:extLst>
          </xdr:cNvPr>
          <xdr:cNvSpPr/>
        </xdr:nvSpPr>
        <xdr:spPr>
          <a:xfrm>
            <a:off x="368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4" name="$E$105">
            <a:extLst>
              <a:ext uri="{FF2B5EF4-FFF2-40B4-BE49-F238E27FC236}">
                <a16:creationId xmlns:a16="http://schemas.microsoft.com/office/drawing/2014/main" id="{BDD314EE-1CC2-4A50-863D-F2681438EA07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5" name="$E$105">
            <a:extLst>
              <a:ext uri="{FF2B5EF4-FFF2-40B4-BE49-F238E27FC236}">
                <a16:creationId xmlns:a16="http://schemas.microsoft.com/office/drawing/2014/main" id="{FA180264-EF73-40B5-B935-FD33B1450824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6" name="$E$105">
            <a:extLst>
              <a:ext uri="{FF2B5EF4-FFF2-40B4-BE49-F238E27FC236}">
                <a16:creationId xmlns:a16="http://schemas.microsoft.com/office/drawing/2014/main" id="{34499439-BA16-4C32-AD30-FF26FE795E48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7" name="$E$105">
            <a:extLst>
              <a:ext uri="{FF2B5EF4-FFF2-40B4-BE49-F238E27FC236}">
                <a16:creationId xmlns:a16="http://schemas.microsoft.com/office/drawing/2014/main" id="{8A93429B-B9AD-43CD-B5E8-F95285521EAA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8" name="$E$105">
            <a:extLst>
              <a:ext uri="{FF2B5EF4-FFF2-40B4-BE49-F238E27FC236}">
                <a16:creationId xmlns:a16="http://schemas.microsoft.com/office/drawing/2014/main" id="{5DB85FFC-B13A-41CF-BE5C-000B6B620B5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29" name="$E$105">
            <a:extLst>
              <a:ext uri="{FF2B5EF4-FFF2-40B4-BE49-F238E27FC236}">
                <a16:creationId xmlns:a16="http://schemas.microsoft.com/office/drawing/2014/main" id="{22578593-F479-41A0-A45B-719E01D7DDCD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0" name="$E$105">
            <a:extLst>
              <a:ext uri="{FF2B5EF4-FFF2-40B4-BE49-F238E27FC236}">
                <a16:creationId xmlns:a16="http://schemas.microsoft.com/office/drawing/2014/main" id="{3EBF341D-A2A1-450B-951B-51DBD34CC29C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1" name="$E$105">
            <a:extLst>
              <a:ext uri="{FF2B5EF4-FFF2-40B4-BE49-F238E27FC236}">
                <a16:creationId xmlns:a16="http://schemas.microsoft.com/office/drawing/2014/main" id="{3786F12F-DB34-4647-B5DA-667072B03C92}"/>
              </a:ext>
            </a:extLst>
          </xdr:cNvPr>
          <xdr:cNvSpPr/>
        </xdr:nvSpPr>
        <xdr:spPr>
          <a:xfrm>
            <a:off x="2032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2" name="$E$105">
            <a:extLst>
              <a:ext uri="{FF2B5EF4-FFF2-40B4-BE49-F238E27FC236}">
                <a16:creationId xmlns:a16="http://schemas.microsoft.com/office/drawing/2014/main" id="{7D75ECF4-13C4-4464-B09D-8E4204BD9119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3" name="$E$105">
            <a:extLst>
              <a:ext uri="{FF2B5EF4-FFF2-40B4-BE49-F238E27FC236}">
                <a16:creationId xmlns:a16="http://schemas.microsoft.com/office/drawing/2014/main" id="{DDAB1235-199D-458C-B361-B9D51ECF530B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4" name="$E$105">
            <a:extLst>
              <a:ext uri="{FF2B5EF4-FFF2-40B4-BE49-F238E27FC236}">
                <a16:creationId xmlns:a16="http://schemas.microsoft.com/office/drawing/2014/main" id="{9D4DE691-A960-465F-842C-F2F1AEE3F7F4}"/>
              </a:ext>
            </a:extLst>
          </xdr:cNvPr>
          <xdr:cNvSpPr/>
        </xdr:nvSpPr>
        <xdr:spPr>
          <a:xfrm>
            <a:off x="304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5" name="$E$105">
            <a:extLst>
              <a:ext uri="{FF2B5EF4-FFF2-40B4-BE49-F238E27FC236}">
                <a16:creationId xmlns:a16="http://schemas.microsoft.com/office/drawing/2014/main" id="{3DB64B3F-2F61-4EF6-BB62-F06C151CFCAB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6" name="$E$105">
            <a:extLst>
              <a:ext uri="{FF2B5EF4-FFF2-40B4-BE49-F238E27FC236}">
                <a16:creationId xmlns:a16="http://schemas.microsoft.com/office/drawing/2014/main" id="{06AE9F00-3906-4737-A712-4D801ECDD664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7" name="$E$105">
            <a:extLst>
              <a:ext uri="{FF2B5EF4-FFF2-40B4-BE49-F238E27FC236}">
                <a16:creationId xmlns:a16="http://schemas.microsoft.com/office/drawing/2014/main" id="{0C5BD2E9-689F-4D3B-A87F-A3DE66A41872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8" name="$E$105">
            <a:extLst>
              <a:ext uri="{FF2B5EF4-FFF2-40B4-BE49-F238E27FC236}">
                <a16:creationId xmlns:a16="http://schemas.microsoft.com/office/drawing/2014/main" id="{FC9600CD-BFBA-4D06-949D-D56B2461BB3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39" name="$E$105">
            <a:extLst>
              <a:ext uri="{FF2B5EF4-FFF2-40B4-BE49-F238E27FC236}">
                <a16:creationId xmlns:a16="http://schemas.microsoft.com/office/drawing/2014/main" id="{16A3F39B-8798-41A1-9851-15AC727462AC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0" name="$E$105">
            <a:extLst>
              <a:ext uri="{FF2B5EF4-FFF2-40B4-BE49-F238E27FC236}">
                <a16:creationId xmlns:a16="http://schemas.microsoft.com/office/drawing/2014/main" id="{C6B09B30-3C8A-4680-9C4E-0B9C05795C91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1" name="$E$105">
            <a:extLst>
              <a:ext uri="{FF2B5EF4-FFF2-40B4-BE49-F238E27FC236}">
                <a16:creationId xmlns:a16="http://schemas.microsoft.com/office/drawing/2014/main" id="{0A26214A-8C06-4716-9C40-2B1E17AA2DDE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2" name="$E$105">
            <a:extLst>
              <a:ext uri="{FF2B5EF4-FFF2-40B4-BE49-F238E27FC236}">
                <a16:creationId xmlns:a16="http://schemas.microsoft.com/office/drawing/2014/main" id="{7505957A-8F7D-40FA-BFF0-ED4913F51FFF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3" name="$E$105">
            <a:extLst>
              <a:ext uri="{FF2B5EF4-FFF2-40B4-BE49-F238E27FC236}">
                <a16:creationId xmlns:a16="http://schemas.microsoft.com/office/drawing/2014/main" id="{C30B6638-4E8A-4A73-A735-AC933F8133BF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4" name="$E$105">
            <a:extLst>
              <a:ext uri="{FF2B5EF4-FFF2-40B4-BE49-F238E27FC236}">
                <a16:creationId xmlns:a16="http://schemas.microsoft.com/office/drawing/2014/main" id="{84AF8B4F-4887-46A9-BA22-AE13F61838B1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5" name="$E$105">
            <a:extLst>
              <a:ext uri="{FF2B5EF4-FFF2-40B4-BE49-F238E27FC236}">
                <a16:creationId xmlns:a16="http://schemas.microsoft.com/office/drawing/2014/main" id="{ACD56948-2FEB-4C16-B116-9DD09A438841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6" name="$E$105">
            <a:extLst>
              <a:ext uri="{FF2B5EF4-FFF2-40B4-BE49-F238E27FC236}">
                <a16:creationId xmlns:a16="http://schemas.microsoft.com/office/drawing/2014/main" id="{BCD378E1-11A0-4A9C-BE59-034F475410C5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7" name="$E$105">
            <a:extLst>
              <a:ext uri="{FF2B5EF4-FFF2-40B4-BE49-F238E27FC236}">
                <a16:creationId xmlns:a16="http://schemas.microsoft.com/office/drawing/2014/main" id="{3B7B5207-E744-44AF-8440-5CE6622EB37B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8" name="$E$105">
            <a:extLst>
              <a:ext uri="{FF2B5EF4-FFF2-40B4-BE49-F238E27FC236}">
                <a16:creationId xmlns:a16="http://schemas.microsoft.com/office/drawing/2014/main" id="{EC8E0C7C-2685-4CDC-94EA-03CE9BA8E9C7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49" name="$E$105">
            <a:extLst>
              <a:ext uri="{FF2B5EF4-FFF2-40B4-BE49-F238E27FC236}">
                <a16:creationId xmlns:a16="http://schemas.microsoft.com/office/drawing/2014/main" id="{5599BC45-0F87-4A7A-82E9-854D99843E16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0" name="$E$105">
            <a:extLst>
              <a:ext uri="{FF2B5EF4-FFF2-40B4-BE49-F238E27FC236}">
                <a16:creationId xmlns:a16="http://schemas.microsoft.com/office/drawing/2014/main" id="{7E77D822-2A32-4323-BF68-D43899252CB4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1" name="$E$105">
            <a:extLst>
              <a:ext uri="{FF2B5EF4-FFF2-40B4-BE49-F238E27FC236}">
                <a16:creationId xmlns:a16="http://schemas.microsoft.com/office/drawing/2014/main" id="{145860AE-B863-46AA-B53C-D6E6201C62DB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2" name="$E$105">
            <a:extLst>
              <a:ext uri="{FF2B5EF4-FFF2-40B4-BE49-F238E27FC236}">
                <a16:creationId xmlns:a16="http://schemas.microsoft.com/office/drawing/2014/main" id="{332C528C-0AD0-47D4-B94C-3685D0DBACCD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3" name="$E$105">
            <a:extLst>
              <a:ext uri="{FF2B5EF4-FFF2-40B4-BE49-F238E27FC236}">
                <a16:creationId xmlns:a16="http://schemas.microsoft.com/office/drawing/2014/main" id="{1E7F933F-63CA-425B-964E-A23F96585359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4" name="$E$105">
            <a:extLst>
              <a:ext uri="{FF2B5EF4-FFF2-40B4-BE49-F238E27FC236}">
                <a16:creationId xmlns:a16="http://schemas.microsoft.com/office/drawing/2014/main" id="{2EC3B8A8-65B2-408E-AC3B-BD08726D0AF7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5" name="$E$105">
            <a:extLst>
              <a:ext uri="{FF2B5EF4-FFF2-40B4-BE49-F238E27FC236}">
                <a16:creationId xmlns:a16="http://schemas.microsoft.com/office/drawing/2014/main" id="{F8683290-126D-4D84-BEB8-AED840B01FF4}"/>
              </a:ext>
            </a:extLst>
          </xdr:cNvPr>
          <xdr:cNvSpPr/>
        </xdr:nvSpPr>
        <xdr:spPr>
          <a:xfrm>
            <a:off x="342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6" name="$E$105">
            <a:extLst>
              <a:ext uri="{FF2B5EF4-FFF2-40B4-BE49-F238E27FC236}">
                <a16:creationId xmlns:a16="http://schemas.microsoft.com/office/drawing/2014/main" id="{7BDA4BE3-676C-4BB6-85C3-D1B9241C5A09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7" name="$E$105">
            <a:extLst>
              <a:ext uri="{FF2B5EF4-FFF2-40B4-BE49-F238E27FC236}">
                <a16:creationId xmlns:a16="http://schemas.microsoft.com/office/drawing/2014/main" id="{020C1B00-E56C-45BF-B7AE-EC1BCFF1C5B0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8" name="$E$105">
            <a:extLst>
              <a:ext uri="{FF2B5EF4-FFF2-40B4-BE49-F238E27FC236}">
                <a16:creationId xmlns:a16="http://schemas.microsoft.com/office/drawing/2014/main" id="{07377848-3B51-4804-8A8F-3EC57B406192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59" name="$E$105">
            <a:extLst>
              <a:ext uri="{FF2B5EF4-FFF2-40B4-BE49-F238E27FC236}">
                <a16:creationId xmlns:a16="http://schemas.microsoft.com/office/drawing/2014/main" id="{110BA972-A687-4ECF-9F89-2F8F4E44EF2D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0" name="$E$105">
            <a:extLst>
              <a:ext uri="{FF2B5EF4-FFF2-40B4-BE49-F238E27FC236}">
                <a16:creationId xmlns:a16="http://schemas.microsoft.com/office/drawing/2014/main" id="{93BB5905-DACA-42C8-94BB-CB2F7FA6D18E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1" name="$E$105">
            <a:extLst>
              <a:ext uri="{FF2B5EF4-FFF2-40B4-BE49-F238E27FC236}">
                <a16:creationId xmlns:a16="http://schemas.microsoft.com/office/drawing/2014/main" id="{EA2FBF9F-16D0-46C0-B35B-B4139C144E5D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2" name="$E$105">
            <a:extLst>
              <a:ext uri="{FF2B5EF4-FFF2-40B4-BE49-F238E27FC236}">
                <a16:creationId xmlns:a16="http://schemas.microsoft.com/office/drawing/2014/main" id="{C6DE3184-8FFF-44F2-A4F3-AD3EB8839C8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3" name="$E$105">
            <a:extLst>
              <a:ext uri="{FF2B5EF4-FFF2-40B4-BE49-F238E27FC236}">
                <a16:creationId xmlns:a16="http://schemas.microsoft.com/office/drawing/2014/main" id="{A262B40D-2E49-4814-866C-8B52A3F2D8E7}"/>
              </a:ext>
            </a:extLst>
          </xdr:cNvPr>
          <xdr:cNvSpPr/>
        </xdr:nvSpPr>
        <xdr:spPr>
          <a:xfrm>
            <a:off x="203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4" name="$E$105">
            <a:extLst>
              <a:ext uri="{FF2B5EF4-FFF2-40B4-BE49-F238E27FC236}">
                <a16:creationId xmlns:a16="http://schemas.microsoft.com/office/drawing/2014/main" id="{CB96AB52-EF6F-45CD-B49A-C774CB43A70D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5" name="$E$105">
            <a:extLst>
              <a:ext uri="{FF2B5EF4-FFF2-40B4-BE49-F238E27FC236}">
                <a16:creationId xmlns:a16="http://schemas.microsoft.com/office/drawing/2014/main" id="{3B997FAF-011B-44E6-9538-3F8F43A74689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6" name="$E$105">
            <a:extLst>
              <a:ext uri="{FF2B5EF4-FFF2-40B4-BE49-F238E27FC236}">
                <a16:creationId xmlns:a16="http://schemas.microsoft.com/office/drawing/2014/main" id="{45F3FF4A-81D9-4264-8868-A509F005E35D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7" name="$E$105">
            <a:extLst>
              <a:ext uri="{FF2B5EF4-FFF2-40B4-BE49-F238E27FC236}">
                <a16:creationId xmlns:a16="http://schemas.microsoft.com/office/drawing/2014/main" id="{7A0D7079-772D-4AF6-B460-C8C60FF21C17}"/>
              </a:ext>
            </a:extLst>
          </xdr:cNvPr>
          <xdr:cNvSpPr/>
        </xdr:nvSpPr>
        <xdr:spPr>
          <a:xfrm>
            <a:off x="266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8" name="$E$105">
            <a:extLst>
              <a:ext uri="{FF2B5EF4-FFF2-40B4-BE49-F238E27FC236}">
                <a16:creationId xmlns:a16="http://schemas.microsoft.com/office/drawing/2014/main" id="{3D72BE90-C675-4152-AFC6-48887E3706F2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69" name="$E$105">
            <a:extLst>
              <a:ext uri="{FF2B5EF4-FFF2-40B4-BE49-F238E27FC236}">
                <a16:creationId xmlns:a16="http://schemas.microsoft.com/office/drawing/2014/main" id="{59D007E3-5EE7-4894-8251-404207A5F71C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0" name="$E$105">
            <a:extLst>
              <a:ext uri="{FF2B5EF4-FFF2-40B4-BE49-F238E27FC236}">
                <a16:creationId xmlns:a16="http://schemas.microsoft.com/office/drawing/2014/main" id="{E3EDD5B9-64C2-4839-9F8E-B011273B63AD}"/>
              </a:ext>
            </a:extLst>
          </xdr:cNvPr>
          <xdr:cNvSpPr/>
        </xdr:nvSpPr>
        <xdr:spPr>
          <a:xfrm>
            <a:off x="381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1" name="$E$105">
            <a:extLst>
              <a:ext uri="{FF2B5EF4-FFF2-40B4-BE49-F238E27FC236}">
                <a16:creationId xmlns:a16="http://schemas.microsoft.com/office/drawing/2014/main" id="{F3A09B46-5A97-450E-8A97-1E9C394B51BF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2" name="$E$105">
            <a:extLst>
              <a:ext uri="{FF2B5EF4-FFF2-40B4-BE49-F238E27FC236}">
                <a16:creationId xmlns:a16="http://schemas.microsoft.com/office/drawing/2014/main" id="{7E35F60F-0DF5-42BB-8BFF-28B164E0B634}"/>
              </a:ext>
            </a:extLst>
          </xdr:cNvPr>
          <xdr:cNvSpPr/>
        </xdr:nvSpPr>
        <xdr:spPr>
          <a:xfrm>
            <a:off x="406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3" name="$E$105">
            <a:extLst>
              <a:ext uri="{FF2B5EF4-FFF2-40B4-BE49-F238E27FC236}">
                <a16:creationId xmlns:a16="http://schemas.microsoft.com/office/drawing/2014/main" id="{01D7C217-E5E5-44BD-BA96-4645D17268F0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4" name="$E$105">
            <a:extLst>
              <a:ext uri="{FF2B5EF4-FFF2-40B4-BE49-F238E27FC236}">
                <a16:creationId xmlns:a16="http://schemas.microsoft.com/office/drawing/2014/main" id="{740D3B16-C367-43BE-848D-8711FAE4C479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5" name="$E$105">
            <a:extLst>
              <a:ext uri="{FF2B5EF4-FFF2-40B4-BE49-F238E27FC236}">
                <a16:creationId xmlns:a16="http://schemas.microsoft.com/office/drawing/2014/main" id="{6C438578-D617-4E77-9FDC-AD4C0D2214A7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6" name="$E$105">
            <a:extLst>
              <a:ext uri="{FF2B5EF4-FFF2-40B4-BE49-F238E27FC236}">
                <a16:creationId xmlns:a16="http://schemas.microsoft.com/office/drawing/2014/main" id="{A3892358-535E-4F2F-8FEC-C7ADC8CF3B5E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7" name="$E$105">
            <a:extLst>
              <a:ext uri="{FF2B5EF4-FFF2-40B4-BE49-F238E27FC236}">
                <a16:creationId xmlns:a16="http://schemas.microsoft.com/office/drawing/2014/main" id="{BF0377A6-78A8-40AC-9D89-9617EBEFC5F3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8" name="$E$105">
            <a:extLst>
              <a:ext uri="{FF2B5EF4-FFF2-40B4-BE49-F238E27FC236}">
                <a16:creationId xmlns:a16="http://schemas.microsoft.com/office/drawing/2014/main" id="{70929ADE-B8E1-448C-8EDF-636F76FCE157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79" name="$E$105">
            <a:extLst>
              <a:ext uri="{FF2B5EF4-FFF2-40B4-BE49-F238E27FC236}">
                <a16:creationId xmlns:a16="http://schemas.microsoft.com/office/drawing/2014/main" id="{297FE5E7-0A77-4705-8C27-85D3D0ADEA62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0" name="$E$105">
            <a:extLst>
              <a:ext uri="{FF2B5EF4-FFF2-40B4-BE49-F238E27FC236}">
                <a16:creationId xmlns:a16="http://schemas.microsoft.com/office/drawing/2014/main" id="{3D42FF81-586F-462C-B9B4-252C8286DE7C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1" name="$E$105">
            <a:extLst>
              <a:ext uri="{FF2B5EF4-FFF2-40B4-BE49-F238E27FC236}">
                <a16:creationId xmlns:a16="http://schemas.microsoft.com/office/drawing/2014/main" id="{4F458A57-A1DA-47BA-AE16-75F9269CECC1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2" name="$E$105">
            <a:extLst>
              <a:ext uri="{FF2B5EF4-FFF2-40B4-BE49-F238E27FC236}">
                <a16:creationId xmlns:a16="http://schemas.microsoft.com/office/drawing/2014/main" id="{0C6CC7FA-39AC-4B57-9855-DE0360BECB03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3" name="$E$105">
            <a:extLst>
              <a:ext uri="{FF2B5EF4-FFF2-40B4-BE49-F238E27FC236}">
                <a16:creationId xmlns:a16="http://schemas.microsoft.com/office/drawing/2014/main" id="{D5FBF570-4752-4A07-BF0F-85CDA8C749BB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4" name="$E$105">
            <a:extLst>
              <a:ext uri="{FF2B5EF4-FFF2-40B4-BE49-F238E27FC236}">
                <a16:creationId xmlns:a16="http://schemas.microsoft.com/office/drawing/2014/main" id="{54CDB06D-A490-4FAE-B3F3-DD254C719FDD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5" name="$E$105">
            <a:extLst>
              <a:ext uri="{FF2B5EF4-FFF2-40B4-BE49-F238E27FC236}">
                <a16:creationId xmlns:a16="http://schemas.microsoft.com/office/drawing/2014/main" id="{80E97698-99B3-4B31-91BD-A0868631A0A5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6" name="$E$105">
            <a:extLst>
              <a:ext uri="{FF2B5EF4-FFF2-40B4-BE49-F238E27FC236}">
                <a16:creationId xmlns:a16="http://schemas.microsoft.com/office/drawing/2014/main" id="{BACA93E1-E4FA-4C40-9C04-D9CE67E56ED9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7" name="$E$105">
            <a:extLst>
              <a:ext uri="{FF2B5EF4-FFF2-40B4-BE49-F238E27FC236}">
                <a16:creationId xmlns:a16="http://schemas.microsoft.com/office/drawing/2014/main" id="{2324B547-3149-4DE6-B5DE-FFA05A69ED9A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8" name="$E$105">
            <a:extLst>
              <a:ext uri="{FF2B5EF4-FFF2-40B4-BE49-F238E27FC236}">
                <a16:creationId xmlns:a16="http://schemas.microsoft.com/office/drawing/2014/main" id="{1922BC36-CECC-44B9-BBFD-DEA2935B1386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89" name="$E$105">
            <a:extLst>
              <a:ext uri="{FF2B5EF4-FFF2-40B4-BE49-F238E27FC236}">
                <a16:creationId xmlns:a16="http://schemas.microsoft.com/office/drawing/2014/main" id="{81D43AB9-5B32-407A-97B2-916AEBC0D79B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0" name="$E$105">
            <a:extLst>
              <a:ext uri="{FF2B5EF4-FFF2-40B4-BE49-F238E27FC236}">
                <a16:creationId xmlns:a16="http://schemas.microsoft.com/office/drawing/2014/main" id="{DB08A223-BAE3-44C5-844A-18958ACEEF72}"/>
              </a:ext>
            </a:extLst>
          </xdr:cNvPr>
          <xdr:cNvSpPr/>
        </xdr:nvSpPr>
        <xdr:spPr>
          <a:xfrm>
            <a:off x="368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1" name="$E$105">
            <a:extLst>
              <a:ext uri="{FF2B5EF4-FFF2-40B4-BE49-F238E27FC236}">
                <a16:creationId xmlns:a16="http://schemas.microsoft.com/office/drawing/2014/main" id="{ACEFF899-B6C3-4C51-9883-2D6703C1F7F2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2" name="$E$105">
            <a:extLst>
              <a:ext uri="{FF2B5EF4-FFF2-40B4-BE49-F238E27FC236}">
                <a16:creationId xmlns:a16="http://schemas.microsoft.com/office/drawing/2014/main" id="{6D2EAE76-9061-4015-A991-2D4736AF3629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3" name="$E$105">
            <a:extLst>
              <a:ext uri="{FF2B5EF4-FFF2-40B4-BE49-F238E27FC236}">
                <a16:creationId xmlns:a16="http://schemas.microsoft.com/office/drawing/2014/main" id="{B33CDB63-35DC-470A-83B1-0C6A9374C948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4" name="$E$105">
            <a:extLst>
              <a:ext uri="{FF2B5EF4-FFF2-40B4-BE49-F238E27FC236}">
                <a16:creationId xmlns:a16="http://schemas.microsoft.com/office/drawing/2014/main" id="{0BF4179A-AD8A-46E6-96F8-EC18832EA95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5" name="$E$105">
            <a:extLst>
              <a:ext uri="{FF2B5EF4-FFF2-40B4-BE49-F238E27FC236}">
                <a16:creationId xmlns:a16="http://schemas.microsoft.com/office/drawing/2014/main" id="{6E9B4105-9345-480D-AEAF-B3B685CB52CB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6" name="$E$105">
            <a:extLst>
              <a:ext uri="{FF2B5EF4-FFF2-40B4-BE49-F238E27FC236}">
                <a16:creationId xmlns:a16="http://schemas.microsoft.com/office/drawing/2014/main" id="{D730F212-DFD7-495A-ACFC-B183F264FE0C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7" name="$E$105">
            <a:extLst>
              <a:ext uri="{FF2B5EF4-FFF2-40B4-BE49-F238E27FC236}">
                <a16:creationId xmlns:a16="http://schemas.microsoft.com/office/drawing/2014/main" id="{9EAE9592-BEC7-4A90-9039-FE79E1CE65B9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8" name="$E$105">
            <a:extLst>
              <a:ext uri="{FF2B5EF4-FFF2-40B4-BE49-F238E27FC236}">
                <a16:creationId xmlns:a16="http://schemas.microsoft.com/office/drawing/2014/main" id="{1D0CF99E-412C-4FF6-91A8-B4819A8D4A27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899" name="$E$105">
            <a:extLst>
              <a:ext uri="{FF2B5EF4-FFF2-40B4-BE49-F238E27FC236}">
                <a16:creationId xmlns:a16="http://schemas.microsoft.com/office/drawing/2014/main" id="{4019627C-1F04-428D-A1E9-F373C4E3C427}"/>
              </a:ext>
            </a:extLst>
          </xdr:cNvPr>
          <xdr:cNvSpPr/>
        </xdr:nvSpPr>
        <xdr:spPr>
          <a:xfrm>
            <a:off x="241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0" name="$E$105">
            <a:extLst>
              <a:ext uri="{FF2B5EF4-FFF2-40B4-BE49-F238E27FC236}">
                <a16:creationId xmlns:a16="http://schemas.microsoft.com/office/drawing/2014/main" id="{513C1A16-DBDA-468F-923D-4C33C2893490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1" name="$E$105">
            <a:extLst>
              <a:ext uri="{FF2B5EF4-FFF2-40B4-BE49-F238E27FC236}">
                <a16:creationId xmlns:a16="http://schemas.microsoft.com/office/drawing/2014/main" id="{75299B27-599B-496C-90EE-8EC316393734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2" name="$E$105">
            <a:extLst>
              <a:ext uri="{FF2B5EF4-FFF2-40B4-BE49-F238E27FC236}">
                <a16:creationId xmlns:a16="http://schemas.microsoft.com/office/drawing/2014/main" id="{C48C7559-A78F-44E4-8180-82DC821AF6F3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3" name="$E$105">
            <a:extLst>
              <a:ext uri="{FF2B5EF4-FFF2-40B4-BE49-F238E27FC236}">
                <a16:creationId xmlns:a16="http://schemas.microsoft.com/office/drawing/2014/main" id="{5A8B9C64-A3D6-46C6-8484-B474EAA5268C}"/>
              </a:ext>
            </a:extLst>
          </xdr:cNvPr>
          <xdr:cNvSpPr/>
        </xdr:nvSpPr>
        <xdr:spPr>
          <a:xfrm>
            <a:off x="292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4" name="$E$105">
            <a:extLst>
              <a:ext uri="{FF2B5EF4-FFF2-40B4-BE49-F238E27FC236}">
                <a16:creationId xmlns:a16="http://schemas.microsoft.com/office/drawing/2014/main" id="{3954D1C9-61FB-47C8-9640-5B784871F0A8}"/>
              </a:ext>
            </a:extLst>
          </xdr:cNvPr>
          <xdr:cNvSpPr/>
        </xdr:nvSpPr>
        <xdr:spPr>
          <a:xfrm>
            <a:off x="304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5" name="$E$105">
            <a:extLst>
              <a:ext uri="{FF2B5EF4-FFF2-40B4-BE49-F238E27FC236}">
                <a16:creationId xmlns:a16="http://schemas.microsoft.com/office/drawing/2014/main" id="{75BAA48A-DC06-428F-A2CA-C6B8B582B484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6" name="$E$105">
            <a:extLst>
              <a:ext uri="{FF2B5EF4-FFF2-40B4-BE49-F238E27FC236}">
                <a16:creationId xmlns:a16="http://schemas.microsoft.com/office/drawing/2014/main" id="{3D2D7EB2-B0F0-44BE-9A72-EB0CAE894AFC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7" name="$E$105">
            <a:extLst>
              <a:ext uri="{FF2B5EF4-FFF2-40B4-BE49-F238E27FC236}">
                <a16:creationId xmlns:a16="http://schemas.microsoft.com/office/drawing/2014/main" id="{EE0BA5B9-27B1-4726-8E5C-2962049AA166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8" name="$E$105">
            <a:extLst>
              <a:ext uri="{FF2B5EF4-FFF2-40B4-BE49-F238E27FC236}">
                <a16:creationId xmlns:a16="http://schemas.microsoft.com/office/drawing/2014/main" id="{3FAD9521-E83F-4189-9F2B-E57951961AC5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09" name="$E$105">
            <a:extLst>
              <a:ext uri="{FF2B5EF4-FFF2-40B4-BE49-F238E27FC236}">
                <a16:creationId xmlns:a16="http://schemas.microsoft.com/office/drawing/2014/main" id="{C1C858D5-7097-4753-A28B-AC67C9D2DA14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0" name="$E$105">
            <a:extLst>
              <a:ext uri="{FF2B5EF4-FFF2-40B4-BE49-F238E27FC236}">
                <a16:creationId xmlns:a16="http://schemas.microsoft.com/office/drawing/2014/main" id="{CAF372C7-FE44-4041-AEE2-E9C28F26454F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1" name="$E$105">
            <a:extLst>
              <a:ext uri="{FF2B5EF4-FFF2-40B4-BE49-F238E27FC236}">
                <a16:creationId xmlns:a16="http://schemas.microsoft.com/office/drawing/2014/main" id="{48AF880E-D2A1-45F8-9B95-E96EFD11BAAD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2" name="$E$105">
            <a:extLst>
              <a:ext uri="{FF2B5EF4-FFF2-40B4-BE49-F238E27FC236}">
                <a16:creationId xmlns:a16="http://schemas.microsoft.com/office/drawing/2014/main" id="{3DBFA74E-5084-44DE-AD2B-4CF6EF148F2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3" name="$E$105">
            <a:extLst>
              <a:ext uri="{FF2B5EF4-FFF2-40B4-BE49-F238E27FC236}">
                <a16:creationId xmlns:a16="http://schemas.microsoft.com/office/drawing/2014/main" id="{FCBBE94B-5351-4404-8CF7-7C60A5F1C8A1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4" name="$E$105">
            <a:extLst>
              <a:ext uri="{FF2B5EF4-FFF2-40B4-BE49-F238E27FC236}">
                <a16:creationId xmlns:a16="http://schemas.microsoft.com/office/drawing/2014/main" id="{18FE9E0A-4CBB-45F7-BF81-AB8167844F46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5" name="$E$105">
            <a:extLst>
              <a:ext uri="{FF2B5EF4-FFF2-40B4-BE49-F238E27FC236}">
                <a16:creationId xmlns:a16="http://schemas.microsoft.com/office/drawing/2014/main" id="{693FC073-F1FC-4C87-816F-E34CE14EA671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6" name="$E$105">
            <a:extLst>
              <a:ext uri="{FF2B5EF4-FFF2-40B4-BE49-F238E27FC236}">
                <a16:creationId xmlns:a16="http://schemas.microsoft.com/office/drawing/2014/main" id="{E70A571C-B0F7-4B8D-B5D1-07854AC5A886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7" name="$E$105">
            <a:extLst>
              <a:ext uri="{FF2B5EF4-FFF2-40B4-BE49-F238E27FC236}">
                <a16:creationId xmlns:a16="http://schemas.microsoft.com/office/drawing/2014/main" id="{60729ADB-874D-47AD-AAE7-6C4071640E88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8" name="$E$105">
            <a:extLst>
              <a:ext uri="{FF2B5EF4-FFF2-40B4-BE49-F238E27FC236}">
                <a16:creationId xmlns:a16="http://schemas.microsoft.com/office/drawing/2014/main" id="{BA240298-BF8B-4256-9F71-41979E585471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19" name="$E$105">
            <a:extLst>
              <a:ext uri="{FF2B5EF4-FFF2-40B4-BE49-F238E27FC236}">
                <a16:creationId xmlns:a16="http://schemas.microsoft.com/office/drawing/2014/main" id="{DE5936F7-7E46-4760-AC96-08A464B118D4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0" name="$E$105">
            <a:extLst>
              <a:ext uri="{FF2B5EF4-FFF2-40B4-BE49-F238E27FC236}">
                <a16:creationId xmlns:a16="http://schemas.microsoft.com/office/drawing/2014/main" id="{5725AEB9-ACA2-484B-A25E-CA670C00C65D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1" name="$E$105">
            <a:extLst>
              <a:ext uri="{FF2B5EF4-FFF2-40B4-BE49-F238E27FC236}">
                <a16:creationId xmlns:a16="http://schemas.microsoft.com/office/drawing/2014/main" id="{664E6937-C8E7-409B-9FAE-B7722C83D908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2" name="$E$105">
            <a:extLst>
              <a:ext uri="{FF2B5EF4-FFF2-40B4-BE49-F238E27FC236}">
                <a16:creationId xmlns:a16="http://schemas.microsoft.com/office/drawing/2014/main" id="{1E7AA516-84C3-4E0E-971E-A65B21554CF4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3" name="$E$105">
            <a:extLst>
              <a:ext uri="{FF2B5EF4-FFF2-40B4-BE49-F238E27FC236}">
                <a16:creationId xmlns:a16="http://schemas.microsoft.com/office/drawing/2014/main" id="{C4F31F43-6BD5-4582-A43D-776265F7CF1D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4" name="$E$105">
            <a:extLst>
              <a:ext uri="{FF2B5EF4-FFF2-40B4-BE49-F238E27FC236}">
                <a16:creationId xmlns:a16="http://schemas.microsoft.com/office/drawing/2014/main" id="{6BF2E730-7538-4198-A20F-3E5E3BA36BB3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5" name="$E$105">
            <a:extLst>
              <a:ext uri="{FF2B5EF4-FFF2-40B4-BE49-F238E27FC236}">
                <a16:creationId xmlns:a16="http://schemas.microsoft.com/office/drawing/2014/main" id="{FC5B0F82-E7CC-4F57-94D7-2CB1090213CD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6" name="$E$105">
            <a:extLst>
              <a:ext uri="{FF2B5EF4-FFF2-40B4-BE49-F238E27FC236}">
                <a16:creationId xmlns:a16="http://schemas.microsoft.com/office/drawing/2014/main" id="{9A2B2D28-5A42-49C1-9F42-C4700747DAAA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7" name="$E$105">
            <a:extLst>
              <a:ext uri="{FF2B5EF4-FFF2-40B4-BE49-F238E27FC236}">
                <a16:creationId xmlns:a16="http://schemas.microsoft.com/office/drawing/2014/main" id="{CBD26EB4-B217-428E-9DD4-317CED8F2918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8" name="$E$105">
            <a:extLst>
              <a:ext uri="{FF2B5EF4-FFF2-40B4-BE49-F238E27FC236}">
                <a16:creationId xmlns:a16="http://schemas.microsoft.com/office/drawing/2014/main" id="{ECE70F3B-C997-4BD9-B05D-D20C45ABEDFC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29" name="$E$105">
            <a:extLst>
              <a:ext uri="{FF2B5EF4-FFF2-40B4-BE49-F238E27FC236}">
                <a16:creationId xmlns:a16="http://schemas.microsoft.com/office/drawing/2014/main" id="{7D28EE9F-9842-49D5-A6EA-46BF439FCEC2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0" name="$E$105">
            <a:extLst>
              <a:ext uri="{FF2B5EF4-FFF2-40B4-BE49-F238E27FC236}">
                <a16:creationId xmlns:a16="http://schemas.microsoft.com/office/drawing/2014/main" id="{91B60749-4098-4FE5-9D8F-9E2F93BD80F7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1" name="$E$105">
            <a:extLst>
              <a:ext uri="{FF2B5EF4-FFF2-40B4-BE49-F238E27FC236}">
                <a16:creationId xmlns:a16="http://schemas.microsoft.com/office/drawing/2014/main" id="{E3198772-67E4-456A-90C9-4D3D71C97639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2" name="$E$105">
            <a:extLst>
              <a:ext uri="{FF2B5EF4-FFF2-40B4-BE49-F238E27FC236}">
                <a16:creationId xmlns:a16="http://schemas.microsoft.com/office/drawing/2014/main" id="{E955CAFE-2FF4-4C54-BC3E-D1F2A5F7F356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3" name="$E$105">
            <a:extLst>
              <a:ext uri="{FF2B5EF4-FFF2-40B4-BE49-F238E27FC236}">
                <a16:creationId xmlns:a16="http://schemas.microsoft.com/office/drawing/2014/main" id="{2A9E250B-A31F-4529-9733-F8683795B8A6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4" name="$E$105">
            <a:extLst>
              <a:ext uri="{FF2B5EF4-FFF2-40B4-BE49-F238E27FC236}">
                <a16:creationId xmlns:a16="http://schemas.microsoft.com/office/drawing/2014/main" id="{F907780D-0640-4D88-93B4-86ACDA9C33CE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5" name="$E$105">
            <a:extLst>
              <a:ext uri="{FF2B5EF4-FFF2-40B4-BE49-F238E27FC236}">
                <a16:creationId xmlns:a16="http://schemas.microsoft.com/office/drawing/2014/main" id="{81C9EA8E-EEB3-43A1-8AE8-1A8C19EFF68C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6" name="$E$105">
            <a:extLst>
              <a:ext uri="{FF2B5EF4-FFF2-40B4-BE49-F238E27FC236}">
                <a16:creationId xmlns:a16="http://schemas.microsoft.com/office/drawing/2014/main" id="{F064F22B-5D30-4333-BDC0-573319C67D13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7" name="$E$105">
            <a:extLst>
              <a:ext uri="{FF2B5EF4-FFF2-40B4-BE49-F238E27FC236}">
                <a16:creationId xmlns:a16="http://schemas.microsoft.com/office/drawing/2014/main" id="{36A55395-77ED-46A5-B961-940D13784268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8" name="$E$105">
            <a:extLst>
              <a:ext uri="{FF2B5EF4-FFF2-40B4-BE49-F238E27FC236}">
                <a16:creationId xmlns:a16="http://schemas.microsoft.com/office/drawing/2014/main" id="{E11B6166-A5B6-451E-BDCF-65D4C67C4BC8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39" name="$E$105">
            <a:extLst>
              <a:ext uri="{FF2B5EF4-FFF2-40B4-BE49-F238E27FC236}">
                <a16:creationId xmlns:a16="http://schemas.microsoft.com/office/drawing/2014/main" id="{93D0AFE8-1B4B-42C7-806C-BF7F636686A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0" name="$E$105">
            <a:extLst>
              <a:ext uri="{FF2B5EF4-FFF2-40B4-BE49-F238E27FC236}">
                <a16:creationId xmlns:a16="http://schemas.microsoft.com/office/drawing/2014/main" id="{28CE6F76-888A-44BE-A434-589F4CE6679E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1" name="$E$105">
            <a:extLst>
              <a:ext uri="{FF2B5EF4-FFF2-40B4-BE49-F238E27FC236}">
                <a16:creationId xmlns:a16="http://schemas.microsoft.com/office/drawing/2014/main" id="{FEF09C73-2467-4C62-85DA-76460B54355A}"/>
              </a:ext>
            </a:extLst>
          </xdr:cNvPr>
          <xdr:cNvSpPr/>
        </xdr:nvSpPr>
        <xdr:spPr>
          <a:xfrm>
            <a:off x="330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2" name="$E$105">
            <a:extLst>
              <a:ext uri="{FF2B5EF4-FFF2-40B4-BE49-F238E27FC236}">
                <a16:creationId xmlns:a16="http://schemas.microsoft.com/office/drawing/2014/main" id="{837D0E43-C4FA-4F85-9636-C478410A9218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3" name="$E$105">
            <a:extLst>
              <a:ext uri="{FF2B5EF4-FFF2-40B4-BE49-F238E27FC236}">
                <a16:creationId xmlns:a16="http://schemas.microsoft.com/office/drawing/2014/main" id="{2B6392DB-9EC0-4CE1-918E-F857F8BA18B9}"/>
              </a:ext>
            </a:extLst>
          </xdr:cNvPr>
          <xdr:cNvSpPr/>
        </xdr:nvSpPr>
        <xdr:spPr>
          <a:xfrm>
            <a:off x="406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4" name="$E$105">
            <a:extLst>
              <a:ext uri="{FF2B5EF4-FFF2-40B4-BE49-F238E27FC236}">
                <a16:creationId xmlns:a16="http://schemas.microsoft.com/office/drawing/2014/main" id="{62F78543-9C9E-40A3-82E3-C44BB49D626B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5" name="$E$105">
            <a:extLst>
              <a:ext uri="{FF2B5EF4-FFF2-40B4-BE49-F238E27FC236}">
                <a16:creationId xmlns:a16="http://schemas.microsoft.com/office/drawing/2014/main" id="{7C82B2C3-DC95-49CB-B335-3310F045736A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6" name="$E$105">
            <a:extLst>
              <a:ext uri="{FF2B5EF4-FFF2-40B4-BE49-F238E27FC236}">
                <a16:creationId xmlns:a16="http://schemas.microsoft.com/office/drawing/2014/main" id="{34D50AFF-2E56-4D44-92F7-45E7A7BE30E7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7" name="$E$105">
            <a:extLst>
              <a:ext uri="{FF2B5EF4-FFF2-40B4-BE49-F238E27FC236}">
                <a16:creationId xmlns:a16="http://schemas.microsoft.com/office/drawing/2014/main" id="{BD8D3246-78F3-4516-9531-9046B7C63E9B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8" name="$E$105">
            <a:extLst>
              <a:ext uri="{FF2B5EF4-FFF2-40B4-BE49-F238E27FC236}">
                <a16:creationId xmlns:a16="http://schemas.microsoft.com/office/drawing/2014/main" id="{C7E03A2B-712C-4B09-BD08-735D21232573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49" name="$E$105">
            <a:extLst>
              <a:ext uri="{FF2B5EF4-FFF2-40B4-BE49-F238E27FC236}">
                <a16:creationId xmlns:a16="http://schemas.microsoft.com/office/drawing/2014/main" id="{BE8A466F-BFB2-4FBC-AD74-44858EF9B0B9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0" name="$E$105">
            <a:extLst>
              <a:ext uri="{FF2B5EF4-FFF2-40B4-BE49-F238E27FC236}">
                <a16:creationId xmlns:a16="http://schemas.microsoft.com/office/drawing/2014/main" id="{F93FA13A-2238-46A4-A8D5-03F566AB91E9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1" name="$E$105">
            <a:extLst>
              <a:ext uri="{FF2B5EF4-FFF2-40B4-BE49-F238E27FC236}">
                <a16:creationId xmlns:a16="http://schemas.microsoft.com/office/drawing/2014/main" id="{5DF9043C-819E-4163-88CB-F2640083070F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2" name="$E$105">
            <a:extLst>
              <a:ext uri="{FF2B5EF4-FFF2-40B4-BE49-F238E27FC236}">
                <a16:creationId xmlns:a16="http://schemas.microsoft.com/office/drawing/2014/main" id="{D67F3D10-7F73-423F-9916-07308C7D2464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3" name="$E$105">
            <a:extLst>
              <a:ext uri="{FF2B5EF4-FFF2-40B4-BE49-F238E27FC236}">
                <a16:creationId xmlns:a16="http://schemas.microsoft.com/office/drawing/2014/main" id="{6B4A8004-30C9-4916-9357-A715A26475CF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4" name="$E$105">
            <a:extLst>
              <a:ext uri="{FF2B5EF4-FFF2-40B4-BE49-F238E27FC236}">
                <a16:creationId xmlns:a16="http://schemas.microsoft.com/office/drawing/2014/main" id="{A7442B7D-B358-4F77-AF3E-EBD380F8825C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5" name="$E$105">
            <a:extLst>
              <a:ext uri="{FF2B5EF4-FFF2-40B4-BE49-F238E27FC236}">
                <a16:creationId xmlns:a16="http://schemas.microsoft.com/office/drawing/2014/main" id="{D73E1EE0-ECF1-4D6E-AE5E-78B7A26CB585}"/>
              </a:ext>
            </a:extLst>
          </xdr:cNvPr>
          <xdr:cNvSpPr/>
        </xdr:nvSpPr>
        <xdr:spPr>
          <a:xfrm>
            <a:off x="266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6" name="$E$105">
            <a:extLst>
              <a:ext uri="{FF2B5EF4-FFF2-40B4-BE49-F238E27FC236}">
                <a16:creationId xmlns:a16="http://schemas.microsoft.com/office/drawing/2014/main" id="{AB91B210-AA9A-4AAF-8BDB-9419E10C6BF9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7" name="$E$105">
            <a:extLst>
              <a:ext uri="{FF2B5EF4-FFF2-40B4-BE49-F238E27FC236}">
                <a16:creationId xmlns:a16="http://schemas.microsoft.com/office/drawing/2014/main" id="{10C87122-4EBF-4985-A6D0-4A65AC0A13ED}"/>
              </a:ext>
            </a:extLst>
          </xdr:cNvPr>
          <xdr:cNvSpPr/>
        </xdr:nvSpPr>
        <xdr:spPr>
          <a:xfrm>
            <a:off x="355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8" name="$E$105">
            <a:extLst>
              <a:ext uri="{FF2B5EF4-FFF2-40B4-BE49-F238E27FC236}">
                <a16:creationId xmlns:a16="http://schemas.microsoft.com/office/drawing/2014/main" id="{5F53E0C1-B337-4CF7-AB79-A018A06F1B90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59" name="$E$105">
            <a:extLst>
              <a:ext uri="{FF2B5EF4-FFF2-40B4-BE49-F238E27FC236}">
                <a16:creationId xmlns:a16="http://schemas.microsoft.com/office/drawing/2014/main" id="{CFA2A272-5957-430B-B42C-B3CD01D401D7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0" name="$E$105">
            <a:extLst>
              <a:ext uri="{FF2B5EF4-FFF2-40B4-BE49-F238E27FC236}">
                <a16:creationId xmlns:a16="http://schemas.microsoft.com/office/drawing/2014/main" id="{348053D8-A4AD-4EDF-98A3-53BC02907717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1" name="$E$105">
            <a:extLst>
              <a:ext uri="{FF2B5EF4-FFF2-40B4-BE49-F238E27FC236}">
                <a16:creationId xmlns:a16="http://schemas.microsoft.com/office/drawing/2014/main" id="{09D85869-10A5-4D1E-9F30-F676BA173CDA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2" name="$E$105">
            <a:extLst>
              <a:ext uri="{FF2B5EF4-FFF2-40B4-BE49-F238E27FC236}">
                <a16:creationId xmlns:a16="http://schemas.microsoft.com/office/drawing/2014/main" id="{51D730D3-1F73-4B8B-AD8B-EFA2E695F8B2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3" name="$E$105">
            <a:extLst>
              <a:ext uri="{FF2B5EF4-FFF2-40B4-BE49-F238E27FC236}">
                <a16:creationId xmlns:a16="http://schemas.microsoft.com/office/drawing/2014/main" id="{124AC3D6-B792-4F6F-A6F9-DB947ED33379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4" name="$E$105">
            <a:extLst>
              <a:ext uri="{FF2B5EF4-FFF2-40B4-BE49-F238E27FC236}">
                <a16:creationId xmlns:a16="http://schemas.microsoft.com/office/drawing/2014/main" id="{363D7C43-5774-4C7B-BC1F-95FD0980FAFA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5" name="$E$105">
            <a:extLst>
              <a:ext uri="{FF2B5EF4-FFF2-40B4-BE49-F238E27FC236}">
                <a16:creationId xmlns:a16="http://schemas.microsoft.com/office/drawing/2014/main" id="{2EBB4F0C-5995-49B3-9AB3-1CA46657A8D0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6" name="$E$105">
            <a:extLst>
              <a:ext uri="{FF2B5EF4-FFF2-40B4-BE49-F238E27FC236}">
                <a16:creationId xmlns:a16="http://schemas.microsoft.com/office/drawing/2014/main" id="{5FF609C8-36B5-4EE8-826B-B3414352AC5D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7" name="$E$105">
            <a:extLst>
              <a:ext uri="{FF2B5EF4-FFF2-40B4-BE49-F238E27FC236}">
                <a16:creationId xmlns:a16="http://schemas.microsoft.com/office/drawing/2014/main" id="{DD7BE4A0-3B12-4D46-B95A-289957A19640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8" name="$E$105">
            <a:extLst>
              <a:ext uri="{FF2B5EF4-FFF2-40B4-BE49-F238E27FC236}">
                <a16:creationId xmlns:a16="http://schemas.microsoft.com/office/drawing/2014/main" id="{ACC8C761-FA15-49D7-8AFB-38CA6F6854DA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69" name="$E$105">
            <a:extLst>
              <a:ext uri="{FF2B5EF4-FFF2-40B4-BE49-F238E27FC236}">
                <a16:creationId xmlns:a16="http://schemas.microsoft.com/office/drawing/2014/main" id="{07BEEA2B-28EA-4CD4-9ED6-74BFD1DFEE95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0" name="$E$105">
            <a:extLst>
              <a:ext uri="{FF2B5EF4-FFF2-40B4-BE49-F238E27FC236}">
                <a16:creationId xmlns:a16="http://schemas.microsoft.com/office/drawing/2014/main" id="{D2FEE1C2-7A82-4145-A790-6DA8A79680F3}"/>
              </a:ext>
            </a:extLst>
          </xdr:cNvPr>
          <xdr:cNvSpPr/>
        </xdr:nvSpPr>
        <xdr:spPr>
          <a:xfrm>
            <a:off x="304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1" name="$E$105">
            <a:extLst>
              <a:ext uri="{FF2B5EF4-FFF2-40B4-BE49-F238E27FC236}">
                <a16:creationId xmlns:a16="http://schemas.microsoft.com/office/drawing/2014/main" id="{9B636F7C-B13B-4CCD-8123-491A2C69DF5D}"/>
              </a:ext>
            </a:extLst>
          </xdr:cNvPr>
          <xdr:cNvSpPr/>
        </xdr:nvSpPr>
        <xdr:spPr>
          <a:xfrm>
            <a:off x="317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2" name="$E$105">
            <a:extLst>
              <a:ext uri="{FF2B5EF4-FFF2-40B4-BE49-F238E27FC236}">
                <a16:creationId xmlns:a16="http://schemas.microsoft.com/office/drawing/2014/main" id="{0FD4C053-C335-48DF-84D4-D239D4FCFAAB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3" name="$E$105">
            <a:extLst>
              <a:ext uri="{FF2B5EF4-FFF2-40B4-BE49-F238E27FC236}">
                <a16:creationId xmlns:a16="http://schemas.microsoft.com/office/drawing/2014/main" id="{4391D9EA-E7C1-483B-AB97-F7E0EA458D73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4" name="$E$105">
            <a:extLst>
              <a:ext uri="{FF2B5EF4-FFF2-40B4-BE49-F238E27FC236}">
                <a16:creationId xmlns:a16="http://schemas.microsoft.com/office/drawing/2014/main" id="{0FF25E4E-508D-4021-8EF8-FA475A0B7FE4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5" name="$E$105">
            <a:extLst>
              <a:ext uri="{FF2B5EF4-FFF2-40B4-BE49-F238E27FC236}">
                <a16:creationId xmlns:a16="http://schemas.microsoft.com/office/drawing/2014/main" id="{62418503-E733-469F-B6DB-2FF5B8D1053B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6" name="$E$105">
            <a:extLst>
              <a:ext uri="{FF2B5EF4-FFF2-40B4-BE49-F238E27FC236}">
                <a16:creationId xmlns:a16="http://schemas.microsoft.com/office/drawing/2014/main" id="{E510ACBE-8938-4995-BDC9-FB7F85D0B896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7" name="$E$105">
            <a:extLst>
              <a:ext uri="{FF2B5EF4-FFF2-40B4-BE49-F238E27FC236}">
                <a16:creationId xmlns:a16="http://schemas.microsoft.com/office/drawing/2014/main" id="{28A01C6D-C9C7-4225-9CE5-30D06C6BCE37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8" name="$E$105">
            <a:extLst>
              <a:ext uri="{FF2B5EF4-FFF2-40B4-BE49-F238E27FC236}">
                <a16:creationId xmlns:a16="http://schemas.microsoft.com/office/drawing/2014/main" id="{EC568F05-7E60-4CA1-A15C-5AB6625DBADB}"/>
              </a:ext>
            </a:extLst>
          </xdr:cNvPr>
          <xdr:cNvSpPr/>
        </xdr:nvSpPr>
        <xdr:spPr>
          <a:xfrm>
            <a:off x="88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79" name="$E$105">
            <a:extLst>
              <a:ext uri="{FF2B5EF4-FFF2-40B4-BE49-F238E27FC236}">
                <a16:creationId xmlns:a16="http://schemas.microsoft.com/office/drawing/2014/main" id="{E3D72C03-E502-45BC-9DE0-41BF8C237AA9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0" name="$E$105">
            <a:extLst>
              <a:ext uri="{FF2B5EF4-FFF2-40B4-BE49-F238E27FC236}">
                <a16:creationId xmlns:a16="http://schemas.microsoft.com/office/drawing/2014/main" id="{DFA8FE5A-8B12-442F-BE52-AF424060E265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1" name="$E$105">
            <a:extLst>
              <a:ext uri="{FF2B5EF4-FFF2-40B4-BE49-F238E27FC236}">
                <a16:creationId xmlns:a16="http://schemas.microsoft.com/office/drawing/2014/main" id="{2D923329-267F-4FF2-8499-EFD483142A71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2" name="$E$105">
            <a:extLst>
              <a:ext uri="{FF2B5EF4-FFF2-40B4-BE49-F238E27FC236}">
                <a16:creationId xmlns:a16="http://schemas.microsoft.com/office/drawing/2014/main" id="{6D6020F5-BEF7-41E4-9B53-EE1C47E2FEDA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3" name="$E$105">
            <a:extLst>
              <a:ext uri="{FF2B5EF4-FFF2-40B4-BE49-F238E27FC236}">
                <a16:creationId xmlns:a16="http://schemas.microsoft.com/office/drawing/2014/main" id="{60249AFE-00D9-4D61-B85F-BDBDA2E784C5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4" name="$E$105">
            <a:extLst>
              <a:ext uri="{FF2B5EF4-FFF2-40B4-BE49-F238E27FC236}">
                <a16:creationId xmlns:a16="http://schemas.microsoft.com/office/drawing/2014/main" id="{0AAEBE1A-A7F4-4A8D-9A74-F4AAB99D2BD1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5" name="$E$105">
            <a:extLst>
              <a:ext uri="{FF2B5EF4-FFF2-40B4-BE49-F238E27FC236}">
                <a16:creationId xmlns:a16="http://schemas.microsoft.com/office/drawing/2014/main" id="{264638C6-6F2B-4FC6-BD86-835979222843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6" name="$E$105">
            <a:extLst>
              <a:ext uri="{FF2B5EF4-FFF2-40B4-BE49-F238E27FC236}">
                <a16:creationId xmlns:a16="http://schemas.microsoft.com/office/drawing/2014/main" id="{C156D43C-2930-4A55-9D6B-C1A8C77348BD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7" name="$E$105">
            <a:extLst>
              <a:ext uri="{FF2B5EF4-FFF2-40B4-BE49-F238E27FC236}">
                <a16:creationId xmlns:a16="http://schemas.microsoft.com/office/drawing/2014/main" id="{24A54FFA-4C00-44B7-8D4C-06EDEF77331B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8" name="$E$105">
            <a:extLst>
              <a:ext uri="{FF2B5EF4-FFF2-40B4-BE49-F238E27FC236}">
                <a16:creationId xmlns:a16="http://schemas.microsoft.com/office/drawing/2014/main" id="{DEC6B8C9-666C-4453-802F-71A1AADC75B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89" name="$E$105">
            <a:extLst>
              <a:ext uri="{FF2B5EF4-FFF2-40B4-BE49-F238E27FC236}">
                <a16:creationId xmlns:a16="http://schemas.microsoft.com/office/drawing/2014/main" id="{2476B80A-0A4F-42F4-BB60-5DFACE170F16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0" name="$E$105">
            <a:extLst>
              <a:ext uri="{FF2B5EF4-FFF2-40B4-BE49-F238E27FC236}">
                <a16:creationId xmlns:a16="http://schemas.microsoft.com/office/drawing/2014/main" id="{C36A5C43-1501-418C-9613-AEF129B86AAF}"/>
              </a:ext>
            </a:extLst>
          </xdr:cNvPr>
          <xdr:cNvSpPr/>
        </xdr:nvSpPr>
        <xdr:spPr>
          <a:xfrm>
            <a:off x="393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1" name="$E$105">
            <a:extLst>
              <a:ext uri="{FF2B5EF4-FFF2-40B4-BE49-F238E27FC236}">
                <a16:creationId xmlns:a16="http://schemas.microsoft.com/office/drawing/2014/main" id="{7BF0C815-05FA-4F93-B30E-DBE79BCBA874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2" name="$E$105">
            <a:extLst>
              <a:ext uri="{FF2B5EF4-FFF2-40B4-BE49-F238E27FC236}">
                <a16:creationId xmlns:a16="http://schemas.microsoft.com/office/drawing/2014/main" id="{610638CB-0BEC-49E9-BCBC-969548732281}"/>
              </a:ext>
            </a:extLst>
          </xdr:cNvPr>
          <xdr:cNvSpPr/>
        </xdr:nvSpPr>
        <xdr:spPr>
          <a:xfrm>
            <a:off x="12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3" name="$E$105">
            <a:extLst>
              <a:ext uri="{FF2B5EF4-FFF2-40B4-BE49-F238E27FC236}">
                <a16:creationId xmlns:a16="http://schemas.microsoft.com/office/drawing/2014/main" id="{BB034379-F92D-4412-8280-3BA172250609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4" name="$E$105">
            <a:extLst>
              <a:ext uri="{FF2B5EF4-FFF2-40B4-BE49-F238E27FC236}">
                <a16:creationId xmlns:a16="http://schemas.microsoft.com/office/drawing/2014/main" id="{13BB19E5-FDFB-4A07-9191-E1602CB01493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5" name="$E$105">
            <a:extLst>
              <a:ext uri="{FF2B5EF4-FFF2-40B4-BE49-F238E27FC236}">
                <a16:creationId xmlns:a16="http://schemas.microsoft.com/office/drawing/2014/main" id="{0D9FEFEE-CCFD-4547-888A-620341ACE786}"/>
              </a:ext>
            </a:extLst>
          </xdr:cNvPr>
          <xdr:cNvSpPr/>
        </xdr:nvSpPr>
        <xdr:spPr>
          <a:xfrm>
            <a:off x="114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6" name="$E$105">
            <a:extLst>
              <a:ext uri="{FF2B5EF4-FFF2-40B4-BE49-F238E27FC236}">
                <a16:creationId xmlns:a16="http://schemas.microsoft.com/office/drawing/2014/main" id="{634B92D5-E21B-486F-92C2-43D611E1FABB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7" name="$E$105">
            <a:extLst>
              <a:ext uri="{FF2B5EF4-FFF2-40B4-BE49-F238E27FC236}">
                <a16:creationId xmlns:a16="http://schemas.microsoft.com/office/drawing/2014/main" id="{E1D7E9EE-375F-45C9-B3B6-7C8ABD4A1B1F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8" name="$E$105">
            <a:extLst>
              <a:ext uri="{FF2B5EF4-FFF2-40B4-BE49-F238E27FC236}">
                <a16:creationId xmlns:a16="http://schemas.microsoft.com/office/drawing/2014/main" id="{FD19B547-45AF-4A77-A2D2-C929F3907962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999" name="$E$105">
            <a:extLst>
              <a:ext uri="{FF2B5EF4-FFF2-40B4-BE49-F238E27FC236}">
                <a16:creationId xmlns:a16="http://schemas.microsoft.com/office/drawing/2014/main" id="{0EAF244D-8D3A-4F5F-B96A-02376545C128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0" name="$E$105">
            <a:extLst>
              <a:ext uri="{FF2B5EF4-FFF2-40B4-BE49-F238E27FC236}">
                <a16:creationId xmlns:a16="http://schemas.microsoft.com/office/drawing/2014/main" id="{AE62C861-1ACF-485F-9699-38B06FE739E1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1" name="$E$105">
            <a:extLst>
              <a:ext uri="{FF2B5EF4-FFF2-40B4-BE49-F238E27FC236}">
                <a16:creationId xmlns:a16="http://schemas.microsoft.com/office/drawing/2014/main" id="{6E5678C7-F237-45B9-AD7D-A1D9968176AA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2" name="$E$105">
            <a:extLst>
              <a:ext uri="{FF2B5EF4-FFF2-40B4-BE49-F238E27FC236}">
                <a16:creationId xmlns:a16="http://schemas.microsoft.com/office/drawing/2014/main" id="{5493248C-0215-46FA-A8BC-57D3BFB2A0EB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3" name="$E$105">
            <a:extLst>
              <a:ext uri="{FF2B5EF4-FFF2-40B4-BE49-F238E27FC236}">
                <a16:creationId xmlns:a16="http://schemas.microsoft.com/office/drawing/2014/main" id="{823A5A04-CFF1-4CF9-BE57-ED8D8A0FF93C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4" name="$E$105">
            <a:extLst>
              <a:ext uri="{FF2B5EF4-FFF2-40B4-BE49-F238E27FC236}">
                <a16:creationId xmlns:a16="http://schemas.microsoft.com/office/drawing/2014/main" id="{A51B5A64-BC9C-4D73-AD15-E4095CCFDAAD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5" name="$E$105">
            <a:extLst>
              <a:ext uri="{FF2B5EF4-FFF2-40B4-BE49-F238E27FC236}">
                <a16:creationId xmlns:a16="http://schemas.microsoft.com/office/drawing/2014/main" id="{34DEC93F-04EC-4422-A45D-2DF4AF6B5929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6" name="$E$105">
            <a:extLst>
              <a:ext uri="{FF2B5EF4-FFF2-40B4-BE49-F238E27FC236}">
                <a16:creationId xmlns:a16="http://schemas.microsoft.com/office/drawing/2014/main" id="{BE48D8FC-8120-4573-8FC1-295C9209BF1C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7" name="$E$105">
            <a:extLst>
              <a:ext uri="{FF2B5EF4-FFF2-40B4-BE49-F238E27FC236}">
                <a16:creationId xmlns:a16="http://schemas.microsoft.com/office/drawing/2014/main" id="{1345B0FE-2031-4B88-971F-9BC5969EC68B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8" name="$E$105">
            <a:extLst>
              <a:ext uri="{FF2B5EF4-FFF2-40B4-BE49-F238E27FC236}">
                <a16:creationId xmlns:a16="http://schemas.microsoft.com/office/drawing/2014/main" id="{F61E0F9A-AB16-4B75-90A4-AAC816691DF9}"/>
              </a:ext>
            </a:extLst>
          </xdr:cNvPr>
          <xdr:cNvSpPr/>
        </xdr:nvSpPr>
        <xdr:spPr>
          <a:xfrm>
            <a:off x="368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09" name="$E$105">
            <a:extLst>
              <a:ext uri="{FF2B5EF4-FFF2-40B4-BE49-F238E27FC236}">
                <a16:creationId xmlns:a16="http://schemas.microsoft.com/office/drawing/2014/main" id="{772B7755-AF90-47B3-A90C-E34566605B62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0" name="$E$105">
            <a:extLst>
              <a:ext uri="{FF2B5EF4-FFF2-40B4-BE49-F238E27FC236}">
                <a16:creationId xmlns:a16="http://schemas.microsoft.com/office/drawing/2014/main" id="{1861C2D5-1607-4944-BE86-CC638032B83B}"/>
              </a:ext>
            </a:extLst>
          </xdr:cNvPr>
          <xdr:cNvSpPr/>
        </xdr:nvSpPr>
        <xdr:spPr>
          <a:xfrm>
            <a:off x="406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1" name="$E$105">
            <a:extLst>
              <a:ext uri="{FF2B5EF4-FFF2-40B4-BE49-F238E27FC236}">
                <a16:creationId xmlns:a16="http://schemas.microsoft.com/office/drawing/2014/main" id="{1683774D-EB83-4CBB-ACCF-CBBF85307700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2" name="$E$105">
            <a:extLst>
              <a:ext uri="{FF2B5EF4-FFF2-40B4-BE49-F238E27FC236}">
                <a16:creationId xmlns:a16="http://schemas.microsoft.com/office/drawing/2014/main" id="{84A81A89-BF2E-4B94-AB54-AD0D3E8B1E31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3" name="$E$105">
            <a:extLst>
              <a:ext uri="{FF2B5EF4-FFF2-40B4-BE49-F238E27FC236}">
                <a16:creationId xmlns:a16="http://schemas.microsoft.com/office/drawing/2014/main" id="{046DA759-CB94-4C16-BC65-2C872747E9B0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4" name="$E$105">
            <a:extLst>
              <a:ext uri="{FF2B5EF4-FFF2-40B4-BE49-F238E27FC236}">
                <a16:creationId xmlns:a16="http://schemas.microsoft.com/office/drawing/2014/main" id="{EAEF248E-6E8C-4DA7-86E8-EE8AA83F6C0A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5" name="$E$105">
            <a:extLst>
              <a:ext uri="{FF2B5EF4-FFF2-40B4-BE49-F238E27FC236}">
                <a16:creationId xmlns:a16="http://schemas.microsoft.com/office/drawing/2014/main" id="{3378E297-D673-41B0-A8C8-B9EB9BD71DA9}"/>
              </a:ext>
            </a:extLst>
          </xdr:cNvPr>
          <xdr:cNvSpPr/>
        </xdr:nvSpPr>
        <xdr:spPr>
          <a:xfrm>
            <a:off x="88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6" name="$E$105">
            <a:extLst>
              <a:ext uri="{FF2B5EF4-FFF2-40B4-BE49-F238E27FC236}">
                <a16:creationId xmlns:a16="http://schemas.microsoft.com/office/drawing/2014/main" id="{DA129674-C426-4EDE-9401-480BC397150D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7" name="$E$105">
            <a:extLst>
              <a:ext uri="{FF2B5EF4-FFF2-40B4-BE49-F238E27FC236}">
                <a16:creationId xmlns:a16="http://schemas.microsoft.com/office/drawing/2014/main" id="{60B4BADD-8260-47FC-9738-6959CD6156AF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8" name="$E$105">
            <a:extLst>
              <a:ext uri="{FF2B5EF4-FFF2-40B4-BE49-F238E27FC236}">
                <a16:creationId xmlns:a16="http://schemas.microsoft.com/office/drawing/2014/main" id="{F5E785E1-D03B-4D57-B65A-948DD4F9290E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19" name="$E$105">
            <a:extLst>
              <a:ext uri="{FF2B5EF4-FFF2-40B4-BE49-F238E27FC236}">
                <a16:creationId xmlns:a16="http://schemas.microsoft.com/office/drawing/2014/main" id="{60C8D971-8FC3-48E8-9131-09310A6532BB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0" name="$E$105">
            <a:extLst>
              <a:ext uri="{FF2B5EF4-FFF2-40B4-BE49-F238E27FC236}">
                <a16:creationId xmlns:a16="http://schemas.microsoft.com/office/drawing/2014/main" id="{ECD692A7-166D-4914-92BF-14980BBEEADD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1" name="$E$105">
            <a:extLst>
              <a:ext uri="{FF2B5EF4-FFF2-40B4-BE49-F238E27FC236}">
                <a16:creationId xmlns:a16="http://schemas.microsoft.com/office/drawing/2014/main" id="{2A73566D-66D7-4A28-AA9D-A3BA4B6624B8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2" name="$E$105">
            <a:extLst>
              <a:ext uri="{FF2B5EF4-FFF2-40B4-BE49-F238E27FC236}">
                <a16:creationId xmlns:a16="http://schemas.microsoft.com/office/drawing/2014/main" id="{9C3239E6-CB3B-4654-8081-27495F5D081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3" name="$E$105">
            <a:extLst>
              <a:ext uri="{FF2B5EF4-FFF2-40B4-BE49-F238E27FC236}">
                <a16:creationId xmlns:a16="http://schemas.microsoft.com/office/drawing/2014/main" id="{EF25E03B-0892-4004-AB50-3E97058DDC02}"/>
              </a:ext>
            </a:extLst>
          </xdr:cNvPr>
          <xdr:cNvSpPr/>
        </xdr:nvSpPr>
        <xdr:spPr>
          <a:xfrm>
            <a:off x="304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4" name="$E$105">
            <a:extLst>
              <a:ext uri="{FF2B5EF4-FFF2-40B4-BE49-F238E27FC236}">
                <a16:creationId xmlns:a16="http://schemas.microsoft.com/office/drawing/2014/main" id="{4F45E38D-FF56-47D7-A626-CC65B61E9B1B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5" name="$E$105">
            <a:extLst>
              <a:ext uri="{FF2B5EF4-FFF2-40B4-BE49-F238E27FC236}">
                <a16:creationId xmlns:a16="http://schemas.microsoft.com/office/drawing/2014/main" id="{4F28D51D-EE7F-4596-9969-1C038D9FB2A7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6" name="$E$105">
            <a:extLst>
              <a:ext uri="{FF2B5EF4-FFF2-40B4-BE49-F238E27FC236}">
                <a16:creationId xmlns:a16="http://schemas.microsoft.com/office/drawing/2014/main" id="{123FA877-B9EB-4B53-B9D9-5805656E22A0}"/>
              </a:ext>
            </a:extLst>
          </xdr:cNvPr>
          <xdr:cNvSpPr/>
        </xdr:nvSpPr>
        <xdr:spPr>
          <a:xfrm>
            <a:off x="368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7" name="$E$105">
            <a:extLst>
              <a:ext uri="{FF2B5EF4-FFF2-40B4-BE49-F238E27FC236}">
                <a16:creationId xmlns:a16="http://schemas.microsoft.com/office/drawing/2014/main" id="{89557AA9-ABE9-4CC4-A8C6-13D093D5D9AF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8" name="$E$105">
            <a:extLst>
              <a:ext uri="{FF2B5EF4-FFF2-40B4-BE49-F238E27FC236}">
                <a16:creationId xmlns:a16="http://schemas.microsoft.com/office/drawing/2014/main" id="{8D0FAFD8-DDE8-4B8A-AADC-D4B6F8B87366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29" name="$E$105">
            <a:extLst>
              <a:ext uri="{FF2B5EF4-FFF2-40B4-BE49-F238E27FC236}">
                <a16:creationId xmlns:a16="http://schemas.microsoft.com/office/drawing/2014/main" id="{8D696B67-4E1F-4DA0-87B3-34F3169231CE}"/>
              </a:ext>
            </a:extLst>
          </xdr:cNvPr>
          <xdr:cNvSpPr/>
        </xdr:nvSpPr>
        <xdr:spPr>
          <a:xfrm>
            <a:off x="12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0" name="$E$105">
            <a:extLst>
              <a:ext uri="{FF2B5EF4-FFF2-40B4-BE49-F238E27FC236}">
                <a16:creationId xmlns:a16="http://schemas.microsoft.com/office/drawing/2014/main" id="{7296C8A5-AD4E-462A-BB9D-25AFF4F32B74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1" name="$E$105">
            <a:extLst>
              <a:ext uri="{FF2B5EF4-FFF2-40B4-BE49-F238E27FC236}">
                <a16:creationId xmlns:a16="http://schemas.microsoft.com/office/drawing/2014/main" id="{AE894126-6984-4A97-9B3F-7A236066F0D1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2" name="$E$105">
            <a:extLst>
              <a:ext uri="{FF2B5EF4-FFF2-40B4-BE49-F238E27FC236}">
                <a16:creationId xmlns:a16="http://schemas.microsoft.com/office/drawing/2014/main" id="{2C2E5904-7B5B-48EA-B828-54F42E5B1862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3" name="$E$105">
            <a:extLst>
              <a:ext uri="{FF2B5EF4-FFF2-40B4-BE49-F238E27FC236}">
                <a16:creationId xmlns:a16="http://schemas.microsoft.com/office/drawing/2014/main" id="{488FAD5D-35AC-48FD-88AA-E06E9975BC73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4" name="$E$105">
            <a:extLst>
              <a:ext uri="{FF2B5EF4-FFF2-40B4-BE49-F238E27FC236}">
                <a16:creationId xmlns:a16="http://schemas.microsoft.com/office/drawing/2014/main" id="{841F16EA-0CA5-43CD-8BDE-63F4A072593E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5" name="$E$105">
            <a:extLst>
              <a:ext uri="{FF2B5EF4-FFF2-40B4-BE49-F238E27FC236}">
                <a16:creationId xmlns:a16="http://schemas.microsoft.com/office/drawing/2014/main" id="{E6FEB280-CE27-49FF-88A9-E83F25C09915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6" name="$E$105">
            <a:extLst>
              <a:ext uri="{FF2B5EF4-FFF2-40B4-BE49-F238E27FC236}">
                <a16:creationId xmlns:a16="http://schemas.microsoft.com/office/drawing/2014/main" id="{D7DC965A-E915-4371-88C8-47BB8459C811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7" name="$E$105">
            <a:extLst>
              <a:ext uri="{FF2B5EF4-FFF2-40B4-BE49-F238E27FC236}">
                <a16:creationId xmlns:a16="http://schemas.microsoft.com/office/drawing/2014/main" id="{33425536-86F8-4A26-873E-984B74A327BC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8" name="$E$105">
            <a:extLst>
              <a:ext uri="{FF2B5EF4-FFF2-40B4-BE49-F238E27FC236}">
                <a16:creationId xmlns:a16="http://schemas.microsoft.com/office/drawing/2014/main" id="{A6584B04-2566-4FCF-9A2D-FDA4EC4624A4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39" name="$E$105">
            <a:extLst>
              <a:ext uri="{FF2B5EF4-FFF2-40B4-BE49-F238E27FC236}">
                <a16:creationId xmlns:a16="http://schemas.microsoft.com/office/drawing/2014/main" id="{8973373D-3E06-4095-AC2F-00D69232E89A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0" name="$E$105">
            <a:extLst>
              <a:ext uri="{FF2B5EF4-FFF2-40B4-BE49-F238E27FC236}">
                <a16:creationId xmlns:a16="http://schemas.microsoft.com/office/drawing/2014/main" id="{EC20F6FA-A13F-4BDE-8662-B762F9904076}"/>
              </a:ext>
            </a:extLst>
          </xdr:cNvPr>
          <xdr:cNvSpPr/>
        </xdr:nvSpPr>
        <xdr:spPr>
          <a:xfrm>
            <a:off x="317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1" name="$E$105">
            <a:extLst>
              <a:ext uri="{FF2B5EF4-FFF2-40B4-BE49-F238E27FC236}">
                <a16:creationId xmlns:a16="http://schemas.microsoft.com/office/drawing/2014/main" id="{3B866A33-942C-47D6-A3C8-A70E0A9864B5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2" name="$E$105">
            <a:extLst>
              <a:ext uri="{FF2B5EF4-FFF2-40B4-BE49-F238E27FC236}">
                <a16:creationId xmlns:a16="http://schemas.microsoft.com/office/drawing/2014/main" id="{5EC992E3-364C-4896-B2DD-161D3BD41E22}"/>
              </a:ext>
            </a:extLst>
          </xdr:cNvPr>
          <xdr:cNvSpPr/>
        </xdr:nvSpPr>
        <xdr:spPr>
          <a:xfrm>
            <a:off x="381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3" name="$E$105">
            <a:extLst>
              <a:ext uri="{FF2B5EF4-FFF2-40B4-BE49-F238E27FC236}">
                <a16:creationId xmlns:a16="http://schemas.microsoft.com/office/drawing/2014/main" id="{8E6AABC3-02A8-4E4A-8D53-86988D46BA41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4" name="$E$105">
            <a:extLst>
              <a:ext uri="{FF2B5EF4-FFF2-40B4-BE49-F238E27FC236}">
                <a16:creationId xmlns:a16="http://schemas.microsoft.com/office/drawing/2014/main" id="{070B0177-5E67-4BF0-80B8-CD813D004706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5" name="$E$105">
            <a:extLst>
              <a:ext uri="{FF2B5EF4-FFF2-40B4-BE49-F238E27FC236}">
                <a16:creationId xmlns:a16="http://schemas.microsoft.com/office/drawing/2014/main" id="{2F406645-A570-4DC0-BC80-676B765DE0B6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6" name="$E$105">
            <a:extLst>
              <a:ext uri="{FF2B5EF4-FFF2-40B4-BE49-F238E27FC236}">
                <a16:creationId xmlns:a16="http://schemas.microsoft.com/office/drawing/2014/main" id="{5A90B1E4-F2E8-4674-BFF8-9D2033371158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7" name="$E$105">
            <a:extLst>
              <a:ext uri="{FF2B5EF4-FFF2-40B4-BE49-F238E27FC236}">
                <a16:creationId xmlns:a16="http://schemas.microsoft.com/office/drawing/2014/main" id="{DE13A6CC-4A11-4305-9EEE-021FD45A2608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8" name="$E$105">
            <a:extLst>
              <a:ext uri="{FF2B5EF4-FFF2-40B4-BE49-F238E27FC236}">
                <a16:creationId xmlns:a16="http://schemas.microsoft.com/office/drawing/2014/main" id="{E635C0E3-F446-4B86-85CD-2266D4A66CE7}"/>
              </a:ext>
            </a:extLst>
          </xdr:cNvPr>
          <xdr:cNvSpPr/>
        </xdr:nvSpPr>
        <xdr:spPr>
          <a:xfrm>
            <a:off x="88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49" name="$E$105">
            <a:extLst>
              <a:ext uri="{FF2B5EF4-FFF2-40B4-BE49-F238E27FC236}">
                <a16:creationId xmlns:a16="http://schemas.microsoft.com/office/drawing/2014/main" id="{05F3C62F-5C8A-4636-BCB7-4321970053AF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50" name="$E$105">
            <a:extLst>
              <a:ext uri="{FF2B5EF4-FFF2-40B4-BE49-F238E27FC236}">
                <a16:creationId xmlns:a16="http://schemas.microsoft.com/office/drawing/2014/main" id="{A195417D-BC7C-4F10-8A9B-E71396CF4F11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51" name="$E$105">
            <a:extLst>
              <a:ext uri="{FF2B5EF4-FFF2-40B4-BE49-F238E27FC236}">
                <a16:creationId xmlns:a16="http://schemas.microsoft.com/office/drawing/2014/main" id="{1D1E4B17-1F0A-4208-845F-32331ACA0C07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52" name="$E$105">
            <a:extLst>
              <a:ext uri="{FF2B5EF4-FFF2-40B4-BE49-F238E27FC236}">
                <a16:creationId xmlns:a16="http://schemas.microsoft.com/office/drawing/2014/main" id="{14BAE2CA-503B-481F-9274-1ABA4FDF2809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53" name="$E$105">
            <a:extLst>
              <a:ext uri="{FF2B5EF4-FFF2-40B4-BE49-F238E27FC236}">
                <a16:creationId xmlns:a16="http://schemas.microsoft.com/office/drawing/2014/main" id="{3FA478FA-DBBE-471B-8A7B-E391C61D07E8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54" name="$E$105">
            <a:extLst>
              <a:ext uri="{FF2B5EF4-FFF2-40B4-BE49-F238E27FC236}">
                <a16:creationId xmlns:a16="http://schemas.microsoft.com/office/drawing/2014/main" id="{3BA8EB34-C812-4A79-9697-F42B312D564E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55" name="$E$105">
            <a:extLst>
              <a:ext uri="{FF2B5EF4-FFF2-40B4-BE49-F238E27FC236}">
                <a16:creationId xmlns:a16="http://schemas.microsoft.com/office/drawing/2014/main" id="{88A2BBBA-AC0F-4375-9B67-115392AECA61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56" name="$E$105">
            <a:extLst>
              <a:ext uri="{FF2B5EF4-FFF2-40B4-BE49-F238E27FC236}">
                <a16:creationId xmlns:a16="http://schemas.microsoft.com/office/drawing/2014/main" id="{D0FCB914-4984-4D97-B720-BAE51360D644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57" name="$E$105">
            <a:extLst>
              <a:ext uri="{FF2B5EF4-FFF2-40B4-BE49-F238E27FC236}">
                <a16:creationId xmlns:a16="http://schemas.microsoft.com/office/drawing/2014/main" id="{DE2796CD-4F45-432D-A480-07D458976753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58" name="$E$105">
            <a:extLst>
              <a:ext uri="{FF2B5EF4-FFF2-40B4-BE49-F238E27FC236}">
                <a16:creationId xmlns:a16="http://schemas.microsoft.com/office/drawing/2014/main" id="{490EAD73-8376-4AB6-AC61-254800F2DDBA}"/>
              </a:ext>
            </a:extLst>
          </xdr:cNvPr>
          <xdr:cNvSpPr/>
        </xdr:nvSpPr>
        <xdr:spPr>
          <a:xfrm>
            <a:off x="355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59" name="$E$105">
            <a:extLst>
              <a:ext uri="{FF2B5EF4-FFF2-40B4-BE49-F238E27FC236}">
                <a16:creationId xmlns:a16="http://schemas.microsoft.com/office/drawing/2014/main" id="{63539759-74A7-4684-87B6-4E8D961D5656}"/>
              </a:ext>
            </a:extLst>
          </xdr:cNvPr>
          <xdr:cNvSpPr/>
        </xdr:nvSpPr>
        <xdr:spPr>
          <a:xfrm>
            <a:off x="393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60" name="$E$105">
            <a:extLst>
              <a:ext uri="{FF2B5EF4-FFF2-40B4-BE49-F238E27FC236}">
                <a16:creationId xmlns:a16="http://schemas.microsoft.com/office/drawing/2014/main" id="{CD819B41-9857-4642-BB14-C87D66DF69E0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61" name="$E$105">
            <a:extLst>
              <a:ext uri="{FF2B5EF4-FFF2-40B4-BE49-F238E27FC236}">
                <a16:creationId xmlns:a16="http://schemas.microsoft.com/office/drawing/2014/main" id="{31431D9B-328A-4252-BA2A-B3CDA37B8585}"/>
              </a:ext>
            </a:extLst>
          </xdr:cNvPr>
          <xdr:cNvSpPr/>
        </xdr:nvSpPr>
        <xdr:spPr>
          <a:xfrm>
            <a:off x="38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62" name="$E$105">
            <a:extLst>
              <a:ext uri="{FF2B5EF4-FFF2-40B4-BE49-F238E27FC236}">
                <a16:creationId xmlns:a16="http://schemas.microsoft.com/office/drawing/2014/main" id="{D8CC8DA3-8588-43B5-8729-591ED24F3D03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63" name="$E$105">
            <a:extLst>
              <a:ext uri="{FF2B5EF4-FFF2-40B4-BE49-F238E27FC236}">
                <a16:creationId xmlns:a16="http://schemas.microsoft.com/office/drawing/2014/main" id="{1F0F3B46-2349-4C94-9DAC-D2F24627E739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64" name="$E$105">
            <a:extLst>
              <a:ext uri="{FF2B5EF4-FFF2-40B4-BE49-F238E27FC236}">
                <a16:creationId xmlns:a16="http://schemas.microsoft.com/office/drawing/2014/main" id="{F00FE93E-1E58-439F-AF70-6B1483528AF8}"/>
              </a:ext>
            </a:extLst>
          </xdr:cNvPr>
          <xdr:cNvSpPr/>
        </xdr:nvSpPr>
        <xdr:spPr>
          <a:xfrm>
            <a:off x="1270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65" name="$E$105">
            <a:extLst>
              <a:ext uri="{FF2B5EF4-FFF2-40B4-BE49-F238E27FC236}">
                <a16:creationId xmlns:a16="http://schemas.microsoft.com/office/drawing/2014/main" id="{189977F2-1C2C-4980-9ADF-531EF578901E}"/>
              </a:ext>
            </a:extLst>
          </xdr:cNvPr>
          <xdr:cNvSpPr/>
        </xdr:nvSpPr>
        <xdr:spPr>
          <a:xfrm>
            <a:off x="139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66" name="$E$105">
            <a:extLst>
              <a:ext uri="{FF2B5EF4-FFF2-40B4-BE49-F238E27FC236}">
                <a16:creationId xmlns:a16="http://schemas.microsoft.com/office/drawing/2014/main" id="{CC22898E-2634-4946-B819-DAE554C934C4}"/>
              </a:ext>
            </a:extLst>
          </xdr:cNvPr>
          <xdr:cNvSpPr/>
        </xdr:nvSpPr>
        <xdr:spPr>
          <a:xfrm>
            <a:off x="152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67" name="$E$105">
            <a:extLst>
              <a:ext uri="{FF2B5EF4-FFF2-40B4-BE49-F238E27FC236}">
                <a16:creationId xmlns:a16="http://schemas.microsoft.com/office/drawing/2014/main" id="{CED088C5-DD5F-488D-96AC-90F56AE3B140}"/>
              </a:ext>
            </a:extLst>
          </xdr:cNvPr>
          <xdr:cNvSpPr/>
        </xdr:nvSpPr>
        <xdr:spPr>
          <a:xfrm>
            <a:off x="165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68" name="$E$105">
            <a:extLst>
              <a:ext uri="{FF2B5EF4-FFF2-40B4-BE49-F238E27FC236}">
                <a16:creationId xmlns:a16="http://schemas.microsoft.com/office/drawing/2014/main" id="{F126BFDB-F041-4FB0-AC58-FCB2AC913567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69" name="$E$105">
            <a:extLst>
              <a:ext uri="{FF2B5EF4-FFF2-40B4-BE49-F238E27FC236}">
                <a16:creationId xmlns:a16="http://schemas.microsoft.com/office/drawing/2014/main" id="{9173AF55-8550-4735-833C-D14D3C3F7046}"/>
              </a:ext>
            </a:extLst>
          </xdr:cNvPr>
          <xdr:cNvSpPr/>
        </xdr:nvSpPr>
        <xdr:spPr>
          <a:xfrm>
            <a:off x="203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70" name="$E$105">
            <a:extLst>
              <a:ext uri="{FF2B5EF4-FFF2-40B4-BE49-F238E27FC236}">
                <a16:creationId xmlns:a16="http://schemas.microsoft.com/office/drawing/2014/main" id="{B2738D02-0D01-4BE9-9FCA-3B932FD6EFFA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71" name="$E$105">
            <a:extLst>
              <a:ext uri="{FF2B5EF4-FFF2-40B4-BE49-F238E27FC236}">
                <a16:creationId xmlns:a16="http://schemas.microsoft.com/office/drawing/2014/main" id="{6D25908E-4656-4819-85E8-9E8DCEC1F7F1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72" name="$E$105">
            <a:extLst>
              <a:ext uri="{FF2B5EF4-FFF2-40B4-BE49-F238E27FC236}">
                <a16:creationId xmlns:a16="http://schemas.microsoft.com/office/drawing/2014/main" id="{B8999276-232C-4075-AF06-B68809185FC3}"/>
              </a:ext>
            </a:extLst>
          </xdr:cNvPr>
          <xdr:cNvSpPr/>
        </xdr:nvSpPr>
        <xdr:spPr>
          <a:xfrm>
            <a:off x="266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73" name="$E$105">
            <a:extLst>
              <a:ext uri="{FF2B5EF4-FFF2-40B4-BE49-F238E27FC236}">
                <a16:creationId xmlns:a16="http://schemas.microsoft.com/office/drawing/2014/main" id="{C3BEC31C-E82B-40C4-8C2E-231EDF25FE00}"/>
              </a:ext>
            </a:extLst>
          </xdr:cNvPr>
          <xdr:cNvSpPr/>
        </xdr:nvSpPr>
        <xdr:spPr>
          <a:xfrm>
            <a:off x="279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74" name="$E$105">
            <a:extLst>
              <a:ext uri="{FF2B5EF4-FFF2-40B4-BE49-F238E27FC236}">
                <a16:creationId xmlns:a16="http://schemas.microsoft.com/office/drawing/2014/main" id="{2E3A7BC2-16BE-4270-9A09-40490B80C951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75" name="$E$105">
            <a:extLst>
              <a:ext uri="{FF2B5EF4-FFF2-40B4-BE49-F238E27FC236}">
                <a16:creationId xmlns:a16="http://schemas.microsoft.com/office/drawing/2014/main" id="{7E53E329-5437-458F-AF24-FE8FC09DBD5B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76" name="$E$105">
            <a:extLst>
              <a:ext uri="{FF2B5EF4-FFF2-40B4-BE49-F238E27FC236}">
                <a16:creationId xmlns:a16="http://schemas.microsoft.com/office/drawing/2014/main" id="{FD79527E-56C6-4312-A071-D0550906C923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77" name="$E$105">
            <a:extLst>
              <a:ext uri="{FF2B5EF4-FFF2-40B4-BE49-F238E27FC236}">
                <a16:creationId xmlns:a16="http://schemas.microsoft.com/office/drawing/2014/main" id="{F9F70E6D-20FE-4D28-91CA-CA0463E8012D}"/>
              </a:ext>
            </a:extLst>
          </xdr:cNvPr>
          <xdr:cNvSpPr/>
        </xdr:nvSpPr>
        <xdr:spPr>
          <a:xfrm>
            <a:off x="3683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78" name="$E$105">
            <a:extLst>
              <a:ext uri="{FF2B5EF4-FFF2-40B4-BE49-F238E27FC236}">
                <a16:creationId xmlns:a16="http://schemas.microsoft.com/office/drawing/2014/main" id="{0349207D-000F-4E54-9FFE-342CC9E576A3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79" name="$E$105">
            <a:extLst>
              <a:ext uri="{FF2B5EF4-FFF2-40B4-BE49-F238E27FC236}">
                <a16:creationId xmlns:a16="http://schemas.microsoft.com/office/drawing/2014/main" id="{7ED432CF-EF4C-40D3-9E9F-0A51DBB2ADAA}"/>
              </a:ext>
            </a:extLst>
          </xdr:cNvPr>
          <xdr:cNvSpPr/>
        </xdr:nvSpPr>
        <xdr:spPr>
          <a:xfrm>
            <a:off x="406400" y="266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80" name="$E$105">
            <a:extLst>
              <a:ext uri="{FF2B5EF4-FFF2-40B4-BE49-F238E27FC236}">
                <a16:creationId xmlns:a16="http://schemas.microsoft.com/office/drawing/2014/main" id="{60F86D05-6B00-4EE3-A905-1DF80BC0E7AC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81" name="$E$105">
            <a:extLst>
              <a:ext uri="{FF2B5EF4-FFF2-40B4-BE49-F238E27FC236}">
                <a16:creationId xmlns:a16="http://schemas.microsoft.com/office/drawing/2014/main" id="{06AC7096-11CE-4625-950F-2019D734515A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82" name="$E$105">
            <a:extLst>
              <a:ext uri="{FF2B5EF4-FFF2-40B4-BE49-F238E27FC236}">
                <a16:creationId xmlns:a16="http://schemas.microsoft.com/office/drawing/2014/main" id="{AC57CA0A-29CE-4F1D-8BAE-FA9D90DB5F93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83" name="$E$105">
            <a:extLst>
              <a:ext uri="{FF2B5EF4-FFF2-40B4-BE49-F238E27FC236}">
                <a16:creationId xmlns:a16="http://schemas.microsoft.com/office/drawing/2014/main" id="{ABC5A07D-BDB0-4AB2-8BBF-BB2CD340C0B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84" name="$E$105">
            <a:extLst>
              <a:ext uri="{FF2B5EF4-FFF2-40B4-BE49-F238E27FC236}">
                <a16:creationId xmlns:a16="http://schemas.microsoft.com/office/drawing/2014/main" id="{CF23D159-4665-4471-8C86-1611A6606A8B}"/>
              </a:ext>
            </a:extLst>
          </xdr:cNvPr>
          <xdr:cNvSpPr/>
        </xdr:nvSpPr>
        <xdr:spPr>
          <a:xfrm>
            <a:off x="88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85" name="$E$105">
            <a:extLst>
              <a:ext uri="{FF2B5EF4-FFF2-40B4-BE49-F238E27FC236}">
                <a16:creationId xmlns:a16="http://schemas.microsoft.com/office/drawing/2014/main" id="{703103B7-04CA-40B9-A59C-06A4A304111F}"/>
              </a:ext>
            </a:extLst>
          </xdr:cNvPr>
          <xdr:cNvSpPr/>
        </xdr:nvSpPr>
        <xdr:spPr>
          <a:xfrm>
            <a:off x="101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86" name="$E$105">
            <a:extLst>
              <a:ext uri="{FF2B5EF4-FFF2-40B4-BE49-F238E27FC236}">
                <a16:creationId xmlns:a16="http://schemas.microsoft.com/office/drawing/2014/main" id="{BA81BF86-2BF7-4BFD-AD37-0FFA054D935F}"/>
              </a:ext>
            </a:extLst>
          </xdr:cNvPr>
          <xdr:cNvSpPr/>
        </xdr:nvSpPr>
        <xdr:spPr>
          <a:xfrm>
            <a:off x="114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87" name="$E$105">
            <a:extLst>
              <a:ext uri="{FF2B5EF4-FFF2-40B4-BE49-F238E27FC236}">
                <a16:creationId xmlns:a16="http://schemas.microsoft.com/office/drawing/2014/main" id="{34CEAB61-E1E3-4A1E-8ABF-202C9DE4BFEF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88" name="$E$105">
            <a:extLst>
              <a:ext uri="{FF2B5EF4-FFF2-40B4-BE49-F238E27FC236}">
                <a16:creationId xmlns:a16="http://schemas.microsoft.com/office/drawing/2014/main" id="{B9B84F8F-E02B-4CCC-BB18-4BA99FC28FB5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89" name="$E$105">
            <a:extLst>
              <a:ext uri="{FF2B5EF4-FFF2-40B4-BE49-F238E27FC236}">
                <a16:creationId xmlns:a16="http://schemas.microsoft.com/office/drawing/2014/main" id="{F93FA468-6984-4545-9367-9DE2DA8B91E6}"/>
              </a:ext>
            </a:extLst>
          </xdr:cNvPr>
          <xdr:cNvSpPr/>
        </xdr:nvSpPr>
        <xdr:spPr>
          <a:xfrm>
            <a:off x="2032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90" name="$E$105">
            <a:extLst>
              <a:ext uri="{FF2B5EF4-FFF2-40B4-BE49-F238E27FC236}">
                <a16:creationId xmlns:a16="http://schemas.microsoft.com/office/drawing/2014/main" id="{AF172B45-0171-4190-8D21-B6C17C5B3FA1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91" name="$E$105">
            <a:extLst>
              <a:ext uri="{FF2B5EF4-FFF2-40B4-BE49-F238E27FC236}">
                <a16:creationId xmlns:a16="http://schemas.microsoft.com/office/drawing/2014/main" id="{C931EB31-0365-465B-A5B8-F6D6E6CCFA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92" name="$E$105">
            <a:extLst>
              <a:ext uri="{FF2B5EF4-FFF2-40B4-BE49-F238E27FC236}">
                <a16:creationId xmlns:a16="http://schemas.microsoft.com/office/drawing/2014/main" id="{A4638E3E-CB74-4B27-80F9-D5C29E18C230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93" name="$E$105">
            <a:extLst>
              <a:ext uri="{FF2B5EF4-FFF2-40B4-BE49-F238E27FC236}">
                <a16:creationId xmlns:a16="http://schemas.microsoft.com/office/drawing/2014/main" id="{AE5738E8-DC84-421A-A1EC-A5A33AAD909E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94" name="$E$105">
            <a:extLst>
              <a:ext uri="{FF2B5EF4-FFF2-40B4-BE49-F238E27FC236}">
                <a16:creationId xmlns:a16="http://schemas.microsoft.com/office/drawing/2014/main" id="{E38B0BBB-152E-421F-87A2-A880029CDE71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95" name="$E$105">
            <a:extLst>
              <a:ext uri="{FF2B5EF4-FFF2-40B4-BE49-F238E27FC236}">
                <a16:creationId xmlns:a16="http://schemas.microsoft.com/office/drawing/2014/main" id="{955902DB-A35E-4E10-AFA0-CD9B9EB46AB6}"/>
              </a:ext>
            </a:extLst>
          </xdr:cNvPr>
          <xdr:cNvSpPr/>
        </xdr:nvSpPr>
        <xdr:spPr>
          <a:xfrm>
            <a:off x="3683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96" name="$E$105">
            <a:extLst>
              <a:ext uri="{FF2B5EF4-FFF2-40B4-BE49-F238E27FC236}">
                <a16:creationId xmlns:a16="http://schemas.microsoft.com/office/drawing/2014/main" id="{6E16E6AF-4F72-4BD5-94A5-32DAED393D5A}"/>
              </a:ext>
            </a:extLst>
          </xdr:cNvPr>
          <xdr:cNvSpPr/>
        </xdr:nvSpPr>
        <xdr:spPr>
          <a:xfrm>
            <a:off x="393700" y="279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97" name="$E$105">
            <a:extLst>
              <a:ext uri="{FF2B5EF4-FFF2-40B4-BE49-F238E27FC236}">
                <a16:creationId xmlns:a16="http://schemas.microsoft.com/office/drawing/2014/main" id="{F469EBAE-0E14-413F-9B46-85461F6EE001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98" name="$E$105">
            <a:extLst>
              <a:ext uri="{FF2B5EF4-FFF2-40B4-BE49-F238E27FC236}">
                <a16:creationId xmlns:a16="http://schemas.microsoft.com/office/drawing/2014/main" id="{71702A0F-AA60-4EBA-86C9-AA948444A49A}"/>
              </a:ext>
            </a:extLst>
          </xdr:cNvPr>
          <xdr:cNvSpPr/>
        </xdr:nvSpPr>
        <xdr:spPr>
          <a:xfrm>
            <a:off x="50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099" name="$E$105">
            <a:extLst>
              <a:ext uri="{FF2B5EF4-FFF2-40B4-BE49-F238E27FC236}">
                <a16:creationId xmlns:a16="http://schemas.microsoft.com/office/drawing/2014/main" id="{594ECF5F-CD12-4C35-93F5-0E49469167F0}"/>
              </a:ext>
            </a:extLst>
          </xdr:cNvPr>
          <xdr:cNvSpPr/>
        </xdr:nvSpPr>
        <xdr:spPr>
          <a:xfrm>
            <a:off x="127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00" name="$E$105">
            <a:extLst>
              <a:ext uri="{FF2B5EF4-FFF2-40B4-BE49-F238E27FC236}">
                <a16:creationId xmlns:a16="http://schemas.microsoft.com/office/drawing/2014/main" id="{800C777D-A758-44F7-84F3-EB968BF9E52C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01" name="$E$105">
            <a:extLst>
              <a:ext uri="{FF2B5EF4-FFF2-40B4-BE49-F238E27FC236}">
                <a16:creationId xmlns:a16="http://schemas.microsoft.com/office/drawing/2014/main" id="{9CD79052-5266-4A7C-BDAA-3DFB2468F76D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02" name="$E$105">
            <a:extLst>
              <a:ext uri="{FF2B5EF4-FFF2-40B4-BE49-F238E27FC236}">
                <a16:creationId xmlns:a16="http://schemas.microsoft.com/office/drawing/2014/main" id="{BC3873E2-46D6-409A-BB3A-A2E7135A350F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03" name="$E$105">
            <a:extLst>
              <a:ext uri="{FF2B5EF4-FFF2-40B4-BE49-F238E27FC236}">
                <a16:creationId xmlns:a16="http://schemas.microsoft.com/office/drawing/2014/main" id="{5DAB94AA-6AC0-41D9-9BFE-035D3D8DABBA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04" name="$E$105">
            <a:extLst>
              <a:ext uri="{FF2B5EF4-FFF2-40B4-BE49-F238E27FC236}">
                <a16:creationId xmlns:a16="http://schemas.microsoft.com/office/drawing/2014/main" id="{189276AB-64A6-477F-B2BA-68C94D7C9854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05" name="$E$105">
            <a:extLst>
              <a:ext uri="{FF2B5EF4-FFF2-40B4-BE49-F238E27FC236}">
                <a16:creationId xmlns:a16="http://schemas.microsoft.com/office/drawing/2014/main" id="{6832D1CE-D957-4AD3-93CA-569A7B97BC76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06" name="$E$105">
            <a:extLst>
              <a:ext uri="{FF2B5EF4-FFF2-40B4-BE49-F238E27FC236}">
                <a16:creationId xmlns:a16="http://schemas.microsoft.com/office/drawing/2014/main" id="{AB5C6A98-4847-45DC-8666-98141E9CDD7C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07" name="$E$105">
            <a:extLst>
              <a:ext uri="{FF2B5EF4-FFF2-40B4-BE49-F238E27FC236}">
                <a16:creationId xmlns:a16="http://schemas.microsoft.com/office/drawing/2014/main" id="{4F333C7E-AEE8-40C6-8EA3-515873D21947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08" name="$E$105">
            <a:extLst>
              <a:ext uri="{FF2B5EF4-FFF2-40B4-BE49-F238E27FC236}">
                <a16:creationId xmlns:a16="http://schemas.microsoft.com/office/drawing/2014/main" id="{E3020AA8-8683-4053-8876-58DBE108D913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09" name="$E$105">
            <a:extLst>
              <a:ext uri="{FF2B5EF4-FFF2-40B4-BE49-F238E27FC236}">
                <a16:creationId xmlns:a16="http://schemas.microsoft.com/office/drawing/2014/main" id="{F43F6969-9CD1-4878-A796-686128D6A0B9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10" name="$E$105">
            <a:extLst>
              <a:ext uri="{FF2B5EF4-FFF2-40B4-BE49-F238E27FC236}">
                <a16:creationId xmlns:a16="http://schemas.microsoft.com/office/drawing/2014/main" id="{D8ABCF07-366D-4C45-BA60-A4A8BD1B14FF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11" name="$E$105">
            <a:extLst>
              <a:ext uri="{FF2B5EF4-FFF2-40B4-BE49-F238E27FC236}">
                <a16:creationId xmlns:a16="http://schemas.microsoft.com/office/drawing/2014/main" id="{BDF75668-4A2E-492B-8027-4B701382CF51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12" name="$E$105">
            <a:extLst>
              <a:ext uri="{FF2B5EF4-FFF2-40B4-BE49-F238E27FC236}">
                <a16:creationId xmlns:a16="http://schemas.microsoft.com/office/drawing/2014/main" id="{66E42FF3-E4CB-477B-9AA7-78EE127B13A1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13" name="$E$105">
            <a:extLst>
              <a:ext uri="{FF2B5EF4-FFF2-40B4-BE49-F238E27FC236}">
                <a16:creationId xmlns:a16="http://schemas.microsoft.com/office/drawing/2014/main" id="{68C1BED2-57AD-4011-ACCE-C639BCE396A4}"/>
              </a:ext>
            </a:extLst>
          </xdr:cNvPr>
          <xdr:cNvSpPr/>
        </xdr:nvSpPr>
        <xdr:spPr>
          <a:xfrm>
            <a:off x="88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14" name="$E$105">
            <a:extLst>
              <a:ext uri="{FF2B5EF4-FFF2-40B4-BE49-F238E27FC236}">
                <a16:creationId xmlns:a16="http://schemas.microsoft.com/office/drawing/2014/main" id="{0E42DCC3-8929-466D-BEBE-43656B3A9B41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15" name="$E$105">
            <a:extLst>
              <a:ext uri="{FF2B5EF4-FFF2-40B4-BE49-F238E27FC236}">
                <a16:creationId xmlns:a16="http://schemas.microsoft.com/office/drawing/2014/main" id="{D39A868C-9EEF-405A-A660-73C540A30FFD}"/>
              </a:ext>
            </a:extLst>
          </xdr:cNvPr>
          <xdr:cNvSpPr/>
        </xdr:nvSpPr>
        <xdr:spPr>
          <a:xfrm>
            <a:off x="165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16" name="$E$105">
            <a:extLst>
              <a:ext uri="{FF2B5EF4-FFF2-40B4-BE49-F238E27FC236}">
                <a16:creationId xmlns:a16="http://schemas.microsoft.com/office/drawing/2014/main" id="{136C9075-5E30-4B2E-A716-E12CDCEE834F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17" name="$E$105">
            <a:extLst>
              <a:ext uri="{FF2B5EF4-FFF2-40B4-BE49-F238E27FC236}">
                <a16:creationId xmlns:a16="http://schemas.microsoft.com/office/drawing/2014/main" id="{315A9281-08F2-4429-B44D-805644697848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18" name="$E$105">
            <a:extLst>
              <a:ext uri="{FF2B5EF4-FFF2-40B4-BE49-F238E27FC236}">
                <a16:creationId xmlns:a16="http://schemas.microsoft.com/office/drawing/2014/main" id="{C49E6CCB-435E-4002-B044-DDD3432A3532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19" name="$E$105">
            <a:extLst>
              <a:ext uri="{FF2B5EF4-FFF2-40B4-BE49-F238E27FC236}">
                <a16:creationId xmlns:a16="http://schemas.microsoft.com/office/drawing/2014/main" id="{A86FCA06-44E1-4916-ACEA-22D59079DDE2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20" name="$E$105">
            <a:extLst>
              <a:ext uri="{FF2B5EF4-FFF2-40B4-BE49-F238E27FC236}">
                <a16:creationId xmlns:a16="http://schemas.microsoft.com/office/drawing/2014/main" id="{FE878388-36A3-47BD-B516-9A83C3066751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21" name="$E$105">
            <a:extLst>
              <a:ext uri="{FF2B5EF4-FFF2-40B4-BE49-F238E27FC236}">
                <a16:creationId xmlns:a16="http://schemas.microsoft.com/office/drawing/2014/main" id="{BB2A4579-C06A-4420-85FF-7EAD1C24A49A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22" name="$E$105">
            <a:extLst>
              <a:ext uri="{FF2B5EF4-FFF2-40B4-BE49-F238E27FC236}">
                <a16:creationId xmlns:a16="http://schemas.microsoft.com/office/drawing/2014/main" id="{808832FE-815C-4065-B2F7-7C83872A677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23" name="$E$105">
            <a:extLst>
              <a:ext uri="{FF2B5EF4-FFF2-40B4-BE49-F238E27FC236}">
                <a16:creationId xmlns:a16="http://schemas.microsoft.com/office/drawing/2014/main" id="{2DA5D5E1-963B-4929-ACC7-D22F94863EDE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24" name="$E$105">
            <a:extLst>
              <a:ext uri="{FF2B5EF4-FFF2-40B4-BE49-F238E27FC236}">
                <a16:creationId xmlns:a16="http://schemas.microsoft.com/office/drawing/2014/main" id="{F14899FC-E1D3-41ED-88DC-E377C2534536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25" name="$E$105">
            <a:extLst>
              <a:ext uri="{FF2B5EF4-FFF2-40B4-BE49-F238E27FC236}">
                <a16:creationId xmlns:a16="http://schemas.microsoft.com/office/drawing/2014/main" id="{6B7ED6C2-74F4-4FA1-B4F2-630546FC6452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26" name="$E$105">
            <a:extLst>
              <a:ext uri="{FF2B5EF4-FFF2-40B4-BE49-F238E27FC236}">
                <a16:creationId xmlns:a16="http://schemas.microsoft.com/office/drawing/2014/main" id="{02A3BA15-7512-4655-AFDE-3B66560EDCF8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27" name="$E$105">
            <a:extLst>
              <a:ext uri="{FF2B5EF4-FFF2-40B4-BE49-F238E27FC236}">
                <a16:creationId xmlns:a16="http://schemas.microsoft.com/office/drawing/2014/main" id="{15CCA227-E867-4291-A3FD-8D3AA63B77E8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28" name="$E$105">
            <a:extLst>
              <a:ext uri="{FF2B5EF4-FFF2-40B4-BE49-F238E27FC236}">
                <a16:creationId xmlns:a16="http://schemas.microsoft.com/office/drawing/2014/main" id="{B798F382-1353-4393-A977-A583742767AE}"/>
              </a:ext>
            </a:extLst>
          </xdr:cNvPr>
          <xdr:cNvSpPr/>
        </xdr:nvSpPr>
        <xdr:spPr>
          <a:xfrm>
            <a:off x="127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29" name="$E$105">
            <a:extLst>
              <a:ext uri="{FF2B5EF4-FFF2-40B4-BE49-F238E27FC236}">
                <a16:creationId xmlns:a16="http://schemas.microsoft.com/office/drawing/2014/main" id="{AD3EAD6D-3F28-4462-AB1E-7FA0A3560A53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30" name="$E$105">
            <a:extLst>
              <a:ext uri="{FF2B5EF4-FFF2-40B4-BE49-F238E27FC236}">
                <a16:creationId xmlns:a16="http://schemas.microsoft.com/office/drawing/2014/main" id="{F3945552-5FB3-4BC6-BA49-1ADF47B7781D}"/>
              </a:ext>
            </a:extLst>
          </xdr:cNvPr>
          <xdr:cNvSpPr/>
        </xdr:nvSpPr>
        <xdr:spPr>
          <a:xfrm>
            <a:off x="152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31" name="$E$105">
            <a:extLst>
              <a:ext uri="{FF2B5EF4-FFF2-40B4-BE49-F238E27FC236}">
                <a16:creationId xmlns:a16="http://schemas.microsoft.com/office/drawing/2014/main" id="{E9AC7631-FDC6-401E-ABA2-1364E4914200}"/>
              </a:ext>
            </a:extLst>
          </xdr:cNvPr>
          <xdr:cNvSpPr/>
        </xdr:nvSpPr>
        <xdr:spPr>
          <a:xfrm>
            <a:off x="177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32" name="$E$105">
            <a:extLst>
              <a:ext uri="{FF2B5EF4-FFF2-40B4-BE49-F238E27FC236}">
                <a16:creationId xmlns:a16="http://schemas.microsoft.com/office/drawing/2014/main" id="{DC35A574-2029-4E39-8817-C12CAC0DE5D1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33" name="$E$105">
            <a:extLst>
              <a:ext uri="{FF2B5EF4-FFF2-40B4-BE49-F238E27FC236}">
                <a16:creationId xmlns:a16="http://schemas.microsoft.com/office/drawing/2014/main" id="{B67F99A4-61D1-4C8C-A890-F57CBB47F6B8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34" name="$E$105">
            <a:extLst>
              <a:ext uri="{FF2B5EF4-FFF2-40B4-BE49-F238E27FC236}">
                <a16:creationId xmlns:a16="http://schemas.microsoft.com/office/drawing/2014/main" id="{D49E1DC3-3F72-4D33-A6E4-7F761C95745A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35" name="$E$105">
            <a:extLst>
              <a:ext uri="{FF2B5EF4-FFF2-40B4-BE49-F238E27FC236}">
                <a16:creationId xmlns:a16="http://schemas.microsoft.com/office/drawing/2014/main" id="{4C09AC2F-68F4-49F4-A980-5858C8C65608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36" name="$E$105">
            <a:extLst>
              <a:ext uri="{FF2B5EF4-FFF2-40B4-BE49-F238E27FC236}">
                <a16:creationId xmlns:a16="http://schemas.microsoft.com/office/drawing/2014/main" id="{3289811B-B2E9-4B1D-BF2E-A04D9E894D1A}"/>
              </a:ext>
            </a:extLst>
          </xdr:cNvPr>
          <xdr:cNvSpPr/>
        </xdr:nvSpPr>
        <xdr:spPr>
          <a:xfrm>
            <a:off x="3048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37" name="$E$105">
            <a:extLst>
              <a:ext uri="{FF2B5EF4-FFF2-40B4-BE49-F238E27FC236}">
                <a16:creationId xmlns:a16="http://schemas.microsoft.com/office/drawing/2014/main" id="{A6EA19CC-DAE8-409F-B840-C35BD2E693EA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38" name="$E$105">
            <a:extLst>
              <a:ext uri="{FF2B5EF4-FFF2-40B4-BE49-F238E27FC236}">
                <a16:creationId xmlns:a16="http://schemas.microsoft.com/office/drawing/2014/main" id="{50983239-24DF-4833-8A1E-7979B928DF97}"/>
              </a:ext>
            </a:extLst>
          </xdr:cNvPr>
          <xdr:cNvSpPr/>
        </xdr:nvSpPr>
        <xdr:spPr>
          <a:xfrm>
            <a:off x="3810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39" name="$E$105">
            <a:extLst>
              <a:ext uri="{FF2B5EF4-FFF2-40B4-BE49-F238E27FC236}">
                <a16:creationId xmlns:a16="http://schemas.microsoft.com/office/drawing/2014/main" id="{00411AF9-A313-41E4-B356-496D2BC4F068}"/>
              </a:ext>
            </a:extLst>
          </xdr:cNvPr>
          <xdr:cNvSpPr/>
        </xdr:nvSpPr>
        <xdr:spPr>
          <a:xfrm>
            <a:off x="406400" y="317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40" name="$E$105">
            <a:extLst>
              <a:ext uri="{FF2B5EF4-FFF2-40B4-BE49-F238E27FC236}">
                <a16:creationId xmlns:a16="http://schemas.microsoft.com/office/drawing/2014/main" id="{8612A59B-6EEC-49DF-8891-B6DDB4260EBB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41" name="$E$105">
            <a:extLst>
              <a:ext uri="{FF2B5EF4-FFF2-40B4-BE49-F238E27FC236}">
                <a16:creationId xmlns:a16="http://schemas.microsoft.com/office/drawing/2014/main" id="{66689547-F13D-404C-8E17-3F1ABD835ADE}"/>
              </a:ext>
            </a:extLst>
          </xdr:cNvPr>
          <xdr:cNvSpPr/>
        </xdr:nvSpPr>
        <xdr:spPr>
          <a:xfrm>
            <a:off x="12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42" name="$E$105">
            <a:extLst>
              <a:ext uri="{FF2B5EF4-FFF2-40B4-BE49-F238E27FC236}">
                <a16:creationId xmlns:a16="http://schemas.microsoft.com/office/drawing/2014/main" id="{560D6ABE-441D-4218-A854-3026FDC55B38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43" name="$E$105">
            <a:extLst>
              <a:ext uri="{FF2B5EF4-FFF2-40B4-BE49-F238E27FC236}">
                <a16:creationId xmlns:a16="http://schemas.microsoft.com/office/drawing/2014/main" id="{DEEBCDA2-CB6A-4313-B02B-784969D0E907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44" name="$E$105">
            <a:extLst>
              <a:ext uri="{FF2B5EF4-FFF2-40B4-BE49-F238E27FC236}">
                <a16:creationId xmlns:a16="http://schemas.microsoft.com/office/drawing/2014/main" id="{B5E816A8-2900-461D-9136-C14C3108CA65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45" name="$E$105">
            <a:extLst>
              <a:ext uri="{FF2B5EF4-FFF2-40B4-BE49-F238E27FC236}">
                <a16:creationId xmlns:a16="http://schemas.microsoft.com/office/drawing/2014/main" id="{BC751633-BC86-41DA-8C83-23DD74B9BB2B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46" name="$E$105">
            <a:extLst>
              <a:ext uri="{FF2B5EF4-FFF2-40B4-BE49-F238E27FC236}">
                <a16:creationId xmlns:a16="http://schemas.microsoft.com/office/drawing/2014/main" id="{EE58E9C1-4C58-4389-86A5-3C4DFE332115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47" name="$E$105">
            <a:extLst>
              <a:ext uri="{FF2B5EF4-FFF2-40B4-BE49-F238E27FC236}">
                <a16:creationId xmlns:a16="http://schemas.microsoft.com/office/drawing/2014/main" id="{7D177578-F13D-481D-BB6E-7AEE51E65448}"/>
              </a:ext>
            </a:extLst>
          </xdr:cNvPr>
          <xdr:cNvSpPr/>
        </xdr:nvSpPr>
        <xdr:spPr>
          <a:xfrm>
            <a:off x="101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48" name="$E$105">
            <a:extLst>
              <a:ext uri="{FF2B5EF4-FFF2-40B4-BE49-F238E27FC236}">
                <a16:creationId xmlns:a16="http://schemas.microsoft.com/office/drawing/2014/main" id="{5BD840CF-B8C6-4705-8A25-1B86EA0C933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49" name="$E$105">
            <a:extLst>
              <a:ext uri="{FF2B5EF4-FFF2-40B4-BE49-F238E27FC236}">
                <a16:creationId xmlns:a16="http://schemas.microsoft.com/office/drawing/2014/main" id="{19F14FB8-3D8F-4345-961D-8F2CA287D569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50" name="$E$105">
            <a:extLst>
              <a:ext uri="{FF2B5EF4-FFF2-40B4-BE49-F238E27FC236}">
                <a16:creationId xmlns:a16="http://schemas.microsoft.com/office/drawing/2014/main" id="{29A7F807-A392-4356-8F43-48EC91CBAA37}"/>
              </a:ext>
            </a:extLst>
          </xdr:cNvPr>
          <xdr:cNvSpPr/>
        </xdr:nvSpPr>
        <xdr:spPr>
          <a:xfrm>
            <a:off x="177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51" name="$E$105">
            <a:extLst>
              <a:ext uri="{FF2B5EF4-FFF2-40B4-BE49-F238E27FC236}">
                <a16:creationId xmlns:a16="http://schemas.microsoft.com/office/drawing/2014/main" id="{ABD84D4B-4F7B-4278-B0EC-088B13A14FBB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52" name="$E$105">
            <a:extLst>
              <a:ext uri="{FF2B5EF4-FFF2-40B4-BE49-F238E27FC236}">
                <a16:creationId xmlns:a16="http://schemas.microsoft.com/office/drawing/2014/main" id="{05F78087-DFA2-4708-90DA-26B02427344D}"/>
              </a:ext>
            </a:extLst>
          </xdr:cNvPr>
          <xdr:cNvSpPr/>
        </xdr:nvSpPr>
        <xdr:spPr>
          <a:xfrm>
            <a:off x="203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53" name="$E$105">
            <a:extLst>
              <a:ext uri="{FF2B5EF4-FFF2-40B4-BE49-F238E27FC236}">
                <a16:creationId xmlns:a16="http://schemas.microsoft.com/office/drawing/2014/main" id="{CC6297A3-1222-47B4-AA22-A5C767C8996B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54" name="$E$105">
            <a:extLst>
              <a:ext uri="{FF2B5EF4-FFF2-40B4-BE49-F238E27FC236}">
                <a16:creationId xmlns:a16="http://schemas.microsoft.com/office/drawing/2014/main" id="{98332CFB-2DCF-47BF-BED6-ABF34BDBEF81}"/>
              </a:ext>
            </a:extLst>
          </xdr:cNvPr>
          <xdr:cNvSpPr/>
        </xdr:nvSpPr>
        <xdr:spPr>
          <a:xfrm>
            <a:off x="228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55" name="$E$105">
            <a:extLst>
              <a:ext uri="{FF2B5EF4-FFF2-40B4-BE49-F238E27FC236}">
                <a16:creationId xmlns:a16="http://schemas.microsoft.com/office/drawing/2014/main" id="{85FDDCCD-BA8A-48D9-9F46-44D1CDD0F5E4}"/>
              </a:ext>
            </a:extLst>
          </xdr:cNvPr>
          <xdr:cNvSpPr/>
        </xdr:nvSpPr>
        <xdr:spPr>
          <a:xfrm>
            <a:off x="2540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56" name="$E$105">
            <a:extLst>
              <a:ext uri="{FF2B5EF4-FFF2-40B4-BE49-F238E27FC236}">
                <a16:creationId xmlns:a16="http://schemas.microsoft.com/office/drawing/2014/main" id="{583A34CB-A202-4811-8CAC-AD4DE664699F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57" name="$E$105">
            <a:extLst>
              <a:ext uri="{FF2B5EF4-FFF2-40B4-BE49-F238E27FC236}">
                <a16:creationId xmlns:a16="http://schemas.microsoft.com/office/drawing/2014/main" id="{8E921BBA-9CC8-45BC-8AEC-4DE3347FA9DB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58" name="$E$105">
            <a:extLst>
              <a:ext uri="{FF2B5EF4-FFF2-40B4-BE49-F238E27FC236}">
                <a16:creationId xmlns:a16="http://schemas.microsoft.com/office/drawing/2014/main" id="{92A93578-338B-4FAD-A537-251476823828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59" name="$E$105">
            <a:extLst>
              <a:ext uri="{FF2B5EF4-FFF2-40B4-BE49-F238E27FC236}">
                <a16:creationId xmlns:a16="http://schemas.microsoft.com/office/drawing/2014/main" id="{6BFDB71B-06F4-46FB-B926-00D01EFFED86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60" name="$E$105">
            <a:extLst>
              <a:ext uri="{FF2B5EF4-FFF2-40B4-BE49-F238E27FC236}">
                <a16:creationId xmlns:a16="http://schemas.microsoft.com/office/drawing/2014/main" id="{7D097F7E-4623-49F2-9028-8D54219AA8C3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61" name="$E$105">
            <a:extLst>
              <a:ext uri="{FF2B5EF4-FFF2-40B4-BE49-F238E27FC236}">
                <a16:creationId xmlns:a16="http://schemas.microsoft.com/office/drawing/2014/main" id="{A9590168-BA6E-4CB6-9FAA-0875955F1565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62" name="$E$105">
            <a:extLst>
              <a:ext uri="{FF2B5EF4-FFF2-40B4-BE49-F238E27FC236}">
                <a16:creationId xmlns:a16="http://schemas.microsoft.com/office/drawing/2014/main" id="{B5559E96-DE5A-4995-A539-942F2C8CF218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63" name="$E$105">
            <a:extLst>
              <a:ext uri="{FF2B5EF4-FFF2-40B4-BE49-F238E27FC236}">
                <a16:creationId xmlns:a16="http://schemas.microsoft.com/office/drawing/2014/main" id="{27F658C6-897B-4AA7-8B92-3B1E81500FE8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64" name="$E$105">
            <a:extLst>
              <a:ext uri="{FF2B5EF4-FFF2-40B4-BE49-F238E27FC236}">
                <a16:creationId xmlns:a16="http://schemas.microsoft.com/office/drawing/2014/main" id="{6277F5C0-1CA3-45B8-818E-C860F50F0803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65" name="$E$105">
            <a:extLst>
              <a:ext uri="{FF2B5EF4-FFF2-40B4-BE49-F238E27FC236}">
                <a16:creationId xmlns:a16="http://schemas.microsoft.com/office/drawing/2014/main" id="{74AE4F6B-730E-4DE3-90D3-42406DF4A0B7}"/>
              </a:ext>
            </a:extLst>
          </xdr:cNvPr>
          <xdr:cNvSpPr/>
        </xdr:nvSpPr>
        <xdr:spPr>
          <a:xfrm>
            <a:off x="139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66" name="$E$105">
            <a:extLst>
              <a:ext uri="{FF2B5EF4-FFF2-40B4-BE49-F238E27FC236}">
                <a16:creationId xmlns:a16="http://schemas.microsoft.com/office/drawing/2014/main" id="{34A66C14-AC23-4F93-B495-9953785FA93E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67" name="$E$105">
            <a:extLst>
              <a:ext uri="{FF2B5EF4-FFF2-40B4-BE49-F238E27FC236}">
                <a16:creationId xmlns:a16="http://schemas.microsoft.com/office/drawing/2014/main" id="{68F42837-CE33-4633-A6E2-AEE1C74C8DE7}"/>
              </a:ext>
            </a:extLst>
          </xdr:cNvPr>
          <xdr:cNvSpPr/>
        </xdr:nvSpPr>
        <xdr:spPr>
          <a:xfrm>
            <a:off x="2032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68" name="$E$105">
            <a:extLst>
              <a:ext uri="{FF2B5EF4-FFF2-40B4-BE49-F238E27FC236}">
                <a16:creationId xmlns:a16="http://schemas.microsoft.com/office/drawing/2014/main" id="{8826692C-B3F0-4032-9B00-E305987B8FD3}"/>
              </a:ext>
            </a:extLst>
          </xdr:cNvPr>
          <xdr:cNvSpPr/>
        </xdr:nvSpPr>
        <xdr:spPr>
          <a:xfrm>
            <a:off x="241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69" name="$E$105">
            <a:extLst>
              <a:ext uri="{FF2B5EF4-FFF2-40B4-BE49-F238E27FC236}">
                <a16:creationId xmlns:a16="http://schemas.microsoft.com/office/drawing/2014/main" id="{B2122C37-146C-47E5-9159-5E89EE60F4BF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70" name="$E$105">
            <a:extLst>
              <a:ext uri="{FF2B5EF4-FFF2-40B4-BE49-F238E27FC236}">
                <a16:creationId xmlns:a16="http://schemas.microsoft.com/office/drawing/2014/main" id="{7CC96EB7-A501-4012-A8A6-044527EDC9A7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71" name="$E$105">
            <a:extLst>
              <a:ext uri="{FF2B5EF4-FFF2-40B4-BE49-F238E27FC236}">
                <a16:creationId xmlns:a16="http://schemas.microsoft.com/office/drawing/2014/main" id="{7633F364-8EEB-4904-8291-BC331D982946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72" name="$E$105">
            <a:extLst>
              <a:ext uri="{FF2B5EF4-FFF2-40B4-BE49-F238E27FC236}">
                <a16:creationId xmlns:a16="http://schemas.microsoft.com/office/drawing/2014/main" id="{FCF0FFC6-4473-475E-B3F2-F7C366333AAD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73" name="$E$105">
            <a:extLst>
              <a:ext uri="{FF2B5EF4-FFF2-40B4-BE49-F238E27FC236}">
                <a16:creationId xmlns:a16="http://schemas.microsoft.com/office/drawing/2014/main" id="{B585807B-BD96-44EF-B77C-AC74264DC8A4}"/>
              </a:ext>
            </a:extLst>
          </xdr:cNvPr>
          <xdr:cNvSpPr/>
        </xdr:nvSpPr>
        <xdr:spPr>
          <a:xfrm>
            <a:off x="3556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74" name="$E$105">
            <a:extLst>
              <a:ext uri="{FF2B5EF4-FFF2-40B4-BE49-F238E27FC236}">
                <a16:creationId xmlns:a16="http://schemas.microsoft.com/office/drawing/2014/main" id="{C614F05A-29B0-452B-8153-BC5CE9BF3A36}"/>
              </a:ext>
            </a:extLst>
          </xdr:cNvPr>
          <xdr:cNvSpPr/>
        </xdr:nvSpPr>
        <xdr:spPr>
          <a:xfrm>
            <a:off x="3683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75" name="$E$105">
            <a:extLst>
              <a:ext uri="{FF2B5EF4-FFF2-40B4-BE49-F238E27FC236}">
                <a16:creationId xmlns:a16="http://schemas.microsoft.com/office/drawing/2014/main" id="{4FF7C193-E50A-444C-9C22-BA277123AFCD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76" name="$E$105">
            <a:extLst>
              <a:ext uri="{FF2B5EF4-FFF2-40B4-BE49-F238E27FC236}">
                <a16:creationId xmlns:a16="http://schemas.microsoft.com/office/drawing/2014/main" id="{AD0A8D90-8CB0-4BD8-8B46-9D36BB0A881D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77" name="$E$105">
            <a:extLst>
              <a:ext uri="{FF2B5EF4-FFF2-40B4-BE49-F238E27FC236}">
                <a16:creationId xmlns:a16="http://schemas.microsoft.com/office/drawing/2014/main" id="{80BAFDBB-AA0F-4ED9-8263-B418AB77746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78" name="$E$105">
            <a:extLst>
              <a:ext uri="{FF2B5EF4-FFF2-40B4-BE49-F238E27FC236}">
                <a16:creationId xmlns:a16="http://schemas.microsoft.com/office/drawing/2014/main" id="{C5DEDB38-B983-4F2C-A1F6-D37A6AF0FA8F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79" name="$E$105">
            <a:extLst>
              <a:ext uri="{FF2B5EF4-FFF2-40B4-BE49-F238E27FC236}">
                <a16:creationId xmlns:a16="http://schemas.microsoft.com/office/drawing/2014/main" id="{5160913D-6646-4C69-89E7-C4FF505997A8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80" name="$E$105">
            <a:extLst>
              <a:ext uri="{FF2B5EF4-FFF2-40B4-BE49-F238E27FC236}">
                <a16:creationId xmlns:a16="http://schemas.microsoft.com/office/drawing/2014/main" id="{BCE6A95A-B6B8-4EA4-A24C-D0ECB657AF7D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81" name="$E$105">
            <a:extLst>
              <a:ext uri="{FF2B5EF4-FFF2-40B4-BE49-F238E27FC236}">
                <a16:creationId xmlns:a16="http://schemas.microsoft.com/office/drawing/2014/main" id="{4B3E494D-E5CB-475F-8DE9-52711BCDA73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82" name="$E$105">
            <a:extLst>
              <a:ext uri="{FF2B5EF4-FFF2-40B4-BE49-F238E27FC236}">
                <a16:creationId xmlns:a16="http://schemas.microsoft.com/office/drawing/2014/main" id="{202058C8-6DDD-492C-9539-30A48AF7482B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83" name="$E$105">
            <a:extLst>
              <a:ext uri="{FF2B5EF4-FFF2-40B4-BE49-F238E27FC236}">
                <a16:creationId xmlns:a16="http://schemas.microsoft.com/office/drawing/2014/main" id="{4F3C4C64-1D38-47A5-BC29-A5A9517DE54A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84" name="$E$105">
            <a:extLst>
              <a:ext uri="{FF2B5EF4-FFF2-40B4-BE49-F238E27FC236}">
                <a16:creationId xmlns:a16="http://schemas.microsoft.com/office/drawing/2014/main" id="{7AD8CD45-A26C-4C26-BFE8-F2611A5ADC2B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85" name="$E$105">
            <a:extLst>
              <a:ext uri="{FF2B5EF4-FFF2-40B4-BE49-F238E27FC236}">
                <a16:creationId xmlns:a16="http://schemas.microsoft.com/office/drawing/2014/main" id="{7B90B4C7-B1E5-4934-A58A-3E53AECB6226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86" name="$E$105">
            <a:extLst>
              <a:ext uri="{FF2B5EF4-FFF2-40B4-BE49-F238E27FC236}">
                <a16:creationId xmlns:a16="http://schemas.microsoft.com/office/drawing/2014/main" id="{76CF7DCC-2099-4643-A209-ED94F0E8AE39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87" name="$E$105">
            <a:extLst>
              <a:ext uri="{FF2B5EF4-FFF2-40B4-BE49-F238E27FC236}">
                <a16:creationId xmlns:a16="http://schemas.microsoft.com/office/drawing/2014/main" id="{795C9CA9-3954-43D5-8573-45B673CF471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88" name="$E$105">
            <a:extLst>
              <a:ext uri="{FF2B5EF4-FFF2-40B4-BE49-F238E27FC236}">
                <a16:creationId xmlns:a16="http://schemas.microsoft.com/office/drawing/2014/main" id="{CE4BBDA7-54A8-4499-9544-8A2792FF82B1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89" name="$E$105">
            <a:extLst>
              <a:ext uri="{FF2B5EF4-FFF2-40B4-BE49-F238E27FC236}">
                <a16:creationId xmlns:a16="http://schemas.microsoft.com/office/drawing/2014/main" id="{F0BCB019-976B-4685-9EF4-C1A347528E3A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90" name="$E$105">
            <a:extLst>
              <a:ext uri="{FF2B5EF4-FFF2-40B4-BE49-F238E27FC236}">
                <a16:creationId xmlns:a16="http://schemas.microsoft.com/office/drawing/2014/main" id="{C729F399-0454-4B68-82D6-C5BC506BA401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91" name="$E$105">
            <a:extLst>
              <a:ext uri="{FF2B5EF4-FFF2-40B4-BE49-F238E27FC236}">
                <a16:creationId xmlns:a16="http://schemas.microsoft.com/office/drawing/2014/main" id="{68F92AE0-2155-406C-BF53-D3E94595BC27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92" name="$E$105">
            <a:extLst>
              <a:ext uri="{FF2B5EF4-FFF2-40B4-BE49-F238E27FC236}">
                <a16:creationId xmlns:a16="http://schemas.microsoft.com/office/drawing/2014/main" id="{32B34722-B2F8-4896-9AA7-57DFB1677741}"/>
              </a:ext>
            </a:extLst>
          </xdr:cNvPr>
          <xdr:cNvSpPr/>
        </xdr:nvSpPr>
        <xdr:spPr>
          <a:xfrm>
            <a:off x="406400" y="355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93" name="$E$105">
            <a:extLst>
              <a:ext uri="{FF2B5EF4-FFF2-40B4-BE49-F238E27FC236}">
                <a16:creationId xmlns:a16="http://schemas.microsoft.com/office/drawing/2014/main" id="{59D071C6-BFB2-4770-8868-42DC141E8AF9}"/>
              </a:ext>
            </a:extLst>
          </xdr:cNvPr>
          <xdr:cNvSpPr/>
        </xdr:nvSpPr>
        <xdr:spPr>
          <a:xfrm>
            <a:off x="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94" name="$E$105">
            <a:extLst>
              <a:ext uri="{FF2B5EF4-FFF2-40B4-BE49-F238E27FC236}">
                <a16:creationId xmlns:a16="http://schemas.microsoft.com/office/drawing/2014/main" id="{EAA29549-700F-4BBF-B8FB-CCF1ABEA8BF5}"/>
              </a:ext>
            </a:extLst>
          </xdr:cNvPr>
          <xdr:cNvSpPr/>
        </xdr:nvSpPr>
        <xdr:spPr>
          <a:xfrm>
            <a:off x="25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95" name="$E$105">
            <a:extLst>
              <a:ext uri="{FF2B5EF4-FFF2-40B4-BE49-F238E27FC236}">
                <a16:creationId xmlns:a16="http://schemas.microsoft.com/office/drawing/2014/main" id="{A75E736E-B35E-448E-B2DE-79BEE36CDA97}"/>
              </a:ext>
            </a:extLst>
          </xdr:cNvPr>
          <xdr:cNvSpPr/>
        </xdr:nvSpPr>
        <xdr:spPr>
          <a:xfrm>
            <a:off x="38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96" name="$E$105">
            <a:extLst>
              <a:ext uri="{FF2B5EF4-FFF2-40B4-BE49-F238E27FC236}">
                <a16:creationId xmlns:a16="http://schemas.microsoft.com/office/drawing/2014/main" id="{08C1755C-23B9-4FDE-985F-ABB21AC7DA7B}"/>
              </a:ext>
            </a:extLst>
          </xdr:cNvPr>
          <xdr:cNvSpPr/>
        </xdr:nvSpPr>
        <xdr:spPr>
          <a:xfrm>
            <a:off x="50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97" name="$E$105">
            <a:extLst>
              <a:ext uri="{FF2B5EF4-FFF2-40B4-BE49-F238E27FC236}">
                <a16:creationId xmlns:a16="http://schemas.microsoft.com/office/drawing/2014/main" id="{F6637216-C120-4C65-8808-33CA83275501}"/>
              </a:ext>
            </a:extLst>
          </xdr:cNvPr>
          <xdr:cNvSpPr/>
        </xdr:nvSpPr>
        <xdr:spPr>
          <a:xfrm>
            <a:off x="76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98" name="$E$105">
            <a:extLst>
              <a:ext uri="{FF2B5EF4-FFF2-40B4-BE49-F238E27FC236}">
                <a16:creationId xmlns:a16="http://schemas.microsoft.com/office/drawing/2014/main" id="{B679A3C6-FAB4-4549-AF72-8C9960350010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199" name="$E$105">
            <a:extLst>
              <a:ext uri="{FF2B5EF4-FFF2-40B4-BE49-F238E27FC236}">
                <a16:creationId xmlns:a16="http://schemas.microsoft.com/office/drawing/2014/main" id="{2ED8D8FA-9FDC-47CF-9901-744CB394062D}"/>
              </a:ext>
            </a:extLst>
          </xdr:cNvPr>
          <xdr:cNvSpPr/>
        </xdr:nvSpPr>
        <xdr:spPr>
          <a:xfrm>
            <a:off x="127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00" name="$E$105">
            <a:extLst>
              <a:ext uri="{FF2B5EF4-FFF2-40B4-BE49-F238E27FC236}">
                <a16:creationId xmlns:a16="http://schemas.microsoft.com/office/drawing/2014/main" id="{74597251-80AD-4CD0-B228-3DC58812752C}"/>
              </a:ext>
            </a:extLst>
          </xdr:cNvPr>
          <xdr:cNvSpPr/>
        </xdr:nvSpPr>
        <xdr:spPr>
          <a:xfrm>
            <a:off x="1397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01" name="$E$105">
            <a:extLst>
              <a:ext uri="{FF2B5EF4-FFF2-40B4-BE49-F238E27FC236}">
                <a16:creationId xmlns:a16="http://schemas.microsoft.com/office/drawing/2014/main" id="{EA688DFB-0666-4E5B-9B30-18F89630DFC4}"/>
              </a:ext>
            </a:extLst>
          </xdr:cNvPr>
          <xdr:cNvSpPr/>
        </xdr:nvSpPr>
        <xdr:spPr>
          <a:xfrm>
            <a:off x="1524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02" name="$E$105">
            <a:extLst>
              <a:ext uri="{FF2B5EF4-FFF2-40B4-BE49-F238E27FC236}">
                <a16:creationId xmlns:a16="http://schemas.microsoft.com/office/drawing/2014/main" id="{EFAE0FD6-FB93-4A42-BF79-1A48422A8E40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03" name="$E$105">
            <a:extLst>
              <a:ext uri="{FF2B5EF4-FFF2-40B4-BE49-F238E27FC236}">
                <a16:creationId xmlns:a16="http://schemas.microsoft.com/office/drawing/2014/main" id="{12812295-823F-4F5D-A40E-E9FF12F39F71}"/>
              </a:ext>
            </a:extLst>
          </xdr:cNvPr>
          <xdr:cNvSpPr/>
        </xdr:nvSpPr>
        <xdr:spPr>
          <a:xfrm>
            <a:off x="1778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04" name="$E$105">
            <a:extLst>
              <a:ext uri="{FF2B5EF4-FFF2-40B4-BE49-F238E27FC236}">
                <a16:creationId xmlns:a16="http://schemas.microsoft.com/office/drawing/2014/main" id="{A5C21AE3-2045-4BD1-9488-E52744DD5409}"/>
              </a:ext>
            </a:extLst>
          </xdr:cNvPr>
          <xdr:cNvSpPr/>
        </xdr:nvSpPr>
        <xdr:spPr>
          <a:xfrm>
            <a:off x="2032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05" name="$E$105">
            <a:extLst>
              <a:ext uri="{FF2B5EF4-FFF2-40B4-BE49-F238E27FC236}">
                <a16:creationId xmlns:a16="http://schemas.microsoft.com/office/drawing/2014/main" id="{4E28E360-CF50-4286-8100-245D0AF31FB7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06" name="$E$105">
            <a:extLst>
              <a:ext uri="{FF2B5EF4-FFF2-40B4-BE49-F238E27FC236}">
                <a16:creationId xmlns:a16="http://schemas.microsoft.com/office/drawing/2014/main" id="{C2A7D1F9-09E5-48CC-A239-D2FE5C984B49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07" name="$E$105">
            <a:extLst>
              <a:ext uri="{FF2B5EF4-FFF2-40B4-BE49-F238E27FC236}">
                <a16:creationId xmlns:a16="http://schemas.microsoft.com/office/drawing/2014/main" id="{6140FC14-171A-4D49-A2C0-55AFBF58F145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08" name="$E$105">
            <a:extLst>
              <a:ext uri="{FF2B5EF4-FFF2-40B4-BE49-F238E27FC236}">
                <a16:creationId xmlns:a16="http://schemas.microsoft.com/office/drawing/2014/main" id="{D5F68A45-3006-44AB-A658-542EB5C3D361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09" name="$E$105">
            <a:extLst>
              <a:ext uri="{FF2B5EF4-FFF2-40B4-BE49-F238E27FC236}">
                <a16:creationId xmlns:a16="http://schemas.microsoft.com/office/drawing/2014/main" id="{5E37358D-1E00-4CA3-B46C-4545C6659581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10" name="$E$105">
            <a:extLst>
              <a:ext uri="{FF2B5EF4-FFF2-40B4-BE49-F238E27FC236}">
                <a16:creationId xmlns:a16="http://schemas.microsoft.com/office/drawing/2014/main" id="{781A2178-899E-48C8-A58A-01FBA97A9CED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11" name="$E$105">
            <a:extLst>
              <a:ext uri="{FF2B5EF4-FFF2-40B4-BE49-F238E27FC236}">
                <a16:creationId xmlns:a16="http://schemas.microsoft.com/office/drawing/2014/main" id="{CE50F86F-FB9F-4212-8401-C537698168B7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12" name="$E$105">
            <a:extLst>
              <a:ext uri="{FF2B5EF4-FFF2-40B4-BE49-F238E27FC236}">
                <a16:creationId xmlns:a16="http://schemas.microsoft.com/office/drawing/2014/main" id="{4A2AF61A-6DE2-4A28-8246-E548566CA84A}"/>
              </a:ext>
            </a:extLst>
          </xdr:cNvPr>
          <xdr:cNvSpPr/>
        </xdr:nvSpPr>
        <xdr:spPr>
          <a:xfrm>
            <a:off x="3683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13" name="$E$105">
            <a:extLst>
              <a:ext uri="{FF2B5EF4-FFF2-40B4-BE49-F238E27FC236}">
                <a16:creationId xmlns:a16="http://schemas.microsoft.com/office/drawing/2014/main" id="{7C8CB6B8-F5C9-47FC-BEBB-E406D4589A09}"/>
              </a:ext>
            </a:extLst>
          </xdr:cNvPr>
          <xdr:cNvSpPr/>
        </xdr:nvSpPr>
        <xdr:spPr>
          <a:xfrm>
            <a:off x="381000" y="368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14" name="$E$105">
            <a:extLst>
              <a:ext uri="{FF2B5EF4-FFF2-40B4-BE49-F238E27FC236}">
                <a16:creationId xmlns:a16="http://schemas.microsoft.com/office/drawing/2014/main" id="{DAD138B7-F500-44BD-B7DE-3484B05D2CCF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15" name="$E$105">
            <a:extLst>
              <a:ext uri="{FF2B5EF4-FFF2-40B4-BE49-F238E27FC236}">
                <a16:creationId xmlns:a16="http://schemas.microsoft.com/office/drawing/2014/main" id="{E6D06031-CEBF-4042-AE85-809FDC525C16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16" name="$E$105">
            <a:extLst>
              <a:ext uri="{FF2B5EF4-FFF2-40B4-BE49-F238E27FC236}">
                <a16:creationId xmlns:a16="http://schemas.microsoft.com/office/drawing/2014/main" id="{57A34298-4D5A-475A-8726-49B2767368D7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17" name="$E$105">
            <a:extLst>
              <a:ext uri="{FF2B5EF4-FFF2-40B4-BE49-F238E27FC236}">
                <a16:creationId xmlns:a16="http://schemas.microsoft.com/office/drawing/2014/main" id="{6606D899-90F8-4B0C-9CBF-EB2B79615CA4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18" name="$E$105">
            <a:extLst>
              <a:ext uri="{FF2B5EF4-FFF2-40B4-BE49-F238E27FC236}">
                <a16:creationId xmlns:a16="http://schemas.microsoft.com/office/drawing/2014/main" id="{890F70C8-CE36-41FB-A5F2-56D89618759C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19" name="$E$105">
            <a:extLst>
              <a:ext uri="{FF2B5EF4-FFF2-40B4-BE49-F238E27FC236}">
                <a16:creationId xmlns:a16="http://schemas.microsoft.com/office/drawing/2014/main" id="{5451B440-CD73-404A-9883-F1BEA5A17942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20" name="$E$105">
            <a:extLst>
              <a:ext uri="{FF2B5EF4-FFF2-40B4-BE49-F238E27FC236}">
                <a16:creationId xmlns:a16="http://schemas.microsoft.com/office/drawing/2014/main" id="{D8E58A98-63CE-42A9-AF5E-4A0E990EE826}"/>
              </a:ext>
            </a:extLst>
          </xdr:cNvPr>
          <xdr:cNvSpPr/>
        </xdr:nvSpPr>
        <xdr:spPr>
          <a:xfrm>
            <a:off x="114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21" name="$E$105">
            <a:extLst>
              <a:ext uri="{FF2B5EF4-FFF2-40B4-BE49-F238E27FC236}">
                <a16:creationId xmlns:a16="http://schemas.microsoft.com/office/drawing/2014/main" id="{FB7EF5C1-EE6D-4C40-B35F-34A0C1CCBFF3}"/>
              </a:ext>
            </a:extLst>
          </xdr:cNvPr>
          <xdr:cNvSpPr/>
        </xdr:nvSpPr>
        <xdr:spPr>
          <a:xfrm>
            <a:off x="127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22" name="$E$105">
            <a:extLst>
              <a:ext uri="{FF2B5EF4-FFF2-40B4-BE49-F238E27FC236}">
                <a16:creationId xmlns:a16="http://schemas.microsoft.com/office/drawing/2014/main" id="{47CDB28E-15C1-471C-9318-B7804C57DB75}"/>
              </a:ext>
            </a:extLst>
          </xdr:cNvPr>
          <xdr:cNvSpPr/>
        </xdr:nvSpPr>
        <xdr:spPr>
          <a:xfrm>
            <a:off x="152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23" name="$E$105">
            <a:extLst>
              <a:ext uri="{FF2B5EF4-FFF2-40B4-BE49-F238E27FC236}">
                <a16:creationId xmlns:a16="http://schemas.microsoft.com/office/drawing/2014/main" id="{428B0EDD-9C64-4F21-905E-5FED92B040EC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24" name="$E$105">
            <a:extLst>
              <a:ext uri="{FF2B5EF4-FFF2-40B4-BE49-F238E27FC236}">
                <a16:creationId xmlns:a16="http://schemas.microsoft.com/office/drawing/2014/main" id="{322147C5-540E-45DD-823B-182B95FE0BCC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25" name="$E$105">
            <a:extLst>
              <a:ext uri="{FF2B5EF4-FFF2-40B4-BE49-F238E27FC236}">
                <a16:creationId xmlns:a16="http://schemas.microsoft.com/office/drawing/2014/main" id="{7729F633-CE78-47A8-8435-0B3875A659E5}"/>
              </a:ext>
            </a:extLst>
          </xdr:cNvPr>
          <xdr:cNvSpPr/>
        </xdr:nvSpPr>
        <xdr:spPr>
          <a:xfrm>
            <a:off x="2286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26" name="$E$105">
            <a:extLst>
              <a:ext uri="{FF2B5EF4-FFF2-40B4-BE49-F238E27FC236}">
                <a16:creationId xmlns:a16="http://schemas.microsoft.com/office/drawing/2014/main" id="{5A199A7D-4979-489B-A85E-A922116A0599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27" name="$E$105">
            <a:extLst>
              <a:ext uri="{FF2B5EF4-FFF2-40B4-BE49-F238E27FC236}">
                <a16:creationId xmlns:a16="http://schemas.microsoft.com/office/drawing/2014/main" id="{A8B89D46-3D7F-4E97-BBE9-FCD8BB6B77C7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28" name="$E$105">
            <a:extLst>
              <a:ext uri="{FF2B5EF4-FFF2-40B4-BE49-F238E27FC236}">
                <a16:creationId xmlns:a16="http://schemas.microsoft.com/office/drawing/2014/main" id="{4886B505-1288-4922-A408-A8072E985AEF}"/>
              </a:ext>
            </a:extLst>
          </xdr:cNvPr>
          <xdr:cNvSpPr/>
        </xdr:nvSpPr>
        <xdr:spPr>
          <a:xfrm>
            <a:off x="3048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29" name="$E$105">
            <a:extLst>
              <a:ext uri="{FF2B5EF4-FFF2-40B4-BE49-F238E27FC236}">
                <a16:creationId xmlns:a16="http://schemas.microsoft.com/office/drawing/2014/main" id="{0C8E383C-B52B-4D63-B192-D8700CAF827F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30" name="$E$105">
            <a:extLst>
              <a:ext uri="{FF2B5EF4-FFF2-40B4-BE49-F238E27FC236}">
                <a16:creationId xmlns:a16="http://schemas.microsoft.com/office/drawing/2014/main" id="{353EEBDA-CB8F-47E0-91CB-1127043190A7}"/>
              </a:ext>
            </a:extLst>
          </xdr:cNvPr>
          <xdr:cNvSpPr/>
        </xdr:nvSpPr>
        <xdr:spPr>
          <a:xfrm>
            <a:off x="3683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31" name="$E$105">
            <a:extLst>
              <a:ext uri="{FF2B5EF4-FFF2-40B4-BE49-F238E27FC236}">
                <a16:creationId xmlns:a16="http://schemas.microsoft.com/office/drawing/2014/main" id="{89B04ACD-6294-4EAD-9347-AA9C890E3D44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32" name="$E$105">
            <a:extLst>
              <a:ext uri="{FF2B5EF4-FFF2-40B4-BE49-F238E27FC236}">
                <a16:creationId xmlns:a16="http://schemas.microsoft.com/office/drawing/2014/main" id="{5694ACB6-AE71-45EF-B8BE-990288AEFE38}"/>
              </a:ext>
            </a:extLst>
          </xdr:cNvPr>
          <xdr:cNvSpPr/>
        </xdr:nvSpPr>
        <xdr:spPr>
          <a:xfrm>
            <a:off x="393700" y="381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33" name="$E$105">
            <a:extLst>
              <a:ext uri="{FF2B5EF4-FFF2-40B4-BE49-F238E27FC236}">
                <a16:creationId xmlns:a16="http://schemas.microsoft.com/office/drawing/2014/main" id="{823E507D-9693-4889-9A81-D65AEC6292A3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34" name="$E$105">
            <a:extLst>
              <a:ext uri="{FF2B5EF4-FFF2-40B4-BE49-F238E27FC236}">
                <a16:creationId xmlns:a16="http://schemas.microsoft.com/office/drawing/2014/main" id="{46C6585E-80DB-4DC4-A515-BD1C1DF925DF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35" name="$E$105">
            <a:extLst>
              <a:ext uri="{FF2B5EF4-FFF2-40B4-BE49-F238E27FC236}">
                <a16:creationId xmlns:a16="http://schemas.microsoft.com/office/drawing/2014/main" id="{F991CAA4-744B-46B5-B6A5-A3CD3DA88F16}"/>
              </a:ext>
            </a:extLst>
          </xdr:cNvPr>
          <xdr:cNvSpPr/>
        </xdr:nvSpPr>
        <xdr:spPr>
          <a:xfrm>
            <a:off x="101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36" name="$E$105">
            <a:extLst>
              <a:ext uri="{FF2B5EF4-FFF2-40B4-BE49-F238E27FC236}">
                <a16:creationId xmlns:a16="http://schemas.microsoft.com/office/drawing/2014/main" id="{68BF6862-BA1F-4CCA-945D-844AF7EDDF3C}"/>
              </a:ext>
            </a:extLst>
          </xdr:cNvPr>
          <xdr:cNvSpPr/>
        </xdr:nvSpPr>
        <xdr:spPr>
          <a:xfrm>
            <a:off x="1524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37" name="$E$105">
            <a:extLst>
              <a:ext uri="{FF2B5EF4-FFF2-40B4-BE49-F238E27FC236}">
                <a16:creationId xmlns:a16="http://schemas.microsoft.com/office/drawing/2014/main" id="{A1E91FEE-5F83-4955-B684-C7BF10C12574}"/>
              </a:ext>
            </a:extLst>
          </xdr:cNvPr>
          <xdr:cNvSpPr/>
        </xdr:nvSpPr>
        <xdr:spPr>
          <a:xfrm>
            <a:off x="1778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38" name="$E$105">
            <a:extLst>
              <a:ext uri="{FF2B5EF4-FFF2-40B4-BE49-F238E27FC236}">
                <a16:creationId xmlns:a16="http://schemas.microsoft.com/office/drawing/2014/main" id="{259FF7DA-0862-4945-A1E2-3A69C080675D}"/>
              </a:ext>
            </a:extLst>
          </xdr:cNvPr>
          <xdr:cNvSpPr/>
        </xdr:nvSpPr>
        <xdr:spPr>
          <a:xfrm>
            <a:off x="241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39" name="$E$105">
            <a:extLst>
              <a:ext uri="{FF2B5EF4-FFF2-40B4-BE49-F238E27FC236}">
                <a16:creationId xmlns:a16="http://schemas.microsoft.com/office/drawing/2014/main" id="{8377EFA8-187E-48CE-A548-71CC00B3E5F2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40" name="$E$105">
            <a:extLst>
              <a:ext uri="{FF2B5EF4-FFF2-40B4-BE49-F238E27FC236}">
                <a16:creationId xmlns:a16="http://schemas.microsoft.com/office/drawing/2014/main" id="{548742AF-44F0-4F80-AFE1-E9AE4E4006BD}"/>
              </a:ext>
            </a:extLst>
          </xdr:cNvPr>
          <xdr:cNvSpPr/>
        </xdr:nvSpPr>
        <xdr:spPr>
          <a:xfrm>
            <a:off x="3429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41" name="$E$105">
            <a:extLst>
              <a:ext uri="{FF2B5EF4-FFF2-40B4-BE49-F238E27FC236}">
                <a16:creationId xmlns:a16="http://schemas.microsoft.com/office/drawing/2014/main" id="{2C2E20B7-5AA6-43DF-9326-771049C39881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42" name="$E$105">
            <a:extLst>
              <a:ext uri="{FF2B5EF4-FFF2-40B4-BE49-F238E27FC236}">
                <a16:creationId xmlns:a16="http://schemas.microsoft.com/office/drawing/2014/main" id="{81438FB7-14C5-4631-905F-8AEC87CA21C6}"/>
              </a:ext>
            </a:extLst>
          </xdr:cNvPr>
          <xdr:cNvSpPr/>
        </xdr:nvSpPr>
        <xdr:spPr>
          <a:xfrm>
            <a:off x="3683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43" name="$E$105">
            <a:extLst>
              <a:ext uri="{FF2B5EF4-FFF2-40B4-BE49-F238E27FC236}">
                <a16:creationId xmlns:a16="http://schemas.microsoft.com/office/drawing/2014/main" id="{38E9D103-8E80-4715-AA6C-8FB27DDF9CF7}"/>
              </a:ext>
            </a:extLst>
          </xdr:cNvPr>
          <xdr:cNvSpPr/>
        </xdr:nvSpPr>
        <xdr:spPr>
          <a:xfrm>
            <a:off x="381000" y="393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44" name="$E$105">
            <a:extLst>
              <a:ext uri="{FF2B5EF4-FFF2-40B4-BE49-F238E27FC236}">
                <a16:creationId xmlns:a16="http://schemas.microsoft.com/office/drawing/2014/main" id="{57F11CAA-23B6-43F3-9B5F-40D4D9A28DE8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45" name="$E$105">
            <a:extLst>
              <a:ext uri="{FF2B5EF4-FFF2-40B4-BE49-F238E27FC236}">
                <a16:creationId xmlns:a16="http://schemas.microsoft.com/office/drawing/2014/main" id="{57EE4B8A-7025-4B7F-AA17-D4725614FFB9}"/>
              </a:ext>
            </a:extLst>
          </xdr:cNvPr>
          <xdr:cNvSpPr/>
        </xdr:nvSpPr>
        <xdr:spPr>
          <a:xfrm>
            <a:off x="12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46" name="$E$105">
            <a:extLst>
              <a:ext uri="{FF2B5EF4-FFF2-40B4-BE49-F238E27FC236}">
                <a16:creationId xmlns:a16="http://schemas.microsoft.com/office/drawing/2014/main" id="{9BE167BA-3115-44E2-AD50-45198AA7576C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47" name="$E$105">
            <a:extLst>
              <a:ext uri="{FF2B5EF4-FFF2-40B4-BE49-F238E27FC236}">
                <a16:creationId xmlns:a16="http://schemas.microsoft.com/office/drawing/2014/main" id="{6D724789-61EA-402A-AA96-FA1EA1488704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48" name="$E$105">
            <a:extLst>
              <a:ext uri="{FF2B5EF4-FFF2-40B4-BE49-F238E27FC236}">
                <a16:creationId xmlns:a16="http://schemas.microsoft.com/office/drawing/2014/main" id="{4AD241AC-CDAE-42FA-842B-B6BD2602C4B2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49" name="$E$105">
            <a:extLst>
              <a:ext uri="{FF2B5EF4-FFF2-40B4-BE49-F238E27FC236}">
                <a16:creationId xmlns:a16="http://schemas.microsoft.com/office/drawing/2014/main" id="{B297EA84-D13B-4133-BE59-27ECA5732189}"/>
              </a:ext>
            </a:extLst>
          </xdr:cNvPr>
          <xdr:cNvSpPr/>
        </xdr:nvSpPr>
        <xdr:spPr>
          <a:xfrm>
            <a:off x="63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50" name="$E$105">
            <a:extLst>
              <a:ext uri="{FF2B5EF4-FFF2-40B4-BE49-F238E27FC236}">
                <a16:creationId xmlns:a16="http://schemas.microsoft.com/office/drawing/2014/main" id="{B69F55E1-1398-454B-876A-B4DB42427B47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51" name="$E$105">
            <a:extLst>
              <a:ext uri="{FF2B5EF4-FFF2-40B4-BE49-F238E27FC236}">
                <a16:creationId xmlns:a16="http://schemas.microsoft.com/office/drawing/2014/main" id="{AFFE7B2A-53F3-4A2A-A554-0EF98E9E92B0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52" name="$E$105">
            <a:extLst>
              <a:ext uri="{FF2B5EF4-FFF2-40B4-BE49-F238E27FC236}">
                <a16:creationId xmlns:a16="http://schemas.microsoft.com/office/drawing/2014/main" id="{2B49ED7E-365B-464E-8D6B-221D81D374B3}"/>
              </a:ext>
            </a:extLst>
          </xdr:cNvPr>
          <xdr:cNvSpPr/>
        </xdr:nvSpPr>
        <xdr:spPr>
          <a:xfrm>
            <a:off x="1270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53" name="$E$105">
            <a:extLst>
              <a:ext uri="{FF2B5EF4-FFF2-40B4-BE49-F238E27FC236}">
                <a16:creationId xmlns:a16="http://schemas.microsoft.com/office/drawing/2014/main" id="{53A6C47F-B338-4ECD-95FD-083F202AC98D}"/>
              </a:ext>
            </a:extLst>
          </xdr:cNvPr>
          <xdr:cNvSpPr/>
        </xdr:nvSpPr>
        <xdr:spPr>
          <a:xfrm>
            <a:off x="139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54" name="$E$105">
            <a:extLst>
              <a:ext uri="{FF2B5EF4-FFF2-40B4-BE49-F238E27FC236}">
                <a16:creationId xmlns:a16="http://schemas.microsoft.com/office/drawing/2014/main" id="{E9F5E70A-D75E-4783-9C33-98B4398B3452}"/>
              </a:ext>
            </a:extLst>
          </xdr:cNvPr>
          <xdr:cNvSpPr/>
        </xdr:nvSpPr>
        <xdr:spPr>
          <a:xfrm>
            <a:off x="165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55" name="$E$105">
            <a:extLst>
              <a:ext uri="{FF2B5EF4-FFF2-40B4-BE49-F238E27FC236}">
                <a16:creationId xmlns:a16="http://schemas.microsoft.com/office/drawing/2014/main" id="{9EEC7204-0F34-4B8C-A8C3-3B89C13F9686}"/>
              </a:ext>
            </a:extLst>
          </xdr:cNvPr>
          <xdr:cNvSpPr/>
        </xdr:nvSpPr>
        <xdr:spPr>
          <a:xfrm>
            <a:off x="190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56" name="$E$105">
            <a:extLst>
              <a:ext uri="{FF2B5EF4-FFF2-40B4-BE49-F238E27FC236}">
                <a16:creationId xmlns:a16="http://schemas.microsoft.com/office/drawing/2014/main" id="{59ECA354-F314-4F6B-8747-704BB8BA4CE5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57" name="$E$105">
            <a:extLst>
              <a:ext uri="{FF2B5EF4-FFF2-40B4-BE49-F238E27FC236}">
                <a16:creationId xmlns:a16="http://schemas.microsoft.com/office/drawing/2014/main" id="{EDF5F14E-8D79-44D8-B22C-A8E5E40D365A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58" name="$E$105">
            <a:extLst>
              <a:ext uri="{FF2B5EF4-FFF2-40B4-BE49-F238E27FC236}">
                <a16:creationId xmlns:a16="http://schemas.microsoft.com/office/drawing/2014/main" id="{3A76F80E-50C8-49EE-B52C-1A5D4E68DAA9}"/>
              </a:ext>
            </a:extLst>
          </xdr:cNvPr>
          <xdr:cNvSpPr/>
        </xdr:nvSpPr>
        <xdr:spPr>
          <a:xfrm>
            <a:off x="2921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59" name="$E$105">
            <a:extLst>
              <a:ext uri="{FF2B5EF4-FFF2-40B4-BE49-F238E27FC236}">
                <a16:creationId xmlns:a16="http://schemas.microsoft.com/office/drawing/2014/main" id="{D88083FE-0216-4BA2-B8FE-55C62D6C310A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60" name="$E$105">
            <a:extLst>
              <a:ext uri="{FF2B5EF4-FFF2-40B4-BE49-F238E27FC236}">
                <a16:creationId xmlns:a16="http://schemas.microsoft.com/office/drawing/2014/main" id="{BAAC3B60-FD31-44DD-9AFC-41621C8A8305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61" name="$E$105">
            <a:extLst>
              <a:ext uri="{FF2B5EF4-FFF2-40B4-BE49-F238E27FC236}">
                <a16:creationId xmlns:a16="http://schemas.microsoft.com/office/drawing/2014/main" id="{844E0C55-DA11-4E7C-8973-B412DF5A4529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262" name="$E$105">
            <a:extLst>
              <a:ext uri="{FF2B5EF4-FFF2-40B4-BE49-F238E27FC236}">
                <a16:creationId xmlns:a16="http://schemas.microsoft.com/office/drawing/2014/main" id="{CD2838B2-4377-44AF-BFBE-182DF53E99E1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6B886E-5378-4525-9F18-895B0B50D33F}">
  <we:reference id="wa104051163" version="1.2.0.3" store="es-E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PSICOLOG@" TargetMode="External"/><Relationship Id="rId18" Type="http://schemas.openxmlformats.org/officeDocument/2006/relationships/hyperlink" Target="mailto:PSICOLOG@" TargetMode="External"/><Relationship Id="rId26" Type="http://schemas.openxmlformats.org/officeDocument/2006/relationships/hyperlink" Target="mailto:MEDIC@" TargetMode="External"/><Relationship Id="rId3" Type="http://schemas.openxmlformats.org/officeDocument/2006/relationships/hyperlink" Target="mailto:MEDIC@" TargetMode="External"/><Relationship Id="rId21" Type="http://schemas.openxmlformats.org/officeDocument/2006/relationships/hyperlink" Target="mailto:MEDIC@" TargetMode="External"/><Relationship Id="rId34" Type="http://schemas.openxmlformats.org/officeDocument/2006/relationships/hyperlink" Target="mailto:guadalupeburbano@gmail.com" TargetMode="External"/><Relationship Id="rId7" Type="http://schemas.openxmlformats.org/officeDocument/2006/relationships/hyperlink" Target="mailto:MEDIC@" TargetMode="External"/><Relationship Id="rId12" Type="http://schemas.openxmlformats.org/officeDocument/2006/relationships/hyperlink" Target="mailto:PSICOLOG@" TargetMode="External"/><Relationship Id="rId17" Type="http://schemas.openxmlformats.org/officeDocument/2006/relationships/hyperlink" Target="mailto:PSICOLOG@" TargetMode="External"/><Relationship Id="rId25" Type="http://schemas.openxmlformats.org/officeDocument/2006/relationships/hyperlink" Target="mailto:MEDIC@" TargetMode="External"/><Relationship Id="rId33" Type="http://schemas.openxmlformats.org/officeDocument/2006/relationships/hyperlink" Target="mailto:laos2581@hotmail.com" TargetMode="External"/><Relationship Id="rId2" Type="http://schemas.openxmlformats.org/officeDocument/2006/relationships/hyperlink" Target="mailto:PSICOLOG@" TargetMode="External"/><Relationship Id="rId16" Type="http://schemas.openxmlformats.org/officeDocument/2006/relationships/hyperlink" Target="mailto:PSICOLOG@" TargetMode="External"/><Relationship Id="rId20" Type="http://schemas.openxmlformats.org/officeDocument/2006/relationships/hyperlink" Target="mailto:PSICOLOG@" TargetMode="External"/><Relationship Id="rId29" Type="http://schemas.openxmlformats.org/officeDocument/2006/relationships/hyperlink" Target="mailto:MEDIC@" TargetMode="External"/><Relationship Id="rId1" Type="http://schemas.openxmlformats.org/officeDocument/2006/relationships/hyperlink" Target="mailto:PSICOLOG@" TargetMode="External"/><Relationship Id="rId6" Type="http://schemas.openxmlformats.org/officeDocument/2006/relationships/hyperlink" Target="mailto:MEDIC@" TargetMode="External"/><Relationship Id="rId11" Type="http://schemas.openxmlformats.org/officeDocument/2006/relationships/hyperlink" Target="mailto:PSICOLOG@" TargetMode="External"/><Relationship Id="rId24" Type="http://schemas.openxmlformats.org/officeDocument/2006/relationships/hyperlink" Target="mailto:PSICOLOG@" TargetMode="External"/><Relationship Id="rId32" Type="http://schemas.openxmlformats.org/officeDocument/2006/relationships/hyperlink" Target="mailto:Kathe913005@yahoo.com" TargetMode="External"/><Relationship Id="rId5" Type="http://schemas.openxmlformats.org/officeDocument/2006/relationships/hyperlink" Target="mailto:PSICOLOG@" TargetMode="External"/><Relationship Id="rId15" Type="http://schemas.openxmlformats.org/officeDocument/2006/relationships/hyperlink" Target="mailto:PSICOLOG@" TargetMode="External"/><Relationship Id="rId23" Type="http://schemas.openxmlformats.org/officeDocument/2006/relationships/hyperlink" Target="mailto:MEDIC@" TargetMode="External"/><Relationship Id="rId28" Type="http://schemas.openxmlformats.org/officeDocument/2006/relationships/hyperlink" Target="mailto:MEDIC@" TargetMode="External"/><Relationship Id="rId10" Type="http://schemas.openxmlformats.org/officeDocument/2006/relationships/hyperlink" Target="mailto:MEDIC@" TargetMode="External"/><Relationship Id="rId19" Type="http://schemas.openxmlformats.org/officeDocument/2006/relationships/hyperlink" Target="mailto:PSICOLOG@" TargetMode="External"/><Relationship Id="rId31" Type="http://schemas.openxmlformats.org/officeDocument/2006/relationships/hyperlink" Target="mailto:MEDIC@" TargetMode="External"/><Relationship Id="rId4" Type="http://schemas.openxmlformats.org/officeDocument/2006/relationships/hyperlink" Target="mailto:MEDIC@" TargetMode="External"/><Relationship Id="rId9" Type="http://schemas.openxmlformats.org/officeDocument/2006/relationships/hyperlink" Target="mailto:MEDIC@" TargetMode="External"/><Relationship Id="rId14" Type="http://schemas.openxmlformats.org/officeDocument/2006/relationships/hyperlink" Target="mailto:PSICOLOG@" TargetMode="External"/><Relationship Id="rId22" Type="http://schemas.openxmlformats.org/officeDocument/2006/relationships/hyperlink" Target="mailto:MEDIC@" TargetMode="External"/><Relationship Id="rId27" Type="http://schemas.openxmlformats.org/officeDocument/2006/relationships/hyperlink" Target="mailto:MEDIC@" TargetMode="External"/><Relationship Id="rId30" Type="http://schemas.openxmlformats.org/officeDocument/2006/relationships/hyperlink" Target="mailto:MEDIC@" TargetMode="External"/><Relationship Id="rId35" Type="http://schemas.openxmlformats.org/officeDocument/2006/relationships/printerSettings" Target="../printerSettings/printerSettings1.bin"/><Relationship Id="rId8" Type="http://schemas.openxmlformats.org/officeDocument/2006/relationships/hyperlink" Target="mailto:PSICOLOG@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centrodecapacitaciondelsur.com/soporte-basico-de-vida-" TargetMode="External"/><Relationship Id="rId299" Type="http://schemas.openxmlformats.org/officeDocument/2006/relationships/hyperlink" Target="https://centrodecapacitaciondelsur.com/soporte-basico-de-vida-" TargetMode="External"/><Relationship Id="rId21" Type="http://schemas.openxmlformats.org/officeDocument/2006/relationships/hyperlink" Target="https://centrodecapacitaciondelsur.com/soporte-basico-de-vida-" TargetMode="External"/><Relationship Id="rId63" Type="http://schemas.openxmlformats.org/officeDocument/2006/relationships/hyperlink" Target="https://centrodecapacitaciondelsur.com/soporte-basico-de-vida-" TargetMode="External"/><Relationship Id="rId159" Type="http://schemas.openxmlformats.org/officeDocument/2006/relationships/hyperlink" Target="https://centrodecapacitaciondelsur.com/soporte-basico-de-vida-" TargetMode="External"/><Relationship Id="rId170" Type="http://schemas.openxmlformats.org/officeDocument/2006/relationships/hyperlink" Target="https://centrodecapacitaciondelsur.com/soporte-basico-de-vida-" TargetMode="External"/><Relationship Id="rId226" Type="http://schemas.openxmlformats.org/officeDocument/2006/relationships/hyperlink" Target="https://centrodecapacitaciondelsur.com/soporte-basico-de-vida-" TargetMode="External"/><Relationship Id="rId268" Type="http://schemas.openxmlformats.org/officeDocument/2006/relationships/hyperlink" Target="https://centrodecapacitaciondelsur.com/soporte-basico-de-vida-" TargetMode="External"/><Relationship Id="rId32" Type="http://schemas.openxmlformats.org/officeDocument/2006/relationships/hyperlink" Target="https://centrodecapacitaciondelsur.com/soporte-basico-de-vida-" TargetMode="External"/><Relationship Id="rId74" Type="http://schemas.openxmlformats.org/officeDocument/2006/relationships/hyperlink" Target="https://centrodecapacitaciondelsur.com/soporte-basico-de-vida-" TargetMode="External"/><Relationship Id="rId128" Type="http://schemas.openxmlformats.org/officeDocument/2006/relationships/hyperlink" Target="https://centrodecapacitaciondelsur.com/soporte-basico-de-vida-" TargetMode="External"/><Relationship Id="rId5" Type="http://schemas.openxmlformats.org/officeDocument/2006/relationships/hyperlink" Target="https://centrodecapacitaciondelsur.com/soporte-basico-de-vida-" TargetMode="External"/><Relationship Id="rId181" Type="http://schemas.openxmlformats.org/officeDocument/2006/relationships/hyperlink" Target="https://centrodecapacitaciondelsur.com/soporte-basico-de-vida-" TargetMode="External"/><Relationship Id="rId237" Type="http://schemas.openxmlformats.org/officeDocument/2006/relationships/hyperlink" Target="https://centrodecapacitaciondelsur.com/soporte-basico-de-vida-" TargetMode="External"/><Relationship Id="rId279" Type="http://schemas.openxmlformats.org/officeDocument/2006/relationships/hyperlink" Target="https://centrodecapacitaciondelsur.com/soporte-basico-de-vida-" TargetMode="External"/><Relationship Id="rId43" Type="http://schemas.openxmlformats.org/officeDocument/2006/relationships/hyperlink" Target="https://centrodecapacitaciondelsur.com/soporte-basico-de-vida-" TargetMode="External"/><Relationship Id="rId139" Type="http://schemas.openxmlformats.org/officeDocument/2006/relationships/hyperlink" Target="https://centrodecapacitaciondelsur.com/soporte-basico-de-vida-" TargetMode="External"/><Relationship Id="rId290" Type="http://schemas.openxmlformats.org/officeDocument/2006/relationships/hyperlink" Target="https://centrodecapacitaciondelsur.com/soporte-basico-de-vida-" TargetMode="External"/><Relationship Id="rId304" Type="http://schemas.openxmlformats.org/officeDocument/2006/relationships/hyperlink" Target="https://centrodecapacitaciondelsur.com/soporte-basico-de-vida-" TargetMode="External"/><Relationship Id="rId85" Type="http://schemas.openxmlformats.org/officeDocument/2006/relationships/hyperlink" Target="https://centrodecapacitaciondelsur.com/soporte-basico-de-vida-" TargetMode="External"/><Relationship Id="rId150" Type="http://schemas.openxmlformats.org/officeDocument/2006/relationships/hyperlink" Target="https://centrodecapacitaciondelsur.com/soporte-basico-de-vida-" TargetMode="External"/><Relationship Id="rId192" Type="http://schemas.openxmlformats.org/officeDocument/2006/relationships/hyperlink" Target="https://centrodecapacitaciondelsur.com/soporte-basico-de-vida-" TargetMode="External"/><Relationship Id="rId206" Type="http://schemas.openxmlformats.org/officeDocument/2006/relationships/hyperlink" Target="https://centrodecapacitaciondelsur.com/soporte-basico-de-vida-" TargetMode="External"/><Relationship Id="rId248" Type="http://schemas.openxmlformats.org/officeDocument/2006/relationships/hyperlink" Target="https://centrodecapacitaciondelsur.com/soporte-basico-de-vida-" TargetMode="External"/><Relationship Id="rId12" Type="http://schemas.openxmlformats.org/officeDocument/2006/relationships/hyperlink" Target="https://centrodecapacitaciondelsur.com/soporte-basico-de-vida-" TargetMode="External"/><Relationship Id="rId108" Type="http://schemas.openxmlformats.org/officeDocument/2006/relationships/hyperlink" Target="https://centrodecapacitaciondelsur.com/soporte-basico-de-vida-" TargetMode="External"/><Relationship Id="rId315" Type="http://schemas.openxmlformats.org/officeDocument/2006/relationships/hyperlink" Target="https://centrodecapacitaciondelsur.com/soporte-basico-de-vida-" TargetMode="External"/><Relationship Id="rId54" Type="http://schemas.openxmlformats.org/officeDocument/2006/relationships/hyperlink" Target="https://centrodecapacitaciondelsur.com/soporte-basico-de-vida-" TargetMode="External"/><Relationship Id="rId96" Type="http://schemas.openxmlformats.org/officeDocument/2006/relationships/hyperlink" Target="https://centrodecapacitaciondelsur.com/soporte-basico-de-vida-" TargetMode="External"/><Relationship Id="rId161" Type="http://schemas.openxmlformats.org/officeDocument/2006/relationships/hyperlink" Target="https://centrodecapacitaciondelsur.com/soporte-basico-de-vida-" TargetMode="External"/><Relationship Id="rId217" Type="http://schemas.openxmlformats.org/officeDocument/2006/relationships/hyperlink" Target="https://centrodecapacitaciondelsur.com/soporte-basico-de-vida-" TargetMode="External"/><Relationship Id="rId259" Type="http://schemas.openxmlformats.org/officeDocument/2006/relationships/hyperlink" Target="https://centrodecapacitaciondelsur.com/soporte-basico-de-vida-" TargetMode="External"/><Relationship Id="rId23" Type="http://schemas.openxmlformats.org/officeDocument/2006/relationships/hyperlink" Target="https://centrodecapacitaciondelsur.com/soporte-basico-de-vida-" TargetMode="External"/><Relationship Id="rId119" Type="http://schemas.openxmlformats.org/officeDocument/2006/relationships/hyperlink" Target="https://centrodecapacitaciondelsur.com/soporte-basico-de-vida-" TargetMode="External"/><Relationship Id="rId270" Type="http://schemas.openxmlformats.org/officeDocument/2006/relationships/hyperlink" Target="https://centrodecapacitaciondelsur.com/soporte-basico-de-vida-" TargetMode="External"/><Relationship Id="rId65" Type="http://schemas.openxmlformats.org/officeDocument/2006/relationships/hyperlink" Target="https://centrodecapacitaciondelsur.com/soporte-basico-de-vida-" TargetMode="External"/><Relationship Id="rId130" Type="http://schemas.openxmlformats.org/officeDocument/2006/relationships/hyperlink" Target="https://centrodecapacitaciondelsur.com/soporte-basico-de-vida-" TargetMode="External"/><Relationship Id="rId172" Type="http://schemas.openxmlformats.org/officeDocument/2006/relationships/hyperlink" Target="https://centrodecapacitaciondelsur.com/soporte-basico-de-vida-" TargetMode="External"/><Relationship Id="rId228" Type="http://schemas.openxmlformats.org/officeDocument/2006/relationships/hyperlink" Target="https://centrodecapacitaciondelsur.com/soporte-basico-de-vida-" TargetMode="External"/><Relationship Id="rId13" Type="http://schemas.openxmlformats.org/officeDocument/2006/relationships/hyperlink" Target="https://centrodecapacitaciondelsur.com/soporte-basico-de-vida-" TargetMode="External"/><Relationship Id="rId109" Type="http://schemas.openxmlformats.org/officeDocument/2006/relationships/hyperlink" Target="https://centrodecapacitaciondelsur.com/soporte-basico-de-vida-" TargetMode="External"/><Relationship Id="rId260" Type="http://schemas.openxmlformats.org/officeDocument/2006/relationships/hyperlink" Target="https://centrodecapacitaciondelsur.com/soporte-basico-de-vida-" TargetMode="External"/><Relationship Id="rId281" Type="http://schemas.openxmlformats.org/officeDocument/2006/relationships/hyperlink" Target="https://centrodecapacitaciondelsur.com/soporte-basico-de-vida-" TargetMode="External"/><Relationship Id="rId316" Type="http://schemas.openxmlformats.org/officeDocument/2006/relationships/printerSettings" Target="../printerSettings/printerSettings3.bin"/><Relationship Id="rId34" Type="http://schemas.openxmlformats.org/officeDocument/2006/relationships/hyperlink" Target="https://centrodecapacitaciondelsur.com/soporte-basico-de-vida-" TargetMode="External"/><Relationship Id="rId55" Type="http://schemas.openxmlformats.org/officeDocument/2006/relationships/hyperlink" Target="https://centrodecapacitaciondelsur.com/soporte-basico-de-vida-" TargetMode="External"/><Relationship Id="rId76" Type="http://schemas.openxmlformats.org/officeDocument/2006/relationships/hyperlink" Target="https://centrodecapacitaciondelsur.com/soporte-basico-de-vida-" TargetMode="External"/><Relationship Id="rId97" Type="http://schemas.openxmlformats.org/officeDocument/2006/relationships/hyperlink" Target="https://centrodecapacitaciondelsur.com/soporte-basico-de-vida-" TargetMode="External"/><Relationship Id="rId120" Type="http://schemas.openxmlformats.org/officeDocument/2006/relationships/hyperlink" Target="https://centrodecapacitaciondelsur.com/soporte-basico-de-vida-" TargetMode="External"/><Relationship Id="rId141" Type="http://schemas.openxmlformats.org/officeDocument/2006/relationships/hyperlink" Target="https://centrodecapacitaciondelsur.com/soporte-basico-de-vida-" TargetMode="External"/><Relationship Id="rId7" Type="http://schemas.openxmlformats.org/officeDocument/2006/relationships/hyperlink" Target="https://centrodecapacitaciondelsur.com/soporte-basico-de-vida-" TargetMode="External"/><Relationship Id="rId162" Type="http://schemas.openxmlformats.org/officeDocument/2006/relationships/hyperlink" Target="https://centrodecapacitaciondelsur.com/soporte-basico-de-vida-" TargetMode="External"/><Relationship Id="rId183" Type="http://schemas.openxmlformats.org/officeDocument/2006/relationships/hyperlink" Target="https://centrodecapacitaciondelsur.com/soporte-basico-de-vida-" TargetMode="External"/><Relationship Id="rId218" Type="http://schemas.openxmlformats.org/officeDocument/2006/relationships/hyperlink" Target="https://centrodecapacitaciondelsur.com/soporte-basico-de-vida-" TargetMode="External"/><Relationship Id="rId239" Type="http://schemas.openxmlformats.org/officeDocument/2006/relationships/hyperlink" Target="https://centrodecapacitaciondelsur.com/soporte-basico-de-vida-" TargetMode="External"/><Relationship Id="rId250" Type="http://schemas.openxmlformats.org/officeDocument/2006/relationships/hyperlink" Target="https://centrodecapacitaciondelsur.com/soporte-basico-de-vida-" TargetMode="External"/><Relationship Id="rId271" Type="http://schemas.openxmlformats.org/officeDocument/2006/relationships/hyperlink" Target="https://centrodecapacitaciondelsur.com/soporte-basico-de-vida-" TargetMode="External"/><Relationship Id="rId292" Type="http://schemas.openxmlformats.org/officeDocument/2006/relationships/hyperlink" Target="https://centrodecapacitaciondelsur.com/soporte-basico-de-vida-" TargetMode="External"/><Relationship Id="rId306" Type="http://schemas.openxmlformats.org/officeDocument/2006/relationships/hyperlink" Target="https://centrodecapacitaciondelsur.com/soporte-basico-de-vida-" TargetMode="External"/><Relationship Id="rId24" Type="http://schemas.openxmlformats.org/officeDocument/2006/relationships/hyperlink" Target="https://centrodecapacitaciondelsur.com/soporte-basico-de-vida-" TargetMode="External"/><Relationship Id="rId45" Type="http://schemas.openxmlformats.org/officeDocument/2006/relationships/hyperlink" Target="https://centrodecapacitaciondelsur.com/soporte-basico-de-vida-" TargetMode="External"/><Relationship Id="rId66" Type="http://schemas.openxmlformats.org/officeDocument/2006/relationships/hyperlink" Target="https://centrodecapacitaciondelsur.com/soporte-basico-de-vida-" TargetMode="External"/><Relationship Id="rId87" Type="http://schemas.openxmlformats.org/officeDocument/2006/relationships/hyperlink" Target="https://centrodecapacitaciondelsur.com/soporte-basico-de-vida-" TargetMode="External"/><Relationship Id="rId110" Type="http://schemas.openxmlformats.org/officeDocument/2006/relationships/hyperlink" Target="https://centrodecapacitaciondelsur.com/soporte-basico-de-vida-" TargetMode="External"/><Relationship Id="rId131" Type="http://schemas.openxmlformats.org/officeDocument/2006/relationships/hyperlink" Target="https://centrodecapacitaciondelsur.com/soporte-basico-de-vida-" TargetMode="External"/><Relationship Id="rId152" Type="http://schemas.openxmlformats.org/officeDocument/2006/relationships/hyperlink" Target="https://centrodecapacitaciondelsur.com/soporte-basico-de-vida-" TargetMode="External"/><Relationship Id="rId173" Type="http://schemas.openxmlformats.org/officeDocument/2006/relationships/hyperlink" Target="https://centrodecapacitaciondelsur.com/soporte-basico-de-vida-" TargetMode="External"/><Relationship Id="rId194" Type="http://schemas.openxmlformats.org/officeDocument/2006/relationships/hyperlink" Target="https://centrodecapacitaciondelsur.com/soporte-basico-de-vida-" TargetMode="External"/><Relationship Id="rId208" Type="http://schemas.openxmlformats.org/officeDocument/2006/relationships/hyperlink" Target="https://centrodecapacitaciondelsur.com/soporte-basico-de-vida-" TargetMode="External"/><Relationship Id="rId229" Type="http://schemas.openxmlformats.org/officeDocument/2006/relationships/hyperlink" Target="https://centrodecapacitaciondelsur.com/soporte-basico-de-vida-" TargetMode="External"/><Relationship Id="rId240" Type="http://schemas.openxmlformats.org/officeDocument/2006/relationships/hyperlink" Target="https://centrodecapacitaciondelsur.com/soporte-basico-de-vida-" TargetMode="External"/><Relationship Id="rId261" Type="http://schemas.openxmlformats.org/officeDocument/2006/relationships/hyperlink" Target="https://centrodecapacitaciondelsur.com/soporte-basico-de-vida-" TargetMode="External"/><Relationship Id="rId14" Type="http://schemas.openxmlformats.org/officeDocument/2006/relationships/hyperlink" Target="https://centrodecapacitaciondelsur.com/soporte-basico-de-vida-" TargetMode="External"/><Relationship Id="rId35" Type="http://schemas.openxmlformats.org/officeDocument/2006/relationships/hyperlink" Target="https://centrodecapacitaciondelsur.com/soporte-basico-de-vida-" TargetMode="External"/><Relationship Id="rId56" Type="http://schemas.openxmlformats.org/officeDocument/2006/relationships/hyperlink" Target="https://centrodecapacitaciondelsur.com/soporte-basico-de-vida-" TargetMode="External"/><Relationship Id="rId77" Type="http://schemas.openxmlformats.org/officeDocument/2006/relationships/hyperlink" Target="https://centrodecapacitaciondelsur.com/soporte-basico-de-vida-" TargetMode="External"/><Relationship Id="rId100" Type="http://schemas.openxmlformats.org/officeDocument/2006/relationships/hyperlink" Target="https://centrodecapacitaciondelsur.com/soporte-basico-de-vida-" TargetMode="External"/><Relationship Id="rId282" Type="http://schemas.openxmlformats.org/officeDocument/2006/relationships/hyperlink" Target="https://centrodecapacitaciondelsur.com/soporte-basico-de-vida-" TargetMode="External"/><Relationship Id="rId317" Type="http://schemas.openxmlformats.org/officeDocument/2006/relationships/drawing" Target="../drawings/drawing1.xml"/><Relationship Id="rId8" Type="http://schemas.openxmlformats.org/officeDocument/2006/relationships/hyperlink" Target="https://centrodecapacitaciondelsur.com/soporte-basico-de-vida-" TargetMode="External"/><Relationship Id="rId98" Type="http://schemas.openxmlformats.org/officeDocument/2006/relationships/hyperlink" Target="https://centrodecapacitaciondelsur.com/soporte-basico-de-vida-" TargetMode="External"/><Relationship Id="rId121" Type="http://schemas.openxmlformats.org/officeDocument/2006/relationships/hyperlink" Target="https://centrodecapacitaciondelsur.com/soporte-basico-de-vida-" TargetMode="External"/><Relationship Id="rId142" Type="http://schemas.openxmlformats.org/officeDocument/2006/relationships/hyperlink" Target="https://centrodecapacitaciondelsur.com/soporte-basico-de-vida-" TargetMode="External"/><Relationship Id="rId163" Type="http://schemas.openxmlformats.org/officeDocument/2006/relationships/hyperlink" Target="https://centrodecapacitaciondelsur.com/soporte-basico-de-vida-" TargetMode="External"/><Relationship Id="rId184" Type="http://schemas.openxmlformats.org/officeDocument/2006/relationships/hyperlink" Target="https://centrodecapacitaciondelsur.com/soporte-basico-de-vida-" TargetMode="External"/><Relationship Id="rId219" Type="http://schemas.openxmlformats.org/officeDocument/2006/relationships/hyperlink" Target="https://centrodecapacitaciondelsur.com/soporte-basico-de-vida-" TargetMode="External"/><Relationship Id="rId230" Type="http://schemas.openxmlformats.org/officeDocument/2006/relationships/hyperlink" Target="https://centrodecapacitaciondelsur.com/soporte-basico-de-vida-" TargetMode="External"/><Relationship Id="rId251" Type="http://schemas.openxmlformats.org/officeDocument/2006/relationships/hyperlink" Target="https://centrodecapacitaciondelsur.com/soporte-basico-de-vida-" TargetMode="External"/><Relationship Id="rId25" Type="http://schemas.openxmlformats.org/officeDocument/2006/relationships/hyperlink" Target="https://centrodecapacitaciondelsur.com/soporte-basico-de-vida-" TargetMode="External"/><Relationship Id="rId46" Type="http://schemas.openxmlformats.org/officeDocument/2006/relationships/hyperlink" Target="https://centrodecapacitaciondelsur.com/soporte-basico-de-vida-" TargetMode="External"/><Relationship Id="rId67" Type="http://schemas.openxmlformats.org/officeDocument/2006/relationships/hyperlink" Target="https://centrodecapacitaciondelsur.com/soporte-basico-de-vida-" TargetMode="External"/><Relationship Id="rId272" Type="http://schemas.openxmlformats.org/officeDocument/2006/relationships/hyperlink" Target="https://centrodecapacitaciondelsur.com/soporte-basico-de-vida-" TargetMode="External"/><Relationship Id="rId293" Type="http://schemas.openxmlformats.org/officeDocument/2006/relationships/hyperlink" Target="https://centrodecapacitaciondelsur.com/soporte-basico-de-vida-" TargetMode="External"/><Relationship Id="rId307" Type="http://schemas.openxmlformats.org/officeDocument/2006/relationships/hyperlink" Target="https://centrodecapacitaciondelsur.com/soporte-basico-de-vida-" TargetMode="External"/><Relationship Id="rId88" Type="http://schemas.openxmlformats.org/officeDocument/2006/relationships/hyperlink" Target="https://centrodecapacitaciondelsur.com/soporte-basico-de-vida-" TargetMode="External"/><Relationship Id="rId111" Type="http://schemas.openxmlformats.org/officeDocument/2006/relationships/hyperlink" Target="https://centrodecapacitaciondelsur.com/soporte-basico-de-vida-" TargetMode="External"/><Relationship Id="rId132" Type="http://schemas.openxmlformats.org/officeDocument/2006/relationships/hyperlink" Target="https://centrodecapacitaciondelsur.com/soporte-basico-de-vida-" TargetMode="External"/><Relationship Id="rId153" Type="http://schemas.openxmlformats.org/officeDocument/2006/relationships/hyperlink" Target="https://centrodecapacitaciondelsur.com/soporte-basico-de-vida-" TargetMode="External"/><Relationship Id="rId174" Type="http://schemas.openxmlformats.org/officeDocument/2006/relationships/hyperlink" Target="https://centrodecapacitaciondelsur.com/soporte-basico-de-vida-" TargetMode="External"/><Relationship Id="rId195" Type="http://schemas.openxmlformats.org/officeDocument/2006/relationships/hyperlink" Target="https://centrodecapacitaciondelsur.com/soporte-basico-de-vida-" TargetMode="External"/><Relationship Id="rId209" Type="http://schemas.openxmlformats.org/officeDocument/2006/relationships/hyperlink" Target="https://centrodecapacitaciondelsur.com/soporte-basico-de-vida-" TargetMode="External"/><Relationship Id="rId220" Type="http://schemas.openxmlformats.org/officeDocument/2006/relationships/hyperlink" Target="https://centrodecapacitaciondelsur.com/soporte-basico-de-vida-" TargetMode="External"/><Relationship Id="rId241" Type="http://schemas.openxmlformats.org/officeDocument/2006/relationships/hyperlink" Target="https://centrodecapacitaciondelsur.com/soporte-basico-de-vida-" TargetMode="External"/><Relationship Id="rId15" Type="http://schemas.openxmlformats.org/officeDocument/2006/relationships/hyperlink" Target="https://centrodecapacitaciondelsur.com/soporte-basico-de-vida-" TargetMode="External"/><Relationship Id="rId36" Type="http://schemas.openxmlformats.org/officeDocument/2006/relationships/hyperlink" Target="https://centrodecapacitaciondelsur.com/soporte-basico-de-vida-" TargetMode="External"/><Relationship Id="rId57" Type="http://schemas.openxmlformats.org/officeDocument/2006/relationships/hyperlink" Target="https://centrodecapacitaciondelsur.com/soporte-basico-de-vida-" TargetMode="External"/><Relationship Id="rId262" Type="http://schemas.openxmlformats.org/officeDocument/2006/relationships/hyperlink" Target="https://centrodecapacitaciondelsur.com/soporte-basico-de-vida-" TargetMode="External"/><Relationship Id="rId283" Type="http://schemas.openxmlformats.org/officeDocument/2006/relationships/hyperlink" Target="https://centrodecapacitaciondelsur.com/soporte-basico-de-vida-" TargetMode="External"/><Relationship Id="rId78" Type="http://schemas.openxmlformats.org/officeDocument/2006/relationships/hyperlink" Target="https://centrodecapacitaciondelsur.com/soporte-basico-de-vida-" TargetMode="External"/><Relationship Id="rId99" Type="http://schemas.openxmlformats.org/officeDocument/2006/relationships/hyperlink" Target="https://centrodecapacitaciondelsur.com/soporte-basico-de-vida-" TargetMode="External"/><Relationship Id="rId101" Type="http://schemas.openxmlformats.org/officeDocument/2006/relationships/hyperlink" Target="https://centrodecapacitaciondelsur.com/soporte-basico-de-vida-" TargetMode="External"/><Relationship Id="rId122" Type="http://schemas.openxmlformats.org/officeDocument/2006/relationships/hyperlink" Target="https://centrodecapacitaciondelsur.com/soporte-basico-de-vida-" TargetMode="External"/><Relationship Id="rId143" Type="http://schemas.openxmlformats.org/officeDocument/2006/relationships/hyperlink" Target="https://centrodecapacitaciondelsur.com/soporte-basico-de-vida-" TargetMode="External"/><Relationship Id="rId164" Type="http://schemas.openxmlformats.org/officeDocument/2006/relationships/hyperlink" Target="https://centrodecapacitaciondelsur.com/soporte-basico-de-vida-" TargetMode="External"/><Relationship Id="rId185" Type="http://schemas.openxmlformats.org/officeDocument/2006/relationships/hyperlink" Target="https://centrodecapacitaciondelsur.com/soporte-basico-de-vida-" TargetMode="External"/><Relationship Id="rId9" Type="http://schemas.openxmlformats.org/officeDocument/2006/relationships/hyperlink" Target="https://centrodecapacitaciondelsur.com/soporte-basico-de-vida-" TargetMode="External"/><Relationship Id="rId210" Type="http://schemas.openxmlformats.org/officeDocument/2006/relationships/hyperlink" Target="https://centrodecapacitaciondelsur.com/soporte-basico-de-vida-" TargetMode="External"/><Relationship Id="rId26" Type="http://schemas.openxmlformats.org/officeDocument/2006/relationships/hyperlink" Target="https://centrodecapacitaciondelsur.com/soporte-basico-de-vida-" TargetMode="External"/><Relationship Id="rId231" Type="http://schemas.openxmlformats.org/officeDocument/2006/relationships/hyperlink" Target="https://centrodecapacitaciondelsur.com/soporte-basico-de-vida-" TargetMode="External"/><Relationship Id="rId252" Type="http://schemas.openxmlformats.org/officeDocument/2006/relationships/hyperlink" Target="https://centrodecapacitaciondelsur.com/soporte-basico-de-vida-" TargetMode="External"/><Relationship Id="rId273" Type="http://schemas.openxmlformats.org/officeDocument/2006/relationships/hyperlink" Target="https://centrodecapacitaciondelsur.com/soporte-basico-de-vida-" TargetMode="External"/><Relationship Id="rId294" Type="http://schemas.openxmlformats.org/officeDocument/2006/relationships/hyperlink" Target="https://centrodecapacitaciondelsur.com/soporte-basico-de-vida-" TargetMode="External"/><Relationship Id="rId308" Type="http://schemas.openxmlformats.org/officeDocument/2006/relationships/hyperlink" Target="https://centrodecapacitaciondelsur.com/soporte-basico-de-vida-" TargetMode="External"/><Relationship Id="rId47" Type="http://schemas.openxmlformats.org/officeDocument/2006/relationships/hyperlink" Target="https://centrodecapacitaciondelsur.com/soporte-basico-de-vida-" TargetMode="External"/><Relationship Id="rId68" Type="http://schemas.openxmlformats.org/officeDocument/2006/relationships/hyperlink" Target="https://centrodecapacitaciondelsur.com/soporte-basico-de-vida-" TargetMode="External"/><Relationship Id="rId89" Type="http://schemas.openxmlformats.org/officeDocument/2006/relationships/hyperlink" Target="https://centrodecapacitaciondelsur.com/soporte-basico-de-vida-" TargetMode="External"/><Relationship Id="rId112" Type="http://schemas.openxmlformats.org/officeDocument/2006/relationships/hyperlink" Target="https://centrodecapacitaciondelsur.com/soporte-basico-de-vida-" TargetMode="External"/><Relationship Id="rId133" Type="http://schemas.openxmlformats.org/officeDocument/2006/relationships/hyperlink" Target="https://centrodecapacitaciondelsur.com/soporte-basico-de-vida-" TargetMode="External"/><Relationship Id="rId154" Type="http://schemas.openxmlformats.org/officeDocument/2006/relationships/hyperlink" Target="https://centrodecapacitaciondelsur.com/soporte-basico-de-vida-" TargetMode="External"/><Relationship Id="rId175" Type="http://schemas.openxmlformats.org/officeDocument/2006/relationships/hyperlink" Target="https://centrodecapacitaciondelsur.com/soporte-basico-de-vida-" TargetMode="External"/><Relationship Id="rId196" Type="http://schemas.openxmlformats.org/officeDocument/2006/relationships/hyperlink" Target="https://centrodecapacitaciondelsur.com/soporte-basico-de-vida-" TargetMode="External"/><Relationship Id="rId200" Type="http://schemas.openxmlformats.org/officeDocument/2006/relationships/hyperlink" Target="https://centrodecapacitaciondelsur.com/soporte-basico-de-vida-" TargetMode="External"/><Relationship Id="rId16" Type="http://schemas.openxmlformats.org/officeDocument/2006/relationships/hyperlink" Target="https://centrodecapacitaciondelsur.com/soporte-basico-de-vida-" TargetMode="External"/><Relationship Id="rId221" Type="http://schemas.openxmlformats.org/officeDocument/2006/relationships/hyperlink" Target="https://centrodecapacitaciondelsur.com/soporte-basico-de-vida-" TargetMode="External"/><Relationship Id="rId242" Type="http://schemas.openxmlformats.org/officeDocument/2006/relationships/hyperlink" Target="https://centrodecapacitaciondelsur.com/soporte-basico-de-vida-" TargetMode="External"/><Relationship Id="rId263" Type="http://schemas.openxmlformats.org/officeDocument/2006/relationships/hyperlink" Target="https://centrodecapacitaciondelsur.com/soporte-basico-de-vida-" TargetMode="External"/><Relationship Id="rId284" Type="http://schemas.openxmlformats.org/officeDocument/2006/relationships/hyperlink" Target="https://centrodecapacitaciondelsur.com/soporte-basico-de-vida-" TargetMode="External"/><Relationship Id="rId37" Type="http://schemas.openxmlformats.org/officeDocument/2006/relationships/hyperlink" Target="https://centrodecapacitaciondelsur.com/soporte-basico-de-vida-" TargetMode="External"/><Relationship Id="rId58" Type="http://schemas.openxmlformats.org/officeDocument/2006/relationships/hyperlink" Target="https://centrodecapacitaciondelsur.com/soporte-basico-de-vida-" TargetMode="External"/><Relationship Id="rId79" Type="http://schemas.openxmlformats.org/officeDocument/2006/relationships/hyperlink" Target="https://centrodecapacitaciondelsur.com/soporte-basico-de-vida-" TargetMode="External"/><Relationship Id="rId102" Type="http://schemas.openxmlformats.org/officeDocument/2006/relationships/hyperlink" Target="https://centrodecapacitaciondelsur.com/soporte-basico-de-vida-" TargetMode="External"/><Relationship Id="rId123" Type="http://schemas.openxmlformats.org/officeDocument/2006/relationships/hyperlink" Target="https://centrodecapacitaciondelsur.com/soporte-basico-de-vida-" TargetMode="External"/><Relationship Id="rId144" Type="http://schemas.openxmlformats.org/officeDocument/2006/relationships/hyperlink" Target="https://centrodecapacitaciondelsur.com/soporte-basico-de-vida-" TargetMode="External"/><Relationship Id="rId90" Type="http://schemas.openxmlformats.org/officeDocument/2006/relationships/hyperlink" Target="https://centrodecapacitaciondelsur.com/soporte-basico-de-vida-" TargetMode="External"/><Relationship Id="rId165" Type="http://schemas.openxmlformats.org/officeDocument/2006/relationships/hyperlink" Target="https://centrodecapacitaciondelsur.com/soporte-basico-de-vida-" TargetMode="External"/><Relationship Id="rId186" Type="http://schemas.openxmlformats.org/officeDocument/2006/relationships/hyperlink" Target="https://centrodecapacitaciondelsur.com/soporte-basico-de-vida-" TargetMode="External"/><Relationship Id="rId211" Type="http://schemas.openxmlformats.org/officeDocument/2006/relationships/hyperlink" Target="https://centrodecapacitaciondelsur.com/soporte-basico-de-vida-" TargetMode="External"/><Relationship Id="rId232" Type="http://schemas.openxmlformats.org/officeDocument/2006/relationships/hyperlink" Target="https://centrodecapacitaciondelsur.com/soporte-basico-de-vida-" TargetMode="External"/><Relationship Id="rId253" Type="http://schemas.openxmlformats.org/officeDocument/2006/relationships/hyperlink" Target="https://centrodecapacitaciondelsur.com/soporte-basico-de-vida-" TargetMode="External"/><Relationship Id="rId274" Type="http://schemas.openxmlformats.org/officeDocument/2006/relationships/hyperlink" Target="https://centrodecapacitaciondelsur.com/soporte-basico-de-vida-" TargetMode="External"/><Relationship Id="rId295" Type="http://schemas.openxmlformats.org/officeDocument/2006/relationships/hyperlink" Target="https://centrodecapacitaciondelsur.com/soporte-basico-de-vida-" TargetMode="External"/><Relationship Id="rId309" Type="http://schemas.openxmlformats.org/officeDocument/2006/relationships/hyperlink" Target="https://centrodecapacitaciondelsur.com/soporte-basico-de-vida-" TargetMode="External"/><Relationship Id="rId27" Type="http://schemas.openxmlformats.org/officeDocument/2006/relationships/hyperlink" Target="https://centrodecapacitaciondelsur.com/soporte-basico-de-vida-" TargetMode="External"/><Relationship Id="rId48" Type="http://schemas.openxmlformats.org/officeDocument/2006/relationships/hyperlink" Target="https://centrodecapacitaciondelsur.com/soporte-basico-de-vida-" TargetMode="External"/><Relationship Id="rId69" Type="http://schemas.openxmlformats.org/officeDocument/2006/relationships/hyperlink" Target="https://centrodecapacitaciondelsur.com/soporte-basico-de-vida-" TargetMode="External"/><Relationship Id="rId113" Type="http://schemas.openxmlformats.org/officeDocument/2006/relationships/hyperlink" Target="https://centrodecapacitaciondelsur.com/soporte-basico-de-vida-" TargetMode="External"/><Relationship Id="rId134" Type="http://schemas.openxmlformats.org/officeDocument/2006/relationships/hyperlink" Target="https://centrodecapacitaciondelsur.com/soporte-basico-de-vida-" TargetMode="External"/><Relationship Id="rId80" Type="http://schemas.openxmlformats.org/officeDocument/2006/relationships/hyperlink" Target="https://centrodecapacitaciondelsur.com/soporte-basico-de-vida-" TargetMode="External"/><Relationship Id="rId155" Type="http://schemas.openxmlformats.org/officeDocument/2006/relationships/hyperlink" Target="https://centrodecapacitaciondelsur.com/soporte-basico-de-vida-" TargetMode="External"/><Relationship Id="rId176" Type="http://schemas.openxmlformats.org/officeDocument/2006/relationships/hyperlink" Target="https://centrodecapacitaciondelsur.com/soporte-basico-de-vida-" TargetMode="External"/><Relationship Id="rId197" Type="http://schemas.openxmlformats.org/officeDocument/2006/relationships/hyperlink" Target="https://centrodecapacitaciondelsur.com/soporte-basico-de-vida-" TargetMode="External"/><Relationship Id="rId201" Type="http://schemas.openxmlformats.org/officeDocument/2006/relationships/hyperlink" Target="https://centrodecapacitaciondelsur.com/soporte-basico-de-vida-" TargetMode="External"/><Relationship Id="rId222" Type="http://schemas.openxmlformats.org/officeDocument/2006/relationships/hyperlink" Target="https://centrodecapacitaciondelsur.com/soporte-basico-de-vida-" TargetMode="External"/><Relationship Id="rId243" Type="http://schemas.openxmlformats.org/officeDocument/2006/relationships/hyperlink" Target="https://centrodecapacitaciondelsur.com/soporte-basico-de-vida-" TargetMode="External"/><Relationship Id="rId264" Type="http://schemas.openxmlformats.org/officeDocument/2006/relationships/hyperlink" Target="https://centrodecapacitaciondelsur.com/soporte-basico-de-vida-" TargetMode="External"/><Relationship Id="rId285" Type="http://schemas.openxmlformats.org/officeDocument/2006/relationships/hyperlink" Target="https://centrodecapacitaciondelsur.com/soporte-basico-de-vida-" TargetMode="External"/><Relationship Id="rId17" Type="http://schemas.openxmlformats.org/officeDocument/2006/relationships/hyperlink" Target="https://centrodecapacitaciondelsur.com/soporte-basico-de-vida-" TargetMode="External"/><Relationship Id="rId38" Type="http://schemas.openxmlformats.org/officeDocument/2006/relationships/hyperlink" Target="https://centrodecapacitaciondelsur.com/soporte-basico-de-vida-" TargetMode="External"/><Relationship Id="rId59" Type="http://schemas.openxmlformats.org/officeDocument/2006/relationships/hyperlink" Target="https://centrodecapacitaciondelsur.com/soporte-basico-de-vida-" TargetMode="External"/><Relationship Id="rId103" Type="http://schemas.openxmlformats.org/officeDocument/2006/relationships/hyperlink" Target="https://centrodecapacitaciondelsur.com/soporte-basico-de-vida-" TargetMode="External"/><Relationship Id="rId124" Type="http://schemas.openxmlformats.org/officeDocument/2006/relationships/hyperlink" Target="https://centrodecapacitaciondelsur.com/soporte-basico-de-vida-" TargetMode="External"/><Relationship Id="rId310" Type="http://schemas.openxmlformats.org/officeDocument/2006/relationships/hyperlink" Target="https://centrodecapacitaciondelsur.com/soporte-basico-de-vida-" TargetMode="External"/><Relationship Id="rId70" Type="http://schemas.openxmlformats.org/officeDocument/2006/relationships/hyperlink" Target="https://centrodecapacitaciondelsur.com/soporte-basico-de-vida-" TargetMode="External"/><Relationship Id="rId91" Type="http://schemas.openxmlformats.org/officeDocument/2006/relationships/hyperlink" Target="https://centrodecapacitaciondelsur.com/soporte-basico-de-vida-" TargetMode="External"/><Relationship Id="rId145" Type="http://schemas.openxmlformats.org/officeDocument/2006/relationships/hyperlink" Target="https://centrodecapacitaciondelsur.com/soporte-basico-de-vida-" TargetMode="External"/><Relationship Id="rId166" Type="http://schemas.openxmlformats.org/officeDocument/2006/relationships/hyperlink" Target="https://centrodecapacitaciondelsur.com/soporte-basico-de-vida-" TargetMode="External"/><Relationship Id="rId187" Type="http://schemas.openxmlformats.org/officeDocument/2006/relationships/hyperlink" Target="https://centrodecapacitaciondelsur.com/soporte-basico-de-vida-" TargetMode="External"/><Relationship Id="rId1" Type="http://schemas.openxmlformats.org/officeDocument/2006/relationships/hyperlink" Target="https://centrodecapacitaciondelsur.com/soporte-basico-de-vida-" TargetMode="External"/><Relationship Id="rId212" Type="http://schemas.openxmlformats.org/officeDocument/2006/relationships/hyperlink" Target="https://centrodecapacitaciondelsur.com/soporte-basico-de-vida-" TargetMode="External"/><Relationship Id="rId233" Type="http://schemas.openxmlformats.org/officeDocument/2006/relationships/hyperlink" Target="https://centrodecapacitaciondelsur.com/soporte-basico-de-vida-" TargetMode="External"/><Relationship Id="rId254" Type="http://schemas.openxmlformats.org/officeDocument/2006/relationships/hyperlink" Target="https://centrodecapacitaciondelsur.com/soporte-basico-de-vida-" TargetMode="External"/><Relationship Id="rId28" Type="http://schemas.openxmlformats.org/officeDocument/2006/relationships/hyperlink" Target="https://centrodecapacitaciondelsur.com/soporte-basico-de-vida-" TargetMode="External"/><Relationship Id="rId49" Type="http://schemas.openxmlformats.org/officeDocument/2006/relationships/hyperlink" Target="https://centrodecapacitaciondelsur.com/soporte-basico-de-vida-" TargetMode="External"/><Relationship Id="rId114" Type="http://schemas.openxmlformats.org/officeDocument/2006/relationships/hyperlink" Target="https://centrodecapacitaciondelsur.com/soporte-basico-de-vida-" TargetMode="External"/><Relationship Id="rId275" Type="http://schemas.openxmlformats.org/officeDocument/2006/relationships/hyperlink" Target="https://centrodecapacitaciondelsur.com/soporte-basico-de-vida-" TargetMode="External"/><Relationship Id="rId296" Type="http://schemas.openxmlformats.org/officeDocument/2006/relationships/hyperlink" Target="https://centrodecapacitaciondelsur.com/soporte-basico-de-vida-" TargetMode="External"/><Relationship Id="rId300" Type="http://schemas.openxmlformats.org/officeDocument/2006/relationships/hyperlink" Target="https://centrodecapacitaciondelsur.com/soporte-basico-de-vida-" TargetMode="External"/><Relationship Id="rId60" Type="http://schemas.openxmlformats.org/officeDocument/2006/relationships/hyperlink" Target="https://centrodecapacitaciondelsur.com/soporte-basico-de-vida-" TargetMode="External"/><Relationship Id="rId81" Type="http://schemas.openxmlformats.org/officeDocument/2006/relationships/hyperlink" Target="https://centrodecapacitaciondelsur.com/soporte-basico-de-vida-" TargetMode="External"/><Relationship Id="rId135" Type="http://schemas.openxmlformats.org/officeDocument/2006/relationships/hyperlink" Target="https://centrodecapacitaciondelsur.com/soporte-basico-de-vida-" TargetMode="External"/><Relationship Id="rId156" Type="http://schemas.openxmlformats.org/officeDocument/2006/relationships/hyperlink" Target="https://centrodecapacitaciondelsur.com/soporte-basico-de-vida-" TargetMode="External"/><Relationship Id="rId177" Type="http://schemas.openxmlformats.org/officeDocument/2006/relationships/hyperlink" Target="https://centrodecapacitaciondelsur.com/soporte-basico-de-vida-" TargetMode="External"/><Relationship Id="rId198" Type="http://schemas.openxmlformats.org/officeDocument/2006/relationships/hyperlink" Target="https://centrodecapacitaciondelsur.com/soporte-basico-de-vida-" TargetMode="External"/><Relationship Id="rId202" Type="http://schemas.openxmlformats.org/officeDocument/2006/relationships/hyperlink" Target="https://centrodecapacitaciondelsur.com/soporte-basico-de-vida-" TargetMode="External"/><Relationship Id="rId223" Type="http://schemas.openxmlformats.org/officeDocument/2006/relationships/hyperlink" Target="https://centrodecapacitaciondelsur.com/soporte-basico-de-vida-" TargetMode="External"/><Relationship Id="rId244" Type="http://schemas.openxmlformats.org/officeDocument/2006/relationships/hyperlink" Target="https://centrodecapacitaciondelsur.com/soporte-basico-de-vida-" TargetMode="External"/><Relationship Id="rId18" Type="http://schemas.openxmlformats.org/officeDocument/2006/relationships/hyperlink" Target="https://centrodecapacitaciondelsur.com/soporte-basico-de-vida-" TargetMode="External"/><Relationship Id="rId39" Type="http://schemas.openxmlformats.org/officeDocument/2006/relationships/hyperlink" Target="https://centrodecapacitaciondelsur.com/soporte-basico-de-vida-" TargetMode="External"/><Relationship Id="rId265" Type="http://schemas.openxmlformats.org/officeDocument/2006/relationships/hyperlink" Target="https://centrodecapacitaciondelsur.com/soporte-basico-de-vida-" TargetMode="External"/><Relationship Id="rId286" Type="http://schemas.openxmlformats.org/officeDocument/2006/relationships/hyperlink" Target="https://centrodecapacitaciondelsur.com/soporte-basico-de-vida-" TargetMode="External"/><Relationship Id="rId50" Type="http://schemas.openxmlformats.org/officeDocument/2006/relationships/hyperlink" Target="https://centrodecapacitaciondelsur.com/soporte-basico-de-vida-" TargetMode="External"/><Relationship Id="rId104" Type="http://schemas.openxmlformats.org/officeDocument/2006/relationships/hyperlink" Target="https://centrodecapacitaciondelsur.com/soporte-basico-de-vida-" TargetMode="External"/><Relationship Id="rId125" Type="http://schemas.openxmlformats.org/officeDocument/2006/relationships/hyperlink" Target="https://centrodecapacitaciondelsur.com/soporte-basico-de-vida-" TargetMode="External"/><Relationship Id="rId146" Type="http://schemas.openxmlformats.org/officeDocument/2006/relationships/hyperlink" Target="https://centrodecapacitaciondelsur.com/soporte-basico-de-vida-" TargetMode="External"/><Relationship Id="rId167" Type="http://schemas.openxmlformats.org/officeDocument/2006/relationships/hyperlink" Target="https://centrodecapacitaciondelsur.com/soporte-basico-de-vida-" TargetMode="External"/><Relationship Id="rId188" Type="http://schemas.openxmlformats.org/officeDocument/2006/relationships/hyperlink" Target="https://centrodecapacitaciondelsur.com/soporte-basico-de-vida-" TargetMode="External"/><Relationship Id="rId311" Type="http://schemas.openxmlformats.org/officeDocument/2006/relationships/hyperlink" Target="https://centrodecapacitaciondelsur.com/soporte-basico-de-vida-" TargetMode="External"/><Relationship Id="rId71" Type="http://schemas.openxmlformats.org/officeDocument/2006/relationships/hyperlink" Target="https://centrodecapacitaciondelsur.com/soporte-basico-de-vida-" TargetMode="External"/><Relationship Id="rId92" Type="http://schemas.openxmlformats.org/officeDocument/2006/relationships/hyperlink" Target="https://centrodecapacitaciondelsur.com/soporte-basico-de-vida-" TargetMode="External"/><Relationship Id="rId213" Type="http://schemas.openxmlformats.org/officeDocument/2006/relationships/hyperlink" Target="https://centrodecapacitaciondelsur.com/soporte-basico-de-vida-" TargetMode="External"/><Relationship Id="rId234" Type="http://schemas.openxmlformats.org/officeDocument/2006/relationships/hyperlink" Target="https://centrodecapacitaciondelsur.com/soporte-basico-de-vida-" TargetMode="External"/><Relationship Id="rId2" Type="http://schemas.openxmlformats.org/officeDocument/2006/relationships/hyperlink" Target="https://centrodecapacitaciondelsur.com/soporte-basico-de-vida-" TargetMode="External"/><Relationship Id="rId29" Type="http://schemas.openxmlformats.org/officeDocument/2006/relationships/hyperlink" Target="https://centrodecapacitaciondelsur.com/soporte-basico-de-vida-" TargetMode="External"/><Relationship Id="rId255" Type="http://schemas.openxmlformats.org/officeDocument/2006/relationships/hyperlink" Target="https://centrodecapacitaciondelsur.com/soporte-basico-de-vida-" TargetMode="External"/><Relationship Id="rId276" Type="http://schemas.openxmlformats.org/officeDocument/2006/relationships/hyperlink" Target="https://centrodecapacitaciondelsur.com/soporte-basico-de-vida-" TargetMode="External"/><Relationship Id="rId297" Type="http://schemas.openxmlformats.org/officeDocument/2006/relationships/hyperlink" Target="https://centrodecapacitaciondelsur.com/soporte-basico-de-vida-" TargetMode="External"/><Relationship Id="rId40" Type="http://schemas.openxmlformats.org/officeDocument/2006/relationships/hyperlink" Target="https://centrodecapacitaciondelsur.com/soporte-basico-de-vida-" TargetMode="External"/><Relationship Id="rId115" Type="http://schemas.openxmlformats.org/officeDocument/2006/relationships/hyperlink" Target="https://centrodecapacitaciondelsur.com/soporte-basico-de-vida-" TargetMode="External"/><Relationship Id="rId136" Type="http://schemas.openxmlformats.org/officeDocument/2006/relationships/hyperlink" Target="https://centrodecapacitaciondelsur.com/soporte-basico-de-vida-" TargetMode="External"/><Relationship Id="rId157" Type="http://schemas.openxmlformats.org/officeDocument/2006/relationships/hyperlink" Target="https://centrodecapacitaciondelsur.com/soporte-basico-de-vida-" TargetMode="External"/><Relationship Id="rId178" Type="http://schemas.openxmlformats.org/officeDocument/2006/relationships/hyperlink" Target="https://centrodecapacitaciondelsur.com/soporte-basico-de-vida-" TargetMode="External"/><Relationship Id="rId301" Type="http://schemas.openxmlformats.org/officeDocument/2006/relationships/hyperlink" Target="https://centrodecapacitaciondelsur.com/soporte-basico-de-vida-" TargetMode="External"/><Relationship Id="rId61" Type="http://schemas.openxmlformats.org/officeDocument/2006/relationships/hyperlink" Target="https://centrodecapacitaciondelsur.com/soporte-basico-de-vida-" TargetMode="External"/><Relationship Id="rId82" Type="http://schemas.openxmlformats.org/officeDocument/2006/relationships/hyperlink" Target="https://centrodecapacitaciondelsur.com/soporte-basico-de-vida-" TargetMode="External"/><Relationship Id="rId199" Type="http://schemas.openxmlformats.org/officeDocument/2006/relationships/hyperlink" Target="https://centrodecapacitaciondelsur.com/soporte-basico-de-vida-" TargetMode="External"/><Relationship Id="rId203" Type="http://schemas.openxmlformats.org/officeDocument/2006/relationships/hyperlink" Target="https://centrodecapacitaciondelsur.com/soporte-basico-de-vida-" TargetMode="External"/><Relationship Id="rId19" Type="http://schemas.openxmlformats.org/officeDocument/2006/relationships/hyperlink" Target="https://centrodecapacitaciondelsur.com/soporte-basico-de-vida-" TargetMode="External"/><Relationship Id="rId224" Type="http://schemas.openxmlformats.org/officeDocument/2006/relationships/hyperlink" Target="https://centrodecapacitaciondelsur.com/soporte-basico-de-vida-" TargetMode="External"/><Relationship Id="rId245" Type="http://schemas.openxmlformats.org/officeDocument/2006/relationships/hyperlink" Target="https://centrodecapacitaciondelsur.com/soporte-basico-de-vida-" TargetMode="External"/><Relationship Id="rId266" Type="http://schemas.openxmlformats.org/officeDocument/2006/relationships/hyperlink" Target="https://centrodecapacitaciondelsur.com/soporte-basico-de-vida-" TargetMode="External"/><Relationship Id="rId287" Type="http://schemas.openxmlformats.org/officeDocument/2006/relationships/hyperlink" Target="https://centrodecapacitaciondelsur.com/soporte-basico-de-vida-" TargetMode="External"/><Relationship Id="rId30" Type="http://schemas.openxmlformats.org/officeDocument/2006/relationships/hyperlink" Target="https://centrodecapacitaciondelsur.com/soporte-basico-de-vida-" TargetMode="External"/><Relationship Id="rId105" Type="http://schemas.openxmlformats.org/officeDocument/2006/relationships/hyperlink" Target="https://centrodecapacitaciondelsur.com/soporte-basico-de-vida-" TargetMode="External"/><Relationship Id="rId126" Type="http://schemas.openxmlformats.org/officeDocument/2006/relationships/hyperlink" Target="https://centrodecapacitaciondelsur.com/soporte-basico-de-vida-" TargetMode="External"/><Relationship Id="rId147" Type="http://schemas.openxmlformats.org/officeDocument/2006/relationships/hyperlink" Target="https://centrodecapacitaciondelsur.com/soporte-basico-de-vida-" TargetMode="External"/><Relationship Id="rId168" Type="http://schemas.openxmlformats.org/officeDocument/2006/relationships/hyperlink" Target="https://centrodecapacitaciondelsur.com/soporte-basico-de-vida-" TargetMode="External"/><Relationship Id="rId312" Type="http://schemas.openxmlformats.org/officeDocument/2006/relationships/hyperlink" Target="https://centrodecapacitaciondelsur.com/soporte-basico-de-vida-" TargetMode="External"/><Relationship Id="rId51" Type="http://schemas.openxmlformats.org/officeDocument/2006/relationships/hyperlink" Target="https://centrodecapacitaciondelsur.com/soporte-basico-de-vida-" TargetMode="External"/><Relationship Id="rId72" Type="http://schemas.openxmlformats.org/officeDocument/2006/relationships/hyperlink" Target="https://centrodecapacitaciondelsur.com/soporte-basico-de-vida-" TargetMode="External"/><Relationship Id="rId93" Type="http://schemas.openxmlformats.org/officeDocument/2006/relationships/hyperlink" Target="https://centrodecapacitaciondelsur.com/soporte-basico-de-vida-" TargetMode="External"/><Relationship Id="rId189" Type="http://schemas.openxmlformats.org/officeDocument/2006/relationships/hyperlink" Target="https://centrodecapacitaciondelsur.com/soporte-basico-de-vida-" TargetMode="External"/><Relationship Id="rId3" Type="http://schemas.openxmlformats.org/officeDocument/2006/relationships/hyperlink" Target="https://centrodecapacitaciondelsur.com/soporte-basico-de-vida-" TargetMode="External"/><Relationship Id="rId214" Type="http://schemas.openxmlformats.org/officeDocument/2006/relationships/hyperlink" Target="https://centrodecapacitaciondelsur.com/soporte-basico-de-vida-" TargetMode="External"/><Relationship Id="rId235" Type="http://schemas.openxmlformats.org/officeDocument/2006/relationships/hyperlink" Target="https://centrodecapacitaciondelsur.com/soporte-basico-de-vida-" TargetMode="External"/><Relationship Id="rId256" Type="http://schemas.openxmlformats.org/officeDocument/2006/relationships/hyperlink" Target="https://centrodecapacitaciondelsur.com/soporte-basico-de-vida-" TargetMode="External"/><Relationship Id="rId277" Type="http://schemas.openxmlformats.org/officeDocument/2006/relationships/hyperlink" Target="https://centrodecapacitaciondelsur.com/soporte-basico-de-vida-" TargetMode="External"/><Relationship Id="rId298" Type="http://schemas.openxmlformats.org/officeDocument/2006/relationships/hyperlink" Target="https://centrodecapacitaciondelsur.com/soporte-basico-de-vida-" TargetMode="External"/><Relationship Id="rId116" Type="http://schemas.openxmlformats.org/officeDocument/2006/relationships/hyperlink" Target="https://centrodecapacitaciondelsur.com/soporte-basico-de-vida-" TargetMode="External"/><Relationship Id="rId137" Type="http://schemas.openxmlformats.org/officeDocument/2006/relationships/hyperlink" Target="https://centrodecapacitaciondelsur.com/soporte-basico-de-vida-" TargetMode="External"/><Relationship Id="rId158" Type="http://schemas.openxmlformats.org/officeDocument/2006/relationships/hyperlink" Target="https://centrodecapacitaciondelsur.com/soporte-basico-de-vida-" TargetMode="External"/><Relationship Id="rId302" Type="http://schemas.openxmlformats.org/officeDocument/2006/relationships/hyperlink" Target="https://centrodecapacitaciondelsur.com/soporte-basico-de-vida-" TargetMode="External"/><Relationship Id="rId20" Type="http://schemas.openxmlformats.org/officeDocument/2006/relationships/hyperlink" Target="https://centrodecapacitaciondelsur.com/soporte-basico-de-vida-" TargetMode="External"/><Relationship Id="rId41" Type="http://schemas.openxmlformats.org/officeDocument/2006/relationships/hyperlink" Target="https://centrodecapacitaciondelsur.com/soporte-basico-de-vida-" TargetMode="External"/><Relationship Id="rId62" Type="http://schemas.openxmlformats.org/officeDocument/2006/relationships/hyperlink" Target="https://centrodecapacitaciondelsur.com/soporte-basico-de-vida-" TargetMode="External"/><Relationship Id="rId83" Type="http://schemas.openxmlformats.org/officeDocument/2006/relationships/hyperlink" Target="https://centrodecapacitaciondelsur.com/soporte-basico-de-vida-" TargetMode="External"/><Relationship Id="rId179" Type="http://schemas.openxmlformats.org/officeDocument/2006/relationships/hyperlink" Target="https://centrodecapacitaciondelsur.com/soporte-basico-de-vida-" TargetMode="External"/><Relationship Id="rId190" Type="http://schemas.openxmlformats.org/officeDocument/2006/relationships/hyperlink" Target="https://centrodecapacitaciondelsur.com/soporte-basico-de-vida-" TargetMode="External"/><Relationship Id="rId204" Type="http://schemas.openxmlformats.org/officeDocument/2006/relationships/hyperlink" Target="https://centrodecapacitaciondelsur.com/soporte-basico-de-vida-" TargetMode="External"/><Relationship Id="rId225" Type="http://schemas.openxmlformats.org/officeDocument/2006/relationships/hyperlink" Target="https://centrodecapacitaciondelsur.com/soporte-basico-de-vida-" TargetMode="External"/><Relationship Id="rId246" Type="http://schemas.openxmlformats.org/officeDocument/2006/relationships/hyperlink" Target="https://centrodecapacitaciondelsur.com/soporte-basico-de-vida-" TargetMode="External"/><Relationship Id="rId267" Type="http://schemas.openxmlformats.org/officeDocument/2006/relationships/hyperlink" Target="https://centrodecapacitaciondelsur.com/soporte-basico-de-vida-" TargetMode="External"/><Relationship Id="rId288" Type="http://schemas.openxmlformats.org/officeDocument/2006/relationships/hyperlink" Target="https://centrodecapacitaciondelsur.com/soporte-basico-de-vida-" TargetMode="External"/><Relationship Id="rId106" Type="http://schemas.openxmlformats.org/officeDocument/2006/relationships/hyperlink" Target="https://centrodecapacitaciondelsur.com/soporte-basico-de-vida-" TargetMode="External"/><Relationship Id="rId127" Type="http://schemas.openxmlformats.org/officeDocument/2006/relationships/hyperlink" Target="https://centrodecapacitaciondelsur.com/soporte-basico-de-vida-" TargetMode="External"/><Relationship Id="rId313" Type="http://schemas.openxmlformats.org/officeDocument/2006/relationships/hyperlink" Target="https://centrodecapacitaciondelsur.com/soporte-basico-de-vida-" TargetMode="External"/><Relationship Id="rId10" Type="http://schemas.openxmlformats.org/officeDocument/2006/relationships/hyperlink" Target="https://centrodecapacitaciondelsur.com/soporte-basico-de-vida-" TargetMode="External"/><Relationship Id="rId31" Type="http://schemas.openxmlformats.org/officeDocument/2006/relationships/hyperlink" Target="https://centrodecapacitaciondelsur.com/soporte-basico-de-vida-" TargetMode="External"/><Relationship Id="rId52" Type="http://schemas.openxmlformats.org/officeDocument/2006/relationships/hyperlink" Target="https://centrodecapacitaciondelsur.com/soporte-basico-de-vida-" TargetMode="External"/><Relationship Id="rId73" Type="http://schemas.openxmlformats.org/officeDocument/2006/relationships/hyperlink" Target="https://centrodecapacitaciondelsur.com/soporte-basico-de-vida-" TargetMode="External"/><Relationship Id="rId94" Type="http://schemas.openxmlformats.org/officeDocument/2006/relationships/hyperlink" Target="https://centrodecapacitaciondelsur.com/soporte-basico-de-vida-" TargetMode="External"/><Relationship Id="rId148" Type="http://schemas.openxmlformats.org/officeDocument/2006/relationships/hyperlink" Target="https://centrodecapacitaciondelsur.com/soporte-basico-de-vida-" TargetMode="External"/><Relationship Id="rId169" Type="http://schemas.openxmlformats.org/officeDocument/2006/relationships/hyperlink" Target="https://centrodecapacitaciondelsur.com/soporte-basico-de-vida-" TargetMode="External"/><Relationship Id="rId4" Type="http://schemas.openxmlformats.org/officeDocument/2006/relationships/hyperlink" Target="https://centrodecapacitaciondelsur.com/soporte-basico-de-vida-" TargetMode="External"/><Relationship Id="rId180" Type="http://schemas.openxmlformats.org/officeDocument/2006/relationships/hyperlink" Target="https://centrodecapacitaciondelsur.com/soporte-basico-de-vida-" TargetMode="External"/><Relationship Id="rId215" Type="http://schemas.openxmlformats.org/officeDocument/2006/relationships/hyperlink" Target="https://centrodecapacitaciondelsur.com/soporte-basico-de-vida-" TargetMode="External"/><Relationship Id="rId236" Type="http://schemas.openxmlformats.org/officeDocument/2006/relationships/hyperlink" Target="https://centrodecapacitaciondelsur.com/soporte-basico-de-vida-" TargetMode="External"/><Relationship Id="rId257" Type="http://schemas.openxmlformats.org/officeDocument/2006/relationships/hyperlink" Target="https://centrodecapacitaciondelsur.com/soporte-basico-de-vida-" TargetMode="External"/><Relationship Id="rId278" Type="http://schemas.openxmlformats.org/officeDocument/2006/relationships/hyperlink" Target="https://centrodecapacitaciondelsur.com/soporte-basico-de-vida-" TargetMode="External"/><Relationship Id="rId303" Type="http://schemas.openxmlformats.org/officeDocument/2006/relationships/hyperlink" Target="https://centrodecapacitaciondelsur.com/soporte-basico-de-vida-" TargetMode="External"/><Relationship Id="rId42" Type="http://schemas.openxmlformats.org/officeDocument/2006/relationships/hyperlink" Target="https://centrodecapacitaciondelsur.com/soporte-basico-de-vida-" TargetMode="External"/><Relationship Id="rId84" Type="http://schemas.openxmlformats.org/officeDocument/2006/relationships/hyperlink" Target="https://centrodecapacitaciondelsur.com/soporte-basico-de-vida-" TargetMode="External"/><Relationship Id="rId138" Type="http://schemas.openxmlformats.org/officeDocument/2006/relationships/hyperlink" Target="https://centrodecapacitaciondelsur.com/soporte-basico-de-vida-" TargetMode="External"/><Relationship Id="rId191" Type="http://schemas.openxmlformats.org/officeDocument/2006/relationships/hyperlink" Target="https://centrodecapacitaciondelsur.com/soporte-basico-de-vida-" TargetMode="External"/><Relationship Id="rId205" Type="http://schemas.openxmlformats.org/officeDocument/2006/relationships/hyperlink" Target="https://centrodecapacitaciondelsur.com/soporte-basico-de-vida-" TargetMode="External"/><Relationship Id="rId247" Type="http://schemas.openxmlformats.org/officeDocument/2006/relationships/hyperlink" Target="https://centrodecapacitaciondelsur.com/soporte-basico-de-vida-" TargetMode="External"/><Relationship Id="rId107" Type="http://schemas.openxmlformats.org/officeDocument/2006/relationships/hyperlink" Target="https://centrodecapacitaciondelsur.com/soporte-basico-de-vida-" TargetMode="External"/><Relationship Id="rId289" Type="http://schemas.openxmlformats.org/officeDocument/2006/relationships/hyperlink" Target="https://centrodecapacitaciondelsur.com/soporte-basico-de-vida-" TargetMode="External"/><Relationship Id="rId11" Type="http://schemas.openxmlformats.org/officeDocument/2006/relationships/hyperlink" Target="https://centrodecapacitaciondelsur.com/soporte-basico-de-vida-" TargetMode="External"/><Relationship Id="rId53" Type="http://schemas.openxmlformats.org/officeDocument/2006/relationships/hyperlink" Target="https://centrodecapacitaciondelsur.com/soporte-basico-de-vida-" TargetMode="External"/><Relationship Id="rId149" Type="http://schemas.openxmlformats.org/officeDocument/2006/relationships/hyperlink" Target="https://centrodecapacitaciondelsur.com/soporte-basico-de-vida-" TargetMode="External"/><Relationship Id="rId314" Type="http://schemas.openxmlformats.org/officeDocument/2006/relationships/hyperlink" Target="https://centrodecapacitaciondelsur.com/soporte-basico-de-vida-" TargetMode="External"/><Relationship Id="rId95" Type="http://schemas.openxmlformats.org/officeDocument/2006/relationships/hyperlink" Target="https://centrodecapacitaciondelsur.com/soporte-basico-de-vida-" TargetMode="External"/><Relationship Id="rId160" Type="http://schemas.openxmlformats.org/officeDocument/2006/relationships/hyperlink" Target="https://centrodecapacitaciondelsur.com/soporte-basico-de-vida-" TargetMode="External"/><Relationship Id="rId216" Type="http://schemas.openxmlformats.org/officeDocument/2006/relationships/hyperlink" Target="https://centrodecapacitaciondelsur.com/soporte-basico-de-vida-" TargetMode="External"/><Relationship Id="rId258" Type="http://schemas.openxmlformats.org/officeDocument/2006/relationships/hyperlink" Target="https://centrodecapacitaciondelsur.com/soporte-basico-de-vida-" TargetMode="External"/><Relationship Id="rId22" Type="http://schemas.openxmlformats.org/officeDocument/2006/relationships/hyperlink" Target="https://centrodecapacitaciondelsur.com/soporte-basico-de-vida-" TargetMode="External"/><Relationship Id="rId64" Type="http://schemas.openxmlformats.org/officeDocument/2006/relationships/hyperlink" Target="https://centrodecapacitaciondelsur.com/soporte-basico-de-vida-" TargetMode="External"/><Relationship Id="rId118" Type="http://schemas.openxmlformats.org/officeDocument/2006/relationships/hyperlink" Target="https://centrodecapacitaciondelsur.com/soporte-basico-de-vida-" TargetMode="External"/><Relationship Id="rId171" Type="http://schemas.openxmlformats.org/officeDocument/2006/relationships/hyperlink" Target="https://centrodecapacitaciondelsur.com/soporte-basico-de-vida-" TargetMode="External"/><Relationship Id="rId227" Type="http://schemas.openxmlformats.org/officeDocument/2006/relationships/hyperlink" Target="https://centrodecapacitaciondelsur.com/soporte-basico-de-vida-" TargetMode="External"/><Relationship Id="rId269" Type="http://schemas.openxmlformats.org/officeDocument/2006/relationships/hyperlink" Target="https://centrodecapacitaciondelsur.com/soporte-basico-de-vida-" TargetMode="External"/><Relationship Id="rId33" Type="http://schemas.openxmlformats.org/officeDocument/2006/relationships/hyperlink" Target="https://centrodecapacitaciondelsur.com/soporte-basico-de-vida-" TargetMode="External"/><Relationship Id="rId129" Type="http://schemas.openxmlformats.org/officeDocument/2006/relationships/hyperlink" Target="https://centrodecapacitaciondelsur.com/soporte-basico-de-vida-" TargetMode="External"/><Relationship Id="rId280" Type="http://schemas.openxmlformats.org/officeDocument/2006/relationships/hyperlink" Target="https://centrodecapacitaciondelsur.com/soporte-basico-de-vida-" TargetMode="External"/><Relationship Id="rId75" Type="http://schemas.openxmlformats.org/officeDocument/2006/relationships/hyperlink" Target="https://centrodecapacitaciondelsur.com/soporte-basico-de-vida-" TargetMode="External"/><Relationship Id="rId140" Type="http://schemas.openxmlformats.org/officeDocument/2006/relationships/hyperlink" Target="https://centrodecapacitaciondelsur.com/soporte-basico-de-vida-" TargetMode="External"/><Relationship Id="rId182" Type="http://schemas.openxmlformats.org/officeDocument/2006/relationships/hyperlink" Target="https://centrodecapacitaciondelsur.com/soporte-basico-de-vida-" TargetMode="External"/><Relationship Id="rId6" Type="http://schemas.openxmlformats.org/officeDocument/2006/relationships/hyperlink" Target="https://centrodecapacitaciondelsur.com/soporte-basico-de-vida-" TargetMode="External"/><Relationship Id="rId238" Type="http://schemas.openxmlformats.org/officeDocument/2006/relationships/hyperlink" Target="https://centrodecapacitaciondelsur.com/soporte-basico-de-vida-" TargetMode="External"/><Relationship Id="rId291" Type="http://schemas.openxmlformats.org/officeDocument/2006/relationships/hyperlink" Target="https://centrodecapacitaciondelsur.com/soporte-basico-de-vida-" TargetMode="External"/><Relationship Id="rId305" Type="http://schemas.openxmlformats.org/officeDocument/2006/relationships/hyperlink" Target="https://centrodecapacitaciondelsur.com/soporte-basico-de-vida-" TargetMode="External"/><Relationship Id="rId44" Type="http://schemas.openxmlformats.org/officeDocument/2006/relationships/hyperlink" Target="https://centrodecapacitaciondelsur.com/soporte-basico-de-vida-" TargetMode="External"/><Relationship Id="rId86" Type="http://schemas.openxmlformats.org/officeDocument/2006/relationships/hyperlink" Target="https://centrodecapacitaciondelsur.com/soporte-basico-de-vida-" TargetMode="External"/><Relationship Id="rId151" Type="http://schemas.openxmlformats.org/officeDocument/2006/relationships/hyperlink" Target="https://centrodecapacitaciondelsur.com/soporte-basico-de-vida-" TargetMode="External"/><Relationship Id="rId193" Type="http://schemas.openxmlformats.org/officeDocument/2006/relationships/hyperlink" Target="https://centrodecapacitaciondelsur.com/soporte-basico-de-vida-" TargetMode="External"/><Relationship Id="rId207" Type="http://schemas.openxmlformats.org/officeDocument/2006/relationships/hyperlink" Target="https://centrodecapacitaciondelsur.com/soporte-basico-de-vida-" TargetMode="External"/><Relationship Id="rId249" Type="http://schemas.openxmlformats.org/officeDocument/2006/relationships/hyperlink" Target="https://centrodecapacitaciondelsur.com/soporte-basico-de-vida-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1048556"/>
  <sheetViews>
    <sheetView tabSelected="1" zoomScale="50" zoomScaleNormal="50" workbookViewId="0">
      <pane xSplit="1" ySplit="1" topLeftCell="B2" activePane="bottomRight" state="frozen"/>
      <selection pane="topRight"/>
      <selection pane="bottomLeft"/>
      <selection pane="bottomRight" activeCell="E94" sqref="E94"/>
    </sheetView>
  </sheetViews>
  <sheetFormatPr baseColWidth="10" defaultRowHeight="15" x14ac:dyDescent="0.2"/>
  <cols>
    <col min="1" max="1" width="4.77734375" style="39" customWidth="1"/>
    <col min="2" max="2" width="34.5546875" style="39" bestFit="1" customWidth="1"/>
    <col min="3" max="3" width="21.44140625" style="39" bestFit="1" customWidth="1"/>
    <col min="4" max="4" width="23.44140625" style="39" bestFit="1" customWidth="1"/>
    <col min="5" max="5" width="20.77734375" style="39" bestFit="1" customWidth="1"/>
    <col min="6" max="6" width="22.77734375" style="39" bestFit="1" customWidth="1"/>
    <col min="7" max="7" width="5.6640625" style="39" bestFit="1" customWidth="1"/>
    <col min="8" max="8" width="10.5546875" style="39" bestFit="1" customWidth="1"/>
    <col min="9" max="9" width="15.21875" style="39" bestFit="1" customWidth="1"/>
    <col min="10" max="10" width="21.44140625" style="42" bestFit="1" customWidth="1"/>
    <col min="11" max="11" width="22.33203125" style="43" bestFit="1" customWidth="1"/>
    <col min="12" max="12" width="19.44140625" style="39" bestFit="1" customWidth="1"/>
    <col min="13" max="13" width="12.109375" style="39" bestFit="1" customWidth="1"/>
    <col min="14" max="14" width="17.44140625" style="39" bestFit="1" customWidth="1"/>
    <col min="15" max="15" width="29.44140625" style="39" bestFit="1" customWidth="1"/>
    <col min="16" max="16" width="27.44140625" style="39" bestFit="1" customWidth="1"/>
    <col min="17" max="17" width="10.77734375" style="39" bestFit="1" customWidth="1"/>
    <col min="18" max="18" width="39.44140625" style="39" bestFit="1" customWidth="1"/>
    <col min="19" max="19" width="13.6640625" style="39" bestFit="1" customWidth="1"/>
    <col min="20" max="20" width="32.5546875" style="46" bestFit="1" customWidth="1"/>
    <col min="21" max="21" width="81.44140625" style="46" bestFit="1" customWidth="1"/>
    <col min="22" max="23" width="33.21875" style="46" bestFit="1" customWidth="1"/>
    <col min="24" max="24" width="65.6640625" style="41" bestFit="1" customWidth="1"/>
    <col min="25" max="16384" width="11.5546875" style="41"/>
  </cols>
  <sheetData>
    <row r="1" spans="1:24" s="67" customFormat="1" ht="15.75" x14ac:dyDescent="0.2">
      <c r="A1" s="58" t="s">
        <v>67</v>
      </c>
      <c r="B1" s="59" t="s">
        <v>0</v>
      </c>
      <c r="C1" s="60" t="s">
        <v>1</v>
      </c>
      <c r="D1" s="60" t="s">
        <v>2</v>
      </c>
      <c r="E1" s="60" t="s">
        <v>3</v>
      </c>
      <c r="F1" s="60" t="s">
        <v>4</v>
      </c>
      <c r="G1" s="61" t="s">
        <v>5</v>
      </c>
      <c r="H1" s="61" t="s">
        <v>6</v>
      </c>
      <c r="I1" s="62" t="s">
        <v>88</v>
      </c>
      <c r="J1" s="63" t="s">
        <v>7</v>
      </c>
      <c r="K1" s="64" t="s">
        <v>8</v>
      </c>
      <c r="L1" s="60" t="s">
        <v>9</v>
      </c>
      <c r="M1" s="60" t="s">
        <v>68</v>
      </c>
      <c r="N1" s="60" t="s">
        <v>10</v>
      </c>
      <c r="O1" s="60" t="s">
        <v>11</v>
      </c>
      <c r="P1" s="65" t="s">
        <v>66</v>
      </c>
      <c r="Q1" s="60" t="s">
        <v>12</v>
      </c>
      <c r="R1" s="60" t="s">
        <v>13</v>
      </c>
      <c r="S1" s="60" t="s">
        <v>14</v>
      </c>
      <c r="T1" s="60" t="s">
        <v>69</v>
      </c>
      <c r="U1" s="66" t="s">
        <v>15</v>
      </c>
      <c r="V1" s="66" t="s">
        <v>16</v>
      </c>
      <c r="W1" s="66" t="s">
        <v>17</v>
      </c>
      <c r="X1" s="66" t="s">
        <v>18</v>
      </c>
    </row>
    <row r="2" spans="1:24" s="67" customFormat="1" x14ac:dyDescent="0.2">
      <c r="A2" s="68">
        <v>1</v>
      </c>
      <c r="B2" s="53">
        <v>1085339869</v>
      </c>
      <c r="C2" s="53" t="s">
        <v>98</v>
      </c>
      <c r="D2" s="53" t="s">
        <v>99</v>
      </c>
      <c r="E2" s="53" t="s">
        <v>100</v>
      </c>
      <c r="F2" s="53" t="s">
        <v>101</v>
      </c>
      <c r="G2" s="53">
        <v>2</v>
      </c>
      <c r="H2" s="53" t="s">
        <v>102</v>
      </c>
      <c r="I2" s="53" t="s">
        <v>103</v>
      </c>
      <c r="J2" s="54">
        <v>45628</v>
      </c>
      <c r="K2" s="55">
        <v>40000</v>
      </c>
      <c r="L2" s="53" t="s">
        <v>104</v>
      </c>
      <c r="M2" s="53" t="s">
        <v>105</v>
      </c>
      <c r="N2" s="53" t="s">
        <v>106</v>
      </c>
      <c r="O2" s="53" t="s">
        <v>42</v>
      </c>
      <c r="P2" s="56">
        <v>35865</v>
      </c>
      <c r="Q2" s="53" t="s">
        <v>107</v>
      </c>
      <c r="R2" s="53" t="s">
        <v>108</v>
      </c>
      <c r="S2" s="53">
        <v>3158927601</v>
      </c>
      <c r="T2" s="53" t="s">
        <v>109</v>
      </c>
      <c r="U2" s="57" t="str">
        <f>IF(O2=CURSOS!$D$3,"DIPLOMADO EN ATENCION PRE-HOSPITALARIA",IF(O2=CURSOS!$D$4,"ACOMPAÑAMIENTO Y MANEJO DEL DUELO",IF(O2=CURSOS!$D$5,"ATENCION A VICTIMAS DE ATAQUE CON AGENTES QUIMICOS ",IF(O2=CURSOS!$D$6,"PRIMEROS AUXILIOS ",IF(O2=CURSOS!$D$7,"DIPLOMADO DE UNIDAD DE CUIDADOS INTENSIVOS (UCI)",IF(O2=CURSOS!$D$8,"MODELO DE ATENCION PARA EVENTOS EMERGENTES EN SALUD MENTAL (CODIGO VERDE)",IF(O2=CURSOS!$D$9,"HUMANIZACION EN EL SERVICIO DE LA SALUD Y BUENAS PRACTICAS EN PACIENTE ",IF(O2=CURSOS!$D$10,"CLINICA DE HERIDAS ",IF(O2=CURSOS!$D$11,"TOMA DE CITOLOGIA CERVICO VAGINAL ",IF(O2=CURSOS!$D$12,"SOPORTE CARDIOVASCULAR AVANZADO (ACLS) ",IF(O2=CURSOS!$D$13,"CAMILLERO ",IF(O2=CURSOS!$D$14,"TOMA DE MUESTRAS Y LABORATORIO ",IF(O2=CURSOS!$D$15,"SOPORTE VITAL BASICO (BLS)",IF(O2=CURSOS!$D$16,"ATENCION A VICTIMAS DE VIOLENCIA SEXUAL ",IF(O2=CURSOS!$D$17,"PROGRAMADO AMPLIADO DE INMUNIZACION (PAI - COVID 19)",IF(O2=CURSOS!$D$18,"ATENCION INTEGRAL EN ENFERMEDADES PREVALENTES EN PRIMERA INFANCIA (AIEPI)",IF(O2=CURSOS!$D$19,"ADMINISTRACION DE MEDICAMENTOS, INYECTOLOGIA  Y CANALIZACION ",IF(O2=CURSOS!$D$20,"OPERADOR DE VEHICULOS DE EMERGENCIA (OVE)",IF(O2=CURSOS!$D$21,"INSTITUCIONES AMIGAS DE LA MUJER Y LA INFANCIA (IAMI)",IF(O2=CURSOS!$D$22,"CUIDADO DEL DONANTE DE ORGANOS",IF(O2=CURSOS!$D$23,"ATENCION A VICTIMAS POR VIOLENCIA DE GENERO",IF(O2=CURSOS!$D$24,"IGUALDAD DE GENERO EN LA SALUD",IF(O2=CURSOS!$D$25,"BRIGADA DE EMERGENCIA",IF(O2=CURSOS!$D$26,"MANEJO DEL DOLOR Y CUIDADOS PALIATIVOS",IF(O2=CURSOS!$D$27,"TOMA DE MUESTRAS Y LABORATORIO POCT",IF(O2=CURSOS!$D$28,"IMPLANTE SUBDERMICO DE DISPOSITIVO INTRAUTERINO",IF(O2=CURSOS!$D$29,"SALUD MENTAL",IF(O2=CURSOS!$D$30,"PRIMEROS AUXILIOS PSICOLOGICOS",IF(O2=CURSOS!$D$31,"ATENCION A VICTIMAS POR CONFLICTO ARMADO",IF(O2=CURSOS!$D$32,"MANIPULACION DE ALIMENTOS Y BPM",IF(O2=CURSOS!$D$33,"ATENCION A PERSONAS CON DISCAPACIDAD",IF(O2=CURSOS!$D$34,"CUIDADO INTEGRAL DEL PACIENTE ADULTO",IF(O2=CURSOS!$D$35,"MANEJO DEFENSIVO",IF(O2=CURSOS!$D$36,"SOPORTE CARDIOVASCULAR AVANZADO NEONATAL",IF(O2=CURSOS!$D$37,"SEGURIDAD DEL PACIENTE",IF(O2=CURSOS!$D$38,"MANEJO DE RESIDUOS HOSPITALARIOS"))))))))))))))))))))))))))))))))))))</f>
        <v xml:space="preserve">ATENCION A VICTIMAS DE VIOLENCIA SEXUAL </v>
      </c>
      <c r="V2" s="57" t="str">
        <f>CONCATENATE(E2," ",F2," ",C2," ",D2)</f>
        <v>Sara Paola Fajardo Pantoja</v>
      </c>
      <c r="W2" s="57" t="str">
        <f>PROPER(V2)</f>
        <v>Sara Paola Fajardo Pantoja</v>
      </c>
      <c r="X2" s="57" t="str">
        <f>CONCATENATE(V2,"-",B2,"-",O2)</f>
        <v>Sara Paola Fajardo Pantoja-1085339869-VIOLENCIA SEXUAL</v>
      </c>
    </row>
    <row r="3" spans="1:24" s="67" customFormat="1" x14ac:dyDescent="0.2">
      <c r="A3" s="68">
        <v>2</v>
      </c>
      <c r="B3" s="53">
        <v>1004342833</v>
      </c>
      <c r="C3" s="53" t="s">
        <v>110</v>
      </c>
      <c r="D3" s="53" t="s">
        <v>111</v>
      </c>
      <c r="E3" s="53" t="s">
        <v>112</v>
      </c>
      <c r="F3" s="53" t="s">
        <v>113</v>
      </c>
      <c r="G3" s="53">
        <v>2</v>
      </c>
      <c r="H3" s="53" t="s">
        <v>102</v>
      </c>
      <c r="I3" s="56" t="s">
        <v>103</v>
      </c>
      <c r="J3" s="54">
        <v>45628</v>
      </c>
      <c r="K3" s="69">
        <v>35000</v>
      </c>
      <c r="L3" s="53" t="s">
        <v>114</v>
      </c>
      <c r="M3" s="53" t="s">
        <v>105</v>
      </c>
      <c r="N3" s="53" t="s">
        <v>106</v>
      </c>
      <c r="O3" s="53" t="s">
        <v>32</v>
      </c>
      <c r="P3" s="56">
        <v>37393</v>
      </c>
      <c r="Q3" s="53" t="s">
        <v>107</v>
      </c>
      <c r="R3" s="53" t="s">
        <v>116</v>
      </c>
      <c r="S3" s="70">
        <v>3137401137</v>
      </c>
      <c r="T3" s="53" t="s">
        <v>115</v>
      </c>
      <c r="U3" s="57" t="str">
        <f>IF(O3=CURSOS!$D$3,"DIPLOMADO EN ATENCION PRE-HOSPITALARIA",IF(O3=CURSOS!$D$4,"ACOMPAÑAMIENTO Y MANEJO DEL DUELO",IF(O3=CURSOS!$D$5,"ATENCION A VICTIMAS DE ATAQUE CON AGENTES QUIMICOS ",IF(O3=CURSOS!$D$6,"PRIMEROS AUXILIOS ",IF(O3=CURSOS!$D$7,"DIPLOMADO DE UNIDAD DE CUIDADOS INTENSIVOS (UCI)",IF(O3=CURSOS!$D$8,"MODELO DE ATENCION PARA EVENTOS EMERGENTES EN SALUD MENTAL (CODIGO VERDE)",IF(O3=CURSOS!$D$9,"HUMANIZACION EN EL SERVICIO DE LA SALUD Y BUENAS PRACTICAS EN PACIENTE ",IF(O3=CURSOS!$D$10,"CLINICA DE HERIDAS ",IF(O3=CURSOS!$D$11,"TOMA DE CITOLOGIA CERVICO VAGINAL ",IF(O3=CURSOS!$D$12,"SOPORTE CARDIOVASCULAR AVANZADO (ACLS) ",IF(O3=CURSOS!$D$13,"CAMILLERO ",IF(O3=CURSOS!$D$14,"TOMA DE MUESTRAS Y LABORATORIO ",IF(O3=CURSOS!$D$15,"SOPORTE VITAL BASICO (BLS)",IF(O3=CURSOS!$D$16,"ATENCION A VICTIMAS DE VIOLENCIA SEXUAL ",IF(O3=CURSOS!$D$17,"PROGRAMADO AMPLIADO DE INMUNIZACION (PAI - COVID 19)",IF(O3=CURSOS!$D$18,"ATENCION INTEGRAL EN ENFERMEDADES PREVALENTES EN PRIMERA INFANCIA (AIEPI)",IF(O3=CURSOS!$D$19,"ADMINISTRACION DE MEDICAMENTOS, INYECTOLOGIA  Y CANALIZACION ",IF(O3=CURSOS!$D$20,"OPERADOR DE VEHICULOS DE EMERGENCIA (OVE)",IF(O3=CURSOS!$D$21,"INSTITUCIONES AMIGAS DE LA MUJER Y LA INFANCIA (IAMI)",IF(O3=CURSOS!$D$22,"CUIDADO DEL DONANTE DE ORGANOS",IF(O3=CURSOS!$D$23,"ATENCION A VICTIMAS POR VIOLENCIA DE GENERO",IF(O3=CURSOS!$D$24,"IGUALDAD DE GENERO EN LA SALUD",IF(O3=CURSOS!$D$25,"BRIGADA DE EMERGENCIA",IF(O3=CURSOS!$D$26,"MANEJO DEL DOLOR Y CUIDADOS PALIATIVOS",IF(O3=CURSOS!$D$27,"TOMA DE MUESTRAS Y LABORATORIO POCT",IF(O3=CURSOS!$D$28,"IMPLANTE SUBDERMICO DE DISPOSITIVO INTRAUTERINO",IF(O3=CURSOS!$D$29,"SALUD MENTAL",IF(O3=CURSOS!$D$30,"PRIMEROS AUXILIOS PSICOLOGICOS",IF(O3=CURSOS!$D$31,"ATENCION A VICTIMAS POR CONFLICTO ARMADO",IF(O3=CURSOS!$D$32,"MANIPULACION DE ALIMENTOS Y BPM",IF(O3=CURSOS!$D$33,"ATENCION A PERSONAS CON DISCAPACIDAD",IF(O3=CURSOS!$D$34,"CUIDADO INTEGRAL DEL PACIENTE ADULTO",IF(O3=CURSOS!$D$35,"MANEJO DEFENSIVO",IF(O3=CURSOS!$D$36,"SOPORTE CARDIOVASCULAR AVANZADO NEONATAL",IF(O3=CURSOS!$D$37,"SEGURIDAD DEL PACIENTE",IF(O3=CURSOS!$D$38,"MANEJO DE RESIDUOS HOSPITALARIOS"))))))))))))))))))))))))))))))))))))</f>
        <v xml:space="preserve">HUMANIZACION EN EL SERVICIO DE LA SALUD Y BUENAS PRACTICAS EN PACIENTE </v>
      </c>
      <c r="V3" s="57" t="str">
        <f t="shared" ref="V3:V64" si="0">CONCATENATE(E3," ",F3," ",C3," ",D3)</f>
        <v>Nayely Vanessa López Villota</v>
      </c>
      <c r="W3" s="57" t="str">
        <f t="shared" ref="W3:W64" si="1">PROPER(V3)</f>
        <v>Nayely Vanessa López Villota</v>
      </c>
      <c r="X3" s="57" t="str">
        <f t="shared" ref="X3:X64" si="2">CONCATENATE(V3,"-",B3,"-",O3)</f>
        <v>Nayely Vanessa López Villota-1004342833-HUMANIZACION</v>
      </c>
    </row>
    <row r="4" spans="1:24" s="67" customFormat="1" x14ac:dyDescent="0.2">
      <c r="A4" s="68">
        <v>3</v>
      </c>
      <c r="B4" s="53">
        <v>1004342833</v>
      </c>
      <c r="C4" s="53" t="s">
        <v>110</v>
      </c>
      <c r="D4" s="53" t="s">
        <v>111</v>
      </c>
      <c r="E4" s="53" t="s">
        <v>112</v>
      </c>
      <c r="F4" s="53" t="s">
        <v>113</v>
      </c>
      <c r="G4" s="53">
        <v>2</v>
      </c>
      <c r="H4" s="53" t="s">
        <v>102</v>
      </c>
      <c r="I4" s="56" t="s">
        <v>103</v>
      </c>
      <c r="J4" s="54">
        <v>45628</v>
      </c>
      <c r="K4" s="69">
        <v>35000</v>
      </c>
      <c r="L4" s="53" t="s">
        <v>114</v>
      </c>
      <c r="M4" s="53" t="s">
        <v>105</v>
      </c>
      <c r="N4" s="53" t="s">
        <v>106</v>
      </c>
      <c r="O4" s="53" t="s">
        <v>19</v>
      </c>
      <c r="P4" s="56">
        <v>37393</v>
      </c>
      <c r="Q4" s="53" t="s">
        <v>107</v>
      </c>
      <c r="R4" s="53" t="s">
        <v>116</v>
      </c>
      <c r="S4" s="70">
        <v>3137401137</v>
      </c>
      <c r="T4" s="53" t="s">
        <v>115</v>
      </c>
      <c r="U4" s="57" t="str">
        <f>IF(O4=CURSOS!$D$3,"DIPLOMADO EN ATENCION PRE-HOSPITALARIA",IF(O4=CURSOS!$D$4,"ACOMPAÑAMIENTO Y MANEJO DEL DUELO",IF(O4=CURSOS!$D$5,"ATENCION A VICTIMAS DE ATAQUE CON AGENTES QUIMICOS ",IF(O4=CURSOS!$D$6,"PRIMEROS AUXILIOS ",IF(O4=CURSOS!$D$7,"DIPLOMADO DE UNIDAD DE CUIDADOS INTENSIVOS (UCI)",IF(O4=CURSOS!$D$8,"MODELO DE ATENCION PARA EVENTOS EMERGENTES EN SALUD MENTAL (CODIGO VERDE)",IF(O4=CURSOS!$D$9,"HUMANIZACION EN EL SERVICIO DE LA SALUD Y BUENAS PRACTICAS EN PACIENTE ",IF(O4=CURSOS!$D$10,"CLINICA DE HERIDAS ",IF(O4=CURSOS!$D$11,"TOMA DE CITOLOGIA CERVICO VAGINAL ",IF(O4=CURSOS!$D$12,"SOPORTE CARDIOVASCULAR AVANZADO (ACLS) ",IF(O4=CURSOS!$D$13,"CAMILLERO ",IF(O4=CURSOS!$D$14,"TOMA DE MUESTRAS Y LABORATORIO ",IF(O4=CURSOS!$D$15,"SOPORTE VITAL BASICO (BLS)",IF(O4=CURSOS!$D$16,"ATENCION A VICTIMAS DE VIOLENCIA SEXUAL ",IF(O4=CURSOS!$D$17,"PROGRAMADO AMPLIADO DE INMUNIZACION (PAI - COVID 19)",IF(O4=CURSOS!$D$18,"ATENCION INTEGRAL EN ENFERMEDADES PREVALENTES EN PRIMERA INFANCIA (AIEPI)",IF(O4=CURSOS!$D$19,"ADMINISTRACION DE MEDICAMENTOS, INYECTOLOGIA  Y CANALIZACION ",IF(O4=CURSOS!$D$20,"OPERADOR DE VEHICULOS DE EMERGENCIA (OVE)",IF(O4=CURSOS!$D$21,"INSTITUCIONES AMIGAS DE LA MUJER Y LA INFANCIA (IAMI)",IF(O4=CURSOS!$D$22,"CUIDADO DEL DONANTE DE ORGANOS",IF(O4=CURSOS!$D$23,"ATENCION A VICTIMAS POR VIOLENCIA DE GENERO",IF(O4=CURSOS!$D$24,"IGUALDAD DE GENERO EN LA SALUD",IF(O4=CURSOS!$D$25,"BRIGADA DE EMERGENCIA",IF(O4=CURSOS!$D$26,"MANEJO DEL DOLOR Y CUIDADOS PALIATIVOS",IF(O4=CURSOS!$D$27,"TOMA DE MUESTRAS Y LABORATORIO POCT",IF(O4=CURSOS!$D$28,"IMPLANTE SUBDERMICO DE DISPOSITIVO INTRAUTERINO",IF(O4=CURSOS!$D$29,"SALUD MENTAL",IF(O4=CURSOS!$D$30,"PRIMEROS AUXILIOS PSICOLOGICOS",IF(O4=CURSOS!$D$31,"ATENCION A VICTIMAS POR CONFLICTO ARMADO",IF(O4=CURSOS!$D$32,"MANIPULACION DE ALIMENTOS Y BPM",IF(O4=CURSOS!$D$33,"ATENCION A PERSONAS CON DISCAPACIDAD",IF(O4=CURSOS!$D$34,"CUIDADO INTEGRAL DEL PACIENTE ADULTO",IF(O4=CURSOS!$D$35,"MANEJO DEFENSIVO",IF(O4=CURSOS!$D$36,"SOPORTE CARDIOVASCULAR AVANZADO NEONATAL",IF(O4=CURSOS!$D$37,"SEGURIDAD DEL PACIENTE",IF(O4=CURSOS!$D$38,"MANEJO DE RESIDUOS HOSPITALARIOS"))))))))))))))))))))))))))))))))))))</f>
        <v>SOPORTE VITAL BASICO (BLS)</v>
      </c>
      <c r="V4" s="57" t="str">
        <f t="shared" si="0"/>
        <v>Nayely Vanessa López Villota</v>
      </c>
      <c r="W4" s="57" t="str">
        <f t="shared" si="1"/>
        <v>Nayely Vanessa López Villota</v>
      </c>
      <c r="X4" s="57" t="str">
        <f t="shared" si="2"/>
        <v>Nayely Vanessa López Villota-1004342833-BLS</v>
      </c>
    </row>
    <row r="5" spans="1:24" s="67" customFormat="1" x14ac:dyDescent="0.2">
      <c r="A5" s="68">
        <v>4</v>
      </c>
      <c r="B5" s="53">
        <v>1113635839</v>
      </c>
      <c r="C5" s="53" t="s">
        <v>117</v>
      </c>
      <c r="D5" s="53" t="s">
        <v>118</v>
      </c>
      <c r="E5" s="53" t="s">
        <v>119</v>
      </c>
      <c r="F5" s="53" t="s">
        <v>120</v>
      </c>
      <c r="G5" s="53">
        <v>2</v>
      </c>
      <c r="H5" s="53" t="s">
        <v>102</v>
      </c>
      <c r="I5" s="56" t="s">
        <v>103</v>
      </c>
      <c r="J5" s="54">
        <v>45626</v>
      </c>
      <c r="K5" s="69">
        <v>28000</v>
      </c>
      <c r="L5" s="53" t="s">
        <v>104</v>
      </c>
      <c r="M5" s="53" t="s">
        <v>105</v>
      </c>
      <c r="N5" s="53" t="s">
        <v>132</v>
      </c>
      <c r="O5" s="53" t="s">
        <v>19</v>
      </c>
      <c r="P5" s="56">
        <v>32260</v>
      </c>
      <c r="Q5" s="53" t="s">
        <v>107</v>
      </c>
      <c r="R5" s="53" t="s">
        <v>116</v>
      </c>
      <c r="S5" s="70">
        <v>3128218946</v>
      </c>
      <c r="T5" s="70" t="s">
        <v>121</v>
      </c>
      <c r="U5" s="57" t="str">
        <f>IF(O5=CURSOS!$D$3,"DIPLOMADO EN ATENCION PRE-HOSPITALARIA",IF(O5=CURSOS!$D$4,"ACOMPAÑAMIENTO Y MANEJO DEL DUELO",IF(O5=CURSOS!$D$5,"ATENCION A VICTIMAS DE ATAQUE CON AGENTES QUIMICOS ",IF(O5=CURSOS!$D$6,"PRIMEROS AUXILIOS ",IF(O5=CURSOS!$D$7,"DIPLOMADO DE UNIDAD DE CUIDADOS INTENSIVOS (UCI)",IF(O5=CURSOS!$D$8,"MODELO DE ATENCION PARA EVENTOS EMERGENTES EN SALUD MENTAL (CODIGO VERDE)",IF(O5=CURSOS!$D$9,"HUMANIZACION EN EL SERVICIO DE LA SALUD Y BUENAS PRACTICAS EN PACIENTE ",IF(O5=CURSOS!$D$10,"CLINICA DE HERIDAS ",IF(O5=CURSOS!$D$11,"TOMA DE CITOLOGIA CERVICO VAGINAL ",IF(O5=CURSOS!$D$12,"SOPORTE CARDIOVASCULAR AVANZADO (ACLS) ",IF(O5=CURSOS!$D$13,"CAMILLERO ",IF(O5=CURSOS!$D$14,"TOMA DE MUESTRAS Y LABORATORIO ",IF(O5=CURSOS!$D$15,"SOPORTE VITAL BASICO (BLS)",IF(O5=CURSOS!$D$16,"ATENCION A VICTIMAS DE VIOLENCIA SEXUAL ",IF(O5=CURSOS!$D$17,"PROGRAMADO AMPLIADO DE INMUNIZACION (PAI - COVID 19)",IF(O5=CURSOS!$D$18,"ATENCION INTEGRAL EN ENFERMEDADES PREVALENTES EN PRIMERA INFANCIA (AIEPI)",IF(O5=CURSOS!$D$19,"ADMINISTRACION DE MEDICAMENTOS, INYECTOLOGIA  Y CANALIZACION ",IF(O5=CURSOS!$D$20,"OPERADOR DE VEHICULOS DE EMERGENCIA (OVE)",IF(O5=CURSOS!$D$21,"INSTITUCIONES AMIGAS DE LA MUJER Y LA INFANCIA (IAMI)",IF(O5=CURSOS!$D$22,"CUIDADO DEL DONANTE DE ORGANOS",IF(O5=CURSOS!$D$23,"ATENCION A VICTIMAS POR VIOLENCIA DE GENERO",IF(O5=CURSOS!$D$24,"IGUALDAD DE GENERO EN LA SALUD",IF(O5=CURSOS!$D$25,"BRIGADA DE EMERGENCIA",IF(O5=CURSOS!$D$26,"MANEJO DEL DOLOR Y CUIDADOS PALIATIVOS",IF(O5=CURSOS!$D$27,"TOMA DE MUESTRAS Y LABORATORIO POCT",IF(O5=CURSOS!$D$28,"IMPLANTE SUBDERMICO DE DISPOSITIVO INTRAUTERINO",IF(O5=CURSOS!$D$29,"SALUD MENTAL",IF(O5=CURSOS!$D$30,"PRIMEROS AUXILIOS PSICOLOGICOS",IF(O5=CURSOS!$D$31,"ATENCION A VICTIMAS POR CONFLICTO ARMADO",IF(O5=CURSOS!$D$32,"MANIPULACION DE ALIMENTOS Y BPM",IF(O5=CURSOS!$D$33,"ATENCION A PERSONAS CON DISCAPACIDAD",IF(O5=CURSOS!$D$34,"CUIDADO INTEGRAL DEL PACIENTE ADULTO",IF(O5=CURSOS!$D$35,"MANEJO DEFENSIVO",IF(O5=CURSOS!$D$36,"SOPORTE CARDIOVASCULAR AVANZADO NEONATAL",IF(O5=CURSOS!$D$37,"SEGURIDAD DEL PACIENTE",IF(O5=CURSOS!$D$38,"MANEJO DE RESIDUOS HOSPITALARIOS"))))))))))))))))))))))))))))))))))))</f>
        <v>SOPORTE VITAL BASICO (BLS)</v>
      </c>
      <c r="V5" s="57" t="str">
        <f t="shared" si="0"/>
        <v>Luis Leobar Pejendino Martinez</v>
      </c>
      <c r="W5" s="57" t="str">
        <f t="shared" si="1"/>
        <v>Luis Leobar Pejendino Martinez</v>
      </c>
      <c r="X5" s="57" t="str">
        <f t="shared" si="2"/>
        <v>Luis Leobar Pejendino Martinez-1113635839-BLS</v>
      </c>
    </row>
    <row r="6" spans="1:24" s="67" customFormat="1" x14ac:dyDescent="0.2">
      <c r="A6" s="68">
        <v>5</v>
      </c>
      <c r="B6" s="53">
        <v>1113635839</v>
      </c>
      <c r="C6" s="53" t="s">
        <v>117</v>
      </c>
      <c r="D6" s="53" t="s">
        <v>118</v>
      </c>
      <c r="E6" s="53" t="s">
        <v>119</v>
      </c>
      <c r="F6" s="53" t="s">
        <v>120</v>
      </c>
      <c r="G6" s="53">
        <v>29</v>
      </c>
      <c r="H6" s="53" t="s">
        <v>127</v>
      </c>
      <c r="I6" s="56" t="s">
        <v>103</v>
      </c>
      <c r="J6" s="54">
        <v>45626</v>
      </c>
      <c r="K6" s="69">
        <v>28000</v>
      </c>
      <c r="L6" s="53" t="s">
        <v>104</v>
      </c>
      <c r="M6" s="53" t="s">
        <v>105</v>
      </c>
      <c r="N6" s="53" t="s">
        <v>132</v>
      </c>
      <c r="O6" s="53" t="s">
        <v>25</v>
      </c>
      <c r="P6" s="56">
        <v>32260</v>
      </c>
      <c r="Q6" s="53" t="s">
        <v>107</v>
      </c>
      <c r="R6" s="53" t="s">
        <v>116</v>
      </c>
      <c r="S6" s="70">
        <v>3128218946</v>
      </c>
      <c r="T6" s="70" t="s">
        <v>121</v>
      </c>
      <c r="U6" s="57" t="str">
        <f>IF(O6=CURSOS!$D$3,"DIPLOMADO EN ATENCION PRE-HOSPITALARIA",IF(O6=CURSOS!$D$4,"ACOMPAÑAMIENTO Y MANEJO DEL DUELO",IF(O6=CURSOS!$D$5,"ATENCION A VICTIMAS DE ATAQUE CON AGENTES QUIMICOS ",IF(O6=CURSOS!$D$6,"PRIMEROS AUXILIOS ",IF(O6=CURSOS!$D$7,"DIPLOMADO DE UNIDAD DE CUIDADOS INTENSIVOS (UCI)",IF(O6=CURSOS!$D$8,"MODELO DE ATENCION PARA EVENTOS EMERGENTES EN SALUD MENTAL (CODIGO VERDE)",IF(O6=CURSOS!$D$9,"HUMANIZACION EN EL SERVICIO DE LA SALUD Y BUENAS PRACTICAS EN PACIENTE ",IF(O6=CURSOS!$D$10,"CLINICA DE HERIDAS ",IF(O6=CURSOS!$D$11,"TOMA DE CITOLOGIA CERVICO VAGINAL ",IF(O6=CURSOS!$D$12,"SOPORTE CARDIOVASCULAR AVANZADO (ACLS) ",IF(O6=CURSOS!$D$13,"CAMILLERO ",IF(O6=CURSOS!$D$14,"TOMA DE MUESTRAS Y LABORATORIO ",IF(O6=CURSOS!$D$15,"SOPORTE VITAL BASICO (BLS)",IF(O6=CURSOS!$D$16,"ATENCION A VICTIMAS DE VIOLENCIA SEXUAL ",IF(O6=CURSOS!$D$17,"PROGRAMADO AMPLIADO DE INMUNIZACION (PAI - COVID 19)",IF(O6=CURSOS!$D$18,"ATENCION INTEGRAL EN ENFERMEDADES PREVALENTES EN PRIMERA INFANCIA (AIEPI)",IF(O6=CURSOS!$D$19,"ADMINISTRACION DE MEDICAMENTOS, INYECTOLOGIA  Y CANALIZACION ",IF(O6=CURSOS!$D$20,"OPERADOR DE VEHICULOS DE EMERGENCIA (OVE)",IF(O6=CURSOS!$D$21,"INSTITUCIONES AMIGAS DE LA MUJER Y LA INFANCIA (IAMI)",IF(O6=CURSOS!$D$22,"CUIDADO DEL DONANTE DE ORGANOS",IF(O6=CURSOS!$D$23,"ATENCION A VICTIMAS POR VIOLENCIA DE GENERO",IF(O6=CURSOS!$D$24,"IGUALDAD DE GENERO EN LA SALUD",IF(O6=CURSOS!$D$25,"BRIGADA DE EMERGENCIA",IF(O6=CURSOS!$D$26,"MANEJO DEL DOLOR Y CUIDADOS PALIATIVOS",IF(O6=CURSOS!$D$27,"TOMA DE MUESTRAS Y LABORATORIO POCT",IF(O6=CURSOS!$D$28,"IMPLANTE SUBDERMICO DE DISPOSITIVO INTRAUTERINO",IF(O6=CURSOS!$D$29,"SALUD MENTAL",IF(O6=CURSOS!$D$30,"PRIMEROS AUXILIOS PSICOLOGICOS",IF(O6=CURSOS!$D$31,"ATENCION A VICTIMAS POR CONFLICTO ARMADO",IF(O6=CURSOS!$D$32,"MANIPULACION DE ALIMENTOS Y BPM",IF(O6=CURSOS!$D$33,"ATENCION A PERSONAS CON DISCAPACIDAD",IF(O6=CURSOS!$D$34,"CUIDADO INTEGRAL DEL PACIENTE ADULTO",IF(O6=CURSOS!$D$35,"MANEJO DEFENSIVO",IF(O6=CURSOS!$D$36,"SOPORTE CARDIOVASCULAR AVANZADO NEONATAL",IF(O6=CURSOS!$D$37,"SEGURIDAD DEL PACIENTE",IF(O6=CURSOS!$D$38,"MANEJO DE RESIDUOS HOSPITALARIOS"))))))))))))))))))))))))))))))))))))</f>
        <v xml:space="preserve">ATENCION A VICTIMAS DE ATAQUE CON AGENTES QUIMICOS </v>
      </c>
      <c r="V6" s="57" t="str">
        <f t="shared" si="0"/>
        <v>Luis Leobar Pejendino Martinez</v>
      </c>
      <c r="W6" s="57" t="str">
        <f t="shared" si="1"/>
        <v>Luis Leobar Pejendino Martinez</v>
      </c>
      <c r="X6" s="57" t="str">
        <f t="shared" si="2"/>
        <v>Luis Leobar Pejendino Martinez-1113635839-QUIMICOS</v>
      </c>
    </row>
    <row r="7" spans="1:24" s="67" customFormat="1" x14ac:dyDescent="0.2">
      <c r="A7" s="68">
        <v>6</v>
      </c>
      <c r="B7" s="53">
        <v>1113635839</v>
      </c>
      <c r="C7" s="53" t="s">
        <v>117</v>
      </c>
      <c r="D7" s="53" t="s">
        <v>118</v>
      </c>
      <c r="E7" s="53" t="s">
        <v>119</v>
      </c>
      <c r="F7" s="53" t="s">
        <v>120</v>
      </c>
      <c r="G7" s="53">
        <v>29</v>
      </c>
      <c r="H7" s="53" t="s">
        <v>127</v>
      </c>
      <c r="I7" s="56" t="s">
        <v>103</v>
      </c>
      <c r="J7" s="54">
        <v>45626</v>
      </c>
      <c r="K7" s="69">
        <v>28000</v>
      </c>
      <c r="L7" s="53" t="s">
        <v>104</v>
      </c>
      <c r="M7" s="53" t="s">
        <v>105</v>
      </c>
      <c r="N7" s="53" t="s">
        <v>132</v>
      </c>
      <c r="O7" s="53" t="s">
        <v>42</v>
      </c>
      <c r="P7" s="56">
        <v>32260</v>
      </c>
      <c r="Q7" s="53" t="s">
        <v>107</v>
      </c>
      <c r="R7" s="53" t="s">
        <v>116</v>
      </c>
      <c r="S7" s="70">
        <v>3128218946</v>
      </c>
      <c r="T7" s="70" t="s">
        <v>121</v>
      </c>
      <c r="U7" s="57" t="str">
        <f>IF(O7=CURSOS!$D$3,"DIPLOMADO EN ATENCION PRE-HOSPITALARIA",IF(O7=CURSOS!$D$4,"ACOMPAÑAMIENTO Y MANEJO DEL DUELO",IF(O7=CURSOS!$D$5,"ATENCION A VICTIMAS DE ATAQUE CON AGENTES QUIMICOS ",IF(O7=CURSOS!$D$6,"PRIMEROS AUXILIOS ",IF(O7=CURSOS!$D$7,"DIPLOMADO DE UNIDAD DE CUIDADOS INTENSIVOS (UCI)",IF(O7=CURSOS!$D$8,"MODELO DE ATENCION PARA EVENTOS EMERGENTES EN SALUD MENTAL (CODIGO VERDE)",IF(O7=CURSOS!$D$9,"HUMANIZACION EN EL SERVICIO DE LA SALUD Y BUENAS PRACTICAS EN PACIENTE ",IF(O7=CURSOS!$D$10,"CLINICA DE HERIDAS ",IF(O7=CURSOS!$D$11,"TOMA DE CITOLOGIA CERVICO VAGINAL ",IF(O7=CURSOS!$D$12,"SOPORTE CARDIOVASCULAR AVANZADO (ACLS) ",IF(O7=CURSOS!$D$13,"CAMILLERO ",IF(O7=CURSOS!$D$14,"TOMA DE MUESTRAS Y LABORATORIO ",IF(O7=CURSOS!$D$15,"SOPORTE VITAL BASICO (BLS)",IF(O7=CURSOS!$D$16,"ATENCION A VICTIMAS DE VIOLENCIA SEXUAL ",IF(O7=CURSOS!$D$17,"PROGRAMADO AMPLIADO DE INMUNIZACION (PAI - COVID 19)",IF(O7=CURSOS!$D$18,"ATENCION INTEGRAL EN ENFERMEDADES PREVALENTES EN PRIMERA INFANCIA (AIEPI)",IF(O7=CURSOS!$D$19,"ADMINISTRACION DE MEDICAMENTOS, INYECTOLOGIA  Y CANALIZACION ",IF(O7=CURSOS!$D$20,"OPERADOR DE VEHICULOS DE EMERGENCIA (OVE)",IF(O7=CURSOS!$D$21,"INSTITUCIONES AMIGAS DE LA MUJER Y LA INFANCIA (IAMI)",IF(O7=CURSOS!$D$22,"CUIDADO DEL DONANTE DE ORGANOS",IF(O7=CURSOS!$D$23,"ATENCION A VICTIMAS POR VIOLENCIA DE GENERO",IF(O7=CURSOS!$D$24,"IGUALDAD DE GENERO EN LA SALUD",IF(O7=CURSOS!$D$25,"BRIGADA DE EMERGENCIA",IF(O7=CURSOS!$D$26,"MANEJO DEL DOLOR Y CUIDADOS PALIATIVOS",IF(O7=CURSOS!$D$27,"TOMA DE MUESTRAS Y LABORATORIO POCT",IF(O7=CURSOS!$D$28,"IMPLANTE SUBDERMICO DE DISPOSITIVO INTRAUTERINO",IF(O7=CURSOS!$D$29,"SALUD MENTAL",IF(O7=CURSOS!$D$30,"PRIMEROS AUXILIOS PSICOLOGICOS",IF(O7=CURSOS!$D$31,"ATENCION A VICTIMAS POR CONFLICTO ARMADO",IF(O7=CURSOS!$D$32,"MANIPULACION DE ALIMENTOS Y BPM",IF(O7=CURSOS!$D$33,"ATENCION A PERSONAS CON DISCAPACIDAD",IF(O7=CURSOS!$D$34,"CUIDADO INTEGRAL DEL PACIENTE ADULTO",IF(O7=CURSOS!$D$35,"MANEJO DEFENSIVO",IF(O7=CURSOS!$D$36,"SOPORTE CARDIOVASCULAR AVANZADO NEONATAL",IF(O7=CURSOS!$D$37,"SEGURIDAD DEL PACIENTE",IF(O7=CURSOS!$D$38,"MANEJO DE RESIDUOS HOSPITALARIOS"))))))))))))))))))))))))))))))))))))</f>
        <v xml:space="preserve">ATENCION A VICTIMAS DE VIOLENCIA SEXUAL </v>
      </c>
      <c r="V7" s="57" t="str">
        <f t="shared" si="0"/>
        <v>Luis Leobar Pejendino Martinez</v>
      </c>
      <c r="W7" s="57" t="str">
        <f t="shared" si="1"/>
        <v>Luis Leobar Pejendino Martinez</v>
      </c>
      <c r="X7" s="57" t="str">
        <f t="shared" si="2"/>
        <v>Luis Leobar Pejendino Martinez-1113635839-VIOLENCIA SEXUAL</v>
      </c>
    </row>
    <row r="8" spans="1:24" s="67" customFormat="1" x14ac:dyDescent="0.2">
      <c r="A8" s="68">
        <v>7</v>
      </c>
      <c r="B8" s="53">
        <v>1113635839</v>
      </c>
      <c r="C8" s="53" t="s">
        <v>117</v>
      </c>
      <c r="D8" s="53" t="s">
        <v>118</v>
      </c>
      <c r="E8" s="53" t="s">
        <v>119</v>
      </c>
      <c r="F8" s="53" t="s">
        <v>120</v>
      </c>
      <c r="G8" s="53">
        <v>30</v>
      </c>
      <c r="H8" s="53" t="s">
        <v>127</v>
      </c>
      <c r="I8" s="56" t="s">
        <v>103</v>
      </c>
      <c r="J8" s="54">
        <v>45626</v>
      </c>
      <c r="K8" s="69">
        <v>28000</v>
      </c>
      <c r="L8" s="53" t="s">
        <v>104</v>
      </c>
      <c r="M8" s="53" t="s">
        <v>105</v>
      </c>
      <c r="N8" s="53" t="s">
        <v>132</v>
      </c>
      <c r="O8" s="53" t="s">
        <v>23</v>
      </c>
      <c r="P8" s="56">
        <v>32260</v>
      </c>
      <c r="Q8" s="53" t="s">
        <v>107</v>
      </c>
      <c r="R8" s="53" t="s">
        <v>116</v>
      </c>
      <c r="S8" s="70">
        <v>3128218946</v>
      </c>
      <c r="T8" s="70" t="s">
        <v>121</v>
      </c>
      <c r="U8" s="57" t="str">
        <f>IF(O8=CURSOS!$D$3,"DIPLOMADO EN ATENCION PRE-HOSPITALARIA",IF(O8=CURSOS!$D$4,"ACOMPAÑAMIENTO Y MANEJO DEL DUELO",IF(O8=CURSOS!$D$5,"ATENCION A VICTIMAS DE ATAQUE CON AGENTES QUIMICOS ",IF(O8=CURSOS!$D$6,"PRIMEROS AUXILIOS ",IF(O8=CURSOS!$D$7,"DIPLOMADO DE UNIDAD DE CUIDADOS INTENSIVOS (UCI)",IF(O8=CURSOS!$D$8,"MODELO DE ATENCION PARA EVENTOS EMERGENTES EN SALUD MENTAL (CODIGO VERDE)",IF(O8=CURSOS!$D$9,"HUMANIZACION EN EL SERVICIO DE LA SALUD Y BUENAS PRACTICAS EN PACIENTE ",IF(O8=CURSOS!$D$10,"CLINICA DE HERIDAS ",IF(O8=CURSOS!$D$11,"TOMA DE CITOLOGIA CERVICO VAGINAL ",IF(O8=CURSOS!$D$12,"SOPORTE CARDIOVASCULAR AVANZADO (ACLS) ",IF(O8=CURSOS!$D$13,"CAMILLERO ",IF(O8=CURSOS!$D$14,"TOMA DE MUESTRAS Y LABORATORIO ",IF(O8=CURSOS!$D$15,"SOPORTE VITAL BASICO (BLS)",IF(O8=CURSOS!$D$16,"ATENCION A VICTIMAS DE VIOLENCIA SEXUAL ",IF(O8=CURSOS!$D$17,"PROGRAMADO AMPLIADO DE INMUNIZACION (PAI - COVID 19)",IF(O8=CURSOS!$D$18,"ATENCION INTEGRAL EN ENFERMEDADES PREVALENTES EN PRIMERA INFANCIA (AIEPI)",IF(O8=CURSOS!$D$19,"ADMINISTRACION DE MEDICAMENTOS, INYECTOLOGIA  Y CANALIZACION ",IF(O8=CURSOS!$D$20,"OPERADOR DE VEHICULOS DE EMERGENCIA (OVE)",IF(O8=CURSOS!$D$21,"INSTITUCIONES AMIGAS DE LA MUJER Y LA INFANCIA (IAMI)",IF(O8=CURSOS!$D$22,"CUIDADO DEL DONANTE DE ORGANOS",IF(O8=CURSOS!$D$23,"ATENCION A VICTIMAS POR VIOLENCIA DE GENERO",IF(O8=CURSOS!$D$24,"IGUALDAD DE GENERO EN LA SALUD",IF(O8=CURSOS!$D$25,"BRIGADA DE EMERGENCIA",IF(O8=CURSOS!$D$26,"MANEJO DEL DOLOR Y CUIDADOS PALIATIVOS",IF(O8=CURSOS!$D$27,"TOMA DE MUESTRAS Y LABORATORIO POCT",IF(O8=CURSOS!$D$28,"IMPLANTE SUBDERMICO DE DISPOSITIVO INTRAUTERINO",IF(O8=CURSOS!$D$29,"SALUD MENTAL",IF(O8=CURSOS!$D$30,"PRIMEROS AUXILIOS PSICOLOGICOS",IF(O8=CURSOS!$D$31,"ATENCION A VICTIMAS POR CONFLICTO ARMADO",IF(O8=CURSOS!$D$32,"MANIPULACION DE ALIMENTOS Y BPM",IF(O8=CURSOS!$D$33,"ATENCION A PERSONAS CON DISCAPACIDAD",IF(O8=CURSOS!$D$34,"CUIDADO INTEGRAL DEL PACIENTE ADULTO",IF(O8=CURSOS!$D$35,"MANEJO DEFENSIVO",IF(O8=CURSOS!$D$36,"SOPORTE CARDIOVASCULAR AVANZADO NEONATAL",IF(O8=CURSOS!$D$37,"SEGURIDAD DEL PACIENTE",IF(O8=CURSOS!$D$38,"MANEJO DE RESIDUOS HOSPITALARIOS"))))))))))))))))))))))))))))))))))))</f>
        <v>ACOMPAÑAMIENTO Y MANEJO DEL DUELO</v>
      </c>
      <c r="V8" s="57" t="str">
        <f t="shared" si="0"/>
        <v>Luis Leobar Pejendino Martinez</v>
      </c>
      <c r="W8" s="57" t="str">
        <f t="shared" si="1"/>
        <v>Luis Leobar Pejendino Martinez</v>
      </c>
      <c r="X8" s="57" t="str">
        <f t="shared" si="2"/>
        <v>Luis Leobar Pejendino Martinez-1113635839-DUELO</v>
      </c>
    </row>
    <row r="9" spans="1:24" s="67" customFormat="1" x14ac:dyDescent="0.2">
      <c r="A9" s="68">
        <v>8</v>
      </c>
      <c r="B9" s="53">
        <v>1113635839</v>
      </c>
      <c r="C9" s="53" t="s">
        <v>117</v>
      </c>
      <c r="D9" s="53" t="s">
        <v>118</v>
      </c>
      <c r="E9" s="53" t="s">
        <v>119</v>
      </c>
      <c r="F9" s="53" t="s">
        <v>120</v>
      </c>
      <c r="G9" s="53">
        <v>28</v>
      </c>
      <c r="H9" s="53" t="s">
        <v>127</v>
      </c>
      <c r="I9" s="56" t="s">
        <v>103</v>
      </c>
      <c r="J9" s="54">
        <v>45626</v>
      </c>
      <c r="K9" s="69">
        <v>28000</v>
      </c>
      <c r="L9" s="53" t="s">
        <v>104</v>
      </c>
      <c r="M9" s="53" t="s">
        <v>105</v>
      </c>
      <c r="N9" s="53" t="s">
        <v>132</v>
      </c>
      <c r="O9" s="53" t="s">
        <v>32</v>
      </c>
      <c r="P9" s="56">
        <v>32260</v>
      </c>
      <c r="Q9" s="53" t="s">
        <v>107</v>
      </c>
      <c r="R9" s="53" t="s">
        <v>116</v>
      </c>
      <c r="S9" s="70">
        <v>3128218946</v>
      </c>
      <c r="T9" s="70" t="s">
        <v>121</v>
      </c>
      <c r="U9" s="57" t="str">
        <f>IF(O9=CURSOS!$D$3,"DIPLOMADO EN ATENCION PRE-HOSPITALARIA",IF(O9=CURSOS!$D$4,"ACOMPAÑAMIENTO Y MANEJO DEL DUELO",IF(O9=CURSOS!$D$5,"ATENCION A VICTIMAS DE ATAQUE CON AGENTES QUIMICOS ",IF(O9=CURSOS!$D$6,"PRIMEROS AUXILIOS ",IF(O9=CURSOS!$D$7,"DIPLOMADO DE UNIDAD DE CUIDADOS INTENSIVOS (UCI)",IF(O9=CURSOS!$D$8,"MODELO DE ATENCION PARA EVENTOS EMERGENTES EN SALUD MENTAL (CODIGO VERDE)",IF(O9=CURSOS!$D$9,"HUMANIZACION EN EL SERVICIO DE LA SALUD Y BUENAS PRACTICAS EN PACIENTE ",IF(O9=CURSOS!$D$10,"CLINICA DE HERIDAS ",IF(O9=CURSOS!$D$11,"TOMA DE CITOLOGIA CERVICO VAGINAL ",IF(O9=CURSOS!$D$12,"SOPORTE CARDIOVASCULAR AVANZADO (ACLS) ",IF(O9=CURSOS!$D$13,"CAMILLERO ",IF(O9=CURSOS!$D$14,"TOMA DE MUESTRAS Y LABORATORIO ",IF(O9=CURSOS!$D$15,"SOPORTE VITAL BASICO (BLS)",IF(O9=CURSOS!$D$16,"ATENCION A VICTIMAS DE VIOLENCIA SEXUAL ",IF(O9=CURSOS!$D$17,"PROGRAMADO AMPLIADO DE INMUNIZACION (PAI - COVID 19)",IF(O9=CURSOS!$D$18,"ATENCION INTEGRAL EN ENFERMEDADES PREVALENTES EN PRIMERA INFANCIA (AIEPI)",IF(O9=CURSOS!$D$19,"ADMINISTRACION DE MEDICAMENTOS, INYECTOLOGIA  Y CANALIZACION ",IF(O9=CURSOS!$D$20,"OPERADOR DE VEHICULOS DE EMERGENCIA (OVE)",IF(O9=CURSOS!$D$21,"INSTITUCIONES AMIGAS DE LA MUJER Y LA INFANCIA (IAMI)",IF(O9=CURSOS!$D$22,"CUIDADO DEL DONANTE DE ORGANOS",IF(O9=CURSOS!$D$23,"ATENCION A VICTIMAS POR VIOLENCIA DE GENERO",IF(O9=CURSOS!$D$24,"IGUALDAD DE GENERO EN LA SALUD",IF(O9=CURSOS!$D$25,"BRIGADA DE EMERGENCIA",IF(O9=CURSOS!$D$26,"MANEJO DEL DOLOR Y CUIDADOS PALIATIVOS",IF(O9=CURSOS!$D$27,"TOMA DE MUESTRAS Y LABORATORIO POCT",IF(O9=CURSOS!$D$28,"IMPLANTE SUBDERMICO DE DISPOSITIVO INTRAUTERINO",IF(O9=CURSOS!$D$29,"SALUD MENTAL",IF(O9=CURSOS!$D$30,"PRIMEROS AUXILIOS PSICOLOGICOS",IF(O9=CURSOS!$D$31,"ATENCION A VICTIMAS POR CONFLICTO ARMADO",IF(O9=CURSOS!$D$32,"MANIPULACION DE ALIMENTOS Y BPM",IF(O9=CURSOS!$D$33,"ATENCION A PERSONAS CON DISCAPACIDAD",IF(O9=CURSOS!$D$34,"CUIDADO INTEGRAL DEL PACIENTE ADULTO",IF(O9=CURSOS!$D$35,"MANEJO DEFENSIVO",IF(O9=CURSOS!$D$36,"SOPORTE CARDIOVASCULAR AVANZADO NEONATAL",IF(O9=CURSOS!$D$37,"SEGURIDAD DEL PACIENTE",IF(O9=CURSOS!$D$38,"MANEJO DE RESIDUOS HOSPITALARIOS"))))))))))))))))))))))))))))))))))))</f>
        <v xml:space="preserve">HUMANIZACION EN EL SERVICIO DE LA SALUD Y BUENAS PRACTICAS EN PACIENTE </v>
      </c>
      <c r="V9" s="57" t="str">
        <f t="shared" si="0"/>
        <v>Luis Leobar Pejendino Martinez</v>
      </c>
      <c r="W9" s="57" t="str">
        <f t="shared" si="1"/>
        <v>Luis Leobar Pejendino Martinez</v>
      </c>
      <c r="X9" s="57" t="str">
        <f t="shared" si="2"/>
        <v>Luis Leobar Pejendino Martinez-1113635839-HUMANIZACION</v>
      </c>
    </row>
    <row r="10" spans="1:24" s="67" customFormat="1" x14ac:dyDescent="0.2">
      <c r="A10" s="68">
        <v>9</v>
      </c>
      <c r="B10" s="53">
        <v>1088734431</v>
      </c>
      <c r="C10" s="53" t="s">
        <v>122</v>
      </c>
      <c r="D10" s="53" t="s">
        <v>123</v>
      </c>
      <c r="E10" s="53" t="s">
        <v>124</v>
      </c>
      <c r="F10" s="53" t="s">
        <v>125</v>
      </c>
      <c r="G10" s="53">
        <v>2</v>
      </c>
      <c r="H10" s="53" t="s">
        <v>102</v>
      </c>
      <c r="I10" s="56" t="s">
        <v>103</v>
      </c>
      <c r="J10" s="54">
        <v>45630</v>
      </c>
      <c r="K10" s="69">
        <v>28000</v>
      </c>
      <c r="L10" s="53" t="s">
        <v>104</v>
      </c>
      <c r="M10" s="53" t="s">
        <v>105</v>
      </c>
      <c r="N10" s="53" t="s">
        <v>132</v>
      </c>
      <c r="O10" s="53" t="s">
        <v>32</v>
      </c>
      <c r="P10" s="56">
        <v>33404</v>
      </c>
      <c r="Q10" s="53" t="s">
        <v>107</v>
      </c>
      <c r="R10" s="53" t="s">
        <v>116</v>
      </c>
      <c r="S10" s="70">
        <v>3175598170</v>
      </c>
      <c r="T10" s="53" t="s">
        <v>126</v>
      </c>
      <c r="U10" s="57" t="str">
        <f>IF(O10=CURSOS!$D$3,"DIPLOMADO EN ATENCION PRE-HOSPITALARIA",IF(O10=CURSOS!$D$4,"ACOMPAÑAMIENTO Y MANEJO DEL DUELO",IF(O10=CURSOS!$D$5,"ATENCION A VICTIMAS DE ATAQUE CON AGENTES QUIMICOS ",IF(O10=CURSOS!$D$6,"PRIMEROS AUXILIOS ",IF(O10=CURSOS!$D$7,"DIPLOMADO DE UNIDAD DE CUIDADOS INTENSIVOS (UCI)",IF(O10=CURSOS!$D$8,"MODELO DE ATENCION PARA EVENTOS EMERGENTES EN SALUD MENTAL (CODIGO VERDE)",IF(O10=CURSOS!$D$9,"HUMANIZACION EN EL SERVICIO DE LA SALUD Y BUENAS PRACTICAS EN PACIENTE ",IF(O10=CURSOS!$D$10,"CLINICA DE HERIDAS ",IF(O10=CURSOS!$D$11,"TOMA DE CITOLOGIA CERVICO VAGINAL ",IF(O10=CURSOS!$D$12,"SOPORTE CARDIOVASCULAR AVANZADO (ACLS) ",IF(O10=CURSOS!$D$13,"CAMILLERO ",IF(O10=CURSOS!$D$14,"TOMA DE MUESTRAS Y LABORATORIO ",IF(O10=CURSOS!$D$15,"SOPORTE VITAL BASICO (BLS)",IF(O10=CURSOS!$D$16,"ATENCION A VICTIMAS DE VIOLENCIA SEXUAL ",IF(O10=CURSOS!$D$17,"PROGRAMADO AMPLIADO DE INMUNIZACION (PAI - COVID 19)",IF(O10=CURSOS!$D$18,"ATENCION INTEGRAL EN ENFERMEDADES PREVALENTES EN PRIMERA INFANCIA (AIEPI)",IF(O10=CURSOS!$D$19,"ADMINISTRACION DE MEDICAMENTOS, INYECTOLOGIA  Y CANALIZACION ",IF(O10=CURSOS!$D$20,"OPERADOR DE VEHICULOS DE EMERGENCIA (OVE)",IF(O10=CURSOS!$D$21,"INSTITUCIONES AMIGAS DE LA MUJER Y LA INFANCIA (IAMI)",IF(O10=CURSOS!$D$22,"CUIDADO DEL DONANTE DE ORGANOS",IF(O10=CURSOS!$D$23,"ATENCION A VICTIMAS POR VIOLENCIA DE GENERO",IF(O10=CURSOS!$D$24,"IGUALDAD DE GENERO EN LA SALUD",IF(O10=CURSOS!$D$25,"BRIGADA DE EMERGENCIA",IF(O10=CURSOS!$D$26,"MANEJO DEL DOLOR Y CUIDADOS PALIATIVOS",IF(O10=CURSOS!$D$27,"TOMA DE MUESTRAS Y LABORATORIO POCT",IF(O10=CURSOS!$D$28,"IMPLANTE SUBDERMICO DE DISPOSITIVO INTRAUTERINO",IF(O10=CURSOS!$D$29,"SALUD MENTAL",IF(O10=CURSOS!$D$30,"PRIMEROS AUXILIOS PSICOLOGICOS",IF(O10=CURSOS!$D$31,"ATENCION A VICTIMAS POR CONFLICTO ARMADO",IF(O10=CURSOS!$D$32,"MANIPULACION DE ALIMENTOS Y BPM",IF(O10=CURSOS!$D$33,"ATENCION A PERSONAS CON DISCAPACIDAD",IF(O10=CURSOS!$D$34,"CUIDADO INTEGRAL DEL PACIENTE ADULTO",IF(O10=CURSOS!$D$35,"MANEJO DEFENSIVO",IF(O10=CURSOS!$D$36,"SOPORTE CARDIOVASCULAR AVANZADO NEONATAL",IF(O10=CURSOS!$D$37,"SEGURIDAD DEL PACIENTE",IF(O10=CURSOS!$D$38,"MANEJO DE RESIDUOS HOSPITALARIOS"))))))))))))))))))))))))))))))))))))</f>
        <v xml:space="preserve">HUMANIZACION EN EL SERVICIO DE LA SALUD Y BUENAS PRACTICAS EN PACIENTE </v>
      </c>
      <c r="V10" s="57" t="str">
        <f t="shared" si="0"/>
        <v>Kelly Rocío Parreño Meza</v>
      </c>
      <c r="W10" s="57" t="str">
        <f t="shared" si="1"/>
        <v>Kelly Rocío Parreño Meza</v>
      </c>
      <c r="X10" s="57" t="str">
        <f t="shared" si="2"/>
        <v>Kelly Rocío Parreño Meza-1088734431-HUMANIZACION</v>
      </c>
    </row>
    <row r="11" spans="1:24" s="67" customFormat="1" x14ac:dyDescent="0.2">
      <c r="A11" s="68">
        <v>10</v>
      </c>
      <c r="B11" s="53">
        <v>1088738433</v>
      </c>
      <c r="C11" s="53" t="s">
        <v>128</v>
      </c>
      <c r="D11" s="53" t="s">
        <v>129</v>
      </c>
      <c r="E11" s="53" t="s">
        <v>130</v>
      </c>
      <c r="F11" s="53" t="s">
        <v>131</v>
      </c>
      <c r="G11" s="53">
        <v>2</v>
      </c>
      <c r="H11" s="53" t="s">
        <v>102</v>
      </c>
      <c r="I11" s="56" t="s">
        <v>103</v>
      </c>
      <c r="J11" s="54">
        <v>45630</v>
      </c>
      <c r="K11" s="69">
        <v>80000</v>
      </c>
      <c r="L11" s="53" t="s">
        <v>104</v>
      </c>
      <c r="M11" s="53" t="s">
        <v>105</v>
      </c>
      <c r="N11" s="53" t="s">
        <v>132</v>
      </c>
      <c r="O11" s="53" t="s">
        <v>37</v>
      </c>
      <c r="P11" s="56">
        <v>35931</v>
      </c>
      <c r="Q11" s="53" t="s">
        <v>107</v>
      </c>
      <c r="R11" s="53" t="s">
        <v>133</v>
      </c>
      <c r="S11" s="70">
        <v>3196108888</v>
      </c>
      <c r="T11" s="53" t="s">
        <v>134</v>
      </c>
      <c r="U11" s="57" t="str">
        <f>IF(O11=CURSOS!$D$3,"DIPLOMADO EN ATENCION PRE-HOSPITALARIA",IF(O11=CURSOS!$D$4,"ACOMPAÑAMIENTO Y MANEJO DEL DUELO",IF(O11=CURSOS!$D$5,"ATENCION A VICTIMAS DE ATAQUE CON AGENTES QUIMICOS ",IF(O11=CURSOS!$D$6,"PRIMEROS AUXILIOS ",IF(O11=CURSOS!$D$7,"DIPLOMADO DE UNIDAD DE CUIDADOS INTENSIVOS (UCI)",IF(O11=CURSOS!$D$8,"MODELO DE ATENCION PARA EVENTOS EMERGENTES EN SALUD MENTAL (CODIGO VERDE)",IF(O11=CURSOS!$D$9,"HUMANIZACION EN EL SERVICIO DE LA SALUD Y BUENAS PRACTICAS EN PACIENTE ",IF(O11=CURSOS!$D$10,"CLINICA DE HERIDAS ",IF(O11=CURSOS!$D$11,"TOMA DE CITOLOGIA CERVICO VAGINAL ",IF(O11=CURSOS!$D$12,"SOPORTE CARDIOVASCULAR AVANZADO (ACLS) ",IF(O11=CURSOS!$D$13,"CAMILLERO ",IF(O11=CURSOS!$D$14,"TOMA DE MUESTRAS Y LABORATORIO ",IF(O11=CURSOS!$D$15,"SOPORTE VITAL BASICO (BLS)",IF(O11=CURSOS!$D$16,"ATENCION A VICTIMAS DE VIOLENCIA SEXUAL ",IF(O11=CURSOS!$D$17,"PROGRAMADO AMPLIADO DE INMUNIZACION (PAI - COVID 19)",IF(O11=CURSOS!$D$18,"ATENCION INTEGRAL EN ENFERMEDADES PREVALENTES EN PRIMERA INFANCIA (AIEPI)",IF(O11=CURSOS!$D$19,"ADMINISTRACION DE MEDICAMENTOS, INYECTOLOGIA  Y CANALIZACION ",IF(O11=CURSOS!$D$20,"OPERADOR DE VEHICULOS DE EMERGENCIA (OVE)",IF(O11=CURSOS!$D$21,"INSTITUCIONES AMIGAS DE LA MUJER Y LA INFANCIA (IAMI)",IF(O11=CURSOS!$D$22,"CUIDADO DEL DONANTE DE ORGANOS",IF(O11=CURSOS!$D$23,"ATENCION A VICTIMAS POR VIOLENCIA DE GENERO",IF(O11=CURSOS!$D$24,"IGUALDAD DE GENERO EN LA SALUD",IF(O11=CURSOS!$D$25,"BRIGADA DE EMERGENCIA",IF(O11=CURSOS!$D$26,"MANEJO DEL DOLOR Y CUIDADOS PALIATIVOS",IF(O11=CURSOS!$D$27,"TOMA DE MUESTRAS Y LABORATORIO POCT",IF(O11=CURSOS!$D$28,"IMPLANTE SUBDERMICO DE DISPOSITIVO INTRAUTERINO",IF(O11=CURSOS!$D$29,"SALUD MENTAL",IF(O11=CURSOS!$D$30,"PRIMEROS AUXILIOS PSICOLOGICOS",IF(O11=CURSOS!$D$31,"ATENCION A VICTIMAS POR CONFLICTO ARMADO",IF(O11=CURSOS!$D$32,"MANIPULACION DE ALIMENTOS Y BPM",IF(O11=CURSOS!$D$33,"ATENCION A PERSONAS CON DISCAPACIDAD",IF(O11=CURSOS!$D$34,"CUIDADO INTEGRAL DEL PACIENTE ADULTO",IF(O11=CURSOS!$D$35,"MANEJO DEFENSIVO",IF(O11=CURSOS!$D$36,"SOPORTE CARDIOVASCULAR AVANZADO NEONATAL",IF(O11=CURSOS!$D$37,"SEGURIDAD DEL PACIENTE",IF(O11=CURSOS!$D$38,"MANEJO DE RESIDUOS HOSPITALARIOS"))))))))))))))))))))))))))))))))))))</f>
        <v xml:space="preserve">SOPORTE CARDIOVASCULAR AVANZADO (ACLS) </v>
      </c>
      <c r="V11" s="57" t="str">
        <f t="shared" si="0"/>
        <v>Angie Tatiana Acosta Zambrano</v>
      </c>
      <c r="W11" s="57" t="str">
        <f t="shared" si="1"/>
        <v>Angie Tatiana Acosta Zambrano</v>
      </c>
      <c r="X11" s="57" t="str">
        <f t="shared" si="2"/>
        <v>Angie Tatiana Acosta Zambrano-1088738433-ACLS</v>
      </c>
    </row>
    <row r="12" spans="1:24" s="67" customFormat="1" x14ac:dyDescent="0.2">
      <c r="A12" s="68">
        <v>11</v>
      </c>
      <c r="B12" s="53">
        <v>1088738433</v>
      </c>
      <c r="C12" s="53" t="s">
        <v>128</v>
      </c>
      <c r="D12" s="53" t="s">
        <v>129</v>
      </c>
      <c r="E12" s="53" t="s">
        <v>130</v>
      </c>
      <c r="F12" s="53" t="s">
        <v>131</v>
      </c>
      <c r="G12" s="53">
        <v>2</v>
      </c>
      <c r="H12" s="53" t="s">
        <v>102</v>
      </c>
      <c r="I12" s="56" t="s">
        <v>103</v>
      </c>
      <c r="J12" s="54">
        <v>45630</v>
      </c>
      <c r="K12" s="69">
        <v>20000</v>
      </c>
      <c r="L12" s="53" t="s">
        <v>104</v>
      </c>
      <c r="M12" s="53" t="s">
        <v>105</v>
      </c>
      <c r="N12" s="53" t="s">
        <v>132</v>
      </c>
      <c r="O12" s="53" t="s">
        <v>19</v>
      </c>
      <c r="P12" s="56">
        <v>35931</v>
      </c>
      <c r="Q12" s="53" t="s">
        <v>107</v>
      </c>
      <c r="R12" s="53" t="s">
        <v>133</v>
      </c>
      <c r="S12" s="70">
        <v>3196108888</v>
      </c>
      <c r="T12" s="53" t="s">
        <v>134</v>
      </c>
      <c r="U12" s="57" t="str">
        <f>IF(O12=CURSOS!$D$3,"DIPLOMADO EN ATENCION PRE-HOSPITALARIA",IF(O12=CURSOS!$D$4,"ACOMPAÑAMIENTO Y MANEJO DEL DUELO",IF(O12=CURSOS!$D$5,"ATENCION A VICTIMAS DE ATAQUE CON AGENTES QUIMICOS ",IF(O12=CURSOS!$D$6,"PRIMEROS AUXILIOS ",IF(O12=CURSOS!$D$7,"DIPLOMADO DE UNIDAD DE CUIDADOS INTENSIVOS (UCI)",IF(O12=CURSOS!$D$8,"MODELO DE ATENCION PARA EVENTOS EMERGENTES EN SALUD MENTAL (CODIGO VERDE)",IF(O12=CURSOS!$D$9,"HUMANIZACION EN EL SERVICIO DE LA SALUD Y BUENAS PRACTICAS EN PACIENTE ",IF(O12=CURSOS!$D$10,"CLINICA DE HERIDAS ",IF(O12=CURSOS!$D$11,"TOMA DE CITOLOGIA CERVICO VAGINAL ",IF(O12=CURSOS!$D$12,"SOPORTE CARDIOVASCULAR AVANZADO (ACLS) ",IF(O12=CURSOS!$D$13,"CAMILLERO ",IF(O12=CURSOS!$D$14,"TOMA DE MUESTRAS Y LABORATORIO ",IF(O12=CURSOS!$D$15,"SOPORTE VITAL BASICO (BLS)",IF(O12=CURSOS!$D$16,"ATENCION A VICTIMAS DE VIOLENCIA SEXUAL ",IF(O12=CURSOS!$D$17,"PROGRAMADO AMPLIADO DE INMUNIZACION (PAI - COVID 19)",IF(O12=CURSOS!$D$18,"ATENCION INTEGRAL EN ENFERMEDADES PREVALENTES EN PRIMERA INFANCIA (AIEPI)",IF(O12=CURSOS!$D$19,"ADMINISTRACION DE MEDICAMENTOS, INYECTOLOGIA  Y CANALIZACION ",IF(O12=CURSOS!$D$20,"OPERADOR DE VEHICULOS DE EMERGENCIA (OVE)",IF(O12=CURSOS!$D$21,"INSTITUCIONES AMIGAS DE LA MUJER Y LA INFANCIA (IAMI)",IF(O12=CURSOS!$D$22,"CUIDADO DEL DONANTE DE ORGANOS",IF(O12=CURSOS!$D$23,"ATENCION A VICTIMAS POR VIOLENCIA DE GENERO",IF(O12=CURSOS!$D$24,"IGUALDAD DE GENERO EN LA SALUD",IF(O12=CURSOS!$D$25,"BRIGADA DE EMERGENCIA",IF(O12=CURSOS!$D$26,"MANEJO DEL DOLOR Y CUIDADOS PALIATIVOS",IF(O12=CURSOS!$D$27,"TOMA DE MUESTRAS Y LABORATORIO POCT",IF(O12=CURSOS!$D$28,"IMPLANTE SUBDERMICO DE DISPOSITIVO INTRAUTERINO",IF(O12=CURSOS!$D$29,"SALUD MENTAL",IF(O12=CURSOS!$D$30,"PRIMEROS AUXILIOS PSICOLOGICOS",IF(O12=CURSOS!$D$31,"ATENCION A VICTIMAS POR CONFLICTO ARMADO",IF(O12=CURSOS!$D$32,"MANIPULACION DE ALIMENTOS Y BPM",IF(O12=CURSOS!$D$33,"ATENCION A PERSONAS CON DISCAPACIDAD",IF(O12=CURSOS!$D$34,"CUIDADO INTEGRAL DEL PACIENTE ADULTO",IF(O12=CURSOS!$D$35,"MANEJO DEFENSIVO",IF(O12=CURSOS!$D$36,"SOPORTE CARDIOVASCULAR AVANZADO NEONATAL",IF(O12=CURSOS!$D$37,"SEGURIDAD DEL PACIENTE",IF(O12=CURSOS!$D$38,"MANEJO DE RESIDUOS HOSPITALARIOS"))))))))))))))))))))))))))))))))))))</f>
        <v>SOPORTE VITAL BASICO (BLS)</v>
      </c>
      <c r="V12" s="57" t="str">
        <f t="shared" si="0"/>
        <v>Angie Tatiana Acosta Zambrano</v>
      </c>
      <c r="W12" s="57" t="str">
        <f t="shared" si="1"/>
        <v>Angie Tatiana Acosta Zambrano</v>
      </c>
      <c r="X12" s="57" t="str">
        <f t="shared" si="2"/>
        <v>Angie Tatiana Acosta Zambrano-1088738433-BLS</v>
      </c>
    </row>
    <row r="13" spans="1:24" s="67" customFormat="1" x14ac:dyDescent="0.2">
      <c r="A13" s="68">
        <v>12</v>
      </c>
      <c r="B13" s="53">
        <v>87217607</v>
      </c>
      <c r="C13" s="53" t="s">
        <v>135</v>
      </c>
      <c r="D13" s="53" t="s">
        <v>136</v>
      </c>
      <c r="E13" s="53" t="s">
        <v>137</v>
      </c>
      <c r="F13" s="53" t="s">
        <v>138</v>
      </c>
      <c r="G13" s="53">
        <v>2</v>
      </c>
      <c r="H13" s="53" t="s">
        <v>102</v>
      </c>
      <c r="I13" s="56" t="s">
        <v>103</v>
      </c>
      <c r="J13" s="54">
        <v>45628</v>
      </c>
      <c r="K13" s="69">
        <v>60000</v>
      </c>
      <c r="L13" s="53" t="s">
        <v>114</v>
      </c>
      <c r="M13" s="53" t="s">
        <v>105</v>
      </c>
      <c r="N13" s="53" t="s">
        <v>106</v>
      </c>
      <c r="O13" s="53" t="s">
        <v>46</v>
      </c>
      <c r="P13" s="56">
        <v>30789</v>
      </c>
      <c r="Q13" s="53" t="s">
        <v>139</v>
      </c>
      <c r="R13" s="53" t="s">
        <v>140</v>
      </c>
      <c r="S13" s="70">
        <v>3152302991</v>
      </c>
      <c r="T13" s="53" t="s">
        <v>141</v>
      </c>
      <c r="U13" s="57" t="str">
        <f>IF(O13=CURSOS!$D$3,"DIPLOMADO EN ATENCION PRE-HOSPITALARIA",IF(O13=CURSOS!$D$4,"ACOMPAÑAMIENTO Y MANEJO DEL DUELO",IF(O13=CURSOS!$D$5,"ATENCION A VICTIMAS DE ATAQUE CON AGENTES QUIMICOS ",IF(O13=CURSOS!$D$6,"PRIMEROS AUXILIOS ",IF(O13=CURSOS!$D$7,"DIPLOMADO DE UNIDAD DE CUIDADOS INTENSIVOS (UCI)",IF(O13=CURSOS!$D$8,"MODELO DE ATENCION PARA EVENTOS EMERGENTES EN SALUD MENTAL (CODIGO VERDE)",IF(O13=CURSOS!$D$9,"HUMANIZACION EN EL SERVICIO DE LA SALUD Y BUENAS PRACTICAS EN PACIENTE ",IF(O13=CURSOS!$D$10,"CLINICA DE HERIDAS ",IF(O13=CURSOS!$D$11,"TOMA DE CITOLOGIA CERVICO VAGINAL ",IF(O13=CURSOS!$D$12,"SOPORTE CARDIOVASCULAR AVANZADO (ACLS) ",IF(O13=CURSOS!$D$13,"CAMILLERO ",IF(O13=CURSOS!$D$14,"TOMA DE MUESTRAS Y LABORATORIO ",IF(O13=CURSOS!$D$15,"SOPORTE VITAL BASICO (BLS)",IF(O13=CURSOS!$D$16,"ATENCION A VICTIMAS DE VIOLENCIA SEXUAL ",IF(O13=CURSOS!$D$17,"PROGRAMADO AMPLIADO DE INMUNIZACION (PAI - COVID 19)",IF(O13=CURSOS!$D$18,"ATENCION INTEGRAL EN ENFERMEDADES PREVALENTES EN PRIMERA INFANCIA (AIEPI)",IF(O13=CURSOS!$D$19,"ADMINISTRACION DE MEDICAMENTOS, INYECTOLOGIA  Y CANALIZACION ",IF(O13=CURSOS!$D$20,"OPERADOR DE VEHICULOS DE EMERGENCIA (OVE)",IF(O13=CURSOS!$D$21,"INSTITUCIONES AMIGAS DE LA MUJER Y LA INFANCIA (IAMI)",IF(O13=CURSOS!$D$22,"CUIDADO DEL DONANTE DE ORGANOS",IF(O13=CURSOS!$D$23,"ATENCION A VICTIMAS POR VIOLENCIA DE GENERO",IF(O13=CURSOS!$D$24,"IGUALDAD DE GENERO EN LA SALUD",IF(O13=CURSOS!$D$25,"BRIGADA DE EMERGENCIA",IF(O13=CURSOS!$D$26,"MANEJO DEL DOLOR Y CUIDADOS PALIATIVOS",IF(O13=CURSOS!$D$27,"TOMA DE MUESTRAS Y LABORATORIO POCT",IF(O13=CURSOS!$D$28,"IMPLANTE SUBDERMICO DE DISPOSITIVO INTRAUTERINO",IF(O13=CURSOS!$D$29,"SALUD MENTAL",IF(O13=CURSOS!$D$30,"PRIMEROS AUXILIOS PSICOLOGICOS",IF(O13=CURSOS!$D$31,"ATENCION A VICTIMAS POR CONFLICTO ARMADO",IF(O13=CURSOS!$D$32,"MANIPULACION DE ALIMENTOS Y BPM",IF(O13=CURSOS!$D$33,"ATENCION A PERSONAS CON DISCAPACIDAD",IF(O13=CURSOS!$D$34,"CUIDADO INTEGRAL DEL PACIENTE ADULTO",IF(O13=CURSOS!$D$35,"MANEJO DEFENSIVO",IF(O13=CURSOS!$D$36,"SOPORTE CARDIOVASCULAR AVANZADO NEONATAL",IF(O13=CURSOS!$D$37,"SEGURIDAD DEL PACIENTE",IF(O13=CURSOS!$D$38,"MANEJO DE RESIDUOS HOSPITALARIOS"))))))))))))))))))))))))))))))))))))</f>
        <v>OPERADOR DE VEHICULOS DE EMERGENCIA (OVE)</v>
      </c>
      <c r="V13" s="57" t="str">
        <f t="shared" si="0"/>
        <v>William Fernando Erira Santander</v>
      </c>
      <c r="W13" s="57" t="str">
        <f t="shared" si="1"/>
        <v>William Fernando Erira Santander</v>
      </c>
      <c r="X13" s="57" t="str">
        <f t="shared" si="2"/>
        <v>William Fernando Erira Santander-87217607-OVE</v>
      </c>
    </row>
    <row r="14" spans="1:24" s="67" customFormat="1" x14ac:dyDescent="0.2">
      <c r="A14" s="68">
        <v>13</v>
      </c>
      <c r="B14" s="53">
        <v>27456179</v>
      </c>
      <c r="C14" s="53" t="s">
        <v>142</v>
      </c>
      <c r="D14" s="53" t="s">
        <v>143</v>
      </c>
      <c r="E14" s="53" t="s">
        <v>144</v>
      </c>
      <c r="F14" s="53"/>
      <c r="G14" s="53">
        <v>3</v>
      </c>
      <c r="H14" s="53" t="s">
        <v>102</v>
      </c>
      <c r="I14" s="56" t="s">
        <v>103</v>
      </c>
      <c r="J14" s="54">
        <v>45629</v>
      </c>
      <c r="K14" s="69">
        <v>30000</v>
      </c>
      <c r="L14" s="53" t="s">
        <v>114</v>
      </c>
      <c r="M14" s="53" t="s">
        <v>105</v>
      </c>
      <c r="N14" s="53" t="s">
        <v>106</v>
      </c>
      <c r="O14" s="53" t="s">
        <v>19</v>
      </c>
      <c r="P14" s="56">
        <v>28902</v>
      </c>
      <c r="Q14" s="53" t="s">
        <v>107</v>
      </c>
      <c r="R14" s="53" t="s">
        <v>116</v>
      </c>
      <c r="S14" s="70">
        <v>3146567524</v>
      </c>
      <c r="T14" s="53" t="s">
        <v>145</v>
      </c>
      <c r="U14" s="57" t="str">
        <f>IF(O14=CURSOS!$D$3,"DIPLOMADO EN ATENCION PRE-HOSPITALARIA",IF(O14=CURSOS!$D$4,"ACOMPAÑAMIENTO Y MANEJO DEL DUELO",IF(O14=CURSOS!$D$5,"ATENCION A VICTIMAS DE ATAQUE CON AGENTES QUIMICOS ",IF(O14=CURSOS!$D$6,"PRIMEROS AUXILIOS ",IF(O14=CURSOS!$D$7,"DIPLOMADO DE UNIDAD DE CUIDADOS INTENSIVOS (UCI)",IF(O14=CURSOS!$D$8,"MODELO DE ATENCION PARA EVENTOS EMERGENTES EN SALUD MENTAL (CODIGO VERDE)",IF(O14=CURSOS!$D$9,"HUMANIZACION EN EL SERVICIO DE LA SALUD Y BUENAS PRACTICAS EN PACIENTE ",IF(O14=CURSOS!$D$10,"CLINICA DE HERIDAS ",IF(O14=CURSOS!$D$11,"TOMA DE CITOLOGIA CERVICO VAGINAL ",IF(O14=CURSOS!$D$12,"SOPORTE CARDIOVASCULAR AVANZADO (ACLS) ",IF(O14=CURSOS!$D$13,"CAMILLERO ",IF(O14=CURSOS!$D$14,"TOMA DE MUESTRAS Y LABORATORIO ",IF(O14=CURSOS!$D$15,"SOPORTE VITAL BASICO (BLS)",IF(O14=CURSOS!$D$16,"ATENCION A VICTIMAS DE VIOLENCIA SEXUAL ",IF(O14=CURSOS!$D$17,"PROGRAMADO AMPLIADO DE INMUNIZACION (PAI - COVID 19)",IF(O14=CURSOS!$D$18,"ATENCION INTEGRAL EN ENFERMEDADES PREVALENTES EN PRIMERA INFANCIA (AIEPI)",IF(O14=CURSOS!$D$19,"ADMINISTRACION DE MEDICAMENTOS, INYECTOLOGIA  Y CANALIZACION ",IF(O14=CURSOS!$D$20,"OPERADOR DE VEHICULOS DE EMERGENCIA (OVE)",IF(O14=CURSOS!$D$21,"INSTITUCIONES AMIGAS DE LA MUJER Y LA INFANCIA (IAMI)",IF(O14=CURSOS!$D$22,"CUIDADO DEL DONANTE DE ORGANOS",IF(O14=CURSOS!$D$23,"ATENCION A VICTIMAS POR VIOLENCIA DE GENERO",IF(O14=CURSOS!$D$24,"IGUALDAD DE GENERO EN LA SALUD",IF(O14=CURSOS!$D$25,"BRIGADA DE EMERGENCIA",IF(O14=CURSOS!$D$26,"MANEJO DEL DOLOR Y CUIDADOS PALIATIVOS",IF(O14=CURSOS!$D$27,"TOMA DE MUESTRAS Y LABORATORIO POCT",IF(O14=CURSOS!$D$28,"IMPLANTE SUBDERMICO DE DISPOSITIVO INTRAUTERINO",IF(O14=CURSOS!$D$29,"SALUD MENTAL",IF(O14=CURSOS!$D$30,"PRIMEROS AUXILIOS PSICOLOGICOS",IF(O14=CURSOS!$D$31,"ATENCION A VICTIMAS POR CONFLICTO ARMADO",IF(O14=CURSOS!$D$32,"MANIPULACION DE ALIMENTOS Y BPM",IF(O14=CURSOS!$D$33,"ATENCION A PERSONAS CON DISCAPACIDAD",IF(O14=CURSOS!$D$34,"CUIDADO INTEGRAL DEL PACIENTE ADULTO",IF(O14=CURSOS!$D$35,"MANEJO DEFENSIVO",IF(O14=CURSOS!$D$36,"SOPORTE CARDIOVASCULAR AVANZADO NEONATAL",IF(O14=CURSOS!$D$37,"SEGURIDAD DEL PACIENTE",IF(O14=CURSOS!$D$38,"MANEJO DE RESIDUOS HOSPITALARIOS"))))))))))))))))))))))))))))))))))))</f>
        <v>SOPORTE VITAL BASICO (BLS)</v>
      </c>
      <c r="V14" s="57" t="str">
        <f t="shared" si="0"/>
        <v>Marcela  Ipujan Hernandez</v>
      </c>
      <c r="W14" s="57" t="str">
        <f t="shared" si="1"/>
        <v>Marcela  Ipujan Hernandez</v>
      </c>
      <c r="X14" s="57" t="str">
        <f t="shared" si="2"/>
        <v>Marcela  Ipujan Hernandez-27456179-BLS</v>
      </c>
    </row>
    <row r="15" spans="1:24" s="67" customFormat="1" x14ac:dyDescent="0.2">
      <c r="A15" s="68">
        <v>14</v>
      </c>
      <c r="B15" s="53">
        <v>27456179</v>
      </c>
      <c r="C15" s="53" t="s">
        <v>142</v>
      </c>
      <c r="D15" s="53" t="s">
        <v>143</v>
      </c>
      <c r="E15" s="53" t="s">
        <v>144</v>
      </c>
      <c r="F15" s="53"/>
      <c r="G15" s="53">
        <v>3</v>
      </c>
      <c r="H15" s="53" t="s">
        <v>102</v>
      </c>
      <c r="I15" s="56" t="s">
        <v>103</v>
      </c>
      <c r="J15" s="54">
        <v>45629</v>
      </c>
      <c r="K15" s="69">
        <v>30000</v>
      </c>
      <c r="L15" s="53" t="s">
        <v>114</v>
      </c>
      <c r="M15" s="53" t="s">
        <v>105</v>
      </c>
      <c r="N15" s="53" t="s">
        <v>106</v>
      </c>
      <c r="O15" s="53" t="s">
        <v>23</v>
      </c>
      <c r="P15" s="56">
        <v>28902</v>
      </c>
      <c r="Q15" s="53" t="s">
        <v>107</v>
      </c>
      <c r="R15" s="53" t="s">
        <v>116</v>
      </c>
      <c r="S15" s="70">
        <v>3146567524</v>
      </c>
      <c r="T15" s="53" t="s">
        <v>145</v>
      </c>
      <c r="U15" s="57" t="str">
        <f>IF(O15=CURSOS!$D$3,"DIPLOMADO EN ATENCION PRE-HOSPITALARIA",IF(O15=CURSOS!$D$4,"ACOMPAÑAMIENTO Y MANEJO DEL DUELO",IF(O15=CURSOS!$D$5,"ATENCION A VICTIMAS DE ATAQUE CON AGENTES QUIMICOS ",IF(O15=CURSOS!$D$6,"PRIMEROS AUXILIOS ",IF(O15=CURSOS!$D$7,"DIPLOMADO DE UNIDAD DE CUIDADOS INTENSIVOS (UCI)",IF(O15=CURSOS!$D$8,"MODELO DE ATENCION PARA EVENTOS EMERGENTES EN SALUD MENTAL (CODIGO VERDE)",IF(O15=CURSOS!$D$9,"HUMANIZACION EN EL SERVICIO DE LA SALUD Y BUENAS PRACTICAS EN PACIENTE ",IF(O15=CURSOS!$D$10,"CLINICA DE HERIDAS ",IF(O15=CURSOS!$D$11,"TOMA DE CITOLOGIA CERVICO VAGINAL ",IF(O15=CURSOS!$D$12,"SOPORTE CARDIOVASCULAR AVANZADO (ACLS) ",IF(O15=CURSOS!$D$13,"CAMILLERO ",IF(O15=CURSOS!$D$14,"TOMA DE MUESTRAS Y LABORATORIO ",IF(O15=CURSOS!$D$15,"SOPORTE VITAL BASICO (BLS)",IF(O15=CURSOS!$D$16,"ATENCION A VICTIMAS DE VIOLENCIA SEXUAL ",IF(O15=CURSOS!$D$17,"PROGRAMADO AMPLIADO DE INMUNIZACION (PAI - COVID 19)",IF(O15=CURSOS!$D$18,"ATENCION INTEGRAL EN ENFERMEDADES PREVALENTES EN PRIMERA INFANCIA (AIEPI)",IF(O15=CURSOS!$D$19,"ADMINISTRACION DE MEDICAMENTOS, INYECTOLOGIA  Y CANALIZACION ",IF(O15=CURSOS!$D$20,"OPERADOR DE VEHICULOS DE EMERGENCIA (OVE)",IF(O15=CURSOS!$D$21,"INSTITUCIONES AMIGAS DE LA MUJER Y LA INFANCIA (IAMI)",IF(O15=CURSOS!$D$22,"CUIDADO DEL DONANTE DE ORGANOS",IF(O15=CURSOS!$D$23,"ATENCION A VICTIMAS POR VIOLENCIA DE GENERO",IF(O15=CURSOS!$D$24,"IGUALDAD DE GENERO EN LA SALUD",IF(O15=CURSOS!$D$25,"BRIGADA DE EMERGENCIA",IF(O15=CURSOS!$D$26,"MANEJO DEL DOLOR Y CUIDADOS PALIATIVOS",IF(O15=CURSOS!$D$27,"TOMA DE MUESTRAS Y LABORATORIO POCT",IF(O15=CURSOS!$D$28,"IMPLANTE SUBDERMICO DE DISPOSITIVO INTRAUTERINO",IF(O15=CURSOS!$D$29,"SALUD MENTAL",IF(O15=CURSOS!$D$30,"PRIMEROS AUXILIOS PSICOLOGICOS",IF(O15=CURSOS!$D$31,"ATENCION A VICTIMAS POR CONFLICTO ARMADO",IF(O15=CURSOS!$D$32,"MANIPULACION DE ALIMENTOS Y BPM",IF(O15=CURSOS!$D$33,"ATENCION A PERSONAS CON DISCAPACIDAD",IF(O15=CURSOS!$D$34,"CUIDADO INTEGRAL DEL PACIENTE ADULTO",IF(O15=CURSOS!$D$35,"MANEJO DEFENSIVO",IF(O15=CURSOS!$D$36,"SOPORTE CARDIOVASCULAR AVANZADO NEONATAL",IF(O15=CURSOS!$D$37,"SEGURIDAD DEL PACIENTE",IF(O15=CURSOS!$D$38,"MANEJO DE RESIDUOS HOSPITALARIOS"))))))))))))))))))))))))))))))))))))</f>
        <v>ACOMPAÑAMIENTO Y MANEJO DEL DUELO</v>
      </c>
      <c r="V15" s="57" t="str">
        <f t="shared" si="0"/>
        <v>Marcela  Ipujan Hernandez</v>
      </c>
      <c r="W15" s="57" t="str">
        <f t="shared" si="1"/>
        <v>Marcela  Ipujan Hernandez</v>
      </c>
      <c r="X15" s="57" t="str">
        <f t="shared" si="2"/>
        <v>Marcela  Ipujan Hernandez-27456179-DUELO</v>
      </c>
    </row>
    <row r="16" spans="1:24" s="67" customFormat="1" x14ac:dyDescent="0.2">
      <c r="A16" s="68">
        <v>15</v>
      </c>
      <c r="B16" s="53">
        <v>27456179</v>
      </c>
      <c r="C16" s="53" t="s">
        <v>142</v>
      </c>
      <c r="D16" s="53" t="s">
        <v>143</v>
      </c>
      <c r="E16" s="53" t="s">
        <v>144</v>
      </c>
      <c r="F16" s="53"/>
      <c r="G16" s="53">
        <v>2</v>
      </c>
      <c r="H16" s="53" t="s">
        <v>102</v>
      </c>
      <c r="I16" s="56" t="s">
        <v>103</v>
      </c>
      <c r="J16" s="54">
        <v>45629</v>
      </c>
      <c r="K16" s="69">
        <v>30000</v>
      </c>
      <c r="L16" s="53" t="s">
        <v>114</v>
      </c>
      <c r="M16" s="53" t="s">
        <v>105</v>
      </c>
      <c r="N16" s="53" t="s">
        <v>106</v>
      </c>
      <c r="O16" s="53" t="s">
        <v>25</v>
      </c>
      <c r="P16" s="56">
        <v>28902</v>
      </c>
      <c r="Q16" s="53" t="s">
        <v>107</v>
      </c>
      <c r="R16" s="53" t="s">
        <v>116</v>
      </c>
      <c r="S16" s="70">
        <v>3146567524</v>
      </c>
      <c r="T16" s="53" t="s">
        <v>145</v>
      </c>
      <c r="U16" s="57" t="str">
        <f>IF(O16=CURSOS!$D$3,"DIPLOMADO EN ATENCION PRE-HOSPITALARIA",IF(O16=CURSOS!$D$4,"ACOMPAÑAMIENTO Y MANEJO DEL DUELO",IF(O16=CURSOS!$D$5,"ATENCION A VICTIMAS DE ATAQUE CON AGENTES QUIMICOS ",IF(O16=CURSOS!$D$6,"PRIMEROS AUXILIOS ",IF(O16=CURSOS!$D$7,"DIPLOMADO DE UNIDAD DE CUIDADOS INTENSIVOS (UCI)",IF(O16=CURSOS!$D$8,"MODELO DE ATENCION PARA EVENTOS EMERGENTES EN SALUD MENTAL (CODIGO VERDE)",IF(O16=CURSOS!$D$9,"HUMANIZACION EN EL SERVICIO DE LA SALUD Y BUENAS PRACTICAS EN PACIENTE ",IF(O16=CURSOS!$D$10,"CLINICA DE HERIDAS ",IF(O16=CURSOS!$D$11,"TOMA DE CITOLOGIA CERVICO VAGINAL ",IF(O16=CURSOS!$D$12,"SOPORTE CARDIOVASCULAR AVANZADO (ACLS) ",IF(O16=CURSOS!$D$13,"CAMILLERO ",IF(O16=CURSOS!$D$14,"TOMA DE MUESTRAS Y LABORATORIO ",IF(O16=CURSOS!$D$15,"SOPORTE VITAL BASICO (BLS)",IF(O16=CURSOS!$D$16,"ATENCION A VICTIMAS DE VIOLENCIA SEXUAL ",IF(O16=CURSOS!$D$17,"PROGRAMADO AMPLIADO DE INMUNIZACION (PAI - COVID 19)",IF(O16=CURSOS!$D$18,"ATENCION INTEGRAL EN ENFERMEDADES PREVALENTES EN PRIMERA INFANCIA (AIEPI)",IF(O16=CURSOS!$D$19,"ADMINISTRACION DE MEDICAMENTOS, INYECTOLOGIA  Y CANALIZACION ",IF(O16=CURSOS!$D$20,"OPERADOR DE VEHICULOS DE EMERGENCIA (OVE)",IF(O16=CURSOS!$D$21,"INSTITUCIONES AMIGAS DE LA MUJER Y LA INFANCIA (IAMI)",IF(O16=CURSOS!$D$22,"CUIDADO DEL DONANTE DE ORGANOS",IF(O16=CURSOS!$D$23,"ATENCION A VICTIMAS POR VIOLENCIA DE GENERO",IF(O16=CURSOS!$D$24,"IGUALDAD DE GENERO EN LA SALUD",IF(O16=CURSOS!$D$25,"BRIGADA DE EMERGENCIA",IF(O16=CURSOS!$D$26,"MANEJO DEL DOLOR Y CUIDADOS PALIATIVOS",IF(O16=CURSOS!$D$27,"TOMA DE MUESTRAS Y LABORATORIO POCT",IF(O16=CURSOS!$D$28,"IMPLANTE SUBDERMICO DE DISPOSITIVO INTRAUTERINO",IF(O16=CURSOS!$D$29,"SALUD MENTAL",IF(O16=CURSOS!$D$30,"PRIMEROS AUXILIOS PSICOLOGICOS",IF(O16=CURSOS!$D$31,"ATENCION A VICTIMAS POR CONFLICTO ARMADO",IF(O16=CURSOS!$D$32,"MANIPULACION DE ALIMENTOS Y BPM",IF(O16=CURSOS!$D$33,"ATENCION A PERSONAS CON DISCAPACIDAD",IF(O16=CURSOS!$D$34,"CUIDADO INTEGRAL DEL PACIENTE ADULTO",IF(O16=CURSOS!$D$35,"MANEJO DEFENSIVO",IF(O16=CURSOS!$D$36,"SOPORTE CARDIOVASCULAR AVANZADO NEONATAL",IF(O16=CURSOS!$D$37,"SEGURIDAD DEL PACIENTE",IF(O16=CURSOS!$D$38,"MANEJO DE RESIDUOS HOSPITALARIOS"))))))))))))))))))))))))))))))))))))</f>
        <v xml:space="preserve">ATENCION A VICTIMAS DE ATAQUE CON AGENTES QUIMICOS </v>
      </c>
      <c r="V16" s="57" t="str">
        <f t="shared" si="0"/>
        <v>Marcela  Ipujan Hernandez</v>
      </c>
      <c r="W16" s="57" t="str">
        <f t="shared" si="1"/>
        <v>Marcela  Ipujan Hernandez</v>
      </c>
      <c r="X16" s="57" t="str">
        <f t="shared" si="2"/>
        <v>Marcela  Ipujan Hernandez-27456179-QUIMICOS</v>
      </c>
    </row>
    <row r="17" spans="1:24" s="67" customFormat="1" x14ac:dyDescent="0.2">
      <c r="A17" s="68">
        <v>16</v>
      </c>
      <c r="B17" s="53">
        <v>27456179</v>
      </c>
      <c r="C17" s="53" t="s">
        <v>142</v>
      </c>
      <c r="D17" s="53" t="s">
        <v>143</v>
      </c>
      <c r="E17" s="53" t="s">
        <v>144</v>
      </c>
      <c r="F17" s="53"/>
      <c r="G17" s="53">
        <v>2</v>
      </c>
      <c r="H17" s="53" t="s">
        <v>102</v>
      </c>
      <c r="I17" s="56" t="s">
        <v>103</v>
      </c>
      <c r="J17" s="54">
        <v>45629</v>
      </c>
      <c r="K17" s="69">
        <v>30000</v>
      </c>
      <c r="L17" s="53" t="s">
        <v>114</v>
      </c>
      <c r="M17" s="53" t="s">
        <v>105</v>
      </c>
      <c r="N17" s="53" t="s">
        <v>106</v>
      </c>
      <c r="O17" s="53" t="s">
        <v>42</v>
      </c>
      <c r="P17" s="56">
        <v>28902</v>
      </c>
      <c r="Q17" s="53" t="s">
        <v>107</v>
      </c>
      <c r="R17" s="53" t="s">
        <v>116</v>
      </c>
      <c r="S17" s="70">
        <v>3146567524</v>
      </c>
      <c r="T17" s="53" t="s">
        <v>145</v>
      </c>
      <c r="U17" s="57" t="str">
        <f>IF(O17=CURSOS!$D$3,"DIPLOMADO EN ATENCION PRE-HOSPITALARIA",IF(O17=CURSOS!$D$4,"ACOMPAÑAMIENTO Y MANEJO DEL DUELO",IF(O17=CURSOS!$D$5,"ATENCION A VICTIMAS DE ATAQUE CON AGENTES QUIMICOS ",IF(O17=CURSOS!$D$6,"PRIMEROS AUXILIOS ",IF(O17=CURSOS!$D$7,"DIPLOMADO DE UNIDAD DE CUIDADOS INTENSIVOS (UCI)",IF(O17=CURSOS!$D$8,"MODELO DE ATENCION PARA EVENTOS EMERGENTES EN SALUD MENTAL (CODIGO VERDE)",IF(O17=CURSOS!$D$9,"HUMANIZACION EN EL SERVICIO DE LA SALUD Y BUENAS PRACTICAS EN PACIENTE ",IF(O17=CURSOS!$D$10,"CLINICA DE HERIDAS ",IF(O17=CURSOS!$D$11,"TOMA DE CITOLOGIA CERVICO VAGINAL ",IF(O17=CURSOS!$D$12,"SOPORTE CARDIOVASCULAR AVANZADO (ACLS) ",IF(O17=CURSOS!$D$13,"CAMILLERO ",IF(O17=CURSOS!$D$14,"TOMA DE MUESTRAS Y LABORATORIO ",IF(O17=CURSOS!$D$15,"SOPORTE VITAL BASICO (BLS)",IF(O17=CURSOS!$D$16,"ATENCION A VICTIMAS DE VIOLENCIA SEXUAL ",IF(O17=CURSOS!$D$17,"PROGRAMADO AMPLIADO DE INMUNIZACION (PAI - COVID 19)",IF(O17=CURSOS!$D$18,"ATENCION INTEGRAL EN ENFERMEDADES PREVALENTES EN PRIMERA INFANCIA (AIEPI)",IF(O17=CURSOS!$D$19,"ADMINISTRACION DE MEDICAMENTOS, INYECTOLOGIA  Y CANALIZACION ",IF(O17=CURSOS!$D$20,"OPERADOR DE VEHICULOS DE EMERGENCIA (OVE)",IF(O17=CURSOS!$D$21,"INSTITUCIONES AMIGAS DE LA MUJER Y LA INFANCIA (IAMI)",IF(O17=CURSOS!$D$22,"CUIDADO DEL DONANTE DE ORGANOS",IF(O17=CURSOS!$D$23,"ATENCION A VICTIMAS POR VIOLENCIA DE GENERO",IF(O17=CURSOS!$D$24,"IGUALDAD DE GENERO EN LA SALUD",IF(O17=CURSOS!$D$25,"BRIGADA DE EMERGENCIA",IF(O17=CURSOS!$D$26,"MANEJO DEL DOLOR Y CUIDADOS PALIATIVOS",IF(O17=CURSOS!$D$27,"TOMA DE MUESTRAS Y LABORATORIO POCT",IF(O17=CURSOS!$D$28,"IMPLANTE SUBDERMICO DE DISPOSITIVO INTRAUTERINO",IF(O17=CURSOS!$D$29,"SALUD MENTAL",IF(O17=CURSOS!$D$30,"PRIMEROS AUXILIOS PSICOLOGICOS",IF(O17=CURSOS!$D$31,"ATENCION A VICTIMAS POR CONFLICTO ARMADO",IF(O17=CURSOS!$D$32,"MANIPULACION DE ALIMENTOS Y BPM",IF(O17=CURSOS!$D$33,"ATENCION A PERSONAS CON DISCAPACIDAD",IF(O17=CURSOS!$D$34,"CUIDADO INTEGRAL DEL PACIENTE ADULTO",IF(O17=CURSOS!$D$35,"MANEJO DEFENSIVO",IF(O17=CURSOS!$D$36,"SOPORTE CARDIOVASCULAR AVANZADO NEONATAL",IF(O17=CURSOS!$D$37,"SEGURIDAD DEL PACIENTE",IF(O17=CURSOS!$D$38,"MANEJO DE RESIDUOS HOSPITALARIOS"))))))))))))))))))))))))))))))))))))</f>
        <v xml:space="preserve">ATENCION A VICTIMAS DE VIOLENCIA SEXUAL </v>
      </c>
      <c r="V17" s="57" t="str">
        <f t="shared" si="0"/>
        <v>Marcela  Ipujan Hernandez</v>
      </c>
      <c r="W17" s="57" t="str">
        <f t="shared" si="1"/>
        <v>Marcela  Ipujan Hernandez</v>
      </c>
      <c r="X17" s="57" t="str">
        <f t="shared" si="2"/>
        <v>Marcela  Ipujan Hernandez-27456179-VIOLENCIA SEXUAL</v>
      </c>
    </row>
    <row r="18" spans="1:24" s="67" customFormat="1" x14ac:dyDescent="0.2">
      <c r="A18" s="68">
        <v>17</v>
      </c>
      <c r="B18" s="53">
        <v>1085328588</v>
      </c>
      <c r="C18" s="53" t="s">
        <v>146</v>
      </c>
      <c r="D18" s="53" t="s">
        <v>110</v>
      </c>
      <c r="E18" s="53" t="s">
        <v>147</v>
      </c>
      <c r="F18" s="53" t="s">
        <v>148</v>
      </c>
      <c r="G18" s="53">
        <v>3</v>
      </c>
      <c r="H18" s="53" t="s">
        <v>102</v>
      </c>
      <c r="I18" s="56" t="s">
        <v>103</v>
      </c>
      <c r="J18" s="54">
        <v>45629</v>
      </c>
      <c r="K18" s="69">
        <v>40000</v>
      </c>
      <c r="L18" s="53" t="s">
        <v>114</v>
      </c>
      <c r="M18" s="53" t="s">
        <v>105</v>
      </c>
      <c r="N18" s="53" t="s">
        <v>106</v>
      </c>
      <c r="O18" s="53" t="s">
        <v>19</v>
      </c>
      <c r="P18" s="56">
        <v>35178</v>
      </c>
      <c r="Q18" s="53" t="s">
        <v>107</v>
      </c>
      <c r="R18" s="53" t="s">
        <v>116</v>
      </c>
      <c r="S18" s="70">
        <v>3103860001</v>
      </c>
      <c r="T18" s="70" t="s">
        <v>149</v>
      </c>
      <c r="U18" s="57" t="str">
        <f>IF(O18=CURSOS!$D$3,"DIPLOMADO EN ATENCION PRE-HOSPITALARIA",IF(O18=CURSOS!$D$4,"ACOMPAÑAMIENTO Y MANEJO DEL DUELO",IF(O18=CURSOS!$D$5,"ATENCION A VICTIMAS DE ATAQUE CON AGENTES QUIMICOS ",IF(O18=CURSOS!$D$6,"PRIMEROS AUXILIOS ",IF(O18=CURSOS!$D$7,"DIPLOMADO DE UNIDAD DE CUIDADOS INTENSIVOS (UCI)",IF(O18=CURSOS!$D$8,"MODELO DE ATENCION PARA EVENTOS EMERGENTES EN SALUD MENTAL (CODIGO VERDE)",IF(O18=CURSOS!$D$9,"HUMANIZACION EN EL SERVICIO DE LA SALUD Y BUENAS PRACTICAS EN PACIENTE ",IF(O18=CURSOS!$D$10,"CLINICA DE HERIDAS ",IF(O18=CURSOS!$D$11,"TOMA DE CITOLOGIA CERVICO VAGINAL ",IF(O18=CURSOS!$D$12,"SOPORTE CARDIOVASCULAR AVANZADO (ACLS) ",IF(O18=CURSOS!$D$13,"CAMILLERO ",IF(O18=CURSOS!$D$14,"TOMA DE MUESTRAS Y LABORATORIO ",IF(O18=CURSOS!$D$15,"SOPORTE VITAL BASICO (BLS)",IF(O18=CURSOS!$D$16,"ATENCION A VICTIMAS DE VIOLENCIA SEXUAL ",IF(O18=CURSOS!$D$17,"PROGRAMADO AMPLIADO DE INMUNIZACION (PAI - COVID 19)",IF(O18=CURSOS!$D$18,"ATENCION INTEGRAL EN ENFERMEDADES PREVALENTES EN PRIMERA INFANCIA (AIEPI)",IF(O18=CURSOS!$D$19,"ADMINISTRACION DE MEDICAMENTOS, INYECTOLOGIA  Y CANALIZACION ",IF(O18=CURSOS!$D$20,"OPERADOR DE VEHICULOS DE EMERGENCIA (OVE)",IF(O18=CURSOS!$D$21,"INSTITUCIONES AMIGAS DE LA MUJER Y LA INFANCIA (IAMI)",IF(O18=CURSOS!$D$22,"CUIDADO DEL DONANTE DE ORGANOS",IF(O18=CURSOS!$D$23,"ATENCION A VICTIMAS POR VIOLENCIA DE GENERO",IF(O18=CURSOS!$D$24,"IGUALDAD DE GENERO EN LA SALUD",IF(O18=CURSOS!$D$25,"BRIGADA DE EMERGENCIA",IF(O18=CURSOS!$D$26,"MANEJO DEL DOLOR Y CUIDADOS PALIATIVOS",IF(O18=CURSOS!$D$27,"TOMA DE MUESTRAS Y LABORATORIO POCT",IF(O18=CURSOS!$D$28,"IMPLANTE SUBDERMICO DE DISPOSITIVO INTRAUTERINO",IF(O18=CURSOS!$D$29,"SALUD MENTAL",IF(O18=CURSOS!$D$30,"PRIMEROS AUXILIOS PSICOLOGICOS",IF(O18=CURSOS!$D$31,"ATENCION A VICTIMAS POR CONFLICTO ARMADO",IF(O18=CURSOS!$D$32,"MANIPULACION DE ALIMENTOS Y BPM",IF(O18=CURSOS!$D$33,"ATENCION A PERSONAS CON DISCAPACIDAD",IF(O18=CURSOS!$D$34,"CUIDADO INTEGRAL DEL PACIENTE ADULTO",IF(O18=CURSOS!$D$35,"MANEJO DEFENSIVO",IF(O18=CURSOS!$D$36,"SOPORTE CARDIOVASCULAR AVANZADO NEONATAL",IF(O18=CURSOS!$D$37,"SEGURIDAD DEL PACIENTE",IF(O18=CURSOS!$D$38,"MANEJO DE RESIDUOS HOSPITALARIOS"))))))))))))))))))))))))))))))))))))</f>
        <v>SOPORTE VITAL BASICO (BLS)</v>
      </c>
      <c r="V18" s="57" t="str">
        <f t="shared" si="0"/>
        <v>Karen Dayana Burgos López</v>
      </c>
      <c r="W18" s="57" t="str">
        <f t="shared" si="1"/>
        <v>Karen Dayana Burgos López</v>
      </c>
      <c r="X18" s="57" t="str">
        <f t="shared" si="2"/>
        <v>Karen Dayana Burgos López-1085328588-BLS</v>
      </c>
    </row>
    <row r="19" spans="1:24" s="67" customFormat="1" x14ac:dyDescent="0.2">
      <c r="A19" s="68">
        <v>18</v>
      </c>
      <c r="B19" s="53">
        <v>1114829052</v>
      </c>
      <c r="C19" s="53" t="s">
        <v>150</v>
      </c>
      <c r="D19" s="53" t="s">
        <v>151</v>
      </c>
      <c r="E19" s="53" t="s">
        <v>152</v>
      </c>
      <c r="F19" s="53" t="s">
        <v>153</v>
      </c>
      <c r="G19" s="53">
        <v>3</v>
      </c>
      <c r="H19" s="53" t="s">
        <v>102</v>
      </c>
      <c r="I19" s="56" t="s">
        <v>154</v>
      </c>
      <c r="J19" s="54">
        <v>45624</v>
      </c>
      <c r="K19" s="69">
        <v>56000</v>
      </c>
      <c r="L19" s="53" t="s">
        <v>114</v>
      </c>
      <c r="M19" s="53" t="s">
        <v>105</v>
      </c>
      <c r="N19" s="53" t="s">
        <v>106</v>
      </c>
      <c r="O19" s="53" t="s">
        <v>42</v>
      </c>
      <c r="P19" s="56">
        <v>34026</v>
      </c>
      <c r="Q19" s="53" t="s">
        <v>107</v>
      </c>
      <c r="R19" s="70" t="s">
        <v>155</v>
      </c>
      <c r="S19" s="70">
        <v>3104619423</v>
      </c>
      <c r="T19" s="70" t="s">
        <v>156</v>
      </c>
      <c r="U19" s="57" t="str">
        <f>IF(O19=CURSOS!$D$3,"DIPLOMADO EN ATENCION PRE-HOSPITALARIA",IF(O19=CURSOS!$D$4,"ACOMPAÑAMIENTO Y MANEJO DEL DUELO",IF(O19=CURSOS!$D$5,"ATENCION A VICTIMAS DE ATAQUE CON AGENTES QUIMICOS ",IF(O19=CURSOS!$D$6,"PRIMEROS AUXILIOS ",IF(O19=CURSOS!$D$7,"DIPLOMADO DE UNIDAD DE CUIDADOS INTENSIVOS (UCI)",IF(O19=CURSOS!$D$8,"MODELO DE ATENCION PARA EVENTOS EMERGENTES EN SALUD MENTAL (CODIGO VERDE)",IF(O19=CURSOS!$D$9,"HUMANIZACION EN EL SERVICIO DE LA SALUD Y BUENAS PRACTICAS EN PACIENTE ",IF(O19=CURSOS!$D$10,"CLINICA DE HERIDAS ",IF(O19=CURSOS!$D$11,"TOMA DE CITOLOGIA CERVICO VAGINAL ",IF(O19=CURSOS!$D$12,"SOPORTE CARDIOVASCULAR AVANZADO (ACLS) ",IF(O19=CURSOS!$D$13,"CAMILLERO ",IF(O19=CURSOS!$D$14,"TOMA DE MUESTRAS Y LABORATORIO ",IF(O19=CURSOS!$D$15,"SOPORTE VITAL BASICO (BLS)",IF(O19=CURSOS!$D$16,"ATENCION A VICTIMAS DE VIOLENCIA SEXUAL ",IF(O19=CURSOS!$D$17,"PROGRAMADO AMPLIADO DE INMUNIZACION (PAI - COVID 19)",IF(O19=CURSOS!$D$18,"ATENCION INTEGRAL EN ENFERMEDADES PREVALENTES EN PRIMERA INFANCIA (AIEPI)",IF(O19=CURSOS!$D$19,"ADMINISTRACION DE MEDICAMENTOS, INYECTOLOGIA  Y CANALIZACION ",IF(O19=CURSOS!$D$20,"OPERADOR DE VEHICULOS DE EMERGENCIA (OVE)",IF(O19=CURSOS!$D$21,"INSTITUCIONES AMIGAS DE LA MUJER Y LA INFANCIA (IAMI)",IF(O19=CURSOS!$D$22,"CUIDADO DEL DONANTE DE ORGANOS",IF(O19=CURSOS!$D$23,"ATENCION A VICTIMAS POR VIOLENCIA DE GENERO",IF(O19=CURSOS!$D$24,"IGUALDAD DE GENERO EN LA SALUD",IF(O19=CURSOS!$D$25,"BRIGADA DE EMERGENCIA",IF(O19=CURSOS!$D$26,"MANEJO DEL DOLOR Y CUIDADOS PALIATIVOS",IF(O19=CURSOS!$D$27,"TOMA DE MUESTRAS Y LABORATORIO POCT",IF(O19=CURSOS!$D$28,"IMPLANTE SUBDERMICO DE DISPOSITIVO INTRAUTERINO",IF(O19=CURSOS!$D$29,"SALUD MENTAL",IF(O19=CURSOS!$D$30,"PRIMEROS AUXILIOS PSICOLOGICOS",IF(O19=CURSOS!$D$31,"ATENCION A VICTIMAS POR CONFLICTO ARMADO",IF(O19=CURSOS!$D$32,"MANIPULACION DE ALIMENTOS Y BPM",IF(O19=CURSOS!$D$33,"ATENCION A PERSONAS CON DISCAPACIDAD",IF(O19=CURSOS!$D$34,"CUIDADO INTEGRAL DEL PACIENTE ADULTO",IF(O19=CURSOS!$D$35,"MANEJO DEFENSIVO",IF(O19=CURSOS!$D$36,"SOPORTE CARDIOVASCULAR AVANZADO NEONATAL",IF(O19=CURSOS!$D$37,"SEGURIDAD DEL PACIENTE",IF(O19=CURSOS!$D$38,"MANEJO DE RESIDUOS HOSPITALARIOS"))))))))))))))))))))))))))))))))))))</f>
        <v xml:space="preserve">ATENCION A VICTIMAS DE VIOLENCIA SEXUAL </v>
      </c>
      <c r="V19" s="57" t="str">
        <f t="shared" si="0"/>
        <v>Yesid Alexys David Rodriguez</v>
      </c>
      <c r="W19" s="57" t="str">
        <f t="shared" si="1"/>
        <v>Yesid Alexys David Rodriguez</v>
      </c>
      <c r="X19" s="57" t="str">
        <f t="shared" si="2"/>
        <v>Yesid Alexys David Rodriguez-1114829052-VIOLENCIA SEXUAL</v>
      </c>
    </row>
    <row r="20" spans="1:24" s="67" customFormat="1" x14ac:dyDescent="0.2">
      <c r="A20" s="68">
        <v>19</v>
      </c>
      <c r="B20" s="53">
        <v>1114829052</v>
      </c>
      <c r="C20" s="53" t="s">
        <v>150</v>
      </c>
      <c r="D20" s="53" t="s">
        <v>151</v>
      </c>
      <c r="E20" s="53" t="s">
        <v>152</v>
      </c>
      <c r="F20" s="53" t="s">
        <v>153</v>
      </c>
      <c r="G20" s="53">
        <v>4</v>
      </c>
      <c r="H20" s="53" t="s">
        <v>102</v>
      </c>
      <c r="I20" s="56" t="s">
        <v>154</v>
      </c>
      <c r="J20" s="54">
        <v>45624</v>
      </c>
      <c r="K20" s="69">
        <v>56000</v>
      </c>
      <c r="L20" s="53" t="s">
        <v>114</v>
      </c>
      <c r="M20" s="53" t="s">
        <v>105</v>
      </c>
      <c r="N20" s="53" t="s">
        <v>106</v>
      </c>
      <c r="O20" s="53" t="s">
        <v>23</v>
      </c>
      <c r="P20" s="56">
        <v>34026</v>
      </c>
      <c r="Q20" s="53" t="s">
        <v>107</v>
      </c>
      <c r="R20" s="70" t="s">
        <v>155</v>
      </c>
      <c r="S20" s="70">
        <v>3104619423</v>
      </c>
      <c r="T20" s="70" t="s">
        <v>156</v>
      </c>
      <c r="U20" s="57" t="str">
        <f>IF(O20=CURSOS!$D$3,"DIPLOMADO EN ATENCION PRE-HOSPITALARIA",IF(O20=CURSOS!$D$4,"ACOMPAÑAMIENTO Y MANEJO DEL DUELO",IF(O20=CURSOS!$D$5,"ATENCION A VICTIMAS DE ATAQUE CON AGENTES QUIMICOS ",IF(O20=CURSOS!$D$6,"PRIMEROS AUXILIOS ",IF(O20=CURSOS!$D$7,"DIPLOMADO DE UNIDAD DE CUIDADOS INTENSIVOS (UCI)",IF(O20=CURSOS!$D$8,"MODELO DE ATENCION PARA EVENTOS EMERGENTES EN SALUD MENTAL (CODIGO VERDE)",IF(O20=CURSOS!$D$9,"HUMANIZACION EN EL SERVICIO DE LA SALUD Y BUENAS PRACTICAS EN PACIENTE ",IF(O20=CURSOS!$D$10,"CLINICA DE HERIDAS ",IF(O20=CURSOS!$D$11,"TOMA DE CITOLOGIA CERVICO VAGINAL ",IF(O20=CURSOS!$D$12,"SOPORTE CARDIOVASCULAR AVANZADO (ACLS) ",IF(O20=CURSOS!$D$13,"CAMILLERO ",IF(O20=CURSOS!$D$14,"TOMA DE MUESTRAS Y LABORATORIO ",IF(O20=CURSOS!$D$15,"SOPORTE VITAL BASICO (BLS)",IF(O20=CURSOS!$D$16,"ATENCION A VICTIMAS DE VIOLENCIA SEXUAL ",IF(O20=CURSOS!$D$17,"PROGRAMADO AMPLIADO DE INMUNIZACION (PAI - COVID 19)",IF(O20=CURSOS!$D$18,"ATENCION INTEGRAL EN ENFERMEDADES PREVALENTES EN PRIMERA INFANCIA (AIEPI)",IF(O20=CURSOS!$D$19,"ADMINISTRACION DE MEDICAMENTOS, INYECTOLOGIA  Y CANALIZACION ",IF(O20=CURSOS!$D$20,"OPERADOR DE VEHICULOS DE EMERGENCIA (OVE)",IF(O20=CURSOS!$D$21,"INSTITUCIONES AMIGAS DE LA MUJER Y LA INFANCIA (IAMI)",IF(O20=CURSOS!$D$22,"CUIDADO DEL DONANTE DE ORGANOS",IF(O20=CURSOS!$D$23,"ATENCION A VICTIMAS POR VIOLENCIA DE GENERO",IF(O20=CURSOS!$D$24,"IGUALDAD DE GENERO EN LA SALUD",IF(O20=CURSOS!$D$25,"BRIGADA DE EMERGENCIA",IF(O20=CURSOS!$D$26,"MANEJO DEL DOLOR Y CUIDADOS PALIATIVOS",IF(O20=CURSOS!$D$27,"TOMA DE MUESTRAS Y LABORATORIO POCT",IF(O20=CURSOS!$D$28,"IMPLANTE SUBDERMICO DE DISPOSITIVO INTRAUTERINO",IF(O20=CURSOS!$D$29,"SALUD MENTAL",IF(O20=CURSOS!$D$30,"PRIMEROS AUXILIOS PSICOLOGICOS",IF(O20=CURSOS!$D$31,"ATENCION A VICTIMAS POR CONFLICTO ARMADO",IF(O20=CURSOS!$D$32,"MANIPULACION DE ALIMENTOS Y BPM",IF(O20=CURSOS!$D$33,"ATENCION A PERSONAS CON DISCAPACIDAD",IF(O20=CURSOS!$D$34,"CUIDADO INTEGRAL DEL PACIENTE ADULTO",IF(O20=CURSOS!$D$35,"MANEJO DEFENSIVO",IF(O20=CURSOS!$D$36,"SOPORTE CARDIOVASCULAR AVANZADO NEONATAL",IF(O20=CURSOS!$D$37,"SEGURIDAD DEL PACIENTE",IF(O20=CURSOS!$D$38,"MANEJO DE RESIDUOS HOSPITALARIOS"))))))))))))))))))))))))))))))))))))</f>
        <v>ACOMPAÑAMIENTO Y MANEJO DEL DUELO</v>
      </c>
      <c r="V20" s="57" t="str">
        <f t="shared" si="0"/>
        <v>Yesid Alexys David Rodriguez</v>
      </c>
      <c r="W20" s="57" t="str">
        <f t="shared" si="1"/>
        <v>Yesid Alexys David Rodriguez</v>
      </c>
      <c r="X20" s="57" t="str">
        <f t="shared" si="2"/>
        <v>Yesid Alexys David Rodriguez-1114829052-DUELO</v>
      </c>
    </row>
    <row r="21" spans="1:24" s="67" customFormat="1" x14ac:dyDescent="0.2">
      <c r="A21" s="68">
        <v>20</v>
      </c>
      <c r="B21" s="53">
        <v>1085277492</v>
      </c>
      <c r="C21" s="53" t="s">
        <v>157</v>
      </c>
      <c r="D21" s="53" t="s">
        <v>158</v>
      </c>
      <c r="E21" s="53" t="s">
        <v>159</v>
      </c>
      <c r="F21" s="53" t="s">
        <v>160</v>
      </c>
      <c r="G21" s="53">
        <v>2</v>
      </c>
      <c r="H21" s="53" t="s">
        <v>102</v>
      </c>
      <c r="I21" s="56" t="s">
        <v>103</v>
      </c>
      <c r="J21" s="54">
        <v>45630</v>
      </c>
      <c r="K21" s="69">
        <v>33000</v>
      </c>
      <c r="L21" s="53" t="s">
        <v>114</v>
      </c>
      <c r="M21" s="53" t="s">
        <v>105</v>
      </c>
      <c r="N21" s="53" t="s">
        <v>106</v>
      </c>
      <c r="O21" s="53" t="s">
        <v>57</v>
      </c>
      <c r="P21" s="56">
        <v>32767</v>
      </c>
      <c r="Q21" s="53" t="s">
        <v>107</v>
      </c>
      <c r="R21" s="70" t="s">
        <v>133</v>
      </c>
      <c r="S21" s="70">
        <v>3004651026</v>
      </c>
      <c r="T21" s="53" t="s">
        <v>161</v>
      </c>
      <c r="U21" s="57" t="str">
        <f>IF(O21=CURSOS!$D$3,"DIPLOMADO EN ATENCION PRE-HOSPITALARIA",IF(O21=CURSOS!$D$4,"ACOMPAÑAMIENTO Y MANEJO DEL DUELO",IF(O21=CURSOS!$D$5,"ATENCION A VICTIMAS DE ATAQUE CON AGENTES QUIMICOS ",IF(O21=CURSOS!$D$6,"PRIMEROS AUXILIOS ",IF(O21=CURSOS!$D$7,"DIPLOMADO DE UNIDAD DE CUIDADOS INTENSIVOS (UCI)",IF(O21=CURSOS!$D$8,"MODELO DE ATENCION PARA EVENTOS EMERGENTES EN SALUD MENTAL (CODIGO VERDE)",IF(O21=CURSOS!$D$9,"HUMANIZACION EN EL SERVICIO DE LA SALUD Y BUENAS PRACTICAS EN PACIENTE ",IF(O21=CURSOS!$D$10,"CLINICA DE HERIDAS ",IF(O21=CURSOS!$D$11,"TOMA DE CITOLOGIA CERVICO VAGINAL ",IF(O21=CURSOS!$D$12,"SOPORTE CARDIOVASCULAR AVANZADO (ACLS) ",IF(O21=CURSOS!$D$13,"CAMILLERO ",IF(O21=CURSOS!$D$14,"TOMA DE MUESTRAS Y LABORATORIO ",IF(O21=CURSOS!$D$15,"SOPORTE VITAL BASICO (BLS)",IF(O21=CURSOS!$D$16,"ATENCION A VICTIMAS DE VIOLENCIA SEXUAL ",IF(O21=CURSOS!$D$17,"PROGRAMADO AMPLIADO DE INMUNIZACION (PAI - COVID 19)",IF(O21=CURSOS!$D$18,"ATENCION INTEGRAL EN ENFERMEDADES PREVALENTES EN PRIMERA INFANCIA (AIEPI)",IF(O21=CURSOS!$D$19,"ADMINISTRACION DE MEDICAMENTOS, INYECTOLOGIA  Y CANALIZACION ",IF(O21=CURSOS!$D$20,"OPERADOR DE VEHICULOS DE EMERGENCIA (OVE)",IF(O21=CURSOS!$D$21,"INSTITUCIONES AMIGAS DE LA MUJER Y LA INFANCIA (IAMI)",IF(O21=CURSOS!$D$22,"CUIDADO DEL DONANTE DE ORGANOS",IF(O21=CURSOS!$D$23,"ATENCION A VICTIMAS POR VIOLENCIA DE GENERO",IF(O21=CURSOS!$D$24,"IGUALDAD DE GENERO EN LA SALUD",IF(O21=CURSOS!$D$25,"BRIGADA DE EMERGENCIA",IF(O21=CURSOS!$D$26,"MANEJO DEL DOLOR Y CUIDADOS PALIATIVOS",IF(O21=CURSOS!$D$27,"TOMA DE MUESTRAS Y LABORATORIO POCT",IF(O21=CURSOS!$D$28,"IMPLANTE SUBDERMICO DE DISPOSITIVO INTRAUTERINO",IF(O21=CURSOS!$D$29,"SALUD MENTAL",IF(O21=CURSOS!$D$30,"PRIMEROS AUXILIOS PSICOLOGICOS",IF(O21=CURSOS!$D$31,"ATENCION A VICTIMAS POR CONFLICTO ARMADO",IF(O21=CURSOS!$D$32,"MANIPULACION DE ALIMENTOS Y BPM",IF(O21=CURSOS!$D$33,"ATENCION A PERSONAS CON DISCAPACIDAD",IF(O21=CURSOS!$D$34,"CUIDADO INTEGRAL DEL PACIENTE ADULTO",IF(O21=CURSOS!$D$35,"MANEJO DEFENSIVO",IF(O21=CURSOS!$D$36,"SOPORTE CARDIOVASCULAR AVANZADO NEONATAL",IF(O21=CURSOS!$D$37,"SEGURIDAD DEL PACIENTE",IF(O21=CURSOS!$D$38,"MANEJO DE RESIDUOS HOSPITALARIOS"))))))))))))))))))))))))))))))))))))</f>
        <v>MANEJO DEL DOLOR Y CUIDADOS PALIATIVOS</v>
      </c>
      <c r="V21" s="57" t="str">
        <f t="shared" si="0"/>
        <v>Melina Andrea Gualguan Tulcán</v>
      </c>
      <c r="W21" s="57" t="str">
        <f t="shared" si="1"/>
        <v>Melina Andrea Gualguan Tulcán</v>
      </c>
      <c r="X21" s="57" t="str">
        <f t="shared" si="2"/>
        <v>Melina Andrea Gualguan Tulcán-1085277492-PALIATIVOS</v>
      </c>
    </row>
    <row r="22" spans="1:24" s="67" customFormat="1" x14ac:dyDescent="0.2">
      <c r="A22" s="68">
        <v>21</v>
      </c>
      <c r="B22" s="53">
        <v>1085277492</v>
      </c>
      <c r="C22" s="53" t="s">
        <v>157</v>
      </c>
      <c r="D22" s="53" t="s">
        <v>158</v>
      </c>
      <c r="E22" s="53" t="s">
        <v>159</v>
      </c>
      <c r="F22" s="53" t="s">
        <v>160</v>
      </c>
      <c r="G22" s="53">
        <v>3</v>
      </c>
      <c r="H22" s="53" t="s">
        <v>102</v>
      </c>
      <c r="I22" s="56" t="s">
        <v>103</v>
      </c>
      <c r="J22" s="54">
        <v>45630</v>
      </c>
      <c r="K22" s="69">
        <v>33000</v>
      </c>
      <c r="L22" s="53" t="s">
        <v>114</v>
      </c>
      <c r="M22" s="53" t="s">
        <v>105</v>
      </c>
      <c r="N22" s="53" t="s">
        <v>106</v>
      </c>
      <c r="O22" s="53" t="s">
        <v>23</v>
      </c>
      <c r="P22" s="56">
        <v>32767</v>
      </c>
      <c r="Q22" s="53" t="s">
        <v>107</v>
      </c>
      <c r="R22" s="70" t="s">
        <v>133</v>
      </c>
      <c r="S22" s="70">
        <v>3004651026</v>
      </c>
      <c r="T22" s="53" t="s">
        <v>161</v>
      </c>
      <c r="U22" s="57" t="str">
        <f>IF(O22=CURSOS!$D$3,"DIPLOMADO EN ATENCION PRE-HOSPITALARIA",IF(O22=CURSOS!$D$4,"ACOMPAÑAMIENTO Y MANEJO DEL DUELO",IF(O22=CURSOS!$D$5,"ATENCION A VICTIMAS DE ATAQUE CON AGENTES QUIMICOS ",IF(O22=CURSOS!$D$6,"PRIMEROS AUXILIOS ",IF(O22=CURSOS!$D$7,"DIPLOMADO DE UNIDAD DE CUIDADOS INTENSIVOS (UCI)",IF(O22=CURSOS!$D$8,"MODELO DE ATENCION PARA EVENTOS EMERGENTES EN SALUD MENTAL (CODIGO VERDE)",IF(O22=CURSOS!$D$9,"HUMANIZACION EN EL SERVICIO DE LA SALUD Y BUENAS PRACTICAS EN PACIENTE ",IF(O22=CURSOS!$D$10,"CLINICA DE HERIDAS ",IF(O22=CURSOS!$D$11,"TOMA DE CITOLOGIA CERVICO VAGINAL ",IF(O22=CURSOS!$D$12,"SOPORTE CARDIOVASCULAR AVANZADO (ACLS) ",IF(O22=CURSOS!$D$13,"CAMILLERO ",IF(O22=CURSOS!$D$14,"TOMA DE MUESTRAS Y LABORATORIO ",IF(O22=CURSOS!$D$15,"SOPORTE VITAL BASICO (BLS)",IF(O22=CURSOS!$D$16,"ATENCION A VICTIMAS DE VIOLENCIA SEXUAL ",IF(O22=CURSOS!$D$17,"PROGRAMADO AMPLIADO DE INMUNIZACION (PAI - COVID 19)",IF(O22=CURSOS!$D$18,"ATENCION INTEGRAL EN ENFERMEDADES PREVALENTES EN PRIMERA INFANCIA (AIEPI)",IF(O22=CURSOS!$D$19,"ADMINISTRACION DE MEDICAMENTOS, INYECTOLOGIA  Y CANALIZACION ",IF(O22=CURSOS!$D$20,"OPERADOR DE VEHICULOS DE EMERGENCIA (OVE)",IF(O22=CURSOS!$D$21,"INSTITUCIONES AMIGAS DE LA MUJER Y LA INFANCIA (IAMI)",IF(O22=CURSOS!$D$22,"CUIDADO DEL DONANTE DE ORGANOS",IF(O22=CURSOS!$D$23,"ATENCION A VICTIMAS POR VIOLENCIA DE GENERO",IF(O22=CURSOS!$D$24,"IGUALDAD DE GENERO EN LA SALUD",IF(O22=CURSOS!$D$25,"BRIGADA DE EMERGENCIA",IF(O22=CURSOS!$D$26,"MANEJO DEL DOLOR Y CUIDADOS PALIATIVOS",IF(O22=CURSOS!$D$27,"TOMA DE MUESTRAS Y LABORATORIO POCT",IF(O22=CURSOS!$D$28,"IMPLANTE SUBDERMICO DE DISPOSITIVO INTRAUTERINO",IF(O22=CURSOS!$D$29,"SALUD MENTAL",IF(O22=CURSOS!$D$30,"PRIMEROS AUXILIOS PSICOLOGICOS",IF(O22=CURSOS!$D$31,"ATENCION A VICTIMAS POR CONFLICTO ARMADO",IF(O22=CURSOS!$D$32,"MANIPULACION DE ALIMENTOS Y BPM",IF(O22=CURSOS!$D$33,"ATENCION A PERSONAS CON DISCAPACIDAD",IF(O22=CURSOS!$D$34,"CUIDADO INTEGRAL DEL PACIENTE ADULTO",IF(O22=CURSOS!$D$35,"MANEJO DEFENSIVO",IF(O22=CURSOS!$D$36,"SOPORTE CARDIOVASCULAR AVANZADO NEONATAL",IF(O22=CURSOS!$D$37,"SEGURIDAD DEL PACIENTE",IF(O22=CURSOS!$D$38,"MANEJO DE RESIDUOS HOSPITALARIOS"))))))))))))))))))))))))))))))))))))</f>
        <v>ACOMPAÑAMIENTO Y MANEJO DEL DUELO</v>
      </c>
      <c r="V22" s="57" t="str">
        <f t="shared" si="0"/>
        <v>Melina Andrea Gualguan Tulcán</v>
      </c>
      <c r="W22" s="57" t="str">
        <f t="shared" si="1"/>
        <v>Melina Andrea Gualguan Tulcán</v>
      </c>
      <c r="X22" s="57" t="str">
        <f t="shared" si="2"/>
        <v>Melina Andrea Gualguan Tulcán-1085277492-DUELO</v>
      </c>
    </row>
    <row r="23" spans="1:24" s="67" customFormat="1" x14ac:dyDescent="0.2">
      <c r="A23" s="68">
        <v>22</v>
      </c>
      <c r="B23" s="53">
        <v>1085277492</v>
      </c>
      <c r="C23" s="53" t="s">
        <v>157</v>
      </c>
      <c r="D23" s="53" t="s">
        <v>158</v>
      </c>
      <c r="E23" s="53" t="s">
        <v>159</v>
      </c>
      <c r="F23" s="53" t="s">
        <v>160</v>
      </c>
      <c r="G23" s="53">
        <v>4</v>
      </c>
      <c r="H23" s="53" t="s">
        <v>102</v>
      </c>
      <c r="I23" s="56" t="s">
        <v>103</v>
      </c>
      <c r="J23" s="54">
        <v>45630</v>
      </c>
      <c r="K23" s="69">
        <v>33000</v>
      </c>
      <c r="L23" s="53" t="s">
        <v>114</v>
      </c>
      <c r="M23" s="53" t="s">
        <v>105</v>
      </c>
      <c r="N23" s="53" t="s">
        <v>106</v>
      </c>
      <c r="O23" s="53" t="s">
        <v>42</v>
      </c>
      <c r="P23" s="56">
        <v>32767</v>
      </c>
      <c r="Q23" s="53" t="s">
        <v>107</v>
      </c>
      <c r="R23" s="70" t="s">
        <v>133</v>
      </c>
      <c r="S23" s="70">
        <v>3004651026</v>
      </c>
      <c r="T23" s="53" t="s">
        <v>161</v>
      </c>
      <c r="U23" s="57" t="str">
        <f>IF(O23=CURSOS!$D$3,"DIPLOMADO EN ATENCION PRE-HOSPITALARIA",IF(O23=CURSOS!$D$4,"ACOMPAÑAMIENTO Y MANEJO DEL DUELO",IF(O23=CURSOS!$D$5,"ATENCION A VICTIMAS DE ATAQUE CON AGENTES QUIMICOS ",IF(O23=CURSOS!$D$6,"PRIMEROS AUXILIOS ",IF(O23=CURSOS!$D$7,"DIPLOMADO DE UNIDAD DE CUIDADOS INTENSIVOS (UCI)",IF(O23=CURSOS!$D$8,"MODELO DE ATENCION PARA EVENTOS EMERGENTES EN SALUD MENTAL (CODIGO VERDE)",IF(O23=CURSOS!$D$9,"HUMANIZACION EN EL SERVICIO DE LA SALUD Y BUENAS PRACTICAS EN PACIENTE ",IF(O23=CURSOS!$D$10,"CLINICA DE HERIDAS ",IF(O23=CURSOS!$D$11,"TOMA DE CITOLOGIA CERVICO VAGINAL ",IF(O23=CURSOS!$D$12,"SOPORTE CARDIOVASCULAR AVANZADO (ACLS) ",IF(O23=CURSOS!$D$13,"CAMILLERO ",IF(O23=CURSOS!$D$14,"TOMA DE MUESTRAS Y LABORATORIO ",IF(O23=CURSOS!$D$15,"SOPORTE VITAL BASICO (BLS)",IF(O23=CURSOS!$D$16,"ATENCION A VICTIMAS DE VIOLENCIA SEXUAL ",IF(O23=CURSOS!$D$17,"PROGRAMADO AMPLIADO DE INMUNIZACION (PAI - COVID 19)",IF(O23=CURSOS!$D$18,"ATENCION INTEGRAL EN ENFERMEDADES PREVALENTES EN PRIMERA INFANCIA (AIEPI)",IF(O23=CURSOS!$D$19,"ADMINISTRACION DE MEDICAMENTOS, INYECTOLOGIA  Y CANALIZACION ",IF(O23=CURSOS!$D$20,"OPERADOR DE VEHICULOS DE EMERGENCIA (OVE)",IF(O23=CURSOS!$D$21,"INSTITUCIONES AMIGAS DE LA MUJER Y LA INFANCIA (IAMI)",IF(O23=CURSOS!$D$22,"CUIDADO DEL DONANTE DE ORGANOS",IF(O23=CURSOS!$D$23,"ATENCION A VICTIMAS POR VIOLENCIA DE GENERO",IF(O23=CURSOS!$D$24,"IGUALDAD DE GENERO EN LA SALUD",IF(O23=CURSOS!$D$25,"BRIGADA DE EMERGENCIA",IF(O23=CURSOS!$D$26,"MANEJO DEL DOLOR Y CUIDADOS PALIATIVOS",IF(O23=CURSOS!$D$27,"TOMA DE MUESTRAS Y LABORATORIO POCT",IF(O23=CURSOS!$D$28,"IMPLANTE SUBDERMICO DE DISPOSITIVO INTRAUTERINO",IF(O23=CURSOS!$D$29,"SALUD MENTAL",IF(O23=CURSOS!$D$30,"PRIMEROS AUXILIOS PSICOLOGICOS",IF(O23=CURSOS!$D$31,"ATENCION A VICTIMAS POR CONFLICTO ARMADO",IF(O23=CURSOS!$D$32,"MANIPULACION DE ALIMENTOS Y BPM",IF(O23=CURSOS!$D$33,"ATENCION A PERSONAS CON DISCAPACIDAD",IF(O23=CURSOS!$D$34,"CUIDADO INTEGRAL DEL PACIENTE ADULTO",IF(O23=CURSOS!$D$35,"MANEJO DEFENSIVO",IF(O23=CURSOS!$D$36,"SOPORTE CARDIOVASCULAR AVANZADO NEONATAL",IF(O23=CURSOS!$D$37,"SEGURIDAD DEL PACIENTE",IF(O23=CURSOS!$D$38,"MANEJO DE RESIDUOS HOSPITALARIOS"))))))))))))))))))))))))))))))))))))</f>
        <v xml:space="preserve">ATENCION A VICTIMAS DE VIOLENCIA SEXUAL </v>
      </c>
      <c r="V23" s="57" t="str">
        <f t="shared" si="0"/>
        <v>Melina Andrea Gualguan Tulcán</v>
      </c>
      <c r="W23" s="57" t="str">
        <f t="shared" si="1"/>
        <v>Melina Andrea Gualguan Tulcán</v>
      </c>
      <c r="X23" s="57" t="str">
        <f t="shared" si="2"/>
        <v>Melina Andrea Gualguan Tulcán-1085277492-VIOLENCIA SEXUAL</v>
      </c>
    </row>
    <row r="24" spans="1:24" s="67" customFormat="1" x14ac:dyDescent="0.2">
      <c r="A24" s="68">
        <v>23</v>
      </c>
      <c r="B24" s="53">
        <v>1004608544</v>
      </c>
      <c r="C24" s="53" t="s">
        <v>162</v>
      </c>
      <c r="D24" s="53" t="s">
        <v>163</v>
      </c>
      <c r="E24" s="53" t="s">
        <v>100</v>
      </c>
      <c r="F24" s="53" t="s">
        <v>164</v>
      </c>
      <c r="G24" s="53">
        <v>4</v>
      </c>
      <c r="H24" s="53" t="s">
        <v>102</v>
      </c>
      <c r="I24" s="56" t="s">
        <v>103</v>
      </c>
      <c r="J24" s="54">
        <v>45630</v>
      </c>
      <c r="K24" s="69">
        <v>35000</v>
      </c>
      <c r="L24" s="53" t="s">
        <v>176</v>
      </c>
      <c r="M24" s="53" t="s">
        <v>105</v>
      </c>
      <c r="N24" s="53" t="s">
        <v>106</v>
      </c>
      <c r="O24" s="53" t="s">
        <v>25</v>
      </c>
      <c r="P24" s="56">
        <v>35331</v>
      </c>
      <c r="Q24" s="53" t="s">
        <v>107</v>
      </c>
      <c r="R24" s="70" t="s">
        <v>116</v>
      </c>
      <c r="S24" s="53">
        <v>3158085768</v>
      </c>
      <c r="T24" s="53" t="s">
        <v>165</v>
      </c>
      <c r="U24" s="57" t="str">
        <f>IF(O24=CURSOS!$D$3,"DIPLOMADO EN ATENCION PRE-HOSPITALARIA",IF(O24=CURSOS!$D$4,"ACOMPAÑAMIENTO Y MANEJO DEL DUELO",IF(O24=CURSOS!$D$5,"ATENCION A VICTIMAS DE ATAQUE CON AGENTES QUIMICOS ",IF(O24=CURSOS!$D$6,"PRIMEROS AUXILIOS ",IF(O24=CURSOS!$D$7,"DIPLOMADO DE UNIDAD DE CUIDADOS INTENSIVOS (UCI)",IF(O24=CURSOS!$D$8,"MODELO DE ATENCION PARA EVENTOS EMERGENTES EN SALUD MENTAL (CODIGO VERDE)",IF(O24=CURSOS!$D$9,"HUMANIZACION EN EL SERVICIO DE LA SALUD Y BUENAS PRACTICAS EN PACIENTE ",IF(O24=CURSOS!$D$10,"CLINICA DE HERIDAS ",IF(O24=CURSOS!$D$11,"TOMA DE CITOLOGIA CERVICO VAGINAL ",IF(O24=CURSOS!$D$12,"SOPORTE CARDIOVASCULAR AVANZADO (ACLS) ",IF(O24=CURSOS!$D$13,"CAMILLERO ",IF(O24=CURSOS!$D$14,"TOMA DE MUESTRAS Y LABORATORIO ",IF(O24=CURSOS!$D$15,"SOPORTE VITAL BASICO (BLS)",IF(O24=CURSOS!$D$16,"ATENCION A VICTIMAS DE VIOLENCIA SEXUAL ",IF(O24=CURSOS!$D$17,"PROGRAMADO AMPLIADO DE INMUNIZACION (PAI - COVID 19)",IF(O24=CURSOS!$D$18,"ATENCION INTEGRAL EN ENFERMEDADES PREVALENTES EN PRIMERA INFANCIA (AIEPI)",IF(O24=CURSOS!$D$19,"ADMINISTRACION DE MEDICAMENTOS, INYECTOLOGIA  Y CANALIZACION ",IF(O24=CURSOS!$D$20,"OPERADOR DE VEHICULOS DE EMERGENCIA (OVE)",IF(O24=CURSOS!$D$21,"INSTITUCIONES AMIGAS DE LA MUJER Y LA INFANCIA (IAMI)",IF(O24=CURSOS!$D$22,"CUIDADO DEL DONANTE DE ORGANOS",IF(O24=CURSOS!$D$23,"ATENCION A VICTIMAS POR VIOLENCIA DE GENERO",IF(O24=CURSOS!$D$24,"IGUALDAD DE GENERO EN LA SALUD",IF(O24=CURSOS!$D$25,"BRIGADA DE EMERGENCIA",IF(O24=CURSOS!$D$26,"MANEJO DEL DOLOR Y CUIDADOS PALIATIVOS",IF(O24=CURSOS!$D$27,"TOMA DE MUESTRAS Y LABORATORIO POCT",IF(O24=CURSOS!$D$28,"IMPLANTE SUBDERMICO DE DISPOSITIVO INTRAUTERINO",IF(O24=CURSOS!$D$29,"SALUD MENTAL",IF(O24=CURSOS!$D$30,"PRIMEROS AUXILIOS PSICOLOGICOS",IF(O24=CURSOS!$D$31,"ATENCION A VICTIMAS POR CONFLICTO ARMADO",IF(O24=CURSOS!$D$32,"MANIPULACION DE ALIMENTOS Y BPM",IF(O24=CURSOS!$D$33,"ATENCION A PERSONAS CON DISCAPACIDAD",IF(O24=CURSOS!$D$34,"CUIDADO INTEGRAL DEL PACIENTE ADULTO",IF(O24=CURSOS!$D$35,"MANEJO DEFENSIVO",IF(O24=CURSOS!$D$36,"SOPORTE CARDIOVASCULAR AVANZADO NEONATAL",IF(O24=CURSOS!$D$37,"SEGURIDAD DEL PACIENTE",IF(O24=CURSOS!$D$38,"MANEJO DE RESIDUOS HOSPITALARIOS"))))))))))))))))))))))))))))))))))))</f>
        <v xml:space="preserve">ATENCION A VICTIMAS DE ATAQUE CON AGENTES QUIMICOS </v>
      </c>
      <c r="V24" s="57" t="str">
        <f t="shared" si="0"/>
        <v>Sara Ibet Hurtado Guerrero</v>
      </c>
      <c r="W24" s="57" t="str">
        <f t="shared" si="1"/>
        <v>Sara Ibet Hurtado Guerrero</v>
      </c>
      <c r="X24" s="57" t="str">
        <f t="shared" si="2"/>
        <v>Sara Ibet Hurtado Guerrero-1004608544-QUIMICOS</v>
      </c>
    </row>
    <row r="25" spans="1:24" s="67" customFormat="1" x14ac:dyDescent="0.2">
      <c r="A25" s="68">
        <v>24</v>
      </c>
      <c r="B25" s="53">
        <v>1085913837</v>
      </c>
      <c r="C25" s="53" t="s">
        <v>172</v>
      </c>
      <c r="D25" s="53" t="s">
        <v>173</v>
      </c>
      <c r="E25" s="53" t="s">
        <v>174</v>
      </c>
      <c r="F25" s="53" t="s">
        <v>101</v>
      </c>
      <c r="G25" s="53">
        <v>4</v>
      </c>
      <c r="H25" s="53" t="s">
        <v>102</v>
      </c>
      <c r="I25" s="56" t="s">
        <v>103</v>
      </c>
      <c r="J25" s="54">
        <v>45630</v>
      </c>
      <c r="K25" s="69">
        <v>28000</v>
      </c>
      <c r="L25" s="53" t="s">
        <v>104</v>
      </c>
      <c r="M25" s="53" t="s">
        <v>105</v>
      </c>
      <c r="N25" s="53" t="s">
        <v>132</v>
      </c>
      <c r="O25" s="53" t="s">
        <v>40</v>
      </c>
      <c r="P25" s="56">
        <v>32351</v>
      </c>
      <c r="Q25" s="53" t="s">
        <v>107</v>
      </c>
      <c r="R25" s="53" t="s">
        <v>116</v>
      </c>
      <c r="S25" s="70">
        <v>3182163222</v>
      </c>
      <c r="T25" s="53" t="s">
        <v>175</v>
      </c>
      <c r="U25" s="57" t="str">
        <f>IF(O25=CURSOS!$D$3,"DIPLOMADO EN ATENCION PRE-HOSPITALARIA",IF(O25=CURSOS!$D$4,"ACOMPAÑAMIENTO Y MANEJO DEL DUELO",IF(O25=CURSOS!$D$5,"ATENCION A VICTIMAS DE ATAQUE CON AGENTES QUIMICOS ",IF(O25=CURSOS!$D$6,"PRIMEROS AUXILIOS ",IF(O25=CURSOS!$D$7,"DIPLOMADO DE UNIDAD DE CUIDADOS INTENSIVOS (UCI)",IF(O25=CURSOS!$D$8,"MODELO DE ATENCION PARA EVENTOS EMERGENTES EN SALUD MENTAL (CODIGO VERDE)",IF(O25=CURSOS!$D$9,"HUMANIZACION EN EL SERVICIO DE LA SALUD Y BUENAS PRACTICAS EN PACIENTE ",IF(O25=CURSOS!$D$10,"CLINICA DE HERIDAS ",IF(O25=CURSOS!$D$11,"TOMA DE CITOLOGIA CERVICO VAGINAL ",IF(O25=CURSOS!$D$12,"SOPORTE CARDIOVASCULAR AVANZADO (ACLS) ",IF(O25=CURSOS!$D$13,"CAMILLERO ",IF(O25=CURSOS!$D$14,"TOMA DE MUESTRAS Y LABORATORIO ",IF(O25=CURSOS!$D$15,"SOPORTE VITAL BASICO (BLS)",IF(O25=CURSOS!$D$16,"ATENCION A VICTIMAS DE VIOLENCIA SEXUAL ",IF(O25=CURSOS!$D$17,"PROGRAMADO AMPLIADO DE INMUNIZACION (PAI - COVID 19)",IF(O25=CURSOS!$D$18,"ATENCION INTEGRAL EN ENFERMEDADES PREVALENTES EN PRIMERA INFANCIA (AIEPI)",IF(O25=CURSOS!$D$19,"ADMINISTRACION DE MEDICAMENTOS, INYECTOLOGIA  Y CANALIZACION ",IF(O25=CURSOS!$D$20,"OPERADOR DE VEHICULOS DE EMERGENCIA (OVE)",IF(O25=CURSOS!$D$21,"INSTITUCIONES AMIGAS DE LA MUJER Y LA INFANCIA (IAMI)",IF(O25=CURSOS!$D$22,"CUIDADO DEL DONANTE DE ORGANOS",IF(O25=CURSOS!$D$23,"ATENCION A VICTIMAS POR VIOLENCIA DE GENERO",IF(O25=CURSOS!$D$24,"IGUALDAD DE GENERO EN LA SALUD",IF(O25=CURSOS!$D$25,"BRIGADA DE EMERGENCIA",IF(O25=CURSOS!$D$26,"MANEJO DEL DOLOR Y CUIDADOS PALIATIVOS",IF(O25=CURSOS!$D$27,"TOMA DE MUESTRAS Y LABORATORIO POCT",IF(O25=CURSOS!$D$28,"IMPLANTE SUBDERMICO DE DISPOSITIVO INTRAUTERINO",IF(O25=CURSOS!$D$29,"SALUD MENTAL",IF(O25=CURSOS!$D$30,"PRIMEROS AUXILIOS PSICOLOGICOS",IF(O25=CURSOS!$D$31,"ATENCION A VICTIMAS POR CONFLICTO ARMADO",IF(O25=CURSOS!$D$32,"MANIPULACION DE ALIMENTOS Y BPM",IF(O25=CURSOS!$D$33,"ATENCION A PERSONAS CON DISCAPACIDAD",IF(O25=CURSOS!$D$34,"CUIDADO INTEGRAL DEL PACIENTE ADULTO",IF(O25=CURSOS!$D$35,"MANEJO DEFENSIVO",IF(O25=CURSOS!$D$36,"SOPORTE CARDIOVASCULAR AVANZADO NEONATAL",IF(O25=CURSOS!$D$37,"SEGURIDAD DEL PACIENTE",IF(O25=CURSOS!$D$38,"MANEJO DE RESIDUOS HOSPITALARIOS"))))))))))))))))))))))))))))))))))))</f>
        <v xml:space="preserve">TOMA DE MUESTRAS Y LABORATORIO </v>
      </c>
      <c r="V25" s="57" t="str">
        <f t="shared" si="0"/>
        <v>Katherine Paola Cerón Fuertes</v>
      </c>
      <c r="W25" s="57" t="str">
        <f t="shared" si="1"/>
        <v>Katherine Paola Cerón Fuertes</v>
      </c>
      <c r="X25" s="57" t="str">
        <f t="shared" si="2"/>
        <v>Katherine Paola Cerón Fuertes-1085913837-TOMA DE MUESTRAS</v>
      </c>
    </row>
    <row r="26" spans="1:24" s="67" customFormat="1" x14ac:dyDescent="0.2">
      <c r="A26" s="68">
        <v>25</v>
      </c>
      <c r="B26" s="53">
        <v>1085913837</v>
      </c>
      <c r="C26" s="53" t="s">
        <v>172</v>
      </c>
      <c r="D26" s="53" t="s">
        <v>173</v>
      </c>
      <c r="E26" s="53" t="s">
        <v>174</v>
      </c>
      <c r="F26" s="53" t="s">
        <v>101</v>
      </c>
      <c r="G26" s="53">
        <v>4</v>
      </c>
      <c r="H26" s="53" t="s">
        <v>102</v>
      </c>
      <c r="I26" s="56" t="s">
        <v>103</v>
      </c>
      <c r="J26" s="54">
        <v>45630</v>
      </c>
      <c r="K26" s="69">
        <v>28000</v>
      </c>
      <c r="L26" s="53" t="s">
        <v>104</v>
      </c>
      <c r="M26" s="53" t="s">
        <v>105</v>
      </c>
      <c r="N26" s="53" t="s">
        <v>132</v>
      </c>
      <c r="O26" s="53" t="s">
        <v>57</v>
      </c>
      <c r="P26" s="56">
        <v>32351</v>
      </c>
      <c r="Q26" s="53" t="s">
        <v>107</v>
      </c>
      <c r="R26" s="53" t="s">
        <v>116</v>
      </c>
      <c r="S26" s="70">
        <v>3182163222</v>
      </c>
      <c r="T26" s="53" t="s">
        <v>175</v>
      </c>
      <c r="U26" s="57" t="str">
        <f>IF(O26=CURSOS!$D$3,"DIPLOMADO EN ATENCION PRE-HOSPITALARIA",IF(O26=CURSOS!$D$4,"ACOMPAÑAMIENTO Y MANEJO DEL DUELO",IF(O26=CURSOS!$D$5,"ATENCION A VICTIMAS DE ATAQUE CON AGENTES QUIMICOS ",IF(O26=CURSOS!$D$6,"PRIMEROS AUXILIOS ",IF(O26=CURSOS!$D$7,"DIPLOMADO DE UNIDAD DE CUIDADOS INTENSIVOS (UCI)",IF(O26=CURSOS!$D$8,"MODELO DE ATENCION PARA EVENTOS EMERGENTES EN SALUD MENTAL (CODIGO VERDE)",IF(O26=CURSOS!$D$9,"HUMANIZACION EN EL SERVICIO DE LA SALUD Y BUENAS PRACTICAS EN PACIENTE ",IF(O26=CURSOS!$D$10,"CLINICA DE HERIDAS ",IF(O26=CURSOS!$D$11,"TOMA DE CITOLOGIA CERVICO VAGINAL ",IF(O26=CURSOS!$D$12,"SOPORTE CARDIOVASCULAR AVANZADO (ACLS) ",IF(O26=CURSOS!$D$13,"CAMILLERO ",IF(O26=CURSOS!$D$14,"TOMA DE MUESTRAS Y LABORATORIO ",IF(O26=CURSOS!$D$15,"SOPORTE VITAL BASICO (BLS)",IF(O26=CURSOS!$D$16,"ATENCION A VICTIMAS DE VIOLENCIA SEXUAL ",IF(O26=CURSOS!$D$17,"PROGRAMADO AMPLIADO DE INMUNIZACION (PAI - COVID 19)",IF(O26=CURSOS!$D$18,"ATENCION INTEGRAL EN ENFERMEDADES PREVALENTES EN PRIMERA INFANCIA (AIEPI)",IF(O26=CURSOS!$D$19,"ADMINISTRACION DE MEDICAMENTOS, INYECTOLOGIA  Y CANALIZACION ",IF(O26=CURSOS!$D$20,"OPERADOR DE VEHICULOS DE EMERGENCIA (OVE)",IF(O26=CURSOS!$D$21,"INSTITUCIONES AMIGAS DE LA MUJER Y LA INFANCIA (IAMI)",IF(O26=CURSOS!$D$22,"CUIDADO DEL DONANTE DE ORGANOS",IF(O26=CURSOS!$D$23,"ATENCION A VICTIMAS POR VIOLENCIA DE GENERO",IF(O26=CURSOS!$D$24,"IGUALDAD DE GENERO EN LA SALUD",IF(O26=CURSOS!$D$25,"BRIGADA DE EMERGENCIA",IF(O26=CURSOS!$D$26,"MANEJO DEL DOLOR Y CUIDADOS PALIATIVOS",IF(O26=CURSOS!$D$27,"TOMA DE MUESTRAS Y LABORATORIO POCT",IF(O26=CURSOS!$D$28,"IMPLANTE SUBDERMICO DE DISPOSITIVO INTRAUTERINO",IF(O26=CURSOS!$D$29,"SALUD MENTAL",IF(O26=CURSOS!$D$30,"PRIMEROS AUXILIOS PSICOLOGICOS",IF(O26=CURSOS!$D$31,"ATENCION A VICTIMAS POR CONFLICTO ARMADO",IF(O26=CURSOS!$D$32,"MANIPULACION DE ALIMENTOS Y BPM",IF(O26=CURSOS!$D$33,"ATENCION A PERSONAS CON DISCAPACIDAD",IF(O26=CURSOS!$D$34,"CUIDADO INTEGRAL DEL PACIENTE ADULTO",IF(O26=CURSOS!$D$35,"MANEJO DEFENSIVO",IF(O26=CURSOS!$D$36,"SOPORTE CARDIOVASCULAR AVANZADO NEONATAL",IF(O26=CURSOS!$D$37,"SEGURIDAD DEL PACIENTE",IF(O26=CURSOS!$D$38,"MANEJO DE RESIDUOS HOSPITALARIOS"))))))))))))))))))))))))))))))))))))</f>
        <v>MANEJO DEL DOLOR Y CUIDADOS PALIATIVOS</v>
      </c>
      <c r="V26" s="57" t="str">
        <f t="shared" si="0"/>
        <v>Katherine Paola Cerón Fuertes</v>
      </c>
      <c r="W26" s="57" t="str">
        <f t="shared" si="1"/>
        <v>Katherine Paola Cerón Fuertes</v>
      </c>
      <c r="X26" s="57" t="str">
        <f t="shared" si="2"/>
        <v>Katherine Paola Cerón Fuertes-1085913837-PALIATIVOS</v>
      </c>
    </row>
    <row r="27" spans="1:24" s="67" customFormat="1" x14ac:dyDescent="0.2">
      <c r="A27" s="68">
        <v>26</v>
      </c>
      <c r="B27" s="53">
        <v>1085913837</v>
      </c>
      <c r="C27" s="53" t="s">
        <v>172</v>
      </c>
      <c r="D27" s="53" t="s">
        <v>173</v>
      </c>
      <c r="E27" s="53" t="s">
        <v>174</v>
      </c>
      <c r="F27" s="53" t="s">
        <v>101</v>
      </c>
      <c r="G27" s="53">
        <v>4</v>
      </c>
      <c r="H27" s="53" t="s">
        <v>102</v>
      </c>
      <c r="I27" s="56" t="s">
        <v>103</v>
      </c>
      <c r="J27" s="54">
        <v>45630</v>
      </c>
      <c r="K27" s="69">
        <v>28000</v>
      </c>
      <c r="L27" s="53" t="s">
        <v>104</v>
      </c>
      <c r="M27" s="53" t="s">
        <v>105</v>
      </c>
      <c r="N27" s="53" t="s">
        <v>132</v>
      </c>
      <c r="O27" s="53" t="s">
        <v>45</v>
      </c>
      <c r="P27" s="56">
        <v>32351</v>
      </c>
      <c r="Q27" s="53" t="s">
        <v>107</v>
      </c>
      <c r="R27" s="53" t="s">
        <v>116</v>
      </c>
      <c r="S27" s="70">
        <v>3182163222</v>
      </c>
      <c r="T27" s="53" t="s">
        <v>175</v>
      </c>
      <c r="U27" s="57" t="str">
        <f>IF(O27=CURSOS!$D$3,"DIPLOMADO EN ATENCION PRE-HOSPITALARIA",IF(O27=CURSOS!$D$4,"ACOMPAÑAMIENTO Y MANEJO DEL DUELO",IF(O27=CURSOS!$D$5,"ATENCION A VICTIMAS DE ATAQUE CON AGENTES QUIMICOS ",IF(O27=CURSOS!$D$6,"PRIMEROS AUXILIOS ",IF(O27=CURSOS!$D$7,"DIPLOMADO DE UNIDAD DE CUIDADOS INTENSIVOS (UCI)",IF(O27=CURSOS!$D$8,"MODELO DE ATENCION PARA EVENTOS EMERGENTES EN SALUD MENTAL (CODIGO VERDE)",IF(O27=CURSOS!$D$9,"HUMANIZACION EN EL SERVICIO DE LA SALUD Y BUENAS PRACTICAS EN PACIENTE ",IF(O27=CURSOS!$D$10,"CLINICA DE HERIDAS ",IF(O27=CURSOS!$D$11,"TOMA DE CITOLOGIA CERVICO VAGINAL ",IF(O27=CURSOS!$D$12,"SOPORTE CARDIOVASCULAR AVANZADO (ACLS) ",IF(O27=CURSOS!$D$13,"CAMILLERO ",IF(O27=CURSOS!$D$14,"TOMA DE MUESTRAS Y LABORATORIO ",IF(O27=CURSOS!$D$15,"SOPORTE VITAL BASICO (BLS)",IF(O27=CURSOS!$D$16,"ATENCION A VICTIMAS DE VIOLENCIA SEXUAL ",IF(O27=CURSOS!$D$17,"PROGRAMADO AMPLIADO DE INMUNIZACION (PAI - COVID 19)",IF(O27=CURSOS!$D$18,"ATENCION INTEGRAL EN ENFERMEDADES PREVALENTES EN PRIMERA INFANCIA (AIEPI)",IF(O27=CURSOS!$D$19,"ADMINISTRACION DE MEDICAMENTOS, INYECTOLOGIA  Y CANALIZACION ",IF(O27=CURSOS!$D$20,"OPERADOR DE VEHICULOS DE EMERGENCIA (OVE)",IF(O27=CURSOS!$D$21,"INSTITUCIONES AMIGAS DE LA MUJER Y LA INFANCIA (IAMI)",IF(O27=CURSOS!$D$22,"CUIDADO DEL DONANTE DE ORGANOS",IF(O27=CURSOS!$D$23,"ATENCION A VICTIMAS POR VIOLENCIA DE GENERO",IF(O27=CURSOS!$D$24,"IGUALDAD DE GENERO EN LA SALUD",IF(O27=CURSOS!$D$25,"BRIGADA DE EMERGENCIA",IF(O27=CURSOS!$D$26,"MANEJO DEL DOLOR Y CUIDADOS PALIATIVOS",IF(O27=CURSOS!$D$27,"TOMA DE MUESTRAS Y LABORATORIO POCT",IF(O27=CURSOS!$D$28,"IMPLANTE SUBDERMICO DE DISPOSITIVO INTRAUTERINO",IF(O27=CURSOS!$D$29,"SALUD MENTAL",IF(O27=CURSOS!$D$30,"PRIMEROS AUXILIOS PSICOLOGICOS",IF(O27=CURSOS!$D$31,"ATENCION A VICTIMAS POR CONFLICTO ARMADO",IF(O27=CURSOS!$D$32,"MANIPULACION DE ALIMENTOS Y BPM",IF(O27=CURSOS!$D$33,"ATENCION A PERSONAS CON DISCAPACIDAD",IF(O27=CURSOS!$D$34,"CUIDADO INTEGRAL DEL PACIENTE ADULTO",IF(O27=CURSOS!$D$35,"MANEJO DEFENSIVO",IF(O27=CURSOS!$D$36,"SOPORTE CARDIOVASCULAR AVANZADO NEONATAL",IF(O27=CURSOS!$D$37,"SEGURIDAD DEL PACIENTE",IF(O27=CURSOS!$D$38,"MANEJO DE RESIDUOS HOSPITALARIOS"))))))))))))))))))))))))))))))))))))</f>
        <v xml:space="preserve">ADMINISTRACION DE MEDICAMENTOS, INYECTOLOGIA  Y CANALIZACION </v>
      </c>
      <c r="V27" s="57" t="str">
        <f t="shared" si="0"/>
        <v>Katherine Paola Cerón Fuertes</v>
      </c>
      <c r="W27" s="57" t="str">
        <f t="shared" si="1"/>
        <v>Katherine Paola Cerón Fuertes</v>
      </c>
      <c r="X27" s="57" t="str">
        <f t="shared" si="2"/>
        <v>Katherine Paola Cerón Fuertes-1085913837-ADMON DE MEDICAMENTOS</v>
      </c>
    </row>
    <row r="28" spans="1:24" s="67" customFormat="1" x14ac:dyDescent="0.2">
      <c r="A28" s="68">
        <v>27</v>
      </c>
      <c r="B28" s="53">
        <v>1085913837</v>
      </c>
      <c r="C28" s="53" t="s">
        <v>172</v>
      </c>
      <c r="D28" s="53" t="s">
        <v>173</v>
      </c>
      <c r="E28" s="53" t="s">
        <v>174</v>
      </c>
      <c r="F28" s="53" t="s">
        <v>101</v>
      </c>
      <c r="G28" s="53">
        <v>4</v>
      </c>
      <c r="H28" s="53" t="s">
        <v>102</v>
      </c>
      <c r="I28" s="56" t="s">
        <v>103</v>
      </c>
      <c r="J28" s="54">
        <v>45630</v>
      </c>
      <c r="K28" s="69">
        <v>28000</v>
      </c>
      <c r="L28" s="53" t="s">
        <v>104</v>
      </c>
      <c r="M28" s="53" t="s">
        <v>105</v>
      </c>
      <c r="N28" s="53" t="s">
        <v>132</v>
      </c>
      <c r="O28" s="53" t="s">
        <v>19</v>
      </c>
      <c r="P28" s="56">
        <v>32351</v>
      </c>
      <c r="Q28" s="53" t="s">
        <v>107</v>
      </c>
      <c r="R28" s="53" t="s">
        <v>116</v>
      </c>
      <c r="S28" s="70">
        <v>3182163222</v>
      </c>
      <c r="T28" s="53" t="s">
        <v>175</v>
      </c>
      <c r="U28" s="57" t="str">
        <f>IF(O28=CURSOS!$D$3,"DIPLOMADO EN ATENCION PRE-HOSPITALARIA",IF(O28=CURSOS!$D$4,"ACOMPAÑAMIENTO Y MANEJO DEL DUELO",IF(O28=CURSOS!$D$5,"ATENCION A VICTIMAS DE ATAQUE CON AGENTES QUIMICOS ",IF(O28=CURSOS!$D$6,"PRIMEROS AUXILIOS ",IF(O28=CURSOS!$D$7,"DIPLOMADO DE UNIDAD DE CUIDADOS INTENSIVOS (UCI)",IF(O28=CURSOS!$D$8,"MODELO DE ATENCION PARA EVENTOS EMERGENTES EN SALUD MENTAL (CODIGO VERDE)",IF(O28=CURSOS!$D$9,"HUMANIZACION EN EL SERVICIO DE LA SALUD Y BUENAS PRACTICAS EN PACIENTE ",IF(O28=CURSOS!$D$10,"CLINICA DE HERIDAS ",IF(O28=CURSOS!$D$11,"TOMA DE CITOLOGIA CERVICO VAGINAL ",IF(O28=CURSOS!$D$12,"SOPORTE CARDIOVASCULAR AVANZADO (ACLS) ",IF(O28=CURSOS!$D$13,"CAMILLERO ",IF(O28=CURSOS!$D$14,"TOMA DE MUESTRAS Y LABORATORIO ",IF(O28=CURSOS!$D$15,"SOPORTE VITAL BASICO (BLS)",IF(O28=CURSOS!$D$16,"ATENCION A VICTIMAS DE VIOLENCIA SEXUAL ",IF(O28=CURSOS!$D$17,"PROGRAMADO AMPLIADO DE INMUNIZACION (PAI - COVID 19)",IF(O28=CURSOS!$D$18,"ATENCION INTEGRAL EN ENFERMEDADES PREVALENTES EN PRIMERA INFANCIA (AIEPI)",IF(O28=CURSOS!$D$19,"ADMINISTRACION DE MEDICAMENTOS, INYECTOLOGIA  Y CANALIZACION ",IF(O28=CURSOS!$D$20,"OPERADOR DE VEHICULOS DE EMERGENCIA (OVE)",IF(O28=CURSOS!$D$21,"INSTITUCIONES AMIGAS DE LA MUJER Y LA INFANCIA (IAMI)",IF(O28=CURSOS!$D$22,"CUIDADO DEL DONANTE DE ORGANOS",IF(O28=CURSOS!$D$23,"ATENCION A VICTIMAS POR VIOLENCIA DE GENERO",IF(O28=CURSOS!$D$24,"IGUALDAD DE GENERO EN LA SALUD",IF(O28=CURSOS!$D$25,"BRIGADA DE EMERGENCIA",IF(O28=CURSOS!$D$26,"MANEJO DEL DOLOR Y CUIDADOS PALIATIVOS",IF(O28=CURSOS!$D$27,"TOMA DE MUESTRAS Y LABORATORIO POCT",IF(O28=CURSOS!$D$28,"IMPLANTE SUBDERMICO DE DISPOSITIVO INTRAUTERINO",IF(O28=CURSOS!$D$29,"SALUD MENTAL",IF(O28=CURSOS!$D$30,"PRIMEROS AUXILIOS PSICOLOGICOS",IF(O28=CURSOS!$D$31,"ATENCION A VICTIMAS POR CONFLICTO ARMADO",IF(O28=CURSOS!$D$32,"MANIPULACION DE ALIMENTOS Y BPM",IF(O28=CURSOS!$D$33,"ATENCION A PERSONAS CON DISCAPACIDAD",IF(O28=CURSOS!$D$34,"CUIDADO INTEGRAL DEL PACIENTE ADULTO",IF(O28=CURSOS!$D$35,"MANEJO DEFENSIVO",IF(O28=CURSOS!$D$36,"SOPORTE CARDIOVASCULAR AVANZADO NEONATAL",IF(O28=CURSOS!$D$37,"SEGURIDAD DEL PACIENTE",IF(O28=CURSOS!$D$38,"MANEJO DE RESIDUOS HOSPITALARIOS"))))))))))))))))))))))))))))))))))))</f>
        <v>SOPORTE VITAL BASICO (BLS)</v>
      </c>
      <c r="V28" s="57" t="str">
        <f t="shared" si="0"/>
        <v>Katherine Paola Cerón Fuertes</v>
      </c>
      <c r="W28" s="57" t="str">
        <f t="shared" si="1"/>
        <v>Katherine Paola Cerón Fuertes</v>
      </c>
      <c r="X28" s="57" t="str">
        <f t="shared" si="2"/>
        <v>Katherine Paola Cerón Fuertes-1085913837-BLS</v>
      </c>
    </row>
    <row r="29" spans="1:24" s="67" customFormat="1" x14ac:dyDescent="0.2">
      <c r="A29" s="68">
        <v>28</v>
      </c>
      <c r="B29" s="53">
        <v>1085281780</v>
      </c>
      <c r="C29" s="53" t="s">
        <v>166</v>
      </c>
      <c r="D29" s="53" t="s">
        <v>167</v>
      </c>
      <c r="E29" s="53" t="s">
        <v>168</v>
      </c>
      <c r="F29" s="53" t="s">
        <v>169</v>
      </c>
      <c r="G29" s="53">
        <v>4</v>
      </c>
      <c r="H29" s="53" t="s">
        <v>102</v>
      </c>
      <c r="I29" s="56" t="s">
        <v>154</v>
      </c>
      <c r="J29" s="54">
        <v>45628</v>
      </c>
      <c r="K29" s="69">
        <v>70000</v>
      </c>
      <c r="L29" s="53" t="s">
        <v>114</v>
      </c>
      <c r="M29" s="53" t="s">
        <v>105</v>
      </c>
      <c r="N29" s="53" t="s">
        <v>106</v>
      </c>
      <c r="O29" s="53" t="s">
        <v>23</v>
      </c>
      <c r="P29" s="54">
        <v>33039</v>
      </c>
      <c r="Q29" s="53" t="s">
        <v>107</v>
      </c>
      <c r="R29" s="70" t="s">
        <v>170</v>
      </c>
      <c r="S29" s="53">
        <v>3164110313</v>
      </c>
      <c r="T29" s="53" t="s">
        <v>171</v>
      </c>
      <c r="U29" s="57" t="str">
        <f>IF(O29=CURSOS!$D$3,"DIPLOMADO EN ATENCION PRE-HOSPITALARIA",IF(O29=CURSOS!$D$4,"ACOMPAÑAMIENTO Y MANEJO DEL DUELO",IF(O29=CURSOS!$D$5,"ATENCION A VICTIMAS DE ATAQUE CON AGENTES QUIMICOS ",IF(O29=CURSOS!$D$6,"PRIMEROS AUXILIOS ",IF(O29=CURSOS!$D$7,"DIPLOMADO DE UNIDAD DE CUIDADOS INTENSIVOS (UCI)",IF(O29=CURSOS!$D$8,"MODELO DE ATENCION PARA EVENTOS EMERGENTES EN SALUD MENTAL (CODIGO VERDE)",IF(O29=CURSOS!$D$9,"HUMANIZACION EN EL SERVICIO DE LA SALUD Y BUENAS PRACTICAS EN PACIENTE ",IF(O29=CURSOS!$D$10,"CLINICA DE HERIDAS ",IF(O29=CURSOS!$D$11,"TOMA DE CITOLOGIA CERVICO VAGINAL ",IF(O29=CURSOS!$D$12,"SOPORTE CARDIOVASCULAR AVANZADO (ACLS) ",IF(O29=CURSOS!$D$13,"CAMILLERO ",IF(O29=CURSOS!$D$14,"TOMA DE MUESTRAS Y LABORATORIO ",IF(O29=CURSOS!$D$15,"SOPORTE VITAL BASICO (BLS)",IF(O29=CURSOS!$D$16,"ATENCION A VICTIMAS DE VIOLENCIA SEXUAL ",IF(O29=CURSOS!$D$17,"PROGRAMADO AMPLIADO DE INMUNIZACION (PAI - COVID 19)",IF(O29=CURSOS!$D$18,"ATENCION INTEGRAL EN ENFERMEDADES PREVALENTES EN PRIMERA INFANCIA (AIEPI)",IF(O29=CURSOS!$D$19,"ADMINISTRACION DE MEDICAMENTOS, INYECTOLOGIA  Y CANALIZACION ",IF(O29=CURSOS!$D$20,"OPERADOR DE VEHICULOS DE EMERGENCIA (OVE)",IF(O29=CURSOS!$D$21,"INSTITUCIONES AMIGAS DE LA MUJER Y LA INFANCIA (IAMI)",IF(O29=CURSOS!$D$22,"CUIDADO DEL DONANTE DE ORGANOS",IF(O29=CURSOS!$D$23,"ATENCION A VICTIMAS POR VIOLENCIA DE GENERO",IF(O29=CURSOS!$D$24,"IGUALDAD DE GENERO EN LA SALUD",IF(O29=CURSOS!$D$25,"BRIGADA DE EMERGENCIA",IF(O29=CURSOS!$D$26,"MANEJO DEL DOLOR Y CUIDADOS PALIATIVOS",IF(O29=CURSOS!$D$27,"TOMA DE MUESTRAS Y LABORATORIO POCT",IF(O29=CURSOS!$D$28,"IMPLANTE SUBDERMICO DE DISPOSITIVO INTRAUTERINO",IF(O29=CURSOS!$D$29,"SALUD MENTAL",IF(O29=CURSOS!$D$30,"PRIMEROS AUXILIOS PSICOLOGICOS",IF(O29=CURSOS!$D$31,"ATENCION A VICTIMAS POR CONFLICTO ARMADO",IF(O29=CURSOS!$D$32,"MANIPULACION DE ALIMENTOS Y BPM",IF(O29=CURSOS!$D$33,"ATENCION A PERSONAS CON DISCAPACIDAD",IF(O29=CURSOS!$D$34,"CUIDADO INTEGRAL DEL PACIENTE ADULTO",IF(O29=CURSOS!$D$35,"MANEJO DEFENSIVO",IF(O29=CURSOS!$D$36,"SOPORTE CARDIOVASCULAR AVANZADO NEONATAL",IF(O29=CURSOS!$D$37,"SEGURIDAD DEL PACIENTE",IF(O29=CURSOS!$D$38,"MANEJO DE RESIDUOS HOSPITALARIOS"))))))))))))))))))))))))))))))))))))</f>
        <v>ACOMPAÑAMIENTO Y MANEJO DEL DUELO</v>
      </c>
      <c r="V29" s="57" t="str">
        <f t="shared" si="0"/>
        <v>Amalia Lucía Portilla Bravo</v>
      </c>
      <c r="W29" s="57" t="str">
        <f t="shared" si="1"/>
        <v>Amalia Lucía Portilla Bravo</v>
      </c>
      <c r="X29" s="57" t="str">
        <f t="shared" si="2"/>
        <v>Amalia Lucía Portilla Bravo-1085281780-DUELO</v>
      </c>
    </row>
    <row r="30" spans="1:24" s="67" customFormat="1" x14ac:dyDescent="0.2">
      <c r="A30" s="68">
        <v>29</v>
      </c>
      <c r="B30" s="53">
        <v>1085281780</v>
      </c>
      <c r="C30" s="53" t="s">
        <v>166</v>
      </c>
      <c r="D30" s="53" t="s">
        <v>167</v>
      </c>
      <c r="E30" s="53" t="s">
        <v>168</v>
      </c>
      <c r="F30" s="53" t="s">
        <v>169</v>
      </c>
      <c r="G30" s="53">
        <v>4</v>
      </c>
      <c r="H30" s="53" t="s">
        <v>102</v>
      </c>
      <c r="I30" s="56" t="s">
        <v>154</v>
      </c>
      <c r="J30" s="54" t="s">
        <v>281</v>
      </c>
      <c r="K30" s="86">
        <v>70000</v>
      </c>
      <c r="L30" s="53" t="s">
        <v>114</v>
      </c>
      <c r="M30" s="53" t="s">
        <v>105</v>
      </c>
      <c r="N30" s="53" t="s">
        <v>106</v>
      </c>
      <c r="O30" s="53" t="s">
        <v>32</v>
      </c>
      <c r="P30" s="54">
        <v>33039</v>
      </c>
      <c r="Q30" s="53" t="s">
        <v>107</v>
      </c>
      <c r="R30" s="70" t="s">
        <v>170</v>
      </c>
      <c r="S30" s="53">
        <v>3164110313</v>
      </c>
      <c r="T30" s="53" t="s">
        <v>171</v>
      </c>
      <c r="U30" s="57" t="str">
        <f>IF(O30=CURSOS!$D$3,"DIPLOMADO EN ATENCION PRE-HOSPITALARIA",IF(O30=CURSOS!$D$4,"ACOMPAÑAMIENTO Y MANEJO DEL DUELO",IF(O30=CURSOS!$D$5,"ATENCION A VICTIMAS DE ATAQUE CON AGENTES QUIMICOS ",IF(O30=CURSOS!$D$6,"PRIMEROS AUXILIOS ",IF(O30=CURSOS!$D$7,"DIPLOMADO DE UNIDAD DE CUIDADOS INTENSIVOS (UCI)",IF(O30=CURSOS!$D$8,"MODELO DE ATENCION PARA EVENTOS EMERGENTES EN SALUD MENTAL (CODIGO VERDE)",IF(O30=CURSOS!$D$9,"HUMANIZACION EN EL SERVICIO DE LA SALUD Y BUENAS PRACTICAS EN PACIENTE ",IF(O30=CURSOS!$D$10,"CLINICA DE HERIDAS ",IF(O30=CURSOS!$D$11,"TOMA DE CITOLOGIA CERVICO VAGINAL ",IF(O30=CURSOS!$D$12,"SOPORTE CARDIOVASCULAR AVANZADO (ACLS) ",IF(O30=CURSOS!$D$13,"CAMILLERO ",IF(O30=CURSOS!$D$14,"TOMA DE MUESTRAS Y LABORATORIO ",IF(O30=CURSOS!$D$15,"SOPORTE VITAL BASICO (BLS)",IF(O30=CURSOS!$D$16,"ATENCION A VICTIMAS DE VIOLENCIA SEXUAL ",IF(O30=CURSOS!$D$17,"PROGRAMADO AMPLIADO DE INMUNIZACION (PAI - COVID 19)",IF(O30=CURSOS!$D$18,"ATENCION INTEGRAL EN ENFERMEDADES PREVALENTES EN PRIMERA INFANCIA (AIEPI)",IF(O30=CURSOS!$D$19,"ADMINISTRACION DE MEDICAMENTOS, INYECTOLOGIA  Y CANALIZACION ",IF(O30=CURSOS!$D$20,"OPERADOR DE VEHICULOS DE EMERGENCIA (OVE)",IF(O30=CURSOS!$D$21,"INSTITUCIONES AMIGAS DE LA MUJER Y LA INFANCIA (IAMI)",IF(O30=CURSOS!$D$22,"CUIDADO DEL DONANTE DE ORGANOS",IF(O30=CURSOS!$D$23,"ATENCION A VICTIMAS POR VIOLENCIA DE GENERO",IF(O30=CURSOS!$D$24,"IGUALDAD DE GENERO EN LA SALUD",IF(O30=CURSOS!$D$25,"BRIGADA DE EMERGENCIA",IF(O30=CURSOS!$D$26,"MANEJO DEL DOLOR Y CUIDADOS PALIATIVOS",IF(O30=CURSOS!$D$27,"TOMA DE MUESTRAS Y LABORATORIO POCT",IF(O30=CURSOS!$D$28,"IMPLANTE SUBDERMICO DE DISPOSITIVO INTRAUTERINO",IF(O30=CURSOS!$D$29,"SALUD MENTAL",IF(O30=CURSOS!$D$30,"PRIMEROS AUXILIOS PSICOLOGICOS",IF(O30=CURSOS!$D$31,"ATENCION A VICTIMAS POR CONFLICTO ARMADO",IF(O30=CURSOS!$D$32,"MANIPULACION DE ALIMENTOS Y BPM",IF(O30=CURSOS!$D$33,"ATENCION A PERSONAS CON DISCAPACIDAD",IF(O30=CURSOS!$D$34,"CUIDADO INTEGRAL DEL PACIENTE ADULTO",IF(O30=CURSOS!$D$35,"MANEJO DEFENSIVO",IF(O30=CURSOS!$D$36,"SOPORTE CARDIOVASCULAR AVANZADO NEONATAL",IF(O30=CURSOS!$D$37,"SEGURIDAD DEL PACIENTE",IF(O30=CURSOS!$D$38,"MANEJO DE RESIDUOS HOSPITALARIOS"))))))))))))))))))))))))))))))))))))</f>
        <v xml:space="preserve">HUMANIZACION EN EL SERVICIO DE LA SALUD Y BUENAS PRACTICAS EN PACIENTE </v>
      </c>
      <c r="V30" s="57" t="str">
        <f t="shared" si="0"/>
        <v>Amalia Lucía Portilla Bravo</v>
      </c>
      <c r="W30" s="57" t="str">
        <f t="shared" si="1"/>
        <v>Amalia Lucía Portilla Bravo</v>
      </c>
      <c r="X30" s="57" t="str">
        <f t="shared" si="2"/>
        <v>Amalia Lucía Portilla Bravo-1085281780-HUMANIZACION</v>
      </c>
    </row>
    <row r="31" spans="1:24" s="67" customFormat="1" x14ac:dyDescent="0.2">
      <c r="A31" s="68">
        <v>30</v>
      </c>
      <c r="B31" s="53">
        <v>1086132741</v>
      </c>
      <c r="C31" s="53" t="s">
        <v>110</v>
      </c>
      <c r="D31" s="53" t="s">
        <v>177</v>
      </c>
      <c r="E31" s="53" t="s">
        <v>178</v>
      </c>
      <c r="F31" s="53" t="s">
        <v>179</v>
      </c>
      <c r="G31" s="53">
        <v>5</v>
      </c>
      <c r="H31" s="53" t="s">
        <v>102</v>
      </c>
      <c r="I31" s="56" t="s">
        <v>103</v>
      </c>
      <c r="J31" s="54">
        <v>45631</v>
      </c>
      <c r="K31" s="69">
        <v>40000</v>
      </c>
      <c r="L31" s="53" t="s">
        <v>114</v>
      </c>
      <c r="M31" s="53" t="s">
        <v>105</v>
      </c>
      <c r="N31" s="53" t="s">
        <v>180</v>
      </c>
      <c r="O31" s="53" t="s">
        <v>26</v>
      </c>
      <c r="P31" s="56"/>
      <c r="Q31" s="53" t="s">
        <v>139</v>
      </c>
      <c r="R31" s="53" t="s">
        <v>116</v>
      </c>
      <c r="S31" s="53">
        <v>3168613659</v>
      </c>
      <c r="T31" s="53" t="s">
        <v>181</v>
      </c>
      <c r="U31" s="57" t="str">
        <f>IF(O31=CURSOS!$D$3,"DIPLOMADO EN ATENCION PRE-HOSPITALARIA",IF(O31=CURSOS!$D$4,"ACOMPAÑAMIENTO Y MANEJO DEL DUELO",IF(O31=CURSOS!$D$5,"ATENCION A VICTIMAS DE ATAQUE CON AGENTES QUIMICOS ",IF(O31=CURSOS!$D$6,"PRIMEROS AUXILIOS ",IF(O31=CURSOS!$D$7,"DIPLOMADO DE UNIDAD DE CUIDADOS INTENSIVOS (UCI)",IF(O31=CURSOS!$D$8,"MODELO DE ATENCION PARA EVENTOS EMERGENTES EN SALUD MENTAL (CODIGO VERDE)",IF(O31=CURSOS!$D$9,"HUMANIZACION EN EL SERVICIO DE LA SALUD Y BUENAS PRACTICAS EN PACIENTE ",IF(O31=CURSOS!$D$10,"CLINICA DE HERIDAS ",IF(O31=CURSOS!$D$11,"TOMA DE CITOLOGIA CERVICO VAGINAL ",IF(O31=CURSOS!$D$12,"SOPORTE CARDIOVASCULAR AVANZADO (ACLS) ",IF(O31=CURSOS!$D$13,"CAMILLERO ",IF(O31=CURSOS!$D$14,"TOMA DE MUESTRAS Y LABORATORIO ",IF(O31=CURSOS!$D$15,"SOPORTE VITAL BASICO (BLS)",IF(O31=CURSOS!$D$16,"ATENCION A VICTIMAS DE VIOLENCIA SEXUAL ",IF(O31=CURSOS!$D$17,"PROGRAMADO AMPLIADO DE INMUNIZACION (PAI - COVID 19)",IF(O31=CURSOS!$D$18,"ATENCION INTEGRAL EN ENFERMEDADES PREVALENTES EN PRIMERA INFANCIA (AIEPI)",IF(O31=CURSOS!$D$19,"ADMINISTRACION DE MEDICAMENTOS, INYECTOLOGIA  Y CANALIZACION ",IF(O31=CURSOS!$D$20,"OPERADOR DE VEHICULOS DE EMERGENCIA (OVE)",IF(O31=CURSOS!$D$21,"INSTITUCIONES AMIGAS DE LA MUJER Y LA INFANCIA (IAMI)",IF(O31=CURSOS!$D$22,"CUIDADO DEL DONANTE DE ORGANOS",IF(O31=CURSOS!$D$23,"ATENCION A VICTIMAS POR VIOLENCIA DE GENERO",IF(O31=CURSOS!$D$24,"IGUALDAD DE GENERO EN LA SALUD",IF(O31=CURSOS!$D$25,"BRIGADA DE EMERGENCIA",IF(O31=CURSOS!$D$26,"MANEJO DEL DOLOR Y CUIDADOS PALIATIVOS",IF(O31=CURSOS!$D$27,"TOMA DE MUESTRAS Y LABORATORIO POCT",IF(O31=CURSOS!$D$28,"IMPLANTE SUBDERMICO DE DISPOSITIVO INTRAUTERINO",IF(O31=CURSOS!$D$29,"SALUD MENTAL",IF(O31=CURSOS!$D$30,"PRIMEROS AUXILIOS PSICOLOGICOS",IF(O31=CURSOS!$D$31,"ATENCION A VICTIMAS POR CONFLICTO ARMADO",IF(O31=CURSOS!$D$32,"MANIPULACION DE ALIMENTOS Y BPM",IF(O31=CURSOS!$D$33,"ATENCION A PERSONAS CON DISCAPACIDAD",IF(O31=CURSOS!$D$34,"CUIDADO INTEGRAL DEL PACIENTE ADULTO",IF(O31=CURSOS!$D$35,"MANEJO DEFENSIVO",IF(O31=CURSOS!$D$36,"SOPORTE CARDIOVASCULAR AVANZADO NEONATAL",IF(O31=CURSOS!$D$37,"SEGURIDAD DEL PACIENTE",IF(O31=CURSOS!$D$38,"MANEJO DE RESIDUOS HOSPITALARIOS"))))))))))))))))))))))))))))))))))))</f>
        <v xml:space="preserve">PRIMEROS AUXILIOS </v>
      </c>
      <c r="V31" s="57" t="str">
        <f t="shared" si="0"/>
        <v>Alfonso Alexander López Bucheli</v>
      </c>
      <c r="W31" s="57" t="str">
        <f t="shared" si="1"/>
        <v>Alfonso Alexander López Bucheli</v>
      </c>
      <c r="X31" s="57" t="str">
        <f t="shared" si="2"/>
        <v>Alfonso Alexander López Bucheli-1086132741-PRIMEROS AUXILIOS</v>
      </c>
    </row>
    <row r="32" spans="1:24" s="67" customFormat="1" x14ac:dyDescent="0.2">
      <c r="A32" s="68">
        <v>31</v>
      </c>
      <c r="B32" s="53">
        <v>1233190224</v>
      </c>
      <c r="C32" s="53" t="s">
        <v>182</v>
      </c>
      <c r="D32" s="53" t="s">
        <v>183</v>
      </c>
      <c r="E32" s="53" t="s">
        <v>184</v>
      </c>
      <c r="F32" s="53" t="s">
        <v>185</v>
      </c>
      <c r="G32" s="53">
        <v>5</v>
      </c>
      <c r="H32" s="53" t="s">
        <v>102</v>
      </c>
      <c r="I32" s="56" t="s">
        <v>103</v>
      </c>
      <c r="J32" s="54">
        <v>45631</v>
      </c>
      <c r="K32" s="69">
        <v>40000</v>
      </c>
      <c r="L32" s="53" t="s">
        <v>114</v>
      </c>
      <c r="M32" s="53" t="s">
        <v>105</v>
      </c>
      <c r="N32" s="53" t="s">
        <v>106</v>
      </c>
      <c r="O32" s="53" t="s">
        <v>19</v>
      </c>
      <c r="P32" s="56">
        <v>35704</v>
      </c>
      <c r="Q32" s="53" t="s">
        <v>139</v>
      </c>
      <c r="R32" s="53" t="s">
        <v>116</v>
      </c>
      <c r="S32" s="53">
        <v>3128243075</v>
      </c>
      <c r="T32" s="53" t="s">
        <v>186</v>
      </c>
      <c r="U32" s="57" t="str">
        <f>IF(O32=CURSOS!$D$3,"DIPLOMADO EN ATENCION PRE-HOSPITALARIA",IF(O32=CURSOS!$D$4,"ACOMPAÑAMIENTO Y MANEJO DEL DUELO",IF(O32=CURSOS!$D$5,"ATENCION A VICTIMAS DE ATAQUE CON AGENTES QUIMICOS ",IF(O32=CURSOS!$D$6,"PRIMEROS AUXILIOS ",IF(O32=CURSOS!$D$7,"DIPLOMADO DE UNIDAD DE CUIDADOS INTENSIVOS (UCI)",IF(O32=CURSOS!$D$8,"MODELO DE ATENCION PARA EVENTOS EMERGENTES EN SALUD MENTAL (CODIGO VERDE)",IF(O32=CURSOS!$D$9,"HUMANIZACION EN EL SERVICIO DE LA SALUD Y BUENAS PRACTICAS EN PACIENTE ",IF(O32=CURSOS!$D$10,"CLINICA DE HERIDAS ",IF(O32=CURSOS!$D$11,"TOMA DE CITOLOGIA CERVICO VAGINAL ",IF(O32=CURSOS!$D$12,"SOPORTE CARDIOVASCULAR AVANZADO (ACLS) ",IF(O32=CURSOS!$D$13,"CAMILLERO ",IF(O32=CURSOS!$D$14,"TOMA DE MUESTRAS Y LABORATORIO ",IF(O32=CURSOS!$D$15,"SOPORTE VITAL BASICO (BLS)",IF(O32=CURSOS!$D$16,"ATENCION A VICTIMAS DE VIOLENCIA SEXUAL ",IF(O32=CURSOS!$D$17,"PROGRAMADO AMPLIADO DE INMUNIZACION (PAI - COVID 19)",IF(O32=CURSOS!$D$18,"ATENCION INTEGRAL EN ENFERMEDADES PREVALENTES EN PRIMERA INFANCIA (AIEPI)",IF(O32=CURSOS!$D$19,"ADMINISTRACION DE MEDICAMENTOS, INYECTOLOGIA  Y CANALIZACION ",IF(O32=CURSOS!$D$20,"OPERADOR DE VEHICULOS DE EMERGENCIA (OVE)",IF(O32=CURSOS!$D$21,"INSTITUCIONES AMIGAS DE LA MUJER Y LA INFANCIA (IAMI)",IF(O32=CURSOS!$D$22,"CUIDADO DEL DONANTE DE ORGANOS",IF(O32=CURSOS!$D$23,"ATENCION A VICTIMAS POR VIOLENCIA DE GENERO",IF(O32=CURSOS!$D$24,"IGUALDAD DE GENERO EN LA SALUD",IF(O32=CURSOS!$D$25,"BRIGADA DE EMERGENCIA",IF(O32=CURSOS!$D$26,"MANEJO DEL DOLOR Y CUIDADOS PALIATIVOS",IF(O32=CURSOS!$D$27,"TOMA DE MUESTRAS Y LABORATORIO POCT",IF(O32=CURSOS!$D$28,"IMPLANTE SUBDERMICO DE DISPOSITIVO INTRAUTERINO",IF(O32=CURSOS!$D$29,"SALUD MENTAL",IF(O32=CURSOS!$D$30,"PRIMEROS AUXILIOS PSICOLOGICOS",IF(O32=CURSOS!$D$31,"ATENCION A VICTIMAS POR CONFLICTO ARMADO",IF(O32=CURSOS!$D$32,"MANIPULACION DE ALIMENTOS Y BPM",IF(O32=CURSOS!$D$33,"ATENCION A PERSONAS CON DISCAPACIDAD",IF(O32=CURSOS!$D$34,"CUIDADO INTEGRAL DEL PACIENTE ADULTO",IF(O32=CURSOS!$D$35,"MANEJO DEFENSIVO",IF(O32=CURSOS!$D$36,"SOPORTE CARDIOVASCULAR AVANZADO NEONATAL",IF(O32=CURSOS!$D$37,"SEGURIDAD DEL PACIENTE",IF(O32=CURSOS!$D$38,"MANEJO DE RESIDUOS HOSPITALARIOS"))))))))))))))))))))))))))))))))))))</f>
        <v>SOPORTE VITAL BASICO (BLS)</v>
      </c>
      <c r="V32" s="57" t="str">
        <f t="shared" si="0"/>
        <v>Brainer Esneyder Erazo Melo</v>
      </c>
      <c r="W32" s="57" t="str">
        <f t="shared" si="1"/>
        <v>Brainer Esneyder Erazo Melo</v>
      </c>
      <c r="X32" s="57" t="str">
        <f t="shared" si="2"/>
        <v>Brainer Esneyder Erazo Melo-1233190224-BLS</v>
      </c>
    </row>
    <row r="33" spans="1:24" s="67" customFormat="1" x14ac:dyDescent="0.2">
      <c r="A33" s="68">
        <v>32</v>
      </c>
      <c r="B33" s="53">
        <v>1088738433</v>
      </c>
      <c r="C33" s="53" t="s">
        <v>128</v>
      </c>
      <c r="D33" s="53" t="s">
        <v>129</v>
      </c>
      <c r="E33" s="53" t="s">
        <v>130</v>
      </c>
      <c r="F33" s="53" t="s">
        <v>131</v>
      </c>
      <c r="G33" s="53">
        <v>5</v>
      </c>
      <c r="H33" s="53" t="s">
        <v>102</v>
      </c>
      <c r="I33" s="56" t="s">
        <v>103</v>
      </c>
      <c r="J33" s="54">
        <v>45631</v>
      </c>
      <c r="K33" s="69">
        <v>28000</v>
      </c>
      <c r="L33" s="53" t="s">
        <v>104</v>
      </c>
      <c r="M33" s="53" t="s">
        <v>105</v>
      </c>
      <c r="N33" s="53" t="s">
        <v>132</v>
      </c>
      <c r="O33" s="53" t="s">
        <v>44</v>
      </c>
      <c r="P33" s="56">
        <v>35931</v>
      </c>
      <c r="Q33" s="53" t="s">
        <v>107</v>
      </c>
      <c r="R33" s="53" t="s">
        <v>133</v>
      </c>
      <c r="S33" s="70">
        <v>3196108888</v>
      </c>
      <c r="T33" s="53" t="s">
        <v>134</v>
      </c>
      <c r="U33" s="57" t="str">
        <f>IF(O33=CURSOS!$D$3,"DIPLOMADO EN ATENCION PRE-HOSPITALARIA",IF(O33=CURSOS!$D$4,"ACOMPAÑAMIENTO Y MANEJO DEL DUELO",IF(O33=CURSOS!$D$5,"ATENCION A VICTIMAS DE ATAQUE CON AGENTES QUIMICOS ",IF(O33=CURSOS!$D$6,"PRIMEROS AUXILIOS ",IF(O33=CURSOS!$D$7,"DIPLOMADO DE UNIDAD DE CUIDADOS INTENSIVOS (UCI)",IF(O33=CURSOS!$D$8,"MODELO DE ATENCION PARA EVENTOS EMERGENTES EN SALUD MENTAL (CODIGO VERDE)",IF(O33=CURSOS!$D$9,"HUMANIZACION EN EL SERVICIO DE LA SALUD Y BUENAS PRACTICAS EN PACIENTE ",IF(O33=CURSOS!$D$10,"CLINICA DE HERIDAS ",IF(O33=CURSOS!$D$11,"TOMA DE CITOLOGIA CERVICO VAGINAL ",IF(O33=CURSOS!$D$12,"SOPORTE CARDIOVASCULAR AVANZADO (ACLS) ",IF(O33=CURSOS!$D$13,"CAMILLERO ",IF(O33=CURSOS!$D$14,"TOMA DE MUESTRAS Y LABORATORIO ",IF(O33=CURSOS!$D$15,"SOPORTE VITAL BASICO (BLS)",IF(O33=CURSOS!$D$16,"ATENCION A VICTIMAS DE VIOLENCIA SEXUAL ",IF(O33=CURSOS!$D$17,"PROGRAMADO AMPLIADO DE INMUNIZACION (PAI - COVID 19)",IF(O33=CURSOS!$D$18,"ATENCION INTEGRAL EN ENFERMEDADES PREVALENTES EN PRIMERA INFANCIA (AIEPI)",IF(O33=CURSOS!$D$19,"ADMINISTRACION DE MEDICAMENTOS, INYECTOLOGIA  Y CANALIZACION ",IF(O33=CURSOS!$D$20,"OPERADOR DE VEHICULOS DE EMERGENCIA (OVE)",IF(O33=CURSOS!$D$21,"INSTITUCIONES AMIGAS DE LA MUJER Y LA INFANCIA (IAMI)",IF(O33=CURSOS!$D$22,"CUIDADO DEL DONANTE DE ORGANOS",IF(O33=CURSOS!$D$23,"ATENCION A VICTIMAS POR VIOLENCIA DE GENERO",IF(O33=CURSOS!$D$24,"IGUALDAD DE GENERO EN LA SALUD",IF(O33=CURSOS!$D$25,"BRIGADA DE EMERGENCIA",IF(O33=CURSOS!$D$26,"MANEJO DEL DOLOR Y CUIDADOS PALIATIVOS",IF(O33=CURSOS!$D$27,"TOMA DE MUESTRAS Y LABORATORIO POCT",IF(O33=CURSOS!$D$28,"IMPLANTE SUBDERMICO DE DISPOSITIVO INTRAUTERINO",IF(O33=CURSOS!$D$29,"SALUD MENTAL",IF(O33=CURSOS!$D$30,"PRIMEROS AUXILIOS PSICOLOGICOS",IF(O33=CURSOS!$D$31,"ATENCION A VICTIMAS POR CONFLICTO ARMADO",IF(O33=CURSOS!$D$32,"MANIPULACION DE ALIMENTOS Y BPM",IF(O33=CURSOS!$D$33,"ATENCION A PERSONAS CON DISCAPACIDAD",IF(O33=CURSOS!$D$34,"CUIDADO INTEGRAL DEL PACIENTE ADULTO",IF(O33=CURSOS!$D$35,"MANEJO DEFENSIVO",IF(O33=CURSOS!$D$36,"SOPORTE CARDIOVASCULAR AVANZADO NEONATAL",IF(O33=CURSOS!$D$37,"SEGURIDAD DEL PACIENTE",IF(O33=CURSOS!$D$38,"MANEJO DE RESIDUOS HOSPITALARIOS"))))))))))))))))))))))))))))))))))))</f>
        <v>ATENCION INTEGRAL EN ENFERMEDADES PREVALENTES EN PRIMERA INFANCIA (AIEPI)</v>
      </c>
      <c r="V33" s="57" t="str">
        <f t="shared" si="0"/>
        <v>Angie Tatiana Acosta Zambrano</v>
      </c>
      <c r="W33" s="57" t="str">
        <f t="shared" si="1"/>
        <v>Angie Tatiana Acosta Zambrano</v>
      </c>
      <c r="X33" s="57" t="str">
        <f t="shared" si="2"/>
        <v>Angie Tatiana Acosta Zambrano-1088738433-AIEPI</v>
      </c>
    </row>
    <row r="34" spans="1:24" s="67" customFormat="1" x14ac:dyDescent="0.2">
      <c r="A34" s="68">
        <v>33</v>
      </c>
      <c r="B34" s="53">
        <v>1233188825</v>
      </c>
      <c r="C34" s="53" t="s">
        <v>187</v>
      </c>
      <c r="D34" s="53" t="s">
        <v>110</v>
      </c>
      <c r="E34" s="53" t="s">
        <v>188</v>
      </c>
      <c r="F34" s="53" t="s">
        <v>189</v>
      </c>
      <c r="G34" s="53">
        <v>5</v>
      </c>
      <c r="H34" s="53" t="s">
        <v>102</v>
      </c>
      <c r="I34" s="56" t="s">
        <v>154</v>
      </c>
      <c r="J34" s="54">
        <v>45631</v>
      </c>
      <c r="K34" s="69">
        <v>56000</v>
      </c>
      <c r="L34" s="53" t="s">
        <v>192</v>
      </c>
      <c r="M34" s="53" t="s">
        <v>105</v>
      </c>
      <c r="N34" s="53" t="s">
        <v>106</v>
      </c>
      <c r="O34" s="53" t="s">
        <v>38</v>
      </c>
      <c r="P34" s="56">
        <v>35520</v>
      </c>
      <c r="Q34" s="53" t="s">
        <v>139</v>
      </c>
      <c r="R34" s="53" t="s">
        <v>191</v>
      </c>
      <c r="S34" s="53">
        <v>3166390908</v>
      </c>
      <c r="T34" s="53" t="s">
        <v>190</v>
      </c>
      <c r="U34" s="57" t="str">
        <f>IF(O34=CURSOS!$D$3,"DIPLOMADO EN ATENCION PRE-HOSPITALARIA",IF(O34=CURSOS!$D$4,"ACOMPAÑAMIENTO Y MANEJO DEL DUELO",IF(O34=CURSOS!$D$5,"ATENCION A VICTIMAS DE ATAQUE CON AGENTES QUIMICOS ",IF(O34=CURSOS!$D$6,"PRIMEROS AUXILIOS ",IF(O34=CURSOS!$D$7,"DIPLOMADO DE UNIDAD DE CUIDADOS INTENSIVOS (UCI)",IF(O34=CURSOS!$D$8,"MODELO DE ATENCION PARA EVENTOS EMERGENTES EN SALUD MENTAL (CODIGO VERDE)",IF(O34=CURSOS!$D$9,"HUMANIZACION EN EL SERVICIO DE LA SALUD Y BUENAS PRACTICAS EN PACIENTE ",IF(O34=CURSOS!$D$10,"CLINICA DE HERIDAS ",IF(O34=CURSOS!$D$11,"TOMA DE CITOLOGIA CERVICO VAGINAL ",IF(O34=CURSOS!$D$12,"SOPORTE CARDIOVASCULAR AVANZADO (ACLS) ",IF(O34=CURSOS!$D$13,"CAMILLERO ",IF(O34=CURSOS!$D$14,"TOMA DE MUESTRAS Y LABORATORIO ",IF(O34=CURSOS!$D$15,"SOPORTE VITAL BASICO (BLS)",IF(O34=CURSOS!$D$16,"ATENCION A VICTIMAS DE VIOLENCIA SEXUAL ",IF(O34=CURSOS!$D$17,"PROGRAMADO AMPLIADO DE INMUNIZACION (PAI - COVID 19)",IF(O34=CURSOS!$D$18,"ATENCION INTEGRAL EN ENFERMEDADES PREVALENTES EN PRIMERA INFANCIA (AIEPI)",IF(O34=CURSOS!$D$19,"ADMINISTRACION DE MEDICAMENTOS, INYECTOLOGIA  Y CANALIZACION ",IF(O34=CURSOS!$D$20,"OPERADOR DE VEHICULOS DE EMERGENCIA (OVE)",IF(O34=CURSOS!$D$21,"INSTITUCIONES AMIGAS DE LA MUJER Y LA INFANCIA (IAMI)",IF(O34=CURSOS!$D$22,"CUIDADO DEL DONANTE DE ORGANOS",IF(O34=CURSOS!$D$23,"ATENCION A VICTIMAS POR VIOLENCIA DE GENERO",IF(O34=CURSOS!$D$24,"IGUALDAD DE GENERO EN LA SALUD",IF(O34=CURSOS!$D$25,"BRIGADA DE EMERGENCIA",IF(O34=CURSOS!$D$26,"MANEJO DEL DOLOR Y CUIDADOS PALIATIVOS",IF(O34=CURSOS!$D$27,"TOMA DE MUESTRAS Y LABORATORIO POCT",IF(O34=CURSOS!$D$28,"IMPLANTE SUBDERMICO DE DISPOSITIVO INTRAUTERINO",IF(O34=CURSOS!$D$29,"SALUD MENTAL",IF(O34=CURSOS!$D$30,"PRIMEROS AUXILIOS PSICOLOGICOS",IF(O34=CURSOS!$D$31,"ATENCION A VICTIMAS POR CONFLICTO ARMADO",IF(O34=CURSOS!$D$32,"MANIPULACION DE ALIMENTOS Y BPM",IF(O34=CURSOS!$D$33,"ATENCION A PERSONAS CON DISCAPACIDAD",IF(O34=CURSOS!$D$34,"CUIDADO INTEGRAL DEL PACIENTE ADULTO",IF(O34=CURSOS!$D$35,"MANEJO DEFENSIVO",IF(O34=CURSOS!$D$36,"SOPORTE CARDIOVASCULAR AVANZADO NEONATAL",IF(O34=CURSOS!$D$37,"SEGURIDAD DEL PACIENTE",IF(O34=CURSOS!$D$38,"MANEJO DE RESIDUOS HOSPITALARIOS"))))))))))))))))))))))))))))))))))))</f>
        <v xml:space="preserve">CAMILLERO </v>
      </c>
      <c r="V34" s="57" t="str">
        <f t="shared" si="0"/>
        <v>Jhosvan Danilo Torres López</v>
      </c>
      <c r="W34" s="57" t="str">
        <f t="shared" si="1"/>
        <v>Jhosvan Danilo Torres López</v>
      </c>
      <c r="X34" s="57" t="str">
        <f t="shared" si="2"/>
        <v>Jhosvan Danilo Torres López-1233188825-CAMILLERO</v>
      </c>
    </row>
    <row r="35" spans="1:24" s="67" customFormat="1" x14ac:dyDescent="0.2">
      <c r="A35" s="68">
        <v>34</v>
      </c>
      <c r="B35" s="53">
        <v>59395650</v>
      </c>
      <c r="C35" s="53" t="s">
        <v>193</v>
      </c>
      <c r="D35" s="53" t="s">
        <v>194</v>
      </c>
      <c r="E35" s="53" t="s">
        <v>195</v>
      </c>
      <c r="F35" s="53" t="s">
        <v>196</v>
      </c>
      <c r="G35" s="53">
        <v>5</v>
      </c>
      <c r="H35" s="53" t="s">
        <v>102</v>
      </c>
      <c r="I35" s="56" t="s">
        <v>103</v>
      </c>
      <c r="J35" s="54">
        <v>45632</v>
      </c>
      <c r="K35" s="69">
        <v>32000</v>
      </c>
      <c r="L35" s="53" t="s">
        <v>104</v>
      </c>
      <c r="M35" s="53" t="s">
        <v>197</v>
      </c>
      <c r="N35" s="53" t="s">
        <v>132</v>
      </c>
      <c r="O35" s="53" t="s">
        <v>32</v>
      </c>
      <c r="P35" s="56">
        <v>30279</v>
      </c>
      <c r="Q35" s="53" t="s">
        <v>107</v>
      </c>
      <c r="R35" s="53" t="s">
        <v>116</v>
      </c>
      <c r="S35" s="53">
        <v>3116580607</v>
      </c>
      <c r="T35" s="53" t="s">
        <v>198</v>
      </c>
      <c r="U35" s="57" t="str">
        <f>IF(O35=CURSOS!$D$3,"DIPLOMADO EN ATENCION PRE-HOSPITALARIA",IF(O35=CURSOS!$D$4,"ACOMPAÑAMIENTO Y MANEJO DEL DUELO",IF(O35=CURSOS!$D$5,"ATENCION A VICTIMAS DE ATAQUE CON AGENTES QUIMICOS ",IF(O35=CURSOS!$D$6,"PRIMEROS AUXILIOS ",IF(O35=CURSOS!$D$7,"DIPLOMADO DE UNIDAD DE CUIDADOS INTENSIVOS (UCI)",IF(O35=CURSOS!$D$8,"MODELO DE ATENCION PARA EVENTOS EMERGENTES EN SALUD MENTAL (CODIGO VERDE)",IF(O35=CURSOS!$D$9,"HUMANIZACION EN EL SERVICIO DE LA SALUD Y BUENAS PRACTICAS EN PACIENTE ",IF(O35=CURSOS!$D$10,"CLINICA DE HERIDAS ",IF(O35=CURSOS!$D$11,"TOMA DE CITOLOGIA CERVICO VAGINAL ",IF(O35=CURSOS!$D$12,"SOPORTE CARDIOVASCULAR AVANZADO (ACLS) ",IF(O35=CURSOS!$D$13,"CAMILLERO ",IF(O35=CURSOS!$D$14,"TOMA DE MUESTRAS Y LABORATORIO ",IF(O35=CURSOS!$D$15,"SOPORTE VITAL BASICO (BLS)",IF(O35=CURSOS!$D$16,"ATENCION A VICTIMAS DE VIOLENCIA SEXUAL ",IF(O35=CURSOS!$D$17,"PROGRAMADO AMPLIADO DE INMUNIZACION (PAI - COVID 19)",IF(O35=CURSOS!$D$18,"ATENCION INTEGRAL EN ENFERMEDADES PREVALENTES EN PRIMERA INFANCIA (AIEPI)",IF(O35=CURSOS!$D$19,"ADMINISTRACION DE MEDICAMENTOS, INYECTOLOGIA  Y CANALIZACION ",IF(O35=CURSOS!$D$20,"OPERADOR DE VEHICULOS DE EMERGENCIA (OVE)",IF(O35=CURSOS!$D$21,"INSTITUCIONES AMIGAS DE LA MUJER Y LA INFANCIA (IAMI)",IF(O35=CURSOS!$D$22,"CUIDADO DEL DONANTE DE ORGANOS",IF(O35=CURSOS!$D$23,"ATENCION A VICTIMAS POR VIOLENCIA DE GENERO",IF(O35=CURSOS!$D$24,"IGUALDAD DE GENERO EN LA SALUD",IF(O35=CURSOS!$D$25,"BRIGADA DE EMERGENCIA",IF(O35=CURSOS!$D$26,"MANEJO DEL DOLOR Y CUIDADOS PALIATIVOS",IF(O35=CURSOS!$D$27,"TOMA DE MUESTRAS Y LABORATORIO POCT",IF(O35=CURSOS!$D$28,"IMPLANTE SUBDERMICO DE DISPOSITIVO INTRAUTERINO",IF(O35=CURSOS!$D$29,"SALUD MENTAL",IF(O35=CURSOS!$D$30,"PRIMEROS AUXILIOS PSICOLOGICOS",IF(O35=CURSOS!$D$31,"ATENCION A VICTIMAS POR CONFLICTO ARMADO",IF(O35=CURSOS!$D$32,"MANIPULACION DE ALIMENTOS Y BPM",IF(O35=CURSOS!$D$33,"ATENCION A PERSONAS CON DISCAPACIDAD",IF(O35=CURSOS!$D$34,"CUIDADO INTEGRAL DEL PACIENTE ADULTO",IF(O35=CURSOS!$D$35,"MANEJO DEFENSIVO",IF(O35=CURSOS!$D$36,"SOPORTE CARDIOVASCULAR AVANZADO NEONATAL",IF(O35=CURSOS!$D$37,"SEGURIDAD DEL PACIENTE",IF(O35=CURSOS!$D$38,"MANEJO DE RESIDUOS HOSPITALARIOS"))))))))))))))))))))))))))))))))))))</f>
        <v xml:space="preserve">HUMANIZACION EN EL SERVICIO DE LA SALUD Y BUENAS PRACTICAS EN PACIENTE </v>
      </c>
      <c r="V35" s="57" t="str">
        <f t="shared" si="0"/>
        <v>Aura Elizabeth  Yela  Guevara</v>
      </c>
      <c r="W35" s="57" t="str">
        <f t="shared" si="1"/>
        <v>Aura Elizabeth  Yela  Guevara</v>
      </c>
      <c r="X35" s="57" t="str">
        <f t="shared" si="2"/>
        <v>Aura Elizabeth  Yela  Guevara-59395650-HUMANIZACION</v>
      </c>
    </row>
    <row r="36" spans="1:24" s="67" customFormat="1" x14ac:dyDescent="0.2">
      <c r="A36" s="68">
        <v>35</v>
      </c>
      <c r="B36" s="53">
        <v>1085317375</v>
      </c>
      <c r="C36" s="53" t="s">
        <v>199</v>
      </c>
      <c r="D36" s="53" t="s">
        <v>200</v>
      </c>
      <c r="E36" s="53" t="s">
        <v>201</v>
      </c>
      <c r="F36" s="53" t="s">
        <v>202</v>
      </c>
      <c r="G36" s="53">
        <v>6</v>
      </c>
      <c r="H36" s="53" t="s">
        <v>102</v>
      </c>
      <c r="I36" s="56" t="s">
        <v>154</v>
      </c>
      <c r="J36" s="54">
        <v>45630</v>
      </c>
      <c r="K36" s="69">
        <v>80000</v>
      </c>
      <c r="L36" s="53" t="s">
        <v>176</v>
      </c>
      <c r="M36" s="53" t="s">
        <v>197</v>
      </c>
      <c r="N36" s="53" t="s">
        <v>106</v>
      </c>
      <c r="O36" s="53" t="s">
        <v>32</v>
      </c>
      <c r="P36" s="56">
        <v>34681</v>
      </c>
      <c r="Q36" s="53" t="s">
        <v>107</v>
      </c>
      <c r="R36" s="53" t="s">
        <v>204</v>
      </c>
      <c r="S36" s="53">
        <v>3006116462</v>
      </c>
      <c r="T36" s="53" t="s">
        <v>203</v>
      </c>
      <c r="U36" s="57" t="str">
        <f>IF(O36=CURSOS!$D$3,"DIPLOMADO EN ATENCION PRE-HOSPITALARIA",IF(O36=CURSOS!$D$4,"ACOMPAÑAMIENTO Y MANEJO DEL DUELO",IF(O36=CURSOS!$D$5,"ATENCION A VICTIMAS DE ATAQUE CON AGENTES QUIMICOS ",IF(O36=CURSOS!$D$6,"PRIMEROS AUXILIOS ",IF(O36=CURSOS!$D$7,"DIPLOMADO DE UNIDAD DE CUIDADOS INTENSIVOS (UCI)",IF(O36=CURSOS!$D$8,"MODELO DE ATENCION PARA EVENTOS EMERGENTES EN SALUD MENTAL (CODIGO VERDE)",IF(O36=CURSOS!$D$9,"HUMANIZACION EN EL SERVICIO DE LA SALUD Y BUENAS PRACTICAS EN PACIENTE ",IF(O36=CURSOS!$D$10,"CLINICA DE HERIDAS ",IF(O36=CURSOS!$D$11,"TOMA DE CITOLOGIA CERVICO VAGINAL ",IF(O36=CURSOS!$D$12,"SOPORTE CARDIOVASCULAR AVANZADO (ACLS) ",IF(O36=CURSOS!$D$13,"CAMILLERO ",IF(O36=CURSOS!$D$14,"TOMA DE MUESTRAS Y LABORATORIO ",IF(O36=CURSOS!$D$15,"SOPORTE VITAL BASICO (BLS)",IF(O36=CURSOS!$D$16,"ATENCION A VICTIMAS DE VIOLENCIA SEXUAL ",IF(O36=CURSOS!$D$17,"PROGRAMADO AMPLIADO DE INMUNIZACION (PAI - COVID 19)",IF(O36=CURSOS!$D$18,"ATENCION INTEGRAL EN ENFERMEDADES PREVALENTES EN PRIMERA INFANCIA (AIEPI)",IF(O36=CURSOS!$D$19,"ADMINISTRACION DE MEDICAMENTOS, INYECTOLOGIA  Y CANALIZACION ",IF(O36=CURSOS!$D$20,"OPERADOR DE VEHICULOS DE EMERGENCIA (OVE)",IF(O36=CURSOS!$D$21,"INSTITUCIONES AMIGAS DE LA MUJER Y LA INFANCIA (IAMI)",IF(O36=CURSOS!$D$22,"CUIDADO DEL DONANTE DE ORGANOS",IF(O36=CURSOS!$D$23,"ATENCION A VICTIMAS POR VIOLENCIA DE GENERO",IF(O36=CURSOS!$D$24,"IGUALDAD DE GENERO EN LA SALUD",IF(O36=CURSOS!$D$25,"BRIGADA DE EMERGENCIA",IF(O36=CURSOS!$D$26,"MANEJO DEL DOLOR Y CUIDADOS PALIATIVOS",IF(O36=CURSOS!$D$27,"TOMA DE MUESTRAS Y LABORATORIO POCT",IF(O36=CURSOS!$D$28,"IMPLANTE SUBDERMICO DE DISPOSITIVO INTRAUTERINO",IF(O36=CURSOS!$D$29,"SALUD MENTAL",IF(O36=CURSOS!$D$30,"PRIMEROS AUXILIOS PSICOLOGICOS",IF(O36=CURSOS!$D$31,"ATENCION A VICTIMAS POR CONFLICTO ARMADO",IF(O36=CURSOS!$D$32,"MANIPULACION DE ALIMENTOS Y BPM",IF(O36=CURSOS!$D$33,"ATENCION A PERSONAS CON DISCAPACIDAD",IF(O36=CURSOS!$D$34,"CUIDADO INTEGRAL DEL PACIENTE ADULTO",IF(O36=CURSOS!$D$35,"MANEJO DEFENSIVO",IF(O36=CURSOS!$D$36,"SOPORTE CARDIOVASCULAR AVANZADO NEONATAL",IF(O36=CURSOS!$D$37,"SEGURIDAD DEL PACIENTE",IF(O36=CURSOS!$D$38,"MANEJO DE RESIDUOS HOSPITALARIOS"))))))))))))))))))))))))))))))))))))</f>
        <v xml:space="preserve">HUMANIZACION EN EL SERVICIO DE LA SALUD Y BUENAS PRACTICAS EN PACIENTE </v>
      </c>
      <c r="V36" s="57" t="str">
        <f t="shared" si="0"/>
        <v>Edith Lucia Rosero Oliva</v>
      </c>
      <c r="W36" s="57" t="str">
        <f t="shared" si="1"/>
        <v>Edith Lucia Rosero Oliva</v>
      </c>
      <c r="X36" s="57" t="str">
        <f t="shared" si="2"/>
        <v>Edith Lucia Rosero Oliva-1085317375-HUMANIZACION</v>
      </c>
    </row>
    <row r="37" spans="1:24" s="67" customFormat="1" x14ac:dyDescent="0.2">
      <c r="A37" s="68">
        <v>36</v>
      </c>
      <c r="B37" s="53">
        <v>1004597961</v>
      </c>
      <c r="C37" s="53" t="s">
        <v>205</v>
      </c>
      <c r="D37" s="53" t="s">
        <v>206</v>
      </c>
      <c r="E37" s="53" t="s">
        <v>207</v>
      </c>
      <c r="F37" s="53" t="s">
        <v>208</v>
      </c>
      <c r="G37" s="53">
        <v>6</v>
      </c>
      <c r="H37" s="53" t="s">
        <v>102</v>
      </c>
      <c r="I37" s="56" t="s">
        <v>103</v>
      </c>
      <c r="J37" s="54">
        <v>45634</v>
      </c>
      <c r="K37" s="69">
        <v>32000</v>
      </c>
      <c r="L37" s="53" t="s">
        <v>104</v>
      </c>
      <c r="M37" s="53" t="s">
        <v>105</v>
      </c>
      <c r="N37" s="53" t="s">
        <v>132</v>
      </c>
      <c r="O37" s="53" t="s">
        <v>42</v>
      </c>
      <c r="P37" s="56">
        <v>36435</v>
      </c>
      <c r="Q37" s="53" t="s">
        <v>107</v>
      </c>
      <c r="R37" s="53" t="s">
        <v>116</v>
      </c>
      <c r="S37" s="70">
        <v>3102488966</v>
      </c>
      <c r="T37" s="53" t="s">
        <v>209</v>
      </c>
      <c r="U37" s="57" t="str">
        <f>IF(O37=CURSOS!$D$3,"DIPLOMADO EN ATENCION PRE-HOSPITALARIA",IF(O37=CURSOS!$D$4,"ACOMPAÑAMIENTO Y MANEJO DEL DUELO",IF(O37=CURSOS!$D$5,"ATENCION A VICTIMAS DE ATAQUE CON AGENTES QUIMICOS ",IF(O37=CURSOS!$D$6,"PRIMEROS AUXILIOS ",IF(O37=CURSOS!$D$7,"DIPLOMADO DE UNIDAD DE CUIDADOS INTENSIVOS (UCI)",IF(O37=CURSOS!$D$8,"MODELO DE ATENCION PARA EVENTOS EMERGENTES EN SALUD MENTAL (CODIGO VERDE)",IF(O37=CURSOS!$D$9,"HUMANIZACION EN EL SERVICIO DE LA SALUD Y BUENAS PRACTICAS EN PACIENTE ",IF(O37=CURSOS!$D$10,"CLINICA DE HERIDAS ",IF(O37=CURSOS!$D$11,"TOMA DE CITOLOGIA CERVICO VAGINAL ",IF(O37=CURSOS!$D$12,"SOPORTE CARDIOVASCULAR AVANZADO (ACLS) ",IF(O37=CURSOS!$D$13,"CAMILLERO ",IF(O37=CURSOS!$D$14,"TOMA DE MUESTRAS Y LABORATORIO ",IF(O37=CURSOS!$D$15,"SOPORTE VITAL BASICO (BLS)",IF(O37=CURSOS!$D$16,"ATENCION A VICTIMAS DE VIOLENCIA SEXUAL ",IF(O37=CURSOS!$D$17,"PROGRAMADO AMPLIADO DE INMUNIZACION (PAI - COVID 19)",IF(O37=CURSOS!$D$18,"ATENCION INTEGRAL EN ENFERMEDADES PREVALENTES EN PRIMERA INFANCIA (AIEPI)",IF(O37=CURSOS!$D$19,"ADMINISTRACION DE MEDICAMENTOS, INYECTOLOGIA  Y CANALIZACION ",IF(O37=CURSOS!$D$20,"OPERADOR DE VEHICULOS DE EMERGENCIA (OVE)",IF(O37=CURSOS!$D$21,"INSTITUCIONES AMIGAS DE LA MUJER Y LA INFANCIA (IAMI)",IF(O37=CURSOS!$D$22,"CUIDADO DEL DONANTE DE ORGANOS",IF(O37=CURSOS!$D$23,"ATENCION A VICTIMAS POR VIOLENCIA DE GENERO",IF(O37=CURSOS!$D$24,"IGUALDAD DE GENERO EN LA SALUD",IF(O37=CURSOS!$D$25,"BRIGADA DE EMERGENCIA",IF(O37=CURSOS!$D$26,"MANEJO DEL DOLOR Y CUIDADOS PALIATIVOS",IF(O37=CURSOS!$D$27,"TOMA DE MUESTRAS Y LABORATORIO POCT",IF(O37=CURSOS!$D$28,"IMPLANTE SUBDERMICO DE DISPOSITIVO INTRAUTERINO",IF(O37=CURSOS!$D$29,"SALUD MENTAL",IF(O37=CURSOS!$D$30,"PRIMEROS AUXILIOS PSICOLOGICOS",IF(O37=CURSOS!$D$31,"ATENCION A VICTIMAS POR CONFLICTO ARMADO",IF(O37=CURSOS!$D$32,"MANIPULACION DE ALIMENTOS Y BPM",IF(O37=CURSOS!$D$33,"ATENCION A PERSONAS CON DISCAPACIDAD",IF(O37=CURSOS!$D$34,"CUIDADO INTEGRAL DEL PACIENTE ADULTO",IF(O37=CURSOS!$D$35,"MANEJO DEFENSIVO",IF(O37=CURSOS!$D$36,"SOPORTE CARDIOVASCULAR AVANZADO NEONATAL",IF(O37=CURSOS!$D$37,"SEGURIDAD DEL PACIENTE",IF(O37=CURSOS!$D$38,"MANEJO DE RESIDUOS HOSPITALARIOS"))))))))))))))))))))))))))))))))))))</f>
        <v xml:space="preserve">ATENCION A VICTIMAS DE VIOLENCIA SEXUAL </v>
      </c>
      <c r="V37" s="57" t="str">
        <f t="shared" si="0"/>
        <v>Yulieth Lizhet Morales Ramirez</v>
      </c>
      <c r="W37" s="57" t="str">
        <f t="shared" si="1"/>
        <v>Yulieth Lizhet Morales Ramirez</v>
      </c>
      <c r="X37" s="57" t="str">
        <f t="shared" si="2"/>
        <v>Yulieth Lizhet Morales Ramirez-1004597961-VIOLENCIA SEXUAL</v>
      </c>
    </row>
    <row r="38" spans="1:24" s="67" customFormat="1" x14ac:dyDescent="0.2">
      <c r="A38" s="68">
        <v>37</v>
      </c>
      <c r="B38" s="53">
        <v>1081275029</v>
      </c>
      <c r="C38" s="53" t="s">
        <v>210</v>
      </c>
      <c r="D38" s="53" t="s">
        <v>211</v>
      </c>
      <c r="E38" s="53" t="s">
        <v>212</v>
      </c>
      <c r="F38" s="53" t="s">
        <v>113</v>
      </c>
      <c r="G38" s="53">
        <v>11</v>
      </c>
      <c r="H38" s="53" t="s">
        <v>102</v>
      </c>
      <c r="I38" s="56" t="s">
        <v>154</v>
      </c>
      <c r="J38" s="54">
        <v>45625</v>
      </c>
      <c r="K38" s="69">
        <v>56000</v>
      </c>
      <c r="L38" s="53" t="s">
        <v>114</v>
      </c>
      <c r="M38" s="53" t="s">
        <v>105</v>
      </c>
      <c r="N38" s="53" t="s">
        <v>106</v>
      </c>
      <c r="O38" s="53" t="s">
        <v>45</v>
      </c>
      <c r="P38" s="56">
        <v>38597</v>
      </c>
      <c r="Q38" s="53" t="s">
        <v>107</v>
      </c>
      <c r="R38" s="53" t="s">
        <v>116</v>
      </c>
      <c r="S38" s="70">
        <v>3134973823</v>
      </c>
      <c r="T38" s="70" t="s">
        <v>213</v>
      </c>
      <c r="U38" s="57" t="str">
        <f>IF(O38=CURSOS!$D$3,"DIPLOMADO EN ATENCION PRE-HOSPITALARIA",IF(O38=CURSOS!$D$4,"ACOMPAÑAMIENTO Y MANEJO DEL DUELO",IF(O38=CURSOS!$D$5,"ATENCION A VICTIMAS DE ATAQUE CON AGENTES QUIMICOS ",IF(O38=CURSOS!$D$6,"PRIMEROS AUXILIOS ",IF(O38=CURSOS!$D$7,"DIPLOMADO DE UNIDAD DE CUIDADOS INTENSIVOS (UCI)",IF(O38=CURSOS!$D$8,"MODELO DE ATENCION PARA EVENTOS EMERGENTES EN SALUD MENTAL (CODIGO VERDE)",IF(O38=CURSOS!$D$9,"HUMANIZACION EN EL SERVICIO DE LA SALUD Y BUENAS PRACTICAS EN PACIENTE ",IF(O38=CURSOS!$D$10,"CLINICA DE HERIDAS ",IF(O38=CURSOS!$D$11,"TOMA DE CITOLOGIA CERVICO VAGINAL ",IF(O38=CURSOS!$D$12,"SOPORTE CARDIOVASCULAR AVANZADO (ACLS) ",IF(O38=CURSOS!$D$13,"CAMILLERO ",IF(O38=CURSOS!$D$14,"TOMA DE MUESTRAS Y LABORATORIO ",IF(O38=CURSOS!$D$15,"SOPORTE VITAL BASICO (BLS)",IF(O38=CURSOS!$D$16,"ATENCION A VICTIMAS DE VIOLENCIA SEXUAL ",IF(O38=CURSOS!$D$17,"PROGRAMADO AMPLIADO DE INMUNIZACION (PAI - COVID 19)",IF(O38=CURSOS!$D$18,"ATENCION INTEGRAL EN ENFERMEDADES PREVALENTES EN PRIMERA INFANCIA (AIEPI)",IF(O38=CURSOS!$D$19,"ADMINISTRACION DE MEDICAMENTOS, INYECTOLOGIA  Y CANALIZACION ",IF(O38=CURSOS!$D$20,"OPERADOR DE VEHICULOS DE EMERGENCIA (OVE)",IF(O38=CURSOS!$D$21,"INSTITUCIONES AMIGAS DE LA MUJER Y LA INFANCIA (IAMI)",IF(O38=CURSOS!$D$22,"CUIDADO DEL DONANTE DE ORGANOS",IF(O38=CURSOS!$D$23,"ATENCION A VICTIMAS POR VIOLENCIA DE GENERO",IF(O38=CURSOS!$D$24,"IGUALDAD DE GENERO EN LA SALUD",IF(O38=CURSOS!$D$25,"BRIGADA DE EMERGENCIA",IF(O38=CURSOS!$D$26,"MANEJO DEL DOLOR Y CUIDADOS PALIATIVOS",IF(O38=CURSOS!$D$27,"TOMA DE MUESTRAS Y LABORATORIO POCT",IF(O38=CURSOS!$D$28,"IMPLANTE SUBDERMICO DE DISPOSITIVO INTRAUTERINO",IF(O38=CURSOS!$D$29,"SALUD MENTAL",IF(O38=CURSOS!$D$30,"PRIMEROS AUXILIOS PSICOLOGICOS",IF(O38=CURSOS!$D$31,"ATENCION A VICTIMAS POR CONFLICTO ARMADO",IF(O38=CURSOS!$D$32,"MANIPULACION DE ALIMENTOS Y BPM",IF(O38=CURSOS!$D$33,"ATENCION A PERSONAS CON DISCAPACIDAD",IF(O38=CURSOS!$D$34,"CUIDADO INTEGRAL DEL PACIENTE ADULTO",IF(O38=CURSOS!$D$35,"MANEJO DEFENSIVO",IF(O38=CURSOS!$D$36,"SOPORTE CARDIOVASCULAR AVANZADO NEONATAL",IF(O38=CURSOS!$D$37,"SEGURIDAD DEL PACIENTE",IF(O38=CURSOS!$D$38,"MANEJO DE RESIDUOS HOSPITALARIOS"))))))))))))))))))))))))))))))))))))</f>
        <v xml:space="preserve">ADMINISTRACION DE MEDICAMENTOS, INYECTOLOGIA  Y CANALIZACION </v>
      </c>
      <c r="V38" s="57" t="str">
        <f t="shared" si="0"/>
        <v>Julieth Vanessa Anganoy Soscue</v>
      </c>
      <c r="W38" s="57" t="str">
        <f t="shared" si="1"/>
        <v>Julieth Vanessa Anganoy Soscue</v>
      </c>
      <c r="X38" s="57" t="str">
        <f t="shared" si="2"/>
        <v>Julieth Vanessa Anganoy Soscue-1081275029-ADMON DE MEDICAMENTOS</v>
      </c>
    </row>
    <row r="39" spans="1:24" s="67" customFormat="1" x14ac:dyDescent="0.2">
      <c r="A39" s="68">
        <v>38</v>
      </c>
      <c r="B39" s="53">
        <v>1085334688</v>
      </c>
      <c r="C39" s="53" t="s">
        <v>214</v>
      </c>
      <c r="D39" s="53" t="s">
        <v>215</v>
      </c>
      <c r="E39" s="53" t="s">
        <v>216</v>
      </c>
      <c r="F39" s="53" t="s">
        <v>217</v>
      </c>
      <c r="G39" s="53">
        <v>11</v>
      </c>
      <c r="H39" s="53" t="s">
        <v>102</v>
      </c>
      <c r="I39" s="56" t="s">
        <v>154</v>
      </c>
      <c r="J39" s="54">
        <v>45635</v>
      </c>
      <c r="K39" s="69">
        <v>15000</v>
      </c>
      <c r="L39" s="53" t="s">
        <v>114</v>
      </c>
      <c r="M39" s="53" t="s">
        <v>105</v>
      </c>
      <c r="N39" s="53" t="s">
        <v>106</v>
      </c>
      <c r="O39" s="53" t="s">
        <v>45</v>
      </c>
      <c r="P39" s="56">
        <v>35501</v>
      </c>
      <c r="Q39" s="53" t="s">
        <v>139</v>
      </c>
      <c r="R39" s="70" t="s">
        <v>218</v>
      </c>
      <c r="S39" s="53">
        <v>3106278491</v>
      </c>
      <c r="T39" s="53" t="s">
        <v>219</v>
      </c>
      <c r="U39" s="57" t="str">
        <f>IF(O39=CURSOS!$D$3,"DIPLOMADO EN ATENCION PRE-HOSPITALARIA",IF(O39=CURSOS!$D$4,"ACOMPAÑAMIENTO Y MANEJO DEL DUELO",IF(O39=CURSOS!$D$5,"ATENCION A VICTIMAS DE ATAQUE CON AGENTES QUIMICOS ",IF(O39=CURSOS!$D$6,"PRIMEROS AUXILIOS ",IF(O39=CURSOS!$D$7,"DIPLOMADO DE UNIDAD DE CUIDADOS INTENSIVOS (UCI)",IF(O39=CURSOS!$D$8,"MODELO DE ATENCION PARA EVENTOS EMERGENTES EN SALUD MENTAL (CODIGO VERDE)",IF(O39=CURSOS!$D$9,"HUMANIZACION EN EL SERVICIO DE LA SALUD Y BUENAS PRACTICAS EN PACIENTE ",IF(O39=CURSOS!$D$10,"CLINICA DE HERIDAS ",IF(O39=CURSOS!$D$11,"TOMA DE CITOLOGIA CERVICO VAGINAL ",IF(O39=CURSOS!$D$12,"SOPORTE CARDIOVASCULAR AVANZADO (ACLS) ",IF(O39=CURSOS!$D$13,"CAMILLERO ",IF(O39=CURSOS!$D$14,"TOMA DE MUESTRAS Y LABORATORIO ",IF(O39=CURSOS!$D$15,"SOPORTE VITAL BASICO (BLS)",IF(O39=CURSOS!$D$16,"ATENCION A VICTIMAS DE VIOLENCIA SEXUAL ",IF(O39=CURSOS!$D$17,"PROGRAMADO AMPLIADO DE INMUNIZACION (PAI - COVID 19)",IF(O39=CURSOS!$D$18,"ATENCION INTEGRAL EN ENFERMEDADES PREVALENTES EN PRIMERA INFANCIA (AIEPI)",IF(O39=CURSOS!$D$19,"ADMINISTRACION DE MEDICAMENTOS, INYECTOLOGIA  Y CANALIZACION ",IF(O39=CURSOS!$D$20,"OPERADOR DE VEHICULOS DE EMERGENCIA (OVE)",IF(O39=CURSOS!$D$21,"INSTITUCIONES AMIGAS DE LA MUJER Y LA INFANCIA (IAMI)",IF(O39=CURSOS!$D$22,"CUIDADO DEL DONANTE DE ORGANOS",IF(O39=CURSOS!$D$23,"ATENCION A VICTIMAS POR VIOLENCIA DE GENERO",IF(O39=CURSOS!$D$24,"IGUALDAD DE GENERO EN LA SALUD",IF(O39=CURSOS!$D$25,"BRIGADA DE EMERGENCIA",IF(O39=CURSOS!$D$26,"MANEJO DEL DOLOR Y CUIDADOS PALIATIVOS",IF(O39=CURSOS!$D$27,"TOMA DE MUESTRAS Y LABORATORIO POCT",IF(O39=CURSOS!$D$28,"IMPLANTE SUBDERMICO DE DISPOSITIVO INTRAUTERINO",IF(O39=CURSOS!$D$29,"SALUD MENTAL",IF(O39=CURSOS!$D$30,"PRIMEROS AUXILIOS PSICOLOGICOS",IF(O39=CURSOS!$D$31,"ATENCION A VICTIMAS POR CONFLICTO ARMADO",IF(O39=CURSOS!$D$32,"MANIPULACION DE ALIMENTOS Y BPM",IF(O39=CURSOS!$D$33,"ATENCION A PERSONAS CON DISCAPACIDAD",IF(O39=CURSOS!$D$34,"CUIDADO INTEGRAL DEL PACIENTE ADULTO",IF(O39=CURSOS!$D$35,"MANEJO DEFENSIVO",IF(O39=CURSOS!$D$36,"SOPORTE CARDIOVASCULAR AVANZADO NEONATAL",IF(O39=CURSOS!$D$37,"SEGURIDAD DEL PACIENTE",IF(O39=CURSOS!$D$38,"MANEJO DE RESIDUOS HOSPITALARIOS"))))))))))))))))))))))))))))))))))))</f>
        <v xml:space="preserve">ADMINISTRACION DE MEDICAMENTOS, INYECTOLOGIA  Y CANALIZACION </v>
      </c>
      <c r="V39" s="57" t="str">
        <f t="shared" si="0"/>
        <v>Brayan Gilberto Ramos Chañag</v>
      </c>
      <c r="W39" s="57" t="str">
        <f t="shared" si="1"/>
        <v>Brayan Gilberto Ramos Chañag</v>
      </c>
      <c r="X39" s="57" t="str">
        <f t="shared" si="2"/>
        <v>Brayan Gilberto Ramos Chañag-1085334688-ADMON DE MEDICAMENTOS</v>
      </c>
    </row>
    <row r="40" spans="1:24" s="67" customFormat="1" x14ac:dyDescent="0.2">
      <c r="A40" s="68">
        <v>39</v>
      </c>
      <c r="B40" s="53">
        <v>1085331820</v>
      </c>
      <c r="C40" s="53" t="s">
        <v>220</v>
      </c>
      <c r="D40" s="53" t="s">
        <v>220</v>
      </c>
      <c r="E40" s="53" t="s">
        <v>221</v>
      </c>
      <c r="F40" s="53" t="s">
        <v>222</v>
      </c>
      <c r="G40" s="53">
        <v>11</v>
      </c>
      <c r="H40" s="53" t="s">
        <v>102</v>
      </c>
      <c r="I40" s="56" t="s">
        <v>154</v>
      </c>
      <c r="J40" s="54">
        <v>45635</v>
      </c>
      <c r="K40" s="69">
        <v>15000</v>
      </c>
      <c r="L40" s="53" t="s">
        <v>114</v>
      </c>
      <c r="M40" s="53" t="s">
        <v>105</v>
      </c>
      <c r="N40" s="53" t="s">
        <v>106</v>
      </c>
      <c r="O40" s="53" t="s">
        <v>45</v>
      </c>
      <c r="P40" s="56">
        <v>35319</v>
      </c>
      <c r="Q40" s="53" t="s">
        <v>107</v>
      </c>
      <c r="R40" s="70" t="s">
        <v>223</v>
      </c>
      <c r="S40" s="53">
        <v>3185509756</v>
      </c>
      <c r="T40" s="53" t="s">
        <v>224</v>
      </c>
      <c r="U40" s="57" t="str">
        <f>IF(O40=CURSOS!$D$3,"DIPLOMADO EN ATENCION PRE-HOSPITALARIA",IF(O40=CURSOS!$D$4,"ACOMPAÑAMIENTO Y MANEJO DEL DUELO",IF(O40=CURSOS!$D$5,"ATENCION A VICTIMAS DE ATAQUE CON AGENTES QUIMICOS ",IF(O40=CURSOS!$D$6,"PRIMEROS AUXILIOS ",IF(O40=CURSOS!$D$7,"DIPLOMADO DE UNIDAD DE CUIDADOS INTENSIVOS (UCI)",IF(O40=CURSOS!$D$8,"MODELO DE ATENCION PARA EVENTOS EMERGENTES EN SALUD MENTAL (CODIGO VERDE)",IF(O40=CURSOS!$D$9,"HUMANIZACION EN EL SERVICIO DE LA SALUD Y BUENAS PRACTICAS EN PACIENTE ",IF(O40=CURSOS!$D$10,"CLINICA DE HERIDAS ",IF(O40=CURSOS!$D$11,"TOMA DE CITOLOGIA CERVICO VAGINAL ",IF(O40=CURSOS!$D$12,"SOPORTE CARDIOVASCULAR AVANZADO (ACLS) ",IF(O40=CURSOS!$D$13,"CAMILLERO ",IF(O40=CURSOS!$D$14,"TOMA DE MUESTRAS Y LABORATORIO ",IF(O40=CURSOS!$D$15,"SOPORTE VITAL BASICO (BLS)",IF(O40=CURSOS!$D$16,"ATENCION A VICTIMAS DE VIOLENCIA SEXUAL ",IF(O40=CURSOS!$D$17,"PROGRAMADO AMPLIADO DE INMUNIZACION (PAI - COVID 19)",IF(O40=CURSOS!$D$18,"ATENCION INTEGRAL EN ENFERMEDADES PREVALENTES EN PRIMERA INFANCIA (AIEPI)",IF(O40=CURSOS!$D$19,"ADMINISTRACION DE MEDICAMENTOS, INYECTOLOGIA  Y CANALIZACION ",IF(O40=CURSOS!$D$20,"OPERADOR DE VEHICULOS DE EMERGENCIA (OVE)",IF(O40=CURSOS!$D$21,"INSTITUCIONES AMIGAS DE LA MUJER Y LA INFANCIA (IAMI)",IF(O40=CURSOS!$D$22,"CUIDADO DEL DONANTE DE ORGANOS",IF(O40=CURSOS!$D$23,"ATENCION A VICTIMAS POR VIOLENCIA DE GENERO",IF(O40=CURSOS!$D$24,"IGUALDAD DE GENERO EN LA SALUD",IF(O40=CURSOS!$D$25,"BRIGADA DE EMERGENCIA",IF(O40=CURSOS!$D$26,"MANEJO DEL DOLOR Y CUIDADOS PALIATIVOS",IF(O40=CURSOS!$D$27,"TOMA DE MUESTRAS Y LABORATORIO POCT",IF(O40=CURSOS!$D$28,"IMPLANTE SUBDERMICO DE DISPOSITIVO INTRAUTERINO",IF(O40=CURSOS!$D$29,"SALUD MENTAL",IF(O40=CURSOS!$D$30,"PRIMEROS AUXILIOS PSICOLOGICOS",IF(O40=CURSOS!$D$31,"ATENCION A VICTIMAS POR CONFLICTO ARMADO",IF(O40=CURSOS!$D$32,"MANIPULACION DE ALIMENTOS Y BPM",IF(O40=CURSOS!$D$33,"ATENCION A PERSONAS CON DISCAPACIDAD",IF(O40=CURSOS!$D$34,"CUIDADO INTEGRAL DEL PACIENTE ADULTO",IF(O40=CURSOS!$D$35,"MANEJO DEFENSIVO",IF(O40=CURSOS!$D$36,"SOPORTE CARDIOVASCULAR AVANZADO NEONATAL",IF(O40=CURSOS!$D$37,"SEGURIDAD DEL PACIENTE",IF(O40=CURSOS!$D$38,"MANEJO DE RESIDUOS HOSPITALARIOS"))))))))))))))))))))))))))))))))))))</f>
        <v xml:space="preserve">ADMINISTRACION DE MEDICAMENTOS, INYECTOLOGIA  Y CANALIZACION </v>
      </c>
      <c r="V40" s="57" t="str">
        <f t="shared" si="0"/>
        <v>Daniela Valentina Colunge Colunge</v>
      </c>
      <c r="W40" s="57" t="str">
        <f t="shared" si="1"/>
        <v>Daniela Valentina Colunge Colunge</v>
      </c>
      <c r="X40" s="57" t="str">
        <f t="shared" si="2"/>
        <v>Daniela Valentina Colunge Colunge-1085331820-ADMON DE MEDICAMENTOS</v>
      </c>
    </row>
    <row r="41" spans="1:24" s="67" customFormat="1" x14ac:dyDescent="0.2">
      <c r="A41" s="68">
        <v>40</v>
      </c>
      <c r="B41" s="53">
        <v>1085287790</v>
      </c>
      <c r="C41" s="53" t="s">
        <v>225</v>
      </c>
      <c r="D41" s="53" t="s">
        <v>226</v>
      </c>
      <c r="E41" s="53" t="s">
        <v>227</v>
      </c>
      <c r="F41" s="53" t="s">
        <v>228</v>
      </c>
      <c r="G41" s="53">
        <v>11</v>
      </c>
      <c r="H41" s="53" t="s">
        <v>102</v>
      </c>
      <c r="I41" s="56" t="s">
        <v>154</v>
      </c>
      <c r="J41" s="54">
        <v>45637</v>
      </c>
      <c r="K41" s="69">
        <v>56000</v>
      </c>
      <c r="L41" s="53" t="s">
        <v>192</v>
      </c>
      <c r="M41" s="53" t="s">
        <v>105</v>
      </c>
      <c r="N41" s="53" t="s">
        <v>106</v>
      </c>
      <c r="O41" s="53" t="s">
        <v>45</v>
      </c>
      <c r="P41" s="56">
        <v>33325</v>
      </c>
      <c r="Q41" s="53" t="s">
        <v>107</v>
      </c>
      <c r="R41" s="70" t="s">
        <v>116</v>
      </c>
      <c r="S41" s="53">
        <v>3136887465</v>
      </c>
      <c r="T41" s="53" t="s">
        <v>229</v>
      </c>
      <c r="U41" s="57" t="str">
        <f>IF(O41=CURSOS!$D$3,"DIPLOMADO EN ATENCION PRE-HOSPITALARIA",IF(O41=CURSOS!$D$4,"ACOMPAÑAMIENTO Y MANEJO DEL DUELO",IF(O41=CURSOS!$D$5,"ATENCION A VICTIMAS DE ATAQUE CON AGENTES QUIMICOS ",IF(O41=CURSOS!$D$6,"PRIMEROS AUXILIOS ",IF(O41=CURSOS!$D$7,"DIPLOMADO DE UNIDAD DE CUIDADOS INTENSIVOS (UCI)",IF(O41=CURSOS!$D$8,"MODELO DE ATENCION PARA EVENTOS EMERGENTES EN SALUD MENTAL (CODIGO VERDE)",IF(O41=CURSOS!$D$9,"HUMANIZACION EN EL SERVICIO DE LA SALUD Y BUENAS PRACTICAS EN PACIENTE ",IF(O41=CURSOS!$D$10,"CLINICA DE HERIDAS ",IF(O41=CURSOS!$D$11,"TOMA DE CITOLOGIA CERVICO VAGINAL ",IF(O41=CURSOS!$D$12,"SOPORTE CARDIOVASCULAR AVANZADO (ACLS) ",IF(O41=CURSOS!$D$13,"CAMILLERO ",IF(O41=CURSOS!$D$14,"TOMA DE MUESTRAS Y LABORATORIO ",IF(O41=CURSOS!$D$15,"SOPORTE VITAL BASICO (BLS)",IF(O41=CURSOS!$D$16,"ATENCION A VICTIMAS DE VIOLENCIA SEXUAL ",IF(O41=CURSOS!$D$17,"PROGRAMADO AMPLIADO DE INMUNIZACION (PAI - COVID 19)",IF(O41=CURSOS!$D$18,"ATENCION INTEGRAL EN ENFERMEDADES PREVALENTES EN PRIMERA INFANCIA (AIEPI)",IF(O41=CURSOS!$D$19,"ADMINISTRACION DE MEDICAMENTOS, INYECTOLOGIA  Y CANALIZACION ",IF(O41=CURSOS!$D$20,"OPERADOR DE VEHICULOS DE EMERGENCIA (OVE)",IF(O41=CURSOS!$D$21,"INSTITUCIONES AMIGAS DE LA MUJER Y LA INFANCIA (IAMI)",IF(O41=CURSOS!$D$22,"CUIDADO DEL DONANTE DE ORGANOS",IF(O41=CURSOS!$D$23,"ATENCION A VICTIMAS POR VIOLENCIA DE GENERO",IF(O41=CURSOS!$D$24,"IGUALDAD DE GENERO EN LA SALUD",IF(O41=CURSOS!$D$25,"BRIGADA DE EMERGENCIA",IF(O41=CURSOS!$D$26,"MANEJO DEL DOLOR Y CUIDADOS PALIATIVOS",IF(O41=CURSOS!$D$27,"TOMA DE MUESTRAS Y LABORATORIO POCT",IF(O41=CURSOS!$D$28,"IMPLANTE SUBDERMICO DE DISPOSITIVO INTRAUTERINO",IF(O41=CURSOS!$D$29,"SALUD MENTAL",IF(O41=CURSOS!$D$30,"PRIMEROS AUXILIOS PSICOLOGICOS",IF(O41=CURSOS!$D$31,"ATENCION A VICTIMAS POR CONFLICTO ARMADO",IF(O41=CURSOS!$D$32,"MANIPULACION DE ALIMENTOS Y BPM",IF(O41=CURSOS!$D$33,"ATENCION A PERSONAS CON DISCAPACIDAD",IF(O41=CURSOS!$D$34,"CUIDADO INTEGRAL DEL PACIENTE ADULTO",IF(O41=CURSOS!$D$35,"MANEJO DEFENSIVO",IF(O41=CURSOS!$D$36,"SOPORTE CARDIOVASCULAR AVANZADO NEONATAL",IF(O41=CURSOS!$D$37,"SEGURIDAD DEL PACIENTE",IF(O41=CURSOS!$D$38,"MANEJO DE RESIDUOS HOSPITALARIOS"))))))))))))))))))))))))))))))))))))</f>
        <v xml:space="preserve">ADMINISTRACION DE MEDICAMENTOS, INYECTOLOGIA  Y CANALIZACION </v>
      </c>
      <c r="V41" s="57" t="str">
        <f t="shared" si="0"/>
        <v>Yesenia Isabel Dorado Oviedo</v>
      </c>
      <c r="W41" s="57" t="str">
        <f t="shared" si="1"/>
        <v>Yesenia Isabel Dorado Oviedo</v>
      </c>
      <c r="X41" s="57" t="str">
        <f t="shared" si="2"/>
        <v>Yesenia Isabel Dorado Oviedo-1085287790-ADMON DE MEDICAMENTOS</v>
      </c>
    </row>
    <row r="42" spans="1:24" s="67" customFormat="1" x14ac:dyDescent="0.2">
      <c r="A42" s="68">
        <v>41</v>
      </c>
      <c r="B42" s="53">
        <v>1081572038</v>
      </c>
      <c r="C42" s="53" t="s">
        <v>230</v>
      </c>
      <c r="D42" s="53" t="s">
        <v>231</v>
      </c>
      <c r="E42" s="53" t="s">
        <v>221</v>
      </c>
      <c r="F42" s="53" t="s">
        <v>232</v>
      </c>
      <c r="G42" s="53">
        <v>11</v>
      </c>
      <c r="H42" s="53" t="s">
        <v>102</v>
      </c>
      <c r="I42" s="56" t="s">
        <v>154</v>
      </c>
      <c r="J42" s="54" t="s">
        <v>282</v>
      </c>
      <c r="K42" s="69">
        <v>56000</v>
      </c>
      <c r="L42" s="53" t="s">
        <v>283</v>
      </c>
      <c r="M42" s="53" t="s">
        <v>105</v>
      </c>
      <c r="N42" s="53" t="s">
        <v>106</v>
      </c>
      <c r="O42" s="53" t="s">
        <v>45</v>
      </c>
      <c r="P42" s="56">
        <v>38267</v>
      </c>
      <c r="Q42" s="53" t="s">
        <v>107</v>
      </c>
      <c r="R42" s="70" t="s">
        <v>116</v>
      </c>
      <c r="S42" s="53">
        <v>3192299568</v>
      </c>
      <c r="T42" s="53" t="s">
        <v>233</v>
      </c>
      <c r="U42" s="57" t="str">
        <f>IF(O42=CURSOS!$D$3,"DIPLOMADO EN ATENCION PRE-HOSPITALARIA",IF(O42=CURSOS!$D$4,"ACOMPAÑAMIENTO Y MANEJO DEL DUELO",IF(O42=CURSOS!$D$5,"ATENCION A VICTIMAS DE ATAQUE CON AGENTES QUIMICOS ",IF(O42=CURSOS!$D$6,"PRIMEROS AUXILIOS ",IF(O42=CURSOS!$D$7,"DIPLOMADO DE UNIDAD DE CUIDADOS INTENSIVOS (UCI)",IF(O42=CURSOS!$D$8,"MODELO DE ATENCION PARA EVENTOS EMERGENTES EN SALUD MENTAL (CODIGO VERDE)",IF(O42=CURSOS!$D$9,"HUMANIZACION EN EL SERVICIO DE LA SALUD Y BUENAS PRACTICAS EN PACIENTE ",IF(O42=CURSOS!$D$10,"CLINICA DE HERIDAS ",IF(O42=CURSOS!$D$11,"TOMA DE CITOLOGIA CERVICO VAGINAL ",IF(O42=CURSOS!$D$12,"SOPORTE CARDIOVASCULAR AVANZADO (ACLS) ",IF(O42=CURSOS!$D$13,"CAMILLERO ",IF(O42=CURSOS!$D$14,"TOMA DE MUESTRAS Y LABORATORIO ",IF(O42=CURSOS!$D$15,"SOPORTE VITAL BASICO (BLS)",IF(O42=CURSOS!$D$16,"ATENCION A VICTIMAS DE VIOLENCIA SEXUAL ",IF(O42=CURSOS!$D$17,"PROGRAMADO AMPLIADO DE INMUNIZACION (PAI - COVID 19)",IF(O42=CURSOS!$D$18,"ATENCION INTEGRAL EN ENFERMEDADES PREVALENTES EN PRIMERA INFANCIA (AIEPI)",IF(O42=CURSOS!$D$19,"ADMINISTRACION DE MEDICAMENTOS, INYECTOLOGIA  Y CANALIZACION ",IF(O42=CURSOS!$D$20,"OPERADOR DE VEHICULOS DE EMERGENCIA (OVE)",IF(O42=CURSOS!$D$21,"INSTITUCIONES AMIGAS DE LA MUJER Y LA INFANCIA (IAMI)",IF(O42=CURSOS!$D$22,"CUIDADO DEL DONANTE DE ORGANOS",IF(O42=CURSOS!$D$23,"ATENCION A VICTIMAS POR VIOLENCIA DE GENERO",IF(O42=CURSOS!$D$24,"IGUALDAD DE GENERO EN LA SALUD",IF(O42=CURSOS!$D$25,"BRIGADA DE EMERGENCIA",IF(O42=CURSOS!$D$26,"MANEJO DEL DOLOR Y CUIDADOS PALIATIVOS",IF(O42=CURSOS!$D$27,"TOMA DE MUESTRAS Y LABORATORIO POCT",IF(O42=CURSOS!$D$28,"IMPLANTE SUBDERMICO DE DISPOSITIVO INTRAUTERINO",IF(O42=CURSOS!$D$29,"SALUD MENTAL",IF(O42=CURSOS!$D$30,"PRIMEROS AUXILIOS PSICOLOGICOS",IF(O42=CURSOS!$D$31,"ATENCION A VICTIMAS POR CONFLICTO ARMADO",IF(O42=CURSOS!$D$32,"MANIPULACION DE ALIMENTOS Y BPM",IF(O42=CURSOS!$D$33,"ATENCION A PERSONAS CON DISCAPACIDAD",IF(O42=CURSOS!$D$34,"CUIDADO INTEGRAL DEL PACIENTE ADULTO",IF(O42=CURSOS!$D$35,"MANEJO DEFENSIVO",IF(O42=CURSOS!$D$36,"SOPORTE CARDIOVASCULAR AVANZADO NEONATAL",IF(O42=CURSOS!$D$37,"SEGURIDAD DEL PACIENTE",IF(O42=CURSOS!$D$38,"MANEJO DE RESIDUOS HOSPITALARIOS"))))))))))))))))))))))))))))))))))))</f>
        <v xml:space="preserve">ADMINISTRACION DE MEDICAMENTOS, INYECTOLOGIA  Y CANALIZACION </v>
      </c>
      <c r="V42" s="57" t="str">
        <f t="shared" si="0"/>
        <v>Daniela Fernanda Yanguatin Criollo</v>
      </c>
      <c r="W42" s="57" t="str">
        <f t="shared" si="1"/>
        <v>Daniela Fernanda Yanguatin Criollo</v>
      </c>
      <c r="X42" s="57" t="str">
        <f t="shared" si="2"/>
        <v>Daniela Fernanda Yanguatin Criollo-1081572038-ADMON DE MEDICAMENTOS</v>
      </c>
    </row>
    <row r="43" spans="1:24" s="67" customFormat="1" x14ac:dyDescent="0.2">
      <c r="A43" s="68">
        <v>42</v>
      </c>
      <c r="B43" s="53">
        <v>1088733528</v>
      </c>
      <c r="C43" s="53" t="s">
        <v>183</v>
      </c>
      <c r="D43" s="53" t="s">
        <v>234</v>
      </c>
      <c r="E43" s="53" t="s">
        <v>235</v>
      </c>
      <c r="F43" s="53" t="s">
        <v>236</v>
      </c>
      <c r="G43" s="53">
        <v>9</v>
      </c>
      <c r="H43" s="53" t="s">
        <v>102</v>
      </c>
      <c r="I43" s="56" t="s">
        <v>103</v>
      </c>
      <c r="J43" s="54">
        <v>45636</v>
      </c>
      <c r="K43" s="69">
        <v>100000</v>
      </c>
      <c r="L43" s="53" t="s">
        <v>104</v>
      </c>
      <c r="M43" s="53" t="s">
        <v>105</v>
      </c>
      <c r="N43" s="53" t="s">
        <v>132</v>
      </c>
      <c r="O43" s="53" t="s">
        <v>37</v>
      </c>
      <c r="P43" s="56">
        <v>33047</v>
      </c>
      <c r="Q43" s="53" t="s">
        <v>107</v>
      </c>
      <c r="R43" s="70" t="s">
        <v>116</v>
      </c>
      <c r="S43" s="53">
        <v>3226406963</v>
      </c>
      <c r="T43" s="53" t="s">
        <v>237</v>
      </c>
      <c r="U43" s="57" t="str">
        <f>IF(O43=CURSOS!$D$3,"DIPLOMADO EN ATENCION PRE-HOSPITALARIA",IF(O43=CURSOS!$D$4,"ACOMPAÑAMIENTO Y MANEJO DEL DUELO",IF(O43=CURSOS!$D$5,"ATENCION A VICTIMAS DE ATAQUE CON AGENTES QUIMICOS ",IF(O43=CURSOS!$D$6,"PRIMEROS AUXILIOS ",IF(O43=CURSOS!$D$7,"DIPLOMADO DE UNIDAD DE CUIDADOS INTENSIVOS (UCI)",IF(O43=CURSOS!$D$8,"MODELO DE ATENCION PARA EVENTOS EMERGENTES EN SALUD MENTAL (CODIGO VERDE)",IF(O43=CURSOS!$D$9,"HUMANIZACION EN EL SERVICIO DE LA SALUD Y BUENAS PRACTICAS EN PACIENTE ",IF(O43=CURSOS!$D$10,"CLINICA DE HERIDAS ",IF(O43=CURSOS!$D$11,"TOMA DE CITOLOGIA CERVICO VAGINAL ",IF(O43=CURSOS!$D$12,"SOPORTE CARDIOVASCULAR AVANZADO (ACLS) ",IF(O43=CURSOS!$D$13,"CAMILLERO ",IF(O43=CURSOS!$D$14,"TOMA DE MUESTRAS Y LABORATORIO ",IF(O43=CURSOS!$D$15,"SOPORTE VITAL BASICO (BLS)",IF(O43=CURSOS!$D$16,"ATENCION A VICTIMAS DE VIOLENCIA SEXUAL ",IF(O43=CURSOS!$D$17,"PROGRAMADO AMPLIADO DE INMUNIZACION (PAI - COVID 19)",IF(O43=CURSOS!$D$18,"ATENCION INTEGRAL EN ENFERMEDADES PREVALENTES EN PRIMERA INFANCIA (AIEPI)",IF(O43=CURSOS!$D$19,"ADMINISTRACION DE MEDICAMENTOS, INYECTOLOGIA  Y CANALIZACION ",IF(O43=CURSOS!$D$20,"OPERADOR DE VEHICULOS DE EMERGENCIA (OVE)",IF(O43=CURSOS!$D$21,"INSTITUCIONES AMIGAS DE LA MUJER Y LA INFANCIA (IAMI)",IF(O43=CURSOS!$D$22,"CUIDADO DEL DONANTE DE ORGANOS",IF(O43=CURSOS!$D$23,"ATENCION A VICTIMAS POR VIOLENCIA DE GENERO",IF(O43=CURSOS!$D$24,"IGUALDAD DE GENERO EN LA SALUD",IF(O43=CURSOS!$D$25,"BRIGADA DE EMERGENCIA",IF(O43=CURSOS!$D$26,"MANEJO DEL DOLOR Y CUIDADOS PALIATIVOS",IF(O43=CURSOS!$D$27,"TOMA DE MUESTRAS Y LABORATORIO POCT",IF(O43=CURSOS!$D$28,"IMPLANTE SUBDERMICO DE DISPOSITIVO INTRAUTERINO",IF(O43=CURSOS!$D$29,"SALUD MENTAL",IF(O43=CURSOS!$D$30,"PRIMEROS AUXILIOS PSICOLOGICOS",IF(O43=CURSOS!$D$31,"ATENCION A VICTIMAS POR CONFLICTO ARMADO",IF(O43=CURSOS!$D$32,"MANIPULACION DE ALIMENTOS Y BPM",IF(O43=CURSOS!$D$33,"ATENCION A PERSONAS CON DISCAPACIDAD",IF(O43=CURSOS!$D$34,"CUIDADO INTEGRAL DEL PACIENTE ADULTO",IF(O43=CURSOS!$D$35,"MANEJO DEFENSIVO",IF(O43=CURSOS!$D$36,"SOPORTE CARDIOVASCULAR AVANZADO NEONATAL",IF(O43=CURSOS!$D$37,"SEGURIDAD DEL PACIENTE",IF(O43=CURSOS!$D$38,"MANEJO DE RESIDUOS HOSPITALARIOS"))))))))))))))))))))))))))))))))))))</f>
        <v xml:space="preserve">SOPORTE CARDIOVASCULAR AVANZADO (ACLS) </v>
      </c>
      <c r="V43" s="57" t="str">
        <f t="shared" si="0"/>
        <v>Ana Maria Melo Ibarra</v>
      </c>
      <c r="W43" s="57" t="str">
        <f t="shared" si="1"/>
        <v>Ana Maria Melo Ibarra</v>
      </c>
      <c r="X43" s="57" t="str">
        <f t="shared" si="2"/>
        <v>Ana Maria Melo Ibarra-1088733528-ACLS</v>
      </c>
    </row>
    <row r="44" spans="1:24" s="67" customFormat="1" x14ac:dyDescent="0.2">
      <c r="A44" s="68">
        <v>43</v>
      </c>
      <c r="B44" s="53">
        <v>1088733528</v>
      </c>
      <c r="C44" s="53" t="s">
        <v>183</v>
      </c>
      <c r="D44" s="53" t="s">
        <v>234</v>
      </c>
      <c r="E44" s="53" t="s">
        <v>235</v>
      </c>
      <c r="F44" s="53" t="s">
        <v>236</v>
      </c>
      <c r="G44" s="53">
        <v>7</v>
      </c>
      <c r="H44" s="53" t="s">
        <v>102</v>
      </c>
      <c r="I44" s="56" t="s">
        <v>103</v>
      </c>
      <c r="J44" s="54">
        <v>45636</v>
      </c>
      <c r="K44" s="69">
        <v>32000</v>
      </c>
      <c r="L44" s="53" t="s">
        <v>104</v>
      </c>
      <c r="M44" s="53" t="s">
        <v>105</v>
      </c>
      <c r="N44" s="53" t="s">
        <v>132</v>
      </c>
      <c r="O44" s="53" t="s">
        <v>25</v>
      </c>
      <c r="P44" s="56">
        <v>33047</v>
      </c>
      <c r="Q44" s="53" t="s">
        <v>107</v>
      </c>
      <c r="R44" s="70" t="s">
        <v>116</v>
      </c>
      <c r="S44" s="53">
        <v>3226406963</v>
      </c>
      <c r="T44" s="53" t="s">
        <v>237</v>
      </c>
      <c r="U44" s="57" t="str">
        <f>IF(O44=CURSOS!$D$3,"DIPLOMADO EN ATENCION PRE-HOSPITALARIA",IF(O44=CURSOS!$D$4,"ACOMPAÑAMIENTO Y MANEJO DEL DUELO",IF(O44=CURSOS!$D$5,"ATENCION A VICTIMAS DE ATAQUE CON AGENTES QUIMICOS ",IF(O44=CURSOS!$D$6,"PRIMEROS AUXILIOS ",IF(O44=CURSOS!$D$7,"DIPLOMADO DE UNIDAD DE CUIDADOS INTENSIVOS (UCI)",IF(O44=CURSOS!$D$8,"MODELO DE ATENCION PARA EVENTOS EMERGENTES EN SALUD MENTAL (CODIGO VERDE)",IF(O44=CURSOS!$D$9,"HUMANIZACION EN EL SERVICIO DE LA SALUD Y BUENAS PRACTICAS EN PACIENTE ",IF(O44=CURSOS!$D$10,"CLINICA DE HERIDAS ",IF(O44=CURSOS!$D$11,"TOMA DE CITOLOGIA CERVICO VAGINAL ",IF(O44=CURSOS!$D$12,"SOPORTE CARDIOVASCULAR AVANZADO (ACLS) ",IF(O44=CURSOS!$D$13,"CAMILLERO ",IF(O44=CURSOS!$D$14,"TOMA DE MUESTRAS Y LABORATORIO ",IF(O44=CURSOS!$D$15,"SOPORTE VITAL BASICO (BLS)",IF(O44=CURSOS!$D$16,"ATENCION A VICTIMAS DE VIOLENCIA SEXUAL ",IF(O44=CURSOS!$D$17,"PROGRAMADO AMPLIADO DE INMUNIZACION (PAI - COVID 19)",IF(O44=CURSOS!$D$18,"ATENCION INTEGRAL EN ENFERMEDADES PREVALENTES EN PRIMERA INFANCIA (AIEPI)",IF(O44=CURSOS!$D$19,"ADMINISTRACION DE MEDICAMENTOS, INYECTOLOGIA  Y CANALIZACION ",IF(O44=CURSOS!$D$20,"OPERADOR DE VEHICULOS DE EMERGENCIA (OVE)",IF(O44=CURSOS!$D$21,"INSTITUCIONES AMIGAS DE LA MUJER Y LA INFANCIA (IAMI)",IF(O44=CURSOS!$D$22,"CUIDADO DEL DONANTE DE ORGANOS",IF(O44=CURSOS!$D$23,"ATENCION A VICTIMAS POR VIOLENCIA DE GENERO",IF(O44=CURSOS!$D$24,"IGUALDAD DE GENERO EN LA SALUD",IF(O44=CURSOS!$D$25,"BRIGADA DE EMERGENCIA",IF(O44=CURSOS!$D$26,"MANEJO DEL DOLOR Y CUIDADOS PALIATIVOS",IF(O44=CURSOS!$D$27,"TOMA DE MUESTRAS Y LABORATORIO POCT",IF(O44=CURSOS!$D$28,"IMPLANTE SUBDERMICO DE DISPOSITIVO INTRAUTERINO",IF(O44=CURSOS!$D$29,"SALUD MENTAL",IF(O44=CURSOS!$D$30,"PRIMEROS AUXILIOS PSICOLOGICOS",IF(O44=CURSOS!$D$31,"ATENCION A VICTIMAS POR CONFLICTO ARMADO",IF(O44=CURSOS!$D$32,"MANIPULACION DE ALIMENTOS Y BPM",IF(O44=CURSOS!$D$33,"ATENCION A PERSONAS CON DISCAPACIDAD",IF(O44=CURSOS!$D$34,"CUIDADO INTEGRAL DEL PACIENTE ADULTO",IF(O44=CURSOS!$D$35,"MANEJO DEFENSIVO",IF(O44=CURSOS!$D$36,"SOPORTE CARDIOVASCULAR AVANZADO NEONATAL",IF(O44=CURSOS!$D$37,"SEGURIDAD DEL PACIENTE",IF(O44=CURSOS!$D$38,"MANEJO DE RESIDUOS HOSPITALARIOS"))))))))))))))))))))))))))))))))))))</f>
        <v xml:space="preserve">ATENCION A VICTIMAS DE ATAQUE CON AGENTES QUIMICOS </v>
      </c>
      <c r="V44" s="57" t="str">
        <f t="shared" si="0"/>
        <v>Ana Maria Melo Ibarra</v>
      </c>
      <c r="W44" s="57" t="str">
        <f t="shared" si="1"/>
        <v>Ana Maria Melo Ibarra</v>
      </c>
      <c r="X44" s="57" t="str">
        <f t="shared" si="2"/>
        <v>Ana Maria Melo Ibarra-1088733528-QUIMICOS</v>
      </c>
    </row>
    <row r="45" spans="1:24" s="67" customFormat="1" x14ac:dyDescent="0.2">
      <c r="A45" s="68">
        <v>44</v>
      </c>
      <c r="B45" s="53">
        <v>1088733528</v>
      </c>
      <c r="C45" s="53" t="s">
        <v>183</v>
      </c>
      <c r="D45" s="53" t="s">
        <v>234</v>
      </c>
      <c r="E45" s="53" t="s">
        <v>235</v>
      </c>
      <c r="F45" s="53" t="s">
        <v>236</v>
      </c>
      <c r="G45" s="53">
        <v>7</v>
      </c>
      <c r="H45" s="53" t="s">
        <v>102</v>
      </c>
      <c r="I45" s="56" t="s">
        <v>103</v>
      </c>
      <c r="J45" s="54">
        <v>45636</v>
      </c>
      <c r="K45" s="69">
        <v>32000</v>
      </c>
      <c r="L45" s="53" t="s">
        <v>104</v>
      </c>
      <c r="M45" s="53" t="s">
        <v>105</v>
      </c>
      <c r="N45" s="53" t="s">
        <v>132</v>
      </c>
      <c r="O45" s="53" t="s">
        <v>42</v>
      </c>
      <c r="P45" s="56">
        <v>33047</v>
      </c>
      <c r="Q45" s="53" t="s">
        <v>107</v>
      </c>
      <c r="R45" s="70" t="s">
        <v>116</v>
      </c>
      <c r="S45" s="53">
        <v>3226406963</v>
      </c>
      <c r="T45" s="53" t="s">
        <v>237</v>
      </c>
      <c r="U45" s="57" t="str">
        <f>IF(O45=CURSOS!$D$3,"DIPLOMADO EN ATENCION PRE-HOSPITALARIA",IF(O45=CURSOS!$D$4,"ACOMPAÑAMIENTO Y MANEJO DEL DUELO",IF(O45=CURSOS!$D$5,"ATENCION A VICTIMAS DE ATAQUE CON AGENTES QUIMICOS ",IF(O45=CURSOS!$D$6,"PRIMEROS AUXILIOS ",IF(O45=CURSOS!$D$7,"DIPLOMADO DE UNIDAD DE CUIDADOS INTENSIVOS (UCI)",IF(O45=CURSOS!$D$8,"MODELO DE ATENCION PARA EVENTOS EMERGENTES EN SALUD MENTAL (CODIGO VERDE)",IF(O45=CURSOS!$D$9,"HUMANIZACION EN EL SERVICIO DE LA SALUD Y BUENAS PRACTICAS EN PACIENTE ",IF(O45=CURSOS!$D$10,"CLINICA DE HERIDAS ",IF(O45=CURSOS!$D$11,"TOMA DE CITOLOGIA CERVICO VAGINAL ",IF(O45=CURSOS!$D$12,"SOPORTE CARDIOVASCULAR AVANZADO (ACLS) ",IF(O45=CURSOS!$D$13,"CAMILLERO ",IF(O45=CURSOS!$D$14,"TOMA DE MUESTRAS Y LABORATORIO ",IF(O45=CURSOS!$D$15,"SOPORTE VITAL BASICO (BLS)",IF(O45=CURSOS!$D$16,"ATENCION A VICTIMAS DE VIOLENCIA SEXUAL ",IF(O45=CURSOS!$D$17,"PROGRAMADO AMPLIADO DE INMUNIZACION (PAI - COVID 19)",IF(O45=CURSOS!$D$18,"ATENCION INTEGRAL EN ENFERMEDADES PREVALENTES EN PRIMERA INFANCIA (AIEPI)",IF(O45=CURSOS!$D$19,"ADMINISTRACION DE MEDICAMENTOS, INYECTOLOGIA  Y CANALIZACION ",IF(O45=CURSOS!$D$20,"OPERADOR DE VEHICULOS DE EMERGENCIA (OVE)",IF(O45=CURSOS!$D$21,"INSTITUCIONES AMIGAS DE LA MUJER Y LA INFANCIA (IAMI)",IF(O45=CURSOS!$D$22,"CUIDADO DEL DONANTE DE ORGANOS",IF(O45=CURSOS!$D$23,"ATENCION A VICTIMAS POR VIOLENCIA DE GENERO",IF(O45=CURSOS!$D$24,"IGUALDAD DE GENERO EN LA SALUD",IF(O45=CURSOS!$D$25,"BRIGADA DE EMERGENCIA",IF(O45=CURSOS!$D$26,"MANEJO DEL DOLOR Y CUIDADOS PALIATIVOS",IF(O45=CURSOS!$D$27,"TOMA DE MUESTRAS Y LABORATORIO POCT",IF(O45=CURSOS!$D$28,"IMPLANTE SUBDERMICO DE DISPOSITIVO INTRAUTERINO",IF(O45=CURSOS!$D$29,"SALUD MENTAL",IF(O45=CURSOS!$D$30,"PRIMEROS AUXILIOS PSICOLOGICOS",IF(O45=CURSOS!$D$31,"ATENCION A VICTIMAS POR CONFLICTO ARMADO",IF(O45=CURSOS!$D$32,"MANIPULACION DE ALIMENTOS Y BPM",IF(O45=CURSOS!$D$33,"ATENCION A PERSONAS CON DISCAPACIDAD",IF(O45=CURSOS!$D$34,"CUIDADO INTEGRAL DEL PACIENTE ADULTO",IF(O45=CURSOS!$D$35,"MANEJO DEFENSIVO",IF(O45=CURSOS!$D$36,"SOPORTE CARDIOVASCULAR AVANZADO NEONATAL",IF(O45=CURSOS!$D$37,"SEGURIDAD DEL PACIENTE",IF(O45=CURSOS!$D$38,"MANEJO DE RESIDUOS HOSPITALARIOS"))))))))))))))))))))))))))))))))))))</f>
        <v xml:space="preserve">ATENCION A VICTIMAS DE VIOLENCIA SEXUAL </v>
      </c>
      <c r="V45" s="57" t="str">
        <f t="shared" si="0"/>
        <v>Ana Maria Melo Ibarra</v>
      </c>
      <c r="W45" s="57" t="str">
        <f t="shared" si="1"/>
        <v>Ana Maria Melo Ibarra</v>
      </c>
      <c r="X45" s="57" t="str">
        <f t="shared" si="2"/>
        <v>Ana Maria Melo Ibarra-1088733528-VIOLENCIA SEXUAL</v>
      </c>
    </row>
    <row r="46" spans="1:24" s="67" customFormat="1" x14ac:dyDescent="0.2">
      <c r="A46" s="74">
        <v>45</v>
      </c>
      <c r="B46" s="75">
        <v>1085337318</v>
      </c>
      <c r="C46" s="75" t="s">
        <v>238</v>
      </c>
      <c r="D46" s="75" t="s">
        <v>239</v>
      </c>
      <c r="E46" s="75" t="s">
        <v>222</v>
      </c>
      <c r="F46" s="75"/>
      <c r="G46" s="75">
        <v>7</v>
      </c>
      <c r="H46" s="75" t="s">
        <v>102</v>
      </c>
      <c r="I46" s="76" t="s">
        <v>103</v>
      </c>
      <c r="J46" s="77"/>
      <c r="K46" s="72"/>
      <c r="L46" s="75"/>
      <c r="M46" s="75" t="s">
        <v>105</v>
      </c>
      <c r="N46" s="75" t="s">
        <v>180</v>
      </c>
      <c r="O46" s="75" t="s">
        <v>241</v>
      </c>
      <c r="P46" s="76"/>
      <c r="Q46" s="75" t="s">
        <v>107</v>
      </c>
      <c r="R46" s="79" t="s">
        <v>116</v>
      </c>
      <c r="S46" s="75">
        <v>3186909523</v>
      </c>
      <c r="T46" s="75" t="s">
        <v>240</v>
      </c>
      <c r="U46" s="78" t="s">
        <v>241</v>
      </c>
      <c r="V46" s="78" t="str">
        <f t="shared" si="0"/>
        <v>Valentina  Pulido Recalde</v>
      </c>
      <c r="W46" s="78" t="str">
        <f t="shared" si="1"/>
        <v>Valentina  Pulido Recalde</v>
      </c>
      <c r="X46" s="78" t="str">
        <f t="shared" si="2"/>
        <v>Valentina  Pulido Recalde-1085337318-USO Y MANEJO DEL DEA</v>
      </c>
    </row>
    <row r="47" spans="1:24" s="67" customFormat="1" x14ac:dyDescent="0.2">
      <c r="A47" s="74">
        <v>46</v>
      </c>
      <c r="B47" s="75">
        <v>1085337318</v>
      </c>
      <c r="C47" s="75" t="s">
        <v>238</v>
      </c>
      <c r="D47" s="75" t="s">
        <v>239</v>
      </c>
      <c r="E47" s="75" t="s">
        <v>222</v>
      </c>
      <c r="F47" s="75"/>
      <c r="G47" s="75">
        <v>9</v>
      </c>
      <c r="H47" s="75" t="s">
        <v>102</v>
      </c>
      <c r="I47" s="76" t="s">
        <v>103</v>
      </c>
      <c r="J47" s="77"/>
      <c r="K47" s="72"/>
      <c r="L47" s="75"/>
      <c r="M47" s="75" t="s">
        <v>105</v>
      </c>
      <c r="N47" s="75" t="s">
        <v>180</v>
      </c>
      <c r="O47" s="75" t="s">
        <v>42</v>
      </c>
      <c r="P47" s="76"/>
      <c r="Q47" s="75" t="s">
        <v>107</v>
      </c>
      <c r="R47" s="79" t="s">
        <v>116</v>
      </c>
      <c r="S47" s="75">
        <v>3186909523</v>
      </c>
      <c r="T47" s="75" t="s">
        <v>240</v>
      </c>
      <c r="U47" s="78" t="str">
        <f>IF(O47=CURSOS!$D$3,"DIPLOMADO EN ATENCION PRE-HOSPITALARIA",IF(O47=CURSOS!$D$4,"ACOMPAÑAMIENTO Y MANEJO DEL DUELO",IF(O47=CURSOS!$D$5,"ATENCION A VICTIMAS DE ATAQUE CON AGENTES QUIMICOS ",IF(O47=CURSOS!$D$6,"PRIMEROS AUXILIOS ",IF(O47=CURSOS!$D$7,"DIPLOMADO DE UNIDAD DE CUIDADOS INTENSIVOS (UCI)",IF(O47=CURSOS!$D$8,"MODELO DE ATENCION PARA EVENTOS EMERGENTES EN SALUD MENTAL (CODIGO VERDE)",IF(O47=CURSOS!$D$9,"HUMANIZACION EN EL SERVICIO DE LA SALUD Y BUENAS PRACTICAS EN PACIENTE ",IF(O47=CURSOS!$D$10,"CLINICA DE HERIDAS ",IF(O47=CURSOS!$D$11,"TOMA DE CITOLOGIA CERVICO VAGINAL ",IF(O47=CURSOS!$D$12,"SOPORTE CARDIOVASCULAR AVANZADO (ACLS) ",IF(O47=CURSOS!$D$13,"CAMILLERO ",IF(O47=CURSOS!$D$14,"TOMA DE MUESTRAS Y LABORATORIO ",IF(O47=CURSOS!$D$15,"SOPORTE VITAL BASICO (BLS)",IF(O47=CURSOS!$D$16,"ATENCION A VICTIMAS DE VIOLENCIA SEXUAL ",IF(O47=CURSOS!$D$17,"PROGRAMADO AMPLIADO DE INMUNIZACION (PAI - COVID 19)",IF(O47=CURSOS!$D$18,"ATENCION INTEGRAL EN ENFERMEDADES PREVALENTES EN PRIMERA INFANCIA (AIEPI)",IF(O47=CURSOS!$D$19,"ADMINISTRACION DE MEDICAMENTOS, INYECTOLOGIA  Y CANALIZACION ",IF(O47=CURSOS!$D$20,"OPERADOR DE VEHICULOS DE EMERGENCIA (OVE)",IF(O47=CURSOS!$D$21,"INSTITUCIONES AMIGAS DE LA MUJER Y LA INFANCIA (IAMI)",IF(O47=CURSOS!$D$22,"CUIDADO DEL DONANTE DE ORGANOS",IF(O47=CURSOS!$D$23,"ATENCION A VICTIMAS POR VIOLENCIA DE GENERO",IF(O47=CURSOS!$D$24,"IGUALDAD DE GENERO EN LA SALUD",IF(O47=CURSOS!$D$25,"BRIGADA DE EMERGENCIA",IF(O47=CURSOS!$D$26,"MANEJO DEL DOLOR Y CUIDADOS PALIATIVOS",IF(O47=CURSOS!$D$27,"TOMA DE MUESTRAS Y LABORATORIO POCT",IF(O47=CURSOS!$D$28,"IMPLANTE SUBDERMICO DE DISPOSITIVO INTRAUTERINO",IF(O47=CURSOS!$D$29,"SALUD MENTAL",IF(O47=CURSOS!$D$30,"PRIMEROS AUXILIOS PSICOLOGICOS",IF(O47=CURSOS!$D$31,"ATENCION A VICTIMAS POR CONFLICTO ARMADO",IF(O47=CURSOS!$D$32,"MANIPULACION DE ALIMENTOS Y BPM",IF(O47=CURSOS!$D$33,"ATENCION A PERSONAS CON DISCAPACIDAD",IF(O47=CURSOS!$D$34,"CUIDADO INTEGRAL DEL PACIENTE ADULTO",IF(O47=CURSOS!$D$35,"MANEJO DEFENSIVO",IF(O47=CURSOS!$D$36,"SOPORTE CARDIOVASCULAR AVANZADO NEONATAL",IF(O47=CURSOS!$D$37,"SEGURIDAD DEL PACIENTE",IF(O47=CURSOS!$D$38,"MANEJO DE RESIDUOS HOSPITALARIOS"))))))))))))))))))))))))))))))))))))</f>
        <v xml:space="preserve">ATENCION A VICTIMAS DE VIOLENCIA SEXUAL </v>
      </c>
      <c r="V47" s="78" t="str">
        <f t="shared" si="0"/>
        <v>Valentina  Pulido Recalde</v>
      </c>
      <c r="W47" s="78" t="str">
        <f t="shared" si="1"/>
        <v>Valentina  Pulido Recalde</v>
      </c>
      <c r="X47" s="78" t="str">
        <f t="shared" si="2"/>
        <v>Valentina  Pulido Recalde-1085337318-VIOLENCIA SEXUAL</v>
      </c>
    </row>
    <row r="48" spans="1:24" s="67" customFormat="1" x14ac:dyDescent="0.2">
      <c r="A48" s="74">
        <v>47</v>
      </c>
      <c r="B48" s="75">
        <v>1085337318</v>
      </c>
      <c r="C48" s="75" t="s">
        <v>238</v>
      </c>
      <c r="D48" s="75" t="s">
        <v>239</v>
      </c>
      <c r="E48" s="75" t="s">
        <v>222</v>
      </c>
      <c r="F48" s="75"/>
      <c r="G48" s="75">
        <v>9</v>
      </c>
      <c r="H48" s="75" t="s">
        <v>102</v>
      </c>
      <c r="I48" s="76" t="s">
        <v>103</v>
      </c>
      <c r="J48" s="77"/>
      <c r="K48" s="72"/>
      <c r="L48" s="75"/>
      <c r="M48" s="75" t="s">
        <v>105</v>
      </c>
      <c r="N48" s="75" t="s">
        <v>180</v>
      </c>
      <c r="O48" s="75" t="s">
        <v>25</v>
      </c>
      <c r="P48" s="76"/>
      <c r="Q48" s="75" t="s">
        <v>107</v>
      </c>
      <c r="R48" s="79" t="s">
        <v>116</v>
      </c>
      <c r="S48" s="75">
        <v>3186909523</v>
      </c>
      <c r="T48" s="75" t="s">
        <v>240</v>
      </c>
      <c r="U48" s="78" t="str">
        <f>IF(O48=CURSOS!$D$3,"DIPLOMADO EN ATENCION PRE-HOSPITALARIA",IF(O48=CURSOS!$D$4,"ACOMPAÑAMIENTO Y MANEJO DEL DUELO",IF(O48=CURSOS!$D$5,"ATENCION A VICTIMAS DE ATAQUE CON AGENTES QUIMICOS ",IF(O48=CURSOS!$D$6,"PRIMEROS AUXILIOS ",IF(O48=CURSOS!$D$7,"DIPLOMADO DE UNIDAD DE CUIDADOS INTENSIVOS (UCI)",IF(O48=CURSOS!$D$8,"MODELO DE ATENCION PARA EVENTOS EMERGENTES EN SALUD MENTAL (CODIGO VERDE)",IF(O48=CURSOS!$D$9,"HUMANIZACION EN EL SERVICIO DE LA SALUD Y BUENAS PRACTICAS EN PACIENTE ",IF(O48=CURSOS!$D$10,"CLINICA DE HERIDAS ",IF(O48=CURSOS!$D$11,"TOMA DE CITOLOGIA CERVICO VAGINAL ",IF(O48=CURSOS!$D$12,"SOPORTE CARDIOVASCULAR AVANZADO (ACLS) ",IF(O48=CURSOS!$D$13,"CAMILLERO ",IF(O48=CURSOS!$D$14,"TOMA DE MUESTRAS Y LABORATORIO ",IF(O48=CURSOS!$D$15,"SOPORTE VITAL BASICO (BLS)",IF(O48=CURSOS!$D$16,"ATENCION A VICTIMAS DE VIOLENCIA SEXUAL ",IF(O48=CURSOS!$D$17,"PROGRAMADO AMPLIADO DE INMUNIZACION (PAI - COVID 19)",IF(O48=CURSOS!$D$18,"ATENCION INTEGRAL EN ENFERMEDADES PREVALENTES EN PRIMERA INFANCIA (AIEPI)",IF(O48=CURSOS!$D$19,"ADMINISTRACION DE MEDICAMENTOS, INYECTOLOGIA  Y CANALIZACION ",IF(O48=CURSOS!$D$20,"OPERADOR DE VEHICULOS DE EMERGENCIA (OVE)",IF(O48=CURSOS!$D$21,"INSTITUCIONES AMIGAS DE LA MUJER Y LA INFANCIA (IAMI)",IF(O48=CURSOS!$D$22,"CUIDADO DEL DONANTE DE ORGANOS",IF(O48=CURSOS!$D$23,"ATENCION A VICTIMAS POR VIOLENCIA DE GENERO",IF(O48=CURSOS!$D$24,"IGUALDAD DE GENERO EN LA SALUD",IF(O48=CURSOS!$D$25,"BRIGADA DE EMERGENCIA",IF(O48=CURSOS!$D$26,"MANEJO DEL DOLOR Y CUIDADOS PALIATIVOS",IF(O48=CURSOS!$D$27,"TOMA DE MUESTRAS Y LABORATORIO POCT",IF(O48=CURSOS!$D$28,"IMPLANTE SUBDERMICO DE DISPOSITIVO INTRAUTERINO",IF(O48=CURSOS!$D$29,"SALUD MENTAL",IF(O48=CURSOS!$D$30,"PRIMEROS AUXILIOS PSICOLOGICOS",IF(O48=CURSOS!$D$31,"ATENCION A VICTIMAS POR CONFLICTO ARMADO",IF(O48=CURSOS!$D$32,"MANIPULACION DE ALIMENTOS Y BPM",IF(O48=CURSOS!$D$33,"ATENCION A PERSONAS CON DISCAPACIDAD",IF(O48=CURSOS!$D$34,"CUIDADO INTEGRAL DEL PACIENTE ADULTO",IF(O48=CURSOS!$D$35,"MANEJO DEFENSIVO",IF(O48=CURSOS!$D$36,"SOPORTE CARDIOVASCULAR AVANZADO NEONATAL",IF(O48=CURSOS!$D$37,"SEGURIDAD DEL PACIENTE",IF(O48=CURSOS!$D$38,"MANEJO DE RESIDUOS HOSPITALARIOS"))))))))))))))))))))))))))))))))))))</f>
        <v xml:space="preserve">ATENCION A VICTIMAS DE ATAQUE CON AGENTES QUIMICOS </v>
      </c>
      <c r="V48" s="78" t="str">
        <f t="shared" si="0"/>
        <v>Valentina  Pulido Recalde</v>
      </c>
      <c r="W48" s="78" t="str">
        <f t="shared" si="1"/>
        <v>Valentina  Pulido Recalde</v>
      </c>
      <c r="X48" s="78" t="str">
        <f t="shared" si="2"/>
        <v>Valentina  Pulido Recalde-1085337318-QUIMICOS</v>
      </c>
    </row>
    <row r="49" spans="1:24" s="67" customFormat="1" x14ac:dyDescent="0.2">
      <c r="A49" s="68">
        <v>48</v>
      </c>
      <c r="B49" s="53">
        <v>1004535548</v>
      </c>
      <c r="C49" s="53" t="s">
        <v>243</v>
      </c>
      <c r="D49" s="53" t="s">
        <v>244</v>
      </c>
      <c r="E49" s="53" t="s">
        <v>236</v>
      </c>
      <c r="F49" s="53" t="s">
        <v>245</v>
      </c>
      <c r="G49" s="53">
        <v>11</v>
      </c>
      <c r="H49" s="53" t="s">
        <v>102</v>
      </c>
      <c r="I49" s="56" t="s">
        <v>154</v>
      </c>
      <c r="J49" s="54" t="s">
        <v>282</v>
      </c>
      <c r="K49" s="69">
        <v>56000</v>
      </c>
      <c r="L49" s="53" t="s">
        <v>284</v>
      </c>
      <c r="M49" s="53" t="s">
        <v>105</v>
      </c>
      <c r="N49" s="53" t="s">
        <v>106</v>
      </c>
      <c r="O49" s="53" t="s">
        <v>45</v>
      </c>
      <c r="P49" s="56">
        <v>36585</v>
      </c>
      <c r="Q49" s="53" t="s">
        <v>107</v>
      </c>
      <c r="R49" s="79" t="s">
        <v>116</v>
      </c>
      <c r="S49" s="53">
        <v>3125088183</v>
      </c>
      <c r="T49" s="53" t="s">
        <v>246</v>
      </c>
      <c r="U49" s="57" t="str">
        <f>IF(O49=CURSOS!$D$3,"DIPLOMADO EN ATENCION PRE-HOSPITALARIA",IF(O49=CURSOS!$D$4,"ACOMPAÑAMIENTO Y MANEJO DEL DUELO",IF(O49=CURSOS!$D$5,"ATENCION A VICTIMAS DE ATAQUE CON AGENTES QUIMICOS ",IF(O49=CURSOS!$D$6,"PRIMEROS AUXILIOS ",IF(O49=CURSOS!$D$7,"DIPLOMADO DE UNIDAD DE CUIDADOS INTENSIVOS (UCI)",IF(O49=CURSOS!$D$8,"MODELO DE ATENCION PARA EVENTOS EMERGENTES EN SALUD MENTAL (CODIGO VERDE)",IF(O49=CURSOS!$D$9,"HUMANIZACION EN EL SERVICIO DE LA SALUD Y BUENAS PRACTICAS EN PACIENTE ",IF(O49=CURSOS!$D$10,"CLINICA DE HERIDAS ",IF(O49=CURSOS!$D$11,"TOMA DE CITOLOGIA CERVICO VAGINAL ",IF(O49=CURSOS!$D$12,"SOPORTE CARDIOVASCULAR AVANZADO (ACLS) ",IF(O49=CURSOS!$D$13,"CAMILLERO ",IF(O49=CURSOS!$D$14,"TOMA DE MUESTRAS Y LABORATORIO ",IF(O49=CURSOS!$D$15,"SOPORTE VITAL BASICO (BLS)",IF(O49=CURSOS!$D$16,"ATENCION A VICTIMAS DE VIOLENCIA SEXUAL ",IF(O49=CURSOS!$D$17,"PROGRAMADO AMPLIADO DE INMUNIZACION (PAI - COVID 19)",IF(O49=CURSOS!$D$18,"ATENCION INTEGRAL EN ENFERMEDADES PREVALENTES EN PRIMERA INFANCIA (AIEPI)",IF(O49=CURSOS!$D$19,"ADMINISTRACION DE MEDICAMENTOS, INYECTOLOGIA  Y CANALIZACION ",IF(O49=CURSOS!$D$20,"OPERADOR DE VEHICULOS DE EMERGENCIA (OVE)",IF(O49=CURSOS!$D$21,"INSTITUCIONES AMIGAS DE LA MUJER Y LA INFANCIA (IAMI)",IF(O49=CURSOS!$D$22,"CUIDADO DEL DONANTE DE ORGANOS",IF(O49=CURSOS!$D$23,"ATENCION A VICTIMAS POR VIOLENCIA DE GENERO",IF(O49=CURSOS!$D$24,"IGUALDAD DE GENERO EN LA SALUD",IF(O49=CURSOS!$D$25,"BRIGADA DE EMERGENCIA",IF(O49=CURSOS!$D$26,"MANEJO DEL DOLOR Y CUIDADOS PALIATIVOS",IF(O49=CURSOS!$D$27,"TOMA DE MUESTRAS Y LABORATORIO POCT",IF(O49=CURSOS!$D$28,"IMPLANTE SUBDERMICO DE DISPOSITIVO INTRAUTERINO",IF(O49=CURSOS!$D$29,"SALUD MENTAL",IF(O49=CURSOS!$D$30,"PRIMEROS AUXILIOS PSICOLOGICOS",IF(O49=CURSOS!$D$31,"ATENCION A VICTIMAS POR CONFLICTO ARMADO",IF(O49=CURSOS!$D$32,"MANIPULACION DE ALIMENTOS Y BPM",IF(O49=CURSOS!$D$33,"ATENCION A PERSONAS CON DISCAPACIDAD",IF(O49=CURSOS!$D$34,"CUIDADO INTEGRAL DEL PACIENTE ADULTO",IF(O49=CURSOS!$D$35,"MANEJO DEFENSIVO",IF(O49=CURSOS!$D$36,"SOPORTE CARDIOVASCULAR AVANZADO NEONATAL",IF(O49=CURSOS!$D$37,"SEGURIDAD DEL PACIENTE",IF(O49=CURSOS!$D$38,"MANEJO DE RESIDUOS HOSPITALARIOS"))))))))))))))))))))))))))))))))))))</f>
        <v xml:space="preserve">ADMINISTRACION DE MEDICAMENTOS, INYECTOLOGIA  Y CANALIZACION </v>
      </c>
      <c r="V49" s="57" t="str">
        <f t="shared" si="0"/>
        <v>Maria Del carmen Ricaurte Estrada</v>
      </c>
      <c r="W49" s="57" t="str">
        <f t="shared" si="1"/>
        <v>Maria Del Carmen Ricaurte Estrada</v>
      </c>
      <c r="X49" s="57" t="str">
        <f t="shared" si="2"/>
        <v>Maria Del carmen Ricaurte Estrada-1004535548-ADMON DE MEDICAMENTOS</v>
      </c>
    </row>
    <row r="50" spans="1:24" s="67" customFormat="1" x14ac:dyDescent="0.2">
      <c r="A50" s="80">
        <v>49</v>
      </c>
      <c r="B50" s="81">
        <v>1087419091</v>
      </c>
      <c r="C50" s="81" t="s">
        <v>206</v>
      </c>
      <c r="D50" s="81" t="s">
        <v>247</v>
      </c>
      <c r="E50" s="81" t="s">
        <v>248</v>
      </c>
      <c r="F50" s="81" t="s">
        <v>249</v>
      </c>
      <c r="G50" s="81">
        <v>11</v>
      </c>
      <c r="H50" s="81" t="s">
        <v>102</v>
      </c>
      <c r="I50" s="82" t="s">
        <v>154</v>
      </c>
      <c r="J50" s="83"/>
      <c r="K50" s="84"/>
      <c r="L50" s="81"/>
      <c r="M50" s="81" t="s">
        <v>105</v>
      </c>
      <c r="N50" s="81" t="s">
        <v>106</v>
      </c>
      <c r="O50" s="81" t="s">
        <v>45</v>
      </c>
      <c r="P50" s="82">
        <v>34092</v>
      </c>
      <c r="Q50" s="81" t="s">
        <v>107</v>
      </c>
      <c r="R50" s="53" t="s">
        <v>116</v>
      </c>
      <c r="S50" s="81">
        <v>3157550576</v>
      </c>
      <c r="T50" s="81" t="s">
        <v>250</v>
      </c>
      <c r="U50" s="57" t="str">
        <f>IF(O50=CURSOS!$D$3,"DIPLOMADO EN ATENCION PRE-HOSPITALARIA",IF(O50=CURSOS!$D$4,"ACOMPAÑAMIENTO Y MANEJO DEL DUELO",IF(O50=CURSOS!$D$5,"ATENCION A VICTIMAS DE ATAQUE CON AGENTES QUIMICOS ",IF(O50=CURSOS!$D$6,"PRIMEROS AUXILIOS ",IF(O50=CURSOS!$D$7,"DIPLOMADO DE UNIDAD DE CUIDADOS INTENSIVOS (UCI)",IF(O50=CURSOS!$D$8,"MODELO DE ATENCION PARA EVENTOS EMERGENTES EN SALUD MENTAL (CODIGO VERDE)",IF(O50=CURSOS!$D$9,"HUMANIZACION EN EL SERVICIO DE LA SALUD Y BUENAS PRACTICAS EN PACIENTE ",IF(O50=CURSOS!$D$10,"CLINICA DE HERIDAS ",IF(O50=CURSOS!$D$11,"TOMA DE CITOLOGIA CERVICO VAGINAL ",IF(O50=CURSOS!$D$12,"SOPORTE CARDIOVASCULAR AVANZADO (ACLS) ",IF(O50=CURSOS!$D$13,"CAMILLERO ",IF(O50=CURSOS!$D$14,"TOMA DE MUESTRAS Y LABORATORIO ",IF(O50=CURSOS!$D$15,"SOPORTE VITAL BASICO (BLS)",IF(O50=CURSOS!$D$16,"ATENCION A VICTIMAS DE VIOLENCIA SEXUAL ",IF(O50=CURSOS!$D$17,"PROGRAMADO AMPLIADO DE INMUNIZACION (PAI - COVID 19)",IF(O50=CURSOS!$D$18,"ATENCION INTEGRAL EN ENFERMEDADES PREVALENTES EN PRIMERA INFANCIA (AIEPI)",IF(O50=CURSOS!$D$19,"ADMINISTRACION DE MEDICAMENTOS, INYECTOLOGIA  Y CANALIZACION ",IF(O50=CURSOS!$D$20,"OPERADOR DE VEHICULOS DE EMERGENCIA (OVE)",IF(O50=CURSOS!$D$21,"INSTITUCIONES AMIGAS DE LA MUJER Y LA INFANCIA (IAMI)",IF(O50=CURSOS!$D$22,"CUIDADO DEL DONANTE DE ORGANOS",IF(O50=CURSOS!$D$23,"ATENCION A VICTIMAS POR VIOLENCIA DE GENERO",IF(O50=CURSOS!$D$24,"IGUALDAD DE GENERO EN LA SALUD",IF(O50=CURSOS!$D$25,"BRIGADA DE EMERGENCIA",IF(O50=CURSOS!$D$26,"MANEJO DEL DOLOR Y CUIDADOS PALIATIVOS",IF(O50=CURSOS!$D$27,"TOMA DE MUESTRAS Y LABORATORIO POCT",IF(O50=CURSOS!$D$28,"IMPLANTE SUBDERMICO DE DISPOSITIVO INTRAUTERINO",IF(O50=CURSOS!$D$29,"SALUD MENTAL",IF(O50=CURSOS!$D$30,"PRIMEROS AUXILIOS PSICOLOGICOS",IF(O50=CURSOS!$D$31,"ATENCION A VICTIMAS POR CONFLICTO ARMADO",IF(O50=CURSOS!$D$32,"MANIPULACION DE ALIMENTOS Y BPM",IF(O50=CURSOS!$D$33,"ATENCION A PERSONAS CON DISCAPACIDAD",IF(O50=CURSOS!$D$34,"CUIDADO INTEGRAL DEL PACIENTE ADULTO",IF(O50=CURSOS!$D$35,"MANEJO DEFENSIVO",IF(O50=CURSOS!$D$36,"SOPORTE CARDIOVASCULAR AVANZADO NEONATAL",IF(O50=CURSOS!$D$37,"SEGURIDAD DEL PACIENTE",IF(O50=CURSOS!$D$38,"MANEJO DE RESIDUOS HOSPITALARIOS"))))))))))))))))))))))))))))))))))))</f>
        <v xml:space="preserve">ADMINISTRACION DE MEDICAMENTOS, INYECTOLOGIA  Y CANALIZACION </v>
      </c>
      <c r="V50" s="57" t="str">
        <f t="shared" si="0"/>
        <v>Monica Yolanda Ramirez Camues</v>
      </c>
      <c r="W50" s="57" t="str">
        <f t="shared" si="1"/>
        <v>Monica Yolanda Ramirez Camues</v>
      </c>
      <c r="X50" s="57" t="str">
        <f t="shared" si="2"/>
        <v>Monica Yolanda Ramirez Camues-1087419091-ADMON DE MEDICAMENTOS</v>
      </c>
    </row>
    <row r="51" spans="1:24" s="67" customFormat="1" x14ac:dyDescent="0.2">
      <c r="A51" s="68">
        <v>50</v>
      </c>
      <c r="B51" s="53">
        <v>1114829052</v>
      </c>
      <c r="C51" s="53" t="s">
        <v>150</v>
      </c>
      <c r="D51" s="53" t="s">
        <v>151</v>
      </c>
      <c r="E51" s="53" t="s">
        <v>152</v>
      </c>
      <c r="F51" s="53" t="s">
        <v>153</v>
      </c>
      <c r="G51" s="53">
        <v>6</v>
      </c>
      <c r="H51" s="53" t="s">
        <v>102</v>
      </c>
      <c r="I51" s="56" t="s">
        <v>154</v>
      </c>
      <c r="J51" s="54">
        <v>45624</v>
      </c>
      <c r="K51" s="69">
        <v>56000</v>
      </c>
      <c r="L51" s="53" t="s">
        <v>114</v>
      </c>
      <c r="M51" s="53" t="s">
        <v>105</v>
      </c>
      <c r="N51" s="53" t="s">
        <v>106</v>
      </c>
      <c r="O51" s="53" t="s">
        <v>25</v>
      </c>
      <c r="P51" s="56">
        <v>34026</v>
      </c>
      <c r="Q51" s="53" t="s">
        <v>107</v>
      </c>
      <c r="R51" s="70" t="s">
        <v>155</v>
      </c>
      <c r="S51" s="70">
        <v>3104619423</v>
      </c>
      <c r="T51" s="70" t="s">
        <v>156</v>
      </c>
      <c r="U51" s="57" t="str">
        <f>IF(O51=CURSOS!$D$3,"DIPLOMADO EN ATENCION PRE-HOSPITALARIA",IF(O51=CURSOS!$D$4,"ACOMPAÑAMIENTO Y MANEJO DEL DUELO",IF(O51=CURSOS!$D$5,"ATENCION A VICTIMAS DE ATAQUE CON AGENTES QUIMICOS ",IF(O51=CURSOS!$D$6,"PRIMEROS AUXILIOS ",IF(O51=CURSOS!$D$7,"DIPLOMADO DE UNIDAD DE CUIDADOS INTENSIVOS (UCI)",IF(O51=CURSOS!$D$8,"MODELO DE ATENCION PARA EVENTOS EMERGENTES EN SALUD MENTAL (CODIGO VERDE)",IF(O51=CURSOS!$D$9,"HUMANIZACION EN EL SERVICIO DE LA SALUD Y BUENAS PRACTICAS EN PACIENTE ",IF(O51=CURSOS!$D$10,"CLINICA DE HERIDAS ",IF(O51=CURSOS!$D$11,"TOMA DE CITOLOGIA CERVICO VAGINAL ",IF(O51=CURSOS!$D$12,"SOPORTE CARDIOVASCULAR AVANZADO (ACLS) ",IF(O51=CURSOS!$D$13,"CAMILLERO ",IF(O51=CURSOS!$D$14,"TOMA DE MUESTRAS Y LABORATORIO ",IF(O51=CURSOS!$D$15,"SOPORTE VITAL BASICO (BLS)",IF(O51=CURSOS!$D$16,"ATENCION A VICTIMAS DE VIOLENCIA SEXUAL ",IF(O51=CURSOS!$D$17,"PROGRAMADO AMPLIADO DE INMUNIZACION (PAI - COVID 19)",IF(O51=CURSOS!$D$18,"ATENCION INTEGRAL EN ENFERMEDADES PREVALENTES EN PRIMERA INFANCIA (AIEPI)",IF(O51=CURSOS!$D$19,"ADMINISTRACION DE MEDICAMENTOS, INYECTOLOGIA  Y CANALIZACION ",IF(O51=CURSOS!$D$20,"OPERADOR DE VEHICULOS DE EMERGENCIA (OVE)",IF(O51=CURSOS!$D$21,"INSTITUCIONES AMIGAS DE LA MUJER Y LA INFANCIA (IAMI)",IF(O51=CURSOS!$D$22,"CUIDADO DEL DONANTE DE ORGANOS",IF(O51=CURSOS!$D$23,"ATENCION A VICTIMAS POR VIOLENCIA DE GENERO",IF(O51=CURSOS!$D$24,"IGUALDAD DE GENERO EN LA SALUD",IF(O51=CURSOS!$D$25,"BRIGADA DE EMERGENCIA",IF(O51=CURSOS!$D$26,"MANEJO DEL DOLOR Y CUIDADOS PALIATIVOS",IF(O51=CURSOS!$D$27,"TOMA DE MUESTRAS Y LABORATORIO POCT",IF(O51=CURSOS!$D$28,"IMPLANTE SUBDERMICO DE DISPOSITIVO INTRAUTERINO",IF(O51=CURSOS!$D$29,"SALUD MENTAL",IF(O51=CURSOS!$D$30,"PRIMEROS AUXILIOS PSICOLOGICOS",IF(O51=CURSOS!$D$31,"ATENCION A VICTIMAS POR CONFLICTO ARMADO",IF(O51=CURSOS!$D$32,"MANIPULACION DE ALIMENTOS Y BPM",IF(O51=CURSOS!$D$33,"ATENCION A PERSONAS CON DISCAPACIDAD",IF(O51=CURSOS!$D$34,"CUIDADO INTEGRAL DEL PACIENTE ADULTO",IF(O51=CURSOS!$D$35,"MANEJO DEFENSIVO",IF(O51=CURSOS!$D$36,"SOPORTE CARDIOVASCULAR AVANZADO NEONATAL",IF(O51=CURSOS!$D$37,"SEGURIDAD DEL PACIENTE",IF(O51=CURSOS!$D$38,"MANEJO DE RESIDUOS HOSPITALARIOS"))))))))))))))))))))))))))))))))))))</f>
        <v xml:space="preserve">ATENCION A VICTIMAS DE ATAQUE CON AGENTES QUIMICOS </v>
      </c>
      <c r="V51" s="57" t="str">
        <f t="shared" si="0"/>
        <v>Yesid Alexys David Rodriguez</v>
      </c>
      <c r="W51" s="57" t="str">
        <f t="shared" si="1"/>
        <v>Yesid Alexys David Rodriguez</v>
      </c>
      <c r="X51" s="57" t="str">
        <f t="shared" si="2"/>
        <v>Yesid Alexys David Rodriguez-1114829052-QUIMICOS</v>
      </c>
    </row>
    <row r="52" spans="1:24" s="67" customFormat="1" x14ac:dyDescent="0.2">
      <c r="A52" s="68">
        <v>51</v>
      </c>
      <c r="B52" s="53">
        <v>87453231</v>
      </c>
      <c r="C52" s="53" t="s">
        <v>234</v>
      </c>
      <c r="D52" s="53" t="s">
        <v>251</v>
      </c>
      <c r="E52" s="53" t="s">
        <v>252</v>
      </c>
      <c r="F52" s="53" t="s">
        <v>253</v>
      </c>
      <c r="G52" s="53">
        <v>9</v>
      </c>
      <c r="H52" s="53" t="s">
        <v>102</v>
      </c>
      <c r="I52" s="56" t="s">
        <v>103</v>
      </c>
      <c r="J52" s="54">
        <v>45637</v>
      </c>
      <c r="K52" s="69">
        <v>100000</v>
      </c>
      <c r="L52" s="53" t="s">
        <v>104</v>
      </c>
      <c r="M52" s="53" t="s">
        <v>197</v>
      </c>
      <c r="N52" s="53" t="s">
        <v>132</v>
      </c>
      <c r="O52" s="53" t="s">
        <v>37</v>
      </c>
      <c r="P52" s="56">
        <v>26924</v>
      </c>
      <c r="Q52" s="53" t="s">
        <v>139</v>
      </c>
      <c r="R52" s="70" t="s">
        <v>170</v>
      </c>
      <c r="S52" s="53">
        <v>3117951676</v>
      </c>
      <c r="T52" s="53" t="s">
        <v>254</v>
      </c>
      <c r="U52" s="57" t="str">
        <f>IF(O52=CURSOS!$D$3,"DIPLOMADO EN ATENCION PRE-HOSPITALARIA",IF(O52=CURSOS!$D$4,"ACOMPAÑAMIENTO Y MANEJO DEL DUELO",IF(O52=CURSOS!$D$5,"ATENCION A VICTIMAS DE ATAQUE CON AGENTES QUIMICOS ",IF(O52=CURSOS!$D$6,"PRIMEROS AUXILIOS ",IF(O52=CURSOS!$D$7,"DIPLOMADO DE UNIDAD DE CUIDADOS INTENSIVOS (UCI)",IF(O52=CURSOS!$D$8,"MODELO DE ATENCION PARA EVENTOS EMERGENTES EN SALUD MENTAL (CODIGO VERDE)",IF(O52=CURSOS!$D$9,"HUMANIZACION EN EL SERVICIO DE LA SALUD Y BUENAS PRACTICAS EN PACIENTE ",IF(O52=CURSOS!$D$10,"CLINICA DE HERIDAS ",IF(O52=CURSOS!$D$11,"TOMA DE CITOLOGIA CERVICO VAGINAL ",IF(O52=CURSOS!$D$12,"SOPORTE CARDIOVASCULAR AVANZADO (ACLS) ",IF(O52=CURSOS!$D$13,"CAMILLERO ",IF(O52=CURSOS!$D$14,"TOMA DE MUESTRAS Y LABORATORIO ",IF(O52=CURSOS!$D$15,"SOPORTE VITAL BASICO (BLS)",IF(O52=CURSOS!$D$16,"ATENCION A VICTIMAS DE VIOLENCIA SEXUAL ",IF(O52=CURSOS!$D$17,"PROGRAMADO AMPLIADO DE INMUNIZACION (PAI - COVID 19)",IF(O52=CURSOS!$D$18,"ATENCION INTEGRAL EN ENFERMEDADES PREVALENTES EN PRIMERA INFANCIA (AIEPI)",IF(O52=CURSOS!$D$19,"ADMINISTRACION DE MEDICAMENTOS, INYECTOLOGIA  Y CANALIZACION ",IF(O52=CURSOS!$D$20,"OPERADOR DE VEHICULOS DE EMERGENCIA (OVE)",IF(O52=CURSOS!$D$21,"INSTITUCIONES AMIGAS DE LA MUJER Y LA INFANCIA (IAMI)",IF(O52=CURSOS!$D$22,"CUIDADO DEL DONANTE DE ORGANOS",IF(O52=CURSOS!$D$23,"ATENCION A VICTIMAS POR VIOLENCIA DE GENERO",IF(O52=CURSOS!$D$24,"IGUALDAD DE GENERO EN LA SALUD",IF(O52=CURSOS!$D$25,"BRIGADA DE EMERGENCIA",IF(O52=CURSOS!$D$26,"MANEJO DEL DOLOR Y CUIDADOS PALIATIVOS",IF(O52=CURSOS!$D$27,"TOMA DE MUESTRAS Y LABORATORIO POCT",IF(O52=CURSOS!$D$28,"IMPLANTE SUBDERMICO DE DISPOSITIVO INTRAUTERINO",IF(O52=CURSOS!$D$29,"SALUD MENTAL",IF(O52=CURSOS!$D$30,"PRIMEROS AUXILIOS PSICOLOGICOS",IF(O52=CURSOS!$D$31,"ATENCION A VICTIMAS POR CONFLICTO ARMADO",IF(O52=CURSOS!$D$32,"MANIPULACION DE ALIMENTOS Y BPM",IF(O52=CURSOS!$D$33,"ATENCION A PERSONAS CON DISCAPACIDAD",IF(O52=CURSOS!$D$34,"CUIDADO INTEGRAL DEL PACIENTE ADULTO",IF(O52=CURSOS!$D$35,"MANEJO DEFENSIVO",IF(O52=CURSOS!$D$36,"SOPORTE CARDIOVASCULAR AVANZADO NEONATAL",IF(O52=CURSOS!$D$37,"SEGURIDAD DEL PACIENTE",IF(O52=CURSOS!$D$38,"MANEJO DE RESIDUOS HOSPITALARIOS"))))))))))))))))))))))))))))))))))))</f>
        <v xml:space="preserve">SOPORTE CARDIOVASCULAR AVANZADO (ACLS) </v>
      </c>
      <c r="V52" s="57" t="str">
        <f t="shared" si="0"/>
        <v>Omar Laureano Ibarra Obando</v>
      </c>
      <c r="W52" s="57" t="str">
        <f t="shared" si="1"/>
        <v>Omar Laureano Ibarra Obando</v>
      </c>
      <c r="X52" s="57" t="str">
        <f t="shared" si="2"/>
        <v>Omar Laureano Ibarra Obando-87453231-ACLS</v>
      </c>
    </row>
    <row r="53" spans="1:24" s="67" customFormat="1" x14ac:dyDescent="0.2">
      <c r="A53" s="68">
        <v>52</v>
      </c>
      <c r="B53" s="53">
        <v>87453231</v>
      </c>
      <c r="C53" s="53" t="s">
        <v>234</v>
      </c>
      <c r="D53" s="53" t="s">
        <v>251</v>
      </c>
      <c r="E53" s="53" t="s">
        <v>252</v>
      </c>
      <c r="F53" s="53" t="s">
        <v>253</v>
      </c>
      <c r="G53" s="53">
        <v>9</v>
      </c>
      <c r="H53" s="53" t="s">
        <v>102</v>
      </c>
      <c r="I53" s="56" t="s">
        <v>103</v>
      </c>
      <c r="J53" s="54">
        <v>45637</v>
      </c>
      <c r="K53" s="69">
        <v>32000</v>
      </c>
      <c r="L53" s="53" t="s">
        <v>104</v>
      </c>
      <c r="M53" s="53" t="s">
        <v>197</v>
      </c>
      <c r="N53" s="53" t="s">
        <v>132</v>
      </c>
      <c r="O53" s="53" t="s">
        <v>25</v>
      </c>
      <c r="P53" s="56">
        <v>26924</v>
      </c>
      <c r="Q53" s="53" t="s">
        <v>139</v>
      </c>
      <c r="R53" s="70" t="s">
        <v>170</v>
      </c>
      <c r="S53" s="53">
        <v>3117951676</v>
      </c>
      <c r="T53" s="53" t="s">
        <v>254</v>
      </c>
      <c r="U53" s="57" t="str">
        <f>IF(O53=CURSOS!$D$3,"DIPLOMADO EN ATENCION PRE-HOSPITALARIA",IF(O53=CURSOS!$D$4,"ACOMPAÑAMIENTO Y MANEJO DEL DUELO",IF(O53=CURSOS!$D$5,"ATENCION A VICTIMAS DE ATAQUE CON AGENTES QUIMICOS ",IF(O53=CURSOS!$D$6,"PRIMEROS AUXILIOS ",IF(O53=CURSOS!$D$7,"DIPLOMADO DE UNIDAD DE CUIDADOS INTENSIVOS (UCI)",IF(O53=CURSOS!$D$8,"MODELO DE ATENCION PARA EVENTOS EMERGENTES EN SALUD MENTAL (CODIGO VERDE)",IF(O53=CURSOS!$D$9,"HUMANIZACION EN EL SERVICIO DE LA SALUD Y BUENAS PRACTICAS EN PACIENTE ",IF(O53=CURSOS!$D$10,"CLINICA DE HERIDAS ",IF(O53=CURSOS!$D$11,"TOMA DE CITOLOGIA CERVICO VAGINAL ",IF(O53=CURSOS!$D$12,"SOPORTE CARDIOVASCULAR AVANZADO (ACLS) ",IF(O53=CURSOS!$D$13,"CAMILLERO ",IF(O53=CURSOS!$D$14,"TOMA DE MUESTRAS Y LABORATORIO ",IF(O53=CURSOS!$D$15,"SOPORTE VITAL BASICO (BLS)",IF(O53=CURSOS!$D$16,"ATENCION A VICTIMAS DE VIOLENCIA SEXUAL ",IF(O53=CURSOS!$D$17,"PROGRAMADO AMPLIADO DE INMUNIZACION (PAI - COVID 19)",IF(O53=CURSOS!$D$18,"ATENCION INTEGRAL EN ENFERMEDADES PREVALENTES EN PRIMERA INFANCIA (AIEPI)",IF(O53=CURSOS!$D$19,"ADMINISTRACION DE MEDICAMENTOS, INYECTOLOGIA  Y CANALIZACION ",IF(O53=CURSOS!$D$20,"OPERADOR DE VEHICULOS DE EMERGENCIA (OVE)",IF(O53=CURSOS!$D$21,"INSTITUCIONES AMIGAS DE LA MUJER Y LA INFANCIA (IAMI)",IF(O53=CURSOS!$D$22,"CUIDADO DEL DONANTE DE ORGANOS",IF(O53=CURSOS!$D$23,"ATENCION A VICTIMAS POR VIOLENCIA DE GENERO",IF(O53=CURSOS!$D$24,"IGUALDAD DE GENERO EN LA SALUD",IF(O53=CURSOS!$D$25,"BRIGADA DE EMERGENCIA",IF(O53=CURSOS!$D$26,"MANEJO DEL DOLOR Y CUIDADOS PALIATIVOS",IF(O53=CURSOS!$D$27,"TOMA DE MUESTRAS Y LABORATORIO POCT",IF(O53=CURSOS!$D$28,"IMPLANTE SUBDERMICO DE DISPOSITIVO INTRAUTERINO",IF(O53=CURSOS!$D$29,"SALUD MENTAL",IF(O53=CURSOS!$D$30,"PRIMEROS AUXILIOS PSICOLOGICOS",IF(O53=CURSOS!$D$31,"ATENCION A VICTIMAS POR CONFLICTO ARMADO",IF(O53=CURSOS!$D$32,"MANIPULACION DE ALIMENTOS Y BPM",IF(O53=CURSOS!$D$33,"ATENCION A PERSONAS CON DISCAPACIDAD",IF(O53=CURSOS!$D$34,"CUIDADO INTEGRAL DEL PACIENTE ADULTO",IF(O53=CURSOS!$D$35,"MANEJO DEFENSIVO",IF(O53=CURSOS!$D$36,"SOPORTE CARDIOVASCULAR AVANZADO NEONATAL",IF(O53=CURSOS!$D$37,"SEGURIDAD DEL PACIENTE",IF(O53=CURSOS!$D$38,"MANEJO DE RESIDUOS HOSPITALARIOS"))))))))))))))))))))))))))))))))))))</f>
        <v xml:space="preserve">ATENCION A VICTIMAS DE ATAQUE CON AGENTES QUIMICOS </v>
      </c>
      <c r="V53" s="57" t="str">
        <f t="shared" si="0"/>
        <v>Omar Laureano Ibarra Obando</v>
      </c>
      <c r="W53" s="57" t="str">
        <f t="shared" si="1"/>
        <v>Omar Laureano Ibarra Obando</v>
      </c>
      <c r="X53" s="57" t="str">
        <f t="shared" si="2"/>
        <v>Omar Laureano Ibarra Obando-87453231-QUIMICOS</v>
      </c>
    </row>
    <row r="54" spans="1:24" s="67" customFormat="1" x14ac:dyDescent="0.2">
      <c r="A54" s="68">
        <v>53</v>
      </c>
      <c r="B54" s="53">
        <v>87453231</v>
      </c>
      <c r="C54" s="53" t="s">
        <v>234</v>
      </c>
      <c r="D54" s="53" t="s">
        <v>251</v>
      </c>
      <c r="E54" s="53" t="s">
        <v>252</v>
      </c>
      <c r="F54" s="53" t="s">
        <v>253</v>
      </c>
      <c r="G54" s="53">
        <v>9</v>
      </c>
      <c r="H54" s="53" t="s">
        <v>102</v>
      </c>
      <c r="I54" s="56" t="s">
        <v>103</v>
      </c>
      <c r="J54" s="54">
        <v>45637</v>
      </c>
      <c r="K54" s="69">
        <v>32000</v>
      </c>
      <c r="L54" s="53" t="s">
        <v>104</v>
      </c>
      <c r="M54" s="53" t="s">
        <v>197</v>
      </c>
      <c r="N54" s="53" t="s">
        <v>132</v>
      </c>
      <c r="O54" s="53" t="s">
        <v>42</v>
      </c>
      <c r="P54" s="56">
        <v>26924</v>
      </c>
      <c r="Q54" s="53" t="s">
        <v>139</v>
      </c>
      <c r="R54" s="70" t="s">
        <v>170</v>
      </c>
      <c r="S54" s="53">
        <v>3117951676</v>
      </c>
      <c r="T54" s="53" t="s">
        <v>254</v>
      </c>
      <c r="U54" s="57" t="str">
        <f>IF(O54=CURSOS!$D$3,"DIPLOMADO EN ATENCION PRE-HOSPITALARIA",IF(O54=CURSOS!$D$4,"ACOMPAÑAMIENTO Y MANEJO DEL DUELO",IF(O54=CURSOS!$D$5,"ATENCION A VICTIMAS DE ATAQUE CON AGENTES QUIMICOS ",IF(O54=CURSOS!$D$6,"PRIMEROS AUXILIOS ",IF(O54=CURSOS!$D$7,"DIPLOMADO DE UNIDAD DE CUIDADOS INTENSIVOS (UCI)",IF(O54=CURSOS!$D$8,"MODELO DE ATENCION PARA EVENTOS EMERGENTES EN SALUD MENTAL (CODIGO VERDE)",IF(O54=CURSOS!$D$9,"HUMANIZACION EN EL SERVICIO DE LA SALUD Y BUENAS PRACTICAS EN PACIENTE ",IF(O54=CURSOS!$D$10,"CLINICA DE HERIDAS ",IF(O54=CURSOS!$D$11,"TOMA DE CITOLOGIA CERVICO VAGINAL ",IF(O54=CURSOS!$D$12,"SOPORTE CARDIOVASCULAR AVANZADO (ACLS) ",IF(O54=CURSOS!$D$13,"CAMILLERO ",IF(O54=CURSOS!$D$14,"TOMA DE MUESTRAS Y LABORATORIO ",IF(O54=CURSOS!$D$15,"SOPORTE VITAL BASICO (BLS)",IF(O54=CURSOS!$D$16,"ATENCION A VICTIMAS DE VIOLENCIA SEXUAL ",IF(O54=CURSOS!$D$17,"PROGRAMADO AMPLIADO DE INMUNIZACION (PAI - COVID 19)",IF(O54=CURSOS!$D$18,"ATENCION INTEGRAL EN ENFERMEDADES PREVALENTES EN PRIMERA INFANCIA (AIEPI)",IF(O54=CURSOS!$D$19,"ADMINISTRACION DE MEDICAMENTOS, INYECTOLOGIA  Y CANALIZACION ",IF(O54=CURSOS!$D$20,"OPERADOR DE VEHICULOS DE EMERGENCIA (OVE)",IF(O54=CURSOS!$D$21,"INSTITUCIONES AMIGAS DE LA MUJER Y LA INFANCIA (IAMI)",IF(O54=CURSOS!$D$22,"CUIDADO DEL DONANTE DE ORGANOS",IF(O54=CURSOS!$D$23,"ATENCION A VICTIMAS POR VIOLENCIA DE GENERO",IF(O54=CURSOS!$D$24,"IGUALDAD DE GENERO EN LA SALUD",IF(O54=CURSOS!$D$25,"BRIGADA DE EMERGENCIA",IF(O54=CURSOS!$D$26,"MANEJO DEL DOLOR Y CUIDADOS PALIATIVOS",IF(O54=CURSOS!$D$27,"TOMA DE MUESTRAS Y LABORATORIO POCT",IF(O54=CURSOS!$D$28,"IMPLANTE SUBDERMICO DE DISPOSITIVO INTRAUTERINO",IF(O54=CURSOS!$D$29,"SALUD MENTAL",IF(O54=CURSOS!$D$30,"PRIMEROS AUXILIOS PSICOLOGICOS",IF(O54=CURSOS!$D$31,"ATENCION A VICTIMAS POR CONFLICTO ARMADO",IF(O54=CURSOS!$D$32,"MANIPULACION DE ALIMENTOS Y BPM",IF(O54=CURSOS!$D$33,"ATENCION A PERSONAS CON DISCAPACIDAD",IF(O54=CURSOS!$D$34,"CUIDADO INTEGRAL DEL PACIENTE ADULTO",IF(O54=CURSOS!$D$35,"MANEJO DEFENSIVO",IF(O54=CURSOS!$D$36,"SOPORTE CARDIOVASCULAR AVANZADO NEONATAL",IF(O54=CURSOS!$D$37,"SEGURIDAD DEL PACIENTE",IF(O54=CURSOS!$D$38,"MANEJO DE RESIDUOS HOSPITALARIOS"))))))))))))))))))))))))))))))))))))</f>
        <v xml:space="preserve">ATENCION A VICTIMAS DE VIOLENCIA SEXUAL </v>
      </c>
      <c r="V54" s="57" t="str">
        <f t="shared" si="0"/>
        <v>Omar Laureano Ibarra Obando</v>
      </c>
      <c r="W54" s="57" t="str">
        <f t="shared" si="1"/>
        <v>Omar Laureano Ibarra Obando</v>
      </c>
      <c r="X54" s="57" t="str">
        <f t="shared" si="2"/>
        <v>Omar Laureano Ibarra Obando-87453231-VIOLENCIA SEXUAL</v>
      </c>
    </row>
    <row r="55" spans="1:24" s="67" customFormat="1" x14ac:dyDescent="0.2">
      <c r="A55" s="68">
        <v>54</v>
      </c>
      <c r="B55" s="53">
        <v>87453231</v>
      </c>
      <c r="C55" s="53" t="s">
        <v>234</v>
      </c>
      <c r="D55" s="53" t="s">
        <v>251</v>
      </c>
      <c r="E55" s="53" t="s">
        <v>252</v>
      </c>
      <c r="F55" s="53" t="s">
        <v>253</v>
      </c>
      <c r="G55" s="53">
        <v>9</v>
      </c>
      <c r="H55" s="53" t="s">
        <v>102</v>
      </c>
      <c r="I55" s="56" t="s">
        <v>103</v>
      </c>
      <c r="J55" s="54">
        <v>45637</v>
      </c>
      <c r="K55" s="69">
        <v>32000</v>
      </c>
      <c r="L55" s="53" t="s">
        <v>104</v>
      </c>
      <c r="M55" s="53" t="s">
        <v>197</v>
      </c>
      <c r="N55" s="53" t="s">
        <v>132</v>
      </c>
      <c r="O55" s="53" t="s">
        <v>23</v>
      </c>
      <c r="P55" s="56">
        <v>26924</v>
      </c>
      <c r="Q55" s="53" t="s">
        <v>139</v>
      </c>
      <c r="R55" s="70" t="s">
        <v>170</v>
      </c>
      <c r="S55" s="53">
        <v>3117951676</v>
      </c>
      <c r="T55" s="53" t="s">
        <v>254</v>
      </c>
      <c r="U55" s="57" t="str">
        <f>IF(O55=CURSOS!$D$3,"DIPLOMADO EN ATENCION PRE-HOSPITALARIA",IF(O55=CURSOS!$D$4,"ACOMPAÑAMIENTO Y MANEJO DEL DUELO",IF(O55=CURSOS!$D$5,"ATENCION A VICTIMAS DE ATAQUE CON AGENTES QUIMICOS ",IF(O55=CURSOS!$D$6,"PRIMEROS AUXILIOS ",IF(O55=CURSOS!$D$7,"DIPLOMADO DE UNIDAD DE CUIDADOS INTENSIVOS (UCI)",IF(O55=CURSOS!$D$8,"MODELO DE ATENCION PARA EVENTOS EMERGENTES EN SALUD MENTAL (CODIGO VERDE)",IF(O55=CURSOS!$D$9,"HUMANIZACION EN EL SERVICIO DE LA SALUD Y BUENAS PRACTICAS EN PACIENTE ",IF(O55=CURSOS!$D$10,"CLINICA DE HERIDAS ",IF(O55=CURSOS!$D$11,"TOMA DE CITOLOGIA CERVICO VAGINAL ",IF(O55=CURSOS!$D$12,"SOPORTE CARDIOVASCULAR AVANZADO (ACLS) ",IF(O55=CURSOS!$D$13,"CAMILLERO ",IF(O55=CURSOS!$D$14,"TOMA DE MUESTRAS Y LABORATORIO ",IF(O55=CURSOS!$D$15,"SOPORTE VITAL BASICO (BLS)",IF(O55=CURSOS!$D$16,"ATENCION A VICTIMAS DE VIOLENCIA SEXUAL ",IF(O55=CURSOS!$D$17,"PROGRAMADO AMPLIADO DE INMUNIZACION (PAI - COVID 19)",IF(O55=CURSOS!$D$18,"ATENCION INTEGRAL EN ENFERMEDADES PREVALENTES EN PRIMERA INFANCIA (AIEPI)",IF(O55=CURSOS!$D$19,"ADMINISTRACION DE MEDICAMENTOS, INYECTOLOGIA  Y CANALIZACION ",IF(O55=CURSOS!$D$20,"OPERADOR DE VEHICULOS DE EMERGENCIA (OVE)",IF(O55=CURSOS!$D$21,"INSTITUCIONES AMIGAS DE LA MUJER Y LA INFANCIA (IAMI)",IF(O55=CURSOS!$D$22,"CUIDADO DEL DONANTE DE ORGANOS",IF(O55=CURSOS!$D$23,"ATENCION A VICTIMAS POR VIOLENCIA DE GENERO",IF(O55=CURSOS!$D$24,"IGUALDAD DE GENERO EN LA SALUD",IF(O55=CURSOS!$D$25,"BRIGADA DE EMERGENCIA",IF(O55=CURSOS!$D$26,"MANEJO DEL DOLOR Y CUIDADOS PALIATIVOS",IF(O55=CURSOS!$D$27,"TOMA DE MUESTRAS Y LABORATORIO POCT",IF(O55=CURSOS!$D$28,"IMPLANTE SUBDERMICO DE DISPOSITIVO INTRAUTERINO",IF(O55=CURSOS!$D$29,"SALUD MENTAL",IF(O55=CURSOS!$D$30,"PRIMEROS AUXILIOS PSICOLOGICOS",IF(O55=CURSOS!$D$31,"ATENCION A VICTIMAS POR CONFLICTO ARMADO",IF(O55=CURSOS!$D$32,"MANIPULACION DE ALIMENTOS Y BPM",IF(O55=CURSOS!$D$33,"ATENCION A PERSONAS CON DISCAPACIDAD",IF(O55=CURSOS!$D$34,"CUIDADO INTEGRAL DEL PACIENTE ADULTO",IF(O55=CURSOS!$D$35,"MANEJO DEFENSIVO",IF(O55=CURSOS!$D$36,"SOPORTE CARDIOVASCULAR AVANZADO NEONATAL",IF(O55=CURSOS!$D$37,"SEGURIDAD DEL PACIENTE",IF(O55=CURSOS!$D$38,"MANEJO DE RESIDUOS HOSPITALARIOS"))))))))))))))))))))))))))))))))))))</f>
        <v>ACOMPAÑAMIENTO Y MANEJO DEL DUELO</v>
      </c>
      <c r="V55" s="57" t="str">
        <f t="shared" si="0"/>
        <v>Omar Laureano Ibarra Obando</v>
      </c>
      <c r="W55" s="57" t="str">
        <f t="shared" si="1"/>
        <v>Omar Laureano Ibarra Obando</v>
      </c>
      <c r="X55" s="57" t="str">
        <f t="shared" si="2"/>
        <v>Omar Laureano Ibarra Obando-87453231-DUELO</v>
      </c>
    </row>
    <row r="56" spans="1:24" s="67" customFormat="1" x14ac:dyDescent="0.2">
      <c r="A56" s="68">
        <v>55</v>
      </c>
      <c r="B56" s="53">
        <v>1081274187</v>
      </c>
      <c r="C56" s="53" t="s">
        <v>255</v>
      </c>
      <c r="D56" s="53" t="s">
        <v>256</v>
      </c>
      <c r="E56" s="53" t="s">
        <v>257</v>
      </c>
      <c r="F56" s="53" t="s">
        <v>258</v>
      </c>
      <c r="G56" s="53">
        <v>11</v>
      </c>
      <c r="H56" s="53" t="s">
        <v>102</v>
      </c>
      <c r="I56" s="56" t="s">
        <v>154</v>
      </c>
      <c r="J56" s="54" t="s">
        <v>285</v>
      </c>
      <c r="K56" s="69">
        <v>56000</v>
      </c>
      <c r="L56" s="53" t="s">
        <v>283</v>
      </c>
      <c r="M56" s="53" t="s">
        <v>105</v>
      </c>
      <c r="N56" s="53" t="s">
        <v>106</v>
      </c>
      <c r="O56" s="53" t="s">
        <v>45</v>
      </c>
      <c r="P56" s="56">
        <v>38361</v>
      </c>
      <c r="Q56" s="53" t="s">
        <v>107</v>
      </c>
      <c r="R56" s="53" t="s">
        <v>116</v>
      </c>
      <c r="S56" s="53">
        <v>3126642631</v>
      </c>
      <c r="T56" s="53" t="s">
        <v>259</v>
      </c>
      <c r="U56" s="57" t="str">
        <f>IF(O56=CURSOS!$D$3,"DIPLOMADO EN ATENCION PRE-HOSPITALARIA",IF(O56=CURSOS!$D$4,"ACOMPAÑAMIENTO Y MANEJO DEL DUELO",IF(O56=CURSOS!$D$5,"ATENCION A VICTIMAS DE ATAQUE CON AGENTES QUIMICOS ",IF(O56=CURSOS!$D$6,"PRIMEROS AUXILIOS ",IF(O56=CURSOS!$D$7,"DIPLOMADO DE UNIDAD DE CUIDADOS INTENSIVOS (UCI)",IF(O56=CURSOS!$D$8,"MODELO DE ATENCION PARA EVENTOS EMERGENTES EN SALUD MENTAL (CODIGO VERDE)",IF(O56=CURSOS!$D$9,"HUMANIZACION EN EL SERVICIO DE LA SALUD Y BUENAS PRACTICAS EN PACIENTE ",IF(O56=CURSOS!$D$10,"CLINICA DE HERIDAS ",IF(O56=CURSOS!$D$11,"TOMA DE CITOLOGIA CERVICO VAGINAL ",IF(O56=CURSOS!$D$12,"SOPORTE CARDIOVASCULAR AVANZADO (ACLS) ",IF(O56=CURSOS!$D$13,"CAMILLERO ",IF(O56=CURSOS!$D$14,"TOMA DE MUESTRAS Y LABORATORIO ",IF(O56=CURSOS!$D$15,"SOPORTE VITAL BASICO (BLS)",IF(O56=CURSOS!$D$16,"ATENCION A VICTIMAS DE VIOLENCIA SEXUAL ",IF(O56=CURSOS!$D$17,"PROGRAMADO AMPLIADO DE INMUNIZACION (PAI - COVID 19)",IF(O56=CURSOS!$D$18,"ATENCION INTEGRAL EN ENFERMEDADES PREVALENTES EN PRIMERA INFANCIA (AIEPI)",IF(O56=CURSOS!$D$19,"ADMINISTRACION DE MEDICAMENTOS, INYECTOLOGIA  Y CANALIZACION ",IF(O56=CURSOS!$D$20,"OPERADOR DE VEHICULOS DE EMERGENCIA (OVE)",IF(O56=CURSOS!$D$21,"INSTITUCIONES AMIGAS DE LA MUJER Y LA INFANCIA (IAMI)",IF(O56=CURSOS!$D$22,"CUIDADO DEL DONANTE DE ORGANOS",IF(O56=CURSOS!$D$23,"ATENCION A VICTIMAS POR VIOLENCIA DE GENERO",IF(O56=CURSOS!$D$24,"IGUALDAD DE GENERO EN LA SALUD",IF(O56=CURSOS!$D$25,"BRIGADA DE EMERGENCIA",IF(O56=CURSOS!$D$26,"MANEJO DEL DOLOR Y CUIDADOS PALIATIVOS",IF(O56=CURSOS!$D$27,"TOMA DE MUESTRAS Y LABORATORIO POCT",IF(O56=CURSOS!$D$28,"IMPLANTE SUBDERMICO DE DISPOSITIVO INTRAUTERINO",IF(O56=CURSOS!$D$29,"SALUD MENTAL",IF(O56=CURSOS!$D$30,"PRIMEROS AUXILIOS PSICOLOGICOS",IF(O56=CURSOS!$D$31,"ATENCION A VICTIMAS POR CONFLICTO ARMADO",IF(O56=CURSOS!$D$32,"MANIPULACION DE ALIMENTOS Y BPM",IF(O56=CURSOS!$D$33,"ATENCION A PERSONAS CON DISCAPACIDAD",IF(O56=CURSOS!$D$34,"CUIDADO INTEGRAL DEL PACIENTE ADULTO",IF(O56=CURSOS!$D$35,"MANEJO DEFENSIVO",IF(O56=CURSOS!$D$36,"SOPORTE CARDIOVASCULAR AVANZADO NEONATAL",IF(O56=CURSOS!$D$37,"SEGURIDAD DEL PACIENTE",IF(O56=CURSOS!$D$38,"MANEJO DE RESIDUOS HOSPITALARIOS"))))))))))))))))))))))))))))))))))))</f>
        <v xml:space="preserve">ADMINISTRACION DE MEDICAMENTOS, INYECTOLOGIA  Y CANALIZACION </v>
      </c>
      <c r="V56" s="57" t="str">
        <f t="shared" si="0"/>
        <v>Diana Sofia Puerres Mora</v>
      </c>
      <c r="W56" s="57" t="str">
        <f t="shared" si="1"/>
        <v>Diana Sofia Puerres Mora</v>
      </c>
      <c r="X56" s="57" t="str">
        <f t="shared" si="2"/>
        <v>Diana Sofia Puerres Mora-1081274187-ADMON DE MEDICAMENTOS</v>
      </c>
    </row>
    <row r="57" spans="1:24" s="67" customFormat="1" x14ac:dyDescent="0.2">
      <c r="A57" s="68">
        <v>56</v>
      </c>
      <c r="B57" s="53">
        <v>37082384</v>
      </c>
      <c r="C57" s="53" t="s">
        <v>260</v>
      </c>
      <c r="D57" s="53" t="s">
        <v>261</v>
      </c>
      <c r="E57" s="53" t="s">
        <v>262</v>
      </c>
      <c r="F57" s="53" t="s">
        <v>263</v>
      </c>
      <c r="G57" s="53">
        <v>11</v>
      </c>
      <c r="H57" s="53" t="s">
        <v>102</v>
      </c>
      <c r="I57" s="56" t="s">
        <v>154</v>
      </c>
      <c r="J57" s="54">
        <v>45637</v>
      </c>
      <c r="K57" s="69">
        <v>56000</v>
      </c>
      <c r="L57" s="53" t="s">
        <v>192</v>
      </c>
      <c r="M57" s="53" t="s">
        <v>105</v>
      </c>
      <c r="N57" s="53" t="s">
        <v>106</v>
      </c>
      <c r="O57" s="53" t="s">
        <v>45</v>
      </c>
      <c r="P57" s="56">
        <v>30447</v>
      </c>
      <c r="Q57" s="53" t="s">
        <v>107</v>
      </c>
      <c r="R57" s="53" t="s">
        <v>264</v>
      </c>
      <c r="S57" s="70">
        <v>3183280653</v>
      </c>
      <c r="T57" s="53" t="s">
        <v>265</v>
      </c>
      <c r="U57" s="57" t="str">
        <f>IF(O57=CURSOS!$D$3,"DIPLOMADO EN ATENCION PRE-HOSPITALARIA",IF(O57=CURSOS!$D$4,"ACOMPAÑAMIENTO Y MANEJO DEL DUELO",IF(O57=CURSOS!$D$5,"ATENCION A VICTIMAS DE ATAQUE CON AGENTES QUIMICOS ",IF(O57=CURSOS!$D$6,"PRIMEROS AUXILIOS ",IF(O57=CURSOS!$D$7,"DIPLOMADO DE UNIDAD DE CUIDADOS INTENSIVOS (UCI)",IF(O57=CURSOS!$D$8,"MODELO DE ATENCION PARA EVENTOS EMERGENTES EN SALUD MENTAL (CODIGO VERDE)",IF(O57=CURSOS!$D$9,"HUMANIZACION EN EL SERVICIO DE LA SALUD Y BUENAS PRACTICAS EN PACIENTE ",IF(O57=CURSOS!$D$10,"CLINICA DE HERIDAS ",IF(O57=CURSOS!$D$11,"TOMA DE CITOLOGIA CERVICO VAGINAL ",IF(O57=CURSOS!$D$12,"SOPORTE CARDIOVASCULAR AVANZADO (ACLS) ",IF(O57=CURSOS!$D$13,"CAMILLERO ",IF(O57=CURSOS!$D$14,"TOMA DE MUESTRAS Y LABORATORIO ",IF(O57=CURSOS!$D$15,"SOPORTE VITAL BASICO (BLS)",IF(O57=CURSOS!$D$16,"ATENCION A VICTIMAS DE VIOLENCIA SEXUAL ",IF(O57=CURSOS!$D$17,"PROGRAMADO AMPLIADO DE INMUNIZACION (PAI - COVID 19)",IF(O57=CURSOS!$D$18,"ATENCION INTEGRAL EN ENFERMEDADES PREVALENTES EN PRIMERA INFANCIA (AIEPI)",IF(O57=CURSOS!$D$19,"ADMINISTRACION DE MEDICAMENTOS, INYECTOLOGIA  Y CANALIZACION ",IF(O57=CURSOS!$D$20,"OPERADOR DE VEHICULOS DE EMERGENCIA (OVE)",IF(O57=CURSOS!$D$21,"INSTITUCIONES AMIGAS DE LA MUJER Y LA INFANCIA (IAMI)",IF(O57=CURSOS!$D$22,"CUIDADO DEL DONANTE DE ORGANOS",IF(O57=CURSOS!$D$23,"ATENCION A VICTIMAS POR VIOLENCIA DE GENERO",IF(O57=CURSOS!$D$24,"IGUALDAD DE GENERO EN LA SALUD",IF(O57=CURSOS!$D$25,"BRIGADA DE EMERGENCIA",IF(O57=CURSOS!$D$26,"MANEJO DEL DOLOR Y CUIDADOS PALIATIVOS",IF(O57=CURSOS!$D$27,"TOMA DE MUESTRAS Y LABORATORIO POCT",IF(O57=CURSOS!$D$28,"IMPLANTE SUBDERMICO DE DISPOSITIVO INTRAUTERINO",IF(O57=CURSOS!$D$29,"SALUD MENTAL",IF(O57=CURSOS!$D$30,"PRIMEROS AUXILIOS PSICOLOGICOS",IF(O57=CURSOS!$D$31,"ATENCION A VICTIMAS POR CONFLICTO ARMADO",IF(O57=CURSOS!$D$32,"MANIPULACION DE ALIMENTOS Y BPM",IF(O57=CURSOS!$D$33,"ATENCION A PERSONAS CON DISCAPACIDAD",IF(O57=CURSOS!$D$34,"CUIDADO INTEGRAL DEL PACIENTE ADULTO",IF(O57=CURSOS!$D$35,"MANEJO DEFENSIVO",IF(O57=CURSOS!$D$36,"SOPORTE CARDIOVASCULAR AVANZADO NEONATAL",IF(O57=CURSOS!$D$37,"SEGURIDAD DEL PACIENTE",IF(O57=CURSOS!$D$38,"MANEJO DE RESIDUOS HOSPITALARIOS"))))))))))))))))))))))))))))))))))))</f>
        <v xml:space="preserve">ADMINISTRACION DE MEDICAMENTOS, INYECTOLOGIA  Y CANALIZACION </v>
      </c>
      <c r="V57" s="57" t="str">
        <f t="shared" si="0"/>
        <v>Viviana Maritza Riascos Coral</v>
      </c>
      <c r="W57" s="57" t="str">
        <f t="shared" si="1"/>
        <v>Viviana Maritza Riascos Coral</v>
      </c>
      <c r="X57" s="57" t="str">
        <f t="shared" si="2"/>
        <v>Viviana Maritza Riascos Coral-37082384-ADMON DE MEDICAMENTOS</v>
      </c>
    </row>
    <row r="58" spans="1:24" s="67" customFormat="1" x14ac:dyDescent="0.2">
      <c r="A58" s="68">
        <v>57</v>
      </c>
      <c r="B58" s="53">
        <v>1085301199</v>
      </c>
      <c r="C58" s="53" t="s">
        <v>266</v>
      </c>
      <c r="D58" s="53" t="s">
        <v>267</v>
      </c>
      <c r="E58" s="53" t="s">
        <v>257</v>
      </c>
      <c r="F58" s="53" t="s">
        <v>268</v>
      </c>
      <c r="G58" s="53">
        <v>11</v>
      </c>
      <c r="H58" s="53" t="s">
        <v>102</v>
      </c>
      <c r="I58" s="56" t="s">
        <v>103</v>
      </c>
      <c r="J58" s="54">
        <v>45636</v>
      </c>
      <c r="K58" s="69">
        <v>40000</v>
      </c>
      <c r="L58" s="53" t="s">
        <v>276</v>
      </c>
      <c r="M58" s="53" t="s">
        <v>105</v>
      </c>
      <c r="N58" s="53" t="s">
        <v>106</v>
      </c>
      <c r="O58" s="53" t="s">
        <v>23</v>
      </c>
      <c r="P58" s="56">
        <v>33896</v>
      </c>
      <c r="Q58" s="53" t="s">
        <v>107</v>
      </c>
      <c r="R58" s="70" t="s">
        <v>116</v>
      </c>
      <c r="S58" s="53">
        <v>3124801291</v>
      </c>
      <c r="T58" s="53" t="s">
        <v>269</v>
      </c>
      <c r="U58" s="57" t="str">
        <f>IF(O58=CURSOS!$D$3,"DIPLOMADO EN ATENCION PRE-HOSPITALARIA",IF(O58=CURSOS!$D$4,"ACOMPAÑAMIENTO Y MANEJO DEL DUELO",IF(O58=CURSOS!$D$5,"ATENCION A VICTIMAS DE ATAQUE CON AGENTES QUIMICOS ",IF(O58=CURSOS!$D$6,"PRIMEROS AUXILIOS ",IF(O58=CURSOS!$D$7,"DIPLOMADO DE UNIDAD DE CUIDADOS INTENSIVOS (UCI)",IF(O58=CURSOS!$D$8,"MODELO DE ATENCION PARA EVENTOS EMERGENTES EN SALUD MENTAL (CODIGO VERDE)",IF(O58=CURSOS!$D$9,"HUMANIZACION EN EL SERVICIO DE LA SALUD Y BUENAS PRACTICAS EN PACIENTE ",IF(O58=CURSOS!$D$10,"CLINICA DE HERIDAS ",IF(O58=CURSOS!$D$11,"TOMA DE CITOLOGIA CERVICO VAGINAL ",IF(O58=CURSOS!$D$12,"SOPORTE CARDIOVASCULAR AVANZADO (ACLS) ",IF(O58=CURSOS!$D$13,"CAMILLERO ",IF(O58=CURSOS!$D$14,"TOMA DE MUESTRAS Y LABORATORIO ",IF(O58=CURSOS!$D$15,"SOPORTE VITAL BASICO (BLS)",IF(O58=CURSOS!$D$16,"ATENCION A VICTIMAS DE VIOLENCIA SEXUAL ",IF(O58=CURSOS!$D$17,"PROGRAMADO AMPLIADO DE INMUNIZACION (PAI - COVID 19)",IF(O58=CURSOS!$D$18,"ATENCION INTEGRAL EN ENFERMEDADES PREVALENTES EN PRIMERA INFANCIA (AIEPI)",IF(O58=CURSOS!$D$19,"ADMINISTRACION DE MEDICAMENTOS, INYECTOLOGIA  Y CANALIZACION ",IF(O58=CURSOS!$D$20,"OPERADOR DE VEHICULOS DE EMERGENCIA (OVE)",IF(O58=CURSOS!$D$21,"INSTITUCIONES AMIGAS DE LA MUJER Y LA INFANCIA (IAMI)",IF(O58=CURSOS!$D$22,"CUIDADO DEL DONANTE DE ORGANOS",IF(O58=CURSOS!$D$23,"ATENCION A VICTIMAS POR VIOLENCIA DE GENERO",IF(O58=CURSOS!$D$24,"IGUALDAD DE GENERO EN LA SALUD",IF(O58=CURSOS!$D$25,"BRIGADA DE EMERGENCIA",IF(O58=CURSOS!$D$26,"MANEJO DEL DOLOR Y CUIDADOS PALIATIVOS",IF(O58=CURSOS!$D$27,"TOMA DE MUESTRAS Y LABORATORIO POCT",IF(O58=CURSOS!$D$28,"IMPLANTE SUBDERMICO DE DISPOSITIVO INTRAUTERINO",IF(O58=CURSOS!$D$29,"SALUD MENTAL",IF(O58=CURSOS!$D$30,"PRIMEROS AUXILIOS PSICOLOGICOS",IF(O58=CURSOS!$D$31,"ATENCION A VICTIMAS POR CONFLICTO ARMADO",IF(O58=CURSOS!$D$32,"MANIPULACION DE ALIMENTOS Y BPM",IF(O58=CURSOS!$D$33,"ATENCION A PERSONAS CON DISCAPACIDAD",IF(O58=CURSOS!$D$34,"CUIDADO INTEGRAL DEL PACIENTE ADULTO",IF(O58=CURSOS!$D$35,"MANEJO DEFENSIVO",IF(O58=CURSOS!$D$36,"SOPORTE CARDIOVASCULAR AVANZADO NEONATAL",IF(O58=CURSOS!$D$37,"SEGURIDAD DEL PACIENTE",IF(O58=CURSOS!$D$38,"MANEJO DE RESIDUOS HOSPITALARIOS"))))))))))))))))))))))))))))))))))))</f>
        <v>ACOMPAÑAMIENTO Y MANEJO DEL DUELO</v>
      </c>
      <c r="V58" s="57" t="str">
        <f t="shared" si="0"/>
        <v>Diana Balvina Ayala Delgado</v>
      </c>
      <c r="W58" s="57" t="str">
        <f t="shared" si="1"/>
        <v>Diana Balvina Ayala Delgado</v>
      </c>
      <c r="X58" s="57" t="str">
        <f t="shared" si="2"/>
        <v>Diana Balvina Ayala Delgado-1085301199-DUELO</v>
      </c>
    </row>
    <row r="59" spans="1:24" s="67" customFormat="1" x14ac:dyDescent="0.2">
      <c r="A59" s="68">
        <v>58</v>
      </c>
      <c r="B59" s="53">
        <v>1085300566</v>
      </c>
      <c r="C59" s="53" t="s">
        <v>270</v>
      </c>
      <c r="D59" s="53" t="s">
        <v>271</v>
      </c>
      <c r="E59" s="53" t="s">
        <v>272</v>
      </c>
      <c r="F59" s="53" t="s">
        <v>273</v>
      </c>
      <c r="G59" s="53">
        <v>12</v>
      </c>
      <c r="H59" s="53" t="s">
        <v>102</v>
      </c>
      <c r="I59" s="56" t="s">
        <v>154</v>
      </c>
      <c r="J59" s="54">
        <v>45636</v>
      </c>
      <c r="K59" s="69">
        <v>70000</v>
      </c>
      <c r="L59" s="53" t="s">
        <v>104</v>
      </c>
      <c r="M59" s="53" t="s">
        <v>105</v>
      </c>
      <c r="N59" s="53" t="s">
        <v>106</v>
      </c>
      <c r="O59" s="53" t="s">
        <v>45</v>
      </c>
      <c r="P59" s="56">
        <v>33843</v>
      </c>
      <c r="Q59" s="53" t="s">
        <v>107</v>
      </c>
      <c r="R59" s="53" t="s">
        <v>274</v>
      </c>
      <c r="S59" s="70">
        <v>3185084759</v>
      </c>
      <c r="T59" s="53" t="s">
        <v>275</v>
      </c>
      <c r="U59" s="57" t="str">
        <f>IF(O59=CURSOS!$D$3,"DIPLOMADO EN ATENCION PRE-HOSPITALARIA",IF(O59=CURSOS!$D$4,"ACOMPAÑAMIENTO Y MANEJO DEL DUELO",IF(O59=CURSOS!$D$5,"ATENCION A VICTIMAS DE ATAQUE CON AGENTES QUIMICOS ",IF(O59=CURSOS!$D$6,"PRIMEROS AUXILIOS ",IF(O59=CURSOS!$D$7,"DIPLOMADO DE UNIDAD DE CUIDADOS INTENSIVOS (UCI)",IF(O59=CURSOS!$D$8,"MODELO DE ATENCION PARA EVENTOS EMERGENTES EN SALUD MENTAL (CODIGO VERDE)",IF(O59=CURSOS!$D$9,"HUMANIZACION EN EL SERVICIO DE LA SALUD Y BUENAS PRACTICAS EN PACIENTE ",IF(O59=CURSOS!$D$10,"CLINICA DE HERIDAS ",IF(O59=CURSOS!$D$11,"TOMA DE CITOLOGIA CERVICO VAGINAL ",IF(O59=CURSOS!$D$12,"SOPORTE CARDIOVASCULAR AVANZADO (ACLS) ",IF(O59=CURSOS!$D$13,"CAMILLERO ",IF(O59=CURSOS!$D$14,"TOMA DE MUESTRAS Y LABORATORIO ",IF(O59=CURSOS!$D$15,"SOPORTE VITAL BASICO (BLS)",IF(O59=CURSOS!$D$16,"ATENCION A VICTIMAS DE VIOLENCIA SEXUAL ",IF(O59=CURSOS!$D$17,"PROGRAMADO AMPLIADO DE INMUNIZACION (PAI - COVID 19)",IF(O59=CURSOS!$D$18,"ATENCION INTEGRAL EN ENFERMEDADES PREVALENTES EN PRIMERA INFANCIA (AIEPI)",IF(O59=CURSOS!$D$19,"ADMINISTRACION DE MEDICAMENTOS, INYECTOLOGIA  Y CANALIZACION ",IF(O59=CURSOS!$D$20,"OPERADOR DE VEHICULOS DE EMERGENCIA (OVE)",IF(O59=CURSOS!$D$21,"INSTITUCIONES AMIGAS DE LA MUJER Y LA INFANCIA (IAMI)",IF(O59=CURSOS!$D$22,"CUIDADO DEL DONANTE DE ORGANOS",IF(O59=CURSOS!$D$23,"ATENCION A VICTIMAS POR VIOLENCIA DE GENERO",IF(O59=CURSOS!$D$24,"IGUALDAD DE GENERO EN LA SALUD",IF(O59=CURSOS!$D$25,"BRIGADA DE EMERGENCIA",IF(O59=CURSOS!$D$26,"MANEJO DEL DOLOR Y CUIDADOS PALIATIVOS",IF(O59=CURSOS!$D$27,"TOMA DE MUESTRAS Y LABORATORIO POCT",IF(O59=CURSOS!$D$28,"IMPLANTE SUBDERMICO DE DISPOSITIVO INTRAUTERINO",IF(O59=CURSOS!$D$29,"SALUD MENTAL",IF(O59=CURSOS!$D$30,"PRIMEROS AUXILIOS PSICOLOGICOS",IF(O59=CURSOS!$D$31,"ATENCION A VICTIMAS POR CONFLICTO ARMADO",IF(O59=CURSOS!$D$32,"MANIPULACION DE ALIMENTOS Y BPM",IF(O59=CURSOS!$D$33,"ATENCION A PERSONAS CON DISCAPACIDAD",IF(O59=CURSOS!$D$34,"CUIDADO INTEGRAL DEL PACIENTE ADULTO",IF(O59=CURSOS!$D$35,"MANEJO DEFENSIVO",IF(O59=CURSOS!$D$36,"SOPORTE CARDIOVASCULAR AVANZADO NEONATAL",IF(O59=CURSOS!$D$37,"SEGURIDAD DEL PACIENTE",IF(O59=CURSOS!$D$38,"MANEJO DE RESIDUOS HOSPITALARIOS"))))))))))))))))))))))))))))))))))))</f>
        <v xml:space="preserve">ADMINISTRACION DE MEDICAMENTOS, INYECTOLOGIA  Y CANALIZACION </v>
      </c>
      <c r="V59" s="57" t="str">
        <f t="shared" si="0"/>
        <v>Lizeth Xiomara Pazmiño Gaviria</v>
      </c>
      <c r="W59" s="57" t="str">
        <f t="shared" si="1"/>
        <v>Lizeth Xiomara Pazmiño Gaviria</v>
      </c>
      <c r="X59" s="57" t="str">
        <f t="shared" si="2"/>
        <v>Lizeth Xiomara Pazmiño Gaviria-1085300566-ADMON DE MEDICAMENTOS</v>
      </c>
    </row>
    <row r="60" spans="1:24" s="67" customFormat="1" x14ac:dyDescent="0.2">
      <c r="A60" s="68">
        <v>59</v>
      </c>
      <c r="B60" s="53">
        <v>1085281780</v>
      </c>
      <c r="C60" s="53" t="s">
        <v>166</v>
      </c>
      <c r="D60" s="53" t="s">
        <v>167</v>
      </c>
      <c r="E60" s="53" t="s">
        <v>168</v>
      </c>
      <c r="F60" s="53" t="s">
        <v>169</v>
      </c>
      <c r="G60" s="53">
        <v>10</v>
      </c>
      <c r="H60" s="53" t="s">
        <v>102</v>
      </c>
      <c r="I60" s="56" t="s">
        <v>154</v>
      </c>
      <c r="J60" s="54">
        <v>45631</v>
      </c>
      <c r="K60" s="69">
        <v>70000</v>
      </c>
      <c r="L60" s="53" t="s">
        <v>114</v>
      </c>
      <c r="M60" s="53" t="s">
        <v>105</v>
      </c>
      <c r="N60" s="53" t="s">
        <v>106</v>
      </c>
      <c r="O60" s="53" t="s">
        <v>62</v>
      </c>
      <c r="P60" s="54">
        <v>33039</v>
      </c>
      <c r="Q60" s="53" t="s">
        <v>107</v>
      </c>
      <c r="R60" s="70" t="s">
        <v>170</v>
      </c>
      <c r="S60" s="53">
        <v>3164110313</v>
      </c>
      <c r="T60" s="53" t="s">
        <v>171</v>
      </c>
      <c r="U60" s="57" t="str">
        <f>IF(O60=CURSOS!$D$3,"DIPLOMADO EN ATENCION PRE-HOSPITALARIA",IF(O60=CURSOS!$D$4,"ACOMPAÑAMIENTO Y MANEJO DEL DUELO",IF(O60=CURSOS!$D$5,"ATENCION A VICTIMAS DE ATAQUE CON AGENTES QUIMICOS ",IF(O60=CURSOS!$D$6,"PRIMEROS AUXILIOS ",IF(O60=CURSOS!$D$7,"DIPLOMADO DE UNIDAD DE CUIDADOS INTENSIVOS (UCI)",IF(O60=CURSOS!$D$8,"MODELO DE ATENCION PARA EVENTOS EMERGENTES EN SALUD MENTAL (CODIGO VERDE)",IF(O60=CURSOS!$D$9,"HUMANIZACION EN EL SERVICIO DE LA SALUD Y BUENAS PRACTICAS EN PACIENTE ",IF(O60=CURSOS!$D$10,"CLINICA DE HERIDAS ",IF(O60=CURSOS!$D$11,"TOMA DE CITOLOGIA CERVICO VAGINAL ",IF(O60=CURSOS!$D$12,"SOPORTE CARDIOVASCULAR AVANZADO (ACLS) ",IF(O60=CURSOS!$D$13,"CAMILLERO ",IF(O60=CURSOS!$D$14,"TOMA DE MUESTRAS Y LABORATORIO ",IF(O60=CURSOS!$D$15,"SOPORTE VITAL BASICO (BLS)",IF(O60=CURSOS!$D$16,"ATENCION A VICTIMAS DE VIOLENCIA SEXUAL ",IF(O60=CURSOS!$D$17,"PROGRAMADO AMPLIADO DE INMUNIZACION (PAI - COVID 19)",IF(O60=CURSOS!$D$18,"ATENCION INTEGRAL EN ENFERMEDADES PREVALENTES EN PRIMERA INFANCIA (AIEPI)",IF(O60=CURSOS!$D$19,"ADMINISTRACION DE MEDICAMENTOS, INYECTOLOGIA  Y CANALIZACION ",IF(O60=CURSOS!$D$20,"OPERADOR DE VEHICULOS DE EMERGENCIA (OVE)",IF(O60=CURSOS!$D$21,"INSTITUCIONES AMIGAS DE LA MUJER Y LA INFANCIA (IAMI)",IF(O60=CURSOS!$D$22,"CUIDADO DEL DONANTE DE ORGANOS",IF(O60=CURSOS!$D$23,"ATENCION A VICTIMAS POR VIOLENCIA DE GENERO",IF(O60=CURSOS!$D$24,"IGUALDAD DE GENERO EN LA SALUD",IF(O60=CURSOS!$D$25,"BRIGADA DE EMERGENCIA",IF(O60=CURSOS!$D$26,"MANEJO DEL DOLOR Y CUIDADOS PALIATIVOS",IF(O60=CURSOS!$D$27,"TOMA DE MUESTRAS Y LABORATORIO POCT",IF(O60=CURSOS!$D$28,"IMPLANTE SUBDERMICO DE DISPOSITIVO INTRAUTERINO",IF(O60=CURSOS!$D$29,"SALUD MENTAL",IF(O60=CURSOS!$D$30,"PRIMEROS AUXILIOS PSICOLOGICOS",IF(O60=CURSOS!$D$31,"ATENCION A VICTIMAS POR CONFLICTO ARMADO",IF(O60=CURSOS!$D$32,"MANIPULACION DE ALIMENTOS Y BPM",IF(O60=CURSOS!$D$33,"ATENCION A PERSONAS CON DISCAPACIDAD",IF(O60=CURSOS!$D$34,"CUIDADO INTEGRAL DEL PACIENTE ADULTO",IF(O60=CURSOS!$D$35,"MANEJO DEFENSIVO",IF(O60=CURSOS!$D$36,"SOPORTE CARDIOVASCULAR AVANZADO NEONATAL",IF(O60=CURSOS!$D$37,"SEGURIDAD DEL PACIENTE",IF(O60=CURSOS!$D$38,"MANEJO DE RESIDUOS HOSPITALARIOS"))))))))))))))))))))))))))))))))))))</f>
        <v>PRIMEROS AUXILIOS PSICOLOGICOS</v>
      </c>
      <c r="V60" s="57" t="str">
        <f t="shared" si="0"/>
        <v>Amalia Lucía Portilla Bravo</v>
      </c>
      <c r="W60" s="57" t="str">
        <f t="shared" si="1"/>
        <v>Amalia Lucía Portilla Bravo</v>
      </c>
      <c r="X60" s="57" t="str">
        <f t="shared" si="2"/>
        <v>Amalia Lucía Portilla Bravo-1085281780-PRIMEROS AUXILIOS P</v>
      </c>
    </row>
    <row r="61" spans="1:24" s="67" customFormat="1" x14ac:dyDescent="0.2">
      <c r="A61" s="68">
        <v>60</v>
      </c>
      <c r="B61" s="53">
        <v>1085305753</v>
      </c>
      <c r="C61" s="53" t="s">
        <v>277</v>
      </c>
      <c r="D61" s="53" t="s">
        <v>267</v>
      </c>
      <c r="E61" s="53" t="s">
        <v>278</v>
      </c>
      <c r="F61" s="53" t="s">
        <v>160</v>
      </c>
      <c r="G61" s="53">
        <v>12</v>
      </c>
      <c r="H61" s="53" t="s">
        <v>102</v>
      </c>
      <c r="I61" s="56" t="s">
        <v>154</v>
      </c>
      <c r="J61" s="54" t="s">
        <v>301</v>
      </c>
      <c r="K61" s="69">
        <v>56000</v>
      </c>
      <c r="L61" s="53" t="s">
        <v>114</v>
      </c>
      <c r="M61" s="53" t="s">
        <v>105</v>
      </c>
      <c r="N61" s="53" t="s">
        <v>106</v>
      </c>
      <c r="O61" s="53" t="s">
        <v>45</v>
      </c>
      <c r="P61" s="56">
        <v>34147</v>
      </c>
      <c r="Q61" s="53" t="s">
        <v>107</v>
      </c>
      <c r="R61" s="53" t="s">
        <v>279</v>
      </c>
      <c r="S61" s="70">
        <v>3027670573</v>
      </c>
      <c r="T61" s="53" t="s">
        <v>280</v>
      </c>
      <c r="U61" s="57" t="str">
        <f>IF(O61=CURSOS!$D$3,"DIPLOMADO EN ATENCION PRE-HOSPITALARIA",IF(O61=CURSOS!$D$4,"ACOMPAÑAMIENTO Y MANEJO DEL DUELO",IF(O61=CURSOS!$D$5,"ATENCION A VICTIMAS DE ATAQUE CON AGENTES QUIMICOS ",IF(O61=CURSOS!$D$6,"PRIMEROS AUXILIOS ",IF(O61=CURSOS!$D$7,"DIPLOMADO DE UNIDAD DE CUIDADOS INTENSIVOS (UCI)",IF(O61=CURSOS!$D$8,"MODELO DE ATENCION PARA EVENTOS EMERGENTES EN SALUD MENTAL (CODIGO VERDE)",IF(O61=CURSOS!$D$9,"HUMANIZACION EN EL SERVICIO DE LA SALUD Y BUENAS PRACTICAS EN PACIENTE ",IF(O61=CURSOS!$D$10,"CLINICA DE HERIDAS ",IF(O61=CURSOS!$D$11,"TOMA DE CITOLOGIA CERVICO VAGINAL ",IF(O61=CURSOS!$D$12,"SOPORTE CARDIOVASCULAR AVANZADO (ACLS) ",IF(O61=CURSOS!$D$13,"CAMILLERO ",IF(O61=CURSOS!$D$14,"TOMA DE MUESTRAS Y LABORATORIO ",IF(O61=CURSOS!$D$15,"SOPORTE VITAL BASICO (BLS)",IF(O61=CURSOS!$D$16,"ATENCION A VICTIMAS DE VIOLENCIA SEXUAL ",IF(O61=CURSOS!$D$17,"PROGRAMADO AMPLIADO DE INMUNIZACION (PAI - COVID 19)",IF(O61=CURSOS!$D$18,"ATENCION INTEGRAL EN ENFERMEDADES PREVALENTES EN PRIMERA INFANCIA (AIEPI)",IF(O61=CURSOS!$D$19,"ADMINISTRACION DE MEDICAMENTOS, INYECTOLOGIA  Y CANALIZACION ",IF(O61=CURSOS!$D$20,"OPERADOR DE VEHICULOS DE EMERGENCIA (OVE)",IF(O61=CURSOS!$D$21,"INSTITUCIONES AMIGAS DE LA MUJER Y LA INFANCIA (IAMI)",IF(O61=CURSOS!$D$22,"CUIDADO DEL DONANTE DE ORGANOS",IF(O61=CURSOS!$D$23,"ATENCION A VICTIMAS POR VIOLENCIA DE GENERO",IF(O61=CURSOS!$D$24,"IGUALDAD DE GENERO EN LA SALUD",IF(O61=CURSOS!$D$25,"BRIGADA DE EMERGENCIA",IF(O61=CURSOS!$D$26,"MANEJO DEL DOLOR Y CUIDADOS PALIATIVOS",IF(O61=CURSOS!$D$27,"TOMA DE MUESTRAS Y LABORATORIO POCT",IF(O61=CURSOS!$D$28,"IMPLANTE SUBDERMICO DE DISPOSITIVO INTRAUTERINO",IF(O61=CURSOS!$D$29,"SALUD MENTAL",IF(O61=CURSOS!$D$30,"PRIMEROS AUXILIOS PSICOLOGICOS",IF(O61=CURSOS!$D$31,"ATENCION A VICTIMAS POR CONFLICTO ARMADO",IF(O61=CURSOS!$D$32,"MANIPULACION DE ALIMENTOS Y BPM",IF(O61=CURSOS!$D$33,"ATENCION A PERSONAS CON DISCAPACIDAD",IF(O61=CURSOS!$D$34,"CUIDADO INTEGRAL DEL PACIENTE ADULTO",IF(O61=CURSOS!$D$35,"MANEJO DEFENSIVO",IF(O61=CURSOS!$D$36,"SOPORTE CARDIOVASCULAR AVANZADO NEONATAL",IF(O61=CURSOS!$D$37,"SEGURIDAD DEL PACIENTE",IF(O61=CURSOS!$D$38,"MANEJO DE RESIDUOS HOSPITALARIOS"))))))))))))))))))))))))))))))))))))</f>
        <v xml:space="preserve">ADMINISTRACION DE MEDICAMENTOS, INYECTOLOGIA  Y CANALIZACION </v>
      </c>
      <c r="V61" s="57" t="str">
        <f t="shared" si="0"/>
        <v>Ximena Andrea Mesias Delgado</v>
      </c>
      <c r="W61" s="57" t="str">
        <f t="shared" si="1"/>
        <v>Ximena Andrea Mesias Delgado</v>
      </c>
      <c r="X61" s="57" t="str">
        <f t="shared" si="2"/>
        <v>Ximena Andrea Mesias Delgado-1085305753-ADMON DE MEDICAMENTOS</v>
      </c>
    </row>
    <row r="62" spans="1:24" s="67" customFormat="1" x14ac:dyDescent="0.2">
      <c r="A62" s="68">
        <v>61</v>
      </c>
      <c r="B62" s="53">
        <v>1085281780</v>
      </c>
      <c r="C62" s="53" t="s">
        <v>166</v>
      </c>
      <c r="D62" s="53" t="s">
        <v>167</v>
      </c>
      <c r="E62" s="53" t="s">
        <v>168</v>
      </c>
      <c r="F62" s="53" t="s">
        <v>169</v>
      </c>
      <c r="G62" s="53">
        <v>6</v>
      </c>
      <c r="H62" s="53" t="s">
        <v>102</v>
      </c>
      <c r="I62" s="56" t="s">
        <v>154</v>
      </c>
      <c r="J62" s="54">
        <v>45631</v>
      </c>
      <c r="K62" s="69">
        <v>70000</v>
      </c>
      <c r="L62" s="53" t="s">
        <v>114</v>
      </c>
      <c r="M62" s="53" t="s">
        <v>105</v>
      </c>
      <c r="N62" s="53" t="s">
        <v>106</v>
      </c>
      <c r="O62" s="53" t="s">
        <v>57</v>
      </c>
      <c r="P62" s="54">
        <v>33039</v>
      </c>
      <c r="Q62" s="53" t="s">
        <v>107</v>
      </c>
      <c r="R62" s="70" t="s">
        <v>170</v>
      </c>
      <c r="S62" s="53">
        <v>3164110313</v>
      </c>
      <c r="T62" s="53" t="s">
        <v>171</v>
      </c>
      <c r="U62" s="57" t="str">
        <f>IF(O62=CURSOS!$D$3,"DIPLOMADO EN ATENCION PRE-HOSPITALARIA",IF(O62=CURSOS!$D$4,"ACOMPAÑAMIENTO Y MANEJO DEL DUELO",IF(O62=CURSOS!$D$5,"ATENCION A VICTIMAS DE ATAQUE CON AGENTES QUIMICOS ",IF(O62=CURSOS!$D$6,"PRIMEROS AUXILIOS ",IF(O62=CURSOS!$D$7,"DIPLOMADO DE UNIDAD DE CUIDADOS INTENSIVOS (UCI)",IF(O62=CURSOS!$D$8,"MODELO DE ATENCION PARA EVENTOS EMERGENTES EN SALUD MENTAL (CODIGO VERDE)",IF(O62=CURSOS!$D$9,"HUMANIZACION EN EL SERVICIO DE LA SALUD Y BUENAS PRACTICAS EN PACIENTE ",IF(O62=CURSOS!$D$10,"CLINICA DE HERIDAS ",IF(O62=CURSOS!$D$11,"TOMA DE CITOLOGIA CERVICO VAGINAL ",IF(O62=CURSOS!$D$12,"SOPORTE CARDIOVASCULAR AVANZADO (ACLS) ",IF(O62=CURSOS!$D$13,"CAMILLERO ",IF(O62=CURSOS!$D$14,"TOMA DE MUESTRAS Y LABORATORIO ",IF(O62=CURSOS!$D$15,"SOPORTE VITAL BASICO (BLS)",IF(O62=CURSOS!$D$16,"ATENCION A VICTIMAS DE VIOLENCIA SEXUAL ",IF(O62=CURSOS!$D$17,"PROGRAMADO AMPLIADO DE INMUNIZACION (PAI - COVID 19)",IF(O62=CURSOS!$D$18,"ATENCION INTEGRAL EN ENFERMEDADES PREVALENTES EN PRIMERA INFANCIA (AIEPI)",IF(O62=CURSOS!$D$19,"ADMINISTRACION DE MEDICAMENTOS, INYECTOLOGIA  Y CANALIZACION ",IF(O62=CURSOS!$D$20,"OPERADOR DE VEHICULOS DE EMERGENCIA (OVE)",IF(O62=CURSOS!$D$21,"INSTITUCIONES AMIGAS DE LA MUJER Y LA INFANCIA (IAMI)",IF(O62=CURSOS!$D$22,"CUIDADO DEL DONANTE DE ORGANOS",IF(O62=CURSOS!$D$23,"ATENCION A VICTIMAS POR VIOLENCIA DE GENERO",IF(O62=CURSOS!$D$24,"IGUALDAD DE GENERO EN LA SALUD",IF(O62=CURSOS!$D$25,"BRIGADA DE EMERGENCIA",IF(O62=CURSOS!$D$26,"MANEJO DEL DOLOR Y CUIDADOS PALIATIVOS",IF(O62=CURSOS!$D$27,"TOMA DE MUESTRAS Y LABORATORIO POCT",IF(O62=CURSOS!$D$28,"IMPLANTE SUBDERMICO DE DISPOSITIVO INTRAUTERINO",IF(O62=CURSOS!$D$29,"SALUD MENTAL",IF(O62=CURSOS!$D$30,"PRIMEROS AUXILIOS PSICOLOGICOS",IF(O62=CURSOS!$D$31,"ATENCION A VICTIMAS POR CONFLICTO ARMADO",IF(O62=CURSOS!$D$32,"MANIPULACION DE ALIMENTOS Y BPM",IF(O62=CURSOS!$D$33,"ATENCION A PERSONAS CON DISCAPACIDAD",IF(O62=CURSOS!$D$34,"CUIDADO INTEGRAL DEL PACIENTE ADULTO",IF(O62=CURSOS!$D$35,"MANEJO DEFENSIVO",IF(O62=CURSOS!$D$36,"SOPORTE CARDIOVASCULAR AVANZADO NEONATAL",IF(O62=CURSOS!$D$37,"SEGURIDAD DEL PACIENTE",IF(O62=CURSOS!$D$38,"MANEJO DE RESIDUOS HOSPITALARIOS"))))))))))))))))))))))))))))))))))))</f>
        <v>MANEJO DEL DOLOR Y CUIDADOS PALIATIVOS</v>
      </c>
      <c r="V62" s="57" t="str">
        <f t="shared" si="0"/>
        <v>Amalia Lucía Portilla Bravo</v>
      </c>
      <c r="W62" s="57" t="str">
        <f t="shared" si="1"/>
        <v>Amalia Lucía Portilla Bravo</v>
      </c>
      <c r="X62" s="57" t="str">
        <f t="shared" si="2"/>
        <v>Amalia Lucía Portilla Bravo-1085281780-PALIATIVOS</v>
      </c>
    </row>
    <row r="63" spans="1:24" s="67" customFormat="1" x14ac:dyDescent="0.2">
      <c r="A63" s="68">
        <v>62</v>
      </c>
      <c r="B63" s="53">
        <v>1086363177</v>
      </c>
      <c r="C63" s="53" t="s">
        <v>286</v>
      </c>
      <c r="D63" s="53" t="s">
        <v>163</v>
      </c>
      <c r="E63" s="53" t="s">
        <v>287</v>
      </c>
      <c r="F63" s="53" t="s">
        <v>288</v>
      </c>
      <c r="G63" s="53">
        <v>11</v>
      </c>
      <c r="H63" s="53" t="s">
        <v>102</v>
      </c>
      <c r="I63" s="56" t="s">
        <v>103</v>
      </c>
      <c r="J63" s="54">
        <v>45638</v>
      </c>
      <c r="K63" s="69">
        <v>95000</v>
      </c>
      <c r="L63" s="53" t="s">
        <v>114</v>
      </c>
      <c r="M63" s="53" t="s">
        <v>105</v>
      </c>
      <c r="N63" s="53" t="s">
        <v>106</v>
      </c>
      <c r="O63" s="53" t="s">
        <v>37</v>
      </c>
      <c r="P63" s="56">
        <v>35295</v>
      </c>
      <c r="Q63" s="53" t="s">
        <v>107</v>
      </c>
      <c r="R63" s="70" t="s">
        <v>133</v>
      </c>
      <c r="S63" s="53">
        <v>3113329482</v>
      </c>
      <c r="T63" s="53" t="s">
        <v>289</v>
      </c>
      <c r="U63" s="57" t="str">
        <f>IF(O63=CURSOS!$D$3,"DIPLOMADO EN ATENCION PRE-HOSPITALARIA",IF(O63=CURSOS!$D$4,"ACOMPAÑAMIENTO Y MANEJO DEL DUELO",IF(O63=CURSOS!$D$5,"ATENCION A VICTIMAS DE ATAQUE CON AGENTES QUIMICOS ",IF(O63=CURSOS!$D$6,"PRIMEROS AUXILIOS ",IF(O63=CURSOS!$D$7,"DIPLOMADO DE UNIDAD DE CUIDADOS INTENSIVOS (UCI)",IF(O63=CURSOS!$D$8,"MODELO DE ATENCION PARA EVENTOS EMERGENTES EN SALUD MENTAL (CODIGO VERDE)",IF(O63=CURSOS!$D$9,"HUMANIZACION EN EL SERVICIO DE LA SALUD Y BUENAS PRACTICAS EN PACIENTE ",IF(O63=CURSOS!$D$10,"CLINICA DE HERIDAS ",IF(O63=CURSOS!$D$11,"TOMA DE CITOLOGIA CERVICO VAGINAL ",IF(O63=CURSOS!$D$12,"SOPORTE CARDIOVASCULAR AVANZADO (ACLS) ",IF(O63=CURSOS!$D$13,"CAMILLERO ",IF(O63=CURSOS!$D$14,"TOMA DE MUESTRAS Y LABORATORIO ",IF(O63=CURSOS!$D$15,"SOPORTE VITAL BASICO (BLS)",IF(O63=CURSOS!$D$16,"ATENCION A VICTIMAS DE VIOLENCIA SEXUAL ",IF(O63=CURSOS!$D$17,"PROGRAMADO AMPLIADO DE INMUNIZACION (PAI - COVID 19)",IF(O63=CURSOS!$D$18,"ATENCION INTEGRAL EN ENFERMEDADES PREVALENTES EN PRIMERA INFANCIA (AIEPI)",IF(O63=CURSOS!$D$19,"ADMINISTRACION DE MEDICAMENTOS, INYECTOLOGIA  Y CANALIZACION ",IF(O63=CURSOS!$D$20,"OPERADOR DE VEHICULOS DE EMERGENCIA (OVE)",IF(O63=CURSOS!$D$21,"INSTITUCIONES AMIGAS DE LA MUJER Y LA INFANCIA (IAMI)",IF(O63=CURSOS!$D$22,"CUIDADO DEL DONANTE DE ORGANOS",IF(O63=CURSOS!$D$23,"ATENCION A VICTIMAS POR VIOLENCIA DE GENERO",IF(O63=CURSOS!$D$24,"IGUALDAD DE GENERO EN LA SALUD",IF(O63=CURSOS!$D$25,"BRIGADA DE EMERGENCIA",IF(O63=CURSOS!$D$26,"MANEJO DEL DOLOR Y CUIDADOS PALIATIVOS",IF(O63=CURSOS!$D$27,"TOMA DE MUESTRAS Y LABORATORIO POCT",IF(O63=CURSOS!$D$28,"IMPLANTE SUBDERMICO DE DISPOSITIVO INTRAUTERINO",IF(O63=CURSOS!$D$29,"SALUD MENTAL",IF(O63=CURSOS!$D$30,"PRIMEROS AUXILIOS PSICOLOGICOS",IF(O63=CURSOS!$D$31,"ATENCION A VICTIMAS POR CONFLICTO ARMADO",IF(O63=CURSOS!$D$32,"MANIPULACION DE ALIMENTOS Y BPM",IF(O63=CURSOS!$D$33,"ATENCION A PERSONAS CON DISCAPACIDAD",IF(O63=CURSOS!$D$34,"CUIDADO INTEGRAL DEL PACIENTE ADULTO",IF(O63=CURSOS!$D$35,"MANEJO DEFENSIVO",IF(O63=CURSOS!$D$36,"SOPORTE CARDIOVASCULAR AVANZADO NEONATAL",IF(O63=CURSOS!$D$37,"SEGURIDAD DEL PACIENTE",IF(O63=CURSOS!$D$38,"MANEJO DE RESIDUOS HOSPITALARIOS"))))))))))))))))))))))))))))))))))))</f>
        <v xml:space="preserve">SOPORTE CARDIOVASCULAR AVANZADO (ACLS) </v>
      </c>
      <c r="V63" s="57" t="str">
        <f t="shared" si="0"/>
        <v>Yasmin Carolina Rojas Guerrero</v>
      </c>
      <c r="W63" s="57" t="str">
        <f t="shared" si="1"/>
        <v>Yasmin Carolina Rojas Guerrero</v>
      </c>
      <c r="X63" s="57" t="str">
        <f t="shared" si="2"/>
        <v>Yasmin Carolina Rojas Guerrero-1086363177-ACLS</v>
      </c>
    </row>
    <row r="64" spans="1:24" s="67" customFormat="1" x14ac:dyDescent="0.2">
      <c r="A64" s="68">
        <v>63</v>
      </c>
      <c r="B64" s="53">
        <v>1086363177</v>
      </c>
      <c r="C64" s="53" t="s">
        <v>286</v>
      </c>
      <c r="D64" s="53" t="s">
        <v>163</v>
      </c>
      <c r="E64" s="53" t="s">
        <v>287</v>
      </c>
      <c r="F64" s="53" t="s">
        <v>288</v>
      </c>
      <c r="G64" s="53">
        <v>11</v>
      </c>
      <c r="H64" s="53" t="s">
        <v>102</v>
      </c>
      <c r="I64" s="56" t="s">
        <v>103</v>
      </c>
      <c r="J64" s="54">
        <v>45638</v>
      </c>
      <c r="K64" s="69">
        <v>30000</v>
      </c>
      <c r="L64" s="53" t="s">
        <v>114</v>
      </c>
      <c r="M64" s="53" t="s">
        <v>105</v>
      </c>
      <c r="N64" s="53" t="s">
        <v>106</v>
      </c>
      <c r="O64" s="53" t="s">
        <v>19</v>
      </c>
      <c r="P64" s="56">
        <v>35295</v>
      </c>
      <c r="Q64" s="53" t="s">
        <v>107</v>
      </c>
      <c r="R64" s="70" t="s">
        <v>133</v>
      </c>
      <c r="S64" s="53">
        <v>3113329482</v>
      </c>
      <c r="T64" s="53" t="s">
        <v>289</v>
      </c>
      <c r="U64" s="57" t="str">
        <f>IF(O64=CURSOS!$D$3,"DIPLOMADO EN ATENCION PRE-HOSPITALARIA",IF(O64=CURSOS!$D$4,"ACOMPAÑAMIENTO Y MANEJO DEL DUELO",IF(O64=CURSOS!$D$5,"ATENCION A VICTIMAS DE ATAQUE CON AGENTES QUIMICOS ",IF(O64=CURSOS!$D$6,"PRIMEROS AUXILIOS ",IF(O64=CURSOS!$D$7,"DIPLOMADO DE UNIDAD DE CUIDADOS INTENSIVOS (UCI)",IF(O64=CURSOS!$D$8,"MODELO DE ATENCION PARA EVENTOS EMERGENTES EN SALUD MENTAL (CODIGO VERDE)",IF(O64=CURSOS!$D$9,"HUMANIZACION EN EL SERVICIO DE LA SALUD Y BUENAS PRACTICAS EN PACIENTE ",IF(O64=CURSOS!$D$10,"CLINICA DE HERIDAS ",IF(O64=CURSOS!$D$11,"TOMA DE CITOLOGIA CERVICO VAGINAL ",IF(O64=CURSOS!$D$12,"SOPORTE CARDIOVASCULAR AVANZADO (ACLS) ",IF(O64=CURSOS!$D$13,"CAMILLERO ",IF(O64=CURSOS!$D$14,"TOMA DE MUESTRAS Y LABORATORIO ",IF(O64=CURSOS!$D$15,"SOPORTE VITAL BASICO (BLS)",IF(O64=CURSOS!$D$16,"ATENCION A VICTIMAS DE VIOLENCIA SEXUAL ",IF(O64=CURSOS!$D$17,"PROGRAMADO AMPLIADO DE INMUNIZACION (PAI - COVID 19)",IF(O64=CURSOS!$D$18,"ATENCION INTEGRAL EN ENFERMEDADES PREVALENTES EN PRIMERA INFANCIA (AIEPI)",IF(O64=CURSOS!$D$19,"ADMINISTRACION DE MEDICAMENTOS, INYECTOLOGIA  Y CANALIZACION ",IF(O64=CURSOS!$D$20,"OPERADOR DE VEHICULOS DE EMERGENCIA (OVE)",IF(O64=CURSOS!$D$21,"INSTITUCIONES AMIGAS DE LA MUJER Y LA INFANCIA (IAMI)",IF(O64=CURSOS!$D$22,"CUIDADO DEL DONANTE DE ORGANOS",IF(O64=CURSOS!$D$23,"ATENCION A VICTIMAS POR VIOLENCIA DE GENERO",IF(O64=CURSOS!$D$24,"IGUALDAD DE GENERO EN LA SALUD",IF(O64=CURSOS!$D$25,"BRIGADA DE EMERGENCIA",IF(O64=CURSOS!$D$26,"MANEJO DEL DOLOR Y CUIDADOS PALIATIVOS",IF(O64=CURSOS!$D$27,"TOMA DE MUESTRAS Y LABORATORIO POCT",IF(O64=CURSOS!$D$28,"IMPLANTE SUBDERMICO DE DISPOSITIVO INTRAUTERINO",IF(O64=CURSOS!$D$29,"SALUD MENTAL",IF(O64=CURSOS!$D$30,"PRIMEROS AUXILIOS PSICOLOGICOS",IF(O64=CURSOS!$D$31,"ATENCION A VICTIMAS POR CONFLICTO ARMADO",IF(O64=CURSOS!$D$32,"MANIPULACION DE ALIMENTOS Y BPM",IF(O64=CURSOS!$D$33,"ATENCION A PERSONAS CON DISCAPACIDAD",IF(O64=CURSOS!$D$34,"CUIDADO INTEGRAL DEL PACIENTE ADULTO",IF(O64=CURSOS!$D$35,"MANEJO DEFENSIVO",IF(O64=CURSOS!$D$36,"SOPORTE CARDIOVASCULAR AVANZADO NEONATAL",IF(O64=CURSOS!$D$37,"SEGURIDAD DEL PACIENTE",IF(O64=CURSOS!$D$38,"MANEJO DE RESIDUOS HOSPITALARIOS"))))))))))))))))))))))))))))))))))))</f>
        <v>SOPORTE VITAL BASICO (BLS)</v>
      </c>
      <c r="V64" s="57" t="str">
        <f t="shared" si="0"/>
        <v>Yasmin Carolina Rojas Guerrero</v>
      </c>
      <c r="W64" s="57" t="str">
        <f t="shared" si="1"/>
        <v>Yasmin Carolina Rojas Guerrero</v>
      </c>
      <c r="X64" s="57" t="str">
        <f t="shared" si="2"/>
        <v>Yasmin Carolina Rojas Guerrero-1086363177-BLS</v>
      </c>
    </row>
    <row r="65" spans="1:24" s="67" customFormat="1" x14ac:dyDescent="0.2">
      <c r="A65" s="68">
        <v>64</v>
      </c>
      <c r="B65" s="53">
        <v>1086363177</v>
      </c>
      <c r="C65" s="53" t="s">
        <v>286</v>
      </c>
      <c r="D65" s="53" t="s">
        <v>163</v>
      </c>
      <c r="E65" s="53" t="s">
        <v>287</v>
      </c>
      <c r="F65" s="53" t="s">
        <v>288</v>
      </c>
      <c r="G65" s="53">
        <v>12</v>
      </c>
      <c r="H65" s="53" t="s">
        <v>102</v>
      </c>
      <c r="I65" s="56" t="s">
        <v>103</v>
      </c>
      <c r="J65" s="54">
        <v>45638</v>
      </c>
      <c r="K65" s="69">
        <v>30000</v>
      </c>
      <c r="L65" s="53" t="s">
        <v>114</v>
      </c>
      <c r="M65" s="53" t="s">
        <v>105</v>
      </c>
      <c r="N65" s="53" t="s">
        <v>106</v>
      </c>
      <c r="O65" s="53" t="s">
        <v>57</v>
      </c>
      <c r="P65" s="56">
        <v>35295</v>
      </c>
      <c r="Q65" s="53" t="s">
        <v>107</v>
      </c>
      <c r="R65" s="70" t="s">
        <v>133</v>
      </c>
      <c r="S65" s="53">
        <v>3113329482</v>
      </c>
      <c r="T65" s="53" t="s">
        <v>289</v>
      </c>
      <c r="U65" s="57" t="str">
        <f>IF(O65=CURSOS!$D$3,"DIPLOMADO EN ATENCION PRE-HOSPITALARIA",IF(O65=CURSOS!$D$4,"ACOMPAÑAMIENTO Y MANEJO DEL DUELO",IF(O65=CURSOS!$D$5,"ATENCION A VICTIMAS DE ATAQUE CON AGENTES QUIMICOS ",IF(O65=CURSOS!$D$6,"PRIMEROS AUXILIOS ",IF(O65=CURSOS!$D$7,"DIPLOMADO DE UNIDAD DE CUIDADOS INTENSIVOS (UCI)",IF(O65=CURSOS!$D$8,"MODELO DE ATENCION PARA EVENTOS EMERGENTES EN SALUD MENTAL (CODIGO VERDE)",IF(O65=CURSOS!$D$9,"HUMANIZACION EN EL SERVICIO DE LA SALUD Y BUENAS PRACTICAS EN PACIENTE ",IF(O65=CURSOS!$D$10,"CLINICA DE HERIDAS ",IF(O65=CURSOS!$D$11,"TOMA DE CITOLOGIA CERVICO VAGINAL ",IF(O65=CURSOS!$D$12,"SOPORTE CARDIOVASCULAR AVANZADO (ACLS) ",IF(O65=CURSOS!$D$13,"CAMILLERO ",IF(O65=CURSOS!$D$14,"TOMA DE MUESTRAS Y LABORATORIO ",IF(O65=CURSOS!$D$15,"SOPORTE VITAL BASICO (BLS)",IF(O65=CURSOS!$D$16,"ATENCION A VICTIMAS DE VIOLENCIA SEXUAL ",IF(O65=CURSOS!$D$17,"PROGRAMADO AMPLIADO DE INMUNIZACION (PAI - COVID 19)",IF(O65=CURSOS!$D$18,"ATENCION INTEGRAL EN ENFERMEDADES PREVALENTES EN PRIMERA INFANCIA (AIEPI)",IF(O65=CURSOS!$D$19,"ADMINISTRACION DE MEDICAMENTOS, INYECTOLOGIA  Y CANALIZACION ",IF(O65=CURSOS!$D$20,"OPERADOR DE VEHICULOS DE EMERGENCIA (OVE)",IF(O65=CURSOS!$D$21,"INSTITUCIONES AMIGAS DE LA MUJER Y LA INFANCIA (IAMI)",IF(O65=CURSOS!$D$22,"CUIDADO DEL DONANTE DE ORGANOS",IF(O65=CURSOS!$D$23,"ATENCION A VICTIMAS POR VIOLENCIA DE GENERO",IF(O65=CURSOS!$D$24,"IGUALDAD DE GENERO EN LA SALUD",IF(O65=CURSOS!$D$25,"BRIGADA DE EMERGENCIA",IF(O65=CURSOS!$D$26,"MANEJO DEL DOLOR Y CUIDADOS PALIATIVOS",IF(O65=CURSOS!$D$27,"TOMA DE MUESTRAS Y LABORATORIO POCT",IF(O65=CURSOS!$D$28,"IMPLANTE SUBDERMICO DE DISPOSITIVO INTRAUTERINO",IF(O65=CURSOS!$D$29,"SALUD MENTAL",IF(O65=CURSOS!$D$30,"PRIMEROS AUXILIOS PSICOLOGICOS",IF(O65=CURSOS!$D$31,"ATENCION A VICTIMAS POR CONFLICTO ARMADO",IF(O65=CURSOS!$D$32,"MANIPULACION DE ALIMENTOS Y BPM",IF(O65=CURSOS!$D$33,"ATENCION A PERSONAS CON DISCAPACIDAD",IF(O65=CURSOS!$D$34,"CUIDADO INTEGRAL DEL PACIENTE ADULTO",IF(O65=CURSOS!$D$35,"MANEJO DEFENSIVO",IF(O65=CURSOS!$D$36,"SOPORTE CARDIOVASCULAR AVANZADO NEONATAL",IF(O65=CURSOS!$D$37,"SEGURIDAD DEL PACIENTE",IF(O65=CURSOS!$D$38,"MANEJO DE RESIDUOS HOSPITALARIOS"))))))))))))))))))))))))))))))))))))</f>
        <v>MANEJO DEL DOLOR Y CUIDADOS PALIATIVOS</v>
      </c>
      <c r="V65" s="57" t="str">
        <f t="shared" ref="V65:V128" si="3">CONCATENATE(E65," ",F65," ",C65," ",D65)</f>
        <v>Yasmin Carolina Rojas Guerrero</v>
      </c>
      <c r="W65" s="57" t="str">
        <f t="shared" ref="W65:W128" si="4">PROPER(V65)</f>
        <v>Yasmin Carolina Rojas Guerrero</v>
      </c>
      <c r="X65" s="57" t="str">
        <f t="shared" ref="X65:X128" si="5">CONCATENATE(V65,"-",B65,"-",O65)</f>
        <v>Yasmin Carolina Rojas Guerrero-1086363177-PALIATIVOS</v>
      </c>
    </row>
    <row r="66" spans="1:24" s="67" customFormat="1" x14ac:dyDescent="0.2">
      <c r="A66" s="68">
        <v>65</v>
      </c>
      <c r="B66" s="53">
        <v>1086363177</v>
      </c>
      <c r="C66" s="53" t="s">
        <v>286</v>
      </c>
      <c r="D66" s="53" t="s">
        <v>163</v>
      </c>
      <c r="E66" s="53" t="s">
        <v>287</v>
      </c>
      <c r="F66" s="53" t="s">
        <v>288</v>
      </c>
      <c r="G66" s="53">
        <v>10</v>
      </c>
      <c r="H66" s="53" t="s">
        <v>102</v>
      </c>
      <c r="I66" s="56" t="s">
        <v>103</v>
      </c>
      <c r="J66" s="54">
        <v>45638</v>
      </c>
      <c r="K66" s="69">
        <v>30000</v>
      </c>
      <c r="L66" s="53" t="s">
        <v>114</v>
      </c>
      <c r="M66" s="53" t="s">
        <v>105</v>
      </c>
      <c r="N66" s="53" t="s">
        <v>106</v>
      </c>
      <c r="O66" s="53" t="s">
        <v>40</v>
      </c>
      <c r="P66" s="56">
        <v>35295</v>
      </c>
      <c r="Q66" s="53" t="s">
        <v>107</v>
      </c>
      <c r="R66" s="70" t="s">
        <v>133</v>
      </c>
      <c r="S66" s="53">
        <v>3113329482</v>
      </c>
      <c r="T66" s="53" t="s">
        <v>289</v>
      </c>
      <c r="U66" s="57" t="str">
        <f>IF(O66=CURSOS!$D$3,"DIPLOMADO EN ATENCION PRE-HOSPITALARIA",IF(O66=CURSOS!$D$4,"ACOMPAÑAMIENTO Y MANEJO DEL DUELO",IF(O66=CURSOS!$D$5,"ATENCION A VICTIMAS DE ATAQUE CON AGENTES QUIMICOS ",IF(O66=CURSOS!$D$6,"PRIMEROS AUXILIOS ",IF(O66=CURSOS!$D$7,"DIPLOMADO DE UNIDAD DE CUIDADOS INTENSIVOS (UCI)",IF(O66=CURSOS!$D$8,"MODELO DE ATENCION PARA EVENTOS EMERGENTES EN SALUD MENTAL (CODIGO VERDE)",IF(O66=CURSOS!$D$9,"HUMANIZACION EN EL SERVICIO DE LA SALUD Y BUENAS PRACTICAS EN PACIENTE ",IF(O66=CURSOS!$D$10,"CLINICA DE HERIDAS ",IF(O66=CURSOS!$D$11,"TOMA DE CITOLOGIA CERVICO VAGINAL ",IF(O66=CURSOS!$D$12,"SOPORTE CARDIOVASCULAR AVANZADO (ACLS) ",IF(O66=CURSOS!$D$13,"CAMILLERO ",IF(O66=CURSOS!$D$14,"TOMA DE MUESTRAS Y LABORATORIO ",IF(O66=CURSOS!$D$15,"SOPORTE VITAL BASICO (BLS)",IF(O66=CURSOS!$D$16,"ATENCION A VICTIMAS DE VIOLENCIA SEXUAL ",IF(O66=CURSOS!$D$17,"PROGRAMADO AMPLIADO DE INMUNIZACION (PAI - COVID 19)",IF(O66=CURSOS!$D$18,"ATENCION INTEGRAL EN ENFERMEDADES PREVALENTES EN PRIMERA INFANCIA (AIEPI)",IF(O66=CURSOS!$D$19,"ADMINISTRACION DE MEDICAMENTOS, INYECTOLOGIA  Y CANALIZACION ",IF(O66=CURSOS!$D$20,"OPERADOR DE VEHICULOS DE EMERGENCIA (OVE)",IF(O66=CURSOS!$D$21,"INSTITUCIONES AMIGAS DE LA MUJER Y LA INFANCIA (IAMI)",IF(O66=CURSOS!$D$22,"CUIDADO DEL DONANTE DE ORGANOS",IF(O66=CURSOS!$D$23,"ATENCION A VICTIMAS POR VIOLENCIA DE GENERO",IF(O66=CURSOS!$D$24,"IGUALDAD DE GENERO EN LA SALUD",IF(O66=CURSOS!$D$25,"BRIGADA DE EMERGENCIA",IF(O66=CURSOS!$D$26,"MANEJO DEL DOLOR Y CUIDADOS PALIATIVOS",IF(O66=CURSOS!$D$27,"TOMA DE MUESTRAS Y LABORATORIO POCT",IF(O66=CURSOS!$D$28,"IMPLANTE SUBDERMICO DE DISPOSITIVO INTRAUTERINO",IF(O66=CURSOS!$D$29,"SALUD MENTAL",IF(O66=CURSOS!$D$30,"PRIMEROS AUXILIOS PSICOLOGICOS",IF(O66=CURSOS!$D$31,"ATENCION A VICTIMAS POR CONFLICTO ARMADO",IF(O66=CURSOS!$D$32,"MANIPULACION DE ALIMENTOS Y BPM",IF(O66=CURSOS!$D$33,"ATENCION A PERSONAS CON DISCAPACIDAD",IF(O66=CURSOS!$D$34,"CUIDADO INTEGRAL DEL PACIENTE ADULTO",IF(O66=CURSOS!$D$35,"MANEJO DEFENSIVO",IF(O66=CURSOS!$D$36,"SOPORTE CARDIOVASCULAR AVANZADO NEONATAL",IF(O66=CURSOS!$D$37,"SEGURIDAD DEL PACIENTE",IF(O66=CURSOS!$D$38,"MANEJO DE RESIDUOS HOSPITALARIOS"))))))))))))))))))))))))))))))))))))</f>
        <v xml:space="preserve">TOMA DE MUESTRAS Y LABORATORIO </v>
      </c>
      <c r="V66" s="57" t="str">
        <f t="shared" si="3"/>
        <v>Yasmin Carolina Rojas Guerrero</v>
      </c>
      <c r="W66" s="57" t="str">
        <f t="shared" si="4"/>
        <v>Yasmin Carolina Rojas Guerrero</v>
      </c>
      <c r="X66" s="57" t="str">
        <f t="shared" si="5"/>
        <v>Yasmin Carolina Rojas Guerrero-1086363177-TOMA DE MUESTRAS</v>
      </c>
    </row>
    <row r="67" spans="1:24" s="67" customFormat="1" x14ac:dyDescent="0.2">
      <c r="A67" s="68">
        <v>66</v>
      </c>
      <c r="B67" s="53">
        <v>1086363177</v>
      </c>
      <c r="C67" s="53" t="s">
        <v>286</v>
      </c>
      <c r="D67" s="53" t="s">
        <v>163</v>
      </c>
      <c r="E67" s="53" t="s">
        <v>287</v>
      </c>
      <c r="F67" s="53" t="s">
        <v>288</v>
      </c>
      <c r="G67" s="53">
        <v>9</v>
      </c>
      <c r="H67" s="53" t="s">
        <v>102</v>
      </c>
      <c r="I67" s="56" t="s">
        <v>103</v>
      </c>
      <c r="J67" s="54">
        <v>45638</v>
      </c>
      <c r="K67" s="69">
        <v>30000</v>
      </c>
      <c r="L67" s="53" t="s">
        <v>114</v>
      </c>
      <c r="M67" s="53" t="s">
        <v>105</v>
      </c>
      <c r="N67" s="53" t="s">
        <v>106</v>
      </c>
      <c r="O67" s="53" t="s">
        <v>42</v>
      </c>
      <c r="P67" s="56">
        <v>35295</v>
      </c>
      <c r="Q67" s="53" t="s">
        <v>107</v>
      </c>
      <c r="R67" s="70" t="s">
        <v>133</v>
      </c>
      <c r="S67" s="53">
        <v>3113329482</v>
      </c>
      <c r="T67" s="53" t="s">
        <v>289</v>
      </c>
      <c r="U67" s="57" t="str">
        <f>IF(O67=CURSOS!$D$3,"DIPLOMADO EN ATENCION PRE-HOSPITALARIA",IF(O67=CURSOS!$D$4,"ACOMPAÑAMIENTO Y MANEJO DEL DUELO",IF(O67=CURSOS!$D$5,"ATENCION A VICTIMAS DE ATAQUE CON AGENTES QUIMICOS ",IF(O67=CURSOS!$D$6,"PRIMEROS AUXILIOS ",IF(O67=CURSOS!$D$7,"DIPLOMADO DE UNIDAD DE CUIDADOS INTENSIVOS (UCI)",IF(O67=CURSOS!$D$8,"MODELO DE ATENCION PARA EVENTOS EMERGENTES EN SALUD MENTAL (CODIGO VERDE)",IF(O67=CURSOS!$D$9,"HUMANIZACION EN EL SERVICIO DE LA SALUD Y BUENAS PRACTICAS EN PACIENTE ",IF(O67=CURSOS!$D$10,"CLINICA DE HERIDAS ",IF(O67=CURSOS!$D$11,"TOMA DE CITOLOGIA CERVICO VAGINAL ",IF(O67=CURSOS!$D$12,"SOPORTE CARDIOVASCULAR AVANZADO (ACLS) ",IF(O67=CURSOS!$D$13,"CAMILLERO ",IF(O67=CURSOS!$D$14,"TOMA DE MUESTRAS Y LABORATORIO ",IF(O67=CURSOS!$D$15,"SOPORTE VITAL BASICO (BLS)",IF(O67=CURSOS!$D$16,"ATENCION A VICTIMAS DE VIOLENCIA SEXUAL ",IF(O67=CURSOS!$D$17,"PROGRAMADO AMPLIADO DE INMUNIZACION (PAI - COVID 19)",IF(O67=CURSOS!$D$18,"ATENCION INTEGRAL EN ENFERMEDADES PREVALENTES EN PRIMERA INFANCIA (AIEPI)",IF(O67=CURSOS!$D$19,"ADMINISTRACION DE MEDICAMENTOS, INYECTOLOGIA  Y CANALIZACION ",IF(O67=CURSOS!$D$20,"OPERADOR DE VEHICULOS DE EMERGENCIA (OVE)",IF(O67=CURSOS!$D$21,"INSTITUCIONES AMIGAS DE LA MUJER Y LA INFANCIA (IAMI)",IF(O67=CURSOS!$D$22,"CUIDADO DEL DONANTE DE ORGANOS",IF(O67=CURSOS!$D$23,"ATENCION A VICTIMAS POR VIOLENCIA DE GENERO",IF(O67=CURSOS!$D$24,"IGUALDAD DE GENERO EN LA SALUD",IF(O67=CURSOS!$D$25,"BRIGADA DE EMERGENCIA",IF(O67=CURSOS!$D$26,"MANEJO DEL DOLOR Y CUIDADOS PALIATIVOS",IF(O67=CURSOS!$D$27,"TOMA DE MUESTRAS Y LABORATORIO POCT",IF(O67=CURSOS!$D$28,"IMPLANTE SUBDERMICO DE DISPOSITIVO INTRAUTERINO",IF(O67=CURSOS!$D$29,"SALUD MENTAL",IF(O67=CURSOS!$D$30,"PRIMEROS AUXILIOS PSICOLOGICOS",IF(O67=CURSOS!$D$31,"ATENCION A VICTIMAS POR CONFLICTO ARMADO",IF(O67=CURSOS!$D$32,"MANIPULACION DE ALIMENTOS Y BPM",IF(O67=CURSOS!$D$33,"ATENCION A PERSONAS CON DISCAPACIDAD",IF(O67=CURSOS!$D$34,"CUIDADO INTEGRAL DEL PACIENTE ADULTO",IF(O67=CURSOS!$D$35,"MANEJO DEFENSIVO",IF(O67=CURSOS!$D$36,"SOPORTE CARDIOVASCULAR AVANZADO NEONATAL",IF(O67=CURSOS!$D$37,"SEGURIDAD DEL PACIENTE",IF(O67=CURSOS!$D$38,"MANEJO DE RESIDUOS HOSPITALARIOS"))))))))))))))))))))))))))))))))))))</f>
        <v xml:space="preserve">ATENCION A VICTIMAS DE VIOLENCIA SEXUAL </v>
      </c>
      <c r="V67" s="57" t="str">
        <f t="shared" si="3"/>
        <v>Yasmin Carolina Rojas Guerrero</v>
      </c>
      <c r="W67" s="57" t="str">
        <f t="shared" si="4"/>
        <v>Yasmin Carolina Rojas Guerrero</v>
      </c>
      <c r="X67" s="57" t="str">
        <f t="shared" si="5"/>
        <v>Yasmin Carolina Rojas Guerrero-1086363177-VIOLENCIA SEXUAL</v>
      </c>
    </row>
    <row r="68" spans="1:24" s="67" customFormat="1" x14ac:dyDescent="0.2">
      <c r="A68" s="80">
        <v>67</v>
      </c>
      <c r="B68" s="81">
        <v>1086982487</v>
      </c>
      <c r="C68" s="81" t="s">
        <v>261</v>
      </c>
      <c r="D68" s="81" t="s">
        <v>290</v>
      </c>
      <c r="E68" s="81" t="s">
        <v>235</v>
      </c>
      <c r="F68" s="81" t="s">
        <v>291</v>
      </c>
      <c r="G68" s="81">
        <v>12</v>
      </c>
      <c r="H68" s="81" t="s">
        <v>102</v>
      </c>
      <c r="I68" s="82" t="s">
        <v>154</v>
      </c>
      <c r="J68" s="83"/>
      <c r="K68" s="91"/>
      <c r="L68" s="81"/>
      <c r="M68" s="81" t="s">
        <v>105</v>
      </c>
      <c r="N68" s="81" t="s">
        <v>106</v>
      </c>
      <c r="O68" s="81" t="s">
        <v>19</v>
      </c>
      <c r="P68" s="82">
        <v>34689</v>
      </c>
      <c r="Q68" s="81" t="s">
        <v>107</v>
      </c>
      <c r="R68" s="92" t="s">
        <v>155</v>
      </c>
      <c r="S68" s="81">
        <v>3216607021</v>
      </c>
      <c r="T68" s="81" t="s">
        <v>292</v>
      </c>
      <c r="U68" s="57" t="str">
        <f>IF(O68=CURSOS!$D$3,"DIPLOMADO EN ATENCION PRE-HOSPITALARIA",IF(O68=CURSOS!$D$4,"ACOMPAÑAMIENTO Y MANEJO DEL DUELO",IF(O68=CURSOS!$D$5,"ATENCION A VICTIMAS DE ATAQUE CON AGENTES QUIMICOS ",IF(O68=CURSOS!$D$6,"PRIMEROS AUXILIOS ",IF(O68=CURSOS!$D$7,"DIPLOMADO DE UNIDAD DE CUIDADOS INTENSIVOS (UCI)",IF(O68=CURSOS!$D$8,"MODELO DE ATENCION PARA EVENTOS EMERGENTES EN SALUD MENTAL (CODIGO VERDE)",IF(O68=CURSOS!$D$9,"HUMANIZACION EN EL SERVICIO DE LA SALUD Y BUENAS PRACTICAS EN PACIENTE ",IF(O68=CURSOS!$D$10,"CLINICA DE HERIDAS ",IF(O68=CURSOS!$D$11,"TOMA DE CITOLOGIA CERVICO VAGINAL ",IF(O68=CURSOS!$D$12,"SOPORTE CARDIOVASCULAR AVANZADO (ACLS) ",IF(O68=CURSOS!$D$13,"CAMILLERO ",IF(O68=CURSOS!$D$14,"TOMA DE MUESTRAS Y LABORATORIO ",IF(O68=CURSOS!$D$15,"SOPORTE VITAL BASICO (BLS)",IF(O68=CURSOS!$D$16,"ATENCION A VICTIMAS DE VIOLENCIA SEXUAL ",IF(O68=CURSOS!$D$17,"PROGRAMADO AMPLIADO DE INMUNIZACION (PAI - COVID 19)",IF(O68=CURSOS!$D$18,"ATENCION INTEGRAL EN ENFERMEDADES PREVALENTES EN PRIMERA INFANCIA (AIEPI)",IF(O68=CURSOS!$D$19,"ADMINISTRACION DE MEDICAMENTOS, INYECTOLOGIA  Y CANALIZACION ",IF(O68=CURSOS!$D$20,"OPERADOR DE VEHICULOS DE EMERGENCIA (OVE)",IF(O68=CURSOS!$D$21,"INSTITUCIONES AMIGAS DE LA MUJER Y LA INFANCIA (IAMI)",IF(O68=CURSOS!$D$22,"CUIDADO DEL DONANTE DE ORGANOS",IF(O68=CURSOS!$D$23,"ATENCION A VICTIMAS POR VIOLENCIA DE GENERO",IF(O68=CURSOS!$D$24,"IGUALDAD DE GENERO EN LA SALUD",IF(O68=CURSOS!$D$25,"BRIGADA DE EMERGENCIA",IF(O68=CURSOS!$D$26,"MANEJO DEL DOLOR Y CUIDADOS PALIATIVOS",IF(O68=CURSOS!$D$27,"TOMA DE MUESTRAS Y LABORATORIO POCT",IF(O68=CURSOS!$D$28,"IMPLANTE SUBDERMICO DE DISPOSITIVO INTRAUTERINO",IF(O68=CURSOS!$D$29,"SALUD MENTAL",IF(O68=CURSOS!$D$30,"PRIMEROS AUXILIOS PSICOLOGICOS",IF(O68=CURSOS!$D$31,"ATENCION A VICTIMAS POR CONFLICTO ARMADO",IF(O68=CURSOS!$D$32,"MANIPULACION DE ALIMENTOS Y BPM",IF(O68=CURSOS!$D$33,"ATENCION A PERSONAS CON DISCAPACIDAD",IF(O68=CURSOS!$D$34,"CUIDADO INTEGRAL DEL PACIENTE ADULTO",IF(O68=CURSOS!$D$35,"MANEJO DEFENSIVO",IF(O68=CURSOS!$D$36,"SOPORTE CARDIOVASCULAR AVANZADO NEONATAL",IF(O68=CURSOS!$D$37,"SEGURIDAD DEL PACIENTE",IF(O68=CURSOS!$D$38,"MANEJO DE RESIDUOS HOSPITALARIOS"))))))))))))))))))))))))))))))))))))</f>
        <v>SOPORTE VITAL BASICO (BLS)</v>
      </c>
      <c r="V68" s="57" t="str">
        <f t="shared" si="3"/>
        <v>Ana Cristina Coral Bernal</v>
      </c>
      <c r="W68" s="57" t="str">
        <f t="shared" si="4"/>
        <v>Ana Cristina Coral Bernal</v>
      </c>
      <c r="X68" s="57" t="str">
        <f t="shared" si="5"/>
        <v>Ana Cristina Coral Bernal-1086982487-BLS</v>
      </c>
    </row>
    <row r="69" spans="1:24" s="67" customFormat="1" x14ac:dyDescent="0.2">
      <c r="A69" s="68">
        <v>68</v>
      </c>
      <c r="B69" s="53">
        <v>1233190389</v>
      </c>
      <c r="C69" s="53" t="s">
        <v>293</v>
      </c>
      <c r="D69" s="53" t="s">
        <v>294</v>
      </c>
      <c r="E69" s="53" t="s">
        <v>295</v>
      </c>
      <c r="F69" s="53" t="s">
        <v>207</v>
      </c>
      <c r="G69" s="53">
        <v>10</v>
      </c>
      <c r="H69" s="53" t="s">
        <v>102</v>
      </c>
      <c r="I69" s="56" t="s">
        <v>154</v>
      </c>
      <c r="J69" s="54">
        <v>45632</v>
      </c>
      <c r="K69" s="55">
        <v>70000</v>
      </c>
      <c r="L69" s="53" t="s">
        <v>104</v>
      </c>
      <c r="M69" s="53" t="s">
        <v>105</v>
      </c>
      <c r="N69" s="53" t="s">
        <v>106</v>
      </c>
      <c r="O69" s="53" t="s">
        <v>25</v>
      </c>
      <c r="P69" s="56">
        <v>35675</v>
      </c>
      <c r="Q69" s="53" t="s">
        <v>107</v>
      </c>
      <c r="R69" s="70" t="s">
        <v>116</v>
      </c>
      <c r="S69" s="53">
        <v>3107223248</v>
      </c>
      <c r="T69" s="53" t="s">
        <v>296</v>
      </c>
      <c r="U69" s="57" t="str">
        <f>IF(O69=CURSOS!$D$3,"DIPLOMADO EN ATENCION PRE-HOSPITALARIA",IF(O69=CURSOS!$D$4,"ACOMPAÑAMIENTO Y MANEJO DEL DUELO",IF(O69=CURSOS!$D$5,"ATENCION A VICTIMAS DE ATAQUE CON AGENTES QUIMICOS ",IF(O69=CURSOS!$D$6,"PRIMEROS AUXILIOS ",IF(O69=CURSOS!$D$7,"DIPLOMADO DE UNIDAD DE CUIDADOS INTENSIVOS (UCI)",IF(O69=CURSOS!$D$8,"MODELO DE ATENCION PARA EVENTOS EMERGENTES EN SALUD MENTAL (CODIGO VERDE)",IF(O69=CURSOS!$D$9,"HUMANIZACION EN EL SERVICIO DE LA SALUD Y BUENAS PRACTICAS EN PACIENTE ",IF(O69=CURSOS!$D$10,"CLINICA DE HERIDAS ",IF(O69=CURSOS!$D$11,"TOMA DE CITOLOGIA CERVICO VAGINAL ",IF(O69=CURSOS!$D$12,"SOPORTE CARDIOVASCULAR AVANZADO (ACLS) ",IF(O69=CURSOS!$D$13,"CAMILLERO ",IF(O69=CURSOS!$D$14,"TOMA DE MUESTRAS Y LABORATORIO ",IF(O69=CURSOS!$D$15,"SOPORTE VITAL BASICO (BLS)",IF(O69=CURSOS!$D$16,"ATENCION A VICTIMAS DE VIOLENCIA SEXUAL ",IF(O69=CURSOS!$D$17,"PROGRAMADO AMPLIADO DE INMUNIZACION (PAI - COVID 19)",IF(O69=CURSOS!$D$18,"ATENCION INTEGRAL EN ENFERMEDADES PREVALENTES EN PRIMERA INFANCIA (AIEPI)",IF(O69=CURSOS!$D$19,"ADMINISTRACION DE MEDICAMENTOS, INYECTOLOGIA  Y CANALIZACION ",IF(O69=CURSOS!$D$20,"OPERADOR DE VEHICULOS DE EMERGENCIA (OVE)",IF(O69=CURSOS!$D$21,"INSTITUCIONES AMIGAS DE LA MUJER Y LA INFANCIA (IAMI)",IF(O69=CURSOS!$D$22,"CUIDADO DEL DONANTE DE ORGANOS",IF(O69=CURSOS!$D$23,"ATENCION A VICTIMAS POR VIOLENCIA DE GENERO",IF(O69=CURSOS!$D$24,"IGUALDAD DE GENERO EN LA SALUD",IF(O69=CURSOS!$D$25,"BRIGADA DE EMERGENCIA",IF(O69=CURSOS!$D$26,"MANEJO DEL DOLOR Y CUIDADOS PALIATIVOS",IF(O69=CURSOS!$D$27,"TOMA DE MUESTRAS Y LABORATORIO POCT",IF(O69=CURSOS!$D$28,"IMPLANTE SUBDERMICO DE DISPOSITIVO INTRAUTERINO",IF(O69=CURSOS!$D$29,"SALUD MENTAL",IF(O69=CURSOS!$D$30,"PRIMEROS AUXILIOS PSICOLOGICOS",IF(O69=CURSOS!$D$31,"ATENCION A VICTIMAS POR CONFLICTO ARMADO",IF(O69=CURSOS!$D$32,"MANIPULACION DE ALIMENTOS Y BPM",IF(O69=CURSOS!$D$33,"ATENCION A PERSONAS CON DISCAPACIDAD",IF(O69=CURSOS!$D$34,"CUIDADO INTEGRAL DEL PACIENTE ADULTO",IF(O69=CURSOS!$D$35,"MANEJO DEFENSIVO",IF(O69=CURSOS!$D$36,"SOPORTE CARDIOVASCULAR AVANZADO NEONATAL",IF(O69=CURSOS!$D$37,"SEGURIDAD DEL PACIENTE",IF(O69=CURSOS!$D$38,"MANEJO DE RESIDUOS HOSPITALARIOS"))))))))))))))))))))))))))))))))))))</f>
        <v xml:space="preserve">ATENCION A VICTIMAS DE ATAQUE CON AGENTES QUIMICOS </v>
      </c>
      <c r="V69" s="57" t="str">
        <f t="shared" si="3"/>
        <v>Samanta Yulieth Landazuri Portillo</v>
      </c>
      <c r="W69" s="57" t="str">
        <f t="shared" si="4"/>
        <v>Samanta Yulieth Landazuri Portillo</v>
      </c>
      <c r="X69" s="57" t="str">
        <f t="shared" si="5"/>
        <v>Samanta Yulieth Landazuri Portillo-1233190389-QUIMICOS</v>
      </c>
    </row>
    <row r="70" spans="1:24" s="67" customFormat="1" x14ac:dyDescent="0.2">
      <c r="A70" s="68">
        <v>69</v>
      </c>
      <c r="B70" s="53">
        <v>37124202</v>
      </c>
      <c r="C70" s="53" t="s">
        <v>206</v>
      </c>
      <c r="D70" s="53" t="s">
        <v>297</v>
      </c>
      <c r="E70" s="53" t="s">
        <v>298</v>
      </c>
      <c r="F70" s="53" t="s">
        <v>299</v>
      </c>
      <c r="G70" s="53">
        <v>12</v>
      </c>
      <c r="H70" s="53" t="s">
        <v>102</v>
      </c>
      <c r="I70" s="56" t="s">
        <v>103</v>
      </c>
      <c r="J70" s="54">
        <v>45639</v>
      </c>
      <c r="K70" s="55">
        <v>40000</v>
      </c>
      <c r="L70" s="53" t="s">
        <v>114</v>
      </c>
      <c r="M70" s="53" t="s">
        <v>105</v>
      </c>
      <c r="N70" s="53" t="s">
        <v>106</v>
      </c>
      <c r="O70" s="53" t="s">
        <v>19</v>
      </c>
      <c r="P70" s="56">
        <v>29712</v>
      </c>
      <c r="Q70" s="53" t="s">
        <v>107</v>
      </c>
      <c r="R70" s="70" t="s">
        <v>116</v>
      </c>
      <c r="S70" s="53">
        <v>3156082274</v>
      </c>
      <c r="T70" s="53" t="s">
        <v>300</v>
      </c>
      <c r="U70" s="57" t="str">
        <f>IF(O70=CURSOS!$D$3,"DIPLOMADO EN ATENCION PRE-HOSPITALARIA",IF(O70=CURSOS!$D$4,"ACOMPAÑAMIENTO Y MANEJO DEL DUELO",IF(O70=CURSOS!$D$5,"ATENCION A VICTIMAS DE ATAQUE CON AGENTES QUIMICOS ",IF(O70=CURSOS!$D$6,"PRIMEROS AUXILIOS ",IF(O70=CURSOS!$D$7,"DIPLOMADO DE UNIDAD DE CUIDADOS INTENSIVOS (UCI)",IF(O70=CURSOS!$D$8,"MODELO DE ATENCION PARA EVENTOS EMERGENTES EN SALUD MENTAL (CODIGO VERDE)",IF(O70=CURSOS!$D$9,"HUMANIZACION EN EL SERVICIO DE LA SALUD Y BUENAS PRACTICAS EN PACIENTE ",IF(O70=CURSOS!$D$10,"CLINICA DE HERIDAS ",IF(O70=CURSOS!$D$11,"TOMA DE CITOLOGIA CERVICO VAGINAL ",IF(O70=CURSOS!$D$12,"SOPORTE CARDIOVASCULAR AVANZADO (ACLS) ",IF(O70=CURSOS!$D$13,"CAMILLERO ",IF(O70=CURSOS!$D$14,"TOMA DE MUESTRAS Y LABORATORIO ",IF(O70=CURSOS!$D$15,"SOPORTE VITAL BASICO (BLS)",IF(O70=CURSOS!$D$16,"ATENCION A VICTIMAS DE VIOLENCIA SEXUAL ",IF(O70=CURSOS!$D$17,"PROGRAMADO AMPLIADO DE INMUNIZACION (PAI - COVID 19)",IF(O70=CURSOS!$D$18,"ATENCION INTEGRAL EN ENFERMEDADES PREVALENTES EN PRIMERA INFANCIA (AIEPI)",IF(O70=CURSOS!$D$19,"ADMINISTRACION DE MEDICAMENTOS, INYECTOLOGIA  Y CANALIZACION ",IF(O70=CURSOS!$D$20,"OPERADOR DE VEHICULOS DE EMERGENCIA (OVE)",IF(O70=CURSOS!$D$21,"INSTITUCIONES AMIGAS DE LA MUJER Y LA INFANCIA (IAMI)",IF(O70=CURSOS!$D$22,"CUIDADO DEL DONANTE DE ORGANOS",IF(O70=CURSOS!$D$23,"ATENCION A VICTIMAS POR VIOLENCIA DE GENERO",IF(O70=CURSOS!$D$24,"IGUALDAD DE GENERO EN LA SALUD",IF(O70=CURSOS!$D$25,"BRIGADA DE EMERGENCIA",IF(O70=CURSOS!$D$26,"MANEJO DEL DOLOR Y CUIDADOS PALIATIVOS",IF(O70=CURSOS!$D$27,"TOMA DE MUESTRAS Y LABORATORIO POCT",IF(O70=CURSOS!$D$28,"IMPLANTE SUBDERMICO DE DISPOSITIVO INTRAUTERINO",IF(O70=CURSOS!$D$29,"SALUD MENTAL",IF(O70=CURSOS!$D$30,"PRIMEROS AUXILIOS PSICOLOGICOS",IF(O70=CURSOS!$D$31,"ATENCION A VICTIMAS POR CONFLICTO ARMADO",IF(O70=CURSOS!$D$32,"MANIPULACION DE ALIMENTOS Y BPM",IF(O70=CURSOS!$D$33,"ATENCION A PERSONAS CON DISCAPACIDAD",IF(O70=CURSOS!$D$34,"CUIDADO INTEGRAL DEL PACIENTE ADULTO",IF(O70=CURSOS!$D$35,"MANEJO DEFENSIVO",IF(O70=CURSOS!$D$36,"SOPORTE CARDIOVASCULAR AVANZADO NEONATAL",IF(O70=CURSOS!$D$37,"SEGURIDAD DEL PACIENTE",IF(O70=CURSOS!$D$38,"MANEJO DE RESIDUOS HOSPITALARIOS"))))))))))))))))))))))))))))))))))))</f>
        <v>SOPORTE VITAL BASICO (BLS)</v>
      </c>
      <c r="V70" s="57" t="str">
        <f t="shared" si="3"/>
        <v>Omaira Luz Edith Ramirez Cepeda</v>
      </c>
      <c r="W70" s="57" t="str">
        <f t="shared" si="4"/>
        <v>Omaira Luz Edith Ramirez Cepeda</v>
      </c>
      <c r="X70" s="57" t="str">
        <f t="shared" si="5"/>
        <v>Omaira Luz Edith Ramirez Cepeda-37124202-BLS</v>
      </c>
    </row>
    <row r="71" spans="1:24" s="67" customFormat="1" x14ac:dyDescent="0.2">
      <c r="A71" s="68">
        <v>70</v>
      </c>
      <c r="B71" s="53">
        <v>1085285813</v>
      </c>
      <c r="C71" s="53" t="s">
        <v>302</v>
      </c>
      <c r="D71" s="53" t="s">
        <v>110</v>
      </c>
      <c r="E71" s="53" t="s">
        <v>303</v>
      </c>
      <c r="F71" s="53" t="s">
        <v>304</v>
      </c>
      <c r="G71" s="53">
        <v>13</v>
      </c>
      <c r="H71" s="53" t="s">
        <v>102</v>
      </c>
      <c r="I71" s="56" t="s">
        <v>154</v>
      </c>
      <c r="J71" s="54">
        <v>45639</v>
      </c>
      <c r="K71" s="55">
        <v>70000</v>
      </c>
      <c r="L71" s="53" t="s">
        <v>104</v>
      </c>
      <c r="M71" s="53" t="s">
        <v>105</v>
      </c>
      <c r="N71" s="53" t="s">
        <v>106</v>
      </c>
      <c r="O71" s="53" t="s">
        <v>46</v>
      </c>
      <c r="P71" s="56"/>
      <c r="Q71" s="53" t="s">
        <v>139</v>
      </c>
      <c r="R71" s="70" t="s">
        <v>140</v>
      </c>
      <c r="S71" s="70">
        <v>3177822825</v>
      </c>
      <c r="T71" s="53" t="s">
        <v>305</v>
      </c>
      <c r="U71" s="57" t="str">
        <f>IF(O71=CURSOS!$D$3,"DIPLOMADO EN ATENCION PRE-HOSPITALARIA",IF(O71=CURSOS!$D$4,"ACOMPAÑAMIENTO Y MANEJO DEL DUELO",IF(O71=CURSOS!$D$5,"ATENCION A VICTIMAS DE ATAQUE CON AGENTES QUIMICOS ",IF(O71=CURSOS!$D$6,"PRIMEROS AUXILIOS ",IF(O71=CURSOS!$D$7,"DIPLOMADO DE UNIDAD DE CUIDADOS INTENSIVOS (UCI)",IF(O71=CURSOS!$D$8,"MODELO DE ATENCION PARA EVENTOS EMERGENTES EN SALUD MENTAL (CODIGO VERDE)",IF(O71=CURSOS!$D$9,"HUMANIZACION EN EL SERVICIO DE LA SALUD Y BUENAS PRACTICAS EN PACIENTE ",IF(O71=CURSOS!$D$10,"CLINICA DE HERIDAS ",IF(O71=CURSOS!$D$11,"TOMA DE CITOLOGIA CERVICO VAGINAL ",IF(O71=CURSOS!$D$12,"SOPORTE CARDIOVASCULAR AVANZADO (ACLS) ",IF(O71=CURSOS!$D$13,"CAMILLERO ",IF(O71=CURSOS!$D$14,"TOMA DE MUESTRAS Y LABORATORIO ",IF(O71=CURSOS!$D$15,"SOPORTE VITAL BASICO (BLS)",IF(O71=CURSOS!$D$16,"ATENCION A VICTIMAS DE VIOLENCIA SEXUAL ",IF(O71=CURSOS!$D$17,"PROGRAMADO AMPLIADO DE INMUNIZACION (PAI - COVID 19)",IF(O71=CURSOS!$D$18,"ATENCION INTEGRAL EN ENFERMEDADES PREVALENTES EN PRIMERA INFANCIA (AIEPI)",IF(O71=CURSOS!$D$19,"ADMINISTRACION DE MEDICAMENTOS, INYECTOLOGIA  Y CANALIZACION ",IF(O71=CURSOS!$D$20,"OPERADOR DE VEHICULOS DE EMERGENCIA (OVE)",IF(O71=CURSOS!$D$21,"INSTITUCIONES AMIGAS DE LA MUJER Y LA INFANCIA (IAMI)",IF(O71=CURSOS!$D$22,"CUIDADO DEL DONANTE DE ORGANOS",IF(O71=CURSOS!$D$23,"ATENCION A VICTIMAS POR VIOLENCIA DE GENERO",IF(O71=CURSOS!$D$24,"IGUALDAD DE GENERO EN LA SALUD",IF(O71=CURSOS!$D$25,"BRIGADA DE EMERGENCIA",IF(O71=CURSOS!$D$26,"MANEJO DEL DOLOR Y CUIDADOS PALIATIVOS",IF(O71=CURSOS!$D$27,"TOMA DE MUESTRAS Y LABORATORIO POCT",IF(O71=CURSOS!$D$28,"IMPLANTE SUBDERMICO DE DISPOSITIVO INTRAUTERINO",IF(O71=CURSOS!$D$29,"SALUD MENTAL",IF(O71=CURSOS!$D$30,"PRIMEROS AUXILIOS PSICOLOGICOS",IF(O71=CURSOS!$D$31,"ATENCION A VICTIMAS POR CONFLICTO ARMADO",IF(O71=CURSOS!$D$32,"MANIPULACION DE ALIMENTOS Y BPM",IF(O71=CURSOS!$D$33,"ATENCION A PERSONAS CON DISCAPACIDAD",IF(O71=CURSOS!$D$34,"CUIDADO INTEGRAL DEL PACIENTE ADULTO",IF(O71=CURSOS!$D$35,"MANEJO DEFENSIVO",IF(O71=CURSOS!$D$36,"SOPORTE CARDIOVASCULAR AVANZADO NEONATAL",IF(O71=CURSOS!$D$37,"SEGURIDAD DEL PACIENTE",IF(O71=CURSOS!$D$38,"MANEJO DE RESIDUOS HOSPITALARIOS"))))))))))))))))))))))))))))))))))))</f>
        <v>OPERADOR DE VEHICULOS DE EMERGENCIA (OVE)</v>
      </c>
      <c r="V71" s="57" t="str">
        <f t="shared" si="3"/>
        <v>Esteban Bladimir Guacales López</v>
      </c>
      <c r="W71" s="57" t="str">
        <f t="shared" si="4"/>
        <v>Esteban Bladimir Guacales López</v>
      </c>
      <c r="X71" s="57" t="str">
        <f t="shared" si="5"/>
        <v>Esteban Bladimir Guacales López-1085285813-OVE</v>
      </c>
    </row>
    <row r="72" spans="1:24" s="67" customFormat="1" x14ac:dyDescent="0.2">
      <c r="A72" s="68">
        <v>71</v>
      </c>
      <c r="B72" s="53">
        <v>52702928</v>
      </c>
      <c r="C72" s="53" t="s">
        <v>306</v>
      </c>
      <c r="D72" s="53" t="s">
        <v>307</v>
      </c>
      <c r="E72" s="53" t="s">
        <v>308</v>
      </c>
      <c r="F72" s="53"/>
      <c r="G72" s="53">
        <v>13</v>
      </c>
      <c r="H72" s="53" t="s">
        <v>102</v>
      </c>
      <c r="I72" s="56" t="s">
        <v>103</v>
      </c>
      <c r="J72" s="54">
        <v>45639</v>
      </c>
      <c r="K72" s="55">
        <v>130000</v>
      </c>
      <c r="L72" s="53" t="s">
        <v>114</v>
      </c>
      <c r="M72" s="53" t="s">
        <v>105</v>
      </c>
      <c r="N72" s="53" t="s">
        <v>106</v>
      </c>
      <c r="O72" s="85" t="s">
        <v>37</v>
      </c>
      <c r="P72" s="56">
        <v>25649</v>
      </c>
      <c r="Q72" s="53" t="s">
        <v>107</v>
      </c>
      <c r="R72" s="70" t="s">
        <v>170</v>
      </c>
      <c r="S72" s="70">
        <v>3206878157</v>
      </c>
      <c r="T72" s="53" t="s">
        <v>309</v>
      </c>
      <c r="U72" s="57" t="str">
        <f>IF(O72=CURSOS!$D$3,"DIPLOMADO EN ATENCION PRE-HOSPITALARIA",IF(O72=CURSOS!$D$4,"ACOMPAÑAMIENTO Y MANEJO DEL DUELO",IF(O72=CURSOS!$D$5,"ATENCION A VICTIMAS DE ATAQUE CON AGENTES QUIMICOS ",IF(O72=CURSOS!$D$6,"PRIMEROS AUXILIOS ",IF(O72=CURSOS!$D$7,"DIPLOMADO DE UNIDAD DE CUIDADOS INTENSIVOS (UCI)",IF(O72=CURSOS!$D$8,"MODELO DE ATENCION PARA EVENTOS EMERGENTES EN SALUD MENTAL (CODIGO VERDE)",IF(O72=CURSOS!$D$9,"HUMANIZACION EN EL SERVICIO DE LA SALUD Y BUENAS PRACTICAS EN PACIENTE ",IF(O72=CURSOS!$D$10,"CLINICA DE HERIDAS ",IF(O72=CURSOS!$D$11,"TOMA DE CITOLOGIA CERVICO VAGINAL ",IF(O72=CURSOS!$D$12,"SOPORTE CARDIOVASCULAR AVANZADO (ACLS) ",IF(O72=CURSOS!$D$13,"CAMILLERO ",IF(O72=CURSOS!$D$14,"TOMA DE MUESTRAS Y LABORATORIO ",IF(O72=CURSOS!$D$15,"SOPORTE VITAL BASICO (BLS)",IF(O72=CURSOS!$D$16,"ATENCION A VICTIMAS DE VIOLENCIA SEXUAL ",IF(O72=CURSOS!$D$17,"PROGRAMADO AMPLIADO DE INMUNIZACION (PAI - COVID 19)",IF(O72=CURSOS!$D$18,"ATENCION INTEGRAL EN ENFERMEDADES PREVALENTES EN PRIMERA INFANCIA (AIEPI)",IF(O72=CURSOS!$D$19,"ADMINISTRACION DE MEDICAMENTOS, INYECTOLOGIA  Y CANALIZACION ",IF(O72=CURSOS!$D$20,"OPERADOR DE VEHICULOS DE EMERGENCIA (OVE)",IF(O72=CURSOS!$D$21,"INSTITUCIONES AMIGAS DE LA MUJER Y LA INFANCIA (IAMI)",IF(O72=CURSOS!$D$22,"CUIDADO DEL DONANTE DE ORGANOS",IF(O72=CURSOS!$D$23,"ATENCION A VICTIMAS POR VIOLENCIA DE GENERO",IF(O72=CURSOS!$D$24,"IGUALDAD DE GENERO EN LA SALUD",IF(O72=CURSOS!$D$25,"BRIGADA DE EMERGENCIA",IF(O72=CURSOS!$D$26,"MANEJO DEL DOLOR Y CUIDADOS PALIATIVOS",IF(O72=CURSOS!$D$27,"TOMA DE MUESTRAS Y LABORATORIO POCT",IF(O72=CURSOS!$D$28,"IMPLANTE SUBDERMICO DE DISPOSITIVO INTRAUTERINO",IF(O72=CURSOS!$D$29,"SALUD MENTAL",IF(O72=CURSOS!$D$30,"PRIMEROS AUXILIOS PSICOLOGICOS",IF(O72=CURSOS!$D$31,"ATENCION A VICTIMAS POR CONFLICTO ARMADO",IF(O72=CURSOS!$D$32,"MANIPULACION DE ALIMENTOS Y BPM",IF(O72=CURSOS!$D$33,"ATENCION A PERSONAS CON DISCAPACIDAD",IF(O72=CURSOS!$D$34,"CUIDADO INTEGRAL DEL PACIENTE ADULTO",IF(O72=CURSOS!$D$35,"MANEJO DEFENSIVO",IF(O72=CURSOS!$D$36,"SOPORTE CARDIOVASCULAR AVANZADO NEONATAL",IF(O72=CURSOS!$D$37,"SEGURIDAD DEL PACIENTE",IF(O72=CURSOS!$D$38,"MANEJO DE RESIDUOS HOSPITALARIOS"))))))))))))))))))))))))))))))))))))</f>
        <v xml:space="preserve">SOPORTE CARDIOVASCULAR AVANZADO (ACLS) </v>
      </c>
      <c r="V72" s="57" t="str">
        <f t="shared" si="3"/>
        <v>Mercedes  Solarte Palacios</v>
      </c>
      <c r="W72" s="57" t="str">
        <f t="shared" si="4"/>
        <v>Mercedes  Solarte Palacios</v>
      </c>
      <c r="X72" s="57" t="str">
        <f t="shared" si="5"/>
        <v>Mercedes  Solarte Palacios-52702928-ACLS</v>
      </c>
    </row>
    <row r="73" spans="1:24" s="67" customFormat="1" x14ac:dyDescent="0.2">
      <c r="A73" s="68">
        <v>72</v>
      </c>
      <c r="B73" s="53">
        <v>52702928</v>
      </c>
      <c r="C73" s="53" t="s">
        <v>306</v>
      </c>
      <c r="D73" s="53" t="s">
        <v>307</v>
      </c>
      <c r="E73" s="53" t="s">
        <v>308</v>
      </c>
      <c r="F73" s="53"/>
      <c r="G73" s="53">
        <v>12</v>
      </c>
      <c r="H73" s="53" t="s">
        <v>102</v>
      </c>
      <c r="I73" s="56" t="s">
        <v>103</v>
      </c>
      <c r="J73" s="54">
        <v>45639</v>
      </c>
      <c r="K73" s="55">
        <v>30000</v>
      </c>
      <c r="L73" s="53" t="s">
        <v>114</v>
      </c>
      <c r="M73" s="53" t="s">
        <v>105</v>
      </c>
      <c r="N73" s="53" t="s">
        <v>106</v>
      </c>
      <c r="O73" s="53" t="s">
        <v>42</v>
      </c>
      <c r="P73" s="56">
        <v>25649</v>
      </c>
      <c r="Q73" s="53" t="s">
        <v>107</v>
      </c>
      <c r="R73" s="70" t="s">
        <v>170</v>
      </c>
      <c r="S73" s="70">
        <v>3206878157</v>
      </c>
      <c r="T73" s="53" t="s">
        <v>309</v>
      </c>
      <c r="U73" s="57" t="str">
        <f>IF(O73=CURSOS!$D$3,"DIPLOMADO EN ATENCION PRE-HOSPITALARIA",IF(O73=CURSOS!$D$4,"ACOMPAÑAMIENTO Y MANEJO DEL DUELO",IF(O73=CURSOS!$D$5,"ATENCION A VICTIMAS DE ATAQUE CON AGENTES QUIMICOS ",IF(O73=CURSOS!$D$6,"PRIMEROS AUXILIOS ",IF(O73=CURSOS!$D$7,"DIPLOMADO DE UNIDAD DE CUIDADOS INTENSIVOS (UCI)",IF(O73=CURSOS!$D$8,"MODELO DE ATENCION PARA EVENTOS EMERGENTES EN SALUD MENTAL (CODIGO VERDE)",IF(O73=CURSOS!$D$9,"HUMANIZACION EN EL SERVICIO DE LA SALUD Y BUENAS PRACTICAS EN PACIENTE ",IF(O73=CURSOS!$D$10,"CLINICA DE HERIDAS ",IF(O73=CURSOS!$D$11,"TOMA DE CITOLOGIA CERVICO VAGINAL ",IF(O73=CURSOS!$D$12,"SOPORTE CARDIOVASCULAR AVANZADO (ACLS) ",IF(O73=CURSOS!$D$13,"CAMILLERO ",IF(O73=CURSOS!$D$14,"TOMA DE MUESTRAS Y LABORATORIO ",IF(O73=CURSOS!$D$15,"SOPORTE VITAL BASICO (BLS)",IF(O73=CURSOS!$D$16,"ATENCION A VICTIMAS DE VIOLENCIA SEXUAL ",IF(O73=CURSOS!$D$17,"PROGRAMADO AMPLIADO DE INMUNIZACION (PAI - COVID 19)",IF(O73=CURSOS!$D$18,"ATENCION INTEGRAL EN ENFERMEDADES PREVALENTES EN PRIMERA INFANCIA (AIEPI)",IF(O73=CURSOS!$D$19,"ADMINISTRACION DE MEDICAMENTOS, INYECTOLOGIA  Y CANALIZACION ",IF(O73=CURSOS!$D$20,"OPERADOR DE VEHICULOS DE EMERGENCIA (OVE)",IF(O73=CURSOS!$D$21,"INSTITUCIONES AMIGAS DE LA MUJER Y LA INFANCIA (IAMI)",IF(O73=CURSOS!$D$22,"CUIDADO DEL DONANTE DE ORGANOS",IF(O73=CURSOS!$D$23,"ATENCION A VICTIMAS POR VIOLENCIA DE GENERO",IF(O73=CURSOS!$D$24,"IGUALDAD DE GENERO EN LA SALUD",IF(O73=CURSOS!$D$25,"BRIGADA DE EMERGENCIA",IF(O73=CURSOS!$D$26,"MANEJO DEL DOLOR Y CUIDADOS PALIATIVOS",IF(O73=CURSOS!$D$27,"TOMA DE MUESTRAS Y LABORATORIO POCT",IF(O73=CURSOS!$D$28,"IMPLANTE SUBDERMICO DE DISPOSITIVO INTRAUTERINO",IF(O73=CURSOS!$D$29,"SALUD MENTAL",IF(O73=CURSOS!$D$30,"PRIMEROS AUXILIOS PSICOLOGICOS",IF(O73=CURSOS!$D$31,"ATENCION A VICTIMAS POR CONFLICTO ARMADO",IF(O73=CURSOS!$D$32,"MANIPULACION DE ALIMENTOS Y BPM",IF(O73=CURSOS!$D$33,"ATENCION A PERSONAS CON DISCAPACIDAD",IF(O73=CURSOS!$D$34,"CUIDADO INTEGRAL DEL PACIENTE ADULTO",IF(O73=CURSOS!$D$35,"MANEJO DEFENSIVO",IF(O73=CURSOS!$D$36,"SOPORTE CARDIOVASCULAR AVANZADO NEONATAL",IF(O73=CURSOS!$D$37,"SEGURIDAD DEL PACIENTE",IF(O73=CURSOS!$D$38,"MANEJO DE RESIDUOS HOSPITALARIOS"))))))))))))))))))))))))))))))))))))</f>
        <v xml:space="preserve">ATENCION A VICTIMAS DE VIOLENCIA SEXUAL </v>
      </c>
      <c r="V73" s="57" t="str">
        <f t="shared" si="3"/>
        <v>Mercedes  Solarte Palacios</v>
      </c>
      <c r="W73" s="57" t="str">
        <f t="shared" si="4"/>
        <v>Mercedes  Solarte Palacios</v>
      </c>
      <c r="X73" s="57" t="str">
        <f t="shared" si="5"/>
        <v>Mercedes  Solarte Palacios-52702928-VIOLENCIA SEXUAL</v>
      </c>
    </row>
    <row r="74" spans="1:24" s="67" customFormat="1" x14ac:dyDescent="0.2">
      <c r="A74" s="68">
        <v>73</v>
      </c>
      <c r="B74" s="53">
        <v>12753669</v>
      </c>
      <c r="C74" s="53" t="s">
        <v>310</v>
      </c>
      <c r="D74" s="53" t="s">
        <v>311</v>
      </c>
      <c r="E74" s="53" t="s">
        <v>312</v>
      </c>
      <c r="F74" s="53" t="s">
        <v>313</v>
      </c>
      <c r="G74" s="53">
        <v>16</v>
      </c>
      <c r="H74" s="53" t="s">
        <v>102</v>
      </c>
      <c r="I74" s="56" t="s">
        <v>154</v>
      </c>
      <c r="J74" s="54"/>
      <c r="K74" s="55">
        <v>75000</v>
      </c>
      <c r="L74" s="53"/>
      <c r="M74" s="53" t="s">
        <v>105</v>
      </c>
      <c r="N74" s="53" t="s">
        <v>106</v>
      </c>
      <c r="O74" s="53" t="s">
        <v>23</v>
      </c>
      <c r="P74" s="56"/>
      <c r="Q74" s="53" t="s">
        <v>139</v>
      </c>
      <c r="R74" s="90" t="s">
        <v>155</v>
      </c>
      <c r="S74" s="70">
        <v>3153458154</v>
      </c>
      <c r="T74" s="53" t="s">
        <v>314</v>
      </c>
      <c r="U74" s="57" t="str">
        <f>IF(O74=CURSOS!$D$3,"DIPLOMADO EN ATENCION PRE-HOSPITALARIA",IF(O74=CURSOS!$D$4,"ACOMPAÑAMIENTO Y MANEJO DEL DUELO",IF(O74=CURSOS!$D$5,"ATENCION A VICTIMAS DE ATAQUE CON AGENTES QUIMICOS ",IF(O74=CURSOS!$D$6,"PRIMEROS AUXILIOS ",IF(O74=CURSOS!$D$7,"DIPLOMADO DE UNIDAD DE CUIDADOS INTENSIVOS (UCI)",IF(O74=CURSOS!$D$8,"MODELO DE ATENCION PARA EVENTOS EMERGENTES EN SALUD MENTAL (CODIGO VERDE)",IF(O74=CURSOS!$D$9,"HUMANIZACION EN EL SERVICIO DE LA SALUD Y BUENAS PRACTICAS EN PACIENTE ",IF(O74=CURSOS!$D$10,"CLINICA DE HERIDAS ",IF(O74=CURSOS!$D$11,"TOMA DE CITOLOGIA CERVICO VAGINAL ",IF(O74=CURSOS!$D$12,"SOPORTE CARDIOVASCULAR AVANZADO (ACLS) ",IF(O74=CURSOS!$D$13,"CAMILLERO ",IF(O74=CURSOS!$D$14,"TOMA DE MUESTRAS Y LABORATORIO ",IF(O74=CURSOS!$D$15,"SOPORTE VITAL BASICO (BLS)",IF(O74=CURSOS!$D$16,"ATENCION A VICTIMAS DE VIOLENCIA SEXUAL ",IF(O74=CURSOS!$D$17,"PROGRAMADO AMPLIADO DE INMUNIZACION (PAI - COVID 19)",IF(O74=CURSOS!$D$18,"ATENCION INTEGRAL EN ENFERMEDADES PREVALENTES EN PRIMERA INFANCIA (AIEPI)",IF(O74=CURSOS!$D$19,"ADMINISTRACION DE MEDICAMENTOS, INYECTOLOGIA  Y CANALIZACION ",IF(O74=CURSOS!$D$20,"OPERADOR DE VEHICULOS DE EMERGENCIA (OVE)",IF(O74=CURSOS!$D$21,"INSTITUCIONES AMIGAS DE LA MUJER Y LA INFANCIA (IAMI)",IF(O74=CURSOS!$D$22,"CUIDADO DEL DONANTE DE ORGANOS",IF(O74=CURSOS!$D$23,"ATENCION A VICTIMAS POR VIOLENCIA DE GENERO",IF(O74=CURSOS!$D$24,"IGUALDAD DE GENERO EN LA SALUD",IF(O74=CURSOS!$D$25,"BRIGADA DE EMERGENCIA",IF(O74=CURSOS!$D$26,"MANEJO DEL DOLOR Y CUIDADOS PALIATIVOS",IF(O74=CURSOS!$D$27,"TOMA DE MUESTRAS Y LABORATORIO POCT",IF(O74=CURSOS!$D$28,"IMPLANTE SUBDERMICO DE DISPOSITIVO INTRAUTERINO",IF(O74=CURSOS!$D$29,"SALUD MENTAL",IF(O74=CURSOS!$D$30,"PRIMEROS AUXILIOS PSICOLOGICOS",IF(O74=CURSOS!$D$31,"ATENCION A VICTIMAS POR CONFLICTO ARMADO",IF(O74=CURSOS!$D$32,"MANIPULACION DE ALIMENTOS Y BPM",IF(O74=CURSOS!$D$33,"ATENCION A PERSONAS CON DISCAPACIDAD",IF(O74=CURSOS!$D$34,"CUIDADO INTEGRAL DEL PACIENTE ADULTO",IF(O74=CURSOS!$D$35,"MANEJO DEFENSIVO",IF(O74=CURSOS!$D$36,"SOPORTE CARDIOVASCULAR AVANZADO NEONATAL",IF(O74=CURSOS!$D$37,"SEGURIDAD DEL PACIENTE",IF(O74=CURSOS!$D$38,"MANEJO DE RESIDUOS HOSPITALARIOS"))))))))))))))))))))))))))))))))))))</f>
        <v>ACOMPAÑAMIENTO Y MANEJO DEL DUELO</v>
      </c>
      <c r="V74" s="57" t="str">
        <f t="shared" si="3"/>
        <v>Jairo Antonio Nandar Pinchao</v>
      </c>
      <c r="W74" s="57" t="str">
        <f t="shared" si="4"/>
        <v>Jairo Antonio Nandar Pinchao</v>
      </c>
      <c r="X74" s="57" t="str">
        <f t="shared" si="5"/>
        <v>Jairo Antonio Nandar Pinchao-12753669-DUELO</v>
      </c>
    </row>
    <row r="75" spans="1:24" s="67" customFormat="1" x14ac:dyDescent="0.2">
      <c r="A75" s="68">
        <v>74</v>
      </c>
      <c r="B75" s="53">
        <v>12753669</v>
      </c>
      <c r="C75" s="53" t="s">
        <v>310</v>
      </c>
      <c r="D75" s="53" t="s">
        <v>311</v>
      </c>
      <c r="E75" s="53" t="s">
        <v>312</v>
      </c>
      <c r="F75" s="53" t="s">
        <v>313</v>
      </c>
      <c r="G75" s="53">
        <v>16</v>
      </c>
      <c r="H75" s="53" t="s">
        <v>102</v>
      </c>
      <c r="I75" s="56" t="s">
        <v>103</v>
      </c>
      <c r="J75" s="54">
        <v>45643</v>
      </c>
      <c r="K75" s="55">
        <v>30000</v>
      </c>
      <c r="L75" s="53" t="s">
        <v>114</v>
      </c>
      <c r="M75" s="53" t="s">
        <v>105</v>
      </c>
      <c r="N75" s="53" t="s">
        <v>106</v>
      </c>
      <c r="O75" s="53" t="s">
        <v>42</v>
      </c>
      <c r="P75" s="56"/>
      <c r="Q75" s="53" t="s">
        <v>139</v>
      </c>
      <c r="R75" s="90" t="s">
        <v>155</v>
      </c>
      <c r="S75" s="70">
        <v>3153458154</v>
      </c>
      <c r="T75" s="53" t="s">
        <v>314</v>
      </c>
      <c r="U75" s="57" t="str">
        <f>IF(O75=CURSOS!$D$3,"DIPLOMADO EN ATENCION PRE-HOSPITALARIA",IF(O75=CURSOS!$D$4,"ACOMPAÑAMIENTO Y MANEJO DEL DUELO",IF(O75=CURSOS!$D$5,"ATENCION A VICTIMAS DE ATAQUE CON AGENTES QUIMICOS ",IF(O75=CURSOS!$D$6,"PRIMEROS AUXILIOS ",IF(O75=CURSOS!$D$7,"DIPLOMADO DE UNIDAD DE CUIDADOS INTENSIVOS (UCI)",IF(O75=CURSOS!$D$8,"MODELO DE ATENCION PARA EVENTOS EMERGENTES EN SALUD MENTAL (CODIGO VERDE)",IF(O75=CURSOS!$D$9,"HUMANIZACION EN EL SERVICIO DE LA SALUD Y BUENAS PRACTICAS EN PACIENTE ",IF(O75=CURSOS!$D$10,"CLINICA DE HERIDAS ",IF(O75=CURSOS!$D$11,"TOMA DE CITOLOGIA CERVICO VAGINAL ",IF(O75=CURSOS!$D$12,"SOPORTE CARDIOVASCULAR AVANZADO (ACLS) ",IF(O75=CURSOS!$D$13,"CAMILLERO ",IF(O75=CURSOS!$D$14,"TOMA DE MUESTRAS Y LABORATORIO ",IF(O75=CURSOS!$D$15,"SOPORTE VITAL BASICO (BLS)",IF(O75=CURSOS!$D$16,"ATENCION A VICTIMAS DE VIOLENCIA SEXUAL ",IF(O75=CURSOS!$D$17,"PROGRAMADO AMPLIADO DE INMUNIZACION (PAI - COVID 19)",IF(O75=CURSOS!$D$18,"ATENCION INTEGRAL EN ENFERMEDADES PREVALENTES EN PRIMERA INFANCIA (AIEPI)",IF(O75=CURSOS!$D$19,"ADMINISTRACION DE MEDICAMENTOS, INYECTOLOGIA  Y CANALIZACION ",IF(O75=CURSOS!$D$20,"OPERADOR DE VEHICULOS DE EMERGENCIA (OVE)",IF(O75=CURSOS!$D$21,"INSTITUCIONES AMIGAS DE LA MUJER Y LA INFANCIA (IAMI)",IF(O75=CURSOS!$D$22,"CUIDADO DEL DONANTE DE ORGANOS",IF(O75=CURSOS!$D$23,"ATENCION A VICTIMAS POR VIOLENCIA DE GENERO",IF(O75=CURSOS!$D$24,"IGUALDAD DE GENERO EN LA SALUD",IF(O75=CURSOS!$D$25,"BRIGADA DE EMERGENCIA",IF(O75=CURSOS!$D$26,"MANEJO DEL DOLOR Y CUIDADOS PALIATIVOS",IF(O75=CURSOS!$D$27,"TOMA DE MUESTRAS Y LABORATORIO POCT",IF(O75=CURSOS!$D$28,"IMPLANTE SUBDERMICO DE DISPOSITIVO INTRAUTERINO",IF(O75=CURSOS!$D$29,"SALUD MENTAL",IF(O75=CURSOS!$D$30,"PRIMEROS AUXILIOS PSICOLOGICOS",IF(O75=CURSOS!$D$31,"ATENCION A VICTIMAS POR CONFLICTO ARMADO",IF(O75=CURSOS!$D$32,"MANIPULACION DE ALIMENTOS Y BPM",IF(O75=CURSOS!$D$33,"ATENCION A PERSONAS CON DISCAPACIDAD",IF(O75=CURSOS!$D$34,"CUIDADO INTEGRAL DEL PACIENTE ADULTO",IF(O75=CURSOS!$D$35,"MANEJO DEFENSIVO",IF(O75=CURSOS!$D$36,"SOPORTE CARDIOVASCULAR AVANZADO NEONATAL",IF(O75=CURSOS!$D$37,"SEGURIDAD DEL PACIENTE",IF(O75=CURSOS!$D$38,"MANEJO DE RESIDUOS HOSPITALARIOS"))))))))))))))))))))))))))))))))))))</f>
        <v xml:space="preserve">ATENCION A VICTIMAS DE VIOLENCIA SEXUAL </v>
      </c>
      <c r="V75" s="57" t="str">
        <f t="shared" si="3"/>
        <v>Jairo Antonio Nandar Pinchao</v>
      </c>
      <c r="W75" s="57" t="str">
        <f t="shared" si="4"/>
        <v>Jairo Antonio Nandar Pinchao</v>
      </c>
      <c r="X75" s="57" t="str">
        <f t="shared" si="5"/>
        <v>Jairo Antonio Nandar Pinchao-12753669-VIOLENCIA SEXUAL</v>
      </c>
    </row>
    <row r="76" spans="1:24" s="67" customFormat="1" x14ac:dyDescent="0.2">
      <c r="A76" s="68">
        <v>75</v>
      </c>
      <c r="B76" s="53">
        <v>12753669</v>
      </c>
      <c r="C76" s="53" t="s">
        <v>310</v>
      </c>
      <c r="D76" s="53" t="s">
        <v>311</v>
      </c>
      <c r="E76" s="53" t="s">
        <v>312</v>
      </c>
      <c r="F76" s="53" t="s">
        <v>313</v>
      </c>
      <c r="G76" s="53">
        <v>16</v>
      </c>
      <c r="H76" s="53" t="s">
        <v>102</v>
      </c>
      <c r="I76" s="56" t="s">
        <v>103</v>
      </c>
      <c r="J76" s="54">
        <v>45643</v>
      </c>
      <c r="K76" s="55">
        <v>30000</v>
      </c>
      <c r="L76" s="53" t="s">
        <v>114</v>
      </c>
      <c r="M76" s="53" t="s">
        <v>105</v>
      </c>
      <c r="N76" s="53" t="s">
        <v>106</v>
      </c>
      <c r="O76" s="53" t="s">
        <v>44</v>
      </c>
      <c r="P76" s="56"/>
      <c r="Q76" s="53" t="s">
        <v>139</v>
      </c>
      <c r="R76" s="90" t="s">
        <v>155</v>
      </c>
      <c r="S76" s="70">
        <v>3153458154</v>
      </c>
      <c r="T76" s="53" t="s">
        <v>314</v>
      </c>
      <c r="U76" s="57" t="str">
        <f>IF(O76=CURSOS!$D$3,"DIPLOMADO EN ATENCION PRE-HOSPITALARIA",IF(O76=CURSOS!$D$4,"ACOMPAÑAMIENTO Y MANEJO DEL DUELO",IF(O76=CURSOS!$D$5,"ATENCION A VICTIMAS DE ATAQUE CON AGENTES QUIMICOS ",IF(O76=CURSOS!$D$6,"PRIMEROS AUXILIOS ",IF(O76=CURSOS!$D$7,"DIPLOMADO DE UNIDAD DE CUIDADOS INTENSIVOS (UCI)",IF(O76=CURSOS!$D$8,"MODELO DE ATENCION PARA EVENTOS EMERGENTES EN SALUD MENTAL (CODIGO VERDE)",IF(O76=CURSOS!$D$9,"HUMANIZACION EN EL SERVICIO DE LA SALUD Y BUENAS PRACTICAS EN PACIENTE ",IF(O76=CURSOS!$D$10,"CLINICA DE HERIDAS ",IF(O76=CURSOS!$D$11,"TOMA DE CITOLOGIA CERVICO VAGINAL ",IF(O76=CURSOS!$D$12,"SOPORTE CARDIOVASCULAR AVANZADO (ACLS) ",IF(O76=CURSOS!$D$13,"CAMILLERO ",IF(O76=CURSOS!$D$14,"TOMA DE MUESTRAS Y LABORATORIO ",IF(O76=CURSOS!$D$15,"SOPORTE VITAL BASICO (BLS)",IF(O76=CURSOS!$D$16,"ATENCION A VICTIMAS DE VIOLENCIA SEXUAL ",IF(O76=CURSOS!$D$17,"PROGRAMADO AMPLIADO DE INMUNIZACION (PAI - COVID 19)",IF(O76=CURSOS!$D$18,"ATENCION INTEGRAL EN ENFERMEDADES PREVALENTES EN PRIMERA INFANCIA (AIEPI)",IF(O76=CURSOS!$D$19,"ADMINISTRACION DE MEDICAMENTOS, INYECTOLOGIA  Y CANALIZACION ",IF(O76=CURSOS!$D$20,"OPERADOR DE VEHICULOS DE EMERGENCIA (OVE)",IF(O76=CURSOS!$D$21,"INSTITUCIONES AMIGAS DE LA MUJER Y LA INFANCIA (IAMI)",IF(O76=CURSOS!$D$22,"CUIDADO DEL DONANTE DE ORGANOS",IF(O76=CURSOS!$D$23,"ATENCION A VICTIMAS POR VIOLENCIA DE GENERO",IF(O76=CURSOS!$D$24,"IGUALDAD DE GENERO EN LA SALUD",IF(O76=CURSOS!$D$25,"BRIGADA DE EMERGENCIA",IF(O76=CURSOS!$D$26,"MANEJO DEL DOLOR Y CUIDADOS PALIATIVOS",IF(O76=CURSOS!$D$27,"TOMA DE MUESTRAS Y LABORATORIO POCT",IF(O76=CURSOS!$D$28,"IMPLANTE SUBDERMICO DE DISPOSITIVO INTRAUTERINO",IF(O76=CURSOS!$D$29,"SALUD MENTAL",IF(O76=CURSOS!$D$30,"PRIMEROS AUXILIOS PSICOLOGICOS",IF(O76=CURSOS!$D$31,"ATENCION A VICTIMAS POR CONFLICTO ARMADO",IF(O76=CURSOS!$D$32,"MANIPULACION DE ALIMENTOS Y BPM",IF(O76=CURSOS!$D$33,"ATENCION A PERSONAS CON DISCAPACIDAD",IF(O76=CURSOS!$D$34,"CUIDADO INTEGRAL DEL PACIENTE ADULTO",IF(O76=CURSOS!$D$35,"MANEJO DEFENSIVO",IF(O76=CURSOS!$D$36,"SOPORTE CARDIOVASCULAR AVANZADO NEONATAL",IF(O76=CURSOS!$D$37,"SEGURIDAD DEL PACIENTE",IF(O76=CURSOS!$D$38,"MANEJO DE RESIDUOS HOSPITALARIOS"))))))))))))))))))))))))))))))))))))</f>
        <v>ATENCION INTEGRAL EN ENFERMEDADES PREVALENTES EN PRIMERA INFANCIA (AIEPI)</v>
      </c>
      <c r="V76" s="57" t="str">
        <f t="shared" si="3"/>
        <v>Jairo Antonio Nandar Pinchao</v>
      </c>
      <c r="W76" s="57" t="str">
        <f t="shared" si="4"/>
        <v>Jairo Antonio Nandar Pinchao</v>
      </c>
      <c r="X76" s="57" t="str">
        <f t="shared" si="5"/>
        <v>Jairo Antonio Nandar Pinchao-12753669-AIEPI</v>
      </c>
    </row>
    <row r="77" spans="1:24" s="67" customFormat="1" x14ac:dyDescent="0.2">
      <c r="A77" s="68">
        <v>76</v>
      </c>
      <c r="B77" s="53">
        <v>12753669</v>
      </c>
      <c r="C77" s="53" t="s">
        <v>310</v>
      </c>
      <c r="D77" s="53" t="s">
        <v>311</v>
      </c>
      <c r="E77" s="53" t="s">
        <v>312</v>
      </c>
      <c r="F77" s="53" t="s">
        <v>313</v>
      </c>
      <c r="G77" s="53">
        <v>16</v>
      </c>
      <c r="H77" s="53" t="s">
        <v>102</v>
      </c>
      <c r="I77" s="56" t="s">
        <v>103</v>
      </c>
      <c r="J77" s="54">
        <v>45643</v>
      </c>
      <c r="K77" s="55">
        <v>30000</v>
      </c>
      <c r="L77" s="53" t="s">
        <v>114</v>
      </c>
      <c r="M77" s="53" t="s">
        <v>105</v>
      </c>
      <c r="N77" s="53" t="s">
        <v>106</v>
      </c>
      <c r="O77" s="53" t="s">
        <v>48</v>
      </c>
      <c r="P77" s="56"/>
      <c r="Q77" s="53" t="s">
        <v>139</v>
      </c>
      <c r="R77" s="90" t="s">
        <v>155</v>
      </c>
      <c r="S77" s="70">
        <v>3153458154</v>
      </c>
      <c r="T77" s="53" t="s">
        <v>314</v>
      </c>
      <c r="U77" s="57" t="str">
        <f>IF(O77=CURSOS!$D$3,"DIPLOMADO EN ATENCION PRE-HOSPITALARIA",IF(O77=CURSOS!$D$4,"ACOMPAÑAMIENTO Y MANEJO DEL DUELO",IF(O77=CURSOS!$D$5,"ATENCION A VICTIMAS DE ATAQUE CON AGENTES QUIMICOS ",IF(O77=CURSOS!$D$6,"PRIMEROS AUXILIOS ",IF(O77=CURSOS!$D$7,"DIPLOMADO DE UNIDAD DE CUIDADOS INTENSIVOS (UCI)",IF(O77=CURSOS!$D$8,"MODELO DE ATENCION PARA EVENTOS EMERGENTES EN SALUD MENTAL (CODIGO VERDE)",IF(O77=CURSOS!$D$9,"HUMANIZACION EN EL SERVICIO DE LA SALUD Y BUENAS PRACTICAS EN PACIENTE ",IF(O77=CURSOS!$D$10,"CLINICA DE HERIDAS ",IF(O77=CURSOS!$D$11,"TOMA DE CITOLOGIA CERVICO VAGINAL ",IF(O77=CURSOS!$D$12,"SOPORTE CARDIOVASCULAR AVANZADO (ACLS) ",IF(O77=CURSOS!$D$13,"CAMILLERO ",IF(O77=CURSOS!$D$14,"TOMA DE MUESTRAS Y LABORATORIO ",IF(O77=CURSOS!$D$15,"SOPORTE VITAL BASICO (BLS)",IF(O77=CURSOS!$D$16,"ATENCION A VICTIMAS DE VIOLENCIA SEXUAL ",IF(O77=CURSOS!$D$17,"PROGRAMADO AMPLIADO DE INMUNIZACION (PAI - COVID 19)",IF(O77=CURSOS!$D$18,"ATENCION INTEGRAL EN ENFERMEDADES PREVALENTES EN PRIMERA INFANCIA (AIEPI)",IF(O77=CURSOS!$D$19,"ADMINISTRACION DE MEDICAMENTOS, INYECTOLOGIA  Y CANALIZACION ",IF(O77=CURSOS!$D$20,"OPERADOR DE VEHICULOS DE EMERGENCIA (OVE)",IF(O77=CURSOS!$D$21,"INSTITUCIONES AMIGAS DE LA MUJER Y LA INFANCIA (IAMI)",IF(O77=CURSOS!$D$22,"CUIDADO DEL DONANTE DE ORGANOS",IF(O77=CURSOS!$D$23,"ATENCION A VICTIMAS POR VIOLENCIA DE GENERO",IF(O77=CURSOS!$D$24,"IGUALDAD DE GENERO EN LA SALUD",IF(O77=CURSOS!$D$25,"BRIGADA DE EMERGENCIA",IF(O77=CURSOS!$D$26,"MANEJO DEL DOLOR Y CUIDADOS PALIATIVOS",IF(O77=CURSOS!$D$27,"TOMA DE MUESTRAS Y LABORATORIO POCT",IF(O77=CURSOS!$D$28,"IMPLANTE SUBDERMICO DE DISPOSITIVO INTRAUTERINO",IF(O77=CURSOS!$D$29,"SALUD MENTAL",IF(O77=CURSOS!$D$30,"PRIMEROS AUXILIOS PSICOLOGICOS",IF(O77=CURSOS!$D$31,"ATENCION A VICTIMAS POR CONFLICTO ARMADO",IF(O77=CURSOS!$D$32,"MANIPULACION DE ALIMENTOS Y BPM",IF(O77=CURSOS!$D$33,"ATENCION A PERSONAS CON DISCAPACIDAD",IF(O77=CURSOS!$D$34,"CUIDADO INTEGRAL DEL PACIENTE ADULTO",IF(O77=CURSOS!$D$35,"MANEJO DEFENSIVO",IF(O77=CURSOS!$D$36,"SOPORTE CARDIOVASCULAR AVANZADO NEONATAL",IF(O77=CURSOS!$D$37,"SEGURIDAD DEL PACIENTE",IF(O77=CURSOS!$D$38,"MANEJO DE RESIDUOS HOSPITALARIOS"))))))))))))))))))))))))))))))))))))</f>
        <v>INSTITUCIONES AMIGAS DE LA MUJER Y LA INFANCIA (IAMI)</v>
      </c>
      <c r="V77" s="57" t="str">
        <f t="shared" si="3"/>
        <v>Jairo Antonio Nandar Pinchao</v>
      </c>
      <c r="W77" s="57" t="str">
        <f t="shared" si="4"/>
        <v>Jairo Antonio Nandar Pinchao</v>
      </c>
      <c r="X77" s="57" t="str">
        <f t="shared" si="5"/>
        <v>Jairo Antonio Nandar Pinchao-12753669-IAMI</v>
      </c>
    </row>
    <row r="78" spans="1:24" s="67" customFormat="1" x14ac:dyDescent="0.2">
      <c r="A78" s="68">
        <v>77</v>
      </c>
      <c r="B78" s="53">
        <v>1144060770</v>
      </c>
      <c r="C78" s="53" t="s">
        <v>315</v>
      </c>
      <c r="D78" s="53" t="s">
        <v>316</v>
      </c>
      <c r="E78" s="53" t="s">
        <v>317</v>
      </c>
      <c r="F78" s="53" t="s">
        <v>308</v>
      </c>
      <c r="G78" s="53">
        <v>12</v>
      </c>
      <c r="H78" s="53" t="s">
        <v>102</v>
      </c>
      <c r="I78" s="56" t="s">
        <v>103</v>
      </c>
      <c r="J78" s="54">
        <v>45642</v>
      </c>
      <c r="K78" s="55">
        <v>20000</v>
      </c>
      <c r="L78" s="53" t="s">
        <v>104</v>
      </c>
      <c r="M78" s="53" t="s">
        <v>105</v>
      </c>
      <c r="N78" s="53" t="s">
        <v>106</v>
      </c>
      <c r="O78" s="53" t="s">
        <v>42</v>
      </c>
      <c r="P78" s="56">
        <v>34020</v>
      </c>
      <c r="Q78" s="53" t="s">
        <v>107</v>
      </c>
      <c r="R78" s="90" t="s">
        <v>155</v>
      </c>
      <c r="S78" s="70">
        <v>3203212035</v>
      </c>
      <c r="T78" s="53" t="s">
        <v>318</v>
      </c>
      <c r="U78" s="57" t="str">
        <f>IF(O78=CURSOS!$D$3,"DIPLOMADO EN ATENCION PRE-HOSPITALARIA",IF(O78=CURSOS!$D$4,"ACOMPAÑAMIENTO Y MANEJO DEL DUELO",IF(O78=CURSOS!$D$5,"ATENCION A VICTIMAS DE ATAQUE CON AGENTES QUIMICOS ",IF(O78=CURSOS!$D$6,"PRIMEROS AUXILIOS ",IF(O78=CURSOS!$D$7,"DIPLOMADO DE UNIDAD DE CUIDADOS INTENSIVOS (UCI)",IF(O78=CURSOS!$D$8,"MODELO DE ATENCION PARA EVENTOS EMERGENTES EN SALUD MENTAL (CODIGO VERDE)",IF(O78=CURSOS!$D$9,"HUMANIZACION EN EL SERVICIO DE LA SALUD Y BUENAS PRACTICAS EN PACIENTE ",IF(O78=CURSOS!$D$10,"CLINICA DE HERIDAS ",IF(O78=CURSOS!$D$11,"TOMA DE CITOLOGIA CERVICO VAGINAL ",IF(O78=CURSOS!$D$12,"SOPORTE CARDIOVASCULAR AVANZADO (ACLS) ",IF(O78=CURSOS!$D$13,"CAMILLERO ",IF(O78=CURSOS!$D$14,"TOMA DE MUESTRAS Y LABORATORIO ",IF(O78=CURSOS!$D$15,"SOPORTE VITAL BASICO (BLS)",IF(O78=CURSOS!$D$16,"ATENCION A VICTIMAS DE VIOLENCIA SEXUAL ",IF(O78=CURSOS!$D$17,"PROGRAMADO AMPLIADO DE INMUNIZACION (PAI - COVID 19)",IF(O78=CURSOS!$D$18,"ATENCION INTEGRAL EN ENFERMEDADES PREVALENTES EN PRIMERA INFANCIA (AIEPI)",IF(O78=CURSOS!$D$19,"ADMINISTRACION DE MEDICAMENTOS, INYECTOLOGIA  Y CANALIZACION ",IF(O78=CURSOS!$D$20,"OPERADOR DE VEHICULOS DE EMERGENCIA (OVE)",IF(O78=CURSOS!$D$21,"INSTITUCIONES AMIGAS DE LA MUJER Y LA INFANCIA (IAMI)",IF(O78=CURSOS!$D$22,"CUIDADO DEL DONANTE DE ORGANOS",IF(O78=CURSOS!$D$23,"ATENCION A VICTIMAS POR VIOLENCIA DE GENERO",IF(O78=CURSOS!$D$24,"IGUALDAD DE GENERO EN LA SALUD",IF(O78=CURSOS!$D$25,"BRIGADA DE EMERGENCIA",IF(O78=CURSOS!$D$26,"MANEJO DEL DOLOR Y CUIDADOS PALIATIVOS",IF(O78=CURSOS!$D$27,"TOMA DE MUESTRAS Y LABORATORIO POCT",IF(O78=CURSOS!$D$28,"IMPLANTE SUBDERMICO DE DISPOSITIVO INTRAUTERINO",IF(O78=CURSOS!$D$29,"SALUD MENTAL",IF(O78=CURSOS!$D$30,"PRIMEROS AUXILIOS PSICOLOGICOS",IF(O78=CURSOS!$D$31,"ATENCION A VICTIMAS POR CONFLICTO ARMADO",IF(O78=CURSOS!$D$32,"MANIPULACION DE ALIMENTOS Y BPM",IF(O78=CURSOS!$D$33,"ATENCION A PERSONAS CON DISCAPACIDAD",IF(O78=CURSOS!$D$34,"CUIDADO INTEGRAL DEL PACIENTE ADULTO",IF(O78=CURSOS!$D$35,"MANEJO DEFENSIVO",IF(O78=CURSOS!$D$36,"SOPORTE CARDIOVASCULAR AVANZADO NEONATAL",IF(O78=CURSOS!$D$37,"SEGURIDAD DEL PACIENTE",IF(O78=CURSOS!$D$38,"MANEJO DE RESIDUOS HOSPITALARIOS"))))))))))))))))))))))))))))))))))))</f>
        <v xml:space="preserve">ATENCION A VICTIMAS DE VIOLENCIA SEXUAL </v>
      </c>
      <c r="V78" s="57" t="str">
        <f t="shared" si="3"/>
        <v>Sonia Mercedes Yusty Osorio</v>
      </c>
      <c r="W78" s="57" t="str">
        <f t="shared" si="4"/>
        <v>Sonia Mercedes Yusty Osorio</v>
      </c>
      <c r="X78" s="57" t="str">
        <f t="shared" si="5"/>
        <v>Sonia Mercedes Yusty Osorio-1144060770-VIOLENCIA SEXUAL</v>
      </c>
    </row>
    <row r="79" spans="1:24" s="67" customFormat="1" x14ac:dyDescent="0.2">
      <c r="A79" s="68">
        <v>78</v>
      </c>
      <c r="B79" s="53">
        <v>1144060770</v>
      </c>
      <c r="C79" s="53" t="s">
        <v>315</v>
      </c>
      <c r="D79" s="53" t="s">
        <v>316</v>
      </c>
      <c r="E79" s="53" t="s">
        <v>317</v>
      </c>
      <c r="F79" s="53" t="s">
        <v>308</v>
      </c>
      <c r="G79" s="53">
        <v>13</v>
      </c>
      <c r="H79" s="53" t="s">
        <v>102</v>
      </c>
      <c r="I79" s="56" t="s">
        <v>103</v>
      </c>
      <c r="J79" s="54">
        <v>45642</v>
      </c>
      <c r="K79" s="55">
        <v>20000</v>
      </c>
      <c r="L79" s="54" t="s">
        <v>104</v>
      </c>
      <c r="M79" s="53" t="s">
        <v>105</v>
      </c>
      <c r="N79" s="53" t="s">
        <v>106</v>
      </c>
      <c r="O79" s="53" t="s">
        <v>23</v>
      </c>
      <c r="P79" s="56">
        <v>34020</v>
      </c>
      <c r="Q79" s="53" t="s">
        <v>107</v>
      </c>
      <c r="R79" s="90" t="s">
        <v>155</v>
      </c>
      <c r="S79" s="70">
        <v>3203212035</v>
      </c>
      <c r="T79" s="53" t="s">
        <v>318</v>
      </c>
      <c r="U79" s="57" t="str">
        <f>IF(O79=CURSOS!$D$3,"DIPLOMADO EN ATENCION PRE-HOSPITALARIA",IF(O79=CURSOS!$D$4,"ACOMPAÑAMIENTO Y MANEJO DEL DUELO",IF(O79=CURSOS!$D$5,"ATENCION A VICTIMAS DE ATAQUE CON AGENTES QUIMICOS ",IF(O79=CURSOS!$D$6,"PRIMEROS AUXILIOS ",IF(O79=CURSOS!$D$7,"DIPLOMADO DE UNIDAD DE CUIDADOS INTENSIVOS (UCI)",IF(O79=CURSOS!$D$8,"MODELO DE ATENCION PARA EVENTOS EMERGENTES EN SALUD MENTAL (CODIGO VERDE)",IF(O79=CURSOS!$D$9,"HUMANIZACION EN EL SERVICIO DE LA SALUD Y BUENAS PRACTICAS EN PACIENTE ",IF(O79=CURSOS!$D$10,"CLINICA DE HERIDAS ",IF(O79=CURSOS!$D$11,"TOMA DE CITOLOGIA CERVICO VAGINAL ",IF(O79=CURSOS!$D$12,"SOPORTE CARDIOVASCULAR AVANZADO (ACLS) ",IF(O79=CURSOS!$D$13,"CAMILLERO ",IF(O79=CURSOS!$D$14,"TOMA DE MUESTRAS Y LABORATORIO ",IF(O79=CURSOS!$D$15,"SOPORTE VITAL BASICO (BLS)",IF(O79=CURSOS!$D$16,"ATENCION A VICTIMAS DE VIOLENCIA SEXUAL ",IF(O79=CURSOS!$D$17,"PROGRAMADO AMPLIADO DE INMUNIZACION (PAI - COVID 19)",IF(O79=CURSOS!$D$18,"ATENCION INTEGRAL EN ENFERMEDADES PREVALENTES EN PRIMERA INFANCIA (AIEPI)",IF(O79=CURSOS!$D$19,"ADMINISTRACION DE MEDICAMENTOS, INYECTOLOGIA  Y CANALIZACION ",IF(O79=CURSOS!$D$20,"OPERADOR DE VEHICULOS DE EMERGENCIA (OVE)",IF(O79=CURSOS!$D$21,"INSTITUCIONES AMIGAS DE LA MUJER Y LA INFANCIA (IAMI)",IF(O79=CURSOS!$D$22,"CUIDADO DEL DONANTE DE ORGANOS",IF(O79=CURSOS!$D$23,"ATENCION A VICTIMAS POR VIOLENCIA DE GENERO",IF(O79=CURSOS!$D$24,"IGUALDAD DE GENERO EN LA SALUD",IF(O79=CURSOS!$D$25,"BRIGADA DE EMERGENCIA",IF(O79=CURSOS!$D$26,"MANEJO DEL DOLOR Y CUIDADOS PALIATIVOS",IF(O79=CURSOS!$D$27,"TOMA DE MUESTRAS Y LABORATORIO POCT",IF(O79=CURSOS!$D$28,"IMPLANTE SUBDERMICO DE DISPOSITIVO INTRAUTERINO",IF(O79=CURSOS!$D$29,"SALUD MENTAL",IF(O79=CURSOS!$D$30,"PRIMEROS AUXILIOS PSICOLOGICOS",IF(O79=CURSOS!$D$31,"ATENCION A VICTIMAS POR CONFLICTO ARMADO",IF(O79=CURSOS!$D$32,"MANIPULACION DE ALIMENTOS Y BPM",IF(O79=CURSOS!$D$33,"ATENCION A PERSONAS CON DISCAPACIDAD",IF(O79=CURSOS!$D$34,"CUIDADO INTEGRAL DEL PACIENTE ADULTO",IF(O79=CURSOS!$D$35,"MANEJO DEFENSIVO",IF(O79=CURSOS!$D$36,"SOPORTE CARDIOVASCULAR AVANZADO NEONATAL",IF(O79=CURSOS!$D$37,"SEGURIDAD DEL PACIENTE",IF(O79=CURSOS!$D$38,"MANEJO DE RESIDUOS HOSPITALARIOS"))))))))))))))))))))))))))))))))))))</f>
        <v>ACOMPAÑAMIENTO Y MANEJO DEL DUELO</v>
      </c>
      <c r="V79" s="57" t="str">
        <f t="shared" si="3"/>
        <v>Sonia Mercedes Yusty Osorio</v>
      </c>
      <c r="W79" s="57" t="str">
        <f t="shared" si="4"/>
        <v>Sonia Mercedes Yusty Osorio</v>
      </c>
      <c r="X79" s="57" t="str">
        <f t="shared" si="5"/>
        <v>Sonia Mercedes Yusty Osorio-1144060770-DUELO</v>
      </c>
    </row>
    <row r="80" spans="1:24" s="67" customFormat="1" x14ac:dyDescent="0.2">
      <c r="A80" s="68">
        <v>79</v>
      </c>
      <c r="B80" s="53">
        <v>1144060770</v>
      </c>
      <c r="C80" s="53" t="s">
        <v>315</v>
      </c>
      <c r="D80" s="53" t="s">
        <v>316</v>
      </c>
      <c r="E80" s="53" t="s">
        <v>317</v>
      </c>
      <c r="F80" s="53" t="s">
        <v>308</v>
      </c>
      <c r="G80" s="53">
        <v>14</v>
      </c>
      <c r="H80" s="53" t="s">
        <v>102</v>
      </c>
      <c r="I80" s="56" t="s">
        <v>103</v>
      </c>
      <c r="J80" s="54">
        <v>45642</v>
      </c>
      <c r="K80" s="55">
        <v>20000</v>
      </c>
      <c r="L80" s="53" t="s">
        <v>104</v>
      </c>
      <c r="M80" s="53" t="s">
        <v>105</v>
      </c>
      <c r="N80" s="53" t="s">
        <v>106</v>
      </c>
      <c r="O80" s="53" t="s">
        <v>32</v>
      </c>
      <c r="P80" s="56">
        <v>34020</v>
      </c>
      <c r="Q80" s="53" t="s">
        <v>107</v>
      </c>
      <c r="R80" s="90" t="s">
        <v>155</v>
      </c>
      <c r="S80" s="70">
        <v>3203212035</v>
      </c>
      <c r="T80" s="53" t="s">
        <v>318</v>
      </c>
      <c r="U80" s="57" t="str">
        <f>IF(O80=CURSOS!$D$3,"DIPLOMADO EN ATENCION PRE-HOSPITALARIA",IF(O80=CURSOS!$D$4,"ACOMPAÑAMIENTO Y MANEJO DEL DUELO",IF(O80=CURSOS!$D$5,"ATENCION A VICTIMAS DE ATAQUE CON AGENTES QUIMICOS ",IF(O80=CURSOS!$D$6,"PRIMEROS AUXILIOS ",IF(O80=CURSOS!$D$7,"DIPLOMADO DE UNIDAD DE CUIDADOS INTENSIVOS (UCI)",IF(O80=CURSOS!$D$8,"MODELO DE ATENCION PARA EVENTOS EMERGENTES EN SALUD MENTAL (CODIGO VERDE)",IF(O80=CURSOS!$D$9,"HUMANIZACION EN EL SERVICIO DE LA SALUD Y BUENAS PRACTICAS EN PACIENTE ",IF(O80=CURSOS!$D$10,"CLINICA DE HERIDAS ",IF(O80=CURSOS!$D$11,"TOMA DE CITOLOGIA CERVICO VAGINAL ",IF(O80=CURSOS!$D$12,"SOPORTE CARDIOVASCULAR AVANZADO (ACLS) ",IF(O80=CURSOS!$D$13,"CAMILLERO ",IF(O80=CURSOS!$D$14,"TOMA DE MUESTRAS Y LABORATORIO ",IF(O80=CURSOS!$D$15,"SOPORTE VITAL BASICO (BLS)",IF(O80=CURSOS!$D$16,"ATENCION A VICTIMAS DE VIOLENCIA SEXUAL ",IF(O80=CURSOS!$D$17,"PROGRAMADO AMPLIADO DE INMUNIZACION (PAI - COVID 19)",IF(O80=CURSOS!$D$18,"ATENCION INTEGRAL EN ENFERMEDADES PREVALENTES EN PRIMERA INFANCIA (AIEPI)",IF(O80=CURSOS!$D$19,"ADMINISTRACION DE MEDICAMENTOS, INYECTOLOGIA  Y CANALIZACION ",IF(O80=CURSOS!$D$20,"OPERADOR DE VEHICULOS DE EMERGENCIA (OVE)",IF(O80=CURSOS!$D$21,"INSTITUCIONES AMIGAS DE LA MUJER Y LA INFANCIA (IAMI)",IF(O80=CURSOS!$D$22,"CUIDADO DEL DONANTE DE ORGANOS",IF(O80=CURSOS!$D$23,"ATENCION A VICTIMAS POR VIOLENCIA DE GENERO",IF(O80=CURSOS!$D$24,"IGUALDAD DE GENERO EN LA SALUD",IF(O80=CURSOS!$D$25,"BRIGADA DE EMERGENCIA",IF(O80=CURSOS!$D$26,"MANEJO DEL DOLOR Y CUIDADOS PALIATIVOS",IF(O80=CURSOS!$D$27,"TOMA DE MUESTRAS Y LABORATORIO POCT",IF(O80=CURSOS!$D$28,"IMPLANTE SUBDERMICO DE DISPOSITIVO INTRAUTERINO",IF(O80=CURSOS!$D$29,"SALUD MENTAL",IF(O80=CURSOS!$D$30,"PRIMEROS AUXILIOS PSICOLOGICOS",IF(O80=CURSOS!$D$31,"ATENCION A VICTIMAS POR CONFLICTO ARMADO",IF(O80=CURSOS!$D$32,"MANIPULACION DE ALIMENTOS Y BPM",IF(O80=CURSOS!$D$33,"ATENCION A PERSONAS CON DISCAPACIDAD",IF(O80=CURSOS!$D$34,"CUIDADO INTEGRAL DEL PACIENTE ADULTO",IF(O80=CURSOS!$D$35,"MANEJO DEFENSIVO",IF(O80=CURSOS!$D$36,"SOPORTE CARDIOVASCULAR AVANZADO NEONATAL",IF(O80=CURSOS!$D$37,"SEGURIDAD DEL PACIENTE",IF(O80=CURSOS!$D$38,"MANEJO DE RESIDUOS HOSPITALARIOS"))))))))))))))))))))))))))))))))))))</f>
        <v xml:space="preserve">HUMANIZACION EN EL SERVICIO DE LA SALUD Y BUENAS PRACTICAS EN PACIENTE </v>
      </c>
      <c r="V80" s="57" t="str">
        <f t="shared" si="3"/>
        <v>Sonia Mercedes Yusty Osorio</v>
      </c>
      <c r="W80" s="57" t="str">
        <f t="shared" si="4"/>
        <v>Sonia Mercedes Yusty Osorio</v>
      </c>
      <c r="X80" s="57" t="str">
        <f t="shared" si="5"/>
        <v>Sonia Mercedes Yusty Osorio-1144060770-HUMANIZACION</v>
      </c>
    </row>
    <row r="81" spans="1:24" s="67" customFormat="1" x14ac:dyDescent="0.2">
      <c r="A81" s="68">
        <v>80</v>
      </c>
      <c r="B81" s="53">
        <v>1144060770</v>
      </c>
      <c r="C81" s="53" t="s">
        <v>315</v>
      </c>
      <c r="D81" s="53" t="s">
        <v>316</v>
      </c>
      <c r="E81" s="53" t="s">
        <v>317</v>
      </c>
      <c r="F81" s="53" t="s">
        <v>308</v>
      </c>
      <c r="G81" s="53">
        <v>16</v>
      </c>
      <c r="H81" s="53" t="s">
        <v>102</v>
      </c>
      <c r="I81" s="56" t="s">
        <v>103</v>
      </c>
      <c r="J81" s="54">
        <v>45642</v>
      </c>
      <c r="K81" s="55">
        <v>20000</v>
      </c>
      <c r="L81" s="53" t="s">
        <v>104</v>
      </c>
      <c r="M81" s="53" t="s">
        <v>105</v>
      </c>
      <c r="N81" s="53" t="s">
        <v>106</v>
      </c>
      <c r="O81" s="85" t="s">
        <v>57</v>
      </c>
      <c r="P81" s="56">
        <v>34020</v>
      </c>
      <c r="Q81" s="53" t="s">
        <v>107</v>
      </c>
      <c r="R81" s="90" t="s">
        <v>155</v>
      </c>
      <c r="S81" s="70">
        <v>3203212035</v>
      </c>
      <c r="T81" s="53" t="s">
        <v>318</v>
      </c>
      <c r="U81" s="57" t="str">
        <f>IF(O81=CURSOS!$D$3,"DIPLOMADO EN ATENCION PRE-HOSPITALARIA",IF(O81=CURSOS!$D$4,"ACOMPAÑAMIENTO Y MANEJO DEL DUELO",IF(O81=CURSOS!$D$5,"ATENCION A VICTIMAS DE ATAQUE CON AGENTES QUIMICOS ",IF(O81=CURSOS!$D$6,"PRIMEROS AUXILIOS ",IF(O81=CURSOS!$D$7,"DIPLOMADO DE UNIDAD DE CUIDADOS INTENSIVOS (UCI)",IF(O81=CURSOS!$D$8,"MODELO DE ATENCION PARA EVENTOS EMERGENTES EN SALUD MENTAL (CODIGO VERDE)",IF(O81=CURSOS!$D$9,"HUMANIZACION EN EL SERVICIO DE LA SALUD Y BUENAS PRACTICAS EN PACIENTE ",IF(O81=CURSOS!$D$10,"CLINICA DE HERIDAS ",IF(O81=CURSOS!$D$11,"TOMA DE CITOLOGIA CERVICO VAGINAL ",IF(O81=CURSOS!$D$12,"SOPORTE CARDIOVASCULAR AVANZADO (ACLS) ",IF(O81=CURSOS!$D$13,"CAMILLERO ",IF(O81=CURSOS!$D$14,"TOMA DE MUESTRAS Y LABORATORIO ",IF(O81=CURSOS!$D$15,"SOPORTE VITAL BASICO (BLS)",IF(O81=CURSOS!$D$16,"ATENCION A VICTIMAS DE VIOLENCIA SEXUAL ",IF(O81=CURSOS!$D$17,"PROGRAMADO AMPLIADO DE INMUNIZACION (PAI - COVID 19)",IF(O81=CURSOS!$D$18,"ATENCION INTEGRAL EN ENFERMEDADES PREVALENTES EN PRIMERA INFANCIA (AIEPI)",IF(O81=CURSOS!$D$19,"ADMINISTRACION DE MEDICAMENTOS, INYECTOLOGIA  Y CANALIZACION ",IF(O81=CURSOS!$D$20,"OPERADOR DE VEHICULOS DE EMERGENCIA (OVE)",IF(O81=CURSOS!$D$21,"INSTITUCIONES AMIGAS DE LA MUJER Y LA INFANCIA (IAMI)",IF(O81=CURSOS!$D$22,"CUIDADO DEL DONANTE DE ORGANOS",IF(O81=CURSOS!$D$23,"ATENCION A VICTIMAS POR VIOLENCIA DE GENERO",IF(O81=CURSOS!$D$24,"IGUALDAD DE GENERO EN LA SALUD",IF(O81=CURSOS!$D$25,"BRIGADA DE EMERGENCIA",IF(O81=CURSOS!$D$26,"MANEJO DEL DOLOR Y CUIDADOS PALIATIVOS",IF(O81=CURSOS!$D$27,"TOMA DE MUESTRAS Y LABORATORIO POCT",IF(O81=CURSOS!$D$28,"IMPLANTE SUBDERMICO DE DISPOSITIVO INTRAUTERINO",IF(O81=CURSOS!$D$29,"SALUD MENTAL",IF(O81=CURSOS!$D$30,"PRIMEROS AUXILIOS PSICOLOGICOS",IF(O81=CURSOS!$D$31,"ATENCION A VICTIMAS POR CONFLICTO ARMADO",IF(O81=CURSOS!$D$32,"MANIPULACION DE ALIMENTOS Y BPM",IF(O81=CURSOS!$D$33,"ATENCION A PERSONAS CON DISCAPACIDAD",IF(O81=CURSOS!$D$34,"CUIDADO INTEGRAL DEL PACIENTE ADULTO",IF(O81=CURSOS!$D$35,"MANEJO DEFENSIVO",IF(O81=CURSOS!$D$36,"SOPORTE CARDIOVASCULAR AVANZADO NEONATAL",IF(O81=CURSOS!$D$37,"SEGURIDAD DEL PACIENTE",IF(O81=CURSOS!$D$38,"MANEJO DE RESIDUOS HOSPITALARIOS"))))))))))))))))))))))))))))))))))))</f>
        <v>MANEJO DEL DOLOR Y CUIDADOS PALIATIVOS</v>
      </c>
      <c r="V81" s="57" t="str">
        <f t="shared" si="3"/>
        <v>Sonia Mercedes Yusty Osorio</v>
      </c>
      <c r="W81" s="57" t="str">
        <f t="shared" si="4"/>
        <v>Sonia Mercedes Yusty Osorio</v>
      </c>
      <c r="X81" s="57" t="str">
        <f t="shared" si="5"/>
        <v>Sonia Mercedes Yusty Osorio-1144060770-PALIATIVOS</v>
      </c>
    </row>
    <row r="82" spans="1:24" s="67" customFormat="1" x14ac:dyDescent="0.2">
      <c r="A82" s="68">
        <v>81</v>
      </c>
      <c r="B82" s="53">
        <v>1144060770</v>
      </c>
      <c r="C82" s="53" t="s">
        <v>315</v>
      </c>
      <c r="D82" s="53" t="s">
        <v>316</v>
      </c>
      <c r="E82" s="53" t="s">
        <v>317</v>
      </c>
      <c r="F82" s="53" t="s">
        <v>308</v>
      </c>
      <c r="G82" s="53">
        <v>12</v>
      </c>
      <c r="H82" s="53" t="s">
        <v>102</v>
      </c>
      <c r="I82" s="56" t="s">
        <v>103</v>
      </c>
      <c r="J82" s="54">
        <v>45642</v>
      </c>
      <c r="K82" s="55">
        <v>20000</v>
      </c>
      <c r="L82" s="53" t="s">
        <v>104</v>
      </c>
      <c r="M82" s="53" t="s">
        <v>105</v>
      </c>
      <c r="N82" s="53" t="s">
        <v>106</v>
      </c>
      <c r="O82" s="85" t="s">
        <v>25</v>
      </c>
      <c r="P82" s="56">
        <v>34020</v>
      </c>
      <c r="Q82" s="53" t="s">
        <v>107</v>
      </c>
      <c r="R82" s="90" t="s">
        <v>155</v>
      </c>
      <c r="S82" s="70">
        <v>3203212035</v>
      </c>
      <c r="T82" s="53" t="s">
        <v>318</v>
      </c>
      <c r="U82" s="57" t="str">
        <f>IF(O82=CURSOS!$D$3,"DIPLOMADO EN ATENCION PRE-HOSPITALARIA",IF(O82=CURSOS!$D$4,"ACOMPAÑAMIENTO Y MANEJO DEL DUELO",IF(O82=CURSOS!$D$5,"ATENCION A VICTIMAS DE ATAQUE CON AGENTES QUIMICOS ",IF(O82=CURSOS!$D$6,"PRIMEROS AUXILIOS ",IF(O82=CURSOS!$D$7,"DIPLOMADO DE UNIDAD DE CUIDADOS INTENSIVOS (UCI)",IF(O82=CURSOS!$D$8,"MODELO DE ATENCION PARA EVENTOS EMERGENTES EN SALUD MENTAL (CODIGO VERDE)",IF(O82=CURSOS!$D$9,"HUMANIZACION EN EL SERVICIO DE LA SALUD Y BUENAS PRACTICAS EN PACIENTE ",IF(O82=CURSOS!$D$10,"CLINICA DE HERIDAS ",IF(O82=CURSOS!$D$11,"TOMA DE CITOLOGIA CERVICO VAGINAL ",IF(O82=CURSOS!$D$12,"SOPORTE CARDIOVASCULAR AVANZADO (ACLS) ",IF(O82=CURSOS!$D$13,"CAMILLERO ",IF(O82=CURSOS!$D$14,"TOMA DE MUESTRAS Y LABORATORIO ",IF(O82=CURSOS!$D$15,"SOPORTE VITAL BASICO (BLS)",IF(O82=CURSOS!$D$16,"ATENCION A VICTIMAS DE VIOLENCIA SEXUAL ",IF(O82=CURSOS!$D$17,"PROGRAMADO AMPLIADO DE INMUNIZACION (PAI - COVID 19)",IF(O82=CURSOS!$D$18,"ATENCION INTEGRAL EN ENFERMEDADES PREVALENTES EN PRIMERA INFANCIA (AIEPI)",IF(O82=CURSOS!$D$19,"ADMINISTRACION DE MEDICAMENTOS, INYECTOLOGIA  Y CANALIZACION ",IF(O82=CURSOS!$D$20,"OPERADOR DE VEHICULOS DE EMERGENCIA (OVE)",IF(O82=CURSOS!$D$21,"INSTITUCIONES AMIGAS DE LA MUJER Y LA INFANCIA (IAMI)",IF(O82=CURSOS!$D$22,"CUIDADO DEL DONANTE DE ORGANOS",IF(O82=CURSOS!$D$23,"ATENCION A VICTIMAS POR VIOLENCIA DE GENERO",IF(O82=CURSOS!$D$24,"IGUALDAD DE GENERO EN LA SALUD",IF(O82=CURSOS!$D$25,"BRIGADA DE EMERGENCIA",IF(O82=CURSOS!$D$26,"MANEJO DEL DOLOR Y CUIDADOS PALIATIVOS",IF(O82=CURSOS!$D$27,"TOMA DE MUESTRAS Y LABORATORIO POCT",IF(O82=CURSOS!$D$28,"IMPLANTE SUBDERMICO DE DISPOSITIVO INTRAUTERINO",IF(O82=CURSOS!$D$29,"SALUD MENTAL",IF(O82=CURSOS!$D$30,"PRIMEROS AUXILIOS PSICOLOGICOS",IF(O82=CURSOS!$D$31,"ATENCION A VICTIMAS POR CONFLICTO ARMADO",IF(O82=CURSOS!$D$32,"MANIPULACION DE ALIMENTOS Y BPM",IF(O82=CURSOS!$D$33,"ATENCION A PERSONAS CON DISCAPACIDAD",IF(O82=CURSOS!$D$34,"CUIDADO INTEGRAL DEL PACIENTE ADULTO",IF(O82=CURSOS!$D$35,"MANEJO DEFENSIVO",IF(O82=CURSOS!$D$36,"SOPORTE CARDIOVASCULAR AVANZADO NEONATAL",IF(O82=CURSOS!$D$37,"SEGURIDAD DEL PACIENTE",IF(O82=CURSOS!$D$38,"MANEJO DE RESIDUOS HOSPITALARIOS"))))))))))))))))))))))))))))))))))))</f>
        <v xml:space="preserve">ATENCION A VICTIMAS DE ATAQUE CON AGENTES QUIMICOS </v>
      </c>
      <c r="V82" s="57" t="str">
        <f t="shared" si="3"/>
        <v>Sonia Mercedes Yusty Osorio</v>
      </c>
      <c r="W82" s="57" t="str">
        <f t="shared" si="4"/>
        <v>Sonia Mercedes Yusty Osorio</v>
      </c>
      <c r="X82" s="57" t="str">
        <f t="shared" si="5"/>
        <v>Sonia Mercedes Yusty Osorio-1144060770-QUIMICOS</v>
      </c>
    </row>
    <row r="83" spans="1:24" s="67" customFormat="1" x14ac:dyDescent="0.2">
      <c r="A83" s="68">
        <v>82</v>
      </c>
      <c r="B83" s="53">
        <v>1144060770</v>
      </c>
      <c r="C83" s="53" t="s">
        <v>315</v>
      </c>
      <c r="D83" s="53" t="s">
        <v>316</v>
      </c>
      <c r="E83" s="53" t="s">
        <v>317</v>
      </c>
      <c r="F83" s="53" t="s">
        <v>308</v>
      </c>
      <c r="G83" s="53">
        <v>13</v>
      </c>
      <c r="H83" s="53" t="s">
        <v>102</v>
      </c>
      <c r="I83" s="56" t="s">
        <v>103</v>
      </c>
      <c r="J83" s="54">
        <v>45642</v>
      </c>
      <c r="K83" s="55">
        <v>20000</v>
      </c>
      <c r="L83" s="53" t="s">
        <v>104</v>
      </c>
      <c r="M83" s="53" t="s">
        <v>105</v>
      </c>
      <c r="N83" s="53" t="s">
        <v>106</v>
      </c>
      <c r="O83" s="85" t="s">
        <v>64</v>
      </c>
      <c r="P83" s="56">
        <v>34020</v>
      </c>
      <c r="Q83" s="53" t="s">
        <v>107</v>
      </c>
      <c r="R83" s="90" t="s">
        <v>155</v>
      </c>
      <c r="S83" s="70">
        <v>3203212035</v>
      </c>
      <c r="T83" s="53" t="s">
        <v>318</v>
      </c>
      <c r="U83" s="57" t="str">
        <f>IF(O83=CURSOS!$D$3,"DIPLOMADO EN ATENCION PRE-HOSPITALARIA",IF(O83=CURSOS!$D$4,"ACOMPAÑAMIENTO Y MANEJO DEL DUELO",IF(O83=CURSOS!$D$5,"ATENCION A VICTIMAS DE ATAQUE CON AGENTES QUIMICOS ",IF(O83=CURSOS!$D$6,"PRIMEROS AUXILIOS ",IF(O83=CURSOS!$D$7,"DIPLOMADO DE UNIDAD DE CUIDADOS INTENSIVOS (UCI)",IF(O83=CURSOS!$D$8,"MODELO DE ATENCION PARA EVENTOS EMERGENTES EN SALUD MENTAL (CODIGO VERDE)",IF(O83=CURSOS!$D$9,"HUMANIZACION EN EL SERVICIO DE LA SALUD Y BUENAS PRACTICAS EN PACIENTE ",IF(O83=CURSOS!$D$10,"CLINICA DE HERIDAS ",IF(O83=CURSOS!$D$11,"TOMA DE CITOLOGIA CERVICO VAGINAL ",IF(O83=CURSOS!$D$12,"SOPORTE CARDIOVASCULAR AVANZADO (ACLS) ",IF(O83=CURSOS!$D$13,"CAMILLERO ",IF(O83=CURSOS!$D$14,"TOMA DE MUESTRAS Y LABORATORIO ",IF(O83=CURSOS!$D$15,"SOPORTE VITAL BASICO (BLS)",IF(O83=CURSOS!$D$16,"ATENCION A VICTIMAS DE VIOLENCIA SEXUAL ",IF(O83=CURSOS!$D$17,"PROGRAMADO AMPLIADO DE INMUNIZACION (PAI - COVID 19)",IF(O83=CURSOS!$D$18,"ATENCION INTEGRAL EN ENFERMEDADES PREVALENTES EN PRIMERA INFANCIA (AIEPI)",IF(O83=CURSOS!$D$19,"ADMINISTRACION DE MEDICAMENTOS, INYECTOLOGIA  Y CANALIZACION ",IF(O83=CURSOS!$D$20,"OPERADOR DE VEHICULOS DE EMERGENCIA (OVE)",IF(O83=CURSOS!$D$21,"INSTITUCIONES AMIGAS DE LA MUJER Y LA INFANCIA (IAMI)",IF(O83=CURSOS!$D$22,"CUIDADO DEL DONANTE DE ORGANOS",IF(O83=CURSOS!$D$23,"ATENCION A VICTIMAS POR VIOLENCIA DE GENERO",IF(O83=CURSOS!$D$24,"IGUALDAD DE GENERO EN LA SALUD",IF(O83=CURSOS!$D$25,"BRIGADA DE EMERGENCIA",IF(O83=CURSOS!$D$26,"MANEJO DEL DOLOR Y CUIDADOS PALIATIVOS",IF(O83=CURSOS!$D$27,"TOMA DE MUESTRAS Y LABORATORIO POCT",IF(O83=CURSOS!$D$28,"IMPLANTE SUBDERMICO DE DISPOSITIVO INTRAUTERINO",IF(O83=CURSOS!$D$29,"SALUD MENTAL",IF(O83=CURSOS!$D$30,"PRIMEROS AUXILIOS PSICOLOGICOS",IF(O83=CURSOS!$D$31,"ATENCION A VICTIMAS POR CONFLICTO ARMADO",IF(O83=CURSOS!$D$32,"MANIPULACION DE ALIMENTOS Y BPM",IF(O83=CURSOS!$D$33,"ATENCION A PERSONAS CON DISCAPACIDAD",IF(O83=CURSOS!$D$34,"CUIDADO INTEGRAL DEL PACIENTE ADULTO",IF(O83=CURSOS!$D$35,"MANEJO DEFENSIVO",IF(O83=CURSOS!$D$36,"SOPORTE CARDIOVASCULAR AVANZADO NEONATAL",IF(O83=CURSOS!$D$37,"SEGURIDAD DEL PACIENTE",IF(O83=CURSOS!$D$38,"MANEJO DE RESIDUOS HOSPITALARIOS"))))))))))))))))))))))))))))))))))))</f>
        <v>ATENCION A VICTIMAS POR CONFLICTO ARMADO</v>
      </c>
      <c r="V83" s="57" t="str">
        <f t="shared" si="3"/>
        <v>Sonia Mercedes Yusty Osorio</v>
      </c>
      <c r="W83" s="57" t="str">
        <f t="shared" si="4"/>
        <v>Sonia Mercedes Yusty Osorio</v>
      </c>
      <c r="X83" s="57" t="str">
        <f t="shared" si="5"/>
        <v>Sonia Mercedes Yusty Osorio-1144060770-CONFLICTO ARMADO</v>
      </c>
    </row>
    <row r="84" spans="1:24" s="67" customFormat="1" x14ac:dyDescent="0.2">
      <c r="A84" s="68">
        <v>83</v>
      </c>
      <c r="B84" s="53">
        <v>1083752026</v>
      </c>
      <c r="C84" s="53" t="s">
        <v>319</v>
      </c>
      <c r="D84" s="53" t="s">
        <v>320</v>
      </c>
      <c r="E84" s="53" t="s">
        <v>257</v>
      </c>
      <c r="F84" s="53" t="s">
        <v>288</v>
      </c>
      <c r="G84" s="53">
        <v>18</v>
      </c>
      <c r="H84" s="53" t="s">
        <v>102</v>
      </c>
      <c r="I84" s="56" t="s">
        <v>154</v>
      </c>
      <c r="J84" s="54">
        <v>45644</v>
      </c>
      <c r="K84" s="55">
        <v>80000</v>
      </c>
      <c r="L84" s="53" t="s">
        <v>192</v>
      </c>
      <c r="M84" s="53" t="s">
        <v>105</v>
      </c>
      <c r="N84" s="53" t="s">
        <v>106</v>
      </c>
      <c r="O84" s="85" t="s">
        <v>45</v>
      </c>
      <c r="P84" s="56">
        <v>37994</v>
      </c>
      <c r="Q84" s="56" t="s">
        <v>107</v>
      </c>
      <c r="R84" s="93" t="s">
        <v>116</v>
      </c>
      <c r="S84" s="70">
        <v>3212660727</v>
      </c>
      <c r="T84" s="53" t="s">
        <v>321</v>
      </c>
      <c r="U84" s="57" t="str">
        <f>IF(O84=CURSOS!$D$3,"DIPLOMADO EN ATENCION PRE-HOSPITALARIA",IF(O84=CURSOS!$D$4,"ACOMPAÑAMIENTO Y MANEJO DEL DUELO",IF(O84=CURSOS!$D$5,"ATENCION A VICTIMAS DE ATAQUE CON AGENTES QUIMICOS ",IF(O84=CURSOS!$D$6,"PRIMEROS AUXILIOS ",IF(O84=CURSOS!$D$7,"DIPLOMADO DE UNIDAD DE CUIDADOS INTENSIVOS (UCI)",IF(O84=CURSOS!$D$8,"MODELO DE ATENCION PARA EVENTOS EMERGENTES EN SALUD MENTAL (CODIGO VERDE)",IF(O84=CURSOS!$D$9,"HUMANIZACION EN EL SERVICIO DE LA SALUD Y BUENAS PRACTICAS EN PACIENTE ",IF(O84=CURSOS!$D$10,"CLINICA DE HERIDAS ",IF(O84=CURSOS!$D$11,"TOMA DE CITOLOGIA CERVICO VAGINAL ",IF(O84=CURSOS!$D$12,"SOPORTE CARDIOVASCULAR AVANZADO (ACLS) ",IF(O84=CURSOS!$D$13,"CAMILLERO ",IF(O84=CURSOS!$D$14,"TOMA DE MUESTRAS Y LABORATORIO ",IF(O84=CURSOS!$D$15,"SOPORTE VITAL BASICO (BLS)",IF(O84=CURSOS!$D$16,"ATENCION A VICTIMAS DE VIOLENCIA SEXUAL ",IF(O84=CURSOS!$D$17,"PROGRAMADO AMPLIADO DE INMUNIZACION (PAI - COVID 19)",IF(O84=CURSOS!$D$18,"ATENCION INTEGRAL EN ENFERMEDADES PREVALENTES EN PRIMERA INFANCIA (AIEPI)",IF(O84=CURSOS!$D$19,"ADMINISTRACION DE MEDICAMENTOS, INYECTOLOGIA  Y CANALIZACION ",IF(O84=CURSOS!$D$20,"OPERADOR DE VEHICULOS DE EMERGENCIA (OVE)",IF(O84=CURSOS!$D$21,"INSTITUCIONES AMIGAS DE LA MUJER Y LA INFANCIA (IAMI)",IF(O84=CURSOS!$D$22,"CUIDADO DEL DONANTE DE ORGANOS",IF(O84=CURSOS!$D$23,"ATENCION A VICTIMAS POR VIOLENCIA DE GENERO",IF(O84=CURSOS!$D$24,"IGUALDAD DE GENERO EN LA SALUD",IF(O84=CURSOS!$D$25,"BRIGADA DE EMERGENCIA",IF(O84=CURSOS!$D$26,"MANEJO DEL DOLOR Y CUIDADOS PALIATIVOS",IF(O84=CURSOS!$D$27,"TOMA DE MUESTRAS Y LABORATORIO POCT",IF(O84=CURSOS!$D$28,"IMPLANTE SUBDERMICO DE DISPOSITIVO INTRAUTERINO",IF(O84=CURSOS!$D$29,"SALUD MENTAL",IF(O84=CURSOS!$D$30,"PRIMEROS AUXILIOS PSICOLOGICOS",IF(O84=CURSOS!$D$31,"ATENCION A VICTIMAS POR CONFLICTO ARMADO",IF(O84=CURSOS!$D$32,"MANIPULACION DE ALIMENTOS Y BPM",IF(O84=CURSOS!$D$33,"ATENCION A PERSONAS CON DISCAPACIDAD",IF(O84=CURSOS!$D$34,"CUIDADO INTEGRAL DEL PACIENTE ADULTO",IF(O84=CURSOS!$D$35,"MANEJO DEFENSIVO",IF(O84=CURSOS!$D$36,"SOPORTE CARDIOVASCULAR AVANZADO NEONATAL",IF(O84=CURSOS!$D$37,"SEGURIDAD DEL PACIENTE",IF(O84=CURSOS!$D$38,"MANEJO DE RESIDUOS HOSPITALARIOS"))))))))))))))))))))))))))))))))))))</f>
        <v xml:space="preserve">ADMINISTRACION DE MEDICAMENTOS, INYECTOLOGIA  Y CANALIZACION </v>
      </c>
      <c r="V84" s="57" t="str">
        <f t="shared" si="3"/>
        <v>Diana Carolina Ceballos Botina</v>
      </c>
      <c r="W84" s="57" t="str">
        <f t="shared" si="4"/>
        <v>Diana Carolina Ceballos Botina</v>
      </c>
      <c r="X84" s="57" t="str">
        <f t="shared" si="5"/>
        <v>Diana Carolina Ceballos Botina-1083752026-ADMON DE MEDICAMENTOS</v>
      </c>
    </row>
    <row r="85" spans="1:24" s="67" customFormat="1" x14ac:dyDescent="0.2">
      <c r="A85" s="68">
        <v>84</v>
      </c>
      <c r="B85" s="53">
        <v>1086105589</v>
      </c>
      <c r="C85" s="53" t="s">
        <v>261</v>
      </c>
      <c r="D85" s="53" t="s">
        <v>143</v>
      </c>
      <c r="E85" s="53" t="s">
        <v>150</v>
      </c>
      <c r="F85" s="53" t="s">
        <v>138</v>
      </c>
      <c r="G85" s="53">
        <v>18</v>
      </c>
      <c r="H85" s="53" t="s">
        <v>102</v>
      </c>
      <c r="I85" s="56" t="s">
        <v>103</v>
      </c>
      <c r="J85" s="54">
        <v>45644</v>
      </c>
      <c r="K85" s="55">
        <v>32000</v>
      </c>
      <c r="L85" s="53" t="s">
        <v>114</v>
      </c>
      <c r="M85" s="53" t="s">
        <v>105</v>
      </c>
      <c r="N85" s="94" t="s">
        <v>106</v>
      </c>
      <c r="O85" s="85" t="s">
        <v>19</v>
      </c>
      <c r="P85" s="56">
        <v>34260</v>
      </c>
      <c r="Q85" s="56" t="s">
        <v>139</v>
      </c>
      <c r="R85" s="93" t="s">
        <v>116</v>
      </c>
      <c r="S85" s="70">
        <v>3108931893</v>
      </c>
      <c r="T85" s="53" t="s">
        <v>322</v>
      </c>
      <c r="U85" s="57" t="str">
        <f>IF(O85=CURSOS!$D$3,"DIPLOMADO EN ATENCION PRE-HOSPITALARIA",IF(O85=CURSOS!$D$4,"ACOMPAÑAMIENTO Y MANEJO DEL DUELO",IF(O85=CURSOS!$D$5,"ATENCION A VICTIMAS DE ATAQUE CON AGENTES QUIMICOS ",IF(O85=CURSOS!$D$6,"PRIMEROS AUXILIOS ",IF(O85=CURSOS!$D$7,"DIPLOMADO DE UNIDAD DE CUIDADOS INTENSIVOS (UCI)",IF(O85=CURSOS!$D$8,"MODELO DE ATENCION PARA EVENTOS EMERGENTES EN SALUD MENTAL (CODIGO VERDE)",IF(O85=CURSOS!$D$9,"HUMANIZACION EN EL SERVICIO DE LA SALUD Y BUENAS PRACTICAS EN PACIENTE ",IF(O85=CURSOS!$D$10,"CLINICA DE HERIDAS ",IF(O85=CURSOS!$D$11,"TOMA DE CITOLOGIA CERVICO VAGINAL ",IF(O85=CURSOS!$D$12,"SOPORTE CARDIOVASCULAR AVANZADO (ACLS) ",IF(O85=CURSOS!$D$13,"CAMILLERO ",IF(O85=CURSOS!$D$14,"TOMA DE MUESTRAS Y LABORATORIO ",IF(O85=CURSOS!$D$15,"SOPORTE VITAL BASICO (BLS)",IF(O85=CURSOS!$D$16,"ATENCION A VICTIMAS DE VIOLENCIA SEXUAL ",IF(O85=CURSOS!$D$17,"PROGRAMADO AMPLIADO DE INMUNIZACION (PAI - COVID 19)",IF(O85=CURSOS!$D$18,"ATENCION INTEGRAL EN ENFERMEDADES PREVALENTES EN PRIMERA INFANCIA (AIEPI)",IF(O85=CURSOS!$D$19,"ADMINISTRACION DE MEDICAMENTOS, INYECTOLOGIA  Y CANALIZACION ",IF(O85=CURSOS!$D$20,"OPERADOR DE VEHICULOS DE EMERGENCIA (OVE)",IF(O85=CURSOS!$D$21,"INSTITUCIONES AMIGAS DE LA MUJER Y LA INFANCIA (IAMI)",IF(O85=CURSOS!$D$22,"CUIDADO DEL DONANTE DE ORGANOS",IF(O85=CURSOS!$D$23,"ATENCION A VICTIMAS POR VIOLENCIA DE GENERO",IF(O85=CURSOS!$D$24,"IGUALDAD DE GENERO EN LA SALUD",IF(O85=CURSOS!$D$25,"BRIGADA DE EMERGENCIA",IF(O85=CURSOS!$D$26,"MANEJO DEL DOLOR Y CUIDADOS PALIATIVOS",IF(O85=CURSOS!$D$27,"TOMA DE MUESTRAS Y LABORATORIO POCT",IF(O85=CURSOS!$D$28,"IMPLANTE SUBDERMICO DE DISPOSITIVO INTRAUTERINO",IF(O85=CURSOS!$D$29,"SALUD MENTAL",IF(O85=CURSOS!$D$30,"PRIMEROS AUXILIOS PSICOLOGICOS",IF(O85=CURSOS!$D$31,"ATENCION A VICTIMAS POR CONFLICTO ARMADO",IF(O85=CURSOS!$D$32,"MANIPULACION DE ALIMENTOS Y BPM",IF(O85=CURSOS!$D$33,"ATENCION A PERSONAS CON DISCAPACIDAD",IF(O85=CURSOS!$D$34,"CUIDADO INTEGRAL DEL PACIENTE ADULTO",IF(O85=CURSOS!$D$35,"MANEJO DEFENSIVO",IF(O85=CURSOS!$D$36,"SOPORTE CARDIOVASCULAR AVANZADO NEONATAL",IF(O85=CURSOS!$D$37,"SEGURIDAD DEL PACIENTE",IF(O85=CURSOS!$D$38,"MANEJO DE RESIDUOS HOSPITALARIOS"))))))))))))))))))))))))))))))))))))</f>
        <v>SOPORTE VITAL BASICO (BLS)</v>
      </c>
      <c r="V85" s="57" t="str">
        <f t="shared" si="3"/>
        <v>David Fernando Coral Hernandez</v>
      </c>
      <c r="W85" s="57" t="str">
        <f t="shared" si="4"/>
        <v>David Fernando Coral Hernandez</v>
      </c>
      <c r="X85" s="57" t="str">
        <f t="shared" si="5"/>
        <v>David Fernando Coral Hernandez-1086105589-BLS</v>
      </c>
    </row>
    <row r="86" spans="1:24" s="67" customFormat="1" x14ac:dyDescent="0.2">
      <c r="A86" s="68">
        <v>85</v>
      </c>
      <c r="B86" s="53">
        <v>59801634</v>
      </c>
      <c r="C86" s="53" t="s">
        <v>323</v>
      </c>
      <c r="D86" s="53" t="s">
        <v>324</v>
      </c>
      <c r="E86" s="53" t="s">
        <v>325</v>
      </c>
      <c r="F86" s="53" t="s">
        <v>326</v>
      </c>
      <c r="G86" s="53">
        <v>18</v>
      </c>
      <c r="H86" s="53" t="s">
        <v>102</v>
      </c>
      <c r="I86" s="56" t="s">
        <v>103</v>
      </c>
      <c r="J86" s="54">
        <v>45644</v>
      </c>
      <c r="K86" s="55">
        <v>32000</v>
      </c>
      <c r="L86" s="53" t="s">
        <v>114</v>
      </c>
      <c r="M86" s="53" t="s">
        <v>105</v>
      </c>
      <c r="N86" s="94" t="s">
        <v>106</v>
      </c>
      <c r="O86" s="85" t="s">
        <v>19</v>
      </c>
      <c r="P86" s="56">
        <v>29169</v>
      </c>
      <c r="Q86" s="56" t="s">
        <v>107</v>
      </c>
      <c r="R86" s="53" t="s">
        <v>116</v>
      </c>
      <c r="S86" s="70">
        <v>3108931893</v>
      </c>
      <c r="T86" s="93" t="s">
        <v>327</v>
      </c>
      <c r="U86" s="57" t="str">
        <f>IF(O86=CURSOS!$D$3,"DIPLOMADO EN ATENCION PRE-HOSPITALARIA",IF(O86=CURSOS!$D$4,"ACOMPAÑAMIENTO Y MANEJO DEL DUELO",IF(O86=CURSOS!$D$5,"ATENCION A VICTIMAS DE ATAQUE CON AGENTES QUIMICOS ",IF(O86=CURSOS!$D$6,"PRIMEROS AUXILIOS ",IF(O86=CURSOS!$D$7,"DIPLOMADO DE UNIDAD DE CUIDADOS INTENSIVOS (UCI)",IF(O86=CURSOS!$D$8,"MODELO DE ATENCION PARA EVENTOS EMERGENTES EN SALUD MENTAL (CODIGO VERDE)",IF(O86=CURSOS!$D$9,"HUMANIZACION EN EL SERVICIO DE LA SALUD Y BUENAS PRACTICAS EN PACIENTE ",IF(O86=CURSOS!$D$10,"CLINICA DE HERIDAS ",IF(O86=CURSOS!$D$11,"TOMA DE CITOLOGIA CERVICO VAGINAL ",IF(O86=CURSOS!$D$12,"SOPORTE CARDIOVASCULAR AVANZADO (ACLS) ",IF(O86=CURSOS!$D$13,"CAMILLERO ",IF(O86=CURSOS!$D$14,"TOMA DE MUESTRAS Y LABORATORIO ",IF(O86=CURSOS!$D$15,"SOPORTE VITAL BASICO (BLS)",IF(O86=CURSOS!$D$16,"ATENCION A VICTIMAS DE VIOLENCIA SEXUAL ",IF(O86=CURSOS!$D$17,"PROGRAMADO AMPLIADO DE INMUNIZACION (PAI - COVID 19)",IF(O86=CURSOS!$D$18,"ATENCION INTEGRAL EN ENFERMEDADES PREVALENTES EN PRIMERA INFANCIA (AIEPI)",IF(O86=CURSOS!$D$19,"ADMINISTRACION DE MEDICAMENTOS, INYECTOLOGIA  Y CANALIZACION ",IF(O86=CURSOS!$D$20,"OPERADOR DE VEHICULOS DE EMERGENCIA (OVE)",IF(O86=CURSOS!$D$21,"INSTITUCIONES AMIGAS DE LA MUJER Y LA INFANCIA (IAMI)",IF(O86=CURSOS!$D$22,"CUIDADO DEL DONANTE DE ORGANOS",IF(O86=CURSOS!$D$23,"ATENCION A VICTIMAS POR VIOLENCIA DE GENERO",IF(O86=CURSOS!$D$24,"IGUALDAD DE GENERO EN LA SALUD",IF(O86=CURSOS!$D$25,"BRIGADA DE EMERGENCIA",IF(O86=CURSOS!$D$26,"MANEJO DEL DOLOR Y CUIDADOS PALIATIVOS",IF(O86=CURSOS!$D$27,"TOMA DE MUESTRAS Y LABORATORIO POCT",IF(O86=CURSOS!$D$28,"IMPLANTE SUBDERMICO DE DISPOSITIVO INTRAUTERINO",IF(O86=CURSOS!$D$29,"SALUD MENTAL",IF(O86=CURSOS!$D$30,"PRIMEROS AUXILIOS PSICOLOGICOS",IF(O86=CURSOS!$D$31,"ATENCION A VICTIMAS POR CONFLICTO ARMADO",IF(O86=CURSOS!$D$32,"MANIPULACION DE ALIMENTOS Y BPM",IF(O86=CURSOS!$D$33,"ATENCION A PERSONAS CON DISCAPACIDAD",IF(O86=CURSOS!$D$34,"CUIDADO INTEGRAL DEL PACIENTE ADULTO",IF(O86=CURSOS!$D$35,"MANEJO DEFENSIVO",IF(O86=CURSOS!$D$36,"SOPORTE CARDIOVASCULAR AVANZADO NEONATAL",IF(O86=CURSOS!$D$37,"SEGURIDAD DEL PACIENTE",IF(O86=CURSOS!$D$38,"MANEJO DE RESIDUOS HOSPITALARIOS"))))))))))))))))))))))))))))))))))))</f>
        <v>SOPORTE VITAL BASICO (BLS)</v>
      </c>
      <c r="V86" s="57" t="str">
        <f t="shared" si="3"/>
        <v>Elizabet Rubi Moran Chaves</v>
      </c>
      <c r="W86" s="57" t="str">
        <f t="shared" si="4"/>
        <v>Elizabet Rubi Moran Chaves</v>
      </c>
      <c r="X86" s="57" t="str">
        <f t="shared" si="5"/>
        <v>Elizabet Rubi Moran Chaves-59801634-BLS</v>
      </c>
    </row>
    <row r="87" spans="1:24" s="67" customFormat="1" x14ac:dyDescent="0.2">
      <c r="A87" s="68">
        <v>86</v>
      </c>
      <c r="B87" s="53">
        <v>1083752026</v>
      </c>
      <c r="C87" s="53" t="s">
        <v>319</v>
      </c>
      <c r="D87" s="53" t="s">
        <v>320</v>
      </c>
      <c r="E87" s="53" t="s">
        <v>257</v>
      </c>
      <c r="F87" s="53" t="s">
        <v>288</v>
      </c>
      <c r="G87" s="53">
        <v>20</v>
      </c>
      <c r="H87" s="53" t="s">
        <v>102</v>
      </c>
      <c r="I87" s="56" t="s">
        <v>154</v>
      </c>
      <c r="J87" s="54">
        <v>45644</v>
      </c>
      <c r="K87" s="55">
        <v>70000</v>
      </c>
      <c r="L87" s="53" t="s">
        <v>192</v>
      </c>
      <c r="M87" s="53" t="s">
        <v>105</v>
      </c>
      <c r="N87" s="53" t="s">
        <v>106</v>
      </c>
      <c r="O87" s="85" t="s">
        <v>23</v>
      </c>
      <c r="P87" s="56">
        <v>37994</v>
      </c>
      <c r="Q87" s="56" t="s">
        <v>107</v>
      </c>
      <c r="R87" s="93" t="s">
        <v>116</v>
      </c>
      <c r="S87" s="70">
        <v>3212660727</v>
      </c>
      <c r="T87" s="53" t="s">
        <v>321</v>
      </c>
      <c r="U87" s="57" t="str">
        <f>IF(O87=CURSOS!$D$3,"DIPLOMADO EN ATENCION PRE-HOSPITALARIA",IF(O87=CURSOS!$D$4,"ACOMPAÑAMIENTO Y MANEJO DEL DUELO",IF(O87=CURSOS!$D$5,"ATENCION A VICTIMAS DE ATAQUE CON AGENTES QUIMICOS ",IF(O87=CURSOS!$D$6,"PRIMEROS AUXILIOS ",IF(O87=CURSOS!$D$7,"DIPLOMADO DE UNIDAD DE CUIDADOS INTENSIVOS (UCI)",IF(O87=CURSOS!$D$8,"MODELO DE ATENCION PARA EVENTOS EMERGENTES EN SALUD MENTAL (CODIGO VERDE)",IF(O87=CURSOS!$D$9,"HUMANIZACION EN EL SERVICIO DE LA SALUD Y BUENAS PRACTICAS EN PACIENTE ",IF(O87=CURSOS!$D$10,"CLINICA DE HERIDAS ",IF(O87=CURSOS!$D$11,"TOMA DE CITOLOGIA CERVICO VAGINAL ",IF(O87=CURSOS!$D$12,"SOPORTE CARDIOVASCULAR AVANZADO (ACLS) ",IF(O87=CURSOS!$D$13,"CAMILLERO ",IF(O87=CURSOS!$D$14,"TOMA DE MUESTRAS Y LABORATORIO ",IF(O87=CURSOS!$D$15,"SOPORTE VITAL BASICO (BLS)",IF(O87=CURSOS!$D$16,"ATENCION A VICTIMAS DE VIOLENCIA SEXUAL ",IF(O87=CURSOS!$D$17,"PROGRAMADO AMPLIADO DE INMUNIZACION (PAI - COVID 19)",IF(O87=CURSOS!$D$18,"ATENCION INTEGRAL EN ENFERMEDADES PREVALENTES EN PRIMERA INFANCIA (AIEPI)",IF(O87=CURSOS!$D$19,"ADMINISTRACION DE MEDICAMENTOS, INYECTOLOGIA  Y CANALIZACION ",IF(O87=CURSOS!$D$20,"OPERADOR DE VEHICULOS DE EMERGENCIA (OVE)",IF(O87=CURSOS!$D$21,"INSTITUCIONES AMIGAS DE LA MUJER Y LA INFANCIA (IAMI)",IF(O87=CURSOS!$D$22,"CUIDADO DEL DONANTE DE ORGANOS",IF(O87=CURSOS!$D$23,"ATENCION A VICTIMAS POR VIOLENCIA DE GENERO",IF(O87=CURSOS!$D$24,"IGUALDAD DE GENERO EN LA SALUD",IF(O87=CURSOS!$D$25,"BRIGADA DE EMERGENCIA",IF(O87=CURSOS!$D$26,"MANEJO DEL DOLOR Y CUIDADOS PALIATIVOS",IF(O87=CURSOS!$D$27,"TOMA DE MUESTRAS Y LABORATORIO POCT",IF(O87=CURSOS!$D$28,"IMPLANTE SUBDERMICO DE DISPOSITIVO INTRAUTERINO",IF(O87=CURSOS!$D$29,"SALUD MENTAL",IF(O87=CURSOS!$D$30,"PRIMEROS AUXILIOS PSICOLOGICOS",IF(O87=CURSOS!$D$31,"ATENCION A VICTIMAS POR CONFLICTO ARMADO",IF(O87=CURSOS!$D$32,"MANIPULACION DE ALIMENTOS Y BPM",IF(O87=CURSOS!$D$33,"ATENCION A PERSONAS CON DISCAPACIDAD",IF(O87=CURSOS!$D$34,"CUIDADO INTEGRAL DEL PACIENTE ADULTO",IF(O87=CURSOS!$D$35,"MANEJO DEFENSIVO",IF(O87=CURSOS!$D$36,"SOPORTE CARDIOVASCULAR AVANZADO NEONATAL",IF(O87=CURSOS!$D$37,"SEGURIDAD DEL PACIENTE",IF(O87=CURSOS!$D$38,"MANEJO DE RESIDUOS HOSPITALARIOS"))))))))))))))))))))))))))))))))))))</f>
        <v>ACOMPAÑAMIENTO Y MANEJO DEL DUELO</v>
      </c>
      <c r="V87" s="57" t="str">
        <f t="shared" si="3"/>
        <v>Diana Carolina Ceballos Botina</v>
      </c>
      <c r="W87" s="57" t="str">
        <f t="shared" si="4"/>
        <v>Diana Carolina Ceballos Botina</v>
      </c>
      <c r="X87" s="57" t="str">
        <f t="shared" si="5"/>
        <v>Diana Carolina Ceballos Botina-1083752026-DUELO</v>
      </c>
    </row>
    <row r="88" spans="1:24" s="67" customFormat="1" x14ac:dyDescent="0.2">
      <c r="A88" s="68">
        <v>87</v>
      </c>
      <c r="B88" s="53">
        <v>1085313732</v>
      </c>
      <c r="C88" s="53" t="s">
        <v>328</v>
      </c>
      <c r="D88" s="53" t="s">
        <v>329</v>
      </c>
      <c r="E88" s="53" t="s">
        <v>330</v>
      </c>
      <c r="F88" s="53" t="s">
        <v>331</v>
      </c>
      <c r="G88" s="53">
        <v>20</v>
      </c>
      <c r="H88" s="53" t="s">
        <v>102</v>
      </c>
      <c r="I88" s="56" t="s">
        <v>154</v>
      </c>
      <c r="J88" s="54">
        <v>45645</v>
      </c>
      <c r="K88" s="55">
        <v>19000</v>
      </c>
      <c r="L88" s="53" t="s">
        <v>114</v>
      </c>
      <c r="M88" s="53" t="s">
        <v>105</v>
      </c>
      <c r="N88" s="94" t="s">
        <v>106</v>
      </c>
      <c r="O88" s="53" t="s">
        <v>45</v>
      </c>
      <c r="P88" s="56">
        <v>34521</v>
      </c>
      <c r="Q88" s="56" t="s">
        <v>139</v>
      </c>
      <c r="R88" s="53" t="s">
        <v>332</v>
      </c>
      <c r="S88" s="70">
        <v>3008844414</v>
      </c>
      <c r="T88" s="93" t="s">
        <v>333</v>
      </c>
      <c r="U88" s="57" t="str">
        <f>IF(O88=CURSOS!$D$3,"DIPLOMADO EN ATENCION PRE-HOSPITALARIA",IF(O88=CURSOS!$D$4,"ACOMPAÑAMIENTO Y MANEJO DEL DUELO",IF(O88=CURSOS!$D$5,"ATENCION A VICTIMAS DE ATAQUE CON AGENTES QUIMICOS ",IF(O88=CURSOS!$D$6,"PRIMEROS AUXILIOS ",IF(O88=CURSOS!$D$7,"DIPLOMADO DE UNIDAD DE CUIDADOS INTENSIVOS (UCI)",IF(O88=CURSOS!$D$8,"MODELO DE ATENCION PARA EVENTOS EMERGENTES EN SALUD MENTAL (CODIGO VERDE)",IF(O88=CURSOS!$D$9,"HUMANIZACION EN EL SERVICIO DE LA SALUD Y BUENAS PRACTICAS EN PACIENTE ",IF(O88=CURSOS!$D$10,"CLINICA DE HERIDAS ",IF(O88=CURSOS!$D$11,"TOMA DE CITOLOGIA CERVICO VAGINAL ",IF(O88=CURSOS!$D$12,"SOPORTE CARDIOVASCULAR AVANZADO (ACLS) ",IF(O88=CURSOS!$D$13,"CAMILLERO ",IF(O88=CURSOS!$D$14,"TOMA DE MUESTRAS Y LABORATORIO ",IF(O88=CURSOS!$D$15,"SOPORTE VITAL BASICO (BLS)",IF(O88=CURSOS!$D$16,"ATENCION A VICTIMAS DE VIOLENCIA SEXUAL ",IF(O88=CURSOS!$D$17,"PROGRAMADO AMPLIADO DE INMUNIZACION (PAI - COVID 19)",IF(O88=CURSOS!$D$18,"ATENCION INTEGRAL EN ENFERMEDADES PREVALENTES EN PRIMERA INFANCIA (AIEPI)",IF(O88=CURSOS!$D$19,"ADMINISTRACION DE MEDICAMENTOS, INYECTOLOGIA  Y CANALIZACION ",IF(O88=CURSOS!$D$20,"OPERADOR DE VEHICULOS DE EMERGENCIA (OVE)",IF(O88=CURSOS!$D$21,"INSTITUCIONES AMIGAS DE LA MUJER Y LA INFANCIA (IAMI)",IF(O88=CURSOS!$D$22,"CUIDADO DEL DONANTE DE ORGANOS",IF(O88=CURSOS!$D$23,"ATENCION A VICTIMAS POR VIOLENCIA DE GENERO",IF(O88=CURSOS!$D$24,"IGUALDAD DE GENERO EN LA SALUD",IF(O88=CURSOS!$D$25,"BRIGADA DE EMERGENCIA",IF(O88=CURSOS!$D$26,"MANEJO DEL DOLOR Y CUIDADOS PALIATIVOS",IF(O88=CURSOS!$D$27,"TOMA DE MUESTRAS Y LABORATORIO POCT",IF(O88=CURSOS!$D$28,"IMPLANTE SUBDERMICO DE DISPOSITIVO INTRAUTERINO",IF(O88=CURSOS!$D$29,"SALUD MENTAL",IF(O88=CURSOS!$D$30,"PRIMEROS AUXILIOS PSICOLOGICOS",IF(O88=CURSOS!$D$31,"ATENCION A VICTIMAS POR CONFLICTO ARMADO",IF(O88=CURSOS!$D$32,"MANIPULACION DE ALIMENTOS Y BPM",IF(O88=CURSOS!$D$33,"ATENCION A PERSONAS CON DISCAPACIDAD",IF(O88=CURSOS!$D$34,"CUIDADO INTEGRAL DEL PACIENTE ADULTO",IF(O88=CURSOS!$D$35,"MANEJO DEFENSIVO",IF(O88=CURSOS!$D$36,"SOPORTE CARDIOVASCULAR AVANZADO NEONATAL",IF(O88=CURSOS!$D$37,"SEGURIDAD DEL PACIENTE",IF(O88=CURSOS!$D$38,"MANEJO DE RESIDUOS HOSPITALARIOS"))))))))))))))))))))))))))))))))))))</f>
        <v xml:space="preserve">ADMINISTRACION DE MEDICAMENTOS, INYECTOLOGIA  Y CANALIZACION </v>
      </c>
      <c r="V88" s="57" t="str">
        <f t="shared" si="3"/>
        <v>Mario Francisco Zarama Muñoz</v>
      </c>
      <c r="W88" s="57" t="str">
        <f t="shared" si="4"/>
        <v>Mario Francisco Zarama Muñoz</v>
      </c>
      <c r="X88" s="57" t="str">
        <f t="shared" si="5"/>
        <v>Mario Francisco Zarama Muñoz-1085313732-ADMON DE MEDICAMENTOS</v>
      </c>
    </row>
    <row r="89" spans="1:24" s="95" customFormat="1" x14ac:dyDescent="0.2">
      <c r="A89" s="68">
        <v>88</v>
      </c>
      <c r="B89" s="53">
        <v>1004534118</v>
      </c>
      <c r="C89" s="53" t="s">
        <v>334</v>
      </c>
      <c r="D89" s="53" t="s">
        <v>319</v>
      </c>
      <c r="E89" s="53" t="s">
        <v>335</v>
      </c>
      <c r="F89" s="53" t="s">
        <v>336</v>
      </c>
      <c r="G89" s="53">
        <v>19</v>
      </c>
      <c r="H89" s="53" t="s">
        <v>102</v>
      </c>
      <c r="I89" s="56" t="s">
        <v>154</v>
      </c>
      <c r="J89" s="54" t="s">
        <v>343</v>
      </c>
      <c r="K89" s="55">
        <v>80000</v>
      </c>
      <c r="L89" s="53" t="s">
        <v>114</v>
      </c>
      <c r="M89" s="53" t="s">
        <v>105</v>
      </c>
      <c r="N89" s="94" t="s">
        <v>106</v>
      </c>
      <c r="O89" s="53" t="s">
        <v>19</v>
      </c>
      <c r="P89" s="56">
        <v>37703</v>
      </c>
      <c r="Q89" s="53" t="s">
        <v>139</v>
      </c>
      <c r="R89" s="53" t="s">
        <v>279</v>
      </c>
      <c r="S89" s="53">
        <v>3108375356</v>
      </c>
      <c r="T89" s="53" t="s">
        <v>337</v>
      </c>
      <c r="U89" s="57" t="str">
        <f>IF(O89=CURSOS!$D$3,"DIPLOMADO EN ATENCION PRE-HOSPITALARIA",IF(O89=CURSOS!$D$4,"ACOMPAÑAMIENTO Y MANEJO DEL DUELO",IF(O89=CURSOS!$D$5,"ATENCION A VICTIMAS DE ATAQUE CON AGENTES QUIMICOS ",IF(O89=CURSOS!$D$6,"PRIMEROS AUXILIOS ",IF(O89=CURSOS!$D$7,"DIPLOMADO DE UNIDAD DE CUIDADOS INTENSIVOS (UCI)",IF(O89=CURSOS!$D$8,"MODELO DE ATENCION PARA EVENTOS EMERGENTES EN SALUD MENTAL (CODIGO VERDE)",IF(O89=CURSOS!$D$9,"HUMANIZACION EN EL SERVICIO DE LA SALUD Y BUENAS PRACTICAS EN PACIENTE ",IF(O89=CURSOS!$D$10,"CLINICA DE HERIDAS ",IF(O89=CURSOS!$D$11,"TOMA DE CITOLOGIA CERVICO VAGINAL ",IF(O89=CURSOS!$D$12,"SOPORTE CARDIOVASCULAR AVANZADO (ACLS) ",IF(O89=CURSOS!$D$13,"CAMILLERO ",IF(O89=CURSOS!$D$14,"TOMA DE MUESTRAS Y LABORATORIO ",IF(O89=CURSOS!$D$15,"SOPORTE VITAL BASICO (BLS)",IF(O89=CURSOS!$D$16,"ATENCION A VICTIMAS DE VIOLENCIA SEXUAL ",IF(O89=CURSOS!$D$17,"PROGRAMADO AMPLIADO DE INMUNIZACION (PAI - COVID 19)",IF(O89=CURSOS!$D$18,"ATENCION INTEGRAL EN ENFERMEDADES PREVALENTES EN PRIMERA INFANCIA (AIEPI)",IF(O89=CURSOS!$D$19,"ADMINISTRACION DE MEDICAMENTOS, INYECTOLOGIA  Y CANALIZACION ",IF(O89=CURSOS!$D$20,"OPERADOR DE VEHICULOS DE EMERGENCIA (OVE)",IF(O89=CURSOS!$D$21,"INSTITUCIONES AMIGAS DE LA MUJER Y LA INFANCIA (IAMI)",IF(O89=CURSOS!$D$22,"CUIDADO DEL DONANTE DE ORGANOS",IF(O89=CURSOS!$D$23,"ATENCION A VICTIMAS POR VIOLENCIA DE GENERO",IF(O89=CURSOS!$D$24,"IGUALDAD DE GENERO EN LA SALUD",IF(O89=CURSOS!$D$25,"BRIGADA DE EMERGENCIA",IF(O89=CURSOS!$D$26,"MANEJO DEL DOLOR Y CUIDADOS PALIATIVOS",IF(O89=CURSOS!$D$27,"TOMA DE MUESTRAS Y LABORATORIO POCT",IF(O89=CURSOS!$D$28,"IMPLANTE SUBDERMICO DE DISPOSITIVO INTRAUTERINO",IF(O89=CURSOS!$D$29,"SALUD MENTAL",IF(O89=CURSOS!$D$30,"PRIMEROS AUXILIOS PSICOLOGICOS",IF(O89=CURSOS!$D$31,"ATENCION A VICTIMAS POR CONFLICTO ARMADO",IF(O89=CURSOS!$D$32,"MANIPULACION DE ALIMENTOS Y BPM",IF(O89=CURSOS!$D$33,"ATENCION A PERSONAS CON DISCAPACIDAD",IF(O89=CURSOS!$D$34,"CUIDADO INTEGRAL DEL PACIENTE ADULTO",IF(O89=CURSOS!$D$35,"MANEJO DEFENSIVO",IF(O89=CURSOS!$D$36,"SOPORTE CARDIOVASCULAR AVANZADO NEONATAL",IF(O89=CURSOS!$D$37,"SEGURIDAD DEL PACIENTE",IF(O89=CURSOS!$D$38,"MANEJO DE RESIDUOS HOSPITALARIOS"))))))))))))))))))))))))))))))))))))</f>
        <v>SOPORTE VITAL BASICO (BLS)</v>
      </c>
      <c r="V89" s="57" t="str">
        <f t="shared" si="3"/>
        <v>Edison Felipe Cuastumal Ceballos</v>
      </c>
      <c r="W89" s="57" t="str">
        <f t="shared" si="4"/>
        <v>Edison Felipe Cuastumal Ceballos</v>
      </c>
      <c r="X89" s="57" t="str">
        <f t="shared" si="5"/>
        <v>Edison Felipe Cuastumal Ceballos-1004534118-BLS</v>
      </c>
    </row>
    <row r="90" spans="1:24" s="95" customFormat="1" x14ac:dyDescent="0.2">
      <c r="A90" s="68">
        <v>89</v>
      </c>
      <c r="B90" s="53">
        <v>1144089769</v>
      </c>
      <c r="C90" s="53" t="s">
        <v>338</v>
      </c>
      <c r="D90" s="53" t="s">
        <v>339</v>
      </c>
      <c r="E90" s="53" t="s">
        <v>340</v>
      </c>
      <c r="F90" s="53" t="s">
        <v>341</v>
      </c>
      <c r="G90" s="53">
        <v>20</v>
      </c>
      <c r="H90" s="53" t="s">
        <v>102</v>
      </c>
      <c r="I90" s="56" t="s">
        <v>103</v>
      </c>
      <c r="J90" s="54">
        <v>45646</v>
      </c>
      <c r="K90" s="55">
        <v>100000</v>
      </c>
      <c r="L90" s="53" t="s">
        <v>104</v>
      </c>
      <c r="M90" s="53" t="s">
        <v>105</v>
      </c>
      <c r="N90" s="94" t="s">
        <v>106</v>
      </c>
      <c r="O90" s="53" t="s">
        <v>37</v>
      </c>
      <c r="P90" s="56">
        <v>35259</v>
      </c>
      <c r="Q90" s="53" t="s">
        <v>107</v>
      </c>
      <c r="R90" s="90" t="s">
        <v>170</v>
      </c>
      <c r="S90" s="53">
        <v>3205179365</v>
      </c>
      <c r="T90" s="53" t="s">
        <v>342</v>
      </c>
      <c r="U90" s="57" t="str">
        <f>IF(O90=CURSOS!$D$3,"DIPLOMADO EN ATENCION PRE-HOSPITALARIA",IF(O90=CURSOS!$D$4,"ACOMPAÑAMIENTO Y MANEJO DEL DUELO",IF(O90=CURSOS!$D$5,"ATENCION A VICTIMAS DE ATAQUE CON AGENTES QUIMICOS ",IF(O90=CURSOS!$D$6,"PRIMEROS AUXILIOS ",IF(O90=CURSOS!$D$7,"DIPLOMADO DE UNIDAD DE CUIDADOS INTENSIVOS (UCI)",IF(O90=CURSOS!$D$8,"MODELO DE ATENCION PARA EVENTOS EMERGENTES EN SALUD MENTAL (CODIGO VERDE)",IF(O90=CURSOS!$D$9,"HUMANIZACION EN EL SERVICIO DE LA SALUD Y BUENAS PRACTICAS EN PACIENTE ",IF(O90=CURSOS!$D$10,"CLINICA DE HERIDAS ",IF(O90=CURSOS!$D$11,"TOMA DE CITOLOGIA CERVICO VAGINAL ",IF(O90=CURSOS!$D$12,"SOPORTE CARDIOVASCULAR AVANZADO (ACLS) ",IF(O90=CURSOS!$D$13,"CAMILLERO ",IF(O90=CURSOS!$D$14,"TOMA DE MUESTRAS Y LABORATORIO ",IF(O90=CURSOS!$D$15,"SOPORTE VITAL BASICO (BLS)",IF(O90=CURSOS!$D$16,"ATENCION A VICTIMAS DE VIOLENCIA SEXUAL ",IF(O90=CURSOS!$D$17,"PROGRAMADO AMPLIADO DE INMUNIZACION (PAI - COVID 19)",IF(O90=CURSOS!$D$18,"ATENCION INTEGRAL EN ENFERMEDADES PREVALENTES EN PRIMERA INFANCIA (AIEPI)",IF(O90=CURSOS!$D$19,"ADMINISTRACION DE MEDICAMENTOS, INYECTOLOGIA  Y CANALIZACION ",IF(O90=CURSOS!$D$20,"OPERADOR DE VEHICULOS DE EMERGENCIA (OVE)",IF(O90=CURSOS!$D$21,"INSTITUCIONES AMIGAS DE LA MUJER Y LA INFANCIA (IAMI)",IF(O90=CURSOS!$D$22,"CUIDADO DEL DONANTE DE ORGANOS",IF(O90=CURSOS!$D$23,"ATENCION A VICTIMAS POR VIOLENCIA DE GENERO",IF(O90=CURSOS!$D$24,"IGUALDAD DE GENERO EN LA SALUD",IF(O90=CURSOS!$D$25,"BRIGADA DE EMERGENCIA",IF(O90=CURSOS!$D$26,"MANEJO DEL DOLOR Y CUIDADOS PALIATIVOS",IF(O90=CURSOS!$D$27,"TOMA DE MUESTRAS Y LABORATORIO POCT",IF(O90=CURSOS!$D$28,"IMPLANTE SUBDERMICO DE DISPOSITIVO INTRAUTERINO",IF(O90=CURSOS!$D$29,"SALUD MENTAL",IF(O90=CURSOS!$D$30,"PRIMEROS AUXILIOS PSICOLOGICOS",IF(O90=CURSOS!$D$31,"ATENCION A VICTIMAS POR CONFLICTO ARMADO",IF(O90=CURSOS!$D$32,"MANIPULACION DE ALIMENTOS Y BPM",IF(O90=CURSOS!$D$33,"ATENCION A PERSONAS CON DISCAPACIDAD",IF(O90=CURSOS!$D$34,"CUIDADO INTEGRAL DEL PACIENTE ADULTO",IF(O90=CURSOS!$D$35,"MANEJO DEFENSIVO",IF(O90=CURSOS!$D$36,"SOPORTE CARDIOVASCULAR AVANZADO NEONATAL",IF(O90=CURSOS!$D$37,"SEGURIDAD DEL PACIENTE",IF(O90=CURSOS!$D$38,"MANEJO DE RESIDUOS HOSPITALARIOS"))))))))))))))))))))))))))))))))))))</f>
        <v xml:space="preserve">SOPORTE CARDIOVASCULAR AVANZADO (ACLS) </v>
      </c>
      <c r="V90" s="57" t="str">
        <f t="shared" si="3"/>
        <v>Nathaly Alejandra Vinasco Jimenez</v>
      </c>
      <c r="W90" s="57" t="str">
        <f t="shared" si="4"/>
        <v>Nathaly Alejandra Vinasco Jimenez</v>
      </c>
      <c r="X90" s="57" t="str">
        <f t="shared" si="5"/>
        <v>Nathaly Alejandra Vinasco Jimenez-1144089769-ACLS</v>
      </c>
    </row>
    <row r="91" spans="1:24" s="95" customFormat="1" x14ac:dyDescent="0.2">
      <c r="A91" s="68">
        <v>90</v>
      </c>
      <c r="B91" s="53">
        <v>1144089769</v>
      </c>
      <c r="C91" s="53" t="s">
        <v>338</v>
      </c>
      <c r="D91" s="53" t="s">
        <v>339</v>
      </c>
      <c r="E91" s="53" t="s">
        <v>340</v>
      </c>
      <c r="F91" s="53" t="s">
        <v>341</v>
      </c>
      <c r="G91" s="53">
        <v>20</v>
      </c>
      <c r="H91" s="53" t="s">
        <v>102</v>
      </c>
      <c r="I91" s="56" t="s">
        <v>103</v>
      </c>
      <c r="J91" s="54">
        <v>45646</v>
      </c>
      <c r="K91" s="55">
        <v>20000</v>
      </c>
      <c r="L91" s="53" t="s">
        <v>104</v>
      </c>
      <c r="M91" s="53" t="s">
        <v>105</v>
      </c>
      <c r="N91" s="94" t="s">
        <v>106</v>
      </c>
      <c r="O91" s="53" t="s">
        <v>19</v>
      </c>
      <c r="P91" s="56">
        <v>35259</v>
      </c>
      <c r="Q91" s="53" t="s">
        <v>107</v>
      </c>
      <c r="R91" s="90" t="s">
        <v>170</v>
      </c>
      <c r="S91" s="53">
        <v>3205179365</v>
      </c>
      <c r="T91" s="53" t="s">
        <v>342</v>
      </c>
      <c r="U91" s="57" t="str">
        <f>IF(O91=CURSOS!$D$3,"DIPLOMADO EN ATENCION PRE-HOSPITALARIA",IF(O91=CURSOS!$D$4,"ACOMPAÑAMIENTO Y MANEJO DEL DUELO",IF(O91=CURSOS!$D$5,"ATENCION A VICTIMAS DE ATAQUE CON AGENTES QUIMICOS ",IF(O91=CURSOS!$D$6,"PRIMEROS AUXILIOS ",IF(O91=CURSOS!$D$7,"DIPLOMADO DE UNIDAD DE CUIDADOS INTENSIVOS (UCI)",IF(O91=CURSOS!$D$8,"MODELO DE ATENCION PARA EVENTOS EMERGENTES EN SALUD MENTAL (CODIGO VERDE)",IF(O91=CURSOS!$D$9,"HUMANIZACION EN EL SERVICIO DE LA SALUD Y BUENAS PRACTICAS EN PACIENTE ",IF(O91=CURSOS!$D$10,"CLINICA DE HERIDAS ",IF(O91=CURSOS!$D$11,"TOMA DE CITOLOGIA CERVICO VAGINAL ",IF(O91=CURSOS!$D$12,"SOPORTE CARDIOVASCULAR AVANZADO (ACLS) ",IF(O91=CURSOS!$D$13,"CAMILLERO ",IF(O91=CURSOS!$D$14,"TOMA DE MUESTRAS Y LABORATORIO ",IF(O91=CURSOS!$D$15,"SOPORTE VITAL BASICO (BLS)",IF(O91=CURSOS!$D$16,"ATENCION A VICTIMAS DE VIOLENCIA SEXUAL ",IF(O91=CURSOS!$D$17,"PROGRAMADO AMPLIADO DE INMUNIZACION (PAI - COVID 19)",IF(O91=CURSOS!$D$18,"ATENCION INTEGRAL EN ENFERMEDADES PREVALENTES EN PRIMERA INFANCIA (AIEPI)",IF(O91=CURSOS!$D$19,"ADMINISTRACION DE MEDICAMENTOS, INYECTOLOGIA  Y CANALIZACION ",IF(O91=CURSOS!$D$20,"OPERADOR DE VEHICULOS DE EMERGENCIA (OVE)",IF(O91=CURSOS!$D$21,"INSTITUCIONES AMIGAS DE LA MUJER Y LA INFANCIA (IAMI)",IF(O91=CURSOS!$D$22,"CUIDADO DEL DONANTE DE ORGANOS",IF(O91=CURSOS!$D$23,"ATENCION A VICTIMAS POR VIOLENCIA DE GENERO",IF(O91=CURSOS!$D$24,"IGUALDAD DE GENERO EN LA SALUD",IF(O91=CURSOS!$D$25,"BRIGADA DE EMERGENCIA",IF(O91=CURSOS!$D$26,"MANEJO DEL DOLOR Y CUIDADOS PALIATIVOS",IF(O91=CURSOS!$D$27,"TOMA DE MUESTRAS Y LABORATORIO POCT",IF(O91=CURSOS!$D$28,"IMPLANTE SUBDERMICO DE DISPOSITIVO INTRAUTERINO",IF(O91=CURSOS!$D$29,"SALUD MENTAL",IF(O91=CURSOS!$D$30,"PRIMEROS AUXILIOS PSICOLOGICOS",IF(O91=CURSOS!$D$31,"ATENCION A VICTIMAS POR CONFLICTO ARMADO",IF(O91=CURSOS!$D$32,"MANIPULACION DE ALIMENTOS Y BPM",IF(O91=CURSOS!$D$33,"ATENCION A PERSONAS CON DISCAPACIDAD",IF(O91=CURSOS!$D$34,"CUIDADO INTEGRAL DEL PACIENTE ADULTO",IF(O91=CURSOS!$D$35,"MANEJO DEFENSIVO",IF(O91=CURSOS!$D$36,"SOPORTE CARDIOVASCULAR AVANZADO NEONATAL",IF(O91=CURSOS!$D$37,"SEGURIDAD DEL PACIENTE",IF(O91=CURSOS!$D$38,"MANEJO DE RESIDUOS HOSPITALARIOS"))))))))))))))))))))))))))))))))))))</f>
        <v>SOPORTE VITAL BASICO (BLS)</v>
      </c>
      <c r="V91" s="57" t="str">
        <f t="shared" si="3"/>
        <v>Nathaly Alejandra Vinasco Jimenez</v>
      </c>
      <c r="W91" s="57" t="str">
        <f t="shared" si="4"/>
        <v>Nathaly Alejandra Vinasco Jimenez</v>
      </c>
      <c r="X91" s="57" t="str">
        <f t="shared" si="5"/>
        <v>Nathaly Alejandra Vinasco Jimenez-1144089769-BLS</v>
      </c>
    </row>
    <row r="92" spans="1:24" s="95" customFormat="1" x14ac:dyDescent="0.2">
      <c r="A92" s="68">
        <v>91</v>
      </c>
      <c r="B92" s="53">
        <v>1144089769</v>
      </c>
      <c r="C92" s="53" t="s">
        <v>338</v>
      </c>
      <c r="D92" s="53" t="s">
        <v>339</v>
      </c>
      <c r="E92" s="53" t="s">
        <v>340</v>
      </c>
      <c r="F92" s="53" t="s">
        <v>341</v>
      </c>
      <c r="G92" s="53">
        <v>19</v>
      </c>
      <c r="H92" s="53" t="s">
        <v>102</v>
      </c>
      <c r="I92" s="56" t="s">
        <v>103</v>
      </c>
      <c r="J92" s="54">
        <v>45646</v>
      </c>
      <c r="K92" s="55">
        <v>20000</v>
      </c>
      <c r="L92" s="53" t="s">
        <v>104</v>
      </c>
      <c r="M92" s="53" t="s">
        <v>105</v>
      </c>
      <c r="N92" s="94" t="s">
        <v>106</v>
      </c>
      <c r="O92" s="53" t="s">
        <v>42</v>
      </c>
      <c r="P92" s="56">
        <v>35259</v>
      </c>
      <c r="Q92" s="53" t="s">
        <v>107</v>
      </c>
      <c r="R92" s="90" t="s">
        <v>170</v>
      </c>
      <c r="S92" s="53">
        <v>3205179365</v>
      </c>
      <c r="T92" s="53" t="s">
        <v>342</v>
      </c>
      <c r="U92" s="57" t="str">
        <f>IF(O92=CURSOS!$D$3,"DIPLOMADO EN ATENCION PRE-HOSPITALARIA",IF(O92=CURSOS!$D$4,"ACOMPAÑAMIENTO Y MANEJO DEL DUELO",IF(O92=CURSOS!$D$5,"ATENCION A VICTIMAS DE ATAQUE CON AGENTES QUIMICOS ",IF(O92=CURSOS!$D$6,"PRIMEROS AUXILIOS ",IF(O92=CURSOS!$D$7,"DIPLOMADO DE UNIDAD DE CUIDADOS INTENSIVOS (UCI)",IF(O92=CURSOS!$D$8,"MODELO DE ATENCION PARA EVENTOS EMERGENTES EN SALUD MENTAL (CODIGO VERDE)",IF(O92=CURSOS!$D$9,"HUMANIZACION EN EL SERVICIO DE LA SALUD Y BUENAS PRACTICAS EN PACIENTE ",IF(O92=CURSOS!$D$10,"CLINICA DE HERIDAS ",IF(O92=CURSOS!$D$11,"TOMA DE CITOLOGIA CERVICO VAGINAL ",IF(O92=CURSOS!$D$12,"SOPORTE CARDIOVASCULAR AVANZADO (ACLS) ",IF(O92=CURSOS!$D$13,"CAMILLERO ",IF(O92=CURSOS!$D$14,"TOMA DE MUESTRAS Y LABORATORIO ",IF(O92=CURSOS!$D$15,"SOPORTE VITAL BASICO (BLS)",IF(O92=CURSOS!$D$16,"ATENCION A VICTIMAS DE VIOLENCIA SEXUAL ",IF(O92=CURSOS!$D$17,"PROGRAMADO AMPLIADO DE INMUNIZACION (PAI - COVID 19)",IF(O92=CURSOS!$D$18,"ATENCION INTEGRAL EN ENFERMEDADES PREVALENTES EN PRIMERA INFANCIA (AIEPI)",IF(O92=CURSOS!$D$19,"ADMINISTRACION DE MEDICAMENTOS, INYECTOLOGIA  Y CANALIZACION ",IF(O92=CURSOS!$D$20,"OPERADOR DE VEHICULOS DE EMERGENCIA (OVE)",IF(O92=CURSOS!$D$21,"INSTITUCIONES AMIGAS DE LA MUJER Y LA INFANCIA (IAMI)",IF(O92=CURSOS!$D$22,"CUIDADO DEL DONANTE DE ORGANOS",IF(O92=CURSOS!$D$23,"ATENCION A VICTIMAS POR VIOLENCIA DE GENERO",IF(O92=CURSOS!$D$24,"IGUALDAD DE GENERO EN LA SALUD",IF(O92=CURSOS!$D$25,"BRIGADA DE EMERGENCIA",IF(O92=CURSOS!$D$26,"MANEJO DEL DOLOR Y CUIDADOS PALIATIVOS",IF(O92=CURSOS!$D$27,"TOMA DE MUESTRAS Y LABORATORIO POCT",IF(O92=CURSOS!$D$28,"IMPLANTE SUBDERMICO DE DISPOSITIVO INTRAUTERINO",IF(O92=CURSOS!$D$29,"SALUD MENTAL",IF(O92=CURSOS!$D$30,"PRIMEROS AUXILIOS PSICOLOGICOS",IF(O92=CURSOS!$D$31,"ATENCION A VICTIMAS POR CONFLICTO ARMADO",IF(O92=CURSOS!$D$32,"MANIPULACION DE ALIMENTOS Y BPM",IF(O92=CURSOS!$D$33,"ATENCION A PERSONAS CON DISCAPACIDAD",IF(O92=CURSOS!$D$34,"CUIDADO INTEGRAL DEL PACIENTE ADULTO",IF(O92=CURSOS!$D$35,"MANEJO DEFENSIVO",IF(O92=CURSOS!$D$36,"SOPORTE CARDIOVASCULAR AVANZADO NEONATAL",IF(O92=CURSOS!$D$37,"SEGURIDAD DEL PACIENTE",IF(O92=CURSOS!$D$38,"MANEJO DE RESIDUOS HOSPITALARIOS"))))))))))))))))))))))))))))))))))))</f>
        <v xml:space="preserve">ATENCION A VICTIMAS DE VIOLENCIA SEXUAL </v>
      </c>
      <c r="V92" s="57" t="str">
        <f t="shared" si="3"/>
        <v>Nathaly Alejandra Vinasco Jimenez</v>
      </c>
      <c r="W92" s="57" t="str">
        <f t="shared" si="4"/>
        <v>Nathaly Alejandra Vinasco Jimenez</v>
      </c>
      <c r="X92" s="57" t="str">
        <f t="shared" si="5"/>
        <v>Nathaly Alejandra Vinasco Jimenez-1144089769-VIOLENCIA SEXUAL</v>
      </c>
    </row>
    <row r="93" spans="1:24" s="95" customFormat="1" x14ac:dyDescent="0.2">
      <c r="A93" s="68">
        <v>92</v>
      </c>
      <c r="B93" s="53">
        <v>1086982487</v>
      </c>
      <c r="C93" s="53" t="s">
        <v>344</v>
      </c>
      <c r="D93" s="53" t="s">
        <v>290</v>
      </c>
      <c r="E93" s="53" t="s">
        <v>235</v>
      </c>
      <c r="F93" s="53" t="s">
        <v>291</v>
      </c>
      <c r="G93" s="53">
        <v>23</v>
      </c>
      <c r="H93" s="53" t="s">
        <v>102</v>
      </c>
      <c r="I93" s="56" t="s">
        <v>154</v>
      </c>
      <c r="J93" s="54">
        <v>45649</v>
      </c>
      <c r="K93" s="55">
        <v>80000</v>
      </c>
      <c r="L93" s="53" t="s">
        <v>104</v>
      </c>
      <c r="M93" s="53" t="s">
        <v>105</v>
      </c>
      <c r="N93" s="53" t="s">
        <v>106</v>
      </c>
      <c r="O93" s="53" t="s">
        <v>19</v>
      </c>
      <c r="P93" s="56">
        <v>34689</v>
      </c>
      <c r="Q93" s="53" t="s">
        <v>107</v>
      </c>
      <c r="R93" s="96" t="s">
        <v>155</v>
      </c>
      <c r="S93" s="53">
        <v>3216607021</v>
      </c>
      <c r="T93" s="53" t="s">
        <v>292</v>
      </c>
      <c r="U93" s="57" t="str">
        <f>IF(O93=CURSOS!$D$3,"DIPLOMADO EN ATENCION PRE-HOSPITALARIA",IF(O93=CURSOS!$D$4,"ACOMPAÑAMIENTO Y MANEJO DEL DUELO",IF(O93=CURSOS!$D$5,"ATENCION A VICTIMAS DE ATAQUE CON AGENTES QUIMICOS ",IF(O93=CURSOS!$D$6,"PRIMEROS AUXILIOS ",IF(O93=CURSOS!$D$7,"DIPLOMADO DE UNIDAD DE CUIDADOS INTENSIVOS (UCI)",IF(O93=CURSOS!$D$8,"MODELO DE ATENCION PARA EVENTOS EMERGENTES EN SALUD MENTAL (CODIGO VERDE)",IF(O93=CURSOS!$D$9,"HUMANIZACION EN EL SERVICIO DE LA SALUD Y BUENAS PRACTICAS EN PACIENTE ",IF(O93=CURSOS!$D$10,"CLINICA DE HERIDAS ",IF(O93=CURSOS!$D$11,"TOMA DE CITOLOGIA CERVICO VAGINAL ",IF(O93=CURSOS!$D$12,"SOPORTE CARDIOVASCULAR AVANZADO (ACLS) ",IF(O93=CURSOS!$D$13,"CAMILLERO ",IF(O93=CURSOS!$D$14,"TOMA DE MUESTRAS Y LABORATORIO ",IF(O93=CURSOS!$D$15,"SOPORTE VITAL BASICO (BLS)",IF(O93=CURSOS!$D$16,"ATENCION A VICTIMAS DE VIOLENCIA SEXUAL ",IF(O93=CURSOS!$D$17,"PROGRAMADO AMPLIADO DE INMUNIZACION (PAI - COVID 19)",IF(O93=CURSOS!$D$18,"ATENCION INTEGRAL EN ENFERMEDADES PREVALENTES EN PRIMERA INFANCIA (AIEPI)",IF(O93=CURSOS!$D$19,"ADMINISTRACION DE MEDICAMENTOS, INYECTOLOGIA  Y CANALIZACION ",IF(O93=CURSOS!$D$20,"OPERADOR DE VEHICULOS DE EMERGENCIA (OVE)",IF(O93=CURSOS!$D$21,"INSTITUCIONES AMIGAS DE LA MUJER Y LA INFANCIA (IAMI)",IF(O93=CURSOS!$D$22,"CUIDADO DEL DONANTE DE ORGANOS",IF(O93=CURSOS!$D$23,"ATENCION A VICTIMAS POR VIOLENCIA DE GENERO",IF(O93=CURSOS!$D$24,"IGUALDAD DE GENERO EN LA SALUD",IF(O93=CURSOS!$D$25,"BRIGADA DE EMERGENCIA",IF(O93=CURSOS!$D$26,"MANEJO DEL DOLOR Y CUIDADOS PALIATIVOS",IF(O93=CURSOS!$D$27,"TOMA DE MUESTRAS Y LABORATORIO POCT",IF(O93=CURSOS!$D$28,"IMPLANTE SUBDERMICO DE DISPOSITIVO INTRAUTERINO",IF(O93=CURSOS!$D$29,"SALUD MENTAL",IF(O93=CURSOS!$D$30,"PRIMEROS AUXILIOS PSICOLOGICOS",IF(O93=CURSOS!$D$31,"ATENCION A VICTIMAS POR CONFLICTO ARMADO",IF(O93=CURSOS!$D$32,"MANIPULACION DE ALIMENTOS Y BPM",IF(O93=CURSOS!$D$33,"ATENCION A PERSONAS CON DISCAPACIDAD",IF(O93=CURSOS!$D$34,"CUIDADO INTEGRAL DEL PACIENTE ADULTO",IF(O93=CURSOS!$D$35,"MANEJO DEFENSIVO",IF(O93=CURSOS!$D$36,"SOPORTE CARDIOVASCULAR AVANZADO NEONATAL",IF(O93=CURSOS!$D$37,"SEGURIDAD DEL PACIENTE",IF(O93=CURSOS!$D$38,"MANEJO DE RESIDUOS HOSPITALARIOS"))))))))))))))))))))))))))))))))))))</f>
        <v>SOPORTE VITAL BASICO (BLS)</v>
      </c>
      <c r="V93" s="57" t="str">
        <f t="shared" si="3"/>
        <v>Ana Cristina Coral  Bernal</v>
      </c>
      <c r="W93" s="57" t="str">
        <f t="shared" si="4"/>
        <v>Ana Cristina Coral  Bernal</v>
      </c>
      <c r="X93" s="57" t="str">
        <f t="shared" si="5"/>
        <v>Ana Cristina Coral  Bernal-1086982487-BLS</v>
      </c>
    </row>
    <row r="94" spans="1:24" s="95" customFormat="1" x14ac:dyDescent="0.2">
      <c r="A94" s="68">
        <v>93</v>
      </c>
      <c r="B94" s="53">
        <v>1085283877</v>
      </c>
      <c r="C94" s="53" t="s">
        <v>345</v>
      </c>
      <c r="D94" s="53" t="s">
        <v>199</v>
      </c>
      <c r="E94" s="53" t="s">
        <v>346</v>
      </c>
      <c r="F94" s="53" t="s">
        <v>347</v>
      </c>
      <c r="G94" s="53">
        <v>23</v>
      </c>
      <c r="H94" s="53" t="s">
        <v>102</v>
      </c>
      <c r="I94" s="56" t="s">
        <v>154</v>
      </c>
      <c r="J94" s="54" t="s">
        <v>352</v>
      </c>
      <c r="K94" s="55">
        <v>80000</v>
      </c>
      <c r="L94" s="53" t="s">
        <v>283</v>
      </c>
      <c r="M94" s="53" t="s">
        <v>105</v>
      </c>
      <c r="N94" s="53" t="s">
        <v>106</v>
      </c>
      <c r="O94" s="53" t="s">
        <v>45</v>
      </c>
      <c r="P94" s="56">
        <v>33113</v>
      </c>
      <c r="Q94" s="53" t="s">
        <v>139</v>
      </c>
      <c r="R94" s="79" t="s">
        <v>108</v>
      </c>
      <c r="S94" s="53">
        <v>3159289794</v>
      </c>
      <c r="T94" s="53" t="s">
        <v>348</v>
      </c>
      <c r="U94" s="57" t="str">
        <f>IF(O94=CURSOS!$D$3,"DIPLOMADO EN ATENCION PRE-HOSPITALARIA",IF(O94=CURSOS!$D$4,"ACOMPAÑAMIENTO Y MANEJO DEL DUELO",IF(O94=CURSOS!$D$5,"ATENCION A VICTIMAS DE ATAQUE CON AGENTES QUIMICOS ",IF(O94=CURSOS!$D$6,"PRIMEROS AUXILIOS ",IF(O94=CURSOS!$D$7,"DIPLOMADO DE UNIDAD DE CUIDADOS INTENSIVOS (UCI)",IF(O94=CURSOS!$D$8,"MODELO DE ATENCION PARA EVENTOS EMERGENTES EN SALUD MENTAL (CODIGO VERDE)",IF(O94=CURSOS!$D$9,"HUMANIZACION EN EL SERVICIO DE LA SALUD Y BUENAS PRACTICAS EN PACIENTE ",IF(O94=CURSOS!$D$10,"CLINICA DE HERIDAS ",IF(O94=CURSOS!$D$11,"TOMA DE CITOLOGIA CERVICO VAGINAL ",IF(O94=CURSOS!$D$12,"SOPORTE CARDIOVASCULAR AVANZADO (ACLS) ",IF(O94=CURSOS!$D$13,"CAMILLERO ",IF(O94=CURSOS!$D$14,"TOMA DE MUESTRAS Y LABORATORIO ",IF(O94=CURSOS!$D$15,"SOPORTE VITAL BASICO (BLS)",IF(O94=CURSOS!$D$16,"ATENCION A VICTIMAS DE VIOLENCIA SEXUAL ",IF(O94=CURSOS!$D$17,"PROGRAMADO AMPLIADO DE INMUNIZACION (PAI - COVID 19)",IF(O94=CURSOS!$D$18,"ATENCION INTEGRAL EN ENFERMEDADES PREVALENTES EN PRIMERA INFANCIA (AIEPI)",IF(O94=CURSOS!$D$19,"ADMINISTRACION DE MEDICAMENTOS, INYECTOLOGIA  Y CANALIZACION ",IF(O94=CURSOS!$D$20,"OPERADOR DE VEHICULOS DE EMERGENCIA (OVE)",IF(O94=CURSOS!$D$21,"INSTITUCIONES AMIGAS DE LA MUJER Y LA INFANCIA (IAMI)",IF(O94=CURSOS!$D$22,"CUIDADO DEL DONANTE DE ORGANOS",IF(O94=CURSOS!$D$23,"ATENCION A VICTIMAS POR VIOLENCIA DE GENERO",IF(O94=CURSOS!$D$24,"IGUALDAD DE GENERO EN LA SALUD",IF(O94=CURSOS!$D$25,"BRIGADA DE EMERGENCIA",IF(O94=CURSOS!$D$26,"MANEJO DEL DOLOR Y CUIDADOS PALIATIVOS",IF(O94=CURSOS!$D$27,"TOMA DE MUESTRAS Y LABORATORIO POCT",IF(O94=CURSOS!$D$28,"IMPLANTE SUBDERMICO DE DISPOSITIVO INTRAUTERINO",IF(O94=CURSOS!$D$29,"SALUD MENTAL",IF(O94=CURSOS!$D$30,"PRIMEROS AUXILIOS PSICOLOGICOS",IF(O94=CURSOS!$D$31,"ATENCION A VICTIMAS POR CONFLICTO ARMADO",IF(O94=CURSOS!$D$32,"MANIPULACION DE ALIMENTOS Y BPM",IF(O94=CURSOS!$D$33,"ATENCION A PERSONAS CON DISCAPACIDAD",IF(O94=CURSOS!$D$34,"CUIDADO INTEGRAL DEL PACIENTE ADULTO",IF(O94=CURSOS!$D$35,"MANEJO DEFENSIVO",IF(O94=CURSOS!$D$36,"SOPORTE CARDIOVASCULAR AVANZADO NEONATAL",IF(O94=CURSOS!$D$37,"SEGURIDAD DEL PACIENTE",IF(O94=CURSOS!$D$38,"MANEJO DE RESIDUOS HOSPITALARIOS"))))))))))))))))))))))))))))))))))))</f>
        <v xml:space="preserve">ADMINISTRACION DE MEDICAMENTOS, INYECTOLOGIA  Y CANALIZACION </v>
      </c>
      <c r="V94" s="57" t="str">
        <f t="shared" si="3"/>
        <v>Victor Iván Ordoñez Rosero</v>
      </c>
      <c r="W94" s="57" t="str">
        <f t="shared" si="4"/>
        <v>Victor Iván Ordoñez Rosero</v>
      </c>
      <c r="X94" s="57" t="str">
        <f t="shared" si="5"/>
        <v>Victor Iván Ordoñez Rosero-1085283877-ADMON DE MEDICAMENTOS</v>
      </c>
    </row>
    <row r="95" spans="1:24" s="95" customFormat="1" x14ac:dyDescent="0.2">
      <c r="A95" s="68">
        <v>94</v>
      </c>
      <c r="B95" s="53">
        <v>1085318960</v>
      </c>
      <c r="C95" s="53" t="s">
        <v>251</v>
      </c>
      <c r="D95" s="53" t="s">
        <v>349</v>
      </c>
      <c r="E95" s="53" t="s">
        <v>350</v>
      </c>
      <c r="F95" s="53" t="s">
        <v>138</v>
      </c>
      <c r="G95" s="53">
        <v>23</v>
      </c>
      <c r="H95" s="53" t="s">
        <v>102</v>
      </c>
      <c r="I95" s="56" t="s">
        <v>103</v>
      </c>
      <c r="J95" s="54">
        <v>45652</v>
      </c>
      <c r="K95" s="55">
        <v>31000</v>
      </c>
      <c r="L95" s="53" t="s">
        <v>104</v>
      </c>
      <c r="M95" s="53" t="s">
        <v>105</v>
      </c>
      <c r="N95" s="94" t="s">
        <v>106</v>
      </c>
      <c r="O95" s="53" t="s">
        <v>44</v>
      </c>
      <c r="P95" s="56">
        <v>34740</v>
      </c>
      <c r="Q95" s="53" t="s">
        <v>139</v>
      </c>
      <c r="R95" s="90" t="s">
        <v>170</v>
      </c>
      <c r="S95" s="53">
        <v>3155450028</v>
      </c>
      <c r="T95" s="53" t="s">
        <v>351</v>
      </c>
      <c r="U95" s="57" t="str">
        <f>IF(O95=CURSOS!$D$3,"DIPLOMADO EN ATENCION PRE-HOSPITALARIA",IF(O95=CURSOS!$D$4,"ACOMPAÑAMIENTO Y MANEJO DEL DUELO",IF(O95=CURSOS!$D$5,"ATENCION A VICTIMAS DE ATAQUE CON AGENTES QUIMICOS ",IF(O95=CURSOS!$D$6,"PRIMEROS AUXILIOS ",IF(O95=CURSOS!$D$7,"DIPLOMADO DE UNIDAD DE CUIDADOS INTENSIVOS (UCI)",IF(O95=CURSOS!$D$8,"MODELO DE ATENCION PARA EVENTOS EMERGENTES EN SALUD MENTAL (CODIGO VERDE)",IF(O95=CURSOS!$D$9,"HUMANIZACION EN EL SERVICIO DE LA SALUD Y BUENAS PRACTICAS EN PACIENTE ",IF(O95=CURSOS!$D$10,"CLINICA DE HERIDAS ",IF(O95=CURSOS!$D$11,"TOMA DE CITOLOGIA CERVICO VAGINAL ",IF(O95=CURSOS!$D$12,"SOPORTE CARDIOVASCULAR AVANZADO (ACLS) ",IF(O95=CURSOS!$D$13,"CAMILLERO ",IF(O95=CURSOS!$D$14,"TOMA DE MUESTRAS Y LABORATORIO ",IF(O95=CURSOS!$D$15,"SOPORTE VITAL BASICO (BLS)",IF(O95=CURSOS!$D$16,"ATENCION A VICTIMAS DE VIOLENCIA SEXUAL ",IF(O95=CURSOS!$D$17,"PROGRAMADO AMPLIADO DE INMUNIZACION (PAI - COVID 19)",IF(O95=CURSOS!$D$18,"ATENCION INTEGRAL EN ENFERMEDADES PREVALENTES EN PRIMERA INFANCIA (AIEPI)",IF(O95=CURSOS!$D$19,"ADMINISTRACION DE MEDICAMENTOS, INYECTOLOGIA  Y CANALIZACION ",IF(O95=CURSOS!$D$20,"OPERADOR DE VEHICULOS DE EMERGENCIA (OVE)",IF(O95=CURSOS!$D$21,"INSTITUCIONES AMIGAS DE LA MUJER Y LA INFANCIA (IAMI)",IF(O95=CURSOS!$D$22,"CUIDADO DEL DONANTE DE ORGANOS",IF(O95=CURSOS!$D$23,"ATENCION A VICTIMAS POR VIOLENCIA DE GENERO",IF(O95=CURSOS!$D$24,"IGUALDAD DE GENERO EN LA SALUD",IF(O95=CURSOS!$D$25,"BRIGADA DE EMERGENCIA",IF(O95=CURSOS!$D$26,"MANEJO DEL DOLOR Y CUIDADOS PALIATIVOS",IF(O95=CURSOS!$D$27,"TOMA DE MUESTRAS Y LABORATORIO POCT",IF(O95=CURSOS!$D$28,"IMPLANTE SUBDERMICO DE DISPOSITIVO INTRAUTERINO",IF(O95=CURSOS!$D$29,"SALUD MENTAL",IF(O95=CURSOS!$D$30,"PRIMEROS AUXILIOS PSICOLOGICOS",IF(O95=CURSOS!$D$31,"ATENCION A VICTIMAS POR CONFLICTO ARMADO",IF(O95=CURSOS!$D$32,"MANIPULACION DE ALIMENTOS Y BPM",IF(O95=CURSOS!$D$33,"ATENCION A PERSONAS CON DISCAPACIDAD",IF(O95=CURSOS!$D$34,"CUIDADO INTEGRAL DEL PACIENTE ADULTO",IF(O95=CURSOS!$D$35,"MANEJO DEFENSIVO",IF(O95=CURSOS!$D$36,"SOPORTE CARDIOVASCULAR AVANZADO NEONATAL",IF(O95=CURSOS!$D$37,"SEGURIDAD DEL PACIENTE",IF(O95=CURSOS!$D$38,"MANEJO DE RESIDUOS HOSPITALARIOS"))))))))))))))))))))))))))))))))))))</f>
        <v>ATENCION INTEGRAL EN ENFERMEDADES PREVALENTES EN PRIMERA INFANCIA (AIEPI)</v>
      </c>
      <c r="V95" s="57" t="str">
        <f t="shared" si="3"/>
        <v>Diego Fernando Obando Burbano</v>
      </c>
      <c r="W95" s="57" t="str">
        <f t="shared" si="4"/>
        <v>Diego Fernando Obando Burbano</v>
      </c>
      <c r="X95" s="57" t="str">
        <f t="shared" si="5"/>
        <v>Diego Fernando Obando Burbano-1085318960-AIEPI</v>
      </c>
    </row>
    <row r="96" spans="1:24" s="95" customFormat="1" x14ac:dyDescent="0.2">
      <c r="A96" s="68">
        <v>95</v>
      </c>
      <c r="B96" s="53">
        <v>1085318960</v>
      </c>
      <c r="C96" s="53" t="s">
        <v>251</v>
      </c>
      <c r="D96" s="53" t="s">
        <v>349</v>
      </c>
      <c r="E96" s="53" t="s">
        <v>350</v>
      </c>
      <c r="F96" s="53" t="s">
        <v>138</v>
      </c>
      <c r="G96" s="53">
        <v>23</v>
      </c>
      <c r="H96" s="53" t="s">
        <v>102</v>
      </c>
      <c r="I96" s="56" t="s">
        <v>103</v>
      </c>
      <c r="J96" s="54">
        <v>45652</v>
      </c>
      <c r="K96" s="55">
        <v>31000</v>
      </c>
      <c r="L96" s="53" t="s">
        <v>104</v>
      </c>
      <c r="M96" s="53" t="s">
        <v>105</v>
      </c>
      <c r="N96" s="94" t="s">
        <v>106</v>
      </c>
      <c r="O96" s="53" t="s">
        <v>48</v>
      </c>
      <c r="P96" s="56">
        <v>34740</v>
      </c>
      <c r="Q96" s="53" t="s">
        <v>139</v>
      </c>
      <c r="R96" s="90" t="s">
        <v>170</v>
      </c>
      <c r="S96" s="53">
        <v>3155450028</v>
      </c>
      <c r="T96" s="53" t="s">
        <v>351</v>
      </c>
      <c r="U96" s="57" t="str">
        <f>IF(O96=CURSOS!$D$3,"DIPLOMADO EN ATENCION PRE-HOSPITALARIA",IF(O96=CURSOS!$D$4,"ACOMPAÑAMIENTO Y MANEJO DEL DUELO",IF(O96=CURSOS!$D$5,"ATENCION A VICTIMAS DE ATAQUE CON AGENTES QUIMICOS ",IF(O96=CURSOS!$D$6,"PRIMEROS AUXILIOS ",IF(O96=CURSOS!$D$7,"DIPLOMADO DE UNIDAD DE CUIDADOS INTENSIVOS (UCI)",IF(O96=CURSOS!$D$8,"MODELO DE ATENCION PARA EVENTOS EMERGENTES EN SALUD MENTAL (CODIGO VERDE)",IF(O96=CURSOS!$D$9,"HUMANIZACION EN EL SERVICIO DE LA SALUD Y BUENAS PRACTICAS EN PACIENTE ",IF(O96=CURSOS!$D$10,"CLINICA DE HERIDAS ",IF(O96=CURSOS!$D$11,"TOMA DE CITOLOGIA CERVICO VAGINAL ",IF(O96=CURSOS!$D$12,"SOPORTE CARDIOVASCULAR AVANZADO (ACLS) ",IF(O96=CURSOS!$D$13,"CAMILLERO ",IF(O96=CURSOS!$D$14,"TOMA DE MUESTRAS Y LABORATORIO ",IF(O96=CURSOS!$D$15,"SOPORTE VITAL BASICO (BLS)",IF(O96=CURSOS!$D$16,"ATENCION A VICTIMAS DE VIOLENCIA SEXUAL ",IF(O96=CURSOS!$D$17,"PROGRAMADO AMPLIADO DE INMUNIZACION (PAI - COVID 19)",IF(O96=CURSOS!$D$18,"ATENCION INTEGRAL EN ENFERMEDADES PREVALENTES EN PRIMERA INFANCIA (AIEPI)",IF(O96=CURSOS!$D$19,"ADMINISTRACION DE MEDICAMENTOS, INYECTOLOGIA  Y CANALIZACION ",IF(O96=CURSOS!$D$20,"OPERADOR DE VEHICULOS DE EMERGENCIA (OVE)",IF(O96=CURSOS!$D$21,"INSTITUCIONES AMIGAS DE LA MUJER Y LA INFANCIA (IAMI)",IF(O96=CURSOS!$D$22,"CUIDADO DEL DONANTE DE ORGANOS",IF(O96=CURSOS!$D$23,"ATENCION A VICTIMAS POR VIOLENCIA DE GENERO",IF(O96=CURSOS!$D$24,"IGUALDAD DE GENERO EN LA SALUD",IF(O96=CURSOS!$D$25,"BRIGADA DE EMERGENCIA",IF(O96=CURSOS!$D$26,"MANEJO DEL DOLOR Y CUIDADOS PALIATIVOS",IF(O96=CURSOS!$D$27,"TOMA DE MUESTRAS Y LABORATORIO POCT",IF(O96=CURSOS!$D$28,"IMPLANTE SUBDERMICO DE DISPOSITIVO INTRAUTERINO",IF(O96=CURSOS!$D$29,"SALUD MENTAL",IF(O96=CURSOS!$D$30,"PRIMEROS AUXILIOS PSICOLOGICOS",IF(O96=CURSOS!$D$31,"ATENCION A VICTIMAS POR CONFLICTO ARMADO",IF(O96=CURSOS!$D$32,"MANIPULACION DE ALIMENTOS Y BPM",IF(O96=CURSOS!$D$33,"ATENCION A PERSONAS CON DISCAPACIDAD",IF(O96=CURSOS!$D$34,"CUIDADO INTEGRAL DEL PACIENTE ADULTO",IF(O96=CURSOS!$D$35,"MANEJO DEFENSIVO",IF(O96=CURSOS!$D$36,"SOPORTE CARDIOVASCULAR AVANZADO NEONATAL",IF(O96=CURSOS!$D$37,"SEGURIDAD DEL PACIENTE",IF(O96=CURSOS!$D$38,"MANEJO DE RESIDUOS HOSPITALARIOS"))))))))))))))))))))))))))))))))))))</f>
        <v>INSTITUCIONES AMIGAS DE LA MUJER Y LA INFANCIA (IAMI)</v>
      </c>
      <c r="V96" s="57" t="str">
        <f t="shared" si="3"/>
        <v>Diego Fernando Obando Burbano</v>
      </c>
      <c r="W96" s="57" t="str">
        <f t="shared" si="4"/>
        <v>Diego Fernando Obando Burbano</v>
      </c>
      <c r="X96" s="57" t="str">
        <f t="shared" si="5"/>
        <v>Diego Fernando Obando Burbano-1085318960-IAMI</v>
      </c>
    </row>
    <row r="97" spans="1:24" s="95" customFormat="1" x14ac:dyDescent="0.2">
      <c r="A97" s="68">
        <v>96</v>
      </c>
      <c r="B97" s="53">
        <v>1085318960</v>
      </c>
      <c r="C97" s="53" t="s">
        <v>251</v>
      </c>
      <c r="D97" s="53" t="s">
        <v>349</v>
      </c>
      <c r="E97" s="53" t="s">
        <v>350</v>
      </c>
      <c r="F97" s="53" t="s">
        <v>138</v>
      </c>
      <c r="G97" s="53">
        <v>24</v>
      </c>
      <c r="H97" s="53" t="s">
        <v>102</v>
      </c>
      <c r="I97" s="56" t="s">
        <v>103</v>
      </c>
      <c r="J97" s="54">
        <v>45652</v>
      </c>
      <c r="K97" s="55">
        <v>32000</v>
      </c>
      <c r="L97" s="53" t="s">
        <v>104</v>
      </c>
      <c r="M97" s="53" t="s">
        <v>105</v>
      </c>
      <c r="N97" s="94" t="s">
        <v>106</v>
      </c>
      <c r="O97" s="53" t="s">
        <v>32</v>
      </c>
      <c r="P97" s="56">
        <v>34740</v>
      </c>
      <c r="Q97" s="53" t="s">
        <v>139</v>
      </c>
      <c r="R97" s="90" t="s">
        <v>170</v>
      </c>
      <c r="S97" s="53">
        <v>3155450028</v>
      </c>
      <c r="T97" s="53" t="s">
        <v>351</v>
      </c>
      <c r="U97" s="57" t="str">
        <f>IF(O97=CURSOS!$D$3,"DIPLOMADO EN ATENCION PRE-HOSPITALARIA",IF(O97=CURSOS!$D$4,"ACOMPAÑAMIENTO Y MANEJO DEL DUELO",IF(O97=CURSOS!$D$5,"ATENCION A VICTIMAS DE ATAQUE CON AGENTES QUIMICOS ",IF(O97=CURSOS!$D$6,"PRIMEROS AUXILIOS ",IF(O97=CURSOS!$D$7,"DIPLOMADO DE UNIDAD DE CUIDADOS INTENSIVOS (UCI)",IF(O97=CURSOS!$D$8,"MODELO DE ATENCION PARA EVENTOS EMERGENTES EN SALUD MENTAL (CODIGO VERDE)",IF(O97=CURSOS!$D$9,"HUMANIZACION EN EL SERVICIO DE LA SALUD Y BUENAS PRACTICAS EN PACIENTE ",IF(O97=CURSOS!$D$10,"CLINICA DE HERIDAS ",IF(O97=CURSOS!$D$11,"TOMA DE CITOLOGIA CERVICO VAGINAL ",IF(O97=CURSOS!$D$12,"SOPORTE CARDIOVASCULAR AVANZADO (ACLS) ",IF(O97=CURSOS!$D$13,"CAMILLERO ",IF(O97=CURSOS!$D$14,"TOMA DE MUESTRAS Y LABORATORIO ",IF(O97=CURSOS!$D$15,"SOPORTE VITAL BASICO (BLS)",IF(O97=CURSOS!$D$16,"ATENCION A VICTIMAS DE VIOLENCIA SEXUAL ",IF(O97=CURSOS!$D$17,"PROGRAMADO AMPLIADO DE INMUNIZACION (PAI - COVID 19)",IF(O97=CURSOS!$D$18,"ATENCION INTEGRAL EN ENFERMEDADES PREVALENTES EN PRIMERA INFANCIA (AIEPI)",IF(O97=CURSOS!$D$19,"ADMINISTRACION DE MEDICAMENTOS, INYECTOLOGIA  Y CANALIZACION ",IF(O97=CURSOS!$D$20,"OPERADOR DE VEHICULOS DE EMERGENCIA (OVE)",IF(O97=CURSOS!$D$21,"INSTITUCIONES AMIGAS DE LA MUJER Y LA INFANCIA (IAMI)",IF(O97=CURSOS!$D$22,"CUIDADO DEL DONANTE DE ORGANOS",IF(O97=CURSOS!$D$23,"ATENCION A VICTIMAS POR VIOLENCIA DE GENERO",IF(O97=CURSOS!$D$24,"IGUALDAD DE GENERO EN LA SALUD",IF(O97=CURSOS!$D$25,"BRIGADA DE EMERGENCIA",IF(O97=CURSOS!$D$26,"MANEJO DEL DOLOR Y CUIDADOS PALIATIVOS",IF(O97=CURSOS!$D$27,"TOMA DE MUESTRAS Y LABORATORIO POCT",IF(O97=CURSOS!$D$28,"IMPLANTE SUBDERMICO DE DISPOSITIVO INTRAUTERINO",IF(O97=CURSOS!$D$29,"SALUD MENTAL",IF(O97=CURSOS!$D$30,"PRIMEROS AUXILIOS PSICOLOGICOS",IF(O97=CURSOS!$D$31,"ATENCION A VICTIMAS POR CONFLICTO ARMADO",IF(O97=CURSOS!$D$32,"MANIPULACION DE ALIMENTOS Y BPM",IF(O97=CURSOS!$D$33,"ATENCION A PERSONAS CON DISCAPACIDAD",IF(O97=CURSOS!$D$34,"CUIDADO INTEGRAL DEL PACIENTE ADULTO",IF(O97=CURSOS!$D$35,"MANEJO DEFENSIVO",IF(O97=CURSOS!$D$36,"SOPORTE CARDIOVASCULAR AVANZADO NEONATAL",IF(O97=CURSOS!$D$37,"SEGURIDAD DEL PACIENTE",IF(O97=CURSOS!$D$38,"MANEJO DE RESIDUOS HOSPITALARIOS"))))))))))))))))))))))))))))))))))))</f>
        <v xml:space="preserve">HUMANIZACION EN EL SERVICIO DE LA SALUD Y BUENAS PRACTICAS EN PACIENTE </v>
      </c>
      <c r="V97" s="57" t="str">
        <f t="shared" si="3"/>
        <v>Diego Fernando Obando Burbano</v>
      </c>
      <c r="W97" s="57" t="str">
        <f t="shared" si="4"/>
        <v>Diego Fernando Obando Burbano</v>
      </c>
      <c r="X97" s="57" t="str">
        <f t="shared" si="5"/>
        <v>Diego Fernando Obando Burbano-1085318960-HUMANIZACION</v>
      </c>
    </row>
    <row r="98" spans="1:24" s="95" customFormat="1" x14ac:dyDescent="0.2">
      <c r="A98" s="68">
        <v>97</v>
      </c>
      <c r="B98" s="53">
        <v>1085318960</v>
      </c>
      <c r="C98" s="53" t="s">
        <v>251</v>
      </c>
      <c r="D98" s="53" t="s">
        <v>349</v>
      </c>
      <c r="E98" s="53" t="s">
        <v>350</v>
      </c>
      <c r="F98" s="53" t="s">
        <v>138</v>
      </c>
      <c r="G98" s="53">
        <v>24</v>
      </c>
      <c r="H98" s="53" t="s">
        <v>102</v>
      </c>
      <c r="I98" s="56" t="s">
        <v>103</v>
      </c>
      <c r="J98" s="54">
        <v>45652</v>
      </c>
      <c r="K98" s="55">
        <v>32000</v>
      </c>
      <c r="L98" s="53" t="s">
        <v>104</v>
      </c>
      <c r="M98" s="53" t="s">
        <v>105</v>
      </c>
      <c r="N98" s="94" t="s">
        <v>106</v>
      </c>
      <c r="O98" s="94" t="s">
        <v>23</v>
      </c>
      <c r="P98" s="56">
        <v>34740</v>
      </c>
      <c r="Q98" s="53" t="s">
        <v>139</v>
      </c>
      <c r="R98" s="90" t="s">
        <v>170</v>
      </c>
      <c r="S98" s="53">
        <v>3155450028</v>
      </c>
      <c r="T98" s="53" t="s">
        <v>351</v>
      </c>
      <c r="U98" s="57" t="str">
        <f>IF(O98=CURSOS!$D$3,"DIPLOMADO EN ATENCION PRE-HOSPITALARIA",IF(O98=CURSOS!$D$4,"ACOMPAÑAMIENTO Y MANEJO DEL DUELO",IF(O98=CURSOS!$D$5,"ATENCION A VICTIMAS DE ATAQUE CON AGENTES QUIMICOS ",IF(O98=CURSOS!$D$6,"PRIMEROS AUXILIOS ",IF(O98=CURSOS!$D$7,"DIPLOMADO DE UNIDAD DE CUIDADOS INTENSIVOS (UCI)",IF(O98=CURSOS!$D$8,"MODELO DE ATENCION PARA EVENTOS EMERGENTES EN SALUD MENTAL (CODIGO VERDE)",IF(O98=CURSOS!$D$9,"HUMANIZACION EN EL SERVICIO DE LA SALUD Y BUENAS PRACTICAS EN PACIENTE ",IF(O98=CURSOS!$D$10,"CLINICA DE HERIDAS ",IF(O98=CURSOS!$D$11,"TOMA DE CITOLOGIA CERVICO VAGINAL ",IF(O98=CURSOS!$D$12,"SOPORTE CARDIOVASCULAR AVANZADO (ACLS) ",IF(O98=CURSOS!$D$13,"CAMILLERO ",IF(O98=CURSOS!$D$14,"TOMA DE MUESTRAS Y LABORATORIO ",IF(O98=CURSOS!$D$15,"SOPORTE VITAL BASICO (BLS)",IF(O98=CURSOS!$D$16,"ATENCION A VICTIMAS DE VIOLENCIA SEXUAL ",IF(O98=CURSOS!$D$17,"PROGRAMADO AMPLIADO DE INMUNIZACION (PAI - COVID 19)",IF(O98=CURSOS!$D$18,"ATENCION INTEGRAL EN ENFERMEDADES PREVALENTES EN PRIMERA INFANCIA (AIEPI)",IF(O98=CURSOS!$D$19,"ADMINISTRACION DE MEDICAMENTOS, INYECTOLOGIA  Y CANALIZACION ",IF(O98=CURSOS!$D$20,"OPERADOR DE VEHICULOS DE EMERGENCIA (OVE)",IF(O98=CURSOS!$D$21,"INSTITUCIONES AMIGAS DE LA MUJER Y LA INFANCIA (IAMI)",IF(O98=CURSOS!$D$22,"CUIDADO DEL DONANTE DE ORGANOS",IF(O98=CURSOS!$D$23,"ATENCION A VICTIMAS POR VIOLENCIA DE GENERO",IF(O98=CURSOS!$D$24,"IGUALDAD DE GENERO EN LA SALUD",IF(O98=CURSOS!$D$25,"BRIGADA DE EMERGENCIA",IF(O98=CURSOS!$D$26,"MANEJO DEL DOLOR Y CUIDADOS PALIATIVOS",IF(O98=CURSOS!$D$27,"TOMA DE MUESTRAS Y LABORATORIO POCT",IF(O98=CURSOS!$D$28,"IMPLANTE SUBDERMICO DE DISPOSITIVO INTRAUTERINO",IF(O98=CURSOS!$D$29,"SALUD MENTAL",IF(O98=CURSOS!$D$30,"PRIMEROS AUXILIOS PSICOLOGICOS",IF(O98=CURSOS!$D$31,"ATENCION A VICTIMAS POR CONFLICTO ARMADO",IF(O98=CURSOS!$D$32,"MANIPULACION DE ALIMENTOS Y BPM",IF(O98=CURSOS!$D$33,"ATENCION A PERSONAS CON DISCAPACIDAD",IF(O98=CURSOS!$D$34,"CUIDADO INTEGRAL DEL PACIENTE ADULTO",IF(O98=CURSOS!$D$35,"MANEJO DEFENSIVO",IF(O98=CURSOS!$D$36,"SOPORTE CARDIOVASCULAR AVANZADO NEONATAL",IF(O98=CURSOS!$D$37,"SEGURIDAD DEL PACIENTE",IF(O98=CURSOS!$D$38,"MANEJO DE RESIDUOS HOSPITALARIOS"))))))))))))))))))))))))))))))))))))</f>
        <v>ACOMPAÑAMIENTO Y MANEJO DEL DUELO</v>
      </c>
      <c r="V98" s="57" t="str">
        <f t="shared" si="3"/>
        <v>Diego Fernando Obando Burbano</v>
      </c>
      <c r="W98" s="57" t="str">
        <f t="shared" si="4"/>
        <v>Diego Fernando Obando Burbano</v>
      </c>
      <c r="X98" s="57" t="str">
        <f t="shared" si="5"/>
        <v>Diego Fernando Obando Burbano-1085318960-DUELO</v>
      </c>
    </row>
    <row r="99" spans="1:24" s="95" customFormat="1" x14ac:dyDescent="0.2">
      <c r="A99" s="68">
        <v>98</v>
      </c>
      <c r="B99" s="53">
        <v>1085318960</v>
      </c>
      <c r="C99" s="53" t="s">
        <v>251</v>
      </c>
      <c r="D99" s="53" t="s">
        <v>349</v>
      </c>
      <c r="E99" s="53" t="s">
        <v>350</v>
      </c>
      <c r="F99" s="53" t="s">
        <v>138</v>
      </c>
      <c r="G99" s="53">
        <v>26</v>
      </c>
      <c r="H99" s="53" t="s">
        <v>102</v>
      </c>
      <c r="I99" s="56" t="s">
        <v>103</v>
      </c>
      <c r="J99" s="54">
        <v>45652</v>
      </c>
      <c r="K99" s="55">
        <v>32000</v>
      </c>
      <c r="L99" s="53" t="s">
        <v>104</v>
      </c>
      <c r="M99" s="53" t="s">
        <v>105</v>
      </c>
      <c r="N99" s="94" t="s">
        <v>106</v>
      </c>
      <c r="O99" s="53" t="s">
        <v>42</v>
      </c>
      <c r="P99" s="56">
        <v>34740</v>
      </c>
      <c r="Q99" s="53" t="s">
        <v>139</v>
      </c>
      <c r="R99" s="90" t="s">
        <v>170</v>
      </c>
      <c r="S99" s="53">
        <v>3155450028</v>
      </c>
      <c r="T99" s="53" t="s">
        <v>351</v>
      </c>
      <c r="U99" s="57" t="str">
        <f>IF(O99=CURSOS!$D$3,"DIPLOMADO EN ATENCION PRE-HOSPITALARIA",IF(O99=CURSOS!$D$4,"ACOMPAÑAMIENTO Y MANEJO DEL DUELO",IF(O99=CURSOS!$D$5,"ATENCION A VICTIMAS DE ATAQUE CON AGENTES QUIMICOS ",IF(O99=CURSOS!$D$6,"PRIMEROS AUXILIOS ",IF(O99=CURSOS!$D$7,"DIPLOMADO DE UNIDAD DE CUIDADOS INTENSIVOS (UCI)",IF(O99=CURSOS!$D$8,"MODELO DE ATENCION PARA EVENTOS EMERGENTES EN SALUD MENTAL (CODIGO VERDE)",IF(O99=CURSOS!$D$9,"HUMANIZACION EN EL SERVICIO DE LA SALUD Y BUENAS PRACTICAS EN PACIENTE ",IF(O99=CURSOS!$D$10,"CLINICA DE HERIDAS ",IF(O99=CURSOS!$D$11,"TOMA DE CITOLOGIA CERVICO VAGINAL ",IF(O99=CURSOS!$D$12,"SOPORTE CARDIOVASCULAR AVANZADO (ACLS) ",IF(O99=CURSOS!$D$13,"CAMILLERO ",IF(O99=CURSOS!$D$14,"TOMA DE MUESTRAS Y LABORATORIO ",IF(O99=CURSOS!$D$15,"SOPORTE VITAL BASICO (BLS)",IF(O99=CURSOS!$D$16,"ATENCION A VICTIMAS DE VIOLENCIA SEXUAL ",IF(O99=CURSOS!$D$17,"PROGRAMADO AMPLIADO DE INMUNIZACION (PAI - COVID 19)",IF(O99=CURSOS!$D$18,"ATENCION INTEGRAL EN ENFERMEDADES PREVALENTES EN PRIMERA INFANCIA (AIEPI)",IF(O99=CURSOS!$D$19,"ADMINISTRACION DE MEDICAMENTOS, INYECTOLOGIA  Y CANALIZACION ",IF(O99=CURSOS!$D$20,"OPERADOR DE VEHICULOS DE EMERGENCIA (OVE)",IF(O99=CURSOS!$D$21,"INSTITUCIONES AMIGAS DE LA MUJER Y LA INFANCIA (IAMI)",IF(O99=CURSOS!$D$22,"CUIDADO DEL DONANTE DE ORGANOS",IF(O99=CURSOS!$D$23,"ATENCION A VICTIMAS POR VIOLENCIA DE GENERO",IF(O99=CURSOS!$D$24,"IGUALDAD DE GENERO EN LA SALUD",IF(O99=CURSOS!$D$25,"BRIGADA DE EMERGENCIA",IF(O99=CURSOS!$D$26,"MANEJO DEL DOLOR Y CUIDADOS PALIATIVOS",IF(O99=CURSOS!$D$27,"TOMA DE MUESTRAS Y LABORATORIO POCT",IF(O99=CURSOS!$D$28,"IMPLANTE SUBDERMICO DE DISPOSITIVO INTRAUTERINO",IF(O99=CURSOS!$D$29,"SALUD MENTAL",IF(O99=CURSOS!$D$30,"PRIMEROS AUXILIOS PSICOLOGICOS",IF(O99=CURSOS!$D$31,"ATENCION A VICTIMAS POR CONFLICTO ARMADO",IF(O99=CURSOS!$D$32,"MANIPULACION DE ALIMENTOS Y BPM",IF(O99=CURSOS!$D$33,"ATENCION A PERSONAS CON DISCAPACIDAD",IF(O99=CURSOS!$D$34,"CUIDADO INTEGRAL DEL PACIENTE ADULTO",IF(O99=CURSOS!$D$35,"MANEJO DEFENSIVO",IF(O99=CURSOS!$D$36,"SOPORTE CARDIOVASCULAR AVANZADO NEONATAL",IF(O99=CURSOS!$D$37,"SEGURIDAD DEL PACIENTE",IF(O99=CURSOS!$D$38,"MANEJO DE RESIDUOS HOSPITALARIOS"))))))))))))))))))))))))))))))))))))</f>
        <v xml:space="preserve">ATENCION A VICTIMAS DE VIOLENCIA SEXUAL </v>
      </c>
      <c r="V99" s="57" t="str">
        <f t="shared" si="3"/>
        <v>Diego Fernando Obando Burbano</v>
      </c>
      <c r="W99" s="57" t="str">
        <f t="shared" si="4"/>
        <v>Diego Fernando Obando Burbano</v>
      </c>
      <c r="X99" s="57" t="str">
        <f t="shared" si="5"/>
        <v>Diego Fernando Obando Burbano-1085318960-VIOLENCIA SEXUAL</v>
      </c>
    </row>
    <row r="100" spans="1:24" s="95" customFormat="1" x14ac:dyDescent="0.2">
      <c r="A100" s="68">
        <v>99</v>
      </c>
      <c r="B100" s="53">
        <v>1085318960</v>
      </c>
      <c r="C100" s="53" t="s">
        <v>251</v>
      </c>
      <c r="D100" s="53" t="s">
        <v>349</v>
      </c>
      <c r="E100" s="53" t="s">
        <v>350</v>
      </c>
      <c r="F100" s="53" t="s">
        <v>138</v>
      </c>
      <c r="G100" s="53">
        <v>26</v>
      </c>
      <c r="H100" s="53" t="s">
        <v>102</v>
      </c>
      <c r="I100" s="56" t="s">
        <v>103</v>
      </c>
      <c r="J100" s="54">
        <v>45652</v>
      </c>
      <c r="K100" s="55">
        <v>32000</v>
      </c>
      <c r="L100" s="53" t="s">
        <v>104</v>
      </c>
      <c r="M100" s="53" t="s">
        <v>105</v>
      </c>
      <c r="N100" s="94" t="s">
        <v>106</v>
      </c>
      <c r="O100" s="94" t="s">
        <v>25</v>
      </c>
      <c r="P100" s="56">
        <v>34740</v>
      </c>
      <c r="Q100" s="53" t="s">
        <v>139</v>
      </c>
      <c r="R100" s="90" t="s">
        <v>170</v>
      </c>
      <c r="S100" s="53">
        <v>3155450028</v>
      </c>
      <c r="T100" s="53" t="s">
        <v>351</v>
      </c>
      <c r="U100" s="57" t="str">
        <f>IF(O100=CURSOS!$D$3,"DIPLOMADO EN ATENCION PRE-HOSPITALARIA",IF(O100=CURSOS!$D$4,"ACOMPAÑAMIENTO Y MANEJO DEL DUELO",IF(O100=CURSOS!$D$5,"ATENCION A VICTIMAS DE ATAQUE CON AGENTES QUIMICOS ",IF(O100=CURSOS!$D$6,"PRIMEROS AUXILIOS ",IF(O100=CURSOS!$D$7,"DIPLOMADO DE UNIDAD DE CUIDADOS INTENSIVOS (UCI)",IF(O100=CURSOS!$D$8,"MODELO DE ATENCION PARA EVENTOS EMERGENTES EN SALUD MENTAL (CODIGO VERDE)",IF(O100=CURSOS!$D$9,"HUMANIZACION EN EL SERVICIO DE LA SALUD Y BUENAS PRACTICAS EN PACIENTE ",IF(O100=CURSOS!$D$10,"CLINICA DE HERIDAS ",IF(O100=CURSOS!$D$11,"TOMA DE CITOLOGIA CERVICO VAGINAL ",IF(O100=CURSOS!$D$12,"SOPORTE CARDIOVASCULAR AVANZADO (ACLS) ",IF(O100=CURSOS!$D$13,"CAMILLERO ",IF(O100=CURSOS!$D$14,"TOMA DE MUESTRAS Y LABORATORIO ",IF(O100=CURSOS!$D$15,"SOPORTE VITAL BASICO (BLS)",IF(O100=CURSOS!$D$16,"ATENCION A VICTIMAS DE VIOLENCIA SEXUAL ",IF(O100=CURSOS!$D$17,"PROGRAMADO AMPLIADO DE INMUNIZACION (PAI - COVID 19)",IF(O100=CURSOS!$D$18,"ATENCION INTEGRAL EN ENFERMEDADES PREVALENTES EN PRIMERA INFANCIA (AIEPI)",IF(O100=CURSOS!$D$19,"ADMINISTRACION DE MEDICAMENTOS, INYECTOLOGIA  Y CANALIZACION ",IF(O100=CURSOS!$D$20,"OPERADOR DE VEHICULOS DE EMERGENCIA (OVE)",IF(O100=CURSOS!$D$21,"INSTITUCIONES AMIGAS DE LA MUJER Y LA INFANCIA (IAMI)",IF(O100=CURSOS!$D$22,"CUIDADO DEL DONANTE DE ORGANOS",IF(O100=CURSOS!$D$23,"ATENCION A VICTIMAS POR VIOLENCIA DE GENERO",IF(O100=CURSOS!$D$24,"IGUALDAD DE GENERO EN LA SALUD",IF(O100=CURSOS!$D$25,"BRIGADA DE EMERGENCIA",IF(O100=CURSOS!$D$26,"MANEJO DEL DOLOR Y CUIDADOS PALIATIVOS",IF(O100=CURSOS!$D$27,"TOMA DE MUESTRAS Y LABORATORIO POCT",IF(O100=CURSOS!$D$28,"IMPLANTE SUBDERMICO DE DISPOSITIVO INTRAUTERINO",IF(O100=CURSOS!$D$29,"SALUD MENTAL",IF(O100=CURSOS!$D$30,"PRIMEROS AUXILIOS PSICOLOGICOS",IF(O100=CURSOS!$D$31,"ATENCION A VICTIMAS POR CONFLICTO ARMADO",IF(O100=CURSOS!$D$32,"MANIPULACION DE ALIMENTOS Y BPM",IF(O100=CURSOS!$D$33,"ATENCION A PERSONAS CON DISCAPACIDAD",IF(O100=CURSOS!$D$34,"CUIDADO INTEGRAL DEL PACIENTE ADULTO",IF(O100=CURSOS!$D$35,"MANEJO DEFENSIVO",IF(O100=CURSOS!$D$36,"SOPORTE CARDIOVASCULAR AVANZADO NEONATAL",IF(O100=CURSOS!$D$37,"SEGURIDAD DEL PACIENTE",IF(O100=CURSOS!$D$38,"MANEJO DE RESIDUOS HOSPITALARIOS"))))))))))))))))))))))))))))))))))))</f>
        <v xml:space="preserve">ATENCION A VICTIMAS DE ATAQUE CON AGENTES QUIMICOS </v>
      </c>
      <c r="V100" s="57" t="str">
        <f t="shared" si="3"/>
        <v>Diego Fernando Obando Burbano</v>
      </c>
      <c r="W100" s="57" t="str">
        <f t="shared" si="4"/>
        <v>Diego Fernando Obando Burbano</v>
      </c>
      <c r="X100" s="57" t="str">
        <f t="shared" si="5"/>
        <v>Diego Fernando Obando Burbano-1085318960-QUIMICOS</v>
      </c>
    </row>
    <row r="101" spans="1:24" s="95" customFormat="1" x14ac:dyDescent="0.2">
      <c r="A101" s="68">
        <v>100</v>
      </c>
      <c r="B101" s="53">
        <v>1084846415</v>
      </c>
      <c r="C101" s="94" t="s">
        <v>353</v>
      </c>
      <c r="D101" s="94" t="s">
        <v>354</v>
      </c>
      <c r="E101" s="94" t="s">
        <v>355</v>
      </c>
      <c r="F101" s="94" t="s">
        <v>356</v>
      </c>
      <c r="G101" s="94">
        <v>24</v>
      </c>
      <c r="H101" s="53" t="s">
        <v>102</v>
      </c>
      <c r="I101" s="97" t="s">
        <v>103</v>
      </c>
      <c r="J101" s="54">
        <v>45652</v>
      </c>
      <c r="K101" s="69">
        <v>32000</v>
      </c>
      <c r="L101" s="53" t="s">
        <v>176</v>
      </c>
      <c r="M101" s="53" t="s">
        <v>105</v>
      </c>
      <c r="N101" s="94" t="s">
        <v>106</v>
      </c>
      <c r="O101" s="94" t="s">
        <v>19</v>
      </c>
      <c r="P101" s="97">
        <v>32219</v>
      </c>
      <c r="Q101" s="94" t="s">
        <v>107</v>
      </c>
      <c r="R101" s="94" t="s">
        <v>116</v>
      </c>
      <c r="S101" s="98">
        <v>3136235696</v>
      </c>
      <c r="T101" s="53" t="s">
        <v>357</v>
      </c>
      <c r="U101" s="57" t="str">
        <f>IF(O101=CURSOS!$D$3,"DIPLOMADO EN ATENCION PRE-HOSPITALARIA",IF(O101=CURSOS!$D$4,"ACOMPAÑAMIENTO Y MANEJO DEL DUELO",IF(O101=CURSOS!$D$5,"ATENCION A VICTIMAS DE ATAQUE CON AGENTES QUIMICOS ",IF(O101=CURSOS!$D$6,"PRIMEROS AUXILIOS ",IF(O101=CURSOS!$D$7,"DIPLOMADO DE UNIDAD DE CUIDADOS INTENSIVOS (UCI)",IF(O101=CURSOS!$D$8,"MODELO DE ATENCION PARA EVENTOS EMERGENTES EN SALUD MENTAL (CODIGO VERDE)",IF(O101=CURSOS!$D$9,"HUMANIZACION EN EL SERVICIO DE LA SALUD Y BUENAS PRACTICAS EN PACIENTE ",IF(O101=CURSOS!$D$10,"CLINICA DE HERIDAS ",IF(O101=CURSOS!$D$11,"TOMA DE CITOLOGIA CERVICO VAGINAL ",IF(O101=CURSOS!$D$12,"SOPORTE CARDIOVASCULAR AVANZADO (ACLS) ",IF(O101=CURSOS!$D$13,"CAMILLERO ",IF(O101=CURSOS!$D$14,"TOMA DE MUESTRAS Y LABORATORIO ",IF(O101=CURSOS!$D$15,"SOPORTE VITAL BASICO (BLS)",IF(O101=CURSOS!$D$16,"ATENCION A VICTIMAS DE VIOLENCIA SEXUAL ",IF(O101=CURSOS!$D$17,"PROGRAMADO AMPLIADO DE INMUNIZACION (PAI - COVID 19)",IF(O101=CURSOS!$D$18,"ATENCION INTEGRAL EN ENFERMEDADES PREVALENTES EN PRIMERA INFANCIA (AIEPI)",IF(O101=CURSOS!$D$19,"ADMINISTRACION DE MEDICAMENTOS, INYECTOLOGIA  Y CANALIZACION ",IF(O101=CURSOS!$D$20,"OPERADOR DE VEHICULOS DE EMERGENCIA (OVE)",IF(O101=CURSOS!$D$21,"INSTITUCIONES AMIGAS DE LA MUJER Y LA INFANCIA (IAMI)",IF(O101=CURSOS!$D$22,"CUIDADO DEL DONANTE DE ORGANOS",IF(O101=CURSOS!$D$23,"ATENCION A VICTIMAS POR VIOLENCIA DE GENERO",IF(O101=CURSOS!$D$24,"IGUALDAD DE GENERO EN LA SALUD",IF(O101=CURSOS!$D$25,"BRIGADA DE EMERGENCIA",IF(O101=CURSOS!$D$26,"MANEJO DEL DOLOR Y CUIDADOS PALIATIVOS",IF(O101=CURSOS!$D$27,"TOMA DE MUESTRAS Y LABORATORIO POCT",IF(O101=CURSOS!$D$28,"IMPLANTE SUBDERMICO DE DISPOSITIVO INTRAUTERINO",IF(O101=CURSOS!$D$29,"SALUD MENTAL",IF(O101=CURSOS!$D$30,"PRIMEROS AUXILIOS PSICOLOGICOS",IF(O101=CURSOS!$D$31,"ATENCION A VICTIMAS POR CONFLICTO ARMADO",IF(O101=CURSOS!$D$32,"MANIPULACION DE ALIMENTOS Y BPM",IF(O101=CURSOS!$D$33,"ATENCION A PERSONAS CON DISCAPACIDAD",IF(O101=CURSOS!$D$34,"CUIDADO INTEGRAL DEL PACIENTE ADULTO",IF(O101=CURSOS!$D$35,"MANEJO DEFENSIVO",IF(O101=CURSOS!$D$36,"SOPORTE CARDIOVASCULAR AVANZADO NEONATAL",IF(O101=CURSOS!$D$37,"SEGURIDAD DEL PACIENTE",IF(O101=CURSOS!$D$38,"MANEJO DE RESIDUOS HOSPITALARIOS"))))))))))))))))))))))))))))))))))))</f>
        <v>SOPORTE VITAL BASICO (BLS)</v>
      </c>
      <c r="V101" s="57" t="str">
        <f t="shared" si="3"/>
        <v>Yuli Katerine Mitis Rivera</v>
      </c>
      <c r="W101" s="57" t="str">
        <f t="shared" si="4"/>
        <v>Yuli Katerine Mitis Rivera</v>
      </c>
      <c r="X101" s="57" t="str">
        <f t="shared" si="5"/>
        <v>Yuli Katerine Mitis Rivera-1084846415-BLS</v>
      </c>
    </row>
    <row r="102" spans="1:24" s="95" customFormat="1" x14ac:dyDescent="0.2">
      <c r="A102" s="68">
        <v>101</v>
      </c>
      <c r="B102" s="53">
        <v>1084846415</v>
      </c>
      <c r="C102" s="94" t="s">
        <v>353</v>
      </c>
      <c r="D102" s="94" t="s">
        <v>354</v>
      </c>
      <c r="E102" s="94" t="s">
        <v>355</v>
      </c>
      <c r="F102" s="94" t="s">
        <v>356</v>
      </c>
      <c r="G102" s="94">
        <v>26</v>
      </c>
      <c r="H102" s="53" t="s">
        <v>102</v>
      </c>
      <c r="I102" s="97" t="s">
        <v>103</v>
      </c>
      <c r="J102" s="54">
        <v>45652</v>
      </c>
      <c r="K102" s="69">
        <v>32000</v>
      </c>
      <c r="L102" s="53" t="s">
        <v>176</v>
      </c>
      <c r="M102" s="53" t="s">
        <v>105</v>
      </c>
      <c r="N102" s="94" t="s">
        <v>106</v>
      </c>
      <c r="O102" s="94" t="s">
        <v>25</v>
      </c>
      <c r="P102" s="97">
        <v>32219</v>
      </c>
      <c r="Q102" s="94" t="s">
        <v>107</v>
      </c>
      <c r="R102" s="94" t="s">
        <v>116</v>
      </c>
      <c r="S102" s="98">
        <v>3136235696</v>
      </c>
      <c r="T102" s="53" t="s">
        <v>357</v>
      </c>
      <c r="U102" s="57" t="str">
        <f>IF(O102=CURSOS!$D$3,"DIPLOMADO EN ATENCION PRE-HOSPITALARIA",IF(O102=CURSOS!$D$4,"ACOMPAÑAMIENTO Y MANEJO DEL DUELO",IF(O102=CURSOS!$D$5,"ATENCION A VICTIMAS DE ATAQUE CON AGENTES QUIMICOS ",IF(O102=CURSOS!$D$6,"PRIMEROS AUXILIOS ",IF(O102=CURSOS!$D$7,"DIPLOMADO DE UNIDAD DE CUIDADOS INTENSIVOS (UCI)",IF(O102=CURSOS!$D$8,"MODELO DE ATENCION PARA EVENTOS EMERGENTES EN SALUD MENTAL (CODIGO VERDE)",IF(O102=CURSOS!$D$9,"HUMANIZACION EN EL SERVICIO DE LA SALUD Y BUENAS PRACTICAS EN PACIENTE ",IF(O102=CURSOS!$D$10,"CLINICA DE HERIDAS ",IF(O102=CURSOS!$D$11,"TOMA DE CITOLOGIA CERVICO VAGINAL ",IF(O102=CURSOS!$D$12,"SOPORTE CARDIOVASCULAR AVANZADO (ACLS) ",IF(O102=CURSOS!$D$13,"CAMILLERO ",IF(O102=CURSOS!$D$14,"TOMA DE MUESTRAS Y LABORATORIO ",IF(O102=CURSOS!$D$15,"SOPORTE VITAL BASICO (BLS)",IF(O102=CURSOS!$D$16,"ATENCION A VICTIMAS DE VIOLENCIA SEXUAL ",IF(O102=CURSOS!$D$17,"PROGRAMADO AMPLIADO DE INMUNIZACION (PAI - COVID 19)",IF(O102=CURSOS!$D$18,"ATENCION INTEGRAL EN ENFERMEDADES PREVALENTES EN PRIMERA INFANCIA (AIEPI)",IF(O102=CURSOS!$D$19,"ADMINISTRACION DE MEDICAMENTOS, INYECTOLOGIA  Y CANALIZACION ",IF(O102=CURSOS!$D$20,"OPERADOR DE VEHICULOS DE EMERGENCIA (OVE)",IF(O102=CURSOS!$D$21,"INSTITUCIONES AMIGAS DE LA MUJER Y LA INFANCIA (IAMI)",IF(O102=CURSOS!$D$22,"CUIDADO DEL DONANTE DE ORGANOS",IF(O102=CURSOS!$D$23,"ATENCION A VICTIMAS POR VIOLENCIA DE GENERO",IF(O102=CURSOS!$D$24,"IGUALDAD DE GENERO EN LA SALUD",IF(O102=CURSOS!$D$25,"BRIGADA DE EMERGENCIA",IF(O102=CURSOS!$D$26,"MANEJO DEL DOLOR Y CUIDADOS PALIATIVOS",IF(O102=CURSOS!$D$27,"TOMA DE MUESTRAS Y LABORATORIO POCT",IF(O102=CURSOS!$D$28,"IMPLANTE SUBDERMICO DE DISPOSITIVO INTRAUTERINO",IF(O102=CURSOS!$D$29,"SALUD MENTAL",IF(O102=CURSOS!$D$30,"PRIMEROS AUXILIOS PSICOLOGICOS",IF(O102=CURSOS!$D$31,"ATENCION A VICTIMAS POR CONFLICTO ARMADO",IF(O102=CURSOS!$D$32,"MANIPULACION DE ALIMENTOS Y BPM",IF(O102=CURSOS!$D$33,"ATENCION A PERSONAS CON DISCAPACIDAD",IF(O102=CURSOS!$D$34,"CUIDADO INTEGRAL DEL PACIENTE ADULTO",IF(O102=CURSOS!$D$35,"MANEJO DEFENSIVO",IF(O102=CURSOS!$D$36,"SOPORTE CARDIOVASCULAR AVANZADO NEONATAL",IF(O102=CURSOS!$D$37,"SEGURIDAD DEL PACIENTE",IF(O102=CURSOS!$D$38,"MANEJO DE RESIDUOS HOSPITALARIOS"))))))))))))))))))))))))))))))))))))</f>
        <v xml:space="preserve">ATENCION A VICTIMAS DE ATAQUE CON AGENTES QUIMICOS </v>
      </c>
      <c r="V102" s="57" t="str">
        <f t="shared" si="3"/>
        <v>Yuli Katerine Mitis Rivera</v>
      </c>
      <c r="W102" s="57" t="str">
        <f t="shared" si="4"/>
        <v>Yuli Katerine Mitis Rivera</v>
      </c>
      <c r="X102" s="57" t="str">
        <f t="shared" si="5"/>
        <v>Yuli Katerine Mitis Rivera-1084846415-QUIMICOS</v>
      </c>
    </row>
    <row r="103" spans="1:24" s="95" customFormat="1" x14ac:dyDescent="0.2">
      <c r="A103" s="68">
        <v>102</v>
      </c>
      <c r="B103" s="53">
        <v>1084846415</v>
      </c>
      <c r="C103" s="94" t="s">
        <v>353</v>
      </c>
      <c r="D103" s="94" t="s">
        <v>354</v>
      </c>
      <c r="E103" s="94" t="s">
        <v>355</v>
      </c>
      <c r="F103" s="94" t="s">
        <v>356</v>
      </c>
      <c r="G103" s="94">
        <v>26</v>
      </c>
      <c r="H103" s="53" t="s">
        <v>102</v>
      </c>
      <c r="I103" s="97" t="s">
        <v>103</v>
      </c>
      <c r="J103" s="54">
        <v>45652</v>
      </c>
      <c r="K103" s="69">
        <v>32000</v>
      </c>
      <c r="L103" s="53" t="s">
        <v>176</v>
      </c>
      <c r="M103" s="53" t="s">
        <v>105</v>
      </c>
      <c r="N103" s="94" t="s">
        <v>106</v>
      </c>
      <c r="O103" s="94" t="s">
        <v>42</v>
      </c>
      <c r="P103" s="97">
        <v>32219</v>
      </c>
      <c r="Q103" s="94" t="s">
        <v>107</v>
      </c>
      <c r="R103" s="94" t="s">
        <v>116</v>
      </c>
      <c r="S103" s="98">
        <v>3136235696</v>
      </c>
      <c r="T103" s="53" t="s">
        <v>357</v>
      </c>
      <c r="U103" s="57" t="str">
        <f>IF(O103=CURSOS!$D$3,"DIPLOMADO EN ATENCION PRE-HOSPITALARIA",IF(O103=CURSOS!$D$4,"ACOMPAÑAMIENTO Y MANEJO DEL DUELO",IF(O103=CURSOS!$D$5,"ATENCION A VICTIMAS DE ATAQUE CON AGENTES QUIMICOS ",IF(O103=CURSOS!$D$6,"PRIMEROS AUXILIOS ",IF(O103=CURSOS!$D$7,"DIPLOMADO DE UNIDAD DE CUIDADOS INTENSIVOS (UCI)",IF(O103=CURSOS!$D$8,"MODELO DE ATENCION PARA EVENTOS EMERGENTES EN SALUD MENTAL (CODIGO VERDE)",IF(O103=CURSOS!$D$9,"HUMANIZACION EN EL SERVICIO DE LA SALUD Y BUENAS PRACTICAS EN PACIENTE ",IF(O103=CURSOS!$D$10,"CLINICA DE HERIDAS ",IF(O103=CURSOS!$D$11,"TOMA DE CITOLOGIA CERVICO VAGINAL ",IF(O103=CURSOS!$D$12,"SOPORTE CARDIOVASCULAR AVANZADO (ACLS) ",IF(O103=CURSOS!$D$13,"CAMILLERO ",IF(O103=CURSOS!$D$14,"TOMA DE MUESTRAS Y LABORATORIO ",IF(O103=CURSOS!$D$15,"SOPORTE VITAL BASICO (BLS)",IF(O103=CURSOS!$D$16,"ATENCION A VICTIMAS DE VIOLENCIA SEXUAL ",IF(O103=CURSOS!$D$17,"PROGRAMADO AMPLIADO DE INMUNIZACION (PAI - COVID 19)",IF(O103=CURSOS!$D$18,"ATENCION INTEGRAL EN ENFERMEDADES PREVALENTES EN PRIMERA INFANCIA (AIEPI)",IF(O103=CURSOS!$D$19,"ADMINISTRACION DE MEDICAMENTOS, INYECTOLOGIA  Y CANALIZACION ",IF(O103=CURSOS!$D$20,"OPERADOR DE VEHICULOS DE EMERGENCIA (OVE)",IF(O103=CURSOS!$D$21,"INSTITUCIONES AMIGAS DE LA MUJER Y LA INFANCIA (IAMI)",IF(O103=CURSOS!$D$22,"CUIDADO DEL DONANTE DE ORGANOS",IF(O103=CURSOS!$D$23,"ATENCION A VICTIMAS POR VIOLENCIA DE GENERO",IF(O103=CURSOS!$D$24,"IGUALDAD DE GENERO EN LA SALUD",IF(O103=CURSOS!$D$25,"BRIGADA DE EMERGENCIA",IF(O103=CURSOS!$D$26,"MANEJO DEL DOLOR Y CUIDADOS PALIATIVOS",IF(O103=CURSOS!$D$27,"TOMA DE MUESTRAS Y LABORATORIO POCT",IF(O103=CURSOS!$D$28,"IMPLANTE SUBDERMICO DE DISPOSITIVO INTRAUTERINO",IF(O103=CURSOS!$D$29,"SALUD MENTAL",IF(O103=CURSOS!$D$30,"PRIMEROS AUXILIOS PSICOLOGICOS",IF(O103=CURSOS!$D$31,"ATENCION A VICTIMAS POR CONFLICTO ARMADO",IF(O103=CURSOS!$D$32,"MANIPULACION DE ALIMENTOS Y BPM",IF(O103=CURSOS!$D$33,"ATENCION A PERSONAS CON DISCAPACIDAD",IF(O103=CURSOS!$D$34,"CUIDADO INTEGRAL DEL PACIENTE ADULTO",IF(O103=CURSOS!$D$35,"MANEJO DEFENSIVO",IF(O103=CURSOS!$D$36,"SOPORTE CARDIOVASCULAR AVANZADO NEONATAL",IF(O103=CURSOS!$D$37,"SEGURIDAD DEL PACIENTE",IF(O103=CURSOS!$D$38,"MANEJO DE RESIDUOS HOSPITALARIOS"))))))))))))))))))))))))))))))))))))</f>
        <v xml:space="preserve">ATENCION A VICTIMAS DE VIOLENCIA SEXUAL </v>
      </c>
      <c r="V103" s="57" t="str">
        <f t="shared" si="3"/>
        <v>Yuli Katerine Mitis Rivera</v>
      </c>
      <c r="W103" s="57" t="str">
        <f t="shared" si="4"/>
        <v>Yuli Katerine Mitis Rivera</v>
      </c>
      <c r="X103" s="57" t="str">
        <f t="shared" si="5"/>
        <v>Yuli Katerine Mitis Rivera-1084846415-VIOLENCIA SEXUAL</v>
      </c>
    </row>
    <row r="104" spans="1:24" s="95" customFormat="1" x14ac:dyDescent="0.2">
      <c r="A104" s="68">
        <v>103</v>
      </c>
      <c r="B104" s="94">
        <v>1082749427</v>
      </c>
      <c r="C104" s="94" t="s">
        <v>358</v>
      </c>
      <c r="D104" s="94" t="s">
        <v>359</v>
      </c>
      <c r="E104" s="94" t="s">
        <v>350</v>
      </c>
      <c r="F104" s="94" t="s">
        <v>360</v>
      </c>
      <c r="G104" s="94">
        <v>26</v>
      </c>
      <c r="H104" s="53" t="s">
        <v>102</v>
      </c>
      <c r="I104" s="97" t="s">
        <v>103</v>
      </c>
      <c r="J104" s="99"/>
      <c r="K104" s="100"/>
      <c r="L104" s="94"/>
      <c r="M104" s="53" t="s">
        <v>105</v>
      </c>
      <c r="N104" s="94" t="s">
        <v>132</v>
      </c>
      <c r="O104" s="94" t="s">
        <v>44</v>
      </c>
      <c r="P104" s="97">
        <v>45598</v>
      </c>
      <c r="Q104" s="94" t="s">
        <v>139</v>
      </c>
      <c r="R104" s="101" t="s">
        <v>170</v>
      </c>
      <c r="S104" s="94">
        <v>3155303962</v>
      </c>
      <c r="T104" s="53" t="s">
        <v>361</v>
      </c>
      <c r="U104" s="57" t="str">
        <f>IF(O104=CURSOS!$D$3,"DIPLOMADO EN ATENCION PRE-HOSPITALARIA",IF(O104=CURSOS!$D$4,"ACOMPAÑAMIENTO Y MANEJO DEL DUELO",IF(O104=CURSOS!$D$5,"ATENCION A VICTIMAS DE ATAQUE CON AGENTES QUIMICOS ",IF(O104=CURSOS!$D$6,"PRIMEROS AUXILIOS ",IF(O104=CURSOS!$D$7,"DIPLOMADO DE UNIDAD DE CUIDADOS INTENSIVOS (UCI)",IF(O104=CURSOS!$D$8,"MODELO DE ATENCION PARA EVENTOS EMERGENTES EN SALUD MENTAL (CODIGO VERDE)",IF(O104=CURSOS!$D$9,"HUMANIZACION EN EL SERVICIO DE LA SALUD Y BUENAS PRACTICAS EN PACIENTE ",IF(O104=CURSOS!$D$10,"CLINICA DE HERIDAS ",IF(O104=CURSOS!$D$11,"TOMA DE CITOLOGIA CERVICO VAGINAL ",IF(O104=CURSOS!$D$12,"SOPORTE CARDIOVASCULAR AVANZADO (ACLS) ",IF(O104=CURSOS!$D$13,"CAMILLERO ",IF(O104=CURSOS!$D$14,"TOMA DE MUESTRAS Y LABORATORIO ",IF(O104=CURSOS!$D$15,"SOPORTE VITAL BASICO (BLS)",IF(O104=CURSOS!$D$16,"ATENCION A VICTIMAS DE VIOLENCIA SEXUAL ",IF(O104=CURSOS!$D$17,"PROGRAMADO AMPLIADO DE INMUNIZACION (PAI - COVID 19)",IF(O104=CURSOS!$D$18,"ATENCION INTEGRAL EN ENFERMEDADES PREVALENTES EN PRIMERA INFANCIA (AIEPI)",IF(O104=CURSOS!$D$19,"ADMINISTRACION DE MEDICAMENTOS, INYECTOLOGIA  Y CANALIZACION ",IF(O104=CURSOS!$D$20,"OPERADOR DE VEHICULOS DE EMERGENCIA (OVE)",IF(O104=CURSOS!$D$21,"INSTITUCIONES AMIGAS DE LA MUJER Y LA INFANCIA (IAMI)",IF(O104=CURSOS!$D$22,"CUIDADO DEL DONANTE DE ORGANOS",IF(O104=CURSOS!$D$23,"ATENCION A VICTIMAS POR VIOLENCIA DE GENERO",IF(O104=CURSOS!$D$24,"IGUALDAD DE GENERO EN LA SALUD",IF(O104=CURSOS!$D$25,"BRIGADA DE EMERGENCIA",IF(O104=CURSOS!$D$26,"MANEJO DEL DOLOR Y CUIDADOS PALIATIVOS",IF(O104=CURSOS!$D$27,"TOMA DE MUESTRAS Y LABORATORIO POCT",IF(O104=CURSOS!$D$28,"IMPLANTE SUBDERMICO DE DISPOSITIVO INTRAUTERINO",IF(O104=CURSOS!$D$29,"SALUD MENTAL",IF(O104=CURSOS!$D$30,"PRIMEROS AUXILIOS PSICOLOGICOS",IF(O104=CURSOS!$D$31,"ATENCION A VICTIMAS POR CONFLICTO ARMADO",IF(O104=CURSOS!$D$32,"MANIPULACION DE ALIMENTOS Y BPM",IF(O104=CURSOS!$D$33,"ATENCION A PERSONAS CON DISCAPACIDAD",IF(O104=CURSOS!$D$34,"CUIDADO INTEGRAL DEL PACIENTE ADULTO",IF(O104=CURSOS!$D$35,"MANEJO DEFENSIVO",IF(O104=CURSOS!$D$36,"SOPORTE CARDIOVASCULAR AVANZADO NEONATAL",IF(O104=CURSOS!$D$37,"SEGURIDAD DEL PACIENTE",IF(O104=CURSOS!$D$38,"MANEJO DE RESIDUOS HOSPITALARIOS"))))))))))))))))))))))))))))))))))))</f>
        <v>ATENCION INTEGRAL EN ENFERMEDADES PREVALENTES EN PRIMERA INFANCIA (AIEPI)</v>
      </c>
      <c r="V104" s="57" t="str">
        <f t="shared" si="3"/>
        <v>Diego Andres Sánchez Eraso</v>
      </c>
      <c r="W104" s="57" t="str">
        <f t="shared" si="4"/>
        <v>Diego Andres Sánchez Eraso</v>
      </c>
      <c r="X104" s="57" t="str">
        <f t="shared" si="5"/>
        <v>Diego Andres Sánchez Eraso-1082749427-AIEPI</v>
      </c>
    </row>
    <row r="105" spans="1:24" s="95" customFormat="1" x14ac:dyDescent="0.2">
      <c r="A105" s="68">
        <v>104</v>
      </c>
      <c r="B105" s="94">
        <v>1086223746</v>
      </c>
      <c r="C105" s="94" t="s">
        <v>183</v>
      </c>
      <c r="D105" s="94" t="s">
        <v>329</v>
      </c>
      <c r="E105" s="94" t="s">
        <v>362</v>
      </c>
      <c r="F105" s="94" t="s">
        <v>174</v>
      </c>
      <c r="G105" s="94">
        <v>27</v>
      </c>
      <c r="H105" s="53" t="s">
        <v>102</v>
      </c>
      <c r="I105" s="97" t="s">
        <v>154</v>
      </c>
      <c r="J105" s="99">
        <v>45653</v>
      </c>
      <c r="K105" s="100">
        <v>65000</v>
      </c>
      <c r="L105" s="94" t="s">
        <v>192</v>
      </c>
      <c r="M105" s="53" t="s">
        <v>105</v>
      </c>
      <c r="N105" s="94" t="s">
        <v>106</v>
      </c>
      <c r="O105" s="94" t="s">
        <v>40</v>
      </c>
      <c r="P105" s="97"/>
      <c r="Q105" s="94" t="s">
        <v>107</v>
      </c>
      <c r="R105" s="102" t="s">
        <v>116</v>
      </c>
      <c r="S105" s="94">
        <v>3127240644</v>
      </c>
      <c r="T105" s="90" t="s">
        <v>363</v>
      </c>
      <c r="U105" s="57" t="str">
        <f>IF(O105=CURSOS!$D$3,"DIPLOMADO EN ATENCION PRE-HOSPITALARIA",IF(O105=CURSOS!$D$4,"ACOMPAÑAMIENTO Y MANEJO DEL DUELO",IF(O105=CURSOS!$D$5,"ATENCION A VICTIMAS DE ATAQUE CON AGENTES QUIMICOS ",IF(O105=CURSOS!$D$6,"PRIMEROS AUXILIOS ",IF(O105=CURSOS!$D$7,"DIPLOMADO DE UNIDAD DE CUIDADOS INTENSIVOS (UCI)",IF(O105=CURSOS!$D$8,"MODELO DE ATENCION PARA EVENTOS EMERGENTES EN SALUD MENTAL (CODIGO VERDE)",IF(O105=CURSOS!$D$9,"HUMANIZACION EN EL SERVICIO DE LA SALUD Y BUENAS PRACTICAS EN PACIENTE ",IF(O105=CURSOS!$D$10,"CLINICA DE HERIDAS ",IF(O105=CURSOS!$D$11,"TOMA DE CITOLOGIA CERVICO VAGINAL ",IF(O105=CURSOS!$D$12,"SOPORTE CARDIOVASCULAR AVANZADO (ACLS) ",IF(O105=CURSOS!$D$13,"CAMILLERO ",IF(O105=CURSOS!$D$14,"TOMA DE MUESTRAS Y LABORATORIO ",IF(O105=CURSOS!$D$15,"SOPORTE VITAL BASICO (BLS)",IF(O105=CURSOS!$D$16,"ATENCION A VICTIMAS DE VIOLENCIA SEXUAL ",IF(O105=CURSOS!$D$17,"PROGRAMADO AMPLIADO DE INMUNIZACION (PAI - COVID 19)",IF(O105=CURSOS!$D$18,"ATENCION INTEGRAL EN ENFERMEDADES PREVALENTES EN PRIMERA INFANCIA (AIEPI)",IF(O105=CURSOS!$D$19,"ADMINISTRACION DE MEDICAMENTOS, INYECTOLOGIA  Y CANALIZACION ",IF(O105=CURSOS!$D$20,"OPERADOR DE VEHICULOS DE EMERGENCIA (OVE)",IF(O105=CURSOS!$D$21,"INSTITUCIONES AMIGAS DE LA MUJER Y LA INFANCIA (IAMI)",IF(O105=CURSOS!$D$22,"CUIDADO DEL DONANTE DE ORGANOS",IF(O105=CURSOS!$D$23,"ATENCION A VICTIMAS POR VIOLENCIA DE GENERO",IF(O105=CURSOS!$D$24,"IGUALDAD DE GENERO EN LA SALUD",IF(O105=CURSOS!$D$25,"BRIGADA DE EMERGENCIA",IF(O105=CURSOS!$D$26,"MANEJO DEL DOLOR Y CUIDADOS PALIATIVOS",IF(O105=CURSOS!$D$27,"TOMA DE MUESTRAS Y LABORATORIO POCT",IF(O105=CURSOS!$D$28,"IMPLANTE SUBDERMICO DE DISPOSITIVO INTRAUTERINO",IF(O105=CURSOS!$D$29,"SALUD MENTAL",IF(O105=CURSOS!$D$30,"PRIMEROS AUXILIOS PSICOLOGICOS",IF(O105=CURSOS!$D$31,"ATENCION A VICTIMAS POR CONFLICTO ARMADO",IF(O105=CURSOS!$D$32,"MANIPULACION DE ALIMENTOS Y BPM",IF(O105=CURSOS!$D$33,"ATENCION A PERSONAS CON DISCAPACIDAD",IF(O105=CURSOS!$D$34,"CUIDADO INTEGRAL DEL PACIENTE ADULTO",IF(O105=CURSOS!$D$35,"MANEJO DEFENSIVO",IF(O105=CURSOS!$D$36,"SOPORTE CARDIOVASCULAR AVANZADO NEONATAL",IF(O105=CURSOS!$D$37,"SEGURIDAD DEL PACIENTE",IF(O105=CURSOS!$D$38,"MANEJO DE RESIDUOS HOSPITALARIOS"))))))))))))))))))))))))))))))))))))</f>
        <v xml:space="preserve">TOMA DE MUESTRAS Y LABORATORIO </v>
      </c>
      <c r="V105" s="57" t="str">
        <f t="shared" si="3"/>
        <v>Samantha Katherine Melo Muñoz</v>
      </c>
      <c r="W105" s="57" t="str">
        <f t="shared" si="4"/>
        <v>Samantha Katherine Melo Muñoz</v>
      </c>
      <c r="X105" s="57" t="str">
        <f t="shared" si="5"/>
        <v>Samantha Katherine Melo Muñoz-1086223746-TOMA DE MUESTRAS</v>
      </c>
    </row>
    <row r="106" spans="1:24" s="95" customFormat="1" x14ac:dyDescent="0.2">
      <c r="A106" s="68">
        <v>105</v>
      </c>
      <c r="B106" s="94">
        <v>36953254</v>
      </c>
      <c r="C106" s="94" t="s">
        <v>365</v>
      </c>
      <c r="D106" s="94"/>
      <c r="E106" s="94" t="s">
        <v>366</v>
      </c>
      <c r="F106" s="94" t="s">
        <v>367</v>
      </c>
      <c r="G106" s="94">
        <v>27</v>
      </c>
      <c r="H106" s="53" t="s">
        <v>102</v>
      </c>
      <c r="I106" s="97" t="s">
        <v>154</v>
      </c>
      <c r="J106" s="99" t="s">
        <v>377</v>
      </c>
      <c r="K106" s="69">
        <v>65000</v>
      </c>
      <c r="L106" s="53" t="s">
        <v>283</v>
      </c>
      <c r="M106" s="53" t="s">
        <v>105</v>
      </c>
      <c r="N106" s="94" t="s">
        <v>106</v>
      </c>
      <c r="O106" s="94" t="s">
        <v>40</v>
      </c>
      <c r="P106" s="97"/>
      <c r="Q106" s="94" t="s">
        <v>107</v>
      </c>
      <c r="R106" s="94" t="s">
        <v>116</v>
      </c>
      <c r="S106" s="98">
        <v>3166228813</v>
      </c>
      <c r="T106" s="90" t="s">
        <v>364</v>
      </c>
      <c r="U106" s="57" t="str">
        <f>IF(O106=CURSOS!$D$3,"DIPLOMADO EN ATENCION PRE-HOSPITALARIA",IF(O106=CURSOS!$D$4,"ACOMPAÑAMIENTO Y MANEJO DEL DUELO",IF(O106=CURSOS!$D$5,"ATENCION A VICTIMAS DE ATAQUE CON AGENTES QUIMICOS ",IF(O106=CURSOS!$D$6,"PRIMEROS AUXILIOS ",IF(O106=CURSOS!$D$7,"DIPLOMADO DE UNIDAD DE CUIDADOS INTENSIVOS (UCI)",IF(O106=CURSOS!$D$8,"MODELO DE ATENCION PARA EVENTOS EMERGENTES EN SALUD MENTAL (CODIGO VERDE)",IF(O106=CURSOS!$D$9,"HUMANIZACION EN EL SERVICIO DE LA SALUD Y BUENAS PRACTICAS EN PACIENTE ",IF(O106=CURSOS!$D$10,"CLINICA DE HERIDAS ",IF(O106=CURSOS!$D$11,"TOMA DE CITOLOGIA CERVICO VAGINAL ",IF(O106=CURSOS!$D$12,"SOPORTE CARDIOVASCULAR AVANZADO (ACLS) ",IF(O106=CURSOS!$D$13,"CAMILLERO ",IF(O106=CURSOS!$D$14,"TOMA DE MUESTRAS Y LABORATORIO ",IF(O106=CURSOS!$D$15,"SOPORTE VITAL BASICO (BLS)",IF(O106=CURSOS!$D$16,"ATENCION A VICTIMAS DE VIOLENCIA SEXUAL ",IF(O106=CURSOS!$D$17,"PROGRAMADO AMPLIADO DE INMUNIZACION (PAI - COVID 19)",IF(O106=CURSOS!$D$18,"ATENCION INTEGRAL EN ENFERMEDADES PREVALENTES EN PRIMERA INFANCIA (AIEPI)",IF(O106=CURSOS!$D$19,"ADMINISTRACION DE MEDICAMENTOS, INYECTOLOGIA  Y CANALIZACION ",IF(O106=CURSOS!$D$20,"OPERADOR DE VEHICULOS DE EMERGENCIA (OVE)",IF(O106=CURSOS!$D$21,"INSTITUCIONES AMIGAS DE LA MUJER Y LA INFANCIA (IAMI)",IF(O106=CURSOS!$D$22,"CUIDADO DEL DONANTE DE ORGANOS",IF(O106=CURSOS!$D$23,"ATENCION A VICTIMAS POR VIOLENCIA DE GENERO",IF(O106=CURSOS!$D$24,"IGUALDAD DE GENERO EN LA SALUD",IF(O106=CURSOS!$D$25,"BRIGADA DE EMERGENCIA",IF(O106=CURSOS!$D$26,"MANEJO DEL DOLOR Y CUIDADOS PALIATIVOS",IF(O106=CURSOS!$D$27,"TOMA DE MUESTRAS Y LABORATORIO POCT",IF(O106=CURSOS!$D$28,"IMPLANTE SUBDERMICO DE DISPOSITIVO INTRAUTERINO",IF(O106=CURSOS!$D$29,"SALUD MENTAL",IF(O106=CURSOS!$D$30,"PRIMEROS AUXILIOS PSICOLOGICOS",IF(O106=CURSOS!$D$31,"ATENCION A VICTIMAS POR CONFLICTO ARMADO",IF(O106=CURSOS!$D$32,"MANIPULACION DE ALIMENTOS Y BPM",IF(O106=CURSOS!$D$33,"ATENCION A PERSONAS CON DISCAPACIDAD",IF(O106=CURSOS!$D$34,"CUIDADO INTEGRAL DEL PACIENTE ADULTO",IF(O106=CURSOS!$D$35,"MANEJO DEFENSIVO",IF(O106=CURSOS!$D$36,"SOPORTE CARDIOVASCULAR AVANZADO NEONATAL",IF(O106=CURSOS!$D$37,"SEGURIDAD DEL PACIENTE",IF(O106=CURSOS!$D$38,"MANEJO DE RESIDUOS HOSPITALARIOS"))))))))))))))))))))))))))))))))))))</f>
        <v xml:space="preserve">TOMA DE MUESTRAS Y LABORATORIO </v>
      </c>
      <c r="V106" s="57" t="str">
        <f t="shared" si="3"/>
        <v xml:space="preserve">Amanda Argelia Lagos </v>
      </c>
      <c r="W106" s="57" t="str">
        <f t="shared" si="4"/>
        <v xml:space="preserve">Amanda Argelia Lagos </v>
      </c>
      <c r="X106" s="57" t="str">
        <f t="shared" si="5"/>
        <v>Amanda Argelia Lagos -36953254-TOMA DE MUESTRAS</v>
      </c>
    </row>
    <row r="107" spans="1:24" s="95" customFormat="1" x14ac:dyDescent="0.2">
      <c r="A107" s="68">
        <v>106</v>
      </c>
      <c r="B107" s="94">
        <v>37084333</v>
      </c>
      <c r="C107" s="94" t="s">
        <v>349</v>
      </c>
      <c r="D107" s="94" t="s">
        <v>329</v>
      </c>
      <c r="E107" s="94" t="s">
        <v>368</v>
      </c>
      <c r="F107" s="94" t="s">
        <v>369</v>
      </c>
      <c r="G107" s="94">
        <v>27</v>
      </c>
      <c r="H107" s="53" t="s">
        <v>102</v>
      </c>
      <c r="I107" s="97" t="s">
        <v>154</v>
      </c>
      <c r="J107" s="99">
        <v>45653</v>
      </c>
      <c r="K107" s="100">
        <v>65000</v>
      </c>
      <c r="L107" s="94" t="s">
        <v>192</v>
      </c>
      <c r="M107" s="53" t="s">
        <v>105</v>
      </c>
      <c r="N107" s="94" t="s">
        <v>106</v>
      </c>
      <c r="O107" s="94" t="s">
        <v>40</v>
      </c>
      <c r="P107" s="97">
        <v>30558</v>
      </c>
      <c r="Q107" s="94" t="s">
        <v>107</v>
      </c>
      <c r="R107" s="94" t="s">
        <v>116</v>
      </c>
      <c r="S107" s="98">
        <v>3133991692</v>
      </c>
      <c r="T107" s="90" t="s">
        <v>370</v>
      </c>
      <c r="U107" s="57" t="str">
        <f>IF(O107=CURSOS!$D$3,"DIPLOMADO EN ATENCION PRE-HOSPITALARIA",IF(O107=CURSOS!$D$4,"ACOMPAÑAMIENTO Y MANEJO DEL DUELO",IF(O107=CURSOS!$D$5,"ATENCION A VICTIMAS DE ATAQUE CON AGENTES QUIMICOS ",IF(O107=CURSOS!$D$6,"PRIMEROS AUXILIOS ",IF(O107=CURSOS!$D$7,"DIPLOMADO DE UNIDAD DE CUIDADOS INTENSIVOS (UCI)",IF(O107=CURSOS!$D$8,"MODELO DE ATENCION PARA EVENTOS EMERGENTES EN SALUD MENTAL (CODIGO VERDE)",IF(O107=CURSOS!$D$9,"HUMANIZACION EN EL SERVICIO DE LA SALUD Y BUENAS PRACTICAS EN PACIENTE ",IF(O107=CURSOS!$D$10,"CLINICA DE HERIDAS ",IF(O107=CURSOS!$D$11,"TOMA DE CITOLOGIA CERVICO VAGINAL ",IF(O107=CURSOS!$D$12,"SOPORTE CARDIOVASCULAR AVANZADO (ACLS) ",IF(O107=CURSOS!$D$13,"CAMILLERO ",IF(O107=CURSOS!$D$14,"TOMA DE MUESTRAS Y LABORATORIO ",IF(O107=CURSOS!$D$15,"SOPORTE VITAL BASICO (BLS)",IF(O107=CURSOS!$D$16,"ATENCION A VICTIMAS DE VIOLENCIA SEXUAL ",IF(O107=CURSOS!$D$17,"PROGRAMADO AMPLIADO DE INMUNIZACION (PAI - COVID 19)",IF(O107=CURSOS!$D$18,"ATENCION INTEGRAL EN ENFERMEDADES PREVALENTES EN PRIMERA INFANCIA (AIEPI)",IF(O107=CURSOS!$D$19,"ADMINISTRACION DE MEDICAMENTOS, INYECTOLOGIA  Y CANALIZACION ",IF(O107=CURSOS!$D$20,"OPERADOR DE VEHICULOS DE EMERGENCIA (OVE)",IF(O107=CURSOS!$D$21,"INSTITUCIONES AMIGAS DE LA MUJER Y LA INFANCIA (IAMI)",IF(O107=CURSOS!$D$22,"CUIDADO DEL DONANTE DE ORGANOS",IF(O107=CURSOS!$D$23,"ATENCION A VICTIMAS POR VIOLENCIA DE GENERO",IF(O107=CURSOS!$D$24,"IGUALDAD DE GENERO EN LA SALUD",IF(O107=CURSOS!$D$25,"BRIGADA DE EMERGENCIA",IF(O107=CURSOS!$D$26,"MANEJO DEL DOLOR Y CUIDADOS PALIATIVOS",IF(O107=CURSOS!$D$27,"TOMA DE MUESTRAS Y LABORATORIO POCT",IF(O107=CURSOS!$D$28,"IMPLANTE SUBDERMICO DE DISPOSITIVO INTRAUTERINO",IF(O107=CURSOS!$D$29,"SALUD MENTAL",IF(O107=CURSOS!$D$30,"PRIMEROS AUXILIOS PSICOLOGICOS",IF(O107=CURSOS!$D$31,"ATENCION A VICTIMAS POR CONFLICTO ARMADO",IF(O107=CURSOS!$D$32,"MANIPULACION DE ALIMENTOS Y BPM",IF(O107=CURSOS!$D$33,"ATENCION A PERSONAS CON DISCAPACIDAD",IF(O107=CURSOS!$D$34,"CUIDADO INTEGRAL DEL PACIENTE ADULTO",IF(O107=CURSOS!$D$35,"MANEJO DEFENSIVO",IF(O107=CURSOS!$D$36,"SOPORTE CARDIOVASCULAR AVANZADO NEONATAL",IF(O107=CURSOS!$D$37,"SEGURIDAD DEL PACIENTE",IF(O107=CURSOS!$D$38,"MANEJO DE RESIDUOS HOSPITALARIOS"))))))))))))))))))))))))))))))))))))</f>
        <v xml:space="preserve">TOMA DE MUESTRAS Y LABORATORIO </v>
      </c>
      <c r="V107" s="57" t="str">
        <f t="shared" si="3"/>
        <v>Rosa Guadalupe Burbano Muñoz</v>
      </c>
      <c r="W107" s="57" t="str">
        <f t="shared" si="4"/>
        <v>Rosa Guadalupe Burbano Muñoz</v>
      </c>
      <c r="X107" s="57" t="str">
        <f t="shared" si="5"/>
        <v>Rosa Guadalupe Burbano Muñoz-37084333-TOMA DE MUESTRAS</v>
      </c>
    </row>
    <row r="108" spans="1:24" s="103" customFormat="1" x14ac:dyDescent="0.2">
      <c r="A108" s="80">
        <v>107</v>
      </c>
      <c r="B108" s="103">
        <v>27224982</v>
      </c>
      <c r="C108" s="103" t="s">
        <v>182</v>
      </c>
      <c r="E108" s="103" t="s">
        <v>235</v>
      </c>
      <c r="F108" s="103" t="s">
        <v>202</v>
      </c>
      <c r="G108" s="103">
        <v>27</v>
      </c>
      <c r="H108" s="81" t="s">
        <v>102</v>
      </c>
      <c r="I108" s="104" t="s">
        <v>103</v>
      </c>
      <c r="J108" s="83"/>
      <c r="K108" s="84"/>
      <c r="L108" s="81"/>
      <c r="M108" s="81" t="s">
        <v>105</v>
      </c>
      <c r="N108" s="103" t="s">
        <v>106</v>
      </c>
      <c r="O108" s="81" t="s">
        <v>37</v>
      </c>
      <c r="P108" s="104">
        <v>27546</v>
      </c>
      <c r="Q108" s="103" t="s">
        <v>107</v>
      </c>
      <c r="R108" s="103" t="s">
        <v>133</v>
      </c>
      <c r="S108" s="105">
        <v>3104554991</v>
      </c>
      <c r="T108" s="81" t="s">
        <v>371</v>
      </c>
      <c r="U108" s="81" t="str">
        <f>IF(O108=CURSOS!$D$3,"DIPLOMADO EN ATENCION PRE-HOSPITALARIA",IF(O108=CURSOS!$D$4,"ACOMPAÑAMIENTO Y MANEJO DEL DUELO",IF(O108=CURSOS!$D$5,"ATENCION A VICTIMAS DE ATAQUE CON AGENTES QUIMICOS ",IF(O108=CURSOS!$D$6,"PRIMEROS AUXILIOS ",IF(O108=CURSOS!$D$7,"DIPLOMADO DE UNIDAD DE CUIDADOS INTENSIVOS (UCI)",IF(O108=CURSOS!$D$8,"MODELO DE ATENCION PARA EVENTOS EMERGENTES EN SALUD MENTAL (CODIGO VERDE)",IF(O108=CURSOS!$D$9,"HUMANIZACION EN EL SERVICIO DE LA SALUD Y BUENAS PRACTICAS EN PACIENTE ",IF(O108=CURSOS!$D$10,"CLINICA DE HERIDAS ",IF(O108=CURSOS!$D$11,"TOMA DE CITOLOGIA CERVICO VAGINAL ",IF(O108=CURSOS!$D$12,"SOPORTE CARDIOVASCULAR AVANZADO (ACLS) ",IF(O108=CURSOS!$D$13,"CAMILLERO ",IF(O108=CURSOS!$D$14,"TOMA DE MUESTRAS Y LABORATORIO ",IF(O108=CURSOS!$D$15,"SOPORTE VITAL BASICO (BLS)",IF(O108=CURSOS!$D$16,"ATENCION A VICTIMAS DE VIOLENCIA SEXUAL ",IF(O108=CURSOS!$D$17,"PROGRAMADO AMPLIADO DE INMUNIZACION (PAI - COVID 19)",IF(O108=CURSOS!$D$18,"ATENCION INTEGRAL EN ENFERMEDADES PREVALENTES EN PRIMERA INFANCIA (AIEPI)",IF(O108=CURSOS!$D$19,"ADMINISTRACION DE MEDICAMENTOS, INYECTOLOGIA  Y CANALIZACION ",IF(O108=CURSOS!$D$20,"OPERADOR DE VEHICULOS DE EMERGENCIA (OVE)",IF(O108=CURSOS!$D$21,"INSTITUCIONES AMIGAS DE LA MUJER Y LA INFANCIA (IAMI)",IF(O108=CURSOS!$D$22,"CUIDADO DEL DONANTE DE ORGANOS",IF(O108=CURSOS!$D$23,"ATENCION A VICTIMAS POR VIOLENCIA DE GENERO",IF(O108=CURSOS!$D$24,"IGUALDAD DE GENERO EN LA SALUD",IF(O108=CURSOS!$D$25,"BRIGADA DE EMERGENCIA",IF(O108=CURSOS!$D$26,"MANEJO DEL DOLOR Y CUIDADOS PALIATIVOS",IF(O108=CURSOS!$D$27,"TOMA DE MUESTRAS Y LABORATORIO POCT",IF(O108=CURSOS!$D$28,"IMPLANTE SUBDERMICO DE DISPOSITIVO INTRAUTERINO",IF(O108=CURSOS!$D$29,"SALUD MENTAL",IF(O108=CURSOS!$D$30,"PRIMEROS AUXILIOS PSICOLOGICOS",IF(O108=CURSOS!$D$31,"ATENCION A VICTIMAS POR CONFLICTO ARMADO",IF(O108=CURSOS!$D$32,"MANIPULACION DE ALIMENTOS Y BPM",IF(O108=CURSOS!$D$33,"ATENCION A PERSONAS CON DISCAPACIDAD",IF(O108=CURSOS!$D$34,"CUIDADO INTEGRAL DEL PACIENTE ADULTO",IF(O108=CURSOS!$D$35,"MANEJO DEFENSIVO",IF(O108=CURSOS!$D$36,"SOPORTE CARDIOVASCULAR AVANZADO NEONATAL",IF(O108=CURSOS!$D$37,"SEGURIDAD DEL PACIENTE",IF(O108=CURSOS!$D$38,"MANEJO DE RESIDUOS HOSPITALARIOS"))))))))))))))))))))))))))))))))))))</f>
        <v xml:space="preserve">SOPORTE CARDIOVASCULAR AVANZADO (ACLS) </v>
      </c>
      <c r="V108" s="81" t="str">
        <f t="shared" si="3"/>
        <v xml:space="preserve">Ana Lucia Erazo </v>
      </c>
      <c r="W108" s="81" t="str">
        <f t="shared" si="4"/>
        <v xml:space="preserve">Ana Lucia Erazo </v>
      </c>
      <c r="X108" s="81" t="str">
        <f t="shared" si="5"/>
        <v>Ana Lucia Erazo -27224982-ACLS</v>
      </c>
    </row>
    <row r="109" spans="1:24" s="95" customFormat="1" x14ac:dyDescent="0.2">
      <c r="A109" s="68">
        <v>108</v>
      </c>
      <c r="B109" s="94">
        <v>1087211636</v>
      </c>
      <c r="C109" s="94" t="s">
        <v>267</v>
      </c>
      <c r="D109" s="94" t="s">
        <v>372</v>
      </c>
      <c r="E109" s="94" t="s">
        <v>373</v>
      </c>
      <c r="F109" s="94" t="s">
        <v>179</v>
      </c>
      <c r="G109" s="94">
        <v>27</v>
      </c>
      <c r="H109" s="53" t="s">
        <v>102</v>
      </c>
      <c r="I109" s="97" t="s">
        <v>103</v>
      </c>
      <c r="J109" s="54">
        <v>45653</v>
      </c>
      <c r="K109" s="69">
        <v>0</v>
      </c>
      <c r="L109" s="53" t="s">
        <v>375</v>
      </c>
      <c r="M109" s="53" t="s">
        <v>105</v>
      </c>
      <c r="N109" s="94" t="s">
        <v>180</v>
      </c>
      <c r="O109" s="53" t="s">
        <v>19</v>
      </c>
      <c r="P109" s="56">
        <v>35096</v>
      </c>
      <c r="Q109" s="94" t="s">
        <v>139</v>
      </c>
      <c r="R109" s="94"/>
      <c r="S109" s="98"/>
      <c r="T109" s="53"/>
      <c r="U109" s="57" t="str">
        <f>IF(O109=CURSOS!$D$3,"DIPLOMADO EN ATENCION PRE-HOSPITALARIA",IF(O109=CURSOS!$D$4,"ACOMPAÑAMIENTO Y MANEJO DEL DUELO",IF(O109=CURSOS!$D$5,"ATENCION A VICTIMAS DE ATAQUE CON AGENTES QUIMICOS ",IF(O109=CURSOS!$D$6,"PRIMEROS AUXILIOS ",IF(O109=CURSOS!$D$7,"DIPLOMADO DE UNIDAD DE CUIDADOS INTENSIVOS (UCI)",IF(O109=CURSOS!$D$8,"MODELO DE ATENCION PARA EVENTOS EMERGENTES EN SALUD MENTAL (CODIGO VERDE)",IF(O109=CURSOS!$D$9,"HUMANIZACION EN EL SERVICIO DE LA SALUD Y BUENAS PRACTICAS EN PACIENTE ",IF(O109=CURSOS!$D$10,"CLINICA DE HERIDAS ",IF(O109=CURSOS!$D$11,"TOMA DE CITOLOGIA CERVICO VAGINAL ",IF(O109=CURSOS!$D$12,"SOPORTE CARDIOVASCULAR AVANZADO (ACLS) ",IF(O109=CURSOS!$D$13,"CAMILLERO ",IF(O109=CURSOS!$D$14,"TOMA DE MUESTRAS Y LABORATORIO ",IF(O109=CURSOS!$D$15,"SOPORTE VITAL BASICO (BLS)",IF(O109=CURSOS!$D$16,"ATENCION A VICTIMAS DE VIOLENCIA SEXUAL ",IF(O109=CURSOS!$D$17,"PROGRAMADO AMPLIADO DE INMUNIZACION (PAI - COVID 19)",IF(O109=CURSOS!$D$18,"ATENCION INTEGRAL EN ENFERMEDADES PREVALENTES EN PRIMERA INFANCIA (AIEPI)",IF(O109=CURSOS!$D$19,"ADMINISTRACION DE MEDICAMENTOS, INYECTOLOGIA  Y CANALIZACION ",IF(O109=CURSOS!$D$20,"OPERADOR DE VEHICULOS DE EMERGENCIA (OVE)",IF(O109=CURSOS!$D$21,"INSTITUCIONES AMIGAS DE LA MUJER Y LA INFANCIA (IAMI)",IF(O109=CURSOS!$D$22,"CUIDADO DEL DONANTE DE ORGANOS",IF(O109=CURSOS!$D$23,"ATENCION A VICTIMAS POR VIOLENCIA DE GENERO",IF(O109=CURSOS!$D$24,"IGUALDAD DE GENERO EN LA SALUD",IF(O109=CURSOS!$D$25,"BRIGADA DE EMERGENCIA",IF(O109=CURSOS!$D$26,"MANEJO DEL DOLOR Y CUIDADOS PALIATIVOS",IF(O109=CURSOS!$D$27,"TOMA DE MUESTRAS Y LABORATORIO POCT",IF(O109=CURSOS!$D$28,"IMPLANTE SUBDERMICO DE DISPOSITIVO INTRAUTERINO",IF(O109=CURSOS!$D$29,"SALUD MENTAL",IF(O109=CURSOS!$D$30,"PRIMEROS AUXILIOS PSICOLOGICOS",IF(O109=CURSOS!$D$31,"ATENCION A VICTIMAS POR CONFLICTO ARMADO",IF(O109=CURSOS!$D$32,"MANIPULACION DE ALIMENTOS Y BPM",IF(O109=CURSOS!$D$33,"ATENCION A PERSONAS CON DISCAPACIDAD",IF(O109=CURSOS!$D$34,"CUIDADO INTEGRAL DEL PACIENTE ADULTO",IF(O109=CURSOS!$D$35,"MANEJO DEFENSIVO",IF(O109=CURSOS!$D$36,"SOPORTE CARDIOVASCULAR AVANZADO NEONATAL",IF(O109=CURSOS!$D$37,"SEGURIDAD DEL PACIENTE",IF(O109=CURSOS!$D$38,"MANEJO DE RESIDUOS HOSPITALARIOS"))))))))))))))))))))))))))))))))))))</f>
        <v>SOPORTE VITAL BASICO (BLS)</v>
      </c>
      <c r="V109" s="57" t="str">
        <f t="shared" si="3"/>
        <v>Arsenio Alexander Delgado Cifuentes</v>
      </c>
      <c r="W109" s="57" t="str">
        <f t="shared" si="4"/>
        <v>Arsenio Alexander Delgado Cifuentes</v>
      </c>
      <c r="X109" s="57" t="str">
        <f t="shared" si="5"/>
        <v>Arsenio Alexander Delgado Cifuentes-1087211636-BLS</v>
      </c>
    </row>
    <row r="110" spans="1:24" s="67" customFormat="1" x14ac:dyDescent="0.2">
      <c r="A110" s="68">
        <v>109</v>
      </c>
      <c r="B110" s="94">
        <v>1087211636</v>
      </c>
      <c r="C110" s="94" t="s">
        <v>267</v>
      </c>
      <c r="D110" s="94" t="s">
        <v>372</v>
      </c>
      <c r="E110" s="94" t="s">
        <v>373</v>
      </c>
      <c r="F110" s="94" t="s">
        <v>179</v>
      </c>
      <c r="G110" s="94">
        <v>27</v>
      </c>
      <c r="H110" s="53" t="s">
        <v>102</v>
      </c>
      <c r="I110" s="97" t="s">
        <v>103</v>
      </c>
      <c r="J110" s="54">
        <v>45653</v>
      </c>
      <c r="K110" s="69">
        <v>0</v>
      </c>
      <c r="L110" s="53" t="s">
        <v>375</v>
      </c>
      <c r="M110" s="53" t="s">
        <v>105</v>
      </c>
      <c r="N110" s="94" t="s">
        <v>180</v>
      </c>
      <c r="O110" s="53" t="s">
        <v>374</v>
      </c>
      <c r="P110" s="56">
        <v>35096</v>
      </c>
      <c r="Q110" s="94" t="s">
        <v>139</v>
      </c>
      <c r="R110" s="94"/>
      <c r="S110" s="98"/>
      <c r="T110" s="53"/>
      <c r="U110" s="57" t="s">
        <v>374</v>
      </c>
      <c r="V110" s="57" t="str">
        <f t="shared" si="3"/>
        <v>Arsenio Alexander Delgado Cifuentes</v>
      </c>
      <c r="W110" s="57" t="str">
        <f t="shared" si="4"/>
        <v>Arsenio Alexander Delgado Cifuentes</v>
      </c>
      <c r="X110" s="57" t="str">
        <f t="shared" si="5"/>
        <v>Arsenio Alexander Delgado Cifuentes-1087211636-SALVAMENTO ACUATICO</v>
      </c>
    </row>
    <row r="111" spans="1:24" s="67" customFormat="1" x14ac:dyDescent="0.2">
      <c r="A111" s="68">
        <v>110</v>
      </c>
      <c r="B111" s="53">
        <v>1084846415</v>
      </c>
      <c r="C111" s="94" t="s">
        <v>353</v>
      </c>
      <c r="D111" s="94" t="s">
        <v>354</v>
      </c>
      <c r="E111" s="94" t="s">
        <v>355</v>
      </c>
      <c r="F111" s="94" t="s">
        <v>356</v>
      </c>
      <c r="G111" s="94">
        <v>30</v>
      </c>
      <c r="H111" s="53" t="s">
        <v>102</v>
      </c>
      <c r="I111" s="97" t="s">
        <v>103</v>
      </c>
      <c r="J111" s="54"/>
      <c r="K111" s="69"/>
      <c r="L111" s="53"/>
      <c r="M111" s="53" t="s">
        <v>105</v>
      </c>
      <c r="N111" s="94" t="s">
        <v>106</v>
      </c>
      <c r="O111" s="94" t="s">
        <v>23</v>
      </c>
      <c r="P111" s="97">
        <v>32219</v>
      </c>
      <c r="Q111" s="94" t="s">
        <v>107</v>
      </c>
      <c r="R111" s="94" t="s">
        <v>116</v>
      </c>
      <c r="S111" s="98">
        <v>3136235696</v>
      </c>
      <c r="T111" s="53" t="s">
        <v>357</v>
      </c>
      <c r="U111" s="57" t="str">
        <f>IF(O111=CURSOS!$D$3,"DIPLOMADO EN ATENCION PRE-HOSPITALARIA",IF(O111=CURSOS!$D$4,"ACOMPAÑAMIENTO Y MANEJO DEL DUELO",IF(O111=CURSOS!$D$5,"ATENCION A VICTIMAS DE ATAQUE CON AGENTES QUIMICOS ",IF(O111=CURSOS!$D$6,"PRIMEROS AUXILIOS ",IF(O111=CURSOS!$D$7,"DIPLOMADO DE UNIDAD DE CUIDADOS INTENSIVOS (UCI)",IF(O111=CURSOS!$D$8,"MODELO DE ATENCION PARA EVENTOS EMERGENTES EN SALUD MENTAL (CODIGO VERDE)",IF(O111=CURSOS!$D$9,"HUMANIZACION EN EL SERVICIO DE LA SALUD Y BUENAS PRACTICAS EN PACIENTE ",IF(O111=CURSOS!$D$10,"CLINICA DE HERIDAS ",IF(O111=CURSOS!$D$11,"TOMA DE CITOLOGIA CERVICO VAGINAL ",IF(O111=CURSOS!$D$12,"SOPORTE CARDIOVASCULAR AVANZADO (ACLS) ",IF(O111=CURSOS!$D$13,"CAMILLERO ",IF(O111=CURSOS!$D$14,"TOMA DE MUESTRAS Y LABORATORIO ",IF(O111=CURSOS!$D$15,"SOPORTE VITAL BASICO (BLS)",IF(O111=CURSOS!$D$16,"ATENCION A VICTIMAS DE VIOLENCIA SEXUAL ",IF(O111=CURSOS!$D$17,"PROGRAMADO AMPLIADO DE INMUNIZACION (PAI - COVID 19)",IF(O111=CURSOS!$D$18,"ATENCION INTEGRAL EN ENFERMEDADES PREVALENTES EN PRIMERA INFANCIA (AIEPI)",IF(O111=CURSOS!$D$19,"ADMINISTRACION DE MEDICAMENTOS, INYECTOLOGIA  Y CANALIZACION ",IF(O111=CURSOS!$D$20,"OPERADOR DE VEHICULOS DE EMERGENCIA (OVE)",IF(O111=CURSOS!$D$21,"INSTITUCIONES AMIGAS DE LA MUJER Y LA INFANCIA (IAMI)",IF(O111=CURSOS!$D$22,"CUIDADO DEL DONANTE DE ORGANOS",IF(O111=CURSOS!$D$23,"ATENCION A VICTIMAS POR VIOLENCIA DE GENERO",IF(O111=CURSOS!$D$24,"IGUALDAD DE GENERO EN LA SALUD",IF(O111=CURSOS!$D$25,"BRIGADA DE EMERGENCIA",IF(O111=CURSOS!$D$26,"MANEJO DEL DOLOR Y CUIDADOS PALIATIVOS",IF(O111=CURSOS!$D$27,"TOMA DE MUESTRAS Y LABORATORIO POCT",IF(O111=CURSOS!$D$28,"IMPLANTE SUBDERMICO DE DISPOSITIVO INTRAUTERINO",IF(O111=CURSOS!$D$29,"SALUD MENTAL",IF(O111=CURSOS!$D$30,"PRIMEROS AUXILIOS PSICOLOGICOS",IF(O111=CURSOS!$D$31,"ATENCION A VICTIMAS POR CONFLICTO ARMADO",IF(O111=CURSOS!$D$32,"MANIPULACION DE ALIMENTOS Y BPM",IF(O111=CURSOS!$D$33,"ATENCION A PERSONAS CON DISCAPACIDAD",IF(O111=CURSOS!$D$34,"CUIDADO INTEGRAL DEL PACIENTE ADULTO",IF(O111=CURSOS!$D$35,"MANEJO DEFENSIVO",IF(O111=CURSOS!$D$36,"SOPORTE CARDIOVASCULAR AVANZADO NEONATAL",IF(O111=CURSOS!$D$37,"SEGURIDAD DEL PACIENTE",IF(O111=CURSOS!$D$38,"MANEJO DE RESIDUOS HOSPITALARIOS"))))))))))))))))))))))))))))))))))))</f>
        <v>ACOMPAÑAMIENTO Y MANEJO DEL DUELO</v>
      </c>
      <c r="V111" s="57" t="str">
        <f t="shared" si="3"/>
        <v>Yuli Katerine Mitis Rivera</v>
      </c>
      <c r="W111" s="57" t="str">
        <f t="shared" si="4"/>
        <v>Yuli Katerine Mitis Rivera</v>
      </c>
      <c r="X111" s="57" t="str">
        <f t="shared" si="5"/>
        <v>Yuli Katerine Mitis Rivera-1084846415-DUELO</v>
      </c>
    </row>
    <row r="112" spans="1:24" s="67" customFormat="1" x14ac:dyDescent="0.2">
      <c r="A112" s="68">
        <v>111</v>
      </c>
      <c r="B112" s="94">
        <v>1004696470</v>
      </c>
      <c r="C112" s="94" t="s">
        <v>378</v>
      </c>
      <c r="D112" s="94" t="s">
        <v>122</v>
      </c>
      <c r="E112" s="94" t="s">
        <v>355</v>
      </c>
      <c r="F112" s="94" t="s">
        <v>288</v>
      </c>
      <c r="G112" s="94">
        <v>31</v>
      </c>
      <c r="H112" s="53" t="s">
        <v>102</v>
      </c>
      <c r="I112" s="97" t="s">
        <v>103</v>
      </c>
      <c r="J112" s="54"/>
      <c r="K112" s="69"/>
      <c r="L112" s="53"/>
      <c r="M112" s="53" t="s">
        <v>105</v>
      </c>
      <c r="N112" s="94" t="s">
        <v>132</v>
      </c>
      <c r="O112" s="53" t="s">
        <v>19</v>
      </c>
      <c r="P112" s="56">
        <v>37467</v>
      </c>
      <c r="Q112" s="94" t="s">
        <v>107</v>
      </c>
      <c r="R112" s="94" t="s">
        <v>116</v>
      </c>
      <c r="S112" s="98">
        <v>3226264157</v>
      </c>
      <c r="T112" s="53" t="s">
        <v>379</v>
      </c>
      <c r="U112" s="57" t="str">
        <f>IF(O112=CURSOS!$D$3,"DIPLOMADO EN ATENCION PRE-HOSPITALARIA",IF(O112=CURSOS!$D$4,"ACOMPAÑAMIENTO Y MANEJO DEL DUELO",IF(O112=CURSOS!$D$5,"ATENCION A VICTIMAS DE ATAQUE CON AGENTES QUIMICOS ",IF(O112=CURSOS!$D$6,"PRIMEROS AUXILIOS ",IF(O112=CURSOS!$D$7,"DIPLOMADO DE UNIDAD DE CUIDADOS INTENSIVOS (UCI)",IF(O112=CURSOS!$D$8,"MODELO DE ATENCION PARA EVENTOS EMERGENTES EN SALUD MENTAL (CODIGO VERDE)",IF(O112=CURSOS!$D$9,"HUMANIZACION EN EL SERVICIO DE LA SALUD Y BUENAS PRACTICAS EN PACIENTE ",IF(O112=CURSOS!$D$10,"CLINICA DE HERIDAS ",IF(O112=CURSOS!$D$11,"TOMA DE CITOLOGIA CERVICO VAGINAL ",IF(O112=CURSOS!$D$12,"SOPORTE CARDIOVASCULAR AVANZADO (ACLS) ",IF(O112=CURSOS!$D$13,"CAMILLERO ",IF(O112=CURSOS!$D$14,"TOMA DE MUESTRAS Y LABORATORIO ",IF(O112=CURSOS!$D$15,"SOPORTE VITAL BASICO (BLS)",IF(O112=CURSOS!$D$16,"ATENCION A VICTIMAS DE VIOLENCIA SEXUAL ",IF(O112=CURSOS!$D$17,"PROGRAMADO AMPLIADO DE INMUNIZACION (PAI - COVID 19)",IF(O112=CURSOS!$D$18,"ATENCION INTEGRAL EN ENFERMEDADES PREVALENTES EN PRIMERA INFANCIA (AIEPI)",IF(O112=CURSOS!$D$19,"ADMINISTRACION DE MEDICAMENTOS, INYECTOLOGIA  Y CANALIZACION ",IF(O112=CURSOS!$D$20,"OPERADOR DE VEHICULOS DE EMERGENCIA (OVE)",IF(O112=CURSOS!$D$21,"INSTITUCIONES AMIGAS DE LA MUJER Y LA INFANCIA (IAMI)",IF(O112=CURSOS!$D$22,"CUIDADO DEL DONANTE DE ORGANOS",IF(O112=CURSOS!$D$23,"ATENCION A VICTIMAS POR VIOLENCIA DE GENERO",IF(O112=CURSOS!$D$24,"IGUALDAD DE GENERO EN LA SALUD",IF(O112=CURSOS!$D$25,"BRIGADA DE EMERGENCIA",IF(O112=CURSOS!$D$26,"MANEJO DEL DOLOR Y CUIDADOS PALIATIVOS",IF(O112=CURSOS!$D$27,"TOMA DE MUESTRAS Y LABORATORIO POCT",IF(O112=CURSOS!$D$28,"IMPLANTE SUBDERMICO DE DISPOSITIVO INTRAUTERINO",IF(O112=CURSOS!$D$29,"SALUD MENTAL",IF(O112=CURSOS!$D$30,"PRIMEROS AUXILIOS PSICOLOGICOS",IF(O112=CURSOS!$D$31,"ATENCION A VICTIMAS POR CONFLICTO ARMADO",IF(O112=CURSOS!$D$32,"MANIPULACION DE ALIMENTOS Y BPM",IF(O112=CURSOS!$D$33,"ATENCION A PERSONAS CON DISCAPACIDAD",IF(O112=CURSOS!$D$34,"CUIDADO INTEGRAL DEL PACIENTE ADULTO",IF(O112=CURSOS!$D$35,"MANEJO DEFENSIVO",IF(O112=CURSOS!$D$36,"SOPORTE CARDIOVASCULAR AVANZADO NEONATAL",IF(O112=CURSOS!$D$37,"SEGURIDAD DEL PACIENTE",IF(O112=CURSOS!$D$38,"MANEJO DE RESIDUOS HOSPITALARIOS"))))))))))))))))))))))))))))))))))))</f>
        <v>SOPORTE VITAL BASICO (BLS)</v>
      </c>
      <c r="V112" s="57" t="str">
        <f t="shared" si="3"/>
        <v>Yuli Carolina Alvarez Parreño</v>
      </c>
      <c r="W112" s="57" t="str">
        <f t="shared" si="4"/>
        <v>Yuli Carolina Alvarez Parreño</v>
      </c>
      <c r="X112" s="57" t="str">
        <f t="shared" si="5"/>
        <v>Yuli Carolina Alvarez Parreño-1004696470-BLS</v>
      </c>
    </row>
    <row r="113" spans="1:24" s="67" customFormat="1" x14ac:dyDescent="0.2">
      <c r="A113" s="68">
        <v>112</v>
      </c>
      <c r="B113" s="94">
        <v>1004696470</v>
      </c>
      <c r="C113" s="94" t="s">
        <v>378</v>
      </c>
      <c r="D113" s="94" t="s">
        <v>122</v>
      </c>
      <c r="E113" s="94" t="s">
        <v>355</v>
      </c>
      <c r="F113" s="94" t="s">
        <v>288</v>
      </c>
      <c r="G113" s="94">
        <v>30</v>
      </c>
      <c r="H113" s="53" t="s">
        <v>102</v>
      </c>
      <c r="I113" s="97" t="s">
        <v>103</v>
      </c>
      <c r="J113" s="54"/>
      <c r="K113" s="69"/>
      <c r="L113" s="53"/>
      <c r="M113" s="53" t="s">
        <v>105</v>
      </c>
      <c r="N113" s="94" t="s">
        <v>132</v>
      </c>
      <c r="O113" s="53" t="s">
        <v>42</v>
      </c>
      <c r="P113" s="56">
        <v>37467</v>
      </c>
      <c r="Q113" s="94" t="s">
        <v>107</v>
      </c>
      <c r="R113" s="94" t="s">
        <v>116</v>
      </c>
      <c r="S113" s="98">
        <v>3226264157</v>
      </c>
      <c r="T113" s="53" t="s">
        <v>379</v>
      </c>
      <c r="U113" s="57" t="str">
        <f>IF(O113=CURSOS!$D$3,"DIPLOMADO EN ATENCION PRE-HOSPITALARIA",IF(O113=CURSOS!$D$4,"ACOMPAÑAMIENTO Y MANEJO DEL DUELO",IF(O113=CURSOS!$D$5,"ATENCION A VICTIMAS DE ATAQUE CON AGENTES QUIMICOS ",IF(O113=CURSOS!$D$6,"PRIMEROS AUXILIOS ",IF(O113=CURSOS!$D$7,"DIPLOMADO DE UNIDAD DE CUIDADOS INTENSIVOS (UCI)",IF(O113=CURSOS!$D$8,"MODELO DE ATENCION PARA EVENTOS EMERGENTES EN SALUD MENTAL (CODIGO VERDE)",IF(O113=CURSOS!$D$9,"HUMANIZACION EN EL SERVICIO DE LA SALUD Y BUENAS PRACTICAS EN PACIENTE ",IF(O113=CURSOS!$D$10,"CLINICA DE HERIDAS ",IF(O113=CURSOS!$D$11,"TOMA DE CITOLOGIA CERVICO VAGINAL ",IF(O113=CURSOS!$D$12,"SOPORTE CARDIOVASCULAR AVANZADO (ACLS) ",IF(O113=CURSOS!$D$13,"CAMILLERO ",IF(O113=CURSOS!$D$14,"TOMA DE MUESTRAS Y LABORATORIO ",IF(O113=CURSOS!$D$15,"SOPORTE VITAL BASICO (BLS)",IF(O113=CURSOS!$D$16,"ATENCION A VICTIMAS DE VIOLENCIA SEXUAL ",IF(O113=CURSOS!$D$17,"PROGRAMADO AMPLIADO DE INMUNIZACION (PAI - COVID 19)",IF(O113=CURSOS!$D$18,"ATENCION INTEGRAL EN ENFERMEDADES PREVALENTES EN PRIMERA INFANCIA (AIEPI)",IF(O113=CURSOS!$D$19,"ADMINISTRACION DE MEDICAMENTOS, INYECTOLOGIA  Y CANALIZACION ",IF(O113=CURSOS!$D$20,"OPERADOR DE VEHICULOS DE EMERGENCIA (OVE)",IF(O113=CURSOS!$D$21,"INSTITUCIONES AMIGAS DE LA MUJER Y LA INFANCIA (IAMI)",IF(O113=CURSOS!$D$22,"CUIDADO DEL DONANTE DE ORGANOS",IF(O113=CURSOS!$D$23,"ATENCION A VICTIMAS POR VIOLENCIA DE GENERO",IF(O113=CURSOS!$D$24,"IGUALDAD DE GENERO EN LA SALUD",IF(O113=CURSOS!$D$25,"BRIGADA DE EMERGENCIA",IF(O113=CURSOS!$D$26,"MANEJO DEL DOLOR Y CUIDADOS PALIATIVOS",IF(O113=CURSOS!$D$27,"TOMA DE MUESTRAS Y LABORATORIO POCT",IF(O113=CURSOS!$D$28,"IMPLANTE SUBDERMICO DE DISPOSITIVO INTRAUTERINO",IF(O113=CURSOS!$D$29,"SALUD MENTAL",IF(O113=CURSOS!$D$30,"PRIMEROS AUXILIOS PSICOLOGICOS",IF(O113=CURSOS!$D$31,"ATENCION A VICTIMAS POR CONFLICTO ARMADO",IF(O113=CURSOS!$D$32,"MANIPULACION DE ALIMENTOS Y BPM",IF(O113=CURSOS!$D$33,"ATENCION A PERSONAS CON DISCAPACIDAD",IF(O113=CURSOS!$D$34,"CUIDADO INTEGRAL DEL PACIENTE ADULTO",IF(O113=CURSOS!$D$35,"MANEJO DEFENSIVO",IF(O113=CURSOS!$D$36,"SOPORTE CARDIOVASCULAR AVANZADO NEONATAL",IF(O113=CURSOS!$D$37,"SEGURIDAD DEL PACIENTE",IF(O113=CURSOS!$D$38,"MANEJO DE RESIDUOS HOSPITALARIOS"))))))))))))))))))))))))))))))))))))</f>
        <v xml:space="preserve">ATENCION A VICTIMAS DE VIOLENCIA SEXUAL </v>
      </c>
      <c r="V113" s="57" t="str">
        <f t="shared" si="3"/>
        <v>Yuli Carolina Alvarez Parreño</v>
      </c>
      <c r="W113" s="57" t="str">
        <f t="shared" si="4"/>
        <v>Yuli Carolina Alvarez Parreño</v>
      </c>
      <c r="X113" s="57" t="str">
        <f t="shared" si="5"/>
        <v>Yuli Carolina Alvarez Parreño-1004696470-VIOLENCIA SEXUAL</v>
      </c>
    </row>
    <row r="114" spans="1:24" s="67" customFormat="1" x14ac:dyDescent="0.2">
      <c r="A114" s="68">
        <v>113</v>
      </c>
      <c r="B114" s="94">
        <v>1004696470</v>
      </c>
      <c r="C114" s="94" t="s">
        <v>378</v>
      </c>
      <c r="D114" s="94" t="s">
        <v>122</v>
      </c>
      <c r="E114" s="94" t="s">
        <v>355</v>
      </c>
      <c r="F114" s="94" t="s">
        <v>288</v>
      </c>
      <c r="G114" s="94">
        <v>26</v>
      </c>
      <c r="H114" s="53" t="s">
        <v>102</v>
      </c>
      <c r="I114" s="97" t="s">
        <v>103</v>
      </c>
      <c r="J114" s="54"/>
      <c r="K114" s="69"/>
      <c r="L114" s="53"/>
      <c r="M114" s="53" t="s">
        <v>105</v>
      </c>
      <c r="N114" s="94" t="s">
        <v>132</v>
      </c>
      <c r="O114" s="53" t="s">
        <v>23</v>
      </c>
      <c r="P114" s="56">
        <v>37467</v>
      </c>
      <c r="Q114" s="94" t="s">
        <v>107</v>
      </c>
      <c r="R114" s="94" t="s">
        <v>116</v>
      </c>
      <c r="S114" s="98">
        <v>3226264157</v>
      </c>
      <c r="T114" s="53" t="s">
        <v>379</v>
      </c>
      <c r="U114" s="57" t="str">
        <f>IF(O114=CURSOS!$D$3,"DIPLOMADO EN ATENCION PRE-HOSPITALARIA",IF(O114=CURSOS!$D$4,"ACOMPAÑAMIENTO Y MANEJO DEL DUELO",IF(O114=CURSOS!$D$5,"ATENCION A VICTIMAS DE ATAQUE CON AGENTES QUIMICOS ",IF(O114=CURSOS!$D$6,"PRIMEROS AUXILIOS ",IF(O114=CURSOS!$D$7,"DIPLOMADO DE UNIDAD DE CUIDADOS INTENSIVOS (UCI)",IF(O114=CURSOS!$D$8,"MODELO DE ATENCION PARA EVENTOS EMERGENTES EN SALUD MENTAL (CODIGO VERDE)",IF(O114=CURSOS!$D$9,"HUMANIZACION EN EL SERVICIO DE LA SALUD Y BUENAS PRACTICAS EN PACIENTE ",IF(O114=CURSOS!$D$10,"CLINICA DE HERIDAS ",IF(O114=CURSOS!$D$11,"TOMA DE CITOLOGIA CERVICO VAGINAL ",IF(O114=CURSOS!$D$12,"SOPORTE CARDIOVASCULAR AVANZADO (ACLS) ",IF(O114=CURSOS!$D$13,"CAMILLERO ",IF(O114=CURSOS!$D$14,"TOMA DE MUESTRAS Y LABORATORIO ",IF(O114=CURSOS!$D$15,"SOPORTE VITAL BASICO (BLS)",IF(O114=CURSOS!$D$16,"ATENCION A VICTIMAS DE VIOLENCIA SEXUAL ",IF(O114=CURSOS!$D$17,"PROGRAMADO AMPLIADO DE INMUNIZACION (PAI - COVID 19)",IF(O114=CURSOS!$D$18,"ATENCION INTEGRAL EN ENFERMEDADES PREVALENTES EN PRIMERA INFANCIA (AIEPI)",IF(O114=CURSOS!$D$19,"ADMINISTRACION DE MEDICAMENTOS, INYECTOLOGIA  Y CANALIZACION ",IF(O114=CURSOS!$D$20,"OPERADOR DE VEHICULOS DE EMERGENCIA (OVE)",IF(O114=CURSOS!$D$21,"INSTITUCIONES AMIGAS DE LA MUJER Y LA INFANCIA (IAMI)",IF(O114=CURSOS!$D$22,"CUIDADO DEL DONANTE DE ORGANOS",IF(O114=CURSOS!$D$23,"ATENCION A VICTIMAS POR VIOLENCIA DE GENERO",IF(O114=CURSOS!$D$24,"IGUALDAD DE GENERO EN LA SALUD",IF(O114=CURSOS!$D$25,"BRIGADA DE EMERGENCIA",IF(O114=CURSOS!$D$26,"MANEJO DEL DOLOR Y CUIDADOS PALIATIVOS",IF(O114=CURSOS!$D$27,"TOMA DE MUESTRAS Y LABORATORIO POCT",IF(O114=CURSOS!$D$28,"IMPLANTE SUBDERMICO DE DISPOSITIVO INTRAUTERINO",IF(O114=CURSOS!$D$29,"SALUD MENTAL",IF(O114=CURSOS!$D$30,"PRIMEROS AUXILIOS PSICOLOGICOS",IF(O114=CURSOS!$D$31,"ATENCION A VICTIMAS POR CONFLICTO ARMADO",IF(O114=CURSOS!$D$32,"MANIPULACION DE ALIMENTOS Y BPM",IF(O114=CURSOS!$D$33,"ATENCION A PERSONAS CON DISCAPACIDAD",IF(O114=CURSOS!$D$34,"CUIDADO INTEGRAL DEL PACIENTE ADULTO",IF(O114=CURSOS!$D$35,"MANEJO DEFENSIVO",IF(O114=CURSOS!$D$36,"SOPORTE CARDIOVASCULAR AVANZADO NEONATAL",IF(O114=CURSOS!$D$37,"SEGURIDAD DEL PACIENTE",IF(O114=CURSOS!$D$38,"MANEJO DE RESIDUOS HOSPITALARIOS"))))))))))))))))))))))))))))))))))))</f>
        <v>ACOMPAÑAMIENTO Y MANEJO DEL DUELO</v>
      </c>
      <c r="V114" s="57" t="str">
        <f t="shared" si="3"/>
        <v>Yuli Carolina Alvarez Parreño</v>
      </c>
      <c r="W114" s="57" t="str">
        <f t="shared" si="4"/>
        <v>Yuli Carolina Alvarez Parreño</v>
      </c>
      <c r="X114" s="57" t="str">
        <f t="shared" si="5"/>
        <v>Yuli Carolina Alvarez Parreño-1004696470-DUELO</v>
      </c>
    </row>
    <row r="115" spans="1:24" s="67" customFormat="1" x14ac:dyDescent="0.2">
      <c r="A115" s="68">
        <v>114</v>
      </c>
      <c r="B115" s="94">
        <v>1004696470</v>
      </c>
      <c r="C115" s="94" t="s">
        <v>378</v>
      </c>
      <c r="D115" s="94" t="s">
        <v>122</v>
      </c>
      <c r="E115" s="94" t="s">
        <v>355</v>
      </c>
      <c r="F115" s="94" t="s">
        <v>288</v>
      </c>
      <c r="G115" s="94">
        <v>30</v>
      </c>
      <c r="H115" s="53" t="s">
        <v>102</v>
      </c>
      <c r="I115" s="97" t="s">
        <v>103</v>
      </c>
      <c r="J115" s="54"/>
      <c r="K115" s="69"/>
      <c r="L115" s="53"/>
      <c r="M115" s="53" t="s">
        <v>105</v>
      </c>
      <c r="N115" s="94" t="s">
        <v>132</v>
      </c>
      <c r="O115" s="53" t="s">
        <v>25</v>
      </c>
      <c r="P115" s="56">
        <v>37467</v>
      </c>
      <c r="Q115" s="94" t="s">
        <v>107</v>
      </c>
      <c r="R115" s="94" t="s">
        <v>116</v>
      </c>
      <c r="S115" s="98">
        <v>3226264157</v>
      </c>
      <c r="T115" s="53" t="s">
        <v>379</v>
      </c>
      <c r="U115" s="57" t="str">
        <f>IF(O115=CURSOS!$D$3,"DIPLOMADO EN ATENCION PRE-HOSPITALARIA",IF(O115=CURSOS!$D$4,"ACOMPAÑAMIENTO Y MANEJO DEL DUELO",IF(O115=CURSOS!$D$5,"ATENCION A VICTIMAS DE ATAQUE CON AGENTES QUIMICOS ",IF(O115=CURSOS!$D$6,"PRIMEROS AUXILIOS ",IF(O115=CURSOS!$D$7,"DIPLOMADO DE UNIDAD DE CUIDADOS INTENSIVOS (UCI)",IF(O115=CURSOS!$D$8,"MODELO DE ATENCION PARA EVENTOS EMERGENTES EN SALUD MENTAL (CODIGO VERDE)",IF(O115=CURSOS!$D$9,"HUMANIZACION EN EL SERVICIO DE LA SALUD Y BUENAS PRACTICAS EN PACIENTE ",IF(O115=CURSOS!$D$10,"CLINICA DE HERIDAS ",IF(O115=CURSOS!$D$11,"TOMA DE CITOLOGIA CERVICO VAGINAL ",IF(O115=CURSOS!$D$12,"SOPORTE CARDIOVASCULAR AVANZADO (ACLS) ",IF(O115=CURSOS!$D$13,"CAMILLERO ",IF(O115=CURSOS!$D$14,"TOMA DE MUESTRAS Y LABORATORIO ",IF(O115=CURSOS!$D$15,"SOPORTE VITAL BASICO (BLS)",IF(O115=CURSOS!$D$16,"ATENCION A VICTIMAS DE VIOLENCIA SEXUAL ",IF(O115=CURSOS!$D$17,"PROGRAMADO AMPLIADO DE INMUNIZACION (PAI - COVID 19)",IF(O115=CURSOS!$D$18,"ATENCION INTEGRAL EN ENFERMEDADES PREVALENTES EN PRIMERA INFANCIA (AIEPI)",IF(O115=CURSOS!$D$19,"ADMINISTRACION DE MEDICAMENTOS, INYECTOLOGIA  Y CANALIZACION ",IF(O115=CURSOS!$D$20,"OPERADOR DE VEHICULOS DE EMERGENCIA (OVE)",IF(O115=CURSOS!$D$21,"INSTITUCIONES AMIGAS DE LA MUJER Y LA INFANCIA (IAMI)",IF(O115=CURSOS!$D$22,"CUIDADO DEL DONANTE DE ORGANOS",IF(O115=CURSOS!$D$23,"ATENCION A VICTIMAS POR VIOLENCIA DE GENERO",IF(O115=CURSOS!$D$24,"IGUALDAD DE GENERO EN LA SALUD",IF(O115=CURSOS!$D$25,"BRIGADA DE EMERGENCIA",IF(O115=CURSOS!$D$26,"MANEJO DEL DOLOR Y CUIDADOS PALIATIVOS",IF(O115=CURSOS!$D$27,"TOMA DE MUESTRAS Y LABORATORIO POCT",IF(O115=CURSOS!$D$28,"IMPLANTE SUBDERMICO DE DISPOSITIVO INTRAUTERINO",IF(O115=CURSOS!$D$29,"SALUD MENTAL",IF(O115=CURSOS!$D$30,"PRIMEROS AUXILIOS PSICOLOGICOS",IF(O115=CURSOS!$D$31,"ATENCION A VICTIMAS POR CONFLICTO ARMADO",IF(O115=CURSOS!$D$32,"MANIPULACION DE ALIMENTOS Y BPM",IF(O115=CURSOS!$D$33,"ATENCION A PERSONAS CON DISCAPACIDAD",IF(O115=CURSOS!$D$34,"CUIDADO INTEGRAL DEL PACIENTE ADULTO",IF(O115=CURSOS!$D$35,"MANEJO DEFENSIVO",IF(O115=CURSOS!$D$36,"SOPORTE CARDIOVASCULAR AVANZADO NEONATAL",IF(O115=CURSOS!$D$37,"SEGURIDAD DEL PACIENTE",IF(O115=CURSOS!$D$38,"MANEJO DE RESIDUOS HOSPITALARIOS"))))))))))))))))))))))))))))))))))))</f>
        <v xml:space="preserve">ATENCION A VICTIMAS DE ATAQUE CON AGENTES QUIMICOS </v>
      </c>
      <c r="V115" s="57" t="str">
        <f t="shared" si="3"/>
        <v>Yuli Carolina Alvarez Parreño</v>
      </c>
      <c r="W115" s="57" t="str">
        <f t="shared" si="4"/>
        <v>Yuli Carolina Alvarez Parreño</v>
      </c>
      <c r="X115" s="57" t="str">
        <f t="shared" si="5"/>
        <v>Yuli Carolina Alvarez Parreño-1004696470-QUIMICOS</v>
      </c>
    </row>
    <row r="116" spans="1:24" s="67" customFormat="1" x14ac:dyDescent="0.2">
      <c r="A116" s="68">
        <v>115</v>
      </c>
      <c r="B116" s="94">
        <v>1004696470</v>
      </c>
      <c r="C116" s="94" t="s">
        <v>378</v>
      </c>
      <c r="D116" s="94" t="s">
        <v>122</v>
      </c>
      <c r="E116" s="94" t="s">
        <v>355</v>
      </c>
      <c r="F116" s="94" t="s">
        <v>288</v>
      </c>
      <c r="G116" s="94">
        <v>27</v>
      </c>
      <c r="H116" s="53" t="s">
        <v>102</v>
      </c>
      <c r="I116" s="97" t="s">
        <v>103</v>
      </c>
      <c r="J116" s="54"/>
      <c r="K116" s="69"/>
      <c r="L116" s="53"/>
      <c r="M116" s="53" t="s">
        <v>105</v>
      </c>
      <c r="N116" s="94" t="s">
        <v>132</v>
      </c>
      <c r="O116" s="53" t="s">
        <v>59</v>
      </c>
      <c r="P116" s="56">
        <v>37467</v>
      </c>
      <c r="Q116" s="94" t="s">
        <v>107</v>
      </c>
      <c r="R116" s="94" t="s">
        <v>116</v>
      </c>
      <c r="S116" s="98">
        <v>3226264157</v>
      </c>
      <c r="T116" s="53" t="s">
        <v>379</v>
      </c>
      <c r="U116" s="57" t="str">
        <f>IF(O116=CURSOS!$D$3,"DIPLOMADO EN ATENCION PRE-HOSPITALARIA",IF(O116=CURSOS!$D$4,"ACOMPAÑAMIENTO Y MANEJO DEL DUELO",IF(O116=CURSOS!$D$5,"ATENCION A VICTIMAS DE ATAQUE CON AGENTES QUIMICOS ",IF(O116=CURSOS!$D$6,"PRIMEROS AUXILIOS ",IF(O116=CURSOS!$D$7,"DIPLOMADO DE UNIDAD DE CUIDADOS INTENSIVOS (UCI)",IF(O116=CURSOS!$D$8,"MODELO DE ATENCION PARA EVENTOS EMERGENTES EN SALUD MENTAL (CODIGO VERDE)",IF(O116=CURSOS!$D$9,"HUMANIZACION EN EL SERVICIO DE LA SALUD Y BUENAS PRACTICAS EN PACIENTE ",IF(O116=CURSOS!$D$10,"CLINICA DE HERIDAS ",IF(O116=CURSOS!$D$11,"TOMA DE CITOLOGIA CERVICO VAGINAL ",IF(O116=CURSOS!$D$12,"SOPORTE CARDIOVASCULAR AVANZADO (ACLS) ",IF(O116=CURSOS!$D$13,"CAMILLERO ",IF(O116=CURSOS!$D$14,"TOMA DE MUESTRAS Y LABORATORIO ",IF(O116=CURSOS!$D$15,"SOPORTE VITAL BASICO (BLS)",IF(O116=CURSOS!$D$16,"ATENCION A VICTIMAS DE VIOLENCIA SEXUAL ",IF(O116=CURSOS!$D$17,"PROGRAMADO AMPLIADO DE INMUNIZACION (PAI - COVID 19)",IF(O116=CURSOS!$D$18,"ATENCION INTEGRAL EN ENFERMEDADES PREVALENTES EN PRIMERA INFANCIA (AIEPI)",IF(O116=CURSOS!$D$19,"ADMINISTRACION DE MEDICAMENTOS, INYECTOLOGIA  Y CANALIZACION ",IF(O116=CURSOS!$D$20,"OPERADOR DE VEHICULOS DE EMERGENCIA (OVE)",IF(O116=CURSOS!$D$21,"INSTITUCIONES AMIGAS DE LA MUJER Y LA INFANCIA (IAMI)",IF(O116=CURSOS!$D$22,"CUIDADO DEL DONANTE DE ORGANOS",IF(O116=CURSOS!$D$23,"ATENCION A VICTIMAS POR VIOLENCIA DE GENERO",IF(O116=CURSOS!$D$24,"IGUALDAD DE GENERO EN LA SALUD",IF(O116=CURSOS!$D$25,"BRIGADA DE EMERGENCIA",IF(O116=CURSOS!$D$26,"MANEJO DEL DOLOR Y CUIDADOS PALIATIVOS",IF(O116=CURSOS!$D$27,"TOMA DE MUESTRAS Y LABORATORIO POCT",IF(O116=CURSOS!$D$28,"IMPLANTE SUBDERMICO DE DISPOSITIVO INTRAUTERINO",IF(O116=CURSOS!$D$29,"SALUD MENTAL",IF(O116=CURSOS!$D$30,"PRIMEROS AUXILIOS PSICOLOGICOS",IF(O116=CURSOS!$D$31,"ATENCION A VICTIMAS POR CONFLICTO ARMADO",IF(O116=CURSOS!$D$32,"MANIPULACION DE ALIMENTOS Y BPM",IF(O116=CURSOS!$D$33,"ATENCION A PERSONAS CON DISCAPACIDAD",IF(O116=CURSOS!$D$34,"CUIDADO INTEGRAL DEL PACIENTE ADULTO",IF(O116=CURSOS!$D$35,"MANEJO DEFENSIVO",IF(O116=CURSOS!$D$36,"SOPORTE CARDIOVASCULAR AVANZADO NEONATAL",IF(O116=CURSOS!$D$37,"SEGURIDAD DEL PACIENTE",IF(O116=CURSOS!$D$38,"MANEJO DE RESIDUOS HOSPITALARIOS"))))))))))))))))))))))))))))))))))))</f>
        <v>TOMA DE MUESTRAS Y LABORATORIO POCT</v>
      </c>
      <c r="V116" s="57" t="str">
        <f t="shared" si="3"/>
        <v>Yuli Carolina Alvarez Parreño</v>
      </c>
      <c r="W116" s="57" t="str">
        <f t="shared" si="4"/>
        <v>Yuli Carolina Alvarez Parreño</v>
      </c>
      <c r="X116" s="57" t="str">
        <f t="shared" si="5"/>
        <v>Yuli Carolina Alvarez Parreño-1004696470-POCT</v>
      </c>
    </row>
    <row r="117" spans="1:24" x14ac:dyDescent="0.2">
      <c r="A117" s="73">
        <v>116</v>
      </c>
      <c r="B117" s="52"/>
      <c r="C117" s="40"/>
      <c r="D117" s="40"/>
      <c r="E117" s="40"/>
      <c r="F117" s="40"/>
      <c r="G117" s="40"/>
      <c r="I117" s="50"/>
      <c r="K117" s="47"/>
      <c r="P117" s="44"/>
      <c r="Q117" s="40"/>
      <c r="R117" s="88"/>
      <c r="T117" s="39"/>
      <c r="U117" s="46" t="b">
        <f>IF(O117=CURSOS!$D$3,"DIPLOMADO EN ATENCION PRE-HOSPITALARIA",IF(O117=CURSOS!$D$4,"ACOMPAÑAMIENTO Y MANEJO DEL DUELO",IF(O117=CURSOS!$D$5,"ATENCION A VICTIMAS DE ATAQUE CON AGENTES QUIMICOS ",IF(O117=CURSOS!$D$6,"PRIMEROS AUXILIOS ",IF(O117=CURSOS!$D$7,"DIPLOMADO DE UNIDAD DE CUIDADOS INTENSIVOS (UCI)",IF(O117=CURSOS!$D$8,"MODELO DE ATENCION PARA EVENTOS EMERGENTES EN SALUD MENTAL (CODIGO VERDE)",IF(O117=CURSOS!$D$9,"HUMANIZACION EN EL SERVICIO DE LA SALUD Y BUENAS PRACTICAS EN PACIENTE ",IF(O117=CURSOS!$D$10,"CLINICA DE HERIDAS ",IF(O117=CURSOS!$D$11,"TOMA DE CITOLOGIA CERVICO VAGINAL ",IF(O117=CURSOS!$D$12,"SOPORTE CARDIOVASCULAR AVANZADO (ACLS) ",IF(O117=CURSOS!$D$13,"CAMILLERO ",IF(O117=CURSOS!$D$14,"TOMA DE MUESTRAS Y LABORATORIO ",IF(O117=CURSOS!$D$15,"SOPORTE VITAL BASICO (BLS)",IF(O117=CURSOS!$D$16,"ATENCION A VICTIMAS DE VIOLENCIA SEXUAL ",IF(O117=CURSOS!$D$17,"PROGRAMADO AMPLIADO DE INMUNIZACION (PAI - COVID 19)",IF(O117=CURSOS!$D$18,"ATENCION INTEGRAL EN ENFERMEDADES PREVALENTES EN PRIMERA INFANCIA (AIEPI)",IF(O117=CURSOS!$D$19,"ADMINISTRACION DE MEDICAMENTOS, INYECTOLOGIA  Y CANALIZACION ",IF(O117=CURSOS!$D$20,"OPERADOR DE VEHICULOS DE EMERGENCIA (OVE)",IF(O117=CURSOS!$D$21,"INSTITUCIONES AMIGAS DE LA MUJER Y LA INFANCIA (IAMI)",IF(O117=CURSOS!$D$22,"CUIDADO DEL DONANTE DE ORGANOS",IF(O117=CURSOS!$D$23,"ATENCION A VICTIMAS POR VIOLENCIA DE GENERO",IF(O117=CURSOS!$D$24,"IGUALDAD DE GENERO EN LA SALUD",IF(O117=CURSOS!$D$25,"BRIGADA DE EMERGENCIA",IF(O117=CURSOS!$D$26,"MANEJO DEL DOLOR Y CUIDADOS PALIATIVOS",IF(O117=CURSOS!$D$27,"TOMA DE MUESTRAS Y LABORATORIO POCT",IF(O117=CURSOS!$D$28,"IMPLANTE SUBDERMICO DE DISPOSITIVO INTRAUTERINO",IF(O117=CURSOS!$D$29,"SALUD MENTAL",IF(O117=CURSOS!$D$30,"PRIMEROS AUXILIOS PSICOLOGICOS",IF(O117=CURSOS!$D$31,"ATENCION A VICTIMAS POR CONFLICTO ARMADO",IF(O117=CURSOS!$D$32,"MANIPULACION DE ALIMENTOS Y BPM",IF(O117=CURSOS!$D$33,"ATENCION A PERSONAS CON DISCAPACIDAD",IF(O117=CURSOS!$D$34,"CUIDADO INTEGRAL DEL PACIENTE ADULTO",IF(O117=CURSOS!$D$35,"MANEJO DEFENSIVO",IF(O117=CURSOS!$D$36,"SOPORTE CARDIOVASCULAR AVANZADO NEONATAL",IF(O117=CURSOS!$D$37,"SEGURIDAD DEL PACIENTE",IF(O117=CURSOS!$D$38,"MANEJO DE RESIDUOS HOSPITALARIOS"))))))))))))))))))))))))))))))))))))</f>
        <v>0</v>
      </c>
      <c r="V117" s="46" t="str">
        <f t="shared" si="3"/>
        <v xml:space="preserve">   </v>
      </c>
      <c r="W117" s="46" t="str">
        <f t="shared" si="4"/>
        <v xml:space="preserve">   </v>
      </c>
      <c r="X117" s="46" t="str">
        <f t="shared" si="5"/>
        <v xml:space="preserve">   --</v>
      </c>
    </row>
    <row r="118" spans="1:24" x14ac:dyDescent="0.2">
      <c r="A118" s="73">
        <v>117</v>
      </c>
      <c r="B118" s="40"/>
      <c r="C118" s="40"/>
      <c r="D118" s="40"/>
      <c r="E118" s="40"/>
      <c r="F118" s="40"/>
      <c r="G118" s="40"/>
      <c r="I118" s="50"/>
      <c r="K118" s="47"/>
      <c r="P118" s="44"/>
      <c r="S118" s="48"/>
      <c r="T118" s="39"/>
      <c r="U118" s="46" t="b">
        <f>IF(O118=CURSOS!$D$3,"DIPLOMADO EN ATENCION PRE-HOSPITALARIA",IF(O118=CURSOS!$D$4,"ACOMPAÑAMIENTO Y MANEJO DEL DUELO",IF(O118=CURSOS!$D$5,"ATENCION A VICTIMAS DE ATAQUE CON AGENTES QUIMICOS ",IF(O118=CURSOS!$D$6,"PRIMEROS AUXILIOS ",IF(O118=CURSOS!$D$7,"DIPLOMADO DE UNIDAD DE CUIDADOS INTENSIVOS (UCI)",IF(O118=CURSOS!$D$8,"MODELO DE ATENCION PARA EVENTOS EMERGENTES EN SALUD MENTAL (CODIGO VERDE)",IF(O118=CURSOS!$D$9,"HUMANIZACION EN EL SERVICIO DE LA SALUD Y BUENAS PRACTICAS EN PACIENTE ",IF(O118=CURSOS!$D$10,"CLINICA DE HERIDAS ",IF(O118=CURSOS!$D$11,"TOMA DE CITOLOGIA CERVICO VAGINAL ",IF(O118=CURSOS!$D$12,"SOPORTE CARDIOVASCULAR AVANZADO (ACLS) ",IF(O118=CURSOS!$D$13,"CAMILLERO ",IF(O118=CURSOS!$D$14,"TOMA DE MUESTRAS Y LABORATORIO ",IF(O118=CURSOS!$D$15,"SOPORTE VITAL BASICO (BLS)",IF(O118=CURSOS!$D$16,"ATENCION A VICTIMAS DE VIOLENCIA SEXUAL ",IF(O118=CURSOS!$D$17,"PROGRAMADO AMPLIADO DE INMUNIZACION (PAI - COVID 19)",IF(O118=CURSOS!$D$18,"ATENCION INTEGRAL EN ENFERMEDADES PREVALENTES EN PRIMERA INFANCIA (AIEPI)",IF(O118=CURSOS!$D$19,"ADMINISTRACION DE MEDICAMENTOS, INYECTOLOGIA  Y CANALIZACION ",IF(O118=CURSOS!$D$20,"OPERADOR DE VEHICULOS DE EMERGENCIA (OVE)",IF(O118=CURSOS!$D$21,"INSTITUCIONES AMIGAS DE LA MUJER Y LA INFANCIA (IAMI)",IF(O118=CURSOS!$D$22,"CUIDADO DEL DONANTE DE ORGANOS",IF(O118=CURSOS!$D$23,"ATENCION A VICTIMAS POR VIOLENCIA DE GENERO",IF(O118=CURSOS!$D$24,"IGUALDAD DE GENERO EN LA SALUD",IF(O118=CURSOS!$D$25,"BRIGADA DE EMERGENCIA",IF(O118=CURSOS!$D$26,"MANEJO DEL DOLOR Y CUIDADOS PALIATIVOS",IF(O118=CURSOS!$D$27,"TOMA DE MUESTRAS Y LABORATORIO POCT",IF(O118=CURSOS!$D$28,"IMPLANTE SUBDERMICO DE DISPOSITIVO INTRAUTERINO",IF(O118=CURSOS!$D$29,"SALUD MENTAL",IF(O118=CURSOS!$D$30,"PRIMEROS AUXILIOS PSICOLOGICOS",IF(O118=CURSOS!$D$31,"ATENCION A VICTIMAS POR CONFLICTO ARMADO",IF(O118=CURSOS!$D$32,"MANIPULACION DE ALIMENTOS Y BPM",IF(O118=CURSOS!$D$33,"ATENCION A PERSONAS CON DISCAPACIDAD",IF(O118=CURSOS!$D$34,"CUIDADO INTEGRAL DEL PACIENTE ADULTO",IF(O118=CURSOS!$D$35,"MANEJO DEFENSIVO",IF(O118=CURSOS!$D$36,"SOPORTE CARDIOVASCULAR AVANZADO NEONATAL",IF(O118=CURSOS!$D$37,"SEGURIDAD DEL PACIENTE",IF(O118=CURSOS!$D$38,"MANEJO DE RESIDUOS HOSPITALARIOS"))))))))))))))))))))))))))))))))))))</f>
        <v>0</v>
      </c>
      <c r="V118" s="46" t="str">
        <f t="shared" si="3"/>
        <v xml:space="preserve">   </v>
      </c>
      <c r="W118" s="46" t="str">
        <f t="shared" si="4"/>
        <v xml:space="preserve">   </v>
      </c>
      <c r="X118" s="46" t="str">
        <f t="shared" si="5"/>
        <v xml:space="preserve">   --</v>
      </c>
    </row>
    <row r="119" spans="1:24" x14ac:dyDescent="0.2">
      <c r="A119" s="73">
        <v>118</v>
      </c>
      <c r="C119" s="40"/>
      <c r="D119" s="40"/>
      <c r="E119" s="40"/>
      <c r="F119" s="40"/>
      <c r="G119" s="40"/>
      <c r="I119" s="50"/>
      <c r="K119" s="47"/>
      <c r="P119" s="44"/>
      <c r="Q119" s="40"/>
      <c r="R119" s="88"/>
      <c r="S119" s="48"/>
      <c r="T119" s="39"/>
      <c r="U119" s="46" t="b">
        <f>IF(O119=CURSOS!$D$3,"DIPLOMADO EN ATENCION PRE-HOSPITALARIA",IF(O119=CURSOS!$D$4,"ACOMPAÑAMIENTO Y MANEJO DEL DUELO",IF(O119=CURSOS!$D$5,"ATENCION A VICTIMAS DE ATAQUE CON AGENTES QUIMICOS ",IF(O119=CURSOS!$D$6,"PRIMEROS AUXILIOS ",IF(O119=CURSOS!$D$7,"DIPLOMADO DE UNIDAD DE CUIDADOS INTENSIVOS (UCI)",IF(O119=CURSOS!$D$8,"MODELO DE ATENCION PARA EVENTOS EMERGENTES EN SALUD MENTAL (CODIGO VERDE)",IF(O119=CURSOS!$D$9,"HUMANIZACION EN EL SERVICIO DE LA SALUD Y BUENAS PRACTICAS EN PACIENTE ",IF(O119=CURSOS!$D$10,"CLINICA DE HERIDAS ",IF(O119=CURSOS!$D$11,"TOMA DE CITOLOGIA CERVICO VAGINAL ",IF(O119=CURSOS!$D$12,"SOPORTE CARDIOVASCULAR AVANZADO (ACLS) ",IF(O119=CURSOS!$D$13,"CAMILLERO ",IF(O119=CURSOS!$D$14,"TOMA DE MUESTRAS Y LABORATORIO ",IF(O119=CURSOS!$D$15,"SOPORTE VITAL BASICO (BLS)",IF(O119=CURSOS!$D$16,"ATENCION A VICTIMAS DE VIOLENCIA SEXUAL ",IF(O119=CURSOS!$D$17,"PROGRAMADO AMPLIADO DE INMUNIZACION (PAI - COVID 19)",IF(O119=CURSOS!$D$18,"ATENCION INTEGRAL EN ENFERMEDADES PREVALENTES EN PRIMERA INFANCIA (AIEPI)",IF(O119=CURSOS!$D$19,"ADMINISTRACION DE MEDICAMENTOS, INYECTOLOGIA  Y CANALIZACION ",IF(O119=CURSOS!$D$20,"OPERADOR DE VEHICULOS DE EMERGENCIA (OVE)",IF(O119=CURSOS!$D$21,"INSTITUCIONES AMIGAS DE LA MUJER Y LA INFANCIA (IAMI)",IF(O119=CURSOS!$D$22,"CUIDADO DEL DONANTE DE ORGANOS",IF(O119=CURSOS!$D$23,"ATENCION A VICTIMAS POR VIOLENCIA DE GENERO",IF(O119=CURSOS!$D$24,"IGUALDAD DE GENERO EN LA SALUD",IF(O119=CURSOS!$D$25,"BRIGADA DE EMERGENCIA",IF(O119=CURSOS!$D$26,"MANEJO DEL DOLOR Y CUIDADOS PALIATIVOS",IF(O119=CURSOS!$D$27,"TOMA DE MUESTRAS Y LABORATORIO POCT",IF(O119=CURSOS!$D$28,"IMPLANTE SUBDERMICO DE DISPOSITIVO INTRAUTERINO",IF(O119=CURSOS!$D$29,"SALUD MENTAL",IF(O119=CURSOS!$D$30,"PRIMEROS AUXILIOS PSICOLOGICOS",IF(O119=CURSOS!$D$31,"ATENCION A VICTIMAS POR CONFLICTO ARMADO",IF(O119=CURSOS!$D$32,"MANIPULACION DE ALIMENTOS Y BPM",IF(O119=CURSOS!$D$33,"ATENCION A PERSONAS CON DISCAPACIDAD",IF(O119=CURSOS!$D$34,"CUIDADO INTEGRAL DEL PACIENTE ADULTO",IF(O119=CURSOS!$D$35,"MANEJO DEFENSIVO",IF(O119=CURSOS!$D$36,"SOPORTE CARDIOVASCULAR AVANZADO NEONATAL",IF(O119=CURSOS!$D$37,"SEGURIDAD DEL PACIENTE",IF(O119=CURSOS!$D$38,"MANEJO DE RESIDUOS HOSPITALARIOS"))))))))))))))))))))))))))))))))))))</f>
        <v>0</v>
      </c>
      <c r="V119" s="46" t="str">
        <f t="shared" si="3"/>
        <v xml:space="preserve">   </v>
      </c>
      <c r="W119" s="46" t="str">
        <f t="shared" si="4"/>
        <v xml:space="preserve">   </v>
      </c>
      <c r="X119" s="46" t="str">
        <f t="shared" si="5"/>
        <v xml:space="preserve">   --</v>
      </c>
    </row>
    <row r="120" spans="1:24" x14ac:dyDescent="0.2">
      <c r="A120" s="73">
        <v>119</v>
      </c>
      <c r="C120" s="40"/>
      <c r="D120" s="40"/>
      <c r="E120" s="40"/>
      <c r="F120" s="40"/>
      <c r="G120" s="40"/>
      <c r="I120" s="50"/>
      <c r="J120" s="51"/>
      <c r="L120" s="40"/>
      <c r="P120" s="44"/>
      <c r="Q120" s="40"/>
      <c r="S120" s="48"/>
      <c r="T120" s="39"/>
      <c r="U120" s="46" t="b">
        <f>IF(O120=CURSOS!$D$3,"DIPLOMADO EN ATENCION PRE-HOSPITALARIA",IF(O120=CURSOS!$D$4,"ACOMPAÑAMIENTO Y MANEJO DEL DUELO",IF(O120=CURSOS!$D$5,"ATENCION A VICTIMAS DE ATAQUE CON AGENTES QUIMICOS ",IF(O120=CURSOS!$D$6,"PRIMEROS AUXILIOS ",IF(O120=CURSOS!$D$7,"DIPLOMADO DE UNIDAD DE CUIDADOS INTENSIVOS (UCI)",IF(O120=CURSOS!$D$8,"MODELO DE ATENCION PARA EVENTOS EMERGENTES EN SALUD MENTAL (CODIGO VERDE)",IF(O120=CURSOS!$D$9,"HUMANIZACION EN EL SERVICIO DE LA SALUD Y BUENAS PRACTICAS EN PACIENTE ",IF(O120=CURSOS!$D$10,"CLINICA DE HERIDAS ",IF(O120=CURSOS!$D$11,"TOMA DE CITOLOGIA CERVICO VAGINAL ",IF(O120=CURSOS!$D$12,"SOPORTE CARDIOVASCULAR AVANZADO (ACLS) ",IF(O120=CURSOS!$D$13,"CAMILLERO ",IF(O120=CURSOS!$D$14,"TOMA DE MUESTRAS Y LABORATORIO ",IF(O120=CURSOS!$D$15,"SOPORTE VITAL BASICO (BLS)",IF(O120=CURSOS!$D$16,"ATENCION A VICTIMAS DE VIOLENCIA SEXUAL ",IF(O120=CURSOS!$D$17,"PROGRAMADO AMPLIADO DE INMUNIZACION (PAI - COVID 19)",IF(O120=CURSOS!$D$18,"ATENCION INTEGRAL EN ENFERMEDADES PREVALENTES EN PRIMERA INFANCIA (AIEPI)",IF(O120=CURSOS!$D$19,"ADMINISTRACION DE MEDICAMENTOS, INYECTOLOGIA  Y CANALIZACION ",IF(O120=CURSOS!$D$20,"OPERADOR DE VEHICULOS DE EMERGENCIA (OVE)",IF(O120=CURSOS!$D$21,"INSTITUCIONES AMIGAS DE LA MUJER Y LA INFANCIA (IAMI)",IF(O120=CURSOS!$D$22,"CUIDADO DEL DONANTE DE ORGANOS",IF(O120=CURSOS!$D$23,"ATENCION A VICTIMAS POR VIOLENCIA DE GENERO",IF(O120=CURSOS!$D$24,"IGUALDAD DE GENERO EN LA SALUD",IF(O120=CURSOS!$D$25,"BRIGADA DE EMERGENCIA",IF(O120=CURSOS!$D$26,"MANEJO DEL DOLOR Y CUIDADOS PALIATIVOS",IF(O120=CURSOS!$D$27,"TOMA DE MUESTRAS Y LABORATORIO POCT",IF(O120=CURSOS!$D$28,"IMPLANTE SUBDERMICO DE DISPOSITIVO INTRAUTERINO",IF(O120=CURSOS!$D$29,"SALUD MENTAL",IF(O120=CURSOS!$D$30,"PRIMEROS AUXILIOS PSICOLOGICOS",IF(O120=CURSOS!$D$31,"ATENCION A VICTIMAS POR CONFLICTO ARMADO",IF(O120=CURSOS!$D$32,"MANIPULACION DE ALIMENTOS Y BPM",IF(O120=CURSOS!$D$33,"ATENCION A PERSONAS CON DISCAPACIDAD",IF(O120=CURSOS!$D$34,"CUIDADO INTEGRAL DEL PACIENTE ADULTO",IF(O120=CURSOS!$D$35,"MANEJO DEFENSIVO",IF(O120=CURSOS!$D$36,"SOPORTE CARDIOVASCULAR AVANZADO NEONATAL",IF(O120=CURSOS!$D$37,"SEGURIDAD DEL PACIENTE",IF(O120=CURSOS!$D$38,"MANEJO DE RESIDUOS HOSPITALARIOS"))))))))))))))))))))))))))))))))))))</f>
        <v>0</v>
      </c>
      <c r="V120" s="46" t="str">
        <f t="shared" si="3"/>
        <v xml:space="preserve">   </v>
      </c>
      <c r="W120" s="46" t="str">
        <f t="shared" si="4"/>
        <v xml:space="preserve">   </v>
      </c>
      <c r="X120" s="46" t="str">
        <f t="shared" si="5"/>
        <v xml:space="preserve">   --</v>
      </c>
    </row>
    <row r="121" spans="1:24" x14ac:dyDescent="0.2">
      <c r="A121" s="73">
        <v>120</v>
      </c>
      <c r="C121" s="40"/>
      <c r="D121" s="40"/>
      <c r="E121" s="40"/>
      <c r="F121" s="40"/>
      <c r="G121" s="40"/>
      <c r="I121" s="50"/>
      <c r="J121" s="51"/>
      <c r="L121" s="40"/>
      <c r="P121" s="44"/>
      <c r="Q121" s="40"/>
      <c r="S121" s="48"/>
      <c r="T121" s="39"/>
      <c r="U121" s="46" t="b">
        <f>IF(O121=CURSOS!$D$3,"DIPLOMADO EN ATENCION PRE-HOSPITALARIA",IF(O121=CURSOS!$D$4,"ACOMPAÑAMIENTO Y MANEJO DEL DUELO",IF(O121=CURSOS!$D$5,"ATENCION A VICTIMAS DE ATAQUE CON AGENTES QUIMICOS ",IF(O121=CURSOS!$D$6,"PRIMEROS AUXILIOS ",IF(O121=CURSOS!$D$7,"DIPLOMADO DE UNIDAD DE CUIDADOS INTENSIVOS (UCI)",IF(O121=CURSOS!$D$8,"MODELO DE ATENCION PARA EVENTOS EMERGENTES EN SALUD MENTAL (CODIGO VERDE)",IF(O121=CURSOS!$D$9,"HUMANIZACION EN EL SERVICIO DE LA SALUD Y BUENAS PRACTICAS EN PACIENTE ",IF(O121=CURSOS!$D$10,"CLINICA DE HERIDAS ",IF(O121=CURSOS!$D$11,"TOMA DE CITOLOGIA CERVICO VAGINAL ",IF(O121=CURSOS!$D$12,"SOPORTE CARDIOVASCULAR AVANZADO (ACLS) ",IF(O121=CURSOS!$D$13,"CAMILLERO ",IF(O121=CURSOS!$D$14,"TOMA DE MUESTRAS Y LABORATORIO ",IF(O121=CURSOS!$D$15,"SOPORTE VITAL BASICO (BLS)",IF(O121=CURSOS!$D$16,"ATENCION A VICTIMAS DE VIOLENCIA SEXUAL ",IF(O121=CURSOS!$D$17,"PROGRAMADO AMPLIADO DE INMUNIZACION (PAI - COVID 19)",IF(O121=CURSOS!$D$18,"ATENCION INTEGRAL EN ENFERMEDADES PREVALENTES EN PRIMERA INFANCIA (AIEPI)",IF(O121=CURSOS!$D$19,"ADMINISTRACION DE MEDICAMENTOS, INYECTOLOGIA  Y CANALIZACION ",IF(O121=CURSOS!$D$20,"OPERADOR DE VEHICULOS DE EMERGENCIA (OVE)",IF(O121=CURSOS!$D$21,"INSTITUCIONES AMIGAS DE LA MUJER Y LA INFANCIA (IAMI)",IF(O121=CURSOS!$D$22,"CUIDADO DEL DONANTE DE ORGANOS",IF(O121=CURSOS!$D$23,"ATENCION A VICTIMAS POR VIOLENCIA DE GENERO",IF(O121=CURSOS!$D$24,"IGUALDAD DE GENERO EN LA SALUD",IF(O121=CURSOS!$D$25,"BRIGADA DE EMERGENCIA",IF(O121=CURSOS!$D$26,"MANEJO DEL DOLOR Y CUIDADOS PALIATIVOS",IF(O121=CURSOS!$D$27,"TOMA DE MUESTRAS Y LABORATORIO POCT",IF(O121=CURSOS!$D$28,"IMPLANTE SUBDERMICO DE DISPOSITIVO INTRAUTERINO",IF(O121=CURSOS!$D$29,"SALUD MENTAL",IF(O121=CURSOS!$D$30,"PRIMEROS AUXILIOS PSICOLOGICOS",IF(O121=CURSOS!$D$31,"ATENCION A VICTIMAS POR CONFLICTO ARMADO",IF(O121=CURSOS!$D$32,"MANIPULACION DE ALIMENTOS Y BPM",IF(O121=CURSOS!$D$33,"ATENCION A PERSONAS CON DISCAPACIDAD",IF(O121=CURSOS!$D$34,"CUIDADO INTEGRAL DEL PACIENTE ADULTO",IF(O121=CURSOS!$D$35,"MANEJO DEFENSIVO",IF(O121=CURSOS!$D$36,"SOPORTE CARDIOVASCULAR AVANZADO NEONATAL",IF(O121=CURSOS!$D$37,"SEGURIDAD DEL PACIENTE",IF(O121=CURSOS!$D$38,"MANEJO DE RESIDUOS HOSPITALARIOS"))))))))))))))))))))))))))))))))))))</f>
        <v>0</v>
      </c>
      <c r="V121" s="46" t="str">
        <f t="shared" si="3"/>
        <v xml:space="preserve">   </v>
      </c>
      <c r="W121" s="46" t="str">
        <f t="shared" si="4"/>
        <v xml:space="preserve">   </v>
      </c>
      <c r="X121" s="46" t="str">
        <f t="shared" si="5"/>
        <v xml:space="preserve">   --</v>
      </c>
    </row>
    <row r="122" spans="1:24" x14ac:dyDescent="0.2">
      <c r="A122" s="73">
        <v>121</v>
      </c>
      <c r="C122" s="40"/>
      <c r="D122" s="40"/>
      <c r="E122" s="40"/>
      <c r="F122" s="40"/>
      <c r="G122" s="40"/>
      <c r="I122" s="50"/>
      <c r="L122" s="40"/>
      <c r="N122" s="40"/>
      <c r="O122" s="40"/>
      <c r="P122" s="44"/>
      <c r="Q122" s="40"/>
      <c r="R122" s="40"/>
      <c r="S122" s="40"/>
      <c r="T122" s="39"/>
      <c r="U122" s="46" t="b">
        <f>IF(O122=CURSOS!$D$3,"DIPLOMADO EN ATENCION PRE-HOSPITALARIA",IF(O122=CURSOS!$D$4,"ACOMPAÑAMIENTO Y MANEJO DEL DUELO",IF(O122=CURSOS!$D$5,"ATENCION A VICTIMAS DE ATAQUE CON AGENTES QUIMICOS ",IF(O122=CURSOS!$D$6,"PRIMEROS AUXILIOS ",IF(O122=CURSOS!$D$7,"DIPLOMADO DE UNIDAD DE CUIDADOS INTENSIVOS (UCI)",IF(O122=CURSOS!$D$8,"MODELO DE ATENCION PARA EVENTOS EMERGENTES EN SALUD MENTAL (CODIGO VERDE)",IF(O122=CURSOS!$D$9,"HUMANIZACION EN EL SERVICIO DE LA SALUD Y BUENAS PRACTICAS EN PACIENTE ",IF(O122=CURSOS!$D$10,"CLINICA DE HERIDAS ",IF(O122=CURSOS!$D$11,"TOMA DE CITOLOGIA CERVICO VAGINAL ",IF(O122=CURSOS!$D$12,"SOPORTE CARDIOVASCULAR AVANZADO (ACLS) ",IF(O122=CURSOS!$D$13,"CAMILLERO ",IF(O122=CURSOS!$D$14,"TOMA DE MUESTRAS Y LABORATORIO ",IF(O122=CURSOS!$D$15,"SOPORTE VITAL BASICO (BLS)",IF(O122=CURSOS!$D$16,"ATENCION A VICTIMAS DE VIOLENCIA SEXUAL ",IF(O122=CURSOS!$D$17,"PROGRAMADO AMPLIADO DE INMUNIZACION (PAI - COVID 19)",IF(O122=CURSOS!$D$18,"ATENCION INTEGRAL EN ENFERMEDADES PREVALENTES EN PRIMERA INFANCIA (AIEPI)",IF(O122=CURSOS!$D$19,"ADMINISTRACION DE MEDICAMENTOS, INYECTOLOGIA  Y CANALIZACION ",IF(O122=CURSOS!$D$20,"OPERADOR DE VEHICULOS DE EMERGENCIA (OVE)",IF(O122=CURSOS!$D$21,"INSTITUCIONES AMIGAS DE LA MUJER Y LA INFANCIA (IAMI)",IF(O122=CURSOS!$D$22,"CUIDADO DEL DONANTE DE ORGANOS",IF(O122=CURSOS!$D$23,"ATENCION A VICTIMAS POR VIOLENCIA DE GENERO",IF(O122=CURSOS!$D$24,"IGUALDAD DE GENERO EN LA SALUD",IF(O122=CURSOS!$D$25,"BRIGADA DE EMERGENCIA",IF(O122=CURSOS!$D$26,"MANEJO DEL DOLOR Y CUIDADOS PALIATIVOS",IF(O122=CURSOS!$D$27,"TOMA DE MUESTRAS Y LABORATORIO POCT",IF(O122=CURSOS!$D$28,"IMPLANTE SUBDERMICO DE DISPOSITIVO INTRAUTERINO",IF(O122=CURSOS!$D$29,"SALUD MENTAL",IF(O122=CURSOS!$D$30,"PRIMEROS AUXILIOS PSICOLOGICOS",IF(O122=CURSOS!$D$31,"ATENCION A VICTIMAS POR CONFLICTO ARMADO",IF(O122=CURSOS!$D$32,"MANIPULACION DE ALIMENTOS Y BPM",IF(O122=CURSOS!$D$33,"ATENCION A PERSONAS CON DISCAPACIDAD",IF(O122=CURSOS!$D$34,"CUIDADO INTEGRAL DEL PACIENTE ADULTO",IF(O122=CURSOS!$D$35,"MANEJO DEFENSIVO",IF(O122=CURSOS!$D$36,"SOPORTE CARDIOVASCULAR AVANZADO NEONATAL",IF(O122=CURSOS!$D$37,"SEGURIDAD DEL PACIENTE",IF(O122=CURSOS!$D$38,"MANEJO DE RESIDUOS HOSPITALARIOS"))))))))))))))))))))))))))))))))))))</f>
        <v>0</v>
      </c>
      <c r="V122" s="46" t="str">
        <f t="shared" si="3"/>
        <v xml:space="preserve">   </v>
      </c>
      <c r="W122" s="46" t="str">
        <f t="shared" si="4"/>
        <v xml:space="preserve">   </v>
      </c>
      <c r="X122" s="46" t="str">
        <f t="shared" si="5"/>
        <v xml:space="preserve">   --</v>
      </c>
    </row>
    <row r="123" spans="1:24" x14ac:dyDescent="0.2">
      <c r="A123" s="73">
        <v>122</v>
      </c>
      <c r="C123" s="40"/>
      <c r="D123" s="40"/>
      <c r="E123" s="40"/>
      <c r="F123" s="40"/>
      <c r="G123" s="40"/>
      <c r="I123" s="50"/>
      <c r="L123" s="40"/>
      <c r="N123" s="40"/>
      <c r="O123" s="40"/>
      <c r="P123" s="44"/>
      <c r="Q123" s="40"/>
      <c r="R123" s="87"/>
      <c r="S123" s="40"/>
      <c r="T123" s="88"/>
      <c r="U123" s="46" t="b">
        <f>IF(O123=CURSOS!$D$3,"DIPLOMADO EN ATENCION PRE-HOSPITALARIA",IF(O123=CURSOS!$D$4,"ACOMPAÑAMIENTO Y MANEJO DEL DUELO",IF(O123=CURSOS!$D$5,"ATENCION A VICTIMAS DE ATAQUE CON AGENTES QUIMICOS ",IF(O123=CURSOS!$D$6,"PRIMEROS AUXILIOS ",IF(O123=CURSOS!$D$7,"DIPLOMADO DE UNIDAD DE CUIDADOS INTENSIVOS (UCI)",IF(O123=CURSOS!$D$8,"MODELO DE ATENCION PARA EVENTOS EMERGENTES EN SALUD MENTAL (CODIGO VERDE)",IF(O123=CURSOS!$D$9,"HUMANIZACION EN EL SERVICIO DE LA SALUD Y BUENAS PRACTICAS EN PACIENTE ",IF(O123=CURSOS!$D$10,"CLINICA DE HERIDAS ",IF(O123=CURSOS!$D$11,"TOMA DE CITOLOGIA CERVICO VAGINAL ",IF(O123=CURSOS!$D$12,"SOPORTE CARDIOVASCULAR AVANZADO (ACLS) ",IF(O123=CURSOS!$D$13,"CAMILLERO ",IF(O123=CURSOS!$D$14,"TOMA DE MUESTRAS Y LABORATORIO ",IF(O123=CURSOS!$D$15,"SOPORTE VITAL BASICO (BLS)",IF(O123=CURSOS!$D$16,"ATENCION A VICTIMAS DE VIOLENCIA SEXUAL ",IF(O123=CURSOS!$D$17,"PROGRAMADO AMPLIADO DE INMUNIZACION (PAI - COVID 19)",IF(O123=CURSOS!$D$18,"ATENCION INTEGRAL EN ENFERMEDADES PREVALENTES EN PRIMERA INFANCIA (AIEPI)",IF(O123=CURSOS!$D$19,"ADMINISTRACION DE MEDICAMENTOS, INYECTOLOGIA  Y CANALIZACION ",IF(O123=CURSOS!$D$20,"OPERADOR DE VEHICULOS DE EMERGENCIA (OVE)",IF(O123=CURSOS!$D$21,"INSTITUCIONES AMIGAS DE LA MUJER Y LA INFANCIA (IAMI)",IF(O123=CURSOS!$D$22,"CUIDADO DEL DONANTE DE ORGANOS",IF(O123=CURSOS!$D$23,"ATENCION A VICTIMAS POR VIOLENCIA DE GENERO",IF(O123=CURSOS!$D$24,"IGUALDAD DE GENERO EN LA SALUD",IF(O123=CURSOS!$D$25,"BRIGADA DE EMERGENCIA",IF(O123=CURSOS!$D$26,"MANEJO DEL DOLOR Y CUIDADOS PALIATIVOS",IF(O123=CURSOS!$D$27,"TOMA DE MUESTRAS Y LABORATORIO POCT",IF(O123=CURSOS!$D$28,"IMPLANTE SUBDERMICO DE DISPOSITIVO INTRAUTERINO",IF(O123=CURSOS!$D$29,"SALUD MENTAL",IF(O123=CURSOS!$D$30,"PRIMEROS AUXILIOS PSICOLOGICOS",IF(O123=CURSOS!$D$31,"ATENCION A VICTIMAS POR CONFLICTO ARMADO",IF(O123=CURSOS!$D$32,"MANIPULACION DE ALIMENTOS Y BPM",IF(O123=CURSOS!$D$33,"ATENCION A PERSONAS CON DISCAPACIDAD",IF(O123=CURSOS!$D$34,"CUIDADO INTEGRAL DEL PACIENTE ADULTO",IF(O123=CURSOS!$D$35,"MANEJO DEFENSIVO",IF(O123=CURSOS!$D$36,"SOPORTE CARDIOVASCULAR AVANZADO NEONATAL",IF(O123=CURSOS!$D$37,"SEGURIDAD DEL PACIENTE",IF(O123=CURSOS!$D$38,"MANEJO DE RESIDUOS HOSPITALARIOS"))))))))))))))))))))))))))))))))))))</f>
        <v>0</v>
      </c>
      <c r="V123" s="46" t="str">
        <f t="shared" si="3"/>
        <v xml:space="preserve">   </v>
      </c>
      <c r="W123" s="46" t="str">
        <f t="shared" si="4"/>
        <v xml:space="preserve">   </v>
      </c>
      <c r="X123" s="46" t="str">
        <f t="shared" si="5"/>
        <v xml:space="preserve">   --</v>
      </c>
    </row>
    <row r="124" spans="1:24" x14ac:dyDescent="0.2">
      <c r="A124" s="73">
        <v>123</v>
      </c>
      <c r="C124" s="40"/>
      <c r="D124" s="40"/>
      <c r="E124" s="40"/>
      <c r="F124" s="40"/>
      <c r="G124" s="40"/>
      <c r="I124" s="50"/>
      <c r="L124" s="40"/>
      <c r="N124" s="40"/>
      <c r="O124" s="40"/>
      <c r="P124" s="44"/>
      <c r="Q124" s="40"/>
      <c r="R124" s="87"/>
      <c r="S124" s="40"/>
      <c r="T124" s="88"/>
      <c r="U124" s="46" t="b">
        <f>IF(O124=CURSOS!$D$3,"DIPLOMADO EN ATENCION PRE-HOSPITALARIA",IF(O124=CURSOS!$D$4,"ACOMPAÑAMIENTO Y MANEJO DEL DUELO",IF(O124=CURSOS!$D$5,"ATENCION A VICTIMAS DE ATAQUE CON AGENTES QUIMICOS ",IF(O124=CURSOS!$D$6,"PRIMEROS AUXILIOS ",IF(O124=CURSOS!$D$7,"DIPLOMADO DE UNIDAD DE CUIDADOS INTENSIVOS (UCI)",IF(O124=CURSOS!$D$8,"MODELO DE ATENCION PARA EVENTOS EMERGENTES EN SALUD MENTAL (CODIGO VERDE)",IF(O124=CURSOS!$D$9,"HUMANIZACION EN EL SERVICIO DE LA SALUD Y BUENAS PRACTICAS EN PACIENTE ",IF(O124=CURSOS!$D$10,"CLINICA DE HERIDAS ",IF(O124=CURSOS!$D$11,"TOMA DE CITOLOGIA CERVICO VAGINAL ",IF(O124=CURSOS!$D$12,"SOPORTE CARDIOVASCULAR AVANZADO (ACLS) ",IF(O124=CURSOS!$D$13,"CAMILLERO ",IF(O124=CURSOS!$D$14,"TOMA DE MUESTRAS Y LABORATORIO ",IF(O124=CURSOS!$D$15,"SOPORTE VITAL BASICO (BLS)",IF(O124=CURSOS!$D$16,"ATENCION A VICTIMAS DE VIOLENCIA SEXUAL ",IF(O124=CURSOS!$D$17,"PROGRAMADO AMPLIADO DE INMUNIZACION (PAI - COVID 19)",IF(O124=CURSOS!$D$18,"ATENCION INTEGRAL EN ENFERMEDADES PREVALENTES EN PRIMERA INFANCIA (AIEPI)",IF(O124=CURSOS!$D$19,"ADMINISTRACION DE MEDICAMENTOS, INYECTOLOGIA  Y CANALIZACION ",IF(O124=CURSOS!$D$20,"OPERADOR DE VEHICULOS DE EMERGENCIA (OVE)",IF(O124=CURSOS!$D$21,"INSTITUCIONES AMIGAS DE LA MUJER Y LA INFANCIA (IAMI)",IF(O124=CURSOS!$D$22,"CUIDADO DEL DONANTE DE ORGANOS",IF(O124=CURSOS!$D$23,"ATENCION A VICTIMAS POR VIOLENCIA DE GENERO",IF(O124=CURSOS!$D$24,"IGUALDAD DE GENERO EN LA SALUD",IF(O124=CURSOS!$D$25,"BRIGADA DE EMERGENCIA",IF(O124=CURSOS!$D$26,"MANEJO DEL DOLOR Y CUIDADOS PALIATIVOS",IF(O124=CURSOS!$D$27,"TOMA DE MUESTRAS Y LABORATORIO POCT",IF(O124=CURSOS!$D$28,"IMPLANTE SUBDERMICO DE DISPOSITIVO INTRAUTERINO",IF(O124=CURSOS!$D$29,"SALUD MENTAL",IF(O124=CURSOS!$D$30,"PRIMEROS AUXILIOS PSICOLOGICOS",IF(O124=CURSOS!$D$31,"ATENCION A VICTIMAS POR CONFLICTO ARMADO",IF(O124=CURSOS!$D$32,"MANIPULACION DE ALIMENTOS Y BPM",IF(O124=CURSOS!$D$33,"ATENCION A PERSONAS CON DISCAPACIDAD",IF(O124=CURSOS!$D$34,"CUIDADO INTEGRAL DEL PACIENTE ADULTO",IF(O124=CURSOS!$D$35,"MANEJO DEFENSIVO",IF(O124=CURSOS!$D$36,"SOPORTE CARDIOVASCULAR AVANZADO NEONATAL",IF(O124=CURSOS!$D$37,"SEGURIDAD DEL PACIENTE",IF(O124=CURSOS!$D$38,"MANEJO DE RESIDUOS HOSPITALARIOS"))))))))))))))))))))))))))))))))))))</f>
        <v>0</v>
      </c>
      <c r="V124" s="46" t="str">
        <f t="shared" si="3"/>
        <v xml:space="preserve">   </v>
      </c>
      <c r="W124" s="46" t="str">
        <f t="shared" si="4"/>
        <v xml:space="preserve">   </v>
      </c>
      <c r="X124" s="46" t="str">
        <f t="shared" si="5"/>
        <v xml:space="preserve">   --</v>
      </c>
    </row>
    <row r="125" spans="1:24" x14ac:dyDescent="0.2">
      <c r="A125" s="73">
        <v>124</v>
      </c>
      <c r="C125" s="40"/>
      <c r="D125" s="40"/>
      <c r="E125" s="40"/>
      <c r="F125" s="40"/>
      <c r="G125" s="40"/>
      <c r="I125" s="50"/>
      <c r="L125" s="40"/>
      <c r="P125" s="44"/>
      <c r="Q125" s="40"/>
      <c r="R125" s="87"/>
      <c r="S125" s="40"/>
      <c r="T125" s="88"/>
      <c r="U125" s="46" t="b">
        <f>IF(O125=CURSOS!$D$3,"DIPLOMADO EN ATENCION PRE-HOSPITALARIA",IF(O125=CURSOS!$D$4,"ACOMPAÑAMIENTO Y MANEJO DEL DUELO",IF(O125=CURSOS!$D$5,"ATENCION A VICTIMAS DE ATAQUE CON AGENTES QUIMICOS ",IF(O125=CURSOS!$D$6,"PRIMEROS AUXILIOS ",IF(O125=CURSOS!$D$7,"DIPLOMADO DE UNIDAD DE CUIDADOS INTENSIVOS (UCI)",IF(O125=CURSOS!$D$8,"MODELO DE ATENCION PARA EVENTOS EMERGENTES EN SALUD MENTAL (CODIGO VERDE)",IF(O125=CURSOS!$D$9,"HUMANIZACION EN EL SERVICIO DE LA SALUD Y BUENAS PRACTICAS EN PACIENTE ",IF(O125=CURSOS!$D$10,"CLINICA DE HERIDAS ",IF(O125=CURSOS!$D$11,"TOMA DE CITOLOGIA CERVICO VAGINAL ",IF(O125=CURSOS!$D$12,"SOPORTE CARDIOVASCULAR AVANZADO (ACLS) ",IF(O125=CURSOS!$D$13,"CAMILLERO ",IF(O125=CURSOS!$D$14,"TOMA DE MUESTRAS Y LABORATORIO ",IF(O125=CURSOS!$D$15,"SOPORTE VITAL BASICO (BLS)",IF(O125=CURSOS!$D$16,"ATENCION A VICTIMAS DE VIOLENCIA SEXUAL ",IF(O125=CURSOS!$D$17,"PROGRAMADO AMPLIADO DE INMUNIZACION (PAI - COVID 19)",IF(O125=CURSOS!$D$18,"ATENCION INTEGRAL EN ENFERMEDADES PREVALENTES EN PRIMERA INFANCIA (AIEPI)",IF(O125=CURSOS!$D$19,"ADMINISTRACION DE MEDICAMENTOS, INYECTOLOGIA  Y CANALIZACION ",IF(O125=CURSOS!$D$20,"OPERADOR DE VEHICULOS DE EMERGENCIA (OVE)",IF(O125=CURSOS!$D$21,"INSTITUCIONES AMIGAS DE LA MUJER Y LA INFANCIA (IAMI)",IF(O125=CURSOS!$D$22,"CUIDADO DEL DONANTE DE ORGANOS",IF(O125=CURSOS!$D$23,"ATENCION A VICTIMAS POR VIOLENCIA DE GENERO",IF(O125=CURSOS!$D$24,"IGUALDAD DE GENERO EN LA SALUD",IF(O125=CURSOS!$D$25,"BRIGADA DE EMERGENCIA",IF(O125=CURSOS!$D$26,"MANEJO DEL DOLOR Y CUIDADOS PALIATIVOS",IF(O125=CURSOS!$D$27,"TOMA DE MUESTRAS Y LABORATORIO POCT",IF(O125=CURSOS!$D$28,"IMPLANTE SUBDERMICO DE DISPOSITIVO INTRAUTERINO",IF(O125=CURSOS!$D$29,"SALUD MENTAL",IF(O125=CURSOS!$D$30,"PRIMEROS AUXILIOS PSICOLOGICOS",IF(O125=CURSOS!$D$31,"ATENCION A VICTIMAS POR CONFLICTO ARMADO",IF(O125=CURSOS!$D$32,"MANIPULACION DE ALIMENTOS Y BPM",IF(O125=CURSOS!$D$33,"ATENCION A PERSONAS CON DISCAPACIDAD",IF(O125=CURSOS!$D$34,"CUIDADO INTEGRAL DEL PACIENTE ADULTO",IF(O125=CURSOS!$D$35,"MANEJO DEFENSIVO",IF(O125=CURSOS!$D$36,"SOPORTE CARDIOVASCULAR AVANZADO NEONATAL",IF(O125=CURSOS!$D$37,"SEGURIDAD DEL PACIENTE",IF(O125=CURSOS!$D$38,"MANEJO DE RESIDUOS HOSPITALARIOS"))))))))))))))))))))))))))))))))))))</f>
        <v>0</v>
      </c>
      <c r="V125" s="46" t="str">
        <f t="shared" si="3"/>
        <v xml:space="preserve">   </v>
      </c>
      <c r="W125" s="46" t="str">
        <f t="shared" si="4"/>
        <v xml:space="preserve">   </v>
      </c>
      <c r="X125" s="46" t="str">
        <f t="shared" si="5"/>
        <v xml:space="preserve">   --</v>
      </c>
    </row>
    <row r="126" spans="1:24" x14ac:dyDescent="0.2">
      <c r="A126" s="73">
        <v>125</v>
      </c>
      <c r="C126" s="40"/>
      <c r="D126" s="40"/>
      <c r="E126" s="40"/>
      <c r="F126" s="40"/>
      <c r="G126" s="40"/>
      <c r="I126" s="50"/>
      <c r="L126" s="40"/>
      <c r="P126" s="44"/>
      <c r="Q126" s="40"/>
      <c r="T126" s="39"/>
      <c r="U126" s="46" t="b">
        <f>IF(O126=CURSOS!$D$3,"DIPLOMADO EN ATENCION PRE-HOSPITALARIA",IF(O126=CURSOS!$D$4,"ACOMPAÑAMIENTO Y MANEJO DEL DUELO",IF(O126=CURSOS!$D$5,"ATENCION A VICTIMAS DE ATAQUE CON AGENTES QUIMICOS ",IF(O126=CURSOS!$D$6,"PRIMEROS AUXILIOS ",IF(O126=CURSOS!$D$7,"DIPLOMADO DE UNIDAD DE CUIDADOS INTENSIVOS (UCI)",IF(O126=CURSOS!$D$8,"MODELO DE ATENCION PARA EVENTOS EMERGENTES EN SALUD MENTAL (CODIGO VERDE)",IF(O126=CURSOS!$D$9,"HUMANIZACION EN EL SERVICIO DE LA SALUD Y BUENAS PRACTICAS EN PACIENTE ",IF(O126=CURSOS!$D$10,"CLINICA DE HERIDAS ",IF(O126=CURSOS!$D$11,"TOMA DE CITOLOGIA CERVICO VAGINAL ",IF(O126=CURSOS!$D$12,"SOPORTE CARDIOVASCULAR AVANZADO (ACLS) ",IF(O126=CURSOS!$D$13,"CAMILLERO ",IF(O126=CURSOS!$D$14,"TOMA DE MUESTRAS Y LABORATORIO ",IF(O126=CURSOS!$D$15,"SOPORTE VITAL BASICO (BLS)",IF(O126=CURSOS!$D$16,"ATENCION A VICTIMAS DE VIOLENCIA SEXUAL ",IF(O126=CURSOS!$D$17,"PROGRAMADO AMPLIADO DE INMUNIZACION (PAI - COVID 19)",IF(O126=CURSOS!$D$18,"ATENCION INTEGRAL EN ENFERMEDADES PREVALENTES EN PRIMERA INFANCIA (AIEPI)",IF(O126=CURSOS!$D$19,"ADMINISTRACION DE MEDICAMENTOS, INYECTOLOGIA  Y CANALIZACION ",IF(O126=CURSOS!$D$20,"OPERADOR DE VEHICULOS DE EMERGENCIA (OVE)",IF(O126=CURSOS!$D$21,"INSTITUCIONES AMIGAS DE LA MUJER Y LA INFANCIA (IAMI)",IF(O126=CURSOS!$D$22,"CUIDADO DEL DONANTE DE ORGANOS",IF(O126=CURSOS!$D$23,"ATENCION A VICTIMAS POR VIOLENCIA DE GENERO",IF(O126=CURSOS!$D$24,"IGUALDAD DE GENERO EN LA SALUD",IF(O126=CURSOS!$D$25,"BRIGADA DE EMERGENCIA",IF(O126=CURSOS!$D$26,"MANEJO DEL DOLOR Y CUIDADOS PALIATIVOS",IF(O126=CURSOS!$D$27,"TOMA DE MUESTRAS Y LABORATORIO POCT",IF(O126=CURSOS!$D$28,"IMPLANTE SUBDERMICO DE DISPOSITIVO INTRAUTERINO",IF(O126=CURSOS!$D$29,"SALUD MENTAL",IF(O126=CURSOS!$D$30,"PRIMEROS AUXILIOS PSICOLOGICOS",IF(O126=CURSOS!$D$31,"ATENCION A VICTIMAS POR CONFLICTO ARMADO",IF(O126=CURSOS!$D$32,"MANIPULACION DE ALIMENTOS Y BPM",IF(O126=CURSOS!$D$33,"ATENCION A PERSONAS CON DISCAPACIDAD",IF(O126=CURSOS!$D$34,"CUIDADO INTEGRAL DEL PACIENTE ADULTO",IF(O126=CURSOS!$D$35,"MANEJO DEFENSIVO",IF(O126=CURSOS!$D$36,"SOPORTE CARDIOVASCULAR AVANZADO NEONATAL",IF(O126=CURSOS!$D$37,"SEGURIDAD DEL PACIENTE",IF(O126=CURSOS!$D$38,"MANEJO DE RESIDUOS HOSPITALARIOS"))))))))))))))))))))))))))))))))))))</f>
        <v>0</v>
      </c>
      <c r="V126" s="46" t="str">
        <f t="shared" si="3"/>
        <v xml:space="preserve">   </v>
      </c>
      <c r="W126" s="46" t="str">
        <f t="shared" si="4"/>
        <v xml:space="preserve">   </v>
      </c>
      <c r="X126" s="46" t="str">
        <f t="shared" si="5"/>
        <v xml:space="preserve">   --</v>
      </c>
    </row>
    <row r="127" spans="1:24" x14ac:dyDescent="0.2">
      <c r="A127" s="73">
        <v>126</v>
      </c>
      <c r="C127" s="40"/>
      <c r="D127" s="40"/>
      <c r="E127" s="40"/>
      <c r="F127" s="40"/>
      <c r="G127" s="40"/>
      <c r="I127" s="50"/>
      <c r="K127" s="47"/>
      <c r="P127" s="44"/>
      <c r="Q127" s="40"/>
      <c r="T127" s="88"/>
      <c r="U127" s="46" t="b">
        <f>IF(O127=CURSOS!$D$3,"DIPLOMADO EN ATENCION PRE-HOSPITALARIA",IF(O127=CURSOS!$D$4,"ACOMPAÑAMIENTO Y MANEJO DEL DUELO",IF(O127=CURSOS!$D$5,"ATENCION A VICTIMAS DE ATAQUE CON AGENTES QUIMICOS ",IF(O127=CURSOS!$D$6,"PRIMEROS AUXILIOS ",IF(O127=CURSOS!$D$7,"DIPLOMADO DE UNIDAD DE CUIDADOS INTENSIVOS (UCI)",IF(O127=CURSOS!$D$8,"MODELO DE ATENCION PARA EVENTOS EMERGENTES EN SALUD MENTAL (CODIGO VERDE)",IF(O127=CURSOS!$D$9,"HUMANIZACION EN EL SERVICIO DE LA SALUD Y BUENAS PRACTICAS EN PACIENTE ",IF(O127=CURSOS!$D$10,"CLINICA DE HERIDAS ",IF(O127=CURSOS!$D$11,"TOMA DE CITOLOGIA CERVICO VAGINAL ",IF(O127=CURSOS!$D$12,"SOPORTE CARDIOVASCULAR AVANZADO (ACLS) ",IF(O127=CURSOS!$D$13,"CAMILLERO ",IF(O127=CURSOS!$D$14,"TOMA DE MUESTRAS Y LABORATORIO ",IF(O127=CURSOS!$D$15,"SOPORTE VITAL BASICO (BLS)",IF(O127=CURSOS!$D$16,"ATENCION A VICTIMAS DE VIOLENCIA SEXUAL ",IF(O127=CURSOS!$D$17,"PROGRAMADO AMPLIADO DE INMUNIZACION (PAI - COVID 19)",IF(O127=CURSOS!$D$18,"ATENCION INTEGRAL EN ENFERMEDADES PREVALENTES EN PRIMERA INFANCIA (AIEPI)",IF(O127=CURSOS!$D$19,"ADMINISTRACION DE MEDICAMENTOS, INYECTOLOGIA  Y CANALIZACION ",IF(O127=CURSOS!$D$20,"OPERADOR DE VEHICULOS DE EMERGENCIA (OVE)",IF(O127=CURSOS!$D$21,"INSTITUCIONES AMIGAS DE LA MUJER Y LA INFANCIA (IAMI)",IF(O127=CURSOS!$D$22,"CUIDADO DEL DONANTE DE ORGANOS",IF(O127=CURSOS!$D$23,"ATENCION A VICTIMAS POR VIOLENCIA DE GENERO",IF(O127=CURSOS!$D$24,"IGUALDAD DE GENERO EN LA SALUD",IF(O127=CURSOS!$D$25,"BRIGADA DE EMERGENCIA",IF(O127=CURSOS!$D$26,"MANEJO DEL DOLOR Y CUIDADOS PALIATIVOS",IF(O127=CURSOS!$D$27,"TOMA DE MUESTRAS Y LABORATORIO POCT",IF(O127=CURSOS!$D$28,"IMPLANTE SUBDERMICO DE DISPOSITIVO INTRAUTERINO",IF(O127=CURSOS!$D$29,"SALUD MENTAL",IF(O127=CURSOS!$D$30,"PRIMEROS AUXILIOS PSICOLOGICOS",IF(O127=CURSOS!$D$31,"ATENCION A VICTIMAS POR CONFLICTO ARMADO",IF(O127=CURSOS!$D$32,"MANIPULACION DE ALIMENTOS Y BPM",IF(O127=CURSOS!$D$33,"ATENCION A PERSONAS CON DISCAPACIDAD",IF(O127=CURSOS!$D$34,"CUIDADO INTEGRAL DEL PACIENTE ADULTO",IF(O127=CURSOS!$D$35,"MANEJO DEFENSIVO",IF(O127=CURSOS!$D$36,"SOPORTE CARDIOVASCULAR AVANZADO NEONATAL",IF(O127=CURSOS!$D$37,"SEGURIDAD DEL PACIENTE",IF(O127=CURSOS!$D$38,"MANEJO DE RESIDUOS HOSPITALARIOS"))))))))))))))))))))))))))))))))))))</f>
        <v>0</v>
      </c>
      <c r="V127" s="46" t="str">
        <f t="shared" si="3"/>
        <v xml:space="preserve">   </v>
      </c>
      <c r="W127" s="46" t="str">
        <f t="shared" si="4"/>
        <v xml:space="preserve">   </v>
      </c>
      <c r="X127" s="46" t="str">
        <f t="shared" si="5"/>
        <v xml:space="preserve">   --</v>
      </c>
    </row>
    <row r="128" spans="1:24" x14ac:dyDescent="0.2">
      <c r="A128" s="73">
        <v>127</v>
      </c>
      <c r="C128" s="40"/>
      <c r="D128" s="40"/>
      <c r="E128" s="40"/>
      <c r="F128" s="40"/>
      <c r="G128" s="40"/>
      <c r="I128" s="50"/>
      <c r="K128" s="47"/>
      <c r="P128" s="44"/>
      <c r="Q128" s="40"/>
      <c r="T128" s="39"/>
      <c r="U128" s="46" t="b">
        <f>IF(O128=CURSOS!$D$3,"DIPLOMADO EN ATENCION PRE-HOSPITALARIA",IF(O128=CURSOS!$D$4,"ACOMPAÑAMIENTO Y MANEJO DEL DUELO",IF(O128=CURSOS!$D$5,"ATENCION A VICTIMAS DE ATAQUE CON AGENTES QUIMICOS ",IF(O128=CURSOS!$D$6,"PRIMEROS AUXILIOS ",IF(O128=CURSOS!$D$7,"DIPLOMADO DE UNIDAD DE CUIDADOS INTENSIVOS (UCI)",IF(O128=CURSOS!$D$8,"MODELO DE ATENCION PARA EVENTOS EMERGENTES EN SALUD MENTAL (CODIGO VERDE)",IF(O128=CURSOS!$D$9,"HUMANIZACION EN EL SERVICIO DE LA SALUD Y BUENAS PRACTICAS EN PACIENTE ",IF(O128=CURSOS!$D$10,"CLINICA DE HERIDAS ",IF(O128=CURSOS!$D$11,"TOMA DE CITOLOGIA CERVICO VAGINAL ",IF(O128=CURSOS!$D$12,"SOPORTE CARDIOVASCULAR AVANZADO (ACLS) ",IF(O128=CURSOS!$D$13,"CAMILLERO ",IF(O128=CURSOS!$D$14,"TOMA DE MUESTRAS Y LABORATORIO ",IF(O128=CURSOS!$D$15,"SOPORTE VITAL BASICO (BLS)",IF(O128=CURSOS!$D$16,"ATENCION A VICTIMAS DE VIOLENCIA SEXUAL ",IF(O128=CURSOS!$D$17,"PROGRAMADO AMPLIADO DE INMUNIZACION (PAI - COVID 19)",IF(O128=CURSOS!$D$18,"ATENCION INTEGRAL EN ENFERMEDADES PREVALENTES EN PRIMERA INFANCIA (AIEPI)",IF(O128=CURSOS!$D$19,"ADMINISTRACION DE MEDICAMENTOS, INYECTOLOGIA  Y CANALIZACION ",IF(O128=CURSOS!$D$20,"OPERADOR DE VEHICULOS DE EMERGENCIA (OVE)",IF(O128=CURSOS!$D$21,"INSTITUCIONES AMIGAS DE LA MUJER Y LA INFANCIA (IAMI)",IF(O128=CURSOS!$D$22,"CUIDADO DEL DONANTE DE ORGANOS",IF(O128=CURSOS!$D$23,"ATENCION A VICTIMAS POR VIOLENCIA DE GENERO",IF(O128=CURSOS!$D$24,"IGUALDAD DE GENERO EN LA SALUD",IF(O128=CURSOS!$D$25,"BRIGADA DE EMERGENCIA",IF(O128=CURSOS!$D$26,"MANEJO DEL DOLOR Y CUIDADOS PALIATIVOS",IF(O128=CURSOS!$D$27,"TOMA DE MUESTRAS Y LABORATORIO POCT",IF(O128=CURSOS!$D$28,"IMPLANTE SUBDERMICO DE DISPOSITIVO INTRAUTERINO",IF(O128=CURSOS!$D$29,"SALUD MENTAL",IF(O128=CURSOS!$D$30,"PRIMEROS AUXILIOS PSICOLOGICOS",IF(O128=CURSOS!$D$31,"ATENCION A VICTIMAS POR CONFLICTO ARMADO",IF(O128=CURSOS!$D$32,"MANIPULACION DE ALIMENTOS Y BPM",IF(O128=CURSOS!$D$33,"ATENCION A PERSONAS CON DISCAPACIDAD",IF(O128=CURSOS!$D$34,"CUIDADO INTEGRAL DEL PACIENTE ADULTO",IF(O128=CURSOS!$D$35,"MANEJO DEFENSIVO",IF(O128=CURSOS!$D$36,"SOPORTE CARDIOVASCULAR AVANZADO NEONATAL",IF(O128=CURSOS!$D$37,"SEGURIDAD DEL PACIENTE",IF(O128=CURSOS!$D$38,"MANEJO DE RESIDUOS HOSPITALARIOS"))))))))))))))))))))))))))))))))))))</f>
        <v>0</v>
      </c>
      <c r="V128" s="46" t="str">
        <f t="shared" si="3"/>
        <v xml:space="preserve">   </v>
      </c>
      <c r="W128" s="46" t="str">
        <f t="shared" si="4"/>
        <v xml:space="preserve">   </v>
      </c>
      <c r="X128" s="46" t="str">
        <f t="shared" si="5"/>
        <v xml:space="preserve">   --</v>
      </c>
    </row>
    <row r="129" spans="1:24" x14ac:dyDescent="0.2">
      <c r="A129" s="73">
        <v>128</v>
      </c>
      <c r="C129" s="40"/>
      <c r="D129" s="40"/>
      <c r="E129" s="40"/>
      <c r="F129" s="40"/>
      <c r="G129" s="40"/>
      <c r="I129" s="50"/>
      <c r="K129" s="47"/>
      <c r="P129" s="44"/>
      <c r="Q129" s="40"/>
      <c r="T129" s="39"/>
      <c r="U129" s="46" t="b">
        <f>IF(O129=CURSOS!$D$3,"DIPLOMADO EN ATENCION PRE-HOSPITALARIA",IF(O129=CURSOS!$D$4,"ACOMPAÑAMIENTO Y MANEJO DEL DUELO",IF(O129=CURSOS!$D$5,"ATENCION A VICTIMAS DE ATAQUE CON AGENTES QUIMICOS ",IF(O129=CURSOS!$D$6,"PRIMEROS AUXILIOS ",IF(O129=CURSOS!$D$7,"DIPLOMADO DE UNIDAD DE CUIDADOS INTENSIVOS (UCI)",IF(O129=CURSOS!$D$8,"MODELO DE ATENCION PARA EVENTOS EMERGENTES EN SALUD MENTAL (CODIGO VERDE)",IF(O129=CURSOS!$D$9,"HUMANIZACION EN EL SERVICIO DE LA SALUD Y BUENAS PRACTICAS EN PACIENTE ",IF(O129=CURSOS!$D$10,"CLINICA DE HERIDAS ",IF(O129=CURSOS!$D$11,"TOMA DE CITOLOGIA CERVICO VAGINAL ",IF(O129=CURSOS!$D$12,"SOPORTE CARDIOVASCULAR AVANZADO (ACLS) ",IF(O129=CURSOS!$D$13,"CAMILLERO ",IF(O129=CURSOS!$D$14,"TOMA DE MUESTRAS Y LABORATORIO ",IF(O129=CURSOS!$D$15,"SOPORTE VITAL BASICO (BLS)",IF(O129=CURSOS!$D$16,"ATENCION A VICTIMAS DE VIOLENCIA SEXUAL ",IF(O129=CURSOS!$D$17,"PROGRAMADO AMPLIADO DE INMUNIZACION (PAI - COVID 19)",IF(O129=CURSOS!$D$18,"ATENCION INTEGRAL EN ENFERMEDADES PREVALENTES EN PRIMERA INFANCIA (AIEPI)",IF(O129=CURSOS!$D$19,"ADMINISTRACION DE MEDICAMENTOS, INYECTOLOGIA  Y CANALIZACION ",IF(O129=CURSOS!$D$20,"OPERADOR DE VEHICULOS DE EMERGENCIA (OVE)",IF(O129=CURSOS!$D$21,"INSTITUCIONES AMIGAS DE LA MUJER Y LA INFANCIA (IAMI)",IF(O129=CURSOS!$D$22,"CUIDADO DEL DONANTE DE ORGANOS",IF(O129=CURSOS!$D$23,"ATENCION A VICTIMAS POR VIOLENCIA DE GENERO",IF(O129=CURSOS!$D$24,"IGUALDAD DE GENERO EN LA SALUD",IF(O129=CURSOS!$D$25,"BRIGADA DE EMERGENCIA",IF(O129=CURSOS!$D$26,"MANEJO DEL DOLOR Y CUIDADOS PALIATIVOS",IF(O129=CURSOS!$D$27,"TOMA DE MUESTRAS Y LABORATORIO POCT",IF(O129=CURSOS!$D$28,"IMPLANTE SUBDERMICO DE DISPOSITIVO INTRAUTERINO",IF(O129=CURSOS!$D$29,"SALUD MENTAL",IF(O129=CURSOS!$D$30,"PRIMEROS AUXILIOS PSICOLOGICOS",IF(O129=CURSOS!$D$31,"ATENCION A VICTIMAS POR CONFLICTO ARMADO",IF(O129=CURSOS!$D$32,"MANIPULACION DE ALIMENTOS Y BPM",IF(O129=CURSOS!$D$33,"ATENCION A PERSONAS CON DISCAPACIDAD",IF(O129=CURSOS!$D$34,"CUIDADO INTEGRAL DEL PACIENTE ADULTO",IF(O129=CURSOS!$D$35,"MANEJO DEFENSIVO",IF(O129=CURSOS!$D$36,"SOPORTE CARDIOVASCULAR AVANZADO NEONATAL",IF(O129=CURSOS!$D$37,"SEGURIDAD DEL PACIENTE",IF(O129=CURSOS!$D$38,"MANEJO DE RESIDUOS HOSPITALARIOS"))))))))))))))))))))))))))))))))))))</f>
        <v>0</v>
      </c>
      <c r="V129" s="46" t="str">
        <f t="shared" ref="V129:V192" si="6">CONCATENATE(E129," ",F129," ",C129," ",D129)</f>
        <v xml:space="preserve">   </v>
      </c>
      <c r="W129" s="46" t="str">
        <f t="shared" ref="W129:W192" si="7">PROPER(V129)</f>
        <v xml:space="preserve">   </v>
      </c>
      <c r="X129" s="46" t="str">
        <f t="shared" ref="X129:X192" si="8">CONCATENATE(V129,"-",B129,"-",O129)</f>
        <v xml:space="preserve">   --</v>
      </c>
    </row>
    <row r="130" spans="1:24" x14ac:dyDescent="0.2">
      <c r="A130" s="73">
        <v>129</v>
      </c>
      <c r="E130" s="40"/>
      <c r="G130" s="40"/>
      <c r="I130" s="50"/>
      <c r="K130" s="47"/>
      <c r="P130" s="44"/>
      <c r="R130" s="88"/>
      <c r="T130" s="39"/>
      <c r="U130" s="46" t="b">
        <f>IF(O130=CURSOS!$D$3,"DIPLOMADO EN ATENCION PRE-HOSPITALARIA",IF(O130=CURSOS!$D$4,"ACOMPAÑAMIENTO Y MANEJO DEL DUELO",IF(O130=CURSOS!$D$5,"ATENCION A VICTIMAS DE ATAQUE CON AGENTES QUIMICOS ",IF(O130=CURSOS!$D$6,"PRIMEROS AUXILIOS ",IF(O130=CURSOS!$D$7,"DIPLOMADO DE UNIDAD DE CUIDADOS INTENSIVOS (UCI)",IF(O130=CURSOS!$D$8,"MODELO DE ATENCION PARA EVENTOS EMERGENTES EN SALUD MENTAL (CODIGO VERDE)",IF(O130=CURSOS!$D$9,"HUMANIZACION EN EL SERVICIO DE LA SALUD Y BUENAS PRACTICAS EN PACIENTE ",IF(O130=CURSOS!$D$10,"CLINICA DE HERIDAS ",IF(O130=CURSOS!$D$11,"TOMA DE CITOLOGIA CERVICO VAGINAL ",IF(O130=CURSOS!$D$12,"SOPORTE CARDIOVASCULAR AVANZADO (ACLS) ",IF(O130=CURSOS!$D$13,"CAMILLERO ",IF(O130=CURSOS!$D$14,"TOMA DE MUESTRAS Y LABORATORIO ",IF(O130=CURSOS!$D$15,"SOPORTE VITAL BASICO (BLS)",IF(O130=CURSOS!$D$16,"ATENCION A VICTIMAS DE VIOLENCIA SEXUAL ",IF(O130=CURSOS!$D$17,"PROGRAMADO AMPLIADO DE INMUNIZACION (PAI - COVID 19)",IF(O130=CURSOS!$D$18,"ATENCION INTEGRAL EN ENFERMEDADES PREVALENTES EN PRIMERA INFANCIA (AIEPI)",IF(O130=CURSOS!$D$19,"ADMINISTRACION DE MEDICAMENTOS, INYECTOLOGIA  Y CANALIZACION ",IF(O130=CURSOS!$D$20,"OPERADOR DE VEHICULOS DE EMERGENCIA (OVE)",IF(O130=CURSOS!$D$21,"INSTITUCIONES AMIGAS DE LA MUJER Y LA INFANCIA (IAMI)",IF(O130=CURSOS!$D$22,"CUIDADO DEL DONANTE DE ORGANOS",IF(O130=CURSOS!$D$23,"ATENCION A VICTIMAS POR VIOLENCIA DE GENERO",IF(O130=CURSOS!$D$24,"IGUALDAD DE GENERO EN LA SALUD",IF(O130=CURSOS!$D$25,"BRIGADA DE EMERGENCIA",IF(O130=CURSOS!$D$26,"MANEJO DEL DOLOR Y CUIDADOS PALIATIVOS",IF(O130=CURSOS!$D$27,"TOMA DE MUESTRAS Y LABORATORIO POCT",IF(O130=CURSOS!$D$28,"IMPLANTE SUBDERMICO DE DISPOSITIVO INTRAUTERINO",IF(O130=CURSOS!$D$29,"SALUD MENTAL",IF(O130=CURSOS!$D$30,"PRIMEROS AUXILIOS PSICOLOGICOS",IF(O130=CURSOS!$D$31,"ATENCION A VICTIMAS POR CONFLICTO ARMADO",IF(O130=CURSOS!$D$32,"MANIPULACION DE ALIMENTOS Y BPM",IF(O130=CURSOS!$D$33,"ATENCION A PERSONAS CON DISCAPACIDAD",IF(O130=CURSOS!$D$34,"CUIDADO INTEGRAL DEL PACIENTE ADULTO",IF(O130=CURSOS!$D$35,"MANEJO DEFENSIVO",IF(O130=CURSOS!$D$36,"SOPORTE CARDIOVASCULAR AVANZADO NEONATAL",IF(O130=CURSOS!$D$37,"SEGURIDAD DEL PACIENTE",IF(O130=CURSOS!$D$38,"MANEJO DE RESIDUOS HOSPITALARIOS"))))))))))))))))))))))))))))))))))))</f>
        <v>0</v>
      </c>
      <c r="V130" s="46" t="str">
        <f t="shared" si="6"/>
        <v xml:space="preserve">   </v>
      </c>
      <c r="W130" s="46" t="str">
        <f t="shared" si="7"/>
        <v xml:space="preserve">   </v>
      </c>
      <c r="X130" s="46" t="str">
        <f t="shared" si="8"/>
        <v xml:space="preserve">   --</v>
      </c>
    </row>
    <row r="131" spans="1:24" x14ac:dyDescent="0.2">
      <c r="A131" s="73">
        <v>130</v>
      </c>
      <c r="E131" s="40"/>
      <c r="I131" s="44"/>
      <c r="L131" s="40"/>
      <c r="P131" s="44"/>
      <c r="R131" s="88"/>
      <c r="T131" s="39"/>
      <c r="U131" s="46" t="b">
        <f>IF(O131=CURSOS!$D$3,"DIPLOMADO EN ATENCION PRE-HOSPITALARIA",IF(O131=CURSOS!$D$4,"ACOMPAÑAMIENTO Y MANEJO DEL DUELO",IF(O131=CURSOS!$D$5,"ATENCION A VICTIMAS DE ATAQUE CON AGENTES QUIMICOS ",IF(O131=CURSOS!$D$6,"PRIMEROS AUXILIOS ",IF(O131=CURSOS!$D$7,"DIPLOMADO DE UNIDAD DE CUIDADOS INTENSIVOS (UCI)",IF(O131=CURSOS!$D$8,"MODELO DE ATENCION PARA EVENTOS EMERGENTES EN SALUD MENTAL (CODIGO VERDE)",IF(O131=CURSOS!$D$9,"HUMANIZACION EN EL SERVICIO DE LA SALUD Y BUENAS PRACTICAS EN PACIENTE ",IF(O131=CURSOS!$D$10,"CLINICA DE HERIDAS ",IF(O131=CURSOS!$D$11,"TOMA DE CITOLOGIA CERVICO VAGINAL ",IF(O131=CURSOS!$D$12,"SOPORTE CARDIOVASCULAR AVANZADO (ACLS) ",IF(O131=CURSOS!$D$13,"CAMILLERO ",IF(O131=CURSOS!$D$14,"TOMA DE MUESTRAS Y LABORATORIO ",IF(O131=CURSOS!$D$15,"SOPORTE VITAL BASICO (BLS)",IF(O131=CURSOS!$D$16,"ATENCION A VICTIMAS DE VIOLENCIA SEXUAL ",IF(O131=CURSOS!$D$17,"PROGRAMADO AMPLIADO DE INMUNIZACION (PAI - COVID 19)",IF(O131=CURSOS!$D$18,"ATENCION INTEGRAL EN ENFERMEDADES PREVALENTES EN PRIMERA INFANCIA (AIEPI)",IF(O131=CURSOS!$D$19,"ADMINISTRACION DE MEDICAMENTOS, INYECTOLOGIA  Y CANALIZACION ",IF(O131=CURSOS!$D$20,"OPERADOR DE VEHICULOS DE EMERGENCIA (OVE)",IF(O131=CURSOS!$D$21,"INSTITUCIONES AMIGAS DE LA MUJER Y LA INFANCIA (IAMI)",IF(O131=CURSOS!$D$22,"CUIDADO DEL DONANTE DE ORGANOS",IF(O131=CURSOS!$D$23,"ATENCION A VICTIMAS POR VIOLENCIA DE GENERO",IF(O131=CURSOS!$D$24,"IGUALDAD DE GENERO EN LA SALUD",IF(O131=CURSOS!$D$25,"BRIGADA DE EMERGENCIA",IF(O131=CURSOS!$D$26,"MANEJO DEL DOLOR Y CUIDADOS PALIATIVOS",IF(O131=CURSOS!$D$27,"TOMA DE MUESTRAS Y LABORATORIO POCT",IF(O131=CURSOS!$D$28,"IMPLANTE SUBDERMICO DE DISPOSITIVO INTRAUTERINO",IF(O131=CURSOS!$D$29,"SALUD MENTAL",IF(O131=CURSOS!$D$30,"PRIMEROS AUXILIOS PSICOLOGICOS",IF(O131=CURSOS!$D$31,"ATENCION A VICTIMAS POR CONFLICTO ARMADO",IF(O131=CURSOS!$D$32,"MANIPULACION DE ALIMENTOS Y BPM",IF(O131=CURSOS!$D$33,"ATENCION A PERSONAS CON DISCAPACIDAD",IF(O131=CURSOS!$D$34,"CUIDADO INTEGRAL DEL PACIENTE ADULTO",IF(O131=CURSOS!$D$35,"MANEJO DEFENSIVO",IF(O131=CURSOS!$D$36,"SOPORTE CARDIOVASCULAR AVANZADO NEONATAL",IF(O131=CURSOS!$D$37,"SEGURIDAD DEL PACIENTE",IF(O131=CURSOS!$D$38,"MANEJO DE RESIDUOS HOSPITALARIOS"))))))))))))))))))))))))))))))))))))</f>
        <v>0</v>
      </c>
      <c r="V131" s="46" t="str">
        <f t="shared" si="6"/>
        <v xml:space="preserve">   </v>
      </c>
      <c r="W131" s="46" t="str">
        <f t="shared" si="7"/>
        <v xml:space="preserve">   </v>
      </c>
      <c r="X131" s="46" t="str">
        <f t="shared" si="8"/>
        <v xml:space="preserve">   --</v>
      </c>
    </row>
    <row r="132" spans="1:24" x14ac:dyDescent="0.2">
      <c r="A132" s="73">
        <v>131</v>
      </c>
      <c r="E132" s="40"/>
      <c r="I132" s="50"/>
      <c r="K132" s="47"/>
      <c r="P132" s="44"/>
      <c r="R132" s="88"/>
      <c r="T132" s="39"/>
      <c r="U132" s="46" t="b">
        <f>IF(O132=CURSOS!$D$3,"DIPLOMADO EN ATENCION PRE-HOSPITALARIA",IF(O132=CURSOS!$D$4,"ACOMPAÑAMIENTO Y MANEJO DEL DUELO",IF(O132=CURSOS!$D$5,"ATENCION A VICTIMAS DE ATAQUE CON AGENTES QUIMICOS ",IF(O132=CURSOS!$D$6,"PRIMEROS AUXILIOS ",IF(O132=CURSOS!$D$7,"DIPLOMADO DE UNIDAD DE CUIDADOS INTENSIVOS (UCI)",IF(O132=CURSOS!$D$8,"MODELO DE ATENCION PARA EVENTOS EMERGENTES EN SALUD MENTAL (CODIGO VERDE)",IF(O132=CURSOS!$D$9,"HUMANIZACION EN EL SERVICIO DE LA SALUD Y BUENAS PRACTICAS EN PACIENTE ",IF(O132=CURSOS!$D$10,"CLINICA DE HERIDAS ",IF(O132=CURSOS!$D$11,"TOMA DE CITOLOGIA CERVICO VAGINAL ",IF(O132=CURSOS!$D$12,"SOPORTE CARDIOVASCULAR AVANZADO (ACLS) ",IF(O132=CURSOS!$D$13,"CAMILLERO ",IF(O132=CURSOS!$D$14,"TOMA DE MUESTRAS Y LABORATORIO ",IF(O132=CURSOS!$D$15,"SOPORTE VITAL BASICO (BLS)",IF(O132=CURSOS!$D$16,"ATENCION A VICTIMAS DE VIOLENCIA SEXUAL ",IF(O132=CURSOS!$D$17,"PROGRAMADO AMPLIADO DE INMUNIZACION (PAI - COVID 19)",IF(O132=CURSOS!$D$18,"ATENCION INTEGRAL EN ENFERMEDADES PREVALENTES EN PRIMERA INFANCIA (AIEPI)",IF(O132=CURSOS!$D$19,"ADMINISTRACION DE MEDICAMENTOS, INYECTOLOGIA  Y CANALIZACION ",IF(O132=CURSOS!$D$20,"OPERADOR DE VEHICULOS DE EMERGENCIA (OVE)",IF(O132=CURSOS!$D$21,"INSTITUCIONES AMIGAS DE LA MUJER Y LA INFANCIA (IAMI)",IF(O132=CURSOS!$D$22,"CUIDADO DEL DONANTE DE ORGANOS",IF(O132=CURSOS!$D$23,"ATENCION A VICTIMAS POR VIOLENCIA DE GENERO",IF(O132=CURSOS!$D$24,"IGUALDAD DE GENERO EN LA SALUD",IF(O132=CURSOS!$D$25,"BRIGADA DE EMERGENCIA",IF(O132=CURSOS!$D$26,"MANEJO DEL DOLOR Y CUIDADOS PALIATIVOS",IF(O132=CURSOS!$D$27,"TOMA DE MUESTRAS Y LABORATORIO POCT",IF(O132=CURSOS!$D$28,"IMPLANTE SUBDERMICO DE DISPOSITIVO INTRAUTERINO",IF(O132=CURSOS!$D$29,"SALUD MENTAL",IF(O132=CURSOS!$D$30,"PRIMEROS AUXILIOS PSICOLOGICOS",IF(O132=CURSOS!$D$31,"ATENCION A VICTIMAS POR CONFLICTO ARMADO",IF(O132=CURSOS!$D$32,"MANIPULACION DE ALIMENTOS Y BPM",IF(O132=CURSOS!$D$33,"ATENCION A PERSONAS CON DISCAPACIDAD",IF(O132=CURSOS!$D$34,"CUIDADO INTEGRAL DEL PACIENTE ADULTO",IF(O132=CURSOS!$D$35,"MANEJO DEFENSIVO",IF(O132=CURSOS!$D$36,"SOPORTE CARDIOVASCULAR AVANZADO NEONATAL",IF(O132=CURSOS!$D$37,"SEGURIDAD DEL PACIENTE",IF(O132=CURSOS!$D$38,"MANEJO DE RESIDUOS HOSPITALARIOS"))))))))))))))))))))))))))))))))))))</f>
        <v>0</v>
      </c>
      <c r="V132" s="46" t="str">
        <f t="shared" si="6"/>
        <v xml:space="preserve">   </v>
      </c>
      <c r="W132" s="46" t="str">
        <f t="shared" si="7"/>
        <v xml:space="preserve">   </v>
      </c>
      <c r="X132" s="46" t="str">
        <f t="shared" si="8"/>
        <v xml:space="preserve">   --</v>
      </c>
    </row>
    <row r="133" spans="1:24" x14ac:dyDescent="0.2">
      <c r="A133" s="73">
        <v>132</v>
      </c>
      <c r="E133" s="40"/>
      <c r="I133" s="50"/>
      <c r="K133" s="47"/>
      <c r="P133" s="44"/>
      <c r="R133" s="88"/>
      <c r="T133" s="39"/>
      <c r="U133" s="46" t="b">
        <f>IF(O133=CURSOS!$D$3,"DIPLOMADO EN ATENCION PRE-HOSPITALARIA",IF(O133=CURSOS!$D$4,"ACOMPAÑAMIENTO Y MANEJO DEL DUELO",IF(O133=CURSOS!$D$5,"ATENCION A VICTIMAS DE ATAQUE CON AGENTES QUIMICOS ",IF(O133=CURSOS!$D$6,"PRIMEROS AUXILIOS ",IF(O133=CURSOS!$D$7,"DIPLOMADO DE UNIDAD DE CUIDADOS INTENSIVOS (UCI)",IF(O133=CURSOS!$D$8,"MODELO DE ATENCION PARA EVENTOS EMERGENTES EN SALUD MENTAL (CODIGO VERDE)",IF(O133=CURSOS!$D$9,"HUMANIZACION EN EL SERVICIO DE LA SALUD Y BUENAS PRACTICAS EN PACIENTE ",IF(O133=CURSOS!$D$10,"CLINICA DE HERIDAS ",IF(O133=CURSOS!$D$11,"TOMA DE CITOLOGIA CERVICO VAGINAL ",IF(O133=CURSOS!$D$12,"SOPORTE CARDIOVASCULAR AVANZADO (ACLS) ",IF(O133=CURSOS!$D$13,"CAMILLERO ",IF(O133=CURSOS!$D$14,"TOMA DE MUESTRAS Y LABORATORIO ",IF(O133=CURSOS!$D$15,"SOPORTE VITAL BASICO (BLS)",IF(O133=CURSOS!$D$16,"ATENCION A VICTIMAS DE VIOLENCIA SEXUAL ",IF(O133=CURSOS!$D$17,"PROGRAMADO AMPLIADO DE INMUNIZACION (PAI - COVID 19)",IF(O133=CURSOS!$D$18,"ATENCION INTEGRAL EN ENFERMEDADES PREVALENTES EN PRIMERA INFANCIA (AIEPI)",IF(O133=CURSOS!$D$19,"ADMINISTRACION DE MEDICAMENTOS, INYECTOLOGIA  Y CANALIZACION ",IF(O133=CURSOS!$D$20,"OPERADOR DE VEHICULOS DE EMERGENCIA (OVE)",IF(O133=CURSOS!$D$21,"INSTITUCIONES AMIGAS DE LA MUJER Y LA INFANCIA (IAMI)",IF(O133=CURSOS!$D$22,"CUIDADO DEL DONANTE DE ORGANOS",IF(O133=CURSOS!$D$23,"ATENCION A VICTIMAS POR VIOLENCIA DE GENERO",IF(O133=CURSOS!$D$24,"IGUALDAD DE GENERO EN LA SALUD",IF(O133=CURSOS!$D$25,"BRIGADA DE EMERGENCIA",IF(O133=CURSOS!$D$26,"MANEJO DEL DOLOR Y CUIDADOS PALIATIVOS",IF(O133=CURSOS!$D$27,"TOMA DE MUESTRAS Y LABORATORIO POCT",IF(O133=CURSOS!$D$28,"IMPLANTE SUBDERMICO DE DISPOSITIVO INTRAUTERINO",IF(O133=CURSOS!$D$29,"SALUD MENTAL",IF(O133=CURSOS!$D$30,"PRIMEROS AUXILIOS PSICOLOGICOS",IF(O133=CURSOS!$D$31,"ATENCION A VICTIMAS POR CONFLICTO ARMADO",IF(O133=CURSOS!$D$32,"MANIPULACION DE ALIMENTOS Y BPM",IF(O133=CURSOS!$D$33,"ATENCION A PERSONAS CON DISCAPACIDAD",IF(O133=CURSOS!$D$34,"CUIDADO INTEGRAL DEL PACIENTE ADULTO",IF(O133=CURSOS!$D$35,"MANEJO DEFENSIVO",IF(O133=CURSOS!$D$36,"SOPORTE CARDIOVASCULAR AVANZADO NEONATAL",IF(O133=CURSOS!$D$37,"SEGURIDAD DEL PACIENTE",IF(O133=CURSOS!$D$38,"MANEJO DE RESIDUOS HOSPITALARIOS"))))))))))))))))))))))))))))))))))))</f>
        <v>0</v>
      </c>
      <c r="V133" s="46" t="str">
        <f t="shared" si="6"/>
        <v xml:space="preserve">   </v>
      </c>
      <c r="W133" s="46" t="str">
        <f t="shared" si="7"/>
        <v xml:space="preserve">   </v>
      </c>
      <c r="X133" s="46" t="str">
        <f t="shared" si="8"/>
        <v xml:space="preserve">   --</v>
      </c>
    </row>
    <row r="134" spans="1:24" x14ac:dyDescent="0.2">
      <c r="A134" s="73">
        <v>133</v>
      </c>
      <c r="C134" s="40"/>
      <c r="D134" s="40"/>
      <c r="E134" s="40"/>
      <c r="F134" s="40"/>
      <c r="G134" s="40"/>
      <c r="I134" s="50"/>
      <c r="K134" s="47"/>
      <c r="P134" s="44"/>
      <c r="Q134" s="40"/>
      <c r="T134" s="88"/>
      <c r="U134" s="46" t="b">
        <f>IF(O134=CURSOS!$D$3,"DIPLOMADO EN ATENCION PRE-HOSPITALARIA",IF(O134=CURSOS!$D$4,"ACOMPAÑAMIENTO Y MANEJO DEL DUELO",IF(O134=CURSOS!$D$5,"ATENCION A VICTIMAS DE ATAQUE CON AGENTES QUIMICOS ",IF(O134=CURSOS!$D$6,"PRIMEROS AUXILIOS ",IF(O134=CURSOS!$D$7,"DIPLOMADO DE UNIDAD DE CUIDADOS INTENSIVOS (UCI)",IF(O134=CURSOS!$D$8,"MODELO DE ATENCION PARA EVENTOS EMERGENTES EN SALUD MENTAL (CODIGO VERDE)",IF(O134=CURSOS!$D$9,"HUMANIZACION EN EL SERVICIO DE LA SALUD Y BUENAS PRACTICAS EN PACIENTE ",IF(O134=CURSOS!$D$10,"CLINICA DE HERIDAS ",IF(O134=CURSOS!$D$11,"TOMA DE CITOLOGIA CERVICO VAGINAL ",IF(O134=CURSOS!$D$12,"SOPORTE CARDIOVASCULAR AVANZADO (ACLS) ",IF(O134=CURSOS!$D$13,"CAMILLERO ",IF(O134=CURSOS!$D$14,"TOMA DE MUESTRAS Y LABORATORIO ",IF(O134=CURSOS!$D$15,"SOPORTE VITAL BASICO (BLS)",IF(O134=CURSOS!$D$16,"ATENCION A VICTIMAS DE VIOLENCIA SEXUAL ",IF(O134=CURSOS!$D$17,"PROGRAMADO AMPLIADO DE INMUNIZACION (PAI - COVID 19)",IF(O134=CURSOS!$D$18,"ATENCION INTEGRAL EN ENFERMEDADES PREVALENTES EN PRIMERA INFANCIA (AIEPI)",IF(O134=CURSOS!$D$19,"ADMINISTRACION DE MEDICAMENTOS, INYECTOLOGIA  Y CANALIZACION ",IF(O134=CURSOS!$D$20,"OPERADOR DE VEHICULOS DE EMERGENCIA (OVE)",IF(O134=CURSOS!$D$21,"INSTITUCIONES AMIGAS DE LA MUJER Y LA INFANCIA (IAMI)",IF(O134=CURSOS!$D$22,"CUIDADO DEL DONANTE DE ORGANOS",IF(O134=CURSOS!$D$23,"ATENCION A VICTIMAS POR VIOLENCIA DE GENERO",IF(O134=CURSOS!$D$24,"IGUALDAD DE GENERO EN LA SALUD",IF(O134=CURSOS!$D$25,"BRIGADA DE EMERGENCIA",IF(O134=CURSOS!$D$26,"MANEJO DEL DOLOR Y CUIDADOS PALIATIVOS",IF(O134=CURSOS!$D$27,"TOMA DE MUESTRAS Y LABORATORIO POCT",IF(O134=CURSOS!$D$28,"IMPLANTE SUBDERMICO DE DISPOSITIVO INTRAUTERINO",IF(O134=CURSOS!$D$29,"SALUD MENTAL",IF(O134=CURSOS!$D$30,"PRIMEROS AUXILIOS PSICOLOGICOS",IF(O134=CURSOS!$D$31,"ATENCION A VICTIMAS POR CONFLICTO ARMADO",IF(O134=CURSOS!$D$32,"MANIPULACION DE ALIMENTOS Y BPM",IF(O134=CURSOS!$D$33,"ATENCION A PERSONAS CON DISCAPACIDAD",IF(O134=CURSOS!$D$34,"CUIDADO INTEGRAL DEL PACIENTE ADULTO",IF(O134=CURSOS!$D$35,"MANEJO DEFENSIVO",IF(O134=CURSOS!$D$36,"SOPORTE CARDIOVASCULAR AVANZADO NEONATAL",IF(O134=CURSOS!$D$37,"SEGURIDAD DEL PACIENTE",IF(O134=CURSOS!$D$38,"MANEJO DE RESIDUOS HOSPITALARIOS"))))))))))))))))))))))))))))))))))))</f>
        <v>0</v>
      </c>
      <c r="V134" s="46" t="str">
        <f t="shared" si="6"/>
        <v xml:space="preserve">   </v>
      </c>
      <c r="W134" s="46" t="str">
        <f t="shared" si="7"/>
        <v xml:space="preserve">   </v>
      </c>
      <c r="X134" s="46" t="str">
        <f t="shared" si="8"/>
        <v xml:space="preserve">   --</v>
      </c>
    </row>
    <row r="135" spans="1:24" x14ac:dyDescent="0.2">
      <c r="A135" s="73">
        <v>134</v>
      </c>
      <c r="I135" s="50"/>
      <c r="P135" s="44"/>
      <c r="T135" s="88"/>
      <c r="U135" s="46" t="b">
        <f>IF(O135=CURSOS!$D$3,"DIPLOMADO EN ATENCION PRE-HOSPITALARIA",IF(O135=CURSOS!$D$4,"ACOMPAÑAMIENTO Y MANEJO DEL DUELO",IF(O135=CURSOS!$D$5,"ATENCION A VICTIMAS DE ATAQUE CON AGENTES QUIMICOS ",IF(O135=CURSOS!$D$6,"PRIMEROS AUXILIOS ",IF(O135=CURSOS!$D$7,"DIPLOMADO DE UNIDAD DE CUIDADOS INTENSIVOS (UCI)",IF(O135=CURSOS!$D$8,"MODELO DE ATENCION PARA EVENTOS EMERGENTES EN SALUD MENTAL (CODIGO VERDE)",IF(O135=CURSOS!$D$9,"HUMANIZACION EN EL SERVICIO DE LA SALUD Y BUENAS PRACTICAS EN PACIENTE ",IF(O135=CURSOS!$D$10,"CLINICA DE HERIDAS ",IF(O135=CURSOS!$D$11,"TOMA DE CITOLOGIA CERVICO VAGINAL ",IF(O135=CURSOS!$D$12,"SOPORTE CARDIOVASCULAR AVANZADO (ACLS) ",IF(O135=CURSOS!$D$13,"CAMILLERO ",IF(O135=CURSOS!$D$14,"TOMA DE MUESTRAS Y LABORATORIO ",IF(O135=CURSOS!$D$15,"SOPORTE VITAL BASICO (BLS)",IF(O135=CURSOS!$D$16,"ATENCION A VICTIMAS DE VIOLENCIA SEXUAL ",IF(O135=CURSOS!$D$17,"PROGRAMADO AMPLIADO DE INMUNIZACION (PAI - COVID 19)",IF(O135=CURSOS!$D$18,"ATENCION INTEGRAL EN ENFERMEDADES PREVALENTES EN PRIMERA INFANCIA (AIEPI)",IF(O135=CURSOS!$D$19,"ADMINISTRACION DE MEDICAMENTOS, INYECTOLOGIA  Y CANALIZACION ",IF(O135=CURSOS!$D$20,"OPERADOR DE VEHICULOS DE EMERGENCIA (OVE)",IF(O135=CURSOS!$D$21,"INSTITUCIONES AMIGAS DE LA MUJER Y LA INFANCIA (IAMI)",IF(O135=CURSOS!$D$22,"CUIDADO DEL DONANTE DE ORGANOS",IF(O135=CURSOS!$D$23,"ATENCION A VICTIMAS POR VIOLENCIA DE GENERO",IF(O135=CURSOS!$D$24,"IGUALDAD DE GENERO EN LA SALUD",IF(O135=CURSOS!$D$25,"BRIGADA DE EMERGENCIA",IF(O135=CURSOS!$D$26,"MANEJO DEL DOLOR Y CUIDADOS PALIATIVOS",IF(O135=CURSOS!$D$27,"TOMA DE MUESTRAS Y LABORATORIO POCT",IF(O135=CURSOS!$D$28,"IMPLANTE SUBDERMICO DE DISPOSITIVO INTRAUTERINO",IF(O135=CURSOS!$D$29,"SALUD MENTAL",IF(O135=CURSOS!$D$30,"PRIMEROS AUXILIOS PSICOLOGICOS",IF(O135=CURSOS!$D$31,"ATENCION A VICTIMAS POR CONFLICTO ARMADO",IF(O135=CURSOS!$D$32,"MANIPULACION DE ALIMENTOS Y BPM",IF(O135=CURSOS!$D$33,"ATENCION A PERSONAS CON DISCAPACIDAD",IF(O135=CURSOS!$D$34,"CUIDADO INTEGRAL DEL PACIENTE ADULTO",IF(O135=CURSOS!$D$35,"MANEJO DEFENSIVO",IF(O135=CURSOS!$D$36,"SOPORTE CARDIOVASCULAR AVANZADO NEONATAL",IF(O135=CURSOS!$D$37,"SEGURIDAD DEL PACIENTE",IF(O135=CURSOS!$D$38,"MANEJO DE RESIDUOS HOSPITALARIOS"))))))))))))))))))))))))))))))))))))</f>
        <v>0</v>
      </c>
      <c r="V135" s="46" t="str">
        <f t="shared" si="6"/>
        <v xml:space="preserve">   </v>
      </c>
      <c r="W135" s="46" t="str">
        <f t="shared" si="7"/>
        <v xml:space="preserve">   </v>
      </c>
      <c r="X135" s="46" t="str">
        <f t="shared" si="8"/>
        <v xml:space="preserve">   --</v>
      </c>
    </row>
    <row r="136" spans="1:24" x14ac:dyDescent="0.2">
      <c r="A136" s="71">
        <v>135</v>
      </c>
      <c r="E136" s="40"/>
      <c r="I136" s="50"/>
      <c r="K136" s="47"/>
      <c r="P136" s="44"/>
      <c r="R136" s="88"/>
      <c r="T136" s="39"/>
      <c r="U136" s="46" t="b">
        <f>IF(O136=CURSOS!$D$3,"DIPLOMADO EN ATENCION PRE-HOSPITALARIA",IF(O136=CURSOS!$D$4,"ACOMPAÑAMIENTO Y MANEJO DEL DUELO",IF(O136=CURSOS!$D$5,"ATENCION A VICTIMAS DE ATAQUE CON AGENTES QUIMICOS ",IF(O136=CURSOS!$D$6,"PRIMEROS AUXILIOS ",IF(O136=CURSOS!$D$7,"DIPLOMADO DE UNIDAD DE CUIDADOS INTENSIVOS (UCI)",IF(O136=CURSOS!$D$8,"MODELO DE ATENCION PARA EVENTOS EMERGENTES EN SALUD MENTAL (CODIGO VERDE)",IF(O136=CURSOS!$D$9,"HUMANIZACION EN EL SERVICIO DE LA SALUD Y BUENAS PRACTICAS EN PACIENTE ",IF(O136=CURSOS!$D$10,"CLINICA DE HERIDAS ",IF(O136=CURSOS!$D$11,"TOMA DE CITOLOGIA CERVICO VAGINAL ",IF(O136=CURSOS!$D$12,"SOPORTE CARDIOVASCULAR AVANZADO (ACLS) ",IF(O136=CURSOS!$D$13,"CAMILLERO ",IF(O136=CURSOS!$D$14,"TOMA DE MUESTRAS Y LABORATORIO ",IF(O136=CURSOS!$D$15,"SOPORTE VITAL BASICO (BLS)",IF(O136=CURSOS!$D$16,"ATENCION A VICTIMAS DE VIOLENCIA SEXUAL ",IF(O136=CURSOS!$D$17,"PROGRAMADO AMPLIADO DE INMUNIZACION (PAI - COVID 19)",IF(O136=CURSOS!$D$18,"ATENCION INTEGRAL EN ENFERMEDADES PREVALENTES EN PRIMERA INFANCIA (AIEPI)",IF(O136=CURSOS!$D$19,"ADMINISTRACION DE MEDICAMENTOS, INYECTOLOGIA  Y CANALIZACION ",IF(O136=CURSOS!$D$20,"OPERADOR DE VEHICULOS DE EMERGENCIA (OVE)",IF(O136=CURSOS!$D$21,"INSTITUCIONES AMIGAS DE LA MUJER Y LA INFANCIA (IAMI)",IF(O136=CURSOS!$D$22,"CUIDADO DEL DONANTE DE ORGANOS",IF(O136=CURSOS!$D$23,"ATENCION A VICTIMAS POR VIOLENCIA DE GENERO",IF(O136=CURSOS!$D$24,"IGUALDAD DE GENERO EN LA SALUD",IF(O136=CURSOS!$D$25,"BRIGADA DE EMERGENCIA",IF(O136=CURSOS!$D$26,"MANEJO DEL DOLOR Y CUIDADOS PALIATIVOS",IF(O136=CURSOS!$D$27,"TOMA DE MUESTRAS Y LABORATORIO POCT",IF(O136=CURSOS!$D$28,"IMPLANTE SUBDERMICO DE DISPOSITIVO INTRAUTERINO",IF(O136=CURSOS!$D$29,"SALUD MENTAL",IF(O136=CURSOS!$D$30,"PRIMEROS AUXILIOS PSICOLOGICOS",IF(O136=CURSOS!$D$31,"ATENCION A VICTIMAS POR CONFLICTO ARMADO",IF(O136=CURSOS!$D$32,"MANIPULACION DE ALIMENTOS Y BPM",IF(O136=CURSOS!$D$33,"ATENCION A PERSONAS CON DISCAPACIDAD",IF(O136=CURSOS!$D$34,"CUIDADO INTEGRAL DEL PACIENTE ADULTO",IF(O136=CURSOS!$D$35,"MANEJO DEFENSIVO",IF(O136=CURSOS!$D$36,"SOPORTE CARDIOVASCULAR AVANZADO NEONATAL",IF(O136=CURSOS!$D$37,"SEGURIDAD DEL PACIENTE",IF(O136=CURSOS!$D$38,"MANEJO DE RESIDUOS HOSPITALARIOS"))))))))))))))))))))))))))))))))))))</f>
        <v>0</v>
      </c>
      <c r="V136" s="46" t="str">
        <f t="shared" si="6"/>
        <v xml:space="preserve">   </v>
      </c>
      <c r="W136" s="46" t="str">
        <f t="shared" si="7"/>
        <v xml:space="preserve">   </v>
      </c>
      <c r="X136" s="46" t="str">
        <f t="shared" si="8"/>
        <v xml:space="preserve">   --</v>
      </c>
    </row>
    <row r="137" spans="1:24" x14ac:dyDescent="0.2">
      <c r="A137" s="68">
        <v>136</v>
      </c>
      <c r="I137" s="50"/>
      <c r="K137" s="47"/>
      <c r="P137" s="44"/>
      <c r="T137" s="39"/>
      <c r="U137" s="46" t="b">
        <f>IF(O137=CURSOS!$D$3,"DIPLOMADO EN ATENCION PRE-HOSPITALARIA",IF(O137=CURSOS!$D$4,"ACOMPAÑAMIENTO Y MANEJO DEL DUELO",IF(O137=CURSOS!$D$5,"ATENCION A VICTIMAS DE ATAQUE CON AGENTES QUIMICOS ",IF(O137=CURSOS!$D$6,"PRIMEROS AUXILIOS ",IF(O137=CURSOS!$D$7,"DIPLOMADO DE UNIDAD DE CUIDADOS INTENSIVOS (UCI)",IF(O137=CURSOS!$D$8,"MODELO DE ATENCION PARA EVENTOS EMERGENTES EN SALUD MENTAL (CODIGO VERDE)",IF(O137=CURSOS!$D$9,"HUMANIZACION EN EL SERVICIO DE LA SALUD Y BUENAS PRACTICAS EN PACIENTE ",IF(O137=CURSOS!$D$10,"CLINICA DE HERIDAS ",IF(O137=CURSOS!$D$11,"TOMA DE CITOLOGIA CERVICO VAGINAL ",IF(O137=CURSOS!$D$12,"SOPORTE CARDIOVASCULAR AVANZADO (ACLS) ",IF(O137=CURSOS!$D$13,"CAMILLERO ",IF(O137=CURSOS!$D$14,"TOMA DE MUESTRAS Y LABORATORIO ",IF(O137=CURSOS!$D$15,"SOPORTE VITAL BASICO (BLS)",IF(O137=CURSOS!$D$16,"ATENCION A VICTIMAS DE VIOLENCIA SEXUAL ",IF(O137=CURSOS!$D$17,"PROGRAMADO AMPLIADO DE INMUNIZACION (PAI - COVID 19)",IF(O137=CURSOS!$D$18,"ATENCION INTEGRAL EN ENFERMEDADES PREVALENTES EN PRIMERA INFANCIA (AIEPI)",IF(O137=CURSOS!$D$19,"ADMINISTRACION DE MEDICAMENTOS, INYECTOLOGIA  Y CANALIZACION ",IF(O137=CURSOS!$D$20,"OPERADOR DE VEHICULOS DE EMERGENCIA (OVE)",IF(O137=CURSOS!$D$21,"INSTITUCIONES AMIGAS DE LA MUJER Y LA INFANCIA (IAMI)",IF(O137=CURSOS!$D$22,"CUIDADO DEL DONANTE DE ORGANOS",IF(O137=CURSOS!$D$23,"ATENCION A VICTIMAS POR VIOLENCIA DE GENERO",IF(O137=CURSOS!$D$24,"IGUALDAD DE GENERO EN LA SALUD",IF(O137=CURSOS!$D$25,"BRIGADA DE EMERGENCIA",IF(O137=CURSOS!$D$26,"MANEJO DEL DOLOR Y CUIDADOS PALIATIVOS",IF(O137=CURSOS!$D$27,"TOMA DE MUESTRAS Y LABORATORIO POCT",IF(O137=CURSOS!$D$28,"IMPLANTE SUBDERMICO DE DISPOSITIVO INTRAUTERINO",IF(O137=CURSOS!$D$29,"SALUD MENTAL",IF(O137=CURSOS!$D$30,"PRIMEROS AUXILIOS PSICOLOGICOS",IF(O137=CURSOS!$D$31,"ATENCION A VICTIMAS POR CONFLICTO ARMADO",IF(O137=CURSOS!$D$32,"MANIPULACION DE ALIMENTOS Y BPM",IF(O137=CURSOS!$D$33,"ATENCION A PERSONAS CON DISCAPACIDAD",IF(O137=CURSOS!$D$34,"CUIDADO INTEGRAL DEL PACIENTE ADULTO",IF(O137=CURSOS!$D$35,"MANEJO DEFENSIVO",IF(O137=CURSOS!$D$36,"SOPORTE CARDIOVASCULAR AVANZADO NEONATAL",IF(O137=CURSOS!$D$37,"SEGURIDAD DEL PACIENTE",IF(O137=CURSOS!$D$38,"MANEJO DE RESIDUOS HOSPITALARIOS"))))))))))))))))))))))))))))))))))))</f>
        <v>0</v>
      </c>
      <c r="V137" s="46" t="str">
        <f t="shared" si="6"/>
        <v xml:space="preserve">   </v>
      </c>
      <c r="W137" s="46" t="str">
        <f t="shared" si="7"/>
        <v xml:space="preserve">   </v>
      </c>
      <c r="X137" s="46" t="str">
        <f t="shared" si="8"/>
        <v xml:space="preserve">   --</v>
      </c>
    </row>
    <row r="138" spans="1:24" x14ac:dyDescent="0.2">
      <c r="A138" s="68">
        <v>137</v>
      </c>
      <c r="I138" s="44"/>
      <c r="K138" s="47"/>
      <c r="P138" s="44"/>
      <c r="T138" s="39"/>
      <c r="U138" s="46" t="b">
        <f>IF(O138=CURSOS!$D$3,"DIPLOMADO EN ATENCION PRE-HOSPITALARIA",IF(O138=CURSOS!$D$4,"ACOMPAÑAMIENTO Y MANEJO DEL DUELO",IF(O138=CURSOS!$D$5,"ATENCION A VICTIMAS DE ATAQUE CON AGENTES QUIMICOS ",IF(O138=CURSOS!$D$6,"PRIMEROS AUXILIOS ",IF(O138=CURSOS!$D$7,"DIPLOMADO DE UNIDAD DE CUIDADOS INTENSIVOS (UCI)",IF(O138=CURSOS!$D$8,"MODELO DE ATENCION PARA EVENTOS EMERGENTES EN SALUD MENTAL (CODIGO VERDE)",IF(O138=CURSOS!$D$9,"HUMANIZACION EN EL SERVICIO DE LA SALUD Y BUENAS PRACTICAS EN PACIENTE ",IF(O138=CURSOS!$D$10,"CLINICA DE HERIDAS ",IF(O138=CURSOS!$D$11,"TOMA DE CITOLOGIA CERVICO VAGINAL ",IF(O138=CURSOS!$D$12,"SOPORTE CARDIOVASCULAR AVANZADO (ACLS) ",IF(O138=CURSOS!$D$13,"CAMILLERO ",IF(O138=CURSOS!$D$14,"TOMA DE MUESTRAS Y LABORATORIO ",IF(O138=CURSOS!$D$15,"SOPORTE VITAL BASICO (BLS)",IF(O138=CURSOS!$D$16,"ATENCION A VICTIMAS DE VIOLENCIA SEXUAL ",IF(O138=CURSOS!$D$17,"PROGRAMADO AMPLIADO DE INMUNIZACION (PAI - COVID 19)",IF(O138=CURSOS!$D$18,"ATENCION INTEGRAL EN ENFERMEDADES PREVALENTES EN PRIMERA INFANCIA (AIEPI)",IF(O138=CURSOS!$D$19,"ADMINISTRACION DE MEDICAMENTOS, INYECTOLOGIA  Y CANALIZACION ",IF(O138=CURSOS!$D$20,"OPERADOR DE VEHICULOS DE EMERGENCIA (OVE)",IF(O138=CURSOS!$D$21,"INSTITUCIONES AMIGAS DE LA MUJER Y LA INFANCIA (IAMI)",IF(O138=CURSOS!$D$22,"CUIDADO DEL DONANTE DE ORGANOS",IF(O138=CURSOS!$D$23,"ATENCION A VICTIMAS POR VIOLENCIA DE GENERO",IF(O138=CURSOS!$D$24,"IGUALDAD DE GENERO EN LA SALUD",IF(O138=CURSOS!$D$25,"BRIGADA DE EMERGENCIA",IF(O138=CURSOS!$D$26,"MANEJO DEL DOLOR Y CUIDADOS PALIATIVOS",IF(O138=CURSOS!$D$27,"TOMA DE MUESTRAS Y LABORATORIO POCT",IF(O138=CURSOS!$D$28,"IMPLANTE SUBDERMICO DE DISPOSITIVO INTRAUTERINO",IF(O138=CURSOS!$D$29,"SALUD MENTAL",IF(O138=CURSOS!$D$30,"PRIMEROS AUXILIOS PSICOLOGICOS",IF(O138=CURSOS!$D$31,"ATENCION A VICTIMAS POR CONFLICTO ARMADO",IF(O138=CURSOS!$D$32,"MANIPULACION DE ALIMENTOS Y BPM",IF(O138=CURSOS!$D$33,"ATENCION A PERSONAS CON DISCAPACIDAD",IF(O138=CURSOS!$D$34,"CUIDADO INTEGRAL DEL PACIENTE ADULTO",IF(O138=CURSOS!$D$35,"MANEJO DEFENSIVO",IF(O138=CURSOS!$D$36,"SOPORTE CARDIOVASCULAR AVANZADO NEONATAL",IF(O138=CURSOS!$D$37,"SEGURIDAD DEL PACIENTE",IF(O138=CURSOS!$D$38,"MANEJO DE RESIDUOS HOSPITALARIOS"))))))))))))))))))))))))))))))))))))</f>
        <v>0</v>
      </c>
      <c r="V138" s="46" t="str">
        <f t="shared" si="6"/>
        <v xml:space="preserve">   </v>
      </c>
      <c r="W138" s="46" t="str">
        <f t="shared" si="7"/>
        <v xml:space="preserve">   </v>
      </c>
      <c r="X138" s="46" t="str">
        <f t="shared" si="8"/>
        <v xml:space="preserve">   --</v>
      </c>
    </row>
    <row r="139" spans="1:24" x14ac:dyDescent="0.2">
      <c r="A139" s="68">
        <v>138</v>
      </c>
      <c r="I139" s="44"/>
      <c r="K139" s="47"/>
      <c r="P139" s="44"/>
      <c r="T139" s="39"/>
      <c r="U139" s="46" t="b">
        <f>IF(O139=CURSOS!$D$3,"DIPLOMADO EN ATENCION PRE-HOSPITALARIA",IF(O139=CURSOS!$D$4,"ACOMPAÑAMIENTO Y MANEJO DEL DUELO",IF(O139=CURSOS!$D$5,"ATENCION A VICTIMAS DE ATAQUE CON AGENTES QUIMICOS ",IF(O139=CURSOS!$D$6,"PRIMEROS AUXILIOS ",IF(O139=CURSOS!$D$7,"DIPLOMADO DE UNIDAD DE CUIDADOS INTENSIVOS (UCI)",IF(O139=CURSOS!$D$8,"MODELO DE ATENCION PARA EVENTOS EMERGENTES EN SALUD MENTAL (CODIGO VERDE)",IF(O139=CURSOS!$D$9,"HUMANIZACION EN EL SERVICIO DE LA SALUD Y BUENAS PRACTICAS EN PACIENTE ",IF(O139=CURSOS!$D$10,"CLINICA DE HERIDAS ",IF(O139=CURSOS!$D$11,"TOMA DE CITOLOGIA CERVICO VAGINAL ",IF(O139=CURSOS!$D$12,"SOPORTE CARDIOVASCULAR AVANZADO (ACLS) ",IF(O139=CURSOS!$D$13,"CAMILLERO ",IF(O139=CURSOS!$D$14,"TOMA DE MUESTRAS Y LABORATORIO ",IF(O139=CURSOS!$D$15,"SOPORTE VITAL BASICO (BLS)",IF(O139=CURSOS!$D$16,"ATENCION A VICTIMAS DE VIOLENCIA SEXUAL ",IF(O139=CURSOS!$D$17,"PROGRAMADO AMPLIADO DE INMUNIZACION (PAI - COVID 19)",IF(O139=CURSOS!$D$18,"ATENCION INTEGRAL EN ENFERMEDADES PREVALENTES EN PRIMERA INFANCIA (AIEPI)",IF(O139=CURSOS!$D$19,"ADMINISTRACION DE MEDICAMENTOS, INYECTOLOGIA  Y CANALIZACION ",IF(O139=CURSOS!$D$20,"OPERADOR DE VEHICULOS DE EMERGENCIA (OVE)",IF(O139=CURSOS!$D$21,"INSTITUCIONES AMIGAS DE LA MUJER Y LA INFANCIA (IAMI)",IF(O139=CURSOS!$D$22,"CUIDADO DEL DONANTE DE ORGANOS",IF(O139=CURSOS!$D$23,"ATENCION A VICTIMAS POR VIOLENCIA DE GENERO",IF(O139=CURSOS!$D$24,"IGUALDAD DE GENERO EN LA SALUD",IF(O139=CURSOS!$D$25,"BRIGADA DE EMERGENCIA",IF(O139=CURSOS!$D$26,"MANEJO DEL DOLOR Y CUIDADOS PALIATIVOS",IF(O139=CURSOS!$D$27,"TOMA DE MUESTRAS Y LABORATORIO POCT",IF(O139=CURSOS!$D$28,"IMPLANTE SUBDERMICO DE DISPOSITIVO INTRAUTERINO",IF(O139=CURSOS!$D$29,"SALUD MENTAL",IF(O139=CURSOS!$D$30,"PRIMEROS AUXILIOS PSICOLOGICOS",IF(O139=CURSOS!$D$31,"ATENCION A VICTIMAS POR CONFLICTO ARMADO",IF(O139=CURSOS!$D$32,"MANIPULACION DE ALIMENTOS Y BPM",IF(O139=CURSOS!$D$33,"ATENCION A PERSONAS CON DISCAPACIDAD",IF(O139=CURSOS!$D$34,"CUIDADO INTEGRAL DEL PACIENTE ADULTO",IF(O139=CURSOS!$D$35,"MANEJO DEFENSIVO",IF(O139=CURSOS!$D$36,"SOPORTE CARDIOVASCULAR AVANZADO NEONATAL",IF(O139=CURSOS!$D$37,"SEGURIDAD DEL PACIENTE",IF(O139=CURSOS!$D$38,"MANEJO DE RESIDUOS HOSPITALARIOS"))))))))))))))))))))))))))))))))))))</f>
        <v>0</v>
      </c>
      <c r="V139" s="46" t="str">
        <f t="shared" si="6"/>
        <v xml:space="preserve">   </v>
      </c>
      <c r="W139" s="46" t="str">
        <f t="shared" si="7"/>
        <v xml:space="preserve">   </v>
      </c>
      <c r="X139" s="46" t="str">
        <f t="shared" si="8"/>
        <v xml:space="preserve">   --</v>
      </c>
    </row>
    <row r="140" spans="1:24" x14ac:dyDescent="0.2">
      <c r="A140" s="68">
        <v>139</v>
      </c>
      <c r="I140" s="44"/>
      <c r="K140" s="47"/>
      <c r="P140" s="44"/>
      <c r="Q140" s="40"/>
      <c r="T140" s="39"/>
      <c r="U140" s="46" t="b">
        <f>IF(O140=CURSOS!$D$3,"DIPLOMADO EN ATENCION PRE-HOSPITALARIA",IF(O140=CURSOS!$D$4,"ACOMPAÑAMIENTO Y MANEJO DEL DUELO",IF(O140=CURSOS!$D$5,"ATENCION A VICTIMAS DE ATAQUE CON AGENTES QUIMICOS ",IF(O140=CURSOS!$D$6,"PRIMEROS AUXILIOS ",IF(O140=CURSOS!$D$7,"DIPLOMADO DE UNIDAD DE CUIDADOS INTENSIVOS (UCI)",IF(O140=CURSOS!$D$8,"MODELO DE ATENCION PARA EVENTOS EMERGENTES EN SALUD MENTAL (CODIGO VERDE)",IF(O140=CURSOS!$D$9,"HUMANIZACION EN EL SERVICIO DE LA SALUD Y BUENAS PRACTICAS EN PACIENTE ",IF(O140=CURSOS!$D$10,"CLINICA DE HERIDAS ",IF(O140=CURSOS!$D$11,"TOMA DE CITOLOGIA CERVICO VAGINAL ",IF(O140=CURSOS!$D$12,"SOPORTE CARDIOVASCULAR AVANZADO (ACLS) ",IF(O140=CURSOS!$D$13,"CAMILLERO ",IF(O140=CURSOS!$D$14,"TOMA DE MUESTRAS Y LABORATORIO ",IF(O140=CURSOS!$D$15,"SOPORTE VITAL BASICO (BLS)",IF(O140=CURSOS!$D$16,"ATENCION A VICTIMAS DE VIOLENCIA SEXUAL ",IF(O140=CURSOS!$D$17,"PROGRAMADO AMPLIADO DE INMUNIZACION (PAI - COVID 19)",IF(O140=CURSOS!$D$18,"ATENCION INTEGRAL EN ENFERMEDADES PREVALENTES EN PRIMERA INFANCIA (AIEPI)",IF(O140=CURSOS!$D$19,"ADMINISTRACION DE MEDICAMENTOS, INYECTOLOGIA  Y CANALIZACION ",IF(O140=CURSOS!$D$20,"OPERADOR DE VEHICULOS DE EMERGENCIA (OVE)",IF(O140=CURSOS!$D$21,"INSTITUCIONES AMIGAS DE LA MUJER Y LA INFANCIA (IAMI)",IF(O140=CURSOS!$D$22,"CUIDADO DEL DONANTE DE ORGANOS",IF(O140=CURSOS!$D$23,"ATENCION A VICTIMAS POR VIOLENCIA DE GENERO",IF(O140=CURSOS!$D$24,"IGUALDAD DE GENERO EN LA SALUD",IF(O140=CURSOS!$D$25,"BRIGADA DE EMERGENCIA",IF(O140=CURSOS!$D$26,"MANEJO DEL DOLOR Y CUIDADOS PALIATIVOS",IF(O140=CURSOS!$D$27,"TOMA DE MUESTRAS Y LABORATORIO POCT",IF(O140=CURSOS!$D$28,"IMPLANTE SUBDERMICO DE DISPOSITIVO INTRAUTERINO",IF(O140=CURSOS!$D$29,"SALUD MENTAL",IF(O140=CURSOS!$D$30,"PRIMEROS AUXILIOS PSICOLOGICOS",IF(O140=CURSOS!$D$31,"ATENCION A VICTIMAS POR CONFLICTO ARMADO",IF(O140=CURSOS!$D$32,"MANIPULACION DE ALIMENTOS Y BPM",IF(O140=CURSOS!$D$33,"ATENCION A PERSONAS CON DISCAPACIDAD",IF(O140=CURSOS!$D$34,"CUIDADO INTEGRAL DEL PACIENTE ADULTO",IF(O140=CURSOS!$D$35,"MANEJO DEFENSIVO",IF(O140=CURSOS!$D$36,"SOPORTE CARDIOVASCULAR AVANZADO NEONATAL",IF(O140=CURSOS!$D$37,"SEGURIDAD DEL PACIENTE",IF(O140=CURSOS!$D$38,"MANEJO DE RESIDUOS HOSPITALARIOS"))))))))))))))))))))))))))))))))))))</f>
        <v>0</v>
      </c>
      <c r="V140" s="46" t="str">
        <f t="shared" si="6"/>
        <v xml:space="preserve">   </v>
      </c>
      <c r="W140" s="46" t="str">
        <f t="shared" si="7"/>
        <v xml:space="preserve">   </v>
      </c>
      <c r="X140" s="46" t="str">
        <f t="shared" si="8"/>
        <v xml:space="preserve">   --</v>
      </c>
    </row>
    <row r="141" spans="1:24" x14ac:dyDescent="0.2">
      <c r="A141" s="68">
        <v>140</v>
      </c>
      <c r="I141" s="44"/>
      <c r="K141" s="47"/>
      <c r="P141" s="44"/>
      <c r="Q141" s="40"/>
      <c r="T141" s="88"/>
      <c r="U141" s="46" t="b">
        <f>IF(O141=CURSOS!$D$3,"DIPLOMADO EN ATENCION PRE-HOSPITALARIA",IF(O141=CURSOS!$D$4,"ACOMPAÑAMIENTO Y MANEJO DEL DUELO",IF(O141=CURSOS!$D$5,"ATENCION A VICTIMAS DE ATAQUE CON AGENTES QUIMICOS ",IF(O141=CURSOS!$D$6,"PRIMEROS AUXILIOS ",IF(O141=CURSOS!$D$7,"DIPLOMADO DE UNIDAD DE CUIDADOS INTENSIVOS (UCI)",IF(O141=CURSOS!$D$8,"MODELO DE ATENCION PARA EVENTOS EMERGENTES EN SALUD MENTAL (CODIGO VERDE)",IF(O141=CURSOS!$D$9,"HUMANIZACION EN EL SERVICIO DE LA SALUD Y BUENAS PRACTICAS EN PACIENTE ",IF(O141=CURSOS!$D$10,"CLINICA DE HERIDAS ",IF(O141=CURSOS!$D$11,"TOMA DE CITOLOGIA CERVICO VAGINAL ",IF(O141=CURSOS!$D$12,"SOPORTE CARDIOVASCULAR AVANZADO (ACLS) ",IF(O141=CURSOS!$D$13,"CAMILLERO ",IF(O141=CURSOS!$D$14,"TOMA DE MUESTRAS Y LABORATORIO ",IF(O141=CURSOS!$D$15,"SOPORTE VITAL BASICO (BLS)",IF(O141=CURSOS!$D$16,"ATENCION A VICTIMAS DE VIOLENCIA SEXUAL ",IF(O141=CURSOS!$D$17,"PROGRAMADO AMPLIADO DE INMUNIZACION (PAI - COVID 19)",IF(O141=CURSOS!$D$18,"ATENCION INTEGRAL EN ENFERMEDADES PREVALENTES EN PRIMERA INFANCIA (AIEPI)",IF(O141=CURSOS!$D$19,"ADMINISTRACION DE MEDICAMENTOS, INYECTOLOGIA  Y CANALIZACION ",IF(O141=CURSOS!$D$20,"OPERADOR DE VEHICULOS DE EMERGENCIA (OVE)",IF(O141=CURSOS!$D$21,"INSTITUCIONES AMIGAS DE LA MUJER Y LA INFANCIA (IAMI)",IF(O141=CURSOS!$D$22,"CUIDADO DEL DONANTE DE ORGANOS",IF(O141=CURSOS!$D$23,"ATENCION A VICTIMAS POR VIOLENCIA DE GENERO",IF(O141=CURSOS!$D$24,"IGUALDAD DE GENERO EN LA SALUD",IF(O141=CURSOS!$D$25,"BRIGADA DE EMERGENCIA",IF(O141=CURSOS!$D$26,"MANEJO DEL DOLOR Y CUIDADOS PALIATIVOS",IF(O141=CURSOS!$D$27,"TOMA DE MUESTRAS Y LABORATORIO POCT",IF(O141=CURSOS!$D$28,"IMPLANTE SUBDERMICO DE DISPOSITIVO INTRAUTERINO",IF(O141=CURSOS!$D$29,"SALUD MENTAL",IF(O141=CURSOS!$D$30,"PRIMEROS AUXILIOS PSICOLOGICOS",IF(O141=CURSOS!$D$31,"ATENCION A VICTIMAS POR CONFLICTO ARMADO",IF(O141=CURSOS!$D$32,"MANIPULACION DE ALIMENTOS Y BPM",IF(O141=CURSOS!$D$33,"ATENCION A PERSONAS CON DISCAPACIDAD",IF(O141=CURSOS!$D$34,"CUIDADO INTEGRAL DEL PACIENTE ADULTO",IF(O141=CURSOS!$D$35,"MANEJO DEFENSIVO",IF(O141=CURSOS!$D$36,"SOPORTE CARDIOVASCULAR AVANZADO NEONATAL",IF(O141=CURSOS!$D$37,"SEGURIDAD DEL PACIENTE",IF(O141=CURSOS!$D$38,"MANEJO DE RESIDUOS HOSPITALARIOS"))))))))))))))))))))))))))))))))))))</f>
        <v>0</v>
      </c>
      <c r="V141" s="46" t="str">
        <f t="shared" si="6"/>
        <v xml:space="preserve">   </v>
      </c>
      <c r="W141" s="46" t="str">
        <f t="shared" si="7"/>
        <v xml:space="preserve">   </v>
      </c>
      <c r="X141" s="46" t="str">
        <f t="shared" si="8"/>
        <v xml:space="preserve">   --</v>
      </c>
    </row>
    <row r="142" spans="1:24" x14ac:dyDescent="0.2">
      <c r="A142" s="68">
        <v>141</v>
      </c>
      <c r="I142" s="44"/>
      <c r="K142" s="47"/>
      <c r="P142" s="44"/>
      <c r="Q142" s="40"/>
      <c r="T142" s="88"/>
      <c r="U142" s="46" t="b">
        <f>IF(O142=CURSOS!$D$3,"DIPLOMADO EN ATENCION PRE-HOSPITALARIA",IF(O142=CURSOS!$D$4,"ACOMPAÑAMIENTO Y MANEJO DEL DUELO",IF(O142=CURSOS!$D$5,"ATENCION A VICTIMAS DE ATAQUE CON AGENTES QUIMICOS ",IF(O142=CURSOS!$D$6,"PRIMEROS AUXILIOS ",IF(O142=CURSOS!$D$7,"DIPLOMADO DE UNIDAD DE CUIDADOS INTENSIVOS (UCI)",IF(O142=CURSOS!$D$8,"MODELO DE ATENCION PARA EVENTOS EMERGENTES EN SALUD MENTAL (CODIGO VERDE)",IF(O142=CURSOS!$D$9,"HUMANIZACION EN EL SERVICIO DE LA SALUD Y BUENAS PRACTICAS EN PACIENTE ",IF(O142=CURSOS!$D$10,"CLINICA DE HERIDAS ",IF(O142=CURSOS!$D$11,"TOMA DE CITOLOGIA CERVICO VAGINAL ",IF(O142=CURSOS!$D$12,"SOPORTE CARDIOVASCULAR AVANZADO (ACLS) ",IF(O142=CURSOS!$D$13,"CAMILLERO ",IF(O142=CURSOS!$D$14,"TOMA DE MUESTRAS Y LABORATORIO ",IF(O142=CURSOS!$D$15,"SOPORTE VITAL BASICO (BLS)",IF(O142=CURSOS!$D$16,"ATENCION A VICTIMAS DE VIOLENCIA SEXUAL ",IF(O142=CURSOS!$D$17,"PROGRAMADO AMPLIADO DE INMUNIZACION (PAI - COVID 19)",IF(O142=CURSOS!$D$18,"ATENCION INTEGRAL EN ENFERMEDADES PREVALENTES EN PRIMERA INFANCIA (AIEPI)",IF(O142=CURSOS!$D$19,"ADMINISTRACION DE MEDICAMENTOS, INYECTOLOGIA  Y CANALIZACION ",IF(O142=CURSOS!$D$20,"OPERADOR DE VEHICULOS DE EMERGENCIA (OVE)",IF(O142=CURSOS!$D$21,"INSTITUCIONES AMIGAS DE LA MUJER Y LA INFANCIA (IAMI)",IF(O142=CURSOS!$D$22,"CUIDADO DEL DONANTE DE ORGANOS",IF(O142=CURSOS!$D$23,"ATENCION A VICTIMAS POR VIOLENCIA DE GENERO",IF(O142=CURSOS!$D$24,"IGUALDAD DE GENERO EN LA SALUD",IF(O142=CURSOS!$D$25,"BRIGADA DE EMERGENCIA",IF(O142=CURSOS!$D$26,"MANEJO DEL DOLOR Y CUIDADOS PALIATIVOS",IF(O142=CURSOS!$D$27,"TOMA DE MUESTRAS Y LABORATORIO POCT",IF(O142=CURSOS!$D$28,"IMPLANTE SUBDERMICO DE DISPOSITIVO INTRAUTERINO",IF(O142=CURSOS!$D$29,"SALUD MENTAL",IF(O142=CURSOS!$D$30,"PRIMEROS AUXILIOS PSICOLOGICOS",IF(O142=CURSOS!$D$31,"ATENCION A VICTIMAS POR CONFLICTO ARMADO",IF(O142=CURSOS!$D$32,"MANIPULACION DE ALIMENTOS Y BPM",IF(O142=CURSOS!$D$33,"ATENCION A PERSONAS CON DISCAPACIDAD",IF(O142=CURSOS!$D$34,"CUIDADO INTEGRAL DEL PACIENTE ADULTO",IF(O142=CURSOS!$D$35,"MANEJO DEFENSIVO",IF(O142=CURSOS!$D$36,"SOPORTE CARDIOVASCULAR AVANZADO NEONATAL",IF(O142=CURSOS!$D$37,"SEGURIDAD DEL PACIENTE",IF(O142=CURSOS!$D$38,"MANEJO DE RESIDUOS HOSPITALARIOS"))))))))))))))))))))))))))))))))))))</f>
        <v>0</v>
      </c>
      <c r="V142" s="46" t="str">
        <f t="shared" si="6"/>
        <v xml:space="preserve">   </v>
      </c>
      <c r="W142" s="46" t="str">
        <f t="shared" si="7"/>
        <v xml:space="preserve">   </v>
      </c>
      <c r="X142" s="46" t="str">
        <f t="shared" si="8"/>
        <v xml:space="preserve">   --</v>
      </c>
    </row>
    <row r="143" spans="1:24" x14ac:dyDescent="0.2">
      <c r="A143" s="68">
        <v>142</v>
      </c>
      <c r="I143" s="44"/>
      <c r="P143" s="44"/>
      <c r="T143" s="39"/>
      <c r="U143" s="46" t="b">
        <f>IF(O143=CURSOS!$D$3,"DIPLOMADO EN ATENCION PRE-HOSPITALARIA",IF(O143=CURSOS!$D$4,"ACOMPAÑAMIENTO Y MANEJO DEL DUELO",IF(O143=CURSOS!$D$5,"ATENCION A VICTIMAS DE ATAQUE CON AGENTES QUIMICOS ",IF(O143=CURSOS!$D$6,"PRIMEROS AUXILIOS ",IF(O143=CURSOS!$D$7,"DIPLOMADO DE UNIDAD DE CUIDADOS INTENSIVOS (UCI)",IF(O143=CURSOS!$D$8,"MODELO DE ATENCION PARA EVENTOS EMERGENTES EN SALUD MENTAL (CODIGO VERDE)",IF(O143=CURSOS!$D$9,"HUMANIZACION EN EL SERVICIO DE LA SALUD Y BUENAS PRACTICAS EN PACIENTE ",IF(O143=CURSOS!$D$10,"CLINICA DE HERIDAS ",IF(O143=CURSOS!$D$11,"TOMA DE CITOLOGIA CERVICO VAGINAL ",IF(O143=CURSOS!$D$12,"SOPORTE CARDIOVASCULAR AVANZADO (ACLS) ",IF(O143=CURSOS!$D$13,"CAMILLERO ",IF(O143=CURSOS!$D$14,"TOMA DE MUESTRAS Y LABORATORIO ",IF(O143=CURSOS!$D$15,"SOPORTE VITAL BASICO (BLS)",IF(O143=CURSOS!$D$16,"ATENCION A VICTIMAS DE VIOLENCIA SEXUAL ",IF(O143=CURSOS!$D$17,"PROGRAMADO AMPLIADO DE INMUNIZACION (PAI - COVID 19)",IF(O143=CURSOS!$D$18,"ATENCION INTEGRAL EN ENFERMEDADES PREVALENTES EN PRIMERA INFANCIA (AIEPI)",IF(O143=CURSOS!$D$19,"ADMINISTRACION DE MEDICAMENTOS, INYECTOLOGIA  Y CANALIZACION ",IF(O143=CURSOS!$D$20,"OPERADOR DE VEHICULOS DE EMERGENCIA (OVE)",IF(O143=CURSOS!$D$21,"INSTITUCIONES AMIGAS DE LA MUJER Y LA INFANCIA (IAMI)",IF(O143=CURSOS!$D$22,"CUIDADO DEL DONANTE DE ORGANOS",IF(O143=CURSOS!$D$23,"ATENCION A VICTIMAS POR VIOLENCIA DE GENERO",IF(O143=CURSOS!$D$24,"IGUALDAD DE GENERO EN LA SALUD",IF(O143=CURSOS!$D$25,"BRIGADA DE EMERGENCIA",IF(O143=CURSOS!$D$26,"MANEJO DEL DOLOR Y CUIDADOS PALIATIVOS",IF(O143=CURSOS!$D$27,"TOMA DE MUESTRAS Y LABORATORIO POCT",IF(O143=CURSOS!$D$28,"IMPLANTE SUBDERMICO DE DISPOSITIVO INTRAUTERINO",IF(O143=CURSOS!$D$29,"SALUD MENTAL",IF(O143=CURSOS!$D$30,"PRIMEROS AUXILIOS PSICOLOGICOS",IF(O143=CURSOS!$D$31,"ATENCION A VICTIMAS POR CONFLICTO ARMADO",IF(O143=CURSOS!$D$32,"MANIPULACION DE ALIMENTOS Y BPM",IF(O143=CURSOS!$D$33,"ATENCION A PERSONAS CON DISCAPACIDAD",IF(O143=CURSOS!$D$34,"CUIDADO INTEGRAL DEL PACIENTE ADULTO",IF(O143=CURSOS!$D$35,"MANEJO DEFENSIVO",IF(O143=CURSOS!$D$36,"SOPORTE CARDIOVASCULAR AVANZADO NEONATAL",IF(O143=CURSOS!$D$37,"SEGURIDAD DEL PACIENTE",IF(O143=CURSOS!$D$38,"MANEJO DE RESIDUOS HOSPITALARIOS"))))))))))))))))))))))))))))))))))))</f>
        <v>0</v>
      </c>
      <c r="V143" s="46" t="str">
        <f t="shared" si="6"/>
        <v xml:space="preserve">   </v>
      </c>
      <c r="W143" s="46" t="str">
        <f t="shared" si="7"/>
        <v xml:space="preserve">   </v>
      </c>
      <c r="X143" s="46" t="str">
        <f t="shared" si="8"/>
        <v xml:space="preserve">   --</v>
      </c>
    </row>
    <row r="144" spans="1:24" x14ac:dyDescent="0.2">
      <c r="A144" s="68">
        <v>143</v>
      </c>
      <c r="C144" s="40"/>
      <c r="D144" s="40"/>
      <c r="E144" s="40"/>
      <c r="F144" s="40"/>
      <c r="G144" s="40"/>
      <c r="I144" s="50"/>
      <c r="J144" s="51"/>
      <c r="L144" s="40"/>
      <c r="P144" s="44"/>
      <c r="Q144" s="40"/>
      <c r="S144" s="48"/>
      <c r="T144" s="39"/>
      <c r="U144" s="46" t="b">
        <f>IF(O144=CURSOS!$D$3,"DIPLOMADO EN ATENCION PRE-HOSPITALARIA",IF(O144=CURSOS!$D$4,"ACOMPAÑAMIENTO Y MANEJO DEL DUELO",IF(O144=CURSOS!$D$5,"ATENCION A VICTIMAS DE ATAQUE CON AGENTES QUIMICOS ",IF(O144=CURSOS!$D$6,"PRIMEROS AUXILIOS ",IF(O144=CURSOS!$D$7,"DIPLOMADO DE UNIDAD DE CUIDADOS INTENSIVOS (UCI)",IF(O144=CURSOS!$D$8,"MODELO DE ATENCION PARA EVENTOS EMERGENTES EN SALUD MENTAL (CODIGO VERDE)",IF(O144=CURSOS!$D$9,"HUMANIZACION EN EL SERVICIO DE LA SALUD Y BUENAS PRACTICAS EN PACIENTE ",IF(O144=CURSOS!$D$10,"CLINICA DE HERIDAS ",IF(O144=CURSOS!$D$11,"TOMA DE CITOLOGIA CERVICO VAGINAL ",IF(O144=CURSOS!$D$12,"SOPORTE CARDIOVASCULAR AVANZADO (ACLS) ",IF(O144=CURSOS!$D$13,"CAMILLERO ",IF(O144=CURSOS!$D$14,"TOMA DE MUESTRAS Y LABORATORIO ",IF(O144=CURSOS!$D$15,"SOPORTE VITAL BASICO (BLS)",IF(O144=CURSOS!$D$16,"ATENCION A VICTIMAS DE VIOLENCIA SEXUAL ",IF(O144=CURSOS!$D$17,"PROGRAMADO AMPLIADO DE INMUNIZACION (PAI - COVID 19)",IF(O144=CURSOS!$D$18,"ATENCION INTEGRAL EN ENFERMEDADES PREVALENTES EN PRIMERA INFANCIA (AIEPI)",IF(O144=CURSOS!$D$19,"ADMINISTRACION DE MEDICAMENTOS, INYECTOLOGIA  Y CANALIZACION ",IF(O144=CURSOS!$D$20,"OPERADOR DE VEHICULOS DE EMERGENCIA (OVE)",IF(O144=CURSOS!$D$21,"INSTITUCIONES AMIGAS DE LA MUJER Y LA INFANCIA (IAMI)",IF(O144=CURSOS!$D$22,"CUIDADO DEL DONANTE DE ORGANOS",IF(O144=CURSOS!$D$23,"ATENCION A VICTIMAS POR VIOLENCIA DE GENERO",IF(O144=CURSOS!$D$24,"IGUALDAD DE GENERO EN LA SALUD",IF(O144=CURSOS!$D$25,"BRIGADA DE EMERGENCIA",IF(O144=CURSOS!$D$26,"MANEJO DEL DOLOR Y CUIDADOS PALIATIVOS",IF(O144=CURSOS!$D$27,"TOMA DE MUESTRAS Y LABORATORIO POCT",IF(O144=CURSOS!$D$28,"IMPLANTE SUBDERMICO DE DISPOSITIVO INTRAUTERINO",IF(O144=CURSOS!$D$29,"SALUD MENTAL",IF(O144=CURSOS!$D$30,"PRIMEROS AUXILIOS PSICOLOGICOS",IF(O144=CURSOS!$D$31,"ATENCION A VICTIMAS POR CONFLICTO ARMADO",IF(O144=CURSOS!$D$32,"MANIPULACION DE ALIMENTOS Y BPM",IF(O144=CURSOS!$D$33,"ATENCION A PERSONAS CON DISCAPACIDAD",IF(O144=CURSOS!$D$34,"CUIDADO INTEGRAL DEL PACIENTE ADULTO",IF(O144=CURSOS!$D$35,"MANEJO DEFENSIVO",IF(O144=CURSOS!$D$36,"SOPORTE CARDIOVASCULAR AVANZADO NEONATAL",IF(O144=CURSOS!$D$37,"SEGURIDAD DEL PACIENTE",IF(O144=CURSOS!$D$38,"MANEJO DE RESIDUOS HOSPITALARIOS"))))))))))))))))))))))))))))))))))))</f>
        <v>0</v>
      </c>
      <c r="V144" s="46" t="str">
        <f t="shared" si="6"/>
        <v xml:space="preserve">   </v>
      </c>
      <c r="W144" s="46" t="str">
        <f t="shared" si="7"/>
        <v xml:space="preserve">   </v>
      </c>
      <c r="X144" s="46" t="str">
        <f t="shared" si="8"/>
        <v xml:space="preserve">   --</v>
      </c>
    </row>
    <row r="145" spans="1:24" x14ac:dyDescent="0.2">
      <c r="A145" s="68">
        <v>144</v>
      </c>
      <c r="C145" s="40"/>
      <c r="D145" s="40"/>
      <c r="E145" s="40"/>
      <c r="F145" s="40"/>
      <c r="G145" s="40"/>
      <c r="I145" s="50"/>
      <c r="J145" s="51"/>
      <c r="L145" s="40"/>
      <c r="P145" s="44"/>
      <c r="Q145" s="40"/>
      <c r="S145" s="48"/>
      <c r="T145" s="39"/>
      <c r="U145" s="46" t="b">
        <f>IF(O145=CURSOS!$D$3,"DIPLOMADO EN ATENCION PRE-HOSPITALARIA",IF(O145=CURSOS!$D$4,"ACOMPAÑAMIENTO Y MANEJO DEL DUELO",IF(O145=CURSOS!$D$5,"ATENCION A VICTIMAS DE ATAQUE CON AGENTES QUIMICOS ",IF(O145=CURSOS!$D$6,"PRIMEROS AUXILIOS ",IF(O145=CURSOS!$D$7,"DIPLOMADO DE UNIDAD DE CUIDADOS INTENSIVOS (UCI)",IF(O145=CURSOS!$D$8,"MODELO DE ATENCION PARA EVENTOS EMERGENTES EN SALUD MENTAL (CODIGO VERDE)",IF(O145=CURSOS!$D$9,"HUMANIZACION EN EL SERVICIO DE LA SALUD Y BUENAS PRACTICAS EN PACIENTE ",IF(O145=CURSOS!$D$10,"CLINICA DE HERIDAS ",IF(O145=CURSOS!$D$11,"TOMA DE CITOLOGIA CERVICO VAGINAL ",IF(O145=CURSOS!$D$12,"SOPORTE CARDIOVASCULAR AVANZADO (ACLS) ",IF(O145=CURSOS!$D$13,"CAMILLERO ",IF(O145=CURSOS!$D$14,"TOMA DE MUESTRAS Y LABORATORIO ",IF(O145=CURSOS!$D$15,"SOPORTE VITAL BASICO (BLS)",IF(O145=CURSOS!$D$16,"ATENCION A VICTIMAS DE VIOLENCIA SEXUAL ",IF(O145=CURSOS!$D$17,"PROGRAMADO AMPLIADO DE INMUNIZACION (PAI - COVID 19)",IF(O145=CURSOS!$D$18,"ATENCION INTEGRAL EN ENFERMEDADES PREVALENTES EN PRIMERA INFANCIA (AIEPI)",IF(O145=CURSOS!$D$19,"ADMINISTRACION DE MEDICAMENTOS, INYECTOLOGIA  Y CANALIZACION ",IF(O145=CURSOS!$D$20,"OPERADOR DE VEHICULOS DE EMERGENCIA (OVE)",IF(O145=CURSOS!$D$21,"INSTITUCIONES AMIGAS DE LA MUJER Y LA INFANCIA (IAMI)",IF(O145=CURSOS!$D$22,"CUIDADO DEL DONANTE DE ORGANOS",IF(O145=CURSOS!$D$23,"ATENCION A VICTIMAS POR VIOLENCIA DE GENERO",IF(O145=CURSOS!$D$24,"IGUALDAD DE GENERO EN LA SALUD",IF(O145=CURSOS!$D$25,"BRIGADA DE EMERGENCIA",IF(O145=CURSOS!$D$26,"MANEJO DEL DOLOR Y CUIDADOS PALIATIVOS",IF(O145=CURSOS!$D$27,"TOMA DE MUESTRAS Y LABORATORIO POCT",IF(O145=CURSOS!$D$28,"IMPLANTE SUBDERMICO DE DISPOSITIVO INTRAUTERINO",IF(O145=CURSOS!$D$29,"SALUD MENTAL",IF(O145=CURSOS!$D$30,"PRIMEROS AUXILIOS PSICOLOGICOS",IF(O145=CURSOS!$D$31,"ATENCION A VICTIMAS POR CONFLICTO ARMADO",IF(O145=CURSOS!$D$32,"MANIPULACION DE ALIMENTOS Y BPM",IF(O145=CURSOS!$D$33,"ATENCION A PERSONAS CON DISCAPACIDAD",IF(O145=CURSOS!$D$34,"CUIDADO INTEGRAL DEL PACIENTE ADULTO",IF(O145=CURSOS!$D$35,"MANEJO DEFENSIVO",IF(O145=CURSOS!$D$36,"SOPORTE CARDIOVASCULAR AVANZADO NEONATAL",IF(O145=CURSOS!$D$37,"SEGURIDAD DEL PACIENTE",IF(O145=CURSOS!$D$38,"MANEJO DE RESIDUOS HOSPITALARIOS"))))))))))))))))))))))))))))))))))))</f>
        <v>0</v>
      </c>
      <c r="V145" s="46" t="str">
        <f t="shared" si="6"/>
        <v xml:space="preserve">   </v>
      </c>
      <c r="W145" s="46" t="str">
        <f t="shared" si="7"/>
        <v xml:space="preserve">   </v>
      </c>
      <c r="X145" s="46" t="str">
        <f t="shared" si="8"/>
        <v xml:space="preserve">   --</v>
      </c>
    </row>
    <row r="146" spans="1:24" x14ac:dyDescent="0.2">
      <c r="A146" s="68">
        <v>145</v>
      </c>
      <c r="I146" s="44"/>
      <c r="P146" s="44"/>
      <c r="S146" s="48"/>
      <c r="T146" s="39"/>
      <c r="U146" s="46" t="b">
        <f>IF(O146=CURSOS!$D$3,"DIPLOMADO EN ATENCION PRE-HOSPITALARIA",IF(O146=CURSOS!$D$4,"ACOMPAÑAMIENTO Y MANEJO DEL DUELO",IF(O146=CURSOS!$D$5,"ATENCION A VICTIMAS DE ATAQUE CON AGENTES QUIMICOS ",IF(O146=CURSOS!$D$6,"PRIMEROS AUXILIOS ",IF(O146=CURSOS!$D$7,"DIPLOMADO DE UNIDAD DE CUIDADOS INTENSIVOS (UCI)",IF(O146=CURSOS!$D$8,"MODELO DE ATENCION PARA EVENTOS EMERGENTES EN SALUD MENTAL (CODIGO VERDE)",IF(O146=CURSOS!$D$9,"HUMANIZACION EN EL SERVICIO DE LA SALUD Y BUENAS PRACTICAS EN PACIENTE ",IF(O146=CURSOS!$D$10,"CLINICA DE HERIDAS ",IF(O146=CURSOS!$D$11,"TOMA DE CITOLOGIA CERVICO VAGINAL ",IF(O146=CURSOS!$D$12,"SOPORTE CARDIOVASCULAR AVANZADO (ACLS) ",IF(O146=CURSOS!$D$13,"CAMILLERO ",IF(O146=CURSOS!$D$14,"TOMA DE MUESTRAS Y LABORATORIO ",IF(O146=CURSOS!$D$15,"SOPORTE VITAL BASICO (BLS)",IF(O146=CURSOS!$D$16,"ATENCION A VICTIMAS DE VIOLENCIA SEXUAL ",IF(O146=CURSOS!$D$17,"PROGRAMADO AMPLIADO DE INMUNIZACION (PAI - COVID 19)",IF(O146=CURSOS!$D$18,"ATENCION INTEGRAL EN ENFERMEDADES PREVALENTES EN PRIMERA INFANCIA (AIEPI)",IF(O146=CURSOS!$D$19,"ADMINISTRACION DE MEDICAMENTOS, INYECTOLOGIA  Y CANALIZACION ",IF(O146=CURSOS!$D$20,"OPERADOR DE VEHICULOS DE EMERGENCIA (OVE)",IF(O146=CURSOS!$D$21,"INSTITUCIONES AMIGAS DE LA MUJER Y LA INFANCIA (IAMI)",IF(O146=CURSOS!$D$22,"CUIDADO DEL DONANTE DE ORGANOS",IF(O146=CURSOS!$D$23,"ATENCION A VICTIMAS POR VIOLENCIA DE GENERO",IF(O146=CURSOS!$D$24,"IGUALDAD DE GENERO EN LA SALUD",IF(O146=CURSOS!$D$25,"BRIGADA DE EMERGENCIA",IF(O146=CURSOS!$D$26,"MANEJO DEL DOLOR Y CUIDADOS PALIATIVOS",IF(O146=CURSOS!$D$27,"TOMA DE MUESTRAS Y LABORATORIO POCT",IF(O146=CURSOS!$D$28,"IMPLANTE SUBDERMICO DE DISPOSITIVO INTRAUTERINO",IF(O146=CURSOS!$D$29,"SALUD MENTAL",IF(O146=CURSOS!$D$30,"PRIMEROS AUXILIOS PSICOLOGICOS",IF(O146=CURSOS!$D$31,"ATENCION A VICTIMAS POR CONFLICTO ARMADO",IF(O146=CURSOS!$D$32,"MANIPULACION DE ALIMENTOS Y BPM",IF(O146=CURSOS!$D$33,"ATENCION A PERSONAS CON DISCAPACIDAD",IF(O146=CURSOS!$D$34,"CUIDADO INTEGRAL DEL PACIENTE ADULTO",IF(O146=CURSOS!$D$35,"MANEJO DEFENSIVO",IF(O146=CURSOS!$D$36,"SOPORTE CARDIOVASCULAR AVANZADO NEONATAL",IF(O146=CURSOS!$D$37,"SEGURIDAD DEL PACIENTE",IF(O146=CURSOS!$D$38,"MANEJO DE RESIDUOS HOSPITALARIOS"))))))))))))))))))))))))))))))))))))</f>
        <v>0</v>
      </c>
      <c r="V146" s="46" t="str">
        <f t="shared" si="6"/>
        <v xml:space="preserve">   </v>
      </c>
      <c r="W146" s="46" t="str">
        <f t="shared" si="7"/>
        <v xml:space="preserve">   </v>
      </c>
      <c r="X146" s="46" t="str">
        <f t="shared" si="8"/>
        <v xml:space="preserve">   --</v>
      </c>
    </row>
    <row r="147" spans="1:24" x14ac:dyDescent="0.2">
      <c r="A147" s="68">
        <v>146</v>
      </c>
      <c r="I147" s="44"/>
      <c r="P147" s="44"/>
      <c r="R147" s="88"/>
      <c r="S147" s="48"/>
      <c r="T147" s="39"/>
      <c r="U147" s="46" t="b">
        <f>IF(O147=CURSOS!$D$3,"DIPLOMADO EN ATENCION PRE-HOSPITALARIA",IF(O147=CURSOS!$D$4,"ACOMPAÑAMIENTO Y MANEJO DEL DUELO",IF(O147=CURSOS!$D$5,"ATENCION A VICTIMAS DE ATAQUE CON AGENTES QUIMICOS ",IF(O147=CURSOS!$D$6,"PRIMEROS AUXILIOS ",IF(O147=CURSOS!$D$7,"DIPLOMADO DE UNIDAD DE CUIDADOS INTENSIVOS (UCI)",IF(O147=CURSOS!$D$8,"MODELO DE ATENCION PARA EVENTOS EMERGENTES EN SALUD MENTAL (CODIGO VERDE)",IF(O147=CURSOS!$D$9,"HUMANIZACION EN EL SERVICIO DE LA SALUD Y BUENAS PRACTICAS EN PACIENTE ",IF(O147=CURSOS!$D$10,"CLINICA DE HERIDAS ",IF(O147=CURSOS!$D$11,"TOMA DE CITOLOGIA CERVICO VAGINAL ",IF(O147=CURSOS!$D$12,"SOPORTE CARDIOVASCULAR AVANZADO (ACLS) ",IF(O147=CURSOS!$D$13,"CAMILLERO ",IF(O147=CURSOS!$D$14,"TOMA DE MUESTRAS Y LABORATORIO ",IF(O147=CURSOS!$D$15,"SOPORTE VITAL BASICO (BLS)",IF(O147=CURSOS!$D$16,"ATENCION A VICTIMAS DE VIOLENCIA SEXUAL ",IF(O147=CURSOS!$D$17,"PROGRAMADO AMPLIADO DE INMUNIZACION (PAI - COVID 19)",IF(O147=CURSOS!$D$18,"ATENCION INTEGRAL EN ENFERMEDADES PREVALENTES EN PRIMERA INFANCIA (AIEPI)",IF(O147=CURSOS!$D$19,"ADMINISTRACION DE MEDICAMENTOS, INYECTOLOGIA  Y CANALIZACION ",IF(O147=CURSOS!$D$20,"OPERADOR DE VEHICULOS DE EMERGENCIA (OVE)",IF(O147=CURSOS!$D$21,"INSTITUCIONES AMIGAS DE LA MUJER Y LA INFANCIA (IAMI)",IF(O147=CURSOS!$D$22,"CUIDADO DEL DONANTE DE ORGANOS",IF(O147=CURSOS!$D$23,"ATENCION A VICTIMAS POR VIOLENCIA DE GENERO",IF(O147=CURSOS!$D$24,"IGUALDAD DE GENERO EN LA SALUD",IF(O147=CURSOS!$D$25,"BRIGADA DE EMERGENCIA",IF(O147=CURSOS!$D$26,"MANEJO DEL DOLOR Y CUIDADOS PALIATIVOS",IF(O147=CURSOS!$D$27,"TOMA DE MUESTRAS Y LABORATORIO POCT",IF(O147=CURSOS!$D$28,"IMPLANTE SUBDERMICO DE DISPOSITIVO INTRAUTERINO",IF(O147=CURSOS!$D$29,"SALUD MENTAL",IF(O147=CURSOS!$D$30,"PRIMEROS AUXILIOS PSICOLOGICOS",IF(O147=CURSOS!$D$31,"ATENCION A VICTIMAS POR CONFLICTO ARMADO",IF(O147=CURSOS!$D$32,"MANIPULACION DE ALIMENTOS Y BPM",IF(O147=CURSOS!$D$33,"ATENCION A PERSONAS CON DISCAPACIDAD",IF(O147=CURSOS!$D$34,"CUIDADO INTEGRAL DEL PACIENTE ADULTO",IF(O147=CURSOS!$D$35,"MANEJO DEFENSIVO",IF(O147=CURSOS!$D$36,"SOPORTE CARDIOVASCULAR AVANZADO NEONATAL",IF(O147=CURSOS!$D$37,"SEGURIDAD DEL PACIENTE",IF(O147=CURSOS!$D$38,"MANEJO DE RESIDUOS HOSPITALARIOS"))))))))))))))))))))))))))))))))))))</f>
        <v>0</v>
      </c>
      <c r="V147" s="46" t="str">
        <f t="shared" si="6"/>
        <v xml:space="preserve">   </v>
      </c>
      <c r="W147" s="46" t="str">
        <f t="shared" si="7"/>
        <v xml:space="preserve">   </v>
      </c>
      <c r="X147" s="46" t="str">
        <f t="shared" si="8"/>
        <v xml:space="preserve">   --</v>
      </c>
    </row>
    <row r="148" spans="1:24" x14ac:dyDescent="0.2">
      <c r="A148" s="68">
        <v>147</v>
      </c>
      <c r="I148" s="44"/>
      <c r="K148" s="47"/>
      <c r="P148" s="44"/>
      <c r="R148" s="88"/>
      <c r="S148" s="48"/>
      <c r="T148" s="39"/>
      <c r="U148" s="46" t="b">
        <f>IF(O148=CURSOS!$D$3,"DIPLOMADO EN ATENCION PRE-HOSPITALARIA",IF(O148=CURSOS!$D$4,"ACOMPAÑAMIENTO Y MANEJO DEL DUELO",IF(O148=CURSOS!$D$5,"ATENCION A VICTIMAS DE ATAQUE CON AGENTES QUIMICOS ",IF(O148=CURSOS!$D$6,"PRIMEROS AUXILIOS ",IF(O148=CURSOS!$D$7,"DIPLOMADO DE UNIDAD DE CUIDADOS INTENSIVOS (UCI)",IF(O148=CURSOS!$D$8,"MODELO DE ATENCION PARA EVENTOS EMERGENTES EN SALUD MENTAL (CODIGO VERDE)",IF(O148=CURSOS!$D$9,"HUMANIZACION EN EL SERVICIO DE LA SALUD Y BUENAS PRACTICAS EN PACIENTE ",IF(O148=CURSOS!$D$10,"CLINICA DE HERIDAS ",IF(O148=CURSOS!$D$11,"TOMA DE CITOLOGIA CERVICO VAGINAL ",IF(O148=CURSOS!$D$12,"SOPORTE CARDIOVASCULAR AVANZADO (ACLS) ",IF(O148=CURSOS!$D$13,"CAMILLERO ",IF(O148=CURSOS!$D$14,"TOMA DE MUESTRAS Y LABORATORIO ",IF(O148=CURSOS!$D$15,"SOPORTE VITAL BASICO (BLS)",IF(O148=CURSOS!$D$16,"ATENCION A VICTIMAS DE VIOLENCIA SEXUAL ",IF(O148=CURSOS!$D$17,"PROGRAMADO AMPLIADO DE INMUNIZACION (PAI - COVID 19)",IF(O148=CURSOS!$D$18,"ATENCION INTEGRAL EN ENFERMEDADES PREVALENTES EN PRIMERA INFANCIA (AIEPI)",IF(O148=CURSOS!$D$19,"ADMINISTRACION DE MEDICAMENTOS, INYECTOLOGIA  Y CANALIZACION ",IF(O148=CURSOS!$D$20,"OPERADOR DE VEHICULOS DE EMERGENCIA (OVE)",IF(O148=CURSOS!$D$21,"INSTITUCIONES AMIGAS DE LA MUJER Y LA INFANCIA (IAMI)",IF(O148=CURSOS!$D$22,"CUIDADO DEL DONANTE DE ORGANOS",IF(O148=CURSOS!$D$23,"ATENCION A VICTIMAS POR VIOLENCIA DE GENERO",IF(O148=CURSOS!$D$24,"IGUALDAD DE GENERO EN LA SALUD",IF(O148=CURSOS!$D$25,"BRIGADA DE EMERGENCIA",IF(O148=CURSOS!$D$26,"MANEJO DEL DOLOR Y CUIDADOS PALIATIVOS",IF(O148=CURSOS!$D$27,"TOMA DE MUESTRAS Y LABORATORIO POCT",IF(O148=CURSOS!$D$28,"IMPLANTE SUBDERMICO DE DISPOSITIVO INTRAUTERINO",IF(O148=CURSOS!$D$29,"SALUD MENTAL",IF(O148=CURSOS!$D$30,"PRIMEROS AUXILIOS PSICOLOGICOS",IF(O148=CURSOS!$D$31,"ATENCION A VICTIMAS POR CONFLICTO ARMADO",IF(O148=CURSOS!$D$32,"MANIPULACION DE ALIMENTOS Y BPM",IF(O148=CURSOS!$D$33,"ATENCION A PERSONAS CON DISCAPACIDAD",IF(O148=CURSOS!$D$34,"CUIDADO INTEGRAL DEL PACIENTE ADULTO",IF(O148=CURSOS!$D$35,"MANEJO DEFENSIVO",IF(O148=CURSOS!$D$36,"SOPORTE CARDIOVASCULAR AVANZADO NEONATAL",IF(O148=CURSOS!$D$37,"SEGURIDAD DEL PACIENTE",IF(O148=CURSOS!$D$38,"MANEJO DE RESIDUOS HOSPITALARIOS"))))))))))))))))))))))))))))))))))))</f>
        <v>0</v>
      </c>
      <c r="V148" s="46" t="str">
        <f t="shared" si="6"/>
        <v xml:space="preserve">   </v>
      </c>
      <c r="W148" s="46" t="str">
        <f t="shared" si="7"/>
        <v xml:space="preserve">   </v>
      </c>
      <c r="X148" s="46" t="str">
        <f t="shared" si="8"/>
        <v xml:space="preserve">   --</v>
      </c>
    </row>
    <row r="149" spans="1:24" x14ac:dyDescent="0.2">
      <c r="A149" s="68">
        <v>148</v>
      </c>
      <c r="I149" s="44"/>
      <c r="K149" s="47"/>
      <c r="P149" s="44"/>
      <c r="R149" s="88"/>
      <c r="S149" s="48"/>
      <c r="T149" s="39"/>
      <c r="U149" s="46" t="b">
        <f>IF(O149=CURSOS!$D$3,"DIPLOMADO EN ATENCION PRE-HOSPITALARIA",IF(O149=CURSOS!$D$4,"ACOMPAÑAMIENTO Y MANEJO DEL DUELO",IF(O149=CURSOS!$D$5,"ATENCION A VICTIMAS DE ATAQUE CON AGENTES QUIMICOS ",IF(O149=CURSOS!$D$6,"PRIMEROS AUXILIOS ",IF(O149=CURSOS!$D$7,"DIPLOMADO DE UNIDAD DE CUIDADOS INTENSIVOS (UCI)",IF(O149=CURSOS!$D$8,"MODELO DE ATENCION PARA EVENTOS EMERGENTES EN SALUD MENTAL (CODIGO VERDE)",IF(O149=CURSOS!$D$9,"HUMANIZACION EN EL SERVICIO DE LA SALUD Y BUENAS PRACTICAS EN PACIENTE ",IF(O149=CURSOS!$D$10,"CLINICA DE HERIDAS ",IF(O149=CURSOS!$D$11,"TOMA DE CITOLOGIA CERVICO VAGINAL ",IF(O149=CURSOS!$D$12,"SOPORTE CARDIOVASCULAR AVANZADO (ACLS) ",IF(O149=CURSOS!$D$13,"CAMILLERO ",IF(O149=CURSOS!$D$14,"TOMA DE MUESTRAS Y LABORATORIO ",IF(O149=CURSOS!$D$15,"SOPORTE VITAL BASICO (BLS)",IF(O149=CURSOS!$D$16,"ATENCION A VICTIMAS DE VIOLENCIA SEXUAL ",IF(O149=CURSOS!$D$17,"PROGRAMADO AMPLIADO DE INMUNIZACION (PAI - COVID 19)",IF(O149=CURSOS!$D$18,"ATENCION INTEGRAL EN ENFERMEDADES PREVALENTES EN PRIMERA INFANCIA (AIEPI)",IF(O149=CURSOS!$D$19,"ADMINISTRACION DE MEDICAMENTOS, INYECTOLOGIA  Y CANALIZACION ",IF(O149=CURSOS!$D$20,"OPERADOR DE VEHICULOS DE EMERGENCIA (OVE)",IF(O149=CURSOS!$D$21,"INSTITUCIONES AMIGAS DE LA MUJER Y LA INFANCIA (IAMI)",IF(O149=CURSOS!$D$22,"CUIDADO DEL DONANTE DE ORGANOS",IF(O149=CURSOS!$D$23,"ATENCION A VICTIMAS POR VIOLENCIA DE GENERO",IF(O149=CURSOS!$D$24,"IGUALDAD DE GENERO EN LA SALUD",IF(O149=CURSOS!$D$25,"BRIGADA DE EMERGENCIA",IF(O149=CURSOS!$D$26,"MANEJO DEL DOLOR Y CUIDADOS PALIATIVOS",IF(O149=CURSOS!$D$27,"TOMA DE MUESTRAS Y LABORATORIO POCT",IF(O149=CURSOS!$D$28,"IMPLANTE SUBDERMICO DE DISPOSITIVO INTRAUTERINO",IF(O149=CURSOS!$D$29,"SALUD MENTAL",IF(O149=CURSOS!$D$30,"PRIMEROS AUXILIOS PSICOLOGICOS",IF(O149=CURSOS!$D$31,"ATENCION A VICTIMAS POR CONFLICTO ARMADO",IF(O149=CURSOS!$D$32,"MANIPULACION DE ALIMENTOS Y BPM",IF(O149=CURSOS!$D$33,"ATENCION A PERSONAS CON DISCAPACIDAD",IF(O149=CURSOS!$D$34,"CUIDADO INTEGRAL DEL PACIENTE ADULTO",IF(O149=CURSOS!$D$35,"MANEJO DEFENSIVO",IF(O149=CURSOS!$D$36,"SOPORTE CARDIOVASCULAR AVANZADO NEONATAL",IF(O149=CURSOS!$D$37,"SEGURIDAD DEL PACIENTE",IF(O149=CURSOS!$D$38,"MANEJO DE RESIDUOS HOSPITALARIOS"))))))))))))))))))))))))))))))))))))</f>
        <v>0</v>
      </c>
      <c r="V149" s="46" t="str">
        <f t="shared" si="6"/>
        <v xml:space="preserve">   </v>
      </c>
      <c r="W149" s="46" t="str">
        <f t="shared" si="7"/>
        <v xml:space="preserve">   </v>
      </c>
      <c r="X149" s="46" t="str">
        <f t="shared" si="8"/>
        <v xml:space="preserve">   --</v>
      </c>
    </row>
    <row r="150" spans="1:24" x14ac:dyDescent="0.2">
      <c r="A150" s="68">
        <v>149</v>
      </c>
      <c r="I150" s="44"/>
      <c r="K150" s="47"/>
      <c r="P150" s="44"/>
      <c r="R150" s="88"/>
      <c r="S150" s="48"/>
      <c r="T150" s="39"/>
      <c r="U150" s="46" t="b">
        <f>IF(O150=CURSOS!$D$3,"DIPLOMADO EN ATENCION PRE-HOSPITALARIA",IF(O150=CURSOS!$D$4,"ACOMPAÑAMIENTO Y MANEJO DEL DUELO",IF(O150=CURSOS!$D$5,"ATENCION A VICTIMAS DE ATAQUE CON AGENTES QUIMICOS ",IF(O150=CURSOS!$D$6,"PRIMEROS AUXILIOS ",IF(O150=CURSOS!$D$7,"DIPLOMADO DE UNIDAD DE CUIDADOS INTENSIVOS (UCI)",IF(O150=CURSOS!$D$8,"MODELO DE ATENCION PARA EVENTOS EMERGENTES EN SALUD MENTAL (CODIGO VERDE)",IF(O150=CURSOS!$D$9,"HUMANIZACION EN EL SERVICIO DE LA SALUD Y BUENAS PRACTICAS EN PACIENTE ",IF(O150=CURSOS!$D$10,"CLINICA DE HERIDAS ",IF(O150=CURSOS!$D$11,"TOMA DE CITOLOGIA CERVICO VAGINAL ",IF(O150=CURSOS!$D$12,"SOPORTE CARDIOVASCULAR AVANZADO (ACLS) ",IF(O150=CURSOS!$D$13,"CAMILLERO ",IF(O150=CURSOS!$D$14,"TOMA DE MUESTRAS Y LABORATORIO ",IF(O150=CURSOS!$D$15,"SOPORTE VITAL BASICO (BLS)",IF(O150=CURSOS!$D$16,"ATENCION A VICTIMAS DE VIOLENCIA SEXUAL ",IF(O150=CURSOS!$D$17,"PROGRAMADO AMPLIADO DE INMUNIZACION (PAI - COVID 19)",IF(O150=CURSOS!$D$18,"ATENCION INTEGRAL EN ENFERMEDADES PREVALENTES EN PRIMERA INFANCIA (AIEPI)",IF(O150=CURSOS!$D$19,"ADMINISTRACION DE MEDICAMENTOS, INYECTOLOGIA  Y CANALIZACION ",IF(O150=CURSOS!$D$20,"OPERADOR DE VEHICULOS DE EMERGENCIA (OVE)",IF(O150=CURSOS!$D$21,"INSTITUCIONES AMIGAS DE LA MUJER Y LA INFANCIA (IAMI)",IF(O150=CURSOS!$D$22,"CUIDADO DEL DONANTE DE ORGANOS",IF(O150=CURSOS!$D$23,"ATENCION A VICTIMAS POR VIOLENCIA DE GENERO",IF(O150=CURSOS!$D$24,"IGUALDAD DE GENERO EN LA SALUD",IF(O150=CURSOS!$D$25,"BRIGADA DE EMERGENCIA",IF(O150=CURSOS!$D$26,"MANEJO DEL DOLOR Y CUIDADOS PALIATIVOS",IF(O150=CURSOS!$D$27,"TOMA DE MUESTRAS Y LABORATORIO POCT",IF(O150=CURSOS!$D$28,"IMPLANTE SUBDERMICO DE DISPOSITIVO INTRAUTERINO",IF(O150=CURSOS!$D$29,"SALUD MENTAL",IF(O150=CURSOS!$D$30,"PRIMEROS AUXILIOS PSICOLOGICOS",IF(O150=CURSOS!$D$31,"ATENCION A VICTIMAS POR CONFLICTO ARMADO",IF(O150=CURSOS!$D$32,"MANIPULACION DE ALIMENTOS Y BPM",IF(O150=CURSOS!$D$33,"ATENCION A PERSONAS CON DISCAPACIDAD",IF(O150=CURSOS!$D$34,"CUIDADO INTEGRAL DEL PACIENTE ADULTO",IF(O150=CURSOS!$D$35,"MANEJO DEFENSIVO",IF(O150=CURSOS!$D$36,"SOPORTE CARDIOVASCULAR AVANZADO NEONATAL",IF(O150=CURSOS!$D$37,"SEGURIDAD DEL PACIENTE",IF(O150=CURSOS!$D$38,"MANEJO DE RESIDUOS HOSPITALARIOS"))))))))))))))))))))))))))))))))))))</f>
        <v>0</v>
      </c>
      <c r="V150" s="46" t="str">
        <f t="shared" si="6"/>
        <v xml:space="preserve">   </v>
      </c>
      <c r="W150" s="46" t="str">
        <f t="shared" si="7"/>
        <v xml:space="preserve">   </v>
      </c>
      <c r="X150" s="46" t="str">
        <f t="shared" si="8"/>
        <v xml:space="preserve">   --</v>
      </c>
    </row>
    <row r="151" spans="1:24" x14ac:dyDescent="0.2">
      <c r="A151" s="68">
        <v>150</v>
      </c>
      <c r="I151" s="44"/>
      <c r="K151" s="47"/>
      <c r="P151" s="44"/>
      <c r="R151" s="88"/>
      <c r="S151" s="48"/>
      <c r="T151" s="39"/>
      <c r="U151" s="46" t="b">
        <f>IF(O151=CURSOS!$D$3,"DIPLOMADO EN ATENCION PRE-HOSPITALARIA",IF(O151=CURSOS!$D$4,"ACOMPAÑAMIENTO Y MANEJO DEL DUELO",IF(O151=CURSOS!$D$5,"ATENCION A VICTIMAS DE ATAQUE CON AGENTES QUIMICOS ",IF(O151=CURSOS!$D$6,"PRIMEROS AUXILIOS ",IF(O151=CURSOS!$D$7,"DIPLOMADO DE UNIDAD DE CUIDADOS INTENSIVOS (UCI)",IF(O151=CURSOS!$D$8,"MODELO DE ATENCION PARA EVENTOS EMERGENTES EN SALUD MENTAL (CODIGO VERDE)",IF(O151=CURSOS!$D$9,"HUMANIZACION EN EL SERVICIO DE LA SALUD Y BUENAS PRACTICAS EN PACIENTE ",IF(O151=CURSOS!$D$10,"CLINICA DE HERIDAS ",IF(O151=CURSOS!$D$11,"TOMA DE CITOLOGIA CERVICO VAGINAL ",IF(O151=CURSOS!$D$12,"SOPORTE CARDIOVASCULAR AVANZADO (ACLS) ",IF(O151=CURSOS!$D$13,"CAMILLERO ",IF(O151=CURSOS!$D$14,"TOMA DE MUESTRAS Y LABORATORIO ",IF(O151=CURSOS!$D$15,"SOPORTE VITAL BASICO (BLS)",IF(O151=CURSOS!$D$16,"ATENCION A VICTIMAS DE VIOLENCIA SEXUAL ",IF(O151=CURSOS!$D$17,"PROGRAMADO AMPLIADO DE INMUNIZACION (PAI - COVID 19)",IF(O151=CURSOS!$D$18,"ATENCION INTEGRAL EN ENFERMEDADES PREVALENTES EN PRIMERA INFANCIA (AIEPI)",IF(O151=CURSOS!$D$19,"ADMINISTRACION DE MEDICAMENTOS, INYECTOLOGIA  Y CANALIZACION ",IF(O151=CURSOS!$D$20,"OPERADOR DE VEHICULOS DE EMERGENCIA (OVE)",IF(O151=CURSOS!$D$21,"INSTITUCIONES AMIGAS DE LA MUJER Y LA INFANCIA (IAMI)",IF(O151=CURSOS!$D$22,"CUIDADO DEL DONANTE DE ORGANOS",IF(O151=CURSOS!$D$23,"ATENCION A VICTIMAS POR VIOLENCIA DE GENERO",IF(O151=CURSOS!$D$24,"IGUALDAD DE GENERO EN LA SALUD",IF(O151=CURSOS!$D$25,"BRIGADA DE EMERGENCIA",IF(O151=CURSOS!$D$26,"MANEJO DEL DOLOR Y CUIDADOS PALIATIVOS",IF(O151=CURSOS!$D$27,"TOMA DE MUESTRAS Y LABORATORIO POCT",IF(O151=CURSOS!$D$28,"IMPLANTE SUBDERMICO DE DISPOSITIVO INTRAUTERINO",IF(O151=CURSOS!$D$29,"SALUD MENTAL",IF(O151=CURSOS!$D$30,"PRIMEROS AUXILIOS PSICOLOGICOS",IF(O151=CURSOS!$D$31,"ATENCION A VICTIMAS POR CONFLICTO ARMADO",IF(O151=CURSOS!$D$32,"MANIPULACION DE ALIMENTOS Y BPM",IF(O151=CURSOS!$D$33,"ATENCION A PERSONAS CON DISCAPACIDAD",IF(O151=CURSOS!$D$34,"CUIDADO INTEGRAL DEL PACIENTE ADULTO",IF(O151=CURSOS!$D$35,"MANEJO DEFENSIVO",IF(O151=CURSOS!$D$36,"SOPORTE CARDIOVASCULAR AVANZADO NEONATAL",IF(O151=CURSOS!$D$37,"SEGURIDAD DEL PACIENTE",IF(O151=CURSOS!$D$38,"MANEJO DE RESIDUOS HOSPITALARIOS"))))))))))))))))))))))))))))))))))))</f>
        <v>0</v>
      </c>
      <c r="V151" s="46" t="str">
        <f t="shared" si="6"/>
        <v xml:space="preserve">   </v>
      </c>
      <c r="W151" s="46" t="str">
        <f t="shared" si="7"/>
        <v xml:space="preserve">   </v>
      </c>
      <c r="X151" s="46" t="str">
        <f t="shared" si="8"/>
        <v xml:space="preserve">   --</v>
      </c>
    </row>
    <row r="152" spans="1:24" x14ac:dyDescent="0.2">
      <c r="A152" s="68">
        <v>151</v>
      </c>
      <c r="I152" s="44"/>
      <c r="K152" s="47"/>
      <c r="P152" s="44"/>
      <c r="R152" s="88"/>
      <c r="S152" s="48"/>
      <c r="T152" s="39"/>
      <c r="U152" s="46" t="b">
        <f>IF(O152=CURSOS!$D$3,"DIPLOMADO EN ATENCION PRE-HOSPITALARIA",IF(O152=CURSOS!$D$4,"ACOMPAÑAMIENTO Y MANEJO DEL DUELO",IF(O152=CURSOS!$D$5,"ATENCION A VICTIMAS DE ATAQUE CON AGENTES QUIMICOS ",IF(O152=CURSOS!$D$6,"PRIMEROS AUXILIOS ",IF(O152=CURSOS!$D$7,"DIPLOMADO DE UNIDAD DE CUIDADOS INTENSIVOS (UCI)",IF(O152=CURSOS!$D$8,"MODELO DE ATENCION PARA EVENTOS EMERGENTES EN SALUD MENTAL (CODIGO VERDE)",IF(O152=CURSOS!$D$9,"HUMANIZACION EN EL SERVICIO DE LA SALUD Y BUENAS PRACTICAS EN PACIENTE ",IF(O152=CURSOS!$D$10,"CLINICA DE HERIDAS ",IF(O152=CURSOS!$D$11,"TOMA DE CITOLOGIA CERVICO VAGINAL ",IF(O152=CURSOS!$D$12,"SOPORTE CARDIOVASCULAR AVANZADO (ACLS) ",IF(O152=CURSOS!$D$13,"CAMILLERO ",IF(O152=CURSOS!$D$14,"TOMA DE MUESTRAS Y LABORATORIO ",IF(O152=CURSOS!$D$15,"SOPORTE VITAL BASICO (BLS)",IF(O152=CURSOS!$D$16,"ATENCION A VICTIMAS DE VIOLENCIA SEXUAL ",IF(O152=CURSOS!$D$17,"PROGRAMADO AMPLIADO DE INMUNIZACION (PAI - COVID 19)",IF(O152=CURSOS!$D$18,"ATENCION INTEGRAL EN ENFERMEDADES PREVALENTES EN PRIMERA INFANCIA (AIEPI)",IF(O152=CURSOS!$D$19,"ADMINISTRACION DE MEDICAMENTOS, INYECTOLOGIA  Y CANALIZACION ",IF(O152=CURSOS!$D$20,"OPERADOR DE VEHICULOS DE EMERGENCIA (OVE)",IF(O152=CURSOS!$D$21,"INSTITUCIONES AMIGAS DE LA MUJER Y LA INFANCIA (IAMI)",IF(O152=CURSOS!$D$22,"CUIDADO DEL DONANTE DE ORGANOS",IF(O152=CURSOS!$D$23,"ATENCION A VICTIMAS POR VIOLENCIA DE GENERO",IF(O152=CURSOS!$D$24,"IGUALDAD DE GENERO EN LA SALUD",IF(O152=CURSOS!$D$25,"BRIGADA DE EMERGENCIA",IF(O152=CURSOS!$D$26,"MANEJO DEL DOLOR Y CUIDADOS PALIATIVOS",IF(O152=CURSOS!$D$27,"TOMA DE MUESTRAS Y LABORATORIO POCT",IF(O152=CURSOS!$D$28,"IMPLANTE SUBDERMICO DE DISPOSITIVO INTRAUTERINO",IF(O152=CURSOS!$D$29,"SALUD MENTAL",IF(O152=CURSOS!$D$30,"PRIMEROS AUXILIOS PSICOLOGICOS",IF(O152=CURSOS!$D$31,"ATENCION A VICTIMAS POR CONFLICTO ARMADO",IF(O152=CURSOS!$D$32,"MANIPULACION DE ALIMENTOS Y BPM",IF(O152=CURSOS!$D$33,"ATENCION A PERSONAS CON DISCAPACIDAD",IF(O152=CURSOS!$D$34,"CUIDADO INTEGRAL DEL PACIENTE ADULTO",IF(O152=CURSOS!$D$35,"MANEJO DEFENSIVO",IF(O152=CURSOS!$D$36,"SOPORTE CARDIOVASCULAR AVANZADO NEONATAL",IF(O152=CURSOS!$D$37,"SEGURIDAD DEL PACIENTE",IF(O152=CURSOS!$D$38,"MANEJO DE RESIDUOS HOSPITALARIOS"))))))))))))))))))))))))))))))))))))</f>
        <v>0</v>
      </c>
      <c r="V152" s="46" t="str">
        <f t="shared" si="6"/>
        <v xml:space="preserve">   </v>
      </c>
      <c r="W152" s="46" t="str">
        <f t="shared" si="7"/>
        <v xml:space="preserve">   </v>
      </c>
      <c r="X152" s="46" t="str">
        <f t="shared" si="8"/>
        <v xml:space="preserve">   --</v>
      </c>
    </row>
    <row r="153" spans="1:24" x14ac:dyDescent="0.2">
      <c r="A153" s="68">
        <v>152</v>
      </c>
      <c r="I153" s="44"/>
      <c r="P153" s="44"/>
      <c r="R153" s="88"/>
      <c r="S153" s="48"/>
      <c r="T153" s="39"/>
      <c r="U153" s="46" t="b">
        <f>IF(O153=CURSOS!$D$3,"DIPLOMADO EN ATENCION PRE-HOSPITALARIA",IF(O153=CURSOS!$D$4,"ACOMPAÑAMIENTO Y MANEJO DEL DUELO",IF(O153=CURSOS!$D$5,"ATENCION A VICTIMAS DE ATAQUE CON AGENTES QUIMICOS ",IF(O153=CURSOS!$D$6,"PRIMEROS AUXILIOS ",IF(O153=CURSOS!$D$7,"DIPLOMADO DE UNIDAD DE CUIDADOS INTENSIVOS (UCI)",IF(O153=CURSOS!$D$8,"MODELO DE ATENCION PARA EVENTOS EMERGENTES EN SALUD MENTAL (CODIGO VERDE)",IF(O153=CURSOS!$D$9,"HUMANIZACION EN EL SERVICIO DE LA SALUD Y BUENAS PRACTICAS EN PACIENTE ",IF(O153=CURSOS!$D$10,"CLINICA DE HERIDAS ",IF(O153=CURSOS!$D$11,"TOMA DE CITOLOGIA CERVICO VAGINAL ",IF(O153=CURSOS!$D$12,"SOPORTE CARDIOVASCULAR AVANZADO (ACLS) ",IF(O153=CURSOS!$D$13,"CAMILLERO ",IF(O153=CURSOS!$D$14,"TOMA DE MUESTRAS Y LABORATORIO ",IF(O153=CURSOS!$D$15,"SOPORTE VITAL BASICO (BLS)",IF(O153=CURSOS!$D$16,"ATENCION A VICTIMAS DE VIOLENCIA SEXUAL ",IF(O153=CURSOS!$D$17,"PROGRAMADO AMPLIADO DE INMUNIZACION (PAI - COVID 19)",IF(O153=CURSOS!$D$18,"ATENCION INTEGRAL EN ENFERMEDADES PREVALENTES EN PRIMERA INFANCIA (AIEPI)",IF(O153=CURSOS!$D$19,"ADMINISTRACION DE MEDICAMENTOS, INYECTOLOGIA  Y CANALIZACION ",IF(O153=CURSOS!$D$20,"OPERADOR DE VEHICULOS DE EMERGENCIA (OVE)",IF(O153=CURSOS!$D$21,"INSTITUCIONES AMIGAS DE LA MUJER Y LA INFANCIA (IAMI)",IF(O153=CURSOS!$D$22,"CUIDADO DEL DONANTE DE ORGANOS",IF(O153=CURSOS!$D$23,"ATENCION A VICTIMAS POR VIOLENCIA DE GENERO",IF(O153=CURSOS!$D$24,"IGUALDAD DE GENERO EN LA SALUD",IF(O153=CURSOS!$D$25,"BRIGADA DE EMERGENCIA",IF(O153=CURSOS!$D$26,"MANEJO DEL DOLOR Y CUIDADOS PALIATIVOS",IF(O153=CURSOS!$D$27,"TOMA DE MUESTRAS Y LABORATORIO POCT",IF(O153=CURSOS!$D$28,"IMPLANTE SUBDERMICO DE DISPOSITIVO INTRAUTERINO",IF(O153=CURSOS!$D$29,"SALUD MENTAL",IF(O153=CURSOS!$D$30,"PRIMEROS AUXILIOS PSICOLOGICOS",IF(O153=CURSOS!$D$31,"ATENCION A VICTIMAS POR CONFLICTO ARMADO",IF(O153=CURSOS!$D$32,"MANIPULACION DE ALIMENTOS Y BPM",IF(O153=CURSOS!$D$33,"ATENCION A PERSONAS CON DISCAPACIDAD",IF(O153=CURSOS!$D$34,"CUIDADO INTEGRAL DEL PACIENTE ADULTO",IF(O153=CURSOS!$D$35,"MANEJO DEFENSIVO",IF(O153=CURSOS!$D$36,"SOPORTE CARDIOVASCULAR AVANZADO NEONATAL",IF(O153=CURSOS!$D$37,"SEGURIDAD DEL PACIENTE",IF(O153=CURSOS!$D$38,"MANEJO DE RESIDUOS HOSPITALARIOS"))))))))))))))))))))))))))))))))))))</f>
        <v>0</v>
      </c>
      <c r="V153" s="46" t="str">
        <f t="shared" si="6"/>
        <v xml:space="preserve">   </v>
      </c>
      <c r="W153" s="46" t="str">
        <f t="shared" si="7"/>
        <v xml:space="preserve">   </v>
      </c>
      <c r="X153" s="46" t="str">
        <f t="shared" si="8"/>
        <v xml:space="preserve">   --</v>
      </c>
    </row>
    <row r="154" spans="1:24" x14ac:dyDescent="0.2">
      <c r="A154" s="68">
        <v>153</v>
      </c>
      <c r="I154" s="44"/>
      <c r="P154" s="44"/>
      <c r="T154" s="39"/>
      <c r="U154" s="46" t="b">
        <f>IF(O154=CURSOS!$D$3,"DIPLOMADO EN ATENCION PRE-HOSPITALARIA",IF(O154=CURSOS!$D$4,"ACOMPAÑAMIENTO Y MANEJO DEL DUELO",IF(O154=CURSOS!$D$5,"ATENCION A VICTIMAS DE ATAQUE CON AGENTES QUIMICOS ",IF(O154=CURSOS!$D$6,"PRIMEROS AUXILIOS ",IF(O154=CURSOS!$D$7,"DIPLOMADO DE UNIDAD DE CUIDADOS INTENSIVOS (UCI)",IF(O154=CURSOS!$D$8,"MODELO DE ATENCION PARA EVENTOS EMERGENTES EN SALUD MENTAL (CODIGO VERDE)",IF(O154=CURSOS!$D$9,"HUMANIZACION EN EL SERVICIO DE LA SALUD Y BUENAS PRACTICAS EN PACIENTE ",IF(O154=CURSOS!$D$10,"CLINICA DE HERIDAS ",IF(O154=CURSOS!$D$11,"TOMA DE CITOLOGIA CERVICO VAGINAL ",IF(O154=CURSOS!$D$12,"SOPORTE CARDIOVASCULAR AVANZADO (ACLS) ",IF(O154=CURSOS!$D$13,"CAMILLERO ",IF(O154=CURSOS!$D$14,"TOMA DE MUESTRAS Y LABORATORIO ",IF(O154=CURSOS!$D$15,"SOPORTE VITAL BASICO (BLS)",IF(O154=CURSOS!$D$16,"ATENCION A VICTIMAS DE VIOLENCIA SEXUAL ",IF(O154=CURSOS!$D$17,"PROGRAMADO AMPLIADO DE INMUNIZACION (PAI - COVID 19)",IF(O154=CURSOS!$D$18,"ATENCION INTEGRAL EN ENFERMEDADES PREVALENTES EN PRIMERA INFANCIA (AIEPI)",IF(O154=CURSOS!$D$19,"ADMINISTRACION DE MEDICAMENTOS, INYECTOLOGIA  Y CANALIZACION ",IF(O154=CURSOS!$D$20,"OPERADOR DE VEHICULOS DE EMERGENCIA (OVE)",IF(O154=CURSOS!$D$21,"INSTITUCIONES AMIGAS DE LA MUJER Y LA INFANCIA (IAMI)",IF(O154=CURSOS!$D$22,"CUIDADO DEL DONANTE DE ORGANOS",IF(O154=CURSOS!$D$23,"ATENCION A VICTIMAS POR VIOLENCIA DE GENERO",IF(O154=CURSOS!$D$24,"IGUALDAD DE GENERO EN LA SALUD",IF(O154=CURSOS!$D$25,"BRIGADA DE EMERGENCIA",IF(O154=CURSOS!$D$26,"MANEJO DEL DOLOR Y CUIDADOS PALIATIVOS",IF(O154=CURSOS!$D$27,"TOMA DE MUESTRAS Y LABORATORIO POCT",IF(O154=CURSOS!$D$28,"IMPLANTE SUBDERMICO DE DISPOSITIVO INTRAUTERINO",IF(O154=CURSOS!$D$29,"SALUD MENTAL",IF(O154=CURSOS!$D$30,"PRIMEROS AUXILIOS PSICOLOGICOS",IF(O154=CURSOS!$D$31,"ATENCION A VICTIMAS POR CONFLICTO ARMADO",IF(O154=CURSOS!$D$32,"MANIPULACION DE ALIMENTOS Y BPM",IF(O154=CURSOS!$D$33,"ATENCION A PERSONAS CON DISCAPACIDAD",IF(O154=CURSOS!$D$34,"CUIDADO INTEGRAL DEL PACIENTE ADULTO",IF(O154=CURSOS!$D$35,"MANEJO DEFENSIVO",IF(O154=CURSOS!$D$36,"SOPORTE CARDIOVASCULAR AVANZADO NEONATAL",IF(O154=CURSOS!$D$37,"SEGURIDAD DEL PACIENTE",IF(O154=CURSOS!$D$38,"MANEJO DE RESIDUOS HOSPITALARIOS"))))))))))))))))))))))))))))))))))))</f>
        <v>0</v>
      </c>
      <c r="V154" s="46" t="str">
        <f t="shared" si="6"/>
        <v xml:space="preserve">   </v>
      </c>
      <c r="W154" s="46" t="str">
        <f t="shared" si="7"/>
        <v xml:space="preserve">   </v>
      </c>
      <c r="X154" s="46" t="str">
        <f t="shared" si="8"/>
        <v xml:space="preserve">   --</v>
      </c>
    </row>
    <row r="155" spans="1:24" x14ac:dyDescent="0.2">
      <c r="A155" s="68">
        <v>154</v>
      </c>
      <c r="I155" s="44"/>
      <c r="P155" s="44"/>
      <c r="T155" s="39"/>
      <c r="U155" s="46" t="b">
        <f>IF(O155=CURSOS!$D$3,"DIPLOMADO EN ATENCION PRE-HOSPITALARIA",IF(O155=CURSOS!$D$4,"ACOMPAÑAMIENTO Y MANEJO DEL DUELO",IF(O155=CURSOS!$D$5,"ATENCION A VICTIMAS DE ATAQUE CON AGENTES QUIMICOS ",IF(O155=CURSOS!$D$6,"PRIMEROS AUXILIOS ",IF(O155=CURSOS!$D$7,"DIPLOMADO DE UNIDAD DE CUIDADOS INTENSIVOS (UCI)",IF(O155=CURSOS!$D$8,"MODELO DE ATENCION PARA EVENTOS EMERGENTES EN SALUD MENTAL (CODIGO VERDE)",IF(O155=CURSOS!$D$9,"HUMANIZACION EN EL SERVICIO DE LA SALUD Y BUENAS PRACTICAS EN PACIENTE ",IF(O155=CURSOS!$D$10,"CLINICA DE HERIDAS ",IF(O155=CURSOS!$D$11,"TOMA DE CITOLOGIA CERVICO VAGINAL ",IF(O155=CURSOS!$D$12,"SOPORTE CARDIOVASCULAR AVANZADO (ACLS) ",IF(O155=CURSOS!$D$13,"CAMILLERO ",IF(O155=CURSOS!$D$14,"TOMA DE MUESTRAS Y LABORATORIO ",IF(O155=CURSOS!$D$15,"SOPORTE VITAL BASICO (BLS)",IF(O155=CURSOS!$D$16,"ATENCION A VICTIMAS DE VIOLENCIA SEXUAL ",IF(O155=CURSOS!$D$17,"PROGRAMADO AMPLIADO DE INMUNIZACION (PAI - COVID 19)",IF(O155=CURSOS!$D$18,"ATENCION INTEGRAL EN ENFERMEDADES PREVALENTES EN PRIMERA INFANCIA (AIEPI)",IF(O155=CURSOS!$D$19,"ADMINISTRACION DE MEDICAMENTOS, INYECTOLOGIA  Y CANALIZACION ",IF(O155=CURSOS!$D$20,"OPERADOR DE VEHICULOS DE EMERGENCIA (OVE)",IF(O155=CURSOS!$D$21,"INSTITUCIONES AMIGAS DE LA MUJER Y LA INFANCIA (IAMI)",IF(O155=CURSOS!$D$22,"CUIDADO DEL DONANTE DE ORGANOS",IF(O155=CURSOS!$D$23,"ATENCION A VICTIMAS POR VIOLENCIA DE GENERO",IF(O155=CURSOS!$D$24,"IGUALDAD DE GENERO EN LA SALUD",IF(O155=CURSOS!$D$25,"BRIGADA DE EMERGENCIA",IF(O155=CURSOS!$D$26,"MANEJO DEL DOLOR Y CUIDADOS PALIATIVOS",IF(O155=CURSOS!$D$27,"TOMA DE MUESTRAS Y LABORATORIO POCT",IF(O155=CURSOS!$D$28,"IMPLANTE SUBDERMICO DE DISPOSITIVO INTRAUTERINO",IF(O155=CURSOS!$D$29,"SALUD MENTAL",IF(O155=CURSOS!$D$30,"PRIMEROS AUXILIOS PSICOLOGICOS",IF(O155=CURSOS!$D$31,"ATENCION A VICTIMAS POR CONFLICTO ARMADO",IF(O155=CURSOS!$D$32,"MANIPULACION DE ALIMENTOS Y BPM",IF(O155=CURSOS!$D$33,"ATENCION A PERSONAS CON DISCAPACIDAD",IF(O155=CURSOS!$D$34,"CUIDADO INTEGRAL DEL PACIENTE ADULTO",IF(O155=CURSOS!$D$35,"MANEJO DEFENSIVO",IF(O155=CURSOS!$D$36,"SOPORTE CARDIOVASCULAR AVANZADO NEONATAL",IF(O155=CURSOS!$D$37,"SEGURIDAD DEL PACIENTE",IF(O155=CURSOS!$D$38,"MANEJO DE RESIDUOS HOSPITALARIOS"))))))))))))))))))))))))))))))))))))</f>
        <v>0</v>
      </c>
      <c r="V155" s="46" t="str">
        <f t="shared" si="6"/>
        <v xml:space="preserve">   </v>
      </c>
      <c r="W155" s="46" t="str">
        <f t="shared" si="7"/>
        <v xml:space="preserve">   </v>
      </c>
      <c r="X155" s="46" t="str">
        <f t="shared" si="8"/>
        <v xml:space="preserve">   --</v>
      </c>
    </row>
    <row r="156" spans="1:24" x14ac:dyDescent="0.2">
      <c r="A156" s="68">
        <v>155</v>
      </c>
      <c r="I156" s="44"/>
      <c r="P156" s="44"/>
      <c r="R156" s="88"/>
      <c r="T156" s="39"/>
      <c r="U156" s="46" t="b">
        <f>IF(O156=CURSOS!$D$3,"DIPLOMADO EN ATENCION PRE-HOSPITALARIA",IF(O156=CURSOS!$D$4,"ACOMPAÑAMIENTO Y MANEJO DEL DUELO",IF(O156=CURSOS!$D$5,"ATENCION A VICTIMAS DE ATAQUE CON AGENTES QUIMICOS ",IF(O156=CURSOS!$D$6,"PRIMEROS AUXILIOS ",IF(O156=CURSOS!$D$7,"DIPLOMADO DE UNIDAD DE CUIDADOS INTENSIVOS (UCI)",IF(O156=CURSOS!$D$8,"MODELO DE ATENCION PARA EVENTOS EMERGENTES EN SALUD MENTAL (CODIGO VERDE)",IF(O156=CURSOS!$D$9,"HUMANIZACION EN EL SERVICIO DE LA SALUD Y BUENAS PRACTICAS EN PACIENTE ",IF(O156=CURSOS!$D$10,"CLINICA DE HERIDAS ",IF(O156=CURSOS!$D$11,"TOMA DE CITOLOGIA CERVICO VAGINAL ",IF(O156=CURSOS!$D$12,"SOPORTE CARDIOVASCULAR AVANZADO (ACLS) ",IF(O156=CURSOS!$D$13,"CAMILLERO ",IF(O156=CURSOS!$D$14,"TOMA DE MUESTRAS Y LABORATORIO ",IF(O156=CURSOS!$D$15,"SOPORTE VITAL BASICO (BLS)",IF(O156=CURSOS!$D$16,"ATENCION A VICTIMAS DE VIOLENCIA SEXUAL ",IF(O156=CURSOS!$D$17,"PROGRAMADO AMPLIADO DE INMUNIZACION (PAI - COVID 19)",IF(O156=CURSOS!$D$18,"ATENCION INTEGRAL EN ENFERMEDADES PREVALENTES EN PRIMERA INFANCIA (AIEPI)",IF(O156=CURSOS!$D$19,"ADMINISTRACION DE MEDICAMENTOS, INYECTOLOGIA  Y CANALIZACION ",IF(O156=CURSOS!$D$20,"OPERADOR DE VEHICULOS DE EMERGENCIA (OVE)",IF(O156=CURSOS!$D$21,"INSTITUCIONES AMIGAS DE LA MUJER Y LA INFANCIA (IAMI)",IF(O156=CURSOS!$D$22,"CUIDADO DEL DONANTE DE ORGANOS",IF(O156=CURSOS!$D$23,"ATENCION A VICTIMAS POR VIOLENCIA DE GENERO",IF(O156=CURSOS!$D$24,"IGUALDAD DE GENERO EN LA SALUD",IF(O156=CURSOS!$D$25,"BRIGADA DE EMERGENCIA",IF(O156=CURSOS!$D$26,"MANEJO DEL DOLOR Y CUIDADOS PALIATIVOS",IF(O156=CURSOS!$D$27,"TOMA DE MUESTRAS Y LABORATORIO POCT",IF(O156=CURSOS!$D$28,"IMPLANTE SUBDERMICO DE DISPOSITIVO INTRAUTERINO",IF(O156=CURSOS!$D$29,"SALUD MENTAL",IF(O156=CURSOS!$D$30,"PRIMEROS AUXILIOS PSICOLOGICOS",IF(O156=CURSOS!$D$31,"ATENCION A VICTIMAS POR CONFLICTO ARMADO",IF(O156=CURSOS!$D$32,"MANIPULACION DE ALIMENTOS Y BPM",IF(O156=CURSOS!$D$33,"ATENCION A PERSONAS CON DISCAPACIDAD",IF(O156=CURSOS!$D$34,"CUIDADO INTEGRAL DEL PACIENTE ADULTO",IF(O156=CURSOS!$D$35,"MANEJO DEFENSIVO",IF(O156=CURSOS!$D$36,"SOPORTE CARDIOVASCULAR AVANZADO NEONATAL",IF(O156=CURSOS!$D$37,"SEGURIDAD DEL PACIENTE",IF(O156=CURSOS!$D$38,"MANEJO DE RESIDUOS HOSPITALARIOS"))))))))))))))))))))))))))))))))))))</f>
        <v>0</v>
      </c>
      <c r="V156" s="46" t="str">
        <f t="shared" si="6"/>
        <v xml:space="preserve">   </v>
      </c>
      <c r="W156" s="46" t="str">
        <f t="shared" si="7"/>
        <v xml:space="preserve">   </v>
      </c>
      <c r="X156" s="46" t="str">
        <f t="shared" si="8"/>
        <v xml:space="preserve">   --</v>
      </c>
    </row>
    <row r="157" spans="1:24" x14ac:dyDescent="0.2">
      <c r="A157" s="68">
        <v>156</v>
      </c>
      <c r="I157" s="44"/>
      <c r="P157" s="44"/>
      <c r="T157" s="39"/>
      <c r="U157" s="46" t="b">
        <f>IF(O157=CURSOS!$D$3,"DIPLOMADO EN ATENCION PRE-HOSPITALARIA",IF(O157=CURSOS!$D$4,"ACOMPAÑAMIENTO Y MANEJO DEL DUELO",IF(O157=CURSOS!$D$5,"ATENCION A VICTIMAS DE ATAQUE CON AGENTES QUIMICOS ",IF(O157=CURSOS!$D$6,"PRIMEROS AUXILIOS ",IF(O157=CURSOS!$D$7,"DIPLOMADO DE UNIDAD DE CUIDADOS INTENSIVOS (UCI)",IF(O157=CURSOS!$D$8,"MODELO DE ATENCION PARA EVENTOS EMERGENTES EN SALUD MENTAL (CODIGO VERDE)",IF(O157=CURSOS!$D$9,"HUMANIZACION EN EL SERVICIO DE LA SALUD Y BUENAS PRACTICAS EN PACIENTE ",IF(O157=CURSOS!$D$10,"CLINICA DE HERIDAS ",IF(O157=CURSOS!$D$11,"TOMA DE CITOLOGIA CERVICO VAGINAL ",IF(O157=CURSOS!$D$12,"SOPORTE CARDIOVASCULAR AVANZADO (ACLS) ",IF(O157=CURSOS!$D$13,"CAMILLERO ",IF(O157=CURSOS!$D$14,"TOMA DE MUESTRAS Y LABORATORIO ",IF(O157=CURSOS!$D$15,"SOPORTE VITAL BASICO (BLS)",IF(O157=CURSOS!$D$16,"ATENCION A VICTIMAS DE VIOLENCIA SEXUAL ",IF(O157=CURSOS!$D$17,"PROGRAMADO AMPLIADO DE INMUNIZACION (PAI - COVID 19)",IF(O157=CURSOS!$D$18,"ATENCION INTEGRAL EN ENFERMEDADES PREVALENTES EN PRIMERA INFANCIA (AIEPI)",IF(O157=CURSOS!$D$19,"ADMINISTRACION DE MEDICAMENTOS, INYECTOLOGIA  Y CANALIZACION ",IF(O157=CURSOS!$D$20,"OPERADOR DE VEHICULOS DE EMERGENCIA (OVE)",IF(O157=CURSOS!$D$21,"INSTITUCIONES AMIGAS DE LA MUJER Y LA INFANCIA (IAMI)",IF(O157=CURSOS!$D$22,"CUIDADO DEL DONANTE DE ORGANOS",IF(O157=CURSOS!$D$23,"ATENCION A VICTIMAS POR VIOLENCIA DE GENERO",IF(O157=CURSOS!$D$24,"IGUALDAD DE GENERO EN LA SALUD",IF(O157=CURSOS!$D$25,"BRIGADA DE EMERGENCIA",IF(O157=CURSOS!$D$26,"MANEJO DEL DOLOR Y CUIDADOS PALIATIVOS",IF(O157=CURSOS!$D$27,"TOMA DE MUESTRAS Y LABORATORIO POCT",IF(O157=CURSOS!$D$28,"IMPLANTE SUBDERMICO DE DISPOSITIVO INTRAUTERINO",IF(O157=CURSOS!$D$29,"SALUD MENTAL",IF(O157=CURSOS!$D$30,"PRIMEROS AUXILIOS PSICOLOGICOS",IF(O157=CURSOS!$D$31,"ATENCION A VICTIMAS POR CONFLICTO ARMADO",IF(O157=CURSOS!$D$32,"MANIPULACION DE ALIMENTOS Y BPM",IF(O157=CURSOS!$D$33,"ATENCION A PERSONAS CON DISCAPACIDAD",IF(O157=CURSOS!$D$34,"CUIDADO INTEGRAL DEL PACIENTE ADULTO",IF(O157=CURSOS!$D$35,"MANEJO DEFENSIVO",IF(O157=CURSOS!$D$36,"SOPORTE CARDIOVASCULAR AVANZADO NEONATAL",IF(O157=CURSOS!$D$37,"SEGURIDAD DEL PACIENTE",IF(O157=CURSOS!$D$38,"MANEJO DE RESIDUOS HOSPITALARIOS"))))))))))))))))))))))))))))))))))))</f>
        <v>0</v>
      </c>
      <c r="V157" s="46" t="str">
        <f t="shared" si="6"/>
        <v xml:space="preserve">   </v>
      </c>
      <c r="W157" s="46" t="str">
        <f t="shared" si="7"/>
        <v xml:space="preserve">   </v>
      </c>
      <c r="X157" s="46" t="str">
        <f t="shared" si="8"/>
        <v xml:space="preserve">   --</v>
      </c>
    </row>
    <row r="158" spans="1:24" x14ac:dyDescent="0.2">
      <c r="A158" s="68">
        <v>157</v>
      </c>
      <c r="I158" s="44"/>
      <c r="P158" s="44"/>
      <c r="T158" s="39"/>
      <c r="U158" s="46" t="b">
        <f>IF(O158=CURSOS!$D$3,"DIPLOMADO EN ATENCION PRE-HOSPITALARIA",IF(O158=CURSOS!$D$4,"ACOMPAÑAMIENTO Y MANEJO DEL DUELO",IF(O158=CURSOS!$D$5,"ATENCION A VICTIMAS DE ATAQUE CON AGENTES QUIMICOS ",IF(O158=CURSOS!$D$6,"PRIMEROS AUXILIOS ",IF(O158=CURSOS!$D$7,"DIPLOMADO DE UNIDAD DE CUIDADOS INTENSIVOS (UCI)",IF(O158=CURSOS!$D$8,"MODELO DE ATENCION PARA EVENTOS EMERGENTES EN SALUD MENTAL (CODIGO VERDE)",IF(O158=CURSOS!$D$9,"HUMANIZACION EN EL SERVICIO DE LA SALUD Y BUENAS PRACTICAS EN PACIENTE ",IF(O158=CURSOS!$D$10,"CLINICA DE HERIDAS ",IF(O158=CURSOS!$D$11,"TOMA DE CITOLOGIA CERVICO VAGINAL ",IF(O158=CURSOS!$D$12,"SOPORTE CARDIOVASCULAR AVANZADO (ACLS) ",IF(O158=CURSOS!$D$13,"CAMILLERO ",IF(O158=CURSOS!$D$14,"TOMA DE MUESTRAS Y LABORATORIO ",IF(O158=CURSOS!$D$15,"SOPORTE VITAL BASICO (BLS)",IF(O158=CURSOS!$D$16,"ATENCION A VICTIMAS DE VIOLENCIA SEXUAL ",IF(O158=CURSOS!$D$17,"PROGRAMADO AMPLIADO DE INMUNIZACION (PAI - COVID 19)",IF(O158=CURSOS!$D$18,"ATENCION INTEGRAL EN ENFERMEDADES PREVALENTES EN PRIMERA INFANCIA (AIEPI)",IF(O158=CURSOS!$D$19,"ADMINISTRACION DE MEDICAMENTOS, INYECTOLOGIA  Y CANALIZACION ",IF(O158=CURSOS!$D$20,"OPERADOR DE VEHICULOS DE EMERGENCIA (OVE)",IF(O158=CURSOS!$D$21,"INSTITUCIONES AMIGAS DE LA MUJER Y LA INFANCIA (IAMI)",IF(O158=CURSOS!$D$22,"CUIDADO DEL DONANTE DE ORGANOS",IF(O158=CURSOS!$D$23,"ATENCION A VICTIMAS POR VIOLENCIA DE GENERO",IF(O158=CURSOS!$D$24,"IGUALDAD DE GENERO EN LA SALUD",IF(O158=CURSOS!$D$25,"BRIGADA DE EMERGENCIA",IF(O158=CURSOS!$D$26,"MANEJO DEL DOLOR Y CUIDADOS PALIATIVOS",IF(O158=CURSOS!$D$27,"TOMA DE MUESTRAS Y LABORATORIO POCT",IF(O158=CURSOS!$D$28,"IMPLANTE SUBDERMICO DE DISPOSITIVO INTRAUTERINO",IF(O158=CURSOS!$D$29,"SALUD MENTAL",IF(O158=CURSOS!$D$30,"PRIMEROS AUXILIOS PSICOLOGICOS",IF(O158=CURSOS!$D$31,"ATENCION A VICTIMAS POR CONFLICTO ARMADO",IF(O158=CURSOS!$D$32,"MANIPULACION DE ALIMENTOS Y BPM",IF(O158=CURSOS!$D$33,"ATENCION A PERSONAS CON DISCAPACIDAD",IF(O158=CURSOS!$D$34,"CUIDADO INTEGRAL DEL PACIENTE ADULTO",IF(O158=CURSOS!$D$35,"MANEJO DEFENSIVO",IF(O158=CURSOS!$D$36,"SOPORTE CARDIOVASCULAR AVANZADO NEONATAL",IF(O158=CURSOS!$D$37,"SEGURIDAD DEL PACIENTE",IF(O158=CURSOS!$D$38,"MANEJO DE RESIDUOS HOSPITALARIOS"))))))))))))))))))))))))))))))))))))</f>
        <v>0</v>
      </c>
      <c r="V158" s="46" t="str">
        <f t="shared" si="6"/>
        <v xml:space="preserve">   </v>
      </c>
      <c r="W158" s="46" t="str">
        <f t="shared" si="7"/>
        <v xml:space="preserve">   </v>
      </c>
      <c r="X158" s="46" t="str">
        <f t="shared" si="8"/>
        <v xml:space="preserve">   --</v>
      </c>
    </row>
    <row r="159" spans="1:24" x14ac:dyDescent="0.2">
      <c r="A159" s="68">
        <v>158</v>
      </c>
      <c r="I159" s="44"/>
      <c r="P159" s="44"/>
      <c r="T159" s="39"/>
      <c r="U159" s="46" t="b">
        <f>IF(O159=CURSOS!$D$3,"DIPLOMADO EN ATENCION PRE-HOSPITALARIA",IF(O159=CURSOS!$D$4,"ACOMPAÑAMIENTO Y MANEJO DEL DUELO",IF(O159=CURSOS!$D$5,"ATENCION A VICTIMAS DE ATAQUE CON AGENTES QUIMICOS ",IF(O159=CURSOS!$D$6,"PRIMEROS AUXILIOS ",IF(O159=CURSOS!$D$7,"DIPLOMADO DE UNIDAD DE CUIDADOS INTENSIVOS (UCI)",IF(O159=CURSOS!$D$8,"MODELO DE ATENCION PARA EVENTOS EMERGENTES EN SALUD MENTAL (CODIGO VERDE)",IF(O159=CURSOS!$D$9,"HUMANIZACION EN EL SERVICIO DE LA SALUD Y BUENAS PRACTICAS EN PACIENTE ",IF(O159=CURSOS!$D$10,"CLINICA DE HERIDAS ",IF(O159=CURSOS!$D$11,"TOMA DE CITOLOGIA CERVICO VAGINAL ",IF(O159=CURSOS!$D$12,"SOPORTE CARDIOVASCULAR AVANZADO (ACLS) ",IF(O159=CURSOS!$D$13,"CAMILLERO ",IF(O159=CURSOS!$D$14,"TOMA DE MUESTRAS Y LABORATORIO ",IF(O159=CURSOS!$D$15,"SOPORTE VITAL BASICO (BLS)",IF(O159=CURSOS!$D$16,"ATENCION A VICTIMAS DE VIOLENCIA SEXUAL ",IF(O159=CURSOS!$D$17,"PROGRAMADO AMPLIADO DE INMUNIZACION (PAI - COVID 19)",IF(O159=CURSOS!$D$18,"ATENCION INTEGRAL EN ENFERMEDADES PREVALENTES EN PRIMERA INFANCIA (AIEPI)",IF(O159=CURSOS!$D$19,"ADMINISTRACION DE MEDICAMENTOS, INYECTOLOGIA  Y CANALIZACION ",IF(O159=CURSOS!$D$20,"OPERADOR DE VEHICULOS DE EMERGENCIA (OVE)",IF(O159=CURSOS!$D$21,"INSTITUCIONES AMIGAS DE LA MUJER Y LA INFANCIA (IAMI)",IF(O159=CURSOS!$D$22,"CUIDADO DEL DONANTE DE ORGANOS",IF(O159=CURSOS!$D$23,"ATENCION A VICTIMAS POR VIOLENCIA DE GENERO",IF(O159=CURSOS!$D$24,"IGUALDAD DE GENERO EN LA SALUD",IF(O159=CURSOS!$D$25,"BRIGADA DE EMERGENCIA",IF(O159=CURSOS!$D$26,"MANEJO DEL DOLOR Y CUIDADOS PALIATIVOS",IF(O159=CURSOS!$D$27,"TOMA DE MUESTRAS Y LABORATORIO POCT",IF(O159=CURSOS!$D$28,"IMPLANTE SUBDERMICO DE DISPOSITIVO INTRAUTERINO",IF(O159=CURSOS!$D$29,"SALUD MENTAL",IF(O159=CURSOS!$D$30,"PRIMEROS AUXILIOS PSICOLOGICOS",IF(O159=CURSOS!$D$31,"ATENCION A VICTIMAS POR CONFLICTO ARMADO",IF(O159=CURSOS!$D$32,"MANIPULACION DE ALIMENTOS Y BPM",IF(O159=CURSOS!$D$33,"ATENCION A PERSONAS CON DISCAPACIDAD",IF(O159=CURSOS!$D$34,"CUIDADO INTEGRAL DEL PACIENTE ADULTO",IF(O159=CURSOS!$D$35,"MANEJO DEFENSIVO",IF(O159=CURSOS!$D$36,"SOPORTE CARDIOVASCULAR AVANZADO NEONATAL",IF(O159=CURSOS!$D$37,"SEGURIDAD DEL PACIENTE",IF(O159=CURSOS!$D$38,"MANEJO DE RESIDUOS HOSPITALARIOS"))))))))))))))))))))))))))))))))))))</f>
        <v>0</v>
      </c>
      <c r="V159" s="46" t="str">
        <f t="shared" si="6"/>
        <v xml:space="preserve">   </v>
      </c>
      <c r="W159" s="46" t="str">
        <f t="shared" si="7"/>
        <v xml:space="preserve">   </v>
      </c>
      <c r="X159" s="46" t="str">
        <f t="shared" si="8"/>
        <v xml:space="preserve">   --</v>
      </c>
    </row>
    <row r="160" spans="1:24" x14ac:dyDescent="0.2">
      <c r="A160" s="68">
        <v>159</v>
      </c>
      <c r="I160" s="44"/>
      <c r="P160" s="44"/>
      <c r="T160" s="39"/>
      <c r="U160" s="46" t="b">
        <f>IF(O160=CURSOS!$D$3,"DIPLOMADO EN ATENCION PRE-HOSPITALARIA",IF(O160=CURSOS!$D$4,"ACOMPAÑAMIENTO Y MANEJO DEL DUELO",IF(O160=CURSOS!$D$5,"ATENCION A VICTIMAS DE ATAQUE CON AGENTES QUIMICOS ",IF(O160=CURSOS!$D$6,"PRIMEROS AUXILIOS ",IF(O160=CURSOS!$D$7,"DIPLOMADO DE UNIDAD DE CUIDADOS INTENSIVOS (UCI)",IF(O160=CURSOS!$D$8,"MODELO DE ATENCION PARA EVENTOS EMERGENTES EN SALUD MENTAL (CODIGO VERDE)",IF(O160=CURSOS!$D$9,"HUMANIZACION EN EL SERVICIO DE LA SALUD Y BUENAS PRACTICAS EN PACIENTE ",IF(O160=CURSOS!$D$10,"CLINICA DE HERIDAS ",IF(O160=CURSOS!$D$11,"TOMA DE CITOLOGIA CERVICO VAGINAL ",IF(O160=CURSOS!$D$12,"SOPORTE CARDIOVASCULAR AVANZADO (ACLS) ",IF(O160=CURSOS!$D$13,"CAMILLERO ",IF(O160=CURSOS!$D$14,"TOMA DE MUESTRAS Y LABORATORIO ",IF(O160=CURSOS!$D$15,"SOPORTE VITAL BASICO (BLS)",IF(O160=CURSOS!$D$16,"ATENCION A VICTIMAS DE VIOLENCIA SEXUAL ",IF(O160=CURSOS!$D$17,"PROGRAMADO AMPLIADO DE INMUNIZACION (PAI - COVID 19)",IF(O160=CURSOS!$D$18,"ATENCION INTEGRAL EN ENFERMEDADES PREVALENTES EN PRIMERA INFANCIA (AIEPI)",IF(O160=CURSOS!$D$19,"ADMINISTRACION DE MEDICAMENTOS, INYECTOLOGIA  Y CANALIZACION ",IF(O160=CURSOS!$D$20,"OPERADOR DE VEHICULOS DE EMERGENCIA (OVE)",IF(O160=CURSOS!$D$21,"INSTITUCIONES AMIGAS DE LA MUJER Y LA INFANCIA (IAMI)",IF(O160=CURSOS!$D$22,"CUIDADO DEL DONANTE DE ORGANOS",IF(O160=CURSOS!$D$23,"ATENCION A VICTIMAS POR VIOLENCIA DE GENERO",IF(O160=CURSOS!$D$24,"IGUALDAD DE GENERO EN LA SALUD",IF(O160=CURSOS!$D$25,"BRIGADA DE EMERGENCIA",IF(O160=CURSOS!$D$26,"MANEJO DEL DOLOR Y CUIDADOS PALIATIVOS",IF(O160=CURSOS!$D$27,"TOMA DE MUESTRAS Y LABORATORIO POCT",IF(O160=CURSOS!$D$28,"IMPLANTE SUBDERMICO DE DISPOSITIVO INTRAUTERINO",IF(O160=CURSOS!$D$29,"SALUD MENTAL",IF(O160=CURSOS!$D$30,"PRIMEROS AUXILIOS PSICOLOGICOS",IF(O160=CURSOS!$D$31,"ATENCION A VICTIMAS POR CONFLICTO ARMADO",IF(O160=CURSOS!$D$32,"MANIPULACION DE ALIMENTOS Y BPM",IF(O160=CURSOS!$D$33,"ATENCION A PERSONAS CON DISCAPACIDAD",IF(O160=CURSOS!$D$34,"CUIDADO INTEGRAL DEL PACIENTE ADULTO",IF(O160=CURSOS!$D$35,"MANEJO DEFENSIVO",IF(O160=CURSOS!$D$36,"SOPORTE CARDIOVASCULAR AVANZADO NEONATAL",IF(O160=CURSOS!$D$37,"SEGURIDAD DEL PACIENTE",IF(O160=CURSOS!$D$38,"MANEJO DE RESIDUOS HOSPITALARIOS"))))))))))))))))))))))))))))))))))))</f>
        <v>0</v>
      </c>
      <c r="V160" s="46" t="str">
        <f t="shared" si="6"/>
        <v xml:space="preserve">   </v>
      </c>
      <c r="W160" s="46" t="str">
        <f t="shared" si="7"/>
        <v xml:space="preserve">   </v>
      </c>
      <c r="X160" s="46" t="str">
        <f t="shared" si="8"/>
        <v xml:space="preserve">   --</v>
      </c>
    </row>
    <row r="161" spans="1:24" x14ac:dyDescent="0.2">
      <c r="A161" s="68">
        <v>160</v>
      </c>
      <c r="I161" s="44"/>
      <c r="P161" s="44"/>
      <c r="T161" s="39"/>
      <c r="U161" s="46" t="b">
        <f>IF(O161=CURSOS!$D$3,"DIPLOMADO EN ATENCION PRE-HOSPITALARIA",IF(O161=CURSOS!$D$4,"ACOMPAÑAMIENTO Y MANEJO DEL DUELO",IF(O161=CURSOS!$D$5,"ATENCION A VICTIMAS DE ATAQUE CON AGENTES QUIMICOS ",IF(O161=CURSOS!$D$6,"PRIMEROS AUXILIOS ",IF(O161=CURSOS!$D$7,"DIPLOMADO DE UNIDAD DE CUIDADOS INTENSIVOS (UCI)",IF(O161=CURSOS!$D$8,"MODELO DE ATENCION PARA EVENTOS EMERGENTES EN SALUD MENTAL (CODIGO VERDE)",IF(O161=CURSOS!$D$9,"HUMANIZACION EN EL SERVICIO DE LA SALUD Y BUENAS PRACTICAS EN PACIENTE ",IF(O161=CURSOS!$D$10,"CLINICA DE HERIDAS ",IF(O161=CURSOS!$D$11,"TOMA DE CITOLOGIA CERVICO VAGINAL ",IF(O161=CURSOS!$D$12,"SOPORTE CARDIOVASCULAR AVANZADO (ACLS) ",IF(O161=CURSOS!$D$13,"CAMILLERO ",IF(O161=CURSOS!$D$14,"TOMA DE MUESTRAS Y LABORATORIO ",IF(O161=CURSOS!$D$15,"SOPORTE VITAL BASICO (BLS)",IF(O161=CURSOS!$D$16,"ATENCION A VICTIMAS DE VIOLENCIA SEXUAL ",IF(O161=CURSOS!$D$17,"PROGRAMADO AMPLIADO DE INMUNIZACION (PAI - COVID 19)",IF(O161=CURSOS!$D$18,"ATENCION INTEGRAL EN ENFERMEDADES PREVALENTES EN PRIMERA INFANCIA (AIEPI)",IF(O161=CURSOS!$D$19,"ADMINISTRACION DE MEDICAMENTOS, INYECTOLOGIA  Y CANALIZACION ",IF(O161=CURSOS!$D$20,"OPERADOR DE VEHICULOS DE EMERGENCIA (OVE)",IF(O161=CURSOS!$D$21,"INSTITUCIONES AMIGAS DE LA MUJER Y LA INFANCIA (IAMI)",IF(O161=CURSOS!$D$22,"CUIDADO DEL DONANTE DE ORGANOS",IF(O161=CURSOS!$D$23,"ATENCION A VICTIMAS POR VIOLENCIA DE GENERO",IF(O161=CURSOS!$D$24,"IGUALDAD DE GENERO EN LA SALUD",IF(O161=CURSOS!$D$25,"BRIGADA DE EMERGENCIA",IF(O161=CURSOS!$D$26,"MANEJO DEL DOLOR Y CUIDADOS PALIATIVOS",IF(O161=CURSOS!$D$27,"TOMA DE MUESTRAS Y LABORATORIO POCT",IF(O161=CURSOS!$D$28,"IMPLANTE SUBDERMICO DE DISPOSITIVO INTRAUTERINO",IF(O161=CURSOS!$D$29,"SALUD MENTAL",IF(O161=CURSOS!$D$30,"PRIMEROS AUXILIOS PSICOLOGICOS",IF(O161=CURSOS!$D$31,"ATENCION A VICTIMAS POR CONFLICTO ARMADO",IF(O161=CURSOS!$D$32,"MANIPULACION DE ALIMENTOS Y BPM",IF(O161=CURSOS!$D$33,"ATENCION A PERSONAS CON DISCAPACIDAD",IF(O161=CURSOS!$D$34,"CUIDADO INTEGRAL DEL PACIENTE ADULTO",IF(O161=CURSOS!$D$35,"MANEJO DEFENSIVO",IF(O161=CURSOS!$D$36,"SOPORTE CARDIOVASCULAR AVANZADO NEONATAL",IF(O161=CURSOS!$D$37,"SEGURIDAD DEL PACIENTE",IF(O161=CURSOS!$D$38,"MANEJO DE RESIDUOS HOSPITALARIOS"))))))))))))))))))))))))))))))))))))</f>
        <v>0</v>
      </c>
      <c r="V161" s="46" t="str">
        <f t="shared" si="6"/>
        <v xml:space="preserve">   </v>
      </c>
      <c r="W161" s="46" t="str">
        <f t="shared" si="7"/>
        <v xml:space="preserve">   </v>
      </c>
      <c r="X161" s="46" t="str">
        <f t="shared" si="8"/>
        <v xml:space="preserve">   --</v>
      </c>
    </row>
    <row r="162" spans="1:24" x14ac:dyDescent="0.2">
      <c r="A162" s="68">
        <v>161</v>
      </c>
      <c r="I162" s="44"/>
      <c r="P162" s="44"/>
      <c r="T162" s="39"/>
      <c r="U162" s="46" t="b">
        <f>IF(O162=CURSOS!$D$3,"DIPLOMADO EN ATENCION PRE-HOSPITALARIA",IF(O162=CURSOS!$D$4,"ACOMPAÑAMIENTO Y MANEJO DEL DUELO",IF(O162=CURSOS!$D$5,"ATENCION A VICTIMAS DE ATAQUE CON AGENTES QUIMICOS ",IF(O162=CURSOS!$D$6,"PRIMEROS AUXILIOS ",IF(O162=CURSOS!$D$7,"DIPLOMADO DE UNIDAD DE CUIDADOS INTENSIVOS (UCI)",IF(O162=CURSOS!$D$8,"MODELO DE ATENCION PARA EVENTOS EMERGENTES EN SALUD MENTAL (CODIGO VERDE)",IF(O162=CURSOS!$D$9,"HUMANIZACION EN EL SERVICIO DE LA SALUD Y BUENAS PRACTICAS EN PACIENTE ",IF(O162=CURSOS!$D$10,"CLINICA DE HERIDAS ",IF(O162=CURSOS!$D$11,"TOMA DE CITOLOGIA CERVICO VAGINAL ",IF(O162=CURSOS!$D$12,"SOPORTE CARDIOVASCULAR AVANZADO (ACLS) ",IF(O162=CURSOS!$D$13,"CAMILLERO ",IF(O162=CURSOS!$D$14,"TOMA DE MUESTRAS Y LABORATORIO ",IF(O162=CURSOS!$D$15,"SOPORTE VITAL BASICO (BLS)",IF(O162=CURSOS!$D$16,"ATENCION A VICTIMAS DE VIOLENCIA SEXUAL ",IF(O162=CURSOS!$D$17,"PROGRAMADO AMPLIADO DE INMUNIZACION (PAI - COVID 19)",IF(O162=CURSOS!$D$18,"ATENCION INTEGRAL EN ENFERMEDADES PREVALENTES EN PRIMERA INFANCIA (AIEPI)",IF(O162=CURSOS!$D$19,"ADMINISTRACION DE MEDICAMENTOS, INYECTOLOGIA  Y CANALIZACION ",IF(O162=CURSOS!$D$20,"OPERADOR DE VEHICULOS DE EMERGENCIA (OVE)",IF(O162=CURSOS!$D$21,"INSTITUCIONES AMIGAS DE LA MUJER Y LA INFANCIA (IAMI)",IF(O162=CURSOS!$D$22,"CUIDADO DEL DONANTE DE ORGANOS",IF(O162=CURSOS!$D$23,"ATENCION A VICTIMAS POR VIOLENCIA DE GENERO",IF(O162=CURSOS!$D$24,"IGUALDAD DE GENERO EN LA SALUD",IF(O162=CURSOS!$D$25,"BRIGADA DE EMERGENCIA",IF(O162=CURSOS!$D$26,"MANEJO DEL DOLOR Y CUIDADOS PALIATIVOS",IF(O162=CURSOS!$D$27,"TOMA DE MUESTRAS Y LABORATORIO POCT",IF(O162=CURSOS!$D$28,"IMPLANTE SUBDERMICO DE DISPOSITIVO INTRAUTERINO",IF(O162=CURSOS!$D$29,"SALUD MENTAL",IF(O162=CURSOS!$D$30,"PRIMEROS AUXILIOS PSICOLOGICOS",IF(O162=CURSOS!$D$31,"ATENCION A VICTIMAS POR CONFLICTO ARMADO",IF(O162=CURSOS!$D$32,"MANIPULACION DE ALIMENTOS Y BPM",IF(O162=CURSOS!$D$33,"ATENCION A PERSONAS CON DISCAPACIDAD",IF(O162=CURSOS!$D$34,"CUIDADO INTEGRAL DEL PACIENTE ADULTO",IF(O162=CURSOS!$D$35,"MANEJO DEFENSIVO",IF(O162=CURSOS!$D$36,"SOPORTE CARDIOVASCULAR AVANZADO NEONATAL",IF(O162=CURSOS!$D$37,"SEGURIDAD DEL PACIENTE",IF(O162=CURSOS!$D$38,"MANEJO DE RESIDUOS HOSPITALARIOS"))))))))))))))))))))))))))))))))))))</f>
        <v>0</v>
      </c>
      <c r="V162" s="46" t="str">
        <f t="shared" si="6"/>
        <v xml:space="preserve">   </v>
      </c>
      <c r="W162" s="46" t="str">
        <f t="shared" si="7"/>
        <v xml:space="preserve">   </v>
      </c>
      <c r="X162" s="46" t="str">
        <f t="shared" si="8"/>
        <v xml:space="preserve">   --</v>
      </c>
    </row>
    <row r="163" spans="1:24" x14ac:dyDescent="0.2">
      <c r="A163" s="68">
        <v>162</v>
      </c>
      <c r="I163" s="44"/>
      <c r="P163" s="44"/>
      <c r="R163" s="88"/>
      <c r="T163" s="39"/>
      <c r="U163" s="46" t="b">
        <f>IF(O163=CURSOS!$D$3,"DIPLOMADO EN ATENCION PRE-HOSPITALARIA",IF(O163=CURSOS!$D$4,"ACOMPAÑAMIENTO Y MANEJO DEL DUELO",IF(O163=CURSOS!$D$5,"ATENCION A VICTIMAS DE ATAQUE CON AGENTES QUIMICOS ",IF(O163=CURSOS!$D$6,"PRIMEROS AUXILIOS ",IF(O163=CURSOS!$D$7,"DIPLOMADO DE UNIDAD DE CUIDADOS INTENSIVOS (UCI)",IF(O163=CURSOS!$D$8,"MODELO DE ATENCION PARA EVENTOS EMERGENTES EN SALUD MENTAL (CODIGO VERDE)",IF(O163=CURSOS!$D$9,"HUMANIZACION EN EL SERVICIO DE LA SALUD Y BUENAS PRACTICAS EN PACIENTE ",IF(O163=CURSOS!$D$10,"CLINICA DE HERIDAS ",IF(O163=CURSOS!$D$11,"TOMA DE CITOLOGIA CERVICO VAGINAL ",IF(O163=CURSOS!$D$12,"SOPORTE CARDIOVASCULAR AVANZADO (ACLS) ",IF(O163=CURSOS!$D$13,"CAMILLERO ",IF(O163=CURSOS!$D$14,"TOMA DE MUESTRAS Y LABORATORIO ",IF(O163=CURSOS!$D$15,"SOPORTE VITAL BASICO (BLS)",IF(O163=CURSOS!$D$16,"ATENCION A VICTIMAS DE VIOLENCIA SEXUAL ",IF(O163=CURSOS!$D$17,"PROGRAMADO AMPLIADO DE INMUNIZACION (PAI - COVID 19)",IF(O163=CURSOS!$D$18,"ATENCION INTEGRAL EN ENFERMEDADES PREVALENTES EN PRIMERA INFANCIA (AIEPI)",IF(O163=CURSOS!$D$19,"ADMINISTRACION DE MEDICAMENTOS, INYECTOLOGIA  Y CANALIZACION ",IF(O163=CURSOS!$D$20,"OPERADOR DE VEHICULOS DE EMERGENCIA (OVE)",IF(O163=CURSOS!$D$21,"INSTITUCIONES AMIGAS DE LA MUJER Y LA INFANCIA (IAMI)",IF(O163=CURSOS!$D$22,"CUIDADO DEL DONANTE DE ORGANOS",IF(O163=CURSOS!$D$23,"ATENCION A VICTIMAS POR VIOLENCIA DE GENERO",IF(O163=CURSOS!$D$24,"IGUALDAD DE GENERO EN LA SALUD",IF(O163=CURSOS!$D$25,"BRIGADA DE EMERGENCIA",IF(O163=CURSOS!$D$26,"MANEJO DEL DOLOR Y CUIDADOS PALIATIVOS",IF(O163=CURSOS!$D$27,"TOMA DE MUESTRAS Y LABORATORIO POCT",IF(O163=CURSOS!$D$28,"IMPLANTE SUBDERMICO DE DISPOSITIVO INTRAUTERINO",IF(O163=CURSOS!$D$29,"SALUD MENTAL",IF(O163=CURSOS!$D$30,"PRIMEROS AUXILIOS PSICOLOGICOS",IF(O163=CURSOS!$D$31,"ATENCION A VICTIMAS POR CONFLICTO ARMADO",IF(O163=CURSOS!$D$32,"MANIPULACION DE ALIMENTOS Y BPM",IF(O163=CURSOS!$D$33,"ATENCION A PERSONAS CON DISCAPACIDAD",IF(O163=CURSOS!$D$34,"CUIDADO INTEGRAL DEL PACIENTE ADULTO",IF(O163=CURSOS!$D$35,"MANEJO DEFENSIVO",IF(O163=CURSOS!$D$36,"SOPORTE CARDIOVASCULAR AVANZADO NEONATAL",IF(O163=CURSOS!$D$37,"SEGURIDAD DEL PACIENTE",IF(O163=CURSOS!$D$38,"MANEJO DE RESIDUOS HOSPITALARIOS"))))))))))))))))))))))))))))))))))))</f>
        <v>0</v>
      </c>
      <c r="V163" s="46" t="str">
        <f t="shared" si="6"/>
        <v xml:space="preserve">   </v>
      </c>
      <c r="W163" s="46" t="str">
        <f t="shared" si="7"/>
        <v xml:space="preserve">   </v>
      </c>
      <c r="X163" s="46" t="str">
        <f t="shared" si="8"/>
        <v xml:space="preserve">   --</v>
      </c>
    </row>
    <row r="164" spans="1:24" x14ac:dyDescent="0.2">
      <c r="A164" s="68">
        <v>163</v>
      </c>
      <c r="I164" s="44"/>
      <c r="P164" s="44"/>
      <c r="R164" s="89"/>
      <c r="T164" s="39"/>
      <c r="U164" s="46" t="b">
        <f>IF(O164=CURSOS!$D$3,"DIPLOMADO EN ATENCION PRE-HOSPITALARIA",IF(O164=CURSOS!$D$4,"ACOMPAÑAMIENTO Y MANEJO DEL DUELO",IF(O164=CURSOS!$D$5,"ATENCION A VICTIMAS DE ATAQUE CON AGENTES QUIMICOS ",IF(O164=CURSOS!$D$6,"PRIMEROS AUXILIOS ",IF(O164=CURSOS!$D$7,"DIPLOMADO DE UNIDAD DE CUIDADOS INTENSIVOS (UCI)",IF(O164=CURSOS!$D$8,"MODELO DE ATENCION PARA EVENTOS EMERGENTES EN SALUD MENTAL (CODIGO VERDE)",IF(O164=CURSOS!$D$9,"HUMANIZACION EN EL SERVICIO DE LA SALUD Y BUENAS PRACTICAS EN PACIENTE ",IF(O164=CURSOS!$D$10,"CLINICA DE HERIDAS ",IF(O164=CURSOS!$D$11,"TOMA DE CITOLOGIA CERVICO VAGINAL ",IF(O164=CURSOS!$D$12,"SOPORTE CARDIOVASCULAR AVANZADO (ACLS) ",IF(O164=CURSOS!$D$13,"CAMILLERO ",IF(O164=CURSOS!$D$14,"TOMA DE MUESTRAS Y LABORATORIO ",IF(O164=CURSOS!$D$15,"SOPORTE VITAL BASICO (BLS)",IF(O164=CURSOS!$D$16,"ATENCION A VICTIMAS DE VIOLENCIA SEXUAL ",IF(O164=CURSOS!$D$17,"PROGRAMADO AMPLIADO DE INMUNIZACION (PAI - COVID 19)",IF(O164=CURSOS!$D$18,"ATENCION INTEGRAL EN ENFERMEDADES PREVALENTES EN PRIMERA INFANCIA (AIEPI)",IF(O164=CURSOS!$D$19,"ADMINISTRACION DE MEDICAMENTOS, INYECTOLOGIA  Y CANALIZACION ",IF(O164=CURSOS!$D$20,"OPERADOR DE VEHICULOS DE EMERGENCIA (OVE)",IF(O164=CURSOS!$D$21,"INSTITUCIONES AMIGAS DE LA MUJER Y LA INFANCIA (IAMI)",IF(O164=CURSOS!$D$22,"CUIDADO DEL DONANTE DE ORGANOS",IF(O164=CURSOS!$D$23,"ATENCION A VICTIMAS POR VIOLENCIA DE GENERO",IF(O164=CURSOS!$D$24,"IGUALDAD DE GENERO EN LA SALUD",IF(O164=CURSOS!$D$25,"BRIGADA DE EMERGENCIA",IF(O164=CURSOS!$D$26,"MANEJO DEL DOLOR Y CUIDADOS PALIATIVOS",IF(O164=CURSOS!$D$27,"TOMA DE MUESTRAS Y LABORATORIO POCT",IF(O164=CURSOS!$D$28,"IMPLANTE SUBDERMICO DE DISPOSITIVO INTRAUTERINO",IF(O164=CURSOS!$D$29,"SALUD MENTAL",IF(O164=CURSOS!$D$30,"PRIMEROS AUXILIOS PSICOLOGICOS",IF(O164=CURSOS!$D$31,"ATENCION A VICTIMAS POR CONFLICTO ARMADO",IF(O164=CURSOS!$D$32,"MANIPULACION DE ALIMENTOS Y BPM",IF(O164=CURSOS!$D$33,"ATENCION A PERSONAS CON DISCAPACIDAD",IF(O164=CURSOS!$D$34,"CUIDADO INTEGRAL DEL PACIENTE ADULTO",IF(O164=CURSOS!$D$35,"MANEJO DEFENSIVO",IF(O164=CURSOS!$D$36,"SOPORTE CARDIOVASCULAR AVANZADO NEONATAL",IF(O164=CURSOS!$D$37,"SEGURIDAD DEL PACIENTE",IF(O164=CURSOS!$D$38,"MANEJO DE RESIDUOS HOSPITALARIOS"))))))))))))))))))))))))))))))))))))</f>
        <v>0</v>
      </c>
      <c r="V164" s="46" t="str">
        <f t="shared" si="6"/>
        <v xml:space="preserve">   </v>
      </c>
      <c r="W164" s="46" t="str">
        <f t="shared" si="7"/>
        <v xml:space="preserve">   </v>
      </c>
      <c r="X164" s="46" t="str">
        <f t="shared" si="8"/>
        <v xml:space="preserve">   --</v>
      </c>
    </row>
    <row r="165" spans="1:24" x14ac:dyDescent="0.2">
      <c r="A165" s="68">
        <v>164</v>
      </c>
      <c r="I165" s="44"/>
      <c r="P165" s="44"/>
      <c r="R165" s="89"/>
      <c r="T165" s="39"/>
      <c r="U165" s="46" t="b">
        <f>IF(O165=CURSOS!$D$3,"DIPLOMADO EN ATENCION PRE-HOSPITALARIA",IF(O165=CURSOS!$D$4,"ACOMPAÑAMIENTO Y MANEJO DEL DUELO",IF(O165=CURSOS!$D$5,"ATENCION A VICTIMAS DE ATAQUE CON AGENTES QUIMICOS ",IF(O165=CURSOS!$D$6,"PRIMEROS AUXILIOS ",IF(O165=CURSOS!$D$7,"DIPLOMADO DE UNIDAD DE CUIDADOS INTENSIVOS (UCI)",IF(O165=CURSOS!$D$8,"MODELO DE ATENCION PARA EVENTOS EMERGENTES EN SALUD MENTAL (CODIGO VERDE)",IF(O165=CURSOS!$D$9,"HUMANIZACION EN EL SERVICIO DE LA SALUD Y BUENAS PRACTICAS EN PACIENTE ",IF(O165=CURSOS!$D$10,"CLINICA DE HERIDAS ",IF(O165=CURSOS!$D$11,"TOMA DE CITOLOGIA CERVICO VAGINAL ",IF(O165=CURSOS!$D$12,"SOPORTE CARDIOVASCULAR AVANZADO (ACLS) ",IF(O165=CURSOS!$D$13,"CAMILLERO ",IF(O165=CURSOS!$D$14,"TOMA DE MUESTRAS Y LABORATORIO ",IF(O165=CURSOS!$D$15,"SOPORTE VITAL BASICO (BLS)",IF(O165=CURSOS!$D$16,"ATENCION A VICTIMAS DE VIOLENCIA SEXUAL ",IF(O165=CURSOS!$D$17,"PROGRAMADO AMPLIADO DE INMUNIZACION (PAI - COVID 19)",IF(O165=CURSOS!$D$18,"ATENCION INTEGRAL EN ENFERMEDADES PREVALENTES EN PRIMERA INFANCIA (AIEPI)",IF(O165=CURSOS!$D$19,"ADMINISTRACION DE MEDICAMENTOS, INYECTOLOGIA  Y CANALIZACION ",IF(O165=CURSOS!$D$20,"OPERADOR DE VEHICULOS DE EMERGENCIA (OVE)",IF(O165=CURSOS!$D$21,"INSTITUCIONES AMIGAS DE LA MUJER Y LA INFANCIA (IAMI)",IF(O165=CURSOS!$D$22,"CUIDADO DEL DONANTE DE ORGANOS",IF(O165=CURSOS!$D$23,"ATENCION A VICTIMAS POR VIOLENCIA DE GENERO",IF(O165=CURSOS!$D$24,"IGUALDAD DE GENERO EN LA SALUD",IF(O165=CURSOS!$D$25,"BRIGADA DE EMERGENCIA",IF(O165=CURSOS!$D$26,"MANEJO DEL DOLOR Y CUIDADOS PALIATIVOS",IF(O165=CURSOS!$D$27,"TOMA DE MUESTRAS Y LABORATORIO POCT",IF(O165=CURSOS!$D$28,"IMPLANTE SUBDERMICO DE DISPOSITIVO INTRAUTERINO",IF(O165=CURSOS!$D$29,"SALUD MENTAL",IF(O165=CURSOS!$D$30,"PRIMEROS AUXILIOS PSICOLOGICOS",IF(O165=CURSOS!$D$31,"ATENCION A VICTIMAS POR CONFLICTO ARMADO",IF(O165=CURSOS!$D$32,"MANIPULACION DE ALIMENTOS Y BPM",IF(O165=CURSOS!$D$33,"ATENCION A PERSONAS CON DISCAPACIDAD",IF(O165=CURSOS!$D$34,"CUIDADO INTEGRAL DEL PACIENTE ADULTO",IF(O165=CURSOS!$D$35,"MANEJO DEFENSIVO",IF(O165=CURSOS!$D$36,"SOPORTE CARDIOVASCULAR AVANZADO NEONATAL",IF(O165=CURSOS!$D$37,"SEGURIDAD DEL PACIENTE",IF(O165=CURSOS!$D$38,"MANEJO DE RESIDUOS HOSPITALARIOS"))))))))))))))))))))))))))))))))))))</f>
        <v>0</v>
      </c>
      <c r="V165" s="46" t="str">
        <f t="shared" si="6"/>
        <v xml:space="preserve">   </v>
      </c>
      <c r="W165" s="46" t="str">
        <f t="shared" si="7"/>
        <v xml:space="preserve">   </v>
      </c>
      <c r="X165" s="46" t="str">
        <f t="shared" si="8"/>
        <v xml:space="preserve">   --</v>
      </c>
    </row>
    <row r="166" spans="1:24" x14ac:dyDescent="0.2">
      <c r="A166" s="68">
        <v>165</v>
      </c>
      <c r="I166" s="44"/>
      <c r="P166" s="44"/>
      <c r="R166" s="89"/>
      <c r="T166" s="39"/>
      <c r="U166" s="46" t="b">
        <f>IF(O166=CURSOS!$D$3,"DIPLOMADO EN ATENCION PRE-HOSPITALARIA",IF(O166=CURSOS!$D$4,"ACOMPAÑAMIENTO Y MANEJO DEL DUELO",IF(O166=CURSOS!$D$5,"ATENCION A VICTIMAS DE ATAQUE CON AGENTES QUIMICOS ",IF(O166=CURSOS!$D$6,"PRIMEROS AUXILIOS ",IF(O166=CURSOS!$D$7,"DIPLOMADO DE UNIDAD DE CUIDADOS INTENSIVOS (UCI)",IF(O166=CURSOS!$D$8,"MODELO DE ATENCION PARA EVENTOS EMERGENTES EN SALUD MENTAL (CODIGO VERDE)",IF(O166=CURSOS!$D$9,"HUMANIZACION EN EL SERVICIO DE LA SALUD Y BUENAS PRACTICAS EN PACIENTE ",IF(O166=CURSOS!$D$10,"CLINICA DE HERIDAS ",IF(O166=CURSOS!$D$11,"TOMA DE CITOLOGIA CERVICO VAGINAL ",IF(O166=CURSOS!$D$12,"SOPORTE CARDIOVASCULAR AVANZADO (ACLS) ",IF(O166=CURSOS!$D$13,"CAMILLERO ",IF(O166=CURSOS!$D$14,"TOMA DE MUESTRAS Y LABORATORIO ",IF(O166=CURSOS!$D$15,"SOPORTE VITAL BASICO (BLS)",IF(O166=CURSOS!$D$16,"ATENCION A VICTIMAS DE VIOLENCIA SEXUAL ",IF(O166=CURSOS!$D$17,"PROGRAMADO AMPLIADO DE INMUNIZACION (PAI - COVID 19)",IF(O166=CURSOS!$D$18,"ATENCION INTEGRAL EN ENFERMEDADES PREVALENTES EN PRIMERA INFANCIA (AIEPI)",IF(O166=CURSOS!$D$19,"ADMINISTRACION DE MEDICAMENTOS, INYECTOLOGIA  Y CANALIZACION ",IF(O166=CURSOS!$D$20,"OPERADOR DE VEHICULOS DE EMERGENCIA (OVE)",IF(O166=CURSOS!$D$21,"INSTITUCIONES AMIGAS DE LA MUJER Y LA INFANCIA (IAMI)",IF(O166=CURSOS!$D$22,"CUIDADO DEL DONANTE DE ORGANOS",IF(O166=CURSOS!$D$23,"ATENCION A VICTIMAS POR VIOLENCIA DE GENERO",IF(O166=CURSOS!$D$24,"IGUALDAD DE GENERO EN LA SALUD",IF(O166=CURSOS!$D$25,"BRIGADA DE EMERGENCIA",IF(O166=CURSOS!$D$26,"MANEJO DEL DOLOR Y CUIDADOS PALIATIVOS",IF(O166=CURSOS!$D$27,"TOMA DE MUESTRAS Y LABORATORIO POCT",IF(O166=CURSOS!$D$28,"IMPLANTE SUBDERMICO DE DISPOSITIVO INTRAUTERINO",IF(O166=CURSOS!$D$29,"SALUD MENTAL",IF(O166=CURSOS!$D$30,"PRIMEROS AUXILIOS PSICOLOGICOS",IF(O166=CURSOS!$D$31,"ATENCION A VICTIMAS POR CONFLICTO ARMADO",IF(O166=CURSOS!$D$32,"MANIPULACION DE ALIMENTOS Y BPM",IF(O166=CURSOS!$D$33,"ATENCION A PERSONAS CON DISCAPACIDAD",IF(O166=CURSOS!$D$34,"CUIDADO INTEGRAL DEL PACIENTE ADULTO",IF(O166=CURSOS!$D$35,"MANEJO DEFENSIVO",IF(O166=CURSOS!$D$36,"SOPORTE CARDIOVASCULAR AVANZADO NEONATAL",IF(O166=CURSOS!$D$37,"SEGURIDAD DEL PACIENTE",IF(O166=CURSOS!$D$38,"MANEJO DE RESIDUOS HOSPITALARIOS"))))))))))))))))))))))))))))))))))))</f>
        <v>0</v>
      </c>
      <c r="V166" s="46" t="str">
        <f t="shared" si="6"/>
        <v xml:space="preserve">   </v>
      </c>
      <c r="W166" s="46" t="str">
        <f t="shared" si="7"/>
        <v xml:space="preserve">   </v>
      </c>
      <c r="X166" s="46" t="str">
        <f t="shared" si="8"/>
        <v xml:space="preserve">   --</v>
      </c>
    </row>
    <row r="167" spans="1:24" x14ac:dyDescent="0.2">
      <c r="A167" s="68">
        <v>166</v>
      </c>
      <c r="I167" s="44"/>
      <c r="P167" s="44"/>
      <c r="R167" s="89"/>
      <c r="T167" s="39"/>
      <c r="U167" s="46" t="b">
        <f>IF(O167=CURSOS!$D$3,"DIPLOMADO EN ATENCION PRE-HOSPITALARIA",IF(O167=CURSOS!$D$4,"ACOMPAÑAMIENTO Y MANEJO DEL DUELO",IF(O167=CURSOS!$D$5,"ATENCION A VICTIMAS DE ATAQUE CON AGENTES QUIMICOS ",IF(O167=CURSOS!$D$6,"PRIMEROS AUXILIOS ",IF(O167=CURSOS!$D$7,"DIPLOMADO DE UNIDAD DE CUIDADOS INTENSIVOS (UCI)",IF(O167=CURSOS!$D$8,"MODELO DE ATENCION PARA EVENTOS EMERGENTES EN SALUD MENTAL (CODIGO VERDE)",IF(O167=CURSOS!$D$9,"HUMANIZACION EN EL SERVICIO DE LA SALUD Y BUENAS PRACTICAS EN PACIENTE ",IF(O167=CURSOS!$D$10,"CLINICA DE HERIDAS ",IF(O167=CURSOS!$D$11,"TOMA DE CITOLOGIA CERVICO VAGINAL ",IF(O167=CURSOS!$D$12,"SOPORTE CARDIOVASCULAR AVANZADO (ACLS) ",IF(O167=CURSOS!$D$13,"CAMILLERO ",IF(O167=CURSOS!$D$14,"TOMA DE MUESTRAS Y LABORATORIO ",IF(O167=CURSOS!$D$15,"SOPORTE VITAL BASICO (BLS)",IF(O167=CURSOS!$D$16,"ATENCION A VICTIMAS DE VIOLENCIA SEXUAL ",IF(O167=CURSOS!$D$17,"PROGRAMADO AMPLIADO DE INMUNIZACION (PAI - COVID 19)",IF(O167=CURSOS!$D$18,"ATENCION INTEGRAL EN ENFERMEDADES PREVALENTES EN PRIMERA INFANCIA (AIEPI)",IF(O167=CURSOS!$D$19,"ADMINISTRACION DE MEDICAMENTOS, INYECTOLOGIA  Y CANALIZACION ",IF(O167=CURSOS!$D$20,"OPERADOR DE VEHICULOS DE EMERGENCIA (OVE)",IF(O167=CURSOS!$D$21,"INSTITUCIONES AMIGAS DE LA MUJER Y LA INFANCIA (IAMI)",IF(O167=CURSOS!$D$22,"CUIDADO DEL DONANTE DE ORGANOS",IF(O167=CURSOS!$D$23,"ATENCION A VICTIMAS POR VIOLENCIA DE GENERO",IF(O167=CURSOS!$D$24,"IGUALDAD DE GENERO EN LA SALUD",IF(O167=CURSOS!$D$25,"BRIGADA DE EMERGENCIA",IF(O167=CURSOS!$D$26,"MANEJO DEL DOLOR Y CUIDADOS PALIATIVOS",IF(O167=CURSOS!$D$27,"TOMA DE MUESTRAS Y LABORATORIO POCT",IF(O167=CURSOS!$D$28,"IMPLANTE SUBDERMICO DE DISPOSITIVO INTRAUTERINO",IF(O167=CURSOS!$D$29,"SALUD MENTAL",IF(O167=CURSOS!$D$30,"PRIMEROS AUXILIOS PSICOLOGICOS",IF(O167=CURSOS!$D$31,"ATENCION A VICTIMAS POR CONFLICTO ARMADO",IF(O167=CURSOS!$D$32,"MANIPULACION DE ALIMENTOS Y BPM",IF(O167=CURSOS!$D$33,"ATENCION A PERSONAS CON DISCAPACIDAD",IF(O167=CURSOS!$D$34,"CUIDADO INTEGRAL DEL PACIENTE ADULTO",IF(O167=CURSOS!$D$35,"MANEJO DEFENSIVO",IF(O167=CURSOS!$D$36,"SOPORTE CARDIOVASCULAR AVANZADO NEONATAL",IF(O167=CURSOS!$D$37,"SEGURIDAD DEL PACIENTE",IF(O167=CURSOS!$D$38,"MANEJO DE RESIDUOS HOSPITALARIOS"))))))))))))))))))))))))))))))))))))</f>
        <v>0</v>
      </c>
      <c r="V167" s="46" t="str">
        <f t="shared" si="6"/>
        <v xml:space="preserve">   </v>
      </c>
      <c r="W167" s="46" t="str">
        <f t="shared" si="7"/>
        <v xml:space="preserve">   </v>
      </c>
      <c r="X167" s="46" t="str">
        <f t="shared" si="8"/>
        <v xml:space="preserve">   --</v>
      </c>
    </row>
    <row r="168" spans="1:24" x14ac:dyDescent="0.2">
      <c r="A168" s="68">
        <v>167</v>
      </c>
      <c r="I168" s="44"/>
      <c r="P168" s="44"/>
      <c r="R168" s="89"/>
      <c r="T168" s="39"/>
      <c r="U168" s="46" t="b">
        <f>IF(O168=CURSOS!$D$3,"DIPLOMADO EN ATENCION PRE-HOSPITALARIA",IF(O168=CURSOS!$D$4,"ACOMPAÑAMIENTO Y MANEJO DEL DUELO",IF(O168=CURSOS!$D$5,"ATENCION A VICTIMAS DE ATAQUE CON AGENTES QUIMICOS ",IF(O168=CURSOS!$D$6,"PRIMEROS AUXILIOS ",IF(O168=CURSOS!$D$7,"DIPLOMADO DE UNIDAD DE CUIDADOS INTENSIVOS (UCI)",IF(O168=CURSOS!$D$8,"MODELO DE ATENCION PARA EVENTOS EMERGENTES EN SALUD MENTAL (CODIGO VERDE)",IF(O168=CURSOS!$D$9,"HUMANIZACION EN EL SERVICIO DE LA SALUD Y BUENAS PRACTICAS EN PACIENTE ",IF(O168=CURSOS!$D$10,"CLINICA DE HERIDAS ",IF(O168=CURSOS!$D$11,"TOMA DE CITOLOGIA CERVICO VAGINAL ",IF(O168=CURSOS!$D$12,"SOPORTE CARDIOVASCULAR AVANZADO (ACLS) ",IF(O168=CURSOS!$D$13,"CAMILLERO ",IF(O168=CURSOS!$D$14,"TOMA DE MUESTRAS Y LABORATORIO ",IF(O168=CURSOS!$D$15,"SOPORTE VITAL BASICO (BLS)",IF(O168=CURSOS!$D$16,"ATENCION A VICTIMAS DE VIOLENCIA SEXUAL ",IF(O168=CURSOS!$D$17,"PROGRAMADO AMPLIADO DE INMUNIZACION (PAI - COVID 19)",IF(O168=CURSOS!$D$18,"ATENCION INTEGRAL EN ENFERMEDADES PREVALENTES EN PRIMERA INFANCIA (AIEPI)",IF(O168=CURSOS!$D$19,"ADMINISTRACION DE MEDICAMENTOS, INYECTOLOGIA  Y CANALIZACION ",IF(O168=CURSOS!$D$20,"OPERADOR DE VEHICULOS DE EMERGENCIA (OVE)",IF(O168=CURSOS!$D$21,"INSTITUCIONES AMIGAS DE LA MUJER Y LA INFANCIA (IAMI)",IF(O168=CURSOS!$D$22,"CUIDADO DEL DONANTE DE ORGANOS",IF(O168=CURSOS!$D$23,"ATENCION A VICTIMAS POR VIOLENCIA DE GENERO",IF(O168=CURSOS!$D$24,"IGUALDAD DE GENERO EN LA SALUD",IF(O168=CURSOS!$D$25,"BRIGADA DE EMERGENCIA",IF(O168=CURSOS!$D$26,"MANEJO DEL DOLOR Y CUIDADOS PALIATIVOS",IF(O168=CURSOS!$D$27,"TOMA DE MUESTRAS Y LABORATORIO POCT",IF(O168=CURSOS!$D$28,"IMPLANTE SUBDERMICO DE DISPOSITIVO INTRAUTERINO",IF(O168=CURSOS!$D$29,"SALUD MENTAL",IF(O168=CURSOS!$D$30,"PRIMEROS AUXILIOS PSICOLOGICOS",IF(O168=CURSOS!$D$31,"ATENCION A VICTIMAS POR CONFLICTO ARMADO",IF(O168=CURSOS!$D$32,"MANIPULACION DE ALIMENTOS Y BPM",IF(O168=CURSOS!$D$33,"ATENCION A PERSONAS CON DISCAPACIDAD",IF(O168=CURSOS!$D$34,"CUIDADO INTEGRAL DEL PACIENTE ADULTO",IF(O168=CURSOS!$D$35,"MANEJO DEFENSIVO",IF(O168=CURSOS!$D$36,"SOPORTE CARDIOVASCULAR AVANZADO NEONATAL",IF(O168=CURSOS!$D$37,"SEGURIDAD DEL PACIENTE",IF(O168=CURSOS!$D$38,"MANEJO DE RESIDUOS HOSPITALARIOS"))))))))))))))))))))))))))))))))))))</f>
        <v>0</v>
      </c>
      <c r="V168" s="46" t="str">
        <f t="shared" si="6"/>
        <v xml:space="preserve">   </v>
      </c>
      <c r="W168" s="46" t="str">
        <f t="shared" si="7"/>
        <v xml:space="preserve">   </v>
      </c>
      <c r="X168" s="46" t="str">
        <f t="shared" si="8"/>
        <v xml:space="preserve">   --</v>
      </c>
    </row>
    <row r="169" spans="1:24" x14ac:dyDescent="0.2">
      <c r="A169" s="68">
        <v>168</v>
      </c>
      <c r="I169" s="44"/>
      <c r="P169" s="44"/>
      <c r="R169" s="89"/>
      <c r="T169" s="39"/>
      <c r="U169" s="46" t="b">
        <f>IF(O169=CURSOS!$D$3,"DIPLOMADO EN ATENCION PRE-HOSPITALARIA",IF(O169=CURSOS!$D$4,"ACOMPAÑAMIENTO Y MANEJO DEL DUELO",IF(O169=CURSOS!$D$5,"ATENCION A VICTIMAS DE ATAQUE CON AGENTES QUIMICOS ",IF(O169=CURSOS!$D$6,"PRIMEROS AUXILIOS ",IF(O169=CURSOS!$D$7,"DIPLOMADO DE UNIDAD DE CUIDADOS INTENSIVOS (UCI)",IF(O169=CURSOS!$D$8,"MODELO DE ATENCION PARA EVENTOS EMERGENTES EN SALUD MENTAL (CODIGO VERDE)",IF(O169=CURSOS!$D$9,"HUMANIZACION EN EL SERVICIO DE LA SALUD Y BUENAS PRACTICAS EN PACIENTE ",IF(O169=CURSOS!$D$10,"CLINICA DE HERIDAS ",IF(O169=CURSOS!$D$11,"TOMA DE CITOLOGIA CERVICO VAGINAL ",IF(O169=CURSOS!$D$12,"SOPORTE CARDIOVASCULAR AVANZADO (ACLS) ",IF(O169=CURSOS!$D$13,"CAMILLERO ",IF(O169=CURSOS!$D$14,"TOMA DE MUESTRAS Y LABORATORIO ",IF(O169=CURSOS!$D$15,"SOPORTE VITAL BASICO (BLS)",IF(O169=CURSOS!$D$16,"ATENCION A VICTIMAS DE VIOLENCIA SEXUAL ",IF(O169=CURSOS!$D$17,"PROGRAMADO AMPLIADO DE INMUNIZACION (PAI - COVID 19)",IF(O169=CURSOS!$D$18,"ATENCION INTEGRAL EN ENFERMEDADES PREVALENTES EN PRIMERA INFANCIA (AIEPI)",IF(O169=CURSOS!$D$19,"ADMINISTRACION DE MEDICAMENTOS, INYECTOLOGIA  Y CANALIZACION ",IF(O169=CURSOS!$D$20,"OPERADOR DE VEHICULOS DE EMERGENCIA (OVE)",IF(O169=CURSOS!$D$21,"INSTITUCIONES AMIGAS DE LA MUJER Y LA INFANCIA (IAMI)",IF(O169=CURSOS!$D$22,"CUIDADO DEL DONANTE DE ORGANOS",IF(O169=CURSOS!$D$23,"ATENCION A VICTIMAS POR VIOLENCIA DE GENERO",IF(O169=CURSOS!$D$24,"IGUALDAD DE GENERO EN LA SALUD",IF(O169=CURSOS!$D$25,"BRIGADA DE EMERGENCIA",IF(O169=CURSOS!$D$26,"MANEJO DEL DOLOR Y CUIDADOS PALIATIVOS",IF(O169=CURSOS!$D$27,"TOMA DE MUESTRAS Y LABORATORIO POCT",IF(O169=CURSOS!$D$28,"IMPLANTE SUBDERMICO DE DISPOSITIVO INTRAUTERINO",IF(O169=CURSOS!$D$29,"SALUD MENTAL",IF(O169=CURSOS!$D$30,"PRIMEROS AUXILIOS PSICOLOGICOS",IF(O169=CURSOS!$D$31,"ATENCION A VICTIMAS POR CONFLICTO ARMADO",IF(O169=CURSOS!$D$32,"MANIPULACION DE ALIMENTOS Y BPM",IF(O169=CURSOS!$D$33,"ATENCION A PERSONAS CON DISCAPACIDAD",IF(O169=CURSOS!$D$34,"CUIDADO INTEGRAL DEL PACIENTE ADULTO",IF(O169=CURSOS!$D$35,"MANEJO DEFENSIVO",IF(O169=CURSOS!$D$36,"SOPORTE CARDIOVASCULAR AVANZADO NEONATAL",IF(O169=CURSOS!$D$37,"SEGURIDAD DEL PACIENTE",IF(O169=CURSOS!$D$38,"MANEJO DE RESIDUOS HOSPITALARIOS"))))))))))))))))))))))))))))))))))))</f>
        <v>0</v>
      </c>
      <c r="V169" s="46" t="str">
        <f t="shared" si="6"/>
        <v xml:space="preserve">   </v>
      </c>
      <c r="W169" s="46" t="str">
        <f t="shared" si="7"/>
        <v xml:space="preserve">   </v>
      </c>
      <c r="X169" s="46" t="str">
        <f t="shared" si="8"/>
        <v xml:space="preserve">   --</v>
      </c>
    </row>
    <row r="170" spans="1:24" x14ac:dyDescent="0.2">
      <c r="A170" s="68">
        <v>169</v>
      </c>
      <c r="I170" s="44"/>
      <c r="P170" s="44"/>
      <c r="R170" s="89"/>
      <c r="T170" s="39"/>
      <c r="U170" s="46" t="b">
        <f>IF(O170=CURSOS!$D$3,"DIPLOMADO EN ATENCION PRE-HOSPITALARIA",IF(O170=CURSOS!$D$4,"ACOMPAÑAMIENTO Y MANEJO DEL DUELO",IF(O170=CURSOS!$D$5,"ATENCION A VICTIMAS DE ATAQUE CON AGENTES QUIMICOS ",IF(O170=CURSOS!$D$6,"PRIMEROS AUXILIOS ",IF(O170=CURSOS!$D$7,"DIPLOMADO DE UNIDAD DE CUIDADOS INTENSIVOS (UCI)",IF(O170=CURSOS!$D$8,"MODELO DE ATENCION PARA EVENTOS EMERGENTES EN SALUD MENTAL (CODIGO VERDE)",IF(O170=CURSOS!$D$9,"HUMANIZACION EN EL SERVICIO DE LA SALUD Y BUENAS PRACTICAS EN PACIENTE ",IF(O170=CURSOS!$D$10,"CLINICA DE HERIDAS ",IF(O170=CURSOS!$D$11,"TOMA DE CITOLOGIA CERVICO VAGINAL ",IF(O170=CURSOS!$D$12,"SOPORTE CARDIOVASCULAR AVANZADO (ACLS) ",IF(O170=CURSOS!$D$13,"CAMILLERO ",IF(O170=CURSOS!$D$14,"TOMA DE MUESTRAS Y LABORATORIO ",IF(O170=CURSOS!$D$15,"SOPORTE VITAL BASICO (BLS)",IF(O170=CURSOS!$D$16,"ATENCION A VICTIMAS DE VIOLENCIA SEXUAL ",IF(O170=CURSOS!$D$17,"PROGRAMADO AMPLIADO DE INMUNIZACION (PAI - COVID 19)",IF(O170=CURSOS!$D$18,"ATENCION INTEGRAL EN ENFERMEDADES PREVALENTES EN PRIMERA INFANCIA (AIEPI)",IF(O170=CURSOS!$D$19,"ADMINISTRACION DE MEDICAMENTOS, INYECTOLOGIA  Y CANALIZACION ",IF(O170=CURSOS!$D$20,"OPERADOR DE VEHICULOS DE EMERGENCIA (OVE)",IF(O170=CURSOS!$D$21,"INSTITUCIONES AMIGAS DE LA MUJER Y LA INFANCIA (IAMI)",IF(O170=CURSOS!$D$22,"CUIDADO DEL DONANTE DE ORGANOS",IF(O170=CURSOS!$D$23,"ATENCION A VICTIMAS POR VIOLENCIA DE GENERO",IF(O170=CURSOS!$D$24,"IGUALDAD DE GENERO EN LA SALUD",IF(O170=CURSOS!$D$25,"BRIGADA DE EMERGENCIA",IF(O170=CURSOS!$D$26,"MANEJO DEL DOLOR Y CUIDADOS PALIATIVOS",IF(O170=CURSOS!$D$27,"TOMA DE MUESTRAS Y LABORATORIO POCT",IF(O170=CURSOS!$D$28,"IMPLANTE SUBDERMICO DE DISPOSITIVO INTRAUTERINO",IF(O170=CURSOS!$D$29,"SALUD MENTAL",IF(O170=CURSOS!$D$30,"PRIMEROS AUXILIOS PSICOLOGICOS",IF(O170=CURSOS!$D$31,"ATENCION A VICTIMAS POR CONFLICTO ARMADO",IF(O170=CURSOS!$D$32,"MANIPULACION DE ALIMENTOS Y BPM",IF(O170=CURSOS!$D$33,"ATENCION A PERSONAS CON DISCAPACIDAD",IF(O170=CURSOS!$D$34,"CUIDADO INTEGRAL DEL PACIENTE ADULTO",IF(O170=CURSOS!$D$35,"MANEJO DEFENSIVO",IF(O170=CURSOS!$D$36,"SOPORTE CARDIOVASCULAR AVANZADO NEONATAL",IF(O170=CURSOS!$D$37,"SEGURIDAD DEL PACIENTE",IF(O170=CURSOS!$D$38,"MANEJO DE RESIDUOS HOSPITALARIOS"))))))))))))))))))))))))))))))))))))</f>
        <v>0</v>
      </c>
      <c r="V170" s="46" t="str">
        <f t="shared" si="6"/>
        <v xml:space="preserve">   </v>
      </c>
      <c r="W170" s="46" t="str">
        <f t="shared" si="7"/>
        <v xml:space="preserve">   </v>
      </c>
      <c r="X170" s="46" t="str">
        <f t="shared" si="8"/>
        <v xml:space="preserve">   --</v>
      </c>
    </row>
    <row r="171" spans="1:24" x14ac:dyDescent="0.2">
      <c r="A171" s="68">
        <v>170</v>
      </c>
      <c r="I171" s="44"/>
      <c r="P171" s="44"/>
      <c r="R171" s="89"/>
      <c r="T171" s="88"/>
      <c r="U171" s="46" t="b">
        <f>IF(O171=CURSOS!$D$3,"DIPLOMADO EN ATENCION PRE-HOSPITALARIA",IF(O171=CURSOS!$D$4,"ACOMPAÑAMIENTO Y MANEJO DEL DUELO",IF(O171=CURSOS!$D$5,"ATENCION A VICTIMAS DE ATAQUE CON AGENTES QUIMICOS ",IF(O171=CURSOS!$D$6,"PRIMEROS AUXILIOS ",IF(O171=CURSOS!$D$7,"DIPLOMADO DE UNIDAD DE CUIDADOS INTENSIVOS (UCI)",IF(O171=CURSOS!$D$8,"MODELO DE ATENCION PARA EVENTOS EMERGENTES EN SALUD MENTAL (CODIGO VERDE)",IF(O171=CURSOS!$D$9,"HUMANIZACION EN EL SERVICIO DE LA SALUD Y BUENAS PRACTICAS EN PACIENTE ",IF(O171=CURSOS!$D$10,"CLINICA DE HERIDAS ",IF(O171=CURSOS!$D$11,"TOMA DE CITOLOGIA CERVICO VAGINAL ",IF(O171=CURSOS!$D$12,"SOPORTE CARDIOVASCULAR AVANZADO (ACLS) ",IF(O171=CURSOS!$D$13,"CAMILLERO ",IF(O171=CURSOS!$D$14,"TOMA DE MUESTRAS Y LABORATORIO ",IF(O171=CURSOS!$D$15,"SOPORTE VITAL BASICO (BLS)",IF(O171=CURSOS!$D$16,"ATENCION A VICTIMAS DE VIOLENCIA SEXUAL ",IF(O171=CURSOS!$D$17,"PROGRAMADO AMPLIADO DE INMUNIZACION (PAI - COVID 19)",IF(O171=CURSOS!$D$18,"ATENCION INTEGRAL EN ENFERMEDADES PREVALENTES EN PRIMERA INFANCIA (AIEPI)",IF(O171=CURSOS!$D$19,"ADMINISTRACION DE MEDICAMENTOS, INYECTOLOGIA  Y CANALIZACION ",IF(O171=CURSOS!$D$20,"OPERADOR DE VEHICULOS DE EMERGENCIA (OVE)",IF(O171=CURSOS!$D$21,"INSTITUCIONES AMIGAS DE LA MUJER Y LA INFANCIA (IAMI)",IF(O171=CURSOS!$D$22,"CUIDADO DEL DONANTE DE ORGANOS",IF(O171=CURSOS!$D$23,"ATENCION A VICTIMAS POR VIOLENCIA DE GENERO",IF(O171=CURSOS!$D$24,"IGUALDAD DE GENERO EN LA SALUD",IF(O171=CURSOS!$D$25,"BRIGADA DE EMERGENCIA",IF(O171=CURSOS!$D$26,"MANEJO DEL DOLOR Y CUIDADOS PALIATIVOS",IF(O171=CURSOS!$D$27,"TOMA DE MUESTRAS Y LABORATORIO POCT",IF(O171=CURSOS!$D$28,"IMPLANTE SUBDERMICO DE DISPOSITIVO INTRAUTERINO",IF(O171=CURSOS!$D$29,"SALUD MENTAL",IF(O171=CURSOS!$D$30,"PRIMEROS AUXILIOS PSICOLOGICOS",IF(O171=CURSOS!$D$31,"ATENCION A VICTIMAS POR CONFLICTO ARMADO",IF(O171=CURSOS!$D$32,"MANIPULACION DE ALIMENTOS Y BPM",IF(O171=CURSOS!$D$33,"ATENCION A PERSONAS CON DISCAPACIDAD",IF(O171=CURSOS!$D$34,"CUIDADO INTEGRAL DEL PACIENTE ADULTO",IF(O171=CURSOS!$D$35,"MANEJO DEFENSIVO",IF(O171=CURSOS!$D$36,"SOPORTE CARDIOVASCULAR AVANZADO NEONATAL",IF(O171=CURSOS!$D$37,"SEGURIDAD DEL PACIENTE",IF(O171=CURSOS!$D$38,"MANEJO DE RESIDUOS HOSPITALARIOS"))))))))))))))))))))))))))))))))))))</f>
        <v>0</v>
      </c>
      <c r="V171" s="46" t="str">
        <f t="shared" si="6"/>
        <v xml:space="preserve">   </v>
      </c>
      <c r="W171" s="46" t="str">
        <f t="shared" si="7"/>
        <v xml:space="preserve">   </v>
      </c>
      <c r="X171" s="46" t="str">
        <f t="shared" si="8"/>
        <v xml:space="preserve">   --</v>
      </c>
    </row>
    <row r="172" spans="1:24" x14ac:dyDescent="0.2">
      <c r="A172" s="68">
        <v>171</v>
      </c>
      <c r="I172" s="44"/>
      <c r="P172" s="44"/>
      <c r="R172" s="89"/>
      <c r="T172" s="39"/>
      <c r="U172" s="46" t="b">
        <f>IF(O172=CURSOS!$D$3,"DIPLOMADO EN ATENCION PRE-HOSPITALARIA",IF(O172=CURSOS!$D$4,"ACOMPAÑAMIENTO Y MANEJO DEL DUELO",IF(O172=CURSOS!$D$5,"ATENCION A VICTIMAS DE ATAQUE CON AGENTES QUIMICOS ",IF(O172=CURSOS!$D$6,"PRIMEROS AUXILIOS ",IF(O172=CURSOS!$D$7,"DIPLOMADO DE UNIDAD DE CUIDADOS INTENSIVOS (UCI)",IF(O172=CURSOS!$D$8,"MODELO DE ATENCION PARA EVENTOS EMERGENTES EN SALUD MENTAL (CODIGO VERDE)",IF(O172=CURSOS!$D$9,"HUMANIZACION EN EL SERVICIO DE LA SALUD Y BUENAS PRACTICAS EN PACIENTE ",IF(O172=CURSOS!$D$10,"CLINICA DE HERIDAS ",IF(O172=CURSOS!$D$11,"TOMA DE CITOLOGIA CERVICO VAGINAL ",IF(O172=CURSOS!$D$12,"SOPORTE CARDIOVASCULAR AVANZADO (ACLS) ",IF(O172=CURSOS!$D$13,"CAMILLERO ",IF(O172=CURSOS!$D$14,"TOMA DE MUESTRAS Y LABORATORIO ",IF(O172=CURSOS!$D$15,"SOPORTE VITAL BASICO (BLS)",IF(O172=CURSOS!$D$16,"ATENCION A VICTIMAS DE VIOLENCIA SEXUAL ",IF(O172=CURSOS!$D$17,"PROGRAMADO AMPLIADO DE INMUNIZACION (PAI - COVID 19)",IF(O172=CURSOS!$D$18,"ATENCION INTEGRAL EN ENFERMEDADES PREVALENTES EN PRIMERA INFANCIA (AIEPI)",IF(O172=CURSOS!$D$19,"ADMINISTRACION DE MEDICAMENTOS, INYECTOLOGIA  Y CANALIZACION ",IF(O172=CURSOS!$D$20,"OPERADOR DE VEHICULOS DE EMERGENCIA (OVE)",IF(O172=CURSOS!$D$21,"INSTITUCIONES AMIGAS DE LA MUJER Y LA INFANCIA (IAMI)",IF(O172=CURSOS!$D$22,"CUIDADO DEL DONANTE DE ORGANOS",IF(O172=CURSOS!$D$23,"ATENCION A VICTIMAS POR VIOLENCIA DE GENERO",IF(O172=CURSOS!$D$24,"IGUALDAD DE GENERO EN LA SALUD",IF(O172=CURSOS!$D$25,"BRIGADA DE EMERGENCIA",IF(O172=CURSOS!$D$26,"MANEJO DEL DOLOR Y CUIDADOS PALIATIVOS",IF(O172=CURSOS!$D$27,"TOMA DE MUESTRAS Y LABORATORIO POCT",IF(O172=CURSOS!$D$28,"IMPLANTE SUBDERMICO DE DISPOSITIVO INTRAUTERINO",IF(O172=CURSOS!$D$29,"SALUD MENTAL",IF(O172=CURSOS!$D$30,"PRIMEROS AUXILIOS PSICOLOGICOS",IF(O172=CURSOS!$D$31,"ATENCION A VICTIMAS POR CONFLICTO ARMADO",IF(O172=CURSOS!$D$32,"MANIPULACION DE ALIMENTOS Y BPM",IF(O172=CURSOS!$D$33,"ATENCION A PERSONAS CON DISCAPACIDAD",IF(O172=CURSOS!$D$34,"CUIDADO INTEGRAL DEL PACIENTE ADULTO",IF(O172=CURSOS!$D$35,"MANEJO DEFENSIVO",IF(O172=CURSOS!$D$36,"SOPORTE CARDIOVASCULAR AVANZADO NEONATAL",IF(O172=CURSOS!$D$37,"SEGURIDAD DEL PACIENTE",IF(O172=CURSOS!$D$38,"MANEJO DE RESIDUOS HOSPITALARIOS"))))))))))))))))))))))))))))))))))))</f>
        <v>0</v>
      </c>
      <c r="V172" s="46" t="str">
        <f t="shared" si="6"/>
        <v xml:space="preserve">   </v>
      </c>
      <c r="W172" s="46" t="str">
        <f t="shared" si="7"/>
        <v xml:space="preserve">   </v>
      </c>
      <c r="X172" s="46" t="str">
        <f t="shared" si="8"/>
        <v xml:space="preserve">   --</v>
      </c>
    </row>
    <row r="173" spans="1:24" x14ac:dyDescent="0.2">
      <c r="A173" s="68">
        <v>172</v>
      </c>
      <c r="I173" s="44"/>
      <c r="P173" s="44"/>
      <c r="T173" s="39"/>
      <c r="U173" s="46" t="b">
        <f>IF(O173=CURSOS!$D$3,"DIPLOMADO EN ATENCION PRE-HOSPITALARIA",IF(O173=CURSOS!$D$4,"ACOMPAÑAMIENTO Y MANEJO DEL DUELO",IF(O173=CURSOS!$D$5,"ATENCION A VICTIMAS DE ATAQUE CON AGENTES QUIMICOS ",IF(O173=CURSOS!$D$6,"PRIMEROS AUXILIOS ",IF(O173=CURSOS!$D$7,"DIPLOMADO DE UNIDAD DE CUIDADOS INTENSIVOS (UCI)",IF(O173=CURSOS!$D$8,"MODELO DE ATENCION PARA EVENTOS EMERGENTES EN SALUD MENTAL (CODIGO VERDE)",IF(O173=CURSOS!$D$9,"HUMANIZACION EN EL SERVICIO DE LA SALUD Y BUENAS PRACTICAS EN PACIENTE ",IF(O173=CURSOS!$D$10,"CLINICA DE HERIDAS ",IF(O173=CURSOS!$D$11,"TOMA DE CITOLOGIA CERVICO VAGINAL ",IF(O173=CURSOS!$D$12,"SOPORTE CARDIOVASCULAR AVANZADO (ACLS) ",IF(O173=CURSOS!$D$13,"CAMILLERO ",IF(O173=CURSOS!$D$14,"TOMA DE MUESTRAS Y LABORATORIO ",IF(O173=CURSOS!$D$15,"SOPORTE VITAL BASICO (BLS)",IF(O173=CURSOS!$D$16,"ATENCION A VICTIMAS DE VIOLENCIA SEXUAL ",IF(O173=CURSOS!$D$17,"PROGRAMADO AMPLIADO DE INMUNIZACION (PAI - COVID 19)",IF(O173=CURSOS!$D$18,"ATENCION INTEGRAL EN ENFERMEDADES PREVALENTES EN PRIMERA INFANCIA (AIEPI)",IF(O173=CURSOS!$D$19,"ADMINISTRACION DE MEDICAMENTOS, INYECTOLOGIA  Y CANALIZACION ",IF(O173=CURSOS!$D$20,"OPERADOR DE VEHICULOS DE EMERGENCIA (OVE)",IF(O173=CURSOS!$D$21,"INSTITUCIONES AMIGAS DE LA MUJER Y LA INFANCIA (IAMI)",IF(O173=CURSOS!$D$22,"CUIDADO DEL DONANTE DE ORGANOS",IF(O173=CURSOS!$D$23,"ATENCION A VICTIMAS POR VIOLENCIA DE GENERO",IF(O173=CURSOS!$D$24,"IGUALDAD DE GENERO EN LA SALUD",IF(O173=CURSOS!$D$25,"BRIGADA DE EMERGENCIA",IF(O173=CURSOS!$D$26,"MANEJO DEL DOLOR Y CUIDADOS PALIATIVOS",IF(O173=CURSOS!$D$27,"TOMA DE MUESTRAS Y LABORATORIO POCT",IF(O173=CURSOS!$D$28,"IMPLANTE SUBDERMICO DE DISPOSITIVO INTRAUTERINO",IF(O173=CURSOS!$D$29,"SALUD MENTAL",IF(O173=CURSOS!$D$30,"PRIMEROS AUXILIOS PSICOLOGICOS",IF(O173=CURSOS!$D$31,"ATENCION A VICTIMAS POR CONFLICTO ARMADO",IF(O173=CURSOS!$D$32,"MANIPULACION DE ALIMENTOS Y BPM",IF(O173=CURSOS!$D$33,"ATENCION A PERSONAS CON DISCAPACIDAD",IF(O173=CURSOS!$D$34,"CUIDADO INTEGRAL DEL PACIENTE ADULTO",IF(O173=CURSOS!$D$35,"MANEJO DEFENSIVO",IF(O173=CURSOS!$D$36,"SOPORTE CARDIOVASCULAR AVANZADO NEONATAL",IF(O173=CURSOS!$D$37,"SEGURIDAD DEL PACIENTE",IF(O173=CURSOS!$D$38,"MANEJO DE RESIDUOS HOSPITALARIOS"))))))))))))))))))))))))))))))))))))</f>
        <v>0</v>
      </c>
      <c r="V173" s="46" t="str">
        <f t="shared" si="6"/>
        <v xml:space="preserve">   </v>
      </c>
      <c r="W173" s="46" t="str">
        <f t="shared" si="7"/>
        <v xml:space="preserve">   </v>
      </c>
      <c r="X173" s="46" t="str">
        <f t="shared" si="8"/>
        <v xml:space="preserve">   --</v>
      </c>
    </row>
    <row r="174" spans="1:24" x14ac:dyDescent="0.2">
      <c r="A174" s="68">
        <v>173</v>
      </c>
      <c r="I174" s="44"/>
      <c r="P174" s="44"/>
      <c r="T174" s="39"/>
      <c r="U174" s="46" t="b">
        <f>IF(O174=CURSOS!$D$3,"DIPLOMADO EN ATENCION PRE-HOSPITALARIA",IF(O174=CURSOS!$D$4,"ACOMPAÑAMIENTO Y MANEJO DEL DUELO",IF(O174=CURSOS!$D$5,"ATENCION A VICTIMAS DE ATAQUE CON AGENTES QUIMICOS ",IF(O174=CURSOS!$D$6,"PRIMEROS AUXILIOS ",IF(O174=CURSOS!$D$7,"DIPLOMADO DE UNIDAD DE CUIDADOS INTENSIVOS (UCI)",IF(O174=CURSOS!$D$8,"MODELO DE ATENCION PARA EVENTOS EMERGENTES EN SALUD MENTAL (CODIGO VERDE)",IF(O174=CURSOS!$D$9,"HUMANIZACION EN EL SERVICIO DE LA SALUD Y BUENAS PRACTICAS EN PACIENTE ",IF(O174=CURSOS!$D$10,"CLINICA DE HERIDAS ",IF(O174=CURSOS!$D$11,"TOMA DE CITOLOGIA CERVICO VAGINAL ",IF(O174=CURSOS!$D$12,"SOPORTE CARDIOVASCULAR AVANZADO (ACLS) ",IF(O174=CURSOS!$D$13,"CAMILLERO ",IF(O174=CURSOS!$D$14,"TOMA DE MUESTRAS Y LABORATORIO ",IF(O174=CURSOS!$D$15,"SOPORTE VITAL BASICO (BLS)",IF(O174=CURSOS!$D$16,"ATENCION A VICTIMAS DE VIOLENCIA SEXUAL ",IF(O174=CURSOS!$D$17,"PROGRAMADO AMPLIADO DE INMUNIZACION (PAI - COVID 19)",IF(O174=CURSOS!$D$18,"ATENCION INTEGRAL EN ENFERMEDADES PREVALENTES EN PRIMERA INFANCIA (AIEPI)",IF(O174=CURSOS!$D$19,"ADMINISTRACION DE MEDICAMENTOS, INYECTOLOGIA  Y CANALIZACION ",IF(O174=CURSOS!$D$20,"OPERADOR DE VEHICULOS DE EMERGENCIA (OVE)",IF(O174=CURSOS!$D$21,"INSTITUCIONES AMIGAS DE LA MUJER Y LA INFANCIA (IAMI)",IF(O174=CURSOS!$D$22,"CUIDADO DEL DONANTE DE ORGANOS",IF(O174=CURSOS!$D$23,"ATENCION A VICTIMAS POR VIOLENCIA DE GENERO",IF(O174=CURSOS!$D$24,"IGUALDAD DE GENERO EN LA SALUD",IF(O174=CURSOS!$D$25,"BRIGADA DE EMERGENCIA",IF(O174=CURSOS!$D$26,"MANEJO DEL DOLOR Y CUIDADOS PALIATIVOS",IF(O174=CURSOS!$D$27,"TOMA DE MUESTRAS Y LABORATORIO POCT",IF(O174=CURSOS!$D$28,"IMPLANTE SUBDERMICO DE DISPOSITIVO INTRAUTERINO",IF(O174=CURSOS!$D$29,"SALUD MENTAL",IF(O174=CURSOS!$D$30,"PRIMEROS AUXILIOS PSICOLOGICOS",IF(O174=CURSOS!$D$31,"ATENCION A VICTIMAS POR CONFLICTO ARMADO",IF(O174=CURSOS!$D$32,"MANIPULACION DE ALIMENTOS Y BPM",IF(O174=CURSOS!$D$33,"ATENCION A PERSONAS CON DISCAPACIDAD",IF(O174=CURSOS!$D$34,"CUIDADO INTEGRAL DEL PACIENTE ADULTO",IF(O174=CURSOS!$D$35,"MANEJO DEFENSIVO",IF(O174=CURSOS!$D$36,"SOPORTE CARDIOVASCULAR AVANZADO NEONATAL",IF(O174=CURSOS!$D$37,"SEGURIDAD DEL PACIENTE",IF(O174=CURSOS!$D$38,"MANEJO DE RESIDUOS HOSPITALARIOS"))))))))))))))))))))))))))))))))))))</f>
        <v>0</v>
      </c>
      <c r="V174" s="46" t="str">
        <f t="shared" si="6"/>
        <v xml:space="preserve">   </v>
      </c>
      <c r="W174" s="46" t="str">
        <f t="shared" si="7"/>
        <v xml:space="preserve">   </v>
      </c>
      <c r="X174" s="46" t="str">
        <f t="shared" si="8"/>
        <v xml:space="preserve">   --</v>
      </c>
    </row>
    <row r="175" spans="1:24" x14ac:dyDescent="0.2">
      <c r="A175" s="68">
        <v>174</v>
      </c>
      <c r="I175" s="44"/>
      <c r="P175" s="44"/>
      <c r="R175" s="89"/>
      <c r="T175" s="39"/>
      <c r="U175" s="46" t="b">
        <f>IF(O175=CURSOS!$D$3,"DIPLOMADO EN ATENCION PRE-HOSPITALARIA",IF(O175=CURSOS!$D$4,"ACOMPAÑAMIENTO Y MANEJO DEL DUELO",IF(O175=CURSOS!$D$5,"ATENCION A VICTIMAS DE ATAQUE CON AGENTES QUIMICOS ",IF(O175=CURSOS!$D$6,"PRIMEROS AUXILIOS ",IF(O175=CURSOS!$D$7,"DIPLOMADO DE UNIDAD DE CUIDADOS INTENSIVOS (UCI)",IF(O175=CURSOS!$D$8,"MODELO DE ATENCION PARA EVENTOS EMERGENTES EN SALUD MENTAL (CODIGO VERDE)",IF(O175=CURSOS!$D$9,"HUMANIZACION EN EL SERVICIO DE LA SALUD Y BUENAS PRACTICAS EN PACIENTE ",IF(O175=CURSOS!$D$10,"CLINICA DE HERIDAS ",IF(O175=CURSOS!$D$11,"TOMA DE CITOLOGIA CERVICO VAGINAL ",IF(O175=CURSOS!$D$12,"SOPORTE CARDIOVASCULAR AVANZADO (ACLS) ",IF(O175=CURSOS!$D$13,"CAMILLERO ",IF(O175=CURSOS!$D$14,"TOMA DE MUESTRAS Y LABORATORIO ",IF(O175=CURSOS!$D$15,"SOPORTE VITAL BASICO (BLS)",IF(O175=CURSOS!$D$16,"ATENCION A VICTIMAS DE VIOLENCIA SEXUAL ",IF(O175=CURSOS!$D$17,"PROGRAMADO AMPLIADO DE INMUNIZACION (PAI - COVID 19)",IF(O175=CURSOS!$D$18,"ATENCION INTEGRAL EN ENFERMEDADES PREVALENTES EN PRIMERA INFANCIA (AIEPI)",IF(O175=CURSOS!$D$19,"ADMINISTRACION DE MEDICAMENTOS, INYECTOLOGIA  Y CANALIZACION ",IF(O175=CURSOS!$D$20,"OPERADOR DE VEHICULOS DE EMERGENCIA (OVE)",IF(O175=CURSOS!$D$21,"INSTITUCIONES AMIGAS DE LA MUJER Y LA INFANCIA (IAMI)",IF(O175=CURSOS!$D$22,"CUIDADO DEL DONANTE DE ORGANOS",IF(O175=CURSOS!$D$23,"ATENCION A VICTIMAS POR VIOLENCIA DE GENERO",IF(O175=CURSOS!$D$24,"IGUALDAD DE GENERO EN LA SALUD",IF(O175=CURSOS!$D$25,"BRIGADA DE EMERGENCIA",IF(O175=CURSOS!$D$26,"MANEJO DEL DOLOR Y CUIDADOS PALIATIVOS",IF(O175=CURSOS!$D$27,"TOMA DE MUESTRAS Y LABORATORIO POCT",IF(O175=CURSOS!$D$28,"IMPLANTE SUBDERMICO DE DISPOSITIVO INTRAUTERINO",IF(O175=CURSOS!$D$29,"SALUD MENTAL",IF(O175=CURSOS!$D$30,"PRIMEROS AUXILIOS PSICOLOGICOS",IF(O175=CURSOS!$D$31,"ATENCION A VICTIMAS POR CONFLICTO ARMADO",IF(O175=CURSOS!$D$32,"MANIPULACION DE ALIMENTOS Y BPM",IF(O175=CURSOS!$D$33,"ATENCION A PERSONAS CON DISCAPACIDAD",IF(O175=CURSOS!$D$34,"CUIDADO INTEGRAL DEL PACIENTE ADULTO",IF(O175=CURSOS!$D$35,"MANEJO DEFENSIVO",IF(O175=CURSOS!$D$36,"SOPORTE CARDIOVASCULAR AVANZADO NEONATAL",IF(O175=CURSOS!$D$37,"SEGURIDAD DEL PACIENTE",IF(O175=CURSOS!$D$38,"MANEJO DE RESIDUOS HOSPITALARIOS"))))))))))))))))))))))))))))))))))))</f>
        <v>0</v>
      </c>
      <c r="V175" s="46" t="str">
        <f t="shared" si="6"/>
        <v xml:space="preserve">   </v>
      </c>
      <c r="W175" s="46" t="str">
        <f t="shared" si="7"/>
        <v xml:space="preserve">   </v>
      </c>
      <c r="X175" s="46" t="str">
        <f t="shared" si="8"/>
        <v xml:space="preserve">   --</v>
      </c>
    </row>
    <row r="176" spans="1:24" x14ac:dyDescent="0.2">
      <c r="A176" s="68">
        <v>175</v>
      </c>
      <c r="I176" s="44"/>
      <c r="P176" s="44"/>
      <c r="R176" s="89"/>
      <c r="T176" s="39"/>
      <c r="U176" s="46" t="b">
        <f>IF(O176=CURSOS!$D$3,"DIPLOMADO EN ATENCION PRE-HOSPITALARIA",IF(O176=CURSOS!$D$4,"ACOMPAÑAMIENTO Y MANEJO DEL DUELO",IF(O176=CURSOS!$D$5,"ATENCION A VICTIMAS DE ATAQUE CON AGENTES QUIMICOS ",IF(O176=CURSOS!$D$6,"PRIMEROS AUXILIOS ",IF(O176=CURSOS!$D$7,"DIPLOMADO DE UNIDAD DE CUIDADOS INTENSIVOS (UCI)",IF(O176=CURSOS!$D$8,"MODELO DE ATENCION PARA EVENTOS EMERGENTES EN SALUD MENTAL (CODIGO VERDE)",IF(O176=CURSOS!$D$9,"HUMANIZACION EN EL SERVICIO DE LA SALUD Y BUENAS PRACTICAS EN PACIENTE ",IF(O176=CURSOS!$D$10,"CLINICA DE HERIDAS ",IF(O176=CURSOS!$D$11,"TOMA DE CITOLOGIA CERVICO VAGINAL ",IF(O176=CURSOS!$D$12,"SOPORTE CARDIOVASCULAR AVANZADO (ACLS) ",IF(O176=CURSOS!$D$13,"CAMILLERO ",IF(O176=CURSOS!$D$14,"TOMA DE MUESTRAS Y LABORATORIO ",IF(O176=CURSOS!$D$15,"SOPORTE VITAL BASICO (BLS)",IF(O176=CURSOS!$D$16,"ATENCION A VICTIMAS DE VIOLENCIA SEXUAL ",IF(O176=CURSOS!$D$17,"PROGRAMADO AMPLIADO DE INMUNIZACION (PAI - COVID 19)",IF(O176=CURSOS!$D$18,"ATENCION INTEGRAL EN ENFERMEDADES PREVALENTES EN PRIMERA INFANCIA (AIEPI)",IF(O176=CURSOS!$D$19,"ADMINISTRACION DE MEDICAMENTOS, INYECTOLOGIA  Y CANALIZACION ",IF(O176=CURSOS!$D$20,"OPERADOR DE VEHICULOS DE EMERGENCIA (OVE)",IF(O176=CURSOS!$D$21,"INSTITUCIONES AMIGAS DE LA MUJER Y LA INFANCIA (IAMI)",IF(O176=CURSOS!$D$22,"CUIDADO DEL DONANTE DE ORGANOS",IF(O176=CURSOS!$D$23,"ATENCION A VICTIMAS POR VIOLENCIA DE GENERO",IF(O176=CURSOS!$D$24,"IGUALDAD DE GENERO EN LA SALUD",IF(O176=CURSOS!$D$25,"BRIGADA DE EMERGENCIA",IF(O176=CURSOS!$D$26,"MANEJO DEL DOLOR Y CUIDADOS PALIATIVOS",IF(O176=CURSOS!$D$27,"TOMA DE MUESTRAS Y LABORATORIO POCT",IF(O176=CURSOS!$D$28,"IMPLANTE SUBDERMICO DE DISPOSITIVO INTRAUTERINO",IF(O176=CURSOS!$D$29,"SALUD MENTAL",IF(O176=CURSOS!$D$30,"PRIMEROS AUXILIOS PSICOLOGICOS",IF(O176=CURSOS!$D$31,"ATENCION A VICTIMAS POR CONFLICTO ARMADO",IF(O176=CURSOS!$D$32,"MANIPULACION DE ALIMENTOS Y BPM",IF(O176=CURSOS!$D$33,"ATENCION A PERSONAS CON DISCAPACIDAD",IF(O176=CURSOS!$D$34,"CUIDADO INTEGRAL DEL PACIENTE ADULTO",IF(O176=CURSOS!$D$35,"MANEJO DEFENSIVO",IF(O176=CURSOS!$D$36,"SOPORTE CARDIOVASCULAR AVANZADO NEONATAL",IF(O176=CURSOS!$D$37,"SEGURIDAD DEL PACIENTE",IF(O176=CURSOS!$D$38,"MANEJO DE RESIDUOS HOSPITALARIOS"))))))))))))))))))))))))))))))))))))</f>
        <v>0</v>
      </c>
      <c r="V176" s="46" t="str">
        <f t="shared" si="6"/>
        <v xml:space="preserve">   </v>
      </c>
      <c r="W176" s="46" t="str">
        <f t="shared" si="7"/>
        <v xml:space="preserve">   </v>
      </c>
      <c r="X176" s="46" t="str">
        <f t="shared" si="8"/>
        <v xml:space="preserve">   --</v>
      </c>
    </row>
    <row r="177" spans="1:24" x14ac:dyDescent="0.2">
      <c r="A177" s="68">
        <v>176</v>
      </c>
      <c r="I177" s="44"/>
      <c r="P177" s="44"/>
      <c r="T177" s="39"/>
      <c r="U177" s="46" t="b">
        <f>IF(O177=CURSOS!$D$3,"DIPLOMADO EN ATENCION PRE-HOSPITALARIA",IF(O177=CURSOS!$D$4,"ACOMPAÑAMIENTO Y MANEJO DEL DUELO",IF(O177=CURSOS!$D$5,"ATENCION A VICTIMAS DE ATAQUE CON AGENTES QUIMICOS ",IF(O177=CURSOS!$D$6,"PRIMEROS AUXILIOS ",IF(O177=CURSOS!$D$7,"DIPLOMADO DE UNIDAD DE CUIDADOS INTENSIVOS (UCI)",IF(O177=CURSOS!$D$8,"MODELO DE ATENCION PARA EVENTOS EMERGENTES EN SALUD MENTAL (CODIGO VERDE)",IF(O177=CURSOS!$D$9,"HUMANIZACION EN EL SERVICIO DE LA SALUD Y BUENAS PRACTICAS EN PACIENTE ",IF(O177=CURSOS!$D$10,"CLINICA DE HERIDAS ",IF(O177=CURSOS!$D$11,"TOMA DE CITOLOGIA CERVICO VAGINAL ",IF(O177=CURSOS!$D$12,"SOPORTE CARDIOVASCULAR AVANZADO (ACLS) ",IF(O177=CURSOS!$D$13,"CAMILLERO ",IF(O177=CURSOS!$D$14,"TOMA DE MUESTRAS Y LABORATORIO ",IF(O177=CURSOS!$D$15,"SOPORTE VITAL BASICO (BLS)",IF(O177=CURSOS!$D$16,"ATENCION A VICTIMAS DE VIOLENCIA SEXUAL ",IF(O177=CURSOS!$D$17,"PROGRAMADO AMPLIADO DE INMUNIZACION (PAI - COVID 19)",IF(O177=CURSOS!$D$18,"ATENCION INTEGRAL EN ENFERMEDADES PREVALENTES EN PRIMERA INFANCIA (AIEPI)",IF(O177=CURSOS!$D$19,"ADMINISTRACION DE MEDICAMENTOS, INYECTOLOGIA  Y CANALIZACION ",IF(O177=CURSOS!$D$20,"OPERADOR DE VEHICULOS DE EMERGENCIA (OVE)",IF(O177=CURSOS!$D$21,"INSTITUCIONES AMIGAS DE LA MUJER Y LA INFANCIA (IAMI)",IF(O177=CURSOS!$D$22,"CUIDADO DEL DONANTE DE ORGANOS",IF(O177=CURSOS!$D$23,"ATENCION A VICTIMAS POR VIOLENCIA DE GENERO",IF(O177=CURSOS!$D$24,"IGUALDAD DE GENERO EN LA SALUD",IF(O177=CURSOS!$D$25,"BRIGADA DE EMERGENCIA",IF(O177=CURSOS!$D$26,"MANEJO DEL DOLOR Y CUIDADOS PALIATIVOS",IF(O177=CURSOS!$D$27,"TOMA DE MUESTRAS Y LABORATORIO POCT",IF(O177=CURSOS!$D$28,"IMPLANTE SUBDERMICO DE DISPOSITIVO INTRAUTERINO",IF(O177=CURSOS!$D$29,"SALUD MENTAL",IF(O177=CURSOS!$D$30,"PRIMEROS AUXILIOS PSICOLOGICOS",IF(O177=CURSOS!$D$31,"ATENCION A VICTIMAS POR CONFLICTO ARMADO",IF(O177=CURSOS!$D$32,"MANIPULACION DE ALIMENTOS Y BPM",IF(O177=CURSOS!$D$33,"ATENCION A PERSONAS CON DISCAPACIDAD",IF(O177=CURSOS!$D$34,"CUIDADO INTEGRAL DEL PACIENTE ADULTO",IF(O177=CURSOS!$D$35,"MANEJO DEFENSIVO",IF(O177=CURSOS!$D$36,"SOPORTE CARDIOVASCULAR AVANZADO NEONATAL",IF(O177=CURSOS!$D$37,"SEGURIDAD DEL PACIENTE",IF(O177=CURSOS!$D$38,"MANEJO DE RESIDUOS HOSPITALARIOS"))))))))))))))))))))))))))))))))))))</f>
        <v>0</v>
      </c>
      <c r="V177" s="46" t="str">
        <f t="shared" si="6"/>
        <v xml:space="preserve">   </v>
      </c>
      <c r="W177" s="46" t="str">
        <f t="shared" si="7"/>
        <v xml:space="preserve">   </v>
      </c>
      <c r="X177" s="46" t="str">
        <f t="shared" si="8"/>
        <v xml:space="preserve">   --</v>
      </c>
    </row>
    <row r="178" spans="1:24" x14ac:dyDescent="0.2">
      <c r="A178" s="68">
        <v>177</v>
      </c>
      <c r="I178" s="44"/>
      <c r="P178" s="44"/>
      <c r="T178" s="39"/>
      <c r="U178" s="46" t="b">
        <f>IF(O178=CURSOS!$D$3,"DIPLOMADO EN ATENCION PRE-HOSPITALARIA",IF(O178=CURSOS!$D$4,"ACOMPAÑAMIENTO Y MANEJO DEL DUELO",IF(O178=CURSOS!$D$5,"ATENCION A VICTIMAS DE ATAQUE CON AGENTES QUIMICOS ",IF(O178=CURSOS!$D$6,"PRIMEROS AUXILIOS ",IF(O178=CURSOS!$D$7,"DIPLOMADO DE UNIDAD DE CUIDADOS INTENSIVOS (UCI)",IF(O178=CURSOS!$D$8,"MODELO DE ATENCION PARA EVENTOS EMERGENTES EN SALUD MENTAL (CODIGO VERDE)",IF(O178=CURSOS!$D$9,"HUMANIZACION EN EL SERVICIO DE LA SALUD Y BUENAS PRACTICAS EN PACIENTE ",IF(O178=CURSOS!$D$10,"CLINICA DE HERIDAS ",IF(O178=CURSOS!$D$11,"TOMA DE CITOLOGIA CERVICO VAGINAL ",IF(O178=CURSOS!$D$12,"SOPORTE CARDIOVASCULAR AVANZADO (ACLS) ",IF(O178=CURSOS!$D$13,"CAMILLERO ",IF(O178=CURSOS!$D$14,"TOMA DE MUESTRAS Y LABORATORIO ",IF(O178=CURSOS!$D$15,"SOPORTE VITAL BASICO (BLS)",IF(O178=CURSOS!$D$16,"ATENCION A VICTIMAS DE VIOLENCIA SEXUAL ",IF(O178=CURSOS!$D$17,"PROGRAMADO AMPLIADO DE INMUNIZACION (PAI - COVID 19)",IF(O178=CURSOS!$D$18,"ATENCION INTEGRAL EN ENFERMEDADES PREVALENTES EN PRIMERA INFANCIA (AIEPI)",IF(O178=CURSOS!$D$19,"ADMINISTRACION DE MEDICAMENTOS, INYECTOLOGIA  Y CANALIZACION ",IF(O178=CURSOS!$D$20,"OPERADOR DE VEHICULOS DE EMERGENCIA (OVE)",IF(O178=CURSOS!$D$21,"INSTITUCIONES AMIGAS DE LA MUJER Y LA INFANCIA (IAMI)",IF(O178=CURSOS!$D$22,"CUIDADO DEL DONANTE DE ORGANOS",IF(O178=CURSOS!$D$23,"ATENCION A VICTIMAS POR VIOLENCIA DE GENERO",IF(O178=CURSOS!$D$24,"IGUALDAD DE GENERO EN LA SALUD",IF(O178=CURSOS!$D$25,"BRIGADA DE EMERGENCIA",IF(O178=CURSOS!$D$26,"MANEJO DEL DOLOR Y CUIDADOS PALIATIVOS",IF(O178=CURSOS!$D$27,"TOMA DE MUESTRAS Y LABORATORIO POCT",IF(O178=CURSOS!$D$28,"IMPLANTE SUBDERMICO DE DISPOSITIVO INTRAUTERINO",IF(O178=CURSOS!$D$29,"SALUD MENTAL",IF(O178=CURSOS!$D$30,"PRIMEROS AUXILIOS PSICOLOGICOS",IF(O178=CURSOS!$D$31,"ATENCION A VICTIMAS POR CONFLICTO ARMADO",IF(O178=CURSOS!$D$32,"MANIPULACION DE ALIMENTOS Y BPM",IF(O178=CURSOS!$D$33,"ATENCION A PERSONAS CON DISCAPACIDAD",IF(O178=CURSOS!$D$34,"CUIDADO INTEGRAL DEL PACIENTE ADULTO",IF(O178=CURSOS!$D$35,"MANEJO DEFENSIVO",IF(O178=CURSOS!$D$36,"SOPORTE CARDIOVASCULAR AVANZADO NEONATAL",IF(O178=CURSOS!$D$37,"SEGURIDAD DEL PACIENTE",IF(O178=CURSOS!$D$38,"MANEJO DE RESIDUOS HOSPITALARIOS"))))))))))))))))))))))))))))))))))))</f>
        <v>0</v>
      </c>
      <c r="V178" s="46" t="str">
        <f t="shared" si="6"/>
        <v xml:space="preserve">   </v>
      </c>
      <c r="W178" s="46" t="str">
        <f t="shared" si="7"/>
        <v xml:space="preserve">   </v>
      </c>
      <c r="X178" s="46" t="str">
        <f t="shared" si="8"/>
        <v xml:space="preserve">   --</v>
      </c>
    </row>
    <row r="179" spans="1:24" x14ac:dyDescent="0.2">
      <c r="A179" s="68">
        <v>178</v>
      </c>
      <c r="I179" s="44"/>
      <c r="P179" s="44"/>
      <c r="T179" s="39"/>
      <c r="U179" s="46" t="b">
        <f>IF(O179=CURSOS!$D$3,"DIPLOMADO EN ATENCION PRE-HOSPITALARIA",IF(O179=CURSOS!$D$4,"ACOMPAÑAMIENTO Y MANEJO DEL DUELO",IF(O179=CURSOS!$D$5,"ATENCION A VICTIMAS DE ATAQUE CON AGENTES QUIMICOS ",IF(O179=CURSOS!$D$6,"PRIMEROS AUXILIOS ",IF(O179=CURSOS!$D$7,"DIPLOMADO DE UNIDAD DE CUIDADOS INTENSIVOS (UCI)",IF(O179=CURSOS!$D$8,"MODELO DE ATENCION PARA EVENTOS EMERGENTES EN SALUD MENTAL (CODIGO VERDE)",IF(O179=CURSOS!$D$9,"HUMANIZACION EN EL SERVICIO DE LA SALUD Y BUENAS PRACTICAS EN PACIENTE ",IF(O179=CURSOS!$D$10,"CLINICA DE HERIDAS ",IF(O179=CURSOS!$D$11,"TOMA DE CITOLOGIA CERVICO VAGINAL ",IF(O179=CURSOS!$D$12,"SOPORTE CARDIOVASCULAR AVANZADO (ACLS) ",IF(O179=CURSOS!$D$13,"CAMILLERO ",IF(O179=CURSOS!$D$14,"TOMA DE MUESTRAS Y LABORATORIO ",IF(O179=CURSOS!$D$15,"SOPORTE VITAL BASICO (BLS)",IF(O179=CURSOS!$D$16,"ATENCION A VICTIMAS DE VIOLENCIA SEXUAL ",IF(O179=CURSOS!$D$17,"PROGRAMADO AMPLIADO DE INMUNIZACION (PAI - COVID 19)",IF(O179=CURSOS!$D$18,"ATENCION INTEGRAL EN ENFERMEDADES PREVALENTES EN PRIMERA INFANCIA (AIEPI)",IF(O179=CURSOS!$D$19,"ADMINISTRACION DE MEDICAMENTOS, INYECTOLOGIA  Y CANALIZACION ",IF(O179=CURSOS!$D$20,"OPERADOR DE VEHICULOS DE EMERGENCIA (OVE)",IF(O179=CURSOS!$D$21,"INSTITUCIONES AMIGAS DE LA MUJER Y LA INFANCIA (IAMI)",IF(O179=CURSOS!$D$22,"CUIDADO DEL DONANTE DE ORGANOS",IF(O179=CURSOS!$D$23,"ATENCION A VICTIMAS POR VIOLENCIA DE GENERO",IF(O179=CURSOS!$D$24,"IGUALDAD DE GENERO EN LA SALUD",IF(O179=CURSOS!$D$25,"BRIGADA DE EMERGENCIA",IF(O179=CURSOS!$D$26,"MANEJO DEL DOLOR Y CUIDADOS PALIATIVOS",IF(O179=CURSOS!$D$27,"TOMA DE MUESTRAS Y LABORATORIO POCT",IF(O179=CURSOS!$D$28,"IMPLANTE SUBDERMICO DE DISPOSITIVO INTRAUTERINO",IF(O179=CURSOS!$D$29,"SALUD MENTAL",IF(O179=CURSOS!$D$30,"PRIMEROS AUXILIOS PSICOLOGICOS",IF(O179=CURSOS!$D$31,"ATENCION A VICTIMAS POR CONFLICTO ARMADO",IF(O179=CURSOS!$D$32,"MANIPULACION DE ALIMENTOS Y BPM",IF(O179=CURSOS!$D$33,"ATENCION A PERSONAS CON DISCAPACIDAD",IF(O179=CURSOS!$D$34,"CUIDADO INTEGRAL DEL PACIENTE ADULTO",IF(O179=CURSOS!$D$35,"MANEJO DEFENSIVO",IF(O179=CURSOS!$D$36,"SOPORTE CARDIOVASCULAR AVANZADO NEONATAL",IF(O179=CURSOS!$D$37,"SEGURIDAD DEL PACIENTE",IF(O179=CURSOS!$D$38,"MANEJO DE RESIDUOS HOSPITALARIOS"))))))))))))))))))))))))))))))))))))</f>
        <v>0</v>
      </c>
      <c r="V179" s="46" t="str">
        <f t="shared" si="6"/>
        <v xml:space="preserve">   </v>
      </c>
      <c r="W179" s="46" t="str">
        <f t="shared" si="7"/>
        <v xml:space="preserve">   </v>
      </c>
      <c r="X179" s="46" t="str">
        <f t="shared" si="8"/>
        <v xml:space="preserve">   --</v>
      </c>
    </row>
    <row r="180" spans="1:24" x14ac:dyDescent="0.2">
      <c r="A180" s="68">
        <v>179</v>
      </c>
      <c r="I180" s="44"/>
      <c r="P180" s="44"/>
      <c r="T180" s="88"/>
      <c r="U180" s="46" t="b">
        <f>IF(O180=CURSOS!$D$3,"DIPLOMADO EN ATENCION PRE-HOSPITALARIA",IF(O180=CURSOS!$D$4,"ACOMPAÑAMIENTO Y MANEJO DEL DUELO",IF(O180=CURSOS!$D$5,"ATENCION A VICTIMAS DE ATAQUE CON AGENTES QUIMICOS ",IF(O180=CURSOS!$D$6,"PRIMEROS AUXILIOS ",IF(O180=CURSOS!$D$7,"DIPLOMADO DE UNIDAD DE CUIDADOS INTENSIVOS (UCI)",IF(O180=CURSOS!$D$8,"MODELO DE ATENCION PARA EVENTOS EMERGENTES EN SALUD MENTAL (CODIGO VERDE)",IF(O180=CURSOS!$D$9,"HUMANIZACION EN EL SERVICIO DE LA SALUD Y BUENAS PRACTICAS EN PACIENTE ",IF(O180=CURSOS!$D$10,"CLINICA DE HERIDAS ",IF(O180=CURSOS!$D$11,"TOMA DE CITOLOGIA CERVICO VAGINAL ",IF(O180=CURSOS!$D$12,"SOPORTE CARDIOVASCULAR AVANZADO (ACLS) ",IF(O180=CURSOS!$D$13,"CAMILLERO ",IF(O180=CURSOS!$D$14,"TOMA DE MUESTRAS Y LABORATORIO ",IF(O180=CURSOS!$D$15,"SOPORTE VITAL BASICO (BLS)",IF(O180=CURSOS!$D$16,"ATENCION A VICTIMAS DE VIOLENCIA SEXUAL ",IF(O180=CURSOS!$D$17,"PROGRAMADO AMPLIADO DE INMUNIZACION (PAI - COVID 19)",IF(O180=CURSOS!$D$18,"ATENCION INTEGRAL EN ENFERMEDADES PREVALENTES EN PRIMERA INFANCIA (AIEPI)",IF(O180=CURSOS!$D$19,"ADMINISTRACION DE MEDICAMENTOS, INYECTOLOGIA  Y CANALIZACION ",IF(O180=CURSOS!$D$20,"OPERADOR DE VEHICULOS DE EMERGENCIA (OVE)",IF(O180=CURSOS!$D$21,"INSTITUCIONES AMIGAS DE LA MUJER Y LA INFANCIA (IAMI)",IF(O180=CURSOS!$D$22,"CUIDADO DEL DONANTE DE ORGANOS",IF(O180=CURSOS!$D$23,"ATENCION A VICTIMAS POR VIOLENCIA DE GENERO",IF(O180=CURSOS!$D$24,"IGUALDAD DE GENERO EN LA SALUD",IF(O180=CURSOS!$D$25,"BRIGADA DE EMERGENCIA",IF(O180=CURSOS!$D$26,"MANEJO DEL DOLOR Y CUIDADOS PALIATIVOS",IF(O180=CURSOS!$D$27,"TOMA DE MUESTRAS Y LABORATORIO POCT",IF(O180=CURSOS!$D$28,"IMPLANTE SUBDERMICO DE DISPOSITIVO INTRAUTERINO",IF(O180=CURSOS!$D$29,"SALUD MENTAL",IF(O180=CURSOS!$D$30,"PRIMEROS AUXILIOS PSICOLOGICOS",IF(O180=CURSOS!$D$31,"ATENCION A VICTIMAS POR CONFLICTO ARMADO",IF(O180=CURSOS!$D$32,"MANIPULACION DE ALIMENTOS Y BPM",IF(O180=CURSOS!$D$33,"ATENCION A PERSONAS CON DISCAPACIDAD",IF(O180=CURSOS!$D$34,"CUIDADO INTEGRAL DEL PACIENTE ADULTO",IF(O180=CURSOS!$D$35,"MANEJO DEFENSIVO",IF(O180=CURSOS!$D$36,"SOPORTE CARDIOVASCULAR AVANZADO NEONATAL",IF(O180=CURSOS!$D$37,"SEGURIDAD DEL PACIENTE",IF(O180=CURSOS!$D$38,"MANEJO DE RESIDUOS HOSPITALARIOS"))))))))))))))))))))))))))))))))))))</f>
        <v>0</v>
      </c>
      <c r="V180" s="46" t="str">
        <f t="shared" si="6"/>
        <v xml:space="preserve">   </v>
      </c>
      <c r="W180" s="46" t="str">
        <f t="shared" si="7"/>
        <v xml:space="preserve">   </v>
      </c>
      <c r="X180" s="46" t="str">
        <f t="shared" si="8"/>
        <v xml:space="preserve">   --</v>
      </c>
    </row>
    <row r="181" spans="1:24" x14ac:dyDescent="0.2">
      <c r="A181" s="68">
        <v>180</v>
      </c>
      <c r="I181" s="44"/>
      <c r="P181" s="44"/>
      <c r="T181" s="88"/>
      <c r="U181" s="46" t="b">
        <f>IF(O181=CURSOS!$D$3,"DIPLOMADO EN ATENCION PRE-HOSPITALARIA",IF(O181=CURSOS!$D$4,"ACOMPAÑAMIENTO Y MANEJO DEL DUELO",IF(O181=CURSOS!$D$5,"ATENCION A VICTIMAS DE ATAQUE CON AGENTES QUIMICOS ",IF(O181=CURSOS!$D$6,"PRIMEROS AUXILIOS ",IF(O181=CURSOS!$D$7,"DIPLOMADO DE UNIDAD DE CUIDADOS INTENSIVOS (UCI)",IF(O181=CURSOS!$D$8,"MODELO DE ATENCION PARA EVENTOS EMERGENTES EN SALUD MENTAL (CODIGO VERDE)",IF(O181=CURSOS!$D$9,"HUMANIZACION EN EL SERVICIO DE LA SALUD Y BUENAS PRACTICAS EN PACIENTE ",IF(O181=CURSOS!$D$10,"CLINICA DE HERIDAS ",IF(O181=CURSOS!$D$11,"TOMA DE CITOLOGIA CERVICO VAGINAL ",IF(O181=CURSOS!$D$12,"SOPORTE CARDIOVASCULAR AVANZADO (ACLS) ",IF(O181=CURSOS!$D$13,"CAMILLERO ",IF(O181=CURSOS!$D$14,"TOMA DE MUESTRAS Y LABORATORIO ",IF(O181=CURSOS!$D$15,"SOPORTE VITAL BASICO (BLS)",IF(O181=CURSOS!$D$16,"ATENCION A VICTIMAS DE VIOLENCIA SEXUAL ",IF(O181=CURSOS!$D$17,"PROGRAMADO AMPLIADO DE INMUNIZACION (PAI - COVID 19)",IF(O181=CURSOS!$D$18,"ATENCION INTEGRAL EN ENFERMEDADES PREVALENTES EN PRIMERA INFANCIA (AIEPI)",IF(O181=CURSOS!$D$19,"ADMINISTRACION DE MEDICAMENTOS, INYECTOLOGIA  Y CANALIZACION ",IF(O181=CURSOS!$D$20,"OPERADOR DE VEHICULOS DE EMERGENCIA (OVE)",IF(O181=CURSOS!$D$21,"INSTITUCIONES AMIGAS DE LA MUJER Y LA INFANCIA (IAMI)",IF(O181=CURSOS!$D$22,"CUIDADO DEL DONANTE DE ORGANOS",IF(O181=CURSOS!$D$23,"ATENCION A VICTIMAS POR VIOLENCIA DE GENERO",IF(O181=CURSOS!$D$24,"IGUALDAD DE GENERO EN LA SALUD",IF(O181=CURSOS!$D$25,"BRIGADA DE EMERGENCIA",IF(O181=CURSOS!$D$26,"MANEJO DEL DOLOR Y CUIDADOS PALIATIVOS",IF(O181=CURSOS!$D$27,"TOMA DE MUESTRAS Y LABORATORIO POCT",IF(O181=CURSOS!$D$28,"IMPLANTE SUBDERMICO DE DISPOSITIVO INTRAUTERINO",IF(O181=CURSOS!$D$29,"SALUD MENTAL",IF(O181=CURSOS!$D$30,"PRIMEROS AUXILIOS PSICOLOGICOS",IF(O181=CURSOS!$D$31,"ATENCION A VICTIMAS POR CONFLICTO ARMADO",IF(O181=CURSOS!$D$32,"MANIPULACION DE ALIMENTOS Y BPM",IF(O181=CURSOS!$D$33,"ATENCION A PERSONAS CON DISCAPACIDAD",IF(O181=CURSOS!$D$34,"CUIDADO INTEGRAL DEL PACIENTE ADULTO",IF(O181=CURSOS!$D$35,"MANEJO DEFENSIVO",IF(O181=CURSOS!$D$36,"SOPORTE CARDIOVASCULAR AVANZADO NEONATAL",IF(O181=CURSOS!$D$37,"SEGURIDAD DEL PACIENTE",IF(O181=CURSOS!$D$38,"MANEJO DE RESIDUOS HOSPITALARIOS"))))))))))))))))))))))))))))))))))))</f>
        <v>0</v>
      </c>
      <c r="V181" s="46" t="str">
        <f t="shared" si="6"/>
        <v xml:space="preserve">   </v>
      </c>
      <c r="W181" s="46" t="str">
        <f t="shared" si="7"/>
        <v xml:space="preserve">   </v>
      </c>
      <c r="X181" s="46" t="str">
        <f t="shared" si="8"/>
        <v xml:space="preserve">   --</v>
      </c>
    </row>
    <row r="182" spans="1:24" x14ac:dyDescent="0.2">
      <c r="A182" s="68">
        <v>181</v>
      </c>
      <c r="I182" s="44"/>
      <c r="P182" s="44"/>
      <c r="T182" s="39"/>
      <c r="U182" s="46" t="b">
        <f>IF(O182=CURSOS!$D$3,"DIPLOMADO EN ATENCION PRE-HOSPITALARIA",IF(O182=CURSOS!$D$4,"ACOMPAÑAMIENTO Y MANEJO DEL DUELO",IF(O182=CURSOS!$D$5,"ATENCION A VICTIMAS DE ATAQUE CON AGENTES QUIMICOS ",IF(O182=CURSOS!$D$6,"PRIMEROS AUXILIOS ",IF(O182=CURSOS!$D$7,"DIPLOMADO DE UNIDAD DE CUIDADOS INTENSIVOS (UCI)",IF(O182=CURSOS!$D$8,"MODELO DE ATENCION PARA EVENTOS EMERGENTES EN SALUD MENTAL (CODIGO VERDE)",IF(O182=CURSOS!$D$9,"HUMANIZACION EN EL SERVICIO DE LA SALUD Y BUENAS PRACTICAS EN PACIENTE ",IF(O182=CURSOS!$D$10,"CLINICA DE HERIDAS ",IF(O182=CURSOS!$D$11,"TOMA DE CITOLOGIA CERVICO VAGINAL ",IF(O182=CURSOS!$D$12,"SOPORTE CARDIOVASCULAR AVANZADO (ACLS) ",IF(O182=CURSOS!$D$13,"CAMILLERO ",IF(O182=CURSOS!$D$14,"TOMA DE MUESTRAS Y LABORATORIO ",IF(O182=CURSOS!$D$15,"SOPORTE VITAL BASICO (BLS)",IF(O182=CURSOS!$D$16,"ATENCION A VICTIMAS DE VIOLENCIA SEXUAL ",IF(O182=CURSOS!$D$17,"PROGRAMADO AMPLIADO DE INMUNIZACION (PAI - COVID 19)",IF(O182=CURSOS!$D$18,"ATENCION INTEGRAL EN ENFERMEDADES PREVALENTES EN PRIMERA INFANCIA (AIEPI)",IF(O182=CURSOS!$D$19,"ADMINISTRACION DE MEDICAMENTOS, INYECTOLOGIA  Y CANALIZACION ",IF(O182=CURSOS!$D$20,"OPERADOR DE VEHICULOS DE EMERGENCIA (OVE)",IF(O182=CURSOS!$D$21,"INSTITUCIONES AMIGAS DE LA MUJER Y LA INFANCIA (IAMI)",IF(O182=CURSOS!$D$22,"CUIDADO DEL DONANTE DE ORGANOS",IF(O182=CURSOS!$D$23,"ATENCION A VICTIMAS POR VIOLENCIA DE GENERO",IF(O182=CURSOS!$D$24,"IGUALDAD DE GENERO EN LA SALUD",IF(O182=CURSOS!$D$25,"BRIGADA DE EMERGENCIA",IF(O182=CURSOS!$D$26,"MANEJO DEL DOLOR Y CUIDADOS PALIATIVOS",IF(O182=CURSOS!$D$27,"TOMA DE MUESTRAS Y LABORATORIO POCT",IF(O182=CURSOS!$D$28,"IMPLANTE SUBDERMICO DE DISPOSITIVO INTRAUTERINO",IF(O182=CURSOS!$D$29,"SALUD MENTAL",IF(O182=CURSOS!$D$30,"PRIMEROS AUXILIOS PSICOLOGICOS",IF(O182=CURSOS!$D$31,"ATENCION A VICTIMAS POR CONFLICTO ARMADO",IF(O182=CURSOS!$D$32,"MANIPULACION DE ALIMENTOS Y BPM",IF(O182=CURSOS!$D$33,"ATENCION A PERSONAS CON DISCAPACIDAD",IF(O182=CURSOS!$D$34,"CUIDADO INTEGRAL DEL PACIENTE ADULTO",IF(O182=CURSOS!$D$35,"MANEJO DEFENSIVO",IF(O182=CURSOS!$D$36,"SOPORTE CARDIOVASCULAR AVANZADO NEONATAL",IF(O182=CURSOS!$D$37,"SEGURIDAD DEL PACIENTE",IF(O182=CURSOS!$D$38,"MANEJO DE RESIDUOS HOSPITALARIOS"))))))))))))))))))))))))))))))))))))</f>
        <v>0</v>
      </c>
      <c r="V182" s="46" t="str">
        <f t="shared" si="6"/>
        <v xml:space="preserve">   </v>
      </c>
      <c r="W182" s="46" t="str">
        <f t="shared" si="7"/>
        <v xml:space="preserve">   </v>
      </c>
      <c r="X182" s="46" t="str">
        <f t="shared" si="8"/>
        <v xml:space="preserve">   --</v>
      </c>
    </row>
    <row r="183" spans="1:24" x14ac:dyDescent="0.2">
      <c r="A183" s="68">
        <v>182</v>
      </c>
      <c r="I183" s="44"/>
      <c r="P183" s="44"/>
      <c r="T183" s="39"/>
      <c r="U183" s="46" t="b">
        <f>IF(O183=CURSOS!$D$3,"DIPLOMADO EN ATENCION PRE-HOSPITALARIA",IF(O183=CURSOS!$D$4,"ACOMPAÑAMIENTO Y MANEJO DEL DUELO",IF(O183=CURSOS!$D$5,"ATENCION A VICTIMAS DE ATAQUE CON AGENTES QUIMICOS ",IF(O183=CURSOS!$D$6,"PRIMEROS AUXILIOS ",IF(O183=CURSOS!$D$7,"DIPLOMADO DE UNIDAD DE CUIDADOS INTENSIVOS (UCI)",IF(O183=CURSOS!$D$8,"MODELO DE ATENCION PARA EVENTOS EMERGENTES EN SALUD MENTAL (CODIGO VERDE)",IF(O183=CURSOS!$D$9,"HUMANIZACION EN EL SERVICIO DE LA SALUD Y BUENAS PRACTICAS EN PACIENTE ",IF(O183=CURSOS!$D$10,"CLINICA DE HERIDAS ",IF(O183=CURSOS!$D$11,"TOMA DE CITOLOGIA CERVICO VAGINAL ",IF(O183=CURSOS!$D$12,"SOPORTE CARDIOVASCULAR AVANZADO (ACLS) ",IF(O183=CURSOS!$D$13,"CAMILLERO ",IF(O183=CURSOS!$D$14,"TOMA DE MUESTRAS Y LABORATORIO ",IF(O183=CURSOS!$D$15,"SOPORTE VITAL BASICO (BLS)",IF(O183=CURSOS!$D$16,"ATENCION A VICTIMAS DE VIOLENCIA SEXUAL ",IF(O183=CURSOS!$D$17,"PROGRAMADO AMPLIADO DE INMUNIZACION (PAI - COVID 19)",IF(O183=CURSOS!$D$18,"ATENCION INTEGRAL EN ENFERMEDADES PREVALENTES EN PRIMERA INFANCIA (AIEPI)",IF(O183=CURSOS!$D$19,"ADMINISTRACION DE MEDICAMENTOS, INYECTOLOGIA  Y CANALIZACION ",IF(O183=CURSOS!$D$20,"OPERADOR DE VEHICULOS DE EMERGENCIA (OVE)",IF(O183=CURSOS!$D$21,"INSTITUCIONES AMIGAS DE LA MUJER Y LA INFANCIA (IAMI)",IF(O183=CURSOS!$D$22,"CUIDADO DEL DONANTE DE ORGANOS",IF(O183=CURSOS!$D$23,"ATENCION A VICTIMAS POR VIOLENCIA DE GENERO",IF(O183=CURSOS!$D$24,"IGUALDAD DE GENERO EN LA SALUD",IF(O183=CURSOS!$D$25,"BRIGADA DE EMERGENCIA",IF(O183=CURSOS!$D$26,"MANEJO DEL DOLOR Y CUIDADOS PALIATIVOS",IF(O183=CURSOS!$D$27,"TOMA DE MUESTRAS Y LABORATORIO POCT",IF(O183=CURSOS!$D$28,"IMPLANTE SUBDERMICO DE DISPOSITIVO INTRAUTERINO",IF(O183=CURSOS!$D$29,"SALUD MENTAL",IF(O183=CURSOS!$D$30,"PRIMEROS AUXILIOS PSICOLOGICOS",IF(O183=CURSOS!$D$31,"ATENCION A VICTIMAS POR CONFLICTO ARMADO",IF(O183=CURSOS!$D$32,"MANIPULACION DE ALIMENTOS Y BPM",IF(O183=CURSOS!$D$33,"ATENCION A PERSONAS CON DISCAPACIDAD",IF(O183=CURSOS!$D$34,"CUIDADO INTEGRAL DEL PACIENTE ADULTO",IF(O183=CURSOS!$D$35,"MANEJO DEFENSIVO",IF(O183=CURSOS!$D$36,"SOPORTE CARDIOVASCULAR AVANZADO NEONATAL",IF(O183=CURSOS!$D$37,"SEGURIDAD DEL PACIENTE",IF(O183=CURSOS!$D$38,"MANEJO DE RESIDUOS HOSPITALARIOS"))))))))))))))))))))))))))))))))))))</f>
        <v>0</v>
      </c>
      <c r="V183" s="46" t="str">
        <f t="shared" si="6"/>
        <v xml:space="preserve">   </v>
      </c>
      <c r="W183" s="46" t="str">
        <f t="shared" si="7"/>
        <v xml:space="preserve">   </v>
      </c>
      <c r="X183" s="46" t="str">
        <f t="shared" si="8"/>
        <v xml:space="preserve">   --</v>
      </c>
    </row>
    <row r="184" spans="1:24" x14ac:dyDescent="0.2">
      <c r="A184" s="68">
        <v>183</v>
      </c>
      <c r="I184" s="44"/>
      <c r="P184" s="44"/>
      <c r="T184" s="39"/>
      <c r="U184" s="46" t="b">
        <f>IF(O184=CURSOS!$D$3,"DIPLOMADO EN ATENCION PRE-HOSPITALARIA",IF(O184=CURSOS!$D$4,"ACOMPAÑAMIENTO Y MANEJO DEL DUELO",IF(O184=CURSOS!$D$5,"ATENCION A VICTIMAS DE ATAQUE CON AGENTES QUIMICOS ",IF(O184=CURSOS!$D$6,"PRIMEROS AUXILIOS ",IF(O184=CURSOS!$D$7,"DIPLOMADO DE UNIDAD DE CUIDADOS INTENSIVOS (UCI)",IF(O184=CURSOS!$D$8,"MODELO DE ATENCION PARA EVENTOS EMERGENTES EN SALUD MENTAL (CODIGO VERDE)",IF(O184=CURSOS!$D$9,"HUMANIZACION EN EL SERVICIO DE LA SALUD Y BUENAS PRACTICAS EN PACIENTE ",IF(O184=CURSOS!$D$10,"CLINICA DE HERIDAS ",IF(O184=CURSOS!$D$11,"TOMA DE CITOLOGIA CERVICO VAGINAL ",IF(O184=CURSOS!$D$12,"SOPORTE CARDIOVASCULAR AVANZADO (ACLS) ",IF(O184=CURSOS!$D$13,"CAMILLERO ",IF(O184=CURSOS!$D$14,"TOMA DE MUESTRAS Y LABORATORIO ",IF(O184=CURSOS!$D$15,"SOPORTE VITAL BASICO (BLS)",IF(O184=CURSOS!$D$16,"ATENCION A VICTIMAS DE VIOLENCIA SEXUAL ",IF(O184=CURSOS!$D$17,"PROGRAMADO AMPLIADO DE INMUNIZACION (PAI - COVID 19)",IF(O184=CURSOS!$D$18,"ATENCION INTEGRAL EN ENFERMEDADES PREVALENTES EN PRIMERA INFANCIA (AIEPI)",IF(O184=CURSOS!$D$19,"ADMINISTRACION DE MEDICAMENTOS, INYECTOLOGIA  Y CANALIZACION ",IF(O184=CURSOS!$D$20,"OPERADOR DE VEHICULOS DE EMERGENCIA (OVE)",IF(O184=CURSOS!$D$21,"INSTITUCIONES AMIGAS DE LA MUJER Y LA INFANCIA (IAMI)",IF(O184=CURSOS!$D$22,"CUIDADO DEL DONANTE DE ORGANOS",IF(O184=CURSOS!$D$23,"ATENCION A VICTIMAS POR VIOLENCIA DE GENERO",IF(O184=CURSOS!$D$24,"IGUALDAD DE GENERO EN LA SALUD",IF(O184=CURSOS!$D$25,"BRIGADA DE EMERGENCIA",IF(O184=CURSOS!$D$26,"MANEJO DEL DOLOR Y CUIDADOS PALIATIVOS",IF(O184=CURSOS!$D$27,"TOMA DE MUESTRAS Y LABORATORIO POCT",IF(O184=CURSOS!$D$28,"IMPLANTE SUBDERMICO DE DISPOSITIVO INTRAUTERINO",IF(O184=CURSOS!$D$29,"SALUD MENTAL",IF(O184=CURSOS!$D$30,"PRIMEROS AUXILIOS PSICOLOGICOS",IF(O184=CURSOS!$D$31,"ATENCION A VICTIMAS POR CONFLICTO ARMADO",IF(O184=CURSOS!$D$32,"MANIPULACION DE ALIMENTOS Y BPM",IF(O184=CURSOS!$D$33,"ATENCION A PERSONAS CON DISCAPACIDAD",IF(O184=CURSOS!$D$34,"CUIDADO INTEGRAL DEL PACIENTE ADULTO",IF(O184=CURSOS!$D$35,"MANEJO DEFENSIVO",IF(O184=CURSOS!$D$36,"SOPORTE CARDIOVASCULAR AVANZADO NEONATAL",IF(O184=CURSOS!$D$37,"SEGURIDAD DEL PACIENTE",IF(O184=CURSOS!$D$38,"MANEJO DE RESIDUOS HOSPITALARIOS"))))))))))))))))))))))))))))))))))))</f>
        <v>0</v>
      </c>
      <c r="V184" s="46" t="str">
        <f t="shared" si="6"/>
        <v xml:space="preserve">   </v>
      </c>
      <c r="W184" s="46" t="str">
        <f t="shared" si="7"/>
        <v xml:space="preserve">   </v>
      </c>
      <c r="X184" s="46" t="str">
        <f t="shared" si="8"/>
        <v xml:space="preserve">   --</v>
      </c>
    </row>
    <row r="185" spans="1:24" x14ac:dyDescent="0.2">
      <c r="A185" s="68">
        <v>184</v>
      </c>
      <c r="I185" s="44"/>
      <c r="P185" s="44"/>
      <c r="S185" s="49"/>
      <c r="T185" s="39"/>
      <c r="U185" s="46" t="b">
        <f>IF(O185=CURSOS!$D$3,"DIPLOMADO EN ATENCION PRE-HOSPITALARIA",IF(O185=CURSOS!$D$4,"ACOMPAÑAMIENTO Y MANEJO DEL DUELO",IF(O185=CURSOS!$D$5,"ATENCION A VICTIMAS DE ATAQUE CON AGENTES QUIMICOS ",IF(O185=CURSOS!$D$6,"PRIMEROS AUXILIOS ",IF(O185=CURSOS!$D$7,"DIPLOMADO DE UNIDAD DE CUIDADOS INTENSIVOS (UCI)",IF(O185=CURSOS!$D$8,"MODELO DE ATENCION PARA EVENTOS EMERGENTES EN SALUD MENTAL (CODIGO VERDE)",IF(O185=CURSOS!$D$9,"HUMANIZACION EN EL SERVICIO DE LA SALUD Y BUENAS PRACTICAS EN PACIENTE ",IF(O185=CURSOS!$D$10,"CLINICA DE HERIDAS ",IF(O185=CURSOS!$D$11,"TOMA DE CITOLOGIA CERVICO VAGINAL ",IF(O185=CURSOS!$D$12,"SOPORTE CARDIOVASCULAR AVANZADO (ACLS) ",IF(O185=CURSOS!$D$13,"CAMILLERO ",IF(O185=CURSOS!$D$14,"TOMA DE MUESTRAS Y LABORATORIO ",IF(O185=CURSOS!$D$15,"SOPORTE VITAL BASICO (BLS)",IF(O185=CURSOS!$D$16,"ATENCION A VICTIMAS DE VIOLENCIA SEXUAL ",IF(O185=CURSOS!$D$17,"PROGRAMADO AMPLIADO DE INMUNIZACION (PAI - COVID 19)",IF(O185=CURSOS!$D$18,"ATENCION INTEGRAL EN ENFERMEDADES PREVALENTES EN PRIMERA INFANCIA (AIEPI)",IF(O185=CURSOS!$D$19,"ADMINISTRACION DE MEDICAMENTOS, INYECTOLOGIA  Y CANALIZACION ",IF(O185=CURSOS!$D$20,"OPERADOR DE VEHICULOS DE EMERGENCIA (OVE)",IF(O185=CURSOS!$D$21,"INSTITUCIONES AMIGAS DE LA MUJER Y LA INFANCIA (IAMI)",IF(O185=CURSOS!$D$22,"CUIDADO DEL DONANTE DE ORGANOS",IF(O185=CURSOS!$D$23,"ATENCION A VICTIMAS POR VIOLENCIA DE GENERO",IF(O185=CURSOS!$D$24,"IGUALDAD DE GENERO EN LA SALUD",IF(O185=CURSOS!$D$25,"BRIGADA DE EMERGENCIA",IF(O185=CURSOS!$D$26,"MANEJO DEL DOLOR Y CUIDADOS PALIATIVOS",IF(O185=CURSOS!$D$27,"TOMA DE MUESTRAS Y LABORATORIO POCT",IF(O185=CURSOS!$D$28,"IMPLANTE SUBDERMICO DE DISPOSITIVO INTRAUTERINO",IF(O185=CURSOS!$D$29,"SALUD MENTAL",IF(O185=CURSOS!$D$30,"PRIMEROS AUXILIOS PSICOLOGICOS",IF(O185=CURSOS!$D$31,"ATENCION A VICTIMAS POR CONFLICTO ARMADO",IF(O185=CURSOS!$D$32,"MANIPULACION DE ALIMENTOS Y BPM",IF(O185=CURSOS!$D$33,"ATENCION A PERSONAS CON DISCAPACIDAD",IF(O185=CURSOS!$D$34,"CUIDADO INTEGRAL DEL PACIENTE ADULTO",IF(O185=CURSOS!$D$35,"MANEJO DEFENSIVO",IF(O185=CURSOS!$D$36,"SOPORTE CARDIOVASCULAR AVANZADO NEONATAL",IF(O185=CURSOS!$D$37,"SEGURIDAD DEL PACIENTE",IF(O185=CURSOS!$D$38,"MANEJO DE RESIDUOS HOSPITALARIOS"))))))))))))))))))))))))))))))))))))</f>
        <v>0</v>
      </c>
      <c r="V185" s="46" t="str">
        <f t="shared" si="6"/>
        <v xml:space="preserve">   </v>
      </c>
      <c r="W185" s="46" t="str">
        <f t="shared" si="7"/>
        <v xml:space="preserve">   </v>
      </c>
      <c r="X185" s="46" t="str">
        <f t="shared" si="8"/>
        <v xml:space="preserve">   --</v>
      </c>
    </row>
    <row r="186" spans="1:24" x14ac:dyDescent="0.2">
      <c r="A186" s="68">
        <v>185</v>
      </c>
      <c r="I186" s="44"/>
      <c r="P186" s="44"/>
      <c r="S186" s="49"/>
      <c r="T186" s="39"/>
      <c r="U186" s="46" t="b">
        <f>IF(O186=CURSOS!$D$3,"DIPLOMADO EN ATENCION PRE-HOSPITALARIA",IF(O186=CURSOS!$D$4,"ACOMPAÑAMIENTO Y MANEJO DEL DUELO",IF(O186=CURSOS!$D$5,"ATENCION A VICTIMAS DE ATAQUE CON AGENTES QUIMICOS ",IF(O186=CURSOS!$D$6,"PRIMEROS AUXILIOS ",IF(O186=CURSOS!$D$7,"DIPLOMADO DE UNIDAD DE CUIDADOS INTENSIVOS (UCI)",IF(O186=CURSOS!$D$8,"MODELO DE ATENCION PARA EVENTOS EMERGENTES EN SALUD MENTAL (CODIGO VERDE)",IF(O186=CURSOS!$D$9,"HUMANIZACION EN EL SERVICIO DE LA SALUD Y BUENAS PRACTICAS EN PACIENTE ",IF(O186=CURSOS!$D$10,"CLINICA DE HERIDAS ",IF(O186=CURSOS!$D$11,"TOMA DE CITOLOGIA CERVICO VAGINAL ",IF(O186=CURSOS!$D$12,"SOPORTE CARDIOVASCULAR AVANZADO (ACLS) ",IF(O186=CURSOS!$D$13,"CAMILLERO ",IF(O186=CURSOS!$D$14,"TOMA DE MUESTRAS Y LABORATORIO ",IF(O186=CURSOS!$D$15,"SOPORTE VITAL BASICO (BLS)",IF(O186=CURSOS!$D$16,"ATENCION A VICTIMAS DE VIOLENCIA SEXUAL ",IF(O186=CURSOS!$D$17,"PROGRAMADO AMPLIADO DE INMUNIZACION (PAI - COVID 19)",IF(O186=CURSOS!$D$18,"ATENCION INTEGRAL EN ENFERMEDADES PREVALENTES EN PRIMERA INFANCIA (AIEPI)",IF(O186=CURSOS!$D$19,"ADMINISTRACION DE MEDICAMENTOS, INYECTOLOGIA  Y CANALIZACION ",IF(O186=CURSOS!$D$20,"OPERADOR DE VEHICULOS DE EMERGENCIA (OVE)",IF(O186=CURSOS!$D$21,"INSTITUCIONES AMIGAS DE LA MUJER Y LA INFANCIA (IAMI)",IF(O186=CURSOS!$D$22,"CUIDADO DEL DONANTE DE ORGANOS",IF(O186=CURSOS!$D$23,"ATENCION A VICTIMAS POR VIOLENCIA DE GENERO",IF(O186=CURSOS!$D$24,"IGUALDAD DE GENERO EN LA SALUD",IF(O186=CURSOS!$D$25,"BRIGADA DE EMERGENCIA",IF(O186=CURSOS!$D$26,"MANEJO DEL DOLOR Y CUIDADOS PALIATIVOS",IF(O186=CURSOS!$D$27,"TOMA DE MUESTRAS Y LABORATORIO POCT",IF(O186=CURSOS!$D$28,"IMPLANTE SUBDERMICO DE DISPOSITIVO INTRAUTERINO",IF(O186=CURSOS!$D$29,"SALUD MENTAL",IF(O186=CURSOS!$D$30,"PRIMEROS AUXILIOS PSICOLOGICOS",IF(O186=CURSOS!$D$31,"ATENCION A VICTIMAS POR CONFLICTO ARMADO",IF(O186=CURSOS!$D$32,"MANIPULACION DE ALIMENTOS Y BPM",IF(O186=CURSOS!$D$33,"ATENCION A PERSONAS CON DISCAPACIDAD",IF(O186=CURSOS!$D$34,"CUIDADO INTEGRAL DEL PACIENTE ADULTO",IF(O186=CURSOS!$D$35,"MANEJO DEFENSIVO",IF(O186=CURSOS!$D$36,"SOPORTE CARDIOVASCULAR AVANZADO NEONATAL",IF(O186=CURSOS!$D$37,"SEGURIDAD DEL PACIENTE",IF(O186=CURSOS!$D$38,"MANEJO DE RESIDUOS HOSPITALARIOS"))))))))))))))))))))))))))))))))))))</f>
        <v>0</v>
      </c>
      <c r="V186" s="46" t="str">
        <f t="shared" si="6"/>
        <v xml:space="preserve">   </v>
      </c>
      <c r="W186" s="46" t="str">
        <f t="shared" si="7"/>
        <v xml:space="preserve">   </v>
      </c>
      <c r="X186" s="46" t="str">
        <f t="shared" si="8"/>
        <v xml:space="preserve">   --</v>
      </c>
    </row>
    <row r="187" spans="1:24" x14ac:dyDescent="0.2">
      <c r="A187" s="68">
        <v>186</v>
      </c>
      <c r="I187" s="44"/>
      <c r="P187" s="44"/>
      <c r="S187" s="49"/>
      <c r="T187" s="39"/>
      <c r="U187" s="46" t="b">
        <f>IF(O187=CURSOS!$D$3,"DIPLOMADO EN ATENCION PRE-HOSPITALARIA",IF(O187=CURSOS!$D$4,"ACOMPAÑAMIENTO Y MANEJO DEL DUELO",IF(O187=CURSOS!$D$5,"ATENCION A VICTIMAS DE ATAQUE CON AGENTES QUIMICOS ",IF(O187=CURSOS!$D$6,"PRIMEROS AUXILIOS ",IF(O187=CURSOS!$D$7,"DIPLOMADO DE UNIDAD DE CUIDADOS INTENSIVOS (UCI)",IF(O187=CURSOS!$D$8,"MODELO DE ATENCION PARA EVENTOS EMERGENTES EN SALUD MENTAL (CODIGO VERDE)",IF(O187=CURSOS!$D$9,"HUMANIZACION EN EL SERVICIO DE LA SALUD Y BUENAS PRACTICAS EN PACIENTE ",IF(O187=CURSOS!$D$10,"CLINICA DE HERIDAS ",IF(O187=CURSOS!$D$11,"TOMA DE CITOLOGIA CERVICO VAGINAL ",IF(O187=CURSOS!$D$12,"SOPORTE CARDIOVASCULAR AVANZADO (ACLS) ",IF(O187=CURSOS!$D$13,"CAMILLERO ",IF(O187=CURSOS!$D$14,"TOMA DE MUESTRAS Y LABORATORIO ",IF(O187=CURSOS!$D$15,"SOPORTE VITAL BASICO (BLS)",IF(O187=CURSOS!$D$16,"ATENCION A VICTIMAS DE VIOLENCIA SEXUAL ",IF(O187=CURSOS!$D$17,"PROGRAMADO AMPLIADO DE INMUNIZACION (PAI - COVID 19)",IF(O187=CURSOS!$D$18,"ATENCION INTEGRAL EN ENFERMEDADES PREVALENTES EN PRIMERA INFANCIA (AIEPI)",IF(O187=CURSOS!$D$19,"ADMINISTRACION DE MEDICAMENTOS, INYECTOLOGIA  Y CANALIZACION ",IF(O187=CURSOS!$D$20,"OPERADOR DE VEHICULOS DE EMERGENCIA (OVE)",IF(O187=CURSOS!$D$21,"INSTITUCIONES AMIGAS DE LA MUJER Y LA INFANCIA (IAMI)",IF(O187=CURSOS!$D$22,"CUIDADO DEL DONANTE DE ORGANOS",IF(O187=CURSOS!$D$23,"ATENCION A VICTIMAS POR VIOLENCIA DE GENERO",IF(O187=CURSOS!$D$24,"IGUALDAD DE GENERO EN LA SALUD",IF(O187=CURSOS!$D$25,"BRIGADA DE EMERGENCIA",IF(O187=CURSOS!$D$26,"MANEJO DEL DOLOR Y CUIDADOS PALIATIVOS",IF(O187=CURSOS!$D$27,"TOMA DE MUESTRAS Y LABORATORIO POCT",IF(O187=CURSOS!$D$28,"IMPLANTE SUBDERMICO DE DISPOSITIVO INTRAUTERINO",IF(O187=CURSOS!$D$29,"SALUD MENTAL",IF(O187=CURSOS!$D$30,"PRIMEROS AUXILIOS PSICOLOGICOS",IF(O187=CURSOS!$D$31,"ATENCION A VICTIMAS POR CONFLICTO ARMADO",IF(O187=CURSOS!$D$32,"MANIPULACION DE ALIMENTOS Y BPM",IF(O187=CURSOS!$D$33,"ATENCION A PERSONAS CON DISCAPACIDAD",IF(O187=CURSOS!$D$34,"CUIDADO INTEGRAL DEL PACIENTE ADULTO",IF(O187=CURSOS!$D$35,"MANEJO DEFENSIVO",IF(O187=CURSOS!$D$36,"SOPORTE CARDIOVASCULAR AVANZADO NEONATAL",IF(O187=CURSOS!$D$37,"SEGURIDAD DEL PACIENTE",IF(O187=CURSOS!$D$38,"MANEJO DE RESIDUOS HOSPITALARIOS"))))))))))))))))))))))))))))))))))))</f>
        <v>0</v>
      </c>
      <c r="V187" s="46" t="str">
        <f t="shared" si="6"/>
        <v xml:space="preserve">   </v>
      </c>
      <c r="W187" s="46" t="str">
        <f t="shared" si="7"/>
        <v xml:space="preserve">   </v>
      </c>
      <c r="X187" s="46" t="str">
        <f t="shared" si="8"/>
        <v xml:space="preserve">   --</v>
      </c>
    </row>
    <row r="188" spans="1:24" x14ac:dyDescent="0.2">
      <c r="A188" s="68">
        <v>187</v>
      </c>
      <c r="I188" s="44"/>
      <c r="P188" s="44"/>
      <c r="R188" s="89"/>
      <c r="S188" s="49"/>
      <c r="T188" s="39"/>
      <c r="U188" s="46" t="b">
        <f>IF(O188=CURSOS!$D$3,"DIPLOMADO EN ATENCION PRE-HOSPITALARIA",IF(O188=CURSOS!$D$4,"ACOMPAÑAMIENTO Y MANEJO DEL DUELO",IF(O188=CURSOS!$D$5,"ATENCION A VICTIMAS DE ATAQUE CON AGENTES QUIMICOS ",IF(O188=CURSOS!$D$6,"PRIMEROS AUXILIOS ",IF(O188=CURSOS!$D$7,"DIPLOMADO DE UNIDAD DE CUIDADOS INTENSIVOS (UCI)",IF(O188=CURSOS!$D$8,"MODELO DE ATENCION PARA EVENTOS EMERGENTES EN SALUD MENTAL (CODIGO VERDE)",IF(O188=CURSOS!$D$9,"HUMANIZACION EN EL SERVICIO DE LA SALUD Y BUENAS PRACTICAS EN PACIENTE ",IF(O188=CURSOS!$D$10,"CLINICA DE HERIDAS ",IF(O188=CURSOS!$D$11,"TOMA DE CITOLOGIA CERVICO VAGINAL ",IF(O188=CURSOS!$D$12,"SOPORTE CARDIOVASCULAR AVANZADO (ACLS) ",IF(O188=CURSOS!$D$13,"CAMILLERO ",IF(O188=CURSOS!$D$14,"TOMA DE MUESTRAS Y LABORATORIO ",IF(O188=CURSOS!$D$15,"SOPORTE VITAL BASICO (BLS)",IF(O188=CURSOS!$D$16,"ATENCION A VICTIMAS DE VIOLENCIA SEXUAL ",IF(O188=CURSOS!$D$17,"PROGRAMADO AMPLIADO DE INMUNIZACION (PAI - COVID 19)",IF(O188=CURSOS!$D$18,"ATENCION INTEGRAL EN ENFERMEDADES PREVALENTES EN PRIMERA INFANCIA (AIEPI)",IF(O188=CURSOS!$D$19,"ADMINISTRACION DE MEDICAMENTOS, INYECTOLOGIA  Y CANALIZACION ",IF(O188=CURSOS!$D$20,"OPERADOR DE VEHICULOS DE EMERGENCIA (OVE)",IF(O188=CURSOS!$D$21,"INSTITUCIONES AMIGAS DE LA MUJER Y LA INFANCIA (IAMI)",IF(O188=CURSOS!$D$22,"CUIDADO DEL DONANTE DE ORGANOS",IF(O188=CURSOS!$D$23,"ATENCION A VICTIMAS POR VIOLENCIA DE GENERO",IF(O188=CURSOS!$D$24,"IGUALDAD DE GENERO EN LA SALUD",IF(O188=CURSOS!$D$25,"BRIGADA DE EMERGENCIA",IF(O188=CURSOS!$D$26,"MANEJO DEL DOLOR Y CUIDADOS PALIATIVOS",IF(O188=CURSOS!$D$27,"TOMA DE MUESTRAS Y LABORATORIO POCT",IF(O188=CURSOS!$D$28,"IMPLANTE SUBDERMICO DE DISPOSITIVO INTRAUTERINO",IF(O188=CURSOS!$D$29,"SALUD MENTAL",IF(O188=CURSOS!$D$30,"PRIMEROS AUXILIOS PSICOLOGICOS",IF(O188=CURSOS!$D$31,"ATENCION A VICTIMAS POR CONFLICTO ARMADO",IF(O188=CURSOS!$D$32,"MANIPULACION DE ALIMENTOS Y BPM",IF(O188=CURSOS!$D$33,"ATENCION A PERSONAS CON DISCAPACIDAD",IF(O188=CURSOS!$D$34,"CUIDADO INTEGRAL DEL PACIENTE ADULTO",IF(O188=CURSOS!$D$35,"MANEJO DEFENSIVO",IF(O188=CURSOS!$D$36,"SOPORTE CARDIOVASCULAR AVANZADO NEONATAL",IF(O188=CURSOS!$D$37,"SEGURIDAD DEL PACIENTE",IF(O188=CURSOS!$D$38,"MANEJO DE RESIDUOS HOSPITALARIOS"))))))))))))))))))))))))))))))))))))</f>
        <v>0</v>
      </c>
      <c r="V188" s="46" t="str">
        <f t="shared" si="6"/>
        <v xml:space="preserve">   </v>
      </c>
      <c r="W188" s="46" t="str">
        <f t="shared" si="7"/>
        <v xml:space="preserve">   </v>
      </c>
      <c r="X188" s="46" t="str">
        <f t="shared" si="8"/>
        <v xml:space="preserve">   --</v>
      </c>
    </row>
    <row r="189" spans="1:24" x14ac:dyDescent="0.2">
      <c r="A189" s="68">
        <v>188</v>
      </c>
      <c r="I189" s="44"/>
      <c r="P189" s="44"/>
      <c r="R189" s="89"/>
      <c r="S189" s="49"/>
      <c r="T189" s="39"/>
      <c r="U189" s="46" t="b">
        <f>IF(O189=CURSOS!$D$3,"DIPLOMADO EN ATENCION PRE-HOSPITALARIA",IF(O189=CURSOS!$D$4,"ACOMPAÑAMIENTO Y MANEJO DEL DUELO",IF(O189=CURSOS!$D$5,"ATENCION A VICTIMAS DE ATAQUE CON AGENTES QUIMICOS ",IF(O189=CURSOS!$D$6,"PRIMEROS AUXILIOS ",IF(O189=CURSOS!$D$7,"DIPLOMADO DE UNIDAD DE CUIDADOS INTENSIVOS (UCI)",IF(O189=CURSOS!$D$8,"MODELO DE ATENCION PARA EVENTOS EMERGENTES EN SALUD MENTAL (CODIGO VERDE)",IF(O189=CURSOS!$D$9,"HUMANIZACION EN EL SERVICIO DE LA SALUD Y BUENAS PRACTICAS EN PACIENTE ",IF(O189=CURSOS!$D$10,"CLINICA DE HERIDAS ",IF(O189=CURSOS!$D$11,"TOMA DE CITOLOGIA CERVICO VAGINAL ",IF(O189=CURSOS!$D$12,"SOPORTE CARDIOVASCULAR AVANZADO (ACLS) ",IF(O189=CURSOS!$D$13,"CAMILLERO ",IF(O189=CURSOS!$D$14,"TOMA DE MUESTRAS Y LABORATORIO ",IF(O189=CURSOS!$D$15,"SOPORTE VITAL BASICO (BLS)",IF(O189=CURSOS!$D$16,"ATENCION A VICTIMAS DE VIOLENCIA SEXUAL ",IF(O189=CURSOS!$D$17,"PROGRAMADO AMPLIADO DE INMUNIZACION (PAI - COVID 19)",IF(O189=CURSOS!$D$18,"ATENCION INTEGRAL EN ENFERMEDADES PREVALENTES EN PRIMERA INFANCIA (AIEPI)",IF(O189=CURSOS!$D$19,"ADMINISTRACION DE MEDICAMENTOS, INYECTOLOGIA  Y CANALIZACION ",IF(O189=CURSOS!$D$20,"OPERADOR DE VEHICULOS DE EMERGENCIA (OVE)",IF(O189=CURSOS!$D$21,"INSTITUCIONES AMIGAS DE LA MUJER Y LA INFANCIA (IAMI)",IF(O189=CURSOS!$D$22,"CUIDADO DEL DONANTE DE ORGANOS",IF(O189=CURSOS!$D$23,"ATENCION A VICTIMAS POR VIOLENCIA DE GENERO",IF(O189=CURSOS!$D$24,"IGUALDAD DE GENERO EN LA SALUD",IF(O189=CURSOS!$D$25,"BRIGADA DE EMERGENCIA",IF(O189=CURSOS!$D$26,"MANEJO DEL DOLOR Y CUIDADOS PALIATIVOS",IF(O189=CURSOS!$D$27,"TOMA DE MUESTRAS Y LABORATORIO POCT",IF(O189=CURSOS!$D$28,"IMPLANTE SUBDERMICO DE DISPOSITIVO INTRAUTERINO",IF(O189=CURSOS!$D$29,"SALUD MENTAL",IF(O189=CURSOS!$D$30,"PRIMEROS AUXILIOS PSICOLOGICOS",IF(O189=CURSOS!$D$31,"ATENCION A VICTIMAS POR CONFLICTO ARMADO",IF(O189=CURSOS!$D$32,"MANIPULACION DE ALIMENTOS Y BPM",IF(O189=CURSOS!$D$33,"ATENCION A PERSONAS CON DISCAPACIDAD",IF(O189=CURSOS!$D$34,"CUIDADO INTEGRAL DEL PACIENTE ADULTO",IF(O189=CURSOS!$D$35,"MANEJO DEFENSIVO",IF(O189=CURSOS!$D$36,"SOPORTE CARDIOVASCULAR AVANZADO NEONATAL",IF(O189=CURSOS!$D$37,"SEGURIDAD DEL PACIENTE",IF(O189=CURSOS!$D$38,"MANEJO DE RESIDUOS HOSPITALARIOS"))))))))))))))))))))))))))))))))))))</f>
        <v>0</v>
      </c>
      <c r="V189" s="46" t="str">
        <f t="shared" si="6"/>
        <v xml:space="preserve">   </v>
      </c>
      <c r="W189" s="46" t="str">
        <f t="shared" si="7"/>
        <v xml:space="preserve">   </v>
      </c>
      <c r="X189" s="46" t="str">
        <f t="shared" si="8"/>
        <v xml:space="preserve">   --</v>
      </c>
    </row>
    <row r="190" spans="1:24" x14ac:dyDescent="0.2">
      <c r="A190" s="68">
        <v>189</v>
      </c>
      <c r="I190" s="44"/>
      <c r="P190" s="44"/>
      <c r="R190" s="89"/>
      <c r="S190" s="49"/>
      <c r="T190" s="39"/>
      <c r="U190" s="46" t="b">
        <f>IF(O190=CURSOS!$D$3,"DIPLOMADO EN ATENCION PRE-HOSPITALARIA",IF(O190=CURSOS!$D$4,"ACOMPAÑAMIENTO Y MANEJO DEL DUELO",IF(O190=CURSOS!$D$5,"ATENCION A VICTIMAS DE ATAQUE CON AGENTES QUIMICOS ",IF(O190=CURSOS!$D$6,"PRIMEROS AUXILIOS ",IF(O190=CURSOS!$D$7,"DIPLOMADO DE UNIDAD DE CUIDADOS INTENSIVOS (UCI)",IF(O190=CURSOS!$D$8,"MODELO DE ATENCION PARA EVENTOS EMERGENTES EN SALUD MENTAL (CODIGO VERDE)",IF(O190=CURSOS!$D$9,"HUMANIZACION EN EL SERVICIO DE LA SALUD Y BUENAS PRACTICAS EN PACIENTE ",IF(O190=CURSOS!$D$10,"CLINICA DE HERIDAS ",IF(O190=CURSOS!$D$11,"TOMA DE CITOLOGIA CERVICO VAGINAL ",IF(O190=CURSOS!$D$12,"SOPORTE CARDIOVASCULAR AVANZADO (ACLS) ",IF(O190=CURSOS!$D$13,"CAMILLERO ",IF(O190=CURSOS!$D$14,"TOMA DE MUESTRAS Y LABORATORIO ",IF(O190=CURSOS!$D$15,"SOPORTE VITAL BASICO (BLS)",IF(O190=CURSOS!$D$16,"ATENCION A VICTIMAS DE VIOLENCIA SEXUAL ",IF(O190=CURSOS!$D$17,"PROGRAMADO AMPLIADO DE INMUNIZACION (PAI - COVID 19)",IF(O190=CURSOS!$D$18,"ATENCION INTEGRAL EN ENFERMEDADES PREVALENTES EN PRIMERA INFANCIA (AIEPI)",IF(O190=CURSOS!$D$19,"ADMINISTRACION DE MEDICAMENTOS, INYECTOLOGIA  Y CANALIZACION ",IF(O190=CURSOS!$D$20,"OPERADOR DE VEHICULOS DE EMERGENCIA (OVE)",IF(O190=CURSOS!$D$21,"INSTITUCIONES AMIGAS DE LA MUJER Y LA INFANCIA (IAMI)",IF(O190=CURSOS!$D$22,"CUIDADO DEL DONANTE DE ORGANOS",IF(O190=CURSOS!$D$23,"ATENCION A VICTIMAS POR VIOLENCIA DE GENERO",IF(O190=CURSOS!$D$24,"IGUALDAD DE GENERO EN LA SALUD",IF(O190=CURSOS!$D$25,"BRIGADA DE EMERGENCIA",IF(O190=CURSOS!$D$26,"MANEJO DEL DOLOR Y CUIDADOS PALIATIVOS",IF(O190=CURSOS!$D$27,"TOMA DE MUESTRAS Y LABORATORIO POCT",IF(O190=CURSOS!$D$28,"IMPLANTE SUBDERMICO DE DISPOSITIVO INTRAUTERINO",IF(O190=CURSOS!$D$29,"SALUD MENTAL",IF(O190=CURSOS!$D$30,"PRIMEROS AUXILIOS PSICOLOGICOS",IF(O190=CURSOS!$D$31,"ATENCION A VICTIMAS POR CONFLICTO ARMADO",IF(O190=CURSOS!$D$32,"MANIPULACION DE ALIMENTOS Y BPM",IF(O190=CURSOS!$D$33,"ATENCION A PERSONAS CON DISCAPACIDAD",IF(O190=CURSOS!$D$34,"CUIDADO INTEGRAL DEL PACIENTE ADULTO",IF(O190=CURSOS!$D$35,"MANEJO DEFENSIVO",IF(O190=CURSOS!$D$36,"SOPORTE CARDIOVASCULAR AVANZADO NEONATAL",IF(O190=CURSOS!$D$37,"SEGURIDAD DEL PACIENTE",IF(O190=CURSOS!$D$38,"MANEJO DE RESIDUOS HOSPITALARIOS"))))))))))))))))))))))))))))))))))))</f>
        <v>0</v>
      </c>
      <c r="V190" s="46" t="str">
        <f t="shared" si="6"/>
        <v xml:space="preserve">   </v>
      </c>
      <c r="W190" s="46" t="str">
        <f t="shared" si="7"/>
        <v xml:space="preserve">   </v>
      </c>
      <c r="X190" s="46" t="str">
        <f t="shared" si="8"/>
        <v xml:space="preserve">   --</v>
      </c>
    </row>
    <row r="191" spans="1:24" x14ac:dyDescent="0.2">
      <c r="A191" s="68">
        <v>190</v>
      </c>
      <c r="I191" s="44"/>
      <c r="P191" s="44"/>
      <c r="R191" s="89"/>
      <c r="T191" s="39"/>
      <c r="U191" s="46" t="b">
        <f>IF(O191=CURSOS!$D$3,"DIPLOMADO EN ATENCION PRE-HOSPITALARIA",IF(O191=CURSOS!$D$4,"ACOMPAÑAMIENTO Y MANEJO DEL DUELO",IF(O191=CURSOS!$D$5,"ATENCION A VICTIMAS DE ATAQUE CON AGENTES QUIMICOS ",IF(O191=CURSOS!$D$6,"PRIMEROS AUXILIOS ",IF(O191=CURSOS!$D$7,"DIPLOMADO DE UNIDAD DE CUIDADOS INTENSIVOS (UCI)",IF(O191=CURSOS!$D$8,"MODELO DE ATENCION PARA EVENTOS EMERGENTES EN SALUD MENTAL (CODIGO VERDE)",IF(O191=CURSOS!$D$9,"HUMANIZACION EN EL SERVICIO DE LA SALUD Y BUENAS PRACTICAS EN PACIENTE ",IF(O191=CURSOS!$D$10,"CLINICA DE HERIDAS ",IF(O191=CURSOS!$D$11,"TOMA DE CITOLOGIA CERVICO VAGINAL ",IF(O191=CURSOS!$D$12,"SOPORTE CARDIOVASCULAR AVANZADO (ACLS) ",IF(O191=CURSOS!$D$13,"CAMILLERO ",IF(O191=CURSOS!$D$14,"TOMA DE MUESTRAS Y LABORATORIO ",IF(O191=CURSOS!$D$15,"SOPORTE VITAL BASICO (BLS)",IF(O191=CURSOS!$D$16,"ATENCION A VICTIMAS DE VIOLENCIA SEXUAL ",IF(O191=CURSOS!$D$17,"PROGRAMADO AMPLIADO DE INMUNIZACION (PAI - COVID 19)",IF(O191=CURSOS!$D$18,"ATENCION INTEGRAL EN ENFERMEDADES PREVALENTES EN PRIMERA INFANCIA (AIEPI)",IF(O191=CURSOS!$D$19,"ADMINISTRACION DE MEDICAMENTOS, INYECTOLOGIA  Y CANALIZACION ",IF(O191=CURSOS!$D$20,"OPERADOR DE VEHICULOS DE EMERGENCIA (OVE)",IF(O191=CURSOS!$D$21,"INSTITUCIONES AMIGAS DE LA MUJER Y LA INFANCIA (IAMI)",IF(O191=CURSOS!$D$22,"CUIDADO DEL DONANTE DE ORGANOS",IF(O191=CURSOS!$D$23,"ATENCION A VICTIMAS POR VIOLENCIA DE GENERO",IF(O191=CURSOS!$D$24,"IGUALDAD DE GENERO EN LA SALUD",IF(O191=CURSOS!$D$25,"BRIGADA DE EMERGENCIA",IF(O191=CURSOS!$D$26,"MANEJO DEL DOLOR Y CUIDADOS PALIATIVOS",IF(O191=CURSOS!$D$27,"TOMA DE MUESTRAS Y LABORATORIO POCT",IF(O191=CURSOS!$D$28,"IMPLANTE SUBDERMICO DE DISPOSITIVO INTRAUTERINO",IF(O191=CURSOS!$D$29,"SALUD MENTAL",IF(O191=CURSOS!$D$30,"PRIMEROS AUXILIOS PSICOLOGICOS",IF(O191=CURSOS!$D$31,"ATENCION A VICTIMAS POR CONFLICTO ARMADO",IF(O191=CURSOS!$D$32,"MANIPULACION DE ALIMENTOS Y BPM",IF(O191=CURSOS!$D$33,"ATENCION A PERSONAS CON DISCAPACIDAD",IF(O191=CURSOS!$D$34,"CUIDADO INTEGRAL DEL PACIENTE ADULTO",IF(O191=CURSOS!$D$35,"MANEJO DEFENSIVO",IF(O191=CURSOS!$D$36,"SOPORTE CARDIOVASCULAR AVANZADO NEONATAL",IF(O191=CURSOS!$D$37,"SEGURIDAD DEL PACIENTE",IF(O191=CURSOS!$D$38,"MANEJO DE RESIDUOS HOSPITALARIOS"))))))))))))))))))))))))))))))))))))</f>
        <v>0</v>
      </c>
      <c r="V191" s="46" t="str">
        <f t="shared" si="6"/>
        <v xml:space="preserve">   </v>
      </c>
      <c r="W191" s="46" t="str">
        <f t="shared" si="7"/>
        <v xml:space="preserve">   </v>
      </c>
      <c r="X191" s="46" t="str">
        <f t="shared" si="8"/>
        <v xml:space="preserve">   --</v>
      </c>
    </row>
    <row r="192" spans="1:24" x14ac:dyDescent="0.2">
      <c r="A192" s="68">
        <v>191</v>
      </c>
      <c r="I192" s="44"/>
      <c r="P192" s="44"/>
      <c r="R192" s="89"/>
      <c r="T192" s="39"/>
      <c r="U192" s="46" t="b">
        <f>IF(O192=CURSOS!$D$3,"DIPLOMADO EN ATENCION PRE-HOSPITALARIA",IF(O192=CURSOS!$D$4,"ACOMPAÑAMIENTO Y MANEJO DEL DUELO",IF(O192=CURSOS!$D$5,"ATENCION A VICTIMAS DE ATAQUE CON AGENTES QUIMICOS ",IF(O192=CURSOS!$D$6,"PRIMEROS AUXILIOS ",IF(O192=CURSOS!$D$7,"DIPLOMADO DE UNIDAD DE CUIDADOS INTENSIVOS (UCI)",IF(O192=CURSOS!$D$8,"MODELO DE ATENCION PARA EVENTOS EMERGENTES EN SALUD MENTAL (CODIGO VERDE)",IF(O192=CURSOS!$D$9,"HUMANIZACION EN EL SERVICIO DE LA SALUD Y BUENAS PRACTICAS EN PACIENTE ",IF(O192=CURSOS!$D$10,"CLINICA DE HERIDAS ",IF(O192=CURSOS!$D$11,"TOMA DE CITOLOGIA CERVICO VAGINAL ",IF(O192=CURSOS!$D$12,"SOPORTE CARDIOVASCULAR AVANZADO (ACLS) ",IF(O192=CURSOS!$D$13,"CAMILLERO ",IF(O192=CURSOS!$D$14,"TOMA DE MUESTRAS Y LABORATORIO ",IF(O192=CURSOS!$D$15,"SOPORTE VITAL BASICO (BLS)",IF(O192=CURSOS!$D$16,"ATENCION A VICTIMAS DE VIOLENCIA SEXUAL ",IF(O192=CURSOS!$D$17,"PROGRAMADO AMPLIADO DE INMUNIZACION (PAI - COVID 19)",IF(O192=CURSOS!$D$18,"ATENCION INTEGRAL EN ENFERMEDADES PREVALENTES EN PRIMERA INFANCIA (AIEPI)",IF(O192=CURSOS!$D$19,"ADMINISTRACION DE MEDICAMENTOS, INYECTOLOGIA  Y CANALIZACION ",IF(O192=CURSOS!$D$20,"OPERADOR DE VEHICULOS DE EMERGENCIA (OVE)",IF(O192=CURSOS!$D$21,"INSTITUCIONES AMIGAS DE LA MUJER Y LA INFANCIA (IAMI)",IF(O192=CURSOS!$D$22,"CUIDADO DEL DONANTE DE ORGANOS",IF(O192=CURSOS!$D$23,"ATENCION A VICTIMAS POR VIOLENCIA DE GENERO",IF(O192=CURSOS!$D$24,"IGUALDAD DE GENERO EN LA SALUD",IF(O192=CURSOS!$D$25,"BRIGADA DE EMERGENCIA",IF(O192=CURSOS!$D$26,"MANEJO DEL DOLOR Y CUIDADOS PALIATIVOS",IF(O192=CURSOS!$D$27,"TOMA DE MUESTRAS Y LABORATORIO POCT",IF(O192=CURSOS!$D$28,"IMPLANTE SUBDERMICO DE DISPOSITIVO INTRAUTERINO",IF(O192=CURSOS!$D$29,"SALUD MENTAL",IF(O192=CURSOS!$D$30,"PRIMEROS AUXILIOS PSICOLOGICOS",IF(O192=CURSOS!$D$31,"ATENCION A VICTIMAS POR CONFLICTO ARMADO",IF(O192=CURSOS!$D$32,"MANIPULACION DE ALIMENTOS Y BPM",IF(O192=CURSOS!$D$33,"ATENCION A PERSONAS CON DISCAPACIDAD",IF(O192=CURSOS!$D$34,"CUIDADO INTEGRAL DEL PACIENTE ADULTO",IF(O192=CURSOS!$D$35,"MANEJO DEFENSIVO",IF(O192=CURSOS!$D$36,"SOPORTE CARDIOVASCULAR AVANZADO NEONATAL",IF(O192=CURSOS!$D$37,"SEGURIDAD DEL PACIENTE",IF(O192=CURSOS!$D$38,"MANEJO DE RESIDUOS HOSPITALARIOS"))))))))))))))))))))))))))))))))))))</f>
        <v>0</v>
      </c>
      <c r="V192" s="46" t="str">
        <f t="shared" si="6"/>
        <v xml:space="preserve">   </v>
      </c>
      <c r="W192" s="46" t="str">
        <f t="shared" si="7"/>
        <v xml:space="preserve">   </v>
      </c>
      <c r="X192" s="46" t="str">
        <f t="shared" si="8"/>
        <v xml:space="preserve">   --</v>
      </c>
    </row>
    <row r="193" spans="1:24" x14ac:dyDescent="0.2">
      <c r="A193" s="68">
        <v>192</v>
      </c>
      <c r="I193" s="44"/>
      <c r="P193" s="44"/>
      <c r="T193" s="39"/>
      <c r="U193" s="46" t="b">
        <f>IF(O193=CURSOS!$D$3,"DIPLOMADO EN ATENCION PRE-HOSPITALARIA",IF(O193=CURSOS!$D$4,"ACOMPAÑAMIENTO Y MANEJO DEL DUELO",IF(O193=CURSOS!$D$5,"ATENCION A VICTIMAS DE ATAQUE CON AGENTES QUIMICOS ",IF(O193=CURSOS!$D$6,"PRIMEROS AUXILIOS ",IF(O193=CURSOS!$D$7,"DIPLOMADO DE UNIDAD DE CUIDADOS INTENSIVOS (UCI)",IF(O193=CURSOS!$D$8,"MODELO DE ATENCION PARA EVENTOS EMERGENTES EN SALUD MENTAL (CODIGO VERDE)",IF(O193=CURSOS!$D$9,"HUMANIZACION EN EL SERVICIO DE LA SALUD Y BUENAS PRACTICAS EN PACIENTE ",IF(O193=CURSOS!$D$10,"CLINICA DE HERIDAS ",IF(O193=CURSOS!$D$11,"TOMA DE CITOLOGIA CERVICO VAGINAL ",IF(O193=CURSOS!$D$12,"SOPORTE CARDIOVASCULAR AVANZADO (ACLS) ",IF(O193=CURSOS!$D$13,"CAMILLERO ",IF(O193=CURSOS!$D$14,"TOMA DE MUESTRAS Y LABORATORIO ",IF(O193=CURSOS!$D$15,"SOPORTE VITAL BASICO (BLS)",IF(O193=CURSOS!$D$16,"ATENCION A VICTIMAS DE VIOLENCIA SEXUAL ",IF(O193=CURSOS!$D$17,"PROGRAMADO AMPLIADO DE INMUNIZACION (PAI - COVID 19)",IF(O193=CURSOS!$D$18,"ATENCION INTEGRAL EN ENFERMEDADES PREVALENTES EN PRIMERA INFANCIA (AIEPI)",IF(O193=CURSOS!$D$19,"ADMINISTRACION DE MEDICAMENTOS, INYECTOLOGIA  Y CANALIZACION ",IF(O193=CURSOS!$D$20,"OPERADOR DE VEHICULOS DE EMERGENCIA (OVE)",IF(O193=CURSOS!$D$21,"INSTITUCIONES AMIGAS DE LA MUJER Y LA INFANCIA (IAMI)",IF(O193=CURSOS!$D$22,"CUIDADO DEL DONANTE DE ORGANOS",IF(O193=CURSOS!$D$23,"ATENCION A VICTIMAS POR VIOLENCIA DE GENERO",IF(O193=CURSOS!$D$24,"IGUALDAD DE GENERO EN LA SALUD",IF(O193=CURSOS!$D$25,"BRIGADA DE EMERGENCIA",IF(O193=CURSOS!$D$26,"MANEJO DEL DOLOR Y CUIDADOS PALIATIVOS",IF(O193=CURSOS!$D$27,"TOMA DE MUESTRAS Y LABORATORIO POCT",IF(O193=CURSOS!$D$28,"IMPLANTE SUBDERMICO DE DISPOSITIVO INTRAUTERINO",IF(O193=CURSOS!$D$29,"SALUD MENTAL",IF(O193=CURSOS!$D$30,"PRIMEROS AUXILIOS PSICOLOGICOS",IF(O193=CURSOS!$D$31,"ATENCION A VICTIMAS POR CONFLICTO ARMADO",IF(O193=CURSOS!$D$32,"MANIPULACION DE ALIMENTOS Y BPM",IF(O193=CURSOS!$D$33,"ATENCION A PERSONAS CON DISCAPACIDAD",IF(O193=CURSOS!$D$34,"CUIDADO INTEGRAL DEL PACIENTE ADULTO",IF(O193=CURSOS!$D$35,"MANEJO DEFENSIVO",IF(O193=CURSOS!$D$36,"SOPORTE CARDIOVASCULAR AVANZADO NEONATAL",IF(O193=CURSOS!$D$37,"SEGURIDAD DEL PACIENTE",IF(O193=CURSOS!$D$38,"MANEJO DE RESIDUOS HOSPITALARIOS"))))))))))))))))))))))))))))))))))))</f>
        <v>0</v>
      </c>
      <c r="V193" s="46" t="str">
        <f t="shared" ref="V193:V230" si="9">CONCATENATE(E193," ",F193," ",C193," ",D193)</f>
        <v xml:space="preserve">   </v>
      </c>
      <c r="W193" s="46" t="str">
        <f t="shared" ref="W193:W230" si="10">PROPER(V193)</f>
        <v xml:space="preserve">   </v>
      </c>
      <c r="X193" s="46" t="str">
        <f t="shared" ref="X193:X230" si="11">CONCATENATE(V193,"-",B193,"-",O193)</f>
        <v xml:space="preserve">   --</v>
      </c>
    </row>
    <row r="194" spans="1:24" x14ac:dyDescent="0.2">
      <c r="A194" s="68">
        <v>193</v>
      </c>
      <c r="I194" s="44"/>
      <c r="P194" s="44"/>
      <c r="T194" s="39"/>
      <c r="U194" s="46" t="b">
        <f>IF(O194=CURSOS!$D$3,"DIPLOMADO EN ATENCION PRE-HOSPITALARIA",IF(O194=CURSOS!$D$4,"ACOMPAÑAMIENTO Y MANEJO DEL DUELO",IF(O194=CURSOS!$D$5,"ATENCION A VICTIMAS DE ATAQUE CON AGENTES QUIMICOS ",IF(O194=CURSOS!$D$6,"PRIMEROS AUXILIOS ",IF(O194=CURSOS!$D$7,"DIPLOMADO DE UNIDAD DE CUIDADOS INTENSIVOS (UCI)",IF(O194=CURSOS!$D$8,"MODELO DE ATENCION PARA EVENTOS EMERGENTES EN SALUD MENTAL (CODIGO VERDE)",IF(O194=CURSOS!$D$9,"HUMANIZACION EN EL SERVICIO DE LA SALUD Y BUENAS PRACTICAS EN PACIENTE ",IF(O194=CURSOS!$D$10,"CLINICA DE HERIDAS ",IF(O194=CURSOS!$D$11,"TOMA DE CITOLOGIA CERVICO VAGINAL ",IF(O194=CURSOS!$D$12,"SOPORTE CARDIOVASCULAR AVANZADO (ACLS) ",IF(O194=CURSOS!$D$13,"CAMILLERO ",IF(O194=CURSOS!$D$14,"TOMA DE MUESTRAS Y LABORATORIO ",IF(O194=CURSOS!$D$15,"SOPORTE VITAL BASICO (BLS)",IF(O194=CURSOS!$D$16,"ATENCION A VICTIMAS DE VIOLENCIA SEXUAL ",IF(O194=CURSOS!$D$17,"PROGRAMADO AMPLIADO DE INMUNIZACION (PAI - COVID 19)",IF(O194=CURSOS!$D$18,"ATENCION INTEGRAL EN ENFERMEDADES PREVALENTES EN PRIMERA INFANCIA (AIEPI)",IF(O194=CURSOS!$D$19,"ADMINISTRACION DE MEDICAMENTOS, INYECTOLOGIA  Y CANALIZACION ",IF(O194=CURSOS!$D$20,"OPERADOR DE VEHICULOS DE EMERGENCIA (OVE)",IF(O194=CURSOS!$D$21,"INSTITUCIONES AMIGAS DE LA MUJER Y LA INFANCIA (IAMI)",IF(O194=CURSOS!$D$22,"CUIDADO DEL DONANTE DE ORGANOS",IF(O194=CURSOS!$D$23,"ATENCION A VICTIMAS POR VIOLENCIA DE GENERO",IF(O194=CURSOS!$D$24,"IGUALDAD DE GENERO EN LA SALUD",IF(O194=CURSOS!$D$25,"BRIGADA DE EMERGENCIA",IF(O194=CURSOS!$D$26,"MANEJO DEL DOLOR Y CUIDADOS PALIATIVOS",IF(O194=CURSOS!$D$27,"TOMA DE MUESTRAS Y LABORATORIO POCT",IF(O194=CURSOS!$D$28,"IMPLANTE SUBDERMICO DE DISPOSITIVO INTRAUTERINO",IF(O194=CURSOS!$D$29,"SALUD MENTAL",IF(O194=CURSOS!$D$30,"PRIMEROS AUXILIOS PSICOLOGICOS",IF(O194=CURSOS!$D$31,"ATENCION A VICTIMAS POR CONFLICTO ARMADO",IF(O194=CURSOS!$D$32,"MANIPULACION DE ALIMENTOS Y BPM",IF(O194=CURSOS!$D$33,"ATENCION A PERSONAS CON DISCAPACIDAD",IF(O194=CURSOS!$D$34,"CUIDADO INTEGRAL DEL PACIENTE ADULTO",IF(O194=CURSOS!$D$35,"MANEJO DEFENSIVO",IF(O194=CURSOS!$D$36,"SOPORTE CARDIOVASCULAR AVANZADO NEONATAL",IF(O194=CURSOS!$D$37,"SEGURIDAD DEL PACIENTE",IF(O194=CURSOS!$D$38,"MANEJO DE RESIDUOS HOSPITALARIOS"))))))))))))))))))))))))))))))))))))</f>
        <v>0</v>
      </c>
      <c r="V194" s="46" t="str">
        <f t="shared" si="9"/>
        <v xml:space="preserve">   </v>
      </c>
      <c r="W194" s="46" t="str">
        <f t="shared" si="10"/>
        <v xml:space="preserve">   </v>
      </c>
      <c r="X194" s="46" t="str">
        <f t="shared" si="11"/>
        <v xml:space="preserve">   --</v>
      </c>
    </row>
    <row r="195" spans="1:24" x14ac:dyDescent="0.2">
      <c r="A195" s="68">
        <v>194</v>
      </c>
      <c r="I195" s="44"/>
      <c r="P195" s="44"/>
      <c r="T195" s="39"/>
      <c r="U195" s="46" t="b">
        <f>IF(O195=CURSOS!$D$3,"DIPLOMADO EN ATENCION PRE-HOSPITALARIA",IF(O195=CURSOS!$D$4,"ACOMPAÑAMIENTO Y MANEJO DEL DUELO",IF(O195=CURSOS!$D$5,"ATENCION A VICTIMAS DE ATAQUE CON AGENTES QUIMICOS ",IF(O195=CURSOS!$D$6,"PRIMEROS AUXILIOS ",IF(O195=CURSOS!$D$7,"DIPLOMADO DE UNIDAD DE CUIDADOS INTENSIVOS (UCI)",IF(O195=CURSOS!$D$8,"MODELO DE ATENCION PARA EVENTOS EMERGENTES EN SALUD MENTAL (CODIGO VERDE)",IF(O195=CURSOS!$D$9,"HUMANIZACION EN EL SERVICIO DE LA SALUD Y BUENAS PRACTICAS EN PACIENTE ",IF(O195=CURSOS!$D$10,"CLINICA DE HERIDAS ",IF(O195=CURSOS!$D$11,"TOMA DE CITOLOGIA CERVICO VAGINAL ",IF(O195=CURSOS!$D$12,"SOPORTE CARDIOVASCULAR AVANZADO (ACLS) ",IF(O195=CURSOS!$D$13,"CAMILLERO ",IF(O195=CURSOS!$D$14,"TOMA DE MUESTRAS Y LABORATORIO ",IF(O195=CURSOS!$D$15,"SOPORTE VITAL BASICO (BLS)",IF(O195=CURSOS!$D$16,"ATENCION A VICTIMAS DE VIOLENCIA SEXUAL ",IF(O195=CURSOS!$D$17,"PROGRAMADO AMPLIADO DE INMUNIZACION (PAI - COVID 19)",IF(O195=CURSOS!$D$18,"ATENCION INTEGRAL EN ENFERMEDADES PREVALENTES EN PRIMERA INFANCIA (AIEPI)",IF(O195=CURSOS!$D$19,"ADMINISTRACION DE MEDICAMENTOS, INYECTOLOGIA  Y CANALIZACION ",IF(O195=CURSOS!$D$20,"OPERADOR DE VEHICULOS DE EMERGENCIA (OVE)",IF(O195=CURSOS!$D$21,"INSTITUCIONES AMIGAS DE LA MUJER Y LA INFANCIA (IAMI)",IF(O195=CURSOS!$D$22,"CUIDADO DEL DONANTE DE ORGANOS",IF(O195=CURSOS!$D$23,"ATENCION A VICTIMAS POR VIOLENCIA DE GENERO",IF(O195=CURSOS!$D$24,"IGUALDAD DE GENERO EN LA SALUD",IF(O195=CURSOS!$D$25,"BRIGADA DE EMERGENCIA",IF(O195=CURSOS!$D$26,"MANEJO DEL DOLOR Y CUIDADOS PALIATIVOS",IF(O195=CURSOS!$D$27,"TOMA DE MUESTRAS Y LABORATORIO POCT",IF(O195=CURSOS!$D$28,"IMPLANTE SUBDERMICO DE DISPOSITIVO INTRAUTERINO",IF(O195=CURSOS!$D$29,"SALUD MENTAL",IF(O195=CURSOS!$D$30,"PRIMEROS AUXILIOS PSICOLOGICOS",IF(O195=CURSOS!$D$31,"ATENCION A VICTIMAS POR CONFLICTO ARMADO",IF(O195=CURSOS!$D$32,"MANIPULACION DE ALIMENTOS Y BPM",IF(O195=CURSOS!$D$33,"ATENCION A PERSONAS CON DISCAPACIDAD",IF(O195=CURSOS!$D$34,"CUIDADO INTEGRAL DEL PACIENTE ADULTO",IF(O195=CURSOS!$D$35,"MANEJO DEFENSIVO",IF(O195=CURSOS!$D$36,"SOPORTE CARDIOVASCULAR AVANZADO NEONATAL",IF(O195=CURSOS!$D$37,"SEGURIDAD DEL PACIENTE",IF(O195=CURSOS!$D$38,"MANEJO DE RESIDUOS HOSPITALARIOS"))))))))))))))))))))))))))))))))))))</f>
        <v>0</v>
      </c>
      <c r="V195" s="46" t="str">
        <f t="shared" si="9"/>
        <v xml:space="preserve">   </v>
      </c>
      <c r="W195" s="46" t="str">
        <f t="shared" si="10"/>
        <v xml:space="preserve">   </v>
      </c>
      <c r="X195" s="46" t="str">
        <f t="shared" si="11"/>
        <v xml:space="preserve">   --</v>
      </c>
    </row>
    <row r="196" spans="1:24" x14ac:dyDescent="0.2">
      <c r="A196" s="68">
        <v>195</v>
      </c>
      <c r="I196" s="44"/>
      <c r="P196" s="44"/>
      <c r="T196" s="39"/>
      <c r="U196" s="46" t="b">
        <f>IF(O196=CURSOS!$D$3,"DIPLOMADO EN ATENCION PRE-HOSPITALARIA",IF(O196=CURSOS!$D$4,"ACOMPAÑAMIENTO Y MANEJO DEL DUELO",IF(O196=CURSOS!$D$5,"ATENCION A VICTIMAS DE ATAQUE CON AGENTES QUIMICOS ",IF(O196=CURSOS!$D$6,"PRIMEROS AUXILIOS ",IF(O196=CURSOS!$D$7,"DIPLOMADO DE UNIDAD DE CUIDADOS INTENSIVOS (UCI)",IF(O196=CURSOS!$D$8,"MODELO DE ATENCION PARA EVENTOS EMERGENTES EN SALUD MENTAL (CODIGO VERDE)",IF(O196=CURSOS!$D$9,"HUMANIZACION EN EL SERVICIO DE LA SALUD Y BUENAS PRACTICAS EN PACIENTE ",IF(O196=CURSOS!$D$10,"CLINICA DE HERIDAS ",IF(O196=CURSOS!$D$11,"TOMA DE CITOLOGIA CERVICO VAGINAL ",IF(O196=CURSOS!$D$12,"SOPORTE CARDIOVASCULAR AVANZADO (ACLS) ",IF(O196=CURSOS!$D$13,"CAMILLERO ",IF(O196=CURSOS!$D$14,"TOMA DE MUESTRAS Y LABORATORIO ",IF(O196=CURSOS!$D$15,"SOPORTE VITAL BASICO (BLS)",IF(O196=CURSOS!$D$16,"ATENCION A VICTIMAS DE VIOLENCIA SEXUAL ",IF(O196=CURSOS!$D$17,"PROGRAMADO AMPLIADO DE INMUNIZACION (PAI - COVID 19)",IF(O196=CURSOS!$D$18,"ATENCION INTEGRAL EN ENFERMEDADES PREVALENTES EN PRIMERA INFANCIA (AIEPI)",IF(O196=CURSOS!$D$19,"ADMINISTRACION DE MEDICAMENTOS, INYECTOLOGIA  Y CANALIZACION ",IF(O196=CURSOS!$D$20,"OPERADOR DE VEHICULOS DE EMERGENCIA (OVE)",IF(O196=CURSOS!$D$21,"INSTITUCIONES AMIGAS DE LA MUJER Y LA INFANCIA (IAMI)",IF(O196=CURSOS!$D$22,"CUIDADO DEL DONANTE DE ORGANOS",IF(O196=CURSOS!$D$23,"ATENCION A VICTIMAS POR VIOLENCIA DE GENERO",IF(O196=CURSOS!$D$24,"IGUALDAD DE GENERO EN LA SALUD",IF(O196=CURSOS!$D$25,"BRIGADA DE EMERGENCIA",IF(O196=CURSOS!$D$26,"MANEJO DEL DOLOR Y CUIDADOS PALIATIVOS",IF(O196=CURSOS!$D$27,"TOMA DE MUESTRAS Y LABORATORIO POCT",IF(O196=CURSOS!$D$28,"IMPLANTE SUBDERMICO DE DISPOSITIVO INTRAUTERINO",IF(O196=CURSOS!$D$29,"SALUD MENTAL",IF(O196=CURSOS!$D$30,"PRIMEROS AUXILIOS PSICOLOGICOS",IF(O196=CURSOS!$D$31,"ATENCION A VICTIMAS POR CONFLICTO ARMADO",IF(O196=CURSOS!$D$32,"MANIPULACION DE ALIMENTOS Y BPM",IF(O196=CURSOS!$D$33,"ATENCION A PERSONAS CON DISCAPACIDAD",IF(O196=CURSOS!$D$34,"CUIDADO INTEGRAL DEL PACIENTE ADULTO",IF(O196=CURSOS!$D$35,"MANEJO DEFENSIVO",IF(O196=CURSOS!$D$36,"SOPORTE CARDIOVASCULAR AVANZADO NEONATAL",IF(O196=CURSOS!$D$37,"SEGURIDAD DEL PACIENTE",IF(O196=CURSOS!$D$38,"MANEJO DE RESIDUOS HOSPITALARIOS"))))))))))))))))))))))))))))))))))))</f>
        <v>0</v>
      </c>
      <c r="V196" s="46" t="str">
        <f t="shared" si="9"/>
        <v xml:space="preserve">   </v>
      </c>
      <c r="W196" s="46" t="str">
        <f t="shared" si="10"/>
        <v xml:space="preserve">   </v>
      </c>
      <c r="X196" s="46" t="str">
        <f t="shared" si="11"/>
        <v xml:space="preserve">   --</v>
      </c>
    </row>
    <row r="197" spans="1:24" x14ac:dyDescent="0.2">
      <c r="A197" s="68">
        <v>196</v>
      </c>
      <c r="I197" s="44"/>
      <c r="P197" s="44"/>
      <c r="T197" s="39"/>
      <c r="U197" s="46" t="b">
        <f>IF(O197=CURSOS!$D$3,"DIPLOMADO EN ATENCION PRE-HOSPITALARIA",IF(O197=CURSOS!$D$4,"ACOMPAÑAMIENTO Y MANEJO DEL DUELO",IF(O197=CURSOS!$D$5,"ATENCION A VICTIMAS DE ATAQUE CON AGENTES QUIMICOS ",IF(O197=CURSOS!$D$6,"PRIMEROS AUXILIOS ",IF(O197=CURSOS!$D$7,"DIPLOMADO DE UNIDAD DE CUIDADOS INTENSIVOS (UCI)",IF(O197=CURSOS!$D$8,"MODELO DE ATENCION PARA EVENTOS EMERGENTES EN SALUD MENTAL (CODIGO VERDE)",IF(O197=CURSOS!$D$9,"HUMANIZACION EN EL SERVICIO DE LA SALUD Y BUENAS PRACTICAS EN PACIENTE ",IF(O197=CURSOS!$D$10,"CLINICA DE HERIDAS ",IF(O197=CURSOS!$D$11,"TOMA DE CITOLOGIA CERVICO VAGINAL ",IF(O197=CURSOS!$D$12,"SOPORTE CARDIOVASCULAR AVANZADO (ACLS) ",IF(O197=CURSOS!$D$13,"CAMILLERO ",IF(O197=CURSOS!$D$14,"TOMA DE MUESTRAS Y LABORATORIO ",IF(O197=CURSOS!$D$15,"SOPORTE VITAL BASICO (BLS)",IF(O197=CURSOS!$D$16,"ATENCION A VICTIMAS DE VIOLENCIA SEXUAL ",IF(O197=CURSOS!$D$17,"PROGRAMADO AMPLIADO DE INMUNIZACION (PAI - COVID 19)",IF(O197=CURSOS!$D$18,"ATENCION INTEGRAL EN ENFERMEDADES PREVALENTES EN PRIMERA INFANCIA (AIEPI)",IF(O197=CURSOS!$D$19,"ADMINISTRACION DE MEDICAMENTOS, INYECTOLOGIA  Y CANALIZACION ",IF(O197=CURSOS!$D$20,"OPERADOR DE VEHICULOS DE EMERGENCIA (OVE)",IF(O197=CURSOS!$D$21,"INSTITUCIONES AMIGAS DE LA MUJER Y LA INFANCIA (IAMI)",IF(O197=CURSOS!$D$22,"CUIDADO DEL DONANTE DE ORGANOS",IF(O197=CURSOS!$D$23,"ATENCION A VICTIMAS POR VIOLENCIA DE GENERO",IF(O197=CURSOS!$D$24,"IGUALDAD DE GENERO EN LA SALUD",IF(O197=CURSOS!$D$25,"BRIGADA DE EMERGENCIA",IF(O197=CURSOS!$D$26,"MANEJO DEL DOLOR Y CUIDADOS PALIATIVOS",IF(O197=CURSOS!$D$27,"TOMA DE MUESTRAS Y LABORATORIO POCT",IF(O197=CURSOS!$D$28,"IMPLANTE SUBDERMICO DE DISPOSITIVO INTRAUTERINO",IF(O197=CURSOS!$D$29,"SALUD MENTAL",IF(O197=CURSOS!$D$30,"PRIMEROS AUXILIOS PSICOLOGICOS",IF(O197=CURSOS!$D$31,"ATENCION A VICTIMAS POR CONFLICTO ARMADO",IF(O197=CURSOS!$D$32,"MANIPULACION DE ALIMENTOS Y BPM",IF(O197=CURSOS!$D$33,"ATENCION A PERSONAS CON DISCAPACIDAD",IF(O197=CURSOS!$D$34,"CUIDADO INTEGRAL DEL PACIENTE ADULTO",IF(O197=CURSOS!$D$35,"MANEJO DEFENSIVO",IF(O197=CURSOS!$D$36,"SOPORTE CARDIOVASCULAR AVANZADO NEONATAL",IF(O197=CURSOS!$D$37,"SEGURIDAD DEL PACIENTE",IF(O197=CURSOS!$D$38,"MANEJO DE RESIDUOS HOSPITALARIOS"))))))))))))))))))))))))))))))))))))</f>
        <v>0</v>
      </c>
      <c r="V197" s="46" t="str">
        <f t="shared" si="9"/>
        <v xml:space="preserve">   </v>
      </c>
      <c r="W197" s="46" t="str">
        <f t="shared" si="10"/>
        <v xml:space="preserve">   </v>
      </c>
      <c r="X197" s="46" t="str">
        <f t="shared" si="11"/>
        <v xml:space="preserve">   --</v>
      </c>
    </row>
    <row r="198" spans="1:24" x14ac:dyDescent="0.2">
      <c r="A198" s="68">
        <v>197</v>
      </c>
      <c r="I198" s="44"/>
      <c r="P198" s="44"/>
      <c r="T198" s="39"/>
      <c r="U198" s="46" t="b">
        <f>IF(O198=CURSOS!$D$3,"DIPLOMADO EN ATENCION PRE-HOSPITALARIA",IF(O198=CURSOS!$D$4,"ACOMPAÑAMIENTO Y MANEJO DEL DUELO",IF(O198=CURSOS!$D$5,"ATENCION A VICTIMAS DE ATAQUE CON AGENTES QUIMICOS ",IF(O198=CURSOS!$D$6,"PRIMEROS AUXILIOS ",IF(O198=CURSOS!$D$7,"DIPLOMADO DE UNIDAD DE CUIDADOS INTENSIVOS (UCI)",IF(O198=CURSOS!$D$8,"MODELO DE ATENCION PARA EVENTOS EMERGENTES EN SALUD MENTAL (CODIGO VERDE)",IF(O198=CURSOS!$D$9,"HUMANIZACION EN EL SERVICIO DE LA SALUD Y BUENAS PRACTICAS EN PACIENTE ",IF(O198=CURSOS!$D$10,"CLINICA DE HERIDAS ",IF(O198=CURSOS!$D$11,"TOMA DE CITOLOGIA CERVICO VAGINAL ",IF(O198=CURSOS!$D$12,"SOPORTE CARDIOVASCULAR AVANZADO (ACLS) ",IF(O198=CURSOS!$D$13,"CAMILLERO ",IF(O198=CURSOS!$D$14,"TOMA DE MUESTRAS Y LABORATORIO ",IF(O198=CURSOS!$D$15,"SOPORTE VITAL BASICO (BLS)",IF(O198=CURSOS!$D$16,"ATENCION A VICTIMAS DE VIOLENCIA SEXUAL ",IF(O198=CURSOS!$D$17,"PROGRAMADO AMPLIADO DE INMUNIZACION (PAI - COVID 19)",IF(O198=CURSOS!$D$18,"ATENCION INTEGRAL EN ENFERMEDADES PREVALENTES EN PRIMERA INFANCIA (AIEPI)",IF(O198=CURSOS!$D$19,"ADMINISTRACION DE MEDICAMENTOS, INYECTOLOGIA  Y CANALIZACION ",IF(O198=CURSOS!$D$20,"OPERADOR DE VEHICULOS DE EMERGENCIA (OVE)",IF(O198=CURSOS!$D$21,"INSTITUCIONES AMIGAS DE LA MUJER Y LA INFANCIA (IAMI)",IF(O198=CURSOS!$D$22,"CUIDADO DEL DONANTE DE ORGANOS",IF(O198=CURSOS!$D$23,"ATENCION A VICTIMAS POR VIOLENCIA DE GENERO",IF(O198=CURSOS!$D$24,"IGUALDAD DE GENERO EN LA SALUD",IF(O198=CURSOS!$D$25,"BRIGADA DE EMERGENCIA",IF(O198=CURSOS!$D$26,"MANEJO DEL DOLOR Y CUIDADOS PALIATIVOS",IF(O198=CURSOS!$D$27,"TOMA DE MUESTRAS Y LABORATORIO POCT",IF(O198=CURSOS!$D$28,"IMPLANTE SUBDERMICO DE DISPOSITIVO INTRAUTERINO",IF(O198=CURSOS!$D$29,"SALUD MENTAL",IF(O198=CURSOS!$D$30,"PRIMEROS AUXILIOS PSICOLOGICOS",IF(O198=CURSOS!$D$31,"ATENCION A VICTIMAS POR CONFLICTO ARMADO",IF(O198=CURSOS!$D$32,"MANIPULACION DE ALIMENTOS Y BPM",IF(O198=CURSOS!$D$33,"ATENCION A PERSONAS CON DISCAPACIDAD",IF(O198=CURSOS!$D$34,"CUIDADO INTEGRAL DEL PACIENTE ADULTO",IF(O198=CURSOS!$D$35,"MANEJO DEFENSIVO",IF(O198=CURSOS!$D$36,"SOPORTE CARDIOVASCULAR AVANZADO NEONATAL",IF(O198=CURSOS!$D$37,"SEGURIDAD DEL PACIENTE",IF(O198=CURSOS!$D$38,"MANEJO DE RESIDUOS HOSPITALARIOS"))))))))))))))))))))))))))))))))))))</f>
        <v>0</v>
      </c>
      <c r="V198" s="46" t="str">
        <f t="shared" si="9"/>
        <v xml:space="preserve">   </v>
      </c>
      <c r="W198" s="46" t="str">
        <f t="shared" si="10"/>
        <v xml:space="preserve">   </v>
      </c>
      <c r="X198" s="46" t="str">
        <f t="shared" si="11"/>
        <v xml:space="preserve">   --</v>
      </c>
    </row>
    <row r="199" spans="1:24" x14ac:dyDescent="0.2">
      <c r="A199" s="68">
        <v>198</v>
      </c>
      <c r="I199" s="44"/>
      <c r="P199" s="44"/>
      <c r="T199" s="39"/>
      <c r="U199" s="46" t="b">
        <f>IF(O199=CURSOS!$D$3,"DIPLOMADO EN ATENCION PRE-HOSPITALARIA",IF(O199=CURSOS!$D$4,"ACOMPAÑAMIENTO Y MANEJO DEL DUELO",IF(O199=CURSOS!$D$5,"ATENCION A VICTIMAS DE ATAQUE CON AGENTES QUIMICOS ",IF(O199=CURSOS!$D$6,"PRIMEROS AUXILIOS ",IF(O199=CURSOS!$D$7,"DIPLOMADO DE UNIDAD DE CUIDADOS INTENSIVOS (UCI)",IF(O199=CURSOS!$D$8,"MODELO DE ATENCION PARA EVENTOS EMERGENTES EN SALUD MENTAL (CODIGO VERDE)",IF(O199=CURSOS!$D$9,"HUMANIZACION EN EL SERVICIO DE LA SALUD Y BUENAS PRACTICAS EN PACIENTE ",IF(O199=CURSOS!$D$10,"CLINICA DE HERIDAS ",IF(O199=CURSOS!$D$11,"TOMA DE CITOLOGIA CERVICO VAGINAL ",IF(O199=CURSOS!$D$12,"SOPORTE CARDIOVASCULAR AVANZADO (ACLS) ",IF(O199=CURSOS!$D$13,"CAMILLERO ",IF(O199=CURSOS!$D$14,"TOMA DE MUESTRAS Y LABORATORIO ",IF(O199=CURSOS!$D$15,"SOPORTE VITAL BASICO (BLS)",IF(O199=CURSOS!$D$16,"ATENCION A VICTIMAS DE VIOLENCIA SEXUAL ",IF(O199=CURSOS!$D$17,"PROGRAMADO AMPLIADO DE INMUNIZACION (PAI - COVID 19)",IF(O199=CURSOS!$D$18,"ATENCION INTEGRAL EN ENFERMEDADES PREVALENTES EN PRIMERA INFANCIA (AIEPI)",IF(O199=CURSOS!$D$19,"ADMINISTRACION DE MEDICAMENTOS, INYECTOLOGIA  Y CANALIZACION ",IF(O199=CURSOS!$D$20,"OPERADOR DE VEHICULOS DE EMERGENCIA (OVE)",IF(O199=CURSOS!$D$21,"INSTITUCIONES AMIGAS DE LA MUJER Y LA INFANCIA (IAMI)",IF(O199=CURSOS!$D$22,"CUIDADO DEL DONANTE DE ORGANOS",IF(O199=CURSOS!$D$23,"ATENCION A VICTIMAS POR VIOLENCIA DE GENERO",IF(O199=CURSOS!$D$24,"IGUALDAD DE GENERO EN LA SALUD",IF(O199=CURSOS!$D$25,"BRIGADA DE EMERGENCIA",IF(O199=CURSOS!$D$26,"MANEJO DEL DOLOR Y CUIDADOS PALIATIVOS",IF(O199=CURSOS!$D$27,"TOMA DE MUESTRAS Y LABORATORIO POCT",IF(O199=CURSOS!$D$28,"IMPLANTE SUBDERMICO DE DISPOSITIVO INTRAUTERINO",IF(O199=CURSOS!$D$29,"SALUD MENTAL",IF(O199=CURSOS!$D$30,"PRIMEROS AUXILIOS PSICOLOGICOS",IF(O199=CURSOS!$D$31,"ATENCION A VICTIMAS POR CONFLICTO ARMADO",IF(O199=CURSOS!$D$32,"MANIPULACION DE ALIMENTOS Y BPM",IF(O199=CURSOS!$D$33,"ATENCION A PERSONAS CON DISCAPACIDAD",IF(O199=CURSOS!$D$34,"CUIDADO INTEGRAL DEL PACIENTE ADULTO",IF(O199=CURSOS!$D$35,"MANEJO DEFENSIVO",IF(O199=CURSOS!$D$36,"SOPORTE CARDIOVASCULAR AVANZADO NEONATAL",IF(O199=CURSOS!$D$37,"SEGURIDAD DEL PACIENTE",IF(O199=CURSOS!$D$38,"MANEJO DE RESIDUOS HOSPITALARIOS"))))))))))))))))))))))))))))))))))))</f>
        <v>0</v>
      </c>
      <c r="V199" s="46" t="str">
        <f t="shared" si="9"/>
        <v xml:space="preserve">   </v>
      </c>
      <c r="W199" s="46" t="str">
        <f t="shared" si="10"/>
        <v xml:space="preserve">   </v>
      </c>
      <c r="X199" s="46" t="str">
        <f t="shared" si="11"/>
        <v xml:space="preserve">   --</v>
      </c>
    </row>
    <row r="200" spans="1:24" x14ac:dyDescent="0.2">
      <c r="A200" s="68">
        <v>199</v>
      </c>
      <c r="I200" s="44"/>
      <c r="P200" s="44"/>
      <c r="T200" s="39"/>
      <c r="U200" s="46" t="b">
        <f>IF(O200=CURSOS!$D$3,"DIPLOMADO EN ATENCION PRE-HOSPITALARIA",IF(O200=CURSOS!$D$4,"ACOMPAÑAMIENTO Y MANEJO DEL DUELO",IF(O200=CURSOS!$D$5,"ATENCION A VICTIMAS DE ATAQUE CON AGENTES QUIMICOS ",IF(O200=CURSOS!$D$6,"PRIMEROS AUXILIOS ",IF(O200=CURSOS!$D$7,"DIPLOMADO DE UNIDAD DE CUIDADOS INTENSIVOS (UCI)",IF(O200=CURSOS!$D$8,"MODELO DE ATENCION PARA EVENTOS EMERGENTES EN SALUD MENTAL (CODIGO VERDE)",IF(O200=CURSOS!$D$9,"HUMANIZACION EN EL SERVICIO DE LA SALUD Y BUENAS PRACTICAS EN PACIENTE ",IF(O200=CURSOS!$D$10,"CLINICA DE HERIDAS ",IF(O200=CURSOS!$D$11,"TOMA DE CITOLOGIA CERVICO VAGINAL ",IF(O200=CURSOS!$D$12,"SOPORTE CARDIOVASCULAR AVANZADO (ACLS) ",IF(O200=CURSOS!$D$13,"CAMILLERO ",IF(O200=CURSOS!$D$14,"TOMA DE MUESTRAS Y LABORATORIO ",IF(O200=CURSOS!$D$15,"SOPORTE VITAL BASICO (BLS)",IF(O200=CURSOS!$D$16,"ATENCION A VICTIMAS DE VIOLENCIA SEXUAL ",IF(O200=CURSOS!$D$17,"PROGRAMADO AMPLIADO DE INMUNIZACION (PAI - COVID 19)",IF(O200=CURSOS!$D$18,"ATENCION INTEGRAL EN ENFERMEDADES PREVALENTES EN PRIMERA INFANCIA (AIEPI)",IF(O200=CURSOS!$D$19,"ADMINISTRACION DE MEDICAMENTOS, INYECTOLOGIA  Y CANALIZACION ",IF(O200=CURSOS!$D$20,"OPERADOR DE VEHICULOS DE EMERGENCIA (OVE)",IF(O200=CURSOS!$D$21,"INSTITUCIONES AMIGAS DE LA MUJER Y LA INFANCIA (IAMI)",IF(O200=CURSOS!$D$22,"CUIDADO DEL DONANTE DE ORGANOS",IF(O200=CURSOS!$D$23,"ATENCION A VICTIMAS POR VIOLENCIA DE GENERO",IF(O200=CURSOS!$D$24,"IGUALDAD DE GENERO EN LA SALUD",IF(O200=CURSOS!$D$25,"BRIGADA DE EMERGENCIA",IF(O200=CURSOS!$D$26,"MANEJO DEL DOLOR Y CUIDADOS PALIATIVOS",IF(O200=CURSOS!$D$27,"TOMA DE MUESTRAS Y LABORATORIO POCT",IF(O200=CURSOS!$D$28,"IMPLANTE SUBDERMICO DE DISPOSITIVO INTRAUTERINO",IF(O200=CURSOS!$D$29,"SALUD MENTAL",IF(O200=CURSOS!$D$30,"PRIMEROS AUXILIOS PSICOLOGICOS",IF(O200=CURSOS!$D$31,"ATENCION A VICTIMAS POR CONFLICTO ARMADO",IF(O200=CURSOS!$D$32,"MANIPULACION DE ALIMENTOS Y BPM",IF(O200=CURSOS!$D$33,"ATENCION A PERSONAS CON DISCAPACIDAD",IF(O200=CURSOS!$D$34,"CUIDADO INTEGRAL DEL PACIENTE ADULTO",IF(O200=CURSOS!$D$35,"MANEJO DEFENSIVO",IF(O200=CURSOS!$D$36,"SOPORTE CARDIOVASCULAR AVANZADO NEONATAL",IF(O200=CURSOS!$D$37,"SEGURIDAD DEL PACIENTE",IF(O200=CURSOS!$D$38,"MANEJO DE RESIDUOS HOSPITALARIOS"))))))))))))))))))))))))))))))))))))</f>
        <v>0</v>
      </c>
      <c r="V200" s="46" t="str">
        <f t="shared" si="9"/>
        <v xml:space="preserve">   </v>
      </c>
      <c r="W200" s="46" t="str">
        <f t="shared" si="10"/>
        <v xml:space="preserve">   </v>
      </c>
      <c r="X200" s="46" t="str">
        <f t="shared" si="11"/>
        <v xml:space="preserve">   --</v>
      </c>
    </row>
    <row r="201" spans="1:24" x14ac:dyDescent="0.2">
      <c r="A201" s="68">
        <v>200</v>
      </c>
      <c r="I201" s="44"/>
      <c r="P201" s="44"/>
      <c r="T201" s="39"/>
      <c r="U201" s="46" t="b">
        <f>IF(O201=CURSOS!$D$3,"DIPLOMADO EN ATENCION PRE-HOSPITALARIA",IF(O201=CURSOS!$D$4,"ACOMPAÑAMIENTO Y MANEJO DEL DUELO",IF(O201=CURSOS!$D$5,"ATENCION A VICTIMAS DE ATAQUE CON AGENTES QUIMICOS ",IF(O201=CURSOS!$D$6,"PRIMEROS AUXILIOS ",IF(O201=CURSOS!$D$7,"DIPLOMADO DE UNIDAD DE CUIDADOS INTENSIVOS (UCI)",IF(O201=CURSOS!$D$8,"MODELO DE ATENCION PARA EVENTOS EMERGENTES EN SALUD MENTAL (CODIGO VERDE)",IF(O201=CURSOS!$D$9,"HUMANIZACION EN EL SERVICIO DE LA SALUD Y BUENAS PRACTICAS EN PACIENTE ",IF(O201=CURSOS!$D$10,"CLINICA DE HERIDAS ",IF(O201=CURSOS!$D$11,"TOMA DE CITOLOGIA CERVICO VAGINAL ",IF(O201=CURSOS!$D$12,"SOPORTE CARDIOVASCULAR AVANZADO (ACLS) ",IF(O201=CURSOS!$D$13,"CAMILLERO ",IF(O201=CURSOS!$D$14,"TOMA DE MUESTRAS Y LABORATORIO ",IF(O201=CURSOS!$D$15,"SOPORTE VITAL BASICO (BLS)",IF(O201=CURSOS!$D$16,"ATENCION A VICTIMAS DE VIOLENCIA SEXUAL ",IF(O201=CURSOS!$D$17,"PROGRAMADO AMPLIADO DE INMUNIZACION (PAI - COVID 19)",IF(O201=CURSOS!$D$18,"ATENCION INTEGRAL EN ENFERMEDADES PREVALENTES EN PRIMERA INFANCIA (AIEPI)",IF(O201=CURSOS!$D$19,"ADMINISTRACION DE MEDICAMENTOS, INYECTOLOGIA  Y CANALIZACION ",IF(O201=CURSOS!$D$20,"OPERADOR DE VEHICULOS DE EMERGENCIA (OVE)",IF(O201=CURSOS!$D$21,"INSTITUCIONES AMIGAS DE LA MUJER Y LA INFANCIA (IAMI)",IF(O201=CURSOS!$D$22,"CUIDADO DEL DONANTE DE ORGANOS",IF(O201=CURSOS!$D$23,"ATENCION A VICTIMAS POR VIOLENCIA DE GENERO",IF(O201=CURSOS!$D$24,"IGUALDAD DE GENERO EN LA SALUD",IF(O201=CURSOS!$D$25,"BRIGADA DE EMERGENCIA",IF(O201=CURSOS!$D$26,"MANEJO DEL DOLOR Y CUIDADOS PALIATIVOS",IF(O201=CURSOS!$D$27,"TOMA DE MUESTRAS Y LABORATORIO POCT",IF(O201=CURSOS!$D$28,"IMPLANTE SUBDERMICO DE DISPOSITIVO INTRAUTERINO",IF(O201=CURSOS!$D$29,"SALUD MENTAL",IF(O201=CURSOS!$D$30,"PRIMEROS AUXILIOS PSICOLOGICOS",IF(O201=CURSOS!$D$31,"ATENCION A VICTIMAS POR CONFLICTO ARMADO",IF(O201=CURSOS!$D$32,"MANIPULACION DE ALIMENTOS Y BPM",IF(O201=CURSOS!$D$33,"ATENCION A PERSONAS CON DISCAPACIDAD",IF(O201=CURSOS!$D$34,"CUIDADO INTEGRAL DEL PACIENTE ADULTO",IF(O201=CURSOS!$D$35,"MANEJO DEFENSIVO",IF(O201=CURSOS!$D$36,"SOPORTE CARDIOVASCULAR AVANZADO NEONATAL",IF(O201=CURSOS!$D$37,"SEGURIDAD DEL PACIENTE",IF(O201=CURSOS!$D$38,"MANEJO DE RESIDUOS HOSPITALARIOS"))))))))))))))))))))))))))))))))))))</f>
        <v>0</v>
      </c>
      <c r="V201" s="46" t="str">
        <f t="shared" si="9"/>
        <v xml:space="preserve">   </v>
      </c>
      <c r="W201" s="46" t="str">
        <f t="shared" si="10"/>
        <v xml:space="preserve">   </v>
      </c>
      <c r="X201" s="46" t="str">
        <f t="shared" si="11"/>
        <v xml:space="preserve">   --</v>
      </c>
    </row>
    <row r="202" spans="1:24" x14ac:dyDescent="0.2">
      <c r="A202" s="68">
        <v>201</v>
      </c>
      <c r="I202" s="44"/>
      <c r="P202" s="44"/>
      <c r="S202" s="48"/>
      <c r="T202" s="39"/>
      <c r="U202" s="46" t="b">
        <f>IF(O202=CURSOS!$D$3,"DIPLOMADO EN ATENCION PRE-HOSPITALARIA",IF(O202=CURSOS!$D$4,"ACOMPAÑAMIENTO Y MANEJO DEL DUELO",IF(O202=CURSOS!$D$5,"ATENCION A VICTIMAS DE ATAQUE CON AGENTES QUIMICOS ",IF(O202=CURSOS!$D$6,"PRIMEROS AUXILIOS ",IF(O202=CURSOS!$D$7,"DIPLOMADO DE UNIDAD DE CUIDADOS INTENSIVOS (UCI)",IF(O202=CURSOS!$D$8,"MODELO DE ATENCION PARA EVENTOS EMERGENTES EN SALUD MENTAL (CODIGO VERDE)",IF(O202=CURSOS!$D$9,"HUMANIZACION EN EL SERVICIO DE LA SALUD Y BUENAS PRACTICAS EN PACIENTE ",IF(O202=CURSOS!$D$10,"CLINICA DE HERIDAS ",IF(O202=CURSOS!$D$11,"TOMA DE CITOLOGIA CERVICO VAGINAL ",IF(O202=CURSOS!$D$12,"SOPORTE CARDIOVASCULAR AVANZADO (ACLS) ",IF(O202=CURSOS!$D$13,"CAMILLERO ",IF(O202=CURSOS!$D$14,"TOMA DE MUESTRAS Y LABORATORIO ",IF(O202=CURSOS!$D$15,"SOPORTE VITAL BASICO (BLS)",IF(O202=CURSOS!$D$16,"ATENCION A VICTIMAS DE VIOLENCIA SEXUAL ",IF(O202=CURSOS!$D$17,"PROGRAMADO AMPLIADO DE INMUNIZACION (PAI - COVID 19)",IF(O202=CURSOS!$D$18,"ATENCION INTEGRAL EN ENFERMEDADES PREVALENTES EN PRIMERA INFANCIA (AIEPI)",IF(O202=CURSOS!$D$19,"ADMINISTRACION DE MEDICAMENTOS, INYECTOLOGIA  Y CANALIZACION ",IF(O202=CURSOS!$D$20,"OPERADOR DE VEHICULOS DE EMERGENCIA (OVE)",IF(O202=CURSOS!$D$21,"INSTITUCIONES AMIGAS DE LA MUJER Y LA INFANCIA (IAMI)",IF(O202=CURSOS!$D$22,"CUIDADO DEL DONANTE DE ORGANOS",IF(O202=CURSOS!$D$23,"ATENCION A VICTIMAS POR VIOLENCIA DE GENERO",IF(O202=CURSOS!$D$24,"IGUALDAD DE GENERO EN LA SALUD",IF(O202=CURSOS!$D$25,"BRIGADA DE EMERGENCIA",IF(O202=CURSOS!$D$26,"MANEJO DEL DOLOR Y CUIDADOS PALIATIVOS",IF(O202=CURSOS!$D$27,"TOMA DE MUESTRAS Y LABORATORIO POCT",IF(O202=CURSOS!$D$28,"IMPLANTE SUBDERMICO DE DISPOSITIVO INTRAUTERINO",IF(O202=CURSOS!$D$29,"SALUD MENTAL",IF(O202=CURSOS!$D$30,"PRIMEROS AUXILIOS PSICOLOGICOS",IF(O202=CURSOS!$D$31,"ATENCION A VICTIMAS POR CONFLICTO ARMADO",IF(O202=CURSOS!$D$32,"MANIPULACION DE ALIMENTOS Y BPM",IF(O202=CURSOS!$D$33,"ATENCION A PERSONAS CON DISCAPACIDAD",IF(O202=CURSOS!$D$34,"CUIDADO INTEGRAL DEL PACIENTE ADULTO",IF(O202=CURSOS!$D$35,"MANEJO DEFENSIVO",IF(O202=CURSOS!$D$36,"SOPORTE CARDIOVASCULAR AVANZADO NEONATAL",IF(O202=CURSOS!$D$37,"SEGURIDAD DEL PACIENTE",IF(O202=CURSOS!$D$38,"MANEJO DE RESIDUOS HOSPITALARIOS"))))))))))))))))))))))))))))))))))))</f>
        <v>0</v>
      </c>
      <c r="V202" s="46" t="str">
        <f t="shared" si="9"/>
        <v xml:space="preserve">   </v>
      </c>
      <c r="W202" s="46" t="str">
        <f t="shared" si="10"/>
        <v xml:space="preserve">   </v>
      </c>
      <c r="X202" s="46" t="str">
        <f t="shared" si="11"/>
        <v xml:space="preserve">   --</v>
      </c>
    </row>
    <row r="203" spans="1:24" x14ac:dyDescent="0.2">
      <c r="A203" s="68">
        <v>202</v>
      </c>
      <c r="I203" s="44"/>
      <c r="P203" s="44"/>
      <c r="S203" s="48"/>
      <c r="T203" s="39"/>
      <c r="U203" s="46" t="b">
        <f>IF(O203=CURSOS!$D$3,"DIPLOMADO EN ATENCION PRE-HOSPITALARIA",IF(O203=CURSOS!$D$4,"ACOMPAÑAMIENTO Y MANEJO DEL DUELO",IF(O203=CURSOS!$D$5,"ATENCION A VICTIMAS DE ATAQUE CON AGENTES QUIMICOS ",IF(O203=CURSOS!$D$6,"PRIMEROS AUXILIOS ",IF(O203=CURSOS!$D$7,"DIPLOMADO DE UNIDAD DE CUIDADOS INTENSIVOS (UCI)",IF(O203=CURSOS!$D$8,"MODELO DE ATENCION PARA EVENTOS EMERGENTES EN SALUD MENTAL (CODIGO VERDE)",IF(O203=CURSOS!$D$9,"HUMANIZACION EN EL SERVICIO DE LA SALUD Y BUENAS PRACTICAS EN PACIENTE ",IF(O203=CURSOS!$D$10,"CLINICA DE HERIDAS ",IF(O203=CURSOS!$D$11,"TOMA DE CITOLOGIA CERVICO VAGINAL ",IF(O203=CURSOS!$D$12,"SOPORTE CARDIOVASCULAR AVANZADO (ACLS) ",IF(O203=CURSOS!$D$13,"CAMILLERO ",IF(O203=CURSOS!$D$14,"TOMA DE MUESTRAS Y LABORATORIO ",IF(O203=CURSOS!$D$15,"SOPORTE VITAL BASICO (BLS)",IF(O203=CURSOS!$D$16,"ATENCION A VICTIMAS DE VIOLENCIA SEXUAL ",IF(O203=CURSOS!$D$17,"PROGRAMADO AMPLIADO DE INMUNIZACION (PAI - COVID 19)",IF(O203=CURSOS!$D$18,"ATENCION INTEGRAL EN ENFERMEDADES PREVALENTES EN PRIMERA INFANCIA (AIEPI)",IF(O203=CURSOS!$D$19,"ADMINISTRACION DE MEDICAMENTOS, INYECTOLOGIA  Y CANALIZACION ",IF(O203=CURSOS!$D$20,"OPERADOR DE VEHICULOS DE EMERGENCIA (OVE)",IF(O203=CURSOS!$D$21,"INSTITUCIONES AMIGAS DE LA MUJER Y LA INFANCIA (IAMI)",IF(O203=CURSOS!$D$22,"CUIDADO DEL DONANTE DE ORGANOS",IF(O203=CURSOS!$D$23,"ATENCION A VICTIMAS POR VIOLENCIA DE GENERO",IF(O203=CURSOS!$D$24,"IGUALDAD DE GENERO EN LA SALUD",IF(O203=CURSOS!$D$25,"BRIGADA DE EMERGENCIA",IF(O203=CURSOS!$D$26,"MANEJO DEL DOLOR Y CUIDADOS PALIATIVOS",IF(O203=CURSOS!$D$27,"TOMA DE MUESTRAS Y LABORATORIO POCT",IF(O203=CURSOS!$D$28,"IMPLANTE SUBDERMICO DE DISPOSITIVO INTRAUTERINO",IF(O203=CURSOS!$D$29,"SALUD MENTAL",IF(O203=CURSOS!$D$30,"PRIMEROS AUXILIOS PSICOLOGICOS",IF(O203=CURSOS!$D$31,"ATENCION A VICTIMAS POR CONFLICTO ARMADO",IF(O203=CURSOS!$D$32,"MANIPULACION DE ALIMENTOS Y BPM",IF(O203=CURSOS!$D$33,"ATENCION A PERSONAS CON DISCAPACIDAD",IF(O203=CURSOS!$D$34,"CUIDADO INTEGRAL DEL PACIENTE ADULTO",IF(O203=CURSOS!$D$35,"MANEJO DEFENSIVO",IF(O203=CURSOS!$D$36,"SOPORTE CARDIOVASCULAR AVANZADO NEONATAL",IF(O203=CURSOS!$D$37,"SEGURIDAD DEL PACIENTE",IF(O203=CURSOS!$D$38,"MANEJO DE RESIDUOS HOSPITALARIOS"))))))))))))))))))))))))))))))))))))</f>
        <v>0</v>
      </c>
      <c r="V203" s="46" t="str">
        <f t="shared" si="9"/>
        <v xml:space="preserve">   </v>
      </c>
      <c r="W203" s="46" t="str">
        <f t="shared" si="10"/>
        <v xml:space="preserve">   </v>
      </c>
      <c r="X203" s="46" t="str">
        <f t="shared" si="11"/>
        <v xml:space="preserve">   --</v>
      </c>
    </row>
    <row r="204" spans="1:24" x14ac:dyDescent="0.2">
      <c r="A204" s="68">
        <v>203</v>
      </c>
      <c r="I204" s="50"/>
      <c r="P204" s="44"/>
      <c r="T204" s="39"/>
      <c r="U204" s="46" t="b">
        <f>IF(O204=CURSOS!$D$3,"DIPLOMADO EN ATENCION PRE-HOSPITALARIA",IF(O204=CURSOS!$D$4,"ACOMPAÑAMIENTO Y MANEJO DEL DUELO",IF(O204=CURSOS!$D$5,"ATENCION A VICTIMAS DE ATAQUE CON AGENTES QUIMICOS ",IF(O204=CURSOS!$D$6,"PRIMEROS AUXILIOS ",IF(O204=CURSOS!$D$7,"DIPLOMADO DE UNIDAD DE CUIDADOS INTENSIVOS (UCI)",IF(O204=CURSOS!$D$8,"MODELO DE ATENCION PARA EVENTOS EMERGENTES EN SALUD MENTAL (CODIGO VERDE)",IF(O204=CURSOS!$D$9,"HUMANIZACION EN EL SERVICIO DE LA SALUD Y BUENAS PRACTICAS EN PACIENTE ",IF(O204=CURSOS!$D$10,"CLINICA DE HERIDAS ",IF(O204=CURSOS!$D$11,"TOMA DE CITOLOGIA CERVICO VAGINAL ",IF(O204=CURSOS!$D$12,"SOPORTE CARDIOVASCULAR AVANZADO (ACLS) ",IF(O204=CURSOS!$D$13,"CAMILLERO ",IF(O204=CURSOS!$D$14,"TOMA DE MUESTRAS Y LABORATORIO ",IF(O204=CURSOS!$D$15,"SOPORTE VITAL BASICO (BLS)",IF(O204=CURSOS!$D$16,"ATENCION A VICTIMAS DE VIOLENCIA SEXUAL ",IF(O204=CURSOS!$D$17,"PROGRAMADO AMPLIADO DE INMUNIZACION (PAI - COVID 19)",IF(O204=CURSOS!$D$18,"ATENCION INTEGRAL EN ENFERMEDADES PREVALENTES EN PRIMERA INFANCIA (AIEPI)",IF(O204=CURSOS!$D$19,"ADMINISTRACION DE MEDICAMENTOS, INYECTOLOGIA  Y CANALIZACION ",IF(O204=CURSOS!$D$20,"OPERADOR DE VEHICULOS DE EMERGENCIA (OVE)",IF(O204=CURSOS!$D$21,"INSTITUCIONES AMIGAS DE LA MUJER Y LA INFANCIA (IAMI)",IF(O204=CURSOS!$D$22,"CUIDADO DEL DONANTE DE ORGANOS",IF(O204=CURSOS!$D$23,"ATENCION A VICTIMAS POR VIOLENCIA DE GENERO",IF(O204=CURSOS!$D$24,"IGUALDAD DE GENERO EN LA SALUD",IF(O204=CURSOS!$D$25,"BRIGADA DE EMERGENCIA",IF(O204=CURSOS!$D$26,"MANEJO DEL DOLOR Y CUIDADOS PALIATIVOS",IF(O204=CURSOS!$D$27,"TOMA DE MUESTRAS Y LABORATORIO POCT",IF(O204=CURSOS!$D$28,"IMPLANTE SUBDERMICO DE DISPOSITIVO INTRAUTERINO",IF(O204=CURSOS!$D$29,"SALUD MENTAL",IF(O204=CURSOS!$D$30,"PRIMEROS AUXILIOS PSICOLOGICOS",IF(O204=CURSOS!$D$31,"ATENCION A VICTIMAS POR CONFLICTO ARMADO",IF(O204=CURSOS!$D$32,"MANIPULACION DE ALIMENTOS Y BPM",IF(O204=CURSOS!$D$33,"ATENCION A PERSONAS CON DISCAPACIDAD",IF(O204=CURSOS!$D$34,"CUIDADO INTEGRAL DEL PACIENTE ADULTO",IF(O204=CURSOS!$D$35,"MANEJO DEFENSIVO",IF(O204=CURSOS!$D$36,"SOPORTE CARDIOVASCULAR AVANZADO NEONATAL",IF(O204=CURSOS!$D$37,"SEGURIDAD DEL PACIENTE",IF(O204=CURSOS!$D$38,"MANEJO DE RESIDUOS HOSPITALARIOS"))))))))))))))))))))))))))))))))))))</f>
        <v>0</v>
      </c>
      <c r="V204" s="46" t="str">
        <f t="shared" si="9"/>
        <v xml:space="preserve">   </v>
      </c>
      <c r="W204" s="46" t="str">
        <f t="shared" si="10"/>
        <v xml:space="preserve">   </v>
      </c>
      <c r="X204" s="46" t="str">
        <f t="shared" si="11"/>
        <v xml:space="preserve">   --</v>
      </c>
    </row>
    <row r="205" spans="1:24" x14ac:dyDescent="0.2">
      <c r="A205" s="68">
        <v>204</v>
      </c>
      <c r="I205" s="50"/>
      <c r="P205" s="44"/>
      <c r="T205" s="39"/>
      <c r="U205" s="46" t="b">
        <f>IF(O205=CURSOS!$D$3,"DIPLOMADO EN ATENCION PRE-HOSPITALARIA",IF(O205=CURSOS!$D$4,"ACOMPAÑAMIENTO Y MANEJO DEL DUELO",IF(O205=CURSOS!$D$5,"ATENCION A VICTIMAS DE ATAQUE CON AGENTES QUIMICOS ",IF(O205=CURSOS!$D$6,"PRIMEROS AUXILIOS ",IF(O205=CURSOS!$D$7,"DIPLOMADO DE UNIDAD DE CUIDADOS INTENSIVOS (UCI)",IF(O205=CURSOS!$D$8,"MODELO DE ATENCION PARA EVENTOS EMERGENTES EN SALUD MENTAL (CODIGO VERDE)",IF(O205=CURSOS!$D$9,"HUMANIZACION EN EL SERVICIO DE LA SALUD Y BUENAS PRACTICAS EN PACIENTE ",IF(O205=CURSOS!$D$10,"CLINICA DE HERIDAS ",IF(O205=CURSOS!$D$11,"TOMA DE CITOLOGIA CERVICO VAGINAL ",IF(O205=CURSOS!$D$12,"SOPORTE CARDIOVASCULAR AVANZADO (ACLS) ",IF(O205=CURSOS!$D$13,"CAMILLERO ",IF(O205=CURSOS!$D$14,"TOMA DE MUESTRAS Y LABORATORIO ",IF(O205=CURSOS!$D$15,"SOPORTE VITAL BASICO (BLS)",IF(O205=CURSOS!$D$16,"ATENCION A VICTIMAS DE VIOLENCIA SEXUAL ",IF(O205=CURSOS!$D$17,"PROGRAMADO AMPLIADO DE INMUNIZACION (PAI - COVID 19)",IF(O205=CURSOS!$D$18,"ATENCION INTEGRAL EN ENFERMEDADES PREVALENTES EN PRIMERA INFANCIA (AIEPI)",IF(O205=CURSOS!$D$19,"ADMINISTRACION DE MEDICAMENTOS, INYECTOLOGIA  Y CANALIZACION ",IF(O205=CURSOS!$D$20,"OPERADOR DE VEHICULOS DE EMERGENCIA (OVE)",IF(O205=CURSOS!$D$21,"INSTITUCIONES AMIGAS DE LA MUJER Y LA INFANCIA (IAMI)",IF(O205=CURSOS!$D$22,"CUIDADO DEL DONANTE DE ORGANOS",IF(O205=CURSOS!$D$23,"ATENCION A VICTIMAS POR VIOLENCIA DE GENERO",IF(O205=CURSOS!$D$24,"IGUALDAD DE GENERO EN LA SALUD",IF(O205=CURSOS!$D$25,"BRIGADA DE EMERGENCIA",IF(O205=CURSOS!$D$26,"MANEJO DEL DOLOR Y CUIDADOS PALIATIVOS",IF(O205=CURSOS!$D$27,"TOMA DE MUESTRAS Y LABORATORIO POCT",IF(O205=CURSOS!$D$28,"IMPLANTE SUBDERMICO DE DISPOSITIVO INTRAUTERINO",IF(O205=CURSOS!$D$29,"SALUD MENTAL",IF(O205=CURSOS!$D$30,"PRIMEROS AUXILIOS PSICOLOGICOS",IF(O205=CURSOS!$D$31,"ATENCION A VICTIMAS POR CONFLICTO ARMADO",IF(O205=CURSOS!$D$32,"MANIPULACION DE ALIMENTOS Y BPM",IF(O205=CURSOS!$D$33,"ATENCION A PERSONAS CON DISCAPACIDAD",IF(O205=CURSOS!$D$34,"CUIDADO INTEGRAL DEL PACIENTE ADULTO",IF(O205=CURSOS!$D$35,"MANEJO DEFENSIVO",IF(O205=CURSOS!$D$36,"SOPORTE CARDIOVASCULAR AVANZADO NEONATAL",IF(O205=CURSOS!$D$37,"SEGURIDAD DEL PACIENTE",IF(O205=CURSOS!$D$38,"MANEJO DE RESIDUOS HOSPITALARIOS"))))))))))))))))))))))))))))))))))))</f>
        <v>0</v>
      </c>
      <c r="V205" s="46" t="str">
        <f t="shared" si="9"/>
        <v xml:space="preserve">   </v>
      </c>
      <c r="W205" s="46" t="str">
        <f t="shared" si="10"/>
        <v xml:space="preserve">   </v>
      </c>
      <c r="X205" s="46" t="str">
        <f t="shared" si="11"/>
        <v xml:space="preserve">   --</v>
      </c>
    </row>
    <row r="206" spans="1:24" x14ac:dyDescent="0.2">
      <c r="A206" s="68">
        <v>205</v>
      </c>
      <c r="I206" s="50"/>
      <c r="P206" s="44"/>
      <c r="T206" s="39"/>
      <c r="U206" s="46" t="b">
        <f>IF(O206=CURSOS!$D$3,"DIPLOMADO EN ATENCION PRE-HOSPITALARIA",IF(O206=CURSOS!$D$4,"ACOMPAÑAMIENTO Y MANEJO DEL DUELO",IF(O206=CURSOS!$D$5,"ATENCION A VICTIMAS DE ATAQUE CON AGENTES QUIMICOS ",IF(O206=CURSOS!$D$6,"PRIMEROS AUXILIOS ",IF(O206=CURSOS!$D$7,"DIPLOMADO DE UNIDAD DE CUIDADOS INTENSIVOS (UCI)",IF(O206=CURSOS!$D$8,"MODELO DE ATENCION PARA EVENTOS EMERGENTES EN SALUD MENTAL (CODIGO VERDE)",IF(O206=CURSOS!$D$9,"HUMANIZACION EN EL SERVICIO DE LA SALUD Y BUENAS PRACTICAS EN PACIENTE ",IF(O206=CURSOS!$D$10,"CLINICA DE HERIDAS ",IF(O206=CURSOS!$D$11,"TOMA DE CITOLOGIA CERVICO VAGINAL ",IF(O206=CURSOS!$D$12,"SOPORTE CARDIOVASCULAR AVANZADO (ACLS) ",IF(O206=CURSOS!$D$13,"CAMILLERO ",IF(O206=CURSOS!$D$14,"TOMA DE MUESTRAS Y LABORATORIO ",IF(O206=CURSOS!$D$15,"SOPORTE VITAL BASICO (BLS)",IF(O206=CURSOS!$D$16,"ATENCION A VICTIMAS DE VIOLENCIA SEXUAL ",IF(O206=CURSOS!$D$17,"PROGRAMADO AMPLIADO DE INMUNIZACION (PAI - COVID 19)",IF(O206=CURSOS!$D$18,"ATENCION INTEGRAL EN ENFERMEDADES PREVALENTES EN PRIMERA INFANCIA (AIEPI)",IF(O206=CURSOS!$D$19,"ADMINISTRACION DE MEDICAMENTOS, INYECTOLOGIA  Y CANALIZACION ",IF(O206=CURSOS!$D$20,"OPERADOR DE VEHICULOS DE EMERGENCIA (OVE)",IF(O206=CURSOS!$D$21,"INSTITUCIONES AMIGAS DE LA MUJER Y LA INFANCIA (IAMI)",IF(O206=CURSOS!$D$22,"CUIDADO DEL DONANTE DE ORGANOS",IF(O206=CURSOS!$D$23,"ATENCION A VICTIMAS POR VIOLENCIA DE GENERO",IF(O206=CURSOS!$D$24,"IGUALDAD DE GENERO EN LA SALUD",IF(O206=CURSOS!$D$25,"BRIGADA DE EMERGENCIA",IF(O206=CURSOS!$D$26,"MANEJO DEL DOLOR Y CUIDADOS PALIATIVOS",IF(O206=CURSOS!$D$27,"TOMA DE MUESTRAS Y LABORATORIO POCT",IF(O206=CURSOS!$D$28,"IMPLANTE SUBDERMICO DE DISPOSITIVO INTRAUTERINO",IF(O206=CURSOS!$D$29,"SALUD MENTAL",IF(O206=CURSOS!$D$30,"PRIMEROS AUXILIOS PSICOLOGICOS",IF(O206=CURSOS!$D$31,"ATENCION A VICTIMAS POR CONFLICTO ARMADO",IF(O206=CURSOS!$D$32,"MANIPULACION DE ALIMENTOS Y BPM",IF(O206=CURSOS!$D$33,"ATENCION A PERSONAS CON DISCAPACIDAD",IF(O206=CURSOS!$D$34,"CUIDADO INTEGRAL DEL PACIENTE ADULTO",IF(O206=CURSOS!$D$35,"MANEJO DEFENSIVO",IF(O206=CURSOS!$D$36,"SOPORTE CARDIOVASCULAR AVANZADO NEONATAL",IF(O206=CURSOS!$D$37,"SEGURIDAD DEL PACIENTE",IF(O206=CURSOS!$D$38,"MANEJO DE RESIDUOS HOSPITALARIOS"))))))))))))))))))))))))))))))))))))</f>
        <v>0</v>
      </c>
      <c r="V206" s="46" t="str">
        <f t="shared" si="9"/>
        <v xml:space="preserve">   </v>
      </c>
      <c r="W206" s="46" t="str">
        <f t="shared" si="10"/>
        <v xml:space="preserve">   </v>
      </c>
      <c r="X206" s="46" t="str">
        <f t="shared" si="11"/>
        <v xml:space="preserve">   --</v>
      </c>
    </row>
    <row r="207" spans="1:24" x14ac:dyDescent="0.2">
      <c r="A207" s="68">
        <v>206</v>
      </c>
      <c r="I207" s="44"/>
      <c r="P207" s="44"/>
      <c r="T207" s="39"/>
      <c r="U207" s="46" t="b">
        <f>IF(O207=CURSOS!$D$3,"DIPLOMADO EN ATENCION PRE-HOSPITALARIA",IF(O207=CURSOS!$D$4,"ACOMPAÑAMIENTO Y MANEJO DEL DUELO",IF(O207=CURSOS!$D$5,"ATENCION A VICTIMAS DE ATAQUE CON AGENTES QUIMICOS ",IF(O207=CURSOS!$D$6,"PRIMEROS AUXILIOS ",IF(O207=CURSOS!$D$7,"DIPLOMADO DE UNIDAD DE CUIDADOS INTENSIVOS (UCI)",IF(O207=CURSOS!$D$8,"MODELO DE ATENCION PARA EVENTOS EMERGENTES EN SALUD MENTAL (CODIGO VERDE)",IF(O207=CURSOS!$D$9,"HUMANIZACION EN EL SERVICIO DE LA SALUD Y BUENAS PRACTICAS EN PACIENTE ",IF(O207=CURSOS!$D$10,"CLINICA DE HERIDAS ",IF(O207=CURSOS!$D$11,"TOMA DE CITOLOGIA CERVICO VAGINAL ",IF(O207=CURSOS!$D$12,"SOPORTE CARDIOVASCULAR AVANZADO (ACLS) ",IF(O207=CURSOS!$D$13,"CAMILLERO ",IF(O207=CURSOS!$D$14,"TOMA DE MUESTRAS Y LABORATORIO ",IF(O207=CURSOS!$D$15,"SOPORTE VITAL BASICO (BLS)",IF(O207=CURSOS!$D$16,"ATENCION A VICTIMAS DE VIOLENCIA SEXUAL ",IF(O207=CURSOS!$D$17,"PROGRAMADO AMPLIADO DE INMUNIZACION (PAI - COVID 19)",IF(O207=CURSOS!$D$18,"ATENCION INTEGRAL EN ENFERMEDADES PREVALENTES EN PRIMERA INFANCIA (AIEPI)",IF(O207=CURSOS!$D$19,"ADMINISTRACION DE MEDICAMENTOS, INYECTOLOGIA  Y CANALIZACION ",IF(O207=CURSOS!$D$20,"OPERADOR DE VEHICULOS DE EMERGENCIA (OVE)",IF(O207=CURSOS!$D$21,"INSTITUCIONES AMIGAS DE LA MUJER Y LA INFANCIA (IAMI)",IF(O207=CURSOS!$D$22,"CUIDADO DEL DONANTE DE ORGANOS",IF(O207=CURSOS!$D$23,"ATENCION A VICTIMAS POR VIOLENCIA DE GENERO",IF(O207=CURSOS!$D$24,"IGUALDAD DE GENERO EN LA SALUD",IF(O207=CURSOS!$D$25,"BRIGADA DE EMERGENCIA",IF(O207=CURSOS!$D$26,"MANEJO DEL DOLOR Y CUIDADOS PALIATIVOS",IF(O207=CURSOS!$D$27,"TOMA DE MUESTRAS Y LABORATORIO POCT",IF(O207=CURSOS!$D$28,"IMPLANTE SUBDERMICO DE DISPOSITIVO INTRAUTERINO",IF(O207=CURSOS!$D$29,"SALUD MENTAL",IF(O207=CURSOS!$D$30,"PRIMEROS AUXILIOS PSICOLOGICOS",IF(O207=CURSOS!$D$31,"ATENCION A VICTIMAS POR CONFLICTO ARMADO",IF(O207=CURSOS!$D$32,"MANIPULACION DE ALIMENTOS Y BPM",IF(O207=CURSOS!$D$33,"ATENCION A PERSONAS CON DISCAPACIDAD",IF(O207=CURSOS!$D$34,"CUIDADO INTEGRAL DEL PACIENTE ADULTO",IF(O207=CURSOS!$D$35,"MANEJO DEFENSIVO",IF(O207=CURSOS!$D$36,"SOPORTE CARDIOVASCULAR AVANZADO NEONATAL",IF(O207=CURSOS!$D$37,"SEGURIDAD DEL PACIENTE",IF(O207=CURSOS!$D$38,"MANEJO DE RESIDUOS HOSPITALARIOS"))))))))))))))))))))))))))))))))))))</f>
        <v>0</v>
      </c>
      <c r="V207" s="46" t="str">
        <f t="shared" si="9"/>
        <v xml:space="preserve">   </v>
      </c>
      <c r="W207" s="46" t="str">
        <f t="shared" si="10"/>
        <v xml:space="preserve">   </v>
      </c>
      <c r="X207" s="46" t="str">
        <f t="shared" si="11"/>
        <v xml:space="preserve">   --</v>
      </c>
    </row>
    <row r="208" spans="1:24" x14ac:dyDescent="0.2">
      <c r="A208" s="68">
        <v>207</v>
      </c>
      <c r="I208" s="44"/>
      <c r="P208" s="44"/>
      <c r="T208" s="39"/>
      <c r="U208" s="46" t="b">
        <f>IF(O208=CURSOS!$D$3,"DIPLOMADO EN ATENCION PRE-HOSPITALARIA",IF(O208=CURSOS!$D$4,"ACOMPAÑAMIENTO Y MANEJO DEL DUELO",IF(O208=CURSOS!$D$5,"ATENCION A VICTIMAS DE ATAQUE CON AGENTES QUIMICOS ",IF(O208=CURSOS!$D$6,"PRIMEROS AUXILIOS ",IF(O208=CURSOS!$D$7,"DIPLOMADO DE UNIDAD DE CUIDADOS INTENSIVOS (UCI)",IF(O208=CURSOS!$D$8,"MODELO DE ATENCION PARA EVENTOS EMERGENTES EN SALUD MENTAL (CODIGO VERDE)",IF(O208=CURSOS!$D$9,"HUMANIZACION EN EL SERVICIO DE LA SALUD Y BUENAS PRACTICAS EN PACIENTE ",IF(O208=CURSOS!$D$10,"CLINICA DE HERIDAS ",IF(O208=CURSOS!$D$11,"TOMA DE CITOLOGIA CERVICO VAGINAL ",IF(O208=CURSOS!$D$12,"SOPORTE CARDIOVASCULAR AVANZADO (ACLS) ",IF(O208=CURSOS!$D$13,"CAMILLERO ",IF(O208=CURSOS!$D$14,"TOMA DE MUESTRAS Y LABORATORIO ",IF(O208=CURSOS!$D$15,"SOPORTE VITAL BASICO (BLS)",IF(O208=CURSOS!$D$16,"ATENCION A VICTIMAS DE VIOLENCIA SEXUAL ",IF(O208=CURSOS!$D$17,"PROGRAMADO AMPLIADO DE INMUNIZACION (PAI - COVID 19)",IF(O208=CURSOS!$D$18,"ATENCION INTEGRAL EN ENFERMEDADES PREVALENTES EN PRIMERA INFANCIA (AIEPI)",IF(O208=CURSOS!$D$19,"ADMINISTRACION DE MEDICAMENTOS, INYECTOLOGIA  Y CANALIZACION ",IF(O208=CURSOS!$D$20,"OPERADOR DE VEHICULOS DE EMERGENCIA (OVE)",IF(O208=CURSOS!$D$21,"INSTITUCIONES AMIGAS DE LA MUJER Y LA INFANCIA (IAMI)",IF(O208=CURSOS!$D$22,"CUIDADO DEL DONANTE DE ORGANOS",IF(O208=CURSOS!$D$23,"ATENCION A VICTIMAS POR VIOLENCIA DE GENERO",IF(O208=CURSOS!$D$24,"IGUALDAD DE GENERO EN LA SALUD",IF(O208=CURSOS!$D$25,"BRIGADA DE EMERGENCIA",IF(O208=CURSOS!$D$26,"MANEJO DEL DOLOR Y CUIDADOS PALIATIVOS",IF(O208=CURSOS!$D$27,"TOMA DE MUESTRAS Y LABORATORIO POCT",IF(O208=CURSOS!$D$28,"IMPLANTE SUBDERMICO DE DISPOSITIVO INTRAUTERINO",IF(O208=CURSOS!$D$29,"SALUD MENTAL",IF(O208=CURSOS!$D$30,"PRIMEROS AUXILIOS PSICOLOGICOS",IF(O208=CURSOS!$D$31,"ATENCION A VICTIMAS POR CONFLICTO ARMADO",IF(O208=CURSOS!$D$32,"MANIPULACION DE ALIMENTOS Y BPM",IF(O208=CURSOS!$D$33,"ATENCION A PERSONAS CON DISCAPACIDAD",IF(O208=CURSOS!$D$34,"CUIDADO INTEGRAL DEL PACIENTE ADULTO",IF(O208=CURSOS!$D$35,"MANEJO DEFENSIVO",IF(O208=CURSOS!$D$36,"SOPORTE CARDIOVASCULAR AVANZADO NEONATAL",IF(O208=CURSOS!$D$37,"SEGURIDAD DEL PACIENTE",IF(O208=CURSOS!$D$38,"MANEJO DE RESIDUOS HOSPITALARIOS"))))))))))))))))))))))))))))))))))))</f>
        <v>0</v>
      </c>
      <c r="V208" s="46" t="str">
        <f t="shared" si="9"/>
        <v xml:space="preserve">   </v>
      </c>
      <c r="W208" s="46" t="str">
        <f t="shared" si="10"/>
        <v xml:space="preserve">   </v>
      </c>
      <c r="X208" s="46" t="str">
        <f t="shared" si="11"/>
        <v xml:space="preserve">   --</v>
      </c>
    </row>
    <row r="209" spans="1:24" x14ac:dyDescent="0.2">
      <c r="A209" s="68">
        <v>208</v>
      </c>
      <c r="I209" s="44"/>
      <c r="P209" s="44"/>
      <c r="T209" s="39"/>
      <c r="U209" s="46" t="b">
        <f>IF(O209=CURSOS!$D$3,"DIPLOMADO EN ATENCION PRE-HOSPITALARIA",IF(O209=CURSOS!$D$4,"ACOMPAÑAMIENTO Y MANEJO DEL DUELO",IF(O209=CURSOS!$D$5,"ATENCION A VICTIMAS DE ATAQUE CON AGENTES QUIMICOS ",IF(O209=CURSOS!$D$6,"PRIMEROS AUXILIOS ",IF(O209=CURSOS!$D$7,"DIPLOMADO DE UNIDAD DE CUIDADOS INTENSIVOS (UCI)",IF(O209=CURSOS!$D$8,"MODELO DE ATENCION PARA EVENTOS EMERGENTES EN SALUD MENTAL (CODIGO VERDE)",IF(O209=CURSOS!$D$9,"HUMANIZACION EN EL SERVICIO DE LA SALUD Y BUENAS PRACTICAS EN PACIENTE ",IF(O209=CURSOS!$D$10,"CLINICA DE HERIDAS ",IF(O209=CURSOS!$D$11,"TOMA DE CITOLOGIA CERVICO VAGINAL ",IF(O209=CURSOS!$D$12,"SOPORTE CARDIOVASCULAR AVANZADO (ACLS) ",IF(O209=CURSOS!$D$13,"CAMILLERO ",IF(O209=CURSOS!$D$14,"TOMA DE MUESTRAS Y LABORATORIO ",IF(O209=CURSOS!$D$15,"SOPORTE VITAL BASICO (BLS)",IF(O209=CURSOS!$D$16,"ATENCION A VICTIMAS DE VIOLENCIA SEXUAL ",IF(O209=CURSOS!$D$17,"PROGRAMADO AMPLIADO DE INMUNIZACION (PAI - COVID 19)",IF(O209=CURSOS!$D$18,"ATENCION INTEGRAL EN ENFERMEDADES PREVALENTES EN PRIMERA INFANCIA (AIEPI)",IF(O209=CURSOS!$D$19,"ADMINISTRACION DE MEDICAMENTOS, INYECTOLOGIA  Y CANALIZACION ",IF(O209=CURSOS!$D$20,"OPERADOR DE VEHICULOS DE EMERGENCIA (OVE)",IF(O209=CURSOS!$D$21,"INSTITUCIONES AMIGAS DE LA MUJER Y LA INFANCIA (IAMI)",IF(O209=CURSOS!$D$22,"CUIDADO DEL DONANTE DE ORGANOS",IF(O209=CURSOS!$D$23,"ATENCION A VICTIMAS POR VIOLENCIA DE GENERO",IF(O209=CURSOS!$D$24,"IGUALDAD DE GENERO EN LA SALUD",IF(O209=CURSOS!$D$25,"BRIGADA DE EMERGENCIA",IF(O209=CURSOS!$D$26,"MANEJO DEL DOLOR Y CUIDADOS PALIATIVOS",IF(O209=CURSOS!$D$27,"TOMA DE MUESTRAS Y LABORATORIO POCT",IF(O209=CURSOS!$D$28,"IMPLANTE SUBDERMICO DE DISPOSITIVO INTRAUTERINO",IF(O209=CURSOS!$D$29,"SALUD MENTAL",IF(O209=CURSOS!$D$30,"PRIMEROS AUXILIOS PSICOLOGICOS",IF(O209=CURSOS!$D$31,"ATENCION A VICTIMAS POR CONFLICTO ARMADO",IF(O209=CURSOS!$D$32,"MANIPULACION DE ALIMENTOS Y BPM",IF(O209=CURSOS!$D$33,"ATENCION A PERSONAS CON DISCAPACIDAD",IF(O209=CURSOS!$D$34,"CUIDADO INTEGRAL DEL PACIENTE ADULTO",IF(O209=CURSOS!$D$35,"MANEJO DEFENSIVO",IF(O209=CURSOS!$D$36,"SOPORTE CARDIOVASCULAR AVANZADO NEONATAL",IF(O209=CURSOS!$D$37,"SEGURIDAD DEL PACIENTE",IF(O209=CURSOS!$D$38,"MANEJO DE RESIDUOS HOSPITALARIOS"))))))))))))))))))))))))))))))))))))</f>
        <v>0</v>
      </c>
      <c r="V209" s="46" t="str">
        <f t="shared" si="9"/>
        <v xml:space="preserve">   </v>
      </c>
      <c r="W209" s="46" t="str">
        <f t="shared" si="10"/>
        <v xml:space="preserve">   </v>
      </c>
      <c r="X209" s="46" t="str">
        <f t="shared" si="11"/>
        <v xml:space="preserve">   --</v>
      </c>
    </row>
    <row r="210" spans="1:24" x14ac:dyDescent="0.2">
      <c r="A210" s="68">
        <v>209</v>
      </c>
      <c r="I210" s="44"/>
      <c r="T210" s="39"/>
      <c r="U210" s="46" t="b">
        <f>IF(O210=CURSOS!$D$3,"DIPLOMADO EN ATENCION PRE-HOSPITALARIA",IF(O210=CURSOS!$D$4,"ACOMPAÑAMIENTO Y MANEJO DEL DUELO",IF(O210=CURSOS!$D$5,"ATENCION A VICTIMAS DE ATAQUE CON AGENTES QUIMICOS ",IF(O210=CURSOS!$D$6,"PRIMEROS AUXILIOS ",IF(O210=CURSOS!$D$7,"DIPLOMADO DE UNIDAD DE CUIDADOS INTENSIVOS (UCI)",IF(O210=CURSOS!$D$8,"MODELO DE ATENCION PARA EVENTOS EMERGENTES EN SALUD MENTAL (CODIGO VERDE)",IF(O210=CURSOS!$D$9,"HUMANIZACION EN EL SERVICIO DE LA SALUD Y BUENAS PRACTICAS EN PACIENTE ",IF(O210=CURSOS!$D$10,"CLINICA DE HERIDAS ",IF(O210=CURSOS!$D$11,"TOMA DE CITOLOGIA CERVICO VAGINAL ",IF(O210=CURSOS!$D$12,"SOPORTE CARDIOVASCULAR AVANZADO (ACLS) ",IF(O210=CURSOS!$D$13,"CAMILLERO ",IF(O210=CURSOS!$D$14,"TOMA DE MUESTRAS Y LABORATORIO ",IF(O210=CURSOS!$D$15,"SOPORTE VITAL BASICO (BLS)",IF(O210=CURSOS!$D$16,"ATENCION A VICTIMAS DE VIOLENCIA SEXUAL ",IF(O210=CURSOS!$D$17,"PROGRAMADO AMPLIADO DE INMUNIZACION (PAI - COVID 19)",IF(O210=CURSOS!$D$18,"ATENCION INTEGRAL EN ENFERMEDADES PREVALENTES EN PRIMERA INFANCIA (AIEPI)",IF(O210=CURSOS!$D$19,"ADMINISTRACION DE MEDICAMENTOS, INYECTOLOGIA  Y CANALIZACION ",IF(O210=CURSOS!$D$20,"OPERADOR DE VEHICULOS DE EMERGENCIA (OVE)",IF(O210=CURSOS!$D$21,"INSTITUCIONES AMIGAS DE LA MUJER Y LA INFANCIA (IAMI)",IF(O210=CURSOS!$D$22,"CUIDADO DEL DONANTE DE ORGANOS",IF(O210=CURSOS!$D$23,"ATENCION A VICTIMAS POR VIOLENCIA DE GENERO",IF(O210=CURSOS!$D$24,"IGUALDAD DE GENERO EN LA SALUD",IF(O210=CURSOS!$D$25,"BRIGADA DE EMERGENCIA",IF(O210=CURSOS!$D$26,"MANEJO DEL DOLOR Y CUIDADOS PALIATIVOS",IF(O210=CURSOS!$D$27,"TOMA DE MUESTRAS Y LABORATORIO POCT",IF(O210=CURSOS!$D$28,"IMPLANTE SUBDERMICO DE DISPOSITIVO INTRAUTERINO",IF(O210=CURSOS!$D$29,"SALUD MENTAL",IF(O210=CURSOS!$D$30,"PRIMEROS AUXILIOS PSICOLOGICOS",IF(O210=CURSOS!$D$31,"ATENCION A VICTIMAS POR CONFLICTO ARMADO",IF(O210=CURSOS!$D$32,"MANIPULACION DE ALIMENTOS Y BPM",IF(O210=CURSOS!$D$33,"ATENCION A PERSONAS CON DISCAPACIDAD",IF(O210=CURSOS!$D$34,"CUIDADO INTEGRAL DEL PACIENTE ADULTO",IF(O210=CURSOS!$D$35,"MANEJO DEFENSIVO",IF(O210=CURSOS!$D$36,"SOPORTE CARDIOVASCULAR AVANZADO NEONATAL",IF(O210=CURSOS!$D$37,"SEGURIDAD DEL PACIENTE",IF(O210=CURSOS!$D$38,"MANEJO DE RESIDUOS HOSPITALARIOS"))))))))))))))))))))))))))))))))))))</f>
        <v>0</v>
      </c>
      <c r="V210" s="46" t="str">
        <f t="shared" si="9"/>
        <v xml:space="preserve">   </v>
      </c>
      <c r="W210" s="46" t="str">
        <f t="shared" si="10"/>
        <v xml:space="preserve">   </v>
      </c>
      <c r="X210" s="46" t="str">
        <f t="shared" si="11"/>
        <v xml:space="preserve">   --</v>
      </c>
    </row>
    <row r="211" spans="1:24" x14ac:dyDescent="0.2">
      <c r="A211" s="68">
        <v>210</v>
      </c>
      <c r="I211" s="44"/>
      <c r="T211" s="39"/>
      <c r="U211" s="46" t="b">
        <f>IF(O211=CURSOS!$D$3,"DIPLOMADO EN ATENCION PRE-HOSPITALARIA",IF(O211=CURSOS!$D$4,"ACOMPAÑAMIENTO Y MANEJO DEL DUELO",IF(O211=CURSOS!$D$5,"ATENCION A VICTIMAS DE ATAQUE CON AGENTES QUIMICOS ",IF(O211=CURSOS!$D$6,"PRIMEROS AUXILIOS ",IF(O211=CURSOS!$D$7,"DIPLOMADO DE UNIDAD DE CUIDADOS INTENSIVOS (UCI)",IF(O211=CURSOS!$D$8,"MODELO DE ATENCION PARA EVENTOS EMERGENTES EN SALUD MENTAL (CODIGO VERDE)",IF(O211=CURSOS!$D$9,"HUMANIZACION EN EL SERVICIO DE LA SALUD Y BUENAS PRACTICAS EN PACIENTE ",IF(O211=CURSOS!$D$10,"CLINICA DE HERIDAS ",IF(O211=CURSOS!$D$11,"TOMA DE CITOLOGIA CERVICO VAGINAL ",IF(O211=CURSOS!$D$12,"SOPORTE CARDIOVASCULAR AVANZADO (ACLS) ",IF(O211=CURSOS!$D$13,"CAMILLERO ",IF(O211=CURSOS!$D$14,"TOMA DE MUESTRAS Y LABORATORIO ",IF(O211=CURSOS!$D$15,"SOPORTE VITAL BASICO (BLS)",IF(O211=CURSOS!$D$16,"ATENCION A VICTIMAS DE VIOLENCIA SEXUAL ",IF(O211=CURSOS!$D$17,"PROGRAMADO AMPLIADO DE INMUNIZACION (PAI - COVID 19)",IF(O211=CURSOS!$D$18,"ATENCION INTEGRAL EN ENFERMEDADES PREVALENTES EN PRIMERA INFANCIA (AIEPI)",IF(O211=CURSOS!$D$19,"ADMINISTRACION DE MEDICAMENTOS, INYECTOLOGIA  Y CANALIZACION ",IF(O211=CURSOS!$D$20,"OPERADOR DE VEHICULOS DE EMERGENCIA (OVE)",IF(O211=CURSOS!$D$21,"INSTITUCIONES AMIGAS DE LA MUJER Y LA INFANCIA (IAMI)",IF(O211=CURSOS!$D$22,"CUIDADO DEL DONANTE DE ORGANOS",IF(O211=CURSOS!$D$23,"ATENCION A VICTIMAS POR VIOLENCIA DE GENERO",IF(O211=CURSOS!$D$24,"IGUALDAD DE GENERO EN LA SALUD",IF(O211=CURSOS!$D$25,"BRIGADA DE EMERGENCIA",IF(O211=CURSOS!$D$26,"MANEJO DEL DOLOR Y CUIDADOS PALIATIVOS",IF(O211=CURSOS!$D$27,"TOMA DE MUESTRAS Y LABORATORIO POCT",IF(O211=CURSOS!$D$28,"IMPLANTE SUBDERMICO DE DISPOSITIVO INTRAUTERINO",IF(O211=CURSOS!$D$29,"SALUD MENTAL",IF(O211=CURSOS!$D$30,"PRIMEROS AUXILIOS PSICOLOGICOS",IF(O211=CURSOS!$D$31,"ATENCION A VICTIMAS POR CONFLICTO ARMADO",IF(O211=CURSOS!$D$32,"MANIPULACION DE ALIMENTOS Y BPM",IF(O211=CURSOS!$D$33,"ATENCION A PERSONAS CON DISCAPACIDAD",IF(O211=CURSOS!$D$34,"CUIDADO INTEGRAL DEL PACIENTE ADULTO",IF(O211=CURSOS!$D$35,"MANEJO DEFENSIVO",IF(O211=CURSOS!$D$36,"SOPORTE CARDIOVASCULAR AVANZADO NEONATAL",IF(O211=CURSOS!$D$37,"SEGURIDAD DEL PACIENTE",IF(O211=CURSOS!$D$38,"MANEJO DE RESIDUOS HOSPITALARIOS"))))))))))))))))))))))))))))))))))))</f>
        <v>0</v>
      </c>
      <c r="V211" s="46" t="str">
        <f t="shared" si="9"/>
        <v xml:space="preserve">   </v>
      </c>
      <c r="W211" s="46" t="str">
        <f t="shared" si="10"/>
        <v xml:space="preserve">   </v>
      </c>
      <c r="X211" s="46" t="str">
        <f t="shared" si="11"/>
        <v xml:space="preserve">   --</v>
      </c>
    </row>
    <row r="212" spans="1:24" x14ac:dyDescent="0.2">
      <c r="A212" s="68">
        <v>211</v>
      </c>
      <c r="T212" s="39"/>
      <c r="U212" s="46" t="b">
        <f>IF(O212=CURSOS!$D$3,"DIPLOMADO EN ATENCION PRE-HOSPITALARIA",IF(O212=CURSOS!$D$4,"ACOMPAÑAMIENTO Y MANEJO DEL DUELO",IF(O212=CURSOS!$D$5,"ATENCION A VICTIMAS DE ATAQUE CON AGENTES QUIMICOS ",IF(O212=CURSOS!$D$6,"PRIMEROS AUXILIOS ",IF(O212=CURSOS!$D$7,"DIPLOMADO DE UNIDAD DE CUIDADOS INTENSIVOS (UCI)",IF(O212=CURSOS!$D$8,"MODELO DE ATENCION PARA EVENTOS EMERGENTES EN SALUD MENTAL (CODIGO VERDE)",IF(O212=CURSOS!$D$9,"HUMANIZACION EN EL SERVICIO DE LA SALUD Y BUENAS PRACTICAS EN PACIENTE ",IF(O212=CURSOS!$D$10,"CLINICA DE HERIDAS ",IF(O212=CURSOS!$D$11,"TOMA DE CITOLOGIA CERVICO VAGINAL ",IF(O212=CURSOS!$D$12,"SOPORTE CARDIOVASCULAR AVANZADO (ACLS) ",IF(O212=CURSOS!$D$13,"CAMILLERO ",IF(O212=CURSOS!$D$14,"TOMA DE MUESTRAS Y LABORATORIO ",IF(O212=CURSOS!$D$15,"SOPORTE VITAL BASICO (BLS)",IF(O212=CURSOS!$D$16,"ATENCION A VICTIMAS DE VIOLENCIA SEXUAL ",IF(O212=CURSOS!$D$17,"PROGRAMADO AMPLIADO DE INMUNIZACION (PAI - COVID 19)",IF(O212=CURSOS!$D$18,"ATENCION INTEGRAL EN ENFERMEDADES PREVALENTES EN PRIMERA INFANCIA (AIEPI)",IF(O212=CURSOS!$D$19,"ADMINISTRACION DE MEDICAMENTOS, INYECTOLOGIA  Y CANALIZACION ",IF(O212=CURSOS!$D$20,"OPERADOR DE VEHICULOS DE EMERGENCIA (OVE)",IF(O212=CURSOS!$D$21,"INSTITUCIONES AMIGAS DE LA MUJER Y LA INFANCIA (IAMI)",IF(O212=CURSOS!$D$22,"CUIDADO DEL DONANTE DE ORGANOS",IF(O212=CURSOS!$D$23,"ATENCION A VICTIMAS POR VIOLENCIA DE GENERO",IF(O212=CURSOS!$D$24,"IGUALDAD DE GENERO EN LA SALUD",IF(O212=CURSOS!$D$25,"BRIGADA DE EMERGENCIA",IF(O212=CURSOS!$D$26,"MANEJO DEL DOLOR Y CUIDADOS PALIATIVOS",IF(O212=CURSOS!$D$27,"TOMA DE MUESTRAS Y LABORATORIO POCT",IF(O212=CURSOS!$D$28,"IMPLANTE SUBDERMICO DE DISPOSITIVO INTRAUTERINO",IF(O212=CURSOS!$D$29,"SALUD MENTAL",IF(O212=CURSOS!$D$30,"PRIMEROS AUXILIOS PSICOLOGICOS",IF(O212=CURSOS!$D$31,"ATENCION A VICTIMAS POR CONFLICTO ARMADO",IF(O212=CURSOS!$D$32,"MANIPULACION DE ALIMENTOS Y BPM",IF(O212=CURSOS!$D$33,"ATENCION A PERSONAS CON DISCAPACIDAD",IF(O212=CURSOS!$D$34,"CUIDADO INTEGRAL DEL PACIENTE ADULTO",IF(O212=CURSOS!$D$35,"MANEJO DEFENSIVO",IF(O212=CURSOS!$D$36,"SOPORTE CARDIOVASCULAR AVANZADO NEONATAL",IF(O212=CURSOS!$D$37,"SEGURIDAD DEL PACIENTE",IF(O212=CURSOS!$D$38,"MANEJO DE RESIDUOS HOSPITALARIOS"))))))))))))))))))))))))))))))))))))</f>
        <v>0</v>
      </c>
      <c r="V212" s="46" t="str">
        <f t="shared" si="9"/>
        <v xml:space="preserve">   </v>
      </c>
      <c r="W212" s="46" t="str">
        <f t="shared" si="10"/>
        <v xml:space="preserve">   </v>
      </c>
      <c r="X212" s="46" t="str">
        <f t="shared" si="11"/>
        <v xml:space="preserve">   --</v>
      </c>
    </row>
    <row r="213" spans="1:24" x14ac:dyDescent="0.2">
      <c r="A213" s="68">
        <v>212</v>
      </c>
      <c r="T213" s="39"/>
      <c r="U213" s="46" t="b">
        <f>IF(O213=CURSOS!$D$3,"DIPLOMADO EN ATENCION PRE-HOSPITALARIA",IF(O213=CURSOS!$D$4,"ACOMPAÑAMIENTO Y MANEJO DEL DUELO",IF(O213=CURSOS!$D$5,"ATENCION A VICTIMAS DE ATAQUE CON AGENTES QUIMICOS ",IF(O213=CURSOS!$D$6,"PRIMEROS AUXILIOS ",IF(O213=CURSOS!$D$7,"DIPLOMADO DE UNIDAD DE CUIDADOS INTENSIVOS (UCI)",IF(O213=CURSOS!$D$8,"MODELO DE ATENCION PARA EVENTOS EMERGENTES EN SALUD MENTAL (CODIGO VERDE)",IF(O213=CURSOS!$D$9,"HUMANIZACION EN EL SERVICIO DE LA SALUD Y BUENAS PRACTICAS EN PACIENTE ",IF(O213=CURSOS!$D$10,"CLINICA DE HERIDAS ",IF(O213=CURSOS!$D$11,"TOMA DE CITOLOGIA CERVICO VAGINAL ",IF(O213=CURSOS!$D$12,"SOPORTE CARDIOVASCULAR AVANZADO (ACLS) ",IF(O213=CURSOS!$D$13,"CAMILLERO ",IF(O213=CURSOS!$D$14,"TOMA DE MUESTRAS Y LABORATORIO ",IF(O213=CURSOS!$D$15,"SOPORTE VITAL BASICO (BLS)",IF(O213=CURSOS!$D$16,"ATENCION A VICTIMAS DE VIOLENCIA SEXUAL ",IF(O213=CURSOS!$D$17,"PROGRAMADO AMPLIADO DE INMUNIZACION (PAI - COVID 19)",IF(O213=CURSOS!$D$18,"ATENCION INTEGRAL EN ENFERMEDADES PREVALENTES EN PRIMERA INFANCIA (AIEPI)",IF(O213=CURSOS!$D$19,"ADMINISTRACION DE MEDICAMENTOS, INYECTOLOGIA  Y CANALIZACION ",IF(O213=CURSOS!$D$20,"OPERADOR DE VEHICULOS DE EMERGENCIA (OVE)",IF(O213=CURSOS!$D$21,"INSTITUCIONES AMIGAS DE LA MUJER Y LA INFANCIA (IAMI)",IF(O213=CURSOS!$D$22,"CUIDADO DEL DONANTE DE ORGANOS",IF(O213=CURSOS!$D$23,"ATENCION A VICTIMAS POR VIOLENCIA DE GENERO",IF(O213=CURSOS!$D$24,"IGUALDAD DE GENERO EN LA SALUD",IF(O213=CURSOS!$D$25,"BRIGADA DE EMERGENCIA",IF(O213=CURSOS!$D$26,"MANEJO DEL DOLOR Y CUIDADOS PALIATIVOS",IF(O213=CURSOS!$D$27,"TOMA DE MUESTRAS Y LABORATORIO POCT",IF(O213=CURSOS!$D$28,"IMPLANTE SUBDERMICO DE DISPOSITIVO INTRAUTERINO",IF(O213=CURSOS!$D$29,"SALUD MENTAL",IF(O213=CURSOS!$D$30,"PRIMEROS AUXILIOS PSICOLOGICOS",IF(O213=CURSOS!$D$31,"ATENCION A VICTIMAS POR CONFLICTO ARMADO",IF(O213=CURSOS!$D$32,"MANIPULACION DE ALIMENTOS Y BPM",IF(O213=CURSOS!$D$33,"ATENCION A PERSONAS CON DISCAPACIDAD",IF(O213=CURSOS!$D$34,"CUIDADO INTEGRAL DEL PACIENTE ADULTO",IF(O213=CURSOS!$D$35,"MANEJO DEFENSIVO",IF(O213=CURSOS!$D$36,"SOPORTE CARDIOVASCULAR AVANZADO NEONATAL",IF(O213=CURSOS!$D$37,"SEGURIDAD DEL PACIENTE",IF(O213=CURSOS!$D$38,"MANEJO DE RESIDUOS HOSPITALARIOS"))))))))))))))))))))))))))))))))))))</f>
        <v>0</v>
      </c>
      <c r="V213" s="46" t="str">
        <f t="shared" si="9"/>
        <v xml:space="preserve">   </v>
      </c>
      <c r="W213" s="46" t="str">
        <f t="shared" si="10"/>
        <v xml:space="preserve">   </v>
      </c>
      <c r="X213" s="46" t="str">
        <f t="shared" si="11"/>
        <v xml:space="preserve">   --</v>
      </c>
    </row>
    <row r="214" spans="1:24" x14ac:dyDescent="0.2">
      <c r="A214" s="68">
        <v>213</v>
      </c>
      <c r="T214" s="39"/>
      <c r="U214" s="46" t="b">
        <f>IF(O214=CURSOS!$D$3,"DIPLOMADO EN ATENCION PRE-HOSPITALARIA",IF(O214=CURSOS!$D$4,"ACOMPAÑAMIENTO Y MANEJO DEL DUELO",IF(O214=CURSOS!$D$5,"ATENCION A VICTIMAS DE ATAQUE CON AGENTES QUIMICOS ",IF(O214=CURSOS!$D$6,"PRIMEROS AUXILIOS ",IF(O214=CURSOS!$D$7,"DIPLOMADO DE UNIDAD DE CUIDADOS INTENSIVOS (UCI)",IF(O214=CURSOS!$D$8,"MODELO DE ATENCION PARA EVENTOS EMERGENTES EN SALUD MENTAL (CODIGO VERDE)",IF(O214=CURSOS!$D$9,"HUMANIZACION EN EL SERVICIO DE LA SALUD Y BUENAS PRACTICAS EN PACIENTE ",IF(O214=CURSOS!$D$10,"CLINICA DE HERIDAS ",IF(O214=CURSOS!$D$11,"TOMA DE CITOLOGIA CERVICO VAGINAL ",IF(O214=CURSOS!$D$12,"SOPORTE CARDIOVASCULAR AVANZADO (ACLS) ",IF(O214=CURSOS!$D$13,"CAMILLERO ",IF(O214=CURSOS!$D$14,"TOMA DE MUESTRAS Y LABORATORIO ",IF(O214=CURSOS!$D$15,"SOPORTE VITAL BASICO (BLS)",IF(O214=CURSOS!$D$16,"ATENCION A VICTIMAS DE VIOLENCIA SEXUAL ",IF(O214=CURSOS!$D$17,"PROGRAMADO AMPLIADO DE INMUNIZACION (PAI - COVID 19)",IF(O214=CURSOS!$D$18,"ATENCION INTEGRAL EN ENFERMEDADES PREVALENTES EN PRIMERA INFANCIA (AIEPI)",IF(O214=CURSOS!$D$19,"ADMINISTRACION DE MEDICAMENTOS, INYECTOLOGIA  Y CANALIZACION ",IF(O214=CURSOS!$D$20,"OPERADOR DE VEHICULOS DE EMERGENCIA (OVE)",IF(O214=CURSOS!$D$21,"INSTITUCIONES AMIGAS DE LA MUJER Y LA INFANCIA (IAMI)",IF(O214=CURSOS!$D$22,"CUIDADO DEL DONANTE DE ORGANOS",IF(O214=CURSOS!$D$23,"ATENCION A VICTIMAS POR VIOLENCIA DE GENERO",IF(O214=CURSOS!$D$24,"IGUALDAD DE GENERO EN LA SALUD",IF(O214=CURSOS!$D$25,"BRIGADA DE EMERGENCIA",IF(O214=CURSOS!$D$26,"MANEJO DEL DOLOR Y CUIDADOS PALIATIVOS",IF(O214=CURSOS!$D$27,"TOMA DE MUESTRAS Y LABORATORIO POCT",IF(O214=CURSOS!$D$28,"IMPLANTE SUBDERMICO DE DISPOSITIVO INTRAUTERINO",IF(O214=CURSOS!$D$29,"SALUD MENTAL",IF(O214=CURSOS!$D$30,"PRIMEROS AUXILIOS PSICOLOGICOS",IF(O214=CURSOS!$D$31,"ATENCION A VICTIMAS POR CONFLICTO ARMADO",IF(O214=CURSOS!$D$32,"MANIPULACION DE ALIMENTOS Y BPM",IF(O214=CURSOS!$D$33,"ATENCION A PERSONAS CON DISCAPACIDAD",IF(O214=CURSOS!$D$34,"CUIDADO INTEGRAL DEL PACIENTE ADULTO",IF(O214=CURSOS!$D$35,"MANEJO DEFENSIVO",IF(O214=CURSOS!$D$36,"SOPORTE CARDIOVASCULAR AVANZADO NEONATAL",IF(O214=CURSOS!$D$37,"SEGURIDAD DEL PACIENTE",IF(O214=CURSOS!$D$38,"MANEJO DE RESIDUOS HOSPITALARIOS"))))))))))))))))))))))))))))))))))))</f>
        <v>0</v>
      </c>
      <c r="V214" s="46" t="str">
        <f t="shared" si="9"/>
        <v xml:space="preserve">   </v>
      </c>
      <c r="W214" s="46" t="str">
        <f t="shared" si="10"/>
        <v xml:space="preserve">   </v>
      </c>
      <c r="X214" s="46" t="str">
        <f t="shared" si="11"/>
        <v xml:space="preserve">   --</v>
      </c>
    </row>
    <row r="215" spans="1:24" x14ac:dyDescent="0.2">
      <c r="A215" s="68">
        <v>214</v>
      </c>
      <c r="T215" s="39"/>
      <c r="U215" s="46" t="b">
        <f>IF(O215=CURSOS!$D$3,"DIPLOMADO EN ATENCION PRE-HOSPITALARIA",IF(O215=CURSOS!$D$4,"ACOMPAÑAMIENTO Y MANEJO DEL DUELO",IF(O215=CURSOS!$D$5,"ATENCION A VICTIMAS DE ATAQUE CON AGENTES QUIMICOS ",IF(O215=CURSOS!$D$6,"PRIMEROS AUXILIOS ",IF(O215=CURSOS!$D$7,"DIPLOMADO DE UNIDAD DE CUIDADOS INTENSIVOS (UCI)",IF(O215=CURSOS!$D$8,"MODELO DE ATENCION PARA EVENTOS EMERGENTES EN SALUD MENTAL (CODIGO VERDE)",IF(O215=CURSOS!$D$9,"HUMANIZACION EN EL SERVICIO DE LA SALUD Y BUENAS PRACTICAS EN PACIENTE ",IF(O215=CURSOS!$D$10,"CLINICA DE HERIDAS ",IF(O215=CURSOS!$D$11,"TOMA DE CITOLOGIA CERVICO VAGINAL ",IF(O215=CURSOS!$D$12,"SOPORTE CARDIOVASCULAR AVANZADO (ACLS) ",IF(O215=CURSOS!$D$13,"CAMILLERO ",IF(O215=CURSOS!$D$14,"TOMA DE MUESTRAS Y LABORATORIO ",IF(O215=CURSOS!$D$15,"SOPORTE VITAL BASICO (BLS)",IF(O215=CURSOS!$D$16,"ATENCION A VICTIMAS DE VIOLENCIA SEXUAL ",IF(O215=CURSOS!$D$17,"PROGRAMADO AMPLIADO DE INMUNIZACION (PAI - COVID 19)",IF(O215=CURSOS!$D$18,"ATENCION INTEGRAL EN ENFERMEDADES PREVALENTES EN PRIMERA INFANCIA (AIEPI)",IF(O215=CURSOS!$D$19,"ADMINISTRACION DE MEDICAMENTOS, INYECTOLOGIA  Y CANALIZACION ",IF(O215=CURSOS!$D$20,"OPERADOR DE VEHICULOS DE EMERGENCIA (OVE)",IF(O215=CURSOS!$D$21,"INSTITUCIONES AMIGAS DE LA MUJER Y LA INFANCIA (IAMI)",IF(O215=CURSOS!$D$22,"CUIDADO DEL DONANTE DE ORGANOS",IF(O215=CURSOS!$D$23,"ATENCION A VICTIMAS POR VIOLENCIA DE GENERO",IF(O215=CURSOS!$D$24,"IGUALDAD DE GENERO EN LA SALUD",IF(O215=CURSOS!$D$25,"BRIGADA DE EMERGENCIA",IF(O215=CURSOS!$D$26,"MANEJO DEL DOLOR Y CUIDADOS PALIATIVOS",IF(O215=CURSOS!$D$27,"TOMA DE MUESTRAS Y LABORATORIO POCT",IF(O215=CURSOS!$D$28,"IMPLANTE SUBDERMICO DE DISPOSITIVO INTRAUTERINO",IF(O215=CURSOS!$D$29,"SALUD MENTAL",IF(O215=CURSOS!$D$30,"PRIMEROS AUXILIOS PSICOLOGICOS",IF(O215=CURSOS!$D$31,"ATENCION A VICTIMAS POR CONFLICTO ARMADO",IF(O215=CURSOS!$D$32,"MANIPULACION DE ALIMENTOS Y BPM",IF(O215=CURSOS!$D$33,"ATENCION A PERSONAS CON DISCAPACIDAD",IF(O215=CURSOS!$D$34,"CUIDADO INTEGRAL DEL PACIENTE ADULTO",IF(O215=CURSOS!$D$35,"MANEJO DEFENSIVO",IF(O215=CURSOS!$D$36,"SOPORTE CARDIOVASCULAR AVANZADO NEONATAL",IF(O215=CURSOS!$D$37,"SEGURIDAD DEL PACIENTE",IF(O215=CURSOS!$D$38,"MANEJO DE RESIDUOS HOSPITALARIOS"))))))))))))))))))))))))))))))))))))</f>
        <v>0</v>
      </c>
      <c r="V215" s="46" t="str">
        <f t="shared" si="9"/>
        <v xml:space="preserve">   </v>
      </c>
      <c r="W215" s="46" t="str">
        <f t="shared" si="10"/>
        <v xml:space="preserve">   </v>
      </c>
      <c r="X215" s="46" t="str">
        <f t="shared" si="11"/>
        <v xml:space="preserve">   --</v>
      </c>
    </row>
    <row r="216" spans="1:24" x14ac:dyDescent="0.2">
      <c r="A216" s="68">
        <v>215</v>
      </c>
      <c r="I216" s="44"/>
      <c r="P216" s="45"/>
      <c r="T216" s="39"/>
      <c r="U216" s="46" t="b">
        <f>IF(O216=CURSOS!$D$3,"DIPLOMADO EN ATENCION PRE-HOSPITALARIA",IF(O216=CURSOS!$D$4,"ACOMPAÑAMIENTO Y MANEJO DEL DUELO",IF(O216=CURSOS!$D$5,"ATENCION A VICTIMAS DE ATAQUE CON AGENTES QUIMICOS ",IF(O216=CURSOS!$D$6,"PRIMEROS AUXILIOS ",IF(O216=CURSOS!$D$7,"DIPLOMADO DE UNIDAD DE CUIDADOS INTENSIVOS (UCI)",IF(O216=CURSOS!$D$8,"MODELO DE ATENCION PARA EVENTOS EMERGENTES EN SALUD MENTAL (CODIGO VERDE)",IF(O216=CURSOS!$D$9,"HUMANIZACION EN EL SERVICIO DE LA SALUD Y BUENAS PRACTICAS EN PACIENTE ",IF(O216=CURSOS!$D$10,"CLINICA DE HERIDAS ",IF(O216=CURSOS!$D$11,"TOMA DE CITOLOGIA CERVICO VAGINAL ",IF(O216=CURSOS!$D$12,"SOPORTE CARDIOVASCULAR AVANZADO (ACLS) ",IF(O216=CURSOS!$D$13,"CAMILLERO ",IF(O216=CURSOS!$D$14,"TOMA DE MUESTRAS Y LABORATORIO ",IF(O216=CURSOS!$D$15,"SOPORTE VITAL BASICO (BLS)",IF(O216=CURSOS!$D$16,"ATENCION A VICTIMAS DE VIOLENCIA SEXUAL ",IF(O216=CURSOS!$D$17,"PROGRAMADO AMPLIADO DE INMUNIZACION (PAI - COVID 19)",IF(O216=CURSOS!$D$18,"ATENCION INTEGRAL EN ENFERMEDADES PREVALENTES EN PRIMERA INFANCIA (AIEPI)",IF(O216=CURSOS!$D$19,"ADMINISTRACION DE MEDICAMENTOS, INYECTOLOGIA  Y CANALIZACION ",IF(O216=CURSOS!$D$20,"OPERADOR DE VEHICULOS DE EMERGENCIA (OVE)",IF(O216=CURSOS!$D$21,"INSTITUCIONES AMIGAS DE LA MUJER Y LA INFANCIA (IAMI)",IF(O216=CURSOS!$D$22,"CUIDADO DEL DONANTE DE ORGANOS",IF(O216=CURSOS!$D$23,"ATENCION A VICTIMAS POR VIOLENCIA DE GENERO",IF(O216=CURSOS!$D$24,"IGUALDAD DE GENERO EN LA SALUD",IF(O216=CURSOS!$D$25,"BRIGADA DE EMERGENCIA",IF(O216=CURSOS!$D$26,"MANEJO DEL DOLOR Y CUIDADOS PALIATIVOS",IF(O216=CURSOS!$D$27,"TOMA DE MUESTRAS Y LABORATORIO POCT",IF(O216=CURSOS!$D$28,"IMPLANTE SUBDERMICO DE DISPOSITIVO INTRAUTERINO",IF(O216=CURSOS!$D$29,"SALUD MENTAL",IF(O216=CURSOS!$D$30,"PRIMEROS AUXILIOS PSICOLOGICOS",IF(O216=CURSOS!$D$31,"ATENCION A VICTIMAS POR CONFLICTO ARMADO",IF(O216=CURSOS!$D$32,"MANIPULACION DE ALIMENTOS Y BPM",IF(O216=CURSOS!$D$33,"ATENCION A PERSONAS CON DISCAPACIDAD",IF(O216=CURSOS!$D$34,"CUIDADO INTEGRAL DEL PACIENTE ADULTO",IF(O216=CURSOS!$D$35,"MANEJO DEFENSIVO",IF(O216=CURSOS!$D$36,"SOPORTE CARDIOVASCULAR AVANZADO NEONATAL",IF(O216=CURSOS!$D$37,"SEGURIDAD DEL PACIENTE",IF(O216=CURSOS!$D$38,"MANEJO DE RESIDUOS HOSPITALARIOS"))))))))))))))))))))))))))))))))))))</f>
        <v>0</v>
      </c>
      <c r="V216" s="46" t="str">
        <f t="shared" si="9"/>
        <v xml:space="preserve">   </v>
      </c>
      <c r="W216" s="46" t="str">
        <f t="shared" si="10"/>
        <v xml:space="preserve">   </v>
      </c>
      <c r="X216" s="46" t="str">
        <f t="shared" si="11"/>
        <v xml:space="preserve">   --</v>
      </c>
    </row>
    <row r="217" spans="1:24" x14ac:dyDescent="0.2">
      <c r="A217" s="68">
        <v>216</v>
      </c>
      <c r="I217" s="44"/>
      <c r="T217" s="39"/>
      <c r="U217" s="46" t="b">
        <f>IF(O217=CURSOS!$D$3,"DIPLOMADO EN ATENCION PRE-HOSPITALARIA",IF(O217=CURSOS!$D$4,"ACOMPAÑAMIENTO Y MANEJO DEL DUELO",IF(O217=CURSOS!$D$5,"ATENCION A VICTIMAS DE ATAQUE CON AGENTES QUIMICOS ",IF(O217=CURSOS!$D$6,"PRIMEROS AUXILIOS ",IF(O217=CURSOS!$D$7,"DIPLOMADO DE UNIDAD DE CUIDADOS INTENSIVOS (UCI)",IF(O217=CURSOS!$D$8,"MODELO DE ATENCION PARA EVENTOS EMERGENTES EN SALUD MENTAL (CODIGO VERDE)",IF(O217=CURSOS!$D$9,"HUMANIZACION EN EL SERVICIO DE LA SALUD Y BUENAS PRACTICAS EN PACIENTE ",IF(O217=CURSOS!$D$10,"CLINICA DE HERIDAS ",IF(O217=CURSOS!$D$11,"TOMA DE CITOLOGIA CERVICO VAGINAL ",IF(O217=CURSOS!$D$12,"SOPORTE CARDIOVASCULAR AVANZADO (ACLS) ",IF(O217=CURSOS!$D$13,"CAMILLERO ",IF(O217=CURSOS!$D$14,"TOMA DE MUESTRAS Y LABORATORIO ",IF(O217=CURSOS!$D$15,"SOPORTE VITAL BASICO (BLS)",IF(O217=CURSOS!$D$16,"ATENCION A VICTIMAS DE VIOLENCIA SEXUAL ",IF(O217=CURSOS!$D$17,"PROGRAMADO AMPLIADO DE INMUNIZACION (PAI - COVID 19)",IF(O217=CURSOS!$D$18,"ATENCION INTEGRAL EN ENFERMEDADES PREVALENTES EN PRIMERA INFANCIA (AIEPI)",IF(O217=CURSOS!$D$19,"ADMINISTRACION DE MEDICAMENTOS, INYECTOLOGIA  Y CANALIZACION ",IF(O217=CURSOS!$D$20,"OPERADOR DE VEHICULOS DE EMERGENCIA (OVE)",IF(O217=CURSOS!$D$21,"INSTITUCIONES AMIGAS DE LA MUJER Y LA INFANCIA (IAMI)",IF(O217=CURSOS!$D$22,"CUIDADO DEL DONANTE DE ORGANOS",IF(O217=CURSOS!$D$23,"ATENCION A VICTIMAS POR VIOLENCIA DE GENERO",IF(O217=CURSOS!$D$24,"IGUALDAD DE GENERO EN LA SALUD",IF(O217=CURSOS!$D$25,"BRIGADA DE EMERGENCIA",IF(O217=CURSOS!$D$26,"MANEJO DEL DOLOR Y CUIDADOS PALIATIVOS",IF(O217=CURSOS!$D$27,"TOMA DE MUESTRAS Y LABORATORIO POCT",IF(O217=CURSOS!$D$28,"IMPLANTE SUBDERMICO DE DISPOSITIVO INTRAUTERINO",IF(O217=CURSOS!$D$29,"SALUD MENTAL",IF(O217=CURSOS!$D$30,"PRIMEROS AUXILIOS PSICOLOGICOS",IF(O217=CURSOS!$D$31,"ATENCION A VICTIMAS POR CONFLICTO ARMADO",IF(O217=CURSOS!$D$32,"MANIPULACION DE ALIMENTOS Y BPM",IF(O217=CURSOS!$D$33,"ATENCION A PERSONAS CON DISCAPACIDAD",IF(O217=CURSOS!$D$34,"CUIDADO INTEGRAL DEL PACIENTE ADULTO",IF(O217=CURSOS!$D$35,"MANEJO DEFENSIVO",IF(O217=CURSOS!$D$36,"SOPORTE CARDIOVASCULAR AVANZADO NEONATAL",IF(O217=CURSOS!$D$37,"SEGURIDAD DEL PACIENTE",IF(O217=CURSOS!$D$38,"MANEJO DE RESIDUOS HOSPITALARIOS"))))))))))))))))))))))))))))))))))))</f>
        <v>0</v>
      </c>
      <c r="V217" s="46" t="str">
        <f t="shared" si="9"/>
        <v xml:space="preserve">   </v>
      </c>
      <c r="W217" s="46" t="str">
        <f t="shared" si="10"/>
        <v xml:space="preserve">   </v>
      </c>
      <c r="X217" s="46" t="str">
        <f t="shared" si="11"/>
        <v xml:space="preserve">   --</v>
      </c>
    </row>
    <row r="218" spans="1:24" x14ac:dyDescent="0.2">
      <c r="A218" s="68">
        <v>217</v>
      </c>
      <c r="I218" s="44"/>
      <c r="T218" s="39"/>
      <c r="U218" s="46" t="b">
        <f>IF(O218=CURSOS!$D$3,"DIPLOMADO EN ATENCION PRE-HOSPITALARIA",IF(O218=CURSOS!$D$4,"ACOMPAÑAMIENTO Y MANEJO DEL DUELO",IF(O218=CURSOS!$D$5,"ATENCION A VICTIMAS DE ATAQUE CON AGENTES QUIMICOS ",IF(O218=CURSOS!$D$6,"PRIMEROS AUXILIOS ",IF(O218=CURSOS!$D$7,"DIPLOMADO DE UNIDAD DE CUIDADOS INTENSIVOS (UCI)",IF(O218=CURSOS!$D$8,"MODELO DE ATENCION PARA EVENTOS EMERGENTES EN SALUD MENTAL (CODIGO VERDE)",IF(O218=CURSOS!$D$9,"HUMANIZACION EN EL SERVICIO DE LA SALUD Y BUENAS PRACTICAS EN PACIENTE ",IF(O218=CURSOS!$D$10,"CLINICA DE HERIDAS ",IF(O218=CURSOS!$D$11,"TOMA DE CITOLOGIA CERVICO VAGINAL ",IF(O218=CURSOS!$D$12,"SOPORTE CARDIOVASCULAR AVANZADO (ACLS) ",IF(O218=CURSOS!$D$13,"CAMILLERO ",IF(O218=CURSOS!$D$14,"TOMA DE MUESTRAS Y LABORATORIO ",IF(O218=CURSOS!$D$15,"SOPORTE VITAL BASICO (BLS)",IF(O218=CURSOS!$D$16,"ATENCION A VICTIMAS DE VIOLENCIA SEXUAL ",IF(O218=CURSOS!$D$17,"PROGRAMADO AMPLIADO DE INMUNIZACION (PAI - COVID 19)",IF(O218=CURSOS!$D$18,"ATENCION INTEGRAL EN ENFERMEDADES PREVALENTES EN PRIMERA INFANCIA (AIEPI)",IF(O218=CURSOS!$D$19,"ADMINISTRACION DE MEDICAMENTOS, INYECTOLOGIA  Y CANALIZACION ",IF(O218=CURSOS!$D$20,"OPERADOR DE VEHICULOS DE EMERGENCIA (OVE)",IF(O218=CURSOS!$D$21,"INSTITUCIONES AMIGAS DE LA MUJER Y LA INFANCIA (IAMI)",IF(O218=CURSOS!$D$22,"CUIDADO DEL DONANTE DE ORGANOS",IF(O218=CURSOS!$D$23,"ATENCION A VICTIMAS POR VIOLENCIA DE GENERO",IF(O218=CURSOS!$D$24,"IGUALDAD DE GENERO EN LA SALUD",IF(O218=CURSOS!$D$25,"BRIGADA DE EMERGENCIA",IF(O218=CURSOS!$D$26,"MANEJO DEL DOLOR Y CUIDADOS PALIATIVOS",IF(O218=CURSOS!$D$27,"TOMA DE MUESTRAS Y LABORATORIO POCT",IF(O218=CURSOS!$D$28,"IMPLANTE SUBDERMICO DE DISPOSITIVO INTRAUTERINO",IF(O218=CURSOS!$D$29,"SALUD MENTAL",IF(O218=CURSOS!$D$30,"PRIMEROS AUXILIOS PSICOLOGICOS",IF(O218=CURSOS!$D$31,"ATENCION A VICTIMAS POR CONFLICTO ARMADO",IF(O218=CURSOS!$D$32,"MANIPULACION DE ALIMENTOS Y BPM",IF(O218=CURSOS!$D$33,"ATENCION A PERSONAS CON DISCAPACIDAD",IF(O218=CURSOS!$D$34,"CUIDADO INTEGRAL DEL PACIENTE ADULTO",IF(O218=CURSOS!$D$35,"MANEJO DEFENSIVO",IF(O218=CURSOS!$D$36,"SOPORTE CARDIOVASCULAR AVANZADO NEONATAL",IF(O218=CURSOS!$D$37,"SEGURIDAD DEL PACIENTE",IF(O218=CURSOS!$D$38,"MANEJO DE RESIDUOS HOSPITALARIOS"))))))))))))))))))))))))))))))))))))</f>
        <v>0</v>
      </c>
      <c r="V218" s="46" t="str">
        <f t="shared" si="9"/>
        <v xml:space="preserve">   </v>
      </c>
      <c r="W218" s="46" t="str">
        <f t="shared" si="10"/>
        <v xml:space="preserve">   </v>
      </c>
      <c r="X218" s="46" t="str">
        <f t="shared" si="11"/>
        <v xml:space="preserve">   --</v>
      </c>
    </row>
    <row r="219" spans="1:24" x14ac:dyDescent="0.2">
      <c r="A219" s="68">
        <v>218</v>
      </c>
      <c r="I219" s="44"/>
      <c r="T219" s="39"/>
      <c r="U219" s="46" t="b">
        <f>IF(O219=CURSOS!$D$3,"DIPLOMADO EN ATENCION PRE-HOSPITALARIA",IF(O219=CURSOS!$D$4,"ACOMPAÑAMIENTO Y MANEJO DEL DUELO",IF(O219=CURSOS!$D$5,"ATENCION A VICTIMAS DE ATAQUE CON AGENTES QUIMICOS ",IF(O219=CURSOS!$D$6,"PRIMEROS AUXILIOS ",IF(O219=CURSOS!$D$7,"DIPLOMADO DE UNIDAD DE CUIDADOS INTENSIVOS (UCI)",IF(O219=CURSOS!$D$8,"MODELO DE ATENCION PARA EVENTOS EMERGENTES EN SALUD MENTAL (CODIGO VERDE)",IF(O219=CURSOS!$D$9,"HUMANIZACION EN EL SERVICIO DE LA SALUD Y BUENAS PRACTICAS EN PACIENTE ",IF(O219=CURSOS!$D$10,"CLINICA DE HERIDAS ",IF(O219=CURSOS!$D$11,"TOMA DE CITOLOGIA CERVICO VAGINAL ",IF(O219=CURSOS!$D$12,"SOPORTE CARDIOVASCULAR AVANZADO (ACLS) ",IF(O219=CURSOS!$D$13,"CAMILLERO ",IF(O219=CURSOS!$D$14,"TOMA DE MUESTRAS Y LABORATORIO ",IF(O219=CURSOS!$D$15,"SOPORTE VITAL BASICO (BLS)",IF(O219=CURSOS!$D$16,"ATENCION A VICTIMAS DE VIOLENCIA SEXUAL ",IF(O219=CURSOS!$D$17,"PROGRAMADO AMPLIADO DE INMUNIZACION (PAI - COVID 19)",IF(O219=CURSOS!$D$18,"ATENCION INTEGRAL EN ENFERMEDADES PREVALENTES EN PRIMERA INFANCIA (AIEPI)",IF(O219=CURSOS!$D$19,"ADMINISTRACION DE MEDICAMENTOS, INYECTOLOGIA  Y CANALIZACION ",IF(O219=CURSOS!$D$20,"OPERADOR DE VEHICULOS DE EMERGENCIA (OVE)",IF(O219=CURSOS!$D$21,"INSTITUCIONES AMIGAS DE LA MUJER Y LA INFANCIA (IAMI)",IF(O219=CURSOS!$D$22,"CUIDADO DEL DONANTE DE ORGANOS",IF(O219=CURSOS!$D$23,"ATENCION A VICTIMAS POR VIOLENCIA DE GENERO",IF(O219=CURSOS!$D$24,"IGUALDAD DE GENERO EN LA SALUD",IF(O219=CURSOS!$D$25,"BRIGADA DE EMERGENCIA",IF(O219=CURSOS!$D$26,"MANEJO DEL DOLOR Y CUIDADOS PALIATIVOS",IF(O219=CURSOS!$D$27,"TOMA DE MUESTRAS Y LABORATORIO POCT",IF(O219=CURSOS!$D$28,"IMPLANTE SUBDERMICO DE DISPOSITIVO INTRAUTERINO",IF(O219=CURSOS!$D$29,"SALUD MENTAL",IF(O219=CURSOS!$D$30,"PRIMEROS AUXILIOS PSICOLOGICOS",IF(O219=CURSOS!$D$31,"ATENCION A VICTIMAS POR CONFLICTO ARMADO",IF(O219=CURSOS!$D$32,"MANIPULACION DE ALIMENTOS Y BPM",IF(O219=CURSOS!$D$33,"ATENCION A PERSONAS CON DISCAPACIDAD",IF(O219=CURSOS!$D$34,"CUIDADO INTEGRAL DEL PACIENTE ADULTO",IF(O219=CURSOS!$D$35,"MANEJO DEFENSIVO",IF(O219=CURSOS!$D$36,"SOPORTE CARDIOVASCULAR AVANZADO NEONATAL",IF(O219=CURSOS!$D$37,"SEGURIDAD DEL PACIENTE",IF(O219=CURSOS!$D$38,"MANEJO DE RESIDUOS HOSPITALARIOS"))))))))))))))))))))))))))))))))))))</f>
        <v>0</v>
      </c>
      <c r="V219" s="46" t="str">
        <f t="shared" si="9"/>
        <v xml:space="preserve">   </v>
      </c>
      <c r="W219" s="46" t="str">
        <f t="shared" si="10"/>
        <v xml:space="preserve">   </v>
      </c>
      <c r="X219" s="46" t="str">
        <f t="shared" si="11"/>
        <v xml:space="preserve">   --</v>
      </c>
    </row>
    <row r="220" spans="1:24" x14ac:dyDescent="0.2">
      <c r="A220" s="68">
        <v>219</v>
      </c>
      <c r="I220" s="44"/>
      <c r="T220" s="39"/>
      <c r="U220" s="46" t="b">
        <f>IF(O220=CURSOS!$D$3,"DIPLOMADO EN ATENCION PRE-HOSPITALARIA",IF(O220=CURSOS!$D$4,"ACOMPAÑAMIENTO Y MANEJO DEL DUELO",IF(O220=CURSOS!$D$5,"ATENCION A VICTIMAS DE ATAQUE CON AGENTES QUIMICOS ",IF(O220=CURSOS!$D$6,"PRIMEROS AUXILIOS ",IF(O220=CURSOS!$D$7,"DIPLOMADO DE UNIDAD DE CUIDADOS INTENSIVOS (UCI)",IF(O220=CURSOS!$D$8,"MODELO DE ATENCION PARA EVENTOS EMERGENTES EN SALUD MENTAL (CODIGO VERDE)",IF(O220=CURSOS!$D$9,"HUMANIZACION EN EL SERVICIO DE LA SALUD Y BUENAS PRACTICAS EN PACIENTE ",IF(O220=CURSOS!$D$10,"CLINICA DE HERIDAS ",IF(O220=CURSOS!$D$11,"TOMA DE CITOLOGIA CERVICO VAGINAL ",IF(O220=CURSOS!$D$12,"SOPORTE CARDIOVASCULAR AVANZADO (ACLS) ",IF(O220=CURSOS!$D$13,"CAMILLERO ",IF(O220=CURSOS!$D$14,"TOMA DE MUESTRAS Y LABORATORIO ",IF(O220=CURSOS!$D$15,"SOPORTE VITAL BASICO (BLS)",IF(O220=CURSOS!$D$16,"ATENCION A VICTIMAS DE VIOLENCIA SEXUAL ",IF(O220=CURSOS!$D$17,"PROGRAMADO AMPLIADO DE INMUNIZACION (PAI - COVID 19)",IF(O220=CURSOS!$D$18,"ATENCION INTEGRAL EN ENFERMEDADES PREVALENTES EN PRIMERA INFANCIA (AIEPI)",IF(O220=CURSOS!$D$19,"ADMINISTRACION DE MEDICAMENTOS, INYECTOLOGIA  Y CANALIZACION ",IF(O220=CURSOS!$D$20,"OPERADOR DE VEHICULOS DE EMERGENCIA (OVE)",IF(O220=CURSOS!$D$21,"INSTITUCIONES AMIGAS DE LA MUJER Y LA INFANCIA (IAMI)",IF(O220=CURSOS!$D$22,"CUIDADO DEL DONANTE DE ORGANOS",IF(O220=CURSOS!$D$23,"ATENCION A VICTIMAS POR VIOLENCIA DE GENERO",IF(O220=CURSOS!$D$24,"IGUALDAD DE GENERO EN LA SALUD",IF(O220=CURSOS!$D$25,"BRIGADA DE EMERGENCIA",IF(O220=CURSOS!$D$26,"MANEJO DEL DOLOR Y CUIDADOS PALIATIVOS",IF(O220=CURSOS!$D$27,"TOMA DE MUESTRAS Y LABORATORIO POCT",IF(O220=CURSOS!$D$28,"IMPLANTE SUBDERMICO DE DISPOSITIVO INTRAUTERINO",IF(O220=CURSOS!$D$29,"SALUD MENTAL",IF(O220=CURSOS!$D$30,"PRIMEROS AUXILIOS PSICOLOGICOS",IF(O220=CURSOS!$D$31,"ATENCION A VICTIMAS POR CONFLICTO ARMADO",IF(O220=CURSOS!$D$32,"MANIPULACION DE ALIMENTOS Y BPM",IF(O220=CURSOS!$D$33,"ATENCION A PERSONAS CON DISCAPACIDAD",IF(O220=CURSOS!$D$34,"CUIDADO INTEGRAL DEL PACIENTE ADULTO",IF(O220=CURSOS!$D$35,"MANEJO DEFENSIVO",IF(O220=CURSOS!$D$36,"SOPORTE CARDIOVASCULAR AVANZADO NEONATAL",IF(O220=CURSOS!$D$37,"SEGURIDAD DEL PACIENTE",IF(O220=CURSOS!$D$38,"MANEJO DE RESIDUOS HOSPITALARIOS"))))))))))))))))))))))))))))))))))))</f>
        <v>0</v>
      </c>
      <c r="V220" s="46" t="str">
        <f t="shared" si="9"/>
        <v xml:space="preserve">   </v>
      </c>
      <c r="W220" s="46" t="str">
        <f t="shared" si="10"/>
        <v xml:space="preserve">   </v>
      </c>
      <c r="X220" s="46" t="str">
        <f t="shared" si="11"/>
        <v xml:space="preserve">   --</v>
      </c>
    </row>
    <row r="221" spans="1:24" x14ac:dyDescent="0.2">
      <c r="A221" s="68">
        <v>220</v>
      </c>
      <c r="I221" s="44"/>
      <c r="T221" s="39"/>
      <c r="U221" s="46" t="b">
        <f>IF(O221=CURSOS!$D$3,"DIPLOMADO EN ATENCION PRE-HOSPITALARIA",IF(O221=CURSOS!$D$4,"ACOMPAÑAMIENTO Y MANEJO DEL DUELO",IF(O221=CURSOS!$D$5,"ATENCION A VICTIMAS DE ATAQUE CON AGENTES QUIMICOS ",IF(O221=CURSOS!$D$6,"PRIMEROS AUXILIOS ",IF(O221=CURSOS!$D$7,"DIPLOMADO DE UNIDAD DE CUIDADOS INTENSIVOS (UCI)",IF(O221=CURSOS!$D$8,"MODELO DE ATENCION PARA EVENTOS EMERGENTES EN SALUD MENTAL (CODIGO VERDE)",IF(O221=CURSOS!$D$9,"HUMANIZACION EN EL SERVICIO DE LA SALUD Y BUENAS PRACTICAS EN PACIENTE ",IF(O221=CURSOS!$D$10,"CLINICA DE HERIDAS ",IF(O221=CURSOS!$D$11,"TOMA DE CITOLOGIA CERVICO VAGINAL ",IF(O221=CURSOS!$D$12,"SOPORTE CARDIOVASCULAR AVANZADO (ACLS) ",IF(O221=CURSOS!$D$13,"CAMILLERO ",IF(O221=CURSOS!$D$14,"TOMA DE MUESTRAS Y LABORATORIO ",IF(O221=CURSOS!$D$15,"SOPORTE VITAL BASICO (BLS)",IF(O221=CURSOS!$D$16,"ATENCION A VICTIMAS DE VIOLENCIA SEXUAL ",IF(O221=CURSOS!$D$17,"PROGRAMADO AMPLIADO DE INMUNIZACION (PAI - COVID 19)",IF(O221=CURSOS!$D$18,"ATENCION INTEGRAL EN ENFERMEDADES PREVALENTES EN PRIMERA INFANCIA (AIEPI)",IF(O221=CURSOS!$D$19,"ADMINISTRACION DE MEDICAMENTOS, INYECTOLOGIA  Y CANALIZACION ",IF(O221=CURSOS!$D$20,"OPERADOR DE VEHICULOS DE EMERGENCIA (OVE)",IF(O221=CURSOS!$D$21,"INSTITUCIONES AMIGAS DE LA MUJER Y LA INFANCIA (IAMI)",IF(O221=CURSOS!$D$22,"CUIDADO DEL DONANTE DE ORGANOS",IF(O221=CURSOS!$D$23,"ATENCION A VICTIMAS POR VIOLENCIA DE GENERO",IF(O221=CURSOS!$D$24,"IGUALDAD DE GENERO EN LA SALUD",IF(O221=CURSOS!$D$25,"BRIGADA DE EMERGENCIA",IF(O221=CURSOS!$D$26,"MANEJO DEL DOLOR Y CUIDADOS PALIATIVOS",IF(O221=CURSOS!$D$27,"TOMA DE MUESTRAS Y LABORATORIO POCT",IF(O221=CURSOS!$D$28,"IMPLANTE SUBDERMICO DE DISPOSITIVO INTRAUTERINO",IF(O221=CURSOS!$D$29,"SALUD MENTAL",IF(O221=CURSOS!$D$30,"PRIMEROS AUXILIOS PSICOLOGICOS",IF(O221=CURSOS!$D$31,"ATENCION A VICTIMAS POR CONFLICTO ARMADO",IF(O221=CURSOS!$D$32,"MANIPULACION DE ALIMENTOS Y BPM",IF(O221=CURSOS!$D$33,"ATENCION A PERSONAS CON DISCAPACIDAD",IF(O221=CURSOS!$D$34,"CUIDADO INTEGRAL DEL PACIENTE ADULTO",IF(O221=CURSOS!$D$35,"MANEJO DEFENSIVO",IF(O221=CURSOS!$D$36,"SOPORTE CARDIOVASCULAR AVANZADO NEONATAL",IF(O221=CURSOS!$D$37,"SEGURIDAD DEL PACIENTE",IF(O221=CURSOS!$D$38,"MANEJO DE RESIDUOS HOSPITALARIOS"))))))))))))))))))))))))))))))))))))</f>
        <v>0</v>
      </c>
      <c r="V221" s="46" t="str">
        <f t="shared" si="9"/>
        <v xml:space="preserve">   </v>
      </c>
      <c r="W221" s="46" t="str">
        <f t="shared" si="10"/>
        <v xml:space="preserve">   </v>
      </c>
      <c r="X221" s="46" t="str">
        <f t="shared" si="11"/>
        <v xml:space="preserve">   --</v>
      </c>
    </row>
    <row r="222" spans="1:24" x14ac:dyDescent="0.2">
      <c r="A222" s="68">
        <v>221</v>
      </c>
      <c r="I222" s="44"/>
      <c r="T222" s="39"/>
      <c r="U222" s="46" t="b">
        <f>IF(O222=CURSOS!$D$3,"DIPLOMADO EN ATENCION PRE-HOSPITALARIA",IF(O222=CURSOS!$D$4,"ACOMPAÑAMIENTO Y MANEJO DEL DUELO",IF(O222=CURSOS!$D$5,"ATENCION A VICTIMAS DE ATAQUE CON AGENTES QUIMICOS ",IF(O222=CURSOS!$D$6,"PRIMEROS AUXILIOS ",IF(O222=CURSOS!$D$7,"DIPLOMADO DE UNIDAD DE CUIDADOS INTENSIVOS (UCI)",IF(O222=CURSOS!$D$8,"MODELO DE ATENCION PARA EVENTOS EMERGENTES EN SALUD MENTAL (CODIGO VERDE)",IF(O222=CURSOS!$D$9,"HUMANIZACION EN EL SERVICIO DE LA SALUD Y BUENAS PRACTICAS EN PACIENTE ",IF(O222=CURSOS!$D$10,"CLINICA DE HERIDAS ",IF(O222=CURSOS!$D$11,"TOMA DE CITOLOGIA CERVICO VAGINAL ",IF(O222=CURSOS!$D$12,"SOPORTE CARDIOVASCULAR AVANZADO (ACLS) ",IF(O222=CURSOS!$D$13,"CAMILLERO ",IF(O222=CURSOS!$D$14,"TOMA DE MUESTRAS Y LABORATORIO ",IF(O222=CURSOS!$D$15,"SOPORTE VITAL BASICO (BLS)",IF(O222=CURSOS!$D$16,"ATENCION A VICTIMAS DE VIOLENCIA SEXUAL ",IF(O222=CURSOS!$D$17,"PROGRAMADO AMPLIADO DE INMUNIZACION (PAI - COVID 19)",IF(O222=CURSOS!$D$18,"ATENCION INTEGRAL EN ENFERMEDADES PREVALENTES EN PRIMERA INFANCIA (AIEPI)",IF(O222=CURSOS!$D$19,"ADMINISTRACION DE MEDICAMENTOS, INYECTOLOGIA  Y CANALIZACION ",IF(O222=CURSOS!$D$20,"OPERADOR DE VEHICULOS DE EMERGENCIA (OVE)",IF(O222=CURSOS!$D$21,"INSTITUCIONES AMIGAS DE LA MUJER Y LA INFANCIA (IAMI)",IF(O222=CURSOS!$D$22,"CUIDADO DEL DONANTE DE ORGANOS",IF(O222=CURSOS!$D$23,"ATENCION A VICTIMAS POR VIOLENCIA DE GENERO",IF(O222=CURSOS!$D$24,"IGUALDAD DE GENERO EN LA SALUD",IF(O222=CURSOS!$D$25,"BRIGADA DE EMERGENCIA",IF(O222=CURSOS!$D$26,"MANEJO DEL DOLOR Y CUIDADOS PALIATIVOS",IF(O222=CURSOS!$D$27,"TOMA DE MUESTRAS Y LABORATORIO POCT",IF(O222=CURSOS!$D$28,"IMPLANTE SUBDERMICO DE DISPOSITIVO INTRAUTERINO",IF(O222=CURSOS!$D$29,"SALUD MENTAL",IF(O222=CURSOS!$D$30,"PRIMEROS AUXILIOS PSICOLOGICOS",IF(O222=CURSOS!$D$31,"ATENCION A VICTIMAS POR CONFLICTO ARMADO",IF(O222=CURSOS!$D$32,"MANIPULACION DE ALIMENTOS Y BPM",IF(O222=CURSOS!$D$33,"ATENCION A PERSONAS CON DISCAPACIDAD",IF(O222=CURSOS!$D$34,"CUIDADO INTEGRAL DEL PACIENTE ADULTO",IF(O222=CURSOS!$D$35,"MANEJO DEFENSIVO",IF(O222=CURSOS!$D$36,"SOPORTE CARDIOVASCULAR AVANZADO NEONATAL",IF(O222=CURSOS!$D$37,"SEGURIDAD DEL PACIENTE",IF(O222=CURSOS!$D$38,"MANEJO DE RESIDUOS HOSPITALARIOS"))))))))))))))))))))))))))))))))))))</f>
        <v>0</v>
      </c>
      <c r="V222" s="46" t="str">
        <f t="shared" si="9"/>
        <v xml:space="preserve">   </v>
      </c>
      <c r="W222" s="46" t="str">
        <f t="shared" si="10"/>
        <v xml:space="preserve">   </v>
      </c>
      <c r="X222" s="46" t="str">
        <f t="shared" si="11"/>
        <v xml:space="preserve">   --</v>
      </c>
    </row>
    <row r="223" spans="1:24" x14ac:dyDescent="0.2">
      <c r="A223" s="68">
        <v>222</v>
      </c>
      <c r="I223" s="44"/>
      <c r="T223" s="39"/>
      <c r="U223" s="46" t="b">
        <f>IF(O223=CURSOS!$D$3,"DIPLOMADO EN ATENCION PRE-HOSPITALARIA",IF(O223=CURSOS!$D$4,"ACOMPAÑAMIENTO Y MANEJO DEL DUELO",IF(O223=CURSOS!$D$5,"ATENCION A VICTIMAS DE ATAQUE CON AGENTES QUIMICOS ",IF(O223=CURSOS!$D$6,"PRIMEROS AUXILIOS ",IF(O223=CURSOS!$D$7,"DIPLOMADO DE UNIDAD DE CUIDADOS INTENSIVOS (UCI)",IF(O223=CURSOS!$D$8,"MODELO DE ATENCION PARA EVENTOS EMERGENTES EN SALUD MENTAL (CODIGO VERDE)",IF(O223=CURSOS!$D$9,"HUMANIZACION EN EL SERVICIO DE LA SALUD Y BUENAS PRACTICAS EN PACIENTE ",IF(O223=CURSOS!$D$10,"CLINICA DE HERIDAS ",IF(O223=CURSOS!$D$11,"TOMA DE CITOLOGIA CERVICO VAGINAL ",IF(O223=CURSOS!$D$12,"SOPORTE CARDIOVASCULAR AVANZADO (ACLS) ",IF(O223=CURSOS!$D$13,"CAMILLERO ",IF(O223=CURSOS!$D$14,"TOMA DE MUESTRAS Y LABORATORIO ",IF(O223=CURSOS!$D$15,"SOPORTE VITAL BASICO (BLS)",IF(O223=CURSOS!$D$16,"ATENCION A VICTIMAS DE VIOLENCIA SEXUAL ",IF(O223=CURSOS!$D$17,"PROGRAMADO AMPLIADO DE INMUNIZACION (PAI - COVID 19)",IF(O223=CURSOS!$D$18,"ATENCION INTEGRAL EN ENFERMEDADES PREVALENTES EN PRIMERA INFANCIA (AIEPI)",IF(O223=CURSOS!$D$19,"ADMINISTRACION DE MEDICAMENTOS, INYECTOLOGIA  Y CANALIZACION ",IF(O223=CURSOS!$D$20,"OPERADOR DE VEHICULOS DE EMERGENCIA (OVE)",IF(O223=CURSOS!$D$21,"INSTITUCIONES AMIGAS DE LA MUJER Y LA INFANCIA (IAMI)",IF(O223=CURSOS!$D$22,"CUIDADO DEL DONANTE DE ORGANOS",IF(O223=CURSOS!$D$23,"ATENCION A VICTIMAS POR VIOLENCIA DE GENERO",IF(O223=CURSOS!$D$24,"IGUALDAD DE GENERO EN LA SALUD",IF(O223=CURSOS!$D$25,"BRIGADA DE EMERGENCIA",IF(O223=CURSOS!$D$26,"MANEJO DEL DOLOR Y CUIDADOS PALIATIVOS",IF(O223=CURSOS!$D$27,"TOMA DE MUESTRAS Y LABORATORIO POCT",IF(O223=CURSOS!$D$28,"IMPLANTE SUBDERMICO DE DISPOSITIVO INTRAUTERINO",IF(O223=CURSOS!$D$29,"SALUD MENTAL",IF(O223=CURSOS!$D$30,"PRIMEROS AUXILIOS PSICOLOGICOS",IF(O223=CURSOS!$D$31,"ATENCION A VICTIMAS POR CONFLICTO ARMADO",IF(O223=CURSOS!$D$32,"MANIPULACION DE ALIMENTOS Y BPM",IF(O223=CURSOS!$D$33,"ATENCION A PERSONAS CON DISCAPACIDAD",IF(O223=CURSOS!$D$34,"CUIDADO INTEGRAL DEL PACIENTE ADULTO",IF(O223=CURSOS!$D$35,"MANEJO DEFENSIVO",IF(O223=CURSOS!$D$36,"SOPORTE CARDIOVASCULAR AVANZADO NEONATAL",IF(O223=CURSOS!$D$37,"SEGURIDAD DEL PACIENTE",IF(O223=CURSOS!$D$38,"MANEJO DE RESIDUOS HOSPITALARIOS"))))))))))))))))))))))))))))))))))))</f>
        <v>0</v>
      </c>
      <c r="V223" s="46" t="str">
        <f t="shared" si="9"/>
        <v xml:space="preserve">   </v>
      </c>
      <c r="W223" s="46" t="str">
        <f t="shared" si="10"/>
        <v xml:space="preserve">   </v>
      </c>
      <c r="X223" s="46" t="str">
        <f t="shared" si="11"/>
        <v xml:space="preserve">   --</v>
      </c>
    </row>
    <row r="224" spans="1:24" x14ac:dyDescent="0.2">
      <c r="A224" s="68">
        <v>223</v>
      </c>
      <c r="I224" s="44"/>
      <c r="T224" s="39"/>
      <c r="U224" s="46" t="b">
        <f>IF(O224=CURSOS!$D$3,"DIPLOMADO EN ATENCION PRE-HOSPITALARIA",IF(O224=CURSOS!$D$4,"ACOMPAÑAMIENTO Y MANEJO DEL DUELO",IF(O224=CURSOS!$D$5,"ATENCION A VICTIMAS DE ATAQUE CON AGENTES QUIMICOS ",IF(O224=CURSOS!$D$6,"PRIMEROS AUXILIOS ",IF(O224=CURSOS!$D$7,"DIPLOMADO DE UNIDAD DE CUIDADOS INTENSIVOS (UCI)",IF(O224=CURSOS!$D$8,"MODELO DE ATENCION PARA EVENTOS EMERGENTES EN SALUD MENTAL (CODIGO VERDE)",IF(O224=CURSOS!$D$9,"HUMANIZACION EN EL SERVICIO DE LA SALUD Y BUENAS PRACTICAS EN PACIENTE ",IF(O224=CURSOS!$D$10,"CLINICA DE HERIDAS ",IF(O224=CURSOS!$D$11,"TOMA DE CITOLOGIA CERVICO VAGINAL ",IF(O224=CURSOS!$D$12,"SOPORTE CARDIOVASCULAR AVANZADO (ACLS) ",IF(O224=CURSOS!$D$13,"CAMILLERO ",IF(O224=CURSOS!$D$14,"TOMA DE MUESTRAS Y LABORATORIO ",IF(O224=CURSOS!$D$15,"SOPORTE VITAL BASICO (BLS)",IF(O224=CURSOS!$D$16,"ATENCION A VICTIMAS DE VIOLENCIA SEXUAL ",IF(O224=CURSOS!$D$17,"PROGRAMADO AMPLIADO DE INMUNIZACION (PAI - COVID 19)",IF(O224=CURSOS!$D$18,"ATENCION INTEGRAL EN ENFERMEDADES PREVALENTES EN PRIMERA INFANCIA (AIEPI)",IF(O224=CURSOS!$D$19,"ADMINISTRACION DE MEDICAMENTOS, INYECTOLOGIA  Y CANALIZACION ",IF(O224=CURSOS!$D$20,"OPERADOR DE VEHICULOS DE EMERGENCIA (OVE)",IF(O224=CURSOS!$D$21,"INSTITUCIONES AMIGAS DE LA MUJER Y LA INFANCIA (IAMI)",IF(O224=CURSOS!$D$22,"CUIDADO DEL DONANTE DE ORGANOS",IF(O224=CURSOS!$D$23,"ATENCION A VICTIMAS POR VIOLENCIA DE GENERO",IF(O224=CURSOS!$D$24,"IGUALDAD DE GENERO EN LA SALUD",IF(O224=CURSOS!$D$25,"BRIGADA DE EMERGENCIA",IF(O224=CURSOS!$D$26,"MANEJO DEL DOLOR Y CUIDADOS PALIATIVOS",IF(O224=CURSOS!$D$27,"TOMA DE MUESTRAS Y LABORATORIO POCT",IF(O224=CURSOS!$D$28,"IMPLANTE SUBDERMICO DE DISPOSITIVO INTRAUTERINO",IF(O224=CURSOS!$D$29,"SALUD MENTAL",IF(O224=CURSOS!$D$30,"PRIMEROS AUXILIOS PSICOLOGICOS",IF(O224=CURSOS!$D$31,"ATENCION A VICTIMAS POR CONFLICTO ARMADO",IF(O224=CURSOS!$D$32,"MANIPULACION DE ALIMENTOS Y BPM",IF(O224=CURSOS!$D$33,"ATENCION A PERSONAS CON DISCAPACIDAD",IF(O224=CURSOS!$D$34,"CUIDADO INTEGRAL DEL PACIENTE ADULTO",IF(O224=CURSOS!$D$35,"MANEJO DEFENSIVO",IF(O224=CURSOS!$D$36,"SOPORTE CARDIOVASCULAR AVANZADO NEONATAL",IF(O224=CURSOS!$D$37,"SEGURIDAD DEL PACIENTE",IF(O224=CURSOS!$D$38,"MANEJO DE RESIDUOS HOSPITALARIOS"))))))))))))))))))))))))))))))))))))</f>
        <v>0</v>
      </c>
      <c r="V224" s="46" t="str">
        <f t="shared" si="9"/>
        <v xml:space="preserve">   </v>
      </c>
      <c r="W224" s="46" t="str">
        <f t="shared" si="10"/>
        <v xml:space="preserve">   </v>
      </c>
      <c r="X224" s="46" t="str">
        <f t="shared" si="11"/>
        <v xml:space="preserve">   --</v>
      </c>
    </row>
    <row r="225" spans="1:24" x14ac:dyDescent="0.2">
      <c r="A225" s="68">
        <v>224</v>
      </c>
      <c r="I225" s="44"/>
      <c r="T225" s="39"/>
      <c r="U225" s="46" t="b">
        <f>IF(O225=CURSOS!$D$3,"DIPLOMADO EN ATENCION PRE-HOSPITALARIA",IF(O225=CURSOS!$D$4,"ACOMPAÑAMIENTO Y MANEJO DEL DUELO",IF(O225=CURSOS!$D$5,"ATENCION A VICTIMAS DE ATAQUE CON AGENTES QUIMICOS ",IF(O225=CURSOS!$D$6,"PRIMEROS AUXILIOS ",IF(O225=CURSOS!$D$7,"DIPLOMADO DE UNIDAD DE CUIDADOS INTENSIVOS (UCI)",IF(O225=CURSOS!$D$8,"MODELO DE ATENCION PARA EVENTOS EMERGENTES EN SALUD MENTAL (CODIGO VERDE)",IF(O225=CURSOS!$D$9,"HUMANIZACION EN EL SERVICIO DE LA SALUD Y BUENAS PRACTICAS EN PACIENTE ",IF(O225=CURSOS!$D$10,"CLINICA DE HERIDAS ",IF(O225=CURSOS!$D$11,"TOMA DE CITOLOGIA CERVICO VAGINAL ",IF(O225=CURSOS!$D$12,"SOPORTE CARDIOVASCULAR AVANZADO (ACLS) ",IF(O225=CURSOS!$D$13,"CAMILLERO ",IF(O225=CURSOS!$D$14,"TOMA DE MUESTRAS Y LABORATORIO ",IF(O225=CURSOS!$D$15,"SOPORTE VITAL BASICO (BLS)",IF(O225=CURSOS!$D$16,"ATENCION A VICTIMAS DE VIOLENCIA SEXUAL ",IF(O225=CURSOS!$D$17,"PROGRAMADO AMPLIADO DE INMUNIZACION (PAI - COVID 19)",IF(O225=CURSOS!$D$18,"ATENCION INTEGRAL EN ENFERMEDADES PREVALENTES EN PRIMERA INFANCIA (AIEPI)",IF(O225=CURSOS!$D$19,"ADMINISTRACION DE MEDICAMENTOS, INYECTOLOGIA  Y CANALIZACION ",IF(O225=CURSOS!$D$20,"OPERADOR DE VEHICULOS DE EMERGENCIA (OVE)",IF(O225=CURSOS!$D$21,"INSTITUCIONES AMIGAS DE LA MUJER Y LA INFANCIA (IAMI)",IF(O225=CURSOS!$D$22,"CUIDADO DEL DONANTE DE ORGANOS",IF(O225=CURSOS!$D$23,"ATENCION A VICTIMAS POR VIOLENCIA DE GENERO",IF(O225=CURSOS!$D$24,"IGUALDAD DE GENERO EN LA SALUD",IF(O225=CURSOS!$D$25,"BRIGADA DE EMERGENCIA",IF(O225=CURSOS!$D$26,"MANEJO DEL DOLOR Y CUIDADOS PALIATIVOS",IF(O225=CURSOS!$D$27,"TOMA DE MUESTRAS Y LABORATORIO POCT",IF(O225=CURSOS!$D$28,"IMPLANTE SUBDERMICO DE DISPOSITIVO INTRAUTERINO",IF(O225=CURSOS!$D$29,"SALUD MENTAL",IF(O225=CURSOS!$D$30,"PRIMEROS AUXILIOS PSICOLOGICOS",IF(O225=CURSOS!$D$31,"ATENCION A VICTIMAS POR CONFLICTO ARMADO",IF(O225=CURSOS!$D$32,"MANIPULACION DE ALIMENTOS Y BPM",IF(O225=CURSOS!$D$33,"ATENCION A PERSONAS CON DISCAPACIDAD",IF(O225=CURSOS!$D$34,"CUIDADO INTEGRAL DEL PACIENTE ADULTO",IF(O225=CURSOS!$D$35,"MANEJO DEFENSIVO",IF(O225=CURSOS!$D$36,"SOPORTE CARDIOVASCULAR AVANZADO NEONATAL",IF(O225=CURSOS!$D$37,"SEGURIDAD DEL PACIENTE",IF(O225=CURSOS!$D$38,"MANEJO DE RESIDUOS HOSPITALARIOS"))))))))))))))))))))))))))))))))))))</f>
        <v>0</v>
      </c>
      <c r="V225" s="46" t="str">
        <f t="shared" si="9"/>
        <v xml:space="preserve">   </v>
      </c>
      <c r="W225" s="46" t="str">
        <f t="shared" si="10"/>
        <v xml:space="preserve">   </v>
      </c>
      <c r="X225" s="46" t="str">
        <f t="shared" si="11"/>
        <v xml:space="preserve">   --</v>
      </c>
    </row>
    <row r="226" spans="1:24" x14ac:dyDescent="0.2">
      <c r="A226" s="68">
        <v>225</v>
      </c>
      <c r="I226" s="44"/>
      <c r="T226" s="39"/>
      <c r="U226" s="46" t="b">
        <f>IF(O226=CURSOS!$D$3,"DIPLOMADO EN ATENCION PRE-HOSPITALARIA",IF(O226=CURSOS!$D$4,"ACOMPAÑAMIENTO Y MANEJO DEL DUELO",IF(O226=CURSOS!$D$5,"ATENCION A VICTIMAS DE ATAQUE CON AGENTES QUIMICOS ",IF(O226=CURSOS!$D$6,"PRIMEROS AUXILIOS ",IF(O226=CURSOS!$D$7,"DIPLOMADO DE UNIDAD DE CUIDADOS INTENSIVOS (UCI)",IF(O226=CURSOS!$D$8,"MODELO DE ATENCION PARA EVENTOS EMERGENTES EN SALUD MENTAL (CODIGO VERDE)",IF(O226=CURSOS!$D$9,"HUMANIZACION EN EL SERVICIO DE LA SALUD Y BUENAS PRACTICAS EN PACIENTE ",IF(O226=CURSOS!$D$10,"CLINICA DE HERIDAS ",IF(O226=CURSOS!$D$11,"TOMA DE CITOLOGIA CERVICO VAGINAL ",IF(O226=CURSOS!$D$12,"SOPORTE CARDIOVASCULAR AVANZADO (ACLS) ",IF(O226=CURSOS!$D$13,"CAMILLERO ",IF(O226=CURSOS!$D$14,"TOMA DE MUESTRAS Y LABORATORIO ",IF(O226=CURSOS!$D$15,"SOPORTE VITAL BASICO (BLS)",IF(O226=CURSOS!$D$16,"ATENCION A VICTIMAS DE VIOLENCIA SEXUAL ",IF(O226=CURSOS!$D$17,"PROGRAMADO AMPLIADO DE INMUNIZACION (PAI - COVID 19)",IF(O226=CURSOS!$D$18,"ATENCION INTEGRAL EN ENFERMEDADES PREVALENTES EN PRIMERA INFANCIA (AIEPI)",IF(O226=CURSOS!$D$19,"ADMINISTRACION DE MEDICAMENTOS, INYECTOLOGIA  Y CANALIZACION ",IF(O226=CURSOS!$D$20,"OPERADOR DE VEHICULOS DE EMERGENCIA (OVE)",IF(O226=CURSOS!$D$21,"INSTITUCIONES AMIGAS DE LA MUJER Y LA INFANCIA (IAMI)",IF(O226=CURSOS!$D$22,"CUIDADO DEL DONANTE DE ORGANOS",IF(O226=CURSOS!$D$23,"ATENCION A VICTIMAS POR VIOLENCIA DE GENERO",IF(O226=CURSOS!$D$24,"IGUALDAD DE GENERO EN LA SALUD",IF(O226=CURSOS!$D$25,"BRIGADA DE EMERGENCIA",IF(O226=CURSOS!$D$26,"MANEJO DEL DOLOR Y CUIDADOS PALIATIVOS",IF(O226=CURSOS!$D$27,"TOMA DE MUESTRAS Y LABORATORIO POCT",IF(O226=CURSOS!$D$28,"IMPLANTE SUBDERMICO DE DISPOSITIVO INTRAUTERINO",IF(O226=CURSOS!$D$29,"SALUD MENTAL",IF(O226=CURSOS!$D$30,"PRIMEROS AUXILIOS PSICOLOGICOS",IF(O226=CURSOS!$D$31,"ATENCION A VICTIMAS POR CONFLICTO ARMADO",IF(O226=CURSOS!$D$32,"MANIPULACION DE ALIMENTOS Y BPM",IF(O226=CURSOS!$D$33,"ATENCION A PERSONAS CON DISCAPACIDAD",IF(O226=CURSOS!$D$34,"CUIDADO INTEGRAL DEL PACIENTE ADULTO",IF(O226=CURSOS!$D$35,"MANEJO DEFENSIVO",IF(O226=CURSOS!$D$36,"SOPORTE CARDIOVASCULAR AVANZADO NEONATAL",IF(O226=CURSOS!$D$37,"SEGURIDAD DEL PACIENTE",IF(O226=CURSOS!$D$38,"MANEJO DE RESIDUOS HOSPITALARIOS"))))))))))))))))))))))))))))))))))))</f>
        <v>0</v>
      </c>
      <c r="V226" s="46" t="str">
        <f t="shared" si="9"/>
        <v xml:space="preserve">   </v>
      </c>
      <c r="W226" s="46" t="str">
        <f t="shared" si="10"/>
        <v xml:space="preserve">   </v>
      </c>
      <c r="X226" s="46" t="str">
        <f t="shared" si="11"/>
        <v xml:space="preserve">   --</v>
      </c>
    </row>
    <row r="227" spans="1:24" x14ac:dyDescent="0.2">
      <c r="A227" s="68">
        <v>226</v>
      </c>
      <c r="I227" s="44"/>
      <c r="T227" s="39"/>
      <c r="U227" s="46" t="b">
        <f>IF(O227=CURSOS!$D$3,"DIPLOMADO EN ATENCION PRE-HOSPITALARIA",IF(O227=CURSOS!$D$4,"ACOMPAÑAMIENTO Y MANEJO DEL DUELO",IF(O227=CURSOS!$D$5,"ATENCION A VICTIMAS DE ATAQUE CON AGENTES QUIMICOS ",IF(O227=CURSOS!$D$6,"PRIMEROS AUXILIOS ",IF(O227=CURSOS!$D$7,"DIPLOMADO DE UNIDAD DE CUIDADOS INTENSIVOS (UCI)",IF(O227=CURSOS!$D$8,"MODELO DE ATENCION PARA EVENTOS EMERGENTES EN SALUD MENTAL (CODIGO VERDE)",IF(O227=CURSOS!$D$9,"HUMANIZACION EN EL SERVICIO DE LA SALUD Y BUENAS PRACTICAS EN PACIENTE ",IF(O227=CURSOS!$D$10,"CLINICA DE HERIDAS ",IF(O227=CURSOS!$D$11,"TOMA DE CITOLOGIA CERVICO VAGINAL ",IF(O227=CURSOS!$D$12,"SOPORTE CARDIOVASCULAR AVANZADO (ACLS) ",IF(O227=CURSOS!$D$13,"CAMILLERO ",IF(O227=CURSOS!$D$14,"TOMA DE MUESTRAS Y LABORATORIO ",IF(O227=CURSOS!$D$15,"SOPORTE VITAL BASICO (BLS)",IF(O227=CURSOS!$D$16,"ATENCION A VICTIMAS DE VIOLENCIA SEXUAL ",IF(O227=CURSOS!$D$17,"PROGRAMADO AMPLIADO DE INMUNIZACION (PAI - COVID 19)",IF(O227=CURSOS!$D$18,"ATENCION INTEGRAL EN ENFERMEDADES PREVALENTES EN PRIMERA INFANCIA (AIEPI)",IF(O227=CURSOS!$D$19,"ADMINISTRACION DE MEDICAMENTOS, INYECTOLOGIA  Y CANALIZACION ",IF(O227=CURSOS!$D$20,"OPERADOR DE VEHICULOS DE EMERGENCIA (OVE)",IF(O227=CURSOS!$D$21,"INSTITUCIONES AMIGAS DE LA MUJER Y LA INFANCIA (IAMI)",IF(O227=CURSOS!$D$22,"CUIDADO DEL DONANTE DE ORGANOS",IF(O227=CURSOS!$D$23,"ATENCION A VICTIMAS POR VIOLENCIA DE GENERO",IF(O227=CURSOS!$D$24,"IGUALDAD DE GENERO EN LA SALUD",IF(O227=CURSOS!$D$25,"BRIGADA DE EMERGENCIA",IF(O227=CURSOS!$D$26,"MANEJO DEL DOLOR Y CUIDADOS PALIATIVOS",IF(O227=CURSOS!$D$27,"TOMA DE MUESTRAS Y LABORATORIO POCT",IF(O227=CURSOS!$D$28,"IMPLANTE SUBDERMICO DE DISPOSITIVO INTRAUTERINO",IF(O227=CURSOS!$D$29,"SALUD MENTAL",IF(O227=CURSOS!$D$30,"PRIMEROS AUXILIOS PSICOLOGICOS",IF(O227=CURSOS!$D$31,"ATENCION A VICTIMAS POR CONFLICTO ARMADO",IF(O227=CURSOS!$D$32,"MANIPULACION DE ALIMENTOS Y BPM",IF(O227=CURSOS!$D$33,"ATENCION A PERSONAS CON DISCAPACIDAD",IF(O227=CURSOS!$D$34,"CUIDADO INTEGRAL DEL PACIENTE ADULTO",IF(O227=CURSOS!$D$35,"MANEJO DEFENSIVO",IF(O227=CURSOS!$D$36,"SOPORTE CARDIOVASCULAR AVANZADO NEONATAL",IF(O227=CURSOS!$D$37,"SEGURIDAD DEL PACIENTE",IF(O227=CURSOS!$D$38,"MANEJO DE RESIDUOS HOSPITALARIOS"))))))))))))))))))))))))))))))))))))</f>
        <v>0</v>
      </c>
      <c r="V227" s="46" t="str">
        <f t="shared" si="9"/>
        <v xml:space="preserve">   </v>
      </c>
      <c r="W227" s="46" t="str">
        <f t="shared" si="10"/>
        <v xml:space="preserve">   </v>
      </c>
      <c r="X227" s="46" t="str">
        <f t="shared" si="11"/>
        <v xml:space="preserve">   --</v>
      </c>
    </row>
    <row r="228" spans="1:24" x14ac:dyDescent="0.2">
      <c r="A228" s="68">
        <v>227</v>
      </c>
      <c r="I228" s="44"/>
      <c r="T228" s="39"/>
      <c r="U228" s="46" t="b">
        <f>IF(O228=CURSOS!$D$3,"DIPLOMADO EN ATENCION PRE-HOSPITALARIA",IF(O228=CURSOS!$D$4,"ACOMPAÑAMIENTO Y MANEJO DEL DUELO",IF(O228=CURSOS!$D$5,"ATENCION A VICTIMAS DE ATAQUE CON AGENTES QUIMICOS ",IF(O228=CURSOS!$D$6,"PRIMEROS AUXILIOS ",IF(O228=CURSOS!$D$7,"DIPLOMADO DE UNIDAD DE CUIDADOS INTENSIVOS (UCI)",IF(O228=CURSOS!$D$8,"MODELO DE ATENCION PARA EVENTOS EMERGENTES EN SALUD MENTAL (CODIGO VERDE)",IF(O228=CURSOS!$D$9,"HUMANIZACION EN EL SERVICIO DE LA SALUD Y BUENAS PRACTICAS EN PACIENTE ",IF(O228=CURSOS!$D$10,"CLINICA DE HERIDAS ",IF(O228=CURSOS!$D$11,"TOMA DE CITOLOGIA CERVICO VAGINAL ",IF(O228=CURSOS!$D$12,"SOPORTE CARDIOVASCULAR AVANZADO (ACLS) ",IF(O228=CURSOS!$D$13,"CAMILLERO ",IF(O228=CURSOS!$D$14,"TOMA DE MUESTRAS Y LABORATORIO ",IF(O228=CURSOS!$D$15,"SOPORTE VITAL BASICO (BLS)",IF(O228=CURSOS!$D$16,"ATENCION A VICTIMAS DE VIOLENCIA SEXUAL ",IF(O228=CURSOS!$D$17,"PROGRAMADO AMPLIADO DE INMUNIZACION (PAI - COVID 19)",IF(O228=CURSOS!$D$18,"ATENCION INTEGRAL EN ENFERMEDADES PREVALENTES EN PRIMERA INFANCIA (AIEPI)",IF(O228=CURSOS!$D$19,"ADMINISTRACION DE MEDICAMENTOS, INYECTOLOGIA  Y CANALIZACION ",IF(O228=CURSOS!$D$20,"OPERADOR DE VEHICULOS DE EMERGENCIA (OVE)",IF(O228=CURSOS!$D$21,"INSTITUCIONES AMIGAS DE LA MUJER Y LA INFANCIA (IAMI)",IF(O228=CURSOS!$D$22,"CUIDADO DEL DONANTE DE ORGANOS",IF(O228=CURSOS!$D$23,"ATENCION A VICTIMAS POR VIOLENCIA DE GENERO",IF(O228=CURSOS!$D$24,"IGUALDAD DE GENERO EN LA SALUD",IF(O228=CURSOS!$D$25,"BRIGADA DE EMERGENCIA",IF(O228=CURSOS!$D$26,"MANEJO DEL DOLOR Y CUIDADOS PALIATIVOS",IF(O228=CURSOS!$D$27,"TOMA DE MUESTRAS Y LABORATORIO POCT",IF(O228=CURSOS!$D$28,"IMPLANTE SUBDERMICO DE DISPOSITIVO INTRAUTERINO",IF(O228=CURSOS!$D$29,"SALUD MENTAL",IF(O228=CURSOS!$D$30,"PRIMEROS AUXILIOS PSICOLOGICOS",IF(O228=CURSOS!$D$31,"ATENCION A VICTIMAS POR CONFLICTO ARMADO",IF(O228=CURSOS!$D$32,"MANIPULACION DE ALIMENTOS Y BPM",IF(O228=CURSOS!$D$33,"ATENCION A PERSONAS CON DISCAPACIDAD",IF(O228=CURSOS!$D$34,"CUIDADO INTEGRAL DEL PACIENTE ADULTO",IF(O228=CURSOS!$D$35,"MANEJO DEFENSIVO",IF(O228=CURSOS!$D$36,"SOPORTE CARDIOVASCULAR AVANZADO NEONATAL",IF(O228=CURSOS!$D$37,"SEGURIDAD DEL PACIENTE",IF(O228=CURSOS!$D$38,"MANEJO DE RESIDUOS HOSPITALARIOS"))))))))))))))))))))))))))))))))))))</f>
        <v>0</v>
      </c>
      <c r="V228" s="46" t="str">
        <f t="shared" si="9"/>
        <v xml:space="preserve">   </v>
      </c>
      <c r="W228" s="46" t="str">
        <f t="shared" si="10"/>
        <v xml:space="preserve">   </v>
      </c>
      <c r="X228" s="46" t="str">
        <f t="shared" si="11"/>
        <v xml:space="preserve">   --</v>
      </c>
    </row>
    <row r="229" spans="1:24" x14ac:dyDescent="0.2">
      <c r="A229" s="68">
        <v>228</v>
      </c>
      <c r="U229" s="46" t="b">
        <f>IF(O229=CURSOS!$D$3,"DIPLOMADO EN ATENCION PRE-HOSPITALARIA",IF(O229=CURSOS!$D$4,"ACOMPAÑAMIENTO Y MANEJO DEL DUELO",IF(O229=CURSOS!$D$5,"ATENCION A VICTIMAS DE ATAQUE CON AGENTES QUIMICOS ",IF(O229=CURSOS!$D$6,"PRIMEROS AUXILIOS ",IF(O229=CURSOS!$D$7,"DIPLOMADO DE UNIDAD DE CUIDADOS INTENSIVOS (UCI)",IF(O229=CURSOS!$D$8,"MODELO DE ATENCION PARA EVENTOS EMERGENTES EN SALUD MENTAL (CODIGO VERDE)",IF(O229=CURSOS!$D$9,"HUMANIZACION EN EL SERVICIO DE LA SALUD Y BUENAS PRACTICAS EN PACIENTE ",IF(O229=CURSOS!$D$10,"CLINICA DE HERIDAS ",IF(O229=CURSOS!$D$11,"TOMA DE CITOLOGIA CERVICO VAGINAL ",IF(O229=CURSOS!$D$12,"SOPORTE CARDIOVASCULAR AVANZADO (ACLS) ",IF(O229=CURSOS!$D$13,"CAMILLERO ",IF(O229=CURSOS!$D$14,"TOMA DE MUESTRAS Y LABORATORIO ",IF(O229=CURSOS!$D$15,"SOPORTE VITAL BASICO (BLS)",IF(O229=CURSOS!$D$16,"ATENCION A VICTIMAS DE VIOLENCIA SEXUAL ",IF(O229=CURSOS!$D$17,"PROGRAMADO AMPLIADO DE INMUNIZACION (PAI - COVID 19)",IF(O229=CURSOS!$D$18,"ATENCION INTEGRAL EN ENFERMEDADES PREVALENTES EN PRIMERA INFANCIA (AIEPI)",IF(O229=CURSOS!$D$19,"ADMINISTRACION DE MEDICAMENTOS, INYECTOLOGIA  Y CANALIZACION ",IF(O229=CURSOS!$D$20,"OPERADOR DE VEHICULOS DE EMERGENCIA (OVE)",IF(O229=CURSOS!$D$21,"INSTITUCIONES AMIGAS DE LA MUJER Y LA INFANCIA (IAMI)",IF(O229=CURSOS!$D$22,"CUIDADO DEL DONANTE DE ORGANOS",IF(O229=CURSOS!$D$23,"ATENCION A VICTIMAS POR VIOLENCIA DE GENERO",IF(O229=CURSOS!$D$24,"IGUALDAD DE GENERO EN LA SALUD",IF(O229=CURSOS!$D$25,"BRIGADA DE EMERGENCIA",IF(O229=CURSOS!$D$26,"MANEJO DEL DOLOR Y CUIDADOS PALIATIVOS",IF(O229=CURSOS!$D$27,"TOMA DE MUESTRAS Y LABORATORIO POCT",IF(O229=CURSOS!$D$28,"IMPLANTE SUBDERMICO DE DISPOSITIVO INTRAUTERINO",IF(O229=CURSOS!$D$29,"SALUD MENTAL",IF(O229=CURSOS!$D$30,"PRIMEROS AUXILIOS PSICOLOGICOS",IF(O229=CURSOS!$D$31,"ATENCION A VICTIMAS POR CONFLICTO ARMADO",IF(O229=CURSOS!$D$32,"MANIPULACION DE ALIMENTOS Y BPM",IF(O229=CURSOS!$D$33,"ATENCION A PERSONAS CON DISCAPACIDAD",IF(O229=CURSOS!$D$34,"CUIDADO INTEGRAL DEL PACIENTE ADULTO",IF(O229=CURSOS!$D$35,"MANEJO DEFENSIVO",IF(O229=CURSOS!$D$36,"SOPORTE CARDIOVASCULAR AVANZADO NEONATAL",IF(O229=CURSOS!$D$37,"SEGURIDAD DEL PACIENTE",IF(O229=CURSOS!$D$38,"MANEJO DE RESIDUOS HOSPITALARIOS"))))))))))))))))))))))))))))))))))))</f>
        <v>0</v>
      </c>
      <c r="V229" s="46" t="str">
        <f t="shared" si="9"/>
        <v xml:space="preserve">   </v>
      </c>
      <c r="W229" s="46" t="str">
        <f t="shared" si="10"/>
        <v xml:space="preserve">   </v>
      </c>
      <c r="X229" s="46" t="str">
        <f t="shared" si="11"/>
        <v xml:space="preserve">   --</v>
      </c>
    </row>
    <row r="230" spans="1:24" x14ac:dyDescent="0.2">
      <c r="A230" s="68">
        <v>229</v>
      </c>
      <c r="U230" s="46" t="b">
        <f>IF(O230=CURSOS!$D$3,"DIPLOMADO EN ATENCION PRE-HOSPITALARIA",IF(O230=CURSOS!$D$4,"ACOMPAÑAMIENTO Y MANEJO DEL DUELO",IF(O230=CURSOS!$D$5,"ATENCION A VICTIMAS DE ATAQUE CON AGENTES QUIMICOS ",IF(O230=CURSOS!$D$6,"PRIMEROS AUXILIOS ",IF(O230=CURSOS!$D$7,"DIPLOMADO DE UNIDAD DE CUIDADOS INTENSIVOS (UCI)",IF(O230=CURSOS!$D$8,"MODELO DE ATENCION PARA EVENTOS EMERGENTES EN SALUD MENTAL (CODIGO VERDE)",IF(O230=CURSOS!$D$9,"HUMANIZACION EN EL SERVICIO DE LA SALUD Y BUENAS PRACTICAS EN PACIENTE ",IF(O230=CURSOS!$D$10,"CLINICA DE HERIDAS ",IF(O230=CURSOS!$D$11,"TOMA DE CITOLOGIA CERVICO VAGINAL ",IF(O230=CURSOS!$D$12,"SOPORTE CARDIOVASCULAR AVANZADO (ACLS) ",IF(O230=CURSOS!$D$13,"CAMILLERO ",IF(O230=CURSOS!$D$14,"TOMA DE MUESTRAS Y LABORATORIO ",IF(O230=CURSOS!$D$15,"SOPORTE VITAL BASICO (BLS)",IF(O230=CURSOS!$D$16,"ATENCION A VICTIMAS DE VIOLENCIA SEXUAL ",IF(O230=CURSOS!$D$17,"PROGRAMADO AMPLIADO DE INMUNIZACION (PAI - COVID 19)",IF(O230=CURSOS!$D$18,"ATENCION INTEGRAL EN ENFERMEDADES PREVALENTES EN PRIMERA INFANCIA (AIEPI)",IF(O230=CURSOS!$D$19,"ADMINISTRACION DE MEDICAMENTOS, INYECTOLOGIA  Y CANALIZACION ",IF(O230=CURSOS!$D$20,"OPERADOR DE VEHICULOS DE EMERGENCIA (OVE)",IF(O230=CURSOS!$D$21,"INSTITUCIONES AMIGAS DE LA MUJER Y LA INFANCIA (IAMI)",IF(O230=CURSOS!$D$22,"CUIDADO DEL DONANTE DE ORGANOS",IF(O230=CURSOS!$D$23,"ATENCION A VICTIMAS POR VIOLENCIA DE GENERO",IF(O230=CURSOS!$D$24,"IGUALDAD DE GENERO EN LA SALUD",IF(O230=CURSOS!$D$25,"BRIGADA DE EMERGENCIA",IF(O230=CURSOS!$D$26,"MANEJO DEL DOLOR Y CUIDADOS PALIATIVOS",IF(O230=CURSOS!$D$27,"TOMA DE MUESTRAS Y LABORATORIO POCT",IF(O230=CURSOS!$D$28,"IMPLANTE SUBDERMICO DE DISPOSITIVO INTRAUTERINO",IF(O230=CURSOS!$D$29,"SALUD MENTAL",IF(O230=CURSOS!$D$30,"PRIMEROS AUXILIOS PSICOLOGICOS",IF(O230=CURSOS!$D$31,"ATENCION A VICTIMAS POR CONFLICTO ARMADO",IF(O230=CURSOS!$D$32,"MANIPULACION DE ALIMENTOS Y BPM",IF(O230=CURSOS!$D$33,"ATENCION A PERSONAS CON DISCAPACIDAD",IF(O230=CURSOS!$D$34,"CUIDADO INTEGRAL DEL PACIENTE ADULTO",IF(O230=CURSOS!$D$35,"MANEJO DEFENSIVO",IF(O230=CURSOS!$D$36,"SOPORTE CARDIOVASCULAR AVANZADO NEONATAL",IF(O230=CURSOS!$D$37,"SEGURIDAD DEL PACIENTE",IF(O230=CURSOS!$D$38,"MANEJO DE RESIDUOS HOSPITALARIOS"))))))))))))))))))))))))))))))))))))</f>
        <v>0</v>
      </c>
      <c r="V230" s="46" t="str">
        <f t="shared" si="9"/>
        <v xml:space="preserve">   </v>
      </c>
      <c r="W230" s="46" t="str">
        <f t="shared" si="10"/>
        <v xml:space="preserve">   </v>
      </c>
      <c r="X230" s="46" t="str">
        <f t="shared" si="11"/>
        <v xml:space="preserve">   --</v>
      </c>
    </row>
    <row r="1048556" spans="2:7" x14ac:dyDescent="0.2">
      <c r="B1048556" s="40"/>
      <c r="C1048556" s="40"/>
      <c r="D1048556" s="40"/>
      <c r="E1048556" s="40"/>
      <c r="F1048556" s="40"/>
      <c r="G1048556" s="40"/>
    </row>
  </sheetData>
  <phoneticPr fontId="7" type="noConversion"/>
  <hyperlinks>
    <hyperlink ref="R19" r:id="rId1" xr:uid="{00000000-0004-0000-0000-000000000000}"/>
    <hyperlink ref="R20" r:id="rId2" xr:uid="{00000000-0004-0000-0000-000001000000}"/>
    <hyperlink ref="R29" r:id="rId3" xr:uid="{00000000-0004-0000-0000-000002000000}"/>
    <hyperlink ref="R30" r:id="rId4" xr:uid="{00000000-0004-0000-0000-000003000000}"/>
    <hyperlink ref="R51" r:id="rId5" xr:uid="{00000000-0004-0000-0000-000004000000}"/>
    <hyperlink ref="R60" r:id="rId6" xr:uid="{66B57F58-7CDA-40A8-8D8D-E443ECC0774A}"/>
    <hyperlink ref="R62" r:id="rId7" xr:uid="{B4D05800-095E-4C5B-AB91-C560A7548A2C}"/>
    <hyperlink ref="R68" r:id="rId8" xr:uid="{FC50DD76-3402-48BB-9498-2F8FCB56B89D}"/>
    <hyperlink ref="R72" r:id="rId9" xr:uid="{026BFD79-153B-44A0-8BC9-D16D23F64D20}"/>
    <hyperlink ref="R73" r:id="rId10" xr:uid="{45BC1460-90F2-4E93-AFC8-36F757FF1BB5}"/>
    <hyperlink ref="R74" r:id="rId11" xr:uid="{BF350B32-86A7-469B-96D7-DF797E43CD06}"/>
    <hyperlink ref="R75" r:id="rId12" xr:uid="{510B9714-1A30-49AC-A616-32F126BE7E25}"/>
    <hyperlink ref="R76" r:id="rId13" xr:uid="{9B95E2AB-ACA4-48E4-865D-209A5CDD960C}"/>
    <hyperlink ref="R77" r:id="rId14" xr:uid="{8ED571D2-E42F-4094-A2FC-7AEB8BDAAF58}"/>
    <hyperlink ref="R78" r:id="rId15" xr:uid="{FBFA29B7-AD2B-47C1-9D59-96264D456F90}"/>
    <hyperlink ref="R79" r:id="rId16" xr:uid="{FD1B3368-2BF1-4570-A88F-DD5DF956B2DC}"/>
    <hyperlink ref="R80" r:id="rId17" xr:uid="{94A9DA2E-05D6-4D85-A9A9-3D0D031EFDC5}"/>
    <hyperlink ref="R81" r:id="rId18" xr:uid="{BBCEC3B8-7388-42FE-B50B-280857F46125}"/>
    <hyperlink ref="R82" r:id="rId19" xr:uid="{25621C59-F731-43AA-B01A-30E7846149C1}"/>
    <hyperlink ref="R83" r:id="rId20" xr:uid="{B37D8BF2-E3A2-4AE2-939F-0293A2C81B93}"/>
    <hyperlink ref="R90" r:id="rId21" xr:uid="{9594DD17-83BD-419B-87BE-F630D6C462F7}"/>
    <hyperlink ref="R91" r:id="rId22" xr:uid="{4F59013D-4212-48FD-9F2A-EE48D4981FCB}"/>
    <hyperlink ref="R92" r:id="rId23" xr:uid="{2ACF479B-857D-49AE-AC2F-4A2DA12698C8}"/>
    <hyperlink ref="R93" r:id="rId24" xr:uid="{AF43BCF7-B4F0-40A5-A627-7852F217E147}"/>
    <hyperlink ref="R95" r:id="rId25" xr:uid="{76A5E838-A790-46DA-A04A-B0834B7A986E}"/>
    <hyperlink ref="R96" r:id="rId26" xr:uid="{AF8C2386-04FB-43DF-8B2E-DAF018A14AE7}"/>
    <hyperlink ref="R97" r:id="rId27" xr:uid="{433BF60E-07E7-4155-8CE2-8A8348A107BE}"/>
    <hyperlink ref="R98" r:id="rId28" xr:uid="{74C83D3B-6055-418D-93CC-878AECF525C9}"/>
    <hyperlink ref="R99" r:id="rId29" xr:uid="{B667E518-5039-4C66-BB03-978E818EE28B}"/>
    <hyperlink ref="R100" r:id="rId30" xr:uid="{42C679A4-52FC-42E7-B804-E74A4425BCDC}"/>
    <hyperlink ref="R104" r:id="rId31" xr:uid="{40A8CFEC-3527-4277-8797-8B10D3D3C1CD}"/>
    <hyperlink ref="T105" r:id="rId32" xr:uid="{A1D35E6B-C4C4-4C55-A30C-037F5B7A43B8}"/>
    <hyperlink ref="T106" r:id="rId33" xr:uid="{240D0A8E-4425-4D78-93BA-6992C71D25C9}"/>
    <hyperlink ref="T107" r:id="rId34" xr:uid="{F1811AE3-C8C8-4D00-85E7-7F1D6148E150}"/>
  </hyperlinks>
  <pageMargins left="0.7" right="0.7" top="0.75" bottom="0.75" header="0.3" footer="0.3"/>
  <pageSetup paperSize="9" scale="12" orientation="portrait" r:id="rId3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C1:E38"/>
  <sheetViews>
    <sheetView topLeftCell="B1" zoomScale="85" zoomScaleNormal="85" workbookViewId="0">
      <selection activeCell="E17" sqref="E17"/>
    </sheetView>
  </sheetViews>
  <sheetFormatPr baseColWidth="10" defaultRowHeight="15" x14ac:dyDescent="0.2"/>
  <cols>
    <col min="3" max="3" width="10.77734375" style="1" customWidth="1"/>
    <col min="4" max="4" width="36.33203125" customWidth="1"/>
    <col min="5" max="5" width="107.77734375" customWidth="1"/>
  </cols>
  <sheetData>
    <row r="1" spans="3:5" ht="15.75" thickBot="1" x14ac:dyDescent="0.25"/>
    <row r="2" spans="3:5" ht="16.5" thickBot="1" x14ac:dyDescent="0.3">
      <c r="C2" s="35" t="s">
        <v>20</v>
      </c>
      <c r="D2" s="35" t="s">
        <v>11</v>
      </c>
      <c r="E2" s="36" t="s">
        <v>15</v>
      </c>
    </row>
    <row r="3" spans="3:5" x14ac:dyDescent="0.2">
      <c r="C3" s="20">
        <v>1</v>
      </c>
      <c r="D3" s="21" t="s">
        <v>21</v>
      </c>
      <c r="E3" s="22" t="s">
        <v>22</v>
      </c>
    </row>
    <row r="4" spans="3:5" x14ac:dyDescent="0.2">
      <c r="C4" s="23">
        <v>2</v>
      </c>
      <c r="D4" s="24" t="s">
        <v>23</v>
      </c>
      <c r="E4" s="25" t="s">
        <v>24</v>
      </c>
    </row>
    <row r="5" spans="3:5" x14ac:dyDescent="0.2">
      <c r="C5" s="26">
        <v>3</v>
      </c>
      <c r="D5" s="24" t="s">
        <v>25</v>
      </c>
      <c r="E5" s="25" t="s">
        <v>92</v>
      </c>
    </row>
    <row r="6" spans="3:5" x14ac:dyDescent="0.2">
      <c r="C6" s="23">
        <v>4</v>
      </c>
      <c r="D6" s="24" t="s">
        <v>26</v>
      </c>
      <c r="E6" s="25" t="s">
        <v>27</v>
      </c>
    </row>
    <row r="7" spans="3:5" x14ac:dyDescent="0.2">
      <c r="C7" s="26">
        <v>5</v>
      </c>
      <c r="D7" s="24" t="s">
        <v>28</v>
      </c>
      <c r="E7" s="25" t="s">
        <v>29</v>
      </c>
    </row>
    <row r="8" spans="3:5" x14ac:dyDescent="0.2">
      <c r="C8" s="23">
        <v>6</v>
      </c>
      <c r="D8" s="24" t="s">
        <v>30</v>
      </c>
      <c r="E8" s="25" t="s">
        <v>31</v>
      </c>
    </row>
    <row r="9" spans="3:5" x14ac:dyDescent="0.2">
      <c r="C9" s="26">
        <v>7</v>
      </c>
      <c r="D9" s="24" t="s">
        <v>32</v>
      </c>
      <c r="E9" s="25" t="s">
        <v>93</v>
      </c>
    </row>
    <row r="10" spans="3:5" x14ac:dyDescent="0.2">
      <c r="C10" s="23">
        <v>8</v>
      </c>
      <c r="D10" s="24" t="s">
        <v>33</v>
      </c>
      <c r="E10" s="25" t="s">
        <v>34</v>
      </c>
    </row>
    <row r="11" spans="3:5" x14ac:dyDescent="0.2">
      <c r="C11" s="26">
        <v>9</v>
      </c>
      <c r="D11" s="27" t="s">
        <v>35</v>
      </c>
      <c r="E11" s="25" t="s">
        <v>36</v>
      </c>
    </row>
    <row r="12" spans="3:5" x14ac:dyDescent="0.2">
      <c r="C12" s="23">
        <v>10</v>
      </c>
      <c r="D12" s="28" t="s">
        <v>37</v>
      </c>
      <c r="E12" s="25" t="s">
        <v>83</v>
      </c>
    </row>
    <row r="13" spans="3:5" x14ac:dyDescent="0.2">
      <c r="C13" s="26">
        <v>11</v>
      </c>
      <c r="D13" s="28" t="s">
        <v>38</v>
      </c>
      <c r="E13" s="25" t="s">
        <v>39</v>
      </c>
    </row>
    <row r="14" spans="3:5" x14ac:dyDescent="0.2">
      <c r="C14" s="23">
        <v>12</v>
      </c>
      <c r="D14" s="28" t="s">
        <v>40</v>
      </c>
      <c r="E14" s="25" t="s">
        <v>89</v>
      </c>
    </row>
    <row r="15" spans="3:5" x14ac:dyDescent="0.2">
      <c r="C15" s="26">
        <v>13</v>
      </c>
      <c r="D15" s="28" t="s">
        <v>19</v>
      </c>
      <c r="E15" s="25" t="s">
        <v>41</v>
      </c>
    </row>
    <row r="16" spans="3:5" x14ac:dyDescent="0.2">
      <c r="C16" s="23">
        <v>14</v>
      </c>
      <c r="D16" s="28" t="s">
        <v>42</v>
      </c>
      <c r="E16" s="25" t="s">
        <v>94</v>
      </c>
    </row>
    <row r="17" spans="3:5" x14ac:dyDescent="0.2">
      <c r="C17" s="26">
        <v>15</v>
      </c>
      <c r="D17" s="28" t="s">
        <v>73</v>
      </c>
      <c r="E17" s="25" t="s">
        <v>43</v>
      </c>
    </row>
    <row r="18" spans="3:5" x14ac:dyDescent="0.2">
      <c r="C18" s="23">
        <v>16</v>
      </c>
      <c r="D18" s="28" t="s">
        <v>44</v>
      </c>
      <c r="E18" s="25" t="s">
        <v>95</v>
      </c>
    </row>
    <row r="19" spans="3:5" x14ac:dyDescent="0.2">
      <c r="C19" s="26">
        <v>17</v>
      </c>
      <c r="D19" s="28" t="s">
        <v>45</v>
      </c>
      <c r="E19" s="25" t="s">
        <v>96</v>
      </c>
    </row>
    <row r="20" spans="3:5" x14ac:dyDescent="0.2">
      <c r="C20" s="23">
        <v>18</v>
      </c>
      <c r="D20" s="28" t="s">
        <v>46</v>
      </c>
      <c r="E20" s="25" t="s">
        <v>47</v>
      </c>
    </row>
    <row r="21" spans="3:5" x14ac:dyDescent="0.2">
      <c r="C21" s="26">
        <v>19</v>
      </c>
      <c r="D21" s="28" t="s">
        <v>48</v>
      </c>
      <c r="E21" s="29" t="s">
        <v>49</v>
      </c>
    </row>
    <row r="22" spans="3:5" x14ac:dyDescent="0.2">
      <c r="C22" s="23">
        <v>20</v>
      </c>
      <c r="D22" s="28" t="s">
        <v>50</v>
      </c>
      <c r="E22" s="29" t="s">
        <v>51</v>
      </c>
    </row>
    <row r="23" spans="3:5" x14ac:dyDescent="0.2">
      <c r="C23" s="26">
        <v>21</v>
      </c>
      <c r="D23" s="28" t="s">
        <v>52</v>
      </c>
      <c r="E23" s="29" t="s">
        <v>97</v>
      </c>
    </row>
    <row r="24" spans="3:5" x14ac:dyDescent="0.2">
      <c r="C24" s="23">
        <v>22</v>
      </c>
      <c r="D24" s="28" t="s">
        <v>53</v>
      </c>
      <c r="E24" s="30" t="s">
        <v>54</v>
      </c>
    </row>
    <row r="25" spans="3:5" x14ac:dyDescent="0.2">
      <c r="C25" s="31">
        <v>23</v>
      </c>
      <c r="D25" s="28" t="s">
        <v>55</v>
      </c>
      <c r="E25" s="25" t="s">
        <v>56</v>
      </c>
    </row>
    <row r="26" spans="3:5" x14ac:dyDescent="0.2">
      <c r="C26" s="31">
        <v>24</v>
      </c>
      <c r="D26" s="28" t="s">
        <v>57</v>
      </c>
      <c r="E26" s="29" t="s">
        <v>58</v>
      </c>
    </row>
    <row r="27" spans="3:5" x14ac:dyDescent="0.2">
      <c r="C27" s="31">
        <v>25</v>
      </c>
      <c r="D27" s="28" t="s">
        <v>59</v>
      </c>
      <c r="E27" s="25" t="s">
        <v>84</v>
      </c>
    </row>
    <row r="28" spans="3:5" x14ac:dyDescent="0.2">
      <c r="C28" s="31">
        <v>26</v>
      </c>
      <c r="D28" s="28" t="s">
        <v>60</v>
      </c>
      <c r="E28" s="25" t="s">
        <v>85</v>
      </c>
    </row>
    <row r="29" spans="3:5" x14ac:dyDescent="0.2">
      <c r="C29" s="31">
        <v>27</v>
      </c>
      <c r="D29" s="28" t="s">
        <v>61</v>
      </c>
      <c r="E29" s="25" t="s">
        <v>61</v>
      </c>
    </row>
    <row r="30" spans="3:5" x14ac:dyDescent="0.2">
      <c r="C30" s="31">
        <v>28</v>
      </c>
      <c r="D30" s="28" t="s">
        <v>62</v>
      </c>
      <c r="E30" s="25" t="s">
        <v>63</v>
      </c>
    </row>
    <row r="31" spans="3:5" x14ac:dyDescent="0.2">
      <c r="C31" s="31">
        <v>29</v>
      </c>
      <c r="D31" s="28" t="s">
        <v>64</v>
      </c>
      <c r="E31" s="25" t="s">
        <v>65</v>
      </c>
    </row>
    <row r="32" spans="3:5" x14ac:dyDescent="0.2">
      <c r="C32" s="31">
        <v>30</v>
      </c>
      <c r="D32" s="28" t="s">
        <v>74</v>
      </c>
      <c r="E32" s="25" t="s">
        <v>75</v>
      </c>
    </row>
    <row r="33" spans="3:5" x14ac:dyDescent="0.2">
      <c r="C33" s="31">
        <v>31</v>
      </c>
      <c r="D33" s="28" t="s">
        <v>77</v>
      </c>
      <c r="E33" s="25" t="s">
        <v>76</v>
      </c>
    </row>
    <row r="34" spans="3:5" x14ac:dyDescent="0.2">
      <c r="C34" s="31">
        <v>32</v>
      </c>
      <c r="D34" s="28" t="s">
        <v>78</v>
      </c>
      <c r="E34" s="25" t="s">
        <v>79</v>
      </c>
    </row>
    <row r="35" spans="3:5" x14ac:dyDescent="0.2">
      <c r="C35" s="31">
        <v>33</v>
      </c>
      <c r="D35" s="28" t="s">
        <v>80</v>
      </c>
      <c r="E35" s="25" t="s">
        <v>80</v>
      </c>
    </row>
    <row r="36" spans="3:5" x14ac:dyDescent="0.2">
      <c r="C36" s="31">
        <v>34</v>
      </c>
      <c r="D36" s="28" t="s">
        <v>81</v>
      </c>
      <c r="E36" s="25" t="s">
        <v>82</v>
      </c>
    </row>
    <row r="37" spans="3:5" x14ac:dyDescent="0.2">
      <c r="C37" s="31">
        <v>35</v>
      </c>
      <c r="D37" s="28" t="s">
        <v>87</v>
      </c>
      <c r="E37" s="25" t="s">
        <v>86</v>
      </c>
    </row>
    <row r="38" spans="3:5" ht="15.75" thickBot="1" x14ac:dyDescent="0.25">
      <c r="C38" s="32">
        <v>36</v>
      </c>
      <c r="D38" s="33" t="s">
        <v>90</v>
      </c>
      <c r="E38" s="34" t="s">
        <v>91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H355"/>
  <sheetViews>
    <sheetView topLeftCell="A146" zoomScale="50" zoomScaleNormal="50" workbookViewId="0">
      <selection activeCell="E148" sqref="E148:E153"/>
    </sheetView>
  </sheetViews>
  <sheetFormatPr baseColWidth="10" defaultRowHeight="15" customHeight="1" x14ac:dyDescent="0.2"/>
  <cols>
    <col min="1" max="1" width="39.33203125" customWidth="1"/>
    <col min="2" max="2" width="84.21875" customWidth="1"/>
    <col min="3" max="3" width="16.21875" customWidth="1"/>
    <col min="4" max="4" width="100.21875" customWidth="1"/>
    <col min="5" max="5" width="19.33203125" customWidth="1"/>
    <col min="6" max="6" width="38.21875" customWidth="1"/>
    <col min="7" max="7" width="11.21875" customWidth="1"/>
    <col min="8" max="8" width="35.109375" customWidth="1"/>
  </cols>
  <sheetData>
    <row r="1" spans="6:8" ht="16.5" thickBot="1" x14ac:dyDescent="0.3">
      <c r="F1" s="8"/>
      <c r="G1" s="11" t="s">
        <v>20</v>
      </c>
      <c r="H1" s="9" t="s">
        <v>11</v>
      </c>
    </row>
    <row r="2" spans="6:8" x14ac:dyDescent="0.2">
      <c r="G2" s="2">
        <v>1</v>
      </c>
      <c r="H2" s="16" t="s">
        <v>21</v>
      </c>
    </row>
    <row r="3" spans="6:8" ht="15" customHeight="1" x14ac:dyDescent="0.2">
      <c r="G3" s="3">
        <v>2</v>
      </c>
      <c r="H3" s="6" t="s">
        <v>23</v>
      </c>
    </row>
    <row r="4" spans="6:8" ht="15" customHeight="1" x14ac:dyDescent="0.2">
      <c r="G4" s="5">
        <v>3</v>
      </c>
      <c r="H4" s="6" t="s">
        <v>25</v>
      </c>
    </row>
    <row r="5" spans="6:8" ht="15" customHeight="1" x14ac:dyDescent="0.2">
      <c r="G5" s="3">
        <v>4</v>
      </c>
      <c r="H5" s="6" t="s">
        <v>26</v>
      </c>
    </row>
    <row r="6" spans="6:8" ht="15" customHeight="1" x14ac:dyDescent="0.2">
      <c r="G6" s="5">
        <v>5</v>
      </c>
      <c r="H6" s="6" t="s">
        <v>28</v>
      </c>
    </row>
    <row r="7" spans="6:8" ht="15" customHeight="1" x14ac:dyDescent="0.2">
      <c r="G7" s="3">
        <v>6</v>
      </c>
      <c r="H7" s="6" t="s">
        <v>30</v>
      </c>
    </row>
    <row r="8" spans="6:8" ht="15" customHeight="1" x14ac:dyDescent="0.2">
      <c r="G8" s="5">
        <v>7</v>
      </c>
      <c r="H8" s="6" t="s">
        <v>32</v>
      </c>
    </row>
    <row r="9" spans="6:8" ht="15" customHeight="1" x14ac:dyDescent="0.2">
      <c r="G9" s="3">
        <v>8</v>
      </c>
      <c r="H9" s="6" t="s">
        <v>33</v>
      </c>
    </row>
    <row r="10" spans="6:8" ht="15" customHeight="1" x14ac:dyDescent="0.2">
      <c r="G10" s="5">
        <v>9</v>
      </c>
      <c r="H10" s="7" t="s">
        <v>35</v>
      </c>
    </row>
    <row r="11" spans="6:8" ht="15" customHeight="1" x14ac:dyDescent="0.2">
      <c r="G11" s="3">
        <v>10</v>
      </c>
      <c r="H11" s="4" t="s">
        <v>37</v>
      </c>
    </row>
    <row r="12" spans="6:8" ht="15" customHeight="1" x14ac:dyDescent="0.2">
      <c r="G12" s="5">
        <v>11</v>
      </c>
      <c r="H12" s="4" t="s">
        <v>38</v>
      </c>
    </row>
    <row r="13" spans="6:8" ht="15" customHeight="1" x14ac:dyDescent="0.2">
      <c r="G13" s="3">
        <v>12</v>
      </c>
      <c r="H13" s="4" t="s">
        <v>40</v>
      </c>
    </row>
    <row r="14" spans="6:8" ht="15" customHeight="1" x14ac:dyDescent="0.2">
      <c r="G14" s="5">
        <v>13</v>
      </c>
      <c r="H14" s="4" t="s">
        <v>19</v>
      </c>
    </row>
    <row r="15" spans="6:8" ht="15" customHeight="1" x14ac:dyDescent="0.2">
      <c r="G15" s="3">
        <v>14</v>
      </c>
      <c r="H15" s="4" t="s">
        <v>42</v>
      </c>
    </row>
    <row r="16" spans="6:8" ht="15" customHeight="1" x14ac:dyDescent="0.2">
      <c r="G16" s="5">
        <v>15</v>
      </c>
      <c r="H16" s="4" t="s">
        <v>73</v>
      </c>
    </row>
    <row r="17" spans="4:8" ht="15" customHeight="1" x14ac:dyDescent="0.2">
      <c r="G17" s="3">
        <v>16</v>
      </c>
      <c r="H17" s="4" t="s">
        <v>44</v>
      </c>
    </row>
    <row r="18" spans="4:8" ht="15" customHeight="1" x14ac:dyDescent="0.2">
      <c r="G18" s="5">
        <v>17</v>
      </c>
      <c r="H18" s="4" t="s">
        <v>45</v>
      </c>
    </row>
    <row r="19" spans="4:8" ht="15" customHeight="1" x14ac:dyDescent="0.2">
      <c r="G19" s="3">
        <v>18</v>
      </c>
      <c r="H19" s="4" t="s">
        <v>46</v>
      </c>
    </row>
    <row r="20" spans="4:8" ht="15" customHeight="1" x14ac:dyDescent="0.2">
      <c r="G20" s="5">
        <v>19</v>
      </c>
      <c r="H20" s="4" t="s">
        <v>48</v>
      </c>
    </row>
    <row r="21" spans="4:8" ht="15" customHeight="1" x14ac:dyDescent="0.2">
      <c r="G21" s="3">
        <v>20</v>
      </c>
      <c r="H21" s="4" t="s">
        <v>50</v>
      </c>
    </row>
    <row r="22" spans="4:8" ht="15" customHeight="1" x14ac:dyDescent="0.2">
      <c r="G22" s="5">
        <v>21</v>
      </c>
      <c r="H22" s="4" t="s">
        <v>52</v>
      </c>
    </row>
    <row r="23" spans="4:8" ht="15" customHeight="1" x14ac:dyDescent="0.2">
      <c r="G23" s="3">
        <v>22</v>
      </c>
      <c r="H23" s="4" t="s">
        <v>53</v>
      </c>
    </row>
    <row r="24" spans="4:8" ht="15" customHeight="1" x14ac:dyDescent="0.2">
      <c r="G24" s="17">
        <v>23</v>
      </c>
      <c r="H24" s="4" t="s">
        <v>55</v>
      </c>
    </row>
    <row r="25" spans="4:8" ht="15" customHeight="1" x14ac:dyDescent="0.2">
      <c r="G25" s="17">
        <v>24</v>
      </c>
      <c r="H25" s="4" t="s">
        <v>57</v>
      </c>
    </row>
    <row r="26" spans="4:8" ht="15" customHeight="1" x14ac:dyDescent="0.2">
      <c r="G26" s="17">
        <v>25</v>
      </c>
      <c r="H26" s="4" t="s">
        <v>59</v>
      </c>
    </row>
    <row r="27" spans="4:8" ht="15" customHeight="1" x14ac:dyDescent="0.2">
      <c r="G27" s="17">
        <v>26</v>
      </c>
      <c r="H27" s="4" t="s">
        <v>60</v>
      </c>
    </row>
    <row r="28" spans="4:8" ht="15" customHeight="1" x14ac:dyDescent="0.2">
      <c r="G28" s="17">
        <v>27</v>
      </c>
      <c r="H28" s="4" t="s">
        <v>61</v>
      </c>
    </row>
    <row r="29" spans="4:8" ht="15" customHeight="1" x14ac:dyDescent="0.2">
      <c r="G29" s="17">
        <v>28</v>
      </c>
      <c r="H29" s="4" t="s">
        <v>62</v>
      </c>
    </row>
    <row r="30" spans="4:8" ht="15" customHeight="1" x14ac:dyDescent="0.2">
      <c r="G30" s="17">
        <v>29</v>
      </c>
      <c r="H30" s="4" t="s">
        <v>64</v>
      </c>
    </row>
    <row r="31" spans="4:8" ht="15" customHeight="1" x14ac:dyDescent="0.2">
      <c r="G31" s="17">
        <v>30</v>
      </c>
      <c r="H31" s="4" t="s">
        <v>74</v>
      </c>
    </row>
    <row r="32" spans="4:8" ht="15" customHeight="1" x14ac:dyDescent="0.25">
      <c r="D32" s="8"/>
      <c r="G32" s="17">
        <v>31</v>
      </c>
      <c r="H32" s="4" t="s">
        <v>77</v>
      </c>
    </row>
    <row r="33" spans="1:8" x14ac:dyDescent="0.2">
      <c r="G33" s="17">
        <v>32</v>
      </c>
      <c r="H33" s="4" t="s">
        <v>78</v>
      </c>
    </row>
    <row r="34" spans="1:8" x14ac:dyDescent="0.2">
      <c r="G34" s="17">
        <v>33</v>
      </c>
      <c r="H34" s="4" t="s">
        <v>80</v>
      </c>
    </row>
    <row r="35" spans="1:8" x14ac:dyDescent="0.2">
      <c r="G35" s="17">
        <v>34</v>
      </c>
      <c r="H35" s="4" t="s">
        <v>81</v>
      </c>
    </row>
    <row r="36" spans="1:8" ht="15.75" thickBot="1" x14ac:dyDescent="0.25">
      <c r="G36" s="15">
        <v>35</v>
      </c>
      <c r="H36" s="18" t="s">
        <v>87</v>
      </c>
    </row>
    <row r="37" spans="1:8" ht="15.75" thickBot="1" x14ac:dyDescent="0.25">
      <c r="G37" s="37">
        <v>36</v>
      </c>
      <c r="H37" s="38" t="s">
        <v>90</v>
      </c>
    </row>
    <row r="38" spans="1:8" ht="59.25" customHeight="1" thickBot="1" x14ac:dyDescent="0.25">
      <c r="A38" s="12" t="s">
        <v>11</v>
      </c>
      <c r="B38" s="13" t="s">
        <v>70</v>
      </c>
      <c r="C38" s="13" t="s">
        <v>71</v>
      </c>
      <c r="D38" s="13" t="s">
        <v>72</v>
      </c>
      <c r="E38" s="14"/>
    </row>
    <row r="39" spans="1:8" ht="122.25" customHeight="1" x14ac:dyDescent="0.25">
      <c r="A39" s="19" t="str">
        <f>INSCRITOS!O2</f>
        <v>VIOLENCIA SEXUAL</v>
      </c>
      <c r="B39" s="8" t="str">
        <f>IF(A39=$H$19,"https://centrodecapacitaciondelsur.com/o-v-e-",IF(A39=$H$2,"https://centrodecapacitaciondelsur.com/aph-",IF(A39=$H$3,"https://centrodecapacitaciondelsur.com/manejo-del-duelo-",IF(A39=$H$4,"https://centrodecapacitaciondelsur.com/victimas-por-agentes-quimicos-",IF(A39=$H$5,"https://centrodecapacitaciondelsur.com/primeros-auxilios-",IF(A39=$H$6,"https://centrodecapacitaciondelsur.com/uci-",IF(A39=$H$8,"https://centrodecapacitaciondelsur.com/humanizacion-",IF(A39=$H$11,"https://centrodecapacitaciondelsur.com/soporte-cardiovascular-avanzado-",IF(A39=$H$12,"https://centrodecapacitaciondelsur.com/camillero-",IF(A39=$H$13,"https://centrodecapacitaciondelsur.com/toma-de-muestras-y-lab-clinico-",IF(A39=$H$14,"https://centrodecapacitaciondelsur.com/soporte-basico-de-vida-",IF(A39=$H$15,"https://centrodecapacitaciondelsur.com/violencia-sexual-",IF(A39=$H$17,"https://centrodecapacitaciondelsur.com/aiepi-",IF(A39=$H$18,"https://centrodecapacitaciondelsur.com/adm-medicamentos-canalizacion-inyectologia-",IF(A39=$H$25,"https://centrodecapacitaciondelsur.com/manejo-del-dolor-y-cuidados-paliativos-",IF(A39=$H$26,"https://centrodecapacitaciondelsur.com/toma-de-muestras-y-lab-clinico-poct-",IF(A39=$H$27,"https://centrodecapacitaciondelsur.com/implante-subdermico-",IF(A39=$H$21,"https://centrodecapacitaciondelsur.com/donante-de-organos-",IF(A39=$H$30,"https://centrodecapacitaciondelsur.com/atencion-a-victimas-del-conflicto-armado-",IF(A39=$H$20,"https://centrodecapacitaciondelsur.com/iami-",IF(A39=$H$22,"https://centrodecapacitaciondelsur.com/violencia-de-genero-",IF(A39=$H$23,"https://centrodecapacitaciondelsur.com/igualdad-de-genero-",IF(A39=$H$16,"https://centrodecapacitaciondelsur.com/pai-",IF(A39=$H$31,"https://centrodecapacitaciondelsur.com/manipulacion-de-alimentos-",IF(A39=$H$32,"https://centrodecapacitaciondelsur.com/atencion-a-personas-con-discapacidad-",IF(A39=$H$33,"https://centrodecapacitaciondelsur.com/atencion-al-adulto-mayor-",IF(A39=$H$34,"https://centrodecapacitaciondelsur.com/manejo-defensivo-",IF(A39=$H$35,"https://centrodecapacitaciondelsur.com/soporte-basico-neonatal-",IF(A39=$H$36,"https://centrodecapacitaciondelsur.com/seguridad-del-paciente-",IF(A39=$H$37,"https://centrodecapacitaciondelsur.com/manejo-de-residuos-hospitalarios-",IF(A39=$H$10,"https://centrodecapacitaciondelsur.com/toma-de-citologia-",IF(A39=$H$29,"https://centrodecapacitaciondelsur.com/primeros-aux-psicologicos-"))))))))))))))))))))))))))))))))</f>
        <v>https://centrodecapacitaciondelsur.com/violencia-sexual-</v>
      </c>
      <c r="C39" s="10">
        <f>INSCRITOS!B2</f>
        <v>1085339869</v>
      </c>
      <c r="D39" t="str">
        <f>CONCATENATE(B39,C39,"/")</f>
        <v>https://centrodecapacitaciondelsur.com/violencia-sexual-1085339869/</v>
      </c>
    </row>
    <row r="40" spans="1:8" ht="127.5" customHeight="1" x14ac:dyDescent="0.25">
      <c r="A40" s="19" t="str">
        <f>INSCRITOS!O3</f>
        <v>HUMANIZACION</v>
      </c>
      <c r="B40" s="8" t="str">
        <f t="shared" ref="B40:B47" si="0">IF(A40=$H$19,"https://centrodecapacitaciondelsur.com/o-v-e-",IF(A40=$H$2,"https://centrodecapacitaciondelsur.com/aph-",IF(A40=$H$3,"https://centrodecapacitaciondelsur.com/manejo-del-duelo-",IF(A40=$H$4,"https://centrodecapacitaciondelsur.com/victimas-por-agentes-quimicos-",IF(A40=$H$5,"https://centrodecapacitaciondelsur.com/primeros-auxilios-",IF(A40=$H$6,"https://centrodecapacitaciondelsur.com/uci-",IF(A40=$H$8,"https://centrodecapacitaciondelsur.com/humanizacion-",IF(A40=$H$11,"https://centrodecapacitaciondelsur.com/soporte-cardiovascular-avanzado-",IF(A40=$H$12,"https://centrodecapacitaciondelsur.com/camillero-",IF(A40=$H$13,"https://centrodecapacitaciondelsur.com/toma-de-muestras-y-lab-clinico-",IF(A40=$H$14,"https://centrodecapacitaciondelsur.com/soporte-basico-de-vida-",IF(A40=$H$15,"https://centrodecapacitaciondelsur.com/violencia-sexual-",IF(A40=$H$17,"https://centrodecapacitaciondelsur.com/aiepi-",IF(A40=$H$18,"https://centrodecapacitaciondelsur.com/adm-medicamentos-canalizacion-inyectologia-",IF(A40=$H$25,"https://centrodecapacitaciondelsur.com/manejo-del-dolor-y-cuidados-paliativos-",IF(A40=$H$26,"https://centrodecapacitaciondelsur.com/toma-de-muestras-y-lab-clinico-poct-",IF(A40=$H$27,"https://centrodecapacitaciondelsur.com/implante-subdermico-",IF(A40=$H$21,"https://centrodecapacitaciondelsur.com/donante-de-organos-",IF(A40=$H$30,"https://centrodecapacitaciondelsur.com/atencion-a-victimas-del-conflicto-armado-",IF(A40=$H$20,"https://centrodecapacitaciondelsur.com/iami-",IF(A40=$H$22,"https://centrodecapacitaciondelsur.com/violencia-de-genero-",IF(A40=$H$23,"https://centrodecapacitaciondelsur.com/igualdad-de-genero-",IF(A40=$H$16,"https://centrodecapacitaciondelsur.com/pai-",IF(A40=$H$31,"https://centrodecapacitaciondelsur.com/manipulacion-de-alimentos-",IF(A40=$H$32,"https://centrodecapacitaciondelsur.com/atencion-a-personas-con-discapacidad-",IF(A40=$H$33,"https://centrodecapacitaciondelsur.com/atencion-al-adulto-mayor-",IF(A40=$H$34,"https://centrodecapacitaciondelsur.com/manejo-defensivo-",IF(A40=$H$35,"https://centrodecapacitaciondelsur.com/soporte-basico-neonatal-",IF(A40=$H$36,"https://centrodecapacitaciondelsur.com/seguridad-del-paciente-",IF(A40=$H$37,"https://centrodecapacitaciondelsur.com/manejo-de-residuos-hospitalarios-",IF(A40=$H$10,"https://centrodecapacitaciondelsur.com/toma-de-citologia-",IF(A40=$H$29,"https://centrodecapacitaciondelsur.com/primeros-aux-psicologicos-"))))))))))))))))))))))))))))))))</f>
        <v>https://centrodecapacitaciondelsur.com/humanizacion-</v>
      </c>
      <c r="C40" s="10">
        <f>INSCRITOS!B3</f>
        <v>1004342833</v>
      </c>
      <c r="D40" t="str">
        <f t="shared" ref="D40:D47" si="1">CONCATENATE(B40,C40,"/")</f>
        <v>https://centrodecapacitaciondelsur.com/humanizacion-1004342833/</v>
      </c>
    </row>
    <row r="41" spans="1:8" ht="122.25" customHeight="1" x14ac:dyDescent="0.25">
      <c r="A41" s="19" t="str">
        <f>INSCRITOS!O4</f>
        <v>BLS</v>
      </c>
      <c r="B41" s="8" t="str">
        <f t="shared" si="0"/>
        <v>https://centrodecapacitaciondelsur.com/soporte-basico-de-vida-</v>
      </c>
      <c r="C41" s="10">
        <f>INSCRITOS!B4</f>
        <v>1004342833</v>
      </c>
      <c r="D41" t="str">
        <f t="shared" si="1"/>
        <v>https://centrodecapacitaciondelsur.com/soporte-basico-de-vida-1004342833/</v>
      </c>
    </row>
    <row r="42" spans="1:8" ht="122.25" customHeight="1" x14ac:dyDescent="0.25">
      <c r="A42" s="19" t="str">
        <f>INSCRITOS!O5</f>
        <v>BLS</v>
      </c>
      <c r="B42" s="8" t="str">
        <f t="shared" si="0"/>
        <v>https://centrodecapacitaciondelsur.com/soporte-basico-de-vida-</v>
      </c>
      <c r="C42" s="10">
        <f>INSCRITOS!B5</f>
        <v>1113635839</v>
      </c>
      <c r="D42" t="str">
        <f t="shared" si="1"/>
        <v>https://centrodecapacitaciondelsur.com/soporte-basico-de-vida-1113635839/</v>
      </c>
    </row>
    <row r="43" spans="1:8" ht="122.25" customHeight="1" x14ac:dyDescent="0.25">
      <c r="A43" s="19" t="str">
        <f>INSCRITOS!O6</f>
        <v>QUIMICOS</v>
      </c>
      <c r="B43" s="8" t="str">
        <f t="shared" si="0"/>
        <v>https://centrodecapacitaciondelsur.com/victimas-por-agentes-quimicos-</v>
      </c>
      <c r="C43" s="10">
        <f>INSCRITOS!B6</f>
        <v>1113635839</v>
      </c>
      <c r="D43" t="str">
        <f t="shared" si="1"/>
        <v>https://centrodecapacitaciondelsur.com/victimas-por-agentes-quimicos-1113635839/</v>
      </c>
    </row>
    <row r="44" spans="1:8" ht="122.25" customHeight="1" x14ac:dyDescent="0.25">
      <c r="A44" s="19" t="str">
        <f>INSCRITOS!O7</f>
        <v>VIOLENCIA SEXUAL</v>
      </c>
      <c r="B44" s="8" t="str">
        <f t="shared" si="0"/>
        <v>https://centrodecapacitaciondelsur.com/violencia-sexual-</v>
      </c>
      <c r="C44" s="10">
        <f>INSCRITOS!B7</f>
        <v>1113635839</v>
      </c>
      <c r="D44" t="str">
        <f t="shared" si="1"/>
        <v>https://centrodecapacitaciondelsur.com/violencia-sexual-1113635839/</v>
      </c>
    </row>
    <row r="45" spans="1:8" ht="122.25" customHeight="1" x14ac:dyDescent="0.25">
      <c r="A45" s="19" t="str">
        <f>INSCRITOS!O8</f>
        <v>DUELO</v>
      </c>
      <c r="B45" s="8" t="str">
        <f t="shared" si="0"/>
        <v>https://centrodecapacitaciondelsur.com/manejo-del-duelo-</v>
      </c>
      <c r="C45" s="10">
        <f>INSCRITOS!B8</f>
        <v>1113635839</v>
      </c>
      <c r="D45" t="str">
        <f t="shared" si="1"/>
        <v>https://centrodecapacitaciondelsur.com/manejo-del-duelo-1113635839/</v>
      </c>
    </row>
    <row r="46" spans="1:8" ht="122.25" customHeight="1" x14ac:dyDescent="0.25">
      <c r="A46" s="19" t="str">
        <f>INSCRITOS!O9</f>
        <v>HUMANIZACION</v>
      </c>
      <c r="B46" s="8" t="str">
        <f t="shared" si="0"/>
        <v>https://centrodecapacitaciondelsur.com/humanizacion-</v>
      </c>
      <c r="C46" s="10">
        <f>INSCRITOS!B9</f>
        <v>1113635839</v>
      </c>
      <c r="D46" t="str">
        <f t="shared" si="1"/>
        <v>https://centrodecapacitaciondelsur.com/humanizacion-1113635839/</v>
      </c>
    </row>
    <row r="47" spans="1:8" ht="122.25" customHeight="1" x14ac:dyDescent="0.25">
      <c r="A47" s="19" t="str">
        <f>INSCRITOS!O10</f>
        <v>HUMANIZACION</v>
      </c>
      <c r="B47" s="8" t="str">
        <f t="shared" si="0"/>
        <v>https://centrodecapacitaciondelsur.com/humanizacion-</v>
      </c>
      <c r="C47" s="10">
        <f>INSCRITOS!B10</f>
        <v>1088734431</v>
      </c>
      <c r="D47" t="str">
        <f t="shared" si="1"/>
        <v>https://centrodecapacitaciondelsur.com/humanizacion-1088734431/</v>
      </c>
    </row>
    <row r="48" spans="1:8" ht="122.25" customHeight="1" x14ac:dyDescent="0.25">
      <c r="A48" s="19" t="str">
        <f>INSCRITOS!O11</f>
        <v>ACLS</v>
      </c>
      <c r="B48" s="8" t="str">
        <f t="shared" ref="B48:B55" si="2">IF(A48=$H$19,"https://centrodecapacitaciondelsur.com/o-v-e-",IF(A48=$H$2,"https://centrodecapacitaciondelsur.com/aph-",IF(A48=$H$3,"https://centrodecapacitaciondelsur.com/manejo-del-duelo-",IF(A48=$H$4,"https://centrodecapacitaciondelsur.com/victimas-por-agentes-quimicos-",IF(A48=$H$5,"https://centrodecapacitaciondelsur.com/primeros-auxilios-",IF(A48=$H$6,"https://centrodecapacitaciondelsur.com/uci-",IF(A48=$H$8,"https://centrodecapacitaciondelsur.com/humanizacion-",IF(A48=$H$11,"https://centrodecapacitaciondelsur.com/soporte-cardiovascular-avanzado-",IF(A48=$H$12,"https://centrodecapacitaciondelsur.com/camillero-",IF(A48=$H$13,"https://centrodecapacitaciondelsur.com/toma-de-muestras-y-lab-clinico-",IF(A48=$H$14,"https://centrodecapacitaciondelsur.com/soporte-basico-de-vida-",IF(A48=$H$15,"https://centrodecapacitaciondelsur.com/violencia-sexual-",IF(A48=$H$17,"https://centrodecapacitaciondelsur.com/aiepi-",IF(A48=$H$18,"https://centrodecapacitaciondelsur.com/adm-medicamentos-canalizacion-inyectologia-",IF(A48=$H$25,"https://centrodecapacitaciondelsur.com/manejo-del-dolor-y-cuidados-paliativos-",IF(A48=$H$26,"https://centrodecapacitaciondelsur.com/toma-de-muestras-y-lab-clinico-poct-",IF(A48=$H$27,"https://centrodecapacitaciondelsur.com/implante-subdermico-",IF(A48=$H$21,"https://centrodecapacitaciondelsur.com/donante-de-organos-",IF(A48=$H$30,"https://centrodecapacitaciondelsur.com/atencion-a-victimas-del-conflicto-armado-",IF(A48=$H$20,"https://centrodecapacitaciondelsur.com/iami-",IF(A48=$H$22,"https://centrodecapacitaciondelsur.com/violencia-de-genero-",IF(A48=$H$23,"https://centrodecapacitaciondelsur.com/igualdad-de-genero-",IF(A48=$H$16,"https://centrodecapacitaciondelsur.com/pai-",IF(A48=$H$31,"https://centrodecapacitaciondelsur.com/manipulacion-de-alimentos-",IF(A48=$H$32,"https://centrodecapacitaciondelsur.com/atencion-a-personas-con-discapacidad-",IF(A48=$H$33,"https://centrodecapacitaciondelsur.com/atencion-al-adulto-mayor-",IF(A48=$H$34,"https://centrodecapacitaciondelsur.com/manejo-defensivo-",IF(A48=$H$35,"https://centrodecapacitaciondelsur.com/soporte-basico-neonatal-",IF(A48=$H$36,"https://centrodecapacitaciondelsur.com/seguridad-del-paciente-",IF(A48=$H$37,"https://centrodecapacitaciondelsur.com/manejo-de-residuos-hospitalarios-",IF(A48=$H$10,"https://centrodecapacitaciondelsur.com/toma-de-citologia-",IF(A48=$H$29,"https://centrodecapacitaciondelsur.com/primeros-aux-psicologicos-"))))))))))))))))))))))))))))))))</f>
        <v>https://centrodecapacitaciondelsur.com/soporte-cardiovascular-avanzado-</v>
      </c>
      <c r="C48" s="10">
        <f>INSCRITOS!B11</f>
        <v>1088738433</v>
      </c>
      <c r="D48" t="str">
        <f t="shared" ref="D48:D55" si="3">CONCATENATE(B48,C48,"/")</f>
        <v>https://centrodecapacitaciondelsur.com/soporte-cardiovascular-avanzado-1088738433/</v>
      </c>
    </row>
    <row r="49" spans="1:4" ht="122.25" customHeight="1" x14ac:dyDescent="0.25">
      <c r="A49" s="19" t="str">
        <f>INSCRITOS!O12</f>
        <v>BLS</v>
      </c>
      <c r="B49" s="8" t="str">
        <f t="shared" si="2"/>
        <v>https://centrodecapacitaciondelsur.com/soporte-basico-de-vida-</v>
      </c>
      <c r="C49" s="10">
        <f>INSCRITOS!B12</f>
        <v>1088738433</v>
      </c>
      <c r="D49" t="str">
        <f t="shared" si="3"/>
        <v>https://centrodecapacitaciondelsur.com/soporte-basico-de-vida-1088738433/</v>
      </c>
    </row>
    <row r="50" spans="1:4" ht="122.25" customHeight="1" x14ac:dyDescent="0.25">
      <c r="A50" s="19" t="str">
        <f>INSCRITOS!O13</f>
        <v>OVE</v>
      </c>
      <c r="B50" s="8" t="str">
        <f t="shared" si="2"/>
        <v>https://centrodecapacitaciondelsur.com/o-v-e-</v>
      </c>
      <c r="C50" s="10">
        <f>INSCRITOS!B13</f>
        <v>87217607</v>
      </c>
      <c r="D50" t="str">
        <f t="shared" si="3"/>
        <v>https://centrodecapacitaciondelsur.com/o-v-e-87217607/</v>
      </c>
    </row>
    <row r="51" spans="1:4" ht="122.25" customHeight="1" x14ac:dyDescent="0.25">
      <c r="A51" s="19" t="str">
        <f>INSCRITOS!O14</f>
        <v>BLS</v>
      </c>
      <c r="B51" s="8" t="str">
        <f t="shared" si="2"/>
        <v>https://centrodecapacitaciondelsur.com/soporte-basico-de-vida-</v>
      </c>
      <c r="C51" s="10">
        <f>INSCRITOS!B14</f>
        <v>27456179</v>
      </c>
      <c r="D51" t="str">
        <f t="shared" si="3"/>
        <v>https://centrodecapacitaciondelsur.com/soporte-basico-de-vida-27456179/</v>
      </c>
    </row>
    <row r="52" spans="1:4" ht="122.25" customHeight="1" x14ac:dyDescent="0.25">
      <c r="A52" s="19" t="str">
        <f>INSCRITOS!O15</f>
        <v>DUELO</v>
      </c>
      <c r="B52" s="8" t="str">
        <f t="shared" si="2"/>
        <v>https://centrodecapacitaciondelsur.com/manejo-del-duelo-</v>
      </c>
      <c r="C52" s="10">
        <f>INSCRITOS!B15</f>
        <v>27456179</v>
      </c>
      <c r="D52" t="str">
        <f t="shared" si="3"/>
        <v>https://centrodecapacitaciondelsur.com/manejo-del-duelo-27456179/</v>
      </c>
    </row>
    <row r="53" spans="1:4" ht="122.25" customHeight="1" x14ac:dyDescent="0.25">
      <c r="A53" s="19" t="str">
        <f>INSCRITOS!O16</f>
        <v>QUIMICOS</v>
      </c>
      <c r="B53" s="8" t="str">
        <f t="shared" si="2"/>
        <v>https://centrodecapacitaciondelsur.com/victimas-por-agentes-quimicos-</v>
      </c>
      <c r="C53" s="10">
        <f>INSCRITOS!B16</f>
        <v>27456179</v>
      </c>
      <c r="D53" t="str">
        <f t="shared" si="3"/>
        <v>https://centrodecapacitaciondelsur.com/victimas-por-agentes-quimicos-27456179/</v>
      </c>
    </row>
    <row r="54" spans="1:4" ht="122.25" customHeight="1" x14ac:dyDescent="0.25">
      <c r="A54" s="19" t="str">
        <f>INSCRITOS!O17</f>
        <v>VIOLENCIA SEXUAL</v>
      </c>
      <c r="B54" s="8" t="str">
        <f t="shared" si="2"/>
        <v>https://centrodecapacitaciondelsur.com/violencia-sexual-</v>
      </c>
      <c r="C54" s="10">
        <f>INSCRITOS!B17</f>
        <v>27456179</v>
      </c>
      <c r="D54" t="str">
        <f t="shared" si="3"/>
        <v>https://centrodecapacitaciondelsur.com/violencia-sexual-27456179/</v>
      </c>
    </row>
    <row r="55" spans="1:4" ht="122.25" customHeight="1" x14ac:dyDescent="0.25">
      <c r="A55" s="19" t="str">
        <f>INSCRITOS!O18</f>
        <v>BLS</v>
      </c>
      <c r="B55" s="8" t="str">
        <f t="shared" si="2"/>
        <v>https://centrodecapacitaciondelsur.com/soporte-basico-de-vida-</v>
      </c>
      <c r="C55" s="10">
        <f>INSCRITOS!B18</f>
        <v>1085328588</v>
      </c>
      <c r="D55" t="str">
        <f t="shared" si="3"/>
        <v>https://centrodecapacitaciondelsur.com/soporte-basico-de-vida-1085328588/</v>
      </c>
    </row>
    <row r="56" spans="1:4" ht="122.25" customHeight="1" x14ac:dyDescent="0.25">
      <c r="A56" s="19" t="str">
        <f>INSCRITOS!O19</f>
        <v>VIOLENCIA SEXUAL</v>
      </c>
      <c r="B56" s="8" t="str">
        <f t="shared" ref="B56:B73" si="4">IF(A56=$H$19,"https://centrodecapacitaciondelsur.com/o-v-e-",IF(A56=$H$2,"https://centrodecapacitaciondelsur.com/aph-",IF(A56=$H$3,"https://centrodecapacitaciondelsur.com/manejo-del-duelo-",IF(A56=$H$4,"https://centrodecapacitaciondelsur.com/victimas-por-agentes-quimicos-",IF(A56=$H$5,"https://centrodecapacitaciondelsur.com/primeros-auxilios-",IF(A56=$H$6,"https://centrodecapacitaciondelsur.com/uci-",IF(A56=$H$8,"https://centrodecapacitaciondelsur.com/humanizacion-",IF(A56=$H$11,"https://centrodecapacitaciondelsur.com/soporte-cardiovascular-avanzado-",IF(A56=$H$12,"https://centrodecapacitaciondelsur.com/camillero-",IF(A56=$H$13,"https://centrodecapacitaciondelsur.com/toma-de-muestras-y-lab-clinico-",IF(A56=$H$14,"https://centrodecapacitaciondelsur.com/soporte-basico-de-vida-",IF(A56=$H$15,"https://centrodecapacitaciondelsur.com/violencia-sexual-",IF(A56=$H$17,"https://centrodecapacitaciondelsur.com/aiepi-",IF(A56=$H$18,"https://centrodecapacitaciondelsur.com/adm-medicamentos-canalizacion-inyectologia-",IF(A56=$H$25,"https://centrodecapacitaciondelsur.com/manejo-del-dolor-y-cuidados-paliativos-",IF(A56=$H$26,"https://centrodecapacitaciondelsur.com/toma-de-muestras-y-lab-clinico-poct-",IF(A56=$H$27,"https://centrodecapacitaciondelsur.com/implante-subdermico-",IF(A56=$H$21,"https://centrodecapacitaciondelsur.com/donante-de-organos-",IF(A56=$H$30,"https://centrodecapacitaciondelsur.com/atencion-a-victimas-del-conflicto-armado-",IF(A56=$H$20,"https://centrodecapacitaciondelsur.com/iami-",IF(A56=$H$22,"https://centrodecapacitaciondelsur.com/violencia-de-genero-",IF(A56=$H$23,"https://centrodecapacitaciondelsur.com/igualdad-de-genero-",IF(A56=$H$16,"https://centrodecapacitaciondelsur.com/pai-",IF(A56=$H$31,"https://centrodecapacitaciondelsur.com/manipulacion-de-alimentos-",IF(A56=$H$32,"https://centrodecapacitaciondelsur.com/atencion-a-personas-con-discapacidad-",IF(A56=$H$33,"https://centrodecapacitaciondelsur.com/atencion-al-adulto-mayor-",IF(A56=$H$34,"https://centrodecapacitaciondelsur.com/manejo-defensivo-",IF(A56=$H$35,"https://centrodecapacitaciondelsur.com/soporte-basico-neonatal-",IF(A56=$H$36,"https://centrodecapacitaciondelsur.com/seguridad-del-paciente-",IF(A56=$H$37,"https://centrodecapacitaciondelsur.com/manejo-de-residuos-hospitalarios-",IF(A56=$H$10,"https://centrodecapacitaciondelsur.com/toma-de-citologia-",IF(A56=$H$29,"https://centrodecapacitaciondelsur.com/primeros-aux-psicologicos-"))))))))))))))))))))))))))))))))</f>
        <v>https://centrodecapacitaciondelsur.com/violencia-sexual-</v>
      </c>
      <c r="C56" s="10">
        <f>INSCRITOS!B19</f>
        <v>1114829052</v>
      </c>
      <c r="D56" t="str">
        <f t="shared" ref="D56:D73" si="5">CONCATENATE(B56,C56,"/")</f>
        <v>https://centrodecapacitaciondelsur.com/violencia-sexual-1114829052/</v>
      </c>
    </row>
    <row r="57" spans="1:4" ht="122.25" customHeight="1" x14ac:dyDescent="0.25">
      <c r="A57" s="19" t="str">
        <f>INSCRITOS!O20</f>
        <v>DUELO</v>
      </c>
      <c r="B57" s="8" t="str">
        <f t="shared" si="4"/>
        <v>https://centrodecapacitaciondelsur.com/manejo-del-duelo-</v>
      </c>
      <c r="C57" s="10">
        <f>INSCRITOS!B20</f>
        <v>1114829052</v>
      </c>
      <c r="D57" t="str">
        <f t="shared" si="5"/>
        <v>https://centrodecapacitaciondelsur.com/manejo-del-duelo-1114829052/</v>
      </c>
    </row>
    <row r="58" spans="1:4" ht="122.25" customHeight="1" x14ac:dyDescent="0.25">
      <c r="A58" s="19" t="str">
        <f>INSCRITOS!O21</f>
        <v>PALIATIVOS</v>
      </c>
      <c r="B58" s="8" t="str">
        <f t="shared" si="4"/>
        <v>https://centrodecapacitaciondelsur.com/manejo-del-dolor-y-cuidados-paliativos-</v>
      </c>
      <c r="C58" s="10">
        <f>INSCRITOS!B21</f>
        <v>1085277492</v>
      </c>
      <c r="D58" t="str">
        <f t="shared" si="5"/>
        <v>https://centrodecapacitaciondelsur.com/manejo-del-dolor-y-cuidados-paliativos-1085277492/</v>
      </c>
    </row>
    <row r="59" spans="1:4" ht="122.25" customHeight="1" x14ac:dyDescent="0.25">
      <c r="A59" s="19" t="str">
        <f>INSCRITOS!O22</f>
        <v>DUELO</v>
      </c>
      <c r="B59" s="8" t="str">
        <f t="shared" si="4"/>
        <v>https://centrodecapacitaciondelsur.com/manejo-del-duelo-</v>
      </c>
      <c r="C59" s="10">
        <f>INSCRITOS!B22</f>
        <v>1085277492</v>
      </c>
      <c r="D59" t="str">
        <f t="shared" si="5"/>
        <v>https://centrodecapacitaciondelsur.com/manejo-del-duelo-1085277492/</v>
      </c>
    </row>
    <row r="60" spans="1:4" ht="122.25" customHeight="1" x14ac:dyDescent="0.25">
      <c r="A60" s="19" t="str">
        <f>INSCRITOS!O23</f>
        <v>VIOLENCIA SEXUAL</v>
      </c>
      <c r="B60" s="8" t="str">
        <f t="shared" si="4"/>
        <v>https://centrodecapacitaciondelsur.com/violencia-sexual-</v>
      </c>
      <c r="C60" s="10">
        <f>INSCRITOS!B23</f>
        <v>1085277492</v>
      </c>
      <c r="D60" t="str">
        <f t="shared" si="5"/>
        <v>https://centrodecapacitaciondelsur.com/violencia-sexual-1085277492/</v>
      </c>
    </row>
    <row r="61" spans="1:4" ht="122.25" customHeight="1" x14ac:dyDescent="0.25">
      <c r="A61" s="19" t="str">
        <f>INSCRITOS!O24</f>
        <v>QUIMICOS</v>
      </c>
      <c r="B61" s="8" t="str">
        <f t="shared" si="4"/>
        <v>https://centrodecapacitaciondelsur.com/victimas-por-agentes-quimicos-</v>
      </c>
      <c r="C61" s="10">
        <f>INSCRITOS!B24</f>
        <v>1004608544</v>
      </c>
      <c r="D61" t="str">
        <f t="shared" si="5"/>
        <v>https://centrodecapacitaciondelsur.com/victimas-por-agentes-quimicos-1004608544/</v>
      </c>
    </row>
    <row r="62" spans="1:4" ht="122.25" customHeight="1" x14ac:dyDescent="0.25">
      <c r="A62" s="19" t="str">
        <f>INSCRITOS!O25</f>
        <v>TOMA DE MUESTRAS</v>
      </c>
      <c r="B62" s="8" t="str">
        <f t="shared" si="4"/>
        <v>https://centrodecapacitaciondelsur.com/toma-de-muestras-y-lab-clinico-</v>
      </c>
      <c r="C62" s="10">
        <f>INSCRITOS!B25</f>
        <v>1085913837</v>
      </c>
      <c r="D62" t="str">
        <f t="shared" si="5"/>
        <v>https://centrodecapacitaciondelsur.com/toma-de-muestras-y-lab-clinico-1085913837/</v>
      </c>
    </row>
    <row r="63" spans="1:4" ht="122.25" customHeight="1" x14ac:dyDescent="0.25">
      <c r="A63" s="19" t="str">
        <f>INSCRITOS!O26</f>
        <v>PALIATIVOS</v>
      </c>
      <c r="B63" s="8" t="str">
        <f t="shared" si="4"/>
        <v>https://centrodecapacitaciondelsur.com/manejo-del-dolor-y-cuidados-paliativos-</v>
      </c>
      <c r="C63" s="10">
        <f>INSCRITOS!B26</f>
        <v>1085913837</v>
      </c>
      <c r="D63" t="str">
        <f t="shared" si="5"/>
        <v>https://centrodecapacitaciondelsur.com/manejo-del-dolor-y-cuidados-paliativos-1085913837/</v>
      </c>
    </row>
    <row r="64" spans="1:4" ht="122.25" customHeight="1" x14ac:dyDescent="0.25">
      <c r="A64" s="19" t="str">
        <f>INSCRITOS!O27</f>
        <v>ADMON DE MEDICAMENTOS</v>
      </c>
      <c r="B64" s="8" t="str">
        <f t="shared" si="4"/>
        <v>https://centrodecapacitaciondelsur.com/adm-medicamentos-canalizacion-inyectologia-</v>
      </c>
      <c r="C64" s="10">
        <f>INSCRITOS!B27</f>
        <v>1085913837</v>
      </c>
      <c r="D64" t="str">
        <f t="shared" si="5"/>
        <v>https://centrodecapacitaciondelsur.com/adm-medicamentos-canalizacion-inyectologia-1085913837/</v>
      </c>
    </row>
    <row r="65" spans="1:4" ht="122.25" customHeight="1" x14ac:dyDescent="0.25">
      <c r="A65" s="19" t="str">
        <f>INSCRITOS!O28</f>
        <v>BLS</v>
      </c>
      <c r="B65" s="8" t="str">
        <f t="shared" si="4"/>
        <v>https://centrodecapacitaciondelsur.com/soporte-basico-de-vida-</v>
      </c>
      <c r="C65" s="10">
        <f>INSCRITOS!B28</f>
        <v>1085913837</v>
      </c>
      <c r="D65" t="str">
        <f t="shared" si="5"/>
        <v>https://centrodecapacitaciondelsur.com/soporte-basico-de-vida-1085913837/</v>
      </c>
    </row>
    <row r="66" spans="1:4" ht="122.25" customHeight="1" x14ac:dyDescent="0.25">
      <c r="A66" s="19" t="str">
        <f>INSCRITOS!O29</f>
        <v>DUELO</v>
      </c>
      <c r="B66" s="8" t="str">
        <f t="shared" si="4"/>
        <v>https://centrodecapacitaciondelsur.com/manejo-del-duelo-</v>
      </c>
      <c r="C66" s="10">
        <f>INSCRITOS!B29</f>
        <v>1085281780</v>
      </c>
      <c r="D66" t="str">
        <f t="shared" si="5"/>
        <v>https://centrodecapacitaciondelsur.com/manejo-del-duelo-1085281780/</v>
      </c>
    </row>
    <row r="67" spans="1:4" ht="122.25" customHeight="1" x14ac:dyDescent="0.25">
      <c r="A67" s="19" t="str">
        <f>INSCRITOS!O30</f>
        <v>HUMANIZACION</v>
      </c>
      <c r="B67" s="8" t="str">
        <f t="shared" si="4"/>
        <v>https://centrodecapacitaciondelsur.com/humanizacion-</v>
      </c>
      <c r="C67" s="10">
        <f>INSCRITOS!B30</f>
        <v>1085281780</v>
      </c>
      <c r="D67" t="str">
        <f t="shared" si="5"/>
        <v>https://centrodecapacitaciondelsur.com/humanizacion-1085281780/</v>
      </c>
    </row>
    <row r="68" spans="1:4" ht="122.25" customHeight="1" x14ac:dyDescent="0.25">
      <c r="A68" s="19" t="str">
        <f>INSCRITOS!O31</f>
        <v>PRIMEROS AUXILIOS</v>
      </c>
      <c r="B68" s="8" t="str">
        <f t="shared" si="4"/>
        <v>https://centrodecapacitaciondelsur.com/primeros-auxilios-</v>
      </c>
      <c r="C68" s="10">
        <f>INSCRITOS!B31</f>
        <v>1086132741</v>
      </c>
      <c r="D68" t="str">
        <f t="shared" si="5"/>
        <v>https://centrodecapacitaciondelsur.com/primeros-auxilios-1086132741/</v>
      </c>
    </row>
    <row r="69" spans="1:4" ht="122.25" customHeight="1" x14ac:dyDescent="0.25">
      <c r="A69" s="19" t="str">
        <f>INSCRITOS!O32</f>
        <v>BLS</v>
      </c>
      <c r="B69" s="8" t="str">
        <f t="shared" si="4"/>
        <v>https://centrodecapacitaciondelsur.com/soporte-basico-de-vida-</v>
      </c>
      <c r="C69" s="10">
        <f>INSCRITOS!B32</f>
        <v>1233190224</v>
      </c>
      <c r="D69" t="str">
        <f t="shared" si="5"/>
        <v>https://centrodecapacitaciondelsur.com/soporte-basico-de-vida-1233190224/</v>
      </c>
    </row>
    <row r="70" spans="1:4" ht="122.25" customHeight="1" x14ac:dyDescent="0.25">
      <c r="A70" s="19" t="str">
        <f>INSCRITOS!O33</f>
        <v>AIEPI</v>
      </c>
      <c r="B70" s="8" t="str">
        <f t="shared" si="4"/>
        <v>https://centrodecapacitaciondelsur.com/aiepi-</v>
      </c>
      <c r="C70" s="10">
        <f>INSCRITOS!B33</f>
        <v>1088738433</v>
      </c>
      <c r="D70" t="str">
        <f t="shared" si="5"/>
        <v>https://centrodecapacitaciondelsur.com/aiepi-1088738433/</v>
      </c>
    </row>
    <row r="71" spans="1:4" ht="122.25" customHeight="1" x14ac:dyDescent="0.25">
      <c r="A71" s="19" t="str">
        <f>INSCRITOS!O34</f>
        <v>CAMILLERO</v>
      </c>
      <c r="B71" s="8" t="str">
        <f t="shared" si="4"/>
        <v>https://centrodecapacitaciondelsur.com/camillero-</v>
      </c>
      <c r="C71" s="10">
        <f>INSCRITOS!B34</f>
        <v>1233188825</v>
      </c>
      <c r="D71" t="str">
        <f t="shared" si="5"/>
        <v>https://centrodecapacitaciondelsur.com/camillero-1233188825/</v>
      </c>
    </row>
    <row r="72" spans="1:4" ht="122.25" customHeight="1" x14ac:dyDescent="0.25">
      <c r="A72" s="19" t="str">
        <f>INSCRITOS!O35</f>
        <v>HUMANIZACION</v>
      </c>
      <c r="B72" s="8" t="str">
        <f t="shared" si="4"/>
        <v>https://centrodecapacitaciondelsur.com/humanizacion-</v>
      </c>
      <c r="C72" s="10">
        <f>INSCRITOS!B35</f>
        <v>59395650</v>
      </c>
      <c r="D72" t="str">
        <f t="shared" si="5"/>
        <v>https://centrodecapacitaciondelsur.com/humanizacion-59395650/</v>
      </c>
    </row>
    <row r="73" spans="1:4" ht="122.25" customHeight="1" x14ac:dyDescent="0.25">
      <c r="A73" s="19" t="str">
        <f>INSCRITOS!O36</f>
        <v>HUMANIZACION</v>
      </c>
      <c r="B73" s="8" t="str">
        <f t="shared" si="4"/>
        <v>https://centrodecapacitaciondelsur.com/humanizacion-</v>
      </c>
      <c r="C73" s="10">
        <f>INSCRITOS!B36</f>
        <v>1085317375</v>
      </c>
      <c r="D73" t="str">
        <f t="shared" si="5"/>
        <v>https://centrodecapacitaciondelsur.com/humanizacion-1085317375/</v>
      </c>
    </row>
    <row r="74" spans="1:4" ht="122.25" customHeight="1" x14ac:dyDescent="0.25">
      <c r="A74" s="19" t="str">
        <f>INSCRITOS!O37</f>
        <v>VIOLENCIA SEXUAL</v>
      </c>
      <c r="B74" s="8" t="str">
        <f t="shared" ref="B74:B123" si="6">IF(A74=$H$19,"https://centrodecapacitaciondelsur.com/o-v-e-",IF(A74=$H$2,"https://centrodecapacitaciondelsur.com/aph-",IF(A74=$H$3,"https://centrodecapacitaciondelsur.com/manejo-del-duelo-",IF(A74=$H$4,"https://centrodecapacitaciondelsur.com/victimas-por-agentes-quimicos-",IF(A74=$H$5,"https://centrodecapacitaciondelsur.com/primeros-auxilios-",IF(A74=$H$6,"https://centrodecapacitaciondelsur.com/uci-",IF(A74=$H$8,"https://centrodecapacitaciondelsur.com/humanizacion-",IF(A74=$H$11,"https://centrodecapacitaciondelsur.com/soporte-cardiovascular-avanzado-",IF(A74=$H$12,"https://centrodecapacitaciondelsur.com/camillero-",IF(A74=$H$13,"https://centrodecapacitaciondelsur.com/toma-de-muestras-y-lab-clinico-",IF(A74=$H$14,"https://centrodecapacitaciondelsur.com/soporte-basico-de-vida-",IF(A74=$H$15,"https://centrodecapacitaciondelsur.com/violencia-sexual-",IF(A74=$H$17,"https://centrodecapacitaciondelsur.com/aiepi-",IF(A74=$H$18,"https://centrodecapacitaciondelsur.com/adm-medicamentos-canalizacion-inyectologia-",IF(A74=$H$25,"https://centrodecapacitaciondelsur.com/manejo-del-dolor-y-cuidados-paliativos-",IF(A74=$H$26,"https://centrodecapacitaciondelsur.com/toma-de-muestras-y-lab-clinico-poct-",IF(A74=$H$27,"https://centrodecapacitaciondelsur.com/implante-subdermico-",IF(A74=$H$21,"https://centrodecapacitaciondelsur.com/donante-de-organos-",IF(A74=$H$30,"https://centrodecapacitaciondelsur.com/atencion-a-victimas-del-conflicto-armado-",IF(A74=$H$20,"https://centrodecapacitaciondelsur.com/iami-",IF(A74=$H$22,"https://centrodecapacitaciondelsur.com/violencia-de-genero-",IF(A74=$H$23,"https://centrodecapacitaciondelsur.com/igualdad-de-genero-",IF(A74=$H$16,"https://centrodecapacitaciondelsur.com/pai-",IF(A74=$H$31,"https://centrodecapacitaciondelsur.com/manipulacion-de-alimentos-",IF(A74=$H$32,"https://centrodecapacitaciondelsur.com/atencion-a-personas-con-discapacidad-",IF(A74=$H$33,"https://centrodecapacitaciondelsur.com/atencion-al-adulto-mayor-",IF(A74=$H$34,"https://centrodecapacitaciondelsur.com/manejo-defensivo-",IF(A74=$H$35,"https://centrodecapacitaciondelsur.com/soporte-basico-neonatal-",IF(A74=$H$36,"https://centrodecapacitaciondelsur.com/seguridad-del-paciente-",IF(A74=$H$37,"https://centrodecapacitaciondelsur.com/manejo-de-residuos-hospitalarios-",IF(A74=$H$10,"https://centrodecapacitaciondelsur.com/toma-de-citologia-",IF(A74=$H$29,"https://centrodecapacitaciondelsur.com/primeros-aux-psicologicos-"))))))))))))))))))))))))))))))))</f>
        <v>https://centrodecapacitaciondelsur.com/violencia-sexual-</v>
      </c>
      <c r="C74" s="10">
        <f>INSCRITOS!B37</f>
        <v>1004597961</v>
      </c>
      <c r="D74" t="str">
        <f t="shared" ref="D74:D123" si="7">CONCATENATE(B74,C74,"/")</f>
        <v>https://centrodecapacitaciondelsur.com/violencia-sexual-1004597961/</v>
      </c>
    </row>
    <row r="75" spans="1:4" ht="122.25" customHeight="1" x14ac:dyDescent="0.25">
      <c r="A75" s="19" t="str">
        <f>INSCRITOS!O38</f>
        <v>ADMON DE MEDICAMENTOS</v>
      </c>
      <c r="B75" s="8" t="str">
        <f t="shared" si="6"/>
        <v>https://centrodecapacitaciondelsur.com/adm-medicamentos-canalizacion-inyectologia-</v>
      </c>
      <c r="C75" s="10">
        <f>INSCRITOS!B38</f>
        <v>1081275029</v>
      </c>
      <c r="D75" t="str">
        <f t="shared" si="7"/>
        <v>https://centrodecapacitaciondelsur.com/adm-medicamentos-canalizacion-inyectologia-1081275029/</v>
      </c>
    </row>
    <row r="76" spans="1:4" ht="122.25" customHeight="1" x14ac:dyDescent="0.25">
      <c r="A76" s="19" t="str">
        <f>INSCRITOS!O39</f>
        <v>ADMON DE MEDICAMENTOS</v>
      </c>
      <c r="B76" s="8" t="str">
        <f t="shared" si="6"/>
        <v>https://centrodecapacitaciondelsur.com/adm-medicamentos-canalizacion-inyectologia-</v>
      </c>
      <c r="C76" s="10">
        <f>INSCRITOS!B39</f>
        <v>1085334688</v>
      </c>
      <c r="D76" t="str">
        <f t="shared" si="7"/>
        <v>https://centrodecapacitaciondelsur.com/adm-medicamentos-canalizacion-inyectologia-1085334688/</v>
      </c>
    </row>
    <row r="77" spans="1:4" ht="122.25" customHeight="1" x14ac:dyDescent="0.25">
      <c r="A77" s="19" t="str">
        <f>INSCRITOS!O40</f>
        <v>ADMON DE MEDICAMENTOS</v>
      </c>
      <c r="B77" s="8" t="str">
        <f t="shared" si="6"/>
        <v>https://centrodecapacitaciondelsur.com/adm-medicamentos-canalizacion-inyectologia-</v>
      </c>
      <c r="C77" s="10">
        <f>INSCRITOS!B40</f>
        <v>1085331820</v>
      </c>
      <c r="D77" t="str">
        <f t="shared" si="7"/>
        <v>https://centrodecapacitaciondelsur.com/adm-medicamentos-canalizacion-inyectologia-1085331820/</v>
      </c>
    </row>
    <row r="78" spans="1:4" ht="122.25" customHeight="1" x14ac:dyDescent="0.25">
      <c r="A78" s="19" t="str">
        <f>INSCRITOS!O41</f>
        <v>ADMON DE MEDICAMENTOS</v>
      </c>
      <c r="B78" s="8" t="str">
        <f t="shared" si="6"/>
        <v>https://centrodecapacitaciondelsur.com/adm-medicamentos-canalizacion-inyectologia-</v>
      </c>
      <c r="C78" s="10">
        <f>INSCRITOS!B41</f>
        <v>1085287790</v>
      </c>
      <c r="D78" t="str">
        <f t="shared" si="7"/>
        <v>https://centrodecapacitaciondelsur.com/adm-medicamentos-canalizacion-inyectologia-1085287790/</v>
      </c>
    </row>
    <row r="79" spans="1:4" ht="122.25" customHeight="1" x14ac:dyDescent="0.25">
      <c r="A79" s="19" t="str">
        <f>INSCRITOS!O42</f>
        <v>ADMON DE MEDICAMENTOS</v>
      </c>
      <c r="B79" s="8" t="str">
        <f t="shared" si="6"/>
        <v>https://centrodecapacitaciondelsur.com/adm-medicamentos-canalizacion-inyectologia-</v>
      </c>
      <c r="C79" s="10">
        <f>INSCRITOS!B42</f>
        <v>1081572038</v>
      </c>
      <c r="D79" t="str">
        <f t="shared" si="7"/>
        <v>https://centrodecapacitaciondelsur.com/adm-medicamentos-canalizacion-inyectologia-1081572038/</v>
      </c>
    </row>
    <row r="80" spans="1:4" ht="122.25" customHeight="1" x14ac:dyDescent="0.25">
      <c r="A80" s="19" t="str">
        <f>INSCRITOS!O43</f>
        <v>ACLS</v>
      </c>
      <c r="B80" s="8" t="str">
        <f t="shared" si="6"/>
        <v>https://centrodecapacitaciondelsur.com/soporte-cardiovascular-avanzado-</v>
      </c>
      <c r="C80" s="10">
        <f>INSCRITOS!B43</f>
        <v>1088733528</v>
      </c>
      <c r="D80" t="str">
        <f t="shared" si="7"/>
        <v>https://centrodecapacitaciondelsur.com/soporte-cardiovascular-avanzado-1088733528/</v>
      </c>
    </row>
    <row r="81" spans="1:6" ht="122.25" customHeight="1" x14ac:dyDescent="0.25">
      <c r="A81" s="19" t="str">
        <f>INSCRITOS!O44</f>
        <v>QUIMICOS</v>
      </c>
      <c r="B81" s="8" t="str">
        <f t="shared" si="6"/>
        <v>https://centrodecapacitaciondelsur.com/victimas-por-agentes-quimicos-</v>
      </c>
      <c r="C81" s="10">
        <f>INSCRITOS!B44</f>
        <v>1088733528</v>
      </c>
      <c r="D81" t="str">
        <f t="shared" si="7"/>
        <v>https://centrodecapacitaciondelsur.com/victimas-por-agentes-quimicos-1088733528/</v>
      </c>
    </row>
    <row r="82" spans="1:6" ht="122.25" customHeight="1" x14ac:dyDescent="0.25">
      <c r="A82" s="19" t="str">
        <f>INSCRITOS!O45</f>
        <v>VIOLENCIA SEXUAL</v>
      </c>
      <c r="B82" s="8" t="str">
        <f t="shared" si="6"/>
        <v>https://centrodecapacitaciondelsur.com/violencia-sexual-</v>
      </c>
      <c r="C82" s="10">
        <f>INSCRITOS!B45</f>
        <v>1088733528</v>
      </c>
      <c r="D82" t="str">
        <f t="shared" si="7"/>
        <v>https://centrodecapacitaciondelsur.com/violencia-sexual-1088733528/</v>
      </c>
    </row>
    <row r="83" spans="1:6" ht="122.25" customHeight="1" x14ac:dyDescent="0.25">
      <c r="A83" s="19" t="str">
        <f>INSCRITOS!O46</f>
        <v>USO Y MANEJO DEL DEA</v>
      </c>
      <c r="B83" s="8" t="s">
        <v>242</v>
      </c>
      <c r="C83" s="10">
        <f>INSCRITOS!B46</f>
        <v>1085337318</v>
      </c>
      <c r="D83" t="str">
        <f t="shared" si="7"/>
        <v>https://centrodecapacitaciondelsur.com/uso-y-manejo-del-dea-1085337318/</v>
      </c>
    </row>
    <row r="84" spans="1:6" ht="122.25" customHeight="1" x14ac:dyDescent="0.25">
      <c r="A84" s="19" t="str">
        <f>INSCRITOS!O47</f>
        <v>VIOLENCIA SEXUAL</v>
      </c>
      <c r="B84" s="8" t="str">
        <f t="shared" si="6"/>
        <v>https://centrodecapacitaciondelsur.com/violencia-sexual-</v>
      </c>
      <c r="C84" s="10">
        <f>INSCRITOS!B47</f>
        <v>1085337318</v>
      </c>
      <c r="D84" t="str">
        <f t="shared" si="7"/>
        <v>https://centrodecapacitaciondelsur.com/violencia-sexual-1085337318/</v>
      </c>
    </row>
    <row r="85" spans="1:6" ht="122.25" customHeight="1" x14ac:dyDescent="0.25">
      <c r="A85" s="19" t="str">
        <f>INSCRITOS!O48</f>
        <v>QUIMICOS</v>
      </c>
      <c r="B85" s="8" t="str">
        <f t="shared" si="6"/>
        <v>https://centrodecapacitaciondelsur.com/victimas-por-agentes-quimicos-</v>
      </c>
      <c r="C85" s="10">
        <f>INSCRITOS!B48</f>
        <v>1085337318</v>
      </c>
      <c r="D85" t="str">
        <f t="shared" si="7"/>
        <v>https://centrodecapacitaciondelsur.com/victimas-por-agentes-quimicos-1085337318/</v>
      </c>
    </row>
    <row r="86" spans="1:6" ht="122.25" customHeight="1" x14ac:dyDescent="0.25">
      <c r="A86" s="19" t="str">
        <f>INSCRITOS!O49</f>
        <v>ADMON DE MEDICAMENTOS</v>
      </c>
      <c r="B86" s="8" t="str">
        <f t="shared" si="6"/>
        <v>https://centrodecapacitaciondelsur.com/adm-medicamentos-canalizacion-inyectologia-</v>
      </c>
      <c r="C86" s="10">
        <f>INSCRITOS!B49</f>
        <v>1004535548</v>
      </c>
      <c r="D86" t="str">
        <f t="shared" si="7"/>
        <v>https://centrodecapacitaciondelsur.com/adm-medicamentos-canalizacion-inyectologia-1004535548/</v>
      </c>
    </row>
    <row r="87" spans="1:6" ht="122.25" customHeight="1" x14ac:dyDescent="0.25">
      <c r="A87" s="19" t="str">
        <f>INSCRITOS!O50</f>
        <v>ADMON DE MEDICAMENTOS</v>
      </c>
      <c r="B87" s="8" t="str">
        <f t="shared" si="6"/>
        <v>https://centrodecapacitaciondelsur.com/adm-medicamentos-canalizacion-inyectologia-</v>
      </c>
      <c r="C87" s="10">
        <f>INSCRITOS!B50</f>
        <v>1087419091</v>
      </c>
      <c r="D87" t="str">
        <f t="shared" si="7"/>
        <v>https://centrodecapacitaciondelsur.com/adm-medicamentos-canalizacion-inyectologia-1087419091/</v>
      </c>
    </row>
    <row r="88" spans="1:6" ht="122.25" customHeight="1" x14ac:dyDescent="0.25">
      <c r="A88" s="19" t="str">
        <f>INSCRITOS!O51</f>
        <v>QUIMICOS</v>
      </c>
      <c r="B88" s="8" t="str">
        <f t="shared" si="6"/>
        <v>https://centrodecapacitaciondelsur.com/victimas-por-agentes-quimicos-</v>
      </c>
      <c r="C88" s="10">
        <f>INSCRITOS!B51</f>
        <v>1114829052</v>
      </c>
      <c r="D88" t="str">
        <f t="shared" si="7"/>
        <v>https://centrodecapacitaciondelsur.com/victimas-por-agentes-quimicos-1114829052/</v>
      </c>
    </row>
    <row r="89" spans="1:6" ht="122.25" customHeight="1" x14ac:dyDescent="0.25">
      <c r="A89" s="19" t="str">
        <f>INSCRITOS!O52</f>
        <v>ACLS</v>
      </c>
      <c r="B89" s="8" t="str">
        <f t="shared" si="6"/>
        <v>https://centrodecapacitaciondelsur.com/soporte-cardiovascular-avanzado-</v>
      </c>
      <c r="C89" s="10">
        <f>INSCRITOS!B52</f>
        <v>87453231</v>
      </c>
      <c r="D89" t="str">
        <f t="shared" si="7"/>
        <v>https://centrodecapacitaciondelsur.com/soporte-cardiovascular-avanzado-87453231/</v>
      </c>
    </row>
    <row r="90" spans="1:6" ht="122.25" customHeight="1" x14ac:dyDescent="0.25">
      <c r="A90" s="19" t="str">
        <f>INSCRITOS!O53</f>
        <v>QUIMICOS</v>
      </c>
      <c r="B90" s="8" t="str">
        <f t="shared" si="6"/>
        <v>https://centrodecapacitaciondelsur.com/victimas-por-agentes-quimicos-</v>
      </c>
      <c r="C90" s="10">
        <f>INSCRITOS!B53</f>
        <v>87453231</v>
      </c>
      <c r="D90" t="str">
        <f t="shared" si="7"/>
        <v>https://centrodecapacitaciondelsur.com/victimas-por-agentes-quimicos-87453231/</v>
      </c>
    </row>
    <row r="91" spans="1:6" ht="122.25" customHeight="1" x14ac:dyDescent="0.25">
      <c r="A91" s="19" t="str">
        <f>INSCRITOS!O54</f>
        <v>VIOLENCIA SEXUAL</v>
      </c>
      <c r="B91" s="8" t="str">
        <f t="shared" si="6"/>
        <v>https://centrodecapacitaciondelsur.com/violencia-sexual-</v>
      </c>
      <c r="C91" s="10">
        <f>INSCRITOS!B54</f>
        <v>87453231</v>
      </c>
      <c r="D91" t="str">
        <f t="shared" si="7"/>
        <v>https://centrodecapacitaciondelsur.com/violencia-sexual-87453231/</v>
      </c>
      <c r="F91" t="str">
        <f>CodigoQr(D91)</f>
        <v/>
      </c>
    </row>
    <row r="92" spans="1:6" ht="122.25" customHeight="1" x14ac:dyDescent="0.25">
      <c r="A92" s="19" t="str">
        <f>INSCRITOS!O55</f>
        <v>DUELO</v>
      </c>
      <c r="B92" s="8" t="str">
        <f t="shared" si="6"/>
        <v>https://centrodecapacitaciondelsur.com/manejo-del-duelo-</v>
      </c>
      <c r="C92" s="10">
        <f>INSCRITOS!B55</f>
        <v>87453231</v>
      </c>
      <c r="D92" t="str">
        <f t="shared" si="7"/>
        <v>https://centrodecapacitaciondelsur.com/manejo-del-duelo-87453231/</v>
      </c>
    </row>
    <row r="93" spans="1:6" ht="122.25" customHeight="1" x14ac:dyDescent="0.25">
      <c r="A93" s="19" t="str">
        <f>INSCRITOS!O56</f>
        <v>ADMON DE MEDICAMENTOS</v>
      </c>
      <c r="B93" s="8" t="str">
        <f t="shared" si="6"/>
        <v>https://centrodecapacitaciondelsur.com/adm-medicamentos-canalizacion-inyectologia-</v>
      </c>
      <c r="C93" s="10">
        <f>INSCRITOS!B56</f>
        <v>1081274187</v>
      </c>
      <c r="D93" t="str">
        <f t="shared" si="7"/>
        <v>https://centrodecapacitaciondelsur.com/adm-medicamentos-canalizacion-inyectologia-1081274187/</v>
      </c>
    </row>
    <row r="94" spans="1:6" ht="122.25" customHeight="1" x14ac:dyDescent="0.25">
      <c r="A94" s="19" t="str">
        <f>INSCRITOS!O57</f>
        <v>ADMON DE MEDICAMENTOS</v>
      </c>
      <c r="B94" s="8" t="str">
        <f t="shared" si="6"/>
        <v>https://centrodecapacitaciondelsur.com/adm-medicamentos-canalizacion-inyectologia-</v>
      </c>
      <c r="C94" s="10">
        <f>INSCRITOS!B57</f>
        <v>37082384</v>
      </c>
      <c r="D94" t="str">
        <f t="shared" si="7"/>
        <v>https://centrodecapacitaciondelsur.com/adm-medicamentos-canalizacion-inyectologia-37082384/</v>
      </c>
    </row>
    <row r="95" spans="1:6" ht="122.25" customHeight="1" x14ac:dyDescent="0.25">
      <c r="A95" s="19" t="str">
        <f>INSCRITOS!O58</f>
        <v>DUELO</v>
      </c>
      <c r="B95" s="8" t="str">
        <f t="shared" si="6"/>
        <v>https://centrodecapacitaciondelsur.com/manejo-del-duelo-</v>
      </c>
      <c r="C95" s="10">
        <f>INSCRITOS!B58</f>
        <v>1085301199</v>
      </c>
      <c r="D95" t="str">
        <f t="shared" si="7"/>
        <v>https://centrodecapacitaciondelsur.com/manejo-del-duelo-1085301199/</v>
      </c>
    </row>
    <row r="96" spans="1:6" ht="122.25" customHeight="1" x14ac:dyDescent="0.25">
      <c r="A96" s="19" t="str">
        <f>INSCRITOS!O59</f>
        <v>ADMON DE MEDICAMENTOS</v>
      </c>
      <c r="B96" s="8" t="str">
        <f t="shared" si="6"/>
        <v>https://centrodecapacitaciondelsur.com/adm-medicamentos-canalizacion-inyectologia-</v>
      </c>
      <c r="C96" s="10">
        <f>INSCRITOS!B59</f>
        <v>1085300566</v>
      </c>
      <c r="D96" t="str">
        <f t="shared" si="7"/>
        <v>https://centrodecapacitaciondelsur.com/adm-medicamentos-canalizacion-inyectologia-1085300566/</v>
      </c>
      <c r="E96" t="str" cm="1">
        <f t="array" ref="E96">CodigoQr(D96)</f>
        <v/>
      </c>
    </row>
    <row r="97" spans="1:5" ht="122.25" customHeight="1" x14ac:dyDescent="0.25">
      <c r="A97" s="19" t="str">
        <f>INSCRITOS!O60</f>
        <v>PRIMEROS AUXILIOS P</v>
      </c>
      <c r="B97" s="8" t="str">
        <f t="shared" si="6"/>
        <v>https://centrodecapacitaciondelsur.com/primeros-aux-psicologicos-</v>
      </c>
      <c r="C97" s="10">
        <f>INSCRITOS!B60</f>
        <v>1085281780</v>
      </c>
      <c r="D97" t="str">
        <f t="shared" si="7"/>
        <v>https://centrodecapacitaciondelsur.com/primeros-aux-psicologicos-1085281780/</v>
      </c>
    </row>
    <row r="98" spans="1:5" ht="122.25" customHeight="1" x14ac:dyDescent="0.25">
      <c r="A98" s="19" t="str">
        <f>INSCRITOS!O61</f>
        <v>ADMON DE MEDICAMENTOS</v>
      </c>
      <c r="B98" s="8" t="str">
        <f t="shared" si="6"/>
        <v>https://centrodecapacitaciondelsur.com/adm-medicamentos-canalizacion-inyectologia-</v>
      </c>
      <c r="C98" s="10">
        <f>INSCRITOS!B61</f>
        <v>1085305753</v>
      </c>
      <c r="D98" t="str">
        <f t="shared" si="7"/>
        <v>https://centrodecapacitaciondelsur.com/adm-medicamentos-canalizacion-inyectologia-1085305753/</v>
      </c>
      <c r="E98" t="str" cm="1">
        <f t="array" ref="E98">CodigoQr(D98)</f>
        <v/>
      </c>
    </row>
    <row r="99" spans="1:5" ht="122.25" customHeight="1" x14ac:dyDescent="0.25">
      <c r="A99" s="19" t="str">
        <f>INSCRITOS!O62</f>
        <v>PALIATIVOS</v>
      </c>
      <c r="B99" s="8" t="str">
        <f t="shared" si="6"/>
        <v>https://centrodecapacitaciondelsur.com/manejo-del-dolor-y-cuidados-paliativos-</v>
      </c>
      <c r="C99" s="10">
        <f>INSCRITOS!B62</f>
        <v>1085281780</v>
      </c>
      <c r="D99" t="str">
        <f t="shared" si="7"/>
        <v>https://centrodecapacitaciondelsur.com/manejo-del-dolor-y-cuidados-paliativos-1085281780/</v>
      </c>
    </row>
    <row r="100" spans="1:5" ht="122.25" customHeight="1" x14ac:dyDescent="0.25">
      <c r="A100" s="19" t="str">
        <f>INSCRITOS!O63</f>
        <v>ACLS</v>
      </c>
      <c r="B100" s="8" t="str">
        <f t="shared" si="6"/>
        <v>https://centrodecapacitaciondelsur.com/soporte-cardiovascular-avanzado-</v>
      </c>
      <c r="C100" s="10">
        <f>INSCRITOS!B63</f>
        <v>1086363177</v>
      </c>
      <c r="D100" t="str">
        <f t="shared" si="7"/>
        <v>https://centrodecapacitaciondelsur.com/soporte-cardiovascular-avanzado-1086363177/</v>
      </c>
    </row>
    <row r="101" spans="1:5" ht="122.25" customHeight="1" x14ac:dyDescent="0.25">
      <c r="A101" s="19" t="str">
        <f>INSCRITOS!O64</f>
        <v>BLS</v>
      </c>
      <c r="B101" s="8" t="str">
        <f t="shared" si="6"/>
        <v>https://centrodecapacitaciondelsur.com/soporte-basico-de-vida-</v>
      </c>
      <c r="C101" s="10">
        <f>INSCRITOS!B64</f>
        <v>1086363177</v>
      </c>
      <c r="D101" t="str">
        <f t="shared" si="7"/>
        <v>https://centrodecapacitaciondelsur.com/soporte-basico-de-vida-1086363177/</v>
      </c>
    </row>
    <row r="102" spans="1:5" ht="122.25" customHeight="1" x14ac:dyDescent="0.25">
      <c r="A102" s="19" t="str">
        <f>INSCRITOS!O65</f>
        <v>PALIATIVOS</v>
      </c>
      <c r="B102" s="8" t="str">
        <f t="shared" si="6"/>
        <v>https://centrodecapacitaciondelsur.com/manejo-del-dolor-y-cuidados-paliativos-</v>
      </c>
      <c r="C102" s="10">
        <f>INSCRITOS!B65</f>
        <v>1086363177</v>
      </c>
      <c r="D102" t="str">
        <f t="shared" si="7"/>
        <v>https://centrodecapacitaciondelsur.com/manejo-del-dolor-y-cuidados-paliativos-1086363177/</v>
      </c>
    </row>
    <row r="103" spans="1:5" ht="122.25" customHeight="1" x14ac:dyDescent="0.25">
      <c r="A103" s="19" t="str">
        <f>INSCRITOS!O66</f>
        <v>TOMA DE MUESTRAS</v>
      </c>
      <c r="B103" s="8" t="str">
        <f t="shared" si="6"/>
        <v>https://centrodecapacitaciondelsur.com/toma-de-muestras-y-lab-clinico-</v>
      </c>
      <c r="C103" s="10">
        <f>INSCRITOS!B66</f>
        <v>1086363177</v>
      </c>
      <c r="D103" t="str">
        <f t="shared" si="7"/>
        <v>https://centrodecapacitaciondelsur.com/toma-de-muestras-y-lab-clinico-1086363177/</v>
      </c>
    </row>
    <row r="104" spans="1:5" ht="122.25" customHeight="1" x14ac:dyDescent="0.25">
      <c r="A104" s="19" t="str">
        <f>INSCRITOS!O67</f>
        <v>VIOLENCIA SEXUAL</v>
      </c>
      <c r="B104" s="8" t="str">
        <f t="shared" si="6"/>
        <v>https://centrodecapacitaciondelsur.com/violencia-sexual-</v>
      </c>
      <c r="C104" s="10">
        <f>INSCRITOS!B67</f>
        <v>1086363177</v>
      </c>
      <c r="D104" t="str">
        <f t="shared" si="7"/>
        <v>https://centrodecapacitaciondelsur.com/violencia-sexual-1086363177/</v>
      </c>
    </row>
    <row r="105" spans="1:5" ht="122.25" customHeight="1" x14ac:dyDescent="0.25">
      <c r="A105" s="19" t="str">
        <f>INSCRITOS!O68</f>
        <v>BLS</v>
      </c>
      <c r="B105" s="8" t="str">
        <f t="shared" si="6"/>
        <v>https://centrodecapacitaciondelsur.com/soporte-basico-de-vida-</v>
      </c>
      <c r="C105" s="10">
        <f>INSCRITOS!B68</f>
        <v>1086982487</v>
      </c>
      <c r="D105" t="str">
        <f t="shared" si="7"/>
        <v>https://centrodecapacitaciondelsur.com/soporte-basico-de-vida-1086982487/</v>
      </c>
      <c r="E105" t="str" cm="1">
        <f t="array" ref="E105">CodigoQr(D105)</f>
        <v/>
      </c>
    </row>
    <row r="106" spans="1:5" ht="122.25" customHeight="1" x14ac:dyDescent="0.25">
      <c r="A106" s="19" t="str">
        <f>INSCRITOS!O69</f>
        <v>QUIMICOS</v>
      </c>
      <c r="B106" s="8" t="str">
        <f t="shared" si="6"/>
        <v>https://centrodecapacitaciondelsur.com/victimas-por-agentes-quimicos-</v>
      </c>
      <c r="C106" s="10">
        <f>INSCRITOS!B69</f>
        <v>1233190389</v>
      </c>
      <c r="D106" t="str">
        <f t="shared" si="7"/>
        <v>https://centrodecapacitaciondelsur.com/victimas-por-agentes-quimicos-1233190389/</v>
      </c>
    </row>
    <row r="107" spans="1:5" ht="122.25" customHeight="1" x14ac:dyDescent="0.25">
      <c r="A107" s="19" t="str">
        <f>INSCRITOS!O70</f>
        <v>BLS</v>
      </c>
      <c r="B107" s="8" t="str">
        <f t="shared" si="6"/>
        <v>https://centrodecapacitaciondelsur.com/soporte-basico-de-vida-</v>
      </c>
      <c r="C107" s="10">
        <f>INSCRITOS!B70</f>
        <v>37124202</v>
      </c>
      <c r="D107" t="str">
        <f t="shared" si="7"/>
        <v>https://centrodecapacitaciondelsur.com/soporte-basico-de-vida-37124202/</v>
      </c>
    </row>
    <row r="108" spans="1:5" ht="122.25" customHeight="1" x14ac:dyDescent="0.25">
      <c r="A108" s="19" t="str">
        <f>INSCRITOS!O71</f>
        <v>OVE</v>
      </c>
      <c r="B108" s="8" t="str">
        <f t="shared" si="6"/>
        <v>https://centrodecapacitaciondelsur.com/o-v-e-</v>
      </c>
      <c r="C108" s="10">
        <f>INSCRITOS!B71</f>
        <v>1085285813</v>
      </c>
      <c r="D108" t="str">
        <f t="shared" si="7"/>
        <v>https://centrodecapacitaciondelsur.com/o-v-e-1085285813/</v>
      </c>
      <c r="E108" t="str" cm="1">
        <f t="array" ref="E108">CodigoQr(D108)</f>
        <v/>
      </c>
    </row>
    <row r="109" spans="1:5" ht="122.25" customHeight="1" x14ac:dyDescent="0.25">
      <c r="A109" s="19" t="str">
        <f>INSCRITOS!O72</f>
        <v>ACLS</v>
      </c>
      <c r="B109" s="8" t="str">
        <f t="shared" si="6"/>
        <v>https://centrodecapacitaciondelsur.com/soporte-cardiovascular-avanzado-</v>
      </c>
      <c r="C109" s="10">
        <f>INSCRITOS!B72</f>
        <v>52702928</v>
      </c>
      <c r="D109" t="str">
        <f t="shared" si="7"/>
        <v>https://centrodecapacitaciondelsur.com/soporte-cardiovascular-avanzado-52702928/</v>
      </c>
      <c r="E109" t="str" cm="1">
        <f t="array" ref="E109">CodigoQr(D109)</f>
        <v/>
      </c>
    </row>
    <row r="110" spans="1:5" ht="122.25" customHeight="1" x14ac:dyDescent="0.25">
      <c r="A110" s="19" t="str">
        <f>INSCRITOS!O73</f>
        <v>VIOLENCIA SEXUAL</v>
      </c>
      <c r="B110" s="8" t="str">
        <f t="shared" si="6"/>
        <v>https://centrodecapacitaciondelsur.com/violencia-sexual-</v>
      </c>
      <c r="C110" s="10">
        <f>INSCRITOS!B73</f>
        <v>52702928</v>
      </c>
      <c r="D110" t="str">
        <f t="shared" si="7"/>
        <v>https://centrodecapacitaciondelsur.com/violencia-sexual-52702928/</v>
      </c>
      <c r="E110" t="str" cm="1">
        <f t="array" ref="E110">CodigoQr(D110)</f>
        <v/>
      </c>
    </row>
    <row r="111" spans="1:5" ht="122.25" customHeight="1" x14ac:dyDescent="0.25">
      <c r="A111" s="19" t="str">
        <f>INSCRITOS!O74</f>
        <v>DUELO</v>
      </c>
      <c r="B111" s="8" t="str">
        <f t="shared" si="6"/>
        <v>https://centrodecapacitaciondelsur.com/manejo-del-duelo-</v>
      </c>
      <c r="C111" s="10">
        <f>INSCRITOS!B74</f>
        <v>12753669</v>
      </c>
      <c r="D111" t="str">
        <f t="shared" si="7"/>
        <v>https://centrodecapacitaciondelsur.com/manejo-del-duelo-12753669/</v>
      </c>
    </row>
    <row r="112" spans="1:5" ht="122.25" customHeight="1" x14ac:dyDescent="0.25">
      <c r="A112" s="19" t="str">
        <f>INSCRITOS!O75</f>
        <v>VIOLENCIA SEXUAL</v>
      </c>
      <c r="B112" s="8" t="str">
        <f t="shared" si="6"/>
        <v>https://centrodecapacitaciondelsur.com/violencia-sexual-</v>
      </c>
      <c r="C112" s="10">
        <f>INSCRITOS!B75</f>
        <v>12753669</v>
      </c>
      <c r="D112" t="str">
        <f t="shared" si="7"/>
        <v>https://centrodecapacitaciondelsur.com/violencia-sexual-12753669/</v>
      </c>
    </row>
    <row r="113" spans="1:5" ht="122.25" customHeight="1" x14ac:dyDescent="0.25">
      <c r="A113" s="19" t="str">
        <f>INSCRITOS!O76</f>
        <v>AIEPI</v>
      </c>
      <c r="B113" s="8" t="str">
        <f t="shared" si="6"/>
        <v>https://centrodecapacitaciondelsur.com/aiepi-</v>
      </c>
      <c r="C113" s="10">
        <f>INSCRITOS!B76</f>
        <v>12753669</v>
      </c>
      <c r="D113" t="str">
        <f t="shared" si="7"/>
        <v>https://centrodecapacitaciondelsur.com/aiepi-12753669/</v>
      </c>
    </row>
    <row r="114" spans="1:5" ht="122.25" customHeight="1" x14ac:dyDescent="0.25">
      <c r="A114" s="19" t="str">
        <f>INSCRITOS!O77</f>
        <v>IAMI</v>
      </c>
      <c r="B114" s="8" t="str">
        <f t="shared" si="6"/>
        <v>https://centrodecapacitaciondelsur.com/iami-</v>
      </c>
      <c r="C114" s="10">
        <f>INSCRITOS!B77</f>
        <v>12753669</v>
      </c>
      <c r="D114" t="str">
        <f t="shared" si="7"/>
        <v>https://centrodecapacitaciondelsur.com/iami-12753669/</v>
      </c>
    </row>
    <row r="115" spans="1:5" ht="122.25" customHeight="1" x14ac:dyDescent="0.25">
      <c r="A115" s="19" t="str">
        <f>INSCRITOS!O78</f>
        <v>VIOLENCIA SEXUAL</v>
      </c>
      <c r="B115" s="8" t="str">
        <f t="shared" si="6"/>
        <v>https://centrodecapacitaciondelsur.com/violencia-sexual-</v>
      </c>
      <c r="C115" s="10">
        <f>INSCRITOS!B78</f>
        <v>1144060770</v>
      </c>
      <c r="D115" t="str">
        <f t="shared" si="7"/>
        <v>https://centrodecapacitaciondelsur.com/violencia-sexual-1144060770/</v>
      </c>
    </row>
    <row r="116" spans="1:5" ht="122.25" customHeight="1" x14ac:dyDescent="0.25">
      <c r="A116" s="19" t="str">
        <f>INSCRITOS!O79</f>
        <v>DUELO</v>
      </c>
      <c r="B116" s="8" t="str">
        <f t="shared" si="6"/>
        <v>https://centrodecapacitaciondelsur.com/manejo-del-duelo-</v>
      </c>
      <c r="C116" s="10">
        <f>INSCRITOS!B79</f>
        <v>1144060770</v>
      </c>
      <c r="D116" t="str">
        <f t="shared" si="7"/>
        <v>https://centrodecapacitaciondelsur.com/manejo-del-duelo-1144060770/</v>
      </c>
    </row>
    <row r="117" spans="1:5" ht="122.25" customHeight="1" x14ac:dyDescent="0.25">
      <c r="A117" s="19" t="str">
        <f>INSCRITOS!O80</f>
        <v>HUMANIZACION</v>
      </c>
      <c r="B117" s="8" t="str">
        <f t="shared" si="6"/>
        <v>https://centrodecapacitaciondelsur.com/humanizacion-</v>
      </c>
      <c r="C117" s="10">
        <f>INSCRITOS!B80</f>
        <v>1144060770</v>
      </c>
      <c r="D117" t="str">
        <f t="shared" si="7"/>
        <v>https://centrodecapacitaciondelsur.com/humanizacion-1144060770/</v>
      </c>
    </row>
    <row r="118" spans="1:5" ht="122.25" customHeight="1" x14ac:dyDescent="0.25">
      <c r="A118" s="19" t="str">
        <f>INSCRITOS!O81</f>
        <v>PALIATIVOS</v>
      </c>
      <c r="B118" s="8" t="str">
        <f t="shared" si="6"/>
        <v>https://centrodecapacitaciondelsur.com/manejo-del-dolor-y-cuidados-paliativos-</v>
      </c>
      <c r="C118" s="10">
        <f>INSCRITOS!B81</f>
        <v>1144060770</v>
      </c>
      <c r="D118" t="str">
        <f t="shared" si="7"/>
        <v>https://centrodecapacitaciondelsur.com/manejo-del-dolor-y-cuidados-paliativos-1144060770/</v>
      </c>
    </row>
    <row r="119" spans="1:5" ht="122.25" customHeight="1" x14ac:dyDescent="0.25">
      <c r="A119" s="19" t="str">
        <f>INSCRITOS!O82</f>
        <v>QUIMICOS</v>
      </c>
      <c r="B119" s="8" t="str">
        <f t="shared" si="6"/>
        <v>https://centrodecapacitaciondelsur.com/victimas-por-agentes-quimicos-</v>
      </c>
      <c r="C119" s="10">
        <f>INSCRITOS!B82</f>
        <v>1144060770</v>
      </c>
      <c r="D119" t="str">
        <f t="shared" si="7"/>
        <v>https://centrodecapacitaciondelsur.com/victimas-por-agentes-quimicos-1144060770/</v>
      </c>
    </row>
    <row r="120" spans="1:5" ht="122.25" customHeight="1" x14ac:dyDescent="0.25">
      <c r="A120" s="19" t="str">
        <f>INSCRITOS!O83</f>
        <v>CONFLICTO ARMADO</v>
      </c>
      <c r="B120" s="8" t="str">
        <f t="shared" si="6"/>
        <v>https://centrodecapacitaciondelsur.com/atencion-a-victimas-del-conflicto-armado-</v>
      </c>
      <c r="C120" s="10">
        <f>INSCRITOS!B83</f>
        <v>1144060770</v>
      </c>
      <c r="D120" t="str">
        <f t="shared" si="7"/>
        <v>https://centrodecapacitaciondelsur.com/atencion-a-victimas-del-conflicto-armado-1144060770/</v>
      </c>
    </row>
    <row r="121" spans="1:5" ht="122.25" customHeight="1" x14ac:dyDescent="0.25">
      <c r="A121" s="19" t="str">
        <f>INSCRITOS!O84</f>
        <v>ADMON DE MEDICAMENTOS</v>
      </c>
      <c r="B121" s="8" t="str">
        <f t="shared" si="6"/>
        <v>https://centrodecapacitaciondelsur.com/adm-medicamentos-canalizacion-inyectologia-</v>
      </c>
      <c r="C121" s="10">
        <f>INSCRITOS!B84</f>
        <v>1083752026</v>
      </c>
      <c r="D121" t="str">
        <f t="shared" si="7"/>
        <v>https://centrodecapacitaciondelsur.com/adm-medicamentos-canalizacion-inyectologia-1083752026/</v>
      </c>
    </row>
    <row r="122" spans="1:5" ht="122.25" customHeight="1" x14ac:dyDescent="0.25">
      <c r="A122" s="19" t="str">
        <f>INSCRITOS!O85</f>
        <v>BLS</v>
      </c>
      <c r="B122" s="8" t="str">
        <f t="shared" si="6"/>
        <v>https://centrodecapacitaciondelsur.com/soporte-basico-de-vida-</v>
      </c>
      <c r="C122" s="10">
        <f>INSCRITOS!B85</f>
        <v>1086105589</v>
      </c>
      <c r="D122" t="str">
        <f t="shared" si="7"/>
        <v>https://centrodecapacitaciondelsur.com/soporte-basico-de-vida-1086105589/</v>
      </c>
    </row>
    <row r="123" spans="1:5" ht="122.25" customHeight="1" x14ac:dyDescent="0.25">
      <c r="A123" s="19" t="str">
        <f>INSCRITOS!O86</f>
        <v>BLS</v>
      </c>
      <c r="B123" s="8" t="str">
        <f t="shared" si="6"/>
        <v>https://centrodecapacitaciondelsur.com/soporte-basico-de-vida-</v>
      </c>
      <c r="C123" s="10">
        <f>INSCRITOS!B86</f>
        <v>59801634</v>
      </c>
      <c r="D123" t="str">
        <f t="shared" si="7"/>
        <v>https://centrodecapacitaciondelsur.com/soporte-basico-de-vida-59801634/</v>
      </c>
    </row>
    <row r="124" spans="1:5" ht="122.25" customHeight="1" x14ac:dyDescent="0.25">
      <c r="A124" s="19" t="str">
        <f>INSCRITOS!O87</f>
        <v>DUELO</v>
      </c>
      <c r="B124" s="8" t="str">
        <f t="shared" ref="B124:B187" si="8">IF(A124=$H$19,"https://centrodecapacitaciondelsur.com/o-v-e-",IF(A124=$H$2,"https://centrodecapacitaciondelsur.com/aph-",IF(A124=$H$3,"https://centrodecapacitaciondelsur.com/manejo-del-duelo-",IF(A124=$H$4,"https://centrodecapacitaciondelsur.com/victimas-por-agentes-quimicos-",IF(A124=$H$5,"https://centrodecapacitaciondelsur.com/primeros-auxilios-",IF(A124=$H$6,"https://centrodecapacitaciondelsur.com/uci-",IF(A124=$H$8,"https://centrodecapacitaciondelsur.com/humanizacion-",IF(A124=$H$11,"https://centrodecapacitaciondelsur.com/soporte-cardiovascular-avanzado-",IF(A124=$H$12,"https://centrodecapacitaciondelsur.com/camillero-",IF(A124=$H$13,"https://centrodecapacitaciondelsur.com/toma-de-muestras-y-lab-clinico-",IF(A124=$H$14,"https://centrodecapacitaciondelsur.com/soporte-basico-de-vida-",IF(A124=$H$15,"https://centrodecapacitaciondelsur.com/violencia-sexual-",IF(A124=$H$17,"https://centrodecapacitaciondelsur.com/aiepi-",IF(A124=$H$18,"https://centrodecapacitaciondelsur.com/adm-medicamentos-canalizacion-inyectologia-",IF(A124=$H$25,"https://centrodecapacitaciondelsur.com/manejo-del-dolor-y-cuidados-paliativos-",IF(A124=$H$26,"https://centrodecapacitaciondelsur.com/toma-de-muestras-y-lab-clinico-poct-",IF(A124=$H$27,"https://centrodecapacitaciondelsur.com/implante-subdermico-",IF(A124=$H$21,"https://centrodecapacitaciondelsur.com/donante-de-organos-",IF(A124=$H$30,"https://centrodecapacitaciondelsur.com/atencion-a-victimas-del-conflicto-armado-",IF(A124=$H$20,"https://centrodecapacitaciondelsur.com/iami-",IF(A124=$H$22,"https://centrodecapacitaciondelsur.com/violencia-de-genero-",IF(A124=$H$23,"https://centrodecapacitaciondelsur.com/igualdad-de-genero-",IF(A124=$H$16,"https://centrodecapacitaciondelsur.com/pai-",IF(A124=$H$31,"https://centrodecapacitaciondelsur.com/manipulacion-de-alimentos-",IF(A124=$H$32,"https://centrodecapacitaciondelsur.com/atencion-a-personas-con-discapacidad-",IF(A124=$H$33,"https://centrodecapacitaciondelsur.com/atencion-al-adulto-mayor-",IF(A124=$H$34,"https://centrodecapacitaciondelsur.com/manejo-defensivo-",IF(A124=$H$35,"https://centrodecapacitaciondelsur.com/soporte-basico-neonatal-",IF(A124=$H$36,"https://centrodecapacitaciondelsur.com/seguridad-del-paciente-",IF(A124=$H$37,"https://centrodecapacitaciondelsur.com/manejo-de-residuos-hospitalarios-",IF(A124=$H$10,"https://centrodecapacitaciondelsur.com/toma-de-citologia-",IF(A124=$H$29,"https://centrodecapacitaciondelsur.com/primeros-aux-psicologicos-"))))))))))))))))))))))))))))))))</f>
        <v>https://centrodecapacitaciondelsur.com/manejo-del-duelo-</v>
      </c>
      <c r="C124" s="10">
        <f>INSCRITOS!B87</f>
        <v>1083752026</v>
      </c>
      <c r="D124" t="str">
        <f t="shared" ref="D124:D187" si="9">CONCATENATE(B124,C124,"/")</f>
        <v>https://centrodecapacitaciondelsur.com/manejo-del-duelo-1083752026/</v>
      </c>
    </row>
    <row r="125" spans="1:5" ht="122.25" customHeight="1" x14ac:dyDescent="0.25">
      <c r="A125" s="19" t="str">
        <f>INSCRITOS!O88</f>
        <v>ADMON DE MEDICAMENTOS</v>
      </c>
      <c r="B125" s="8" t="str">
        <f t="shared" si="8"/>
        <v>https://centrodecapacitaciondelsur.com/adm-medicamentos-canalizacion-inyectologia-</v>
      </c>
      <c r="C125" s="10">
        <f>INSCRITOS!B88</f>
        <v>1085313732</v>
      </c>
      <c r="D125" t="str">
        <f t="shared" si="9"/>
        <v>https://centrodecapacitaciondelsur.com/adm-medicamentos-canalizacion-inyectologia-1085313732/</v>
      </c>
      <c r="E125" t="str" cm="1">
        <f t="array" ref="E125">CodigoQr(D125)</f>
        <v/>
      </c>
    </row>
    <row r="126" spans="1:5" ht="122.25" customHeight="1" x14ac:dyDescent="0.25">
      <c r="A126" s="19" t="str">
        <f>INSCRITOS!O89</f>
        <v>BLS</v>
      </c>
      <c r="B126" s="8" t="str">
        <f t="shared" si="8"/>
        <v>https://centrodecapacitaciondelsur.com/soporte-basico-de-vida-</v>
      </c>
      <c r="C126" s="10">
        <f>INSCRITOS!B89</f>
        <v>1004534118</v>
      </c>
      <c r="D126" t="str">
        <f t="shared" si="9"/>
        <v>https://centrodecapacitaciondelsur.com/soporte-basico-de-vida-1004534118/</v>
      </c>
      <c r="E126" t="str" cm="1">
        <f t="array" ref="E126">CodigoQr(D126)</f>
        <v/>
      </c>
    </row>
    <row r="127" spans="1:5" ht="122.25" customHeight="1" x14ac:dyDescent="0.25">
      <c r="A127" s="19" t="str">
        <f>INSCRITOS!O90</f>
        <v>ACLS</v>
      </c>
      <c r="B127" s="8" t="str">
        <f t="shared" si="8"/>
        <v>https://centrodecapacitaciondelsur.com/soporte-cardiovascular-avanzado-</v>
      </c>
      <c r="C127" s="10">
        <f>INSCRITOS!B90</f>
        <v>1144089769</v>
      </c>
      <c r="D127" t="str">
        <f t="shared" si="9"/>
        <v>https://centrodecapacitaciondelsur.com/soporte-cardiovascular-avanzado-1144089769/</v>
      </c>
    </row>
    <row r="128" spans="1:5" ht="122.25" customHeight="1" x14ac:dyDescent="0.25">
      <c r="A128" s="19" t="str">
        <f>INSCRITOS!O91</f>
        <v>BLS</v>
      </c>
      <c r="B128" s="8" t="str">
        <f t="shared" si="8"/>
        <v>https://centrodecapacitaciondelsur.com/soporte-basico-de-vida-</v>
      </c>
      <c r="C128" s="10">
        <f>INSCRITOS!B91</f>
        <v>1144089769</v>
      </c>
      <c r="D128" t="str">
        <f t="shared" si="9"/>
        <v>https://centrodecapacitaciondelsur.com/soporte-basico-de-vida-1144089769/</v>
      </c>
    </row>
    <row r="129" spans="1:5" ht="122.25" customHeight="1" x14ac:dyDescent="0.25">
      <c r="A129" s="19" t="str">
        <f>INSCRITOS!O92</f>
        <v>VIOLENCIA SEXUAL</v>
      </c>
      <c r="B129" s="8" t="str">
        <f t="shared" si="8"/>
        <v>https://centrodecapacitaciondelsur.com/violencia-sexual-</v>
      </c>
      <c r="C129" s="10">
        <f>INSCRITOS!B92</f>
        <v>1144089769</v>
      </c>
      <c r="D129" t="str">
        <f t="shared" si="9"/>
        <v>https://centrodecapacitaciondelsur.com/violencia-sexual-1144089769/</v>
      </c>
    </row>
    <row r="130" spans="1:5" ht="122.25" customHeight="1" x14ac:dyDescent="0.25">
      <c r="A130" s="19" t="str">
        <f>INSCRITOS!O93</f>
        <v>BLS</v>
      </c>
      <c r="B130" s="8" t="str">
        <f t="shared" si="8"/>
        <v>https://centrodecapacitaciondelsur.com/soporte-basico-de-vida-</v>
      </c>
      <c r="C130" s="10">
        <f>INSCRITOS!B93</f>
        <v>1086982487</v>
      </c>
      <c r="D130" t="str">
        <f t="shared" si="9"/>
        <v>https://centrodecapacitaciondelsur.com/soporte-basico-de-vida-1086982487/</v>
      </c>
    </row>
    <row r="131" spans="1:5" ht="122.25" customHeight="1" x14ac:dyDescent="0.25">
      <c r="A131" s="19" t="str">
        <f>INSCRITOS!O94</f>
        <v>ADMON DE MEDICAMENTOS</v>
      </c>
      <c r="B131" s="8" t="str">
        <f t="shared" si="8"/>
        <v>https://centrodecapacitaciondelsur.com/adm-medicamentos-canalizacion-inyectologia-</v>
      </c>
      <c r="C131" s="10">
        <f>INSCRITOS!B94</f>
        <v>1085283877</v>
      </c>
      <c r="D131" t="str">
        <f t="shared" si="9"/>
        <v>https://centrodecapacitaciondelsur.com/adm-medicamentos-canalizacion-inyectologia-1085283877/</v>
      </c>
      <c r="E131" t="str" cm="1">
        <f t="array" ref="E131">CodigoQr(D131)</f>
        <v/>
      </c>
    </row>
    <row r="132" spans="1:5" ht="122.25" customHeight="1" x14ac:dyDescent="0.25">
      <c r="A132" s="19" t="str">
        <f>INSCRITOS!O95</f>
        <v>AIEPI</v>
      </c>
      <c r="B132" s="8" t="str">
        <f t="shared" si="8"/>
        <v>https://centrodecapacitaciondelsur.com/aiepi-</v>
      </c>
      <c r="C132" s="10">
        <f>INSCRITOS!B95</f>
        <v>1085318960</v>
      </c>
      <c r="D132" t="str">
        <f t="shared" si="9"/>
        <v>https://centrodecapacitaciondelsur.com/aiepi-1085318960/</v>
      </c>
    </row>
    <row r="133" spans="1:5" ht="122.25" customHeight="1" x14ac:dyDescent="0.25">
      <c r="A133" s="19" t="str">
        <f>INSCRITOS!O96</f>
        <v>IAMI</v>
      </c>
      <c r="B133" s="8" t="str">
        <f t="shared" si="8"/>
        <v>https://centrodecapacitaciondelsur.com/iami-</v>
      </c>
      <c r="C133" s="10">
        <f>INSCRITOS!B96</f>
        <v>1085318960</v>
      </c>
      <c r="D133" t="str">
        <f t="shared" si="9"/>
        <v>https://centrodecapacitaciondelsur.com/iami-1085318960/</v>
      </c>
    </row>
    <row r="134" spans="1:5" ht="122.25" customHeight="1" x14ac:dyDescent="0.25">
      <c r="A134" s="19" t="str">
        <f>INSCRITOS!O97</f>
        <v>HUMANIZACION</v>
      </c>
      <c r="B134" s="8" t="str">
        <f t="shared" si="8"/>
        <v>https://centrodecapacitaciondelsur.com/humanizacion-</v>
      </c>
      <c r="C134" s="10">
        <f>INSCRITOS!B97</f>
        <v>1085318960</v>
      </c>
      <c r="D134" t="str">
        <f t="shared" si="9"/>
        <v>https://centrodecapacitaciondelsur.com/humanizacion-1085318960/</v>
      </c>
    </row>
    <row r="135" spans="1:5" ht="122.25" customHeight="1" x14ac:dyDescent="0.25">
      <c r="A135" s="19" t="str">
        <f>INSCRITOS!O98</f>
        <v>DUELO</v>
      </c>
      <c r="B135" s="8" t="str">
        <f t="shared" si="8"/>
        <v>https://centrodecapacitaciondelsur.com/manejo-del-duelo-</v>
      </c>
      <c r="C135" s="10">
        <f>INSCRITOS!B98</f>
        <v>1085318960</v>
      </c>
      <c r="D135" t="str">
        <f t="shared" si="9"/>
        <v>https://centrodecapacitaciondelsur.com/manejo-del-duelo-1085318960/</v>
      </c>
    </row>
    <row r="136" spans="1:5" ht="122.25" customHeight="1" x14ac:dyDescent="0.25">
      <c r="A136" s="19" t="str">
        <f>INSCRITOS!O99</f>
        <v>VIOLENCIA SEXUAL</v>
      </c>
      <c r="B136" s="8" t="str">
        <f t="shared" si="8"/>
        <v>https://centrodecapacitaciondelsur.com/violencia-sexual-</v>
      </c>
      <c r="C136" s="10">
        <f>INSCRITOS!B99</f>
        <v>1085318960</v>
      </c>
      <c r="D136" t="str">
        <f t="shared" si="9"/>
        <v>https://centrodecapacitaciondelsur.com/violencia-sexual-1085318960/</v>
      </c>
    </row>
    <row r="137" spans="1:5" ht="122.25" customHeight="1" x14ac:dyDescent="0.25">
      <c r="A137" s="19" t="str">
        <f>INSCRITOS!O100</f>
        <v>QUIMICOS</v>
      </c>
      <c r="B137" s="8" t="str">
        <f t="shared" si="8"/>
        <v>https://centrodecapacitaciondelsur.com/victimas-por-agentes-quimicos-</v>
      </c>
      <c r="C137" s="10">
        <f>INSCRITOS!B100</f>
        <v>1085318960</v>
      </c>
      <c r="D137" t="str">
        <f t="shared" si="9"/>
        <v>https://centrodecapacitaciondelsur.com/victimas-por-agentes-quimicos-1085318960/</v>
      </c>
    </row>
    <row r="138" spans="1:5" ht="122.25" customHeight="1" x14ac:dyDescent="0.25">
      <c r="A138" s="19" t="str">
        <f>INSCRITOS!O101</f>
        <v>BLS</v>
      </c>
      <c r="B138" s="8" t="str">
        <f t="shared" si="8"/>
        <v>https://centrodecapacitaciondelsur.com/soporte-basico-de-vida-</v>
      </c>
      <c r="C138" s="10">
        <f>INSCRITOS!B101</f>
        <v>1084846415</v>
      </c>
      <c r="D138" t="str">
        <f t="shared" si="9"/>
        <v>https://centrodecapacitaciondelsur.com/soporte-basico-de-vida-1084846415/</v>
      </c>
    </row>
    <row r="139" spans="1:5" ht="122.25" customHeight="1" x14ac:dyDescent="0.25">
      <c r="A139" s="19" t="str">
        <f>INSCRITOS!O102</f>
        <v>QUIMICOS</v>
      </c>
      <c r="B139" s="8" t="str">
        <f t="shared" si="8"/>
        <v>https://centrodecapacitaciondelsur.com/victimas-por-agentes-quimicos-</v>
      </c>
      <c r="C139" s="10">
        <f>INSCRITOS!B102</f>
        <v>1084846415</v>
      </c>
      <c r="D139" t="str">
        <f t="shared" si="9"/>
        <v>https://centrodecapacitaciondelsur.com/victimas-por-agentes-quimicos-1084846415/</v>
      </c>
    </row>
    <row r="140" spans="1:5" ht="122.25" customHeight="1" x14ac:dyDescent="0.25">
      <c r="A140" s="19" t="str">
        <f>INSCRITOS!O103</f>
        <v>VIOLENCIA SEXUAL</v>
      </c>
      <c r="B140" s="8" t="str">
        <f t="shared" si="8"/>
        <v>https://centrodecapacitaciondelsur.com/violencia-sexual-</v>
      </c>
      <c r="C140" s="10">
        <f>INSCRITOS!B103</f>
        <v>1084846415</v>
      </c>
      <c r="D140" t="str">
        <f t="shared" si="9"/>
        <v>https://centrodecapacitaciondelsur.com/violencia-sexual-1084846415/</v>
      </c>
    </row>
    <row r="141" spans="1:5" ht="122.25" customHeight="1" x14ac:dyDescent="0.25">
      <c r="A141" s="19" t="str">
        <f>INSCRITOS!O104</f>
        <v>AIEPI</v>
      </c>
      <c r="B141" s="8" t="str">
        <f t="shared" si="8"/>
        <v>https://centrodecapacitaciondelsur.com/aiepi-</v>
      </c>
      <c r="C141" s="10">
        <f>INSCRITOS!B104</f>
        <v>1082749427</v>
      </c>
      <c r="D141" t="str">
        <f t="shared" si="9"/>
        <v>https://centrodecapacitaciondelsur.com/aiepi-1082749427/</v>
      </c>
    </row>
    <row r="142" spans="1:5" ht="122.25" customHeight="1" x14ac:dyDescent="0.25">
      <c r="A142" s="19" t="str">
        <f>INSCRITOS!O105</f>
        <v>TOMA DE MUESTRAS</v>
      </c>
      <c r="B142" s="8" t="str">
        <f t="shared" si="8"/>
        <v>https://centrodecapacitaciondelsur.com/toma-de-muestras-y-lab-clinico-</v>
      </c>
      <c r="C142" s="10">
        <f>INSCRITOS!B105</f>
        <v>1086223746</v>
      </c>
      <c r="D142" t="str">
        <f t="shared" si="9"/>
        <v>https://centrodecapacitaciondelsur.com/toma-de-muestras-y-lab-clinico-1086223746/</v>
      </c>
    </row>
    <row r="143" spans="1:5" ht="122.25" customHeight="1" x14ac:dyDescent="0.25">
      <c r="A143" s="19" t="str">
        <f>INSCRITOS!O106</f>
        <v>TOMA DE MUESTRAS</v>
      </c>
      <c r="B143" s="8" t="str">
        <f t="shared" si="8"/>
        <v>https://centrodecapacitaciondelsur.com/toma-de-muestras-y-lab-clinico-</v>
      </c>
      <c r="C143" s="10">
        <f>INSCRITOS!B106</f>
        <v>36953254</v>
      </c>
      <c r="D143" t="str">
        <f t="shared" si="9"/>
        <v>https://centrodecapacitaciondelsur.com/toma-de-muestras-y-lab-clinico-36953254/</v>
      </c>
    </row>
    <row r="144" spans="1:5" ht="122.25" customHeight="1" x14ac:dyDescent="0.25">
      <c r="A144" s="19" t="str">
        <f>INSCRITOS!O107</f>
        <v>TOMA DE MUESTRAS</v>
      </c>
      <c r="B144" s="8" t="str">
        <f t="shared" si="8"/>
        <v>https://centrodecapacitaciondelsur.com/toma-de-muestras-y-lab-clinico-</v>
      </c>
      <c r="C144" s="10">
        <f>INSCRITOS!B107</f>
        <v>37084333</v>
      </c>
      <c r="D144" t="str">
        <f t="shared" si="9"/>
        <v>https://centrodecapacitaciondelsur.com/toma-de-muestras-y-lab-clinico-37084333/</v>
      </c>
    </row>
    <row r="145" spans="1:4" ht="122.25" customHeight="1" x14ac:dyDescent="0.25">
      <c r="A145" s="19" t="str">
        <f>INSCRITOS!O108</f>
        <v>ACLS</v>
      </c>
      <c r="B145" s="8" t="str">
        <f t="shared" si="8"/>
        <v>https://centrodecapacitaciondelsur.com/soporte-cardiovascular-avanzado-</v>
      </c>
      <c r="C145" s="10">
        <f>INSCRITOS!B108</f>
        <v>27224982</v>
      </c>
      <c r="D145" t="str">
        <f t="shared" si="9"/>
        <v>https://centrodecapacitaciondelsur.com/soporte-cardiovascular-avanzado-27224982/</v>
      </c>
    </row>
    <row r="146" spans="1:4" ht="122.25" customHeight="1" x14ac:dyDescent="0.25">
      <c r="A146" s="19" t="str">
        <f>INSCRITOS!O109</f>
        <v>BLS</v>
      </c>
      <c r="B146" s="8" t="str">
        <f t="shared" si="8"/>
        <v>https://centrodecapacitaciondelsur.com/soporte-basico-de-vida-</v>
      </c>
      <c r="C146" s="10">
        <f>INSCRITOS!B109</f>
        <v>1087211636</v>
      </c>
      <c r="D146" t="str">
        <f t="shared" si="9"/>
        <v>https://centrodecapacitaciondelsur.com/soporte-basico-de-vida-1087211636/</v>
      </c>
    </row>
    <row r="147" spans="1:4" ht="122.25" customHeight="1" x14ac:dyDescent="0.25">
      <c r="A147" s="19" t="str">
        <f>INSCRITOS!O110</f>
        <v>SALVAMENTO ACUATICO</v>
      </c>
      <c r="B147" s="8" t="s">
        <v>376</v>
      </c>
      <c r="C147" s="10">
        <f>INSCRITOS!B110</f>
        <v>1087211636</v>
      </c>
      <c r="D147" t="str">
        <f t="shared" si="9"/>
        <v>https://centrodecapacitaciondelsur.com/salvamento-acuatico-1087211636/</v>
      </c>
    </row>
    <row r="148" spans="1:4" ht="122.25" customHeight="1" x14ac:dyDescent="0.25">
      <c r="A148" s="19" t="str">
        <f>INSCRITOS!O111</f>
        <v>DUELO</v>
      </c>
      <c r="B148" s="8" t="str">
        <f t="shared" si="8"/>
        <v>https://centrodecapacitaciondelsur.com/manejo-del-duelo-</v>
      </c>
      <c r="C148" s="10">
        <f>INSCRITOS!B111</f>
        <v>1084846415</v>
      </c>
      <c r="D148" t="str">
        <f t="shared" si="9"/>
        <v>https://centrodecapacitaciondelsur.com/manejo-del-duelo-1084846415/</v>
      </c>
    </row>
    <row r="149" spans="1:4" ht="122.25" customHeight="1" x14ac:dyDescent="0.25">
      <c r="A149" s="19" t="str">
        <f>INSCRITOS!O112</f>
        <v>BLS</v>
      </c>
      <c r="B149" s="8" t="str">
        <f t="shared" si="8"/>
        <v>https://centrodecapacitaciondelsur.com/soporte-basico-de-vida-</v>
      </c>
      <c r="C149" s="10">
        <f>INSCRITOS!B112</f>
        <v>1004696470</v>
      </c>
      <c r="D149" t="str">
        <f t="shared" si="9"/>
        <v>https://centrodecapacitaciondelsur.com/soporte-basico-de-vida-1004696470/</v>
      </c>
    </row>
    <row r="150" spans="1:4" ht="122.25" customHeight="1" x14ac:dyDescent="0.25">
      <c r="A150" s="19" t="str">
        <f>INSCRITOS!O113</f>
        <v>VIOLENCIA SEXUAL</v>
      </c>
      <c r="B150" s="8" t="str">
        <f t="shared" si="8"/>
        <v>https://centrodecapacitaciondelsur.com/violencia-sexual-</v>
      </c>
      <c r="C150" s="10">
        <f>INSCRITOS!B113</f>
        <v>1004696470</v>
      </c>
      <c r="D150" t="str">
        <f t="shared" si="9"/>
        <v>https://centrodecapacitaciondelsur.com/violencia-sexual-1004696470/</v>
      </c>
    </row>
    <row r="151" spans="1:4" ht="122.25" customHeight="1" x14ac:dyDescent="0.25">
      <c r="A151" s="19" t="str">
        <f>INSCRITOS!O114</f>
        <v>DUELO</v>
      </c>
      <c r="B151" s="8" t="str">
        <f t="shared" si="8"/>
        <v>https://centrodecapacitaciondelsur.com/manejo-del-duelo-</v>
      </c>
      <c r="C151" s="10">
        <f>INSCRITOS!B114</f>
        <v>1004696470</v>
      </c>
      <c r="D151" t="str">
        <f t="shared" si="9"/>
        <v>https://centrodecapacitaciondelsur.com/manejo-del-duelo-1004696470/</v>
      </c>
    </row>
    <row r="152" spans="1:4" ht="122.25" customHeight="1" x14ac:dyDescent="0.25">
      <c r="A152" s="19" t="str">
        <f>INSCRITOS!O115</f>
        <v>QUIMICOS</v>
      </c>
      <c r="B152" s="8" t="str">
        <f t="shared" si="8"/>
        <v>https://centrodecapacitaciondelsur.com/victimas-por-agentes-quimicos-</v>
      </c>
      <c r="C152" s="10">
        <f>INSCRITOS!B115</f>
        <v>1004696470</v>
      </c>
      <c r="D152" t="str">
        <f t="shared" si="9"/>
        <v>https://centrodecapacitaciondelsur.com/victimas-por-agentes-quimicos-1004696470/</v>
      </c>
    </row>
    <row r="153" spans="1:4" ht="122.25" customHeight="1" x14ac:dyDescent="0.25">
      <c r="A153" s="19" t="str">
        <f>INSCRITOS!O116</f>
        <v>POCT</v>
      </c>
      <c r="B153" s="8" t="str">
        <f t="shared" si="8"/>
        <v>https://centrodecapacitaciondelsur.com/toma-de-muestras-y-lab-clinico-poct-</v>
      </c>
      <c r="C153" s="10">
        <f>INSCRITOS!B116</f>
        <v>1004696470</v>
      </c>
      <c r="D153" t="str">
        <f t="shared" si="9"/>
        <v>https://centrodecapacitaciondelsur.com/toma-de-muestras-y-lab-clinico-poct-1004696470/</v>
      </c>
    </row>
    <row r="154" spans="1:4" ht="122.25" customHeight="1" x14ac:dyDescent="0.25">
      <c r="A154" s="19">
        <f>INSCRITOS!O117</f>
        <v>0</v>
      </c>
      <c r="B154" s="8" t="b">
        <f t="shared" si="8"/>
        <v>0</v>
      </c>
      <c r="C154" s="10">
        <f>INSCRITOS!B117</f>
        <v>0</v>
      </c>
      <c r="D154" t="str">
        <f t="shared" si="9"/>
        <v>FALSO0/</v>
      </c>
    </row>
    <row r="155" spans="1:4" ht="122.25" customHeight="1" x14ac:dyDescent="0.25">
      <c r="A155" s="19">
        <f>INSCRITOS!O118</f>
        <v>0</v>
      </c>
      <c r="B155" s="8" t="b">
        <f t="shared" si="8"/>
        <v>0</v>
      </c>
      <c r="C155" s="10">
        <f>INSCRITOS!B118</f>
        <v>0</v>
      </c>
      <c r="D155" t="str">
        <f t="shared" si="9"/>
        <v>FALSO0/</v>
      </c>
    </row>
    <row r="156" spans="1:4" ht="122.25" customHeight="1" x14ac:dyDescent="0.25">
      <c r="A156" s="19">
        <f>INSCRITOS!O119</f>
        <v>0</v>
      </c>
      <c r="B156" s="8" t="b">
        <f t="shared" si="8"/>
        <v>0</v>
      </c>
      <c r="C156" s="10">
        <f>INSCRITOS!B119</f>
        <v>0</v>
      </c>
      <c r="D156" t="str">
        <f t="shared" si="9"/>
        <v>FALSO0/</v>
      </c>
    </row>
    <row r="157" spans="1:4" ht="122.25" customHeight="1" x14ac:dyDescent="0.25">
      <c r="A157" s="19">
        <f>INSCRITOS!O120</f>
        <v>0</v>
      </c>
      <c r="B157" s="8" t="b">
        <f t="shared" si="8"/>
        <v>0</v>
      </c>
      <c r="C157" s="10">
        <f>INSCRITOS!B120</f>
        <v>0</v>
      </c>
      <c r="D157" t="str">
        <f t="shared" si="9"/>
        <v>FALSO0/</v>
      </c>
    </row>
    <row r="158" spans="1:4" ht="122.25" customHeight="1" x14ac:dyDescent="0.25">
      <c r="A158" s="19">
        <f>INSCRITOS!O121</f>
        <v>0</v>
      </c>
      <c r="B158" s="8" t="b">
        <f t="shared" si="8"/>
        <v>0</v>
      </c>
      <c r="C158" s="10">
        <f>INSCRITOS!B121</f>
        <v>0</v>
      </c>
      <c r="D158" t="str">
        <f t="shared" si="9"/>
        <v>FALSO0/</v>
      </c>
    </row>
    <row r="159" spans="1:4" ht="122.25" customHeight="1" x14ac:dyDescent="0.25">
      <c r="A159" s="19">
        <f>INSCRITOS!O122</f>
        <v>0</v>
      </c>
      <c r="B159" s="8" t="b">
        <f t="shared" si="8"/>
        <v>0</v>
      </c>
      <c r="C159" s="10">
        <f>INSCRITOS!B122</f>
        <v>0</v>
      </c>
      <c r="D159" t="str">
        <f t="shared" si="9"/>
        <v>FALSO0/</v>
      </c>
    </row>
    <row r="160" spans="1:4" ht="122.25" customHeight="1" x14ac:dyDescent="0.25">
      <c r="A160" s="19">
        <f>INSCRITOS!O123</f>
        <v>0</v>
      </c>
      <c r="B160" s="8" t="b">
        <f t="shared" si="8"/>
        <v>0</v>
      </c>
      <c r="C160" s="10">
        <f>INSCRITOS!B123</f>
        <v>0</v>
      </c>
      <c r="D160" t="str">
        <f t="shared" si="9"/>
        <v>FALSO0/</v>
      </c>
    </row>
    <row r="161" spans="1:4" ht="122.25" customHeight="1" x14ac:dyDescent="0.25">
      <c r="A161" s="19">
        <f>INSCRITOS!O124</f>
        <v>0</v>
      </c>
      <c r="B161" s="8" t="b">
        <f t="shared" si="8"/>
        <v>0</v>
      </c>
      <c r="C161" s="10">
        <f>INSCRITOS!B124</f>
        <v>0</v>
      </c>
      <c r="D161" t="str">
        <f t="shared" si="9"/>
        <v>FALSO0/</v>
      </c>
    </row>
    <row r="162" spans="1:4" ht="122.25" customHeight="1" x14ac:dyDescent="0.25">
      <c r="A162" s="19">
        <f>INSCRITOS!O125</f>
        <v>0</v>
      </c>
      <c r="B162" s="8" t="b">
        <f t="shared" si="8"/>
        <v>0</v>
      </c>
      <c r="C162" s="10">
        <f>INSCRITOS!B125</f>
        <v>0</v>
      </c>
      <c r="D162" t="str">
        <f t="shared" si="9"/>
        <v>FALSO0/</v>
      </c>
    </row>
    <row r="163" spans="1:4" ht="122.25" customHeight="1" x14ac:dyDescent="0.25">
      <c r="A163" s="19">
        <f>INSCRITOS!O126</f>
        <v>0</v>
      </c>
      <c r="B163" s="8" t="b">
        <f t="shared" si="8"/>
        <v>0</v>
      </c>
      <c r="C163" s="10">
        <f>INSCRITOS!B126</f>
        <v>0</v>
      </c>
      <c r="D163" t="str">
        <f t="shared" si="9"/>
        <v>FALSO0/</v>
      </c>
    </row>
    <row r="164" spans="1:4" ht="122.25" customHeight="1" x14ac:dyDescent="0.25">
      <c r="A164" s="19">
        <f>INSCRITOS!O127</f>
        <v>0</v>
      </c>
      <c r="B164" s="8" t="b">
        <f t="shared" si="8"/>
        <v>0</v>
      </c>
      <c r="C164" s="10">
        <f>INSCRITOS!B127</f>
        <v>0</v>
      </c>
      <c r="D164" t="str">
        <f t="shared" si="9"/>
        <v>FALSO0/</v>
      </c>
    </row>
    <row r="165" spans="1:4" ht="122.25" customHeight="1" x14ac:dyDescent="0.25">
      <c r="A165" s="19">
        <f>INSCRITOS!O128</f>
        <v>0</v>
      </c>
      <c r="B165" s="8" t="b">
        <f t="shared" si="8"/>
        <v>0</v>
      </c>
      <c r="C165" s="10">
        <f>INSCRITOS!B128</f>
        <v>0</v>
      </c>
      <c r="D165" t="str">
        <f t="shared" si="9"/>
        <v>FALSO0/</v>
      </c>
    </row>
    <row r="166" spans="1:4" ht="122.25" customHeight="1" x14ac:dyDescent="0.25">
      <c r="A166" s="19">
        <f>INSCRITOS!O129</f>
        <v>0</v>
      </c>
      <c r="B166" s="8" t="b">
        <f t="shared" si="8"/>
        <v>0</v>
      </c>
      <c r="C166" s="10">
        <f>INSCRITOS!B129</f>
        <v>0</v>
      </c>
      <c r="D166" t="str">
        <f t="shared" si="9"/>
        <v>FALSO0/</v>
      </c>
    </row>
    <row r="167" spans="1:4" ht="122.25" customHeight="1" x14ac:dyDescent="0.25">
      <c r="A167" s="19">
        <f>INSCRITOS!O130</f>
        <v>0</v>
      </c>
      <c r="B167" s="8" t="b">
        <f t="shared" si="8"/>
        <v>0</v>
      </c>
      <c r="C167" s="10">
        <f>INSCRITOS!B130</f>
        <v>0</v>
      </c>
      <c r="D167" t="str">
        <f t="shared" si="9"/>
        <v>FALSO0/</v>
      </c>
    </row>
    <row r="168" spans="1:4" ht="122.25" customHeight="1" x14ac:dyDescent="0.25">
      <c r="A168" s="19">
        <f>INSCRITOS!O131</f>
        <v>0</v>
      </c>
      <c r="B168" s="8" t="b">
        <f t="shared" si="8"/>
        <v>0</v>
      </c>
      <c r="C168" s="10">
        <f>INSCRITOS!B131</f>
        <v>0</v>
      </c>
      <c r="D168" t="str">
        <f t="shared" si="9"/>
        <v>FALSO0/</v>
      </c>
    </row>
    <row r="169" spans="1:4" ht="122.25" customHeight="1" x14ac:dyDescent="0.25">
      <c r="A169" s="19">
        <f>INSCRITOS!O132</f>
        <v>0</v>
      </c>
      <c r="B169" s="8" t="b">
        <f t="shared" si="8"/>
        <v>0</v>
      </c>
      <c r="C169" s="10">
        <f>INSCRITOS!B132</f>
        <v>0</v>
      </c>
      <c r="D169" t="str">
        <f t="shared" si="9"/>
        <v>FALSO0/</v>
      </c>
    </row>
    <row r="170" spans="1:4" ht="122.25" customHeight="1" x14ac:dyDescent="0.25">
      <c r="A170" s="19">
        <f>INSCRITOS!O133</f>
        <v>0</v>
      </c>
      <c r="B170" s="8" t="b">
        <f t="shared" si="8"/>
        <v>0</v>
      </c>
      <c r="C170" s="10">
        <f>INSCRITOS!B133</f>
        <v>0</v>
      </c>
      <c r="D170" t="str">
        <f t="shared" si="9"/>
        <v>FALSO0/</v>
      </c>
    </row>
    <row r="171" spans="1:4" ht="122.25" customHeight="1" x14ac:dyDescent="0.25">
      <c r="A171" s="19">
        <f>INSCRITOS!O134</f>
        <v>0</v>
      </c>
      <c r="B171" s="8" t="b">
        <f t="shared" si="8"/>
        <v>0</v>
      </c>
      <c r="C171" s="10">
        <f>INSCRITOS!B134</f>
        <v>0</v>
      </c>
      <c r="D171" t="str">
        <f t="shared" si="9"/>
        <v>FALSO0/</v>
      </c>
    </row>
    <row r="172" spans="1:4" ht="122.25" customHeight="1" x14ac:dyDescent="0.25">
      <c r="A172" s="19">
        <f>INSCRITOS!O135</f>
        <v>0</v>
      </c>
      <c r="B172" s="8" t="b">
        <f t="shared" si="8"/>
        <v>0</v>
      </c>
      <c r="C172" s="10">
        <f>INSCRITOS!B135</f>
        <v>0</v>
      </c>
      <c r="D172" t="str">
        <f t="shared" si="9"/>
        <v>FALSO0/</v>
      </c>
    </row>
    <row r="173" spans="1:4" ht="122.25" customHeight="1" x14ac:dyDescent="0.25">
      <c r="A173" s="19">
        <f>INSCRITOS!O136</f>
        <v>0</v>
      </c>
      <c r="B173" s="8" t="b">
        <f t="shared" si="8"/>
        <v>0</v>
      </c>
      <c r="C173" s="10">
        <f>INSCRITOS!B136</f>
        <v>0</v>
      </c>
      <c r="D173" t="str">
        <f t="shared" si="9"/>
        <v>FALSO0/</v>
      </c>
    </row>
    <row r="174" spans="1:4" ht="122.25" customHeight="1" x14ac:dyDescent="0.25">
      <c r="A174" s="19">
        <f>INSCRITOS!O137</f>
        <v>0</v>
      </c>
      <c r="B174" s="8" t="b">
        <f t="shared" si="8"/>
        <v>0</v>
      </c>
      <c r="C174" s="10">
        <f>INSCRITOS!B137</f>
        <v>0</v>
      </c>
      <c r="D174" t="str">
        <f t="shared" si="9"/>
        <v>FALSO0/</v>
      </c>
    </row>
    <row r="175" spans="1:4" ht="122.25" customHeight="1" x14ac:dyDescent="0.25">
      <c r="A175" s="19">
        <f>INSCRITOS!O138</f>
        <v>0</v>
      </c>
      <c r="B175" s="8" t="b">
        <f t="shared" si="8"/>
        <v>0</v>
      </c>
      <c r="C175" s="10">
        <f>INSCRITOS!B138</f>
        <v>0</v>
      </c>
      <c r="D175" t="str">
        <f t="shared" si="9"/>
        <v>FALSO0/</v>
      </c>
    </row>
    <row r="176" spans="1:4" ht="122.25" customHeight="1" x14ac:dyDescent="0.25">
      <c r="A176" s="19">
        <f>INSCRITOS!O139</f>
        <v>0</v>
      </c>
      <c r="B176" s="8" t="b">
        <f t="shared" si="8"/>
        <v>0</v>
      </c>
      <c r="C176" s="10">
        <f>INSCRITOS!B139</f>
        <v>0</v>
      </c>
      <c r="D176" t="str">
        <f t="shared" si="9"/>
        <v>FALSO0/</v>
      </c>
    </row>
    <row r="177" spans="1:4" ht="122.25" customHeight="1" x14ac:dyDescent="0.25">
      <c r="A177" s="19">
        <f>INSCRITOS!O140</f>
        <v>0</v>
      </c>
      <c r="B177" s="8" t="b">
        <f t="shared" si="8"/>
        <v>0</v>
      </c>
      <c r="C177" s="10">
        <f>INSCRITOS!B140</f>
        <v>0</v>
      </c>
      <c r="D177" t="str">
        <f t="shared" si="9"/>
        <v>FALSO0/</v>
      </c>
    </row>
    <row r="178" spans="1:4" ht="122.25" customHeight="1" x14ac:dyDescent="0.25">
      <c r="A178" s="19">
        <f>INSCRITOS!O141</f>
        <v>0</v>
      </c>
      <c r="B178" s="8" t="b">
        <f t="shared" si="8"/>
        <v>0</v>
      </c>
      <c r="C178" s="10">
        <f>INSCRITOS!B141</f>
        <v>0</v>
      </c>
      <c r="D178" t="str">
        <f t="shared" si="9"/>
        <v>FALSO0/</v>
      </c>
    </row>
    <row r="179" spans="1:4" ht="122.25" customHeight="1" x14ac:dyDescent="0.25">
      <c r="A179" s="19">
        <f>INSCRITOS!O142</f>
        <v>0</v>
      </c>
      <c r="B179" s="8" t="b">
        <f t="shared" si="8"/>
        <v>0</v>
      </c>
      <c r="C179" s="10">
        <f>INSCRITOS!B142</f>
        <v>0</v>
      </c>
      <c r="D179" t="str">
        <f t="shared" si="9"/>
        <v>FALSO0/</v>
      </c>
    </row>
    <row r="180" spans="1:4" ht="122.25" customHeight="1" x14ac:dyDescent="0.25">
      <c r="A180" s="19">
        <f>INSCRITOS!O143</f>
        <v>0</v>
      </c>
      <c r="B180" s="8" t="b">
        <f t="shared" si="8"/>
        <v>0</v>
      </c>
      <c r="C180" s="10">
        <f>INSCRITOS!B143</f>
        <v>0</v>
      </c>
      <c r="D180" t="str">
        <f t="shared" si="9"/>
        <v>FALSO0/</v>
      </c>
    </row>
    <row r="181" spans="1:4" ht="122.25" customHeight="1" x14ac:dyDescent="0.25">
      <c r="A181" s="19">
        <f>INSCRITOS!O144</f>
        <v>0</v>
      </c>
      <c r="B181" s="8" t="b">
        <f t="shared" si="8"/>
        <v>0</v>
      </c>
      <c r="C181" s="10">
        <f>INSCRITOS!B144</f>
        <v>0</v>
      </c>
      <c r="D181" t="str">
        <f t="shared" si="9"/>
        <v>FALSO0/</v>
      </c>
    </row>
    <row r="182" spans="1:4" ht="122.25" customHeight="1" x14ac:dyDescent="0.25">
      <c r="A182" s="19">
        <f>INSCRITOS!O145</f>
        <v>0</v>
      </c>
      <c r="B182" s="8" t="b">
        <f t="shared" si="8"/>
        <v>0</v>
      </c>
      <c r="C182" s="10">
        <f>INSCRITOS!B145</f>
        <v>0</v>
      </c>
      <c r="D182" t="str">
        <f t="shared" si="9"/>
        <v>FALSO0/</v>
      </c>
    </row>
    <row r="183" spans="1:4" ht="122.25" customHeight="1" x14ac:dyDescent="0.25">
      <c r="A183" s="19">
        <f>INSCRITOS!O146</f>
        <v>0</v>
      </c>
      <c r="B183" s="8" t="b">
        <f t="shared" si="8"/>
        <v>0</v>
      </c>
      <c r="C183" s="10">
        <f>INSCRITOS!B146</f>
        <v>0</v>
      </c>
      <c r="D183" t="str">
        <f t="shared" si="9"/>
        <v>FALSO0/</v>
      </c>
    </row>
    <row r="184" spans="1:4" ht="122.25" customHeight="1" x14ac:dyDescent="0.25">
      <c r="A184" s="19">
        <f>INSCRITOS!O147</f>
        <v>0</v>
      </c>
      <c r="B184" s="8" t="b">
        <f t="shared" si="8"/>
        <v>0</v>
      </c>
      <c r="C184" s="10">
        <f>INSCRITOS!B147</f>
        <v>0</v>
      </c>
      <c r="D184" t="str">
        <f t="shared" si="9"/>
        <v>FALSO0/</v>
      </c>
    </row>
    <row r="185" spans="1:4" ht="122.25" customHeight="1" x14ac:dyDescent="0.25">
      <c r="A185" s="19">
        <f>INSCRITOS!O148</f>
        <v>0</v>
      </c>
      <c r="B185" s="8" t="b">
        <f t="shared" si="8"/>
        <v>0</v>
      </c>
      <c r="C185" s="10">
        <f>INSCRITOS!B148</f>
        <v>0</v>
      </c>
      <c r="D185" t="str">
        <f t="shared" si="9"/>
        <v>FALSO0/</v>
      </c>
    </row>
    <row r="186" spans="1:4" ht="122.25" customHeight="1" x14ac:dyDescent="0.25">
      <c r="A186" s="19">
        <f>INSCRITOS!O149</f>
        <v>0</v>
      </c>
      <c r="B186" s="8" t="b">
        <f t="shared" si="8"/>
        <v>0</v>
      </c>
      <c r="C186" s="10">
        <f>INSCRITOS!B149</f>
        <v>0</v>
      </c>
      <c r="D186" t="str">
        <f t="shared" si="9"/>
        <v>FALSO0/</v>
      </c>
    </row>
    <row r="187" spans="1:4" ht="122.25" customHeight="1" x14ac:dyDescent="0.25">
      <c r="A187" s="19">
        <f>INSCRITOS!O150</f>
        <v>0</v>
      </c>
      <c r="B187" s="8" t="b">
        <f t="shared" si="8"/>
        <v>0</v>
      </c>
      <c r="C187" s="10">
        <f>INSCRITOS!B150</f>
        <v>0</v>
      </c>
      <c r="D187" t="str">
        <f t="shared" si="9"/>
        <v>FALSO0/</v>
      </c>
    </row>
    <row r="188" spans="1:4" ht="122.25" customHeight="1" x14ac:dyDescent="0.25">
      <c r="A188" s="19">
        <f>INSCRITOS!O151</f>
        <v>0</v>
      </c>
      <c r="B188" s="8" t="b">
        <f t="shared" ref="B188:B251" si="10">IF(A188=$H$19,"https://centrodecapacitaciondelsur.com/o-v-e-",IF(A188=$H$2,"https://centrodecapacitaciondelsur.com/aph-",IF(A188=$H$3,"https://centrodecapacitaciondelsur.com/manejo-del-duelo-",IF(A188=$H$4,"https://centrodecapacitaciondelsur.com/victimas-por-agentes-quimicos-",IF(A188=$H$5,"https://centrodecapacitaciondelsur.com/primeros-auxilios-",IF(A188=$H$6,"https://centrodecapacitaciondelsur.com/uci-",IF(A188=$H$8,"https://centrodecapacitaciondelsur.com/humanizacion-",IF(A188=$H$11,"https://centrodecapacitaciondelsur.com/soporte-cardiovascular-avanzado-",IF(A188=$H$12,"https://centrodecapacitaciondelsur.com/camillero-",IF(A188=$H$13,"https://centrodecapacitaciondelsur.com/toma-de-muestras-y-lab-clinico-",IF(A188=$H$14,"https://centrodecapacitaciondelsur.com/soporte-basico-de-vida-",IF(A188=$H$15,"https://centrodecapacitaciondelsur.com/violencia-sexual-",IF(A188=$H$17,"https://centrodecapacitaciondelsur.com/aiepi-",IF(A188=$H$18,"https://centrodecapacitaciondelsur.com/adm-medicamentos-canalizacion-inyectologia-",IF(A188=$H$25,"https://centrodecapacitaciondelsur.com/manejo-del-dolor-y-cuidados-paliativos-",IF(A188=$H$26,"https://centrodecapacitaciondelsur.com/toma-de-muestras-y-lab-clinico-poct-",IF(A188=$H$27,"https://centrodecapacitaciondelsur.com/implante-subdermico-",IF(A188=$H$21,"https://centrodecapacitaciondelsur.com/donante-de-organos-",IF(A188=$H$30,"https://centrodecapacitaciondelsur.com/atencion-a-victimas-del-conflicto-armado-",IF(A188=$H$20,"https://centrodecapacitaciondelsur.com/iami-",IF(A188=$H$22,"https://centrodecapacitaciondelsur.com/violencia-de-genero-",IF(A188=$H$23,"https://centrodecapacitaciondelsur.com/igualdad-de-genero-",IF(A188=$H$16,"https://centrodecapacitaciondelsur.com/pai-",IF(A188=$H$31,"https://centrodecapacitaciondelsur.com/manipulacion-de-alimentos-",IF(A188=$H$32,"https://centrodecapacitaciondelsur.com/atencion-a-personas-con-discapacidad-",IF(A188=$H$33,"https://centrodecapacitaciondelsur.com/atencion-al-adulto-mayor-",IF(A188=$H$34,"https://centrodecapacitaciondelsur.com/manejo-defensivo-",IF(A188=$H$35,"https://centrodecapacitaciondelsur.com/soporte-basico-neonatal-",IF(A188=$H$36,"https://centrodecapacitaciondelsur.com/seguridad-del-paciente-",IF(A188=$H$37,"https://centrodecapacitaciondelsur.com/manejo-de-residuos-hospitalarios-",IF(A188=$H$10,"https://centrodecapacitaciondelsur.com/toma-de-citologia-",IF(A188=$H$29,"https://centrodecapacitaciondelsur.com/primeros-aux-psicologicos-"))))))))))))))))))))))))))))))))</f>
        <v>0</v>
      </c>
      <c r="C188" s="10">
        <f>INSCRITOS!B151</f>
        <v>0</v>
      </c>
      <c r="D188" t="str">
        <f t="shared" ref="D188:D251" si="11">CONCATENATE(B188,C188,"/")</f>
        <v>FALSO0/</v>
      </c>
    </row>
    <row r="189" spans="1:4" ht="122.25" customHeight="1" x14ac:dyDescent="0.25">
      <c r="A189" s="19">
        <f>INSCRITOS!O152</f>
        <v>0</v>
      </c>
      <c r="B189" s="8" t="b">
        <f t="shared" si="10"/>
        <v>0</v>
      </c>
      <c r="C189" s="10">
        <f>INSCRITOS!B152</f>
        <v>0</v>
      </c>
      <c r="D189" t="str">
        <f t="shared" si="11"/>
        <v>FALSO0/</v>
      </c>
    </row>
    <row r="190" spans="1:4" ht="122.25" customHeight="1" x14ac:dyDescent="0.25">
      <c r="A190" s="19">
        <f>INSCRITOS!O153</f>
        <v>0</v>
      </c>
      <c r="B190" s="8" t="b">
        <f t="shared" si="10"/>
        <v>0</v>
      </c>
      <c r="C190" s="10">
        <f>INSCRITOS!B153</f>
        <v>0</v>
      </c>
      <c r="D190" t="str">
        <f t="shared" si="11"/>
        <v>FALSO0/</v>
      </c>
    </row>
    <row r="191" spans="1:4" ht="122.25" customHeight="1" x14ac:dyDescent="0.25">
      <c r="A191" s="19">
        <f>INSCRITOS!O154</f>
        <v>0</v>
      </c>
      <c r="B191" s="8" t="b">
        <f t="shared" si="10"/>
        <v>0</v>
      </c>
      <c r="C191" s="10">
        <f>INSCRITOS!B154</f>
        <v>0</v>
      </c>
      <c r="D191" t="str">
        <f t="shared" si="11"/>
        <v>FALSO0/</v>
      </c>
    </row>
    <row r="192" spans="1:4" ht="122.25" customHeight="1" x14ac:dyDescent="0.25">
      <c r="A192" s="19">
        <f>INSCRITOS!O155</f>
        <v>0</v>
      </c>
      <c r="B192" s="8" t="b">
        <f t="shared" si="10"/>
        <v>0</v>
      </c>
      <c r="C192" s="10">
        <f>INSCRITOS!B155</f>
        <v>0</v>
      </c>
      <c r="D192" t="str">
        <f t="shared" si="11"/>
        <v>FALSO0/</v>
      </c>
    </row>
    <row r="193" spans="1:4" ht="122.25" customHeight="1" x14ac:dyDescent="0.25">
      <c r="A193" s="19">
        <f>INSCRITOS!O156</f>
        <v>0</v>
      </c>
      <c r="B193" s="8" t="b">
        <f t="shared" si="10"/>
        <v>0</v>
      </c>
      <c r="C193" s="10">
        <f>INSCRITOS!B156</f>
        <v>0</v>
      </c>
      <c r="D193" t="str">
        <f t="shared" si="11"/>
        <v>FALSO0/</v>
      </c>
    </row>
    <row r="194" spans="1:4" ht="122.25" customHeight="1" x14ac:dyDescent="0.25">
      <c r="A194" s="19">
        <f>INSCRITOS!O157</f>
        <v>0</v>
      </c>
      <c r="B194" s="8" t="b">
        <f t="shared" si="10"/>
        <v>0</v>
      </c>
      <c r="C194" s="10">
        <f>INSCRITOS!B157</f>
        <v>0</v>
      </c>
      <c r="D194" t="str">
        <f t="shared" si="11"/>
        <v>FALSO0/</v>
      </c>
    </row>
    <row r="195" spans="1:4" ht="122.25" customHeight="1" x14ac:dyDescent="0.25">
      <c r="A195" s="19">
        <f>INSCRITOS!O158</f>
        <v>0</v>
      </c>
      <c r="B195" s="8" t="b">
        <f t="shared" si="10"/>
        <v>0</v>
      </c>
      <c r="C195" s="10">
        <f>INSCRITOS!B158</f>
        <v>0</v>
      </c>
      <c r="D195" t="str">
        <f t="shared" si="11"/>
        <v>FALSO0/</v>
      </c>
    </row>
    <row r="196" spans="1:4" ht="122.25" customHeight="1" x14ac:dyDescent="0.25">
      <c r="A196" s="19">
        <f>INSCRITOS!O159</f>
        <v>0</v>
      </c>
      <c r="B196" s="8" t="b">
        <f t="shared" si="10"/>
        <v>0</v>
      </c>
      <c r="C196" s="10">
        <f>INSCRITOS!B159</f>
        <v>0</v>
      </c>
      <c r="D196" t="str">
        <f t="shared" si="11"/>
        <v>FALSO0/</v>
      </c>
    </row>
    <row r="197" spans="1:4" ht="122.25" customHeight="1" x14ac:dyDescent="0.25">
      <c r="A197" s="19">
        <f>INSCRITOS!O160</f>
        <v>0</v>
      </c>
      <c r="B197" s="8" t="b">
        <f t="shared" si="10"/>
        <v>0</v>
      </c>
      <c r="C197" s="10">
        <f>INSCRITOS!B160</f>
        <v>0</v>
      </c>
      <c r="D197" t="str">
        <f t="shared" si="11"/>
        <v>FALSO0/</v>
      </c>
    </row>
    <row r="198" spans="1:4" ht="122.25" customHeight="1" x14ac:dyDescent="0.25">
      <c r="A198" s="19">
        <f>INSCRITOS!O161</f>
        <v>0</v>
      </c>
      <c r="B198" s="8" t="b">
        <f t="shared" si="10"/>
        <v>0</v>
      </c>
      <c r="C198" s="10">
        <f>INSCRITOS!B161</f>
        <v>0</v>
      </c>
      <c r="D198" t="str">
        <f t="shared" si="11"/>
        <v>FALSO0/</v>
      </c>
    </row>
    <row r="199" spans="1:4" ht="122.25" customHeight="1" x14ac:dyDescent="0.25">
      <c r="A199" s="19">
        <f>INSCRITOS!O162</f>
        <v>0</v>
      </c>
      <c r="B199" s="8" t="b">
        <f t="shared" si="10"/>
        <v>0</v>
      </c>
      <c r="C199" s="10">
        <f>INSCRITOS!B162</f>
        <v>0</v>
      </c>
      <c r="D199" t="str">
        <f t="shared" si="11"/>
        <v>FALSO0/</v>
      </c>
    </row>
    <row r="200" spans="1:4" ht="122.25" customHeight="1" x14ac:dyDescent="0.25">
      <c r="A200" s="19">
        <f>INSCRITOS!O163</f>
        <v>0</v>
      </c>
      <c r="B200" s="8" t="b">
        <f t="shared" si="10"/>
        <v>0</v>
      </c>
      <c r="C200" s="10">
        <f>INSCRITOS!B163</f>
        <v>0</v>
      </c>
      <c r="D200" t="str">
        <f t="shared" si="11"/>
        <v>FALSO0/</v>
      </c>
    </row>
    <row r="201" spans="1:4" ht="122.25" customHeight="1" x14ac:dyDescent="0.25">
      <c r="A201" s="19">
        <f>INSCRITOS!O164</f>
        <v>0</v>
      </c>
      <c r="B201" s="8" t="b">
        <f t="shared" si="10"/>
        <v>0</v>
      </c>
      <c r="C201" s="10">
        <f>INSCRITOS!B164</f>
        <v>0</v>
      </c>
      <c r="D201" t="str">
        <f t="shared" si="11"/>
        <v>FALSO0/</v>
      </c>
    </row>
    <row r="202" spans="1:4" ht="122.25" customHeight="1" x14ac:dyDescent="0.25">
      <c r="A202" s="19">
        <f>INSCRITOS!O165</f>
        <v>0</v>
      </c>
      <c r="B202" s="8" t="b">
        <f t="shared" si="10"/>
        <v>0</v>
      </c>
      <c r="C202" s="10">
        <f>INSCRITOS!B165</f>
        <v>0</v>
      </c>
      <c r="D202" t="str">
        <f t="shared" si="11"/>
        <v>FALSO0/</v>
      </c>
    </row>
    <row r="203" spans="1:4" ht="122.25" customHeight="1" x14ac:dyDescent="0.25">
      <c r="A203" s="19">
        <f>INSCRITOS!O166</f>
        <v>0</v>
      </c>
      <c r="B203" s="8" t="b">
        <f t="shared" si="10"/>
        <v>0</v>
      </c>
      <c r="C203" s="10">
        <f>INSCRITOS!B166</f>
        <v>0</v>
      </c>
      <c r="D203" t="str">
        <f t="shared" si="11"/>
        <v>FALSO0/</v>
      </c>
    </row>
    <row r="204" spans="1:4" ht="122.25" customHeight="1" x14ac:dyDescent="0.25">
      <c r="A204" s="19">
        <f>INSCRITOS!O167</f>
        <v>0</v>
      </c>
      <c r="B204" s="8" t="b">
        <f t="shared" si="10"/>
        <v>0</v>
      </c>
      <c r="C204" s="10">
        <f>INSCRITOS!B167</f>
        <v>0</v>
      </c>
      <c r="D204" t="str">
        <f t="shared" si="11"/>
        <v>FALSO0/</v>
      </c>
    </row>
    <row r="205" spans="1:4" ht="122.25" customHeight="1" x14ac:dyDescent="0.25">
      <c r="A205" s="19">
        <f>INSCRITOS!O168</f>
        <v>0</v>
      </c>
      <c r="B205" s="8" t="b">
        <f t="shared" si="10"/>
        <v>0</v>
      </c>
      <c r="C205" s="10">
        <f>INSCRITOS!B168</f>
        <v>0</v>
      </c>
      <c r="D205" t="str">
        <f t="shared" si="11"/>
        <v>FALSO0/</v>
      </c>
    </row>
    <row r="206" spans="1:4" ht="122.25" customHeight="1" x14ac:dyDescent="0.25">
      <c r="A206" s="19">
        <f>INSCRITOS!O169</f>
        <v>0</v>
      </c>
      <c r="B206" s="8" t="b">
        <f t="shared" si="10"/>
        <v>0</v>
      </c>
      <c r="C206" s="10">
        <f>INSCRITOS!B169</f>
        <v>0</v>
      </c>
      <c r="D206" t="str">
        <f t="shared" si="11"/>
        <v>FALSO0/</v>
      </c>
    </row>
    <row r="207" spans="1:4" ht="122.25" customHeight="1" x14ac:dyDescent="0.25">
      <c r="A207" s="19">
        <f>INSCRITOS!O170</f>
        <v>0</v>
      </c>
      <c r="B207" s="8" t="b">
        <f t="shared" si="10"/>
        <v>0</v>
      </c>
      <c r="C207" s="10">
        <f>INSCRITOS!B170</f>
        <v>0</v>
      </c>
      <c r="D207" t="str">
        <f t="shared" si="11"/>
        <v>FALSO0/</v>
      </c>
    </row>
    <row r="208" spans="1:4" ht="122.25" customHeight="1" x14ac:dyDescent="0.25">
      <c r="A208" s="19">
        <f>INSCRITOS!O171</f>
        <v>0</v>
      </c>
      <c r="B208" s="8" t="b">
        <f t="shared" si="10"/>
        <v>0</v>
      </c>
      <c r="C208" s="10">
        <f>INSCRITOS!B171</f>
        <v>0</v>
      </c>
      <c r="D208" t="str">
        <f t="shared" si="11"/>
        <v>FALSO0/</v>
      </c>
    </row>
    <row r="209" spans="1:4" ht="122.25" customHeight="1" x14ac:dyDescent="0.25">
      <c r="A209" s="19">
        <f>INSCRITOS!O172</f>
        <v>0</v>
      </c>
      <c r="B209" s="8" t="b">
        <f t="shared" si="10"/>
        <v>0</v>
      </c>
      <c r="C209" s="10">
        <f>INSCRITOS!B172</f>
        <v>0</v>
      </c>
      <c r="D209" t="str">
        <f t="shared" si="11"/>
        <v>FALSO0/</v>
      </c>
    </row>
    <row r="210" spans="1:4" ht="122.25" customHeight="1" x14ac:dyDescent="0.25">
      <c r="A210" s="19">
        <f>INSCRITOS!O173</f>
        <v>0</v>
      </c>
      <c r="B210" s="8" t="b">
        <f t="shared" si="10"/>
        <v>0</v>
      </c>
      <c r="C210" s="10">
        <f>INSCRITOS!B173</f>
        <v>0</v>
      </c>
      <c r="D210" t="str">
        <f t="shared" si="11"/>
        <v>FALSO0/</v>
      </c>
    </row>
    <row r="211" spans="1:4" ht="122.25" customHeight="1" x14ac:dyDescent="0.25">
      <c r="A211" s="19">
        <f>INSCRITOS!O174</f>
        <v>0</v>
      </c>
      <c r="B211" s="8" t="b">
        <f t="shared" si="10"/>
        <v>0</v>
      </c>
      <c r="C211" s="10">
        <f>INSCRITOS!B174</f>
        <v>0</v>
      </c>
      <c r="D211" t="str">
        <f t="shared" si="11"/>
        <v>FALSO0/</v>
      </c>
    </row>
    <row r="212" spans="1:4" ht="122.25" customHeight="1" x14ac:dyDescent="0.25">
      <c r="A212" s="19">
        <f>INSCRITOS!O175</f>
        <v>0</v>
      </c>
      <c r="B212" s="8" t="b">
        <f t="shared" si="10"/>
        <v>0</v>
      </c>
      <c r="C212" s="10">
        <f>INSCRITOS!B175</f>
        <v>0</v>
      </c>
      <c r="D212" t="str">
        <f t="shared" si="11"/>
        <v>FALSO0/</v>
      </c>
    </row>
    <row r="213" spans="1:4" ht="122.25" customHeight="1" x14ac:dyDescent="0.25">
      <c r="A213" s="19">
        <f>INSCRITOS!O176</f>
        <v>0</v>
      </c>
      <c r="B213" s="8" t="b">
        <f t="shared" si="10"/>
        <v>0</v>
      </c>
      <c r="C213" s="10">
        <f>INSCRITOS!B176</f>
        <v>0</v>
      </c>
      <c r="D213" t="str">
        <f t="shared" si="11"/>
        <v>FALSO0/</v>
      </c>
    </row>
    <row r="214" spans="1:4" ht="122.25" customHeight="1" x14ac:dyDescent="0.25">
      <c r="A214" s="19">
        <f>INSCRITOS!O177</f>
        <v>0</v>
      </c>
      <c r="B214" s="8" t="b">
        <f t="shared" si="10"/>
        <v>0</v>
      </c>
      <c r="C214" s="10">
        <f>INSCRITOS!B177</f>
        <v>0</v>
      </c>
      <c r="D214" t="str">
        <f t="shared" si="11"/>
        <v>FALSO0/</v>
      </c>
    </row>
    <row r="215" spans="1:4" ht="122.25" customHeight="1" x14ac:dyDescent="0.25">
      <c r="A215" s="19">
        <f>INSCRITOS!O178</f>
        <v>0</v>
      </c>
      <c r="B215" s="8" t="b">
        <f t="shared" si="10"/>
        <v>0</v>
      </c>
      <c r="C215" s="10">
        <f>INSCRITOS!B178</f>
        <v>0</v>
      </c>
      <c r="D215" t="str">
        <f t="shared" si="11"/>
        <v>FALSO0/</v>
      </c>
    </row>
    <row r="216" spans="1:4" ht="122.25" customHeight="1" x14ac:dyDescent="0.25">
      <c r="A216" s="19">
        <f>INSCRITOS!O179</f>
        <v>0</v>
      </c>
      <c r="B216" s="8" t="b">
        <f t="shared" si="10"/>
        <v>0</v>
      </c>
      <c r="C216" s="10">
        <f>INSCRITOS!B179</f>
        <v>0</v>
      </c>
      <c r="D216" t="str">
        <f t="shared" si="11"/>
        <v>FALSO0/</v>
      </c>
    </row>
    <row r="217" spans="1:4" ht="122.25" customHeight="1" x14ac:dyDescent="0.25">
      <c r="A217" s="19">
        <f>INSCRITOS!O180</f>
        <v>0</v>
      </c>
      <c r="B217" s="8" t="b">
        <f t="shared" si="10"/>
        <v>0</v>
      </c>
      <c r="C217" s="10">
        <f>INSCRITOS!B180</f>
        <v>0</v>
      </c>
      <c r="D217" t="str">
        <f t="shared" si="11"/>
        <v>FALSO0/</v>
      </c>
    </row>
    <row r="218" spans="1:4" ht="122.25" customHeight="1" x14ac:dyDescent="0.25">
      <c r="A218" s="19">
        <f>INSCRITOS!O181</f>
        <v>0</v>
      </c>
      <c r="B218" s="8" t="b">
        <f t="shared" si="10"/>
        <v>0</v>
      </c>
      <c r="C218" s="10">
        <f>INSCRITOS!B181</f>
        <v>0</v>
      </c>
      <c r="D218" t="str">
        <f t="shared" si="11"/>
        <v>FALSO0/</v>
      </c>
    </row>
    <row r="219" spans="1:4" ht="122.25" customHeight="1" x14ac:dyDescent="0.25">
      <c r="A219" s="19">
        <f>INSCRITOS!O182</f>
        <v>0</v>
      </c>
      <c r="B219" s="8" t="b">
        <f t="shared" si="10"/>
        <v>0</v>
      </c>
      <c r="C219" s="10">
        <f>INSCRITOS!B182</f>
        <v>0</v>
      </c>
      <c r="D219" t="str">
        <f t="shared" si="11"/>
        <v>FALSO0/</v>
      </c>
    </row>
    <row r="220" spans="1:4" ht="122.25" customHeight="1" x14ac:dyDescent="0.25">
      <c r="A220" s="19">
        <f>INSCRITOS!O183</f>
        <v>0</v>
      </c>
      <c r="B220" s="8" t="b">
        <f t="shared" si="10"/>
        <v>0</v>
      </c>
      <c r="C220" s="10">
        <f>INSCRITOS!B183</f>
        <v>0</v>
      </c>
      <c r="D220" t="str">
        <f t="shared" si="11"/>
        <v>FALSO0/</v>
      </c>
    </row>
    <row r="221" spans="1:4" ht="122.25" customHeight="1" x14ac:dyDescent="0.25">
      <c r="A221" s="19">
        <f>INSCRITOS!O184</f>
        <v>0</v>
      </c>
      <c r="B221" s="8" t="b">
        <f t="shared" si="10"/>
        <v>0</v>
      </c>
      <c r="C221" s="10">
        <f>INSCRITOS!B184</f>
        <v>0</v>
      </c>
      <c r="D221" t="str">
        <f t="shared" si="11"/>
        <v>FALSO0/</v>
      </c>
    </row>
    <row r="222" spans="1:4" ht="122.25" customHeight="1" x14ac:dyDescent="0.25">
      <c r="A222" s="19">
        <f>INSCRITOS!O185</f>
        <v>0</v>
      </c>
      <c r="B222" s="8" t="b">
        <f t="shared" si="10"/>
        <v>0</v>
      </c>
      <c r="C222" s="10">
        <f>INSCRITOS!B185</f>
        <v>0</v>
      </c>
      <c r="D222" t="str">
        <f t="shared" si="11"/>
        <v>FALSO0/</v>
      </c>
    </row>
    <row r="223" spans="1:4" ht="122.25" customHeight="1" x14ac:dyDescent="0.25">
      <c r="A223" s="19">
        <f>INSCRITOS!O186</f>
        <v>0</v>
      </c>
      <c r="B223" s="8" t="b">
        <f t="shared" si="10"/>
        <v>0</v>
      </c>
      <c r="C223" s="10">
        <f>INSCRITOS!B186</f>
        <v>0</v>
      </c>
      <c r="D223" t="str">
        <f t="shared" si="11"/>
        <v>FALSO0/</v>
      </c>
    </row>
    <row r="224" spans="1:4" ht="122.25" customHeight="1" x14ac:dyDescent="0.25">
      <c r="A224" s="19">
        <f>INSCRITOS!O187</f>
        <v>0</v>
      </c>
      <c r="B224" s="8" t="b">
        <f t="shared" si="10"/>
        <v>0</v>
      </c>
      <c r="C224" s="10">
        <f>INSCRITOS!B187</f>
        <v>0</v>
      </c>
      <c r="D224" t="str">
        <f t="shared" si="11"/>
        <v>FALSO0/</v>
      </c>
    </row>
    <row r="225" spans="1:4" ht="122.25" customHeight="1" x14ac:dyDescent="0.25">
      <c r="A225" s="19">
        <f>INSCRITOS!O188</f>
        <v>0</v>
      </c>
      <c r="B225" s="8" t="b">
        <f t="shared" si="10"/>
        <v>0</v>
      </c>
      <c r="C225" s="10">
        <f>INSCRITOS!B188</f>
        <v>0</v>
      </c>
      <c r="D225" t="str">
        <f t="shared" si="11"/>
        <v>FALSO0/</v>
      </c>
    </row>
    <row r="226" spans="1:4" ht="122.25" customHeight="1" x14ac:dyDescent="0.25">
      <c r="A226" s="19">
        <f>INSCRITOS!O189</f>
        <v>0</v>
      </c>
      <c r="B226" s="8" t="b">
        <f t="shared" si="10"/>
        <v>0</v>
      </c>
      <c r="C226" s="10">
        <f>INSCRITOS!B189</f>
        <v>0</v>
      </c>
      <c r="D226" t="str">
        <f t="shared" si="11"/>
        <v>FALSO0/</v>
      </c>
    </row>
    <row r="227" spans="1:4" ht="122.25" customHeight="1" x14ac:dyDescent="0.25">
      <c r="A227" s="19">
        <f>INSCRITOS!O190</f>
        <v>0</v>
      </c>
      <c r="B227" s="8" t="b">
        <f t="shared" si="10"/>
        <v>0</v>
      </c>
      <c r="C227" s="10">
        <f>INSCRITOS!B190</f>
        <v>0</v>
      </c>
      <c r="D227" t="str">
        <f t="shared" si="11"/>
        <v>FALSO0/</v>
      </c>
    </row>
    <row r="228" spans="1:4" ht="122.25" customHeight="1" x14ac:dyDescent="0.25">
      <c r="A228" s="19">
        <f>INSCRITOS!O191</f>
        <v>0</v>
      </c>
      <c r="B228" s="8" t="b">
        <f t="shared" si="10"/>
        <v>0</v>
      </c>
      <c r="C228" s="10">
        <f>INSCRITOS!B191</f>
        <v>0</v>
      </c>
      <c r="D228" t="str">
        <f t="shared" si="11"/>
        <v>FALSO0/</v>
      </c>
    </row>
    <row r="229" spans="1:4" ht="122.25" customHeight="1" x14ac:dyDescent="0.25">
      <c r="A229" s="19">
        <f>INSCRITOS!O192</f>
        <v>0</v>
      </c>
      <c r="B229" s="8" t="b">
        <f t="shared" si="10"/>
        <v>0</v>
      </c>
      <c r="C229" s="10">
        <f>INSCRITOS!B192</f>
        <v>0</v>
      </c>
      <c r="D229" t="str">
        <f t="shared" si="11"/>
        <v>FALSO0/</v>
      </c>
    </row>
    <row r="230" spans="1:4" ht="122.25" customHeight="1" x14ac:dyDescent="0.25">
      <c r="A230" s="19">
        <f>INSCRITOS!O193</f>
        <v>0</v>
      </c>
      <c r="B230" s="8" t="b">
        <f t="shared" si="10"/>
        <v>0</v>
      </c>
      <c r="C230" s="10">
        <f>INSCRITOS!B193</f>
        <v>0</v>
      </c>
      <c r="D230" t="str">
        <f t="shared" si="11"/>
        <v>FALSO0/</v>
      </c>
    </row>
    <row r="231" spans="1:4" ht="122.25" customHeight="1" x14ac:dyDescent="0.25">
      <c r="A231" s="19">
        <f>INSCRITOS!O194</f>
        <v>0</v>
      </c>
      <c r="B231" s="8" t="b">
        <f t="shared" si="10"/>
        <v>0</v>
      </c>
      <c r="C231" s="10">
        <f>INSCRITOS!B194</f>
        <v>0</v>
      </c>
      <c r="D231" t="str">
        <f t="shared" si="11"/>
        <v>FALSO0/</v>
      </c>
    </row>
    <row r="232" spans="1:4" ht="122.25" customHeight="1" x14ac:dyDescent="0.25">
      <c r="A232" s="19">
        <f>INSCRITOS!O195</f>
        <v>0</v>
      </c>
      <c r="B232" s="8" t="b">
        <f t="shared" si="10"/>
        <v>0</v>
      </c>
      <c r="C232" s="10">
        <f>INSCRITOS!B195</f>
        <v>0</v>
      </c>
      <c r="D232" t="str">
        <f t="shared" si="11"/>
        <v>FALSO0/</v>
      </c>
    </row>
    <row r="233" spans="1:4" ht="122.25" customHeight="1" x14ac:dyDescent="0.25">
      <c r="A233" s="19">
        <f>INSCRITOS!O196</f>
        <v>0</v>
      </c>
      <c r="B233" s="8" t="b">
        <f t="shared" si="10"/>
        <v>0</v>
      </c>
      <c r="C233" s="10">
        <f>INSCRITOS!B196</f>
        <v>0</v>
      </c>
      <c r="D233" t="str">
        <f t="shared" si="11"/>
        <v>FALSO0/</v>
      </c>
    </row>
    <row r="234" spans="1:4" ht="122.25" customHeight="1" x14ac:dyDescent="0.25">
      <c r="A234" s="19">
        <f>INSCRITOS!O197</f>
        <v>0</v>
      </c>
      <c r="B234" s="8" t="b">
        <f t="shared" si="10"/>
        <v>0</v>
      </c>
      <c r="C234" s="10">
        <f>INSCRITOS!B197</f>
        <v>0</v>
      </c>
      <c r="D234" t="str">
        <f t="shared" si="11"/>
        <v>FALSO0/</v>
      </c>
    </row>
    <row r="235" spans="1:4" ht="122.25" customHeight="1" x14ac:dyDescent="0.25">
      <c r="A235" s="19">
        <f>INSCRITOS!O198</f>
        <v>0</v>
      </c>
      <c r="B235" s="8" t="b">
        <f t="shared" si="10"/>
        <v>0</v>
      </c>
      <c r="C235" s="10">
        <f>INSCRITOS!B198</f>
        <v>0</v>
      </c>
      <c r="D235" t="str">
        <f t="shared" si="11"/>
        <v>FALSO0/</v>
      </c>
    </row>
    <row r="236" spans="1:4" ht="122.25" customHeight="1" x14ac:dyDescent="0.25">
      <c r="A236" s="19">
        <f>INSCRITOS!O199</f>
        <v>0</v>
      </c>
      <c r="B236" s="8" t="b">
        <f t="shared" si="10"/>
        <v>0</v>
      </c>
      <c r="C236" s="10">
        <f>INSCRITOS!B199</f>
        <v>0</v>
      </c>
      <c r="D236" t="str">
        <f t="shared" si="11"/>
        <v>FALSO0/</v>
      </c>
    </row>
    <row r="237" spans="1:4" ht="122.25" customHeight="1" x14ac:dyDescent="0.25">
      <c r="A237" s="19">
        <f>INSCRITOS!O200</f>
        <v>0</v>
      </c>
      <c r="B237" s="8" t="b">
        <f t="shared" si="10"/>
        <v>0</v>
      </c>
      <c r="C237" s="10">
        <f>INSCRITOS!B200</f>
        <v>0</v>
      </c>
      <c r="D237" t="str">
        <f t="shared" si="11"/>
        <v>FALSO0/</v>
      </c>
    </row>
    <row r="238" spans="1:4" ht="122.25" customHeight="1" x14ac:dyDescent="0.25">
      <c r="A238" s="19">
        <f>INSCRITOS!O201</f>
        <v>0</v>
      </c>
      <c r="B238" s="8" t="b">
        <f t="shared" si="10"/>
        <v>0</v>
      </c>
      <c r="C238" s="10">
        <f>INSCRITOS!B201</f>
        <v>0</v>
      </c>
      <c r="D238" t="str">
        <f t="shared" si="11"/>
        <v>FALSO0/</v>
      </c>
    </row>
    <row r="239" spans="1:4" ht="122.25" customHeight="1" x14ac:dyDescent="0.25">
      <c r="A239" s="19">
        <f>INSCRITOS!O202</f>
        <v>0</v>
      </c>
      <c r="B239" s="8" t="b">
        <f t="shared" si="10"/>
        <v>0</v>
      </c>
      <c r="C239" s="10">
        <f>INSCRITOS!B202</f>
        <v>0</v>
      </c>
      <c r="D239" t="str">
        <f t="shared" si="11"/>
        <v>FALSO0/</v>
      </c>
    </row>
    <row r="240" spans="1:4" ht="122.25" customHeight="1" x14ac:dyDescent="0.25">
      <c r="A240" s="19">
        <f>INSCRITOS!O203</f>
        <v>0</v>
      </c>
      <c r="B240" s="8" t="b">
        <f t="shared" si="10"/>
        <v>0</v>
      </c>
      <c r="C240" s="10">
        <f>INSCRITOS!B203</f>
        <v>0</v>
      </c>
      <c r="D240" t="str">
        <f t="shared" si="11"/>
        <v>FALSO0/</v>
      </c>
    </row>
    <row r="241" spans="1:4" ht="122.25" customHeight="1" x14ac:dyDescent="0.25">
      <c r="A241" s="19">
        <f>INSCRITOS!O204</f>
        <v>0</v>
      </c>
      <c r="B241" s="8" t="b">
        <f t="shared" si="10"/>
        <v>0</v>
      </c>
      <c r="C241" s="10">
        <f>INSCRITOS!B204</f>
        <v>0</v>
      </c>
      <c r="D241" t="str">
        <f t="shared" si="11"/>
        <v>FALSO0/</v>
      </c>
    </row>
    <row r="242" spans="1:4" ht="122.25" customHeight="1" x14ac:dyDescent="0.25">
      <c r="A242" s="19">
        <f>INSCRITOS!O205</f>
        <v>0</v>
      </c>
      <c r="B242" s="8" t="b">
        <f t="shared" si="10"/>
        <v>0</v>
      </c>
      <c r="C242" s="10">
        <f>INSCRITOS!B205</f>
        <v>0</v>
      </c>
      <c r="D242" t="str">
        <f t="shared" si="11"/>
        <v>FALSO0/</v>
      </c>
    </row>
    <row r="243" spans="1:4" ht="122.25" customHeight="1" x14ac:dyDescent="0.25">
      <c r="A243" s="19">
        <f>INSCRITOS!O206</f>
        <v>0</v>
      </c>
      <c r="B243" s="8" t="b">
        <f t="shared" si="10"/>
        <v>0</v>
      </c>
      <c r="C243" s="10">
        <f>INSCRITOS!B206</f>
        <v>0</v>
      </c>
      <c r="D243" t="str">
        <f t="shared" si="11"/>
        <v>FALSO0/</v>
      </c>
    </row>
    <row r="244" spans="1:4" ht="122.25" customHeight="1" x14ac:dyDescent="0.25">
      <c r="A244" s="19">
        <f>INSCRITOS!O207</f>
        <v>0</v>
      </c>
      <c r="B244" s="8" t="b">
        <f t="shared" si="10"/>
        <v>0</v>
      </c>
      <c r="C244" s="10">
        <f>INSCRITOS!B207</f>
        <v>0</v>
      </c>
      <c r="D244" t="str">
        <f t="shared" si="11"/>
        <v>FALSO0/</v>
      </c>
    </row>
    <row r="245" spans="1:4" ht="122.25" customHeight="1" x14ac:dyDescent="0.25">
      <c r="A245" s="19">
        <f>INSCRITOS!O208</f>
        <v>0</v>
      </c>
      <c r="B245" s="8" t="b">
        <f t="shared" si="10"/>
        <v>0</v>
      </c>
      <c r="C245" s="10">
        <f>INSCRITOS!B208</f>
        <v>0</v>
      </c>
      <c r="D245" t="str">
        <f t="shared" si="11"/>
        <v>FALSO0/</v>
      </c>
    </row>
    <row r="246" spans="1:4" ht="122.25" customHeight="1" x14ac:dyDescent="0.25">
      <c r="A246" s="19">
        <f>INSCRITOS!O209</f>
        <v>0</v>
      </c>
      <c r="B246" s="8" t="b">
        <f t="shared" si="10"/>
        <v>0</v>
      </c>
      <c r="C246" s="10">
        <f>INSCRITOS!B209</f>
        <v>0</v>
      </c>
      <c r="D246" t="str">
        <f t="shared" si="11"/>
        <v>FALSO0/</v>
      </c>
    </row>
    <row r="247" spans="1:4" ht="122.25" customHeight="1" x14ac:dyDescent="0.25">
      <c r="A247" s="19">
        <f>INSCRITOS!O210</f>
        <v>0</v>
      </c>
      <c r="B247" s="8" t="b">
        <f t="shared" si="10"/>
        <v>0</v>
      </c>
      <c r="C247" s="10">
        <f>INSCRITOS!B210</f>
        <v>0</v>
      </c>
      <c r="D247" t="str">
        <f t="shared" si="11"/>
        <v>FALSO0/</v>
      </c>
    </row>
    <row r="248" spans="1:4" ht="122.25" customHeight="1" x14ac:dyDescent="0.25">
      <c r="A248" s="19">
        <f>INSCRITOS!O211</f>
        <v>0</v>
      </c>
      <c r="B248" s="8" t="b">
        <f t="shared" si="10"/>
        <v>0</v>
      </c>
      <c r="C248" s="10">
        <f>INSCRITOS!B211</f>
        <v>0</v>
      </c>
      <c r="D248" t="str">
        <f t="shared" si="11"/>
        <v>FALSO0/</v>
      </c>
    </row>
    <row r="249" spans="1:4" ht="122.25" customHeight="1" x14ac:dyDescent="0.25">
      <c r="A249" s="19">
        <f>INSCRITOS!O212</f>
        <v>0</v>
      </c>
      <c r="B249" s="8" t="b">
        <f t="shared" si="10"/>
        <v>0</v>
      </c>
      <c r="C249" s="10">
        <f>INSCRITOS!B212</f>
        <v>0</v>
      </c>
      <c r="D249" t="str">
        <f t="shared" si="11"/>
        <v>FALSO0/</v>
      </c>
    </row>
    <row r="250" spans="1:4" ht="122.25" customHeight="1" x14ac:dyDescent="0.25">
      <c r="A250" s="19">
        <f>INSCRITOS!O213</f>
        <v>0</v>
      </c>
      <c r="B250" s="8" t="b">
        <f t="shared" si="10"/>
        <v>0</v>
      </c>
      <c r="C250" s="10">
        <f>INSCRITOS!B213</f>
        <v>0</v>
      </c>
      <c r="D250" t="str">
        <f t="shared" si="11"/>
        <v>FALSO0/</v>
      </c>
    </row>
    <row r="251" spans="1:4" ht="122.25" customHeight="1" x14ac:dyDescent="0.25">
      <c r="A251" s="19">
        <f>INSCRITOS!O214</f>
        <v>0</v>
      </c>
      <c r="B251" s="8" t="b">
        <f t="shared" si="10"/>
        <v>0</v>
      </c>
      <c r="C251" s="10">
        <f>INSCRITOS!B214</f>
        <v>0</v>
      </c>
      <c r="D251" t="str">
        <f t="shared" si="11"/>
        <v>FALSO0/</v>
      </c>
    </row>
    <row r="252" spans="1:4" ht="122.25" customHeight="1" x14ac:dyDescent="0.25">
      <c r="A252" s="19">
        <f>INSCRITOS!O215</f>
        <v>0</v>
      </c>
      <c r="B252" s="8" t="b">
        <f t="shared" ref="B252:B315" si="12">IF(A252=$H$19,"https://centrodecapacitaciondelsur.com/o-v-e-",IF(A252=$H$2,"https://centrodecapacitaciondelsur.com/aph-",IF(A252=$H$3,"https://centrodecapacitaciondelsur.com/manejo-del-duelo-",IF(A252=$H$4,"https://centrodecapacitaciondelsur.com/victimas-por-agentes-quimicos-",IF(A252=$H$5,"https://centrodecapacitaciondelsur.com/primeros-auxilios-",IF(A252=$H$6,"https://centrodecapacitaciondelsur.com/uci-",IF(A252=$H$8,"https://centrodecapacitaciondelsur.com/humanizacion-",IF(A252=$H$11,"https://centrodecapacitaciondelsur.com/soporte-cardiovascular-avanzado-",IF(A252=$H$12,"https://centrodecapacitaciondelsur.com/camillero-",IF(A252=$H$13,"https://centrodecapacitaciondelsur.com/toma-de-muestras-y-lab-clinico-",IF(A252=$H$14,"https://centrodecapacitaciondelsur.com/soporte-basico-de-vida-",IF(A252=$H$15,"https://centrodecapacitaciondelsur.com/violencia-sexual-",IF(A252=$H$17,"https://centrodecapacitaciondelsur.com/aiepi-",IF(A252=$H$18,"https://centrodecapacitaciondelsur.com/adm-medicamentos-canalizacion-inyectologia-",IF(A252=$H$25,"https://centrodecapacitaciondelsur.com/manejo-del-dolor-y-cuidados-paliativos-",IF(A252=$H$26,"https://centrodecapacitaciondelsur.com/toma-de-muestras-y-lab-clinico-poct-",IF(A252=$H$27,"https://centrodecapacitaciondelsur.com/implante-subdermico-",IF(A252=$H$21,"https://centrodecapacitaciondelsur.com/donante-de-organos-",IF(A252=$H$30,"https://centrodecapacitaciondelsur.com/atencion-a-victimas-del-conflicto-armado-",IF(A252=$H$20,"https://centrodecapacitaciondelsur.com/iami-",IF(A252=$H$22,"https://centrodecapacitaciondelsur.com/violencia-de-genero-",IF(A252=$H$23,"https://centrodecapacitaciondelsur.com/igualdad-de-genero-",IF(A252=$H$16,"https://centrodecapacitaciondelsur.com/pai-",IF(A252=$H$31,"https://centrodecapacitaciondelsur.com/manipulacion-de-alimentos-",IF(A252=$H$32,"https://centrodecapacitaciondelsur.com/atencion-a-personas-con-discapacidad-",IF(A252=$H$33,"https://centrodecapacitaciondelsur.com/atencion-al-adulto-mayor-",IF(A252=$H$34,"https://centrodecapacitaciondelsur.com/manejo-defensivo-",IF(A252=$H$35,"https://centrodecapacitaciondelsur.com/soporte-basico-neonatal-",IF(A252=$H$36,"https://centrodecapacitaciondelsur.com/seguridad-del-paciente-",IF(A252=$H$37,"https://centrodecapacitaciondelsur.com/manejo-de-residuos-hospitalarios-",IF(A252=$H$10,"https://centrodecapacitaciondelsur.com/toma-de-citologia-",IF(A252=$H$29,"https://centrodecapacitaciondelsur.com/primeros-aux-psicologicos-"))))))))))))))))))))))))))))))))</f>
        <v>0</v>
      </c>
      <c r="C252" s="10">
        <f>INSCRITOS!B215</f>
        <v>0</v>
      </c>
      <c r="D252" t="str">
        <f t="shared" ref="D252:D315" si="13">CONCATENATE(B252,C252,"/")</f>
        <v>FALSO0/</v>
      </c>
    </row>
    <row r="253" spans="1:4" ht="122.25" customHeight="1" x14ac:dyDescent="0.25">
      <c r="A253" s="19">
        <f>INSCRITOS!O216</f>
        <v>0</v>
      </c>
      <c r="B253" s="8" t="b">
        <f t="shared" si="12"/>
        <v>0</v>
      </c>
      <c r="C253" s="10">
        <f>INSCRITOS!B216</f>
        <v>0</v>
      </c>
      <c r="D253" t="str">
        <f t="shared" si="13"/>
        <v>FALSO0/</v>
      </c>
    </row>
    <row r="254" spans="1:4" ht="122.25" customHeight="1" x14ac:dyDescent="0.25">
      <c r="A254" s="19">
        <f>INSCRITOS!O217</f>
        <v>0</v>
      </c>
      <c r="B254" s="8" t="b">
        <f t="shared" si="12"/>
        <v>0</v>
      </c>
      <c r="C254" s="10">
        <f>INSCRITOS!B217</f>
        <v>0</v>
      </c>
      <c r="D254" t="str">
        <f t="shared" si="13"/>
        <v>FALSO0/</v>
      </c>
    </row>
    <row r="255" spans="1:4" ht="122.25" customHeight="1" x14ac:dyDescent="0.25">
      <c r="A255" s="19">
        <f>INSCRITOS!O218</f>
        <v>0</v>
      </c>
      <c r="B255" s="8" t="b">
        <f t="shared" si="12"/>
        <v>0</v>
      </c>
      <c r="C255" s="10">
        <f>INSCRITOS!B218</f>
        <v>0</v>
      </c>
      <c r="D255" t="str">
        <f t="shared" si="13"/>
        <v>FALSO0/</v>
      </c>
    </row>
    <row r="256" spans="1:4" ht="122.25" customHeight="1" x14ac:dyDescent="0.25">
      <c r="A256" s="19">
        <f>INSCRITOS!O219</f>
        <v>0</v>
      </c>
      <c r="B256" s="8" t="b">
        <f t="shared" si="12"/>
        <v>0</v>
      </c>
      <c r="C256" s="10">
        <f>INSCRITOS!B219</f>
        <v>0</v>
      </c>
      <c r="D256" t="str">
        <f t="shared" si="13"/>
        <v>FALSO0/</v>
      </c>
    </row>
    <row r="257" spans="1:4" ht="122.25" customHeight="1" x14ac:dyDescent="0.25">
      <c r="A257" s="19">
        <f>INSCRITOS!O220</f>
        <v>0</v>
      </c>
      <c r="B257" s="8" t="b">
        <f t="shared" si="12"/>
        <v>0</v>
      </c>
      <c r="C257" s="10">
        <f>INSCRITOS!B220</f>
        <v>0</v>
      </c>
      <c r="D257" t="str">
        <f t="shared" si="13"/>
        <v>FALSO0/</v>
      </c>
    </row>
    <row r="258" spans="1:4" ht="122.25" customHeight="1" x14ac:dyDescent="0.25">
      <c r="A258" s="19">
        <f>INSCRITOS!O221</f>
        <v>0</v>
      </c>
      <c r="B258" s="8" t="b">
        <f t="shared" si="12"/>
        <v>0</v>
      </c>
      <c r="C258" s="10">
        <f>INSCRITOS!B221</f>
        <v>0</v>
      </c>
      <c r="D258" t="str">
        <f t="shared" si="13"/>
        <v>FALSO0/</v>
      </c>
    </row>
    <row r="259" spans="1:4" ht="122.25" customHeight="1" x14ac:dyDescent="0.25">
      <c r="A259" s="19">
        <f>INSCRITOS!O222</f>
        <v>0</v>
      </c>
      <c r="B259" s="8" t="b">
        <f t="shared" si="12"/>
        <v>0</v>
      </c>
      <c r="C259" s="10">
        <f>INSCRITOS!B222</f>
        <v>0</v>
      </c>
      <c r="D259" t="str">
        <f t="shared" si="13"/>
        <v>FALSO0/</v>
      </c>
    </row>
    <row r="260" spans="1:4" ht="122.25" customHeight="1" x14ac:dyDescent="0.25">
      <c r="A260" s="19">
        <f>INSCRITOS!O223</f>
        <v>0</v>
      </c>
      <c r="B260" s="8" t="b">
        <f t="shared" si="12"/>
        <v>0</v>
      </c>
      <c r="C260" s="10">
        <f>INSCRITOS!B223</f>
        <v>0</v>
      </c>
      <c r="D260" t="str">
        <f t="shared" si="13"/>
        <v>FALSO0/</v>
      </c>
    </row>
    <row r="261" spans="1:4" ht="122.25" customHeight="1" x14ac:dyDescent="0.25">
      <c r="A261" s="19">
        <f>INSCRITOS!O224</f>
        <v>0</v>
      </c>
      <c r="B261" s="8" t="b">
        <f t="shared" si="12"/>
        <v>0</v>
      </c>
      <c r="C261" s="10">
        <f>INSCRITOS!B224</f>
        <v>0</v>
      </c>
      <c r="D261" t="str">
        <f t="shared" si="13"/>
        <v>FALSO0/</v>
      </c>
    </row>
    <row r="262" spans="1:4" ht="122.25" customHeight="1" x14ac:dyDescent="0.25">
      <c r="A262" s="19">
        <f>INSCRITOS!O225</f>
        <v>0</v>
      </c>
      <c r="B262" s="8" t="b">
        <f t="shared" si="12"/>
        <v>0</v>
      </c>
      <c r="C262" s="10">
        <f>INSCRITOS!B225</f>
        <v>0</v>
      </c>
      <c r="D262" t="str">
        <f t="shared" si="13"/>
        <v>FALSO0/</v>
      </c>
    </row>
    <row r="263" spans="1:4" ht="122.25" customHeight="1" x14ac:dyDescent="0.25">
      <c r="A263" s="19">
        <f>INSCRITOS!O226</f>
        <v>0</v>
      </c>
      <c r="B263" s="8" t="b">
        <f t="shared" si="12"/>
        <v>0</v>
      </c>
      <c r="C263" s="10">
        <f>INSCRITOS!B226</f>
        <v>0</v>
      </c>
      <c r="D263" t="str">
        <f t="shared" si="13"/>
        <v>FALSO0/</v>
      </c>
    </row>
    <row r="264" spans="1:4" ht="122.25" customHeight="1" x14ac:dyDescent="0.25">
      <c r="A264" s="19">
        <f>INSCRITOS!O227</f>
        <v>0</v>
      </c>
      <c r="B264" s="8" t="b">
        <f t="shared" si="12"/>
        <v>0</v>
      </c>
      <c r="C264" s="10">
        <f>INSCRITOS!B227</f>
        <v>0</v>
      </c>
      <c r="D264" t="str">
        <f t="shared" si="13"/>
        <v>FALSO0/</v>
      </c>
    </row>
    <row r="265" spans="1:4" ht="122.25" customHeight="1" x14ac:dyDescent="0.25">
      <c r="A265" s="19">
        <f>INSCRITOS!O228</f>
        <v>0</v>
      </c>
      <c r="B265" s="8" t="b">
        <f t="shared" si="12"/>
        <v>0</v>
      </c>
      <c r="C265" s="10">
        <f>INSCRITOS!B228</f>
        <v>0</v>
      </c>
      <c r="D265" t="str">
        <f t="shared" si="13"/>
        <v>FALSO0/</v>
      </c>
    </row>
    <row r="266" spans="1:4" ht="122.25" customHeight="1" x14ac:dyDescent="0.25">
      <c r="A266" s="19">
        <f>INSCRITOS!O229</f>
        <v>0</v>
      </c>
      <c r="B266" s="8" t="b">
        <f t="shared" si="12"/>
        <v>0</v>
      </c>
      <c r="C266" s="10">
        <f>INSCRITOS!B229</f>
        <v>0</v>
      </c>
      <c r="D266" t="str">
        <f t="shared" si="13"/>
        <v>FALSO0/</v>
      </c>
    </row>
    <row r="267" spans="1:4" ht="122.25" customHeight="1" x14ac:dyDescent="0.25">
      <c r="A267" s="19">
        <f>INSCRITOS!O230</f>
        <v>0</v>
      </c>
      <c r="B267" s="8" t="b">
        <f t="shared" si="12"/>
        <v>0</v>
      </c>
      <c r="C267" s="10">
        <f>INSCRITOS!B230</f>
        <v>0</v>
      </c>
      <c r="D267" t="str">
        <f t="shared" si="13"/>
        <v>FALSO0/</v>
      </c>
    </row>
    <row r="268" spans="1:4" ht="122.25" customHeight="1" x14ac:dyDescent="0.25">
      <c r="A268" s="19">
        <f>INSCRITOS!O231</f>
        <v>0</v>
      </c>
      <c r="B268" s="8" t="b">
        <f t="shared" si="12"/>
        <v>0</v>
      </c>
      <c r="C268" s="10">
        <f>INSCRITOS!B231</f>
        <v>0</v>
      </c>
      <c r="D268" t="str">
        <f t="shared" si="13"/>
        <v>FALSO0/</v>
      </c>
    </row>
    <row r="269" spans="1:4" ht="122.25" customHeight="1" x14ac:dyDescent="0.25">
      <c r="A269" s="19">
        <f>INSCRITOS!O232</f>
        <v>0</v>
      </c>
      <c r="B269" s="8" t="b">
        <f t="shared" si="12"/>
        <v>0</v>
      </c>
      <c r="C269" s="10">
        <f>INSCRITOS!B232</f>
        <v>0</v>
      </c>
      <c r="D269" t="str">
        <f t="shared" si="13"/>
        <v>FALSO0/</v>
      </c>
    </row>
    <row r="270" spans="1:4" ht="122.25" customHeight="1" x14ac:dyDescent="0.25">
      <c r="A270" s="19">
        <f>INSCRITOS!O233</f>
        <v>0</v>
      </c>
      <c r="B270" s="8" t="b">
        <f t="shared" si="12"/>
        <v>0</v>
      </c>
      <c r="C270" s="10">
        <f>INSCRITOS!B233</f>
        <v>0</v>
      </c>
      <c r="D270" t="str">
        <f t="shared" si="13"/>
        <v>FALSO0/</v>
      </c>
    </row>
    <row r="271" spans="1:4" ht="122.25" customHeight="1" x14ac:dyDescent="0.25">
      <c r="A271" s="19">
        <f>INSCRITOS!O234</f>
        <v>0</v>
      </c>
      <c r="B271" s="8" t="b">
        <f t="shared" si="12"/>
        <v>0</v>
      </c>
      <c r="C271" s="10">
        <f>INSCRITOS!B234</f>
        <v>0</v>
      </c>
      <c r="D271" t="str">
        <f t="shared" si="13"/>
        <v>FALSO0/</v>
      </c>
    </row>
    <row r="272" spans="1:4" ht="122.25" customHeight="1" x14ac:dyDescent="0.25">
      <c r="A272" s="19">
        <f>INSCRITOS!O235</f>
        <v>0</v>
      </c>
      <c r="B272" s="8" t="b">
        <f t="shared" si="12"/>
        <v>0</v>
      </c>
      <c r="C272" s="10">
        <f>INSCRITOS!B235</f>
        <v>0</v>
      </c>
      <c r="D272" t="str">
        <f t="shared" si="13"/>
        <v>FALSO0/</v>
      </c>
    </row>
    <row r="273" spans="1:4" ht="122.25" customHeight="1" x14ac:dyDescent="0.25">
      <c r="A273" s="19">
        <f>INSCRITOS!O236</f>
        <v>0</v>
      </c>
      <c r="B273" s="8" t="b">
        <f t="shared" si="12"/>
        <v>0</v>
      </c>
      <c r="C273" s="10">
        <f>INSCRITOS!B236</f>
        <v>0</v>
      </c>
      <c r="D273" t="str">
        <f t="shared" si="13"/>
        <v>FALSO0/</v>
      </c>
    </row>
    <row r="274" spans="1:4" ht="122.25" customHeight="1" x14ac:dyDescent="0.25">
      <c r="A274" s="19">
        <f>INSCRITOS!O237</f>
        <v>0</v>
      </c>
      <c r="B274" s="8" t="b">
        <f t="shared" si="12"/>
        <v>0</v>
      </c>
      <c r="C274" s="10">
        <f>INSCRITOS!B237</f>
        <v>0</v>
      </c>
      <c r="D274" t="str">
        <f t="shared" si="13"/>
        <v>FALSO0/</v>
      </c>
    </row>
    <row r="275" spans="1:4" ht="122.25" customHeight="1" x14ac:dyDescent="0.25">
      <c r="A275" s="19">
        <f>INSCRITOS!O238</f>
        <v>0</v>
      </c>
      <c r="B275" s="8" t="b">
        <f t="shared" si="12"/>
        <v>0</v>
      </c>
      <c r="C275" s="10">
        <f>INSCRITOS!B238</f>
        <v>0</v>
      </c>
      <c r="D275" t="str">
        <f t="shared" si="13"/>
        <v>FALSO0/</v>
      </c>
    </row>
    <row r="276" spans="1:4" ht="122.25" customHeight="1" x14ac:dyDescent="0.25">
      <c r="A276" s="19">
        <f>INSCRITOS!O239</f>
        <v>0</v>
      </c>
      <c r="B276" s="8" t="b">
        <f t="shared" si="12"/>
        <v>0</v>
      </c>
      <c r="C276" s="10">
        <f>INSCRITOS!B239</f>
        <v>0</v>
      </c>
      <c r="D276" t="str">
        <f t="shared" si="13"/>
        <v>FALSO0/</v>
      </c>
    </row>
    <row r="277" spans="1:4" ht="122.25" customHeight="1" x14ac:dyDescent="0.25">
      <c r="A277" s="19">
        <f>INSCRITOS!O240</f>
        <v>0</v>
      </c>
      <c r="B277" s="8" t="b">
        <f t="shared" si="12"/>
        <v>0</v>
      </c>
      <c r="C277" s="10">
        <f>INSCRITOS!B240</f>
        <v>0</v>
      </c>
      <c r="D277" t="str">
        <f t="shared" si="13"/>
        <v>FALSO0/</v>
      </c>
    </row>
    <row r="278" spans="1:4" ht="122.25" customHeight="1" x14ac:dyDescent="0.25">
      <c r="A278" s="19">
        <f>INSCRITOS!O241</f>
        <v>0</v>
      </c>
      <c r="B278" s="8" t="b">
        <f t="shared" si="12"/>
        <v>0</v>
      </c>
      <c r="C278" s="10">
        <f>INSCRITOS!B241</f>
        <v>0</v>
      </c>
      <c r="D278" t="str">
        <f t="shared" si="13"/>
        <v>FALSO0/</v>
      </c>
    </row>
    <row r="279" spans="1:4" ht="122.25" customHeight="1" x14ac:dyDescent="0.25">
      <c r="A279" s="19">
        <f>INSCRITOS!O242</f>
        <v>0</v>
      </c>
      <c r="B279" s="8" t="b">
        <f t="shared" si="12"/>
        <v>0</v>
      </c>
      <c r="C279" s="10">
        <f>INSCRITOS!B242</f>
        <v>0</v>
      </c>
      <c r="D279" t="str">
        <f t="shared" si="13"/>
        <v>FALSO0/</v>
      </c>
    </row>
    <row r="280" spans="1:4" ht="122.25" customHeight="1" x14ac:dyDescent="0.25">
      <c r="A280" s="19">
        <f>INSCRITOS!O243</f>
        <v>0</v>
      </c>
      <c r="B280" s="8" t="b">
        <f t="shared" si="12"/>
        <v>0</v>
      </c>
      <c r="C280" s="10">
        <f>INSCRITOS!B243</f>
        <v>0</v>
      </c>
      <c r="D280" t="str">
        <f t="shared" si="13"/>
        <v>FALSO0/</v>
      </c>
    </row>
    <row r="281" spans="1:4" ht="122.25" customHeight="1" x14ac:dyDescent="0.25">
      <c r="A281" s="19">
        <f>INSCRITOS!O244</f>
        <v>0</v>
      </c>
      <c r="B281" s="8" t="b">
        <f t="shared" si="12"/>
        <v>0</v>
      </c>
      <c r="C281" s="10">
        <f>INSCRITOS!B244</f>
        <v>0</v>
      </c>
      <c r="D281" t="str">
        <f t="shared" si="13"/>
        <v>FALSO0/</v>
      </c>
    </row>
    <row r="282" spans="1:4" ht="122.25" customHeight="1" x14ac:dyDescent="0.25">
      <c r="A282" s="19">
        <f>INSCRITOS!O245</f>
        <v>0</v>
      </c>
      <c r="B282" s="8" t="b">
        <f t="shared" si="12"/>
        <v>0</v>
      </c>
      <c r="C282" s="10">
        <f>INSCRITOS!B245</f>
        <v>0</v>
      </c>
      <c r="D282" t="str">
        <f t="shared" si="13"/>
        <v>FALSO0/</v>
      </c>
    </row>
    <row r="283" spans="1:4" ht="122.25" customHeight="1" x14ac:dyDescent="0.25">
      <c r="A283" s="19">
        <f>INSCRITOS!O246</f>
        <v>0</v>
      </c>
      <c r="B283" s="8" t="b">
        <f t="shared" si="12"/>
        <v>0</v>
      </c>
      <c r="C283" s="10">
        <f>INSCRITOS!B246</f>
        <v>0</v>
      </c>
      <c r="D283" t="str">
        <f t="shared" si="13"/>
        <v>FALSO0/</v>
      </c>
    </row>
    <row r="284" spans="1:4" ht="122.25" customHeight="1" x14ac:dyDescent="0.25">
      <c r="A284" s="19">
        <f>INSCRITOS!O247</f>
        <v>0</v>
      </c>
      <c r="B284" s="8" t="b">
        <f t="shared" si="12"/>
        <v>0</v>
      </c>
      <c r="C284" s="10">
        <f>INSCRITOS!B247</f>
        <v>0</v>
      </c>
      <c r="D284" t="str">
        <f t="shared" si="13"/>
        <v>FALSO0/</v>
      </c>
    </row>
    <row r="285" spans="1:4" ht="122.25" customHeight="1" x14ac:dyDescent="0.25">
      <c r="A285" s="19">
        <f>INSCRITOS!O248</f>
        <v>0</v>
      </c>
      <c r="B285" s="8" t="b">
        <f t="shared" si="12"/>
        <v>0</v>
      </c>
      <c r="C285" s="10">
        <f>INSCRITOS!B248</f>
        <v>0</v>
      </c>
      <c r="D285" t="str">
        <f t="shared" si="13"/>
        <v>FALSO0/</v>
      </c>
    </row>
    <row r="286" spans="1:4" ht="122.25" customHeight="1" x14ac:dyDescent="0.25">
      <c r="A286" s="19">
        <f>INSCRITOS!O249</f>
        <v>0</v>
      </c>
      <c r="B286" s="8" t="b">
        <f t="shared" si="12"/>
        <v>0</v>
      </c>
      <c r="C286" s="10">
        <f>INSCRITOS!B249</f>
        <v>0</v>
      </c>
      <c r="D286" t="str">
        <f t="shared" si="13"/>
        <v>FALSO0/</v>
      </c>
    </row>
    <row r="287" spans="1:4" ht="122.25" customHeight="1" x14ac:dyDescent="0.25">
      <c r="A287" s="19">
        <f>INSCRITOS!O250</f>
        <v>0</v>
      </c>
      <c r="B287" s="8" t="b">
        <f t="shared" si="12"/>
        <v>0</v>
      </c>
      <c r="C287" s="10">
        <f>INSCRITOS!B250</f>
        <v>0</v>
      </c>
      <c r="D287" t="str">
        <f t="shared" si="13"/>
        <v>FALSO0/</v>
      </c>
    </row>
    <row r="288" spans="1:4" ht="122.25" customHeight="1" x14ac:dyDescent="0.25">
      <c r="A288" s="19">
        <f>INSCRITOS!O251</f>
        <v>0</v>
      </c>
      <c r="B288" s="8" t="b">
        <f t="shared" si="12"/>
        <v>0</v>
      </c>
      <c r="C288" s="10">
        <f>INSCRITOS!B251</f>
        <v>0</v>
      </c>
      <c r="D288" t="str">
        <f t="shared" si="13"/>
        <v>FALSO0/</v>
      </c>
    </row>
    <row r="289" spans="1:4" ht="122.25" customHeight="1" x14ac:dyDescent="0.25">
      <c r="A289" s="19">
        <f>INSCRITOS!O252</f>
        <v>0</v>
      </c>
      <c r="B289" s="8" t="b">
        <f t="shared" si="12"/>
        <v>0</v>
      </c>
      <c r="C289" s="10">
        <f>INSCRITOS!B252</f>
        <v>0</v>
      </c>
      <c r="D289" t="str">
        <f t="shared" si="13"/>
        <v>FALSO0/</v>
      </c>
    </row>
    <row r="290" spans="1:4" ht="122.25" customHeight="1" x14ac:dyDescent="0.25">
      <c r="A290" s="19">
        <f>INSCRITOS!O253</f>
        <v>0</v>
      </c>
      <c r="B290" s="8" t="b">
        <f t="shared" si="12"/>
        <v>0</v>
      </c>
      <c r="C290" s="10">
        <f>INSCRITOS!B253</f>
        <v>0</v>
      </c>
      <c r="D290" t="str">
        <f t="shared" si="13"/>
        <v>FALSO0/</v>
      </c>
    </row>
    <row r="291" spans="1:4" ht="122.25" customHeight="1" x14ac:dyDescent="0.25">
      <c r="A291" s="19">
        <f>INSCRITOS!O254</f>
        <v>0</v>
      </c>
      <c r="B291" s="8" t="b">
        <f t="shared" si="12"/>
        <v>0</v>
      </c>
      <c r="C291" s="10">
        <f>INSCRITOS!B254</f>
        <v>0</v>
      </c>
      <c r="D291" t="str">
        <f t="shared" si="13"/>
        <v>FALSO0/</v>
      </c>
    </row>
    <row r="292" spans="1:4" ht="122.25" customHeight="1" x14ac:dyDescent="0.25">
      <c r="A292" s="19">
        <f>INSCRITOS!O255</f>
        <v>0</v>
      </c>
      <c r="B292" s="8" t="b">
        <f t="shared" si="12"/>
        <v>0</v>
      </c>
      <c r="C292" s="10">
        <f>INSCRITOS!B255</f>
        <v>0</v>
      </c>
      <c r="D292" t="str">
        <f t="shared" si="13"/>
        <v>FALSO0/</v>
      </c>
    </row>
    <row r="293" spans="1:4" ht="122.25" customHeight="1" x14ac:dyDescent="0.25">
      <c r="A293" s="19">
        <f>INSCRITOS!O256</f>
        <v>0</v>
      </c>
      <c r="B293" s="8" t="b">
        <f t="shared" si="12"/>
        <v>0</v>
      </c>
      <c r="C293" s="10">
        <f>INSCRITOS!B256</f>
        <v>0</v>
      </c>
      <c r="D293" t="str">
        <f t="shared" si="13"/>
        <v>FALSO0/</v>
      </c>
    </row>
    <row r="294" spans="1:4" ht="122.25" customHeight="1" x14ac:dyDescent="0.25">
      <c r="A294" s="19">
        <f>INSCRITOS!O257</f>
        <v>0</v>
      </c>
      <c r="B294" s="8" t="b">
        <f t="shared" si="12"/>
        <v>0</v>
      </c>
      <c r="C294" s="10">
        <f>INSCRITOS!B257</f>
        <v>0</v>
      </c>
      <c r="D294" t="str">
        <f t="shared" si="13"/>
        <v>FALSO0/</v>
      </c>
    </row>
    <row r="295" spans="1:4" ht="122.25" customHeight="1" x14ac:dyDescent="0.25">
      <c r="A295" s="19">
        <f>INSCRITOS!O258</f>
        <v>0</v>
      </c>
      <c r="B295" s="8" t="b">
        <f t="shared" si="12"/>
        <v>0</v>
      </c>
      <c r="C295" s="10">
        <f>INSCRITOS!B258</f>
        <v>0</v>
      </c>
      <c r="D295" t="str">
        <f t="shared" si="13"/>
        <v>FALSO0/</v>
      </c>
    </row>
    <row r="296" spans="1:4" ht="122.25" customHeight="1" x14ac:dyDescent="0.25">
      <c r="A296" s="19">
        <f>INSCRITOS!O259</f>
        <v>0</v>
      </c>
      <c r="B296" s="8" t="b">
        <f t="shared" si="12"/>
        <v>0</v>
      </c>
      <c r="C296" s="10">
        <f>INSCRITOS!B259</f>
        <v>0</v>
      </c>
      <c r="D296" t="str">
        <f t="shared" si="13"/>
        <v>FALSO0/</v>
      </c>
    </row>
    <row r="297" spans="1:4" ht="122.25" customHeight="1" x14ac:dyDescent="0.25">
      <c r="A297" s="19">
        <f>INSCRITOS!O260</f>
        <v>0</v>
      </c>
      <c r="B297" s="8" t="b">
        <f t="shared" si="12"/>
        <v>0</v>
      </c>
      <c r="C297" s="10">
        <f>INSCRITOS!B260</f>
        <v>0</v>
      </c>
      <c r="D297" t="str">
        <f t="shared" si="13"/>
        <v>FALSO0/</v>
      </c>
    </row>
    <row r="298" spans="1:4" ht="122.25" customHeight="1" x14ac:dyDescent="0.25">
      <c r="A298" s="19">
        <f>INSCRITOS!O261</f>
        <v>0</v>
      </c>
      <c r="B298" s="8" t="b">
        <f t="shared" si="12"/>
        <v>0</v>
      </c>
      <c r="C298" s="10">
        <f>INSCRITOS!B261</f>
        <v>0</v>
      </c>
      <c r="D298" t="str">
        <f t="shared" si="13"/>
        <v>FALSO0/</v>
      </c>
    </row>
    <row r="299" spans="1:4" ht="122.25" customHeight="1" x14ac:dyDescent="0.25">
      <c r="A299" s="19">
        <f>INSCRITOS!O262</f>
        <v>0</v>
      </c>
      <c r="B299" s="8" t="b">
        <f t="shared" si="12"/>
        <v>0</v>
      </c>
      <c r="C299" s="10">
        <f>INSCRITOS!B262</f>
        <v>0</v>
      </c>
      <c r="D299" t="str">
        <f t="shared" si="13"/>
        <v>FALSO0/</v>
      </c>
    </row>
    <row r="300" spans="1:4" ht="122.25" customHeight="1" x14ac:dyDescent="0.25">
      <c r="A300" s="19">
        <f>INSCRITOS!O263</f>
        <v>0</v>
      </c>
      <c r="B300" s="8" t="b">
        <f t="shared" si="12"/>
        <v>0</v>
      </c>
      <c r="C300" s="10">
        <f>INSCRITOS!B263</f>
        <v>0</v>
      </c>
      <c r="D300" t="str">
        <f t="shared" si="13"/>
        <v>FALSO0/</v>
      </c>
    </row>
    <row r="301" spans="1:4" ht="122.25" customHeight="1" x14ac:dyDescent="0.25">
      <c r="A301" s="19">
        <f>INSCRITOS!O264</f>
        <v>0</v>
      </c>
      <c r="B301" s="8" t="b">
        <f t="shared" si="12"/>
        <v>0</v>
      </c>
      <c r="C301" s="10">
        <f>INSCRITOS!B264</f>
        <v>0</v>
      </c>
      <c r="D301" t="str">
        <f t="shared" si="13"/>
        <v>FALSO0/</v>
      </c>
    </row>
    <row r="302" spans="1:4" ht="122.25" customHeight="1" x14ac:dyDescent="0.25">
      <c r="A302" s="19">
        <f>INSCRITOS!O265</f>
        <v>0</v>
      </c>
      <c r="B302" s="8" t="b">
        <f t="shared" si="12"/>
        <v>0</v>
      </c>
      <c r="C302" s="10">
        <f>INSCRITOS!B265</f>
        <v>0</v>
      </c>
      <c r="D302" t="str">
        <f t="shared" si="13"/>
        <v>FALSO0/</v>
      </c>
    </row>
    <row r="303" spans="1:4" ht="122.25" customHeight="1" x14ac:dyDescent="0.25">
      <c r="A303" s="19">
        <f>INSCRITOS!O266</f>
        <v>0</v>
      </c>
      <c r="B303" s="8" t="b">
        <f t="shared" si="12"/>
        <v>0</v>
      </c>
      <c r="C303" s="10">
        <f>INSCRITOS!B266</f>
        <v>0</v>
      </c>
      <c r="D303" t="str">
        <f t="shared" si="13"/>
        <v>FALSO0/</v>
      </c>
    </row>
    <row r="304" spans="1:4" ht="122.25" customHeight="1" x14ac:dyDescent="0.25">
      <c r="A304" s="19">
        <f>INSCRITOS!O267</f>
        <v>0</v>
      </c>
      <c r="B304" s="8" t="b">
        <f t="shared" si="12"/>
        <v>0</v>
      </c>
      <c r="C304" s="10">
        <f>INSCRITOS!B267</f>
        <v>0</v>
      </c>
      <c r="D304" t="str">
        <f t="shared" si="13"/>
        <v>FALSO0/</v>
      </c>
    </row>
    <row r="305" spans="1:4" ht="122.25" customHeight="1" x14ac:dyDescent="0.25">
      <c r="A305" s="19">
        <f>INSCRITOS!O268</f>
        <v>0</v>
      </c>
      <c r="B305" s="8" t="b">
        <f t="shared" si="12"/>
        <v>0</v>
      </c>
      <c r="C305" s="10">
        <f>INSCRITOS!B268</f>
        <v>0</v>
      </c>
      <c r="D305" t="str">
        <f t="shared" si="13"/>
        <v>FALSO0/</v>
      </c>
    </row>
    <row r="306" spans="1:4" ht="122.25" customHeight="1" x14ac:dyDescent="0.25">
      <c r="A306" s="19">
        <f>INSCRITOS!O269</f>
        <v>0</v>
      </c>
      <c r="B306" s="8" t="b">
        <f t="shared" si="12"/>
        <v>0</v>
      </c>
      <c r="C306" s="10">
        <f>INSCRITOS!B269</f>
        <v>0</v>
      </c>
      <c r="D306" t="str">
        <f t="shared" si="13"/>
        <v>FALSO0/</v>
      </c>
    </row>
    <row r="307" spans="1:4" ht="122.25" customHeight="1" x14ac:dyDescent="0.25">
      <c r="A307" s="19">
        <f>INSCRITOS!O270</f>
        <v>0</v>
      </c>
      <c r="B307" s="8" t="b">
        <f t="shared" si="12"/>
        <v>0</v>
      </c>
      <c r="C307" s="10">
        <f>INSCRITOS!B270</f>
        <v>0</v>
      </c>
      <c r="D307" t="str">
        <f t="shared" si="13"/>
        <v>FALSO0/</v>
      </c>
    </row>
    <row r="308" spans="1:4" ht="122.25" customHeight="1" x14ac:dyDescent="0.25">
      <c r="A308" s="19">
        <f>INSCRITOS!O271</f>
        <v>0</v>
      </c>
      <c r="B308" s="8" t="b">
        <f t="shared" si="12"/>
        <v>0</v>
      </c>
      <c r="C308" s="10">
        <f>INSCRITOS!B271</f>
        <v>0</v>
      </c>
      <c r="D308" t="str">
        <f t="shared" si="13"/>
        <v>FALSO0/</v>
      </c>
    </row>
    <row r="309" spans="1:4" ht="122.25" customHeight="1" x14ac:dyDescent="0.25">
      <c r="A309" s="19">
        <f>INSCRITOS!O272</f>
        <v>0</v>
      </c>
      <c r="B309" s="8" t="b">
        <f t="shared" si="12"/>
        <v>0</v>
      </c>
      <c r="C309" s="10">
        <f>INSCRITOS!B272</f>
        <v>0</v>
      </c>
      <c r="D309" t="str">
        <f t="shared" si="13"/>
        <v>FALSO0/</v>
      </c>
    </row>
    <row r="310" spans="1:4" ht="122.25" customHeight="1" x14ac:dyDescent="0.25">
      <c r="A310" s="19">
        <f>INSCRITOS!O273</f>
        <v>0</v>
      </c>
      <c r="B310" s="8" t="b">
        <f t="shared" si="12"/>
        <v>0</v>
      </c>
      <c r="C310" s="10">
        <f>INSCRITOS!B273</f>
        <v>0</v>
      </c>
      <c r="D310" t="str">
        <f t="shared" si="13"/>
        <v>FALSO0/</v>
      </c>
    </row>
    <row r="311" spans="1:4" ht="122.25" customHeight="1" x14ac:dyDescent="0.25">
      <c r="A311" s="19">
        <f>INSCRITOS!O274</f>
        <v>0</v>
      </c>
      <c r="B311" s="8" t="b">
        <f t="shared" si="12"/>
        <v>0</v>
      </c>
      <c r="C311" s="10">
        <f>INSCRITOS!B274</f>
        <v>0</v>
      </c>
      <c r="D311" t="str">
        <f t="shared" si="13"/>
        <v>FALSO0/</v>
      </c>
    </row>
    <row r="312" spans="1:4" ht="122.25" customHeight="1" x14ac:dyDescent="0.25">
      <c r="A312" s="19">
        <f>INSCRITOS!O275</f>
        <v>0</v>
      </c>
      <c r="B312" s="8" t="b">
        <f t="shared" si="12"/>
        <v>0</v>
      </c>
      <c r="C312" s="10">
        <f>INSCRITOS!B275</f>
        <v>0</v>
      </c>
      <c r="D312" t="str">
        <f t="shared" si="13"/>
        <v>FALSO0/</v>
      </c>
    </row>
    <row r="313" spans="1:4" ht="122.25" customHeight="1" x14ac:dyDescent="0.25">
      <c r="A313" s="19">
        <f>INSCRITOS!O276</f>
        <v>0</v>
      </c>
      <c r="B313" s="8" t="b">
        <f t="shared" si="12"/>
        <v>0</v>
      </c>
      <c r="C313" s="10">
        <f>INSCRITOS!B276</f>
        <v>0</v>
      </c>
      <c r="D313" t="str">
        <f t="shared" si="13"/>
        <v>FALSO0/</v>
      </c>
    </row>
    <row r="314" spans="1:4" ht="122.25" customHeight="1" x14ac:dyDescent="0.25">
      <c r="A314" s="19">
        <f>INSCRITOS!O277</f>
        <v>0</v>
      </c>
      <c r="B314" s="8" t="b">
        <f t="shared" si="12"/>
        <v>0</v>
      </c>
      <c r="C314" s="10">
        <f>INSCRITOS!B277</f>
        <v>0</v>
      </c>
      <c r="D314" t="str">
        <f t="shared" si="13"/>
        <v>FALSO0/</v>
      </c>
    </row>
    <row r="315" spans="1:4" ht="122.25" customHeight="1" x14ac:dyDescent="0.25">
      <c r="A315" s="19">
        <f>INSCRITOS!O278</f>
        <v>0</v>
      </c>
      <c r="B315" s="8" t="b">
        <f t="shared" si="12"/>
        <v>0</v>
      </c>
      <c r="C315" s="10">
        <f>INSCRITOS!B278</f>
        <v>0</v>
      </c>
      <c r="D315" t="str">
        <f t="shared" si="13"/>
        <v>FALSO0/</v>
      </c>
    </row>
    <row r="316" spans="1:4" ht="122.25" customHeight="1" x14ac:dyDescent="0.25">
      <c r="A316" s="19">
        <f>INSCRITOS!O279</f>
        <v>0</v>
      </c>
      <c r="B316" s="8" t="b">
        <f t="shared" ref="B316:B355" si="14">IF(A316=$H$19,"https://centrodecapacitaciondelsur.com/o-v-e-",IF(A316=$H$2,"https://centrodecapacitaciondelsur.com/aph-",IF(A316=$H$3,"https://centrodecapacitaciondelsur.com/manejo-del-duelo-",IF(A316=$H$4,"https://centrodecapacitaciondelsur.com/victimas-por-agentes-quimicos-",IF(A316=$H$5,"https://centrodecapacitaciondelsur.com/primeros-auxilios-",IF(A316=$H$6,"https://centrodecapacitaciondelsur.com/uci-",IF(A316=$H$8,"https://centrodecapacitaciondelsur.com/humanizacion-",IF(A316=$H$11,"https://centrodecapacitaciondelsur.com/soporte-cardiovascular-avanzado-",IF(A316=$H$12,"https://centrodecapacitaciondelsur.com/camillero-",IF(A316=$H$13,"https://centrodecapacitaciondelsur.com/toma-de-muestras-y-lab-clinico-",IF(A316=$H$14,"https://centrodecapacitaciondelsur.com/soporte-basico-de-vida-",IF(A316=$H$15,"https://centrodecapacitaciondelsur.com/violencia-sexual-",IF(A316=$H$17,"https://centrodecapacitaciondelsur.com/aiepi-",IF(A316=$H$18,"https://centrodecapacitaciondelsur.com/adm-medicamentos-canalizacion-inyectologia-",IF(A316=$H$25,"https://centrodecapacitaciondelsur.com/manejo-del-dolor-y-cuidados-paliativos-",IF(A316=$H$26,"https://centrodecapacitaciondelsur.com/toma-de-muestras-y-lab-clinico-poct-",IF(A316=$H$27,"https://centrodecapacitaciondelsur.com/implante-subdermico-",IF(A316=$H$21,"https://centrodecapacitaciondelsur.com/donante-de-organos-",IF(A316=$H$30,"https://centrodecapacitaciondelsur.com/atencion-a-victimas-del-conflicto-armado-",IF(A316=$H$20,"https://centrodecapacitaciondelsur.com/iami-",IF(A316=$H$22,"https://centrodecapacitaciondelsur.com/violencia-de-genero-",IF(A316=$H$23,"https://centrodecapacitaciondelsur.com/igualdad-de-genero-",IF(A316=$H$16,"https://centrodecapacitaciondelsur.com/pai-",IF(A316=$H$31,"https://centrodecapacitaciondelsur.com/manipulacion-de-alimentos-",IF(A316=$H$32,"https://centrodecapacitaciondelsur.com/atencion-a-personas-con-discapacidad-",IF(A316=$H$33,"https://centrodecapacitaciondelsur.com/atencion-al-adulto-mayor-",IF(A316=$H$34,"https://centrodecapacitaciondelsur.com/manejo-defensivo-",IF(A316=$H$35,"https://centrodecapacitaciondelsur.com/soporte-basico-neonatal-",IF(A316=$H$36,"https://centrodecapacitaciondelsur.com/seguridad-del-paciente-",IF(A316=$H$37,"https://centrodecapacitaciondelsur.com/manejo-de-residuos-hospitalarios-",IF(A316=$H$10,"https://centrodecapacitaciondelsur.com/toma-de-citologia-",IF(A316=$H$29,"https://centrodecapacitaciondelsur.com/primeros-aux-psicologicos-"))))))))))))))))))))))))))))))))</f>
        <v>0</v>
      </c>
      <c r="C316" s="10">
        <f>INSCRITOS!B279</f>
        <v>0</v>
      </c>
      <c r="D316" t="str">
        <f t="shared" ref="D316:D355" si="15">CONCATENATE(B316,C316,"/")</f>
        <v>FALSO0/</v>
      </c>
    </row>
    <row r="317" spans="1:4" ht="122.25" customHeight="1" x14ac:dyDescent="0.25">
      <c r="A317" s="19">
        <f>INSCRITOS!O280</f>
        <v>0</v>
      </c>
      <c r="B317" s="8" t="b">
        <f t="shared" si="14"/>
        <v>0</v>
      </c>
      <c r="C317" s="10">
        <f>INSCRITOS!B280</f>
        <v>0</v>
      </c>
      <c r="D317" t="str">
        <f t="shared" si="15"/>
        <v>FALSO0/</v>
      </c>
    </row>
    <row r="318" spans="1:4" ht="122.25" customHeight="1" x14ac:dyDescent="0.25">
      <c r="A318" s="19">
        <f>INSCRITOS!O281</f>
        <v>0</v>
      </c>
      <c r="B318" s="8" t="b">
        <f t="shared" si="14"/>
        <v>0</v>
      </c>
      <c r="C318" s="10">
        <f>INSCRITOS!B281</f>
        <v>0</v>
      </c>
      <c r="D318" t="str">
        <f t="shared" si="15"/>
        <v>FALSO0/</v>
      </c>
    </row>
    <row r="319" spans="1:4" ht="122.25" customHeight="1" x14ac:dyDescent="0.25">
      <c r="A319" s="19">
        <f>INSCRITOS!O282</f>
        <v>0</v>
      </c>
      <c r="B319" s="8" t="b">
        <f t="shared" si="14"/>
        <v>0</v>
      </c>
      <c r="C319" s="10">
        <f>INSCRITOS!B282</f>
        <v>0</v>
      </c>
      <c r="D319" t="str">
        <f t="shared" si="15"/>
        <v>FALSO0/</v>
      </c>
    </row>
    <row r="320" spans="1:4" ht="122.25" customHeight="1" x14ac:dyDescent="0.25">
      <c r="A320" s="19">
        <f>INSCRITOS!O283</f>
        <v>0</v>
      </c>
      <c r="B320" s="8" t="b">
        <f t="shared" si="14"/>
        <v>0</v>
      </c>
      <c r="C320" s="10">
        <f>INSCRITOS!B283</f>
        <v>0</v>
      </c>
      <c r="D320" t="str">
        <f t="shared" si="15"/>
        <v>FALSO0/</v>
      </c>
    </row>
    <row r="321" spans="1:4" ht="122.25" customHeight="1" x14ac:dyDescent="0.25">
      <c r="A321" s="19">
        <f>INSCRITOS!O284</f>
        <v>0</v>
      </c>
      <c r="B321" s="8" t="b">
        <f t="shared" si="14"/>
        <v>0</v>
      </c>
      <c r="C321" s="10">
        <f>INSCRITOS!B284</f>
        <v>0</v>
      </c>
      <c r="D321" t="str">
        <f t="shared" si="15"/>
        <v>FALSO0/</v>
      </c>
    </row>
    <row r="322" spans="1:4" ht="122.25" customHeight="1" x14ac:dyDescent="0.25">
      <c r="A322" s="19">
        <f>INSCRITOS!O285</f>
        <v>0</v>
      </c>
      <c r="B322" s="8" t="b">
        <f t="shared" si="14"/>
        <v>0</v>
      </c>
      <c r="C322" s="10">
        <f>INSCRITOS!B285</f>
        <v>0</v>
      </c>
      <c r="D322" t="str">
        <f t="shared" si="15"/>
        <v>FALSO0/</v>
      </c>
    </row>
    <row r="323" spans="1:4" ht="122.25" customHeight="1" x14ac:dyDescent="0.25">
      <c r="A323" s="19">
        <f>INSCRITOS!O286</f>
        <v>0</v>
      </c>
      <c r="B323" s="8" t="b">
        <f t="shared" si="14"/>
        <v>0</v>
      </c>
      <c r="C323" s="10">
        <f>INSCRITOS!B286</f>
        <v>0</v>
      </c>
      <c r="D323" t="str">
        <f t="shared" si="15"/>
        <v>FALSO0/</v>
      </c>
    </row>
    <row r="324" spans="1:4" ht="122.25" customHeight="1" x14ac:dyDescent="0.25">
      <c r="A324" s="19">
        <f>INSCRITOS!O287</f>
        <v>0</v>
      </c>
      <c r="B324" s="8" t="b">
        <f t="shared" si="14"/>
        <v>0</v>
      </c>
      <c r="C324" s="10">
        <f>INSCRITOS!B287</f>
        <v>0</v>
      </c>
      <c r="D324" t="str">
        <f t="shared" si="15"/>
        <v>FALSO0/</v>
      </c>
    </row>
    <row r="325" spans="1:4" ht="122.25" customHeight="1" x14ac:dyDescent="0.25">
      <c r="A325" s="19">
        <f>INSCRITOS!O288</f>
        <v>0</v>
      </c>
      <c r="B325" s="8" t="b">
        <f t="shared" si="14"/>
        <v>0</v>
      </c>
      <c r="C325" s="10">
        <f>INSCRITOS!B288</f>
        <v>0</v>
      </c>
      <c r="D325" t="str">
        <f t="shared" si="15"/>
        <v>FALSO0/</v>
      </c>
    </row>
    <row r="326" spans="1:4" ht="122.25" customHeight="1" x14ac:dyDescent="0.25">
      <c r="A326" s="19">
        <f>INSCRITOS!O289</f>
        <v>0</v>
      </c>
      <c r="B326" s="8" t="b">
        <f t="shared" si="14"/>
        <v>0</v>
      </c>
      <c r="C326" s="10">
        <f>INSCRITOS!B289</f>
        <v>0</v>
      </c>
      <c r="D326" t="str">
        <f t="shared" si="15"/>
        <v>FALSO0/</v>
      </c>
    </row>
    <row r="327" spans="1:4" ht="122.25" customHeight="1" x14ac:dyDescent="0.25">
      <c r="A327" s="19">
        <f>INSCRITOS!O290</f>
        <v>0</v>
      </c>
      <c r="B327" s="8" t="b">
        <f t="shared" si="14"/>
        <v>0</v>
      </c>
      <c r="C327" s="10">
        <f>INSCRITOS!B290</f>
        <v>0</v>
      </c>
      <c r="D327" t="str">
        <f t="shared" si="15"/>
        <v>FALSO0/</v>
      </c>
    </row>
    <row r="328" spans="1:4" ht="122.25" customHeight="1" x14ac:dyDescent="0.25">
      <c r="A328" s="19">
        <f>INSCRITOS!O291</f>
        <v>0</v>
      </c>
      <c r="B328" s="8" t="b">
        <f t="shared" si="14"/>
        <v>0</v>
      </c>
      <c r="C328" s="10">
        <f>INSCRITOS!B291</f>
        <v>0</v>
      </c>
      <c r="D328" t="str">
        <f t="shared" si="15"/>
        <v>FALSO0/</v>
      </c>
    </row>
    <row r="329" spans="1:4" ht="122.25" customHeight="1" x14ac:dyDescent="0.25">
      <c r="A329" s="19">
        <f>INSCRITOS!O292</f>
        <v>0</v>
      </c>
      <c r="B329" s="8" t="b">
        <f t="shared" si="14"/>
        <v>0</v>
      </c>
      <c r="C329" s="10">
        <f>INSCRITOS!B292</f>
        <v>0</v>
      </c>
      <c r="D329" t="str">
        <f t="shared" si="15"/>
        <v>FALSO0/</v>
      </c>
    </row>
    <row r="330" spans="1:4" ht="122.25" customHeight="1" x14ac:dyDescent="0.25">
      <c r="A330" s="19">
        <f>INSCRITOS!O293</f>
        <v>0</v>
      </c>
      <c r="B330" s="8" t="b">
        <f t="shared" si="14"/>
        <v>0</v>
      </c>
      <c r="C330" s="10">
        <f>INSCRITOS!B293</f>
        <v>0</v>
      </c>
      <c r="D330" t="str">
        <f t="shared" si="15"/>
        <v>FALSO0/</v>
      </c>
    </row>
    <row r="331" spans="1:4" ht="122.25" customHeight="1" x14ac:dyDescent="0.25">
      <c r="A331" s="19">
        <f>INSCRITOS!O294</f>
        <v>0</v>
      </c>
      <c r="B331" s="8" t="b">
        <f t="shared" si="14"/>
        <v>0</v>
      </c>
      <c r="C331" s="10">
        <f>INSCRITOS!B294</f>
        <v>0</v>
      </c>
      <c r="D331" t="str">
        <f t="shared" si="15"/>
        <v>FALSO0/</v>
      </c>
    </row>
    <row r="332" spans="1:4" ht="122.25" customHeight="1" x14ac:dyDescent="0.25">
      <c r="A332" s="19">
        <f>INSCRITOS!O295</f>
        <v>0</v>
      </c>
      <c r="B332" s="8" t="b">
        <f t="shared" si="14"/>
        <v>0</v>
      </c>
      <c r="C332" s="10">
        <f>INSCRITOS!B295</f>
        <v>0</v>
      </c>
      <c r="D332" t="str">
        <f t="shared" si="15"/>
        <v>FALSO0/</v>
      </c>
    </row>
    <row r="333" spans="1:4" ht="122.25" customHeight="1" x14ac:dyDescent="0.25">
      <c r="A333" s="19">
        <f>INSCRITOS!O296</f>
        <v>0</v>
      </c>
      <c r="B333" s="8" t="b">
        <f t="shared" si="14"/>
        <v>0</v>
      </c>
      <c r="C333" s="10">
        <f>INSCRITOS!B296</f>
        <v>0</v>
      </c>
      <c r="D333" t="str">
        <f t="shared" si="15"/>
        <v>FALSO0/</v>
      </c>
    </row>
    <row r="334" spans="1:4" ht="122.25" customHeight="1" x14ac:dyDescent="0.25">
      <c r="A334" s="19">
        <f>INSCRITOS!O297</f>
        <v>0</v>
      </c>
      <c r="B334" s="8" t="b">
        <f t="shared" si="14"/>
        <v>0</v>
      </c>
      <c r="C334" s="10">
        <f>INSCRITOS!B297</f>
        <v>0</v>
      </c>
      <c r="D334" t="str">
        <f t="shared" si="15"/>
        <v>FALSO0/</v>
      </c>
    </row>
    <row r="335" spans="1:4" ht="122.25" customHeight="1" x14ac:dyDescent="0.25">
      <c r="A335" s="19">
        <f>INSCRITOS!O298</f>
        <v>0</v>
      </c>
      <c r="B335" s="8" t="b">
        <f t="shared" si="14"/>
        <v>0</v>
      </c>
      <c r="C335" s="10">
        <f>INSCRITOS!B298</f>
        <v>0</v>
      </c>
      <c r="D335" t="str">
        <f t="shared" si="15"/>
        <v>FALSO0/</v>
      </c>
    </row>
    <row r="336" spans="1:4" ht="122.25" customHeight="1" x14ac:dyDescent="0.25">
      <c r="A336" s="19">
        <f>INSCRITOS!O299</f>
        <v>0</v>
      </c>
      <c r="B336" s="8" t="b">
        <f t="shared" si="14"/>
        <v>0</v>
      </c>
      <c r="C336" s="10">
        <f>INSCRITOS!B299</f>
        <v>0</v>
      </c>
      <c r="D336" t="str">
        <f t="shared" si="15"/>
        <v>FALSO0/</v>
      </c>
    </row>
    <row r="337" spans="1:4" ht="122.25" customHeight="1" x14ac:dyDescent="0.25">
      <c r="A337" s="19">
        <f>INSCRITOS!O300</f>
        <v>0</v>
      </c>
      <c r="B337" s="8" t="b">
        <f t="shared" si="14"/>
        <v>0</v>
      </c>
      <c r="C337" s="10">
        <f>INSCRITOS!B300</f>
        <v>0</v>
      </c>
      <c r="D337" t="str">
        <f t="shared" si="15"/>
        <v>FALSO0/</v>
      </c>
    </row>
    <row r="338" spans="1:4" ht="122.25" customHeight="1" x14ac:dyDescent="0.25">
      <c r="A338" s="19">
        <f>INSCRITOS!O301</f>
        <v>0</v>
      </c>
      <c r="B338" s="8" t="b">
        <f t="shared" si="14"/>
        <v>0</v>
      </c>
      <c r="C338" s="10">
        <f>INSCRITOS!B301</f>
        <v>0</v>
      </c>
      <c r="D338" t="str">
        <f t="shared" si="15"/>
        <v>FALSO0/</v>
      </c>
    </row>
    <row r="339" spans="1:4" ht="122.25" customHeight="1" x14ac:dyDescent="0.25">
      <c r="A339" s="19">
        <f>INSCRITOS!O302</f>
        <v>0</v>
      </c>
      <c r="B339" s="8" t="b">
        <f t="shared" si="14"/>
        <v>0</v>
      </c>
      <c r="C339" s="10">
        <f>INSCRITOS!B302</f>
        <v>0</v>
      </c>
      <c r="D339" t="str">
        <f t="shared" si="15"/>
        <v>FALSO0/</v>
      </c>
    </row>
    <row r="340" spans="1:4" ht="122.25" customHeight="1" x14ac:dyDescent="0.25">
      <c r="A340" s="19">
        <f>INSCRITOS!O303</f>
        <v>0</v>
      </c>
      <c r="B340" s="8" t="b">
        <f t="shared" si="14"/>
        <v>0</v>
      </c>
      <c r="C340" s="10">
        <f>INSCRITOS!B303</f>
        <v>0</v>
      </c>
      <c r="D340" t="str">
        <f t="shared" si="15"/>
        <v>FALSO0/</v>
      </c>
    </row>
    <row r="341" spans="1:4" ht="122.25" customHeight="1" x14ac:dyDescent="0.25">
      <c r="A341" s="19">
        <f>INSCRITOS!O304</f>
        <v>0</v>
      </c>
      <c r="B341" s="8" t="b">
        <f t="shared" si="14"/>
        <v>0</v>
      </c>
      <c r="C341" s="10">
        <f>INSCRITOS!B304</f>
        <v>0</v>
      </c>
      <c r="D341" t="str">
        <f t="shared" si="15"/>
        <v>FALSO0/</v>
      </c>
    </row>
    <row r="342" spans="1:4" ht="122.25" customHeight="1" x14ac:dyDescent="0.25">
      <c r="A342" s="19">
        <f>INSCRITOS!O305</f>
        <v>0</v>
      </c>
      <c r="B342" s="8" t="b">
        <f t="shared" si="14"/>
        <v>0</v>
      </c>
      <c r="C342" s="10">
        <f>INSCRITOS!B305</f>
        <v>0</v>
      </c>
      <c r="D342" t="str">
        <f t="shared" si="15"/>
        <v>FALSO0/</v>
      </c>
    </row>
    <row r="343" spans="1:4" ht="122.25" customHeight="1" x14ac:dyDescent="0.25">
      <c r="A343" s="19">
        <f>INSCRITOS!O306</f>
        <v>0</v>
      </c>
      <c r="B343" s="8" t="b">
        <f t="shared" si="14"/>
        <v>0</v>
      </c>
      <c r="C343" s="10">
        <f>INSCRITOS!B306</f>
        <v>0</v>
      </c>
      <c r="D343" t="str">
        <f t="shared" si="15"/>
        <v>FALSO0/</v>
      </c>
    </row>
    <row r="344" spans="1:4" ht="122.25" customHeight="1" x14ac:dyDescent="0.25">
      <c r="A344" s="19">
        <f>INSCRITOS!O307</f>
        <v>0</v>
      </c>
      <c r="B344" s="8" t="b">
        <f t="shared" si="14"/>
        <v>0</v>
      </c>
      <c r="C344" s="10">
        <f>INSCRITOS!B307</f>
        <v>0</v>
      </c>
      <c r="D344" t="str">
        <f t="shared" si="15"/>
        <v>FALSO0/</v>
      </c>
    </row>
    <row r="345" spans="1:4" ht="122.25" customHeight="1" x14ac:dyDescent="0.25">
      <c r="A345" s="19">
        <f>INSCRITOS!O308</f>
        <v>0</v>
      </c>
      <c r="B345" s="8" t="b">
        <f t="shared" si="14"/>
        <v>0</v>
      </c>
      <c r="C345" s="10">
        <f>INSCRITOS!B308</f>
        <v>0</v>
      </c>
      <c r="D345" t="str">
        <f t="shared" si="15"/>
        <v>FALSO0/</v>
      </c>
    </row>
    <row r="346" spans="1:4" ht="122.25" customHeight="1" x14ac:dyDescent="0.25">
      <c r="A346" s="19">
        <f>INSCRITOS!O309</f>
        <v>0</v>
      </c>
      <c r="B346" s="8" t="b">
        <f t="shared" si="14"/>
        <v>0</v>
      </c>
      <c r="C346" s="10">
        <f>INSCRITOS!B309</f>
        <v>0</v>
      </c>
      <c r="D346" t="str">
        <f t="shared" si="15"/>
        <v>FALSO0/</v>
      </c>
    </row>
    <row r="347" spans="1:4" ht="122.25" customHeight="1" x14ac:dyDescent="0.25">
      <c r="A347" s="19">
        <f>INSCRITOS!O310</f>
        <v>0</v>
      </c>
      <c r="B347" s="8" t="b">
        <f t="shared" si="14"/>
        <v>0</v>
      </c>
      <c r="C347" s="10">
        <f>INSCRITOS!B310</f>
        <v>0</v>
      </c>
      <c r="D347" t="str">
        <f t="shared" si="15"/>
        <v>FALSO0/</v>
      </c>
    </row>
    <row r="348" spans="1:4" ht="122.25" customHeight="1" x14ac:dyDescent="0.25">
      <c r="A348" s="19">
        <f>INSCRITOS!O311</f>
        <v>0</v>
      </c>
      <c r="B348" s="8" t="b">
        <f t="shared" si="14"/>
        <v>0</v>
      </c>
      <c r="C348" s="10">
        <f>INSCRITOS!B311</f>
        <v>0</v>
      </c>
      <c r="D348" t="str">
        <f t="shared" si="15"/>
        <v>FALSO0/</v>
      </c>
    </row>
    <row r="349" spans="1:4" ht="122.25" customHeight="1" x14ac:dyDescent="0.25">
      <c r="A349" s="19">
        <f>INSCRITOS!O312</f>
        <v>0</v>
      </c>
      <c r="B349" s="8" t="b">
        <f t="shared" si="14"/>
        <v>0</v>
      </c>
      <c r="C349" s="10">
        <f>INSCRITOS!B312</f>
        <v>0</v>
      </c>
      <c r="D349" t="str">
        <f t="shared" si="15"/>
        <v>FALSO0/</v>
      </c>
    </row>
    <row r="350" spans="1:4" ht="122.25" customHeight="1" x14ac:dyDescent="0.25">
      <c r="A350" s="19">
        <f>INSCRITOS!O313</f>
        <v>0</v>
      </c>
      <c r="B350" s="8" t="b">
        <f t="shared" si="14"/>
        <v>0</v>
      </c>
      <c r="C350" s="10">
        <f>INSCRITOS!B313</f>
        <v>0</v>
      </c>
      <c r="D350" t="str">
        <f t="shared" si="15"/>
        <v>FALSO0/</v>
      </c>
    </row>
    <row r="351" spans="1:4" ht="122.25" customHeight="1" x14ac:dyDescent="0.25">
      <c r="A351" s="19">
        <f>INSCRITOS!O314</f>
        <v>0</v>
      </c>
      <c r="B351" s="8" t="b">
        <f t="shared" si="14"/>
        <v>0</v>
      </c>
      <c r="C351" s="10">
        <f>INSCRITOS!B314</f>
        <v>0</v>
      </c>
      <c r="D351" t="str">
        <f t="shared" si="15"/>
        <v>FALSO0/</v>
      </c>
    </row>
    <row r="352" spans="1:4" ht="122.25" customHeight="1" x14ac:dyDescent="0.25">
      <c r="A352" s="19">
        <f>INSCRITOS!O315</f>
        <v>0</v>
      </c>
      <c r="B352" s="8" t="b">
        <f t="shared" si="14"/>
        <v>0</v>
      </c>
      <c r="C352" s="10">
        <f>INSCRITOS!B315</f>
        <v>0</v>
      </c>
      <c r="D352" t="str">
        <f t="shared" si="15"/>
        <v>FALSO0/</v>
      </c>
    </row>
    <row r="353" spans="1:4" ht="122.25" customHeight="1" x14ac:dyDescent="0.25">
      <c r="A353" s="19">
        <f>INSCRITOS!O316</f>
        <v>0</v>
      </c>
      <c r="B353" s="8" t="b">
        <f t="shared" si="14"/>
        <v>0</v>
      </c>
      <c r="C353" s="10">
        <f>INSCRITOS!B316</f>
        <v>0</v>
      </c>
      <c r="D353" t="str">
        <f t="shared" si="15"/>
        <v>FALSO0/</v>
      </c>
    </row>
    <row r="354" spans="1:4" ht="122.25" customHeight="1" x14ac:dyDescent="0.25">
      <c r="A354" s="19">
        <f>INSCRITOS!O317</f>
        <v>0</v>
      </c>
      <c r="B354" s="8" t="b">
        <f t="shared" si="14"/>
        <v>0</v>
      </c>
      <c r="C354" s="10">
        <f>INSCRITOS!B317</f>
        <v>0</v>
      </c>
      <c r="D354" t="str">
        <f t="shared" si="15"/>
        <v>FALSO0/</v>
      </c>
    </row>
    <row r="355" spans="1:4" ht="122.25" customHeight="1" x14ac:dyDescent="0.25">
      <c r="A355" s="19">
        <f>INSCRITOS!O318</f>
        <v>0</v>
      </c>
      <c r="B355" s="8" t="b">
        <f t="shared" si="14"/>
        <v>0</v>
      </c>
      <c r="C355" s="10">
        <f>INSCRITOS!B318</f>
        <v>0</v>
      </c>
      <c r="D355" t="str">
        <f t="shared" si="15"/>
        <v>FALSO0/</v>
      </c>
    </row>
  </sheetData>
  <hyperlinks>
    <hyperlink ref="B39" r:id="rId1" display="https://centrodecapacitaciondelsur.com/soporte-basico-de-vida-" xr:uid="{00000000-0004-0000-0200-000000000000}"/>
    <hyperlink ref="B40" r:id="rId2" display="https://centrodecapacitaciondelsur.com/soporte-basico-de-vida-" xr:uid="{00000000-0004-0000-0200-000001000000}"/>
    <hyperlink ref="B41" r:id="rId3" display="https://centrodecapacitaciondelsur.com/soporte-basico-de-vida-" xr:uid="{00000000-0004-0000-0200-000002000000}"/>
    <hyperlink ref="B42" r:id="rId4" display="https://centrodecapacitaciondelsur.com/soporte-basico-de-vida-" xr:uid="{00000000-0004-0000-0200-000003000000}"/>
    <hyperlink ref="B43" r:id="rId5" display="https://centrodecapacitaciondelsur.com/soporte-basico-de-vida-" xr:uid="{00000000-0004-0000-0200-000004000000}"/>
    <hyperlink ref="B44" r:id="rId6" display="https://centrodecapacitaciondelsur.com/soporte-basico-de-vida-" xr:uid="{00000000-0004-0000-0200-000005000000}"/>
    <hyperlink ref="B45" r:id="rId7" display="https://centrodecapacitaciondelsur.com/soporte-basico-de-vida-" xr:uid="{00000000-0004-0000-0200-000006000000}"/>
    <hyperlink ref="B46" r:id="rId8" display="https://centrodecapacitaciondelsur.com/soporte-basico-de-vida-" xr:uid="{00000000-0004-0000-0200-000007000000}"/>
    <hyperlink ref="B47" r:id="rId9" display="https://centrodecapacitaciondelsur.com/soporte-basico-de-vida-" xr:uid="{00000000-0004-0000-0200-000008000000}"/>
    <hyperlink ref="B48" r:id="rId10" display="https://centrodecapacitaciondelsur.com/soporte-basico-de-vida-" xr:uid="{00000000-0004-0000-0200-000009000000}"/>
    <hyperlink ref="B49" r:id="rId11" display="https://centrodecapacitaciondelsur.com/soporte-basico-de-vida-" xr:uid="{00000000-0004-0000-0200-00000A000000}"/>
    <hyperlink ref="B50" r:id="rId12" display="https://centrodecapacitaciondelsur.com/soporte-basico-de-vida-" xr:uid="{00000000-0004-0000-0200-00000B000000}"/>
    <hyperlink ref="B51" r:id="rId13" display="https://centrodecapacitaciondelsur.com/soporte-basico-de-vida-" xr:uid="{00000000-0004-0000-0200-00000C000000}"/>
    <hyperlink ref="B52" r:id="rId14" display="https://centrodecapacitaciondelsur.com/soporte-basico-de-vida-" xr:uid="{00000000-0004-0000-0200-00000D000000}"/>
    <hyperlink ref="B53" r:id="rId15" display="https://centrodecapacitaciondelsur.com/soporte-basico-de-vida-" xr:uid="{00000000-0004-0000-0200-00000E000000}"/>
    <hyperlink ref="B54" r:id="rId16" display="https://centrodecapacitaciondelsur.com/soporte-basico-de-vida-" xr:uid="{00000000-0004-0000-0200-00000F000000}"/>
    <hyperlink ref="B55" r:id="rId17" display="https://centrodecapacitaciondelsur.com/soporte-basico-de-vida-" xr:uid="{00000000-0004-0000-0200-000010000000}"/>
    <hyperlink ref="B56" r:id="rId18" display="https://centrodecapacitaciondelsur.com/soporte-basico-de-vida-" xr:uid="{00000000-0004-0000-0200-000011000000}"/>
    <hyperlink ref="B57" r:id="rId19" display="https://centrodecapacitaciondelsur.com/soporte-basico-de-vida-" xr:uid="{00000000-0004-0000-0200-000012000000}"/>
    <hyperlink ref="B58" r:id="rId20" display="https://centrodecapacitaciondelsur.com/soporte-basico-de-vida-" xr:uid="{00000000-0004-0000-0200-000013000000}"/>
    <hyperlink ref="B59" r:id="rId21" display="https://centrodecapacitaciondelsur.com/soporte-basico-de-vida-" xr:uid="{00000000-0004-0000-0200-000014000000}"/>
    <hyperlink ref="B60" r:id="rId22" display="https://centrodecapacitaciondelsur.com/soporte-basico-de-vida-" xr:uid="{00000000-0004-0000-0200-000015000000}"/>
    <hyperlink ref="B61" r:id="rId23" display="https://centrodecapacitaciondelsur.com/soporte-basico-de-vida-" xr:uid="{00000000-0004-0000-0200-000016000000}"/>
    <hyperlink ref="B62" r:id="rId24" display="https://centrodecapacitaciondelsur.com/soporte-basico-de-vida-" xr:uid="{00000000-0004-0000-0200-000017000000}"/>
    <hyperlink ref="B63" r:id="rId25" display="https://centrodecapacitaciondelsur.com/soporte-basico-de-vida-" xr:uid="{00000000-0004-0000-0200-000018000000}"/>
    <hyperlink ref="B64" r:id="rId26" display="https://centrodecapacitaciondelsur.com/soporte-basico-de-vida-" xr:uid="{00000000-0004-0000-0200-000019000000}"/>
    <hyperlink ref="B65" r:id="rId27" display="https://centrodecapacitaciondelsur.com/soporte-basico-de-vida-" xr:uid="{00000000-0004-0000-0200-00001A000000}"/>
    <hyperlink ref="B66" r:id="rId28" display="https://centrodecapacitaciondelsur.com/soporte-basico-de-vida-" xr:uid="{00000000-0004-0000-0200-00001B000000}"/>
    <hyperlink ref="B67" r:id="rId29" display="https://centrodecapacitaciondelsur.com/soporte-basico-de-vida-" xr:uid="{00000000-0004-0000-0200-00001C000000}"/>
    <hyperlink ref="B68" r:id="rId30" display="https://centrodecapacitaciondelsur.com/soporte-basico-de-vida-" xr:uid="{00000000-0004-0000-0200-00001D000000}"/>
    <hyperlink ref="B69" r:id="rId31" display="https://centrodecapacitaciondelsur.com/soporte-basico-de-vida-" xr:uid="{00000000-0004-0000-0200-00001E000000}"/>
    <hyperlink ref="B70" r:id="rId32" display="https://centrodecapacitaciondelsur.com/soporte-basico-de-vida-" xr:uid="{00000000-0004-0000-0200-00001F000000}"/>
    <hyperlink ref="B71" r:id="rId33" display="https://centrodecapacitaciondelsur.com/soporte-basico-de-vida-" xr:uid="{00000000-0004-0000-0200-000020000000}"/>
    <hyperlink ref="B72" r:id="rId34" display="https://centrodecapacitaciondelsur.com/soporte-basico-de-vida-" xr:uid="{00000000-0004-0000-0200-000021000000}"/>
    <hyperlink ref="B73" r:id="rId35" display="https://centrodecapacitaciondelsur.com/soporte-basico-de-vida-" xr:uid="{00000000-0004-0000-0200-000022000000}"/>
    <hyperlink ref="B74" r:id="rId36" display="https://centrodecapacitaciondelsur.com/soporte-basico-de-vida-" xr:uid="{00000000-0004-0000-0200-000023000000}"/>
    <hyperlink ref="B75" r:id="rId37" display="https://centrodecapacitaciondelsur.com/soporte-basico-de-vida-" xr:uid="{00000000-0004-0000-0200-000024000000}"/>
    <hyperlink ref="B76" r:id="rId38" display="https://centrodecapacitaciondelsur.com/soporte-basico-de-vida-" xr:uid="{00000000-0004-0000-0200-000025000000}"/>
    <hyperlink ref="B77" r:id="rId39" display="https://centrodecapacitaciondelsur.com/soporte-basico-de-vida-" xr:uid="{00000000-0004-0000-0200-000026000000}"/>
    <hyperlink ref="B78" r:id="rId40" display="https://centrodecapacitaciondelsur.com/soporte-basico-de-vida-" xr:uid="{00000000-0004-0000-0200-000027000000}"/>
    <hyperlink ref="B79" r:id="rId41" display="https://centrodecapacitaciondelsur.com/soporte-basico-de-vida-" xr:uid="{00000000-0004-0000-0200-000028000000}"/>
    <hyperlink ref="B80" r:id="rId42" display="https://centrodecapacitaciondelsur.com/soporte-basico-de-vida-" xr:uid="{00000000-0004-0000-0200-000029000000}"/>
    <hyperlink ref="B81" r:id="rId43" display="https://centrodecapacitaciondelsur.com/soporte-basico-de-vida-" xr:uid="{00000000-0004-0000-0200-00002A000000}"/>
    <hyperlink ref="B82" r:id="rId44" display="https://centrodecapacitaciondelsur.com/soporte-basico-de-vida-" xr:uid="{00000000-0004-0000-0200-00002B000000}"/>
    <hyperlink ref="B84" r:id="rId45" display="https://centrodecapacitaciondelsur.com/soporte-basico-de-vida-" xr:uid="{00000000-0004-0000-0200-00002C000000}"/>
    <hyperlink ref="B85" r:id="rId46" display="https://centrodecapacitaciondelsur.com/soporte-basico-de-vida-" xr:uid="{00000000-0004-0000-0200-00002D000000}"/>
    <hyperlink ref="B86" r:id="rId47" display="https://centrodecapacitaciondelsur.com/soporte-basico-de-vida-" xr:uid="{00000000-0004-0000-0200-00002E000000}"/>
    <hyperlink ref="B87" r:id="rId48" display="https://centrodecapacitaciondelsur.com/soporte-basico-de-vida-" xr:uid="{00000000-0004-0000-0200-00002F000000}"/>
    <hyperlink ref="B88" r:id="rId49" display="https://centrodecapacitaciondelsur.com/soporte-basico-de-vida-" xr:uid="{00000000-0004-0000-0200-000030000000}"/>
    <hyperlink ref="B89" r:id="rId50" display="https://centrodecapacitaciondelsur.com/soporte-basico-de-vida-" xr:uid="{00000000-0004-0000-0200-000031000000}"/>
    <hyperlink ref="B90" r:id="rId51" display="https://centrodecapacitaciondelsur.com/soporte-basico-de-vida-" xr:uid="{00000000-0004-0000-0200-000032000000}"/>
    <hyperlink ref="B91" r:id="rId52" display="https://centrodecapacitaciondelsur.com/soporte-basico-de-vida-" xr:uid="{00000000-0004-0000-0200-000033000000}"/>
    <hyperlink ref="B92" r:id="rId53" display="https://centrodecapacitaciondelsur.com/soporte-basico-de-vida-" xr:uid="{00000000-0004-0000-0200-000034000000}"/>
    <hyperlink ref="B93" r:id="rId54" display="https://centrodecapacitaciondelsur.com/soporte-basico-de-vida-" xr:uid="{00000000-0004-0000-0200-000035000000}"/>
    <hyperlink ref="B94" r:id="rId55" display="https://centrodecapacitaciondelsur.com/soporte-basico-de-vida-" xr:uid="{00000000-0004-0000-0200-000036000000}"/>
    <hyperlink ref="B95" r:id="rId56" display="https://centrodecapacitaciondelsur.com/soporte-basico-de-vida-" xr:uid="{00000000-0004-0000-0200-000037000000}"/>
    <hyperlink ref="B96" r:id="rId57" display="https://centrodecapacitaciondelsur.com/soporte-basico-de-vida-" xr:uid="{00000000-0004-0000-0200-000038000000}"/>
    <hyperlink ref="B97" r:id="rId58" display="https://centrodecapacitaciondelsur.com/soporte-basico-de-vida-" xr:uid="{00000000-0004-0000-0200-000039000000}"/>
    <hyperlink ref="B98" r:id="rId59" display="https://centrodecapacitaciondelsur.com/soporte-basico-de-vida-" xr:uid="{00000000-0004-0000-0200-00003A000000}"/>
    <hyperlink ref="B99" r:id="rId60" display="https://centrodecapacitaciondelsur.com/soporte-basico-de-vida-" xr:uid="{00000000-0004-0000-0200-00003B000000}"/>
    <hyperlink ref="B100" r:id="rId61" display="https://centrodecapacitaciondelsur.com/soporte-basico-de-vida-" xr:uid="{00000000-0004-0000-0200-00003C000000}"/>
    <hyperlink ref="B101" r:id="rId62" display="https://centrodecapacitaciondelsur.com/soporte-basico-de-vida-" xr:uid="{00000000-0004-0000-0200-00003D000000}"/>
    <hyperlink ref="B102" r:id="rId63" display="https://centrodecapacitaciondelsur.com/soporte-basico-de-vida-" xr:uid="{00000000-0004-0000-0200-00003E000000}"/>
    <hyperlink ref="B103" r:id="rId64" display="https://centrodecapacitaciondelsur.com/soporte-basico-de-vida-" xr:uid="{00000000-0004-0000-0200-00003F000000}"/>
    <hyperlink ref="B104" r:id="rId65" display="https://centrodecapacitaciondelsur.com/soporte-basico-de-vida-" xr:uid="{00000000-0004-0000-0200-000040000000}"/>
    <hyperlink ref="B105" r:id="rId66" display="https://centrodecapacitaciondelsur.com/soporte-basico-de-vida-" xr:uid="{00000000-0004-0000-0200-000041000000}"/>
    <hyperlink ref="B106" r:id="rId67" display="https://centrodecapacitaciondelsur.com/soporte-basico-de-vida-" xr:uid="{00000000-0004-0000-0200-000042000000}"/>
    <hyperlink ref="B107" r:id="rId68" display="https://centrodecapacitaciondelsur.com/soporte-basico-de-vida-" xr:uid="{00000000-0004-0000-0200-000043000000}"/>
    <hyperlink ref="B108" r:id="rId69" display="https://centrodecapacitaciondelsur.com/soporte-basico-de-vida-" xr:uid="{00000000-0004-0000-0200-000044000000}"/>
    <hyperlink ref="B109" r:id="rId70" display="https://centrodecapacitaciondelsur.com/soporte-basico-de-vida-" xr:uid="{00000000-0004-0000-0200-000045000000}"/>
    <hyperlink ref="B110" r:id="rId71" display="https://centrodecapacitaciondelsur.com/soporte-basico-de-vida-" xr:uid="{00000000-0004-0000-0200-000046000000}"/>
    <hyperlink ref="B111" r:id="rId72" display="https://centrodecapacitaciondelsur.com/soporte-basico-de-vida-" xr:uid="{00000000-0004-0000-0200-000047000000}"/>
    <hyperlink ref="B112" r:id="rId73" display="https://centrodecapacitaciondelsur.com/soporte-basico-de-vida-" xr:uid="{00000000-0004-0000-0200-000048000000}"/>
    <hyperlink ref="B113" r:id="rId74" display="https://centrodecapacitaciondelsur.com/soporte-basico-de-vida-" xr:uid="{00000000-0004-0000-0200-000049000000}"/>
    <hyperlink ref="B114" r:id="rId75" display="https://centrodecapacitaciondelsur.com/soporte-basico-de-vida-" xr:uid="{00000000-0004-0000-0200-00004A000000}"/>
    <hyperlink ref="B115" r:id="rId76" display="https://centrodecapacitaciondelsur.com/soporte-basico-de-vida-" xr:uid="{00000000-0004-0000-0200-00004B000000}"/>
    <hyperlink ref="B116" r:id="rId77" display="https://centrodecapacitaciondelsur.com/soporte-basico-de-vida-" xr:uid="{00000000-0004-0000-0200-00004C000000}"/>
    <hyperlink ref="B117" r:id="rId78" display="https://centrodecapacitaciondelsur.com/soporte-basico-de-vida-" xr:uid="{00000000-0004-0000-0200-00004D000000}"/>
    <hyperlink ref="B118" r:id="rId79" display="https://centrodecapacitaciondelsur.com/soporte-basico-de-vida-" xr:uid="{00000000-0004-0000-0200-00004E000000}"/>
    <hyperlink ref="B119" r:id="rId80" display="https://centrodecapacitaciondelsur.com/soporte-basico-de-vida-" xr:uid="{00000000-0004-0000-0200-00004F000000}"/>
    <hyperlink ref="B120" r:id="rId81" display="https://centrodecapacitaciondelsur.com/soporte-basico-de-vida-" xr:uid="{00000000-0004-0000-0200-000050000000}"/>
    <hyperlink ref="B121" r:id="rId82" display="https://centrodecapacitaciondelsur.com/soporte-basico-de-vida-" xr:uid="{00000000-0004-0000-0200-000051000000}"/>
    <hyperlink ref="B122" r:id="rId83" display="https://centrodecapacitaciondelsur.com/soporte-basico-de-vida-" xr:uid="{00000000-0004-0000-0200-000052000000}"/>
    <hyperlink ref="B123" r:id="rId84" display="https://centrodecapacitaciondelsur.com/soporte-basico-de-vida-" xr:uid="{00000000-0004-0000-0200-000053000000}"/>
    <hyperlink ref="B124" r:id="rId85" display="https://centrodecapacitaciondelsur.com/soporte-basico-de-vida-" xr:uid="{7460F4C8-DB56-4CA0-A737-66E8DCCC5BC0}"/>
    <hyperlink ref="B125" r:id="rId86" display="https://centrodecapacitaciondelsur.com/soporte-basico-de-vida-" xr:uid="{F5860C1D-7187-4F9A-8271-BFD45F3FB755}"/>
    <hyperlink ref="B126" r:id="rId87" display="https://centrodecapacitaciondelsur.com/soporte-basico-de-vida-" xr:uid="{EED31C09-DA99-427B-944E-8CD0DA32209A}"/>
    <hyperlink ref="B127" r:id="rId88" display="https://centrodecapacitaciondelsur.com/soporte-basico-de-vida-" xr:uid="{F1D23353-0693-490A-A7A1-C90FEA1A6262}"/>
    <hyperlink ref="B128" r:id="rId89" display="https://centrodecapacitaciondelsur.com/soporte-basico-de-vida-" xr:uid="{4ADF48EF-28A5-4779-81C3-BF41A602DF96}"/>
    <hyperlink ref="B129" r:id="rId90" display="https://centrodecapacitaciondelsur.com/soporte-basico-de-vida-" xr:uid="{E8B3B3C1-7DAC-44AC-9595-553601DD4F69}"/>
    <hyperlink ref="B130" r:id="rId91" display="https://centrodecapacitaciondelsur.com/soporte-basico-de-vida-" xr:uid="{B900F059-9A08-4D3F-B930-B476AAF663BF}"/>
    <hyperlink ref="B131" r:id="rId92" display="https://centrodecapacitaciondelsur.com/soporte-basico-de-vida-" xr:uid="{333D7FF6-0882-48B5-98A0-06BE1E4291ED}"/>
    <hyperlink ref="B132" r:id="rId93" display="https://centrodecapacitaciondelsur.com/soporte-basico-de-vida-" xr:uid="{D32F2EB6-5C7C-491B-BB4F-CD869424C39A}"/>
    <hyperlink ref="B133" r:id="rId94" display="https://centrodecapacitaciondelsur.com/soporte-basico-de-vida-" xr:uid="{AF4C1C00-45EF-4599-9171-50002BF045CC}"/>
    <hyperlink ref="B134" r:id="rId95" display="https://centrodecapacitaciondelsur.com/soporte-basico-de-vida-" xr:uid="{B4C00363-642C-49FD-B92C-54B1E2E1C0FC}"/>
    <hyperlink ref="B135" r:id="rId96" display="https://centrodecapacitaciondelsur.com/soporte-basico-de-vida-" xr:uid="{33255BFF-1E53-48A0-88E2-70111E141718}"/>
    <hyperlink ref="B136" r:id="rId97" display="https://centrodecapacitaciondelsur.com/soporte-basico-de-vida-" xr:uid="{55367102-1123-4994-BCD8-606BCAEC9C63}"/>
    <hyperlink ref="B137" r:id="rId98" display="https://centrodecapacitaciondelsur.com/soporte-basico-de-vida-" xr:uid="{7CC6847F-6CA4-495F-BA08-284A8D721902}"/>
    <hyperlink ref="B138" r:id="rId99" display="https://centrodecapacitaciondelsur.com/soporte-basico-de-vida-" xr:uid="{35232CFF-94DB-404C-970A-EEF2E8A72823}"/>
    <hyperlink ref="B139" r:id="rId100" display="https://centrodecapacitaciondelsur.com/soporte-basico-de-vida-" xr:uid="{C8BDAD55-27BC-4881-A06A-E0821CB806E4}"/>
    <hyperlink ref="B140" r:id="rId101" display="https://centrodecapacitaciondelsur.com/soporte-basico-de-vida-" xr:uid="{D0FD388E-9B4A-4930-B956-B17F2A5E0CC9}"/>
    <hyperlink ref="B141" r:id="rId102" display="https://centrodecapacitaciondelsur.com/soporte-basico-de-vida-" xr:uid="{FB761C0F-47D7-4CAF-9793-111D56A91298}"/>
    <hyperlink ref="B142" r:id="rId103" display="https://centrodecapacitaciondelsur.com/soporte-basico-de-vida-" xr:uid="{43F776D6-0F29-4D95-9315-8E456010CC70}"/>
    <hyperlink ref="B143" r:id="rId104" display="https://centrodecapacitaciondelsur.com/soporte-basico-de-vida-" xr:uid="{CAE18CEC-35A8-4A52-A583-DDE41E002EAF}"/>
    <hyperlink ref="B144" r:id="rId105" display="https://centrodecapacitaciondelsur.com/soporte-basico-de-vida-" xr:uid="{B52A69D4-B6AF-41DC-91F9-F483F56FA0FD}"/>
    <hyperlink ref="B145" r:id="rId106" display="https://centrodecapacitaciondelsur.com/soporte-basico-de-vida-" xr:uid="{78BA217D-5176-4AF2-8DB4-EFFB7AAD3B15}"/>
    <hyperlink ref="B146" r:id="rId107" display="https://centrodecapacitaciondelsur.com/soporte-basico-de-vida-" xr:uid="{7E5FA2A5-1FF4-4E5F-8C9A-1717A048C745}"/>
    <hyperlink ref="B148" r:id="rId108" display="https://centrodecapacitaciondelsur.com/soporte-basico-de-vida-" xr:uid="{F2556724-156B-4E21-BFD3-D0BADE049750}"/>
    <hyperlink ref="B149" r:id="rId109" display="https://centrodecapacitaciondelsur.com/soporte-basico-de-vida-" xr:uid="{C13FD4AF-EF7A-4E32-BD7A-2EB13AE706FB}"/>
    <hyperlink ref="B150" r:id="rId110" display="https://centrodecapacitaciondelsur.com/soporte-basico-de-vida-" xr:uid="{9924B4F6-C1E6-43D8-A171-A014BCC4F433}"/>
    <hyperlink ref="B151" r:id="rId111" display="https://centrodecapacitaciondelsur.com/soporte-basico-de-vida-" xr:uid="{914383A1-F3B3-4164-88E1-ADD4D995B50B}"/>
    <hyperlink ref="B152" r:id="rId112" display="https://centrodecapacitaciondelsur.com/soporte-basico-de-vida-" xr:uid="{BA5A22F5-19BC-4AEC-9706-C2F033CAF6CF}"/>
    <hyperlink ref="B153" r:id="rId113" display="https://centrodecapacitaciondelsur.com/soporte-basico-de-vida-" xr:uid="{2526F2C0-F062-4CF7-AEA5-55D3A2F0A2CD}"/>
    <hyperlink ref="B154" r:id="rId114" display="https://centrodecapacitaciondelsur.com/soporte-basico-de-vida-" xr:uid="{4F855C8B-15A8-4E84-BE17-32EAA8C05B30}"/>
    <hyperlink ref="B155" r:id="rId115" display="https://centrodecapacitaciondelsur.com/soporte-basico-de-vida-" xr:uid="{4903791E-0229-4330-BEEE-CA8ACE57B299}"/>
    <hyperlink ref="B156" r:id="rId116" display="https://centrodecapacitaciondelsur.com/soporte-basico-de-vida-" xr:uid="{B73910B9-DAAC-476E-A6C1-0B826AA0C7F2}"/>
    <hyperlink ref="B157" r:id="rId117" display="https://centrodecapacitaciondelsur.com/soporte-basico-de-vida-" xr:uid="{4A1F29BF-B800-4EAE-A310-30EBD9D23ED6}"/>
    <hyperlink ref="B158" r:id="rId118" display="https://centrodecapacitaciondelsur.com/soporte-basico-de-vida-" xr:uid="{F82D77B1-2F41-46B9-B021-9A7575F56733}"/>
    <hyperlink ref="B159" r:id="rId119" display="https://centrodecapacitaciondelsur.com/soporte-basico-de-vida-" xr:uid="{7A4072BF-34BC-4567-BBD3-C556D4A756A6}"/>
    <hyperlink ref="B160" r:id="rId120" display="https://centrodecapacitaciondelsur.com/soporte-basico-de-vida-" xr:uid="{1A1220A1-0157-42C0-8868-C666D2160E7B}"/>
    <hyperlink ref="B161" r:id="rId121" display="https://centrodecapacitaciondelsur.com/soporte-basico-de-vida-" xr:uid="{8DA0A982-3742-4D29-85BE-769F4DAA8C87}"/>
    <hyperlink ref="B162" r:id="rId122" display="https://centrodecapacitaciondelsur.com/soporte-basico-de-vida-" xr:uid="{EA43569B-414C-4A9A-808D-8BE1AB17EDFC}"/>
    <hyperlink ref="B163" r:id="rId123" display="https://centrodecapacitaciondelsur.com/soporte-basico-de-vida-" xr:uid="{473D224E-CD03-4B56-B14A-EFC2EE6CA6ED}"/>
    <hyperlink ref="B164" r:id="rId124" display="https://centrodecapacitaciondelsur.com/soporte-basico-de-vida-" xr:uid="{BC9848A9-9811-4C9E-9DA1-5EAA209BE8A1}"/>
    <hyperlink ref="B165" r:id="rId125" display="https://centrodecapacitaciondelsur.com/soporte-basico-de-vida-" xr:uid="{57E624AA-0F26-458F-BE42-2C44A7106279}"/>
    <hyperlink ref="B166" r:id="rId126" display="https://centrodecapacitaciondelsur.com/soporte-basico-de-vida-" xr:uid="{A5D8CDF9-CADE-4796-98EA-6E2766D7590F}"/>
    <hyperlink ref="B167" r:id="rId127" display="https://centrodecapacitaciondelsur.com/soporte-basico-de-vida-" xr:uid="{D61C3EFA-0CCB-402E-BA07-1408C355B71F}"/>
    <hyperlink ref="B168" r:id="rId128" display="https://centrodecapacitaciondelsur.com/soporte-basico-de-vida-" xr:uid="{5E680E74-115F-42BC-B4D6-EA1D3CC4FF17}"/>
    <hyperlink ref="B169" r:id="rId129" display="https://centrodecapacitaciondelsur.com/soporte-basico-de-vida-" xr:uid="{8EB4D2F3-CEB7-4DD8-BEDC-C9AFBA88B550}"/>
    <hyperlink ref="B170" r:id="rId130" display="https://centrodecapacitaciondelsur.com/soporte-basico-de-vida-" xr:uid="{2CBE9079-C529-4D50-87E7-627FBBEAE413}"/>
    <hyperlink ref="B171" r:id="rId131" display="https://centrodecapacitaciondelsur.com/soporte-basico-de-vida-" xr:uid="{33DCF378-B918-41AB-B9F0-86E4209E742C}"/>
    <hyperlink ref="B172" r:id="rId132" display="https://centrodecapacitaciondelsur.com/soporte-basico-de-vida-" xr:uid="{AD6AB757-D847-485D-919A-B1A43B25F173}"/>
    <hyperlink ref="B173" r:id="rId133" display="https://centrodecapacitaciondelsur.com/soporte-basico-de-vida-" xr:uid="{6F5393E8-D8AD-4597-8713-2E26DAF5B3AB}"/>
    <hyperlink ref="B174" r:id="rId134" display="https://centrodecapacitaciondelsur.com/soporte-basico-de-vida-" xr:uid="{5B4212F6-011F-4FFF-89CB-7C5AC53D1B7A}"/>
    <hyperlink ref="B175" r:id="rId135" display="https://centrodecapacitaciondelsur.com/soporte-basico-de-vida-" xr:uid="{582A75A7-A6E4-4AC8-9460-B902E2AC2E57}"/>
    <hyperlink ref="B176" r:id="rId136" display="https://centrodecapacitaciondelsur.com/soporte-basico-de-vida-" xr:uid="{3E24A4C3-A414-42B8-AD1D-90C70F56E52C}"/>
    <hyperlink ref="B177" r:id="rId137" display="https://centrodecapacitaciondelsur.com/soporte-basico-de-vida-" xr:uid="{FE664D03-AAB5-4DED-93DC-72FD2144F2A5}"/>
    <hyperlink ref="B178" r:id="rId138" display="https://centrodecapacitaciondelsur.com/soporte-basico-de-vida-" xr:uid="{46F2EFC7-5F0A-4BC6-8BAB-5277F0D8D334}"/>
    <hyperlink ref="B179" r:id="rId139" display="https://centrodecapacitaciondelsur.com/soporte-basico-de-vida-" xr:uid="{7D06F3AD-48B6-4D80-B8BA-7E038230AF3E}"/>
    <hyperlink ref="B180" r:id="rId140" display="https://centrodecapacitaciondelsur.com/soporte-basico-de-vida-" xr:uid="{B0F92EE1-5367-4350-921F-D2022B3AFCE4}"/>
    <hyperlink ref="B181" r:id="rId141" display="https://centrodecapacitaciondelsur.com/soporte-basico-de-vida-" xr:uid="{929EE9AF-C9F8-4E72-BE9F-7413488EB01B}"/>
    <hyperlink ref="B182" r:id="rId142" display="https://centrodecapacitaciondelsur.com/soporte-basico-de-vida-" xr:uid="{3D0AE392-1D19-4D53-8B1A-D282106D9646}"/>
    <hyperlink ref="B183" r:id="rId143" display="https://centrodecapacitaciondelsur.com/soporte-basico-de-vida-" xr:uid="{5054BA31-B5B4-4D00-BC45-231E124EDD86}"/>
    <hyperlink ref="B184" r:id="rId144" display="https://centrodecapacitaciondelsur.com/soporte-basico-de-vida-" xr:uid="{0F669AEE-85BD-40C3-88FC-D056C421AE54}"/>
    <hyperlink ref="B185" r:id="rId145" display="https://centrodecapacitaciondelsur.com/soporte-basico-de-vida-" xr:uid="{A1D8CDDC-6F95-4733-9FD6-FD738C6222D0}"/>
    <hyperlink ref="B186" r:id="rId146" display="https://centrodecapacitaciondelsur.com/soporte-basico-de-vida-" xr:uid="{77814672-067A-4277-A1DD-384351B97AB2}"/>
    <hyperlink ref="B187" r:id="rId147" display="https://centrodecapacitaciondelsur.com/soporte-basico-de-vida-" xr:uid="{8916FBC0-EA78-4576-B1AE-4474CE8856B1}"/>
    <hyperlink ref="B188" r:id="rId148" display="https://centrodecapacitaciondelsur.com/soporte-basico-de-vida-" xr:uid="{FB760A8F-A4D0-4646-8A01-714CFC70BC2C}"/>
    <hyperlink ref="B189" r:id="rId149" display="https://centrodecapacitaciondelsur.com/soporte-basico-de-vida-" xr:uid="{1314BC87-C031-4E4C-98EE-94184C7126A0}"/>
    <hyperlink ref="B190" r:id="rId150" display="https://centrodecapacitaciondelsur.com/soporte-basico-de-vida-" xr:uid="{FE156EED-865C-4064-AF35-457B45FFBE52}"/>
    <hyperlink ref="B191" r:id="rId151" display="https://centrodecapacitaciondelsur.com/soporte-basico-de-vida-" xr:uid="{97913EBC-4DE6-465B-90F1-75B1482F89EA}"/>
    <hyperlink ref="B192" r:id="rId152" display="https://centrodecapacitaciondelsur.com/soporte-basico-de-vida-" xr:uid="{57135414-E6B4-44C8-BD5D-A9AD651AE1CD}"/>
    <hyperlink ref="B193" r:id="rId153" display="https://centrodecapacitaciondelsur.com/soporte-basico-de-vida-" xr:uid="{CE5738AC-0078-4925-9732-33C5732C00A8}"/>
    <hyperlink ref="B194" r:id="rId154" display="https://centrodecapacitaciondelsur.com/soporte-basico-de-vida-" xr:uid="{6E826192-775D-466B-B035-597FE6DA4866}"/>
    <hyperlink ref="B195" r:id="rId155" display="https://centrodecapacitaciondelsur.com/soporte-basico-de-vida-" xr:uid="{A2FF0682-2D0D-4DC2-B012-41A00F18F150}"/>
    <hyperlink ref="B196" r:id="rId156" display="https://centrodecapacitaciondelsur.com/soporte-basico-de-vida-" xr:uid="{594A8B70-0EFA-4AFA-8478-7EC13783C764}"/>
    <hyperlink ref="B197" r:id="rId157" display="https://centrodecapacitaciondelsur.com/soporte-basico-de-vida-" xr:uid="{3AE95637-1070-4685-85EC-130EA08F7755}"/>
    <hyperlink ref="B198" r:id="rId158" display="https://centrodecapacitaciondelsur.com/soporte-basico-de-vida-" xr:uid="{95D48A0E-2786-4484-A7A7-AE7E607284B1}"/>
    <hyperlink ref="B199" r:id="rId159" display="https://centrodecapacitaciondelsur.com/soporte-basico-de-vida-" xr:uid="{8DFBA6C9-528D-4D69-B111-9D4AB4AF91C2}"/>
    <hyperlink ref="B200" r:id="rId160" display="https://centrodecapacitaciondelsur.com/soporte-basico-de-vida-" xr:uid="{AE83CA47-91CD-4CE0-AD2B-8E11AAA674CF}"/>
    <hyperlink ref="B201" r:id="rId161" display="https://centrodecapacitaciondelsur.com/soporte-basico-de-vida-" xr:uid="{1596A435-D7C6-481F-B144-41FBE774C6EA}"/>
    <hyperlink ref="B202" r:id="rId162" display="https://centrodecapacitaciondelsur.com/soporte-basico-de-vida-" xr:uid="{C22F325C-BFB5-47D7-B985-D12626A9A4AF}"/>
    <hyperlink ref="B203" r:id="rId163" display="https://centrodecapacitaciondelsur.com/soporte-basico-de-vida-" xr:uid="{4910B816-1B99-4CDB-BF0E-D5985BCA25A3}"/>
    <hyperlink ref="B204" r:id="rId164" display="https://centrodecapacitaciondelsur.com/soporte-basico-de-vida-" xr:uid="{18F85B74-FB13-4AC9-930F-F9A25891F25F}"/>
    <hyperlink ref="B205" r:id="rId165" display="https://centrodecapacitaciondelsur.com/soporte-basico-de-vida-" xr:uid="{B8FB4B3A-20EB-4FB1-846D-57300CEF6AE7}"/>
    <hyperlink ref="B206" r:id="rId166" display="https://centrodecapacitaciondelsur.com/soporte-basico-de-vida-" xr:uid="{6FAB1ED1-055A-45DB-B845-8B243B2A681E}"/>
    <hyperlink ref="B207" r:id="rId167" display="https://centrodecapacitaciondelsur.com/soporte-basico-de-vida-" xr:uid="{590C3220-59A6-495F-8D3B-D09C064883C1}"/>
    <hyperlink ref="B208" r:id="rId168" display="https://centrodecapacitaciondelsur.com/soporte-basico-de-vida-" xr:uid="{C1CB2F9A-0FE8-4A39-97C0-F2BBC60B353B}"/>
    <hyperlink ref="B209" r:id="rId169" display="https://centrodecapacitaciondelsur.com/soporte-basico-de-vida-" xr:uid="{F3998D2A-679E-4901-80AF-A14FAA715BBC}"/>
    <hyperlink ref="B210" r:id="rId170" display="https://centrodecapacitaciondelsur.com/soporte-basico-de-vida-" xr:uid="{0ADF428F-EE51-4CF6-8754-BF2F21097FBD}"/>
    <hyperlink ref="B211" r:id="rId171" display="https://centrodecapacitaciondelsur.com/soporte-basico-de-vida-" xr:uid="{B3D5730A-B0F1-421D-95E4-B7FA6C302BDD}"/>
    <hyperlink ref="B212" r:id="rId172" display="https://centrodecapacitaciondelsur.com/soporte-basico-de-vida-" xr:uid="{D3987D52-6896-4C56-A16E-426021E735F9}"/>
    <hyperlink ref="B213" r:id="rId173" display="https://centrodecapacitaciondelsur.com/soporte-basico-de-vida-" xr:uid="{A1DC003D-9625-417B-8C99-C339E2C8404D}"/>
    <hyperlink ref="B214" r:id="rId174" display="https://centrodecapacitaciondelsur.com/soporte-basico-de-vida-" xr:uid="{264FF182-0F1B-45FC-9EF5-E1F0830842BD}"/>
    <hyperlink ref="B215" r:id="rId175" display="https://centrodecapacitaciondelsur.com/soporte-basico-de-vida-" xr:uid="{31DC7FBC-3C2F-4031-86C3-8791976CA1FF}"/>
    <hyperlink ref="B216" r:id="rId176" display="https://centrodecapacitaciondelsur.com/soporte-basico-de-vida-" xr:uid="{1DA459AA-7983-473D-97CE-A7FD19E1D3CC}"/>
    <hyperlink ref="B217" r:id="rId177" display="https://centrodecapacitaciondelsur.com/soporte-basico-de-vida-" xr:uid="{443A046C-0C1E-413A-9F3F-49E0BFDF5CC3}"/>
    <hyperlink ref="B218" r:id="rId178" display="https://centrodecapacitaciondelsur.com/soporte-basico-de-vida-" xr:uid="{28D726AD-BC68-42F7-B8C6-BB01C9F23678}"/>
    <hyperlink ref="B219" r:id="rId179" display="https://centrodecapacitaciondelsur.com/soporte-basico-de-vida-" xr:uid="{676EB4AB-12CC-4FBC-9D2C-D36563E624AB}"/>
    <hyperlink ref="B220" r:id="rId180" display="https://centrodecapacitaciondelsur.com/soporte-basico-de-vida-" xr:uid="{CD435FCA-CBA2-4FF6-94A9-56AE07689D1A}"/>
    <hyperlink ref="B221" r:id="rId181" display="https://centrodecapacitaciondelsur.com/soporte-basico-de-vida-" xr:uid="{05962EA3-FDE3-4181-9D7E-97F6E5D55A9E}"/>
    <hyperlink ref="B222" r:id="rId182" display="https://centrodecapacitaciondelsur.com/soporte-basico-de-vida-" xr:uid="{35943B24-B90D-42EC-9539-A1AA8EF62EF4}"/>
    <hyperlink ref="B223" r:id="rId183" display="https://centrodecapacitaciondelsur.com/soporte-basico-de-vida-" xr:uid="{2E0D713B-C881-4FAE-AEED-F3D7D794358E}"/>
    <hyperlink ref="B224" r:id="rId184" display="https://centrodecapacitaciondelsur.com/soporte-basico-de-vida-" xr:uid="{1F3BEBD6-28BF-40E4-A695-86AEF84F8BB9}"/>
    <hyperlink ref="B225" r:id="rId185" display="https://centrodecapacitaciondelsur.com/soporte-basico-de-vida-" xr:uid="{732EC3D5-EB70-4962-A356-11568C3E13F0}"/>
    <hyperlink ref="B226" r:id="rId186" display="https://centrodecapacitaciondelsur.com/soporte-basico-de-vida-" xr:uid="{F152BD32-A0A4-40D0-AC2F-F8E73A8A1207}"/>
    <hyperlink ref="B227" r:id="rId187" display="https://centrodecapacitaciondelsur.com/soporte-basico-de-vida-" xr:uid="{6FA847DC-5068-4172-AD39-25A225312767}"/>
    <hyperlink ref="B228" r:id="rId188" display="https://centrodecapacitaciondelsur.com/soporte-basico-de-vida-" xr:uid="{2043703F-3A03-40D0-8FC1-C73CDB161574}"/>
    <hyperlink ref="B229" r:id="rId189" display="https://centrodecapacitaciondelsur.com/soporte-basico-de-vida-" xr:uid="{6FCC7028-5BA2-4C77-857A-B3B7167356BB}"/>
    <hyperlink ref="B230" r:id="rId190" display="https://centrodecapacitaciondelsur.com/soporte-basico-de-vida-" xr:uid="{2A959AB2-6672-42DC-A214-B19341D722D5}"/>
    <hyperlink ref="B231" r:id="rId191" display="https://centrodecapacitaciondelsur.com/soporte-basico-de-vida-" xr:uid="{5D31C15F-5519-49A9-8EA0-E113EEE5BC02}"/>
    <hyperlink ref="B232" r:id="rId192" display="https://centrodecapacitaciondelsur.com/soporte-basico-de-vida-" xr:uid="{FEA9BACC-11E7-49B2-8669-4D5FC04A5AA8}"/>
    <hyperlink ref="B233" r:id="rId193" display="https://centrodecapacitaciondelsur.com/soporte-basico-de-vida-" xr:uid="{F04F828A-902C-4888-82F8-A892C515129D}"/>
    <hyperlink ref="B234" r:id="rId194" display="https://centrodecapacitaciondelsur.com/soporte-basico-de-vida-" xr:uid="{864B4212-759C-454A-80E5-6AA9176D5D19}"/>
    <hyperlink ref="B235" r:id="rId195" display="https://centrodecapacitaciondelsur.com/soporte-basico-de-vida-" xr:uid="{45F9DB2D-9FEA-4D8B-AC4F-34E236ABFC83}"/>
    <hyperlink ref="B236" r:id="rId196" display="https://centrodecapacitaciondelsur.com/soporte-basico-de-vida-" xr:uid="{B4BA631A-AB45-4374-A596-B253E9EB1032}"/>
    <hyperlink ref="B237" r:id="rId197" display="https://centrodecapacitaciondelsur.com/soporte-basico-de-vida-" xr:uid="{6AC6C084-C83A-4D6B-8E7A-FB02B0EA07EE}"/>
    <hyperlink ref="B238" r:id="rId198" display="https://centrodecapacitaciondelsur.com/soporte-basico-de-vida-" xr:uid="{710C36EF-43B5-4759-93D9-EA80CBB29B67}"/>
    <hyperlink ref="B239" r:id="rId199" display="https://centrodecapacitaciondelsur.com/soporte-basico-de-vida-" xr:uid="{FD56A8DF-A588-44BA-9E16-DE515D3A1F67}"/>
    <hyperlink ref="B240" r:id="rId200" display="https://centrodecapacitaciondelsur.com/soporte-basico-de-vida-" xr:uid="{7BEB694A-BFDC-44D3-A740-D2E4428DF338}"/>
    <hyperlink ref="B241" r:id="rId201" display="https://centrodecapacitaciondelsur.com/soporte-basico-de-vida-" xr:uid="{51A98011-DC77-46DD-A9E2-B06AD8FBBD12}"/>
    <hyperlink ref="B242" r:id="rId202" display="https://centrodecapacitaciondelsur.com/soporte-basico-de-vida-" xr:uid="{50A8A614-ECE1-46D5-BC2C-353C6BCCB961}"/>
    <hyperlink ref="B243" r:id="rId203" display="https://centrodecapacitaciondelsur.com/soporte-basico-de-vida-" xr:uid="{9694442C-6AC4-46AC-9F01-0E5F35238571}"/>
    <hyperlink ref="B244" r:id="rId204" display="https://centrodecapacitaciondelsur.com/soporte-basico-de-vida-" xr:uid="{7DB4F8AF-A02F-4CB5-8E29-61D4DEFC7E1F}"/>
    <hyperlink ref="B245" r:id="rId205" display="https://centrodecapacitaciondelsur.com/soporte-basico-de-vida-" xr:uid="{D5500E29-1BCB-4192-94FD-351ABE784C22}"/>
    <hyperlink ref="B246" r:id="rId206" display="https://centrodecapacitaciondelsur.com/soporte-basico-de-vida-" xr:uid="{99A8849E-8477-431D-BFCD-BE4992E462E4}"/>
    <hyperlink ref="B247" r:id="rId207" display="https://centrodecapacitaciondelsur.com/soporte-basico-de-vida-" xr:uid="{9F3BE643-1D41-4830-8455-0D551FBF28B2}"/>
    <hyperlink ref="B248" r:id="rId208" display="https://centrodecapacitaciondelsur.com/soporte-basico-de-vida-" xr:uid="{3EAA16AA-9103-4F38-9926-21201BC1451F}"/>
    <hyperlink ref="B249" r:id="rId209" display="https://centrodecapacitaciondelsur.com/soporte-basico-de-vida-" xr:uid="{49DFCBDD-19E3-463F-96A2-96231351A467}"/>
    <hyperlink ref="B250" r:id="rId210" display="https://centrodecapacitaciondelsur.com/soporte-basico-de-vida-" xr:uid="{F9A7694B-5AD5-4986-ABCC-B39C493D4696}"/>
    <hyperlink ref="B251" r:id="rId211" display="https://centrodecapacitaciondelsur.com/soporte-basico-de-vida-" xr:uid="{44E97ABE-3FBF-4CA6-BDFB-40CD65710E63}"/>
    <hyperlink ref="B252" r:id="rId212" display="https://centrodecapacitaciondelsur.com/soporte-basico-de-vida-" xr:uid="{B97315E3-98DB-45F9-8889-5DB577D7E857}"/>
    <hyperlink ref="B253" r:id="rId213" display="https://centrodecapacitaciondelsur.com/soporte-basico-de-vida-" xr:uid="{017E72D8-7093-4B40-9207-3BD42697AF87}"/>
    <hyperlink ref="B254" r:id="rId214" display="https://centrodecapacitaciondelsur.com/soporte-basico-de-vida-" xr:uid="{BA60D591-3A11-49EC-BBFD-A8A0851DE6EC}"/>
    <hyperlink ref="B255" r:id="rId215" display="https://centrodecapacitaciondelsur.com/soporte-basico-de-vida-" xr:uid="{679A47BD-DD38-41E4-ABFC-9410DA47A110}"/>
    <hyperlink ref="B256" r:id="rId216" display="https://centrodecapacitaciondelsur.com/soporte-basico-de-vida-" xr:uid="{BFDF6097-540E-4CF1-A103-6E83535EC1CF}"/>
    <hyperlink ref="B257" r:id="rId217" display="https://centrodecapacitaciondelsur.com/soporte-basico-de-vida-" xr:uid="{E19EACC5-911F-4A9D-BE1F-0F08C7E1AF25}"/>
    <hyperlink ref="B258" r:id="rId218" display="https://centrodecapacitaciondelsur.com/soporte-basico-de-vida-" xr:uid="{E2C6F048-B57B-477C-9C73-04275152A3AA}"/>
    <hyperlink ref="B259" r:id="rId219" display="https://centrodecapacitaciondelsur.com/soporte-basico-de-vida-" xr:uid="{A17F05E3-A946-4369-A737-CA58B4AB9D67}"/>
    <hyperlink ref="B260" r:id="rId220" display="https://centrodecapacitaciondelsur.com/soporte-basico-de-vida-" xr:uid="{EBCBE7CA-4FFD-40DA-A20E-38B150D4A952}"/>
    <hyperlink ref="B261" r:id="rId221" display="https://centrodecapacitaciondelsur.com/soporte-basico-de-vida-" xr:uid="{B34FF66C-6FAB-4D54-B616-2E3EC0776D98}"/>
    <hyperlink ref="B262" r:id="rId222" display="https://centrodecapacitaciondelsur.com/soporte-basico-de-vida-" xr:uid="{96AA87CC-1BBE-40C9-AE90-37CAC875CC2E}"/>
    <hyperlink ref="B263" r:id="rId223" display="https://centrodecapacitaciondelsur.com/soporte-basico-de-vida-" xr:uid="{48BD7296-F87D-475B-9DEA-839B1EF76676}"/>
    <hyperlink ref="B264" r:id="rId224" display="https://centrodecapacitaciondelsur.com/soporte-basico-de-vida-" xr:uid="{8B14B50D-EEEC-4C55-A544-6533C46ED3DB}"/>
    <hyperlink ref="B265" r:id="rId225" display="https://centrodecapacitaciondelsur.com/soporte-basico-de-vida-" xr:uid="{21BF9BB4-B858-449E-884A-5FE2DC421D63}"/>
    <hyperlink ref="B266" r:id="rId226" display="https://centrodecapacitaciondelsur.com/soporte-basico-de-vida-" xr:uid="{5C292267-5B2C-4720-8F5D-DDA86F603BE2}"/>
    <hyperlink ref="B267" r:id="rId227" display="https://centrodecapacitaciondelsur.com/soporte-basico-de-vida-" xr:uid="{598F1D73-F4E8-4C3D-AC16-DCFB849B85C8}"/>
    <hyperlink ref="B268" r:id="rId228" display="https://centrodecapacitaciondelsur.com/soporte-basico-de-vida-" xr:uid="{C732B5DE-AD31-4056-A33C-90FF1735735B}"/>
    <hyperlink ref="B269" r:id="rId229" display="https://centrodecapacitaciondelsur.com/soporte-basico-de-vida-" xr:uid="{78726D76-6D5E-48B1-9202-81DF3FDDF3F2}"/>
    <hyperlink ref="B270" r:id="rId230" display="https://centrodecapacitaciondelsur.com/soporte-basico-de-vida-" xr:uid="{8A275A09-E000-43E5-911B-F463A2E334A8}"/>
    <hyperlink ref="B271" r:id="rId231" display="https://centrodecapacitaciondelsur.com/soporte-basico-de-vida-" xr:uid="{55F9E51F-8D89-440C-9750-96BE006E0D2E}"/>
    <hyperlink ref="B272" r:id="rId232" display="https://centrodecapacitaciondelsur.com/soporte-basico-de-vida-" xr:uid="{7AA9A13F-4F41-490D-A7FB-251032635DF9}"/>
    <hyperlink ref="B273" r:id="rId233" display="https://centrodecapacitaciondelsur.com/soporte-basico-de-vida-" xr:uid="{6A203E71-F14D-4610-82C7-9A7138C90AA2}"/>
    <hyperlink ref="B274" r:id="rId234" display="https://centrodecapacitaciondelsur.com/soporte-basico-de-vida-" xr:uid="{8739DCA0-5B67-4FA9-80AE-3FCEB7F69619}"/>
    <hyperlink ref="B275" r:id="rId235" display="https://centrodecapacitaciondelsur.com/soporte-basico-de-vida-" xr:uid="{D3B06A06-F79F-44DB-AC91-7C8F757A58EA}"/>
    <hyperlink ref="B276" r:id="rId236" display="https://centrodecapacitaciondelsur.com/soporte-basico-de-vida-" xr:uid="{2768BC38-588D-4566-9BA5-D46A2BE38387}"/>
    <hyperlink ref="B277" r:id="rId237" display="https://centrodecapacitaciondelsur.com/soporte-basico-de-vida-" xr:uid="{794C86E4-A06B-43DD-8643-BACACF67B702}"/>
    <hyperlink ref="B278" r:id="rId238" display="https://centrodecapacitaciondelsur.com/soporte-basico-de-vida-" xr:uid="{8E34768D-8565-4824-9932-E18955F3A430}"/>
    <hyperlink ref="B279" r:id="rId239" display="https://centrodecapacitaciondelsur.com/soporte-basico-de-vida-" xr:uid="{C97FAB6B-A796-4370-AD09-87E38CD407C1}"/>
    <hyperlink ref="B280" r:id="rId240" display="https://centrodecapacitaciondelsur.com/soporte-basico-de-vida-" xr:uid="{CB6BD74F-64B0-4682-A18C-29C2671FA5D4}"/>
    <hyperlink ref="B281" r:id="rId241" display="https://centrodecapacitaciondelsur.com/soporte-basico-de-vida-" xr:uid="{64D80F53-0B0A-406C-BD4F-5B66C8155DC7}"/>
    <hyperlink ref="B282" r:id="rId242" display="https://centrodecapacitaciondelsur.com/soporte-basico-de-vida-" xr:uid="{41D66CD8-9E44-4A2B-AF96-033721C67D60}"/>
    <hyperlink ref="B283" r:id="rId243" display="https://centrodecapacitaciondelsur.com/soporte-basico-de-vida-" xr:uid="{84D40114-9F39-458B-B434-DA00825E3A9B}"/>
    <hyperlink ref="B284" r:id="rId244" display="https://centrodecapacitaciondelsur.com/soporte-basico-de-vida-" xr:uid="{55D4F534-9E6B-4ACB-B1F1-19E118F93EF3}"/>
    <hyperlink ref="B285" r:id="rId245" display="https://centrodecapacitaciondelsur.com/soporte-basico-de-vida-" xr:uid="{BAC1C90F-02CC-407F-955F-5C670473B39B}"/>
    <hyperlink ref="B286" r:id="rId246" display="https://centrodecapacitaciondelsur.com/soporte-basico-de-vida-" xr:uid="{016F0365-52D1-43BC-B4B3-EFF1897481B6}"/>
    <hyperlink ref="B287" r:id="rId247" display="https://centrodecapacitaciondelsur.com/soporte-basico-de-vida-" xr:uid="{18B4FD33-757D-423D-9CBF-CA1AB907AA5A}"/>
    <hyperlink ref="B288" r:id="rId248" display="https://centrodecapacitaciondelsur.com/soporte-basico-de-vida-" xr:uid="{29AED84D-5BFD-46D0-BC50-ABB794B89F36}"/>
    <hyperlink ref="B289" r:id="rId249" display="https://centrodecapacitaciondelsur.com/soporte-basico-de-vida-" xr:uid="{2E77B6C8-FC92-40BF-878B-945A7C43385F}"/>
    <hyperlink ref="B290" r:id="rId250" display="https://centrodecapacitaciondelsur.com/soporte-basico-de-vida-" xr:uid="{D195D340-3094-427A-93D8-103EF5DA4CA1}"/>
    <hyperlink ref="B291" r:id="rId251" display="https://centrodecapacitaciondelsur.com/soporte-basico-de-vida-" xr:uid="{B70819B0-1180-4BB2-894C-B930CF67B316}"/>
    <hyperlink ref="B292" r:id="rId252" display="https://centrodecapacitaciondelsur.com/soporte-basico-de-vida-" xr:uid="{E2F71A90-80BF-44C7-AA0E-6A8E60DE65AB}"/>
    <hyperlink ref="B293" r:id="rId253" display="https://centrodecapacitaciondelsur.com/soporte-basico-de-vida-" xr:uid="{A62A0535-2607-4F28-AB81-8CA9F027B99F}"/>
    <hyperlink ref="B294" r:id="rId254" display="https://centrodecapacitaciondelsur.com/soporte-basico-de-vida-" xr:uid="{5A36AAD7-EBA2-4A2F-98F4-4F40B9D29DBC}"/>
    <hyperlink ref="B295" r:id="rId255" display="https://centrodecapacitaciondelsur.com/soporte-basico-de-vida-" xr:uid="{69544344-2D69-47D5-9189-3F9318D4F9A0}"/>
    <hyperlink ref="B296" r:id="rId256" display="https://centrodecapacitaciondelsur.com/soporte-basico-de-vida-" xr:uid="{F54DD36D-FDA1-43D5-8E46-EFE18D1D475B}"/>
    <hyperlink ref="B297" r:id="rId257" display="https://centrodecapacitaciondelsur.com/soporte-basico-de-vida-" xr:uid="{230F31C1-13F7-4A64-B306-CF312AF28E31}"/>
    <hyperlink ref="B298" r:id="rId258" display="https://centrodecapacitaciondelsur.com/soporte-basico-de-vida-" xr:uid="{FAE36266-36D5-4C5F-80D3-2FBA20CA84E4}"/>
    <hyperlink ref="B299" r:id="rId259" display="https://centrodecapacitaciondelsur.com/soporte-basico-de-vida-" xr:uid="{6061DC4D-48FA-4F13-9374-B242708DB415}"/>
    <hyperlink ref="B300" r:id="rId260" display="https://centrodecapacitaciondelsur.com/soporte-basico-de-vida-" xr:uid="{4092D65F-59E8-4B1F-B34C-12ECDD90EE0C}"/>
    <hyperlink ref="B301" r:id="rId261" display="https://centrodecapacitaciondelsur.com/soporte-basico-de-vida-" xr:uid="{6EAF992D-E5C7-4716-910A-73BD5E0D306E}"/>
    <hyperlink ref="B302" r:id="rId262" display="https://centrodecapacitaciondelsur.com/soporte-basico-de-vida-" xr:uid="{2AED05A2-51AB-43E1-A92B-6BCFABA66CD4}"/>
    <hyperlink ref="B303" r:id="rId263" display="https://centrodecapacitaciondelsur.com/soporte-basico-de-vida-" xr:uid="{92539EBE-00A5-4E6D-BA37-32682EE31C82}"/>
    <hyperlink ref="B304" r:id="rId264" display="https://centrodecapacitaciondelsur.com/soporte-basico-de-vida-" xr:uid="{9DC8F8C7-DD4E-4F74-A12A-CEFD6AF76CAB}"/>
    <hyperlink ref="B305" r:id="rId265" display="https://centrodecapacitaciondelsur.com/soporte-basico-de-vida-" xr:uid="{71D030C3-DD8E-4266-9422-65A7352D12B9}"/>
    <hyperlink ref="B306" r:id="rId266" display="https://centrodecapacitaciondelsur.com/soporte-basico-de-vida-" xr:uid="{7F2A071E-FE00-4C24-88C6-42267144FEE4}"/>
    <hyperlink ref="B307" r:id="rId267" display="https://centrodecapacitaciondelsur.com/soporte-basico-de-vida-" xr:uid="{0EA2D639-1CEE-48FA-875D-8D64CA482716}"/>
    <hyperlink ref="B308" r:id="rId268" display="https://centrodecapacitaciondelsur.com/soporte-basico-de-vida-" xr:uid="{821D5C15-9E1B-47DD-B314-8A32E46B7246}"/>
    <hyperlink ref="B309" r:id="rId269" display="https://centrodecapacitaciondelsur.com/soporte-basico-de-vida-" xr:uid="{03B223FC-DD53-47BE-9DCB-A3B122557693}"/>
    <hyperlink ref="B310" r:id="rId270" display="https://centrodecapacitaciondelsur.com/soporte-basico-de-vida-" xr:uid="{B570D68E-64B6-4FCF-A325-4F7C5A8F8146}"/>
    <hyperlink ref="B311" r:id="rId271" display="https://centrodecapacitaciondelsur.com/soporte-basico-de-vida-" xr:uid="{F00FBF23-C069-440A-9DFB-3FE8C4446746}"/>
    <hyperlink ref="B312" r:id="rId272" display="https://centrodecapacitaciondelsur.com/soporte-basico-de-vida-" xr:uid="{C72B7822-E398-4227-9D22-BFEC5147DBFC}"/>
    <hyperlink ref="B313" r:id="rId273" display="https://centrodecapacitaciondelsur.com/soporte-basico-de-vida-" xr:uid="{F1AB0566-B554-4FEA-B933-B6CBA1670CA4}"/>
    <hyperlink ref="B314" r:id="rId274" display="https://centrodecapacitaciondelsur.com/soporte-basico-de-vida-" xr:uid="{AAF0C33C-E468-44AF-8583-5EED062A5977}"/>
    <hyperlink ref="B315" r:id="rId275" display="https://centrodecapacitaciondelsur.com/soporte-basico-de-vida-" xr:uid="{AB6A21B5-80B6-4B42-8B52-AAB3E85CE244}"/>
    <hyperlink ref="B316" r:id="rId276" display="https://centrodecapacitaciondelsur.com/soporte-basico-de-vida-" xr:uid="{8EE3FAA7-3CA6-4DF5-A709-1D205537A0A3}"/>
    <hyperlink ref="B317" r:id="rId277" display="https://centrodecapacitaciondelsur.com/soporte-basico-de-vida-" xr:uid="{A6006CDB-6D3B-4B40-A04B-AEA85C9300BD}"/>
    <hyperlink ref="B318" r:id="rId278" display="https://centrodecapacitaciondelsur.com/soporte-basico-de-vida-" xr:uid="{94BFB337-1CAC-417A-A710-CD9AD045221B}"/>
    <hyperlink ref="B319" r:id="rId279" display="https://centrodecapacitaciondelsur.com/soporte-basico-de-vida-" xr:uid="{7F436B8C-258C-4ABD-B5D9-DDD971D56B19}"/>
    <hyperlink ref="B320" r:id="rId280" display="https://centrodecapacitaciondelsur.com/soporte-basico-de-vida-" xr:uid="{DEE87436-4D4E-4B18-99A8-9D1B9F7E7378}"/>
    <hyperlink ref="B321" r:id="rId281" display="https://centrodecapacitaciondelsur.com/soporte-basico-de-vida-" xr:uid="{61A087E1-A244-4AD5-8C23-CC70E80264A2}"/>
    <hyperlink ref="B322" r:id="rId282" display="https://centrodecapacitaciondelsur.com/soporte-basico-de-vida-" xr:uid="{030BC302-26B7-4B6B-84A5-3FCA0A8AF960}"/>
    <hyperlink ref="B323" r:id="rId283" display="https://centrodecapacitaciondelsur.com/soporte-basico-de-vida-" xr:uid="{FF552269-FF1D-45C3-851E-7473963236D2}"/>
    <hyperlink ref="B324" r:id="rId284" display="https://centrodecapacitaciondelsur.com/soporte-basico-de-vida-" xr:uid="{DD638BB2-81BC-46C4-8A14-33B88FD667BF}"/>
    <hyperlink ref="B325" r:id="rId285" display="https://centrodecapacitaciondelsur.com/soporte-basico-de-vida-" xr:uid="{D10B01C5-7B35-424F-A8A8-23CD36B911C9}"/>
    <hyperlink ref="B326" r:id="rId286" display="https://centrodecapacitaciondelsur.com/soporte-basico-de-vida-" xr:uid="{08239BB0-BA8B-4A26-8E9F-F042F84B6E63}"/>
    <hyperlink ref="B327" r:id="rId287" display="https://centrodecapacitaciondelsur.com/soporte-basico-de-vida-" xr:uid="{1D306DCC-AE76-4952-B00F-53A7AEFC6685}"/>
    <hyperlink ref="B328" r:id="rId288" display="https://centrodecapacitaciondelsur.com/soporte-basico-de-vida-" xr:uid="{1FADF8E4-7471-4EC3-81CC-7CE1AC34F703}"/>
    <hyperlink ref="B329" r:id="rId289" display="https://centrodecapacitaciondelsur.com/soporte-basico-de-vida-" xr:uid="{28F9394B-CB66-420C-9A73-25DB2F31C20D}"/>
    <hyperlink ref="B330" r:id="rId290" display="https://centrodecapacitaciondelsur.com/soporte-basico-de-vida-" xr:uid="{937ACF1A-BC08-470D-BFCC-B7211B97DF62}"/>
    <hyperlink ref="B331" r:id="rId291" display="https://centrodecapacitaciondelsur.com/soporte-basico-de-vida-" xr:uid="{C3ADA97C-DDEF-4210-ADB8-CFFD35A5C1DD}"/>
    <hyperlink ref="B332" r:id="rId292" display="https://centrodecapacitaciondelsur.com/soporte-basico-de-vida-" xr:uid="{4035B7D1-AAFE-4D19-B09C-01CDC33C8D01}"/>
    <hyperlink ref="B333" r:id="rId293" display="https://centrodecapacitaciondelsur.com/soporte-basico-de-vida-" xr:uid="{61D79334-24DC-4B22-A6B5-44427479686C}"/>
    <hyperlink ref="B334" r:id="rId294" display="https://centrodecapacitaciondelsur.com/soporte-basico-de-vida-" xr:uid="{DFA52EE2-9682-474F-96F7-2C5C355D655A}"/>
    <hyperlink ref="B335" r:id="rId295" display="https://centrodecapacitaciondelsur.com/soporte-basico-de-vida-" xr:uid="{5B2E9CC2-957B-4527-AC3A-9BA5C6906F8C}"/>
    <hyperlink ref="B336" r:id="rId296" display="https://centrodecapacitaciondelsur.com/soporte-basico-de-vida-" xr:uid="{DC743A61-25D1-4102-847E-89D939FA9289}"/>
    <hyperlink ref="B337" r:id="rId297" display="https://centrodecapacitaciondelsur.com/soporte-basico-de-vida-" xr:uid="{9951713E-098A-46BF-AC36-508524457843}"/>
    <hyperlink ref="B338" r:id="rId298" display="https://centrodecapacitaciondelsur.com/soporte-basico-de-vida-" xr:uid="{DE9362EF-D4D3-44E2-9DB8-2E1B442A8D9A}"/>
    <hyperlink ref="B339" r:id="rId299" display="https://centrodecapacitaciondelsur.com/soporte-basico-de-vida-" xr:uid="{0A056176-38C9-4E36-9739-E0317A38FADC}"/>
    <hyperlink ref="B340" r:id="rId300" display="https://centrodecapacitaciondelsur.com/soporte-basico-de-vida-" xr:uid="{EF7FB067-172D-481E-BB97-7458C6CBCCE4}"/>
    <hyperlink ref="B341" r:id="rId301" display="https://centrodecapacitaciondelsur.com/soporte-basico-de-vida-" xr:uid="{87C388CC-99A6-4C4C-8E8D-88CB13ACC4EF}"/>
    <hyperlink ref="B342" r:id="rId302" display="https://centrodecapacitaciondelsur.com/soporte-basico-de-vida-" xr:uid="{52939F2B-3CD0-4009-80FA-F5EC6FA5959D}"/>
    <hyperlink ref="B343" r:id="rId303" display="https://centrodecapacitaciondelsur.com/soporte-basico-de-vida-" xr:uid="{5FE930BE-7C46-4D80-9F1A-D84B5BF01E1D}"/>
    <hyperlink ref="B344" r:id="rId304" display="https://centrodecapacitaciondelsur.com/soporte-basico-de-vida-" xr:uid="{B1E44CB4-D89A-466D-ACDC-38BABD742BD0}"/>
    <hyperlink ref="B345" r:id="rId305" display="https://centrodecapacitaciondelsur.com/soporte-basico-de-vida-" xr:uid="{A69E6880-08B1-4F15-9707-4524E316C713}"/>
    <hyperlink ref="B346" r:id="rId306" display="https://centrodecapacitaciondelsur.com/soporte-basico-de-vida-" xr:uid="{8E89DAA1-C4F3-4456-8F09-66E361438FEA}"/>
    <hyperlink ref="B347" r:id="rId307" display="https://centrodecapacitaciondelsur.com/soporte-basico-de-vida-" xr:uid="{E9079478-B1AA-47F5-B8D8-EF7AFBDA09B5}"/>
    <hyperlink ref="B348" r:id="rId308" display="https://centrodecapacitaciondelsur.com/soporte-basico-de-vida-" xr:uid="{CF7F2DDD-0577-4A0A-ADFD-116BC1CFE823}"/>
    <hyperlink ref="B349" r:id="rId309" display="https://centrodecapacitaciondelsur.com/soporte-basico-de-vida-" xr:uid="{65A91302-4215-47D9-98D2-83639FA67727}"/>
    <hyperlink ref="B350" r:id="rId310" display="https://centrodecapacitaciondelsur.com/soporte-basico-de-vida-" xr:uid="{F00FD261-382F-488A-909E-483FB783FE03}"/>
    <hyperlink ref="B351" r:id="rId311" display="https://centrodecapacitaciondelsur.com/soporte-basico-de-vida-" xr:uid="{912F5831-7222-4A54-A01C-16777E14E993}"/>
    <hyperlink ref="B352" r:id="rId312" display="https://centrodecapacitaciondelsur.com/soporte-basico-de-vida-" xr:uid="{8E43DC5E-4FB9-43F7-8871-817D241C0F14}"/>
    <hyperlink ref="B353" r:id="rId313" display="https://centrodecapacitaciondelsur.com/soporte-basico-de-vida-" xr:uid="{782E2566-6D74-44F0-A737-A2BAA063658A}"/>
    <hyperlink ref="B354" r:id="rId314" display="https://centrodecapacitaciondelsur.com/soporte-basico-de-vida-" xr:uid="{1786534F-7A09-4A78-9A24-67C896C8FA40}"/>
    <hyperlink ref="B355" r:id="rId315" display="https://centrodecapacitaciondelsur.com/soporte-basico-de-vida-" xr:uid="{07957500-9C00-44DF-B5E0-1B20626689D0}"/>
  </hyperlinks>
  <pageMargins left="0.7" right="0.7" top="0.75" bottom="0.75" header="0.3" footer="0.3"/>
  <pageSetup orientation="portrait" r:id="rId316"/>
  <drawing r:id="rId31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INSCRITOS</vt:lpstr>
      <vt:lpstr>CURSOS</vt:lpstr>
      <vt:lpstr>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Hugo Cabrera</cp:lastModifiedBy>
  <cp:lastPrinted>2023-10-09T20:56:18Z</cp:lastPrinted>
  <dcterms:created xsi:type="dcterms:W3CDTF">2023-09-02T16:45:54Z</dcterms:created>
  <dcterms:modified xsi:type="dcterms:W3CDTF">2025-04-02T04:09:38Z</dcterms:modified>
</cp:coreProperties>
</file>