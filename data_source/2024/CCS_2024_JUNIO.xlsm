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go\Downloads\"/>
    </mc:Choice>
  </mc:AlternateContent>
  <xr:revisionPtr revIDLastSave="0" documentId="13_ncr:1_{E91378F7-74EE-4F55-933E-569C7EC6ACAB}" xr6:coauthVersionLast="47" xr6:coauthVersionMax="47" xr10:uidLastSave="{00000000-0000-0000-0000-000000000000}"/>
  <bookViews>
    <workbookView xWindow="-120" yWindow="-120" windowWidth="29040" windowHeight="15720" tabRatio="574" xr2:uid="{00000000-000D-0000-FFFF-FFFF00000000}"/>
  </bookViews>
  <sheets>
    <sheet name="INSCRITOS" sheetId="1" r:id="rId1"/>
    <sheet name="CURSOS" sheetId="2" r:id="rId2"/>
    <sheet name="LINK" sheetId="7" r:id="rId3"/>
  </sheets>
  <definedNames>
    <definedName name="_xlnm._FilterDatabase" localSheetId="0" hidden="1">INSCRITOS!$A$1:$W$334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58" i="1" l="1"/>
  <c r="T138" i="1" l="1"/>
  <c r="U138" i="1"/>
  <c r="V138" i="1" s="1"/>
  <c r="T139" i="1"/>
  <c r="U139" i="1"/>
  <c r="V139" i="1" s="1"/>
  <c r="T140" i="1"/>
  <c r="U140" i="1"/>
  <c r="V140" i="1" s="1"/>
  <c r="T141" i="1"/>
  <c r="U141" i="1"/>
  <c r="V141" i="1" s="1"/>
  <c r="T142" i="1"/>
  <c r="U142" i="1"/>
  <c r="V142" i="1" s="1"/>
  <c r="T143" i="1"/>
  <c r="U143" i="1"/>
  <c r="V143" i="1" s="1"/>
  <c r="T144" i="1"/>
  <c r="U144" i="1"/>
  <c r="V144" i="1" s="1"/>
  <c r="T145" i="1"/>
  <c r="U145" i="1"/>
  <c r="V145" i="1" s="1"/>
  <c r="T146" i="1"/>
  <c r="U146" i="1"/>
  <c r="V146" i="1" s="1"/>
  <c r="T147" i="1"/>
  <c r="U147" i="1"/>
  <c r="V147" i="1" s="1"/>
  <c r="T135" i="1"/>
  <c r="U135" i="1"/>
  <c r="V135" i="1" s="1"/>
  <c r="T136" i="1"/>
  <c r="U136" i="1"/>
  <c r="V136" i="1" s="1"/>
  <c r="T137" i="1"/>
  <c r="U137" i="1"/>
  <c r="V137" i="1" s="1"/>
  <c r="T3" i="1"/>
  <c r="U3" i="1"/>
  <c r="V3" i="1" s="1"/>
  <c r="T4" i="1"/>
  <c r="U4" i="1"/>
  <c r="V4" i="1" s="1"/>
  <c r="T5" i="1"/>
  <c r="U5" i="1"/>
  <c r="V5" i="1" s="1"/>
  <c r="T6" i="1"/>
  <c r="U6" i="1"/>
  <c r="V6" i="1" s="1"/>
  <c r="T7" i="1"/>
  <c r="U7" i="1"/>
  <c r="V7" i="1" s="1"/>
  <c r="T8" i="1"/>
  <c r="U8" i="1"/>
  <c r="V8" i="1" s="1"/>
  <c r="T9" i="1"/>
  <c r="U9" i="1"/>
  <c r="V9" i="1" s="1"/>
  <c r="T10" i="1"/>
  <c r="U10" i="1"/>
  <c r="V10" i="1" s="1"/>
  <c r="T11" i="1"/>
  <c r="U11" i="1"/>
  <c r="V11" i="1" s="1"/>
  <c r="T12" i="1"/>
  <c r="U12" i="1"/>
  <c r="V12" i="1" s="1"/>
  <c r="T13" i="1"/>
  <c r="U13" i="1"/>
  <c r="V13" i="1" s="1"/>
  <c r="T14" i="1"/>
  <c r="U14" i="1"/>
  <c r="V14" i="1" s="1"/>
  <c r="T15" i="1"/>
  <c r="U15" i="1"/>
  <c r="V15" i="1" s="1"/>
  <c r="T16" i="1"/>
  <c r="U16" i="1"/>
  <c r="V16" i="1" s="1"/>
  <c r="T17" i="1"/>
  <c r="U17" i="1"/>
  <c r="V17" i="1" s="1"/>
  <c r="T18" i="1"/>
  <c r="U18" i="1"/>
  <c r="V18" i="1" s="1"/>
  <c r="T19" i="1"/>
  <c r="U19" i="1"/>
  <c r="V19" i="1" s="1"/>
  <c r="T20" i="1"/>
  <c r="U20" i="1"/>
  <c r="V20" i="1" s="1"/>
  <c r="T21" i="1"/>
  <c r="U21" i="1"/>
  <c r="V21" i="1" s="1"/>
  <c r="T22" i="1"/>
  <c r="U22" i="1"/>
  <c r="V22" i="1" s="1"/>
  <c r="T23" i="1"/>
  <c r="U23" i="1"/>
  <c r="V23" i="1" s="1"/>
  <c r="T24" i="1"/>
  <c r="U24" i="1"/>
  <c r="V24" i="1" s="1"/>
  <c r="T25" i="1"/>
  <c r="U25" i="1"/>
  <c r="V25" i="1" s="1"/>
  <c r="T26" i="1"/>
  <c r="U26" i="1"/>
  <c r="V26" i="1" s="1"/>
  <c r="T27" i="1"/>
  <c r="U27" i="1"/>
  <c r="V27" i="1" s="1"/>
  <c r="T28" i="1"/>
  <c r="U28" i="1"/>
  <c r="V28" i="1" s="1"/>
  <c r="T29" i="1"/>
  <c r="U29" i="1"/>
  <c r="V29" i="1" s="1"/>
  <c r="T30" i="1"/>
  <c r="U30" i="1"/>
  <c r="V30" i="1" s="1"/>
  <c r="T31" i="1"/>
  <c r="U31" i="1"/>
  <c r="V31" i="1" s="1"/>
  <c r="T32" i="1"/>
  <c r="U32" i="1"/>
  <c r="V32" i="1" s="1"/>
  <c r="T33" i="1"/>
  <c r="U33" i="1"/>
  <c r="V33" i="1" s="1"/>
  <c r="T34" i="1"/>
  <c r="U34" i="1"/>
  <c r="V34" i="1" s="1"/>
  <c r="T35" i="1"/>
  <c r="U35" i="1"/>
  <c r="V35" i="1" s="1"/>
  <c r="T36" i="1"/>
  <c r="U36" i="1"/>
  <c r="V36" i="1" s="1"/>
  <c r="T37" i="1"/>
  <c r="U37" i="1"/>
  <c r="V37" i="1" s="1"/>
  <c r="T38" i="1"/>
  <c r="U38" i="1"/>
  <c r="V38" i="1" s="1"/>
  <c r="T39" i="1"/>
  <c r="U39" i="1"/>
  <c r="V39" i="1" s="1"/>
  <c r="T40" i="1"/>
  <c r="U40" i="1"/>
  <c r="V40" i="1" s="1"/>
  <c r="T41" i="1"/>
  <c r="U41" i="1"/>
  <c r="V41" i="1" s="1"/>
  <c r="T42" i="1"/>
  <c r="U42" i="1"/>
  <c r="V42" i="1" s="1"/>
  <c r="T43" i="1"/>
  <c r="U43" i="1"/>
  <c r="V43" i="1" s="1"/>
  <c r="T44" i="1"/>
  <c r="U44" i="1"/>
  <c r="V44" i="1" s="1"/>
  <c r="T45" i="1"/>
  <c r="U45" i="1"/>
  <c r="V45" i="1" s="1"/>
  <c r="T46" i="1"/>
  <c r="U46" i="1"/>
  <c r="V46" i="1" s="1"/>
  <c r="T47" i="1"/>
  <c r="U47" i="1"/>
  <c r="V47" i="1" s="1"/>
  <c r="T48" i="1"/>
  <c r="U48" i="1"/>
  <c r="V48" i="1" s="1"/>
  <c r="T49" i="1"/>
  <c r="U49" i="1"/>
  <c r="V49" i="1" s="1"/>
  <c r="T50" i="1"/>
  <c r="U50" i="1"/>
  <c r="V50" i="1" s="1"/>
  <c r="T51" i="1"/>
  <c r="U51" i="1"/>
  <c r="V51" i="1" s="1"/>
  <c r="T52" i="1"/>
  <c r="U52" i="1"/>
  <c r="V52" i="1" s="1"/>
  <c r="T53" i="1"/>
  <c r="U53" i="1"/>
  <c r="V53" i="1" s="1"/>
  <c r="T54" i="1"/>
  <c r="U54" i="1"/>
  <c r="V54" i="1" s="1"/>
  <c r="T55" i="1"/>
  <c r="U55" i="1"/>
  <c r="V55" i="1" s="1"/>
  <c r="T56" i="1"/>
  <c r="U56" i="1"/>
  <c r="V56" i="1" s="1"/>
  <c r="T57" i="1"/>
  <c r="U57" i="1"/>
  <c r="V57" i="1" s="1"/>
  <c r="U58" i="1"/>
  <c r="V58" i="1" s="1"/>
  <c r="T59" i="1"/>
  <c r="U59" i="1"/>
  <c r="V59" i="1" s="1"/>
  <c r="T60" i="1"/>
  <c r="U60" i="1"/>
  <c r="V60" i="1" s="1"/>
  <c r="T61" i="1"/>
  <c r="U61" i="1"/>
  <c r="V61" i="1" s="1"/>
  <c r="T62" i="1"/>
  <c r="U62" i="1"/>
  <c r="V62" i="1" s="1"/>
  <c r="T63" i="1"/>
  <c r="U63" i="1"/>
  <c r="V63" i="1" s="1"/>
  <c r="T64" i="1"/>
  <c r="U64" i="1"/>
  <c r="V64" i="1" s="1"/>
  <c r="T65" i="1"/>
  <c r="U65" i="1"/>
  <c r="V65" i="1" s="1"/>
  <c r="T66" i="1"/>
  <c r="U66" i="1"/>
  <c r="V66" i="1" s="1"/>
  <c r="T67" i="1"/>
  <c r="U67" i="1"/>
  <c r="V67" i="1" s="1"/>
  <c r="T68" i="1"/>
  <c r="U68" i="1"/>
  <c r="V68" i="1" s="1"/>
  <c r="T69" i="1"/>
  <c r="U69" i="1"/>
  <c r="V69" i="1" s="1"/>
  <c r="T70" i="1"/>
  <c r="U70" i="1"/>
  <c r="V70" i="1" s="1"/>
  <c r="T71" i="1"/>
  <c r="U71" i="1"/>
  <c r="V71" i="1" s="1"/>
  <c r="T72" i="1"/>
  <c r="U72" i="1"/>
  <c r="V72" i="1" s="1"/>
  <c r="T73" i="1"/>
  <c r="U73" i="1"/>
  <c r="V73" i="1" s="1"/>
  <c r="T74" i="1"/>
  <c r="U74" i="1"/>
  <c r="V74" i="1" s="1"/>
  <c r="T75" i="1"/>
  <c r="U75" i="1"/>
  <c r="V75" i="1" s="1"/>
  <c r="T76" i="1"/>
  <c r="U76" i="1"/>
  <c r="V76" i="1" s="1"/>
  <c r="T77" i="1"/>
  <c r="U77" i="1"/>
  <c r="V77" i="1" s="1"/>
  <c r="T78" i="1"/>
  <c r="U78" i="1"/>
  <c r="V78" i="1" s="1"/>
  <c r="T79" i="1"/>
  <c r="U79" i="1"/>
  <c r="V79" i="1" s="1"/>
  <c r="T80" i="1"/>
  <c r="U80" i="1"/>
  <c r="V80" i="1" s="1"/>
  <c r="T81" i="1"/>
  <c r="U81" i="1"/>
  <c r="V81" i="1" s="1"/>
  <c r="T82" i="1"/>
  <c r="U82" i="1"/>
  <c r="V82" i="1" s="1"/>
  <c r="T83" i="1"/>
  <c r="U83" i="1"/>
  <c r="V83" i="1" s="1"/>
  <c r="T84" i="1"/>
  <c r="U84" i="1"/>
  <c r="V84" i="1" s="1"/>
  <c r="T85" i="1"/>
  <c r="U85" i="1"/>
  <c r="V85" i="1" s="1"/>
  <c r="T86" i="1"/>
  <c r="U86" i="1"/>
  <c r="V86" i="1" s="1"/>
  <c r="T87" i="1"/>
  <c r="U87" i="1"/>
  <c r="V87" i="1" s="1"/>
  <c r="T88" i="1"/>
  <c r="U88" i="1"/>
  <c r="V88" i="1" s="1"/>
  <c r="T89" i="1"/>
  <c r="U89" i="1"/>
  <c r="V89" i="1" s="1"/>
  <c r="T90" i="1"/>
  <c r="U90" i="1"/>
  <c r="V90" i="1" s="1"/>
  <c r="T91" i="1"/>
  <c r="U91" i="1"/>
  <c r="V91" i="1" s="1"/>
  <c r="T92" i="1"/>
  <c r="U92" i="1"/>
  <c r="V92" i="1" s="1"/>
  <c r="T93" i="1"/>
  <c r="U93" i="1"/>
  <c r="V93" i="1" s="1"/>
  <c r="T94" i="1"/>
  <c r="U94" i="1"/>
  <c r="V94" i="1" s="1"/>
  <c r="T95" i="1"/>
  <c r="U95" i="1"/>
  <c r="V95" i="1" s="1"/>
  <c r="T96" i="1"/>
  <c r="U96" i="1"/>
  <c r="V96" i="1" s="1"/>
  <c r="T97" i="1"/>
  <c r="U97" i="1"/>
  <c r="V97" i="1" s="1"/>
  <c r="T98" i="1"/>
  <c r="U98" i="1"/>
  <c r="V98" i="1" s="1"/>
  <c r="T99" i="1"/>
  <c r="U99" i="1"/>
  <c r="V99" i="1" s="1"/>
  <c r="T100" i="1"/>
  <c r="U100" i="1"/>
  <c r="V100" i="1" s="1"/>
  <c r="T101" i="1"/>
  <c r="U101" i="1"/>
  <c r="V101" i="1" s="1"/>
  <c r="T102" i="1"/>
  <c r="U102" i="1"/>
  <c r="V102" i="1" s="1"/>
  <c r="T103" i="1"/>
  <c r="U103" i="1"/>
  <c r="V103" i="1" s="1"/>
  <c r="T104" i="1"/>
  <c r="U104" i="1"/>
  <c r="V104" i="1" s="1"/>
  <c r="T105" i="1"/>
  <c r="U105" i="1"/>
  <c r="V105" i="1" s="1"/>
  <c r="T106" i="1"/>
  <c r="U106" i="1"/>
  <c r="V106" i="1" s="1"/>
  <c r="T107" i="1"/>
  <c r="U107" i="1"/>
  <c r="V107" i="1" s="1"/>
  <c r="T108" i="1"/>
  <c r="U108" i="1"/>
  <c r="V108" i="1" s="1"/>
  <c r="T109" i="1"/>
  <c r="U109" i="1"/>
  <c r="V109" i="1" s="1"/>
  <c r="T110" i="1"/>
  <c r="U110" i="1"/>
  <c r="V110" i="1" s="1"/>
  <c r="T111" i="1"/>
  <c r="U111" i="1"/>
  <c r="V111" i="1" s="1"/>
  <c r="T112" i="1"/>
  <c r="U112" i="1"/>
  <c r="V112" i="1" s="1"/>
  <c r="T113" i="1"/>
  <c r="U113" i="1"/>
  <c r="V113" i="1" s="1"/>
  <c r="T114" i="1"/>
  <c r="U114" i="1"/>
  <c r="V114" i="1" s="1"/>
  <c r="T115" i="1"/>
  <c r="U115" i="1"/>
  <c r="V115" i="1" s="1"/>
  <c r="T116" i="1"/>
  <c r="U116" i="1"/>
  <c r="V116" i="1" s="1"/>
  <c r="T117" i="1"/>
  <c r="U117" i="1"/>
  <c r="V117" i="1" s="1"/>
  <c r="T118" i="1"/>
  <c r="U118" i="1"/>
  <c r="V118" i="1" s="1"/>
  <c r="T119" i="1"/>
  <c r="U119" i="1"/>
  <c r="V119" i="1" s="1"/>
  <c r="T120" i="1"/>
  <c r="U120" i="1"/>
  <c r="V120" i="1" s="1"/>
  <c r="T121" i="1"/>
  <c r="U121" i="1"/>
  <c r="V121" i="1" s="1"/>
  <c r="T122" i="1"/>
  <c r="U122" i="1"/>
  <c r="V122" i="1" s="1"/>
  <c r="T123" i="1"/>
  <c r="U123" i="1"/>
  <c r="V123" i="1" s="1"/>
  <c r="T124" i="1"/>
  <c r="U124" i="1"/>
  <c r="V124" i="1" s="1"/>
  <c r="T125" i="1"/>
  <c r="U125" i="1"/>
  <c r="V125" i="1" s="1"/>
  <c r="T126" i="1"/>
  <c r="U126" i="1"/>
  <c r="V126" i="1" s="1"/>
  <c r="T127" i="1"/>
  <c r="U127" i="1"/>
  <c r="V127" i="1" s="1"/>
  <c r="T128" i="1"/>
  <c r="U128" i="1"/>
  <c r="V128" i="1" s="1"/>
  <c r="T129" i="1"/>
  <c r="U129" i="1"/>
  <c r="V129" i="1" s="1"/>
  <c r="T130" i="1"/>
  <c r="U130" i="1"/>
  <c r="V130" i="1" s="1"/>
  <c r="T131" i="1"/>
  <c r="U131" i="1"/>
  <c r="V131" i="1" s="1"/>
  <c r="T132" i="1"/>
  <c r="U132" i="1"/>
  <c r="V132" i="1" s="1"/>
  <c r="T133" i="1"/>
  <c r="U133" i="1"/>
  <c r="V133" i="1" s="1"/>
  <c r="T134" i="1"/>
  <c r="U134" i="1"/>
  <c r="V134" i="1" s="1"/>
  <c r="U148" i="1"/>
  <c r="V148" i="1" s="1"/>
  <c r="U149" i="1"/>
  <c r="V149" i="1" s="1"/>
  <c r="U150" i="1"/>
  <c r="W150" i="1" s="1"/>
  <c r="U151" i="1"/>
  <c r="V151" i="1" s="1"/>
  <c r="U152" i="1"/>
  <c r="W152" i="1" s="1"/>
  <c r="U153" i="1"/>
  <c r="V153" i="1" s="1"/>
  <c r="U154" i="1"/>
  <c r="W154" i="1" s="1"/>
  <c r="U155" i="1"/>
  <c r="V155" i="1" s="1"/>
  <c r="U156" i="1"/>
  <c r="V156" i="1" s="1"/>
  <c r="U157" i="1"/>
  <c r="V157" i="1" s="1"/>
  <c r="U158" i="1"/>
  <c r="W158" i="1" s="1"/>
  <c r="U159" i="1"/>
  <c r="V159" i="1" s="1"/>
  <c r="U160" i="1"/>
  <c r="V160" i="1" s="1"/>
  <c r="U161" i="1"/>
  <c r="V161" i="1" s="1"/>
  <c r="U162" i="1"/>
  <c r="W162" i="1" s="1"/>
  <c r="U163" i="1"/>
  <c r="W163" i="1" s="1"/>
  <c r="U164" i="1"/>
  <c r="V164" i="1" s="1"/>
  <c r="U165" i="1"/>
  <c r="V165" i="1" s="1"/>
  <c r="U166" i="1"/>
  <c r="W166" i="1" s="1"/>
  <c r="U167" i="1"/>
  <c r="V167" i="1" s="1"/>
  <c r="U168" i="1"/>
  <c r="W168" i="1" s="1"/>
  <c r="U169" i="1"/>
  <c r="V169" i="1" s="1"/>
  <c r="U170" i="1"/>
  <c r="W170" i="1" s="1"/>
  <c r="U171" i="1"/>
  <c r="V171" i="1" s="1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T2" i="1"/>
  <c r="C33" i="7"/>
  <c r="W136" i="1" l="1"/>
  <c r="W140" i="1"/>
  <c r="W138" i="1"/>
  <c r="W137" i="1"/>
  <c r="W146" i="1"/>
  <c r="W39" i="1"/>
  <c r="W144" i="1"/>
  <c r="W135" i="1"/>
  <c r="W145" i="1"/>
  <c r="W142" i="1"/>
  <c r="W141" i="1"/>
  <c r="W7" i="1"/>
  <c r="W147" i="1"/>
  <c r="W143" i="1"/>
  <c r="W139" i="1"/>
  <c r="W71" i="1"/>
  <c r="W171" i="1"/>
  <c r="V168" i="1"/>
  <c r="W75" i="1"/>
  <c r="W11" i="1"/>
  <c r="W167" i="1"/>
  <c r="W156" i="1"/>
  <c r="W43" i="1"/>
  <c r="W151" i="1"/>
  <c r="W59" i="1"/>
  <c r="W27" i="1"/>
  <c r="V152" i="1"/>
  <c r="W87" i="1"/>
  <c r="W55" i="1"/>
  <c r="W23" i="1"/>
  <c r="W160" i="1"/>
  <c r="W155" i="1"/>
  <c r="W83" i="1"/>
  <c r="W67" i="1"/>
  <c r="W51" i="1"/>
  <c r="W35" i="1"/>
  <c r="W19" i="1"/>
  <c r="W5" i="1"/>
  <c r="V170" i="1"/>
  <c r="V162" i="1"/>
  <c r="W79" i="1"/>
  <c r="W63" i="1"/>
  <c r="W47" i="1"/>
  <c r="W31" i="1"/>
  <c r="W15" i="1"/>
  <c r="W3" i="1"/>
  <c r="V163" i="1"/>
  <c r="V154" i="1"/>
  <c r="W164" i="1"/>
  <c r="W159" i="1"/>
  <c r="W148" i="1"/>
  <c r="V166" i="1"/>
  <c r="V150" i="1"/>
  <c r="W86" i="1"/>
  <c r="W78" i="1"/>
  <c r="W70" i="1"/>
  <c r="W62" i="1"/>
  <c r="W54" i="1"/>
  <c r="W46" i="1"/>
  <c r="W38" i="1"/>
  <c r="W30" i="1"/>
  <c r="W22" i="1"/>
  <c r="W14" i="1"/>
  <c r="W6" i="1"/>
  <c r="V158" i="1"/>
  <c r="W82" i="1"/>
  <c r="W74" i="1"/>
  <c r="W66" i="1"/>
  <c r="W58" i="1"/>
  <c r="W50" i="1"/>
  <c r="W42" i="1"/>
  <c r="W34" i="1"/>
  <c r="W26" i="1"/>
  <c r="W18" i="1"/>
  <c r="W10" i="1"/>
  <c r="W4" i="1"/>
  <c r="W133" i="1"/>
  <c r="W132" i="1"/>
  <c r="W129" i="1"/>
  <c r="W127" i="1"/>
  <c r="W125" i="1"/>
  <c r="W123" i="1"/>
  <c r="W121" i="1"/>
  <c r="W119" i="1"/>
  <c r="W117" i="1"/>
  <c r="W115" i="1"/>
  <c r="W113" i="1"/>
  <c r="W112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134" i="1"/>
  <c r="W131" i="1"/>
  <c r="W130" i="1"/>
  <c r="W128" i="1"/>
  <c r="W126" i="1"/>
  <c r="W124" i="1"/>
  <c r="W122" i="1"/>
  <c r="W120" i="1"/>
  <c r="W118" i="1"/>
  <c r="W116" i="1"/>
  <c r="W114" i="1"/>
  <c r="W111" i="1"/>
  <c r="W84" i="1"/>
  <c r="W80" i="1"/>
  <c r="W76" i="1"/>
  <c r="W72" i="1"/>
  <c r="W68" i="1"/>
  <c r="W64" i="1"/>
  <c r="W60" i="1"/>
  <c r="W56" i="1"/>
  <c r="W52" i="1"/>
  <c r="W48" i="1"/>
  <c r="W44" i="1"/>
  <c r="W40" i="1"/>
  <c r="W36" i="1"/>
  <c r="W32" i="1"/>
  <c r="W28" i="1"/>
  <c r="W24" i="1"/>
  <c r="W20" i="1"/>
  <c r="W16" i="1"/>
  <c r="W12" i="1"/>
  <c r="W8" i="1"/>
  <c r="W85" i="1"/>
  <c r="W81" i="1"/>
  <c r="W77" i="1"/>
  <c r="W73" i="1"/>
  <c r="W69" i="1"/>
  <c r="W65" i="1"/>
  <c r="W61" i="1"/>
  <c r="W57" i="1"/>
  <c r="W53" i="1"/>
  <c r="W49" i="1"/>
  <c r="W45" i="1"/>
  <c r="W41" i="1"/>
  <c r="W37" i="1"/>
  <c r="W33" i="1"/>
  <c r="W29" i="1"/>
  <c r="W25" i="1"/>
  <c r="W21" i="1"/>
  <c r="W17" i="1"/>
  <c r="W13" i="1"/>
  <c r="W9" i="1"/>
  <c r="W157" i="1"/>
  <c r="W153" i="1"/>
  <c r="W149" i="1"/>
  <c r="W169" i="1"/>
  <c r="W165" i="1"/>
  <c r="W161" i="1"/>
  <c r="B40" i="7" l="1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2" i="7"/>
  <c r="B143" i="7"/>
  <c r="B144" i="7"/>
  <c r="B145" i="7"/>
  <c r="B146" i="7"/>
  <c r="B147" i="7"/>
  <c r="B148" i="7"/>
  <c r="B149" i="7"/>
  <c r="B150" i="7"/>
  <c r="B151" i="7"/>
  <c r="B152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8" i="7"/>
  <c r="B199" i="7"/>
  <c r="B200" i="7"/>
  <c r="B202" i="7"/>
  <c r="B203" i="7"/>
  <c r="B204" i="7"/>
  <c r="B205" i="7"/>
  <c r="B206" i="7"/>
  <c r="B207" i="7"/>
  <c r="B208" i="7"/>
  <c r="B210" i="7"/>
  <c r="B211" i="7"/>
  <c r="B212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8" i="7"/>
  <c r="B229" i="7"/>
  <c r="B230" i="7"/>
  <c r="B231" i="7"/>
  <c r="B232" i="7"/>
  <c r="B233" i="7"/>
  <c r="B235" i="7"/>
  <c r="B236" i="7"/>
  <c r="B237" i="7"/>
  <c r="B238" i="7"/>
  <c r="B239" i="7"/>
  <c r="B240" i="7"/>
  <c r="B241" i="7"/>
  <c r="B242" i="7"/>
  <c r="B244" i="7"/>
  <c r="B245" i="7"/>
  <c r="B34" i="7"/>
  <c r="B35" i="7"/>
  <c r="B37" i="7"/>
  <c r="B38" i="7"/>
  <c r="B39" i="7"/>
  <c r="B234" i="7" l="1"/>
  <c r="D234" i="7" s="1"/>
  <c r="B197" i="7"/>
  <c r="D197" i="7" s="1"/>
  <c r="B153" i="7"/>
  <c r="D153" i="7" s="1"/>
  <c r="B141" i="7"/>
  <c r="D141" i="7" s="1"/>
  <c r="B243" i="7"/>
  <c r="D243" i="7" s="1"/>
  <c r="B227" i="7"/>
  <c r="D227" i="7" s="1"/>
  <c r="B213" i="7"/>
  <c r="D213" i="7" s="1"/>
  <c r="B209" i="7"/>
  <c r="D209" i="7" s="1"/>
  <c r="B201" i="7"/>
  <c r="D201" i="7" s="1"/>
  <c r="B36" i="7"/>
  <c r="D36" i="7" s="1"/>
  <c r="B116" i="7"/>
  <c r="D116" i="7" s="1"/>
  <c r="D89" i="7"/>
  <c r="D145" i="7"/>
  <c r="D137" i="7"/>
  <c r="D168" i="7"/>
  <c r="D133" i="7"/>
  <c r="D225" i="7"/>
  <c r="D193" i="7"/>
  <c r="D245" i="7"/>
  <c r="D129" i="7"/>
  <c r="D121" i="7"/>
  <c r="D108" i="7"/>
  <c r="D82" i="7"/>
  <c r="D78" i="7"/>
  <c r="D226" i="7"/>
  <c r="D140" i="7"/>
  <c r="D109" i="7"/>
  <c r="D97" i="7"/>
  <c r="D217" i="7"/>
  <c r="D157" i="7"/>
  <c r="D239" i="7"/>
  <c r="D221" i="7"/>
  <c r="D163" i="7"/>
  <c r="D135" i="7"/>
  <c r="D223" i="7"/>
  <c r="D187" i="7"/>
  <c r="D156" i="7"/>
  <c r="D151" i="7"/>
  <c r="D144" i="7"/>
  <c r="D175" i="7"/>
  <c r="D125" i="7"/>
  <c r="D132" i="7"/>
  <c r="D101" i="7"/>
  <c r="D67" i="7"/>
  <c r="D241" i="7"/>
  <c r="D238" i="7"/>
  <c r="D205" i="7"/>
  <c r="D188" i="7"/>
  <c r="D219" i="7"/>
  <c r="D184" i="7"/>
  <c r="D180" i="7"/>
  <c r="D176" i="7"/>
  <c r="D172" i="7"/>
  <c r="D164" i="7"/>
  <c r="D160" i="7"/>
  <c r="D191" i="7"/>
  <c r="D143" i="7"/>
  <c r="D174" i="7"/>
  <c r="D139" i="7"/>
  <c r="D148" i="7"/>
  <c r="D117" i="7"/>
  <c r="D124" i="7"/>
  <c r="D93" i="7"/>
  <c r="D98" i="7"/>
  <c r="D94" i="7"/>
  <c r="D85" i="7"/>
  <c r="D102" i="7"/>
  <c r="D92" i="7"/>
  <c r="D90" i="7"/>
  <c r="D86" i="7"/>
  <c r="D37" i="7"/>
  <c r="D34" i="7"/>
  <c r="D229" i="7"/>
  <c r="D152" i="7"/>
  <c r="D183" i="7"/>
  <c r="D147" i="7"/>
  <c r="D136" i="7"/>
  <c r="D167" i="7"/>
  <c r="D155" i="7"/>
  <c r="D100" i="7"/>
  <c r="D242" i="7"/>
  <c r="D231" i="7"/>
  <c r="D222" i="7"/>
  <c r="D189" i="7"/>
  <c r="D185" i="7"/>
  <c r="D181" i="7"/>
  <c r="D177" i="7"/>
  <c r="D173" i="7"/>
  <c r="D169" i="7"/>
  <c r="D165" i="7"/>
  <c r="D161" i="7"/>
  <c r="D159" i="7"/>
  <c r="D149" i="7"/>
  <c r="D131" i="7"/>
  <c r="D113" i="7"/>
  <c r="D235" i="7"/>
  <c r="D233" i="7"/>
  <c r="D237" i="7"/>
  <c r="D230" i="7"/>
  <c r="D84" i="7"/>
  <c r="D81" i="7"/>
  <c r="D77" i="7"/>
  <c r="D49" i="7"/>
  <c r="D48" i="7"/>
  <c r="D47" i="7"/>
  <c r="D46" i="7"/>
  <c r="D45" i="7"/>
  <c r="D44" i="7"/>
  <c r="D43" i="7"/>
  <c r="D73" i="7"/>
  <c r="D42" i="7"/>
  <c r="D41" i="7"/>
  <c r="D104" i="7"/>
  <c r="D244" i="7"/>
  <c r="D240" i="7"/>
  <c r="D236" i="7"/>
  <c r="D224" i="7"/>
  <c r="D220" i="7"/>
  <c r="D214" i="7"/>
  <c r="D206" i="7"/>
  <c r="D198" i="7"/>
  <c r="D190" i="7"/>
  <c r="D182" i="7"/>
  <c r="D178" i="7"/>
  <c r="D170" i="7"/>
  <c r="D166" i="7"/>
  <c r="D162" i="7"/>
  <c r="D158" i="7"/>
  <c r="D127" i="7"/>
  <c r="D150" i="7"/>
  <c r="D119" i="7"/>
  <c r="D142" i="7"/>
  <c r="D111" i="7"/>
  <c r="D134" i="7"/>
  <c r="D126" i="7"/>
  <c r="D95" i="7"/>
  <c r="D118" i="7"/>
  <c r="D87" i="7"/>
  <c r="D105" i="7"/>
  <c r="D74" i="7"/>
  <c r="D232" i="7"/>
  <c r="D228" i="7"/>
  <c r="D218" i="7"/>
  <c r="D210" i="7"/>
  <c r="D202" i="7"/>
  <c r="D194" i="7"/>
  <c r="D186" i="7"/>
  <c r="D215" i="7"/>
  <c r="D212" i="7"/>
  <c r="D211" i="7"/>
  <c r="D207" i="7"/>
  <c r="D203" i="7"/>
  <c r="D199" i="7"/>
  <c r="D196" i="7"/>
  <c r="D195" i="7"/>
  <c r="D179" i="7"/>
  <c r="D171" i="7"/>
  <c r="D128" i="7"/>
  <c r="D120" i="7"/>
  <c r="D112" i="7"/>
  <c r="D96" i="7"/>
  <c r="D88" i="7"/>
  <c r="D110" i="7"/>
  <c r="D79" i="7"/>
  <c r="D76" i="7"/>
  <c r="D106" i="7"/>
  <c r="D75" i="7"/>
  <c r="D216" i="7"/>
  <c r="D208" i="7"/>
  <c r="D204" i="7"/>
  <c r="D200" i="7"/>
  <c r="D192" i="7"/>
  <c r="D154" i="7"/>
  <c r="D123" i="7"/>
  <c r="D146" i="7"/>
  <c r="D115" i="7"/>
  <c r="D138" i="7"/>
  <c r="D107" i="7"/>
  <c r="D130" i="7"/>
  <c r="D99" i="7"/>
  <c r="D122" i="7"/>
  <c r="D91" i="7"/>
  <c r="D114" i="7"/>
  <c r="D83" i="7"/>
  <c r="D80" i="7"/>
  <c r="D103" i="7"/>
  <c r="D72" i="7"/>
  <c r="D70" i="7"/>
  <c r="D69" i="7"/>
  <c r="D68" i="7"/>
  <c r="D66" i="7"/>
  <c r="D65" i="7"/>
  <c r="D63" i="7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0" i="7"/>
  <c r="D71" i="7"/>
  <c r="D38" i="7"/>
  <c r="D39" i="7"/>
  <c r="D35" i="7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88" i="1"/>
  <c r="U188" i="1"/>
  <c r="T189" i="1"/>
  <c r="U189" i="1"/>
  <c r="T190" i="1"/>
  <c r="U190" i="1"/>
  <c r="T191" i="1"/>
  <c r="U191" i="1"/>
  <c r="T192" i="1"/>
  <c r="U192" i="1"/>
  <c r="T193" i="1"/>
  <c r="U193" i="1"/>
  <c r="T194" i="1"/>
  <c r="U194" i="1"/>
  <c r="T195" i="1"/>
  <c r="U195" i="1"/>
  <c r="T196" i="1"/>
  <c r="U196" i="1"/>
  <c r="T197" i="1"/>
  <c r="U197" i="1"/>
  <c r="T198" i="1"/>
  <c r="U198" i="1"/>
  <c r="T199" i="1"/>
  <c r="U199" i="1"/>
  <c r="T200" i="1"/>
  <c r="U200" i="1"/>
  <c r="T201" i="1"/>
  <c r="U201" i="1"/>
  <c r="T202" i="1"/>
  <c r="U202" i="1"/>
  <c r="T203" i="1"/>
  <c r="U203" i="1"/>
  <c r="T204" i="1"/>
  <c r="U204" i="1"/>
  <c r="T205" i="1"/>
  <c r="U205" i="1"/>
  <c r="T206" i="1"/>
  <c r="U206" i="1"/>
  <c r="T207" i="1"/>
  <c r="U207" i="1"/>
  <c r="T208" i="1"/>
  <c r="U208" i="1"/>
  <c r="T209" i="1"/>
  <c r="U209" i="1"/>
  <c r="T210" i="1"/>
  <c r="U210" i="1"/>
  <c r="T211" i="1"/>
  <c r="U211" i="1"/>
  <c r="T212" i="1"/>
  <c r="U212" i="1"/>
  <c r="W212" i="1" s="1"/>
  <c r="T213" i="1"/>
  <c r="U213" i="1"/>
  <c r="T214" i="1"/>
  <c r="U214" i="1"/>
  <c r="T215" i="1"/>
  <c r="U215" i="1"/>
  <c r="T216" i="1"/>
  <c r="U216" i="1"/>
  <c r="T217" i="1"/>
  <c r="U217" i="1"/>
  <c r="T218" i="1"/>
  <c r="U218" i="1"/>
  <c r="T219" i="1"/>
  <c r="U219" i="1"/>
  <c r="T220" i="1"/>
  <c r="U220" i="1"/>
  <c r="T221" i="1"/>
  <c r="U221" i="1"/>
  <c r="T222" i="1"/>
  <c r="U222" i="1"/>
  <c r="T223" i="1"/>
  <c r="U223" i="1"/>
  <c r="T224" i="1"/>
  <c r="U224" i="1"/>
  <c r="T225" i="1"/>
  <c r="U225" i="1"/>
  <c r="T226" i="1"/>
  <c r="U226" i="1"/>
  <c r="T227" i="1"/>
  <c r="U227" i="1"/>
  <c r="T228" i="1"/>
  <c r="U228" i="1"/>
  <c r="T229" i="1"/>
  <c r="U229" i="1"/>
  <c r="T230" i="1"/>
  <c r="U230" i="1"/>
  <c r="T231" i="1"/>
  <c r="U231" i="1"/>
  <c r="T232" i="1"/>
  <c r="U232" i="1"/>
  <c r="T233" i="1"/>
  <c r="U233" i="1"/>
  <c r="T234" i="1"/>
  <c r="U234" i="1"/>
  <c r="T235" i="1"/>
  <c r="U235" i="1"/>
  <c r="T236" i="1"/>
  <c r="U236" i="1"/>
  <c r="T237" i="1"/>
  <c r="U237" i="1"/>
  <c r="T238" i="1"/>
  <c r="U238" i="1"/>
  <c r="T239" i="1"/>
  <c r="U239" i="1"/>
  <c r="T240" i="1"/>
  <c r="U240" i="1"/>
  <c r="T241" i="1"/>
  <c r="U241" i="1"/>
  <c r="T242" i="1"/>
  <c r="U242" i="1"/>
  <c r="T243" i="1"/>
  <c r="U243" i="1"/>
  <c r="T244" i="1"/>
  <c r="U244" i="1"/>
  <c r="T245" i="1"/>
  <c r="U245" i="1"/>
  <c r="T246" i="1"/>
  <c r="U246" i="1"/>
  <c r="T247" i="1"/>
  <c r="U247" i="1"/>
  <c r="T248" i="1"/>
  <c r="U248" i="1"/>
  <c r="T249" i="1"/>
  <c r="U249" i="1"/>
  <c r="T250" i="1"/>
  <c r="U250" i="1"/>
  <c r="T251" i="1"/>
  <c r="U251" i="1"/>
  <c r="T252" i="1"/>
  <c r="U252" i="1"/>
  <c r="T253" i="1"/>
  <c r="U253" i="1"/>
  <c r="T254" i="1"/>
  <c r="U254" i="1"/>
  <c r="T255" i="1"/>
  <c r="U255" i="1"/>
  <c r="T256" i="1"/>
  <c r="U256" i="1"/>
  <c r="T257" i="1"/>
  <c r="U257" i="1"/>
  <c r="T258" i="1"/>
  <c r="U258" i="1"/>
  <c r="T259" i="1"/>
  <c r="U259" i="1"/>
  <c r="T260" i="1"/>
  <c r="U260" i="1"/>
  <c r="T261" i="1"/>
  <c r="U261" i="1"/>
  <c r="T262" i="1"/>
  <c r="U262" i="1"/>
  <c r="T263" i="1"/>
  <c r="U263" i="1"/>
  <c r="T264" i="1"/>
  <c r="U264" i="1"/>
  <c r="T265" i="1"/>
  <c r="U265" i="1"/>
  <c r="T266" i="1"/>
  <c r="U266" i="1"/>
  <c r="T267" i="1"/>
  <c r="U267" i="1"/>
  <c r="T268" i="1"/>
  <c r="U268" i="1"/>
  <c r="T269" i="1"/>
  <c r="U269" i="1"/>
  <c r="T270" i="1"/>
  <c r="U270" i="1"/>
  <c r="T271" i="1"/>
  <c r="U271" i="1"/>
  <c r="T272" i="1"/>
  <c r="U272" i="1"/>
  <c r="T273" i="1"/>
  <c r="U273" i="1"/>
  <c r="T274" i="1"/>
  <c r="U274" i="1"/>
  <c r="T275" i="1"/>
  <c r="U275" i="1"/>
  <c r="T276" i="1"/>
  <c r="U276" i="1"/>
  <c r="T277" i="1"/>
  <c r="U277" i="1"/>
  <c r="T278" i="1"/>
  <c r="U278" i="1"/>
  <c r="T279" i="1"/>
  <c r="U279" i="1"/>
  <c r="T280" i="1"/>
  <c r="U280" i="1"/>
  <c r="T281" i="1"/>
  <c r="U281" i="1"/>
  <c r="T282" i="1"/>
  <c r="U282" i="1"/>
  <c r="T283" i="1"/>
  <c r="U283" i="1"/>
  <c r="T284" i="1"/>
  <c r="U284" i="1"/>
  <c r="T285" i="1"/>
  <c r="U285" i="1"/>
  <c r="T286" i="1"/>
  <c r="U286" i="1"/>
  <c r="T287" i="1"/>
  <c r="U287" i="1"/>
  <c r="T288" i="1"/>
  <c r="U288" i="1"/>
  <c r="T289" i="1"/>
  <c r="U289" i="1"/>
  <c r="T290" i="1"/>
  <c r="U290" i="1"/>
  <c r="T291" i="1"/>
  <c r="U291" i="1"/>
  <c r="T292" i="1"/>
  <c r="U292" i="1"/>
  <c r="T293" i="1"/>
  <c r="U293" i="1"/>
  <c r="T294" i="1"/>
  <c r="U294" i="1"/>
  <c r="V294" i="1" s="1"/>
  <c r="T295" i="1"/>
  <c r="U295" i="1"/>
  <c r="V295" i="1" s="1"/>
  <c r="T296" i="1"/>
  <c r="U296" i="1"/>
  <c r="V296" i="1" s="1"/>
  <c r="T297" i="1"/>
  <c r="U297" i="1"/>
  <c r="V297" i="1" s="1"/>
  <c r="T298" i="1"/>
  <c r="U298" i="1"/>
  <c r="V298" i="1" s="1"/>
  <c r="T299" i="1"/>
  <c r="U299" i="1"/>
  <c r="V299" i="1" s="1"/>
  <c r="T300" i="1"/>
  <c r="U300" i="1"/>
  <c r="V300" i="1" s="1"/>
  <c r="T301" i="1"/>
  <c r="U301" i="1"/>
  <c r="V301" i="1" s="1"/>
  <c r="T302" i="1"/>
  <c r="U302" i="1"/>
  <c r="V302" i="1" s="1"/>
  <c r="T303" i="1"/>
  <c r="U303" i="1"/>
  <c r="V303" i="1" s="1"/>
  <c r="T304" i="1"/>
  <c r="U304" i="1"/>
  <c r="V304" i="1" s="1"/>
  <c r="T305" i="1"/>
  <c r="U305" i="1"/>
  <c r="V305" i="1" s="1"/>
  <c r="T306" i="1"/>
  <c r="U306" i="1"/>
  <c r="V306" i="1" s="1"/>
  <c r="T307" i="1"/>
  <c r="U307" i="1"/>
  <c r="V307" i="1" s="1"/>
  <c r="T308" i="1"/>
  <c r="U308" i="1"/>
  <c r="V308" i="1" s="1"/>
  <c r="T309" i="1"/>
  <c r="U309" i="1"/>
  <c r="V309" i="1" s="1"/>
  <c r="T310" i="1"/>
  <c r="U310" i="1"/>
  <c r="V310" i="1" s="1"/>
  <c r="T311" i="1"/>
  <c r="U311" i="1"/>
  <c r="V311" i="1" s="1"/>
  <c r="T312" i="1"/>
  <c r="U312" i="1"/>
  <c r="V312" i="1" s="1"/>
  <c r="T313" i="1"/>
  <c r="U313" i="1"/>
  <c r="V313" i="1" s="1"/>
  <c r="T314" i="1"/>
  <c r="U314" i="1"/>
  <c r="V314" i="1" s="1"/>
  <c r="T315" i="1"/>
  <c r="U315" i="1"/>
  <c r="V315" i="1" s="1"/>
  <c r="T316" i="1"/>
  <c r="U316" i="1"/>
  <c r="V316" i="1" s="1"/>
  <c r="T317" i="1"/>
  <c r="U317" i="1"/>
  <c r="V317" i="1" s="1"/>
  <c r="T318" i="1"/>
  <c r="U318" i="1"/>
  <c r="V318" i="1" s="1"/>
  <c r="T319" i="1"/>
  <c r="U319" i="1"/>
  <c r="V319" i="1" s="1"/>
  <c r="T320" i="1"/>
  <c r="U320" i="1"/>
  <c r="V320" i="1" s="1"/>
  <c r="T321" i="1"/>
  <c r="U321" i="1"/>
  <c r="V321" i="1" s="1"/>
  <c r="T322" i="1"/>
  <c r="U322" i="1"/>
  <c r="V322" i="1" s="1"/>
  <c r="T323" i="1"/>
  <c r="U323" i="1"/>
  <c r="V323" i="1" s="1"/>
  <c r="T324" i="1"/>
  <c r="U324" i="1"/>
  <c r="V324" i="1" s="1"/>
  <c r="T325" i="1"/>
  <c r="U325" i="1"/>
  <c r="V325" i="1" s="1"/>
  <c r="T326" i="1"/>
  <c r="U326" i="1"/>
  <c r="V326" i="1" s="1"/>
  <c r="T327" i="1"/>
  <c r="U327" i="1"/>
  <c r="V327" i="1" s="1"/>
  <c r="T328" i="1"/>
  <c r="U328" i="1"/>
  <c r="V328" i="1" s="1"/>
  <c r="T329" i="1"/>
  <c r="U329" i="1"/>
  <c r="V329" i="1" s="1"/>
  <c r="T330" i="1"/>
  <c r="U330" i="1"/>
  <c r="V330" i="1" s="1"/>
  <c r="T331" i="1"/>
  <c r="U331" i="1"/>
  <c r="V331" i="1" s="1"/>
  <c r="T332" i="1"/>
  <c r="U332" i="1"/>
  <c r="V332" i="1" s="1"/>
  <c r="T333" i="1"/>
  <c r="U333" i="1"/>
  <c r="V333" i="1" s="1"/>
  <c r="T334" i="1"/>
  <c r="U334" i="1"/>
  <c r="V334" i="1" s="1"/>
  <c r="D64" i="7" l="1"/>
  <c r="B33" i="7"/>
  <c r="D33" i="7" s="1"/>
  <c r="W295" i="1"/>
  <c r="W327" i="1"/>
  <c r="W311" i="1"/>
  <c r="W319" i="1"/>
  <c r="W303" i="1"/>
  <c r="W323" i="1"/>
  <c r="W307" i="1"/>
  <c r="W331" i="1"/>
  <c r="W315" i="1"/>
  <c r="W299" i="1"/>
  <c r="V212" i="1"/>
  <c r="W328" i="1"/>
  <c r="W320" i="1"/>
  <c r="W312" i="1"/>
  <c r="W304" i="1"/>
  <c r="W296" i="1"/>
  <c r="W332" i="1"/>
  <c r="W324" i="1"/>
  <c r="W316" i="1"/>
  <c r="W308" i="1"/>
  <c r="W300" i="1"/>
  <c r="V292" i="1"/>
  <c r="W292" i="1"/>
  <c r="V286" i="1"/>
  <c r="W286" i="1"/>
  <c r="V280" i="1"/>
  <c r="W280" i="1"/>
  <c r="V276" i="1"/>
  <c r="W276" i="1"/>
  <c r="V270" i="1"/>
  <c r="W270" i="1"/>
  <c r="V266" i="1"/>
  <c r="W266" i="1"/>
  <c r="V260" i="1"/>
  <c r="W260" i="1"/>
  <c r="V256" i="1"/>
  <c r="W256" i="1"/>
  <c r="V252" i="1"/>
  <c r="W252" i="1"/>
  <c r="V248" i="1"/>
  <c r="W248" i="1"/>
  <c r="V244" i="1"/>
  <c r="W244" i="1"/>
  <c r="V240" i="1"/>
  <c r="W240" i="1"/>
  <c r="V236" i="1"/>
  <c r="W236" i="1"/>
  <c r="V232" i="1"/>
  <c r="W232" i="1"/>
  <c r="V228" i="1"/>
  <c r="W228" i="1"/>
  <c r="V224" i="1"/>
  <c r="W224" i="1"/>
  <c r="V218" i="1"/>
  <c r="W218" i="1"/>
  <c r="V214" i="1"/>
  <c r="W214" i="1"/>
  <c r="V290" i="1"/>
  <c r="W290" i="1"/>
  <c r="V284" i="1"/>
  <c r="W284" i="1"/>
  <c r="V278" i="1"/>
  <c r="W278" i="1"/>
  <c r="V274" i="1"/>
  <c r="W274" i="1"/>
  <c r="V268" i="1"/>
  <c r="W268" i="1"/>
  <c r="V264" i="1"/>
  <c r="W264" i="1"/>
  <c r="V258" i="1"/>
  <c r="W258" i="1"/>
  <c r="V254" i="1"/>
  <c r="W254" i="1"/>
  <c r="V250" i="1"/>
  <c r="W250" i="1"/>
  <c r="V246" i="1"/>
  <c r="W246" i="1"/>
  <c r="V242" i="1"/>
  <c r="W242" i="1"/>
  <c r="V238" i="1"/>
  <c r="W238" i="1"/>
  <c r="V234" i="1"/>
  <c r="W234" i="1"/>
  <c r="V230" i="1"/>
  <c r="W230" i="1"/>
  <c r="V226" i="1"/>
  <c r="W226" i="1"/>
  <c r="V222" i="1"/>
  <c r="W222" i="1"/>
  <c r="V220" i="1"/>
  <c r="W220" i="1"/>
  <c r="V216" i="1"/>
  <c r="W216" i="1"/>
  <c r="W333" i="1"/>
  <c r="W329" i="1"/>
  <c r="W325" i="1"/>
  <c r="W321" i="1"/>
  <c r="W317" i="1"/>
  <c r="W313" i="1"/>
  <c r="W309" i="1"/>
  <c r="W305" i="1"/>
  <c r="W301" i="1"/>
  <c r="W297" i="1"/>
  <c r="V293" i="1"/>
  <c r="W293" i="1"/>
  <c r="V291" i="1"/>
  <c r="W291" i="1"/>
  <c r="V289" i="1"/>
  <c r="W289" i="1"/>
  <c r="V287" i="1"/>
  <c r="W287" i="1"/>
  <c r="V285" i="1"/>
  <c r="W285" i="1"/>
  <c r="V283" i="1"/>
  <c r="W283" i="1"/>
  <c r="V281" i="1"/>
  <c r="W281" i="1"/>
  <c r="V279" i="1"/>
  <c r="W279" i="1"/>
  <c r="V277" i="1"/>
  <c r="W277" i="1"/>
  <c r="V275" i="1"/>
  <c r="W275" i="1"/>
  <c r="V273" i="1"/>
  <c r="W273" i="1"/>
  <c r="V271" i="1"/>
  <c r="W271" i="1"/>
  <c r="V269" i="1"/>
  <c r="W269" i="1"/>
  <c r="V267" i="1"/>
  <c r="W267" i="1"/>
  <c r="V265" i="1"/>
  <c r="W265" i="1"/>
  <c r="V263" i="1"/>
  <c r="W263" i="1"/>
  <c r="V261" i="1"/>
  <c r="W261" i="1"/>
  <c r="V259" i="1"/>
  <c r="W259" i="1"/>
  <c r="V257" i="1"/>
  <c r="W257" i="1"/>
  <c r="V255" i="1"/>
  <c r="W255" i="1"/>
  <c r="V253" i="1"/>
  <c r="W253" i="1"/>
  <c r="V251" i="1"/>
  <c r="W251" i="1"/>
  <c r="V249" i="1"/>
  <c r="W249" i="1"/>
  <c r="V247" i="1"/>
  <c r="W247" i="1"/>
  <c r="V245" i="1"/>
  <c r="W245" i="1"/>
  <c r="V243" i="1"/>
  <c r="W243" i="1"/>
  <c r="V241" i="1"/>
  <c r="W241" i="1"/>
  <c r="V239" i="1"/>
  <c r="W239" i="1"/>
  <c r="V237" i="1"/>
  <c r="W237" i="1"/>
  <c r="V235" i="1"/>
  <c r="W235" i="1"/>
  <c r="V233" i="1"/>
  <c r="W233" i="1"/>
  <c r="V231" i="1"/>
  <c r="W231" i="1"/>
  <c r="V229" i="1"/>
  <c r="W229" i="1"/>
  <c r="V227" i="1"/>
  <c r="W227" i="1"/>
  <c r="V225" i="1"/>
  <c r="W225" i="1"/>
  <c r="V223" i="1"/>
  <c r="W223" i="1"/>
  <c r="V221" i="1"/>
  <c r="W221" i="1"/>
  <c r="V219" i="1"/>
  <c r="W219" i="1"/>
  <c r="V217" i="1"/>
  <c r="W217" i="1"/>
  <c r="V215" i="1"/>
  <c r="W215" i="1"/>
  <c r="V213" i="1"/>
  <c r="W213" i="1"/>
  <c r="V288" i="1"/>
  <c r="W288" i="1"/>
  <c r="V282" i="1"/>
  <c r="W282" i="1"/>
  <c r="V272" i="1"/>
  <c r="W272" i="1"/>
  <c r="V262" i="1"/>
  <c r="W262" i="1"/>
  <c r="W334" i="1"/>
  <c r="W330" i="1"/>
  <c r="W326" i="1"/>
  <c r="W322" i="1"/>
  <c r="W318" i="1"/>
  <c r="W314" i="1"/>
  <c r="W310" i="1"/>
  <c r="W306" i="1"/>
  <c r="W302" i="1"/>
  <c r="W298" i="1"/>
  <c r="W294" i="1"/>
  <c r="V211" i="1"/>
  <c r="W211" i="1"/>
  <c r="V209" i="1"/>
  <c r="W209" i="1"/>
  <c r="V207" i="1"/>
  <c r="W207" i="1"/>
  <c r="V205" i="1"/>
  <c r="W205" i="1"/>
  <c r="V203" i="1"/>
  <c r="W203" i="1"/>
  <c r="V201" i="1"/>
  <c r="W201" i="1"/>
  <c r="V199" i="1"/>
  <c r="W199" i="1"/>
  <c r="V197" i="1"/>
  <c r="W197" i="1"/>
  <c r="V195" i="1"/>
  <c r="W195" i="1"/>
  <c r="V193" i="1"/>
  <c r="W193" i="1"/>
  <c r="V191" i="1"/>
  <c r="W191" i="1"/>
  <c r="V189" i="1"/>
  <c r="W189" i="1"/>
  <c r="V210" i="1"/>
  <c r="W210" i="1"/>
  <c r="V208" i="1"/>
  <c r="W208" i="1"/>
  <c r="V206" i="1"/>
  <c r="W206" i="1"/>
  <c r="V204" i="1"/>
  <c r="W204" i="1"/>
  <c r="V202" i="1"/>
  <c r="W202" i="1"/>
  <c r="V200" i="1"/>
  <c r="W200" i="1"/>
  <c r="V198" i="1"/>
  <c r="W198" i="1"/>
  <c r="V196" i="1"/>
  <c r="W196" i="1"/>
  <c r="V194" i="1"/>
  <c r="W194" i="1"/>
  <c r="V192" i="1"/>
  <c r="W192" i="1"/>
  <c r="V190" i="1"/>
  <c r="W190" i="1"/>
  <c r="V188" i="1"/>
  <c r="W188" i="1"/>
  <c r="U2" i="1" l="1"/>
  <c r="V2" i="1" s="1"/>
  <c r="W2" i="1" l="1"/>
</calcChain>
</file>

<file path=xl/sharedStrings.xml><?xml version="1.0" encoding="utf-8"?>
<sst xmlns="http://schemas.openxmlformats.org/spreadsheetml/2006/main" count="1972" uniqueCount="445">
  <si>
    <t xml:space="preserve">NUMERO DE IDENTIFICACION </t>
  </si>
  <si>
    <t>PRIMER APELLIDO</t>
  </si>
  <si>
    <t>SEGUNDO APELLIDO</t>
  </si>
  <si>
    <t>PRIMER NOMBRE</t>
  </si>
  <si>
    <t>SEGUNDO NOMBRE</t>
  </si>
  <si>
    <t>DIA</t>
  </si>
  <si>
    <t>MES</t>
  </si>
  <si>
    <t>FECHA DE PAGO</t>
  </si>
  <si>
    <t>VALOR UNITARIO</t>
  </si>
  <si>
    <t>MEDIO DE PAGO</t>
  </si>
  <si>
    <t>RESPONSABLE</t>
  </si>
  <si>
    <t>CURSO</t>
  </si>
  <si>
    <t>GENERO</t>
  </si>
  <si>
    <t>PERFIL DEL PROFESIONAL</t>
  </si>
  <si>
    <t>CELULAR</t>
  </si>
  <si>
    <t>NOMBRE CURSO</t>
  </si>
  <si>
    <t>NOMBRE COMPLETO</t>
  </si>
  <si>
    <t>NOMBRE CERTIFICADO</t>
  </si>
  <si>
    <t>NOMBRE PDF</t>
  </si>
  <si>
    <t>BLS</t>
  </si>
  <si>
    <t>CODIGO</t>
  </si>
  <si>
    <t>ATENCION PRE-HOSPITALARIA</t>
  </si>
  <si>
    <t>DIPLOMADO EN ATENCION PRE-HOSPITALARIA</t>
  </si>
  <si>
    <t>DUELO</t>
  </si>
  <si>
    <t>ACOMPAÑAMIENTO Y MANEJO DEL DUELO</t>
  </si>
  <si>
    <t>QUIMICOS</t>
  </si>
  <si>
    <t xml:space="preserve">ATENCION A VICTIMAS DE ATAQUE CON AGENTES QUIMICOS </t>
  </si>
  <si>
    <t>PRIMEROS AUXILIOS</t>
  </si>
  <si>
    <t xml:space="preserve">PRIMEROS AUXILIOS </t>
  </si>
  <si>
    <t>UCI</t>
  </si>
  <si>
    <t>DIPLOMADO DE UNIDAD DE CUIDADOS INTENSIVOS (UCI)</t>
  </si>
  <si>
    <t>CODIGO VERDE</t>
  </si>
  <si>
    <t>MODELO DE ATENCION PARA EVENTOS EMERGENTES EN SALUD MENTAL (CODIGO VERDE)</t>
  </si>
  <si>
    <t>HUMANIZACION</t>
  </si>
  <si>
    <t xml:space="preserve">HUMANIZACION EN SALUD, BUENAS PRACTICAS EN PACIENTE </t>
  </si>
  <si>
    <t>CLINICA DE HERIDAS</t>
  </si>
  <si>
    <t xml:space="preserve">CLINICA DE HERIDAS </t>
  </si>
  <si>
    <t>CITOLOGIA</t>
  </si>
  <si>
    <t xml:space="preserve">TOMA DE CITOLOGIA A CERVICO VAGINAL </t>
  </si>
  <si>
    <t>ACLS</t>
  </si>
  <si>
    <t xml:space="preserve">SOPORTE CARDIOVASCULAR AVANZADO </t>
  </si>
  <si>
    <t>CAMILLERO</t>
  </si>
  <si>
    <t xml:space="preserve">CAMILLERO </t>
  </si>
  <si>
    <t>TOMA DE MUESTRAS</t>
  </si>
  <si>
    <t xml:space="preserve">TOMA MUESTRAS Y LABORATORIO </t>
  </si>
  <si>
    <t>SOPORTE VITAL BASICO (BLS)</t>
  </si>
  <si>
    <t>VIOLENCIA SEXUAL</t>
  </si>
  <si>
    <t xml:space="preserve">ATENCION A VICTIMAS DE VIOLENCIA SEXUAL </t>
  </si>
  <si>
    <t>PROGRAMADO AMPLIADO DE INMUNIZACION (PAI - COVID 19)</t>
  </si>
  <si>
    <t>AIEPI</t>
  </si>
  <si>
    <t>ATENCION INTEGRAL EN ENFERMEDADES PREVALENTES EN PRIMERA INFANCIA (AIEPI)</t>
  </si>
  <si>
    <t>ADMON DE MEDICAMENTOS</t>
  </si>
  <si>
    <t>OVE</t>
  </si>
  <si>
    <t>OPERADOR DE VEHICULOS DE EMERGENCIA (OVE)</t>
  </si>
  <si>
    <t>IAMI</t>
  </si>
  <si>
    <t>INSTITUCIONES AMIGAS DE LA MUJER Y LA INFANCIA (IAMI)</t>
  </si>
  <si>
    <t>DONANTE</t>
  </si>
  <si>
    <t>CUIDADO DEL DONANTE DE ORGANOS</t>
  </si>
  <si>
    <t>VIOLENCIA DE GENERO</t>
  </si>
  <si>
    <t>ATENCION A VICTIMAS POR VIOLENCIA DE GENERO</t>
  </si>
  <si>
    <t>IGUALDAD DE GENERO</t>
  </si>
  <si>
    <t>IGUALDAD DE GENERO EN LA SALUD</t>
  </si>
  <si>
    <t>BRIGADA</t>
  </si>
  <si>
    <t>BRIGADA DE EMERGENCIA</t>
  </si>
  <si>
    <t>PALIATIVOS</t>
  </si>
  <si>
    <t>MANEJO DEL DOLOR Y CUIDADOS PALIATIVOS</t>
  </si>
  <si>
    <t>POCT</t>
  </si>
  <si>
    <t>TOMA MUESTRAS Y LABORATORIO POCT</t>
  </si>
  <si>
    <t>IMPLANTE</t>
  </si>
  <si>
    <t>IMPLANTE SUBDERMICO Y DISPOSITIVO INTRAUTERINO</t>
  </si>
  <si>
    <t>SALUD MENTAL</t>
  </si>
  <si>
    <t>PRIMEROS AUXILIOS P</t>
  </si>
  <si>
    <t>PRIMEROS AUXILIOS PSICOLOGICOS</t>
  </si>
  <si>
    <t>CONFLICTO ARMADO</t>
  </si>
  <si>
    <t>ATENCION A VICTIMAS POR CONFLICTO ARMADO</t>
  </si>
  <si>
    <t>FECHA DE NACIMIENTO</t>
  </si>
  <si>
    <t>X</t>
  </si>
  <si>
    <t>ELABORO</t>
  </si>
  <si>
    <t xml:space="preserve">CORREO </t>
  </si>
  <si>
    <t>LINK BASE</t>
  </si>
  <si>
    <t>CEDULA</t>
  </si>
  <si>
    <t>LINK</t>
  </si>
  <si>
    <t>PAI</t>
  </si>
  <si>
    <t>MANIPULACION DE ALIMENTOS</t>
  </si>
  <si>
    <t>MANIPULACION DE ALIMENTOS Y BPM</t>
  </si>
  <si>
    <t xml:space="preserve">ADMINISTRACION DE MEDICAMENTOS, INYECTOLOGIA  Y CANALIZACION </t>
  </si>
  <si>
    <t>Melo</t>
  </si>
  <si>
    <t>Villota</t>
  </si>
  <si>
    <t>James</t>
  </si>
  <si>
    <t>Alexander</t>
  </si>
  <si>
    <t>JUNIO</t>
  </si>
  <si>
    <t>NEQUI</t>
  </si>
  <si>
    <t>Sebastian</t>
  </si>
  <si>
    <t>CCS</t>
  </si>
  <si>
    <t>M</t>
  </si>
  <si>
    <t>Medico</t>
  </si>
  <si>
    <t>jameszona@gmail.com</t>
  </si>
  <si>
    <t>Pantoja</t>
  </si>
  <si>
    <t>Landazuri</t>
  </si>
  <si>
    <t>Flor</t>
  </si>
  <si>
    <t>Amanda</t>
  </si>
  <si>
    <t>CAMILO</t>
  </si>
  <si>
    <t>ATENCION A PERSONAS CON DISCAPACIDAD</t>
  </si>
  <si>
    <t>DISCAPACIDAD</t>
  </si>
  <si>
    <t>Rivas</t>
  </si>
  <si>
    <t>Goyes</t>
  </si>
  <si>
    <t>Jesús</t>
  </si>
  <si>
    <t>DAVIPLATA</t>
  </si>
  <si>
    <t>F</t>
  </si>
  <si>
    <t>MEDICA</t>
  </si>
  <si>
    <t>amandapantoja1210@hotmail.com</t>
  </si>
  <si>
    <t>MEDICO</t>
  </si>
  <si>
    <t>jalexanderrivas@hotmail.com</t>
  </si>
  <si>
    <t>Cuatis</t>
  </si>
  <si>
    <t>Maigual</t>
  </si>
  <si>
    <t>Maria</t>
  </si>
  <si>
    <t>Camila</t>
  </si>
  <si>
    <t>AUXILIAR DE ENFERMERIA</t>
  </si>
  <si>
    <t xml:space="preserve">camilacuatiz1105@gmail.com </t>
  </si>
  <si>
    <t>LUIS PINTA</t>
  </si>
  <si>
    <t xml:space="preserve">hidalgoguerrerolinamaria@gmail.com </t>
  </si>
  <si>
    <t>Hidalgo</t>
  </si>
  <si>
    <t>Guerrero</t>
  </si>
  <si>
    <t>Lina</t>
  </si>
  <si>
    <t>Rivera</t>
  </si>
  <si>
    <t>Quiroz</t>
  </si>
  <si>
    <t>John</t>
  </si>
  <si>
    <t>Stiven</t>
  </si>
  <si>
    <t>jhosti2512@gmail.com</t>
  </si>
  <si>
    <t>Peña</t>
  </si>
  <si>
    <t>Argotty</t>
  </si>
  <si>
    <t>Laura</t>
  </si>
  <si>
    <t>Sofia</t>
  </si>
  <si>
    <t>sofi-1246@hotmail.com</t>
  </si>
  <si>
    <t>Ruano</t>
  </si>
  <si>
    <t>Enriquez</t>
  </si>
  <si>
    <t>Victor</t>
  </si>
  <si>
    <t>Alfonso</t>
  </si>
  <si>
    <t>victorrruano@hotmail.com</t>
  </si>
  <si>
    <t>Francisco</t>
  </si>
  <si>
    <t>CONDUCTOR</t>
  </si>
  <si>
    <t>Alexpipe1307@gmail.com</t>
  </si>
  <si>
    <t>Machado</t>
  </si>
  <si>
    <t>Tatis</t>
  </si>
  <si>
    <t>Luz</t>
  </si>
  <si>
    <t>Angela</t>
  </si>
  <si>
    <t>NICOLAS</t>
  </si>
  <si>
    <t>ODONTOLOGA</t>
  </si>
  <si>
    <t xml:space="preserve">angelamachadot72@gmail.com </t>
  </si>
  <si>
    <t>Munares</t>
  </si>
  <si>
    <t>Mera</t>
  </si>
  <si>
    <t>Sammy</t>
  </si>
  <si>
    <t>Nathalia</t>
  </si>
  <si>
    <t>FISIOTERAPEUTA</t>
  </si>
  <si>
    <t>sammymunares33@gmail.com</t>
  </si>
  <si>
    <t>Bernal</t>
  </si>
  <si>
    <t>Caicedo</t>
  </si>
  <si>
    <t>Claudia</t>
  </si>
  <si>
    <t>Katherine</t>
  </si>
  <si>
    <t>PSICOLOGA</t>
  </si>
  <si>
    <t xml:space="preserve">Katherinebernalpsicologa@gmail.com </t>
  </si>
  <si>
    <t>Marquez</t>
  </si>
  <si>
    <t>Azain</t>
  </si>
  <si>
    <t>Jose</t>
  </si>
  <si>
    <t>Manuel</t>
  </si>
  <si>
    <t>BRAYAN</t>
  </si>
  <si>
    <t>Marques.azain@gmail.com</t>
  </si>
  <si>
    <t>Lizeth</t>
  </si>
  <si>
    <t>Fernanda</t>
  </si>
  <si>
    <t>Gustin</t>
  </si>
  <si>
    <t>Delgado</t>
  </si>
  <si>
    <t>Jennifer</t>
  </si>
  <si>
    <t>Yuranie</t>
  </si>
  <si>
    <t>jeyugu28@gmail.com</t>
  </si>
  <si>
    <t>Arias</t>
  </si>
  <si>
    <t>Crespo</t>
  </si>
  <si>
    <t>Nathaly</t>
  </si>
  <si>
    <t>Alejandra</t>
  </si>
  <si>
    <t>nathalyalejandraariascrespo@gmail.com</t>
  </si>
  <si>
    <t>Diana</t>
  </si>
  <si>
    <t>Bridgeth</t>
  </si>
  <si>
    <t>Araujo</t>
  </si>
  <si>
    <t>Perez</t>
  </si>
  <si>
    <t>PYP</t>
  </si>
  <si>
    <t>dianaraujo2612@gmail.com</t>
  </si>
  <si>
    <t>Carrion</t>
  </si>
  <si>
    <t xml:space="preserve">Ayde </t>
  </si>
  <si>
    <t>Jeraldyne</t>
  </si>
  <si>
    <t>Nuticionista</t>
  </si>
  <si>
    <t>aydee.mera.c@gmail.com</t>
  </si>
  <si>
    <t>Martinez</t>
  </si>
  <si>
    <t>Hanya</t>
  </si>
  <si>
    <t>Yeraldy</t>
  </si>
  <si>
    <t>YURANI</t>
  </si>
  <si>
    <t>hanyita1991@gmail.com</t>
  </si>
  <si>
    <t xml:space="preserve">pantojajohanafp186@gmail.com </t>
  </si>
  <si>
    <t>AUXILIAR DE ODONTOLOGIA</t>
  </si>
  <si>
    <t>Tulcan</t>
  </si>
  <si>
    <t>Sonia</t>
  </si>
  <si>
    <t>Johana</t>
  </si>
  <si>
    <t>Diaz</t>
  </si>
  <si>
    <t>Sara</t>
  </si>
  <si>
    <t>saradiazv05@gmail.com</t>
  </si>
  <si>
    <t>Cerón</t>
  </si>
  <si>
    <t>Esthefania</t>
  </si>
  <si>
    <t>FRANCISCO</t>
  </si>
  <si>
    <t>esthefa-1992@hotmail.com</t>
  </si>
  <si>
    <t>Franco</t>
  </si>
  <si>
    <t>Andrés</t>
  </si>
  <si>
    <t>ORTODONCISTA</t>
  </si>
  <si>
    <t>andresdelgadod@yahoo.com</t>
  </si>
  <si>
    <t>Potosi</t>
  </si>
  <si>
    <t>Yela</t>
  </si>
  <si>
    <t>Jéssica</t>
  </si>
  <si>
    <t>Alexandra</t>
  </si>
  <si>
    <t>jessicaalexandrapotosi@gmail.com</t>
  </si>
  <si>
    <t>Guevara</t>
  </si>
  <si>
    <t>Geimar</t>
  </si>
  <si>
    <t>Alexis</t>
  </si>
  <si>
    <t>PSICOLOGO</t>
  </si>
  <si>
    <t xml:space="preserve">alexisguevara138@gmail.com </t>
  </si>
  <si>
    <t>Muñoz</t>
  </si>
  <si>
    <t>Cely</t>
  </si>
  <si>
    <t>Magaly</t>
  </si>
  <si>
    <t xml:space="preserve">magamunoz94@gmail.com </t>
  </si>
  <si>
    <t>López</t>
  </si>
  <si>
    <t>Rosero</t>
  </si>
  <si>
    <t>Erica</t>
  </si>
  <si>
    <t>Lorena</t>
  </si>
  <si>
    <t>BANCOLOMBIA</t>
  </si>
  <si>
    <t>PEDIATRA</t>
  </si>
  <si>
    <t>Kikita15@hotmail.com</t>
  </si>
  <si>
    <t>Chaucanez</t>
  </si>
  <si>
    <t>Bastidas</t>
  </si>
  <si>
    <t>Yamile</t>
  </si>
  <si>
    <t>Karina</t>
  </si>
  <si>
    <t>Infectologia Pediatra</t>
  </si>
  <si>
    <t>Yami_ch85@hotmail.com</t>
  </si>
  <si>
    <t xml:space="preserve">Teran </t>
  </si>
  <si>
    <t>Cisneros</t>
  </si>
  <si>
    <t>Michael</t>
  </si>
  <si>
    <t>Fernando</t>
  </si>
  <si>
    <t>michaelteranc@gmail.com</t>
  </si>
  <si>
    <t>Rodriguez</t>
  </si>
  <si>
    <t>Acosta</t>
  </si>
  <si>
    <t>José</t>
  </si>
  <si>
    <t>Luis</t>
  </si>
  <si>
    <t>Josrod751@gmail.com</t>
  </si>
  <si>
    <t>Cabrera</t>
  </si>
  <si>
    <t>Argoti</t>
  </si>
  <si>
    <t>Jessica</t>
  </si>
  <si>
    <t>Paola</t>
  </si>
  <si>
    <t>jessicaargoti@hotmail.com</t>
  </si>
  <si>
    <t>Burbano</t>
  </si>
  <si>
    <t>Ramos</t>
  </si>
  <si>
    <t>Servio</t>
  </si>
  <si>
    <t>servioandresburbano@hotmail.com</t>
  </si>
  <si>
    <t>Erazo</t>
  </si>
  <si>
    <t>Jojoa</t>
  </si>
  <si>
    <t>Jenny</t>
  </si>
  <si>
    <t>jennylorenaerazo@hotmail.com</t>
  </si>
  <si>
    <t>ENFERMERA</t>
  </si>
  <si>
    <t>Castro</t>
  </si>
  <si>
    <t>Calzada</t>
  </si>
  <si>
    <t>Edwin</t>
  </si>
  <si>
    <t xml:space="preserve">tolosaaguirre@hotmail.com </t>
  </si>
  <si>
    <t>Santacruz</t>
  </si>
  <si>
    <t>Vannesa</t>
  </si>
  <si>
    <t>vanesitadiaz1996@gmail.com</t>
  </si>
  <si>
    <t>Chávez</t>
  </si>
  <si>
    <t>Ordóñez</t>
  </si>
  <si>
    <t>Brayan</t>
  </si>
  <si>
    <t xml:space="preserve">bachavez61@misena.edu.co </t>
  </si>
  <si>
    <t>Córdoba</t>
  </si>
  <si>
    <t>Benavides</t>
  </si>
  <si>
    <t>Jairo</t>
  </si>
  <si>
    <t>Daniel</t>
  </si>
  <si>
    <t>FEBRERO</t>
  </si>
  <si>
    <t>dannycobedc@gmail.com</t>
  </si>
  <si>
    <t>Wilbey</t>
  </si>
  <si>
    <t>Wilson</t>
  </si>
  <si>
    <t xml:space="preserve">wilbecas1@gmail.com </t>
  </si>
  <si>
    <t>ADMINISTRADOR DE EMPRESAS</t>
  </si>
  <si>
    <t>TECNICO EN RADIOLOGIA</t>
  </si>
  <si>
    <t>Champutis</t>
  </si>
  <si>
    <t>Ipaz</t>
  </si>
  <si>
    <t>Andrea</t>
  </si>
  <si>
    <t xml:space="preserve">jachamputiz@gmail.com </t>
  </si>
  <si>
    <t>CAJA</t>
  </si>
  <si>
    <t>Toro</t>
  </si>
  <si>
    <t>Fernandez</t>
  </si>
  <si>
    <t>Marcela</t>
  </si>
  <si>
    <t>diana333marcela@gmail.com</t>
  </si>
  <si>
    <t>Yepez</t>
  </si>
  <si>
    <t>Marin</t>
  </si>
  <si>
    <t>Leydi</t>
  </si>
  <si>
    <t>Tatiana</t>
  </si>
  <si>
    <t>Leydi.yepes@uniminuto.edu.co</t>
  </si>
  <si>
    <t>Manchabajoy</t>
  </si>
  <si>
    <t>Criollo</t>
  </si>
  <si>
    <t>Ronaldo</t>
  </si>
  <si>
    <t xml:space="preserve">criolloronaldo98@gmail.com </t>
  </si>
  <si>
    <t>Solarte</t>
  </si>
  <si>
    <t>Argoty</t>
  </si>
  <si>
    <t>Eliana</t>
  </si>
  <si>
    <t>Maricel</t>
  </si>
  <si>
    <t>elianapediatra@gmail.Com</t>
  </si>
  <si>
    <t>Figueroa</t>
  </si>
  <si>
    <t>Chaves</t>
  </si>
  <si>
    <t>Angie</t>
  </si>
  <si>
    <t>Julieta</t>
  </si>
  <si>
    <t>ENFERMERA JEFE</t>
  </si>
  <si>
    <t>gerenciaipssanmiguel@gmail.com</t>
  </si>
  <si>
    <t>Perlaza</t>
  </si>
  <si>
    <t>Sindy</t>
  </si>
  <si>
    <t>Rocio</t>
  </si>
  <si>
    <t>cobrar francisco</t>
  </si>
  <si>
    <t xml:space="preserve">mahita29@hotmail.com </t>
  </si>
  <si>
    <t>Taramuel</t>
  </si>
  <si>
    <t>Gómez</t>
  </si>
  <si>
    <t>Diego</t>
  </si>
  <si>
    <t>3017561189 / 3006191926</t>
  </si>
  <si>
    <t>mddftg@gmail.com / anlogema@hotmail.com</t>
  </si>
  <si>
    <t>Cordoba</t>
  </si>
  <si>
    <t>Portilla</t>
  </si>
  <si>
    <t>Wilmar</t>
  </si>
  <si>
    <t>Hernan</t>
  </si>
  <si>
    <t>Willyc8831@gmail.com</t>
  </si>
  <si>
    <t>Ortega</t>
  </si>
  <si>
    <t>Ortiz</t>
  </si>
  <si>
    <t>Ximena</t>
  </si>
  <si>
    <t>xmenortega1227@gmail.com</t>
  </si>
  <si>
    <t>Lopez</t>
  </si>
  <si>
    <t>Yolanda</t>
  </si>
  <si>
    <t>Marleny</t>
  </si>
  <si>
    <t>Escobar</t>
  </si>
  <si>
    <t>Mayra</t>
  </si>
  <si>
    <t>Mayraalexandrab@hotmail.com</t>
  </si>
  <si>
    <t>Miramag</t>
  </si>
  <si>
    <t>Instrumentadora quirúrgica</t>
  </si>
  <si>
    <t>miramagdelgadoaydemarcela@gmail.com</t>
  </si>
  <si>
    <t>Inguilan</t>
  </si>
  <si>
    <t>Sandra</t>
  </si>
  <si>
    <t>Patricia</t>
  </si>
  <si>
    <t>Ganadora radio</t>
  </si>
  <si>
    <t>Inguilanpatricia@gmail.com</t>
  </si>
  <si>
    <t>Genoy</t>
  </si>
  <si>
    <t>Jeraldine</t>
  </si>
  <si>
    <t>Juliana</t>
  </si>
  <si>
    <t>criollogeraldin7@gmail.com</t>
  </si>
  <si>
    <t>Zuñiga</t>
  </si>
  <si>
    <t>Pinta</t>
  </si>
  <si>
    <t>Tania</t>
  </si>
  <si>
    <t xml:space="preserve">lizeth960707@gmail.com </t>
  </si>
  <si>
    <t>ADULTO MAYOR</t>
  </si>
  <si>
    <t>CUIDADO INTEGRAL DEL PACIENTE ADULTO</t>
  </si>
  <si>
    <t>https://centrodecapacitaciondelsur.com/atencion-al-adulto-mayor-</t>
  </si>
  <si>
    <t>OBSEQUIO</t>
  </si>
  <si>
    <t>Tejada</t>
  </si>
  <si>
    <t>Stefan</t>
  </si>
  <si>
    <t>Mario</t>
  </si>
  <si>
    <t>Stefan.Ortiz1990@gmail.com</t>
  </si>
  <si>
    <t>Legarda</t>
  </si>
  <si>
    <t>Felipe</t>
  </si>
  <si>
    <t>Psidaniellegardagomez@gmail.com</t>
  </si>
  <si>
    <t>Montezuma</t>
  </si>
  <si>
    <t>Jaime</t>
  </si>
  <si>
    <t>Chavez</t>
  </si>
  <si>
    <t>Edgar</t>
  </si>
  <si>
    <t>Andres</t>
  </si>
  <si>
    <t>Izquierdo</t>
  </si>
  <si>
    <t>Angel</t>
  </si>
  <si>
    <t>Adrian</t>
  </si>
  <si>
    <t>Santander</t>
  </si>
  <si>
    <t>Garcia</t>
  </si>
  <si>
    <t>Neira</t>
  </si>
  <si>
    <t>Chinchajoa</t>
  </si>
  <si>
    <t>daniels-100@hotmail.com</t>
  </si>
  <si>
    <t>ipsdomiciliariasanrafaelsas@gmail.com</t>
  </si>
  <si>
    <t>Alejandrachaves1982@gmail.com</t>
  </si>
  <si>
    <t>eandrest29@gmail.com</t>
  </si>
  <si>
    <t>angelrosero79@hotmail.com</t>
  </si>
  <si>
    <t>angelacamilarosero133@gmail.com</t>
  </si>
  <si>
    <t>neiracarsantander@gmail.com</t>
  </si>
  <si>
    <t>Urbano</t>
  </si>
  <si>
    <t>Ipiales</t>
  </si>
  <si>
    <t>Marisol</t>
  </si>
  <si>
    <t>marysolipialesurbano@gmail.com</t>
  </si>
  <si>
    <t>ING DE SISTEMAS</t>
  </si>
  <si>
    <t>Ruth</t>
  </si>
  <si>
    <t>ryamile.guerrero@gmail.com</t>
  </si>
  <si>
    <t>TRABAJADORA SOCIAL</t>
  </si>
  <si>
    <t>Cifuentes</t>
  </si>
  <si>
    <t>Paz</t>
  </si>
  <si>
    <t>Santiago</t>
  </si>
  <si>
    <t>Del carmen</t>
  </si>
  <si>
    <t>Danielsantiago0123@hotmail.com</t>
  </si>
  <si>
    <t>Ceron</t>
  </si>
  <si>
    <t>Bairon</t>
  </si>
  <si>
    <t>byrux706@hotmail.com</t>
  </si>
  <si>
    <t>Alberto</t>
  </si>
  <si>
    <t>roseroalbert@gmail.com</t>
  </si>
  <si>
    <t>Portillo</t>
  </si>
  <si>
    <t>Yurany</t>
  </si>
  <si>
    <t>Lucia</t>
  </si>
  <si>
    <t>yportillosantander@gmail.com</t>
  </si>
  <si>
    <t>Aracely</t>
  </si>
  <si>
    <t>Del Rosario</t>
  </si>
  <si>
    <t xml:space="preserve">bastidasaracely77@gmail.com </t>
  </si>
  <si>
    <t>Mora</t>
  </si>
  <si>
    <t>Jhonnatan</t>
  </si>
  <si>
    <t>Steven</t>
  </si>
  <si>
    <t>yz88_08@hotmail.com</t>
  </si>
  <si>
    <t>paolacabreraerazo@gmail.com</t>
  </si>
  <si>
    <t>Vera</t>
  </si>
  <si>
    <t>alejandrabastidasver@gmail.com</t>
  </si>
  <si>
    <t>Basante</t>
  </si>
  <si>
    <t>Cuaspud</t>
  </si>
  <si>
    <t>Denis</t>
  </si>
  <si>
    <t>Talia</t>
  </si>
  <si>
    <t>Mabel</t>
  </si>
  <si>
    <t>mmmmabelicha@hotmail.com</t>
  </si>
  <si>
    <t>ABRIL</t>
  </si>
  <si>
    <t>Denistalia@gmail.com</t>
  </si>
  <si>
    <t>Ordoñez</t>
  </si>
  <si>
    <t>Morcillo</t>
  </si>
  <si>
    <t xml:space="preserve">paoandre190905@gmail.com </t>
  </si>
  <si>
    <t>Zamora</t>
  </si>
  <si>
    <t>Apraez</t>
  </si>
  <si>
    <t>MAYO</t>
  </si>
  <si>
    <t>mafezam2405@hotmail.com</t>
  </si>
  <si>
    <t xml:space="preserve"> jessicabotina743@gmail.com </t>
  </si>
  <si>
    <t xml:space="preserve">marthameloceron@hotmail.com  </t>
  </si>
  <si>
    <t>Botina</t>
  </si>
  <si>
    <t>Calvache</t>
  </si>
  <si>
    <t>Martha</t>
  </si>
  <si>
    <t>Ascuntar</t>
  </si>
  <si>
    <t>Pulzara</t>
  </si>
  <si>
    <t>Nancy</t>
  </si>
  <si>
    <t>Liliana</t>
  </si>
  <si>
    <t>Por cancelar</t>
  </si>
  <si>
    <t>nancy.lili.2611@gmail.com</t>
  </si>
  <si>
    <t>&lt;</t>
  </si>
  <si>
    <t>nequi</t>
  </si>
  <si>
    <t>daviplata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</si>
</sst>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43" formatCode="_-* #,##0.00_-;\-* #,##0.00_-;_-* &quot;-&quot;??_-;_-@_-"/>
    <numFmt numFmtId="164" formatCode="_-* #,##0_-;\-* #,##0_-;_-* &quot;-&quot;??_-;_-@_-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Arial"/>
      <family val="2"/>
    </font>
    <font>
      <b/>
      <sz val="11"/>
      <color rgb="FF000000"/>
      <name val="Segoe UI"/>
      <family val="2"/>
    </font>
    <font>
      <u/>
      <sz val="12"/>
      <name val="Arial"/>
      <family val="2"/>
    </font>
    <font>
      <b/>
      <sz val="11"/>
      <color theme="1"/>
      <name val="Arial"/>
      <family val="2"/>
    </font>
    <font>
      <u/>
      <sz val="12"/>
      <color theme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theme="0" tint="-0.14999847407452621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143">
    <xf numFmtId="0" fontId="0" fillId="0" borderId="0" xfId="0"/>
    <xf numFmtId="0" fontId="4" fillId="0" borderId="0" xfId="0" applyFont="1" applyAlignment="1">
      <alignment vertical="center"/>
    </xf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left" vertical="center"/>
    </xf>
    <xf numFmtId="0" fontId="5" fillId="0" borderId="5" xfId="0" applyFont="1" applyBorder="1"/>
    <xf numFmtId="0" fontId="6" fillId="0" borderId="6" xfId="0" applyFont="1" applyBorder="1" applyAlignment="1">
      <alignment horizontal="center"/>
    </xf>
    <xf numFmtId="0" fontId="6" fillId="0" borderId="1" xfId="0" applyFont="1" applyBorder="1" applyAlignment="1">
      <alignment horizontal="left"/>
    </xf>
    <xf numFmtId="0" fontId="5" fillId="0" borderId="7" xfId="0" applyFont="1" applyBorder="1"/>
    <xf numFmtId="0" fontId="5" fillId="0" borderId="6" xfId="0" applyFont="1" applyBorder="1" applyAlignment="1">
      <alignment horizontal="center" vertical="center"/>
    </xf>
    <xf numFmtId="0" fontId="5" fillId="0" borderId="1" xfId="0" applyFont="1" applyBorder="1" applyAlignment="1">
      <alignment horizontal="left"/>
    </xf>
    <xf numFmtId="0" fontId="5" fillId="0" borderId="1" xfId="0" applyFont="1" applyBorder="1"/>
    <xf numFmtId="0" fontId="6" fillId="0" borderId="7" xfId="0" applyFont="1" applyBorder="1" applyAlignment="1">
      <alignment horizontal="left"/>
    </xf>
    <xf numFmtId="0" fontId="5" fillId="0" borderId="7" xfId="0" applyFont="1" applyBorder="1" applyAlignment="1">
      <alignment horizontal="left"/>
    </xf>
    <xf numFmtId="0" fontId="8" fillId="0" borderId="0" xfId="3"/>
    <xf numFmtId="0" fontId="10" fillId="0" borderId="0" xfId="0" applyFont="1"/>
    <xf numFmtId="0" fontId="9" fillId="2" borderId="1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left"/>
    </xf>
    <xf numFmtId="14" fontId="9" fillId="2" borderId="1" xfId="0" applyNumberFormat="1" applyFont="1" applyFill="1" applyBorder="1" applyAlignment="1">
      <alignment horizontal="center"/>
    </xf>
    <xf numFmtId="0" fontId="9" fillId="2" borderId="1" xfId="0" applyFont="1" applyFill="1" applyBorder="1"/>
    <xf numFmtId="14" fontId="9" fillId="2" borderId="1" xfId="0" applyNumberFormat="1" applyFont="1" applyFill="1" applyBorder="1"/>
    <xf numFmtId="0" fontId="9" fillId="0" borderId="1" xfId="0" applyFont="1" applyBorder="1"/>
    <xf numFmtId="164" fontId="9" fillId="2" borderId="1" xfId="1" applyNumberFormat="1" applyFont="1" applyFill="1" applyBorder="1" applyAlignment="1">
      <alignment horizontal="center"/>
    </xf>
    <xf numFmtId="0" fontId="8" fillId="0" borderId="0" xfId="3" applyFill="1" applyBorder="1"/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wrapText="1"/>
    </xf>
    <xf numFmtId="0" fontId="2" fillId="0" borderId="9" xfId="0" applyFont="1" applyBorder="1" applyAlignment="1">
      <alignment horizontal="center"/>
    </xf>
    <xf numFmtId="0" fontId="9" fillId="0" borderId="8" xfId="0" applyFont="1" applyBorder="1"/>
    <xf numFmtId="0" fontId="4" fillId="2" borderId="8" xfId="0" applyFont="1" applyFill="1" applyBorder="1"/>
    <xf numFmtId="0" fontId="9" fillId="2" borderId="0" xfId="0" applyFont="1" applyFill="1"/>
    <xf numFmtId="0" fontId="9" fillId="2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64" fontId="9" fillId="2" borderId="0" xfId="1" applyNumberFormat="1" applyFont="1" applyFill="1" applyBorder="1" applyAlignment="1">
      <alignment horizontal="center"/>
    </xf>
    <xf numFmtId="0" fontId="9" fillId="2" borderId="0" xfId="0" applyFont="1" applyFill="1" applyAlignment="1">
      <alignment horizontal="left"/>
    </xf>
    <xf numFmtId="14" fontId="9" fillId="2" borderId="0" xfId="0" applyNumberFormat="1" applyFont="1" applyFill="1"/>
    <xf numFmtId="0" fontId="9" fillId="0" borderId="0" xfId="0" applyFont="1"/>
    <xf numFmtId="0" fontId="2" fillId="0" borderId="10" xfId="0" applyFont="1" applyBorder="1" applyAlignment="1">
      <alignment horizontal="center"/>
    </xf>
    <xf numFmtId="0" fontId="0" fillId="5" borderId="11" xfId="0" applyFill="1" applyBorder="1"/>
    <xf numFmtId="0" fontId="0" fillId="5" borderId="12" xfId="0" applyFill="1" applyBorder="1"/>
    <xf numFmtId="0" fontId="0" fillId="5" borderId="13" xfId="0" applyFill="1" applyBorder="1"/>
    <xf numFmtId="0" fontId="9" fillId="3" borderId="0" xfId="0" applyFont="1" applyFill="1"/>
    <xf numFmtId="0" fontId="11" fillId="2" borderId="0" xfId="0" applyFont="1" applyFill="1" applyAlignment="1">
      <alignment horizontal="center"/>
    </xf>
    <xf numFmtId="0" fontId="9" fillId="2" borderId="0" xfId="0" applyFont="1" applyFill="1" applyAlignment="1">
      <alignment horizontal="left" vertical="center" wrapText="1"/>
    </xf>
    <xf numFmtId="0" fontId="9" fillId="2" borderId="0" xfId="0" applyFont="1" applyFill="1" applyAlignment="1">
      <alignment vertical="center" wrapText="1"/>
    </xf>
    <xf numFmtId="0" fontId="9" fillId="2" borderId="0" xfId="0" applyFont="1" applyFill="1" applyAlignment="1">
      <alignment horizontal="center" wrapText="1"/>
    </xf>
    <xf numFmtId="14" fontId="9" fillId="2" borderId="0" xfId="0" applyNumberFormat="1" applyFont="1" applyFill="1" applyAlignment="1">
      <alignment horizontal="center" wrapText="1"/>
    </xf>
    <xf numFmtId="0" fontId="9" fillId="2" borderId="0" xfId="0" applyFont="1" applyFill="1" applyAlignment="1">
      <alignment wrapText="1"/>
    </xf>
    <xf numFmtId="14" fontId="9" fillId="2" borderId="0" xfId="0" applyNumberFormat="1" applyFont="1" applyFill="1" applyAlignment="1">
      <alignment wrapText="1"/>
    </xf>
    <xf numFmtId="0" fontId="9" fillId="2" borderId="8" xfId="0" applyFont="1" applyFill="1" applyBorder="1"/>
    <xf numFmtId="0" fontId="9" fillId="2" borderId="8" xfId="0" applyFont="1" applyFill="1" applyBorder="1" applyAlignment="1">
      <alignment horizontal="center"/>
    </xf>
    <xf numFmtId="14" fontId="9" fillId="2" borderId="8" xfId="0" applyNumberFormat="1" applyFont="1" applyFill="1" applyBorder="1" applyAlignment="1">
      <alignment horizontal="center"/>
    </xf>
    <xf numFmtId="164" fontId="9" fillId="2" borderId="8" xfId="1" applyNumberFormat="1" applyFont="1" applyFill="1" applyBorder="1" applyAlignment="1">
      <alignment horizontal="center"/>
    </xf>
    <xf numFmtId="0" fontId="9" fillId="2" borderId="8" xfId="0" applyFont="1" applyFill="1" applyBorder="1" applyAlignment="1">
      <alignment horizontal="left"/>
    </xf>
    <xf numFmtId="14" fontId="9" fillId="2" borderId="8" xfId="0" applyNumberFormat="1" applyFont="1" applyFill="1" applyBorder="1"/>
    <xf numFmtId="0" fontId="9" fillId="4" borderId="1" xfId="0" applyFont="1" applyFill="1" applyBorder="1"/>
    <xf numFmtId="0" fontId="9" fillId="4" borderId="1" xfId="0" applyFont="1" applyFill="1" applyBorder="1" applyAlignment="1">
      <alignment horizontal="center"/>
    </xf>
    <xf numFmtId="14" fontId="9" fillId="4" borderId="1" xfId="0" applyNumberFormat="1" applyFont="1" applyFill="1" applyBorder="1" applyAlignment="1">
      <alignment horizontal="center"/>
    </xf>
    <xf numFmtId="164" fontId="9" fillId="4" borderId="1" xfId="1" applyNumberFormat="1" applyFont="1" applyFill="1" applyBorder="1" applyAlignment="1">
      <alignment horizontal="center"/>
    </xf>
    <xf numFmtId="0" fontId="9" fillId="4" borderId="1" xfId="0" applyFont="1" applyFill="1" applyBorder="1" applyAlignment="1">
      <alignment horizontal="left"/>
    </xf>
    <xf numFmtId="14" fontId="9" fillId="4" borderId="1" xfId="0" applyNumberFormat="1" applyFont="1" applyFill="1" applyBorder="1"/>
    <xf numFmtId="0" fontId="9" fillId="2" borderId="14" xfId="0" applyFont="1" applyFill="1" applyBorder="1"/>
    <xf numFmtId="0" fontId="9" fillId="2" borderId="15" xfId="0" applyFont="1" applyFill="1" applyBorder="1"/>
    <xf numFmtId="0" fontId="9" fillId="4" borderId="15" xfId="0" applyFont="1" applyFill="1" applyBorder="1"/>
    <xf numFmtId="0" fontId="9" fillId="3" borderId="1" xfId="0" applyFont="1" applyFill="1" applyBorder="1"/>
    <xf numFmtId="0" fontId="5" fillId="0" borderId="18" xfId="0" applyFont="1" applyBorder="1"/>
    <xf numFmtId="0" fontId="9" fillId="3" borderId="8" xfId="0" applyFont="1" applyFill="1" applyBorder="1"/>
    <xf numFmtId="0" fontId="12" fillId="0" borderId="2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9" fillId="2" borderId="19" xfId="0" applyFont="1" applyFill="1" applyBorder="1"/>
    <xf numFmtId="0" fontId="9" fillId="2" borderId="19" xfId="0" applyFont="1" applyFill="1" applyBorder="1" applyAlignment="1">
      <alignment horizontal="center"/>
    </xf>
    <xf numFmtId="14" fontId="9" fillId="2" borderId="19" xfId="0" applyNumberFormat="1" applyFont="1" applyFill="1" applyBorder="1" applyAlignment="1">
      <alignment horizontal="center"/>
    </xf>
    <xf numFmtId="164" fontId="9" fillId="2" borderId="19" xfId="1" applyNumberFormat="1" applyFont="1" applyFill="1" applyBorder="1" applyAlignment="1">
      <alignment horizontal="center"/>
    </xf>
    <xf numFmtId="0" fontId="9" fillId="2" borderId="19" xfId="0" applyFont="1" applyFill="1" applyBorder="1" applyAlignment="1">
      <alignment horizontal="left"/>
    </xf>
    <xf numFmtId="14" fontId="9" fillId="2" borderId="19" xfId="0" applyNumberFormat="1" applyFont="1" applyFill="1" applyBorder="1"/>
    <xf numFmtId="0" fontId="13" fillId="2" borderId="1" xfId="3" applyFont="1" applyFill="1" applyBorder="1" applyAlignment="1"/>
    <xf numFmtId="0" fontId="11" fillId="2" borderId="1" xfId="3" applyFont="1" applyFill="1" applyBorder="1" applyAlignment="1"/>
    <xf numFmtId="0" fontId="11" fillId="2" borderId="0" xfId="3" applyFont="1" applyFill="1" applyBorder="1" applyAlignment="1"/>
    <xf numFmtId="14" fontId="11" fillId="2" borderId="0" xfId="3" applyNumberFormat="1" applyFont="1" applyFill="1" applyBorder="1" applyAlignment="1"/>
    <xf numFmtId="0" fontId="9" fillId="2" borderId="20" xfId="0" applyFont="1" applyFill="1" applyBorder="1"/>
    <xf numFmtId="0" fontId="4" fillId="2" borderId="1" xfId="0" applyFont="1" applyFill="1" applyBorder="1"/>
    <xf numFmtId="0" fontId="4" fillId="2" borderId="1" xfId="0" applyFont="1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/>
    </xf>
    <xf numFmtId="3" fontId="4" fillId="2" borderId="1" xfId="0" applyNumberFormat="1" applyFont="1" applyFill="1" applyBorder="1"/>
    <xf numFmtId="14" fontId="4" fillId="2" borderId="1" xfId="0" applyNumberFormat="1" applyFont="1" applyFill="1" applyBorder="1"/>
    <xf numFmtId="164" fontId="9" fillId="6" borderId="1" xfId="1" applyNumberFormat="1" applyFont="1" applyFill="1" applyBorder="1" applyAlignment="1">
      <alignment horizontal="center"/>
    </xf>
    <xf numFmtId="0" fontId="4" fillId="2" borderId="19" xfId="0" applyFont="1" applyFill="1" applyBorder="1"/>
    <xf numFmtId="14" fontId="9" fillId="2" borderId="1" xfId="0" applyNumberFormat="1" applyFont="1" applyFill="1" applyBorder="1" applyAlignment="1">
      <alignment vertical="center"/>
    </xf>
    <xf numFmtId="0" fontId="5" fillId="0" borderId="17" xfId="0" applyFont="1" applyBorder="1"/>
    <xf numFmtId="0" fontId="5" fillId="0" borderId="5" xfId="0" applyFont="1" applyBorder="1" applyAlignment="1">
      <alignment horizontal="left" vertic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1" fontId="9" fillId="2" borderId="1" xfId="0" applyNumberFormat="1" applyFont="1" applyFill="1" applyBorder="1"/>
    <xf numFmtId="1" fontId="9" fillId="2" borderId="8" xfId="0" applyNumberFormat="1" applyFont="1" applyFill="1" applyBorder="1"/>
    <xf numFmtId="0" fontId="11" fillId="2" borderId="19" xfId="3" applyFont="1" applyFill="1" applyBorder="1" applyAlignment="1"/>
    <xf numFmtId="0" fontId="9" fillId="0" borderId="19" xfId="0" applyFont="1" applyBorder="1"/>
    <xf numFmtId="14" fontId="4" fillId="7" borderId="1" xfId="0" applyNumberFormat="1" applyFont="1" applyFill="1" applyBorder="1"/>
    <xf numFmtId="0" fontId="13" fillId="7" borderId="1" xfId="3" applyFont="1" applyFill="1" applyBorder="1"/>
    <xf numFmtId="0" fontId="13" fillId="2" borderId="1" xfId="3" applyFont="1" applyFill="1" applyBorder="1"/>
    <xf numFmtId="0" fontId="4" fillId="7" borderId="1" xfId="0" applyFont="1" applyFill="1" applyBorder="1"/>
    <xf numFmtId="0" fontId="11" fillId="2" borderId="1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left" vertical="center" wrapText="1"/>
    </xf>
    <xf numFmtId="0" fontId="9" fillId="2" borderId="1" xfId="0" applyFont="1" applyFill="1" applyBorder="1" applyAlignment="1">
      <alignment vertical="center"/>
    </xf>
    <xf numFmtId="0" fontId="9" fillId="0" borderId="1" xfId="0" applyFont="1" applyBorder="1" applyAlignment="1">
      <alignment wrapText="1"/>
    </xf>
    <xf numFmtId="14" fontId="9" fillId="6" borderId="1" xfId="0" applyNumberFormat="1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4" fillId="2" borderId="15" xfId="0" applyFont="1" applyFill="1" applyBorder="1"/>
    <xf numFmtId="0" fontId="9" fillId="2" borderId="15" xfId="0" applyFont="1" applyFill="1" applyBorder="1" applyAlignment="1">
      <alignment vertical="center"/>
    </xf>
    <xf numFmtId="14" fontId="9" fillId="2" borderId="1" xfId="0" applyNumberFormat="1" applyFont="1" applyFill="1" applyBorder="1" applyAlignment="1">
      <alignment vertical="center" wrapText="1"/>
    </xf>
    <xf numFmtId="0" fontId="9" fillId="2" borderId="1" xfId="0" applyFont="1" applyFill="1" applyBorder="1" applyAlignment="1">
      <alignment vertical="center" wrapText="1"/>
    </xf>
    <xf numFmtId="0" fontId="11" fillId="2" borderId="1" xfId="3" applyFont="1" applyFill="1" applyBorder="1" applyAlignment="1">
      <alignment vertical="center" wrapText="1"/>
    </xf>
    <xf numFmtId="0" fontId="9" fillId="2" borderId="1" xfId="0" applyFont="1" applyFill="1" applyBorder="1" applyAlignment="1">
      <alignment horizontal="center" wrapText="1"/>
    </xf>
    <xf numFmtId="14" fontId="9" fillId="2" borderId="1" xfId="0" applyNumberFormat="1" applyFont="1" applyFill="1" applyBorder="1" applyAlignment="1">
      <alignment horizontal="center" wrapText="1"/>
    </xf>
    <xf numFmtId="164" fontId="9" fillId="2" borderId="1" xfId="1" applyNumberFormat="1" applyFont="1" applyFill="1" applyBorder="1" applyAlignment="1">
      <alignment horizontal="center" wrapText="1"/>
    </xf>
    <xf numFmtId="0" fontId="9" fillId="2" borderId="1" xfId="0" applyFont="1" applyFill="1" applyBorder="1" applyAlignment="1">
      <alignment wrapText="1"/>
    </xf>
    <xf numFmtId="0" fontId="8" fillId="2" borderId="1" xfId="3" applyFill="1" applyBorder="1" applyAlignment="1">
      <alignment vertical="center" wrapText="1"/>
    </xf>
    <xf numFmtId="14" fontId="9" fillId="2" borderId="1" xfId="0" applyNumberFormat="1" applyFont="1" applyFill="1" applyBorder="1" applyAlignment="1">
      <alignment wrapText="1"/>
    </xf>
    <xf numFmtId="0" fontId="9" fillId="2" borderId="1" xfId="0" applyFont="1" applyFill="1" applyBorder="1" applyAlignment="1">
      <alignment horizontal="center" vertical="center" wrapText="1"/>
    </xf>
    <xf numFmtId="14" fontId="9" fillId="2" borderId="1" xfId="0" applyNumberFormat="1" applyFont="1" applyFill="1" applyBorder="1" applyAlignment="1">
      <alignment horizontal="center" vertical="center" wrapText="1"/>
    </xf>
    <xf numFmtId="164" fontId="9" fillId="2" borderId="1" xfId="1" applyNumberFormat="1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9" fillId="2" borderId="1" xfId="0" applyFont="1" applyFill="1" applyBorder="1" applyAlignment="1">
      <alignment horizontal="left" wrapText="1"/>
    </xf>
    <xf numFmtId="0" fontId="11" fillId="2" borderId="1" xfId="3" applyFont="1" applyFill="1" applyBorder="1" applyAlignment="1">
      <alignment vertical="center"/>
    </xf>
    <xf numFmtId="49" fontId="3" fillId="2" borderId="1" xfId="0" applyNumberFormat="1" applyFont="1" applyFill="1" applyBorder="1" applyAlignment="1" applyProtection="1">
      <alignment horizontal="center" vertical="center" wrapText="1"/>
      <protection locked="0"/>
    </xf>
    <xf numFmtId="14" fontId="3" fillId="2" borderId="1" xfId="2" applyNumberFormat="1" applyFont="1" applyFill="1" applyBorder="1" applyAlignment="1" applyProtection="1">
      <alignment horizontal="center" vertical="center" wrapText="1"/>
      <protection locked="0"/>
    </xf>
    <xf numFmtId="164" fontId="3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0" fontId="3" fillId="2" borderId="15" xfId="2" applyNumberFormat="1" applyFont="1" applyFill="1" applyBorder="1" applyAlignment="1" applyProtection="1">
      <alignment horizontal="center" vertical="center" wrapText="1"/>
      <protection locked="0"/>
    </xf>
    <xf numFmtId="14" fontId="3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3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3" fillId="2" borderId="15" xfId="0" applyFont="1" applyFill="1" applyBorder="1"/>
    <xf numFmtId="1" fontId="9" fillId="6" borderId="1" xfId="0" applyNumberFormat="1" applyFont="1" applyFill="1" applyBorder="1"/>
    <xf numFmtId="0" fontId="9" fillId="6" borderId="15" xfId="0" applyFont="1" applyFill="1" applyBorder="1"/>
    <xf numFmtId="0" fontId="9" fillId="6" borderId="1" xfId="0" applyFont="1" applyFill="1" applyBorder="1" applyAlignment="1">
      <alignment vertical="center"/>
    </xf>
    <xf numFmtId="0" fontId="3" fillId="6" borderId="1" xfId="0" applyFont="1" applyFill="1" applyBorder="1" applyAlignment="1">
      <alignment horizontal="center"/>
    </xf>
    <xf numFmtId="0" fontId="11" fillId="6" borderId="1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left" vertical="center" wrapText="1"/>
    </xf>
    <xf numFmtId="14" fontId="9" fillId="6" borderId="1" xfId="0" applyNumberFormat="1" applyFont="1" applyFill="1" applyBorder="1" applyAlignment="1">
      <alignment vertical="center"/>
    </xf>
    <xf numFmtId="0" fontId="9" fillId="6" borderId="1" xfId="0" applyFont="1" applyFill="1" applyBorder="1"/>
  </cellXfs>
  <cellStyles count="4">
    <cellStyle name="Hipervínculo" xfId="3" builtinId="8"/>
    <cellStyle name="Millares" xfId="1" builtinId="3"/>
    <cellStyle name="Millares [0]" xfId="2" builtinId="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46B886E-5378-4525-9F18-895B0B50D33F}">
  <we:reference id="wa104051163" version="1.2.0.3" store="es-E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ipsdomiciliariasanrafaelsas@gmail.com" TargetMode="External"/><Relationship Id="rId13" Type="http://schemas.openxmlformats.org/officeDocument/2006/relationships/hyperlink" Target="mailto:eandrest29@gmail.com" TargetMode="External"/><Relationship Id="rId18" Type="http://schemas.openxmlformats.org/officeDocument/2006/relationships/hyperlink" Target="mailto:neiracarsantander@gmail.com" TargetMode="External"/><Relationship Id="rId3" Type="http://schemas.openxmlformats.org/officeDocument/2006/relationships/hyperlink" Target="mailto:sofi-1246@hotmail.com" TargetMode="External"/><Relationship Id="rId21" Type="http://schemas.openxmlformats.org/officeDocument/2006/relationships/hyperlink" Target="mailto:alejandrabastidasver@gmail.com" TargetMode="External"/><Relationship Id="rId7" Type="http://schemas.openxmlformats.org/officeDocument/2006/relationships/hyperlink" Target="mailto:daniels-100@hotmail.com" TargetMode="External"/><Relationship Id="rId12" Type="http://schemas.openxmlformats.org/officeDocument/2006/relationships/hyperlink" Target="mailto:eandrest29@gmail.com" TargetMode="External"/><Relationship Id="rId17" Type="http://schemas.openxmlformats.org/officeDocument/2006/relationships/hyperlink" Target="mailto:angelacamilarosero133@gmail.com" TargetMode="External"/><Relationship Id="rId2" Type="http://schemas.openxmlformats.org/officeDocument/2006/relationships/hyperlink" Target="mailto:jalexanderrivas@hotmail.com" TargetMode="External"/><Relationship Id="rId16" Type="http://schemas.openxmlformats.org/officeDocument/2006/relationships/hyperlink" Target="mailto:angelacamilarosero133@gmail.com" TargetMode="External"/><Relationship Id="rId20" Type="http://schemas.openxmlformats.org/officeDocument/2006/relationships/hyperlink" Target="mailto:alejandrabastidasver@gmail.com" TargetMode="External"/><Relationship Id="rId1" Type="http://schemas.openxmlformats.org/officeDocument/2006/relationships/hyperlink" Target="mailto:jalexanderrivas@hotmail.com" TargetMode="External"/><Relationship Id="rId6" Type="http://schemas.openxmlformats.org/officeDocument/2006/relationships/hyperlink" Target="mailto:daniels-100@hotmail.com" TargetMode="External"/><Relationship Id="rId11" Type="http://schemas.openxmlformats.org/officeDocument/2006/relationships/hyperlink" Target="mailto:Alejandrachaves1982@gmail.com" TargetMode="External"/><Relationship Id="rId5" Type="http://schemas.openxmlformats.org/officeDocument/2006/relationships/hyperlink" Target="mailto:sammymunares33@gmail.com" TargetMode="External"/><Relationship Id="rId15" Type="http://schemas.openxmlformats.org/officeDocument/2006/relationships/hyperlink" Target="mailto:angelrosero79@hotmail.com" TargetMode="External"/><Relationship Id="rId10" Type="http://schemas.openxmlformats.org/officeDocument/2006/relationships/hyperlink" Target="mailto:Alejandrachaves1982@gmail.com" TargetMode="External"/><Relationship Id="rId19" Type="http://schemas.openxmlformats.org/officeDocument/2006/relationships/hyperlink" Target="mailto:neiracarsantander@gmail.com" TargetMode="External"/><Relationship Id="rId4" Type="http://schemas.openxmlformats.org/officeDocument/2006/relationships/hyperlink" Target="mailto:sammymunares33@gmail.com" TargetMode="External"/><Relationship Id="rId9" Type="http://schemas.openxmlformats.org/officeDocument/2006/relationships/hyperlink" Target="mailto:ipsdomiciliariasanrafaelsas@gmail.com" TargetMode="External"/><Relationship Id="rId14" Type="http://schemas.openxmlformats.org/officeDocument/2006/relationships/hyperlink" Target="mailto:angelrosero79@hotmail.com" TargetMode="External"/><Relationship Id="rId22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centrodecapacitaciondelsur.com/soporte-basico-de-vida-" TargetMode="External"/><Relationship Id="rId1" Type="http://schemas.openxmlformats.org/officeDocument/2006/relationships/hyperlink" Target="https://centrodecapacitaciondelsur.com/soporte-basico-de-vida-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1048565"/>
  <sheetViews>
    <sheetView tabSelected="1" zoomScale="70" zoomScaleNormal="70" workbookViewId="0">
      <pane xSplit="1" ySplit="1" topLeftCell="B2" activePane="bottomRight" state="frozen"/>
      <selection pane="topRight"/>
      <selection pane="bottomLeft"/>
      <selection pane="bottomRight" activeCell="S1" sqref="S1"/>
    </sheetView>
  </sheetViews>
  <sheetFormatPr baseColWidth="10" defaultRowHeight="15" x14ac:dyDescent="0.2"/>
  <cols>
    <col min="1" max="1" width="6.42578125" style="19" bestFit="1" customWidth="1"/>
    <col min="2" max="2" width="18.85546875" style="30" customWidth="1"/>
    <col min="3" max="6" width="14.7109375" style="30" customWidth="1"/>
    <col min="7" max="7" width="7.5703125" style="31" customWidth="1"/>
    <col min="8" max="8" width="11.28515625" style="31" customWidth="1"/>
    <col min="9" max="9" width="17.140625" style="32" customWidth="1"/>
    <col min="10" max="10" width="16.42578125" style="33" customWidth="1"/>
    <col min="11" max="11" width="21.140625" style="31" customWidth="1"/>
    <col min="12" max="12" width="20.7109375" style="31" bestFit="1" customWidth="1"/>
    <col min="13" max="13" width="23.7109375" style="31" bestFit="1" customWidth="1"/>
    <col min="14" max="14" width="46.140625" style="34" customWidth="1"/>
    <col min="15" max="15" width="37" style="35" bestFit="1" customWidth="1"/>
    <col min="16" max="16" width="14.42578125" style="30" bestFit="1" customWidth="1"/>
    <col min="17" max="17" width="44.85546875" style="30" bestFit="1" customWidth="1"/>
    <col min="18" max="18" width="17.42578125" style="30" bestFit="1" customWidth="1"/>
    <col min="19" max="19" width="42.42578125" style="30" bestFit="1" customWidth="1"/>
    <col min="20" max="20" width="110.28515625" style="41" bestFit="1" customWidth="1"/>
    <col min="21" max="21" width="52" style="41" bestFit="1" customWidth="1"/>
    <col min="22" max="22" width="48" style="41" bestFit="1" customWidth="1"/>
    <col min="23" max="23" width="107.5703125" style="41" bestFit="1" customWidth="1"/>
    <col min="24" max="16384" width="11.42578125" style="36"/>
  </cols>
  <sheetData>
    <row r="1" spans="1:23" s="133" customFormat="1" ht="46.5" customHeight="1" x14ac:dyDescent="0.25">
      <c r="A1" s="129" t="s">
        <v>76</v>
      </c>
      <c r="B1" s="130" t="s">
        <v>0</v>
      </c>
      <c r="C1" s="129" t="s">
        <v>1</v>
      </c>
      <c r="D1" s="129" t="s">
        <v>2</v>
      </c>
      <c r="E1" s="129" t="s">
        <v>3</v>
      </c>
      <c r="F1" s="129" t="s">
        <v>4</v>
      </c>
      <c r="G1" s="126" t="s">
        <v>5</v>
      </c>
      <c r="H1" s="126" t="s">
        <v>6</v>
      </c>
      <c r="I1" s="127" t="s">
        <v>7</v>
      </c>
      <c r="J1" s="128" t="s">
        <v>8</v>
      </c>
      <c r="K1" s="129" t="s">
        <v>9</v>
      </c>
      <c r="L1" s="129" t="s">
        <v>77</v>
      </c>
      <c r="M1" s="129" t="s">
        <v>10</v>
      </c>
      <c r="N1" s="129" t="s">
        <v>11</v>
      </c>
      <c r="O1" s="131" t="s">
        <v>75</v>
      </c>
      <c r="P1" s="129" t="s">
        <v>12</v>
      </c>
      <c r="Q1" s="129" t="s">
        <v>13</v>
      </c>
      <c r="R1" s="129" t="s">
        <v>14</v>
      </c>
      <c r="S1" s="129" t="s">
        <v>78</v>
      </c>
      <c r="T1" s="132" t="s">
        <v>15</v>
      </c>
      <c r="U1" s="132" t="s">
        <v>16</v>
      </c>
      <c r="V1" s="132" t="s">
        <v>17</v>
      </c>
      <c r="W1" s="132" t="s">
        <v>18</v>
      </c>
    </row>
    <row r="2" spans="1:23" s="21" customFormat="1" x14ac:dyDescent="0.2">
      <c r="A2" s="94">
        <v>1</v>
      </c>
      <c r="B2" s="62">
        <v>87454775</v>
      </c>
      <c r="C2" s="19" t="s">
        <v>86</v>
      </c>
      <c r="D2" s="19" t="s">
        <v>87</v>
      </c>
      <c r="E2" s="19" t="s">
        <v>88</v>
      </c>
      <c r="F2" s="19" t="s">
        <v>89</v>
      </c>
      <c r="G2" s="16">
        <v>3</v>
      </c>
      <c r="H2" s="16" t="s">
        <v>90</v>
      </c>
      <c r="I2" s="18">
        <v>45447</v>
      </c>
      <c r="J2" s="22">
        <v>90000</v>
      </c>
      <c r="K2" s="16" t="s">
        <v>107</v>
      </c>
      <c r="L2" s="16" t="s">
        <v>92</v>
      </c>
      <c r="M2" s="16" t="s">
        <v>93</v>
      </c>
      <c r="N2" s="17" t="s">
        <v>39</v>
      </c>
      <c r="O2" s="20">
        <v>28580</v>
      </c>
      <c r="P2" s="19" t="s">
        <v>94</v>
      </c>
      <c r="Q2" s="19" t="s">
        <v>95</v>
      </c>
      <c r="R2" s="19">
        <v>3148763008</v>
      </c>
      <c r="S2" s="77" t="s">
        <v>96</v>
      </c>
      <c r="T2" s="64" t="str">
        <f>IF(N2=CURSOS!$D$3,"DIPLOMADO EN ATENCION PRE-HOSPITALARIA",IF(N2=CURSOS!$D$4,"ACOMPAÑAMIENTO Y MANEJO DEL DUELO",IF(N2=CURSOS!$D$5,"ATENCION A VICTIMAS DE ATAQUE CON AGENTES QUIMICOS ",IF(N2=CURSOS!$D$6,"PRIMEROS AUXILIOS ",IF(N2=CURSOS!$D$7,"DIPLOMADO DE UNIDAD DE CUIDADOS INTENSIVOS (UCI)",IF(N2=CURSOS!$D$8,"MODELO DE ATENCION PARA EVENTOS EMERGENTES EN SALUD MENTAL (CODIGO VERDE)",IF(N2=CURSOS!$D$9,"HUMANIZACION EN SALUD, BUENAS PRACTICAS EN PACIENTE ",IF(N2=CURSOS!$D$10,"CLINICA DE HERIDAS ",IF(N2=CURSOS!$D$11,"TOMA DE CITOLOGIA A CERVICO VAGINAL ",IF(N2=CURSOS!$D$12,"SOPORTE CARDIOVASCULAR AVANZADO ",IF(N2=CURSOS!$D$13,"CAMILLERO ",IF(N2=CURSOS!$D$14,"TOMA MUESTRAS Y LABORATORIO ",IF(N2=CURSOS!$D$15,"SOPORTE VITAL BASICO (BLS)",IF(N2=CURSOS!$D$16,"ATENCION A VICTIMAS DE VIOLENCIA SEXUAL ",IF(N2=CURSOS!$D$17,"PROGRAMADO AMPLIADO DE INMUNIZACION (PAI - COVID 19)",IF(N2=CURSOS!$D$18,"ATENCION INTEGRAL EN ENFERMEDADES PREVALENTES EN PRIMERA INFANCIA (AIEPI)",IF(N2=CURSOS!$D$19,"ADMINISTRACION DE MEDICAMENTOS, IYECTOLOGIA  Y CANALIZACION ",IF(N2=CURSOS!$D$20,"OPERADOR DE VEHICULOS DE EMERGENCIA (OVE)",IF(N2=CURSOS!$D$21,"INSTITUCIONES AMIGAS DE LA MUJER Y LA INFANCIA (IAMI)",IF(N2=CURSOS!$D$22,"CUIDADO DEL DONANTE DE ORGANOS",IF(N2=CURSOS!$D$23,"ATENCION A VICTIMAS POR VIOLENCIA DE GENERO",IF(N2=CURSOS!$D$24,"IGUALDAD DE GENERO EN LA SALUD",IF(N2=CURSOS!$D$25,"BRIGADA DE EMERGENCIA",IF(N2=CURSOS!$D$26,"MANEJO DEL DOLOR Y CUIDADOS PALIATIVOS",IF(N2=CURSOS!$D$27,"TOMA MUESTRAS Y LABORATORIO POCT",IF(N2=CURSOS!$D$28,"IMPLANTE SUBDERMICO Y DISPOSITIVO INTRAUTERINO",IF(N2=CURSOS!$D$29,"SALUD MENTAL",IF(N2=CURSOS!$D$30,"PRIMEROS AUXILIOS PSICOLOGICOS",IF(N2=CURSOS!$D$31,"ATENCION A VICTIMAS POR CONFLICTO ARMADO",IF(N2=CURSOS!$D$32,"MANIPULACION DE ALIMENTOS Y BPM",IF(N2=CURSOS!$D$33,"ATENCION A PERSONAS CON DISCAPACIDAD",IF(N2=CURSOS!$D$34,"CUIDADO INTEGRAL DEL PACIENTE ADULTO"))))))))))))))))))))))))))))))))</f>
        <v xml:space="preserve">SOPORTE CARDIOVASCULAR AVANZADO </v>
      </c>
      <c r="U2" s="64" t="str">
        <f t="shared" ref="U2" si="0">CONCATENATE(E2," ",F2," ",C2," ",D2)</f>
        <v>James Alexander Melo Villota</v>
      </c>
      <c r="V2" s="64" t="str">
        <f t="shared" ref="V2" si="1">+PROPER(U2)</f>
        <v>James Alexander Melo Villota</v>
      </c>
      <c r="W2" s="64" t="str">
        <f t="shared" ref="W2" si="2">CONCATENATE(U2,"-",B2,"-",N2)</f>
        <v>James Alexander Melo Villota-87454775-ACLS</v>
      </c>
    </row>
    <row r="3" spans="1:23" s="21" customFormat="1" x14ac:dyDescent="0.2">
      <c r="A3" s="94">
        <v>2</v>
      </c>
      <c r="B3" s="62">
        <v>87454775</v>
      </c>
      <c r="C3" s="19" t="s">
        <v>86</v>
      </c>
      <c r="D3" s="19" t="s">
        <v>87</v>
      </c>
      <c r="E3" s="19" t="s">
        <v>88</v>
      </c>
      <c r="F3" s="19" t="s">
        <v>89</v>
      </c>
      <c r="G3" s="16">
        <v>3</v>
      </c>
      <c r="H3" s="16" t="s">
        <v>90</v>
      </c>
      <c r="I3" s="18">
        <v>45447</v>
      </c>
      <c r="J3" s="22">
        <v>30000</v>
      </c>
      <c r="K3" s="16" t="s">
        <v>107</v>
      </c>
      <c r="L3" s="16" t="s">
        <v>92</v>
      </c>
      <c r="M3" s="16" t="s">
        <v>93</v>
      </c>
      <c r="N3" s="17" t="s">
        <v>19</v>
      </c>
      <c r="O3" s="20">
        <v>28580</v>
      </c>
      <c r="P3" s="19" t="s">
        <v>94</v>
      </c>
      <c r="Q3" s="19" t="s">
        <v>95</v>
      </c>
      <c r="R3" s="19">
        <v>3148763008</v>
      </c>
      <c r="S3" s="77" t="s">
        <v>96</v>
      </c>
      <c r="T3" s="64" t="str">
        <f>IF(N3=CURSOS!$D$3,"DIPLOMADO EN ATENCION PRE-HOSPITALARIA",IF(N3=CURSOS!$D$4,"ACOMPAÑAMIENTO Y MANEJO DEL DUELO",IF(N3=CURSOS!$D$5,"ATENCION A VICTIMAS DE ATAQUE CON AGENTES QUIMICOS ",IF(N3=CURSOS!$D$6,"PRIMEROS AUXILIOS ",IF(N3=CURSOS!$D$7,"DIPLOMADO DE UNIDAD DE CUIDADOS INTENSIVOS (UCI)",IF(N3=CURSOS!$D$8,"MODELO DE ATENCION PARA EVENTOS EMERGENTES EN SALUD MENTAL (CODIGO VERDE)",IF(N3=CURSOS!$D$9,"HUMANIZACION EN SALUD, BUENAS PRACTICAS EN PACIENTE ",IF(N3=CURSOS!$D$10,"CLINICA DE HERIDAS ",IF(N3=CURSOS!$D$11,"TOMA DE CITOLOGIA A CERVICO VAGINAL ",IF(N3=CURSOS!$D$12,"SOPORTE CARDIOVASCULAR AVANZADO ",IF(N3=CURSOS!$D$13,"CAMILLERO ",IF(N3=CURSOS!$D$14,"TOMA MUESTRAS Y LABORATORIO ",IF(N3=CURSOS!$D$15,"SOPORTE VITAL BASICO (BLS)",IF(N3=CURSOS!$D$16,"ATENCION A VICTIMAS DE VIOLENCIA SEXUAL ",IF(N3=CURSOS!$D$17,"PROGRAMADO AMPLIADO DE INMUNIZACION (PAI - COVID 19)",IF(N3=CURSOS!$D$18,"ATENCION INTEGRAL EN ENFERMEDADES PREVALENTES EN PRIMERA INFANCIA (AIEPI)",IF(N3=CURSOS!$D$19,"ADMINISTRACION DE MEDICAMENTOS, IYECTOLOGIA  Y CANALIZACION ",IF(N3=CURSOS!$D$20,"OPERADOR DE VEHICULOS DE EMERGENCIA (OVE)",IF(N3=CURSOS!$D$21,"INSTITUCIONES AMIGAS DE LA MUJER Y LA INFANCIA (IAMI)",IF(N3=CURSOS!$D$22,"CUIDADO DEL DONANTE DE ORGANOS",IF(N3=CURSOS!$D$23,"ATENCION A VICTIMAS POR VIOLENCIA DE GENERO",IF(N3=CURSOS!$D$24,"IGUALDAD DE GENERO EN LA SALUD",IF(N3=CURSOS!$D$25,"BRIGADA DE EMERGENCIA",IF(N3=CURSOS!$D$26,"MANEJO DEL DOLOR Y CUIDADOS PALIATIVOS",IF(N3=CURSOS!$D$27,"TOMA MUESTRAS Y LABORATORIO POCT",IF(N3=CURSOS!$D$28,"IMPLANTE SUBDERMICO Y DISPOSITIVO INTRAUTERINO",IF(N3=CURSOS!$D$29,"SALUD MENTAL",IF(N3=CURSOS!$D$30,"PRIMEROS AUXILIOS PSICOLOGICOS",IF(N3=CURSOS!$D$31,"ATENCION A VICTIMAS POR CONFLICTO ARMADO",IF(N3=CURSOS!$D$32,"MANIPULACION DE ALIMENTOS Y BPM",IF(N3=CURSOS!$D$33,"ATENCION A PERSONAS CON DISCAPACIDAD",IF(N3=CURSOS!$D$34,"CUIDADO INTEGRAL DEL PACIENTE ADULTO"))))))))))))))))))))))))))))))))</f>
        <v>SOPORTE VITAL BASICO (BLS)</v>
      </c>
      <c r="U3" s="64" t="str">
        <f t="shared" ref="U3:U66" si="3">CONCATENATE(E3," ",F3," ",C3," ",D3)</f>
        <v>James Alexander Melo Villota</v>
      </c>
      <c r="V3" s="64" t="str">
        <f t="shared" ref="V3:V66" si="4">+PROPER(U3)</f>
        <v>James Alexander Melo Villota</v>
      </c>
      <c r="W3" s="64" t="str">
        <f t="shared" ref="W3:W66" si="5">CONCATENATE(U3,"-",B3,"-",N3)</f>
        <v>James Alexander Melo Villota-87454775-BLS</v>
      </c>
    </row>
    <row r="4" spans="1:23" s="21" customFormat="1" x14ac:dyDescent="0.2">
      <c r="A4" s="94">
        <v>3</v>
      </c>
      <c r="B4" s="62">
        <v>87454775</v>
      </c>
      <c r="C4" s="19" t="s">
        <v>86</v>
      </c>
      <c r="D4" s="19" t="s">
        <v>87</v>
      </c>
      <c r="E4" s="19" t="s">
        <v>88</v>
      </c>
      <c r="F4" s="19" t="s">
        <v>89</v>
      </c>
      <c r="G4" s="16">
        <v>3</v>
      </c>
      <c r="H4" s="16" t="s">
        <v>90</v>
      </c>
      <c r="I4" s="18">
        <v>45447</v>
      </c>
      <c r="J4" s="22">
        <v>30000</v>
      </c>
      <c r="K4" s="16" t="s">
        <v>107</v>
      </c>
      <c r="L4" s="16" t="s">
        <v>92</v>
      </c>
      <c r="M4" s="16" t="s">
        <v>93</v>
      </c>
      <c r="N4" s="17" t="s">
        <v>46</v>
      </c>
      <c r="O4" s="20">
        <v>28580</v>
      </c>
      <c r="P4" s="19" t="s">
        <v>94</v>
      </c>
      <c r="Q4" s="19" t="s">
        <v>95</v>
      </c>
      <c r="R4" s="19">
        <v>3148763008</v>
      </c>
      <c r="S4" s="77" t="s">
        <v>96</v>
      </c>
      <c r="T4" s="64" t="str">
        <f>IF(N4=CURSOS!$D$3,"DIPLOMADO EN ATENCION PRE-HOSPITALARIA",IF(N4=CURSOS!$D$4,"ACOMPAÑAMIENTO Y MANEJO DEL DUELO",IF(N4=CURSOS!$D$5,"ATENCION A VICTIMAS DE ATAQUE CON AGENTES QUIMICOS ",IF(N4=CURSOS!$D$6,"PRIMEROS AUXILIOS ",IF(N4=CURSOS!$D$7,"DIPLOMADO DE UNIDAD DE CUIDADOS INTENSIVOS (UCI)",IF(N4=CURSOS!$D$8,"MODELO DE ATENCION PARA EVENTOS EMERGENTES EN SALUD MENTAL (CODIGO VERDE)",IF(N4=CURSOS!$D$9,"HUMANIZACION EN SALUD, BUENAS PRACTICAS EN PACIENTE ",IF(N4=CURSOS!$D$10,"CLINICA DE HERIDAS ",IF(N4=CURSOS!$D$11,"TOMA DE CITOLOGIA A CERVICO VAGINAL ",IF(N4=CURSOS!$D$12,"SOPORTE CARDIOVASCULAR AVANZADO ",IF(N4=CURSOS!$D$13,"CAMILLERO ",IF(N4=CURSOS!$D$14,"TOMA MUESTRAS Y LABORATORIO ",IF(N4=CURSOS!$D$15,"SOPORTE VITAL BASICO (BLS)",IF(N4=CURSOS!$D$16,"ATENCION A VICTIMAS DE VIOLENCIA SEXUAL ",IF(N4=CURSOS!$D$17,"PROGRAMADO AMPLIADO DE INMUNIZACION (PAI - COVID 19)",IF(N4=CURSOS!$D$18,"ATENCION INTEGRAL EN ENFERMEDADES PREVALENTES EN PRIMERA INFANCIA (AIEPI)",IF(N4=CURSOS!$D$19,"ADMINISTRACION DE MEDICAMENTOS, IYECTOLOGIA  Y CANALIZACION ",IF(N4=CURSOS!$D$20,"OPERADOR DE VEHICULOS DE EMERGENCIA (OVE)",IF(N4=CURSOS!$D$21,"INSTITUCIONES AMIGAS DE LA MUJER Y LA INFANCIA (IAMI)",IF(N4=CURSOS!$D$22,"CUIDADO DEL DONANTE DE ORGANOS",IF(N4=CURSOS!$D$23,"ATENCION A VICTIMAS POR VIOLENCIA DE GENERO",IF(N4=CURSOS!$D$24,"IGUALDAD DE GENERO EN LA SALUD",IF(N4=CURSOS!$D$25,"BRIGADA DE EMERGENCIA",IF(N4=CURSOS!$D$26,"MANEJO DEL DOLOR Y CUIDADOS PALIATIVOS",IF(N4=CURSOS!$D$27,"TOMA MUESTRAS Y LABORATORIO POCT",IF(N4=CURSOS!$D$28,"IMPLANTE SUBDERMICO Y DISPOSITIVO INTRAUTERINO",IF(N4=CURSOS!$D$29,"SALUD MENTAL",IF(N4=CURSOS!$D$30,"PRIMEROS AUXILIOS PSICOLOGICOS",IF(N4=CURSOS!$D$31,"ATENCION A VICTIMAS POR CONFLICTO ARMADO",IF(N4=CURSOS!$D$32,"MANIPULACION DE ALIMENTOS Y BPM",IF(N4=CURSOS!$D$33,"ATENCION A PERSONAS CON DISCAPACIDAD",IF(N4=CURSOS!$D$34,"CUIDADO INTEGRAL DEL PACIENTE ADULTO"))))))))))))))))))))))))))))))))</f>
        <v xml:space="preserve">ATENCION A VICTIMAS DE VIOLENCIA SEXUAL </v>
      </c>
      <c r="U4" s="64" t="str">
        <f t="shared" si="3"/>
        <v>James Alexander Melo Villota</v>
      </c>
      <c r="V4" s="64" t="str">
        <f t="shared" si="4"/>
        <v>James Alexander Melo Villota</v>
      </c>
      <c r="W4" s="64" t="str">
        <f t="shared" si="5"/>
        <v>James Alexander Melo Villota-87454775-VIOLENCIA SEXUAL</v>
      </c>
    </row>
    <row r="5" spans="1:23" s="21" customFormat="1" x14ac:dyDescent="0.2">
      <c r="A5" s="94">
        <v>4</v>
      </c>
      <c r="B5" s="62">
        <v>5293254</v>
      </c>
      <c r="C5" s="19" t="s">
        <v>104</v>
      </c>
      <c r="D5" s="19" t="s">
        <v>105</v>
      </c>
      <c r="E5" s="19" t="s">
        <v>106</v>
      </c>
      <c r="F5" s="19" t="s">
        <v>89</v>
      </c>
      <c r="G5" s="16">
        <v>4</v>
      </c>
      <c r="H5" s="16" t="s">
        <v>90</v>
      </c>
      <c r="I5" s="18">
        <v>45447</v>
      </c>
      <c r="J5" s="22">
        <v>35000</v>
      </c>
      <c r="K5" s="16" t="s">
        <v>107</v>
      </c>
      <c r="L5" s="16" t="s">
        <v>101</v>
      </c>
      <c r="M5" s="16" t="s">
        <v>93</v>
      </c>
      <c r="N5" s="17" t="s">
        <v>46</v>
      </c>
      <c r="O5" s="20">
        <v>31040</v>
      </c>
      <c r="P5" s="19" t="s">
        <v>94</v>
      </c>
      <c r="Q5" s="19" t="s">
        <v>111</v>
      </c>
      <c r="R5" s="19">
        <v>3167900139</v>
      </c>
      <c r="S5" s="77" t="s">
        <v>112</v>
      </c>
      <c r="T5" s="64" t="str">
        <f>IF(N5=CURSOS!$D$3,"DIPLOMADO EN ATENCION PRE-HOSPITALARIA",IF(N5=CURSOS!$D$4,"ACOMPAÑAMIENTO Y MANEJO DEL DUELO",IF(N5=CURSOS!$D$5,"ATENCION A VICTIMAS DE ATAQUE CON AGENTES QUIMICOS ",IF(N5=CURSOS!$D$6,"PRIMEROS AUXILIOS ",IF(N5=CURSOS!$D$7,"DIPLOMADO DE UNIDAD DE CUIDADOS INTENSIVOS (UCI)",IF(N5=CURSOS!$D$8,"MODELO DE ATENCION PARA EVENTOS EMERGENTES EN SALUD MENTAL (CODIGO VERDE)",IF(N5=CURSOS!$D$9,"HUMANIZACION EN SALUD, BUENAS PRACTICAS EN PACIENTE ",IF(N5=CURSOS!$D$10,"CLINICA DE HERIDAS ",IF(N5=CURSOS!$D$11,"TOMA DE CITOLOGIA A CERVICO VAGINAL ",IF(N5=CURSOS!$D$12,"SOPORTE CARDIOVASCULAR AVANZADO ",IF(N5=CURSOS!$D$13,"CAMILLERO ",IF(N5=CURSOS!$D$14,"TOMA MUESTRAS Y LABORATORIO ",IF(N5=CURSOS!$D$15,"SOPORTE VITAL BASICO (BLS)",IF(N5=CURSOS!$D$16,"ATENCION A VICTIMAS DE VIOLENCIA SEXUAL ",IF(N5=CURSOS!$D$17,"PROGRAMADO AMPLIADO DE INMUNIZACION (PAI - COVID 19)",IF(N5=CURSOS!$D$18,"ATENCION INTEGRAL EN ENFERMEDADES PREVALENTES EN PRIMERA INFANCIA (AIEPI)",IF(N5=CURSOS!$D$19,"ADMINISTRACION DE MEDICAMENTOS, IYECTOLOGIA  Y CANALIZACION ",IF(N5=CURSOS!$D$20,"OPERADOR DE VEHICULOS DE EMERGENCIA (OVE)",IF(N5=CURSOS!$D$21,"INSTITUCIONES AMIGAS DE LA MUJER Y LA INFANCIA (IAMI)",IF(N5=CURSOS!$D$22,"CUIDADO DEL DONANTE DE ORGANOS",IF(N5=CURSOS!$D$23,"ATENCION A VICTIMAS POR VIOLENCIA DE GENERO",IF(N5=CURSOS!$D$24,"IGUALDAD DE GENERO EN LA SALUD",IF(N5=CURSOS!$D$25,"BRIGADA DE EMERGENCIA",IF(N5=CURSOS!$D$26,"MANEJO DEL DOLOR Y CUIDADOS PALIATIVOS",IF(N5=CURSOS!$D$27,"TOMA MUESTRAS Y LABORATORIO POCT",IF(N5=CURSOS!$D$28,"IMPLANTE SUBDERMICO Y DISPOSITIVO INTRAUTERINO",IF(N5=CURSOS!$D$29,"SALUD MENTAL",IF(N5=CURSOS!$D$30,"PRIMEROS AUXILIOS PSICOLOGICOS",IF(N5=CURSOS!$D$31,"ATENCION A VICTIMAS POR CONFLICTO ARMADO",IF(N5=CURSOS!$D$32,"MANIPULACION DE ALIMENTOS Y BPM",IF(N5=CURSOS!$D$33,"ATENCION A PERSONAS CON DISCAPACIDAD",IF(N5=CURSOS!$D$34,"CUIDADO INTEGRAL DEL PACIENTE ADULTO"))))))))))))))))))))))))))))))))</f>
        <v xml:space="preserve">ATENCION A VICTIMAS DE VIOLENCIA SEXUAL </v>
      </c>
      <c r="U5" s="64" t="str">
        <f t="shared" si="3"/>
        <v>Jesús Alexander Rivas Goyes</v>
      </c>
      <c r="V5" s="64" t="str">
        <f t="shared" si="4"/>
        <v>Jesús Alexander Rivas Goyes</v>
      </c>
      <c r="W5" s="64" t="str">
        <f t="shared" si="5"/>
        <v>Jesús Alexander Rivas Goyes-5293254-VIOLENCIA SEXUAL</v>
      </c>
    </row>
    <row r="6" spans="1:23" s="21" customFormat="1" x14ac:dyDescent="0.2">
      <c r="A6" s="94">
        <v>5</v>
      </c>
      <c r="B6" s="62">
        <v>5293254</v>
      </c>
      <c r="C6" s="19" t="s">
        <v>104</v>
      </c>
      <c r="D6" s="19" t="s">
        <v>105</v>
      </c>
      <c r="E6" s="19" t="s">
        <v>106</v>
      </c>
      <c r="F6" s="19" t="s">
        <v>89</v>
      </c>
      <c r="G6" s="16">
        <v>4</v>
      </c>
      <c r="H6" s="16" t="s">
        <v>90</v>
      </c>
      <c r="I6" s="18">
        <v>45447</v>
      </c>
      <c r="J6" s="22">
        <v>35000</v>
      </c>
      <c r="K6" s="16" t="s">
        <v>107</v>
      </c>
      <c r="L6" s="16" t="s">
        <v>101</v>
      </c>
      <c r="M6" s="16" t="s">
        <v>93</v>
      </c>
      <c r="N6" s="17" t="s">
        <v>23</v>
      </c>
      <c r="O6" s="20">
        <v>31040</v>
      </c>
      <c r="P6" s="19" t="s">
        <v>94</v>
      </c>
      <c r="Q6" s="19" t="s">
        <v>111</v>
      </c>
      <c r="R6" s="19">
        <v>3167900139</v>
      </c>
      <c r="S6" s="77" t="s">
        <v>112</v>
      </c>
      <c r="T6" s="64" t="str">
        <f>IF(N6=CURSOS!$D$3,"DIPLOMADO EN ATENCION PRE-HOSPITALARIA",IF(N6=CURSOS!$D$4,"ACOMPAÑAMIENTO Y MANEJO DEL DUELO",IF(N6=CURSOS!$D$5,"ATENCION A VICTIMAS DE ATAQUE CON AGENTES QUIMICOS ",IF(N6=CURSOS!$D$6,"PRIMEROS AUXILIOS ",IF(N6=CURSOS!$D$7,"DIPLOMADO DE UNIDAD DE CUIDADOS INTENSIVOS (UCI)",IF(N6=CURSOS!$D$8,"MODELO DE ATENCION PARA EVENTOS EMERGENTES EN SALUD MENTAL (CODIGO VERDE)",IF(N6=CURSOS!$D$9,"HUMANIZACION EN SALUD, BUENAS PRACTICAS EN PACIENTE ",IF(N6=CURSOS!$D$10,"CLINICA DE HERIDAS ",IF(N6=CURSOS!$D$11,"TOMA DE CITOLOGIA A CERVICO VAGINAL ",IF(N6=CURSOS!$D$12,"SOPORTE CARDIOVASCULAR AVANZADO ",IF(N6=CURSOS!$D$13,"CAMILLERO ",IF(N6=CURSOS!$D$14,"TOMA MUESTRAS Y LABORATORIO ",IF(N6=CURSOS!$D$15,"SOPORTE VITAL BASICO (BLS)",IF(N6=CURSOS!$D$16,"ATENCION A VICTIMAS DE VIOLENCIA SEXUAL ",IF(N6=CURSOS!$D$17,"PROGRAMADO AMPLIADO DE INMUNIZACION (PAI - COVID 19)",IF(N6=CURSOS!$D$18,"ATENCION INTEGRAL EN ENFERMEDADES PREVALENTES EN PRIMERA INFANCIA (AIEPI)",IF(N6=CURSOS!$D$19,"ADMINISTRACION DE MEDICAMENTOS, IYECTOLOGIA  Y CANALIZACION ",IF(N6=CURSOS!$D$20,"OPERADOR DE VEHICULOS DE EMERGENCIA (OVE)",IF(N6=CURSOS!$D$21,"INSTITUCIONES AMIGAS DE LA MUJER Y LA INFANCIA (IAMI)",IF(N6=CURSOS!$D$22,"CUIDADO DEL DONANTE DE ORGANOS",IF(N6=CURSOS!$D$23,"ATENCION A VICTIMAS POR VIOLENCIA DE GENERO",IF(N6=CURSOS!$D$24,"IGUALDAD DE GENERO EN LA SALUD",IF(N6=CURSOS!$D$25,"BRIGADA DE EMERGENCIA",IF(N6=CURSOS!$D$26,"MANEJO DEL DOLOR Y CUIDADOS PALIATIVOS",IF(N6=CURSOS!$D$27,"TOMA MUESTRAS Y LABORATORIO POCT",IF(N6=CURSOS!$D$28,"IMPLANTE SUBDERMICO Y DISPOSITIVO INTRAUTERINO",IF(N6=CURSOS!$D$29,"SALUD MENTAL",IF(N6=CURSOS!$D$30,"PRIMEROS AUXILIOS PSICOLOGICOS",IF(N6=CURSOS!$D$31,"ATENCION A VICTIMAS POR CONFLICTO ARMADO",IF(N6=CURSOS!$D$32,"MANIPULACION DE ALIMENTOS Y BPM",IF(N6=CURSOS!$D$33,"ATENCION A PERSONAS CON DISCAPACIDAD",IF(N6=CURSOS!$D$34,"CUIDADO INTEGRAL DEL PACIENTE ADULTO"))))))))))))))))))))))))))))))))</f>
        <v>ACOMPAÑAMIENTO Y MANEJO DEL DUELO</v>
      </c>
      <c r="U6" s="64" t="str">
        <f t="shared" si="3"/>
        <v>Jesús Alexander Rivas Goyes</v>
      </c>
      <c r="V6" s="64" t="str">
        <f t="shared" si="4"/>
        <v>Jesús Alexander Rivas Goyes</v>
      </c>
      <c r="W6" s="64" t="str">
        <f t="shared" si="5"/>
        <v>Jesús Alexander Rivas Goyes-5293254-DUELO</v>
      </c>
    </row>
    <row r="7" spans="1:23" s="21" customFormat="1" x14ac:dyDescent="0.2">
      <c r="A7" s="94">
        <v>6</v>
      </c>
      <c r="B7" s="62">
        <v>1004233046</v>
      </c>
      <c r="C7" s="19" t="s">
        <v>113</v>
      </c>
      <c r="D7" s="19" t="s">
        <v>114</v>
      </c>
      <c r="E7" s="19" t="s">
        <v>115</v>
      </c>
      <c r="F7" s="19" t="s">
        <v>116</v>
      </c>
      <c r="G7" s="16">
        <v>4</v>
      </c>
      <c r="H7" s="16" t="s">
        <v>90</v>
      </c>
      <c r="I7" s="18">
        <v>45447</v>
      </c>
      <c r="J7" s="22">
        <v>35000</v>
      </c>
      <c r="K7" s="16" t="s">
        <v>107</v>
      </c>
      <c r="L7" s="16" t="s">
        <v>101</v>
      </c>
      <c r="M7" s="16" t="s">
        <v>93</v>
      </c>
      <c r="N7" s="17" t="s">
        <v>64</v>
      </c>
      <c r="O7" s="20">
        <v>37281</v>
      </c>
      <c r="P7" s="19" t="s">
        <v>108</v>
      </c>
      <c r="Q7" s="19" t="s">
        <v>117</v>
      </c>
      <c r="R7" s="19">
        <v>3206502815</v>
      </c>
      <c r="S7" s="78" t="s">
        <v>118</v>
      </c>
      <c r="T7" s="64" t="str">
        <f>IF(N7=CURSOS!$D$3,"DIPLOMADO EN ATENCION PRE-HOSPITALARIA",IF(N7=CURSOS!$D$4,"ACOMPAÑAMIENTO Y MANEJO DEL DUELO",IF(N7=CURSOS!$D$5,"ATENCION A VICTIMAS DE ATAQUE CON AGENTES QUIMICOS ",IF(N7=CURSOS!$D$6,"PRIMEROS AUXILIOS ",IF(N7=CURSOS!$D$7,"DIPLOMADO DE UNIDAD DE CUIDADOS INTENSIVOS (UCI)",IF(N7=CURSOS!$D$8,"MODELO DE ATENCION PARA EVENTOS EMERGENTES EN SALUD MENTAL (CODIGO VERDE)",IF(N7=CURSOS!$D$9,"HUMANIZACION EN SALUD, BUENAS PRACTICAS EN PACIENTE ",IF(N7=CURSOS!$D$10,"CLINICA DE HERIDAS ",IF(N7=CURSOS!$D$11,"TOMA DE CITOLOGIA A CERVICO VAGINAL ",IF(N7=CURSOS!$D$12,"SOPORTE CARDIOVASCULAR AVANZADO ",IF(N7=CURSOS!$D$13,"CAMILLERO ",IF(N7=CURSOS!$D$14,"TOMA MUESTRAS Y LABORATORIO ",IF(N7=CURSOS!$D$15,"SOPORTE VITAL BASICO (BLS)",IF(N7=CURSOS!$D$16,"ATENCION A VICTIMAS DE VIOLENCIA SEXUAL ",IF(N7=CURSOS!$D$17,"PROGRAMADO AMPLIADO DE INMUNIZACION (PAI - COVID 19)",IF(N7=CURSOS!$D$18,"ATENCION INTEGRAL EN ENFERMEDADES PREVALENTES EN PRIMERA INFANCIA (AIEPI)",IF(N7=CURSOS!$D$19,"ADMINISTRACION DE MEDICAMENTOS, IYECTOLOGIA  Y CANALIZACION ",IF(N7=CURSOS!$D$20,"OPERADOR DE VEHICULOS DE EMERGENCIA (OVE)",IF(N7=CURSOS!$D$21,"INSTITUCIONES AMIGAS DE LA MUJER Y LA INFANCIA (IAMI)",IF(N7=CURSOS!$D$22,"CUIDADO DEL DONANTE DE ORGANOS",IF(N7=CURSOS!$D$23,"ATENCION A VICTIMAS POR VIOLENCIA DE GENERO",IF(N7=CURSOS!$D$24,"IGUALDAD DE GENERO EN LA SALUD",IF(N7=CURSOS!$D$25,"BRIGADA DE EMERGENCIA",IF(N7=CURSOS!$D$26,"MANEJO DEL DOLOR Y CUIDADOS PALIATIVOS",IF(N7=CURSOS!$D$27,"TOMA MUESTRAS Y LABORATORIO POCT",IF(N7=CURSOS!$D$28,"IMPLANTE SUBDERMICO Y DISPOSITIVO INTRAUTERINO",IF(N7=CURSOS!$D$29,"SALUD MENTAL",IF(N7=CURSOS!$D$30,"PRIMEROS AUXILIOS PSICOLOGICOS",IF(N7=CURSOS!$D$31,"ATENCION A VICTIMAS POR CONFLICTO ARMADO",IF(N7=CURSOS!$D$32,"MANIPULACION DE ALIMENTOS Y BPM",IF(N7=CURSOS!$D$33,"ATENCION A PERSONAS CON DISCAPACIDAD",IF(N7=CURSOS!$D$34,"CUIDADO INTEGRAL DEL PACIENTE ADULTO"))))))))))))))))))))))))))))))))</f>
        <v>MANEJO DEL DOLOR Y CUIDADOS PALIATIVOS</v>
      </c>
      <c r="U7" s="64" t="str">
        <f t="shared" si="3"/>
        <v>Maria Camila Cuatis Maigual</v>
      </c>
      <c r="V7" s="64" t="str">
        <f t="shared" si="4"/>
        <v>Maria Camila Cuatis Maigual</v>
      </c>
      <c r="W7" s="64" t="str">
        <f t="shared" si="5"/>
        <v>Maria Camila Cuatis Maigual-1004233046-PALIATIVOS</v>
      </c>
    </row>
    <row r="8" spans="1:23" s="21" customFormat="1" x14ac:dyDescent="0.2">
      <c r="A8" s="94">
        <v>7</v>
      </c>
      <c r="B8" s="62">
        <v>1004233046</v>
      </c>
      <c r="C8" s="19" t="s">
        <v>113</v>
      </c>
      <c r="D8" s="19" t="s">
        <v>114</v>
      </c>
      <c r="E8" s="19" t="s">
        <v>115</v>
      </c>
      <c r="F8" s="19" t="s">
        <v>116</v>
      </c>
      <c r="G8" s="16">
        <v>4</v>
      </c>
      <c r="H8" s="16" t="s">
        <v>90</v>
      </c>
      <c r="I8" s="18">
        <v>45447</v>
      </c>
      <c r="J8" s="22">
        <v>35000</v>
      </c>
      <c r="K8" s="16" t="s">
        <v>107</v>
      </c>
      <c r="L8" s="16" t="s">
        <v>101</v>
      </c>
      <c r="M8" s="16" t="s">
        <v>93</v>
      </c>
      <c r="N8" s="17" t="s">
        <v>19</v>
      </c>
      <c r="O8" s="20">
        <v>37281</v>
      </c>
      <c r="P8" s="19" t="s">
        <v>108</v>
      </c>
      <c r="Q8" s="19" t="s">
        <v>117</v>
      </c>
      <c r="R8" s="19">
        <v>3206502815</v>
      </c>
      <c r="S8" s="78" t="s">
        <v>118</v>
      </c>
      <c r="T8" s="64" t="str">
        <f>IF(N8=CURSOS!$D$3,"DIPLOMADO EN ATENCION PRE-HOSPITALARIA",IF(N8=CURSOS!$D$4,"ACOMPAÑAMIENTO Y MANEJO DEL DUELO",IF(N8=CURSOS!$D$5,"ATENCION A VICTIMAS DE ATAQUE CON AGENTES QUIMICOS ",IF(N8=CURSOS!$D$6,"PRIMEROS AUXILIOS ",IF(N8=CURSOS!$D$7,"DIPLOMADO DE UNIDAD DE CUIDADOS INTENSIVOS (UCI)",IF(N8=CURSOS!$D$8,"MODELO DE ATENCION PARA EVENTOS EMERGENTES EN SALUD MENTAL (CODIGO VERDE)",IF(N8=CURSOS!$D$9,"HUMANIZACION EN SALUD, BUENAS PRACTICAS EN PACIENTE ",IF(N8=CURSOS!$D$10,"CLINICA DE HERIDAS ",IF(N8=CURSOS!$D$11,"TOMA DE CITOLOGIA A CERVICO VAGINAL ",IF(N8=CURSOS!$D$12,"SOPORTE CARDIOVASCULAR AVANZADO ",IF(N8=CURSOS!$D$13,"CAMILLERO ",IF(N8=CURSOS!$D$14,"TOMA MUESTRAS Y LABORATORIO ",IF(N8=CURSOS!$D$15,"SOPORTE VITAL BASICO (BLS)",IF(N8=CURSOS!$D$16,"ATENCION A VICTIMAS DE VIOLENCIA SEXUAL ",IF(N8=CURSOS!$D$17,"PROGRAMADO AMPLIADO DE INMUNIZACION (PAI - COVID 19)",IF(N8=CURSOS!$D$18,"ATENCION INTEGRAL EN ENFERMEDADES PREVALENTES EN PRIMERA INFANCIA (AIEPI)",IF(N8=CURSOS!$D$19,"ADMINISTRACION DE MEDICAMENTOS, IYECTOLOGIA  Y CANALIZACION ",IF(N8=CURSOS!$D$20,"OPERADOR DE VEHICULOS DE EMERGENCIA (OVE)",IF(N8=CURSOS!$D$21,"INSTITUCIONES AMIGAS DE LA MUJER Y LA INFANCIA (IAMI)",IF(N8=CURSOS!$D$22,"CUIDADO DEL DONANTE DE ORGANOS",IF(N8=CURSOS!$D$23,"ATENCION A VICTIMAS POR VIOLENCIA DE GENERO",IF(N8=CURSOS!$D$24,"IGUALDAD DE GENERO EN LA SALUD",IF(N8=CURSOS!$D$25,"BRIGADA DE EMERGENCIA",IF(N8=CURSOS!$D$26,"MANEJO DEL DOLOR Y CUIDADOS PALIATIVOS",IF(N8=CURSOS!$D$27,"TOMA MUESTRAS Y LABORATORIO POCT",IF(N8=CURSOS!$D$28,"IMPLANTE SUBDERMICO Y DISPOSITIVO INTRAUTERINO",IF(N8=CURSOS!$D$29,"SALUD MENTAL",IF(N8=CURSOS!$D$30,"PRIMEROS AUXILIOS PSICOLOGICOS",IF(N8=CURSOS!$D$31,"ATENCION A VICTIMAS POR CONFLICTO ARMADO",IF(N8=CURSOS!$D$32,"MANIPULACION DE ALIMENTOS Y BPM",IF(N8=CURSOS!$D$33,"ATENCION A PERSONAS CON DISCAPACIDAD",IF(N8=CURSOS!$D$34,"CUIDADO INTEGRAL DEL PACIENTE ADULTO"))))))))))))))))))))))))))))))))</f>
        <v>SOPORTE VITAL BASICO (BLS)</v>
      </c>
      <c r="U8" s="64" t="str">
        <f t="shared" si="3"/>
        <v>Maria Camila Cuatis Maigual</v>
      </c>
      <c r="V8" s="64" t="str">
        <f t="shared" si="4"/>
        <v>Maria Camila Cuatis Maigual</v>
      </c>
      <c r="W8" s="64" t="str">
        <f t="shared" si="5"/>
        <v>Maria Camila Cuatis Maigual-1004233046-BLS</v>
      </c>
    </row>
    <row r="9" spans="1:23" s="21" customFormat="1" x14ac:dyDescent="0.2">
      <c r="A9" s="94">
        <v>8</v>
      </c>
      <c r="B9" s="62">
        <v>1085270409</v>
      </c>
      <c r="C9" s="19" t="s">
        <v>121</v>
      </c>
      <c r="D9" s="19" t="s">
        <v>122</v>
      </c>
      <c r="E9" s="19" t="s">
        <v>123</v>
      </c>
      <c r="F9" s="19" t="s">
        <v>115</v>
      </c>
      <c r="G9" s="16">
        <v>4</v>
      </c>
      <c r="H9" s="16" t="s">
        <v>90</v>
      </c>
      <c r="I9" s="18">
        <v>45447</v>
      </c>
      <c r="J9" s="22">
        <v>25000</v>
      </c>
      <c r="K9" s="16" t="s">
        <v>91</v>
      </c>
      <c r="L9" s="16" t="s">
        <v>101</v>
      </c>
      <c r="M9" s="16" t="s">
        <v>119</v>
      </c>
      <c r="N9" s="17" t="s">
        <v>25</v>
      </c>
      <c r="O9" s="20">
        <v>32240</v>
      </c>
      <c r="P9" s="19" t="s">
        <v>108</v>
      </c>
      <c r="Q9" s="19" t="s">
        <v>117</v>
      </c>
      <c r="R9" s="19">
        <v>3216111803</v>
      </c>
      <c r="S9" s="78" t="s">
        <v>120</v>
      </c>
      <c r="T9" s="64" t="str">
        <f>IF(N9=CURSOS!$D$3,"DIPLOMADO EN ATENCION PRE-HOSPITALARIA",IF(N9=CURSOS!$D$4,"ACOMPAÑAMIENTO Y MANEJO DEL DUELO",IF(N9=CURSOS!$D$5,"ATENCION A VICTIMAS DE ATAQUE CON AGENTES QUIMICOS ",IF(N9=CURSOS!$D$6,"PRIMEROS AUXILIOS ",IF(N9=CURSOS!$D$7,"DIPLOMADO DE UNIDAD DE CUIDADOS INTENSIVOS (UCI)",IF(N9=CURSOS!$D$8,"MODELO DE ATENCION PARA EVENTOS EMERGENTES EN SALUD MENTAL (CODIGO VERDE)",IF(N9=CURSOS!$D$9,"HUMANIZACION EN SALUD, BUENAS PRACTICAS EN PACIENTE ",IF(N9=CURSOS!$D$10,"CLINICA DE HERIDAS ",IF(N9=CURSOS!$D$11,"TOMA DE CITOLOGIA A CERVICO VAGINAL ",IF(N9=CURSOS!$D$12,"SOPORTE CARDIOVASCULAR AVANZADO ",IF(N9=CURSOS!$D$13,"CAMILLERO ",IF(N9=CURSOS!$D$14,"TOMA MUESTRAS Y LABORATORIO ",IF(N9=CURSOS!$D$15,"SOPORTE VITAL BASICO (BLS)",IF(N9=CURSOS!$D$16,"ATENCION A VICTIMAS DE VIOLENCIA SEXUAL ",IF(N9=CURSOS!$D$17,"PROGRAMADO AMPLIADO DE INMUNIZACION (PAI - COVID 19)",IF(N9=CURSOS!$D$18,"ATENCION INTEGRAL EN ENFERMEDADES PREVALENTES EN PRIMERA INFANCIA (AIEPI)",IF(N9=CURSOS!$D$19,"ADMINISTRACION DE MEDICAMENTOS, IYECTOLOGIA  Y CANALIZACION ",IF(N9=CURSOS!$D$20,"OPERADOR DE VEHICULOS DE EMERGENCIA (OVE)",IF(N9=CURSOS!$D$21,"INSTITUCIONES AMIGAS DE LA MUJER Y LA INFANCIA (IAMI)",IF(N9=CURSOS!$D$22,"CUIDADO DEL DONANTE DE ORGANOS",IF(N9=CURSOS!$D$23,"ATENCION A VICTIMAS POR VIOLENCIA DE GENERO",IF(N9=CURSOS!$D$24,"IGUALDAD DE GENERO EN LA SALUD",IF(N9=CURSOS!$D$25,"BRIGADA DE EMERGENCIA",IF(N9=CURSOS!$D$26,"MANEJO DEL DOLOR Y CUIDADOS PALIATIVOS",IF(N9=CURSOS!$D$27,"TOMA MUESTRAS Y LABORATORIO POCT",IF(N9=CURSOS!$D$28,"IMPLANTE SUBDERMICO Y DISPOSITIVO INTRAUTERINO",IF(N9=CURSOS!$D$29,"SALUD MENTAL",IF(N9=CURSOS!$D$30,"PRIMEROS AUXILIOS PSICOLOGICOS",IF(N9=CURSOS!$D$31,"ATENCION A VICTIMAS POR CONFLICTO ARMADO",IF(N9=CURSOS!$D$32,"MANIPULACION DE ALIMENTOS Y BPM",IF(N9=CURSOS!$D$33,"ATENCION A PERSONAS CON DISCAPACIDAD",IF(N9=CURSOS!$D$34,"CUIDADO INTEGRAL DEL PACIENTE ADULTO"))))))))))))))))))))))))))))))))</f>
        <v xml:space="preserve">ATENCION A VICTIMAS DE ATAQUE CON AGENTES QUIMICOS </v>
      </c>
      <c r="U9" s="64" t="str">
        <f t="shared" si="3"/>
        <v>Lina Maria Hidalgo Guerrero</v>
      </c>
      <c r="V9" s="64" t="str">
        <f t="shared" si="4"/>
        <v>Lina Maria Hidalgo Guerrero</v>
      </c>
      <c r="W9" s="64" t="str">
        <f t="shared" si="5"/>
        <v>Lina Maria Hidalgo Guerrero-1085270409-QUIMICOS</v>
      </c>
    </row>
    <row r="10" spans="1:23" s="21" customFormat="1" x14ac:dyDescent="0.2">
      <c r="A10" s="94">
        <v>9</v>
      </c>
      <c r="B10" s="62">
        <v>1085270409</v>
      </c>
      <c r="C10" s="19" t="s">
        <v>121</v>
      </c>
      <c r="D10" s="19" t="s">
        <v>122</v>
      </c>
      <c r="E10" s="19" t="s">
        <v>123</v>
      </c>
      <c r="F10" s="19" t="s">
        <v>115</v>
      </c>
      <c r="G10" s="16">
        <v>4</v>
      </c>
      <c r="H10" s="16" t="s">
        <v>90</v>
      </c>
      <c r="I10" s="18">
        <v>45447</v>
      </c>
      <c r="J10" s="22">
        <v>25000</v>
      </c>
      <c r="K10" s="16" t="s">
        <v>91</v>
      </c>
      <c r="L10" s="16" t="s">
        <v>101</v>
      </c>
      <c r="M10" s="16" t="s">
        <v>119</v>
      </c>
      <c r="N10" s="17" t="s">
        <v>19</v>
      </c>
      <c r="O10" s="20">
        <v>32240</v>
      </c>
      <c r="P10" s="19" t="s">
        <v>108</v>
      </c>
      <c r="Q10" s="19" t="s">
        <v>117</v>
      </c>
      <c r="R10" s="19">
        <v>3216111803</v>
      </c>
      <c r="S10" s="78" t="s">
        <v>120</v>
      </c>
      <c r="T10" s="64" t="str">
        <f>IF(N10=CURSOS!$D$3,"DIPLOMADO EN ATENCION PRE-HOSPITALARIA",IF(N10=CURSOS!$D$4,"ACOMPAÑAMIENTO Y MANEJO DEL DUELO",IF(N10=CURSOS!$D$5,"ATENCION A VICTIMAS DE ATAQUE CON AGENTES QUIMICOS ",IF(N10=CURSOS!$D$6,"PRIMEROS AUXILIOS ",IF(N10=CURSOS!$D$7,"DIPLOMADO DE UNIDAD DE CUIDADOS INTENSIVOS (UCI)",IF(N10=CURSOS!$D$8,"MODELO DE ATENCION PARA EVENTOS EMERGENTES EN SALUD MENTAL (CODIGO VERDE)",IF(N10=CURSOS!$D$9,"HUMANIZACION EN SALUD, BUENAS PRACTICAS EN PACIENTE ",IF(N10=CURSOS!$D$10,"CLINICA DE HERIDAS ",IF(N10=CURSOS!$D$11,"TOMA DE CITOLOGIA A CERVICO VAGINAL ",IF(N10=CURSOS!$D$12,"SOPORTE CARDIOVASCULAR AVANZADO ",IF(N10=CURSOS!$D$13,"CAMILLERO ",IF(N10=CURSOS!$D$14,"TOMA MUESTRAS Y LABORATORIO ",IF(N10=CURSOS!$D$15,"SOPORTE VITAL BASICO (BLS)",IF(N10=CURSOS!$D$16,"ATENCION A VICTIMAS DE VIOLENCIA SEXUAL ",IF(N10=CURSOS!$D$17,"PROGRAMADO AMPLIADO DE INMUNIZACION (PAI - COVID 19)",IF(N10=CURSOS!$D$18,"ATENCION INTEGRAL EN ENFERMEDADES PREVALENTES EN PRIMERA INFANCIA (AIEPI)",IF(N10=CURSOS!$D$19,"ADMINISTRACION DE MEDICAMENTOS, IYECTOLOGIA  Y CANALIZACION ",IF(N10=CURSOS!$D$20,"OPERADOR DE VEHICULOS DE EMERGENCIA (OVE)",IF(N10=CURSOS!$D$21,"INSTITUCIONES AMIGAS DE LA MUJER Y LA INFANCIA (IAMI)",IF(N10=CURSOS!$D$22,"CUIDADO DEL DONANTE DE ORGANOS",IF(N10=CURSOS!$D$23,"ATENCION A VICTIMAS POR VIOLENCIA DE GENERO",IF(N10=CURSOS!$D$24,"IGUALDAD DE GENERO EN LA SALUD",IF(N10=CURSOS!$D$25,"BRIGADA DE EMERGENCIA",IF(N10=CURSOS!$D$26,"MANEJO DEL DOLOR Y CUIDADOS PALIATIVOS",IF(N10=CURSOS!$D$27,"TOMA MUESTRAS Y LABORATORIO POCT",IF(N10=CURSOS!$D$28,"IMPLANTE SUBDERMICO Y DISPOSITIVO INTRAUTERINO",IF(N10=CURSOS!$D$29,"SALUD MENTAL",IF(N10=CURSOS!$D$30,"PRIMEROS AUXILIOS PSICOLOGICOS",IF(N10=CURSOS!$D$31,"ATENCION A VICTIMAS POR CONFLICTO ARMADO",IF(N10=CURSOS!$D$32,"MANIPULACION DE ALIMENTOS Y BPM",IF(N10=CURSOS!$D$33,"ATENCION A PERSONAS CON DISCAPACIDAD",IF(N10=CURSOS!$D$34,"CUIDADO INTEGRAL DEL PACIENTE ADULTO"))))))))))))))))))))))))))))))))</f>
        <v>SOPORTE VITAL BASICO (BLS)</v>
      </c>
      <c r="U10" s="64" t="str">
        <f t="shared" si="3"/>
        <v>Lina Maria Hidalgo Guerrero</v>
      </c>
      <c r="V10" s="64" t="str">
        <f t="shared" si="4"/>
        <v>Lina Maria Hidalgo Guerrero</v>
      </c>
      <c r="W10" s="64" t="str">
        <f t="shared" si="5"/>
        <v>Lina Maria Hidalgo Guerrero-1085270409-BLS</v>
      </c>
    </row>
    <row r="11" spans="1:23" s="21" customFormat="1" x14ac:dyDescent="0.2">
      <c r="A11" s="94">
        <v>10</v>
      </c>
      <c r="B11" s="62">
        <v>1085246219</v>
      </c>
      <c r="C11" s="19" t="s">
        <v>124</v>
      </c>
      <c r="D11" s="19" t="s">
        <v>125</v>
      </c>
      <c r="E11" s="19" t="s">
        <v>126</v>
      </c>
      <c r="F11" s="19" t="s">
        <v>127</v>
      </c>
      <c r="G11" s="16">
        <v>4</v>
      </c>
      <c r="H11" s="16" t="s">
        <v>90</v>
      </c>
      <c r="I11" s="18">
        <v>45447</v>
      </c>
      <c r="J11" s="22">
        <v>40000</v>
      </c>
      <c r="K11" s="16" t="s">
        <v>91</v>
      </c>
      <c r="L11" s="16" t="s">
        <v>101</v>
      </c>
      <c r="M11" s="16" t="s">
        <v>93</v>
      </c>
      <c r="N11" s="17" t="s">
        <v>19</v>
      </c>
      <c r="O11" s="20">
        <v>31407</v>
      </c>
      <c r="P11" s="19" t="s">
        <v>94</v>
      </c>
      <c r="Q11" s="19" t="s">
        <v>117</v>
      </c>
      <c r="R11" s="19">
        <v>3246648260</v>
      </c>
      <c r="S11" s="78" t="s">
        <v>128</v>
      </c>
      <c r="T11" s="64" t="str">
        <f>IF(N11=CURSOS!$D$3,"DIPLOMADO EN ATENCION PRE-HOSPITALARIA",IF(N11=CURSOS!$D$4,"ACOMPAÑAMIENTO Y MANEJO DEL DUELO",IF(N11=CURSOS!$D$5,"ATENCION A VICTIMAS DE ATAQUE CON AGENTES QUIMICOS ",IF(N11=CURSOS!$D$6,"PRIMEROS AUXILIOS ",IF(N11=CURSOS!$D$7,"DIPLOMADO DE UNIDAD DE CUIDADOS INTENSIVOS (UCI)",IF(N11=CURSOS!$D$8,"MODELO DE ATENCION PARA EVENTOS EMERGENTES EN SALUD MENTAL (CODIGO VERDE)",IF(N11=CURSOS!$D$9,"HUMANIZACION EN SALUD, BUENAS PRACTICAS EN PACIENTE ",IF(N11=CURSOS!$D$10,"CLINICA DE HERIDAS ",IF(N11=CURSOS!$D$11,"TOMA DE CITOLOGIA A CERVICO VAGINAL ",IF(N11=CURSOS!$D$12,"SOPORTE CARDIOVASCULAR AVANZADO ",IF(N11=CURSOS!$D$13,"CAMILLERO ",IF(N11=CURSOS!$D$14,"TOMA MUESTRAS Y LABORATORIO ",IF(N11=CURSOS!$D$15,"SOPORTE VITAL BASICO (BLS)",IF(N11=CURSOS!$D$16,"ATENCION A VICTIMAS DE VIOLENCIA SEXUAL ",IF(N11=CURSOS!$D$17,"PROGRAMADO AMPLIADO DE INMUNIZACION (PAI - COVID 19)",IF(N11=CURSOS!$D$18,"ATENCION INTEGRAL EN ENFERMEDADES PREVALENTES EN PRIMERA INFANCIA (AIEPI)",IF(N11=CURSOS!$D$19,"ADMINISTRACION DE MEDICAMENTOS, IYECTOLOGIA  Y CANALIZACION ",IF(N11=CURSOS!$D$20,"OPERADOR DE VEHICULOS DE EMERGENCIA (OVE)",IF(N11=CURSOS!$D$21,"INSTITUCIONES AMIGAS DE LA MUJER Y LA INFANCIA (IAMI)",IF(N11=CURSOS!$D$22,"CUIDADO DEL DONANTE DE ORGANOS",IF(N11=CURSOS!$D$23,"ATENCION A VICTIMAS POR VIOLENCIA DE GENERO",IF(N11=CURSOS!$D$24,"IGUALDAD DE GENERO EN LA SALUD",IF(N11=CURSOS!$D$25,"BRIGADA DE EMERGENCIA",IF(N11=CURSOS!$D$26,"MANEJO DEL DOLOR Y CUIDADOS PALIATIVOS",IF(N11=CURSOS!$D$27,"TOMA MUESTRAS Y LABORATORIO POCT",IF(N11=CURSOS!$D$28,"IMPLANTE SUBDERMICO Y DISPOSITIVO INTRAUTERINO",IF(N11=CURSOS!$D$29,"SALUD MENTAL",IF(N11=CURSOS!$D$30,"PRIMEROS AUXILIOS PSICOLOGICOS",IF(N11=CURSOS!$D$31,"ATENCION A VICTIMAS POR CONFLICTO ARMADO",IF(N11=CURSOS!$D$32,"MANIPULACION DE ALIMENTOS Y BPM",IF(N11=CURSOS!$D$33,"ATENCION A PERSONAS CON DISCAPACIDAD",IF(N11=CURSOS!$D$34,"CUIDADO INTEGRAL DEL PACIENTE ADULTO"))))))))))))))))))))))))))))))))</f>
        <v>SOPORTE VITAL BASICO (BLS)</v>
      </c>
      <c r="U11" s="64" t="str">
        <f t="shared" si="3"/>
        <v>John Stiven Rivera Quiroz</v>
      </c>
      <c r="V11" s="64" t="str">
        <f t="shared" si="4"/>
        <v>John Stiven Rivera Quiroz</v>
      </c>
      <c r="W11" s="64" t="str">
        <f t="shared" si="5"/>
        <v>John Stiven Rivera Quiroz-1085246219-BLS</v>
      </c>
    </row>
    <row r="12" spans="1:23" s="21" customFormat="1" x14ac:dyDescent="0.2">
      <c r="A12" s="94">
        <v>11</v>
      </c>
      <c r="B12" s="62">
        <v>1086300002</v>
      </c>
      <c r="C12" s="19" t="s">
        <v>129</v>
      </c>
      <c r="D12" s="19" t="s">
        <v>130</v>
      </c>
      <c r="E12" s="19" t="s">
        <v>131</v>
      </c>
      <c r="F12" s="19" t="s">
        <v>132</v>
      </c>
      <c r="G12" s="16">
        <v>4</v>
      </c>
      <c r="H12" s="16" t="s">
        <v>90</v>
      </c>
      <c r="I12" s="18">
        <v>45447</v>
      </c>
      <c r="J12" s="22">
        <v>130000</v>
      </c>
      <c r="K12" s="16" t="s">
        <v>91</v>
      </c>
      <c r="L12" s="16" t="s">
        <v>101</v>
      </c>
      <c r="M12" s="16" t="s">
        <v>93</v>
      </c>
      <c r="N12" s="17" t="s">
        <v>39</v>
      </c>
      <c r="O12" s="20">
        <v>35532</v>
      </c>
      <c r="P12" s="19" t="s">
        <v>108</v>
      </c>
      <c r="Q12" s="19" t="s">
        <v>109</v>
      </c>
      <c r="R12" s="19">
        <v>3023442530</v>
      </c>
      <c r="S12" s="77" t="s">
        <v>133</v>
      </c>
      <c r="T12" s="64" t="str">
        <f>IF(N12=CURSOS!$D$3,"DIPLOMADO EN ATENCION PRE-HOSPITALARIA",IF(N12=CURSOS!$D$4,"ACOMPAÑAMIENTO Y MANEJO DEL DUELO",IF(N12=CURSOS!$D$5,"ATENCION A VICTIMAS DE ATAQUE CON AGENTES QUIMICOS ",IF(N12=CURSOS!$D$6,"PRIMEROS AUXILIOS ",IF(N12=CURSOS!$D$7,"DIPLOMADO DE UNIDAD DE CUIDADOS INTENSIVOS (UCI)",IF(N12=CURSOS!$D$8,"MODELO DE ATENCION PARA EVENTOS EMERGENTES EN SALUD MENTAL (CODIGO VERDE)",IF(N12=CURSOS!$D$9,"HUMANIZACION EN SALUD, BUENAS PRACTICAS EN PACIENTE ",IF(N12=CURSOS!$D$10,"CLINICA DE HERIDAS ",IF(N12=CURSOS!$D$11,"TOMA DE CITOLOGIA A CERVICO VAGINAL ",IF(N12=CURSOS!$D$12,"SOPORTE CARDIOVASCULAR AVANZADO ",IF(N12=CURSOS!$D$13,"CAMILLERO ",IF(N12=CURSOS!$D$14,"TOMA MUESTRAS Y LABORATORIO ",IF(N12=CURSOS!$D$15,"SOPORTE VITAL BASICO (BLS)",IF(N12=CURSOS!$D$16,"ATENCION A VICTIMAS DE VIOLENCIA SEXUAL ",IF(N12=CURSOS!$D$17,"PROGRAMADO AMPLIADO DE INMUNIZACION (PAI - COVID 19)",IF(N12=CURSOS!$D$18,"ATENCION INTEGRAL EN ENFERMEDADES PREVALENTES EN PRIMERA INFANCIA (AIEPI)",IF(N12=CURSOS!$D$19,"ADMINISTRACION DE MEDICAMENTOS, IYECTOLOGIA  Y CANALIZACION ",IF(N12=CURSOS!$D$20,"OPERADOR DE VEHICULOS DE EMERGENCIA (OVE)",IF(N12=CURSOS!$D$21,"INSTITUCIONES AMIGAS DE LA MUJER Y LA INFANCIA (IAMI)",IF(N12=CURSOS!$D$22,"CUIDADO DEL DONANTE DE ORGANOS",IF(N12=CURSOS!$D$23,"ATENCION A VICTIMAS POR VIOLENCIA DE GENERO",IF(N12=CURSOS!$D$24,"IGUALDAD DE GENERO EN LA SALUD",IF(N12=CURSOS!$D$25,"BRIGADA DE EMERGENCIA",IF(N12=CURSOS!$D$26,"MANEJO DEL DOLOR Y CUIDADOS PALIATIVOS",IF(N12=CURSOS!$D$27,"TOMA MUESTRAS Y LABORATORIO POCT",IF(N12=CURSOS!$D$28,"IMPLANTE SUBDERMICO Y DISPOSITIVO INTRAUTERINO",IF(N12=CURSOS!$D$29,"SALUD MENTAL",IF(N12=CURSOS!$D$30,"PRIMEROS AUXILIOS PSICOLOGICOS",IF(N12=CURSOS!$D$31,"ATENCION A VICTIMAS POR CONFLICTO ARMADO",IF(N12=CURSOS!$D$32,"MANIPULACION DE ALIMENTOS Y BPM",IF(N12=CURSOS!$D$33,"ATENCION A PERSONAS CON DISCAPACIDAD",IF(N12=CURSOS!$D$34,"CUIDADO INTEGRAL DEL PACIENTE ADULTO"))))))))))))))))))))))))))))))))</f>
        <v xml:space="preserve">SOPORTE CARDIOVASCULAR AVANZADO </v>
      </c>
      <c r="U12" s="64" t="str">
        <f t="shared" si="3"/>
        <v>Laura Sofia Peña Argotty</v>
      </c>
      <c r="V12" s="64" t="str">
        <f t="shared" si="4"/>
        <v>Laura Sofia Peña Argotty</v>
      </c>
      <c r="W12" s="64" t="str">
        <f t="shared" si="5"/>
        <v>Laura Sofia Peña Argotty-1086300002-ACLS</v>
      </c>
    </row>
    <row r="13" spans="1:23" s="21" customFormat="1" x14ac:dyDescent="0.2">
      <c r="A13" s="94">
        <v>12</v>
      </c>
      <c r="B13" s="62">
        <v>1085287462</v>
      </c>
      <c r="C13" s="19" t="s">
        <v>134</v>
      </c>
      <c r="D13" s="19" t="s">
        <v>135</v>
      </c>
      <c r="E13" s="19" t="s">
        <v>136</v>
      </c>
      <c r="F13" s="19" t="s">
        <v>137</v>
      </c>
      <c r="G13" s="16">
        <v>4</v>
      </c>
      <c r="H13" s="16" t="s">
        <v>90</v>
      </c>
      <c r="I13" s="18">
        <v>45447</v>
      </c>
      <c r="J13" s="22">
        <v>130000</v>
      </c>
      <c r="K13" s="16" t="s">
        <v>107</v>
      </c>
      <c r="L13" s="16" t="s">
        <v>101</v>
      </c>
      <c r="M13" s="16" t="s">
        <v>93</v>
      </c>
      <c r="N13" s="17" t="s">
        <v>39</v>
      </c>
      <c r="O13" s="20">
        <v>33261</v>
      </c>
      <c r="P13" s="19" t="s">
        <v>94</v>
      </c>
      <c r="Q13" s="19" t="s">
        <v>111</v>
      </c>
      <c r="R13" s="19">
        <v>3206868109</v>
      </c>
      <c r="S13" s="19" t="s">
        <v>138</v>
      </c>
      <c r="T13" s="64" t="str">
        <f>IF(N13=CURSOS!$D$3,"DIPLOMADO EN ATENCION PRE-HOSPITALARIA",IF(N13=CURSOS!$D$4,"ACOMPAÑAMIENTO Y MANEJO DEL DUELO",IF(N13=CURSOS!$D$5,"ATENCION A VICTIMAS DE ATAQUE CON AGENTES QUIMICOS ",IF(N13=CURSOS!$D$6,"PRIMEROS AUXILIOS ",IF(N13=CURSOS!$D$7,"DIPLOMADO DE UNIDAD DE CUIDADOS INTENSIVOS (UCI)",IF(N13=CURSOS!$D$8,"MODELO DE ATENCION PARA EVENTOS EMERGENTES EN SALUD MENTAL (CODIGO VERDE)",IF(N13=CURSOS!$D$9,"HUMANIZACION EN SALUD, BUENAS PRACTICAS EN PACIENTE ",IF(N13=CURSOS!$D$10,"CLINICA DE HERIDAS ",IF(N13=CURSOS!$D$11,"TOMA DE CITOLOGIA A CERVICO VAGINAL ",IF(N13=CURSOS!$D$12,"SOPORTE CARDIOVASCULAR AVANZADO ",IF(N13=CURSOS!$D$13,"CAMILLERO ",IF(N13=CURSOS!$D$14,"TOMA MUESTRAS Y LABORATORIO ",IF(N13=CURSOS!$D$15,"SOPORTE VITAL BASICO (BLS)",IF(N13=CURSOS!$D$16,"ATENCION A VICTIMAS DE VIOLENCIA SEXUAL ",IF(N13=CURSOS!$D$17,"PROGRAMADO AMPLIADO DE INMUNIZACION (PAI - COVID 19)",IF(N13=CURSOS!$D$18,"ATENCION INTEGRAL EN ENFERMEDADES PREVALENTES EN PRIMERA INFANCIA (AIEPI)",IF(N13=CURSOS!$D$19,"ADMINISTRACION DE MEDICAMENTOS, IYECTOLOGIA  Y CANALIZACION ",IF(N13=CURSOS!$D$20,"OPERADOR DE VEHICULOS DE EMERGENCIA (OVE)",IF(N13=CURSOS!$D$21,"INSTITUCIONES AMIGAS DE LA MUJER Y LA INFANCIA (IAMI)",IF(N13=CURSOS!$D$22,"CUIDADO DEL DONANTE DE ORGANOS",IF(N13=CURSOS!$D$23,"ATENCION A VICTIMAS POR VIOLENCIA DE GENERO",IF(N13=CURSOS!$D$24,"IGUALDAD DE GENERO EN LA SALUD",IF(N13=CURSOS!$D$25,"BRIGADA DE EMERGENCIA",IF(N13=CURSOS!$D$26,"MANEJO DEL DOLOR Y CUIDADOS PALIATIVOS",IF(N13=CURSOS!$D$27,"TOMA MUESTRAS Y LABORATORIO POCT",IF(N13=CURSOS!$D$28,"IMPLANTE SUBDERMICO Y DISPOSITIVO INTRAUTERINO",IF(N13=CURSOS!$D$29,"SALUD MENTAL",IF(N13=CURSOS!$D$30,"PRIMEROS AUXILIOS PSICOLOGICOS",IF(N13=CURSOS!$D$31,"ATENCION A VICTIMAS POR CONFLICTO ARMADO",IF(N13=CURSOS!$D$32,"MANIPULACION DE ALIMENTOS Y BPM",IF(N13=CURSOS!$D$33,"ATENCION A PERSONAS CON DISCAPACIDAD",IF(N13=CURSOS!$D$34,"CUIDADO INTEGRAL DEL PACIENTE ADULTO"))))))))))))))))))))))))))))))))</f>
        <v xml:space="preserve">SOPORTE CARDIOVASCULAR AVANZADO </v>
      </c>
      <c r="U13" s="64" t="str">
        <f t="shared" si="3"/>
        <v>Victor Alfonso Ruano Enriquez</v>
      </c>
      <c r="V13" s="64" t="str">
        <f t="shared" si="4"/>
        <v>Victor Alfonso Ruano Enriquez</v>
      </c>
      <c r="W13" s="64" t="str">
        <f t="shared" si="5"/>
        <v>Victor Alfonso Ruano Enriquez-1085287462-ACLS</v>
      </c>
    </row>
    <row r="14" spans="1:23" s="21" customFormat="1" x14ac:dyDescent="0.2">
      <c r="A14" s="94">
        <v>13</v>
      </c>
      <c r="B14" s="62">
        <v>1085287462</v>
      </c>
      <c r="C14" s="19" t="s">
        <v>134</v>
      </c>
      <c r="D14" s="19" t="s">
        <v>135</v>
      </c>
      <c r="E14" s="19" t="s">
        <v>136</v>
      </c>
      <c r="F14" s="19" t="s">
        <v>137</v>
      </c>
      <c r="G14" s="16">
        <v>4</v>
      </c>
      <c r="H14" s="16" t="s">
        <v>90</v>
      </c>
      <c r="I14" s="18">
        <v>45447</v>
      </c>
      <c r="J14" s="22">
        <v>40000</v>
      </c>
      <c r="K14" s="16" t="s">
        <v>107</v>
      </c>
      <c r="L14" s="16" t="s">
        <v>101</v>
      </c>
      <c r="M14" s="16" t="s">
        <v>93</v>
      </c>
      <c r="N14" s="17" t="s">
        <v>19</v>
      </c>
      <c r="O14" s="20">
        <v>33261</v>
      </c>
      <c r="P14" s="19" t="s">
        <v>94</v>
      </c>
      <c r="Q14" s="19" t="s">
        <v>111</v>
      </c>
      <c r="R14" s="19">
        <v>3206868109</v>
      </c>
      <c r="S14" s="19" t="s">
        <v>138</v>
      </c>
      <c r="T14" s="64" t="str">
        <f>IF(N14=CURSOS!$D$3,"DIPLOMADO EN ATENCION PRE-HOSPITALARIA",IF(N14=CURSOS!$D$4,"ACOMPAÑAMIENTO Y MANEJO DEL DUELO",IF(N14=CURSOS!$D$5,"ATENCION A VICTIMAS DE ATAQUE CON AGENTES QUIMICOS ",IF(N14=CURSOS!$D$6,"PRIMEROS AUXILIOS ",IF(N14=CURSOS!$D$7,"DIPLOMADO DE UNIDAD DE CUIDADOS INTENSIVOS (UCI)",IF(N14=CURSOS!$D$8,"MODELO DE ATENCION PARA EVENTOS EMERGENTES EN SALUD MENTAL (CODIGO VERDE)",IF(N14=CURSOS!$D$9,"HUMANIZACION EN SALUD, BUENAS PRACTICAS EN PACIENTE ",IF(N14=CURSOS!$D$10,"CLINICA DE HERIDAS ",IF(N14=CURSOS!$D$11,"TOMA DE CITOLOGIA A CERVICO VAGINAL ",IF(N14=CURSOS!$D$12,"SOPORTE CARDIOVASCULAR AVANZADO ",IF(N14=CURSOS!$D$13,"CAMILLERO ",IF(N14=CURSOS!$D$14,"TOMA MUESTRAS Y LABORATORIO ",IF(N14=CURSOS!$D$15,"SOPORTE VITAL BASICO (BLS)",IF(N14=CURSOS!$D$16,"ATENCION A VICTIMAS DE VIOLENCIA SEXUAL ",IF(N14=CURSOS!$D$17,"PROGRAMADO AMPLIADO DE INMUNIZACION (PAI - COVID 19)",IF(N14=CURSOS!$D$18,"ATENCION INTEGRAL EN ENFERMEDADES PREVALENTES EN PRIMERA INFANCIA (AIEPI)",IF(N14=CURSOS!$D$19,"ADMINISTRACION DE MEDICAMENTOS, IYECTOLOGIA  Y CANALIZACION ",IF(N14=CURSOS!$D$20,"OPERADOR DE VEHICULOS DE EMERGENCIA (OVE)",IF(N14=CURSOS!$D$21,"INSTITUCIONES AMIGAS DE LA MUJER Y LA INFANCIA (IAMI)",IF(N14=CURSOS!$D$22,"CUIDADO DEL DONANTE DE ORGANOS",IF(N14=CURSOS!$D$23,"ATENCION A VICTIMAS POR VIOLENCIA DE GENERO",IF(N14=CURSOS!$D$24,"IGUALDAD DE GENERO EN LA SALUD",IF(N14=CURSOS!$D$25,"BRIGADA DE EMERGENCIA",IF(N14=CURSOS!$D$26,"MANEJO DEL DOLOR Y CUIDADOS PALIATIVOS",IF(N14=CURSOS!$D$27,"TOMA MUESTRAS Y LABORATORIO POCT",IF(N14=CURSOS!$D$28,"IMPLANTE SUBDERMICO Y DISPOSITIVO INTRAUTERINO",IF(N14=CURSOS!$D$29,"SALUD MENTAL",IF(N14=CURSOS!$D$30,"PRIMEROS AUXILIOS PSICOLOGICOS",IF(N14=CURSOS!$D$31,"ATENCION A VICTIMAS POR CONFLICTO ARMADO",IF(N14=CURSOS!$D$32,"MANIPULACION DE ALIMENTOS Y BPM",IF(N14=CURSOS!$D$33,"ATENCION A PERSONAS CON DISCAPACIDAD",IF(N14=CURSOS!$D$34,"CUIDADO INTEGRAL DEL PACIENTE ADULTO"))))))))))))))))))))))))))))))))</f>
        <v>SOPORTE VITAL BASICO (BLS)</v>
      </c>
      <c r="U14" s="64" t="str">
        <f t="shared" si="3"/>
        <v>Victor Alfonso Ruano Enriquez</v>
      </c>
      <c r="V14" s="64" t="str">
        <f t="shared" si="4"/>
        <v>Victor Alfonso Ruano Enriquez</v>
      </c>
      <c r="W14" s="64" t="str">
        <f t="shared" si="5"/>
        <v>Victor Alfonso Ruano Enriquez-1085287462-BLS</v>
      </c>
    </row>
    <row r="15" spans="1:23" s="21" customFormat="1" x14ac:dyDescent="0.2">
      <c r="A15" s="94">
        <v>14</v>
      </c>
      <c r="B15" s="62">
        <v>13072732</v>
      </c>
      <c r="C15" s="19" t="s">
        <v>122</v>
      </c>
      <c r="D15" s="19" t="s">
        <v>135</v>
      </c>
      <c r="E15" s="19" t="s">
        <v>139</v>
      </c>
      <c r="F15" s="19" t="s">
        <v>89</v>
      </c>
      <c r="G15" s="16">
        <v>4</v>
      </c>
      <c r="H15" s="16" t="s">
        <v>90</v>
      </c>
      <c r="I15" s="18">
        <v>45447</v>
      </c>
      <c r="J15" s="22">
        <v>25000</v>
      </c>
      <c r="K15" s="16" t="s">
        <v>91</v>
      </c>
      <c r="L15" s="16" t="s">
        <v>101</v>
      </c>
      <c r="M15" s="16" t="s">
        <v>93</v>
      </c>
      <c r="N15" s="17" t="s">
        <v>27</v>
      </c>
      <c r="O15" s="20">
        <v>28109</v>
      </c>
      <c r="P15" s="19" t="s">
        <v>94</v>
      </c>
      <c r="Q15" s="19" t="s">
        <v>140</v>
      </c>
      <c r="R15" s="19">
        <v>3178307055</v>
      </c>
      <c r="S15" s="19" t="s">
        <v>141</v>
      </c>
      <c r="T15" s="64" t="str">
        <f>IF(N15=CURSOS!$D$3,"DIPLOMADO EN ATENCION PRE-HOSPITALARIA",IF(N15=CURSOS!$D$4,"ACOMPAÑAMIENTO Y MANEJO DEL DUELO",IF(N15=CURSOS!$D$5,"ATENCION A VICTIMAS DE ATAQUE CON AGENTES QUIMICOS ",IF(N15=CURSOS!$D$6,"PRIMEROS AUXILIOS ",IF(N15=CURSOS!$D$7,"DIPLOMADO DE UNIDAD DE CUIDADOS INTENSIVOS (UCI)",IF(N15=CURSOS!$D$8,"MODELO DE ATENCION PARA EVENTOS EMERGENTES EN SALUD MENTAL (CODIGO VERDE)",IF(N15=CURSOS!$D$9,"HUMANIZACION EN SALUD, BUENAS PRACTICAS EN PACIENTE ",IF(N15=CURSOS!$D$10,"CLINICA DE HERIDAS ",IF(N15=CURSOS!$D$11,"TOMA DE CITOLOGIA A CERVICO VAGINAL ",IF(N15=CURSOS!$D$12,"SOPORTE CARDIOVASCULAR AVANZADO ",IF(N15=CURSOS!$D$13,"CAMILLERO ",IF(N15=CURSOS!$D$14,"TOMA MUESTRAS Y LABORATORIO ",IF(N15=CURSOS!$D$15,"SOPORTE VITAL BASICO (BLS)",IF(N15=CURSOS!$D$16,"ATENCION A VICTIMAS DE VIOLENCIA SEXUAL ",IF(N15=CURSOS!$D$17,"PROGRAMADO AMPLIADO DE INMUNIZACION (PAI - COVID 19)",IF(N15=CURSOS!$D$18,"ATENCION INTEGRAL EN ENFERMEDADES PREVALENTES EN PRIMERA INFANCIA (AIEPI)",IF(N15=CURSOS!$D$19,"ADMINISTRACION DE MEDICAMENTOS, IYECTOLOGIA  Y CANALIZACION ",IF(N15=CURSOS!$D$20,"OPERADOR DE VEHICULOS DE EMERGENCIA (OVE)",IF(N15=CURSOS!$D$21,"INSTITUCIONES AMIGAS DE LA MUJER Y LA INFANCIA (IAMI)",IF(N15=CURSOS!$D$22,"CUIDADO DEL DONANTE DE ORGANOS",IF(N15=CURSOS!$D$23,"ATENCION A VICTIMAS POR VIOLENCIA DE GENERO",IF(N15=CURSOS!$D$24,"IGUALDAD DE GENERO EN LA SALUD",IF(N15=CURSOS!$D$25,"BRIGADA DE EMERGENCIA",IF(N15=CURSOS!$D$26,"MANEJO DEL DOLOR Y CUIDADOS PALIATIVOS",IF(N15=CURSOS!$D$27,"TOMA MUESTRAS Y LABORATORIO POCT",IF(N15=CURSOS!$D$28,"IMPLANTE SUBDERMICO Y DISPOSITIVO INTRAUTERINO",IF(N15=CURSOS!$D$29,"SALUD MENTAL",IF(N15=CURSOS!$D$30,"PRIMEROS AUXILIOS PSICOLOGICOS",IF(N15=CURSOS!$D$31,"ATENCION A VICTIMAS POR CONFLICTO ARMADO",IF(N15=CURSOS!$D$32,"MANIPULACION DE ALIMENTOS Y BPM",IF(N15=CURSOS!$D$33,"ATENCION A PERSONAS CON DISCAPACIDAD",IF(N15=CURSOS!$D$34,"CUIDADO INTEGRAL DEL PACIENTE ADULTO"))))))))))))))))))))))))))))))))</f>
        <v xml:space="preserve">PRIMEROS AUXILIOS </v>
      </c>
      <c r="U15" s="64" t="str">
        <f t="shared" si="3"/>
        <v>Francisco Alexander Guerrero Enriquez</v>
      </c>
      <c r="V15" s="64" t="str">
        <f t="shared" si="4"/>
        <v>Francisco Alexander Guerrero Enriquez</v>
      </c>
      <c r="W15" s="64" t="str">
        <f t="shared" si="5"/>
        <v>Francisco Alexander Guerrero Enriquez-13072732-PRIMEROS AUXILIOS</v>
      </c>
    </row>
    <row r="16" spans="1:23" s="21" customFormat="1" x14ac:dyDescent="0.2">
      <c r="A16" s="94">
        <v>15</v>
      </c>
      <c r="B16" s="62">
        <v>59816579</v>
      </c>
      <c r="C16" s="19" t="s">
        <v>142</v>
      </c>
      <c r="D16" s="19" t="s">
        <v>143</v>
      </c>
      <c r="E16" s="19" t="s">
        <v>144</v>
      </c>
      <c r="F16" s="19" t="s">
        <v>145</v>
      </c>
      <c r="G16" s="16">
        <v>4</v>
      </c>
      <c r="H16" s="16" t="s">
        <v>90</v>
      </c>
      <c r="I16" s="18">
        <v>45447</v>
      </c>
      <c r="J16" s="22">
        <v>80000</v>
      </c>
      <c r="K16" s="16" t="s">
        <v>107</v>
      </c>
      <c r="L16" s="16" t="s">
        <v>101</v>
      </c>
      <c r="M16" s="16" t="s">
        <v>146</v>
      </c>
      <c r="N16" s="17" t="s">
        <v>19</v>
      </c>
      <c r="O16" s="20">
        <v>26336</v>
      </c>
      <c r="P16" s="19" t="s">
        <v>108</v>
      </c>
      <c r="Q16" s="19" t="s">
        <v>147</v>
      </c>
      <c r="R16" s="19">
        <v>3136463494</v>
      </c>
      <c r="S16" s="19" t="s">
        <v>148</v>
      </c>
      <c r="T16" s="64" t="str">
        <f>IF(N16=CURSOS!$D$3,"DIPLOMADO EN ATENCION PRE-HOSPITALARIA",IF(N16=CURSOS!$D$4,"ACOMPAÑAMIENTO Y MANEJO DEL DUELO",IF(N16=CURSOS!$D$5,"ATENCION A VICTIMAS DE ATAQUE CON AGENTES QUIMICOS ",IF(N16=CURSOS!$D$6,"PRIMEROS AUXILIOS ",IF(N16=CURSOS!$D$7,"DIPLOMADO DE UNIDAD DE CUIDADOS INTENSIVOS (UCI)",IF(N16=CURSOS!$D$8,"MODELO DE ATENCION PARA EVENTOS EMERGENTES EN SALUD MENTAL (CODIGO VERDE)",IF(N16=CURSOS!$D$9,"HUMANIZACION EN SALUD, BUENAS PRACTICAS EN PACIENTE ",IF(N16=CURSOS!$D$10,"CLINICA DE HERIDAS ",IF(N16=CURSOS!$D$11,"TOMA DE CITOLOGIA A CERVICO VAGINAL ",IF(N16=CURSOS!$D$12,"SOPORTE CARDIOVASCULAR AVANZADO ",IF(N16=CURSOS!$D$13,"CAMILLERO ",IF(N16=CURSOS!$D$14,"TOMA MUESTRAS Y LABORATORIO ",IF(N16=CURSOS!$D$15,"SOPORTE VITAL BASICO (BLS)",IF(N16=CURSOS!$D$16,"ATENCION A VICTIMAS DE VIOLENCIA SEXUAL ",IF(N16=CURSOS!$D$17,"PROGRAMADO AMPLIADO DE INMUNIZACION (PAI - COVID 19)",IF(N16=CURSOS!$D$18,"ATENCION INTEGRAL EN ENFERMEDADES PREVALENTES EN PRIMERA INFANCIA (AIEPI)",IF(N16=CURSOS!$D$19,"ADMINISTRACION DE MEDICAMENTOS, IYECTOLOGIA  Y CANALIZACION ",IF(N16=CURSOS!$D$20,"OPERADOR DE VEHICULOS DE EMERGENCIA (OVE)",IF(N16=CURSOS!$D$21,"INSTITUCIONES AMIGAS DE LA MUJER Y LA INFANCIA (IAMI)",IF(N16=CURSOS!$D$22,"CUIDADO DEL DONANTE DE ORGANOS",IF(N16=CURSOS!$D$23,"ATENCION A VICTIMAS POR VIOLENCIA DE GENERO",IF(N16=CURSOS!$D$24,"IGUALDAD DE GENERO EN LA SALUD",IF(N16=CURSOS!$D$25,"BRIGADA DE EMERGENCIA",IF(N16=CURSOS!$D$26,"MANEJO DEL DOLOR Y CUIDADOS PALIATIVOS",IF(N16=CURSOS!$D$27,"TOMA MUESTRAS Y LABORATORIO POCT",IF(N16=CURSOS!$D$28,"IMPLANTE SUBDERMICO Y DISPOSITIVO INTRAUTERINO",IF(N16=CURSOS!$D$29,"SALUD MENTAL",IF(N16=CURSOS!$D$30,"PRIMEROS AUXILIOS PSICOLOGICOS",IF(N16=CURSOS!$D$31,"ATENCION A VICTIMAS POR CONFLICTO ARMADO",IF(N16=CURSOS!$D$32,"MANIPULACION DE ALIMENTOS Y BPM",IF(N16=CURSOS!$D$33,"ATENCION A PERSONAS CON DISCAPACIDAD",IF(N16=CURSOS!$D$34,"CUIDADO INTEGRAL DEL PACIENTE ADULTO"))))))))))))))))))))))))))))))))</f>
        <v>SOPORTE VITAL BASICO (BLS)</v>
      </c>
      <c r="U16" s="64" t="str">
        <f t="shared" si="3"/>
        <v>Luz Angela Machado Tatis</v>
      </c>
      <c r="V16" s="64" t="str">
        <f t="shared" si="4"/>
        <v>Luz Angela Machado Tatis</v>
      </c>
      <c r="W16" s="64" t="str">
        <f t="shared" si="5"/>
        <v>Luz Angela Machado Tatis-59816579-BLS</v>
      </c>
    </row>
    <row r="17" spans="1:23" s="21" customFormat="1" x14ac:dyDescent="0.2">
      <c r="A17" s="94">
        <v>16</v>
      </c>
      <c r="B17" s="62">
        <v>1004231900</v>
      </c>
      <c r="C17" s="19" t="s">
        <v>149</v>
      </c>
      <c r="D17" s="19" t="s">
        <v>150</v>
      </c>
      <c r="E17" s="19" t="s">
        <v>151</v>
      </c>
      <c r="F17" s="19" t="s">
        <v>152</v>
      </c>
      <c r="G17" s="16">
        <v>1</v>
      </c>
      <c r="H17" s="16" t="s">
        <v>90</v>
      </c>
      <c r="I17" s="18">
        <v>45447</v>
      </c>
      <c r="J17" s="22">
        <v>120000</v>
      </c>
      <c r="K17" s="16" t="s">
        <v>91</v>
      </c>
      <c r="L17" s="16" t="s">
        <v>101</v>
      </c>
      <c r="M17" s="16" t="s">
        <v>146</v>
      </c>
      <c r="N17" s="17" t="s">
        <v>39</v>
      </c>
      <c r="O17" s="20">
        <v>36650</v>
      </c>
      <c r="P17" s="19" t="s">
        <v>108</v>
      </c>
      <c r="Q17" s="19" t="s">
        <v>153</v>
      </c>
      <c r="R17" s="19">
        <v>3170303950</v>
      </c>
      <c r="S17" s="77" t="s">
        <v>154</v>
      </c>
      <c r="T17" s="64" t="str">
        <f>IF(N17=CURSOS!$D$3,"DIPLOMADO EN ATENCION PRE-HOSPITALARIA",IF(N17=CURSOS!$D$4,"ACOMPAÑAMIENTO Y MANEJO DEL DUELO",IF(N17=CURSOS!$D$5,"ATENCION A VICTIMAS DE ATAQUE CON AGENTES QUIMICOS ",IF(N17=CURSOS!$D$6,"PRIMEROS AUXILIOS ",IF(N17=CURSOS!$D$7,"DIPLOMADO DE UNIDAD DE CUIDADOS INTENSIVOS (UCI)",IF(N17=CURSOS!$D$8,"MODELO DE ATENCION PARA EVENTOS EMERGENTES EN SALUD MENTAL (CODIGO VERDE)",IF(N17=CURSOS!$D$9,"HUMANIZACION EN SALUD, BUENAS PRACTICAS EN PACIENTE ",IF(N17=CURSOS!$D$10,"CLINICA DE HERIDAS ",IF(N17=CURSOS!$D$11,"TOMA DE CITOLOGIA A CERVICO VAGINAL ",IF(N17=CURSOS!$D$12,"SOPORTE CARDIOVASCULAR AVANZADO ",IF(N17=CURSOS!$D$13,"CAMILLERO ",IF(N17=CURSOS!$D$14,"TOMA MUESTRAS Y LABORATORIO ",IF(N17=CURSOS!$D$15,"SOPORTE VITAL BASICO (BLS)",IF(N17=CURSOS!$D$16,"ATENCION A VICTIMAS DE VIOLENCIA SEXUAL ",IF(N17=CURSOS!$D$17,"PROGRAMADO AMPLIADO DE INMUNIZACION (PAI - COVID 19)",IF(N17=CURSOS!$D$18,"ATENCION INTEGRAL EN ENFERMEDADES PREVALENTES EN PRIMERA INFANCIA (AIEPI)",IF(N17=CURSOS!$D$19,"ADMINISTRACION DE MEDICAMENTOS, IYECTOLOGIA  Y CANALIZACION ",IF(N17=CURSOS!$D$20,"OPERADOR DE VEHICULOS DE EMERGENCIA (OVE)",IF(N17=CURSOS!$D$21,"INSTITUCIONES AMIGAS DE LA MUJER Y LA INFANCIA (IAMI)",IF(N17=CURSOS!$D$22,"CUIDADO DEL DONANTE DE ORGANOS",IF(N17=CURSOS!$D$23,"ATENCION A VICTIMAS POR VIOLENCIA DE GENERO",IF(N17=CURSOS!$D$24,"IGUALDAD DE GENERO EN LA SALUD",IF(N17=CURSOS!$D$25,"BRIGADA DE EMERGENCIA",IF(N17=CURSOS!$D$26,"MANEJO DEL DOLOR Y CUIDADOS PALIATIVOS",IF(N17=CURSOS!$D$27,"TOMA MUESTRAS Y LABORATORIO POCT",IF(N17=CURSOS!$D$28,"IMPLANTE SUBDERMICO Y DISPOSITIVO INTRAUTERINO",IF(N17=CURSOS!$D$29,"SALUD MENTAL",IF(N17=CURSOS!$D$30,"PRIMEROS AUXILIOS PSICOLOGICOS",IF(N17=CURSOS!$D$31,"ATENCION A VICTIMAS POR CONFLICTO ARMADO",IF(N17=CURSOS!$D$32,"MANIPULACION DE ALIMENTOS Y BPM",IF(N17=CURSOS!$D$33,"ATENCION A PERSONAS CON DISCAPACIDAD",IF(N17=CURSOS!$D$34,"CUIDADO INTEGRAL DEL PACIENTE ADULTO"))))))))))))))))))))))))))))))))</f>
        <v xml:space="preserve">SOPORTE CARDIOVASCULAR AVANZADO </v>
      </c>
      <c r="U17" s="64" t="str">
        <f t="shared" si="3"/>
        <v>Sammy Nathalia Munares Mera</v>
      </c>
      <c r="V17" s="64" t="str">
        <f t="shared" si="4"/>
        <v>Sammy Nathalia Munares Mera</v>
      </c>
      <c r="W17" s="64" t="str">
        <f t="shared" si="5"/>
        <v>Sammy Nathalia Munares Mera-1004231900-ACLS</v>
      </c>
    </row>
    <row r="18" spans="1:23" s="21" customFormat="1" x14ac:dyDescent="0.2">
      <c r="A18" s="94">
        <v>17</v>
      </c>
      <c r="B18" s="62">
        <v>1004231900</v>
      </c>
      <c r="C18" s="19" t="s">
        <v>149</v>
      </c>
      <c r="D18" s="19" t="s">
        <v>150</v>
      </c>
      <c r="E18" s="19" t="s">
        <v>151</v>
      </c>
      <c r="F18" s="19" t="s">
        <v>152</v>
      </c>
      <c r="G18" s="16">
        <v>4</v>
      </c>
      <c r="H18" s="16" t="s">
        <v>90</v>
      </c>
      <c r="I18" s="18">
        <v>45447</v>
      </c>
      <c r="J18" s="22">
        <v>30000</v>
      </c>
      <c r="K18" s="16" t="s">
        <v>91</v>
      </c>
      <c r="L18" s="16" t="s">
        <v>101</v>
      </c>
      <c r="M18" s="16" t="s">
        <v>146</v>
      </c>
      <c r="N18" s="17" t="s">
        <v>46</v>
      </c>
      <c r="O18" s="20">
        <v>36650</v>
      </c>
      <c r="P18" s="19" t="s">
        <v>108</v>
      </c>
      <c r="Q18" s="19" t="s">
        <v>153</v>
      </c>
      <c r="R18" s="19">
        <v>3170303950</v>
      </c>
      <c r="S18" s="77" t="s">
        <v>154</v>
      </c>
      <c r="T18" s="64" t="str">
        <f>IF(N18=CURSOS!$D$3,"DIPLOMADO EN ATENCION PRE-HOSPITALARIA",IF(N18=CURSOS!$D$4,"ACOMPAÑAMIENTO Y MANEJO DEL DUELO",IF(N18=CURSOS!$D$5,"ATENCION A VICTIMAS DE ATAQUE CON AGENTES QUIMICOS ",IF(N18=CURSOS!$D$6,"PRIMEROS AUXILIOS ",IF(N18=CURSOS!$D$7,"DIPLOMADO DE UNIDAD DE CUIDADOS INTENSIVOS (UCI)",IF(N18=CURSOS!$D$8,"MODELO DE ATENCION PARA EVENTOS EMERGENTES EN SALUD MENTAL (CODIGO VERDE)",IF(N18=CURSOS!$D$9,"HUMANIZACION EN SALUD, BUENAS PRACTICAS EN PACIENTE ",IF(N18=CURSOS!$D$10,"CLINICA DE HERIDAS ",IF(N18=CURSOS!$D$11,"TOMA DE CITOLOGIA A CERVICO VAGINAL ",IF(N18=CURSOS!$D$12,"SOPORTE CARDIOVASCULAR AVANZADO ",IF(N18=CURSOS!$D$13,"CAMILLERO ",IF(N18=CURSOS!$D$14,"TOMA MUESTRAS Y LABORATORIO ",IF(N18=CURSOS!$D$15,"SOPORTE VITAL BASICO (BLS)",IF(N18=CURSOS!$D$16,"ATENCION A VICTIMAS DE VIOLENCIA SEXUAL ",IF(N18=CURSOS!$D$17,"PROGRAMADO AMPLIADO DE INMUNIZACION (PAI - COVID 19)",IF(N18=CURSOS!$D$18,"ATENCION INTEGRAL EN ENFERMEDADES PREVALENTES EN PRIMERA INFANCIA (AIEPI)",IF(N18=CURSOS!$D$19,"ADMINISTRACION DE MEDICAMENTOS, IYECTOLOGIA  Y CANALIZACION ",IF(N18=CURSOS!$D$20,"OPERADOR DE VEHICULOS DE EMERGENCIA (OVE)",IF(N18=CURSOS!$D$21,"INSTITUCIONES AMIGAS DE LA MUJER Y LA INFANCIA (IAMI)",IF(N18=CURSOS!$D$22,"CUIDADO DEL DONANTE DE ORGANOS",IF(N18=CURSOS!$D$23,"ATENCION A VICTIMAS POR VIOLENCIA DE GENERO",IF(N18=CURSOS!$D$24,"IGUALDAD DE GENERO EN LA SALUD",IF(N18=CURSOS!$D$25,"BRIGADA DE EMERGENCIA",IF(N18=CURSOS!$D$26,"MANEJO DEL DOLOR Y CUIDADOS PALIATIVOS",IF(N18=CURSOS!$D$27,"TOMA MUESTRAS Y LABORATORIO POCT",IF(N18=CURSOS!$D$28,"IMPLANTE SUBDERMICO Y DISPOSITIVO INTRAUTERINO",IF(N18=CURSOS!$D$29,"SALUD MENTAL",IF(N18=CURSOS!$D$30,"PRIMEROS AUXILIOS PSICOLOGICOS",IF(N18=CURSOS!$D$31,"ATENCION A VICTIMAS POR CONFLICTO ARMADO",IF(N18=CURSOS!$D$32,"MANIPULACION DE ALIMENTOS Y BPM",IF(N18=CURSOS!$D$33,"ATENCION A PERSONAS CON DISCAPACIDAD",IF(N18=CURSOS!$D$34,"CUIDADO INTEGRAL DEL PACIENTE ADULTO"))))))))))))))))))))))))))))))))</f>
        <v xml:space="preserve">ATENCION A VICTIMAS DE VIOLENCIA SEXUAL </v>
      </c>
      <c r="U18" s="64" t="str">
        <f t="shared" si="3"/>
        <v>Sammy Nathalia Munares Mera</v>
      </c>
      <c r="V18" s="64" t="str">
        <f t="shared" si="4"/>
        <v>Sammy Nathalia Munares Mera</v>
      </c>
      <c r="W18" s="64" t="str">
        <f t="shared" si="5"/>
        <v>Sammy Nathalia Munares Mera-1004231900-VIOLENCIA SEXUAL</v>
      </c>
    </row>
    <row r="19" spans="1:23" s="21" customFormat="1" x14ac:dyDescent="0.2">
      <c r="A19" s="94">
        <v>18</v>
      </c>
      <c r="B19" s="62">
        <v>1004636250</v>
      </c>
      <c r="C19" s="19" t="s">
        <v>155</v>
      </c>
      <c r="D19" s="19" t="s">
        <v>156</v>
      </c>
      <c r="E19" s="19" t="s">
        <v>157</v>
      </c>
      <c r="F19" s="19" t="s">
        <v>158</v>
      </c>
      <c r="G19" s="16">
        <v>5</v>
      </c>
      <c r="H19" s="16" t="s">
        <v>90</v>
      </c>
      <c r="I19" s="18">
        <v>45448</v>
      </c>
      <c r="J19" s="22">
        <v>80000</v>
      </c>
      <c r="K19" s="16" t="s">
        <v>91</v>
      </c>
      <c r="L19" s="16" t="s">
        <v>101</v>
      </c>
      <c r="M19" s="16" t="s">
        <v>93</v>
      </c>
      <c r="N19" s="17" t="s">
        <v>46</v>
      </c>
      <c r="O19" s="20">
        <v>36650</v>
      </c>
      <c r="P19" s="19" t="s">
        <v>108</v>
      </c>
      <c r="Q19" s="19" t="s">
        <v>159</v>
      </c>
      <c r="R19" s="19">
        <v>3174360353</v>
      </c>
      <c r="S19" s="78" t="s">
        <v>160</v>
      </c>
      <c r="T19" s="64" t="str">
        <f>IF(N19=CURSOS!$D$3,"DIPLOMADO EN ATENCION PRE-HOSPITALARIA",IF(N19=CURSOS!$D$4,"ACOMPAÑAMIENTO Y MANEJO DEL DUELO",IF(N19=CURSOS!$D$5,"ATENCION A VICTIMAS DE ATAQUE CON AGENTES QUIMICOS ",IF(N19=CURSOS!$D$6,"PRIMEROS AUXILIOS ",IF(N19=CURSOS!$D$7,"DIPLOMADO DE UNIDAD DE CUIDADOS INTENSIVOS (UCI)",IF(N19=CURSOS!$D$8,"MODELO DE ATENCION PARA EVENTOS EMERGENTES EN SALUD MENTAL (CODIGO VERDE)",IF(N19=CURSOS!$D$9,"HUMANIZACION EN SALUD, BUENAS PRACTICAS EN PACIENTE ",IF(N19=CURSOS!$D$10,"CLINICA DE HERIDAS ",IF(N19=CURSOS!$D$11,"TOMA DE CITOLOGIA A CERVICO VAGINAL ",IF(N19=CURSOS!$D$12,"SOPORTE CARDIOVASCULAR AVANZADO ",IF(N19=CURSOS!$D$13,"CAMILLERO ",IF(N19=CURSOS!$D$14,"TOMA MUESTRAS Y LABORATORIO ",IF(N19=CURSOS!$D$15,"SOPORTE VITAL BASICO (BLS)",IF(N19=CURSOS!$D$16,"ATENCION A VICTIMAS DE VIOLENCIA SEXUAL ",IF(N19=CURSOS!$D$17,"PROGRAMADO AMPLIADO DE INMUNIZACION (PAI - COVID 19)",IF(N19=CURSOS!$D$18,"ATENCION INTEGRAL EN ENFERMEDADES PREVALENTES EN PRIMERA INFANCIA (AIEPI)",IF(N19=CURSOS!$D$19,"ADMINISTRACION DE MEDICAMENTOS, IYECTOLOGIA  Y CANALIZACION ",IF(N19=CURSOS!$D$20,"OPERADOR DE VEHICULOS DE EMERGENCIA (OVE)",IF(N19=CURSOS!$D$21,"INSTITUCIONES AMIGAS DE LA MUJER Y LA INFANCIA (IAMI)",IF(N19=CURSOS!$D$22,"CUIDADO DEL DONANTE DE ORGANOS",IF(N19=CURSOS!$D$23,"ATENCION A VICTIMAS POR VIOLENCIA DE GENERO",IF(N19=CURSOS!$D$24,"IGUALDAD DE GENERO EN LA SALUD",IF(N19=CURSOS!$D$25,"BRIGADA DE EMERGENCIA",IF(N19=CURSOS!$D$26,"MANEJO DEL DOLOR Y CUIDADOS PALIATIVOS",IF(N19=CURSOS!$D$27,"TOMA MUESTRAS Y LABORATORIO POCT",IF(N19=CURSOS!$D$28,"IMPLANTE SUBDERMICO Y DISPOSITIVO INTRAUTERINO",IF(N19=CURSOS!$D$29,"SALUD MENTAL",IF(N19=CURSOS!$D$30,"PRIMEROS AUXILIOS PSICOLOGICOS",IF(N19=CURSOS!$D$31,"ATENCION A VICTIMAS POR CONFLICTO ARMADO",IF(N19=CURSOS!$D$32,"MANIPULACION DE ALIMENTOS Y BPM",IF(N19=CURSOS!$D$33,"ATENCION A PERSONAS CON DISCAPACIDAD",IF(N19=CURSOS!$D$34,"CUIDADO INTEGRAL DEL PACIENTE ADULTO"))))))))))))))))))))))))))))))))</f>
        <v xml:space="preserve">ATENCION A VICTIMAS DE VIOLENCIA SEXUAL </v>
      </c>
      <c r="U19" s="64" t="str">
        <f t="shared" si="3"/>
        <v>Claudia Katherine Bernal Caicedo</v>
      </c>
      <c r="V19" s="64" t="str">
        <f t="shared" si="4"/>
        <v>Claudia Katherine Bernal Caicedo</v>
      </c>
      <c r="W19" s="64" t="str">
        <f t="shared" si="5"/>
        <v>Claudia Katherine Bernal Caicedo-1004636250-VIOLENCIA SEXUAL</v>
      </c>
    </row>
    <row r="20" spans="1:23" s="21" customFormat="1" x14ac:dyDescent="0.2">
      <c r="A20" s="94">
        <v>19</v>
      </c>
      <c r="B20" s="62">
        <v>1084848135</v>
      </c>
      <c r="C20" s="19" t="s">
        <v>161</v>
      </c>
      <c r="D20" s="19" t="s">
        <v>162</v>
      </c>
      <c r="E20" s="19" t="s">
        <v>163</v>
      </c>
      <c r="F20" s="19" t="s">
        <v>164</v>
      </c>
      <c r="G20" s="16">
        <v>5</v>
      </c>
      <c r="H20" s="16" t="s">
        <v>90</v>
      </c>
      <c r="I20" s="18">
        <v>45448</v>
      </c>
      <c r="J20" s="22">
        <v>30000</v>
      </c>
      <c r="K20" s="16" t="s">
        <v>91</v>
      </c>
      <c r="L20" s="16" t="s">
        <v>101</v>
      </c>
      <c r="M20" s="16" t="s">
        <v>165</v>
      </c>
      <c r="N20" s="17" t="s">
        <v>19</v>
      </c>
      <c r="O20" s="20">
        <v>36064</v>
      </c>
      <c r="P20" s="19" t="s">
        <v>94</v>
      </c>
      <c r="Q20" s="19" t="s">
        <v>117</v>
      </c>
      <c r="R20" s="19">
        <v>3104171311</v>
      </c>
      <c r="S20" s="19" t="s">
        <v>166</v>
      </c>
      <c r="T20" s="64" t="str">
        <f>IF(N20=CURSOS!$D$3,"DIPLOMADO EN ATENCION PRE-HOSPITALARIA",IF(N20=CURSOS!$D$4,"ACOMPAÑAMIENTO Y MANEJO DEL DUELO",IF(N20=CURSOS!$D$5,"ATENCION A VICTIMAS DE ATAQUE CON AGENTES QUIMICOS ",IF(N20=CURSOS!$D$6,"PRIMEROS AUXILIOS ",IF(N20=CURSOS!$D$7,"DIPLOMADO DE UNIDAD DE CUIDADOS INTENSIVOS (UCI)",IF(N20=CURSOS!$D$8,"MODELO DE ATENCION PARA EVENTOS EMERGENTES EN SALUD MENTAL (CODIGO VERDE)",IF(N20=CURSOS!$D$9,"HUMANIZACION EN SALUD, BUENAS PRACTICAS EN PACIENTE ",IF(N20=CURSOS!$D$10,"CLINICA DE HERIDAS ",IF(N20=CURSOS!$D$11,"TOMA DE CITOLOGIA A CERVICO VAGINAL ",IF(N20=CURSOS!$D$12,"SOPORTE CARDIOVASCULAR AVANZADO ",IF(N20=CURSOS!$D$13,"CAMILLERO ",IF(N20=CURSOS!$D$14,"TOMA MUESTRAS Y LABORATORIO ",IF(N20=CURSOS!$D$15,"SOPORTE VITAL BASICO (BLS)",IF(N20=CURSOS!$D$16,"ATENCION A VICTIMAS DE VIOLENCIA SEXUAL ",IF(N20=CURSOS!$D$17,"PROGRAMADO AMPLIADO DE INMUNIZACION (PAI - COVID 19)",IF(N20=CURSOS!$D$18,"ATENCION INTEGRAL EN ENFERMEDADES PREVALENTES EN PRIMERA INFANCIA (AIEPI)",IF(N20=CURSOS!$D$19,"ADMINISTRACION DE MEDICAMENTOS, IYECTOLOGIA  Y CANALIZACION ",IF(N20=CURSOS!$D$20,"OPERADOR DE VEHICULOS DE EMERGENCIA (OVE)",IF(N20=CURSOS!$D$21,"INSTITUCIONES AMIGAS DE LA MUJER Y LA INFANCIA (IAMI)",IF(N20=CURSOS!$D$22,"CUIDADO DEL DONANTE DE ORGANOS",IF(N20=CURSOS!$D$23,"ATENCION A VICTIMAS POR VIOLENCIA DE GENERO",IF(N20=CURSOS!$D$24,"IGUALDAD DE GENERO EN LA SALUD",IF(N20=CURSOS!$D$25,"BRIGADA DE EMERGENCIA",IF(N20=CURSOS!$D$26,"MANEJO DEL DOLOR Y CUIDADOS PALIATIVOS",IF(N20=CURSOS!$D$27,"TOMA MUESTRAS Y LABORATORIO POCT",IF(N20=CURSOS!$D$28,"IMPLANTE SUBDERMICO Y DISPOSITIVO INTRAUTERINO",IF(N20=CURSOS!$D$29,"SALUD MENTAL",IF(N20=CURSOS!$D$30,"PRIMEROS AUXILIOS PSICOLOGICOS",IF(N20=CURSOS!$D$31,"ATENCION A VICTIMAS POR CONFLICTO ARMADO",IF(N20=CURSOS!$D$32,"MANIPULACION DE ALIMENTOS Y BPM",IF(N20=CURSOS!$D$33,"ATENCION A PERSONAS CON DISCAPACIDAD",IF(N20=CURSOS!$D$34,"CUIDADO INTEGRAL DEL PACIENTE ADULTO"))))))))))))))))))))))))))))))))</f>
        <v>SOPORTE VITAL BASICO (BLS)</v>
      </c>
      <c r="U20" s="64" t="str">
        <f t="shared" si="3"/>
        <v>Jose Manuel Marquez Azain</v>
      </c>
      <c r="V20" s="64" t="str">
        <f t="shared" si="4"/>
        <v>Jose Manuel Marquez Azain</v>
      </c>
      <c r="W20" s="64" t="str">
        <f t="shared" si="5"/>
        <v>Jose Manuel Marquez Azain-1084848135-BLS</v>
      </c>
    </row>
    <row r="21" spans="1:23" s="21" customFormat="1" x14ac:dyDescent="0.2">
      <c r="A21" s="94">
        <v>20</v>
      </c>
      <c r="B21" s="62">
        <v>1085314282</v>
      </c>
      <c r="C21" s="19" t="s">
        <v>169</v>
      </c>
      <c r="D21" s="19" t="s">
        <v>170</v>
      </c>
      <c r="E21" s="19" t="s">
        <v>171</v>
      </c>
      <c r="F21" s="19" t="s">
        <v>172</v>
      </c>
      <c r="G21" s="16">
        <v>5</v>
      </c>
      <c r="H21" s="16" t="s">
        <v>90</v>
      </c>
      <c r="I21" s="18">
        <v>45448</v>
      </c>
      <c r="J21" s="22">
        <v>40000</v>
      </c>
      <c r="K21" s="16" t="s">
        <v>107</v>
      </c>
      <c r="L21" s="16" t="s">
        <v>101</v>
      </c>
      <c r="M21" s="16" t="s">
        <v>93</v>
      </c>
      <c r="N21" s="17" t="s">
        <v>19</v>
      </c>
      <c r="O21" s="20">
        <v>34543</v>
      </c>
      <c r="P21" s="19" t="s">
        <v>108</v>
      </c>
      <c r="Q21" s="19" t="s">
        <v>117</v>
      </c>
      <c r="R21" s="19">
        <v>3225280813</v>
      </c>
      <c r="S21" s="19" t="s">
        <v>173</v>
      </c>
      <c r="T21" s="64" t="str">
        <f>IF(N21=CURSOS!$D$3,"DIPLOMADO EN ATENCION PRE-HOSPITALARIA",IF(N21=CURSOS!$D$4,"ACOMPAÑAMIENTO Y MANEJO DEL DUELO",IF(N21=CURSOS!$D$5,"ATENCION A VICTIMAS DE ATAQUE CON AGENTES QUIMICOS ",IF(N21=CURSOS!$D$6,"PRIMEROS AUXILIOS ",IF(N21=CURSOS!$D$7,"DIPLOMADO DE UNIDAD DE CUIDADOS INTENSIVOS (UCI)",IF(N21=CURSOS!$D$8,"MODELO DE ATENCION PARA EVENTOS EMERGENTES EN SALUD MENTAL (CODIGO VERDE)",IF(N21=CURSOS!$D$9,"HUMANIZACION EN SALUD, BUENAS PRACTICAS EN PACIENTE ",IF(N21=CURSOS!$D$10,"CLINICA DE HERIDAS ",IF(N21=CURSOS!$D$11,"TOMA DE CITOLOGIA A CERVICO VAGINAL ",IF(N21=CURSOS!$D$12,"SOPORTE CARDIOVASCULAR AVANZADO ",IF(N21=CURSOS!$D$13,"CAMILLERO ",IF(N21=CURSOS!$D$14,"TOMA MUESTRAS Y LABORATORIO ",IF(N21=CURSOS!$D$15,"SOPORTE VITAL BASICO (BLS)",IF(N21=CURSOS!$D$16,"ATENCION A VICTIMAS DE VIOLENCIA SEXUAL ",IF(N21=CURSOS!$D$17,"PROGRAMADO AMPLIADO DE INMUNIZACION (PAI - COVID 19)",IF(N21=CURSOS!$D$18,"ATENCION INTEGRAL EN ENFERMEDADES PREVALENTES EN PRIMERA INFANCIA (AIEPI)",IF(N21=CURSOS!$D$19,"ADMINISTRACION DE MEDICAMENTOS, IYECTOLOGIA  Y CANALIZACION ",IF(N21=CURSOS!$D$20,"OPERADOR DE VEHICULOS DE EMERGENCIA (OVE)",IF(N21=CURSOS!$D$21,"INSTITUCIONES AMIGAS DE LA MUJER Y LA INFANCIA (IAMI)",IF(N21=CURSOS!$D$22,"CUIDADO DEL DONANTE DE ORGANOS",IF(N21=CURSOS!$D$23,"ATENCION A VICTIMAS POR VIOLENCIA DE GENERO",IF(N21=CURSOS!$D$24,"IGUALDAD DE GENERO EN LA SALUD",IF(N21=CURSOS!$D$25,"BRIGADA DE EMERGENCIA",IF(N21=CURSOS!$D$26,"MANEJO DEL DOLOR Y CUIDADOS PALIATIVOS",IF(N21=CURSOS!$D$27,"TOMA MUESTRAS Y LABORATORIO POCT",IF(N21=CURSOS!$D$28,"IMPLANTE SUBDERMICO Y DISPOSITIVO INTRAUTERINO",IF(N21=CURSOS!$D$29,"SALUD MENTAL",IF(N21=CURSOS!$D$30,"PRIMEROS AUXILIOS PSICOLOGICOS",IF(N21=CURSOS!$D$31,"ATENCION A VICTIMAS POR CONFLICTO ARMADO",IF(N21=CURSOS!$D$32,"MANIPULACION DE ALIMENTOS Y BPM",IF(N21=CURSOS!$D$33,"ATENCION A PERSONAS CON DISCAPACIDAD",IF(N21=CURSOS!$D$34,"CUIDADO INTEGRAL DEL PACIENTE ADULTO"))))))))))))))))))))))))))))))))</f>
        <v>SOPORTE VITAL BASICO (BLS)</v>
      </c>
      <c r="U21" s="64" t="str">
        <f t="shared" si="3"/>
        <v>Jennifer Yuranie Gustin Delgado</v>
      </c>
      <c r="V21" s="64" t="str">
        <f t="shared" si="4"/>
        <v>Jennifer Yuranie Gustin Delgado</v>
      </c>
      <c r="W21" s="64" t="str">
        <f t="shared" si="5"/>
        <v>Jennifer Yuranie Gustin Delgado-1085314282-BLS</v>
      </c>
    </row>
    <row r="22" spans="1:23" s="21" customFormat="1" x14ac:dyDescent="0.2">
      <c r="A22" s="94">
        <v>21</v>
      </c>
      <c r="B22" s="62">
        <v>1004216298</v>
      </c>
      <c r="C22" s="19" t="s">
        <v>174</v>
      </c>
      <c r="D22" s="19" t="s">
        <v>175</v>
      </c>
      <c r="E22" s="19" t="s">
        <v>176</v>
      </c>
      <c r="F22" s="19" t="s">
        <v>177</v>
      </c>
      <c r="G22" s="16">
        <v>5</v>
      </c>
      <c r="H22" s="16" t="s">
        <v>90</v>
      </c>
      <c r="I22" s="18">
        <v>45448</v>
      </c>
      <c r="J22" s="22">
        <v>30000</v>
      </c>
      <c r="K22" s="16" t="s">
        <v>91</v>
      </c>
      <c r="L22" s="16" t="s">
        <v>101</v>
      </c>
      <c r="M22" s="16" t="s">
        <v>119</v>
      </c>
      <c r="N22" s="17" t="s">
        <v>19</v>
      </c>
      <c r="O22" s="20">
        <v>37500</v>
      </c>
      <c r="P22" s="19" t="s">
        <v>108</v>
      </c>
      <c r="Q22" s="19" t="s">
        <v>117</v>
      </c>
      <c r="R22" s="19">
        <v>3138539467</v>
      </c>
      <c r="S22" s="19" t="s">
        <v>178</v>
      </c>
      <c r="T22" s="64" t="str">
        <f>IF(N22=CURSOS!$D$3,"DIPLOMADO EN ATENCION PRE-HOSPITALARIA",IF(N22=CURSOS!$D$4,"ACOMPAÑAMIENTO Y MANEJO DEL DUELO",IF(N22=CURSOS!$D$5,"ATENCION A VICTIMAS DE ATAQUE CON AGENTES QUIMICOS ",IF(N22=CURSOS!$D$6,"PRIMEROS AUXILIOS ",IF(N22=CURSOS!$D$7,"DIPLOMADO DE UNIDAD DE CUIDADOS INTENSIVOS (UCI)",IF(N22=CURSOS!$D$8,"MODELO DE ATENCION PARA EVENTOS EMERGENTES EN SALUD MENTAL (CODIGO VERDE)",IF(N22=CURSOS!$D$9,"HUMANIZACION EN SALUD, BUENAS PRACTICAS EN PACIENTE ",IF(N22=CURSOS!$D$10,"CLINICA DE HERIDAS ",IF(N22=CURSOS!$D$11,"TOMA DE CITOLOGIA A CERVICO VAGINAL ",IF(N22=CURSOS!$D$12,"SOPORTE CARDIOVASCULAR AVANZADO ",IF(N22=CURSOS!$D$13,"CAMILLERO ",IF(N22=CURSOS!$D$14,"TOMA MUESTRAS Y LABORATORIO ",IF(N22=CURSOS!$D$15,"SOPORTE VITAL BASICO (BLS)",IF(N22=CURSOS!$D$16,"ATENCION A VICTIMAS DE VIOLENCIA SEXUAL ",IF(N22=CURSOS!$D$17,"PROGRAMADO AMPLIADO DE INMUNIZACION (PAI - COVID 19)",IF(N22=CURSOS!$D$18,"ATENCION INTEGRAL EN ENFERMEDADES PREVALENTES EN PRIMERA INFANCIA (AIEPI)",IF(N22=CURSOS!$D$19,"ADMINISTRACION DE MEDICAMENTOS, IYECTOLOGIA  Y CANALIZACION ",IF(N22=CURSOS!$D$20,"OPERADOR DE VEHICULOS DE EMERGENCIA (OVE)",IF(N22=CURSOS!$D$21,"INSTITUCIONES AMIGAS DE LA MUJER Y LA INFANCIA (IAMI)",IF(N22=CURSOS!$D$22,"CUIDADO DEL DONANTE DE ORGANOS",IF(N22=CURSOS!$D$23,"ATENCION A VICTIMAS POR VIOLENCIA DE GENERO",IF(N22=CURSOS!$D$24,"IGUALDAD DE GENERO EN LA SALUD",IF(N22=CURSOS!$D$25,"BRIGADA DE EMERGENCIA",IF(N22=CURSOS!$D$26,"MANEJO DEL DOLOR Y CUIDADOS PALIATIVOS",IF(N22=CURSOS!$D$27,"TOMA MUESTRAS Y LABORATORIO POCT",IF(N22=CURSOS!$D$28,"IMPLANTE SUBDERMICO Y DISPOSITIVO INTRAUTERINO",IF(N22=CURSOS!$D$29,"SALUD MENTAL",IF(N22=CURSOS!$D$30,"PRIMEROS AUXILIOS PSICOLOGICOS",IF(N22=CURSOS!$D$31,"ATENCION A VICTIMAS POR CONFLICTO ARMADO",IF(N22=CURSOS!$D$32,"MANIPULACION DE ALIMENTOS Y BPM",IF(N22=CURSOS!$D$33,"ATENCION A PERSONAS CON DISCAPACIDAD",IF(N22=CURSOS!$D$34,"CUIDADO INTEGRAL DEL PACIENTE ADULTO"))))))))))))))))))))))))))))))))</f>
        <v>SOPORTE VITAL BASICO (BLS)</v>
      </c>
      <c r="U22" s="64" t="str">
        <f t="shared" si="3"/>
        <v>Nathaly Alejandra Arias Crespo</v>
      </c>
      <c r="V22" s="64" t="str">
        <f t="shared" si="4"/>
        <v>Nathaly Alejandra Arias Crespo</v>
      </c>
      <c r="W22" s="64" t="str">
        <f t="shared" si="5"/>
        <v>Nathaly Alejandra Arias Crespo-1004216298-BLS</v>
      </c>
    </row>
    <row r="23" spans="1:23" x14ac:dyDescent="0.2">
      <c r="A23" s="94">
        <v>22</v>
      </c>
      <c r="B23" s="81">
        <v>1085336447</v>
      </c>
      <c r="C23" s="71" t="s">
        <v>181</v>
      </c>
      <c r="D23" s="71" t="s">
        <v>182</v>
      </c>
      <c r="E23" s="71" t="s">
        <v>179</v>
      </c>
      <c r="F23" s="71" t="s">
        <v>180</v>
      </c>
      <c r="G23" s="72">
        <v>5</v>
      </c>
      <c r="H23" s="72" t="s">
        <v>90</v>
      </c>
      <c r="I23" s="73">
        <v>45448</v>
      </c>
      <c r="J23" s="74">
        <v>40000</v>
      </c>
      <c r="K23" s="72" t="s">
        <v>91</v>
      </c>
      <c r="L23" s="72" t="s">
        <v>92</v>
      </c>
      <c r="M23" s="72" t="s">
        <v>93</v>
      </c>
      <c r="N23" s="75" t="s">
        <v>183</v>
      </c>
      <c r="O23" s="76">
        <v>35674</v>
      </c>
      <c r="P23" s="71" t="s">
        <v>108</v>
      </c>
      <c r="Q23" s="71" t="s">
        <v>117</v>
      </c>
      <c r="R23" s="71">
        <v>3145522200</v>
      </c>
      <c r="S23" s="71" t="s">
        <v>184</v>
      </c>
      <c r="T23" s="64" t="b">
        <f>IF(N23=CURSOS!$D$3,"DIPLOMADO EN ATENCION PRE-HOSPITALARIA",IF(N23=CURSOS!$D$4,"ACOMPAÑAMIENTO Y MANEJO DEL DUELO",IF(N23=CURSOS!$D$5,"ATENCION A VICTIMAS DE ATAQUE CON AGENTES QUIMICOS ",IF(N23=CURSOS!$D$6,"PRIMEROS AUXILIOS ",IF(N23=CURSOS!$D$7,"DIPLOMADO DE UNIDAD DE CUIDADOS INTENSIVOS (UCI)",IF(N23=CURSOS!$D$8,"MODELO DE ATENCION PARA EVENTOS EMERGENTES EN SALUD MENTAL (CODIGO VERDE)",IF(N23=CURSOS!$D$9,"HUMANIZACION EN SALUD, BUENAS PRACTICAS EN PACIENTE ",IF(N23=CURSOS!$D$10,"CLINICA DE HERIDAS ",IF(N23=CURSOS!$D$11,"TOMA DE CITOLOGIA A CERVICO VAGINAL ",IF(N23=CURSOS!$D$12,"SOPORTE CARDIOVASCULAR AVANZADO ",IF(N23=CURSOS!$D$13,"CAMILLERO ",IF(N23=CURSOS!$D$14,"TOMA MUESTRAS Y LABORATORIO ",IF(N23=CURSOS!$D$15,"SOPORTE VITAL BASICO (BLS)",IF(N23=CURSOS!$D$16,"ATENCION A VICTIMAS DE VIOLENCIA SEXUAL ",IF(N23=CURSOS!$D$17,"PROGRAMADO AMPLIADO DE INMUNIZACION (PAI - COVID 19)",IF(N23=CURSOS!$D$18,"ATENCION INTEGRAL EN ENFERMEDADES PREVALENTES EN PRIMERA INFANCIA (AIEPI)",IF(N23=CURSOS!$D$19,"ADMINISTRACION DE MEDICAMENTOS, IYECTOLOGIA  Y CANALIZACION ",IF(N23=CURSOS!$D$20,"OPERADOR DE VEHICULOS DE EMERGENCIA (OVE)",IF(N23=CURSOS!$D$21,"INSTITUCIONES AMIGAS DE LA MUJER Y LA INFANCIA (IAMI)",IF(N23=CURSOS!$D$22,"CUIDADO DEL DONANTE DE ORGANOS",IF(N23=CURSOS!$D$23,"ATENCION A VICTIMAS POR VIOLENCIA DE GENERO",IF(N23=CURSOS!$D$24,"IGUALDAD DE GENERO EN LA SALUD",IF(N23=CURSOS!$D$25,"BRIGADA DE EMERGENCIA",IF(N23=CURSOS!$D$26,"MANEJO DEL DOLOR Y CUIDADOS PALIATIVOS",IF(N23=CURSOS!$D$27,"TOMA MUESTRAS Y LABORATORIO POCT",IF(N23=CURSOS!$D$28,"IMPLANTE SUBDERMICO Y DISPOSITIVO INTRAUTERINO",IF(N23=CURSOS!$D$29,"SALUD MENTAL",IF(N23=CURSOS!$D$30,"PRIMEROS AUXILIOS PSICOLOGICOS",IF(N23=CURSOS!$D$31,"ATENCION A VICTIMAS POR CONFLICTO ARMADO",IF(N23=CURSOS!$D$32,"MANIPULACION DE ALIMENTOS Y BPM",IF(N23=CURSOS!$D$33,"ATENCION A PERSONAS CON DISCAPACIDAD",IF(N23=CURSOS!$D$34,"CUIDADO INTEGRAL DEL PACIENTE ADULTO"))))))))))))))))))))))))))))))))</f>
        <v>0</v>
      </c>
      <c r="U23" s="64" t="str">
        <f t="shared" si="3"/>
        <v>Diana Bridgeth Araujo Perez</v>
      </c>
      <c r="V23" s="64" t="str">
        <f t="shared" si="4"/>
        <v>Diana Bridgeth Araujo Perez</v>
      </c>
      <c r="W23" s="64" t="str">
        <f t="shared" si="5"/>
        <v>Diana Bridgeth Araujo Perez-1085336447-PYP</v>
      </c>
    </row>
    <row r="24" spans="1:23" s="21" customFormat="1" x14ac:dyDescent="0.2">
      <c r="A24" s="94">
        <v>23</v>
      </c>
      <c r="B24" s="62">
        <v>1085332730</v>
      </c>
      <c r="C24" s="19" t="s">
        <v>150</v>
      </c>
      <c r="D24" s="19" t="s">
        <v>185</v>
      </c>
      <c r="E24" s="19" t="s">
        <v>186</v>
      </c>
      <c r="F24" s="19" t="s">
        <v>187</v>
      </c>
      <c r="G24" s="16">
        <v>6</v>
      </c>
      <c r="H24" s="16" t="s">
        <v>90</v>
      </c>
      <c r="I24" s="18">
        <v>45449</v>
      </c>
      <c r="J24" s="22">
        <v>40000</v>
      </c>
      <c r="K24" s="16" t="s">
        <v>91</v>
      </c>
      <c r="L24" s="16" t="s">
        <v>92</v>
      </c>
      <c r="M24" s="16" t="s">
        <v>146</v>
      </c>
      <c r="N24" s="17" t="s">
        <v>46</v>
      </c>
      <c r="O24" s="20">
        <v>35340</v>
      </c>
      <c r="P24" s="19" t="s">
        <v>108</v>
      </c>
      <c r="Q24" s="19" t="s">
        <v>188</v>
      </c>
      <c r="R24" s="19">
        <v>3225098152</v>
      </c>
      <c r="S24" s="78" t="s">
        <v>189</v>
      </c>
      <c r="T24" s="64" t="str">
        <f>IF(N24=CURSOS!$D$3,"DIPLOMADO EN ATENCION PRE-HOSPITALARIA",IF(N24=CURSOS!$D$4,"ACOMPAÑAMIENTO Y MANEJO DEL DUELO",IF(N24=CURSOS!$D$5,"ATENCION A VICTIMAS DE ATAQUE CON AGENTES QUIMICOS ",IF(N24=CURSOS!$D$6,"PRIMEROS AUXILIOS ",IF(N24=CURSOS!$D$7,"DIPLOMADO DE UNIDAD DE CUIDADOS INTENSIVOS (UCI)",IF(N24=CURSOS!$D$8,"MODELO DE ATENCION PARA EVENTOS EMERGENTES EN SALUD MENTAL (CODIGO VERDE)",IF(N24=CURSOS!$D$9,"HUMANIZACION EN SALUD, BUENAS PRACTICAS EN PACIENTE ",IF(N24=CURSOS!$D$10,"CLINICA DE HERIDAS ",IF(N24=CURSOS!$D$11,"TOMA DE CITOLOGIA A CERVICO VAGINAL ",IF(N24=CURSOS!$D$12,"SOPORTE CARDIOVASCULAR AVANZADO ",IF(N24=CURSOS!$D$13,"CAMILLERO ",IF(N24=CURSOS!$D$14,"TOMA MUESTRAS Y LABORATORIO ",IF(N24=CURSOS!$D$15,"SOPORTE VITAL BASICO (BLS)",IF(N24=CURSOS!$D$16,"ATENCION A VICTIMAS DE VIOLENCIA SEXUAL ",IF(N24=CURSOS!$D$17,"PROGRAMADO AMPLIADO DE INMUNIZACION (PAI - COVID 19)",IF(N24=CURSOS!$D$18,"ATENCION INTEGRAL EN ENFERMEDADES PREVALENTES EN PRIMERA INFANCIA (AIEPI)",IF(N24=CURSOS!$D$19,"ADMINISTRACION DE MEDICAMENTOS, IYECTOLOGIA  Y CANALIZACION ",IF(N24=CURSOS!$D$20,"OPERADOR DE VEHICULOS DE EMERGENCIA (OVE)",IF(N24=CURSOS!$D$21,"INSTITUCIONES AMIGAS DE LA MUJER Y LA INFANCIA (IAMI)",IF(N24=CURSOS!$D$22,"CUIDADO DEL DONANTE DE ORGANOS",IF(N24=CURSOS!$D$23,"ATENCION A VICTIMAS POR VIOLENCIA DE GENERO",IF(N24=CURSOS!$D$24,"IGUALDAD DE GENERO EN LA SALUD",IF(N24=CURSOS!$D$25,"BRIGADA DE EMERGENCIA",IF(N24=CURSOS!$D$26,"MANEJO DEL DOLOR Y CUIDADOS PALIATIVOS",IF(N24=CURSOS!$D$27,"TOMA MUESTRAS Y LABORATORIO POCT",IF(N24=CURSOS!$D$28,"IMPLANTE SUBDERMICO Y DISPOSITIVO INTRAUTERINO",IF(N24=CURSOS!$D$29,"SALUD MENTAL",IF(N24=CURSOS!$D$30,"PRIMEROS AUXILIOS PSICOLOGICOS",IF(N24=CURSOS!$D$31,"ATENCION A VICTIMAS POR CONFLICTO ARMADO",IF(N24=CURSOS!$D$32,"MANIPULACION DE ALIMENTOS Y BPM",IF(N24=CURSOS!$D$33,"ATENCION A PERSONAS CON DISCAPACIDAD",IF(N24=CURSOS!$D$34,"CUIDADO INTEGRAL DEL PACIENTE ADULTO"))))))))))))))))))))))))))))))))</f>
        <v xml:space="preserve">ATENCION A VICTIMAS DE VIOLENCIA SEXUAL </v>
      </c>
      <c r="U24" s="64" t="str">
        <f t="shared" si="3"/>
        <v>Ayde  Jeraldyne Mera Carrion</v>
      </c>
      <c r="V24" s="64" t="str">
        <f t="shared" si="4"/>
        <v>Ayde  Jeraldyne Mera Carrion</v>
      </c>
      <c r="W24" s="64" t="str">
        <f t="shared" si="5"/>
        <v>Ayde  Jeraldyne Mera Carrion-1085332730-VIOLENCIA SEXUAL</v>
      </c>
    </row>
    <row r="25" spans="1:23" s="21" customFormat="1" ht="15.75" x14ac:dyDescent="0.25">
      <c r="A25" s="94">
        <v>24</v>
      </c>
      <c r="B25" s="134">
        <v>1088734549</v>
      </c>
      <c r="C25" s="19" t="s">
        <v>86</v>
      </c>
      <c r="D25" s="19" t="s">
        <v>190</v>
      </c>
      <c r="E25" s="19" t="s">
        <v>191</v>
      </c>
      <c r="F25" s="19" t="s">
        <v>192</v>
      </c>
      <c r="G25" s="16">
        <v>6</v>
      </c>
      <c r="H25" s="16" t="s">
        <v>90</v>
      </c>
      <c r="I25" s="18">
        <v>45450</v>
      </c>
      <c r="J25" s="22">
        <v>32000</v>
      </c>
      <c r="K25" s="16" t="s">
        <v>229</v>
      </c>
      <c r="L25" s="16" t="s">
        <v>101</v>
      </c>
      <c r="M25" s="16" t="s">
        <v>193</v>
      </c>
      <c r="N25" s="17" t="s">
        <v>19</v>
      </c>
      <c r="O25" s="20">
        <v>33445</v>
      </c>
      <c r="P25" s="19" t="s">
        <v>108</v>
      </c>
      <c r="Q25" s="19" t="s">
        <v>159</v>
      </c>
      <c r="R25" s="19">
        <v>3117690079</v>
      </c>
      <c r="S25" s="19" t="s">
        <v>194</v>
      </c>
      <c r="T25" s="64" t="str">
        <f>IF(N25=CURSOS!$D$3,"DIPLOMADO EN ATENCION PRE-HOSPITALARIA",IF(N25=CURSOS!$D$4,"ACOMPAÑAMIENTO Y MANEJO DEL DUELO",IF(N25=CURSOS!$D$5,"ATENCION A VICTIMAS DE ATAQUE CON AGENTES QUIMICOS ",IF(N25=CURSOS!$D$6,"PRIMEROS AUXILIOS ",IF(N25=CURSOS!$D$7,"DIPLOMADO DE UNIDAD DE CUIDADOS INTENSIVOS (UCI)",IF(N25=CURSOS!$D$8,"MODELO DE ATENCION PARA EVENTOS EMERGENTES EN SALUD MENTAL (CODIGO VERDE)",IF(N25=CURSOS!$D$9,"HUMANIZACION EN SALUD, BUENAS PRACTICAS EN PACIENTE ",IF(N25=CURSOS!$D$10,"CLINICA DE HERIDAS ",IF(N25=CURSOS!$D$11,"TOMA DE CITOLOGIA A CERVICO VAGINAL ",IF(N25=CURSOS!$D$12,"SOPORTE CARDIOVASCULAR AVANZADO ",IF(N25=CURSOS!$D$13,"CAMILLERO ",IF(N25=CURSOS!$D$14,"TOMA MUESTRAS Y LABORATORIO ",IF(N25=CURSOS!$D$15,"SOPORTE VITAL BASICO (BLS)",IF(N25=CURSOS!$D$16,"ATENCION A VICTIMAS DE VIOLENCIA SEXUAL ",IF(N25=CURSOS!$D$17,"PROGRAMADO AMPLIADO DE INMUNIZACION (PAI - COVID 19)",IF(N25=CURSOS!$D$18,"ATENCION INTEGRAL EN ENFERMEDADES PREVALENTES EN PRIMERA INFANCIA (AIEPI)",IF(N25=CURSOS!$D$19,"ADMINISTRACION DE MEDICAMENTOS, IYECTOLOGIA  Y CANALIZACION ",IF(N25=CURSOS!$D$20,"OPERADOR DE VEHICULOS DE EMERGENCIA (OVE)",IF(N25=CURSOS!$D$21,"INSTITUCIONES AMIGAS DE LA MUJER Y LA INFANCIA (IAMI)",IF(N25=CURSOS!$D$22,"CUIDADO DEL DONANTE DE ORGANOS",IF(N25=CURSOS!$D$23,"ATENCION A VICTIMAS POR VIOLENCIA DE GENERO",IF(N25=CURSOS!$D$24,"IGUALDAD DE GENERO EN LA SALUD",IF(N25=CURSOS!$D$25,"BRIGADA DE EMERGENCIA",IF(N25=CURSOS!$D$26,"MANEJO DEL DOLOR Y CUIDADOS PALIATIVOS",IF(N25=CURSOS!$D$27,"TOMA MUESTRAS Y LABORATORIO POCT",IF(N25=CURSOS!$D$28,"IMPLANTE SUBDERMICO Y DISPOSITIVO INTRAUTERINO",IF(N25=CURSOS!$D$29,"SALUD MENTAL",IF(N25=CURSOS!$D$30,"PRIMEROS AUXILIOS PSICOLOGICOS",IF(N25=CURSOS!$D$31,"ATENCION A VICTIMAS POR CONFLICTO ARMADO",IF(N25=CURSOS!$D$32,"MANIPULACION DE ALIMENTOS Y BPM",IF(N25=CURSOS!$D$33,"ATENCION A PERSONAS CON DISCAPACIDAD",IF(N25=CURSOS!$D$34,"CUIDADO INTEGRAL DEL PACIENTE ADULTO"))))))))))))))))))))))))))))))))</f>
        <v>SOPORTE VITAL BASICO (BLS)</v>
      </c>
      <c r="U25" s="64" t="str">
        <f t="shared" si="3"/>
        <v>Hanya Yeraldy Melo Martinez</v>
      </c>
      <c r="V25" s="64" t="str">
        <f t="shared" si="4"/>
        <v>Hanya Yeraldy Melo Martinez</v>
      </c>
      <c r="W25" s="64" t="str">
        <f t="shared" si="5"/>
        <v>Hanya Yeraldy Melo Martinez-1088734549-BLS</v>
      </c>
    </row>
    <row r="26" spans="1:23" s="21" customFormat="1" x14ac:dyDescent="0.2">
      <c r="A26" s="94">
        <v>25</v>
      </c>
      <c r="B26" s="62">
        <v>1085253821</v>
      </c>
      <c r="C26" s="19" t="s">
        <v>97</v>
      </c>
      <c r="D26" s="19" t="s">
        <v>197</v>
      </c>
      <c r="E26" s="19" t="s">
        <v>198</v>
      </c>
      <c r="F26" s="19" t="s">
        <v>199</v>
      </c>
      <c r="G26" s="16">
        <v>6</v>
      </c>
      <c r="H26" s="16" t="s">
        <v>90</v>
      </c>
      <c r="I26" s="18">
        <v>45450</v>
      </c>
      <c r="J26" s="22">
        <v>32000</v>
      </c>
      <c r="K26" s="16" t="s">
        <v>229</v>
      </c>
      <c r="L26" s="16" t="s">
        <v>101</v>
      </c>
      <c r="M26" s="16" t="s">
        <v>193</v>
      </c>
      <c r="N26" s="17" t="s">
        <v>19</v>
      </c>
      <c r="O26" s="20">
        <v>31673</v>
      </c>
      <c r="P26" s="19" t="s">
        <v>108</v>
      </c>
      <c r="Q26" s="19" t="s">
        <v>196</v>
      </c>
      <c r="R26" s="19">
        <v>3233226172</v>
      </c>
      <c r="S26" s="19" t="s">
        <v>195</v>
      </c>
      <c r="T26" s="64" t="str">
        <f>IF(N26=CURSOS!$D$3,"DIPLOMADO EN ATENCION PRE-HOSPITALARIA",IF(N26=CURSOS!$D$4,"ACOMPAÑAMIENTO Y MANEJO DEL DUELO",IF(N26=CURSOS!$D$5,"ATENCION A VICTIMAS DE ATAQUE CON AGENTES QUIMICOS ",IF(N26=CURSOS!$D$6,"PRIMEROS AUXILIOS ",IF(N26=CURSOS!$D$7,"DIPLOMADO DE UNIDAD DE CUIDADOS INTENSIVOS (UCI)",IF(N26=CURSOS!$D$8,"MODELO DE ATENCION PARA EVENTOS EMERGENTES EN SALUD MENTAL (CODIGO VERDE)",IF(N26=CURSOS!$D$9,"HUMANIZACION EN SALUD, BUENAS PRACTICAS EN PACIENTE ",IF(N26=CURSOS!$D$10,"CLINICA DE HERIDAS ",IF(N26=CURSOS!$D$11,"TOMA DE CITOLOGIA A CERVICO VAGINAL ",IF(N26=CURSOS!$D$12,"SOPORTE CARDIOVASCULAR AVANZADO ",IF(N26=CURSOS!$D$13,"CAMILLERO ",IF(N26=CURSOS!$D$14,"TOMA MUESTRAS Y LABORATORIO ",IF(N26=CURSOS!$D$15,"SOPORTE VITAL BASICO (BLS)",IF(N26=CURSOS!$D$16,"ATENCION A VICTIMAS DE VIOLENCIA SEXUAL ",IF(N26=CURSOS!$D$17,"PROGRAMADO AMPLIADO DE INMUNIZACION (PAI - COVID 19)",IF(N26=CURSOS!$D$18,"ATENCION INTEGRAL EN ENFERMEDADES PREVALENTES EN PRIMERA INFANCIA (AIEPI)",IF(N26=CURSOS!$D$19,"ADMINISTRACION DE MEDICAMENTOS, IYECTOLOGIA  Y CANALIZACION ",IF(N26=CURSOS!$D$20,"OPERADOR DE VEHICULOS DE EMERGENCIA (OVE)",IF(N26=CURSOS!$D$21,"INSTITUCIONES AMIGAS DE LA MUJER Y LA INFANCIA (IAMI)",IF(N26=CURSOS!$D$22,"CUIDADO DEL DONANTE DE ORGANOS",IF(N26=CURSOS!$D$23,"ATENCION A VICTIMAS POR VIOLENCIA DE GENERO",IF(N26=CURSOS!$D$24,"IGUALDAD DE GENERO EN LA SALUD",IF(N26=CURSOS!$D$25,"BRIGADA DE EMERGENCIA",IF(N26=CURSOS!$D$26,"MANEJO DEL DOLOR Y CUIDADOS PALIATIVOS",IF(N26=CURSOS!$D$27,"TOMA MUESTRAS Y LABORATORIO POCT",IF(N26=CURSOS!$D$28,"IMPLANTE SUBDERMICO Y DISPOSITIVO INTRAUTERINO",IF(N26=CURSOS!$D$29,"SALUD MENTAL",IF(N26=CURSOS!$D$30,"PRIMEROS AUXILIOS PSICOLOGICOS",IF(N26=CURSOS!$D$31,"ATENCION A VICTIMAS POR CONFLICTO ARMADO",IF(N26=CURSOS!$D$32,"MANIPULACION DE ALIMENTOS Y BPM",IF(N26=CURSOS!$D$33,"ATENCION A PERSONAS CON DISCAPACIDAD",IF(N26=CURSOS!$D$34,"CUIDADO INTEGRAL DEL PACIENTE ADULTO"))))))))))))))))))))))))))))))))</f>
        <v>SOPORTE VITAL BASICO (BLS)</v>
      </c>
      <c r="U26" s="64" t="str">
        <f t="shared" si="3"/>
        <v>Sonia Johana Pantoja Tulcan</v>
      </c>
      <c r="V26" s="64" t="str">
        <f t="shared" si="4"/>
        <v>Sonia Johana Pantoja Tulcan</v>
      </c>
      <c r="W26" s="64" t="str">
        <f t="shared" si="5"/>
        <v>Sonia Johana Pantoja Tulcan-1085253821-BLS</v>
      </c>
    </row>
    <row r="27" spans="1:23" s="21" customFormat="1" x14ac:dyDescent="0.2">
      <c r="A27" s="94">
        <v>26</v>
      </c>
      <c r="B27" s="62">
        <v>1085330284</v>
      </c>
      <c r="C27" s="19" t="s">
        <v>200</v>
      </c>
      <c r="D27" s="19" t="s">
        <v>87</v>
      </c>
      <c r="E27" s="19" t="s">
        <v>201</v>
      </c>
      <c r="F27" s="19" t="s">
        <v>168</v>
      </c>
      <c r="G27" s="16">
        <v>6</v>
      </c>
      <c r="H27" s="16" t="s">
        <v>90</v>
      </c>
      <c r="I27" s="18">
        <v>45449</v>
      </c>
      <c r="J27" s="22">
        <v>40000</v>
      </c>
      <c r="K27" s="16" t="s">
        <v>91</v>
      </c>
      <c r="L27" s="16" t="s">
        <v>101</v>
      </c>
      <c r="M27" s="16" t="s">
        <v>93</v>
      </c>
      <c r="N27" s="17" t="s">
        <v>19</v>
      </c>
      <c r="O27" s="20">
        <v>35212</v>
      </c>
      <c r="P27" s="19" t="s">
        <v>108</v>
      </c>
      <c r="Q27" s="19" t="s">
        <v>109</v>
      </c>
      <c r="R27" s="19">
        <v>3151222767</v>
      </c>
      <c r="S27" s="19" t="s">
        <v>202</v>
      </c>
      <c r="T27" s="64" t="str">
        <f>IF(N27=CURSOS!$D$3,"DIPLOMADO EN ATENCION PRE-HOSPITALARIA",IF(N27=CURSOS!$D$4,"ACOMPAÑAMIENTO Y MANEJO DEL DUELO",IF(N27=CURSOS!$D$5,"ATENCION A VICTIMAS DE ATAQUE CON AGENTES QUIMICOS ",IF(N27=CURSOS!$D$6,"PRIMEROS AUXILIOS ",IF(N27=CURSOS!$D$7,"DIPLOMADO DE UNIDAD DE CUIDADOS INTENSIVOS (UCI)",IF(N27=CURSOS!$D$8,"MODELO DE ATENCION PARA EVENTOS EMERGENTES EN SALUD MENTAL (CODIGO VERDE)",IF(N27=CURSOS!$D$9,"HUMANIZACION EN SALUD, BUENAS PRACTICAS EN PACIENTE ",IF(N27=CURSOS!$D$10,"CLINICA DE HERIDAS ",IF(N27=CURSOS!$D$11,"TOMA DE CITOLOGIA A CERVICO VAGINAL ",IF(N27=CURSOS!$D$12,"SOPORTE CARDIOVASCULAR AVANZADO ",IF(N27=CURSOS!$D$13,"CAMILLERO ",IF(N27=CURSOS!$D$14,"TOMA MUESTRAS Y LABORATORIO ",IF(N27=CURSOS!$D$15,"SOPORTE VITAL BASICO (BLS)",IF(N27=CURSOS!$D$16,"ATENCION A VICTIMAS DE VIOLENCIA SEXUAL ",IF(N27=CURSOS!$D$17,"PROGRAMADO AMPLIADO DE INMUNIZACION (PAI - COVID 19)",IF(N27=CURSOS!$D$18,"ATENCION INTEGRAL EN ENFERMEDADES PREVALENTES EN PRIMERA INFANCIA (AIEPI)",IF(N27=CURSOS!$D$19,"ADMINISTRACION DE MEDICAMENTOS, IYECTOLOGIA  Y CANALIZACION ",IF(N27=CURSOS!$D$20,"OPERADOR DE VEHICULOS DE EMERGENCIA (OVE)",IF(N27=CURSOS!$D$21,"INSTITUCIONES AMIGAS DE LA MUJER Y LA INFANCIA (IAMI)",IF(N27=CURSOS!$D$22,"CUIDADO DEL DONANTE DE ORGANOS",IF(N27=CURSOS!$D$23,"ATENCION A VICTIMAS POR VIOLENCIA DE GENERO",IF(N27=CURSOS!$D$24,"IGUALDAD DE GENERO EN LA SALUD",IF(N27=CURSOS!$D$25,"BRIGADA DE EMERGENCIA",IF(N27=CURSOS!$D$26,"MANEJO DEL DOLOR Y CUIDADOS PALIATIVOS",IF(N27=CURSOS!$D$27,"TOMA MUESTRAS Y LABORATORIO POCT",IF(N27=CURSOS!$D$28,"IMPLANTE SUBDERMICO Y DISPOSITIVO INTRAUTERINO",IF(N27=CURSOS!$D$29,"SALUD MENTAL",IF(N27=CURSOS!$D$30,"PRIMEROS AUXILIOS PSICOLOGICOS",IF(N27=CURSOS!$D$31,"ATENCION A VICTIMAS POR CONFLICTO ARMADO",IF(N27=CURSOS!$D$32,"MANIPULACION DE ALIMENTOS Y BPM",IF(N27=CURSOS!$D$33,"ATENCION A PERSONAS CON DISCAPACIDAD",IF(N27=CURSOS!$D$34,"CUIDADO INTEGRAL DEL PACIENTE ADULTO"))))))))))))))))))))))))))))))))</f>
        <v>SOPORTE VITAL BASICO (BLS)</v>
      </c>
      <c r="U27" s="64" t="str">
        <f t="shared" si="3"/>
        <v>Sara Fernanda Diaz Villota</v>
      </c>
      <c r="V27" s="64" t="str">
        <f t="shared" si="4"/>
        <v>Sara Fernanda Diaz Villota</v>
      </c>
      <c r="W27" s="64" t="str">
        <f t="shared" si="5"/>
        <v>Sara Fernanda Diaz Villota-1085330284-BLS</v>
      </c>
    </row>
    <row r="28" spans="1:23" s="21" customFormat="1" x14ac:dyDescent="0.2">
      <c r="A28" s="94">
        <v>27</v>
      </c>
      <c r="B28" s="62">
        <v>1085297321</v>
      </c>
      <c r="C28" s="19" t="s">
        <v>203</v>
      </c>
      <c r="D28" s="19" t="s">
        <v>190</v>
      </c>
      <c r="E28" s="19" t="s">
        <v>204</v>
      </c>
      <c r="F28" s="19"/>
      <c r="G28" s="16">
        <v>6</v>
      </c>
      <c r="H28" s="16" t="s">
        <v>90</v>
      </c>
      <c r="I28" s="106"/>
      <c r="J28" s="87">
        <v>32000</v>
      </c>
      <c r="K28" s="107"/>
      <c r="L28" s="16" t="s">
        <v>101</v>
      </c>
      <c r="M28" s="16" t="s">
        <v>205</v>
      </c>
      <c r="N28" s="17" t="s">
        <v>19</v>
      </c>
      <c r="O28" s="20">
        <v>33691</v>
      </c>
      <c r="P28" s="19" t="s">
        <v>108</v>
      </c>
      <c r="Q28" s="19" t="s">
        <v>117</v>
      </c>
      <c r="R28" s="19">
        <v>3144186960</v>
      </c>
      <c r="S28" s="19" t="s">
        <v>206</v>
      </c>
      <c r="T28" s="64" t="str">
        <f>IF(N28=CURSOS!$D$3,"DIPLOMADO EN ATENCION PRE-HOSPITALARIA",IF(N28=CURSOS!$D$4,"ACOMPAÑAMIENTO Y MANEJO DEL DUELO",IF(N28=CURSOS!$D$5,"ATENCION A VICTIMAS DE ATAQUE CON AGENTES QUIMICOS ",IF(N28=CURSOS!$D$6,"PRIMEROS AUXILIOS ",IF(N28=CURSOS!$D$7,"DIPLOMADO DE UNIDAD DE CUIDADOS INTENSIVOS (UCI)",IF(N28=CURSOS!$D$8,"MODELO DE ATENCION PARA EVENTOS EMERGENTES EN SALUD MENTAL (CODIGO VERDE)",IF(N28=CURSOS!$D$9,"HUMANIZACION EN SALUD, BUENAS PRACTICAS EN PACIENTE ",IF(N28=CURSOS!$D$10,"CLINICA DE HERIDAS ",IF(N28=CURSOS!$D$11,"TOMA DE CITOLOGIA A CERVICO VAGINAL ",IF(N28=CURSOS!$D$12,"SOPORTE CARDIOVASCULAR AVANZADO ",IF(N28=CURSOS!$D$13,"CAMILLERO ",IF(N28=CURSOS!$D$14,"TOMA MUESTRAS Y LABORATORIO ",IF(N28=CURSOS!$D$15,"SOPORTE VITAL BASICO (BLS)",IF(N28=CURSOS!$D$16,"ATENCION A VICTIMAS DE VIOLENCIA SEXUAL ",IF(N28=CURSOS!$D$17,"PROGRAMADO AMPLIADO DE INMUNIZACION (PAI - COVID 19)",IF(N28=CURSOS!$D$18,"ATENCION INTEGRAL EN ENFERMEDADES PREVALENTES EN PRIMERA INFANCIA (AIEPI)",IF(N28=CURSOS!$D$19,"ADMINISTRACION DE MEDICAMENTOS, IYECTOLOGIA  Y CANALIZACION ",IF(N28=CURSOS!$D$20,"OPERADOR DE VEHICULOS DE EMERGENCIA (OVE)",IF(N28=CURSOS!$D$21,"INSTITUCIONES AMIGAS DE LA MUJER Y LA INFANCIA (IAMI)",IF(N28=CURSOS!$D$22,"CUIDADO DEL DONANTE DE ORGANOS",IF(N28=CURSOS!$D$23,"ATENCION A VICTIMAS POR VIOLENCIA DE GENERO",IF(N28=CURSOS!$D$24,"IGUALDAD DE GENERO EN LA SALUD",IF(N28=CURSOS!$D$25,"BRIGADA DE EMERGENCIA",IF(N28=CURSOS!$D$26,"MANEJO DEL DOLOR Y CUIDADOS PALIATIVOS",IF(N28=CURSOS!$D$27,"TOMA MUESTRAS Y LABORATORIO POCT",IF(N28=CURSOS!$D$28,"IMPLANTE SUBDERMICO Y DISPOSITIVO INTRAUTERINO",IF(N28=CURSOS!$D$29,"SALUD MENTAL",IF(N28=CURSOS!$D$30,"PRIMEROS AUXILIOS PSICOLOGICOS",IF(N28=CURSOS!$D$31,"ATENCION A VICTIMAS POR CONFLICTO ARMADO",IF(N28=CURSOS!$D$32,"MANIPULACION DE ALIMENTOS Y BPM",IF(N28=CURSOS!$D$33,"ATENCION A PERSONAS CON DISCAPACIDAD",IF(N28=CURSOS!$D$34,"CUIDADO INTEGRAL DEL PACIENTE ADULTO"))))))))))))))))))))))))))))))))</f>
        <v>SOPORTE VITAL BASICO (BLS)</v>
      </c>
      <c r="U28" s="64" t="str">
        <f t="shared" si="3"/>
        <v>Esthefania  Cerón Martinez</v>
      </c>
      <c r="V28" s="64" t="str">
        <f t="shared" si="4"/>
        <v>Esthefania  Cerón Martinez</v>
      </c>
      <c r="W28" s="64" t="str">
        <f t="shared" si="5"/>
        <v>Esthefania  Cerón Martinez-1085297321-BLS</v>
      </c>
    </row>
    <row r="29" spans="1:23" s="21" customFormat="1" x14ac:dyDescent="0.2">
      <c r="A29" s="94">
        <v>28</v>
      </c>
      <c r="B29" s="62">
        <v>79783720</v>
      </c>
      <c r="C29" s="19" t="s">
        <v>170</v>
      </c>
      <c r="D29" s="19" t="s">
        <v>170</v>
      </c>
      <c r="E29" s="19" t="s">
        <v>207</v>
      </c>
      <c r="F29" s="19" t="s">
        <v>208</v>
      </c>
      <c r="G29" s="16">
        <v>6</v>
      </c>
      <c r="H29" s="16" t="s">
        <v>90</v>
      </c>
      <c r="I29" s="18">
        <v>45449</v>
      </c>
      <c r="J29" s="22">
        <v>40000</v>
      </c>
      <c r="K29" s="16" t="s">
        <v>91</v>
      </c>
      <c r="L29" s="16" t="s">
        <v>101</v>
      </c>
      <c r="M29" s="16" t="s">
        <v>93</v>
      </c>
      <c r="N29" s="17" t="s">
        <v>46</v>
      </c>
      <c r="O29" s="20">
        <v>27634</v>
      </c>
      <c r="P29" s="19" t="s">
        <v>94</v>
      </c>
      <c r="Q29" s="19" t="s">
        <v>209</v>
      </c>
      <c r="R29" s="19">
        <v>3017602663</v>
      </c>
      <c r="S29" s="19" t="s">
        <v>210</v>
      </c>
      <c r="T29" s="64" t="str">
        <f>IF(N29=CURSOS!$D$3,"DIPLOMADO EN ATENCION PRE-HOSPITALARIA",IF(N29=CURSOS!$D$4,"ACOMPAÑAMIENTO Y MANEJO DEL DUELO",IF(N29=CURSOS!$D$5,"ATENCION A VICTIMAS DE ATAQUE CON AGENTES QUIMICOS ",IF(N29=CURSOS!$D$6,"PRIMEROS AUXILIOS ",IF(N29=CURSOS!$D$7,"DIPLOMADO DE UNIDAD DE CUIDADOS INTENSIVOS (UCI)",IF(N29=CURSOS!$D$8,"MODELO DE ATENCION PARA EVENTOS EMERGENTES EN SALUD MENTAL (CODIGO VERDE)",IF(N29=CURSOS!$D$9,"HUMANIZACION EN SALUD, BUENAS PRACTICAS EN PACIENTE ",IF(N29=CURSOS!$D$10,"CLINICA DE HERIDAS ",IF(N29=CURSOS!$D$11,"TOMA DE CITOLOGIA A CERVICO VAGINAL ",IF(N29=CURSOS!$D$12,"SOPORTE CARDIOVASCULAR AVANZADO ",IF(N29=CURSOS!$D$13,"CAMILLERO ",IF(N29=CURSOS!$D$14,"TOMA MUESTRAS Y LABORATORIO ",IF(N29=CURSOS!$D$15,"SOPORTE VITAL BASICO (BLS)",IF(N29=CURSOS!$D$16,"ATENCION A VICTIMAS DE VIOLENCIA SEXUAL ",IF(N29=CURSOS!$D$17,"PROGRAMADO AMPLIADO DE INMUNIZACION (PAI - COVID 19)",IF(N29=CURSOS!$D$18,"ATENCION INTEGRAL EN ENFERMEDADES PREVALENTES EN PRIMERA INFANCIA (AIEPI)",IF(N29=CURSOS!$D$19,"ADMINISTRACION DE MEDICAMENTOS, IYECTOLOGIA  Y CANALIZACION ",IF(N29=CURSOS!$D$20,"OPERADOR DE VEHICULOS DE EMERGENCIA (OVE)",IF(N29=CURSOS!$D$21,"INSTITUCIONES AMIGAS DE LA MUJER Y LA INFANCIA (IAMI)",IF(N29=CURSOS!$D$22,"CUIDADO DEL DONANTE DE ORGANOS",IF(N29=CURSOS!$D$23,"ATENCION A VICTIMAS POR VIOLENCIA DE GENERO",IF(N29=CURSOS!$D$24,"IGUALDAD DE GENERO EN LA SALUD",IF(N29=CURSOS!$D$25,"BRIGADA DE EMERGENCIA",IF(N29=CURSOS!$D$26,"MANEJO DEL DOLOR Y CUIDADOS PALIATIVOS",IF(N29=CURSOS!$D$27,"TOMA MUESTRAS Y LABORATORIO POCT",IF(N29=CURSOS!$D$28,"IMPLANTE SUBDERMICO Y DISPOSITIVO INTRAUTERINO",IF(N29=CURSOS!$D$29,"SALUD MENTAL",IF(N29=CURSOS!$D$30,"PRIMEROS AUXILIOS PSICOLOGICOS",IF(N29=CURSOS!$D$31,"ATENCION A VICTIMAS POR CONFLICTO ARMADO",IF(N29=CURSOS!$D$32,"MANIPULACION DE ALIMENTOS Y BPM",IF(N29=CURSOS!$D$33,"ATENCION A PERSONAS CON DISCAPACIDAD",IF(N29=CURSOS!$D$34,"CUIDADO INTEGRAL DEL PACIENTE ADULTO"))))))))))))))))))))))))))))))))</f>
        <v xml:space="preserve">ATENCION A VICTIMAS DE VIOLENCIA SEXUAL </v>
      </c>
      <c r="U29" s="64" t="str">
        <f t="shared" si="3"/>
        <v>Franco Andrés Delgado Delgado</v>
      </c>
      <c r="V29" s="64" t="str">
        <f t="shared" si="4"/>
        <v>Franco Andrés Delgado Delgado</v>
      </c>
      <c r="W29" s="64" t="str">
        <f t="shared" si="5"/>
        <v>Franco Andrés Delgado Delgado-79783720-VIOLENCIA SEXUAL</v>
      </c>
    </row>
    <row r="30" spans="1:23" s="21" customFormat="1" x14ac:dyDescent="0.2">
      <c r="A30" s="94">
        <v>29</v>
      </c>
      <c r="B30" s="62">
        <v>1085296943</v>
      </c>
      <c r="C30" s="19" t="s">
        <v>211</v>
      </c>
      <c r="D30" s="19" t="s">
        <v>212</v>
      </c>
      <c r="E30" s="19" t="s">
        <v>213</v>
      </c>
      <c r="F30" s="19" t="s">
        <v>214</v>
      </c>
      <c r="G30" s="16">
        <v>6</v>
      </c>
      <c r="H30" s="16" t="s">
        <v>90</v>
      </c>
      <c r="I30" s="18">
        <v>45449</v>
      </c>
      <c r="J30" s="22">
        <v>30000</v>
      </c>
      <c r="K30" s="16" t="s">
        <v>91</v>
      </c>
      <c r="L30" s="16" t="s">
        <v>101</v>
      </c>
      <c r="M30" s="16" t="s">
        <v>119</v>
      </c>
      <c r="N30" s="17" t="s">
        <v>19</v>
      </c>
      <c r="O30" s="20">
        <v>33705</v>
      </c>
      <c r="P30" s="19" t="s">
        <v>108</v>
      </c>
      <c r="Q30" s="19" t="s">
        <v>117</v>
      </c>
      <c r="R30" s="19">
        <v>3218765003</v>
      </c>
      <c r="S30" s="78" t="s">
        <v>215</v>
      </c>
      <c r="T30" s="64" t="str">
        <f>IF(N30=CURSOS!$D$3,"DIPLOMADO EN ATENCION PRE-HOSPITALARIA",IF(N30=CURSOS!$D$4,"ACOMPAÑAMIENTO Y MANEJO DEL DUELO",IF(N30=CURSOS!$D$5,"ATENCION A VICTIMAS DE ATAQUE CON AGENTES QUIMICOS ",IF(N30=CURSOS!$D$6,"PRIMEROS AUXILIOS ",IF(N30=CURSOS!$D$7,"DIPLOMADO DE UNIDAD DE CUIDADOS INTENSIVOS (UCI)",IF(N30=CURSOS!$D$8,"MODELO DE ATENCION PARA EVENTOS EMERGENTES EN SALUD MENTAL (CODIGO VERDE)",IF(N30=CURSOS!$D$9,"HUMANIZACION EN SALUD, BUENAS PRACTICAS EN PACIENTE ",IF(N30=CURSOS!$D$10,"CLINICA DE HERIDAS ",IF(N30=CURSOS!$D$11,"TOMA DE CITOLOGIA A CERVICO VAGINAL ",IF(N30=CURSOS!$D$12,"SOPORTE CARDIOVASCULAR AVANZADO ",IF(N30=CURSOS!$D$13,"CAMILLERO ",IF(N30=CURSOS!$D$14,"TOMA MUESTRAS Y LABORATORIO ",IF(N30=CURSOS!$D$15,"SOPORTE VITAL BASICO (BLS)",IF(N30=CURSOS!$D$16,"ATENCION A VICTIMAS DE VIOLENCIA SEXUAL ",IF(N30=CURSOS!$D$17,"PROGRAMADO AMPLIADO DE INMUNIZACION (PAI - COVID 19)",IF(N30=CURSOS!$D$18,"ATENCION INTEGRAL EN ENFERMEDADES PREVALENTES EN PRIMERA INFANCIA (AIEPI)",IF(N30=CURSOS!$D$19,"ADMINISTRACION DE MEDICAMENTOS, IYECTOLOGIA  Y CANALIZACION ",IF(N30=CURSOS!$D$20,"OPERADOR DE VEHICULOS DE EMERGENCIA (OVE)",IF(N30=CURSOS!$D$21,"INSTITUCIONES AMIGAS DE LA MUJER Y LA INFANCIA (IAMI)",IF(N30=CURSOS!$D$22,"CUIDADO DEL DONANTE DE ORGANOS",IF(N30=CURSOS!$D$23,"ATENCION A VICTIMAS POR VIOLENCIA DE GENERO",IF(N30=CURSOS!$D$24,"IGUALDAD DE GENERO EN LA SALUD",IF(N30=CURSOS!$D$25,"BRIGADA DE EMERGENCIA",IF(N30=CURSOS!$D$26,"MANEJO DEL DOLOR Y CUIDADOS PALIATIVOS",IF(N30=CURSOS!$D$27,"TOMA MUESTRAS Y LABORATORIO POCT",IF(N30=CURSOS!$D$28,"IMPLANTE SUBDERMICO Y DISPOSITIVO INTRAUTERINO",IF(N30=CURSOS!$D$29,"SALUD MENTAL",IF(N30=CURSOS!$D$30,"PRIMEROS AUXILIOS PSICOLOGICOS",IF(N30=CURSOS!$D$31,"ATENCION A VICTIMAS POR CONFLICTO ARMADO",IF(N30=CURSOS!$D$32,"MANIPULACION DE ALIMENTOS Y BPM",IF(N30=CURSOS!$D$33,"ATENCION A PERSONAS CON DISCAPACIDAD",IF(N30=CURSOS!$D$34,"CUIDADO INTEGRAL DEL PACIENTE ADULTO"))))))))))))))))))))))))))))))))</f>
        <v>SOPORTE VITAL BASICO (BLS)</v>
      </c>
      <c r="U30" s="64" t="str">
        <f t="shared" si="3"/>
        <v>Jéssica Alexandra Potosi Yela</v>
      </c>
      <c r="V30" s="64" t="str">
        <f t="shared" si="4"/>
        <v>Jéssica Alexandra Potosi Yela</v>
      </c>
      <c r="W30" s="64" t="str">
        <f t="shared" si="5"/>
        <v>Jéssica Alexandra Potosi Yela-1085296943-BLS</v>
      </c>
    </row>
    <row r="31" spans="1:23" s="21" customFormat="1" x14ac:dyDescent="0.2">
      <c r="A31" s="94">
        <v>30</v>
      </c>
      <c r="B31" s="62">
        <v>1088734274</v>
      </c>
      <c r="C31" s="19" t="s">
        <v>216</v>
      </c>
      <c r="D31" s="19" t="s">
        <v>86</v>
      </c>
      <c r="E31" s="19" t="s">
        <v>217</v>
      </c>
      <c r="F31" s="19" t="s">
        <v>218</v>
      </c>
      <c r="G31" s="16">
        <v>6</v>
      </c>
      <c r="H31" s="16" t="s">
        <v>90</v>
      </c>
      <c r="I31" s="18">
        <v>45450</v>
      </c>
      <c r="J31" s="22">
        <v>32000</v>
      </c>
      <c r="K31" s="16" t="s">
        <v>229</v>
      </c>
      <c r="L31" s="18" t="s">
        <v>101</v>
      </c>
      <c r="M31" s="16" t="s">
        <v>193</v>
      </c>
      <c r="N31" s="17" t="s">
        <v>19</v>
      </c>
      <c r="O31" s="20">
        <v>33346</v>
      </c>
      <c r="P31" s="19" t="s">
        <v>94</v>
      </c>
      <c r="Q31" s="19" t="s">
        <v>219</v>
      </c>
      <c r="R31" s="19">
        <v>3108660690</v>
      </c>
      <c r="S31" s="78" t="s">
        <v>220</v>
      </c>
      <c r="T31" s="64" t="str">
        <f>IF(N31=CURSOS!$D$3,"DIPLOMADO EN ATENCION PRE-HOSPITALARIA",IF(N31=CURSOS!$D$4,"ACOMPAÑAMIENTO Y MANEJO DEL DUELO",IF(N31=CURSOS!$D$5,"ATENCION A VICTIMAS DE ATAQUE CON AGENTES QUIMICOS ",IF(N31=CURSOS!$D$6,"PRIMEROS AUXILIOS ",IF(N31=CURSOS!$D$7,"DIPLOMADO DE UNIDAD DE CUIDADOS INTENSIVOS (UCI)",IF(N31=CURSOS!$D$8,"MODELO DE ATENCION PARA EVENTOS EMERGENTES EN SALUD MENTAL (CODIGO VERDE)",IF(N31=CURSOS!$D$9,"HUMANIZACION EN SALUD, BUENAS PRACTICAS EN PACIENTE ",IF(N31=CURSOS!$D$10,"CLINICA DE HERIDAS ",IF(N31=CURSOS!$D$11,"TOMA DE CITOLOGIA A CERVICO VAGINAL ",IF(N31=CURSOS!$D$12,"SOPORTE CARDIOVASCULAR AVANZADO ",IF(N31=CURSOS!$D$13,"CAMILLERO ",IF(N31=CURSOS!$D$14,"TOMA MUESTRAS Y LABORATORIO ",IF(N31=CURSOS!$D$15,"SOPORTE VITAL BASICO (BLS)",IF(N31=CURSOS!$D$16,"ATENCION A VICTIMAS DE VIOLENCIA SEXUAL ",IF(N31=CURSOS!$D$17,"PROGRAMADO AMPLIADO DE INMUNIZACION (PAI - COVID 19)",IF(N31=CURSOS!$D$18,"ATENCION INTEGRAL EN ENFERMEDADES PREVALENTES EN PRIMERA INFANCIA (AIEPI)",IF(N31=CURSOS!$D$19,"ADMINISTRACION DE MEDICAMENTOS, IYECTOLOGIA  Y CANALIZACION ",IF(N31=CURSOS!$D$20,"OPERADOR DE VEHICULOS DE EMERGENCIA (OVE)",IF(N31=CURSOS!$D$21,"INSTITUCIONES AMIGAS DE LA MUJER Y LA INFANCIA (IAMI)",IF(N31=CURSOS!$D$22,"CUIDADO DEL DONANTE DE ORGANOS",IF(N31=CURSOS!$D$23,"ATENCION A VICTIMAS POR VIOLENCIA DE GENERO",IF(N31=CURSOS!$D$24,"IGUALDAD DE GENERO EN LA SALUD",IF(N31=CURSOS!$D$25,"BRIGADA DE EMERGENCIA",IF(N31=CURSOS!$D$26,"MANEJO DEL DOLOR Y CUIDADOS PALIATIVOS",IF(N31=CURSOS!$D$27,"TOMA MUESTRAS Y LABORATORIO POCT",IF(N31=CURSOS!$D$28,"IMPLANTE SUBDERMICO Y DISPOSITIVO INTRAUTERINO",IF(N31=CURSOS!$D$29,"SALUD MENTAL",IF(N31=CURSOS!$D$30,"PRIMEROS AUXILIOS PSICOLOGICOS",IF(N31=CURSOS!$D$31,"ATENCION A VICTIMAS POR CONFLICTO ARMADO",IF(N31=CURSOS!$D$32,"MANIPULACION DE ALIMENTOS Y BPM",IF(N31=CURSOS!$D$33,"ATENCION A PERSONAS CON DISCAPACIDAD",IF(N31=CURSOS!$D$34,"CUIDADO INTEGRAL DEL PACIENTE ADULTO"))))))))))))))))))))))))))))))))</f>
        <v>SOPORTE VITAL BASICO (BLS)</v>
      </c>
      <c r="U31" s="64" t="str">
        <f t="shared" si="3"/>
        <v>Geimar Alexis Guevara Melo</v>
      </c>
      <c r="V31" s="64" t="str">
        <f t="shared" si="4"/>
        <v>Geimar Alexis Guevara Melo</v>
      </c>
      <c r="W31" s="64" t="str">
        <f t="shared" si="5"/>
        <v>Geimar Alexis Guevara Melo-1088734274-BLS</v>
      </c>
    </row>
    <row r="32" spans="1:23" s="21" customFormat="1" x14ac:dyDescent="0.2">
      <c r="A32" s="94">
        <v>31</v>
      </c>
      <c r="B32" s="62">
        <v>1085322102</v>
      </c>
      <c r="C32" s="19" t="s">
        <v>221</v>
      </c>
      <c r="D32" s="19" t="s">
        <v>170</v>
      </c>
      <c r="E32" s="19" t="s">
        <v>222</v>
      </c>
      <c r="F32" s="19" t="s">
        <v>223</v>
      </c>
      <c r="G32" s="16">
        <v>6</v>
      </c>
      <c r="H32" s="16" t="s">
        <v>90</v>
      </c>
      <c r="I32" s="18">
        <v>45449</v>
      </c>
      <c r="J32" s="22">
        <v>30000</v>
      </c>
      <c r="K32" s="16" t="s">
        <v>91</v>
      </c>
      <c r="L32" s="18" t="s">
        <v>101</v>
      </c>
      <c r="M32" s="16" t="s">
        <v>119</v>
      </c>
      <c r="N32" s="17" t="s">
        <v>25</v>
      </c>
      <c r="O32" s="20">
        <v>34530</v>
      </c>
      <c r="P32" s="19" t="s">
        <v>108</v>
      </c>
      <c r="Q32" s="19" t="s">
        <v>117</v>
      </c>
      <c r="R32" s="19">
        <v>3155538026</v>
      </c>
      <c r="S32" s="78" t="s">
        <v>224</v>
      </c>
      <c r="T32" s="64" t="str">
        <f>IF(N32=CURSOS!$D$3,"DIPLOMADO EN ATENCION PRE-HOSPITALARIA",IF(N32=CURSOS!$D$4,"ACOMPAÑAMIENTO Y MANEJO DEL DUELO",IF(N32=CURSOS!$D$5,"ATENCION A VICTIMAS DE ATAQUE CON AGENTES QUIMICOS ",IF(N32=CURSOS!$D$6,"PRIMEROS AUXILIOS ",IF(N32=CURSOS!$D$7,"DIPLOMADO DE UNIDAD DE CUIDADOS INTENSIVOS (UCI)",IF(N32=CURSOS!$D$8,"MODELO DE ATENCION PARA EVENTOS EMERGENTES EN SALUD MENTAL (CODIGO VERDE)",IF(N32=CURSOS!$D$9,"HUMANIZACION EN SALUD, BUENAS PRACTICAS EN PACIENTE ",IF(N32=CURSOS!$D$10,"CLINICA DE HERIDAS ",IF(N32=CURSOS!$D$11,"TOMA DE CITOLOGIA A CERVICO VAGINAL ",IF(N32=CURSOS!$D$12,"SOPORTE CARDIOVASCULAR AVANZADO ",IF(N32=CURSOS!$D$13,"CAMILLERO ",IF(N32=CURSOS!$D$14,"TOMA MUESTRAS Y LABORATORIO ",IF(N32=CURSOS!$D$15,"SOPORTE VITAL BASICO (BLS)",IF(N32=CURSOS!$D$16,"ATENCION A VICTIMAS DE VIOLENCIA SEXUAL ",IF(N32=CURSOS!$D$17,"PROGRAMADO AMPLIADO DE INMUNIZACION (PAI - COVID 19)",IF(N32=CURSOS!$D$18,"ATENCION INTEGRAL EN ENFERMEDADES PREVALENTES EN PRIMERA INFANCIA (AIEPI)",IF(N32=CURSOS!$D$19,"ADMINISTRACION DE MEDICAMENTOS, IYECTOLOGIA  Y CANALIZACION ",IF(N32=CURSOS!$D$20,"OPERADOR DE VEHICULOS DE EMERGENCIA (OVE)",IF(N32=CURSOS!$D$21,"INSTITUCIONES AMIGAS DE LA MUJER Y LA INFANCIA (IAMI)",IF(N32=CURSOS!$D$22,"CUIDADO DEL DONANTE DE ORGANOS",IF(N32=CURSOS!$D$23,"ATENCION A VICTIMAS POR VIOLENCIA DE GENERO",IF(N32=CURSOS!$D$24,"IGUALDAD DE GENERO EN LA SALUD",IF(N32=CURSOS!$D$25,"BRIGADA DE EMERGENCIA",IF(N32=CURSOS!$D$26,"MANEJO DEL DOLOR Y CUIDADOS PALIATIVOS",IF(N32=CURSOS!$D$27,"TOMA MUESTRAS Y LABORATORIO POCT",IF(N32=CURSOS!$D$28,"IMPLANTE SUBDERMICO Y DISPOSITIVO INTRAUTERINO",IF(N32=CURSOS!$D$29,"SALUD MENTAL",IF(N32=CURSOS!$D$30,"PRIMEROS AUXILIOS PSICOLOGICOS",IF(N32=CURSOS!$D$31,"ATENCION A VICTIMAS POR CONFLICTO ARMADO",IF(N32=CURSOS!$D$32,"MANIPULACION DE ALIMENTOS Y BPM",IF(N32=CURSOS!$D$33,"ATENCION A PERSONAS CON DISCAPACIDAD",IF(N32=CURSOS!$D$34,"CUIDADO INTEGRAL DEL PACIENTE ADULTO"))))))))))))))))))))))))))))))))</f>
        <v xml:space="preserve">ATENCION A VICTIMAS DE ATAQUE CON AGENTES QUIMICOS </v>
      </c>
      <c r="U32" s="64" t="str">
        <f t="shared" si="3"/>
        <v>Cely Magaly Muñoz Delgado</v>
      </c>
      <c r="V32" s="64" t="str">
        <f t="shared" si="4"/>
        <v>Cely Magaly Muñoz Delgado</v>
      </c>
      <c r="W32" s="64" t="str">
        <f t="shared" si="5"/>
        <v>Cely Magaly Muñoz Delgado-1085322102-QUIMICOS</v>
      </c>
    </row>
    <row r="33" spans="1:23" s="21" customFormat="1" x14ac:dyDescent="0.2">
      <c r="A33" s="94">
        <v>32</v>
      </c>
      <c r="B33" s="62">
        <v>34316741</v>
      </c>
      <c r="C33" s="19" t="s">
        <v>225</v>
      </c>
      <c r="D33" s="19" t="s">
        <v>226</v>
      </c>
      <c r="E33" s="19" t="s">
        <v>227</v>
      </c>
      <c r="F33" s="19" t="s">
        <v>228</v>
      </c>
      <c r="G33" s="16">
        <v>6</v>
      </c>
      <c r="H33" s="16" t="s">
        <v>90</v>
      </c>
      <c r="I33" s="18">
        <v>45449</v>
      </c>
      <c r="J33" s="22">
        <v>40000</v>
      </c>
      <c r="K33" s="16" t="s">
        <v>229</v>
      </c>
      <c r="L33" s="18" t="s">
        <v>101</v>
      </c>
      <c r="M33" s="16" t="s">
        <v>93</v>
      </c>
      <c r="N33" s="17" t="s">
        <v>46</v>
      </c>
      <c r="O33" s="20">
        <v>30025</v>
      </c>
      <c r="P33" s="19" t="s">
        <v>108</v>
      </c>
      <c r="Q33" s="19" t="s">
        <v>230</v>
      </c>
      <c r="R33" s="19">
        <v>3006191674</v>
      </c>
      <c r="S33" s="78" t="s">
        <v>231</v>
      </c>
      <c r="T33" s="64" t="str">
        <f>IF(N33=CURSOS!$D$3,"DIPLOMADO EN ATENCION PRE-HOSPITALARIA",IF(N33=CURSOS!$D$4,"ACOMPAÑAMIENTO Y MANEJO DEL DUELO",IF(N33=CURSOS!$D$5,"ATENCION A VICTIMAS DE ATAQUE CON AGENTES QUIMICOS ",IF(N33=CURSOS!$D$6,"PRIMEROS AUXILIOS ",IF(N33=CURSOS!$D$7,"DIPLOMADO DE UNIDAD DE CUIDADOS INTENSIVOS (UCI)",IF(N33=CURSOS!$D$8,"MODELO DE ATENCION PARA EVENTOS EMERGENTES EN SALUD MENTAL (CODIGO VERDE)",IF(N33=CURSOS!$D$9,"HUMANIZACION EN SALUD, BUENAS PRACTICAS EN PACIENTE ",IF(N33=CURSOS!$D$10,"CLINICA DE HERIDAS ",IF(N33=CURSOS!$D$11,"TOMA DE CITOLOGIA A CERVICO VAGINAL ",IF(N33=CURSOS!$D$12,"SOPORTE CARDIOVASCULAR AVANZADO ",IF(N33=CURSOS!$D$13,"CAMILLERO ",IF(N33=CURSOS!$D$14,"TOMA MUESTRAS Y LABORATORIO ",IF(N33=CURSOS!$D$15,"SOPORTE VITAL BASICO (BLS)",IF(N33=CURSOS!$D$16,"ATENCION A VICTIMAS DE VIOLENCIA SEXUAL ",IF(N33=CURSOS!$D$17,"PROGRAMADO AMPLIADO DE INMUNIZACION (PAI - COVID 19)",IF(N33=CURSOS!$D$18,"ATENCION INTEGRAL EN ENFERMEDADES PREVALENTES EN PRIMERA INFANCIA (AIEPI)",IF(N33=CURSOS!$D$19,"ADMINISTRACION DE MEDICAMENTOS, IYECTOLOGIA  Y CANALIZACION ",IF(N33=CURSOS!$D$20,"OPERADOR DE VEHICULOS DE EMERGENCIA (OVE)",IF(N33=CURSOS!$D$21,"INSTITUCIONES AMIGAS DE LA MUJER Y LA INFANCIA (IAMI)",IF(N33=CURSOS!$D$22,"CUIDADO DEL DONANTE DE ORGANOS",IF(N33=CURSOS!$D$23,"ATENCION A VICTIMAS POR VIOLENCIA DE GENERO",IF(N33=CURSOS!$D$24,"IGUALDAD DE GENERO EN LA SALUD",IF(N33=CURSOS!$D$25,"BRIGADA DE EMERGENCIA",IF(N33=CURSOS!$D$26,"MANEJO DEL DOLOR Y CUIDADOS PALIATIVOS",IF(N33=CURSOS!$D$27,"TOMA MUESTRAS Y LABORATORIO POCT",IF(N33=CURSOS!$D$28,"IMPLANTE SUBDERMICO Y DISPOSITIVO INTRAUTERINO",IF(N33=CURSOS!$D$29,"SALUD MENTAL",IF(N33=CURSOS!$D$30,"PRIMEROS AUXILIOS PSICOLOGICOS",IF(N33=CURSOS!$D$31,"ATENCION A VICTIMAS POR CONFLICTO ARMADO",IF(N33=CURSOS!$D$32,"MANIPULACION DE ALIMENTOS Y BPM",IF(N33=CURSOS!$D$33,"ATENCION A PERSONAS CON DISCAPACIDAD",IF(N33=CURSOS!$D$34,"CUIDADO INTEGRAL DEL PACIENTE ADULTO"))))))))))))))))))))))))))))))))</f>
        <v xml:space="preserve">ATENCION A VICTIMAS DE VIOLENCIA SEXUAL </v>
      </c>
      <c r="U33" s="64" t="str">
        <f t="shared" si="3"/>
        <v>Erica Lorena López Rosero</v>
      </c>
      <c r="V33" s="64" t="str">
        <f t="shared" si="4"/>
        <v>Erica Lorena López Rosero</v>
      </c>
      <c r="W33" s="64" t="str">
        <f t="shared" si="5"/>
        <v>Erica Lorena López Rosero-34316741-VIOLENCIA SEXUAL</v>
      </c>
    </row>
    <row r="34" spans="1:23" x14ac:dyDescent="0.2">
      <c r="A34" s="94">
        <v>33</v>
      </c>
      <c r="B34" s="81">
        <v>1085330284</v>
      </c>
      <c r="C34" s="71" t="s">
        <v>200</v>
      </c>
      <c r="D34" s="71" t="s">
        <v>87</v>
      </c>
      <c r="E34" s="71" t="s">
        <v>201</v>
      </c>
      <c r="F34" s="71" t="s">
        <v>168</v>
      </c>
      <c r="G34" s="72">
        <v>7</v>
      </c>
      <c r="H34" s="72" t="s">
        <v>90</v>
      </c>
      <c r="I34" s="73">
        <v>45449</v>
      </c>
      <c r="J34" s="74">
        <v>100000</v>
      </c>
      <c r="K34" s="72" t="s">
        <v>91</v>
      </c>
      <c r="L34" s="72" t="s">
        <v>101</v>
      </c>
      <c r="M34" s="72" t="s">
        <v>93</v>
      </c>
      <c r="N34" s="75" t="s">
        <v>39</v>
      </c>
      <c r="O34" s="76">
        <v>35212</v>
      </c>
      <c r="P34" s="71" t="s">
        <v>108</v>
      </c>
      <c r="Q34" s="71" t="s">
        <v>109</v>
      </c>
      <c r="R34" s="71">
        <v>3151222767</v>
      </c>
      <c r="S34" s="71" t="s">
        <v>202</v>
      </c>
      <c r="T34" s="64" t="str">
        <f>IF(N34=CURSOS!$D$3,"DIPLOMADO EN ATENCION PRE-HOSPITALARIA",IF(N34=CURSOS!$D$4,"ACOMPAÑAMIENTO Y MANEJO DEL DUELO",IF(N34=CURSOS!$D$5,"ATENCION A VICTIMAS DE ATAQUE CON AGENTES QUIMICOS ",IF(N34=CURSOS!$D$6,"PRIMEROS AUXILIOS ",IF(N34=CURSOS!$D$7,"DIPLOMADO DE UNIDAD DE CUIDADOS INTENSIVOS (UCI)",IF(N34=CURSOS!$D$8,"MODELO DE ATENCION PARA EVENTOS EMERGENTES EN SALUD MENTAL (CODIGO VERDE)",IF(N34=CURSOS!$D$9,"HUMANIZACION EN SALUD, BUENAS PRACTICAS EN PACIENTE ",IF(N34=CURSOS!$D$10,"CLINICA DE HERIDAS ",IF(N34=CURSOS!$D$11,"TOMA DE CITOLOGIA A CERVICO VAGINAL ",IF(N34=CURSOS!$D$12,"SOPORTE CARDIOVASCULAR AVANZADO ",IF(N34=CURSOS!$D$13,"CAMILLERO ",IF(N34=CURSOS!$D$14,"TOMA MUESTRAS Y LABORATORIO ",IF(N34=CURSOS!$D$15,"SOPORTE VITAL BASICO (BLS)",IF(N34=CURSOS!$D$16,"ATENCION A VICTIMAS DE VIOLENCIA SEXUAL ",IF(N34=CURSOS!$D$17,"PROGRAMADO AMPLIADO DE INMUNIZACION (PAI - COVID 19)",IF(N34=CURSOS!$D$18,"ATENCION INTEGRAL EN ENFERMEDADES PREVALENTES EN PRIMERA INFANCIA (AIEPI)",IF(N34=CURSOS!$D$19,"ADMINISTRACION DE MEDICAMENTOS, IYECTOLOGIA  Y CANALIZACION ",IF(N34=CURSOS!$D$20,"OPERADOR DE VEHICULOS DE EMERGENCIA (OVE)",IF(N34=CURSOS!$D$21,"INSTITUCIONES AMIGAS DE LA MUJER Y LA INFANCIA (IAMI)",IF(N34=CURSOS!$D$22,"CUIDADO DEL DONANTE DE ORGANOS",IF(N34=CURSOS!$D$23,"ATENCION A VICTIMAS POR VIOLENCIA DE GENERO",IF(N34=CURSOS!$D$24,"IGUALDAD DE GENERO EN LA SALUD",IF(N34=CURSOS!$D$25,"BRIGADA DE EMERGENCIA",IF(N34=CURSOS!$D$26,"MANEJO DEL DOLOR Y CUIDADOS PALIATIVOS",IF(N34=CURSOS!$D$27,"TOMA MUESTRAS Y LABORATORIO POCT",IF(N34=CURSOS!$D$28,"IMPLANTE SUBDERMICO Y DISPOSITIVO INTRAUTERINO",IF(N34=CURSOS!$D$29,"SALUD MENTAL",IF(N34=CURSOS!$D$30,"PRIMEROS AUXILIOS PSICOLOGICOS",IF(N34=CURSOS!$D$31,"ATENCION A VICTIMAS POR CONFLICTO ARMADO",IF(N34=CURSOS!$D$32,"MANIPULACION DE ALIMENTOS Y BPM",IF(N34=CURSOS!$D$33,"ATENCION A PERSONAS CON DISCAPACIDAD",IF(N34=CURSOS!$D$34,"CUIDADO INTEGRAL DEL PACIENTE ADULTO"))))))))))))))))))))))))))))))))</f>
        <v xml:space="preserve">SOPORTE CARDIOVASCULAR AVANZADO </v>
      </c>
      <c r="U34" s="64" t="str">
        <f t="shared" si="3"/>
        <v>Sara Fernanda Diaz Villota</v>
      </c>
      <c r="V34" s="64" t="str">
        <f t="shared" si="4"/>
        <v>Sara Fernanda Diaz Villota</v>
      </c>
      <c r="W34" s="64" t="str">
        <f t="shared" si="5"/>
        <v>Sara Fernanda Diaz Villota-1085330284-ACLS</v>
      </c>
    </row>
    <row r="35" spans="1:23" s="21" customFormat="1" x14ac:dyDescent="0.2">
      <c r="A35" s="94">
        <v>34</v>
      </c>
      <c r="B35" s="62">
        <v>1085330284</v>
      </c>
      <c r="C35" s="19" t="s">
        <v>200</v>
      </c>
      <c r="D35" s="19" t="s">
        <v>87</v>
      </c>
      <c r="E35" s="19" t="s">
        <v>201</v>
      </c>
      <c r="F35" s="19" t="s">
        <v>168</v>
      </c>
      <c r="G35" s="16">
        <v>5</v>
      </c>
      <c r="H35" s="16" t="s">
        <v>90</v>
      </c>
      <c r="I35" s="18">
        <v>45449</v>
      </c>
      <c r="J35" s="22">
        <v>25000</v>
      </c>
      <c r="K35" s="16" t="s">
        <v>91</v>
      </c>
      <c r="L35" s="16" t="s">
        <v>101</v>
      </c>
      <c r="M35" s="16" t="s">
        <v>93</v>
      </c>
      <c r="N35" s="17" t="s">
        <v>46</v>
      </c>
      <c r="O35" s="20">
        <v>35212</v>
      </c>
      <c r="P35" s="19" t="s">
        <v>108</v>
      </c>
      <c r="Q35" s="19" t="s">
        <v>109</v>
      </c>
      <c r="R35" s="19">
        <v>3151222767</v>
      </c>
      <c r="S35" s="19" t="s">
        <v>202</v>
      </c>
      <c r="T35" s="64" t="str">
        <f>IF(N35=CURSOS!$D$3,"DIPLOMADO EN ATENCION PRE-HOSPITALARIA",IF(N35=CURSOS!$D$4,"ACOMPAÑAMIENTO Y MANEJO DEL DUELO",IF(N35=CURSOS!$D$5,"ATENCION A VICTIMAS DE ATAQUE CON AGENTES QUIMICOS ",IF(N35=CURSOS!$D$6,"PRIMEROS AUXILIOS ",IF(N35=CURSOS!$D$7,"DIPLOMADO DE UNIDAD DE CUIDADOS INTENSIVOS (UCI)",IF(N35=CURSOS!$D$8,"MODELO DE ATENCION PARA EVENTOS EMERGENTES EN SALUD MENTAL (CODIGO VERDE)",IF(N35=CURSOS!$D$9,"HUMANIZACION EN SALUD, BUENAS PRACTICAS EN PACIENTE ",IF(N35=CURSOS!$D$10,"CLINICA DE HERIDAS ",IF(N35=CURSOS!$D$11,"TOMA DE CITOLOGIA A CERVICO VAGINAL ",IF(N35=CURSOS!$D$12,"SOPORTE CARDIOVASCULAR AVANZADO ",IF(N35=CURSOS!$D$13,"CAMILLERO ",IF(N35=CURSOS!$D$14,"TOMA MUESTRAS Y LABORATORIO ",IF(N35=CURSOS!$D$15,"SOPORTE VITAL BASICO (BLS)",IF(N35=CURSOS!$D$16,"ATENCION A VICTIMAS DE VIOLENCIA SEXUAL ",IF(N35=CURSOS!$D$17,"PROGRAMADO AMPLIADO DE INMUNIZACION (PAI - COVID 19)",IF(N35=CURSOS!$D$18,"ATENCION INTEGRAL EN ENFERMEDADES PREVALENTES EN PRIMERA INFANCIA (AIEPI)",IF(N35=CURSOS!$D$19,"ADMINISTRACION DE MEDICAMENTOS, IYECTOLOGIA  Y CANALIZACION ",IF(N35=CURSOS!$D$20,"OPERADOR DE VEHICULOS DE EMERGENCIA (OVE)",IF(N35=CURSOS!$D$21,"INSTITUCIONES AMIGAS DE LA MUJER Y LA INFANCIA (IAMI)",IF(N35=CURSOS!$D$22,"CUIDADO DEL DONANTE DE ORGANOS",IF(N35=CURSOS!$D$23,"ATENCION A VICTIMAS POR VIOLENCIA DE GENERO",IF(N35=CURSOS!$D$24,"IGUALDAD DE GENERO EN LA SALUD",IF(N35=CURSOS!$D$25,"BRIGADA DE EMERGENCIA",IF(N35=CURSOS!$D$26,"MANEJO DEL DOLOR Y CUIDADOS PALIATIVOS",IF(N35=CURSOS!$D$27,"TOMA MUESTRAS Y LABORATORIO POCT",IF(N35=CURSOS!$D$28,"IMPLANTE SUBDERMICO Y DISPOSITIVO INTRAUTERINO",IF(N35=CURSOS!$D$29,"SALUD MENTAL",IF(N35=CURSOS!$D$30,"PRIMEROS AUXILIOS PSICOLOGICOS",IF(N35=CURSOS!$D$31,"ATENCION A VICTIMAS POR CONFLICTO ARMADO",IF(N35=CURSOS!$D$32,"MANIPULACION DE ALIMENTOS Y BPM",IF(N35=CURSOS!$D$33,"ATENCION A PERSONAS CON DISCAPACIDAD",IF(N35=CURSOS!$D$34,"CUIDADO INTEGRAL DEL PACIENTE ADULTO"))))))))))))))))))))))))))))))))</f>
        <v xml:space="preserve">ATENCION A VICTIMAS DE VIOLENCIA SEXUAL </v>
      </c>
      <c r="U35" s="64" t="str">
        <f t="shared" si="3"/>
        <v>Sara Fernanda Diaz Villota</v>
      </c>
      <c r="V35" s="64" t="str">
        <f t="shared" si="4"/>
        <v>Sara Fernanda Diaz Villota</v>
      </c>
      <c r="W35" s="64" t="str">
        <f t="shared" si="5"/>
        <v>Sara Fernanda Diaz Villota-1085330284-VIOLENCIA SEXUAL</v>
      </c>
    </row>
    <row r="36" spans="1:23" s="21" customFormat="1" x14ac:dyDescent="0.2">
      <c r="A36" s="94">
        <v>35</v>
      </c>
      <c r="B36" s="62">
        <v>1085244283</v>
      </c>
      <c r="C36" s="19" t="s">
        <v>232</v>
      </c>
      <c r="D36" s="19" t="s">
        <v>233</v>
      </c>
      <c r="E36" s="19" t="s">
        <v>234</v>
      </c>
      <c r="F36" s="19" t="s">
        <v>235</v>
      </c>
      <c r="G36" s="16">
        <v>7</v>
      </c>
      <c r="H36" s="16" t="s">
        <v>90</v>
      </c>
      <c r="I36" s="18">
        <v>45450</v>
      </c>
      <c r="J36" s="22">
        <v>80000</v>
      </c>
      <c r="K36" s="16" t="s">
        <v>229</v>
      </c>
      <c r="L36" s="18" t="s">
        <v>92</v>
      </c>
      <c r="M36" s="16" t="s">
        <v>93</v>
      </c>
      <c r="N36" s="17" t="s">
        <v>25</v>
      </c>
      <c r="O36" s="20">
        <v>31293</v>
      </c>
      <c r="P36" s="19" t="s">
        <v>108</v>
      </c>
      <c r="Q36" s="19" t="s">
        <v>236</v>
      </c>
      <c r="R36" s="19">
        <v>3186506149</v>
      </c>
      <c r="S36" s="78" t="s">
        <v>237</v>
      </c>
      <c r="T36" s="64" t="str">
        <f>IF(N36=CURSOS!$D$3,"DIPLOMADO EN ATENCION PRE-HOSPITALARIA",IF(N36=CURSOS!$D$4,"ACOMPAÑAMIENTO Y MANEJO DEL DUELO",IF(N36=CURSOS!$D$5,"ATENCION A VICTIMAS DE ATAQUE CON AGENTES QUIMICOS ",IF(N36=CURSOS!$D$6,"PRIMEROS AUXILIOS ",IF(N36=CURSOS!$D$7,"DIPLOMADO DE UNIDAD DE CUIDADOS INTENSIVOS (UCI)",IF(N36=CURSOS!$D$8,"MODELO DE ATENCION PARA EVENTOS EMERGENTES EN SALUD MENTAL (CODIGO VERDE)",IF(N36=CURSOS!$D$9,"HUMANIZACION EN SALUD, BUENAS PRACTICAS EN PACIENTE ",IF(N36=CURSOS!$D$10,"CLINICA DE HERIDAS ",IF(N36=CURSOS!$D$11,"TOMA DE CITOLOGIA A CERVICO VAGINAL ",IF(N36=CURSOS!$D$12,"SOPORTE CARDIOVASCULAR AVANZADO ",IF(N36=CURSOS!$D$13,"CAMILLERO ",IF(N36=CURSOS!$D$14,"TOMA MUESTRAS Y LABORATORIO ",IF(N36=CURSOS!$D$15,"SOPORTE VITAL BASICO (BLS)",IF(N36=CURSOS!$D$16,"ATENCION A VICTIMAS DE VIOLENCIA SEXUAL ",IF(N36=CURSOS!$D$17,"PROGRAMADO AMPLIADO DE INMUNIZACION (PAI - COVID 19)",IF(N36=CURSOS!$D$18,"ATENCION INTEGRAL EN ENFERMEDADES PREVALENTES EN PRIMERA INFANCIA (AIEPI)",IF(N36=CURSOS!$D$19,"ADMINISTRACION DE MEDICAMENTOS, IYECTOLOGIA  Y CANALIZACION ",IF(N36=CURSOS!$D$20,"OPERADOR DE VEHICULOS DE EMERGENCIA (OVE)",IF(N36=CURSOS!$D$21,"INSTITUCIONES AMIGAS DE LA MUJER Y LA INFANCIA (IAMI)",IF(N36=CURSOS!$D$22,"CUIDADO DEL DONANTE DE ORGANOS",IF(N36=CURSOS!$D$23,"ATENCION A VICTIMAS POR VIOLENCIA DE GENERO",IF(N36=CURSOS!$D$24,"IGUALDAD DE GENERO EN LA SALUD",IF(N36=CURSOS!$D$25,"BRIGADA DE EMERGENCIA",IF(N36=CURSOS!$D$26,"MANEJO DEL DOLOR Y CUIDADOS PALIATIVOS",IF(N36=CURSOS!$D$27,"TOMA MUESTRAS Y LABORATORIO POCT",IF(N36=CURSOS!$D$28,"IMPLANTE SUBDERMICO Y DISPOSITIVO INTRAUTERINO",IF(N36=CURSOS!$D$29,"SALUD MENTAL",IF(N36=CURSOS!$D$30,"PRIMEROS AUXILIOS PSICOLOGICOS",IF(N36=CURSOS!$D$31,"ATENCION A VICTIMAS POR CONFLICTO ARMADO",IF(N36=CURSOS!$D$32,"MANIPULACION DE ALIMENTOS Y BPM",IF(N36=CURSOS!$D$33,"ATENCION A PERSONAS CON DISCAPACIDAD",IF(N36=CURSOS!$D$34,"CUIDADO INTEGRAL DEL PACIENTE ADULTO"))))))))))))))))))))))))))))))))</f>
        <v xml:space="preserve">ATENCION A VICTIMAS DE ATAQUE CON AGENTES QUIMICOS </v>
      </c>
      <c r="U36" s="64" t="str">
        <f t="shared" si="3"/>
        <v>Yamile Karina Chaucanez Bastidas</v>
      </c>
      <c r="V36" s="64" t="str">
        <f t="shared" si="4"/>
        <v>Yamile Karina Chaucanez Bastidas</v>
      </c>
      <c r="W36" s="64" t="str">
        <f t="shared" si="5"/>
        <v>Yamile Karina Chaucanez Bastidas-1085244283-QUIMICOS</v>
      </c>
    </row>
    <row r="37" spans="1:23" s="21" customFormat="1" x14ac:dyDescent="0.2">
      <c r="A37" s="94">
        <v>36</v>
      </c>
      <c r="B37" s="108">
        <v>1085936280</v>
      </c>
      <c r="C37" s="82" t="s">
        <v>238</v>
      </c>
      <c r="D37" s="82" t="s">
        <v>239</v>
      </c>
      <c r="E37" s="82" t="s">
        <v>240</v>
      </c>
      <c r="F37" s="82" t="s">
        <v>241</v>
      </c>
      <c r="G37" s="83">
        <v>7</v>
      </c>
      <c r="H37" s="83" t="s">
        <v>90</v>
      </c>
      <c r="I37" s="84">
        <v>45450</v>
      </c>
      <c r="J37" s="85">
        <v>28000</v>
      </c>
      <c r="K37" s="83" t="s">
        <v>107</v>
      </c>
      <c r="L37" s="83" t="s">
        <v>101</v>
      </c>
      <c r="M37" s="83" t="s">
        <v>93</v>
      </c>
      <c r="N37" s="82" t="s">
        <v>23</v>
      </c>
      <c r="O37" s="86">
        <v>34540</v>
      </c>
      <c r="P37" s="82" t="s">
        <v>94</v>
      </c>
      <c r="Q37" s="82" t="s">
        <v>117</v>
      </c>
      <c r="R37" s="82">
        <v>3177895823</v>
      </c>
      <c r="S37" s="82" t="s">
        <v>242</v>
      </c>
      <c r="T37" s="64" t="str">
        <f>IF(N37=CURSOS!$D$3,"DIPLOMADO EN ATENCION PRE-HOSPITALARIA",IF(N37=CURSOS!$D$4,"ACOMPAÑAMIENTO Y MANEJO DEL DUELO",IF(N37=CURSOS!$D$5,"ATENCION A VICTIMAS DE ATAQUE CON AGENTES QUIMICOS ",IF(N37=CURSOS!$D$6,"PRIMEROS AUXILIOS ",IF(N37=CURSOS!$D$7,"DIPLOMADO DE UNIDAD DE CUIDADOS INTENSIVOS (UCI)",IF(N37=CURSOS!$D$8,"MODELO DE ATENCION PARA EVENTOS EMERGENTES EN SALUD MENTAL (CODIGO VERDE)",IF(N37=CURSOS!$D$9,"HUMANIZACION EN SALUD, BUENAS PRACTICAS EN PACIENTE ",IF(N37=CURSOS!$D$10,"CLINICA DE HERIDAS ",IF(N37=CURSOS!$D$11,"TOMA DE CITOLOGIA A CERVICO VAGINAL ",IF(N37=CURSOS!$D$12,"SOPORTE CARDIOVASCULAR AVANZADO ",IF(N37=CURSOS!$D$13,"CAMILLERO ",IF(N37=CURSOS!$D$14,"TOMA MUESTRAS Y LABORATORIO ",IF(N37=CURSOS!$D$15,"SOPORTE VITAL BASICO (BLS)",IF(N37=CURSOS!$D$16,"ATENCION A VICTIMAS DE VIOLENCIA SEXUAL ",IF(N37=CURSOS!$D$17,"PROGRAMADO AMPLIADO DE INMUNIZACION (PAI - COVID 19)",IF(N37=CURSOS!$D$18,"ATENCION INTEGRAL EN ENFERMEDADES PREVALENTES EN PRIMERA INFANCIA (AIEPI)",IF(N37=CURSOS!$D$19,"ADMINISTRACION DE MEDICAMENTOS, IYECTOLOGIA  Y CANALIZACION ",IF(N37=CURSOS!$D$20,"OPERADOR DE VEHICULOS DE EMERGENCIA (OVE)",IF(N37=CURSOS!$D$21,"INSTITUCIONES AMIGAS DE LA MUJER Y LA INFANCIA (IAMI)",IF(N37=CURSOS!$D$22,"CUIDADO DEL DONANTE DE ORGANOS",IF(N37=CURSOS!$D$23,"ATENCION A VICTIMAS POR VIOLENCIA DE GENERO",IF(N37=CURSOS!$D$24,"IGUALDAD DE GENERO EN LA SALUD",IF(N37=CURSOS!$D$25,"BRIGADA DE EMERGENCIA",IF(N37=CURSOS!$D$26,"MANEJO DEL DOLOR Y CUIDADOS PALIATIVOS",IF(N37=CURSOS!$D$27,"TOMA MUESTRAS Y LABORATORIO POCT",IF(N37=CURSOS!$D$28,"IMPLANTE SUBDERMICO Y DISPOSITIVO INTRAUTERINO",IF(N37=CURSOS!$D$29,"SALUD MENTAL",IF(N37=CURSOS!$D$30,"PRIMEROS AUXILIOS PSICOLOGICOS",IF(N37=CURSOS!$D$31,"ATENCION A VICTIMAS POR CONFLICTO ARMADO",IF(N37=CURSOS!$D$32,"MANIPULACION DE ALIMENTOS Y BPM",IF(N37=CURSOS!$D$33,"ATENCION A PERSONAS CON DISCAPACIDAD",IF(N37=CURSOS!$D$34,"CUIDADO INTEGRAL DEL PACIENTE ADULTO"))))))))))))))))))))))))))))))))</f>
        <v>ACOMPAÑAMIENTO Y MANEJO DEL DUELO</v>
      </c>
      <c r="U37" s="64" t="str">
        <f t="shared" si="3"/>
        <v>Michael Fernando Teran  Cisneros</v>
      </c>
      <c r="V37" s="64" t="str">
        <f t="shared" si="4"/>
        <v>Michael Fernando Teran  Cisneros</v>
      </c>
      <c r="W37" s="64" t="str">
        <f t="shared" si="5"/>
        <v>Michael Fernando Teran  Cisneros-1085936280-DUELO</v>
      </c>
    </row>
    <row r="38" spans="1:23" s="21" customFormat="1" x14ac:dyDescent="0.2">
      <c r="A38" s="94">
        <v>37</v>
      </c>
      <c r="B38" s="108">
        <v>1004598637</v>
      </c>
      <c r="C38" s="82" t="s">
        <v>243</v>
      </c>
      <c r="D38" s="82" t="s">
        <v>244</v>
      </c>
      <c r="E38" s="82" t="s">
        <v>245</v>
      </c>
      <c r="F38" s="82" t="s">
        <v>246</v>
      </c>
      <c r="G38" s="83">
        <v>7</v>
      </c>
      <c r="H38" s="83" t="s">
        <v>90</v>
      </c>
      <c r="I38" s="84">
        <v>45450</v>
      </c>
      <c r="J38" s="85">
        <v>35000</v>
      </c>
      <c r="K38" s="83" t="s">
        <v>229</v>
      </c>
      <c r="L38" s="83" t="s">
        <v>101</v>
      </c>
      <c r="M38" s="83" t="s">
        <v>93</v>
      </c>
      <c r="N38" s="82" t="s">
        <v>23</v>
      </c>
      <c r="O38" s="86">
        <v>36804</v>
      </c>
      <c r="P38" s="82" t="s">
        <v>94</v>
      </c>
      <c r="Q38" s="82" t="s">
        <v>117</v>
      </c>
      <c r="R38" s="82">
        <v>3126789510</v>
      </c>
      <c r="S38" s="82" t="s">
        <v>247</v>
      </c>
      <c r="T38" s="64" t="str">
        <f>IF(N38=CURSOS!$D$3,"DIPLOMADO EN ATENCION PRE-HOSPITALARIA",IF(N38=CURSOS!$D$4,"ACOMPAÑAMIENTO Y MANEJO DEL DUELO",IF(N38=CURSOS!$D$5,"ATENCION A VICTIMAS DE ATAQUE CON AGENTES QUIMICOS ",IF(N38=CURSOS!$D$6,"PRIMEROS AUXILIOS ",IF(N38=CURSOS!$D$7,"DIPLOMADO DE UNIDAD DE CUIDADOS INTENSIVOS (UCI)",IF(N38=CURSOS!$D$8,"MODELO DE ATENCION PARA EVENTOS EMERGENTES EN SALUD MENTAL (CODIGO VERDE)",IF(N38=CURSOS!$D$9,"HUMANIZACION EN SALUD, BUENAS PRACTICAS EN PACIENTE ",IF(N38=CURSOS!$D$10,"CLINICA DE HERIDAS ",IF(N38=CURSOS!$D$11,"TOMA DE CITOLOGIA A CERVICO VAGINAL ",IF(N38=CURSOS!$D$12,"SOPORTE CARDIOVASCULAR AVANZADO ",IF(N38=CURSOS!$D$13,"CAMILLERO ",IF(N38=CURSOS!$D$14,"TOMA MUESTRAS Y LABORATORIO ",IF(N38=CURSOS!$D$15,"SOPORTE VITAL BASICO (BLS)",IF(N38=CURSOS!$D$16,"ATENCION A VICTIMAS DE VIOLENCIA SEXUAL ",IF(N38=CURSOS!$D$17,"PROGRAMADO AMPLIADO DE INMUNIZACION (PAI - COVID 19)",IF(N38=CURSOS!$D$18,"ATENCION INTEGRAL EN ENFERMEDADES PREVALENTES EN PRIMERA INFANCIA (AIEPI)",IF(N38=CURSOS!$D$19,"ADMINISTRACION DE MEDICAMENTOS, IYECTOLOGIA  Y CANALIZACION ",IF(N38=CURSOS!$D$20,"OPERADOR DE VEHICULOS DE EMERGENCIA (OVE)",IF(N38=CURSOS!$D$21,"INSTITUCIONES AMIGAS DE LA MUJER Y LA INFANCIA (IAMI)",IF(N38=CURSOS!$D$22,"CUIDADO DEL DONANTE DE ORGANOS",IF(N38=CURSOS!$D$23,"ATENCION A VICTIMAS POR VIOLENCIA DE GENERO",IF(N38=CURSOS!$D$24,"IGUALDAD DE GENERO EN LA SALUD",IF(N38=CURSOS!$D$25,"BRIGADA DE EMERGENCIA",IF(N38=CURSOS!$D$26,"MANEJO DEL DOLOR Y CUIDADOS PALIATIVOS",IF(N38=CURSOS!$D$27,"TOMA MUESTRAS Y LABORATORIO POCT",IF(N38=CURSOS!$D$28,"IMPLANTE SUBDERMICO Y DISPOSITIVO INTRAUTERINO",IF(N38=CURSOS!$D$29,"SALUD MENTAL",IF(N38=CURSOS!$D$30,"PRIMEROS AUXILIOS PSICOLOGICOS",IF(N38=CURSOS!$D$31,"ATENCION A VICTIMAS POR CONFLICTO ARMADO",IF(N38=CURSOS!$D$32,"MANIPULACION DE ALIMENTOS Y BPM",IF(N38=CURSOS!$D$33,"ATENCION A PERSONAS CON DISCAPACIDAD",IF(N38=CURSOS!$D$34,"CUIDADO INTEGRAL DEL PACIENTE ADULTO"))))))))))))))))))))))))))))))))</f>
        <v>ACOMPAÑAMIENTO Y MANEJO DEL DUELO</v>
      </c>
      <c r="U38" s="64" t="str">
        <f t="shared" si="3"/>
        <v>José Luis Rodriguez Acosta</v>
      </c>
      <c r="V38" s="64" t="str">
        <f t="shared" si="4"/>
        <v>José Luis Rodriguez Acosta</v>
      </c>
      <c r="W38" s="64" t="str">
        <f t="shared" si="5"/>
        <v>José Luis Rodriguez Acosta-1004598637-DUELO</v>
      </c>
    </row>
    <row r="39" spans="1:23" s="21" customFormat="1" x14ac:dyDescent="0.2">
      <c r="A39" s="94">
        <v>38</v>
      </c>
      <c r="B39" s="108">
        <v>1085307605</v>
      </c>
      <c r="C39" s="82" t="s">
        <v>248</v>
      </c>
      <c r="D39" s="82" t="s">
        <v>249</v>
      </c>
      <c r="E39" s="82" t="s">
        <v>250</v>
      </c>
      <c r="F39" s="82" t="s">
        <v>251</v>
      </c>
      <c r="G39" s="83">
        <v>7</v>
      </c>
      <c r="H39" s="83" t="s">
        <v>90</v>
      </c>
      <c r="I39" s="84">
        <v>45450</v>
      </c>
      <c r="J39" s="85">
        <v>30000</v>
      </c>
      <c r="K39" s="83" t="s">
        <v>91</v>
      </c>
      <c r="L39" s="83" t="s">
        <v>101</v>
      </c>
      <c r="M39" s="83" t="s">
        <v>119</v>
      </c>
      <c r="N39" s="82" t="s">
        <v>19</v>
      </c>
      <c r="O39" s="86">
        <v>34213</v>
      </c>
      <c r="P39" s="82" t="s">
        <v>108</v>
      </c>
      <c r="Q39" s="82" t="s">
        <v>117</v>
      </c>
      <c r="R39" s="82">
        <v>3183258388</v>
      </c>
      <c r="S39" s="82" t="s">
        <v>252</v>
      </c>
      <c r="T39" s="64" t="str">
        <f>IF(N39=CURSOS!$D$3,"DIPLOMADO EN ATENCION PRE-HOSPITALARIA",IF(N39=CURSOS!$D$4,"ACOMPAÑAMIENTO Y MANEJO DEL DUELO",IF(N39=CURSOS!$D$5,"ATENCION A VICTIMAS DE ATAQUE CON AGENTES QUIMICOS ",IF(N39=CURSOS!$D$6,"PRIMEROS AUXILIOS ",IF(N39=CURSOS!$D$7,"DIPLOMADO DE UNIDAD DE CUIDADOS INTENSIVOS (UCI)",IF(N39=CURSOS!$D$8,"MODELO DE ATENCION PARA EVENTOS EMERGENTES EN SALUD MENTAL (CODIGO VERDE)",IF(N39=CURSOS!$D$9,"HUMANIZACION EN SALUD, BUENAS PRACTICAS EN PACIENTE ",IF(N39=CURSOS!$D$10,"CLINICA DE HERIDAS ",IF(N39=CURSOS!$D$11,"TOMA DE CITOLOGIA A CERVICO VAGINAL ",IF(N39=CURSOS!$D$12,"SOPORTE CARDIOVASCULAR AVANZADO ",IF(N39=CURSOS!$D$13,"CAMILLERO ",IF(N39=CURSOS!$D$14,"TOMA MUESTRAS Y LABORATORIO ",IF(N39=CURSOS!$D$15,"SOPORTE VITAL BASICO (BLS)",IF(N39=CURSOS!$D$16,"ATENCION A VICTIMAS DE VIOLENCIA SEXUAL ",IF(N39=CURSOS!$D$17,"PROGRAMADO AMPLIADO DE INMUNIZACION (PAI - COVID 19)",IF(N39=CURSOS!$D$18,"ATENCION INTEGRAL EN ENFERMEDADES PREVALENTES EN PRIMERA INFANCIA (AIEPI)",IF(N39=CURSOS!$D$19,"ADMINISTRACION DE MEDICAMENTOS, IYECTOLOGIA  Y CANALIZACION ",IF(N39=CURSOS!$D$20,"OPERADOR DE VEHICULOS DE EMERGENCIA (OVE)",IF(N39=CURSOS!$D$21,"INSTITUCIONES AMIGAS DE LA MUJER Y LA INFANCIA (IAMI)",IF(N39=CURSOS!$D$22,"CUIDADO DEL DONANTE DE ORGANOS",IF(N39=CURSOS!$D$23,"ATENCION A VICTIMAS POR VIOLENCIA DE GENERO",IF(N39=CURSOS!$D$24,"IGUALDAD DE GENERO EN LA SALUD",IF(N39=CURSOS!$D$25,"BRIGADA DE EMERGENCIA",IF(N39=CURSOS!$D$26,"MANEJO DEL DOLOR Y CUIDADOS PALIATIVOS",IF(N39=CURSOS!$D$27,"TOMA MUESTRAS Y LABORATORIO POCT",IF(N39=CURSOS!$D$28,"IMPLANTE SUBDERMICO Y DISPOSITIVO INTRAUTERINO",IF(N39=CURSOS!$D$29,"SALUD MENTAL",IF(N39=CURSOS!$D$30,"PRIMEROS AUXILIOS PSICOLOGICOS",IF(N39=CURSOS!$D$31,"ATENCION A VICTIMAS POR CONFLICTO ARMADO",IF(N39=CURSOS!$D$32,"MANIPULACION DE ALIMENTOS Y BPM",IF(N39=CURSOS!$D$33,"ATENCION A PERSONAS CON DISCAPACIDAD",IF(N39=CURSOS!$D$34,"CUIDADO INTEGRAL DEL PACIENTE ADULTO"))))))))))))))))))))))))))))))))</f>
        <v>SOPORTE VITAL BASICO (BLS)</v>
      </c>
      <c r="U39" s="64" t="str">
        <f t="shared" si="3"/>
        <v>Jessica Paola Cabrera Argoti</v>
      </c>
      <c r="V39" s="64" t="str">
        <f t="shared" si="4"/>
        <v>Jessica Paola Cabrera Argoti</v>
      </c>
      <c r="W39" s="64" t="str">
        <f t="shared" si="5"/>
        <v>Jessica Paola Cabrera Argoti-1085307605-BLS</v>
      </c>
    </row>
    <row r="40" spans="1:23" s="21" customFormat="1" x14ac:dyDescent="0.2">
      <c r="A40" s="94">
        <v>39</v>
      </c>
      <c r="B40" s="108">
        <v>1085307605</v>
      </c>
      <c r="C40" s="82" t="s">
        <v>248</v>
      </c>
      <c r="D40" s="82" t="s">
        <v>249</v>
      </c>
      <c r="E40" s="82" t="s">
        <v>250</v>
      </c>
      <c r="F40" s="82" t="s">
        <v>251</v>
      </c>
      <c r="G40" s="83">
        <v>7</v>
      </c>
      <c r="H40" s="83" t="s">
        <v>90</v>
      </c>
      <c r="I40" s="84">
        <v>45450</v>
      </c>
      <c r="J40" s="85">
        <v>30000</v>
      </c>
      <c r="K40" s="83" t="s">
        <v>91</v>
      </c>
      <c r="L40" s="83" t="s">
        <v>101</v>
      </c>
      <c r="M40" s="83" t="s">
        <v>119</v>
      </c>
      <c r="N40" s="82" t="s">
        <v>46</v>
      </c>
      <c r="O40" s="86">
        <v>34213</v>
      </c>
      <c r="P40" s="82" t="s">
        <v>108</v>
      </c>
      <c r="Q40" s="82" t="s">
        <v>117</v>
      </c>
      <c r="R40" s="82">
        <v>3183258388</v>
      </c>
      <c r="S40" s="82" t="s">
        <v>252</v>
      </c>
      <c r="T40" s="64" t="str">
        <f>IF(N40=CURSOS!$D$3,"DIPLOMADO EN ATENCION PRE-HOSPITALARIA",IF(N40=CURSOS!$D$4,"ACOMPAÑAMIENTO Y MANEJO DEL DUELO",IF(N40=CURSOS!$D$5,"ATENCION A VICTIMAS DE ATAQUE CON AGENTES QUIMICOS ",IF(N40=CURSOS!$D$6,"PRIMEROS AUXILIOS ",IF(N40=CURSOS!$D$7,"DIPLOMADO DE UNIDAD DE CUIDADOS INTENSIVOS (UCI)",IF(N40=CURSOS!$D$8,"MODELO DE ATENCION PARA EVENTOS EMERGENTES EN SALUD MENTAL (CODIGO VERDE)",IF(N40=CURSOS!$D$9,"HUMANIZACION EN SALUD, BUENAS PRACTICAS EN PACIENTE ",IF(N40=CURSOS!$D$10,"CLINICA DE HERIDAS ",IF(N40=CURSOS!$D$11,"TOMA DE CITOLOGIA A CERVICO VAGINAL ",IF(N40=CURSOS!$D$12,"SOPORTE CARDIOVASCULAR AVANZADO ",IF(N40=CURSOS!$D$13,"CAMILLERO ",IF(N40=CURSOS!$D$14,"TOMA MUESTRAS Y LABORATORIO ",IF(N40=CURSOS!$D$15,"SOPORTE VITAL BASICO (BLS)",IF(N40=CURSOS!$D$16,"ATENCION A VICTIMAS DE VIOLENCIA SEXUAL ",IF(N40=CURSOS!$D$17,"PROGRAMADO AMPLIADO DE INMUNIZACION (PAI - COVID 19)",IF(N40=CURSOS!$D$18,"ATENCION INTEGRAL EN ENFERMEDADES PREVALENTES EN PRIMERA INFANCIA (AIEPI)",IF(N40=CURSOS!$D$19,"ADMINISTRACION DE MEDICAMENTOS, IYECTOLOGIA  Y CANALIZACION ",IF(N40=CURSOS!$D$20,"OPERADOR DE VEHICULOS DE EMERGENCIA (OVE)",IF(N40=CURSOS!$D$21,"INSTITUCIONES AMIGAS DE LA MUJER Y LA INFANCIA (IAMI)",IF(N40=CURSOS!$D$22,"CUIDADO DEL DONANTE DE ORGANOS",IF(N40=CURSOS!$D$23,"ATENCION A VICTIMAS POR VIOLENCIA DE GENERO",IF(N40=CURSOS!$D$24,"IGUALDAD DE GENERO EN LA SALUD",IF(N40=CURSOS!$D$25,"BRIGADA DE EMERGENCIA",IF(N40=CURSOS!$D$26,"MANEJO DEL DOLOR Y CUIDADOS PALIATIVOS",IF(N40=CURSOS!$D$27,"TOMA MUESTRAS Y LABORATORIO POCT",IF(N40=CURSOS!$D$28,"IMPLANTE SUBDERMICO Y DISPOSITIVO INTRAUTERINO",IF(N40=CURSOS!$D$29,"SALUD MENTAL",IF(N40=CURSOS!$D$30,"PRIMEROS AUXILIOS PSICOLOGICOS",IF(N40=CURSOS!$D$31,"ATENCION A VICTIMAS POR CONFLICTO ARMADO",IF(N40=CURSOS!$D$32,"MANIPULACION DE ALIMENTOS Y BPM",IF(N40=CURSOS!$D$33,"ATENCION A PERSONAS CON DISCAPACIDAD",IF(N40=CURSOS!$D$34,"CUIDADO INTEGRAL DEL PACIENTE ADULTO"))))))))))))))))))))))))))))))))</f>
        <v xml:space="preserve">ATENCION A VICTIMAS DE VIOLENCIA SEXUAL </v>
      </c>
      <c r="U40" s="64" t="str">
        <f t="shared" si="3"/>
        <v>Jessica Paola Cabrera Argoti</v>
      </c>
      <c r="V40" s="64" t="str">
        <f t="shared" si="4"/>
        <v>Jessica Paola Cabrera Argoti</v>
      </c>
      <c r="W40" s="64" t="str">
        <f t="shared" si="5"/>
        <v>Jessica Paola Cabrera Argoti-1085307605-VIOLENCIA SEXUAL</v>
      </c>
    </row>
    <row r="41" spans="1:23" s="21" customFormat="1" x14ac:dyDescent="0.2">
      <c r="A41" s="94">
        <v>40</v>
      </c>
      <c r="B41" s="108">
        <v>59653519</v>
      </c>
      <c r="C41" s="82" t="s">
        <v>97</v>
      </c>
      <c r="D41" s="82" t="s">
        <v>98</v>
      </c>
      <c r="E41" s="82" t="s">
        <v>99</v>
      </c>
      <c r="F41" s="82" t="s">
        <v>100</v>
      </c>
      <c r="G41" s="83">
        <v>7</v>
      </c>
      <c r="H41" s="83" t="s">
        <v>90</v>
      </c>
      <c r="I41" s="84">
        <v>45450</v>
      </c>
      <c r="J41" s="85">
        <v>20000</v>
      </c>
      <c r="K41" s="83" t="s">
        <v>91</v>
      </c>
      <c r="L41" s="83" t="s">
        <v>101</v>
      </c>
      <c r="M41" s="83" t="s">
        <v>93</v>
      </c>
      <c r="N41" s="82" t="s">
        <v>19</v>
      </c>
      <c r="O41" s="86">
        <v>31085</v>
      </c>
      <c r="P41" s="82" t="s">
        <v>108</v>
      </c>
      <c r="Q41" s="82" t="s">
        <v>109</v>
      </c>
      <c r="R41" s="82">
        <v>3206595951</v>
      </c>
      <c r="S41" s="82" t="s">
        <v>110</v>
      </c>
      <c r="T41" s="64" t="str">
        <f>IF(N41=CURSOS!$D$3,"DIPLOMADO EN ATENCION PRE-HOSPITALARIA",IF(N41=CURSOS!$D$4,"ACOMPAÑAMIENTO Y MANEJO DEL DUELO",IF(N41=CURSOS!$D$5,"ATENCION A VICTIMAS DE ATAQUE CON AGENTES QUIMICOS ",IF(N41=CURSOS!$D$6,"PRIMEROS AUXILIOS ",IF(N41=CURSOS!$D$7,"DIPLOMADO DE UNIDAD DE CUIDADOS INTENSIVOS (UCI)",IF(N41=CURSOS!$D$8,"MODELO DE ATENCION PARA EVENTOS EMERGENTES EN SALUD MENTAL (CODIGO VERDE)",IF(N41=CURSOS!$D$9,"HUMANIZACION EN SALUD, BUENAS PRACTICAS EN PACIENTE ",IF(N41=CURSOS!$D$10,"CLINICA DE HERIDAS ",IF(N41=CURSOS!$D$11,"TOMA DE CITOLOGIA A CERVICO VAGINAL ",IF(N41=CURSOS!$D$12,"SOPORTE CARDIOVASCULAR AVANZADO ",IF(N41=CURSOS!$D$13,"CAMILLERO ",IF(N41=CURSOS!$D$14,"TOMA MUESTRAS Y LABORATORIO ",IF(N41=CURSOS!$D$15,"SOPORTE VITAL BASICO (BLS)",IF(N41=CURSOS!$D$16,"ATENCION A VICTIMAS DE VIOLENCIA SEXUAL ",IF(N41=CURSOS!$D$17,"PROGRAMADO AMPLIADO DE INMUNIZACION (PAI - COVID 19)",IF(N41=CURSOS!$D$18,"ATENCION INTEGRAL EN ENFERMEDADES PREVALENTES EN PRIMERA INFANCIA (AIEPI)",IF(N41=CURSOS!$D$19,"ADMINISTRACION DE MEDICAMENTOS, IYECTOLOGIA  Y CANALIZACION ",IF(N41=CURSOS!$D$20,"OPERADOR DE VEHICULOS DE EMERGENCIA (OVE)",IF(N41=CURSOS!$D$21,"INSTITUCIONES AMIGAS DE LA MUJER Y LA INFANCIA (IAMI)",IF(N41=CURSOS!$D$22,"CUIDADO DEL DONANTE DE ORGANOS",IF(N41=CURSOS!$D$23,"ATENCION A VICTIMAS POR VIOLENCIA DE GENERO",IF(N41=CURSOS!$D$24,"IGUALDAD DE GENERO EN LA SALUD",IF(N41=CURSOS!$D$25,"BRIGADA DE EMERGENCIA",IF(N41=CURSOS!$D$26,"MANEJO DEL DOLOR Y CUIDADOS PALIATIVOS",IF(N41=CURSOS!$D$27,"TOMA MUESTRAS Y LABORATORIO POCT",IF(N41=CURSOS!$D$28,"IMPLANTE SUBDERMICO Y DISPOSITIVO INTRAUTERINO",IF(N41=CURSOS!$D$29,"SALUD MENTAL",IF(N41=CURSOS!$D$30,"PRIMEROS AUXILIOS PSICOLOGICOS",IF(N41=CURSOS!$D$31,"ATENCION A VICTIMAS POR CONFLICTO ARMADO",IF(N41=CURSOS!$D$32,"MANIPULACION DE ALIMENTOS Y BPM",IF(N41=CURSOS!$D$33,"ATENCION A PERSONAS CON DISCAPACIDAD",IF(N41=CURSOS!$D$34,"CUIDADO INTEGRAL DEL PACIENTE ADULTO"))))))))))))))))))))))))))))))))</f>
        <v>SOPORTE VITAL BASICO (BLS)</v>
      </c>
      <c r="U41" s="64" t="str">
        <f t="shared" si="3"/>
        <v>Flor Amanda Pantoja Landazuri</v>
      </c>
      <c r="V41" s="64" t="str">
        <f t="shared" si="4"/>
        <v>Flor Amanda Pantoja Landazuri</v>
      </c>
      <c r="W41" s="64" t="str">
        <f t="shared" si="5"/>
        <v>Flor Amanda Pantoja Landazuri-59653519-BLS</v>
      </c>
    </row>
    <row r="42" spans="1:23" s="21" customFormat="1" x14ac:dyDescent="0.2">
      <c r="A42" s="94">
        <v>41</v>
      </c>
      <c r="B42" s="108">
        <v>59653519</v>
      </c>
      <c r="C42" s="82" t="s">
        <v>97</v>
      </c>
      <c r="D42" s="82" t="s">
        <v>98</v>
      </c>
      <c r="E42" s="82" t="s">
        <v>99</v>
      </c>
      <c r="F42" s="82" t="s">
        <v>100</v>
      </c>
      <c r="G42" s="83">
        <v>7</v>
      </c>
      <c r="H42" s="83" t="s">
        <v>90</v>
      </c>
      <c r="I42" s="84">
        <v>45450</v>
      </c>
      <c r="J42" s="85">
        <v>85000</v>
      </c>
      <c r="K42" s="83" t="s">
        <v>91</v>
      </c>
      <c r="L42" s="83" t="s">
        <v>101</v>
      </c>
      <c r="M42" s="83" t="s">
        <v>93</v>
      </c>
      <c r="N42" s="82" t="s">
        <v>39</v>
      </c>
      <c r="O42" s="86">
        <v>31085</v>
      </c>
      <c r="P42" s="82" t="s">
        <v>108</v>
      </c>
      <c r="Q42" s="82" t="s">
        <v>109</v>
      </c>
      <c r="R42" s="82">
        <v>3206595951</v>
      </c>
      <c r="S42" s="82" t="s">
        <v>110</v>
      </c>
      <c r="T42" s="64" t="str">
        <f>IF(N42=CURSOS!$D$3,"DIPLOMADO EN ATENCION PRE-HOSPITALARIA",IF(N42=CURSOS!$D$4,"ACOMPAÑAMIENTO Y MANEJO DEL DUELO",IF(N42=CURSOS!$D$5,"ATENCION A VICTIMAS DE ATAQUE CON AGENTES QUIMICOS ",IF(N42=CURSOS!$D$6,"PRIMEROS AUXILIOS ",IF(N42=CURSOS!$D$7,"DIPLOMADO DE UNIDAD DE CUIDADOS INTENSIVOS (UCI)",IF(N42=CURSOS!$D$8,"MODELO DE ATENCION PARA EVENTOS EMERGENTES EN SALUD MENTAL (CODIGO VERDE)",IF(N42=CURSOS!$D$9,"HUMANIZACION EN SALUD, BUENAS PRACTICAS EN PACIENTE ",IF(N42=CURSOS!$D$10,"CLINICA DE HERIDAS ",IF(N42=CURSOS!$D$11,"TOMA DE CITOLOGIA A CERVICO VAGINAL ",IF(N42=CURSOS!$D$12,"SOPORTE CARDIOVASCULAR AVANZADO ",IF(N42=CURSOS!$D$13,"CAMILLERO ",IF(N42=CURSOS!$D$14,"TOMA MUESTRAS Y LABORATORIO ",IF(N42=CURSOS!$D$15,"SOPORTE VITAL BASICO (BLS)",IF(N42=CURSOS!$D$16,"ATENCION A VICTIMAS DE VIOLENCIA SEXUAL ",IF(N42=CURSOS!$D$17,"PROGRAMADO AMPLIADO DE INMUNIZACION (PAI - COVID 19)",IF(N42=CURSOS!$D$18,"ATENCION INTEGRAL EN ENFERMEDADES PREVALENTES EN PRIMERA INFANCIA (AIEPI)",IF(N42=CURSOS!$D$19,"ADMINISTRACION DE MEDICAMENTOS, IYECTOLOGIA  Y CANALIZACION ",IF(N42=CURSOS!$D$20,"OPERADOR DE VEHICULOS DE EMERGENCIA (OVE)",IF(N42=CURSOS!$D$21,"INSTITUCIONES AMIGAS DE LA MUJER Y LA INFANCIA (IAMI)",IF(N42=CURSOS!$D$22,"CUIDADO DEL DONANTE DE ORGANOS",IF(N42=CURSOS!$D$23,"ATENCION A VICTIMAS POR VIOLENCIA DE GENERO",IF(N42=CURSOS!$D$24,"IGUALDAD DE GENERO EN LA SALUD",IF(N42=CURSOS!$D$25,"BRIGADA DE EMERGENCIA",IF(N42=CURSOS!$D$26,"MANEJO DEL DOLOR Y CUIDADOS PALIATIVOS",IF(N42=CURSOS!$D$27,"TOMA MUESTRAS Y LABORATORIO POCT",IF(N42=CURSOS!$D$28,"IMPLANTE SUBDERMICO Y DISPOSITIVO INTRAUTERINO",IF(N42=CURSOS!$D$29,"SALUD MENTAL",IF(N42=CURSOS!$D$30,"PRIMEROS AUXILIOS PSICOLOGICOS",IF(N42=CURSOS!$D$31,"ATENCION A VICTIMAS POR CONFLICTO ARMADO",IF(N42=CURSOS!$D$32,"MANIPULACION DE ALIMENTOS Y BPM",IF(N42=CURSOS!$D$33,"ATENCION A PERSONAS CON DISCAPACIDAD",IF(N42=CURSOS!$D$34,"CUIDADO INTEGRAL DEL PACIENTE ADULTO"))))))))))))))))))))))))))))))))</f>
        <v xml:space="preserve">SOPORTE CARDIOVASCULAR AVANZADO </v>
      </c>
      <c r="U42" s="64" t="str">
        <f t="shared" si="3"/>
        <v>Flor Amanda Pantoja Landazuri</v>
      </c>
      <c r="V42" s="64" t="str">
        <f t="shared" si="4"/>
        <v>Flor Amanda Pantoja Landazuri</v>
      </c>
      <c r="W42" s="64" t="str">
        <f t="shared" si="5"/>
        <v>Flor Amanda Pantoja Landazuri-59653519-ACLS</v>
      </c>
    </row>
    <row r="43" spans="1:23" s="21" customFormat="1" x14ac:dyDescent="0.2">
      <c r="A43" s="94">
        <v>42</v>
      </c>
      <c r="B43" s="108">
        <v>59653519</v>
      </c>
      <c r="C43" s="82" t="s">
        <v>97</v>
      </c>
      <c r="D43" s="82" t="s">
        <v>98</v>
      </c>
      <c r="E43" s="82" t="s">
        <v>99</v>
      </c>
      <c r="F43" s="82" t="s">
        <v>100</v>
      </c>
      <c r="G43" s="83">
        <v>5</v>
      </c>
      <c r="H43" s="83" t="s">
        <v>90</v>
      </c>
      <c r="I43" s="84">
        <v>45450</v>
      </c>
      <c r="J43" s="85">
        <v>30000</v>
      </c>
      <c r="K43" s="83" t="s">
        <v>91</v>
      </c>
      <c r="L43" s="83" t="s">
        <v>101</v>
      </c>
      <c r="M43" s="83" t="s">
        <v>93</v>
      </c>
      <c r="N43" s="82" t="s">
        <v>25</v>
      </c>
      <c r="O43" s="86">
        <v>31085</v>
      </c>
      <c r="P43" s="82" t="s">
        <v>108</v>
      </c>
      <c r="Q43" s="82" t="s">
        <v>109</v>
      </c>
      <c r="R43" s="82">
        <v>3206595951</v>
      </c>
      <c r="S43" s="82" t="s">
        <v>110</v>
      </c>
      <c r="T43" s="64" t="str">
        <f>IF(N43=CURSOS!$D$3,"DIPLOMADO EN ATENCION PRE-HOSPITALARIA",IF(N43=CURSOS!$D$4,"ACOMPAÑAMIENTO Y MANEJO DEL DUELO",IF(N43=CURSOS!$D$5,"ATENCION A VICTIMAS DE ATAQUE CON AGENTES QUIMICOS ",IF(N43=CURSOS!$D$6,"PRIMEROS AUXILIOS ",IF(N43=CURSOS!$D$7,"DIPLOMADO DE UNIDAD DE CUIDADOS INTENSIVOS (UCI)",IF(N43=CURSOS!$D$8,"MODELO DE ATENCION PARA EVENTOS EMERGENTES EN SALUD MENTAL (CODIGO VERDE)",IF(N43=CURSOS!$D$9,"HUMANIZACION EN SALUD, BUENAS PRACTICAS EN PACIENTE ",IF(N43=CURSOS!$D$10,"CLINICA DE HERIDAS ",IF(N43=CURSOS!$D$11,"TOMA DE CITOLOGIA A CERVICO VAGINAL ",IF(N43=CURSOS!$D$12,"SOPORTE CARDIOVASCULAR AVANZADO ",IF(N43=CURSOS!$D$13,"CAMILLERO ",IF(N43=CURSOS!$D$14,"TOMA MUESTRAS Y LABORATORIO ",IF(N43=CURSOS!$D$15,"SOPORTE VITAL BASICO (BLS)",IF(N43=CURSOS!$D$16,"ATENCION A VICTIMAS DE VIOLENCIA SEXUAL ",IF(N43=CURSOS!$D$17,"PROGRAMADO AMPLIADO DE INMUNIZACION (PAI - COVID 19)",IF(N43=CURSOS!$D$18,"ATENCION INTEGRAL EN ENFERMEDADES PREVALENTES EN PRIMERA INFANCIA (AIEPI)",IF(N43=CURSOS!$D$19,"ADMINISTRACION DE MEDICAMENTOS, IYECTOLOGIA  Y CANALIZACION ",IF(N43=CURSOS!$D$20,"OPERADOR DE VEHICULOS DE EMERGENCIA (OVE)",IF(N43=CURSOS!$D$21,"INSTITUCIONES AMIGAS DE LA MUJER Y LA INFANCIA (IAMI)",IF(N43=CURSOS!$D$22,"CUIDADO DEL DONANTE DE ORGANOS",IF(N43=CURSOS!$D$23,"ATENCION A VICTIMAS POR VIOLENCIA DE GENERO",IF(N43=CURSOS!$D$24,"IGUALDAD DE GENERO EN LA SALUD",IF(N43=CURSOS!$D$25,"BRIGADA DE EMERGENCIA",IF(N43=CURSOS!$D$26,"MANEJO DEL DOLOR Y CUIDADOS PALIATIVOS",IF(N43=CURSOS!$D$27,"TOMA MUESTRAS Y LABORATORIO POCT",IF(N43=CURSOS!$D$28,"IMPLANTE SUBDERMICO Y DISPOSITIVO INTRAUTERINO",IF(N43=CURSOS!$D$29,"SALUD MENTAL",IF(N43=CURSOS!$D$30,"PRIMEROS AUXILIOS PSICOLOGICOS",IF(N43=CURSOS!$D$31,"ATENCION A VICTIMAS POR CONFLICTO ARMADO",IF(N43=CURSOS!$D$32,"MANIPULACION DE ALIMENTOS Y BPM",IF(N43=CURSOS!$D$33,"ATENCION A PERSONAS CON DISCAPACIDAD",IF(N43=CURSOS!$D$34,"CUIDADO INTEGRAL DEL PACIENTE ADULTO"))))))))))))))))))))))))))))))))</f>
        <v xml:space="preserve">ATENCION A VICTIMAS DE ATAQUE CON AGENTES QUIMICOS </v>
      </c>
      <c r="U43" s="64" t="str">
        <f t="shared" si="3"/>
        <v>Flor Amanda Pantoja Landazuri</v>
      </c>
      <c r="V43" s="64" t="str">
        <f t="shared" si="4"/>
        <v>Flor Amanda Pantoja Landazuri</v>
      </c>
      <c r="W43" s="64" t="str">
        <f t="shared" si="5"/>
        <v>Flor Amanda Pantoja Landazuri-59653519-QUIMICOS</v>
      </c>
    </row>
    <row r="44" spans="1:23" s="21" customFormat="1" x14ac:dyDescent="0.2">
      <c r="A44" s="94">
        <v>43</v>
      </c>
      <c r="B44" s="108">
        <v>59653519</v>
      </c>
      <c r="C44" s="82" t="s">
        <v>97</v>
      </c>
      <c r="D44" s="82" t="s">
        <v>98</v>
      </c>
      <c r="E44" s="82" t="s">
        <v>99</v>
      </c>
      <c r="F44" s="82" t="s">
        <v>100</v>
      </c>
      <c r="G44" s="83">
        <v>5</v>
      </c>
      <c r="H44" s="83" t="s">
        <v>90</v>
      </c>
      <c r="I44" s="84">
        <v>45450</v>
      </c>
      <c r="J44" s="85">
        <v>30000</v>
      </c>
      <c r="K44" s="83" t="s">
        <v>91</v>
      </c>
      <c r="L44" s="83" t="s">
        <v>101</v>
      </c>
      <c r="M44" s="83" t="s">
        <v>93</v>
      </c>
      <c r="N44" s="82" t="s">
        <v>46</v>
      </c>
      <c r="O44" s="86">
        <v>31085</v>
      </c>
      <c r="P44" s="82" t="s">
        <v>108</v>
      </c>
      <c r="Q44" s="82" t="s">
        <v>109</v>
      </c>
      <c r="R44" s="82">
        <v>3206595951</v>
      </c>
      <c r="S44" s="82" t="s">
        <v>110</v>
      </c>
      <c r="T44" s="64" t="str">
        <f>IF(N44=CURSOS!$D$3,"DIPLOMADO EN ATENCION PRE-HOSPITALARIA",IF(N44=CURSOS!$D$4,"ACOMPAÑAMIENTO Y MANEJO DEL DUELO",IF(N44=CURSOS!$D$5,"ATENCION A VICTIMAS DE ATAQUE CON AGENTES QUIMICOS ",IF(N44=CURSOS!$D$6,"PRIMEROS AUXILIOS ",IF(N44=CURSOS!$D$7,"DIPLOMADO DE UNIDAD DE CUIDADOS INTENSIVOS (UCI)",IF(N44=CURSOS!$D$8,"MODELO DE ATENCION PARA EVENTOS EMERGENTES EN SALUD MENTAL (CODIGO VERDE)",IF(N44=CURSOS!$D$9,"HUMANIZACION EN SALUD, BUENAS PRACTICAS EN PACIENTE ",IF(N44=CURSOS!$D$10,"CLINICA DE HERIDAS ",IF(N44=CURSOS!$D$11,"TOMA DE CITOLOGIA A CERVICO VAGINAL ",IF(N44=CURSOS!$D$12,"SOPORTE CARDIOVASCULAR AVANZADO ",IF(N44=CURSOS!$D$13,"CAMILLERO ",IF(N44=CURSOS!$D$14,"TOMA MUESTRAS Y LABORATORIO ",IF(N44=CURSOS!$D$15,"SOPORTE VITAL BASICO (BLS)",IF(N44=CURSOS!$D$16,"ATENCION A VICTIMAS DE VIOLENCIA SEXUAL ",IF(N44=CURSOS!$D$17,"PROGRAMADO AMPLIADO DE INMUNIZACION (PAI - COVID 19)",IF(N44=CURSOS!$D$18,"ATENCION INTEGRAL EN ENFERMEDADES PREVALENTES EN PRIMERA INFANCIA (AIEPI)",IF(N44=CURSOS!$D$19,"ADMINISTRACION DE MEDICAMENTOS, IYECTOLOGIA  Y CANALIZACION ",IF(N44=CURSOS!$D$20,"OPERADOR DE VEHICULOS DE EMERGENCIA (OVE)",IF(N44=CURSOS!$D$21,"INSTITUCIONES AMIGAS DE LA MUJER Y LA INFANCIA (IAMI)",IF(N44=CURSOS!$D$22,"CUIDADO DEL DONANTE DE ORGANOS",IF(N44=CURSOS!$D$23,"ATENCION A VICTIMAS POR VIOLENCIA DE GENERO",IF(N44=CURSOS!$D$24,"IGUALDAD DE GENERO EN LA SALUD",IF(N44=CURSOS!$D$25,"BRIGADA DE EMERGENCIA",IF(N44=CURSOS!$D$26,"MANEJO DEL DOLOR Y CUIDADOS PALIATIVOS",IF(N44=CURSOS!$D$27,"TOMA MUESTRAS Y LABORATORIO POCT",IF(N44=CURSOS!$D$28,"IMPLANTE SUBDERMICO Y DISPOSITIVO INTRAUTERINO",IF(N44=CURSOS!$D$29,"SALUD MENTAL",IF(N44=CURSOS!$D$30,"PRIMEROS AUXILIOS PSICOLOGICOS",IF(N44=CURSOS!$D$31,"ATENCION A VICTIMAS POR CONFLICTO ARMADO",IF(N44=CURSOS!$D$32,"MANIPULACION DE ALIMENTOS Y BPM",IF(N44=CURSOS!$D$33,"ATENCION A PERSONAS CON DISCAPACIDAD",IF(N44=CURSOS!$D$34,"CUIDADO INTEGRAL DEL PACIENTE ADULTO"))))))))))))))))))))))))))))))))</f>
        <v xml:space="preserve">ATENCION A VICTIMAS DE VIOLENCIA SEXUAL </v>
      </c>
      <c r="U44" s="64" t="str">
        <f t="shared" si="3"/>
        <v>Flor Amanda Pantoja Landazuri</v>
      </c>
      <c r="V44" s="64" t="str">
        <f t="shared" si="4"/>
        <v>Flor Amanda Pantoja Landazuri</v>
      </c>
      <c r="W44" s="64" t="str">
        <f t="shared" si="5"/>
        <v>Flor Amanda Pantoja Landazuri-59653519-VIOLENCIA SEXUAL</v>
      </c>
    </row>
    <row r="45" spans="1:23" s="21" customFormat="1" x14ac:dyDescent="0.2">
      <c r="A45" s="94">
        <v>44</v>
      </c>
      <c r="B45" s="62">
        <v>87062740</v>
      </c>
      <c r="C45" s="19" t="s">
        <v>253</v>
      </c>
      <c r="D45" s="19" t="s">
        <v>254</v>
      </c>
      <c r="E45" s="19" t="s">
        <v>255</v>
      </c>
      <c r="F45" s="19" t="s">
        <v>208</v>
      </c>
      <c r="G45" s="16">
        <v>7</v>
      </c>
      <c r="H45" s="16" t="s">
        <v>90</v>
      </c>
      <c r="I45" s="84">
        <v>45450</v>
      </c>
      <c r="J45" s="22">
        <v>80000</v>
      </c>
      <c r="K45" s="16" t="s">
        <v>229</v>
      </c>
      <c r="L45" s="18" t="s">
        <v>101</v>
      </c>
      <c r="M45" s="16" t="s">
        <v>93</v>
      </c>
      <c r="N45" s="17" t="s">
        <v>19</v>
      </c>
      <c r="O45" s="20">
        <v>30290</v>
      </c>
      <c r="P45" s="19" t="s">
        <v>94</v>
      </c>
      <c r="Q45" s="19" t="s">
        <v>41</v>
      </c>
      <c r="R45" s="19">
        <v>3176051183</v>
      </c>
      <c r="S45" s="19" t="s">
        <v>256</v>
      </c>
      <c r="T45" s="64" t="str">
        <f>IF(N45=CURSOS!$D$3,"DIPLOMADO EN ATENCION PRE-HOSPITALARIA",IF(N45=CURSOS!$D$4,"ACOMPAÑAMIENTO Y MANEJO DEL DUELO",IF(N45=CURSOS!$D$5,"ATENCION A VICTIMAS DE ATAQUE CON AGENTES QUIMICOS ",IF(N45=CURSOS!$D$6,"PRIMEROS AUXILIOS ",IF(N45=CURSOS!$D$7,"DIPLOMADO DE UNIDAD DE CUIDADOS INTENSIVOS (UCI)",IF(N45=CURSOS!$D$8,"MODELO DE ATENCION PARA EVENTOS EMERGENTES EN SALUD MENTAL (CODIGO VERDE)",IF(N45=CURSOS!$D$9,"HUMANIZACION EN SALUD, BUENAS PRACTICAS EN PACIENTE ",IF(N45=CURSOS!$D$10,"CLINICA DE HERIDAS ",IF(N45=CURSOS!$D$11,"TOMA DE CITOLOGIA A CERVICO VAGINAL ",IF(N45=CURSOS!$D$12,"SOPORTE CARDIOVASCULAR AVANZADO ",IF(N45=CURSOS!$D$13,"CAMILLERO ",IF(N45=CURSOS!$D$14,"TOMA MUESTRAS Y LABORATORIO ",IF(N45=CURSOS!$D$15,"SOPORTE VITAL BASICO (BLS)",IF(N45=CURSOS!$D$16,"ATENCION A VICTIMAS DE VIOLENCIA SEXUAL ",IF(N45=CURSOS!$D$17,"PROGRAMADO AMPLIADO DE INMUNIZACION (PAI - COVID 19)",IF(N45=CURSOS!$D$18,"ATENCION INTEGRAL EN ENFERMEDADES PREVALENTES EN PRIMERA INFANCIA (AIEPI)",IF(N45=CURSOS!$D$19,"ADMINISTRACION DE MEDICAMENTOS, IYECTOLOGIA  Y CANALIZACION ",IF(N45=CURSOS!$D$20,"OPERADOR DE VEHICULOS DE EMERGENCIA (OVE)",IF(N45=CURSOS!$D$21,"INSTITUCIONES AMIGAS DE LA MUJER Y LA INFANCIA (IAMI)",IF(N45=CURSOS!$D$22,"CUIDADO DEL DONANTE DE ORGANOS",IF(N45=CURSOS!$D$23,"ATENCION A VICTIMAS POR VIOLENCIA DE GENERO",IF(N45=CURSOS!$D$24,"IGUALDAD DE GENERO EN LA SALUD",IF(N45=CURSOS!$D$25,"BRIGADA DE EMERGENCIA",IF(N45=CURSOS!$D$26,"MANEJO DEL DOLOR Y CUIDADOS PALIATIVOS",IF(N45=CURSOS!$D$27,"TOMA MUESTRAS Y LABORATORIO POCT",IF(N45=CURSOS!$D$28,"IMPLANTE SUBDERMICO Y DISPOSITIVO INTRAUTERINO",IF(N45=CURSOS!$D$29,"SALUD MENTAL",IF(N45=CURSOS!$D$30,"PRIMEROS AUXILIOS PSICOLOGICOS",IF(N45=CURSOS!$D$31,"ATENCION A VICTIMAS POR CONFLICTO ARMADO",IF(N45=CURSOS!$D$32,"MANIPULACION DE ALIMENTOS Y BPM",IF(N45=CURSOS!$D$33,"ATENCION A PERSONAS CON DISCAPACIDAD",IF(N45=CURSOS!$D$34,"CUIDADO INTEGRAL DEL PACIENTE ADULTO"))))))))))))))))))))))))))))))))</f>
        <v>SOPORTE VITAL BASICO (BLS)</v>
      </c>
      <c r="U45" s="64" t="str">
        <f t="shared" si="3"/>
        <v>Servio Andrés Burbano Ramos</v>
      </c>
      <c r="V45" s="64" t="str">
        <f t="shared" si="4"/>
        <v>Servio Andrés Burbano Ramos</v>
      </c>
      <c r="W45" s="64" t="str">
        <f t="shared" si="5"/>
        <v>Servio Andrés Burbano Ramos-87062740-BLS</v>
      </c>
    </row>
    <row r="46" spans="1:23" s="21" customFormat="1" x14ac:dyDescent="0.2">
      <c r="A46" s="94">
        <v>45</v>
      </c>
      <c r="B46" s="62">
        <v>1085323504</v>
      </c>
      <c r="C46" s="19" t="s">
        <v>257</v>
      </c>
      <c r="D46" s="19" t="s">
        <v>258</v>
      </c>
      <c r="E46" s="19" t="s">
        <v>259</v>
      </c>
      <c r="F46" s="19" t="s">
        <v>228</v>
      </c>
      <c r="G46" s="16">
        <v>8</v>
      </c>
      <c r="H46" s="16" t="s">
        <v>90</v>
      </c>
      <c r="I46" s="18">
        <v>45451</v>
      </c>
      <c r="J46" s="22">
        <v>91000</v>
      </c>
      <c r="K46" s="16" t="s">
        <v>229</v>
      </c>
      <c r="L46" s="16" t="s">
        <v>101</v>
      </c>
      <c r="M46" s="16" t="s">
        <v>93</v>
      </c>
      <c r="N46" s="17" t="s">
        <v>39</v>
      </c>
      <c r="O46" s="20">
        <v>34966</v>
      </c>
      <c r="P46" s="19" t="s">
        <v>108</v>
      </c>
      <c r="Q46" s="19" t="s">
        <v>261</v>
      </c>
      <c r="R46" s="19">
        <v>3146573475</v>
      </c>
      <c r="S46" s="19" t="s">
        <v>260</v>
      </c>
      <c r="T46" s="64" t="str">
        <f>IF(N46=CURSOS!$D$3,"DIPLOMADO EN ATENCION PRE-HOSPITALARIA",IF(N46=CURSOS!$D$4,"ACOMPAÑAMIENTO Y MANEJO DEL DUELO",IF(N46=CURSOS!$D$5,"ATENCION A VICTIMAS DE ATAQUE CON AGENTES QUIMICOS ",IF(N46=CURSOS!$D$6,"PRIMEROS AUXILIOS ",IF(N46=CURSOS!$D$7,"DIPLOMADO DE UNIDAD DE CUIDADOS INTENSIVOS (UCI)",IF(N46=CURSOS!$D$8,"MODELO DE ATENCION PARA EVENTOS EMERGENTES EN SALUD MENTAL (CODIGO VERDE)",IF(N46=CURSOS!$D$9,"HUMANIZACION EN SALUD, BUENAS PRACTICAS EN PACIENTE ",IF(N46=CURSOS!$D$10,"CLINICA DE HERIDAS ",IF(N46=CURSOS!$D$11,"TOMA DE CITOLOGIA A CERVICO VAGINAL ",IF(N46=CURSOS!$D$12,"SOPORTE CARDIOVASCULAR AVANZADO ",IF(N46=CURSOS!$D$13,"CAMILLERO ",IF(N46=CURSOS!$D$14,"TOMA MUESTRAS Y LABORATORIO ",IF(N46=CURSOS!$D$15,"SOPORTE VITAL BASICO (BLS)",IF(N46=CURSOS!$D$16,"ATENCION A VICTIMAS DE VIOLENCIA SEXUAL ",IF(N46=CURSOS!$D$17,"PROGRAMADO AMPLIADO DE INMUNIZACION (PAI - COVID 19)",IF(N46=CURSOS!$D$18,"ATENCION INTEGRAL EN ENFERMEDADES PREVALENTES EN PRIMERA INFANCIA (AIEPI)",IF(N46=CURSOS!$D$19,"ADMINISTRACION DE MEDICAMENTOS, IYECTOLOGIA  Y CANALIZACION ",IF(N46=CURSOS!$D$20,"OPERADOR DE VEHICULOS DE EMERGENCIA (OVE)",IF(N46=CURSOS!$D$21,"INSTITUCIONES AMIGAS DE LA MUJER Y LA INFANCIA (IAMI)",IF(N46=CURSOS!$D$22,"CUIDADO DEL DONANTE DE ORGANOS",IF(N46=CURSOS!$D$23,"ATENCION A VICTIMAS POR VIOLENCIA DE GENERO",IF(N46=CURSOS!$D$24,"IGUALDAD DE GENERO EN LA SALUD",IF(N46=CURSOS!$D$25,"BRIGADA DE EMERGENCIA",IF(N46=CURSOS!$D$26,"MANEJO DEL DOLOR Y CUIDADOS PALIATIVOS",IF(N46=CURSOS!$D$27,"TOMA MUESTRAS Y LABORATORIO POCT",IF(N46=CURSOS!$D$28,"IMPLANTE SUBDERMICO Y DISPOSITIVO INTRAUTERINO",IF(N46=CURSOS!$D$29,"SALUD MENTAL",IF(N46=CURSOS!$D$30,"PRIMEROS AUXILIOS PSICOLOGICOS",IF(N46=CURSOS!$D$31,"ATENCION A VICTIMAS POR CONFLICTO ARMADO",IF(N46=CURSOS!$D$32,"MANIPULACION DE ALIMENTOS Y BPM",IF(N46=CURSOS!$D$33,"ATENCION A PERSONAS CON DISCAPACIDAD",IF(N46=CURSOS!$D$34,"CUIDADO INTEGRAL DEL PACIENTE ADULTO"))))))))))))))))))))))))))))))))</f>
        <v xml:space="preserve">SOPORTE CARDIOVASCULAR AVANZADO </v>
      </c>
      <c r="U46" s="64" t="str">
        <f t="shared" si="3"/>
        <v>Jenny Lorena Erazo Jojoa</v>
      </c>
      <c r="V46" s="64" t="str">
        <f t="shared" si="4"/>
        <v>Jenny Lorena Erazo Jojoa</v>
      </c>
      <c r="W46" s="64" t="str">
        <f t="shared" si="5"/>
        <v>Jenny Lorena Erazo Jojoa-1085323504-ACLS</v>
      </c>
    </row>
    <row r="47" spans="1:23" s="21" customFormat="1" x14ac:dyDescent="0.2">
      <c r="A47" s="94">
        <v>46</v>
      </c>
      <c r="B47" s="62">
        <v>1069721933</v>
      </c>
      <c r="C47" s="19" t="s">
        <v>262</v>
      </c>
      <c r="D47" s="19" t="s">
        <v>263</v>
      </c>
      <c r="E47" s="19" t="s">
        <v>264</v>
      </c>
      <c r="F47" s="19"/>
      <c r="G47" s="16">
        <v>10</v>
      </c>
      <c r="H47" s="16" t="s">
        <v>90</v>
      </c>
      <c r="I47" s="18"/>
      <c r="J47" s="22">
        <v>30000</v>
      </c>
      <c r="K47" s="16" t="s">
        <v>229</v>
      </c>
      <c r="L47" s="16" t="s">
        <v>92</v>
      </c>
      <c r="M47" s="16" t="s">
        <v>205</v>
      </c>
      <c r="N47" s="17" t="s">
        <v>23</v>
      </c>
      <c r="O47" s="20">
        <v>31378</v>
      </c>
      <c r="P47" s="19" t="s">
        <v>94</v>
      </c>
      <c r="Q47" s="82" t="s">
        <v>117</v>
      </c>
      <c r="R47" s="19">
        <v>3183825427</v>
      </c>
      <c r="S47" s="19" t="s">
        <v>265</v>
      </c>
      <c r="T47" s="64" t="str">
        <f>IF(N47=CURSOS!$D$3,"DIPLOMADO EN ATENCION PRE-HOSPITALARIA",IF(N47=CURSOS!$D$4,"ACOMPAÑAMIENTO Y MANEJO DEL DUELO",IF(N47=CURSOS!$D$5,"ATENCION A VICTIMAS DE ATAQUE CON AGENTES QUIMICOS ",IF(N47=CURSOS!$D$6,"PRIMEROS AUXILIOS ",IF(N47=CURSOS!$D$7,"DIPLOMADO DE UNIDAD DE CUIDADOS INTENSIVOS (UCI)",IF(N47=CURSOS!$D$8,"MODELO DE ATENCION PARA EVENTOS EMERGENTES EN SALUD MENTAL (CODIGO VERDE)",IF(N47=CURSOS!$D$9,"HUMANIZACION EN SALUD, BUENAS PRACTICAS EN PACIENTE ",IF(N47=CURSOS!$D$10,"CLINICA DE HERIDAS ",IF(N47=CURSOS!$D$11,"TOMA DE CITOLOGIA A CERVICO VAGINAL ",IF(N47=CURSOS!$D$12,"SOPORTE CARDIOVASCULAR AVANZADO ",IF(N47=CURSOS!$D$13,"CAMILLERO ",IF(N47=CURSOS!$D$14,"TOMA MUESTRAS Y LABORATORIO ",IF(N47=CURSOS!$D$15,"SOPORTE VITAL BASICO (BLS)",IF(N47=CURSOS!$D$16,"ATENCION A VICTIMAS DE VIOLENCIA SEXUAL ",IF(N47=CURSOS!$D$17,"PROGRAMADO AMPLIADO DE INMUNIZACION (PAI - COVID 19)",IF(N47=CURSOS!$D$18,"ATENCION INTEGRAL EN ENFERMEDADES PREVALENTES EN PRIMERA INFANCIA (AIEPI)",IF(N47=CURSOS!$D$19,"ADMINISTRACION DE MEDICAMENTOS, IYECTOLOGIA  Y CANALIZACION ",IF(N47=CURSOS!$D$20,"OPERADOR DE VEHICULOS DE EMERGENCIA (OVE)",IF(N47=CURSOS!$D$21,"INSTITUCIONES AMIGAS DE LA MUJER Y LA INFANCIA (IAMI)",IF(N47=CURSOS!$D$22,"CUIDADO DEL DONANTE DE ORGANOS",IF(N47=CURSOS!$D$23,"ATENCION A VICTIMAS POR VIOLENCIA DE GENERO",IF(N47=CURSOS!$D$24,"IGUALDAD DE GENERO EN LA SALUD",IF(N47=CURSOS!$D$25,"BRIGADA DE EMERGENCIA",IF(N47=CURSOS!$D$26,"MANEJO DEL DOLOR Y CUIDADOS PALIATIVOS",IF(N47=CURSOS!$D$27,"TOMA MUESTRAS Y LABORATORIO POCT",IF(N47=CURSOS!$D$28,"IMPLANTE SUBDERMICO Y DISPOSITIVO INTRAUTERINO",IF(N47=CURSOS!$D$29,"SALUD MENTAL",IF(N47=CURSOS!$D$30,"PRIMEROS AUXILIOS PSICOLOGICOS",IF(N47=CURSOS!$D$31,"ATENCION A VICTIMAS POR CONFLICTO ARMADO",IF(N47=CURSOS!$D$32,"MANIPULACION DE ALIMENTOS Y BPM",IF(N47=CURSOS!$D$33,"ATENCION A PERSONAS CON DISCAPACIDAD",IF(N47=CURSOS!$D$34,"CUIDADO INTEGRAL DEL PACIENTE ADULTO"))))))))))))))))))))))))))))))))</f>
        <v>ACOMPAÑAMIENTO Y MANEJO DEL DUELO</v>
      </c>
      <c r="U47" s="64" t="str">
        <f t="shared" si="3"/>
        <v>Edwin  Castro Calzada</v>
      </c>
      <c r="V47" s="64" t="str">
        <f t="shared" si="4"/>
        <v>Edwin  Castro Calzada</v>
      </c>
      <c r="W47" s="64" t="str">
        <f t="shared" si="5"/>
        <v>Edwin  Castro Calzada-1069721933-DUELO</v>
      </c>
    </row>
    <row r="48" spans="1:23" s="21" customFormat="1" x14ac:dyDescent="0.2">
      <c r="A48" s="94">
        <v>47</v>
      </c>
      <c r="B48" s="62">
        <v>1069721933</v>
      </c>
      <c r="C48" s="19" t="s">
        <v>262</v>
      </c>
      <c r="D48" s="19" t="s">
        <v>263</v>
      </c>
      <c r="E48" s="19" t="s">
        <v>264</v>
      </c>
      <c r="F48" s="19"/>
      <c r="G48" s="16">
        <v>11</v>
      </c>
      <c r="H48" s="16" t="s">
        <v>90</v>
      </c>
      <c r="I48" s="18"/>
      <c r="J48" s="22">
        <v>30000</v>
      </c>
      <c r="K48" s="16" t="s">
        <v>229</v>
      </c>
      <c r="L48" s="16" t="s">
        <v>92</v>
      </c>
      <c r="M48" s="16" t="s">
        <v>205</v>
      </c>
      <c r="N48" s="17" t="s">
        <v>25</v>
      </c>
      <c r="O48" s="20">
        <v>31378</v>
      </c>
      <c r="P48" s="19" t="s">
        <v>94</v>
      </c>
      <c r="Q48" s="82" t="s">
        <v>117</v>
      </c>
      <c r="R48" s="19">
        <v>3183825427</v>
      </c>
      <c r="S48" s="19" t="s">
        <v>265</v>
      </c>
      <c r="T48" s="64" t="str">
        <f>IF(N48=CURSOS!$D$3,"DIPLOMADO EN ATENCION PRE-HOSPITALARIA",IF(N48=CURSOS!$D$4,"ACOMPAÑAMIENTO Y MANEJO DEL DUELO",IF(N48=CURSOS!$D$5,"ATENCION A VICTIMAS DE ATAQUE CON AGENTES QUIMICOS ",IF(N48=CURSOS!$D$6,"PRIMEROS AUXILIOS ",IF(N48=CURSOS!$D$7,"DIPLOMADO DE UNIDAD DE CUIDADOS INTENSIVOS (UCI)",IF(N48=CURSOS!$D$8,"MODELO DE ATENCION PARA EVENTOS EMERGENTES EN SALUD MENTAL (CODIGO VERDE)",IF(N48=CURSOS!$D$9,"HUMANIZACION EN SALUD, BUENAS PRACTICAS EN PACIENTE ",IF(N48=CURSOS!$D$10,"CLINICA DE HERIDAS ",IF(N48=CURSOS!$D$11,"TOMA DE CITOLOGIA A CERVICO VAGINAL ",IF(N48=CURSOS!$D$12,"SOPORTE CARDIOVASCULAR AVANZADO ",IF(N48=CURSOS!$D$13,"CAMILLERO ",IF(N48=CURSOS!$D$14,"TOMA MUESTRAS Y LABORATORIO ",IF(N48=CURSOS!$D$15,"SOPORTE VITAL BASICO (BLS)",IF(N48=CURSOS!$D$16,"ATENCION A VICTIMAS DE VIOLENCIA SEXUAL ",IF(N48=CURSOS!$D$17,"PROGRAMADO AMPLIADO DE INMUNIZACION (PAI - COVID 19)",IF(N48=CURSOS!$D$18,"ATENCION INTEGRAL EN ENFERMEDADES PREVALENTES EN PRIMERA INFANCIA (AIEPI)",IF(N48=CURSOS!$D$19,"ADMINISTRACION DE MEDICAMENTOS, IYECTOLOGIA  Y CANALIZACION ",IF(N48=CURSOS!$D$20,"OPERADOR DE VEHICULOS DE EMERGENCIA (OVE)",IF(N48=CURSOS!$D$21,"INSTITUCIONES AMIGAS DE LA MUJER Y LA INFANCIA (IAMI)",IF(N48=CURSOS!$D$22,"CUIDADO DEL DONANTE DE ORGANOS",IF(N48=CURSOS!$D$23,"ATENCION A VICTIMAS POR VIOLENCIA DE GENERO",IF(N48=CURSOS!$D$24,"IGUALDAD DE GENERO EN LA SALUD",IF(N48=CURSOS!$D$25,"BRIGADA DE EMERGENCIA",IF(N48=CURSOS!$D$26,"MANEJO DEL DOLOR Y CUIDADOS PALIATIVOS",IF(N48=CURSOS!$D$27,"TOMA MUESTRAS Y LABORATORIO POCT",IF(N48=CURSOS!$D$28,"IMPLANTE SUBDERMICO Y DISPOSITIVO INTRAUTERINO",IF(N48=CURSOS!$D$29,"SALUD MENTAL",IF(N48=CURSOS!$D$30,"PRIMEROS AUXILIOS PSICOLOGICOS",IF(N48=CURSOS!$D$31,"ATENCION A VICTIMAS POR CONFLICTO ARMADO",IF(N48=CURSOS!$D$32,"MANIPULACION DE ALIMENTOS Y BPM",IF(N48=CURSOS!$D$33,"ATENCION A PERSONAS CON DISCAPACIDAD",IF(N48=CURSOS!$D$34,"CUIDADO INTEGRAL DEL PACIENTE ADULTO"))))))))))))))))))))))))))))))))</f>
        <v xml:space="preserve">ATENCION A VICTIMAS DE ATAQUE CON AGENTES QUIMICOS </v>
      </c>
      <c r="U48" s="64" t="str">
        <f t="shared" si="3"/>
        <v>Edwin  Castro Calzada</v>
      </c>
      <c r="V48" s="64" t="str">
        <f t="shared" si="4"/>
        <v>Edwin  Castro Calzada</v>
      </c>
      <c r="W48" s="64" t="str">
        <f t="shared" si="5"/>
        <v>Edwin  Castro Calzada-1069721933-QUIMICOS</v>
      </c>
    </row>
    <row r="49" spans="1:23" s="21" customFormat="1" x14ac:dyDescent="0.2">
      <c r="A49" s="94">
        <v>48</v>
      </c>
      <c r="B49" s="62">
        <v>1061794220</v>
      </c>
      <c r="C49" s="19" t="s">
        <v>200</v>
      </c>
      <c r="D49" s="19" t="s">
        <v>266</v>
      </c>
      <c r="E49" s="19" t="s">
        <v>250</v>
      </c>
      <c r="F49" s="19" t="s">
        <v>267</v>
      </c>
      <c r="G49" s="16">
        <v>11</v>
      </c>
      <c r="H49" s="16" t="s">
        <v>90</v>
      </c>
      <c r="I49" s="18">
        <v>45454</v>
      </c>
      <c r="J49" s="22">
        <v>40000</v>
      </c>
      <c r="K49" s="16" t="s">
        <v>229</v>
      </c>
      <c r="L49" s="16" t="s">
        <v>101</v>
      </c>
      <c r="M49" s="16" t="s">
        <v>93</v>
      </c>
      <c r="N49" s="17" t="s">
        <v>46</v>
      </c>
      <c r="O49" s="20">
        <v>35313</v>
      </c>
      <c r="P49" s="19" t="s">
        <v>108</v>
      </c>
      <c r="Q49" s="82" t="s">
        <v>117</v>
      </c>
      <c r="R49" s="19">
        <v>3103603640</v>
      </c>
      <c r="S49" s="19" t="s">
        <v>268</v>
      </c>
      <c r="T49" s="64" t="str">
        <f>IF(N49=CURSOS!$D$3,"DIPLOMADO EN ATENCION PRE-HOSPITALARIA",IF(N49=CURSOS!$D$4,"ACOMPAÑAMIENTO Y MANEJO DEL DUELO",IF(N49=CURSOS!$D$5,"ATENCION A VICTIMAS DE ATAQUE CON AGENTES QUIMICOS ",IF(N49=CURSOS!$D$6,"PRIMEROS AUXILIOS ",IF(N49=CURSOS!$D$7,"DIPLOMADO DE UNIDAD DE CUIDADOS INTENSIVOS (UCI)",IF(N49=CURSOS!$D$8,"MODELO DE ATENCION PARA EVENTOS EMERGENTES EN SALUD MENTAL (CODIGO VERDE)",IF(N49=CURSOS!$D$9,"HUMANIZACION EN SALUD, BUENAS PRACTICAS EN PACIENTE ",IF(N49=CURSOS!$D$10,"CLINICA DE HERIDAS ",IF(N49=CURSOS!$D$11,"TOMA DE CITOLOGIA A CERVICO VAGINAL ",IF(N49=CURSOS!$D$12,"SOPORTE CARDIOVASCULAR AVANZADO ",IF(N49=CURSOS!$D$13,"CAMILLERO ",IF(N49=CURSOS!$D$14,"TOMA MUESTRAS Y LABORATORIO ",IF(N49=CURSOS!$D$15,"SOPORTE VITAL BASICO (BLS)",IF(N49=CURSOS!$D$16,"ATENCION A VICTIMAS DE VIOLENCIA SEXUAL ",IF(N49=CURSOS!$D$17,"PROGRAMADO AMPLIADO DE INMUNIZACION (PAI - COVID 19)",IF(N49=CURSOS!$D$18,"ATENCION INTEGRAL EN ENFERMEDADES PREVALENTES EN PRIMERA INFANCIA (AIEPI)",IF(N49=CURSOS!$D$19,"ADMINISTRACION DE MEDICAMENTOS, IYECTOLOGIA  Y CANALIZACION ",IF(N49=CURSOS!$D$20,"OPERADOR DE VEHICULOS DE EMERGENCIA (OVE)",IF(N49=CURSOS!$D$21,"INSTITUCIONES AMIGAS DE LA MUJER Y LA INFANCIA (IAMI)",IF(N49=CURSOS!$D$22,"CUIDADO DEL DONANTE DE ORGANOS",IF(N49=CURSOS!$D$23,"ATENCION A VICTIMAS POR VIOLENCIA DE GENERO",IF(N49=CURSOS!$D$24,"IGUALDAD DE GENERO EN LA SALUD",IF(N49=CURSOS!$D$25,"BRIGADA DE EMERGENCIA",IF(N49=CURSOS!$D$26,"MANEJO DEL DOLOR Y CUIDADOS PALIATIVOS",IF(N49=CURSOS!$D$27,"TOMA MUESTRAS Y LABORATORIO POCT",IF(N49=CURSOS!$D$28,"IMPLANTE SUBDERMICO Y DISPOSITIVO INTRAUTERINO",IF(N49=CURSOS!$D$29,"SALUD MENTAL",IF(N49=CURSOS!$D$30,"PRIMEROS AUXILIOS PSICOLOGICOS",IF(N49=CURSOS!$D$31,"ATENCION A VICTIMAS POR CONFLICTO ARMADO",IF(N49=CURSOS!$D$32,"MANIPULACION DE ALIMENTOS Y BPM",IF(N49=CURSOS!$D$33,"ATENCION A PERSONAS CON DISCAPACIDAD",IF(N49=CURSOS!$D$34,"CUIDADO INTEGRAL DEL PACIENTE ADULTO"))))))))))))))))))))))))))))))))</f>
        <v xml:space="preserve">ATENCION A VICTIMAS DE VIOLENCIA SEXUAL </v>
      </c>
      <c r="U49" s="64" t="str">
        <f t="shared" si="3"/>
        <v>Jessica Vannesa Diaz Santacruz</v>
      </c>
      <c r="V49" s="64" t="str">
        <f t="shared" si="4"/>
        <v>Jessica Vannesa Diaz Santacruz</v>
      </c>
      <c r="W49" s="64" t="str">
        <f t="shared" si="5"/>
        <v>Jessica Vannesa Diaz Santacruz-1061794220-VIOLENCIA SEXUAL</v>
      </c>
    </row>
    <row r="50" spans="1:23" s="21" customFormat="1" x14ac:dyDescent="0.2">
      <c r="A50" s="94">
        <v>49</v>
      </c>
      <c r="B50" s="62">
        <v>1128884016</v>
      </c>
      <c r="C50" s="19" t="s">
        <v>269</v>
      </c>
      <c r="D50" s="19" t="s">
        <v>270</v>
      </c>
      <c r="E50" s="19" t="s">
        <v>271</v>
      </c>
      <c r="F50" s="19" t="s">
        <v>218</v>
      </c>
      <c r="G50" s="16">
        <v>11</v>
      </c>
      <c r="H50" s="16" t="s">
        <v>90</v>
      </c>
      <c r="I50" s="18">
        <v>45454</v>
      </c>
      <c r="J50" s="22">
        <v>30000</v>
      </c>
      <c r="K50" s="16" t="s">
        <v>443</v>
      </c>
      <c r="L50" s="16" t="s">
        <v>101</v>
      </c>
      <c r="M50" s="16" t="s">
        <v>119</v>
      </c>
      <c r="N50" s="17" t="s">
        <v>19</v>
      </c>
      <c r="O50" s="20">
        <v>37921</v>
      </c>
      <c r="P50" s="19" t="s">
        <v>94</v>
      </c>
      <c r="Q50" s="82" t="s">
        <v>117</v>
      </c>
      <c r="R50" s="19">
        <v>3146947851</v>
      </c>
      <c r="S50" s="19" t="s">
        <v>272</v>
      </c>
      <c r="T50" s="64" t="str">
        <f>IF(N50=CURSOS!$D$3,"DIPLOMADO EN ATENCION PRE-HOSPITALARIA",IF(N50=CURSOS!$D$4,"ACOMPAÑAMIENTO Y MANEJO DEL DUELO",IF(N50=CURSOS!$D$5,"ATENCION A VICTIMAS DE ATAQUE CON AGENTES QUIMICOS ",IF(N50=CURSOS!$D$6,"PRIMEROS AUXILIOS ",IF(N50=CURSOS!$D$7,"DIPLOMADO DE UNIDAD DE CUIDADOS INTENSIVOS (UCI)",IF(N50=CURSOS!$D$8,"MODELO DE ATENCION PARA EVENTOS EMERGENTES EN SALUD MENTAL (CODIGO VERDE)",IF(N50=CURSOS!$D$9,"HUMANIZACION EN SALUD, BUENAS PRACTICAS EN PACIENTE ",IF(N50=CURSOS!$D$10,"CLINICA DE HERIDAS ",IF(N50=CURSOS!$D$11,"TOMA DE CITOLOGIA A CERVICO VAGINAL ",IF(N50=CURSOS!$D$12,"SOPORTE CARDIOVASCULAR AVANZADO ",IF(N50=CURSOS!$D$13,"CAMILLERO ",IF(N50=CURSOS!$D$14,"TOMA MUESTRAS Y LABORATORIO ",IF(N50=CURSOS!$D$15,"SOPORTE VITAL BASICO (BLS)",IF(N50=CURSOS!$D$16,"ATENCION A VICTIMAS DE VIOLENCIA SEXUAL ",IF(N50=CURSOS!$D$17,"PROGRAMADO AMPLIADO DE INMUNIZACION (PAI - COVID 19)",IF(N50=CURSOS!$D$18,"ATENCION INTEGRAL EN ENFERMEDADES PREVALENTES EN PRIMERA INFANCIA (AIEPI)",IF(N50=CURSOS!$D$19,"ADMINISTRACION DE MEDICAMENTOS, IYECTOLOGIA  Y CANALIZACION ",IF(N50=CURSOS!$D$20,"OPERADOR DE VEHICULOS DE EMERGENCIA (OVE)",IF(N50=CURSOS!$D$21,"INSTITUCIONES AMIGAS DE LA MUJER Y LA INFANCIA (IAMI)",IF(N50=CURSOS!$D$22,"CUIDADO DEL DONANTE DE ORGANOS",IF(N50=CURSOS!$D$23,"ATENCION A VICTIMAS POR VIOLENCIA DE GENERO",IF(N50=CURSOS!$D$24,"IGUALDAD DE GENERO EN LA SALUD",IF(N50=CURSOS!$D$25,"BRIGADA DE EMERGENCIA",IF(N50=CURSOS!$D$26,"MANEJO DEL DOLOR Y CUIDADOS PALIATIVOS",IF(N50=CURSOS!$D$27,"TOMA MUESTRAS Y LABORATORIO POCT",IF(N50=CURSOS!$D$28,"IMPLANTE SUBDERMICO Y DISPOSITIVO INTRAUTERINO",IF(N50=CURSOS!$D$29,"SALUD MENTAL",IF(N50=CURSOS!$D$30,"PRIMEROS AUXILIOS PSICOLOGICOS",IF(N50=CURSOS!$D$31,"ATENCION A VICTIMAS POR CONFLICTO ARMADO",IF(N50=CURSOS!$D$32,"MANIPULACION DE ALIMENTOS Y BPM",IF(N50=CURSOS!$D$33,"ATENCION A PERSONAS CON DISCAPACIDAD",IF(N50=CURSOS!$D$34,"CUIDADO INTEGRAL DEL PACIENTE ADULTO"))))))))))))))))))))))))))))))))</f>
        <v>SOPORTE VITAL BASICO (BLS)</v>
      </c>
      <c r="U50" s="64" t="str">
        <f t="shared" si="3"/>
        <v>Brayan Alexis Chávez Ordóñez</v>
      </c>
      <c r="V50" s="64" t="str">
        <f t="shared" si="4"/>
        <v>Brayan Alexis Chávez Ordóñez</v>
      </c>
      <c r="W50" s="64" t="str">
        <f t="shared" si="5"/>
        <v>Brayan Alexis Chávez Ordóñez-1128884016-BLS</v>
      </c>
    </row>
    <row r="51" spans="1:23" s="21" customFormat="1" x14ac:dyDescent="0.2">
      <c r="A51" s="94">
        <v>50</v>
      </c>
      <c r="B51" s="62">
        <v>1085336447</v>
      </c>
      <c r="C51" s="19" t="s">
        <v>181</v>
      </c>
      <c r="D51" s="19" t="s">
        <v>182</v>
      </c>
      <c r="E51" s="19" t="s">
        <v>179</v>
      </c>
      <c r="F51" s="19" t="s">
        <v>180</v>
      </c>
      <c r="G51" s="16">
        <v>12</v>
      </c>
      <c r="H51" s="16" t="s">
        <v>90</v>
      </c>
      <c r="I51" s="18">
        <v>45455</v>
      </c>
      <c r="J51" s="22">
        <v>75000</v>
      </c>
      <c r="K51" s="16" t="s">
        <v>91</v>
      </c>
      <c r="L51" s="16" t="s">
        <v>101</v>
      </c>
      <c r="M51" s="16" t="s">
        <v>93</v>
      </c>
      <c r="N51" s="17" t="s">
        <v>39</v>
      </c>
      <c r="O51" s="20">
        <v>35674</v>
      </c>
      <c r="P51" s="19" t="s">
        <v>108</v>
      </c>
      <c r="Q51" s="82" t="s">
        <v>117</v>
      </c>
      <c r="R51" s="19">
        <v>3145522200</v>
      </c>
      <c r="S51" s="19" t="s">
        <v>184</v>
      </c>
      <c r="T51" s="64" t="str">
        <f>IF(N51=CURSOS!$D$3,"DIPLOMADO EN ATENCION PRE-HOSPITALARIA",IF(N51=CURSOS!$D$4,"ACOMPAÑAMIENTO Y MANEJO DEL DUELO",IF(N51=CURSOS!$D$5,"ATENCION A VICTIMAS DE ATAQUE CON AGENTES QUIMICOS ",IF(N51=CURSOS!$D$6,"PRIMEROS AUXILIOS ",IF(N51=CURSOS!$D$7,"DIPLOMADO DE UNIDAD DE CUIDADOS INTENSIVOS (UCI)",IF(N51=CURSOS!$D$8,"MODELO DE ATENCION PARA EVENTOS EMERGENTES EN SALUD MENTAL (CODIGO VERDE)",IF(N51=CURSOS!$D$9,"HUMANIZACION EN SALUD, BUENAS PRACTICAS EN PACIENTE ",IF(N51=CURSOS!$D$10,"CLINICA DE HERIDAS ",IF(N51=CURSOS!$D$11,"TOMA DE CITOLOGIA A CERVICO VAGINAL ",IF(N51=CURSOS!$D$12,"SOPORTE CARDIOVASCULAR AVANZADO ",IF(N51=CURSOS!$D$13,"CAMILLERO ",IF(N51=CURSOS!$D$14,"TOMA MUESTRAS Y LABORATORIO ",IF(N51=CURSOS!$D$15,"SOPORTE VITAL BASICO (BLS)",IF(N51=CURSOS!$D$16,"ATENCION A VICTIMAS DE VIOLENCIA SEXUAL ",IF(N51=CURSOS!$D$17,"PROGRAMADO AMPLIADO DE INMUNIZACION (PAI - COVID 19)",IF(N51=CURSOS!$D$18,"ATENCION INTEGRAL EN ENFERMEDADES PREVALENTES EN PRIMERA INFANCIA (AIEPI)",IF(N51=CURSOS!$D$19,"ADMINISTRACION DE MEDICAMENTOS, IYECTOLOGIA  Y CANALIZACION ",IF(N51=CURSOS!$D$20,"OPERADOR DE VEHICULOS DE EMERGENCIA (OVE)",IF(N51=CURSOS!$D$21,"INSTITUCIONES AMIGAS DE LA MUJER Y LA INFANCIA (IAMI)",IF(N51=CURSOS!$D$22,"CUIDADO DEL DONANTE DE ORGANOS",IF(N51=CURSOS!$D$23,"ATENCION A VICTIMAS POR VIOLENCIA DE GENERO",IF(N51=CURSOS!$D$24,"IGUALDAD DE GENERO EN LA SALUD",IF(N51=CURSOS!$D$25,"BRIGADA DE EMERGENCIA",IF(N51=CURSOS!$D$26,"MANEJO DEL DOLOR Y CUIDADOS PALIATIVOS",IF(N51=CURSOS!$D$27,"TOMA MUESTRAS Y LABORATORIO POCT",IF(N51=CURSOS!$D$28,"IMPLANTE SUBDERMICO Y DISPOSITIVO INTRAUTERINO",IF(N51=CURSOS!$D$29,"SALUD MENTAL",IF(N51=CURSOS!$D$30,"PRIMEROS AUXILIOS PSICOLOGICOS",IF(N51=CURSOS!$D$31,"ATENCION A VICTIMAS POR CONFLICTO ARMADO",IF(N51=CURSOS!$D$32,"MANIPULACION DE ALIMENTOS Y BPM",IF(N51=CURSOS!$D$33,"ATENCION A PERSONAS CON DISCAPACIDAD",IF(N51=CURSOS!$D$34,"CUIDADO INTEGRAL DEL PACIENTE ADULTO"))))))))))))))))))))))))))))))))</f>
        <v xml:space="preserve">SOPORTE CARDIOVASCULAR AVANZADO </v>
      </c>
      <c r="U51" s="64" t="str">
        <f t="shared" si="3"/>
        <v>Diana Bridgeth Araujo Perez</v>
      </c>
      <c r="V51" s="64" t="str">
        <f t="shared" si="4"/>
        <v>Diana Bridgeth Araujo Perez</v>
      </c>
      <c r="W51" s="64" t="str">
        <f t="shared" si="5"/>
        <v>Diana Bridgeth Araujo Perez-1085336447-ACLS</v>
      </c>
    </row>
    <row r="52" spans="1:23" s="21" customFormat="1" x14ac:dyDescent="0.2">
      <c r="A52" s="94">
        <v>51</v>
      </c>
      <c r="B52" s="62">
        <v>1085336447</v>
      </c>
      <c r="C52" s="19" t="s">
        <v>181</v>
      </c>
      <c r="D52" s="19" t="s">
        <v>182</v>
      </c>
      <c r="E52" s="19" t="s">
        <v>179</v>
      </c>
      <c r="F52" s="19" t="s">
        <v>180</v>
      </c>
      <c r="G52" s="16">
        <v>12</v>
      </c>
      <c r="H52" s="16" t="s">
        <v>90</v>
      </c>
      <c r="I52" s="18">
        <v>45455</v>
      </c>
      <c r="J52" s="22">
        <v>25000</v>
      </c>
      <c r="K52" s="16" t="s">
        <v>91</v>
      </c>
      <c r="L52" s="16" t="s">
        <v>101</v>
      </c>
      <c r="M52" s="16" t="s">
        <v>93</v>
      </c>
      <c r="N52" s="17" t="s">
        <v>64</v>
      </c>
      <c r="O52" s="20">
        <v>35674</v>
      </c>
      <c r="P52" s="19" t="s">
        <v>108</v>
      </c>
      <c r="Q52" s="82" t="s">
        <v>117</v>
      </c>
      <c r="R52" s="19">
        <v>3145522200</v>
      </c>
      <c r="S52" s="19" t="s">
        <v>184</v>
      </c>
      <c r="T52" s="64" t="str">
        <f>IF(N52=CURSOS!$D$3,"DIPLOMADO EN ATENCION PRE-HOSPITALARIA",IF(N52=CURSOS!$D$4,"ACOMPAÑAMIENTO Y MANEJO DEL DUELO",IF(N52=CURSOS!$D$5,"ATENCION A VICTIMAS DE ATAQUE CON AGENTES QUIMICOS ",IF(N52=CURSOS!$D$6,"PRIMEROS AUXILIOS ",IF(N52=CURSOS!$D$7,"DIPLOMADO DE UNIDAD DE CUIDADOS INTENSIVOS (UCI)",IF(N52=CURSOS!$D$8,"MODELO DE ATENCION PARA EVENTOS EMERGENTES EN SALUD MENTAL (CODIGO VERDE)",IF(N52=CURSOS!$D$9,"HUMANIZACION EN SALUD, BUENAS PRACTICAS EN PACIENTE ",IF(N52=CURSOS!$D$10,"CLINICA DE HERIDAS ",IF(N52=CURSOS!$D$11,"TOMA DE CITOLOGIA A CERVICO VAGINAL ",IF(N52=CURSOS!$D$12,"SOPORTE CARDIOVASCULAR AVANZADO ",IF(N52=CURSOS!$D$13,"CAMILLERO ",IF(N52=CURSOS!$D$14,"TOMA MUESTRAS Y LABORATORIO ",IF(N52=CURSOS!$D$15,"SOPORTE VITAL BASICO (BLS)",IF(N52=CURSOS!$D$16,"ATENCION A VICTIMAS DE VIOLENCIA SEXUAL ",IF(N52=CURSOS!$D$17,"PROGRAMADO AMPLIADO DE INMUNIZACION (PAI - COVID 19)",IF(N52=CURSOS!$D$18,"ATENCION INTEGRAL EN ENFERMEDADES PREVALENTES EN PRIMERA INFANCIA (AIEPI)",IF(N52=CURSOS!$D$19,"ADMINISTRACION DE MEDICAMENTOS, IYECTOLOGIA  Y CANALIZACION ",IF(N52=CURSOS!$D$20,"OPERADOR DE VEHICULOS DE EMERGENCIA (OVE)",IF(N52=CURSOS!$D$21,"INSTITUCIONES AMIGAS DE LA MUJER Y LA INFANCIA (IAMI)",IF(N52=CURSOS!$D$22,"CUIDADO DEL DONANTE DE ORGANOS",IF(N52=CURSOS!$D$23,"ATENCION A VICTIMAS POR VIOLENCIA DE GENERO",IF(N52=CURSOS!$D$24,"IGUALDAD DE GENERO EN LA SALUD",IF(N52=CURSOS!$D$25,"BRIGADA DE EMERGENCIA",IF(N52=CURSOS!$D$26,"MANEJO DEL DOLOR Y CUIDADOS PALIATIVOS",IF(N52=CURSOS!$D$27,"TOMA MUESTRAS Y LABORATORIO POCT",IF(N52=CURSOS!$D$28,"IMPLANTE SUBDERMICO Y DISPOSITIVO INTRAUTERINO",IF(N52=CURSOS!$D$29,"SALUD MENTAL",IF(N52=CURSOS!$D$30,"PRIMEROS AUXILIOS PSICOLOGICOS",IF(N52=CURSOS!$D$31,"ATENCION A VICTIMAS POR CONFLICTO ARMADO",IF(N52=CURSOS!$D$32,"MANIPULACION DE ALIMENTOS Y BPM",IF(N52=CURSOS!$D$33,"ATENCION A PERSONAS CON DISCAPACIDAD",IF(N52=CURSOS!$D$34,"CUIDADO INTEGRAL DEL PACIENTE ADULTO"))))))))))))))))))))))))))))))))</f>
        <v>MANEJO DEL DOLOR Y CUIDADOS PALIATIVOS</v>
      </c>
      <c r="U52" s="64" t="str">
        <f t="shared" si="3"/>
        <v>Diana Bridgeth Araujo Perez</v>
      </c>
      <c r="V52" s="64" t="str">
        <f t="shared" si="4"/>
        <v>Diana Bridgeth Araujo Perez</v>
      </c>
      <c r="W52" s="64" t="str">
        <f t="shared" si="5"/>
        <v>Diana Bridgeth Araujo Perez-1085336447-PALIATIVOS</v>
      </c>
    </row>
    <row r="53" spans="1:23" s="21" customFormat="1" x14ac:dyDescent="0.2">
      <c r="A53" s="94">
        <v>52</v>
      </c>
      <c r="B53" s="62">
        <v>1085336447</v>
      </c>
      <c r="C53" s="19" t="s">
        <v>181</v>
      </c>
      <c r="D53" s="19" t="s">
        <v>182</v>
      </c>
      <c r="E53" s="19" t="s">
        <v>179</v>
      </c>
      <c r="F53" s="19" t="s">
        <v>180</v>
      </c>
      <c r="G53" s="16">
        <v>12</v>
      </c>
      <c r="H53" s="16" t="s">
        <v>90</v>
      </c>
      <c r="I53" s="18">
        <v>45455</v>
      </c>
      <c r="J53" s="22">
        <v>25000</v>
      </c>
      <c r="K53" s="16" t="s">
        <v>91</v>
      </c>
      <c r="L53" s="16" t="s">
        <v>101</v>
      </c>
      <c r="M53" s="16" t="s">
        <v>93</v>
      </c>
      <c r="N53" s="17" t="s">
        <v>46</v>
      </c>
      <c r="O53" s="20">
        <v>35674</v>
      </c>
      <c r="P53" s="19" t="s">
        <v>108</v>
      </c>
      <c r="Q53" s="82" t="s">
        <v>117</v>
      </c>
      <c r="R53" s="19">
        <v>3145522200</v>
      </c>
      <c r="S53" s="19" t="s">
        <v>184</v>
      </c>
      <c r="T53" s="64" t="str">
        <f>IF(N53=CURSOS!$D$3,"DIPLOMADO EN ATENCION PRE-HOSPITALARIA",IF(N53=CURSOS!$D$4,"ACOMPAÑAMIENTO Y MANEJO DEL DUELO",IF(N53=CURSOS!$D$5,"ATENCION A VICTIMAS DE ATAQUE CON AGENTES QUIMICOS ",IF(N53=CURSOS!$D$6,"PRIMEROS AUXILIOS ",IF(N53=CURSOS!$D$7,"DIPLOMADO DE UNIDAD DE CUIDADOS INTENSIVOS (UCI)",IF(N53=CURSOS!$D$8,"MODELO DE ATENCION PARA EVENTOS EMERGENTES EN SALUD MENTAL (CODIGO VERDE)",IF(N53=CURSOS!$D$9,"HUMANIZACION EN SALUD, BUENAS PRACTICAS EN PACIENTE ",IF(N53=CURSOS!$D$10,"CLINICA DE HERIDAS ",IF(N53=CURSOS!$D$11,"TOMA DE CITOLOGIA A CERVICO VAGINAL ",IF(N53=CURSOS!$D$12,"SOPORTE CARDIOVASCULAR AVANZADO ",IF(N53=CURSOS!$D$13,"CAMILLERO ",IF(N53=CURSOS!$D$14,"TOMA MUESTRAS Y LABORATORIO ",IF(N53=CURSOS!$D$15,"SOPORTE VITAL BASICO (BLS)",IF(N53=CURSOS!$D$16,"ATENCION A VICTIMAS DE VIOLENCIA SEXUAL ",IF(N53=CURSOS!$D$17,"PROGRAMADO AMPLIADO DE INMUNIZACION (PAI - COVID 19)",IF(N53=CURSOS!$D$18,"ATENCION INTEGRAL EN ENFERMEDADES PREVALENTES EN PRIMERA INFANCIA (AIEPI)",IF(N53=CURSOS!$D$19,"ADMINISTRACION DE MEDICAMENTOS, IYECTOLOGIA  Y CANALIZACION ",IF(N53=CURSOS!$D$20,"OPERADOR DE VEHICULOS DE EMERGENCIA (OVE)",IF(N53=CURSOS!$D$21,"INSTITUCIONES AMIGAS DE LA MUJER Y LA INFANCIA (IAMI)",IF(N53=CURSOS!$D$22,"CUIDADO DEL DONANTE DE ORGANOS",IF(N53=CURSOS!$D$23,"ATENCION A VICTIMAS POR VIOLENCIA DE GENERO",IF(N53=CURSOS!$D$24,"IGUALDAD DE GENERO EN LA SALUD",IF(N53=CURSOS!$D$25,"BRIGADA DE EMERGENCIA",IF(N53=CURSOS!$D$26,"MANEJO DEL DOLOR Y CUIDADOS PALIATIVOS",IF(N53=CURSOS!$D$27,"TOMA MUESTRAS Y LABORATORIO POCT",IF(N53=CURSOS!$D$28,"IMPLANTE SUBDERMICO Y DISPOSITIVO INTRAUTERINO",IF(N53=CURSOS!$D$29,"SALUD MENTAL",IF(N53=CURSOS!$D$30,"PRIMEROS AUXILIOS PSICOLOGICOS",IF(N53=CURSOS!$D$31,"ATENCION A VICTIMAS POR CONFLICTO ARMADO",IF(N53=CURSOS!$D$32,"MANIPULACION DE ALIMENTOS Y BPM",IF(N53=CURSOS!$D$33,"ATENCION A PERSONAS CON DISCAPACIDAD",IF(N53=CURSOS!$D$34,"CUIDADO INTEGRAL DEL PACIENTE ADULTO"))))))))))))))))))))))))))))))))</f>
        <v xml:space="preserve">ATENCION A VICTIMAS DE VIOLENCIA SEXUAL </v>
      </c>
      <c r="U53" s="64" t="str">
        <f t="shared" si="3"/>
        <v>Diana Bridgeth Araujo Perez</v>
      </c>
      <c r="V53" s="64" t="str">
        <f t="shared" si="4"/>
        <v>Diana Bridgeth Araujo Perez</v>
      </c>
      <c r="W53" s="64" t="str">
        <f t="shared" si="5"/>
        <v>Diana Bridgeth Araujo Perez-1085336447-VIOLENCIA SEXUAL</v>
      </c>
    </row>
    <row r="54" spans="1:23" s="21" customFormat="1" x14ac:dyDescent="0.2">
      <c r="A54" s="94">
        <v>53</v>
      </c>
      <c r="B54" s="62">
        <v>1085336447</v>
      </c>
      <c r="C54" s="19" t="s">
        <v>181</v>
      </c>
      <c r="D54" s="19" t="s">
        <v>182</v>
      </c>
      <c r="E54" s="19" t="s">
        <v>179</v>
      </c>
      <c r="F54" s="19" t="s">
        <v>180</v>
      </c>
      <c r="G54" s="16">
        <v>12</v>
      </c>
      <c r="H54" s="16" t="s">
        <v>90</v>
      </c>
      <c r="I54" s="18">
        <v>45455</v>
      </c>
      <c r="J54" s="22">
        <v>25000</v>
      </c>
      <c r="K54" s="16" t="s">
        <v>91</v>
      </c>
      <c r="L54" s="16" t="s">
        <v>101</v>
      </c>
      <c r="M54" s="16" t="s">
        <v>93</v>
      </c>
      <c r="N54" s="17" t="s">
        <v>23</v>
      </c>
      <c r="O54" s="20">
        <v>35674</v>
      </c>
      <c r="P54" s="19" t="s">
        <v>108</v>
      </c>
      <c r="Q54" s="82" t="s">
        <v>117</v>
      </c>
      <c r="R54" s="19">
        <v>3145522200</v>
      </c>
      <c r="S54" s="19" t="s">
        <v>184</v>
      </c>
      <c r="T54" s="64" t="str">
        <f>IF(N54=CURSOS!$D$3,"DIPLOMADO EN ATENCION PRE-HOSPITALARIA",IF(N54=CURSOS!$D$4,"ACOMPAÑAMIENTO Y MANEJO DEL DUELO",IF(N54=CURSOS!$D$5,"ATENCION A VICTIMAS DE ATAQUE CON AGENTES QUIMICOS ",IF(N54=CURSOS!$D$6,"PRIMEROS AUXILIOS ",IF(N54=CURSOS!$D$7,"DIPLOMADO DE UNIDAD DE CUIDADOS INTENSIVOS (UCI)",IF(N54=CURSOS!$D$8,"MODELO DE ATENCION PARA EVENTOS EMERGENTES EN SALUD MENTAL (CODIGO VERDE)",IF(N54=CURSOS!$D$9,"HUMANIZACION EN SALUD, BUENAS PRACTICAS EN PACIENTE ",IF(N54=CURSOS!$D$10,"CLINICA DE HERIDAS ",IF(N54=CURSOS!$D$11,"TOMA DE CITOLOGIA A CERVICO VAGINAL ",IF(N54=CURSOS!$D$12,"SOPORTE CARDIOVASCULAR AVANZADO ",IF(N54=CURSOS!$D$13,"CAMILLERO ",IF(N54=CURSOS!$D$14,"TOMA MUESTRAS Y LABORATORIO ",IF(N54=CURSOS!$D$15,"SOPORTE VITAL BASICO (BLS)",IF(N54=CURSOS!$D$16,"ATENCION A VICTIMAS DE VIOLENCIA SEXUAL ",IF(N54=CURSOS!$D$17,"PROGRAMADO AMPLIADO DE INMUNIZACION (PAI - COVID 19)",IF(N54=CURSOS!$D$18,"ATENCION INTEGRAL EN ENFERMEDADES PREVALENTES EN PRIMERA INFANCIA (AIEPI)",IF(N54=CURSOS!$D$19,"ADMINISTRACION DE MEDICAMENTOS, IYECTOLOGIA  Y CANALIZACION ",IF(N54=CURSOS!$D$20,"OPERADOR DE VEHICULOS DE EMERGENCIA (OVE)",IF(N54=CURSOS!$D$21,"INSTITUCIONES AMIGAS DE LA MUJER Y LA INFANCIA (IAMI)",IF(N54=CURSOS!$D$22,"CUIDADO DEL DONANTE DE ORGANOS",IF(N54=CURSOS!$D$23,"ATENCION A VICTIMAS POR VIOLENCIA DE GENERO",IF(N54=CURSOS!$D$24,"IGUALDAD DE GENERO EN LA SALUD",IF(N54=CURSOS!$D$25,"BRIGADA DE EMERGENCIA",IF(N54=CURSOS!$D$26,"MANEJO DEL DOLOR Y CUIDADOS PALIATIVOS",IF(N54=CURSOS!$D$27,"TOMA MUESTRAS Y LABORATORIO POCT",IF(N54=CURSOS!$D$28,"IMPLANTE SUBDERMICO Y DISPOSITIVO INTRAUTERINO",IF(N54=CURSOS!$D$29,"SALUD MENTAL",IF(N54=CURSOS!$D$30,"PRIMEROS AUXILIOS PSICOLOGICOS",IF(N54=CURSOS!$D$31,"ATENCION A VICTIMAS POR CONFLICTO ARMADO",IF(N54=CURSOS!$D$32,"MANIPULACION DE ALIMENTOS Y BPM",IF(N54=CURSOS!$D$33,"ATENCION A PERSONAS CON DISCAPACIDAD",IF(N54=CURSOS!$D$34,"CUIDADO INTEGRAL DEL PACIENTE ADULTO"))))))))))))))))))))))))))))))))</f>
        <v>ACOMPAÑAMIENTO Y MANEJO DEL DUELO</v>
      </c>
      <c r="U54" s="64" t="str">
        <f t="shared" si="3"/>
        <v>Diana Bridgeth Araujo Perez</v>
      </c>
      <c r="V54" s="64" t="str">
        <f t="shared" si="4"/>
        <v>Diana Bridgeth Araujo Perez</v>
      </c>
      <c r="W54" s="64" t="str">
        <f t="shared" si="5"/>
        <v>Diana Bridgeth Araujo Perez-1085336447-DUELO</v>
      </c>
    </row>
    <row r="55" spans="1:23" s="21" customFormat="1" x14ac:dyDescent="0.2">
      <c r="A55" s="94">
        <v>54</v>
      </c>
      <c r="B55" s="62">
        <v>1085336447</v>
      </c>
      <c r="C55" s="19" t="s">
        <v>181</v>
      </c>
      <c r="D55" s="19" t="s">
        <v>182</v>
      </c>
      <c r="E55" s="19" t="s">
        <v>179</v>
      </c>
      <c r="F55" s="19" t="s">
        <v>180</v>
      </c>
      <c r="G55" s="16">
        <v>12</v>
      </c>
      <c r="H55" s="16" t="s">
        <v>90</v>
      </c>
      <c r="I55" s="18">
        <v>45455</v>
      </c>
      <c r="J55" s="22">
        <v>25000</v>
      </c>
      <c r="K55" s="16" t="s">
        <v>91</v>
      </c>
      <c r="L55" s="16" t="s">
        <v>101</v>
      </c>
      <c r="M55" s="16" t="s">
        <v>93</v>
      </c>
      <c r="N55" s="17" t="s">
        <v>25</v>
      </c>
      <c r="O55" s="20">
        <v>35674</v>
      </c>
      <c r="P55" s="19" t="s">
        <v>108</v>
      </c>
      <c r="Q55" s="82" t="s">
        <v>117</v>
      </c>
      <c r="R55" s="19">
        <v>3145522200</v>
      </c>
      <c r="S55" s="19" t="s">
        <v>184</v>
      </c>
      <c r="T55" s="64" t="str">
        <f>IF(N55=CURSOS!$D$3,"DIPLOMADO EN ATENCION PRE-HOSPITALARIA",IF(N55=CURSOS!$D$4,"ACOMPAÑAMIENTO Y MANEJO DEL DUELO",IF(N55=CURSOS!$D$5,"ATENCION A VICTIMAS DE ATAQUE CON AGENTES QUIMICOS ",IF(N55=CURSOS!$D$6,"PRIMEROS AUXILIOS ",IF(N55=CURSOS!$D$7,"DIPLOMADO DE UNIDAD DE CUIDADOS INTENSIVOS (UCI)",IF(N55=CURSOS!$D$8,"MODELO DE ATENCION PARA EVENTOS EMERGENTES EN SALUD MENTAL (CODIGO VERDE)",IF(N55=CURSOS!$D$9,"HUMANIZACION EN SALUD, BUENAS PRACTICAS EN PACIENTE ",IF(N55=CURSOS!$D$10,"CLINICA DE HERIDAS ",IF(N55=CURSOS!$D$11,"TOMA DE CITOLOGIA A CERVICO VAGINAL ",IF(N55=CURSOS!$D$12,"SOPORTE CARDIOVASCULAR AVANZADO ",IF(N55=CURSOS!$D$13,"CAMILLERO ",IF(N55=CURSOS!$D$14,"TOMA MUESTRAS Y LABORATORIO ",IF(N55=CURSOS!$D$15,"SOPORTE VITAL BASICO (BLS)",IF(N55=CURSOS!$D$16,"ATENCION A VICTIMAS DE VIOLENCIA SEXUAL ",IF(N55=CURSOS!$D$17,"PROGRAMADO AMPLIADO DE INMUNIZACION (PAI - COVID 19)",IF(N55=CURSOS!$D$18,"ATENCION INTEGRAL EN ENFERMEDADES PREVALENTES EN PRIMERA INFANCIA (AIEPI)",IF(N55=CURSOS!$D$19,"ADMINISTRACION DE MEDICAMENTOS, IYECTOLOGIA  Y CANALIZACION ",IF(N55=CURSOS!$D$20,"OPERADOR DE VEHICULOS DE EMERGENCIA (OVE)",IF(N55=CURSOS!$D$21,"INSTITUCIONES AMIGAS DE LA MUJER Y LA INFANCIA (IAMI)",IF(N55=CURSOS!$D$22,"CUIDADO DEL DONANTE DE ORGANOS",IF(N55=CURSOS!$D$23,"ATENCION A VICTIMAS POR VIOLENCIA DE GENERO",IF(N55=CURSOS!$D$24,"IGUALDAD DE GENERO EN LA SALUD",IF(N55=CURSOS!$D$25,"BRIGADA DE EMERGENCIA",IF(N55=CURSOS!$D$26,"MANEJO DEL DOLOR Y CUIDADOS PALIATIVOS",IF(N55=CURSOS!$D$27,"TOMA MUESTRAS Y LABORATORIO POCT",IF(N55=CURSOS!$D$28,"IMPLANTE SUBDERMICO Y DISPOSITIVO INTRAUTERINO",IF(N55=CURSOS!$D$29,"SALUD MENTAL",IF(N55=CURSOS!$D$30,"PRIMEROS AUXILIOS PSICOLOGICOS",IF(N55=CURSOS!$D$31,"ATENCION A VICTIMAS POR CONFLICTO ARMADO",IF(N55=CURSOS!$D$32,"MANIPULACION DE ALIMENTOS Y BPM",IF(N55=CURSOS!$D$33,"ATENCION A PERSONAS CON DISCAPACIDAD",IF(N55=CURSOS!$D$34,"CUIDADO INTEGRAL DEL PACIENTE ADULTO"))))))))))))))))))))))))))))))))</f>
        <v xml:space="preserve">ATENCION A VICTIMAS DE ATAQUE CON AGENTES QUIMICOS </v>
      </c>
      <c r="U55" s="64" t="str">
        <f t="shared" si="3"/>
        <v>Diana Bridgeth Araujo Perez</v>
      </c>
      <c r="V55" s="64" t="str">
        <f t="shared" si="4"/>
        <v>Diana Bridgeth Araujo Perez</v>
      </c>
      <c r="W55" s="64" t="str">
        <f t="shared" si="5"/>
        <v>Diana Bridgeth Araujo Perez-1085336447-QUIMICOS</v>
      </c>
    </row>
    <row r="56" spans="1:23" s="21" customFormat="1" x14ac:dyDescent="0.2">
      <c r="A56" s="94">
        <v>55</v>
      </c>
      <c r="B56" s="62">
        <v>1085255661</v>
      </c>
      <c r="C56" s="19" t="s">
        <v>273</v>
      </c>
      <c r="D56" s="19" t="s">
        <v>274</v>
      </c>
      <c r="E56" s="19" t="s">
        <v>275</v>
      </c>
      <c r="F56" s="19" t="s">
        <v>276</v>
      </c>
      <c r="G56" s="16">
        <v>14</v>
      </c>
      <c r="H56" s="16" t="s">
        <v>277</v>
      </c>
      <c r="I56" s="18">
        <v>45455</v>
      </c>
      <c r="J56" s="22">
        <v>40000</v>
      </c>
      <c r="K56" s="16" t="s">
        <v>91</v>
      </c>
      <c r="L56" s="16" t="s">
        <v>101</v>
      </c>
      <c r="M56" s="16" t="s">
        <v>93</v>
      </c>
      <c r="N56" s="17" t="s">
        <v>19</v>
      </c>
      <c r="O56" s="20">
        <v>31799</v>
      </c>
      <c r="P56" s="19" t="s">
        <v>94</v>
      </c>
      <c r="Q56" s="19" t="s">
        <v>283</v>
      </c>
      <c r="R56" s="19">
        <v>3173749188</v>
      </c>
      <c r="S56" s="19" t="s">
        <v>278</v>
      </c>
      <c r="T56" s="64" t="str">
        <f>IF(N56=CURSOS!$D$3,"DIPLOMADO EN ATENCION PRE-HOSPITALARIA",IF(N56=CURSOS!$D$4,"ACOMPAÑAMIENTO Y MANEJO DEL DUELO",IF(N56=CURSOS!$D$5,"ATENCION A VICTIMAS DE ATAQUE CON AGENTES QUIMICOS ",IF(N56=CURSOS!$D$6,"PRIMEROS AUXILIOS ",IF(N56=CURSOS!$D$7,"DIPLOMADO DE UNIDAD DE CUIDADOS INTENSIVOS (UCI)",IF(N56=CURSOS!$D$8,"MODELO DE ATENCION PARA EVENTOS EMERGENTES EN SALUD MENTAL (CODIGO VERDE)",IF(N56=CURSOS!$D$9,"HUMANIZACION EN SALUD, BUENAS PRACTICAS EN PACIENTE ",IF(N56=CURSOS!$D$10,"CLINICA DE HERIDAS ",IF(N56=CURSOS!$D$11,"TOMA DE CITOLOGIA A CERVICO VAGINAL ",IF(N56=CURSOS!$D$12,"SOPORTE CARDIOVASCULAR AVANZADO ",IF(N56=CURSOS!$D$13,"CAMILLERO ",IF(N56=CURSOS!$D$14,"TOMA MUESTRAS Y LABORATORIO ",IF(N56=CURSOS!$D$15,"SOPORTE VITAL BASICO (BLS)",IF(N56=CURSOS!$D$16,"ATENCION A VICTIMAS DE VIOLENCIA SEXUAL ",IF(N56=CURSOS!$D$17,"PROGRAMADO AMPLIADO DE INMUNIZACION (PAI - COVID 19)",IF(N56=CURSOS!$D$18,"ATENCION INTEGRAL EN ENFERMEDADES PREVALENTES EN PRIMERA INFANCIA (AIEPI)",IF(N56=CURSOS!$D$19,"ADMINISTRACION DE MEDICAMENTOS, IYECTOLOGIA  Y CANALIZACION ",IF(N56=CURSOS!$D$20,"OPERADOR DE VEHICULOS DE EMERGENCIA (OVE)",IF(N56=CURSOS!$D$21,"INSTITUCIONES AMIGAS DE LA MUJER Y LA INFANCIA (IAMI)",IF(N56=CURSOS!$D$22,"CUIDADO DEL DONANTE DE ORGANOS",IF(N56=CURSOS!$D$23,"ATENCION A VICTIMAS POR VIOLENCIA DE GENERO",IF(N56=CURSOS!$D$24,"IGUALDAD DE GENERO EN LA SALUD",IF(N56=CURSOS!$D$25,"BRIGADA DE EMERGENCIA",IF(N56=CURSOS!$D$26,"MANEJO DEL DOLOR Y CUIDADOS PALIATIVOS",IF(N56=CURSOS!$D$27,"TOMA MUESTRAS Y LABORATORIO POCT",IF(N56=CURSOS!$D$28,"IMPLANTE SUBDERMICO Y DISPOSITIVO INTRAUTERINO",IF(N56=CURSOS!$D$29,"SALUD MENTAL",IF(N56=CURSOS!$D$30,"PRIMEROS AUXILIOS PSICOLOGICOS",IF(N56=CURSOS!$D$31,"ATENCION A VICTIMAS POR CONFLICTO ARMADO",IF(N56=CURSOS!$D$32,"MANIPULACION DE ALIMENTOS Y BPM",IF(N56=CURSOS!$D$33,"ATENCION A PERSONAS CON DISCAPACIDAD",IF(N56=CURSOS!$D$34,"CUIDADO INTEGRAL DEL PACIENTE ADULTO"))))))))))))))))))))))))))))))))</f>
        <v>SOPORTE VITAL BASICO (BLS)</v>
      </c>
      <c r="U56" s="64" t="str">
        <f t="shared" si="3"/>
        <v>Jairo Daniel Córdoba Benavides</v>
      </c>
      <c r="V56" s="64" t="str">
        <f t="shared" si="4"/>
        <v>Jairo Daniel Córdoba Benavides</v>
      </c>
      <c r="W56" s="64" t="str">
        <f t="shared" si="5"/>
        <v>Jairo Daniel Córdoba Benavides-1085255661-BLS</v>
      </c>
    </row>
    <row r="57" spans="1:23" x14ac:dyDescent="0.2">
      <c r="A57" s="94">
        <v>56</v>
      </c>
      <c r="B57" s="81">
        <v>1085336447</v>
      </c>
      <c r="C57" s="71" t="s">
        <v>181</v>
      </c>
      <c r="D57" s="71" t="s">
        <v>182</v>
      </c>
      <c r="E57" s="71" t="s">
        <v>179</v>
      </c>
      <c r="F57" s="71" t="s">
        <v>180</v>
      </c>
      <c r="G57" s="72">
        <v>12</v>
      </c>
      <c r="H57" s="72" t="s">
        <v>90</v>
      </c>
      <c r="I57" s="73">
        <v>45455</v>
      </c>
      <c r="J57" s="74">
        <v>25000</v>
      </c>
      <c r="K57" s="72" t="s">
        <v>91</v>
      </c>
      <c r="L57" s="72" t="s">
        <v>101</v>
      </c>
      <c r="M57" s="72" t="s">
        <v>93</v>
      </c>
      <c r="N57" s="75" t="s">
        <v>19</v>
      </c>
      <c r="O57" s="76">
        <v>35674</v>
      </c>
      <c r="P57" s="71" t="s">
        <v>108</v>
      </c>
      <c r="Q57" s="88" t="s">
        <v>117</v>
      </c>
      <c r="R57" s="71">
        <v>3145522200</v>
      </c>
      <c r="S57" s="71" t="s">
        <v>184</v>
      </c>
      <c r="T57" s="64" t="str">
        <f>IF(N57=CURSOS!$D$3,"DIPLOMADO EN ATENCION PRE-HOSPITALARIA",IF(N57=CURSOS!$D$4,"ACOMPAÑAMIENTO Y MANEJO DEL DUELO",IF(N57=CURSOS!$D$5,"ATENCION A VICTIMAS DE ATAQUE CON AGENTES QUIMICOS ",IF(N57=CURSOS!$D$6,"PRIMEROS AUXILIOS ",IF(N57=CURSOS!$D$7,"DIPLOMADO DE UNIDAD DE CUIDADOS INTENSIVOS (UCI)",IF(N57=CURSOS!$D$8,"MODELO DE ATENCION PARA EVENTOS EMERGENTES EN SALUD MENTAL (CODIGO VERDE)",IF(N57=CURSOS!$D$9,"HUMANIZACION EN SALUD, BUENAS PRACTICAS EN PACIENTE ",IF(N57=CURSOS!$D$10,"CLINICA DE HERIDAS ",IF(N57=CURSOS!$D$11,"TOMA DE CITOLOGIA A CERVICO VAGINAL ",IF(N57=CURSOS!$D$12,"SOPORTE CARDIOVASCULAR AVANZADO ",IF(N57=CURSOS!$D$13,"CAMILLERO ",IF(N57=CURSOS!$D$14,"TOMA MUESTRAS Y LABORATORIO ",IF(N57=CURSOS!$D$15,"SOPORTE VITAL BASICO (BLS)",IF(N57=CURSOS!$D$16,"ATENCION A VICTIMAS DE VIOLENCIA SEXUAL ",IF(N57=CURSOS!$D$17,"PROGRAMADO AMPLIADO DE INMUNIZACION (PAI - COVID 19)",IF(N57=CURSOS!$D$18,"ATENCION INTEGRAL EN ENFERMEDADES PREVALENTES EN PRIMERA INFANCIA (AIEPI)",IF(N57=CURSOS!$D$19,"ADMINISTRACION DE MEDICAMENTOS, IYECTOLOGIA  Y CANALIZACION ",IF(N57=CURSOS!$D$20,"OPERADOR DE VEHICULOS DE EMERGENCIA (OVE)",IF(N57=CURSOS!$D$21,"INSTITUCIONES AMIGAS DE LA MUJER Y LA INFANCIA (IAMI)",IF(N57=CURSOS!$D$22,"CUIDADO DEL DONANTE DE ORGANOS",IF(N57=CURSOS!$D$23,"ATENCION A VICTIMAS POR VIOLENCIA DE GENERO",IF(N57=CURSOS!$D$24,"IGUALDAD DE GENERO EN LA SALUD",IF(N57=CURSOS!$D$25,"BRIGADA DE EMERGENCIA",IF(N57=CURSOS!$D$26,"MANEJO DEL DOLOR Y CUIDADOS PALIATIVOS",IF(N57=CURSOS!$D$27,"TOMA MUESTRAS Y LABORATORIO POCT",IF(N57=CURSOS!$D$28,"IMPLANTE SUBDERMICO Y DISPOSITIVO INTRAUTERINO",IF(N57=CURSOS!$D$29,"SALUD MENTAL",IF(N57=CURSOS!$D$30,"PRIMEROS AUXILIOS PSICOLOGICOS",IF(N57=CURSOS!$D$31,"ATENCION A VICTIMAS POR CONFLICTO ARMADO",IF(N57=CURSOS!$D$32,"MANIPULACION DE ALIMENTOS Y BPM",IF(N57=CURSOS!$D$33,"ATENCION A PERSONAS CON DISCAPACIDAD",IF(N57=CURSOS!$D$34,"CUIDADO INTEGRAL DEL PACIENTE ADULTO"))))))))))))))))))))))))))))))))</f>
        <v>SOPORTE VITAL BASICO (BLS)</v>
      </c>
      <c r="U57" s="64" t="str">
        <f t="shared" si="3"/>
        <v>Diana Bridgeth Araujo Perez</v>
      </c>
      <c r="V57" s="64" t="str">
        <f t="shared" si="4"/>
        <v>Diana Bridgeth Araujo Perez</v>
      </c>
      <c r="W57" s="64" t="str">
        <f t="shared" si="5"/>
        <v>Diana Bridgeth Araujo Perez-1085336447-BLS</v>
      </c>
    </row>
    <row r="58" spans="1:23" s="21" customFormat="1" x14ac:dyDescent="0.2">
      <c r="A58" s="94">
        <v>57</v>
      </c>
      <c r="B58" s="62">
        <v>12982578</v>
      </c>
      <c r="C58" s="19" t="s">
        <v>274</v>
      </c>
      <c r="D58" s="19" t="s">
        <v>262</v>
      </c>
      <c r="E58" s="19" t="s">
        <v>279</v>
      </c>
      <c r="F58" s="19" t="s">
        <v>280</v>
      </c>
      <c r="G58" s="16">
        <v>12</v>
      </c>
      <c r="H58" s="16" t="s">
        <v>90</v>
      </c>
      <c r="I58" s="18">
        <v>45455</v>
      </c>
      <c r="J58" s="22">
        <v>80000</v>
      </c>
      <c r="K58" s="16" t="s">
        <v>288</v>
      </c>
      <c r="L58" s="16" t="s">
        <v>101</v>
      </c>
      <c r="M58" s="16" t="s">
        <v>93</v>
      </c>
      <c r="N58" s="17" t="s">
        <v>51</v>
      </c>
      <c r="O58" s="20">
        <v>24065</v>
      </c>
      <c r="P58" s="19" t="s">
        <v>94</v>
      </c>
      <c r="Q58" s="19" t="s">
        <v>282</v>
      </c>
      <c r="R58" s="19">
        <v>3504387387</v>
      </c>
      <c r="S58" s="19" t="s">
        <v>281</v>
      </c>
      <c r="T58" s="64" t="str">
        <f>IF(N58=CURSOS!$D$3,"DIPLOMADO EN ATENCION PRE-HOSPITALARIA",IF(N58=CURSOS!$D$4,"ACOMPAÑAMIENTO Y MANEJO DEL DUELO",IF(N58=CURSOS!$D$5,"ATENCION A VICTIMAS DE ATAQUE CON AGENTES QUIMICOS ",IF(N58=CURSOS!$D$6,"PRIMEROS AUXILIOS ",IF(N58=CURSOS!$D$7,"DIPLOMADO DE UNIDAD DE CUIDADOS INTENSIVOS (UCI)",IF(N58=CURSOS!$D$8,"MODELO DE ATENCION PARA EVENTOS EMERGENTES EN SALUD MENTAL (CODIGO VERDE)",IF(N58=CURSOS!$D$9,"HUMANIZACION EN SALUD, BUENAS PRACTICAS EN PACIENTE ",IF(N58=CURSOS!$D$10,"CLINICA DE HERIDAS ",IF(N58=CURSOS!$D$11,"TOMA DE CITOLOGIA A CERVICO VAGINAL ",IF(N58=CURSOS!$D$12,"SOPORTE CARDIOVASCULAR AVANZADO ",IF(N58=CURSOS!$D$13,"CAMILLERO ",IF(N58=CURSOS!$D$14,"TOMA MUESTRAS Y LABORATORIO ",IF(N58=CURSOS!$D$15,"SOPORTE VITAL BASICO (BLS)",IF(N58=CURSOS!$D$16,"ATENCION A VICTIMAS DE VIOLENCIA SEXUAL ",IF(N58=CURSOS!$D$17,"PROGRAMADO AMPLIADO DE INMUNIZACION (PAI - COVID 19)",IF(N58=CURSOS!$D$18,"ATENCION INTEGRAL EN ENFERMEDADES PREVALENTES EN PRIMERA INFANCIA (AIEPI)",IF(N58=CURSOS!$D$19,"ADMINISTRACION DE MEDICAMENTOS, INYECTOLOGIA  Y CANALIZACION ",IF(N58=CURSOS!$D$20,"OPERADOR DE VEHICULOS DE EMERGENCIA (OVE)",IF(N58=CURSOS!$D$21,"INSTITUCIONES AMIGAS DE LA MUJER Y LA INFANCIA (IAMI)",IF(N58=CURSOS!$D$22,"CUIDADO DEL DONANTE DE ORGANOS",IF(N58=CURSOS!$D$23,"ATENCION A VICTIMAS POR VIOLENCIA DE GENERO",IF(N58=CURSOS!$D$24,"IGUALDAD DE GENERO EN LA SALUD",IF(N58=CURSOS!$D$25,"BRIGADA DE EMERGENCIA",IF(N58=CURSOS!$D$26,"MANEJO DEL DOLOR Y CUIDADOS PALIATIVOS",IF(N58=CURSOS!$D$27,"TOMA MUESTRAS Y LABORATORIO POCT",IF(N58=CURSOS!$D$28,"IMPLANTE SUBDERMICO Y DISPOSITIVO INTRAUTERINO",IF(N58=CURSOS!$D$29,"SALUD MENTAL",IF(N58=CURSOS!$D$30,"PRIMEROS AUXILIOS PSICOLOGICOS",IF(N58=CURSOS!$D$31,"ATENCION A VICTIMAS POR CONFLICTO ARMADO",IF(N58=CURSOS!$D$32,"MANIPULACION DE ALIMENTOS Y BPM",IF(N58=CURSOS!$D$33,"ATENCION A PERSONAS CON DISCAPACIDAD",IF(N58=CURSOS!$D$34,"CUIDADO INTEGRAL DEL PACIENTE ADULTO"))))))))))))))))))))))))))))))))</f>
        <v xml:space="preserve">ADMINISTRACION DE MEDICAMENTOS, INYECTOLOGIA  Y CANALIZACION </v>
      </c>
      <c r="U58" s="64" t="str">
        <f t="shared" si="3"/>
        <v>Wilbey Wilson Benavides Castro</v>
      </c>
      <c r="V58" s="64" t="str">
        <f t="shared" si="4"/>
        <v>Wilbey Wilson Benavides Castro</v>
      </c>
      <c r="W58" s="64" t="str">
        <f t="shared" si="5"/>
        <v>Wilbey Wilson Benavides Castro-12982578-ADMON DE MEDICAMENTOS</v>
      </c>
    </row>
    <row r="59" spans="1:23" s="21" customFormat="1" x14ac:dyDescent="0.2">
      <c r="A59" s="94">
        <v>58</v>
      </c>
      <c r="B59" s="62">
        <v>1087674179</v>
      </c>
      <c r="C59" s="19" t="s">
        <v>284</v>
      </c>
      <c r="D59" s="19" t="s">
        <v>285</v>
      </c>
      <c r="E59" s="19" t="s">
        <v>199</v>
      </c>
      <c r="F59" s="19" t="s">
        <v>286</v>
      </c>
      <c r="G59" s="16">
        <v>13</v>
      </c>
      <c r="H59" s="16" t="s">
        <v>90</v>
      </c>
      <c r="I59" s="18">
        <v>45456</v>
      </c>
      <c r="J59" s="22">
        <v>30000</v>
      </c>
      <c r="K59" s="16" t="s">
        <v>91</v>
      </c>
      <c r="L59" s="16" t="s">
        <v>101</v>
      </c>
      <c r="M59" s="16" t="s">
        <v>119</v>
      </c>
      <c r="N59" s="17" t="s">
        <v>25</v>
      </c>
      <c r="O59" s="20">
        <v>34585</v>
      </c>
      <c r="P59" s="19" t="s">
        <v>108</v>
      </c>
      <c r="Q59" s="19" t="s">
        <v>117</v>
      </c>
      <c r="R59" s="19">
        <v>3168105658</v>
      </c>
      <c r="S59" s="19" t="s">
        <v>287</v>
      </c>
      <c r="T59" s="64" t="str">
        <f>IF(N59=CURSOS!$D$3,"DIPLOMADO EN ATENCION PRE-HOSPITALARIA",IF(N59=CURSOS!$D$4,"ACOMPAÑAMIENTO Y MANEJO DEL DUELO",IF(N59=CURSOS!$D$5,"ATENCION A VICTIMAS DE ATAQUE CON AGENTES QUIMICOS ",IF(N59=CURSOS!$D$6,"PRIMEROS AUXILIOS ",IF(N59=CURSOS!$D$7,"DIPLOMADO DE UNIDAD DE CUIDADOS INTENSIVOS (UCI)",IF(N59=CURSOS!$D$8,"MODELO DE ATENCION PARA EVENTOS EMERGENTES EN SALUD MENTAL (CODIGO VERDE)",IF(N59=CURSOS!$D$9,"HUMANIZACION EN SALUD, BUENAS PRACTICAS EN PACIENTE ",IF(N59=CURSOS!$D$10,"CLINICA DE HERIDAS ",IF(N59=CURSOS!$D$11,"TOMA DE CITOLOGIA A CERVICO VAGINAL ",IF(N59=CURSOS!$D$12,"SOPORTE CARDIOVASCULAR AVANZADO ",IF(N59=CURSOS!$D$13,"CAMILLERO ",IF(N59=CURSOS!$D$14,"TOMA MUESTRAS Y LABORATORIO ",IF(N59=CURSOS!$D$15,"SOPORTE VITAL BASICO (BLS)",IF(N59=CURSOS!$D$16,"ATENCION A VICTIMAS DE VIOLENCIA SEXUAL ",IF(N59=CURSOS!$D$17,"PROGRAMADO AMPLIADO DE INMUNIZACION (PAI - COVID 19)",IF(N59=CURSOS!$D$18,"ATENCION INTEGRAL EN ENFERMEDADES PREVALENTES EN PRIMERA INFANCIA (AIEPI)",IF(N59=CURSOS!$D$19,"ADMINISTRACION DE MEDICAMENTOS, IYECTOLOGIA  Y CANALIZACION ",IF(N59=CURSOS!$D$20,"OPERADOR DE VEHICULOS DE EMERGENCIA (OVE)",IF(N59=CURSOS!$D$21,"INSTITUCIONES AMIGAS DE LA MUJER Y LA INFANCIA (IAMI)",IF(N59=CURSOS!$D$22,"CUIDADO DEL DONANTE DE ORGANOS",IF(N59=CURSOS!$D$23,"ATENCION A VICTIMAS POR VIOLENCIA DE GENERO",IF(N59=CURSOS!$D$24,"IGUALDAD DE GENERO EN LA SALUD",IF(N59=CURSOS!$D$25,"BRIGADA DE EMERGENCIA",IF(N59=CURSOS!$D$26,"MANEJO DEL DOLOR Y CUIDADOS PALIATIVOS",IF(N59=CURSOS!$D$27,"TOMA MUESTRAS Y LABORATORIO POCT",IF(N59=CURSOS!$D$28,"IMPLANTE SUBDERMICO Y DISPOSITIVO INTRAUTERINO",IF(N59=CURSOS!$D$29,"SALUD MENTAL",IF(N59=CURSOS!$D$30,"PRIMEROS AUXILIOS PSICOLOGICOS",IF(N59=CURSOS!$D$31,"ATENCION A VICTIMAS POR CONFLICTO ARMADO",IF(N59=CURSOS!$D$32,"MANIPULACION DE ALIMENTOS Y BPM",IF(N59=CURSOS!$D$33,"ATENCION A PERSONAS CON DISCAPACIDAD",IF(N59=CURSOS!$D$34,"CUIDADO INTEGRAL DEL PACIENTE ADULTO"))))))))))))))))))))))))))))))))</f>
        <v xml:space="preserve">ATENCION A VICTIMAS DE ATAQUE CON AGENTES QUIMICOS </v>
      </c>
      <c r="U59" s="64" t="str">
        <f t="shared" si="3"/>
        <v>Johana Andrea Champutis Ipaz</v>
      </c>
      <c r="V59" s="64" t="str">
        <f t="shared" si="4"/>
        <v>Johana Andrea Champutis Ipaz</v>
      </c>
      <c r="W59" s="64" t="str">
        <f t="shared" si="5"/>
        <v>Johana Andrea Champutis Ipaz-1087674179-QUIMICOS</v>
      </c>
    </row>
    <row r="60" spans="1:23" s="21" customFormat="1" x14ac:dyDescent="0.2">
      <c r="A60" s="94">
        <v>59</v>
      </c>
      <c r="B60" s="62">
        <v>1087674179</v>
      </c>
      <c r="C60" s="19" t="s">
        <v>284</v>
      </c>
      <c r="D60" s="19" t="s">
        <v>285</v>
      </c>
      <c r="E60" s="19" t="s">
        <v>199</v>
      </c>
      <c r="F60" s="19" t="s">
        <v>286</v>
      </c>
      <c r="G60" s="16">
        <v>13</v>
      </c>
      <c r="H60" s="16" t="s">
        <v>90</v>
      </c>
      <c r="I60" s="18">
        <v>45456</v>
      </c>
      <c r="J60" s="22">
        <v>30000</v>
      </c>
      <c r="K60" s="16" t="s">
        <v>91</v>
      </c>
      <c r="L60" s="16" t="s">
        <v>101</v>
      </c>
      <c r="M60" s="16" t="s">
        <v>119</v>
      </c>
      <c r="N60" s="17" t="s">
        <v>46</v>
      </c>
      <c r="O60" s="20">
        <v>34585</v>
      </c>
      <c r="P60" s="19" t="s">
        <v>108</v>
      </c>
      <c r="Q60" s="19" t="s">
        <v>117</v>
      </c>
      <c r="R60" s="19">
        <v>3168105658</v>
      </c>
      <c r="S60" s="19" t="s">
        <v>287</v>
      </c>
      <c r="T60" s="64" t="str">
        <f>IF(N60=CURSOS!$D$3,"DIPLOMADO EN ATENCION PRE-HOSPITALARIA",IF(N60=CURSOS!$D$4,"ACOMPAÑAMIENTO Y MANEJO DEL DUELO",IF(N60=CURSOS!$D$5,"ATENCION A VICTIMAS DE ATAQUE CON AGENTES QUIMICOS ",IF(N60=CURSOS!$D$6,"PRIMEROS AUXILIOS ",IF(N60=CURSOS!$D$7,"DIPLOMADO DE UNIDAD DE CUIDADOS INTENSIVOS (UCI)",IF(N60=CURSOS!$D$8,"MODELO DE ATENCION PARA EVENTOS EMERGENTES EN SALUD MENTAL (CODIGO VERDE)",IF(N60=CURSOS!$D$9,"HUMANIZACION EN SALUD, BUENAS PRACTICAS EN PACIENTE ",IF(N60=CURSOS!$D$10,"CLINICA DE HERIDAS ",IF(N60=CURSOS!$D$11,"TOMA DE CITOLOGIA A CERVICO VAGINAL ",IF(N60=CURSOS!$D$12,"SOPORTE CARDIOVASCULAR AVANZADO ",IF(N60=CURSOS!$D$13,"CAMILLERO ",IF(N60=CURSOS!$D$14,"TOMA MUESTRAS Y LABORATORIO ",IF(N60=CURSOS!$D$15,"SOPORTE VITAL BASICO (BLS)",IF(N60=CURSOS!$D$16,"ATENCION A VICTIMAS DE VIOLENCIA SEXUAL ",IF(N60=CURSOS!$D$17,"PROGRAMADO AMPLIADO DE INMUNIZACION (PAI - COVID 19)",IF(N60=CURSOS!$D$18,"ATENCION INTEGRAL EN ENFERMEDADES PREVALENTES EN PRIMERA INFANCIA (AIEPI)",IF(N60=CURSOS!$D$19,"ADMINISTRACION DE MEDICAMENTOS, IYECTOLOGIA  Y CANALIZACION ",IF(N60=CURSOS!$D$20,"OPERADOR DE VEHICULOS DE EMERGENCIA (OVE)",IF(N60=CURSOS!$D$21,"INSTITUCIONES AMIGAS DE LA MUJER Y LA INFANCIA (IAMI)",IF(N60=CURSOS!$D$22,"CUIDADO DEL DONANTE DE ORGANOS",IF(N60=CURSOS!$D$23,"ATENCION A VICTIMAS POR VIOLENCIA DE GENERO",IF(N60=CURSOS!$D$24,"IGUALDAD DE GENERO EN LA SALUD",IF(N60=CURSOS!$D$25,"BRIGADA DE EMERGENCIA",IF(N60=CURSOS!$D$26,"MANEJO DEL DOLOR Y CUIDADOS PALIATIVOS",IF(N60=CURSOS!$D$27,"TOMA MUESTRAS Y LABORATORIO POCT",IF(N60=CURSOS!$D$28,"IMPLANTE SUBDERMICO Y DISPOSITIVO INTRAUTERINO",IF(N60=CURSOS!$D$29,"SALUD MENTAL",IF(N60=CURSOS!$D$30,"PRIMEROS AUXILIOS PSICOLOGICOS",IF(N60=CURSOS!$D$31,"ATENCION A VICTIMAS POR CONFLICTO ARMADO",IF(N60=CURSOS!$D$32,"MANIPULACION DE ALIMENTOS Y BPM",IF(N60=CURSOS!$D$33,"ATENCION A PERSONAS CON DISCAPACIDAD",IF(N60=CURSOS!$D$34,"CUIDADO INTEGRAL DEL PACIENTE ADULTO"))))))))))))))))))))))))))))))))</f>
        <v xml:space="preserve">ATENCION A VICTIMAS DE VIOLENCIA SEXUAL </v>
      </c>
      <c r="U60" s="64" t="str">
        <f t="shared" si="3"/>
        <v>Johana Andrea Champutis Ipaz</v>
      </c>
      <c r="V60" s="64" t="str">
        <f t="shared" si="4"/>
        <v>Johana Andrea Champutis Ipaz</v>
      </c>
      <c r="W60" s="64" t="str">
        <f t="shared" si="5"/>
        <v>Johana Andrea Champutis Ipaz-1087674179-VIOLENCIA SEXUAL</v>
      </c>
    </row>
    <row r="61" spans="1:23" s="21" customFormat="1" x14ac:dyDescent="0.2">
      <c r="A61" s="94">
        <v>60</v>
      </c>
      <c r="B61" s="62">
        <v>1010035528</v>
      </c>
      <c r="C61" s="19" t="s">
        <v>289</v>
      </c>
      <c r="D61" s="19" t="s">
        <v>290</v>
      </c>
      <c r="E61" s="19" t="s">
        <v>179</v>
      </c>
      <c r="F61" s="19" t="s">
        <v>291</v>
      </c>
      <c r="G61" s="16">
        <v>13</v>
      </c>
      <c r="H61" s="16" t="s">
        <v>90</v>
      </c>
      <c r="I61" s="18">
        <v>45456</v>
      </c>
      <c r="J61" s="22">
        <v>40000</v>
      </c>
      <c r="K61" s="16" t="s">
        <v>91</v>
      </c>
      <c r="L61" s="16" t="s">
        <v>101</v>
      </c>
      <c r="M61" s="16" t="s">
        <v>93</v>
      </c>
      <c r="N61" s="17" t="s">
        <v>19</v>
      </c>
      <c r="O61" s="20">
        <v>33236</v>
      </c>
      <c r="P61" s="19" t="s">
        <v>108</v>
      </c>
      <c r="Q61" s="19" t="s">
        <v>117</v>
      </c>
      <c r="R61" s="19">
        <v>3173491245</v>
      </c>
      <c r="S61" s="19" t="s">
        <v>292</v>
      </c>
      <c r="T61" s="64" t="str">
        <f>IF(N61=CURSOS!$D$3,"DIPLOMADO EN ATENCION PRE-HOSPITALARIA",IF(N61=CURSOS!$D$4,"ACOMPAÑAMIENTO Y MANEJO DEL DUELO",IF(N61=CURSOS!$D$5,"ATENCION A VICTIMAS DE ATAQUE CON AGENTES QUIMICOS ",IF(N61=CURSOS!$D$6,"PRIMEROS AUXILIOS ",IF(N61=CURSOS!$D$7,"DIPLOMADO DE UNIDAD DE CUIDADOS INTENSIVOS (UCI)",IF(N61=CURSOS!$D$8,"MODELO DE ATENCION PARA EVENTOS EMERGENTES EN SALUD MENTAL (CODIGO VERDE)",IF(N61=CURSOS!$D$9,"HUMANIZACION EN SALUD, BUENAS PRACTICAS EN PACIENTE ",IF(N61=CURSOS!$D$10,"CLINICA DE HERIDAS ",IF(N61=CURSOS!$D$11,"TOMA DE CITOLOGIA A CERVICO VAGINAL ",IF(N61=CURSOS!$D$12,"SOPORTE CARDIOVASCULAR AVANZADO ",IF(N61=CURSOS!$D$13,"CAMILLERO ",IF(N61=CURSOS!$D$14,"TOMA MUESTRAS Y LABORATORIO ",IF(N61=CURSOS!$D$15,"SOPORTE VITAL BASICO (BLS)",IF(N61=CURSOS!$D$16,"ATENCION A VICTIMAS DE VIOLENCIA SEXUAL ",IF(N61=CURSOS!$D$17,"PROGRAMADO AMPLIADO DE INMUNIZACION (PAI - COVID 19)",IF(N61=CURSOS!$D$18,"ATENCION INTEGRAL EN ENFERMEDADES PREVALENTES EN PRIMERA INFANCIA (AIEPI)",IF(N61=CURSOS!$D$19,"ADMINISTRACION DE MEDICAMENTOS, IYECTOLOGIA  Y CANALIZACION ",IF(N61=CURSOS!$D$20,"OPERADOR DE VEHICULOS DE EMERGENCIA (OVE)",IF(N61=CURSOS!$D$21,"INSTITUCIONES AMIGAS DE LA MUJER Y LA INFANCIA (IAMI)",IF(N61=CURSOS!$D$22,"CUIDADO DEL DONANTE DE ORGANOS",IF(N61=CURSOS!$D$23,"ATENCION A VICTIMAS POR VIOLENCIA DE GENERO",IF(N61=CURSOS!$D$24,"IGUALDAD DE GENERO EN LA SALUD",IF(N61=CURSOS!$D$25,"BRIGADA DE EMERGENCIA",IF(N61=CURSOS!$D$26,"MANEJO DEL DOLOR Y CUIDADOS PALIATIVOS",IF(N61=CURSOS!$D$27,"TOMA MUESTRAS Y LABORATORIO POCT",IF(N61=CURSOS!$D$28,"IMPLANTE SUBDERMICO Y DISPOSITIVO INTRAUTERINO",IF(N61=CURSOS!$D$29,"SALUD MENTAL",IF(N61=CURSOS!$D$30,"PRIMEROS AUXILIOS PSICOLOGICOS",IF(N61=CURSOS!$D$31,"ATENCION A VICTIMAS POR CONFLICTO ARMADO",IF(N61=CURSOS!$D$32,"MANIPULACION DE ALIMENTOS Y BPM",IF(N61=CURSOS!$D$33,"ATENCION A PERSONAS CON DISCAPACIDAD",IF(N61=CURSOS!$D$34,"CUIDADO INTEGRAL DEL PACIENTE ADULTO"))))))))))))))))))))))))))))))))</f>
        <v>SOPORTE VITAL BASICO (BLS)</v>
      </c>
      <c r="U61" s="64" t="str">
        <f t="shared" si="3"/>
        <v>Diana Marcela Toro Fernandez</v>
      </c>
      <c r="V61" s="64" t="str">
        <f t="shared" si="4"/>
        <v>Diana Marcela Toro Fernandez</v>
      </c>
      <c r="W61" s="64" t="str">
        <f t="shared" si="5"/>
        <v>Diana Marcela Toro Fernandez-1010035528-BLS</v>
      </c>
    </row>
    <row r="62" spans="1:23" s="21" customFormat="1" x14ac:dyDescent="0.2">
      <c r="A62" s="94">
        <v>61</v>
      </c>
      <c r="B62" s="62">
        <v>1010035528</v>
      </c>
      <c r="C62" s="19" t="s">
        <v>289</v>
      </c>
      <c r="D62" s="19" t="s">
        <v>290</v>
      </c>
      <c r="E62" s="19" t="s">
        <v>179</v>
      </c>
      <c r="F62" s="19" t="s">
        <v>291</v>
      </c>
      <c r="G62" s="16">
        <v>13</v>
      </c>
      <c r="H62" s="16" t="s">
        <v>90</v>
      </c>
      <c r="I62" s="18">
        <v>45456</v>
      </c>
      <c r="J62" s="22">
        <v>40000</v>
      </c>
      <c r="K62" s="16" t="s">
        <v>91</v>
      </c>
      <c r="L62" s="16" t="s">
        <v>101</v>
      </c>
      <c r="M62" s="16" t="s">
        <v>93</v>
      </c>
      <c r="N62" s="17" t="s">
        <v>46</v>
      </c>
      <c r="O62" s="20">
        <v>33236</v>
      </c>
      <c r="P62" s="19" t="s">
        <v>108</v>
      </c>
      <c r="Q62" s="19" t="s">
        <v>117</v>
      </c>
      <c r="R62" s="19">
        <v>3173491245</v>
      </c>
      <c r="S62" s="19" t="s">
        <v>292</v>
      </c>
      <c r="T62" s="64" t="str">
        <f>IF(N62=CURSOS!$D$3,"DIPLOMADO EN ATENCION PRE-HOSPITALARIA",IF(N62=CURSOS!$D$4,"ACOMPAÑAMIENTO Y MANEJO DEL DUELO",IF(N62=CURSOS!$D$5,"ATENCION A VICTIMAS DE ATAQUE CON AGENTES QUIMICOS ",IF(N62=CURSOS!$D$6,"PRIMEROS AUXILIOS ",IF(N62=CURSOS!$D$7,"DIPLOMADO DE UNIDAD DE CUIDADOS INTENSIVOS (UCI)",IF(N62=CURSOS!$D$8,"MODELO DE ATENCION PARA EVENTOS EMERGENTES EN SALUD MENTAL (CODIGO VERDE)",IF(N62=CURSOS!$D$9,"HUMANIZACION EN SALUD, BUENAS PRACTICAS EN PACIENTE ",IF(N62=CURSOS!$D$10,"CLINICA DE HERIDAS ",IF(N62=CURSOS!$D$11,"TOMA DE CITOLOGIA A CERVICO VAGINAL ",IF(N62=CURSOS!$D$12,"SOPORTE CARDIOVASCULAR AVANZADO ",IF(N62=CURSOS!$D$13,"CAMILLERO ",IF(N62=CURSOS!$D$14,"TOMA MUESTRAS Y LABORATORIO ",IF(N62=CURSOS!$D$15,"SOPORTE VITAL BASICO (BLS)",IF(N62=CURSOS!$D$16,"ATENCION A VICTIMAS DE VIOLENCIA SEXUAL ",IF(N62=CURSOS!$D$17,"PROGRAMADO AMPLIADO DE INMUNIZACION (PAI - COVID 19)",IF(N62=CURSOS!$D$18,"ATENCION INTEGRAL EN ENFERMEDADES PREVALENTES EN PRIMERA INFANCIA (AIEPI)",IF(N62=CURSOS!$D$19,"ADMINISTRACION DE MEDICAMENTOS, IYECTOLOGIA  Y CANALIZACION ",IF(N62=CURSOS!$D$20,"OPERADOR DE VEHICULOS DE EMERGENCIA (OVE)",IF(N62=CURSOS!$D$21,"INSTITUCIONES AMIGAS DE LA MUJER Y LA INFANCIA (IAMI)",IF(N62=CURSOS!$D$22,"CUIDADO DEL DONANTE DE ORGANOS",IF(N62=CURSOS!$D$23,"ATENCION A VICTIMAS POR VIOLENCIA DE GENERO",IF(N62=CURSOS!$D$24,"IGUALDAD DE GENERO EN LA SALUD",IF(N62=CURSOS!$D$25,"BRIGADA DE EMERGENCIA",IF(N62=CURSOS!$D$26,"MANEJO DEL DOLOR Y CUIDADOS PALIATIVOS",IF(N62=CURSOS!$D$27,"TOMA MUESTRAS Y LABORATORIO POCT",IF(N62=CURSOS!$D$28,"IMPLANTE SUBDERMICO Y DISPOSITIVO INTRAUTERINO",IF(N62=CURSOS!$D$29,"SALUD MENTAL",IF(N62=CURSOS!$D$30,"PRIMEROS AUXILIOS PSICOLOGICOS",IF(N62=CURSOS!$D$31,"ATENCION A VICTIMAS POR CONFLICTO ARMADO",IF(N62=CURSOS!$D$32,"MANIPULACION DE ALIMENTOS Y BPM",IF(N62=CURSOS!$D$33,"ATENCION A PERSONAS CON DISCAPACIDAD",IF(N62=CURSOS!$D$34,"CUIDADO INTEGRAL DEL PACIENTE ADULTO"))))))))))))))))))))))))))))))))</f>
        <v xml:space="preserve">ATENCION A VICTIMAS DE VIOLENCIA SEXUAL </v>
      </c>
      <c r="U62" s="64" t="str">
        <f t="shared" si="3"/>
        <v>Diana Marcela Toro Fernandez</v>
      </c>
      <c r="V62" s="64" t="str">
        <f t="shared" si="4"/>
        <v>Diana Marcela Toro Fernandez</v>
      </c>
      <c r="W62" s="64" t="str">
        <f t="shared" si="5"/>
        <v>Diana Marcela Toro Fernandez-1010035528-VIOLENCIA SEXUAL</v>
      </c>
    </row>
    <row r="63" spans="1:23" s="21" customFormat="1" x14ac:dyDescent="0.2">
      <c r="A63" s="94">
        <v>62</v>
      </c>
      <c r="B63" s="62">
        <v>1116248523</v>
      </c>
      <c r="C63" s="19" t="s">
        <v>293</v>
      </c>
      <c r="D63" s="19" t="s">
        <v>294</v>
      </c>
      <c r="E63" s="19" t="s">
        <v>295</v>
      </c>
      <c r="F63" s="19" t="s">
        <v>296</v>
      </c>
      <c r="G63" s="16">
        <v>15</v>
      </c>
      <c r="H63" s="16" t="s">
        <v>90</v>
      </c>
      <c r="I63" s="18">
        <v>45457</v>
      </c>
      <c r="J63" s="22">
        <v>40000</v>
      </c>
      <c r="K63" s="16" t="s">
        <v>107</v>
      </c>
      <c r="L63" s="16" t="s">
        <v>101</v>
      </c>
      <c r="M63" s="16" t="s">
        <v>93</v>
      </c>
      <c r="N63" s="17" t="s">
        <v>46</v>
      </c>
      <c r="O63" s="20">
        <v>33116</v>
      </c>
      <c r="P63" s="19" t="s">
        <v>108</v>
      </c>
      <c r="Q63" s="19" t="s">
        <v>159</v>
      </c>
      <c r="R63" s="19">
        <v>3217524228</v>
      </c>
      <c r="S63" s="19" t="s">
        <v>297</v>
      </c>
      <c r="T63" s="64" t="str">
        <f>IF(N63=CURSOS!$D$3,"DIPLOMADO EN ATENCION PRE-HOSPITALARIA",IF(N63=CURSOS!$D$4,"ACOMPAÑAMIENTO Y MANEJO DEL DUELO",IF(N63=CURSOS!$D$5,"ATENCION A VICTIMAS DE ATAQUE CON AGENTES QUIMICOS ",IF(N63=CURSOS!$D$6,"PRIMEROS AUXILIOS ",IF(N63=CURSOS!$D$7,"DIPLOMADO DE UNIDAD DE CUIDADOS INTENSIVOS (UCI)",IF(N63=CURSOS!$D$8,"MODELO DE ATENCION PARA EVENTOS EMERGENTES EN SALUD MENTAL (CODIGO VERDE)",IF(N63=CURSOS!$D$9,"HUMANIZACION EN SALUD, BUENAS PRACTICAS EN PACIENTE ",IF(N63=CURSOS!$D$10,"CLINICA DE HERIDAS ",IF(N63=CURSOS!$D$11,"TOMA DE CITOLOGIA A CERVICO VAGINAL ",IF(N63=CURSOS!$D$12,"SOPORTE CARDIOVASCULAR AVANZADO ",IF(N63=CURSOS!$D$13,"CAMILLERO ",IF(N63=CURSOS!$D$14,"TOMA MUESTRAS Y LABORATORIO ",IF(N63=CURSOS!$D$15,"SOPORTE VITAL BASICO (BLS)",IF(N63=CURSOS!$D$16,"ATENCION A VICTIMAS DE VIOLENCIA SEXUAL ",IF(N63=CURSOS!$D$17,"PROGRAMADO AMPLIADO DE INMUNIZACION (PAI - COVID 19)",IF(N63=CURSOS!$D$18,"ATENCION INTEGRAL EN ENFERMEDADES PREVALENTES EN PRIMERA INFANCIA (AIEPI)",IF(N63=CURSOS!$D$19,"ADMINISTRACION DE MEDICAMENTOS, IYECTOLOGIA  Y CANALIZACION ",IF(N63=CURSOS!$D$20,"OPERADOR DE VEHICULOS DE EMERGENCIA (OVE)",IF(N63=CURSOS!$D$21,"INSTITUCIONES AMIGAS DE LA MUJER Y LA INFANCIA (IAMI)",IF(N63=CURSOS!$D$22,"CUIDADO DEL DONANTE DE ORGANOS",IF(N63=CURSOS!$D$23,"ATENCION A VICTIMAS POR VIOLENCIA DE GENERO",IF(N63=CURSOS!$D$24,"IGUALDAD DE GENERO EN LA SALUD",IF(N63=CURSOS!$D$25,"BRIGADA DE EMERGENCIA",IF(N63=CURSOS!$D$26,"MANEJO DEL DOLOR Y CUIDADOS PALIATIVOS",IF(N63=CURSOS!$D$27,"TOMA MUESTRAS Y LABORATORIO POCT",IF(N63=CURSOS!$D$28,"IMPLANTE SUBDERMICO Y DISPOSITIVO INTRAUTERINO",IF(N63=CURSOS!$D$29,"SALUD MENTAL",IF(N63=CURSOS!$D$30,"PRIMEROS AUXILIOS PSICOLOGICOS",IF(N63=CURSOS!$D$31,"ATENCION A VICTIMAS POR CONFLICTO ARMADO",IF(N63=CURSOS!$D$32,"MANIPULACION DE ALIMENTOS Y BPM",IF(N63=CURSOS!$D$33,"ATENCION A PERSONAS CON DISCAPACIDAD",IF(N63=CURSOS!$D$34,"CUIDADO INTEGRAL DEL PACIENTE ADULTO"))))))))))))))))))))))))))))))))</f>
        <v xml:space="preserve">ATENCION A VICTIMAS DE VIOLENCIA SEXUAL </v>
      </c>
      <c r="U63" s="64" t="str">
        <f t="shared" si="3"/>
        <v>Leydi Tatiana Yepez Marin</v>
      </c>
      <c r="V63" s="64" t="str">
        <f t="shared" si="4"/>
        <v>Leydi Tatiana Yepez Marin</v>
      </c>
      <c r="W63" s="64" t="str">
        <f t="shared" si="5"/>
        <v>Leydi Tatiana Yepez Marin-1116248523-VIOLENCIA SEXUAL</v>
      </c>
    </row>
    <row r="64" spans="1:23" s="21" customFormat="1" x14ac:dyDescent="0.2">
      <c r="A64" s="94">
        <v>63</v>
      </c>
      <c r="B64" s="62">
        <v>1116248523</v>
      </c>
      <c r="C64" s="19" t="s">
        <v>293</v>
      </c>
      <c r="D64" s="19" t="s">
        <v>294</v>
      </c>
      <c r="E64" s="19" t="s">
        <v>295</v>
      </c>
      <c r="F64" s="19" t="s">
        <v>296</v>
      </c>
      <c r="G64" s="16">
        <v>15</v>
      </c>
      <c r="H64" s="16" t="s">
        <v>90</v>
      </c>
      <c r="I64" s="18">
        <v>45457</v>
      </c>
      <c r="J64" s="22">
        <v>40000</v>
      </c>
      <c r="K64" s="16" t="s">
        <v>107</v>
      </c>
      <c r="L64" s="16" t="s">
        <v>101</v>
      </c>
      <c r="M64" s="16" t="s">
        <v>93</v>
      </c>
      <c r="N64" s="17" t="s">
        <v>25</v>
      </c>
      <c r="O64" s="20">
        <v>33116</v>
      </c>
      <c r="P64" s="19" t="s">
        <v>108</v>
      </c>
      <c r="Q64" s="19" t="s">
        <v>159</v>
      </c>
      <c r="R64" s="19">
        <v>3217524228</v>
      </c>
      <c r="S64" s="19" t="s">
        <v>297</v>
      </c>
      <c r="T64" s="64" t="str">
        <f>IF(N64=CURSOS!$D$3,"DIPLOMADO EN ATENCION PRE-HOSPITALARIA",IF(N64=CURSOS!$D$4,"ACOMPAÑAMIENTO Y MANEJO DEL DUELO",IF(N64=CURSOS!$D$5,"ATENCION A VICTIMAS DE ATAQUE CON AGENTES QUIMICOS ",IF(N64=CURSOS!$D$6,"PRIMEROS AUXILIOS ",IF(N64=CURSOS!$D$7,"DIPLOMADO DE UNIDAD DE CUIDADOS INTENSIVOS (UCI)",IF(N64=CURSOS!$D$8,"MODELO DE ATENCION PARA EVENTOS EMERGENTES EN SALUD MENTAL (CODIGO VERDE)",IF(N64=CURSOS!$D$9,"HUMANIZACION EN SALUD, BUENAS PRACTICAS EN PACIENTE ",IF(N64=CURSOS!$D$10,"CLINICA DE HERIDAS ",IF(N64=CURSOS!$D$11,"TOMA DE CITOLOGIA A CERVICO VAGINAL ",IF(N64=CURSOS!$D$12,"SOPORTE CARDIOVASCULAR AVANZADO ",IF(N64=CURSOS!$D$13,"CAMILLERO ",IF(N64=CURSOS!$D$14,"TOMA MUESTRAS Y LABORATORIO ",IF(N64=CURSOS!$D$15,"SOPORTE VITAL BASICO (BLS)",IF(N64=CURSOS!$D$16,"ATENCION A VICTIMAS DE VIOLENCIA SEXUAL ",IF(N64=CURSOS!$D$17,"PROGRAMADO AMPLIADO DE INMUNIZACION (PAI - COVID 19)",IF(N64=CURSOS!$D$18,"ATENCION INTEGRAL EN ENFERMEDADES PREVALENTES EN PRIMERA INFANCIA (AIEPI)",IF(N64=CURSOS!$D$19,"ADMINISTRACION DE MEDICAMENTOS, IYECTOLOGIA  Y CANALIZACION ",IF(N64=CURSOS!$D$20,"OPERADOR DE VEHICULOS DE EMERGENCIA (OVE)",IF(N64=CURSOS!$D$21,"INSTITUCIONES AMIGAS DE LA MUJER Y LA INFANCIA (IAMI)",IF(N64=CURSOS!$D$22,"CUIDADO DEL DONANTE DE ORGANOS",IF(N64=CURSOS!$D$23,"ATENCION A VICTIMAS POR VIOLENCIA DE GENERO",IF(N64=CURSOS!$D$24,"IGUALDAD DE GENERO EN LA SALUD",IF(N64=CURSOS!$D$25,"BRIGADA DE EMERGENCIA",IF(N64=CURSOS!$D$26,"MANEJO DEL DOLOR Y CUIDADOS PALIATIVOS",IF(N64=CURSOS!$D$27,"TOMA MUESTRAS Y LABORATORIO POCT",IF(N64=CURSOS!$D$28,"IMPLANTE SUBDERMICO Y DISPOSITIVO INTRAUTERINO",IF(N64=CURSOS!$D$29,"SALUD MENTAL",IF(N64=CURSOS!$D$30,"PRIMEROS AUXILIOS PSICOLOGICOS",IF(N64=CURSOS!$D$31,"ATENCION A VICTIMAS POR CONFLICTO ARMADO",IF(N64=CURSOS!$D$32,"MANIPULACION DE ALIMENTOS Y BPM",IF(N64=CURSOS!$D$33,"ATENCION A PERSONAS CON DISCAPACIDAD",IF(N64=CURSOS!$D$34,"CUIDADO INTEGRAL DEL PACIENTE ADULTO"))))))))))))))))))))))))))))))))</f>
        <v xml:space="preserve">ATENCION A VICTIMAS DE ATAQUE CON AGENTES QUIMICOS </v>
      </c>
      <c r="U64" s="64" t="str">
        <f t="shared" si="3"/>
        <v>Leydi Tatiana Yepez Marin</v>
      </c>
      <c r="V64" s="64" t="str">
        <f t="shared" si="4"/>
        <v>Leydi Tatiana Yepez Marin</v>
      </c>
      <c r="W64" s="64" t="str">
        <f t="shared" si="5"/>
        <v>Leydi Tatiana Yepez Marin-1116248523-QUIMICOS</v>
      </c>
    </row>
    <row r="65" spans="1:23" s="21" customFormat="1" x14ac:dyDescent="0.2">
      <c r="A65" s="94">
        <v>64</v>
      </c>
      <c r="B65" s="62">
        <v>1234192018</v>
      </c>
      <c r="C65" s="19" t="s">
        <v>298</v>
      </c>
      <c r="D65" s="19" t="s">
        <v>299</v>
      </c>
      <c r="E65" s="19" t="s">
        <v>300</v>
      </c>
      <c r="F65" s="19"/>
      <c r="G65" s="16">
        <v>14</v>
      </c>
      <c r="H65" s="16" t="s">
        <v>90</v>
      </c>
      <c r="I65" s="18">
        <v>45458</v>
      </c>
      <c r="J65" s="22">
        <v>130000</v>
      </c>
      <c r="K65" s="16" t="s">
        <v>229</v>
      </c>
      <c r="L65" s="16" t="s">
        <v>101</v>
      </c>
      <c r="M65" s="16" t="s">
        <v>193</v>
      </c>
      <c r="N65" s="17" t="s">
        <v>39</v>
      </c>
      <c r="O65" s="20">
        <v>35934</v>
      </c>
      <c r="P65" s="19" t="s">
        <v>94</v>
      </c>
      <c r="Q65" s="19" t="s">
        <v>111</v>
      </c>
      <c r="R65" s="19">
        <v>3127448887</v>
      </c>
      <c r="S65" s="19" t="s">
        <v>301</v>
      </c>
      <c r="T65" s="64" t="str">
        <f>IF(N65=CURSOS!$D$3,"DIPLOMADO EN ATENCION PRE-HOSPITALARIA",IF(N65=CURSOS!$D$4,"ACOMPAÑAMIENTO Y MANEJO DEL DUELO",IF(N65=CURSOS!$D$5,"ATENCION A VICTIMAS DE ATAQUE CON AGENTES QUIMICOS ",IF(N65=CURSOS!$D$6,"PRIMEROS AUXILIOS ",IF(N65=CURSOS!$D$7,"DIPLOMADO DE UNIDAD DE CUIDADOS INTENSIVOS (UCI)",IF(N65=CURSOS!$D$8,"MODELO DE ATENCION PARA EVENTOS EMERGENTES EN SALUD MENTAL (CODIGO VERDE)",IF(N65=CURSOS!$D$9,"HUMANIZACION EN SALUD, BUENAS PRACTICAS EN PACIENTE ",IF(N65=CURSOS!$D$10,"CLINICA DE HERIDAS ",IF(N65=CURSOS!$D$11,"TOMA DE CITOLOGIA A CERVICO VAGINAL ",IF(N65=CURSOS!$D$12,"SOPORTE CARDIOVASCULAR AVANZADO ",IF(N65=CURSOS!$D$13,"CAMILLERO ",IF(N65=CURSOS!$D$14,"TOMA MUESTRAS Y LABORATORIO ",IF(N65=CURSOS!$D$15,"SOPORTE VITAL BASICO (BLS)",IF(N65=CURSOS!$D$16,"ATENCION A VICTIMAS DE VIOLENCIA SEXUAL ",IF(N65=CURSOS!$D$17,"PROGRAMADO AMPLIADO DE INMUNIZACION (PAI - COVID 19)",IF(N65=CURSOS!$D$18,"ATENCION INTEGRAL EN ENFERMEDADES PREVALENTES EN PRIMERA INFANCIA (AIEPI)",IF(N65=CURSOS!$D$19,"ADMINISTRACION DE MEDICAMENTOS, IYECTOLOGIA  Y CANALIZACION ",IF(N65=CURSOS!$D$20,"OPERADOR DE VEHICULOS DE EMERGENCIA (OVE)",IF(N65=CURSOS!$D$21,"INSTITUCIONES AMIGAS DE LA MUJER Y LA INFANCIA (IAMI)",IF(N65=CURSOS!$D$22,"CUIDADO DEL DONANTE DE ORGANOS",IF(N65=CURSOS!$D$23,"ATENCION A VICTIMAS POR VIOLENCIA DE GENERO",IF(N65=CURSOS!$D$24,"IGUALDAD DE GENERO EN LA SALUD",IF(N65=CURSOS!$D$25,"BRIGADA DE EMERGENCIA",IF(N65=CURSOS!$D$26,"MANEJO DEL DOLOR Y CUIDADOS PALIATIVOS",IF(N65=CURSOS!$D$27,"TOMA MUESTRAS Y LABORATORIO POCT",IF(N65=CURSOS!$D$28,"IMPLANTE SUBDERMICO Y DISPOSITIVO INTRAUTERINO",IF(N65=CURSOS!$D$29,"SALUD MENTAL",IF(N65=CURSOS!$D$30,"PRIMEROS AUXILIOS PSICOLOGICOS",IF(N65=CURSOS!$D$31,"ATENCION A VICTIMAS POR CONFLICTO ARMADO",IF(N65=CURSOS!$D$32,"MANIPULACION DE ALIMENTOS Y BPM",IF(N65=CURSOS!$D$33,"ATENCION A PERSONAS CON DISCAPACIDAD",IF(N65=CURSOS!$D$34,"CUIDADO INTEGRAL DEL PACIENTE ADULTO"))))))))))))))))))))))))))))))))</f>
        <v xml:space="preserve">SOPORTE CARDIOVASCULAR AVANZADO </v>
      </c>
      <c r="U65" s="64" t="str">
        <f t="shared" si="3"/>
        <v>Ronaldo  Manchabajoy Criollo</v>
      </c>
      <c r="V65" s="64" t="str">
        <f t="shared" si="4"/>
        <v>Ronaldo  Manchabajoy Criollo</v>
      </c>
      <c r="W65" s="64" t="str">
        <f t="shared" si="5"/>
        <v>Ronaldo  Manchabajoy Criollo-1234192018-ACLS</v>
      </c>
    </row>
    <row r="66" spans="1:23" s="21" customFormat="1" x14ac:dyDescent="0.2">
      <c r="A66" s="94">
        <v>65</v>
      </c>
      <c r="B66" s="62">
        <v>36953528</v>
      </c>
      <c r="C66" s="19" t="s">
        <v>302</v>
      </c>
      <c r="D66" s="19" t="s">
        <v>303</v>
      </c>
      <c r="E66" s="19" t="s">
        <v>304</v>
      </c>
      <c r="F66" s="19" t="s">
        <v>305</v>
      </c>
      <c r="G66" s="16">
        <v>14</v>
      </c>
      <c r="H66" s="16" t="s">
        <v>90</v>
      </c>
      <c r="I66" s="18">
        <v>45457</v>
      </c>
      <c r="J66" s="22">
        <v>100000</v>
      </c>
      <c r="K66" s="16" t="s">
        <v>107</v>
      </c>
      <c r="L66" s="16" t="s">
        <v>101</v>
      </c>
      <c r="M66" s="16" t="s">
        <v>93</v>
      </c>
      <c r="N66" s="17" t="s">
        <v>39</v>
      </c>
      <c r="O66" s="20">
        <v>29553</v>
      </c>
      <c r="P66" s="19" t="s">
        <v>108</v>
      </c>
      <c r="Q66" s="19" t="s">
        <v>109</v>
      </c>
      <c r="R66" s="19">
        <v>3186421179</v>
      </c>
      <c r="S66" s="19" t="s">
        <v>306</v>
      </c>
      <c r="T66" s="64" t="str">
        <f>IF(N66=CURSOS!$D$3,"DIPLOMADO EN ATENCION PRE-HOSPITALARIA",IF(N66=CURSOS!$D$4,"ACOMPAÑAMIENTO Y MANEJO DEL DUELO",IF(N66=CURSOS!$D$5,"ATENCION A VICTIMAS DE ATAQUE CON AGENTES QUIMICOS ",IF(N66=CURSOS!$D$6,"PRIMEROS AUXILIOS ",IF(N66=CURSOS!$D$7,"DIPLOMADO DE UNIDAD DE CUIDADOS INTENSIVOS (UCI)",IF(N66=CURSOS!$D$8,"MODELO DE ATENCION PARA EVENTOS EMERGENTES EN SALUD MENTAL (CODIGO VERDE)",IF(N66=CURSOS!$D$9,"HUMANIZACION EN SALUD, BUENAS PRACTICAS EN PACIENTE ",IF(N66=CURSOS!$D$10,"CLINICA DE HERIDAS ",IF(N66=CURSOS!$D$11,"TOMA DE CITOLOGIA A CERVICO VAGINAL ",IF(N66=CURSOS!$D$12,"SOPORTE CARDIOVASCULAR AVANZADO ",IF(N66=CURSOS!$D$13,"CAMILLERO ",IF(N66=CURSOS!$D$14,"TOMA MUESTRAS Y LABORATORIO ",IF(N66=CURSOS!$D$15,"SOPORTE VITAL BASICO (BLS)",IF(N66=CURSOS!$D$16,"ATENCION A VICTIMAS DE VIOLENCIA SEXUAL ",IF(N66=CURSOS!$D$17,"PROGRAMADO AMPLIADO DE INMUNIZACION (PAI - COVID 19)",IF(N66=CURSOS!$D$18,"ATENCION INTEGRAL EN ENFERMEDADES PREVALENTES EN PRIMERA INFANCIA (AIEPI)",IF(N66=CURSOS!$D$19,"ADMINISTRACION DE MEDICAMENTOS, IYECTOLOGIA  Y CANALIZACION ",IF(N66=CURSOS!$D$20,"OPERADOR DE VEHICULOS DE EMERGENCIA (OVE)",IF(N66=CURSOS!$D$21,"INSTITUCIONES AMIGAS DE LA MUJER Y LA INFANCIA (IAMI)",IF(N66=CURSOS!$D$22,"CUIDADO DEL DONANTE DE ORGANOS",IF(N66=CURSOS!$D$23,"ATENCION A VICTIMAS POR VIOLENCIA DE GENERO",IF(N66=CURSOS!$D$24,"IGUALDAD DE GENERO EN LA SALUD",IF(N66=CURSOS!$D$25,"BRIGADA DE EMERGENCIA",IF(N66=CURSOS!$D$26,"MANEJO DEL DOLOR Y CUIDADOS PALIATIVOS",IF(N66=CURSOS!$D$27,"TOMA MUESTRAS Y LABORATORIO POCT",IF(N66=CURSOS!$D$28,"IMPLANTE SUBDERMICO Y DISPOSITIVO INTRAUTERINO",IF(N66=CURSOS!$D$29,"SALUD MENTAL",IF(N66=CURSOS!$D$30,"PRIMEROS AUXILIOS PSICOLOGICOS",IF(N66=CURSOS!$D$31,"ATENCION A VICTIMAS POR CONFLICTO ARMADO",IF(N66=CURSOS!$D$32,"MANIPULACION DE ALIMENTOS Y BPM",IF(N66=CURSOS!$D$33,"ATENCION A PERSONAS CON DISCAPACIDAD",IF(N66=CURSOS!$D$34,"CUIDADO INTEGRAL DEL PACIENTE ADULTO"))))))))))))))))))))))))))))))))</f>
        <v xml:space="preserve">SOPORTE CARDIOVASCULAR AVANZADO </v>
      </c>
      <c r="U66" s="64" t="str">
        <f t="shared" si="3"/>
        <v>Eliana Maricel Solarte Argoty</v>
      </c>
      <c r="V66" s="64" t="str">
        <f t="shared" si="4"/>
        <v>Eliana Maricel Solarte Argoty</v>
      </c>
      <c r="W66" s="64" t="str">
        <f t="shared" si="5"/>
        <v>Eliana Maricel Solarte Argoty-36953528-ACLS</v>
      </c>
    </row>
    <row r="67" spans="1:23" s="21" customFormat="1" x14ac:dyDescent="0.2">
      <c r="A67" s="94">
        <v>66</v>
      </c>
      <c r="B67" s="62">
        <v>36953528</v>
      </c>
      <c r="C67" s="19" t="s">
        <v>302</v>
      </c>
      <c r="D67" s="19" t="s">
        <v>303</v>
      </c>
      <c r="E67" s="19" t="s">
        <v>304</v>
      </c>
      <c r="F67" s="19" t="s">
        <v>305</v>
      </c>
      <c r="G67" s="16">
        <v>14</v>
      </c>
      <c r="H67" s="16" t="s">
        <v>90</v>
      </c>
      <c r="I67" s="18">
        <v>45457</v>
      </c>
      <c r="J67" s="22">
        <v>35000</v>
      </c>
      <c r="K67" s="16" t="s">
        <v>107</v>
      </c>
      <c r="L67" s="16" t="s">
        <v>101</v>
      </c>
      <c r="M67" s="16" t="s">
        <v>93</v>
      </c>
      <c r="N67" s="17" t="s">
        <v>23</v>
      </c>
      <c r="O67" s="20">
        <v>29553</v>
      </c>
      <c r="P67" s="19" t="s">
        <v>108</v>
      </c>
      <c r="Q67" s="19" t="s">
        <v>109</v>
      </c>
      <c r="R67" s="19">
        <v>3186421179</v>
      </c>
      <c r="S67" s="19" t="s">
        <v>306</v>
      </c>
      <c r="T67" s="64" t="str">
        <f>IF(N67=CURSOS!$D$3,"DIPLOMADO EN ATENCION PRE-HOSPITALARIA",IF(N67=CURSOS!$D$4,"ACOMPAÑAMIENTO Y MANEJO DEL DUELO",IF(N67=CURSOS!$D$5,"ATENCION A VICTIMAS DE ATAQUE CON AGENTES QUIMICOS ",IF(N67=CURSOS!$D$6,"PRIMEROS AUXILIOS ",IF(N67=CURSOS!$D$7,"DIPLOMADO DE UNIDAD DE CUIDADOS INTENSIVOS (UCI)",IF(N67=CURSOS!$D$8,"MODELO DE ATENCION PARA EVENTOS EMERGENTES EN SALUD MENTAL (CODIGO VERDE)",IF(N67=CURSOS!$D$9,"HUMANIZACION EN SALUD, BUENAS PRACTICAS EN PACIENTE ",IF(N67=CURSOS!$D$10,"CLINICA DE HERIDAS ",IF(N67=CURSOS!$D$11,"TOMA DE CITOLOGIA A CERVICO VAGINAL ",IF(N67=CURSOS!$D$12,"SOPORTE CARDIOVASCULAR AVANZADO ",IF(N67=CURSOS!$D$13,"CAMILLERO ",IF(N67=CURSOS!$D$14,"TOMA MUESTRAS Y LABORATORIO ",IF(N67=CURSOS!$D$15,"SOPORTE VITAL BASICO (BLS)",IF(N67=CURSOS!$D$16,"ATENCION A VICTIMAS DE VIOLENCIA SEXUAL ",IF(N67=CURSOS!$D$17,"PROGRAMADO AMPLIADO DE INMUNIZACION (PAI - COVID 19)",IF(N67=CURSOS!$D$18,"ATENCION INTEGRAL EN ENFERMEDADES PREVALENTES EN PRIMERA INFANCIA (AIEPI)",IF(N67=CURSOS!$D$19,"ADMINISTRACION DE MEDICAMENTOS, IYECTOLOGIA  Y CANALIZACION ",IF(N67=CURSOS!$D$20,"OPERADOR DE VEHICULOS DE EMERGENCIA (OVE)",IF(N67=CURSOS!$D$21,"INSTITUCIONES AMIGAS DE LA MUJER Y LA INFANCIA (IAMI)",IF(N67=CURSOS!$D$22,"CUIDADO DEL DONANTE DE ORGANOS",IF(N67=CURSOS!$D$23,"ATENCION A VICTIMAS POR VIOLENCIA DE GENERO",IF(N67=CURSOS!$D$24,"IGUALDAD DE GENERO EN LA SALUD",IF(N67=CURSOS!$D$25,"BRIGADA DE EMERGENCIA",IF(N67=CURSOS!$D$26,"MANEJO DEL DOLOR Y CUIDADOS PALIATIVOS",IF(N67=CURSOS!$D$27,"TOMA MUESTRAS Y LABORATORIO POCT",IF(N67=CURSOS!$D$28,"IMPLANTE SUBDERMICO Y DISPOSITIVO INTRAUTERINO",IF(N67=CURSOS!$D$29,"SALUD MENTAL",IF(N67=CURSOS!$D$30,"PRIMEROS AUXILIOS PSICOLOGICOS",IF(N67=CURSOS!$D$31,"ATENCION A VICTIMAS POR CONFLICTO ARMADO",IF(N67=CURSOS!$D$32,"MANIPULACION DE ALIMENTOS Y BPM",IF(N67=CURSOS!$D$33,"ATENCION A PERSONAS CON DISCAPACIDAD",IF(N67=CURSOS!$D$34,"CUIDADO INTEGRAL DEL PACIENTE ADULTO"))))))))))))))))))))))))))))))))</f>
        <v>ACOMPAÑAMIENTO Y MANEJO DEL DUELO</v>
      </c>
      <c r="U67" s="64" t="str">
        <f t="shared" ref="U67:U130" si="6">CONCATENATE(E67," ",F67," ",C67," ",D67)</f>
        <v>Eliana Maricel Solarte Argoty</v>
      </c>
      <c r="V67" s="64" t="str">
        <f t="shared" ref="V67:V130" si="7">+PROPER(U67)</f>
        <v>Eliana Maricel Solarte Argoty</v>
      </c>
      <c r="W67" s="64" t="str">
        <f t="shared" ref="W67:W130" si="8">CONCATENATE(U67,"-",B67,"-",N67)</f>
        <v>Eliana Maricel Solarte Argoty-36953528-DUELO</v>
      </c>
    </row>
    <row r="68" spans="1:23" s="21" customFormat="1" x14ac:dyDescent="0.2">
      <c r="A68" s="94">
        <v>67</v>
      </c>
      <c r="B68" s="62">
        <v>1234192018</v>
      </c>
      <c r="C68" s="19" t="s">
        <v>298</v>
      </c>
      <c r="D68" s="19" t="s">
        <v>299</v>
      </c>
      <c r="E68" s="19" t="s">
        <v>300</v>
      </c>
      <c r="F68" s="19"/>
      <c r="G68" s="16">
        <v>14</v>
      </c>
      <c r="H68" s="16" t="s">
        <v>90</v>
      </c>
      <c r="I68" s="18" t="s">
        <v>357</v>
      </c>
      <c r="J68" s="22">
        <v>0</v>
      </c>
      <c r="K68" s="16" t="s">
        <v>357</v>
      </c>
      <c r="L68" s="16" t="s">
        <v>101</v>
      </c>
      <c r="M68" s="16" t="s">
        <v>193</v>
      </c>
      <c r="N68" s="17" t="s">
        <v>19</v>
      </c>
      <c r="O68" s="20">
        <v>35934</v>
      </c>
      <c r="P68" s="19" t="s">
        <v>94</v>
      </c>
      <c r="Q68" s="19" t="s">
        <v>111</v>
      </c>
      <c r="R68" s="19">
        <v>3127448887</v>
      </c>
      <c r="S68" s="19" t="s">
        <v>301</v>
      </c>
      <c r="T68" s="64" t="str">
        <f>IF(N68=CURSOS!$D$3,"DIPLOMADO EN ATENCION PRE-HOSPITALARIA",IF(N68=CURSOS!$D$4,"ACOMPAÑAMIENTO Y MANEJO DEL DUELO",IF(N68=CURSOS!$D$5,"ATENCION A VICTIMAS DE ATAQUE CON AGENTES QUIMICOS ",IF(N68=CURSOS!$D$6,"PRIMEROS AUXILIOS ",IF(N68=CURSOS!$D$7,"DIPLOMADO DE UNIDAD DE CUIDADOS INTENSIVOS (UCI)",IF(N68=CURSOS!$D$8,"MODELO DE ATENCION PARA EVENTOS EMERGENTES EN SALUD MENTAL (CODIGO VERDE)",IF(N68=CURSOS!$D$9,"HUMANIZACION EN SALUD, BUENAS PRACTICAS EN PACIENTE ",IF(N68=CURSOS!$D$10,"CLINICA DE HERIDAS ",IF(N68=CURSOS!$D$11,"TOMA DE CITOLOGIA A CERVICO VAGINAL ",IF(N68=CURSOS!$D$12,"SOPORTE CARDIOVASCULAR AVANZADO ",IF(N68=CURSOS!$D$13,"CAMILLERO ",IF(N68=CURSOS!$D$14,"TOMA MUESTRAS Y LABORATORIO ",IF(N68=CURSOS!$D$15,"SOPORTE VITAL BASICO (BLS)",IF(N68=CURSOS!$D$16,"ATENCION A VICTIMAS DE VIOLENCIA SEXUAL ",IF(N68=CURSOS!$D$17,"PROGRAMADO AMPLIADO DE INMUNIZACION (PAI - COVID 19)",IF(N68=CURSOS!$D$18,"ATENCION INTEGRAL EN ENFERMEDADES PREVALENTES EN PRIMERA INFANCIA (AIEPI)",IF(N68=CURSOS!$D$19,"ADMINISTRACION DE MEDICAMENTOS, IYECTOLOGIA  Y CANALIZACION ",IF(N68=CURSOS!$D$20,"OPERADOR DE VEHICULOS DE EMERGENCIA (OVE)",IF(N68=CURSOS!$D$21,"INSTITUCIONES AMIGAS DE LA MUJER Y LA INFANCIA (IAMI)",IF(N68=CURSOS!$D$22,"CUIDADO DEL DONANTE DE ORGANOS",IF(N68=CURSOS!$D$23,"ATENCION A VICTIMAS POR VIOLENCIA DE GENERO",IF(N68=CURSOS!$D$24,"IGUALDAD DE GENERO EN LA SALUD",IF(N68=CURSOS!$D$25,"BRIGADA DE EMERGENCIA",IF(N68=CURSOS!$D$26,"MANEJO DEL DOLOR Y CUIDADOS PALIATIVOS",IF(N68=CURSOS!$D$27,"TOMA MUESTRAS Y LABORATORIO POCT",IF(N68=CURSOS!$D$28,"IMPLANTE SUBDERMICO Y DISPOSITIVO INTRAUTERINO",IF(N68=CURSOS!$D$29,"SALUD MENTAL",IF(N68=CURSOS!$D$30,"PRIMEROS AUXILIOS PSICOLOGICOS",IF(N68=CURSOS!$D$31,"ATENCION A VICTIMAS POR CONFLICTO ARMADO",IF(N68=CURSOS!$D$32,"MANIPULACION DE ALIMENTOS Y BPM",IF(N68=CURSOS!$D$33,"ATENCION A PERSONAS CON DISCAPACIDAD",IF(N68=CURSOS!$D$34,"CUIDADO INTEGRAL DEL PACIENTE ADULTO"))))))))))))))))))))))))))))))))</f>
        <v>SOPORTE VITAL BASICO (BLS)</v>
      </c>
      <c r="U68" s="64" t="str">
        <f t="shared" si="6"/>
        <v>Ronaldo  Manchabajoy Criollo</v>
      </c>
      <c r="V68" s="64" t="str">
        <f t="shared" si="7"/>
        <v>Ronaldo  Manchabajoy Criollo</v>
      </c>
      <c r="W68" s="64" t="str">
        <f t="shared" si="8"/>
        <v>Ronaldo  Manchabajoy Criollo-1234192018-BLS</v>
      </c>
    </row>
    <row r="69" spans="1:23" s="21" customFormat="1" x14ac:dyDescent="0.2">
      <c r="A69" s="94">
        <v>68</v>
      </c>
      <c r="B69" s="62">
        <v>1084221284</v>
      </c>
      <c r="C69" s="19" t="s">
        <v>307</v>
      </c>
      <c r="D69" s="19" t="s">
        <v>308</v>
      </c>
      <c r="E69" s="19" t="s">
        <v>309</v>
      </c>
      <c r="F69" s="19" t="s">
        <v>310</v>
      </c>
      <c r="G69" s="16">
        <v>17</v>
      </c>
      <c r="H69" s="16" t="s">
        <v>90</v>
      </c>
      <c r="I69" s="18">
        <v>45460</v>
      </c>
      <c r="J69" s="22">
        <v>100000</v>
      </c>
      <c r="K69" s="16" t="s">
        <v>91</v>
      </c>
      <c r="L69" s="16" t="s">
        <v>101</v>
      </c>
      <c r="M69" s="16" t="s">
        <v>93</v>
      </c>
      <c r="N69" s="17" t="s">
        <v>39</v>
      </c>
      <c r="O69" s="20">
        <v>31851</v>
      </c>
      <c r="P69" s="19" t="s">
        <v>108</v>
      </c>
      <c r="Q69" s="19" t="s">
        <v>311</v>
      </c>
      <c r="R69" s="19">
        <v>3108905638</v>
      </c>
      <c r="S69" s="19" t="s">
        <v>312</v>
      </c>
      <c r="T69" s="64" t="str">
        <f>IF(N69=CURSOS!$D$3,"DIPLOMADO EN ATENCION PRE-HOSPITALARIA",IF(N69=CURSOS!$D$4,"ACOMPAÑAMIENTO Y MANEJO DEL DUELO",IF(N69=CURSOS!$D$5,"ATENCION A VICTIMAS DE ATAQUE CON AGENTES QUIMICOS ",IF(N69=CURSOS!$D$6,"PRIMEROS AUXILIOS ",IF(N69=CURSOS!$D$7,"DIPLOMADO DE UNIDAD DE CUIDADOS INTENSIVOS (UCI)",IF(N69=CURSOS!$D$8,"MODELO DE ATENCION PARA EVENTOS EMERGENTES EN SALUD MENTAL (CODIGO VERDE)",IF(N69=CURSOS!$D$9,"HUMANIZACION EN SALUD, BUENAS PRACTICAS EN PACIENTE ",IF(N69=CURSOS!$D$10,"CLINICA DE HERIDAS ",IF(N69=CURSOS!$D$11,"TOMA DE CITOLOGIA A CERVICO VAGINAL ",IF(N69=CURSOS!$D$12,"SOPORTE CARDIOVASCULAR AVANZADO ",IF(N69=CURSOS!$D$13,"CAMILLERO ",IF(N69=CURSOS!$D$14,"TOMA MUESTRAS Y LABORATORIO ",IF(N69=CURSOS!$D$15,"SOPORTE VITAL BASICO (BLS)",IF(N69=CURSOS!$D$16,"ATENCION A VICTIMAS DE VIOLENCIA SEXUAL ",IF(N69=CURSOS!$D$17,"PROGRAMADO AMPLIADO DE INMUNIZACION (PAI - COVID 19)",IF(N69=CURSOS!$D$18,"ATENCION INTEGRAL EN ENFERMEDADES PREVALENTES EN PRIMERA INFANCIA (AIEPI)",IF(N69=CURSOS!$D$19,"ADMINISTRACION DE MEDICAMENTOS, IYECTOLOGIA  Y CANALIZACION ",IF(N69=CURSOS!$D$20,"OPERADOR DE VEHICULOS DE EMERGENCIA (OVE)",IF(N69=CURSOS!$D$21,"INSTITUCIONES AMIGAS DE LA MUJER Y LA INFANCIA (IAMI)",IF(N69=CURSOS!$D$22,"CUIDADO DEL DONANTE DE ORGANOS",IF(N69=CURSOS!$D$23,"ATENCION A VICTIMAS POR VIOLENCIA DE GENERO",IF(N69=CURSOS!$D$24,"IGUALDAD DE GENERO EN LA SALUD",IF(N69=CURSOS!$D$25,"BRIGADA DE EMERGENCIA",IF(N69=CURSOS!$D$26,"MANEJO DEL DOLOR Y CUIDADOS PALIATIVOS",IF(N69=CURSOS!$D$27,"TOMA MUESTRAS Y LABORATORIO POCT",IF(N69=CURSOS!$D$28,"IMPLANTE SUBDERMICO Y DISPOSITIVO INTRAUTERINO",IF(N69=CURSOS!$D$29,"SALUD MENTAL",IF(N69=CURSOS!$D$30,"PRIMEROS AUXILIOS PSICOLOGICOS",IF(N69=CURSOS!$D$31,"ATENCION A VICTIMAS POR CONFLICTO ARMADO",IF(N69=CURSOS!$D$32,"MANIPULACION DE ALIMENTOS Y BPM",IF(N69=CURSOS!$D$33,"ATENCION A PERSONAS CON DISCAPACIDAD",IF(N69=CURSOS!$D$34,"CUIDADO INTEGRAL DEL PACIENTE ADULTO"))))))))))))))))))))))))))))))))</f>
        <v xml:space="preserve">SOPORTE CARDIOVASCULAR AVANZADO </v>
      </c>
      <c r="U69" s="64" t="str">
        <f t="shared" si="6"/>
        <v>Angie Julieta Figueroa Chaves</v>
      </c>
      <c r="V69" s="64" t="str">
        <f t="shared" si="7"/>
        <v>Angie Julieta Figueroa Chaves</v>
      </c>
      <c r="W69" s="64" t="str">
        <f t="shared" si="8"/>
        <v>Angie Julieta Figueroa Chaves-1084221284-ACLS</v>
      </c>
    </row>
    <row r="70" spans="1:23" s="21" customFormat="1" x14ac:dyDescent="0.2">
      <c r="A70" s="94">
        <v>69</v>
      </c>
      <c r="B70" s="62">
        <v>1084221284</v>
      </c>
      <c r="C70" s="19" t="s">
        <v>307</v>
      </c>
      <c r="D70" s="19" t="s">
        <v>308</v>
      </c>
      <c r="E70" s="19" t="s">
        <v>309</v>
      </c>
      <c r="F70" s="19" t="s">
        <v>310</v>
      </c>
      <c r="G70" s="16">
        <v>17</v>
      </c>
      <c r="H70" s="16" t="s">
        <v>90</v>
      </c>
      <c r="I70" s="18">
        <v>45460</v>
      </c>
      <c r="J70" s="22">
        <v>30000</v>
      </c>
      <c r="K70" s="16" t="s">
        <v>91</v>
      </c>
      <c r="L70" s="16" t="s">
        <v>101</v>
      </c>
      <c r="M70" s="16" t="s">
        <v>93</v>
      </c>
      <c r="N70" s="17" t="s">
        <v>46</v>
      </c>
      <c r="O70" s="20">
        <v>31851</v>
      </c>
      <c r="P70" s="19" t="s">
        <v>108</v>
      </c>
      <c r="Q70" s="19" t="s">
        <v>311</v>
      </c>
      <c r="R70" s="19">
        <v>3108905638</v>
      </c>
      <c r="S70" s="19" t="s">
        <v>312</v>
      </c>
      <c r="T70" s="64" t="str">
        <f>IF(N70=CURSOS!$D$3,"DIPLOMADO EN ATENCION PRE-HOSPITALARIA",IF(N70=CURSOS!$D$4,"ACOMPAÑAMIENTO Y MANEJO DEL DUELO",IF(N70=CURSOS!$D$5,"ATENCION A VICTIMAS DE ATAQUE CON AGENTES QUIMICOS ",IF(N70=CURSOS!$D$6,"PRIMEROS AUXILIOS ",IF(N70=CURSOS!$D$7,"DIPLOMADO DE UNIDAD DE CUIDADOS INTENSIVOS (UCI)",IF(N70=CURSOS!$D$8,"MODELO DE ATENCION PARA EVENTOS EMERGENTES EN SALUD MENTAL (CODIGO VERDE)",IF(N70=CURSOS!$D$9,"HUMANIZACION EN SALUD, BUENAS PRACTICAS EN PACIENTE ",IF(N70=CURSOS!$D$10,"CLINICA DE HERIDAS ",IF(N70=CURSOS!$D$11,"TOMA DE CITOLOGIA A CERVICO VAGINAL ",IF(N70=CURSOS!$D$12,"SOPORTE CARDIOVASCULAR AVANZADO ",IF(N70=CURSOS!$D$13,"CAMILLERO ",IF(N70=CURSOS!$D$14,"TOMA MUESTRAS Y LABORATORIO ",IF(N70=CURSOS!$D$15,"SOPORTE VITAL BASICO (BLS)",IF(N70=CURSOS!$D$16,"ATENCION A VICTIMAS DE VIOLENCIA SEXUAL ",IF(N70=CURSOS!$D$17,"PROGRAMADO AMPLIADO DE INMUNIZACION (PAI - COVID 19)",IF(N70=CURSOS!$D$18,"ATENCION INTEGRAL EN ENFERMEDADES PREVALENTES EN PRIMERA INFANCIA (AIEPI)",IF(N70=CURSOS!$D$19,"ADMINISTRACION DE MEDICAMENTOS, IYECTOLOGIA  Y CANALIZACION ",IF(N70=CURSOS!$D$20,"OPERADOR DE VEHICULOS DE EMERGENCIA (OVE)",IF(N70=CURSOS!$D$21,"INSTITUCIONES AMIGAS DE LA MUJER Y LA INFANCIA (IAMI)",IF(N70=CURSOS!$D$22,"CUIDADO DEL DONANTE DE ORGANOS",IF(N70=CURSOS!$D$23,"ATENCION A VICTIMAS POR VIOLENCIA DE GENERO",IF(N70=CURSOS!$D$24,"IGUALDAD DE GENERO EN LA SALUD",IF(N70=CURSOS!$D$25,"BRIGADA DE EMERGENCIA",IF(N70=CURSOS!$D$26,"MANEJO DEL DOLOR Y CUIDADOS PALIATIVOS",IF(N70=CURSOS!$D$27,"TOMA MUESTRAS Y LABORATORIO POCT",IF(N70=CURSOS!$D$28,"IMPLANTE SUBDERMICO Y DISPOSITIVO INTRAUTERINO",IF(N70=CURSOS!$D$29,"SALUD MENTAL",IF(N70=CURSOS!$D$30,"PRIMEROS AUXILIOS PSICOLOGICOS",IF(N70=CURSOS!$D$31,"ATENCION A VICTIMAS POR CONFLICTO ARMADO",IF(N70=CURSOS!$D$32,"MANIPULACION DE ALIMENTOS Y BPM",IF(N70=CURSOS!$D$33,"ATENCION A PERSONAS CON DISCAPACIDAD",IF(N70=CURSOS!$D$34,"CUIDADO INTEGRAL DEL PACIENTE ADULTO"))))))))))))))))))))))))))))))))</f>
        <v xml:space="preserve">ATENCION A VICTIMAS DE VIOLENCIA SEXUAL </v>
      </c>
      <c r="U70" s="64" t="str">
        <f t="shared" si="6"/>
        <v>Angie Julieta Figueroa Chaves</v>
      </c>
      <c r="V70" s="64" t="str">
        <f t="shared" si="7"/>
        <v>Angie Julieta Figueroa Chaves</v>
      </c>
      <c r="W70" s="64" t="str">
        <f t="shared" si="8"/>
        <v>Angie Julieta Figueroa Chaves-1084221284-VIOLENCIA SEXUAL</v>
      </c>
    </row>
    <row r="71" spans="1:23" s="21" customFormat="1" x14ac:dyDescent="0.2">
      <c r="A71" s="94">
        <v>70</v>
      </c>
      <c r="B71" s="62">
        <v>1084221284</v>
      </c>
      <c r="C71" s="19" t="s">
        <v>307</v>
      </c>
      <c r="D71" s="19" t="s">
        <v>308</v>
      </c>
      <c r="E71" s="19" t="s">
        <v>309</v>
      </c>
      <c r="F71" s="19" t="s">
        <v>310</v>
      </c>
      <c r="G71" s="16">
        <v>17</v>
      </c>
      <c r="H71" s="16" t="s">
        <v>90</v>
      </c>
      <c r="I71" s="18">
        <v>45460</v>
      </c>
      <c r="J71" s="22">
        <v>30000</v>
      </c>
      <c r="K71" s="16" t="s">
        <v>91</v>
      </c>
      <c r="L71" s="16" t="s">
        <v>101</v>
      </c>
      <c r="M71" s="16" t="s">
        <v>93</v>
      </c>
      <c r="N71" s="17" t="s">
        <v>64</v>
      </c>
      <c r="O71" s="20">
        <v>31851</v>
      </c>
      <c r="P71" s="19" t="s">
        <v>108</v>
      </c>
      <c r="Q71" s="19" t="s">
        <v>311</v>
      </c>
      <c r="R71" s="19">
        <v>3108905638</v>
      </c>
      <c r="S71" s="19" t="s">
        <v>312</v>
      </c>
      <c r="T71" s="64" t="str">
        <f>IF(N71=CURSOS!$D$3,"DIPLOMADO EN ATENCION PRE-HOSPITALARIA",IF(N71=CURSOS!$D$4,"ACOMPAÑAMIENTO Y MANEJO DEL DUELO",IF(N71=CURSOS!$D$5,"ATENCION A VICTIMAS DE ATAQUE CON AGENTES QUIMICOS ",IF(N71=CURSOS!$D$6,"PRIMEROS AUXILIOS ",IF(N71=CURSOS!$D$7,"DIPLOMADO DE UNIDAD DE CUIDADOS INTENSIVOS (UCI)",IF(N71=CURSOS!$D$8,"MODELO DE ATENCION PARA EVENTOS EMERGENTES EN SALUD MENTAL (CODIGO VERDE)",IF(N71=CURSOS!$D$9,"HUMANIZACION EN SALUD, BUENAS PRACTICAS EN PACIENTE ",IF(N71=CURSOS!$D$10,"CLINICA DE HERIDAS ",IF(N71=CURSOS!$D$11,"TOMA DE CITOLOGIA A CERVICO VAGINAL ",IF(N71=CURSOS!$D$12,"SOPORTE CARDIOVASCULAR AVANZADO ",IF(N71=CURSOS!$D$13,"CAMILLERO ",IF(N71=CURSOS!$D$14,"TOMA MUESTRAS Y LABORATORIO ",IF(N71=CURSOS!$D$15,"SOPORTE VITAL BASICO (BLS)",IF(N71=CURSOS!$D$16,"ATENCION A VICTIMAS DE VIOLENCIA SEXUAL ",IF(N71=CURSOS!$D$17,"PROGRAMADO AMPLIADO DE INMUNIZACION (PAI - COVID 19)",IF(N71=CURSOS!$D$18,"ATENCION INTEGRAL EN ENFERMEDADES PREVALENTES EN PRIMERA INFANCIA (AIEPI)",IF(N71=CURSOS!$D$19,"ADMINISTRACION DE MEDICAMENTOS, IYECTOLOGIA  Y CANALIZACION ",IF(N71=CURSOS!$D$20,"OPERADOR DE VEHICULOS DE EMERGENCIA (OVE)",IF(N71=CURSOS!$D$21,"INSTITUCIONES AMIGAS DE LA MUJER Y LA INFANCIA (IAMI)",IF(N71=CURSOS!$D$22,"CUIDADO DEL DONANTE DE ORGANOS",IF(N71=CURSOS!$D$23,"ATENCION A VICTIMAS POR VIOLENCIA DE GENERO",IF(N71=CURSOS!$D$24,"IGUALDAD DE GENERO EN LA SALUD",IF(N71=CURSOS!$D$25,"BRIGADA DE EMERGENCIA",IF(N71=CURSOS!$D$26,"MANEJO DEL DOLOR Y CUIDADOS PALIATIVOS",IF(N71=CURSOS!$D$27,"TOMA MUESTRAS Y LABORATORIO POCT",IF(N71=CURSOS!$D$28,"IMPLANTE SUBDERMICO Y DISPOSITIVO INTRAUTERINO",IF(N71=CURSOS!$D$29,"SALUD MENTAL",IF(N71=CURSOS!$D$30,"PRIMEROS AUXILIOS PSICOLOGICOS",IF(N71=CURSOS!$D$31,"ATENCION A VICTIMAS POR CONFLICTO ARMADO",IF(N71=CURSOS!$D$32,"MANIPULACION DE ALIMENTOS Y BPM",IF(N71=CURSOS!$D$33,"ATENCION A PERSONAS CON DISCAPACIDAD",IF(N71=CURSOS!$D$34,"CUIDADO INTEGRAL DEL PACIENTE ADULTO"))))))))))))))))))))))))))))))))</f>
        <v>MANEJO DEL DOLOR Y CUIDADOS PALIATIVOS</v>
      </c>
      <c r="U71" s="64" t="str">
        <f t="shared" si="6"/>
        <v>Angie Julieta Figueroa Chaves</v>
      </c>
      <c r="V71" s="64" t="str">
        <f t="shared" si="7"/>
        <v>Angie Julieta Figueroa Chaves</v>
      </c>
      <c r="W71" s="64" t="str">
        <f t="shared" si="8"/>
        <v>Angie Julieta Figueroa Chaves-1084221284-PALIATIVOS</v>
      </c>
    </row>
    <row r="72" spans="1:23" s="21" customFormat="1" x14ac:dyDescent="0.2">
      <c r="A72" s="94">
        <v>71</v>
      </c>
      <c r="B72" s="62">
        <v>1151945606</v>
      </c>
      <c r="C72" s="19" t="s">
        <v>313</v>
      </c>
      <c r="D72" s="19" t="s">
        <v>243</v>
      </c>
      <c r="E72" s="19" t="s">
        <v>314</v>
      </c>
      <c r="F72" s="19" t="s">
        <v>315</v>
      </c>
      <c r="G72" s="16">
        <v>15</v>
      </c>
      <c r="H72" s="16" t="s">
        <v>90</v>
      </c>
      <c r="I72" s="18">
        <v>45469</v>
      </c>
      <c r="J72" s="22">
        <v>90000</v>
      </c>
      <c r="K72" s="16" t="s">
        <v>316</v>
      </c>
      <c r="L72" s="16" t="s">
        <v>101</v>
      </c>
      <c r="M72" s="16" t="s">
        <v>205</v>
      </c>
      <c r="N72" s="17" t="s">
        <v>39</v>
      </c>
      <c r="O72" s="20">
        <v>33667</v>
      </c>
      <c r="P72" s="19" t="s">
        <v>108</v>
      </c>
      <c r="Q72" s="19" t="s">
        <v>109</v>
      </c>
      <c r="R72" s="19">
        <v>3117250200</v>
      </c>
      <c r="S72" s="19" t="s">
        <v>317</v>
      </c>
      <c r="T72" s="64" t="str">
        <f>IF(N72=CURSOS!$D$3,"DIPLOMADO EN ATENCION PRE-HOSPITALARIA",IF(N72=CURSOS!$D$4,"ACOMPAÑAMIENTO Y MANEJO DEL DUELO",IF(N72=CURSOS!$D$5,"ATENCION A VICTIMAS DE ATAQUE CON AGENTES QUIMICOS ",IF(N72=CURSOS!$D$6,"PRIMEROS AUXILIOS ",IF(N72=CURSOS!$D$7,"DIPLOMADO DE UNIDAD DE CUIDADOS INTENSIVOS (UCI)",IF(N72=CURSOS!$D$8,"MODELO DE ATENCION PARA EVENTOS EMERGENTES EN SALUD MENTAL (CODIGO VERDE)",IF(N72=CURSOS!$D$9,"HUMANIZACION EN SALUD, BUENAS PRACTICAS EN PACIENTE ",IF(N72=CURSOS!$D$10,"CLINICA DE HERIDAS ",IF(N72=CURSOS!$D$11,"TOMA DE CITOLOGIA A CERVICO VAGINAL ",IF(N72=CURSOS!$D$12,"SOPORTE CARDIOVASCULAR AVANZADO ",IF(N72=CURSOS!$D$13,"CAMILLERO ",IF(N72=CURSOS!$D$14,"TOMA MUESTRAS Y LABORATORIO ",IF(N72=CURSOS!$D$15,"SOPORTE VITAL BASICO (BLS)",IF(N72=CURSOS!$D$16,"ATENCION A VICTIMAS DE VIOLENCIA SEXUAL ",IF(N72=CURSOS!$D$17,"PROGRAMADO AMPLIADO DE INMUNIZACION (PAI - COVID 19)",IF(N72=CURSOS!$D$18,"ATENCION INTEGRAL EN ENFERMEDADES PREVALENTES EN PRIMERA INFANCIA (AIEPI)",IF(N72=CURSOS!$D$19,"ADMINISTRACION DE MEDICAMENTOS, IYECTOLOGIA  Y CANALIZACION ",IF(N72=CURSOS!$D$20,"OPERADOR DE VEHICULOS DE EMERGENCIA (OVE)",IF(N72=CURSOS!$D$21,"INSTITUCIONES AMIGAS DE LA MUJER Y LA INFANCIA (IAMI)",IF(N72=CURSOS!$D$22,"CUIDADO DEL DONANTE DE ORGANOS",IF(N72=CURSOS!$D$23,"ATENCION A VICTIMAS POR VIOLENCIA DE GENERO",IF(N72=CURSOS!$D$24,"IGUALDAD DE GENERO EN LA SALUD",IF(N72=CURSOS!$D$25,"BRIGADA DE EMERGENCIA",IF(N72=CURSOS!$D$26,"MANEJO DEL DOLOR Y CUIDADOS PALIATIVOS",IF(N72=CURSOS!$D$27,"TOMA MUESTRAS Y LABORATORIO POCT",IF(N72=CURSOS!$D$28,"IMPLANTE SUBDERMICO Y DISPOSITIVO INTRAUTERINO",IF(N72=CURSOS!$D$29,"SALUD MENTAL",IF(N72=CURSOS!$D$30,"PRIMEROS AUXILIOS PSICOLOGICOS",IF(N72=CURSOS!$D$31,"ATENCION A VICTIMAS POR CONFLICTO ARMADO",IF(N72=CURSOS!$D$32,"MANIPULACION DE ALIMENTOS Y BPM",IF(N72=CURSOS!$D$33,"ATENCION A PERSONAS CON DISCAPACIDAD",IF(N72=CURSOS!$D$34,"CUIDADO INTEGRAL DEL PACIENTE ADULTO"))))))))))))))))))))))))))))))))</f>
        <v xml:space="preserve">SOPORTE CARDIOVASCULAR AVANZADO </v>
      </c>
      <c r="U72" s="64" t="str">
        <f t="shared" si="6"/>
        <v>Sindy Rocio Perlaza Rodriguez</v>
      </c>
      <c r="V72" s="64" t="str">
        <f t="shared" si="7"/>
        <v>Sindy Rocio Perlaza Rodriguez</v>
      </c>
      <c r="W72" s="64" t="str">
        <f t="shared" si="8"/>
        <v>Sindy Rocio Perlaza Rodriguez-1151945606-ACLS</v>
      </c>
    </row>
    <row r="73" spans="1:23" s="21" customFormat="1" x14ac:dyDescent="0.2">
      <c r="A73" s="94">
        <v>72</v>
      </c>
      <c r="B73" s="62">
        <v>1151945606</v>
      </c>
      <c r="C73" s="19" t="s">
        <v>313</v>
      </c>
      <c r="D73" s="19" t="s">
        <v>243</v>
      </c>
      <c r="E73" s="19" t="s">
        <v>314</v>
      </c>
      <c r="F73" s="19" t="s">
        <v>315</v>
      </c>
      <c r="G73" s="16">
        <v>15</v>
      </c>
      <c r="H73" s="16" t="s">
        <v>90</v>
      </c>
      <c r="I73" s="18">
        <v>45469</v>
      </c>
      <c r="J73" s="22">
        <v>20000</v>
      </c>
      <c r="K73" s="16" t="s">
        <v>316</v>
      </c>
      <c r="L73" s="16" t="s">
        <v>101</v>
      </c>
      <c r="M73" s="16" t="s">
        <v>205</v>
      </c>
      <c r="N73" s="17" t="s">
        <v>19</v>
      </c>
      <c r="O73" s="20">
        <v>33667</v>
      </c>
      <c r="P73" s="19" t="s">
        <v>108</v>
      </c>
      <c r="Q73" s="19" t="s">
        <v>109</v>
      </c>
      <c r="R73" s="19">
        <v>3117250200</v>
      </c>
      <c r="S73" s="78" t="s">
        <v>317</v>
      </c>
      <c r="T73" s="64" t="str">
        <f>IF(N73=CURSOS!$D$3,"DIPLOMADO EN ATENCION PRE-HOSPITALARIA",IF(N73=CURSOS!$D$4,"ACOMPAÑAMIENTO Y MANEJO DEL DUELO",IF(N73=CURSOS!$D$5,"ATENCION A VICTIMAS DE ATAQUE CON AGENTES QUIMICOS ",IF(N73=CURSOS!$D$6,"PRIMEROS AUXILIOS ",IF(N73=CURSOS!$D$7,"DIPLOMADO DE UNIDAD DE CUIDADOS INTENSIVOS (UCI)",IF(N73=CURSOS!$D$8,"MODELO DE ATENCION PARA EVENTOS EMERGENTES EN SALUD MENTAL (CODIGO VERDE)",IF(N73=CURSOS!$D$9,"HUMANIZACION EN SALUD, BUENAS PRACTICAS EN PACIENTE ",IF(N73=CURSOS!$D$10,"CLINICA DE HERIDAS ",IF(N73=CURSOS!$D$11,"TOMA DE CITOLOGIA A CERVICO VAGINAL ",IF(N73=CURSOS!$D$12,"SOPORTE CARDIOVASCULAR AVANZADO ",IF(N73=CURSOS!$D$13,"CAMILLERO ",IF(N73=CURSOS!$D$14,"TOMA MUESTRAS Y LABORATORIO ",IF(N73=CURSOS!$D$15,"SOPORTE VITAL BASICO (BLS)",IF(N73=CURSOS!$D$16,"ATENCION A VICTIMAS DE VIOLENCIA SEXUAL ",IF(N73=CURSOS!$D$17,"PROGRAMADO AMPLIADO DE INMUNIZACION (PAI - COVID 19)",IF(N73=CURSOS!$D$18,"ATENCION INTEGRAL EN ENFERMEDADES PREVALENTES EN PRIMERA INFANCIA (AIEPI)",IF(N73=CURSOS!$D$19,"ADMINISTRACION DE MEDICAMENTOS, IYECTOLOGIA  Y CANALIZACION ",IF(N73=CURSOS!$D$20,"OPERADOR DE VEHICULOS DE EMERGENCIA (OVE)",IF(N73=CURSOS!$D$21,"INSTITUCIONES AMIGAS DE LA MUJER Y LA INFANCIA (IAMI)",IF(N73=CURSOS!$D$22,"CUIDADO DEL DONANTE DE ORGANOS",IF(N73=CURSOS!$D$23,"ATENCION A VICTIMAS POR VIOLENCIA DE GENERO",IF(N73=CURSOS!$D$24,"IGUALDAD DE GENERO EN LA SALUD",IF(N73=CURSOS!$D$25,"BRIGADA DE EMERGENCIA",IF(N73=CURSOS!$D$26,"MANEJO DEL DOLOR Y CUIDADOS PALIATIVOS",IF(N73=CURSOS!$D$27,"TOMA MUESTRAS Y LABORATORIO POCT",IF(N73=CURSOS!$D$28,"IMPLANTE SUBDERMICO Y DISPOSITIVO INTRAUTERINO",IF(N73=CURSOS!$D$29,"SALUD MENTAL",IF(N73=CURSOS!$D$30,"PRIMEROS AUXILIOS PSICOLOGICOS",IF(N73=CURSOS!$D$31,"ATENCION A VICTIMAS POR CONFLICTO ARMADO",IF(N73=CURSOS!$D$32,"MANIPULACION DE ALIMENTOS Y BPM",IF(N73=CURSOS!$D$33,"ATENCION A PERSONAS CON DISCAPACIDAD",IF(N73=CURSOS!$D$34,"CUIDADO INTEGRAL DEL PACIENTE ADULTO"))))))))))))))))))))))))))))))))</f>
        <v>SOPORTE VITAL BASICO (BLS)</v>
      </c>
      <c r="U73" s="64" t="str">
        <f t="shared" si="6"/>
        <v>Sindy Rocio Perlaza Rodriguez</v>
      </c>
      <c r="V73" s="64" t="str">
        <f t="shared" si="7"/>
        <v>Sindy Rocio Perlaza Rodriguez</v>
      </c>
      <c r="W73" s="64" t="str">
        <f t="shared" si="8"/>
        <v>Sindy Rocio Perlaza Rodriguez-1151945606-BLS</v>
      </c>
    </row>
    <row r="74" spans="1:23" s="21" customFormat="1" x14ac:dyDescent="0.2">
      <c r="A74" s="94">
        <v>73</v>
      </c>
      <c r="B74" s="62">
        <v>1151945606</v>
      </c>
      <c r="C74" s="19" t="s">
        <v>313</v>
      </c>
      <c r="D74" s="19" t="s">
        <v>243</v>
      </c>
      <c r="E74" s="19" t="s">
        <v>314</v>
      </c>
      <c r="F74" s="19" t="s">
        <v>315</v>
      </c>
      <c r="G74" s="16">
        <v>16</v>
      </c>
      <c r="H74" s="16" t="s">
        <v>90</v>
      </c>
      <c r="I74" s="18">
        <v>45469</v>
      </c>
      <c r="J74" s="22">
        <v>30000</v>
      </c>
      <c r="K74" s="16" t="s">
        <v>316</v>
      </c>
      <c r="L74" s="16" t="s">
        <v>101</v>
      </c>
      <c r="M74" s="16" t="s">
        <v>205</v>
      </c>
      <c r="N74" s="17" t="s">
        <v>46</v>
      </c>
      <c r="O74" s="20">
        <v>33667</v>
      </c>
      <c r="P74" s="19" t="s">
        <v>108</v>
      </c>
      <c r="Q74" s="19" t="s">
        <v>109</v>
      </c>
      <c r="R74" s="19">
        <v>3117250200</v>
      </c>
      <c r="S74" s="78" t="s">
        <v>317</v>
      </c>
      <c r="T74" s="64" t="str">
        <f>IF(N74=CURSOS!$D$3,"DIPLOMADO EN ATENCION PRE-HOSPITALARIA",IF(N74=CURSOS!$D$4,"ACOMPAÑAMIENTO Y MANEJO DEL DUELO",IF(N74=CURSOS!$D$5,"ATENCION A VICTIMAS DE ATAQUE CON AGENTES QUIMICOS ",IF(N74=CURSOS!$D$6,"PRIMEROS AUXILIOS ",IF(N74=CURSOS!$D$7,"DIPLOMADO DE UNIDAD DE CUIDADOS INTENSIVOS (UCI)",IF(N74=CURSOS!$D$8,"MODELO DE ATENCION PARA EVENTOS EMERGENTES EN SALUD MENTAL (CODIGO VERDE)",IF(N74=CURSOS!$D$9,"HUMANIZACION EN SALUD, BUENAS PRACTICAS EN PACIENTE ",IF(N74=CURSOS!$D$10,"CLINICA DE HERIDAS ",IF(N74=CURSOS!$D$11,"TOMA DE CITOLOGIA A CERVICO VAGINAL ",IF(N74=CURSOS!$D$12,"SOPORTE CARDIOVASCULAR AVANZADO ",IF(N74=CURSOS!$D$13,"CAMILLERO ",IF(N74=CURSOS!$D$14,"TOMA MUESTRAS Y LABORATORIO ",IF(N74=CURSOS!$D$15,"SOPORTE VITAL BASICO (BLS)",IF(N74=CURSOS!$D$16,"ATENCION A VICTIMAS DE VIOLENCIA SEXUAL ",IF(N74=CURSOS!$D$17,"PROGRAMADO AMPLIADO DE INMUNIZACION (PAI - COVID 19)",IF(N74=CURSOS!$D$18,"ATENCION INTEGRAL EN ENFERMEDADES PREVALENTES EN PRIMERA INFANCIA (AIEPI)",IF(N74=CURSOS!$D$19,"ADMINISTRACION DE MEDICAMENTOS, IYECTOLOGIA  Y CANALIZACION ",IF(N74=CURSOS!$D$20,"OPERADOR DE VEHICULOS DE EMERGENCIA (OVE)",IF(N74=CURSOS!$D$21,"INSTITUCIONES AMIGAS DE LA MUJER Y LA INFANCIA (IAMI)",IF(N74=CURSOS!$D$22,"CUIDADO DEL DONANTE DE ORGANOS",IF(N74=CURSOS!$D$23,"ATENCION A VICTIMAS POR VIOLENCIA DE GENERO",IF(N74=CURSOS!$D$24,"IGUALDAD DE GENERO EN LA SALUD",IF(N74=CURSOS!$D$25,"BRIGADA DE EMERGENCIA",IF(N74=CURSOS!$D$26,"MANEJO DEL DOLOR Y CUIDADOS PALIATIVOS",IF(N74=CURSOS!$D$27,"TOMA MUESTRAS Y LABORATORIO POCT",IF(N74=CURSOS!$D$28,"IMPLANTE SUBDERMICO Y DISPOSITIVO INTRAUTERINO",IF(N74=CURSOS!$D$29,"SALUD MENTAL",IF(N74=CURSOS!$D$30,"PRIMEROS AUXILIOS PSICOLOGICOS",IF(N74=CURSOS!$D$31,"ATENCION A VICTIMAS POR CONFLICTO ARMADO",IF(N74=CURSOS!$D$32,"MANIPULACION DE ALIMENTOS Y BPM",IF(N74=CURSOS!$D$33,"ATENCION A PERSONAS CON DISCAPACIDAD",IF(N74=CURSOS!$D$34,"CUIDADO INTEGRAL DEL PACIENTE ADULTO"))))))))))))))))))))))))))))))))</f>
        <v xml:space="preserve">ATENCION A VICTIMAS DE VIOLENCIA SEXUAL </v>
      </c>
      <c r="U74" s="64" t="str">
        <f t="shared" si="6"/>
        <v>Sindy Rocio Perlaza Rodriguez</v>
      </c>
      <c r="V74" s="64" t="str">
        <f t="shared" si="7"/>
        <v>Sindy Rocio Perlaza Rodriguez</v>
      </c>
      <c r="W74" s="64" t="str">
        <f t="shared" si="8"/>
        <v>Sindy Rocio Perlaza Rodriguez-1151945606-VIOLENCIA SEXUAL</v>
      </c>
    </row>
    <row r="75" spans="1:23" s="21" customFormat="1" x14ac:dyDescent="0.2">
      <c r="A75" s="94">
        <v>74</v>
      </c>
      <c r="B75" s="62">
        <v>12753235</v>
      </c>
      <c r="C75" s="19" t="s">
        <v>318</v>
      </c>
      <c r="D75" s="19" t="s">
        <v>319</v>
      </c>
      <c r="E75" s="19" t="s">
        <v>320</v>
      </c>
      <c r="F75" s="19" t="s">
        <v>241</v>
      </c>
      <c r="G75" s="16">
        <v>17</v>
      </c>
      <c r="H75" s="16" t="s">
        <v>90</v>
      </c>
      <c r="I75" s="18">
        <v>45461</v>
      </c>
      <c r="J75" s="22">
        <v>95000</v>
      </c>
      <c r="K75" s="16" t="s">
        <v>91</v>
      </c>
      <c r="L75" s="16" t="s">
        <v>101</v>
      </c>
      <c r="M75" s="16" t="s">
        <v>93</v>
      </c>
      <c r="N75" s="17" t="s">
        <v>39</v>
      </c>
      <c r="O75" s="89">
        <v>30172</v>
      </c>
      <c r="P75" s="19" t="s">
        <v>94</v>
      </c>
      <c r="Q75" s="19" t="s">
        <v>111</v>
      </c>
      <c r="R75" s="19" t="s">
        <v>321</v>
      </c>
      <c r="S75" s="78" t="s">
        <v>322</v>
      </c>
      <c r="T75" s="64" t="str">
        <f>IF(N75=CURSOS!$D$3,"DIPLOMADO EN ATENCION PRE-HOSPITALARIA",IF(N75=CURSOS!$D$4,"ACOMPAÑAMIENTO Y MANEJO DEL DUELO",IF(N75=CURSOS!$D$5,"ATENCION A VICTIMAS DE ATAQUE CON AGENTES QUIMICOS ",IF(N75=CURSOS!$D$6,"PRIMEROS AUXILIOS ",IF(N75=CURSOS!$D$7,"DIPLOMADO DE UNIDAD DE CUIDADOS INTENSIVOS (UCI)",IF(N75=CURSOS!$D$8,"MODELO DE ATENCION PARA EVENTOS EMERGENTES EN SALUD MENTAL (CODIGO VERDE)",IF(N75=CURSOS!$D$9,"HUMANIZACION EN SALUD, BUENAS PRACTICAS EN PACIENTE ",IF(N75=CURSOS!$D$10,"CLINICA DE HERIDAS ",IF(N75=CURSOS!$D$11,"TOMA DE CITOLOGIA A CERVICO VAGINAL ",IF(N75=CURSOS!$D$12,"SOPORTE CARDIOVASCULAR AVANZADO ",IF(N75=CURSOS!$D$13,"CAMILLERO ",IF(N75=CURSOS!$D$14,"TOMA MUESTRAS Y LABORATORIO ",IF(N75=CURSOS!$D$15,"SOPORTE VITAL BASICO (BLS)",IF(N75=CURSOS!$D$16,"ATENCION A VICTIMAS DE VIOLENCIA SEXUAL ",IF(N75=CURSOS!$D$17,"PROGRAMADO AMPLIADO DE INMUNIZACION (PAI - COVID 19)",IF(N75=CURSOS!$D$18,"ATENCION INTEGRAL EN ENFERMEDADES PREVALENTES EN PRIMERA INFANCIA (AIEPI)",IF(N75=CURSOS!$D$19,"ADMINISTRACION DE MEDICAMENTOS, IYECTOLOGIA  Y CANALIZACION ",IF(N75=CURSOS!$D$20,"OPERADOR DE VEHICULOS DE EMERGENCIA (OVE)",IF(N75=CURSOS!$D$21,"INSTITUCIONES AMIGAS DE LA MUJER Y LA INFANCIA (IAMI)",IF(N75=CURSOS!$D$22,"CUIDADO DEL DONANTE DE ORGANOS",IF(N75=CURSOS!$D$23,"ATENCION A VICTIMAS POR VIOLENCIA DE GENERO",IF(N75=CURSOS!$D$24,"IGUALDAD DE GENERO EN LA SALUD",IF(N75=CURSOS!$D$25,"BRIGADA DE EMERGENCIA",IF(N75=CURSOS!$D$26,"MANEJO DEL DOLOR Y CUIDADOS PALIATIVOS",IF(N75=CURSOS!$D$27,"TOMA MUESTRAS Y LABORATORIO POCT",IF(N75=CURSOS!$D$28,"IMPLANTE SUBDERMICO Y DISPOSITIVO INTRAUTERINO",IF(N75=CURSOS!$D$29,"SALUD MENTAL",IF(N75=CURSOS!$D$30,"PRIMEROS AUXILIOS PSICOLOGICOS",IF(N75=CURSOS!$D$31,"ATENCION A VICTIMAS POR CONFLICTO ARMADO",IF(N75=CURSOS!$D$32,"MANIPULACION DE ALIMENTOS Y BPM",IF(N75=CURSOS!$D$33,"ATENCION A PERSONAS CON DISCAPACIDAD",IF(N75=CURSOS!$D$34,"CUIDADO INTEGRAL DEL PACIENTE ADULTO"))))))))))))))))))))))))))))))))</f>
        <v xml:space="preserve">SOPORTE CARDIOVASCULAR AVANZADO </v>
      </c>
      <c r="U75" s="64" t="str">
        <f t="shared" si="6"/>
        <v>Diego Fernando Taramuel Gómez</v>
      </c>
      <c r="V75" s="64" t="str">
        <f t="shared" si="7"/>
        <v>Diego Fernando Taramuel Gómez</v>
      </c>
      <c r="W75" s="64" t="str">
        <f t="shared" si="8"/>
        <v>Diego Fernando Taramuel Gómez-12753235-ACLS</v>
      </c>
    </row>
    <row r="76" spans="1:23" s="21" customFormat="1" x14ac:dyDescent="0.2">
      <c r="A76" s="94">
        <v>75</v>
      </c>
      <c r="B76" s="62">
        <v>12753235</v>
      </c>
      <c r="C76" s="19" t="s">
        <v>318</v>
      </c>
      <c r="D76" s="19" t="s">
        <v>319</v>
      </c>
      <c r="E76" s="19" t="s">
        <v>320</v>
      </c>
      <c r="F76" s="19" t="s">
        <v>241</v>
      </c>
      <c r="G76" s="16">
        <v>17</v>
      </c>
      <c r="H76" s="16" t="s">
        <v>90</v>
      </c>
      <c r="I76" s="18">
        <v>45461</v>
      </c>
      <c r="J76" s="22">
        <v>20000</v>
      </c>
      <c r="K76" s="16" t="s">
        <v>91</v>
      </c>
      <c r="L76" s="16" t="s">
        <v>101</v>
      </c>
      <c r="M76" s="16" t="s">
        <v>93</v>
      </c>
      <c r="N76" s="17" t="s">
        <v>19</v>
      </c>
      <c r="O76" s="89">
        <v>30172</v>
      </c>
      <c r="P76" s="19" t="s">
        <v>94</v>
      </c>
      <c r="Q76" s="19" t="s">
        <v>111</v>
      </c>
      <c r="R76" s="19" t="s">
        <v>321</v>
      </c>
      <c r="S76" s="78" t="s">
        <v>322</v>
      </c>
      <c r="T76" s="64" t="str">
        <f>IF(N76=CURSOS!$D$3,"DIPLOMADO EN ATENCION PRE-HOSPITALARIA",IF(N76=CURSOS!$D$4,"ACOMPAÑAMIENTO Y MANEJO DEL DUELO",IF(N76=CURSOS!$D$5,"ATENCION A VICTIMAS DE ATAQUE CON AGENTES QUIMICOS ",IF(N76=CURSOS!$D$6,"PRIMEROS AUXILIOS ",IF(N76=CURSOS!$D$7,"DIPLOMADO DE UNIDAD DE CUIDADOS INTENSIVOS (UCI)",IF(N76=CURSOS!$D$8,"MODELO DE ATENCION PARA EVENTOS EMERGENTES EN SALUD MENTAL (CODIGO VERDE)",IF(N76=CURSOS!$D$9,"HUMANIZACION EN SALUD, BUENAS PRACTICAS EN PACIENTE ",IF(N76=CURSOS!$D$10,"CLINICA DE HERIDAS ",IF(N76=CURSOS!$D$11,"TOMA DE CITOLOGIA A CERVICO VAGINAL ",IF(N76=CURSOS!$D$12,"SOPORTE CARDIOVASCULAR AVANZADO ",IF(N76=CURSOS!$D$13,"CAMILLERO ",IF(N76=CURSOS!$D$14,"TOMA MUESTRAS Y LABORATORIO ",IF(N76=CURSOS!$D$15,"SOPORTE VITAL BASICO (BLS)",IF(N76=CURSOS!$D$16,"ATENCION A VICTIMAS DE VIOLENCIA SEXUAL ",IF(N76=CURSOS!$D$17,"PROGRAMADO AMPLIADO DE INMUNIZACION (PAI - COVID 19)",IF(N76=CURSOS!$D$18,"ATENCION INTEGRAL EN ENFERMEDADES PREVALENTES EN PRIMERA INFANCIA (AIEPI)",IF(N76=CURSOS!$D$19,"ADMINISTRACION DE MEDICAMENTOS, IYECTOLOGIA  Y CANALIZACION ",IF(N76=CURSOS!$D$20,"OPERADOR DE VEHICULOS DE EMERGENCIA (OVE)",IF(N76=CURSOS!$D$21,"INSTITUCIONES AMIGAS DE LA MUJER Y LA INFANCIA (IAMI)",IF(N76=CURSOS!$D$22,"CUIDADO DEL DONANTE DE ORGANOS",IF(N76=CURSOS!$D$23,"ATENCION A VICTIMAS POR VIOLENCIA DE GENERO",IF(N76=CURSOS!$D$24,"IGUALDAD DE GENERO EN LA SALUD",IF(N76=CURSOS!$D$25,"BRIGADA DE EMERGENCIA",IF(N76=CURSOS!$D$26,"MANEJO DEL DOLOR Y CUIDADOS PALIATIVOS",IF(N76=CURSOS!$D$27,"TOMA MUESTRAS Y LABORATORIO POCT",IF(N76=CURSOS!$D$28,"IMPLANTE SUBDERMICO Y DISPOSITIVO INTRAUTERINO",IF(N76=CURSOS!$D$29,"SALUD MENTAL",IF(N76=CURSOS!$D$30,"PRIMEROS AUXILIOS PSICOLOGICOS",IF(N76=CURSOS!$D$31,"ATENCION A VICTIMAS POR CONFLICTO ARMADO",IF(N76=CURSOS!$D$32,"MANIPULACION DE ALIMENTOS Y BPM",IF(N76=CURSOS!$D$33,"ATENCION A PERSONAS CON DISCAPACIDAD",IF(N76=CURSOS!$D$34,"CUIDADO INTEGRAL DEL PACIENTE ADULTO"))))))))))))))))))))))))))))))))</f>
        <v>SOPORTE VITAL BASICO (BLS)</v>
      </c>
      <c r="U76" s="64" t="str">
        <f t="shared" si="6"/>
        <v>Diego Fernando Taramuel Gómez</v>
      </c>
      <c r="V76" s="64" t="str">
        <f t="shared" si="7"/>
        <v>Diego Fernando Taramuel Gómez</v>
      </c>
      <c r="W76" s="64" t="str">
        <f t="shared" si="8"/>
        <v>Diego Fernando Taramuel Gómez-12753235-BLS</v>
      </c>
    </row>
    <row r="77" spans="1:23" s="21" customFormat="1" x14ac:dyDescent="0.2">
      <c r="A77" s="94">
        <v>76</v>
      </c>
      <c r="B77" s="62">
        <v>12753235</v>
      </c>
      <c r="C77" s="19" t="s">
        <v>318</v>
      </c>
      <c r="D77" s="19" t="s">
        <v>319</v>
      </c>
      <c r="E77" s="19" t="s">
        <v>320</v>
      </c>
      <c r="F77" s="19" t="s">
        <v>241</v>
      </c>
      <c r="G77" s="16">
        <v>17</v>
      </c>
      <c r="H77" s="16" t="s">
        <v>90</v>
      </c>
      <c r="I77" s="18">
        <v>45461</v>
      </c>
      <c r="J77" s="22">
        <v>35000</v>
      </c>
      <c r="K77" s="16" t="s">
        <v>91</v>
      </c>
      <c r="L77" s="16" t="s">
        <v>101</v>
      </c>
      <c r="M77" s="16" t="s">
        <v>93</v>
      </c>
      <c r="N77" s="17" t="s">
        <v>46</v>
      </c>
      <c r="O77" s="20">
        <v>30172</v>
      </c>
      <c r="P77" s="19" t="s">
        <v>94</v>
      </c>
      <c r="Q77" s="19" t="s">
        <v>111</v>
      </c>
      <c r="R77" s="19" t="s">
        <v>321</v>
      </c>
      <c r="S77" s="78" t="s">
        <v>322</v>
      </c>
      <c r="T77" s="64" t="str">
        <f>IF(N77=CURSOS!$D$3,"DIPLOMADO EN ATENCION PRE-HOSPITALARIA",IF(N77=CURSOS!$D$4,"ACOMPAÑAMIENTO Y MANEJO DEL DUELO",IF(N77=CURSOS!$D$5,"ATENCION A VICTIMAS DE ATAQUE CON AGENTES QUIMICOS ",IF(N77=CURSOS!$D$6,"PRIMEROS AUXILIOS ",IF(N77=CURSOS!$D$7,"DIPLOMADO DE UNIDAD DE CUIDADOS INTENSIVOS (UCI)",IF(N77=CURSOS!$D$8,"MODELO DE ATENCION PARA EVENTOS EMERGENTES EN SALUD MENTAL (CODIGO VERDE)",IF(N77=CURSOS!$D$9,"HUMANIZACION EN SALUD, BUENAS PRACTICAS EN PACIENTE ",IF(N77=CURSOS!$D$10,"CLINICA DE HERIDAS ",IF(N77=CURSOS!$D$11,"TOMA DE CITOLOGIA A CERVICO VAGINAL ",IF(N77=CURSOS!$D$12,"SOPORTE CARDIOVASCULAR AVANZADO ",IF(N77=CURSOS!$D$13,"CAMILLERO ",IF(N77=CURSOS!$D$14,"TOMA MUESTRAS Y LABORATORIO ",IF(N77=CURSOS!$D$15,"SOPORTE VITAL BASICO (BLS)",IF(N77=CURSOS!$D$16,"ATENCION A VICTIMAS DE VIOLENCIA SEXUAL ",IF(N77=CURSOS!$D$17,"PROGRAMADO AMPLIADO DE INMUNIZACION (PAI - COVID 19)",IF(N77=CURSOS!$D$18,"ATENCION INTEGRAL EN ENFERMEDADES PREVALENTES EN PRIMERA INFANCIA (AIEPI)",IF(N77=CURSOS!$D$19,"ADMINISTRACION DE MEDICAMENTOS, IYECTOLOGIA  Y CANALIZACION ",IF(N77=CURSOS!$D$20,"OPERADOR DE VEHICULOS DE EMERGENCIA (OVE)",IF(N77=CURSOS!$D$21,"INSTITUCIONES AMIGAS DE LA MUJER Y LA INFANCIA (IAMI)",IF(N77=CURSOS!$D$22,"CUIDADO DEL DONANTE DE ORGANOS",IF(N77=CURSOS!$D$23,"ATENCION A VICTIMAS POR VIOLENCIA DE GENERO",IF(N77=CURSOS!$D$24,"IGUALDAD DE GENERO EN LA SALUD",IF(N77=CURSOS!$D$25,"BRIGADA DE EMERGENCIA",IF(N77=CURSOS!$D$26,"MANEJO DEL DOLOR Y CUIDADOS PALIATIVOS",IF(N77=CURSOS!$D$27,"TOMA MUESTRAS Y LABORATORIO POCT",IF(N77=CURSOS!$D$28,"IMPLANTE SUBDERMICO Y DISPOSITIVO INTRAUTERINO",IF(N77=CURSOS!$D$29,"SALUD MENTAL",IF(N77=CURSOS!$D$30,"PRIMEROS AUXILIOS PSICOLOGICOS",IF(N77=CURSOS!$D$31,"ATENCION A VICTIMAS POR CONFLICTO ARMADO",IF(N77=CURSOS!$D$32,"MANIPULACION DE ALIMENTOS Y BPM",IF(N77=CURSOS!$D$33,"ATENCION A PERSONAS CON DISCAPACIDAD",IF(N77=CURSOS!$D$34,"CUIDADO INTEGRAL DEL PACIENTE ADULTO"))))))))))))))))))))))))))))))))</f>
        <v xml:space="preserve">ATENCION A VICTIMAS DE VIOLENCIA SEXUAL </v>
      </c>
      <c r="U77" s="64" t="str">
        <f t="shared" si="6"/>
        <v>Diego Fernando Taramuel Gómez</v>
      </c>
      <c r="V77" s="64" t="str">
        <f t="shared" si="7"/>
        <v>Diego Fernando Taramuel Gómez</v>
      </c>
      <c r="W77" s="64" t="str">
        <f t="shared" si="8"/>
        <v>Diego Fernando Taramuel Gómez-12753235-VIOLENCIA SEXUAL</v>
      </c>
    </row>
    <row r="78" spans="1:23" s="21" customFormat="1" x14ac:dyDescent="0.2">
      <c r="A78" s="94">
        <v>77</v>
      </c>
      <c r="B78" s="62">
        <v>12753235</v>
      </c>
      <c r="C78" s="19" t="s">
        <v>318</v>
      </c>
      <c r="D78" s="19" t="s">
        <v>319</v>
      </c>
      <c r="E78" s="19" t="s">
        <v>320</v>
      </c>
      <c r="F78" s="19" t="s">
        <v>241</v>
      </c>
      <c r="G78" s="16">
        <v>18</v>
      </c>
      <c r="H78" s="16" t="s">
        <v>90</v>
      </c>
      <c r="I78" s="18">
        <v>45461</v>
      </c>
      <c r="J78" s="22">
        <v>35000</v>
      </c>
      <c r="K78" s="16" t="s">
        <v>91</v>
      </c>
      <c r="L78" s="16" t="s">
        <v>101</v>
      </c>
      <c r="M78" s="16" t="s">
        <v>93</v>
      </c>
      <c r="N78" s="17" t="s">
        <v>33</v>
      </c>
      <c r="O78" s="20">
        <v>30172</v>
      </c>
      <c r="P78" s="19" t="s">
        <v>94</v>
      </c>
      <c r="Q78" s="19" t="s">
        <v>111</v>
      </c>
      <c r="R78" s="19" t="s">
        <v>321</v>
      </c>
      <c r="S78" s="78" t="s">
        <v>322</v>
      </c>
      <c r="T78" s="64" t="str">
        <f>IF(N78=CURSOS!$D$3,"DIPLOMADO EN ATENCION PRE-HOSPITALARIA",IF(N78=CURSOS!$D$4,"ACOMPAÑAMIENTO Y MANEJO DEL DUELO",IF(N78=CURSOS!$D$5,"ATENCION A VICTIMAS DE ATAQUE CON AGENTES QUIMICOS ",IF(N78=CURSOS!$D$6,"PRIMEROS AUXILIOS ",IF(N78=CURSOS!$D$7,"DIPLOMADO DE UNIDAD DE CUIDADOS INTENSIVOS (UCI)",IF(N78=CURSOS!$D$8,"MODELO DE ATENCION PARA EVENTOS EMERGENTES EN SALUD MENTAL (CODIGO VERDE)",IF(N78=CURSOS!$D$9,"HUMANIZACION EN SALUD, BUENAS PRACTICAS EN PACIENTE ",IF(N78=CURSOS!$D$10,"CLINICA DE HERIDAS ",IF(N78=CURSOS!$D$11,"TOMA DE CITOLOGIA A CERVICO VAGINAL ",IF(N78=CURSOS!$D$12,"SOPORTE CARDIOVASCULAR AVANZADO ",IF(N78=CURSOS!$D$13,"CAMILLERO ",IF(N78=CURSOS!$D$14,"TOMA MUESTRAS Y LABORATORIO ",IF(N78=CURSOS!$D$15,"SOPORTE VITAL BASICO (BLS)",IF(N78=CURSOS!$D$16,"ATENCION A VICTIMAS DE VIOLENCIA SEXUAL ",IF(N78=CURSOS!$D$17,"PROGRAMADO AMPLIADO DE INMUNIZACION (PAI - COVID 19)",IF(N78=CURSOS!$D$18,"ATENCION INTEGRAL EN ENFERMEDADES PREVALENTES EN PRIMERA INFANCIA (AIEPI)",IF(N78=CURSOS!$D$19,"ADMINISTRACION DE MEDICAMENTOS, IYECTOLOGIA  Y CANALIZACION ",IF(N78=CURSOS!$D$20,"OPERADOR DE VEHICULOS DE EMERGENCIA (OVE)",IF(N78=CURSOS!$D$21,"INSTITUCIONES AMIGAS DE LA MUJER Y LA INFANCIA (IAMI)",IF(N78=CURSOS!$D$22,"CUIDADO DEL DONANTE DE ORGANOS",IF(N78=CURSOS!$D$23,"ATENCION A VICTIMAS POR VIOLENCIA DE GENERO",IF(N78=CURSOS!$D$24,"IGUALDAD DE GENERO EN LA SALUD",IF(N78=CURSOS!$D$25,"BRIGADA DE EMERGENCIA",IF(N78=CURSOS!$D$26,"MANEJO DEL DOLOR Y CUIDADOS PALIATIVOS",IF(N78=CURSOS!$D$27,"TOMA MUESTRAS Y LABORATORIO POCT",IF(N78=CURSOS!$D$28,"IMPLANTE SUBDERMICO Y DISPOSITIVO INTRAUTERINO",IF(N78=CURSOS!$D$29,"SALUD MENTAL",IF(N78=CURSOS!$D$30,"PRIMEROS AUXILIOS PSICOLOGICOS",IF(N78=CURSOS!$D$31,"ATENCION A VICTIMAS POR CONFLICTO ARMADO",IF(N78=CURSOS!$D$32,"MANIPULACION DE ALIMENTOS Y BPM",IF(N78=CURSOS!$D$33,"ATENCION A PERSONAS CON DISCAPACIDAD",IF(N78=CURSOS!$D$34,"CUIDADO INTEGRAL DEL PACIENTE ADULTO"))))))))))))))))))))))))))))))))</f>
        <v xml:space="preserve">HUMANIZACION EN SALUD, BUENAS PRACTICAS EN PACIENTE </v>
      </c>
      <c r="U78" s="64" t="str">
        <f t="shared" si="6"/>
        <v>Diego Fernando Taramuel Gómez</v>
      </c>
      <c r="V78" s="64" t="str">
        <f t="shared" si="7"/>
        <v>Diego Fernando Taramuel Gómez</v>
      </c>
      <c r="W78" s="64" t="str">
        <f t="shared" si="8"/>
        <v>Diego Fernando Taramuel Gómez-12753235-HUMANIZACION</v>
      </c>
    </row>
    <row r="79" spans="1:23" s="21" customFormat="1" x14ac:dyDescent="0.2">
      <c r="A79" s="94">
        <v>78</v>
      </c>
      <c r="B79" s="62">
        <v>12753235</v>
      </c>
      <c r="C79" s="19" t="s">
        <v>318</v>
      </c>
      <c r="D79" s="19" t="s">
        <v>319</v>
      </c>
      <c r="E79" s="19" t="s">
        <v>320</v>
      </c>
      <c r="F79" s="19" t="s">
        <v>241</v>
      </c>
      <c r="G79" s="16">
        <v>18</v>
      </c>
      <c r="H79" s="16" t="s">
        <v>90</v>
      </c>
      <c r="I79" s="18">
        <v>45461</v>
      </c>
      <c r="J79" s="22">
        <v>35000</v>
      </c>
      <c r="K79" s="16" t="s">
        <v>91</v>
      </c>
      <c r="L79" s="16" t="s">
        <v>101</v>
      </c>
      <c r="M79" s="16" t="s">
        <v>93</v>
      </c>
      <c r="N79" s="17" t="s">
        <v>25</v>
      </c>
      <c r="O79" s="20">
        <v>30172</v>
      </c>
      <c r="P79" s="19" t="s">
        <v>94</v>
      </c>
      <c r="Q79" s="19" t="s">
        <v>111</v>
      </c>
      <c r="R79" s="19" t="s">
        <v>321</v>
      </c>
      <c r="S79" s="78" t="s">
        <v>322</v>
      </c>
      <c r="T79" s="64" t="str">
        <f>IF(N79=CURSOS!$D$3,"DIPLOMADO EN ATENCION PRE-HOSPITALARIA",IF(N79=CURSOS!$D$4,"ACOMPAÑAMIENTO Y MANEJO DEL DUELO",IF(N79=CURSOS!$D$5,"ATENCION A VICTIMAS DE ATAQUE CON AGENTES QUIMICOS ",IF(N79=CURSOS!$D$6,"PRIMEROS AUXILIOS ",IF(N79=CURSOS!$D$7,"DIPLOMADO DE UNIDAD DE CUIDADOS INTENSIVOS (UCI)",IF(N79=CURSOS!$D$8,"MODELO DE ATENCION PARA EVENTOS EMERGENTES EN SALUD MENTAL (CODIGO VERDE)",IF(N79=CURSOS!$D$9,"HUMANIZACION EN SALUD, BUENAS PRACTICAS EN PACIENTE ",IF(N79=CURSOS!$D$10,"CLINICA DE HERIDAS ",IF(N79=CURSOS!$D$11,"TOMA DE CITOLOGIA A CERVICO VAGINAL ",IF(N79=CURSOS!$D$12,"SOPORTE CARDIOVASCULAR AVANZADO ",IF(N79=CURSOS!$D$13,"CAMILLERO ",IF(N79=CURSOS!$D$14,"TOMA MUESTRAS Y LABORATORIO ",IF(N79=CURSOS!$D$15,"SOPORTE VITAL BASICO (BLS)",IF(N79=CURSOS!$D$16,"ATENCION A VICTIMAS DE VIOLENCIA SEXUAL ",IF(N79=CURSOS!$D$17,"PROGRAMADO AMPLIADO DE INMUNIZACION (PAI - COVID 19)",IF(N79=CURSOS!$D$18,"ATENCION INTEGRAL EN ENFERMEDADES PREVALENTES EN PRIMERA INFANCIA (AIEPI)",IF(N79=CURSOS!$D$19,"ADMINISTRACION DE MEDICAMENTOS, IYECTOLOGIA  Y CANALIZACION ",IF(N79=CURSOS!$D$20,"OPERADOR DE VEHICULOS DE EMERGENCIA (OVE)",IF(N79=CURSOS!$D$21,"INSTITUCIONES AMIGAS DE LA MUJER Y LA INFANCIA (IAMI)",IF(N79=CURSOS!$D$22,"CUIDADO DEL DONANTE DE ORGANOS",IF(N79=CURSOS!$D$23,"ATENCION A VICTIMAS POR VIOLENCIA DE GENERO",IF(N79=CURSOS!$D$24,"IGUALDAD DE GENERO EN LA SALUD",IF(N79=CURSOS!$D$25,"BRIGADA DE EMERGENCIA",IF(N79=CURSOS!$D$26,"MANEJO DEL DOLOR Y CUIDADOS PALIATIVOS",IF(N79=CURSOS!$D$27,"TOMA MUESTRAS Y LABORATORIO POCT",IF(N79=CURSOS!$D$28,"IMPLANTE SUBDERMICO Y DISPOSITIVO INTRAUTERINO",IF(N79=CURSOS!$D$29,"SALUD MENTAL",IF(N79=CURSOS!$D$30,"PRIMEROS AUXILIOS PSICOLOGICOS",IF(N79=CURSOS!$D$31,"ATENCION A VICTIMAS POR CONFLICTO ARMADO",IF(N79=CURSOS!$D$32,"MANIPULACION DE ALIMENTOS Y BPM",IF(N79=CURSOS!$D$33,"ATENCION A PERSONAS CON DISCAPACIDAD",IF(N79=CURSOS!$D$34,"CUIDADO INTEGRAL DEL PACIENTE ADULTO"))))))))))))))))))))))))))))))))</f>
        <v xml:space="preserve">ATENCION A VICTIMAS DE ATAQUE CON AGENTES QUIMICOS </v>
      </c>
      <c r="U79" s="64" t="str">
        <f t="shared" si="6"/>
        <v>Diego Fernando Taramuel Gómez</v>
      </c>
      <c r="V79" s="64" t="str">
        <f t="shared" si="7"/>
        <v>Diego Fernando Taramuel Gómez</v>
      </c>
      <c r="W79" s="64" t="str">
        <f t="shared" si="8"/>
        <v>Diego Fernando Taramuel Gómez-12753235-QUIMICOS</v>
      </c>
    </row>
    <row r="80" spans="1:23" s="21" customFormat="1" x14ac:dyDescent="0.2">
      <c r="A80" s="94">
        <v>79</v>
      </c>
      <c r="B80" s="62">
        <v>1085264248</v>
      </c>
      <c r="C80" s="19" t="s">
        <v>323</v>
      </c>
      <c r="D80" s="19" t="s">
        <v>324</v>
      </c>
      <c r="E80" s="19" t="s">
        <v>325</v>
      </c>
      <c r="F80" s="19" t="s">
        <v>326</v>
      </c>
      <c r="G80" s="16">
        <v>18</v>
      </c>
      <c r="H80" s="16" t="s">
        <v>90</v>
      </c>
      <c r="I80" s="18">
        <v>45467</v>
      </c>
      <c r="J80" s="22">
        <v>30000</v>
      </c>
      <c r="K80" s="16" t="s">
        <v>444</v>
      </c>
      <c r="L80" s="16" t="s">
        <v>101</v>
      </c>
      <c r="M80" s="16" t="s">
        <v>119</v>
      </c>
      <c r="N80" s="17" t="s">
        <v>56</v>
      </c>
      <c r="O80" s="20">
        <v>32233</v>
      </c>
      <c r="P80" s="19" t="s">
        <v>94</v>
      </c>
      <c r="Q80" s="19" t="s">
        <v>111</v>
      </c>
      <c r="R80" s="19">
        <v>3023881719</v>
      </c>
      <c r="S80" s="19" t="s">
        <v>327</v>
      </c>
      <c r="T80" s="64" t="str">
        <f>IF(N80=CURSOS!$D$3,"DIPLOMADO EN ATENCION PRE-HOSPITALARIA",IF(N80=CURSOS!$D$4,"ACOMPAÑAMIENTO Y MANEJO DEL DUELO",IF(N80=CURSOS!$D$5,"ATENCION A VICTIMAS DE ATAQUE CON AGENTES QUIMICOS ",IF(N80=CURSOS!$D$6,"PRIMEROS AUXILIOS ",IF(N80=CURSOS!$D$7,"DIPLOMADO DE UNIDAD DE CUIDADOS INTENSIVOS (UCI)",IF(N80=CURSOS!$D$8,"MODELO DE ATENCION PARA EVENTOS EMERGENTES EN SALUD MENTAL (CODIGO VERDE)",IF(N80=CURSOS!$D$9,"HUMANIZACION EN SALUD, BUENAS PRACTICAS EN PACIENTE ",IF(N80=CURSOS!$D$10,"CLINICA DE HERIDAS ",IF(N80=CURSOS!$D$11,"TOMA DE CITOLOGIA A CERVICO VAGINAL ",IF(N80=CURSOS!$D$12,"SOPORTE CARDIOVASCULAR AVANZADO ",IF(N80=CURSOS!$D$13,"CAMILLERO ",IF(N80=CURSOS!$D$14,"TOMA MUESTRAS Y LABORATORIO ",IF(N80=CURSOS!$D$15,"SOPORTE VITAL BASICO (BLS)",IF(N80=CURSOS!$D$16,"ATENCION A VICTIMAS DE VIOLENCIA SEXUAL ",IF(N80=CURSOS!$D$17,"PROGRAMADO AMPLIADO DE INMUNIZACION (PAI - COVID 19)",IF(N80=CURSOS!$D$18,"ATENCION INTEGRAL EN ENFERMEDADES PREVALENTES EN PRIMERA INFANCIA (AIEPI)",IF(N80=CURSOS!$D$19,"ADMINISTRACION DE MEDICAMENTOS, IYECTOLOGIA  Y CANALIZACION ",IF(N80=CURSOS!$D$20,"OPERADOR DE VEHICULOS DE EMERGENCIA (OVE)",IF(N80=CURSOS!$D$21,"INSTITUCIONES AMIGAS DE LA MUJER Y LA INFANCIA (IAMI)",IF(N80=CURSOS!$D$22,"CUIDADO DEL DONANTE DE ORGANOS",IF(N80=CURSOS!$D$23,"ATENCION A VICTIMAS POR VIOLENCIA DE GENERO",IF(N80=CURSOS!$D$24,"IGUALDAD DE GENERO EN LA SALUD",IF(N80=CURSOS!$D$25,"BRIGADA DE EMERGENCIA",IF(N80=CURSOS!$D$26,"MANEJO DEL DOLOR Y CUIDADOS PALIATIVOS",IF(N80=CURSOS!$D$27,"TOMA MUESTRAS Y LABORATORIO POCT",IF(N80=CURSOS!$D$28,"IMPLANTE SUBDERMICO Y DISPOSITIVO INTRAUTERINO",IF(N80=CURSOS!$D$29,"SALUD MENTAL",IF(N80=CURSOS!$D$30,"PRIMEROS AUXILIOS PSICOLOGICOS",IF(N80=CURSOS!$D$31,"ATENCION A VICTIMAS POR CONFLICTO ARMADO",IF(N80=CURSOS!$D$32,"MANIPULACION DE ALIMENTOS Y BPM",IF(N80=CURSOS!$D$33,"ATENCION A PERSONAS CON DISCAPACIDAD",IF(N80=CURSOS!$D$34,"CUIDADO INTEGRAL DEL PACIENTE ADULTO"))))))))))))))))))))))))))))))))</f>
        <v>CUIDADO DEL DONANTE DE ORGANOS</v>
      </c>
      <c r="U80" s="64" t="str">
        <f t="shared" si="6"/>
        <v>Wilmar Hernan Cordoba Portilla</v>
      </c>
      <c r="V80" s="64" t="str">
        <f t="shared" si="7"/>
        <v>Wilmar Hernan Cordoba Portilla</v>
      </c>
      <c r="W80" s="64" t="str">
        <f t="shared" si="8"/>
        <v>Wilmar Hernan Cordoba Portilla-1085264248-DONANTE</v>
      </c>
    </row>
    <row r="81" spans="1:23" s="21" customFormat="1" x14ac:dyDescent="0.2">
      <c r="A81" s="94">
        <v>80</v>
      </c>
      <c r="B81" s="62">
        <v>37085908</v>
      </c>
      <c r="C81" s="19" t="s">
        <v>328</v>
      </c>
      <c r="D81" s="19" t="s">
        <v>329</v>
      </c>
      <c r="E81" s="19" t="s">
        <v>157</v>
      </c>
      <c r="F81" s="19" t="s">
        <v>330</v>
      </c>
      <c r="G81" s="16">
        <v>18</v>
      </c>
      <c r="H81" s="16" t="s">
        <v>90</v>
      </c>
      <c r="I81" s="18">
        <v>45461</v>
      </c>
      <c r="J81" s="22">
        <v>35000</v>
      </c>
      <c r="K81" s="16" t="s">
        <v>107</v>
      </c>
      <c r="L81" s="16" t="s">
        <v>101</v>
      </c>
      <c r="M81" s="16" t="s">
        <v>93</v>
      </c>
      <c r="N81" s="17" t="s">
        <v>23</v>
      </c>
      <c r="O81" s="20">
        <v>31103</v>
      </c>
      <c r="P81" s="19" t="s">
        <v>108</v>
      </c>
      <c r="Q81" s="19" t="s">
        <v>117</v>
      </c>
      <c r="R81" s="19">
        <v>3137365201</v>
      </c>
      <c r="S81" s="19" t="s">
        <v>331</v>
      </c>
      <c r="T81" s="64" t="str">
        <f>IF(N81=CURSOS!$D$3,"DIPLOMADO EN ATENCION PRE-HOSPITALARIA",IF(N81=CURSOS!$D$4,"ACOMPAÑAMIENTO Y MANEJO DEL DUELO",IF(N81=CURSOS!$D$5,"ATENCION A VICTIMAS DE ATAQUE CON AGENTES QUIMICOS ",IF(N81=CURSOS!$D$6,"PRIMEROS AUXILIOS ",IF(N81=CURSOS!$D$7,"DIPLOMADO DE UNIDAD DE CUIDADOS INTENSIVOS (UCI)",IF(N81=CURSOS!$D$8,"MODELO DE ATENCION PARA EVENTOS EMERGENTES EN SALUD MENTAL (CODIGO VERDE)",IF(N81=CURSOS!$D$9,"HUMANIZACION EN SALUD, BUENAS PRACTICAS EN PACIENTE ",IF(N81=CURSOS!$D$10,"CLINICA DE HERIDAS ",IF(N81=CURSOS!$D$11,"TOMA DE CITOLOGIA A CERVICO VAGINAL ",IF(N81=CURSOS!$D$12,"SOPORTE CARDIOVASCULAR AVANZADO ",IF(N81=CURSOS!$D$13,"CAMILLERO ",IF(N81=CURSOS!$D$14,"TOMA MUESTRAS Y LABORATORIO ",IF(N81=CURSOS!$D$15,"SOPORTE VITAL BASICO (BLS)",IF(N81=CURSOS!$D$16,"ATENCION A VICTIMAS DE VIOLENCIA SEXUAL ",IF(N81=CURSOS!$D$17,"PROGRAMADO AMPLIADO DE INMUNIZACION (PAI - COVID 19)",IF(N81=CURSOS!$D$18,"ATENCION INTEGRAL EN ENFERMEDADES PREVALENTES EN PRIMERA INFANCIA (AIEPI)",IF(N81=CURSOS!$D$19,"ADMINISTRACION DE MEDICAMENTOS, IYECTOLOGIA  Y CANALIZACION ",IF(N81=CURSOS!$D$20,"OPERADOR DE VEHICULOS DE EMERGENCIA (OVE)",IF(N81=CURSOS!$D$21,"INSTITUCIONES AMIGAS DE LA MUJER Y LA INFANCIA (IAMI)",IF(N81=CURSOS!$D$22,"CUIDADO DEL DONANTE DE ORGANOS",IF(N81=CURSOS!$D$23,"ATENCION A VICTIMAS POR VIOLENCIA DE GENERO",IF(N81=CURSOS!$D$24,"IGUALDAD DE GENERO EN LA SALUD",IF(N81=CURSOS!$D$25,"BRIGADA DE EMERGENCIA",IF(N81=CURSOS!$D$26,"MANEJO DEL DOLOR Y CUIDADOS PALIATIVOS",IF(N81=CURSOS!$D$27,"TOMA MUESTRAS Y LABORATORIO POCT",IF(N81=CURSOS!$D$28,"IMPLANTE SUBDERMICO Y DISPOSITIVO INTRAUTERINO",IF(N81=CURSOS!$D$29,"SALUD MENTAL",IF(N81=CURSOS!$D$30,"PRIMEROS AUXILIOS PSICOLOGICOS",IF(N81=CURSOS!$D$31,"ATENCION A VICTIMAS POR CONFLICTO ARMADO",IF(N81=CURSOS!$D$32,"MANIPULACION DE ALIMENTOS Y BPM",IF(N81=CURSOS!$D$33,"ATENCION A PERSONAS CON DISCAPACIDAD",IF(N81=CURSOS!$D$34,"CUIDADO INTEGRAL DEL PACIENTE ADULTO"))))))))))))))))))))))))))))))))</f>
        <v>ACOMPAÑAMIENTO Y MANEJO DEL DUELO</v>
      </c>
      <c r="U81" s="64" t="str">
        <f t="shared" si="6"/>
        <v>Claudia Ximena Ortega Ortiz</v>
      </c>
      <c r="V81" s="64" t="str">
        <f t="shared" si="7"/>
        <v>Claudia Ximena Ortega Ortiz</v>
      </c>
      <c r="W81" s="64" t="str">
        <f t="shared" si="8"/>
        <v>Claudia Ximena Ortega Ortiz-37085908-DUELO</v>
      </c>
    </row>
    <row r="82" spans="1:23" s="21" customFormat="1" x14ac:dyDescent="0.2">
      <c r="A82" s="94">
        <v>81</v>
      </c>
      <c r="B82" s="62">
        <v>59793479</v>
      </c>
      <c r="C82" s="19" t="s">
        <v>253</v>
      </c>
      <c r="D82" s="19" t="s">
        <v>332</v>
      </c>
      <c r="E82" s="19" t="s">
        <v>333</v>
      </c>
      <c r="F82" s="19" t="s">
        <v>334</v>
      </c>
      <c r="G82" s="16">
        <v>19</v>
      </c>
      <c r="H82" s="16" t="s">
        <v>90</v>
      </c>
      <c r="I82" s="18">
        <v>45470</v>
      </c>
      <c r="J82" s="22">
        <v>25000</v>
      </c>
      <c r="K82" s="16" t="s">
        <v>229</v>
      </c>
      <c r="L82" s="16" t="s">
        <v>101</v>
      </c>
      <c r="M82" s="16" t="s">
        <v>193</v>
      </c>
      <c r="N82" s="17" t="s">
        <v>25</v>
      </c>
      <c r="O82" s="20">
        <v>23676</v>
      </c>
      <c r="P82" s="19" t="s">
        <v>108</v>
      </c>
      <c r="Q82" s="19"/>
      <c r="R82" s="19"/>
      <c r="S82" s="19"/>
      <c r="T82" s="64" t="str">
        <f>IF(N82=CURSOS!$D$3,"DIPLOMADO EN ATENCION PRE-HOSPITALARIA",IF(N82=CURSOS!$D$4,"ACOMPAÑAMIENTO Y MANEJO DEL DUELO",IF(N82=CURSOS!$D$5,"ATENCION A VICTIMAS DE ATAQUE CON AGENTES QUIMICOS ",IF(N82=CURSOS!$D$6,"PRIMEROS AUXILIOS ",IF(N82=CURSOS!$D$7,"DIPLOMADO DE UNIDAD DE CUIDADOS INTENSIVOS (UCI)",IF(N82=CURSOS!$D$8,"MODELO DE ATENCION PARA EVENTOS EMERGENTES EN SALUD MENTAL (CODIGO VERDE)",IF(N82=CURSOS!$D$9,"HUMANIZACION EN SALUD, BUENAS PRACTICAS EN PACIENTE ",IF(N82=CURSOS!$D$10,"CLINICA DE HERIDAS ",IF(N82=CURSOS!$D$11,"TOMA DE CITOLOGIA A CERVICO VAGINAL ",IF(N82=CURSOS!$D$12,"SOPORTE CARDIOVASCULAR AVANZADO ",IF(N82=CURSOS!$D$13,"CAMILLERO ",IF(N82=CURSOS!$D$14,"TOMA MUESTRAS Y LABORATORIO ",IF(N82=CURSOS!$D$15,"SOPORTE VITAL BASICO (BLS)",IF(N82=CURSOS!$D$16,"ATENCION A VICTIMAS DE VIOLENCIA SEXUAL ",IF(N82=CURSOS!$D$17,"PROGRAMADO AMPLIADO DE INMUNIZACION (PAI - COVID 19)",IF(N82=CURSOS!$D$18,"ATENCION INTEGRAL EN ENFERMEDADES PREVALENTES EN PRIMERA INFANCIA (AIEPI)",IF(N82=CURSOS!$D$19,"ADMINISTRACION DE MEDICAMENTOS, IYECTOLOGIA  Y CANALIZACION ",IF(N82=CURSOS!$D$20,"OPERADOR DE VEHICULOS DE EMERGENCIA (OVE)",IF(N82=CURSOS!$D$21,"INSTITUCIONES AMIGAS DE LA MUJER Y LA INFANCIA (IAMI)",IF(N82=CURSOS!$D$22,"CUIDADO DEL DONANTE DE ORGANOS",IF(N82=CURSOS!$D$23,"ATENCION A VICTIMAS POR VIOLENCIA DE GENERO",IF(N82=CURSOS!$D$24,"IGUALDAD DE GENERO EN LA SALUD",IF(N82=CURSOS!$D$25,"BRIGADA DE EMERGENCIA",IF(N82=CURSOS!$D$26,"MANEJO DEL DOLOR Y CUIDADOS PALIATIVOS",IF(N82=CURSOS!$D$27,"TOMA MUESTRAS Y LABORATORIO POCT",IF(N82=CURSOS!$D$28,"IMPLANTE SUBDERMICO Y DISPOSITIVO INTRAUTERINO",IF(N82=CURSOS!$D$29,"SALUD MENTAL",IF(N82=CURSOS!$D$30,"PRIMEROS AUXILIOS PSICOLOGICOS",IF(N82=CURSOS!$D$31,"ATENCION A VICTIMAS POR CONFLICTO ARMADO",IF(N82=CURSOS!$D$32,"MANIPULACION DE ALIMENTOS Y BPM",IF(N82=CURSOS!$D$33,"ATENCION A PERSONAS CON DISCAPACIDAD",IF(N82=CURSOS!$D$34,"CUIDADO INTEGRAL DEL PACIENTE ADULTO"))))))))))))))))))))))))))))))))</f>
        <v xml:space="preserve">ATENCION A VICTIMAS DE ATAQUE CON AGENTES QUIMICOS </v>
      </c>
      <c r="U82" s="64" t="str">
        <f t="shared" si="6"/>
        <v>Yolanda Marleny Burbano Lopez</v>
      </c>
      <c r="V82" s="64" t="str">
        <f t="shared" si="7"/>
        <v>Yolanda Marleny Burbano Lopez</v>
      </c>
      <c r="W82" s="64" t="str">
        <f t="shared" si="8"/>
        <v>Yolanda Marleny Burbano Lopez-59793479-QUIMICOS</v>
      </c>
    </row>
    <row r="83" spans="1:23" s="21" customFormat="1" x14ac:dyDescent="0.2">
      <c r="A83" s="94">
        <v>82</v>
      </c>
      <c r="B83" s="62">
        <v>1085925798</v>
      </c>
      <c r="C83" s="19" t="s">
        <v>274</v>
      </c>
      <c r="D83" s="19" t="s">
        <v>335</v>
      </c>
      <c r="E83" s="19" t="s">
        <v>336</v>
      </c>
      <c r="F83" s="19" t="s">
        <v>214</v>
      </c>
      <c r="G83" s="16">
        <v>19</v>
      </c>
      <c r="H83" s="16" t="s">
        <v>90</v>
      </c>
      <c r="I83" s="18">
        <v>45463</v>
      </c>
      <c r="J83" s="22">
        <v>35000</v>
      </c>
      <c r="K83" s="16" t="s">
        <v>91</v>
      </c>
      <c r="L83" s="16" t="s">
        <v>101</v>
      </c>
      <c r="M83" s="16" t="s">
        <v>93</v>
      </c>
      <c r="N83" s="17" t="s">
        <v>25</v>
      </c>
      <c r="O83" s="20">
        <v>33577</v>
      </c>
      <c r="P83" s="19" t="s">
        <v>108</v>
      </c>
      <c r="Q83" s="19" t="s">
        <v>117</v>
      </c>
      <c r="R83" s="19">
        <v>3175328329</v>
      </c>
      <c r="S83" s="19" t="s">
        <v>337</v>
      </c>
      <c r="T83" s="64" t="str">
        <f>IF(N83=CURSOS!$D$3,"DIPLOMADO EN ATENCION PRE-HOSPITALARIA",IF(N83=CURSOS!$D$4,"ACOMPAÑAMIENTO Y MANEJO DEL DUELO",IF(N83=CURSOS!$D$5,"ATENCION A VICTIMAS DE ATAQUE CON AGENTES QUIMICOS ",IF(N83=CURSOS!$D$6,"PRIMEROS AUXILIOS ",IF(N83=CURSOS!$D$7,"DIPLOMADO DE UNIDAD DE CUIDADOS INTENSIVOS (UCI)",IF(N83=CURSOS!$D$8,"MODELO DE ATENCION PARA EVENTOS EMERGENTES EN SALUD MENTAL (CODIGO VERDE)",IF(N83=CURSOS!$D$9,"HUMANIZACION EN SALUD, BUENAS PRACTICAS EN PACIENTE ",IF(N83=CURSOS!$D$10,"CLINICA DE HERIDAS ",IF(N83=CURSOS!$D$11,"TOMA DE CITOLOGIA A CERVICO VAGINAL ",IF(N83=CURSOS!$D$12,"SOPORTE CARDIOVASCULAR AVANZADO ",IF(N83=CURSOS!$D$13,"CAMILLERO ",IF(N83=CURSOS!$D$14,"TOMA MUESTRAS Y LABORATORIO ",IF(N83=CURSOS!$D$15,"SOPORTE VITAL BASICO (BLS)",IF(N83=CURSOS!$D$16,"ATENCION A VICTIMAS DE VIOLENCIA SEXUAL ",IF(N83=CURSOS!$D$17,"PROGRAMADO AMPLIADO DE INMUNIZACION (PAI - COVID 19)",IF(N83=CURSOS!$D$18,"ATENCION INTEGRAL EN ENFERMEDADES PREVALENTES EN PRIMERA INFANCIA (AIEPI)",IF(N83=CURSOS!$D$19,"ADMINISTRACION DE MEDICAMENTOS, IYECTOLOGIA  Y CANALIZACION ",IF(N83=CURSOS!$D$20,"OPERADOR DE VEHICULOS DE EMERGENCIA (OVE)",IF(N83=CURSOS!$D$21,"INSTITUCIONES AMIGAS DE LA MUJER Y LA INFANCIA (IAMI)",IF(N83=CURSOS!$D$22,"CUIDADO DEL DONANTE DE ORGANOS",IF(N83=CURSOS!$D$23,"ATENCION A VICTIMAS POR VIOLENCIA DE GENERO",IF(N83=CURSOS!$D$24,"IGUALDAD DE GENERO EN LA SALUD",IF(N83=CURSOS!$D$25,"BRIGADA DE EMERGENCIA",IF(N83=CURSOS!$D$26,"MANEJO DEL DOLOR Y CUIDADOS PALIATIVOS",IF(N83=CURSOS!$D$27,"TOMA MUESTRAS Y LABORATORIO POCT",IF(N83=CURSOS!$D$28,"IMPLANTE SUBDERMICO Y DISPOSITIVO INTRAUTERINO",IF(N83=CURSOS!$D$29,"SALUD MENTAL",IF(N83=CURSOS!$D$30,"PRIMEROS AUXILIOS PSICOLOGICOS",IF(N83=CURSOS!$D$31,"ATENCION A VICTIMAS POR CONFLICTO ARMADO",IF(N83=CURSOS!$D$32,"MANIPULACION DE ALIMENTOS Y BPM",IF(N83=CURSOS!$D$33,"ATENCION A PERSONAS CON DISCAPACIDAD",IF(N83=CURSOS!$D$34,"CUIDADO INTEGRAL DEL PACIENTE ADULTO"))))))))))))))))))))))))))))))))</f>
        <v xml:space="preserve">ATENCION A VICTIMAS DE ATAQUE CON AGENTES QUIMICOS </v>
      </c>
      <c r="U83" s="64" t="str">
        <f t="shared" si="6"/>
        <v>Mayra Alexandra Benavides Escobar</v>
      </c>
      <c r="V83" s="64" t="str">
        <f t="shared" si="7"/>
        <v>Mayra Alexandra Benavides Escobar</v>
      </c>
      <c r="W83" s="64" t="str">
        <f t="shared" si="8"/>
        <v>Mayra Alexandra Benavides Escobar-1085925798-QUIMICOS</v>
      </c>
    </row>
    <row r="84" spans="1:23" s="21" customFormat="1" x14ac:dyDescent="0.2">
      <c r="A84" s="94">
        <v>83</v>
      </c>
      <c r="B84" s="62">
        <v>1085277113</v>
      </c>
      <c r="C84" s="19" t="s">
        <v>338</v>
      </c>
      <c r="D84" s="19" t="s">
        <v>170</v>
      </c>
      <c r="E84" s="19" t="s">
        <v>186</v>
      </c>
      <c r="F84" s="19" t="s">
        <v>291</v>
      </c>
      <c r="G84" s="16">
        <v>19</v>
      </c>
      <c r="H84" s="16" t="s">
        <v>90</v>
      </c>
      <c r="I84" s="18">
        <v>45462</v>
      </c>
      <c r="J84" s="22">
        <v>36300</v>
      </c>
      <c r="K84" s="16" t="s">
        <v>107</v>
      </c>
      <c r="L84" s="16" t="s">
        <v>101</v>
      </c>
      <c r="M84" s="16" t="s">
        <v>93</v>
      </c>
      <c r="N84" s="17" t="s">
        <v>25</v>
      </c>
      <c r="O84" s="20">
        <v>32814</v>
      </c>
      <c r="P84" s="19" t="s">
        <v>108</v>
      </c>
      <c r="Q84" s="19" t="s">
        <v>339</v>
      </c>
      <c r="R84" s="19">
        <v>3146059035</v>
      </c>
      <c r="S84" s="19" t="s">
        <v>340</v>
      </c>
      <c r="T84" s="64" t="str">
        <f>IF(N84=CURSOS!$D$3,"DIPLOMADO EN ATENCION PRE-HOSPITALARIA",IF(N84=CURSOS!$D$4,"ACOMPAÑAMIENTO Y MANEJO DEL DUELO",IF(N84=CURSOS!$D$5,"ATENCION A VICTIMAS DE ATAQUE CON AGENTES QUIMICOS ",IF(N84=CURSOS!$D$6,"PRIMEROS AUXILIOS ",IF(N84=CURSOS!$D$7,"DIPLOMADO DE UNIDAD DE CUIDADOS INTENSIVOS (UCI)",IF(N84=CURSOS!$D$8,"MODELO DE ATENCION PARA EVENTOS EMERGENTES EN SALUD MENTAL (CODIGO VERDE)",IF(N84=CURSOS!$D$9,"HUMANIZACION EN SALUD, BUENAS PRACTICAS EN PACIENTE ",IF(N84=CURSOS!$D$10,"CLINICA DE HERIDAS ",IF(N84=CURSOS!$D$11,"TOMA DE CITOLOGIA A CERVICO VAGINAL ",IF(N84=CURSOS!$D$12,"SOPORTE CARDIOVASCULAR AVANZADO ",IF(N84=CURSOS!$D$13,"CAMILLERO ",IF(N84=CURSOS!$D$14,"TOMA MUESTRAS Y LABORATORIO ",IF(N84=CURSOS!$D$15,"SOPORTE VITAL BASICO (BLS)",IF(N84=CURSOS!$D$16,"ATENCION A VICTIMAS DE VIOLENCIA SEXUAL ",IF(N84=CURSOS!$D$17,"PROGRAMADO AMPLIADO DE INMUNIZACION (PAI - COVID 19)",IF(N84=CURSOS!$D$18,"ATENCION INTEGRAL EN ENFERMEDADES PREVALENTES EN PRIMERA INFANCIA (AIEPI)",IF(N84=CURSOS!$D$19,"ADMINISTRACION DE MEDICAMENTOS, IYECTOLOGIA  Y CANALIZACION ",IF(N84=CURSOS!$D$20,"OPERADOR DE VEHICULOS DE EMERGENCIA (OVE)",IF(N84=CURSOS!$D$21,"INSTITUCIONES AMIGAS DE LA MUJER Y LA INFANCIA (IAMI)",IF(N84=CURSOS!$D$22,"CUIDADO DEL DONANTE DE ORGANOS",IF(N84=CURSOS!$D$23,"ATENCION A VICTIMAS POR VIOLENCIA DE GENERO",IF(N84=CURSOS!$D$24,"IGUALDAD DE GENERO EN LA SALUD",IF(N84=CURSOS!$D$25,"BRIGADA DE EMERGENCIA",IF(N84=CURSOS!$D$26,"MANEJO DEL DOLOR Y CUIDADOS PALIATIVOS",IF(N84=CURSOS!$D$27,"TOMA MUESTRAS Y LABORATORIO POCT",IF(N84=CURSOS!$D$28,"IMPLANTE SUBDERMICO Y DISPOSITIVO INTRAUTERINO",IF(N84=CURSOS!$D$29,"SALUD MENTAL",IF(N84=CURSOS!$D$30,"PRIMEROS AUXILIOS PSICOLOGICOS",IF(N84=CURSOS!$D$31,"ATENCION A VICTIMAS POR CONFLICTO ARMADO",IF(N84=CURSOS!$D$32,"MANIPULACION DE ALIMENTOS Y BPM",IF(N84=CURSOS!$D$33,"ATENCION A PERSONAS CON DISCAPACIDAD",IF(N84=CURSOS!$D$34,"CUIDADO INTEGRAL DEL PACIENTE ADULTO"))))))))))))))))))))))))))))))))</f>
        <v xml:space="preserve">ATENCION A VICTIMAS DE ATAQUE CON AGENTES QUIMICOS </v>
      </c>
      <c r="U84" s="64" t="str">
        <f t="shared" si="6"/>
        <v>Ayde  Marcela Miramag Delgado</v>
      </c>
      <c r="V84" s="64" t="str">
        <f t="shared" si="7"/>
        <v>Ayde  Marcela Miramag Delgado</v>
      </c>
      <c r="W84" s="64" t="str">
        <f t="shared" si="8"/>
        <v>Ayde  Marcela Miramag Delgado-1085277113-QUIMICOS</v>
      </c>
    </row>
    <row r="85" spans="1:23" s="21" customFormat="1" x14ac:dyDescent="0.2">
      <c r="A85" s="94">
        <v>84</v>
      </c>
      <c r="B85" s="62">
        <v>1085277113</v>
      </c>
      <c r="C85" s="19" t="s">
        <v>338</v>
      </c>
      <c r="D85" s="19" t="s">
        <v>170</v>
      </c>
      <c r="E85" s="19" t="s">
        <v>186</v>
      </c>
      <c r="F85" s="19" t="s">
        <v>291</v>
      </c>
      <c r="G85" s="16">
        <v>19</v>
      </c>
      <c r="H85" s="16" t="s">
        <v>90</v>
      </c>
      <c r="I85" s="18">
        <v>45462</v>
      </c>
      <c r="J85" s="22">
        <v>36300</v>
      </c>
      <c r="K85" s="16" t="s">
        <v>107</v>
      </c>
      <c r="L85" s="16" t="s">
        <v>101</v>
      </c>
      <c r="M85" s="16" t="s">
        <v>93</v>
      </c>
      <c r="N85" s="17" t="s">
        <v>73</v>
      </c>
      <c r="O85" s="20">
        <v>32814</v>
      </c>
      <c r="P85" s="19" t="s">
        <v>108</v>
      </c>
      <c r="Q85" s="19" t="s">
        <v>339</v>
      </c>
      <c r="R85" s="19">
        <v>3146059035</v>
      </c>
      <c r="S85" s="19" t="s">
        <v>340</v>
      </c>
      <c r="T85" s="64" t="str">
        <f>IF(N85=CURSOS!$D$3,"DIPLOMADO EN ATENCION PRE-HOSPITALARIA",IF(N85=CURSOS!$D$4,"ACOMPAÑAMIENTO Y MANEJO DEL DUELO",IF(N85=CURSOS!$D$5,"ATENCION A VICTIMAS DE ATAQUE CON AGENTES QUIMICOS ",IF(N85=CURSOS!$D$6,"PRIMEROS AUXILIOS ",IF(N85=CURSOS!$D$7,"DIPLOMADO DE UNIDAD DE CUIDADOS INTENSIVOS (UCI)",IF(N85=CURSOS!$D$8,"MODELO DE ATENCION PARA EVENTOS EMERGENTES EN SALUD MENTAL (CODIGO VERDE)",IF(N85=CURSOS!$D$9,"HUMANIZACION EN SALUD, BUENAS PRACTICAS EN PACIENTE ",IF(N85=CURSOS!$D$10,"CLINICA DE HERIDAS ",IF(N85=CURSOS!$D$11,"TOMA DE CITOLOGIA A CERVICO VAGINAL ",IF(N85=CURSOS!$D$12,"SOPORTE CARDIOVASCULAR AVANZADO ",IF(N85=CURSOS!$D$13,"CAMILLERO ",IF(N85=CURSOS!$D$14,"TOMA MUESTRAS Y LABORATORIO ",IF(N85=CURSOS!$D$15,"SOPORTE VITAL BASICO (BLS)",IF(N85=CURSOS!$D$16,"ATENCION A VICTIMAS DE VIOLENCIA SEXUAL ",IF(N85=CURSOS!$D$17,"PROGRAMADO AMPLIADO DE INMUNIZACION (PAI - COVID 19)",IF(N85=CURSOS!$D$18,"ATENCION INTEGRAL EN ENFERMEDADES PREVALENTES EN PRIMERA INFANCIA (AIEPI)",IF(N85=CURSOS!$D$19,"ADMINISTRACION DE MEDICAMENTOS, IYECTOLOGIA  Y CANALIZACION ",IF(N85=CURSOS!$D$20,"OPERADOR DE VEHICULOS DE EMERGENCIA (OVE)",IF(N85=CURSOS!$D$21,"INSTITUCIONES AMIGAS DE LA MUJER Y LA INFANCIA (IAMI)",IF(N85=CURSOS!$D$22,"CUIDADO DEL DONANTE DE ORGANOS",IF(N85=CURSOS!$D$23,"ATENCION A VICTIMAS POR VIOLENCIA DE GENERO",IF(N85=CURSOS!$D$24,"IGUALDAD DE GENERO EN LA SALUD",IF(N85=CURSOS!$D$25,"BRIGADA DE EMERGENCIA",IF(N85=CURSOS!$D$26,"MANEJO DEL DOLOR Y CUIDADOS PALIATIVOS",IF(N85=CURSOS!$D$27,"TOMA MUESTRAS Y LABORATORIO POCT",IF(N85=CURSOS!$D$28,"IMPLANTE SUBDERMICO Y DISPOSITIVO INTRAUTERINO",IF(N85=CURSOS!$D$29,"SALUD MENTAL",IF(N85=CURSOS!$D$30,"PRIMEROS AUXILIOS PSICOLOGICOS",IF(N85=CURSOS!$D$31,"ATENCION A VICTIMAS POR CONFLICTO ARMADO",IF(N85=CURSOS!$D$32,"MANIPULACION DE ALIMENTOS Y BPM",IF(N85=CURSOS!$D$33,"ATENCION A PERSONAS CON DISCAPACIDAD",IF(N85=CURSOS!$D$34,"CUIDADO INTEGRAL DEL PACIENTE ADULTO"))))))))))))))))))))))))))))))))</f>
        <v>ATENCION A VICTIMAS POR CONFLICTO ARMADO</v>
      </c>
      <c r="U85" s="64" t="str">
        <f t="shared" si="6"/>
        <v>Ayde  Marcela Miramag Delgado</v>
      </c>
      <c r="V85" s="64" t="str">
        <f t="shared" si="7"/>
        <v>Ayde  Marcela Miramag Delgado</v>
      </c>
      <c r="W85" s="64" t="str">
        <f t="shared" si="8"/>
        <v>Ayde  Marcela Miramag Delgado-1085277113-CONFLICTO ARMADO</v>
      </c>
    </row>
    <row r="86" spans="1:23" s="21" customFormat="1" x14ac:dyDescent="0.2">
      <c r="A86" s="94">
        <v>85</v>
      </c>
      <c r="B86" s="62">
        <v>1085277113</v>
      </c>
      <c r="C86" s="19" t="s">
        <v>338</v>
      </c>
      <c r="D86" s="19" t="s">
        <v>170</v>
      </c>
      <c r="E86" s="19" t="s">
        <v>186</v>
      </c>
      <c r="F86" s="19" t="s">
        <v>291</v>
      </c>
      <c r="G86" s="16">
        <v>19</v>
      </c>
      <c r="H86" s="16" t="s">
        <v>90</v>
      </c>
      <c r="I86" s="18">
        <v>45462</v>
      </c>
      <c r="J86" s="22">
        <v>36300</v>
      </c>
      <c r="K86" s="16" t="s">
        <v>107</v>
      </c>
      <c r="L86" s="16" t="s">
        <v>101</v>
      </c>
      <c r="M86" s="16" t="s">
        <v>93</v>
      </c>
      <c r="N86" s="17" t="s">
        <v>33</v>
      </c>
      <c r="O86" s="20">
        <v>32814</v>
      </c>
      <c r="P86" s="19" t="s">
        <v>108</v>
      </c>
      <c r="Q86" s="19" t="s">
        <v>339</v>
      </c>
      <c r="R86" s="19">
        <v>3146059035</v>
      </c>
      <c r="S86" s="19" t="s">
        <v>340</v>
      </c>
      <c r="T86" s="64" t="str">
        <f>IF(N86=CURSOS!$D$3,"DIPLOMADO EN ATENCION PRE-HOSPITALARIA",IF(N86=CURSOS!$D$4,"ACOMPAÑAMIENTO Y MANEJO DEL DUELO",IF(N86=CURSOS!$D$5,"ATENCION A VICTIMAS DE ATAQUE CON AGENTES QUIMICOS ",IF(N86=CURSOS!$D$6,"PRIMEROS AUXILIOS ",IF(N86=CURSOS!$D$7,"DIPLOMADO DE UNIDAD DE CUIDADOS INTENSIVOS (UCI)",IF(N86=CURSOS!$D$8,"MODELO DE ATENCION PARA EVENTOS EMERGENTES EN SALUD MENTAL (CODIGO VERDE)",IF(N86=CURSOS!$D$9,"HUMANIZACION EN SALUD, BUENAS PRACTICAS EN PACIENTE ",IF(N86=CURSOS!$D$10,"CLINICA DE HERIDAS ",IF(N86=CURSOS!$D$11,"TOMA DE CITOLOGIA A CERVICO VAGINAL ",IF(N86=CURSOS!$D$12,"SOPORTE CARDIOVASCULAR AVANZADO ",IF(N86=CURSOS!$D$13,"CAMILLERO ",IF(N86=CURSOS!$D$14,"TOMA MUESTRAS Y LABORATORIO ",IF(N86=CURSOS!$D$15,"SOPORTE VITAL BASICO (BLS)",IF(N86=CURSOS!$D$16,"ATENCION A VICTIMAS DE VIOLENCIA SEXUAL ",IF(N86=CURSOS!$D$17,"PROGRAMADO AMPLIADO DE INMUNIZACION (PAI - COVID 19)",IF(N86=CURSOS!$D$18,"ATENCION INTEGRAL EN ENFERMEDADES PREVALENTES EN PRIMERA INFANCIA (AIEPI)",IF(N86=CURSOS!$D$19,"ADMINISTRACION DE MEDICAMENTOS, IYECTOLOGIA  Y CANALIZACION ",IF(N86=CURSOS!$D$20,"OPERADOR DE VEHICULOS DE EMERGENCIA (OVE)",IF(N86=CURSOS!$D$21,"INSTITUCIONES AMIGAS DE LA MUJER Y LA INFANCIA (IAMI)",IF(N86=CURSOS!$D$22,"CUIDADO DEL DONANTE DE ORGANOS",IF(N86=CURSOS!$D$23,"ATENCION A VICTIMAS POR VIOLENCIA DE GENERO",IF(N86=CURSOS!$D$24,"IGUALDAD DE GENERO EN LA SALUD",IF(N86=CURSOS!$D$25,"BRIGADA DE EMERGENCIA",IF(N86=CURSOS!$D$26,"MANEJO DEL DOLOR Y CUIDADOS PALIATIVOS",IF(N86=CURSOS!$D$27,"TOMA MUESTRAS Y LABORATORIO POCT",IF(N86=CURSOS!$D$28,"IMPLANTE SUBDERMICO Y DISPOSITIVO INTRAUTERINO",IF(N86=CURSOS!$D$29,"SALUD MENTAL",IF(N86=CURSOS!$D$30,"PRIMEROS AUXILIOS PSICOLOGICOS",IF(N86=CURSOS!$D$31,"ATENCION A VICTIMAS POR CONFLICTO ARMADO",IF(N86=CURSOS!$D$32,"MANIPULACION DE ALIMENTOS Y BPM",IF(N86=CURSOS!$D$33,"ATENCION A PERSONAS CON DISCAPACIDAD",IF(N86=CURSOS!$D$34,"CUIDADO INTEGRAL DEL PACIENTE ADULTO"))))))))))))))))))))))))))))))))</f>
        <v xml:space="preserve">HUMANIZACION EN SALUD, BUENAS PRACTICAS EN PACIENTE </v>
      </c>
      <c r="U86" s="64" t="str">
        <f t="shared" si="6"/>
        <v>Ayde  Marcela Miramag Delgado</v>
      </c>
      <c r="V86" s="64" t="str">
        <f t="shared" si="7"/>
        <v>Ayde  Marcela Miramag Delgado</v>
      </c>
      <c r="W86" s="64" t="str">
        <f t="shared" si="8"/>
        <v>Ayde  Marcela Miramag Delgado-1085277113-HUMANIZACION</v>
      </c>
    </row>
    <row r="87" spans="1:23" s="21" customFormat="1" x14ac:dyDescent="0.2">
      <c r="A87" s="94">
        <v>86</v>
      </c>
      <c r="B87" s="62">
        <v>36759746</v>
      </c>
      <c r="C87" s="19" t="s">
        <v>341</v>
      </c>
      <c r="D87" s="19" t="s">
        <v>342</v>
      </c>
      <c r="E87" s="19" t="s">
        <v>343</v>
      </c>
      <c r="F87" s="19"/>
      <c r="G87" s="16">
        <v>19</v>
      </c>
      <c r="H87" s="16" t="s">
        <v>90</v>
      </c>
      <c r="I87" s="18">
        <v>45462</v>
      </c>
      <c r="J87" s="22">
        <v>0</v>
      </c>
      <c r="K87" s="16" t="s">
        <v>344</v>
      </c>
      <c r="L87" s="16" t="s">
        <v>101</v>
      </c>
      <c r="M87" s="16" t="s">
        <v>93</v>
      </c>
      <c r="N87" s="17" t="s">
        <v>19</v>
      </c>
      <c r="O87" s="20">
        <v>29841</v>
      </c>
      <c r="P87" s="19" t="s">
        <v>108</v>
      </c>
      <c r="Q87" s="19" t="s">
        <v>117</v>
      </c>
      <c r="R87" s="19">
        <v>3226839341</v>
      </c>
      <c r="S87" s="19" t="s">
        <v>345</v>
      </c>
      <c r="T87" s="64" t="str">
        <f>IF(N87=CURSOS!$D$3,"DIPLOMADO EN ATENCION PRE-HOSPITALARIA",IF(N87=CURSOS!$D$4,"ACOMPAÑAMIENTO Y MANEJO DEL DUELO",IF(N87=CURSOS!$D$5,"ATENCION A VICTIMAS DE ATAQUE CON AGENTES QUIMICOS ",IF(N87=CURSOS!$D$6,"PRIMEROS AUXILIOS ",IF(N87=CURSOS!$D$7,"DIPLOMADO DE UNIDAD DE CUIDADOS INTENSIVOS (UCI)",IF(N87=CURSOS!$D$8,"MODELO DE ATENCION PARA EVENTOS EMERGENTES EN SALUD MENTAL (CODIGO VERDE)",IF(N87=CURSOS!$D$9,"HUMANIZACION EN SALUD, BUENAS PRACTICAS EN PACIENTE ",IF(N87=CURSOS!$D$10,"CLINICA DE HERIDAS ",IF(N87=CURSOS!$D$11,"TOMA DE CITOLOGIA A CERVICO VAGINAL ",IF(N87=CURSOS!$D$12,"SOPORTE CARDIOVASCULAR AVANZADO ",IF(N87=CURSOS!$D$13,"CAMILLERO ",IF(N87=CURSOS!$D$14,"TOMA MUESTRAS Y LABORATORIO ",IF(N87=CURSOS!$D$15,"SOPORTE VITAL BASICO (BLS)",IF(N87=CURSOS!$D$16,"ATENCION A VICTIMAS DE VIOLENCIA SEXUAL ",IF(N87=CURSOS!$D$17,"PROGRAMADO AMPLIADO DE INMUNIZACION (PAI - COVID 19)",IF(N87=CURSOS!$D$18,"ATENCION INTEGRAL EN ENFERMEDADES PREVALENTES EN PRIMERA INFANCIA (AIEPI)",IF(N87=CURSOS!$D$19,"ADMINISTRACION DE MEDICAMENTOS, IYECTOLOGIA  Y CANALIZACION ",IF(N87=CURSOS!$D$20,"OPERADOR DE VEHICULOS DE EMERGENCIA (OVE)",IF(N87=CURSOS!$D$21,"INSTITUCIONES AMIGAS DE LA MUJER Y LA INFANCIA (IAMI)",IF(N87=CURSOS!$D$22,"CUIDADO DEL DONANTE DE ORGANOS",IF(N87=CURSOS!$D$23,"ATENCION A VICTIMAS POR VIOLENCIA DE GENERO",IF(N87=CURSOS!$D$24,"IGUALDAD DE GENERO EN LA SALUD",IF(N87=CURSOS!$D$25,"BRIGADA DE EMERGENCIA",IF(N87=CURSOS!$D$26,"MANEJO DEL DOLOR Y CUIDADOS PALIATIVOS",IF(N87=CURSOS!$D$27,"TOMA MUESTRAS Y LABORATORIO POCT",IF(N87=CURSOS!$D$28,"IMPLANTE SUBDERMICO Y DISPOSITIVO INTRAUTERINO",IF(N87=CURSOS!$D$29,"SALUD MENTAL",IF(N87=CURSOS!$D$30,"PRIMEROS AUXILIOS PSICOLOGICOS",IF(N87=CURSOS!$D$31,"ATENCION A VICTIMAS POR CONFLICTO ARMADO",IF(N87=CURSOS!$D$32,"MANIPULACION DE ALIMENTOS Y BPM",IF(N87=CURSOS!$D$33,"ATENCION A PERSONAS CON DISCAPACIDAD",IF(N87=CURSOS!$D$34,"CUIDADO INTEGRAL DEL PACIENTE ADULTO"))))))))))))))))))))))))))))))))</f>
        <v>SOPORTE VITAL BASICO (BLS)</v>
      </c>
      <c r="U87" s="64" t="str">
        <f t="shared" si="6"/>
        <v>Patricia  Inguilan Sandra</v>
      </c>
      <c r="V87" s="64" t="str">
        <f t="shared" si="7"/>
        <v>Patricia  Inguilan Sandra</v>
      </c>
      <c r="W87" s="64" t="str">
        <f t="shared" si="8"/>
        <v>Patricia  Inguilan Sandra-36759746-BLS</v>
      </c>
    </row>
    <row r="88" spans="1:23" s="21" customFormat="1" x14ac:dyDescent="0.2">
      <c r="A88" s="94">
        <v>87</v>
      </c>
      <c r="B88" s="62">
        <v>1004509422</v>
      </c>
      <c r="C88" s="19" t="s">
        <v>346</v>
      </c>
      <c r="D88" s="19" t="s">
        <v>299</v>
      </c>
      <c r="E88" s="19" t="s">
        <v>347</v>
      </c>
      <c r="F88" s="19" t="s">
        <v>348</v>
      </c>
      <c r="G88" s="16">
        <v>19</v>
      </c>
      <c r="H88" s="16" t="s">
        <v>90</v>
      </c>
      <c r="I88" s="18">
        <v>45462</v>
      </c>
      <c r="J88" s="22">
        <v>0</v>
      </c>
      <c r="K88" s="16" t="s">
        <v>344</v>
      </c>
      <c r="L88" s="16" t="s">
        <v>101</v>
      </c>
      <c r="M88" s="16" t="s">
        <v>93</v>
      </c>
      <c r="N88" s="17" t="s">
        <v>19</v>
      </c>
      <c r="O88" s="20">
        <v>37765</v>
      </c>
      <c r="P88" s="19" t="s">
        <v>108</v>
      </c>
      <c r="Q88" s="19" t="s">
        <v>117</v>
      </c>
      <c r="R88" s="19">
        <v>3183337476</v>
      </c>
      <c r="S88" s="78" t="s">
        <v>349</v>
      </c>
      <c r="T88" s="64" t="str">
        <f>IF(N88=CURSOS!$D$3,"DIPLOMADO EN ATENCION PRE-HOSPITALARIA",IF(N88=CURSOS!$D$4,"ACOMPAÑAMIENTO Y MANEJO DEL DUELO",IF(N88=CURSOS!$D$5,"ATENCION A VICTIMAS DE ATAQUE CON AGENTES QUIMICOS ",IF(N88=CURSOS!$D$6,"PRIMEROS AUXILIOS ",IF(N88=CURSOS!$D$7,"DIPLOMADO DE UNIDAD DE CUIDADOS INTENSIVOS (UCI)",IF(N88=CURSOS!$D$8,"MODELO DE ATENCION PARA EVENTOS EMERGENTES EN SALUD MENTAL (CODIGO VERDE)",IF(N88=CURSOS!$D$9,"HUMANIZACION EN SALUD, BUENAS PRACTICAS EN PACIENTE ",IF(N88=CURSOS!$D$10,"CLINICA DE HERIDAS ",IF(N88=CURSOS!$D$11,"TOMA DE CITOLOGIA A CERVICO VAGINAL ",IF(N88=CURSOS!$D$12,"SOPORTE CARDIOVASCULAR AVANZADO ",IF(N88=CURSOS!$D$13,"CAMILLERO ",IF(N88=CURSOS!$D$14,"TOMA MUESTRAS Y LABORATORIO ",IF(N88=CURSOS!$D$15,"SOPORTE VITAL BASICO (BLS)",IF(N88=CURSOS!$D$16,"ATENCION A VICTIMAS DE VIOLENCIA SEXUAL ",IF(N88=CURSOS!$D$17,"PROGRAMADO AMPLIADO DE INMUNIZACION (PAI - COVID 19)",IF(N88=CURSOS!$D$18,"ATENCION INTEGRAL EN ENFERMEDADES PREVALENTES EN PRIMERA INFANCIA (AIEPI)",IF(N88=CURSOS!$D$19,"ADMINISTRACION DE MEDICAMENTOS, IYECTOLOGIA  Y CANALIZACION ",IF(N88=CURSOS!$D$20,"OPERADOR DE VEHICULOS DE EMERGENCIA (OVE)",IF(N88=CURSOS!$D$21,"INSTITUCIONES AMIGAS DE LA MUJER Y LA INFANCIA (IAMI)",IF(N88=CURSOS!$D$22,"CUIDADO DEL DONANTE DE ORGANOS",IF(N88=CURSOS!$D$23,"ATENCION A VICTIMAS POR VIOLENCIA DE GENERO",IF(N88=CURSOS!$D$24,"IGUALDAD DE GENERO EN LA SALUD",IF(N88=CURSOS!$D$25,"BRIGADA DE EMERGENCIA",IF(N88=CURSOS!$D$26,"MANEJO DEL DOLOR Y CUIDADOS PALIATIVOS",IF(N88=CURSOS!$D$27,"TOMA MUESTRAS Y LABORATORIO POCT",IF(N88=CURSOS!$D$28,"IMPLANTE SUBDERMICO Y DISPOSITIVO INTRAUTERINO",IF(N88=CURSOS!$D$29,"SALUD MENTAL",IF(N88=CURSOS!$D$30,"PRIMEROS AUXILIOS PSICOLOGICOS",IF(N88=CURSOS!$D$31,"ATENCION A VICTIMAS POR CONFLICTO ARMADO",IF(N88=CURSOS!$D$32,"MANIPULACION DE ALIMENTOS Y BPM",IF(N88=CURSOS!$D$33,"ATENCION A PERSONAS CON DISCAPACIDAD",IF(N88=CURSOS!$D$34,"CUIDADO INTEGRAL DEL PACIENTE ADULTO"))))))))))))))))))))))))))))))))</f>
        <v>SOPORTE VITAL BASICO (BLS)</v>
      </c>
      <c r="U88" s="64" t="str">
        <f t="shared" si="6"/>
        <v>Jeraldine Juliana Genoy Criollo</v>
      </c>
      <c r="V88" s="64" t="str">
        <f t="shared" si="7"/>
        <v>Jeraldine Juliana Genoy Criollo</v>
      </c>
      <c r="W88" s="64" t="str">
        <f t="shared" si="8"/>
        <v>Jeraldine Juliana Genoy Criollo-1004509422-BLS</v>
      </c>
    </row>
    <row r="89" spans="1:23" s="21" customFormat="1" x14ac:dyDescent="0.2">
      <c r="A89" s="94">
        <v>88</v>
      </c>
      <c r="B89" s="62">
        <v>1086331884</v>
      </c>
      <c r="C89" s="19" t="s">
        <v>350</v>
      </c>
      <c r="D89" s="19" t="s">
        <v>351</v>
      </c>
      <c r="E89" s="19" t="s">
        <v>352</v>
      </c>
      <c r="F89" s="19" t="s">
        <v>167</v>
      </c>
      <c r="G89" s="16">
        <v>19</v>
      </c>
      <c r="H89" s="16" t="s">
        <v>90</v>
      </c>
      <c r="I89" s="18">
        <v>45462</v>
      </c>
      <c r="J89" s="22">
        <v>35000</v>
      </c>
      <c r="K89" s="16" t="s">
        <v>229</v>
      </c>
      <c r="L89" s="16" t="s">
        <v>101</v>
      </c>
      <c r="M89" s="16" t="s">
        <v>93</v>
      </c>
      <c r="N89" s="17" t="s">
        <v>27</v>
      </c>
      <c r="O89" s="20">
        <v>35253</v>
      </c>
      <c r="P89" s="19" t="s">
        <v>108</v>
      </c>
      <c r="Q89" s="19" t="s">
        <v>117</v>
      </c>
      <c r="R89" s="19">
        <v>3217703672</v>
      </c>
      <c r="S89" s="19" t="s">
        <v>353</v>
      </c>
      <c r="T89" s="64" t="str">
        <f>IF(N89=CURSOS!$D$3,"DIPLOMADO EN ATENCION PRE-HOSPITALARIA",IF(N89=CURSOS!$D$4,"ACOMPAÑAMIENTO Y MANEJO DEL DUELO",IF(N89=CURSOS!$D$5,"ATENCION A VICTIMAS DE ATAQUE CON AGENTES QUIMICOS ",IF(N89=CURSOS!$D$6,"PRIMEROS AUXILIOS ",IF(N89=CURSOS!$D$7,"DIPLOMADO DE UNIDAD DE CUIDADOS INTENSIVOS (UCI)",IF(N89=CURSOS!$D$8,"MODELO DE ATENCION PARA EVENTOS EMERGENTES EN SALUD MENTAL (CODIGO VERDE)",IF(N89=CURSOS!$D$9,"HUMANIZACION EN SALUD, BUENAS PRACTICAS EN PACIENTE ",IF(N89=CURSOS!$D$10,"CLINICA DE HERIDAS ",IF(N89=CURSOS!$D$11,"TOMA DE CITOLOGIA A CERVICO VAGINAL ",IF(N89=CURSOS!$D$12,"SOPORTE CARDIOVASCULAR AVANZADO ",IF(N89=CURSOS!$D$13,"CAMILLERO ",IF(N89=CURSOS!$D$14,"TOMA MUESTRAS Y LABORATORIO ",IF(N89=CURSOS!$D$15,"SOPORTE VITAL BASICO (BLS)",IF(N89=CURSOS!$D$16,"ATENCION A VICTIMAS DE VIOLENCIA SEXUAL ",IF(N89=CURSOS!$D$17,"PROGRAMADO AMPLIADO DE INMUNIZACION (PAI - COVID 19)",IF(N89=CURSOS!$D$18,"ATENCION INTEGRAL EN ENFERMEDADES PREVALENTES EN PRIMERA INFANCIA (AIEPI)",IF(N89=CURSOS!$D$19,"ADMINISTRACION DE MEDICAMENTOS, IYECTOLOGIA  Y CANALIZACION ",IF(N89=CURSOS!$D$20,"OPERADOR DE VEHICULOS DE EMERGENCIA (OVE)",IF(N89=CURSOS!$D$21,"INSTITUCIONES AMIGAS DE LA MUJER Y LA INFANCIA (IAMI)",IF(N89=CURSOS!$D$22,"CUIDADO DEL DONANTE DE ORGANOS",IF(N89=CURSOS!$D$23,"ATENCION A VICTIMAS POR VIOLENCIA DE GENERO",IF(N89=CURSOS!$D$24,"IGUALDAD DE GENERO EN LA SALUD",IF(N89=CURSOS!$D$25,"BRIGADA DE EMERGENCIA",IF(N89=CURSOS!$D$26,"MANEJO DEL DOLOR Y CUIDADOS PALIATIVOS",IF(N89=CURSOS!$D$27,"TOMA MUESTRAS Y LABORATORIO POCT",IF(N89=CURSOS!$D$28,"IMPLANTE SUBDERMICO Y DISPOSITIVO INTRAUTERINO",IF(N89=CURSOS!$D$29,"SALUD MENTAL",IF(N89=CURSOS!$D$30,"PRIMEROS AUXILIOS PSICOLOGICOS",IF(N89=CURSOS!$D$31,"ATENCION A VICTIMAS POR CONFLICTO ARMADO",IF(N89=CURSOS!$D$32,"MANIPULACION DE ALIMENTOS Y BPM",IF(N89=CURSOS!$D$33,"ATENCION A PERSONAS CON DISCAPACIDAD",IF(N89=CURSOS!$D$34,"CUIDADO INTEGRAL DEL PACIENTE ADULTO"))))))))))))))))))))))))))))))))</f>
        <v xml:space="preserve">PRIMEROS AUXILIOS </v>
      </c>
      <c r="U89" s="64" t="str">
        <f t="shared" si="6"/>
        <v>Tania Lizeth Zuñiga Pinta</v>
      </c>
      <c r="V89" s="64" t="str">
        <f t="shared" si="7"/>
        <v>Tania Lizeth Zuñiga Pinta</v>
      </c>
      <c r="W89" s="64" t="str">
        <f t="shared" si="8"/>
        <v>Tania Lizeth Zuñiga Pinta-1086331884-PRIMEROS AUXILIOS</v>
      </c>
    </row>
    <row r="90" spans="1:23" s="21" customFormat="1" x14ac:dyDescent="0.2">
      <c r="A90" s="94">
        <v>89</v>
      </c>
      <c r="B90" s="62">
        <v>1086331884</v>
      </c>
      <c r="C90" s="19" t="s">
        <v>350</v>
      </c>
      <c r="D90" s="19" t="s">
        <v>351</v>
      </c>
      <c r="E90" s="19" t="s">
        <v>352</v>
      </c>
      <c r="F90" s="19" t="s">
        <v>167</v>
      </c>
      <c r="G90" s="16">
        <v>19</v>
      </c>
      <c r="H90" s="16" t="s">
        <v>90</v>
      </c>
      <c r="I90" s="18">
        <v>45462</v>
      </c>
      <c r="J90" s="22">
        <v>35000</v>
      </c>
      <c r="K90" s="16" t="s">
        <v>229</v>
      </c>
      <c r="L90" s="16" t="s">
        <v>101</v>
      </c>
      <c r="M90" s="16" t="s">
        <v>93</v>
      </c>
      <c r="N90" s="17" t="s">
        <v>354</v>
      </c>
      <c r="O90" s="20">
        <v>35253</v>
      </c>
      <c r="P90" s="19" t="s">
        <v>108</v>
      </c>
      <c r="Q90" s="19" t="s">
        <v>117</v>
      </c>
      <c r="R90" s="19">
        <v>3217703672</v>
      </c>
      <c r="S90" s="78" t="s">
        <v>353</v>
      </c>
      <c r="T90" s="64" t="str">
        <f>IF(N90=CURSOS!$D$3,"DIPLOMADO EN ATENCION PRE-HOSPITALARIA",IF(N90=CURSOS!$D$4,"ACOMPAÑAMIENTO Y MANEJO DEL DUELO",IF(N90=CURSOS!$D$5,"ATENCION A VICTIMAS DE ATAQUE CON AGENTES QUIMICOS ",IF(N90=CURSOS!$D$6,"PRIMEROS AUXILIOS ",IF(N90=CURSOS!$D$7,"DIPLOMADO DE UNIDAD DE CUIDADOS INTENSIVOS (UCI)",IF(N90=CURSOS!$D$8,"MODELO DE ATENCION PARA EVENTOS EMERGENTES EN SALUD MENTAL (CODIGO VERDE)",IF(N90=CURSOS!$D$9,"HUMANIZACION EN SALUD, BUENAS PRACTICAS EN PACIENTE ",IF(N90=CURSOS!$D$10,"CLINICA DE HERIDAS ",IF(N90=CURSOS!$D$11,"TOMA DE CITOLOGIA A CERVICO VAGINAL ",IF(N90=CURSOS!$D$12,"SOPORTE CARDIOVASCULAR AVANZADO ",IF(N90=CURSOS!$D$13,"CAMILLERO ",IF(N90=CURSOS!$D$14,"TOMA MUESTRAS Y LABORATORIO ",IF(N90=CURSOS!$D$15,"SOPORTE VITAL BASICO (BLS)",IF(N90=CURSOS!$D$16,"ATENCION A VICTIMAS DE VIOLENCIA SEXUAL ",IF(N90=CURSOS!$D$17,"PROGRAMADO AMPLIADO DE INMUNIZACION (PAI - COVID 19)",IF(N90=CURSOS!$D$18,"ATENCION INTEGRAL EN ENFERMEDADES PREVALENTES EN PRIMERA INFANCIA (AIEPI)",IF(N90=CURSOS!$D$19,"ADMINISTRACION DE MEDICAMENTOS, IYECTOLOGIA  Y CANALIZACION ",IF(N90=CURSOS!$D$20,"OPERADOR DE VEHICULOS DE EMERGENCIA (OVE)",IF(N90=CURSOS!$D$21,"INSTITUCIONES AMIGAS DE LA MUJER Y LA INFANCIA (IAMI)",IF(N90=CURSOS!$D$22,"CUIDADO DEL DONANTE DE ORGANOS",IF(N90=CURSOS!$D$23,"ATENCION A VICTIMAS POR VIOLENCIA DE GENERO",IF(N90=CURSOS!$D$24,"IGUALDAD DE GENERO EN LA SALUD",IF(N90=CURSOS!$D$25,"BRIGADA DE EMERGENCIA",IF(N90=CURSOS!$D$26,"MANEJO DEL DOLOR Y CUIDADOS PALIATIVOS",IF(N90=CURSOS!$D$27,"TOMA MUESTRAS Y LABORATORIO POCT",IF(N90=CURSOS!$D$28,"IMPLANTE SUBDERMICO Y DISPOSITIVO INTRAUTERINO",IF(N90=CURSOS!$D$29,"SALUD MENTAL",IF(N90=CURSOS!$D$30,"PRIMEROS AUXILIOS PSICOLOGICOS",IF(N90=CURSOS!$D$31,"ATENCION A VICTIMAS POR CONFLICTO ARMADO",IF(N90=CURSOS!$D$32,"MANIPULACION DE ALIMENTOS Y BPM",IF(N90=CURSOS!$D$33,"ATENCION A PERSONAS CON DISCAPACIDAD",IF(N90=CURSOS!$D$34,"CUIDADO INTEGRAL DEL PACIENTE ADULTO"))))))))))))))))))))))))))))))))</f>
        <v>CUIDADO INTEGRAL DEL PACIENTE ADULTO</v>
      </c>
      <c r="U90" s="64" t="str">
        <f t="shared" si="6"/>
        <v>Tania Lizeth Zuñiga Pinta</v>
      </c>
      <c r="V90" s="64" t="str">
        <f t="shared" si="7"/>
        <v>Tania Lizeth Zuñiga Pinta</v>
      </c>
      <c r="W90" s="64" t="str">
        <f t="shared" si="8"/>
        <v>Tania Lizeth Zuñiga Pinta-1086331884-ADULTO MAYOR</v>
      </c>
    </row>
    <row r="91" spans="1:23" s="97" customFormat="1" x14ac:dyDescent="0.2">
      <c r="A91" s="94">
        <v>90</v>
      </c>
      <c r="B91" s="81">
        <v>1087129393</v>
      </c>
      <c r="C91" s="71" t="s">
        <v>329</v>
      </c>
      <c r="D91" s="71" t="s">
        <v>358</v>
      </c>
      <c r="E91" s="71" t="s">
        <v>359</v>
      </c>
      <c r="F91" s="71" t="s">
        <v>360</v>
      </c>
      <c r="G91" s="72">
        <v>20</v>
      </c>
      <c r="H91" s="72" t="s">
        <v>90</v>
      </c>
      <c r="I91" s="73">
        <v>45463</v>
      </c>
      <c r="J91" s="74">
        <v>35000</v>
      </c>
      <c r="K91" s="72" t="s">
        <v>107</v>
      </c>
      <c r="L91" s="72" t="s">
        <v>101</v>
      </c>
      <c r="M91" s="72" t="s">
        <v>93</v>
      </c>
      <c r="N91" s="75" t="s">
        <v>33</v>
      </c>
      <c r="O91" s="76">
        <v>32972</v>
      </c>
      <c r="P91" s="71" t="s">
        <v>108</v>
      </c>
      <c r="Q91" s="71" t="s">
        <v>111</v>
      </c>
      <c r="R91" s="71">
        <v>3156603285</v>
      </c>
      <c r="S91" s="96" t="s">
        <v>361</v>
      </c>
      <c r="T91" s="64" t="str">
        <f>IF(N91=CURSOS!$D$3,"DIPLOMADO EN ATENCION PRE-HOSPITALARIA",IF(N91=CURSOS!$D$4,"ACOMPAÑAMIENTO Y MANEJO DEL DUELO",IF(N91=CURSOS!$D$5,"ATENCION A VICTIMAS DE ATAQUE CON AGENTES QUIMICOS ",IF(N91=CURSOS!$D$6,"PRIMEROS AUXILIOS ",IF(N91=CURSOS!$D$7,"DIPLOMADO DE UNIDAD DE CUIDADOS INTENSIVOS (UCI)",IF(N91=CURSOS!$D$8,"MODELO DE ATENCION PARA EVENTOS EMERGENTES EN SALUD MENTAL (CODIGO VERDE)",IF(N91=CURSOS!$D$9,"HUMANIZACION EN SALUD, BUENAS PRACTICAS EN PACIENTE ",IF(N91=CURSOS!$D$10,"CLINICA DE HERIDAS ",IF(N91=CURSOS!$D$11,"TOMA DE CITOLOGIA A CERVICO VAGINAL ",IF(N91=CURSOS!$D$12,"SOPORTE CARDIOVASCULAR AVANZADO ",IF(N91=CURSOS!$D$13,"CAMILLERO ",IF(N91=CURSOS!$D$14,"TOMA MUESTRAS Y LABORATORIO ",IF(N91=CURSOS!$D$15,"SOPORTE VITAL BASICO (BLS)",IF(N91=CURSOS!$D$16,"ATENCION A VICTIMAS DE VIOLENCIA SEXUAL ",IF(N91=CURSOS!$D$17,"PROGRAMADO AMPLIADO DE INMUNIZACION (PAI - COVID 19)",IF(N91=CURSOS!$D$18,"ATENCION INTEGRAL EN ENFERMEDADES PREVALENTES EN PRIMERA INFANCIA (AIEPI)",IF(N91=CURSOS!$D$19,"ADMINISTRACION DE MEDICAMENTOS, IYECTOLOGIA  Y CANALIZACION ",IF(N91=CURSOS!$D$20,"OPERADOR DE VEHICULOS DE EMERGENCIA (OVE)",IF(N91=CURSOS!$D$21,"INSTITUCIONES AMIGAS DE LA MUJER Y LA INFANCIA (IAMI)",IF(N91=CURSOS!$D$22,"CUIDADO DEL DONANTE DE ORGANOS",IF(N91=CURSOS!$D$23,"ATENCION A VICTIMAS POR VIOLENCIA DE GENERO",IF(N91=CURSOS!$D$24,"IGUALDAD DE GENERO EN LA SALUD",IF(N91=CURSOS!$D$25,"BRIGADA DE EMERGENCIA",IF(N91=CURSOS!$D$26,"MANEJO DEL DOLOR Y CUIDADOS PALIATIVOS",IF(N91=CURSOS!$D$27,"TOMA MUESTRAS Y LABORATORIO POCT",IF(N91=CURSOS!$D$28,"IMPLANTE SUBDERMICO Y DISPOSITIVO INTRAUTERINO",IF(N91=CURSOS!$D$29,"SALUD MENTAL",IF(N91=CURSOS!$D$30,"PRIMEROS AUXILIOS PSICOLOGICOS",IF(N91=CURSOS!$D$31,"ATENCION A VICTIMAS POR CONFLICTO ARMADO",IF(N91=CURSOS!$D$32,"MANIPULACION DE ALIMENTOS Y BPM",IF(N91=CURSOS!$D$33,"ATENCION A PERSONAS CON DISCAPACIDAD",IF(N91=CURSOS!$D$34,"CUIDADO INTEGRAL DEL PACIENTE ADULTO"))))))))))))))))))))))))))))))))</f>
        <v xml:space="preserve">HUMANIZACION EN SALUD, BUENAS PRACTICAS EN PACIENTE </v>
      </c>
      <c r="U91" s="64" t="str">
        <f t="shared" si="6"/>
        <v>Stefan Mario Ortiz Tejada</v>
      </c>
      <c r="V91" s="64" t="str">
        <f t="shared" si="7"/>
        <v>Stefan Mario Ortiz Tejada</v>
      </c>
      <c r="W91" s="64" t="str">
        <f t="shared" si="8"/>
        <v>Stefan Mario Ortiz Tejada-1087129393-HUMANIZACION</v>
      </c>
    </row>
    <row r="92" spans="1:23" s="21" customFormat="1" x14ac:dyDescent="0.2">
      <c r="A92" s="94">
        <v>91</v>
      </c>
      <c r="B92" s="62">
        <v>1004232591</v>
      </c>
      <c r="C92" s="19" t="s">
        <v>362</v>
      </c>
      <c r="D92" s="19" t="s">
        <v>319</v>
      </c>
      <c r="E92" s="19" t="s">
        <v>276</v>
      </c>
      <c r="F92" s="19" t="s">
        <v>363</v>
      </c>
      <c r="G92" s="16">
        <v>21</v>
      </c>
      <c r="H92" s="16" t="s">
        <v>90</v>
      </c>
      <c r="I92" s="18">
        <v>45464</v>
      </c>
      <c r="J92" s="22">
        <v>40000</v>
      </c>
      <c r="K92" s="16" t="s">
        <v>91</v>
      </c>
      <c r="L92" s="16" t="s">
        <v>101</v>
      </c>
      <c r="M92" s="16" t="s">
        <v>93</v>
      </c>
      <c r="N92" s="17" t="s">
        <v>54</v>
      </c>
      <c r="O92" s="20">
        <v>36601</v>
      </c>
      <c r="P92" s="19" t="s">
        <v>94</v>
      </c>
      <c r="Q92" s="19" t="s">
        <v>219</v>
      </c>
      <c r="R92" s="19">
        <v>3147421941</v>
      </c>
      <c r="S92" s="78" t="s">
        <v>364</v>
      </c>
      <c r="T92" s="64" t="str">
        <f>IF(N92=CURSOS!$D$3,"DIPLOMADO EN ATENCION PRE-HOSPITALARIA",IF(N92=CURSOS!$D$4,"ACOMPAÑAMIENTO Y MANEJO DEL DUELO",IF(N92=CURSOS!$D$5,"ATENCION A VICTIMAS DE ATAQUE CON AGENTES QUIMICOS ",IF(N92=CURSOS!$D$6,"PRIMEROS AUXILIOS ",IF(N92=CURSOS!$D$7,"DIPLOMADO DE UNIDAD DE CUIDADOS INTENSIVOS (UCI)",IF(N92=CURSOS!$D$8,"MODELO DE ATENCION PARA EVENTOS EMERGENTES EN SALUD MENTAL (CODIGO VERDE)",IF(N92=CURSOS!$D$9,"HUMANIZACION EN SALUD, BUENAS PRACTICAS EN PACIENTE ",IF(N92=CURSOS!$D$10,"CLINICA DE HERIDAS ",IF(N92=CURSOS!$D$11,"TOMA DE CITOLOGIA A CERVICO VAGINAL ",IF(N92=CURSOS!$D$12,"SOPORTE CARDIOVASCULAR AVANZADO ",IF(N92=CURSOS!$D$13,"CAMILLERO ",IF(N92=CURSOS!$D$14,"TOMA MUESTRAS Y LABORATORIO ",IF(N92=CURSOS!$D$15,"SOPORTE VITAL BASICO (BLS)",IF(N92=CURSOS!$D$16,"ATENCION A VICTIMAS DE VIOLENCIA SEXUAL ",IF(N92=CURSOS!$D$17,"PROGRAMADO AMPLIADO DE INMUNIZACION (PAI - COVID 19)",IF(N92=CURSOS!$D$18,"ATENCION INTEGRAL EN ENFERMEDADES PREVALENTES EN PRIMERA INFANCIA (AIEPI)",IF(N92=CURSOS!$D$19,"ADMINISTRACION DE MEDICAMENTOS, IYECTOLOGIA  Y CANALIZACION ",IF(N92=CURSOS!$D$20,"OPERADOR DE VEHICULOS DE EMERGENCIA (OVE)",IF(N92=CURSOS!$D$21,"INSTITUCIONES AMIGAS DE LA MUJER Y LA INFANCIA (IAMI)",IF(N92=CURSOS!$D$22,"CUIDADO DEL DONANTE DE ORGANOS",IF(N92=CURSOS!$D$23,"ATENCION A VICTIMAS POR VIOLENCIA DE GENERO",IF(N92=CURSOS!$D$24,"IGUALDAD DE GENERO EN LA SALUD",IF(N92=CURSOS!$D$25,"BRIGADA DE EMERGENCIA",IF(N92=CURSOS!$D$26,"MANEJO DEL DOLOR Y CUIDADOS PALIATIVOS",IF(N92=CURSOS!$D$27,"TOMA MUESTRAS Y LABORATORIO POCT",IF(N92=CURSOS!$D$28,"IMPLANTE SUBDERMICO Y DISPOSITIVO INTRAUTERINO",IF(N92=CURSOS!$D$29,"SALUD MENTAL",IF(N92=CURSOS!$D$30,"PRIMEROS AUXILIOS PSICOLOGICOS",IF(N92=CURSOS!$D$31,"ATENCION A VICTIMAS POR CONFLICTO ARMADO",IF(N92=CURSOS!$D$32,"MANIPULACION DE ALIMENTOS Y BPM",IF(N92=CURSOS!$D$33,"ATENCION A PERSONAS CON DISCAPACIDAD",IF(N92=CURSOS!$D$34,"CUIDADO INTEGRAL DEL PACIENTE ADULTO"))))))))))))))))))))))))))))))))</f>
        <v>INSTITUCIONES AMIGAS DE LA MUJER Y LA INFANCIA (IAMI)</v>
      </c>
      <c r="U92" s="64" t="str">
        <f t="shared" si="6"/>
        <v>Daniel Felipe Legarda Gómez</v>
      </c>
      <c r="V92" s="64" t="str">
        <f t="shared" si="7"/>
        <v>Daniel Felipe Legarda Gómez</v>
      </c>
      <c r="W92" s="64" t="str">
        <f t="shared" si="8"/>
        <v>Daniel Felipe Legarda Gómez-1004232591-IAMI</v>
      </c>
    </row>
    <row r="93" spans="1:23" s="21" customFormat="1" x14ac:dyDescent="0.2">
      <c r="A93" s="94">
        <v>92</v>
      </c>
      <c r="B93" s="62">
        <v>1004232591</v>
      </c>
      <c r="C93" s="19" t="s">
        <v>362</v>
      </c>
      <c r="D93" s="19" t="s">
        <v>319</v>
      </c>
      <c r="E93" s="19" t="s">
        <v>276</v>
      </c>
      <c r="F93" s="19" t="s">
        <v>363</v>
      </c>
      <c r="G93" s="16">
        <v>21</v>
      </c>
      <c r="H93" s="16" t="s">
        <v>90</v>
      </c>
      <c r="I93" s="18">
        <v>45464</v>
      </c>
      <c r="J93" s="22">
        <v>40000</v>
      </c>
      <c r="K93" s="16" t="s">
        <v>91</v>
      </c>
      <c r="L93" s="16" t="s">
        <v>101</v>
      </c>
      <c r="M93" s="16" t="s">
        <v>93</v>
      </c>
      <c r="N93" s="17" t="s">
        <v>49</v>
      </c>
      <c r="O93" s="20">
        <v>36601</v>
      </c>
      <c r="P93" s="19" t="s">
        <v>94</v>
      </c>
      <c r="Q93" s="19" t="s">
        <v>219</v>
      </c>
      <c r="R93" s="19">
        <v>3147421941</v>
      </c>
      <c r="S93" s="78" t="s">
        <v>364</v>
      </c>
      <c r="T93" s="64" t="str">
        <f>IF(N93=CURSOS!$D$3,"DIPLOMADO EN ATENCION PRE-HOSPITALARIA",IF(N93=CURSOS!$D$4,"ACOMPAÑAMIENTO Y MANEJO DEL DUELO",IF(N93=CURSOS!$D$5,"ATENCION A VICTIMAS DE ATAQUE CON AGENTES QUIMICOS ",IF(N93=CURSOS!$D$6,"PRIMEROS AUXILIOS ",IF(N93=CURSOS!$D$7,"DIPLOMADO DE UNIDAD DE CUIDADOS INTENSIVOS (UCI)",IF(N93=CURSOS!$D$8,"MODELO DE ATENCION PARA EVENTOS EMERGENTES EN SALUD MENTAL (CODIGO VERDE)",IF(N93=CURSOS!$D$9,"HUMANIZACION EN SALUD, BUENAS PRACTICAS EN PACIENTE ",IF(N93=CURSOS!$D$10,"CLINICA DE HERIDAS ",IF(N93=CURSOS!$D$11,"TOMA DE CITOLOGIA A CERVICO VAGINAL ",IF(N93=CURSOS!$D$12,"SOPORTE CARDIOVASCULAR AVANZADO ",IF(N93=CURSOS!$D$13,"CAMILLERO ",IF(N93=CURSOS!$D$14,"TOMA MUESTRAS Y LABORATORIO ",IF(N93=CURSOS!$D$15,"SOPORTE VITAL BASICO (BLS)",IF(N93=CURSOS!$D$16,"ATENCION A VICTIMAS DE VIOLENCIA SEXUAL ",IF(N93=CURSOS!$D$17,"PROGRAMADO AMPLIADO DE INMUNIZACION (PAI - COVID 19)",IF(N93=CURSOS!$D$18,"ATENCION INTEGRAL EN ENFERMEDADES PREVALENTES EN PRIMERA INFANCIA (AIEPI)",IF(N93=CURSOS!$D$19,"ADMINISTRACION DE MEDICAMENTOS, IYECTOLOGIA  Y CANALIZACION ",IF(N93=CURSOS!$D$20,"OPERADOR DE VEHICULOS DE EMERGENCIA (OVE)",IF(N93=CURSOS!$D$21,"INSTITUCIONES AMIGAS DE LA MUJER Y LA INFANCIA (IAMI)",IF(N93=CURSOS!$D$22,"CUIDADO DEL DONANTE DE ORGANOS",IF(N93=CURSOS!$D$23,"ATENCION A VICTIMAS POR VIOLENCIA DE GENERO",IF(N93=CURSOS!$D$24,"IGUALDAD DE GENERO EN LA SALUD",IF(N93=CURSOS!$D$25,"BRIGADA DE EMERGENCIA",IF(N93=CURSOS!$D$26,"MANEJO DEL DOLOR Y CUIDADOS PALIATIVOS",IF(N93=CURSOS!$D$27,"TOMA MUESTRAS Y LABORATORIO POCT",IF(N93=CURSOS!$D$28,"IMPLANTE SUBDERMICO Y DISPOSITIVO INTRAUTERINO",IF(N93=CURSOS!$D$29,"SALUD MENTAL",IF(N93=CURSOS!$D$30,"PRIMEROS AUXILIOS PSICOLOGICOS",IF(N93=CURSOS!$D$31,"ATENCION A VICTIMAS POR CONFLICTO ARMADO",IF(N93=CURSOS!$D$32,"MANIPULACION DE ALIMENTOS Y BPM",IF(N93=CURSOS!$D$33,"ATENCION A PERSONAS CON DISCAPACIDAD",IF(N93=CURSOS!$D$34,"CUIDADO INTEGRAL DEL PACIENTE ADULTO"))))))))))))))))))))))))))))))))</f>
        <v>ATENCION INTEGRAL EN ENFERMEDADES PREVALENTES EN PRIMERA INFANCIA (AIEPI)</v>
      </c>
      <c r="U93" s="64" t="str">
        <f t="shared" si="6"/>
        <v>Daniel Felipe Legarda Gómez</v>
      </c>
      <c r="V93" s="64" t="str">
        <f t="shared" si="7"/>
        <v>Daniel Felipe Legarda Gómez</v>
      </c>
      <c r="W93" s="64" t="str">
        <f t="shared" si="8"/>
        <v>Daniel Felipe Legarda Gómez-1004232591-AIEPI</v>
      </c>
    </row>
    <row r="94" spans="1:23" s="21" customFormat="1" x14ac:dyDescent="0.2">
      <c r="A94" s="94">
        <v>93</v>
      </c>
      <c r="B94" s="62">
        <v>1085284549</v>
      </c>
      <c r="C94" s="19" t="s">
        <v>266</v>
      </c>
      <c r="D94" s="19" t="s">
        <v>302</v>
      </c>
      <c r="E94" s="19" t="s">
        <v>246</v>
      </c>
      <c r="F94" s="19" t="s">
        <v>276</v>
      </c>
      <c r="G94" s="16">
        <v>20</v>
      </c>
      <c r="H94" s="16" t="s">
        <v>90</v>
      </c>
      <c r="I94" s="18">
        <v>45463</v>
      </c>
      <c r="J94" s="22">
        <v>35000</v>
      </c>
      <c r="K94" s="16" t="s">
        <v>288</v>
      </c>
      <c r="L94" s="16" t="s">
        <v>101</v>
      </c>
      <c r="M94" s="16" t="s">
        <v>442</v>
      </c>
      <c r="N94" s="17" t="s">
        <v>19</v>
      </c>
      <c r="O94" s="98">
        <v>33173</v>
      </c>
      <c r="P94" s="19" t="s">
        <v>94</v>
      </c>
      <c r="Q94" s="19"/>
      <c r="R94" s="19">
        <v>3104598611</v>
      </c>
      <c r="S94" s="99" t="s">
        <v>377</v>
      </c>
      <c r="T94" s="64" t="str">
        <f>IF(N94=CURSOS!$D$3,"DIPLOMADO EN ATENCION PRE-HOSPITALARIA",IF(N94=CURSOS!$D$4,"ACOMPAÑAMIENTO Y MANEJO DEL DUELO",IF(N94=CURSOS!$D$5,"ATENCION A VICTIMAS DE ATAQUE CON AGENTES QUIMICOS ",IF(N94=CURSOS!$D$6,"PRIMEROS AUXILIOS ",IF(N94=CURSOS!$D$7,"DIPLOMADO DE UNIDAD DE CUIDADOS INTENSIVOS (UCI)",IF(N94=CURSOS!$D$8,"MODELO DE ATENCION PARA EVENTOS EMERGENTES EN SALUD MENTAL (CODIGO VERDE)",IF(N94=CURSOS!$D$9,"HUMANIZACION EN SALUD, BUENAS PRACTICAS EN PACIENTE ",IF(N94=CURSOS!$D$10,"CLINICA DE HERIDAS ",IF(N94=CURSOS!$D$11,"TOMA DE CITOLOGIA A CERVICO VAGINAL ",IF(N94=CURSOS!$D$12,"SOPORTE CARDIOVASCULAR AVANZADO ",IF(N94=CURSOS!$D$13,"CAMILLERO ",IF(N94=CURSOS!$D$14,"TOMA MUESTRAS Y LABORATORIO ",IF(N94=CURSOS!$D$15,"SOPORTE VITAL BASICO (BLS)",IF(N94=CURSOS!$D$16,"ATENCION A VICTIMAS DE VIOLENCIA SEXUAL ",IF(N94=CURSOS!$D$17,"PROGRAMADO AMPLIADO DE INMUNIZACION (PAI - COVID 19)",IF(N94=CURSOS!$D$18,"ATENCION INTEGRAL EN ENFERMEDADES PREVALENTES EN PRIMERA INFANCIA (AIEPI)",IF(N94=CURSOS!$D$19,"ADMINISTRACION DE MEDICAMENTOS, IYECTOLOGIA  Y CANALIZACION ",IF(N94=CURSOS!$D$20,"OPERADOR DE VEHICULOS DE EMERGENCIA (OVE)",IF(N94=CURSOS!$D$21,"INSTITUCIONES AMIGAS DE LA MUJER Y LA INFANCIA (IAMI)",IF(N94=CURSOS!$D$22,"CUIDADO DEL DONANTE DE ORGANOS",IF(N94=CURSOS!$D$23,"ATENCION A VICTIMAS POR VIOLENCIA DE GENERO",IF(N94=CURSOS!$D$24,"IGUALDAD DE GENERO EN LA SALUD",IF(N94=CURSOS!$D$25,"BRIGADA DE EMERGENCIA",IF(N94=CURSOS!$D$26,"MANEJO DEL DOLOR Y CUIDADOS PALIATIVOS",IF(N94=CURSOS!$D$27,"TOMA MUESTRAS Y LABORATORIO POCT",IF(N94=CURSOS!$D$28,"IMPLANTE SUBDERMICO Y DISPOSITIVO INTRAUTERINO",IF(N94=CURSOS!$D$29,"SALUD MENTAL",IF(N94=CURSOS!$D$30,"PRIMEROS AUXILIOS PSICOLOGICOS",IF(N94=CURSOS!$D$31,"ATENCION A VICTIMAS POR CONFLICTO ARMADO",IF(N94=CURSOS!$D$32,"MANIPULACION DE ALIMENTOS Y BPM",IF(N94=CURSOS!$D$33,"ATENCION A PERSONAS CON DISCAPACIDAD",IF(N94=CURSOS!$D$34,"CUIDADO INTEGRAL DEL PACIENTE ADULTO"))))))))))))))))))))))))))))))))</f>
        <v>SOPORTE VITAL BASICO (BLS)</v>
      </c>
      <c r="U94" s="64" t="str">
        <f t="shared" si="6"/>
        <v>Luis Daniel Santacruz Solarte</v>
      </c>
      <c r="V94" s="64" t="str">
        <f t="shared" si="7"/>
        <v>Luis Daniel Santacruz Solarte</v>
      </c>
      <c r="W94" s="64" t="str">
        <f t="shared" si="8"/>
        <v>Luis Daniel Santacruz Solarte-1085284549-BLS</v>
      </c>
    </row>
    <row r="95" spans="1:23" s="21" customFormat="1" x14ac:dyDescent="0.2">
      <c r="A95" s="94">
        <v>94</v>
      </c>
      <c r="B95" s="62">
        <v>1085284549</v>
      </c>
      <c r="C95" s="19" t="s">
        <v>266</v>
      </c>
      <c r="D95" s="19" t="s">
        <v>302</v>
      </c>
      <c r="E95" s="19" t="s">
        <v>246</v>
      </c>
      <c r="F95" s="19" t="s">
        <v>276</v>
      </c>
      <c r="G95" s="16">
        <v>21</v>
      </c>
      <c r="H95" s="16" t="s">
        <v>90</v>
      </c>
      <c r="I95" s="18">
        <v>45463</v>
      </c>
      <c r="J95" s="22">
        <v>35000</v>
      </c>
      <c r="K95" s="16" t="s">
        <v>288</v>
      </c>
      <c r="L95" s="16" t="s">
        <v>101</v>
      </c>
      <c r="M95" s="16" t="s">
        <v>146</v>
      </c>
      <c r="N95" s="17" t="s">
        <v>46</v>
      </c>
      <c r="O95" s="98">
        <v>33173</v>
      </c>
      <c r="P95" s="19" t="s">
        <v>94</v>
      </c>
      <c r="Q95" s="19"/>
      <c r="R95" s="19">
        <v>3104598611</v>
      </c>
      <c r="S95" s="99" t="s">
        <v>377</v>
      </c>
      <c r="T95" s="64" t="str">
        <f>IF(N95=CURSOS!$D$3,"DIPLOMADO EN ATENCION PRE-HOSPITALARIA",IF(N95=CURSOS!$D$4,"ACOMPAÑAMIENTO Y MANEJO DEL DUELO",IF(N95=CURSOS!$D$5,"ATENCION A VICTIMAS DE ATAQUE CON AGENTES QUIMICOS ",IF(N95=CURSOS!$D$6,"PRIMEROS AUXILIOS ",IF(N95=CURSOS!$D$7,"DIPLOMADO DE UNIDAD DE CUIDADOS INTENSIVOS (UCI)",IF(N95=CURSOS!$D$8,"MODELO DE ATENCION PARA EVENTOS EMERGENTES EN SALUD MENTAL (CODIGO VERDE)",IF(N95=CURSOS!$D$9,"HUMANIZACION EN SALUD, BUENAS PRACTICAS EN PACIENTE ",IF(N95=CURSOS!$D$10,"CLINICA DE HERIDAS ",IF(N95=CURSOS!$D$11,"TOMA DE CITOLOGIA A CERVICO VAGINAL ",IF(N95=CURSOS!$D$12,"SOPORTE CARDIOVASCULAR AVANZADO ",IF(N95=CURSOS!$D$13,"CAMILLERO ",IF(N95=CURSOS!$D$14,"TOMA MUESTRAS Y LABORATORIO ",IF(N95=CURSOS!$D$15,"SOPORTE VITAL BASICO (BLS)",IF(N95=CURSOS!$D$16,"ATENCION A VICTIMAS DE VIOLENCIA SEXUAL ",IF(N95=CURSOS!$D$17,"PROGRAMADO AMPLIADO DE INMUNIZACION (PAI - COVID 19)",IF(N95=CURSOS!$D$18,"ATENCION INTEGRAL EN ENFERMEDADES PREVALENTES EN PRIMERA INFANCIA (AIEPI)",IF(N95=CURSOS!$D$19,"ADMINISTRACION DE MEDICAMENTOS, IYECTOLOGIA  Y CANALIZACION ",IF(N95=CURSOS!$D$20,"OPERADOR DE VEHICULOS DE EMERGENCIA (OVE)",IF(N95=CURSOS!$D$21,"INSTITUCIONES AMIGAS DE LA MUJER Y LA INFANCIA (IAMI)",IF(N95=CURSOS!$D$22,"CUIDADO DEL DONANTE DE ORGANOS",IF(N95=CURSOS!$D$23,"ATENCION A VICTIMAS POR VIOLENCIA DE GENERO",IF(N95=CURSOS!$D$24,"IGUALDAD DE GENERO EN LA SALUD",IF(N95=CURSOS!$D$25,"BRIGADA DE EMERGENCIA",IF(N95=CURSOS!$D$26,"MANEJO DEL DOLOR Y CUIDADOS PALIATIVOS",IF(N95=CURSOS!$D$27,"TOMA MUESTRAS Y LABORATORIO POCT",IF(N95=CURSOS!$D$28,"IMPLANTE SUBDERMICO Y DISPOSITIVO INTRAUTERINO",IF(N95=CURSOS!$D$29,"SALUD MENTAL",IF(N95=CURSOS!$D$30,"PRIMEROS AUXILIOS PSICOLOGICOS",IF(N95=CURSOS!$D$31,"ATENCION A VICTIMAS POR CONFLICTO ARMADO",IF(N95=CURSOS!$D$32,"MANIPULACION DE ALIMENTOS Y BPM",IF(N95=CURSOS!$D$33,"ATENCION A PERSONAS CON DISCAPACIDAD",IF(N95=CURSOS!$D$34,"CUIDADO INTEGRAL DEL PACIENTE ADULTO"))))))))))))))))))))))))))))))))</f>
        <v xml:space="preserve">ATENCION A VICTIMAS DE VIOLENCIA SEXUAL </v>
      </c>
      <c r="U95" s="64" t="str">
        <f t="shared" si="6"/>
        <v>Luis Daniel Santacruz Solarte</v>
      </c>
      <c r="V95" s="64" t="str">
        <f t="shared" si="7"/>
        <v>Luis Daniel Santacruz Solarte</v>
      </c>
      <c r="W95" s="64" t="str">
        <f t="shared" si="8"/>
        <v>Luis Daniel Santacruz Solarte-1085284549-VIOLENCIA SEXUAL</v>
      </c>
    </row>
    <row r="96" spans="1:23" s="21" customFormat="1" x14ac:dyDescent="0.2">
      <c r="A96" s="94">
        <v>95</v>
      </c>
      <c r="B96" s="62">
        <v>87573879</v>
      </c>
      <c r="C96" s="19" t="s">
        <v>226</v>
      </c>
      <c r="D96" s="19" t="s">
        <v>365</v>
      </c>
      <c r="E96" s="19" t="s">
        <v>366</v>
      </c>
      <c r="F96" s="19"/>
      <c r="G96" s="16">
        <v>20</v>
      </c>
      <c r="H96" s="16" t="s">
        <v>90</v>
      </c>
      <c r="I96" s="18">
        <v>45463</v>
      </c>
      <c r="J96" s="22">
        <v>35000</v>
      </c>
      <c r="K96" s="16" t="s">
        <v>288</v>
      </c>
      <c r="L96" s="16" t="s">
        <v>101</v>
      </c>
      <c r="M96" s="16" t="s">
        <v>146</v>
      </c>
      <c r="N96" s="17" t="s">
        <v>19</v>
      </c>
      <c r="O96" s="86">
        <v>29103</v>
      </c>
      <c r="P96" s="19" t="s">
        <v>108</v>
      </c>
      <c r="Q96" s="19"/>
      <c r="R96" s="82">
        <v>3128371217</v>
      </c>
      <c r="S96" s="100" t="s">
        <v>378</v>
      </c>
      <c r="T96" s="64" t="str">
        <f>IF(N96=CURSOS!$D$3,"DIPLOMADO EN ATENCION PRE-HOSPITALARIA",IF(N96=CURSOS!$D$4,"ACOMPAÑAMIENTO Y MANEJO DEL DUELO",IF(N96=CURSOS!$D$5,"ATENCION A VICTIMAS DE ATAQUE CON AGENTES QUIMICOS ",IF(N96=CURSOS!$D$6,"PRIMEROS AUXILIOS ",IF(N96=CURSOS!$D$7,"DIPLOMADO DE UNIDAD DE CUIDADOS INTENSIVOS (UCI)",IF(N96=CURSOS!$D$8,"MODELO DE ATENCION PARA EVENTOS EMERGENTES EN SALUD MENTAL (CODIGO VERDE)",IF(N96=CURSOS!$D$9,"HUMANIZACION EN SALUD, BUENAS PRACTICAS EN PACIENTE ",IF(N96=CURSOS!$D$10,"CLINICA DE HERIDAS ",IF(N96=CURSOS!$D$11,"TOMA DE CITOLOGIA A CERVICO VAGINAL ",IF(N96=CURSOS!$D$12,"SOPORTE CARDIOVASCULAR AVANZADO ",IF(N96=CURSOS!$D$13,"CAMILLERO ",IF(N96=CURSOS!$D$14,"TOMA MUESTRAS Y LABORATORIO ",IF(N96=CURSOS!$D$15,"SOPORTE VITAL BASICO (BLS)",IF(N96=CURSOS!$D$16,"ATENCION A VICTIMAS DE VIOLENCIA SEXUAL ",IF(N96=CURSOS!$D$17,"PROGRAMADO AMPLIADO DE INMUNIZACION (PAI - COVID 19)",IF(N96=CURSOS!$D$18,"ATENCION INTEGRAL EN ENFERMEDADES PREVALENTES EN PRIMERA INFANCIA (AIEPI)",IF(N96=CURSOS!$D$19,"ADMINISTRACION DE MEDICAMENTOS, IYECTOLOGIA  Y CANALIZACION ",IF(N96=CURSOS!$D$20,"OPERADOR DE VEHICULOS DE EMERGENCIA (OVE)",IF(N96=CURSOS!$D$21,"INSTITUCIONES AMIGAS DE LA MUJER Y LA INFANCIA (IAMI)",IF(N96=CURSOS!$D$22,"CUIDADO DEL DONANTE DE ORGANOS",IF(N96=CURSOS!$D$23,"ATENCION A VICTIMAS POR VIOLENCIA DE GENERO",IF(N96=CURSOS!$D$24,"IGUALDAD DE GENERO EN LA SALUD",IF(N96=CURSOS!$D$25,"BRIGADA DE EMERGENCIA",IF(N96=CURSOS!$D$26,"MANEJO DEL DOLOR Y CUIDADOS PALIATIVOS",IF(N96=CURSOS!$D$27,"TOMA MUESTRAS Y LABORATORIO POCT",IF(N96=CURSOS!$D$28,"IMPLANTE SUBDERMICO Y DISPOSITIVO INTRAUTERINO",IF(N96=CURSOS!$D$29,"SALUD MENTAL",IF(N96=CURSOS!$D$30,"PRIMEROS AUXILIOS PSICOLOGICOS",IF(N96=CURSOS!$D$31,"ATENCION A VICTIMAS POR CONFLICTO ARMADO",IF(N96=CURSOS!$D$32,"MANIPULACION DE ALIMENTOS Y BPM",IF(N96=CURSOS!$D$33,"ATENCION A PERSONAS CON DISCAPACIDAD",IF(N96=CURSOS!$D$34,"CUIDADO INTEGRAL DEL PACIENTE ADULTO"))))))))))))))))))))))))))))))))</f>
        <v>SOPORTE VITAL BASICO (BLS)</v>
      </c>
      <c r="U96" s="64" t="str">
        <f t="shared" si="6"/>
        <v>Jaime  Rosero Montezuma</v>
      </c>
      <c r="V96" s="64" t="str">
        <f t="shared" si="7"/>
        <v>Jaime  Rosero Montezuma</v>
      </c>
      <c r="W96" s="64" t="str">
        <f t="shared" si="8"/>
        <v>Jaime  Rosero Montezuma-87573879-BLS</v>
      </c>
    </row>
    <row r="97" spans="1:23" s="21" customFormat="1" x14ac:dyDescent="0.2">
      <c r="A97" s="94">
        <v>96</v>
      </c>
      <c r="B97" s="62">
        <v>87573879</v>
      </c>
      <c r="C97" s="19" t="s">
        <v>226</v>
      </c>
      <c r="D97" s="19" t="s">
        <v>365</v>
      </c>
      <c r="E97" s="19" t="s">
        <v>366</v>
      </c>
      <c r="F97" s="19"/>
      <c r="G97" s="16">
        <v>21</v>
      </c>
      <c r="H97" s="16" t="s">
        <v>90</v>
      </c>
      <c r="I97" s="18">
        <v>45463</v>
      </c>
      <c r="J97" s="22">
        <v>35000</v>
      </c>
      <c r="K97" s="16" t="s">
        <v>288</v>
      </c>
      <c r="L97" s="16" t="s">
        <v>101</v>
      </c>
      <c r="M97" s="16" t="s">
        <v>146</v>
      </c>
      <c r="N97" s="17" t="s">
        <v>46</v>
      </c>
      <c r="O97" s="86">
        <v>29103</v>
      </c>
      <c r="P97" s="19" t="s">
        <v>108</v>
      </c>
      <c r="Q97" s="19"/>
      <c r="R97" s="82">
        <v>3128371217</v>
      </c>
      <c r="S97" s="100" t="s">
        <v>378</v>
      </c>
      <c r="T97" s="64" t="str">
        <f>IF(N97=CURSOS!$D$3,"DIPLOMADO EN ATENCION PRE-HOSPITALARIA",IF(N97=CURSOS!$D$4,"ACOMPAÑAMIENTO Y MANEJO DEL DUELO",IF(N97=CURSOS!$D$5,"ATENCION A VICTIMAS DE ATAQUE CON AGENTES QUIMICOS ",IF(N97=CURSOS!$D$6,"PRIMEROS AUXILIOS ",IF(N97=CURSOS!$D$7,"DIPLOMADO DE UNIDAD DE CUIDADOS INTENSIVOS (UCI)",IF(N97=CURSOS!$D$8,"MODELO DE ATENCION PARA EVENTOS EMERGENTES EN SALUD MENTAL (CODIGO VERDE)",IF(N97=CURSOS!$D$9,"HUMANIZACION EN SALUD, BUENAS PRACTICAS EN PACIENTE ",IF(N97=CURSOS!$D$10,"CLINICA DE HERIDAS ",IF(N97=CURSOS!$D$11,"TOMA DE CITOLOGIA A CERVICO VAGINAL ",IF(N97=CURSOS!$D$12,"SOPORTE CARDIOVASCULAR AVANZADO ",IF(N97=CURSOS!$D$13,"CAMILLERO ",IF(N97=CURSOS!$D$14,"TOMA MUESTRAS Y LABORATORIO ",IF(N97=CURSOS!$D$15,"SOPORTE VITAL BASICO (BLS)",IF(N97=CURSOS!$D$16,"ATENCION A VICTIMAS DE VIOLENCIA SEXUAL ",IF(N97=CURSOS!$D$17,"PROGRAMADO AMPLIADO DE INMUNIZACION (PAI - COVID 19)",IF(N97=CURSOS!$D$18,"ATENCION INTEGRAL EN ENFERMEDADES PREVALENTES EN PRIMERA INFANCIA (AIEPI)",IF(N97=CURSOS!$D$19,"ADMINISTRACION DE MEDICAMENTOS, IYECTOLOGIA  Y CANALIZACION ",IF(N97=CURSOS!$D$20,"OPERADOR DE VEHICULOS DE EMERGENCIA (OVE)",IF(N97=CURSOS!$D$21,"INSTITUCIONES AMIGAS DE LA MUJER Y LA INFANCIA (IAMI)",IF(N97=CURSOS!$D$22,"CUIDADO DEL DONANTE DE ORGANOS",IF(N97=CURSOS!$D$23,"ATENCION A VICTIMAS POR VIOLENCIA DE GENERO",IF(N97=CURSOS!$D$24,"IGUALDAD DE GENERO EN LA SALUD",IF(N97=CURSOS!$D$25,"BRIGADA DE EMERGENCIA",IF(N97=CURSOS!$D$26,"MANEJO DEL DOLOR Y CUIDADOS PALIATIVOS",IF(N97=CURSOS!$D$27,"TOMA MUESTRAS Y LABORATORIO POCT",IF(N97=CURSOS!$D$28,"IMPLANTE SUBDERMICO Y DISPOSITIVO INTRAUTERINO",IF(N97=CURSOS!$D$29,"SALUD MENTAL",IF(N97=CURSOS!$D$30,"PRIMEROS AUXILIOS PSICOLOGICOS",IF(N97=CURSOS!$D$31,"ATENCION A VICTIMAS POR CONFLICTO ARMADO",IF(N97=CURSOS!$D$32,"MANIPULACION DE ALIMENTOS Y BPM",IF(N97=CURSOS!$D$33,"ATENCION A PERSONAS CON DISCAPACIDAD",IF(N97=CURSOS!$D$34,"CUIDADO INTEGRAL DEL PACIENTE ADULTO"))))))))))))))))))))))))))))))))</f>
        <v xml:space="preserve">ATENCION A VICTIMAS DE VIOLENCIA SEXUAL </v>
      </c>
      <c r="U97" s="64" t="str">
        <f t="shared" si="6"/>
        <v>Jaime  Rosero Montezuma</v>
      </c>
      <c r="V97" s="64" t="str">
        <f t="shared" si="7"/>
        <v>Jaime  Rosero Montezuma</v>
      </c>
      <c r="W97" s="64" t="str">
        <f t="shared" si="8"/>
        <v>Jaime  Rosero Montezuma-87573879-VIOLENCIA SEXUAL</v>
      </c>
    </row>
    <row r="98" spans="1:23" s="21" customFormat="1" x14ac:dyDescent="0.2">
      <c r="A98" s="94">
        <v>97</v>
      </c>
      <c r="B98" s="62">
        <v>36951721</v>
      </c>
      <c r="C98" s="19" t="s">
        <v>367</v>
      </c>
      <c r="D98" s="19" t="s">
        <v>257</v>
      </c>
      <c r="E98" s="19" t="s">
        <v>177</v>
      </c>
      <c r="F98" s="19"/>
      <c r="G98" s="16">
        <v>20</v>
      </c>
      <c r="H98" s="16" t="s">
        <v>90</v>
      </c>
      <c r="I98" s="18">
        <v>45463</v>
      </c>
      <c r="J98" s="22">
        <v>35000</v>
      </c>
      <c r="K98" s="16" t="s">
        <v>288</v>
      </c>
      <c r="L98" s="16" t="s">
        <v>101</v>
      </c>
      <c r="M98" s="16" t="s">
        <v>146</v>
      </c>
      <c r="N98" s="17" t="s">
        <v>19</v>
      </c>
      <c r="O98" s="98">
        <v>29253</v>
      </c>
      <c r="P98" s="19" t="s">
        <v>94</v>
      </c>
      <c r="Q98" s="19"/>
      <c r="R98" s="101">
        <v>3226479024</v>
      </c>
      <c r="S98" s="99" t="s">
        <v>379</v>
      </c>
      <c r="T98" s="64" t="str">
        <f>IF(N98=CURSOS!$D$3,"DIPLOMADO EN ATENCION PRE-HOSPITALARIA",IF(N98=CURSOS!$D$4,"ACOMPAÑAMIENTO Y MANEJO DEL DUELO",IF(N98=CURSOS!$D$5,"ATENCION A VICTIMAS DE ATAQUE CON AGENTES QUIMICOS ",IF(N98=CURSOS!$D$6,"PRIMEROS AUXILIOS ",IF(N98=CURSOS!$D$7,"DIPLOMADO DE UNIDAD DE CUIDADOS INTENSIVOS (UCI)",IF(N98=CURSOS!$D$8,"MODELO DE ATENCION PARA EVENTOS EMERGENTES EN SALUD MENTAL (CODIGO VERDE)",IF(N98=CURSOS!$D$9,"HUMANIZACION EN SALUD, BUENAS PRACTICAS EN PACIENTE ",IF(N98=CURSOS!$D$10,"CLINICA DE HERIDAS ",IF(N98=CURSOS!$D$11,"TOMA DE CITOLOGIA A CERVICO VAGINAL ",IF(N98=CURSOS!$D$12,"SOPORTE CARDIOVASCULAR AVANZADO ",IF(N98=CURSOS!$D$13,"CAMILLERO ",IF(N98=CURSOS!$D$14,"TOMA MUESTRAS Y LABORATORIO ",IF(N98=CURSOS!$D$15,"SOPORTE VITAL BASICO (BLS)",IF(N98=CURSOS!$D$16,"ATENCION A VICTIMAS DE VIOLENCIA SEXUAL ",IF(N98=CURSOS!$D$17,"PROGRAMADO AMPLIADO DE INMUNIZACION (PAI - COVID 19)",IF(N98=CURSOS!$D$18,"ATENCION INTEGRAL EN ENFERMEDADES PREVALENTES EN PRIMERA INFANCIA (AIEPI)",IF(N98=CURSOS!$D$19,"ADMINISTRACION DE MEDICAMENTOS, IYECTOLOGIA  Y CANALIZACION ",IF(N98=CURSOS!$D$20,"OPERADOR DE VEHICULOS DE EMERGENCIA (OVE)",IF(N98=CURSOS!$D$21,"INSTITUCIONES AMIGAS DE LA MUJER Y LA INFANCIA (IAMI)",IF(N98=CURSOS!$D$22,"CUIDADO DEL DONANTE DE ORGANOS",IF(N98=CURSOS!$D$23,"ATENCION A VICTIMAS POR VIOLENCIA DE GENERO",IF(N98=CURSOS!$D$24,"IGUALDAD DE GENERO EN LA SALUD",IF(N98=CURSOS!$D$25,"BRIGADA DE EMERGENCIA",IF(N98=CURSOS!$D$26,"MANEJO DEL DOLOR Y CUIDADOS PALIATIVOS",IF(N98=CURSOS!$D$27,"TOMA MUESTRAS Y LABORATORIO POCT",IF(N98=CURSOS!$D$28,"IMPLANTE SUBDERMICO Y DISPOSITIVO INTRAUTERINO",IF(N98=CURSOS!$D$29,"SALUD MENTAL",IF(N98=CURSOS!$D$30,"PRIMEROS AUXILIOS PSICOLOGICOS",IF(N98=CURSOS!$D$31,"ATENCION A VICTIMAS POR CONFLICTO ARMADO",IF(N98=CURSOS!$D$32,"MANIPULACION DE ALIMENTOS Y BPM",IF(N98=CURSOS!$D$33,"ATENCION A PERSONAS CON DISCAPACIDAD",IF(N98=CURSOS!$D$34,"CUIDADO INTEGRAL DEL PACIENTE ADULTO"))))))))))))))))))))))))))))))))</f>
        <v>SOPORTE VITAL BASICO (BLS)</v>
      </c>
      <c r="U98" s="64" t="str">
        <f t="shared" si="6"/>
        <v>Alejandra  Chavez Erazo</v>
      </c>
      <c r="V98" s="64" t="str">
        <f t="shared" si="7"/>
        <v>Alejandra  Chavez Erazo</v>
      </c>
      <c r="W98" s="64" t="str">
        <f t="shared" si="8"/>
        <v>Alejandra  Chavez Erazo-36951721-BLS</v>
      </c>
    </row>
    <row r="99" spans="1:23" s="21" customFormat="1" x14ac:dyDescent="0.2">
      <c r="A99" s="94">
        <v>98</v>
      </c>
      <c r="B99" s="62">
        <v>36951721</v>
      </c>
      <c r="C99" s="19" t="s">
        <v>367</v>
      </c>
      <c r="D99" s="19" t="s">
        <v>257</v>
      </c>
      <c r="E99" s="19" t="s">
        <v>177</v>
      </c>
      <c r="F99" s="19"/>
      <c r="G99" s="16">
        <v>21</v>
      </c>
      <c r="H99" s="16" t="s">
        <v>90</v>
      </c>
      <c r="I99" s="18">
        <v>45463</v>
      </c>
      <c r="J99" s="22">
        <v>35000</v>
      </c>
      <c r="K99" s="16" t="s">
        <v>288</v>
      </c>
      <c r="L99" s="16" t="s">
        <v>101</v>
      </c>
      <c r="M99" s="16" t="s">
        <v>146</v>
      </c>
      <c r="N99" s="17" t="s">
        <v>46</v>
      </c>
      <c r="O99" s="98">
        <v>29253</v>
      </c>
      <c r="P99" s="19" t="s">
        <v>94</v>
      </c>
      <c r="Q99" s="19"/>
      <c r="R99" s="101">
        <v>3226479024</v>
      </c>
      <c r="S99" s="99" t="s">
        <v>379</v>
      </c>
      <c r="T99" s="64" t="str">
        <f>IF(N99=CURSOS!$D$3,"DIPLOMADO EN ATENCION PRE-HOSPITALARIA",IF(N99=CURSOS!$D$4,"ACOMPAÑAMIENTO Y MANEJO DEL DUELO",IF(N99=CURSOS!$D$5,"ATENCION A VICTIMAS DE ATAQUE CON AGENTES QUIMICOS ",IF(N99=CURSOS!$D$6,"PRIMEROS AUXILIOS ",IF(N99=CURSOS!$D$7,"DIPLOMADO DE UNIDAD DE CUIDADOS INTENSIVOS (UCI)",IF(N99=CURSOS!$D$8,"MODELO DE ATENCION PARA EVENTOS EMERGENTES EN SALUD MENTAL (CODIGO VERDE)",IF(N99=CURSOS!$D$9,"HUMANIZACION EN SALUD, BUENAS PRACTICAS EN PACIENTE ",IF(N99=CURSOS!$D$10,"CLINICA DE HERIDAS ",IF(N99=CURSOS!$D$11,"TOMA DE CITOLOGIA A CERVICO VAGINAL ",IF(N99=CURSOS!$D$12,"SOPORTE CARDIOVASCULAR AVANZADO ",IF(N99=CURSOS!$D$13,"CAMILLERO ",IF(N99=CURSOS!$D$14,"TOMA MUESTRAS Y LABORATORIO ",IF(N99=CURSOS!$D$15,"SOPORTE VITAL BASICO (BLS)",IF(N99=CURSOS!$D$16,"ATENCION A VICTIMAS DE VIOLENCIA SEXUAL ",IF(N99=CURSOS!$D$17,"PROGRAMADO AMPLIADO DE INMUNIZACION (PAI - COVID 19)",IF(N99=CURSOS!$D$18,"ATENCION INTEGRAL EN ENFERMEDADES PREVALENTES EN PRIMERA INFANCIA (AIEPI)",IF(N99=CURSOS!$D$19,"ADMINISTRACION DE MEDICAMENTOS, IYECTOLOGIA  Y CANALIZACION ",IF(N99=CURSOS!$D$20,"OPERADOR DE VEHICULOS DE EMERGENCIA (OVE)",IF(N99=CURSOS!$D$21,"INSTITUCIONES AMIGAS DE LA MUJER Y LA INFANCIA (IAMI)",IF(N99=CURSOS!$D$22,"CUIDADO DEL DONANTE DE ORGANOS",IF(N99=CURSOS!$D$23,"ATENCION A VICTIMAS POR VIOLENCIA DE GENERO",IF(N99=CURSOS!$D$24,"IGUALDAD DE GENERO EN LA SALUD",IF(N99=CURSOS!$D$25,"BRIGADA DE EMERGENCIA",IF(N99=CURSOS!$D$26,"MANEJO DEL DOLOR Y CUIDADOS PALIATIVOS",IF(N99=CURSOS!$D$27,"TOMA MUESTRAS Y LABORATORIO POCT",IF(N99=CURSOS!$D$28,"IMPLANTE SUBDERMICO Y DISPOSITIVO INTRAUTERINO",IF(N99=CURSOS!$D$29,"SALUD MENTAL",IF(N99=CURSOS!$D$30,"PRIMEROS AUXILIOS PSICOLOGICOS",IF(N99=CURSOS!$D$31,"ATENCION A VICTIMAS POR CONFLICTO ARMADO",IF(N99=CURSOS!$D$32,"MANIPULACION DE ALIMENTOS Y BPM",IF(N99=CURSOS!$D$33,"ATENCION A PERSONAS CON DISCAPACIDAD",IF(N99=CURSOS!$D$34,"CUIDADO INTEGRAL DEL PACIENTE ADULTO"))))))))))))))))))))))))))))))))</f>
        <v xml:space="preserve">ATENCION A VICTIMAS DE VIOLENCIA SEXUAL </v>
      </c>
      <c r="U99" s="64" t="str">
        <f t="shared" si="6"/>
        <v>Alejandra  Chavez Erazo</v>
      </c>
      <c r="V99" s="64" t="str">
        <f t="shared" si="7"/>
        <v>Alejandra  Chavez Erazo</v>
      </c>
      <c r="W99" s="64" t="str">
        <f t="shared" si="8"/>
        <v>Alejandra  Chavez Erazo-36951721-VIOLENCIA SEXUAL</v>
      </c>
    </row>
    <row r="100" spans="1:23" s="21" customFormat="1" x14ac:dyDescent="0.2">
      <c r="A100" s="94">
        <v>99</v>
      </c>
      <c r="B100" s="62">
        <v>87063718</v>
      </c>
      <c r="C100" s="19" t="s">
        <v>197</v>
      </c>
      <c r="D100" s="19" t="s">
        <v>376</v>
      </c>
      <c r="E100" s="19" t="s">
        <v>368</v>
      </c>
      <c r="F100" s="19" t="s">
        <v>369</v>
      </c>
      <c r="G100" s="16">
        <v>20</v>
      </c>
      <c r="H100" s="16" t="s">
        <v>90</v>
      </c>
      <c r="I100" s="18">
        <v>45463</v>
      </c>
      <c r="J100" s="22">
        <v>35000</v>
      </c>
      <c r="K100" s="16" t="s">
        <v>288</v>
      </c>
      <c r="L100" s="16" t="s">
        <v>101</v>
      </c>
      <c r="M100" s="16" t="s">
        <v>146</v>
      </c>
      <c r="N100" s="17" t="s">
        <v>19</v>
      </c>
      <c r="O100" s="86">
        <v>30658</v>
      </c>
      <c r="P100" s="19" t="s">
        <v>94</v>
      </c>
      <c r="Q100" s="19"/>
      <c r="R100" s="82">
        <v>3217762699</v>
      </c>
      <c r="S100" s="100" t="s">
        <v>380</v>
      </c>
      <c r="T100" s="64" t="str">
        <f>IF(N100=CURSOS!$D$3,"DIPLOMADO EN ATENCION PRE-HOSPITALARIA",IF(N100=CURSOS!$D$4,"ACOMPAÑAMIENTO Y MANEJO DEL DUELO",IF(N100=CURSOS!$D$5,"ATENCION A VICTIMAS DE ATAQUE CON AGENTES QUIMICOS ",IF(N100=CURSOS!$D$6,"PRIMEROS AUXILIOS ",IF(N100=CURSOS!$D$7,"DIPLOMADO DE UNIDAD DE CUIDADOS INTENSIVOS (UCI)",IF(N100=CURSOS!$D$8,"MODELO DE ATENCION PARA EVENTOS EMERGENTES EN SALUD MENTAL (CODIGO VERDE)",IF(N100=CURSOS!$D$9,"HUMANIZACION EN SALUD, BUENAS PRACTICAS EN PACIENTE ",IF(N100=CURSOS!$D$10,"CLINICA DE HERIDAS ",IF(N100=CURSOS!$D$11,"TOMA DE CITOLOGIA A CERVICO VAGINAL ",IF(N100=CURSOS!$D$12,"SOPORTE CARDIOVASCULAR AVANZADO ",IF(N100=CURSOS!$D$13,"CAMILLERO ",IF(N100=CURSOS!$D$14,"TOMA MUESTRAS Y LABORATORIO ",IF(N100=CURSOS!$D$15,"SOPORTE VITAL BASICO (BLS)",IF(N100=CURSOS!$D$16,"ATENCION A VICTIMAS DE VIOLENCIA SEXUAL ",IF(N100=CURSOS!$D$17,"PROGRAMADO AMPLIADO DE INMUNIZACION (PAI - COVID 19)",IF(N100=CURSOS!$D$18,"ATENCION INTEGRAL EN ENFERMEDADES PREVALENTES EN PRIMERA INFANCIA (AIEPI)",IF(N100=CURSOS!$D$19,"ADMINISTRACION DE MEDICAMENTOS, IYECTOLOGIA  Y CANALIZACION ",IF(N100=CURSOS!$D$20,"OPERADOR DE VEHICULOS DE EMERGENCIA (OVE)",IF(N100=CURSOS!$D$21,"INSTITUCIONES AMIGAS DE LA MUJER Y LA INFANCIA (IAMI)",IF(N100=CURSOS!$D$22,"CUIDADO DEL DONANTE DE ORGANOS",IF(N100=CURSOS!$D$23,"ATENCION A VICTIMAS POR VIOLENCIA DE GENERO",IF(N100=CURSOS!$D$24,"IGUALDAD DE GENERO EN LA SALUD",IF(N100=CURSOS!$D$25,"BRIGADA DE EMERGENCIA",IF(N100=CURSOS!$D$26,"MANEJO DEL DOLOR Y CUIDADOS PALIATIVOS",IF(N100=CURSOS!$D$27,"TOMA MUESTRAS Y LABORATORIO POCT",IF(N100=CURSOS!$D$28,"IMPLANTE SUBDERMICO Y DISPOSITIVO INTRAUTERINO",IF(N100=CURSOS!$D$29,"SALUD MENTAL",IF(N100=CURSOS!$D$30,"PRIMEROS AUXILIOS PSICOLOGICOS",IF(N100=CURSOS!$D$31,"ATENCION A VICTIMAS POR CONFLICTO ARMADO",IF(N100=CURSOS!$D$32,"MANIPULACION DE ALIMENTOS Y BPM",IF(N100=CURSOS!$D$33,"ATENCION A PERSONAS CON DISCAPACIDAD",IF(N100=CURSOS!$D$34,"CUIDADO INTEGRAL DEL PACIENTE ADULTO"))))))))))))))))))))))))))))))))</f>
        <v>SOPORTE VITAL BASICO (BLS)</v>
      </c>
      <c r="U100" s="64" t="str">
        <f t="shared" si="6"/>
        <v>Edgar Andres Tulcan Chinchajoa</v>
      </c>
      <c r="V100" s="64" t="str">
        <f t="shared" si="7"/>
        <v>Edgar Andres Tulcan Chinchajoa</v>
      </c>
      <c r="W100" s="64" t="str">
        <f t="shared" si="8"/>
        <v>Edgar Andres Tulcan Chinchajoa-87063718-BLS</v>
      </c>
    </row>
    <row r="101" spans="1:23" s="21" customFormat="1" x14ac:dyDescent="0.2">
      <c r="A101" s="94">
        <v>100</v>
      </c>
      <c r="B101" s="62">
        <v>87063718</v>
      </c>
      <c r="C101" s="19" t="s">
        <v>197</v>
      </c>
      <c r="D101" s="19" t="s">
        <v>376</v>
      </c>
      <c r="E101" s="19" t="s">
        <v>368</v>
      </c>
      <c r="F101" s="19" t="s">
        <v>369</v>
      </c>
      <c r="G101" s="16">
        <v>21</v>
      </c>
      <c r="H101" s="16" t="s">
        <v>90</v>
      </c>
      <c r="I101" s="18">
        <v>45463</v>
      </c>
      <c r="J101" s="22">
        <v>35000</v>
      </c>
      <c r="K101" s="16" t="s">
        <v>288</v>
      </c>
      <c r="L101" s="16" t="s">
        <v>101</v>
      </c>
      <c r="M101" s="16" t="s">
        <v>146</v>
      </c>
      <c r="N101" s="17" t="s">
        <v>46</v>
      </c>
      <c r="O101" s="86">
        <v>30658</v>
      </c>
      <c r="P101" s="19" t="s">
        <v>94</v>
      </c>
      <c r="Q101" s="19"/>
      <c r="R101" s="82">
        <v>3217762699</v>
      </c>
      <c r="S101" s="100" t="s">
        <v>380</v>
      </c>
      <c r="T101" s="64" t="str">
        <f>IF(N101=CURSOS!$D$3,"DIPLOMADO EN ATENCION PRE-HOSPITALARIA",IF(N101=CURSOS!$D$4,"ACOMPAÑAMIENTO Y MANEJO DEL DUELO",IF(N101=CURSOS!$D$5,"ATENCION A VICTIMAS DE ATAQUE CON AGENTES QUIMICOS ",IF(N101=CURSOS!$D$6,"PRIMEROS AUXILIOS ",IF(N101=CURSOS!$D$7,"DIPLOMADO DE UNIDAD DE CUIDADOS INTENSIVOS (UCI)",IF(N101=CURSOS!$D$8,"MODELO DE ATENCION PARA EVENTOS EMERGENTES EN SALUD MENTAL (CODIGO VERDE)",IF(N101=CURSOS!$D$9,"HUMANIZACION EN SALUD, BUENAS PRACTICAS EN PACIENTE ",IF(N101=CURSOS!$D$10,"CLINICA DE HERIDAS ",IF(N101=CURSOS!$D$11,"TOMA DE CITOLOGIA A CERVICO VAGINAL ",IF(N101=CURSOS!$D$12,"SOPORTE CARDIOVASCULAR AVANZADO ",IF(N101=CURSOS!$D$13,"CAMILLERO ",IF(N101=CURSOS!$D$14,"TOMA MUESTRAS Y LABORATORIO ",IF(N101=CURSOS!$D$15,"SOPORTE VITAL BASICO (BLS)",IF(N101=CURSOS!$D$16,"ATENCION A VICTIMAS DE VIOLENCIA SEXUAL ",IF(N101=CURSOS!$D$17,"PROGRAMADO AMPLIADO DE INMUNIZACION (PAI - COVID 19)",IF(N101=CURSOS!$D$18,"ATENCION INTEGRAL EN ENFERMEDADES PREVALENTES EN PRIMERA INFANCIA (AIEPI)",IF(N101=CURSOS!$D$19,"ADMINISTRACION DE MEDICAMENTOS, IYECTOLOGIA  Y CANALIZACION ",IF(N101=CURSOS!$D$20,"OPERADOR DE VEHICULOS DE EMERGENCIA (OVE)",IF(N101=CURSOS!$D$21,"INSTITUCIONES AMIGAS DE LA MUJER Y LA INFANCIA (IAMI)",IF(N101=CURSOS!$D$22,"CUIDADO DEL DONANTE DE ORGANOS",IF(N101=CURSOS!$D$23,"ATENCION A VICTIMAS POR VIOLENCIA DE GENERO",IF(N101=CURSOS!$D$24,"IGUALDAD DE GENERO EN LA SALUD",IF(N101=CURSOS!$D$25,"BRIGADA DE EMERGENCIA",IF(N101=CURSOS!$D$26,"MANEJO DEL DOLOR Y CUIDADOS PALIATIVOS",IF(N101=CURSOS!$D$27,"TOMA MUESTRAS Y LABORATORIO POCT",IF(N101=CURSOS!$D$28,"IMPLANTE SUBDERMICO Y DISPOSITIVO INTRAUTERINO",IF(N101=CURSOS!$D$29,"SALUD MENTAL",IF(N101=CURSOS!$D$30,"PRIMEROS AUXILIOS PSICOLOGICOS",IF(N101=CURSOS!$D$31,"ATENCION A VICTIMAS POR CONFLICTO ARMADO",IF(N101=CURSOS!$D$32,"MANIPULACION DE ALIMENTOS Y BPM",IF(N101=CURSOS!$D$33,"ATENCION A PERSONAS CON DISCAPACIDAD",IF(N101=CURSOS!$D$34,"CUIDADO INTEGRAL DEL PACIENTE ADULTO"))))))))))))))))))))))))))))))))</f>
        <v xml:space="preserve">ATENCION A VICTIMAS DE VIOLENCIA SEXUAL </v>
      </c>
      <c r="U101" s="64" t="str">
        <f t="shared" si="6"/>
        <v>Edgar Andres Tulcan Chinchajoa</v>
      </c>
      <c r="V101" s="64" t="str">
        <f t="shared" si="7"/>
        <v>Edgar Andres Tulcan Chinchajoa</v>
      </c>
      <c r="W101" s="64" t="str">
        <f t="shared" si="8"/>
        <v>Edgar Andres Tulcan Chinchajoa-87063718-VIOLENCIA SEXUAL</v>
      </c>
    </row>
    <row r="102" spans="1:23" s="21" customFormat="1" x14ac:dyDescent="0.2">
      <c r="A102" s="94">
        <v>101</v>
      </c>
      <c r="B102" s="62">
        <v>14253056</v>
      </c>
      <c r="C102" s="19" t="s">
        <v>226</v>
      </c>
      <c r="D102" s="19" t="s">
        <v>370</v>
      </c>
      <c r="E102" s="19" t="s">
        <v>371</v>
      </c>
      <c r="F102" s="19" t="s">
        <v>372</v>
      </c>
      <c r="G102" s="16">
        <v>20</v>
      </c>
      <c r="H102" s="16" t="s">
        <v>90</v>
      </c>
      <c r="I102" s="18">
        <v>45463</v>
      </c>
      <c r="J102" s="22">
        <v>35000</v>
      </c>
      <c r="K102" s="16" t="s">
        <v>288</v>
      </c>
      <c r="L102" s="16" t="s">
        <v>101</v>
      </c>
      <c r="M102" s="16" t="s">
        <v>146</v>
      </c>
      <c r="N102" s="17" t="s">
        <v>19</v>
      </c>
      <c r="O102" s="98">
        <v>28907</v>
      </c>
      <c r="P102" s="19" t="s">
        <v>94</v>
      </c>
      <c r="Q102" s="19"/>
      <c r="R102" s="101">
        <v>3135812530</v>
      </c>
      <c r="S102" s="99" t="s">
        <v>381</v>
      </c>
      <c r="T102" s="64" t="str">
        <f>IF(N102=CURSOS!$D$3,"DIPLOMADO EN ATENCION PRE-HOSPITALARIA",IF(N102=CURSOS!$D$4,"ACOMPAÑAMIENTO Y MANEJO DEL DUELO",IF(N102=CURSOS!$D$5,"ATENCION A VICTIMAS DE ATAQUE CON AGENTES QUIMICOS ",IF(N102=CURSOS!$D$6,"PRIMEROS AUXILIOS ",IF(N102=CURSOS!$D$7,"DIPLOMADO DE UNIDAD DE CUIDADOS INTENSIVOS (UCI)",IF(N102=CURSOS!$D$8,"MODELO DE ATENCION PARA EVENTOS EMERGENTES EN SALUD MENTAL (CODIGO VERDE)",IF(N102=CURSOS!$D$9,"HUMANIZACION EN SALUD, BUENAS PRACTICAS EN PACIENTE ",IF(N102=CURSOS!$D$10,"CLINICA DE HERIDAS ",IF(N102=CURSOS!$D$11,"TOMA DE CITOLOGIA A CERVICO VAGINAL ",IF(N102=CURSOS!$D$12,"SOPORTE CARDIOVASCULAR AVANZADO ",IF(N102=CURSOS!$D$13,"CAMILLERO ",IF(N102=CURSOS!$D$14,"TOMA MUESTRAS Y LABORATORIO ",IF(N102=CURSOS!$D$15,"SOPORTE VITAL BASICO (BLS)",IF(N102=CURSOS!$D$16,"ATENCION A VICTIMAS DE VIOLENCIA SEXUAL ",IF(N102=CURSOS!$D$17,"PROGRAMADO AMPLIADO DE INMUNIZACION (PAI - COVID 19)",IF(N102=CURSOS!$D$18,"ATENCION INTEGRAL EN ENFERMEDADES PREVALENTES EN PRIMERA INFANCIA (AIEPI)",IF(N102=CURSOS!$D$19,"ADMINISTRACION DE MEDICAMENTOS, IYECTOLOGIA  Y CANALIZACION ",IF(N102=CURSOS!$D$20,"OPERADOR DE VEHICULOS DE EMERGENCIA (OVE)",IF(N102=CURSOS!$D$21,"INSTITUCIONES AMIGAS DE LA MUJER Y LA INFANCIA (IAMI)",IF(N102=CURSOS!$D$22,"CUIDADO DEL DONANTE DE ORGANOS",IF(N102=CURSOS!$D$23,"ATENCION A VICTIMAS POR VIOLENCIA DE GENERO",IF(N102=CURSOS!$D$24,"IGUALDAD DE GENERO EN LA SALUD",IF(N102=CURSOS!$D$25,"BRIGADA DE EMERGENCIA",IF(N102=CURSOS!$D$26,"MANEJO DEL DOLOR Y CUIDADOS PALIATIVOS",IF(N102=CURSOS!$D$27,"TOMA MUESTRAS Y LABORATORIO POCT",IF(N102=CURSOS!$D$28,"IMPLANTE SUBDERMICO Y DISPOSITIVO INTRAUTERINO",IF(N102=CURSOS!$D$29,"SALUD MENTAL",IF(N102=CURSOS!$D$30,"PRIMEROS AUXILIOS PSICOLOGICOS",IF(N102=CURSOS!$D$31,"ATENCION A VICTIMAS POR CONFLICTO ARMADO",IF(N102=CURSOS!$D$32,"MANIPULACION DE ALIMENTOS Y BPM",IF(N102=CURSOS!$D$33,"ATENCION A PERSONAS CON DISCAPACIDAD",IF(N102=CURSOS!$D$34,"CUIDADO INTEGRAL DEL PACIENTE ADULTO"))))))))))))))))))))))))))))))))</f>
        <v>SOPORTE VITAL BASICO (BLS)</v>
      </c>
      <c r="U102" s="64" t="str">
        <f t="shared" si="6"/>
        <v>Angel Adrian Rosero Izquierdo</v>
      </c>
      <c r="V102" s="64" t="str">
        <f t="shared" si="7"/>
        <v>Angel Adrian Rosero Izquierdo</v>
      </c>
      <c r="W102" s="64" t="str">
        <f t="shared" si="8"/>
        <v>Angel Adrian Rosero Izquierdo-14253056-BLS</v>
      </c>
    </row>
    <row r="103" spans="1:23" s="21" customFormat="1" x14ac:dyDescent="0.2">
      <c r="A103" s="94">
        <v>102</v>
      </c>
      <c r="B103" s="62">
        <v>14253056</v>
      </c>
      <c r="C103" s="19" t="s">
        <v>226</v>
      </c>
      <c r="D103" s="19" t="s">
        <v>370</v>
      </c>
      <c r="E103" s="19" t="s">
        <v>371</v>
      </c>
      <c r="F103" s="19" t="s">
        <v>372</v>
      </c>
      <c r="G103" s="16">
        <v>21</v>
      </c>
      <c r="H103" s="16" t="s">
        <v>90</v>
      </c>
      <c r="I103" s="18">
        <v>45463</v>
      </c>
      <c r="J103" s="22">
        <v>35000</v>
      </c>
      <c r="K103" s="16" t="s">
        <v>288</v>
      </c>
      <c r="L103" s="16" t="s">
        <v>101</v>
      </c>
      <c r="M103" s="102" t="s">
        <v>146</v>
      </c>
      <c r="N103" s="103" t="s">
        <v>46</v>
      </c>
      <c r="O103" s="98">
        <v>28907</v>
      </c>
      <c r="P103" s="104" t="s">
        <v>94</v>
      </c>
      <c r="Q103" s="19"/>
      <c r="R103" s="101">
        <v>3135812530</v>
      </c>
      <c r="S103" s="99" t="s">
        <v>381</v>
      </c>
      <c r="T103" s="64" t="str">
        <f>IF(N103=CURSOS!$D$3,"DIPLOMADO EN ATENCION PRE-HOSPITALARIA",IF(N103=CURSOS!$D$4,"ACOMPAÑAMIENTO Y MANEJO DEL DUELO",IF(N103=CURSOS!$D$5,"ATENCION A VICTIMAS DE ATAQUE CON AGENTES QUIMICOS ",IF(N103=CURSOS!$D$6,"PRIMEROS AUXILIOS ",IF(N103=CURSOS!$D$7,"DIPLOMADO DE UNIDAD DE CUIDADOS INTENSIVOS (UCI)",IF(N103=CURSOS!$D$8,"MODELO DE ATENCION PARA EVENTOS EMERGENTES EN SALUD MENTAL (CODIGO VERDE)",IF(N103=CURSOS!$D$9,"HUMANIZACION EN SALUD, BUENAS PRACTICAS EN PACIENTE ",IF(N103=CURSOS!$D$10,"CLINICA DE HERIDAS ",IF(N103=CURSOS!$D$11,"TOMA DE CITOLOGIA A CERVICO VAGINAL ",IF(N103=CURSOS!$D$12,"SOPORTE CARDIOVASCULAR AVANZADO ",IF(N103=CURSOS!$D$13,"CAMILLERO ",IF(N103=CURSOS!$D$14,"TOMA MUESTRAS Y LABORATORIO ",IF(N103=CURSOS!$D$15,"SOPORTE VITAL BASICO (BLS)",IF(N103=CURSOS!$D$16,"ATENCION A VICTIMAS DE VIOLENCIA SEXUAL ",IF(N103=CURSOS!$D$17,"PROGRAMADO AMPLIADO DE INMUNIZACION (PAI - COVID 19)",IF(N103=CURSOS!$D$18,"ATENCION INTEGRAL EN ENFERMEDADES PREVALENTES EN PRIMERA INFANCIA (AIEPI)",IF(N103=CURSOS!$D$19,"ADMINISTRACION DE MEDICAMENTOS, IYECTOLOGIA  Y CANALIZACION ",IF(N103=CURSOS!$D$20,"OPERADOR DE VEHICULOS DE EMERGENCIA (OVE)",IF(N103=CURSOS!$D$21,"INSTITUCIONES AMIGAS DE LA MUJER Y LA INFANCIA (IAMI)",IF(N103=CURSOS!$D$22,"CUIDADO DEL DONANTE DE ORGANOS",IF(N103=CURSOS!$D$23,"ATENCION A VICTIMAS POR VIOLENCIA DE GENERO",IF(N103=CURSOS!$D$24,"IGUALDAD DE GENERO EN LA SALUD",IF(N103=CURSOS!$D$25,"BRIGADA DE EMERGENCIA",IF(N103=CURSOS!$D$26,"MANEJO DEL DOLOR Y CUIDADOS PALIATIVOS",IF(N103=CURSOS!$D$27,"TOMA MUESTRAS Y LABORATORIO POCT",IF(N103=CURSOS!$D$28,"IMPLANTE SUBDERMICO Y DISPOSITIVO INTRAUTERINO",IF(N103=CURSOS!$D$29,"SALUD MENTAL",IF(N103=CURSOS!$D$30,"PRIMEROS AUXILIOS PSICOLOGICOS",IF(N103=CURSOS!$D$31,"ATENCION A VICTIMAS POR CONFLICTO ARMADO",IF(N103=CURSOS!$D$32,"MANIPULACION DE ALIMENTOS Y BPM",IF(N103=CURSOS!$D$33,"ATENCION A PERSONAS CON DISCAPACIDAD",IF(N103=CURSOS!$D$34,"CUIDADO INTEGRAL DEL PACIENTE ADULTO"))))))))))))))))))))))))))))))))</f>
        <v xml:space="preserve">ATENCION A VICTIMAS DE VIOLENCIA SEXUAL </v>
      </c>
      <c r="U103" s="64" t="str">
        <f t="shared" si="6"/>
        <v>Angel Adrian Rosero Izquierdo</v>
      </c>
      <c r="V103" s="64" t="str">
        <f t="shared" si="7"/>
        <v>Angel Adrian Rosero Izquierdo</v>
      </c>
      <c r="W103" s="64" t="str">
        <f t="shared" si="8"/>
        <v>Angel Adrian Rosero Izquierdo-14253056-VIOLENCIA SEXUAL</v>
      </c>
    </row>
    <row r="104" spans="1:23" s="21" customFormat="1" x14ac:dyDescent="0.2">
      <c r="A104" s="94">
        <v>103</v>
      </c>
      <c r="B104" s="62">
        <v>1004539876</v>
      </c>
      <c r="C104" s="104" t="s">
        <v>226</v>
      </c>
      <c r="D104" s="104" t="s">
        <v>308</v>
      </c>
      <c r="E104" s="104" t="s">
        <v>145</v>
      </c>
      <c r="F104" s="104" t="s">
        <v>116</v>
      </c>
      <c r="G104" s="16">
        <v>20</v>
      </c>
      <c r="H104" s="16" t="s">
        <v>90</v>
      </c>
      <c r="I104" s="18">
        <v>45463</v>
      </c>
      <c r="J104" s="22">
        <v>35000</v>
      </c>
      <c r="K104" s="16" t="s">
        <v>288</v>
      </c>
      <c r="L104" s="16" t="s">
        <v>101</v>
      </c>
      <c r="M104" s="102" t="s">
        <v>146</v>
      </c>
      <c r="N104" s="103" t="s">
        <v>19</v>
      </c>
      <c r="O104" s="86">
        <v>37147</v>
      </c>
      <c r="P104" s="104" t="s">
        <v>108</v>
      </c>
      <c r="Q104" s="19"/>
      <c r="R104" s="82">
        <v>3173293042</v>
      </c>
      <c r="S104" s="100" t="s">
        <v>382</v>
      </c>
      <c r="T104" s="64" t="str">
        <f>IF(N104=CURSOS!$D$3,"DIPLOMADO EN ATENCION PRE-HOSPITALARIA",IF(N104=CURSOS!$D$4,"ACOMPAÑAMIENTO Y MANEJO DEL DUELO",IF(N104=CURSOS!$D$5,"ATENCION A VICTIMAS DE ATAQUE CON AGENTES QUIMICOS ",IF(N104=CURSOS!$D$6,"PRIMEROS AUXILIOS ",IF(N104=CURSOS!$D$7,"DIPLOMADO DE UNIDAD DE CUIDADOS INTENSIVOS (UCI)",IF(N104=CURSOS!$D$8,"MODELO DE ATENCION PARA EVENTOS EMERGENTES EN SALUD MENTAL (CODIGO VERDE)",IF(N104=CURSOS!$D$9,"HUMANIZACION EN SALUD, BUENAS PRACTICAS EN PACIENTE ",IF(N104=CURSOS!$D$10,"CLINICA DE HERIDAS ",IF(N104=CURSOS!$D$11,"TOMA DE CITOLOGIA A CERVICO VAGINAL ",IF(N104=CURSOS!$D$12,"SOPORTE CARDIOVASCULAR AVANZADO ",IF(N104=CURSOS!$D$13,"CAMILLERO ",IF(N104=CURSOS!$D$14,"TOMA MUESTRAS Y LABORATORIO ",IF(N104=CURSOS!$D$15,"SOPORTE VITAL BASICO (BLS)",IF(N104=CURSOS!$D$16,"ATENCION A VICTIMAS DE VIOLENCIA SEXUAL ",IF(N104=CURSOS!$D$17,"PROGRAMADO AMPLIADO DE INMUNIZACION (PAI - COVID 19)",IF(N104=CURSOS!$D$18,"ATENCION INTEGRAL EN ENFERMEDADES PREVALENTES EN PRIMERA INFANCIA (AIEPI)",IF(N104=CURSOS!$D$19,"ADMINISTRACION DE MEDICAMENTOS, IYECTOLOGIA  Y CANALIZACION ",IF(N104=CURSOS!$D$20,"OPERADOR DE VEHICULOS DE EMERGENCIA (OVE)",IF(N104=CURSOS!$D$21,"INSTITUCIONES AMIGAS DE LA MUJER Y LA INFANCIA (IAMI)",IF(N104=CURSOS!$D$22,"CUIDADO DEL DONANTE DE ORGANOS",IF(N104=CURSOS!$D$23,"ATENCION A VICTIMAS POR VIOLENCIA DE GENERO",IF(N104=CURSOS!$D$24,"IGUALDAD DE GENERO EN LA SALUD",IF(N104=CURSOS!$D$25,"BRIGADA DE EMERGENCIA",IF(N104=CURSOS!$D$26,"MANEJO DEL DOLOR Y CUIDADOS PALIATIVOS",IF(N104=CURSOS!$D$27,"TOMA MUESTRAS Y LABORATORIO POCT",IF(N104=CURSOS!$D$28,"IMPLANTE SUBDERMICO Y DISPOSITIVO INTRAUTERINO",IF(N104=CURSOS!$D$29,"SALUD MENTAL",IF(N104=CURSOS!$D$30,"PRIMEROS AUXILIOS PSICOLOGICOS",IF(N104=CURSOS!$D$31,"ATENCION A VICTIMAS POR CONFLICTO ARMADO",IF(N104=CURSOS!$D$32,"MANIPULACION DE ALIMENTOS Y BPM",IF(N104=CURSOS!$D$33,"ATENCION A PERSONAS CON DISCAPACIDAD",IF(N104=CURSOS!$D$34,"CUIDADO INTEGRAL DEL PACIENTE ADULTO"))))))))))))))))))))))))))))))))</f>
        <v>SOPORTE VITAL BASICO (BLS)</v>
      </c>
      <c r="U104" s="64" t="str">
        <f t="shared" si="6"/>
        <v>Angela Camila Rosero Chaves</v>
      </c>
      <c r="V104" s="64" t="str">
        <f t="shared" si="7"/>
        <v>Angela Camila Rosero Chaves</v>
      </c>
      <c r="W104" s="64" t="str">
        <f t="shared" si="8"/>
        <v>Angela Camila Rosero Chaves-1004539876-BLS</v>
      </c>
    </row>
    <row r="105" spans="1:23" s="21" customFormat="1" x14ac:dyDescent="0.2">
      <c r="A105" s="94">
        <v>104</v>
      </c>
      <c r="B105" s="62">
        <v>1004539876</v>
      </c>
      <c r="C105" s="104" t="s">
        <v>226</v>
      </c>
      <c r="D105" s="104" t="s">
        <v>308</v>
      </c>
      <c r="E105" s="104" t="s">
        <v>145</v>
      </c>
      <c r="F105" s="104" t="s">
        <v>116</v>
      </c>
      <c r="G105" s="16">
        <v>21</v>
      </c>
      <c r="H105" s="16" t="s">
        <v>90</v>
      </c>
      <c r="I105" s="18">
        <v>45463</v>
      </c>
      <c r="J105" s="22">
        <v>35000</v>
      </c>
      <c r="K105" s="16" t="s">
        <v>288</v>
      </c>
      <c r="L105" s="16" t="s">
        <v>101</v>
      </c>
      <c r="M105" s="102" t="s">
        <v>146</v>
      </c>
      <c r="N105" s="103" t="s">
        <v>46</v>
      </c>
      <c r="O105" s="86">
        <v>37147</v>
      </c>
      <c r="P105" s="104" t="s">
        <v>108</v>
      </c>
      <c r="Q105" s="19"/>
      <c r="R105" s="82">
        <v>3173293042</v>
      </c>
      <c r="S105" s="100" t="s">
        <v>382</v>
      </c>
      <c r="T105" s="64" t="str">
        <f>IF(N105=CURSOS!$D$3,"DIPLOMADO EN ATENCION PRE-HOSPITALARIA",IF(N105=CURSOS!$D$4,"ACOMPAÑAMIENTO Y MANEJO DEL DUELO",IF(N105=CURSOS!$D$5,"ATENCION A VICTIMAS DE ATAQUE CON AGENTES QUIMICOS ",IF(N105=CURSOS!$D$6,"PRIMEROS AUXILIOS ",IF(N105=CURSOS!$D$7,"DIPLOMADO DE UNIDAD DE CUIDADOS INTENSIVOS (UCI)",IF(N105=CURSOS!$D$8,"MODELO DE ATENCION PARA EVENTOS EMERGENTES EN SALUD MENTAL (CODIGO VERDE)",IF(N105=CURSOS!$D$9,"HUMANIZACION EN SALUD, BUENAS PRACTICAS EN PACIENTE ",IF(N105=CURSOS!$D$10,"CLINICA DE HERIDAS ",IF(N105=CURSOS!$D$11,"TOMA DE CITOLOGIA A CERVICO VAGINAL ",IF(N105=CURSOS!$D$12,"SOPORTE CARDIOVASCULAR AVANZADO ",IF(N105=CURSOS!$D$13,"CAMILLERO ",IF(N105=CURSOS!$D$14,"TOMA MUESTRAS Y LABORATORIO ",IF(N105=CURSOS!$D$15,"SOPORTE VITAL BASICO (BLS)",IF(N105=CURSOS!$D$16,"ATENCION A VICTIMAS DE VIOLENCIA SEXUAL ",IF(N105=CURSOS!$D$17,"PROGRAMADO AMPLIADO DE INMUNIZACION (PAI - COVID 19)",IF(N105=CURSOS!$D$18,"ATENCION INTEGRAL EN ENFERMEDADES PREVALENTES EN PRIMERA INFANCIA (AIEPI)",IF(N105=CURSOS!$D$19,"ADMINISTRACION DE MEDICAMENTOS, IYECTOLOGIA  Y CANALIZACION ",IF(N105=CURSOS!$D$20,"OPERADOR DE VEHICULOS DE EMERGENCIA (OVE)",IF(N105=CURSOS!$D$21,"INSTITUCIONES AMIGAS DE LA MUJER Y LA INFANCIA (IAMI)",IF(N105=CURSOS!$D$22,"CUIDADO DEL DONANTE DE ORGANOS",IF(N105=CURSOS!$D$23,"ATENCION A VICTIMAS POR VIOLENCIA DE GENERO",IF(N105=CURSOS!$D$24,"IGUALDAD DE GENERO EN LA SALUD",IF(N105=CURSOS!$D$25,"BRIGADA DE EMERGENCIA",IF(N105=CURSOS!$D$26,"MANEJO DEL DOLOR Y CUIDADOS PALIATIVOS",IF(N105=CURSOS!$D$27,"TOMA MUESTRAS Y LABORATORIO POCT",IF(N105=CURSOS!$D$28,"IMPLANTE SUBDERMICO Y DISPOSITIVO INTRAUTERINO",IF(N105=CURSOS!$D$29,"SALUD MENTAL",IF(N105=CURSOS!$D$30,"PRIMEROS AUXILIOS PSICOLOGICOS",IF(N105=CURSOS!$D$31,"ATENCION A VICTIMAS POR CONFLICTO ARMADO",IF(N105=CURSOS!$D$32,"MANIPULACION DE ALIMENTOS Y BPM",IF(N105=CURSOS!$D$33,"ATENCION A PERSONAS CON DISCAPACIDAD",IF(N105=CURSOS!$D$34,"CUIDADO INTEGRAL DEL PACIENTE ADULTO"))))))))))))))))))))))))))))))))</f>
        <v xml:space="preserve">ATENCION A VICTIMAS DE VIOLENCIA SEXUAL </v>
      </c>
      <c r="U105" s="64" t="str">
        <f t="shared" si="6"/>
        <v>Angela Camila Rosero Chaves</v>
      </c>
      <c r="V105" s="64" t="str">
        <f t="shared" si="7"/>
        <v>Angela Camila Rosero Chaves</v>
      </c>
      <c r="W105" s="64" t="str">
        <f t="shared" si="8"/>
        <v>Angela Camila Rosero Chaves-1004539876-VIOLENCIA SEXUAL</v>
      </c>
    </row>
    <row r="106" spans="1:23" s="21" customFormat="1" x14ac:dyDescent="0.2">
      <c r="A106" s="94">
        <v>105</v>
      </c>
      <c r="B106" s="62">
        <v>59265338</v>
      </c>
      <c r="C106" s="104" t="s">
        <v>373</v>
      </c>
      <c r="D106" s="104" t="s">
        <v>374</v>
      </c>
      <c r="E106" s="104" t="s">
        <v>375</v>
      </c>
      <c r="F106" s="104" t="s">
        <v>395</v>
      </c>
      <c r="G106" s="16">
        <v>20</v>
      </c>
      <c r="H106" s="16" t="s">
        <v>90</v>
      </c>
      <c r="I106" s="18">
        <v>45463</v>
      </c>
      <c r="J106" s="22">
        <v>35000</v>
      </c>
      <c r="K106" s="16" t="s">
        <v>288</v>
      </c>
      <c r="L106" s="16" t="s">
        <v>101</v>
      </c>
      <c r="M106" s="102" t="s">
        <v>146</v>
      </c>
      <c r="N106" s="103" t="s">
        <v>19</v>
      </c>
      <c r="O106" s="98">
        <v>30919</v>
      </c>
      <c r="P106" s="89" t="s">
        <v>108</v>
      </c>
      <c r="Q106" s="89"/>
      <c r="R106" s="101">
        <v>3183642651</v>
      </c>
      <c r="S106" s="99" t="s">
        <v>383</v>
      </c>
      <c r="T106" s="64" t="str">
        <f>IF(N106=CURSOS!$D$3,"DIPLOMADO EN ATENCION PRE-HOSPITALARIA",IF(N106=CURSOS!$D$4,"ACOMPAÑAMIENTO Y MANEJO DEL DUELO",IF(N106=CURSOS!$D$5,"ATENCION A VICTIMAS DE ATAQUE CON AGENTES QUIMICOS ",IF(N106=CURSOS!$D$6,"PRIMEROS AUXILIOS ",IF(N106=CURSOS!$D$7,"DIPLOMADO DE UNIDAD DE CUIDADOS INTENSIVOS (UCI)",IF(N106=CURSOS!$D$8,"MODELO DE ATENCION PARA EVENTOS EMERGENTES EN SALUD MENTAL (CODIGO VERDE)",IF(N106=CURSOS!$D$9,"HUMANIZACION EN SALUD, BUENAS PRACTICAS EN PACIENTE ",IF(N106=CURSOS!$D$10,"CLINICA DE HERIDAS ",IF(N106=CURSOS!$D$11,"TOMA DE CITOLOGIA A CERVICO VAGINAL ",IF(N106=CURSOS!$D$12,"SOPORTE CARDIOVASCULAR AVANZADO ",IF(N106=CURSOS!$D$13,"CAMILLERO ",IF(N106=CURSOS!$D$14,"TOMA MUESTRAS Y LABORATORIO ",IF(N106=CURSOS!$D$15,"SOPORTE VITAL BASICO (BLS)",IF(N106=CURSOS!$D$16,"ATENCION A VICTIMAS DE VIOLENCIA SEXUAL ",IF(N106=CURSOS!$D$17,"PROGRAMADO AMPLIADO DE INMUNIZACION (PAI - COVID 19)",IF(N106=CURSOS!$D$18,"ATENCION INTEGRAL EN ENFERMEDADES PREVALENTES EN PRIMERA INFANCIA (AIEPI)",IF(N106=CURSOS!$D$19,"ADMINISTRACION DE MEDICAMENTOS, IYECTOLOGIA  Y CANALIZACION ",IF(N106=CURSOS!$D$20,"OPERADOR DE VEHICULOS DE EMERGENCIA (OVE)",IF(N106=CURSOS!$D$21,"INSTITUCIONES AMIGAS DE LA MUJER Y LA INFANCIA (IAMI)",IF(N106=CURSOS!$D$22,"CUIDADO DEL DONANTE DE ORGANOS",IF(N106=CURSOS!$D$23,"ATENCION A VICTIMAS POR VIOLENCIA DE GENERO",IF(N106=CURSOS!$D$24,"IGUALDAD DE GENERO EN LA SALUD",IF(N106=CURSOS!$D$25,"BRIGADA DE EMERGENCIA",IF(N106=CURSOS!$D$26,"MANEJO DEL DOLOR Y CUIDADOS PALIATIVOS",IF(N106=CURSOS!$D$27,"TOMA MUESTRAS Y LABORATORIO POCT",IF(N106=CURSOS!$D$28,"IMPLANTE SUBDERMICO Y DISPOSITIVO INTRAUTERINO",IF(N106=CURSOS!$D$29,"SALUD MENTAL",IF(N106=CURSOS!$D$30,"PRIMEROS AUXILIOS PSICOLOGICOS",IF(N106=CURSOS!$D$31,"ATENCION A VICTIMAS POR CONFLICTO ARMADO",IF(N106=CURSOS!$D$32,"MANIPULACION DE ALIMENTOS Y BPM",IF(N106=CURSOS!$D$33,"ATENCION A PERSONAS CON DISCAPACIDAD",IF(N106=CURSOS!$D$34,"CUIDADO INTEGRAL DEL PACIENTE ADULTO"))))))))))))))))))))))))))))))))</f>
        <v>SOPORTE VITAL BASICO (BLS)</v>
      </c>
      <c r="U106" s="64" t="str">
        <f t="shared" si="6"/>
        <v>Neira Del carmen Santander Garcia</v>
      </c>
      <c r="V106" s="64" t="str">
        <f t="shared" si="7"/>
        <v>Neira Del Carmen Santander Garcia</v>
      </c>
      <c r="W106" s="64" t="str">
        <f t="shared" si="8"/>
        <v>Neira Del carmen Santander Garcia-59265338-BLS</v>
      </c>
    </row>
    <row r="107" spans="1:23" s="21" customFormat="1" x14ac:dyDescent="0.2">
      <c r="A107" s="94">
        <v>106</v>
      </c>
      <c r="B107" s="62">
        <v>59265338</v>
      </c>
      <c r="C107" s="104" t="s">
        <v>373</v>
      </c>
      <c r="D107" s="104" t="s">
        <v>374</v>
      </c>
      <c r="E107" s="104" t="s">
        <v>375</v>
      </c>
      <c r="F107" s="104" t="s">
        <v>395</v>
      </c>
      <c r="G107" s="16">
        <v>21</v>
      </c>
      <c r="H107" s="16" t="s">
        <v>90</v>
      </c>
      <c r="I107" s="18">
        <v>45463</v>
      </c>
      <c r="J107" s="22">
        <v>35000</v>
      </c>
      <c r="K107" s="16" t="s">
        <v>288</v>
      </c>
      <c r="L107" s="16" t="s">
        <v>101</v>
      </c>
      <c r="M107" s="102" t="s">
        <v>146</v>
      </c>
      <c r="N107" s="103" t="s">
        <v>46</v>
      </c>
      <c r="O107" s="98">
        <v>30919</v>
      </c>
      <c r="P107" s="89" t="s">
        <v>108</v>
      </c>
      <c r="Q107" s="89"/>
      <c r="R107" s="101">
        <v>3183642651</v>
      </c>
      <c r="S107" s="99" t="s">
        <v>383</v>
      </c>
      <c r="T107" s="64" t="str">
        <f>IF(N107=CURSOS!$D$3,"DIPLOMADO EN ATENCION PRE-HOSPITALARIA",IF(N107=CURSOS!$D$4,"ACOMPAÑAMIENTO Y MANEJO DEL DUELO",IF(N107=CURSOS!$D$5,"ATENCION A VICTIMAS DE ATAQUE CON AGENTES QUIMICOS ",IF(N107=CURSOS!$D$6,"PRIMEROS AUXILIOS ",IF(N107=CURSOS!$D$7,"DIPLOMADO DE UNIDAD DE CUIDADOS INTENSIVOS (UCI)",IF(N107=CURSOS!$D$8,"MODELO DE ATENCION PARA EVENTOS EMERGENTES EN SALUD MENTAL (CODIGO VERDE)",IF(N107=CURSOS!$D$9,"HUMANIZACION EN SALUD, BUENAS PRACTICAS EN PACIENTE ",IF(N107=CURSOS!$D$10,"CLINICA DE HERIDAS ",IF(N107=CURSOS!$D$11,"TOMA DE CITOLOGIA A CERVICO VAGINAL ",IF(N107=CURSOS!$D$12,"SOPORTE CARDIOVASCULAR AVANZADO ",IF(N107=CURSOS!$D$13,"CAMILLERO ",IF(N107=CURSOS!$D$14,"TOMA MUESTRAS Y LABORATORIO ",IF(N107=CURSOS!$D$15,"SOPORTE VITAL BASICO (BLS)",IF(N107=CURSOS!$D$16,"ATENCION A VICTIMAS DE VIOLENCIA SEXUAL ",IF(N107=CURSOS!$D$17,"PROGRAMADO AMPLIADO DE INMUNIZACION (PAI - COVID 19)",IF(N107=CURSOS!$D$18,"ATENCION INTEGRAL EN ENFERMEDADES PREVALENTES EN PRIMERA INFANCIA (AIEPI)",IF(N107=CURSOS!$D$19,"ADMINISTRACION DE MEDICAMENTOS, IYECTOLOGIA  Y CANALIZACION ",IF(N107=CURSOS!$D$20,"OPERADOR DE VEHICULOS DE EMERGENCIA (OVE)",IF(N107=CURSOS!$D$21,"INSTITUCIONES AMIGAS DE LA MUJER Y LA INFANCIA (IAMI)",IF(N107=CURSOS!$D$22,"CUIDADO DEL DONANTE DE ORGANOS",IF(N107=CURSOS!$D$23,"ATENCION A VICTIMAS POR VIOLENCIA DE GENERO",IF(N107=CURSOS!$D$24,"IGUALDAD DE GENERO EN LA SALUD",IF(N107=CURSOS!$D$25,"BRIGADA DE EMERGENCIA",IF(N107=CURSOS!$D$26,"MANEJO DEL DOLOR Y CUIDADOS PALIATIVOS",IF(N107=CURSOS!$D$27,"TOMA MUESTRAS Y LABORATORIO POCT",IF(N107=CURSOS!$D$28,"IMPLANTE SUBDERMICO Y DISPOSITIVO INTRAUTERINO",IF(N107=CURSOS!$D$29,"SALUD MENTAL",IF(N107=CURSOS!$D$30,"PRIMEROS AUXILIOS PSICOLOGICOS",IF(N107=CURSOS!$D$31,"ATENCION A VICTIMAS POR CONFLICTO ARMADO",IF(N107=CURSOS!$D$32,"MANIPULACION DE ALIMENTOS Y BPM",IF(N107=CURSOS!$D$33,"ATENCION A PERSONAS CON DISCAPACIDAD",IF(N107=CURSOS!$D$34,"CUIDADO INTEGRAL DEL PACIENTE ADULTO"))))))))))))))))))))))))))))))))</f>
        <v xml:space="preserve">ATENCION A VICTIMAS DE VIOLENCIA SEXUAL </v>
      </c>
      <c r="U107" s="64" t="str">
        <f t="shared" si="6"/>
        <v>Neira Del carmen Santander Garcia</v>
      </c>
      <c r="V107" s="64" t="str">
        <f t="shared" si="7"/>
        <v>Neira Del Carmen Santander Garcia</v>
      </c>
      <c r="W107" s="64" t="str">
        <f t="shared" si="8"/>
        <v>Neira Del carmen Santander Garcia-59265338-VIOLENCIA SEXUAL</v>
      </c>
    </row>
    <row r="108" spans="1:23" s="21" customFormat="1" x14ac:dyDescent="0.2">
      <c r="A108" s="94">
        <v>107</v>
      </c>
      <c r="B108" s="62">
        <v>1086500343</v>
      </c>
      <c r="C108" s="104" t="s">
        <v>384</v>
      </c>
      <c r="D108" s="104" t="s">
        <v>385</v>
      </c>
      <c r="E108" s="104" t="s">
        <v>333</v>
      </c>
      <c r="F108" s="104" t="s">
        <v>386</v>
      </c>
      <c r="G108" s="16">
        <v>22</v>
      </c>
      <c r="H108" s="16" t="s">
        <v>90</v>
      </c>
      <c r="I108" s="18">
        <v>45464</v>
      </c>
      <c r="J108" s="22">
        <v>35000</v>
      </c>
      <c r="K108" s="16" t="s">
        <v>229</v>
      </c>
      <c r="L108" s="16" t="s">
        <v>101</v>
      </c>
      <c r="M108" s="102" t="s">
        <v>93</v>
      </c>
      <c r="N108" s="103" t="s">
        <v>46</v>
      </c>
      <c r="O108" s="89">
        <v>35945</v>
      </c>
      <c r="P108" s="89" t="s">
        <v>108</v>
      </c>
      <c r="Q108" s="89" t="s">
        <v>388</v>
      </c>
      <c r="R108" s="104">
        <v>3183078085</v>
      </c>
      <c r="S108" s="89" t="s">
        <v>387</v>
      </c>
      <c r="T108" s="64" t="str">
        <f>IF(N108=CURSOS!$D$3,"DIPLOMADO EN ATENCION PRE-HOSPITALARIA",IF(N108=CURSOS!$D$4,"ACOMPAÑAMIENTO Y MANEJO DEL DUELO",IF(N108=CURSOS!$D$5,"ATENCION A VICTIMAS DE ATAQUE CON AGENTES QUIMICOS ",IF(N108=CURSOS!$D$6,"PRIMEROS AUXILIOS ",IF(N108=CURSOS!$D$7,"DIPLOMADO DE UNIDAD DE CUIDADOS INTENSIVOS (UCI)",IF(N108=CURSOS!$D$8,"MODELO DE ATENCION PARA EVENTOS EMERGENTES EN SALUD MENTAL (CODIGO VERDE)",IF(N108=CURSOS!$D$9,"HUMANIZACION EN SALUD, BUENAS PRACTICAS EN PACIENTE ",IF(N108=CURSOS!$D$10,"CLINICA DE HERIDAS ",IF(N108=CURSOS!$D$11,"TOMA DE CITOLOGIA A CERVICO VAGINAL ",IF(N108=CURSOS!$D$12,"SOPORTE CARDIOVASCULAR AVANZADO ",IF(N108=CURSOS!$D$13,"CAMILLERO ",IF(N108=CURSOS!$D$14,"TOMA MUESTRAS Y LABORATORIO ",IF(N108=CURSOS!$D$15,"SOPORTE VITAL BASICO (BLS)",IF(N108=CURSOS!$D$16,"ATENCION A VICTIMAS DE VIOLENCIA SEXUAL ",IF(N108=CURSOS!$D$17,"PROGRAMADO AMPLIADO DE INMUNIZACION (PAI - COVID 19)",IF(N108=CURSOS!$D$18,"ATENCION INTEGRAL EN ENFERMEDADES PREVALENTES EN PRIMERA INFANCIA (AIEPI)",IF(N108=CURSOS!$D$19,"ADMINISTRACION DE MEDICAMENTOS, IYECTOLOGIA  Y CANALIZACION ",IF(N108=CURSOS!$D$20,"OPERADOR DE VEHICULOS DE EMERGENCIA (OVE)",IF(N108=CURSOS!$D$21,"INSTITUCIONES AMIGAS DE LA MUJER Y LA INFANCIA (IAMI)",IF(N108=CURSOS!$D$22,"CUIDADO DEL DONANTE DE ORGANOS",IF(N108=CURSOS!$D$23,"ATENCION A VICTIMAS POR VIOLENCIA DE GENERO",IF(N108=CURSOS!$D$24,"IGUALDAD DE GENERO EN LA SALUD",IF(N108=CURSOS!$D$25,"BRIGADA DE EMERGENCIA",IF(N108=CURSOS!$D$26,"MANEJO DEL DOLOR Y CUIDADOS PALIATIVOS",IF(N108=CURSOS!$D$27,"TOMA MUESTRAS Y LABORATORIO POCT",IF(N108=CURSOS!$D$28,"IMPLANTE SUBDERMICO Y DISPOSITIVO INTRAUTERINO",IF(N108=CURSOS!$D$29,"SALUD MENTAL",IF(N108=CURSOS!$D$30,"PRIMEROS AUXILIOS PSICOLOGICOS",IF(N108=CURSOS!$D$31,"ATENCION A VICTIMAS POR CONFLICTO ARMADO",IF(N108=CURSOS!$D$32,"MANIPULACION DE ALIMENTOS Y BPM",IF(N108=CURSOS!$D$33,"ATENCION A PERSONAS CON DISCAPACIDAD",IF(N108=CURSOS!$D$34,"CUIDADO INTEGRAL DEL PACIENTE ADULTO"))))))))))))))))))))))))))))))))</f>
        <v xml:space="preserve">ATENCION A VICTIMAS DE VIOLENCIA SEXUAL </v>
      </c>
      <c r="U108" s="64" t="str">
        <f t="shared" si="6"/>
        <v>Yolanda Marisol Urbano Ipiales</v>
      </c>
      <c r="V108" s="64" t="str">
        <f t="shared" si="7"/>
        <v>Yolanda Marisol Urbano Ipiales</v>
      </c>
      <c r="W108" s="64" t="str">
        <f t="shared" si="8"/>
        <v>Yolanda Marisol Urbano Ipiales-1086500343-VIOLENCIA SEXUAL</v>
      </c>
    </row>
    <row r="109" spans="1:23" s="21" customFormat="1" x14ac:dyDescent="0.2">
      <c r="A109" s="94">
        <v>108</v>
      </c>
      <c r="B109" s="62">
        <v>1086500343</v>
      </c>
      <c r="C109" s="104" t="s">
        <v>384</v>
      </c>
      <c r="D109" s="104" t="s">
        <v>385</v>
      </c>
      <c r="E109" s="104" t="s">
        <v>333</v>
      </c>
      <c r="F109" s="104" t="s">
        <v>386</v>
      </c>
      <c r="G109" s="16">
        <v>22</v>
      </c>
      <c r="H109" s="16" t="s">
        <v>90</v>
      </c>
      <c r="I109" s="18">
        <v>45464</v>
      </c>
      <c r="J109" s="22">
        <v>35000</v>
      </c>
      <c r="K109" s="16" t="s">
        <v>229</v>
      </c>
      <c r="L109" s="16" t="s">
        <v>101</v>
      </c>
      <c r="M109" s="102" t="s">
        <v>93</v>
      </c>
      <c r="N109" s="103" t="s">
        <v>33</v>
      </c>
      <c r="O109" s="89">
        <v>35945</v>
      </c>
      <c r="P109" s="104" t="s">
        <v>108</v>
      </c>
      <c r="Q109" s="89" t="s">
        <v>388</v>
      </c>
      <c r="R109" s="104">
        <v>3183078085</v>
      </c>
      <c r="S109" s="104" t="s">
        <v>387</v>
      </c>
      <c r="T109" s="64" t="str">
        <f>IF(N109=CURSOS!$D$3,"DIPLOMADO EN ATENCION PRE-HOSPITALARIA",IF(N109=CURSOS!$D$4,"ACOMPAÑAMIENTO Y MANEJO DEL DUELO",IF(N109=CURSOS!$D$5,"ATENCION A VICTIMAS DE ATAQUE CON AGENTES QUIMICOS ",IF(N109=CURSOS!$D$6,"PRIMEROS AUXILIOS ",IF(N109=CURSOS!$D$7,"DIPLOMADO DE UNIDAD DE CUIDADOS INTENSIVOS (UCI)",IF(N109=CURSOS!$D$8,"MODELO DE ATENCION PARA EVENTOS EMERGENTES EN SALUD MENTAL (CODIGO VERDE)",IF(N109=CURSOS!$D$9,"HUMANIZACION EN SALUD, BUENAS PRACTICAS EN PACIENTE ",IF(N109=CURSOS!$D$10,"CLINICA DE HERIDAS ",IF(N109=CURSOS!$D$11,"TOMA DE CITOLOGIA A CERVICO VAGINAL ",IF(N109=CURSOS!$D$12,"SOPORTE CARDIOVASCULAR AVANZADO ",IF(N109=CURSOS!$D$13,"CAMILLERO ",IF(N109=CURSOS!$D$14,"TOMA MUESTRAS Y LABORATORIO ",IF(N109=CURSOS!$D$15,"SOPORTE VITAL BASICO (BLS)",IF(N109=CURSOS!$D$16,"ATENCION A VICTIMAS DE VIOLENCIA SEXUAL ",IF(N109=CURSOS!$D$17,"PROGRAMADO AMPLIADO DE INMUNIZACION (PAI - COVID 19)",IF(N109=CURSOS!$D$18,"ATENCION INTEGRAL EN ENFERMEDADES PREVALENTES EN PRIMERA INFANCIA (AIEPI)",IF(N109=CURSOS!$D$19,"ADMINISTRACION DE MEDICAMENTOS, IYECTOLOGIA  Y CANALIZACION ",IF(N109=CURSOS!$D$20,"OPERADOR DE VEHICULOS DE EMERGENCIA (OVE)",IF(N109=CURSOS!$D$21,"INSTITUCIONES AMIGAS DE LA MUJER Y LA INFANCIA (IAMI)",IF(N109=CURSOS!$D$22,"CUIDADO DEL DONANTE DE ORGANOS",IF(N109=CURSOS!$D$23,"ATENCION A VICTIMAS POR VIOLENCIA DE GENERO",IF(N109=CURSOS!$D$24,"IGUALDAD DE GENERO EN LA SALUD",IF(N109=CURSOS!$D$25,"BRIGADA DE EMERGENCIA",IF(N109=CURSOS!$D$26,"MANEJO DEL DOLOR Y CUIDADOS PALIATIVOS",IF(N109=CURSOS!$D$27,"TOMA MUESTRAS Y LABORATORIO POCT",IF(N109=CURSOS!$D$28,"IMPLANTE SUBDERMICO Y DISPOSITIVO INTRAUTERINO",IF(N109=CURSOS!$D$29,"SALUD MENTAL",IF(N109=CURSOS!$D$30,"PRIMEROS AUXILIOS PSICOLOGICOS",IF(N109=CURSOS!$D$31,"ATENCION A VICTIMAS POR CONFLICTO ARMADO",IF(N109=CURSOS!$D$32,"MANIPULACION DE ALIMENTOS Y BPM",IF(N109=CURSOS!$D$33,"ATENCION A PERSONAS CON DISCAPACIDAD",IF(N109=CURSOS!$D$34,"CUIDADO INTEGRAL DEL PACIENTE ADULTO"))))))))))))))))))))))))))))))))</f>
        <v xml:space="preserve">HUMANIZACION EN SALUD, BUENAS PRACTICAS EN PACIENTE </v>
      </c>
      <c r="U109" s="64" t="str">
        <f t="shared" si="6"/>
        <v>Yolanda Marisol Urbano Ipiales</v>
      </c>
      <c r="V109" s="64" t="str">
        <f t="shared" si="7"/>
        <v>Yolanda Marisol Urbano Ipiales</v>
      </c>
      <c r="W109" s="64" t="str">
        <f t="shared" si="8"/>
        <v>Yolanda Marisol Urbano Ipiales-1086500343-HUMANIZACION</v>
      </c>
    </row>
    <row r="110" spans="1:23" s="21" customFormat="1" x14ac:dyDescent="0.2">
      <c r="A110" s="94">
        <v>109</v>
      </c>
      <c r="B110" s="62">
        <v>59830644</v>
      </c>
      <c r="C110" s="104" t="s">
        <v>122</v>
      </c>
      <c r="D110" s="104" t="s">
        <v>190</v>
      </c>
      <c r="E110" s="104" t="s">
        <v>389</v>
      </c>
      <c r="F110" s="104" t="s">
        <v>234</v>
      </c>
      <c r="G110" s="16">
        <v>21</v>
      </c>
      <c r="H110" s="16" t="s">
        <v>90</v>
      </c>
      <c r="I110" s="18">
        <v>45464</v>
      </c>
      <c r="J110" s="22">
        <v>30000</v>
      </c>
      <c r="K110" s="16" t="s">
        <v>91</v>
      </c>
      <c r="L110" s="16" t="s">
        <v>101</v>
      </c>
      <c r="M110" s="102" t="s">
        <v>93</v>
      </c>
      <c r="N110" s="103" t="s">
        <v>46</v>
      </c>
      <c r="O110" s="89">
        <v>27607</v>
      </c>
      <c r="P110" s="104" t="s">
        <v>108</v>
      </c>
      <c r="Q110" s="19" t="s">
        <v>391</v>
      </c>
      <c r="R110" s="104">
        <v>3174295532</v>
      </c>
      <c r="S110" s="104" t="s">
        <v>390</v>
      </c>
      <c r="T110" s="64" t="str">
        <f>IF(N110=CURSOS!$D$3,"DIPLOMADO EN ATENCION PRE-HOSPITALARIA",IF(N110=CURSOS!$D$4,"ACOMPAÑAMIENTO Y MANEJO DEL DUELO",IF(N110=CURSOS!$D$5,"ATENCION A VICTIMAS DE ATAQUE CON AGENTES QUIMICOS ",IF(N110=CURSOS!$D$6,"PRIMEROS AUXILIOS ",IF(N110=CURSOS!$D$7,"DIPLOMADO DE UNIDAD DE CUIDADOS INTENSIVOS (UCI)",IF(N110=CURSOS!$D$8,"MODELO DE ATENCION PARA EVENTOS EMERGENTES EN SALUD MENTAL (CODIGO VERDE)",IF(N110=CURSOS!$D$9,"HUMANIZACION EN SALUD, BUENAS PRACTICAS EN PACIENTE ",IF(N110=CURSOS!$D$10,"CLINICA DE HERIDAS ",IF(N110=CURSOS!$D$11,"TOMA DE CITOLOGIA A CERVICO VAGINAL ",IF(N110=CURSOS!$D$12,"SOPORTE CARDIOVASCULAR AVANZADO ",IF(N110=CURSOS!$D$13,"CAMILLERO ",IF(N110=CURSOS!$D$14,"TOMA MUESTRAS Y LABORATORIO ",IF(N110=CURSOS!$D$15,"SOPORTE VITAL BASICO (BLS)",IF(N110=CURSOS!$D$16,"ATENCION A VICTIMAS DE VIOLENCIA SEXUAL ",IF(N110=CURSOS!$D$17,"PROGRAMADO AMPLIADO DE INMUNIZACION (PAI - COVID 19)",IF(N110=CURSOS!$D$18,"ATENCION INTEGRAL EN ENFERMEDADES PREVALENTES EN PRIMERA INFANCIA (AIEPI)",IF(N110=CURSOS!$D$19,"ADMINISTRACION DE MEDICAMENTOS, IYECTOLOGIA  Y CANALIZACION ",IF(N110=CURSOS!$D$20,"OPERADOR DE VEHICULOS DE EMERGENCIA (OVE)",IF(N110=CURSOS!$D$21,"INSTITUCIONES AMIGAS DE LA MUJER Y LA INFANCIA (IAMI)",IF(N110=CURSOS!$D$22,"CUIDADO DEL DONANTE DE ORGANOS",IF(N110=CURSOS!$D$23,"ATENCION A VICTIMAS POR VIOLENCIA DE GENERO",IF(N110=CURSOS!$D$24,"IGUALDAD DE GENERO EN LA SALUD",IF(N110=CURSOS!$D$25,"BRIGADA DE EMERGENCIA",IF(N110=CURSOS!$D$26,"MANEJO DEL DOLOR Y CUIDADOS PALIATIVOS",IF(N110=CURSOS!$D$27,"TOMA MUESTRAS Y LABORATORIO POCT",IF(N110=CURSOS!$D$28,"IMPLANTE SUBDERMICO Y DISPOSITIVO INTRAUTERINO",IF(N110=CURSOS!$D$29,"SALUD MENTAL",IF(N110=CURSOS!$D$30,"PRIMEROS AUXILIOS PSICOLOGICOS",IF(N110=CURSOS!$D$31,"ATENCION A VICTIMAS POR CONFLICTO ARMADO",IF(N110=CURSOS!$D$32,"MANIPULACION DE ALIMENTOS Y BPM",IF(N110=CURSOS!$D$33,"ATENCION A PERSONAS CON DISCAPACIDAD",IF(N110=CURSOS!$D$34,"CUIDADO INTEGRAL DEL PACIENTE ADULTO"))))))))))))))))))))))))))))))))</f>
        <v xml:space="preserve">ATENCION A VICTIMAS DE VIOLENCIA SEXUAL </v>
      </c>
      <c r="U110" s="64" t="str">
        <f t="shared" si="6"/>
        <v>Ruth Yamile Guerrero Martinez</v>
      </c>
      <c r="V110" s="64" t="str">
        <f t="shared" si="7"/>
        <v>Ruth Yamile Guerrero Martinez</v>
      </c>
      <c r="W110" s="64" t="str">
        <f t="shared" si="8"/>
        <v>Ruth Yamile Guerrero Martinez-59830644-VIOLENCIA SEXUAL</v>
      </c>
    </row>
    <row r="111" spans="1:23" s="21" customFormat="1" x14ac:dyDescent="0.2">
      <c r="A111" s="94">
        <v>110</v>
      </c>
      <c r="B111" s="62">
        <v>59830644</v>
      </c>
      <c r="C111" s="104" t="s">
        <v>122</v>
      </c>
      <c r="D111" s="104" t="s">
        <v>190</v>
      </c>
      <c r="E111" s="104" t="s">
        <v>389</v>
      </c>
      <c r="F111" s="104" t="s">
        <v>234</v>
      </c>
      <c r="G111" s="16">
        <v>21</v>
      </c>
      <c r="H111" s="16" t="s">
        <v>90</v>
      </c>
      <c r="I111" s="18">
        <v>45464</v>
      </c>
      <c r="J111" s="22">
        <v>30000</v>
      </c>
      <c r="K111" s="16" t="s">
        <v>91</v>
      </c>
      <c r="L111" s="16" t="s">
        <v>101</v>
      </c>
      <c r="M111" s="16" t="s">
        <v>93</v>
      </c>
      <c r="N111" s="17" t="s">
        <v>25</v>
      </c>
      <c r="O111" s="89">
        <v>27607</v>
      </c>
      <c r="P111" s="104" t="s">
        <v>108</v>
      </c>
      <c r="Q111" s="19" t="s">
        <v>391</v>
      </c>
      <c r="R111" s="104">
        <v>3174295532</v>
      </c>
      <c r="S111" s="104" t="s">
        <v>390</v>
      </c>
      <c r="T111" s="64" t="str">
        <f>IF(N111=CURSOS!$D$3,"DIPLOMADO EN ATENCION PRE-HOSPITALARIA",IF(N111=CURSOS!$D$4,"ACOMPAÑAMIENTO Y MANEJO DEL DUELO",IF(N111=CURSOS!$D$5,"ATENCION A VICTIMAS DE ATAQUE CON AGENTES QUIMICOS ",IF(N111=CURSOS!$D$6,"PRIMEROS AUXILIOS ",IF(N111=CURSOS!$D$7,"DIPLOMADO DE UNIDAD DE CUIDADOS INTENSIVOS (UCI)",IF(N111=CURSOS!$D$8,"MODELO DE ATENCION PARA EVENTOS EMERGENTES EN SALUD MENTAL (CODIGO VERDE)",IF(N111=CURSOS!$D$9,"HUMANIZACION EN SALUD, BUENAS PRACTICAS EN PACIENTE ",IF(N111=CURSOS!$D$10,"CLINICA DE HERIDAS ",IF(N111=CURSOS!$D$11,"TOMA DE CITOLOGIA A CERVICO VAGINAL ",IF(N111=CURSOS!$D$12,"SOPORTE CARDIOVASCULAR AVANZADO ",IF(N111=CURSOS!$D$13,"CAMILLERO ",IF(N111=CURSOS!$D$14,"TOMA MUESTRAS Y LABORATORIO ",IF(N111=CURSOS!$D$15,"SOPORTE VITAL BASICO (BLS)",IF(N111=CURSOS!$D$16,"ATENCION A VICTIMAS DE VIOLENCIA SEXUAL ",IF(N111=CURSOS!$D$17,"PROGRAMADO AMPLIADO DE INMUNIZACION (PAI - COVID 19)",IF(N111=CURSOS!$D$18,"ATENCION INTEGRAL EN ENFERMEDADES PREVALENTES EN PRIMERA INFANCIA (AIEPI)",IF(N111=CURSOS!$D$19,"ADMINISTRACION DE MEDICAMENTOS, IYECTOLOGIA  Y CANALIZACION ",IF(N111=CURSOS!$D$20,"OPERADOR DE VEHICULOS DE EMERGENCIA (OVE)",IF(N111=CURSOS!$D$21,"INSTITUCIONES AMIGAS DE LA MUJER Y LA INFANCIA (IAMI)",IF(N111=CURSOS!$D$22,"CUIDADO DEL DONANTE DE ORGANOS",IF(N111=CURSOS!$D$23,"ATENCION A VICTIMAS POR VIOLENCIA DE GENERO",IF(N111=CURSOS!$D$24,"IGUALDAD DE GENERO EN LA SALUD",IF(N111=CURSOS!$D$25,"BRIGADA DE EMERGENCIA",IF(N111=CURSOS!$D$26,"MANEJO DEL DOLOR Y CUIDADOS PALIATIVOS",IF(N111=CURSOS!$D$27,"TOMA MUESTRAS Y LABORATORIO POCT",IF(N111=CURSOS!$D$28,"IMPLANTE SUBDERMICO Y DISPOSITIVO INTRAUTERINO",IF(N111=CURSOS!$D$29,"SALUD MENTAL",IF(N111=CURSOS!$D$30,"PRIMEROS AUXILIOS PSICOLOGICOS",IF(N111=CURSOS!$D$31,"ATENCION A VICTIMAS POR CONFLICTO ARMADO",IF(N111=CURSOS!$D$32,"MANIPULACION DE ALIMENTOS Y BPM",IF(N111=CURSOS!$D$33,"ATENCION A PERSONAS CON DISCAPACIDAD",IF(N111=CURSOS!$D$34,"CUIDADO INTEGRAL DEL PACIENTE ADULTO"))))))))))))))))))))))))))))))))</f>
        <v xml:space="preserve">ATENCION A VICTIMAS DE ATAQUE CON AGENTES QUIMICOS </v>
      </c>
      <c r="U111" s="64" t="str">
        <f t="shared" si="6"/>
        <v>Ruth Yamile Guerrero Martinez</v>
      </c>
      <c r="V111" s="64" t="str">
        <f t="shared" si="7"/>
        <v>Ruth Yamile Guerrero Martinez</v>
      </c>
      <c r="W111" s="64" t="str">
        <f t="shared" si="8"/>
        <v>Ruth Yamile Guerrero Martinez-59830644-QUIMICOS</v>
      </c>
    </row>
    <row r="112" spans="1:23" s="21" customFormat="1" x14ac:dyDescent="0.2">
      <c r="A112" s="94">
        <v>111</v>
      </c>
      <c r="B112" s="62">
        <v>59830644</v>
      </c>
      <c r="C112" s="104" t="s">
        <v>122</v>
      </c>
      <c r="D112" s="104" t="s">
        <v>190</v>
      </c>
      <c r="E112" s="104" t="s">
        <v>389</v>
      </c>
      <c r="F112" s="104" t="s">
        <v>234</v>
      </c>
      <c r="G112" s="16">
        <v>21</v>
      </c>
      <c r="H112" s="16" t="s">
        <v>90</v>
      </c>
      <c r="I112" s="18">
        <v>45464</v>
      </c>
      <c r="J112" s="22">
        <v>30000</v>
      </c>
      <c r="K112" s="16" t="s">
        <v>91</v>
      </c>
      <c r="L112" s="16" t="s">
        <v>101</v>
      </c>
      <c r="M112" s="102" t="s">
        <v>93</v>
      </c>
      <c r="N112" s="103" t="s">
        <v>73</v>
      </c>
      <c r="O112" s="89">
        <v>27607</v>
      </c>
      <c r="P112" s="104" t="s">
        <v>108</v>
      </c>
      <c r="Q112" s="19" t="s">
        <v>391</v>
      </c>
      <c r="R112" s="104">
        <v>3174295532</v>
      </c>
      <c r="S112" s="104" t="s">
        <v>390</v>
      </c>
      <c r="T112" s="64" t="str">
        <f>IF(N112=CURSOS!$D$3,"DIPLOMADO EN ATENCION PRE-HOSPITALARIA",IF(N112=CURSOS!$D$4,"ACOMPAÑAMIENTO Y MANEJO DEL DUELO",IF(N112=CURSOS!$D$5,"ATENCION A VICTIMAS DE ATAQUE CON AGENTES QUIMICOS ",IF(N112=CURSOS!$D$6,"PRIMEROS AUXILIOS ",IF(N112=CURSOS!$D$7,"DIPLOMADO DE UNIDAD DE CUIDADOS INTENSIVOS (UCI)",IF(N112=CURSOS!$D$8,"MODELO DE ATENCION PARA EVENTOS EMERGENTES EN SALUD MENTAL (CODIGO VERDE)",IF(N112=CURSOS!$D$9,"HUMANIZACION EN SALUD, BUENAS PRACTICAS EN PACIENTE ",IF(N112=CURSOS!$D$10,"CLINICA DE HERIDAS ",IF(N112=CURSOS!$D$11,"TOMA DE CITOLOGIA A CERVICO VAGINAL ",IF(N112=CURSOS!$D$12,"SOPORTE CARDIOVASCULAR AVANZADO ",IF(N112=CURSOS!$D$13,"CAMILLERO ",IF(N112=CURSOS!$D$14,"TOMA MUESTRAS Y LABORATORIO ",IF(N112=CURSOS!$D$15,"SOPORTE VITAL BASICO (BLS)",IF(N112=CURSOS!$D$16,"ATENCION A VICTIMAS DE VIOLENCIA SEXUAL ",IF(N112=CURSOS!$D$17,"PROGRAMADO AMPLIADO DE INMUNIZACION (PAI - COVID 19)",IF(N112=CURSOS!$D$18,"ATENCION INTEGRAL EN ENFERMEDADES PREVALENTES EN PRIMERA INFANCIA (AIEPI)",IF(N112=CURSOS!$D$19,"ADMINISTRACION DE MEDICAMENTOS, IYECTOLOGIA  Y CANALIZACION ",IF(N112=CURSOS!$D$20,"OPERADOR DE VEHICULOS DE EMERGENCIA (OVE)",IF(N112=CURSOS!$D$21,"INSTITUCIONES AMIGAS DE LA MUJER Y LA INFANCIA (IAMI)",IF(N112=CURSOS!$D$22,"CUIDADO DEL DONANTE DE ORGANOS",IF(N112=CURSOS!$D$23,"ATENCION A VICTIMAS POR VIOLENCIA DE GENERO",IF(N112=CURSOS!$D$24,"IGUALDAD DE GENERO EN LA SALUD",IF(N112=CURSOS!$D$25,"BRIGADA DE EMERGENCIA",IF(N112=CURSOS!$D$26,"MANEJO DEL DOLOR Y CUIDADOS PALIATIVOS",IF(N112=CURSOS!$D$27,"TOMA MUESTRAS Y LABORATORIO POCT",IF(N112=CURSOS!$D$28,"IMPLANTE SUBDERMICO Y DISPOSITIVO INTRAUTERINO",IF(N112=CURSOS!$D$29,"SALUD MENTAL",IF(N112=CURSOS!$D$30,"PRIMEROS AUXILIOS PSICOLOGICOS",IF(N112=CURSOS!$D$31,"ATENCION A VICTIMAS POR CONFLICTO ARMADO",IF(N112=CURSOS!$D$32,"MANIPULACION DE ALIMENTOS Y BPM",IF(N112=CURSOS!$D$33,"ATENCION A PERSONAS CON DISCAPACIDAD",IF(N112=CURSOS!$D$34,"CUIDADO INTEGRAL DEL PACIENTE ADULTO"))))))))))))))))))))))))))))))))</f>
        <v>ATENCION A VICTIMAS POR CONFLICTO ARMADO</v>
      </c>
      <c r="U112" s="64" t="str">
        <f t="shared" si="6"/>
        <v>Ruth Yamile Guerrero Martinez</v>
      </c>
      <c r="V112" s="64" t="str">
        <f t="shared" si="7"/>
        <v>Ruth Yamile Guerrero Martinez</v>
      </c>
      <c r="W112" s="64" t="str">
        <f t="shared" si="8"/>
        <v>Ruth Yamile Guerrero Martinez-59830644-CONFLICTO ARMADO</v>
      </c>
    </row>
    <row r="113" spans="1:23" s="142" customFormat="1" ht="15.75" x14ac:dyDescent="0.25">
      <c r="A113" s="135">
        <v>112</v>
      </c>
      <c r="B113" s="136">
        <v>1233192638</v>
      </c>
      <c r="C113" s="137" t="s">
        <v>392</v>
      </c>
      <c r="D113" s="137" t="s">
        <v>393</v>
      </c>
      <c r="E113" s="137" t="s">
        <v>276</v>
      </c>
      <c r="F113" s="137" t="s">
        <v>394</v>
      </c>
      <c r="G113" s="138">
        <v>21</v>
      </c>
      <c r="H113" s="107" t="s">
        <v>90</v>
      </c>
      <c r="I113" s="106">
        <v>45464</v>
      </c>
      <c r="J113" s="87">
        <v>80000</v>
      </c>
      <c r="K113" s="107" t="s">
        <v>229</v>
      </c>
      <c r="L113" s="107" t="s">
        <v>101</v>
      </c>
      <c r="M113" s="139" t="s">
        <v>93</v>
      </c>
      <c r="N113" s="140" t="s">
        <v>25</v>
      </c>
      <c r="O113" s="141">
        <v>36148</v>
      </c>
      <c r="P113" s="137" t="s">
        <v>94</v>
      </c>
      <c r="Q113" s="142" t="s">
        <v>117</v>
      </c>
      <c r="R113" s="137">
        <v>3233701851</v>
      </c>
      <c r="S113" s="137" t="s">
        <v>396</v>
      </c>
      <c r="T113" s="142" t="str">
        <f>IF(N113=CURSOS!$D$3,"DIPLOMADO EN ATENCION PRE-HOSPITALARIA",IF(N113=CURSOS!$D$4,"ACOMPAÑAMIENTO Y MANEJO DEL DUELO",IF(N113=CURSOS!$D$5,"ATENCION A VICTIMAS DE ATAQUE CON AGENTES QUIMICOS ",IF(N113=CURSOS!$D$6,"PRIMEROS AUXILIOS ",IF(N113=CURSOS!$D$7,"DIPLOMADO DE UNIDAD DE CUIDADOS INTENSIVOS (UCI)",IF(N113=CURSOS!$D$8,"MODELO DE ATENCION PARA EVENTOS EMERGENTES EN SALUD MENTAL (CODIGO VERDE)",IF(N113=CURSOS!$D$9,"HUMANIZACION EN SALUD, BUENAS PRACTICAS EN PACIENTE ",IF(N113=CURSOS!$D$10,"CLINICA DE HERIDAS ",IF(N113=CURSOS!$D$11,"TOMA DE CITOLOGIA A CERVICO VAGINAL ",IF(N113=CURSOS!$D$12,"SOPORTE CARDIOVASCULAR AVANZADO ",IF(N113=CURSOS!$D$13,"CAMILLERO ",IF(N113=CURSOS!$D$14,"TOMA MUESTRAS Y LABORATORIO ",IF(N113=CURSOS!$D$15,"SOPORTE VITAL BASICO (BLS)",IF(N113=CURSOS!$D$16,"ATENCION A VICTIMAS DE VIOLENCIA SEXUAL ",IF(N113=CURSOS!$D$17,"PROGRAMADO AMPLIADO DE INMUNIZACION (PAI - COVID 19)",IF(N113=CURSOS!$D$18,"ATENCION INTEGRAL EN ENFERMEDADES PREVALENTES EN PRIMERA INFANCIA (AIEPI)",IF(N113=CURSOS!$D$19,"ADMINISTRACION DE MEDICAMENTOS, IYECTOLOGIA  Y CANALIZACION ",IF(N113=CURSOS!$D$20,"OPERADOR DE VEHICULOS DE EMERGENCIA (OVE)",IF(N113=CURSOS!$D$21,"INSTITUCIONES AMIGAS DE LA MUJER Y LA INFANCIA (IAMI)",IF(N113=CURSOS!$D$22,"CUIDADO DEL DONANTE DE ORGANOS",IF(N113=CURSOS!$D$23,"ATENCION A VICTIMAS POR VIOLENCIA DE GENERO",IF(N113=CURSOS!$D$24,"IGUALDAD DE GENERO EN LA SALUD",IF(N113=CURSOS!$D$25,"BRIGADA DE EMERGENCIA",IF(N113=CURSOS!$D$26,"MANEJO DEL DOLOR Y CUIDADOS PALIATIVOS",IF(N113=CURSOS!$D$27,"TOMA MUESTRAS Y LABORATORIO POCT",IF(N113=CURSOS!$D$28,"IMPLANTE SUBDERMICO Y DISPOSITIVO INTRAUTERINO",IF(N113=CURSOS!$D$29,"SALUD MENTAL",IF(N113=CURSOS!$D$30,"PRIMEROS AUXILIOS PSICOLOGICOS",IF(N113=CURSOS!$D$31,"ATENCION A VICTIMAS POR CONFLICTO ARMADO",IF(N113=CURSOS!$D$32,"MANIPULACION DE ALIMENTOS Y BPM",IF(N113=CURSOS!$D$33,"ATENCION A PERSONAS CON DISCAPACIDAD",IF(N113=CURSOS!$D$34,"CUIDADO INTEGRAL DEL PACIENTE ADULTO"))))))))))))))))))))))))))))))))</f>
        <v xml:space="preserve">ATENCION A VICTIMAS DE ATAQUE CON AGENTES QUIMICOS </v>
      </c>
      <c r="U113" s="142" t="str">
        <f t="shared" si="6"/>
        <v>Daniel Santiago Cifuentes Paz</v>
      </c>
      <c r="V113" s="142" t="str">
        <f t="shared" si="7"/>
        <v>Daniel Santiago Cifuentes Paz</v>
      </c>
      <c r="W113" s="142" t="str">
        <f t="shared" si="8"/>
        <v>Daniel Santiago Cifuentes Paz-1233192638-QUIMICOS</v>
      </c>
    </row>
    <row r="114" spans="1:23" s="105" customFormat="1" x14ac:dyDescent="0.2">
      <c r="A114" s="94">
        <v>113</v>
      </c>
      <c r="B114" s="109">
        <v>87455931</v>
      </c>
      <c r="C114" s="104" t="s">
        <v>170</v>
      </c>
      <c r="D114" s="104" t="s">
        <v>397</v>
      </c>
      <c r="E114" s="104" t="s">
        <v>398</v>
      </c>
      <c r="F114" s="104" t="s">
        <v>89</v>
      </c>
      <c r="G114" s="16">
        <v>24</v>
      </c>
      <c r="H114" s="16" t="s">
        <v>90</v>
      </c>
      <c r="I114" s="18">
        <v>45467</v>
      </c>
      <c r="J114" s="22">
        <v>130000</v>
      </c>
      <c r="K114" s="16" t="s">
        <v>91</v>
      </c>
      <c r="L114" s="16" t="s">
        <v>92</v>
      </c>
      <c r="M114" s="102" t="s">
        <v>93</v>
      </c>
      <c r="N114" s="103" t="s">
        <v>39</v>
      </c>
      <c r="O114" s="89">
        <v>30763</v>
      </c>
      <c r="P114" s="104" t="s">
        <v>94</v>
      </c>
      <c r="Q114" s="19" t="s">
        <v>111</v>
      </c>
      <c r="R114" s="104">
        <v>3148934653</v>
      </c>
      <c r="S114" s="104" t="s">
        <v>399</v>
      </c>
      <c r="T114" s="64" t="str">
        <f>IF(N114=CURSOS!$D$3,"DIPLOMADO EN ATENCION PRE-HOSPITALARIA",IF(N114=CURSOS!$D$4,"ACOMPAÑAMIENTO Y MANEJO DEL DUELO",IF(N114=CURSOS!$D$5,"ATENCION A VICTIMAS DE ATAQUE CON AGENTES QUIMICOS ",IF(N114=CURSOS!$D$6,"PRIMEROS AUXILIOS ",IF(N114=CURSOS!$D$7,"DIPLOMADO DE UNIDAD DE CUIDADOS INTENSIVOS (UCI)",IF(N114=CURSOS!$D$8,"MODELO DE ATENCION PARA EVENTOS EMERGENTES EN SALUD MENTAL (CODIGO VERDE)",IF(N114=CURSOS!$D$9,"HUMANIZACION EN SALUD, BUENAS PRACTICAS EN PACIENTE ",IF(N114=CURSOS!$D$10,"CLINICA DE HERIDAS ",IF(N114=CURSOS!$D$11,"TOMA DE CITOLOGIA A CERVICO VAGINAL ",IF(N114=CURSOS!$D$12,"SOPORTE CARDIOVASCULAR AVANZADO ",IF(N114=CURSOS!$D$13,"CAMILLERO ",IF(N114=CURSOS!$D$14,"TOMA MUESTRAS Y LABORATORIO ",IF(N114=CURSOS!$D$15,"SOPORTE VITAL BASICO (BLS)",IF(N114=CURSOS!$D$16,"ATENCION A VICTIMAS DE VIOLENCIA SEXUAL ",IF(N114=CURSOS!$D$17,"PROGRAMADO AMPLIADO DE INMUNIZACION (PAI - COVID 19)",IF(N114=CURSOS!$D$18,"ATENCION INTEGRAL EN ENFERMEDADES PREVALENTES EN PRIMERA INFANCIA (AIEPI)",IF(N114=CURSOS!$D$19,"ADMINISTRACION DE MEDICAMENTOS, IYECTOLOGIA  Y CANALIZACION ",IF(N114=CURSOS!$D$20,"OPERADOR DE VEHICULOS DE EMERGENCIA (OVE)",IF(N114=CURSOS!$D$21,"INSTITUCIONES AMIGAS DE LA MUJER Y LA INFANCIA (IAMI)",IF(N114=CURSOS!$D$22,"CUIDADO DEL DONANTE DE ORGANOS",IF(N114=CURSOS!$D$23,"ATENCION A VICTIMAS POR VIOLENCIA DE GENERO",IF(N114=CURSOS!$D$24,"IGUALDAD DE GENERO EN LA SALUD",IF(N114=CURSOS!$D$25,"BRIGADA DE EMERGENCIA",IF(N114=CURSOS!$D$26,"MANEJO DEL DOLOR Y CUIDADOS PALIATIVOS",IF(N114=CURSOS!$D$27,"TOMA MUESTRAS Y LABORATORIO POCT",IF(N114=CURSOS!$D$28,"IMPLANTE SUBDERMICO Y DISPOSITIVO INTRAUTERINO",IF(N114=CURSOS!$D$29,"SALUD MENTAL",IF(N114=CURSOS!$D$30,"PRIMEROS AUXILIOS PSICOLOGICOS",IF(N114=CURSOS!$D$31,"ATENCION A VICTIMAS POR CONFLICTO ARMADO",IF(N114=CURSOS!$D$32,"MANIPULACION DE ALIMENTOS Y BPM",IF(N114=CURSOS!$D$33,"ATENCION A PERSONAS CON DISCAPACIDAD",IF(N114=CURSOS!$D$34,"CUIDADO INTEGRAL DEL PACIENTE ADULTO"))))))))))))))))))))))))))))))))</f>
        <v xml:space="preserve">SOPORTE CARDIOVASCULAR AVANZADO </v>
      </c>
      <c r="U114" s="64" t="str">
        <f t="shared" si="6"/>
        <v>Bairon Alexander Delgado Ceron</v>
      </c>
      <c r="V114" s="64" t="str">
        <f t="shared" si="7"/>
        <v>Bairon Alexander Delgado Ceron</v>
      </c>
      <c r="W114" s="64" t="str">
        <f t="shared" si="8"/>
        <v>Bairon Alexander Delgado Ceron-87455931-ACLS</v>
      </c>
    </row>
    <row r="115" spans="1:23" s="105" customFormat="1" x14ac:dyDescent="0.2">
      <c r="A115" s="94">
        <v>114</v>
      </c>
      <c r="B115" s="109">
        <v>1085264248</v>
      </c>
      <c r="C115" s="104" t="s">
        <v>323</v>
      </c>
      <c r="D115" s="104" t="s">
        <v>324</v>
      </c>
      <c r="E115" s="104" t="s">
        <v>325</v>
      </c>
      <c r="F115" s="104" t="s">
        <v>326</v>
      </c>
      <c r="G115" s="16">
        <v>24</v>
      </c>
      <c r="H115" s="16" t="s">
        <v>90</v>
      </c>
      <c r="I115" s="18">
        <v>45467</v>
      </c>
      <c r="J115" s="22">
        <v>30000</v>
      </c>
      <c r="K115" s="22" t="s">
        <v>91</v>
      </c>
      <c r="L115" s="16" t="s">
        <v>101</v>
      </c>
      <c r="M115" s="102" t="s">
        <v>119</v>
      </c>
      <c r="N115" s="103" t="s">
        <v>46</v>
      </c>
      <c r="O115" s="89">
        <v>32233</v>
      </c>
      <c r="P115" s="104" t="s">
        <v>94</v>
      </c>
      <c r="Q115" s="19" t="s">
        <v>111</v>
      </c>
      <c r="R115" s="104">
        <v>3023881719</v>
      </c>
      <c r="S115" s="104" t="s">
        <v>327</v>
      </c>
      <c r="T115" s="64" t="str">
        <f>IF(N115=CURSOS!$D$3,"DIPLOMADO EN ATENCION PRE-HOSPITALARIA",IF(N115=CURSOS!$D$4,"ACOMPAÑAMIENTO Y MANEJO DEL DUELO",IF(N115=CURSOS!$D$5,"ATENCION A VICTIMAS DE ATAQUE CON AGENTES QUIMICOS ",IF(N115=CURSOS!$D$6,"PRIMEROS AUXILIOS ",IF(N115=CURSOS!$D$7,"DIPLOMADO DE UNIDAD DE CUIDADOS INTENSIVOS (UCI)",IF(N115=CURSOS!$D$8,"MODELO DE ATENCION PARA EVENTOS EMERGENTES EN SALUD MENTAL (CODIGO VERDE)",IF(N115=CURSOS!$D$9,"HUMANIZACION EN SALUD, BUENAS PRACTICAS EN PACIENTE ",IF(N115=CURSOS!$D$10,"CLINICA DE HERIDAS ",IF(N115=CURSOS!$D$11,"TOMA DE CITOLOGIA A CERVICO VAGINAL ",IF(N115=CURSOS!$D$12,"SOPORTE CARDIOVASCULAR AVANZADO ",IF(N115=CURSOS!$D$13,"CAMILLERO ",IF(N115=CURSOS!$D$14,"TOMA MUESTRAS Y LABORATORIO ",IF(N115=CURSOS!$D$15,"SOPORTE VITAL BASICO (BLS)",IF(N115=CURSOS!$D$16,"ATENCION A VICTIMAS DE VIOLENCIA SEXUAL ",IF(N115=CURSOS!$D$17,"PROGRAMADO AMPLIADO DE INMUNIZACION (PAI - COVID 19)",IF(N115=CURSOS!$D$18,"ATENCION INTEGRAL EN ENFERMEDADES PREVALENTES EN PRIMERA INFANCIA (AIEPI)",IF(N115=CURSOS!$D$19,"ADMINISTRACION DE MEDICAMENTOS, IYECTOLOGIA  Y CANALIZACION ",IF(N115=CURSOS!$D$20,"OPERADOR DE VEHICULOS DE EMERGENCIA (OVE)",IF(N115=CURSOS!$D$21,"INSTITUCIONES AMIGAS DE LA MUJER Y LA INFANCIA (IAMI)",IF(N115=CURSOS!$D$22,"CUIDADO DEL DONANTE DE ORGANOS",IF(N115=CURSOS!$D$23,"ATENCION A VICTIMAS POR VIOLENCIA DE GENERO",IF(N115=CURSOS!$D$24,"IGUALDAD DE GENERO EN LA SALUD",IF(N115=CURSOS!$D$25,"BRIGADA DE EMERGENCIA",IF(N115=CURSOS!$D$26,"MANEJO DEL DOLOR Y CUIDADOS PALIATIVOS",IF(N115=CURSOS!$D$27,"TOMA MUESTRAS Y LABORATORIO POCT",IF(N115=CURSOS!$D$28,"IMPLANTE SUBDERMICO Y DISPOSITIVO INTRAUTERINO",IF(N115=CURSOS!$D$29,"SALUD MENTAL",IF(N115=CURSOS!$D$30,"PRIMEROS AUXILIOS PSICOLOGICOS",IF(N115=CURSOS!$D$31,"ATENCION A VICTIMAS POR CONFLICTO ARMADO",IF(N115=CURSOS!$D$32,"MANIPULACION DE ALIMENTOS Y BPM",IF(N115=CURSOS!$D$33,"ATENCION A PERSONAS CON DISCAPACIDAD",IF(N115=CURSOS!$D$34,"CUIDADO INTEGRAL DEL PACIENTE ADULTO"))))))))))))))))))))))))))))))))</f>
        <v xml:space="preserve">ATENCION A VICTIMAS DE VIOLENCIA SEXUAL </v>
      </c>
      <c r="U115" s="64" t="str">
        <f t="shared" si="6"/>
        <v>Wilmar Hernan Cordoba Portilla</v>
      </c>
      <c r="V115" s="64" t="str">
        <f t="shared" si="7"/>
        <v>Wilmar Hernan Cordoba Portilla</v>
      </c>
      <c r="W115" s="64" t="str">
        <f t="shared" si="8"/>
        <v>Wilmar Hernan Cordoba Portilla-1085264248-VIOLENCIA SEXUAL</v>
      </c>
    </row>
    <row r="116" spans="1:23" s="105" customFormat="1" x14ac:dyDescent="0.2">
      <c r="A116" s="94">
        <v>115</v>
      </c>
      <c r="B116" s="109">
        <v>16790980</v>
      </c>
      <c r="C116" s="104" t="s">
        <v>226</v>
      </c>
      <c r="D116" s="104" t="s">
        <v>274</v>
      </c>
      <c r="E116" s="104" t="s">
        <v>246</v>
      </c>
      <c r="F116" s="104" t="s">
        <v>400</v>
      </c>
      <c r="G116" s="16">
        <v>25</v>
      </c>
      <c r="H116" s="16" t="s">
        <v>90</v>
      </c>
      <c r="I116" s="18">
        <v>45468</v>
      </c>
      <c r="J116" s="22">
        <v>40000</v>
      </c>
      <c r="K116" s="16" t="s">
        <v>91</v>
      </c>
      <c r="L116" s="16" t="s">
        <v>101</v>
      </c>
      <c r="M116" s="102" t="s">
        <v>93</v>
      </c>
      <c r="N116" s="103" t="s">
        <v>27</v>
      </c>
      <c r="O116" s="89">
        <v>25825</v>
      </c>
      <c r="P116" s="104" t="s">
        <v>94</v>
      </c>
      <c r="Q116" s="19" t="s">
        <v>140</v>
      </c>
      <c r="R116" s="104">
        <v>3207022559</v>
      </c>
      <c r="S116" s="104" t="s">
        <v>401</v>
      </c>
      <c r="T116" s="64" t="str">
        <f>IF(N116=CURSOS!$D$3,"DIPLOMADO EN ATENCION PRE-HOSPITALARIA",IF(N116=CURSOS!$D$4,"ACOMPAÑAMIENTO Y MANEJO DEL DUELO",IF(N116=CURSOS!$D$5,"ATENCION A VICTIMAS DE ATAQUE CON AGENTES QUIMICOS ",IF(N116=CURSOS!$D$6,"PRIMEROS AUXILIOS ",IF(N116=CURSOS!$D$7,"DIPLOMADO DE UNIDAD DE CUIDADOS INTENSIVOS (UCI)",IF(N116=CURSOS!$D$8,"MODELO DE ATENCION PARA EVENTOS EMERGENTES EN SALUD MENTAL (CODIGO VERDE)",IF(N116=CURSOS!$D$9,"HUMANIZACION EN SALUD, BUENAS PRACTICAS EN PACIENTE ",IF(N116=CURSOS!$D$10,"CLINICA DE HERIDAS ",IF(N116=CURSOS!$D$11,"TOMA DE CITOLOGIA A CERVICO VAGINAL ",IF(N116=CURSOS!$D$12,"SOPORTE CARDIOVASCULAR AVANZADO ",IF(N116=CURSOS!$D$13,"CAMILLERO ",IF(N116=CURSOS!$D$14,"TOMA MUESTRAS Y LABORATORIO ",IF(N116=CURSOS!$D$15,"SOPORTE VITAL BASICO (BLS)",IF(N116=CURSOS!$D$16,"ATENCION A VICTIMAS DE VIOLENCIA SEXUAL ",IF(N116=CURSOS!$D$17,"PROGRAMADO AMPLIADO DE INMUNIZACION (PAI - COVID 19)",IF(N116=CURSOS!$D$18,"ATENCION INTEGRAL EN ENFERMEDADES PREVALENTES EN PRIMERA INFANCIA (AIEPI)",IF(N116=CURSOS!$D$19,"ADMINISTRACION DE MEDICAMENTOS, IYECTOLOGIA  Y CANALIZACION ",IF(N116=CURSOS!$D$20,"OPERADOR DE VEHICULOS DE EMERGENCIA (OVE)",IF(N116=CURSOS!$D$21,"INSTITUCIONES AMIGAS DE LA MUJER Y LA INFANCIA (IAMI)",IF(N116=CURSOS!$D$22,"CUIDADO DEL DONANTE DE ORGANOS",IF(N116=CURSOS!$D$23,"ATENCION A VICTIMAS POR VIOLENCIA DE GENERO",IF(N116=CURSOS!$D$24,"IGUALDAD DE GENERO EN LA SALUD",IF(N116=CURSOS!$D$25,"BRIGADA DE EMERGENCIA",IF(N116=CURSOS!$D$26,"MANEJO DEL DOLOR Y CUIDADOS PALIATIVOS",IF(N116=CURSOS!$D$27,"TOMA MUESTRAS Y LABORATORIO POCT",IF(N116=CURSOS!$D$28,"IMPLANTE SUBDERMICO Y DISPOSITIVO INTRAUTERINO",IF(N116=CURSOS!$D$29,"SALUD MENTAL",IF(N116=CURSOS!$D$30,"PRIMEROS AUXILIOS PSICOLOGICOS",IF(N116=CURSOS!$D$31,"ATENCION A VICTIMAS POR CONFLICTO ARMADO",IF(N116=CURSOS!$D$32,"MANIPULACION DE ALIMENTOS Y BPM",IF(N116=CURSOS!$D$33,"ATENCION A PERSONAS CON DISCAPACIDAD",IF(N116=CURSOS!$D$34,"CUIDADO INTEGRAL DEL PACIENTE ADULTO"))))))))))))))))))))))))))))))))</f>
        <v xml:space="preserve">PRIMEROS AUXILIOS </v>
      </c>
      <c r="U116" s="64" t="str">
        <f t="shared" si="6"/>
        <v>Luis Alberto Rosero Benavides</v>
      </c>
      <c r="V116" s="64" t="str">
        <f t="shared" si="7"/>
        <v>Luis Alberto Rosero Benavides</v>
      </c>
      <c r="W116" s="64" t="str">
        <f t="shared" si="8"/>
        <v>Luis Alberto Rosero Benavides-16790980-PRIMEROS AUXILIOS</v>
      </c>
    </row>
    <row r="117" spans="1:23" s="105" customFormat="1" x14ac:dyDescent="0.2">
      <c r="A117" s="94">
        <v>116</v>
      </c>
      <c r="B117" s="62">
        <v>1088733235</v>
      </c>
      <c r="C117" s="104" t="s">
        <v>402</v>
      </c>
      <c r="D117" s="104" t="s">
        <v>373</v>
      </c>
      <c r="E117" s="104" t="s">
        <v>403</v>
      </c>
      <c r="F117" s="104" t="s">
        <v>404</v>
      </c>
      <c r="G117" s="16">
        <v>25</v>
      </c>
      <c r="H117" s="16" t="s">
        <v>90</v>
      </c>
      <c r="I117" s="18">
        <v>45468</v>
      </c>
      <c r="J117" s="22">
        <v>32000</v>
      </c>
      <c r="K117" s="16" t="s">
        <v>229</v>
      </c>
      <c r="L117" s="16" t="s">
        <v>101</v>
      </c>
      <c r="M117" s="102" t="s">
        <v>193</v>
      </c>
      <c r="N117" s="103" t="s">
        <v>19</v>
      </c>
      <c r="O117" s="89">
        <v>32905</v>
      </c>
      <c r="P117" s="104" t="s">
        <v>108</v>
      </c>
      <c r="Q117" s="19" t="s">
        <v>117</v>
      </c>
      <c r="R117" s="104">
        <v>3162829300</v>
      </c>
      <c r="S117" s="104" t="s">
        <v>405</v>
      </c>
      <c r="T117" s="64" t="str">
        <f>IF(N117=CURSOS!$D$3,"DIPLOMADO EN ATENCION PRE-HOSPITALARIA",IF(N117=CURSOS!$D$4,"ACOMPAÑAMIENTO Y MANEJO DEL DUELO",IF(N117=CURSOS!$D$5,"ATENCION A VICTIMAS DE ATAQUE CON AGENTES QUIMICOS ",IF(N117=CURSOS!$D$6,"PRIMEROS AUXILIOS ",IF(N117=CURSOS!$D$7,"DIPLOMADO DE UNIDAD DE CUIDADOS INTENSIVOS (UCI)",IF(N117=CURSOS!$D$8,"MODELO DE ATENCION PARA EVENTOS EMERGENTES EN SALUD MENTAL (CODIGO VERDE)",IF(N117=CURSOS!$D$9,"HUMANIZACION EN SALUD, BUENAS PRACTICAS EN PACIENTE ",IF(N117=CURSOS!$D$10,"CLINICA DE HERIDAS ",IF(N117=CURSOS!$D$11,"TOMA DE CITOLOGIA A CERVICO VAGINAL ",IF(N117=CURSOS!$D$12,"SOPORTE CARDIOVASCULAR AVANZADO ",IF(N117=CURSOS!$D$13,"CAMILLERO ",IF(N117=CURSOS!$D$14,"TOMA MUESTRAS Y LABORATORIO ",IF(N117=CURSOS!$D$15,"SOPORTE VITAL BASICO (BLS)",IF(N117=CURSOS!$D$16,"ATENCION A VICTIMAS DE VIOLENCIA SEXUAL ",IF(N117=CURSOS!$D$17,"PROGRAMADO AMPLIADO DE INMUNIZACION (PAI - COVID 19)",IF(N117=CURSOS!$D$18,"ATENCION INTEGRAL EN ENFERMEDADES PREVALENTES EN PRIMERA INFANCIA (AIEPI)",IF(N117=CURSOS!$D$19,"ADMINISTRACION DE MEDICAMENTOS, IYECTOLOGIA  Y CANALIZACION ",IF(N117=CURSOS!$D$20,"OPERADOR DE VEHICULOS DE EMERGENCIA (OVE)",IF(N117=CURSOS!$D$21,"INSTITUCIONES AMIGAS DE LA MUJER Y LA INFANCIA (IAMI)",IF(N117=CURSOS!$D$22,"CUIDADO DEL DONANTE DE ORGANOS",IF(N117=CURSOS!$D$23,"ATENCION A VICTIMAS POR VIOLENCIA DE GENERO",IF(N117=CURSOS!$D$24,"IGUALDAD DE GENERO EN LA SALUD",IF(N117=CURSOS!$D$25,"BRIGADA DE EMERGENCIA",IF(N117=CURSOS!$D$26,"MANEJO DEL DOLOR Y CUIDADOS PALIATIVOS",IF(N117=CURSOS!$D$27,"TOMA MUESTRAS Y LABORATORIO POCT",IF(N117=CURSOS!$D$28,"IMPLANTE SUBDERMICO Y DISPOSITIVO INTRAUTERINO",IF(N117=CURSOS!$D$29,"SALUD MENTAL",IF(N117=CURSOS!$D$30,"PRIMEROS AUXILIOS PSICOLOGICOS",IF(N117=CURSOS!$D$31,"ATENCION A VICTIMAS POR CONFLICTO ARMADO",IF(N117=CURSOS!$D$32,"MANIPULACION DE ALIMENTOS Y BPM",IF(N117=CURSOS!$D$33,"ATENCION A PERSONAS CON DISCAPACIDAD",IF(N117=CURSOS!$D$34,"CUIDADO INTEGRAL DEL PACIENTE ADULTO"))))))))))))))))))))))))))))))))</f>
        <v>SOPORTE VITAL BASICO (BLS)</v>
      </c>
      <c r="U117" s="64" t="str">
        <f t="shared" si="6"/>
        <v>Yurany Lucia Portillo Santander</v>
      </c>
      <c r="V117" s="64" t="str">
        <f t="shared" si="7"/>
        <v>Yurany Lucia Portillo Santander</v>
      </c>
      <c r="W117" s="64" t="str">
        <f t="shared" si="8"/>
        <v>Yurany Lucia Portillo Santander-1088733235-BLS</v>
      </c>
    </row>
    <row r="118" spans="1:23" s="105" customFormat="1" x14ac:dyDescent="0.2">
      <c r="A118" s="94">
        <v>117</v>
      </c>
      <c r="B118" s="104">
        <v>27168885</v>
      </c>
      <c r="C118" s="104" t="s">
        <v>233</v>
      </c>
      <c r="D118" s="104" t="s">
        <v>86</v>
      </c>
      <c r="E118" s="104" t="s">
        <v>406</v>
      </c>
      <c r="F118" s="104" t="s">
        <v>407</v>
      </c>
      <c r="G118" s="16">
        <v>26</v>
      </c>
      <c r="H118" s="16" t="s">
        <v>90</v>
      </c>
      <c r="I118" s="18">
        <v>45469</v>
      </c>
      <c r="J118" s="22">
        <v>30000</v>
      </c>
      <c r="K118" s="16" t="s">
        <v>107</v>
      </c>
      <c r="L118" s="16" t="s">
        <v>92</v>
      </c>
      <c r="M118" s="102" t="s">
        <v>93</v>
      </c>
      <c r="N118" s="103" t="s">
        <v>19</v>
      </c>
      <c r="O118" s="89">
        <v>35763</v>
      </c>
      <c r="P118" s="104" t="s">
        <v>108</v>
      </c>
      <c r="Q118" s="19" t="s">
        <v>117</v>
      </c>
      <c r="R118" s="104">
        <v>3113135249</v>
      </c>
      <c r="S118" s="104" t="s">
        <v>408</v>
      </c>
      <c r="T118" s="64" t="str">
        <f>IF(N118=CURSOS!$D$3,"DIPLOMADO EN ATENCION PRE-HOSPITALARIA",IF(N118=CURSOS!$D$4,"ACOMPAÑAMIENTO Y MANEJO DEL DUELO",IF(N118=CURSOS!$D$5,"ATENCION A VICTIMAS DE ATAQUE CON AGENTES QUIMICOS ",IF(N118=CURSOS!$D$6,"PRIMEROS AUXILIOS ",IF(N118=CURSOS!$D$7,"DIPLOMADO DE UNIDAD DE CUIDADOS INTENSIVOS (UCI)",IF(N118=CURSOS!$D$8,"MODELO DE ATENCION PARA EVENTOS EMERGENTES EN SALUD MENTAL (CODIGO VERDE)",IF(N118=CURSOS!$D$9,"HUMANIZACION EN SALUD, BUENAS PRACTICAS EN PACIENTE ",IF(N118=CURSOS!$D$10,"CLINICA DE HERIDAS ",IF(N118=CURSOS!$D$11,"TOMA DE CITOLOGIA A CERVICO VAGINAL ",IF(N118=CURSOS!$D$12,"SOPORTE CARDIOVASCULAR AVANZADO ",IF(N118=CURSOS!$D$13,"CAMILLERO ",IF(N118=CURSOS!$D$14,"TOMA MUESTRAS Y LABORATORIO ",IF(N118=CURSOS!$D$15,"SOPORTE VITAL BASICO (BLS)",IF(N118=CURSOS!$D$16,"ATENCION A VICTIMAS DE VIOLENCIA SEXUAL ",IF(N118=CURSOS!$D$17,"PROGRAMADO AMPLIADO DE INMUNIZACION (PAI - COVID 19)",IF(N118=CURSOS!$D$18,"ATENCION INTEGRAL EN ENFERMEDADES PREVALENTES EN PRIMERA INFANCIA (AIEPI)",IF(N118=CURSOS!$D$19,"ADMINISTRACION DE MEDICAMENTOS, IYECTOLOGIA  Y CANALIZACION ",IF(N118=CURSOS!$D$20,"OPERADOR DE VEHICULOS DE EMERGENCIA (OVE)",IF(N118=CURSOS!$D$21,"INSTITUCIONES AMIGAS DE LA MUJER Y LA INFANCIA (IAMI)",IF(N118=CURSOS!$D$22,"CUIDADO DEL DONANTE DE ORGANOS",IF(N118=CURSOS!$D$23,"ATENCION A VICTIMAS POR VIOLENCIA DE GENERO",IF(N118=CURSOS!$D$24,"IGUALDAD DE GENERO EN LA SALUD",IF(N118=CURSOS!$D$25,"BRIGADA DE EMERGENCIA",IF(N118=CURSOS!$D$26,"MANEJO DEL DOLOR Y CUIDADOS PALIATIVOS",IF(N118=CURSOS!$D$27,"TOMA MUESTRAS Y LABORATORIO POCT",IF(N118=CURSOS!$D$28,"IMPLANTE SUBDERMICO Y DISPOSITIVO INTRAUTERINO",IF(N118=CURSOS!$D$29,"SALUD MENTAL",IF(N118=CURSOS!$D$30,"PRIMEROS AUXILIOS PSICOLOGICOS",IF(N118=CURSOS!$D$31,"ATENCION A VICTIMAS POR CONFLICTO ARMADO",IF(N118=CURSOS!$D$32,"MANIPULACION DE ALIMENTOS Y BPM",IF(N118=CURSOS!$D$33,"ATENCION A PERSONAS CON DISCAPACIDAD",IF(N118=CURSOS!$D$34,"CUIDADO INTEGRAL DEL PACIENTE ADULTO"))))))))))))))))))))))))))))))))</f>
        <v>SOPORTE VITAL BASICO (BLS)</v>
      </c>
      <c r="U118" s="64" t="str">
        <f t="shared" si="6"/>
        <v>Aracely Del Rosario Bastidas Melo</v>
      </c>
      <c r="V118" s="64" t="str">
        <f t="shared" si="7"/>
        <v>Aracely Del Rosario Bastidas Melo</v>
      </c>
      <c r="W118" s="64" t="str">
        <f t="shared" si="8"/>
        <v>Aracely Del Rosario Bastidas Melo-27168885-BLS</v>
      </c>
    </row>
    <row r="119" spans="1:23" s="105" customFormat="1" x14ac:dyDescent="0.2">
      <c r="A119" s="94">
        <v>118</v>
      </c>
      <c r="B119" s="104">
        <v>27168885</v>
      </c>
      <c r="C119" s="104" t="s">
        <v>233</v>
      </c>
      <c r="D119" s="104" t="s">
        <v>86</v>
      </c>
      <c r="E119" s="104" t="s">
        <v>406</v>
      </c>
      <c r="F119" s="104" t="s">
        <v>407</v>
      </c>
      <c r="G119" s="16">
        <v>26</v>
      </c>
      <c r="H119" s="16" t="s">
        <v>90</v>
      </c>
      <c r="I119" s="18">
        <v>45469</v>
      </c>
      <c r="J119" s="22">
        <v>30000</v>
      </c>
      <c r="K119" s="16" t="s">
        <v>107</v>
      </c>
      <c r="L119" s="16" t="s">
        <v>92</v>
      </c>
      <c r="M119" s="102" t="s">
        <v>93</v>
      </c>
      <c r="N119" s="103" t="s">
        <v>23</v>
      </c>
      <c r="O119" s="89">
        <v>35763</v>
      </c>
      <c r="P119" s="104" t="s">
        <v>108</v>
      </c>
      <c r="Q119" s="19" t="s">
        <v>117</v>
      </c>
      <c r="R119" s="104">
        <v>3113135249</v>
      </c>
      <c r="S119" s="104" t="s">
        <v>408</v>
      </c>
      <c r="T119" s="64" t="str">
        <f>IF(N119=CURSOS!$D$3,"DIPLOMADO EN ATENCION PRE-HOSPITALARIA",IF(N119=CURSOS!$D$4,"ACOMPAÑAMIENTO Y MANEJO DEL DUELO",IF(N119=CURSOS!$D$5,"ATENCION A VICTIMAS DE ATAQUE CON AGENTES QUIMICOS ",IF(N119=CURSOS!$D$6,"PRIMEROS AUXILIOS ",IF(N119=CURSOS!$D$7,"DIPLOMADO DE UNIDAD DE CUIDADOS INTENSIVOS (UCI)",IF(N119=CURSOS!$D$8,"MODELO DE ATENCION PARA EVENTOS EMERGENTES EN SALUD MENTAL (CODIGO VERDE)",IF(N119=CURSOS!$D$9,"HUMANIZACION EN SALUD, BUENAS PRACTICAS EN PACIENTE ",IF(N119=CURSOS!$D$10,"CLINICA DE HERIDAS ",IF(N119=CURSOS!$D$11,"TOMA DE CITOLOGIA A CERVICO VAGINAL ",IF(N119=CURSOS!$D$12,"SOPORTE CARDIOVASCULAR AVANZADO ",IF(N119=CURSOS!$D$13,"CAMILLERO ",IF(N119=CURSOS!$D$14,"TOMA MUESTRAS Y LABORATORIO ",IF(N119=CURSOS!$D$15,"SOPORTE VITAL BASICO (BLS)",IF(N119=CURSOS!$D$16,"ATENCION A VICTIMAS DE VIOLENCIA SEXUAL ",IF(N119=CURSOS!$D$17,"PROGRAMADO AMPLIADO DE INMUNIZACION (PAI - COVID 19)",IF(N119=CURSOS!$D$18,"ATENCION INTEGRAL EN ENFERMEDADES PREVALENTES EN PRIMERA INFANCIA (AIEPI)",IF(N119=CURSOS!$D$19,"ADMINISTRACION DE MEDICAMENTOS, IYECTOLOGIA  Y CANALIZACION ",IF(N119=CURSOS!$D$20,"OPERADOR DE VEHICULOS DE EMERGENCIA (OVE)",IF(N119=CURSOS!$D$21,"INSTITUCIONES AMIGAS DE LA MUJER Y LA INFANCIA (IAMI)",IF(N119=CURSOS!$D$22,"CUIDADO DEL DONANTE DE ORGANOS",IF(N119=CURSOS!$D$23,"ATENCION A VICTIMAS POR VIOLENCIA DE GENERO",IF(N119=CURSOS!$D$24,"IGUALDAD DE GENERO EN LA SALUD",IF(N119=CURSOS!$D$25,"BRIGADA DE EMERGENCIA",IF(N119=CURSOS!$D$26,"MANEJO DEL DOLOR Y CUIDADOS PALIATIVOS",IF(N119=CURSOS!$D$27,"TOMA MUESTRAS Y LABORATORIO POCT",IF(N119=CURSOS!$D$28,"IMPLANTE SUBDERMICO Y DISPOSITIVO INTRAUTERINO",IF(N119=CURSOS!$D$29,"SALUD MENTAL",IF(N119=CURSOS!$D$30,"PRIMEROS AUXILIOS PSICOLOGICOS",IF(N119=CURSOS!$D$31,"ATENCION A VICTIMAS POR CONFLICTO ARMADO",IF(N119=CURSOS!$D$32,"MANIPULACION DE ALIMENTOS Y BPM",IF(N119=CURSOS!$D$33,"ATENCION A PERSONAS CON DISCAPACIDAD",IF(N119=CURSOS!$D$34,"CUIDADO INTEGRAL DEL PACIENTE ADULTO"))))))))))))))))))))))))))))))))</f>
        <v>ACOMPAÑAMIENTO Y MANEJO DEL DUELO</v>
      </c>
      <c r="U119" s="64" t="str">
        <f t="shared" si="6"/>
        <v>Aracely Del Rosario Bastidas Melo</v>
      </c>
      <c r="V119" s="64" t="str">
        <f t="shared" si="7"/>
        <v>Aracely Del Rosario Bastidas Melo</v>
      </c>
      <c r="W119" s="64" t="str">
        <f t="shared" si="8"/>
        <v>Aracely Del Rosario Bastidas Melo-27168885-DUELO</v>
      </c>
    </row>
    <row r="120" spans="1:23" s="105" customFormat="1" x14ac:dyDescent="0.2">
      <c r="A120" s="94">
        <v>119</v>
      </c>
      <c r="B120" s="104">
        <v>1085310145</v>
      </c>
      <c r="C120" s="104" t="s">
        <v>350</v>
      </c>
      <c r="D120" s="104" t="s">
        <v>409</v>
      </c>
      <c r="E120" s="104" t="s">
        <v>410</v>
      </c>
      <c r="F120" s="104" t="s">
        <v>411</v>
      </c>
      <c r="G120" s="16">
        <v>26</v>
      </c>
      <c r="H120" s="16" t="s">
        <v>90</v>
      </c>
      <c r="I120" s="18">
        <v>45469</v>
      </c>
      <c r="J120" s="22">
        <v>35000</v>
      </c>
      <c r="K120" s="16" t="s">
        <v>91</v>
      </c>
      <c r="L120" s="16" t="s">
        <v>101</v>
      </c>
      <c r="M120" s="102" t="s">
        <v>93</v>
      </c>
      <c r="N120" s="103" t="s">
        <v>25</v>
      </c>
      <c r="O120" s="89">
        <v>34356</v>
      </c>
      <c r="P120" s="104" t="s">
        <v>94</v>
      </c>
      <c r="Q120" s="19" t="s">
        <v>111</v>
      </c>
      <c r="R120" s="104">
        <v>3148608545</v>
      </c>
      <c r="S120" s="104" t="s">
        <v>412</v>
      </c>
      <c r="T120" s="64" t="str">
        <f>IF(N120=CURSOS!$D$3,"DIPLOMADO EN ATENCION PRE-HOSPITALARIA",IF(N120=CURSOS!$D$4,"ACOMPAÑAMIENTO Y MANEJO DEL DUELO",IF(N120=CURSOS!$D$5,"ATENCION A VICTIMAS DE ATAQUE CON AGENTES QUIMICOS ",IF(N120=CURSOS!$D$6,"PRIMEROS AUXILIOS ",IF(N120=CURSOS!$D$7,"DIPLOMADO DE UNIDAD DE CUIDADOS INTENSIVOS (UCI)",IF(N120=CURSOS!$D$8,"MODELO DE ATENCION PARA EVENTOS EMERGENTES EN SALUD MENTAL (CODIGO VERDE)",IF(N120=CURSOS!$D$9,"HUMANIZACION EN SALUD, BUENAS PRACTICAS EN PACIENTE ",IF(N120=CURSOS!$D$10,"CLINICA DE HERIDAS ",IF(N120=CURSOS!$D$11,"TOMA DE CITOLOGIA A CERVICO VAGINAL ",IF(N120=CURSOS!$D$12,"SOPORTE CARDIOVASCULAR AVANZADO ",IF(N120=CURSOS!$D$13,"CAMILLERO ",IF(N120=CURSOS!$D$14,"TOMA MUESTRAS Y LABORATORIO ",IF(N120=CURSOS!$D$15,"SOPORTE VITAL BASICO (BLS)",IF(N120=CURSOS!$D$16,"ATENCION A VICTIMAS DE VIOLENCIA SEXUAL ",IF(N120=CURSOS!$D$17,"PROGRAMADO AMPLIADO DE INMUNIZACION (PAI - COVID 19)",IF(N120=CURSOS!$D$18,"ATENCION INTEGRAL EN ENFERMEDADES PREVALENTES EN PRIMERA INFANCIA (AIEPI)",IF(N120=CURSOS!$D$19,"ADMINISTRACION DE MEDICAMENTOS, IYECTOLOGIA  Y CANALIZACION ",IF(N120=CURSOS!$D$20,"OPERADOR DE VEHICULOS DE EMERGENCIA (OVE)",IF(N120=CURSOS!$D$21,"INSTITUCIONES AMIGAS DE LA MUJER Y LA INFANCIA (IAMI)",IF(N120=CURSOS!$D$22,"CUIDADO DEL DONANTE DE ORGANOS",IF(N120=CURSOS!$D$23,"ATENCION A VICTIMAS POR VIOLENCIA DE GENERO",IF(N120=CURSOS!$D$24,"IGUALDAD DE GENERO EN LA SALUD",IF(N120=CURSOS!$D$25,"BRIGADA DE EMERGENCIA",IF(N120=CURSOS!$D$26,"MANEJO DEL DOLOR Y CUIDADOS PALIATIVOS",IF(N120=CURSOS!$D$27,"TOMA MUESTRAS Y LABORATORIO POCT",IF(N120=CURSOS!$D$28,"IMPLANTE SUBDERMICO Y DISPOSITIVO INTRAUTERINO",IF(N120=CURSOS!$D$29,"SALUD MENTAL",IF(N120=CURSOS!$D$30,"PRIMEROS AUXILIOS PSICOLOGICOS",IF(N120=CURSOS!$D$31,"ATENCION A VICTIMAS POR CONFLICTO ARMADO",IF(N120=CURSOS!$D$32,"MANIPULACION DE ALIMENTOS Y BPM",IF(N120=CURSOS!$D$33,"ATENCION A PERSONAS CON DISCAPACIDAD",IF(N120=CURSOS!$D$34,"CUIDADO INTEGRAL DEL PACIENTE ADULTO"))))))))))))))))))))))))))))))))</f>
        <v xml:space="preserve">ATENCION A VICTIMAS DE ATAQUE CON AGENTES QUIMICOS </v>
      </c>
      <c r="U120" s="64" t="str">
        <f t="shared" si="6"/>
        <v>Jhonnatan Steven Zuñiga Mora</v>
      </c>
      <c r="V120" s="64" t="str">
        <f t="shared" si="7"/>
        <v>Jhonnatan Steven Zuñiga Mora</v>
      </c>
      <c r="W120" s="64" t="str">
        <f t="shared" si="8"/>
        <v>Jhonnatan Steven Zuñiga Mora-1085310145-QUIMICOS</v>
      </c>
    </row>
    <row r="121" spans="1:23" s="105" customFormat="1" x14ac:dyDescent="0.2">
      <c r="A121" s="94">
        <v>120</v>
      </c>
      <c r="B121" s="104">
        <v>1085310145</v>
      </c>
      <c r="C121" s="104" t="s">
        <v>350</v>
      </c>
      <c r="D121" s="104" t="s">
        <v>409</v>
      </c>
      <c r="E121" s="104" t="s">
        <v>410</v>
      </c>
      <c r="F121" s="104" t="s">
        <v>411</v>
      </c>
      <c r="G121" s="16">
        <v>26</v>
      </c>
      <c r="H121" s="16" t="s">
        <v>90</v>
      </c>
      <c r="I121" s="18">
        <v>45469</v>
      </c>
      <c r="J121" s="22">
        <v>35000</v>
      </c>
      <c r="K121" s="16" t="s">
        <v>91</v>
      </c>
      <c r="L121" s="16" t="s">
        <v>101</v>
      </c>
      <c r="M121" s="102" t="s">
        <v>93</v>
      </c>
      <c r="N121" s="103" t="s">
        <v>64</v>
      </c>
      <c r="O121" s="110">
        <v>34356</v>
      </c>
      <c r="P121" s="111" t="s">
        <v>94</v>
      </c>
      <c r="Q121" s="19" t="s">
        <v>111</v>
      </c>
      <c r="R121" s="111">
        <v>3148608545</v>
      </c>
      <c r="S121" s="112" t="s">
        <v>412</v>
      </c>
      <c r="T121" s="64" t="str">
        <f>IF(N121=CURSOS!$D$3,"DIPLOMADO EN ATENCION PRE-HOSPITALARIA",IF(N121=CURSOS!$D$4,"ACOMPAÑAMIENTO Y MANEJO DEL DUELO",IF(N121=CURSOS!$D$5,"ATENCION A VICTIMAS DE ATAQUE CON AGENTES QUIMICOS ",IF(N121=CURSOS!$D$6,"PRIMEROS AUXILIOS ",IF(N121=CURSOS!$D$7,"DIPLOMADO DE UNIDAD DE CUIDADOS INTENSIVOS (UCI)",IF(N121=CURSOS!$D$8,"MODELO DE ATENCION PARA EVENTOS EMERGENTES EN SALUD MENTAL (CODIGO VERDE)",IF(N121=CURSOS!$D$9,"HUMANIZACION EN SALUD, BUENAS PRACTICAS EN PACIENTE ",IF(N121=CURSOS!$D$10,"CLINICA DE HERIDAS ",IF(N121=CURSOS!$D$11,"TOMA DE CITOLOGIA A CERVICO VAGINAL ",IF(N121=CURSOS!$D$12,"SOPORTE CARDIOVASCULAR AVANZADO ",IF(N121=CURSOS!$D$13,"CAMILLERO ",IF(N121=CURSOS!$D$14,"TOMA MUESTRAS Y LABORATORIO ",IF(N121=CURSOS!$D$15,"SOPORTE VITAL BASICO (BLS)",IF(N121=CURSOS!$D$16,"ATENCION A VICTIMAS DE VIOLENCIA SEXUAL ",IF(N121=CURSOS!$D$17,"PROGRAMADO AMPLIADO DE INMUNIZACION (PAI - COVID 19)",IF(N121=CURSOS!$D$18,"ATENCION INTEGRAL EN ENFERMEDADES PREVALENTES EN PRIMERA INFANCIA (AIEPI)",IF(N121=CURSOS!$D$19,"ADMINISTRACION DE MEDICAMENTOS, IYECTOLOGIA  Y CANALIZACION ",IF(N121=CURSOS!$D$20,"OPERADOR DE VEHICULOS DE EMERGENCIA (OVE)",IF(N121=CURSOS!$D$21,"INSTITUCIONES AMIGAS DE LA MUJER Y LA INFANCIA (IAMI)",IF(N121=CURSOS!$D$22,"CUIDADO DEL DONANTE DE ORGANOS",IF(N121=CURSOS!$D$23,"ATENCION A VICTIMAS POR VIOLENCIA DE GENERO",IF(N121=CURSOS!$D$24,"IGUALDAD DE GENERO EN LA SALUD",IF(N121=CURSOS!$D$25,"BRIGADA DE EMERGENCIA",IF(N121=CURSOS!$D$26,"MANEJO DEL DOLOR Y CUIDADOS PALIATIVOS",IF(N121=CURSOS!$D$27,"TOMA MUESTRAS Y LABORATORIO POCT",IF(N121=CURSOS!$D$28,"IMPLANTE SUBDERMICO Y DISPOSITIVO INTRAUTERINO",IF(N121=CURSOS!$D$29,"SALUD MENTAL",IF(N121=CURSOS!$D$30,"PRIMEROS AUXILIOS PSICOLOGICOS",IF(N121=CURSOS!$D$31,"ATENCION A VICTIMAS POR CONFLICTO ARMADO",IF(N121=CURSOS!$D$32,"MANIPULACION DE ALIMENTOS Y BPM",IF(N121=CURSOS!$D$33,"ATENCION A PERSONAS CON DISCAPACIDAD",IF(N121=CURSOS!$D$34,"CUIDADO INTEGRAL DEL PACIENTE ADULTO"))))))))))))))))))))))))))))))))</f>
        <v>MANEJO DEL DOLOR Y CUIDADOS PALIATIVOS</v>
      </c>
      <c r="U121" s="64" t="str">
        <f t="shared" si="6"/>
        <v>Jhonnatan Steven Zuñiga Mora</v>
      </c>
      <c r="V121" s="64" t="str">
        <f t="shared" si="7"/>
        <v>Jhonnatan Steven Zuñiga Mora</v>
      </c>
      <c r="W121" s="64" t="str">
        <f t="shared" si="8"/>
        <v>Jhonnatan Steven Zuñiga Mora-1085310145-PALIATIVOS</v>
      </c>
    </row>
    <row r="122" spans="1:23" s="105" customFormat="1" x14ac:dyDescent="0.2">
      <c r="A122" s="94">
        <v>121</v>
      </c>
      <c r="B122" s="104">
        <v>1122786509</v>
      </c>
      <c r="C122" s="111" t="s">
        <v>248</v>
      </c>
      <c r="D122" s="111" t="s">
        <v>257</v>
      </c>
      <c r="E122" s="111" t="s">
        <v>251</v>
      </c>
      <c r="F122" s="111" t="s">
        <v>286</v>
      </c>
      <c r="G122" s="113">
        <v>26</v>
      </c>
      <c r="H122" s="16" t="s">
        <v>90</v>
      </c>
      <c r="I122" s="114">
        <v>45470</v>
      </c>
      <c r="J122" s="115">
        <v>80000</v>
      </c>
      <c r="K122" s="113" t="s">
        <v>229</v>
      </c>
      <c r="L122" s="113" t="s">
        <v>101</v>
      </c>
      <c r="M122" s="102" t="s">
        <v>193</v>
      </c>
      <c r="N122" s="103" t="s">
        <v>39</v>
      </c>
      <c r="O122" s="110">
        <v>36136</v>
      </c>
      <c r="P122" s="111" t="s">
        <v>108</v>
      </c>
      <c r="Q122" s="116" t="s">
        <v>109</v>
      </c>
      <c r="R122" s="111">
        <v>3175753049</v>
      </c>
      <c r="S122" s="111" t="s">
        <v>413</v>
      </c>
      <c r="T122" s="64" t="str">
        <f>IF(N122=CURSOS!$D$3,"DIPLOMADO EN ATENCION PRE-HOSPITALARIA",IF(N122=CURSOS!$D$4,"ACOMPAÑAMIENTO Y MANEJO DEL DUELO",IF(N122=CURSOS!$D$5,"ATENCION A VICTIMAS DE ATAQUE CON AGENTES QUIMICOS ",IF(N122=CURSOS!$D$6,"PRIMEROS AUXILIOS ",IF(N122=CURSOS!$D$7,"DIPLOMADO DE UNIDAD DE CUIDADOS INTENSIVOS (UCI)",IF(N122=CURSOS!$D$8,"MODELO DE ATENCION PARA EVENTOS EMERGENTES EN SALUD MENTAL (CODIGO VERDE)",IF(N122=CURSOS!$D$9,"HUMANIZACION EN SALUD, BUENAS PRACTICAS EN PACIENTE ",IF(N122=CURSOS!$D$10,"CLINICA DE HERIDAS ",IF(N122=CURSOS!$D$11,"TOMA DE CITOLOGIA A CERVICO VAGINAL ",IF(N122=CURSOS!$D$12,"SOPORTE CARDIOVASCULAR AVANZADO ",IF(N122=CURSOS!$D$13,"CAMILLERO ",IF(N122=CURSOS!$D$14,"TOMA MUESTRAS Y LABORATORIO ",IF(N122=CURSOS!$D$15,"SOPORTE VITAL BASICO (BLS)",IF(N122=CURSOS!$D$16,"ATENCION A VICTIMAS DE VIOLENCIA SEXUAL ",IF(N122=CURSOS!$D$17,"PROGRAMADO AMPLIADO DE INMUNIZACION (PAI - COVID 19)",IF(N122=CURSOS!$D$18,"ATENCION INTEGRAL EN ENFERMEDADES PREVALENTES EN PRIMERA INFANCIA (AIEPI)",IF(N122=CURSOS!$D$19,"ADMINISTRACION DE MEDICAMENTOS, IYECTOLOGIA  Y CANALIZACION ",IF(N122=CURSOS!$D$20,"OPERADOR DE VEHICULOS DE EMERGENCIA (OVE)",IF(N122=CURSOS!$D$21,"INSTITUCIONES AMIGAS DE LA MUJER Y LA INFANCIA (IAMI)",IF(N122=CURSOS!$D$22,"CUIDADO DEL DONANTE DE ORGANOS",IF(N122=CURSOS!$D$23,"ATENCION A VICTIMAS POR VIOLENCIA DE GENERO",IF(N122=CURSOS!$D$24,"IGUALDAD DE GENERO EN LA SALUD",IF(N122=CURSOS!$D$25,"BRIGADA DE EMERGENCIA",IF(N122=CURSOS!$D$26,"MANEJO DEL DOLOR Y CUIDADOS PALIATIVOS",IF(N122=CURSOS!$D$27,"TOMA MUESTRAS Y LABORATORIO POCT",IF(N122=CURSOS!$D$28,"IMPLANTE SUBDERMICO Y DISPOSITIVO INTRAUTERINO",IF(N122=CURSOS!$D$29,"SALUD MENTAL",IF(N122=CURSOS!$D$30,"PRIMEROS AUXILIOS PSICOLOGICOS",IF(N122=CURSOS!$D$31,"ATENCION A VICTIMAS POR CONFLICTO ARMADO",IF(N122=CURSOS!$D$32,"MANIPULACION DE ALIMENTOS Y BPM",IF(N122=CURSOS!$D$33,"ATENCION A PERSONAS CON DISCAPACIDAD",IF(N122=CURSOS!$D$34,"CUIDADO INTEGRAL DEL PACIENTE ADULTO"))))))))))))))))))))))))))))))))</f>
        <v xml:space="preserve">SOPORTE CARDIOVASCULAR AVANZADO </v>
      </c>
      <c r="U122" s="64" t="str">
        <f t="shared" si="6"/>
        <v>Paola Andrea Cabrera Erazo</v>
      </c>
      <c r="V122" s="64" t="str">
        <f t="shared" si="7"/>
        <v>Paola Andrea Cabrera Erazo</v>
      </c>
      <c r="W122" s="64" t="str">
        <f t="shared" si="8"/>
        <v>Paola Andrea Cabrera Erazo-1122786509-ACLS</v>
      </c>
    </row>
    <row r="123" spans="1:23" s="105" customFormat="1" x14ac:dyDescent="0.2">
      <c r="A123" s="94">
        <v>122</v>
      </c>
      <c r="B123" s="104">
        <v>1122786509</v>
      </c>
      <c r="C123" s="111" t="s">
        <v>248</v>
      </c>
      <c r="D123" s="111" t="s">
        <v>257</v>
      </c>
      <c r="E123" s="111" t="s">
        <v>251</v>
      </c>
      <c r="F123" s="111" t="s">
        <v>286</v>
      </c>
      <c r="G123" s="113">
        <v>26</v>
      </c>
      <c r="H123" s="16" t="s">
        <v>90</v>
      </c>
      <c r="I123" s="114">
        <v>45470</v>
      </c>
      <c r="J123" s="115">
        <v>20000</v>
      </c>
      <c r="K123" s="113" t="s">
        <v>229</v>
      </c>
      <c r="L123" s="113" t="s">
        <v>101</v>
      </c>
      <c r="M123" s="102" t="s">
        <v>193</v>
      </c>
      <c r="N123" s="103" t="s">
        <v>19</v>
      </c>
      <c r="O123" s="110">
        <v>36136</v>
      </c>
      <c r="P123" s="111" t="s">
        <v>108</v>
      </c>
      <c r="Q123" s="116" t="s">
        <v>109</v>
      </c>
      <c r="R123" s="111">
        <v>3175753049</v>
      </c>
      <c r="S123" s="111" t="s">
        <v>413</v>
      </c>
      <c r="T123" s="64" t="str">
        <f>IF(N123=CURSOS!$D$3,"DIPLOMADO EN ATENCION PRE-HOSPITALARIA",IF(N123=CURSOS!$D$4,"ACOMPAÑAMIENTO Y MANEJO DEL DUELO",IF(N123=CURSOS!$D$5,"ATENCION A VICTIMAS DE ATAQUE CON AGENTES QUIMICOS ",IF(N123=CURSOS!$D$6,"PRIMEROS AUXILIOS ",IF(N123=CURSOS!$D$7,"DIPLOMADO DE UNIDAD DE CUIDADOS INTENSIVOS (UCI)",IF(N123=CURSOS!$D$8,"MODELO DE ATENCION PARA EVENTOS EMERGENTES EN SALUD MENTAL (CODIGO VERDE)",IF(N123=CURSOS!$D$9,"HUMANIZACION EN SALUD, BUENAS PRACTICAS EN PACIENTE ",IF(N123=CURSOS!$D$10,"CLINICA DE HERIDAS ",IF(N123=CURSOS!$D$11,"TOMA DE CITOLOGIA A CERVICO VAGINAL ",IF(N123=CURSOS!$D$12,"SOPORTE CARDIOVASCULAR AVANZADO ",IF(N123=CURSOS!$D$13,"CAMILLERO ",IF(N123=CURSOS!$D$14,"TOMA MUESTRAS Y LABORATORIO ",IF(N123=CURSOS!$D$15,"SOPORTE VITAL BASICO (BLS)",IF(N123=CURSOS!$D$16,"ATENCION A VICTIMAS DE VIOLENCIA SEXUAL ",IF(N123=CURSOS!$D$17,"PROGRAMADO AMPLIADO DE INMUNIZACION (PAI - COVID 19)",IF(N123=CURSOS!$D$18,"ATENCION INTEGRAL EN ENFERMEDADES PREVALENTES EN PRIMERA INFANCIA (AIEPI)",IF(N123=CURSOS!$D$19,"ADMINISTRACION DE MEDICAMENTOS, IYECTOLOGIA  Y CANALIZACION ",IF(N123=CURSOS!$D$20,"OPERADOR DE VEHICULOS DE EMERGENCIA (OVE)",IF(N123=CURSOS!$D$21,"INSTITUCIONES AMIGAS DE LA MUJER Y LA INFANCIA (IAMI)",IF(N123=CURSOS!$D$22,"CUIDADO DEL DONANTE DE ORGANOS",IF(N123=CURSOS!$D$23,"ATENCION A VICTIMAS POR VIOLENCIA DE GENERO",IF(N123=CURSOS!$D$24,"IGUALDAD DE GENERO EN LA SALUD",IF(N123=CURSOS!$D$25,"BRIGADA DE EMERGENCIA",IF(N123=CURSOS!$D$26,"MANEJO DEL DOLOR Y CUIDADOS PALIATIVOS",IF(N123=CURSOS!$D$27,"TOMA MUESTRAS Y LABORATORIO POCT",IF(N123=CURSOS!$D$28,"IMPLANTE SUBDERMICO Y DISPOSITIVO INTRAUTERINO",IF(N123=CURSOS!$D$29,"SALUD MENTAL",IF(N123=CURSOS!$D$30,"PRIMEROS AUXILIOS PSICOLOGICOS",IF(N123=CURSOS!$D$31,"ATENCION A VICTIMAS POR CONFLICTO ARMADO",IF(N123=CURSOS!$D$32,"MANIPULACION DE ALIMENTOS Y BPM",IF(N123=CURSOS!$D$33,"ATENCION A PERSONAS CON DISCAPACIDAD",IF(N123=CURSOS!$D$34,"CUIDADO INTEGRAL DEL PACIENTE ADULTO"))))))))))))))))))))))))))))))))</f>
        <v>SOPORTE VITAL BASICO (BLS)</v>
      </c>
      <c r="U123" s="64" t="str">
        <f t="shared" si="6"/>
        <v>Paola Andrea Cabrera Erazo</v>
      </c>
      <c r="V123" s="64" t="str">
        <f t="shared" si="7"/>
        <v>Paola Andrea Cabrera Erazo</v>
      </c>
      <c r="W123" s="64" t="str">
        <f t="shared" si="8"/>
        <v>Paola Andrea Cabrera Erazo-1122786509-BLS</v>
      </c>
    </row>
    <row r="124" spans="1:23" s="105" customFormat="1" x14ac:dyDescent="0.2">
      <c r="A124" s="94">
        <v>123</v>
      </c>
      <c r="B124" s="104">
        <v>1122786509</v>
      </c>
      <c r="C124" s="111" t="s">
        <v>248</v>
      </c>
      <c r="D124" s="111" t="s">
        <v>257</v>
      </c>
      <c r="E124" s="111" t="s">
        <v>251</v>
      </c>
      <c r="F124" s="111" t="s">
        <v>286</v>
      </c>
      <c r="G124" s="113">
        <v>26</v>
      </c>
      <c r="H124" s="16" t="s">
        <v>90</v>
      </c>
      <c r="I124" s="114">
        <v>45470</v>
      </c>
      <c r="J124" s="115">
        <v>25000</v>
      </c>
      <c r="K124" s="113" t="s">
        <v>229</v>
      </c>
      <c r="L124" s="113" t="s">
        <v>101</v>
      </c>
      <c r="M124" s="102" t="s">
        <v>193</v>
      </c>
      <c r="N124" s="103" t="s">
        <v>25</v>
      </c>
      <c r="O124" s="110">
        <v>36136</v>
      </c>
      <c r="P124" s="111" t="s">
        <v>108</v>
      </c>
      <c r="Q124" s="116" t="s">
        <v>109</v>
      </c>
      <c r="R124" s="111">
        <v>3175753049</v>
      </c>
      <c r="S124" s="111" t="s">
        <v>413</v>
      </c>
      <c r="T124" s="64" t="str">
        <f>IF(N124=CURSOS!$D$3,"DIPLOMADO EN ATENCION PRE-HOSPITALARIA",IF(N124=CURSOS!$D$4,"ACOMPAÑAMIENTO Y MANEJO DEL DUELO",IF(N124=CURSOS!$D$5,"ATENCION A VICTIMAS DE ATAQUE CON AGENTES QUIMICOS ",IF(N124=CURSOS!$D$6,"PRIMEROS AUXILIOS ",IF(N124=CURSOS!$D$7,"DIPLOMADO DE UNIDAD DE CUIDADOS INTENSIVOS (UCI)",IF(N124=CURSOS!$D$8,"MODELO DE ATENCION PARA EVENTOS EMERGENTES EN SALUD MENTAL (CODIGO VERDE)",IF(N124=CURSOS!$D$9,"HUMANIZACION EN SALUD, BUENAS PRACTICAS EN PACIENTE ",IF(N124=CURSOS!$D$10,"CLINICA DE HERIDAS ",IF(N124=CURSOS!$D$11,"TOMA DE CITOLOGIA A CERVICO VAGINAL ",IF(N124=CURSOS!$D$12,"SOPORTE CARDIOVASCULAR AVANZADO ",IF(N124=CURSOS!$D$13,"CAMILLERO ",IF(N124=CURSOS!$D$14,"TOMA MUESTRAS Y LABORATORIO ",IF(N124=CURSOS!$D$15,"SOPORTE VITAL BASICO (BLS)",IF(N124=CURSOS!$D$16,"ATENCION A VICTIMAS DE VIOLENCIA SEXUAL ",IF(N124=CURSOS!$D$17,"PROGRAMADO AMPLIADO DE INMUNIZACION (PAI - COVID 19)",IF(N124=CURSOS!$D$18,"ATENCION INTEGRAL EN ENFERMEDADES PREVALENTES EN PRIMERA INFANCIA (AIEPI)",IF(N124=CURSOS!$D$19,"ADMINISTRACION DE MEDICAMENTOS, IYECTOLOGIA  Y CANALIZACION ",IF(N124=CURSOS!$D$20,"OPERADOR DE VEHICULOS DE EMERGENCIA (OVE)",IF(N124=CURSOS!$D$21,"INSTITUCIONES AMIGAS DE LA MUJER Y LA INFANCIA (IAMI)",IF(N124=CURSOS!$D$22,"CUIDADO DEL DONANTE DE ORGANOS",IF(N124=CURSOS!$D$23,"ATENCION A VICTIMAS POR VIOLENCIA DE GENERO",IF(N124=CURSOS!$D$24,"IGUALDAD DE GENERO EN LA SALUD",IF(N124=CURSOS!$D$25,"BRIGADA DE EMERGENCIA",IF(N124=CURSOS!$D$26,"MANEJO DEL DOLOR Y CUIDADOS PALIATIVOS",IF(N124=CURSOS!$D$27,"TOMA MUESTRAS Y LABORATORIO POCT",IF(N124=CURSOS!$D$28,"IMPLANTE SUBDERMICO Y DISPOSITIVO INTRAUTERINO",IF(N124=CURSOS!$D$29,"SALUD MENTAL",IF(N124=CURSOS!$D$30,"PRIMEROS AUXILIOS PSICOLOGICOS",IF(N124=CURSOS!$D$31,"ATENCION A VICTIMAS POR CONFLICTO ARMADO",IF(N124=CURSOS!$D$32,"MANIPULACION DE ALIMENTOS Y BPM",IF(N124=CURSOS!$D$33,"ATENCION A PERSONAS CON DISCAPACIDAD",IF(N124=CURSOS!$D$34,"CUIDADO INTEGRAL DEL PACIENTE ADULTO"))))))))))))))))))))))))))))))))</f>
        <v xml:space="preserve">ATENCION A VICTIMAS DE ATAQUE CON AGENTES QUIMICOS </v>
      </c>
      <c r="U124" s="64" t="str">
        <f t="shared" si="6"/>
        <v>Paola Andrea Cabrera Erazo</v>
      </c>
      <c r="V124" s="64" t="str">
        <f t="shared" si="7"/>
        <v>Paola Andrea Cabrera Erazo</v>
      </c>
      <c r="W124" s="64" t="str">
        <f t="shared" si="8"/>
        <v>Paola Andrea Cabrera Erazo-1122786509-QUIMICOS</v>
      </c>
    </row>
    <row r="125" spans="1:23" s="105" customFormat="1" x14ac:dyDescent="0.2">
      <c r="A125" s="94">
        <v>124</v>
      </c>
      <c r="B125" s="104">
        <v>1122786509</v>
      </c>
      <c r="C125" s="111" t="s">
        <v>248</v>
      </c>
      <c r="D125" s="111" t="s">
        <v>257</v>
      </c>
      <c r="E125" s="111" t="s">
        <v>251</v>
      </c>
      <c r="F125" s="111" t="s">
        <v>286</v>
      </c>
      <c r="G125" s="113">
        <v>26</v>
      </c>
      <c r="H125" s="16" t="s">
        <v>90</v>
      </c>
      <c r="I125" s="114">
        <v>45470</v>
      </c>
      <c r="J125" s="115">
        <v>25000</v>
      </c>
      <c r="K125" s="113" t="s">
        <v>229</v>
      </c>
      <c r="L125" s="113" t="s">
        <v>101</v>
      </c>
      <c r="M125" s="102" t="s">
        <v>193</v>
      </c>
      <c r="N125" s="103" t="s">
        <v>46</v>
      </c>
      <c r="O125" s="110">
        <v>36136</v>
      </c>
      <c r="P125" s="111" t="s">
        <v>108</v>
      </c>
      <c r="Q125" s="116" t="s">
        <v>109</v>
      </c>
      <c r="R125" s="111">
        <v>3175753049</v>
      </c>
      <c r="S125" s="111" t="s">
        <v>413</v>
      </c>
      <c r="T125" s="64" t="str">
        <f>IF(N125=CURSOS!$D$3,"DIPLOMADO EN ATENCION PRE-HOSPITALARIA",IF(N125=CURSOS!$D$4,"ACOMPAÑAMIENTO Y MANEJO DEL DUELO",IF(N125=CURSOS!$D$5,"ATENCION A VICTIMAS DE ATAQUE CON AGENTES QUIMICOS ",IF(N125=CURSOS!$D$6,"PRIMEROS AUXILIOS ",IF(N125=CURSOS!$D$7,"DIPLOMADO DE UNIDAD DE CUIDADOS INTENSIVOS (UCI)",IF(N125=CURSOS!$D$8,"MODELO DE ATENCION PARA EVENTOS EMERGENTES EN SALUD MENTAL (CODIGO VERDE)",IF(N125=CURSOS!$D$9,"HUMANIZACION EN SALUD, BUENAS PRACTICAS EN PACIENTE ",IF(N125=CURSOS!$D$10,"CLINICA DE HERIDAS ",IF(N125=CURSOS!$D$11,"TOMA DE CITOLOGIA A CERVICO VAGINAL ",IF(N125=CURSOS!$D$12,"SOPORTE CARDIOVASCULAR AVANZADO ",IF(N125=CURSOS!$D$13,"CAMILLERO ",IF(N125=CURSOS!$D$14,"TOMA MUESTRAS Y LABORATORIO ",IF(N125=CURSOS!$D$15,"SOPORTE VITAL BASICO (BLS)",IF(N125=CURSOS!$D$16,"ATENCION A VICTIMAS DE VIOLENCIA SEXUAL ",IF(N125=CURSOS!$D$17,"PROGRAMADO AMPLIADO DE INMUNIZACION (PAI - COVID 19)",IF(N125=CURSOS!$D$18,"ATENCION INTEGRAL EN ENFERMEDADES PREVALENTES EN PRIMERA INFANCIA (AIEPI)",IF(N125=CURSOS!$D$19,"ADMINISTRACION DE MEDICAMENTOS, IYECTOLOGIA  Y CANALIZACION ",IF(N125=CURSOS!$D$20,"OPERADOR DE VEHICULOS DE EMERGENCIA (OVE)",IF(N125=CURSOS!$D$21,"INSTITUCIONES AMIGAS DE LA MUJER Y LA INFANCIA (IAMI)",IF(N125=CURSOS!$D$22,"CUIDADO DEL DONANTE DE ORGANOS",IF(N125=CURSOS!$D$23,"ATENCION A VICTIMAS POR VIOLENCIA DE GENERO",IF(N125=CURSOS!$D$24,"IGUALDAD DE GENERO EN LA SALUD",IF(N125=CURSOS!$D$25,"BRIGADA DE EMERGENCIA",IF(N125=CURSOS!$D$26,"MANEJO DEL DOLOR Y CUIDADOS PALIATIVOS",IF(N125=CURSOS!$D$27,"TOMA MUESTRAS Y LABORATORIO POCT",IF(N125=CURSOS!$D$28,"IMPLANTE SUBDERMICO Y DISPOSITIVO INTRAUTERINO",IF(N125=CURSOS!$D$29,"SALUD MENTAL",IF(N125=CURSOS!$D$30,"PRIMEROS AUXILIOS PSICOLOGICOS",IF(N125=CURSOS!$D$31,"ATENCION A VICTIMAS POR CONFLICTO ARMADO",IF(N125=CURSOS!$D$32,"MANIPULACION DE ALIMENTOS Y BPM",IF(N125=CURSOS!$D$33,"ATENCION A PERSONAS CON DISCAPACIDAD",IF(N125=CURSOS!$D$34,"CUIDADO INTEGRAL DEL PACIENTE ADULTO"))))))))))))))))))))))))))))))))</f>
        <v xml:space="preserve">ATENCION A VICTIMAS DE VIOLENCIA SEXUAL </v>
      </c>
      <c r="U125" s="64" t="str">
        <f t="shared" si="6"/>
        <v>Paola Andrea Cabrera Erazo</v>
      </c>
      <c r="V125" s="64" t="str">
        <f t="shared" si="7"/>
        <v>Paola Andrea Cabrera Erazo</v>
      </c>
      <c r="W125" s="64" t="str">
        <f t="shared" si="8"/>
        <v>Paola Andrea Cabrera Erazo-1122786509-VIOLENCIA SEXUAL</v>
      </c>
    </row>
    <row r="126" spans="1:23" s="105" customFormat="1" x14ac:dyDescent="0.2">
      <c r="A126" s="94">
        <v>125</v>
      </c>
      <c r="B126" s="104">
        <v>1085327331</v>
      </c>
      <c r="C126" s="111" t="s">
        <v>233</v>
      </c>
      <c r="D126" s="111" t="s">
        <v>414</v>
      </c>
      <c r="E126" s="111" t="s">
        <v>115</v>
      </c>
      <c r="F126" s="111" t="s">
        <v>177</v>
      </c>
      <c r="G126" s="113">
        <v>27</v>
      </c>
      <c r="H126" s="16" t="s">
        <v>90</v>
      </c>
      <c r="I126" s="114">
        <v>45471</v>
      </c>
      <c r="J126" s="115">
        <v>80000</v>
      </c>
      <c r="K126" s="113" t="s">
        <v>229</v>
      </c>
      <c r="L126" s="113" t="s">
        <v>101</v>
      </c>
      <c r="M126" s="102" t="s">
        <v>193</v>
      </c>
      <c r="N126" s="103" t="s">
        <v>39</v>
      </c>
      <c r="O126" s="110">
        <v>35136</v>
      </c>
      <c r="P126" s="111" t="s">
        <v>108</v>
      </c>
      <c r="Q126" s="116" t="s">
        <v>109</v>
      </c>
      <c r="R126" s="111">
        <v>3216961913</v>
      </c>
      <c r="S126" s="117" t="s">
        <v>415</v>
      </c>
      <c r="T126" s="64" t="str">
        <f>IF(N126=CURSOS!$D$3,"DIPLOMADO EN ATENCION PRE-HOSPITALARIA",IF(N126=CURSOS!$D$4,"ACOMPAÑAMIENTO Y MANEJO DEL DUELO",IF(N126=CURSOS!$D$5,"ATENCION A VICTIMAS DE ATAQUE CON AGENTES QUIMICOS ",IF(N126=CURSOS!$D$6,"PRIMEROS AUXILIOS ",IF(N126=CURSOS!$D$7,"DIPLOMADO DE UNIDAD DE CUIDADOS INTENSIVOS (UCI)",IF(N126=CURSOS!$D$8,"MODELO DE ATENCION PARA EVENTOS EMERGENTES EN SALUD MENTAL (CODIGO VERDE)",IF(N126=CURSOS!$D$9,"HUMANIZACION EN SALUD, BUENAS PRACTICAS EN PACIENTE ",IF(N126=CURSOS!$D$10,"CLINICA DE HERIDAS ",IF(N126=CURSOS!$D$11,"TOMA DE CITOLOGIA A CERVICO VAGINAL ",IF(N126=CURSOS!$D$12,"SOPORTE CARDIOVASCULAR AVANZADO ",IF(N126=CURSOS!$D$13,"CAMILLERO ",IF(N126=CURSOS!$D$14,"TOMA MUESTRAS Y LABORATORIO ",IF(N126=CURSOS!$D$15,"SOPORTE VITAL BASICO (BLS)",IF(N126=CURSOS!$D$16,"ATENCION A VICTIMAS DE VIOLENCIA SEXUAL ",IF(N126=CURSOS!$D$17,"PROGRAMADO AMPLIADO DE INMUNIZACION (PAI - COVID 19)",IF(N126=CURSOS!$D$18,"ATENCION INTEGRAL EN ENFERMEDADES PREVALENTES EN PRIMERA INFANCIA (AIEPI)",IF(N126=CURSOS!$D$19,"ADMINISTRACION DE MEDICAMENTOS, IYECTOLOGIA  Y CANALIZACION ",IF(N126=CURSOS!$D$20,"OPERADOR DE VEHICULOS DE EMERGENCIA (OVE)",IF(N126=CURSOS!$D$21,"INSTITUCIONES AMIGAS DE LA MUJER Y LA INFANCIA (IAMI)",IF(N126=CURSOS!$D$22,"CUIDADO DEL DONANTE DE ORGANOS",IF(N126=CURSOS!$D$23,"ATENCION A VICTIMAS POR VIOLENCIA DE GENERO",IF(N126=CURSOS!$D$24,"IGUALDAD DE GENERO EN LA SALUD",IF(N126=CURSOS!$D$25,"BRIGADA DE EMERGENCIA",IF(N126=CURSOS!$D$26,"MANEJO DEL DOLOR Y CUIDADOS PALIATIVOS",IF(N126=CURSOS!$D$27,"TOMA MUESTRAS Y LABORATORIO POCT",IF(N126=CURSOS!$D$28,"IMPLANTE SUBDERMICO Y DISPOSITIVO INTRAUTERINO",IF(N126=CURSOS!$D$29,"SALUD MENTAL",IF(N126=CURSOS!$D$30,"PRIMEROS AUXILIOS PSICOLOGICOS",IF(N126=CURSOS!$D$31,"ATENCION A VICTIMAS POR CONFLICTO ARMADO",IF(N126=CURSOS!$D$32,"MANIPULACION DE ALIMENTOS Y BPM",IF(N126=CURSOS!$D$33,"ATENCION A PERSONAS CON DISCAPACIDAD",IF(N126=CURSOS!$D$34,"CUIDADO INTEGRAL DEL PACIENTE ADULTO"))))))))))))))))))))))))))))))))</f>
        <v xml:space="preserve">SOPORTE CARDIOVASCULAR AVANZADO </v>
      </c>
      <c r="U126" s="64" t="str">
        <f t="shared" si="6"/>
        <v>Maria Alejandra Bastidas Vera</v>
      </c>
      <c r="V126" s="64" t="str">
        <f t="shared" si="7"/>
        <v>Maria Alejandra Bastidas Vera</v>
      </c>
      <c r="W126" s="64" t="str">
        <f t="shared" si="8"/>
        <v>Maria Alejandra Bastidas Vera-1085327331-ACLS</v>
      </c>
    </row>
    <row r="127" spans="1:23" s="105" customFormat="1" x14ac:dyDescent="0.2">
      <c r="A127" s="94">
        <v>126</v>
      </c>
      <c r="B127" s="104">
        <v>1085327331</v>
      </c>
      <c r="C127" s="111" t="s">
        <v>233</v>
      </c>
      <c r="D127" s="111" t="s">
        <v>414</v>
      </c>
      <c r="E127" s="111" t="s">
        <v>115</v>
      </c>
      <c r="F127" s="111" t="s">
        <v>177</v>
      </c>
      <c r="G127" s="113">
        <v>27</v>
      </c>
      <c r="H127" s="16" t="s">
        <v>90</v>
      </c>
      <c r="I127" s="114">
        <v>45471</v>
      </c>
      <c r="J127" s="115">
        <v>20000</v>
      </c>
      <c r="K127" s="113" t="s">
        <v>229</v>
      </c>
      <c r="L127" s="113" t="s">
        <v>101</v>
      </c>
      <c r="M127" s="102" t="s">
        <v>193</v>
      </c>
      <c r="N127" s="103" t="s">
        <v>19</v>
      </c>
      <c r="O127" s="110">
        <v>35136</v>
      </c>
      <c r="P127" s="111" t="s">
        <v>108</v>
      </c>
      <c r="Q127" s="116" t="s">
        <v>109</v>
      </c>
      <c r="R127" s="111">
        <v>3216961913</v>
      </c>
      <c r="S127" s="117" t="s">
        <v>415</v>
      </c>
      <c r="T127" s="64" t="str">
        <f>IF(N127=CURSOS!$D$3,"DIPLOMADO EN ATENCION PRE-HOSPITALARIA",IF(N127=CURSOS!$D$4,"ACOMPAÑAMIENTO Y MANEJO DEL DUELO",IF(N127=CURSOS!$D$5,"ATENCION A VICTIMAS DE ATAQUE CON AGENTES QUIMICOS ",IF(N127=CURSOS!$D$6,"PRIMEROS AUXILIOS ",IF(N127=CURSOS!$D$7,"DIPLOMADO DE UNIDAD DE CUIDADOS INTENSIVOS (UCI)",IF(N127=CURSOS!$D$8,"MODELO DE ATENCION PARA EVENTOS EMERGENTES EN SALUD MENTAL (CODIGO VERDE)",IF(N127=CURSOS!$D$9,"HUMANIZACION EN SALUD, BUENAS PRACTICAS EN PACIENTE ",IF(N127=CURSOS!$D$10,"CLINICA DE HERIDAS ",IF(N127=CURSOS!$D$11,"TOMA DE CITOLOGIA A CERVICO VAGINAL ",IF(N127=CURSOS!$D$12,"SOPORTE CARDIOVASCULAR AVANZADO ",IF(N127=CURSOS!$D$13,"CAMILLERO ",IF(N127=CURSOS!$D$14,"TOMA MUESTRAS Y LABORATORIO ",IF(N127=CURSOS!$D$15,"SOPORTE VITAL BASICO (BLS)",IF(N127=CURSOS!$D$16,"ATENCION A VICTIMAS DE VIOLENCIA SEXUAL ",IF(N127=CURSOS!$D$17,"PROGRAMADO AMPLIADO DE INMUNIZACION (PAI - COVID 19)",IF(N127=CURSOS!$D$18,"ATENCION INTEGRAL EN ENFERMEDADES PREVALENTES EN PRIMERA INFANCIA (AIEPI)",IF(N127=CURSOS!$D$19,"ADMINISTRACION DE MEDICAMENTOS, IYECTOLOGIA  Y CANALIZACION ",IF(N127=CURSOS!$D$20,"OPERADOR DE VEHICULOS DE EMERGENCIA (OVE)",IF(N127=CURSOS!$D$21,"INSTITUCIONES AMIGAS DE LA MUJER Y LA INFANCIA (IAMI)",IF(N127=CURSOS!$D$22,"CUIDADO DEL DONANTE DE ORGANOS",IF(N127=CURSOS!$D$23,"ATENCION A VICTIMAS POR VIOLENCIA DE GENERO",IF(N127=CURSOS!$D$24,"IGUALDAD DE GENERO EN LA SALUD",IF(N127=CURSOS!$D$25,"BRIGADA DE EMERGENCIA",IF(N127=CURSOS!$D$26,"MANEJO DEL DOLOR Y CUIDADOS PALIATIVOS",IF(N127=CURSOS!$D$27,"TOMA MUESTRAS Y LABORATORIO POCT",IF(N127=CURSOS!$D$28,"IMPLANTE SUBDERMICO Y DISPOSITIVO INTRAUTERINO",IF(N127=CURSOS!$D$29,"SALUD MENTAL",IF(N127=CURSOS!$D$30,"PRIMEROS AUXILIOS PSICOLOGICOS",IF(N127=CURSOS!$D$31,"ATENCION A VICTIMAS POR CONFLICTO ARMADO",IF(N127=CURSOS!$D$32,"MANIPULACION DE ALIMENTOS Y BPM",IF(N127=CURSOS!$D$33,"ATENCION A PERSONAS CON DISCAPACIDAD",IF(N127=CURSOS!$D$34,"CUIDADO INTEGRAL DEL PACIENTE ADULTO"))))))))))))))))))))))))))))))))</f>
        <v>SOPORTE VITAL BASICO (BLS)</v>
      </c>
      <c r="U127" s="64" t="str">
        <f t="shared" si="6"/>
        <v>Maria Alejandra Bastidas Vera</v>
      </c>
      <c r="V127" s="64" t="str">
        <f t="shared" si="7"/>
        <v>Maria Alejandra Bastidas Vera</v>
      </c>
      <c r="W127" s="64" t="str">
        <f t="shared" si="8"/>
        <v>Maria Alejandra Bastidas Vera-1085327331-BLS</v>
      </c>
    </row>
    <row r="128" spans="1:23" s="105" customFormat="1" x14ac:dyDescent="0.2">
      <c r="A128" s="94">
        <v>127</v>
      </c>
      <c r="B128" s="111">
        <v>1004623899</v>
      </c>
      <c r="C128" s="111" t="s">
        <v>416</v>
      </c>
      <c r="D128" s="111" t="s">
        <v>417</v>
      </c>
      <c r="E128" s="111" t="s">
        <v>418</v>
      </c>
      <c r="F128" s="111" t="s">
        <v>419</v>
      </c>
      <c r="G128" s="113">
        <v>27</v>
      </c>
      <c r="H128" s="16" t="s">
        <v>90</v>
      </c>
      <c r="I128" s="114">
        <v>45471</v>
      </c>
      <c r="J128" s="115">
        <v>25000</v>
      </c>
      <c r="K128" s="113" t="s">
        <v>229</v>
      </c>
      <c r="L128" s="113" t="s">
        <v>101</v>
      </c>
      <c r="M128" s="102" t="s">
        <v>193</v>
      </c>
      <c r="N128" s="103" t="s">
        <v>19</v>
      </c>
      <c r="O128" s="118">
        <v>37196</v>
      </c>
      <c r="P128" s="111" t="s">
        <v>108</v>
      </c>
      <c r="Q128" s="116" t="s">
        <v>117</v>
      </c>
      <c r="R128" s="111">
        <v>3156908912</v>
      </c>
      <c r="S128" s="112" t="s">
        <v>423</v>
      </c>
      <c r="T128" s="64" t="str">
        <f>IF(N128=CURSOS!$D$3,"DIPLOMADO EN ATENCION PRE-HOSPITALARIA",IF(N128=CURSOS!$D$4,"ACOMPAÑAMIENTO Y MANEJO DEL DUELO",IF(N128=CURSOS!$D$5,"ATENCION A VICTIMAS DE ATAQUE CON AGENTES QUIMICOS ",IF(N128=CURSOS!$D$6,"PRIMEROS AUXILIOS ",IF(N128=CURSOS!$D$7,"DIPLOMADO DE UNIDAD DE CUIDADOS INTENSIVOS (UCI)",IF(N128=CURSOS!$D$8,"MODELO DE ATENCION PARA EVENTOS EMERGENTES EN SALUD MENTAL (CODIGO VERDE)",IF(N128=CURSOS!$D$9,"HUMANIZACION EN SALUD, BUENAS PRACTICAS EN PACIENTE ",IF(N128=CURSOS!$D$10,"CLINICA DE HERIDAS ",IF(N128=CURSOS!$D$11,"TOMA DE CITOLOGIA A CERVICO VAGINAL ",IF(N128=CURSOS!$D$12,"SOPORTE CARDIOVASCULAR AVANZADO ",IF(N128=CURSOS!$D$13,"CAMILLERO ",IF(N128=CURSOS!$D$14,"TOMA MUESTRAS Y LABORATORIO ",IF(N128=CURSOS!$D$15,"SOPORTE VITAL BASICO (BLS)",IF(N128=CURSOS!$D$16,"ATENCION A VICTIMAS DE VIOLENCIA SEXUAL ",IF(N128=CURSOS!$D$17,"PROGRAMADO AMPLIADO DE INMUNIZACION (PAI - COVID 19)",IF(N128=CURSOS!$D$18,"ATENCION INTEGRAL EN ENFERMEDADES PREVALENTES EN PRIMERA INFANCIA (AIEPI)",IF(N128=CURSOS!$D$19,"ADMINISTRACION DE MEDICAMENTOS, IYECTOLOGIA  Y CANALIZACION ",IF(N128=CURSOS!$D$20,"OPERADOR DE VEHICULOS DE EMERGENCIA (OVE)",IF(N128=CURSOS!$D$21,"INSTITUCIONES AMIGAS DE LA MUJER Y LA INFANCIA (IAMI)",IF(N128=CURSOS!$D$22,"CUIDADO DEL DONANTE DE ORGANOS",IF(N128=CURSOS!$D$23,"ATENCION A VICTIMAS POR VIOLENCIA DE GENERO",IF(N128=CURSOS!$D$24,"IGUALDAD DE GENERO EN LA SALUD",IF(N128=CURSOS!$D$25,"BRIGADA DE EMERGENCIA",IF(N128=CURSOS!$D$26,"MANEJO DEL DOLOR Y CUIDADOS PALIATIVOS",IF(N128=CURSOS!$D$27,"TOMA MUESTRAS Y LABORATORIO POCT",IF(N128=CURSOS!$D$28,"IMPLANTE SUBDERMICO Y DISPOSITIVO INTRAUTERINO",IF(N128=CURSOS!$D$29,"SALUD MENTAL",IF(N128=CURSOS!$D$30,"PRIMEROS AUXILIOS PSICOLOGICOS",IF(N128=CURSOS!$D$31,"ATENCION A VICTIMAS POR CONFLICTO ARMADO",IF(N128=CURSOS!$D$32,"MANIPULACION DE ALIMENTOS Y BPM",IF(N128=CURSOS!$D$33,"ATENCION A PERSONAS CON DISCAPACIDAD",IF(N128=CURSOS!$D$34,"CUIDADO INTEGRAL DEL PACIENTE ADULTO"))))))))))))))))))))))))))))))))</f>
        <v>SOPORTE VITAL BASICO (BLS)</v>
      </c>
      <c r="U128" s="64" t="str">
        <f t="shared" si="6"/>
        <v>Denis Talia Basante Cuaspud</v>
      </c>
      <c r="V128" s="64" t="str">
        <f t="shared" si="7"/>
        <v>Denis Talia Basante Cuaspud</v>
      </c>
      <c r="W128" s="64" t="str">
        <f t="shared" si="8"/>
        <v>Denis Talia Basante Cuaspud-1004623899-BLS</v>
      </c>
    </row>
    <row r="129" spans="1:23" s="105" customFormat="1" x14ac:dyDescent="0.2">
      <c r="A129" s="94">
        <v>128</v>
      </c>
      <c r="B129" s="111">
        <v>1086361303</v>
      </c>
      <c r="C129" s="111" t="s">
        <v>86</v>
      </c>
      <c r="D129" s="111" t="s">
        <v>122</v>
      </c>
      <c r="E129" s="111" t="s">
        <v>420</v>
      </c>
      <c r="F129" s="111" t="s">
        <v>115</v>
      </c>
      <c r="G129" s="113">
        <v>26</v>
      </c>
      <c r="H129" s="16" t="s">
        <v>422</v>
      </c>
      <c r="I129" s="120">
        <v>45470</v>
      </c>
      <c r="J129" s="115">
        <v>25000</v>
      </c>
      <c r="K129" s="113" t="s">
        <v>91</v>
      </c>
      <c r="L129" s="113" t="s">
        <v>101</v>
      </c>
      <c r="M129" s="102" t="s">
        <v>119</v>
      </c>
      <c r="N129" s="103" t="s">
        <v>46</v>
      </c>
      <c r="O129" s="118">
        <v>33559</v>
      </c>
      <c r="P129" s="111" t="s">
        <v>108</v>
      </c>
      <c r="Q129" s="116" t="s">
        <v>117</v>
      </c>
      <c r="R129" s="111">
        <v>3145237387</v>
      </c>
      <c r="S129" s="111" t="s">
        <v>421</v>
      </c>
      <c r="T129" s="64" t="str">
        <f>IF(N129=CURSOS!$D$3,"DIPLOMADO EN ATENCION PRE-HOSPITALARIA",IF(N129=CURSOS!$D$4,"ACOMPAÑAMIENTO Y MANEJO DEL DUELO",IF(N129=CURSOS!$D$5,"ATENCION A VICTIMAS DE ATAQUE CON AGENTES QUIMICOS ",IF(N129=CURSOS!$D$6,"PRIMEROS AUXILIOS ",IF(N129=CURSOS!$D$7,"DIPLOMADO DE UNIDAD DE CUIDADOS INTENSIVOS (UCI)",IF(N129=CURSOS!$D$8,"MODELO DE ATENCION PARA EVENTOS EMERGENTES EN SALUD MENTAL (CODIGO VERDE)",IF(N129=CURSOS!$D$9,"HUMANIZACION EN SALUD, BUENAS PRACTICAS EN PACIENTE ",IF(N129=CURSOS!$D$10,"CLINICA DE HERIDAS ",IF(N129=CURSOS!$D$11,"TOMA DE CITOLOGIA A CERVICO VAGINAL ",IF(N129=CURSOS!$D$12,"SOPORTE CARDIOVASCULAR AVANZADO ",IF(N129=CURSOS!$D$13,"CAMILLERO ",IF(N129=CURSOS!$D$14,"TOMA MUESTRAS Y LABORATORIO ",IF(N129=CURSOS!$D$15,"SOPORTE VITAL BASICO (BLS)",IF(N129=CURSOS!$D$16,"ATENCION A VICTIMAS DE VIOLENCIA SEXUAL ",IF(N129=CURSOS!$D$17,"PROGRAMADO AMPLIADO DE INMUNIZACION (PAI - COVID 19)",IF(N129=CURSOS!$D$18,"ATENCION INTEGRAL EN ENFERMEDADES PREVALENTES EN PRIMERA INFANCIA (AIEPI)",IF(N129=CURSOS!$D$19,"ADMINISTRACION DE MEDICAMENTOS, IYECTOLOGIA  Y CANALIZACION ",IF(N129=CURSOS!$D$20,"OPERADOR DE VEHICULOS DE EMERGENCIA (OVE)",IF(N129=CURSOS!$D$21,"INSTITUCIONES AMIGAS DE LA MUJER Y LA INFANCIA (IAMI)",IF(N129=CURSOS!$D$22,"CUIDADO DEL DONANTE DE ORGANOS",IF(N129=CURSOS!$D$23,"ATENCION A VICTIMAS POR VIOLENCIA DE GENERO",IF(N129=CURSOS!$D$24,"IGUALDAD DE GENERO EN LA SALUD",IF(N129=CURSOS!$D$25,"BRIGADA DE EMERGENCIA",IF(N129=CURSOS!$D$26,"MANEJO DEL DOLOR Y CUIDADOS PALIATIVOS",IF(N129=CURSOS!$D$27,"TOMA MUESTRAS Y LABORATORIO POCT",IF(N129=CURSOS!$D$28,"IMPLANTE SUBDERMICO Y DISPOSITIVO INTRAUTERINO",IF(N129=CURSOS!$D$29,"SALUD MENTAL",IF(N129=CURSOS!$D$30,"PRIMEROS AUXILIOS PSICOLOGICOS",IF(N129=CURSOS!$D$31,"ATENCION A VICTIMAS POR CONFLICTO ARMADO",IF(N129=CURSOS!$D$32,"MANIPULACION DE ALIMENTOS Y BPM",IF(N129=CURSOS!$D$33,"ATENCION A PERSONAS CON DISCAPACIDAD",IF(N129=CURSOS!$D$34,"CUIDADO INTEGRAL DEL PACIENTE ADULTO"))))))))))))))))))))))))))))))))</f>
        <v xml:space="preserve">ATENCION A VICTIMAS DE VIOLENCIA SEXUAL </v>
      </c>
      <c r="U129" s="64" t="str">
        <f t="shared" si="6"/>
        <v>Mabel Maria Melo Guerrero</v>
      </c>
      <c r="V129" s="64" t="str">
        <f t="shared" si="7"/>
        <v>Mabel Maria Melo Guerrero</v>
      </c>
      <c r="W129" s="64" t="str">
        <f t="shared" si="8"/>
        <v>Mabel Maria Melo Guerrero-1086361303-VIOLENCIA SEXUAL</v>
      </c>
    </row>
    <row r="130" spans="1:23" s="105" customFormat="1" x14ac:dyDescent="0.2">
      <c r="A130" s="94">
        <v>129</v>
      </c>
      <c r="B130" s="111">
        <v>1086361303</v>
      </c>
      <c r="C130" s="111" t="s">
        <v>86</v>
      </c>
      <c r="D130" s="111" t="s">
        <v>122</v>
      </c>
      <c r="E130" s="111" t="s">
        <v>420</v>
      </c>
      <c r="F130" s="111" t="s">
        <v>115</v>
      </c>
      <c r="G130" s="113">
        <v>27</v>
      </c>
      <c r="H130" s="16" t="s">
        <v>422</v>
      </c>
      <c r="I130" s="120">
        <v>45470</v>
      </c>
      <c r="J130" s="115">
        <v>25000</v>
      </c>
      <c r="K130" s="113" t="s">
        <v>91</v>
      </c>
      <c r="L130" s="113" t="s">
        <v>101</v>
      </c>
      <c r="M130" s="102" t="s">
        <v>119</v>
      </c>
      <c r="N130" s="103" t="s">
        <v>23</v>
      </c>
      <c r="O130" s="118">
        <v>33559</v>
      </c>
      <c r="P130" s="111" t="s">
        <v>108</v>
      </c>
      <c r="Q130" s="116" t="s">
        <v>117</v>
      </c>
      <c r="R130" s="111">
        <v>3145237387</v>
      </c>
      <c r="S130" s="111" t="s">
        <v>421</v>
      </c>
      <c r="T130" s="64" t="str">
        <f>IF(N130=CURSOS!$D$3,"DIPLOMADO EN ATENCION PRE-HOSPITALARIA",IF(N130=CURSOS!$D$4,"ACOMPAÑAMIENTO Y MANEJO DEL DUELO",IF(N130=CURSOS!$D$5,"ATENCION A VICTIMAS DE ATAQUE CON AGENTES QUIMICOS ",IF(N130=CURSOS!$D$6,"PRIMEROS AUXILIOS ",IF(N130=CURSOS!$D$7,"DIPLOMADO DE UNIDAD DE CUIDADOS INTENSIVOS (UCI)",IF(N130=CURSOS!$D$8,"MODELO DE ATENCION PARA EVENTOS EMERGENTES EN SALUD MENTAL (CODIGO VERDE)",IF(N130=CURSOS!$D$9,"HUMANIZACION EN SALUD, BUENAS PRACTICAS EN PACIENTE ",IF(N130=CURSOS!$D$10,"CLINICA DE HERIDAS ",IF(N130=CURSOS!$D$11,"TOMA DE CITOLOGIA A CERVICO VAGINAL ",IF(N130=CURSOS!$D$12,"SOPORTE CARDIOVASCULAR AVANZADO ",IF(N130=CURSOS!$D$13,"CAMILLERO ",IF(N130=CURSOS!$D$14,"TOMA MUESTRAS Y LABORATORIO ",IF(N130=CURSOS!$D$15,"SOPORTE VITAL BASICO (BLS)",IF(N130=CURSOS!$D$16,"ATENCION A VICTIMAS DE VIOLENCIA SEXUAL ",IF(N130=CURSOS!$D$17,"PROGRAMADO AMPLIADO DE INMUNIZACION (PAI - COVID 19)",IF(N130=CURSOS!$D$18,"ATENCION INTEGRAL EN ENFERMEDADES PREVALENTES EN PRIMERA INFANCIA (AIEPI)",IF(N130=CURSOS!$D$19,"ADMINISTRACION DE MEDICAMENTOS, IYECTOLOGIA  Y CANALIZACION ",IF(N130=CURSOS!$D$20,"OPERADOR DE VEHICULOS DE EMERGENCIA (OVE)",IF(N130=CURSOS!$D$21,"INSTITUCIONES AMIGAS DE LA MUJER Y LA INFANCIA (IAMI)",IF(N130=CURSOS!$D$22,"CUIDADO DEL DONANTE DE ORGANOS",IF(N130=CURSOS!$D$23,"ATENCION A VICTIMAS POR VIOLENCIA DE GENERO",IF(N130=CURSOS!$D$24,"IGUALDAD DE GENERO EN LA SALUD",IF(N130=CURSOS!$D$25,"BRIGADA DE EMERGENCIA",IF(N130=CURSOS!$D$26,"MANEJO DEL DOLOR Y CUIDADOS PALIATIVOS",IF(N130=CURSOS!$D$27,"TOMA MUESTRAS Y LABORATORIO POCT",IF(N130=CURSOS!$D$28,"IMPLANTE SUBDERMICO Y DISPOSITIVO INTRAUTERINO",IF(N130=CURSOS!$D$29,"SALUD MENTAL",IF(N130=CURSOS!$D$30,"PRIMEROS AUXILIOS PSICOLOGICOS",IF(N130=CURSOS!$D$31,"ATENCION A VICTIMAS POR CONFLICTO ARMADO",IF(N130=CURSOS!$D$32,"MANIPULACION DE ALIMENTOS Y BPM",IF(N130=CURSOS!$D$33,"ATENCION A PERSONAS CON DISCAPACIDAD",IF(N130=CURSOS!$D$34,"CUIDADO INTEGRAL DEL PACIENTE ADULTO"))))))))))))))))))))))))))))))))</f>
        <v>ACOMPAÑAMIENTO Y MANEJO DEL DUELO</v>
      </c>
      <c r="U130" s="64" t="str">
        <f t="shared" si="6"/>
        <v>Mabel Maria Melo Guerrero</v>
      </c>
      <c r="V130" s="64" t="str">
        <f t="shared" si="7"/>
        <v>Mabel Maria Melo Guerrero</v>
      </c>
      <c r="W130" s="64" t="str">
        <f t="shared" si="8"/>
        <v>Mabel Maria Melo Guerrero-1086361303-DUELO</v>
      </c>
    </row>
    <row r="131" spans="1:23" s="123" customFormat="1" x14ac:dyDescent="0.2">
      <c r="A131" s="94">
        <v>130</v>
      </c>
      <c r="B131" s="111">
        <v>1083812673</v>
      </c>
      <c r="C131" s="111" t="s">
        <v>424</v>
      </c>
      <c r="D131" s="111" t="s">
        <v>425</v>
      </c>
      <c r="E131" s="111" t="s">
        <v>251</v>
      </c>
      <c r="F131" s="111" t="s">
        <v>286</v>
      </c>
      <c r="G131" s="119">
        <v>27</v>
      </c>
      <c r="H131" s="16" t="s">
        <v>90</v>
      </c>
      <c r="I131" s="120">
        <v>45470</v>
      </c>
      <c r="J131" s="121">
        <v>70000</v>
      </c>
      <c r="K131" s="119" t="s">
        <v>229</v>
      </c>
      <c r="L131" s="119" t="s">
        <v>101</v>
      </c>
      <c r="M131" s="122" t="s">
        <v>93</v>
      </c>
      <c r="N131" s="103" t="s">
        <v>64</v>
      </c>
      <c r="O131" s="110">
        <v>32713</v>
      </c>
      <c r="P131" s="111" t="s">
        <v>108</v>
      </c>
      <c r="Q131" s="111" t="s">
        <v>261</v>
      </c>
      <c r="R131" s="111">
        <v>3135450796</v>
      </c>
      <c r="S131" s="111" t="s">
        <v>426</v>
      </c>
      <c r="T131" s="64" t="str">
        <f>IF(N131=CURSOS!$D$3,"DIPLOMADO EN ATENCION PRE-HOSPITALARIA",IF(N131=CURSOS!$D$4,"ACOMPAÑAMIENTO Y MANEJO DEL DUELO",IF(N131=CURSOS!$D$5,"ATENCION A VICTIMAS DE ATAQUE CON AGENTES QUIMICOS ",IF(N131=CURSOS!$D$6,"PRIMEROS AUXILIOS ",IF(N131=CURSOS!$D$7,"DIPLOMADO DE UNIDAD DE CUIDADOS INTENSIVOS (UCI)",IF(N131=CURSOS!$D$8,"MODELO DE ATENCION PARA EVENTOS EMERGENTES EN SALUD MENTAL (CODIGO VERDE)",IF(N131=CURSOS!$D$9,"HUMANIZACION EN SALUD, BUENAS PRACTICAS EN PACIENTE ",IF(N131=CURSOS!$D$10,"CLINICA DE HERIDAS ",IF(N131=CURSOS!$D$11,"TOMA DE CITOLOGIA A CERVICO VAGINAL ",IF(N131=CURSOS!$D$12,"SOPORTE CARDIOVASCULAR AVANZADO ",IF(N131=CURSOS!$D$13,"CAMILLERO ",IF(N131=CURSOS!$D$14,"TOMA MUESTRAS Y LABORATORIO ",IF(N131=CURSOS!$D$15,"SOPORTE VITAL BASICO (BLS)",IF(N131=CURSOS!$D$16,"ATENCION A VICTIMAS DE VIOLENCIA SEXUAL ",IF(N131=CURSOS!$D$17,"PROGRAMADO AMPLIADO DE INMUNIZACION (PAI - COVID 19)",IF(N131=CURSOS!$D$18,"ATENCION INTEGRAL EN ENFERMEDADES PREVALENTES EN PRIMERA INFANCIA (AIEPI)",IF(N131=CURSOS!$D$19,"ADMINISTRACION DE MEDICAMENTOS, IYECTOLOGIA  Y CANALIZACION ",IF(N131=CURSOS!$D$20,"OPERADOR DE VEHICULOS DE EMERGENCIA (OVE)",IF(N131=CURSOS!$D$21,"INSTITUCIONES AMIGAS DE LA MUJER Y LA INFANCIA (IAMI)",IF(N131=CURSOS!$D$22,"CUIDADO DEL DONANTE DE ORGANOS",IF(N131=CURSOS!$D$23,"ATENCION A VICTIMAS POR VIOLENCIA DE GENERO",IF(N131=CURSOS!$D$24,"IGUALDAD DE GENERO EN LA SALUD",IF(N131=CURSOS!$D$25,"BRIGADA DE EMERGENCIA",IF(N131=CURSOS!$D$26,"MANEJO DEL DOLOR Y CUIDADOS PALIATIVOS",IF(N131=CURSOS!$D$27,"TOMA MUESTRAS Y LABORATORIO POCT",IF(N131=CURSOS!$D$28,"IMPLANTE SUBDERMICO Y DISPOSITIVO INTRAUTERINO",IF(N131=CURSOS!$D$29,"SALUD MENTAL",IF(N131=CURSOS!$D$30,"PRIMEROS AUXILIOS PSICOLOGICOS",IF(N131=CURSOS!$D$31,"ATENCION A VICTIMAS POR CONFLICTO ARMADO",IF(N131=CURSOS!$D$32,"MANIPULACION DE ALIMENTOS Y BPM",IF(N131=CURSOS!$D$33,"ATENCION A PERSONAS CON DISCAPACIDAD",IF(N131=CURSOS!$D$34,"CUIDADO INTEGRAL DEL PACIENTE ADULTO"))))))))))))))))))))))))))))))))</f>
        <v>MANEJO DEL DOLOR Y CUIDADOS PALIATIVOS</v>
      </c>
      <c r="U131" s="64" t="str">
        <f t="shared" ref="U131:U134" si="9">CONCATENATE(E131," ",F131," ",C131," ",D131)</f>
        <v>Paola Andrea Ordoñez Morcillo</v>
      </c>
      <c r="V131" s="64" t="str">
        <f t="shared" ref="V131:V134" si="10">+PROPER(U131)</f>
        <v>Paola Andrea Ordoñez Morcillo</v>
      </c>
      <c r="W131" s="64" t="str">
        <f t="shared" ref="W131:W134" si="11">CONCATENATE(U131,"-",B131,"-",N131)</f>
        <v>Paola Andrea Ordoñez Morcillo-1083812673-PALIATIVOS</v>
      </c>
    </row>
    <row r="132" spans="1:23" s="105" customFormat="1" x14ac:dyDescent="0.2">
      <c r="A132" s="94">
        <v>131</v>
      </c>
      <c r="B132" s="111">
        <v>1083812673</v>
      </c>
      <c r="C132" s="111" t="s">
        <v>424</v>
      </c>
      <c r="D132" s="111" t="s">
        <v>425</v>
      </c>
      <c r="E132" s="111" t="s">
        <v>251</v>
      </c>
      <c r="F132" s="111" t="s">
        <v>286</v>
      </c>
      <c r="G132" s="113">
        <v>26</v>
      </c>
      <c r="H132" s="16" t="s">
        <v>90</v>
      </c>
      <c r="I132" s="120">
        <v>45470</v>
      </c>
      <c r="J132" s="115">
        <v>80000</v>
      </c>
      <c r="K132" s="113" t="s">
        <v>229</v>
      </c>
      <c r="L132" s="113" t="s">
        <v>101</v>
      </c>
      <c r="M132" s="102" t="s">
        <v>93</v>
      </c>
      <c r="N132" s="103" t="s">
        <v>46</v>
      </c>
      <c r="O132" s="118">
        <v>32713</v>
      </c>
      <c r="P132" s="111" t="s">
        <v>108</v>
      </c>
      <c r="Q132" s="116" t="s">
        <v>261</v>
      </c>
      <c r="R132" s="111">
        <v>3135450796</v>
      </c>
      <c r="S132" s="111" t="s">
        <v>426</v>
      </c>
      <c r="T132" s="64" t="str">
        <f>IF(N132=CURSOS!$D$3,"DIPLOMADO EN ATENCION PRE-HOSPITALARIA",IF(N132=CURSOS!$D$4,"ACOMPAÑAMIENTO Y MANEJO DEL DUELO",IF(N132=CURSOS!$D$5,"ATENCION A VICTIMAS DE ATAQUE CON AGENTES QUIMICOS ",IF(N132=CURSOS!$D$6,"PRIMEROS AUXILIOS ",IF(N132=CURSOS!$D$7,"DIPLOMADO DE UNIDAD DE CUIDADOS INTENSIVOS (UCI)",IF(N132=CURSOS!$D$8,"MODELO DE ATENCION PARA EVENTOS EMERGENTES EN SALUD MENTAL (CODIGO VERDE)",IF(N132=CURSOS!$D$9,"HUMANIZACION EN SALUD, BUENAS PRACTICAS EN PACIENTE ",IF(N132=CURSOS!$D$10,"CLINICA DE HERIDAS ",IF(N132=CURSOS!$D$11,"TOMA DE CITOLOGIA A CERVICO VAGINAL ",IF(N132=CURSOS!$D$12,"SOPORTE CARDIOVASCULAR AVANZADO ",IF(N132=CURSOS!$D$13,"CAMILLERO ",IF(N132=CURSOS!$D$14,"TOMA MUESTRAS Y LABORATORIO ",IF(N132=CURSOS!$D$15,"SOPORTE VITAL BASICO (BLS)",IF(N132=CURSOS!$D$16,"ATENCION A VICTIMAS DE VIOLENCIA SEXUAL ",IF(N132=CURSOS!$D$17,"PROGRAMADO AMPLIADO DE INMUNIZACION (PAI - COVID 19)",IF(N132=CURSOS!$D$18,"ATENCION INTEGRAL EN ENFERMEDADES PREVALENTES EN PRIMERA INFANCIA (AIEPI)",IF(N132=CURSOS!$D$19,"ADMINISTRACION DE MEDICAMENTOS, IYECTOLOGIA  Y CANALIZACION ",IF(N132=CURSOS!$D$20,"OPERADOR DE VEHICULOS DE EMERGENCIA (OVE)",IF(N132=CURSOS!$D$21,"INSTITUCIONES AMIGAS DE LA MUJER Y LA INFANCIA (IAMI)",IF(N132=CURSOS!$D$22,"CUIDADO DEL DONANTE DE ORGANOS",IF(N132=CURSOS!$D$23,"ATENCION A VICTIMAS POR VIOLENCIA DE GENERO",IF(N132=CURSOS!$D$24,"IGUALDAD DE GENERO EN LA SALUD",IF(N132=CURSOS!$D$25,"BRIGADA DE EMERGENCIA",IF(N132=CURSOS!$D$26,"MANEJO DEL DOLOR Y CUIDADOS PALIATIVOS",IF(N132=CURSOS!$D$27,"TOMA MUESTRAS Y LABORATORIO POCT",IF(N132=CURSOS!$D$28,"IMPLANTE SUBDERMICO Y DISPOSITIVO INTRAUTERINO",IF(N132=CURSOS!$D$29,"SALUD MENTAL",IF(N132=CURSOS!$D$30,"PRIMEROS AUXILIOS PSICOLOGICOS",IF(N132=CURSOS!$D$31,"ATENCION A VICTIMAS POR CONFLICTO ARMADO",IF(N132=CURSOS!$D$32,"MANIPULACION DE ALIMENTOS Y BPM",IF(N132=CURSOS!$D$33,"ATENCION A PERSONAS CON DISCAPACIDAD",IF(N132=CURSOS!$D$34,"CUIDADO INTEGRAL DEL PACIENTE ADULTO"))))))))))))))))))))))))))))))))</f>
        <v xml:space="preserve">ATENCION A VICTIMAS DE VIOLENCIA SEXUAL </v>
      </c>
      <c r="U132" s="64" t="str">
        <f t="shared" si="9"/>
        <v>Paola Andrea Ordoñez Morcillo</v>
      </c>
      <c r="V132" s="64" t="str">
        <f t="shared" si="10"/>
        <v>Paola Andrea Ordoñez Morcillo</v>
      </c>
      <c r="W132" s="64" t="str">
        <f t="shared" si="11"/>
        <v>Paola Andrea Ordoñez Morcillo-1083812673-VIOLENCIA SEXUAL</v>
      </c>
    </row>
    <row r="133" spans="1:23" s="105" customFormat="1" x14ac:dyDescent="0.2">
      <c r="A133" s="94">
        <v>132</v>
      </c>
      <c r="B133" s="116">
        <v>1086359492</v>
      </c>
      <c r="C133" s="111" t="s">
        <v>427</v>
      </c>
      <c r="D133" s="111" t="s">
        <v>428</v>
      </c>
      <c r="E133" s="111" t="s">
        <v>115</v>
      </c>
      <c r="F133" s="111" t="s">
        <v>168</v>
      </c>
      <c r="G133" s="113">
        <v>28</v>
      </c>
      <c r="H133" s="16" t="s">
        <v>429</v>
      </c>
      <c r="I133" s="120">
        <v>45470</v>
      </c>
      <c r="J133" s="115">
        <v>25000</v>
      </c>
      <c r="K133" s="113" t="s">
        <v>91</v>
      </c>
      <c r="L133" s="113" t="s">
        <v>101</v>
      </c>
      <c r="M133" s="102" t="s">
        <v>119</v>
      </c>
      <c r="N133" s="103" t="s">
        <v>23</v>
      </c>
      <c r="O133" s="89">
        <v>32287</v>
      </c>
      <c r="P133" s="111" t="s">
        <v>108</v>
      </c>
      <c r="Q133" s="116" t="s">
        <v>311</v>
      </c>
      <c r="R133" s="111">
        <v>3127173548</v>
      </c>
      <c r="S133" s="111" t="s">
        <v>430</v>
      </c>
      <c r="T133" s="64" t="str">
        <f>IF(N133=CURSOS!$D$3,"DIPLOMADO EN ATENCION PRE-HOSPITALARIA",IF(N133=CURSOS!$D$4,"ACOMPAÑAMIENTO Y MANEJO DEL DUELO",IF(N133=CURSOS!$D$5,"ATENCION A VICTIMAS DE ATAQUE CON AGENTES QUIMICOS ",IF(N133=CURSOS!$D$6,"PRIMEROS AUXILIOS ",IF(N133=CURSOS!$D$7,"DIPLOMADO DE UNIDAD DE CUIDADOS INTENSIVOS (UCI)",IF(N133=CURSOS!$D$8,"MODELO DE ATENCION PARA EVENTOS EMERGENTES EN SALUD MENTAL (CODIGO VERDE)",IF(N133=CURSOS!$D$9,"HUMANIZACION EN SALUD, BUENAS PRACTICAS EN PACIENTE ",IF(N133=CURSOS!$D$10,"CLINICA DE HERIDAS ",IF(N133=CURSOS!$D$11,"TOMA DE CITOLOGIA A CERVICO VAGINAL ",IF(N133=CURSOS!$D$12,"SOPORTE CARDIOVASCULAR AVANZADO ",IF(N133=CURSOS!$D$13,"CAMILLERO ",IF(N133=CURSOS!$D$14,"TOMA MUESTRAS Y LABORATORIO ",IF(N133=CURSOS!$D$15,"SOPORTE VITAL BASICO (BLS)",IF(N133=CURSOS!$D$16,"ATENCION A VICTIMAS DE VIOLENCIA SEXUAL ",IF(N133=CURSOS!$D$17,"PROGRAMADO AMPLIADO DE INMUNIZACION (PAI - COVID 19)",IF(N133=CURSOS!$D$18,"ATENCION INTEGRAL EN ENFERMEDADES PREVALENTES EN PRIMERA INFANCIA (AIEPI)",IF(N133=CURSOS!$D$19,"ADMINISTRACION DE MEDICAMENTOS, IYECTOLOGIA  Y CANALIZACION ",IF(N133=CURSOS!$D$20,"OPERADOR DE VEHICULOS DE EMERGENCIA (OVE)",IF(N133=CURSOS!$D$21,"INSTITUCIONES AMIGAS DE LA MUJER Y LA INFANCIA (IAMI)",IF(N133=CURSOS!$D$22,"CUIDADO DEL DONANTE DE ORGANOS",IF(N133=CURSOS!$D$23,"ATENCION A VICTIMAS POR VIOLENCIA DE GENERO",IF(N133=CURSOS!$D$24,"IGUALDAD DE GENERO EN LA SALUD",IF(N133=CURSOS!$D$25,"BRIGADA DE EMERGENCIA",IF(N133=CURSOS!$D$26,"MANEJO DEL DOLOR Y CUIDADOS PALIATIVOS",IF(N133=CURSOS!$D$27,"TOMA MUESTRAS Y LABORATORIO POCT",IF(N133=CURSOS!$D$28,"IMPLANTE SUBDERMICO Y DISPOSITIVO INTRAUTERINO",IF(N133=CURSOS!$D$29,"SALUD MENTAL",IF(N133=CURSOS!$D$30,"PRIMEROS AUXILIOS PSICOLOGICOS",IF(N133=CURSOS!$D$31,"ATENCION A VICTIMAS POR CONFLICTO ARMADO",IF(N133=CURSOS!$D$32,"MANIPULACION DE ALIMENTOS Y BPM",IF(N133=CURSOS!$D$33,"ATENCION A PERSONAS CON DISCAPACIDAD",IF(N133=CURSOS!$D$34,"CUIDADO INTEGRAL DEL PACIENTE ADULTO"))))))))))))))))))))))))))))))))</f>
        <v>ACOMPAÑAMIENTO Y MANEJO DEL DUELO</v>
      </c>
      <c r="U133" s="64" t="str">
        <f t="shared" si="9"/>
        <v>Maria Fernanda Zamora Apraez</v>
      </c>
      <c r="V133" s="64" t="str">
        <f t="shared" si="10"/>
        <v>Maria Fernanda Zamora Apraez</v>
      </c>
      <c r="W133" s="64" t="str">
        <f t="shared" si="11"/>
        <v>Maria Fernanda Zamora Apraez-1086359492-DUELO</v>
      </c>
    </row>
    <row r="134" spans="1:23" s="105" customFormat="1" x14ac:dyDescent="0.2">
      <c r="A134" s="94">
        <v>133</v>
      </c>
      <c r="B134" s="116">
        <v>1086359492</v>
      </c>
      <c r="C134" s="111" t="s">
        <v>427</v>
      </c>
      <c r="D134" s="111" t="s">
        <v>428</v>
      </c>
      <c r="E134" s="111" t="s">
        <v>115</v>
      </c>
      <c r="F134" s="111" t="s">
        <v>168</v>
      </c>
      <c r="G134" s="113">
        <v>27</v>
      </c>
      <c r="H134" s="16" t="s">
        <v>429</v>
      </c>
      <c r="I134" s="120">
        <v>45470</v>
      </c>
      <c r="J134" s="115">
        <v>25000</v>
      </c>
      <c r="K134" s="113" t="s">
        <v>91</v>
      </c>
      <c r="L134" s="113" t="s">
        <v>101</v>
      </c>
      <c r="M134" s="102" t="s">
        <v>119</v>
      </c>
      <c r="N134" s="124" t="s">
        <v>46</v>
      </c>
      <c r="O134" s="89">
        <v>32287</v>
      </c>
      <c r="P134" s="111" t="s">
        <v>108</v>
      </c>
      <c r="Q134" s="116" t="s">
        <v>311</v>
      </c>
      <c r="R134" s="111">
        <v>3127173548</v>
      </c>
      <c r="S134" s="111" t="s">
        <v>430</v>
      </c>
      <c r="T134" s="64" t="str">
        <f>IF(N134=CURSOS!$D$3,"DIPLOMADO EN ATENCION PRE-HOSPITALARIA",IF(N134=CURSOS!$D$4,"ACOMPAÑAMIENTO Y MANEJO DEL DUELO",IF(N134=CURSOS!$D$5,"ATENCION A VICTIMAS DE ATAQUE CON AGENTES QUIMICOS ",IF(N134=CURSOS!$D$6,"PRIMEROS AUXILIOS ",IF(N134=CURSOS!$D$7,"DIPLOMADO DE UNIDAD DE CUIDADOS INTENSIVOS (UCI)",IF(N134=CURSOS!$D$8,"MODELO DE ATENCION PARA EVENTOS EMERGENTES EN SALUD MENTAL (CODIGO VERDE)",IF(N134=CURSOS!$D$9,"HUMANIZACION EN SALUD, BUENAS PRACTICAS EN PACIENTE ",IF(N134=CURSOS!$D$10,"CLINICA DE HERIDAS ",IF(N134=CURSOS!$D$11,"TOMA DE CITOLOGIA A CERVICO VAGINAL ",IF(N134=CURSOS!$D$12,"SOPORTE CARDIOVASCULAR AVANZADO ",IF(N134=CURSOS!$D$13,"CAMILLERO ",IF(N134=CURSOS!$D$14,"TOMA MUESTRAS Y LABORATORIO ",IF(N134=CURSOS!$D$15,"SOPORTE VITAL BASICO (BLS)",IF(N134=CURSOS!$D$16,"ATENCION A VICTIMAS DE VIOLENCIA SEXUAL ",IF(N134=CURSOS!$D$17,"PROGRAMADO AMPLIADO DE INMUNIZACION (PAI - COVID 19)",IF(N134=CURSOS!$D$18,"ATENCION INTEGRAL EN ENFERMEDADES PREVALENTES EN PRIMERA INFANCIA (AIEPI)",IF(N134=CURSOS!$D$19,"ADMINISTRACION DE MEDICAMENTOS, IYECTOLOGIA  Y CANALIZACION ",IF(N134=CURSOS!$D$20,"OPERADOR DE VEHICULOS DE EMERGENCIA (OVE)",IF(N134=CURSOS!$D$21,"INSTITUCIONES AMIGAS DE LA MUJER Y LA INFANCIA (IAMI)",IF(N134=CURSOS!$D$22,"CUIDADO DEL DONANTE DE ORGANOS",IF(N134=CURSOS!$D$23,"ATENCION A VICTIMAS POR VIOLENCIA DE GENERO",IF(N134=CURSOS!$D$24,"IGUALDAD DE GENERO EN LA SALUD",IF(N134=CURSOS!$D$25,"BRIGADA DE EMERGENCIA",IF(N134=CURSOS!$D$26,"MANEJO DEL DOLOR Y CUIDADOS PALIATIVOS",IF(N134=CURSOS!$D$27,"TOMA MUESTRAS Y LABORATORIO POCT",IF(N134=CURSOS!$D$28,"IMPLANTE SUBDERMICO Y DISPOSITIVO INTRAUTERINO",IF(N134=CURSOS!$D$29,"SALUD MENTAL",IF(N134=CURSOS!$D$30,"PRIMEROS AUXILIOS PSICOLOGICOS",IF(N134=CURSOS!$D$31,"ATENCION A VICTIMAS POR CONFLICTO ARMADO",IF(N134=CURSOS!$D$32,"MANIPULACION DE ALIMENTOS Y BPM",IF(N134=CURSOS!$D$33,"ATENCION A PERSONAS CON DISCAPACIDAD",IF(N134=CURSOS!$D$34,"CUIDADO INTEGRAL DEL PACIENTE ADULTO"))))))))))))))))))))))))))))))))</f>
        <v xml:space="preserve">ATENCION A VICTIMAS DE VIOLENCIA SEXUAL </v>
      </c>
      <c r="U134" s="64" t="str">
        <f t="shared" si="9"/>
        <v>Maria Fernanda Zamora Apraez</v>
      </c>
      <c r="V134" s="64" t="str">
        <f t="shared" si="10"/>
        <v>Maria Fernanda Zamora Apraez</v>
      </c>
      <c r="W134" s="64" t="str">
        <f t="shared" si="11"/>
        <v>Maria Fernanda Zamora Apraez-1086359492-VIOLENCIA SEXUAL</v>
      </c>
    </row>
    <row r="135" spans="1:23" s="21" customFormat="1" x14ac:dyDescent="0.2">
      <c r="A135" s="94">
        <v>134</v>
      </c>
      <c r="B135" s="111">
        <v>1086362554</v>
      </c>
      <c r="C135" s="111" t="s">
        <v>433</v>
      </c>
      <c r="D135" s="111" t="s">
        <v>434</v>
      </c>
      <c r="E135" s="111" t="s">
        <v>250</v>
      </c>
      <c r="F135" s="111" t="s">
        <v>296</v>
      </c>
      <c r="G135" s="113">
        <v>28</v>
      </c>
      <c r="H135" s="16" t="s">
        <v>429</v>
      </c>
      <c r="I135" s="120">
        <v>45470</v>
      </c>
      <c r="J135" s="115">
        <v>25000</v>
      </c>
      <c r="K135" s="113" t="s">
        <v>91</v>
      </c>
      <c r="L135" s="113" t="s">
        <v>101</v>
      </c>
      <c r="M135" s="102" t="s">
        <v>119</v>
      </c>
      <c r="N135" s="103" t="s">
        <v>23</v>
      </c>
      <c r="O135" s="89">
        <v>34716</v>
      </c>
      <c r="P135" s="104" t="s">
        <v>108</v>
      </c>
      <c r="Q135" s="116" t="s">
        <v>117</v>
      </c>
      <c r="R135" s="104">
        <v>3204263383</v>
      </c>
      <c r="S135" s="125" t="s">
        <v>431</v>
      </c>
      <c r="T135" s="64" t="str">
        <f>IF(N135=CURSOS!$D$3,"DIPLOMADO EN ATENCION PRE-HOSPITALARIA",IF(N135=CURSOS!$D$4,"ACOMPAÑAMIENTO Y MANEJO DEL DUELO",IF(N135=CURSOS!$D$5,"ATENCION A VICTIMAS DE ATAQUE CON AGENTES QUIMICOS ",IF(N135=CURSOS!$D$6,"PRIMEROS AUXILIOS ",IF(N135=CURSOS!$D$7,"DIPLOMADO DE UNIDAD DE CUIDADOS INTENSIVOS (UCI)",IF(N135=CURSOS!$D$8,"MODELO DE ATENCION PARA EVENTOS EMERGENTES EN SALUD MENTAL (CODIGO VERDE)",IF(N135=CURSOS!$D$9,"HUMANIZACION EN SALUD, BUENAS PRACTICAS EN PACIENTE ",IF(N135=CURSOS!$D$10,"CLINICA DE HERIDAS ",IF(N135=CURSOS!$D$11,"TOMA DE CITOLOGIA A CERVICO VAGINAL ",IF(N135=CURSOS!$D$12,"SOPORTE CARDIOVASCULAR AVANZADO ",IF(N135=CURSOS!$D$13,"CAMILLERO ",IF(N135=CURSOS!$D$14,"TOMA MUESTRAS Y LABORATORIO ",IF(N135=CURSOS!$D$15,"SOPORTE VITAL BASICO (BLS)",IF(N135=CURSOS!$D$16,"ATENCION A VICTIMAS DE VIOLENCIA SEXUAL ",IF(N135=CURSOS!$D$17,"PROGRAMADO AMPLIADO DE INMUNIZACION (PAI - COVID 19)",IF(N135=CURSOS!$D$18,"ATENCION INTEGRAL EN ENFERMEDADES PREVALENTES EN PRIMERA INFANCIA (AIEPI)",IF(N135=CURSOS!$D$19,"ADMINISTRACION DE MEDICAMENTOS, IYECTOLOGIA  Y CANALIZACION ",IF(N135=CURSOS!$D$20,"OPERADOR DE VEHICULOS DE EMERGENCIA (OVE)",IF(N135=CURSOS!$D$21,"INSTITUCIONES AMIGAS DE LA MUJER Y LA INFANCIA (IAMI)",IF(N135=CURSOS!$D$22,"CUIDADO DEL DONANTE DE ORGANOS",IF(N135=CURSOS!$D$23,"ATENCION A VICTIMAS POR VIOLENCIA DE GENERO",IF(N135=CURSOS!$D$24,"IGUALDAD DE GENERO EN LA SALUD",IF(N135=CURSOS!$D$25,"BRIGADA DE EMERGENCIA",IF(N135=CURSOS!$D$26,"MANEJO DEL DOLOR Y CUIDADOS PALIATIVOS",IF(N135=CURSOS!$D$27,"TOMA MUESTRAS Y LABORATORIO POCT",IF(N135=CURSOS!$D$28,"IMPLANTE SUBDERMICO Y DISPOSITIVO INTRAUTERINO",IF(N135=CURSOS!$D$29,"SALUD MENTAL",IF(N135=CURSOS!$D$30,"PRIMEROS AUXILIOS PSICOLOGICOS",IF(N135=CURSOS!$D$31,"ATENCION A VICTIMAS POR CONFLICTO ARMADO",IF(N135=CURSOS!$D$32,"MANIPULACION DE ALIMENTOS Y BPM",IF(N135=CURSOS!$D$33,"ATENCION A PERSONAS CON DISCAPACIDAD",IF(N135=CURSOS!$D$34,"CUIDADO INTEGRAL DEL PACIENTE ADULTO"))))))))))))))))))))))))))))))))</f>
        <v>ACOMPAÑAMIENTO Y MANEJO DEL DUELO</v>
      </c>
      <c r="U135" s="64" t="str">
        <f t="shared" ref="U135:U138" si="12">CONCATENATE(E135," ",F135," ",C135," ",D135)</f>
        <v>Jessica Tatiana Botina Calvache</v>
      </c>
      <c r="V135" s="64" t="str">
        <f t="shared" ref="V135:V138" si="13">+PROPER(U135)</f>
        <v>Jessica Tatiana Botina Calvache</v>
      </c>
      <c r="W135" s="64" t="str">
        <f t="shared" ref="W135:W138" si="14">CONCATENATE(U135,"-",B135,"-",N135)</f>
        <v>Jessica Tatiana Botina Calvache-1086362554-DUELO</v>
      </c>
    </row>
    <row r="136" spans="1:23" s="21" customFormat="1" x14ac:dyDescent="0.2">
      <c r="A136" s="94">
        <v>135</v>
      </c>
      <c r="B136" s="111">
        <v>1086362554</v>
      </c>
      <c r="C136" s="111" t="s">
        <v>433</v>
      </c>
      <c r="D136" s="111" t="s">
        <v>434</v>
      </c>
      <c r="E136" s="111" t="s">
        <v>250</v>
      </c>
      <c r="F136" s="111" t="s">
        <v>296</v>
      </c>
      <c r="G136" s="113">
        <v>27</v>
      </c>
      <c r="H136" s="16" t="s">
        <v>429</v>
      </c>
      <c r="I136" s="120">
        <v>45470</v>
      </c>
      <c r="J136" s="115">
        <v>25000</v>
      </c>
      <c r="K136" s="113" t="s">
        <v>91</v>
      </c>
      <c r="L136" s="113" t="s">
        <v>101</v>
      </c>
      <c r="M136" s="102" t="s">
        <v>119</v>
      </c>
      <c r="N136" s="124" t="s">
        <v>46</v>
      </c>
      <c r="O136" s="89">
        <v>34716</v>
      </c>
      <c r="P136" s="104" t="s">
        <v>108</v>
      </c>
      <c r="Q136" s="116" t="s">
        <v>117</v>
      </c>
      <c r="R136" s="104">
        <v>3204263383</v>
      </c>
      <c r="S136" s="125" t="s">
        <v>431</v>
      </c>
      <c r="T136" s="64" t="str">
        <f>IF(N136=CURSOS!$D$3,"DIPLOMADO EN ATENCION PRE-HOSPITALARIA",IF(N136=CURSOS!$D$4,"ACOMPAÑAMIENTO Y MANEJO DEL DUELO",IF(N136=CURSOS!$D$5,"ATENCION A VICTIMAS DE ATAQUE CON AGENTES QUIMICOS ",IF(N136=CURSOS!$D$6,"PRIMEROS AUXILIOS ",IF(N136=CURSOS!$D$7,"DIPLOMADO DE UNIDAD DE CUIDADOS INTENSIVOS (UCI)",IF(N136=CURSOS!$D$8,"MODELO DE ATENCION PARA EVENTOS EMERGENTES EN SALUD MENTAL (CODIGO VERDE)",IF(N136=CURSOS!$D$9,"HUMANIZACION EN SALUD, BUENAS PRACTICAS EN PACIENTE ",IF(N136=CURSOS!$D$10,"CLINICA DE HERIDAS ",IF(N136=CURSOS!$D$11,"TOMA DE CITOLOGIA A CERVICO VAGINAL ",IF(N136=CURSOS!$D$12,"SOPORTE CARDIOVASCULAR AVANZADO ",IF(N136=CURSOS!$D$13,"CAMILLERO ",IF(N136=CURSOS!$D$14,"TOMA MUESTRAS Y LABORATORIO ",IF(N136=CURSOS!$D$15,"SOPORTE VITAL BASICO (BLS)",IF(N136=CURSOS!$D$16,"ATENCION A VICTIMAS DE VIOLENCIA SEXUAL ",IF(N136=CURSOS!$D$17,"PROGRAMADO AMPLIADO DE INMUNIZACION (PAI - COVID 19)",IF(N136=CURSOS!$D$18,"ATENCION INTEGRAL EN ENFERMEDADES PREVALENTES EN PRIMERA INFANCIA (AIEPI)",IF(N136=CURSOS!$D$19,"ADMINISTRACION DE MEDICAMENTOS, IYECTOLOGIA  Y CANALIZACION ",IF(N136=CURSOS!$D$20,"OPERADOR DE VEHICULOS DE EMERGENCIA (OVE)",IF(N136=CURSOS!$D$21,"INSTITUCIONES AMIGAS DE LA MUJER Y LA INFANCIA (IAMI)",IF(N136=CURSOS!$D$22,"CUIDADO DEL DONANTE DE ORGANOS",IF(N136=CURSOS!$D$23,"ATENCION A VICTIMAS POR VIOLENCIA DE GENERO",IF(N136=CURSOS!$D$24,"IGUALDAD DE GENERO EN LA SALUD",IF(N136=CURSOS!$D$25,"BRIGADA DE EMERGENCIA",IF(N136=CURSOS!$D$26,"MANEJO DEL DOLOR Y CUIDADOS PALIATIVOS",IF(N136=CURSOS!$D$27,"TOMA MUESTRAS Y LABORATORIO POCT",IF(N136=CURSOS!$D$28,"IMPLANTE SUBDERMICO Y DISPOSITIVO INTRAUTERINO",IF(N136=CURSOS!$D$29,"SALUD MENTAL",IF(N136=CURSOS!$D$30,"PRIMEROS AUXILIOS PSICOLOGICOS",IF(N136=CURSOS!$D$31,"ATENCION A VICTIMAS POR CONFLICTO ARMADO",IF(N136=CURSOS!$D$32,"MANIPULACION DE ALIMENTOS Y BPM",IF(N136=CURSOS!$D$33,"ATENCION A PERSONAS CON DISCAPACIDAD",IF(N136=CURSOS!$D$34,"CUIDADO INTEGRAL DEL PACIENTE ADULTO"))))))))))))))))))))))))))))))))</f>
        <v xml:space="preserve">ATENCION A VICTIMAS DE VIOLENCIA SEXUAL </v>
      </c>
      <c r="U136" s="64" t="str">
        <f t="shared" si="12"/>
        <v>Jessica Tatiana Botina Calvache</v>
      </c>
      <c r="V136" s="64" t="str">
        <f t="shared" si="13"/>
        <v>Jessica Tatiana Botina Calvache</v>
      </c>
      <c r="W136" s="64" t="str">
        <f t="shared" si="14"/>
        <v>Jessica Tatiana Botina Calvache-1086362554-VIOLENCIA SEXUAL</v>
      </c>
    </row>
    <row r="137" spans="1:23" s="21" customFormat="1" x14ac:dyDescent="0.2">
      <c r="A137" s="94">
        <v>136</v>
      </c>
      <c r="B137" s="111">
        <v>27081932</v>
      </c>
      <c r="C137" s="111" t="s">
        <v>86</v>
      </c>
      <c r="D137" s="111" t="s">
        <v>397</v>
      </c>
      <c r="E137" s="111" t="s">
        <v>435</v>
      </c>
      <c r="F137" s="111" t="s">
        <v>404</v>
      </c>
      <c r="G137" s="113">
        <v>27</v>
      </c>
      <c r="H137" s="16" t="s">
        <v>90</v>
      </c>
      <c r="I137" s="114">
        <v>45470</v>
      </c>
      <c r="J137" s="115">
        <v>40000</v>
      </c>
      <c r="K137" s="113" t="s">
        <v>107</v>
      </c>
      <c r="L137" s="113" t="s">
        <v>101</v>
      </c>
      <c r="M137" s="102" t="s">
        <v>93</v>
      </c>
      <c r="N137" s="17" t="s">
        <v>46</v>
      </c>
      <c r="O137" s="89"/>
      <c r="P137" s="104" t="s">
        <v>108</v>
      </c>
      <c r="Q137" s="116" t="s">
        <v>109</v>
      </c>
      <c r="R137" s="104">
        <v>3146816203</v>
      </c>
      <c r="S137" s="125" t="s">
        <v>432</v>
      </c>
      <c r="T137" s="64" t="str">
        <f>IF(N137=CURSOS!$D$3,"DIPLOMADO EN ATENCION PRE-HOSPITALARIA",IF(N137=CURSOS!$D$4,"ACOMPAÑAMIENTO Y MANEJO DEL DUELO",IF(N137=CURSOS!$D$5,"ATENCION A VICTIMAS DE ATAQUE CON AGENTES QUIMICOS ",IF(N137=CURSOS!$D$6,"PRIMEROS AUXILIOS ",IF(N137=CURSOS!$D$7,"DIPLOMADO DE UNIDAD DE CUIDADOS INTENSIVOS (UCI)",IF(N137=CURSOS!$D$8,"MODELO DE ATENCION PARA EVENTOS EMERGENTES EN SALUD MENTAL (CODIGO VERDE)",IF(N137=CURSOS!$D$9,"HUMANIZACION EN SALUD, BUENAS PRACTICAS EN PACIENTE ",IF(N137=CURSOS!$D$10,"CLINICA DE HERIDAS ",IF(N137=CURSOS!$D$11,"TOMA DE CITOLOGIA A CERVICO VAGINAL ",IF(N137=CURSOS!$D$12,"SOPORTE CARDIOVASCULAR AVANZADO ",IF(N137=CURSOS!$D$13,"CAMILLERO ",IF(N137=CURSOS!$D$14,"TOMA MUESTRAS Y LABORATORIO ",IF(N137=CURSOS!$D$15,"SOPORTE VITAL BASICO (BLS)",IF(N137=CURSOS!$D$16,"ATENCION A VICTIMAS DE VIOLENCIA SEXUAL ",IF(N137=CURSOS!$D$17,"PROGRAMADO AMPLIADO DE INMUNIZACION (PAI - COVID 19)",IF(N137=CURSOS!$D$18,"ATENCION INTEGRAL EN ENFERMEDADES PREVALENTES EN PRIMERA INFANCIA (AIEPI)",IF(N137=CURSOS!$D$19,"ADMINISTRACION DE MEDICAMENTOS, IYECTOLOGIA  Y CANALIZACION ",IF(N137=CURSOS!$D$20,"OPERADOR DE VEHICULOS DE EMERGENCIA (OVE)",IF(N137=CURSOS!$D$21,"INSTITUCIONES AMIGAS DE LA MUJER Y LA INFANCIA (IAMI)",IF(N137=CURSOS!$D$22,"CUIDADO DEL DONANTE DE ORGANOS",IF(N137=CURSOS!$D$23,"ATENCION A VICTIMAS POR VIOLENCIA DE GENERO",IF(N137=CURSOS!$D$24,"IGUALDAD DE GENERO EN LA SALUD",IF(N137=CURSOS!$D$25,"BRIGADA DE EMERGENCIA",IF(N137=CURSOS!$D$26,"MANEJO DEL DOLOR Y CUIDADOS PALIATIVOS",IF(N137=CURSOS!$D$27,"TOMA MUESTRAS Y LABORATORIO POCT",IF(N137=CURSOS!$D$28,"IMPLANTE SUBDERMICO Y DISPOSITIVO INTRAUTERINO",IF(N137=CURSOS!$D$29,"SALUD MENTAL",IF(N137=CURSOS!$D$30,"PRIMEROS AUXILIOS PSICOLOGICOS",IF(N137=CURSOS!$D$31,"ATENCION A VICTIMAS POR CONFLICTO ARMADO",IF(N137=CURSOS!$D$32,"MANIPULACION DE ALIMENTOS Y BPM",IF(N137=CURSOS!$D$33,"ATENCION A PERSONAS CON DISCAPACIDAD",IF(N137=CURSOS!$D$34,"CUIDADO INTEGRAL DEL PACIENTE ADULTO"))))))))))))))))))))))))))))))))</f>
        <v xml:space="preserve">ATENCION A VICTIMAS DE VIOLENCIA SEXUAL </v>
      </c>
      <c r="U137" s="64" t="str">
        <f t="shared" si="12"/>
        <v>Martha Lucia Melo Ceron</v>
      </c>
      <c r="V137" s="64" t="str">
        <f t="shared" si="13"/>
        <v>Martha Lucia Melo Ceron</v>
      </c>
      <c r="W137" s="64" t="str">
        <f t="shared" si="14"/>
        <v>Martha Lucia Melo Ceron-27081932-VIOLENCIA SEXUAL</v>
      </c>
    </row>
    <row r="138" spans="1:23" s="21" customFormat="1" x14ac:dyDescent="0.2">
      <c r="A138" s="94">
        <v>137</v>
      </c>
      <c r="B138" s="111">
        <v>1085936280</v>
      </c>
      <c r="C138" s="111" t="s">
        <v>238</v>
      </c>
      <c r="D138" s="111" t="s">
        <v>239</v>
      </c>
      <c r="E138" s="111" t="s">
        <v>240</v>
      </c>
      <c r="F138" s="111" t="s">
        <v>241</v>
      </c>
      <c r="G138" s="113">
        <v>27</v>
      </c>
      <c r="H138" s="16" t="s">
        <v>90</v>
      </c>
      <c r="I138" s="114">
        <v>45470</v>
      </c>
      <c r="J138" s="115">
        <v>30000</v>
      </c>
      <c r="K138" s="113" t="s">
        <v>107</v>
      </c>
      <c r="L138" s="113" t="s">
        <v>101</v>
      </c>
      <c r="M138" s="102" t="s">
        <v>93</v>
      </c>
      <c r="N138" s="17" t="s">
        <v>33</v>
      </c>
      <c r="O138" s="89">
        <v>34540</v>
      </c>
      <c r="P138" s="104" t="s">
        <v>94</v>
      </c>
      <c r="Q138" s="116" t="s">
        <v>117</v>
      </c>
      <c r="R138" s="104">
        <v>3177895823</v>
      </c>
      <c r="S138" s="125" t="s">
        <v>242</v>
      </c>
      <c r="T138" s="64" t="str">
        <f>IF(N138=CURSOS!$D$3,"DIPLOMADO EN ATENCION PRE-HOSPITALARIA",IF(N138=CURSOS!$D$4,"ACOMPAÑAMIENTO Y MANEJO DEL DUELO",IF(N138=CURSOS!$D$5,"ATENCION A VICTIMAS DE ATAQUE CON AGENTES QUIMICOS ",IF(N138=CURSOS!$D$6,"PRIMEROS AUXILIOS ",IF(N138=CURSOS!$D$7,"DIPLOMADO DE UNIDAD DE CUIDADOS INTENSIVOS (UCI)",IF(N138=CURSOS!$D$8,"MODELO DE ATENCION PARA EVENTOS EMERGENTES EN SALUD MENTAL (CODIGO VERDE)",IF(N138=CURSOS!$D$9,"HUMANIZACION EN SALUD, BUENAS PRACTICAS EN PACIENTE ",IF(N138=CURSOS!$D$10,"CLINICA DE HERIDAS ",IF(N138=CURSOS!$D$11,"TOMA DE CITOLOGIA A CERVICO VAGINAL ",IF(N138=CURSOS!$D$12,"SOPORTE CARDIOVASCULAR AVANZADO ",IF(N138=CURSOS!$D$13,"CAMILLERO ",IF(N138=CURSOS!$D$14,"TOMA MUESTRAS Y LABORATORIO ",IF(N138=CURSOS!$D$15,"SOPORTE VITAL BASICO (BLS)",IF(N138=CURSOS!$D$16,"ATENCION A VICTIMAS DE VIOLENCIA SEXUAL ",IF(N138=CURSOS!$D$17,"PROGRAMADO AMPLIADO DE INMUNIZACION (PAI - COVID 19)",IF(N138=CURSOS!$D$18,"ATENCION INTEGRAL EN ENFERMEDADES PREVALENTES EN PRIMERA INFANCIA (AIEPI)",IF(N138=CURSOS!$D$19,"ADMINISTRACION DE MEDICAMENTOS, IYECTOLOGIA  Y CANALIZACION ",IF(N138=CURSOS!$D$20,"OPERADOR DE VEHICULOS DE EMERGENCIA (OVE)",IF(N138=CURSOS!$D$21,"INSTITUCIONES AMIGAS DE LA MUJER Y LA INFANCIA (IAMI)",IF(N138=CURSOS!$D$22,"CUIDADO DEL DONANTE DE ORGANOS",IF(N138=CURSOS!$D$23,"ATENCION A VICTIMAS POR VIOLENCIA DE GENERO",IF(N138=CURSOS!$D$24,"IGUALDAD DE GENERO EN LA SALUD",IF(N138=CURSOS!$D$25,"BRIGADA DE EMERGENCIA",IF(N138=CURSOS!$D$26,"MANEJO DEL DOLOR Y CUIDADOS PALIATIVOS",IF(N138=CURSOS!$D$27,"TOMA MUESTRAS Y LABORATORIO POCT",IF(N138=CURSOS!$D$28,"IMPLANTE SUBDERMICO Y DISPOSITIVO INTRAUTERINO",IF(N138=CURSOS!$D$29,"SALUD MENTAL",IF(N138=CURSOS!$D$30,"PRIMEROS AUXILIOS PSICOLOGICOS",IF(N138=CURSOS!$D$31,"ATENCION A VICTIMAS POR CONFLICTO ARMADO",IF(N138=CURSOS!$D$32,"MANIPULACION DE ALIMENTOS Y BPM",IF(N138=CURSOS!$D$33,"ATENCION A PERSONAS CON DISCAPACIDAD",IF(N138=CURSOS!$D$34,"CUIDADO INTEGRAL DEL PACIENTE ADULTO"))))))))))))))))))))))))))))))))</f>
        <v xml:space="preserve">HUMANIZACION EN SALUD, BUENAS PRACTICAS EN PACIENTE </v>
      </c>
      <c r="U138" s="64" t="str">
        <f t="shared" si="12"/>
        <v>Michael Fernando Teran  Cisneros</v>
      </c>
      <c r="V138" s="64" t="str">
        <f t="shared" si="13"/>
        <v>Michael Fernando Teran  Cisneros</v>
      </c>
      <c r="W138" s="64" t="str">
        <f t="shared" si="14"/>
        <v>Michael Fernando Teran  Cisneros-1085936280-HUMANIZACION</v>
      </c>
    </row>
    <row r="139" spans="1:23" s="21" customFormat="1" x14ac:dyDescent="0.2">
      <c r="A139" s="94">
        <v>138</v>
      </c>
      <c r="B139" s="111">
        <v>36759792</v>
      </c>
      <c r="C139" s="19" t="s">
        <v>436</v>
      </c>
      <c r="D139" s="19" t="s">
        <v>437</v>
      </c>
      <c r="E139" s="19" t="s">
        <v>438</v>
      </c>
      <c r="F139" s="19" t="s">
        <v>439</v>
      </c>
      <c r="G139" s="16">
        <v>28</v>
      </c>
      <c r="H139" s="16" t="s">
        <v>90</v>
      </c>
      <c r="I139" s="18" t="s">
        <v>440</v>
      </c>
      <c r="J139" s="22">
        <v>30000</v>
      </c>
      <c r="K139" s="16" t="s">
        <v>440</v>
      </c>
      <c r="L139" s="16" t="s">
        <v>92</v>
      </c>
      <c r="M139" s="16" t="s">
        <v>193</v>
      </c>
      <c r="N139" s="17" t="s">
        <v>46</v>
      </c>
      <c r="O139" s="20">
        <v>45622</v>
      </c>
      <c r="P139" s="19" t="s">
        <v>94</v>
      </c>
      <c r="Q139" s="19" t="s">
        <v>117</v>
      </c>
      <c r="R139" s="19">
        <v>3104120372</v>
      </c>
      <c r="S139" s="19" t="s">
        <v>441</v>
      </c>
      <c r="T139" s="64" t="str">
        <f>IF(N139=CURSOS!$D$3,"DIPLOMADO EN ATENCION PRE-HOSPITALARIA",IF(N139=CURSOS!$D$4,"ACOMPAÑAMIENTO Y MANEJO DEL DUELO",IF(N139=CURSOS!$D$5,"ATENCION A VICTIMAS DE ATAQUE CON AGENTES QUIMICOS ",IF(N139=CURSOS!$D$6,"PRIMEROS AUXILIOS ",IF(N139=CURSOS!$D$7,"DIPLOMADO DE UNIDAD DE CUIDADOS INTENSIVOS (UCI)",IF(N139=CURSOS!$D$8,"MODELO DE ATENCION PARA EVENTOS EMERGENTES EN SALUD MENTAL (CODIGO VERDE)",IF(N139=CURSOS!$D$9,"HUMANIZACION EN SALUD, BUENAS PRACTICAS EN PACIENTE ",IF(N139=CURSOS!$D$10,"CLINICA DE HERIDAS ",IF(N139=CURSOS!$D$11,"TOMA DE CITOLOGIA A CERVICO VAGINAL ",IF(N139=CURSOS!$D$12,"SOPORTE CARDIOVASCULAR AVANZADO ",IF(N139=CURSOS!$D$13,"CAMILLERO ",IF(N139=CURSOS!$D$14,"TOMA MUESTRAS Y LABORATORIO ",IF(N139=CURSOS!$D$15,"SOPORTE VITAL BASICO (BLS)",IF(N139=CURSOS!$D$16,"ATENCION A VICTIMAS DE VIOLENCIA SEXUAL ",IF(N139=CURSOS!$D$17,"PROGRAMADO AMPLIADO DE INMUNIZACION (PAI - COVID 19)",IF(N139=CURSOS!$D$18,"ATENCION INTEGRAL EN ENFERMEDADES PREVALENTES EN PRIMERA INFANCIA (AIEPI)",IF(N139=CURSOS!$D$19,"ADMINISTRACION DE MEDICAMENTOS, IYECTOLOGIA  Y CANALIZACION ",IF(N139=CURSOS!$D$20,"OPERADOR DE VEHICULOS DE EMERGENCIA (OVE)",IF(N139=CURSOS!$D$21,"INSTITUCIONES AMIGAS DE LA MUJER Y LA INFANCIA (IAMI)",IF(N139=CURSOS!$D$22,"CUIDADO DEL DONANTE DE ORGANOS",IF(N139=CURSOS!$D$23,"ATENCION A VICTIMAS POR VIOLENCIA DE GENERO",IF(N139=CURSOS!$D$24,"IGUALDAD DE GENERO EN LA SALUD",IF(N139=CURSOS!$D$25,"BRIGADA DE EMERGENCIA",IF(N139=CURSOS!$D$26,"MANEJO DEL DOLOR Y CUIDADOS PALIATIVOS",IF(N139=CURSOS!$D$27,"TOMA MUESTRAS Y LABORATORIO POCT",IF(N139=CURSOS!$D$28,"IMPLANTE SUBDERMICO Y DISPOSITIVO INTRAUTERINO",IF(N139=CURSOS!$D$29,"SALUD MENTAL",IF(N139=CURSOS!$D$30,"PRIMEROS AUXILIOS PSICOLOGICOS",IF(N139=CURSOS!$D$31,"ATENCION A VICTIMAS POR CONFLICTO ARMADO",IF(N139=CURSOS!$D$32,"MANIPULACION DE ALIMENTOS Y BPM",IF(N139=CURSOS!$D$33,"ATENCION A PERSONAS CON DISCAPACIDAD",IF(N139=CURSOS!$D$34,"CUIDADO INTEGRAL DEL PACIENTE ADULTO"))))))))))))))))))))))))))))))))</f>
        <v xml:space="preserve">ATENCION A VICTIMAS DE VIOLENCIA SEXUAL </v>
      </c>
      <c r="U139" s="64" t="str">
        <f t="shared" ref="U139:U147" si="15">CONCATENATE(E139," ",F139," ",C139," ",D139)</f>
        <v>Nancy Liliana Ascuntar Pulzara</v>
      </c>
      <c r="V139" s="64" t="str">
        <f t="shared" ref="V139:V147" si="16">+PROPER(U139)</f>
        <v>Nancy Liliana Ascuntar Pulzara</v>
      </c>
      <c r="W139" s="64" t="str">
        <f t="shared" ref="W139:W147" si="17">CONCATENATE(U139,"-",B139,"-",N139)</f>
        <v>Nancy Liliana Ascuntar Pulzara-36759792-VIOLENCIA SEXUAL</v>
      </c>
    </row>
    <row r="140" spans="1:23" s="21" customFormat="1" x14ac:dyDescent="0.2">
      <c r="A140" s="94">
        <v>139</v>
      </c>
      <c r="B140" s="111">
        <v>36759792</v>
      </c>
      <c r="C140" s="19" t="s">
        <v>436</v>
      </c>
      <c r="D140" s="19" t="s">
        <v>437</v>
      </c>
      <c r="E140" s="19" t="s">
        <v>438</v>
      </c>
      <c r="F140" s="19" t="s">
        <v>439</v>
      </c>
      <c r="G140" s="16">
        <v>28</v>
      </c>
      <c r="H140" s="16" t="s">
        <v>90</v>
      </c>
      <c r="I140" s="18" t="s">
        <v>440</v>
      </c>
      <c r="J140" s="22">
        <v>30000</v>
      </c>
      <c r="K140" s="16" t="s">
        <v>440</v>
      </c>
      <c r="L140" s="16" t="s">
        <v>92</v>
      </c>
      <c r="M140" s="16" t="s">
        <v>193</v>
      </c>
      <c r="N140" s="17" t="s">
        <v>33</v>
      </c>
      <c r="O140" s="20">
        <v>45622</v>
      </c>
      <c r="P140" s="19" t="s">
        <v>94</v>
      </c>
      <c r="Q140" s="19" t="s">
        <v>117</v>
      </c>
      <c r="R140" s="19">
        <v>3104120372</v>
      </c>
      <c r="S140" s="19" t="s">
        <v>441</v>
      </c>
      <c r="T140" s="64" t="str">
        <f>IF(N140=CURSOS!$D$3,"DIPLOMADO EN ATENCION PRE-HOSPITALARIA",IF(N140=CURSOS!$D$4,"ACOMPAÑAMIENTO Y MANEJO DEL DUELO",IF(N140=CURSOS!$D$5,"ATENCION A VICTIMAS DE ATAQUE CON AGENTES QUIMICOS ",IF(N140=CURSOS!$D$6,"PRIMEROS AUXILIOS ",IF(N140=CURSOS!$D$7,"DIPLOMADO DE UNIDAD DE CUIDADOS INTENSIVOS (UCI)",IF(N140=CURSOS!$D$8,"MODELO DE ATENCION PARA EVENTOS EMERGENTES EN SALUD MENTAL (CODIGO VERDE)",IF(N140=CURSOS!$D$9,"HUMANIZACION EN SALUD, BUENAS PRACTICAS EN PACIENTE ",IF(N140=CURSOS!$D$10,"CLINICA DE HERIDAS ",IF(N140=CURSOS!$D$11,"TOMA DE CITOLOGIA A CERVICO VAGINAL ",IF(N140=CURSOS!$D$12,"SOPORTE CARDIOVASCULAR AVANZADO ",IF(N140=CURSOS!$D$13,"CAMILLERO ",IF(N140=CURSOS!$D$14,"TOMA MUESTRAS Y LABORATORIO ",IF(N140=CURSOS!$D$15,"SOPORTE VITAL BASICO (BLS)",IF(N140=CURSOS!$D$16,"ATENCION A VICTIMAS DE VIOLENCIA SEXUAL ",IF(N140=CURSOS!$D$17,"PROGRAMADO AMPLIADO DE INMUNIZACION (PAI - COVID 19)",IF(N140=CURSOS!$D$18,"ATENCION INTEGRAL EN ENFERMEDADES PREVALENTES EN PRIMERA INFANCIA (AIEPI)",IF(N140=CURSOS!$D$19,"ADMINISTRACION DE MEDICAMENTOS, IYECTOLOGIA  Y CANALIZACION ",IF(N140=CURSOS!$D$20,"OPERADOR DE VEHICULOS DE EMERGENCIA (OVE)",IF(N140=CURSOS!$D$21,"INSTITUCIONES AMIGAS DE LA MUJER Y LA INFANCIA (IAMI)",IF(N140=CURSOS!$D$22,"CUIDADO DEL DONANTE DE ORGANOS",IF(N140=CURSOS!$D$23,"ATENCION A VICTIMAS POR VIOLENCIA DE GENERO",IF(N140=CURSOS!$D$24,"IGUALDAD DE GENERO EN LA SALUD",IF(N140=CURSOS!$D$25,"BRIGADA DE EMERGENCIA",IF(N140=CURSOS!$D$26,"MANEJO DEL DOLOR Y CUIDADOS PALIATIVOS",IF(N140=CURSOS!$D$27,"TOMA MUESTRAS Y LABORATORIO POCT",IF(N140=CURSOS!$D$28,"IMPLANTE SUBDERMICO Y DISPOSITIVO INTRAUTERINO",IF(N140=CURSOS!$D$29,"SALUD MENTAL",IF(N140=CURSOS!$D$30,"PRIMEROS AUXILIOS PSICOLOGICOS",IF(N140=CURSOS!$D$31,"ATENCION A VICTIMAS POR CONFLICTO ARMADO",IF(N140=CURSOS!$D$32,"MANIPULACION DE ALIMENTOS Y BPM",IF(N140=CURSOS!$D$33,"ATENCION A PERSONAS CON DISCAPACIDAD",IF(N140=CURSOS!$D$34,"CUIDADO INTEGRAL DEL PACIENTE ADULTO"))))))))))))))))))))))))))))))))</f>
        <v xml:space="preserve">HUMANIZACION EN SALUD, BUENAS PRACTICAS EN PACIENTE </v>
      </c>
      <c r="U140" s="64" t="str">
        <f t="shared" si="15"/>
        <v>Nancy Liliana Ascuntar Pulzara</v>
      </c>
      <c r="V140" s="64" t="str">
        <f t="shared" si="16"/>
        <v>Nancy Liliana Ascuntar Pulzara</v>
      </c>
      <c r="W140" s="64" t="str">
        <f t="shared" si="17"/>
        <v>Nancy Liliana Ascuntar Pulzara-36759792-HUMANIZACION</v>
      </c>
    </row>
    <row r="141" spans="1:23" x14ac:dyDescent="0.2">
      <c r="A141" s="95">
        <v>140</v>
      </c>
      <c r="B141" s="44"/>
      <c r="H141" s="31" t="s">
        <v>90</v>
      </c>
      <c r="T141" s="66" t="b">
        <f>IF(N141=CURSOS!$D$3,"DIPLOMADO EN ATENCION PRE-HOSPITALARIA",IF(N141=CURSOS!$D$4,"ACOMPAÑAMIENTO Y MANEJO DEL DUELO",IF(N141=CURSOS!$D$5,"ATENCION A VICTIMAS DE ATAQUE CON AGENTES QUIMICOS ",IF(N141=CURSOS!$D$6,"PRIMEROS AUXILIOS ",IF(N141=CURSOS!$D$7,"DIPLOMADO DE UNIDAD DE CUIDADOS INTENSIVOS (UCI)",IF(N141=CURSOS!$D$8,"MODELO DE ATENCION PARA EVENTOS EMERGENTES EN SALUD MENTAL (CODIGO VERDE)",IF(N141=CURSOS!$D$9,"HUMANIZACION EN SALUD, BUENAS PRACTICAS EN PACIENTE ",IF(N141=CURSOS!$D$10,"CLINICA DE HERIDAS ",IF(N141=CURSOS!$D$11,"TOMA DE CITOLOGIA A CERVICO VAGINAL ",IF(N141=CURSOS!$D$12,"SOPORTE CARDIOVASCULAR AVANZADO ",IF(N141=CURSOS!$D$13,"CAMILLERO ",IF(N141=CURSOS!$D$14,"TOMA MUESTRAS Y LABORATORIO ",IF(N141=CURSOS!$D$15,"SOPORTE VITAL BASICO (BLS)",IF(N141=CURSOS!$D$16,"ATENCION A VICTIMAS DE VIOLENCIA SEXUAL ",IF(N141=CURSOS!$D$17,"PROGRAMADO AMPLIADO DE INMUNIZACION (PAI - COVID 19)",IF(N141=CURSOS!$D$18,"ATENCION INTEGRAL EN ENFERMEDADES PREVALENTES EN PRIMERA INFANCIA (AIEPI)",IF(N141=CURSOS!$D$19,"ADMINISTRACION DE MEDICAMENTOS, IYECTOLOGIA  Y CANALIZACION ",IF(N141=CURSOS!$D$20,"OPERADOR DE VEHICULOS DE EMERGENCIA (OVE)",IF(N141=CURSOS!$D$21,"INSTITUCIONES AMIGAS DE LA MUJER Y LA INFANCIA (IAMI)",IF(N141=CURSOS!$D$22,"CUIDADO DEL DONANTE DE ORGANOS",IF(N141=CURSOS!$D$23,"ATENCION A VICTIMAS POR VIOLENCIA DE GENERO",IF(N141=CURSOS!$D$24,"IGUALDAD DE GENERO EN LA SALUD",IF(N141=CURSOS!$D$25,"BRIGADA DE EMERGENCIA",IF(N141=CURSOS!$D$26,"MANEJO DEL DOLOR Y CUIDADOS PALIATIVOS",IF(N141=CURSOS!$D$27,"TOMA MUESTRAS Y LABORATORIO POCT",IF(N141=CURSOS!$D$28,"IMPLANTE SUBDERMICO Y DISPOSITIVO INTRAUTERINO",IF(N141=CURSOS!$D$29,"SALUD MENTAL",IF(N141=CURSOS!$D$30,"PRIMEROS AUXILIOS PSICOLOGICOS",IF(N141=CURSOS!$D$31,"ATENCION A VICTIMAS POR CONFLICTO ARMADO",IF(N141=CURSOS!$D$32,"MANIPULACION DE ALIMENTOS Y BPM",IF(N141=CURSOS!$D$33,"ATENCION A PERSONAS CON DISCAPACIDAD",IF(N141=CURSOS!$D$34,"CUIDADO INTEGRAL DEL PACIENTE ADULTO"))))))))))))))))))))))))))))))))</f>
        <v>0</v>
      </c>
      <c r="U141" s="66" t="str">
        <f t="shared" si="15"/>
        <v xml:space="preserve">   </v>
      </c>
      <c r="V141" s="66" t="str">
        <f t="shared" si="16"/>
        <v xml:space="preserve">   </v>
      </c>
      <c r="W141" s="66" t="str">
        <f t="shared" si="17"/>
        <v xml:space="preserve">   --</v>
      </c>
    </row>
    <row r="142" spans="1:23" x14ac:dyDescent="0.2">
      <c r="A142" s="94">
        <v>141</v>
      </c>
      <c r="B142" s="44"/>
      <c r="H142" s="31" t="s">
        <v>90</v>
      </c>
      <c r="Q142" s="47"/>
      <c r="T142" s="64" t="b">
        <f>IF(N142=CURSOS!$D$3,"DIPLOMADO EN ATENCION PRE-HOSPITALARIA",IF(N142=CURSOS!$D$4,"ACOMPAÑAMIENTO Y MANEJO DEL DUELO",IF(N142=CURSOS!$D$5,"ATENCION A VICTIMAS DE ATAQUE CON AGENTES QUIMICOS ",IF(N142=CURSOS!$D$6,"PRIMEROS AUXILIOS ",IF(N142=CURSOS!$D$7,"DIPLOMADO DE UNIDAD DE CUIDADOS INTENSIVOS (UCI)",IF(N142=CURSOS!$D$8,"MODELO DE ATENCION PARA EVENTOS EMERGENTES EN SALUD MENTAL (CODIGO VERDE)",IF(N142=CURSOS!$D$9,"HUMANIZACION EN SALUD, BUENAS PRACTICAS EN PACIENTE ",IF(N142=CURSOS!$D$10,"CLINICA DE HERIDAS ",IF(N142=CURSOS!$D$11,"TOMA DE CITOLOGIA A CERVICO VAGINAL ",IF(N142=CURSOS!$D$12,"SOPORTE CARDIOVASCULAR AVANZADO ",IF(N142=CURSOS!$D$13,"CAMILLERO ",IF(N142=CURSOS!$D$14,"TOMA MUESTRAS Y LABORATORIO ",IF(N142=CURSOS!$D$15,"SOPORTE VITAL BASICO (BLS)",IF(N142=CURSOS!$D$16,"ATENCION A VICTIMAS DE VIOLENCIA SEXUAL ",IF(N142=CURSOS!$D$17,"PROGRAMADO AMPLIADO DE INMUNIZACION (PAI - COVID 19)",IF(N142=CURSOS!$D$18,"ATENCION INTEGRAL EN ENFERMEDADES PREVALENTES EN PRIMERA INFANCIA (AIEPI)",IF(N142=CURSOS!$D$19,"ADMINISTRACION DE MEDICAMENTOS, IYECTOLOGIA  Y CANALIZACION ",IF(N142=CURSOS!$D$20,"OPERADOR DE VEHICULOS DE EMERGENCIA (OVE)",IF(N142=CURSOS!$D$21,"INSTITUCIONES AMIGAS DE LA MUJER Y LA INFANCIA (IAMI)",IF(N142=CURSOS!$D$22,"CUIDADO DEL DONANTE DE ORGANOS",IF(N142=CURSOS!$D$23,"ATENCION A VICTIMAS POR VIOLENCIA DE GENERO",IF(N142=CURSOS!$D$24,"IGUALDAD DE GENERO EN LA SALUD",IF(N142=CURSOS!$D$25,"BRIGADA DE EMERGENCIA",IF(N142=CURSOS!$D$26,"MANEJO DEL DOLOR Y CUIDADOS PALIATIVOS",IF(N142=CURSOS!$D$27,"TOMA MUESTRAS Y LABORATORIO POCT",IF(N142=CURSOS!$D$28,"IMPLANTE SUBDERMICO Y DISPOSITIVO INTRAUTERINO",IF(N142=CURSOS!$D$29,"SALUD MENTAL",IF(N142=CURSOS!$D$30,"PRIMEROS AUXILIOS PSICOLOGICOS",IF(N142=CURSOS!$D$31,"ATENCION A VICTIMAS POR CONFLICTO ARMADO",IF(N142=CURSOS!$D$32,"MANIPULACION DE ALIMENTOS Y BPM",IF(N142=CURSOS!$D$33,"ATENCION A PERSONAS CON DISCAPACIDAD",IF(N142=CURSOS!$D$34,"CUIDADO INTEGRAL DEL PACIENTE ADULTO"))))))))))))))))))))))))))))))))</f>
        <v>0</v>
      </c>
      <c r="U142" s="64" t="str">
        <f t="shared" si="15"/>
        <v xml:space="preserve">   </v>
      </c>
      <c r="V142" s="64" t="str">
        <f t="shared" si="16"/>
        <v xml:space="preserve">   </v>
      </c>
      <c r="W142" s="64" t="str">
        <f t="shared" si="17"/>
        <v xml:space="preserve">   --</v>
      </c>
    </row>
    <row r="143" spans="1:23" x14ac:dyDescent="0.2">
      <c r="A143" s="94">
        <v>142</v>
      </c>
      <c r="B143" s="44"/>
      <c r="H143" s="31" t="s">
        <v>90</v>
      </c>
      <c r="Q143" s="47"/>
      <c r="T143" s="64" t="b">
        <f>IF(N143=CURSOS!$D$3,"DIPLOMADO EN ATENCION PRE-HOSPITALARIA",IF(N143=CURSOS!$D$4,"ACOMPAÑAMIENTO Y MANEJO DEL DUELO",IF(N143=CURSOS!$D$5,"ATENCION A VICTIMAS DE ATAQUE CON AGENTES QUIMICOS ",IF(N143=CURSOS!$D$6,"PRIMEROS AUXILIOS ",IF(N143=CURSOS!$D$7,"DIPLOMADO DE UNIDAD DE CUIDADOS INTENSIVOS (UCI)",IF(N143=CURSOS!$D$8,"MODELO DE ATENCION PARA EVENTOS EMERGENTES EN SALUD MENTAL (CODIGO VERDE)",IF(N143=CURSOS!$D$9,"HUMANIZACION EN SALUD, BUENAS PRACTICAS EN PACIENTE ",IF(N143=CURSOS!$D$10,"CLINICA DE HERIDAS ",IF(N143=CURSOS!$D$11,"TOMA DE CITOLOGIA A CERVICO VAGINAL ",IF(N143=CURSOS!$D$12,"SOPORTE CARDIOVASCULAR AVANZADO ",IF(N143=CURSOS!$D$13,"CAMILLERO ",IF(N143=CURSOS!$D$14,"TOMA MUESTRAS Y LABORATORIO ",IF(N143=CURSOS!$D$15,"SOPORTE VITAL BASICO (BLS)",IF(N143=CURSOS!$D$16,"ATENCION A VICTIMAS DE VIOLENCIA SEXUAL ",IF(N143=CURSOS!$D$17,"PROGRAMADO AMPLIADO DE INMUNIZACION (PAI - COVID 19)",IF(N143=CURSOS!$D$18,"ATENCION INTEGRAL EN ENFERMEDADES PREVALENTES EN PRIMERA INFANCIA (AIEPI)",IF(N143=CURSOS!$D$19,"ADMINISTRACION DE MEDICAMENTOS, IYECTOLOGIA  Y CANALIZACION ",IF(N143=CURSOS!$D$20,"OPERADOR DE VEHICULOS DE EMERGENCIA (OVE)",IF(N143=CURSOS!$D$21,"INSTITUCIONES AMIGAS DE LA MUJER Y LA INFANCIA (IAMI)",IF(N143=CURSOS!$D$22,"CUIDADO DEL DONANTE DE ORGANOS",IF(N143=CURSOS!$D$23,"ATENCION A VICTIMAS POR VIOLENCIA DE GENERO",IF(N143=CURSOS!$D$24,"IGUALDAD DE GENERO EN LA SALUD",IF(N143=CURSOS!$D$25,"BRIGADA DE EMERGENCIA",IF(N143=CURSOS!$D$26,"MANEJO DEL DOLOR Y CUIDADOS PALIATIVOS",IF(N143=CURSOS!$D$27,"TOMA MUESTRAS Y LABORATORIO POCT",IF(N143=CURSOS!$D$28,"IMPLANTE SUBDERMICO Y DISPOSITIVO INTRAUTERINO",IF(N143=CURSOS!$D$29,"SALUD MENTAL",IF(N143=CURSOS!$D$30,"PRIMEROS AUXILIOS PSICOLOGICOS",IF(N143=CURSOS!$D$31,"ATENCION A VICTIMAS POR CONFLICTO ARMADO",IF(N143=CURSOS!$D$32,"MANIPULACION DE ALIMENTOS Y BPM",IF(N143=CURSOS!$D$33,"ATENCION A PERSONAS CON DISCAPACIDAD",IF(N143=CURSOS!$D$34,"CUIDADO INTEGRAL DEL PACIENTE ADULTO"))))))))))))))))))))))))))))))))</f>
        <v>0</v>
      </c>
      <c r="U143" s="64" t="str">
        <f t="shared" si="15"/>
        <v xml:space="preserve">   </v>
      </c>
      <c r="V143" s="64" t="str">
        <f t="shared" si="16"/>
        <v xml:space="preserve">   </v>
      </c>
      <c r="W143" s="64" t="str">
        <f t="shared" si="17"/>
        <v xml:space="preserve">   --</v>
      </c>
    </row>
    <row r="144" spans="1:23" x14ac:dyDescent="0.2">
      <c r="A144" s="94">
        <v>143</v>
      </c>
      <c r="B144" s="44"/>
      <c r="H144" s="31" t="s">
        <v>90</v>
      </c>
      <c r="Q144" s="47"/>
      <c r="S144" s="79"/>
      <c r="T144" s="64" t="b">
        <f>IF(N144=CURSOS!$D$3,"DIPLOMADO EN ATENCION PRE-HOSPITALARIA",IF(N144=CURSOS!$D$4,"ACOMPAÑAMIENTO Y MANEJO DEL DUELO",IF(N144=CURSOS!$D$5,"ATENCION A VICTIMAS DE ATAQUE CON AGENTES QUIMICOS ",IF(N144=CURSOS!$D$6,"PRIMEROS AUXILIOS ",IF(N144=CURSOS!$D$7,"DIPLOMADO DE UNIDAD DE CUIDADOS INTENSIVOS (UCI)",IF(N144=CURSOS!$D$8,"MODELO DE ATENCION PARA EVENTOS EMERGENTES EN SALUD MENTAL (CODIGO VERDE)",IF(N144=CURSOS!$D$9,"HUMANIZACION EN SALUD, BUENAS PRACTICAS EN PACIENTE ",IF(N144=CURSOS!$D$10,"CLINICA DE HERIDAS ",IF(N144=CURSOS!$D$11,"TOMA DE CITOLOGIA A CERVICO VAGINAL ",IF(N144=CURSOS!$D$12,"SOPORTE CARDIOVASCULAR AVANZADO ",IF(N144=CURSOS!$D$13,"CAMILLERO ",IF(N144=CURSOS!$D$14,"TOMA MUESTRAS Y LABORATORIO ",IF(N144=CURSOS!$D$15,"SOPORTE VITAL BASICO (BLS)",IF(N144=CURSOS!$D$16,"ATENCION A VICTIMAS DE VIOLENCIA SEXUAL ",IF(N144=CURSOS!$D$17,"PROGRAMADO AMPLIADO DE INMUNIZACION (PAI - COVID 19)",IF(N144=CURSOS!$D$18,"ATENCION INTEGRAL EN ENFERMEDADES PREVALENTES EN PRIMERA INFANCIA (AIEPI)",IF(N144=CURSOS!$D$19,"ADMINISTRACION DE MEDICAMENTOS, IYECTOLOGIA  Y CANALIZACION ",IF(N144=CURSOS!$D$20,"OPERADOR DE VEHICULOS DE EMERGENCIA (OVE)",IF(N144=CURSOS!$D$21,"INSTITUCIONES AMIGAS DE LA MUJER Y LA INFANCIA (IAMI)",IF(N144=CURSOS!$D$22,"CUIDADO DEL DONANTE DE ORGANOS",IF(N144=CURSOS!$D$23,"ATENCION A VICTIMAS POR VIOLENCIA DE GENERO",IF(N144=CURSOS!$D$24,"IGUALDAD DE GENERO EN LA SALUD",IF(N144=CURSOS!$D$25,"BRIGADA DE EMERGENCIA",IF(N144=CURSOS!$D$26,"MANEJO DEL DOLOR Y CUIDADOS PALIATIVOS",IF(N144=CURSOS!$D$27,"TOMA MUESTRAS Y LABORATORIO POCT",IF(N144=CURSOS!$D$28,"IMPLANTE SUBDERMICO Y DISPOSITIVO INTRAUTERINO",IF(N144=CURSOS!$D$29,"SALUD MENTAL",IF(N144=CURSOS!$D$30,"PRIMEROS AUXILIOS PSICOLOGICOS",IF(N144=CURSOS!$D$31,"ATENCION A VICTIMAS POR CONFLICTO ARMADO",IF(N144=CURSOS!$D$32,"MANIPULACION DE ALIMENTOS Y BPM",IF(N144=CURSOS!$D$33,"ATENCION A PERSONAS CON DISCAPACIDAD",IF(N144=CURSOS!$D$34,"CUIDADO INTEGRAL DEL PACIENTE ADULTO"))))))))))))))))))))))))))))))))</f>
        <v>0</v>
      </c>
      <c r="U144" s="64" t="str">
        <f t="shared" si="15"/>
        <v xml:space="preserve">   </v>
      </c>
      <c r="V144" s="64" t="str">
        <f t="shared" si="16"/>
        <v xml:space="preserve">   </v>
      </c>
      <c r="W144" s="64" t="str">
        <f t="shared" si="17"/>
        <v xml:space="preserve">   --</v>
      </c>
    </row>
    <row r="145" spans="1:23" x14ac:dyDescent="0.2">
      <c r="A145" s="94">
        <v>144</v>
      </c>
      <c r="H145" s="31" t="s">
        <v>90</v>
      </c>
      <c r="Q145" s="47"/>
      <c r="S145" s="79"/>
      <c r="T145" s="64" t="b">
        <f>IF(N145=CURSOS!$D$3,"DIPLOMADO EN ATENCION PRE-HOSPITALARIA",IF(N145=CURSOS!$D$4,"ACOMPAÑAMIENTO Y MANEJO DEL DUELO",IF(N145=CURSOS!$D$5,"ATENCION A VICTIMAS DE ATAQUE CON AGENTES QUIMICOS ",IF(N145=CURSOS!$D$6,"PRIMEROS AUXILIOS ",IF(N145=CURSOS!$D$7,"DIPLOMADO DE UNIDAD DE CUIDADOS INTENSIVOS (UCI)",IF(N145=CURSOS!$D$8,"MODELO DE ATENCION PARA EVENTOS EMERGENTES EN SALUD MENTAL (CODIGO VERDE)",IF(N145=CURSOS!$D$9,"HUMANIZACION EN SALUD, BUENAS PRACTICAS EN PACIENTE ",IF(N145=CURSOS!$D$10,"CLINICA DE HERIDAS ",IF(N145=CURSOS!$D$11,"TOMA DE CITOLOGIA A CERVICO VAGINAL ",IF(N145=CURSOS!$D$12,"SOPORTE CARDIOVASCULAR AVANZADO ",IF(N145=CURSOS!$D$13,"CAMILLERO ",IF(N145=CURSOS!$D$14,"TOMA MUESTRAS Y LABORATORIO ",IF(N145=CURSOS!$D$15,"SOPORTE VITAL BASICO (BLS)",IF(N145=CURSOS!$D$16,"ATENCION A VICTIMAS DE VIOLENCIA SEXUAL ",IF(N145=CURSOS!$D$17,"PROGRAMADO AMPLIADO DE INMUNIZACION (PAI - COVID 19)",IF(N145=CURSOS!$D$18,"ATENCION INTEGRAL EN ENFERMEDADES PREVALENTES EN PRIMERA INFANCIA (AIEPI)",IF(N145=CURSOS!$D$19,"ADMINISTRACION DE MEDICAMENTOS, IYECTOLOGIA  Y CANALIZACION ",IF(N145=CURSOS!$D$20,"OPERADOR DE VEHICULOS DE EMERGENCIA (OVE)",IF(N145=CURSOS!$D$21,"INSTITUCIONES AMIGAS DE LA MUJER Y LA INFANCIA (IAMI)",IF(N145=CURSOS!$D$22,"CUIDADO DEL DONANTE DE ORGANOS",IF(N145=CURSOS!$D$23,"ATENCION A VICTIMAS POR VIOLENCIA DE GENERO",IF(N145=CURSOS!$D$24,"IGUALDAD DE GENERO EN LA SALUD",IF(N145=CURSOS!$D$25,"BRIGADA DE EMERGENCIA",IF(N145=CURSOS!$D$26,"MANEJO DEL DOLOR Y CUIDADOS PALIATIVOS",IF(N145=CURSOS!$D$27,"TOMA MUESTRAS Y LABORATORIO POCT",IF(N145=CURSOS!$D$28,"IMPLANTE SUBDERMICO Y DISPOSITIVO INTRAUTERINO",IF(N145=CURSOS!$D$29,"SALUD MENTAL",IF(N145=CURSOS!$D$30,"PRIMEROS AUXILIOS PSICOLOGICOS",IF(N145=CURSOS!$D$31,"ATENCION A VICTIMAS POR CONFLICTO ARMADO",IF(N145=CURSOS!$D$32,"MANIPULACION DE ALIMENTOS Y BPM",IF(N145=CURSOS!$D$33,"ATENCION A PERSONAS CON DISCAPACIDAD",IF(N145=CURSOS!$D$34,"CUIDADO INTEGRAL DEL PACIENTE ADULTO"))))))))))))))))))))))))))))))))</f>
        <v>0</v>
      </c>
      <c r="U145" s="64" t="str">
        <f t="shared" si="15"/>
        <v xml:space="preserve">   </v>
      </c>
      <c r="V145" s="64" t="str">
        <f t="shared" si="16"/>
        <v xml:space="preserve">   </v>
      </c>
      <c r="W145" s="64" t="str">
        <f t="shared" si="17"/>
        <v xml:space="preserve">   --</v>
      </c>
    </row>
    <row r="146" spans="1:23" x14ac:dyDescent="0.2">
      <c r="A146" s="94">
        <v>145</v>
      </c>
      <c r="H146" s="31" t="s">
        <v>90</v>
      </c>
      <c r="Q146" s="47"/>
      <c r="S146" s="79"/>
      <c r="T146" s="64" t="b">
        <f>IF(N146=CURSOS!$D$3,"DIPLOMADO EN ATENCION PRE-HOSPITALARIA",IF(N146=CURSOS!$D$4,"ACOMPAÑAMIENTO Y MANEJO DEL DUELO",IF(N146=CURSOS!$D$5,"ATENCION A VICTIMAS DE ATAQUE CON AGENTES QUIMICOS ",IF(N146=CURSOS!$D$6,"PRIMEROS AUXILIOS ",IF(N146=CURSOS!$D$7,"DIPLOMADO DE UNIDAD DE CUIDADOS INTENSIVOS (UCI)",IF(N146=CURSOS!$D$8,"MODELO DE ATENCION PARA EVENTOS EMERGENTES EN SALUD MENTAL (CODIGO VERDE)",IF(N146=CURSOS!$D$9,"HUMANIZACION EN SALUD, BUENAS PRACTICAS EN PACIENTE ",IF(N146=CURSOS!$D$10,"CLINICA DE HERIDAS ",IF(N146=CURSOS!$D$11,"TOMA DE CITOLOGIA A CERVICO VAGINAL ",IF(N146=CURSOS!$D$12,"SOPORTE CARDIOVASCULAR AVANZADO ",IF(N146=CURSOS!$D$13,"CAMILLERO ",IF(N146=CURSOS!$D$14,"TOMA MUESTRAS Y LABORATORIO ",IF(N146=CURSOS!$D$15,"SOPORTE VITAL BASICO (BLS)",IF(N146=CURSOS!$D$16,"ATENCION A VICTIMAS DE VIOLENCIA SEXUAL ",IF(N146=CURSOS!$D$17,"PROGRAMADO AMPLIADO DE INMUNIZACION (PAI - COVID 19)",IF(N146=CURSOS!$D$18,"ATENCION INTEGRAL EN ENFERMEDADES PREVALENTES EN PRIMERA INFANCIA (AIEPI)",IF(N146=CURSOS!$D$19,"ADMINISTRACION DE MEDICAMENTOS, IYECTOLOGIA  Y CANALIZACION ",IF(N146=CURSOS!$D$20,"OPERADOR DE VEHICULOS DE EMERGENCIA (OVE)",IF(N146=CURSOS!$D$21,"INSTITUCIONES AMIGAS DE LA MUJER Y LA INFANCIA (IAMI)",IF(N146=CURSOS!$D$22,"CUIDADO DEL DONANTE DE ORGANOS",IF(N146=CURSOS!$D$23,"ATENCION A VICTIMAS POR VIOLENCIA DE GENERO",IF(N146=CURSOS!$D$24,"IGUALDAD DE GENERO EN LA SALUD",IF(N146=CURSOS!$D$25,"BRIGADA DE EMERGENCIA",IF(N146=CURSOS!$D$26,"MANEJO DEL DOLOR Y CUIDADOS PALIATIVOS",IF(N146=CURSOS!$D$27,"TOMA MUESTRAS Y LABORATORIO POCT",IF(N146=CURSOS!$D$28,"IMPLANTE SUBDERMICO Y DISPOSITIVO INTRAUTERINO",IF(N146=CURSOS!$D$29,"SALUD MENTAL",IF(N146=CURSOS!$D$30,"PRIMEROS AUXILIOS PSICOLOGICOS",IF(N146=CURSOS!$D$31,"ATENCION A VICTIMAS POR CONFLICTO ARMADO",IF(N146=CURSOS!$D$32,"MANIPULACION DE ALIMENTOS Y BPM",IF(N146=CURSOS!$D$33,"ATENCION A PERSONAS CON DISCAPACIDAD",IF(N146=CURSOS!$D$34,"CUIDADO INTEGRAL DEL PACIENTE ADULTO"))))))))))))))))))))))))))))))))</f>
        <v>0</v>
      </c>
      <c r="U146" s="64" t="str">
        <f t="shared" si="15"/>
        <v xml:space="preserve">   </v>
      </c>
      <c r="V146" s="64" t="str">
        <f t="shared" si="16"/>
        <v xml:space="preserve">   </v>
      </c>
      <c r="W146" s="64" t="str">
        <f t="shared" si="17"/>
        <v xml:space="preserve">   --</v>
      </c>
    </row>
    <row r="147" spans="1:23" x14ac:dyDescent="0.2">
      <c r="A147" s="94">
        <v>146</v>
      </c>
      <c r="H147" s="31" t="s">
        <v>90</v>
      </c>
      <c r="Q147" s="47"/>
      <c r="S147" s="79"/>
      <c r="T147" s="64" t="b">
        <f>IF(N147=CURSOS!$D$3,"DIPLOMADO EN ATENCION PRE-HOSPITALARIA",IF(N147=CURSOS!$D$4,"ACOMPAÑAMIENTO Y MANEJO DEL DUELO",IF(N147=CURSOS!$D$5,"ATENCION A VICTIMAS DE ATAQUE CON AGENTES QUIMICOS ",IF(N147=CURSOS!$D$6,"PRIMEROS AUXILIOS ",IF(N147=CURSOS!$D$7,"DIPLOMADO DE UNIDAD DE CUIDADOS INTENSIVOS (UCI)",IF(N147=CURSOS!$D$8,"MODELO DE ATENCION PARA EVENTOS EMERGENTES EN SALUD MENTAL (CODIGO VERDE)",IF(N147=CURSOS!$D$9,"HUMANIZACION EN SALUD, BUENAS PRACTICAS EN PACIENTE ",IF(N147=CURSOS!$D$10,"CLINICA DE HERIDAS ",IF(N147=CURSOS!$D$11,"TOMA DE CITOLOGIA A CERVICO VAGINAL ",IF(N147=CURSOS!$D$12,"SOPORTE CARDIOVASCULAR AVANZADO ",IF(N147=CURSOS!$D$13,"CAMILLERO ",IF(N147=CURSOS!$D$14,"TOMA MUESTRAS Y LABORATORIO ",IF(N147=CURSOS!$D$15,"SOPORTE VITAL BASICO (BLS)",IF(N147=CURSOS!$D$16,"ATENCION A VICTIMAS DE VIOLENCIA SEXUAL ",IF(N147=CURSOS!$D$17,"PROGRAMADO AMPLIADO DE INMUNIZACION (PAI - COVID 19)",IF(N147=CURSOS!$D$18,"ATENCION INTEGRAL EN ENFERMEDADES PREVALENTES EN PRIMERA INFANCIA (AIEPI)",IF(N147=CURSOS!$D$19,"ADMINISTRACION DE MEDICAMENTOS, IYECTOLOGIA  Y CANALIZACION ",IF(N147=CURSOS!$D$20,"OPERADOR DE VEHICULOS DE EMERGENCIA (OVE)",IF(N147=CURSOS!$D$21,"INSTITUCIONES AMIGAS DE LA MUJER Y LA INFANCIA (IAMI)",IF(N147=CURSOS!$D$22,"CUIDADO DEL DONANTE DE ORGANOS",IF(N147=CURSOS!$D$23,"ATENCION A VICTIMAS POR VIOLENCIA DE GENERO",IF(N147=CURSOS!$D$24,"IGUALDAD DE GENERO EN LA SALUD",IF(N147=CURSOS!$D$25,"BRIGADA DE EMERGENCIA",IF(N147=CURSOS!$D$26,"MANEJO DEL DOLOR Y CUIDADOS PALIATIVOS",IF(N147=CURSOS!$D$27,"TOMA MUESTRAS Y LABORATORIO POCT",IF(N147=CURSOS!$D$28,"IMPLANTE SUBDERMICO Y DISPOSITIVO INTRAUTERINO",IF(N147=CURSOS!$D$29,"SALUD MENTAL",IF(N147=CURSOS!$D$30,"PRIMEROS AUXILIOS PSICOLOGICOS",IF(N147=CURSOS!$D$31,"ATENCION A VICTIMAS POR CONFLICTO ARMADO",IF(N147=CURSOS!$D$32,"MANIPULACION DE ALIMENTOS Y BPM",IF(N147=CURSOS!$D$33,"ATENCION A PERSONAS CON DISCAPACIDAD",IF(N147=CURSOS!$D$34,"CUIDADO INTEGRAL DEL PACIENTE ADULTO"))))))))))))))))))))))))))))))))</f>
        <v>0</v>
      </c>
      <c r="U147" s="64" t="str">
        <f t="shared" si="15"/>
        <v xml:space="preserve">   </v>
      </c>
      <c r="V147" s="64" t="str">
        <f t="shared" si="16"/>
        <v xml:space="preserve">   </v>
      </c>
      <c r="W147" s="64" t="str">
        <f t="shared" si="17"/>
        <v xml:space="preserve">   --</v>
      </c>
    </row>
    <row r="148" spans="1:23" x14ac:dyDescent="0.2">
      <c r="A148" s="94">
        <v>147</v>
      </c>
      <c r="C148" s="44"/>
      <c r="D148" s="44"/>
      <c r="E148" s="44"/>
      <c r="F148" s="44"/>
      <c r="H148" s="31" t="s">
        <v>90</v>
      </c>
      <c r="L148" s="45"/>
      <c r="M148" s="42"/>
      <c r="N148" s="43"/>
      <c r="O148" s="48"/>
      <c r="P148" s="44"/>
      <c r="Q148" s="47"/>
      <c r="R148" s="44"/>
      <c r="S148" s="44"/>
      <c r="T148" s="41" t="b">
        <f>IF(N148=CURSOS!$D$3,"DIPLOMADO EN ATENCION PRE-HOSPITALARIA",IF(N148=CURSOS!$D$4,"ACOMPAÑAMIENTO Y MANEJO DEL DUELO",IF(N148=CURSOS!$D$5,"ATENCION A VICTIMAS DE ATAQUE CON AGENTES QUIMICOS ",IF(N148=CURSOS!$D$6,"PRIMEROS AUXILIOS ",IF(N148=CURSOS!$D$7,"DIPLOMADO DE UNIDAD DE CUIDADOS INTENSIVOS (UCI)",IF(N148=CURSOS!$D$8,"MODELO DE ATENCION PARA EVENTOS EMERGENTES EN SALUD MENTAL (CODIGO VERDE)",IF(N148=CURSOS!$D$9,"HUMANIZACION EN SALUD, BUENAS PRACTICAS EN PACIENTE ",IF(N148=CURSOS!$D$10,"CLINICA DE HERIDAS ",IF(N148=CURSOS!$D$11,"TOMA DE CITOLOGIA A CERVICO VAGINAL ",IF(N148=CURSOS!$D$12,"SOPORTE CARDIOVASCULAR AVANZADO ",IF(N148=CURSOS!$D$13,"CAMILLERO ",IF(N148=CURSOS!$D$14,"TOMA MUESTRAS Y LABORATORIO ",IF(N148=CURSOS!$D$15,"SOPORTE VITAL BASICO (BLS)",IF(N148=CURSOS!$D$16,"ATENCION A VICTIMAS DE VIOLENCIA SEXUAL ",IF(N148=CURSOS!$D$17,"PROGRAMADO AMPLIADO DE INMUNIZACION (PAI - COVID 19)",IF(N148=CURSOS!$D$18,"ATENCION INTEGRAL EN ENFERMEDADES PREVALENTES EN PRIMERA INFANCIA (AIEPI)",IF(N148=CURSOS!$D$19,"ADMINISTRACION DE MEDICAMENTOS, IYECTOLOGIA  Y CANALIZACION ",IF(N148=CURSOS!$D$20,"OPERADOR DE VEHICULOS DE EMERGENCIA (OVE)",IF(N148=CURSOS!$D$21,"INSTITUCIONES AMIGAS DE LA MUJER Y LA INFANCIA (IAMI)",IF(N148=CURSOS!$D$22,"CUIDADO DEL DONANTE DE ORGANOS",IF(N148=CURSOS!$D$23,"ATENCION A VICTIMAS POR VIOLENCIA DE GENERO",IF(N148=CURSOS!$D$24,"IGUALDAD DE GENERO EN LA SALUD",IF(N148=CURSOS!$D$25,"BRIGADA DE EMERGENCIA",IF(N148=CURSOS!$D$26,"MANEJO DEL DOLOR Y CUIDADOS PALIATIVOS",IF(N148=CURSOS!$D$27,"TOMA MUESTRAS Y LABORATORIO POCT",IF(N148=CURSOS!$D$28,"IMPLANTE SUBDERMICO Y DISPOSITIVO INTRAUTERINO",IF(N148=CURSOS!$D$29,"SALUD MENTAL",IF(N148=CURSOS!$D$30,"PRIMEROS AUXILIOS PSICOLOGICOS",IF(N148=CURSOS!$D$31,"ATENCION A VICTIMAS POR CONFLICTO ARMADO",IF(N148=CURSOS!$D$32,"MANIPULACION DE ALIMENTOS Y BPM"))))))))))))))))))))))))))))))</f>
        <v>0</v>
      </c>
      <c r="U148" s="64" t="str">
        <f t="shared" ref="U148:U171" si="18">CONCATENATE(E149," ",F149," ",C149," ",D149)</f>
        <v xml:space="preserve">   </v>
      </c>
      <c r="V148" s="64" t="str">
        <f t="shared" ref="V148:V171" si="19">+PROPER(U148)</f>
        <v xml:space="preserve">   </v>
      </c>
      <c r="W148" s="64" t="str">
        <f t="shared" ref="W148:W171" si="20">CONCATENATE(U148,"-",B154,"-",N148)</f>
        <v xml:space="preserve">   --</v>
      </c>
    </row>
    <row r="149" spans="1:23" x14ac:dyDescent="0.2">
      <c r="A149" s="94">
        <v>148</v>
      </c>
      <c r="C149" s="44"/>
      <c r="D149" s="44"/>
      <c r="E149" s="44"/>
      <c r="F149" s="44"/>
      <c r="H149" s="31" t="s">
        <v>90</v>
      </c>
      <c r="L149" s="45"/>
      <c r="M149" s="42"/>
      <c r="N149" s="43"/>
      <c r="O149" s="48"/>
      <c r="P149" s="44"/>
      <c r="Q149" s="47"/>
      <c r="R149" s="44"/>
      <c r="S149" s="44"/>
      <c r="T149" s="41" t="b">
        <f>IF(N149=CURSOS!$D$3,"DIPLOMADO EN ATENCION PRE-HOSPITALARIA",IF(N149=CURSOS!$D$4,"ACOMPAÑAMIENTO Y MANEJO DEL DUELO",IF(N149=CURSOS!$D$5,"ATENCION A VICTIMAS DE ATAQUE CON AGENTES QUIMICOS ",IF(N149=CURSOS!$D$6,"PRIMEROS AUXILIOS ",IF(N149=CURSOS!$D$7,"DIPLOMADO DE UNIDAD DE CUIDADOS INTENSIVOS (UCI)",IF(N149=CURSOS!$D$8,"MODELO DE ATENCION PARA EVENTOS EMERGENTES EN SALUD MENTAL (CODIGO VERDE)",IF(N149=CURSOS!$D$9,"HUMANIZACION EN SALUD, BUENAS PRACTICAS EN PACIENTE ",IF(N149=CURSOS!$D$10,"CLINICA DE HERIDAS ",IF(N149=CURSOS!$D$11,"TOMA DE CITOLOGIA A CERVICO VAGINAL ",IF(N149=CURSOS!$D$12,"SOPORTE CARDIOVASCULAR AVANZADO ",IF(N149=CURSOS!$D$13,"CAMILLERO ",IF(N149=CURSOS!$D$14,"TOMA MUESTRAS Y LABORATORIO ",IF(N149=CURSOS!$D$15,"SOPORTE VITAL BASICO (BLS)",IF(N149=CURSOS!$D$16,"ATENCION A VICTIMAS DE VIOLENCIA SEXUAL ",IF(N149=CURSOS!$D$17,"PROGRAMADO AMPLIADO DE INMUNIZACION (PAI - COVID 19)",IF(N149=CURSOS!$D$18,"ATENCION INTEGRAL EN ENFERMEDADES PREVALENTES EN PRIMERA INFANCIA (AIEPI)",IF(N149=CURSOS!$D$19,"ADMINISTRACION DE MEDICAMENTOS, IYECTOLOGIA  Y CANALIZACION ",IF(N149=CURSOS!$D$20,"OPERADOR DE VEHICULOS DE EMERGENCIA (OVE)",IF(N149=CURSOS!$D$21,"INSTITUCIONES AMIGAS DE LA MUJER Y LA INFANCIA (IAMI)",IF(N149=CURSOS!$D$22,"CUIDADO DEL DONANTE DE ORGANOS",IF(N149=CURSOS!$D$23,"ATENCION A VICTIMAS POR VIOLENCIA DE GENERO",IF(N149=CURSOS!$D$24,"IGUALDAD DE GENERO EN LA SALUD",IF(N149=CURSOS!$D$25,"BRIGADA DE EMERGENCIA",IF(N149=CURSOS!$D$26,"MANEJO DEL DOLOR Y CUIDADOS PALIATIVOS",IF(N149=CURSOS!$D$27,"TOMA MUESTRAS Y LABORATORIO POCT",IF(N149=CURSOS!$D$28,"IMPLANTE SUBDERMICO Y DISPOSITIVO INTRAUTERINO",IF(N149=CURSOS!$D$29,"SALUD MENTAL",IF(N149=CURSOS!$D$30,"PRIMEROS AUXILIOS PSICOLOGICOS",IF(N149=CURSOS!$D$31,"ATENCION A VICTIMAS POR CONFLICTO ARMADO",IF(N149=CURSOS!$D$32,"MANIPULACION DE ALIMENTOS Y BPM"))))))))))))))))))))))))))))))</f>
        <v>0</v>
      </c>
      <c r="U149" s="64" t="str">
        <f t="shared" si="18"/>
        <v xml:space="preserve">   </v>
      </c>
      <c r="V149" s="64" t="str">
        <f t="shared" si="19"/>
        <v xml:space="preserve">   </v>
      </c>
      <c r="W149" s="64" t="str">
        <f t="shared" si="20"/>
        <v xml:space="preserve">   --</v>
      </c>
    </row>
    <row r="150" spans="1:23" x14ac:dyDescent="0.2">
      <c r="A150" s="94">
        <v>149</v>
      </c>
      <c r="C150" s="44"/>
      <c r="D150" s="44"/>
      <c r="E150" s="44"/>
      <c r="F150" s="44"/>
      <c r="H150" s="31" t="s">
        <v>90</v>
      </c>
      <c r="L150" s="45"/>
      <c r="M150" s="42"/>
      <c r="N150" s="43"/>
      <c r="O150" s="48"/>
      <c r="P150" s="44"/>
      <c r="Q150" s="47"/>
      <c r="R150" s="44"/>
      <c r="S150" s="44"/>
      <c r="T150" s="41" t="b">
        <f>IF(N150=CURSOS!$D$3,"DIPLOMADO EN ATENCION PRE-HOSPITALARIA",IF(N150=CURSOS!$D$4,"ACOMPAÑAMIENTO Y MANEJO DEL DUELO",IF(N150=CURSOS!$D$5,"ATENCION A VICTIMAS DE ATAQUE CON AGENTES QUIMICOS ",IF(N150=CURSOS!$D$6,"PRIMEROS AUXILIOS ",IF(N150=CURSOS!$D$7,"DIPLOMADO DE UNIDAD DE CUIDADOS INTENSIVOS (UCI)",IF(N150=CURSOS!$D$8,"MODELO DE ATENCION PARA EVENTOS EMERGENTES EN SALUD MENTAL (CODIGO VERDE)",IF(N150=CURSOS!$D$9,"HUMANIZACION EN SALUD, BUENAS PRACTICAS EN PACIENTE ",IF(N150=CURSOS!$D$10,"CLINICA DE HERIDAS ",IF(N150=CURSOS!$D$11,"TOMA DE CITOLOGIA A CERVICO VAGINAL ",IF(N150=CURSOS!$D$12,"SOPORTE CARDIOVASCULAR AVANZADO ",IF(N150=CURSOS!$D$13,"CAMILLERO ",IF(N150=CURSOS!$D$14,"TOMA MUESTRAS Y LABORATORIO ",IF(N150=CURSOS!$D$15,"SOPORTE VITAL BASICO (BLS)",IF(N150=CURSOS!$D$16,"ATENCION A VICTIMAS DE VIOLENCIA SEXUAL ",IF(N150=CURSOS!$D$17,"PROGRAMADO AMPLIADO DE INMUNIZACION (PAI - COVID 19)",IF(N150=CURSOS!$D$18,"ATENCION INTEGRAL EN ENFERMEDADES PREVALENTES EN PRIMERA INFANCIA (AIEPI)",IF(N150=CURSOS!$D$19,"ADMINISTRACION DE MEDICAMENTOS, IYECTOLOGIA  Y CANALIZACION ",IF(N150=CURSOS!$D$20,"OPERADOR DE VEHICULOS DE EMERGENCIA (OVE)",IF(N150=CURSOS!$D$21,"INSTITUCIONES AMIGAS DE LA MUJER Y LA INFANCIA (IAMI)",IF(N150=CURSOS!$D$22,"CUIDADO DEL DONANTE DE ORGANOS",IF(N150=CURSOS!$D$23,"ATENCION A VICTIMAS POR VIOLENCIA DE GENERO",IF(N150=CURSOS!$D$24,"IGUALDAD DE GENERO EN LA SALUD",IF(N150=CURSOS!$D$25,"BRIGADA DE EMERGENCIA",IF(N150=CURSOS!$D$26,"MANEJO DEL DOLOR Y CUIDADOS PALIATIVOS",IF(N150=CURSOS!$D$27,"TOMA MUESTRAS Y LABORATORIO POCT",IF(N150=CURSOS!$D$28,"IMPLANTE SUBDERMICO Y DISPOSITIVO INTRAUTERINO",IF(N150=CURSOS!$D$29,"SALUD MENTAL",IF(N150=CURSOS!$D$30,"PRIMEROS AUXILIOS PSICOLOGICOS",IF(N150=CURSOS!$D$31,"ATENCION A VICTIMAS POR CONFLICTO ARMADO",IF(N150=CURSOS!$D$32,"MANIPULACION DE ALIMENTOS Y BPM"))))))))))))))))))))))))))))))</f>
        <v>0</v>
      </c>
      <c r="U150" s="64" t="str">
        <f t="shared" si="18"/>
        <v xml:space="preserve">   </v>
      </c>
      <c r="V150" s="64" t="str">
        <f t="shared" si="19"/>
        <v xml:space="preserve">   </v>
      </c>
      <c r="W150" s="64" t="str">
        <f t="shared" si="20"/>
        <v xml:space="preserve">   --</v>
      </c>
    </row>
    <row r="151" spans="1:23" x14ac:dyDescent="0.2">
      <c r="A151" s="94">
        <v>150</v>
      </c>
      <c r="H151" s="31" t="s">
        <v>90</v>
      </c>
      <c r="Q151" s="47"/>
      <c r="T151" s="41" t="b">
        <f>IF(N151=CURSOS!$D$3,"DIPLOMADO EN ATENCION PRE-HOSPITALARIA",IF(N151=CURSOS!$D$4,"ACOMPAÑAMIENTO Y MANEJO DEL DUELO",IF(N151=CURSOS!$D$5,"ATENCION A VICTIMAS DE ATAQUE CON AGENTES QUIMICOS ",IF(N151=CURSOS!$D$6,"PRIMEROS AUXILIOS ",IF(N151=CURSOS!$D$7,"DIPLOMADO DE UNIDAD DE CUIDADOS INTENSIVOS (UCI)",IF(N151=CURSOS!$D$8,"MODELO DE ATENCION PARA EVENTOS EMERGENTES EN SALUD MENTAL (CODIGO VERDE)",IF(N151=CURSOS!$D$9,"HUMANIZACION EN SALUD, BUENAS PRACTICAS EN PACIENTE ",IF(N151=CURSOS!$D$10,"CLINICA DE HERIDAS ",IF(N151=CURSOS!$D$11,"TOMA DE CITOLOGIA A CERVICO VAGINAL ",IF(N151=CURSOS!$D$12,"SOPORTE CARDIOVASCULAR AVANZADO ",IF(N151=CURSOS!$D$13,"CAMILLERO ",IF(N151=CURSOS!$D$14,"TOMA MUESTRAS Y LABORATORIO ",IF(N151=CURSOS!$D$15,"SOPORTE VITAL BASICO (BLS)",IF(N151=CURSOS!$D$16,"ATENCION A VICTIMAS DE VIOLENCIA SEXUAL ",IF(N151=CURSOS!$D$17,"PROGRAMADO AMPLIADO DE INMUNIZACION (PAI - COVID 19)",IF(N151=CURSOS!$D$18,"ATENCION INTEGRAL EN ENFERMEDADES PREVALENTES EN PRIMERA INFANCIA (AIEPI)",IF(N151=CURSOS!$D$19,"ADMINISTRACION DE MEDICAMENTOS, IYECTOLOGIA  Y CANALIZACION ",IF(N151=CURSOS!$D$20,"OPERADOR DE VEHICULOS DE EMERGENCIA (OVE)",IF(N151=CURSOS!$D$21,"INSTITUCIONES AMIGAS DE LA MUJER Y LA INFANCIA (IAMI)",IF(N151=CURSOS!$D$22,"CUIDADO DEL DONANTE DE ORGANOS",IF(N151=CURSOS!$D$23,"ATENCION A VICTIMAS POR VIOLENCIA DE GENERO",IF(N151=CURSOS!$D$24,"IGUALDAD DE GENERO EN LA SALUD",IF(N151=CURSOS!$D$25,"BRIGADA DE EMERGENCIA",IF(N151=CURSOS!$D$26,"MANEJO DEL DOLOR Y CUIDADOS PALIATIVOS",IF(N151=CURSOS!$D$27,"TOMA MUESTRAS Y LABORATORIO POCT",IF(N151=CURSOS!$D$28,"IMPLANTE SUBDERMICO Y DISPOSITIVO INTRAUTERINO",IF(N151=CURSOS!$D$29,"SALUD MENTAL",IF(N151=CURSOS!$D$30,"PRIMEROS AUXILIOS PSICOLOGICOS",IF(N151=CURSOS!$D$31,"ATENCION A VICTIMAS POR CONFLICTO ARMADO",IF(N151=CURSOS!$D$32,"MANIPULACION DE ALIMENTOS Y BPM"))))))))))))))))))))))))))))))</f>
        <v>0</v>
      </c>
      <c r="U151" s="64" t="str">
        <f t="shared" si="18"/>
        <v xml:space="preserve">   </v>
      </c>
      <c r="V151" s="64" t="str">
        <f t="shared" si="19"/>
        <v xml:space="preserve">   </v>
      </c>
      <c r="W151" s="64" t="str">
        <f t="shared" si="20"/>
        <v xml:space="preserve">   --</v>
      </c>
    </row>
    <row r="152" spans="1:23" x14ac:dyDescent="0.2">
      <c r="A152" s="94">
        <v>151</v>
      </c>
      <c r="H152" s="31" t="s">
        <v>90</v>
      </c>
      <c r="Q152" s="47"/>
      <c r="T152" s="41" t="b">
        <f>IF(N152=CURSOS!$D$3,"DIPLOMADO EN ATENCION PRE-HOSPITALARIA",IF(N152=CURSOS!$D$4,"ACOMPAÑAMIENTO Y MANEJO DEL DUELO",IF(N152=CURSOS!$D$5,"ATENCION A VICTIMAS DE ATAQUE CON AGENTES QUIMICOS ",IF(N152=CURSOS!$D$6,"PRIMEROS AUXILIOS ",IF(N152=CURSOS!$D$7,"DIPLOMADO DE UNIDAD DE CUIDADOS INTENSIVOS (UCI)",IF(N152=CURSOS!$D$8,"MODELO DE ATENCION PARA EVENTOS EMERGENTES EN SALUD MENTAL (CODIGO VERDE)",IF(N152=CURSOS!$D$9,"HUMANIZACION EN SALUD, BUENAS PRACTICAS EN PACIENTE ",IF(N152=CURSOS!$D$10,"CLINICA DE HERIDAS ",IF(N152=CURSOS!$D$11,"TOMA DE CITOLOGIA A CERVICO VAGINAL ",IF(N152=CURSOS!$D$12,"SOPORTE CARDIOVASCULAR AVANZADO ",IF(N152=CURSOS!$D$13,"CAMILLERO ",IF(N152=CURSOS!$D$14,"TOMA MUESTRAS Y LABORATORIO ",IF(N152=CURSOS!$D$15,"SOPORTE VITAL BASICO (BLS)",IF(N152=CURSOS!$D$16,"ATENCION A VICTIMAS DE VIOLENCIA SEXUAL ",IF(N152=CURSOS!$D$17,"PROGRAMADO AMPLIADO DE INMUNIZACION (PAI - COVID 19)",IF(N152=CURSOS!$D$18,"ATENCION INTEGRAL EN ENFERMEDADES PREVALENTES EN PRIMERA INFANCIA (AIEPI)",IF(N152=CURSOS!$D$19,"ADMINISTRACION DE MEDICAMENTOS, IYECTOLOGIA  Y CANALIZACION ",IF(N152=CURSOS!$D$20,"OPERADOR DE VEHICULOS DE EMERGENCIA (OVE)",IF(N152=CURSOS!$D$21,"INSTITUCIONES AMIGAS DE LA MUJER Y LA INFANCIA (IAMI)",IF(N152=CURSOS!$D$22,"CUIDADO DEL DONANTE DE ORGANOS",IF(N152=CURSOS!$D$23,"ATENCION A VICTIMAS POR VIOLENCIA DE GENERO",IF(N152=CURSOS!$D$24,"IGUALDAD DE GENERO EN LA SALUD",IF(N152=CURSOS!$D$25,"BRIGADA DE EMERGENCIA",IF(N152=CURSOS!$D$26,"MANEJO DEL DOLOR Y CUIDADOS PALIATIVOS",IF(N152=CURSOS!$D$27,"TOMA MUESTRAS Y LABORATORIO POCT",IF(N152=CURSOS!$D$28,"IMPLANTE SUBDERMICO Y DISPOSITIVO INTRAUTERINO",IF(N152=CURSOS!$D$29,"SALUD MENTAL",IF(N152=CURSOS!$D$30,"PRIMEROS AUXILIOS PSICOLOGICOS",IF(N152=CURSOS!$D$31,"ATENCION A VICTIMAS POR CONFLICTO ARMADO",IF(N152=CURSOS!$D$32,"MANIPULACION DE ALIMENTOS Y BPM"))))))))))))))))))))))))))))))</f>
        <v>0</v>
      </c>
      <c r="U152" s="64" t="str">
        <f t="shared" si="18"/>
        <v xml:space="preserve">   </v>
      </c>
      <c r="V152" s="64" t="str">
        <f t="shared" si="19"/>
        <v xml:space="preserve">   </v>
      </c>
      <c r="W152" s="64" t="str">
        <f t="shared" si="20"/>
        <v xml:space="preserve">   --</v>
      </c>
    </row>
    <row r="153" spans="1:23" x14ac:dyDescent="0.2">
      <c r="A153" s="94">
        <v>152</v>
      </c>
      <c r="H153" s="31" t="s">
        <v>90</v>
      </c>
      <c r="Q153" s="47"/>
      <c r="T153" s="41" t="b">
        <f>IF(N153=CURSOS!$D$3,"DIPLOMADO EN ATENCION PRE-HOSPITALARIA",IF(N153=CURSOS!$D$4,"ACOMPAÑAMIENTO Y MANEJO DEL DUELO",IF(N153=CURSOS!$D$5,"ATENCION A VICTIMAS DE ATAQUE CON AGENTES QUIMICOS ",IF(N153=CURSOS!$D$6,"PRIMEROS AUXILIOS ",IF(N153=CURSOS!$D$7,"DIPLOMADO DE UNIDAD DE CUIDADOS INTENSIVOS (UCI)",IF(N153=CURSOS!$D$8,"MODELO DE ATENCION PARA EVENTOS EMERGENTES EN SALUD MENTAL (CODIGO VERDE)",IF(N153=CURSOS!$D$9,"HUMANIZACION EN SALUD, BUENAS PRACTICAS EN PACIENTE ",IF(N153=CURSOS!$D$10,"CLINICA DE HERIDAS ",IF(N153=CURSOS!$D$11,"TOMA DE CITOLOGIA A CERVICO VAGINAL ",IF(N153=CURSOS!$D$12,"SOPORTE CARDIOVASCULAR AVANZADO ",IF(N153=CURSOS!$D$13,"CAMILLERO ",IF(N153=CURSOS!$D$14,"TOMA MUESTRAS Y LABORATORIO ",IF(N153=CURSOS!$D$15,"SOPORTE VITAL BASICO (BLS)",IF(N153=CURSOS!$D$16,"ATENCION A VICTIMAS DE VIOLENCIA SEXUAL ",IF(N153=CURSOS!$D$17,"PROGRAMADO AMPLIADO DE INMUNIZACION (PAI - COVID 19)",IF(N153=CURSOS!$D$18,"ATENCION INTEGRAL EN ENFERMEDADES PREVALENTES EN PRIMERA INFANCIA (AIEPI)",IF(N153=CURSOS!$D$19,"ADMINISTRACION DE MEDICAMENTOS, IYECTOLOGIA  Y CANALIZACION ",IF(N153=CURSOS!$D$20,"OPERADOR DE VEHICULOS DE EMERGENCIA (OVE)",IF(N153=CURSOS!$D$21,"INSTITUCIONES AMIGAS DE LA MUJER Y LA INFANCIA (IAMI)",IF(N153=CURSOS!$D$22,"CUIDADO DEL DONANTE DE ORGANOS",IF(N153=CURSOS!$D$23,"ATENCION A VICTIMAS POR VIOLENCIA DE GENERO",IF(N153=CURSOS!$D$24,"IGUALDAD DE GENERO EN LA SALUD",IF(N153=CURSOS!$D$25,"BRIGADA DE EMERGENCIA",IF(N153=CURSOS!$D$26,"MANEJO DEL DOLOR Y CUIDADOS PALIATIVOS",IF(N153=CURSOS!$D$27,"TOMA MUESTRAS Y LABORATORIO POCT",IF(N153=CURSOS!$D$28,"IMPLANTE SUBDERMICO Y DISPOSITIVO INTRAUTERINO",IF(N153=CURSOS!$D$29,"SALUD MENTAL",IF(N153=CURSOS!$D$30,"PRIMEROS AUXILIOS PSICOLOGICOS",IF(N153=CURSOS!$D$31,"ATENCION A VICTIMAS POR CONFLICTO ARMADO",IF(N153=CURSOS!$D$32,"MANIPULACION DE ALIMENTOS Y BPM"))))))))))))))))))))))))))))))</f>
        <v>0</v>
      </c>
      <c r="U153" s="64" t="str">
        <f t="shared" si="18"/>
        <v xml:space="preserve">   </v>
      </c>
      <c r="V153" s="64" t="str">
        <f t="shared" si="19"/>
        <v xml:space="preserve">   </v>
      </c>
      <c r="W153" s="64" t="str">
        <f t="shared" si="20"/>
        <v xml:space="preserve">   --</v>
      </c>
    </row>
    <row r="154" spans="1:23" x14ac:dyDescent="0.2">
      <c r="A154" s="94">
        <v>153</v>
      </c>
      <c r="B154" s="44"/>
      <c r="H154" s="31" t="s">
        <v>90</v>
      </c>
      <c r="Q154" s="47"/>
      <c r="T154" s="41" t="b">
        <f>IF(N154=CURSOS!$D$3,"DIPLOMADO EN ATENCION PRE-HOSPITALARIA",IF(N154=CURSOS!$D$4,"ACOMPAÑAMIENTO Y MANEJO DEL DUELO",IF(N154=CURSOS!$D$5,"ATENCION A VICTIMAS DE ATAQUE CON AGENTES QUIMICOS ",IF(N154=CURSOS!$D$6,"PRIMEROS AUXILIOS ",IF(N154=CURSOS!$D$7,"DIPLOMADO DE UNIDAD DE CUIDADOS INTENSIVOS (UCI)",IF(N154=CURSOS!$D$8,"MODELO DE ATENCION PARA EVENTOS EMERGENTES EN SALUD MENTAL (CODIGO VERDE)",IF(N154=CURSOS!$D$9,"HUMANIZACION EN SALUD, BUENAS PRACTICAS EN PACIENTE ",IF(N154=CURSOS!$D$10,"CLINICA DE HERIDAS ",IF(N154=CURSOS!$D$11,"TOMA DE CITOLOGIA A CERVICO VAGINAL ",IF(N154=CURSOS!$D$12,"SOPORTE CARDIOVASCULAR AVANZADO ",IF(N154=CURSOS!$D$13,"CAMILLERO ",IF(N154=CURSOS!$D$14,"TOMA MUESTRAS Y LABORATORIO ",IF(N154=CURSOS!$D$15,"SOPORTE VITAL BASICO (BLS)",IF(N154=CURSOS!$D$16,"ATENCION A VICTIMAS DE VIOLENCIA SEXUAL ",IF(N154=CURSOS!$D$17,"PROGRAMADO AMPLIADO DE INMUNIZACION (PAI - COVID 19)",IF(N154=CURSOS!$D$18,"ATENCION INTEGRAL EN ENFERMEDADES PREVALENTES EN PRIMERA INFANCIA (AIEPI)",IF(N154=CURSOS!$D$19,"ADMINISTRACION DE MEDICAMENTOS, IYECTOLOGIA  Y CANALIZACION ",IF(N154=CURSOS!$D$20,"OPERADOR DE VEHICULOS DE EMERGENCIA (OVE)",IF(N154=CURSOS!$D$21,"INSTITUCIONES AMIGAS DE LA MUJER Y LA INFANCIA (IAMI)",IF(N154=CURSOS!$D$22,"CUIDADO DEL DONANTE DE ORGANOS",IF(N154=CURSOS!$D$23,"ATENCION A VICTIMAS POR VIOLENCIA DE GENERO",IF(N154=CURSOS!$D$24,"IGUALDAD DE GENERO EN LA SALUD",IF(N154=CURSOS!$D$25,"BRIGADA DE EMERGENCIA",IF(N154=CURSOS!$D$26,"MANEJO DEL DOLOR Y CUIDADOS PALIATIVOS",IF(N154=CURSOS!$D$27,"TOMA MUESTRAS Y LABORATORIO POCT",IF(N154=CURSOS!$D$28,"IMPLANTE SUBDERMICO Y DISPOSITIVO INTRAUTERINO",IF(N154=CURSOS!$D$29,"SALUD MENTAL",IF(N154=CURSOS!$D$30,"PRIMEROS AUXILIOS PSICOLOGICOS",IF(N154=CURSOS!$D$31,"ATENCION A VICTIMAS POR CONFLICTO ARMADO",IF(N154=CURSOS!$D$32,"MANIPULACION DE ALIMENTOS Y BPM"))))))))))))))))))))))))))))))</f>
        <v>0</v>
      </c>
      <c r="U154" s="64" t="str">
        <f t="shared" si="18"/>
        <v xml:space="preserve">   </v>
      </c>
      <c r="V154" s="64" t="str">
        <f t="shared" si="19"/>
        <v xml:space="preserve">   </v>
      </c>
      <c r="W154" s="64" t="str">
        <f t="shared" si="20"/>
        <v xml:space="preserve">   --</v>
      </c>
    </row>
    <row r="155" spans="1:23" x14ac:dyDescent="0.2">
      <c r="A155" s="94">
        <v>154</v>
      </c>
      <c r="B155" s="44"/>
      <c r="H155" s="31" t="s">
        <v>90</v>
      </c>
      <c r="T155" s="41" t="b">
        <f>IF(N155=CURSOS!$D$3,"DIPLOMADO EN ATENCION PRE-HOSPITALARIA",IF(N155=CURSOS!$D$4,"ACOMPAÑAMIENTO Y MANEJO DEL DUELO",IF(N155=CURSOS!$D$5,"ATENCION A VICTIMAS DE ATAQUE CON AGENTES QUIMICOS ",IF(N155=CURSOS!$D$6,"PRIMEROS AUXILIOS ",IF(N155=CURSOS!$D$7,"DIPLOMADO DE UNIDAD DE CUIDADOS INTENSIVOS (UCI)",IF(N155=CURSOS!$D$8,"MODELO DE ATENCION PARA EVENTOS EMERGENTES EN SALUD MENTAL (CODIGO VERDE)",IF(N155=CURSOS!$D$9,"HUMANIZACION EN SALUD, BUENAS PRACTICAS EN PACIENTE ",IF(N155=CURSOS!$D$10,"CLINICA DE HERIDAS ",IF(N155=CURSOS!$D$11,"TOMA DE CITOLOGIA A CERVICO VAGINAL ",IF(N155=CURSOS!$D$12,"SOPORTE CARDIOVASCULAR AVANZADO ",IF(N155=CURSOS!$D$13,"CAMILLERO ",IF(N155=CURSOS!$D$14,"TOMA MUESTRAS Y LABORATORIO ",IF(N155=CURSOS!$D$15,"SOPORTE VITAL BASICO (BLS)",IF(N155=CURSOS!$D$16,"ATENCION A VICTIMAS DE VIOLENCIA SEXUAL ",IF(N155=CURSOS!$D$17,"PROGRAMADO AMPLIADO DE INMUNIZACION (PAI - COVID 19)",IF(N155=CURSOS!$D$18,"ATENCION INTEGRAL EN ENFERMEDADES PREVALENTES EN PRIMERA INFANCIA (AIEPI)",IF(N155=CURSOS!$D$19,"ADMINISTRACION DE MEDICAMENTOS, IYECTOLOGIA  Y CANALIZACION ",IF(N155=CURSOS!$D$20,"OPERADOR DE VEHICULOS DE EMERGENCIA (OVE)",IF(N155=CURSOS!$D$21,"INSTITUCIONES AMIGAS DE LA MUJER Y LA INFANCIA (IAMI)",IF(N155=CURSOS!$D$22,"CUIDADO DEL DONANTE DE ORGANOS",IF(N155=CURSOS!$D$23,"ATENCION A VICTIMAS POR VIOLENCIA DE GENERO",IF(N155=CURSOS!$D$24,"IGUALDAD DE GENERO EN LA SALUD",IF(N155=CURSOS!$D$25,"BRIGADA DE EMERGENCIA",IF(N155=CURSOS!$D$26,"MANEJO DEL DOLOR Y CUIDADOS PALIATIVOS",IF(N155=CURSOS!$D$27,"TOMA MUESTRAS Y LABORATORIO POCT",IF(N155=CURSOS!$D$28,"IMPLANTE SUBDERMICO Y DISPOSITIVO INTRAUTERINO",IF(N155=CURSOS!$D$29,"SALUD MENTAL",IF(N155=CURSOS!$D$30,"PRIMEROS AUXILIOS PSICOLOGICOS",IF(N155=CURSOS!$D$31,"ATENCION A VICTIMAS POR CONFLICTO ARMADO",IF(N155=CURSOS!$D$32,"MANIPULACION DE ALIMENTOS Y BPM"))))))))))))))))))))))))))))))</f>
        <v>0</v>
      </c>
      <c r="U155" s="64" t="str">
        <f t="shared" si="18"/>
        <v xml:space="preserve">   </v>
      </c>
      <c r="V155" s="64" t="str">
        <f t="shared" si="19"/>
        <v xml:space="preserve">   </v>
      </c>
      <c r="W155" s="64" t="str">
        <f t="shared" si="20"/>
        <v xml:space="preserve">   --</v>
      </c>
    </row>
    <row r="156" spans="1:23" x14ac:dyDescent="0.2">
      <c r="A156" s="94">
        <v>155</v>
      </c>
      <c r="B156" s="44"/>
      <c r="H156" s="31" t="s">
        <v>90</v>
      </c>
      <c r="T156" s="41" t="b">
        <f>IF(N156=CURSOS!$D$3,"DIPLOMADO EN ATENCION PRE-HOSPITALARIA",IF(N156=CURSOS!$D$4,"ACOMPAÑAMIENTO Y MANEJO DEL DUELO",IF(N156=CURSOS!$D$5,"ATENCION A VICTIMAS DE ATAQUE CON AGENTES QUIMICOS ",IF(N156=CURSOS!$D$6,"PRIMEROS AUXILIOS ",IF(N156=CURSOS!$D$7,"DIPLOMADO DE UNIDAD DE CUIDADOS INTENSIVOS (UCI)",IF(N156=CURSOS!$D$8,"MODELO DE ATENCION PARA EVENTOS EMERGENTES EN SALUD MENTAL (CODIGO VERDE)",IF(N156=CURSOS!$D$9,"HUMANIZACION EN SALUD, BUENAS PRACTICAS EN PACIENTE ",IF(N156=CURSOS!$D$10,"CLINICA DE HERIDAS ",IF(N156=CURSOS!$D$11,"TOMA DE CITOLOGIA A CERVICO VAGINAL ",IF(N156=CURSOS!$D$12,"SOPORTE CARDIOVASCULAR AVANZADO ",IF(N156=CURSOS!$D$13,"CAMILLERO ",IF(N156=CURSOS!$D$14,"TOMA MUESTRAS Y LABORATORIO ",IF(N156=CURSOS!$D$15,"SOPORTE VITAL BASICO (BLS)",IF(N156=CURSOS!$D$16,"ATENCION A VICTIMAS DE VIOLENCIA SEXUAL ",IF(N156=CURSOS!$D$17,"PROGRAMADO AMPLIADO DE INMUNIZACION (PAI - COVID 19)",IF(N156=CURSOS!$D$18,"ATENCION INTEGRAL EN ENFERMEDADES PREVALENTES EN PRIMERA INFANCIA (AIEPI)",IF(N156=CURSOS!$D$19,"ADMINISTRACION DE MEDICAMENTOS, IYECTOLOGIA  Y CANALIZACION ",IF(N156=CURSOS!$D$20,"OPERADOR DE VEHICULOS DE EMERGENCIA (OVE)",IF(N156=CURSOS!$D$21,"INSTITUCIONES AMIGAS DE LA MUJER Y LA INFANCIA (IAMI)",IF(N156=CURSOS!$D$22,"CUIDADO DEL DONANTE DE ORGANOS",IF(N156=CURSOS!$D$23,"ATENCION A VICTIMAS POR VIOLENCIA DE GENERO",IF(N156=CURSOS!$D$24,"IGUALDAD DE GENERO EN LA SALUD",IF(N156=CURSOS!$D$25,"BRIGADA DE EMERGENCIA",IF(N156=CURSOS!$D$26,"MANEJO DEL DOLOR Y CUIDADOS PALIATIVOS",IF(N156=CURSOS!$D$27,"TOMA MUESTRAS Y LABORATORIO POCT",IF(N156=CURSOS!$D$28,"IMPLANTE SUBDERMICO Y DISPOSITIVO INTRAUTERINO",IF(N156=CURSOS!$D$29,"SALUD MENTAL",IF(N156=CURSOS!$D$30,"PRIMEROS AUXILIOS PSICOLOGICOS",IF(N156=CURSOS!$D$31,"ATENCION A VICTIMAS POR CONFLICTO ARMADO",IF(N156=CURSOS!$D$32,"MANIPULACION DE ALIMENTOS Y BPM"))))))))))))))))))))))))))))))</f>
        <v>0</v>
      </c>
      <c r="U156" s="64" t="str">
        <f t="shared" si="18"/>
        <v xml:space="preserve">   </v>
      </c>
      <c r="V156" s="64" t="str">
        <f t="shared" si="19"/>
        <v xml:space="preserve">   </v>
      </c>
      <c r="W156" s="64" t="str">
        <f t="shared" si="20"/>
        <v xml:space="preserve">   --</v>
      </c>
    </row>
    <row r="157" spans="1:23" x14ac:dyDescent="0.2">
      <c r="A157" s="94">
        <v>156</v>
      </c>
      <c r="H157" s="31" t="s">
        <v>90</v>
      </c>
      <c r="I157" s="46"/>
      <c r="T157" s="41" t="b">
        <f>IF(N157=CURSOS!$D$3,"DIPLOMADO EN ATENCION PRE-HOSPITALARIA",IF(N157=CURSOS!$D$4,"ACOMPAÑAMIENTO Y MANEJO DEL DUELO",IF(N157=CURSOS!$D$5,"ATENCION A VICTIMAS DE ATAQUE CON AGENTES QUIMICOS ",IF(N157=CURSOS!$D$6,"PRIMEROS AUXILIOS ",IF(N157=CURSOS!$D$7,"DIPLOMADO DE UNIDAD DE CUIDADOS INTENSIVOS (UCI)",IF(N157=CURSOS!$D$8,"MODELO DE ATENCION PARA EVENTOS EMERGENTES EN SALUD MENTAL (CODIGO VERDE)",IF(N157=CURSOS!$D$9,"HUMANIZACION EN SALUD, BUENAS PRACTICAS EN PACIENTE ",IF(N157=CURSOS!$D$10,"CLINICA DE HERIDAS ",IF(N157=CURSOS!$D$11,"TOMA DE CITOLOGIA A CERVICO VAGINAL ",IF(N157=CURSOS!$D$12,"SOPORTE CARDIOVASCULAR AVANZADO ",IF(N157=CURSOS!$D$13,"CAMILLERO ",IF(N157=CURSOS!$D$14,"TOMA MUESTRAS Y LABORATORIO ",IF(N157=CURSOS!$D$15,"SOPORTE VITAL BASICO (BLS)",IF(N157=CURSOS!$D$16,"ATENCION A VICTIMAS DE VIOLENCIA SEXUAL ",IF(N157=CURSOS!$D$17,"PROGRAMADO AMPLIADO DE INMUNIZACION (PAI - COVID 19)",IF(N157=CURSOS!$D$18,"ATENCION INTEGRAL EN ENFERMEDADES PREVALENTES EN PRIMERA INFANCIA (AIEPI)",IF(N157=CURSOS!$D$19,"ADMINISTRACION DE MEDICAMENTOS, IYECTOLOGIA  Y CANALIZACION ",IF(N157=CURSOS!$D$20,"OPERADOR DE VEHICULOS DE EMERGENCIA (OVE)",IF(N157=CURSOS!$D$21,"INSTITUCIONES AMIGAS DE LA MUJER Y LA INFANCIA (IAMI)",IF(N157=CURSOS!$D$22,"CUIDADO DEL DONANTE DE ORGANOS",IF(N157=CURSOS!$D$23,"ATENCION A VICTIMAS POR VIOLENCIA DE GENERO",IF(N157=CURSOS!$D$24,"IGUALDAD DE GENERO EN LA SALUD",IF(N157=CURSOS!$D$25,"BRIGADA DE EMERGENCIA",IF(N157=CURSOS!$D$26,"MANEJO DEL DOLOR Y CUIDADOS PALIATIVOS",IF(N157=CURSOS!$D$27,"TOMA MUESTRAS Y LABORATORIO POCT",IF(N157=CURSOS!$D$28,"IMPLANTE SUBDERMICO Y DISPOSITIVO INTRAUTERINO",IF(N157=CURSOS!$D$29,"SALUD MENTAL",IF(N157=CURSOS!$D$30,"PRIMEROS AUXILIOS PSICOLOGICOS",IF(N157=CURSOS!$D$31,"ATENCION A VICTIMAS POR CONFLICTO ARMADO",IF(N157=CURSOS!$D$32,"MANIPULACION DE ALIMENTOS Y BPM"))))))))))))))))))))))))))))))</f>
        <v>0</v>
      </c>
      <c r="U157" s="64" t="str">
        <f t="shared" si="18"/>
        <v xml:space="preserve">   </v>
      </c>
      <c r="V157" s="64" t="str">
        <f t="shared" si="19"/>
        <v xml:space="preserve">   </v>
      </c>
      <c r="W157" s="64" t="str">
        <f t="shared" si="20"/>
        <v xml:space="preserve">   --</v>
      </c>
    </row>
    <row r="158" spans="1:23" x14ac:dyDescent="0.2">
      <c r="A158" s="94">
        <v>157</v>
      </c>
      <c r="H158" s="31" t="s">
        <v>90</v>
      </c>
      <c r="S158" s="79"/>
      <c r="T158" s="41" t="b">
        <f>IF(N158=CURSOS!$D$3,"DIPLOMADO EN ATENCION PRE-HOSPITALARIA",IF(N158=CURSOS!$D$4,"ACOMPAÑAMIENTO Y MANEJO DEL DUELO",IF(N158=CURSOS!$D$5,"ATENCION A VICTIMAS DE ATAQUE CON AGENTES QUIMICOS ",IF(N158=CURSOS!$D$6,"PRIMEROS AUXILIOS ",IF(N158=CURSOS!$D$7,"DIPLOMADO DE UNIDAD DE CUIDADOS INTENSIVOS (UCI)",IF(N158=CURSOS!$D$8,"MODELO DE ATENCION PARA EVENTOS EMERGENTES EN SALUD MENTAL (CODIGO VERDE)",IF(N158=CURSOS!$D$9,"HUMANIZACION EN SALUD, BUENAS PRACTICAS EN PACIENTE ",IF(N158=CURSOS!$D$10,"CLINICA DE HERIDAS ",IF(N158=CURSOS!$D$11,"TOMA DE CITOLOGIA A CERVICO VAGINAL ",IF(N158=CURSOS!$D$12,"SOPORTE CARDIOVASCULAR AVANZADO ",IF(N158=CURSOS!$D$13,"CAMILLERO ",IF(N158=CURSOS!$D$14,"TOMA MUESTRAS Y LABORATORIO ",IF(N158=CURSOS!$D$15,"SOPORTE VITAL BASICO (BLS)",IF(N158=CURSOS!$D$16,"ATENCION A VICTIMAS DE VIOLENCIA SEXUAL ",IF(N158=CURSOS!$D$17,"PROGRAMADO AMPLIADO DE INMUNIZACION (PAI - COVID 19)",IF(N158=CURSOS!$D$18,"ATENCION INTEGRAL EN ENFERMEDADES PREVALENTES EN PRIMERA INFANCIA (AIEPI)",IF(N158=CURSOS!$D$19,"ADMINISTRACION DE MEDICAMENTOS, IYECTOLOGIA  Y CANALIZACION ",IF(N158=CURSOS!$D$20,"OPERADOR DE VEHICULOS DE EMERGENCIA (OVE)",IF(N158=CURSOS!$D$21,"INSTITUCIONES AMIGAS DE LA MUJER Y LA INFANCIA (IAMI)",IF(N158=CURSOS!$D$22,"CUIDADO DEL DONANTE DE ORGANOS",IF(N158=CURSOS!$D$23,"ATENCION A VICTIMAS POR VIOLENCIA DE GENERO",IF(N158=CURSOS!$D$24,"IGUALDAD DE GENERO EN LA SALUD",IF(N158=CURSOS!$D$25,"BRIGADA DE EMERGENCIA",IF(N158=CURSOS!$D$26,"MANEJO DEL DOLOR Y CUIDADOS PALIATIVOS",IF(N158=CURSOS!$D$27,"TOMA MUESTRAS Y LABORATORIO POCT",IF(N158=CURSOS!$D$28,"IMPLANTE SUBDERMICO Y DISPOSITIVO INTRAUTERINO",IF(N158=CURSOS!$D$29,"SALUD MENTAL",IF(N158=CURSOS!$D$30,"PRIMEROS AUXILIOS PSICOLOGICOS",IF(N158=CURSOS!$D$31,"ATENCION A VICTIMAS POR CONFLICTO ARMADO",IF(N158=CURSOS!$D$32,"MANIPULACION DE ALIMENTOS Y BPM"))))))))))))))))))))))))))))))</f>
        <v>0</v>
      </c>
      <c r="U158" s="64" t="str">
        <f t="shared" si="18"/>
        <v xml:space="preserve">   </v>
      </c>
      <c r="V158" s="64" t="str">
        <f t="shared" si="19"/>
        <v xml:space="preserve">   </v>
      </c>
      <c r="W158" s="64" t="str">
        <f t="shared" si="20"/>
        <v xml:space="preserve">   --</v>
      </c>
    </row>
    <row r="159" spans="1:23" x14ac:dyDescent="0.2">
      <c r="A159" s="94">
        <v>158</v>
      </c>
      <c r="H159" s="31" t="s">
        <v>90</v>
      </c>
      <c r="S159" s="79"/>
      <c r="T159" s="41" t="b">
        <f>IF(N159=CURSOS!$D$3,"DIPLOMADO EN ATENCION PRE-HOSPITALARIA",IF(N159=CURSOS!$D$4,"ACOMPAÑAMIENTO Y MANEJO DEL DUELO",IF(N159=CURSOS!$D$5,"ATENCION A VICTIMAS DE ATAQUE CON AGENTES QUIMICOS ",IF(N159=CURSOS!$D$6,"PRIMEROS AUXILIOS ",IF(N159=CURSOS!$D$7,"DIPLOMADO DE UNIDAD DE CUIDADOS INTENSIVOS (UCI)",IF(N159=CURSOS!$D$8,"MODELO DE ATENCION PARA EVENTOS EMERGENTES EN SALUD MENTAL (CODIGO VERDE)",IF(N159=CURSOS!$D$9,"HUMANIZACION EN SALUD, BUENAS PRACTICAS EN PACIENTE ",IF(N159=CURSOS!$D$10,"CLINICA DE HERIDAS ",IF(N159=CURSOS!$D$11,"TOMA DE CITOLOGIA A CERVICO VAGINAL ",IF(N159=CURSOS!$D$12,"SOPORTE CARDIOVASCULAR AVANZADO ",IF(N159=CURSOS!$D$13,"CAMILLERO ",IF(N159=CURSOS!$D$14,"TOMA MUESTRAS Y LABORATORIO ",IF(N159=CURSOS!$D$15,"SOPORTE VITAL BASICO (BLS)",IF(N159=CURSOS!$D$16,"ATENCION A VICTIMAS DE VIOLENCIA SEXUAL ",IF(N159=CURSOS!$D$17,"PROGRAMADO AMPLIADO DE INMUNIZACION (PAI - COVID 19)",IF(N159=CURSOS!$D$18,"ATENCION INTEGRAL EN ENFERMEDADES PREVALENTES EN PRIMERA INFANCIA (AIEPI)",IF(N159=CURSOS!$D$19,"ADMINISTRACION DE MEDICAMENTOS, IYECTOLOGIA  Y CANALIZACION ",IF(N159=CURSOS!$D$20,"OPERADOR DE VEHICULOS DE EMERGENCIA (OVE)",IF(N159=CURSOS!$D$21,"INSTITUCIONES AMIGAS DE LA MUJER Y LA INFANCIA (IAMI)",IF(N159=CURSOS!$D$22,"CUIDADO DEL DONANTE DE ORGANOS",IF(N159=CURSOS!$D$23,"ATENCION A VICTIMAS POR VIOLENCIA DE GENERO",IF(N159=CURSOS!$D$24,"IGUALDAD DE GENERO EN LA SALUD",IF(N159=CURSOS!$D$25,"BRIGADA DE EMERGENCIA",IF(N159=CURSOS!$D$26,"MANEJO DEL DOLOR Y CUIDADOS PALIATIVOS",IF(N159=CURSOS!$D$27,"TOMA MUESTRAS Y LABORATORIO POCT",IF(N159=CURSOS!$D$28,"IMPLANTE SUBDERMICO Y DISPOSITIVO INTRAUTERINO",IF(N159=CURSOS!$D$29,"SALUD MENTAL",IF(N159=CURSOS!$D$30,"PRIMEROS AUXILIOS PSICOLOGICOS",IF(N159=CURSOS!$D$31,"ATENCION A VICTIMAS POR CONFLICTO ARMADO",IF(N159=CURSOS!$D$32,"MANIPULACION DE ALIMENTOS Y BPM"))))))))))))))))))))))))))))))</f>
        <v>0</v>
      </c>
      <c r="U159" s="64" t="str">
        <f t="shared" si="18"/>
        <v xml:space="preserve">   </v>
      </c>
      <c r="V159" s="64" t="str">
        <f t="shared" si="19"/>
        <v xml:space="preserve">   </v>
      </c>
      <c r="W159" s="64" t="str">
        <f t="shared" si="20"/>
        <v xml:space="preserve">   --</v>
      </c>
    </row>
    <row r="160" spans="1:23" x14ac:dyDescent="0.2">
      <c r="A160" s="94">
        <v>159</v>
      </c>
      <c r="H160" s="31" t="s">
        <v>90</v>
      </c>
      <c r="S160" s="79"/>
      <c r="T160" s="41" t="b">
        <f>IF(N160=CURSOS!$D$3,"DIPLOMADO EN ATENCION PRE-HOSPITALARIA",IF(N160=CURSOS!$D$4,"ACOMPAÑAMIENTO Y MANEJO DEL DUELO",IF(N160=CURSOS!$D$5,"ATENCION A VICTIMAS DE ATAQUE CON AGENTES QUIMICOS ",IF(N160=CURSOS!$D$6,"PRIMEROS AUXILIOS ",IF(N160=CURSOS!$D$7,"DIPLOMADO DE UNIDAD DE CUIDADOS INTENSIVOS (UCI)",IF(N160=CURSOS!$D$8,"MODELO DE ATENCION PARA EVENTOS EMERGENTES EN SALUD MENTAL (CODIGO VERDE)",IF(N160=CURSOS!$D$9,"HUMANIZACION EN SALUD, BUENAS PRACTICAS EN PACIENTE ",IF(N160=CURSOS!$D$10,"CLINICA DE HERIDAS ",IF(N160=CURSOS!$D$11,"TOMA DE CITOLOGIA A CERVICO VAGINAL ",IF(N160=CURSOS!$D$12,"SOPORTE CARDIOVASCULAR AVANZADO ",IF(N160=CURSOS!$D$13,"CAMILLERO ",IF(N160=CURSOS!$D$14,"TOMA MUESTRAS Y LABORATORIO ",IF(N160=CURSOS!$D$15,"SOPORTE VITAL BASICO (BLS)",IF(N160=CURSOS!$D$16,"ATENCION A VICTIMAS DE VIOLENCIA SEXUAL ",IF(N160=CURSOS!$D$17,"PROGRAMADO AMPLIADO DE INMUNIZACION (PAI - COVID 19)",IF(N160=CURSOS!$D$18,"ATENCION INTEGRAL EN ENFERMEDADES PREVALENTES EN PRIMERA INFANCIA (AIEPI)",IF(N160=CURSOS!$D$19,"ADMINISTRACION DE MEDICAMENTOS, IYECTOLOGIA  Y CANALIZACION ",IF(N160=CURSOS!$D$20,"OPERADOR DE VEHICULOS DE EMERGENCIA (OVE)",IF(N160=CURSOS!$D$21,"INSTITUCIONES AMIGAS DE LA MUJER Y LA INFANCIA (IAMI)",IF(N160=CURSOS!$D$22,"CUIDADO DEL DONANTE DE ORGANOS",IF(N160=CURSOS!$D$23,"ATENCION A VICTIMAS POR VIOLENCIA DE GENERO",IF(N160=CURSOS!$D$24,"IGUALDAD DE GENERO EN LA SALUD",IF(N160=CURSOS!$D$25,"BRIGADA DE EMERGENCIA",IF(N160=CURSOS!$D$26,"MANEJO DEL DOLOR Y CUIDADOS PALIATIVOS",IF(N160=CURSOS!$D$27,"TOMA MUESTRAS Y LABORATORIO POCT",IF(N160=CURSOS!$D$28,"IMPLANTE SUBDERMICO Y DISPOSITIVO INTRAUTERINO",IF(N160=CURSOS!$D$29,"SALUD MENTAL",IF(N160=CURSOS!$D$30,"PRIMEROS AUXILIOS PSICOLOGICOS",IF(N160=CURSOS!$D$31,"ATENCION A VICTIMAS POR CONFLICTO ARMADO",IF(N160=CURSOS!$D$32,"MANIPULACION DE ALIMENTOS Y BPM"))))))))))))))))))))))))))))))</f>
        <v>0</v>
      </c>
      <c r="U160" s="64" t="str">
        <f t="shared" si="18"/>
        <v xml:space="preserve">   </v>
      </c>
      <c r="V160" s="64" t="str">
        <f t="shared" si="19"/>
        <v xml:space="preserve">   </v>
      </c>
      <c r="W160" s="64" t="str">
        <f t="shared" si="20"/>
        <v xml:space="preserve">   --</v>
      </c>
    </row>
    <row r="161" spans="1:23" x14ac:dyDescent="0.2">
      <c r="A161" s="94">
        <v>160</v>
      </c>
      <c r="H161" s="31" t="s">
        <v>90</v>
      </c>
      <c r="T161" s="41" t="b">
        <f>IF(N161=CURSOS!$D$3,"DIPLOMADO EN ATENCION PRE-HOSPITALARIA",IF(N161=CURSOS!$D$4,"ACOMPAÑAMIENTO Y MANEJO DEL DUELO",IF(N161=CURSOS!$D$5,"ATENCION A VICTIMAS DE ATAQUE CON AGENTES QUIMICOS ",IF(N161=CURSOS!$D$6,"PRIMEROS AUXILIOS ",IF(N161=CURSOS!$D$7,"DIPLOMADO DE UNIDAD DE CUIDADOS INTENSIVOS (UCI)",IF(N161=CURSOS!$D$8,"MODELO DE ATENCION PARA EVENTOS EMERGENTES EN SALUD MENTAL (CODIGO VERDE)",IF(N161=CURSOS!$D$9,"HUMANIZACION EN SALUD, BUENAS PRACTICAS EN PACIENTE ",IF(N161=CURSOS!$D$10,"CLINICA DE HERIDAS ",IF(N161=CURSOS!$D$11,"TOMA DE CITOLOGIA A CERVICO VAGINAL ",IF(N161=CURSOS!$D$12,"SOPORTE CARDIOVASCULAR AVANZADO ",IF(N161=CURSOS!$D$13,"CAMILLERO ",IF(N161=CURSOS!$D$14,"TOMA MUESTRAS Y LABORATORIO ",IF(N161=CURSOS!$D$15,"SOPORTE VITAL BASICO (BLS)",IF(N161=CURSOS!$D$16,"ATENCION A VICTIMAS DE VIOLENCIA SEXUAL ",IF(N161=CURSOS!$D$17,"PROGRAMADO AMPLIADO DE INMUNIZACION (PAI - COVID 19)",IF(N161=CURSOS!$D$18,"ATENCION INTEGRAL EN ENFERMEDADES PREVALENTES EN PRIMERA INFANCIA (AIEPI)",IF(N161=CURSOS!$D$19,"ADMINISTRACION DE MEDICAMENTOS, IYECTOLOGIA  Y CANALIZACION ",IF(N161=CURSOS!$D$20,"OPERADOR DE VEHICULOS DE EMERGENCIA (OVE)",IF(N161=CURSOS!$D$21,"INSTITUCIONES AMIGAS DE LA MUJER Y LA INFANCIA (IAMI)",IF(N161=CURSOS!$D$22,"CUIDADO DEL DONANTE DE ORGANOS",IF(N161=CURSOS!$D$23,"ATENCION A VICTIMAS POR VIOLENCIA DE GENERO",IF(N161=CURSOS!$D$24,"IGUALDAD DE GENERO EN LA SALUD",IF(N161=CURSOS!$D$25,"BRIGADA DE EMERGENCIA",IF(N161=CURSOS!$D$26,"MANEJO DEL DOLOR Y CUIDADOS PALIATIVOS",IF(N161=CURSOS!$D$27,"TOMA MUESTRAS Y LABORATORIO POCT",IF(N161=CURSOS!$D$28,"IMPLANTE SUBDERMICO Y DISPOSITIVO INTRAUTERINO",IF(N161=CURSOS!$D$29,"SALUD MENTAL",IF(N161=CURSOS!$D$30,"PRIMEROS AUXILIOS PSICOLOGICOS",IF(N161=CURSOS!$D$31,"ATENCION A VICTIMAS POR CONFLICTO ARMADO",IF(N161=CURSOS!$D$32,"MANIPULACION DE ALIMENTOS Y BPM"))))))))))))))))))))))))))))))</f>
        <v>0</v>
      </c>
      <c r="U161" s="64" t="str">
        <f t="shared" si="18"/>
        <v xml:space="preserve">   </v>
      </c>
      <c r="V161" s="64" t="str">
        <f t="shared" si="19"/>
        <v xml:space="preserve">   </v>
      </c>
      <c r="W161" s="64" t="str">
        <f t="shared" si="20"/>
        <v xml:space="preserve">   --</v>
      </c>
    </row>
    <row r="162" spans="1:23" x14ac:dyDescent="0.2">
      <c r="A162" s="94">
        <v>161</v>
      </c>
      <c r="H162" s="31" t="s">
        <v>90</v>
      </c>
      <c r="T162" s="41" t="b">
        <f>IF(N162=CURSOS!$D$3,"DIPLOMADO EN ATENCION PRE-HOSPITALARIA",IF(N162=CURSOS!$D$4,"ACOMPAÑAMIENTO Y MANEJO DEL DUELO",IF(N162=CURSOS!$D$5,"ATENCION A VICTIMAS DE ATAQUE CON AGENTES QUIMICOS ",IF(N162=CURSOS!$D$6,"PRIMEROS AUXILIOS ",IF(N162=CURSOS!$D$7,"DIPLOMADO DE UNIDAD DE CUIDADOS INTENSIVOS (UCI)",IF(N162=CURSOS!$D$8,"MODELO DE ATENCION PARA EVENTOS EMERGENTES EN SALUD MENTAL (CODIGO VERDE)",IF(N162=CURSOS!$D$9,"HUMANIZACION EN SALUD, BUENAS PRACTICAS EN PACIENTE ",IF(N162=CURSOS!$D$10,"CLINICA DE HERIDAS ",IF(N162=CURSOS!$D$11,"TOMA DE CITOLOGIA A CERVICO VAGINAL ",IF(N162=CURSOS!$D$12,"SOPORTE CARDIOVASCULAR AVANZADO ",IF(N162=CURSOS!$D$13,"CAMILLERO ",IF(N162=CURSOS!$D$14,"TOMA MUESTRAS Y LABORATORIO ",IF(N162=CURSOS!$D$15,"SOPORTE VITAL BASICO (BLS)",IF(N162=CURSOS!$D$16,"ATENCION A VICTIMAS DE VIOLENCIA SEXUAL ",IF(N162=CURSOS!$D$17,"PROGRAMADO AMPLIADO DE INMUNIZACION (PAI - COVID 19)",IF(N162=CURSOS!$D$18,"ATENCION INTEGRAL EN ENFERMEDADES PREVALENTES EN PRIMERA INFANCIA (AIEPI)",IF(N162=CURSOS!$D$19,"ADMINISTRACION DE MEDICAMENTOS, IYECTOLOGIA  Y CANALIZACION ",IF(N162=CURSOS!$D$20,"OPERADOR DE VEHICULOS DE EMERGENCIA (OVE)",IF(N162=CURSOS!$D$21,"INSTITUCIONES AMIGAS DE LA MUJER Y LA INFANCIA (IAMI)",IF(N162=CURSOS!$D$22,"CUIDADO DEL DONANTE DE ORGANOS",IF(N162=CURSOS!$D$23,"ATENCION A VICTIMAS POR VIOLENCIA DE GENERO",IF(N162=CURSOS!$D$24,"IGUALDAD DE GENERO EN LA SALUD",IF(N162=CURSOS!$D$25,"BRIGADA DE EMERGENCIA",IF(N162=CURSOS!$D$26,"MANEJO DEL DOLOR Y CUIDADOS PALIATIVOS",IF(N162=CURSOS!$D$27,"TOMA MUESTRAS Y LABORATORIO POCT",IF(N162=CURSOS!$D$28,"IMPLANTE SUBDERMICO Y DISPOSITIVO INTRAUTERINO",IF(N162=CURSOS!$D$29,"SALUD MENTAL",IF(N162=CURSOS!$D$30,"PRIMEROS AUXILIOS PSICOLOGICOS",IF(N162=CURSOS!$D$31,"ATENCION A VICTIMAS POR CONFLICTO ARMADO",IF(N162=CURSOS!$D$32,"MANIPULACION DE ALIMENTOS Y BPM"))))))))))))))))))))))))))))))</f>
        <v>0</v>
      </c>
      <c r="U162" s="64" t="str">
        <f t="shared" si="18"/>
        <v xml:space="preserve">   </v>
      </c>
      <c r="V162" s="64" t="str">
        <f t="shared" si="19"/>
        <v xml:space="preserve">   </v>
      </c>
      <c r="W162" s="64" t="str">
        <f t="shared" si="20"/>
        <v xml:space="preserve">   --</v>
      </c>
    </row>
    <row r="163" spans="1:23" x14ac:dyDescent="0.2">
      <c r="A163" s="94">
        <v>162</v>
      </c>
      <c r="H163" s="31" t="s">
        <v>90</v>
      </c>
      <c r="T163" s="41" t="b">
        <f>IF(N163=CURSOS!$D$3,"DIPLOMADO EN ATENCION PRE-HOSPITALARIA",IF(N163=CURSOS!$D$4,"ACOMPAÑAMIENTO Y MANEJO DEL DUELO",IF(N163=CURSOS!$D$5,"ATENCION A VICTIMAS DE ATAQUE CON AGENTES QUIMICOS ",IF(N163=CURSOS!$D$6,"PRIMEROS AUXILIOS ",IF(N163=CURSOS!$D$7,"DIPLOMADO DE UNIDAD DE CUIDADOS INTENSIVOS (UCI)",IF(N163=CURSOS!$D$8,"MODELO DE ATENCION PARA EVENTOS EMERGENTES EN SALUD MENTAL (CODIGO VERDE)",IF(N163=CURSOS!$D$9,"HUMANIZACION EN SALUD, BUENAS PRACTICAS EN PACIENTE ",IF(N163=CURSOS!$D$10,"CLINICA DE HERIDAS ",IF(N163=CURSOS!$D$11,"TOMA DE CITOLOGIA A CERVICO VAGINAL ",IF(N163=CURSOS!$D$12,"SOPORTE CARDIOVASCULAR AVANZADO ",IF(N163=CURSOS!$D$13,"CAMILLERO ",IF(N163=CURSOS!$D$14,"TOMA MUESTRAS Y LABORATORIO ",IF(N163=CURSOS!$D$15,"SOPORTE VITAL BASICO (BLS)",IF(N163=CURSOS!$D$16,"ATENCION A VICTIMAS DE VIOLENCIA SEXUAL ",IF(N163=CURSOS!$D$17,"PROGRAMADO AMPLIADO DE INMUNIZACION (PAI - COVID 19)",IF(N163=CURSOS!$D$18,"ATENCION INTEGRAL EN ENFERMEDADES PREVALENTES EN PRIMERA INFANCIA (AIEPI)",IF(N163=CURSOS!$D$19,"ADMINISTRACION DE MEDICAMENTOS, IYECTOLOGIA  Y CANALIZACION ",IF(N163=CURSOS!$D$20,"OPERADOR DE VEHICULOS DE EMERGENCIA (OVE)",IF(N163=CURSOS!$D$21,"INSTITUCIONES AMIGAS DE LA MUJER Y LA INFANCIA (IAMI)",IF(N163=CURSOS!$D$22,"CUIDADO DEL DONANTE DE ORGANOS",IF(N163=CURSOS!$D$23,"ATENCION A VICTIMAS POR VIOLENCIA DE GENERO",IF(N163=CURSOS!$D$24,"IGUALDAD DE GENERO EN LA SALUD",IF(N163=CURSOS!$D$25,"BRIGADA DE EMERGENCIA",IF(N163=CURSOS!$D$26,"MANEJO DEL DOLOR Y CUIDADOS PALIATIVOS",IF(N163=CURSOS!$D$27,"TOMA MUESTRAS Y LABORATORIO POCT",IF(N163=CURSOS!$D$28,"IMPLANTE SUBDERMICO Y DISPOSITIVO INTRAUTERINO",IF(N163=CURSOS!$D$29,"SALUD MENTAL",IF(N163=CURSOS!$D$30,"PRIMEROS AUXILIOS PSICOLOGICOS",IF(N163=CURSOS!$D$31,"ATENCION A VICTIMAS POR CONFLICTO ARMADO",IF(N163=CURSOS!$D$32,"MANIPULACION DE ALIMENTOS Y BPM"))))))))))))))))))))))))))))))</f>
        <v>0</v>
      </c>
      <c r="U163" s="64" t="str">
        <f t="shared" si="18"/>
        <v xml:space="preserve">   </v>
      </c>
      <c r="V163" s="64" t="str">
        <f t="shared" si="19"/>
        <v xml:space="preserve">   </v>
      </c>
      <c r="W163" s="64" t="str">
        <f t="shared" si="20"/>
        <v xml:space="preserve">   --</v>
      </c>
    </row>
    <row r="164" spans="1:23" x14ac:dyDescent="0.2">
      <c r="A164" s="94">
        <v>163</v>
      </c>
      <c r="H164" s="31" t="s">
        <v>90</v>
      </c>
      <c r="T164" s="41" t="b">
        <f>IF(N164=CURSOS!$D$3,"DIPLOMADO EN ATENCION PRE-HOSPITALARIA",IF(N164=CURSOS!$D$4,"ACOMPAÑAMIENTO Y MANEJO DEL DUELO",IF(N164=CURSOS!$D$5,"ATENCION A VICTIMAS DE ATAQUE CON AGENTES QUIMICOS ",IF(N164=CURSOS!$D$6,"PRIMEROS AUXILIOS ",IF(N164=CURSOS!$D$7,"DIPLOMADO DE UNIDAD DE CUIDADOS INTENSIVOS (UCI)",IF(N164=CURSOS!$D$8,"MODELO DE ATENCION PARA EVENTOS EMERGENTES EN SALUD MENTAL (CODIGO VERDE)",IF(N164=CURSOS!$D$9,"HUMANIZACION EN SALUD, BUENAS PRACTICAS EN PACIENTE ",IF(N164=CURSOS!$D$10,"CLINICA DE HERIDAS ",IF(N164=CURSOS!$D$11,"TOMA DE CITOLOGIA A CERVICO VAGINAL ",IF(N164=CURSOS!$D$12,"SOPORTE CARDIOVASCULAR AVANZADO ",IF(N164=CURSOS!$D$13,"CAMILLERO ",IF(N164=CURSOS!$D$14,"TOMA MUESTRAS Y LABORATORIO ",IF(N164=CURSOS!$D$15,"SOPORTE VITAL BASICO (BLS)",IF(N164=CURSOS!$D$16,"ATENCION A VICTIMAS DE VIOLENCIA SEXUAL ",IF(N164=CURSOS!$D$17,"PROGRAMADO AMPLIADO DE INMUNIZACION (PAI - COVID 19)",IF(N164=CURSOS!$D$18,"ATENCION INTEGRAL EN ENFERMEDADES PREVALENTES EN PRIMERA INFANCIA (AIEPI)",IF(N164=CURSOS!$D$19,"ADMINISTRACION DE MEDICAMENTOS, IYECTOLOGIA  Y CANALIZACION ",IF(N164=CURSOS!$D$20,"OPERADOR DE VEHICULOS DE EMERGENCIA (OVE)",IF(N164=CURSOS!$D$21,"INSTITUCIONES AMIGAS DE LA MUJER Y LA INFANCIA (IAMI)",IF(N164=CURSOS!$D$22,"CUIDADO DEL DONANTE DE ORGANOS",IF(N164=CURSOS!$D$23,"ATENCION A VICTIMAS POR VIOLENCIA DE GENERO",IF(N164=CURSOS!$D$24,"IGUALDAD DE GENERO EN LA SALUD",IF(N164=CURSOS!$D$25,"BRIGADA DE EMERGENCIA",IF(N164=CURSOS!$D$26,"MANEJO DEL DOLOR Y CUIDADOS PALIATIVOS",IF(N164=CURSOS!$D$27,"TOMA MUESTRAS Y LABORATORIO POCT",IF(N164=CURSOS!$D$28,"IMPLANTE SUBDERMICO Y DISPOSITIVO INTRAUTERINO",IF(N164=CURSOS!$D$29,"SALUD MENTAL",IF(N164=CURSOS!$D$30,"PRIMEROS AUXILIOS PSICOLOGICOS",IF(N164=CURSOS!$D$31,"ATENCION A VICTIMAS POR CONFLICTO ARMADO",IF(N164=CURSOS!$D$32,"MANIPULACION DE ALIMENTOS Y BPM"))))))))))))))))))))))))))))))</f>
        <v>0</v>
      </c>
      <c r="U164" s="64" t="str">
        <f t="shared" si="18"/>
        <v xml:space="preserve">   </v>
      </c>
      <c r="V164" s="64" t="str">
        <f t="shared" si="19"/>
        <v xml:space="preserve">   </v>
      </c>
      <c r="W164" s="64" t="str">
        <f t="shared" si="20"/>
        <v xml:space="preserve">   --</v>
      </c>
    </row>
    <row r="165" spans="1:23" x14ac:dyDescent="0.2">
      <c r="A165" s="94">
        <v>164</v>
      </c>
      <c r="H165" s="31" t="s">
        <v>90</v>
      </c>
      <c r="T165" s="41" t="b">
        <f>IF(N165=CURSOS!$D$3,"DIPLOMADO EN ATENCION PRE-HOSPITALARIA",IF(N165=CURSOS!$D$4,"ACOMPAÑAMIENTO Y MANEJO DEL DUELO",IF(N165=CURSOS!$D$5,"ATENCION A VICTIMAS DE ATAQUE CON AGENTES QUIMICOS ",IF(N165=CURSOS!$D$6,"PRIMEROS AUXILIOS ",IF(N165=CURSOS!$D$7,"DIPLOMADO DE UNIDAD DE CUIDADOS INTENSIVOS (UCI)",IF(N165=CURSOS!$D$8,"MODELO DE ATENCION PARA EVENTOS EMERGENTES EN SALUD MENTAL (CODIGO VERDE)",IF(N165=CURSOS!$D$9,"HUMANIZACION EN SALUD, BUENAS PRACTICAS EN PACIENTE ",IF(N165=CURSOS!$D$10,"CLINICA DE HERIDAS ",IF(N165=CURSOS!$D$11,"TOMA DE CITOLOGIA A CERVICO VAGINAL ",IF(N165=CURSOS!$D$12,"SOPORTE CARDIOVASCULAR AVANZADO ",IF(N165=CURSOS!$D$13,"CAMILLERO ",IF(N165=CURSOS!$D$14,"TOMA MUESTRAS Y LABORATORIO ",IF(N165=CURSOS!$D$15,"SOPORTE VITAL BASICO (BLS)",IF(N165=CURSOS!$D$16,"ATENCION A VICTIMAS DE VIOLENCIA SEXUAL ",IF(N165=CURSOS!$D$17,"PROGRAMADO AMPLIADO DE INMUNIZACION (PAI - COVID 19)",IF(N165=CURSOS!$D$18,"ATENCION INTEGRAL EN ENFERMEDADES PREVALENTES EN PRIMERA INFANCIA (AIEPI)",IF(N165=CURSOS!$D$19,"ADMINISTRACION DE MEDICAMENTOS, IYECTOLOGIA  Y CANALIZACION ",IF(N165=CURSOS!$D$20,"OPERADOR DE VEHICULOS DE EMERGENCIA (OVE)",IF(N165=CURSOS!$D$21,"INSTITUCIONES AMIGAS DE LA MUJER Y LA INFANCIA (IAMI)",IF(N165=CURSOS!$D$22,"CUIDADO DEL DONANTE DE ORGANOS",IF(N165=CURSOS!$D$23,"ATENCION A VICTIMAS POR VIOLENCIA DE GENERO",IF(N165=CURSOS!$D$24,"IGUALDAD DE GENERO EN LA SALUD",IF(N165=CURSOS!$D$25,"BRIGADA DE EMERGENCIA",IF(N165=CURSOS!$D$26,"MANEJO DEL DOLOR Y CUIDADOS PALIATIVOS",IF(N165=CURSOS!$D$27,"TOMA MUESTRAS Y LABORATORIO POCT",IF(N165=CURSOS!$D$28,"IMPLANTE SUBDERMICO Y DISPOSITIVO INTRAUTERINO",IF(N165=CURSOS!$D$29,"SALUD MENTAL",IF(N165=CURSOS!$D$30,"PRIMEROS AUXILIOS PSICOLOGICOS",IF(N165=CURSOS!$D$31,"ATENCION A VICTIMAS POR CONFLICTO ARMADO",IF(N165=CURSOS!$D$32,"MANIPULACION DE ALIMENTOS Y BPM"))))))))))))))))))))))))))))))</f>
        <v>0</v>
      </c>
      <c r="U165" s="64" t="str">
        <f t="shared" si="18"/>
        <v xml:space="preserve">   </v>
      </c>
      <c r="V165" s="64" t="str">
        <f t="shared" si="19"/>
        <v xml:space="preserve">   </v>
      </c>
      <c r="W165" s="64" t="str">
        <f t="shared" si="20"/>
        <v xml:space="preserve">   --</v>
      </c>
    </row>
    <row r="166" spans="1:23" x14ac:dyDescent="0.2">
      <c r="A166" s="94">
        <v>165</v>
      </c>
      <c r="H166" s="31" t="s">
        <v>90</v>
      </c>
      <c r="T166" s="41" t="b">
        <f>IF(N166=CURSOS!$D$3,"DIPLOMADO EN ATENCION PRE-HOSPITALARIA",IF(N166=CURSOS!$D$4,"ACOMPAÑAMIENTO Y MANEJO DEL DUELO",IF(N166=CURSOS!$D$5,"ATENCION A VICTIMAS DE ATAQUE CON AGENTES QUIMICOS ",IF(N166=CURSOS!$D$6,"PRIMEROS AUXILIOS ",IF(N166=CURSOS!$D$7,"DIPLOMADO DE UNIDAD DE CUIDADOS INTENSIVOS (UCI)",IF(N166=CURSOS!$D$8,"MODELO DE ATENCION PARA EVENTOS EMERGENTES EN SALUD MENTAL (CODIGO VERDE)",IF(N166=CURSOS!$D$9,"HUMANIZACION EN SALUD, BUENAS PRACTICAS EN PACIENTE ",IF(N166=CURSOS!$D$10,"CLINICA DE HERIDAS ",IF(N166=CURSOS!$D$11,"TOMA DE CITOLOGIA A CERVICO VAGINAL ",IF(N166=CURSOS!$D$12,"SOPORTE CARDIOVASCULAR AVANZADO ",IF(N166=CURSOS!$D$13,"CAMILLERO ",IF(N166=CURSOS!$D$14,"TOMA MUESTRAS Y LABORATORIO ",IF(N166=CURSOS!$D$15,"SOPORTE VITAL BASICO (BLS)",IF(N166=CURSOS!$D$16,"ATENCION A VICTIMAS DE VIOLENCIA SEXUAL ",IF(N166=CURSOS!$D$17,"PROGRAMADO AMPLIADO DE INMUNIZACION (PAI - COVID 19)",IF(N166=CURSOS!$D$18,"ATENCION INTEGRAL EN ENFERMEDADES PREVALENTES EN PRIMERA INFANCIA (AIEPI)",IF(N166=CURSOS!$D$19,"ADMINISTRACION DE MEDICAMENTOS, IYECTOLOGIA  Y CANALIZACION ",IF(N166=CURSOS!$D$20,"OPERADOR DE VEHICULOS DE EMERGENCIA (OVE)",IF(N166=CURSOS!$D$21,"INSTITUCIONES AMIGAS DE LA MUJER Y LA INFANCIA (IAMI)",IF(N166=CURSOS!$D$22,"CUIDADO DEL DONANTE DE ORGANOS",IF(N166=CURSOS!$D$23,"ATENCION A VICTIMAS POR VIOLENCIA DE GENERO",IF(N166=CURSOS!$D$24,"IGUALDAD DE GENERO EN LA SALUD",IF(N166=CURSOS!$D$25,"BRIGADA DE EMERGENCIA",IF(N166=CURSOS!$D$26,"MANEJO DEL DOLOR Y CUIDADOS PALIATIVOS",IF(N166=CURSOS!$D$27,"TOMA MUESTRAS Y LABORATORIO POCT",IF(N166=CURSOS!$D$28,"IMPLANTE SUBDERMICO Y DISPOSITIVO INTRAUTERINO",IF(N166=CURSOS!$D$29,"SALUD MENTAL",IF(N166=CURSOS!$D$30,"PRIMEROS AUXILIOS PSICOLOGICOS",IF(N166=CURSOS!$D$31,"ATENCION A VICTIMAS POR CONFLICTO ARMADO",IF(N166=CURSOS!$D$32,"MANIPULACION DE ALIMENTOS Y BPM"))))))))))))))))))))))))))))))</f>
        <v>0</v>
      </c>
      <c r="U166" s="64" t="str">
        <f t="shared" si="18"/>
        <v xml:space="preserve">   </v>
      </c>
      <c r="V166" s="64" t="str">
        <f t="shared" si="19"/>
        <v xml:space="preserve">   </v>
      </c>
      <c r="W166" s="64" t="str">
        <f t="shared" si="20"/>
        <v xml:space="preserve">   --</v>
      </c>
    </row>
    <row r="167" spans="1:23" x14ac:dyDescent="0.2">
      <c r="A167" s="94">
        <v>166</v>
      </c>
      <c r="H167" s="31" t="s">
        <v>90</v>
      </c>
      <c r="Q167" s="47"/>
      <c r="T167" s="41" t="b">
        <f>IF(N167=CURSOS!$D$3,"DIPLOMADO EN ATENCION PRE-HOSPITALARIA",IF(N167=CURSOS!$D$4,"ACOMPAÑAMIENTO Y MANEJO DEL DUELO",IF(N167=CURSOS!$D$5,"ATENCION A VICTIMAS DE ATAQUE CON AGENTES QUIMICOS ",IF(N167=CURSOS!$D$6,"PRIMEROS AUXILIOS ",IF(N167=CURSOS!$D$7,"DIPLOMADO DE UNIDAD DE CUIDADOS INTENSIVOS (UCI)",IF(N167=CURSOS!$D$8,"MODELO DE ATENCION PARA EVENTOS EMERGENTES EN SALUD MENTAL (CODIGO VERDE)",IF(N167=CURSOS!$D$9,"HUMANIZACION EN SALUD, BUENAS PRACTICAS EN PACIENTE ",IF(N167=CURSOS!$D$10,"CLINICA DE HERIDAS ",IF(N167=CURSOS!$D$11,"TOMA DE CITOLOGIA A CERVICO VAGINAL ",IF(N167=CURSOS!$D$12,"SOPORTE CARDIOVASCULAR AVANZADO ",IF(N167=CURSOS!$D$13,"CAMILLERO ",IF(N167=CURSOS!$D$14,"TOMA MUESTRAS Y LABORATORIO ",IF(N167=CURSOS!$D$15,"SOPORTE VITAL BASICO (BLS)",IF(N167=CURSOS!$D$16,"ATENCION A VICTIMAS DE VIOLENCIA SEXUAL ",IF(N167=CURSOS!$D$17,"PROGRAMADO AMPLIADO DE INMUNIZACION (PAI - COVID 19)",IF(N167=CURSOS!$D$18,"ATENCION INTEGRAL EN ENFERMEDADES PREVALENTES EN PRIMERA INFANCIA (AIEPI)",IF(N167=CURSOS!$D$19,"ADMINISTRACION DE MEDICAMENTOS, IYECTOLOGIA  Y CANALIZACION ",IF(N167=CURSOS!$D$20,"OPERADOR DE VEHICULOS DE EMERGENCIA (OVE)",IF(N167=CURSOS!$D$21,"INSTITUCIONES AMIGAS DE LA MUJER Y LA INFANCIA (IAMI)",IF(N167=CURSOS!$D$22,"CUIDADO DEL DONANTE DE ORGANOS",IF(N167=CURSOS!$D$23,"ATENCION A VICTIMAS POR VIOLENCIA DE GENERO",IF(N167=CURSOS!$D$24,"IGUALDAD DE GENERO EN LA SALUD",IF(N167=CURSOS!$D$25,"BRIGADA DE EMERGENCIA",IF(N167=CURSOS!$D$26,"MANEJO DEL DOLOR Y CUIDADOS PALIATIVOS",IF(N167=CURSOS!$D$27,"TOMA MUESTRAS Y LABORATORIO POCT",IF(N167=CURSOS!$D$28,"IMPLANTE SUBDERMICO Y DISPOSITIVO INTRAUTERINO",IF(N167=CURSOS!$D$29,"SALUD MENTAL",IF(N167=CURSOS!$D$30,"PRIMEROS AUXILIOS PSICOLOGICOS",IF(N167=CURSOS!$D$31,"ATENCION A VICTIMAS POR CONFLICTO ARMADO",IF(N167=CURSOS!$D$32,"MANIPULACION DE ALIMENTOS Y BPM"))))))))))))))))))))))))))))))</f>
        <v>0</v>
      </c>
      <c r="U167" s="64" t="str">
        <f t="shared" si="18"/>
        <v xml:space="preserve">   </v>
      </c>
      <c r="V167" s="64" t="str">
        <f t="shared" si="19"/>
        <v xml:space="preserve">   </v>
      </c>
      <c r="W167" s="64" t="str">
        <f t="shared" si="20"/>
        <v xml:space="preserve">   --</v>
      </c>
    </row>
    <row r="168" spans="1:23" x14ac:dyDescent="0.2">
      <c r="A168" s="94">
        <v>167</v>
      </c>
      <c r="H168" s="31" t="s">
        <v>90</v>
      </c>
      <c r="T168" s="41" t="b">
        <f>IF(N168=CURSOS!$D$3,"DIPLOMADO EN ATENCION PRE-HOSPITALARIA",IF(N168=CURSOS!$D$4,"ACOMPAÑAMIENTO Y MANEJO DEL DUELO",IF(N168=CURSOS!$D$5,"ATENCION A VICTIMAS DE ATAQUE CON AGENTES QUIMICOS ",IF(N168=CURSOS!$D$6,"PRIMEROS AUXILIOS ",IF(N168=CURSOS!$D$7,"DIPLOMADO DE UNIDAD DE CUIDADOS INTENSIVOS (UCI)",IF(N168=CURSOS!$D$8,"MODELO DE ATENCION PARA EVENTOS EMERGENTES EN SALUD MENTAL (CODIGO VERDE)",IF(N168=CURSOS!$D$9,"HUMANIZACION EN SALUD, BUENAS PRACTICAS EN PACIENTE ",IF(N168=CURSOS!$D$10,"CLINICA DE HERIDAS ",IF(N168=CURSOS!$D$11,"TOMA DE CITOLOGIA A CERVICO VAGINAL ",IF(N168=CURSOS!$D$12,"SOPORTE CARDIOVASCULAR AVANZADO ",IF(N168=CURSOS!$D$13,"CAMILLERO ",IF(N168=CURSOS!$D$14,"TOMA MUESTRAS Y LABORATORIO ",IF(N168=CURSOS!$D$15,"SOPORTE VITAL BASICO (BLS)",IF(N168=CURSOS!$D$16,"ATENCION A VICTIMAS DE VIOLENCIA SEXUAL ",IF(N168=CURSOS!$D$17,"PROGRAMADO AMPLIADO DE INMUNIZACION (PAI - COVID 19)",IF(N168=CURSOS!$D$18,"ATENCION INTEGRAL EN ENFERMEDADES PREVALENTES EN PRIMERA INFANCIA (AIEPI)",IF(N168=CURSOS!$D$19,"ADMINISTRACION DE MEDICAMENTOS, IYECTOLOGIA  Y CANALIZACION ",IF(N168=CURSOS!$D$20,"OPERADOR DE VEHICULOS DE EMERGENCIA (OVE)",IF(N168=CURSOS!$D$21,"INSTITUCIONES AMIGAS DE LA MUJER Y LA INFANCIA (IAMI)",IF(N168=CURSOS!$D$22,"CUIDADO DEL DONANTE DE ORGANOS",IF(N168=CURSOS!$D$23,"ATENCION A VICTIMAS POR VIOLENCIA DE GENERO",IF(N168=CURSOS!$D$24,"IGUALDAD DE GENERO EN LA SALUD",IF(N168=CURSOS!$D$25,"BRIGADA DE EMERGENCIA",IF(N168=CURSOS!$D$26,"MANEJO DEL DOLOR Y CUIDADOS PALIATIVOS",IF(N168=CURSOS!$D$27,"TOMA MUESTRAS Y LABORATORIO POCT",IF(N168=CURSOS!$D$28,"IMPLANTE SUBDERMICO Y DISPOSITIVO INTRAUTERINO",IF(N168=CURSOS!$D$29,"SALUD MENTAL",IF(N168=CURSOS!$D$30,"PRIMEROS AUXILIOS PSICOLOGICOS",IF(N168=CURSOS!$D$31,"ATENCION A VICTIMAS POR CONFLICTO ARMADO",IF(N168=CURSOS!$D$32,"MANIPULACION DE ALIMENTOS Y BPM"))))))))))))))))))))))))))))))</f>
        <v>0</v>
      </c>
      <c r="U168" s="64" t="str">
        <f t="shared" si="18"/>
        <v xml:space="preserve">   </v>
      </c>
      <c r="V168" s="64" t="str">
        <f t="shared" si="19"/>
        <v xml:space="preserve">   </v>
      </c>
      <c r="W168" s="64" t="str">
        <f t="shared" si="20"/>
        <v xml:space="preserve">   --</v>
      </c>
    </row>
    <row r="169" spans="1:23" x14ac:dyDescent="0.2">
      <c r="A169" s="94">
        <v>168</v>
      </c>
      <c r="H169" s="31" t="s">
        <v>90</v>
      </c>
      <c r="T169" s="41" t="b">
        <f>IF(N169=CURSOS!$D$3,"DIPLOMADO EN ATENCION PRE-HOSPITALARIA",IF(N169=CURSOS!$D$4,"ACOMPAÑAMIENTO Y MANEJO DEL DUELO",IF(N169=CURSOS!$D$5,"ATENCION A VICTIMAS DE ATAQUE CON AGENTES QUIMICOS ",IF(N169=CURSOS!$D$6,"PRIMEROS AUXILIOS ",IF(N169=CURSOS!$D$7,"DIPLOMADO DE UNIDAD DE CUIDADOS INTENSIVOS (UCI)",IF(N169=CURSOS!$D$8,"MODELO DE ATENCION PARA EVENTOS EMERGENTES EN SALUD MENTAL (CODIGO VERDE)",IF(N169=CURSOS!$D$9,"HUMANIZACION EN SALUD, BUENAS PRACTICAS EN PACIENTE ",IF(N169=CURSOS!$D$10,"CLINICA DE HERIDAS ",IF(N169=CURSOS!$D$11,"TOMA DE CITOLOGIA A CERVICO VAGINAL ",IF(N169=CURSOS!$D$12,"SOPORTE CARDIOVASCULAR AVANZADO ",IF(N169=CURSOS!$D$13,"CAMILLERO ",IF(N169=CURSOS!$D$14,"TOMA MUESTRAS Y LABORATORIO ",IF(N169=CURSOS!$D$15,"SOPORTE VITAL BASICO (BLS)",IF(N169=CURSOS!$D$16,"ATENCION A VICTIMAS DE VIOLENCIA SEXUAL ",IF(N169=CURSOS!$D$17,"PROGRAMADO AMPLIADO DE INMUNIZACION (PAI - COVID 19)",IF(N169=CURSOS!$D$18,"ATENCION INTEGRAL EN ENFERMEDADES PREVALENTES EN PRIMERA INFANCIA (AIEPI)",IF(N169=CURSOS!$D$19,"ADMINISTRACION DE MEDICAMENTOS, IYECTOLOGIA  Y CANALIZACION ",IF(N169=CURSOS!$D$20,"OPERADOR DE VEHICULOS DE EMERGENCIA (OVE)",IF(N169=CURSOS!$D$21,"INSTITUCIONES AMIGAS DE LA MUJER Y LA INFANCIA (IAMI)",IF(N169=CURSOS!$D$22,"CUIDADO DEL DONANTE DE ORGANOS",IF(N169=CURSOS!$D$23,"ATENCION A VICTIMAS POR VIOLENCIA DE GENERO",IF(N169=CURSOS!$D$24,"IGUALDAD DE GENERO EN LA SALUD",IF(N169=CURSOS!$D$25,"BRIGADA DE EMERGENCIA",IF(N169=CURSOS!$D$26,"MANEJO DEL DOLOR Y CUIDADOS PALIATIVOS",IF(N169=CURSOS!$D$27,"TOMA MUESTRAS Y LABORATORIO POCT",IF(N169=CURSOS!$D$28,"IMPLANTE SUBDERMICO Y DISPOSITIVO INTRAUTERINO",IF(N169=CURSOS!$D$29,"SALUD MENTAL",IF(N169=CURSOS!$D$30,"PRIMEROS AUXILIOS PSICOLOGICOS",IF(N169=CURSOS!$D$31,"ATENCION A VICTIMAS POR CONFLICTO ARMADO",IF(N169=CURSOS!$D$32,"MANIPULACION DE ALIMENTOS Y BPM"))))))))))))))))))))))))))))))</f>
        <v>0</v>
      </c>
      <c r="U169" s="64" t="str">
        <f t="shared" si="18"/>
        <v xml:space="preserve">   </v>
      </c>
      <c r="V169" s="64" t="str">
        <f t="shared" si="19"/>
        <v xml:space="preserve">   </v>
      </c>
      <c r="W169" s="64" t="str">
        <f t="shared" si="20"/>
        <v xml:space="preserve">   --</v>
      </c>
    </row>
    <row r="170" spans="1:23" x14ac:dyDescent="0.2">
      <c r="A170" s="94">
        <v>169</v>
      </c>
      <c r="H170" s="31" t="s">
        <v>90</v>
      </c>
      <c r="T170" s="41" t="b">
        <f>IF(N170=CURSOS!$D$3,"DIPLOMADO EN ATENCION PRE-HOSPITALARIA",IF(N170=CURSOS!$D$4,"ACOMPAÑAMIENTO Y MANEJO DEL DUELO",IF(N170=CURSOS!$D$5,"ATENCION A VICTIMAS DE ATAQUE CON AGENTES QUIMICOS ",IF(N170=CURSOS!$D$6,"PRIMEROS AUXILIOS ",IF(N170=CURSOS!$D$7,"DIPLOMADO DE UNIDAD DE CUIDADOS INTENSIVOS (UCI)",IF(N170=CURSOS!$D$8,"MODELO DE ATENCION PARA EVENTOS EMERGENTES EN SALUD MENTAL (CODIGO VERDE)",IF(N170=CURSOS!$D$9,"HUMANIZACION EN SALUD, BUENAS PRACTICAS EN PACIENTE ",IF(N170=CURSOS!$D$10,"CLINICA DE HERIDAS ",IF(N170=CURSOS!$D$11,"TOMA DE CITOLOGIA A CERVICO VAGINAL ",IF(N170=CURSOS!$D$12,"SOPORTE CARDIOVASCULAR AVANZADO ",IF(N170=CURSOS!$D$13,"CAMILLERO ",IF(N170=CURSOS!$D$14,"TOMA MUESTRAS Y LABORATORIO ",IF(N170=CURSOS!$D$15,"SOPORTE VITAL BASICO (BLS)",IF(N170=CURSOS!$D$16,"ATENCION A VICTIMAS DE VIOLENCIA SEXUAL ",IF(N170=CURSOS!$D$17,"PROGRAMADO AMPLIADO DE INMUNIZACION (PAI - COVID 19)",IF(N170=CURSOS!$D$18,"ATENCION INTEGRAL EN ENFERMEDADES PREVALENTES EN PRIMERA INFANCIA (AIEPI)",IF(N170=CURSOS!$D$19,"ADMINISTRACION DE MEDICAMENTOS, IYECTOLOGIA  Y CANALIZACION ",IF(N170=CURSOS!$D$20,"OPERADOR DE VEHICULOS DE EMERGENCIA (OVE)",IF(N170=CURSOS!$D$21,"INSTITUCIONES AMIGAS DE LA MUJER Y LA INFANCIA (IAMI)",IF(N170=CURSOS!$D$22,"CUIDADO DEL DONANTE DE ORGANOS",IF(N170=CURSOS!$D$23,"ATENCION A VICTIMAS POR VIOLENCIA DE GENERO",IF(N170=CURSOS!$D$24,"IGUALDAD DE GENERO EN LA SALUD",IF(N170=CURSOS!$D$25,"BRIGADA DE EMERGENCIA",IF(N170=CURSOS!$D$26,"MANEJO DEL DOLOR Y CUIDADOS PALIATIVOS",IF(N170=CURSOS!$D$27,"TOMA MUESTRAS Y LABORATORIO POCT",IF(N170=CURSOS!$D$28,"IMPLANTE SUBDERMICO Y DISPOSITIVO INTRAUTERINO",IF(N170=CURSOS!$D$29,"SALUD MENTAL",IF(N170=CURSOS!$D$30,"PRIMEROS AUXILIOS PSICOLOGICOS",IF(N170=CURSOS!$D$31,"ATENCION A VICTIMAS POR CONFLICTO ARMADO",IF(N170=CURSOS!$D$32,"MANIPULACION DE ALIMENTOS Y BPM"))))))))))))))))))))))))))))))</f>
        <v>0</v>
      </c>
      <c r="U170" s="64" t="str">
        <f t="shared" si="18"/>
        <v xml:space="preserve">   </v>
      </c>
      <c r="V170" s="64" t="str">
        <f t="shared" si="19"/>
        <v xml:space="preserve">   </v>
      </c>
      <c r="W170" s="64" t="str">
        <f t="shared" si="20"/>
        <v xml:space="preserve">   --</v>
      </c>
    </row>
    <row r="171" spans="1:23" x14ac:dyDescent="0.2">
      <c r="A171" s="94">
        <v>170</v>
      </c>
      <c r="H171" s="31" t="s">
        <v>90</v>
      </c>
      <c r="T171" s="41" t="b">
        <f>IF(N171=CURSOS!$D$3,"DIPLOMADO EN ATENCION PRE-HOSPITALARIA",IF(N171=CURSOS!$D$4,"ACOMPAÑAMIENTO Y MANEJO DEL DUELO",IF(N171=CURSOS!$D$5,"ATENCION A VICTIMAS DE ATAQUE CON AGENTES QUIMICOS ",IF(N171=CURSOS!$D$6,"PRIMEROS AUXILIOS ",IF(N171=CURSOS!$D$7,"DIPLOMADO DE UNIDAD DE CUIDADOS INTENSIVOS (UCI)",IF(N171=CURSOS!$D$8,"MODELO DE ATENCION PARA EVENTOS EMERGENTES EN SALUD MENTAL (CODIGO VERDE)",IF(N171=CURSOS!$D$9,"HUMANIZACION EN SALUD, BUENAS PRACTICAS EN PACIENTE ",IF(N171=CURSOS!$D$10,"CLINICA DE HERIDAS ",IF(N171=CURSOS!$D$11,"TOMA DE CITOLOGIA A CERVICO VAGINAL ",IF(N171=CURSOS!$D$12,"SOPORTE CARDIOVASCULAR AVANZADO ",IF(N171=CURSOS!$D$13,"CAMILLERO ",IF(N171=CURSOS!$D$14,"TOMA MUESTRAS Y LABORATORIO ",IF(N171=CURSOS!$D$15,"SOPORTE VITAL BASICO (BLS)",IF(N171=CURSOS!$D$16,"ATENCION A VICTIMAS DE VIOLENCIA SEXUAL ",IF(N171=CURSOS!$D$17,"PROGRAMADO AMPLIADO DE INMUNIZACION (PAI - COVID 19)",IF(N171=CURSOS!$D$18,"ATENCION INTEGRAL EN ENFERMEDADES PREVALENTES EN PRIMERA INFANCIA (AIEPI)",IF(N171=CURSOS!$D$19,"ADMINISTRACION DE MEDICAMENTOS, IYECTOLOGIA  Y CANALIZACION ",IF(N171=CURSOS!$D$20,"OPERADOR DE VEHICULOS DE EMERGENCIA (OVE)",IF(N171=CURSOS!$D$21,"INSTITUCIONES AMIGAS DE LA MUJER Y LA INFANCIA (IAMI)",IF(N171=CURSOS!$D$22,"CUIDADO DEL DONANTE DE ORGANOS",IF(N171=CURSOS!$D$23,"ATENCION A VICTIMAS POR VIOLENCIA DE GENERO",IF(N171=CURSOS!$D$24,"IGUALDAD DE GENERO EN LA SALUD",IF(N171=CURSOS!$D$25,"BRIGADA DE EMERGENCIA",IF(N171=CURSOS!$D$26,"MANEJO DEL DOLOR Y CUIDADOS PALIATIVOS",IF(N171=CURSOS!$D$27,"TOMA MUESTRAS Y LABORATORIO POCT",IF(N171=CURSOS!$D$28,"IMPLANTE SUBDERMICO Y DISPOSITIVO INTRAUTERINO",IF(N171=CURSOS!$D$29,"SALUD MENTAL",IF(N171=CURSOS!$D$30,"PRIMEROS AUXILIOS PSICOLOGICOS",IF(N171=CURSOS!$D$31,"ATENCION A VICTIMAS POR CONFLICTO ARMADO",IF(N171=CURSOS!$D$32,"MANIPULACION DE ALIMENTOS Y BPM"))))))))))))))))))))))))))))))</f>
        <v>0</v>
      </c>
      <c r="U171" s="64" t="str">
        <f t="shared" si="18"/>
        <v xml:space="preserve">   </v>
      </c>
      <c r="V171" s="64" t="str">
        <f t="shared" si="19"/>
        <v xml:space="preserve">   </v>
      </c>
      <c r="W171" s="64" t="str">
        <f t="shared" si="20"/>
        <v xml:space="preserve">   --</v>
      </c>
    </row>
    <row r="172" spans="1:23" x14ac:dyDescent="0.2">
      <c r="A172" s="94">
        <v>171</v>
      </c>
      <c r="H172" s="31" t="s">
        <v>90</v>
      </c>
    </row>
    <row r="173" spans="1:23" x14ac:dyDescent="0.2">
      <c r="A173" s="94">
        <v>172</v>
      </c>
      <c r="H173" s="31" t="s">
        <v>90</v>
      </c>
    </row>
    <row r="174" spans="1:23" x14ac:dyDescent="0.2">
      <c r="A174" s="94">
        <v>173</v>
      </c>
      <c r="C174" s="44"/>
      <c r="D174" s="44"/>
      <c r="E174" s="44"/>
      <c r="F174" s="44"/>
      <c r="H174" s="31" t="s">
        <v>90</v>
      </c>
    </row>
    <row r="175" spans="1:23" x14ac:dyDescent="0.2">
      <c r="A175" s="94">
        <v>174</v>
      </c>
      <c r="C175" s="44"/>
      <c r="D175" s="44"/>
      <c r="E175" s="44"/>
      <c r="F175" s="44"/>
      <c r="H175" s="31" t="s">
        <v>90</v>
      </c>
    </row>
    <row r="176" spans="1:23" x14ac:dyDescent="0.2">
      <c r="A176" s="94">
        <v>175</v>
      </c>
      <c r="H176" s="31" t="s">
        <v>90</v>
      </c>
    </row>
    <row r="177" spans="1:23" x14ac:dyDescent="0.2">
      <c r="A177" s="94">
        <v>176</v>
      </c>
      <c r="H177" s="31" t="s">
        <v>90</v>
      </c>
    </row>
    <row r="178" spans="1:23" x14ac:dyDescent="0.2">
      <c r="A178" s="94">
        <v>177</v>
      </c>
      <c r="H178" s="31" t="s">
        <v>90</v>
      </c>
    </row>
    <row r="179" spans="1:23" x14ac:dyDescent="0.2">
      <c r="A179" s="94">
        <v>178</v>
      </c>
      <c r="H179" s="31" t="s">
        <v>90</v>
      </c>
    </row>
    <row r="180" spans="1:23" x14ac:dyDescent="0.2">
      <c r="A180" s="94">
        <v>179</v>
      </c>
      <c r="B180" s="44"/>
      <c r="H180" s="31" t="s">
        <v>90</v>
      </c>
    </row>
    <row r="181" spans="1:23" x14ac:dyDescent="0.2">
      <c r="A181" s="94">
        <v>180</v>
      </c>
      <c r="B181" s="44"/>
      <c r="H181" s="31" t="s">
        <v>90</v>
      </c>
    </row>
    <row r="182" spans="1:23" x14ac:dyDescent="0.2">
      <c r="A182" s="94">
        <v>181</v>
      </c>
      <c r="H182" s="31" t="s">
        <v>90</v>
      </c>
    </row>
    <row r="183" spans="1:23" x14ac:dyDescent="0.2">
      <c r="A183" s="94">
        <v>182</v>
      </c>
      <c r="H183" s="31" t="s">
        <v>90</v>
      </c>
    </row>
    <row r="184" spans="1:23" x14ac:dyDescent="0.2">
      <c r="A184" s="94">
        <v>183</v>
      </c>
      <c r="H184" s="31" t="s">
        <v>90</v>
      </c>
    </row>
    <row r="185" spans="1:23" x14ac:dyDescent="0.2">
      <c r="A185" s="94">
        <v>184</v>
      </c>
      <c r="H185" s="31" t="s">
        <v>90</v>
      </c>
    </row>
    <row r="186" spans="1:23" x14ac:dyDescent="0.2">
      <c r="A186" s="94">
        <v>185</v>
      </c>
      <c r="H186" s="31" t="s">
        <v>90</v>
      </c>
    </row>
    <row r="187" spans="1:23" x14ac:dyDescent="0.2">
      <c r="A187" s="94">
        <v>186</v>
      </c>
      <c r="H187" s="31" t="s">
        <v>90</v>
      </c>
    </row>
    <row r="188" spans="1:23" x14ac:dyDescent="0.2">
      <c r="A188" s="94">
        <v>187</v>
      </c>
      <c r="H188" s="31" t="s">
        <v>90</v>
      </c>
      <c r="O188" s="30"/>
      <c r="T188" s="41" t="b">
        <f>IF(N188=CURSOS!$D$3,"DIPLOMADO EN ATENCION PRE-HOSPITALARIA",IF(N188=CURSOS!$D$4,"ACOMPAÑAMIENTO Y MANEJO DEL DUELO",IF(N188=CURSOS!$D$5,"ATENCION A VICTIMAS DE ATAQUE CON AGENTES QUIMICOS ",IF(N188=CURSOS!$D$6,"PRIMEROS AUXILIOS ",IF(N188=CURSOS!$D$7,"DIPLOMADO DE UNIDAD DE CUIDADOS INTENSIVOS (UCI)",IF(N188=CURSOS!$D$8,"MODELO DE ATENCION PARA EVENTOS EMERGENTES EN SALUD MENTAL (CODIGO VERDE)",IF(N188=CURSOS!$D$9,"HUMANIZACION EN SALUD, BUENAS PRACTICAS EN PACIENTE ",IF(N188=CURSOS!$D$10,"CLINICA DE HERIDAS ",IF(N188=CURSOS!$D$11,"TOMA DE CITOLOGIA A CERVICO VAGINAL ",IF(N188=CURSOS!$D$12,"SOPORTE CARDIOVASCULAR AVANZADO ",IF(N188=CURSOS!$D$13,"CAMILLERO ",IF(N188=CURSOS!$D$14,"TOMA MUESTRAS Y LABORATORIO ",IF(N188=CURSOS!$D$15,"SOPORTE VITAL BASICO (BLS)",IF(N188=CURSOS!$D$16,"ATENCION A VICTIMAS DE VIOLENCIA SEXUAL ",IF(N188=CURSOS!$D$17,"PROGRAMADO AMPLIADO DE INMUNIZACION (PAI - COVID 19)",IF(N188=CURSOS!$D$18,"ATENCION INTEGRAL EN ENFERMEDADES PREVALENTES EN PRIMERA INFANCIA (AIEPI)",IF(N188=CURSOS!$D$19,"ADMINISTRACION DE MEDICAMENTOS, IYECTOLOGIA  Y CANALIZACION ",IF(N188=CURSOS!$D$20,"OPERADOR DE VEHICULOS DE EMERGENCIA (OVE)",IF(N188=CURSOS!$D$21,"INSTITUCIONES AMIGAS DE LA MUJER Y LA INFANCIA (IAMI)",IF(N188=CURSOS!$D$22,"CUIDADO DEL DONANTE DE ORGANOS",IF(N188=CURSOS!$D$23,"ATENCION A VICTIMAS POR VIOLENCIA DE GENERO",IF(N188=CURSOS!$D$24,"IGUALDAD DE GENERO EN LA SALUD",IF(N188=CURSOS!$D$25,"BRIGADA DE EMERGENCIA",IF(N188=CURSOS!$D$26,"MANEJO DEL DOLOR Y CUIDADOS PALIATIVOS",IF(N188=CURSOS!$D$27,"TOMA MUESTRAS Y LABORATORIO POCT",IF(N188=CURSOS!$D$28,"IMPLANTE SUBDERMICO Y DISPOSITIVO INTRAUTERINO",IF(N188=CURSOS!$D$29,"SALUD MENTAL",IF(N188=CURSOS!$D$30,"PRIMEROS AUXILIOS PSICOLOGICOS",IF(N188=CURSOS!$D$31,"ATENCION A VICTIMAS POR CONFLICTO ARMADO",IF(N188=CURSOS!$D$32,"MANIPULACION DE ALIMENTOS Y BPM"))))))))))))))))))))))))))))))</f>
        <v>0</v>
      </c>
      <c r="U188" s="41" t="str">
        <f t="shared" ref="U188:U203" si="21">CONCATENATE(E188," ",F188," ",C188," ",D188)</f>
        <v xml:space="preserve">   </v>
      </c>
      <c r="V188" s="41" t="str">
        <f t="shared" ref="V188:V203" si="22">+PROPER(U188)</f>
        <v xml:space="preserve">   </v>
      </c>
      <c r="W188" s="41" t="str">
        <f t="shared" ref="W188:W219" si="23">CONCATENATE(U188,"-",B194,"-",N188)</f>
        <v xml:space="preserve">   --</v>
      </c>
    </row>
    <row r="189" spans="1:23" x14ac:dyDescent="0.2">
      <c r="A189" s="94">
        <v>188</v>
      </c>
      <c r="H189" s="31" t="s">
        <v>90</v>
      </c>
      <c r="T189" s="41" t="b">
        <f>IF(N189=CURSOS!$D$3,"DIPLOMADO EN ATENCION PRE-HOSPITALARIA",IF(N189=CURSOS!$D$4,"ACOMPAÑAMIENTO Y MANEJO DEL DUELO",IF(N189=CURSOS!$D$5,"ATENCION A VICTIMAS DE ATAQUE CON AGENTES QUIMICOS ",IF(N189=CURSOS!$D$6,"PRIMEROS AUXILIOS ",IF(N189=CURSOS!$D$7,"DIPLOMADO DE UNIDAD DE CUIDADOS INTENSIVOS (UCI)",IF(N189=CURSOS!$D$8,"MODELO DE ATENCION PARA EVENTOS EMERGENTES EN SALUD MENTAL (CODIGO VERDE)",IF(N189=CURSOS!$D$9,"HUMANIZACION EN SALUD, BUENAS PRACTICAS EN PACIENTE ",IF(N189=CURSOS!$D$10,"CLINICA DE HERIDAS ",IF(N189=CURSOS!$D$11,"TOMA DE CITOLOGIA A CERVICO VAGINAL ",IF(N189=CURSOS!$D$12,"SOPORTE CARDIOVASCULAR AVANZADO ",IF(N189=CURSOS!$D$13,"CAMILLERO ",IF(N189=CURSOS!$D$14,"TOMA MUESTRAS Y LABORATORIO ",IF(N189=CURSOS!$D$15,"SOPORTE VITAL BASICO (BLS)",IF(N189=CURSOS!$D$16,"ATENCION A VICTIMAS DE VIOLENCIA SEXUAL ",IF(N189=CURSOS!$D$17,"PROGRAMADO AMPLIADO DE INMUNIZACION (PAI - COVID 19)",IF(N189=CURSOS!$D$18,"ATENCION INTEGRAL EN ENFERMEDADES PREVALENTES EN PRIMERA INFANCIA (AIEPI)",IF(N189=CURSOS!$D$19,"ADMINISTRACION DE MEDICAMENTOS, IYECTOLOGIA  Y CANALIZACION ",IF(N189=CURSOS!$D$20,"OPERADOR DE VEHICULOS DE EMERGENCIA (OVE)",IF(N189=CURSOS!$D$21,"INSTITUCIONES AMIGAS DE LA MUJER Y LA INFANCIA (IAMI)",IF(N189=CURSOS!$D$22,"CUIDADO DEL DONANTE DE ORGANOS",IF(N189=CURSOS!$D$23,"ATENCION A VICTIMAS POR VIOLENCIA DE GENERO",IF(N189=CURSOS!$D$24,"IGUALDAD DE GENERO EN LA SALUD",IF(N189=CURSOS!$D$25,"BRIGADA DE EMERGENCIA",IF(N189=CURSOS!$D$26,"MANEJO DEL DOLOR Y CUIDADOS PALIATIVOS",IF(N189=CURSOS!$D$27,"TOMA MUESTRAS Y LABORATORIO POCT",IF(N189=CURSOS!$D$28,"IMPLANTE SUBDERMICO Y DISPOSITIVO INTRAUTERINO",IF(N189=CURSOS!$D$29,"SALUD MENTAL",IF(N189=CURSOS!$D$30,"PRIMEROS AUXILIOS PSICOLOGICOS",IF(N189=CURSOS!$D$31,"ATENCION A VICTIMAS POR CONFLICTO ARMADO",IF(N189=CURSOS!$D$32,"MANIPULACION DE ALIMENTOS Y BPM"))))))))))))))))))))))))))))))</f>
        <v>0</v>
      </c>
      <c r="U189" s="41" t="str">
        <f t="shared" si="21"/>
        <v xml:space="preserve">   </v>
      </c>
      <c r="V189" s="41" t="str">
        <f t="shared" si="22"/>
        <v xml:space="preserve">   </v>
      </c>
      <c r="W189" s="41" t="str">
        <f t="shared" si="23"/>
        <v xml:space="preserve">   --</v>
      </c>
    </row>
    <row r="190" spans="1:23" x14ac:dyDescent="0.2">
      <c r="A190" s="94">
        <v>189</v>
      </c>
      <c r="H190" s="31" t="s">
        <v>90</v>
      </c>
      <c r="T190" s="41" t="b">
        <f>IF(N190=CURSOS!$D$3,"DIPLOMADO EN ATENCION PRE-HOSPITALARIA",IF(N190=CURSOS!$D$4,"ACOMPAÑAMIENTO Y MANEJO DEL DUELO",IF(N190=CURSOS!$D$5,"ATENCION A VICTIMAS DE ATAQUE CON AGENTES QUIMICOS ",IF(N190=CURSOS!$D$6,"PRIMEROS AUXILIOS ",IF(N190=CURSOS!$D$7,"DIPLOMADO DE UNIDAD DE CUIDADOS INTENSIVOS (UCI)",IF(N190=CURSOS!$D$8,"MODELO DE ATENCION PARA EVENTOS EMERGENTES EN SALUD MENTAL (CODIGO VERDE)",IF(N190=CURSOS!$D$9,"HUMANIZACION EN SALUD, BUENAS PRACTICAS EN PACIENTE ",IF(N190=CURSOS!$D$10,"CLINICA DE HERIDAS ",IF(N190=CURSOS!$D$11,"TOMA DE CITOLOGIA A CERVICO VAGINAL ",IF(N190=CURSOS!$D$12,"SOPORTE CARDIOVASCULAR AVANZADO ",IF(N190=CURSOS!$D$13,"CAMILLERO ",IF(N190=CURSOS!$D$14,"TOMA MUESTRAS Y LABORATORIO ",IF(N190=CURSOS!$D$15,"SOPORTE VITAL BASICO (BLS)",IF(N190=CURSOS!$D$16,"ATENCION A VICTIMAS DE VIOLENCIA SEXUAL ",IF(N190=CURSOS!$D$17,"PROGRAMADO AMPLIADO DE INMUNIZACION (PAI - COVID 19)",IF(N190=CURSOS!$D$18,"ATENCION INTEGRAL EN ENFERMEDADES PREVALENTES EN PRIMERA INFANCIA (AIEPI)",IF(N190=CURSOS!$D$19,"ADMINISTRACION DE MEDICAMENTOS, IYECTOLOGIA  Y CANALIZACION ",IF(N190=CURSOS!$D$20,"OPERADOR DE VEHICULOS DE EMERGENCIA (OVE)",IF(N190=CURSOS!$D$21,"INSTITUCIONES AMIGAS DE LA MUJER Y LA INFANCIA (IAMI)",IF(N190=CURSOS!$D$22,"CUIDADO DEL DONANTE DE ORGANOS",IF(N190=CURSOS!$D$23,"ATENCION A VICTIMAS POR VIOLENCIA DE GENERO",IF(N190=CURSOS!$D$24,"IGUALDAD DE GENERO EN LA SALUD",IF(N190=CURSOS!$D$25,"BRIGADA DE EMERGENCIA",IF(N190=CURSOS!$D$26,"MANEJO DEL DOLOR Y CUIDADOS PALIATIVOS",IF(N190=CURSOS!$D$27,"TOMA MUESTRAS Y LABORATORIO POCT",IF(N190=CURSOS!$D$28,"IMPLANTE SUBDERMICO Y DISPOSITIVO INTRAUTERINO",IF(N190=CURSOS!$D$29,"SALUD MENTAL",IF(N190=CURSOS!$D$30,"PRIMEROS AUXILIOS PSICOLOGICOS",IF(N190=CURSOS!$D$31,"ATENCION A VICTIMAS POR CONFLICTO ARMADO",IF(N190=CURSOS!$D$32,"MANIPULACION DE ALIMENTOS Y BPM"))))))))))))))))))))))))))))))</f>
        <v>0</v>
      </c>
      <c r="U190" s="41" t="str">
        <f t="shared" si="21"/>
        <v xml:space="preserve">   </v>
      </c>
      <c r="V190" s="41" t="str">
        <f t="shared" si="22"/>
        <v xml:space="preserve">   </v>
      </c>
      <c r="W190" s="41" t="str">
        <f t="shared" si="23"/>
        <v xml:space="preserve">   --</v>
      </c>
    </row>
    <row r="191" spans="1:23" x14ac:dyDescent="0.2">
      <c r="A191" s="94">
        <v>190</v>
      </c>
      <c r="H191" s="31" t="s">
        <v>90</v>
      </c>
      <c r="T191" s="41" t="b">
        <f>IF(N191=CURSOS!$D$3,"DIPLOMADO EN ATENCION PRE-HOSPITALARIA",IF(N191=CURSOS!$D$4,"ACOMPAÑAMIENTO Y MANEJO DEL DUELO",IF(N191=CURSOS!$D$5,"ATENCION A VICTIMAS DE ATAQUE CON AGENTES QUIMICOS ",IF(N191=CURSOS!$D$6,"PRIMEROS AUXILIOS ",IF(N191=CURSOS!$D$7,"DIPLOMADO DE UNIDAD DE CUIDADOS INTENSIVOS (UCI)",IF(N191=CURSOS!$D$8,"MODELO DE ATENCION PARA EVENTOS EMERGENTES EN SALUD MENTAL (CODIGO VERDE)",IF(N191=CURSOS!$D$9,"HUMANIZACION EN SALUD, BUENAS PRACTICAS EN PACIENTE ",IF(N191=CURSOS!$D$10,"CLINICA DE HERIDAS ",IF(N191=CURSOS!$D$11,"TOMA DE CITOLOGIA A CERVICO VAGINAL ",IF(N191=CURSOS!$D$12,"SOPORTE CARDIOVASCULAR AVANZADO ",IF(N191=CURSOS!$D$13,"CAMILLERO ",IF(N191=CURSOS!$D$14,"TOMA MUESTRAS Y LABORATORIO ",IF(N191=CURSOS!$D$15,"SOPORTE VITAL BASICO (BLS)",IF(N191=CURSOS!$D$16,"ATENCION A VICTIMAS DE VIOLENCIA SEXUAL ",IF(N191=CURSOS!$D$17,"PROGRAMADO AMPLIADO DE INMUNIZACION (PAI - COVID 19)",IF(N191=CURSOS!$D$18,"ATENCION INTEGRAL EN ENFERMEDADES PREVALENTES EN PRIMERA INFANCIA (AIEPI)",IF(N191=CURSOS!$D$19,"ADMINISTRACION DE MEDICAMENTOS, IYECTOLOGIA  Y CANALIZACION ",IF(N191=CURSOS!$D$20,"OPERADOR DE VEHICULOS DE EMERGENCIA (OVE)",IF(N191=CURSOS!$D$21,"INSTITUCIONES AMIGAS DE LA MUJER Y LA INFANCIA (IAMI)",IF(N191=CURSOS!$D$22,"CUIDADO DEL DONANTE DE ORGANOS",IF(N191=CURSOS!$D$23,"ATENCION A VICTIMAS POR VIOLENCIA DE GENERO",IF(N191=CURSOS!$D$24,"IGUALDAD DE GENERO EN LA SALUD",IF(N191=CURSOS!$D$25,"BRIGADA DE EMERGENCIA",IF(N191=CURSOS!$D$26,"MANEJO DEL DOLOR Y CUIDADOS PALIATIVOS",IF(N191=CURSOS!$D$27,"TOMA MUESTRAS Y LABORATORIO POCT",IF(N191=CURSOS!$D$28,"IMPLANTE SUBDERMICO Y DISPOSITIVO INTRAUTERINO",IF(N191=CURSOS!$D$29,"SALUD MENTAL",IF(N191=CURSOS!$D$30,"PRIMEROS AUXILIOS PSICOLOGICOS",IF(N191=CURSOS!$D$31,"ATENCION A VICTIMAS POR CONFLICTO ARMADO",IF(N191=CURSOS!$D$32,"MANIPULACION DE ALIMENTOS Y BPM"))))))))))))))))))))))))))))))</f>
        <v>0</v>
      </c>
      <c r="U191" s="41" t="str">
        <f t="shared" si="21"/>
        <v xml:space="preserve">   </v>
      </c>
      <c r="V191" s="41" t="str">
        <f t="shared" si="22"/>
        <v xml:space="preserve">   </v>
      </c>
      <c r="W191" s="41" t="str">
        <f t="shared" si="23"/>
        <v xml:space="preserve">   --</v>
      </c>
    </row>
    <row r="192" spans="1:23" x14ac:dyDescent="0.2">
      <c r="A192" s="94">
        <v>191</v>
      </c>
      <c r="H192" s="31" t="s">
        <v>90</v>
      </c>
      <c r="T192" s="41" t="b">
        <f>IF(N192=CURSOS!$D$3,"DIPLOMADO EN ATENCION PRE-HOSPITALARIA",IF(N192=CURSOS!$D$4,"ACOMPAÑAMIENTO Y MANEJO DEL DUELO",IF(N192=CURSOS!$D$5,"ATENCION A VICTIMAS DE ATAQUE CON AGENTES QUIMICOS ",IF(N192=CURSOS!$D$6,"PRIMEROS AUXILIOS ",IF(N192=CURSOS!$D$7,"DIPLOMADO DE UNIDAD DE CUIDADOS INTENSIVOS (UCI)",IF(N192=CURSOS!$D$8,"MODELO DE ATENCION PARA EVENTOS EMERGENTES EN SALUD MENTAL (CODIGO VERDE)",IF(N192=CURSOS!$D$9,"HUMANIZACION EN SALUD, BUENAS PRACTICAS EN PACIENTE ",IF(N192=CURSOS!$D$10,"CLINICA DE HERIDAS ",IF(N192=CURSOS!$D$11,"TOMA DE CITOLOGIA A CERVICO VAGINAL ",IF(N192=CURSOS!$D$12,"SOPORTE CARDIOVASCULAR AVANZADO ",IF(N192=CURSOS!$D$13,"CAMILLERO ",IF(N192=CURSOS!$D$14,"TOMA MUESTRAS Y LABORATORIO ",IF(N192=CURSOS!$D$15,"SOPORTE VITAL BASICO (BLS)",IF(N192=CURSOS!$D$16,"ATENCION A VICTIMAS DE VIOLENCIA SEXUAL ",IF(N192=CURSOS!$D$17,"PROGRAMADO AMPLIADO DE INMUNIZACION (PAI - COVID 19)",IF(N192=CURSOS!$D$18,"ATENCION INTEGRAL EN ENFERMEDADES PREVALENTES EN PRIMERA INFANCIA (AIEPI)",IF(N192=CURSOS!$D$19,"ADMINISTRACION DE MEDICAMENTOS, IYECTOLOGIA  Y CANALIZACION ",IF(N192=CURSOS!$D$20,"OPERADOR DE VEHICULOS DE EMERGENCIA (OVE)",IF(N192=CURSOS!$D$21,"INSTITUCIONES AMIGAS DE LA MUJER Y LA INFANCIA (IAMI)",IF(N192=CURSOS!$D$22,"CUIDADO DEL DONANTE DE ORGANOS",IF(N192=CURSOS!$D$23,"ATENCION A VICTIMAS POR VIOLENCIA DE GENERO",IF(N192=CURSOS!$D$24,"IGUALDAD DE GENERO EN LA SALUD",IF(N192=CURSOS!$D$25,"BRIGADA DE EMERGENCIA",IF(N192=CURSOS!$D$26,"MANEJO DEL DOLOR Y CUIDADOS PALIATIVOS",IF(N192=CURSOS!$D$27,"TOMA MUESTRAS Y LABORATORIO POCT",IF(N192=CURSOS!$D$28,"IMPLANTE SUBDERMICO Y DISPOSITIVO INTRAUTERINO",IF(N192=CURSOS!$D$29,"SALUD MENTAL",IF(N192=CURSOS!$D$30,"PRIMEROS AUXILIOS PSICOLOGICOS",IF(N192=CURSOS!$D$31,"ATENCION A VICTIMAS POR CONFLICTO ARMADO",IF(N192=CURSOS!$D$32,"MANIPULACION DE ALIMENTOS Y BPM"))))))))))))))))))))))))))))))</f>
        <v>0</v>
      </c>
      <c r="U192" s="41" t="str">
        <f t="shared" si="21"/>
        <v xml:space="preserve">   </v>
      </c>
      <c r="V192" s="41" t="str">
        <f t="shared" si="22"/>
        <v xml:space="preserve">   </v>
      </c>
      <c r="W192" s="41" t="str">
        <f t="shared" si="23"/>
        <v xml:space="preserve">   --</v>
      </c>
    </row>
    <row r="193" spans="1:23" x14ac:dyDescent="0.2">
      <c r="A193" s="94">
        <v>192</v>
      </c>
      <c r="H193" s="31" t="s">
        <v>90</v>
      </c>
      <c r="T193" s="41" t="b">
        <f>IF(N193=CURSOS!$D$3,"DIPLOMADO EN ATENCION PRE-HOSPITALARIA",IF(N193=CURSOS!$D$4,"ACOMPAÑAMIENTO Y MANEJO DEL DUELO",IF(N193=CURSOS!$D$5,"ATENCION A VICTIMAS DE ATAQUE CON AGENTES QUIMICOS ",IF(N193=CURSOS!$D$6,"PRIMEROS AUXILIOS ",IF(N193=CURSOS!$D$7,"DIPLOMADO DE UNIDAD DE CUIDADOS INTENSIVOS (UCI)",IF(N193=CURSOS!$D$8,"MODELO DE ATENCION PARA EVENTOS EMERGENTES EN SALUD MENTAL (CODIGO VERDE)",IF(N193=CURSOS!$D$9,"HUMANIZACION EN SALUD, BUENAS PRACTICAS EN PACIENTE ",IF(N193=CURSOS!$D$10,"CLINICA DE HERIDAS ",IF(N193=CURSOS!$D$11,"TOMA DE CITOLOGIA A CERVICO VAGINAL ",IF(N193=CURSOS!$D$12,"SOPORTE CARDIOVASCULAR AVANZADO ",IF(N193=CURSOS!$D$13,"CAMILLERO ",IF(N193=CURSOS!$D$14,"TOMA MUESTRAS Y LABORATORIO ",IF(N193=CURSOS!$D$15,"SOPORTE VITAL BASICO (BLS)",IF(N193=CURSOS!$D$16,"ATENCION A VICTIMAS DE VIOLENCIA SEXUAL ",IF(N193=CURSOS!$D$17,"PROGRAMADO AMPLIADO DE INMUNIZACION (PAI - COVID 19)",IF(N193=CURSOS!$D$18,"ATENCION INTEGRAL EN ENFERMEDADES PREVALENTES EN PRIMERA INFANCIA (AIEPI)",IF(N193=CURSOS!$D$19,"ADMINISTRACION DE MEDICAMENTOS, IYECTOLOGIA  Y CANALIZACION ",IF(N193=CURSOS!$D$20,"OPERADOR DE VEHICULOS DE EMERGENCIA (OVE)",IF(N193=CURSOS!$D$21,"INSTITUCIONES AMIGAS DE LA MUJER Y LA INFANCIA (IAMI)",IF(N193=CURSOS!$D$22,"CUIDADO DEL DONANTE DE ORGANOS",IF(N193=CURSOS!$D$23,"ATENCION A VICTIMAS POR VIOLENCIA DE GENERO",IF(N193=CURSOS!$D$24,"IGUALDAD DE GENERO EN LA SALUD",IF(N193=CURSOS!$D$25,"BRIGADA DE EMERGENCIA",IF(N193=CURSOS!$D$26,"MANEJO DEL DOLOR Y CUIDADOS PALIATIVOS",IF(N193=CURSOS!$D$27,"TOMA MUESTRAS Y LABORATORIO POCT",IF(N193=CURSOS!$D$28,"IMPLANTE SUBDERMICO Y DISPOSITIVO INTRAUTERINO",IF(N193=CURSOS!$D$29,"SALUD MENTAL",IF(N193=CURSOS!$D$30,"PRIMEROS AUXILIOS PSICOLOGICOS",IF(N193=CURSOS!$D$31,"ATENCION A VICTIMAS POR CONFLICTO ARMADO",IF(N193=CURSOS!$D$32,"MANIPULACION DE ALIMENTOS Y BPM"))))))))))))))))))))))))))))))</f>
        <v>0</v>
      </c>
      <c r="U193" s="41" t="str">
        <f t="shared" si="21"/>
        <v xml:space="preserve">   </v>
      </c>
      <c r="V193" s="41" t="str">
        <f t="shared" si="22"/>
        <v xml:space="preserve">   </v>
      </c>
      <c r="W193" s="41" t="str">
        <f t="shared" si="23"/>
        <v xml:space="preserve">   --</v>
      </c>
    </row>
    <row r="194" spans="1:23" x14ac:dyDescent="0.2">
      <c r="A194" s="94">
        <v>193</v>
      </c>
      <c r="H194" s="31" t="s">
        <v>90</v>
      </c>
      <c r="T194" s="41" t="b">
        <f>IF(N194=CURSOS!$D$3,"DIPLOMADO EN ATENCION PRE-HOSPITALARIA",IF(N194=CURSOS!$D$4,"ACOMPAÑAMIENTO Y MANEJO DEL DUELO",IF(N194=CURSOS!$D$5,"ATENCION A VICTIMAS DE ATAQUE CON AGENTES QUIMICOS ",IF(N194=CURSOS!$D$6,"PRIMEROS AUXILIOS ",IF(N194=CURSOS!$D$7,"DIPLOMADO DE UNIDAD DE CUIDADOS INTENSIVOS (UCI)",IF(N194=CURSOS!$D$8,"MODELO DE ATENCION PARA EVENTOS EMERGENTES EN SALUD MENTAL (CODIGO VERDE)",IF(N194=CURSOS!$D$9,"HUMANIZACION EN SALUD, BUENAS PRACTICAS EN PACIENTE ",IF(N194=CURSOS!$D$10,"CLINICA DE HERIDAS ",IF(N194=CURSOS!$D$11,"TOMA DE CITOLOGIA A CERVICO VAGINAL ",IF(N194=CURSOS!$D$12,"SOPORTE CARDIOVASCULAR AVANZADO ",IF(N194=CURSOS!$D$13,"CAMILLERO ",IF(N194=CURSOS!$D$14,"TOMA MUESTRAS Y LABORATORIO ",IF(N194=CURSOS!$D$15,"SOPORTE VITAL BASICO (BLS)",IF(N194=CURSOS!$D$16,"ATENCION A VICTIMAS DE VIOLENCIA SEXUAL ",IF(N194=CURSOS!$D$17,"PROGRAMADO AMPLIADO DE INMUNIZACION (PAI - COVID 19)",IF(N194=CURSOS!$D$18,"ATENCION INTEGRAL EN ENFERMEDADES PREVALENTES EN PRIMERA INFANCIA (AIEPI)",IF(N194=CURSOS!$D$19,"ADMINISTRACION DE MEDICAMENTOS, IYECTOLOGIA  Y CANALIZACION ",IF(N194=CURSOS!$D$20,"OPERADOR DE VEHICULOS DE EMERGENCIA (OVE)",IF(N194=CURSOS!$D$21,"INSTITUCIONES AMIGAS DE LA MUJER Y LA INFANCIA (IAMI)",IF(N194=CURSOS!$D$22,"CUIDADO DEL DONANTE DE ORGANOS",IF(N194=CURSOS!$D$23,"ATENCION A VICTIMAS POR VIOLENCIA DE GENERO",IF(N194=CURSOS!$D$24,"IGUALDAD DE GENERO EN LA SALUD",IF(N194=CURSOS!$D$25,"BRIGADA DE EMERGENCIA",IF(N194=CURSOS!$D$26,"MANEJO DEL DOLOR Y CUIDADOS PALIATIVOS",IF(N194=CURSOS!$D$27,"TOMA MUESTRAS Y LABORATORIO POCT",IF(N194=CURSOS!$D$28,"IMPLANTE SUBDERMICO Y DISPOSITIVO INTRAUTERINO",IF(N194=CURSOS!$D$29,"SALUD MENTAL",IF(N194=CURSOS!$D$30,"PRIMEROS AUXILIOS PSICOLOGICOS",IF(N194=CURSOS!$D$31,"ATENCION A VICTIMAS POR CONFLICTO ARMADO",IF(N194=CURSOS!$D$32,"MANIPULACION DE ALIMENTOS Y BPM"))))))))))))))))))))))))))))))</f>
        <v>0</v>
      </c>
      <c r="U194" s="41" t="str">
        <f t="shared" si="21"/>
        <v xml:space="preserve">   </v>
      </c>
      <c r="V194" s="41" t="str">
        <f t="shared" si="22"/>
        <v xml:space="preserve">   </v>
      </c>
      <c r="W194" s="41" t="str">
        <f t="shared" si="23"/>
        <v xml:space="preserve">   --</v>
      </c>
    </row>
    <row r="195" spans="1:23" x14ac:dyDescent="0.2">
      <c r="A195" s="94">
        <v>194</v>
      </c>
      <c r="H195" s="31" t="s">
        <v>90</v>
      </c>
      <c r="T195" s="41" t="b">
        <f>IF(N195=CURSOS!$D$3,"DIPLOMADO EN ATENCION PRE-HOSPITALARIA",IF(N195=CURSOS!$D$4,"ACOMPAÑAMIENTO Y MANEJO DEL DUELO",IF(N195=CURSOS!$D$5,"ATENCION A VICTIMAS DE ATAQUE CON AGENTES QUIMICOS ",IF(N195=CURSOS!$D$6,"PRIMEROS AUXILIOS ",IF(N195=CURSOS!$D$7,"DIPLOMADO DE UNIDAD DE CUIDADOS INTENSIVOS (UCI)",IF(N195=CURSOS!$D$8,"MODELO DE ATENCION PARA EVENTOS EMERGENTES EN SALUD MENTAL (CODIGO VERDE)",IF(N195=CURSOS!$D$9,"HUMANIZACION EN SALUD, BUENAS PRACTICAS EN PACIENTE ",IF(N195=CURSOS!$D$10,"CLINICA DE HERIDAS ",IF(N195=CURSOS!$D$11,"TOMA DE CITOLOGIA A CERVICO VAGINAL ",IF(N195=CURSOS!$D$12,"SOPORTE CARDIOVASCULAR AVANZADO ",IF(N195=CURSOS!$D$13,"CAMILLERO ",IF(N195=CURSOS!$D$14,"TOMA MUESTRAS Y LABORATORIO ",IF(N195=CURSOS!$D$15,"SOPORTE VITAL BASICO (BLS)",IF(N195=CURSOS!$D$16,"ATENCION A VICTIMAS DE VIOLENCIA SEXUAL ",IF(N195=CURSOS!$D$17,"PROGRAMADO AMPLIADO DE INMUNIZACION (PAI - COVID 19)",IF(N195=CURSOS!$D$18,"ATENCION INTEGRAL EN ENFERMEDADES PREVALENTES EN PRIMERA INFANCIA (AIEPI)",IF(N195=CURSOS!$D$19,"ADMINISTRACION DE MEDICAMENTOS, IYECTOLOGIA  Y CANALIZACION ",IF(N195=CURSOS!$D$20,"OPERADOR DE VEHICULOS DE EMERGENCIA (OVE)",IF(N195=CURSOS!$D$21,"INSTITUCIONES AMIGAS DE LA MUJER Y LA INFANCIA (IAMI)",IF(N195=CURSOS!$D$22,"CUIDADO DEL DONANTE DE ORGANOS",IF(N195=CURSOS!$D$23,"ATENCION A VICTIMAS POR VIOLENCIA DE GENERO",IF(N195=CURSOS!$D$24,"IGUALDAD DE GENERO EN LA SALUD",IF(N195=CURSOS!$D$25,"BRIGADA DE EMERGENCIA",IF(N195=CURSOS!$D$26,"MANEJO DEL DOLOR Y CUIDADOS PALIATIVOS",IF(N195=CURSOS!$D$27,"TOMA MUESTRAS Y LABORATORIO POCT",IF(N195=CURSOS!$D$28,"IMPLANTE SUBDERMICO Y DISPOSITIVO INTRAUTERINO",IF(N195=CURSOS!$D$29,"SALUD MENTAL",IF(N195=CURSOS!$D$30,"PRIMEROS AUXILIOS PSICOLOGICOS",IF(N195=CURSOS!$D$31,"ATENCION A VICTIMAS POR CONFLICTO ARMADO",IF(N195=CURSOS!$D$32,"MANIPULACION DE ALIMENTOS Y BPM"))))))))))))))))))))))))))))))</f>
        <v>0</v>
      </c>
      <c r="U195" s="41" t="str">
        <f t="shared" si="21"/>
        <v xml:space="preserve">   </v>
      </c>
      <c r="V195" s="41" t="str">
        <f t="shared" si="22"/>
        <v xml:space="preserve">   </v>
      </c>
      <c r="W195" s="41" t="str">
        <f t="shared" si="23"/>
        <v xml:space="preserve">   --</v>
      </c>
    </row>
    <row r="196" spans="1:23" x14ac:dyDescent="0.2">
      <c r="A196" s="94">
        <v>195</v>
      </c>
      <c r="H196" s="31" t="s">
        <v>90</v>
      </c>
      <c r="T196" s="41" t="b">
        <f>IF(N196=CURSOS!$D$3,"DIPLOMADO EN ATENCION PRE-HOSPITALARIA",IF(N196=CURSOS!$D$4,"ACOMPAÑAMIENTO Y MANEJO DEL DUELO",IF(N196=CURSOS!$D$5,"ATENCION A VICTIMAS DE ATAQUE CON AGENTES QUIMICOS ",IF(N196=CURSOS!$D$6,"PRIMEROS AUXILIOS ",IF(N196=CURSOS!$D$7,"DIPLOMADO DE UNIDAD DE CUIDADOS INTENSIVOS (UCI)",IF(N196=CURSOS!$D$8,"MODELO DE ATENCION PARA EVENTOS EMERGENTES EN SALUD MENTAL (CODIGO VERDE)",IF(N196=CURSOS!$D$9,"HUMANIZACION EN SALUD, BUENAS PRACTICAS EN PACIENTE ",IF(N196=CURSOS!$D$10,"CLINICA DE HERIDAS ",IF(N196=CURSOS!$D$11,"TOMA DE CITOLOGIA A CERVICO VAGINAL ",IF(N196=CURSOS!$D$12,"SOPORTE CARDIOVASCULAR AVANZADO ",IF(N196=CURSOS!$D$13,"CAMILLERO ",IF(N196=CURSOS!$D$14,"TOMA MUESTRAS Y LABORATORIO ",IF(N196=CURSOS!$D$15,"SOPORTE VITAL BASICO (BLS)",IF(N196=CURSOS!$D$16,"ATENCION A VICTIMAS DE VIOLENCIA SEXUAL ",IF(N196=CURSOS!$D$17,"PROGRAMADO AMPLIADO DE INMUNIZACION (PAI - COVID 19)",IF(N196=CURSOS!$D$18,"ATENCION INTEGRAL EN ENFERMEDADES PREVALENTES EN PRIMERA INFANCIA (AIEPI)",IF(N196=CURSOS!$D$19,"ADMINISTRACION DE MEDICAMENTOS, IYECTOLOGIA  Y CANALIZACION ",IF(N196=CURSOS!$D$20,"OPERADOR DE VEHICULOS DE EMERGENCIA (OVE)",IF(N196=CURSOS!$D$21,"INSTITUCIONES AMIGAS DE LA MUJER Y LA INFANCIA (IAMI)",IF(N196=CURSOS!$D$22,"CUIDADO DEL DONANTE DE ORGANOS",IF(N196=CURSOS!$D$23,"ATENCION A VICTIMAS POR VIOLENCIA DE GENERO",IF(N196=CURSOS!$D$24,"IGUALDAD DE GENERO EN LA SALUD",IF(N196=CURSOS!$D$25,"BRIGADA DE EMERGENCIA",IF(N196=CURSOS!$D$26,"MANEJO DEL DOLOR Y CUIDADOS PALIATIVOS",IF(N196=CURSOS!$D$27,"TOMA MUESTRAS Y LABORATORIO POCT",IF(N196=CURSOS!$D$28,"IMPLANTE SUBDERMICO Y DISPOSITIVO INTRAUTERINO",IF(N196=CURSOS!$D$29,"SALUD MENTAL",IF(N196=CURSOS!$D$30,"PRIMEROS AUXILIOS PSICOLOGICOS",IF(N196=CURSOS!$D$31,"ATENCION A VICTIMAS POR CONFLICTO ARMADO",IF(N196=CURSOS!$D$32,"MANIPULACION DE ALIMENTOS Y BPM"))))))))))))))))))))))))))))))</f>
        <v>0</v>
      </c>
      <c r="U196" s="41" t="str">
        <f t="shared" si="21"/>
        <v xml:space="preserve">   </v>
      </c>
      <c r="V196" s="41" t="str">
        <f t="shared" si="22"/>
        <v xml:space="preserve">   </v>
      </c>
      <c r="W196" s="41" t="str">
        <f t="shared" si="23"/>
        <v xml:space="preserve">   --</v>
      </c>
    </row>
    <row r="197" spans="1:23" x14ac:dyDescent="0.2">
      <c r="A197" s="94">
        <v>196</v>
      </c>
      <c r="H197" s="31" t="s">
        <v>90</v>
      </c>
      <c r="T197" s="41" t="b">
        <f>IF(N197=CURSOS!$D$3,"DIPLOMADO EN ATENCION PRE-HOSPITALARIA",IF(N197=CURSOS!$D$4,"ACOMPAÑAMIENTO Y MANEJO DEL DUELO",IF(N197=CURSOS!$D$5,"ATENCION A VICTIMAS DE ATAQUE CON AGENTES QUIMICOS ",IF(N197=CURSOS!$D$6,"PRIMEROS AUXILIOS ",IF(N197=CURSOS!$D$7,"DIPLOMADO DE UNIDAD DE CUIDADOS INTENSIVOS (UCI)",IF(N197=CURSOS!$D$8,"MODELO DE ATENCION PARA EVENTOS EMERGENTES EN SALUD MENTAL (CODIGO VERDE)",IF(N197=CURSOS!$D$9,"HUMANIZACION EN SALUD, BUENAS PRACTICAS EN PACIENTE ",IF(N197=CURSOS!$D$10,"CLINICA DE HERIDAS ",IF(N197=CURSOS!$D$11,"TOMA DE CITOLOGIA A CERVICO VAGINAL ",IF(N197=CURSOS!$D$12,"SOPORTE CARDIOVASCULAR AVANZADO ",IF(N197=CURSOS!$D$13,"CAMILLERO ",IF(N197=CURSOS!$D$14,"TOMA MUESTRAS Y LABORATORIO ",IF(N197=CURSOS!$D$15,"SOPORTE VITAL BASICO (BLS)",IF(N197=CURSOS!$D$16,"ATENCION A VICTIMAS DE VIOLENCIA SEXUAL ",IF(N197=CURSOS!$D$17,"PROGRAMADO AMPLIADO DE INMUNIZACION (PAI - COVID 19)",IF(N197=CURSOS!$D$18,"ATENCION INTEGRAL EN ENFERMEDADES PREVALENTES EN PRIMERA INFANCIA (AIEPI)",IF(N197=CURSOS!$D$19,"ADMINISTRACION DE MEDICAMENTOS, IYECTOLOGIA  Y CANALIZACION ",IF(N197=CURSOS!$D$20,"OPERADOR DE VEHICULOS DE EMERGENCIA (OVE)",IF(N197=CURSOS!$D$21,"INSTITUCIONES AMIGAS DE LA MUJER Y LA INFANCIA (IAMI)",IF(N197=CURSOS!$D$22,"CUIDADO DEL DONANTE DE ORGANOS",IF(N197=CURSOS!$D$23,"ATENCION A VICTIMAS POR VIOLENCIA DE GENERO",IF(N197=CURSOS!$D$24,"IGUALDAD DE GENERO EN LA SALUD",IF(N197=CURSOS!$D$25,"BRIGADA DE EMERGENCIA",IF(N197=CURSOS!$D$26,"MANEJO DEL DOLOR Y CUIDADOS PALIATIVOS",IF(N197=CURSOS!$D$27,"TOMA MUESTRAS Y LABORATORIO POCT",IF(N197=CURSOS!$D$28,"IMPLANTE SUBDERMICO Y DISPOSITIVO INTRAUTERINO",IF(N197=CURSOS!$D$29,"SALUD MENTAL",IF(N197=CURSOS!$D$30,"PRIMEROS AUXILIOS PSICOLOGICOS",IF(N197=CURSOS!$D$31,"ATENCION A VICTIMAS POR CONFLICTO ARMADO",IF(N197=CURSOS!$D$32,"MANIPULACION DE ALIMENTOS Y BPM"))))))))))))))))))))))))))))))</f>
        <v>0</v>
      </c>
      <c r="U197" s="41" t="str">
        <f t="shared" si="21"/>
        <v xml:space="preserve">   </v>
      </c>
      <c r="V197" s="41" t="str">
        <f t="shared" si="22"/>
        <v xml:space="preserve">   </v>
      </c>
      <c r="W197" s="41" t="str">
        <f t="shared" si="23"/>
        <v xml:space="preserve">   --</v>
      </c>
    </row>
    <row r="198" spans="1:23" x14ac:dyDescent="0.2">
      <c r="A198" s="94">
        <v>197</v>
      </c>
      <c r="H198" s="31" t="s">
        <v>90</v>
      </c>
      <c r="T198" s="41" t="b">
        <f>IF(N198=CURSOS!$D$3,"DIPLOMADO EN ATENCION PRE-HOSPITALARIA",IF(N198=CURSOS!$D$4,"ACOMPAÑAMIENTO Y MANEJO DEL DUELO",IF(N198=CURSOS!$D$5,"ATENCION A VICTIMAS DE ATAQUE CON AGENTES QUIMICOS ",IF(N198=CURSOS!$D$6,"PRIMEROS AUXILIOS ",IF(N198=CURSOS!$D$7,"DIPLOMADO DE UNIDAD DE CUIDADOS INTENSIVOS (UCI)",IF(N198=CURSOS!$D$8,"MODELO DE ATENCION PARA EVENTOS EMERGENTES EN SALUD MENTAL (CODIGO VERDE)",IF(N198=CURSOS!$D$9,"HUMANIZACION EN SALUD, BUENAS PRACTICAS EN PACIENTE ",IF(N198=CURSOS!$D$10,"CLINICA DE HERIDAS ",IF(N198=CURSOS!$D$11,"TOMA DE CITOLOGIA A CERVICO VAGINAL ",IF(N198=CURSOS!$D$12,"SOPORTE CARDIOVASCULAR AVANZADO ",IF(N198=CURSOS!$D$13,"CAMILLERO ",IF(N198=CURSOS!$D$14,"TOMA MUESTRAS Y LABORATORIO ",IF(N198=CURSOS!$D$15,"SOPORTE VITAL BASICO (BLS)",IF(N198=CURSOS!$D$16,"ATENCION A VICTIMAS DE VIOLENCIA SEXUAL ",IF(N198=CURSOS!$D$17,"PROGRAMADO AMPLIADO DE INMUNIZACION (PAI - COVID 19)",IF(N198=CURSOS!$D$18,"ATENCION INTEGRAL EN ENFERMEDADES PREVALENTES EN PRIMERA INFANCIA (AIEPI)",IF(N198=CURSOS!$D$19,"ADMINISTRACION DE MEDICAMENTOS, IYECTOLOGIA  Y CANALIZACION ",IF(N198=CURSOS!$D$20,"OPERADOR DE VEHICULOS DE EMERGENCIA (OVE)",IF(N198=CURSOS!$D$21,"INSTITUCIONES AMIGAS DE LA MUJER Y LA INFANCIA (IAMI)",IF(N198=CURSOS!$D$22,"CUIDADO DEL DONANTE DE ORGANOS",IF(N198=CURSOS!$D$23,"ATENCION A VICTIMAS POR VIOLENCIA DE GENERO",IF(N198=CURSOS!$D$24,"IGUALDAD DE GENERO EN LA SALUD",IF(N198=CURSOS!$D$25,"BRIGADA DE EMERGENCIA",IF(N198=CURSOS!$D$26,"MANEJO DEL DOLOR Y CUIDADOS PALIATIVOS",IF(N198=CURSOS!$D$27,"TOMA MUESTRAS Y LABORATORIO POCT",IF(N198=CURSOS!$D$28,"IMPLANTE SUBDERMICO Y DISPOSITIVO INTRAUTERINO",IF(N198=CURSOS!$D$29,"SALUD MENTAL",IF(N198=CURSOS!$D$30,"PRIMEROS AUXILIOS PSICOLOGICOS",IF(N198=CURSOS!$D$31,"ATENCION A VICTIMAS POR CONFLICTO ARMADO",IF(N198=CURSOS!$D$32,"MANIPULACION DE ALIMENTOS Y BPM"))))))))))))))))))))))))))))))</f>
        <v>0</v>
      </c>
      <c r="U198" s="41" t="str">
        <f t="shared" si="21"/>
        <v xml:space="preserve">   </v>
      </c>
      <c r="V198" s="41" t="str">
        <f t="shared" si="22"/>
        <v xml:space="preserve">   </v>
      </c>
      <c r="W198" s="41" t="str">
        <f t="shared" si="23"/>
        <v xml:space="preserve">   --</v>
      </c>
    </row>
    <row r="199" spans="1:23" x14ac:dyDescent="0.2">
      <c r="A199" s="94">
        <v>198</v>
      </c>
      <c r="H199" s="31" t="s">
        <v>90</v>
      </c>
      <c r="S199" s="79"/>
      <c r="T199" s="41" t="b">
        <f>IF(N199=CURSOS!$D$3,"DIPLOMADO EN ATENCION PRE-HOSPITALARIA",IF(N199=CURSOS!$D$4,"ACOMPAÑAMIENTO Y MANEJO DEL DUELO",IF(N199=CURSOS!$D$5,"ATENCION A VICTIMAS DE ATAQUE CON AGENTES QUIMICOS ",IF(N199=CURSOS!$D$6,"PRIMEROS AUXILIOS ",IF(N199=CURSOS!$D$7,"DIPLOMADO DE UNIDAD DE CUIDADOS INTENSIVOS (UCI)",IF(N199=CURSOS!$D$8,"MODELO DE ATENCION PARA EVENTOS EMERGENTES EN SALUD MENTAL (CODIGO VERDE)",IF(N199=CURSOS!$D$9,"HUMANIZACION EN SALUD, BUENAS PRACTICAS EN PACIENTE ",IF(N199=CURSOS!$D$10,"CLINICA DE HERIDAS ",IF(N199=CURSOS!$D$11,"TOMA DE CITOLOGIA A CERVICO VAGINAL ",IF(N199=CURSOS!$D$12,"SOPORTE CARDIOVASCULAR AVANZADO ",IF(N199=CURSOS!$D$13,"CAMILLERO ",IF(N199=CURSOS!$D$14,"TOMA MUESTRAS Y LABORATORIO ",IF(N199=CURSOS!$D$15,"SOPORTE VITAL BASICO (BLS)",IF(N199=CURSOS!$D$16,"ATENCION A VICTIMAS DE VIOLENCIA SEXUAL ",IF(N199=CURSOS!$D$17,"PROGRAMADO AMPLIADO DE INMUNIZACION (PAI - COVID 19)",IF(N199=CURSOS!$D$18,"ATENCION INTEGRAL EN ENFERMEDADES PREVALENTES EN PRIMERA INFANCIA (AIEPI)",IF(N199=CURSOS!$D$19,"ADMINISTRACION DE MEDICAMENTOS, IYECTOLOGIA  Y CANALIZACION ",IF(N199=CURSOS!$D$20,"OPERADOR DE VEHICULOS DE EMERGENCIA (OVE)",IF(N199=CURSOS!$D$21,"INSTITUCIONES AMIGAS DE LA MUJER Y LA INFANCIA (IAMI)",IF(N199=CURSOS!$D$22,"CUIDADO DEL DONANTE DE ORGANOS",IF(N199=CURSOS!$D$23,"ATENCION A VICTIMAS POR VIOLENCIA DE GENERO",IF(N199=CURSOS!$D$24,"IGUALDAD DE GENERO EN LA SALUD",IF(N199=CURSOS!$D$25,"BRIGADA DE EMERGENCIA",IF(N199=CURSOS!$D$26,"MANEJO DEL DOLOR Y CUIDADOS PALIATIVOS",IF(N199=CURSOS!$D$27,"TOMA MUESTRAS Y LABORATORIO POCT",IF(N199=CURSOS!$D$28,"IMPLANTE SUBDERMICO Y DISPOSITIVO INTRAUTERINO",IF(N199=CURSOS!$D$29,"SALUD MENTAL",IF(N199=CURSOS!$D$30,"PRIMEROS AUXILIOS PSICOLOGICOS",IF(N199=CURSOS!$D$31,"ATENCION A VICTIMAS POR CONFLICTO ARMADO",IF(N199=CURSOS!$D$32,"MANIPULACION DE ALIMENTOS Y BPM"))))))))))))))))))))))))))))))</f>
        <v>0</v>
      </c>
      <c r="U199" s="41" t="str">
        <f t="shared" si="21"/>
        <v xml:space="preserve">   </v>
      </c>
      <c r="V199" s="41" t="str">
        <f t="shared" si="22"/>
        <v xml:space="preserve">   </v>
      </c>
      <c r="W199" s="41" t="str">
        <f t="shared" si="23"/>
        <v xml:space="preserve">   --</v>
      </c>
    </row>
    <row r="200" spans="1:23" x14ac:dyDescent="0.2">
      <c r="A200" s="94">
        <v>199</v>
      </c>
      <c r="H200" s="31" t="s">
        <v>90</v>
      </c>
      <c r="S200" s="79"/>
      <c r="T200" s="41" t="b">
        <f>IF(N200=CURSOS!$D$3,"DIPLOMADO EN ATENCION PRE-HOSPITALARIA",IF(N200=CURSOS!$D$4,"ACOMPAÑAMIENTO Y MANEJO DEL DUELO",IF(N200=CURSOS!$D$5,"ATENCION A VICTIMAS DE ATAQUE CON AGENTES QUIMICOS ",IF(N200=CURSOS!$D$6,"PRIMEROS AUXILIOS ",IF(N200=CURSOS!$D$7,"DIPLOMADO DE UNIDAD DE CUIDADOS INTENSIVOS (UCI)",IF(N200=CURSOS!$D$8,"MODELO DE ATENCION PARA EVENTOS EMERGENTES EN SALUD MENTAL (CODIGO VERDE)",IF(N200=CURSOS!$D$9,"HUMANIZACION EN SALUD, BUENAS PRACTICAS EN PACIENTE ",IF(N200=CURSOS!$D$10,"CLINICA DE HERIDAS ",IF(N200=CURSOS!$D$11,"TOMA DE CITOLOGIA A CERVICO VAGINAL ",IF(N200=CURSOS!$D$12,"SOPORTE CARDIOVASCULAR AVANZADO ",IF(N200=CURSOS!$D$13,"CAMILLERO ",IF(N200=CURSOS!$D$14,"TOMA MUESTRAS Y LABORATORIO ",IF(N200=CURSOS!$D$15,"SOPORTE VITAL BASICO (BLS)",IF(N200=CURSOS!$D$16,"ATENCION A VICTIMAS DE VIOLENCIA SEXUAL ",IF(N200=CURSOS!$D$17,"PROGRAMADO AMPLIADO DE INMUNIZACION (PAI - COVID 19)",IF(N200=CURSOS!$D$18,"ATENCION INTEGRAL EN ENFERMEDADES PREVALENTES EN PRIMERA INFANCIA (AIEPI)",IF(N200=CURSOS!$D$19,"ADMINISTRACION DE MEDICAMENTOS, IYECTOLOGIA  Y CANALIZACION ",IF(N200=CURSOS!$D$20,"OPERADOR DE VEHICULOS DE EMERGENCIA (OVE)",IF(N200=CURSOS!$D$21,"INSTITUCIONES AMIGAS DE LA MUJER Y LA INFANCIA (IAMI)",IF(N200=CURSOS!$D$22,"CUIDADO DEL DONANTE DE ORGANOS",IF(N200=CURSOS!$D$23,"ATENCION A VICTIMAS POR VIOLENCIA DE GENERO",IF(N200=CURSOS!$D$24,"IGUALDAD DE GENERO EN LA SALUD",IF(N200=CURSOS!$D$25,"BRIGADA DE EMERGENCIA",IF(N200=CURSOS!$D$26,"MANEJO DEL DOLOR Y CUIDADOS PALIATIVOS",IF(N200=CURSOS!$D$27,"TOMA MUESTRAS Y LABORATORIO POCT",IF(N200=CURSOS!$D$28,"IMPLANTE SUBDERMICO Y DISPOSITIVO INTRAUTERINO",IF(N200=CURSOS!$D$29,"SALUD MENTAL",IF(N200=CURSOS!$D$30,"PRIMEROS AUXILIOS PSICOLOGICOS",IF(N200=CURSOS!$D$31,"ATENCION A VICTIMAS POR CONFLICTO ARMADO",IF(N200=CURSOS!$D$32,"MANIPULACION DE ALIMENTOS Y BPM"))))))))))))))))))))))))))))))</f>
        <v>0</v>
      </c>
      <c r="U200" s="41" t="str">
        <f t="shared" si="21"/>
        <v xml:space="preserve">   </v>
      </c>
      <c r="V200" s="41" t="str">
        <f t="shared" si="22"/>
        <v xml:space="preserve">   </v>
      </c>
      <c r="W200" s="41" t="str">
        <f t="shared" si="23"/>
        <v xml:space="preserve">   --</v>
      </c>
    </row>
    <row r="201" spans="1:23" x14ac:dyDescent="0.2">
      <c r="A201" s="94">
        <v>200</v>
      </c>
      <c r="H201" s="31" t="s">
        <v>90</v>
      </c>
      <c r="S201" s="79"/>
      <c r="T201" s="41" t="b">
        <f>IF(N201=CURSOS!$D$3,"DIPLOMADO EN ATENCION PRE-HOSPITALARIA",IF(N201=CURSOS!$D$4,"ACOMPAÑAMIENTO Y MANEJO DEL DUELO",IF(N201=CURSOS!$D$5,"ATENCION A VICTIMAS DE ATAQUE CON AGENTES QUIMICOS ",IF(N201=CURSOS!$D$6,"PRIMEROS AUXILIOS ",IF(N201=CURSOS!$D$7,"DIPLOMADO DE UNIDAD DE CUIDADOS INTENSIVOS (UCI)",IF(N201=CURSOS!$D$8,"MODELO DE ATENCION PARA EVENTOS EMERGENTES EN SALUD MENTAL (CODIGO VERDE)",IF(N201=CURSOS!$D$9,"HUMANIZACION EN SALUD, BUENAS PRACTICAS EN PACIENTE ",IF(N201=CURSOS!$D$10,"CLINICA DE HERIDAS ",IF(N201=CURSOS!$D$11,"TOMA DE CITOLOGIA A CERVICO VAGINAL ",IF(N201=CURSOS!$D$12,"SOPORTE CARDIOVASCULAR AVANZADO ",IF(N201=CURSOS!$D$13,"CAMILLERO ",IF(N201=CURSOS!$D$14,"TOMA MUESTRAS Y LABORATORIO ",IF(N201=CURSOS!$D$15,"SOPORTE VITAL BASICO (BLS)",IF(N201=CURSOS!$D$16,"ATENCION A VICTIMAS DE VIOLENCIA SEXUAL ",IF(N201=CURSOS!$D$17,"PROGRAMADO AMPLIADO DE INMUNIZACION (PAI - COVID 19)",IF(N201=CURSOS!$D$18,"ATENCION INTEGRAL EN ENFERMEDADES PREVALENTES EN PRIMERA INFANCIA (AIEPI)",IF(N201=CURSOS!$D$19,"ADMINISTRACION DE MEDICAMENTOS, IYECTOLOGIA  Y CANALIZACION ",IF(N201=CURSOS!$D$20,"OPERADOR DE VEHICULOS DE EMERGENCIA (OVE)",IF(N201=CURSOS!$D$21,"INSTITUCIONES AMIGAS DE LA MUJER Y LA INFANCIA (IAMI)",IF(N201=CURSOS!$D$22,"CUIDADO DEL DONANTE DE ORGANOS",IF(N201=CURSOS!$D$23,"ATENCION A VICTIMAS POR VIOLENCIA DE GENERO",IF(N201=CURSOS!$D$24,"IGUALDAD DE GENERO EN LA SALUD",IF(N201=CURSOS!$D$25,"BRIGADA DE EMERGENCIA",IF(N201=CURSOS!$D$26,"MANEJO DEL DOLOR Y CUIDADOS PALIATIVOS",IF(N201=CURSOS!$D$27,"TOMA MUESTRAS Y LABORATORIO POCT",IF(N201=CURSOS!$D$28,"IMPLANTE SUBDERMICO Y DISPOSITIVO INTRAUTERINO",IF(N201=CURSOS!$D$29,"SALUD MENTAL",IF(N201=CURSOS!$D$30,"PRIMEROS AUXILIOS PSICOLOGICOS",IF(N201=CURSOS!$D$31,"ATENCION A VICTIMAS POR CONFLICTO ARMADO",IF(N201=CURSOS!$D$32,"MANIPULACION DE ALIMENTOS Y BPM"))))))))))))))))))))))))))))))</f>
        <v>0</v>
      </c>
      <c r="U201" s="41" t="str">
        <f t="shared" si="21"/>
        <v xml:space="preserve">   </v>
      </c>
      <c r="V201" s="41" t="str">
        <f t="shared" si="22"/>
        <v xml:space="preserve">   </v>
      </c>
      <c r="W201" s="41" t="str">
        <f t="shared" si="23"/>
        <v xml:space="preserve">   --</v>
      </c>
    </row>
    <row r="202" spans="1:23" x14ac:dyDescent="0.2">
      <c r="A202" s="94">
        <v>201</v>
      </c>
      <c r="H202" s="31" t="s">
        <v>90</v>
      </c>
      <c r="S202" s="79"/>
      <c r="T202" s="41" t="b">
        <f>IF(N202=CURSOS!$D$3,"DIPLOMADO EN ATENCION PRE-HOSPITALARIA",IF(N202=CURSOS!$D$4,"ACOMPAÑAMIENTO Y MANEJO DEL DUELO",IF(N202=CURSOS!$D$5,"ATENCION A VICTIMAS DE ATAQUE CON AGENTES QUIMICOS ",IF(N202=CURSOS!$D$6,"PRIMEROS AUXILIOS ",IF(N202=CURSOS!$D$7,"DIPLOMADO DE UNIDAD DE CUIDADOS INTENSIVOS (UCI)",IF(N202=CURSOS!$D$8,"MODELO DE ATENCION PARA EVENTOS EMERGENTES EN SALUD MENTAL (CODIGO VERDE)",IF(N202=CURSOS!$D$9,"HUMANIZACION EN SALUD, BUENAS PRACTICAS EN PACIENTE ",IF(N202=CURSOS!$D$10,"CLINICA DE HERIDAS ",IF(N202=CURSOS!$D$11,"TOMA DE CITOLOGIA A CERVICO VAGINAL ",IF(N202=CURSOS!$D$12,"SOPORTE CARDIOVASCULAR AVANZADO ",IF(N202=CURSOS!$D$13,"CAMILLERO ",IF(N202=CURSOS!$D$14,"TOMA MUESTRAS Y LABORATORIO ",IF(N202=CURSOS!$D$15,"SOPORTE VITAL BASICO (BLS)",IF(N202=CURSOS!$D$16,"ATENCION A VICTIMAS DE VIOLENCIA SEXUAL ",IF(N202=CURSOS!$D$17,"PROGRAMADO AMPLIADO DE INMUNIZACION (PAI - COVID 19)",IF(N202=CURSOS!$D$18,"ATENCION INTEGRAL EN ENFERMEDADES PREVALENTES EN PRIMERA INFANCIA (AIEPI)",IF(N202=CURSOS!$D$19,"ADMINISTRACION DE MEDICAMENTOS, IYECTOLOGIA  Y CANALIZACION ",IF(N202=CURSOS!$D$20,"OPERADOR DE VEHICULOS DE EMERGENCIA (OVE)",IF(N202=CURSOS!$D$21,"INSTITUCIONES AMIGAS DE LA MUJER Y LA INFANCIA (IAMI)",IF(N202=CURSOS!$D$22,"CUIDADO DEL DONANTE DE ORGANOS",IF(N202=CURSOS!$D$23,"ATENCION A VICTIMAS POR VIOLENCIA DE GENERO",IF(N202=CURSOS!$D$24,"IGUALDAD DE GENERO EN LA SALUD",IF(N202=CURSOS!$D$25,"BRIGADA DE EMERGENCIA",IF(N202=CURSOS!$D$26,"MANEJO DEL DOLOR Y CUIDADOS PALIATIVOS",IF(N202=CURSOS!$D$27,"TOMA MUESTRAS Y LABORATORIO POCT",IF(N202=CURSOS!$D$28,"IMPLANTE SUBDERMICO Y DISPOSITIVO INTRAUTERINO",IF(N202=CURSOS!$D$29,"SALUD MENTAL",IF(N202=CURSOS!$D$30,"PRIMEROS AUXILIOS PSICOLOGICOS",IF(N202=CURSOS!$D$31,"ATENCION A VICTIMAS POR CONFLICTO ARMADO",IF(N202=CURSOS!$D$32,"MANIPULACION DE ALIMENTOS Y BPM"))))))))))))))))))))))))))))))</f>
        <v>0</v>
      </c>
      <c r="U202" s="41" t="str">
        <f t="shared" si="21"/>
        <v xml:space="preserve">   </v>
      </c>
      <c r="V202" s="41" t="str">
        <f t="shared" si="22"/>
        <v xml:space="preserve">   </v>
      </c>
      <c r="W202" s="41" t="str">
        <f t="shared" si="23"/>
        <v xml:space="preserve">   --</v>
      </c>
    </row>
    <row r="203" spans="1:23" x14ac:dyDescent="0.2">
      <c r="A203" s="94">
        <v>202</v>
      </c>
      <c r="H203" s="31" t="s">
        <v>90</v>
      </c>
      <c r="T203" s="41" t="b">
        <f>IF(N203=CURSOS!$D$3,"DIPLOMADO EN ATENCION PRE-HOSPITALARIA",IF(N203=CURSOS!$D$4,"ACOMPAÑAMIENTO Y MANEJO DEL DUELO",IF(N203=CURSOS!$D$5,"ATENCION A VICTIMAS DE ATAQUE CON AGENTES QUIMICOS ",IF(N203=CURSOS!$D$6,"PRIMEROS AUXILIOS ",IF(N203=CURSOS!$D$7,"DIPLOMADO DE UNIDAD DE CUIDADOS INTENSIVOS (UCI)",IF(N203=CURSOS!$D$8,"MODELO DE ATENCION PARA EVENTOS EMERGENTES EN SALUD MENTAL (CODIGO VERDE)",IF(N203=CURSOS!$D$9,"HUMANIZACION EN SALUD, BUENAS PRACTICAS EN PACIENTE ",IF(N203=CURSOS!$D$10,"CLINICA DE HERIDAS ",IF(N203=CURSOS!$D$11,"TOMA DE CITOLOGIA A CERVICO VAGINAL ",IF(N203=CURSOS!$D$12,"SOPORTE CARDIOVASCULAR AVANZADO ",IF(N203=CURSOS!$D$13,"CAMILLERO ",IF(N203=CURSOS!$D$14,"TOMA MUESTRAS Y LABORATORIO ",IF(N203=CURSOS!$D$15,"SOPORTE VITAL BASICO (BLS)",IF(N203=CURSOS!$D$16,"ATENCION A VICTIMAS DE VIOLENCIA SEXUAL ",IF(N203=CURSOS!$D$17,"PROGRAMADO AMPLIADO DE INMUNIZACION (PAI - COVID 19)",IF(N203=CURSOS!$D$18,"ATENCION INTEGRAL EN ENFERMEDADES PREVALENTES EN PRIMERA INFANCIA (AIEPI)",IF(N203=CURSOS!$D$19,"ADMINISTRACION DE MEDICAMENTOS, IYECTOLOGIA  Y CANALIZACION ",IF(N203=CURSOS!$D$20,"OPERADOR DE VEHICULOS DE EMERGENCIA (OVE)",IF(N203=CURSOS!$D$21,"INSTITUCIONES AMIGAS DE LA MUJER Y LA INFANCIA (IAMI)",IF(N203=CURSOS!$D$22,"CUIDADO DEL DONANTE DE ORGANOS",IF(N203=CURSOS!$D$23,"ATENCION A VICTIMAS POR VIOLENCIA DE GENERO",IF(N203=CURSOS!$D$24,"IGUALDAD DE GENERO EN LA SALUD",IF(N203=CURSOS!$D$25,"BRIGADA DE EMERGENCIA",IF(N203=CURSOS!$D$26,"MANEJO DEL DOLOR Y CUIDADOS PALIATIVOS",IF(N203=CURSOS!$D$27,"TOMA MUESTRAS Y LABORATORIO POCT",IF(N203=CURSOS!$D$28,"IMPLANTE SUBDERMICO Y DISPOSITIVO INTRAUTERINO",IF(N203=CURSOS!$D$29,"SALUD MENTAL",IF(N203=CURSOS!$D$30,"PRIMEROS AUXILIOS PSICOLOGICOS",IF(N203=CURSOS!$D$31,"ATENCION A VICTIMAS POR CONFLICTO ARMADO",IF(N203=CURSOS!$D$32,"MANIPULACION DE ALIMENTOS Y BPM"))))))))))))))))))))))))))))))</f>
        <v>0</v>
      </c>
      <c r="U203" s="41" t="str">
        <f t="shared" si="21"/>
        <v xml:space="preserve">   </v>
      </c>
      <c r="V203" s="41" t="str">
        <f t="shared" si="22"/>
        <v xml:space="preserve">   </v>
      </c>
      <c r="W203" s="41" t="str">
        <f t="shared" si="23"/>
        <v xml:space="preserve">   --</v>
      </c>
    </row>
    <row r="204" spans="1:23" x14ac:dyDescent="0.2">
      <c r="A204" s="94">
        <v>203</v>
      </c>
      <c r="H204" s="31" t="s">
        <v>90</v>
      </c>
      <c r="T204" s="41" t="b">
        <f>IF(N204=CURSOS!$D$3,"DIPLOMADO EN ATENCION PRE-HOSPITALARIA",IF(N204=CURSOS!$D$4,"ACOMPAÑAMIENTO Y MANEJO DEL DUELO",IF(N204=CURSOS!$D$5,"ATENCION A VICTIMAS DE ATAQUE CON AGENTES QUIMICOS ",IF(N204=CURSOS!$D$6,"PRIMEROS AUXILIOS ",IF(N204=CURSOS!$D$7,"DIPLOMADO DE UNIDAD DE CUIDADOS INTENSIVOS (UCI)",IF(N204=CURSOS!$D$8,"MODELO DE ATENCION PARA EVENTOS EMERGENTES EN SALUD MENTAL (CODIGO VERDE)",IF(N204=CURSOS!$D$9,"HUMANIZACION EN SALUD, BUENAS PRACTICAS EN PACIENTE ",IF(N204=CURSOS!$D$10,"CLINICA DE HERIDAS ",IF(N204=CURSOS!$D$11,"TOMA DE CITOLOGIA A CERVICO VAGINAL ",IF(N204=CURSOS!$D$12,"SOPORTE CARDIOVASCULAR AVANZADO ",IF(N204=CURSOS!$D$13,"CAMILLERO ",IF(N204=CURSOS!$D$14,"TOMA MUESTRAS Y LABORATORIO ",IF(N204=CURSOS!$D$15,"SOPORTE VITAL BASICO (BLS)",IF(N204=CURSOS!$D$16,"ATENCION A VICTIMAS DE VIOLENCIA SEXUAL ",IF(N204=CURSOS!$D$17,"PROGRAMADO AMPLIADO DE INMUNIZACION (PAI - COVID 19)",IF(N204=CURSOS!$D$18,"ATENCION INTEGRAL EN ENFERMEDADES PREVALENTES EN PRIMERA INFANCIA (AIEPI)",IF(N204=CURSOS!$D$19,"ADMINISTRACION DE MEDICAMENTOS, IYECTOLOGIA  Y CANALIZACION ",IF(N204=CURSOS!$D$20,"OPERADOR DE VEHICULOS DE EMERGENCIA (OVE)",IF(N204=CURSOS!$D$21,"INSTITUCIONES AMIGAS DE LA MUJER Y LA INFANCIA (IAMI)",IF(N204=CURSOS!$D$22,"CUIDADO DEL DONANTE DE ORGANOS",IF(N204=CURSOS!$D$23,"ATENCION A VICTIMAS POR VIOLENCIA DE GENERO",IF(N204=CURSOS!$D$24,"IGUALDAD DE GENERO EN LA SALUD",IF(N204=CURSOS!$D$25,"BRIGADA DE EMERGENCIA",IF(N204=CURSOS!$D$26,"MANEJO DEL DOLOR Y CUIDADOS PALIATIVOS",IF(N204=CURSOS!$D$27,"TOMA MUESTRAS Y LABORATORIO POCT",IF(N204=CURSOS!$D$28,"IMPLANTE SUBDERMICO Y DISPOSITIVO INTRAUTERINO",IF(N204=CURSOS!$D$29,"SALUD MENTAL",IF(N204=CURSOS!$D$30,"PRIMEROS AUXILIOS PSICOLOGICOS",IF(N204=CURSOS!$D$31,"ATENCION A VICTIMAS POR CONFLICTO ARMADO",IF(N204=CURSOS!$D$32,"MANIPULACION DE ALIMENTOS Y BPM"))))))))))))))))))))))))))))))</f>
        <v>0</v>
      </c>
      <c r="U204" s="41" t="str">
        <f t="shared" ref="U204:U267" si="24">CONCATENATE(E204," ",F204," ",C204," ",D204)</f>
        <v xml:space="preserve">   </v>
      </c>
      <c r="V204" s="41" t="str">
        <f t="shared" ref="V204:V267" si="25">+PROPER(U204)</f>
        <v xml:space="preserve">   </v>
      </c>
      <c r="W204" s="41" t="str">
        <f t="shared" si="23"/>
        <v xml:space="preserve">   --</v>
      </c>
    </row>
    <row r="205" spans="1:23" x14ac:dyDescent="0.2">
      <c r="A205" s="94">
        <v>204</v>
      </c>
      <c r="H205" s="31" t="s">
        <v>90</v>
      </c>
      <c r="T205" s="41" t="b">
        <f>IF(N205=CURSOS!$D$3,"DIPLOMADO EN ATENCION PRE-HOSPITALARIA",IF(N205=CURSOS!$D$4,"ACOMPAÑAMIENTO Y MANEJO DEL DUELO",IF(N205=CURSOS!$D$5,"ATENCION A VICTIMAS DE ATAQUE CON AGENTES QUIMICOS ",IF(N205=CURSOS!$D$6,"PRIMEROS AUXILIOS ",IF(N205=CURSOS!$D$7,"DIPLOMADO DE UNIDAD DE CUIDADOS INTENSIVOS (UCI)",IF(N205=CURSOS!$D$8,"MODELO DE ATENCION PARA EVENTOS EMERGENTES EN SALUD MENTAL (CODIGO VERDE)",IF(N205=CURSOS!$D$9,"HUMANIZACION EN SALUD, BUENAS PRACTICAS EN PACIENTE ",IF(N205=CURSOS!$D$10,"CLINICA DE HERIDAS ",IF(N205=CURSOS!$D$11,"TOMA DE CITOLOGIA A CERVICO VAGINAL ",IF(N205=CURSOS!$D$12,"SOPORTE CARDIOVASCULAR AVANZADO ",IF(N205=CURSOS!$D$13,"CAMILLERO ",IF(N205=CURSOS!$D$14,"TOMA MUESTRAS Y LABORATORIO ",IF(N205=CURSOS!$D$15,"SOPORTE VITAL BASICO (BLS)",IF(N205=CURSOS!$D$16,"ATENCION A VICTIMAS DE VIOLENCIA SEXUAL ",IF(N205=CURSOS!$D$17,"PROGRAMADO AMPLIADO DE INMUNIZACION (PAI - COVID 19)",IF(N205=CURSOS!$D$18,"ATENCION INTEGRAL EN ENFERMEDADES PREVALENTES EN PRIMERA INFANCIA (AIEPI)",IF(N205=CURSOS!$D$19,"ADMINISTRACION DE MEDICAMENTOS, IYECTOLOGIA  Y CANALIZACION ",IF(N205=CURSOS!$D$20,"OPERADOR DE VEHICULOS DE EMERGENCIA (OVE)",IF(N205=CURSOS!$D$21,"INSTITUCIONES AMIGAS DE LA MUJER Y LA INFANCIA (IAMI)",IF(N205=CURSOS!$D$22,"CUIDADO DEL DONANTE DE ORGANOS",IF(N205=CURSOS!$D$23,"ATENCION A VICTIMAS POR VIOLENCIA DE GENERO",IF(N205=CURSOS!$D$24,"IGUALDAD DE GENERO EN LA SALUD",IF(N205=CURSOS!$D$25,"BRIGADA DE EMERGENCIA",IF(N205=CURSOS!$D$26,"MANEJO DEL DOLOR Y CUIDADOS PALIATIVOS",IF(N205=CURSOS!$D$27,"TOMA MUESTRAS Y LABORATORIO POCT",IF(N205=CURSOS!$D$28,"IMPLANTE SUBDERMICO Y DISPOSITIVO INTRAUTERINO",IF(N205=CURSOS!$D$29,"SALUD MENTAL",IF(N205=CURSOS!$D$30,"PRIMEROS AUXILIOS PSICOLOGICOS",IF(N205=CURSOS!$D$31,"ATENCION A VICTIMAS POR CONFLICTO ARMADO",IF(N205=CURSOS!$D$32,"MANIPULACION DE ALIMENTOS Y BPM"))))))))))))))))))))))))))))))</f>
        <v>0</v>
      </c>
      <c r="U205" s="41" t="str">
        <f t="shared" si="24"/>
        <v xml:space="preserve">   </v>
      </c>
      <c r="V205" s="41" t="str">
        <f t="shared" si="25"/>
        <v xml:space="preserve">   </v>
      </c>
      <c r="W205" s="41" t="str">
        <f t="shared" si="23"/>
        <v xml:space="preserve">   --</v>
      </c>
    </row>
    <row r="206" spans="1:23" x14ac:dyDescent="0.2">
      <c r="A206" s="94">
        <v>205</v>
      </c>
      <c r="H206" s="31" t="s">
        <v>90</v>
      </c>
      <c r="T206" s="41" t="b">
        <f>IF(N206=CURSOS!$D$3,"DIPLOMADO EN ATENCION PRE-HOSPITALARIA",IF(N206=CURSOS!$D$4,"ACOMPAÑAMIENTO Y MANEJO DEL DUELO",IF(N206=CURSOS!$D$5,"ATENCION A VICTIMAS DE ATAQUE CON AGENTES QUIMICOS ",IF(N206=CURSOS!$D$6,"PRIMEROS AUXILIOS ",IF(N206=CURSOS!$D$7,"DIPLOMADO DE UNIDAD DE CUIDADOS INTENSIVOS (UCI)",IF(N206=CURSOS!$D$8,"MODELO DE ATENCION PARA EVENTOS EMERGENTES EN SALUD MENTAL (CODIGO VERDE)",IF(N206=CURSOS!$D$9,"HUMANIZACION EN SALUD, BUENAS PRACTICAS EN PACIENTE ",IF(N206=CURSOS!$D$10,"CLINICA DE HERIDAS ",IF(N206=CURSOS!$D$11,"TOMA DE CITOLOGIA A CERVICO VAGINAL ",IF(N206=CURSOS!$D$12,"SOPORTE CARDIOVASCULAR AVANZADO ",IF(N206=CURSOS!$D$13,"CAMILLERO ",IF(N206=CURSOS!$D$14,"TOMA MUESTRAS Y LABORATORIO ",IF(N206=CURSOS!$D$15,"SOPORTE VITAL BASICO (BLS)",IF(N206=CURSOS!$D$16,"ATENCION A VICTIMAS DE VIOLENCIA SEXUAL ",IF(N206=CURSOS!$D$17,"PROGRAMADO AMPLIADO DE INMUNIZACION (PAI - COVID 19)",IF(N206=CURSOS!$D$18,"ATENCION INTEGRAL EN ENFERMEDADES PREVALENTES EN PRIMERA INFANCIA (AIEPI)",IF(N206=CURSOS!$D$19,"ADMINISTRACION DE MEDICAMENTOS, IYECTOLOGIA  Y CANALIZACION ",IF(N206=CURSOS!$D$20,"OPERADOR DE VEHICULOS DE EMERGENCIA (OVE)",IF(N206=CURSOS!$D$21,"INSTITUCIONES AMIGAS DE LA MUJER Y LA INFANCIA (IAMI)",IF(N206=CURSOS!$D$22,"CUIDADO DEL DONANTE DE ORGANOS",IF(N206=CURSOS!$D$23,"ATENCION A VICTIMAS POR VIOLENCIA DE GENERO",IF(N206=CURSOS!$D$24,"IGUALDAD DE GENERO EN LA SALUD",IF(N206=CURSOS!$D$25,"BRIGADA DE EMERGENCIA",IF(N206=CURSOS!$D$26,"MANEJO DEL DOLOR Y CUIDADOS PALIATIVOS",IF(N206=CURSOS!$D$27,"TOMA MUESTRAS Y LABORATORIO POCT",IF(N206=CURSOS!$D$28,"IMPLANTE SUBDERMICO Y DISPOSITIVO INTRAUTERINO",IF(N206=CURSOS!$D$29,"SALUD MENTAL",IF(N206=CURSOS!$D$30,"PRIMEROS AUXILIOS PSICOLOGICOS",IF(N206=CURSOS!$D$31,"ATENCION A VICTIMAS POR CONFLICTO ARMADO",IF(N206=CURSOS!$D$32,"MANIPULACION DE ALIMENTOS Y BPM"))))))))))))))))))))))))))))))</f>
        <v>0</v>
      </c>
      <c r="U206" s="41" t="str">
        <f t="shared" si="24"/>
        <v xml:space="preserve">   </v>
      </c>
      <c r="V206" s="41" t="str">
        <f t="shared" si="25"/>
        <v xml:space="preserve">   </v>
      </c>
      <c r="W206" s="41" t="str">
        <f t="shared" si="23"/>
        <v xml:space="preserve">   --</v>
      </c>
    </row>
    <row r="207" spans="1:23" x14ac:dyDescent="0.2">
      <c r="A207" s="94">
        <v>206</v>
      </c>
      <c r="H207" s="31" t="s">
        <v>90</v>
      </c>
      <c r="T207" s="41" t="b">
        <f>IF(N207=CURSOS!$D$3,"DIPLOMADO EN ATENCION PRE-HOSPITALARIA",IF(N207=CURSOS!$D$4,"ACOMPAÑAMIENTO Y MANEJO DEL DUELO",IF(N207=CURSOS!$D$5,"ATENCION A VICTIMAS DE ATAQUE CON AGENTES QUIMICOS ",IF(N207=CURSOS!$D$6,"PRIMEROS AUXILIOS ",IF(N207=CURSOS!$D$7,"DIPLOMADO DE UNIDAD DE CUIDADOS INTENSIVOS (UCI)",IF(N207=CURSOS!$D$8,"MODELO DE ATENCION PARA EVENTOS EMERGENTES EN SALUD MENTAL (CODIGO VERDE)",IF(N207=CURSOS!$D$9,"HUMANIZACION EN SALUD, BUENAS PRACTICAS EN PACIENTE ",IF(N207=CURSOS!$D$10,"CLINICA DE HERIDAS ",IF(N207=CURSOS!$D$11,"TOMA DE CITOLOGIA A CERVICO VAGINAL ",IF(N207=CURSOS!$D$12,"SOPORTE CARDIOVASCULAR AVANZADO ",IF(N207=CURSOS!$D$13,"CAMILLERO ",IF(N207=CURSOS!$D$14,"TOMA MUESTRAS Y LABORATORIO ",IF(N207=CURSOS!$D$15,"SOPORTE VITAL BASICO (BLS)",IF(N207=CURSOS!$D$16,"ATENCION A VICTIMAS DE VIOLENCIA SEXUAL ",IF(N207=CURSOS!$D$17,"PROGRAMADO AMPLIADO DE INMUNIZACION (PAI - COVID 19)",IF(N207=CURSOS!$D$18,"ATENCION INTEGRAL EN ENFERMEDADES PREVALENTES EN PRIMERA INFANCIA (AIEPI)",IF(N207=CURSOS!$D$19,"ADMINISTRACION DE MEDICAMENTOS, IYECTOLOGIA  Y CANALIZACION ",IF(N207=CURSOS!$D$20,"OPERADOR DE VEHICULOS DE EMERGENCIA (OVE)",IF(N207=CURSOS!$D$21,"INSTITUCIONES AMIGAS DE LA MUJER Y LA INFANCIA (IAMI)",IF(N207=CURSOS!$D$22,"CUIDADO DEL DONANTE DE ORGANOS",IF(N207=CURSOS!$D$23,"ATENCION A VICTIMAS POR VIOLENCIA DE GENERO",IF(N207=CURSOS!$D$24,"IGUALDAD DE GENERO EN LA SALUD",IF(N207=CURSOS!$D$25,"BRIGADA DE EMERGENCIA",IF(N207=CURSOS!$D$26,"MANEJO DEL DOLOR Y CUIDADOS PALIATIVOS",IF(N207=CURSOS!$D$27,"TOMA MUESTRAS Y LABORATORIO POCT",IF(N207=CURSOS!$D$28,"IMPLANTE SUBDERMICO Y DISPOSITIVO INTRAUTERINO",IF(N207=CURSOS!$D$29,"SALUD MENTAL",IF(N207=CURSOS!$D$30,"PRIMEROS AUXILIOS PSICOLOGICOS",IF(N207=CURSOS!$D$31,"ATENCION A VICTIMAS POR CONFLICTO ARMADO",IF(N207=CURSOS!$D$32,"MANIPULACION DE ALIMENTOS Y BPM"))))))))))))))))))))))))))))))</f>
        <v>0</v>
      </c>
      <c r="U207" s="41" t="str">
        <f t="shared" si="24"/>
        <v xml:space="preserve">   </v>
      </c>
      <c r="V207" s="41" t="str">
        <f t="shared" si="25"/>
        <v xml:space="preserve">   </v>
      </c>
      <c r="W207" s="41" t="str">
        <f t="shared" si="23"/>
        <v xml:space="preserve">   --</v>
      </c>
    </row>
    <row r="208" spans="1:23" x14ac:dyDescent="0.2">
      <c r="A208" s="94">
        <v>207</v>
      </c>
      <c r="H208" s="31" t="s">
        <v>90</v>
      </c>
      <c r="T208" s="41" t="b">
        <f>IF(N208=CURSOS!$D$3,"DIPLOMADO EN ATENCION PRE-HOSPITALARIA",IF(N208=CURSOS!$D$4,"ACOMPAÑAMIENTO Y MANEJO DEL DUELO",IF(N208=CURSOS!$D$5,"ATENCION A VICTIMAS DE ATAQUE CON AGENTES QUIMICOS ",IF(N208=CURSOS!$D$6,"PRIMEROS AUXILIOS ",IF(N208=CURSOS!$D$7,"DIPLOMADO DE UNIDAD DE CUIDADOS INTENSIVOS (UCI)",IF(N208=CURSOS!$D$8,"MODELO DE ATENCION PARA EVENTOS EMERGENTES EN SALUD MENTAL (CODIGO VERDE)",IF(N208=CURSOS!$D$9,"HUMANIZACION EN SALUD, BUENAS PRACTICAS EN PACIENTE ",IF(N208=CURSOS!$D$10,"CLINICA DE HERIDAS ",IF(N208=CURSOS!$D$11,"TOMA DE CITOLOGIA A CERVICO VAGINAL ",IF(N208=CURSOS!$D$12,"SOPORTE CARDIOVASCULAR AVANZADO ",IF(N208=CURSOS!$D$13,"CAMILLERO ",IF(N208=CURSOS!$D$14,"TOMA MUESTRAS Y LABORATORIO ",IF(N208=CURSOS!$D$15,"SOPORTE VITAL BASICO (BLS)",IF(N208=CURSOS!$D$16,"ATENCION A VICTIMAS DE VIOLENCIA SEXUAL ",IF(N208=CURSOS!$D$17,"PROGRAMADO AMPLIADO DE INMUNIZACION (PAI - COVID 19)",IF(N208=CURSOS!$D$18,"ATENCION INTEGRAL EN ENFERMEDADES PREVALENTES EN PRIMERA INFANCIA (AIEPI)",IF(N208=CURSOS!$D$19,"ADMINISTRACION DE MEDICAMENTOS, IYECTOLOGIA  Y CANALIZACION ",IF(N208=CURSOS!$D$20,"OPERADOR DE VEHICULOS DE EMERGENCIA (OVE)",IF(N208=CURSOS!$D$21,"INSTITUCIONES AMIGAS DE LA MUJER Y LA INFANCIA (IAMI)",IF(N208=CURSOS!$D$22,"CUIDADO DEL DONANTE DE ORGANOS",IF(N208=CURSOS!$D$23,"ATENCION A VICTIMAS POR VIOLENCIA DE GENERO",IF(N208=CURSOS!$D$24,"IGUALDAD DE GENERO EN LA SALUD",IF(N208=CURSOS!$D$25,"BRIGADA DE EMERGENCIA",IF(N208=CURSOS!$D$26,"MANEJO DEL DOLOR Y CUIDADOS PALIATIVOS",IF(N208=CURSOS!$D$27,"TOMA MUESTRAS Y LABORATORIO POCT",IF(N208=CURSOS!$D$28,"IMPLANTE SUBDERMICO Y DISPOSITIVO INTRAUTERINO",IF(N208=CURSOS!$D$29,"SALUD MENTAL",IF(N208=CURSOS!$D$30,"PRIMEROS AUXILIOS PSICOLOGICOS",IF(N208=CURSOS!$D$31,"ATENCION A VICTIMAS POR CONFLICTO ARMADO",IF(N208=CURSOS!$D$32,"MANIPULACION DE ALIMENTOS Y BPM"))))))))))))))))))))))))))))))</f>
        <v>0</v>
      </c>
      <c r="U208" s="41" t="str">
        <f t="shared" si="24"/>
        <v xml:space="preserve">   </v>
      </c>
      <c r="V208" s="41" t="str">
        <f t="shared" si="25"/>
        <v xml:space="preserve">   </v>
      </c>
      <c r="W208" s="41" t="str">
        <f t="shared" si="23"/>
        <v xml:space="preserve">   --</v>
      </c>
    </row>
    <row r="209" spans="1:23" x14ac:dyDescent="0.2">
      <c r="A209" s="94">
        <v>208</v>
      </c>
      <c r="H209" s="31" t="s">
        <v>90</v>
      </c>
      <c r="T209" s="41" t="b">
        <f>IF(N209=CURSOS!$D$3,"DIPLOMADO EN ATENCION PRE-HOSPITALARIA",IF(N209=CURSOS!$D$4,"ACOMPAÑAMIENTO Y MANEJO DEL DUELO",IF(N209=CURSOS!$D$5,"ATENCION A VICTIMAS DE ATAQUE CON AGENTES QUIMICOS ",IF(N209=CURSOS!$D$6,"PRIMEROS AUXILIOS ",IF(N209=CURSOS!$D$7,"DIPLOMADO DE UNIDAD DE CUIDADOS INTENSIVOS (UCI)",IF(N209=CURSOS!$D$8,"MODELO DE ATENCION PARA EVENTOS EMERGENTES EN SALUD MENTAL (CODIGO VERDE)",IF(N209=CURSOS!$D$9,"HUMANIZACION EN SALUD, BUENAS PRACTICAS EN PACIENTE ",IF(N209=CURSOS!$D$10,"CLINICA DE HERIDAS ",IF(N209=CURSOS!$D$11,"TOMA DE CITOLOGIA A CERVICO VAGINAL ",IF(N209=CURSOS!$D$12,"SOPORTE CARDIOVASCULAR AVANZADO ",IF(N209=CURSOS!$D$13,"CAMILLERO ",IF(N209=CURSOS!$D$14,"TOMA MUESTRAS Y LABORATORIO ",IF(N209=CURSOS!$D$15,"SOPORTE VITAL BASICO (BLS)",IF(N209=CURSOS!$D$16,"ATENCION A VICTIMAS DE VIOLENCIA SEXUAL ",IF(N209=CURSOS!$D$17,"PROGRAMADO AMPLIADO DE INMUNIZACION (PAI - COVID 19)",IF(N209=CURSOS!$D$18,"ATENCION INTEGRAL EN ENFERMEDADES PREVALENTES EN PRIMERA INFANCIA (AIEPI)",IF(N209=CURSOS!$D$19,"ADMINISTRACION DE MEDICAMENTOS, IYECTOLOGIA  Y CANALIZACION ",IF(N209=CURSOS!$D$20,"OPERADOR DE VEHICULOS DE EMERGENCIA (OVE)",IF(N209=CURSOS!$D$21,"INSTITUCIONES AMIGAS DE LA MUJER Y LA INFANCIA (IAMI)",IF(N209=CURSOS!$D$22,"CUIDADO DEL DONANTE DE ORGANOS",IF(N209=CURSOS!$D$23,"ATENCION A VICTIMAS POR VIOLENCIA DE GENERO",IF(N209=CURSOS!$D$24,"IGUALDAD DE GENERO EN LA SALUD",IF(N209=CURSOS!$D$25,"BRIGADA DE EMERGENCIA",IF(N209=CURSOS!$D$26,"MANEJO DEL DOLOR Y CUIDADOS PALIATIVOS",IF(N209=CURSOS!$D$27,"TOMA MUESTRAS Y LABORATORIO POCT",IF(N209=CURSOS!$D$28,"IMPLANTE SUBDERMICO Y DISPOSITIVO INTRAUTERINO",IF(N209=CURSOS!$D$29,"SALUD MENTAL",IF(N209=CURSOS!$D$30,"PRIMEROS AUXILIOS PSICOLOGICOS",IF(N209=CURSOS!$D$31,"ATENCION A VICTIMAS POR CONFLICTO ARMADO",IF(N209=CURSOS!$D$32,"MANIPULACION DE ALIMENTOS Y BPM"))))))))))))))))))))))))))))))</f>
        <v>0</v>
      </c>
      <c r="U209" s="41" t="str">
        <f t="shared" si="24"/>
        <v xml:space="preserve">   </v>
      </c>
      <c r="V209" s="41" t="str">
        <f t="shared" si="25"/>
        <v xml:space="preserve">   </v>
      </c>
      <c r="W209" s="41" t="str">
        <f t="shared" si="23"/>
        <v xml:space="preserve">   --</v>
      </c>
    </row>
    <row r="210" spans="1:23" x14ac:dyDescent="0.2">
      <c r="A210" s="94">
        <v>209</v>
      </c>
      <c r="H210" s="31" t="s">
        <v>90</v>
      </c>
      <c r="T210" s="41" t="b">
        <f>IF(N210=CURSOS!$D$3,"DIPLOMADO EN ATENCION PRE-HOSPITALARIA",IF(N210=CURSOS!$D$4,"ACOMPAÑAMIENTO Y MANEJO DEL DUELO",IF(N210=CURSOS!$D$5,"ATENCION A VICTIMAS DE ATAQUE CON AGENTES QUIMICOS ",IF(N210=CURSOS!$D$6,"PRIMEROS AUXILIOS ",IF(N210=CURSOS!$D$7,"DIPLOMADO DE UNIDAD DE CUIDADOS INTENSIVOS (UCI)",IF(N210=CURSOS!$D$8,"MODELO DE ATENCION PARA EVENTOS EMERGENTES EN SALUD MENTAL (CODIGO VERDE)",IF(N210=CURSOS!$D$9,"HUMANIZACION EN SALUD, BUENAS PRACTICAS EN PACIENTE ",IF(N210=CURSOS!$D$10,"CLINICA DE HERIDAS ",IF(N210=CURSOS!$D$11,"TOMA DE CITOLOGIA A CERVICO VAGINAL ",IF(N210=CURSOS!$D$12,"SOPORTE CARDIOVASCULAR AVANZADO ",IF(N210=CURSOS!$D$13,"CAMILLERO ",IF(N210=CURSOS!$D$14,"TOMA MUESTRAS Y LABORATORIO ",IF(N210=CURSOS!$D$15,"SOPORTE VITAL BASICO (BLS)",IF(N210=CURSOS!$D$16,"ATENCION A VICTIMAS DE VIOLENCIA SEXUAL ",IF(N210=CURSOS!$D$17,"PROGRAMADO AMPLIADO DE INMUNIZACION (PAI - COVID 19)",IF(N210=CURSOS!$D$18,"ATENCION INTEGRAL EN ENFERMEDADES PREVALENTES EN PRIMERA INFANCIA (AIEPI)",IF(N210=CURSOS!$D$19,"ADMINISTRACION DE MEDICAMENTOS, IYECTOLOGIA  Y CANALIZACION ",IF(N210=CURSOS!$D$20,"OPERADOR DE VEHICULOS DE EMERGENCIA (OVE)",IF(N210=CURSOS!$D$21,"INSTITUCIONES AMIGAS DE LA MUJER Y LA INFANCIA (IAMI)",IF(N210=CURSOS!$D$22,"CUIDADO DEL DONANTE DE ORGANOS",IF(N210=CURSOS!$D$23,"ATENCION A VICTIMAS POR VIOLENCIA DE GENERO",IF(N210=CURSOS!$D$24,"IGUALDAD DE GENERO EN LA SALUD",IF(N210=CURSOS!$D$25,"BRIGADA DE EMERGENCIA",IF(N210=CURSOS!$D$26,"MANEJO DEL DOLOR Y CUIDADOS PALIATIVOS",IF(N210=CURSOS!$D$27,"TOMA MUESTRAS Y LABORATORIO POCT",IF(N210=CURSOS!$D$28,"IMPLANTE SUBDERMICO Y DISPOSITIVO INTRAUTERINO",IF(N210=CURSOS!$D$29,"SALUD MENTAL",IF(N210=CURSOS!$D$30,"PRIMEROS AUXILIOS PSICOLOGICOS",IF(N210=CURSOS!$D$31,"ATENCION A VICTIMAS POR CONFLICTO ARMADO",IF(N210=CURSOS!$D$32,"MANIPULACION DE ALIMENTOS Y BPM"))))))))))))))))))))))))))))))</f>
        <v>0</v>
      </c>
      <c r="U210" s="41" t="str">
        <f t="shared" si="24"/>
        <v xml:space="preserve">   </v>
      </c>
      <c r="V210" s="41" t="str">
        <f t="shared" si="25"/>
        <v xml:space="preserve">   </v>
      </c>
      <c r="W210" s="41" t="str">
        <f t="shared" si="23"/>
        <v xml:space="preserve">   --</v>
      </c>
    </row>
    <row r="211" spans="1:23" x14ac:dyDescent="0.2">
      <c r="A211" s="94">
        <v>210</v>
      </c>
      <c r="H211" s="31" t="s">
        <v>90</v>
      </c>
      <c r="T211" s="41" t="b">
        <f>IF(N211=CURSOS!$D$3,"DIPLOMADO EN ATENCION PRE-HOSPITALARIA",IF(N211=CURSOS!$D$4,"ACOMPAÑAMIENTO Y MANEJO DEL DUELO",IF(N211=CURSOS!$D$5,"ATENCION A VICTIMAS DE ATAQUE CON AGENTES QUIMICOS ",IF(N211=CURSOS!$D$6,"PRIMEROS AUXILIOS ",IF(N211=CURSOS!$D$7,"DIPLOMADO DE UNIDAD DE CUIDADOS INTENSIVOS (UCI)",IF(N211=CURSOS!$D$8,"MODELO DE ATENCION PARA EVENTOS EMERGENTES EN SALUD MENTAL (CODIGO VERDE)",IF(N211=CURSOS!$D$9,"HUMANIZACION EN SALUD, BUENAS PRACTICAS EN PACIENTE ",IF(N211=CURSOS!$D$10,"CLINICA DE HERIDAS ",IF(N211=CURSOS!$D$11,"TOMA DE CITOLOGIA A CERVICO VAGINAL ",IF(N211=CURSOS!$D$12,"SOPORTE CARDIOVASCULAR AVANZADO ",IF(N211=CURSOS!$D$13,"CAMILLERO ",IF(N211=CURSOS!$D$14,"TOMA MUESTRAS Y LABORATORIO ",IF(N211=CURSOS!$D$15,"SOPORTE VITAL BASICO (BLS)",IF(N211=CURSOS!$D$16,"ATENCION A VICTIMAS DE VIOLENCIA SEXUAL ",IF(N211=CURSOS!$D$17,"PROGRAMADO AMPLIADO DE INMUNIZACION (PAI - COVID 19)",IF(N211=CURSOS!$D$18,"ATENCION INTEGRAL EN ENFERMEDADES PREVALENTES EN PRIMERA INFANCIA (AIEPI)",IF(N211=CURSOS!$D$19,"ADMINISTRACION DE MEDICAMENTOS, IYECTOLOGIA  Y CANALIZACION ",IF(N211=CURSOS!$D$20,"OPERADOR DE VEHICULOS DE EMERGENCIA (OVE)",IF(N211=CURSOS!$D$21,"INSTITUCIONES AMIGAS DE LA MUJER Y LA INFANCIA (IAMI)",IF(N211=CURSOS!$D$22,"CUIDADO DEL DONANTE DE ORGANOS",IF(N211=CURSOS!$D$23,"ATENCION A VICTIMAS POR VIOLENCIA DE GENERO",IF(N211=CURSOS!$D$24,"IGUALDAD DE GENERO EN LA SALUD",IF(N211=CURSOS!$D$25,"BRIGADA DE EMERGENCIA",IF(N211=CURSOS!$D$26,"MANEJO DEL DOLOR Y CUIDADOS PALIATIVOS",IF(N211=CURSOS!$D$27,"TOMA MUESTRAS Y LABORATORIO POCT",IF(N211=CURSOS!$D$28,"IMPLANTE SUBDERMICO Y DISPOSITIVO INTRAUTERINO",IF(N211=CURSOS!$D$29,"SALUD MENTAL",IF(N211=CURSOS!$D$30,"PRIMEROS AUXILIOS PSICOLOGICOS",IF(N211=CURSOS!$D$31,"ATENCION A VICTIMAS POR CONFLICTO ARMADO",IF(N211=CURSOS!$D$32,"MANIPULACION DE ALIMENTOS Y BPM"))))))))))))))))))))))))))))))</f>
        <v>0</v>
      </c>
      <c r="U211" s="41" t="str">
        <f t="shared" si="24"/>
        <v xml:space="preserve">   </v>
      </c>
      <c r="V211" s="41" t="str">
        <f t="shared" si="25"/>
        <v xml:space="preserve">   </v>
      </c>
      <c r="W211" s="41" t="str">
        <f t="shared" si="23"/>
        <v xml:space="preserve">   --</v>
      </c>
    </row>
    <row r="212" spans="1:23" x14ac:dyDescent="0.2">
      <c r="A212" s="94">
        <v>211</v>
      </c>
      <c r="H212" s="31" t="s">
        <v>90</v>
      </c>
      <c r="T212" s="41" t="b">
        <f>IF(N212=CURSOS!$D$3,"DIPLOMADO EN ATENCION PRE-HOSPITALARIA",IF(N212=CURSOS!$D$4,"ACOMPAÑAMIENTO Y MANEJO DEL DUELO",IF(N212=CURSOS!$D$5,"ATENCION A VICTIMAS DE ATAQUE CON AGENTES QUIMICOS ",IF(N212=CURSOS!$D$6,"PRIMEROS AUXILIOS ",IF(N212=CURSOS!$D$7,"DIPLOMADO DE UNIDAD DE CUIDADOS INTENSIVOS (UCI)",IF(N212=CURSOS!$D$8,"MODELO DE ATENCION PARA EVENTOS EMERGENTES EN SALUD MENTAL (CODIGO VERDE)",IF(N212=CURSOS!$D$9,"HUMANIZACION EN SALUD, BUENAS PRACTICAS EN PACIENTE ",IF(N212=CURSOS!$D$10,"CLINICA DE HERIDAS ",IF(N212=CURSOS!$D$11,"TOMA DE CITOLOGIA A CERVICO VAGINAL ",IF(N212=CURSOS!$D$12,"SOPORTE CARDIOVASCULAR AVANZADO ",IF(N212=CURSOS!$D$13,"CAMILLERO ",IF(N212=CURSOS!$D$14,"TOMA MUESTRAS Y LABORATORIO ",IF(N212=CURSOS!$D$15,"SOPORTE VITAL BASICO (BLS)",IF(N212=CURSOS!$D$16,"ATENCION A VICTIMAS DE VIOLENCIA SEXUAL ",IF(N212=CURSOS!$D$17,"PROGRAMADO AMPLIADO DE INMUNIZACION (PAI - COVID 19)",IF(N212=CURSOS!$D$18,"ATENCION INTEGRAL EN ENFERMEDADES PREVALENTES EN PRIMERA INFANCIA (AIEPI)",IF(N212=CURSOS!$D$19,"ADMINISTRACION DE MEDICAMENTOS, IYECTOLOGIA  Y CANALIZACION ",IF(N212=CURSOS!$D$20,"OPERADOR DE VEHICULOS DE EMERGENCIA (OVE)",IF(N212=CURSOS!$D$21,"INSTITUCIONES AMIGAS DE LA MUJER Y LA INFANCIA (IAMI)",IF(N212=CURSOS!$D$22,"CUIDADO DEL DONANTE DE ORGANOS",IF(N212=CURSOS!$D$23,"ATENCION A VICTIMAS POR VIOLENCIA DE GENERO",IF(N212=CURSOS!$D$24,"IGUALDAD DE GENERO EN LA SALUD",IF(N212=CURSOS!$D$25,"BRIGADA DE EMERGENCIA",IF(N212=CURSOS!$D$26,"MANEJO DEL DOLOR Y CUIDADOS PALIATIVOS",IF(N212=CURSOS!$D$27,"TOMA MUESTRAS Y LABORATORIO POCT",IF(N212=CURSOS!$D$28,"IMPLANTE SUBDERMICO Y DISPOSITIVO INTRAUTERINO",IF(N212=CURSOS!$D$29,"SALUD MENTAL",IF(N212=CURSOS!$D$30,"PRIMEROS AUXILIOS PSICOLOGICOS",IF(N212=CURSOS!$D$31,"ATENCION A VICTIMAS POR CONFLICTO ARMADO",IF(N212=CURSOS!$D$32,"MANIPULACION DE ALIMENTOS Y BPM"))))))))))))))))))))))))))))))</f>
        <v>0</v>
      </c>
      <c r="U212" s="41" t="str">
        <f t="shared" si="24"/>
        <v xml:space="preserve">   </v>
      </c>
      <c r="V212" s="41" t="str">
        <f t="shared" si="25"/>
        <v xml:space="preserve">   </v>
      </c>
      <c r="W212" s="41" t="str">
        <f t="shared" si="23"/>
        <v xml:space="preserve">   --</v>
      </c>
    </row>
    <row r="213" spans="1:23" x14ac:dyDescent="0.2">
      <c r="A213" s="94">
        <v>212</v>
      </c>
      <c r="H213" s="31" t="s">
        <v>90</v>
      </c>
      <c r="T213" s="41" t="b">
        <f>IF(N213=CURSOS!$D$3,"DIPLOMADO EN ATENCION PRE-HOSPITALARIA",IF(N213=CURSOS!$D$4,"ACOMPAÑAMIENTO Y MANEJO DEL DUELO",IF(N213=CURSOS!$D$5,"ATENCION A VICTIMAS DE ATAQUE CON AGENTES QUIMICOS ",IF(N213=CURSOS!$D$6,"PRIMEROS AUXILIOS ",IF(N213=CURSOS!$D$7,"DIPLOMADO DE UNIDAD DE CUIDADOS INTENSIVOS (UCI)",IF(N213=CURSOS!$D$8,"MODELO DE ATENCION PARA EVENTOS EMERGENTES EN SALUD MENTAL (CODIGO VERDE)",IF(N213=CURSOS!$D$9,"HUMANIZACION EN SALUD, BUENAS PRACTICAS EN PACIENTE ",IF(N213=CURSOS!$D$10,"CLINICA DE HERIDAS ",IF(N213=CURSOS!$D$11,"TOMA DE CITOLOGIA A CERVICO VAGINAL ",IF(N213=CURSOS!$D$12,"SOPORTE CARDIOVASCULAR AVANZADO ",IF(N213=CURSOS!$D$13,"CAMILLERO ",IF(N213=CURSOS!$D$14,"TOMA MUESTRAS Y LABORATORIO ",IF(N213=CURSOS!$D$15,"SOPORTE VITAL BASICO (BLS)",IF(N213=CURSOS!$D$16,"ATENCION A VICTIMAS DE VIOLENCIA SEXUAL ",IF(N213=CURSOS!$D$17,"PROGRAMADO AMPLIADO DE INMUNIZACION (PAI - COVID 19)",IF(N213=CURSOS!$D$18,"ATENCION INTEGRAL EN ENFERMEDADES PREVALENTES EN PRIMERA INFANCIA (AIEPI)",IF(N213=CURSOS!$D$19,"ADMINISTRACION DE MEDICAMENTOS, IYECTOLOGIA  Y CANALIZACION ",IF(N213=CURSOS!$D$20,"OPERADOR DE VEHICULOS DE EMERGENCIA (OVE)",IF(N213=CURSOS!$D$21,"INSTITUCIONES AMIGAS DE LA MUJER Y LA INFANCIA (IAMI)",IF(N213=CURSOS!$D$22,"CUIDADO DEL DONANTE DE ORGANOS",IF(N213=CURSOS!$D$23,"ATENCION A VICTIMAS POR VIOLENCIA DE GENERO",IF(N213=CURSOS!$D$24,"IGUALDAD DE GENERO EN LA SALUD",IF(N213=CURSOS!$D$25,"BRIGADA DE EMERGENCIA",IF(N213=CURSOS!$D$26,"MANEJO DEL DOLOR Y CUIDADOS PALIATIVOS",IF(N213=CURSOS!$D$27,"TOMA MUESTRAS Y LABORATORIO POCT",IF(N213=CURSOS!$D$28,"IMPLANTE SUBDERMICO Y DISPOSITIVO INTRAUTERINO",IF(N213=CURSOS!$D$29,"SALUD MENTAL",IF(N213=CURSOS!$D$30,"PRIMEROS AUXILIOS PSICOLOGICOS",IF(N213=CURSOS!$D$31,"ATENCION A VICTIMAS POR CONFLICTO ARMADO",IF(N213=CURSOS!$D$32,"MANIPULACION DE ALIMENTOS Y BPM"))))))))))))))))))))))))))))))</f>
        <v>0</v>
      </c>
      <c r="U213" s="41" t="str">
        <f t="shared" si="24"/>
        <v xml:space="preserve">   </v>
      </c>
      <c r="V213" s="41" t="str">
        <f t="shared" si="25"/>
        <v xml:space="preserve">   </v>
      </c>
      <c r="W213" s="41" t="str">
        <f t="shared" si="23"/>
        <v xml:space="preserve">   --</v>
      </c>
    </row>
    <row r="214" spans="1:23" x14ac:dyDescent="0.2">
      <c r="A214" s="94">
        <v>213</v>
      </c>
      <c r="H214" s="31" t="s">
        <v>90</v>
      </c>
      <c r="T214" s="41" t="b">
        <f>IF(N214=CURSOS!$D$3,"DIPLOMADO EN ATENCION PRE-HOSPITALARIA",IF(N214=CURSOS!$D$4,"ACOMPAÑAMIENTO Y MANEJO DEL DUELO",IF(N214=CURSOS!$D$5,"ATENCION A VICTIMAS DE ATAQUE CON AGENTES QUIMICOS ",IF(N214=CURSOS!$D$6,"PRIMEROS AUXILIOS ",IF(N214=CURSOS!$D$7,"DIPLOMADO DE UNIDAD DE CUIDADOS INTENSIVOS (UCI)",IF(N214=CURSOS!$D$8,"MODELO DE ATENCION PARA EVENTOS EMERGENTES EN SALUD MENTAL (CODIGO VERDE)",IF(N214=CURSOS!$D$9,"HUMANIZACION EN SALUD, BUENAS PRACTICAS EN PACIENTE ",IF(N214=CURSOS!$D$10,"CLINICA DE HERIDAS ",IF(N214=CURSOS!$D$11,"TOMA DE CITOLOGIA A CERVICO VAGINAL ",IF(N214=CURSOS!$D$12,"SOPORTE CARDIOVASCULAR AVANZADO ",IF(N214=CURSOS!$D$13,"CAMILLERO ",IF(N214=CURSOS!$D$14,"TOMA MUESTRAS Y LABORATORIO ",IF(N214=CURSOS!$D$15,"SOPORTE VITAL BASICO (BLS)",IF(N214=CURSOS!$D$16,"ATENCION A VICTIMAS DE VIOLENCIA SEXUAL ",IF(N214=CURSOS!$D$17,"PROGRAMADO AMPLIADO DE INMUNIZACION (PAI - COVID 19)",IF(N214=CURSOS!$D$18,"ATENCION INTEGRAL EN ENFERMEDADES PREVALENTES EN PRIMERA INFANCIA (AIEPI)",IF(N214=CURSOS!$D$19,"ADMINISTRACION DE MEDICAMENTOS, IYECTOLOGIA  Y CANALIZACION ",IF(N214=CURSOS!$D$20,"OPERADOR DE VEHICULOS DE EMERGENCIA (OVE)",IF(N214=CURSOS!$D$21,"INSTITUCIONES AMIGAS DE LA MUJER Y LA INFANCIA (IAMI)",IF(N214=CURSOS!$D$22,"CUIDADO DEL DONANTE DE ORGANOS",IF(N214=CURSOS!$D$23,"ATENCION A VICTIMAS POR VIOLENCIA DE GENERO",IF(N214=CURSOS!$D$24,"IGUALDAD DE GENERO EN LA SALUD",IF(N214=CURSOS!$D$25,"BRIGADA DE EMERGENCIA",IF(N214=CURSOS!$D$26,"MANEJO DEL DOLOR Y CUIDADOS PALIATIVOS",IF(N214=CURSOS!$D$27,"TOMA MUESTRAS Y LABORATORIO POCT",IF(N214=CURSOS!$D$28,"IMPLANTE SUBDERMICO Y DISPOSITIVO INTRAUTERINO",IF(N214=CURSOS!$D$29,"SALUD MENTAL",IF(N214=CURSOS!$D$30,"PRIMEROS AUXILIOS PSICOLOGICOS",IF(N214=CURSOS!$D$31,"ATENCION A VICTIMAS POR CONFLICTO ARMADO",IF(N214=CURSOS!$D$32,"MANIPULACION DE ALIMENTOS Y BPM"))))))))))))))))))))))))))))))</f>
        <v>0</v>
      </c>
      <c r="U214" s="41" t="str">
        <f t="shared" si="24"/>
        <v xml:space="preserve">   </v>
      </c>
      <c r="V214" s="41" t="str">
        <f t="shared" si="25"/>
        <v xml:space="preserve">   </v>
      </c>
      <c r="W214" s="41" t="str">
        <f t="shared" si="23"/>
        <v xml:space="preserve">   --</v>
      </c>
    </row>
    <row r="215" spans="1:23" x14ac:dyDescent="0.2">
      <c r="A215" s="94">
        <v>214</v>
      </c>
      <c r="H215" s="31" t="s">
        <v>90</v>
      </c>
      <c r="T215" s="41" t="b">
        <f>IF(N215=CURSOS!$D$3,"DIPLOMADO EN ATENCION PRE-HOSPITALARIA",IF(N215=CURSOS!$D$4,"ACOMPAÑAMIENTO Y MANEJO DEL DUELO",IF(N215=CURSOS!$D$5,"ATENCION A VICTIMAS DE ATAQUE CON AGENTES QUIMICOS ",IF(N215=CURSOS!$D$6,"PRIMEROS AUXILIOS ",IF(N215=CURSOS!$D$7,"DIPLOMADO DE UNIDAD DE CUIDADOS INTENSIVOS (UCI)",IF(N215=CURSOS!$D$8,"MODELO DE ATENCION PARA EVENTOS EMERGENTES EN SALUD MENTAL (CODIGO VERDE)",IF(N215=CURSOS!$D$9,"HUMANIZACION EN SALUD, BUENAS PRACTICAS EN PACIENTE ",IF(N215=CURSOS!$D$10,"CLINICA DE HERIDAS ",IF(N215=CURSOS!$D$11,"TOMA DE CITOLOGIA A CERVICO VAGINAL ",IF(N215=CURSOS!$D$12,"SOPORTE CARDIOVASCULAR AVANZADO ",IF(N215=CURSOS!$D$13,"CAMILLERO ",IF(N215=CURSOS!$D$14,"TOMA MUESTRAS Y LABORATORIO ",IF(N215=CURSOS!$D$15,"SOPORTE VITAL BASICO (BLS)",IF(N215=CURSOS!$D$16,"ATENCION A VICTIMAS DE VIOLENCIA SEXUAL ",IF(N215=CURSOS!$D$17,"PROGRAMADO AMPLIADO DE INMUNIZACION (PAI - COVID 19)",IF(N215=CURSOS!$D$18,"ATENCION INTEGRAL EN ENFERMEDADES PREVALENTES EN PRIMERA INFANCIA (AIEPI)",IF(N215=CURSOS!$D$19,"ADMINISTRACION DE MEDICAMENTOS, IYECTOLOGIA  Y CANALIZACION ",IF(N215=CURSOS!$D$20,"OPERADOR DE VEHICULOS DE EMERGENCIA (OVE)",IF(N215=CURSOS!$D$21,"INSTITUCIONES AMIGAS DE LA MUJER Y LA INFANCIA (IAMI)",IF(N215=CURSOS!$D$22,"CUIDADO DEL DONANTE DE ORGANOS",IF(N215=CURSOS!$D$23,"ATENCION A VICTIMAS POR VIOLENCIA DE GENERO",IF(N215=CURSOS!$D$24,"IGUALDAD DE GENERO EN LA SALUD",IF(N215=CURSOS!$D$25,"BRIGADA DE EMERGENCIA",IF(N215=CURSOS!$D$26,"MANEJO DEL DOLOR Y CUIDADOS PALIATIVOS",IF(N215=CURSOS!$D$27,"TOMA MUESTRAS Y LABORATORIO POCT",IF(N215=CURSOS!$D$28,"IMPLANTE SUBDERMICO Y DISPOSITIVO INTRAUTERINO",IF(N215=CURSOS!$D$29,"SALUD MENTAL",IF(N215=CURSOS!$D$30,"PRIMEROS AUXILIOS PSICOLOGICOS",IF(N215=CURSOS!$D$31,"ATENCION A VICTIMAS POR CONFLICTO ARMADO",IF(N215=CURSOS!$D$32,"MANIPULACION DE ALIMENTOS Y BPM"))))))))))))))))))))))))))))))</f>
        <v>0</v>
      </c>
      <c r="U215" s="41" t="str">
        <f t="shared" si="24"/>
        <v xml:space="preserve">   </v>
      </c>
      <c r="V215" s="41" t="str">
        <f t="shared" si="25"/>
        <v xml:space="preserve">   </v>
      </c>
      <c r="W215" s="41" t="str">
        <f t="shared" si="23"/>
        <v xml:space="preserve">   --</v>
      </c>
    </row>
    <row r="216" spans="1:23" x14ac:dyDescent="0.2">
      <c r="A216" s="94">
        <v>215</v>
      </c>
      <c r="H216" s="31" t="s">
        <v>90</v>
      </c>
      <c r="T216" s="41" t="b">
        <f>IF(N216=CURSOS!$D$3,"DIPLOMADO EN ATENCION PRE-HOSPITALARIA",IF(N216=CURSOS!$D$4,"ACOMPAÑAMIENTO Y MANEJO DEL DUELO",IF(N216=CURSOS!$D$5,"ATENCION A VICTIMAS DE ATAQUE CON AGENTES QUIMICOS ",IF(N216=CURSOS!$D$6,"PRIMEROS AUXILIOS ",IF(N216=CURSOS!$D$7,"DIPLOMADO DE UNIDAD DE CUIDADOS INTENSIVOS (UCI)",IF(N216=CURSOS!$D$8,"MODELO DE ATENCION PARA EVENTOS EMERGENTES EN SALUD MENTAL (CODIGO VERDE)",IF(N216=CURSOS!$D$9,"HUMANIZACION EN SALUD, BUENAS PRACTICAS EN PACIENTE ",IF(N216=CURSOS!$D$10,"CLINICA DE HERIDAS ",IF(N216=CURSOS!$D$11,"TOMA DE CITOLOGIA A CERVICO VAGINAL ",IF(N216=CURSOS!$D$12,"SOPORTE CARDIOVASCULAR AVANZADO ",IF(N216=CURSOS!$D$13,"CAMILLERO ",IF(N216=CURSOS!$D$14,"TOMA MUESTRAS Y LABORATORIO ",IF(N216=CURSOS!$D$15,"SOPORTE VITAL BASICO (BLS)",IF(N216=CURSOS!$D$16,"ATENCION A VICTIMAS DE VIOLENCIA SEXUAL ",IF(N216=CURSOS!$D$17,"PROGRAMADO AMPLIADO DE INMUNIZACION (PAI - COVID 19)",IF(N216=CURSOS!$D$18,"ATENCION INTEGRAL EN ENFERMEDADES PREVALENTES EN PRIMERA INFANCIA (AIEPI)",IF(N216=CURSOS!$D$19,"ADMINISTRACION DE MEDICAMENTOS, IYECTOLOGIA  Y CANALIZACION ",IF(N216=CURSOS!$D$20,"OPERADOR DE VEHICULOS DE EMERGENCIA (OVE)",IF(N216=CURSOS!$D$21,"INSTITUCIONES AMIGAS DE LA MUJER Y LA INFANCIA (IAMI)",IF(N216=CURSOS!$D$22,"CUIDADO DEL DONANTE DE ORGANOS",IF(N216=CURSOS!$D$23,"ATENCION A VICTIMAS POR VIOLENCIA DE GENERO",IF(N216=CURSOS!$D$24,"IGUALDAD DE GENERO EN LA SALUD",IF(N216=CURSOS!$D$25,"BRIGADA DE EMERGENCIA",IF(N216=CURSOS!$D$26,"MANEJO DEL DOLOR Y CUIDADOS PALIATIVOS",IF(N216=CURSOS!$D$27,"TOMA MUESTRAS Y LABORATORIO POCT",IF(N216=CURSOS!$D$28,"IMPLANTE SUBDERMICO Y DISPOSITIVO INTRAUTERINO",IF(N216=CURSOS!$D$29,"SALUD MENTAL",IF(N216=CURSOS!$D$30,"PRIMEROS AUXILIOS PSICOLOGICOS",IF(N216=CURSOS!$D$31,"ATENCION A VICTIMAS POR CONFLICTO ARMADO",IF(N216=CURSOS!$D$32,"MANIPULACION DE ALIMENTOS Y BPM"))))))))))))))))))))))))))))))</f>
        <v>0</v>
      </c>
      <c r="U216" s="41" t="str">
        <f t="shared" si="24"/>
        <v xml:space="preserve">   </v>
      </c>
      <c r="V216" s="41" t="str">
        <f t="shared" si="25"/>
        <v xml:space="preserve">   </v>
      </c>
      <c r="W216" s="41" t="str">
        <f t="shared" si="23"/>
        <v xml:space="preserve">   --</v>
      </c>
    </row>
    <row r="217" spans="1:23" x14ac:dyDescent="0.2">
      <c r="A217" s="94">
        <v>216</v>
      </c>
      <c r="H217" s="31" t="s">
        <v>90</v>
      </c>
      <c r="T217" s="41" t="b">
        <f>IF(N217=CURSOS!$D$3,"DIPLOMADO EN ATENCION PRE-HOSPITALARIA",IF(N217=CURSOS!$D$4,"ACOMPAÑAMIENTO Y MANEJO DEL DUELO",IF(N217=CURSOS!$D$5,"ATENCION A VICTIMAS DE ATAQUE CON AGENTES QUIMICOS ",IF(N217=CURSOS!$D$6,"PRIMEROS AUXILIOS ",IF(N217=CURSOS!$D$7,"DIPLOMADO DE UNIDAD DE CUIDADOS INTENSIVOS (UCI)",IF(N217=CURSOS!$D$8,"MODELO DE ATENCION PARA EVENTOS EMERGENTES EN SALUD MENTAL (CODIGO VERDE)",IF(N217=CURSOS!$D$9,"HUMANIZACION EN SALUD, BUENAS PRACTICAS EN PACIENTE ",IF(N217=CURSOS!$D$10,"CLINICA DE HERIDAS ",IF(N217=CURSOS!$D$11,"TOMA DE CITOLOGIA A CERVICO VAGINAL ",IF(N217=CURSOS!$D$12,"SOPORTE CARDIOVASCULAR AVANZADO ",IF(N217=CURSOS!$D$13,"CAMILLERO ",IF(N217=CURSOS!$D$14,"TOMA MUESTRAS Y LABORATORIO ",IF(N217=CURSOS!$D$15,"SOPORTE VITAL BASICO (BLS)",IF(N217=CURSOS!$D$16,"ATENCION A VICTIMAS DE VIOLENCIA SEXUAL ",IF(N217=CURSOS!$D$17,"PROGRAMADO AMPLIADO DE INMUNIZACION (PAI - COVID 19)",IF(N217=CURSOS!$D$18,"ATENCION INTEGRAL EN ENFERMEDADES PREVALENTES EN PRIMERA INFANCIA (AIEPI)",IF(N217=CURSOS!$D$19,"ADMINISTRACION DE MEDICAMENTOS, IYECTOLOGIA  Y CANALIZACION ",IF(N217=CURSOS!$D$20,"OPERADOR DE VEHICULOS DE EMERGENCIA (OVE)",IF(N217=CURSOS!$D$21,"INSTITUCIONES AMIGAS DE LA MUJER Y LA INFANCIA (IAMI)",IF(N217=CURSOS!$D$22,"CUIDADO DEL DONANTE DE ORGANOS",IF(N217=CURSOS!$D$23,"ATENCION A VICTIMAS POR VIOLENCIA DE GENERO",IF(N217=CURSOS!$D$24,"IGUALDAD DE GENERO EN LA SALUD",IF(N217=CURSOS!$D$25,"BRIGADA DE EMERGENCIA",IF(N217=CURSOS!$D$26,"MANEJO DEL DOLOR Y CUIDADOS PALIATIVOS",IF(N217=CURSOS!$D$27,"TOMA MUESTRAS Y LABORATORIO POCT",IF(N217=CURSOS!$D$28,"IMPLANTE SUBDERMICO Y DISPOSITIVO INTRAUTERINO",IF(N217=CURSOS!$D$29,"SALUD MENTAL",IF(N217=CURSOS!$D$30,"PRIMEROS AUXILIOS PSICOLOGICOS",IF(N217=CURSOS!$D$31,"ATENCION A VICTIMAS POR CONFLICTO ARMADO",IF(N217=CURSOS!$D$32,"MANIPULACION DE ALIMENTOS Y BPM"))))))))))))))))))))))))))))))</f>
        <v>0</v>
      </c>
      <c r="U217" s="41" t="str">
        <f t="shared" si="24"/>
        <v xml:space="preserve">   </v>
      </c>
      <c r="V217" s="41" t="str">
        <f t="shared" si="25"/>
        <v xml:space="preserve">   </v>
      </c>
      <c r="W217" s="41" t="str">
        <f t="shared" si="23"/>
        <v xml:space="preserve">   --</v>
      </c>
    </row>
    <row r="218" spans="1:23" x14ac:dyDescent="0.2">
      <c r="A218" s="94">
        <v>217</v>
      </c>
      <c r="H218" s="31" t="s">
        <v>90</v>
      </c>
      <c r="T218" s="41" t="b">
        <f>IF(N218=CURSOS!$D$3,"DIPLOMADO EN ATENCION PRE-HOSPITALARIA",IF(N218=CURSOS!$D$4,"ACOMPAÑAMIENTO Y MANEJO DEL DUELO",IF(N218=CURSOS!$D$5,"ATENCION A VICTIMAS DE ATAQUE CON AGENTES QUIMICOS ",IF(N218=CURSOS!$D$6,"PRIMEROS AUXILIOS ",IF(N218=CURSOS!$D$7,"DIPLOMADO DE UNIDAD DE CUIDADOS INTENSIVOS (UCI)",IF(N218=CURSOS!$D$8,"MODELO DE ATENCION PARA EVENTOS EMERGENTES EN SALUD MENTAL (CODIGO VERDE)",IF(N218=CURSOS!$D$9,"HUMANIZACION EN SALUD, BUENAS PRACTICAS EN PACIENTE ",IF(N218=CURSOS!$D$10,"CLINICA DE HERIDAS ",IF(N218=CURSOS!$D$11,"TOMA DE CITOLOGIA A CERVICO VAGINAL ",IF(N218=CURSOS!$D$12,"SOPORTE CARDIOVASCULAR AVANZADO ",IF(N218=CURSOS!$D$13,"CAMILLERO ",IF(N218=CURSOS!$D$14,"TOMA MUESTRAS Y LABORATORIO ",IF(N218=CURSOS!$D$15,"SOPORTE VITAL BASICO (BLS)",IF(N218=CURSOS!$D$16,"ATENCION A VICTIMAS DE VIOLENCIA SEXUAL ",IF(N218=CURSOS!$D$17,"PROGRAMADO AMPLIADO DE INMUNIZACION (PAI - COVID 19)",IF(N218=CURSOS!$D$18,"ATENCION INTEGRAL EN ENFERMEDADES PREVALENTES EN PRIMERA INFANCIA (AIEPI)",IF(N218=CURSOS!$D$19,"ADMINISTRACION DE MEDICAMENTOS, IYECTOLOGIA  Y CANALIZACION ",IF(N218=CURSOS!$D$20,"OPERADOR DE VEHICULOS DE EMERGENCIA (OVE)",IF(N218=CURSOS!$D$21,"INSTITUCIONES AMIGAS DE LA MUJER Y LA INFANCIA (IAMI)",IF(N218=CURSOS!$D$22,"CUIDADO DEL DONANTE DE ORGANOS",IF(N218=CURSOS!$D$23,"ATENCION A VICTIMAS POR VIOLENCIA DE GENERO",IF(N218=CURSOS!$D$24,"IGUALDAD DE GENERO EN LA SALUD",IF(N218=CURSOS!$D$25,"BRIGADA DE EMERGENCIA",IF(N218=CURSOS!$D$26,"MANEJO DEL DOLOR Y CUIDADOS PALIATIVOS",IF(N218=CURSOS!$D$27,"TOMA MUESTRAS Y LABORATORIO POCT",IF(N218=CURSOS!$D$28,"IMPLANTE SUBDERMICO Y DISPOSITIVO INTRAUTERINO",IF(N218=CURSOS!$D$29,"SALUD MENTAL",IF(N218=CURSOS!$D$30,"PRIMEROS AUXILIOS PSICOLOGICOS",IF(N218=CURSOS!$D$31,"ATENCION A VICTIMAS POR CONFLICTO ARMADO",IF(N218=CURSOS!$D$32,"MANIPULACION DE ALIMENTOS Y BPM"))))))))))))))))))))))))))))))</f>
        <v>0</v>
      </c>
      <c r="U218" s="41" t="str">
        <f t="shared" si="24"/>
        <v xml:space="preserve">   </v>
      </c>
      <c r="V218" s="41" t="str">
        <f t="shared" si="25"/>
        <v xml:space="preserve">   </v>
      </c>
      <c r="W218" s="41" t="str">
        <f t="shared" si="23"/>
        <v xml:space="preserve">   --</v>
      </c>
    </row>
    <row r="219" spans="1:23" ht="17.25" customHeight="1" x14ac:dyDescent="0.2">
      <c r="A219" s="94">
        <v>218</v>
      </c>
      <c r="H219" s="31" t="s">
        <v>90</v>
      </c>
      <c r="O219" s="80"/>
      <c r="T219" s="41" t="b">
        <f>IF(N219=CURSOS!$D$3,"DIPLOMADO EN ATENCION PRE-HOSPITALARIA",IF(N219=CURSOS!$D$4,"ACOMPAÑAMIENTO Y MANEJO DEL DUELO",IF(N219=CURSOS!$D$5,"ATENCION A VICTIMAS DE ATAQUE CON AGENTES QUIMICOS ",IF(N219=CURSOS!$D$6,"PRIMEROS AUXILIOS ",IF(N219=CURSOS!$D$7,"DIPLOMADO DE UNIDAD DE CUIDADOS INTENSIVOS (UCI)",IF(N219=CURSOS!$D$8,"MODELO DE ATENCION PARA EVENTOS EMERGENTES EN SALUD MENTAL (CODIGO VERDE)",IF(N219=CURSOS!$D$9,"HUMANIZACION EN SALUD, BUENAS PRACTICAS EN PACIENTE ",IF(N219=CURSOS!$D$10,"CLINICA DE HERIDAS ",IF(N219=CURSOS!$D$11,"TOMA DE CITOLOGIA A CERVICO VAGINAL ",IF(N219=CURSOS!$D$12,"SOPORTE CARDIOVASCULAR AVANZADO ",IF(N219=CURSOS!$D$13,"CAMILLERO ",IF(N219=CURSOS!$D$14,"TOMA MUESTRAS Y LABORATORIO ",IF(N219=CURSOS!$D$15,"SOPORTE VITAL BASICO (BLS)",IF(N219=CURSOS!$D$16,"ATENCION A VICTIMAS DE VIOLENCIA SEXUAL ",IF(N219=CURSOS!$D$17,"PROGRAMADO AMPLIADO DE INMUNIZACION (PAI - COVID 19)",IF(N219=CURSOS!$D$18,"ATENCION INTEGRAL EN ENFERMEDADES PREVALENTES EN PRIMERA INFANCIA (AIEPI)",IF(N219=CURSOS!$D$19,"ADMINISTRACION DE MEDICAMENTOS, IYECTOLOGIA  Y CANALIZACION ",IF(N219=CURSOS!$D$20,"OPERADOR DE VEHICULOS DE EMERGENCIA (OVE)",IF(N219=CURSOS!$D$21,"INSTITUCIONES AMIGAS DE LA MUJER Y LA INFANCIA (IAMI)",IF(N219=CURSOS!$D$22,"CUIDADO DEL DONANTE DE ORGANOS",IF(N219=CURSOS!$D$23,"ATENCION A VICTIMAS POR VIOLENCIA DE GENERO",IF(N219=CURSOS!$D$24,"IGUALDAD DE GENERO EN LA SALUD",IF(N219=CURSOS!$D$25,"BRIGADA DE EMERGENCIA",IF(N219=CURSOS!$D$26,"MANEJO DEL DOLOR Y CUIDADOS PALIATIVOS",IF(N219=CURSOS!$D$27,"TOMA MUESTRAS Y LABORATORIO POCT",IF(N219=CURSOS!$D$28,"IMPLANTE SUBDERMICO Y DISPOSITIVO INTRAUTERINO",IF(N219=CURSOS!$D$29,"SALUD MENTAL",IF(N219=CURSOS!$D$30,"PRIMEROS AUXILIOS PSICOLOGICOS",IF(N219=CURSOS!$D$31,"ATENCION A VICTIMAS POR CONFLICTO ARMADO",IF(N219=CURSOS!$D$32,"MANIPULACION DE ALIMENTOS Y BPM"))))))))))))))))))))))))))))))</f>
        <v>0</v>
      </c>
      <c r="U219" s="41" t="str">
        <f t="shared" si="24"/>
        <v xml:space="preserve">   </v>
      </c>
      <c r="V219" s="41" t="str">
        <f t="shared" si="25"/>
        <v xml:space="preserve">   </v>
      </c>
      <c r="W219" s="41" t="str">
        <f t="shared" si="23"/>
        <v xml:space="preserve">   --</v>
      </c>
    </row>
    <row r="220" spans="1:23" x14ac:dyDescent="0.2">
      <c r="A220" s="94">
        <v>219</v>
      </c>
      <c r="H220" s="31" t="s">
        <v>90</v>
      </c>
      <c r="S220" s="79"/>
      <c r="T220" s="41" t="b">
        <f>IF(N220=CURSOS!$D$3,"DIPLOMADO EN ATENCION PRE-HOSPITALARIA",IF(N220=CURSOS!$D$4,"ACOMPAÑAMIENTO Y MANEJO DEL DUELO",IF(N220=CURSOS!$D$5,"ATENCION A VICTIMAS DE ATAQUE CON AGENTES QUIMICOS ",IF(N220=CURSOS!$D$6,"PRIMEROS AUXILIOS ",IF(N220=CURSOS!$D$7,"DIPLOMADO DE UNIDAD DE CUIDADOS INTENSIVOS (UCI)",IF(N220=CURSOS!$D$8,"MODELO DE ATENCION PARA EVENTOS EMERGENTES EN SALUD MENTAL (CODIGO VERDE)",IF(N220=CURSOS!$D$9,"HUMANIZACION EN SALUD, BUENAS PRACTICAS EN PACIENTE ",IF(N220=CURSOS!$D$10,"CLINICA DE HERIDAS ",IF(N220=CURSOS!$D$11,"TOMA DE CITOLOGIA A CERVICO VAGINAL ",IF(N220=CURSOS!$D$12,"SOPORTE CARDIOVASCULAR AVANZADO ",IF(N220=CURSOS!$D$13,"CAMILLERO ",IF(N220=CURSOS!$D$14,"TOMA MUESTRAS Y LABORATORIO ",IF(N220=CURSOS!$D$15,"SOPORTE VITAL BASICO (BLS)",IF(N220=CURSOS!$D$16,"ATENCION A VICTIMAS DE VIOLENCIA SEXUAL ",IF(N220=CURSOS!$D$17,"PROGRAMADO AMPLIADO DE INMUNIZACION (PAI - COVID 19)",IF(N220=CURSOS!$D$18,"ATENCION INTEGRAL EN ENFERMEDADES PREVALENTES EN PRIMERA INFANCIA (AIEPI)",IF(N220=CURSOS!$D$19,"ADMINISTRACION DE MEDICAMENTOS, IYECTOLOGIA  Y CANALIZACION ",IF(N220=CURSOS!$D$20,"OPERADOR DE VEHICULOS DE EMERGENCIA (OVE)",IF(N220=CURSOS!$D$21,"INSTITUCIONES AMIGAS DE LA MUJER Y LA INFANCIA (IAMI)",IF(N220=CURSOS!$D$22,"CUIDADO DEL DONANTE DE ORGANOS",IF(N220=CURSOS!$D$23,"ATENCION A VICTIMAS POR VIOLENCIA DE GENERO",IF(N220=CURSOS!$D$24,"IGUALDAD DE GENERO EN LA SALUD",IF(N220=CURSOS!$D$25,"BRIGADA DE EMERGENCIA",IF(N220=CURSOS!$D$26,"MANEJO DEL DOLOR Y CUIDADOS PALIATIVOS",IF(N220=CURSOS!$D$27,"TOMA MUESTRAS Y LABORATORIO POCT",IF(N220=CURSOS!$D$28,"IMPLANTE SUBDERMICO Y DISPOSITIVO INTRAUTERINO",IF(N220=CURSOS!$D$29,"SALUD MENTAL",IF(N220=CURSOS!$D$30,"PRIMEROS AUXILIOS PSICOLOGICOS",IF(N220=CURSOS!$D$31,"ATENCION A VICTIMAS POR CONFLICTO ARMADO",IF(N220=CURSOS!$D$32,"MANIPULACION DE ALIMENTOS Y BPM"))))))))))))))))))))))))))))))</f>
        <v>0</v>
      </c>
      <c r="U220" s="41" t="str">
        <f t="shared" si="24"/>
        <v xml:space="preserve">   </v>
      </c>
      <c r="V220" s="41" t="str">
        <f t="shared" si="25"/>
        <v xml:space="preserve">   </v>
      </c>
      <c r="W220" s="41" t="str">
        <f t="shared" ref="W220:W251" si="26">CONCATENATE(U220,"-",B226,"-",N220)</f>
        <v xml:space="preserve">   --</v>
      </c>
    </row>
    <row r="221" spans="1:23" x14ac:dyDescent="0.2">
      <c r="A221" s="94">
        <v>220</v>
      </c>
      <c r="H221" s="31" t="s">
        <v>90</v>
      </c>
      <c r="S221" s="79"/>
      <c r="T221" s="41" t="b">
        <f>IF(N221=CURSOS!$D$3,"DIPLOMADO EN ATENCION PRE-HOSPITALARIA",IF(N221=CURSOS!$D$4,"ACOMPAÑAMIENTO Y MANEJO DEL DUELO",IF(N221=CURSOS!$D$5,"ATENCION A VICTIMAS DE ATAQUE CON AGENTES QUIMICOS ",IF(N221=CURSOS!$D$6,"PRIMEROS AUXILIOS ",IF(N221=CURSOS!$D$7,"DIPLOMADO DE UNIDAD DE CUIDADOS INTENSIVOS (UCI)",IF(N221=CURSOS!$D$8,"MODELO DE ATENCION PARA EVENTOS EMERGENTES EN SALUD MENTAL (CODIGO VERDE)",IF(N221=CURSOS!$D$9,"HUMANIZACION EN SALUD, BUENAS PRACTICAS EN PACIENTE ",IF(N221=CURSOS!$D$10,"CLINICA DE HERIDAS ",IF(N221=CURSOS!$D$11,"TOMA DE CITOLOGIA A CERVICO VAGINAL ",IF(N221=CURSOS!$D$12,"SOPORTE CARDIOVASCULAR AVANZADO ",IF(N221=CURSOS!$D$13,"CAMILLERO ",IF(N221=CURSOS!$D$14,"TOMA MUESTRAS Y LABORATORIO ",IF(N221=CURSOS!$D$15,"SOPORTE VITAL BASICO (BLS)",IF(N221=CURSOS!$D$16,"ATENCION A VICTIMAS DE VIOLENCIA SEXUAL ",IF(N221=CURSOS!$D$17,"PROGRAMADO AMPLIADO DE INMUNIZACION (PAI - COVID 19)",IF(N221=CURSOS!$D$18,"ATENCION INTEGRAL EN ENFERMEDADES PREVALENTES EN PRIMERA INFANCIA (AIEPI)",IF(N221=CURSOS!$D$19,"ADMINISTRACION DE MEDICAMENTOS, IYECTOLOGIA  Y CANALIZACION ",IF(N221=CURSOS!$D$20,"OPERADOR DE VEHICULOS DE EMERGENCIA (OVE)",IF(N221=CURSOS!$D$21,"INSTITUCIONES AMIGAS DE LA MUJER Y LA INFANCIA (IAMI)",IF(N221=CURSOS!$D$22,"CUIDADO DEL DONANTE DE ORGANOS",IF(N221=CURSOS!$D$23,"ATENCION A VICTIMAS POR VIOLENCIA DE GENERO",IF(N221=CURSOS!$D$24,"IGUALDAD DE GENERO EN LA SALUD",IF(N221=CURSOS!$D$25,"BRIGADA DE EMERGENCIA",IF(N221=CURSOS!$D$26,"MANEJO DEL DOLOR Y CUIDADOS PALIATIVOS",IF(N221=CURSOS!$D$27,"TOMA MUESTRAS Y LABORATORIO POCT",IF(N221=CURSOS!$D$28,"IMPLANTE SUBDERMICO Y DISPOSITIVO INTRAUTERINO",IF(N221=CURSOS!$D$29,"SALUD MENTAL",IF(N221=CURSOS!$D$30,"PRIMEROS AUXILIOS PSICOLOGICOS",IF(N221=CURSOS!$D$31,"ATENCION A VICTIMAS POR CONFLICTO ARMADO",IF(N221=CURSOS!$D$32,"MANIPULACION DE ALIMENTOS Y BPM"))))))))))))))))))))))))))))))</f>
        <v>0</v>
      </c>
      <c r="U221" s="41" t="str">
        <f t="shared" si="24"/>
        <v xml:space="preserve">   </v>
      </c>
      <c r="V221" s="41" t="str">
        <f t="shared" si="25"/>
        <v xml:space="preserve">   </v>
      </c>
      <c r="W221" s="41" t="str">
        <f t="shared" si="26"/>
        <v xml:space="preserve">   --</v>
      </c>
    </row>
    <row r="222" spans="1:23" x14ac:dyDescent="0.2">
      <c r="A222" s="94">
        <v>221</v>
      </c>
      <c r="H222" s="31" t="s">
        <v>90</v>
      </c>
      <c r="S222" s="79"/>
      <c r="T222" s="41" t="b">
        <f>IF(N222=CURSOS!$D$3,"DIPLOMADO EN ATENCION PRE-HOSPITALARIA",IF(N222=CURSOS!$D$4,"ACOMPAÑAMIENTO Y MANEJO DEL DUELO",IF(N222=CURSOS!$D$5,"ATENCION A VICTIMAS DE ATAQUE CON AGENTES QUIMICOS ",IF(N222=CURSOS!$D$6,"PRIMEROS AUXILIOS ",IF(N222=CURSOS!$D$7,"DIPLOMADO DE UNIDAD DE CUIDADOS INTENSIVOS (UCI)",IF(N222=CURSOS!$D$8,"MODELO DE ATENCION PARA EVENTOS EMERGENTES EN SALUD MENTAL (CODIGO VERDE)",IF(N222=CURSOS!$D$9,"HUMANIZACION EN SALUD, BUENAS PRACTICAS EN PACIENTE ",IF(N222=CURSOS!$D$10,"CLINICA DE HERIDAS ",IF(N222=CURSOS!$D$11,"TOMA DE CITOLOGIA A CERVICO VAGINAL ",IF(N222=CURSOS!$D$12,"SOPORTE CARDIOVASCULAR AVANZADO ",IF(N222=CURSOS!$D$13,"CAMILLERO ",IF(N222=CURSOS!$D$14,"TOMA MUESTRAS Y LABORATORIO ",IF(N222=CURSOS!$D$15,"SOPORTE VITAL BASICO (BLS)",IF(N222=CURSOS!$D$16,"ATENCION A VICTIMAS DE VIOLENCIA SEXUAL ",IF(N222=CURSOS!$D$17,"PROGRAMADO AMPLIADO DE INMUNIZACION (PAI - COVID 19)",IF(N222=CURSOS!$D$18,"ATENCION INTEGRAL EN ENFERMEDADES PREVALENTES EN PRIMERA INFANCIA (AIEPI)",IF(N222=CURSOS!$D$19,"ADMINISTRACION DE MEDICAMENTOS, IYECTOLOGIA  Y CANALIZACION ",IF(N222=CURSOS!$D$20,"OPERADOR DE VEHICULOS DE EMERGENCIA (OVE)",IF(N222=CURSOS!$D$21,"INSTITUCIONES AMIGAS DE LA MUJER Y LA INFANCIA (IAMI)",IF(N222=CURSOS!$D$22,"CUIDADO DEL DONANTE DE ORGANOS",IF(N222=CURSOS!$D$23,"ATENCION A VICTIMAS POR VIOLENCIA DE GENERO",IF(N222=CURSOS!$D$24,"IGUALDAD DE GENERO EN LA SALUD",IF(N222=CURSOS!$D$25,"BRIGADA DE EMERGENCIA",IF(N222=CURSOS!$D$26,"MANEJO DEL DOLOR Y CUIDADOS PALIATIVOS",IF(N222=CURSOS!$D$27,"TOMA MUESTRAS Y LABORATORIO POCT",IF(N222=CURSOS!$D$28,"IMPLANTE SUBDERMICO Y DISPOSITIVO INTRAUTERINO",IF(N222=CURSOS!$D$29,"SALUD MENTAL",IF(N222=CURSOS!$D$30,"PRIMEROS AUXILIOS PSICOLOGICOS",IF(N222=CURSOS!$D$31,"ATENCION A VICTIMAS POR CONFLICTO ARMADO",IF(N222=CURSOS!$D$32,"MANIPULACION DE ALIMENTOS Y BPM"))))))))))))))))))))))))))))))</f>
        <v>0</v>
      </c>
      <c r="U222" s="41" t="str">
        <f t="shared" si="24"/>
        <v xml:space="preserve">   </v>
      </c>
      <c r="V222" s="41" t="str">
        <f t="shared" si="25"/>
        <v xml:space="preserve">   </v>
      </c>
      <c r="W222" s="41" t="str">
        <f t="shared" si="26"/>
        <v xml:space="preserve">   --</v>
      </c>
    </row>
    <row r="223" spans="1:23" x14ac:dyDescent="0.2">
      <c r="A223" s="94">
        <v>222</v>
      </c>
      <c r="H223" s="31" t="s">
        <v>90</v>
      </c>
      <c r="S223" s="79"/>
      <c r="T223" s="41" t="b">
        <f>IF(N223=CURSOS!$D$3,"DIPLOMADO EN ATENCION PRE-HOSPITALARIA",IF(N223=CURSOS!$D$4,"ACOMPAÑAMIENTO Y MANEJO DEL DUELO",IF(N223=CURSOS!$D$5,"ATENCION A VICTIMAS DE ATAQUE CON AGENTES QUIMICOS ",IF(N223=CURSOS!$D$6,"PRIMEROS AUXILIOS ",IF(N223=CURSOS!$D$7,"DIPLOMADO DE UNIDAD DE CUIDADOS INTENSIVOS (UCI)",IF(N223=CURSOS!$D$8,"MODELO DE ATENCION PARA EVENTOS EMERGENTES EN SALUD MENTAL (CODIGO VERDE)",IF(N223=CURSOS!$D$9,"HUMANIZACION EN SALUD, BUENAS PRACTICAS EN PACIENTE ",IF(N223=CURSOS!$D$10,"CLINICA DE HERIDAS ",IF(N223=CURSOS!$D$11,"TOMA DE CITOLOGIA A CERVICO VAGINAL ",IF(N223=CURSOS!$D$12,"SOPORTE CARDIOVASCULAR AVANZADO ",IF(N223=CURSOS!$D$13,"CAMILLERO ",IF(N223=CURSOS!$D$14,"TOMA MUESTRAS Y LABORATORIO ",IF(N223=CURSOS!$D$15,"SOPORTE VITAL BASICO (BLS)",IF(N223=CURSOS!$D$16,"ATENCION A VICTIMAS DE VIOLENCIA SEXUAL ",IF(N223=CURSOS!$D$17,"PROGRAMADO AMPLIADO DE INMUNIZACION (PAI - COVID 19)",IF(N223=CURSOS!$D$18,"ATENCION INTEGRAL EN ENFERMEDADES PREVALENTES EN PRIMERA INFANCIA (AIEPI)",IF(N223=CURSOS!$D$19,"ADMINISTRACION DE MEDICAMENTOS, IYECTOLOGIA  Y CANALIZACION ",IF(N223=CURSOS!$D$20,"OPERADOR DE VEHICULOS DE EMERGENCIA (OVE)",IF(N223=CURSOS!$D$21,"INSTITUCIONES AMIGAS DE LA MUJER Y LA INFANCIA (IAMI)",IF(N223=CURSOS!$D$22,"CUIDADO DEL DONANTE DE ORGANOS",IF(N223=CURSOS!$D$23,"ATENCION A VICTIMAS POR VIOLENCIA DE GENERO",IF(N223=CURSOS!$D$24,"IGUALDAD DE GENERO EN LA SALUD",IF(N223=CURSOS!$D$25,"BRIGADA DE EMERGENCIA",IF(N223=CURSOS!$D$26,"MANEJO DEL DOLOR Y CUIDADOS PALIATIVOS",IF(N223=CURSOS!$D$27,"TOMA MUESTRAS Y LABORATORIO POCT",IF(N223=CURSOS!$D$28,"IMPLANTE SUBDERMICO Y DISPOSITIVO INTRAUTERINO",IF(N223=CURSOS!$D$29,"SALUD MENTAL",IF(N223=CURSOS!$D$30,"PRIMEROS AUXILIOS PSICOLOGICOS",IF(N223=CURSOS!$D$31,"ATENCION A VICTIMAS POR CONFLICTO ARMADO",IF(N223=CURSOS!$D$32,"MANIPULACION DE ALIMENTOS Y BPM"))))))))))))))))))))))))))))))</f>
        <v>0</v>
      </c>
      <c r="U223" s="41" t="str">
        <f t="shared" si="24"/>
        <v xml:space="preserve">   </v>
      </c>
      <c r="V223" s="41" t="str">
        <f t="shared" si="25"/>
        <v xml:space="preserve">   </v>
      </c>
      <c r="W223" s="41" t="str">
        <f t="shared" si="26"/>
        <v xml:space="preserve">   --</v>
      </c>
    </row>
    <row r="224" spans="1:23" x14ac:dyDescent="0.2">
      <c r="A224" s="94">
        <v>223</v>
      </c>
      <c r="H224" s="31" t="s">
        <v>90</v>
      </c>
      <c r="S224" s="79"/>
      <c r="T224" s="41" t="b">
        <f>IF(N224=CURSOS!$D$3,"DIPLOMADO EN ATENCION PRE-HOSPITALARIA",IF(N224=CURSOS!$D$4,"ACOMPAÑAMIENTO Y MANEJO DEL DUELO",IF(N224=CURSOS!$D$5,"ATENCION A VICTIMAS DE ATAQUE CON AGENTES QUIMICOS ",IF(N224=CURSOS!$D$6,"PRIMEROS AUXILIOS ",IF(N224=CURSOS!$D$7,"DIPLOMADO DE UNIDAD DE CUIDADOS INTENSIVOS (UCI)",IF(N224=CURSOS!$D$8,"MODELO DE ATENCION PARA EVENTOS EMERGENTES EN SALUD MENTAL (CODIGO VERDE)",IF(N224=CURSOS!$D$9,"HUMANIZACION EN SALUD, BUENAS PRACTICAS EN PACIENTE ",IF(N224=CURSOS!$D$10,"CLINICA DE HERIDAS ",IF(N224=CURSOS!$D$11,"TOMA DE CITOLOGIA A CERVICO VAGINAL ",IF(N224=CURSOS!$D$12,"SOPORTE CARDIOVASCULAR AVANZADO ",IF(N224=CURSOS!$D$13,"CAMILLERO ",IF(N224=CURSOS!$D$14,"TOMA MUESTRAS Y LABORATORIO ",IF(N224=CURSOS!$D$15,"SOPORTE VITAL BASICO (BLS)",IF(N224=CURSOS!$D$16,"ATENCION A VICTIMAS DE VIOLENCIA SEXUAL ",IF(N224=CURSOS!$D$17,"PROGRAMADO AMPLIADO DE INMUNIZACION (PAI - COVID 19)",IF(N224=CURSOS!$D$18,"ATENCION INTEGRAL EN ENFERMEDADES PREVALENTES EN PRIMERA INFANCIA (AIEPI)",IF(N224=CURSOS!$D$19,"ADMINISTRACION DE MEDICAMENTOS, IYECTOLOGIA  Y CANALIZACION ",IF(N224=CURSOS!$D$20,"OPERADOR DE VEHICULOS DE EMERGENCIA (OVE)",IF(N224=CURSOS!$D$21,"INSTITUCIONES AMIGAS DE LA MUJER Y LA INFANCIA (IAMI)",IF(N224=CURSOS!$D$22,"CUIDADO DEL DONANTE DE ORGANOS",IF(N224=CURSOS!$D$23,"ATENCION A VICTIMAS POR VIOLENCIA DE GENERO",IF(N224=CURSOS!$D$24,"IGUALDAD DE GENERO EN LA SALUD",IF(N224=CURSOS!$D$25,"BRIGADA DE EMERGENCIA",IF(N224=CURSOS!$D$26,"MANEJO DEL DOLOR Y CUIDADOS PALIATIVOS",IF(N224=CURSOS!$D$27,"TOMA MUESTRAS Y LABORATORIO POCT",IF(N224=CURSOS!$D$28,"IMPLANTE SUBDERMICO Y DISPOSITIVO INTRAUTERINO",IF(N224=CURSOS!$D$29,"SALUD MENTAL",IF(N224=CURSOS!$D$30,"PRIMEROS AUXILIOS PSICOLOGICOS",IF(N224=CURSOS!$D$31,"ATENCION A VICTIMAS POR CONFLICTO ARMADO",IF(N224=CURSOS!$D$32,"MANIPULACION DE ALIMENTOS Y BPM"))))))))))))))))))))))))))))))</f>
        <v>0</v>
      </c>
      <c r="U224" s="41" t="str">
        <f t="shared" si="24"/>
        <v xml:space="preserve">   </v>
      </c>
      <c r="V224" s="41" t="str">
        <f t="shared" si="25"/>
        <v xml:space="preserve">   </v>
      </c>
      <c r="W224" s="41" t="str">
        <f t="shared" si="26"/>
        <v xml:space="preserve">   --</v>
      </c>
    </row>
    <row r="225" spans="1:23" x14ac:dyDescent="0.2">
      <c r="A225" s="94">
        <v>224</v>
      </c>
      <c r="H225" s="31" t="s">
        <v>90</v>
      </c>
      <c r="T225" s="41" t="b">
        <f>IF(N225=CURSOS!$D$3,"DIPLOMADO EN ATENCION PRE-HOSPITALARIA",IF(N225=CURSOS!$D$4,"ACOMPAÑAMIENTO Y MANEJO DEL DUELO",IF(N225=CURSOS!$D$5,"ATENCION A VICTIMAS DE ATAQUE CON AGENTES QUIMICOS ",IF(N225=CURSOS!$D$6,"PRIMEROS AUXILIOS ",IF(N225=CURSOS!$D$7,"DIPLOMADO DE UNIDAD DE CUIDADOS INTENSIVOS (UCI)",IF(N225=CURSOS!$D$8,"MODELO DE ATENCION PARA EVENTOS EMERGENTES EN SALUD MENTAL (CODIGO VERDE)",IF(N225=CURSOS!$D$9,"HUMANIZACION EN SALUD, BUENAS PRACTICAS EN PACIENTE ",IF(N225=CURSOS!$D$10,"CLINICA DE HERIDAS ",IF(N225=CURSOS!$D$11,"TOMA DE CITOLOGIA A CERVICO VAGINAL ",IF(N225=CURSOS!$D$12,"SOPORTE CARDIOVASCULAR AVANZADO ",IF(N225=CURSOS!$D$13,"CAMILLERO ",IF(N225=CURSOS!$D$14,"TOMA MUESTRAS Y LABORATORIO ",IF(N225=CURSOS!$D$15,"SOPORTE VITAL BASICO (BLS)",IF(N225=CURSOS!$D$16,"ATENCION A VICTIMAS DE VIOLENCIA SEXUAL ",IF(N225=CURSOS!$D$17,"PROGRAMADO AMPLIADO DE INMUNIZACION (PAI - COVID 19)",IF(N225=CURSOS!$D$18,"ATENCION INTEGRAL EN ENFERMEDADES PREVALENTES EN PRIMERA INFANCIA (AIEPI)",IF(N225=CURSOS!$D$19,"ADMINISTRACION DE MEDICAMENTOS, IYECTOLOGIA  Y CANALIZACION ",IF(N225=CURSOS!$D$20,"OPERADOR DE VEHICULOS DE EMERGENCIA (OVE)",IF(N225=CURSOS!$D$21,"INSTITUCIONES AMIGAS DE LA MUJER Y LA INFANCIA (IAMI)",IF(N225=CURSOS!$D$22,"CUIDADO DEL DONANTE DE ORGANOS",IF(N225=CURSOS!$D$23,"ATENCION A VICTIMAS POR VIOLENCIA DE GENERO",IF(N225=CURSOS!$D$24,"IGUALDAD DE GENERO EN LA SALUD",IF(N225=CURSOS!$D$25,"BRIGADA DE EMERGENCIA",IF(N225=CURSOS!$D$26,"MANEJO DEL DOLOR Y CUIDADOS PALIATIVOS",IF(N225=CURSOS!$D$27,"TOMA MUESTRAS Y LABORATORIO POCT",IF(N225=CURSOS!$D$28,"IMPLANTE SUBDERMICO Y DISPOSITIVO INTRAUTERINO",IF(N225=CURSOS!$D$29,"SALUD MENTAL",IF(N225=CURSOS!$D$30,"PRIMEROS AUXILIOS PSICOLOGICOS",IF(N225=CURSOS!$D$31,"ATENCION A VICTIMAS POR CONFLICTO ARMADO",IF(N225=CURSOS!$D$32,"MANIPULACION DE ALIMENTOS Y BPM"))))))))))))))))))))))))))))))</f>
        <v>0</v>
      </c>
      <c r="U225" s="41" t="str">
        <f t="shared" si="24"/>
        <v xml:space="preserve">   </v>
      </c>
      <c r="V225" s="41" t="str">
        <f t="shared" si="25"/>
        <v xml:space="preserve">   </v>
      </c>
      <c r="W225" s="41" t="str">
        <f t="shared" si="26"/>
        <v xml:space="preserve">   --</v>
      </c>
    </row>
    <row r="226" spans="1:23" x14ac:dyDescent="0.2">
      <c r="A226" s="94">
        <v>225</v>
      </c>
      <c r="H226" s="31" t="s">
        <v>90</v>
      </c>
      <c r="T226" s="41" t="b">
        <f>IF(N226=CURSOS!$D$3,"DIPLOMADO EN ATENCION PRE-HOSPITALARIA",IF(N226=CURSOS!$D$4,"ACOMPAÑAMIENTO Y MANEJO DEL DUELO",IF(N226=CURSOS!$D$5,"ATENCION A VICTIMAS DE ATAQUE CON AGENTES QUIMICOS ",IF(N226=CURSOS!$D$6,"PRIMEROS AUXILIOS ",IF(N226=CURSOS!$D$7,"DIPLOMADO DE UNIDAD DE CUIDADOS INTENSIVOS (UCI)",IF(N226=CURSOS!$D$8,"MODELO DE ATENCION PARA EVENTOS EMERGENTES EN SALUD MENTAL (CODIGO VERDE)",IF(N226=CURSOS!$D$9,"HUMANIZACION EN SALUD, BUENAS PRACTICAS EN PACIENTE ",IF(N226=CURSOS!$D$10,"CLINICA DE HERIDAS ",IF(N226=CURSOS!$D$11,"TOMA DE CITOLOGIA A CERVICO VAGINAL ",IF(N226=CURSOS!$D$12,"SOPORTE CARDIOVASCULAR AVANZADO ",IF(N226=CURSOS!$D$13,"CAMILLERO ",IF(N226=CURSOS!$D$14,"TOMA MUESTRAS Y LABORATORIO ",IF(N226=CURSOS!$D$15,"SOPORTE VITAL BASICO (BLS)",IF(N226=CURSOS!$D$16,"ATENCION A VICTIMAS DE VIOLENCIA SEXUAL ",IF(N226=CURSOS!$D$17,"PROGRAMADO AMPLIADO DE INMUNIZACION (PAI - COVID 19)",IF(N226=CURSOS!$D$18,"ATENCION INTEGRAL EN ENFERMEDADES PREVALENTES EN PRIMERA INFANCIA (AIEPI)",IF(N226=CURSOS!$D$19,"ADMINISTRACION DE MEDICAMENTOS, IYECTOLOGIA  Y CANALIZACION ",IF(N226=CURSOS!$D$20,"OPERADOR DE VEHICULOS DE EMERGENCIA (OVE)",IF(N226=CURSOS!$D$21,"INSTITUCIONES AMIGAS DE LA MUJER Y LA INFANCIA (IAMI)",IF(N226=CURSOS!$D$22,"CUIDADO DEL DONANTE DE ORGANOS",IF(N226=CURSOS!$D$23,"ATENCION A VICTIMAS POR VIOLENCIA DE GENERO",IF(N226=CURSOS!$D$24,"IGUALDAD DE GENERO EN LA SALUD",IF(N226=CURSOS!$D$25,"BRIGADA DE EMERGENCIA",IF(N226=CURSOS!$D$26,"MANEJO DEL DOLOR Y CUIDADOS PALIATIVOS",IF(N226=CURSOS!$D$27,"TOMA MUESTRAS Y LABORATORIO POCT",IF(N226=CURSOS!$D$28,"IMPLANTE SUBDERMICO Y DISPOSITIVO INTRAUTERINO",IF(N226=CURSOS!$D$29,"SALUD MENTAL",IF(N226=CURSOS!$D$30,"PRIMEROS AUXILIOS PSICOLOGICOS",IF(N226=CURSOS!$D$31,"ATENCION A VICTIMAS POR CONFLICTO ARMADO",IF(N226=CURSOS!$D$32,"MANIPULACION DE ALIMENTOS Y BPM"))))))))))))))))))))))))))))))</f>
        <v>0</v>
      </c>
      <c r="U226" s="41" t="str">
        <f t="shared" si="24"/>
        <v xml:space="preserve">   </v>
      </c>
      <c r="V226" s="41" t="str">
        <f t="shared" si="25"/>
        <v xml:space="preserve">   </v>
      </c>
      <c r="W226" s="41" t="str">
        <f t="shared" si="26"/>
        <v xml:space="preserve">   --</v>
      </c>
    </row>
    <row r="227" spans="1:23" x14ac:dyDescent="0.2">
      <c r="A227" s="94">
        <v>226</v>
      </c>
      <c r="H227" s="31" t="s">
        <v>90</v>
      </c>
      <c r="T227" s="41" t="b">
        <f>IF(N227=CURSOS!$D$3,"DIPLOMADO EN ATENCION PRE-HOSPITALARIA",IF(N227=CURSOS!$D$4,"ACOMPAÑAMIENTO Y MANEJO DEL DUELO",IF(N227=CURSOS!$D$5,"ATENCION A VICTIMAS DE ATAQUE CON AGENTES QUIMICOS ",IF(N227=CURSOS!$D$6,"PRIMEROS AUXILIOS ",IF(N227=CURSOS!$D$7,"DIPLOMADO DE UNIDAD DE CUIDADOS INTENSIVOS (UCI)",IF(N227=CURSOS!$D$8,"MODELO DE ATENCION PARA EVENTOS EMERGENTES EN SALUD MENTAL (CODIGO VERDE)",IF(N227=CURSOS!$D$9,"HUMANIZACION EN SALUD, BUENAS PRACTICAS EN PACIENTE ",IF(N227=CURSOS!$D$10,"CLINICA DE HERIDAS ",IF(N227=CURSOS!$D$11,"TOMA DE CITOLOGIA A CERVICO VAGINAL ",IF(N227=CURSOS!$D$12,"SOPORTE CARDIOVASCULAR AVANZADO ",IF(N227=CURSOS!$D$13,"CAMILLERO ",IF(N227=CURSOS!$D$14,"TOMA MUESTRAS Y LABORATORIO ",IF(N227=CURSOS!$D$15,"SOPORTE VITAL BASICO (BLS)",IF(N227=CURSOS!$D$16,"ATENCION A VICTIMAS DE VIOLENCIA SEXUAL ",IF(N227=CURSOS!$D$17,"PROGRAMADO AMPLIADO DE INMUNIZACION (PAI - COVID 19)",IF(N227=CURSOS!$D$18,"ATENCION INTEGRAL EN ENFERMEDADES PREVALENTES EN PRIMERA INFANCIA (AIEPI)",IF(N227=CURSOS!$D$19,"ADMINISTRACION DE MEDICAMENTOS, IYECTOLOGIA  Y CANALIZACION ",IF(N227=CURSOS!$D$20,"OPERADOR DE VEHICULOS DE EMERGENCIA (OVE)",IF(N227=CURSOS!$D$21,"INSTITUCIONES AMIGAS DE LA MUJER Y LA INFANCIA (IAMI)",IF(N227=CURSOS!$D$22,"CUIDADO DEL DONANTE DE ORGANOS",IF(N227=CURSOS!$D$23,"ATENCION A VICTIMAS POR VIOLENCIA DE GENERO",IF(N227=CURSOS!$D$24,"IGUALDAD DE GENERO EN LA SALUD",IF(N227=CURSOS!$D$25,"BRIGADA DE EMERGENCIA",IF(N227=CURSOS!$D$26,"MANEJO DEL DOLOR Y CUIDADOS PALIATIVOS",IF(N227=CURSOS!$D$27,"TOMA MUESTRAS Y LABORATORIO POCT",IF(N227=CURSOS!$D$28,"IMPLANTE SUBDERMICO Y DISPOSITIVO INTRAUTERINO",IF(N227=CURSOS!$D$29,"SALUD MENTAL",IF(N227=CURSOS!$D$30,"PRIMEROS AUXILIOS PSICOLOGICOS",IF(N227=CURSOS!$D$31,"ATENCION A VICTIMAS POR CONFLICTO ARMADO",IF(N227=CURSOS!$D$32,"MANIPULACION DE ALIMENTOS Y BPM"))))))))))))))))))))))))))))))</f>
        <v>0</v>
      </c>
      <c r="U227" s="41" t="str">
        <f t="shared" si="24"/>
        <v xml:space="preserve">   </v>
      </c>
      <c r="V227" s="41" t="str">
        <f t="shared" si="25"/>
        <v xml:space="preserve">   </v>
      </c>
      <c r="W227" s="41" t="str">
        <f t="shared" si="26"/>
        <v xml:space="preserve">   --</v>
      </c>
    </row>
    <row r="228" spans="1:23" x14ac:dyDescent="0.2">
      <c r="A228" s="94">
        <v>227</v>
      </c>
      <c r="H228" s="31" t="s">
        <v>90</v>
      </c>
      <c r="T228" s="41" t="b">
        <f>IF(N228=CURSOS!$D$3,"DIPLOMADO EN ATENCION PRE-HOSPITALARIA",IF(N228=CURSOS!$D$4,"ACOMPAÑAMIENTO Y MANEJO DEL DUELO",IF(N228=CURSOS!$D$5,"ATENCION A VICTIMAS DE ATAQUE CON AGENTES QUIMICOS ",IF(N228=CURSOS!$D$6,"PRIMEROS AUXILIOS ",IF(N228=CURSOS!$D$7,"DIPLOMADO DE UNIDAD DE CUIDADOS INTENSIVOS (UCI)",IF(N228=CURSOS!$D$8,"MODELO DE ATENCION PARA EVENTOS EMERGENTES EN SALUD MENTAL (CODIGO VERDE)",IF(N228=CURSOS!$D$9,"HUMANIZACION EN SALUD, BUENAS PRACTICAS EN PACIENTE ",IF(N228=CURSOS!$D$10,"CLINICA DE HERIDAS ",IF(N228=CURSOS!$D$11,"TOMA DE CITOLOGIA A CERVICO VAGINAL ",IF(N228=CURSOS!$D$12,"SOPORTE CARDIOVASCULAR AVANZADO ",IF(N228=CURSOS!$D$13,"CAMILLERO ",IF(N228=CURSOS!$D$14,"TOMA MUESTRAS Y LABORATORIO ",IF(N228=CURSOS!$D$15,"SOPORTE VITAL BASICO (BLS)",IF(N228=CURSOS!$D$16,"ATENCION A VICTIMAS DE VIOLENCIA SEXUAL ",IF(N228=CURSOS!$D$17,"PROGRAMADO AMPLIADO DE INMUNIZACION (PAI - COVID 19)",IF(N228=CURSOS!$D$18,"ATENCION INTEGRAL EN ENFERMEDADES PREVALENTES EN PRIMERA INFANCIA (AIEPI)",IF(N228=CURSOS!$D$19,"ADMINISTRACION DE MEDICAMENTOS, IYECTOLOGIA  Y CANALIZACION ",IF(N228=CURSOS!$D$20,"OPERADOR DE VEHICULOS DE EMERGENCIA (OVE)",IF(N228=CURSOS!$D$21,"INSTITUCIONES AMIGAS DE LA MUJER Y LA INFANCIA (IAMI)",IF(N228=CURSOS!$D$22,"CUIDADO DEL DONANTE DE ORGANOS",IF(N228=CURSOS!$D$23,"ATENCION A VICTIMAS POR VIOLENCIA DE GENERO",IF(N228=CURSOS!$D$24,"IGUALDAD DE GENERO EN LA SALUD",IF(N228=CURSOS!$D$25,"BRIGADA DE EMERGENCIA",IF(N228=CURSOS!$D$26,"MANEJO DEL DOLOR Y CUIDADOS PALIATIVOS",IF(N228=CURSOS!$D$27,"TOMA MUESTRAS Y LABORATORIO POCT",IF(N228=CURSOS!$D$28,"IMPLANTE SUBDERMICO Y DISPOSITIVO INTRAUTERINO",IF(N228=CURSOS!$D$29,"SALUD MENTAL",IF(N228=CURSOS!$D$30,"PRIMEROS AUXILIOS PSICOLOGICOS",IF(N228=CURSOS!$D$31,"ATENCION A VICTIMAS POR CONFLICTO ARMADO",IF(N228=CURSOS!$D$32,"MANIPULACION DE ALIMENTOS Y BPM"))))))))))))))))))))))))))))))</f>
        <v>0</v>
      </c>
      <c r="U228" s="41" t="str">
        <f t="shared" si="24"/>
        <v xml:space="preserve">   </v>
      </c>
      <c r="V228" s="41" t="str">
        <f t="shared" si="25"/>
        <v xml:space="preserve">   </v>
      </c>
      <c r="W228" s="41" t="str">
        <f t="shared" si="26"/>
        <v xml:space="preserve">   --</v>
      </c>
    </row>
    <row r="229" spans="1:23" x14ac:dyDescent="0.2">
      <c r="A229" s="94">
        <v>228</v>
      </c>
      <c r="H229" s="31" t="s">
        <v>90</v>
      </c>
      <c r="T229" s="41" t="b">
        <f>IF(N229=CURSOS!$D$3,"DIPLOMADO EN ATENCION PRE-HOSPITALARIA",IF(N229=CURSOS!$D$4,"ACOMPAÑAMIENTO Y MANEJO DEL DUELO",IF(N229=CURSOS!$D$5,"ATENCION A VICTIMAS DE ATAQUE CON AGENTES QUIMICOS ",IF(N229=CURSOS!$D$6,"PRIMEROS AUXILIOS ",IF(N229=CURSOS!$D$7,"DIPLOMADO DE UNIDAD DE CUIDADOS INTENSIVOS (UCI)",IF(N229=CURSOS!$D$8,"MODELO DE ATENCION PARA EVENTOS EMERGENTES EN SALUD MENTAL (CODIGO VERDE)",IF(N229=CURSOS!$D$9,"HUMANIZACION EN SALUD, BUENAS PRACTICAS EN PACIENTE ",IF(N229=CURSOS!$D$10,"CLINICA DE HERIDAS ",IF(N229=CURSOS!$D$11,"TOMA DE CITOLOGIA A CERVICO VAGINAL ",IF(N229=CURSOS!$D$12,"SOPORTE CARDIOVASCULAR AVANZADO ",IF(N229=CURSOS!$D$13,"CAMILLERO ",IF(N229=CURSOS!$D$14,"TOMA MUESTRAS Y LABORATORIO ",IF(N229=CURSOS!$D$15,"SOPORTE VITAL BASICO (BLS)",IF(N229=CURSOS!$D$16,"ATENCION A VICTIMAS DE VIOLENCIA SEXUAL ",IF(N229=CURSOS!$D$17,"PROGRAMADO AMPLIADO DE INMUNIZACION (PAI - COVID 19)",IF(N229=CURSOS!$D$18,"ATENCION INTEGRAL EN ENFERMEDADES PREVALENTES EN PRIMERA INFANCIA (AIEPI)",IF(N229=CURSOS!$D$19,"ADMINISTRACION DE MEDICAMENTOS, IYECTOLOGIA  Y CANALIZACION ",IF(N229=CURSOS!$D$20,"OPERADOR DE VEHICULOS DE EMERGENCIA (OVE)",IF(N229=CURSOS!$D$21,"INSTITUCIONES AMIGAS DE LA MUJER Y LA INFANCIA (IAMI)",IF(N229=CURSOS!$D$22,"CUIDADO DEL DONANTE DE ORGANOS",IF(N229=CURSOS!$D$23,"ATENCION A VICTIMAS POR VIOLENCIA DE GENERO",IF(N229=CURSOS!$D$24,"IGUALDAD DE GENERO EN LA SALUD",IF(N229=CURSOS!$D$25,"BRIGADA DE EMERGENCIA",IF(N229=CURSOS!$D$26,"MANEJO DEL DOLOR Y CUIDADOS PALIATIVOS",IF(N229=CURSOS!$D$27,"TOMA MUESTRAS Y LABORATORIO POCT",IF(N229=CURSOS!$D$28,"IMPLANTE SUBDERMICO Y DISPOSITIVO INTRAUTERINO",IF(N229=CURSOS!$D$29,"SALUD MENTAL",IF(N229=CURSOS!$D$30,"PRIMEROS AUXILIOS PSICOLOGICOS",IF(N229=CURSOS!$D$31,"ATENCION A VICTIMAS POR CONFLICTO ARMADO",IF(N229=CURSOS!$D$32,"MANIPULACION DE ALIMENTOS Y BPM"))))))))))))))))))))))))))))))</f>
        <v>0</v>
      </c>
      <c r="U229" s="41" t="str">
        <f t="shared" si="24"/>
        <v xml:space="preserve">   </v>
      </c>
      <c r="V229" s="41" t="str">
        <f t="shared" si="25"/>
        <v xml:space="preserve">   </v>
      </c>
      <c r="W229" s="41" t="str">
        <f t="shared" si="26"/>
        <v xml:space="preserve">   --</v>
      </c>
    </row>
    <row r="230" spans="1:23" x14ac:dyDescent="0.2">
      <c r="A230" s="94">
        <v>229</v>
      </c>
      <c r="H230" s="31" t="s">
        <v>90</v>
      </c>
      <c r="T230" s="41" t="b">
        <f>IF(N230=CURSOS!$D$3,"DIPLOMADO EN ATENCION PRE-HOSPITALARIA",IF(N230=CURSOS!$D$4,"ACOMPAÑAMIENTO Y MANEJO DEL DUELO",IF(N230=CURSOS!$D$5,"ATENCION A VICTIMAS DE ATAQUE CON AGENTES QUIMICOS ",IF(N230=CURSOS!$D$6,"PRIMEROS AUXILIOS ",IF(N230=CURSOS!$D$7,"DIPLOMADO DE UNIDAD DE CUIDADOS INTENSIVOS (UCI)",IF(N230=CURSOS!$D$8,"MODELO DE ATENCION PARA EVENTOS EMERGENTES EN SALUD MENTAL (CODIGO VERDE)",IF(N230=CURSOS!$D$9,"HUMANIZACION EN SALUD, BUENAS PRACTICAS EN PACIENTE ",IF(N230=CURSOS!$D$10,"CLINICA DE HERIDAS ",IF(N230=CURSOS!$D$11,"TOMA DE CITOLOGIA A CERVICO VAGINAL ",IF(N230=CURSOS!$D$12,"SOPORTE CARDIOVASCULAR AVANZADO ",IF(N230=CURSOS!$D$13,"CAMILLERO ",IF(N230=CURSOS!$D$14,"TOMA MUESTRAS Y LABORATORIO ",IF(N230=CURSOS!$D$15,"SOPORTE VITAL BASICO (BLS)",IF(N230=CURSOS!$D$16,"ATENCION A VICTIMAS DE VIOLENCIA SEXUAL ",IF(N230=CURSOS!$D$17,"PROGRAMADO AMPLIADO DE INMUNIZACION (PAI - COVID 19)",IF(N230=CURSOS!$D$18,"ATENCION INTEGRAL EN ENFERMEDADES PREVALENTES EN PRIMERA INFANCIA (AIEPI)",IF(N230=CURSOS!$D$19,"ADMINISTRACION DE MEDICAMENTOS, IYECTOLOGIA  Y CANALIZACION ",IF(N230=CURSOS!$D$20,"OPERADOR DE VEHICULOS DE EMERGENCIA (OVE)",IF(N230=CURSOS!$D$21,"INSTITUCIONES AMIGAS DE LA MUJER Y LA INFANCIA (IAMI)",IF(N230=CURSOS!$D$22,"CUIDADO DEL DONANTE DE ORGANOS",IF(N230=CURSOS!$D$23,"ATENCION A VICTIMAS POR VIOLENCIA DE GENERO",IF(N230=CURSOS!$D$24,"IGUALDAD DE GENERO EN LA SALUD",IF(N230=CURSOS!$D$25,"BRIGADA DE EMERGENCIA",IF(N230=CURSOS!$D$26,"MANEJO DEL DOLOR Y CUIDADOS PALIATIVOS",IF(N230=CURSOS!$D$27,"TOMA MUESTRAS Y LABORATORIO POCT",IF(N230=CURSOS!$D$28,"IMPLANTE SUBDERMICO Y DISPOSITIVO INTRAUTERINO",IF(N230=CURSOS!$D$29,"SALUD MENTAL",IF(N230=CURSOS!$D$30,"PRIMEROS AUXILIOS PSICOLOGICOS",IF(N230=CURSOS!$D$31,"ATENCION A VICTIMAS POR CONFLICTO ARMADO",IF(N230=CURSOS!$D$32,"MANIPULACION DE ALIMENTOS Y BPM"))))))))))))))))))))))))))))))</f>
        <v>0</v>
      </c>
      <c r="U230" s="41" t="str">
        <f t="shared" si="24"/>
        <v xml:space="preserve">   </v>
      </c>
      <c r="V230" s="41" t="str">
        <f t="shared" si="25"/>
        <v xml:space="preserve">   </v>
      </c>
      <c r="W230" s="41" t="str">
        <f t="shared" si="26"/>
        <v xml:space="preserve">   --</v>
      </c>
    </row>
    <row r="231" spans="1:23" x14ac:dyDescent="0.2">
      <c r="A231" s="94">
        <v>230</v>
      </c>
      <c r="H231" s="31" t="s">
        <v>90</v>
      </c>
      <c r="T231" s="41" t="b">
        <f>IF(N231=CURSOS!$D$3,"DIPLOMADO EN ATENCION PRE-HOSPITALARIA",IF(N231=CURSOS!$D$4,"ACOMPAÑAMIENTO Y MANEJO DEL DUELO",IF(N231=CURSOS!$D$5,"ATENCION A VICTIMAS DE ATAQUE CON AGENTES QUIMICOS ",IF(N231=CURSOS!$D$6,"PRIMEROS AUXILIOS ",IF(N231=CURSOS!$D$7,"DIPLOMADO DE UNIDAD DE CUIDADOS INTENSIVOS (UCI)",IF(N231=CURSOS!$D$8,"MODELO DE ATENCION PARA EVENTOS EMERGENTES EN SALUD MENTAL (CODIGO VERDE)",IF(N231=CURSOS!$D$9,"HUMANIZACION EN SALUD, BUENAS PRACTICAS EN PACIENTE ",IF(N231=CURSOS!$D$10,"CLINICA DE HERIDAS ",IF(N231=CURSOS!$D$11,"TOMA DE CITOLOGIA A CERVICO VAGINAL ",IF(N231=CURSOS!$D$12,"SOPORTE CARDIOVASCULAR AVANZADO ",IF(N231=CURSOS!$D$13,"CAMILLERO ",IF(N231=CURSOS!$D$14,"TOMA MUESTRAS Y LABORATORIO ",IF(N231=CURSOS!$D$15,"SOPORTE VITAL BASICO (BLS)",IF(N231=CURSOS!$D$16,"ATENCION A VICTIMAS DE VIOLENCIA SEXUAL ",IF(N231=CURSOS!$D$17,"PROGRAMADO AMPLIADO DE INMUNIZACION (PAI - COVID 19)",IF(N231=CURSOS!$D$18,"ATENCION INTEGRAL EN ENFERMEDADES PREVALENTES EN PRIMERA INFANCIA (AIEPI)",IF(N231=CURSOS!$D$19,"ADMINISTRACION DE MEDICAMENTOS, IYECTOLOGIA  Y CANALIZACION ",IF(N231=CURSOS!$D$20,"OPERADOR DE VEHICULOS DE EMERGENCIA (OVE)",IF(N231=CURSOS!$D$21,"INSTITUCIONES AMIGAS DE LA MUJER Y LA INFANCIA (IAMI)",IF(N231=CURSOS!$D$22,"CUIDADO DEL DONANTE DE ORGANOS",IF(N231=CURSOS!$D$23,"ATENCION A VICTIMAS POR VIOLENCIA DE GENERO",IF(N231=CURSOS!$D$24,"IGUALDAD DE GENERO EN LA SALUD",IF(N231=CURSOS!$D$25,"BRIGADA DE EMERGENCIA",IF(N231=CURSOS!$D$26,"MANEJO DEL DOLOR Y CUIDADOS PALIATIVOS",IF(N231=CURSOS!$D$27,"TOMA MUESTRAS Y LABORATORIO POCT",IF(N231=CURSOS!$D$28,"IMPLANTE SUBDERMICO Y DISPOSITIVO INTRAUTERINO",IF(N231=CURSOS!$D$29,"SALUD MENTAL",IF(N231=CURSOS!$D$30,"PRIMEROS AUXILIOS PSICOLOGICOS",IF(N231=CURSOS!$D$31,"ATENCION A VICTIMAS POR CONFLICTO ARMADO",IF(N231=CURSOS!$D$32,"MANIPULACION DE ALIMENTOS Y BPM"))))))))))))))))))))))))))))))</f>
        <v>0</v>
      </c>
      <c r="U231" s="41" t="str">
        <f t="shared" si="24"/>
        <v xml:space="preserve">   </v>
      </c>
      <c r="V231" s="41" t="str">
        <f t="shared" si="25"/>
        <v xml:space="preserve">   </v>
      </c>
      <c r="W231" s="41" t="str">
        <f t="shared" si="26"/>
        <v xml:space="preserve">   --</v>
      </c>
    </row>
    <row r="232" spans="1:23" x14ac:dyDescent="0.2">
      <c r="A232" s="94">
        <v>231</v>
      </c>
      <c r="H232" s="31" t="s">
        <v>90</v>
      </c>
      <c r="T232" s="41" t="b">
        <f>IF(N232=CURSOS!$D$3,"DIPLOMADO EN ATENCION PRE-HOSPITALARIA",IF(N232=CURSOS!$D$4,"ACOMPAÑAMIENTO Y MANEJO DEL DUELO",IF(N232=CURSOS!$D$5,"ATENCION A VICTIMAS DE ATAQUE CON AGENTES QUIMICOS ",IF(N232=CURSOS!$D$6,"PRIMEROS AUXILIOS ",IF(N232=CURSOS!$D$7,"DIPLOMADO DE UNIDAD DE CUIDADOS INTENSIVOS (UCI)",IF(N232=CURSOS!$D$8,"MODELO DE ATENCION PARA EVENTOS EMERGENTES EN SALUD MENTAL (CODIGO VERDE)",IF(N232=CURSOS!$D$9,"HUMANIZACION EN SALUD, BUENAS PRACTICAS EN PACIENTE ",IF(N232=CURSOS!$D$10,"CLINICA DE HERIDAS ",IF(N232=CURSOS!$D$11,"TOMA DE CITOLOGIA A CERVICO VAGINAL ",IF(N232=CURSOS!$D$12,"SOPORTE CARDIOVASCULAR AVANZADO ",IF(N232=CURSOS!$D$13,"CAMILLERO ",IF(N232=CURSOS!$D$14,"TOMA MUESTRAS Y LABORATORIO ",IF(N232=CURSOS!$D$15,"SOPORTE VITAL BASICO (BLS)",IF(N232=CURSOS!$D$16,"ATENCION A VICTIMAS DE VIOLENCIA SEXUAL ",IF(N232=CURSOS!$D$17,"PROGRAMADO AMPLIADO DE INMUNIZACION (PAI - COVID 19)",IF(N232=CURSOS!$D$18,"ATENCION INTEGRAL EN ENFERMEDADES PREVALENTES EN PRIMERA INFANCIA (AIEPI)",IF(N232=CURSOS!$D$19,"ADMINISTRACION DE MEDICAMENTOS, IYECTOLOGIA  Y CANALIZACION ",IF(N232=CURSOS!$D$20,"OPERADOR DE VEHICULOS DE EMERGENCIA (OVE)",IF(N232=CURSOS!$D$21,"INSTITUCIONES AMIGAS DE LA MUJER Y LA INFANCIA (IAMI)",IF(N232=CURSOS!$D$22,"CUIDADO DEL DONANTE DE ORGANOS",IF(N232=CURSOS!$D$23,"ATENCION A VICTIMAS POR VIOLENCIA DE GENERO",IF(N232=CURSOS!$D$24,"IGUALDAD DE GENERO EN LA SALUD",IF(N232=CURSOS!$D$25,"BRIGADA DE EMERGENCIA",IF(N232=CURSOS!$D$26,"MANEJO DEL DOLOR Y CUIDADOS PALIATIVOS",IF(N232=CURSOS!$D$27,"TOMA MUESTRAS Y LABORATORIO POCT",IF(N232=CURSOS!$D$28,"IMPLANTE SUBDERMICO Y DISPOSITIVO INTRAUTERINO",IF(N232=CURSOS!$D$29,"SALUD MENTAL",IF(N232=CURSOS!$D$30,"PRIMEROS AUXILIOS PSICOLOGICOS",IF(N232=CURSOS!$D$31,"ATENCION A VICTIMAS POR CONFLICTO ARMADO",IF(N232=CURSOS!$D$32,"MANIPULACION DE ALIMENTOS Y BPM"))))))))))))))))))))))))))))))</f>
        <v>0</v>
      </c>
      <c r="U232" s="41" t="str">
        <f t="shared" si="24"/>
        <v xml:space="preserve">   </v>
      </c>
      <c r="V232" s="41" t="str">
        <f t="shared" si="25"/>
        <v xml:space="preserve">   </v>
      </c>
      <c r="W232" s="41" t="str">
        <f t="shared" si="26"/>
        <v xml:space="preserve">   --</v>
      </c>
    </row>
    <row r="233" spans="1:23" x14ac:dyDescent="0.2">
      <c r="A233" s="94">
        <v>232</v>
      </c>
      <c r="H233" s="31" t="s">
        <v>90</v>
      </c>
      <c r="T233" s="41" t="b">
        <f>IF(N233=CURSOS!$D$3,"DIPLOMADO EN ATENCION PRE-HOSPITALARIA",IF(N233=CURSOS!$D$4,"ACOMPAÑAMIENTO Y MANEJO DEL DUELO",IF(N233=CURSOS!$D$5,"ATENCION A VICTIMAS DE ATAQUE CON AGENTES QUIMICOS ",IF(N233=CURSOS!$D$6,"PRIMEROS AUXILIOS ",IF(N233=CURSOS!$D$7,"DIPLOMADO DE UNIDAD DE CUIDADOS INTENSIVOS (UCI)",IF(N233=CURSOS!$D$8,"MODELO DE ATENCION PARA EVENTOS EMERGENTES EN SALUD MENTAL (CODIGO VERDE)",IF(N233=CURSOS!$D$9,"HUMANIZACION EN SALUD, BUENAS PRACTICAS EN PACIENTE ",IF(N233=CURSOS!$D$10,"CLINICA DE HERIDAS ",IF(N233=CURSOS!$D$11,"TOMA DE CITOLOGIA A CERVICO VAGINAL ",IF(N233=CURSOS!$D$12,"SOPORTE CARDIOVASCULAR AVANZADO ",IF(N233=CURSOS!$D$13,"CAMILLERO ",IF(N233=CURSOS!$D$14,"TOMA MUESTRAS Y LABORATORIO ",IF(N233=CURSOS!$D$15,"SOPORTE VITAL BASICO (BLS)",IF(N233=CURSOS!$D$16,"ATENCION A VICTIMAS DE VIOLENCIA SEXUAL ",IF(N233=CURSOS!$D$17,"PROGRAMADO AMPLIADO DE INMUNIZACION (PAI - COVID 19)",IF(N233=CURSOS!$D$18,"ATENCION INTEGRAL EN ENFERMEDADES PREVALENTES EN PRIMERA INFANCIA (AIEPI)",IF(N233=CURSOS!$D$19,"ADMINISTRACION DE MEDICAMENTOS, IYECTOLOGIA  Y CANALIZACION ",IF(N233=CURSOS!$D$20,"OPERADOR DE VEHICULOS DE EMERGENCIA (OVE)",IF(N233=CURSOS!$D$21,"INSTITUCIONES AMIGAS DE LA MUJER Y LA INFANCIA (IAMI)",IF(N233=CURSOS!$D$22,"CUIDADO DEL DONANTE DE ORGANOS",IF(N233=CURSOS!$D$23,"ATENCION A VICTIMAS POR VIOLENCIA DE GENERO",IF(N233=CURSOS!$D$24,"IGUALDAD DE GENERO EN LA SALUD",IF(N233=CURSOS!$D$25,"BRIGADA DE EMERGENCIA",IF(N233=CURSOS!$D$26,"MANEJO DEL DOLOR Y CUIDADOS PALIATIVOS",IF(N233=CURSOS!$D$27,"TOMA MUESTRAS Y LABORATORIO POCT",IF(N233=CURSOS!$D$28,"IMPLANTE SUBDERMICO Y DISPOSITIVO INTRAUTERINO",IF(N233=CURSOS!$D$29,"SALUD MENTAL",IF(N233=CURSOS!$D$30,"PRIMEROS AUXILIOS PSICOLOGICOS",IF(N233=CURSOS!$D$31,"ATENCION A VICTIMAS POR CONFLICTO ARMADO",IF(N233=CURSOS!$D$32,"MANIPULACION DE ALIMENTOS Y BPM"))))))))))))))))))))))))))))))</f>
        <v>0</v>
      </c>
      <c r="U233" s="41" t="str">
        <f t="shared" si="24"/>
        <v xml:space="preserve">   </v>
      </c>
      <c r="V233" s="41" t="str">
        <f t="shared" si="25"/>
        <v xml:space="preserve">   </v>
      </c>
      <c r="W233" s="41" t="str">
        <f t="shared" si="26"/>
        <v xml:space="preserve">   --</v>
      </c>
    </row>
    <row r="234" spans="1:23" x14ac:dyDescent="0.2">
      <c r="A234" s="94">
        <v>233</v>
      </c>
      <c r="H234" s="31" t="s">
        <v>90</v>
      </c>
      <c r="T234" s="41" t="b">
        <f>IF(N234=CURSOS!$D$3,"DIPLOMADO EN ATENCION PRE-HOSPITALARIA",IF(N234=CURSOS!$D$4,"ACOMPAÑAMIENTO Y MANEJO DEL DUELO",IF(N234=CURSOS!$D$5,"ATENCION A VICTIMAS DE ATAQUE CON AGENTES QUIMICOS ",IF(N234=CURSOS!$D$6,"PRIMEROS AUXILIOS ",IF(N234=CURSOS!$D$7,"DIPLOMADO DE UNIDAD DE CUIDADOS INTENSIVOS (UCI)",IF(N234=CURSOS!$D$8,"MODELO DE ATENCION PARA EVENTOS EMERGENTES EN SALUD MENTAL (CODIGO VERDE)",IF(N234=CURSOS!$D$9,"HUMANIZACION EN SALUD, BUENAS PRACTICAS EN PACIENTE ",IF(N234=CURSOS!$D$10,"CLINICA DE HERIDAS ",IF(N234=CURSOS!$D$11,"TOMA DE CITOLOGIA A CERVICO VAGINAL ",IF(N234=CURSOS!$D$12,"SOPORTE CARDIOVASCULAR AVANZADO ",IF(N234=CURSOS!$D$13,"CAMILLERO ",IF(N234=CURSOS!$D$14,"TOMA MUESTRAS Y LABORATORIO ",IF(N234=CURSOS!$D$15,"SOPORTE VITAL BASICO (BLS)",IF(N234=CURSOS!$D$16,"ATENCION A VICTIMAS DE VIOLENCIA SEXUAL ",IF(N234=CURSOS!$D$17,"PROGRAMADO AMPLIADO DE INMUNIZACION (PAI - COVID 19)",IF(N234=CURSOS!$D$18,"ATENCION INTEGRAL EN ENFERMEDADES PREVALENTES EN PRIMERA INFANCIA (AIEPI)",IF(N234=CURSOS!$D$19,"ADMINISTRACION DE MEDICAMENTOS, IYECTOLOGIA  Y CANALIZACION ",IF(N234=CURSOS!$D$20,"OPERADOR DE VEHICULOS DE EMERGENCIA (OVE)",IF(N234=CURSOS!$D$21,"INSTITUCIONES AMIGAS DE LA MUJER Y LA INFANCIA (IAMI)",IF(N234=CURSOS!$D$22,"CUIDADO DEL DONANTE DE ORGANOS",IF(N234=CURSOS!$D$23,"ATENCION A VICTIMAS POR VIOLENCIA DE GENERO",IF(N234=CURSOS!$D$24,"IGUALDAD DE GENERO EN LA SALUD",IF(N234=CURSOS!$D$25,"BRIGADA DE EMERGENCIA",IF(N234=CURSOS!$D$26,"MANEJO DEL DOLOR Y CUIDADOS PALIATIVOS",IF(N234=CURSOS!$D$27,"TOMA MUESTRAS Y LABORATORIO POCT",IF(N234=CURSOS!$D$28,"IMPLANTE SUBDERMICO Y DISPOSITIVO INTRAUTERINO",IF(N234=CURSOS!$D$29,"SALUD MENTAL",IF(N234=CURSOS!$D$30,"PRIMEROS AUXILIOS PSICOLOGICOS",IF(N234=CURSOS!$D$31,"ATENCION A VICTIMAS POR CONFLICTO ARMADO",IF(N234=CURSOS!$D$32,"MANIPULACION DE ALIMENTOS Y BPM"))))))))))))))))))))))))))))))</f>
        <v>0</v>
      </c>
      <c r="U234" s="41" t="str">
        <f t="shared" si="24"/>
        <v xml:space="preserve">   </v>
      </c>
      <c r="V234" s="41" t="str">
        <f t="shared" si="25"/>
        <v xml:space="preserve">   </v>
      </c>
      <c r="W234" s="41" t="str">
        <f t="shared" si="26"/>
        <v xml:space="preserve">   --</v>
      </c>
    </row>
    <row r="235" spans="1:23" x14ac:dyDescent="0.2">
      <c r="A235" s="94">
        <v>234</v>
      </c>
      <c r="H235" s="31" t="s">
        <v>90</v>
      </c>
      <c r="T235" s="41" t="b">
        <f>IF(N235=CURSOS!$D$3,"DIPLOMADO EN ATENCION PRE-HOSPITALARIA",IF(N235=CURSOS!$D$4,"ACOMPAÑAMIENTO Y MANEJO DEL DUELO",IF(N235=CURSOS!$D$5,"ATENCION A VICTIMAS DE ATAQUE CON AGENTES QUIMICOS ",IF(N235=CURSOS!$D$6,"PRIMEROS AUXILIOS ",IF(N235=CURSOS!$D$7,"DIPLOMADO DE UNIDAD DE CUIDADOS INTENSIVOS (UCI)",IF(N235=CURSOS!$D$8,"MODELO DE ATENCION PARA EVENTOS EMERGENTES EN SALUD MENTAL (CODIGO VERDE)",IF(N235=CURSOS!$D$9,"HUMANIZACION EN SALUD, BUENAS PRACTICAS EN PACIENTE ",IF(N235=CURSOS!$D$10,"CLINICA DE HERIDAS ",IF(N235=CURSOS!$D$11,"TOMA DE CITOLOGIA A CERVICO VAGINAL ",IF(N235=CURSOS!$D$12,"SOPORTE CARDIOVASCULAR AVANZADO ",IF(N235=CURSOS!$D$13,"CAMILLERO ",IF(N235=CURSOS!$D$14,"TOMA MUESTRAS Y LABORATORIO ",IF(N235=CURSOS!$D$15,"SOPORTE VITAL BASICO (BLS)",IF(N235=CURSOS!$D$16,"ATENCION A VICTIMAS DE VIOLENCIA SEXUAL ",IF(N235=CURSOS!$D$17,"PROGRAMADO AMPLIADO DE INMUNIZACION (PAI - COVID 19)",IF(N235=CURSOS!$D$18,"ATENCION INTEGRAL EN ENFERMEDADES PREVALENTES EN PRIMERA INFANCIA (AIEPI)",IF(N235=CURSOS!$D$19,"ADMINISTRACION DE MEDICAMENTOS, IYECTOLOGIA  Y CANALIZACION ",IF(N235=CURSOS!$D$20,"OPERADOR DE VEHICULOS DE EMERGENCIA (OVE)",IF(N235=CURSOS!$D$21,"INSTITUCIONES AMIGAS DE LA MUJER Y LA INFANCIA (IAMI)",IF(N235=CURSOS!$D$22,"CUIDADO DEL DONANTE DE ORGANOS",IF(N235=CURSOS!$D$23,"ATENCION A VICTIMAS POR VIOLENCIA DE GENERO",IF(N235=CURSOS!$D$24,"IGUALDAD DE GENERO EN LA SALUD",IF(N235=CURSOS!$D$25,"BRIGADA DE EMERGENCIA",IF(N235=CURSOS!$D$26,"MANEJO DEL DOLOR Y CUIDADOS PALIATIVOS",IF(N235=CURSOS!$D$27,"TOMA MUESTRAS Y LABORATORIO POCT",IF(N235=CURSOS!$D$28,"IMPLANTE SUBDERMICO Y DISPOSITIVO INTRAUTERINO",IF(N235=CURSOS!$D$29,"SALUD MENTAL",IF(N235=CURSOS!$D$30,"PRIMEROS AUXILIOS PSICOLOGICOS",IF(N235=CURSOS!$D$31,"ATENCION A VICTIMAS POR CONFLICTO ARMADO",IF(N235=CURSOS!$D$32,"MANIPULACION DE ALIMENTOS Y BPM"))))))))))))))))))))))))))))))</f>
        <v>0</v>
      </c>
      <c r="U235" s="41" t="str">
        <f t="shared" si="24"/>
        <v xml:space="preserve">   </v>
      </c>
      <c r="V235" s="41" t="str">
        <f t="shared" si="25"/>
        <v xml:space="preserve">   </v>
      </c>
      <c r="W235" s="41" t="str">
        <f t="shared" si="26"/>
        <v xml:space="preserve">   --</v>
      </c>
    </row>
    <row r="236" spans="1:23" x14ac:dyDescent="0.2">
      <c r="A236" s="94">
        <v>235</v>
      </c>
      <c r="H236" s="31" t="s">
        <v>90</v>
      </c>
      <c r="T236" s="41" t="b">
        <f>IF(N236=CURSOS!$D$3,"DIPLOMADO EN ATENCION PRE-HOSPITALARIA",IF(N236=CURSOS!$D$4,"ACOMPAÑAMIENTO Y MANEJO DEL DUELO",IF(N236=CURSOS!$D$5,"ATENCION A VICTIMAS DE ATAQUE CON AGENTES QUIMICOS ",IF(N236=CURSOS!$D$6,"PRIMEROS AUXILIOS ",IF(N236=CURSOS!$D$7,"DIPLOMADO DE UNIDAD DE CUIDADOS INTENSIVOS (UCI)",IF(N236=CURSOS!$D$8,"MODELO DE ATENCION PARA EVENTOS EMERGENTES EN SALUD MENTAL (CODIGO VERDE)",IF(N236=CURSOS!$D$9,"HUMANIZACION EN SALUD, BUENAS PRACTICAS EN PACIENTE ",IF(N236=CURSOS!$D$10,"CLINICA DE HERIDAS ",IF(N236=CURSOS!$D$11,"TOMA DE CITOLOGIA A CERVICO VAGINAL ",IF(N236=CURSOS!$D$12,"SOPORTE CARDIOVASCULAR AVANZADO ",IF(N236=CURSOS!$D$13,"CAMILLERO ",IF(N236=CURSOS!$D$14,"TOMA MUESTRAS Y LABORATORIO ",IF(N236=CURSOS!$D$15,"SOPORTE VITAL BASICO (BLS)",IF(N236=CURSOS!$D$16,"ATENCION A VICTIMAS DE VIOLENCIA SEXUAL ",IF(N236=CURSOS!$D$17,"PROGRAMADO AMPLIADO DE INMUNIZACION (PAI - COVID 19)",IF(N236=CURSOS!$D$18,"ATENCION INTEGRAL EN ENFERMEDADES PREVALENTES EN PRIMERA INFANCIA (AIEPI)",IF(N236=CURSOS!$D$19,"ADMINISTRACION DE MEDICAMENTOS, IYECTOLOGIA  Y CANALIZACION ",IF(N236=CURSOS!$D$20,"OPERADOR DE VEHICULOS DE EMERGENCIA (OVE)",IF(N236=CURSOS!$D$21,"INSTITUCIONES AMIGAS DE LA MUJER Y LA INFANCIA (IAMI)",IF(N236=CURSOS!$D$22,"CUIDADO DEL DONANTE DE ORGANOS",IF(N236=CURSOS!$D$23,"ATENCION A VICTIMAS POR VIOLENCIA DE GENERO",IF(N236=CURSOS!$D$24,"IGUALDAD DE GENERO EN LA SALUD",IF(N236=CURSOS!$D$25,"BRIGADA DE EMERGENCIA",IF(N236=CURSOS!$D$26,"MANEJO DEL DOLOR Y CUIDADOS PALIATIVOS",IF(N236=CURSOS!$D$27,"TOMA MUESTRAS Y LABORATORIO POCT",IF(N236=CURSOS!$D$28,"IMPLANTE SUBDERMICO Y DISPOSITIVO INTRAUTERINO",IF(N236=CURSOS!$D$29,"SALUD MENTAL",IF(N236=CURSOS!$D$30,"PRIMEROS AUXILIOS PSICOLOGICOS",IF(N236=CURSOS!$D$31,"ATENCION A VICTIMAS POR CONFLICTO ARMADO",IF(N236=CURSOS!$D$32,"MANIPULACION DE ALIMENTOS Y BPM"))))))))))))))))))))))))))))))</f>
        <v>0</v>
      </c>
      <c r="U236" s="41" t="str">
        <f t="shared" si="24"/>
        <v xml:space="preserve">   </v>
      </c>
      <c r="V236" s="41" t="str">
        <f t="shared" si="25"/>
        <v xml:space="preserve">   </v>
      </c>
      <c r="W236" s="41" t="str">
        <f t="shared" si="26"/>
        <v xml:space="preserve">   --</v>
      </c>
    </row>
    <row r="237" spans="1:23" x14ac:dyDescent="0.2">
      <c r="A237" s="94">
        <v>236</v>
      </c>
      <c r="H237" s="31" t="s">
        <v>90</v>
      </c>
      <c r="T237" s="41" t="b">
        <f>IF(N237=CURSOS!$D$3,"DIPLOMADO EN ATENCION PRE-HOSPITALARIA",IF(N237=CURSOS!$D$4,"ACOMPAÑAMIENTO Y MANEJO DEL DUELO",IF(N237=CURSOS!$D$5,"ATENCION A VICTIMAS DE ATAQUE CON AGENTES QUIMICOS ",IF(N237=CURSOS!$D$6,"PRIMEROS AUXILIOS ",IF(N237=CURSOS!$D$7,"DIPLOMADO DE UNIDAD DE CUIDADOS INTENSIVOS (UCI)",IF(N237=CURSOS!$D$8,"MODELO DE ATENCION PARA EVENTOS EMERGENTES EN SALUD MENTAL (CODIGO VERDE)",IF(N237=CURSOS!$D$9,"HUMANIZACION EN SALUD, BUENAS PRACTICAS EN PACIENTE ",IF(N237=CURSOS!$D$10,"CLINICA DE HERIDAS ",IF(N237=CURSOS!$D$11,"TOMA DE CITOLOGIA A CERVICO VAGINAL ",IF(N237=CURSOS!$D$12,"SOPORTE CARDIOVASCULAR AVANZADO ",IF(N237=CURSOS!$D$13,"CAMILLERO ",IF(N237=CURSOS!$D$14,"TOMA MUESTRAS Y LABORATORIO ",IF(N237=CURSOS!$D$15,"SOPORTE VITAL BASICO (BLS)",IF(N237=CURSOS!$D$16,"ATENCION A VICTIMAS DE VIOLENCIA SEXUAL ",IF(N237=CURSOS!$D$17,"PROGRAMADO AMPLIADO DE INMUNIZACION (PAI - COVID 19)",IF(N237=CURSOS!$D$18,"ATENCION INTEGRAL EN ENFERMEDADES PREVALENTES EN PRIMERA INFANCIA (AIEPI)",IF(N237=CURSOS!$D$19,"ADMINISTRACION DE MEDICAMENTOS, IYECTOLOGIA  Y CANALIZACION ",IF(N237=CURSOS!$D$20,"OPERADOR DE VEHICULOS DE EMERGENCIA (OVE)",IF(N237=CURSOS!$D$21,"INSTITUCIONES AMIGAS DE LA MUJER Y LA INFANCIA (IAMI)",IF(N237=CURSOS!$D$22,"CUIDADO DEL DONANTE DE ORGANOS",IF(N237=CURSOS!$D$23,"ATENCION A VICTIMAS POR VIOLENCIA DE GENERO",IF(N237=CURSOS!$D$24,"IGUALDAD DE GENERO EN LA SALUD",IF(N237=CURSOS!$D$25,"BRIGADA DE EMERGENCIA",IF(N237=CURSOS!$D$26,"MANEJO DEL DOLOR Y CUIDADOS PALIATIVOS",IF(N237=CURSOS!$D$27,"TOMA MUESTRAS Y LABORATORIO POCT",IF(N237=CURSOS!$D$28,"IMPLANTE SUBDERMICO Y DISPOSITIVO INTRAUTERINO",IF(N237=CURSOS!$D$29,"SALUD MENTAL",IF(N237=CURSOS!$D$30,"PRIMEROS AUXILIOS PSICOLOGICOS",IF(N237=CURSOS!$D$31,"ATENCION A VICTIMAS POR CONFLICTO ARMADO",IF(N237=CURSOS!$D$32,"MANIPULACION DE ALIMENTOS Y BPM"))))))))))))))))))))))))))))))</f>
        <v>0</v>
      </c>
      <c r="U237" s="41" t="str">
        <f t="shared" si="24"/>
        <v xml:space="preserve">   </v>
      </c>
      <c r="V237" s="41" t="str">
        <f t="shared" si="25"/>
        <v xml:space="preserve">   </v>
      </c>
      <c r="W237" s="41" t="str">
        <f t="shared" si="26"/>
        <v xml:space="preserve">   --</v>
      </c>
    </row>
    <row r="238" spans="1:23" x14ac:dyDescent="0.2">
      <c r="A238" s="94">
        <v>237</v>
      </c>
      <c r="H238" s="31" t="s">
        <v>90</v>
      </c>
      <c r="T238" s="41" t="b">
        <f>IF(N238=CURSOS!$D$3,"DIPLOMADO EN ATENCION PRE-HOSPITALARIA",IF(N238=CURSOS!$D$4,"ACOMPAÑAMIENTO Y MANEJO DEL DUELO",IF(N238=CURSOS!$D$5,"ATENCION A VICTIMAS DE ATAQUE CON AGENTES QUIMICOS ",IF(N238=CURSOS!$D$6,"PRIMEROS AUXILIOS ",IF(N238=CURSOS!$D$7,"DIPLOMADO DE UNIDAD DE CUIDADOS INTENSIVOS (UCI)",IF(N238=CURSOS!$D$8,"MODELO DE ATENCION PARA EVENTOS EMERGENTES EN SALUD MENTAL (CODIGO VERDE)",IF(N238=CURSOS!$D$9,"HUMANIZACION EN SALUD, BUENAS PRACTICAS EN PACIENTE ",IF(N238=CURSOS!$D$10,"CLINICA DE HERIDAS ",IF(N238=CURSOS!$D$11,"TOMA DE CITOLOGIA A CERVICO VAGINAL ",IF(N238=CURSOS!$D$12,"SOPORTE CARDIOVASCULAR AVANZADO ",IF(N238=CURSOS!$D$13,"CAMILLERO ",IF(N238=CURSOS!$D$14,"TOMA MUESTRAS Y LABORATORIO ",IF(N238=CURSOS!$D$15,"SOPORTE VITAL BASICO (BLS)",IF(N238=CURSOS!$D$16,"ATENCION A VICTIMAS DE VIOLENCIA SEXUAL ",IF(N238=CURSOS!$D$17,"PROGRAMADO AMPLIADO DE INMUNIZACION (PAI - COVID 19)",IF(N238=CURSOS!$D$18,"ATENCION INTEGRAL EN ENFERMEDADES PREVALENTES EN PRIMERA INFANCIA (AIEPI)",IF(N238=CURSOS!$D$19,"ADMINISTRACION DE MEDICAMENTOS, IYECTOLOGIA  Y CANALIZACION ",IF(N238=CURSOS!$D$20,"OPERADOR DE VEHICULOS DE EMERGENCIA (OVE)",IF(N238=CURSOS!$D$21,"INSTITUCIONES AMIGAS DE LA MUJER Y LA INFANCIA (IAMI)",IF(N238=CURSOS!$D$22,"CUIDADO DEL DONANTE DE ORGANOS",IF(N238=CURSOS!$D$23,"ATENCION A VICTIMAS POR VIOLENCIA DE GENERO",IF(N238=CURSOS!$D$24,"IGUALDAD DE GENERO EN LA SALUD",IF(N238=CURSOS!$D$25,"BRIGADA DE EMERGENCIA",IF(N238=CURSOS!$D$26,"MANEJO DEL DOLOR Y CUIDADOS PALIATIVOS",IF(N238=CURSOS!$D$27,"TOMA MUESTRAS Y LABORATORIO POCT",IF(N238=CURSOS!$D$28,"IMPLANTE SUBDERMICO Y DISPOSITIVO INTRAUTERINO",IF(N238=CURSOS!$D$29,"SALUD MENTAL",IF(N238=CURSOS!$D$30,"PRIMEROS AUXILIOS PSICOLOGICOS",IF(N238=CURSOS!$D$31,"ATENCION A VICTIMAS POR CONFLICTO ARMADO",IF(N238=CURSOS!$D$32,"MANIPULACION DE ALIMENTOS Y BPM"))))))))))))))))))))))))))))))</f>
        <v>0</v>
      </c>
      <c r="U238" s="41" t="str">
        <f t="shared" si="24"/>
        <v xml:space="preserve">   </v>
      </c>
      <c r="V238" s="41" t="str">
        <f t="shared" si="25"/>
        <v xml:space="preserve">   </v>
      </c>
      <c r="W238" s="41" t="str">
        <f t="shared" si="26"/>
        <v xml:space="preserve">   --</v>
      </c>
    </row>
    <row r="239" spans="1:23" x14ac:dyDescent="0.2">
      <c r="A239" s="94">
        <v>238</v>
      </c>
      <c r="H239" s="31" t="s">
        <v>90</v>
      </c>
      <c r="T239" s="41" t="b">
        <f>IF(N239=CURSOS!$D$3,"DIPLOMADO EN ATENCION PRE-HOSPITALARIA",IF(N239=CURSOS!$D$4,"ACOMPAÑAMIENTO Y MANEJO DEL DUELO",IF(N239=CURSOS!$D$5,"ATENCION A VICTIMAS DE ATAQUE CON AGENTES QUIMICOS ",IF(N239=CURSOS!$D$6,"PRIMEROS AUXILIOS ",IF(N239=CURSOS!$D$7,"DIPLOMADO DE UNIDAD DE CUIDADOS INTENSIVOS (UCI)",IF(N239=CURSOS!$D$8,"MODELO DE ATENCION PARA EVENTOS EMERGENTES EN SALUD MENTAL (CODIGO VERDE)",IF(N239=CURSOS!$D$9,"HUMANIZACION EN SALUD, BUENAS PRACTICAS EN PACIENTE ",IF(N239=CURSOS!$D$10,"CLINICA DE HERIDAS ",IF(N239=CURSOS!$D$11,"TOMA DE CITOLOGIA A CERVICO VAGINAL ",IF(N239=CURSOS!$D$12,"SOPORTE CARDIOVASCULAR AVANZADO ",IF(N239=CURSOS!$D$13,"CAMILLERO ",IF(N239=CURSOS!$D$14,"TOMA MUESTRAS Y LABORATORIO ",IF(N239=CURSOS!$D$15,"SOPORTE VITAL BASICO (BLS)",IF(N239=CURSOS!$D$16,"ATENCION A VICTIMAS DE VIOLENCIA SEXUAL ",IF(N239=CURSOS!$D$17,"PROGRAMADO AMPLIADO DE INMUNIZACION (PAI - COVID 19)",IF(N239=CURSOS!$D$18,"ATENCION INTEGRAL EN ENFERMEDADES PREVALENTES EN PRIMERA INFANCIA (AIEPI)",IF(N239=CURSOS!$D$19,"ADMINISTRACION DE MEDICAMENTOS, IYECTOLOGIA  Y CANALIZACION ",IF(N239=CURSOS!$D$20,"OPERADOR DE VEHICULOS DE EMERGENCIA (OVE)",IF(N239=CURSOS!$D$21,"INSTITUCIONES AMIGAS DE LA MUJER Y LA INFANCIA (IAMI)",IF(N239=CURSOS!$D$22,"CUIDADO DEL DONANTE DE ORGANOS",IF(N239=CURSOS!$D$23,"ATENCION A VICTIMAS POR VIOLENCIA DE GENERO",IF(N239=CURSOS!$D$24,"IGUALDAD DE GENERO EN LA SALUD",IF(N239=CURSOS!$D$25,"BRIGADA DE EMERGENCIA",IF(N239=CURSOS!$D$26,"MANEJO DEL DOLOR Y CUIDADOS PALIATIVOS",IF(N239=CURSOS!$D$27,"TOMA MUESTRAS Y LABORATORIO POCT",IF(N239=CURSOS!$D$28,"IMPLANTE SUBDERMICO Y DISPOSITIVO INTRAUTERINO",IF(N239=CURSOS!$D$29,"SALUD MENTAL",IF(N239=CURSOS!$D$30,"PRIMEROS AUXILIOS PSICOLOGICOS",IF(N239=CURSOS!$D$31,"ATENCION A VICTIMAS POR CONFLICTO ARMADO",IF(N239=CURSOS!$D$32,"MANIPULACION DE ALIMENTOS Y BPM"))))))))))))))))))))))))))))))</f>
        <v>0</v>
      </c>
      <c r="U239" s="41" t="str">
        <f t="shared" si="24"/>
        <v xml:space="preserve">   </v>
      </c>
      <c r="V239" s="41" t="str">
        <f t="shared" si="25"/>
        <v xml:space="preserve">   </v>
      </c>
      <c r="W239" s="41" t="str">
        <f t="shared" si="26"/>
        <v xml:space="preserve">   --</v>
      </c>
    </row>
    <row r="240" spans="1:23" x14ac:dyDescent="0.2">
      <c r="A240" s="94">
        <v>239</v>
      </c>
      <c r="H240" s="31" t="s">
        <v>90</v>
      </c>
      <c r="T240" s="41" t="b">
        <f>IF(N240=CURSOS!$D$3,"DIPLOMADO EN ATENCION PRE-HOSPITALARIA",IF(N240=CURSOS!$D$4,"ACOMPAÑAMIENTO Y MANEJO DEL DUELO",IF(N240=CURSOS!$D$5,"ATENCION A VICTIMAS DE ATAQUE CON AGENTES QUIMICOS ",IF(N240=CURSOS!$D$6,"PRIMEROS AUXILIOS ",IF(N240=CURSOS!$D$7,"DIPLOMADO DE UNIDAD DE CUIDADOS INTENSIVOS (UCI)",IF(N240=CURSOS!$D$8,"MODELO DE ATENCION PARA EVENTOS EMERGENTES EN SALUD MENTAL (CODIGO VERDE)",IF(N240=CURSOS!$D$9,"HUMANIZACION EN SALUD, BUENAS PRACTICAS EN PACIENTE ",IF(N240=CURSOS!$D$10,"CLINICA DE HERIDAS ",IF(N240=CURSOS!$D$11,"TOMA DE CITOLOGIA A CERVICO VAGINAL ",IF(N240=CURSOS!$D$12,"SOPORTE CARDIOVASCULAR AVANZADO ",IF(N240=CURSOS!$D$13,"CAMILLERO ",IF(N240=CURSOS!$D$14,"TOMA MUESTRAS Y LABORATORIO ",IF(N240=CURSOS!$D$15,"SOPORTE VITAL BASICO (BLS)",IF(N240=CURSOS!$D$16,"ATENCION A VICTIMAS DE VIOLENCIA SEXUAL ",IF(N240=CURSOS!$D$17,"PROGRAMADO AMPLIADO DE INMUNIZACION (PAI - COVID 19)",IF(N240=CURSOS!$D$18,"ATENCION INTEGRAL EN ENFERMEDADES PREVALENTES EN PRIMERA INFANCIA (AIEPI)",IF(N240=CURSOS!$D$19,"ADMINISTRACION DE MEDICAMENTOS, IYECTOLOGIA  Y CANALIZACION ",IF(N240=CURSOS!$D$20,"OPERADOR DE VEHICULOS DE EMERGENCIA (OVE)",IF(N240=CURSOS!$D$21,"INSTITUCIONES AMIGAS DE LA MUJER Y LA INFANCIA (IAMI)",IF(N240=CURSOS!$D$22,"CUIDADO DEL DONANTE DE ORGANOS",IF(N240=CURSOS!$D$23,"ATENCION A VICTIMAS POR VIOLENCIA DE GENERO",IF(N240=CURSOS!$D$24,"IGUALDAD DE GENERO EN LA SALUD",IF(N240=CURSOS!$D$25,"BRIGADA DE EMERGENCIA",IF(N240=CURSOS!$D$26,"MANEJO DEL DOLOR Y CUIDADOS PALIATIVOS",IF(N240=CURSOS!$D$27,"TOMA MUESTRAS Y LABORATORIO POCT",IF(N240=CURSOS!$D$28,"IMPLANTE SUBDERMICO Y DISPOSITIVO INTRAUTERINO",IF(N240=CURSOS!$D$29,"SALUD MENTAL",IF(N240=CURSOS!$D$30,"PRIMEROS AUXILIOS PSICOLOGICOS",IF(N240=CURSOS!$D$31,"ATENCION A VICTIMAS POR CONFLICTO ARMADO",IF(N240=CURSOS!$D$32,"MANIPULACION DE ALIMENTOS Y BPM"))))))))))))))))))))))))))))))</f>
        <v>0</v>
      </c>
      <c r="U240" s="41" t="str">
        <f t="shared" si="24"/>
        <v xml:space="preserve">   </v>
      </c>
      <c r="V240" s="41" t="str">
        <f t="shared" si="25"/>
        <v xml:space="preserve">   </v>
      </c>
      <c r="W240" s="41" t="str">
        <f t="shared" si="26"/>
        <v xml:space="preserve">   --</v>
      </c>
    </row>
    <row r="241" spans="1:23" s="28" customFormat="1" x14ac:dyDescent="0.2">
      <c r="A241" s="94">
        <v>240</v>
      </c>
      <c r="B241" s="30"/>
      <c r="C241" s="49"/>
      <c r="D241" s="49"/>
      <c r="E241" s="49"/>
      <c r="F241" s="49"/>
      <c r="G241" s="50"/>
      <c r="H241" s="31" t="s">
        <v>90</v>
      </c>
      <c r="I241" s="51"/>
      <c r="J241" s="52"/>
      <c r="K241" s="50"/>
      <c r="L241" s="50"/>
      <c r="M241" s="50"/>
      <c r="N241" s="53"/>
      <c r="O241" s="54"/>
      <c r="P241" s="49"/>
      <c r="Q241" s="49"/>
      <c r="R241" s="49"/>
      <c r="S241" s="49"/>
      <c r="T241" s="41" t="b">
        <f>IF(N241=CURSOS!$D$3,"DIPLOMADO EN ATENCION PRE-HOSPITALARIA",IF(N241=CURSOS!$D$4,"ACOMPAÑAMIENTO Y MANEJO DEL DUELO",IF(N241=CURSOS!$D$5,"ATENCION A VICTIMAS DE ATAQUE CON AGENTES QUIMICOS ",IF(N241=CURSOS!$D$6,"PRIMEROS AUXILIOS ",IF(N241=CURSOS!$D$7,"DIPLOMADO DE UNIDAD DE CUIDADOS INTENSIVOS (UCI)",IF(N241=CURSOS!$D$8,"MODELO DE ATENCION PARA EVENTOS EMERGENTES EN SALUD MENTAL (CODIGO VERDE)",IF(N241=CURSOS!$D$9,"HUMANIZACION EN SALUD, BUENAS PRACTICAS EN PACIENTE ",IF(N241=CURSOS!$D$10,"CLINICA DE HERIDAS ",IF(N241=CURSOS!$D$11,"TOMA DE CITOLOGIA A CERVICO VAGINAL ",IF(N241=CURSOS!$D$12,"SOPORTE CARDIOVASCULAR AVANZADO ",IF(N241=CURSOS!$D$13,"CAMILLERO ",IF(N241=CURSOS!$D$14,"TOMA MUESTRAS Y LABORATORIO ",IF(N241=CURSOS!$D$15,"SOPORTE VITAL BASICO (BLS)",IF(N241=CURSOS!$D$16,"ATENCION A VICTIMAS DE VIOLENCIA SEXUAL ",IF(N241=CURSOS!$D$17,"PROGRAMADO AMPLIADO DE INMUNIZACION (PAI - COVID 19)",IF(N241=CURSOS!$D$18,"ATENCION INTEGRAL EN ENFERMEDADES PREVALENTES EN PRIMERA INFANCIA (AIEPI)",IF(N241=CURSOS!$D$19,"ADMINISTRACION DE MEDICAMENTOS, IYECTOLOGIA  Y CANALIZACION ",IF(N241=CURSOS!$D$20,"OPERADOR DE VEHICULOS DE EMERGENCIA (OVE)",IF(N241=CURSOS!$D$21,"INSTITUCIONES AMIGAS DE LA MUJER Y LA INFANCIA (IAMI)",IF(N241=CURSOS!$D$22,"CUIDADO DEL DONANTE DE ORGANOS",IF(N241=CURSOS!$D$23,"ATENCION A VICTIMAS POR VIOLENCIA DE GENERO",IF(N241=CURSOS!$D$24,"IGUALDAD DE GENERO EN LA SALUD",IF(N241=CURSOS!$D$25,"BRIGADA DE EMERGENCIA",IF(N241=CURSOS!$D$26,"MANEJO DEL DOLOR Y CUIDADOS PALIATIVOS",IF(N241=CURSOS!$D$27,"TOMA MUESTRAS Y LABORATORIO POCT",IF(N241=CURSOS!$D$28,"IMPLANTE SUBDERMICO Y DISPOSITIVO INTRAUTERINO",IF(N241=CURSOS!$D$29,"SALUD MENTAL",IF(N241=CURSOS!$D$30,"PRIMEROS AUXILIOS PSICOLOGICOS",IF(N241=CURSOS!$D$31,"ATENCION A VICTIMAS POR CONFLICTO ARMADO",IF(N241=CURSOS!$D$32,"MANIPULACION DE ALIMENTOS Y BPM"))))))))))))))))))))))))))))))</f>
        <v>0</v>
      </c>
      <c r="U241" s="41" t="str">
        <f t="shared" si="24"/>
        <v xml:space="preserve">   </v>
      </c>
      <c r="V241" s="41" t="str">
        <f t="shared" si="25"/>
        <v xml:space="preserve">   </v>
      </c>
      <c r="W241" s="41" t="str">
        <f t="shared" si="26"/>
        <v xml:space="preserve">   --</v>
      </c>
    </row>
    <row r="242" spans="1:23" s="21" customFormat="1" x14ac:dyDescent="0.2">
      <c r="A242" s="94">
        <v>241</v>
      </c>
      <c r="B242" s="30"/>
      <c r="C242" s="19"/>
      <c r="D242" s="19"/>
      <c r="E242" s="19"/>
      <c r="F242" s="19"/>
      <c r="G242" s="16"/>
      <c r="H242" s="31" t="s">
        <v>90</v>
      </c>
      <c r="I242" s="18"/>
      <c r="J242" s="22"/>
      <c r="K242" s="16"/>
      <c r="L242" s="16"/>
      <c r="M242" s="16"/>
      <c r="N242" s="17"/>
      <c r="O242" s="20"/>
      <c r="P242" s="19"/>
      <c r="Q242" s="19"/>
      <c r="R242" s="19"/>
      <c r="S242" s="19"/>
      <c r="T242" s="41" t="b">
        <f>IF(N242=CURSOS!$D$3,"DIPLOMADO EN ATENCION PRE-HOSPITALARIA",IF(N242=CURSOS!$D$4,"ACOMPAÑAMIENTO Y MANEJO DEL DUELO",IF(N242=CURSOS!$D$5,"ATENCION A VICTIMAS DE ATAQUE CON AGENTES QUIMICOS ",IF(N242=CURSOS!$D$6,"PRIMEROS AUXILIOS ",IF(N242=CURSOS!$D$7,"DIPLOMADO DE UNIDAD DE CUIDADOS INTENSIVOS (UCI)",IF(N242=CURSOS!$D$8,"MODELO DE ATENCION PARA EVENTOS EMERGENTES EN SALUD MENTAL (CODIGO VERDE)",IF(N242=CURSOS!$D$9,"HUMANIZACION EN SALUD, BUENAS PRACTICAS EN PACIENTE ",IF(N242=CURSOS!$D$10,"CLINICA DE HERIDAS ",IF(N242=CURSOS!$D$11,"TOMA DE CITOLOGIA A CERVICO VAGINAL ",IF(N242=CURSOS!$D$12,"SOPORTE CARDIOVASCULAR AVANZADO ",IF(N242=CURSOS!$D$13,"CAMILLERO ",IF(N242=CURSOS!$D$14,"TOMA MUESTRAS Y LABORATORIO ",IF(N242=CURSOS!$D$15,"SOPORTE VITAL BASICO (BLS)",IF(N242=CURSOS!$D$16,"ATENCION A VICTIMAS DE VIOLENCIA SEXUAL ",IF(N242=CURSOS!$D$17,"PROGRAMADO AMPLIADO DE INMUNIZACION (PAI - COVID 19)",IF(N242=CURSOS!$D$18,"ATENCION INTEGRAL EN ENFERMEDADES PREVALENTES EN PRIMERA INFANCIA (AIEPI)",IF(N242=CURSOS!$D$19,"ADMINISTRACION DE MEDICAMENTOS, IYECTOLOGIA  Y CANALIZACION ",IF(N242=CURSOS!$D$20,"OPERADOR DE VEHICULOS DE EMERGENCIA (OVE)",IF(N242=CURSOS!$D$21,"INSTITUCIONES AMIGAS DE LA MUJER Y LA INFANCIA (IAMI)",IF(N242=CURSOS!$D$22,"CUIDADO DEL DONANTE DE ORGANOS",IF(N242=CURSOS!$D$23,"ATENCION A VICTIMAS POR VIOLENCIA DE GENERO",IF(N242=CURSOS!$D$24,"IGUALDAD DE GENERO EN LA SALUD",IF(N242=CURSOS!$D$25,"BRIGADA DE EMERGENCIA",IF(N242=CURSOS!$D$26,"MANEJO DEL DOLOR Y CUIDADOS PALIATIVOS",IF(N242=CURSOS!$D$27,"TOMA MUESTRAS Y LABORATORIO POCT",IF(N242=CURSOS!$D$28,"IMPLANTE SUBDERMICO Y DISPOSITIVO INTRAUTERINO",IF(N242=CURSOS!$D$29,"SALUD MENTAL",IF(N242=CURSOS!$D$30,"PRIMEROS AUXILIOS PSICOLOGICOS",IF(N242=CURSOS!$D$31,"ATENCION A VICTIMAS POR CONFLICTO ARMADO",IF(N242=CURSOS!$D$32,"MANIPULACION DE ALIMENTOS Y BPM"))))))))))))))))))))))))))))))</f>
        <v>0</v>
      </c>
      <c r="U242" s="41" t="str">
        <f t="shared" si="24"/>
        <v xml:space="preserve">   </v>
      </c>
      <c r="V242" s="41" t="str">
        <f t="shared" si="25"/>
        <v xml:space="preserve">   </v>
      </c>
      <c r="W242" s="41" t="str">
        <f t="shared" si="26"/>
        <v xml:space="preserve">   --</v>
      </c>
    </row>
    <row r="243" spans="1:23" s="21" customFormat="1" x14ac:dyDescent="0.2">
      <c r="A243" s="94">
        <v>242</v>
      </c>
      <c r="B243" s="30"/>
      <c r="C243" s="19"/>
      <c r="D243" s="19"/>
      <c r="E243" s="19"/>
      <c r="F243" s="19"/>
      <c r="G243" s="16"/>
      <c r="H243" s="31" t="s">
        <v>90</v>
      </c>
      <c r="I243" s="18"/>
      <c r="J243" s="22"/>
      <c r="K243" s="16"/>
      <c r="L243" s="16"/>
      <c r="M243" s="16"/>
      <c r="N243" s="17"/>
      <c r="O243" s="20"/>
      <c r="P243" s="19"/>
      <c r="Q243" s="19"/>
      <c r="R243" s="19"/>
      <c r="S243" s="19"/>
      <c r="T243" s="41" t="b">
        <f>IF(N243=CURSOS!$D$3,"DIPLOMADO EN ATENCION PRE-HOSPITALARIA",IF(N243=CURSOS!$D$4,"ACOMPAÑAMIENTO Y MANEJO DEL DUELO",IF(N243=CURSOS!$D$5,"ATENCION A VICTIMAS DE ATAQUE CON AGENTES QUIMICOS ",IF(N243=CURSOS!$D$6,"PRIMEROS AUXILIOS ",IF(N243=CURSOS!$D$7,"DIPLOMADO DE UNIDAD DE CUIDADOS INTENSIVOS (UCI)",IF(N243=CURSOS!$D$8,"MODELO DE ATENCION PARA EVENTOS EMERGENTES EN SALUD MENTAL (CODIGO VERDE)",IF(N243=CURSOS!$D$9,"HUMANIZACION EN SALUD, BUENAS PRACTICAS EN PACIENTE ",IF(N243=CURSOS!$D$10,"CLINICA DE HERIDAS ",IF(N243=CURSOS!$D$11,"TOMA DE CITOLOGIA A CERVICO VAGINAL ",IF(N243=CURSOS!$D$12,"SOPORTE CARDIOVASCULAR AVANZADO ",IF(N243=CURSOS!$D$13,"CAMILLERO ",IF(N243=CURSOS!$D$14,"TOMA MUESTRAS Y LABORATORIO ",IF(N243=CURSOS!$D$15,"SOPORTE VITAL BASICO (BLS)",IF(N243=CURSOS!$D$16,"ATENCION A VICTIMAS DE VIOLENCIA SEXUAL ",IF(N243=CURSOS!$D$17,"PROGRAMADO AMPLIADO DE INMUNIZACION (PAI - COVID 19)",IF(N243=CURSOS!$D$18,"ATENCION INTEGRAL EN ENFERMEDADES PREVALENTES EN PRIMERA INFANCIA (AIEPI)",IF(N243=CURSOS!$D$19,"ADMINISTRACION DE MEDICAMENTOS, IYECTOLOGIA  Y CANALIZACION ",IF(N243=CURSOS!$D$20,"OPERADOR DE VEHICULOS DE EMERGENCIA (OVE)",IF(N243=CURSOS!$D$21,"INSTITUCIONES AMIGAS DE LA MUJER Y LA INFANCIA (IAMI)",IF(N243=CURSOS!$D$22,"CUIDADO DEL DONANTE DE ORGANOS",IF(N243=CURSOS!$D$23,"ATENCION A VICTIMAS POR VIOLENCIA DE GENERO",IF(N243=CURSOS!$D$24,"IGUALDAD DE GENERO EN LA SALUD",IF(N243=CURSOS!$D$25,"BRIGADA DE EMERGENCIA",IF(N243=CURSOS!$D$26,"MANEJO DEL DOLOR Y CUIDADOS PALIATIVOS",IF(N243=CURSOS!$D$27,"TOMA MUESTRAS Y LABORATORIO POCT",IF(N243=CURSOS!$D$28,"IMPLANTE SUBDERMICO Y DISPOSITIVO INTRAUTERINO",IF(N243=CURSOS!$D$29,"SALUD MENTAL",IF(N243=CURSOS!$D$30,"PRIMEROS AUXILIOS PSICOLOGICOS",IF(N243=CURSOS!$D$31,"ATENCION A VICTIMAS POR CONFLICTO ARMADO",IF(N243=CURSOS!$D$32,"MANIPULACION DE ALIMENTOS Y BPM"))))))))))))))))))))))))))))))</f>
        <v>0</v>
      </c>
      <c r="U243" s="41" t="str">
        <f t="shared" si="24"/>
        <v xml:space="preserve">   </v>
      </c>
      <c r="V243" s="41" t="str">
        <f t="shared" si="25"/>
        <v xml:space="preserve">   </v>
      </c>
      <c r="W243" s="41" t="str">
        <f t="shared" si="26"/>
        <v xml:space="preserve">   --</v>
      </c>
    </row>
    <row r="244" spans="1:23" s="21" customFormat="1" x14ac:dyDescent="0.2">
      <c r="A244" s="94">
        <v>243</v>
      </c>
      <c r="B244" s="30"/>
      <c r="C244" s="19"/>
      <c r="D244" s="19"/>
      <c r="E244" s="19"/>
      <c r="F244" s="19"/>
      <c r="G244" s="16"/>
      <c r="H244" s="31" t="s">
        <v>90</v>
      </c>
      <c r="I244" s="18"/>
      <c r="J244" s="22"/>
      <c r="K244" s="16"/>
      <c r="L244" s="16"/>
      <c r="M244" s="16"/>
      <c r="N244" s="17"/>
      <c r="O244" s="20"/>
      <c r="P244" s="19"/>
      <c r="Q244" s="19"/>
      <c r="R244" s="19"/>
      <c r="S244" s="19"/>
      <c r="T244" s="41" t="b">
        <f>IF(N244=CURSOS!$D$3,"DIPLOMADO EN ATENCION PRE-HOSPITALARIA",IF(N244=CURSOS!$D$4,"ACOMPAÑAMIENTO Y MANEJO DEL DUELO",IF(N244=CURSOS!$D$5,"ATENCION A VICTIMAS DE ATAQUE CON AGENTES QUIMICOS ",IF(N244=CURSOS!$D$6,"PRIMEROS AUXILIOS ",IF(N244=CURSOS!$D$7,"DIPLOMADO DE UNIDAD DE CUIDADOS INTENSIVOS (UCI)",IF(N244=CURSOS!$D$8,"MODELO DE ATENCION PARA EVENTOS EMERGENTES EN SALUD MENTAL (CODIGO VERDE)",IF(N244=CURSOS!$D$9,"HUMANIZACION EN SALUD, BUENAS PRACTICAS EN PACIENTE ",IF(N244=CURSOS!$D$10,"CLINICA DE HERIDAS ",IF(N244=CURSOS!$D$11,"TOMA DE CITOLOGIA A CERVICO VAGINAL ",IF(N244=CURSOS!$D$12,"SOPORTE CARDIOVASCULAR AVANZADO ",IF(N244=CURSOS!$D$13,"CAMILLERO ",IF(N244=CURSOS!$D$14,"TOMA MUESTRAS Y LABORATORIO ",IF(N244=CURSOS!$D$15,"SOPORTE VITAL BASICO (BLS)",IF(N244=CURSOS!$D$16,"ATENCION A VICTIMAS DE VIOLENCIA SEXUAL ",IF(N244=CURSOS!$D$17,"PROGRAMADO AMPLIADO DE INMUNIZACION (PAI - COVID 19)",IF(N244=CURSOS!$D$18,"ATENCION INTEGRAL EN ENFERMEDADES PREVALENTES EN PRIMERA INFANCIA (AIEPI)",IF(N244=CURSOS!$D$19,"ADMINISTRACION DE MEDICAMENTOS, IYECTOLOGIA  Y CANALIZACION ",IF(N244=CURSOS!$D$20,"OPERADOR DE VEHICULOS DE EMERGENCIA (OVE)",IF(N244=CURSOS!$D$21,"INSTITUCIONES AMIGAS DE LA MUJER Y LA INFANCIA (IAMI)",IF(N244=CURSOS!$D$22,"CUIDADO DEL DONANTE DE ORGANOS",IF(N244=CURSOS!$D$23,"ATENCION A VICTIMAS POR VIOLENCIA DE GENERO",IF(N244=CURSOS!$D$24,"IGUALDAD DE GENERO EN LA SALUD",IF(N244=CURSOS!$D$25,"BRIGADA DE EMERGENCIA",IF(N244=CURSOS!$D$26,"MANEJO DEL DOLOR Y CUIDADOS PALIATIVOS",IF(N244=CURSOS!$D$27,"TOMA MUESTRAS Y LABORATORIO POCT",IF(N244=CURSOS!$D$28,"IMPLANTE SUBDERMICO Y DISPOSITIVO INTRAUTERINO",IF(N244=CURSOS!$D$29,"SALUD MENTAL",IF(N244=CURSOS!$D$30,"PRIMEROS AUXILIOS PSICOLOGICOS",IF(N244=CURSOS!$D$31,"ATENCION A VICTIMAS POR CONFLICTO ARMADO",IF(N244=CURSOS!$D$32,"MANIPULACION DE ALIMENTOS Y BPM"))))))))))))))))))))))))))))))</f>
        <v>0</v>
      </c>
      <c r="U244" s="41" t="str">
        <f t="shared" si="24"/>
        <v xml:space="preserve">   </v>
      </c>
      <c r="V244" s="41" t="str">
        <f t="shared" si="25"/>
        <v xml:space="preserve">   </v>
      </c>
      <c r="W244" s="41" t="str">
        <f t="shared" si="26"/>
        <v xml:space="preserve">   --</v>
      </c>
    </row>
    <row r="245" spans="1:23" s="21" customFormat="1" x14ac:dyDescent="0.2">
      <c r="A245" s="94">
        <v>244</v>
      </c>
      <c r="B245" s="30"/>
      <c r="C245" s="19"/>
      <c r="D245" s="19"/>
      <c r="E245" s="19"/>
      <c r="F245" s="19"/>
      <c r="G245" s="16"/>
      <c r="H245" s="31" t="s">
        <v>90</v>
      </c>
      <c r="I245" s="18"/>
      <c r="J245" s="22"/>
      <c r="K245" s="16"/>
      <c r="L245" s="16"/>
      <c r="M245" s="16"/>
      <c r="N245" s="17"/>
      <c r="O245" s="20"/>
      <c r="P245" s="19"/>
      <c r="Q245" s="19"/>
      <c r="R245" s="19"/>
      <c r="S245" s="19"/>
      <c r="T245" s="41" t="b">
        <f>IF(N245=CURSOS!$D$3,"DIPLOMADO EN ATENCION PRE-HOSPITALARIA",IF(N245=CURSOS!$D$4,"ACOMPAÑAMIENTO Y MANEJO DEL DUELO",IF(N245=CURSOS!$D$5,"ATENCION A VICTIMAS DE ATAQUE CON AGENTES QUIMICOS ",IF(N245=CURSOS!$D$6,"PRIMEROS AUXILIOS ",IF(N245=CURSOS!$D$7,"DIPLOMADO DE UNIDAD DE CUIDADOS INTENSIVOS (UCI)",IF(N245=CURSOS!$D$8,"MODELO DE ATENCION PARA EVENTOS EMERGENTES EN SALUD MENTAL (CODIGO VERDE)",IF(N245=CURSOS!$D$9,"HUMANIZACION EN SALUD, BUENAS PRACTICAS EN PACIENTE ",IF(N245=CURSOS!$D$10,"CLINICA DE HERIDAS ",IF(N245=CURSOS!$D$11,"TOMA DE CITOLOGIA A CERVICO VAGINAL ",IF(N245=CURSOS!$D$12,"SOPORTE CARDIOVASCULAR AVANZADO ",IF(N245=CURSOS!$D$13,"CAMILLERO ",IF(N245=CURSOS!$D$14,"TOMA MUESTRAS Y LABORATORIO ",IF(N245=CURSOS!$D$15,"SOPORTE VITAL BASICO (BLS)",IF(N245=CURSOS!$D$16,"ATENCION A VICTIMAS DE VIOLENCIA SEXUAL ",IF(N245=CURSOS!$D$17,"PROGRAMADO AMPLIADO DE INMUNIZACION (PAI - COVID 19)",IF(N245=CURSOS!$D$18,"ATENCION INTEGRAL EN ENFERMEDADES PREVALENTES EN PRIMERA INFANCIA (AIEPI)",IF(N245=CURSOS!$D$19,"ADMINISTRACION DE MEDICAMENTOS, IYECTOLOGIA  Y CANALIZACION ",IF(N245=CURSOS!$D$20,"OPERADOR DE VEHICULOS DE EMERGENCIA (OVE)",IF(N245=CURSOS!$D$21,"INSTITUCIONES AMIGAS DE LA MUJER Y LA INFANCIA (IAMI)",IF(N245=CURSOS!$D$22,"CUIDADO DEL DONANTE DE ORGANOS",IF(N245=CURSOS!$D$23,"ATENCION A VICTIMAS POR VIOLENCIA DE GENERO",IF(N245=CURSOS!$D$24,"IGUALDAD DE GENERO EN LA SALUD",IF(N245=CURSOS!$D$25,"BRIGADA DE EMERGENCIA",IF(N245=CURSOS!$D$26,"MANEJO DEL DOLOR Y CUIDADOS PALIATIVOS",IF(N245=CURSOS!$D$27,"TOMA MUESTRAS Y LABORATORIO POCT",IF(N245=CURSOS!$D$28,"IMPLANTE SUBDERMICO Y DISPOSITIVO INTRAUTERINO",IF(N245=CURSOS!$D$29,"SALUD MENTAL",IF(N245=CURSOS!$D$30,"PRIMEROS AUXILIOS PSICOLOGICOS",IF(N245=CURSOS!$D$31,"ATENCION A VICTIMAS POR CONFLICTO ARMADO",IF(N245=CURSOS!$D$32,"MANIPULACION DE ALIMENTOS Y BPM"))))))))))))))))))))))))))))))</f>
        <v>0</v>
      </c>
      <c r="U245" s="41" t="str">
        <f t="shared" si="24"/>
        <v xml:space="preserve">   </v>
      </c>
      <c r="V245" s="41" t="str">
        <f t="shared" si="25"/>
        <v xml:space="preserve">   </v>
      </c>
      <c r="W245" s="41" t="str">
        <f t="shared" si="26"/>
        <v xml:space="preserve">   --</v>
      </c>
    </row>
    <row r="246" spans="1:23" s="21" customFormat="1" x14ac:dyDescent="0.2">
      <c r="A246" s="94">
        <v>245</v>
      </c>
      <c r="B246" s="30"/>
      <c r="C246" s="19"/>
      <c r="D246" s="19"/>
      <c r="E246" s="19"/>
      <c r="F246" s="19"/>
      <c r="G246" s="16"/>
      <c r="H246" s="31" t="s">
        <v>90</v>
      </c>
      <c r="I246" s="18"/>
      <c r="J246" s="22"/>
      <c r="K246" s="16"/>
      <c r="L246" s="16"/>
      <c r="M246" s="16"/>
      <c r="N246" s="17"/>
      <c r="O246" s="20"/>
      <c r="P246" s="19"/>
      <c r="Q246" s="19"/>
      <c r="R246" s="19"/>
      <c r="S246" s="19"/>
      <c r="T246" s="41" t="b">
        <f>IF(N246=CURSOS!$D$3,"DIPLOMADO EN ATENCION PRE-HOSPITALARIA",IF(N246=CURSOS!$D$4,"ACOMPAÑAMIENTO Y MANEJO DEL DUELO",IF(N246=CURSOS!$D$5,"ATENCION A VICTIMAS DE ATAQUE CON AGENTES QUIMICOS ",IF(N246=CURSOS!$D$6,"PRIMEROS AUXILIOS ",IF(N246=CURSOS!$D$7,"DIPLOMADO DE UNIDAD DE CUIDADOS INTENSIVOS (UCI)",IF(N246=CURSOS!$D$8,"MODELO DE ATENCION PARA EVENTOS EMERGENTES EN SALUD MENTAL (CODIGO VERDE)",IF(N246=CURSOS!$D$9,"HUMANIZACION EN SALUD, BUENAS PRACTICAS EN PACIENTE ",IF(N246=CURSOS!$D$10,"CLINICA DE HERIDAS ",IF(N246=CURSOS!$D$11,"TOMA DE CITOLOGIA A CERVICO VAGINAL ",IF(N246=CURSOS!$D$12,"SOPORTE CARDIOVASCULAR AVANZADO ",IF(N246=CURSOS!$D$13,"CAMILLERO ",IF(N246=CURSOS!$D$14,"TOMA MUESTRAS Y LABORATORIO ",IF(N246=CURSOS!$D$15,"SOPORTE VITAL BASICO (BLS)",IF(N246=CURSOS!$D$16,"ATENCION A VICTIMAS DE VIOLENCIA SEXUAL ",IF(N246=CURSOS!$D$17,"PROGRAMADO AMPLIADO DE INMUNIZACION (PAI - COVID 19)",IF(N246=CURSOS!$D$18,"ATENCION INTEGRAL EN ENFERMEDADES PREVALENTES EN PRIMERA INFANCIA (AIEPI)",IF(N246=CURSOS!$D$19,"ADMINISTRACION DE MEDICAMENTOS, IYECTOLOGIA  Y CANALIZACION ",IF(N246=CURSOS!$D$20,"OPERADOR DE VEHICULOS DE EMERGENCIA (OVE)",IF(N246=CURSOS!$D$21,"INSTITUCIONES AMIGAS DE LA MUJER Y LA INFANCIA (IAMI)",IF(N246=CURSOS!$D$22,"CUIDADO DEL DONANTE DE ORGANOS",IF(N246=CURSOS!$D$23,"ATENCION A VICTIMAS POR VIOLENCIA DE GENERO",IF(N246=CURSOS!$D$24,"IGUALDAD DE GENERO EN LA SALUD",IF(N246=CURSOS!$D$25,"BRIGADA DE EMERGENCIA",IF(N246=CURSOS!$D$26,"MANEJO DEL DOLOR Y CUIDADOS PALIATIVOS",IF(N246=CURSOS!$D$27,"TOMA MUESTRAS Y LABORATORIO POCT",IF(N246=CURSOS!$D$28,"IMPLANTE SUBDERMICO Y DISPOSITIVO INTRAUTERINO",IF(N246=CURSOS!$D$29,"SALUD MENTAL",IF(N246=CURSOS!$D$30,"PRIMEROS AUXILIOS PSICOLOGICOS",IF(N246=CURSOS!$D$31,"ATENCION A VICTIMAS POR CONFLICTO ARMADO",IF(N246=CURSOS!$D$32,"MANIPULACION DE ALIMENTOS Y BPM"))))))))))))))))))))))))))))))</f>
        <v>0</v>
      </c>
      <c r="U246" s="41" t="str">
        <f t="shared" si="24"/>
        <v xml:space="preserve">   </v>
      </c>
      <c r="V246" s="41" t="str">
        <f t="shared" si="25"/>
        <v xml:space="preserve">   </v>
      </c>
      <c r="W246" s="41" t="str">
        <f t="shared" si="26"/>
        <v xml:space="preserve">   --</v>
      </c>
    </row>
    <row r="247" spans="1:23" s="21" customFormat="1" x14ac:dyDescent="0.2">
      <c r="A247" s="94">
        <v>246</v>
      </c>
      <c r="B247" s="61"/>
      <c r="C247" s="19"/>
      <c r="D247" s="19"/>
      <c r="E247" s="19"/>
      <c r="F247" s="19"/>
      <c r="G247" s="16"/>
      <c r="H247" s="31" t="s">
        <v>90</v>
      </c>
      <c r="I247" s="18"/>
      <c r="J247" s="22"/>
      <c r="K247" s="16"/>
      <c r="L247" s="16"/>
      <c r="M247" s="16"/>
      <c r="N247" s="17"/>
      <c r="O247" s="20"/>
      <c r="P247" s="19"/>
      <c r="Q247" s="19"/>
      <c r="R247" s="19"/>
      <c r="S247" s="19"/>
      <c r="T247" s="41" t="b">
        <f>IF(N247=CURSOS!$D$3,"DIPLOMADO EN ATENCION PRE-HOSPITALARIA",IF(N247=CURSOS!$D$4,"ACOMPAÑAMIENTO Y MANEJO DEL DUELO",IF(N247=CURSOS!$D$5,"ATENCION A VICTIMAS DE ATAQUE CON AGENTES QUIMICOS ",IF(N247=CURSOS!$D$6,"PRIMEROS AUXILIOS ",IF(N247=CURSOS!$D$7,"DIPLOMADO DE UNIDAD DE CUIDADOS INTENSIVOS (UCI)",IF(N247=CURSOS!$D$8,"MODELO DE ATENCION PARA EVENTOS EMERGENTES EN SALUD MENTAL (CODIGO VERDE)",IF(N247=CURSOS!$D$9,"HUMANIZACION EN SALUD, BUENAS PRACTICAS EN PACIENTE ",IF(N247=CURSOS!$D$10,"CLINICA DE HERIDAS ",IF(N247=CURSOS!$D$11,"TOMA DE CITOLOGIA A CERVICO VAGINAL ",IF(N247=CURSOS!$D$12,"SOPORTE CARDIOVASCULAR AVANZADO ",IF(N247=CURSOS!$D$13,"CAMILLERO ",IF(N247=CURSOS!$D$14,"TOMA MUESTRAS Y LABORATORIO ",IF(N247=CURSOS!$D$15,"SOPORTE VITAL BASICO (BLS)",IF(N247=CURSOS!$D$16,"ATENCION A VICTIMAS DE VIOLENCIA SEXUAL ",IF(N247=CURSOS!$D$17,"PROGRAMADO AMPLIADO DE INMUNIZACION (PAI - COVID 19)",IF(N247=CURSOS!$D$18,"ATENCION INTEGRAL EN ENFERMEDADES PREVALENTES EN PRIMERA INFANCIA (AIEPI)",IF(N247=CURSOS!$D$19,"ADMINISTRACION DE MEDICAMENTOS, IYECTOLOGIA  Y CANALIZACION ",IF(N247=CURSOS!$D$20,"OPERADOR DE VEHICULOS DE EMERGENCIA (OVE)",IF(N247=CURSOS!$D$21,"INSTITUCIONES AMIGAS DE LA MUJER Y LA INFANCIA (IAMI)",IF(N247=CURSOS!$D$22,"CUIDADO DEL DONANTE DE ORGANOS",IF(N247=CURSOS!$D$23,"ATENCION A VICTIMAS POR VIOLENCIA DE GENERO",IF(N247=CURSOS!$D$24,"IGUALDAD DE GENERO EN LA SALUD",IF(N247=CURSOS!$D$25,"BRIGADA DE EMERGENCIA",IF(N247=CURSOS!$D$26,"MANEJO DEL DOLOR Y CUIDADOS PALIATIVOS",IF(N247=CURSOS!$D$27,"TOMA MUESTRAS Y LABORATORIO POCT",IF(N247=CURSOS!$D$28,"IMPLANTE SUBDERMICO Y DISPOSITIVO INTRAUTERINO",IF(N247=CURSOS!$D$29,"SALUD MENTAL",IF(N247=CURSOS!$D$30,"PRIMEROS AUXILIOS PSICOLOGICOS",IF(N247=CURSOS!$D$31,"ATENCION A VICTIMAS POR CONFLICTO ARMADO",IF(N247=CURSOS!$D$32,"MANIPULACION DE ALIMENTOS Y BPM"))))))))))))))))))))))))))))))</f>
        <v>0</v>
      </c>
      <c r="U247" s="41" t="str">
        <f t="shared" si="24"/>
        <v xml:space="preserve">   </v>
      </c>
      <c r="V247" s="41" t="str">
        <f t="shared" si="25"/>
        <v xml:space="preserve">   </v>
      </c>
      <c r="W247" s="41" t="str">
        <f t="shared" si="26"/>
        <v xml:space="preserve">   --</v>
      </c>
    </row>
    <row r="248" spans="1:23" s="21" customFormat="1" x14ac:dyDescent="0.2">
      <c r="A248" s="94">
        <v>247</v>
      </c>
      <c r="B248" s="62"/>
      <c r="C248" s="19"/>
      <c r="D248" s="19"/>
      <c r="E248" s="19"/>
      <c r="F248" s="19"/>
      <c r="G248" s="16"/>
      <c r="H248" s="31" t="s">
        <v>90</v>
      </c>
      <c r="I248" s="18"/>
      <c r="J248" s="22"/>
      <c r="K248" s="16"/>
      <c r="L248" s="16"/>
      <c r="M248" s="16"/>
      <c r="N248" s="17"/>
      <c r="O248" s="20"/>
      <c r="P248" s="19"/>
      <c r="Q248" s="19"/>
      <c r="R248" s="19"/>
      <c r="S248" s="19"/>
      <c r="T248" s="41" t="b">
        <f>IF(N248=CURSOS!$D$3,"DIPLOMADO EN ATENCION PRE-HOSPITALARIA",IF(N248=CURSOS!$D$4,"ACOMPAÑAMIENTO Y MANEJO DEL DUELO",IF(N248=CURSOS!$D$5,"ATENCION A VICTIMAS DE ATAQUE CON AGENTES QUIMICOS ",IF(N248=CURSOS!$D$6,"PRIMEROS AUXILIOS ",IF(N248=CURSOS!$D$7,"DIPLOMADO DE UNIDAD DE CUIDADOS INTENSIVOS (UCI)",IF(N248=CURSOS!$D$8,"MODELO DE ATENCION PARA EVENTOS EMERGENTES EN SALUD MENTAL (CODIGO VERDE)",IF(N248=CURSOS!$D$9,"HUMANIZACION EN SALUD, BUENAS PRACTICAS EN PACIENTE ",IF(N248=CURSOS!$D$10,"CLINICA DE HERIDAS ",IF(N248=CURSOS!$D$11,"TOMA DE CITOLOGIA A CERVICO VAGINAL ",IF(N248=CURSOS!$D$12,"SOPORTE CARDIOVASCULAR AVANZADO ",IF(N248=CURSOS!$D$13,"CAMILLERO ",IF(N248=CURSOS!$D$14,"TOMA MUESTRAS Y LABORATORIO ",IF(N248=CURSOS!$D$15,"SOPORTE VITAL BASICO (BLS)",IF(N248=CURSOS!$D$16,"ATENCION A VICTIMAS DE VIOLENCIA SEXUAL ",IF(N248=CURSOS!$D$17,"PROGRAMADO AMPLIADO DE INMUNIZACION (PAI - COVID 19)",IF(N248=CURSOS!$D$18,"ATENCION INTEGRAL EN ENFERMEDADES PREVALENTES EN PRIMERA INFANCIA (AIEPI)",IF(N248=CURSOS!$D$19,"ADMINISTRACION DE MEDICAMENTOS, IYECTOLOGIA  Y CANALIZACION ",IF(N248=CURSOS!$D$20,"OPERADOR DE VEHICULOS DE EMERGENCIA (OVE)",IF(N248=CURSOS!$D$21,"INSTITUCIONES AMIGAS DE LA MUJER Y LA INFANCIA (IAMI)",IF(N248=CURSOS!$D$22,"CUIDADO DEL DONANTE DE ORGANOS",IF(N248=CURSOS!$D$23,"ATENCION A VICTIMAS POR VIOLENCIA DE GENERO",IF(N248=CURSOS!$D$24,"IGUALDAD DE GENERO EN LA SALUD",IF(N248=CURSOS!$D$25,"BRIGADA DE EMERGENCIA",IF(N248=CURSOS!$D$26,"MANEJO DEL DOLOR Y CUIDADOS PALIATIVOS",IF(N248=CURSOS!$D$27,"TOMA MUESTRAS Y LABORATORIO POCT",IF(N248=CURSOS!$D$28,"IMPLANTE SUBDERMICO Y DISPOSITIVO INTRAUTERINO",IF(N248=CURSOS!$D$29,"SALUD MENTAL",IF(N248=CURSOS!$D$30,"PRIMEROS AUXILIOS PSICOLOGICOS",IF(N248=CURSOS!$D$31,"ATENCION A VICTIMAS POR CONFLICTO ARMADO",IF(N248=CURSOS!$D$32,"MANIPULACION DE ALIMENTOS Y BPM"))))))))))))))))))))))))))))))</f>
        <v>0</v>
      </c>
      <c r="U248" s="41" t="str">
        <f t="shared" si="24"/>
        <v xml:space="preserve">   </v>
      </c>
      <c r="V248" s="41" t="str">
        <f t="shared" si="25"/>
        <v xml:space="preserve">   </v>
      </c>
      <c r="W248" s="41" t="str">
        <f t="shared" si="26"/>
        <v xml:space="preserve">   --</v>
      </c>
    </row>
    <row r="249" spans="1:23" s="21" customFormat="1" x14ac:dyDescent="0.2">
      <c r="A249" s="94">
        <v>248</v>
      </c>
      <c r="B249" s="62"/>
      <c r="C249" s="19"/>
      <c r="D249" s="19"/>
      <c r="E249" s="19"/>
      <c r="F249" s="19"/>
      <c r="G249" s="16"/>
      <c r="H249" s="31" t="s">
        <v>90</v>
      </c>
      <c r="I249" s="18"/>
      <c r="J249" s="22"/>
      <c r="K249" s="16"/>
      <c r="L249" s="16"/>
      <c r="M249" s="16"/>
      <c r="N249" s="17"/>
      <c r="O249" s="20"/>
      <c r="P249" s="19"/>
      <c r="Q249" s="19"/>
      <c r="R249" s="19"/>
      <c r="S249" s="19"/>
      <c r="T249" s="41" t="b">
        <f>IF(N249=CURSOS!$D$3,"DIPLOMADO EN ATENCION PRE-HOSPITALARIA",IF(N249=CURSOS!$D$4,"ACOMPAÑAMIENTO Y MANEJO DEL DUELO",IF(N249=CURSOS!$D$5,"ATENCION A VICTIMAS DE ATAQUE CON AGENTES QUIMICOS ",IF(N249=CURSOS!$D$6,"PRIMEROS AUXILIOS ",IF(N249=CURSOS!$D$7,"DIPLOMADO DE UNIDAD DE CUIDADOS INTENSIVOS (UCI)",IF(N249=CURSOS!$D$8,"MODELO DE ATENCION PARA EVENTOS EMERGENTES EN SALUD MENTAL (CODIGO VERDE)",IF(N249=CURSOS!$D$9,"HUMANIZACION EN SALUD, BUENAS PRACTICAS EN PACIENTE ",IF(N249=CURSOS!$D$10,"CLINICA DE HERIDAS ",IF(N249=CURSOS!$D$11,"TOMA DE CITOLOGIA A CERVICO VAGINAL ",IF(N249=CURSOS!$D$12,"SOPORTE CARDIOVASCULAR AVANZADO ",IF(N249=CURSOS!$D$13,"CAMILLERO ",IF(N249=CURSOS!$D$14,"TOMA MUESTRAS Y LABORATORIO ",IF(N249=CURSOS!$D$15,"SOPORTE VITAL BASICO (BLS)",IF(N249=CURSOS!$D$16,"ATENCION A VICTIMAS DE VIOLENCIA SEXUAL ",IF(N249=CURSOS!$D$17,"PROGRAMADO AMPLIADO DE INMUNIZACION (PAI - COVID 19)",IF(N249=CURSOS!$D$18,"ATENCION INTEGRAL EN ENFERMEDADES PREVALENTES EN PRIMERA INFANCIA (AIEPI)",IF(N249=CURSOS!$D$19,"ADMINISTRACION DE MEDICAMENTOS, IYECTOLOGIA  Y CANALIZACION ",IF(N249=CURSOS!$D$20,"OPERADOR DE VEHICULOS DE EMERGENCIA (OVE)",IF(N249=CURSOS!$D$21,"INSTITUCIONES AMIGAS DE LA MUJER Y LA INFANCIA (IAMI)",IF(N249=CURSOS!$D$22,"CUIDADO DEL DONANTE DE ORGANOS",IF(N249=CURSOS!$D$23,"ATENCION A VICTIMAS POR VIOLENCIA DE GENERO",IF(N249=CURSOS!$D$24,"IGUALDAD DE GENERO EN LA SALUD",IF(N249=CURSOS!$D$25,"BRIGADA DE EMERGENCIA",IF(N249=CURSOS!$D$26,"MANEJO DEL DOLOR Y CUIDADOS PALIATIVOS",IF(N249=CURSOS!$D$27,"TOMA MUESTRAS Y LABORATORIO POCT",IF(N249=CURSOS!$D$28,"IMPLANTE SUBDERMICO Y DISPOSITIVO INTRAUTERINO",IF(N249=CURSOS!$D$29,"SALUD MENTAL",IF(N249=CURSOS!$D$30,"PRIMEROS AUXILIOS PSICOLOGICOS",IF(N249=CURSOS!$D$31,"ATENCION A VICTIMAS POR CONFLICTO ARMADO",IF(N249=CURSOS!$D$32,"MANIPULACION DE ALIMENTOS Y BPM"))))))))))))))))))))))))))))))</f>
        <v>0</v>
      </c>
      <c r="U249" s="41" t="str">
        <f t="shared" si="24"/>
        <v xml:space="preserve">   </v>
      </c>
      <c r="V249" s="41" t="str">
        <f t="shared" si="25"/>
        <v xml:space="preserve">   </v>
      </c>
      <c r="W249" s="41" t="str">
        <f t="shared" si="26"/>
        <v xml:space="preserve">   --</v>
      </c>
    </row>
    <row r="250" spans="1:23" s="21" customFormat="1" x14ac:dyDescent="0.2">
      <c r="A250" s="94">
        <v>249</v>
      </c>
      <c r="B250" s="62"/>
      <c r="C250" s="19"/>
      <c r="D250" s="19"/>
      <c r="E250" s="19"/>
      <c r="F250" s="19"/>
      <c r="G250" s="16"/>
      <c r="H250" s="31" t="s">
        <v>90</v>
      </c>
      <c r="I250" s="18"/>
      <c r="J250" s="22"/>
      <c r="K250" s="16"/>
      <c r="L250" s="16"/>
      <c r="M250" s="16"/>
      <c r="N250" s="17"/>
      <c r="O250" s="20"/>
      <c r="P250" s="19"/>
      <c r="Q250" s="19"/>
      <c r="R250" s="19"/>
      <c r="S250" s="19"/>
      <c r="T250" s="41" t="b">
        <f>IF(N250=CURSOS!$D$3,"DIPLOMADO EN ATENCION PRE-HOSPITALARIA",IF(N250=CURSOS!$D$4,"ACOMPAÑAMIENTO Y MANEJO DEL DUELO",IF(N250=CURSOS!$D$5,"ATENCION A VICTIMAS DE ATAQUE CON AGENTES QUIMICOS ",IF(N250=CURSOS!$D$6,"PRIMEROS AUXILIOS ",IF(N250=CURSOS!$D$7,"DIPLOMADO DE UNIDAD DE CUIDADOS INTENSIVOS (UCI)",IF(N250=CURSOS!$D$8,"MODELO DE ATENCION PARA EVENTOS EMERGENTES EN SALUD MENTAL (CODIGO VERDE)",IF(N250=CURSOS!$D$9,"HUMANIZACION EN SALUD, BUENAS PRACTICAS EN PACIENTE ",IF(N250=CURSOS!$D$10,"CLINICA DE HERIDAS ",IF(N250=CURSOS!$D$11,"TOMA DE CITOLOGIA A CERVICO VAGINAL ",IF(N250=CURSOS!$D$12,"SOPORTE CARDIOVASCULAR AVANZADO ",IF(N250=CURSOS!$D$13,"CAMILLERO ",IF(N250=CURSOS!$D$14,"TOMA MUESTRAS Y LABORATORIO ",IF(N250=CURSOS!$D$15,"SOPORTE VITAL BASICO (BLS)",IF(N250=CURSOS!$D$16,"ATENCION A VICTIMAS DE VIOLENCIA SEXUAL ",IF(N250=CURSOS!$D$17,"PROGRAMADO AMPLIADO DE INMUNIZACION (PAI - COVID 19)",IF(N250=CURSOS!$D$18,"ATENCION INTEGRAL EN ENFERMEDADES PREVALENTES EN PRIMERA INFANCIA (AIEPI)",IF(N250=CURSOS!$D$19,"ADMINISTRACION DE MEDICAMENTOS, IYECTOLOGIA  Y CANALIZACION ",IF(N250=CURSOS!$D$20,"OPERADOR DE VEHICULOS DE EMERGENCIA (OVE)",IF(N250=CURSOS!$D$21,"INSTITUCIONES AMIGAS DE LA MUJER Y LA INFANCIA (IAMI)",IF(N250=CURSOS!$D$22,"CUIDADO DEL DONANTE DE ORGANOS",IF(N250=CURSOS!$D$23,"ATENCION A VICTIMAS POR VIOLENCIA DE GENERO",IF(N250=CURSOS!$D$24,"IGUALDAD DE GENERO EN LA SALUD",IF(N250=CURSOS!$D$25,"BRIGADA DE EMERGENCIA",IF(N250=CURSOS!$D$26,"MANEJO DEL DOLOR Y CUIDADOS PALIATIVOS",IF(N250=CURSOS!$D$27,"TOMA MUESTRAS Y LABORATORIO POCT",IF(N250=CURSOS!$D$28,"IMPLANTE SUBDERMICO Y DISPOSITIVO INTRAUTERINO",IF(N250=CURSOS!$D$29,"SALUD MENTAL",IF(N250=CURSOS!$D$30,"PRIMEROS AUXILIOS PSICOLOGICOS",IF(N250=CURSOS!$D$31,"ATENCION A VICTIMAS POR CONFLICTO ARMADO",IF(N250=CURSOS!$D$32,"MANIPULACION DE ALIMENTOS Y BPM"))))))))))))))))))))))))))))))</f>
        <v>0</v>
      </c>
      <c r="U250" s="41" t="str">
        <f t="shared" si="24"/>
        <v xml:space="preserve">   </v>
      </c>
      <c r="V250" s="41" t="str">
        <f t="shared" si="25"/>
        <v xml:space="preserve">   </v>
      </c>
      <c r="W250" s="41" t="str">
        <f t="shared" si="26"/>
        <v xml:space="preserve">   --</v>
      </c>
    </row>
    <row r="251" spans="1:23" s="21" customFormat="1" x14ac:dyDescent="0.2">
      <c r="A251" s="94">
        <v>250</v>
      </c>
      <c r="B251" s="62"/>
      <c r="C251" s="19"/>
      <c r="D251" s="19"/>
      <c r="E251" s="19"/>
      <c r="F251" s="19"/>
      <c r="G251" s="16"/>
      <c r="H251" s="31" t="s">
        <v>90</v>
      </c>
      <c r="I251" s="18"/>
      <c r="J251" s="22"/>
      <c r="K251" s="16"/>
      <c r="L251" s="16"/>
      <c r="M251" s="16"/>
      <c r="N251" s="17"/>
      <c r="O251" s="20"/>
      <c r="P251" s="19"/>
      <c r="Q251" s="19"/>
      <c r="R251" s="19"/>
      <c r="S251" s="19"/>
      <c r="T251" s="41" t="b">
        <f>IF(N251=CURSOS!$D$3,"DIPLOMADO EN ATENCION PRE-HOSPITALARIA",IF(N251=CURSOS!$D$4,"ACOMPAÑAMIENTO Y MANEJO DEL DUELO",IF(N251=CURSOS!$D$5,"ATENCION A VICTIMAS DE ATAQUE CON AGENTES QUIMICOS ",IF(N251=CURSOS!$D$6,"PRIMEROS AUXILIOS ",IF(N251=CURSOS!$D$7,"DIPLOMADO DE UNIDAD DE CUIDADOS INTENSIVOS (UCI)",IF(N251=CURSOS!$D$8,"MODELO DE ATENCION PARA EVENTOS EMERGENTES EN SALUD MENTAL (CODIGO VERDE)",IF(N251=CURSOS!$D$9,"HUMANIZACION EN SALUD, BUENAS PRACTICAS EN PACIENTE ",IF(N251=CURSOS!$D$10,"CLINICA DE HERIDAS ",IF(N251=CURSOS!$D$11,"TOMA DE CITOLOGIA A CERVICO VAGINAL ",IF(N251=CURSOS!$D$12,"SOPORTE CARDIOVASCULAR AVANZADO ",IF(N251=CURSOS!$D$13,"CAMILLERO ",IF(N251=CURSOS!$D$14,"TOMA MUESTRAS Y LABORATORIO ",IF(N251=CURSOS!$D$15,"SOPORTE VITAL BASICO (BLS)",IF(N251=CURSOS!$D$16,"ATENCION A VICTIMAS DE VIOLENCIA SEXUAL ",IF(N251=CURSOS!$D$17,"PROGRAMADO AMPLIADO DE INMUNIZACION (PAI - COVID 19)",IF(N251=CURSOS!$D$18,"ATENCION INTEGRAL EN ENFERMEDADES PREVALENTES EN PRIMERA INFANCIA (AIEPI)",IF(N251=CURSOS!$D$19,"ADMINISTRACION DE MEDICAMENTOS, IYECTOLOGIA  Y CANALIZACION ",IF(N251=CURSOS!$D$20,"OPERADOR DE VEHICULOS DE EMERGENCIA (OVE)",IF(N251=CURSOS!$D$21,"INSTITUCIONES AMIGAS DE LA MUJER Y LA INFANCIA (IAMI)",IF(N251=CURSOS!$D$22,"CUIDADO DEL DONANTE DE ORGANOS",IF(N251=CURSOS!$D$23,"ATENCION A VICTIMAS POR VIOLENCIA DE GENERO",IF(N251=CURSOS!$D$24,"IGUALDAD DE GENERO EN LA SALUD",IF(N251=CURSOS!$D$25,"BRIGADA DE EMERGENCIA",IF(N251=CURSOS!$D$26,"MANEJO DEL DOLOR Y CUIDADOS PALIATIVOS",IF(N251=CURSOS!$D$27,"TOMA MUESTRAS Y LABORATORIO POCT",IF(N251=CURSOS!$D$28,"IMPLANTE SUBDERMICO Y DISPOSITIVO INTRAUTERINO",IF(N251=CURSOS!$D$29,"SALUD MENTAL",IF(N251=CURSOS!$D$30,"PRIMEROS AUXILIOS PSICOLOGICOS",IF(N251=CURSOS!$D$31,"ATENCION A VICTIMAS POR CONFLICTO ARMADO",IF(N251=CURSOS!$D$32,"MANIPULACION DE ALIMENTOS Y BPM"))))))))))))))))))))))))))))))</f>
        <v>0</v>
      </c>
      <c r="U251" s="41" t="str">
        <f t="shared" si="24"/>
        <v xml:space="preserve">   </v>
      </c>
      <c r="V251" s="41" t="str">
        <f t="shared" si="25"/>
        <v xml:space="preserve">   </v>
      </c>
      <c r="W251" s="41" t="str">
        <f t="shared" si="26"/>
        <v xml:space="preserve">   --</v>
      </c>
    </row>
    <row r="252" spans="1:23" s="21" customFormat="1" x14ac:dyDescent="0.2">
      <c r="A252" s="94">
        <v>251</v>
      </c>
      <c r="B252" s="62"/>
      <c r="C252" s="19"/>
      <c r="D252" s="19"/>
      <c r="E252" s="19"/>
      <c r="F252" s="19"/>
      <c r="G252" s="16"/>
      <c r="H252" s="31" t="s">
        <v>90</v>
      </c>
      <c r="I252" s="18"/>
      <c r="J252" s="22"/>
      <c r="K252" s="16"/>
      <c r="L252" s="16"/>
      <c r="M252" s="16"/>
      <c r="N252" s="17"/>
      <c r="O252" s="20"/>
      <c r="P252" s="19"/>
      <c r="Q252" s="19"/>
      <c r="R252" s="19"/>
      <c r="S252" s="19"/>
      <c r="T252" s="41" t="b">
        <f>IF(N252=CURSOS!$D$3,"DIPLOMADO EN ATENCION PRE-HOSPITALARIA",IF(N252=CURSOS!$D$4,"ACOMPAÑAMIENTO Y MANEJO DEL DUELO",IF(N252=CURSOS!$D$5,"ATENCION A VICTIMAS DE ATAQUE CON AGENTES QUIMICOS ",IF(N252=CURSOS!$D$6,"PRIMEROS AUXILIOS ",IF(N252=CURSOS!$D$7,"DIPLOMADO DE UNIDAD DE CUIDADOS INTENSIVOS (UCI)",IF(N252=CURSOS!$D$8,"MODELO DE ATENCION PARA EVENTOS EMERGENTES EN SALUD MENTAL (CODIGO VERDE)",IF(N252=CURSOS!$D$9,"HUMANIZACION EN SALUD, BUENAS PRACTICAS EN PACIENTE ",IF(N252=CURSOS!$D$10,"CLINICA DE HERIDAS ",IF(N252=CURSOS!$D$11,"TOMA DE CITOLOGIA A CERVICO VAGINAL ",IF(N252=CURSOS!$D$12,"SOPORTE CARDIOVASCULAR AVANZADO ",IF(N252=CURSOS!$D$13,"CAMILLERO ",IF(N252=CURSOS!$D$14,"TOMA MUESTRAS Y LABORATORIO ",IF(N252=CURSOS!$D$15,"SOPORTE VITAL BASICO (BLS)",IF(N252=CURSOS!$D$16,"ATENCION A VICTIMAS DE VIOLENCIA SEXUAL ",IF(N252=CURSOS!$D$17,"PROGRAMADO AMPLIADO DE INMUNIZACION (PAI - COVID 19)",IF(N252=CURSOS!$D$18,"ATENCION INTEGRAL EN ENFERMEDADES PREVALENTES EN PRIMERA INFANCIA (AIEPI)",IF(N252=CURSOS!$D$19,"ADMINISTRACION DE MEDICAMENTOS, IYECTOLOGIA  Y CANALIZACION ",IF(N252=CURSOS!$D$20,"OPERADOR DE VEHICULOS DE EMERGENCIA (OVE)",IF(N252=CURSOS!$D$21,"INSTITUCIONES AMIGAS DE LA MUJER Y LA INFANCIA (IAMI)",IF(N252=CURSOS!$D$22,"CUIDADO DEL DONANTE DE ORGANOS",IF(N252=CURSOS!$D$23,"ATENCION A VICTIMAS POR VIOLENCIA DE GENERO",IF(N252=CURSOS!$D$24,"IGUALDAD DE GENERO EN LA SALUD",IF(N252=CURSOS!$D$25,"BRIGADA DE EMERGENCIA",IF(N252=CURSOS!$D$26,"MANEJO DEL DOLOR Y CUIDADOS PALIATIVOS",IF(N252=CURSOS!$D$27,"TOMA MUESTRAS Y LABORATORIO POCT",IF(N252=CURSOS!$D$28,"IMPLANTE SUBDERMICO Y DISPOSITIVO INTRAUTERINO",IF(N252=CURSOS!$D$29,"SALUD MENTAL",IF(N252=CURSOS!$D$30,"PRIMEROS AUXILIOS PSICOLOGICOS",IF(N252=CURSOS!$D$31,"ATENCION A VICTIMAS POR CONFLICTO ARMADO",IF(N252=CURSOS!$D$32,"MANIPULACION DE ALIMENTOS Y BPM"))))))))))))))))))))))))))))))</f>
        <v>0</v>
      </c>
      <c r="U252" s="41" t="str">
        <f t="shared" si="24"/>
        <v xml:space="preserve">   </v>
      </c>
      <c r="V252" s="41" t="str">
        <f t="shared" si="25"/>
        <v xml:space="preserve">   </v>
      </c>
      <c r="W252" s="41" t="str">
        <f t="shared" ref="W252:W283" si="27">CONCATENATE(U252,"-",B258,"-",N252)</f>
        <v xml:space="preserve">   --</v>
      </c>
    </row>
    <row r="253" spans="1:23" s="19" customFormat="1" x14ac:dyDescent="0.2">
      <c r="A253" s="94">
        <v>252</v>
      </c>
      <c r="B253" s="62"/>
      <c r="G253" s="16"/>
      <c r="H253" s="31" t="s">
        <v>90</v>
      </c>
      <c r="I253" s="18"/>
      <c r="J253" s="22"/>
      <c r="K253" s="16"/>
      <c r="L253" s="16"/>
      <c r="M253" s="16"/>
      <c r="N253" s="17"/>
      <c r="O253" s="20"/>
      <c r="T253" s="41" t="b">
        <f>IF(N253=CURSOS!$D$3,"DIPLOMADO EN ATENCION PRE-HOSPITALARIA",IF(N253=CURSOS!$D$4,"ACOMPAÑAMIENTO Y MANEJO DEL DUELO",IF(N253=CURSOS!$D$5,"ATENCION A VICTIMAS DE ATAQUE CON AGENTES QUIMICOS ",IF(N253=CURSOS!$D$6,"PRIMEROS AUXILIOS ",IF(N253=CURSOS!$D$7,"DIPLOMADO DE UNIDAD DE CUIDADOS INTENSIVOS (UCI)",IF(N253=CURSOS!$D$8,"MODELO DE ATENCION PARA EVENTOS EMERGENTES EN SALUD MENTAL (CODIGO VERDE)",IF(N253=CURSOS!$D$9,"HUMANIZACION EN SALUD, BUENAS PRACTICAS EN PACIENTE ",IF(N253=CURSOS!$D$10,"CLINICA DE HERIDAS ",IF(N253=CURSOS!$D$11,"TOMA DE CITOLOGIA A CERVICO VAGINAL ",IF(N253=CURSOS!$D$12,"SOPORTE CARDIOVASCULAR AVANZADO ",IF(N253=CURSOS!$D$13,"CAMILLERO ",IF(N253=CURSOS!$D$14,"TOMA MUESTRAS Y LABORATORIO ",IF(N253=CURSOS!$D$15,"SOPORTE VITAL BASICO (BLS)",IF(N253=CURSOS!$D$16,"ATENCION A VICTIMAS DE VIOLENCIA SEXUAL ",IF(N253=CURSOS!$D$17,"PROGRAMADO AMPLIADO DE INMUNIZACION (PAI - COVID 19)",IF(N253=CURSOS!$D$18,"ATENCION INTEGRAL EN ENFERMEDADES PREVALENTES EN PRIMERA INFANCIA (AIEPI)",IF(N253=CURSOS!$D$19,"ADMINISTRACION DE MEDICAMENTOS, IYECTOLOGIA  Y CANALIZACION ",IF(N253=CURSOS!$D$20,"OPERADOR DE VEHICULOS DE EMERGENCIA (OVE)",IF(N253=CURSOS!$D$21,"INSTITUCIONES AMIGAS DE LA MUJER Y LA INFANCIA (IAMI)",IF(N253=CURSOS!$D$22,"CUIDADO DEL DONANTE DE ORGANOS",IF(N253=CURSOS!$D$23,"ATENCION A VICTIMAS POR VIOLENCIA DE GENERO",IF(N253=CURSOS!$D$24,"IGUALDAD DE GENERO EN LA SALUD",IF(N253=CURSOS!$D$25,"BRIGADA DE EMERGENCIA",IF(N253=CURSOS!$D$26,"MANEJO DEL DOLOR Y CUIDADOS PALIATIVOS",IF(N253=CURSOS!$D$27,"TOMA MUESTRAS Y LABORATORIO POCT",IF(N253=CURSOS!$D$28,"IMPLANTE SUBDERMICO Y DISPOSITIVO INTRAUTERINO",IF(N253=CURSOS!$D$29,"SALUD MENTAL",IF(N253=CURSOS!$D$30,"PRIMEROS AUXILIOS PSICOLOGICOS",IF(N253=CURSOS!$D$31,"ATENCION A VICTIMAS POR CONFLICTO ARMADO",IF(N253=CURSOS!$D$32,"MANIPULACION DE ALIMENTOS Y BPM"))))))))))))))))))))))))))))))</f>
        <v>0</v>
      </c>
      <c r="U253" s="41" t="str">
        <f t="shared" si="24"/>
        <v xml:space="preserve">   </v>
      </c>
      <c r="V253" s="41" t="str">
        <f t="shared" si="25"/>
        <v xml:space="preserve">   </v>
      </c>
      <c r="W253" s="41" t="str">
        <f t="shared" si="27"/>
        <v xml:space="preserve">   --</v>
      </c>
    </row>
    <row r="254" spans="1:23" s="19" customFormat="1" x14ac:dyDescent="0.2">
      <c r="A254" s="94">
        <v>253</v>
      </c>
      <c r="B254" s="62"/>
      <c r="G254" s="16"/>
      <c r="H254" s="31" t="s">
        <v>90</v>
      </c>
      <c r="I254" s="18"/>
      <c r="J254" s="22"/>
      <c r="K254" s="16"/>
      <c r="L254" s="16"/>
      <c r="M254" s="16"/>
      <c r="N254" s="17"/>
      <c r="O254" s="20"/>
      <c r="T254" s="41" t="b">
        <f>IF(N254=CURSOS!$D$3,"DIPLOMADO EN ATENCION PRE-HOSPITALARIA",IF(N254=CURSOS!$D$4,"ACOMPAÑAMIENTO Y MANEJO DEL DUELO",IF(N254=CURSOS!$D$5,"ATENCION A VICTIMAS DE ATAQUE CON AGENTES QUIMICOS ",IF(N254=CURSOS!$D$6,"PRIMEROS AUXILIOS ",IF(N254=CURSOS!$D$7,"DIPLOMADO DE UNIDAD DE CUIDADOS INTENSIVOS (UCI)",IF(N254=CURSOS!$D$8,"MODELO DE ATENCION PARA EVENTOS EMERGENTES EN SALUD MENTAL (CODIGO VERDE)",IF(N254=CURSOS!$D$9,"HUMANIZACION EN SALUD, BUENAS PRACTICAS EN PACIENTE ",IF(N254=CURSOS!$D$10,"CLINICA DE HERIDAS ",IF(N254=CURSOS!$D$11,"TOMA DE CITOLOGIA A CERVICO VAGINAL ",IF(N254=CURSOS!$D$12,"SOPORTE CARDIOVASCULAR AVANZADO ",IF(N254=CURSOS!$D$13,"CAMILLERO ",IF(N254=CURSOS!$D$14,"TOMA MUESTRAS Y LABORATORIO ",IF(N254=CURSOS!$D$15,"SOPORTE VITAL BASICO (BLS)",IF(N254=CURSOS!$D$16,"ATENCION A VICTIMAS DE VIOLENCIA SEXUAL ",IF(N254=CURSOS!$D$17,"PROGRAMADO AMPLIADO DE INMUNIZACION (PAI - COVID 19)",IF(N254=CURSOS!$D$18,"ATENCION INTEGRAL EN ENFERMEDADES PREVALENTES EN PRIMERA INFANCIA (AIEPI)",IF(N254=CURSOS!$D$19,"ADMINISTRACION DE MEDICAMENTOS, IYECTOLOGIA  Y CANALIZACION ",IF(N254=CURSOS!$D$20,"OPERADOR DE VEHICULOS DE EMERGENCIA (OVE)",IF(N254=CURSOS!$D$21,"INSTITUCIONES AMIGAS DE LA MUJER Y LA INFANCIA (IAMI)",IF(N254=CURSOS!$D$22,"CUIDADO DEL DONANTE DE ORGANOS",IF(N254=CURSOS!$D$23,"ATENCION A VICTIMAS POR VIOLENCIA DE GENERO",IF(N254=CURSOS!$D$24,"IGUALDAD DE GENERO EN LA SALUD",IF(N254=CURSOS!$D$25,"BRIGADA DE EMERGENCIA",IF(N254=CURSOS!$D$26,"MANEJO DEL DOLOR Y CUIDADOS PALIATIVOS",IF(N254=CURSOS!$D$27,"TOMA MUESTRAS Y LABORATORIO POCT",IF(N254=CURSOS!$D$28,"IMPLANTE SUBDERMICO Y DISPOSITIVO INTRAUTERINO",IF(N254=CURSOS!$D$29,"SALUD MENTAL",IF(N254=CURSOS!$D$30,"PRIMEROS AUXILIOS PSICOLOGICOS",IF(N254=CURSOS!$D$31,"ATENCION A VICTIMAS POR CONFLICTO ARMADO",IF(N254=CURSOS!$D$32,"MANIPULACION DE ALIMENTOS Y BPM"))))))))))))))))))))))))))))))</f>
        <v>0</v>
      </c>
      <c r="U254" s="41" t="str">
        <f t="shared" si="24"/>
        <v xml:space="preserve">   </v>
      </c>
      <c r="V254" s="41" t="str">
        <f t="shared" si="25"/>
        <v xml:space="preserve">   </v>
      </c>
      <c r="W254" s="41" t="str">
        <f t="shared" si="27"/>
        <v xml:space="preserve">   --</v>
      </c>
    </row>
    <row r="255" spans="1:23" s="19" customFormat="1" x14ac:dyDescent="0.2">
      <c r="A255" s="94">
        <v>254</v>
      </c>
      <c r="B255" s="62"/>
      <c r="G255" s="16"/>
      <c r="H255" s="31" t="s">
        <v>90</v>
      </c>
      <c r="I255" s="18"/>
      <c r="J255" s="22"/>
      <c r="K255" s="16"/>
      <c r="L255" s="16"/>
      <c r="M255" s="16"/>
      <c r="N255" s="17"/>
      <c r="O255" s="20"/>
      <c r="T255" s="41" t="b">
        <f>IF(N255=CURSOS!$D$3,"DIPLOMADO EN ATENCION PRE-HOSPITALARIA",IF(N255=CURSOS!$D$4,"ACOMPAÑAMIENTO Y MANEJO DEL DUELO",IF(N255=CURSOS!$D$5,"ATENCION A VICTIMAS DE ATAQUE CON AGENTES QUIMICOS ",IF(N255=CURSOS!$D$6,"PRIMEROS AUXILIOS ",IF(N255=CURSOS!$D$7,"DIPLOMADO DE UNIDAD DE CUIDADOS INTENSIVOS (UCI)",IF(N255=CURSOS!$D$8,"MODELO DE ATENCION PARA EVENTOS EMERGENTES EN SALUD MENTAL (CODIGO VERDE)",IF(N255=CURSOS!$D$9,"HUMANIZACION EN SALUD, BUENAS PRACTICAS EN PACIENTE ",IF(N255=CURSOS!$D$10,"CLINICA DE HERIDAS ",IF(N255=CURSOS!$D$11,"TOMA DE CITOLOGIA A CERVICO VAGINAL ",IF(N255=CURSOS!$D$12,"SOPORTE CARDIOVASCULAR AVANZADO ",IF(N255=CURSOS!$D$13,"CAMILLERO ",IF(N255=CURSOS!$D$14,"TOMA MUESTRAS Y LABORATORIO ",IF(N255=CURSOS!$D$15,"SOPORTE VITAL BASICO (BLS)",IF(N255=CURSOS!$D$16,"ATENCION A VICTIMAS DE VIOLENCIA SEXUAL ",IF(N255=CURSOS!$D$17,"PROGRAMADO AMPLIADO DE INMUNIZACION (PAI - COVID 19)",IF(N255=CURSOS!$D$18,"ATENCION INTEGRAL EN ENFERMEDADES PREVALENTES EN PRIMERA INFANCIA (AIEPI)",IF(N255=CURSOS!$D$19,"ADMINISTRACION DE MEDICAMENTOS, IYECTOLOGIA  Y CANALIZACION ",IF(N255=CURSOS!$D$20,"OPERADOR DE VEHICULOS DE EMERGENCIA (OVE)",IF(N255=CURSOS!$D$21,"INSTITUCIONES AMIGAS DE LA MUJER Y LA INFANCIA (IAMI)",IF(N255=CURSOS!$D$22,"CUIDADO DEL DONANTE DE ORGANOS",IF(N255=CURSOS!$D$23,"ATENCION A VICTIMAS POR VIOLENCIA DE GENERO",IF(N255=CURSOS!$D$24,"IGUALDAD DE GENERO EN LA SALUD",IF(N255=CURSOS!$D$25,"BRIGADA DE EMERGENCIA",IF(N255=CURSOS!$D$26,"MANEJO DEL DOLOR Y CUIDADOS PALIATIVOS",IF(N255=CURSOS!$D$27,"TOMA MUESTRAS Y LABORATORIO POCT",IF(N255=CURSOS!$D$28,"IMPLANTE SUBDERMICO Y DISPOSITIVO INTRAUTERINO",IF(N255=CURSOS!$D$29,"SALUD MENTAL",IF(N255=CURSOS!$D$30,"PRIMEROS AUXILIOS PSICOLOGICOS",IF(N255=CURSOS!$D$31,"ATENCION A VICTIMAS POR CONFLICTO ARMADO",IF(N255=CURSOS!$D$32,"MANIPULACION DE ALIMENTOS Y BPM"))))))))))))))))))))))))))))))</f>
        <v>0</v>
      </c>
      <c r="U255" s="41" t="str">
        <f t="shared" si="24"/>
        <v xml:space="preserve">   </v>
      </c>
      <c r="V255" s="41" t="str">
        <f t="shared" si="25"/>
        <v xml:space="preserve">   </v>
      </c>
      <c r="W255" s="41" t="str">
        <f t="shared" si="27"/>
        <v xml:space="preserve">   --</v>
      </c>
    </row>
    <row r="256" spans="1:23" s="19" customFormat="1" x14ac:dyDescent="0.2">
      <c r="A256" s="94">
        <v>255</v>
      </c>
      <c r="B256" s="62"/>
      <c r="G256" s="16"/>
      <c r="H256" s="31" t="s">
        <v>90</v>
      </c>
      <c r="I256" s="18"/>
      <c r="J256" s="22"/>
      <c r="K256" s="16"/>
      <c r="L256" s="16"/>
      <c r="M256" s="16"/>
      <c r="N256" s="17"/>
      <c r="O256" s="20"/>
      <c r="T256" s="41" t="b">
        <f>IF(N256=CURSOS!$D$3,"DIPLOMADO EN ATENCION PRE-HOSPITALARIA",IF(N256=CURSOS!$D$4,"ACOMPAÑAMIENTO Y MANEJO DEL DUELO",IF(N256=CURSOS!$D$5,"ATENCION A VICTIMAS DE ATAQUE CON AGENTES QUIMICOS ",IF(N256=CURSOS!$D$6,"PRIMEROS AUXILIOS ",IF(N256=CURSOS!$D$7,"DIPLOMADO DE UNIDAD DE CUIDADOS INTENSIVOS (UCI)",IF(N256=CURSOS!$D$8,"MODELO DE ATENCION PARA EVENTOS EMERGENTES EN SALUD MENTAL (CODIGO VERDE)",IF(N256=CURSOS!$D$9,"HUMANIZACION EN SALUD, BUENAS PRACTICAS EN PACIENTE ",IF(N256=CURSOS!$D$10,"CLINICA DE HERIDAS ",IF(N256=CURSOS!$D$11,"TOMA DE CITOLOGIA A CERVICO VAGINAL ",IF(N256=CURSOS!$D$12,"SOPORTE CARDIOVASCULAR AVANZADO ",IF(N256=CURSOS!$D$13,"CAMILLERO ",IF(N256=CURSOS!$D$14,"TOMA MUESTRAS Y LABORATORIO ",IF(N256=CURSOS!$D$15,"SOPORTE VITAL BASICO (BLS)",IF(N256=CURSOS!$D$16,"ATENCION A VICTIMAS DE VIOLENCIA SEXUAL ",IF(N256=CURSOS!$D$17,"PROGRAMADO AMPLIADO DE INMUNIZACION (PAI - COVID 19)",IF(N256=CURSOS!$D$18,"ATENCION INTEGRAL EN ENFERMEDADES PREVALENTES EN PRIMERA INFANCIA (AIEPI)",IF(N256=CURSOS!$D$19,"ADMINISTRACION DE MEDICAMENTOS, IYECTOLOGIA  Y CANALIZACION ",IF(N256=CURSOS!$D$20,"OPERADOR DE VEHICULOS DE EMERGENCIA (OVE)",IF(N256=CURSOS!$D$21,"INSTITUCIONES AMIGAS DE LA MUJER Y LA INFANCIA (IAMI)",IF(N256=CURSOS!$D$22,"CUIDADO DEL DONANTE DE ORGANOS",IF(N256=CURSOS!$D$23,"ATENCION A VICTIMAS POR VIOLENCIA DE GENERO",IF(N256=CURSOS!$D$24,"IGUALDAD DE GENERO EN LA SALUD",IF(N256=CURSOS!$D$25,"BRIGADA DE EMERGENCIA",IF(N256=CURSOS!$D$26,"MANEJO DEL DOLOR Y CUIDADOS PALIATIVOS",IF(N256=CURSOS!$D$27,"TOMA MUESTRAS Y LABORATORIO POCT",IF(N256=CURSOS!$D$28,"IMPLANTE SUBDERMICO Y DISPOSITIVO INTRAUTERINO",IF(N256=CURSOS!$D$29,"SALUD MENTAL",IF(N256=CURSOS!$D$30,"PRIMEROS AUXILIOS PSICOLOGICOS",IF(N256=CURSOS!$D$31,"ATENCION A VICTIMAS POR CONFLICTO ARMADO",IF(N256=CURSOS!$D$32,"MANIPULACION DE ALIMENTOS Y BPM"))))))))))))))))))))))))))))))</f>
        <v>0</v>
      </c>
      <c r="U256" s="41" t="str">
        <f t="shared" si="24"/>
        <v xml:space="preserve">   </v>
      </c>
      <c r="V256" s="41" t="str">
        <f t="shared" si="25"/>
        <v xml:space="preserve">   </v>
      </c>
      <c r="W256" s="41" t="str">
        <f t="shared" si="27"/>
        <v xml:space="preserve">   --</v>
      </c>
    </row>
    <row r="257" spans="1:23" s="19" customFormat="1" x14ac:dyDescent="0.2">
      <c r="A257" s="94">
        <v>256</v>
      </c>
      <c r="B257" s="62"/>
      <c r="G257" s="16"/>
      <c r="H257" s="31" t="s">
        <v>90</v>
      </c>
      <c r="I257" s="18"/>
      <c r="J257" s="22"/>
      <c r="K257" s="16"/>
      <c r="L257" s="16"/>
      <c r="M257" s="16"/>
      <c r="N257" s="17"/>
      <c r="O257" s="20"/>
      <c r="T257" s="41" t="b">
        <f>IF(N257=CURSOS!$D$3,"DIPLOMADO EN ATENCION PRE-HOSPITALARIA",IF(N257=CURSOS!$D$4,"ACOMPAÑAMIENTO Y MANEJO DEL DUELO",IF(N257=CURSOS!$D$5,"ATENCION A VICTIMAS DE ATAQUE CON AGENTES QUIMICOS ",IF(N257=CURSOS!$D$6,"PRIMEROS AUXILIOS ",IF(N257=CURSOS!$D$7,"DIPLOMADO DE UNIDAD DE CUIDADOS INTENSIVOS (UCI)",IF(N257=CURSOS!$D$8,"MODELO DE ATENCION PARA EVENTOS EMERGENTES EN SALUD MENTAL (CODIGO VERDE)",IF(N257=CURSOS!$D$9,"HUMANIZACION EN SALUD, BUENAS PRACTICAS EN PACIENTE ",IF(N257=CURSOS!$D$10,"CLINICA DE HERIDAS ",IF(N257=CURSOS!$D$11,"TOMA DE CITOLOGIA A CERVICO VAGINAL ",IF(N257=CURSOS!$D$12,"SOPORTE CARDIOVASCULAR AVANZADO ",IF(N257=CURSOS!$D$13,"CAMILLERO ",IF(N257=CURSOS!$D$14,"TOMA MUESTRAS Y LABORATORIO ",IF(N257=CURSOS!$D$15,"SOPORTE VITAL BASICO (BLS)",IF(N257=CURSOS!$D$16,"ATENCION A VICTIMAS DE VIOLENCIA SEXUAL ",IF(N257=CURSOS!$D$17,"PROGRAMADO AMPLIADO DE INMUNIZACION (PAI - COVID 19)",IF(N257=CURSOS!$D$18,"ATENCION INTEGRAL EN ENFERMEDADES PREVALENTES EN PRIMERA INFANCIA (AIEPI)",IF(N257=CURSOS!$D$19,"ADMINISTRACION DE MEDICAMENTOS, IYECTOLOGIA  Y CANALIZACION ",IF(N257=CURSOS!$D$20,"OPERADOR DE VEHICULOS DE EMERGENCIA (OVE)",IF(N257=CURSOS!$D$21,"INSTITUCIONES AMIGAS DE LA MUJER Y LA INFANCIA (IAMI)",IF(N257=CURSOS!$D$22,"CUIDADO DEL DONANTE DE ORGANOS",IF(N257=CURSOS!$D$23,"ATENCION A VICTIMAS POR VIOLENCIA DE GENERO",IF(N257=CURSOS!$D$24,"IGUALDAD DE GENERO EN LA SALUD",IF(N257=CURSOS!$D$25,"BRIGADA DE EMERGENCIA",IF(N257=CURSOS!$D$26,"MANEJO DEL DOLOR Y CUIDADOS PALIATIVOS",IF(N257=CURSOS!$D$27,"TOMA MUESTRAS Y LABORATORIO POCT",IF(N257=CURSOS!$D$28,"IMPLANTE SUBDERMICO Y DISPOSITIVO INTRAUTERINO",IF(N257=CURSOS!$D$29,"SALUD MENTAL",IF(N257=CURSOS!$D$30,"PRIMEROS AUXILIOS PSICOLOGICOS",IF(N257=CURSOS!$D$31,"ATENCION A VICTIMAS POR CONFLICTO ARMADO",IF(N257=CURSOS!$D$32,"MANIPULACION DE ALIMENTOS Y BPM"))))))))))))))))))))))))))))))</f>
        <v>0</v>
      </c>
      <c r="U257" s="41" t="str">
        <f t="shared" si="24"/>
        <v xml:space="preserve">   </v>
      </c>
      <c r="V257" s="41" t="str">
        <f t="shared" si="25"/>
        <v xml:space="preserve">   </v>
      </c>
      <c r="W257" s="41" t="str">
        <f t="shared" si="27"/>
        <v xml:space="preserve">   --</v>
      </c>
    </row>
    <row r="258" spans="1:23" s="19" customFormat="1" x14ac:dyDescent="0.2">
      <c r="A258" s="94">
        <v>257</v>
      </c>
      <c r="B258" s="62"/>
      <c r="G258" s="16"/>
      <c r="H258" s="31" t="s">
        <v>90</v>
      </c>
      <c r="I258" s="18"/>
      <c r="J258" s="22"/>
      <c r="K258" s="16"/>
      <c r="L258" s="16"/>
      <c r="M258" s="16"/>
      <c r="N258" s="17"/>
      <c r="O258" s="20"/>
      <c r="T258" s="41" t="b">
        <f>IF(N258=CURSOS!$D$3,"DIPLOMADO EN ATENCION PRE-HOSPITALARIA",IF(N258=CURSOS!$D$4,"ACOMPAÑAMIENTO Y MANEJO DEL DUELO",IF(N258=CURSOS!$D$5,"ATENCION A VICTIMAS DE ATAQUE CON AGENTES QUIMICOS ",IF(N258=CURSOS!$D$6,"PRIMEROS AUXILIOS ",IF(N258=CURSOS!$D$7,"DIPLOMADO DE UNIDAD DE CUIDADOS INTENSIVOS (UCI)",IF(N258=CURSOS!$D$8,"MODELO DE ATENCION PARA EVENTOS EMERGENTES EN SALUD MENTAL (CODIGO VERDE)",IF(N258=CURSOS!$D$9,"HUMANIZACION EN SALUD, BUENAS PRACTICAS EN PACIENTE ",IF(N258=CURSOS!$D$10,"CLINICA DE HERIDAS ",IF(N258=CURSOS!$D$11,"TOMA DE CITOLOGIA A CERVICO VAGINAL ",IF(N258=CURSOS!$D$12,"SOPORTE CARDIOVASCULAR AVANZADO ",IF(N258=CURSOS!$D$13,"CAMILLERO ",IF(N258=CURSOS!$D$14,"TOMA MUESTRAS Y LABORATORIO ",IF(N258=CURSOS!$D$15,"SOPORTE VITAL BASICO (BLS)",IF(N258=CURSOS!$D$16,"ATENCION A VICTIMAS DE VIOLENCIA SEXUAL ",IF(N258=CURSOS!$D$17,"PROGRAMADO AMPLIADO DE INMUNIZACION (PAI - COVID 19)",IF(N258=CURSOS!$D$18,"ATENCION INTEGRAL EN ENFERMEDADES PREVALENTES EN PRIMERA INFANCIA (AIEPI)",IF(N258=CURSOS!$D$19,"ADMINISTRACION DE MEDICAMENTOS, IYECTOLOGIA  Y CANALIZACION ",IF(N258=CURSOS!$D$20,"OPERADOR DE VEHICULOS DE EMERGENCIA (OVE)",IF(N258=CURSOS!$D$21,"INSTITUCIONES AMIGAS DE LA MUJER Y LA INFANCIA (IAMI)",IF(N258=CURSOS!$D$22,"CUIDADO DEL DONANTE DE ORGANOS",IF(N258=CURSOS!$D$23,"ATENCION A VICTIMAS POR VIOLENCIA DE GENERO",IF(N258=CURSOS!$D$24,"IGUALDAD DE GENERO EN LA SALUD",IF(N258=CURSOS!$D$25,"BRIGADA DE EMERGENCIA",IF(N258=CURSOS!$D$26,"MANEJO DEL DOLOR Y CUIDADOS PALIATIVOS",IF(N258=CURSOS!$D$27,"TOMA MUESTRAS Y LABORATORIO POCT",IF(N258=CURSOS!$D$28,"IMPLANTE SUBDERMICO Y DISPOSITIVO INTRAUTERINO",IF(N258=CURSOS!$D$29,"SALUD MENTAL",IF(N258=CURSOS!$D$30,"PRIMEROS AUXILIOS PSICOLOGICOS",IF(N258=CURSOS!$D$31,"ATENCION A VICTIMAS POR CONFLICTO ARMADO",IF(N258=CURSOS!$D$32,"MANIPULACION DE ALIMENTOS Y BPM"))))))))))))))))))))))))))))))</f>
        <v>0</v>
      </c>
      <c r="U258" s="41" t="str">
        <f t="shared" si="24"/>
        <v xml:space="preserve">   </v>
      </c>
      <c r="V258" s="41" t="str">
        <f t="shared" si="25"/>
        <v xml:space="preserve">   </v>
      </c>
      <c r="W258" s="41" t="str">
        <f t="shared" si="27"/>
        <v xml:space="preserve">   --</v>
      </c>
    </row>
    <row r="259" spans="1:23" s="19" customFormat="1" x14ac:dyDescent="0.2">
      <c r="A259" s="94">
        <v>258</v>
      </c>
      <c r="B259" s="62"/>
      <c r="G259" s="16"/>
      <c r="H259" s="31" t="s">
        <v>90</v>
      </c>
      <c r="I259" s="18"/>
      <c r="J259" s="22"/>
      <c r="K259" s="16"/>
      <c r="L259" s="16"/>
      <c r="M259" s="16"/>
      <c r="N259" s="17"/>
      <c r="O259" s="20"/>
      <c r="T259" s="41" t="b">
        <f>IF(N259=CURSOS!$D$3,"DIPLOMADO EN ATENCION PRE-HOSPITALARIA",IF(N259=CURSOS!$D$4,"ACOMPAÑAMIENTO Y MANEJO DEL DUELO",IF(N259=CURSOS!$D$5,"ATENCION A VICTIMAS DE ATAQUE CON AGENTES QUIMICOS ",IF(N259=CURSOS!$D$6,"PRIMEROS AUXILIOS ",IF(N259=CURSOS!$D$7,"DIPLOMADO DE UNIDAD DE CUIDADOS INTENSIVOS (UCI)",IF(N259=CURSOS!$D$8,"MODELO DE ATENCION PARA EVENTOS EMERGENTES EN SALUD MENTAL (CODIGO VERDE)",IF(N259=CURSOS!$D$9,"HUMANIZACION EN SALUD, BUENAS PRACTICAS EN PACIENTE ",IF(N259=CURSOS!$D$10,"CLINICA DE HERIDAS ",IF(N259=CURSOS!$D$11,"TOMA DE CITOLOGIA A CERVICO VAGINAL ",IF(N259=CURSOS!$D$12,"SOPORTE CARDIOVASCULAR AVANZADO ",IF(N259=CURSOS!$D$13,"CAMILLERO ",IF(N259=CURSOS!$D$14,"TOMA MUESTRAS Y LABORATORIO ",IF(N259=CURSOS!$D$15,"SOPORTE VITAL BASICO (BLS)",IF(N259=CURSOS!$D$16,"ATENCION A VICTIMAS DE VIOLENCIA SEXUAL ",IF(N259=CURSOS!$D$17,"PROGRAMADO AMPLIADO DE INMUNIZACION (PAI - COVID 19)",IF(N259=CURSOS!$D$18,"ATENCION INTEGRAL EN ENFERMEDADES PREVALENTES EN PRIMERA INFANCIA (AIEPI)",IF(N259=CURSOS!$D$19,"ADMINISTRACION DE MEDICAMENTOS, IYECTOLOGIA  Y CANALIZACION ",IF(N259=CURSOS!$D$20,"OPERADOR DE VEHICULOS DE EMERGENCIA (OVE)",IF(N259=CURSOS!$D$21,"INSTITUCIONES AMIGAS DE LA MUJER Y LA INFANCIA (IAMI)",IF(N259=CURSOS!$D$22,"CUIDADO DEL DONANTE DE ORGANOS",IF(N259=CURSOS!$D$23,"ATENCION A VICTIMAS POR VIOLENCIA DE GENERO",IF(N259=CURSOS!$D$24,"IGUALDAD DE GENERO EN LA SALUD",IF(N259=CURSOS!$D$25,"BRIGADA DE EMERGENCIA",IF(N259=CURSOS!$D$26,"MANEJO DEL DOLOR Y CUIDADOS PALIATIVOS",IF(N259=CURSOS!$D$27,"TOMA MUESTRAS Y LABORATORIO POCT",IF(N259=CURSOS!$D$28,"IMPLANTE SUBDERMICO Y DISPOSITIVO INTRAUTERINO",IF(N259=CURSOS!$D$29,"SALUD MENTAL",IF(N259=CURSOS!$D$30,"PRIMEROS AUXILIOS PSICOLOGICOS",IF(N259=CURSOS!$D$31,"ATENCION A VICTIMAS POR CONFLICTO ARMADO",IF(N259=CURSOS!$D$32,"MANIPULACION DE ALIMENTOS Y BPM"))))))))))))))))))))))))))))))</f>
        <v>0</v>
      </c>
      <c r="U259" s="41" t="str">
        <f t="shared" si="24"/>
        <v xml:space="preserve">   </v>
      </c>
      <c r="V259" s="41" t="str">
        <f t="shared" si="25"/>
        <v xml:space="preserve">   </v>
      </c>
      <c r="W259" s="41" t="str">
        <f t="shared" si="27"/>
        <v xml:space="preserve">   --</v>
      </c>
    </row>
    <row r="260" spans="1:23" s="55" customFormat="1" x14ac:dyDescent="0.2">
      <c r="A260" s="94">
        <v>259</v>
      </c>
      <c r="B260" s="62"/>
      <c r="G260" s="56"/>
      <c r="H260" s="31" t="s">
        <v>90</v>
      </c>
      <c r="I260" s="57"/>
      <c r="J260" s="58"/>
      <c r="K260" s="56"/>
      <c r="L260" s="56"/>
      <c r="M260" s="56"/>
      <c r="N260" s="59"/>
      <c r="O260" s="60"/>
      <c r="T260" s="41" t="b">
        <f>IF(N260=CURSOS!$D$3,"DIPLOMADO EN ATENCION PRE-HOSPITALARIA",IF(N260=CURSOS!$D$4,"ACOMPAÑAMIENTO Y MANEJO DEL DUELO",IF(N260=CURSOS!$D$5,"ATENCION A VICTIMAS DE ATAQUE CON AGENTES QUIMICOS ",IF(N260=CURSOS!$D$6,"PRIMEROS AUXILIOS ",IF(N260=CURSOS!$D$7,"DIPLOMADO DE UNIDAD DE CUIDADOS INTENSIVOS (UCI)",IF(N260=CURSOS!$D$8,"MODELO DE ATENCION PARA EVENTOS EMERGENTES EN SALUD MENTAL (CODIGO VERDE)",IF(N260=CURSOS!$D$9,"HUMANIZACION EN SALUD, BUENAS PRACTICAS EN PACIENTE ",IF(N260=CURSOS!$D$10,"CLINICA DE HERIDAS ",IF(N260=CURSOS!$D$11,"TOMA DE CITOLOGIA A CERVICO VAGINAL ",IF(N260=CURSOS!$D$12,"SOPORTE CARDIOVASCULAR AVANZADO ",IF(N260=CURSOS!$D$13,"CAMILLERO ",IF(N260=CURSOS!$D$14,"TOMA MUESTRAS Y LABORATORIO ",IF(N260=CURSOS!$D$15,"SOPORTE VITAL BASICO (BLS)",IF(N260=CURSOS!$D$16,"ATENCION A VICTIMAS DE VIOLENCIA SEXUAL ",IF(N260=CURSOS!$D$17,"PROGRAMADO AMPLIADO DE INMUNIZACION (PAI - COVID 19)",IF(N260=CURSOS!$D$18,"ATENCION INTEGRAL EN ENFERMEDADES PREVALENTES EN PRIMERA INFANCIA (AIEPI)",IF(N260=CURSOS!$D$19,"ADMINISTRACION DE MEDICAMENTOS, IYECTOLOGIA  Y CANALIZACION ",IF(N260=CURSOS!$D$20,"OPERADOR DE VEHICULOS DE EMERGENCIA (OVE)",IF(N260=CURSOS!$D$21,"INSTITUCIONES AMIGAS DE LA MUJER Y LA INFANCIA (IAMI)",IF(N260=CURSOS!$D$22,"CUIDADO DEL DONANTE DE ORGANOS",IF(N260=CURSOS!$D$23,"ATENCION A VICTIMAS POR VIOLENCIA DE GENERO",IF(N260=CURSOS!$D$24,"IGUALDAD DE GENERO EN LA SALUD",IF(N260=CURSOS!$D$25,"BRIGADA DE EMERGENCIA",IF(N260=CURSOS!$D$26,"MANEJO DEL DOLOR Y CUIDADOS PALIATIVOS",IF(N260=CURSOS!$D$27,"TOMA MUESTRAS Y LABORATORIO POCT",IF(N260=CURSOS!$D$28,"IMPLANTE SUBDERMICO Y DISPOSITIVO INTRAUTERINO",IF(N260=CURSOS!$D$29,"SALUD MENTAL",IF(N260=CURSOS!$D$30,"PRIMEROS AUXILIOS PSICOLOGICOS",IF(N260=CURSOS!$D$31,"ATENCION A VICTIMAS POR CONFLICTO ARMADO",IF(N260=CURSOS!$D$32,"MANIPULACION DE ALIMENTOS Y BPM"))))))))))))))))))))))))))))))</f>
        <v>0</v>
      </c>
      <c r="U260" s="41" t="str">
        <f t="shared" si="24"/>
        <v xml:space="preserve">   </v>
      </c>
      <c r="V260" s="41" t="str">
        <f t="shared" si="25"/>
        <v xml:space="preserve">   </v>
      </c>
      <c r="W260" s="41" t="str">
        <f t="shared" si="27"/>
        <v xml:space="preserve">   --</v>
      </c>
    </row>
    <row r="261" spans="1:23" s="55" customFormat="1" x14ac:dyDescent="0.2">
      <c r="A261" s="94">
        <v>260</v>
      </c>
      <c r="B261" s="62"/>
      <c r="G261" s="56"/>
      <c r="H261" s="31" t="s">
        <v>90</v>
      </c>
      <c r="I261" s="57"/>
      <c r="J261" s="58"/>
      <c r="K261" s="56"/>
      <c r="L261" s="56"/>
      <c r="M261" s="56"/>
      <c r="N261" s="59"/>
      <c r="O261" s="60"/>
      <c r="T261" s="41" t="b">
        <f>IF(N261=CURSOS!$D$3,"DIPLOMADO EN ATENCION PRE-HOSPITALARIA",IF(N261=CURSOS!$D$4,"ACOMPAÑAMIENTO Y MANEJO DEL DUELO",IF(N261=CURSOS!$D$5,"ATENCION A VICTIMAS DE ATAQUE CON AGENTES QUIMICOS ",IF(N261=CURSOS!$D$6,"PRIMEROS AUXILIOS ",IF(N261=CURSOS!$D$7,"DIPLOMADO DE UNIDAD DE CUIDADOS INTENSIVOS (UCI)",IF(N261=CURSOS!$D$8,"MODELO DE ATENCION PARA EVENTOS EMERGENTES EN SALUD MENTAL (CODIGO VERDE)",IF(N261=CURSOS!$D$9,"HUMANIZACION EN SALUD, BUENAS PRACTICAS EN PACIENTE ",IF(N261=CURSOS!$D$10,"CLINICA DE HERIDAS ",IF(N261=CURSOS!$D$11,"TOMA DE CITOLOGIA A CERVICO VAGINAL ",IF(N261=CURSOS!$D$12,"SOPORTE CARDIOVASCULAR AVANZADO ",IF(N261=CURSOS!$D$13,"CAMILLERO ",IF(N261=CURSOS!$D$14,"TOMA MUESTRAS Y LABORATORIO ",IF(N261=CURSOS!$D$15,"SOPORTE VITAL BASICO (BLS)",IF(N261=CURSOS!$D$16,"ATENCION A VICTIMAS DE VIOLENCIA SEXUAL ",IF(N261=CURSOS!$D$17,"PROGRAMADO AMPLIADO DE INMUNIZACION (PAI - COVID 19)",IF(N261=CURSOS!$D$18,"ATENCION INTEGRAL EN ENFERMEDADES PREVALENTES EN PRIMERA INFANCIA (AIEPI)",IF(N261=CURSOS!$D$19,"ADMINISTRACION DE MEDICAMENTOS, IYECTOLOGIA  Y CANALIZACION ",IF(N261=CURSOS!$D$20,"OPERADOR DE VEHICULOS DE EMERGENCIA (OVE)",IF(N261=CURSOS!$D$21,"INSTITUCIONES AMIGAS DE LA MUJER Y LA INFANCIA (IAMI)",IF(N261=CURSOS!$D$22,"CUIDADO DEL DONANTE DE ORGANOS",IF(N261=CURSOS!$D$23,"ATENCION A VICTIMAS POR VIOLENCIA DE GENERO",IF(N261=CURSOS!$D$24,"IGUALDAD DE GENERO EN LA SALUD",IF(N261=CURSOS!$D$25,"BRIGADA DE EMERGENCIA",IF(N261=CURSOS!$D$26,"MANEJO DEL DOLOR Y CUIDADOS PALIATIVOS",IF(N261=CURSOS!$D$27,"TOMA MUESTRAS Y LABORATORIO POCT",IF(N261=CURSOS!$D$28,"IMPLANTE SUBDERMICO Y DISPOSITIVO INTRAUTERINO",IF(N261=CURSOS!$D$29,"SALUD MENTAL",IF(N261=CURSOS!$D$30,"PRIMEROS AUXILIOS PSICOLOGICOS",IF(N261=CURSOS!$D$31,"ATENCION A VICTIMAS POR CONFLICTO ARMADO",IF(N261=CURSOS!$D$32,"MANIPULACION DE ALIMENTOS Y BPM"))))))))))))))))))))))))))))))</f>
        <v>0</v>
      </c>
      <c r="U261" s="41" t="str">
        <f t="shared" si="24"/>
        <v xml:space="preserve">   </v>
      </c>
      <c r="V261" s="41" t="str">
        <f t="shared" si="25"/>
        <v xml:space="preserve">   </v>
      </c>
      <c r="W261" s="41" t="str">
        <f t="shared" si="27"/>
        <v xml:space="preserve">   --</v>
      </c>
    </row>
    <row r="262" spans="1:23" s="55" customFormat="1" x14ac:dyDescent="0.2">
      <c r="A262" s="94">
        <v>261</v>
      </c>
      <c r="B262" s="62"/>
      <c r="G262" s="56"/>
      <c r="H262" s="31" t="s">
        <v>90</v>
      </c>
      <c r="I262" s="57"/>
      <c r="J262" s="58"/>
      <c r="K262" s="56"/>
      <c r="L262" s="56"/>
      <c r="M262" s="56"/>
      <c r="N262" s="59"/>
      <c r="O262" s="60"/>
      <c r="T262" s="41" t="b">
        <f>IF(N262=CURSOS!$D$3,"DIPLOMADO EN ATENCION PRE-HOSPITALARIA",IF(N262=CURSOS!$D$4,"ACOMPAÑAMIENTO Y MANEJO DEL DUELO",IF(N262=CURSOS!$D$5,"ATENCION A VICTIMAS DE ATAQUE CON AGENTES QUIMICOS ",IF(N262=CURSOS!$D$6,"PRIMEROS AUXILIOS ",IF(N262=CURSOS!$D$7,"DIPLOMADO DE UNIDAD DE CUIDADOS INTENSIVOS (UCI)",IF(N262=CURSOS!$D$8,"MODELO DE ATENCION PARA EVENTOS EMERGENTES EN SALUD MENTAL (CODIGO VERDE)",IF(N262=CURSOS!$D$9,"HUMANIZACION EN SALUD, BUENAS PRACTICAS EN PACIENTE ",IF(N262=CURSOS!$D$10,"CLINICA DE HERIDAS ",IF(N262=CURSOS!$D$11,"TOMA DE CITOLOGIA A CERVICO VAGINAL ",IF(N262=CURSOS!$D$12,"SOPORTE CARDIOVASCULAR AVANZADO ",IF(N262=CURSOS!$D$13,"CAMILLERO ",IF(N262=CURSOS!$D$14,"TOMA MUESTRAS Y LABORATORIO ",IF(N262=CURSOS!$D$15,"SOPORTE VITAL BASICO (BLS)",IF(N262=CURSOS!$D$16,"ATENCION A VICTIMAS DE VIOLENCIA SEXUAL ",IF(N262=CURSOS!$D$17,"PROGRAMADO AMPLIADO DE INMUNIZACION (PAI - COVID 19)",IF(N262=CURSOS!$D$18,"ATENCION INTEGRAL EN ENFERMEDADES PREVALENTES EN PRIMERA INFANCIA (AIEPI)",IF(N262=CURSOS!$D$19,"ADMINISTRACION DE MEDICAMENTOS, IYECTOLOGIA  Y CANALIZACION ",IF(N262=CURSOS!$D$20,"OPERADOR DE VEHICULOS DE EMERGENCIA (OVE)",IF(N262=CURSOS!$D$21,"INSTITUCIONES AMIGAS DE LA MUJER Y LA INFANCIA (IAMI)",IF(N262=CURSOS!$D$22,"CUIDADO DEL DONANTE DE ORGANOS",IF(N262=CURSOS!$D$23,"ATENCION A VICTIMAS POR VIOLENCIA DE GENERO",IF(N262=CURSOS!$D$24,"IGUALDAD DE GENERO EN LA SALUD",IF(N262=CURSOS!$D$25,"BRIGADA DE EMERGENCIA",IF(N262=CURSOS!$D$26,"MANEJO DEL DOLOR Y CUIDADOS PALIATIVOS",IF(N262=CURSOS!$D$27,"TOMA MUESTRAS Y LABORATORIO POCT",IF(N262=CURSOS!$D$28,"IMPLANTE SUBDERMICO Y DISPOSITIVO INTRAUTERINO",IF(N262=CURSOS!$D$29,"SALUD MENTAL",IF(N262=CURSOS!$D$30,"PRIMEROS AUXILIOS PSICOLOGICOS",IF(N262=CURSOS!$D$31,"ATENCION A VICTIMAS POR CONFLICTO ARMADO",IF(N262=CURSOS!$D$32,"MANIPULACION DE ALIMENTOS Y BPM"))))))))))))))))))))))))))))))</f>
        <v>0</v>
      </c>
      <c r="U262" s="41" t="str">
        <f t="shared" si="24"/>
        <v xml:space="preserve">   </v>
      </c>
      <c r="V262" s="41" t="str">
        <f t="shared" si="25"/>
        <v xml:space="preserve">   </v>
      </c>
      <c r="W262" s="41" t="str">
        <f t="shared" si="27"/>
        <v xml:space="preserve">   --</v>
      </c>
    </row>
    <row r="263" spans="1:23" s="55" customFormat="1" x14ac:dyDescent="0.2">
      <c r="A263" s="94">
        <v>262</v>
      </c>
      <c r="B263" s="62"/>
      <c r="G263" s="56"/>
      <c r="H263" s="31" t="s">
        <v>90</v>
      </c>
      <c r="I263" s="57"/>
      <c r="J263" s="58"/>
      <c r="K263" s="56"/>
      <c r="L263" s="56"/>
      <c r="M263" s="56"/>
      <c r="N263" s="59"/>
      <c r="O263" s="60"/>
      <c r="T263" s="41" t="b">
        <f>IF(N263=CURSOS!$D$3,"DIPLOMADO EN ATENCION PRE-HOSPITALARIA",IF(N263=CURSOS!$D$4,"ACOMPAÑAMIENTO Y MANEJO DEL DUELO",IF(N263=CURSOS!$D$5,"ATENCION A VICTIMAS DE ATAQUE CON AGENTES QUIMICOS ",IF(N263=CURSOS!$D$6,"PRIMEROS AUXILIOS ",IF(N263=CURSOS!$D$7,"DIPLOMADO DE UNIDAD DE CUIDADOS INTENSIVOS (UCI)",IF(N263=CURSOS!$D$8,"MODELO DE ATENCION PARA EVENTOS EMERGENTES EN SALUD MENTAL (CODIGO VERDE)",IF(N263=CURSOS!$D$9,"HUMANIZACION EN SALUD, BUENAS PRACTICAS EN PACIENTE ",IF(N263=CURSOS!$D$10,"CLINICA DE HERIDAS ",IF(N263=CURSOS!$D$11,"TOMA DE CITOLOGIA A CERVICO VAGINAL ",IF(N263=CURSOS!$D$12,"SOPORTE CARDIOVASCULAR AVANZADO ",IF(N263=CURSOS!$D$13,"CAMILLERO ",IF(N263=CURSOS!$D$14,"TOMA MUESTRAS Y LABORATORIO ",IF(N263=CURSOS!$D$15,"SOPORTE VITAL BASICO (BLS)",IF(N263=CURSOS!$D$16,"ATENCION A VICTIMAS DE VIOLENCIA SEXUAL ",IF(N263=CURSOS!$D$17,"PROGRAMADO AMPLIADO DE INMUNIZACION (PAI - COVID 19)",IF(N263=CURSOS!$D$18,"ATENCION INTEGRAL EN ENFERMEDADES PREVALENTES EN PRIMERA INFANCIA (AIEPI)",IF(N263=CURSOS!$D$19,"ADMINISTRACION DE MEDICAMENTOS, IYECTOLOGIA  Y CANALIZACION ",IF(N263=CURSOS!$D$20,"OPERADOR DE VEHICULOS DE EMERGENCIA (OVE)",IF(N263=CURSOS!$D$21,"INSTITUCIONES AMIGAS DE LA MUJER Y LA INFANCIA (IAMI)",IF(N263=CURSOS!$D$22,"CUIDADO DEL DONANTE DE ORGANOS",IF(N263=CURSOS!$D$23,"ATENCION A VICTIMAS POR VIOLENCIA DE GENERO",IF(N263=CURSOS!$D$24,"IGUALDAD DE GENERO EN LA SALUD",IF(N263=CURSOS!$D$25,"BRIGADA DE EMERGENCIA",IF(N263=CURSOS!$D$26,"MANEJO DEL DOLOR Y CUIDADOS PALIATIVOS",IF(N263=CURSOS!$D$27,"TOMA MUESTRAS Y LABORATORIO POCT",IF(N263=CURSOS!$D$28,"IMPLANTE SUBDERMICO Y DISPOSITIVO INTRAUTERINO",IF(N263=CURSOS!$D$29,"SALUD MENTAL",IF(N263=CURSOS!$D$30,"PRIMEROS AUXILIOS PSICOLOGICOS",IF(N263=CURSOS!$D$31,"ATENCION A VICTIMAS POR CONFLICTO ARMADO",IF(N263=CURSOS!$D$32,"MANIPULACION DE ALIMENTOS Y BPM"))))))))))))))))))))))))))))))</f>
        <v>0</v>
      </c>
      <c r="U263" s="41" t="str">
        <f t="shared" si="24"/>
        <v xml:space="preserve">   </v>
      </c>
      <c r="V263" s="41" t="str">
        <f t="shared" si="25"/>
        <v xml:space="preserve">   </v>
      </c>
      <c r="W263" s="41" t="str">
        <f t="shared" si="27"/>
        <v xml:space="preserve">   --</v>
      </c>
    </row>
    <row r="264" spans="1:23" s="55" customFormat="1" x14ac:dyDescent="0.2">
      <c r="A264" s="94">
        <v>263</v>
      </c>
      <c r="B264" s="62"/>
      <c r="G264" s="56"/>
      <c r="H264" s="31" t="s">
        <v>90</v>
      </c>
      <c r="I264" s="57"/>
      <c r="J264" s="58"/>
      <c r="K264" s="56"/>
      <c r="L264" s="56"/>
      <c r="M264" s="56"/>
      <c r="N264" s="59"/>
      <c r="O264" s="60"/>
      <c r="T264" s="41" t="b">
        <f>IF(N264=CURSOS!$D$3,"DIPLOMADO EN ATENCION PRE-HOSPITALARIA",IF(N264=CURSOS!$D$4,"ACOMPAÑAMIENTO Y MANEJO DEL DUELO",IF(N264=CURSOS!$D$5,"ATENCION A VICTIMAS DE ATAQUE CON AGENTES QUIMICOS ",IF(N264=CURSOS!$D$6,"PRIMEROS AUXILIOS ",IF(N264=CURSOS!$D$7,"DIPLOMADO DE UNIDAD DE CUIDADOS INTENSIVOS (UCI)",IF(N264=CURSOS!$D$8,"MODELO DE ATENCION PARA EVENTOS EMERGENTES EN SALUD MENTAL (CODIGO VERDE)",IF(N264=CURSOS!$D$9,"HUMANIZACION EN SALUD, BUENAS PRACTICAS EN PACIENTE ",IF(N264=CURSOS!$D$10,"CLINICA DE HERIDAS ",IF(N264=CURSOS!$D$11,"TOMA DE CITOLOGIA A CERVICO VAGINAL ",IF(N264=CURSOS!$D$12,"SOPORTE CARDIOVASCULAR AVANZADO ",IF(N264=CURSOS!$D$13,"CAMILLERO ",IF(N264=CURSOS!$D$14,"TOMA MUESTRAS Y LABORATORIO ",IF(N264=CURSOS!$D$15,"SOPORTE VITAL BASICO (BLS)",IF(N264=CURSOS!$D$16,"ATENCION A VICTIMAS DE VIOLENCIA SEXUAL ",IF(N264=CURSOS!$D$17,"PROGRAMADO AMPLIADO DE INMUNIZACION (PAI - COVID 19)",IF(N264=CURSOS!$D$18,"ATENCION INTEGRAL EN ENFERMEDADES PREVALENTES EN PRIMERA INFANCIA (AIEPI)",IF(N264=CURSOS!$D$19,"ADMINISTRACION DE MEDICAMENTOS, IYECTOLOGIA  Y CANALIZACION ",IF(N264=CURSOS!$D$20,"OPERADOR DE VEHICULOS DE EMERGENCIA (OVE)",IF(N264=CURSOS!$D$21,"INSTITUCIONES AMIGAS DE LA MUJER Y LA INFANCIA (IAMI)",IF(N264=CURSOS!$D$22,"CUIDADO DEL DONANTE DE ORGANOS",IF(N264=CURSOS!$D$23,"ATENCION A VICTIMAS POR VIOLENCIA DE GENERO",IF(N264=CURSOS!$D$24,"IGUALDAD DE GENERO EN LA SALUD",IF(N264=CURSOS!$D$25,"BRIGADA DE EMERGENCIA",IF(N264=CURSOS!$D$26,"MANEJO DEL DOLOR Y CUIDADOS PALIATIVOS",IF(N264=CURSOS!$D$27,"TOMA MUESTRAS Y LABORATORIO POCT",IF(N264=CURSOS!$D$28,"IMPLANTE SUBDERMICO Y DISPOSITIVO INTRAUTERINO",IF(N264=CURSOS!$D$29,"SALUD MENTAL",IF(N264=CURSOS!$D$30,"PRIMEROS AUXILIOS PSICOLOGICOS",IF(N264=CURSOS!$D$31,"ATENCION A VICTIMAS POR CONFLICTO ARMADO",IF(N264=CURSOS!$D$32,"MANIPULACION DE ALIMENTOS Y BPM"))))))))))))))))))))))))))))))</f>
        <v>0</v>
      </c>
      <c r="U264" s="41" t="str">
        <f t="shared" si="24"/>
        <v xml:space="preserve">   </v>
      </c>
      <c r="V264" s="41" t="str">
        <f t="shared" si="25"/>
        <v xml:space="preserve">   </v>
      </c>
      <c r="W264" s="41" t="str">
        <f t="shared" si="27"/>
        <v xml:space="preserve">   --</v>
      </c>
    </row>
    <row r="265" spans="1:23" s="55" customFormat="1" x14ac:dyDescent="0.2">
      <c r="A265" s="94">
        <v>264</v>
      </c>
      <c r="B265" s="62"/>
      <c r="G265" s="56"/>
      <c r="H265" s="31" t="s">
        <v>90</v>
      </c>
      <c r="I265" s="57"/>
      <c r="J265" s="58"/>
      <c r="K265" s="56"/>
      <c r="L265" s="56"/>
      <c r="M265" s="56"/>
      <c r="N265" s="59"/>
      <c r="O265" s="60"/>
      <c r="T265" s="41" t="b">
        <f>IF(N265=CURSOS!$D$3,"DIPLOMADO EN ATENCION PRE-HOSPITALARIA",IF(N265=CURSOS!$D$4,"ACOMPAÑAMIENTO Y MANEJO DEL DUELO",IF(N265=CURSOS!$D$5,"ATENCION A VICTIMAS DE ATAQUE CON AGENTES QUIMICOS ",IF(N265=CURSOS!$D$6,"PRIMEROS AUXILIOS ",IF(N265=CURSOS!$D$7,"DIPLOMADO DE UNIDAD DE CUIDADOS INTENSIVOS (UCI)",IF(N265=CURSOS!$D$8,"MODELO DE ATENCION PARA EVENTOS EMERGENTES EN SALUD MENTAL (CODIGO VERDE)",IF(N265=CURSOS!$D$9,"HUMANIZACION EN SALUD, BUENAS PRACTICAS EN PACIENTE ",IF(N265=CURSOS!$D$10,"CLINICA DE HERIDAS ",IF(N265=CURSOS!$D$11,"TOMA DE CITOLOGIA A CERVICO VAGINAL ",IF(N265=CURSOS!$D$12,"SOPORTE CARDIOVASCULAR AVANZADO ",IF(N265=CURSOS!$D$13,"CAMILLERO ",IF(N265=CURSOS!$D$14,"TOMA MUESTRAS Y LABORATORIO ",IF(N265=CURSOS!$D$15,"SOPORTE VITAL BASICO (BLS)",IF(N265=CURSOS!$D$16,"ATENCION A VICTIMAS DE VIOLENCIA SEXUAL ",IF(N265=CURSOS!$D$17,"PROGRAMADO AMPLIADO DE INMUNIZACION (PAI - COVID 19)",IF(N265=CURSOS!$D$18,"ATENCION INTEGRAL EN ENFERMEDADES PREVALENTES EN PRIMERA INFANCIA (AIEPI)",IF(N265=CURSOS!$D$19,"ADMINISTRACION DE MEDICAMENTOS, IYECTOLOGIA  Y CANALIZACION ",IF(N265=CURSOS!$D$20,"OPERADOR DE VEHICULOS DE EMERGENCIA (OVE)",IF(N265=CURSOS!$D$21,"INSTITUCIONES AMIGAS DE LA MUJER Y LA INFANCIA (IAMI)",IF(N265=CURSOS!$D$22,"CUIDADO DEL DONANTE DE ORGANOS",IF(N265=CURSOS!$D$23,"ATENCION A VICTIMAS POR VIOLENCIA DE GENERO",IF(N265=CURSOS!$D$24,"IGUALDAD DE GENERO EN LA SALUD",IF(N265=CURSOS!$D$25,"BRIGADA DE EMERGENCIA",IF(N265=CURSOS!$D$26,"MANEJO DEL DOLOR Y CUIDADOS PALIATIVOS",IF(N265=CURSOS!$D$27,"TOMA MUESTRAS Y LABORATORIO POCT",IF(N265=CURSOS!$D$28,"IMPLANTE SUBDERMICO Y DISPOSITIVO INTRAUTERINO",IF(N265=CURSOS!$D$29,"SALUD MENTAL",IF(N265=CURSOS!$D$30,"PRIMEROS AUXILIOS PSICOLOGICOS",IF(N265=CURSOS!$D$31,"ATENCION A VICTIMAS POR CONFLICTO ARMADO",IF(N265=CURSOS!$D$32,"MANIPULACION DE ALIMENTOS Y BPM"))))))))))))))))))))))))))))))</f>
        <v>0</v>
      </c>
      <c r="U265" s="41" t="str">
        <f t="shared" si="24"/>
        <v xml:space="preserve">   </v>
      </c>
      <c r="V265" s="41" t="str">
        <f t="shared" si="25"/>
        <v xml:space="preserve">   </v>
      </c>
      <c r="W265" s="41" t="str">
        <f t="shared" si="27"/>
        <v xml:space="preserve">   --</v>
      </c>
    </row>
    <row r="266" spans="1:23" s="55" customFormat="1" x14ac:dyDescent="0.2">
      <c r="A266" s="94">
        <v>265</v>
      </c>
      <c r="B266" s="63"/>
      <c r="G266" s="56"/>
      <c r="H266" s="31" t="s">
        <v>90</v>
      </c>
      <c r="I266" s="57"/>
      <c r="J266" s="58"/>
      <c r="K266" s="56"/>
      <c r="L266" s="56"/>
      <c r="M266" s="56"/>
      <c r="N266" s="59"/>
      <c r="O266" s="60"/>
      <c r="T266" s="41" t="b">
        <f>IF(N266=CURSOS!$D$3,"DIPLOMADO EN ATENCION PRE-HOSPITALARIA",IF(N266=CURSOS!$D$4,"ACOMPAÑAMIENTO Y MANEJO DEL DUELO",IF(N266=CURSOS!$D$5,"ATENCION A VICTIMAS DE ATAQUE CON AGENTES QUIMICOS ",IF(N266=CURSOS!$D$6,"PRIMEROS AUXILIOS ",IF(N266=CURSOS!$D$7,"DIPLOMADO DE UNIDAD DE CUIDADOS INTENSIVOS (UCI)",IF(N266=CURSOS!$D$8,"MODELO DE ATENCION PARA EVENTOS EMERGENTES EN SALUD MENTAL (CODIGO VERDE)",IF(N266=CURSOS!$D$9,"HUMANIZACION EN SALUD, BUENAS PRACTICAS EN PACIENTE ",IF(N266=CURSOS!$D$10,"CLINICA DE HERIDAS ",IF(N266=CURSOS!$D$11,"TOMA DE CITOLOGIA A CERVICO VAGINAL ",IF(N266=CURSOS!$D$12,"SOPORTE CARDIOVASCULAR AVANZADO ",IF(N266=CURSOS!$D$13,"CAMILLERO ",IF(N266=CURSOS!$D$14,"TOMA MUESTRAS Y LABORATORIO ",IF(N266=CURSOS!$D$15,"SOPORTE VITAL BASICO (BLS)",IF(N266=CURSOS!$D$16,"ATENCION A VICTIMAS DE VIOLENCIA SEXUAL ",IF(N266=CURSOS!$D$17,"PROGRAMADO AMPLIADO DE INMUNIZACION (PAI - COVID 19)",IF(N266=CURSOS!$D$18,"ATENCION INTEGRAL EN ENFERMEDADES PREVALENTES EN PRIMERA INFANCIA (AIEPI)",IF(N266=CURSOS!$D$19,"ADMINISTRACION DE MEDICAMENTOS, IYECTOLOGIA  Y CANALIZACION ",IF(N266=CURSOS!$D$20,"OPERADOR DE VEHICULOS DE EMERGENCIA (OVE)",IF(N266=CURSOS!$D$21,"INSTITUCIONES AMIGAS DE LA MUJER Y LA INFANCIA (IAMI)",IF(N266=CURSOS!$D$22,"CUIDADO DEL DONANTE DE ORGANOS",IF(N266=CURSOS!$D$23,"ATENCION A VICTIMAS POR VIOLENCIA DE GENERO",IF(N266=CURSOS!$D$24,"IGUALDAD DE GENERO EN LA SALUD",IF(N266=CURSOS!$D$25,"BRIGADA DE EMERGENCIA",IF(N266=CURSOS!$D$26,"MANEJO DEL DOLOR Y CUIDADOS PALIATIVOS",IF(N266=CURSOS!$D$27,"TOMA MUESTRAS Y LABORATORIO POCT",IF(N266=CURSOS!$D$28,"IMPLANTE SUBDERMICO Y DISPOSITIVO INTRAUTERINO",IF(N266=CURSOS!$D$29,"SALUD MENTAL",IF(N266=CURSOS!$D$30,"PRIMEROS AUXILIOS PSICOLOGICOS",IF(N266=CURSOS!$D$31,"ATENCION A VICTIMAS POR CONFLICTO ARMADO",IF(N266=CURSOS!$D$32,"MANIPULACION DE ALIMENTOS Y BPM"))))))))))))))))))))))))))))))</f>
        <v>0</v>
      </c>
      <c r="U266" s="41" t="str">
        <f t="shared" si="24"/>
        <v xml:space="preserve">   </v>
      </c>
      <c r="V266" s="41" t="str">
        <f t="shared" si="25"/>
        <v xml:space="preserve">   </v>
      </c>
      <c r="W266" s="41" t="str">
        <f t="shared" si="27"/>
        <v xml:space="preserve">   --</v>
      </c>
    </row>
    <row r="267" spans="1:23" s="55" customFormat="1" x14ac:dyDescent="0.2">
      <c r="A267" s="94">
        <v>266</v>
      </c>
      <c r="B267" s="63"/>
      <c r="G267" s="56"/>
      <c r="H267" s="31" t="s">
        <v>90</v>
      </c>
      <c r="I267" s="57"/>
      <c r="J267" s="58"/>
      <c r="K267" s="56"/>
      <c r="L267" s="56"/>
      <c r="M267" s="56"/>
      <c r="N267" s="59"/>
      <c r="O267" s="60"/>
      <c r="T267" s="41" t="b">
        <f>IF(N267=CURSOS!$D$3,"DIPLOMADO EN ATENCION PRE-HOSPITALARIA",IF(N267=CURSOS!$D$4,"ACOMPAÑAMIENTO Y MANEJO DEL DUELO",IF(N267=CURSOS!$D$5,"ATENCION A VICTIMAS DE ATAQUE CON AGENTES QUIMICOS ",IF(N267=CURSOS!$D$6,"PRIMEROS AUXILIOS ",IF(N267=CURSOS!$D$7,"DIPLOMADO DE UNIDAD DE CUIDADOS INTENSIVOS (UCI)",IF(N267=CURSOS!$D$8,"MODELO DE ATENCION PARA EVENTOS EMERGENTES EN SALUD MENTAL (CODIGO VERDE)",IF(N267=CURSOS!$D$9,"HUMANIZACION EN SALUD, BUENAS PRACTICAS EN PACIENTE ",IF(N267=CURSOS!$D$10,"CLINICA DE HERIDAS ",IF(N267=CURSOS!$D$11,"TOMA DE CITOLOGIA A CERVICO VAGINAL ",IF(N267=CURSOS!$D$12,"SOPORTE CARDIOVASCULAR AVANZADO ",IF(N267=CURSOS!$D$13,"CAMILLERO ",IF(N267=CURSOS!$D$14,"TOMA MUESTRAS Y LABORATORIO ",IF(N267=CURSOS!$D$15,"SOPORTE VITAL BASICO (BLS)",IF(N267=CURSOS!$D$16,"ATENCION A VICTIMAS DE VIOLENCIA SEXUAL ",IF(N267=CURSOS!$D$17,"PROGRAMADO AMPLIADO DE INMUNIZACION (PAI - COVID 19)",IF(N267=CURSOS!$D$18,"ATENCION INTEGRAL EN ENFERMEDADES PREVALENTES EN PRIMERA INFANCIA (AIEPI)",IF(N267=CURSOS!$D$19,"ADMINISTRACION DE MEDICAMENTOS, IYECTOLOGIA  Y CANALIZACION ",IF(N267=CURSOS!$D$20,"OPERADOR DE VEHICULOS DE EMERGENCIA (OVE)",IF(N267=CURSOS!$D$21,"INSTITUCIONES AMIGAS DE LA MUJER Y LA INFANCIA (IAMI)",IF(N267=CURSOS!$D$22,"CUIDADO DEL DONANTE DE ORGANOS",IF(N267=CURSOS!$D$23,"ATENCION A VICTIMAS POR VIOLENCIA DE GENERO",IF(N267=CURSOS!$D$24,"IGUALDAD DE GENERO EN LA SALUD",IF(N267=CURSOS!$D$25,"BRIGADA DE EMERGENCIA",IF(N267=CURSOS!$D$26,"MANEJO DEL DOLOR Y CUIDADOS PALIATIVOS",IF(N267=CURSOS!$D$27,"TOMA MUESTRAS Y LABORATORIO POCT",IF(N267=CURSOS!$D$28,"IMPLANTE SUBDERMICO Y DISPOSITIVO INTRAUTERINO",IF(N267=CURSOS!$D$29,"SALUD MENTAL",IF(N267=CURSOS!$D$30,"PRIMEROS AUXILIOS PSICOLOGICOS",IF(N267=CURSOS!$D$31,"ATENCION A VICTIMAS POR CONFLICTO ARMADO",IF(N267=CURSOS!$D$32,"MANIPULACION DE ALIMENTOS Y BPM"))))))))))))))))))))))))))))))</f>
        <v>0</v>
      </c>
      <c r="U267" s="41" t="str">
        <f t="shared" si="24"/>
        <v xml:space="preserve">   </v>
      </c>
      <c r="V267" s="41" t="str">
        <f t="shared" si="25"/>
        <v xml:space="preserve">   </v>
      </c>
      <c r="W267" s="41" t="str">
        <f t="shared" si="27"/>
        <v xml:space="preserve">   --</v>
      </c>
    </row>
    <row r="268" spans="1:23" s="55" customFormat="1" x14ac:dyDescent="0.2">
      <c r="A268" s="94">
        <v>267</v>
      </c>
      <c r="B268" s="63"/>
      <c r="G268" s="56"/>
      <c r="H268" s="31" t="s">
        <v>90</v>
      </c>
      <c r="I268" s="57"/>
      <c r="J268" s="58"/>
      <c r="K268" s="56"/>
      <c r="L268" s="56"/>
      <c r="M268" s="56"/>
      <c r="N268" s="59"/>
      <c r="O268" s="60"/>
      <c r="T268" s="41" t="b">
        <f>IF(N268=CURSOS!$D$3,"DIPLOMADO EN ATENCION PRE-HOSPITALARIA",IF(N268=CURSOS!$D$4,"ACOMPAÑAMIENTO Y MANEJO DEL DUELO",IF(N268=CURSOS!$D$5,"ATENCION A VICTIMAS DE ATAQUE CON AGENTES QUIMICOS ",IF(N268=CURSOS!$D$6,"PRIMEROS AUXILIOS ",IF(N268=CURSOS!$D$7,"DIPLOMADO DE UNIDAD DE CUIDADOS INTENSIVOS (UCI)",IF(N268=CURSOS!$D$8,"MODELO DE ATENCION PARA EVENTOS EMERGENTES EN SALUD MENTAL (CODIGO VERDE)",IF(N268=CURSOS!$D$9,"HUMANIZACION EN SALUD, BUENAS PRACTICAS EN PACIENTE ",IF(N268=CURSOS!$D$10,"CLINICA DE HERIDAS ",IF(N268=CURSOS!$D$11,"TOMA DE CITOLOGIA A CERVICO VAGINAL ",IF(N268=CURSOS!$D$12,"SOPORTE CARDIOVASCULAR AVANZADO ",IF(N268=CURSOS!$D$13,"CAMILLERO ",IF(N268=CURSOS!$D$14,"TOMA MUESTRAS Y LABORATORIO ",IF(N268=CURSOS!$D$15,"SOPORTE VITAL BASICO (BLS)",IF(N268=CURSOS!$D$16,"ATENCION A VICTIMAS DE VIOLENCIA SEXUAL ",IF(N268=CURSOS!$D$17,"PROGRAMADO AMPLIADO DE INMUNIZACION (PAI - COVID 19)",IF(N268=CURSOS!$D$18,"ATENCION INTEGRAL EN ENFERMEDADES PREVALENTES EN PRIMERA INFANCIA (AIEPI)",IF(N268=CURSOS!$D$19,"ADMINISTRACION DE MEDICAMENTOS, IYECTOLOGIA  Y CANALIZACION ",IF(N268=CURSOS!$D$20,"OPERADOR DE VEHICULOS DE EMERGENCIA (OVE)",IF(N268=CURSOS!$D$21,"INSTITUCIONES AMIGAS DE LA MUJER Y LA INFANCIA (IAMI)",IF(N268=CURSOS!$D$22,"CUIDADO DEL DONANTE DE ORGANOS",IF(N268=CURSOS!$D$23,"ATENCION A VICTIMAS POR VIOLENCIA DE GENERO",IF(N268=CURSOS!$D$24,"IGUALDAD DE GENERO EN LA SALUD",IF(N268=CURSOS!$D$25,"BRIGADA DE EMERGENCIA",IF(N268=CURSOS!$D$26,"MANEJO DEL DOLOR Y CUIDADOS PALIATIVOS",IF(N268=CURSOS!$D$27,"TOMA MUESTRAS Y LABORATORIO POCT",IF(N268=CURSOS!$D$28,"IMPLANTE SUBDERMICO Y DISPOSITIVO INTRAUTERINO",IF(N268=CURSOS!$D$29,"SALUD MENTAL",IF(N268=CURSOS!$D$30,"PRIMEROS AUXILIOS PSICOLOGICOS",IF(N268=CURSOS!$D$31,"ATENCION A VICTIMAS POR CONFLICTO ARMADO",IF(N268=CURSOS!$D$32,"MANIPULACION DE ALIMENTOS Y BPM"))))))))))))))))))))))))))))))</f>
        <v>0</v>
      </c>
      <c r="U268" s="41" t="str">
        <f t="shared" ref="U268:U331" si="28">CONCATENATE(E268," ",F268," ",C268," ",D268)</f>
        <v xml:space="preserve">   </v>
      </c>
      <c r="V268" s="41" t="str">
        <f t="shared" ref="V268:V331" si="29">+PROPER(U268)</f>
        <v xml:space="preserve">   </v>
      </c>
      <c r="W268" s="41" t="str">
        <f t="shared" si="27"/>
        <v xml:space="preserve">   --</v>
      </c>
    </row>
    <row r="269" spans="1:23" s="55" customFormat="1" x14ac:dyDescent="0.2">
      <c r="A269" s="94">
        <v>268</v>
      </c>
      <c r="B269" s="63"/>
      <c r="G269" s="56"/>
      <c r="H269" s="31" t="s">
        <v>90</v>
      </c>
      <c r="I269" s="57"/>
      <c r="J269" s="58"/>
      <c r="K269" s="56"/>
      <c r="L269" s="56"/>
      <c r="M269" s="56"/>
      <c r="N269" s="59"/>
      <c r="O269" s="60"/>
      <c r="T269" s="41" t="b">
        <f>IF(N269=CURSOS!$D$3,"DIPLOMADO EN ATENCION PRE-HOSPITALARIA",IF(N269=CURSOS!$D$4,"ACOMPAÑAMIENTO Y MANEJO DEL DUELO",IF(N269=CURSOS!$D$5,"ATENCION A VICTIMAS DE ATAQUE CON AGENTES QUIMICOS ",IF(N269=CURSOS!$D$6,"PRIMEROS AUXILIOS ",IF(N269=CURSOS!$D$7,"DIPLOMADO DE UNIDAD DE CUIDADOS INTENSIVOS (UCI)",IF(N269=CURSOS!$D$8,"MODELO DE ATENCION PARA EVENTOS EMERGENTES EN SALUD MENTAL (CODIGO VERDE)",IF(N269=CURSOS!$D$9,"HUMANIZACION EN SALUD, BUENAS PRACTICAS EN PACIENTE ",IF(N269=CURSOS!$D$10,"CLINICA DE HERIDAS ",IF(N269=CURSOS!$D$11,"TOMA DE CITOLOGIA A CERVICO VAGINAL ",IF(N269=CURSOS!$D$12,"SOPORTE CARDIOVASCULAR AVANZADO ",IF(N269=CURSOS!$D$13,"CAMILLERO ",IF(N269=CURSOS!$D$14,"TOMA MUESTRAS Y LABORATORIO ",IF(N269=CURSOS!$D$15,"SOPORTE VITAL BASICO (BLS)",IF(N269=CURSOS!$D$16,"ATENCION A VICTIMAS DE VIOLENCIA SEXUAL ",IF(N269=CURSOS!$D$17,"PROGRAMADO AMPLIADO DE INMUNIZACION (PAI - COVID 19)",IF(N269=CURSOS!$D$18,"ATENCION INTEGRAL EN ENFERMEDADES PREVALENTES EN PRIMERA INFANCIA (AIEPI)",IF(N269=CURSOS!$D$19,"ADMINISTRACION DE MEDICAMENTOS, IYECTOLOGIA  Y CANALIZACION ",IF(N269=CURSOS!$D$20,"OPERADOR DE VEHICULOS DE EMERGENCIA (OVE)",IF(N269=CURSOS!$D$21,"INSTITUCIONES AMIGAS DE LA MUJER Y LA INFANCIA (IAMI)",IF(N269=CURSOS!$D$22,"CUIDADO DEL DONANTE DE ORGANOS",IF(N269=CURSOS!$D$23,"ATENCION A VICTIMAS POR VIOLENCIA DE GENERO",IF(N269=CURSOS!$D$24,"IGUALDAD DE GENERO EN LA SALUD",IF(N269=CURSOS!$D$25,"BRIGADA DE EMERGENCIA",IF(N269=CURSOS!$D$26,"MANEJO DEL DOLOR Y CUIDADOS PALIATIVOS",IF(N269=CURSOS!$D$27,"TOMA MUESTRAS Y LABORATORIO POCT",IF(N269=CURSOS!$D$28,"IMPLANTE SUBDERMICO Y DISPOSITIVO INTRAUTERINO",IF(N269=CURSOS!$D$29,"SALUD MENTAL",IF(N269=CURSOS!$D$30,"PRIMEROS AUXILIOS PSICOLOGICOS",IF(N269=CURSOS!$D$31,"ATENCION A VICTIMAS POR CONFLICTO ARMADO",IF(N269=CURSOS!$D$32,"MANIPULACION DE ALIMENTOS Y BPM"))))))))))))))))))))))))))))))</f>
        <v>0</v>
      </c>
      <c r="U269" s="41" t="str">
        <f t="shared" si="28"/>
        <v xml:space="preserve">   </v>
      </c>
      <c r="V269" s="41" t="str">
        <f t="shared" si="29"/>
        <v xml:space="preserve">   </v>
      </c>
      <c r="W269" s="41" t="str">
        <f t="shared" si="27"/>
        <v xml:space="preserve">   --</v>
      </c>
    </row>
    <row r="270" spans="1:23" s="55" customFormat="1" x14ac:dyDescent="0.2">
      <c r="A270" s="94">
        <v>269</v>
      </c>
      <c r="B270" s="63"/>
      <c r="G270" s="56"/>
      <c r="H270" s="31" t="s">
        <v>90</v>
      </c>
      <c r="I270" s="57"/>
      <c r="J270" s="58"/>
      <c r="K270" s="56"/>
      <c r="L270" s="56"/>
      <c r="M270" s="56"/>
      <c r="N270" s="59"/>
      <c r="O270" s="60"/>
      <c r="T270" s="41" t="b">
        <f>IF(N270=CURSOS!$D$3,"DIPLOMADO EN ATENCION PRE-HOSPITALARIA",IF(N270=CURSOS!$D$4,"ACOMPAÑAMIENTO Y MANEJO DEL DUELO",IF(N270=CURSOS!$D$5,"ATENCION A VICTIMAS DE ATAQUE CON AGENTES QUIMICOS ",IF(N270=CURSOS!$D$6,"PRIMEROS AUXILIOS ",IF(N270=CURSOS!$D$7,"DIPLOMADO DE UNIDAD DE CUIDADOS INTENSIVOS (UCI)",IF(N270=CURSOS!$D$8,"MODELO DE ATENCION PARA EVENTOS EMERGENTES EN SALUD MENTAL (CODIGO VERDE)",IF(N270=CURSOS!$D$9,"HUMANIZACION EN SALUD, BUENAS PRACTICAS EN PACIENTE ",IF(N270=CURSOS!$D$10,"CLINICA DE HERIDAS ",IF(N270=CURSOS!$D$11,"TOMA DE CITOLOGIA A CERVICO VAGINAL ",IF(N270=CURSOS!$D$12,"SOPORTE CARDIOVASCULAR AVANZADO ",IF(N270=CURSOS!$D$13,"CAMILLERO ",IF(N270=CURSOS!$D$14,"TOMA MUESTRAS Y LABORATORIO ",IF(N270=CURSOS!$D$15,"SOPORTE VITAL BASICO (BLS)",IF(N270=CURSOS!$D$16,"ATENCION A VICTIMAS DE VIOLENCIA SEXUAL ",IF(N270=CURSOS!$D$17,"PROGRAMADO AMPLIADO DE INMUNIZACION (PAI - COVID 19)",IF(N270=CURSOS!$D$18,"ATENCION INTEGRAL EN ENFERMEDADES PREVALENTES EN PRIMERA INFANCIA (AIEPI)",IF(N270=CURSOS!$D$19,"ADMINISTRACION DE MEDICAMENTOS, IYECTOLOGIA  Y CANALIZACION ",IF(N270=CURSOS!$D$20,"OPERADOR DE VEHICULOS DE EMERGENCIA (OVE)",IF(N270=CURSOS!$D$21,"INSTITUCIONES AMIGAS DE LA MUJER Y LA INFANCIA (IAMI)",IF(N270=CURSOS!$D$22,"CUIDADO DEL DONANTE DE ORGANOS",IF(N270=CURSOS!$D$23,"ATENCION A VICTIMAS POR VIOLENCIA DE GENERO",IF(N270=CURSOS!$D$24,"IGUALDAD DE GENERO EN LA SALUD",IF(N270=CURSOS!$D$25,"BRIGADA DE EMERGENCIA",IF(N270=CURSOS!$D$26,"MANEJO DEL DOLOR Y CUIDADOS PALIATIVOS",IF(N270=CURSOS!$D$27,"TOMA MUESTRAS Y LABORATORIO POCT",IF(N270=CURSOS!$D$28,"IMPLANTE SUBDERMICO Y DISPOSITIVO INTRAUTERINO",IF(N270=CURSOS!$D$29,"SALUD MENTAL",IF(N270=CURSOS!$D$30,"PRIMEROS AUXILIOS PSICOLOGICOS",IF(N270=CURSOS!$D$31,"ATENCION A VICTIMAS POR CONFLICTO ARMADO",IF(N270=CURSOS!$D$32,"MANIPULACION DE ALIMENTOS Y BPM"))))))))))))))))))))))))))))))</f>
        <v>0</v>
      </c>
      <c r="U270" s="41" t="str">
        <f t="shared" si="28"/>
        <v xml:space="preserve">   </v>
      </c>
      <c r="V270" s="41" t="str">
        <f t="shared" si="29"/>
        <v xml:space="preserve">   </v>
      </c>
      <c r="W270" s="41" t="str">
        <f t="shared" si="27"/>
        <v xml:space="preserve">   --</v>
      </c>
    </row>
    <row r="271" spans="1:23" s="55" customFormat="1" x14ac:dyDescent="0.2">
      <c r="A271" s="94">
        <v>270</v>
      </c>
      <c r="B271" s="63"/>
      <c r="G271" s="56"/>
      <c r="H271" s="31" t="s">
        <v>90</v>
      </c>
      <c r="I271" s="57"/>
      <c r="J271" s="58"/>
      <c r="K271" s="56"/>
      <c r="L271" s="56"/>
      <c r="M271" s="56"/>
      <c r="N271" s="59"/>
      <c r="O271" s="60"/>
      <c r="T271" s="41" t="b">
        <f>IF(N271=CURSOS!$D$3,"DIPLOMADO EN ATENCION PRE-HOSPITALARIA",IF(N271=CURSOS!$D$4,"ACOMPAÑAMIENTO Y MANEJO DEL DUELO",IF(N271=CURSOS!$D$5,"ATENCION A VICTIMAS DE ATAQUE CON AGENTES QUIMICOS ",IF(N271=CURSOS!$D$6,"PRIMEROS AUXILIOS ",IF(N271=CURSOS!$D$7,"DIPLOMADO DE UNIDAD DE CUIDADOS INTENSIVOS (UCI)",IF(N271=CURSOS!$D$8,"MODELO DE ATENCION PARA EVENTOS EMERGENTES EN SALUD MENTAL (CODIGO VERDE)",IF(N271=CURSOS!$D$9,"HUMANIZACION EN SALUD, BUENAS PRACTICAS EN PACIENTE ",IF(N271=CURSOS!$D$10,"CLINICA DE HERIDAS ",IF(N271=CURSOS!$D$11,"TOMA DE CITOLOGIA A CERVICO VAGINAL ",IF(N271=CURSOS!$D$12,"SOPORTE CARDIOVASCULAR AVANZADO ",IF(N271=CURSOS!$D$13,"CAMILLERO ",IF(N271=CURSOS!$D$14,"TOMA MUESTRAS Y LABORATORIO ",IF(N271=CURSOS!$D$15,"SOPORTE VITAL BASICO (BLS)",IF(N271=CURSOS!$D$16,"ATENCION A VICTIMAS DE VIOLENCIA SEXUAL ",IF(N271=CURSOS!$D$17,"PROGRAMADO AMPLIADO DE INMUNIZACION (PAI - COVID 19)",IF(N271=CURSOS!$D$18,"ATENCION INTEGRAL EN ENFERMEDADES PREVALENTES EN PRIMERA INFANCIA (AIEPI)",IF(N271=CURSOS!$D$19,"ADMINISTRACION DE MEDICAMENTOS, IYECTOLOGIA  Y CANALIZACION ",IF(N271=CURSOS!$D$20,"OPERADOR DE VEHICULOS DE EMERGENCIA (OVE)",IF(N271=CURSOS!$D$21,"INSTITUCIONES AMIGAS DE LA MUJER Y LA INFANCIA (IAMI)",IF(N271=CURSOS!$D$22,"CUIDADO DEL DONANTE DE ORGANOS",IF(N271=CURSOS!$D$23,"ATENCION A VICTIMAS POR VIOLENCIA DE GENERO",IF(N271=CURSOS!$D$24,"IGUALDAD DE GENERO EN LA SALUD",IF(N271=CURSOS!$D$25,"BRIGADA DE EMERGENCIA",IF(N271=CURSOS!$D$26,"MANEJO DEL DOLOR Y CUIDADOS PALIATIVOS",IF(N271=CURSOS!$D$27,"TOMA MUESTRAS Y LABORATORIO POCT",IF(N271=CURSOS!$D$28,"IMPLANTE SUBDERMICO Y DISPOSITIVO INTRAUTERINO",IF(N271=CURSOS!$D$29,"SALUD MENTAL",IF(N271=CURSOS!$D$30,"PRIMEROS AUXILIOS PSICOLOGICOS",IF(N271=CURSOS!$D$31,"ATENCION A VICTIMAS POR CONFLICTO ARMADO",IF(N271=CURSOS!$D$32,"MANIPULACION DE ALIMENTOS Y BPM"))))))))))))))))))))))))))))))</f>
        <v>0</v>
      </c>
      <c r="U271" s="41" t="str">
        <f t="shared" si="28"/>
        <v xml:space="preserve">   </v>
      </c>
      <c r="V271" s="41" t="str">
        <f t="shared" si="29"/>
        <v xml:space="preserve">   </v>
      </c>
      <c r="W271" s="41" t="str">
        <f t="shared" si="27"/>
        <v xml:space="preserve">   --</v>
      </c>
    </row>
    <row r="272" spans="1:23" s="55" customFormat="1" x14ac:dyDescent="0.2">
      <c r="A272" s="94">
        <v>271</v>
      </c>
      <c r="B272" s="63"/>
      <c r="G272" s="56"/>
      <c r="H272" s="31" t="s">
        <v>90</v>
      </c>
      <c r="I272" s="57"/>
      <c r="J272" s="58"/>
      <c r="K272" s="56"/>
      <c r="L272" s="56"/>
      <c r="M272" s="56"/>
      <c r="N272" s="59"/>
      <c r="O272" s="60"/>
      <c r="T272" s="41" t="b">
        <f>IF(N272=CURSOS!$D$3,"DIPLOMADO EN ATENCION PRE-HOSPITALARIA",IF(N272=CURSOS!$D$4,"ACOMPAÑAMIENTO Y MANEJO DEL DUELO",IF(N272=CURSOS!$D$5,"ATENCION A VICTIMAS DE ATAQUE CON AGENTES QUIMICOS ",IF(N272=CURSOS!$D$6,"PRIMEROS AUXILIOS ",IF(N272=CURSOS!$D$7,"DIPLOMADO DE UNIDAD DE CUIDADOS INTENSIVOS (UCI)",IF(N272=CURSOS!$D$8,"MODELO DE ATENCION PARA EVENTOS EMERGENTES EN SALUD MENTAL (CODIGO VERDE)",IF(N272=CURSOS!$D$9,"HUMANIZACION EN SALUD, BUENAS PRACTICAS EN PACIENTE ",IF(N272=CURSOS!$D$10,"CLINICA DE HERIDAS ",IF(N272=CURSOS!$D$11,"TOMA DE CITOLOGIA A CERVICO VAGINAL ",IF(N272=CURSOS!$D$12,"SOPORTE CARDIOVASCULAR AVANZADO ",IF(N272=CURSOS!$D$13,"CAMILLERO ",IF(N272=CURSOS!$D$14,"TOMA MUESTRAS Y LABORATORIO ",IF(N272=CURSOS!$D$15,"SOPORTE VITAL BASICO (BLS)",IF(N272=CURSOS!$D$16,"ATENCION A VICTIMAS DE VIOLENCIA SEXUAL ",IF(N272=CURSOS!$D$17,"PROGRAMADO AMPLIADO DE INMUNIZACION (PAI - COVID 19)",IF(N272=CURSOS!$D$18,"ATENCION INTEGRAL EN ENFERMEDADES PREVALENTES EN PRIMERA INFANCIA (AIEPI)",IF(N272=CURSOS!$D$19,"ADMINISTRACION DE MEDICAMENTOS, IYECTOLOGIA  Y CANALIZACION ",IF(N272=CURSOS!$D$20,"OPERADOR DE VEHICULOS DE EMERGENCIA (OVE)",IF(N272=CURSOS!$D$21,"INSTITUCIONES AMIGAS DE LA MUJER Y LA INFANCIA (IAMI)",IF(N272=CURSOS!$D$22,"CUIDADO DEL DONANTE DE ORGANOS",IF(N272=CURSOS!$D$23,"ATENCION A VICTIMAS POR VIOLENCIA DE GENERO",IF(N272=CURSOS!$D$24,"IGUALDAD DE GENERO EN LA SALUD",IF(N272=CURSOS!$D$25,"BRIGADA DE EMERGENCIA",IF(N272=CURSOS!$D$26,"MANEJO DEL DOLOR Y CUIDADOS PALIATIVOS",IF(N272=CURSOS!$D$27,"TOMA MUESTRAS Y LABORATORIO POCT",IF(N272=CURSOS!$D$28,"IMPLANTE SUBDERMICO Y DISPOSITIVO INTRAUTERINO",IF(N272=CURSOS!$D$29,"SALUD MENTAL",IF(N272=CURSOS!$D$30,"PRIMEROS AUXILIOS PSICOLOGICOS",IF(N272=CURSOS!$D$31,"ATENCION A VICTIMAS POR CONFLICTO ARMADO",IF(N272=CURSOS!$D$32,"MANIPULACION DE ALIMENTOS Y BPM"))))))))))))))))))))))))))))))</f>
        <v>0</v>
      </c>
      <c r="U272" s="41" t="str">
        <f t="shared" si="28"/>
        <v xml:space="preserve">   </v>
      </c>
      <c r="V272" s="41" t="str">
        <f t="shared" si="29"/>
        <v xml:space="preserve">   </v>
      </c>
      <c r="W272" s="41" t="str">
        <f t="shared" si="27"/>
        <v xml:space="preserve">   --</v>
      </c>
    </row>
    <row r="273" spans="1:23" s="55" customFormat="1" x14ac:dyDescent="0.2">
      <c r="A273" s="94">
        <v>272</v>
      </c>
      <c r="B273" s="63"/>
      <c r="G273" s="56"/>
      <c r="H273" s="31" t="s">
        <v>90</v>
      </c>
      <c r="I273" s="57"/>
      <c r="J273" s="58"/>
      <c r="K273" s="56"/>
      <c r="L273" s="56"/>
      <c r="M273" s="56"/>
      <c r="N273" s="59"/>
      <c r="O273" s="60"/>
      <c r="T273" s="41" t="b">
        <f>IF(N273=CURSOS!$D$3,"DIPLOMADO EN ATENCION PRE-HOSPITALARIA",IF(N273=CURSOS!$D$4,"ACOMPAÑAMIENTO Y MANEJO DEL DUELO",IF(N273=CURSOS!$D$5,"ATENCION A VICTIMAS DE ATAQUE CON AGENTES QUIMICOS ",IF(N273=CURSOS!$D$6,"PRIMEROS AUXILIOS ",IF(N273=CURSOS!$D$7,"DIPLOMADO DE UNIDAD DE CUIDADOS INTENSIVOS (UCI)",IF(N273=CURSOS!$D$8,"MODELO DE ATENCION PARA EVENTOS EMERGENTES EN SALUD MENTAL (CODIGO VERDE)",IF(N273=CURSOS!$D$9,"HUMANIZACION EN SALUD, BUENAS PRACTICAS EN PACIENTE ",IF(N273=CURSOS!$D$10,"CLINICA DE HERIDAS ",IF(N273=CURSOS!$D$11,"TOMA DE CITOLOGIA A CERVICO VAGINAL ",IF(N273=CURSOS!$D$12,"SOPORTE CARDIOVASCULAR AVANZADO ",IF(N273=CURSOS!$D$13,"CAMILLERO ",IF(N273=CURSOS!$D$14,"TOMA MUESTRAS Y LABORATORIO ",IF(N273=CURSOS!$D$15,"SOPORTE VITAL BASICO (BLS)",IF(N273=CURSOS!$D$16,"ATENCION A VICTIMAS DE VIOLENCIA SEXUAL ",IF(N273=CURSOS!$D$17,"PROGRAMADO AMPLIADO DE INMUNIZACION (PAI - COVID 19)",IF(N273=CURSOS!$D$18,"ATENCION INTEGRAL EN ENFERMEDADES PREVALENTES EN PRIMERA INFANCIA (AIEPI)",IF(N273=CURSOS!$D$19,"ADMINISTRACION DE MEDICAMENTOS, IYECTOLOGIA  Y CANALIZACION ",IF(N273=CURSOS!$D$20,"OPERADOR DE VEHICULOS DE EMERGENCIA (OVE)",IF(N273=CURSOS!$D$21,"INSTITUCIONES AMIGAS DE LA MUJER Y LA INFANCIA (IAMI)",IF(N273=CURSOS!$D$22,"CUIDADO DEL DONANTE DE ORGANOS",IF(N273=CURSOS!$D$23,"ATENCION A VICTIMAS POR VIOLENCIA DE GENERO",IF(N273=CURSOS!$D$24,"IGUALDAD DE GENERO EN LA SALUD",IF(N273=CURSOS!$D$25,"BRIGADA DE EMERGENCIA",IF(N273=CURSOS!$D$26,"MANEJO DEL DOLOR Y CUIDADOS PALIATIVOS",IF(N273=CURSOS!$D$27,"TOMA MUESTRAS Y LABORATORIO POCT",IF(N273=CURSOS!$D$28,"IMPLANTE SUBDERMICO Y DISPOSITIVO INTRAUTERINO",IF(N273=CURSOS!$D$29,"SALUD MENTAL",IF(N273=CURSOS!$D$30,"PRIMEROS AUXILIOS PSICOLOGICOS",IF(N273=CURSOS!$D$31,"ATENCION A VICTIMAS POR CONFLICTO ARMADO",IF(N273=CURSOS!$D$32,"MANIPULACION DE ALIMENTOS Y BPM"))))))))))))))))))))))))))))))</f>
        <v>0</v>
      </c>
      <c r="U273" s="41" t="str">
        <f t="shared" si="28"/>
        <v xml:space="preserve">   </v>
      </c>
      <c r="V273" s="41" t="str">
        <f t="shared" si="29"/>
        <v xml:space="preserve">   </v>
      </c>
      <c r="W273" s="41" t="str">
        <f t="shared" si="27"/>
        <v xml:space="preserve">   --</v>
      </c>
    </row>
    <row r="274" spans="1:23" s="55" customFormat="1" x14ac:dyDescent="0.2">
      <c r="A274" s="94">
        <v>273</v>
      </c>
      <c r="B274" s="63"/>
      <c r="G274" s="56"/>
      <c r="H274" s="31" t="s">
        <v>90</v>
      </c>
      <c r="I274" s="57"/>
      <c r="J274" s="58"/>
      <c r="K274" s="56"/>
      <c r="L274" s="56"/>
      <c r="M274" s="56"/>
      <c r="N274" s="59"/>
      <c r="O274" s="60"/>
      <c r="T274" s="41" t="b">
        <f>IF(N274=CURSOS!$D$3,"DIPLOMADO EN ATENCION PRE-HOSPITALARIA",IF(N274=CURSOS!$D$4,"ACOMPAÑAMIENTO Y MANEJO DEL DUELO",IF(N274=CURSOS!$D$5,"ATENCION A VICTIMAS DE ATAQUE CON AGENTES QUIMICOS ",IF(N274=CURSOS!$D$6,"PRIMEROS AUXILIOS ",IF(N274=CURSOS!$D$7,"DIPLOMADO DE UNIDAD DE CUIDADOS INTENSIVOS (UCI)",IF(N274=CURSOS!$D$8,"MODELO DE ATENCION PARA EVENTOS EMERGENTES EN SALUD MENTAL (CODIGO VERDE)",IF(N274=CURSOS!$D$9,"HUMANIZACION EN SALUD, BUENAS PRACTICAS EN PACIENTE ",IF(N274=CURSOS!$D$10,"CLINICA DE HERIDAS ",IF(N274=CURSOS!$D$11,"TOMA DE CITOLOGIA A CERVICO VAGINAL ",IF(N274=CURSOS!$D$12,"SOPORTE CARDIOVASCULAR AVANZADO ",IF(N274=CURSOS!$D$13,"CAMILLERO ",IF(N274=CURSOS!$D$14,"TOMA MUESTRAS Y LABORATORIO ",IF(N274=CURSOS!$D$15,"SOPORTE VITAL BASICO (BLS)",IF(N274=CURSOS!$D$16,"ATENCION A VICTIMAS DE VIOLENCIA SEXUAL ",IF(N274=CURSOS!$D$17,"PROGRAMADO AMPLIADO DE INMUNIZACION (PAI - COVID 19)",IF(N274=CURSOS!$D$18,"ATENCION INTEGRAL EN ENFERMEDADES PREVALENTES EN PRIMERA INFANCIA (AIEPI)",IF(N274=CURSOS!$D$19,"ADMINISTRACION DE MEDICAMENTOS, IYECTOLOGIA  Y CANALIZACION ",IF(N274=CURSOS!$D$20,"OPERADOR DE VEHICULOS DE EMERGENCIA (OVE)",IF(N274=CURSOS!$D$21,"INSTITUCIONES AMIGAS DE LA MUJER Y LA INFANCIA (IAMI)",IF(N274=CURSOS!$D$22,"CUIDADO DEL DONANTE DE ORGANOS",IF(N274=CURSOS!$D$23,"ATENCION A VICTIMAS POR VIOLENCIA DE GENERO",IF(N274=CURSOS!$D$24,"IGUALDAD DE GENERO EN LA SALUD",IF(N274=CURSOS!$D$25,"BRIGADA DE EMERGENCIA",IF(N274=CURSOS!$D$26,"MANEJO DEL DOLOR Y CUIDADOS PALIATIVOS",IF(N274=CURSOS!$D$27,"TOMA MUESTRAS Y LABORATORIO POCT",IF(N274=CURSOS!$D$28,"IMPLANTE SUBDERMICO Y DISPOSITIVO INTRAUTERINO",IF(N274=CURSOS!$D$29,"SALUD MENTAL",IF(N274=CURSOS!$D$30,"PRIMEROS AUXILIOS PSICOLOGICOS",IF(N274=CURSOS!$D$31,"ATENCION A VICTIMAS POR CONFLICTO ARMADO",IF(N274=CURSOS!$D$32,"MANIPULACION DE ALIMENTOS Y BPM"))))))))))))))))))))))))))))))</f>
        <v>0</v>
      </c>
      <c r="U274" s="41" t="str">
        <f t="shared" si="28"/>
        <v xml:space="preserve">   </v>
      </c>
      <c r="V274" s="41" t="str">
        <f t="shared" si="29"/>
        <v xml:space="preserve">   </v>
      </c>
      <c r="W274" s="41" t="str">
        <f t="shared" si="27"/>
        <v xml:space="preserve">   --</v>
      </c>
    </row>
    <row r="275" spans="1:23" s="55" customFormat="1" x14ac:dyDescent="0.2">
      <c r="A275" s="94">
        <v>274</v>
      </c>
      <c r="B275" s="63"/>
      <c r="G275" s="56"/>
      <c r="H275" s="31" t="s">
        <v>90</v>
      </c>
      <c r="I275" s="57"/>
      <c r="J275" s="58"/>
      <c r="K275" s="56"/>
      <c r="L275" s="56"/>
      <c r="M275" s="56"/>
      <c r="N275" s="59"/>
      <c r="O275" s="60"/>
      <c r="T275" s="41" t="b">
        <f>IF(N275=CURSOS!$D$3,"DIPLOMADO EN ATENCION PRE-HOSPITALARIA",IF(N275=CURSOS!$D$4,"ACOMPAÑAMIENTO Y MANEJO DEL DUELO",IF(N275=CURSOS!$D$5,"ATENCION A VICTIMAS DE ATAQUE CON AGENTES QUIMICOS ",IF(N275=CURSOS!$D$6,"PRIMEROS AUXILIOS ",IF(N275=CURSOS!$D$7,"DIPLOMADO DE UNIDAD DE CUIDADOS INTENSIVOS (UCI)",IF(N275=CURSOS!$D$8,"MODELO DE ATENCION PARA EVENTOS EMERGENTES EN SALUD MENTAL (CODIGO VERDE)",IF(N275=CURSOS!$D$9,"HUMANIZACION EN SALUD, BUENAS PRACTICAS EN PACIENTE ",IF(N275=CURSOS!$D$10,"CLINICA DE HERIDAS ",IF(N275=CURSOS!$D$11,"TOMA DE CITOLOGIA A CERVICO VAGINAL ",IF(N275=CURSOS!$D$12,"SOPORTE CARDIOVASCULAR AVANZADO ",IF(N275=CURSOS!$D$13,"CAMILLERO ",IF(N275=CURSOS!$D$14,"TOMA MUESTRAS Y LABORATORIO ",IF(N275=CURSOS!$D$15,"SOPORTE VITAL BASICO (BLS)",IF(N275=CURSOS!$D$16,"ATENCION A VICTIMAS DE VIOLENCIA SEXUAL ",IF(N275=CURSOS!$D$17,"PROGRAMADO AMPLIADO DE INMUNIZACION (PAI - COVID 19)",IF(N275=CURSOS!$D$18,"ATENCION INTEGRAL EN ENFERMEDADES PREVALENTES EN PRIMERA INFANCIA (AIEPI)",IF(N275=CURSOS!$D$19,"ADMINISTRACION DE MEDICAMENTOS, IYECTOLOGIA  Y CANALIZACION ",IF(N275=CURSOS!$D$20,"OPERADOR DE VEHICULOS DE EMERGENCIA (OVE)",IF(N275=CURSOS!$D$21,"INSTITUCIONES AMIGAS DE LA MUJER Y LA INFANCIA (IAMI)",IF(N275=CURSOS!$D$22,"CUIDADO DEL DONANTE DE ORGANOS",IF(N275=CURSOS!$D$23,"ATENCION A VICTIMAS POR VIOLENCIA DE GENERO",IF(N275=CURSOS!$D$24,"IGUALDAD DE GENERO EN LA SALUD",IF(N275=CURSOS!$D$25,"BRIGADA DE EMERGENCIA",IF(N275=CURSOS!$D$26,"MANEJO DEL DOLOR Y CUIDADOS PALIATIVOS",IF(N275=CURSOS!$D$27,"TOMA MUESTRAS Y LABORATORIO POCT",IF(N275=CURSOS!$D$28,"IMPLANTE SUBDERMICO Y DISPOSITIVO INTRAUTERINO",IF(N275=CURSOS!$D$29,"SALUD MENTAL",IF(N275=CURSOS!$D$30,"PRIMEROS AUXILIOS PSICOLOGICOS",IF(N275=CURSOS!$D$31,"ATENCION A VICTIMAS POR CONFLICTO ARMADO",IF(N275=CURSOS!$D$32,"MANIPULACION DE ALIMENTOS Y BPM"))))))))))))))))))))))))))))))</f>
        <v>0</v>
      </c>
      <c r="U275" s="41" t="str">
        <f t="shared" si="28"/>
        <v xml:space="preserve">   </v>
      </c>
      <c r="V275" s="41" t="str">
        <f t="shared" si="29"/>
        <v xml:space="preserve">   </v>
      </c>
      <c r="W275" s="41" t="str">
        <f t="shared" si="27"/>
        <v xml:space="preserve">   --</v>
      </c>
    </row>
    <row r="276" spans="1:23" s="55" customFormat="1" x14ac:dyDescent="0.2">
      <c r="A276" s="94">
        <v>275</v>
      </c>
      <c r="B276" s="63"/>
      <c r="G276" s="56"/>
      <c r="H276" s="31" t="s">
        <v>90</v>
      </c>
      <c r="I276" s="57"/>
      <c r="J276" s="58"/>
      <c r="K276" s="56"/>
      <c r="L276" s="56"/>
      <c r="M276" s="56"/>
      <c r="N276" s="59"/>
      <c r="O276" s="60"/>
      <c r="T276" s="41" t="b">
        <f>IF(N276=CURSOS!$D$3,"DIPLOMADO EN ATENCION PRE-HOSPITALARIA",IF(N276=CURSOS!$D$4,"ACOMPAÑAMIENTO Y MANEJO DEL DUELO",IF(N276=CURSOS!$D$5,"ATENCION A VICTIMAS DE ATAQUE CON AGENTES QUIMICOS ",IF(N276=CURSOS!$D$6,"PRIMEROS AUXILIOS ",IF(N276=CURSOS!$D$7,"DIPLOMADO DE UNIDAD DE CUIDADOS INTENSIVOS (UCI)",IF(N276=CURSOS!$D$8,"MODELO DE ATENCION PARA EVENTOS EMERGENTES EN SALUD MENTAL (CODIGO VERDE)",IF(N276=CURSOS!$D$9,"HUMANIZACION EN SALUD, BUENAS PRACTICAS EN PACIENTE ",IF(N276=CURSOS!$D$10,"CLINICA DE HERIDAS ",IF(N276=CURSOS!$D$11,"TOMA DE CITOLOGIA A CERVICO VAGINAL ",IF(N276=CURSOS!$D$12,"SOPORTE CARDIOVASCULAR AVANZADO ",IF(N276=CURSOS!$D$13,"CAMILLERO ",IF(N276=CURSOS!$D$14,"TOMA MUESTRAS Y LABORATORIO ",IF(N276=CURSOS!$D$15,"SOPORTE VITAL BASICO (BLS)",IF(N276=CURSOS!$D$16,"ATENCION A VICTIMAS DE VIOLENCIA SEXUAL ",IF(N276=CURSOS!$D$17,"PROGRAMADO AMPLIADO DE INMUNIZACION (PAI - COVID 19)",IF(N276=CURSOS!$D$18,"ATENCION INTEGRAL EN ENFERMEDADES PREVALENTES EN PRIMERA INFANCIA (AIEPI)",IF(N276=CURSOS!$D$19,"ADMINISTRACION DE MEDICAMENTOS, IYECTOLOGIA  Y CANALIZACION ",IF(N276=CURSOS!$D$20,"OPERADOR DE VEHICULOS DE EMERGENCIA (OVE)",IF(N276=CURSOS!$D$21,"INSTITUCIONES AMIGAS DE LA MUJER Y LA INFANCIA (IAMI)",IF(N276=CURSOS!$D$22,"CUIDADO DEL DONANTE DE ORGANOS",IF(N276=CURSOS!$D$23,"ATENCION A VICTIMAS POR VIOLENCIA DE GENERO",IF(N276=CURSOS!$D$24,"IGUALDAD DE GENERO EN LA SALUD",IF(N276=CURSOS!$D$25,"BRIGADA DE EMERGENCIA",IF(N276=CURSOS!$D$26,"MANEJO DEL DOLOR Y CUIDADOS PALIATIVOS",IF(N276=CURSOS!$D$27,"TOMA MUESTRAS Y LABORATORIO POCT",IF(N276=CURSOS!$D$28,"IMPLANTE SUBDERMICO Y DISPOSITIVO INTRAUTERINO",IF(N276=CURSOS!$D$29,"SALUD MENTAL",IF(N276=CURSOS!$D$30,"PRIMEROS AUXILIOS PSICOLOGICOS",IF(N276=CURSOS!$D$31,"ATENCION A VICTIMAS POR CONFLICTO ARMADO",IF(N276=CURSOS!$D$32,"MANIPULACION DE ALIMENTOS Y BPM"))))))))))))))))))))))))))))))</f>
        <v>0</v>
      </c>
      <c r="U276" s="41" t="str">
        <f t="shared" si="28"/>
        <v xml:space="preserve">   </v>
      </c>
      <c r="V276" s="41" t="str">
        <f t="shared" si="29"/>
        <v xml:space="preserve">   </v>
      </c>
      <c r="W276" s="41" t="str">
        <f t="shared" si="27"/>
        <v xml:space="preserve">   --</v>
      </c>
    </row>
    <row r="277" spans="1:23" s="55" customFormat="1" x14ac:dyDescent="0.2">
      <c r="A277" s="94">
        <v>276</v>
      </c>
      <c r="B277" s="63"/>
      <c r="G277" s="56"/>
      <c r="H277" s="31" t="s">
        <v>90</v>
      </c>
      <c r="I277" s="57"/>
      <c r="J277" s="58"/>
      <c r="K277" s="56"/>
      <c r="L277" s="56"/>
      <c r="M277" s="56"/>
      <c r="N277" s="59"/>
      <c r="O277" s="60"/>
      <c r="T277" s="41" t="b">
        <f>IF(N277=CURSOS!$D$3,"DIPLOMADO EN ATENCION PRE-HOSPITALARIA",IF(N277=CURSOS!$D$4,"ACOMPAÑAMIENTO Y MANEJO DEL DUELO",IF(N277=CURSOS!$D$5,"ATENCION A VICTIMAS DE ATAQUE CON AGENTES QUIMICOS ",IF(N277=CURSOS!$D$6,"PRIMEROS AUXILIOS ",IF(N277=CURSOS!$D$7,"DIPLOMADO DE UNIDAD DE CUIDADOS INTENSIVOS (UCI)",IF(N277=CURSOS!$D$8,"MODELO DE ATENCION PARA EVENTOS EMERGENTES EN SALUD MENTAL (CODIGO VERDE)",IF(N277=CURSOS!$D$9,"HUMANIZACION EN SALUD, BUENAS PRACTICAS EN PACIENTE ",IF(N277=CURSOS!$D$10,"CLINICA DE HERIDAS ",IF(N277=CURSOS!$D$11,"TOMA DE CITOLOGIA A CERVICO VAGINAL ",IF(N277=CURSOS!$D$12,"SOPORTE CARDIOVASCULAR AVANZADO ",IF(N277=CURSOS!$D$13,"CAMILLERO ",IF(N277=CURSOS!$D$14,"TOMA MUESTRAS Y LABORATORIO ",IF(N277=CURSOS!$D$15,"SOPORTE VITAL BASICO (BLS)",IF(N277=CURSOS!$D$16,"ATENCION A VICTIMAS DE VIOLENCIA SEXUAL ",IF(N277=CURSOS!$D$17,"PROGRAMADO AMPLIADO DE INMUNIZACION (PAI - COVID 19)",IF(N277=CURSOS!$D$18,"ATENCION INTEGRAL EN ENFERMEDADES PREVALENTES EN PRIMERA INFANCIA (AIEPI)",IF(N277=CURSOS!$D$19,"ADMINISTRACION DE MEDICAMENTOS, IYECTOLOGIA  Y CANALIZACION ",IF(N277=CURSOS!$D$20,"OPERADOR DE VEHICULOS DE EMERGENCIA (OVE)",IF(N277=CURSOS!$D$21,"INSTITUCIONES AMIGAS DE LA MUJER Y LA INFANCIA (IAMI)",IF(N277=CURSOS!$D$22,"CUIDADO DEL DONANTE DE ORGANOS",IF(N277=CURSOS!$D$23,"ATENCION A VICTIMAS POR VIOLENCIA DE GENERO",IF(N277=CURSOS!$D$24,"IGUALDAD DE GENERO EN LA SALUD",IF(N277=CURSOS!$D$25,"BRIGADA DE EMERGENCIA",IF(N277=CURSOS!$D$26,"MANEJO DEL DOLOR Y CUIDADOS PALIATIVOS",IF(N277=CURSOS!$D$27,"TOMA MUESTRAS Y LABORATORIO POCT",IF(N277=CURSOS!$D$28,"IMPLANTE SUBDERMICO Y DISPOSITIVO INTRAUTERINO",IF(N277=CURSOS!$D$29,"SALUD MENTAL",IF(N277=CURSOS!$D$30,"PRIMEROS AUXILIOS PSICOLOGICOS",IF(N277=CURSOS!$D$31,"ATENCION A VICTIMAS POR CONFLICTO ARMADO",IF(N277=CURSOS!$D$32,"MANIPULACION DE ALIMENTOS Y BPM"))))))))))))))))))))))))))))))</f>
        <v>0</v>
      </c>
      <c r="U277" s="41" t="str">
        <f t="shared" si="28"/>
        <v xml:space="preserve">   </v>
      </c>
      <c r="V277" s="41" t="str">
        <f t="shared" si="29"/>
        <v xml:space="preserve">   </v>
      </c>
      <c r="W277" s="41" t="str">
        <f t="shared" si="27"/>
        <v xml:space="preserve">   --</v>
      </c>
    </row>
    <row r="278" spans="1:23" s="55" customFormat="1" x14ac:dyDescent="0.2">
      <c r="A278" s="94">
        <v>277</v>
      </c>
      <c r="B278" s="63"/>
      <c r="G278" s="56"/>
      <c r="H278" s="31" t="s">
        <v>90</v>
      </c>
      <c r="I278" s="57"/>
      <c r="J278" s="58"/>
      <c r="K278" s="56"/>
      <c r="L278" s="56"/>
      <c r="M278" s="56"/>
      <c r="N278" s="59"/>
      <c r="O278" s="60"/>
      <c r="T278" s="41" t="b">
        <f>IF(N278=CURSOS!$D$3,"DIPLOMADO EN ATENCION PRE-HOSPITALARIA",IF(N278=CURSOS!$D$4,"ACOMPAÑAMIENTO Y MANEJO DEL DUELO",IF(N278=CURSOS!$D$5,"ATENCION A VICTIMAS DE ATAQUE CON AGENTES QUIMICOS ",IF(N278=CURSOS!$D$6,"PRIMEROS AUXILIOS ",IF(N278=CURSOS!$D$7,"DIPLOMADO DE UNIDAD DE CUIDADOS INTENSIVOS (UCI)",IF(N278=CURSOS!$D$8,"MODELO DE ATENCION PARA EVENTOS EMERGENTES EN SALUD MENTAL (CODIGO VERDE)",IF(N278=CURSOS!$D$9,"HUMANIZACION EN SALUD, BUENAS PRACTICAS EN PACIENTE ",IF(N278=CURSOS!$D$10,"CLINICA DE HERIDAS ",IF(N278=CURSOS!$D$11,"TOMA DE CITOLOGIA A CERVICO VAGINAL ",IF(N278=CURSOS!$D$12,"SOPORTE CARDIOVASCULAR AVANZADO ",IF(N278=CURSOS!$D$13,"CAMILLERO ",IF(N278=CURSOS!$D$14,"TOMA MUESTRAS Y LABORATORIO ",IF(N278=CURSOS!$D$15,"SOPORTE VITAL BASICO (BLS)",IF(N278=CURSOS!$D$16,"ATENCION A VICTIMAS DE VIOLENCIA SEXUAL ",IF(N278=CURSOS!$D$17,"PROGRAMADO AMPLIADO DE INMUNIZACION (PAI - COVID 19)",IF(N278=CURSOS!$D$18,"ATENCION INTEGRAL EN ENFERMEDADES PREVALENTES EN PRIMERA INFANCIA (AIEPI)",IF(N278=CURSOS!$D$19,"ADMINISTRACION DE MEDICAMENTOS, IYECTOLOGIA  Y CANALIZACION ",IF(N278=CURSOS!$D$20,"OPERADOR DE VEHICULOS DE EMERGENCIA (OVE)",IF(N278=CURSOS!$D$21,"INSTITUCIONES AMIGAS DE LA MUJER Y LA INFANCIA (IAMI)",IF(N278=CURSOS!$D$22,"CUIDADO DEL DONANTE DE ORGANOS",IF(N278=CURSOS!$D$23,"ATENCION A VICTIMAS POR VIOLENCIA DE GENERO",IF(N278=CURSOS!$D$24,"IGUALDAD DE GENERO EN LA SALUD",IF(N278=CURSOS!$D$25,"BRIGADA DE EMERGENCIA",IF(N278=CURSOS!$D$26,"MANEJO DEL DOLOR Y CUIDADOS PALIATIVOS",IF(N278=CURSOS!$D$27,"TOMA MUESTRAS Y LABORATORIO POCT",IF(N278=CURSOS!$D$28,"IMPLANTE SUBDERMICO Y DISPOSITIVO INTRAUTERINO",IF(N278=CURSOS!$D$29,"SALUD MENTAL",IF(N278=CURSOS!$D$30,"PRIMEROS AUXILIOS PSICOLOGICOS",IF(N278=CURSOS!$D$31,"ATENCION A VICTIMAS POR CONFLICTO ARMADO",IF(N278=CURSOS!$D$32,"MANIPULACION DE ALIMENTOS Y BPM"))))))))))))))))))))))))))))))</f>
        <v>0</v>
      </c>
      <c r="U278" s="41" t="str">
        <f t="shared" si="28"/>
        <v xml:space="preserve">   </v>
      </c>
      <c r="V278" s="41" t="str">
        <f t="shared" si="29"/>
        <v xml:space="preserve">   </v>
      </c>
      <c r="W278" s="41" t="str">
        <f t="shared" si="27"/>
        <v xml:space="preserve">   --</v>
      </c>
    </row>
    <row r="279" spans="1:23" s="55" customFormat="1" x14ac:dyDescent="0.2">
      <c r="A279" s="94">
        <v>278</v>
      </c>
      <c r="B279" s="63"/>
      <c r="G279" s="56"/>
      <c r="H279" s="31" t="s">
        <v>90</v>
      </c>
      <c r="I279" s="57"/>
      <c r="J279" s="58"/>
      <c r="K279" s="56"/>
      <c r="L279" s="56"/>
      <c r="M279" s="56"/>
      <c r="N279" s="59"/>
      <c r="O279" s="60"/>
      <c r="T279" s="41" t="b">
        <f>IF(N279=CURSOS!$D$3,"DIPLOMADO EN ATENCION PRE-HOSPITALARIA",IF(N279=CURSOS!$D$4,"ACOMPAÑAMIENTO Y MANEJO DEL DUELO",IF(N279=CURSOS!$D$5,"ATENCION A VICTIMAS DE ATAQUE CON AGENTES QUIMICOS ",IF(N279=CURSOS!$D$6,"PRIMEROS AUXILIOS ",IF(N279=CURSOS!$D$7,"DIPLOMADO DE UNIDAD DE CUIDADOS INTENSIVOS (UCI)",IF(N279=CURSOS!$D$8,"MODELO DE ATENCION PARA EVENTOS EMERGENTES EN SALUD MENTAL (CODIGO VERDE)",IF(N279=CURSOS!$D$9,"HUMANIZACION EN SALUD, BUENAS PRACTICAS EN PACIENTE ",IF(N279=CURSOS!$D$10,"CLINICA DE HERIDAS ",IF(N279=CURSOS!$D$11,"TOMA DE CITOLOGIA A CERVICO VAGINAL ",IF(N279=CURSOS!$D$12,"SOPORTE CARDIOVASCULAR AVANZADO ",IF(N279=CURSOS!$D$13,"CAMILLERO ",IF(N279=CURSOS!$D$14,"TOMA MUESTRAS Y LABORATORIO ",IF(N279=CURSOS!$D$15,"SOPORTE VITAL BASICO (BLS)",IF(N279=CURSOS!$D$16,"ATENCION A VICTIMAS DE VIOLENCIA SEXUAL ",IF(N279=CURSOS!$D$17,"PROGRAMADO AMPLIADO DE INMUNIZACION (PAI - COVID 19)",IF(N279=CURSOS!$D$18,"ATENCION INTEGRAL EN ENFERMEDADES PREVALENTES EN PRIMERA INFANCIA (AIEPI)",IF(N279=CURSOS!$D$19,"ADMINISTRACION DE MEDICAMENTOS, IYECTOLOGIA  Y CANALIZACION ",IF(N279=CURSOS!$D$20,"OPERADOR DE VEHICULOS DE EMERGENCIA (OVE)",IF(N279=CURSOS!$D$21,"INSTITUCIONES AMIGAS DE LA MUJER Y LA INFANCIA (IAMI)",IF(N279=CURSOS!$D$22,"CUIDADO DEL DONANTE DE ORGANOS",IF(N279=CURSOS!$D$23,"ATENCION A VICTIMAS POR VIOLENCIA DE GENERO",IF(N279=CURSOS!$D$24,"IGUALDAD DE GENERO EN LA SALUD",IF(N279=CURSOS!$D$25,"BRIGADA DE EMERGENCIA",IF(N279=CURSOS!$D$26,"MANEJO DEL DOLOR Y CUIDADOS PALIATIVOS",IF(N279=CURSOS!$D$27,"TOMA MUESTRAS Y LABORATORIO POCT",IF(N279=CURSOS!$D$28,"IMPLANTE SUBDERMICO Y DISPOSITIVO INTRAUTERINO",IF(N279=CURSOS!$D$29,"SALUD MENTAL",IF(N279=CURSOS!$D$30,"PRIMEROS AUXILIOS PSICOLOGICOS",IF(N279=CURSOS!$D$31,"ATENCION A VICTIMAS POR CONFLICTO ARMADO",IF(N279=CURSOS!$D$32,"MANIPULACION DE ALIMENTOS Y BPM"))))))))))))))))))))))))))))))</f>
        <v>0</v>
      </c>
      <c r="U279" s="41" t="str">
        <f t="shared" si="28"/>
        <v xml:space="preserve">   </v>
      </c>
      <c r="V279" s="41" t="str">
        <f t="shared" si="29"/>
        <v xml:space="preserve">   </v>
      </c>
      <c r="W279" s="41" t="str">
        <f t="shared" si="27"/>
        <v xml:space="preserve">   --</v>
      </c>
    </row>
    <row r="280" spans="1:23" s="55" customFormat="1" x14ac:dyDescent="0.2">
      <c r="A280" s="94">
        <v>279</v>
      </c>
      <c r="B280" s="63"/>
      <c r="G280" s="56"/>
      <c r="H280" s="31" t="s">
        <v>90</v>
      </c>
      <c r="I280" s="57"/>
      <c r="J280" s="58"/>
      <c r="K280" s="56"/>
      <c r="L280" s="56"/>
      <c r="M280" s="56"/>
      <c r="N280" s="59"/>
      <c r="O280" s="60"/>
      <c r="T280" s="41" t="b">
        <f>IF(N280=CURSOS!$D$3,"DIPLOMADO EN ATENCION PRE-HOSPITALARIA",IF(N280=CURSOS!$D$4,"ACOMPAÑAMIENTO Y MANEJO DEL DUELO",IF(N280=CURSOS!$D$5,"ATENCION A VICTIMAS DE ATAQUE CON AGENTES QUIMICOS ",IF(N280=CURSOS!$D$6,"PRIMEROS AUXILIOS ",IF(N280=CURSOS!$D$7,"DIPLOMADO DE UNIDAD DE CUIDADOS INTENSIVOS (UCI)",IF(N280=CURSOS!$D$8,"MODELO DE ATENCION PARA EVENTOS EMERGENTES EN SALUD MENTAL (CODIGO VERDE)",IF(N280=CURSOS!$D$9,"HUMANIZACION EN SALUD, BUENAS PRACTICAS EN PACIENTE ",IF(N280=CURSOS!$D$10,"CLINICA DE HERIDAS ",IF(N280=CURSOS!$D$11,"TOMA DE CITOLOGIA A CERVICO VAGINAL ",IF(N280=CURSOS!$D$12,"SOPORTE CARDIOVASCULAR AVANZADO ",IF(N280=CURSOS!$D$13,"CAMILLERO ",IF(N280=CURSOS!$D$14,"TOMA MUESTRAS Y LABORATORIO ",IF(N280=CURSOS!$D$15,"SOPORTE VITAL BASICO (BLS)",IF(N280=CURSOS!$D$16,"ATENCION A VICTIMAS DE VIOLENCIA SEXUAL ",IF(N280=CURSOS!$D$17,"PROGRAMADO AMPLIADO DE INMUNIZACION (PAI - COVID 19)",IF(N280=CURSOS!$D$18,"ATENCION INTEGRAL EN ENFERMEDADES PREVALENTES EN PRIMERA INFANCIA (AIEPI)",IF(N280=CURSOS!$D$19,"ADMINISTRACION DE MEDICAMENTOS, IYECTOLOGIA  Y CANALIZACION ",IF(N280=CURSOS!$D$20,"OPERADOR DE VEHICULOS DE EMERGENCIA (OVE)",IF(N280=CURSOS!$D$21,"INSTITUCIONES AMIGAS DE LA MUJER Y LA INFANCIA (IAMI)",IF(N280=CURSOS!$D$22,"CUIDADO DEL DONANTE DE ORGANOS",IF(N280=CURSOS!$D$23,"ATENCION A VICTIMAS POR VIOLENCIA DE GENERO",IF(N280=CURSOS!$D$24,"IGUALDAD DE GENERO EN LA SALUD",IF(N280=CURSOS!$D$25,"BRIGADA DE EMERGENCIA",IF(N280=CURSOS!$D$26,"MANEJO DEL DOLOR Y CUIDADOS PALIATIVOS",IF(N280=CURSOS!$D$27,"TOMA MUESTRAS Y LABORATORIO POCT",IF(N280=CURSOS!$D$28,"IMPLANTE SUBDERMICO Y DISPOSITIVO INTRAUTERINO",IF(N280=CURSOS!$D$29,"SALUD MENTAL",IF(N280=CURSOS!$D$30,"PRIMEROS AUXILIOS PSICOLOGICOS",IF(N280=CURSOS!$D$31,"ATENCION A VICTIMAS POR CONFLICTO ARMADO",IF(N280=CURSOS!$D$32,"MANIPULACION DE ALIMENTOS Y BPM"))))))))))))))))))))))))))))))</f>
        <v>0</v>
      </c>
      <c r="U280" s="41" t="str">
        <f t="shared" si="28"/>
        <v xml:space="preserve">   </v>
      </c>
      <c r="V280" s="41" t="str">
        <f t="shared" si="29"/>
        <v xml:space="preserve">   </v>
      </c>
      <c r="W280" s="41" t="str">
        <f t="shared" si="27"/>
        <v xml:space="preserve">   --</v>
      </c>
    </row>
    <row r="281" spans="1:23" s="55" customFormat="1" x14ac:dyDescent="0.2">
      <c r="A281" s="94">
        <v>280</v>
      </c>
      <c r="B281" s="63"/>
      <c r="G281" s="56"/>
      <c r="H281" s="31" t="s">
        <v>90</v>
      </c>
      <c r="I281" s="57"/>
      <c r="J281" s="58"/>
      <c r="K281" s="56"/>
      <c r="L281" s="56"/>
      <c r="M281" s="56"/>
      <c r="N281" s="59"/>
      <c r="O281" s="60"/>
      <c r="T281" s="41" t="b">
        <f>IF(N281=CURSOS!$D$3,"DIPLOMADO EN ATENCION PRE-HOSPITALARIA",IF(N281=CURSOS!$D$4,"ACOMPAÑAMIENTO Y MANEJO DEL DUELO",IF(N281=CURSOS!$D$5,"ATENCION A VICTIMAS DE ATAQUE CON AGENTES QUIMICOS ",IF(N281=CURSOS!$D$6,"PRIMEROS AUXILIOS ",IF(N281=CURSOS!$D$7,"DIPLOMADO DE UNIDAD DE CUIDADOS INTENSIVOS (UCI)",IF(N281=CURSOS!$D$8,"MODELO DE ATENCION PARA EVENTOS EMERGENTES EN SALUD MENTAL (CODIGO VERDE)",IF(N281=CURSOS!$D$9,"HUMANIZACION EN SALUD, BUENAS PRACTICAS EN PACIENTE ",IF(N281=CURSOS!$D$10,"CLINICA DE HERIDAS ",IF(N281=CURSOS!$D$11,"TOMA DE CITOLOGIA A CERVICO VAGINAL ",IF(N281=CURSOS!$D$12,"SOPORTE CARDIOVASCULAR AVANZADO ",IF(N281=CURSOS!$D$13,"CAMILLERO ",IF(N281=CURSOS!$D$14,"TOMA MUESTRAS Y LABORATORIO ",IF(N281=CURSOS!$D$15,"SOPORTE VITAL BASICO (BLS)",IF(N281=CURSOS!$D$16,"ATENCION A VICTIMAS DE VIOLENCIA SEXUAL ",IF(N281=CURSOS!$D$17,"PROGRAMADO AMPLIADO DE INMUNIZACION (PAI - COVID 19)",IF(N281=CURSOS!$D$18,"ATENCION INTEGRAL EN ENFERMEDADES PREVALENTES EN PRIMERA INFANCIA (AIEPI)",IF(N281=CURSOS!$D$19,"ADMINISTRACION DE MEDICAMENTOS, IYECTOLOGIA  Y CANALIZACION ",IF(N281=CURSOS!$D$20,"OPERADOR DE VEHICULOS DE EMERGENCIA (OVE)",IF(N281=CURSOS!$D$21,"INSTITUCIONES AMIGAS DE LA MUJER Y LA INFANCIA (IAMI)",IF(N281=CURSOS!$D$22,"CUIDADO DEL DONANTE DE ORGANOS",IF(N281=CURSOS!$D$23,"ATENCION A VICTIMAS POR VIOLENCIA DE GENERO",IF(N281=CURSOS!$D$24,"IGUALDAD DE GENERO EN LA SALUD",IF(N281=CURSOS!$D$25,"BRIGADA DE EMERGENCIA",IF(N281=CURSOS!$D$26,"MANEJO DEL DOLOR Y CUIDADOS PALIATIVOS",IF(N281=CURSOS!$D$27,"TOMA MUESTRAS Y LABORATORIO POCT",IF(N281=CURSOS!$D$28,"IMPLANTE SUBDERMICO Y DISPOSITIVO INTRAUTERINO",IF(N281=CURSOS!$D$29,"SALUD MENTAL",IF(N281=CURSOS!$D$30,"PRIMEROS AUXILIOS PSICOLOGICOS",IF(N281=CURSOS!$D$31,"ATENCION A VICTIMAS POR CONFLICTO ARMADO",IF(N281=CURSOS!$D$32,"MANIPULACION DE ALIMENTOS Y BPM"))))))))))))))))))))))))))))))</f>
        <v>0</v>
      </c>
      <c r="U281" s="41" t="str">
        <f t="shared" si="28"/>
        <v xml:space="preserve">   </v>
      </c>
      <c r="V281" s="41" t="str">
        <f t="shared" si="29"/>
        <v xml:space="preserve">   </v>
      </c>
      <c r="W281" s="41" t="str">
        <f t="shared" si="27"/>
        <v xml:space="preserve">   --</v>
      </c>
    </row>
    <row r="282" spans="1:23" s="55" customFormat="1" x14ac:dyDescent="0.2">
      <c r="A282" s="94">
        <v>281</v>
      </c>
      <c r="B282" s="63"/>
      <c r="G282" s="56"/>
      <c r="H282" s="31" t="s">
        <v>90</v>
      </c>
      <c r="I282" s="57"/>
      <c r="J282" s="58"/>
      <c r="K282" s="56"/>
      <c r="L282" s="56"/>
      <c r="M282" s="56"/>
      <c r="N282" s="59"/>
      <c r="O282" s="60"/>
      <c r="T282" s="41" t="b">
        <f>IF(N282=CURSOS!$D$3,"DIPLOMADO EN ATENCION PRE-HOSPITALARIA",IF(N282=CURSOS!$D$4,"ACOMPAÑAMIENTO Y MANEJO DEL DUELO",IF(N282=CURSOS!$D$5,"ATENCION A VICTIMAS DE ATAQUE CON AGENTES QUIMICOS ",IF(N282=CURSOS!$D$6,"PRIMEROS AUXILIOS ",IF(N282=CURSOS!$D$7,"DIPLOMADO DE UNIDAD DE CUIDADOS INTENSIVOS (UCI)",IF(N282=CURSOS!$D$8,"MODELO DE ATENCION PARA EVENTOS EMERGENTES EN SALUD MENTAL (CODIGO VERDE)",IF(N282=CURSOS!$D$9,"HUMANIZACION EN SALUD, BUENAS PRACTICAS EN PACIENTE ",IF(N282=CURSOS!$D$10,"CLINICA DE HERIDAS ",IF(N282=CURSOS!$D$11,"TOMA DE CITOLOGIA A CERVICO VAGINAL ",IF(N282=CURSOS!$D$12,"SOPORTE CARDIOVASCULAR AVANZADO ",IF(N282=CURSOS!$D$13,"CAMILLERO ",IF(N282=CURSOS!$D$14,"TOMA MUESTRAS Y LABORATORIO ",IF(N282=CURSOS!$D$15,"SOPORTE VITAL BASICO (BLS)",IF(N282=CURSOS!$D$16,"ATENCION A VICTIMAS DE VIOLENCIA SEXUAL ",IF(N282=CURSOS!$D$17,"PROGRAMADO AMPLIADO DE INMUNIZACION (PAI - COVID 19)",IF(N282=CURSOS!$D$18,"ATENCION INTEGRAL EN ENFERMEDADES PREVALENTES EN PRIMERA INFANCIA (AIEPI)",IF(N282=CURSOS!$D$19,"ADMINISTRACION DE MEDICAMENTOS, IYECTOLOGIA  Y CANALIZACION ",IF(N282=CURSOS!$D$20,"OPERADOR DE VEHICULOS DE EMERGENCIA (OVE)",IF(N282=CURSOS!$D$21,"INSTITUCIONES AMIGAS DE LA MUJER Y LA INFANCIA (IAMI)",IF(N282=CURSOS!$D$22,"CUIDADO DEL DONANTE DE ORGANOS",IF(N282=CURSOS!$D$23,"ATENCION A VICTIMAS POR VIOLENCIA DE GENERO",IF(N282=CURSOS!$D$24,"IGUALDAD DE GENERO EN LA SALUD",IF(N282=CURSOS!$D$25,"BRIGADA DE EMERGENCIA",IF(N282=CURSOS!$D$26,"MANEJO DEL DOLOR Y CUIDADOS PALIATIVOS",IF(N282=CURSOS!$D$27,"TOMA MUESTRAS Y LABORATORIO POCT",IF(N282=CURSOS!$D$28,"IMPLANTE SUBDERMICO Y DISPOSITIVO INTRAUTERINO",IF(N282=CURSOS!$D$29,"SALUD MENTAL",IF(N282=CURSOS!$D$30,"PRIMEROS AUXILIOS PSICOLOGICOS",IF(N282=CURSOS!$D$31,"ATENCION A VICTIMAS POR CONFLICTO ARMADO",IF(N282=CURSOS!$D$32,"MANIPULACION DE ALIMENTOS Y BPM"))))))))))))))))))))))))))))))</f>
        <v>0</v>
      </c>
      <c r="U282" s="41" t="str">
        <f t="shared" si="28"/>
        <v xml:space="preserve">   </v>
      </c>
      <c r="V282" s="41" t="str">
        <f t="shared" si="29"/>
        <v xml:space="preserve">   </v>
      </c>
      <c r="W282" s="41" t="str">
        <f t="shared" si="27"/>
        <v xml:space="preserve">   --</v>
      </c>
    </row>
    <row r="283" spans="1:23" s="55" customFormat="1" x14ac:dyDescent="0.2">
      <c r="A283" s="94">
        <v>282</v>
      </c>
      <c r="B283" s="63"/>
      <c r="G283" s="56"/>
      <c r="H283" s="31" t="s">
        <v>90</v>
      </c>
      <c r="I283" s="57"/>
      <c r="J283" s="58"/>
      <c r="K283" s="56"/>
      <c r="L283" s="56"/>
      <c r="M283" s="56"/>
      <c r="N283" s="59"/>
      <c r="O283" s="60"/>
      <c r="T283" s="41" t="b">
        <f>IF(N283=CURSOS!$D$3,"DIPLOMADO EN ATENCION PRE-HOSPITALARIA",IF(N283=CURSOS!$D$4,"ACOMPAÑAMIENTO Y MANEJO DEL DUELO",IF(N283=CURSOS!$D$5,"ATENCION A VICTIMAS DE ATAQUE CON AGENTES QUIMICOS ",IF(N283=CURSOS!$D$6,"PRIMEROS AUXILIOS ",IF(N283=CURSOS!$D$7,"DIPLOMADO DE UNIDAD DE CUIDADOS INTENSIVOS (UCI)",IF(N283=CURSOS!$D$8,"MODELO DE ATENCION PARA EVENTOS EMERGENTES EN SALUD MENTAL (CODIGO VERDE)",IF(N283=CURSOS!$D$9,"HUMANIZACION EN SALUD, BUENAS PRACTICAS EN PACIENTE ",IF(N283=CURSOS!$D$10,"CLINICA DE HERIDAS ",IF(N283=CURSOS!$D$11,"TOMA DE CITOLOGIA A CERVICO VAGINAL ",IF(N283=CURSOS!$D$12,"SOPORTE CARDIOVASCULAR AVANZADO ",IF(N283=CURSOS!$D$13,"CAMILLERO ",IF(N283=CURSOS!$D$14,"TOMA MUESTRAS Y LABORATORIO ",IF(N283=CURSOS!$D$15,"SOPORTE VITAL BASICO (BLS)",IF(N283=CURSOS!$D$16,"ATENCION A VICTIMAS DE VIOLENCIA SEXUAL ",IF(N283=CURSOS!$D$17,"PROGRAMADO AMPLIADO DE INMUNIZACION (PAI - COVID 19)",IF(N283=CURSOS!$D$18,"ATENCION INTEGRAL EN ENFERMEDADES PREVALENTES EN PRIMERA INFANCIA (AIEPI)",IF(N283=CURSOS!$D$19,"ADMINISTRACION DE MEDICAMENTOS, IYECTOLOGIA  Y CANALIZACION ",IF(N283=CURSOS!$D$20,"OPERADOR DE VEHICULOS DE EMERGENCIA (OVE)",IF(N283=CURSOS!$D$21,"INSTITUCIONES AMIGAS DE LA MUJER Y LA INFANCIA (IAMI)",IF(N283=CURSOS!$D$22,"CUIDADO DEL DONANTE DE ORGANOS",IF(N283=CURSOS!$D$23,"ATENCION A VICTIMAS POR VIOLENCIA DE GENERO",IF(N283=CURSOS!$D$24,"IGUALDAD DE GENERO EN LA SALUD",IF(N283=CURSOS!$D$25,"BRIGADA DE EMERGENCIA",IF(N283=CURSOS!$D$26,"MANEJO DEL DOLOR Y CUIDADOS PALIATIVOS",IF(N283=CURSOS!$D$27,"TOMA MUESTRAS Y LABORATORIO POCT",IF(N283=CURSOS!$D$28,"IMPLANTE SUBDERMICO Y DISPOSITIVO INTRAUTERINO",IF(N283=CURSOS!$D$29,"SALUD MENTAL",IF(N283=CURSOS!$D$30,"PRIMEROS AUXILIOS PSICOLOGICOS",IF(N283=CURSOS!$D$31,"ATENCION A VICTIMAS POR CONFLICTO ARMADO",IF(N283=CURSOS!$D$32,"MANIPULACION DE ALIMENTOS Y BPM"))))))))))))))))))))))))))))))</f>
        <v>0</v>
      </c>
      <c r="U283" s="41" t="str">
        <f t="shared" si="28"/>
        <v xml:space="preserve">   </v>
      </c>
      <c r="V283" s="41" t="str">
        <f t="shared" si="29"/>
        <v xml:space="preserve">   </v>
      </c>
      <c r="W283" s="41" t="str">
        <f t="shared" si="27"/>
        <v xml:space="preserve">   --</v>
      </c>
    </row>
    <row r="284" spans="1:23" s="55" customFormat="1" x14ac:dyDescent="0.2">
      <c r="A284" s="94">
        <v>283</v>
      </c>
      <c r="B284" s="63"/>
      <c r="G284" s="56"/>
      <c r="H284" s="31" t="s">
        <v>90</v>
      </c>
      <c r="I284" s="57"/>
      <c r="J284" s="58"/>
      <c r="K284" s="56"/>
      <c r="L284" s="56"/>
      <c r="M284" s="56"/>
      <c r="N284" s="59"/>
      <c r="O284" s="60"/>
      <c r="T284" s="41" t="b">
        <f>IF(N284=CURSOS!$D$3,"DIPLOMADO EN ATENCION PRE-HOSPITALARIA",IF(N284=CURSOS!$D$4,"ACOMPAÑAMIENTO Y MANEJO DEL DUELO",IF(N284=CURSOS!$D$5,"ATENCION A VICTIMAS DE ATAQUE CON AGENTES QUIMICOS ",IF(N284=CURSOS!$D$6,"PRIMEROS AUXILIOS ",IF(N284=CURSOS!$D$7,"DIPLOMADO DE UNIDAD DE CUIDADOS INTENSIVOS (UCI)",IF(N284=CURSOS!$D$8,"MODELO DE ATENCION PARA EVENTOS EMERGENTES EN SALUD MENTAL (CODIGO VERDE)",IF(N284=CURSOS!$D$9,"HUMANIZACION EN SALUD, BUENAS PRACTICAS EN PACIENTE ",IF(N284=CURSOS!$D$10,"CLINICA DE HERIDAS ",IF(N284=CURSOS!$D$11,"TOMA DE CITOLOGIA A CERVICO VAGINAL ",IF(N284=CURSOS!$D$12,"SOPORTE CARDIOVASCULAR AVANZADO ",IF(N284=CURSOS!$D$13,"CAMILLERO ",IF(N284=CURSOS!$D$14,"TOMA MUESTRAS Y LABORATORIO ",IF(N284=CURSOS!$D$15,"SOPORTE VITAL BASICO (BLS)",IF(N284=CURSOS!$D$16,"ATENCION A VICTIMAS DE VIOLENCIA SEXUAL ",IF(N284=CURSOS!$D$17,"PROGRAMADO AMPLIADO DE INMUNIZACION (PAI - COVID 19)",IF(N284=CURSOS!$D$18,"ATENCION INTEGRAL EN ENFERMEDADES PREVALENTES EN PRIMERA INFANCIA (AIEPI)",IF(N284=CURSOS!$D$19,"ADMINISTRACION DE MEDICAMENTOS, IYECTOLOGIA  Y CANALIZACION ",IF(N284=CURSOS!$D$20,"OPERADOR DE VEHICULOS DE EMERGENCIA (OVE)",IF(N284=CURSOS!$D$21,"INSTITUCIONES AMIGAS DE LA MUJER Y LA INFANCIA (IAMI)",IF(N284=CURSOS!$D$22,"CUIDADO DEL DONANTE DE ORGANOS",IF(N284=CURSOS!$D$23,"ATENCION A VICTIMAS POR VIOLENCIA DE GENERO",IF(N284=CURSOS!$D$24,"IGUALDAD DE GENERO EN LA SALUD",IF(N284=CURSOS!$D$25,"BRIGADA DE EMERGENCIA",IF(N284=CURSOS!$D$26,"MANEJO DEL DOLOR Y CUIDADOS PALIATIVOS",IF(N284=CURSOS!$D$27,"TOMA MUESTRAS Y LABORATORIO POCT",IF(N284=CURSOS!$D$28,"IMPLANTE SUBDERMICO Y DISPOSITIVO INTRAUTERINO",IF(N284=CURSOS!$D$29,"SALUD MENTAL",IF(N284=CURSOS!$D$30,"PRIMEROS AUXILIOS PSICOLOGICOS",IF(N284=CURSOS!$D$31,"ATENCION A VICTIMAS POR CONFLICTO ARMADO",IF(N284=CURSOS!$D$32,"MANIPULACION DE ALIMENTOS Y BPM"))))))))))))))))))))))))))))))</f>
        <v>0</v>
      </c>
      <c r="U284" s="41" t="str">
        <f t="shared" si="28"/>
        <v xml:space="preserve">   </v>
      </c>
      <c r="V284" s="41" t="str">
        <f t="shared" si="29"/>
        <v xml:space="preserve">   </v>
      </c>
      <c r="W284" s="41" t="str">
        <f t="shared" ref="W284:W315" si="30">CONCATENATE(U284,"-",B290,"-",N284)</f>
        <v xml:space="preserve">   --</v>
      </c>
    </row>
    <row r="285" spans="1:23" s="55" customFormat="1" x14ac:dyDescent="0.2">
      <c r="A285" s="94">
        <v>284</v>
      </c>
      <c r="B285" s="63"/>
      <c r="G285" s="56"/>
      <c r="H285" s="31" t="s">
        <v>90</v>
      </c>
      <c r="I285" s="57"/>
      <c r="J285" s="58"/>
      <c r="K285" s="56"/>
      <c r="L285" s="56"/>
      <c r="M285" s="56"/>
      <c r="N285" s="59"/>
      <c r="O285" s="60"/>
      <c r="T285" s="41" t="b">
        <f>IF(N285=CURSOS!$D$3,"DIPLOMADO EN ATENCION PRE-HOSPITALARIA",IF(N285=CURSOS!$D$4,"ACOMPAÑAMIENTO Y MANEJO DEL DUELO",IF(N285=CURSOS!$D$5,"ATENCION A VICTIMAS DE ATAQUE CON AGENTES QUIMICOS ",IF(N285=CURSOS!$D$6,"PRIMEROS AUXILIOS ",IF(N285=CURSOS!$D$7,"DIPLOMADO DE UNIDAD DE CUIDADOS INTENSIVOS (UCI)",IF(N285=CURSOS!$D$8,"MODELO DE ATENCION PARA EVENTOS EMERGENTES EN SALUD MENTAL (CODIGO VERDE)",IF(N285=CURSOS!$D$9,"HUMANIZACION EN SALUD, BUENAS PRACTICAS EN PACIENTE ",IF(N285=CURSOS!$D$10,"CLINICA DE HERIDAS ",IF(N285=CURSOS!$D$11,"TOMA DE CITOLOGIA A CERVICO VAGINAL ",IF(N285=CURSOS!$D$12,"SOPORTE CARDIOVASCULAR AVANZADO ",IF(N285=CURSOS!$D$13,"CAMILLERO ",IF(N285=CURSOS!$D$14,"TOMA MUESTRAS Y LABORATORIO ",IF(N285=CURSOS!$D$15,"SOPORTE VITAL BASICO (BLS)",IF(N285=CURSOS!$D$16,"ATENCION A VICTIMAS DE VIOLENCIA SEXUAL ",IF(N285=CURSOS!$D$17,"PROGRAMADO AMPLIADO DE INMUNIZACION (PAI - COVID 19)",IF(N285=CURSOS!$D$18,"ATENCION INTEGRAL EN ENFERMEDADES PREVALENTES EN PRIMERA INFANCIA (AIEPI)",IF(N285=CURSOS!$D$19,"ADMINISTRACION DE MEDICAMENTOS, IYECTOLOGIA  Y CANALIZACION ",IF(N285=CURSOS!$D$20,"OPERADOR DE VEHICULOS DE EMERGENCIA (OVE)",IF(N285=CURSOS!$D$21,"INSTITUCIONES AMIGAS DE LA MUJER Y LA INFANCIA (IAMI)",IF(N285=CURSOS!$D$22,"CUIDADO DEL DONANTE DE ORGANOS",IF(N285=CURSOS!$D$23,"ATENCION A VICTIMAS POR VIOLENCIA DE GENERO",IF(N285=CURSOS!$D$24,"IGUALDAD DE GENERO EN LA SALUD",IF(N285=CURSOS!$D$25,"BRIGADA DE EMERGENCIA",IF(N285=CURSOS!$D$26,"MANEJO DEL DOLOR Y CUIDADOS PALIATIVOS",IF(N285=CURSOS!$D$27,"TOMA MUESTRAS Y LABORATORIO POCT",IF(N285=CURSOS!$D$28,"IMPLANTE SUBDERMICO Y DISPOSITIVO INTRAUTERINO",IF(N285=CURSOS!$D$29,"SALUD MENTAL",IF(N285=CURSOS!$D$30,"PRIMEROS AUXILIOS PSICOLOGICOS",IF(N285=CURSOS!$D$31,"ATENCION A VICTIMAS POR CONFLICTO ARMADO",IF(N285=CURSOS!$D$32,"MANIPULACION DE ALIMENTOS Y BPM"))))))))))))))))))))))))))))))</f>
        <v>0</v>
      </c>
      <c r="U285" s="41" t="str">
        <f t="shared" si="28"/>
        <v xml:space="preserve">   </v>
      </c>
      <c r="V285" s="41" t="str">
        <f t="shared" si="29"/>
        <v xml:space="preserve">   </v>
      </c>
      <c r="W285" s="41" t="str">
        <f t="shared" si="30"/>
        <v xml:space="preserve">   --</v>
      </c>
    </row>
    <row r="286" spans="1:23" s="55" customFormat="1" x14ac:dyDescent="0.2">
      <c r="A286" s="94">
        <v>285</v>
      </c>
      <c r="B286" s="63"/>
      <c r="G286" s="56"/>
      <c r="H286" s="31" t="s">
        <v>90</v>
      </c>
      <c r="I286" s="57"/>
      <c r="J286" s="58"/>
      <c r="K286" s="56"/>
      <c r="L286" s="56"/>
      <c r="M286" s="56"/>
      <c r="N286" s="59"/>
      <c r="O286" s="60"/>
      <c r="T286" s="41" t="b">
        <f>IF(N286=CURSOS!$D$3,"DIPLOMADO EN ATENCION PRE-HOSPITALARIA",IF(N286=CURSOS!$D$4,"ACOMPAÑAMIENTO Y MANEJO DEL DUELO",IF(N286=CURSOS!$D$5,"ATENCION A VICTIMAS DE ATAQUE CON AGENTES QUIMICOS ",IF(N286=CURSOS!$D$6,"PRIMEROS AUXILIOS ",IF(N286=CURSOS!$D$7,"DIPLOMADO DE UNIDAD DE CUIDADOS INTENSIVOS (UCI)",IF(N286=CURSOS!$D$8,"MODELO DE ATENCION PARA EVENTOS EMERGENTES EN SALUD MENTAL (CODIGO VERDE)",IF(N286=CURSOS!$D$9,"HUMANIZACION EN SALUD, BUENAS PRACTICAS EN PACIENTE ",IF(N286=CURSOS!$D$10,"CLINICA DE HERIDAS ",IF(N286=CURSOS!$D$11,"TOMA DE CITOLOGIA A CERVICO VAGINAL ",IF(N286=CURSOS!$D$12,"SOPORTE CARDIOVASCULAR AVANZADO ",IF(N286=CURSOS!$D$13,"CAMILLERO ",IF(N286=CURSOS!$D$14,"TOMA MUESTRAS Y LABORATORIO ",IF(N286=CURSOS!$D$15,"SOPORTE VITAL BASICO (BLS)",IF(N286=CURSOS!$D$16,"ATENCION A VICTIMAS DE VIOLENCIA SEXUAL ",IF(N286=CURSOS!$D$17,"PROGRAMADO AMPLIADO DE INMUNIZACION (PAI - COVID 19)",IF(N286=CURSOS!$D$18,"ATENCION INTEGRAL EN ENFERMEDADES PREVALENTES EN PRIMERA INFANCIA (AIEPI)",IF(N286=CURSOS!$D$19,"ADMINISTRACION DE MEDICAMENTOS, IYECTOLOGIA  Y CANALIZACION ",IF(N286=CURSOS!$D$20,"OPERADOR DE VEHICULOS DE EMERGENCIA (OVE)",IF(N286=CURSOS!$D$21,"INSTITUCIONES AMIGAS DE LA MUJER Y LA INFANCIA (IAMI)",IF(N286=CURSOS!$D$22,"CUIDADO DEL DONANTE DE ORGANOS",IF(N286=CURSOS!$D$23,"ATENCION A VICTIMAS POR VIOLENCIA DE GENERO",IF(N286=CURSOS!$D$24,"IGUALDAD DE GENERO EN LA SALUD",IF(N286=CURSOS!$D$25,"BRIGADA DE EMERGENCIA",IF(N286=CURSOS!$D$26,"MANEJO DEL DOLOR Y CUIDADOS PALIATIVOS",IF(N286=CURSOS!$D$27,"TOMA MUESTRAS Y LABORATORIO POCT",IF(N286=CURSOS!$D$28,"IMPLANTE SUBDERMICO Y DISPOSITIVO INTRAUTERINO",IF(N286=CURSOS!$D$29,"SALUD MENTAL",IF(N286=CURSOS!$D$30,"PRIMEROS AUXILIOS PSICOLOGICOS",IF(N286=CURSOS!$D$31,"ATENCION A VICTIMAS POR CONFLICTO ARMADO",IF(N286=CURSOS!$D$32,"MANIPULACION DE ALIMENTOS Y BPM"))))))))))))))))))))))))))))))</f>
        <v>0</v>
      </c>
      <c r="U286" s="41" t="str">
        <f t="shared" si="28"/>
        <v xml:space="preserve">   </v>
      </c>
      <c r="V286" s="41" t="str">
        <f t="shared" si="29"/>
        <v xml:space="preserve">   </v>
      </c>
      <c r="W286" s="41" t="str">
        <f t="shared" si="30"/>
        <v xml:space="preserve">   --</v>
      </c>
    </row>
    <row r="287" spans="1:23" s="55" customFormat="1" x14ac:dyDescent="0.2">
      <c r="A287" s="94">
        <v>286</v>
      </c>
      <c r="B287" s="63"/>
      <c r="G287" s="56"/>
      <c r="H287" s="31" t="s">
        <v>90</v>
      </c>
      <c r="I287" s="57"/>
      <c r="J287" s="58"/>
      <c r="K287" s="56"/>
      <c r="L287" s="56"/>
      <c r="M287" s="56"/>
      <c r="N287" s="59"/>
      <c r="O287" s="60"/>
      <c r="T287" s="41" t="b">
        <f>IF(N287=CURSOS!$D$3,"DIPLOMADO EN ATENCION PRE-HOSPITALARIA",IF(N287=CURSOS!$D$4,"ACOMPAÑAMIENTO Y MANEJO DEL DUELO",IF(N287=CURSOS!$D$5,"ATENCION A VICTIMAS DE ATAQUE CON AGENTES QUIMICOS ",IF(N287=CURSOS!$D$6,"PRIMEROS AUXILIOS ",IF(N287=CURSOS!$D$7,"DIPLOMADO DE UNIDAD DE CUIDADOS INTENSIVOS (UCI)",IF(N287=CURSOS!$D$8,"MODELO DE ATENCION PARA EVENTOS EMERGENTES EN SALUD MENTAL (CODIGO VERDE)",IF(N287=CURSOS!$D$9,"HUMANIZACION EN SALUD, BUENAS PRACTICAS EN PACIENTE ",IF(N287=CURSOS!$D$10,"CLINICA DE HERIDAS ",IF(N287=CURSOS!$D$11,"TOMA DE CITOLOGIA A CERVICO VAGINAL ",IF(N287=CURSOS!$D$12,"SOPORTE CARDIOVASCULAR AVANZADO ",IF(N287=CURSOS!$D$13,"CAMILLERO ",IF(N287=CURSOS!$D$14,"TOMA MUESTRAS Y LABORATORIO ",IF(N287=CURSOS!$D$15,"SOPORTE VITAL BASICO (BLS)",IF(N287=CURSOS!$D$16,"ATENCION A VICTIMAS DE VIOLENCIA SEXUAL ",IF(N287=CURSOS!$D$17,"PROGRAMADO AMPLIADO DE INMUNIZACION (PAI - COVID 19)",IF(N287=CURSOS!$D$18,"ATENCION INTEGRAL EN ENFERMEDADES PREVALENTES EN PRIMERA INFANCIA (AIEPI)",IF(N287=CURSOS!$D$19,"ADMINISTRACION DE MEDICAMENTOS, IYECTOLOGIA  Y CANALIZACION ",IF(N287=CURSOS!$D$20,"OPERADOR DE VEHICULOS DE EMERGENCIA (OVE)",IF(N287=CURSOS!$D$21,"INSTITUCIONES AMIGAS DE LA MUJER Y LA INFANCIA (IAMI)",IF(N287=CURSOS!$D$22,"CUIDADO DEL DONANTE DE ORGANOS",IF(N287=CURSOS!$D$23,"ATENCION A VICTIMAS POR VIOLENCIA DE GENERO",IF(N287=CURSOS!$D$24,"IGUALDAD DE GENERO EN LA SALUD",IF(N287=CURSOS!$D$25,"BRIGADA DE EMERGENCIA",IF(N287=CURSOS!$D$26,"MANEJO DEL DOLOR Y CUIDADOS PALIATIVOS",IF(N287=CURSOS!$D$27,"TOMA MUESTRAS Y LABORATORIO POCT",IF(N287=CURSOS!$D$28,"IMPLANTE SUBDERMICO Y DISPOSITIVO INTRAUTERINO",IF(N287=CURSOS!$D$29,"SALUD MENTAL",IF(N287=CURSOS!$D$30,"PRIMEROS AUXILIOS PSICOLOGICOS",IF(N287=CURSOS!$D$31,"ATENCION A VICTIMAS POR CONFLICTO ARMADO",IF(N287=CURSOS!$D$32,"MANIPULACION DE ALIMENTOS Y BPM"))))))))))))))))))))))))))))))</f>
        <v>0</v>
      </c>
      <c r="U287" s="41" t="str">
        <f t="shared" si="28"/>
        <v xml:space="preserve">   </v>
      </c>
      <c r="V287" s="41" t="str">
        <f t="shared" si="29"/>
        <v xml:space="preserve">   </v>
      </c>
      <c r="W287" s="41" t="str">
        <f t="shared" si="30"/>
        <v xml:space="preserve">   --</v>
      </c>
    </row>
    <row r="288" spans="1:23" s="21" customFormat="1" x14ac:dyDescent="0.2">
      <c r="A288" s="94">
        <v>287</v>
      </c>
      <c r="B288" s="63"/>
      <c r="C288" s="19"/>
      <c r="D288" s="19"/>
      <c r="E288" s="19"/>
      <c r="F288" s="19"/>
      <c r="G288" s="16"/>
      <c r="H288" s="31" t="s">
        <v>90</v>
      </c>
      <c r="I288" s="18"/>
      <c r="J288" s="22"/>
      <c r="K288" s="16"/>
      <c r="L288" s="16"/>
      <c r="M288" s="16"/>
      <c r="N288" s="17"/>
      <c r="O288" s="20"/>
      <c r="P288" s="19"/>
      <c r="Q288" s="19"/>
      <c r="R288" s="19"/>
      <c r="S288" s="19"/>
      <c r="T288" s="41" t="b">
        <f>IF(N288=CURSOS!$D$3,"DIPLOMADO EN ATENCION PRE-HOSPITALARIA",IF(N288=CURSOS!$D$4,"ACOMPAÑAMIENTO Y MANEJO DEL DUELO",IF(N288=CURSOS!$D$5,"ATENCION A VICTIMAS DE ATAQUE CON AGENTES QUIMICOS ",IF(N288=CURSOS!$D$6,"PRIMEROS AUXILIOS ",IF(N288=CURSOS!$D$7,"DIPLOMADO DE UNIDAD DE CUIDADOS INTENSIVOS (UCI)",IF(N288=CURSOS!$D$8,"MODELO DE ATENCION PARA EVENTOS EMERGENTES EN SALUD MENTAL (CODIGO VERDE)",IF(N288=CURSOS!$D$9,"HUMANIZACION EN SALUD, BUENAS PRACTICAS EN PACIENTE ",IF(N288=CURSOS!$D$10,"CLINICA DE HERIDAS ",IF(N288=CURSOS!$D$11,"TOMA DE CITOLOGIA A CERVICO VAGINAL ",IF(N288=CURSOS!$D$12,"SOPORTE CARDIOVASCULAR AVANZADO ",IF(N288=CURSOS!$D$13,"CAMILLERO ",IF(N288=CURSOS!$D$14,"TOMA MUESTRAS Y LABORATORIO ",IF(N288=CURSOS!$D$15,"SOPORTE VITAL BASICO (BLS)",IF(N288=CURSOS!$D$16,"ATENCION A VICTIMAS DE VIOLENCIA SEXUAL ",IF(N288=CURSOS!$D$17,"PROGRAMADO AMPLIADO DE INMUNIZACION (PAI - COVID 19)",IF(N288=CURSOS!$D$18,"ATENCION INTEGRAL EN ENFERMEDADES PREVALENTES EN PRIMERA INFANCIA (AIEPI)",IF(N288=CURSOS!$D$19,"ADMINISTRACION DE MEDICAMENTOS, IYECTOLOGIA  Y CANALIZACION ",IF(N288=CURSOS!$D$20,"OPERADOR DE VEHICULOS DE EMERGENCIA (OVE)",IF(N288=CURSOS!$D$21,"INSTITUCIONES AMIGAS DE LA MUJER Y LA INFANCIA (IAMI)",IF(N288=CURSOS!$D$22,"CUIDADO DEL DONANTE DE ORGANOS",IF(N288=CURSOS!$D$23,"ATENCION A VICTIMAS POR VIOLENCIA DE GENERO",IF(N288=CURSOS!$D$24,"IGUALDAD DE GENERO EN LA SALUD",IF(N288=CURSOS!$D$25,"BRIGADA DE EMERGENCIA",IF(N288=CURSOS!$D$26,"MANEJO DEL DOLOR Y CUIDADOS PALIATIVOS",IF(N288=CURSOS!$D$27,"TOMA MUESTRAS Y LABORATORIO POCT",IF(N288=CURSOS!$D$28,"IMPLANTE SUBDERMICO Y DISPOSITIVO INTRAUTERINO",IF(N288=CURSOS!$D$29,"SALUD MENTAL",IF(N288=CURSOS!$D$30,"PRIMEROS AUXILIOS PSICOLOGICOS",IF(N288=CURSOS!$D$31,"ATENCION A VICTIMAS POR CONFLICTO ARMADO",IF(N288=CURSOS!$D$32,"MANIPULACION DE ALIMENTOS Y BPM"))))))))))))))))))))))))))))))</f>
        <v>0</v>
      </c>
      <c r="U288" s="41" t="str">
        <f t="shared" si="28"/>
        <v xml:space="preserve">   </v>
      </c>
      <c r="V288" s="41" t="str">
        <f t="shared" si="29"/>
        <v xml:space="preserve">   </v>
      </c>
      <c r="W288" s="41" t="str">
        <f t="shared" si="30"/>
        <v xml:space="preserve">   --</v>
      </c>
    </row>
    <row r="289" spans="1:23" s="21" customFormat="1" x14ac:dyDescent="0.2">
      <c r="A289" s="94">
        <v>288</v>
      </c>
      <c r="B289" s="63"/>
      <c r="C289" s="19"/>
      <c r="D289" s="19"/>
      <c r="E289" s="19"/>
      <c r="F289" s="19"/>
      <c r="G289" s="16"/>
      <c r="H289" s="31" t="s">
        <v>90</v>
      </c>
      <c r="I289" s="18"/>
      <c r="J289" s="22"/>
      <c r="K289" s="16"/>
      <c r="L289" s="16"/>
      <c r="M289" s="16"/>
      <c r="N289" s="17"/>
      <c r="O289" s="20"/>
      <c r="P289" s="19"/>
      <c r="Q289" s="19"/>
      <c r="R289" s="19"/>
      <c r="S289" s="19"/>
      <c r="T289" s="41" t="b">
        <f>IF(N289=CURSOS!$D$3,"DIPLOMADO EN ATENCION PRE-HOSPITALARIA",IF(N289=CURSOS!$D$4,"ACOMPAÑAMIENTO Y MANEJO DEL DUELO",IF(N289=CURSOS!$D$5,"ATENCION A VICTIMAS DE ATAQUE CON AGENTES QUIMICOS ",IF(N289=CURSOS!$D$6,"PRIMEROS AUXILIOS ",IF(N289=CURSOS!$D$7,"DIPLOMADO DE UNIDAD DE CUIDADOS INTENSIVOS (UCI)",IF(N289=CURSOS!$D$8,"MODELO DE ATENCION PARA EVENTOS EMERGENTES EN SALUD MENTAL (CODIGO VERDE)",IF(N289=CURSOS!$D$9,"HUMANIZACION EN SALUD, BUENAS PRACTICAS EN PACIENTE ",IF(N289=CURSOS!$D$10,"CLINICA DE HERIDAS ",IF(N289=CURSOS!$D$11,"TOMA DE CITOLOGIA A CERVICO VAGINAL ",IF(N289=CURSOS!$D$12,"SOPORTE CARDIOVASCULAR AVANZADO ",IF(N289=CURSOS!$D$13,"CAMILLERO ",IF(N289=CURSOS!$D$14,"TOMA MUESTRAS Y LABORATORIO ",IF(N289=CURSOS!$D$15,"SOPORTE VITAL BASICO (BLS)",IF(N289=CURSOS!$D$16,"ATENCION A VICTIMAS DE VIOLENCIA SEXUAL ",IF(N289=CURSOS!$D$17,"PROGRAMADO AMPLIADO DE INMUNIZACION (PAI - COVID 19)",IF(N289=CURSOS!$D$18,"ATENCION INTEGRAL EN ENFERMEDADES PREVALENTES EN PRIMERA INFANCIA (AIEPI)",IF(N289=CURSOS!$D$19,"ADMINISTRACION DE MEDICAMENTOS, IYECTOLOGIA  Y CANALIZACION ",IF(N289=CURSOS!$D$20,"OPERADOR DE VEHICULOS DE EMERGENCIA (OVE)",IF(N289=CURSOS!$D$21,"INSTITUCIONES AMIGAS DE LA MUJER Y LA INFANCIA (IAMI)",IF(N289=CURSOS!$D$22,"CUIDADO DEL DONANTE DE ORGANOS",IF(N289=CURSOS!$D$23,"ATENCION A VICTIMAS POR VIOLENCIA DE GENERO",IF(N289=CURSOS!$D$24,"IGUALDAD DE GENERO EN LA SALUD",IF(N289=CURSOS!$D$25,"BRIGADA DE EMERGENCIA",IF(N289=CURSOS!$D$26,"MANEJO DEL DOLOR Y CUIDADOS PALIATIVOS",IF(N289=CURSOS!$D$27,"TOMA MUESTRAS Y LABORATORIO POCT",IF(N289=CURSOS!$D$28,"IMPLANTE SUBDERMICO Y DISPOSITIVO INTRAUTERINO",IF(N289=CURSOS!$D$29,"SALUD MENTAL",IF(N289=CURSOS!$D$30,"PRIMEROS AUXILIOS PSICOLOGICOS",IF(N289=CURSOS!$D$31,"ATENCION A VICTIMAS POR CONFLICTO ARMADO",IF(N289=CURSOS!$D$32,"MANIPULACION DE ALIMENTOS Y BPM"))))))))))))))))))))))))))))))</f>
        <v>0</v>
      </c>
      <c r="U289" s="41" t="str">
        <f t="shared" si="28"/>
        <v xml:space="preserve">   </v>
      </c>
      <c r="V289" s="41" t="str">
        <f t="shared" si="29"/>
        <v xml:space="preserve">   </v>
      </c>
      <c r="W289" s="41" t="str">
        <f t="shared" si="30"/>
        <v xml:space="preserve">   --</v>
      </c>
    </row>
    <row r="290" spans="1:23" s="21" customFormat="1" x14ac:dyDescent="0.2">
      <c r="A290" s="94">
        <v>289</v>
      </c>
      <c r="B290" s="63"/>
      <c r="C290" s="19"/>
      <c r="D290" s="19"/>
      <c r="E290" s="19"/>
      <c r="F290" s="19"/>
      <c r="G290" s="16"/>
      <c r="H290" s="31" t="s">
        <v>90</v>
      </c>
      <c r="I290" s="18"/>
      <c r="J290" s="22"/>
      <c r="K290" s="16"/>
      <c r="L290" s="16"/>
      <c r="M290" s="16"/>
      <c r="N290" s="17"/>
      <c r="O290" s="20"/>
      <c r="P290" s="19"/>
      <c r="Q290" s="19"/>
      <c r="R290" s="19"/>
      <c r="S290" s="19"/>
      <c r="T290" s="41" t="b">
        <f>IF(N290=CURSOS!$D$3,"DIPLOMADO EN ATENCION PRE-HOSPITALARIA",IF(N290=CURSOS!$D$4,"ACOMPAÑAMIENTO Y MANEJO DEL DUELO",IF(N290=CURSOS!$D$5,"ATENCION A VICTIMAS DE ATAQUE CON AGENTES QUIMICOS ",IF(N290=CURSOS!$D$6,"PRIMEROS AUXILIOS ",IF(N290=CURSOS!$D$7,"DIPLOMADO DE UNIDAD DE CUIDADOS INTENSIVOS (UCI)",IF(N290=CURSOS!$D$8,"MODELO DE ATENCION PARA EVENTOS EMERGENTES EN SALUD MENTAL (CODIGO VERDE)",IF(N290=CURSOS!$D$9,"HUMANIZACION EN SALUD, BUENAS PRACTICAS EN PACIENTE ",IF(N290=CURSOS!$D$10,"CLINICA DE HERIDAS ",IF(N290=CURSOS!$D$11,"TOMA DE CITOLOGIA A CERVICO VAGINAL ",IF(N290=CURSOS!$D$12,"SOPORTE CARDIOVASCULAR AVANZADO ",IF(N290=CURSOS!$D$13,"CAMILLERO ",IF(N290=CURSOS!$D$14,"TOMA MUESTRAS Y LABORATORIO ",IF(N290=CURSOS!$D$15,"SOPORTE VITAL BASICO (BLS)",IF(N290=CURSOS!$D$16,"ATENCION A VICTIMAS DE VIOLENCIA SEXUAL ",IF(N290=CURSOS!$D$17,"PROGRAMADO AMPLIADO DE INMUNIZACION (PAI - COVID 19)",IF(N290=CURSOS!$D$18,"ATENCION INTEGRAL EN ENFERMEDADES PREVALENTES EN PRIMERA INFANCIA (AIEPI)",IF(N290=CURSOS!$D$19,"ADMINISTRACION DE MEDICAMENTOS, IYECTOLOGIA  Y CANALIZACION ",IF(N290=CURSOS!$D$20,"OPERADOR DE VEHICULOS DE EMERGENCIA (OVE)",IF(N290=CURSOS!$D$21,"INSTITUCIONES AMIGAS DE LA MUJER Y LA INFANCIA (IAMI)",IF(N290=CURSOS!$D$22,"CUIDADO DEL DONANTE DE ORGANOS",IF(N290=CURSOS!$D$23,"ATENCION A VICTIMAS POR VIOLENCIA DE GENERO",IF(N290=CURSOS!$D$24,"IGUALDAD DE GENERO EN LA SALUD",IF(N290=CURSOS!$D$25,"BRIGADA DE EMERGENCIA",IF(N290=CURSOS!$D$26,"MANEJO DEL DOLOR Y CUIDADOS PALIATIVOS",IF(N290=CURSOS!$D$27,"TOMA MUESTRAS Y LABORATORIO POCT",IF(N290=CURSOS!$D$28,"IMPLANTE SUBDERMICO Y DISPOSITIVO INTRAUTERINO",IF(N290=CURSOS!$D$29,"SALUD MENTAL",IF(N290=CURSOS!$D$30,"PRIMEROS AUXILIOS PSICOLOGICOS",IF(N290=CURSOS!$D$31,"ATENCION A VICTIMAS POR CONFLICTO ARMADO",IF(N290=CURSOS!$D$32,"MANIPULACION DE ALIMENTOS Y BPM"))))))))))))))))))))))))))))))</f>
        <v>0</v>
      </c>
      <c r="U290" s="41" t="str">
        <f t="shared" si="28"/>
        <v xml:space="preserve">   </v>
      </c>
      <c r="V290" s="41" t="str">
        <f t="shared" si="29"/>
        <v xml:space="preserve">   </v>
      </c>
      <c r="W290" s="41" t="str">
        <f t="shared" si="30"/>
        <v xml:space="preserve">   --</v>
      </c>
    </row>
    <row r="291" spans="1:23" s="21" customFormat="1" x14ac:dyDescent="0.2">
      <c r="A291" s="94">
        <v>290</v>
      </c>
      <c r="B291" s="63"/>
      <c r="C291" s="19"/>
      <c r="D291" s="19"/>
      <c r="E291" s="19"/>
      <c r="F291" s="19"/>
      <c r="G291" s="16"/>
      <c r="H291" s="31" t="s">
        <v>90</v>
      </c>
      <c r="I291" s="18"/>
      <c r="J291" s="22"/>
      <c r="K291" s="16"/>
      <c r="L291" s="16"/>
      <c r="M291" s="16"/>
      <c r="N291" s="17"/>
      <c r="O291" s="20"/>
      <c r="P291" s="19"/>
      <c r="Q291" s="19"/>
      <c r="R291" s="19"/>
      <c r="S291" s="19"/>
      <c r="T291" s="41" t="b">
        <f>IF(N291=CURSOS!$D$3,"DIPLOMADO EN ATENCION PRE-HOSPITALARIA",IF(N291=CURSOS!$D$4,"ACOMPAÑAMIENTO Y MANEJO DEL DUELO",IF(N291=CURSOS!$D$5,"ATENCION A VICTIMAS DE ATAQUE CON AGENTES QUIMICOS ",IF(N291=CURSOS!$D$6,"PRIMEROS AUXILIOS ",IF(N291=CURSOS!$D$7,"DIPLOMADO DE UNIDAD DE CUIDADOS INTENSIVOS (UCI)",IF(N291=CURSOS!$D$8,"MODELO DE ATENCION PARA EVENTOS EMERGENTES EN SALUD MENTAL (CODIGO VERDE)",IF(N291=CURSOS!$D$9,"HUMANIZACION EN SALUD, BUENAS PRACTICAS EN PACIENTE ",IF(N291=CURSOS!$D$10,"CLINICA DE HERIDAS ",IF(N291=CURSOS!$D$11,"TOMA DE CITOLOGIA A CERVICO VAGINAL ",IF(N291=CURSOS!$D$12,"SOPORTE CARDIOVASCULAR AVANZADO ",IF(N291=CURSOS!$D$13,"CAMILLERO ",IF(N291=CURSOS!$D$14,"TOMA MUESTRAS Y LABORATORIO ",IF(N291=CURSOS!$D$15,"SOPORTE VITAL BASICO (BLS)",IF(N291=CURSOS!$D$16,"ATENCION A VICTIMAS DE VIOLENCIA SEXUAL ",IF(N291=CURSOS!$D$17,"PROGRAMADO AMPLIADO DE INMUNIZACION (PAI - COVID 19)",IF(N291=CURSOS!$D$18,"ATENCION INTEGRAL EN ENFERMEDADES PREVALENTES EN PRIMERA INFANCIA (AIEPI)",IF(N291=CURSOS!$D$19,"ADMINISTRACION DE MEDICAMENTOS, IYECTOLOGIA  Y CANALIZACION ",IF(N291=CURSOS!$D$20,"OPERADOR DE VEHICULOS DE EMERGENCIA (OVE)",IF(N291=CURSOS!$D$21,"INSTITUCIONES AMIGAS DE LA MUJER Y LA INFANCIA (IAMI)",IF(N291=CURSOS!$D$22,"CUIDADO DEL DONANTE DE ORGANOS",IF(N291=CURSOS!$D$23,"ATENCION A VICTIMAS POR VIOLENCIA DE GENERO",IF(N291=CURSOS!$D$24,"IGUALDAD DE GENERO EN LA SALUD",IF(N291=CURSOS!$D$25,"BRIGADA DE EMERGENCIA",IF(N291=CURSOS!$D$26,"MANEJO DEL DOLOR Y CUIDADOS PALIATIVOS",IF(N291=CURSOS!$D$27,"TOMA MUESTRAS Y LABORATORIO POCT",IF(N291=CURSOS!$D$28,"IMPLANTE SUBDERMICO Y DISPOSITIVO INTRAUTERINO",IF(N291=CURSOS!$D$29,"SALUD MENTAL",IF(N291=CURSOS!$D$30,"PRIMEROS AUXILIOS PSICOLOGICOS",IF(N291=CURSOS!$D$31,"ATENCION A VICTIMAS POR CONFLICTO ARMADO",IF(N291=CURSOS!$D$32,"MANIPULACION DE ALIMENTOS Y BPM"))))))))))))))))))))))))))))))</f>
        <v>0</v>
      </c>
      <c r="U291" s="41" t="str">
        <f t="shared" si="28"/>
        <v xml:space="preserve">   </v>
      </c>
      <c r="V291" s="41" t="str">
        <f t="shared" si="29"/>
        <v xml:space="preserve">   </v>
      </c>
      <c r="W291" s="41" t="str">
        <f t="shared" si="30"/>
        <v xml:space="preserve">   --</v>
      </c>
    </row>
    <row r="292" spans="1:23" s="21" customFormat="1" x14ac:dyDescent="0.2">
      <c r="A292" s="94">
        <v>291</v>
      </c>
      <c r="B292" s="63"/>
      <c r="C292" s="19"/>
      <c r="D292" s="19"/>
      <c r="E292" s="19"/>
      <c r="F292" s="19"/>
      <c r="G292" s="16"/>
      <c r="H292" s="31" t="s">
        <v>90</v>
      </c>
      <c r="I292" s="18"/>
      <c r="J292" s="22"/>
      <c r="K292" s="16"/>
      <c r="L292" s="16"/>
      <c r="M292" s="16"/>
      <c r="N292" s="17"/>
      <c r="O292" s="20"/>
      <c r="P292" s="19"/>
      <c r="Q292" s="19"/>
      <c r="R292" s="19"/>
      <c r="S292" s="19"/>
      <c r="T292" s="41" t="b">
        <f>IF(N292=CURSOS!$D$3,"DIPLOMADO EN ATENCION PRE-HOSPITALARIA",IF(N292=CURSOS!$D$4,"ACOMPAÑAMIENTO Y MANEJO DEL DUELO",IF(N292=CURSOS!$D$5,"ATENCION A VICTIMAS DE ATAQUE CON AGENTES QUIMICOS ",IF(N292=CURSOS!$D$6,"PRIMEROS AUXILIOS ",IF(N292=CURSOS!$D$7,"DIPLOMADO DE UNIDAD DE CUIDADOS INTENSIVOS (UCI)",IF(N292=CURSOS!$D$8,"MODELO DE ATENCION PARA EVENTOS EMERGENTES EN SALUD MENTAL (CODIGO VERDE)",IF(N292=CURSOS!$D$9,"HUMANIZACION EN SALUD, BUENAS PRACTICAS EN PACIENTE ",IF(N292=CURSOS!$D$10,"CLINICA DE HERIDAS ",IF(N292=CURSOS!$D$11,"TOMA DE CITOLOGIA A CERVICO VAGINAL ",IF(N292=CURSOS!$D$12,"SOPORTE CARDIOVASCULAR AVANZADO ",IF(N292=CURSOS!$D$13,"CAMILLERO ",IF(N292=CURSOS!$D$14,"TOMA MUESTRAS Y LABORATORIO ",IF(N292=CURSOS!$D$15,"SOPORTE VITAL BASICO (BLS)",IF(N292=CURSOS!$D$16,"ATENCION A VICTIMAS DE VIOLENCIA SEXUAL ",IF(N292=CURSOS!$D$17,"PROGRAMADO AMPLIADO DE INMUNIZACION (PAI - COVID 19)",IF(N292=CURSOS!$D$18,"ATENCION INTEGRAL EN ENFERMEDADES PREVALENTES EN PRIMERA INFANCIA (AIEPI)",IF(N292=CURSOS!$D$19,"ADMINISTRACION DE MEDICAMENTOS, IYECTOLOGIA  Y CANALIZACION ",IF(N292=CURSOS!$D$20,"OPERADOR DE VEHICULOS DE EMERGENCIA (OVE)",IF(N292=CURSOS!$D$21,"INSTITUCIONES AMIGAS DE LA MUJER Y LA INFANCIA (IAMI)",IF(N292=CURSOS!$D$22,"CUIDADO DEL DONANTE DE ORGANOS",IF(N292=CURSOS!$D$23,"ATENCION A VICTIMAS POR VIOLENCIA DE GENERO",IF(N292=CURSOS!$D$24,"IGUALDAD DE GENERO EN LA SALUD",IF(N292=CURSOS!$D$25,"BRIGADA DE EMERGENCIA",IF(N292=CURSOS!$D$26,"MANEJO DEL DOLOR Y CUIDADOS PALIATIVOS",IF(N292=CURSOS!$D$27,"TOMA MUESTRAS Y LABORATORIO POCT",IF(N292=CURSOS!$D$28,"IMPLANTE SUBDERMICO Y DISPOSITIVO INTRAUTERINO",IF(N292=CURSOS!$D$29,"SALUD MENTAL",IF(N292=CURSOS!$D$30,"PRIMEROS AUXILIOS PSICOLOGICOS",IF(N292=CURSOS!$D$31,"ATENCION A VICTIMAS POR CONFLICTO ARMADO",IF(N292=CURSOS!$D$32,"MANIPULACION DE ALIMENTOS Y BPM"))))))))))))))))))))))))))))))</f>
        <v>0</v>
      </c>
      <c r="U292" s="41" t="str">
        <f t="shared" si="28"/>
        <v xml:space="preserve">   </v>
      </c>
      <c r="V292" s="41" t="str">
        <f t="shared" si="29"/>
        <v xml:space="preserve">   </v>
      </c>
      <c r="W292" s="41" t="str">
        <f t="shared" si="30"/>
        <v xml:space="preserve">   --</v>
      </c>
    </row>
    <row r="293" spans="1:23" s="21" customFormat="1" x14ac:dyDescent="0.2">
      <c r="A293" s="94">
        <v>292</v>
      </c>
      <c r="B293" s="63"/>
      <c r="C293" s="19"/>
      <c r="D293" s="19"/>
      <c r="E293" s="19"/>
      <c r="F293" s="19"/>
      <c r="G293" s="16"/>
      <c r="H293" s="31" t="s">
        <v>90</v>
      </c>
      <c r="I293" s="18"/>
      <c r="J293" s="22"/>
      <c r="K293" s="16"/>
      <c r="L293" s="16"/>
      <c r="M293" s="16"/>
      <c r="N293" s="17"/>
      <c r="O293" s="20"/>
      <c r="P293" s="19"/>
      <c r="Q293" s="19"/>
      <c r="R293" s="19"/>
      <c r="S293" s="19"/>
      <c r="T293" s="41" t="b">
        <f>IF(N293=CURSOS!$D$3,"DIPLOMADO EN ATENCION PRE-HOSPITALARIA",IF(N293=CURSOS!$D$4,"ACOMPAÑAMIENTO Y MANEJO DEL DUELO",IF(N293=CURSOS!$D$5,"ATENCION A VICTIMAS DE ATAQUE CON AGENTES QUIMICOS ",IF(N293=CURSOS!$D$6,"PRIMEROS AUXILIOS ",IF(N293=CURSOS!$D$7,"DIPLOMADO DE UNIDAD DE CUIDADOS INTENSIVOS (UCI)",IF(N293=CURSOS!$D$8,"MODELO DE ATENCION PARA EVENTOS EMERGENTES EN SALUD MENTAL (CODIGO VERDE)",IF(N293=CURSOS!$D$9,"HUMANIZACION EN SALUD, BUENAS PRACTICAS EN PACIENTE ",IF(N293=CURSOS!$D$10,"CLINICA DE HERIDAS ",IF(N293=CURSOS!$D$11,"TOMA DE CITOLOGIA A CERVICO VAGINAL ",IF(N293=CURSOS!$D$12,"SOPORTE CARDIOVASCULAR AVANZADO ",IF(N293=CURSOS!$D$13,"CAMILLERO ",IF(N293=CURSOS!$D$14,"TOMA MUESTRAS Y LABORATORIO ",IF(N293=CURSOS!$D$15,"SOPORTE VITAL BASICO (BLS)",IF(N293=CURSOS!$D$16,"ATENCION A VICTIMAS DE VIOLENCIA SEXUAL ",IF(N293=CURSOS!$D$17,"PROGRAMADO AMPLIADO DE INMUNIZACION (PAI - COVID 19)",IF(N293=CURSOS!$D$18,"ATENCION INTEGRAL EN ENFERMEDADES PREVALENTES EN PRIMERA INFANCIA (AIEPI)",IF(N293=CURSOS!$D$19,"ADMINISTRACION DE MEDICAMENTOS, IYECTOLOGIA  Y CANALIZACION ",IF(N293=CURSOS!$D$20,"OPERADOR DE VEHICULOS DE EMERGENCIA (OVE)",IF(N293=CURSOS!$D$21,"INSTITUCIONES AMIGAS DE LA MUJER Y LA INFANCIA (IAMI)",IF(N293=CURSOS!$D$22,"CUIDADO DEL DONANTE DE ORGANOS",IF(N293=CURSOS!$D$23,"ATENCION A VICTIMAS POR VIOLENCIA DE GENERO",IF(N293=CURSOS!$D$24,"IGUALDAD DE GENERO EN LA SALUD",IF(N293=CURSOS!$D$25,"BRIGADA DE EMERGENCIA",IF(N293=CURSOS!$D$26,"MANEJO DEL DOLOR Y CUIDADOS PALIATIVOS",IF(N293=CURSOS!$D$27,"TOMA MUESTRAS Y LABORATORIO POCT",IF(N293=CURSOS!$D$28,"IMPLANTE SUBDERMICO Y DISPOSITIVO INTRAUTERINO",IF(N293=CURSOS!$D$29,"SALUD MENTAL",IF(N293=CURSOS!$D$30,"PRIMEROS AUXILIOS PSICOLOGICOS",IF(N293=CURSOS!$D$31,"ATENCION A VICTIMAS POR CONFLICTO ARMADO",IF(N293=CURSOS!$D$32,"MANIPULACION DE ALIMENTOS Y BPM"))))))))))))))))))))))))))))))</f>
        <v>0</v>
      </c>
      <c r="U293" s="41" t="str">
        <f t="shared" si="28"/>
        <v xml:space="preserve">   </v>
      </c>
      <c r="V293" s="41" t="str">
        <f t="shared" si="29"/>
        <v xml:space="preserve">   </v>
      </c>
      <c r="W293" s="41" t="str">
        <f t="shared" si="30"/>
        <v xml:space="preserve">   --</v>
      </c>
    </row>
    <row r="294" spans="1:23" s="21" customFormat="1" x14ac:dyDescent="0.2">
      <c r="A294" s="94">
        <v>293</v>
      </c>
      <c r="B294" s="62"/>
      <c r="C294" s="19"/>
      <c r="D294" s="19"/>
      <c r="E294" s="19"/>
      <c r="F294" s="19"/>
      <c r="G294" s="16"/>
      <c r="H294" s="31" t="s">
        <v>90</v>
      </c>
      <c r="I294" s="18"/>
      <c r="J294" s="22"/>
      <c r="K294" s="16"/>
      <c r="L294" s="16"/>
      <c r="M294" s="16"/>
      <c r="N294" s="17"/>
      <c r="O294" s="20"/>
      <c r="P294" s="19"/>
      <c r="Q294" s="19"/>
      <c r="R294" s="19"/>
      <c r="S294" s="19"/>
      <c r="T294" s="41" t="b">
        <f>IF(N294=CURSOS!$D$3,"DIPLOMADO EN ATENCION PRE-HOSPITALARIA",IF(N294=CURSOS!$D$4,"ACOMPAÑAMIENTO Y MANEJO DEL DUELO",IF(N294=CURSOS!$D$5,"ATENCION A VICTIMAS DE ATAQUE CON AGENTES QUIMICOS ",IF(N294=CURSOS!$D$6,"PRIMEROS AUXILIOS ",IF(N294=CURSOS!$D$7,"DIPLOMADO DE UNIDAD DE CUIDADOS INTENSIVOS (UCI)",IF(N294=CURSOS!$D$8,"MODELO DE ATENCION PARA EVENTOS EMERGENTES EN SALUD MENTAL (CODIGO VERDE)",IF(N294=CURSOS!$D$9,"HUMANIZACION EN SALUD, BUENAS PRACTICAS EN PACIENTE ",IF(N294=CURSOS!$D$10,"CLINICA DE HERIDAS ",IF(N294=CURSOS!$D$11,"TOMA DE CITOLOGIA A CERVICO VAGINAL ",IF(N294=CURSOS!$D$12,"SOPORTE CARDIOVASCULAR AVANZADO ",IF(N294=CURSOS!$D$13,"CAMILLERO ",IF(N294=CURSOS!$D$14,"TOMA MUESTRAS Y LABORATORIO ",IF(N294=CURSOS!$D$15,"SOPORTE VITAL BASICO (BLS)",IF(N294=CURSOS!$D$16,"ATENCION A VICTIMAS DE VIOLENCIA SEXUAL ",IF(N294=CURSOS!$D$17,"PROGRAMADO AMPLIADO DE INMUNIZACION (PAI - COVID 19)",IF(N294=CURSOS!$D$18,"ATENCION INTEGRAL EN ENFERMEDADES PREVALENTES EN PRIMERA INFANCIA (AIEPI)",IF(N294=CURSOS!$D$19,"ADMINISTRACION DE MEDICAMENTOS, IYECTOLOGIA  Y CANALIZACION ",IF(N294=CURSOS!$D$20,"OPERADOR DE VEHICULOS DE EMERGENCIA (OVE)",IF(N294=CURSOS!$D$21,"INSTITUCIONES AMIGAS DE LA MUJER Y LA INFANCIA (IAMI)",IF(N294=CURSOS!$D$22,"CUIDADO DEL DONANTE DE ORGANOS",IF(N294=CURSOS!$D$23,"ATENCION A VICTIMAS POR VIOLENCIA DE GENERO",IF(N294=CURSOS!$D$24,"IGUALDAD DE GENERO EN LA SALUD",IF(N294=CURSOS!$D$25,"BRIGADA DE EMERGENCIA",IF(N294=CURSOS!$D$26,"MANEJO DEL DOLOR Y CUIDADOS PALIATIVOS",IF(N294=CURSOS!$D$27,"TOMA MUESTRAS Y LABORATORIO POCT",IF(N294=CURSOS!$D$28,"IMPLANTE SUBDERMICO Y DISPOSITIVO INTRAUTERINO",IF(N294=CURSOS!$D$29,"SALUD MENTAL",IF(N294=CURSOS!$D$30,"PRIMEROS AUXILIOS PSICOLOGICOS",IF(N294=CURSOS!$D$31,"ATENCION A VICTIMAS POR CONFLICTO ARMADO",IF(N294=CURSOS!$D$32,"MANIPULACION DE ALIMENTOS Y BPM"))))))))))))))))))))))))))))))</f>
        <v>0</v>
      </c>
      <c r="U294" s="41" t="str">
        <f t="shared" si="28"/>
        <v xml:space="preserve">   </v>
      </c>
      <c r="V294" s="41" t="str">
        <f t="shared" si="29"/>
        <v xml:space="preserve">   </v>
      </c>
      <c r="W294" s="41" t="str">
        <f t="shared" si="30"/>
        <v xml:space="preserve">   --</v>
      </c>
    </row>
    <row r="295" spans="1:23" s="21" customFormat="1" x14ac:dyDescent="0.2">
      <c r="A295" s="94">
        <v>294</v>
      </c>
      <c r="B295" s="62"/>
      <c r="C295" s="19"/>
      <c r="D295" s="19"/>
      <c r="E295" s="19"/>
      <c r="F295" s="19"/>
      <c r="G295" s="16"/>
      <c r="H295" s="31" t="s">
        <v>90</v>
      </c>
      <c r="I295" s="18"/>
      <c r="J295" s="22"/>
      <c r="K295" s="16"/>
      <c r="L295" s="16"/>
      <c r="M295" s="16"/>
      <c r="N295" s="17"/>
      <c r="O295" s="20"/>
      <c r="P295" s="19"/>
      <c r="Q295" s="19"/>
      <c r="R295" s="19"/>
      <c r="S295" s="19"/>
      <c r="T295" s="41" t="b">
        <f>IF(N295=CURSOS!$D$3,"DIPLOMADO EN ATENCION PRE-HOSPITALARIA",IF(N295=CURSOS!$D$4,"ACOMPAÑAMIENTO Y MANEJO DEL DUELO",IF(N295=CURSOS!$D$5,"ATENCION A VICTIMAS DE ATAQUE CON AGENTES QUIMICOS ",IF(N295=CURSOS!$D$6,"PRIMEROS AUXILIOS ",IF(N295=CURSOS!$D$7,"DIPLOMADO DE UNIDAD DE CUIDADOS INTENSIVOS (UCI)",IF(N295=CURSOS!$D$8,"MODELO DE ATENCION PARA EVENTOS EMERGENTES EN SALUD MENTAL (CODIGO VERDE)",IF(N295=CURSOS!$D$9,"HUMANIZACION EN SALUD, BUENAS PRACTICAS EN PACIENTE ",IF(N295=CURSOS!$D$10,"CLINICA DE HERIDAS ",IF(N295=CURSOS!$D$11,"TOMA DE CITOLOGIA A CERVICO VAGINAL ",IF(N295=CURSOS!$D$12,"SOPORTE CARDIOVASCULAR AVANZADO ",IF(N295=CURSOS!$D$13,"CAMILLERO ",IF(N295=CURSOS!$D$14,"TOMA MUESTRAS Y LABORATORIO ",IF(N295=CURSOS!$D$15,"SOPORTE VITAL BASICO (BLS)",IF(N295=CURSOS!$D$16,"ATENCION A VICTIMAS DE VIOLENCIA SEXUAL ",IF(N295=CURSOS!$D$17,"PROGRAMADO AMPLIADO DE INMUNIZACION (PAI - COVID 19)",IF(N295=CURSOS!$D$18,"ATENCION INTEGRAL EN ENFERMEDADES PREVALENTES EN PRIMERA INFANCIA (AIEPI)",IF(N295=CURSOS!$D$19,"ADMINISTRACION DE MEDICAMENTOS, IYECTOLOGIA  Y CANALIZACION ",IF(N295=CURSOS!$D$20,"OPERADOR DE VEHICULOS DE EMERGENCIA (OVE)",IF(N295=CURSOS!$D$21,"INSTITUCIONES AMIGAS DE LA MUJER Y LA INFANCIA (IAMI)",IF(N295=CURSOS!$D$22,"CUIDADO DEL DONANTE DE ORGANOS",IF(N295=CURSOS!$D$23,"ATENCION A VICTIMAS POR VIOLENCIA DE GENERO",IF(N295=CURSOS!$D$24,"IGUALDAD DE GENERO EN LA SALUD",IF(N295=CURSOS!$D$25,"BRIGADA DE EMERGENCIA",IF(N295=CURSOS!$D$26,"MANEJO DEL DOLOR Y CUIDADOS PALIATIVOS",IF(N295=CURSOS!$D$27,"TOMA MUESTRAS Y LABORATORIO POCT",IF(N295=CURSOS!$D$28,"IMPLANTE SUBDERMICO Y DISPOSITIVO INTRAUTERINO",IF(N295=CURSOS!$D$29,"SALUD MENTAL",IF(N295=CURSOS!$D$30,"PRIMEROS AUXILIOS PSICOLOGICOS",IF(N295=CURSOS!$D$31,"ATENCION A VICTIMAS POR CONFLICTO ARMADO",IF(N295=CURSOS!$D$32,"MANIPULACION DE ALIMENTOS Y BPM"))))))))))))))))))))))))))))))</f>
        <v>0</v>
      </c>
      <c r="U295" s="41" t="str">
        <f t="shared" si="28"/>
        <v xml:space="preserve">   </v>
      </c>
      <c r="V295" s="41" t="str">
        <f t="shared" si="29"/>
        <v xml:space="preserve">   </v>
      </c>
      <c r="W295" s="41" t="str">
        <f t="shared" si="30"/>
        <v xml:space="preserve">   --</v>
      </c>
    </row>
    <row r="296" spans="1:23" s="21" customFormat="1" x14ac:dyDescent="0.2">
      <c r="A296" s="94">
        <v>295</v>
      </c>
      <c r="B296" s="62"/>
      <c r="C296" s="19"/>
      <c r="D296" s="19"/>
      <c r="E296" s="19"/>
      <c r="F296" s="19"/>
      <c r="G296" s="16"/>
      <c r="H296" s="31" t="s">
        <v>90</v>
      </c>
      <c r="I296" s="18"/>
      <c r="J296" s="22"/>
      <c r="K296" s="16"/>
      <c r="L296" s="16"/>
      <c r="M296" s="16"/>
      <c r="N296" s="17"/>
      <c r="O296" s="20"/>
      <c r="P296" s="19"/>
      <c r="Q296" s="19"/>
      <c r="R296" s="19"/>
      <c r="S296" s="19"/>
      <c r="T296" s="41" t="b">
        <f>IF(N296=CURSOS!$D$3,"DIPLOMADO EN ATENCION PRE-HOSPITALARIA",IF(N296=CURSOS!$D$4,"ACOMPAÑAMIENTO Y MANEJO DEL DUELO",IF(N296=CURSOS!$D$5,"ATENCION A VICTIMAS DE ATAQUE CON AGENTES QUIMICOS ",IF(N296=CURSOS!$D$6,"PRIMEROS AUXILIOS ",IF(N296=CURSOS!$D$7,"DIPLOMADO DE UNIDAD DE CUIDADOS INTENSIVOS (UCI)",IF(N296=CURSOS!$D$8,"MODELO DE ATENCION PARA EVENTOS EMERGENTES EN SALUD MENTAL (CODIGO VERDE)",IF(N296=CURSOS!$D$9,"HUMANIZACION EN SALUD, BUENAS PRACTICAS EN PACIENTE ",IF(N296=CURSOS!$D$10,"CLINICA DE HERIDAS ",IF(N296=CURSOS!$D$11,"TOMA DE CITOLOGIA A CERVICO VAGINAL ",IF(N296=CURSOS!$D$12,"SOPORTE CARDIOVASCULAR AVANZADO ",IF(N296=CURSOS!$D$13,"CAMILLERO ",IF(N296=CURSOS!$D$14,"TOMA MUESTRAS Y LABORATORIO ",IF(N296=CURSOS!$D$15,"SOPORTE VITAL BASICO (BLS)",IF(N296=CURSOS!$D$16,"ATENCION A VICTIMAS DE VIOLENCIA SEXUAL ",IF(N296=CURSOS!$D$17,"PROGRAMADO AMPLIADO DE INMUNIZACION (PAI - COVID 19)",IF(N296=CURSOS!$D$18,"ATENCION INTEGRAL EN ENFERMEDADES PREVALENTES EN PRIMERA INFANCIA (AIEPI)",IF(N296=CURSOS!$D$19,"ADMINISTRACION DE MEDICAMENTOS, IYECTOLOGIA  Y CANALIZACION ",IF(N296=CURSOS!$D$20,"OPERADOR DE VEHICULOS DE EMERGENCIA (OVE)",IF(N296=CURSOS!$D$21,"INSTITUCIONES AMIGAS DE LA MUJER Y LA INFANCIA (IAMI)",IF(N296=CURSOS!$D$22,"CUIDADO DEL DONANTE DE ORGANOS",IF(N296=CURSOS!$D$23,"ATENCION A VICTIMAS POR VIOLENCIA DE GENERO",IF(N296=CURSOS!$D$24,"IGUALDAD DE GENERO EN LA SALUD",IF(N296=CURSOS!$D$25,"BRIGADA DE EMERGENCIA",IF(N296=CURSOS!$D$26,"MANEJO DEL DOLOR Y CUIDADOS PALIATIVOS",IF(N296=CURSOS!$D$27,"TOMA MUESTRAS Y LABORATORIO POCT",IF(N296=CURSOS!$D$28,"IMPLANTE SUBDERMICO Y DISPOSITIVO INTRAUTERINO",IF(N296=CURSOS!$D$29,"SALUD MENTAL",IF(N296=CURSOS!$D$30,"PRIMEROS AUXILIOS PSICOLOGICOS",IF(N296=CURSOS!$D$31,"ATENCION A VICTIMAS POR CONFLICTO ARMADO",IF(N296=CURSOS!$D$32,"MANIPULACION DE ALIMENTOS Y BPM"))))))))))))))))))))))))))))))</f>
        <v>0</v>
      </c>
      <c r="U296" s="41" t="str">
        <f t="shared" si="28"/>
        <v xml:space="preserve">   </v>
      </c>
      <c r="V296" s="41" t="str">
        <f t="shared" si="29"/>
        <v xml:space="preserve">   </v>
      </c>
      <c r="W296" s="41" t="str">
        <f t="shared" si="30"/>
        <v xml:space="preserve">   --</v>
      </c>
    </row>
    <row r="297" spans="1:23" s="21" customFormat="1" x14ac:dyDescent="0.2">
      <c r="A297" s="94">
        <v>296</v>
      </c>
      <c r="B297" s="62"/>
      <c r="C297" s="19"/>
      <c r="D297" s="19"/>
      <c r="E297" s="19"/>
      <c r="F297" s="19"/>
      <c r="G297" s="16"/>
      <c r="H297" s="31" t="s">
        <v>90</v>
      </c>
      <c r="I297" s="18"/>
      <c r="J297" s="22"/>
      <c r="K297" s="16"/>
      <c r="L297" s="16"/>
      <c r="M297" s="16"/>
      <c r="N297" s="17"/>
      <c r="O297" s="20"/>
      <c r="P297" s="19"/>
      <c r="Q297" s="19"/>
      <c r="R297" s="19"/>
      <c r="S297" s="19"/>
      <c r="T297" s="41" t="b">
        <f>IF(N297=CURSOS!$D$3,"DIPLOMADO EN ATENCION PRE-HOSPITALARIA",IF(N297=CURSOS!$D$4,"ACOMPAÑAMIENTO Y MANEJO DEL DUELO",IF(N297=CURSOS!$D$5,"ATENCION A VICTIMAS DE ATAQUE CON AGENTES QUIMICOS ",IF(N297=CURSOS!$D$6,"PRIMEROS AUXILIOS ",IF(N297=CURSOS!$D$7,"DIPLOMADO DE UNIDAD DE CUIDADOS INTENSIVOS (UCI)",IF(N297=CURSOS!$D$8,"MODELO DE ATENCION PARA EVENTOS EMERGENTES EN SALUD MENTAL (CODIGO VERDE)",IF(N297=CURSOS!$D$9,"HUMANIZACION EN SALUD, BUENAS PRACTICAS EN PACIENTE ",IF(N297=CURSOS!$D$10,"CLINICA DE HERIDAS ",IF(N297=CURSOS!$D$11,"TOMA DE CITOLOGIA A CERVICO VAGINAL ",IF(N297=CURSOS!$D$12,"SOPORTE CARDIOVASCULAR AVANZADO ",IF(N297=CURSOS!$D$13,"CAMILLERO ",IF(N297=CURSOS!$D$14,"TOMA MUESTRAS Y LABORATORIO ",IF(N297=CURSOS!$D$15,"SOPORTE VITAL BASICO (BLS)",IF(N297=CURSOS!$D$16,"ATENCION A VICTIMAS DE VIOLENCIA SEXUAL ",IF(N297=CURSOS!$D$17,"PROGRAMADO AMPLIADO DE INMUNIZACION (PAI - COVID 19)",IF(N297=CURSOS!$D$18,"ATENCION INTEGRAL EN ENFERMEDADES PREVALENTES EN PRIMERA INFANCIA (AIEPI)",IF(N297=CURSOS!$D$19,"ADMINISTRACION DE MEDICAMENTOS, IYECTOLOGIA  Y CANALIZACION ",IF(N297=CURSOS!$D$20,"OPERADOR DE VEHICULOS DE EMERGENCIA (OVE)",IF(N297=CURSOS!$D$21,"INSTITUCIONES AMIGAS DE LA MUJER Y LA INFANCIA (IAMI)",IF(N297=CURSOS!$D$22,"CUIDADO DEL DONANTE DE ORGANOS",IF(N297=CURSOS!$D$23,"ATENCION A VICTIMAS POR VIOLENCIA DE GENERO",IF(N297=CURSOS!$D$24,"IGUALDAD DE GENERO EN LA SALUD",IF(N297=CURSOS!$D$25,"BRIGADA DE EMERGENCIA",IF(N297=CURSOS!$D$26,"MANEJO DEL DOLOR Y CUIDADOS PALIATIVOS",IF(N297=CURSOS!$D$27,"TOMA MUESTRAS Y LABORATORIO POCT",IF(N297=CURSOS!$D$28,"IMPLANTE SUBDERMICO Y DISPOSITIVO INTRAUTERINO",IF(N297=CURSOS!$D$29,"SALUD MENTAL",IF(N297=CURSOS!$D$30,"PRIMEROS AUXILIOS PSICOLOGICOS",IF(N297=CURSOS!$D$31,"ATENCION A VICTIMAS POR CONFLICTO ARMADO",IF(N297=CURSOS!$D$32,"MANIPULACION DE ALIMENTOS Y BPM"))))))))))))))))))))))))))))))</f>
        <v>0</v>
      </c>
      <c r="U297" s="41" t="str">
        <f t="shared" si="28"/>
        <v xml:space="preserve">   </v>
      </c>
      <c r="V297" s="41" t="str">
        <f t="shared" si="29"/>
        <v xml:space="preserve">   </v>
      </c>
      <c r="W297" s="41" t="str">
        <f t="shared" si="30"/>
        <v xml:space="preserve">   --</v>
      </c>
    </row>
    <row r="298" spans="1:23" s="21" customFormat="1" x14ac:dyDescent="0.2">
      <c r="A298" s="94">
        <v>297</v>
      </c>
      <c r="B298" s="62"/>
      <c r="C298" s="19"/>
      <c r="D298" s="19"/>
      <c r="E298" s="19"/>
      <c r="F298" s="19"/>
      <c r="G298" s="16"/>
      <c r="H298" s="31" t="s">
        <v>90</v>
      </c>
      <c r="I298" s="18"/>
      <c r="J298" s="22"/>
      <c r="K298" s="16"/>
      <c r="L298" s="16"/>
      <c r="M298" s="16"/>
      <c r="N298" s="17"/>
      <c r="O298" s="20"/>
      <c r="P298" s="19"/>
      <c r="Q298" s="19"/>
      <c r="R298" s="19"/>
      <c r="S298" s="19"/>
      <c r="T298" s="41" t="b">
        <f>IF(N298=CURSOS!$D$3,"DIPLOMADO EN ATENCION PRE-HOSPITALARIA",IF(N298=CURSOS!$D$4,"ACOMPAÑAMIENTO Y MANEJO DEL DUELO",IF(N298=CURSOS!$D$5,"ATENCION A VICTIMAS DE ATAQUE CON AGENTES QUIMICOS ",IF(N298=CURSOS!$D$6,"PRIMEROS AUXILIOS ",IF(N298=CURSOS!$D$7,"DIPLOMADO DE UNIDAD DE CUIDADOS INTENSIVOS (UCI)",IF(N298=CURSOS!$D$8,"MODELO DE ATENCION PARA EVENTOS EMERGENTES EN SALUD MENTAL (CODIGO VERDE)",IF(N298=CURSOS!$D$9,"HUMANIZACION EN SALUD, BUENAS PRACTICAS EN PACIENTE ",IF(N298=CURSOS!$D$10,"CLINICA DE HERIDAS ",IF(N298=CURSOS!$D$11,"TOMA DE CITOLOGIA A CERVICO VAGINAL ",IF(N298=CURSOS!$D$12,"SOPORTE CARDIOVASCULAR AVANZADO ",IF(N298=CURSOS!$D$13,"CAMILLERO ",IF(N298=CURSOS!$D$14,"TOMA MUESTRAS Y LABORATORIO ",IF(N298=CURSOS!$D$15,"SOPORTE VITAL BASICO (BLS)",IF(N298=CURSOS!$D$16,"ATENCION A VICTIMAS DE VIOLENCIA SEXUAL ",IF(N298=CURSOS!$D$17,"PROGRAMADO AMPLIADO DE INMUNIZACION (PAI - COVID 19)",IF(N298=CURSOS!$D$18,"ATENCION INTEGRAL EN ENFERMEDADES PREVALENTES EN PRIMERA INFANCIA (AIEPI)",IF(N298=CURSOS!$D$19,"ADMINISTRACION DE MEDICAMENTOS, IYECTOLOGIA  Y CANALIZACION ",IF(N298=CURSOS!$D$20,"OPERADOR DE VEHICULOS DE EMERGENCIA (OVE)",IF(N298=CURSOS!$D$21,"INSTITUCIONES AMIGAS DE LA MUJER Y LA INFANCIA (IAMI)",IF(N298=CURSOS!$D$22,"CUIDADO DEL DONANTE DE ORGANOS",IF(N298=CURSOS!$D$23,"ATENCION A VICTIMAS POR VIOLENCIA DE GENERO",IF(N298=CURSOS!$D$24,"IGUALDAD DE GENERO EN LA SALUD",IF(N298=CURSOS!$D$25,"BRIGADA DE EMERGENCIA",IF(N298=CURSOS!$D$26,"MANEJO DEL DOLOR Y CUIDADOS PALIATIVOS",IF(N298=CURSOS!$D$27,"TOMA MUESTRAS Y LABORATORIO POCT",IF(N298=CURSOS!$D$28,"IMPLANTE SUBDERMICO Y DISPOSITIVO INTRAUTERINO",IF(N298=CURSOS!$D$29,"SALUD MENTAL",IF(N298=CURSOS!$D$30,"PRIMEROS AUXILIOS PSICOLOGICOS",IF(N298=CURSOS!$D$31,"ATENCION A VICTIMAS POR CONFLICTO ARMADO",IF(N298=CURSOS!$D$32,"MANIPULACION DE ALIMENTOS Y BPM"))))))))))))))))))))))))))))))</f>
        <v>0</v>
      </c>
      <c r="U298" s="41" t="str">
        <f t="shared" si="28"/>
        <v xml:space="preserve">   </v>
      </c>
      <c r="V298" s="41" t="str">
        <f t="shared" si="29"/>
        <v xml:space="preserve">   </v>
      </c>
      <c r="W298" s="41" t="str">
        <f t="shared" si="30"/>
        <v xml:space="preserve">   --</v>
      </c>
    </row>
    <row r="299" spans="1:23" s="21" customFormat="1" x14ac:dyDescent="0.2">
      <c r="A299" s="94">
        <v>298</v>
      </c>
      <c r="B299" s="62"/>
      <c r="C299" s="19"/>
      <c r="D299" s="19"/>
      <c r="E299" s="19"/>
      <c r="F299" s="19"/>
      <c r="G299" s="16"/>
      <c r="H299" s="31" t="s">
        <v>90</v>
      </c>
      <c r="I299" s="18"/>
      <c r="J299" s="22"/>
      <c r="K299" s="16"/>
      <c r="L299" s="16"/>
      <c r="M299" s="16"/>
      <c r="N299" s="17"/>
      <c r="O299" s="20"/>
      <c r="P299" s="19"/>
      <c r="Q299" s="19"/>
      <c r="R299" s="19"/>
      <c r="S299" s="19"/>
      <c r="T299" s="41" t="b">
        <f>IF(N299=CURSOS!$D$3,"DIPLOMADO EN ATENCION PRE-HOSPITALARIA",IF(N299=CURSOS!$D$4,"ACOMPAÑAMIENTO Y MANEJO DEL DUELO",IF(N299=CURSOS!$D$5,"ATENCION A VICTIMAS DE ATAQUE CON AGENTES QUIMICOS ",IF(N299=CURSOS!$D$6,"PRIMEROS AUXILIOS ",IF(N299=CURSOS!$D$7,"DIPLOMADO DE UNIDAD DE CUIDADOS INTENSIVOS (UCI)",IF(N299=CURSOS!$D$8,"MODELO DE ATENCION PARA EVENTOS EMERGENTES EN SALUD MENTAL (CODIGO VERDE)",IF(N299=CURSOS!$D$9,"HUMANIZACION EN SALUD, BUENAS PRACTICAS EN PACIENTE ",IF(N299=CURSOS!$D$10,"CLINICA DE HERIDAS ",IF(N299=CURSOS!$D$11,"TOMA DE CITOLOGIA A CERVICO VAGINAL ",IF(N299=CURSOS!$D$12,"SOPORTE CARDIOVASCULAR AVANZADO ",IF(N299=CURSOS!$D$13,"CAMILLERO ",IF(N299=CURSOS!$D$14,"TOMA MUESTRAS Y LABORATORIO ",IF(N299=CURSOS!$D$15,"SOPORTE VITAL BASICO (BLS)",IF(N299=CURSOS!$D$16,"ATENCION A VICTIMAS DE VIOLENCIA SEXUAL ",IF(N299=CURSOS!$D$17,"PROGRAMADO AMPLIADO DE INMUNIZACION (PAI - COVID 19)",IF(N299=CURSOS!$D$18,"ATENCION INTEGRAL EN ENFERMEDADES PREVALENTES EN PRIMERA INFANCIA (AIEPI)",IF(N299=CURSOS!$D$19,"ADMINISTRACION DE MEDICAMENTOS, IYECTOLOGIA  Y CANALIZACION ",IF(N299=CURSOS!$D$20,"OPERADOR DE VEHICULOS DE EMERGENCIA (OVE)",IF(N299=CURSOS!$D$21,"INSTITUCIONES AMIGAS DE LA MUJER Y LA INFANCIA (IAMI)",IF(N299=CURSOS!$D$22,"CUIDADO DEL DONANTE DE ORGANOS",IF(N299=CURSOS!$D$23,"ATENCION A VICTIMAS POR VIOLENCIA DE GENERO",IF(N299=CURSOS!$D$24,"IGUALDAD DE GENERO EN LA SALUD",IF(N299=CURSOS!$D$25,"BRIGADA DE EMERGENCIA",IF(N299=CURSOS!$D$26,"MANEJO DEL DOLOR Y CUIDADOS PALIATIVOS",IF(N299=CURSOS!$D$27,"TOMA MUESTRAS Y LABORATORIO POCT",IF(N299=CURSOS!$D$28,"IMPLANTE SUBDERMICO Y DISPOSITIVO INTRAUTERINO",IF(N299=CURSOS!$D$29,"SALUD MENTAL",IF(N299=CURSOS!$D$30,"PRIMEROS AUXILIOS PSICOLOGICOS",IF(N299=CURSOS!$D$31,"ATENCION A VICTIMAS POR CONFLICTO ARMADO",IF(N299=CURSOS!$D$32,"MANIPULACION DE ALIMENTOS Y BPM"))))))))))))))))))))))))))))))</f>
        <v>0</v>
      </c>
      <c r="U299" s="41" t="str">
        <f t="shared" si="28"/>
        <v xml:space="preserve">   </v>
      </c>
      <c r="V299" s="41" t="str">
        <f t="shared" si="29"/>
        <v xml:space="preserve">   </v>
      </c>
      <c r="W299" s="41" t="str">
        <f t="shared" si="30"/>
        <v xml:space="preserve">   --</v>
      </c>
    </row>
    <row r="300" spans="1:23" s="21" customFormat="1" x14ac:dyDescent="0.2">
      <c r="A300" s="94">
        <v>299</v>
      </c>
      <c r="B300" s="62"/>
      <c r="C300" s="19"/>
      <c r="D300" s="19"/>
      <c r="E300" s="19"/>
      <c r="F300" s="19"/>
      <c r="G300" s="16"/>
      <c r="H300" s="31" t="s">
        <v>90</v>
      </c>
      <c r="I300" s="18"/>
      <c r="J300" s="22"/>
      <c r="K300" s="16"/>
      <c r="L300" s="16"/>
      <c r="M300" s="16"/>
      <c r="N300" s="17"/>
      <c r="O300" s="20"/>
      <c r="P300" s="19"/>
      <c r="Q300" s="19"/>
      <c r="R300" s="19"/>
      <c r="S300" s="19"/>
      <c r="T300" s="41" t="b">
        <f>IF(N300=CURSOS!$D$3,"DIPLOMADO EN ATENCION PRE-HOSPITALARIA",IF(N300=CURSOS!$D$4,"ACOMPAÑAMIENTO Y MANEJO DEL DUELO",IF(N300=CURSOS!$D$5,"ATENCION A VICTIMAS DE ATAQUE CON AGENTES QUIMICOS ",IF(N300=CURSOS!$D$6,"PRIMEROS AUXILIOS ",IF(N300=CURSOS!$D$7,"DIPLOMADO DE UNIDAD DE CUIDADOS INTENSIVOS (UCI)",IF(N300=CURSOS!$D$8,"MODELO DE ATENCION PARA EVENTOS EMERGENTES EN SALUD MENTAL (CODIGO VERDE)",IF(N300=CURSOS!$D$9,"HUMANIZACION EN SALUD, BUENAS PRACTICAS EN PACIENTE ",IF(N300=CURSOS!$D$10,"CLINICA DE HERIDAS ",IF(N300=CURSOS!$D$11,"TOMA DE CITOLOGIA A CERVICO VAGINAL ",IF(N300=CURSOS!$D$12,"SOPORTE CARDIOVASCULAR AVANZADO ",IF(N300=CURSOS!$D$13,"CAMILLERO ",IF(N300=CURSOS!$D$14,"TOMA MUESTRAS Y LABORATORIO ",IF(N300=CURSOS!$D$15,"SOPORTE VITAL BASICO (BLS)",IF(N300=CURSOS!$D$16,"ATENCION A VICTIMAS DE VIOLENCIA SEXUAL ",IF(N300=CURSOS!$D$17,"PROGRAMADO AMPLIADO DE INMUNIZACION (PAI - COVID 19)",IF(N300=CURSOS!$D$18,"ATENCION INTEGRAL EN ENFERMEDADES PREVALENTES EN PRIMERA INFANCIA (AIEPI)",IF(N300=CURSOS!$D$19,"ADMINISTRACION DE MEDICAMENTOS, IYECTOLOGIA  Y CANALIZACION ",IF(N300=CURSOS!$D$20,"OPERADOR DE VEHICULOS DE EMERGENCIA (OVE)",IF(N300=CURSOS!$D$21,"INSTITUCIONES AMIGAS DE LA MUJER Y LA INFANCIA (IAMI)",IF(N300=CURSOS!$D$22,"CUIDADO DEL DONANTE DE ORGANOS",IF(N300=CURSOS!$D$23,"ATENCION A VICTIMAS POR VIOLENCIA DE GENERO",IF(N300=CURSOS!$D$24,"IGUALDAD DE GENERO EN LA SALUD",IF(N300=CURSOS!$D$25,"BRIGADA DE EMERGENCIA",IF(N300=CURSOS!$D$26,"MANEJO DEL DOLOR Y CUIDADOS PALIATIVOS",IF(N300=CURSOS!$D$27,"TOMA MUESTRAS Y LABORATORIO POCT",IF(N300=CURSOS!$D$28,"IMPLANTE SUBDERMICO Y DISPOSITIVO INTRAUTERINO",IF(N300=CURSOS!$D$29,"SALUD MENTAL",IF(N300=CURSOS!$D$30,"PRIMEROS AUXILIOS PSICOLOGICOS",IF(N300=CURSOS!$D$31,"ATENCION A VICTIMAS POR CONFLICTO ARMADO",IF(N300=CURSOS!$D$32,"MANIPULACION DE ALIMENTOS Y BPM"))))))))))))))))))))))))))))))</f>
        <v>0</v>
      </c>
      <c r="U300" s="41" t="str">
        <f t="shared" si="28"/>
        <v xml:space="preserve">   </v>
      </c>
      <c r="V300" s="41" t="str">
        <f t="shared" si="29"/>
        <v xml:space="preserve">   </v>
      </c>
      <c r="W300" s="41" t="str">
        <f t="shared" si="30"/>
        <v xml:space="preserve">   --</v>
      </c>
    </row>
    <row r="301" spans="1:23" s="21" customFormat="1" x14ac:dyDescent="0.2">
      <c r="A301" s="94">
        <v>300</v>
      </c>
      <c r="B301" s="62"/>
      <c r="C301" s="19"/>
      <c r="D301" s="19"/>
      <c r="E301" s="19"/>
      <c r="F301" s="19"/>
      <c r="G301" s="16"/>
      <c r="H301" s="31" t="s">
        <v>90</v>
      </c>
      <c r="I301" s="18"/>
      <c r="J301" s="22"/>
      <c r="K301" s="16"/>
      <c r="L301" s="16"/>
      <c r="M301" s="16"/>
      <c r="N301" s="17"/>
      <c r="O301" s="20"/>
      <c r="P301" s="19"/>
      <c r="Q301" s="19"/>
      <c r="R301" s="19"/>
      <c r="S301" s="19"/>
      <c r="T301" s="41" t="b">
        <f>IF(N301=CURSOS!$D$3,"DIPLOMADO EN ATENCION PRE-HOSPITALARIA",IF(N301=CURSOS!$D$4,"ACOMPAÑAMIENTO Y MANEJO DEL DUELO",IF(N301=CURSOS!$D$5,"ATENCION A VICTIMAS DE ATAQUE CON AGENTES QUIMICOS ",IF(N301=CURSOS!$D$6,"PRIMEROS AUXILIOS ",IF(N301=CURSOS!$D$7,"DIPLOMADO DE UNIDAD DE CUIDADOS INTENSIVOS (UCI)",IF(N301=CURSOS!$D$8,"MODELO DE ATENCION PARA EVENTOS EMERGENTES EN SALUD MENTAL (CODIGO VERDE)",IF(N301=CURSOS!$D$9,"HUMANIZACION EN SALUD, BUENAS PRACTICAS EN PACIENTE ",IF(N301=CURSOS!$D$10,"CLINICA DE HERIDAS ",IF(N301=CURSOS!$D$11,"TOMA DE CITOLOGIA A CERVICO VAGINAL ",IF(N301=CURSOS!$D$12,"SOPORTE CARDIOVASCULAR AVANZADO ",IF(N301=CURSOS!$D$13,"CAMILLERO ",IF(N301=CURSOS!$D$14,"TOMA MUESTRAS Y LABORATORIO ",IF(N301=CURSOS!$D$15,"SOPORTE VITAL BASICO (BLS)",IF(N301=CURSOS!$D$16,"ATENCION A VICTIMAS DE VIOLENCIA SEXUAL ",IF(N301=CURSOS!$D$17,"PROGRAMADO AMPLIADO DE INMUNIZACION (PAI - COVID 19)",IF(N301=CURSOS!$D$18,"ATENCION INTEGRAL EN ENFERMEDADES PREVALENTES EN PRIMERA INFANCIA (AIEPI)",IF(N301=CURSOS!$D$19,"ADMINISTRACION DE MEDICAMENTOS, IYECTOLOGIA  Y CANALIZACION ",IF(N301=CURSOS!$D$20,"OPERADOR DE VEHICULOS DE EMERGENCIA (OVE)",IF(N301=CURSOS!$D$21,"INSTITUCIONES AMIGAS DE LA MUJER Y LA INFANCIA (IAMI)",IF(N301=CURSOS!$D$22,"CUIDADO DEL DONANTE DE ORGANOS",IF(N301=CURSOS!$D$23,"ATENCION A VICTIMAS POR VIOLENCIA DE GENERO",IF(N301=CURSOS!$D$24,"IGUALDAD DE GENERO EN LA SALUD",IF(N301=CURSOS!$D$25,"BRIGADA DE EMERGENCIA",IF(N301=CURSOS!$D$26,"MANEJO DEL DOLOR Y CUIDADOS PALIATIVOS",IF(N301=CURSOS!$D$27,"TOMA MUESTRAS Y LABORATORIO POCT",IF(N301=CURSOS!$D$28,"IMPLANTE SUBDERMICO Y DISPOSITIVO INTRAUTERINO",IF(N301=CURSOS!$D$29,"SALUD MENTAL",IF(N301=CURSOS!$D$30,"PRIMEROS AUXILIOS PSICOLOGICOS",IF(N301=CURSOS!$D$31,"ATENCION A VICTIMAS POR CONFLICTO ARMADO",IF(N301=CURSOS!$D$32,"MANIPULACION DE ALIMENTOS Y BPM"))))))))))))))))))))))))))))))</f>
        <v>0</v>
      </c>
      <c r="U301" s="41" t="str">
        <f t="shared" si="28"/>
        <v xml:space="preserve">   </v>
      </c>
      <c r="V301" s="41" t="str">
        <f t="shared" si="29"/>
        <v xml:space="preserve">   </v>
      </c>
      <c r="W301" s="41" t="str">
        <f t="shared" si="30"/>
        <v xml:space="preserve">   --</v>
      </c>
    </row>
    <row r="302" spans="1:23" s="21" customFormat="1" x14ac:dyDescent="0.2">
      <c r="A302" s="94">
        <v>301</v>
      </c>
      <c r="B302" s="62"/>
      <c r="C302" s="19"/>
      <c r="D302" s="19"/>
      <c r="E302" s="19"/>
      <c r="F302" s="19"/>
      <c r="G302" s="16"/>
      <c r="H302" s="31" t="s">
        <v>90</v>
      </c>
      <c r="I302" s="18"/>
      <c r="J302" s="22"/>
      <c r="K302" s="16"/>
      <c r="L302" s="16"/>
      <c r="M302" s="16"/>
      <c r="N302" s="17"/>
      <c r="O302" s="20"/>
      <c r="P302" s="19"/>
      <c r="Q302" s="19"/>
      <c r="R302" s="19"/>
      <c r="S302" s="19"/>
      <c r="T302" s="41" t="b">
        <f>IF(N302=CURSOS!$D$3,"DIPLOMADO EN ATENCION PRE-HOSPITALARIA",IF(N302=CURSOS!$D$4,"ACOMPAÑAMIENTO Y MANEJO DEL DUELO",IF(N302=CURSOS!$D$5,"ATENCION A VICTIMAS DE ATAQUE CON AGENTES QUIMICOS ",IF(N302=CURSOS!$D$6,"PRIMEROS AUXILIOS ",IF(N302=CURSOS!$D$7,"DIPLOMADO DE UNIDAD DE CUIDADOS INTENSIVOS (UCI)",IF(N302=CURSOS!$D$8,"MODELO DE ATENCION PARA EVENTOS EMERGENTES EN SALUD MENTAL (CODIGO VERDE)",IF(N302=CURSOS!$D$9,"HUMANIZACION EN SALUD, BUENAS PRACTICAS EN PACIENTE ",IF(N302=CURSOS!$D$10,"CLINICA DE HERIDAS ",IF(N302=CURSOS!$D$11,"TOMA DE CITOLOGIA A CERVICO VAGINAL ",IF(N302=CURSOS!$D$12,"SOPORTE CARDIOVASCULAR AVANZADO ",IF(N302=CURSOS!$D$13,"CAMILLERO ",IF(N302=CURSOS!$D$14,"TOMA MUESTRAS Y LABORATORIO ",IF(N302=CURSOS!$D$15,"SOPORTE VITAL BASICO (BLS)",IF(N302=CURSOS!$D$16,"ATENCION A VICTIMAS DE VIOLENCIA SEXUAL ",IF(N302=CURSOS!$D$17,"PROGRAMADO AMPLIADO DE INMUNIZACION (PAI - COVID 19)",IF(N302=CURSOS!$D$18,"ATENCION INTEGRAL EN ENFERMEDADES PREVALENTES EN PRIMERA INFANCIA (AIEPI)",IF(N302=CURSOS!$D$19,"ADMINISTRACION DE MEDICAMENTOS, IYECTOLOGIA  Y CANALIZACION ",IF(N302=CURSOS!$D$20,"OPERADOR DE VEHICULOS DE EMERGENCIA (OVE)",IF(N302=CURSOS!$D$21,"INSTITUCIONES AMIGAS DE LA MUJER Y LA INFANCIA (IAMI)",IF(N302=CURSOS!$D$22,"CUIDADO DEL DONANTE DE ORGANOS",IF(N302=CURSOS!$D$23,"ATENCION A VICTIMAS POR VIOLENCIA DE GENERO",IF(N302=CURSOS!$D$24,"IGUALDAD DE GENERO EN LA SALUD",IF(N302=CURSOS!$D$25,"BRIGADA DE EMERGENCIA",IF(N302=CURSOS!$D$26,"MANEJO DEL DOLOR Y CUIDADOS PALIATIVOS",IF(N302=CURSOS!$D$27,"TOMA MUESTRAS Y LABORATORIO POCT",IF(N302=CURSOS!$D$28,"IMPLANTE SUBDERMICO Y DISPOSITIVO INTRAUTERINO",IF(N302=CURSOS!$D$29,"SALUD MENTAL",IF(N302=CURSOS!$D$30,"PRIMEROS AUXILIOS PSICOLOGICOS",IF(N302=CURSOS!$D$31,"ATENCION A VICTIMAS POR CONFLICTO ARMADO",IF(N302=CURSOS!$D$32,"MANIPULACION DE ALIMENTOS Y BPM"))))))))))))))))))))))))))))))</f>
        <v>0</v>
      </c>
      <c r="U302" s="41" t="str">
        <f t="shared" si="28"/>
        <v xml:space="preserve">   </v>
      </c>
      <c r="V302" s="41" t="str">
        <f t="shared" si="29"/>
        <v xml:space="preserve">   </v>
      </c>
      <c r="W302" s="41" t="str">
        <f t="shared" si="30"/>
        <v xml:space="preserve">   --</v>
      </c>
    </row>
    <row r="303" spans="1:23" s="21" customFormat="1" x14ac:dyDescent="0.2">
      <c r="A303" s="94">
        <v>302</v>
      </c>
      <c r="B303" s="62"/>
      <c r="C303" s="19"/>
      <c r="D303" s="19"/>
      <c r="E303" s="19"/>
      <c r="F303" s="19"/>
      <c r="G303" s="16"/>
      <c r="H303" s="31" t="s">
        <v>90</v>
      </c>
      <c r="I303" s="18"/>
      <c r="J303" s="22"/>
      <c r="K303" s="16"/>
      <c r="L303" s="16"/>
      <c r="M303" s="16"/>
      <c r="N303" s="17"/>
      <c r="O303" s="20"/>
      <c r="P303" s="19"/>
      <c r="Q303" s="19"/>
      <c r="R303" s="19"/>
      <c r="S303" s="19"/>
      <c r="T303" s="41" t="b">
        <f>IF(N303=CURSOS!$D$3,"DIPLOMADO EN ATENCION PRE-HOSPITALARIA",IF(N303=CURSOS!$D$4,"ACOMPAÑAMIENTO Y MANEJO DEL DUELO",IF(N303=CURSOS!$D$5,"ATENCION A VICTIMAS DE ATAQUE CON AGENTES QUIMICOS ",IF(N303=CURSOS!$D$6,"PRIMEROS AUXILIOS ",IF(N303=CURSOS!$D$7,"DIPLOMADO DE UNIDAD DE CUIDADOS INTENSIVOS (UCI)",IF(N303=CURSOS!$D$8,"MODELO DE ATENCION PARA EVENTOS EMERGENTES EN SALUD MENTAL (CODIGO VERDE)",IF(N303=CURSOS!$D$9,"HUMANIZACION EN SALUD, BUENAS PRACTICAS EN PACIENTE ",IF(N303=CURSOS!$D$10,"CLINICA DE HERIDAS ",IF(N303=CURSOS!$D$11,"TOMA DE CITOLOGIA A CERVICO VAGINAL ",IF(N303=CURSOS!$D$12,"SOPORTE CARDIOVASCULAR AVANZADO ",IF(N303=CURSOS!$D$13,"CAMILLERO ",IF(N303=CURSOS!$D$14,"TOMA MUESTRAS Y LABORATORIO ",IF(N303=CURSOS!$D$15,"SOPORTE VITAL BASICO (BLS)",IF(N303=CURSOS!$D$16,"ATENCION A VICTIMAS DE VIOLENCIA SEXUAL ",IF(N303=CURSOS!$D$17,"PROGRAMADO AMPLIADO DE INMUNIZACION (PAI - COVID 19)",IF(N303=CURSOS!$D$18,"ATENCION INTEGRAL EN ENFERMEDADES PREVALENTES EN PRIMERA INFANCIA (AIEPI)",IF(N303=CURSOS!$D$19,"ADMINISTRACION DE MEDICAMENTOS, IYECTOLOGIA  Y CANALIZACION ",IF(N303=CURSOS!$D$20,"OPERADOR DE VEHICULOS DE EMERGENCIA (OVE)",IF(N303=CURSOS!$D$21,"INSTITUCIONES AMIGAS DE LA MUJER Y LA INFANCIA (IAMI)",IF(N303=CURSOS!$D$22,"CUIDADO DEL DONANTE DE ORGANOS",IF(N303=CURSOS!$D$23,"ATENCION A VICTIMAS POR VIOLENCIA DE GENERO",IF(N303=CURSOS!$D$24,"IGUALDAD DE GENERO EN LA SALUD",IF(N303=CURSOS!$D$25,"BRIGADA DE EMERGENCIA",IF(N303=CURSOS!$D$26,"MANEJO DEL DOLOR Y CUIDADOS PALIATIVOS",IF(N303=CURSOS!$D$27,"TOMA MUESTRAS Y LABORATORIO POCT",IF(N303=CURSOS!$D$28,"IMPLANTE SUBDERMICO Y DISPOSITIVO INTRAUTERINO",IF(N303=CURSOS!$D$29,"SALUD MENTAL",IF(N303=CURSOS!$D$30,"PRIMEROS AUXILIOS PSICOLOGICOS",IF(N303=CURSOS!$D$31,"ATENCION A VICTIMAS POR CONFLICTO ARMADO",IF(N303=CURSOS!$D$32,"MANIPULACION DE ALIMENTOS Y BPM"))))))))))))))))))))))))))))))</f>
        <v>0</v>
      </c>
      <c r="U303" s="41" t="str">
        <f t="shared" si="28"/>
        <v xml:space="preserve">   </v>
      </c>
      <c r="V303" s="41" t="str">
        <f t="shared" si="29"/>
        <v xml:space="preserve">   </v>
      </c>
      <c r="W303" s="41" t="str">
        <f t="shared" si="30"/>
        <v xml:space="preserve">   --</v>
      </c>
    </row>
    <row r="304" spans="1:23" s="21" customFormat="1" x14ac:dyDescent="0.2">
      <c r="A304" s="94">
        <v>303</v>
      </c>
      <c r="B304" s="62"/>
      <c r="C304" s="19"/>
      <c r="D304" s="19"/>
      <c r="E304" s="19"/>
      <c r="F304" s="19"/>
      <c r="G304" s="16"/>
      <c r="H304" s="31" t="s">
        <v>90</v>
      </c>
      <c r="I304" s="18"/>
      <c r="J304" s="22"/>
      <c r="K304" s="16"/>
      <c r="L304" s="16"/>
      <c r="M304" s="16"/>
      <c r="N304" s="17"/>
      <c r="O304" s="20"/>
      <c r="P304" s="19"/>
      <c r="Q304" s="19"/>
      <c r="R304" s="19"/>
      <c r="S304" s="19"/>
      <c r="T304" s="41" t="b">
        <f>IF(N304=CURSOS!$D$3,"DIPLOMADO EN ATENCION PRE-HOSPITALARIA",IF(N304=CURSOS!$D$4,"ACOMPAÑAMIENTO Y MANEJO DEL DUELO",IF(N304=CURSOS!$D$5,"ATENCION A VICTIMAS DE ATAQUE CON AGENTES QUIMICOS ",IF(N304=CURSOS!$D$6,"PRIMEROS AUXILIOS ",IF(N304=CURSOS!$D$7,"DIPLOMADO DE UNIDAD DE CUIDADOS INTENSIVOS (UCI)",IF(N304=CURSOS!$D$8,"MODELO DE ATENCION PARA EVENTOS EMERGENTES EN SALUD MENTAL (CODIGO VERDE)",IF(N304=CURSOS!$D$9,"HUMANIZACION EN SALUD, BUENAS PRACTICAS EN PACIENTE ",IF(N304=CURSOS!$D$10,"CLINICA DE HERIDAS ",IF(N304=CURSOS!$D$11,"TOMA DE CITOLOGIA A CERVICO VAGINAL ",IF(N304=CURSOS!$D$12,"SOPORTE CARDIOVASCULAR AVANZADO ",IF(N304=CURSOS!$D$13,"CAMILLERO ",IF(N304=CURSOS!$D$14,"TOMA MUESTRAS Y LABORATORIO ",IF(N304=CURSOS!$D$15,"SOPORTE VITAL BASICO (BLS)",IF(N304=CURSOS!$D$16,"ATENCION A VICTIMAS DE VIOLENCIA SEXUAL ",IF(N304=CURSOS!$D$17,"PROGRAMADO AMPLIADO DE INMUNIZACION (PAI - COVID 19)",IF(N304=CURSOS!$D$18,"ATENCION INTEGRAL EN ENFERMEDADES PREVALENTES EN PRIMERA INFANCIA (AIEPI)",IF(N304=CURSOS!$D$19,"ADMINISTRACION DE MEDICAMENTOS, IYECTOLOGIA  Y CANALIZACION ",IF(N304=CURSOS!$D$20,"OPERADOR DE VEHICULOS DE EMERGENCIA (OVE)",IF(N304=CURSOS!$D$21,"INSTITUCIONES AMIGAS DE LA MUJER Y LA INFANCIA (IAMI)",IF(N304=CURSOS!$D$22,"CUIDADO DEL DONANTE DE ORGANOS",IF(N304=CURSOS!$D$23,"ATENCION A VICTIMAS POR VIOLENCIA DE GENERO",IF(N304=CURSOS!$D$24,"IGUALDAD DE GENERO EN LA SALUD",IF(N304=CURSOS!$D$25,"BRIGADA DE EMERGENCIA",IF(N304=CURSOS!$D$26,"MANEJO DEL DOLOR Y CUIDADOS PALIATIVOS",IF(N304=CURSOS!$D$27,"TOMA MUESTRAS Y LABORATORIO POCT",IF(N304=CURSOS!$D$28,"IMPLANTE SUBDERMICO Y DISPOSITIVO INTRAUTERINO",IF(N304=CURSOS!$D$29,"SALUD MENTAL",IF(N304=CURSOS!$D$30,"PRIMEROS AUXILIOS PSICOLOGICOS",IF(N304=CURSOS!$D$31,"ATENCION A VICTIMAS POR CONFLICTO ARMADO",IF(N304=CURSOS!$D$32,"MANIPULACION DE ALIMENTOS Y BPM"))))))))))))))))))))))))))))))</f>
        <v>0</v>
      </c>
      <c r="U304" s="41" t="str">
        <f t="shared" si="28"/>
        <v xml:space="preserve">   </v>
      </c>
      <c r="V304" s="41" t="str">
        <f t="shared" si="29"/>
        <v xml:space="preserve">   </v>
      </c>
      <c r="W304" s="41" t="str">
        <f t="shared" si="30"/>
        <v xml:space="preserve">   --</v>
      </c>
    </row>
    <row r="305" spans="1:23" s="21" customFormat="1" x14ac:dyDescent="0.2">
      <c r="A305" s="94">
        <v>304</v>
      </c>
      <c r="B305" s="62"/>
      <c r="C305" s="19"/>
      <c r="D305" s="19"/>
      <c r="E305" s="19"/>
      <c r="F305" s="19"/>
      <c r="G305" s="16"/>
      <c r="H305" s="31" t="s">
        <v>90</v>
      </c>
      <c r="I305" s="18"/>
      <c r="J305" s="22"/>
      <c r="K305" s="16"/>
      <c r="L305" s="16"/>
      <c r="M305" s="16"/>
      <c r="N305" s="17"/>
      <c r="O305" s="20"/>
      <c r="P305" s="19"/>
      <c r="Q305" s="19"/>
      <c r="R305" s="19"/>
      <c r="S305" s="19"/>
      <c r="T305" s="41" t="b">
        <f>IF(N305=CURSOS!$D$3,"DIPLOMADO EN ATENCION PRE-HOSPITALARIA",IF(N305=CURSOS!$D$4,"ACOMPAÑAMIENTO Y MANEJO DEL DUELO",IF(N305=CURSOS!$D$5,"ATENCION A VICTIMAS DE ATAQUE CON AGENTES QUIMICOS ",IF(N305=CURSOS!$D$6,"PRIMEROS AUXILIOS ",IF(N305=CURSOS!$D$7,"DIPLOMADO DE UNIDAD DE CUIDADOS INTENSIVOS (UCI)",IF(N305=CURSOS!$D$8,"MODELO DE ATENCION PARA EVENTOS EMERGENTES EN SALUD MENTAL (CODIGO VERDE)",IF(N305=CURSOS!$D$9,"HUMANIZACION EN SALUD, BUENAS PRACTICAS EN PACIENTE ",IF(N305=CURSOS!$D$10,"CLINICA DE HERIDAS ",IF(N305=CURSOS!$D$11,"TOMA DE CITOLOGIA A CERVICO VAGINAL ",IF(N305=CURSOS!$D$12,"SOPORTE CARDIOVASCULAR AVANZADO ",IF(N305=CURSOS!$D$13,"CAMILLERO ",IF(N305=CURSOS!$D$14,"TOMA MUESTRAS Y LABORATORIO ",IF(N305=CURSOS!$D$15,"SOPORTE VITAL BASICO (BLS)",IF(N305=CURSOS!$D$16,"ATENCION A VICTIMAS DE VIOLENCIA SEXUAL ",IF(N305=CURSOS!$D$17,"PROGRAMADO AMPLIADO DE INMUNIZACION (PAI - COVID 19)",IF(N305=CURSOS!$D$18,"ATENCION INTEGRAL EN ENFERMEDADES PREVALENTES EN PRIMERA INFANCIA (AIEPI)",IF(N305=CURSOS!$D$19,"ADMINISTRACION DE MEDICAMENTOS, IYECTOLOGIA  Y CANALIZACION ",IF(N305=CURSOS!$D$20,"OPERADOR DE VEHICULOS DE EMERGENCIA (OVE)",IF(N305=CURSOS!$D$21,"INSTITUCIONES AMIGAS DE LA MUJER Y LA INFANCIA (IAMI)",IF(N305=CURSOS!$D$22,"CUIDADO DEL DONANTE DE ORGANOS",IF(N305=CURSOS!$D$23,"ATENCION A VICTIMAS POR VIOLENCIA DE GENERO",IF(N305=CURSOS!$D$24,"IGUALDAD DE GENERO EN LA SALUD",IF(N305=CURSOS!$D$25,"BRIGADA DE EMERGENCIA",IF(N305=CURSOS!$D$26,"MANEJO DEL DOLOR Y CUIDADOS PALIATIVOS",IF(N305=CURSOS!$D$27,"TOMA MUESTRAS Y LABORATORIO POCT",IF(N305=CURSOS!$D$28,"IMPLANTE SUBDERMICO Y DISPOSITIVO INTRAUTERINO",IF(N305=CURSOS!$D$29,"SALUD MENTAL",IF(N305=CURSOS!$D$30,"PRIMEROS AUXILIOS PSICOLOGICOS",IF(N305=CURSOS!$D$31,"ATENCION A VICTIMAS POR CONFLICTO ARMADO",IF(N305=CURSOS!$D$32,"MANIPULACION DE ALIMENTOS Y BPM"))))))))))))))))))))))))))))))</f>
        <v>0</v>
      </c>
      <c r="U305" s="41" t="str">
        <f t="shared" si="28"/>
        <v xml:space="preserve">   </v>
      </c>
      <c r="V305" s="41" t="str">
        <f t="shared" si="29"/>
        <v xml:space="preserve">   </v>
      </c>
      <c r="W305" s="41" t="str">
        <f t="shared" si="30"/>
        <v xml:space="preserve">   --</v>
      </c>
    </row>
    <row r="306" spans="1:23" s="21" customFormat="1" x14ac:dyDescent="0.2">
      <c r="A306" s="94">
        <v>305</v>
      </c>
      <c r="B306" s="62"/>
      <c r="C306" s="19"/>
      <c r="D306" s="19"/>
      <c r="E306" s="19"/>
      <c r="F306" s="19"/>
      <c r="G306" s="16"/>
      <c r="H306" s="31" t="s">
        <v>90</v>
      </c>
      <c r="I306" s="18"/>
      <c r="J306" s="22"/>
      <c r="K306" s="16"/>
      <c r="L306" s="16"/>
      <c r="M306" s="16"/>
      <c r="N306" s="17"/>
      <c r="O306" s="20"/>
      <c r="P306" s="19"/>
      <c r="Q306" s="19"/>
      <c r="R306" s="19"/>
      <c r="S306" s="19"/>
      <c r="T306" s="41" t="b">
        <f>IF(N306=CURSOS!$D$3,"DIPLOMADO EN ATENCION PRE-HOSPITALARIA",IF(N306=CURSOS!$D$4,"ACOMPAÑAMIENTO Y MANEJO DEL DUELO",IF(N306=CURSOS!$D$5,"ATENCION A VICTIMAS DE ATAQUE CON AGENTES QUIMICOS ",IF(N306=CURSOS!$D$6,"PRIMEROS AUXILIOS ",IF(N306=CURSOS!$D$7,"DIPLOMADO DE UNIDAD DE CUIDADOS INTENSIVOS (UCI)",IF(N306=CURSOS!$D$8,"MODELO DE ATENCION PARA EVENTOS EMERGENTES EN SALUD MENTAL (CODIGO VERDE)",IF(N306=CURSOS!$D$9,"HUMANIZACION EN SALUD, BUENAS PRACTICAS EN PACIENTE ",IF(N306=CURSOS!$D$10,"CLINICA DE HERIDAS ",IF(N306=CURSOS!$D$11,"TOMA DE CITOLOGIA A CERVICO VAGINAL ",IF(N306=CURSOS!$D$12,"SOPORTE CARDIOVASCULAR AVANZADO ",IF(N306=CURSOS!$D$13,"CAMILLERO ",IF(N306=CURSOS!$D$14,"TOMA MUESTRAS Y LABORATORIO ",IF(N306=CURSOS!$D$15,"SOPORTE VITAL BASICO (BLS)",IF(N306=CURSOS!$D$16,"ATENCION A VICTIMAS DE VIOLENCIA SEXUAL ",IF(N306=CURSOS!$D$17,"PROGRAMADO AMPLIADO DE INMUNIZACION (PAI - COVID 19)",IF(N306=CURSOS!$D$18,"ATENCION INTEGRAL EN ENFERMEDADES PREVALENTES EN PRIMERA INFANCIA (AIEPI)",IF(N306=CURSOS!$D$19,"ADMINISTRACION DE MEDICAMENTOS, IYECTOLOGIA  Y CANALIZACION ",IF(N306=CURSOS!$D$20,"OPERADOR DE VEHICULOS DE EMERGENCIA (OVE)",IF(N306=CURSOS!$D$21,"INSTITUCIONES AMIGAS DE LA MUJER Y LA INFANCIA (IAMI)",IF(N306=CURSOS!$D$22,"CUIDADO DEL DONANTE DE ORGANOS",IF(N306=CURSOS!$D$23,"ATENCION A VICTIMAS POR VIOLENCIA DE GENERO",IF(N306=CURSOS!$D$24,"IGUALDAD DE GENERO EN LA SALUD",IF(N306=CURSOS!$D$25,"BRIGADA DE EMERGENCIA",IF(N306=CURSOS!$D$26,"MANEJO DEL DOLOR Y CUIDADOS PALIATIVOS",IF(N306=CURSOS!$D$27,"TOMA MUESTRAS Y LABORATORIO POCT",IF(N306=CURSOS!$D$28,"IMPLANTE SUBDERMICO Y DISPOSITIVO INTRAUTERINO",IF(N306=CURSOS!$D$29,"SALUD MENTAL",IF(N306=CURSOS!$D$30,"PRIMEROS AUXILIOS PSICOLOGICOS",IF(N306=CURSOS!$D$31,"ATENCION A VICTIMAS POR CONFLICTO ARMADO",IF(N306=CURSOS!$D$32,"MANIPULACION DE ALIMENTOS Y BPM"))))))))))))))))))))))))))))))</f>
        <v>0</v>
      </c>
      <c r="U306" s="41" t="str">
        <f t="shared" si="28"/>
        <v xml:space="preserve">   </v>
      </c>
      <c r="V306" s="41" t="str">
        <f t="shared" si="29"/>
        <v xml:space="preserve">   </v>
      </c>
      <c r="W306" s="41" t="str">
        <f t="shared" si="30"/>
        <v xml:space="preserve">   --</v>
      </c>
    </row>
    <row r="307" spans="1:23" s="21" customFormat="1" x14ac:dyDescent="0.2">
      <c r="A307" s="94">
        <v>306</v>
      </c>
      <c r="B307" s="62"/>
      <c r="C307" s="19"/>
      <c r="D307" s="19"/>
      <c r="E307" s="19"/>
      <c r="F307" s="19"/>
      <c r="G307" s="16"/>
      <c r="H307" s="31" t="s">
        <v>90</v>
      </c>
      <c r="I307" s="18"/>
      <c r="J307" s="22"/>
      <c r="K307" s="16"/>
      <c r="L307" s="16"/>
      <c r="M307" s="16"/>
      <c r="N307" s="17"/>
      <c r="O307" s="20"/>
      <c r="P307" s="19"/>
      <c r="Q307" s="19"/>
      <c r="R307" s="19"/>
      <c r="S307" s="78"/>
      <c r="T307" s="41" t="b">
        <f>IF(N307=CURSOS!$D$3,"DIPLOMADO EN ATENCION PRE-HOSPITALARIA",IF(N307=CURSOS!$D$4,"ACOMPAÑAMIENTO Y MANEJO DEL DUELO",IF(N307=CURSOS!$D$5,"ATENCION A VICTIMAS DE ATAQUE CON AGENTES QUIMICOS ",IF(N307=CURSOS!$D$6,"PRIMEROS AUXILIOS ",IF(N307=CURSOS!$D$7,"DIPLOMADO DE UNIDAD DE CUIDADOS INTENSIVOS (UCI)",IF(N307=CURSOS!$D$8,"MODELO DE ATENCION PARA EVENTOS EMERGENTES EN SALUD MENTAL (CODIGO VERDE)",IF(N307=CURSOS!$D$9,"HUMANIZACION EN SALUD, BUENAS PRACTICAS EN PACIENTE ",IF(N307=CURSOS!$D$10,"CLINICA DE HERIDAS ",IF(N307=CURSOS!$D$11,"TOMA DE CITOLOGIA A CERVICO VAGINAL ",IF(N307=CURSOS!$D$12,"SOPORTE CARDIOVASCULAR AVANZADO ",IF(N307=CURSOS!$D$13,"CAMILLERO ",IF(N307=CURSOS!$D$14,"TOMA MUESTRAS Y LABORATORIO ",IF(N307=CURSOS!$D$15,"SOPORTE VITAL BASICO (BLS)",IF(N307=CURSOS!$D$16,"ATENCION A VICTIMAS DE VIOLENCIA SEXUAL ",IF(N307=CURSOS!$D$17,"PROGRAMADO AMPLIADO DE INMUNIZACION (PAI - COVID 19)",IF(N307=CURSOS!$D$18,"ATENCION INTEGRAL EN ENFERMEDADES PREVALENTES EN PRIMERA INFANCIA (AIEPI)",IF(N307=CURSOS!$D$19,"ADMINISTRACION DE MEDICAMENTOS, IYECTOLOGIA  Y CANALIZACION ",IF(N307=CURSOS!$D$20,"OPERADOR DE VEHICULOS DE EMERGENCIA (OVE)",IF(N307=CURSOS!$D$21,"INSTITUCIONES AMIGAS DE LA MUJER Y LA INFANCIA (IAMI)",IF(N307=CURSOS!$D$22,"CUIDADO DEL DONANTE DE ORGANOS",IF(N307=CURSOS!$D$23,"ATENCION A VICTIMAS POR VIOLENCIA DE GENERO",IF(N307=CURSOS!$D$24,"IGUALDAD DE GENERO EN LA SALUD",IF(N307=CURSOS!$D$25,"BRIGADA DE EMERGENCIA",IF(N307=CURSOS!$D$26,"MANEJO DEL DOLOR Y CUIDADOS PALIATIVOS",IF(N307=CURSOS!$D$27,"TOMA MUESTRAS Y LABORATORIO POCT",IF(N307=CURSOS!$D$28,"IMPLANTE SUBDERMICO Y DISPOSITIVO INTRAUTERINO",IF(N307=CURSOS!$D$29,"SALUD MENTAL",IF(N307=CURSOS!$D$30,"PRIMEROS AUXILIOS PSICOLOGICOS",IF(N307=CURSOS!$D$31,"ATENCION A VICTIMAS POR CONFLICTO ARMADO",IF(N307=CURSOS!$D$32,"MANIPULACION DE ALIMENTOS Y BPM"))))))))))))))))))))))))))))))</f>
        <v>0</v>
      </c>
      <c r="U307" s="41" t="str">
        <f t="shared" si="28"/>
        <v xml:space="preserve">   </v>
      </c>
      <c r="V307" s="41" t="str">
        <f t="shared" si="29"/>
        <v xml:space="preserve">   </v>
      </c>
      <c r="W307" s="41" t="str">
        <f t="shared" si="30"/>
        <v xml:space="preserve">   --</v>
      </c>
    </row>
    <row r="308" spans="1:23" s="21" customFormat="1" x14ac:dyDescent="0.2">
      <c r="A308" s="94">
        <v>307</v>
      </c>
      <c r="B308" s="62"/>
      <c r="C308" s="19"/>
      <c r="D308" s="19"/>
      <c r="E308" s="19"/>
      <c r="F308" s="19"/>
      <c r="G308" s="16"/>
      <c r="H308" s="31" t="s">
        <v>90</v>
      </c>
      <c r="I308" s="18"/>
      <c r="J308" s="22"/>
      <c r="K308" s="16"/>
      <c r="L308" s="16"/>
      <c r="M308" s="16"/>
      <c r="N308" s="17"/>
      <c r="O308" s="20"/>
      <c r="P308" s="19"/>
      <c r="Q308" s="19"/>
      <c r="R308" s="19"/>
      <c r="S308" s="78"/>
      <c r="T308" s="41" t="b">
        <f>IF(N308=CURSOS!$D$3,"DIPLOMADO EN ATENCION PRE-HOSPITALARIA",IF(N308=CURSOS!$D$4,"ACOMPAÑAMIENTO Y MANEJO DEL DUELO",IF(N308=CURSOS!$D$5,"ATENCION A VICTIMAS DE ATAQUE CON AGENTES QUIMICOS ",IF(N308=CURSOS!$D$6,"PRIMEROS AUXILIOS ",IF(N308=CURSOS!$D$7,"DIPLOMADO DE UNIDAD DE CUIDADOS INTENSIVOS (UCI)",IF(N308=CURSOS!$D$8,"MODELO DE ATENCION PARA EVENTOS EMERGENTES EN SALUD MENTAL (CODIGO VERDE)",IF(N308=CURSOS!$D$9,"HUMANIZACION EN SALUD, BUENAS PRACTICAS EN PACIENTE ",IF(N308=CURSOS!$D$10,"CLINICA DE HERIDAS ",IF(N308=CURSOS!$D$11,"TOMA DE CITOLOGIA A CERVICO VAGINAL ",IF(N308=CURSOS!$D$12,"SOPORTE CARDIOVASCULAR AVANZADO ",IF(N308=CURSOS!$D$13,"CAMILLERO ",IF(N308=CURSOS!$D$14,"TOMA MUESTRAS Y LABORATORIO ",IF(N308=CURSOS!$D$15,"SOPORTE VITAL BASICO (BLS)",IF(N308=CURSOS!$D$16,"ATENCION A VICTIMAS DE VIOLENCIA SEXUAL ",IF(N308=CURSOS!$D$17,"PROGRAMADO AMPLIADO DE INMUNIZACION (PAI - COVID 19)",IF(N308=CURSOS!$D$18,"ATENCION INTEGRAL EN ENFERMEDADES PREVALENTES EN PRIMERA INFANCIA (AIEPI)",IF(N308=CURSOS!$D$19,"ADMINISTRACION DE MEDICAMENTOS, IYECTOLOGIA  Y CANALIZACION ",IF(N308=CURSOS!$D$20,"OPERADOR DE VEHICULOS DE EMERGENCIA (OVE)",IF(N308=CURSOS!$D$21,"INSTITUCIONES AMIGAS DE LA MUJER Y LA INFANCIA (IAMI)",IF(N308=CURSOS!$D$22,"CUIDADO DEL DONANTE DE ORGANOS",IF(N308=CURSOS!$D$23,"ATENCION A VICTIMAS POR VIOLENCIA DE GENERO",IF(N308=CURSOS!$D$24,"IGUALDAD DE GENERO EN LA SALUD",IF(N308=CURSOS!$D$25,"BRIGADA DE EMERGENCIA",IF(N308=CURSOS!$D$26,"MANEJO DEL DOLOR Y CUIDADOS PALIATIVOS",IF(N308=CURSOS!$D$27,"TOMA MUESTRAS Y LABORATORIO POCT",IF(N308=CURSOS!$D$28,"IMPLANTE SUBDERMICO Y DISPOSITIVO INTRAUTERINO",IF(N308=CURSOS!$D$29,"SALUD MENTAL",IF(N308=CURSOS!$D$30,"PRIMEROS AUXILIOS PSICOLOGICOS",IF(N308=CURSOS!$D$31,"ATENCION A VICTIMAS POR CONFLICTO ARMADO",IF(N308=CURSOS!$D$32,"MANIPULACION DE ALIMENTOS Y BPM"))))))))))))))))))))))))))))))</f>
        <v>0</v>
      </c>
      <c r="U308" s="41" t="str">
        <f t="shared" si="28"/>
        <v xml:space="preserve">   </v>
      </c>
      <c r="V308" s="41" t="str">
        <f t="shared" si="29"/>
        <v xml:space="preserve">   </v>
      </c>
      <c r="W308" s="41" t="str">
        <f t="shared" si="30"/>
        <v xml:space="preserve">   --</v>
      </c>
    </row>
    <row r="309" spans="1:23" s="21" customFormat="1" x14ac:dyDescent="0.2">
      <c r="A309" s="94">
        <v>308</v>
      </c>
      <c r="B309" s="62"/>
      <c r="C309" s="19"/>
      <c r="D309" s="19"/>
      <c r="E309" s="19"/>
      <c r="F309" s="19"/>
      <c r="G309" s="16"/>
      <c r="H309" s="31" t="s">
        <v>90</v>
      </c>
      <c r="I309" s="18"/>
      <c r="J309" s="22"/>
      <c r="K309" s="16"/>
      <c r="L309" s="16"/>
      <c r="M309" s="16"/>
      <c r="N309" s="17"/>
      <c r="O309" s="20"/>
      <c r="P309" s="19"/>
      <c r="Q309" s="19"/>
      <c r="R309" s="19"/>
      <c r="S309" s="19"/>
      <c r="T309" s="41" t="b">
        <f>IF(N309=CURSOS!$D$3,"DIPLOMADO EN ATENCION PRE-HOSPITALARIA",IF(N309=CURSOS!$D$4,"ACOMPAÑAMIENTO Y MANEJO DEL DUELO",IF(N309=CURSOS!$D$5,"ATENCION A VICTIMAS DE ATAQUE CON AGENTES QUIMICOS ",IF(N309=CURSOS!$D$6,"PRIMEROS AUXILIOS ",IF(N309=CURSOS!$D$7,"DIPLOMADO DE UNIDAD DE CUIDADOS INTENSIVOS (UCI)",IF(N309=CURSOS!$D$8,"MODELO DE ATENCION PARA EVENTOS EMERGENTES EN SALUD MENTAL (CODIGO VERDE)",IF(N309=CURSOS!$D$9,"HUMANIZACION EN SALUD, BUENAS PRACTICAS EN PACIENTE ",IF(N309=CURSOS!$D$10,"CLINICA DE HERIDAS ",IF(N309=CURSOS!$D$11,"TOMA DE CITOLOGIA A CERVICO VAGINAL ",IF(N309=CURSOS!$D$12,"SOPORTE CARDIOVASCULAR AVANZADO ",IF(N309=CURSOS!$D$13,"CAMILLERO ",IF(N309=CURSOS!$D$14,"TOMA MUESTRAS Y LABORATORIO ",IF(N309=CURSOS!$D$15,"SOPORTE VITAL BASICO (BLS)",IF(N309=CURSOS!$D$16,"ATENCION A VICTIMAS DE VIOLENCIA SEXUAL ",IF(N309=CURSOS!$D$17,"PROGRAMADO AMPLIADO DE INMUNIZACION (PAI - COVID 19)",IF(N309=CURSOS!$D$18,"ATENCION INTEGRAL EN ENFERMEDADES PREVALENTES EN PRIMERA INFANCIA (AIEPI)",IF(N309=CURSOS!$D$19,"ADMINISTRACION DE MEDICAMENTOS, IYECTOLOGIA  Y CANALIZACION ",IF(N309=CURSOS!$D$20,"OPERADOR DE VEHICULOS DE EMERGENCIA (OVE)",IF(N309=CURSOS!$D$21,"INSTITUCIONES AMIGAS DE LA MUJER Y LA INFANCIA (IAMI)",IF(N309=CURSOS!$D$22,"CUIDADO DEL DONANTE DE ORGANOS",IF(N309=CURSOS!$D$23,"ATENCION A VICTIMAS POR VIOLENCIA DE GENERO",IF(N309=CURSOS!$D$24,"IGUALDAD DE GENERO EN LA SALUD",IF(N309=CURSOS!$D$25,"BRIGADA DE EMERGENCIA",IF(N309=CURSOS!$D$26,"MANEJO DEL DOLOR Y CUIDADOS PALIATIVOS",IF(N309=CURSOS!$D$27,"TOMA MUESTRAS Y LABORATORIO POCT",IF(N309=CURSOS!$D$28,"IMPLANTE SUBDERMICO Y DISPOSITIVO INTRAUTERINO",IF(N309=CURSOS!$D$29,"SALUD MENTAL",IF(N309=CURSOS!$D$30,"PRIMEROS AUXILIOS PSICOLOGICOS",IF(N309=CURSOS!$D$31,"ATENCION A VICTIMAS POR CONFLICTO ARMADO",IF(N309=CURSOS!$D$32,"MANIPULACION DE ALIMENTOS Y BPM"))))))))))))))))))))))))))))))</f>
        <v>0</v>
      </c>
      <c r="U309" s="41" t="str">
        <f t="shared" si="28"/>
        <v xml:space="preserve">   </v>
      </c>
      <c r="V309" s="41" t="str">
        <f t="shared" si="29"/>
        <v xml:space="preserve">   </v>
      </c>
      <c r="W309" s="41" t="str">
        <f t="shared" si="30"/>
        <v xml:space="preserve">   --</v>
      </c>
    </row>
    <row r="310" spans="1:23" s="21" customFormat="1" x14ac:dyDescent="0.2">
      <c r="A310" s="94">
        <v>309</v>
      </c>
      <c r="B310" s="62"/>
      <c r="C310" s="19"/>
      <c r="D310" s="19"/>
      <c r="E310" s="19"/>
      <c r="F310" s="19"/>
      <c r="G310" s="16"/>
      <c r="H310" s="31" t="s">
        <v>90</v>
      </c>
      <c r="I310" s="18"/>
      <c r="J310" s="22"/>
      <c r="K310" s="16"/>
      <c r="L310" s="16"/>
      <c r="M310" s="16"/>
      <c r="N310" s="17"/>
      <c r="O310" s="20"/>
      <c r="P310" s="19"/>
      <c r="Q310" s="19"/>
      <c r="R310" s="19"/>
      <c r="S310" s="19"/>
      <c r="T310" s="41" t="b">
        <f>IF(N310=CURSOS!$D$3,"DIPLOMADO EN ATENCION PRE-HOSPITALARIA",IF(N310=CURSOS!$D$4,"ACOMPAÑAMIENTO Y MANEJO DEL DUELO",IF(N310=CURSOS!$D$5,"ATENCION A VICTIMAS DE ATAQUE CON AGENTES QUIMICOS ",IF(N310=CURSOS!$D$6,"PRIMEROS AUXILIOS ",IF(N310=CURSOS!$D$7,"DIPLOMADO DE UNIDAD DE CUIDADOS INTENSIVOS (UCI)",IF(N310=CURSOS!$D$8,"MODELO DE ATENCION PARA EVENTOS EMERGENTES EN SALUD MENTAL (CODIGO VERDE)",IF(N310=CURSOS!$D$9,"HUMANIZACION EN SALUD, BUENAS PRACTICAS EN PACIENTE ",IF(N310=CURSOS!$D$10,"CLINICA DE HERIDAS ",IF(N310=CURSOS!$D$11,"TOMA DE CITOLOGIA A CERVICO VAGINAL ",IF(N310=CURSOS!$D$12,"SOPORTE CARDIOVASCULAR AVANZADO ",IF(N310=CURSOS!$D$13,"CAMILLERO ",IF(N310=CURSOS!$D$14,"TOMA MUESTRAS Y LABORATORIO ",IF(N310=CURSOS!$D$15,"SOPORTE VITAL BASICO (BLS)",IF(N310=CURSOS!$D$16,"ATENCION A VICTIMAS DE VIOLENCIA SEXUAL ",IF(N310=CURSOS!$D$17,"PROGRAMADO AMPLIADO DE INMUNIZACION (PAI - COVID 19)",IF(N310=CURSOS!$D$18,"ATENCION INTEGRAL EN ENFERMEDADES PREVALENTES EN PRIMERA INFANCIA (AIEPI)",IF(N310=CURSOS!$D$19,"ADMINISTRACION DE MEDICAMENTOS, IYECTOLOGIA  Y CANALIZACION ",IF(N310=CURSOS!$D$20,"OPERADOR DE VEHICULOS DE EMERGENCIA (OVE)",IF(N310=CURSOS!$D$21,"INSTITUCIONES AMIGAS DE LA MUJER Y LA INFANCIA (IAMI)",IF(N310=CURSOS!$D$22,"CUIDADO DEL DONANTE DE ORGANOS",IF(N310=CURSOS!$D$23,"ATENCION A VICTIMAS POR VIOLENCIA DE GENERO",IF(N310=CURSOS!$D$24,"IGUALDAD DE GENERO EN LA SALUD",IF(N310=CURSOS!$D$25,"BRIGADA DE EMERGENCIA",IF(N310=CURSOS!$D$26,"MANEJO DEL DOLOR Y CUIDADOS PALIATIVOS",IF(N310=CURSOS!$D$27,"TOMA MUESTRAS Y LABORATORIO POCT",IF(N310=CURSOS!$D$28,"IMPLANTE SUBDERMICO Y DISPOSITIVO INTRAUTERINO",IF(N310=CURSOS!$D$29,"SALUD MENTAL",IF(N310=CURSOS!$D$30,"PRIMEROS AUXILIOS PSICOLOGICOS",IF(N310=CURSOS!$D$31,"ATENCION A VICTIMAS POR CONFLICTO ARMADO",IF(N310=CURSOS!$D$32,"MANIPULACION DE ALIMENTOS Y BPM"))))))))))))))))))))))))))))))</f>
        <v>0</v>
      </c>
      <c r="U310" s="41" t="str">
        <f t="shared" si="28"/>
        <v xml:space="preserve">   </v>
      </c>
      <c r="V310" s="41" t="str">
        <f t="shared" si="29"/>
        <v xml:space="preserve">   </v>
      </c>
      <c r="W310" s="41" t="str">
        <f t="shared" si="30"/>
        <v xml:space="preserve">   --</v>
      </c>
    </row>
    <row r="311" spans="1:23" s="21" customFormat="1" x14ac:dyDescent="0.2">
      <c r="A311" s="94">
        <v>310</v>
      </c>
      <c r="B311" s="62"/>
      <c r="C311" s="19"/>
      <c r="D311" s="19"/>
      <c r="E311" s="19"/>
      <c r="F311" s="19"/>
      <c r="G311" s="16"/>
      <c r="H311" s="31" t="s">
        <v>90</v>
      </c>
      <c r="I311" s="18"/>
      <c r="J311" s="22"/>
      <c r="K311" s="16"/>
      <c r="L311" s="16"/>
      <c r="M311" s="16"/>
      <c r="N311" s="17"/>
      <c r="O311" s="20"/>
      <c r="P311" s="19"/>
      <c r="Q311" s="19"/>
      <c r="R311" s="19"/>
      <c r="S311" s="19"/>
      <c r="T311" s="41" t="b">
        <f>IF(N311=CURSOS!$D$3,"DIPLOMADO EN ATENCION PRE-HOSPITALARIA",IF(N311=CURSOS!$D$4,"ACOMPAÑAMIENTO Y MANEJO DEL DUELO",IF(N311=CURSOS!$D$5,"ATENCION A VICTIMAS DE ATAQUE CON AGENTES QUIMICOS ",IF(N311=CURSOS!$D$6,"PRIMEROS AUXILIOS ",IF(N311=CURSOS!$D$7,"DIPLOMADO DE UNIDAD DE CUIDADOS INTENSIVOS (UCI)",IF(N311=CURSOS!$D$8,"MODELO DE ATENCION PARA EVENTOS EMERGENTES EN SALUD MENTAL (CODIGO VERDE)",IF(N311=CURSOS!$D$9,"HUMANIZACION EN SALUD, BUENAS PRACTICAS EN PACIENTE ",IF(N311=CURSOS!$D$10,"CLINICA DE HERIDAS ",IF(N311=CURSOS!$D$11,"TOMA DE CITOLOGIA A CERVICO VAGINAL ",IF(N311=CURSOS!$D$12,"SOPORTE CARDIOVASCULAR AVANZADO ",IF(N311=CURSOS!$D$13,"CAMILLERO ",IF(N311=CURSOS!$D$14,"TOMA MUESTRAS Y LABORATORIO ",IF(N311=CURSOS!$D$15,"SOPORTE VITAL BASICO (BLS)",IF(N311=CURSOS!$D$16,"ATENCION A VICTIMAS DE VIOLENCIA SEXUAL ",IF(N311=CURSOS!$D$17,"PROGRAMADO AMPLIADO DE INMUNIZACION (PAI - COVID 19)",IF(N311=CURSOS!$D$18,"ATENCION INTEGRAL EN ENFERMEDADES PREVALENTES EN PRIMERA INFANCIA (AIEPI)",IF(N311=CURSOS!$D$19,"ADMINISTRACION DE MEDICAMENTOS, IYECTOLOGIA  Y CANALIZACION ",IF(N311=CURSOS!$D$20,"OPERADOR DE VEHICULOS DE EMERGENCIA (OVE)",IF(N311=CURSOS!$D$21,"INSTITUCIONES AMIGAS DE LA MUJER Y LA INFANCIA (IAMI)",IF(N311=CURSOS!$D$22,"CUIDADO DEL DONANTE DE ORGANOS",IF(N311=CURSOS!$D$23,"ATENCION A VICTIMAS POR VIOLENCIA DE GENERO",IF(N311=CURSOS!$D$24,"IGUALDAD DE GENERO EN LA SALUD",IF(N311=CURSOS!$D$25,"BRIGADA DE EMERGENCIA",IF(N311=CURSOS!$D$26,"MANEJO DEL DOLOR Y CUIDADOS PALIATIVOS",IF(N311=CURSOS!$D$27,"TOMA MUESTRAS Y LABORATORIO POCT",IF(N311=CURSOS!$D$28,"IMPLANTE SUBDERMICO Y DISPOSITIVO INTRAUTERINO",IF(N311=CURSOS!$D$29,"SALUD MENTAL",IF(N311=CURSOS!$D$30,"PRIMEROS AUXILIOS PSICOLOGICOS",IF(N311=CURSOS!$D$31,"ATENCION A VICTIMAS POR CONFLICTO ARMADO",IF(N311=CURSOS!$D$32,"MANIPULACION DE ALIMENTOS Y BPM"))))))))))))))))))))))))))))))</f>
        <v>0</v>
      </c>
      <c r="U311" s="41" t="str">
        <f t="shared" si="28"/>
        <v xml:space="preserve">   </v>
      </c>
      <c r="V311" s="41" t="str">
        <f t="shared" si="29"/>
        <v xml:space="preserve">   </v>
      </c>
      <c r="W311" s="41" t="str">
        <f t="shared" si="30"/>
        <v xml:space="preserve">   --</v>
      </c>
    </row>
    <row r="312" spans="1:23" s="21" customFormat="1" x14ac:dyDescent="0.2">
      <c r="A312" s="94">
        <v>311</v>
      </c>
      <c r="B312" s="62"/>
      <c r="C312" s="19"/>
      <c r="D312" s="19"/>
      <c r="E312" s="19"/>
      <c r="F312" s="19"/>
      <c r="G312" s="16"/>
      <c r="H312" s="31" t="s">
        <v>90</v>
      </c>
      <c r="I312" s="18"/>
      <c r="J312" s="22"/>
      <c r="K312" s="16"/>
      <c r="L312" s="16"/>
      <c r="M312" s="16"/>
      <c r="N312" s="17"/>
      <c r="O312" s="20"/>
      <c r="P312" s="19"/>
      <c r="Q312" s="19"/>
      <c r="R312" s="19"/>
      <c r="S312" s="19"/>
      <c r="T312" s="41" t="b">
        <f>IF(N312=CURSOS!$D$3,"DIPLOMADO EN ATENCION PRE-HOSPITALARIA",IF(N312=CURSOS!$D$4,"ACOMPAÑAMIENTO Y MANEJO DEL DUELO",IF(N312=CURSOS!$D$5,"ATENCION A VICTIMAS DE ATAQUE CON AGENTES QUIMICOS ",IF(N312=CURSOS!$D$6,"PRIMEROS AUXILIOS ",IF(N312=CURSOS!$D$7,"DIPLOMADO DE UNIDAD DE CUIDADOS INTENSIVOS (UCI)",IF(N312=CURSOS!$D$8,"MODELO DE ATENCION PARA EVENTOS EMERGENTES EN SALUD MENTAL (CODIGO VERDE)",IF(N312=CURSOS!$D$9,"HUMANIZACION EN SALUD, BUENAS PRACTICAS EN PACIENTE ",IF(N312=CURSOS!$D$10,"CLINICA DE HERIDAS ",IF(N312=CURSOS!$D$11,"TOMA DE CITOLOGIA A CERVICO VAGINAL ",IF(N312=CURSOS!$D$12,"SOPORTE CARDIOVASCULAR AVANZADO ",IF(N312=CURSOS!$D$13,"CAMILLERO ",IF(N312=CURSOS!$D$14,"TOMA MUESTRAS Y LABORATORIO ",IF(N312=CURSOS!$D$15,"SOPORTE VITAL BASICO (BLS)",IF(N312=CURSOS!$D$16,"ATENCION A VICTIMAS DE VIOLENCIA SEXUAL ",IF(N312=CURSOS!$D$17,"PROGRAMADO AMPLIADO DE INMUNIZACION (PAI - COVID 19)",IF(N312=CURSOS!$D$18,"ATENCION INTEGRAL EN ENFERMEDADES PREVALENTES EN PRIMERA INFANCIA (AIEPI)",IF(N312=CURSOS!$D$19,"ADMINISTRACION DE MEDICAMENTOS, IYECTOLOGIA  Y CANALIZACION ",IF(N312=CURSOS!$D$20,"OPERADOR DE VEHICULOS DE EMERGENCIA (OVE)",IF(N312=CURSOS!$D$21,"INSTITUCIONES AMIGAS DE LA MUJER Y LA INFANCIA (IAMI)",IF(N312=CURSOS!$D$22,"CUIDADO DEL DONANTE DE ORGANOS",IF(N312=CURSOS!$D$23,"ATENCION A VICTIMAS POR VIOLENCIA DE GENERO",IF(N312=CURSOS!$D$24,"IGUALDAD DE GENERO EN LA SALUD",IF(N312=CURSOS!$D$25,"BRIGADA DE EMERGENCIA",IF(N312=CURSOS!$D$26,"MANEJO DEL DOLOR Y CUIDADOS PALIATIVOS",IF(N312=CURSOS!$D$27,"TOMA MUESTRAS Y LABORATORIO POCT",IF(N312=CURSOS!$D$28,"IMPLANTE SUBDERMICO Y DISPOSITIVO INTRAUTERINO",IF(N312=CURSOS!$D$29,"SALUD MENTAL",IF(N312=CURSOS!$D$30,"PRIMEROS AUXILIOS PSICOLOGICOS",IF(N312=CURSOS!$D$31,"ATENCION A VICTIMAS POR CONFLICTO ARMADO",IF(N312=CURSOS!$D$32,"MANIPULACION DE ALIMENTOS Y BPM"))))))))))))))))))))))))))))))</f>
        <v>0</v>
      </c>
      <c r="U312" s="41" t="str">
        <f t="shared" si="28"/>
        <v xml:space="preserve">   </v>
      </c>
      <c r="V312" s="41" t="str">
        <f t="shared" si="29"/>
        <v xml:space="preserve">   </v>
      </c>
      <c r="W312" s="41" t="str">
        <f t="shared" si="30"/>
        <v xml:space="preserve">   --</v>
      </c>
    </row>
    <row r="313" spans="1:23" s="21" customFormat="1" x14ac:dyDescent="0.2">
      <c r="A313" s="94">
        <v>312</v>
      </c>
      <c r="B313" s="62"/>
      <c r="C313" s="19"/>
      <c r="D313" s="19"/>
      <c r="E313" s="19"/>
      <c r="F313" s="19"/>
      <c r="G313" s="16"/>
      <c r="H313" s="31" t="s">
        <v>90</v>
      </c>
      <c r="I313" s="18"/>
      <c r="J313" s="22"/>
      <c r="K313" s="16"/>
      <c r="L313" s="16"/>
      <c r="M313" s="16"/>
      <c r="N313" s="17"/>
      <c r="O313" s="20"/>
      <c r="P313" s="19"/>
      <c r="Q313" s="19"/>
      <c r="R313" s="19"/>
      <c r="S313" s="19"/>
      <c r="T313" s="41" t="b">
        <f>IF(N313=CURSOS!$D$3,"DIPLOMADO EN ATENCION PRE-HOSPITALARIA",IF(N313=CURSOS!$D$4,"ACOMPAÑAMIENTO Y MANEJO DEL DUELO",IF(N313=CURSOS!$D$5,"ATENCION A VICTIMAS DE ATAQUE CON AGENTES QUIMICOS ",IF(N313=CURSOS!$D$6,"PRIMEROS AUXILIOS ",IF(N313=CURSOS!$D$7,"DIPLOMADO DE UNIDAD DE CUIDADOS INTENSIVOS (UCI)",IF(N313=CURSOS!$D$8,"MODELO DE ATENCION PARA EVENTOS EMERGENTES EN SALUD MENTAL (CODIGO VERDE)",IF(N313=CURSOS!$D$9,"HUMANIZACION EN SALUD, BUENAS PRACTICAS EN PACIENTE ",IF(N313=CURSOS!$D$10,"CLINICA DE HERIDAS ",IF(N313=CURSOS!$D$11,"TOMA DE CITOLOGIA A CERVICO VAGINAL ",IF(N313=CURSOS!$D$12,"SOPORTE CARDIOVASCULAR AVANZADO ",IF(N313=CURSOS!$D$13,"CAMILLERO ",IF(N313=CURSOS!$D$14,"TOMA MUESTRAS Y LABORATORIO ",IF(N313=CURSOS!$D$15,"SOPORTE VITAL BASICO (BLS)",IF(N313=CURSOS!$D$16,"ATENCION A VICTIMAS DE VIOLENCIA SEXUAL ",IF(N313=CURSOS!$D$17,"PROGRAMADO AMPLIADO DE INMUNIZACION (PAI - COVID 19)",IF(N313=CURSOS!$D$18,"ATENCION INTEGRAL EN ENFERMEDADES PREVALENTES EN PRIMERA INFANCIA (AIEPI)",IF(N313=CURSOS!$D$19,"ADMINISTRACION DE MEDICAMENTOS, IYECTOLOGIA  Y CANALIZACION ",IF(N313=CURSOS!$D$20,"OPERADOR DE VEHICULOS DE EMERGENCIA (OVE)",IF(N313=CURSOS!$D$21,"INSTITUCIONES AMIGAS DE LA MUJER Y LA INFANCIA (IAMI)",IF(N313=CURSOS!$D$22,"CUIDADO DEL DONANTE DE ORGANOS",IF(N313=CURSOS!$D$23,"ATENCION A VICTIMAS POR VIOLENCIA DE GENERO",IF(N313=CURSOS!$D$24,"IGUALDAD DE GENERO EN LA SALUD",IF(N313=CURSOS!$D$25,"BRIGADA DE EMERGENCIA",IF(N313=CURSOS!$D$26,"MANEJO DEL DOLOR Y CUIDADOS PALIATIVOS",IF(N313=CURSOS!$D$27,"TOMA MUESTRAS Y LABORATORIO POCT",IF(N313=CURSOS!$D$28,"IMPLANTE SUBDERMICO Y DISPOSITIVO INTRAUTERINO",IF(N313=CURSOS!$D$29,"SALUD MENTAL",IF(N313=CURSOS!$D$30,"PRIMEROS AUXILIOS PSICOLOGICOS",IF(N313=CURSOS!$D$31,"ATENCION A VICTIMAS POR CONFLICTO ARMADO",IF(N313=CURSOS!$D$32,"MANIPULACION DE ALIMENTOS Y BPM"))))))))))))))))))))))))))))))</f>
        <v>0</v>
      </c>
      <c r="U313" s="41" t="str">
        <f t="shared" si="28"/>
        <v xml:space="preserve">   </v>
      </c>
      <c r="V313" s="41" t="str">
        <f t="shared" si="29"/>
        <v xml:space="preserve">   </v>
      </c>
      <c r="W313" s="41" t="str">
        <f t="shared" si="30"/>
        <v xml:space="preserve">   --</v>
      </c>
    </row>
    <row r="314" spans="1:23" s="21" customFormat="1" x14ac:dyDescent="0.2">
      <c r="A314" s="94">
        <v>313</v>
      </c>
      <c r="B314" s="62"/>
      <c r="C314" s="19"/>
      <c r="D314" s="19"/>
      <c r="E314" s="19"/>
      <c r="F314" s="19"/>
      <c r="G314" s="16"/>
      <c r="H314" s="31" t="s">
        <v>90</v>
      </c>
      <c r="I314" s="18"/>
      <c r="J314" s="22"/>
      <c r="K314" s="16"/>
      <c r="L314" s="16"/>
      <c r="M314" s="16"/>
      <c r="N314" s="17"/>
      <c r="O314" s="20"/>
      <c r="P314" s="19"/>
      <c r="Q314" s="19"/>
      <c r="R314" s="19"/>
      <c r="S314" s="19"/>
      <c r="T314" s="41" t="b">
        <f>IF(N314=CURSOS!$D$3,"DIPLOMADO EN ATENCION PRE-HOSPITALARIA",IF(N314=CURSOS!$D$4,"ACOMPAÑAMIENTO Y MANEJO DEL DUELO",IF(N314=CURSOS!$D$5,"ATENCION A VICTIMAS DE ATAQUE CON AGENTES QUIMICOS ",IF(N314=CURSOS!$D$6,"PRIMEROS AUXILIOS ",IF(N314=CURSOS!$D$7,"DIPLOMADO DE UNIDAD DE CUIDADOS INTENSIVOS (UCI)",IF(N314=CURSOS!$D$8,"MODELO DE ATENCION PARA EVENTOS EMERGENTES EN SALUD MENTAL (CODIGO VERDE)",IF(N314=CURSOS!$D$9,"HUMANIZACION EN SALUD, BUENAS PRACTICAS EN PACIENTE ",IF(N314=CURSOS!$D$10,"CLINICA DE HERIDAS ",IF(N314=CURSOS!$D$11,"TOMA DE CITOLOGIA A CERVICO VAGINAL ",IF(N314=CURSOS!$D$12,"SOPORTE CARDIOVASCULAR AVANZADO ",IF(N314=CURSOS!$D$13,"CAMILLERO ",IF(N314=CURSOS!$D$14,"TOMA MUESTRAS Y LABORATORIO ",IF(N314=CURSOS!$D$15,"SOPORTE VITAL BASICO (BLS)",IF(N314=CURSOS!$D$16,"ATENCION A VICTIMAS DE VIOLENCIA SEXUAL ",IF(N314=CURSOS!$D$17,"PROGRAMADO AMPLIADO DE INMUNIZACION (PAI - COVID 19)",IF(N314=CURSOS!$D$18,"ATENCION INTEGRAL EN ENFERMEDADES PREVALENTES EN PRIMERA INFANCIA (AIEPI)",IF(N314=CURSOS!$D$19,"ADMINISTRACION DE MEDICAMENTOS, IYECTOLOGIA  Y CANALIZACION ",IF(N314=CURSOS!$D$20,"OPERADOR DE VEHICULOS DE EMERGENCIA (OVE)",IF(N314=CURSOS!$D$21,"INSTITUCIONES AMIGAS DE LA MUJER Y LA INFANCIA (IAMI)",IF(N314=CURSOS!$D$22,"CUIDADO DEL DONANTE DE ORGANOS",IF(N314=CURSOS!$D$23,"ATENCION A VICTIMAS POR VIOLENCIA DE GENERO",IF(N314=CURSOS!$D$24,"IGUALDAD DE GENERO EN LA SALUD",IF(N314=CURSOS!$D$25,"BRIGADA DE EMERGENCIA",IF(N314=CURSOS!$D$26,"MANEJO DEL DOLOR Y CUIDADOS PALIATIVOS",IF(N314=CURSOS!$D$27,"TOMA MUESTRAS Y LABORATORIO POCT",IF(N314=CURSOS!$D$28,"IMPLANTE SUBDERMICO Y DISPOSITIVO INTRAUTERINO",IF(N314=CURSOS!$D$29,"SALUD MENTAL",IF(N314=CURSOS!$D$30,"PRIMEROS AUXILIOS PSICOLOGICOS",IF(N314=CURSOS!$D$31,"ATENCION A VICTIMAS POR CONFLICTO ARMADO",IF(N314=CURSOS!$D$32,"MANIPULACION DE ALIMENTOS Y BPM"))))))))))))))))))))))))))))))</f>
        <v>0</v>
      </c>
      <c r="U314" s="41" t="str">
        <f t="shared" si="28"/>
        <v xml:space="preserve">   </v>
      </c>
      <c r="V314" s="41" t="str">
        <f t="shared" si="29"/>
        <v xml:space="preserve">   </v>
      </c>
      <c r="W314" s="41" t="str">
        <f t="shared" si="30"/>
        <v xml:space="preserve">   --</v>
      </c>
    </row>
    <row r="315" spans="1:23" s="21" customFormat="1" x14ac:dyDescent="0.2">
      <c r="A315" s="94">
        <v>314</v>
      </c>
      <c r="B315" s="62"/>
      <c r="C315" s="19"/>
      <c r="D315" s="19"/>
      <c r="E315" s="19"/>
      <c r="F315" s="19"/>
      <c r="G315" s="16"/>
      <c r="H315" s="31" t="s">
        <v>90</v>
      </c>
      <c r="I315" s="18"/>
      <c r="J315" s="22"/>
      <c r="K315" s="16"/>
      <c r="L315" s="16"/>
      <c r="M315" s="16"/>
      <c r="N315" s="17"/>
      <c r="O315" s="20"/>
      <c r="P315" s="19"/>
      <c r="Q315" s="19"/>
      <c r="R315" s="19"/>
      <c r="S315" s="19"/>
      <c r="T315" s="41" t="b">
        <f>IF(N315=CURSOS!$D$3,"DIPLOMADO EN ATENCION PRE-HOSPITALARIA",IF(N315=CURSOS!$D$4,"ACOMPAÑAMIENTO Y MANEJO DEL DUELO",IF(N315=CURSOS!$D$5,"ATENCION A VICTIMAS DE ATAQUE CON AGENTES QUIMICOS ",IF(N315=CURSOS!$D$6,"PRIMEROS AUXILIOS ",IF(N315=CURSOS!$D$7,"DIPLOMADO DE UNIDAD DE CUIDADOS INTENSIVOS (UCI)",IF(N315=CURSOS!$D$8,"MODELO DE ATENCION PARA EVENTOS EMERGENTES EN SALUD MENTAL (CODIGO VERDE)",IF(N315=CURSOS!$D$9,"HUMANIZACION EN SALUD, BUENAS PRACTICAS EN PACIENTE ",IF(N315=CURSOS!$D$10,"CLINICA DE HERIDAS ",IF(N315=CURSOS!$D$11,"TOMA DE CITOLOGIA A CERVICO VAGINAL ",IF(N315=CURSOS!$D$12,"SOPORTE CARDIOVASCULAR AVANZADO ",IF(N315=CURSOS!$D$13,"CAMILLERO ",IF(N315=CURSOS!$D$14,"TOMA MUESTRAS Y LABORATORIO ",IF(N315=CURSOS!$D$15,"SOPORTE VITAL BASICO (BLS)",IF(N315=CURSOS!$D$16,"ATENCION A VICTIMAS DE VIOLENCIA SEXUAL ",IF(N315=CURSOS!$D$17,"PROGRAMADO AMPLIADO DE INMUNIZACION (PAI - COVID 19)",IF(N315=CURSOS!$D$18,"ATENCION INTEGRAL EN ENFERMEDADES PREVALENTES EN PRIMERA INFANCIA (AIEPI)",IF(N315=CURSOS!$D$19,"ADMINISTRACION DE MEDICAMENTOS, IYECTOLOGIA  Y CANALIZACION ",IF(N315=CURSOS!$D$20,"OPERADOR DE VEHICULOS DE EMERGENCIA (OVE)",IF(N315=CURSOS!$D$21,"INSTITUCIONES AMIGAS DE LA MUJER Y LA INFANCIA (IAMI)",IF(N315=CURSOS!$D$22,"CUIDADO DEL DONANTE DE ORGANOS",IF(N315=CURSOS!$D$23,"ATENCION A VICTIMAS POR VIOLENCIA DE GENERO",IF(N315=CURSOS!$D$24,"IGUALDAD DE GENERO EN LA SALUD",IF(N315=CURSOS!$D$25,"BRIGADA DE EMERGENCIA",IF(N315=CURSOS!$D$26,"MANEJO DEL DOLOR Y CUIDADOS PALIATIVOS",IF(N315=CURSOS!$D$27,"TOMA MUESTRAS Y LABORATORIO POCT",IF(N315=CURSOS!$D$28,"IMPLANTE SUBDERMICO Y DISPOSITIVO INTRAUTERINO",IF(N315=CURSOS!$D$29,"SALUD MENTAL",IF(N315=CURSOS!$D$30,"PRIMEROS AUXILIOS PSICOLOGICOS",IF(N315=CURSOS!$D$31,"ATENCION A VICTIMAS POR CONFLICTO ARMADO",IF(N315=CURSOS!$D$32,"MANIPULACION DE ALIMENTOS Y BPM"))))))))))))))))))))))))))))))</f>
        <v>0</v>
      </c>
      <c r="U315" s="41" t="str">
        <f t="shared" si="28"/>
        <v xml:space="preserve">   </v>
      </c>
      <c r="V315" s="41" t="str">
        <f t="shared" si="29"/>
        <v xml:space="preserve">   </v>
      </c>
      <c r="W315" s="41" t="str">
        <f t="shared" si="30"/>
        <v xml:space="preserve">   --</v>
      </c>
    </row>
    <row r="316" spans="1:23" s="21" customFormat="1" x14ac:dyDescent="0.2">
      <c r="A316" s="94">
        <v>315</v>
      </c>
      <c r="B316" s="62"/>
      <c r="C316" s="19"/>
      <c r="D316" s="19"/>
      <c r="E316" s="19"/>
      <c r="F316" s="19"/>
      <c r="G316" s="16"/>
      <c r="H316" s="31" t="s">
        <v>90</v>
      </c>
      <c r="I316" s="18"/>
      <c r="J316" s="22"/>
      <c r="K316" s="16"/>
      <c r="L316" s="16"/>
      <c r="M316" s="16"/>
      <c r="N316" s="17"/>
      <c r="O316" s="20"/>
      <c r="P316" s="19"/>
      <c r="Q316" s="19"/>
      <c r="R316" s="19"/>
      <c r="S316" s="19"/>
      <c r="T316" s="41" t="b">
        <f>IF(N316=CURSOS!$D$3,"DIPLOMADO EN ATENCION PRE-HOSPITALARIA",IF(N316=CURSOS!$D$4,"ACOMPAÑAMIENTO Y MANEJO DEL DUELO",IF(N316=CURSOS!$D$5,"ATENCION A VICTIMAS DE ATAQUE CON AGENTES QUIMICOS ",IF(N316=CURSOS!$D$6,"PRIMEROS AUXILIOS ",IF(N316=CURSOS!$D$7,"DIPLOMADO DE UNIDAD DE CUIDADOS INTENSIVOS (UCI)",IF(N316=CURSOS!$D$8,"MODELO DE ATENCION PARA EVENTOS EMERGENTES EN SALUD MENTAL (CODIGO VERDE)",IF(N316=CURSOS!$D$9,"HUMANIZACION EN SALUD, BUENAS PRACTICAS EN PACIENTE ",IF(N316=CURSOS!$D$10,"CLINICA DE HERIDAS ",IF(N316=CURSOS!$D$11,"TOMA DE CITOLOGIA A CERVICO VAGINAL ",IF(N316=CURSOS!$D$12,"SOPORTE CARDIOVASCULAR AVANZADO ",IF(N316=CURSOS!$D$13,"CAMILLERO ",IF(N316=CURSOS!$D$14,"TOMA MUESTRAS Y LABORATORIO ",IF(N316=CURSOS!$D$15,"SOPORTE VITAL BASICO (BLS)",IF(N316=CURSOS!$D$16,"ATENCION A VICTIMAS DE VIOLENCIA SEXUAL ",IF(N316=CURSOS!$D$17,"PROGRAMADO AMPLIADO DE INMUNIZACION (PAI - COVID 19)",IF(N316=CURSOS!$D$18,"ATENCION INTEGRAL EN ENFERMEDADES PREVALENTES EN PRIMERA INFANCIA (AIEPI)",IF(N316=CURSOS!$D$19,"ADMINISTRACION DE MEDICAMENTOS, IYECTOLOGIA  Y CANALIZACION ",IF(N316=CURSOS!$D$20,"OPERADOR DE VEHICULOS DE EMERGENCIA (OVE)",IF(N316=CURSOS!$D$21,"INSTITUCIONES AMIGAS DE LA MUJER Y LA INFANCIA (IAMI)",IF(N316=CURSOS!$D$22,"CUIDADO DEL DONANTE DE ORGANOS",IF(N316=CURSOS!$D$23,"ATENCION A VICTIMAS POR VIOLENCIA DE GENERO",IF(N316=CURSOS!$D$24,"IGUALDAD DE GENERO EN LA SALUD",IF(N316=CURSOS!$D$25,"BRIGADA DE EMERGENCIA",IF(N316=CURSOS!$D$26,"MANEJO DEL DOLOR Y CUIDADOS PALIATIVOS",IF(N316=CURSOS!$D$27,"TOMA MUESTRAS Y LABORATORIO POCT",IF(N316=CURSOS!$D$28,"IMPLANTE SUBDERMICO Y DISPOSITIVO INTRAUTERINO",IF(N316=CURSOS!$D$29,"SALUD MENTAL",IF(N316=CURSOS!$D$30,"PRIMEROS AUXILIOS PSICOLOGICOS",IF(N316=CURSOS!$D$31,"ATENCION A VICTIMAS POR CONFLICTO ARMADO",IF(N316=CURSOS!$D$32,"MANIPULACION DE ALIMENTOS Y BPM"))))))))))))))))))))))))))))))</f>
        <v>0</v>
      </c>
      <c r="U316" s="41" t="str">
        <f t="shared" si="28"/>
        <v xml:space="preserve">   </v>
      </c>
      <c r="V316" s="41" t="str">
        <f t="shared" si="29"/>
        <v xml:space="preserve">   </v>
      </c>
      <c r="W316" s="41" t="str">
        <f t="shared" ref="W316:W334" si="31">CONCATENATE(U316,"-",B322,"-",N316)</f>
        <v xml:space="preserve">   --</v>
      </c>
    </row>
    <row r="317" spans="1:23" s="21" customFormat="1" x14ac:dyDescent="0.2">
      <c r="A317" s="94">
        <v>316</v>
      </c>
      <c r="B317" s="62"/>
      <c r="C317" s="19"/>
      <c r="D317" s="19"/>
      <c r="E317" s="19"/>
      <c r="F317" s="19"/>
      <c r="G317" s="16"/>
      <c r="H317" s="31" t="s">
        <v>90</v>
      </c>
      <c r="I317" s="18"/>
      <c r="J317" s="22"/>
      <c r="K317" s="16"/>
      <c r="L317" s="16"/>
      <c r="M317" s="16"/>
      <c r="N317" s="17"/>
      <c r="O317" s="20"/>
      <c r="P317" s="19"/>
      <c r="Q317" s="19"/>
      <c r="R317" s="19"/>
      <c r="S317" s="78"/>
      <c r="T317" s="41" t="b">
        <f>IF(N317=CURSOS!$D$3,"DIPLOMADO EN ATENCION PRE-HOSPITALARIA",IF(N317=CURSOS!$D$4,"ACOMPAÑAMIENTO Y MANEJO DEL DUELO",IF(N317=CURSOS!$D$5,"ATENCION A VICTIMAS DE ATAQUE CON AGENTES QUIMICOS ",IF(N317=CURSOS!$D$6,"PRIMEROS AUXILIOS ",IF(N317=CURSOS!$D$7,"DIPLOMADO DE UNIDAD DE CUIDADOS INTENSIVOS (UCI)",IF(N317=CURSOS!$D$8,"MODELO DE ATENCION PARA EVENTOS EMERGENTES EN SALUD MENTAL (CODIGO VERDE)",IF(N317=CURSOS!$D$9,"HUMANIZACION EN SALUD, BUENAS PRACTICAS EN PACIENTE ",IF(N317=CURSOS!$D$10,"CLINICA DE HERIDAS ",IF(N317=CURSOS!$D$11,"TOMA DE CITOLOGIA A CERVICO VAGINAL ",IF(N317=CURSOS!$D$12,"SOPORTE CARDIOVASCULAR AVANZADO ",IF(N317=CURSOS!$D$13,"CAMILLERO ",IF(N317=CURSOS!$D$14,"TOMA MUESTRAS Y LABORATORIO ",IF(N317=CURSOS!$D$15,"SOPORTE VITAL BASICO (BLS)",IF(N317=CURSOS!$D$16,"ATENCION A VICTIMAS DE VIOLENCIA SEXUAL ",IF(N317=CURSOS!$D$17,"PROGRAMADO AMPLIADO DE INMUNIZACION (PAI - COVID 19)",IF(N317=CURSOS!$D$18,"ATENCION INTEGRAL EN ENFERMEDADES PREVALENTES EN PRIMERA INFANCIA (AIEPI)",IF(N317=CURSOS!$D$19,"ADMINISTRACION DE MEDICAMENTOS, IYECTOLOGIA  Y CANALIZACION ",IF(N317=CURSOS!$D$20,"OPERADOR DE VEHICULOS DE EMERGENCIA (OVE)",IF(N317=CURSOS!$D$21,"INSTITUCIONES AMIGAS DE LA MUJER Y LA INFANCIA (IAMI)",IF(N317=CURSOS!$D$22,"CUIDADO DEL DONANTE DE ORGANOS",IF(N317=CURSOS!$D$23,"ATENCION A VICTIMAS POR VIOLENCIA DE GENERO",IF(N317=CURSOS!$D$24,"IGUALDAD DE GENERO EN LA SALUD",IF(N317=CURSOS!$D$25,"BRIGADA DE EMERGENCIA",IF(N317=CURSOS!$D$26,"MANEJO DEL DOLOR Y CUIDADOS PALIATIVOS",IF(N317=CURSOS!$D$27,"TOMA MUESTRAS Y LABORATORIO POCT",IF(N317=CURSOS!$D$28,"IMPLANTE SUBDERMICO Y DISPOSITIVO INTRAUTERINO",IF(N317=CURSOS!$D$29,"SALUD MENTAL",IF(N317=CURSOS!$D$30,"PRIMEROS AUXILIOS PSICOLOGICOS",IF(N317=CURSOS!$D$31,"ATENCION A VICTIMAS POR CONFLICTO ARMADO",IF(N317=CURSOS!$D$32,"MANIPULACION DE ALIMENTOS Y BPM"))))))))))))))))))))))))))))))</f>
        <v>0</v>
      </c>
      <c r="U317" s="41" t="str">
        <f t="shared" si="28"/>
        <v xml:space="preserve">   </v>
      </c>
      <c r="V317" s="41" t="str">
        <f t="shared" si="29"/>
        <v xml:space="preserve">   </v>
      </c>
      <c r="W317" s="41" t="str">
        <f t="shared" si="31"/>
        <v xml:space="preserve">   --</v>
      </c>
    </row>
    <row r="318" spans="1:23" s="21" customFormat="1" x14ac:dyDescent="0.2">
      <c r="A318" s="94">
        <v>317</v>
      </c>
      <c r="B318" s="62"/>
      <c r="C318" s="19"/>
      <c r="D318" s="19"/>
      <c r="E318" s="19"/>
      <c r="F318" s="19"/>
      <c r="G318" s="16"/>
      <c r="H318" s="31" t="s">
        <v>90</v>
      </c>
      <c r="I318" s="18"/>
      <c r="J318" s="22"/>
      <c r="K318" s="16"/>
      <c r="L318" s="16"/>
      <c r="M318" s="16"/>
      <c r="N318" s="17"/>
      <c r="O318" s="20"/>
      <c r="P318" s="19"/>
      <c r="Q318" s="19"/>
      <c r="R318" s="19"/>
      <c r="S318" s="19"/>
      <c r="T318" s="41" t="b">
        <f>IF(N318=CURSOS!$D$3,"DIPLOMADO EN ATENCION PRE-HOSPITALARIA",IF(N318=CURSOS!$D$4,"ACOMPAÑAMIENTO Y MANEJO DEL DUELO",IF(N318=CURSOS!$D$5,"ATENCION A VICTIMAS DE ATAQUE CON AGENTES QUIMICOS ",IF(N318=CURSOS!$D$6,"PRIMEROS AUXILIOS ",IF(N318=CURSOS!$D$7,"DIPLOMADO DE UNIDAD DE CUIDADOS INTENSIVOS (UCI)",IF(N318=CURSOS!$D$8,"MODELO DE ATENCION PARA EVENTOS EMERGENTES EN SALUD MENTAL (CODIGO VERDE)",IF(N318=CURSOS!$D$9,"HUMANIZACION EN SALUD, BUENAS PRACTICAS EN PACIENTE ",IF(N318=CURSOS!$D$10,"CLINICA DE HERIDAS ",IF(N318=CURSOS!$D$11,"TOMA DE CITOLOGIA A CERVICO VAGINAL ",IF(N318=CURSOS!$D$12,"SOPORTE CARDIOVASCULAR AVANZADO ",IF(N318=CURSOS!$D$13,"CAMILLERO ",IF(N318=CURSOS!$D$14,"TOMA MUESTRAS Y LABORATORIO ",IF(N318=CURSOS!$D$15,"SOPORTE VITAL BASICO (BLS)",IF(N318=CURSOS!$D$16,"ATENCION A VICTIMAS DE VIOLENCIA SEXUAL ",IF(N318=CURSOS!$D$17,"PROGRAMADO AMPLIADO DE INMUNIZACION (PAI - COVID 19)",IF(N318=CURSOS!$D$18,"ATENCION INTEGRAL EN ENFERMEDADES PREVALENTES EN PRIMERA INFANCIA (AIEPI)",IF(N318=CURSOS!$D$19,"ADMINISTRACION DE MEDICAMENTOS, IYECTOLOGIA  Y CANALIZACION ",IF(N318=CURSOS!$D$20,"OPERADOR DE VEHICULOS DE EMERGENCIA (OVE)",IF(N318=CURSOS!$D$21,"INSTITUCIONES AMIGAS DE LA MUJER Y LA INFANCIA (IAMI)",IF(N318=CURSOS!$D$22,"CUIDADO DEL DONANTE DE ORGANOS",IF(N318=CURSOS!$D$23,"ATENCION A VICTIMAS POR VIOLENCIA DE GENERO",IF(N318=CURSOS!$D$24,"IGUALDAD DE GENERO EN LA SALUD",IF(N318=CURSOS!$D$25,"BRIGADA DE EMERGENCIA",IF(N318=CURSOS!$D$26,"MANEJO DEL DOLOR Y CUIDADOS PALIATIVOS",IF(N318=CURSOS!$D$27,"TOMA MUESTRAS Y LABORATORIO POCT",IF(N318=CURSOS!$D$28,"IMPLANTE SUBDERMICO Y DISPOSITIVO INTRAUTERINO",IF(N318=CURSOS!$D$29,"SALUD MENTAL",IF(N318=CURSOS!$D$30,"PRIMEROS AUXILIOS PSICOLOGICOS",IF(N318=CURSOS!$D$31,"ATENCION A VICTIMAS POR CONFLICTO ARMADO",IF(N318=CURSOS!$D$32,"MANIPULACION DE ALIMENTOS Y BPM"))))))))))))))))))))))))))))))</f>
        <v>0</v>
      </c>
      <c r="U318" s="41" t="str">
        <f t="shared" si="28"/>
        <v xml:space="preserve">   </v>
      </c>
      <c r="V318" s="41" t="str">
        <f t="shared" si="29"/>
        <v xml:space="preserve">   </v>
      </c>
      <c r="W318" s="41" t="str">
        <f t="shared" si="31"/>
        <v xml:space="preserve">   --</v>
      </c>
    </row>
    <row r="319" spans="1:23" s="21" customFormat="1" x14ac:dyDescent="0.2">
      <c r="A319" s="94">
        <v>318</v>
      </c>
      <c r="B319" s="62"/>
      <c r="C319" s="19"/>
      <c r="D319" s="19"/>
      <c r="E319" s="19"/>
      <c r="F319" s="19"/>
      <c r="G319" s="16"/>
      <c r="H319" s="31" t="s">
        <v>90</v>
      </c>
      <c r="I319" s="18"/>
      <c r="J319" s="22"/>
      <c r="K319" s="16"/>
      <c r="L319" s="16"/>
      <c r="M319" s="16"/>
      <c r="N319" s="17"/>
      <c r="O319" s="20"/>
      <c r="P319" s="19"/>
      <c r="Q319" s="19"/>
      <c r="R319" s="19"/>
      <c r="S319" s="19"/>
      <c r="T319" s="41" t="b">
        <f>IF(N319=CURSOS!$D$3,"DIPLOMADO EN ATENCION PRE-HOSPITALARIA",IF(N319=CURSOS!$D$4,"ACOMPAÑAMIENTO Y MANEJO DEL DUELO",IF(N319=CURSOS!$D$5,"ATENCION A VICTIMAS DE ATAQUE CON AGENTES QUIMICOS ",IF(N319=CURSOS!$D$6,"PRIMEROS AUXILIOS ",IF(N319=CURSOS!$D$7,"DIPLOMADO DE UNIDAD DE CUIDADOS INTENSIVOS (UCI)",IF(N319=CURSOS!$D$8,"MODELO DE ATENCION PARA EVENTOS EMERGENTES EN SALUD MENTAL (CODIGO VERDE)",IF(N319=CURSOS!$D$9,"HUMANIZACION EN SALUD, BUENAS PRACTICAS EN PACIENTE ",IF(N319=CURSOS!$D$10,"CLINICA DE HERIDAS ",IF(N319=CURSOS!$D$11,"TOMA DE CITOLOGIA A CERVICO VAGINAL ",IF(N319=CURSOS!$D$12,"SOPORTE CARDIOVASCULAR AVANZADO ",IF(N319=CURSOS!$D$13,"CAMILLERO ",IF(N319=CURSOS!$D$14,"TOMA MUESTRAS Y LABORATORIO ",IF(N319=CURSOS!$D$15,"SOPORTE VITAL BASICO (BLS)",IF(N319=CURSOS!$D$16,"ATENCION A VICTIMAS DE VIOLENCIA SEXUAL ",IF(N319=CURSOS!$D$17,"PROGRAMADO AMPLIADO DE INMUNIZACION (PAI - COVID 19)",IF(N319=CURSOS!$D$18,"ATENCION INTEGRAL EN ENFERMEDADES PREVALENTES EN PRIMERA INFANCIA (AIEPI)",IF(N319=CURSOS!$D$19,"ADMINISTRACION DE MEDICAMENTOS, IYECTOLOGIA  Y CANALIZACION ",IF(N319=CURSOS!$D$20,"OPERADOR DE VEHICULOS DE EMERGENCIA (OVE)",IF(N319=CURSOS!$D$21,"INSTITUCIONES AMIGAS DE LA MUJER Y LA INFANCIA (IAMI)",IF(N319=CURSOS!$D$22,"CUIDADO DEL DONANTE DE ORGANOS",IF(N319=CURSOS!$D$23,"ATENCION A VICTIMAS POR VIOLENCIA DE GENERO",IF(N319=CURSOS!$D$24,"IGUALDAD DE GENERO EN LA SALUD",IF(N319=CURSOS!$D$25,"BRIGADA DE EMERGENCIA",IF(N319=CURSOS!$D$26,"MANEJO DEL DOLOR Y CUIDADOS PALIATIVOS",IF(N319=CURSOS!$D$27,"TOMA MUESTRAS Y LABORATORIO POCT",IF(N319=CURSOS!$D$28,"IMPLANTE SUBDERMICO Y DISPOSITIVO INTRAUTERINO",IF(N319=CURSOS!$D$29,"SALUD MENTAL",IF(N319=CURSOS!$D$30,"PRIMEROS AUXILIOS PSICOLOGICOS",IF(N319=CURSOS!$D$31,"ATENCION A VICTIMAS POR CONFLICTO ARMADO",IF(N319=CURSOS!$D$32,"MANIPULACION DE ALIMENTOS Y BPM"))))))))))))))))))))))))))))))</f>
        <v>0</v>
      </c>
      <c r="U319" s="41" t="str">
        <f t="shared" si="28"/>
        <v xml:space="preserve">   </v>
      </c>
      <c r="V319" s="41" t="str">
        <f t="shared" si="29"/>
        <v xml:space="preserve">   </v>
      </c>
      <c r="W319" s="41" t="str">
        <f t="shared" si="31"/>
        <v xml:space="preserve">   --</v>
      </c>
    </row>
    <row r="320" spans="1:23" s="21" customFormat="1" x14ac:dyDescent="0.2">
      <c r="A320" s="94">
        <v>319</v>
      </c>
      <c r="B320" s="62"/>
      <c r="C320" s="19"/>
      <c r="D320" s="19"/>
      <c r="E320" s="19"/>
      <c r="F320" s="19"/>
      <c r="G320" s="16"/>
      <c r="H320" s="31" t="s">
        <v>90</v>
      </c>
      <c r="I320" s="18"/>
      <c r="J320" s="22"/>
      <c r="K320" s="16"/>
      <c r="L320" s="16"/>
      <c r="M320" s="16"/>
      <c r="N320" s="17"/>
      <c r="O320" s="20"/>
      <c r="P320" s="19"/>
      <c r="Q320" s="19"/>
      <c r="R320" s="19"/>
      <c r="S320" s="19"/>
      <c r="T320" s="41" t="b">
        <f>IF(N320=CURSOS!$D$3,"DIPLOMADO EN ATENCION PRE-HOSPITALARIA",IF(N320=CURSOS!$D$4,"ACOMPAÑAMIENTO Y MANEJO DEL DUELO",IF(N320=CURSOS!$D$5,"ATENCION A VICTIMAS DE ATAQUE CON AGENTES QUIMICOS ",IF(N320=CURSOS!$D$6,"PRIMEROS AUXILIOS ",IF(N320=CURSOS!$D$7,"DIPLOMADO DE UNIDAD DE CUIDADOS INTENSIVOS (UCI)",IF(N320=CURSOS!$D$8,"MODELO DE ATENCION PARA EVENTOS EMERGENTES EN SALUD MENTAL (CODIGO VERDE)",IF(N320=CURSOS!$D$9,"HUMANIZACION EN SALUD, BUENAS PRACTICAS EN PACIENTE ",IF(N320=CURSOS!$D$10,"CLINICA DE HERIDAS ",IF(N320=CURSOS!$D$11,"TOMA DE CITOLOGIA A CERVICO VAGINAL ",IF(N320=CURSOS!$D$12,"SOPORTE CARDIOVASCULAR AVANZADO ",IF(N320=CURSOS!$D$13,"CAMILLERO ",IF(N320=CURSOS!$D$14,"TOMA MUESTRAS Y LABORATORIO ",IF(N320=CURSOS!$D$15,"SOPORTE VITAL BASICO (BLS)",IF(N320=CURSOS!$D$16,"ATENCION A VICTIMAS DE VIOLENCIA SEXUAL ",IF(N320=CURSOS!$D$17,"PROGRAMADO AMPLIADO DE INMUNIZACION (PAI - COVID 19)",IF(N320=CURSOS!$D$18,"ATENCION INTEGRAL EN ENFERMEDADES PREVALENTES EN PRIMERA INFANCIA (AIEPI)",IF(N320=CURSOS!$D$19,"ADMINISTRACION DE MEDICAMENTOS, IYECTOLOGIA  Y CANALIZACION ",IF(N320=CURSOS!$D$20,"OPERADOR DE VEHICULOS DE EMERGENCIA (OVE)",IF(N320=CURSOS!$D$21,"INSTITUCIONES AMIGAS DE LA MUJER Y LA INFANCIA (IAMI)",IF(N320=CURSOS!$D$22,"CUIDADO DEL DONANTE DE ORGANOS",IF(N320=CURSOS!$D$23,"ATENCION A VICTIMAS POR VIOLENCIA DE GENERO",IF(N320=CURSOS!$D$24,"IGUALDAD DE GENERO EN LA SALUD",IF(N320=CURSOS!$D$25,"BRIGADA DE EMERGENCIA",IF(N320=CURSOS!$D$26,"MANEJO DEL DOLOR Y CUIDADOS PALIATIVOS",IF(N320=CURSOS!$D$27,"TOMA MUESTRAS Y LABORATORIO POCT",IF(N320=CURSOS!$D$28,"IMPLANTE SUBDERMICO Y DISPOSITIVO INTRAUTERINO",IF(N320=CURSOS!$D$29,"SALUD MENTAL",IF(N320=CURSOS!$D$30,"PRIMEROS AUXILIOS PSICOLOGICOS",IF(N320=CURSOS!$D$31,"ATENCION A VICTIMAS POR CONFLICTO ARMADO",IF(N320=CURSOS!$D$32,"MANIPULACION DE ALIMENTOS Y BPM"))))))))))))))))))))))))))))))</f>
        <v>0</v>
      </c>
      <c r="U320" s="41" t="str">
        <f t="shared" si="28"/>
        <v xml:space="preserve">   </v>
      </c>
      <c r="V320" s="41" t="str">
        <f t="shared" si="29"/>
        <v xml:space="preserve">   </v>
      </c>
      <c r="W320" s="41" t="str">
        <f t="shared" si="31"/>
        <v xml:space="preserve">   --</v>
      </c>
    </row>
    <row r="321" spans="1:23" s="21" customFormat="1" x14ac:dyDescent="0.2">
      <c r="A321" s="94">
        <v>320</v>
      </c>
      <c r="B321" s="62"/>
      <c r="C321" s="19"/>
      <c r="D321" s="19"/>
      <c r="E321" s="19"/>
      <c r="F321" s="19"/>
      <c r="G321" s="16"/>
      <c r="H321" s="31" t="s">
        <v>90</v>
      </c>
      <c r="I321" s="18"/>
      <c r="J321" s="22"/>
      <c r="K321" s="16"/>
      <c r="L321" s="16"/>
      <c r="M321" s="16"/>
      <c r="N321" s="17"/>
      <c r="O321" s="20"/>
      <c r="P321" s="19"/>
      <c r="Q321" s="19"/>
      <c r="R321" s="19"/>
      <c r="S321" s="19"/>
      <c r="T321" s="41" t="b">
        <f>IF(N321=CURSOS!$D$3,"DIPLOMADO EN ATENCION PRE-HOSPITALARIA",IF(N321=CURSOS!$D$4,"ACOMPAÑAMIENTO Y MANEJO DEL DUELO",IF(N321=CURSOS!$D$5,"ATENCION A VICTIMAS DE ATAQUE CON AGENTES QUIMICOS ",IF(N321=CURSOS!$D$6,"PRIMEROS AUXILIOS ",IF(N321=CURSOS!$D$7,"DIPLOMADO DE UNIDAD DE CUIDADOS INTENSIVOS (UCI)",IF(N321=CURSOS!$D$8,"MODELO DE ATENCION PARA EVENTOS EMERGENTES EN SALUD MENTAL (CODIGO VERDE)",IF(N321=CURSOS!$D$9,"HUMANIZACION EN SALUD, BUENAS PRACTICAS EN PACIENTE ",IF(N321=CURSOS!$D$10,"CLINICA DE HERIDAS ",IF(N321=CURSOS!$D$11,"TOMA DE CITOLOGIA A CERVICO VAGINAL ",IF(N321=CURSOS!$D$12,"SOPORTE CARDIOVASCULAR AVANZADO ",IF(N321=CURSOS!$D$13,"CAMILLERO ",IF(N321=CURSOS!$D$14,"TOMA MUESTRAS Y LABORATORIO ",IF(N321=CURSOS!$D$15,"SOPORTE VITAL BASICO (BLS)",IF(N321=CURSOS!$D$16,"ATENCION A VICTIMAS DE VIOLENCIA SEXUAL ",IF(N321=CURSOS!$D$17,"PROGRAMADO AMPLIADO DE INMUNIZACION (PAI - COVID 19)",IF(N321=CURSOS!$D$18,"ATENCION INTEGRAL EN ENFERMEDADES PREVALENTES EN PRIMERA INFANCIA (AIEPI)",IF(N321=CURSOS!$D$19,"ADMINISTRACION DE MEDICAMENTOS, IYECTOLOGIA  Y CANALIZACION ",IF(N321=CURSOS!$D$20,"OPERADOR DE VEHICULOS DE EMERGENCIA (OVE)",IF(N321=CURSOS!$D$21,"INSTITUCIONES AMIGAS DE LA MUJER Y LA INFANCIA (IAMI)",IF(N321=CURSOS!$D$22,"CUIDADO DEL DONANTE DE ORGANOS",IF(N321=CURSOS!$D$23,"ATENCION A VICTIMAS POR VIOLENCIA DE GENERO",IF(N321=CURSOS!$D$24,"IGUALDAD DE GENERO EN LA SALUD",IF(N321=CURSOS!$D$25,"BRIGADA DE EMERGENCIA",IF(N321=CURSOS!$D$26,"MANEJO DEL DOLOR Y CUIDADOS PALIATIVOS",IF(N321=CURSOS!$D$27,"TOMA MUESTRAS Y LABORATORIO POCT",IF(N321=CURSOS!$D$28,"IMPLANTE SUBDERMICO Y DISPOSITIVO INTRAUTERINO",IF(N321=CURSOS!$D$29,"SALUD MENTAL",IF(N321=CURSOS!$D$30,"PRIMEROS AUXILIOS PSICOLOGICOS",IF(N321=CURSOS!$D$31,"ATENCION A VICTIMAS POR CONFLICTO ARMADO",IF(N321=CURSOS!$D$32,"MANIPULACION DE ALIMENTOS Y BPM"))))))))))))))))))))))))))))))</f>
        <v>0</v>
      </c>
      <c r="U321" s="41" t="str">
        <f t="shared" si="28"/>
        <v xml:space="preserve">   </v>
      </c>
      <c r="V321" s="41" t="str">
        <f t="shared" si="29"/>
        <v xml:space="preserve">   </v>
      </c>
      <c r="W321" s="41" t="str">
        <f t="shared" si="31"/>
        <v xml:space="preserve">   --</v>
      </c>
    </row>
    <row r="322" spans="1:23" s="21" customFormat="1" x14ac:dyDescent="0.2">
      <c r="A322" s="94">
        <v>321</v>
      </c>
      <c r="B322" s="62"/>
      <c r="C322" s="19"/>
      <c r="D322" s="19"/>
      <c r="E322" s="19"/>
      <c r="F322" s="19"/>
      <c r="G322" s="16"/>
      <c r="H322" s="31" t="s">
        <v>90</v>
      </c>
      <c r="I322" s="18"/>
      <c r="J322" s="22"/>
      <c r="K322" s="16"/>
      <c r="L322" s="16"/>
      <c r="M322" s="16"/>
      <c r="N322" s="17"/>
      <c r="O322" s="20"/>
      <c r="P322" s="19"/>
      <c r="Q322" s="19"/>
      <c r="R322" s="19"/>
      <c r="S322" s="19"/>
      <c r="T322" s="41" t="b">
        <f>IF(N322=CURSOS!$D$3,"DIPLOMADO EN ATENCION PRE-HOSPITALARIA",IF(N322=CURSOS!$D$4,"ACOMPAÑAMIENTO Y MANEJO DEL DUELO",IF(N322=CURSOS!$D$5,"ATENCION A VICTIMAS DE ATAQUE CON AGENTES QUIMICOS ",IF(N322=CURSOS!$D$6,"PRIMEROS AUXILIOS ",IF(N322=CURSOS!$D$7,"DIPLOMADO DE UNIDAD DE CUIDADOS INTENSIVOS (UCI)",IF(N322=CURSOS!$D$8,"MODELO DE ATENCION PARA EVENTOS EMERGENTES EN SALUD MENTAL (CODIGO VERDE)",IF(N322=CURSOS!$D$9,"HUMANIZACION EN SALUD, BUENAS PRACTICAS EN PACIENTE ",IF(N322=CURSOS!$D$10,"CLINICA DE HERIDAS ",IF(N322=CURSOS!$D$11,"TOMA DE CITOLOGIA A CERVICO VAGINAL ",IF(N322=CURSOS!$D$12,"SOPORTE CARDIOVASCULAR AVANZADO ",IF(N322=CURSOS!$D$13,"CAMILLERO ",IF(N322=CURSOS!$D$14,"TOMA MUESTRAS Y LABORATORIO ",IF(N322=CURSOS!$D$15,"SOPORTE VITAL BASICO (BLS)",IF(N322=CURSOS!$D$16,"ATENCION A VICTIMAS DE VIOLENCIA SEXUAL ",IF(N322=CURSOS!$D$17,"PROGRAMADO AMPLIADO DE INMUNIZACION (PAI - COVID 19)",IF(N322=CURSOS!$D$18,"ATENCION INTEGRAL EN ENFERMEDADES PREVALENTES EN PRIMERA INFANCIA (AIEPI)",IF(N322=CURSOS!$D$19,"ADMINISTRACION DE MEDICAMENTOS, IYECTOLOGIA  Y CANALIZACION ",IF(N322=CURSOS!$D$20,"OPERADOR DE VEHICULOS DE EMERGENCIA (OVE)",IF(N322=CURSOS!$D$21,"INSTITUCIONES AMIGAS DE LA MUJER Y LA INFANCIA (IAMI)",IF(N322=CURSOS!$D$22,"CUIDADO DEL DONANTE DE ORGANOS",IF(N322=CURSOS!$D$23,"ATENCION A VICTIMAS POR VIOLENCIA DE GENERO",IF(N322=CURSOS!$D$24,"IGUALDAD DE GENERO EN LA SALUD",IF(N322=CURSOS!$D$25,"BRIGADA DE EMERGENCIA",IF(N322=CURSOS!$D$26,"MANEJO DEL DOLOR Y CUIDADOS PALIATIVOS",IF(N322=CURSOS!$D$27,"TOMA MUESTRAS Y LABORATORIO POCT",IF(N322=CURSOS!$D$28,"IMPLANTE SUBDERMICO Y DISPOSITIVO INTRAUTERINO",IF(N322=CURSOS!$D$29,"SALUD MENTAL",IF(N322=CURSOS!$D$30,"PRIMEROS AUXILIOS PSICOLOGICOS",IF(N322=CURSOS!$D$31,"ATENCION A VICTIMAS POR CONFLICTO ARMADO",IF(N322=CURSOS!$D$32,"MANIPULACION DE ALIMENTOS Y BPM"))))))))))))))))))))))))))))))</f>
        <v>0</v>
      </c>
      <c r="U322" s="41" t="str">
        <f t="shared" si="28"/>
        <v xml:space="preserve">   </v>
      </c>
      <c r="V322" s="41" t="str">
        <f t="shared" si="29"/>
        <v xml:space="preserve">   </v>
      </c>
      <c r="W322" s="41" t="str">
        <f t="shared" si="31"/>
        <v xml:space="preserve">   --</v>
      </c>
    </row>
    <row r="323" spans="1:23" s="21" customFormat="1" x14ac:dyDescent="0.2">
      <c r="A323" s="94">
        <v>322</v>
      </c>
      <c r="B323" s="62"/>
      <c r="C323" s="19"/>
      <c r="D323" s="19"/>
      <c r="E323" s="19"/>
      <c r="F323" s="19"/>
      <c r="G323" s="16"/>
      <c r="H323" s="31" t="s">
        <v>90</v>
      </c>
      <c r="I323" s="18"/>
      <c r="J323" s="22"/>
      <c r="K323" s="16"/>
      <c r="L323" s="16"/>
      <c r="M323" s="16"/>
      <c r="N323" s="17"/>
      <c r="O323" s="20"/>
      <c r="P323" s="19"/>
      <c r="Q323" s="19"/>
      <c r="R323" s="19"/>
      <c r="S323" s="19"/>
      <c r="T323" s="41" t="b">
        <f>IF(N323=CURSOS!$D$3,"DIPLOMADO EN ATENCION PRE-HOSPITALARIA",IF(N323=CURSOS!$D$4,"ACOMPAÑAMIENTO Y MANEJO DEL DUELO",IF(N323=CURSOS!$D$5,"ATENCION A VICTIMAS DE ATAQUE CON AGENTES QUIMICOS ",IF(N323=CURSOS!$D$6,"PRIMEROS AUXILIOS ",IF(N323=CURSOS!$D$7,"DIPLOMADO DE UNIDAD DE CUIDADOS INTENSIVOS (UCI)",IF(N323=CURSOS!$D$8,"MODELO DE ATENCION PARA EVENTOS EMERGENTES EN SALUD MENTAL (CODIGO VERDE)",IF(N323=CURSOS!$D$9,"HUMANIZACION EN SALUD, BUENAS PRACTICAS EN PACIENTE ",IF(N323=CURSOS!$D$10,"CLINICA DE HERIDAS ",IF(N323=CURSOS!$D$11,"TOMA DE CITOLOGIA A CERVICO VAGINAL ",IF(N323=CURSOS!$D$12,"SOPORTE CARDIOVASCULAR AVANZADO ",IF(N323=CURSOS!$D$13,"CAMILLERO ",IF(N323=CURSOS!$D$14,"TOMA MUESTRAS Y LABORATORIO ",IF(N323=CURSOS!$D$15,"SOPORTE VITAL BASICO (BLS)",IF(N323=CURSOS!$D$16,"ATENCION A VICTIMAS DE VIOLENCIA SEXUAL ",IF(N323=CURSOS!$D$17,"PROGRAMADO AMPLIADO DE INMUNIZACION (PAI - COVID 19)",IF(N323=CURSOS!$D$18,"ATENCION INTEGRAL EN ENFERMEDADES PREVALENTES EN PRIMERA INFANCIA (AIEPI)",IF(N323=CURSOS!$D$19,"ADMINISTRACION DE MEDICAMENTOS, IYECTOLOGIA  Y CANALIZACION ",IF(N323=CURSOS!$D$20,"OPERADOR DE VEHICULOS DE EMERGENCIA (OVE)",IF(N323=CURSOS!$D$21,"INSTITUCIONES AMIGAS DE LA MUJER Y LA INFANCIA (IAMI)",IF(N323=CURSOS!$D$22,"CUIDADO DEL DONANTE DE ORGANOS",IF(N323=CURSOS!$D$23,"ATENCION A VICTIMAS POR VIOLENCIA DE GENERO",IF(N323=CURSOS!$D$24,"IGUALDAD DE GENERO EN LA SALUD",IF(N323=CURSOS!$D$25,"BRIGADA DE EMERGENCIA",IF(N323=CURSOS!$D$26,"MANEJO DEL DOLOR Y CUIDADOS PALIATIVOS",IF(N323=CURSOS!$D$27,"TOMA MUESTRAS Y LABORATORIO POCT",IF(N323=CURSOS!$D$28,"IMPLANTE SUBDERMICO Y DISPOSITIVO INTRAUTERINO",IF(N323=CURSOS!$D$29,"SALUD MENTAL",IF(N323=CURSOS!$D$30,"PRIMEROS AUXILIOS PSICOLOGICOS",IF(N323=CURSOS!$D$31,"ATENCION A VICTIMAS POR CONFLICTO ARMADO",IF(N323=CURSOS!$D$32,"MANIPULACION DE ALIMENTOS Y BPM"))))))))))))))))))))))))))))))</f>
        <v>0</v>
      </c>
      <c r="U323" s="41" t="str">
        <f t="shared" si="28"/>
        <v xml:space="preserve">   </v>
      </c>
      <c r="V323" s="41" t="str">
        <f t="shared" si="29"/>
        <v xml:space="preserve">   </v>
      </c>
      <c r="W323" s="41" t="str">
        <f t="shared" si="31"/>
        <v xml:space="preserve">   --</v>
      </c>
    </row>
    <row r="324" spans="1:23" s="21" customFormat="1" x14ac:dyDescent="0.2">
      <c r="A324" s="94">
        <v>323</v>
      </c>
      <c r="B324" s="62"/>
      <c r="C324" s="19"/>
      <c r="D324" s="19"/>
      <c r="E324" s="19"/>
      <c r="F324" s="19"/>
      <c r="G324" s="16"/>
      <c r="H324" s="31" t="s">
        <v>90</v>
      </c>
      <c r="I324" s="18"/>
      <c r="J324" s="22"/>
      <c r="K324" s="16"/>
      <c r="L324" s="16"/>
      <c r="M324" s="16"/>
      <c r="N324" s="17"/>
      <c r="O324" s="20"/>
      <c r="P324" s="19"/>
      <c r="Q324" s="19"/>
      <c r="R324" s="19"/>
      <c r="S324" s="19"/>
      <c r="T324" s="41" t="b">
        <f>IF(N324=CURSOS!$D$3,"DIPLOMADO EN ATENCION PRE-HOSPITALARIA",IF(N324=CURSOS!$D$4,"ACOMPAÑAMIENTO Y MANEJO DEL DUELO",IF(N324=CURSOS!$D$5,"ATENCION A VICTIMAS DE ATAQUE CON AGENTES QUIMICOS ",IF(N324=CURSOS!$D$6,"PRIMEROS AUXILIOS ",IF(N324=CURSOS!$D$7,"DIPLOMADO DE UNIDAD DE CUIDADOS INTENSIVOS (UCI)",IF(N324=CURSOS!$D$8,"MODELO DE ATENCION PARA EVENTOS EMERGENTES EN SALUD MENTAL (CODIGO VERDE)",IF(N324=CURSOS!$D$9,"HUMANIZACION EN SALUD, BUENAS PRACTICAS EN PACIENTE ",IF(N324=CURSOS!$D$10,"CLINICA DE HERIDAS ",IF(N324=CURSOS!$D$11,"TOMA DE CITOLOGIA A CERVICO VAGINAL ",IF(N324=CURSOS!$D$12,"SOPORTE CARDIOVASCULAR AVANZADO ",IF(N324=CURSOS!$D$13,"CAMILLERO ",IF(N324=CURSOS!$D$14,"TOMA MUESTRAS Y LABORATORIO ",IF(N324=CURSOS!$D$15,"SOPORTE VITAL BASICO (BLS)",IF(N324=CURSOS!$D$16,"ATENCION A VICTIMAS DE VIOLENCIA SEXUAL ",IF(N324=CURSOS!$D$17,"PROGRAMADO AMPLIADO DE INMUNIZACION (PAI - COVID 19)",IF(N324=CURSOS!$D$18,"ATENCION INTEGRAL EN ENFERMEDADES PREVALENTES EN PRIMERA INFANCIA (AIEPI)",IF(N324=CURSOS!$D$19,"ADMINISTRACION DE MEDICAMENTOS, IYECTOLOGIA  Y CANALIZACION ",IF(N324=CURSOS!$D$20,"OPERADOR DE VEHICULOS DE EMERGENCIA (OVE)",IF(N324=CURSOS!$D$21,"INSTITUCIONES AMIGAS DE LA MUJER Y LA INFANCIA (IAMI)",IF(N324=CURSOS!$D$22,"CUIDADO DEL DONANTE DE ORGANOS",IF(N324=CURSOS!$D$23,"ATENCION A VICTIMAS POR VIOLENCIA DE GENERO",IF(N324=CURSOS!$D$24,"IGUALDAD DE GENERO EN LA SALUD",IF(N324=CURSOS!$D$25,"BRIGADA DE EMERGENCIA",IF(N324=CURSOS!$D$26,"MANEJO DEL DOLOR Y CUIDADOS PALIATIVOS",IF(N324=CURSOS!$D$27,"TOMA MUESTRAS Y LABORATORIO POCT",IF(N324=CURSOS!$D$28,"IMPLANTE SUBDERMICO Y DISPOSITIVO INTRAUTERINO",IF(N324=CURSOS!$D$29,"SALUD MENTAL",IF(N324=CURSOS!$D$30,"PRIMEROS AUXILIOS PSICOLOGICOS",IF(N324=CURSOS!$D$31,"ATENCION A VICTIMAS POR CONFLICTO ARMADO",IF(N324=CURSOS!$D$32,"MANIPULACION DE ALIMENTOS Y BPM"))))))))))))))))))))))))))))))</f>
        <v>0</v>
      </c>
      <c r="U324" s="41" t="str">
        <f t="shared" si="28"/>
        <v xml:space="preserve">   </v>
      </c>
      <c r="V324" s="41" t="str">
        <f t="shared" si="29"/>
        <v xml:space="preserve">   </v>
      </c>
      <c r="W324" s="41" t="str">
        <f t="shared" si="31"/>
        <v xml:space="preserve">   --</v>
      </c>
    </row>
    <row r="325" spans="1:23" s="21" customFormat="1" x14ac:dyDescent="0.2">
      <c r="A325" s="94">
        <v>324</v>
      </c>
      <c r="B325" s="62"/>
      <c r="C325" s="19"/>
      <c r="D325" s="19"/>
      <c r="E325" s="19"/>
      <c r="F325" s="19"/>
      <c r="G325" s="16"/>
      <c r="H325" s="31" t="s">
        <v>90</v>
      </c>
      <c r="I325" s="18"/>
      <c r="J325" s="22"/>
      <c r="K325" s="16"/>
      <c r="L325" s="16"/>
      <c r="M325" s="16"/>
      <c r="N325" s="17"/>
      <c r="O325" s="20"/>
      <c r="P325" s="19"/>
      <c r="Q325" s="19"/>
      <c r="R325" s="19"/>
      <c r="S325" s="19"/>
      <c r="T325" s="41" t="b">
        <f>IF(N325=CURSOS!$D$3,"DIPLOMADO EN ATENCION PRE-HOSPITALARIA",IF(N325=CURSOS!$D$4,"ACOMPAÑAMIENTO Y MANEJO DEL DUELO",IF(N325=CURSOS!$D$5,"ATENCION A VICTIMAS DE ATAQUE CON AGENTES QUIMICOS ",IF(N325=CURSOS!$D$6,"PRIMEROS AUXILIOS ",IF(N325=CURSOS!$D$7,"DIPLOMADO DE UNIDAD DE CUIDADOS INTENSIVOS (UCI)",IF(N325=CURSOS!$D$8,"MODELO DE ATENCION PARA EVENTOS EMERGENTES EN SALUD MENTAL (CODIGO VERDE)",IF(N325=CURSOS!$D$9,"HUMANIZACION EN SALUD, BUENAS PRACTICAS EN PACIENTE ",IF(N325=CURSOS!$D$10,"CLINICA DE HERIDAS ",IF(N325=CURSOS!$D$11,"TOMA DE CITOLOGIA A CERVICO VAGINAL ",IF(N325=CURSOS!$D$12,"SOPORTE CARDIOVASCULAR AVANZADO ",IF(N325=CURSOS!$D$13,"CAMILLERO ",IF(N325=CURSOS!$D$14,"TOMA MUESTRAS Y LABORATORIO ",IF(N325=CURSOS!$D$15,"SOPORTE VITAL BASICO (BLS)",IF(N325=CURSOS!$D$16,"ATENCION A VICTIMAS DE VIOLENCIA SEXUAL ",IF(N325=CURSOS!$D$17,"PROGRAMADO AMPLIADO DE INMUNIZACION (PAI - COVID 19)",IF(N325=CURSOS!$D$18,"ATENCION INTEGRAL EN ENFERMEDADES PREVALENTES EN PRIMERA INFANCIA (AIEPI)",IF(N325=CURSOS!$D$19,"ADMINISTRACION DE MEDICAMENTOS, IYECTOLOGIA  Y CANALIZACION ",IF(N325=CURSOS!$D$20,"OPERADOR DE VEHICULOS DE EMERGENCIA (OVE)",IF(N325=CURSOS!$D$21,"INSTITUCIONES AMIGAS DE LA MUJER Y LA INFANCIA (IAMI)",IF(N325=CURSOS!$D$22,"CUIDADO DEL DONANTE DE ORGANOS",IF(N325=CURSOS!$D$23,"ATENCION A VICTIMAS POR VIOLENCIA DE GENERO",IF(N325=CURSOS!$D$24,"IGUALDAD DE GENERO EN LA SALUD",IF(N325=CURSOS!$D$25,"BRIGADA DE EMERGENCIA",IF(N325=CURSOS!$D$26,"MANEJO DEL DOLOR Y CUIDADOS PALIATIVOS",IF(N325=CURSOS!$D$27,"TOMA MUESTRAS Y LABORATORIO POCT",IF(N325=CURSOS!$D$28,"IMPLANTE SUBDERMICO Y DISPOSITIVO INTRAUTERINO",IF(N325=CURSOS!$D$29,"SALUD MENTAL",IF(N325=CURSOS!$D$30,"PRIMEROS AUXILIOS PSICOLOGICOS",IF(N325=CURSOS!$D$31,"ATENCION A VICTIMAS POR CONFLICTO ARMADO",IF(N325=CURSOS!$D$32,"MANIPULACION DE ALIMENTOS Y BPM"))))))))))))))))))))))))))))))</f>
        <v>0</v>
      </c>
      <c r="U325" s="41" t="str">
        <f t="shared" si="28"/>
        <v xml:space="preserve">   </v>
      </c>
      <c r="V325" s="41" t="str">
        <f t="shared" si="29"/>
        <v xml:space="preserve">   </v>
      </c>
      <c r="W325" s="41" t="str">
        <f t="shared" si="31"/>
        <v xml:space="preserve">   --</v>
      </c>
    </row>
    <row r="326" spans="1:23" s="21" customFormat="1" x14ac:dyDescent="0.2">
      <c r="A326" s="94">
        <v>325</v>
      </c>
      <c r="B326" s="62"/>
      <c r="C326" s="19"/>
      <c r="D326" s="19"/>
      <c r="E326" s="19"/>
      <c r="F326" s="19"/>
      <c r="G326" s="16"/>
      <c r="H326" s="31" t="s">
        <v>90</v>
      </c>
      <c r="I326" s="18"/>
      <c r="J326" s="22"/>
      <c r="K326" s="16"/>
      <c r="L326" s="16"/>
      <c r="M326" s="16"/>
      <c r="N326" s="17"/>
      <c r="O326" s="20"/>
      <c r="P326" s="19"/>
      <c r="Q326" s="19"/>
      <c r="R326" s="19"/>
      <c r="S326" s="19"/>
      <c r="T326" s="41" t="b">
        <f>IF(N326=CURSOS!$D$3,"DIPLOMADO EN ATENCION PRE-HOSPITALARIA",IF(N326=CURSOS!$D$4,"ACOMPAÑAMIENTO Y MANEJO DEL DUELO",IF(N326=CURSOS!$D$5,"ATENCION A VICTIMAS DE ATAQUE CON AGENTES QUIMICOS ",IF(N326=CURSOS!$D$6,"PRIMEROS AUXILIOS ",IF(N326=CURSOS!$D$7,"DIPLOMADO DE UNIDAD DE CUIDADOS INTENSIVOS (UCI)",IF(N326=CURSOS!$D$8,"MODELO DE ATENCION PARA EVENTOS EMERGENTES EN SALUD MENTAL (CODIGO VERDE)",IF(N326=CURSOS!$D$9,"HUMANIZACION EN SALUD, BUENAS PRACTICAS EN PACIENTE ",IF(N326=CURSOS!$D$10,"CLINICA DE HERIDAS ",IF(N326=CURSOS!$D$11,"TOMA DE CITOLOGIA A CERVICO VAGINAL ",IF(N326=CURSOS!$D$12,"SOPORTE CARDIOVASCULAR AVANZADO ",IF(N326=CURSOS!$D$13,"CAMILLERO ",IF(N326=CURSOS!$D$14,"TOMA MUESTRAS Y LABORATORIO ",IF(N326=CURSOS!$D$15,"SOPORTE VITAL BASICO (BLS)",IF(N326=CURSOS!$D$16,"ATENCION A VICTIMAS DE VIOLENCIA SEXUAL ",IF(N326=CURSOS!$D$17,"PROGRAMADO AMPLIADO DE INMUNIZACION (PAI - COVID 19)",IF(N326=CURSOS!$D$18,"ATENCION INTEGRAL EN ENFERMEDADES PREVALENTES EN PRIMERA INFANCIA (AIEPI)",IF(N326=CURSOS!$D$19,"ADMINISTRACION DE MEDICAMENTOS, IYECTOLOGIA  Y CANALIZACION ",IF(N326=CURSOS!$D$20,"OPERADOR DE VEHICULOS DE EMERGENCIA (OVE)",IF(N326=CURSOS!$D$21,"INSTITUCIONES AMIGAS DE LA MUJER Y LA INFANCIA (IAMI)",IF(N326=CURSOS!$D$22,"CUIDADO DEL DONANTE DE ORGANOS",IF(N326=CURSOS!$D$23,"ATENCION A VICTIMAS POR VIOLENCIA DE GENERO",IF(N326=CURSOS!$D$24,"IGUALDAD DE GENERO EN LA SALUD",IF(N326=CURSOS!$D$25,"BRIGADA DE EMERGENCIA",IF(N326=CURSOS!$D$26,"MANEJO DEL DOLOR Y CUIDADOS PALIATIVOS",IF(N326=CURSOS!$D$27,"TOMA MUESTRAS Y LABORATORIO POCT",IF(N326=CURSOS!$D$28,"IMPLANTE SUBDERMICO Y DISPOSITIVO INTRAUTERINO",IF(N326=CURSOS!$D$29,"SALUD MENTAL",IF(N326=CURSOS!$D$30,"PRIMEROS AUXILIOS PSICOLOGICOS",IF(N326=CURSOS!$D$31,"ATENCION A VICTIMAS POR CONFLICTO ARMADO",IF(N326=CURSOS!$D$32,"MANIPULACION DE ALIMENTOS Y BPM"))))))))))))))))))))))))))))))</f>
        <v>0</v>
      </c>
      <c r="U326" s="41" t="str">
        <f t="shared" si="28"/>
        <v xml:space="preserve">   </v>
      </c>
      <c r="V326" s="41" t="str">
        <f t="shared" si="29"/>
        <v xml:space="preserve">   </v>
      </c>
      <c r="W326" s="41" t="str">
        <f t="shared" si="31"/>
        <v xml:space="preserve">   --</v>
      </c>
    </row>
    <row r="327" spans="1:23" s="21" customFormat="1" x14ac:dyDescent="0.2">
      <c r="A327" s="94">
        <v>326</v>
      </c>
      <c r="B327" s="62"/>
      <c r="C327" s="19"/>
      <c r="D327" s="19"/>
      <c r="E327" s="19"/>
      <c r="F327" s="19"/>
      <c r="G327" s="16"/>
      <c r="H327" s="31" t="s">
        <v>90</v>
      </c>
      <c r="I327" s="18"/>
      <c r="J327" s="22"/>
      <c r="K327" s="16"/>
      <c r="L327" s="16"/>
      <c r="M327" s="16"/>
      <c r="N327" s="17"/>
      <c r="O327" s="20"/>
      <c r="P327" s="19"/>
      <c r="Q327" s="19"/>
      <c r="R327" s="19"/>
      <c r="S327" s="19"/>
      <c r="T327" s="41" t="b">
        <f>IF(N327=CURSOS!$D$3,"DIPLOMADO EN ATENCION PRE-HOSPITALARIA",IF(N327=CURSOS!$D$4,"ACOMPAÑAMIENTO Y MANEJO DEL DUELO",IF(N327=CURSOS!$D$5,"ATENCION A VICTIMAS DE ATAQUE CON AGENTES QUIMICOS ",IF(N327=CURSOS!$D$6,"PRIMEROS AUXILIOS ",IF(N327=CURSOS!$D$7,"DIPLOMADO DE UNIDAD DE CUIDADOS INTENSIVOS (UCI)",IF(N327=CURSOS!$D$8,"MODELO DE ATENCION PARA EVENTOS EMERGENTES EN SALUD MENTAL (CODIGO VERDE)",IF(N327=CURSOS!$D$9,"HUMANIZACION EN SALUD, BUENAS PRACTICAS EN PACIENTE ",IF(N327=CURSOS!$D$10,"CLINICA DE HERIDAS ",IF(N327=CURSOS!$D$11,"TOMA DE CITOLOGIA A CERVICO VAGINAL ",IF(N327=CURSOS!$D$12,"SOPORTE CARDIOVASCULAR AVANZADO ",IF(N327=CURSOS!$D$13,"CAMILLERO ",IF(N327=CURSOS!$D$14,"TOMA MUESTRAS Y LABORATORIO ",IF(N327=CURSOS!$D$15,"SOPORTE VITAL BASICO (BLS)",IF(N327=CURSOS!$D$16,"ATENCION A VICTIMAS DE VIOLENCIA SEXUAL ",IF(N327=CURSOS!$D$17,"PROGRAMADO AMPLIADO DE INMUNIZACION (PAI - COVID 19)",IF(N327=CURSOS!$D$18,"ATENCION INTEGRAL EN ENFERMEDADES PREVALENTES EN PRIMERA INFANCIA (AIEPI)",IF(N327=CURSOS!$D$19,"ADMINISTRACION DE MEDICAMENTOS, IYECTOLOGIA  Y CANALIZACION ",IF(N327=CURSOS!$D$20,"OPERADOR DE VEHICULOS DE EMERGENCIA (OVE)",IF(N327=CURSOS!$D$21,"INSTITUCIONES AMIGAS DE LA MUJER Y LA INFANCIA (IAMI)",IF(N327=CURSOS!$D$22,"CUIDADO DEL DONANTE DE ORGANOS",IF(N327=CURSOS!$D$23,"ATENCION A VICTIMAS POR VIOLENCIA DE GENERO",IF(N327=CURSOS!$D$24,"IGUALDAD DE GENERO EN LA SALUD",IF(N327=CURSOS!$D$25,"BRIGADA DE EMERGENCIA",IF(N327=CURSOS!$D$26,"MANEJO DEL DOLOR Y CUIDADOS PALIATIVOS",IF(N327=CURSOS!$D$27,"TOMA MUESTRAS Y LABORATORIO POCT",IF(N327=CURSOS!$D$28,"IMPLANTE SUBDERMICO Y DISPOSITIVO INTRAUTERINO",IF(N327=CURSOS!$D$29,"SALUD MENTAL",IF(N327=CURSOS!$D$30,"PRIMEROS AUXILIOS PSICOLOGICOS",IF(N327=CURSOS!$D$31,"ATENCION A VICTIMAS POR CONFLICTO ARMADO",IF(N327=CURSOS!$D$32,"MANIPULACION DE ALIMENTOS Y BPM"))))))))))))))))))))))))))))))</f>
        <v>0</v>
      </c>
      <c r="U327" s="41" t="str">
        <f t="shared" si="28"/>
        <v xml:space="preserve">   </v>
      </c>
      <c r="V327" s="41" t="str">
        <f t="shared" si="29"/>
        <v xml:space="preserve">   </v>
      </c>
      <c r="W327" s="41" t="str">
        <f t="shared" si="31"/>
        <v xml:space="preserve">   --</v>
      </c>
    </row>
    <row r="328" spans="1:23" s="21" customFormat="1" x14ac:dyDescent="0.2">
      <c r="A328" s="94">
        <v>327</v>
      </c>
      <c r="B328" s="62"/>
      <c r="C328" s="19"/>
      <c r="D328" s="19"/>
      <c r="E328" s="19"/>
      <c r="F328" s="19"/>
      <c r="G328" s="16"/>
      <c r="H328" s="31" t="s">
        <v>90</v>
      </c>
      <c r="I328" s="18"/>
      <c r="J328" s="22"/>
      <c r="K328" s="16"/>
      <c r="L328" s="16"/>
      <c r="M328" s="16"/>
      <c r="N328" s="17"/>
      <c r="O328" s="20"/>
      <c r="P328" s="19"/>
      <c r="Q328" s="19"/>
      <c r="R328" s="19"/>
      <c r="S328" s="19"/>
      <c r="T328" s="41" t="b">
        <f>IF(N328=CURSOS!$D$3,"DIPLOMADO EN ATENCION PRE-HOSPITALARIA",IF(N328=CURSOS!$D$4,"ACOMPAÑAMIENTO Y MANEJO DEL DUELO",IF(N328=CURSOS!$D$5,"ATENCION A VICTIMAS DE ATAQUE CON AGENTES QUIMICOS ",IF(N328=CURSOS!$D$6,"PRIMEROS AUXILIOS ",IF(N328=CURSOS!$D$7,"DIPLOMADO DE UNIDAD DE CUIDADOS INTENSIVOS (UCI)",IF(N328=CURSOS!$D$8,"MODELO DE ATENCION PARA EVENTOS EMERGENTES EN SALUD MENTAL (CODIGO VERDE)",IF(N328=CURSOS!$D$9,"HUMANIZACION EN SALUD, BUENAS PRACTICAS EN PACIENTE ",IF(N328=CURSOS!$D$10,"CLINICA DE HERIDAS ",IF(N328=CURSOS!$D$11,"TOMA DE CITOLOGIA A CERVICO VAGINAL ",IF(N328=CURSOS!$D$12,"SOPORTE CARDIOVASCULAR AVANZADO ",IF(N328=CURSOS!$D$13,"CAMILLERO ",IF(N328=CURSOS!$D$14,"TOMA MUESTRAS Y LABORATORIO ",IF(N328=CURSOS!$D$15,"SOPORTE VITAL BASICO (BLS)",IF(N328=CURSOS!$D$16,"ATENCION A VICTIMAS DE VIOLENCIA SEXUAL ",IF(N328=CURSOS!$D$17,"PROGRAMADO AMPLIADO DE INMUNIZACION (PAI - COVID 19)",IF(N328=CURSOS!$D$18,"ATENCION INTEGRAL EN ENFERMEDADES PREVALENTES EN PRIMERA INFANCIA (AIEPI)",IF(N328=CURSOS!$D$19,"ADMINISTRACION DE MEDICAMENTOS, IYECTOLOGIA  Y CANALIZACION ",IF(N328=CURSOS!$D$20,"OPERADOR DE VEHICULOS DE EMERGENCIA (OVE)",IF(N328=CURSOS!$D$21,"INSTITUCIONES AMIGAS DE LA MUJER Y LA INFANCIA (IAMI)",IF(N328=CURSOS!$D$22,"CUIDADO DEL DONANTE DE ORGANOS",IF(N328=CURSOS!$D$23,"ATENCION A VICTIMAS POR VIOLENCIA DE GENERO",IF(N328=CURSOS!$D$24,"IGUALDAD DE GENERO EN LA SALUD",IF(N328=CURSOS!$D$25,"BRIGADA DE EMERGENCIA",IF(N328=CURSOS!$D$26,"MANEJO DEL DOLOR Y CUIDADOS PALIATIVOS",IF(N328=CURSOS!$D$27,"TOMA MUESTRAS Y LABORATORIO POCT",IF(N328=CURSOS!$D$28,"IMPLANTE SUBDERMICO Y DISPOSITIVO INTRAUTERINO",IF(N328=CURSOS!$D$29,"SALUD MENTAL",IF(N328=CURSOS!$D$30,"PRIMEROS AUXILIOS PSICOLOGICOS",IF(N328=CURSOS!$D$31,"ATENCION A VICTIMAS POR CONFLICTO ARMADO",IF(N328=CURSOS!$D$32,"MANIPULACION DE ALIMENTOS Y BPM"))))))))))))))))))))))))))))))</f>
        <v>0</v>
      </c>
      <c r="U328" s="41" t="str">
        <f t="shared" si="28"/>
        <v xml:space="preserve">   </v>
      </c>
      <c r="V328" s="41" t="str">
        <f t="shared" si="29"/>
        <v xml:space="preserve">   </v>
      </c>
      <c r="W328" s="41" t="str">
        <f t="shared" si="31"/>
        <v xml:space="preserve">   --</v>
      </c>
    </row>
    <row r="329" spans="1:23" s="21" customFormat="1" x14ac:dyDescent="0.2">
      <c r="A329" s="94">
        <v>328</v>
      </c>
      <c r="B329" s="62"/>
      <c r="C329" s="19"/>
      <c r="D329" s="19"/>
      <c r="E329" s="19"/>
      <c r="F329" s="19"/>
      <c r="G329" s="16"/>
      <c r="H329" s="31" t="s">
        <v>90</v>
      </c>
      <c r="I329" s="18"/>
      <c r="J329" s="22"/>
      <c r="K329" s="16"/>
      <c r="L329" s="16"/>
      <c r="M329" s="16"/>
      <c r="N329" s="17"/>
      <c r="O329" s="20"/>
      <c r="P329" s="19"/>
      <c r="Q329" s="19"/>
      <c r="R329" s="19"/>
      <c r="S329" s="19"/>
      <c r="T329" s="41" t="b">
        <f>IF(N329=CURSOS!$D$3,"DIPLOMADO EN ATENCION PRE-HOSPITALARIA",IF(N329=CURSOS!$D$4,"ACOMPAÑAMIENTO Y MANEJO DEL DUELO",IF(N329=CURSOS!$D$5,"ATENCION A VICTIMAS DE ATAQUE CON AGENTES QUIMICOS ",IF(N329=CURSOS!$D$6,"PRIMEROS AUXILIOS ",IF(N329=CURSOS!$D$7,"DIPLOMADO DE UNIDAD DE CUIDADOS INTENSIVOS (UCI)",IF(N329=CURSOS!$D$8,"MODELO DE ATENCION PARA EVENTOS EMERGENTES EN SALUD MENTAL (CODIGO VERDE)",IF(N329=CURSOS!$D$9,"HUMANIZACION EN SALUD, BUENAS PRACTICAS EN PACIENTE ",IF(N329=CURSOS!$D$10,"CLINICA DE HERIDAS ",IF(N329=CURSOS!$D$11,"TOMA DE CITOLOGIA A CERVICO VAGINAL ",IF(N329=CURSOS!$D$12,"SOPORTE CARDIOVASCULAR AVANZADO ",IF(N329=CURSOS!$D$13,"CAMILLERO ",IF(N329=CURSOS!$D$14,"TOMA MUESTRAS Y LABORATORIO ",IF(N329=CURSOS!$D$15,"SOPORTE VITAL BASICO (BLS)",IF(N329=CURSOS!$D$16,"ATENCION A VICTIMAS DE VIOLENCIA SEXUAL ",IF(N329=CURSOS!$D$17,"PROGRAMADO AMPLIADO DE INMUNIZACION (PAI - COVID 19)",IF(N329=CURSOS!$D$18,"ATENCION INTEGRAL EN ENFERMEDADES PREVALENTES EN PRIMERA INFANCIA (AIEPI)",IF(N329=CURSOS!$D$19,"ADMINISTRACION DE MEDICAMENTOS, IYECTOLOGIA  Y CANALIZACION ",IF(N329=CURSOS!$D$20,"OPERADOR DE VEHICULOS DE EMERGENCIA (OVE)",IF(N329=CURSOS!$D$21,"INSTITUCIONES AMIGAS DE LA MUJER Y LA INFANCIA (IAMI)",IF(N329=CURSOS!$D$22,"CUIDADO DEL DONANTE DE ORGANOS",IF(N329=CURSOS!$D$23,"ATENCION A VICTIMAS POR VIOLENCIA DE GENERO",IF(N329=CURSOS!$D$24,"IGUALDAD DE GENERO EN LA SALUD",IF(N329=CURSOS!$D$25,"BRIGADA DE EMERGENCIA",IF(N329=CURSOS!$D$26,"MANEJO DEL DOLOR Y CUIDADOS PALIATIVOS",IF(N329=CURSOS!$D$27,"TOMA MUESTRAS Y LABORATORIO POCT",IF(N329=CURSOS!$D$28,"IMPLANTE SUBDERMICO Y DISPOSITIVO INTRAUTERINO",IF(N329=CURSOS!$D$29,"SALUD MENTAL",IF(N329=CURSOS!$D$30,"PRIMEROS AUXILIOS PSICOLOGICOS",IF(N329=CURSOS!$D$31,"ATENCION A VICTIMAS POR CONFLICTO ARMADO",IF(N329=CURSOS!$D$32,"MANIPULACION DE ALIMENTOS Y BPM"))))))))))))))))))))))))))))))</f>
        <v>0</v>
      </c>
      <c r="U329" s="41" t="str">
        <f t="shared" si="28"/>
        <v xml:space="preserve">   </v>
      </c>
      <c r="V329" s="41" t="str">
        <f t="shared" si="29"/>
        <v xml:space="preserve">   </v>
      </c>
      <c r="W329" s="41" t="str">
        <f t="shared" si="31"/>
        <v xml:space="preserve">   --</v>
      </c>
    </row>
    <row r="330" spans="1:23" s="21" customFormat="1" x14ac:dyDescent="0.2">
      <c r="A330" s="94">
        <v>329</v>
      </c>
      <c r="B330" s="62"/>
      <c r="C330" s="19"/>
      <c r="D330" s="19"/>
      <c r="E330" s="19"/>
      <c r="F330" s="19"/>
      <c r="G330" s="16"/>
      <c r="H330" s="31" t="s">
        <v>90</v>
      </c>
      <c r="I330" s="18"/>
      <c r="J330" s="22"/>
      <c r="K330" s="16"/>
      <c r="L330" s="16"/>
      <c r="M330" s="16"/>
      <c r="N330" s="17"/>
      <c r="O330" s="20"/>
      <c r="P330" s="19"/>
      <c r="Q330" s="19"/>
      <c r="R330" s="19"/>
      <c r="S330" s="19"/>
      <c r="T330" s="41" t="b">
        <f>IF(N330=CURSOS!$D$3,"DIPLOMADO EN ATENCION PRE-HOSPITALARIA",IF(N330=CURSOS!$D$4,"ACOMPAÑAMIENTO Y MANEJO DEL DUELO",IF(N330=CURSOS!$D$5,"ATENCION A VICTIMAS DE ATAQUE CON AGENTES QUIMICOS ",IF(N330=CURSOS!$D$6,"PRIMEROS AUXILIOS ",IF(N330=CURSOS!$D$7,"DIPLOMADO DE UNIDAD DE CUIDADOS INTENSIVOS (UCI)",IF(N330=CURSOS!$D$8,"MODELO DE ATENCION PARA EVENTOS EMERGENTES EN SALUD MENTAL (CODIGO VERDE)",IF(N330=CURSOS!$D$9,"HUMANIZACION EN SALUD, BUENAS PRACTICAS EN PACIENTE ",IF(N330=CURSOS!$D$10,"CLINICA DE HERIDAS ",IF(N330=CURSOS!$D$11,"TOMA DE CITOLOGIA A CERVICO VAGINAL ",IF(N330=CURSOS!$D$12,"SOPORTE CARDIOVASCULAR AVANZADO ",IF(N330=CURSOS!$D$13,"CAMILLERO ",IF(N330=CURSOS!$D$14,"TOMA MUESTRAS Y LABORATORIO ",IF(N330=CURSOS!$D$15,"SOPORTE VITAL BASICO (BLS)",IF(N330=CURSOS!$D$16,"ATENCION A VICTIMAS DE VIOLENCIA SEXUAL ",IF(N330=CURSOS!$D$17,"PROGRAMADO AMPLIADO DE INMUNIZACION (PAI - COVID 19)",IF(N330=CURSOS!$D$18,"ATENCION INTEGRAL EN ENFERMEDADES PREVALENTES EN PRIMERA INFANCIA (AIEPI)",IF(N330=CURSOS!$D$19,"ADMINISTRACION DE MEDICAMENTOS, IYECTOLOGIA  Y CANALIZACION ",IF(N330=CURSOS!$D$20,"OPERADOR DE VEHICULOS DE EMERGENCIA (OVE)",IF(N330=CURSOS!$D$21,"INSTITUCIONES AMIGAS DE LA MUJER Y LA INFANCIA (IAMI)",IF(N330=CURSOS!$D$22,"CUIDADO DEL DONANTE DE ORGANOS",IF(N330=CURSOS!$D$23,"ATENCION A VICTIMAS POR VIOLENCIA DE GENERO",IF(N330=CURSOS!$D$24,"IGUALDAD DE GENERO EN LA SALUD",IF(N330=CURSOS!$D$25,"BRIGADA DE EMERGENCIA",IF(N330=CURSOS!$D$26,"MANEJO DEL DOLOR Y CUIDADOS PALIATIVOS",IF(N330=CURSOS!$D$27,"TOMA MUESTRAS Y LABORATORIO POCT",IF(N330=CURSOS!$D$28,"IMPLANTE SUBDERMICO Y DISPOSITIVO INTRAUTERINO",IF(N330=CURSOS!$D$29,"SALUD MENTAL",IF(N330=CURSOS!$D$30,"PRIMEROS AUXILIOS PSICOLOGICOS",IF(N330=CURSOS!$D$31,"ATENCION A VICTIMAS POR CONFLICTO ARMADO",IF(N330=CURSOS!$D$32,"MANIPULACION DE ALIMENTOS Y BPM"))))))))))))))))))))))))))))))</f>
        <v>0</v>
      </c>
      <c r="U330" s="41" t="str">
        <f t="shared" si="28"/>
        <v xml:space="preserve">   </v>
      </c>
      <c r="V330" s="41" t="str">
        <f t="shared" si="29"/>
        <v xml:space="preserve">   </v>
      </c>
      <c r="W330" s="41" t="str">
        <f t="shared" si="31"/>
        <v xml:space="preserve">   --</v>
      </c>
    </row>
    <row r="331" spans="1:23" s="21" customFormat="1" x14ac:dyDescent="0.2">
      <c r="A331" s="94">
        <v>330</v>
      </c>
      <c r="B331" s="62"/>
      <c r="C331" s="19"/>
      <c r="D331" s="19"/>
      <c r="E331" s="19"/>
      <c r="F331" s="19"/>
      <c r="G331" s="16"/>
      <c r="H331" s="31" t="s">
        <v>90</v>
      </c>
      <c r="I331" s="18"/>
      <c r="J331" s="22"/>
      <c r="K331" s="16"/>
      <c r="L331" s="16"/>
      <c r="M331" s="16"/>
      <c r="N331" s="17"/>
      <c r="O331" s="20"/>
      <c r="P331" s="19"/>
      <c r="Q331" s="19"/>
      <c r="R331" s="19"/>
      <c r="S331" s="19"/>
      <c r="T331" s="41" t="b">
        <f>IF(N331=CURSOS!$D$3,"DIPLOMADO EN ATENCION PRE-HOSPITALARIA",IF(N331=CURSOS!$D$4,"ACOMPAÑAMIENTO Y MANEJO DEL DUELO",IF(N331=CURSOS!$D$5,"ATENCION A VICTIMAS DE ATAQUE CON AGENTES QUIMICOS ",IF(N331=CURSOS!$D$6,"PRIMEROS AUXILIOS ",IF(N331=CURSOS!$D$7,"DIPLOMADO DE UNIDAD DE CUIDADOS INTENSIVOS (UCI)",IF(N331=CURSOS!$D$8,"MODELO DE ATENCION PARA EVENTOS EMERGENTES EN SALUD MENTAL (CODIGO VERDE)",IF(N331=CURSOS!$D$9,"HUMANIZACION EN SALUD, BUENAS PRACTICAS EN PACIENTE ",IF(N331=CURSOS!$D$10,"CLINICA DE HERIDAS ",IF(N331=CURSOS!$D$11,"TOMA DE CITOLOGIA A CERVICO VAGINAL ",IF(N331=CURSOS!$D$12,"SOPORTE CARDIOVASCULAR AVANZADO ",IF(N331=CURSOS!$D$13,"CAMILLERO ",IF(N331=CURSOS!$D$14,"TOMA MUESTRAS Y LABORATORIO ",IF(N331=CURSOS!$D$15,"SOPORTE VITAL BASICO (BLS)",IF(N331=CURSOS!$D$16,"ATENCION A VICTIMAS DE VIOLENCIA SEXUAL ",IF(N331=CURSOS!$D$17,"PROGRAMADO AMPLIADO DE INMUNIZACION (PAI - COVID 19)",IF(N331=CURSOS!$D$18,"ATENCION INTEGRAL EN ENFERMEDADES PREVALENTES EN PRIMERA INFANCIA (AIEPI)",IF(N331=CURSOS!$D$19,"ADMINISTRACION DE MEDICAMENTOS, IYECTOLOGIA  Y CANALIZACION ",IF(N331=CURSOS!$D$20,"OPERADOR DE VEHICULOS DE EMERGENCIA (OVE)",IF(N331=CURSOS!$D$21,"INSTITUCIONES AMIGAS DE LA MUJER Y LA INFANCIA (IAMI)",IF(N331=CURSOS!$D$22,"CUIDADO DEL DONANTE DE ORGANOS",IF(N331=CURSOS!$D$23,"ATENCION A VICTIMAS POR VIOLENCIA DE GENERO",IF(N331=CURSOS!$D$24,"IGUALDAD DE GENERO EN LA SALUD",IF(N331=CURSOS!$D$25,"BRIGADA DE EMERGENCIA",IF(N331=CURSOS!$D$26,"MANEJO DEL DOLOR Y CUIDADOS PALIATIVOS",IF(N331=CURSOS!$D$27,"TOMA MUESTRAS Y LABORATORIO POCT",IF(N331=CURSOS!$D$28,"IMPLANTE SUBDERMICO Y DISPOSITIVO INTRAUTERINO",IF(N331=CURSOS!$D$29,"SALUD MENTAL",IF(N331=CURSOS!$D$30,"PRIMEROS AUXILIOS PSICOLOGICOS",IF(N331=CURSOS!$D$31,"ATENCION A VICTIMAS POR CONFLICTO ARMADO",IF(N331=CURSOS!$D$32,"MANIPULACION DE ALIMENTOS Y BPM"))))))))))))))))))))))))))))))</f>
        <v>0</v>
      </c>
      <c r="U331" s="41" t="str">
        <f t="shared" si="28"/>
        <v xml:space="preserve">   </v>
      </c>
      <c r="V331" s="41" t="str">
        <f t="shared" si="29"/>
        <v xml:space="preserve">   </v>
      </c>
      <c r="W331" s="41" t="str">
        <f t="shared" si="31"/>
        <v xml:space="preserve">   --</v>
      </c>
    </row>
    <row r="332" spans="1:23" s="21" customFormat="1" x14ac:dyDescent="0.2">
      <c r="A332" s="94">
        <v>331</v>
      </c>
      <c r="B332" s="62"/>
      <c r="C332" s="19"/>
      <c r="D332" s="19"/>
      <c r="E332" s="19"/>
      <c r="F332" s="19"/>
      <c r="G332" s="16"/>
      <c r="H332" s="31" t="s">
        <v>90</v>
      </c>
      <c r="I332" s="18"/>
      <c r="J332" s="22"/>
      <c r="K332" s="16"/>
      <c r="L332" s="16"/>
      <c r="M332" s="16"/>
      <c r="N332" s="17"/>
      <c r="O332" s="20"/>
      <c r="P332" s="19"/>
      <c r="Q332" s="19"/>
      <c r="R332" s="19"/>
      <c r="S332" s="19"/>
      <c r="T332" s="41" t="b">
        <f>IF(N332=CURSOS!$D$3,"DIPLOMADO EN ATENCION PRE-HOSPITALARIA",IF(N332=CURSOS!$D$4,"ACOMPAÑAMIENTO Y MANEJO DEL DUELO",IF(N332=CURSOS!$D$5,"ATENCION A VICTIMAS DE ATAQUE CON AGENTES QUIMICOS ",IF(N332=CURSOS!$D$6,"PRIMEROS AUXILIOS ",IF(N332=CURSOS!$D$7,"DIPLOMADO DE UNIDAD DE CUIDADOS INTENSIVOS (UCI)",IF(N332=CURSOS!$D$8,"MODELO DE ATENCION PARA EVENTOS EMERGENTES EN SALUD MENTAL (CODIGO VERDE)",IF(N332=CURSOS!$D$9,"HUMANIZACION EN SALUD, BUENAS PRACTICAS EN PACIENTE ",IF(N332=CURSOS!$D$10,"CLINICA DE HERIDAS ",IF(N332=CURSOS!$D$11,"TOMA DE CITOLOGIA A CERVICO VAGINAL ",IF(N332=CURSOS!$D$12,"SOPORTE CARDIOVASCULAR AVANZADO ",IF(N332=CURSOS!$D$13,"CAMILLERO ",IF(N332=CURSOS!$D$14,"TOMA MUESTRAS Y LABORATORIO ",IF(N332=CURSOS!$D$15,"SOPORTE VITAL BASICO (BLS)",IF(N332=CURSOS!$D$16,"ATENCION A VICTIMAS DE VIOLENCIA SEXUAL ",IF(N332=CURSOS!$D$17,"PROGRAMADO AMPLIADO DE INMUNIZACION (PAI - COVID 19)",IF(N332=CURSOS!$D$18,"ATENCION INTEGRAL EN ENFERMEDADES PREVALENTES EN PRIMERA INFANCIA (AIEPI)",IF(N332=CURSOS!$D$19,"ADMINISTRACION DE MEDICAMENTOS, IYECTOLOGIA  Y CANALIZACION ",IF(N332=CURSOS!$D$20,"OPERADOR DE VEHICULOS DE EMERGENCIA (OVE)",IF(N332=CURSOS!$D$21,"INSTITUCIONES AMIGAS DE LA MUJER Y LA INFANCIA (IAMI)",IF(N332=CURSOS!$D$22,"CUIDADO DEL DONANTE DE ORGANOS",IF(N332=CURSOS!$D$23,"ATENCION A VICTIMAS POR VIOLENCIA DE GENERO",IF(N332=CURSOS!$D$24,"IGUALDAD DE GENERO EN LA SALUD",IF(N332=CURSOS!$D$25,"BRIGADA DE EMERGENCIA",IF(N332=CURSOS!$D$26,"MANEJO DEL DOLOR Y CUIDADOS PALIATIVOS",IF(N332=CURSOS!$D$27,"TOMA MUESTRAS Y LABORATORIO POCT",IF(N332=CURSOS!$D$28,"IMPLANTE SUBDERMICO Y DISPOSITIVO INTRAUTERINO",IF(N332=CURSOS!$D$29,"SALUD MENTAL",IF(N332=CURSOS!$D$30,"PRIMEROS AUXILIOS PSICOLOGICOS",IF(N332=CURSOS!$D$31,"ATENCION A VICTIMAS POR CONFLICTO ARMADO",IF(N332=CURSOS!$D$32,"MANIPULACION DE ALIMENTOS Y BPM"))))))))))))))))))))))))))))))</f>
        <v>0</v>
      </c>
      <c r="U332" s="41" t="str">
        <f t="shared" ref="U332:U334" si="32">CONCATENATE(E332," ",F332," ",C332," ",D332)</f>
        <v xml:space="preserve">   </v>
      </c>
      <c r="V332" s="41" t="str">
        <f t="shared" ref="V332:V334" si="33">+PROPER(U332)</f>
        <v xml:space="preserve">   </v>
      </c>
      <c r="W332" s="41" t="str">
        <f t="shared" si="31"/>
        <v xml:space="preserve">   --</v>
      </c>
    </row>
    <row r="333" spans="1:23" x14ac:dyDescent="0.2">
      <c r="B333" s="62"/>
      <c r="H333" s="31" t="s">
        <v>90</v>
      </c>
      <c r="T333" s="41" t="b">
        <f>IF(N333=CURSOS!$D$3,"DIPLOMADO EN ATENCION PRE-HOSPITALARIA",IF(N333=CURSOS!$D$4,"ACOMPAÑAMIENTO Y MANEJO DEL DUELO",IF(N333=CURSOS!$D$5,"ATENCION A VICTIMAS DE ATAQUE CON AGENTES QUIMICOS ",IF(N333=CURSOS!$D$6,"PRIMEROS AUXILIOS ",IF(N333=CURSOS!$D$7,"DIPLOMADO DE UNIDAD DE CUIDADOS INTENSIVOS (UCI)",IF(N333=CURSOS!$D$8,"MODELO DE ATENCION PARA EVENTOS EMERGENTES EN SALUD MENTAL (CODIGO VERDE)",IF(N333=CURSOS!$D$9,"HUMANIZACION EN SALUD, BUENAS PRACTICAS EN PACIENTE ",IF(N333=CURSOS!$D$10,"CLINICA DE HERIDAS ",IF(N333=CURSOS!$D$11,"TOMA DE CITOLOGIA A CERVICO VAGINAL ",IF(N333=CURSOS!$D$12,"SOPORTE CARDIOVASCULAR AVANZADO ",IF(N333=CURSOS!$D$13,"CAMILLERO ",IF(N333=CURSOS!$D$14,"TOMA MUESTRAS Y LABORATORIO ",IF(N333=CURSOS!$D$15,"SOPORTE VITAL BASICO (BLS)",IF(N333=CURSOS!$D$16,"ATENCION A VICTIMAS DE VIOLENCIA SEXUAL ",IF(N333=CURSOS!$D$17,"PROGRAMADO AMPLIADO DE INMUNIZACION (PAI - COVID 19)",IF(N333=CURSOS!$D$18,"ATENCION INTEGRAL EN ENFERMEDADES PREVALENTES EN PRIMERA INFANCIA (AIEPI)",IF(N333=CURSOS!$D$19,"ADMINISTRACION DE MEDICAMENTOS, IYECTOLOGIA  Y CANALIZACION ",IF(N333=CURSOS!$D$20,"OPERADOR DE VEHICULOS DE EMERGENCIA (OVE)",IF(N333=CURSOS!$D$21,"INSTITUCIONES AMIGAS DE LA MUJER Y LA INFANCIA (IAMI)",IF(N333=CURSOS!$D$22,"CUIDADO DEL DONANTE DE ORGANOS",IF(N333=CURSOS!$D$23,"ATENCION A VICTIMAS POR VIOLENCIA DE GENERO",IF(N333=CURSOS!$D$24,"IGUALDAD DE GENERO EN LA SALUD",IF(N333=CURSOS!$D$25,"BRIGADA DE EMERGENCIA",IF(N333=CURSOS!$D$26,"MANEJO DEL DOLOR Y CUIDADOS PALIATIVOS",IF(N333=CURSOS!$D$27,"TOMA MUESTRAS Y LABORATORIO POCT",IF(N333=CURSOS!$D$28,"IMPLANTE SUBDERMICO Y DISPOSITIVO INTRAUTERINO",IF(N333=CURSOS!$D$29,"SALUD MENTAL",IF(N333=CURSOS!$D$30,"PRIMEROS AUXILIOS PSICOLOGICOS",IF(N333=CURSOS!$D$31,"ATENCION A VICTIMAS POR CONFLICTO ARMADO",IF(N333=CURSOS!$D$32,"MANIPULACION DE ALIMENTOS Y BPM"))))))))))))))))))))))))))))))</f>
        <v>0</v>
      </c>
      <c r="U333" s="41" t="str">
        <f t="shared" si="32"/>
        <v xml:space="preserve">   </v>
      </c>
      <c r="V333" s="41" t="str">
        <f t="shared" si="33"/>
        <v xml:space="preserve">   </v>
      </c>
      <c r="W333" s="41" t="str">
        <f t="shared" si="31"/>
        <v xml:space="preserve">   --</v>
      </c>
    </row>
    <row r="334" spans="1:23" x14ac:dyDescent="0.2">
      <c r="B334" s="62"/>
      <c r="H334" s="31" t="s">
        <v>90</v>
      </c>
      <c r="T334" s="41" t="b">
        <f>IF(N334=CURSOS!$D$3,"DIPLOMADO EN ATENCION PRE-HOSPITALARIA",IF(N334=CURSOS!$D$4,"ACOMPAÑAMIENTO Y MANEJO DEL DUELO",IF(N334=CURSOS!$D$5,"ATENCION A VICTIMAS DE ATAQUE CON AGENTES QUIMICOS ",IF(N334=CURSOS!$D$6,"PRIMEROS AUXILIOS ",IF(N334=CURSOS!$D$7,"DIPLOMADO DE UNIDAD DE CUIDADOS INTENSIVOS (UCI)",IF(N334=CURSOS!$D$8,"MODELO DE ATENCION PARA EVENTOS EMERGENTES EN SALUD MENTAL (CODIGO VERDE)",IF(N334=CURSOS!$D$9,"HUMANIZACION EN SALUD, BUENAS PRACTICAS EN PACIENTE ",IF(N334=CURSOS!$D$10,"CLINICA DE HERIDAS ",IF(N334=CURSOS!$D$11,"TOMA DE CITOLOGIA A CERVICO VAGINAL ",IF(N334=CURSOS!$D$12,"SOPORTE CARDIOVASCULAR AVANZADO ",IF(N334=CURSOS!$D$13,"CAMILLERO ",IF(N334=CURSOS!$D$14,"TOMA MUESTRAS Y LABORATORIO ",IF(N334=CURSOS!$D$15,"SOPORTE VITAL BASICO (BLS)",IF(N334=CURSOS!$D$16,"ATENCION A VICTIMAS DE VIOLENCIA SEXUAL ",IF(N334=CURSOS!$D$17,"PROGRAMADO AMPLIADO DE INMUNIZACION (PAI - COVID 19)",IF(N334=CURSOS!$D$18,"ATENCION INTEGRAL EN ENFERMEDADES PREVALENTES EN PRIMERA INFANCIA (AIEPI)",IF(N334=CURSOS!$D$19,"ADMINISTRACION DE MEDICAMENTOS, IYECTOLOGIA  Y CANALIZACION ",IF(N334=CURSOS!$D$20,"OPERADOR DE VEHICULOS DE EMERGENCIA (OVE)",IF(N334=CURSOS!$D$21,"INSTITUCIONES AMIGAS DE LA MUJER Y LA INFANCIA (IAMI)",IF(N334=CURSOS!$D$22,"CUIDADO DEL DONANTE DE ORGANOS",IF(N334=CURSOS!$D$23,"ATENCION A VICTIMAS POR VIOLENCIA DE GENERO",IF(N334=CURSOS!$D$24,"IGUALDAD DE GENERO EN LA SALUD",IF(N334=CURSOS!$D$25,"BRIGADA DE EMERGENCIA",IF(N334=CURSOS!$D$26,"MANEJO DEL DOLOR Y CUIDADOS PALIATIVOS",IF(N334=CURSOS!$D$27,"TOMA MUESTRAS Y LABORATORIO POCT",IF(N334=CURSOS!$D$28,"IMPLANTE SUBDERMICO Y DISPOSITIVO INTRAUTERINO",IF(N334=CURSOS!$D$29,"SALUD MENTAL",IF(N334=CURSOS!$D$30,"PRIMEROS AUXILIOS PSICOLOGICOS",IF(N334=CURSOS!$D$31,"ATENCION A VICTIMAS POR CONFLICTO ARMADO",IF(N334=CURSOS!$D$32,"MANIPULACION DE ALIMENTOS Y BPM"))))))))))))))))))))))))))))))</f>
        <v>0</v>
      </c>
      <c r="U334" s="41" t="str">
        <f t="shared" si="32"/>
        <v xml:space="preserve">   </v>
      </c>
      <c r="V334" s="41" t="str">
        <f t="shared" si="33"/>
        <v xml:space="preserve">   </v>
      </c>
      <c r="W334" s="41" t="str">
        <f t="shared" si="31"/>
        <v xml:space="preserve">   --</v>
      </c>
    </row>
    <row r="335" spans="1:23" x14ac:dyDescent="0.2">
      <c r="B335" s="62"/>
    </row>
    <row r="336" spans="1:23" x14ac:dyDescent="0.2">
      <c r="B336" s="62"/>
    </row>
    <row r="337" spans="2:2" x14ac:dyDescent="0.2">
      <c r="B337" s="62"/>
    </row>
    <row r="338" spans="2:2" x14ac:dyDescent="0.2">
      <c r="B338" s="62"/>
    </row>
    <row r="1048556" spans="9:9" x14ac:dyDescent="0.2">
      <c r="I1048556" s="18"/>
    </row>
    <row r="1048565" spans="10:10" x14ac:dyDescent="0.2">
      <c r="J1048565" s="22"/>
    </row>
  </sheetData>
  <phoneticPr fontId="7" type="noConversion"/>
  <hyperlinks>
    <hyperlink ref="S5" r:id="rId1" xr:uid="{00000000-0004-0000-0000-000000000000}"/>
    <hyperlink ref="S6" r:id="rId2" xr:uid="{00000000-0004-0000-0000-000001000000}"/>
    <hyperlink ref="S12" r:id="rId3" xr:uid="{00000000-0004-0000-0000-000002000000}"/>
    <hyperlink ref="S17" r:id="rId4" xr:uid="{00000000-0004-0000-0000-000003000000}"/>
    <hyperlink ref="S18" r:id="rId5" xr:uid="{00000000-0004-0000-0000-000004000000}"/>
    <hyperlink ref="S94" r:id="rId6" xr:uid="{00000000-0004-0000-0000-000005000000}"/>
    <hyperlink ref="S95" r:id="rId7" xr:uid="{00000000-0004-0000-0000-000006000000}"/>
    <hyperlink ref="S96" r:id="rId8" xr:uid="{00000000-0004-0000-0000-000007000000}"/>
    <hyperlink ref="S97" r:id="rId9" xr:uid="{00000000-0004-0000-0000-000008000000}"/>
    <hyperlink ref="S98" r:id="rId10" xr:uid="{00000000-0004-0000-0000-000009000000}"/>
    <hyperlink ref="S99" r:id="rId11" xr:uid="{00000000-0004-0000-0000-00000A000000}"/>
    <hyperlink ref="S100" r:id="rId12" xr:uid="{00000000-0004-0000-0000-00000B000000}"/>
    <hyperlink ref="S101" r:id="rId13" xr:uid="{00000000-0004-0000-0000-00000C000000}"/>
    <hyperlink ref="S102" r:id="rId14" xr:uid="{00000000-0004-0000-0000-00000D000000}"/>
    <hyperlink ref="S103" r:id="rId15" xr:uid="{00000000-0004-0000-0000-00000E000000}"/>
    <hyperlink ref="S104" r:id="rId16" xr:uid="{00000000-0004-0000-0000-00000F000000}"/>
    <hyperlink ref="S105" r:id="rId17" xr:uid="{00000000-0004-0000-0000-000010000000}"/>
    <hyperlink ref="S106" r:id="rId18" xr:uid="{00000000-0004-0000-0000-000011000000}"/>
    <hyperlink ref="S107" r:id="rId19" xr:uid="{00000000-0004-0000-0000-000012000000}"/>
    <hyperlink ref="S126" r:id="rId20" xr:uid="{00000000-0004-0000-0000-000013000000}"/>
    <hyperlink ref="S127" r:id="rId21" xr:uid="{00000000-0004-0000-0000-000014000000}"/>
  </hyperlinks>
  <pageMargins left="0.7" right="0.7" top="0.75" bottom="0.75" header="0.3" footer="0.3"/>
  <pageSetup paperSize="9" scale="12" orientation="portrait" r:id="rId2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C1:E34"/>
  <sheetViews>
    <sheetView topLeftCell="B1" zoomScale="85" zoomScaleNormal="85" workbookViewId="0">
      <selection activeCell="E34" sqref="E34"/>
    </sheetView>
  </sheetViews>
  <sheetFormatPr baseColWidth="10" defaultRowHeight="15" x14ac:dyDescent="0.25"/>
  <cols>
    <col min="3" max="3" width="8.140625" style="2" bestFit="1" customWidth="1"/>
    <col min="4" max="4" width="32.5703125" bestFit="1" customWidth="1"/>
    <col min="5" max="5" width="97" bestFit="1" customWidth="1"/>
  </cols>
  <sheetData>
    <row r="1" spans="3:5" ht="15.75" thickBot="1" x14ac:dyDescent="0.3"/>
    <row r="2" spans="3:5" ht="15.75" thickBot="1" x14ac:dyDescent="0.3">
      <c r="C2" s="67" t="s">
        <v>20</v>
      </c>
      <c r="D2" s="67" t="s">
        <v>11</v>
      </c>
      <c r="E2" s="68" t="s">
        <v>15</v>
      </c>
    </row>
    <row r="3" spans="3:5" x14ac:dyDescent="0.25">
      <c r="C3" s="3">
        <v>1</v>
      </c>
      <c r="D3" s="4" t="s">
        <v>21</v>
      </c>
      <c r="E3" s="5" t="s">
        <v>22</v>
      </c>
    </row>
    <row r="4" spans="3:5" x14ac:dyDescent="0.25">
      <c r="C4" s="6">
        <v>2</v>
      </c>
      <c r="D4" s="7" t="s">
        <v>23</v>
      </c>
      <c r="E4" s="8" t="s">
        <v>24</v>
      </c>
    </row>
    <row r="5" spans="3:5" x14ac:dyDescent="0.25">
      <c r="C5" s="9">
        <v>3</v>
      </c>
      <c r="D5" s="7" t="s">
        <v>25</v>
      </c>
      <c r="E5" s="8" t="s">
        <v>26</v>
      </c>
    </row>
    <row r="6" spans="3:5" x14ac:dyDescent="0.25">
      <c r="C6" s="6">
        <v>4</v>
      </c>
      <c r="D6" s="7" t="s">
        <v>27</v>
      </c>
      <c r="E6" s="8" t="s">
        <v>28</v>
      </c>
    </row>
    <row r="7" spans="3:5" x14ac:dyDescent="0.25">
      <c r="C7" s="9">
        <v>5</v>
      </c>
      <c r="D7" s="7" t="s">
        <v>29</v>
      </c>
      <c r="E7" s="8" t="s">
        <v>30</v>
      </c>
    </row>
    <row r="8" spans="3:5" x14ac:dyDescent="0.25">
      <c r="C8" s="6">
        <v>6</v>
      </c>
      <c r="D8" s="7" t="s">
        <v>31</v>
      </c>
      <c r="E8" s="8" t="s">
        <v>32</v>
      </c>
    </row>
    <row r="9" spans="3:5" x14ac:dyDescent="0.25">
      <c r="C9" s="9">
        <v>7</v>
      </c>
      <c r="D9" s="7" t="s">
        <v>33</v>
      </c>
      <c r="E9" s="8" t="s">
        <v>34</v>
      </c>
    </row>
    <row r="10" spans="3:5" x14ac:dyDescent="0.25">
      <c r="C10" s="6">
        <v>8</v>
      </c>
      <c r="D10" s="7" t="s">
        <v>35</v>
      </c>
      <c r="E10" s="8" t="s">
        <v>36</v>
      </c>
    </row>
    <row r="11" spans="3:5" x14ac:dyDescent="0.25">
      <c r="C11" s="9">
        <v>9</v>
      </c>
      <c r="D11" s="10" t="s">
        <v>37</v>
      </c>
      <c r="E11" s="8" t="s">
        <v>38</v>
      </c>
    </row>
    <row r="12" spans="3:5" x14ac:dyDescent="0.25">
      <c r="C12" s="6">
        <v>10</v>
      </c>
      <c r="D12" s="11" t="s">
        <v>39</v>
      </c>
      <c r="E12" s="8" t="s">
        <v>40</v>
      </c>
    </row>
    <row r="13" spans="3:5" x14ac:dyDescent="0.25">
      <c r="C13" s="9">
        <v>11</v>
      </c>
      <c r="D13" s="11" t="s">
        <v>41</v>
      </c>
      <c r="E13" s="8" t="s">
        <v>42</v>
      </c>
    </row>
    <row r="14" spans="3:5" x14ac:dyDescent="0.25">
      <c r="C14" s="6">
        <v>12</v>
      </c>
      <c r="D14" s="11" t="s">
        <v>43</v>
      </c>
      <c r="E14" s="8" t="s">
        <v>44</v>
      </c>
    </row>
    <row r="15" spans="3:5" x14ac:dyDescent="0.25">
      <c r="C15" s="9">
        <v>13</v>
      </c>
      <c r="D15" s="11" t="s">
        <v>19</v>
      </c>
      <c r="E15" s="8" t="s">
        <v>45</v>
      </c>
    </row>
    <row r="16" spans="3:5" x14ac:dyDescent="0.25">
      <c r="C16" s="6">
        <v>14</v>
      </c>
      <c r="D16" s="11" t="s">
        <v>46</v>
      </c>
      <c r="E16" s="8" t="s">
        <v>47</v>
      </c>
    </row>
    <row r="17" spans="3:5" x14ac:dyDescent="0.25">
      <c r="C17" s="9">
        <v>15</v>
      </c>
      <c r="D17" s="11" t="s">
        <v>82</v>
      </c>
      <c r="E17" s="8" t="s">
        <v>48</v>
      </c>
    </row>
    <row r="18" spans="3:5" x14ac:dyDescent="0.25">
      <c r="C18" s="6">
        <v>16</v>
      </c>
      <c r="D18" s="11" t="s">
        <v>49</v>
      </c>
      <c r="E18" s="8" t="s">
        <v>50</v>
      </c>
    </row>
    <row r="19" spans="3:5" x14ac:dyDescent="0.25">
      <c r="C19" s="9">
        <v>17</v>
      </c>
      <c r="D19" s="11" t="s">
        <v>51</v>
      </c>
      <c r="E19" s="8" t="s">
        <v>85</v>
      </c>
    </row>
    <row r="20" spans="3:5" x14ac:dyDescent="0.25">
      <c r="C20" s="6">
        <v>18</v>
      </c>
      <c r="D20" s="11" t="s">
        <v>52</v>
      </c>
      <c r="E20" s="8" t="s">
        <v>53</v>
      </c>
    </row>
    <row r="21" spans="3:5" x14ac:dyDescent="0.25">
      <c r="C21" s="9">
        <v>19</v>
      </c>
      <c r="D21" s="11" t="s">
        <v>54</v>
      </c>
      <c r="E21" s="12" t="s">
        <v>55</v>
      </c>
    </row>
    <row r="22" spans="3:5" x14ac:dyDescent="0.25">
      <c r="C22" s="6">
        <v>20</v>
      </c>
      <c r="D22" s="11" t="s">
        <v>56</v>
      </c>
      <c r="E22" s="12" t="s">
        <v>57</v>
      </c>
    </row>
    <row r="23" spans="3:5" x14ac:dyDescent="0.25">
      <c r="C23" s="9">
        <v>21</v>
      </c>
      <c r="D23" s="11" t="s">
        <v>58</v>
      </c>
      <c r="E23" s="12" t="s">
        <v>59</v>
      </c>
    </row>
    <row r="24" spans="3:5" x14ac:dyDescent="0.25">
      <c r="C24" s="6">
        <v>22</v>
      </c>
      <c r="D24" s="11" t="s">
        <v>60</v>
      </c>
      <c r="E24" s="13" t="s">
        <v>61</v>
      </c>
    </row>
    <row r="25" spans="3:5" x14ac:dyDescent="0.25">
      <c r="C25" s="69">
        <v>23</v>
      </c>
      <c r="D25" s="11" t="s">
        <v>62</v>
      </c>
      <c r="E25" s="8" t="s">
        <v>63</v>
      </c>
    </row>
    <row r="26" spans="3:5" x14ac:dyDescent="0.25">
      <c r="C26" s="69">
        <v>24</v>
      </c>
      <c r="D26" s="11" t="s">
        <v>64</v>
      </c>
      <c r="E26" s="12" t="s">
        <v>65</v>
      </c>
    </row>
    <row r="27" spans="3:5" x14ac:dyDescent="0.25">
      <c r="C27" s="69">
        <v>25</v>
      </c>
      <c r="D27" s="11" t="s">
        <v>66</v>
      </c>
      <c r="E27" s="8" t="s">
        <v>67</v>
      </c>
    </row>
    <row r="28" spans="3:5" x14ac:dyDescent="0.25">
      <c r="C28" s="69">
        <v>26</v>
      </c>
      <c r="D28" s="11" t="s">
        <v>68</v>
      </c>
      <c r="E28" s="8" t="s">
        <v>69</v>
      </c>
    </row>
    <row r="29" spans="3:5" x14ac:dyDescent="0.25">
      <c r="C29" s="69">
        <v>27</v>
      </c>
      <c r="D29" s="11" t="s">
        <v>70</v>
      </c>
      <c r="E29" s="8" t="s">
        <v>70</v>
      </c>
    </row>
    <row r="30" spans="3:5" x14ac:dyDescent="0.25">
      <c r="C30" s="69">
        <v>28</v>
      </c>
      <c r="D30" s="11" t="s">
        <v>71</v>
      </c>
      <c r="E30" s="8" t="s">
        <v>72</v>
      </c>
    </row>
    <row r="31" spans="3:5" x14ac:dyDescent="0.25">
      <c r="C31" s="69">
        <v>29</v>
      </c>
      <c r="D31" s="11" t="s">
        <v>73</v>
      </c>
      <c r="E31" s="8" t="s">
        <v>74</v>
      </c>
    </row>
    <row r="32" spans="3:5" x14ac:dyDescent="0.25">
      <c r="C32" s="69">
        <v>30</v>
      </c>
      <c r="D32" s="11" t="s">
        <v>83</v>
      </c>
      <c r="E32" s="8" t="s">
        <v>84</v>
      </c>
    </row>
    <row r="33" spans="3:5" x14ac:dyDescent="0.25">
      <c r="C33" s="69">
        <v>31</v>
      </c>
      <c r="D33" s="11" t="s">
        <v>103</v>
      </c>
      <c r="E33" s="8" t="s">
        <v>102</v>
      </c>
    </row>
    <row r="34" spans="3:5" ht="15.75" thickBot="1" x14ac:dyDescent="0.3">
      <c r="C34" s="70">
        <v>32</v>
      </c>
      <c r="D34" s="90" t="s">
        <v>354</v>
      </c>
      <c r="E34" s="65" t="s">
        <v>355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H320"/>
  <sheetViews>
    <sheetView topLeftCell="A162" zoomScale="70" zoomScaleNormal="70" workbookViewId="0">
      <selection activeCell="E170" sqref="E170"/>
    </sheetView>
  </sheetViews>
  <sheetFormatPr baseColWidth="10" defaultRowHeight="15" customHeight="1" x14ac:dyDescent="0.25"/>
  <cols>
    <col min="1" max="1" width="39.28515625" bestFit="1" customWidth="1"/>
    <col min="2" max="2" width="84.140625" bestFit="1" customWidth="1"/>
    <col min="3" max="3" width="14.5703125" bestFit="1" customWidth="1"/>
    <col min="4" max="4" width="100.140625" bestFit="1" customWidth="1"/>
    <col min="5" max="5" width="17.42578125" customWidth="1"/>
    <col min="6" max="6" width="38.140625" bestFit="1" customWidth="1"/>
    <col min="7" max="7" width="11.140625" bestFit="1" customWidth="1"/>
    <col min="8" max="8" width="35" bestFit="1" customWidth="1"/>
  </cols>
  <sheetData>
    <row r="1" spans="1:8" ht="15.75" thickBot="1" x14ac:dyDescent="0.3">
      <c r="F1" s="14"/>
      <c r="G1" s="37" t="s">
        <v>20</v>
      </c>
      <c r="H1" s="27" t="s">
        <v>11</v>
      </c>
    </row>
    <row r="2" spans="1:8" x14ac:dyDescent="0.25">
      <c r="A2" s="24"/>
      <c r="B2" s="23"/>
      <c r="C2" s="1"/>
      <c r="G2" s="3">
        <v>1</v>
      </c>
      <c r="H2" s="91" t="s">
        <v>21</v>
      </c>
    </row>
    <row r="3" spans="1:8" ht="15" customHeight="1" x14ac:dyDescent="0.25">
      <c r="A3" s="24"/>
      <c r="B3" s="23"/>
      <c r="C3" s="1"/>
      <c r="G3" s="6">
        <v>2</v>
      </c>
      <c r="H3" s="12" t="s">
        <v>23</v>
      </c>
    </row>
    <row r="4" spans="1:8" ht="15" customHeight="1" x14ac:dyDescent="0.3">
      <c r="A4" s="24"/>
      <c r="B4" s="23"/>
      <c r="C4" s="1"/>
      <c r="E4" s="15"/>
      <c r="G4" s="9">
        <v>3</v>
      </c>
      <c r="H4" s="12" t="s">
        <v>25</v>
      </c>
    </row>
    <row r="5" spans="1:8" ht="15" customHeight="1" x14ac:dyDescent="0.25">
      <c r="A5" s="24"/>
      <c r="B5" s="23"/>
      <c r="C5" s="1"/>
      <c r="G5" s="6">
        <v>4</v>
      </c>
      <c r="H5" s="12" t="s">
        <v>27</v>
      </c>
    </row>
    <row r="6" spans="1:8" ht="15" customHeight="1" x14ac:dyDescent="0.25">
      <c r="A6" s="24"/>
      <c r="B6" s="23"/>
      <c r="C6" s="1"/>
      <c r="G6" s="9">
        <v>5</v>
      </c>
      <c r="H6" s="12" t="s">
        <v>29</v>
      </c>
    </row>
    <row r="7" spans="1:8" ht="15" customHeight="1" x14ac:dyDescent="0.25">
      <c r="A7" s="24"/>
      <c r="B7" s="23"/>
      <c r="C7" s="1"/>
      <c r="G7" s="6">
        <v>6</v>
      </c>
      <c r="H7" s="12" t="s">
        <v>31</v>
      </c>
    </row>
    <row r="8" spans="1:8" ht="15" customHeight="1" x14ac:dyDescent="0.25">
      <c r="A8" s="24"/>
      <c r="B8" s="23"/>
      <c r="C8" s="1"/>
      <c r="G8" s="9">
        <v>7</v>
      </c>
      <c r="H8" s="12" t="s">
        <v>33</v>
      </c>
    </row>
    <row r="9" spans="1:8" ht="15" customHeight="1" x14ac:dyDescent="0.25">
      <c r="A9" s="24"/>
      <c r="B9" s="23"/>
      <c r="C9" s="1"/>
      <c r="G9" s="6">
        <v>8</v>
      </c>
      <c r="H9" s="12" t="s">
        <v>35</v>
      </c>
    </row>
    <row r="10" spans="1:8" ht="15" customHeight="1" x14ac:dyDescent="0.25">
      <c r="A10" s="24"/>
      <c r="B10" s="23"/>
      <c r="C10" s="1"/>
      <c r="G10" s="9">
        <v>9</v>
      </c>
      <c r="H10" s="13" t="s">
        <v>37</v>
      </c>
    </row>
    <row r="11" spans="1:8" ht="15" customHeight="1" x14ac:dyDescent="0.25">
      <c r="A11" s="24"/>
      <c r="B11" s="23"/>
      <c r="C11" s="1"/>
      <c r="G11" s="6">
        <v>10</v>
      </c>
      <c r="H11" s="8" t="s">
        <v>39</v>
      </c>
    </row>
    <row r="12" spans="1:8" ht="15" customHeight="1" x14ac:dyDescent="0.25">
      <c r="A12" s="24"/>
      <c r="B12" s="23"/>
      <c r="C12" s="1"/>
      <c r="G12" s="9">
        <v>11</v>
      </c>
      <c r="H12" s="8" t="s">
        <v>41</v>
      </c>
    </row>
    <row r="13" spans="1:8" ht="15" customHeight="1" x14ac:dyDescent="0.25">
      <c r="A13" s="24"/>
      <c r="B13" s="23"/>
      <c r="C13" s="1"/>
      <c r="G13" s="6">
        <v>12</v>
      </c>
      <c r="H13" s="8" t="s">
        <v>43</v>
      </c>
    </row>
    <row r="14" spans="1:8" ht="15" customHeight="1" x14ac:dyDescent="0.25">
      <c r="A14" s="24"/>
      <c r="B14" s="23"/>
      <c r="C14" s="1"/>
      <c r="G14" s="9">
        <v>13</v>
      </c>
      <c r="H14" s="8" t="s">
        <v>19</v>
      </c>
    </row>
    <row r="15" spans="1:8" ht="15" customHeight="1" x14ac:dyDescent="0.25">
      <c r="A15" s="24"/>
      <c r="B15" s="23"/>
      <c r="C15" s="1"/>
      <c r="G15" s="6">
        <v>14</v>
      </c>
      <c r="H15" s="8" t="s">
        <v>46</v>
      </c>
    </row>
    <row r="16" spans="1:8" ht="15" customHeight="1" x14ac:dyDescent="0.25">
      <c r="A16" s="24"/>
      <c r="B16" s="23"/>
      <c r="C16" s="1"/>
      <c r="G16" s="9">
        <v>15</v>
      </c>
      <c r="H16" s="8" t="s">
        <v>82</v>
      </c>
    </row>
    <row r="17" spans="1:8" ht="15" customHeight="1" x14ac:dyDescent="0.25">
      <c r="A17" s="24"/>
      <c r="B17" s="23"/>
      <c r="C17" s="1"/>
      <c r="G17" s="6">
        <v>16</v>
      </c>
      <c r="H17" s="8" t="s">
        <v>49</v>
      </c>
    </row>
    <row r="18" spans="1:8" ht="15" customHeight="1" x14ac:dyDescent="0.25">
      <c r="A18" s="24"/>
      <c r="B18" s="23"/>
      <c r="C18" s="1"/>
      <c r="G18" s="9">
        <v>17</v>
      </c>
      <c r="H18" s="8" t="s">
        <v>51</v>
      </c>
    </row>
    <row r="19" spans="1:8" ht="15" customHeight="1" x14ac:dyDescent="0.25">
      <c r="A19" s="24"/>
      <c r="B19" s="23"/>
      <c r="C19" s="1"/>
      <c r="G19" s="6">
        <v>18</v>
      </c>
      <c r="H19" s="8" t="s">
        <v>52</v>
      </c>
    </row>
    <row r="20" spans="1:8" ht="15" customHeight="1" x14ac:dyDescent="0.25">
      <c r="A20" s="24"/>
      <c r="B20" s="23"/>
      <c r="C20" s="1"/>
      <c r="G20" s="9">
        <v>19</v>
      </c>
      <c r="H20" s="8" t="s">
        <v>54</v>
      </c>
    </row>
    <row r="21" spans="1:8" ht="15" customHeight="1" x14ac:dyDescent="0.25">
      <c r="A21" s="24"/>
      <c r="B21" s="23"/>
      <c r="C21" s="1"/>
      <c r="G21" s="6">
        <v>20</v>
      </c>
      <c r="H21" s="8" t="s">
        <v>56</v>
      </c>
    </row>
    <row r="22" spans="1:8" ht="15" customHeight="1" x14ac:dyDescent="0.25">
      <c r="A22" s="25"/>
      <c r="B22" s="23"/>
      <c r="C22" s="1"/>
      <c r="G22" s="9">
        <v>21</v>
      </c>
      <c r="H22" s="8" t="s">
        <v>58</v>
      </c>
    </row>
    <row r="23" spans="1:8" ht="15" customHeight="1" x14ac:dyDescent="0.25">
      <c r="A23" s="25"/>
      <c r="B23" s="23"/>
      <c r="C23" s="1"/>
      <c r="G23" s="6">
        <v>22</v>
      </c>
      <c r="H23" s="8" t="s">
        <v>60</v>
      </c>
    </row>
    <row r="24" spans="1:8" ht="15" customHeight="1" x14ac:dyDescent="0.25">
      <c r="A24" s="24"/>
      <c r="B24" s="23"/>
      <c r="C24" s="1"/>
      <c r="G24" s="92">
        <v>23</v>
      </c>
      <c r="H24" s="8" t="s">
        <v>62</v>
      </c>
    </row>
    <row r="25" spans="1:8" ht="15" customHeight="1" x14ac:dyDescent="0.25">
      <c r="A25" s="25"/>
      <c r="B25" s="23"/>
      <c r="C25" s="1"/>
      <c r="G25" s="92">
        <v>24</v>
      </c>
      <c r="H25" s="8" t="s">
        <v>64</v>
      </c>
    </row>
    <row r="26" spans="1:8" ht="15" customHeight="1" x14ac:dyDescent="0.25">
      <c r="A26" s="25"/>
      <c r="B26" s="23"/>
      <c r="C26" s="1"/>
      <c r="G26" s="92">
        <v>25</v>
      </c>
      <c r="H26" s="8" t="s">
        <v>66</v>
      </c>
    </row>
    <row r="27" spans="1:8" ht="15" customHeight="1" x14ac:dyDescent="0.25">
      <c r="A27" s="25"/>
      <c r="B27" s="23"/>
      <c r="C27" s="1"/>
      <c r="G27" s="92">
        <v>26</v>
      </c>
      <c r="H27" s="8" t="s">
        <v>68</v>
      </c>
    </row>
    <row r="28" spans="1:8" ht="15" customHeight="1" x14ac:dyDescent="0.25">
      <c r="A28" s="24"/>
      <c r="B28" s="23"/>
      <c r="C28" s="1"/>
      <c r="G28" s="92">
        <v>27</v>
      </c>
      <c r="H28" s="8" t="s">
        <v>70</v>
      </c>
    </row>
    <row r="29" spans="1:8" ht="15" customHeight="1" x14ac:dyDescent="0.25">
      <c r="A29" s="25"/>
      <c r="B29" s="23"/>
      <c r="C29" s="1"/>
      <c r="G29" s="92">
        <v>28</v>
      </c>
      <c r="H29" s="8" t="s">
        <v>71</v>
      </c>
    </row>
    <row r="30" spans="1:8" ht="15" customHeight="1" x14ac:dyDescent="0.25">
      <c r="A30" s="26"/>
      <c r="B30" s="23"/>
      <c r="C30" s="1"/>
      <c r="D30" t="s">
        <v>356</v>
      </c>
      <c r="G30" s="92">
        <v>29</v>
      </c>
      <c r="H30" s="8" t="s">
        <v>73</v>
      </c>
    </row>
    <row r="31" spans="1:8" ht="15" customHeight="1" thickBot="1" x14ac:dyDescent="0.3">
      <c r="A31" s="26"/>
      <c r="B31" s="23"/>
      <c r="C31" s="1"/>
      <c r="G31" s="92">
        <v>30</v>
      </c>
      <c r="H31" s="8" t="s">
        <v>83</v>
      </c>
    </row>
    <row r="32" spans="1:8" ht="15" customHeight="1" thickBot="1" x14ac:dyDescent="0.3">
      <c r="A32" s="38" t="s">
        <v>11</v>
      </c>
      <c r="B32" s="39" t="s">
        <v>79</v>
      </c>
      <c r="C32" s="39" t="s">
        <v>80</v>
      </c>
      <c r="D32" s="39" t="s">
        <v>81</v>
      </c>
      <c r="E32" s="40"/>
      <c r="G32" s="92">
        <v>31</v>
      </c>
      <c r="H32" s="8" t="s">
        <v>103</v>
      </c>
    </row>
    <row r="33" spans="1:8" ht="59.25" customHeight="1" thickBot="1" x14ac:dyDescent="0.3">
      <c r="A33" s="29" t="str">
        <f>INSCRITOS!N2</f>
        <v>ACLS</v>
      </c>
      <c r="B33" s="14" t="str">
        <f>IF(A33=$H$19,"https://centrodecapacitaciondelsur.com/o-v-e-",IF(A33=$H$2,"https://centrodecapacitaciondelsur.com/aph-",IF(A33=$H$3,"https://centrodecapacitaciondelsur.com/manejo-del-duelo-",IF(A33=$H$4,"https://centrodecapacitaciondelsur.com/victimas-por-agentes-quimicos-",IF(A33=$H$5,"https://centrodecapacitaciondelsur.com/primeros-auxilios-",IF(A33=$H$6,"https://centrodecapacitaciondelsur.com/uci-",IF(A33=$H$8,"https://centrodecapacitaciondelsur.com/humanizacion-",IF(A33=$H$11,"https://centrodecapacitaciondelsur.com/soporte-cardiovascular-avanzado-",IF(A33=$H$12,"https://centrodecapacitaciondelsur.com/camillero-",IF(A33=$H$13,"https://centrodecapacitaciondelsur.com/toma-de-muestras-y-lab-clinico-",IF(A33=$H$14,"https://centrodecapacitaciondelsur.com/soporte-basico-de-vida-",IF(A33=$H$15,"https://centrodecapacitaciondelsur.com/violencia-sexual-",IF(A33=$H$17,"https://centrodecapacitaciondelsur.com/aiepi-",IF(A33=$H$18,"https://centrodecapacitaciondelsur.com/adm-medicamentos-canalizacion-inyectologia-",IF(A33=$H$25,"https://centrodecapacitaciondelsur.com/manejo-del-dolor-y-cuidados-paliativos-",IF(A33=$H$26,"https://centrodecapacitaciondelsur.com/toma-de-muestras-y-lab-clinico-poct-",IF(A33=$H$27,"https://centrodecapacitaciondelsur.com/implante-subdermico-",IF(A33=$H$21,"https://centrodecapacitaciondelsur.com/donante-de-organos-",IF(A33=$H$30,"https://centrodecapacitaciondelsur.com/atencion-a-victimas-del-conflicto-armado-",IF(A33=$H$20,"https://centrodecapacitaciondelsur.com/iami-",IF(A33=$H$22,"https://centrodecapacitaciondelsur.com/violencia-de-genero-",IF(A33=$H$23,"https://centrodecapacitaciondelsur.com/igualdad-de-genero-",IF(A33=$H$16,"https://centrodecapacitaciondelsur.com/pai-",IF(A33=$H$31,"https://centrodecapacitaciondelsur.com/manipulacion-de-alimentos-",IF(A33=$H$32,"https://centrodecapacitaciondelsur.com/atencion-a-personas-con-discapacidad-",IF(A33=$H$33,"https://centrodecapacitaciondelsur.com/atencion-al-adulto-mayor-"))))))))))))))))))))))))))</f>
        <v>https://centrodecapacitaciondelsur.com/soporte-cardiovascular-avanzado-</v>
      </c>
      <c r="C33" s="29">
        <f>INSCRITOS!B2</f>
        <v>87454775</v>
      </c>
      <c r="D33" t="str">
        <f>CONCATENATE(B33,C33,"/")</f>
        <v>https://centrodecapacitaciondelsur.com/soporte-cardiovascular-avanzado-87454775/</v>
      </c>
      <c r="G33" s="93">
        <v>32</v>
      </c>
      <c r="H33" s="65" t="s">
        <v>354</v>
      </c>
    </row>
    <row r="34" spans="1:8" ht="59.25" customHeight="1" x14ac:dyDescent="0.25">
      <c r="A34" s="29" t="str">
        <f>INSCRITOS!N3</f>
        <v>BLS</v>
      </c>
      <c r="B34" s="14" t="str">
        <f t="shared" ref="B34:B97" si="0">IF(A34=$H$19,"https://centrodecapacitaciondelsur.com/o-v-e-",IF(A34=$H$2,"https://centrodecapacitaciondelsur.com/aph-",IF(A34=$H$3,"https://centrodecapacitaciondelsur.com/manejo-del-duelo-",IF(A34=$H$4,"https://centrodecapacitaciondelsur.com/victimas-por-agentes-quimicos-",IF(A34=$H$5,"https://centrodecapacitaciondelsur.com/primeros-auxilios-",IF(A34=$H$6,"https://centrodecapacitaciondelsur.com/uci-",IF(A34=$H$8,"https://centrodecapacitaciondelsur.com/humanizacion-",IF(A34=$H$11,"https://centrodecapacitaciondelsur.com/soporte-cardiovascular-avanzado-",IF(A34=$H$12,"https://centrodecapacitaciondelsur.com/camillero-",IF(A34=$H$13,"https://centrodecapacitaciondelsur.com/toma-de-muestras-y-lab-clinico-",IF(A34=$H$14,"https://centrodecapacitaciondelsur.com/soporte-basico-de-vida-",IF(A34=$H$15,"https://centrodecapacitaciondelsur.com/violencia-sexual-",IF(A34=$H$17,"https://centrodecapacitaciondelsur.com/aiepi-",IF(A34=$H$18,"https://centrodecapacitaciondelsur.com/adm-medicamentos-canalizacion-inyectologia-",IF(A34=$H$25,"https://centrodecapacitaciondelsur.com/manejo-del-dolor-y-cuidados-paliativos-",IF(A34=$H$26,"https://centrodecapacitaciondelsur.com/toma-de-muestras-y-lab-clinico-poct-",IF(A34=$H$27,"https://centrodecapacitaciondelsur.com/implante-subdermico-",IF(A34=$H$21,"https://centrodecapacitaciondelsur.com/donante-de-organos-",IF(A34=$H$30,"https://centrodecapacitaciondelsur.com/atencion-a-victimas-del-conflicto-armado-",IF(A34=$H$20,"https://centrodecapacitaciondelsur.com/iami-",IF(A34=$H$22,"https://centrodecapacitaciondelsur.com/violencia-de-genero-",IF(A34=$H$23,"https://centrodecapacitaciondelsur.com/igualdad-de-genero-",IF(A34=$H$16,"https://centrodecapacitaciondelsur.com/pai-",IF(A34=$H$31,"https://centrodecapacitaciondelsur.com/manipulacion-de-alimentos-",IF(A34=$H$32,"https://centrodecapacitaciondelsur.com/atencion-a-personas-con-discapacidad-",IF(A34=$H$33,"https://centrodecapacitaciondelsur.com/atencion-al-adulto-mayor-"))))))))))))))))))))))))))</f>
        <v>https://centrodecapacitaciondelsur.com/soporte-basico-de-vida-</v>
      </c>
      <c r="C34" s="29">
        <f>INSCRITOS!B3</f>
        <v>87454775</v>
      </c>
      <c r="D34" t="str">
        <f t="shared" ref="D34:D39" si="1">CONCATENATE(B34,C34,"/")</f>
        <v>https://centrodecapacitaciondelsur.com/soporte-basico-de-vida-87454775/</v>
      </c>
    </row>
    <row r="35" spans="1:8" ht="59.25" customHeight="1" x14ac:dyDescent="0.25">
      <c r="A35" s="29" t="str">
        <f>INSCRITOS!N4</f>
        <v>VIOLENCIA SEXUAL</v>
      </c>
      <c r="B35" s="14" t="str">
        <f t="shared" si="0"/>
        <v>https://centrodecapacitaciondelsur.com/violencia-sexual-</v>
      </c>
      <c r="C35" s="29">
        <f>INSCRITOS!B4</f>
        <v>87454775</v>
      </c>
      <c r="D35" t="str">
        <f t="shared" si="1"/>
        <v>https://centrodecapacitaciondelsur.com/violencia-sexual-87454775/</v>
      </c>
      <c r="H35" s="14"/>
    </row>
    <row r="36" spans="1:8" ht="59.25" customHeight="1" x14ac:dyDescent="0.25">
      <c r="A36" s="29" t="str">
        <f>INSCRITOS!N5</f>
        <v>VIOLENCIA SEXUAL</v>
      </c>
      <c r="B36" s="14" t="str">
        <f t="shared" si="0"/>
        <v>https://centrodecapacitaciondelsur.com/violencia-sexual-</v>
      </c>
      <c r="C36" s="29">
        <f>INSCRITOS!B5</f>
        <v>5293254</v>
      </c>
      <c r="D36" t="str">
        <f t="shared" si="1"/>
        <v>https://centrodecapacitaciondelsur.com/violencia-sexual-5293254/</v>
      </c>
      <c r="H36" s="14"/>
    </row>
    <row r="37" spans="1:8" ht="59.25" customHeight="1" x14ac:dyDescent="0.25">
      <c r="A37" s="29" t="str">
        <f>INSCRITOS!N6</f>
        <v>DUELO</v>
      </c>
      <c r="B37" s="14" t="str">
        <f t="shared" si="0"/>
        <v>https://centrodecapacitaciondelsur.com/manejo-del-duelo-</v>
      </c>
      <c r="C37" s="29">
        <f>INSCRITOS!B6</f>
        <v>5293254</v>
      </c>
      <c r="D37" t="str">
        <f t="shared" si="1"/>
        <v>https://centrodecapacitaciondelsur.com/manejo-del-duelo-5293254/</v>
      </c>
    </row>
    <row r="38" spans="1:8" ht="59.25" customHeight="1" x14ac:dyDescent="0.25">
      <c r="A38" s="29" t="str">
        <f>INSCRITOS!N7</f>
        <v>PALIATIVOS</v>
      </c>
      <c r="B38" s="14" t="str">
        <f t="shared" si="0"/>
        <v>https://centrodecapacitaciondelsur.com/manejo-del-dolor-y-cuidados-paliativos-</v>
      </c>
      <c r="C38" s="29">
        <f>INSCRITOS!B7</f>
        <v>1004233046</v>
      </c>
      <c r="D38" t="str">
        <f t="shared" si="1"/>
        <v>https://centrodecapacitaciondelsur.com/manejo-del-dolor-y-cuidados-paliativos-1004233046/</v>
      </c>
    </row>
    <row r="39" spans="1:8" ht="59.25" customHeight="1" x14ac:dyDescent="0.25">
      <c r="A39" s="29" t="str">
        <f>INSCRITOS!N8</f>
        <v>BLS</v>
      </c>
      <c r="B39" s="14" t="str">
        <f t="shared" si="0"/>
        <v>https://centrodecapacitaciondelsur.com/soporte-basico-de-vida-</v>
      </c>
      <c r="C39" s="29">
        <f>INSCRITOS!B8</f>
        <v>1004233046</v>
      </c>
      <c r="D39" t="str">
        <f t="shared" si="1"/>
        <v>https://centrodecapacitaciondelsur.com/soporte-basico-de-vida-1004233046/</v>
      </c>
    </row>
    <row r="40" spans="1:8" ht="59.25" customHeight="1" x14ac:dyDescent="0.25">
      <c r="A40" s="29" t="str">
        <f>INSCRITOS!N9</f>
        <v>QUIMICOS</v>
      </c>
      <c r="B40" s="14" t="str">
        <f t="shared" si="0"/>
        <v>https://centrodecapacitaciondelsur.com/victimas-por-agentes-quimicos-</v>
      </c>
      <c r="C40" s="29">
        <f>INSCRITOS!B9</f>
        <v>1085270409</v>
      </c>
      <c r="D40" t="str">
        <f t="shared" ref="D40:D103" si="2">CONCATENATE(B40,C40,"/")</f>
        <v>https://centrodecapacitaciondelsur.com/victimas-por-agentes-quimicos-1085270409/</v>
      </c>
    </row>
    <row r="41" spans="1:8" ht="59.25" customHeight="1" x14ac:dyDescent="0.25">
      <c r="A41" s="29" t="str">
        <f>INSCRITOS!N10</f>
        <v>BLS</v>
      </c>
      <c r="B41" s="14" t="str">
        <f t="shared" si="0"/>
        <v>https://centrodecapacitaciondelsur.com/soporte-basico-de-vida-</v>
      </c>
      <c r="C41" s="29">
        <f>INSCRITOS!B10</f>
        <v>1085270409</v>
      </c>
      <c r="D41" t="str">
        <f t="shared" si="2"/>
        <v>https://centrodecapacitaciondelsur.com/soporte-basico-de-vida-1085270409/</v>
      </c>
    </row>
    <row r="42" spans="1:8" ht="59.25" customHeight="1" x14ac:dyDescent="0.25">
      <c r="A42" s="29" t="str">
        <f>INSCRITOS!N11</f>
        <v>BLS</v>
      </c>
      <c r="B42" s="14" t="str">
        <f t="shared" si="0"/>
        <v>https://centrodecapacitaciondelsur.com/soporte-basico-de-vida-</v>
      </c>
      <c r="C42" s="29">
        <f>INSCRITOS!B11</f>
        <v>1085246219</v>
      </c>
      <c r="D42" t="str">
        <f t="shared" si="2"/>
        <v>https://centrodecapacitaciondelsur.com/soporte-basico-de-vida-1085246219/</v>
      </c>
    </row>
    <row r="43" spans="1:8" ht="59.25" customHeight="1" x14ac:dyDescent="0.25">
      <c r="A43" s="29" t="str">
        <f>INSCRITOS!N12</f>
        <v>ACLS</v>
      </c>
      <c r="B43" s="14" t="str">
        <f t="shared" si="0"/>
        <v>https://centrodecapacitaciondelsur.com/soporte-cardiovascular-avanzado-</v>
      </c>
      <c r="C43" s="29">
        <f>INSCRITOS!B12</f>
        <v>1086300002</v>
      </c>
      <c r="D43" t="str">
        <f t="shared" si="2"/>
        <v>https://centrodecapacitaciondelsur.com/soporte-cardiovascular-avanzado-1086300002/</v>
      </c>
    </row>
    <row r="44" spans="1:8" ht="59.25" customHeight="1" x14ac:dyDescent="0.25">
      <c r="A44" s="29" t="str">
        <f>INSCRITOS!N13</f>
        <v>ACLS</v>
      </c>
      <c r="B44" s="14" t="str">
        <f t="shared" si="0"/>
        <v>https://centrodecapacitaciondelsur.com/soporte-cardiovascular-avanzado-</v>
      </c>
      <c r="C44" s="29">
        <f>INSCRITOS!B13</f>
        <v>1085287462</v>
      </c>
      <c r="D44" t="str">
        <f t="shared" si="2"/>
        <v>https://centrodecapacitaciondelsur.com/soporte-cardiovascular-avanzado-1085287462/</v>
      </c>
    </row>
    <row r="45" spans="1:8" ht="59.25" customHeight="1" x14ac:dyDescent="0.25">
      <c r="A45" s="29" t="str">
        <f>INSCRITOS!N14</f>
        <v>BLS</v>
      </c>
      <c r="B45" s="14" t="str">
        <f t="shared" si="0"/>
        <v>https://centrodecapacitaciondelsur.com/soporte-basico-de-vida-</v>
      </c>
      <c r="C45" s="29">
        <f>INSCRITOS!B14</f>
        <v>1085287462</v>
      </c>
      <c r="D45" t="str">
        <f t="shared" si="2"/>
        <v>https://centrodecapacitaciondelsur.com/soporte-basico-de-vida-1085287462/</v>
      </c>
    </row>
    <row r="46" spans="1:8" ht="59.25" customHeight="1" x14ac:dyDescent="0.25">
      <c r="A46" s="29" t="str">
        <f>INSCRITOS!N15</f>
        <v>PRIMEROS AUXILIOS</v>
      </c>
      <c r="B46" s="14" t="str">
        <f t="shared" si="0"/>
        <v>https://centrodecapacitaciondelsur.com/primeros-auxilios-</v>
      </c>
      <c r="C46" s="29">
        <f>INSCRITOS!B15</f>
        <v>13072732</v>
      </c>
      <c r="D46" t="str">
        <f t="shared" si="2"/>
        <v>https://centrodecapacitaciondelsur.com/primeros-auxilios-13072732/</v>
      </c>
    </row>
    <row r="47" spans="1:8" ht="59.25" customHeight="1" x14ac:dyDescent="0.25">
      <c r="A47" s="29" t="str">
        <f>INSCRITOS!N16</f>
        <v>BLS</v>
      </c>
      <c r="B47" s="14" t="str">
        <f t="shared" si="0"/>
        <v>https://centrodecapacitaciondelsur.com/soporte-basico-de-vida-</v>
      </c>
      <c r="C47" s="29">
        <f>INSCRITOS!B16</f>
        <v>59816579</v>
      </c>
      <c r="D47" t="str">
        <f t="shared" si="2"/>
        <v>https://centrodecapacitaciondelsur.com/soporte-basico-de-vida-59816579/</v>
      </c>
    </row>
    <row r="48" spans="1:8" ht="59.25" customHeight="1" x14ac:dyDescent="0.25">
      <c r="A48" s="29" t="str">
        <f>INSCRITOS!N17</f>
        <v>ACLS</v>
      </c>
      <c r="B48" s="14" t="str">
        <f t="shared" si="0"/>
        <v>https://centrodecapacitaciondelsur.com/soporte-cardiovascular-avanzado-</v>
      </c>
      <c r="C48" s="29">
        <f>INSCRITOS!B17</f>
        <v>1004231900</v>
      </c>
      <c r="D48" t="str">
        <f t="shared" si="2"/>
        <v>https://centrodecapacitaciondelsur.com/soporte-cardiovascular-avanzado-1004231900/</v>
      </c>
    </row>
    <row r="49" spans="1:4" ht="59.25" customHeight="1" x14ac:dyDescent="0.25">
      <c r="A49" s="29" t="str">
        <f>INSCRITOS!N18</f>
        <v>VIOLENCIA SEXUAL</v>
      </c>
      <c r="B49" s="14" t="str">
        <f t="shared" si="0"/>
        <v>https://centrodecapacitaciondelsur.com/violencia-sexual-</v>
      </c>
      <c r="C49" s="29">
        <f>INSCRITOS!B18</f>
        <v>1004231900</v>
      </c>
      <c r="D49" t="str">
        <f t="shared" si="2"/>
        <v>https://centrodecapacitaciondelsur.com/violencia-sexual-1004231900/</v>
      </c>
    </row>
    <row r="50" spans="1:4" ht="59.25" customHeight="1" x14ac:dyDescent="0.25">
      <c r="A50" s="29" t="str">
        <f>INSCRITOS!N19</f>
        <v>VIOLENCIA SEXUAL</v>
      </c>
      <c r="B50" s="14" t="str">
        <f t="shared" si="0"/>
        <v>https://centrodecapacitaciondelsur.com/violencia-sexual-</v>
      </c>
      <c r="C50" s="29">
        <f>INSCRITOS!B19</f>
        <v>1004636250</v>
      </c>
      <c r="D50" t="str">
        <f t="shared" si="2"/>
        <v>https://centrodecapacitaciondelsur.com/violencia-sexual-1004636250/</v>
      </c>
    </row>
    <row r="51" spans="1:4" ht="59.25" customHeight="1" x14ac:dyDescent="0.25">
      <c r="A51" s="29" t="str">
        <f>INSCRITOS!N20</f>
        <v>BLS</v>
      </c>
      <c r="B51" s="14" t="str">
        <f t="shared" si="0"/>
        <v>https://centrodecapacitaciondelsur.com/soporte-basico-de-vida-</v>
      </c>
      <c r="C51" s="29">
        <f>INSCRITOS!B20</f>
        <v>1084848135</v>
      </c>
      <c r="D51" t="str">
        <f t="shared" si="2"/>
        <v>https://centrodecapacitaciondelsur.com/soporte-basico-de-vida-1084848135/</v>
      </c>
    </row>
    <row r="52" spans="1:4" ht="59.25" customHeight="1" x14ac:dyDescent="0.25">
      <c r="A52" s="29" t="str">
        <f>INSCRITOS!N21</f>
        <v>BLS</v>
      </c>
      <c r="B52" s="14" t="str">
        <f t="shared" si="0"/>
        <v>https://centrodecapacitaciondelsur.com/soporte-basico-de-vida-</v>
      </c>
      <c r="C52" s="29">
        <f>INSCRITOS!B21</f>
        <v>1085314282</v>
      </c>
      <c r="D52" t="str">
        <f t="shared" si="2"/>
        <v>https://centrodecapacitaciondelsur.com/soporte-basico-de-vida-1085314282/</v>
      </c>
    </row>
    <row r="53" spans="1:4" ht="59.25" customHeight="1" x14ac:dyDescent="0.25">
      <c r="A53" s="29" t="str">
        <f>INSCRITOS!N22</f>
        <v>BLS</v>
      </c>
      <c r="B53" s="14" t="str">
        <f t="shared" si="0"/>
        <v>https://centrodecapacitaciondelsur.com/soporte-basico-de-vida-</v>
      </c>
      <c r="C53" s="29">
        <f>INSCRITOS!B22</f>
        <v>1004216298</v>
      </c>
      <c r="D53" t="str">
        <f t="shared" si="2"/>
        <v>https://centrodecapacitaciondelsur.com/soporte-basico-de-vida-1004216298/</v>
      </c>
    </row>
    <row r="54" spans="1:4" ht="59.25" customHeight="1" x14ac:dyDescent="0.25">
      <c r="A54" s="29" t="str">
        <f>INSCRITOS!N23</f>
        <v>PYP</v>
      </c>
      <c r="B54" s="14" t="b">
        <f t="shared" si="0"/>
        <v>0</v>
      </c>
      <c r="C54" s="29">
        <f>INSCRITOS!B23</f>
        <v>1085336447</v>
      </c>
      <c r="D54" t="str">
        <f t="shared" si="2"/>
        <v>FALSO1085336447/</v>
      </c>
    </row>
    <row r="55" spans="1:4" ht="59.25" customHeight="1" x14ac:dyDescent="0.25">
      <c r="A55" s="29" t="str">
        <f>INSCRITOS!N24</f>
        <v>VIOLENCIA SEXUAL</v>
      </c>
      <c r="B55" s="14" t="str">
        <f t="shared" si="0"/>
        <v>https://centrodecapacitaciondelsur.com/violencia-sexual-</v>
      </c>
      <c r="C55" s="29">
        <f>INSCRITOS!B24</f>
        <v>1085332730</v>
      </c>
      <c r="D55" t="str">
        <f t="shared" si="2"/>
        <v>https://centrodecapacitaciondelsur.com/violencia-sexual-1085332730/</v>
      </c>
    </row>
    <row r="56" spans="1:4" ht="59.25" customHeight="1" x14ac:dyDescent="0.25">
      <c r="A56" s="29" t="str">
        <f>INSCRITOS!N25</f>
        <v>BLS</v>
      </c>
      <c r="B56" s="14" t="str">
        <f t="shared" si="0"/>
        <v>https://centrodecapacitaciondelsur.com/soporte-basico-de-vida-</v>
      </c>
      <c r="C56" s="29">
        <f>INSCRITOS!B25</f>
        <v>1088734549</v>
      </c>
      <c r="D56" t="str">
        <f t="shared" si="2"/>
        <v>https://centrodecapacitaciondelsur.com/soporte-basico-de-vida-1088734549/</v>
      </c>
    </row>
    <row r="57" spans="1:4" ht="59.25" customHeight="1" x14ac:dyDescent="0.25">
      <c r="A57" s="29" t="str">
        <f>INSCRITOS!N26</f>
        <v>BLS</v>
      </c>
      <c r="B57" s="14" t="str">
        <f t="shared" si="0"/>
        <v>https://centrodecapacitaciondelsur.com/soporte-basico-de-vida-</v>
      </c>
      <c r="C57" s="29">
        <f>INSCRITOS!B26</f>
        <v>1085253821</v>
      </c>
      <c r="D57" t="str">
        <f t="shared" si="2"/>
        <v>https://centrodecapacitaciondelsur.com/soporte-basico-de-vida-1085253821/</v>
      </c>
    </row>
    <row r="58" spans="1:4" ht="59.25" customHeight="1" x14ac:dyDescent="0.25">
      <c r="A58" s="29" t="str">
        <f>INSCRITOS!N27</f>
        <v>BLS</v>
      </c>
      <c r="B58" s="14" t="str">
        <f t="shared" si="0"/>
        <v>https://centrodecapacitaciondelsur.com/soporte-basico-de-vida-</v>
      </c>
      <c r="C58" s="29">
        <f>INSCRITOS!B27</f>
        <v>1085330284</v>
      </c>
      <c r="D58" t="str">
        <f t="shared" si="2"/>
        <v>https://centrodecapacitaciondelsur.com/soporte-basico-de-vida-1085330284/</v>
      </c>
    </row>
    <row r="59" spans="1:4" ht="59.25" customHeight="1" x14ac:dyDescent="0.25">
      <c r="A59" s="29" t="str">
        <f>INSCRITOS!N28</f>
        <v>BLS</v>
      </c>
      <c r="B59" s="14" t="str">
        <f t="shared" si="0"/>
        <v>https://centrodecapacitaciondelsur.com/soporte-basico-de-vida-</v>
      </c>
      <c r="C59" s="29">
        <f>INSCRITOS!B28</f>
        <v>1085297321</v>
      </c>
      <c r="D59" t="str">
        <f t="shared" si="2"/>
        <v>https://centrodecapacitaciondelsur.com/soporte-basico-de-vida-1085297321/</v>
      </c>
    </row>
    <row r="60" spans="1:4" ht="63.75" customHeight="1" x14ac:dyDescent="0.25">
      <c r="A60" s="29" t="str">
        <f>INSCRITOS!N29</f>
        <v>VIOLENCIA SEXUAL</v>
      </c>
      <c r="B60" s="14" t="str">
        <f t="shared" si="0"/>
        <v>https://centrodecapacitaciondelsur.com/violencia-sexual-</v>
      </c>
      <c r="C60" s="29">
        <f>INSCRITOS!B29</f>
        <v>79783720</v>
      </c>
      <c r="D60" t="str">
        <f t="shared" si="2"/>
        <v>https://centrodecapacitaciondelsur.com/violencia-sexual-79783720/</v>
      </c>
    </row>
    <row r="61" spans="1:4" ht="63.75" customHeight="1" x14ac:dyDescent="0.25">
      <c r="A61" s="29" t="str">
        <f>INSCRITOS!N30</f>
        <v>BLS</v>
      </c>
      <c r="B61" s="14" t="str">
        <f t="shared" si="0"/>
        <v>https://centrodecapacitaciondelsur.com/soporte-basico-de-vida-</v>
      </c>
      <c r="C61" s="29">
        <f>INSCRITOS!B30</f>
        <v>1085296943</v>
      </c>
      <c r="D61" t="str">
        <f t="shared" si="2"/>
        <v>https://centrodecapacitaciondelsur.com/soporte-basico-de-vida-1085296943/</v>
      </c>
    </row>
    <row r="62" spans="1:4" ht="63.75" customHeight="1" x14ac:dyDescent="0.25">
      <c r="A62" s="29" t="str">
        <f>INSCRITOS!N31</f>
        <v>BLS</v>
      </c>
      <c r="B62" s="14" t="str">
        <f t="shared" si="0"/>
        <v>https://centrodecapacitaciondelsur.com/soporte-basico-de-vida-</v>
      </c>
      <c r="C62" s="29">
        <f>INSCRITOS!B31</f>
        <v>1088734274</v>
      </c>
      <c r="D62" t="str">
        <f t="shared" si="2"/>
        <v>https://centrodecapacitaciondelsur.com/soporte-basico-de-vida-1088734274/</v>
      </c>
    </row>
    <row r="63" spans="1:4" ht="63.75" customHeight="1" x14ac:dyDescent="0.25">
      <c r="A63" s="29" t="str">
        <f>INSCRITOS!N32</f>
        <v>QUIMICOS</v>
      </c>
      <c r="B63" s="14" t="str">
        <f t="shared" si="0"/>
        <v>https://centrodecapacitaciondelsur.com/victimas-por-agentes-quimicos-</v>
      </c>
      <c r="C63" s="29">
        <f>INSCRITOS!B32</f>
        <v>1085322102</v>
      </c>
      <c r="D63" t="str">
        <f t="shared" si="2"/>
        <v>https://centrodecapacitaciondelsur.com/victimas-por-agentes-quimicos-1085322102/</v>
      </c>
    </row>
    <row r="64" spans="1:4" ht="63.75" customHeight="1" x14ac:dyDescent="0.25">
      <c r="A64" s="29" t="str">
        <f>INSCRITOS!N33</f>
        <v>VIOLENCIA SEXUAL</v>
      </c>
      <c r="B64" s="14" t="str">
        <f t="shared" si="0"/>
        <v>https://centrodecapacitaciondelsur.com/violencia-sexual-</v>
      </c>
      <c r="C64" s="29">
        <f>INSCRITOS!B33</f>
        <v>34316741</v>
      </c>
      <c r="D64" t="str">
        <f t="shared" si="2"/>
        <v>https://centrodecapacitaciondelsur.com/violencia-sexual-34316741/</v>
      </c>
    </row>
    <row r="65" spans="1:4" ht="63.75" customHeight="1" x14ac:dyDescent="0.25">
      <c r="A65" s="29" t="str">
        <f>INSCRITOS!N34</f>
        <v>ACLS</v>
      </c>
      <c r="B65" s="14" t="str">
        <f t="shared" si="0"/>
        <v>https://centrodecapacitaciondelsur.com/soporte-cardiovascular-avanzado-</v>
      </c>
      <c r="C65" s="29">
        <f>INSCRITOS!B34</f>
        <v>1085330284</v>
      </c>
      <c r="D65" t="str">
        <f t="shared" si="2"/>
        <v>https://centrodecapacitaciondelsur.com/soporte-cardiovascular-avanzado-1085330284/</v>
      </c>
    </row>
    <row r="66" spans="1:4" ht="63.75" customHeight="1" x14ac:dyDescent="0.25">
      <c r="A66" s="29" t="str">
        <f>INSCRITOS!N35</f>
        <v>VIOLENCIA SEXUAL</v>
      </c>
      <c r="B66" s="14" t="str">
        <f t="shared" si="0"/>
        <v>https://centrodecapacitaciondelsur.com/violencia-sexual-</v>
      </c>
      <c r="C66" s="29">
        <f>INSCRITOS!B35</f>
        <v>1085330284</v>
      </c>
      <c r="D66" t="str">
        <f t="shared" si="2"/>
        <v>https://centrodecapacitaciondelsur.com/violencia-sexual-1085330284/</v>
      </c>
    </row>
    <row r="67" spans="1:4" ht="63.75" customHeight="1" x14ac:dyDescent="0.25">
      <c r="A67" s="29" t="str">
        <f>INSCRITOS!N36</f>
        <v>QUIMICOS</v>
      </c>
      <c r="B67" s="14" t="str">
        <f t="shared" si="0"/>
        <v>https://centrodecapacitaciondelsur.com/victimas-por-agentes-quimicos-</v>
      </c>
      <c r="C67" s="29">
        <f>INSCRITOS!B36</f>
        <v>1085244283</v>
      </c>
      <c r="D67" t="str">
        <f t="shared" si="2"/>
        <v>https://centrodecapacitaciondelsur.com/victimas-por-agentes-quimicos-1085244283/</v>
      </c>
    </row>
    <row r="68" spans="1:4" ht="63.75" customHeight="1" x14ac:dyDescent="0.25">
      <c r="A68" s="29" t="str">
        <f>INSCRITOS!N37</f>
        <v>DUELO</v>
      </c>
      <c r="B68" s="14" t="str">
        <f t="shared" si="0"/>
        <v>https://centrodecapacitaciondelsur.com/manejo-del-duelo-</v>
      </c>
      <c r="C68" s="29">
        <f>INSCRITOS!B37</f>
        <v>1085936280</v>
      </c>
      <c r="D68" t="str">
        <f t="shared" si="2"/>
        <v>https://centrodecapacitaciondelsur.com/manejo-del-duelo-1085936280/</v>
      </c>
    </row>
    <row r="69" spans="1:4" ht="63.75" customHeight="1" x14ac:dyDescent="0.25">
      <c r="A69" s="29" t="str">
        <f>INSCRITOS!N38</f>
        <v>DUELO</v>
      </c>
      <c r="B69" s="14" t="str">
        <f t="shared" si="0"/>
        <v>https://centrodecapacitaciondelsur.com/manejo-del-duelo-</v>
      </c>
      <c r="C69" s="29">
        <f>INSCRITOS!B38</f>
        <v>1004598637</v>
      </c>
      <c r="D69" t="str">
        <f t="shared" si="2"/>
        <v>https://centrodecapacitaciondelsur.com/manejo-del-duelo-1004598637/</v>
      </c>
    </row>
    <row r="70" spans="1:4" ht="63.75" customHeight="1" x14ac:dyDescent="0.25">
      <c r="A70" s="29" t="str">
        <f>INSCRITOS!N39</f>
        <v>BLS</v>
      </c>
      <c r="B70" s="14" t="str">
        <f t="shared" si="0"/>
        <v>https://centrodecapacitaciondelsur.com/soporte-basico-de-vida-</v>
      </c>
      <c r="C70" s="29">
        <f>INSCRITOS!B39</f>
        <v>1085307605</v>
      </c>
      <c r="D70" t="str">
        <f t="shared" si="2"/>
        <v>https://centrodecapacitaciondelsur.com/soporte-basico-de-vida-1085307605/</v>
      </c>
    </row>
    <row r="71" spans="1:4" ht="63.75" customHeight="1" x14ac:dyDescent="0.25">
      <c r="A71" s="29" t="str">
        <f>INSCRITOS!N40</f>
        <v>VIOLENCIA SEXUAL</v>
      </c>
      <c r="B71" s="14" t="str">
        <f t="shared" si="0"/>
        <v>https://centrodecapacitaciondelsur.com/violencia-sexual-</v>
      </c>
      <c r="C71" s="29">
        <f>INSCRITOS!B40</f>
        <v>1085307605</v>
      </c>
      <c r="D71" t="str">
        <f t="shared" si="2"/>
        <v>https://centrodecapacitaciondelsur.com/violencia-sexual-1085307605/</v>
      </c>
    </row>
    <row r="72" spans="1:4" ht="63.75" customHeight="1" x14ac:dyDescent="0.25">
      <c r="A72" s="29" t="str">
        <f>INSCRITOS!N41</f>
        <v>BLS</v>
      </c>
      <c r="B72" s="14" t="str">
        <f t="shared" si="0"/>
        <v>https://centrodecapacitaciondelsur.com/soporte-basico-de-vida-</v>
      </c>
      <c r="C72" s="29">
        <f>INSCRITOS!B41</f>
        <v>59653519</v>
      </c>
      <c r="D72" t="str">
        <f t="shared" si="2"/>
        <v>https://centrodecapacitaciondelsur.com/soporte-basico-de-vida-59653519/</v>
      </c>
    </row>
    <row r="73" spans="1:4" ht="63.75" customHeight="1" x14ac:dyDescent="0.25">
      <c r="A73" s="29" t="str">
        <f>INSCRITOS!N42</f>
        <v>ACLS</v>
      </c>
      <c r="B73" s="14" t="str">
        <f t="shared" si="0"/>
        <v>https://centrodecapacitaciondelsur.com/soporte-cardiovascular-avanzado-</v>
      </c>
      <c r="C73" s="29">
        <f>INSCRITOS!B42</f>
        <v>59653519</v>
      </c>
      <c r="D73" t="str">
        <f t="shared" si="2"/>
        <v>https://centrodecapacitaciondelsur.com/soporte-cardiovascular-avanzado-59653519/</v>
      </c>
    </row>
    <row r="74" spans="1:4" ht="63.75" customHeight="1" x14ac:dyDescent="0.25">
      <c r="A74" s="29" t="str">
        <f>INSCRITOS!N43</f>
        <v>QUIMICOS</v>
      </c>
      <c r="B74" s="14" t="str">
        <f t="shared" si="0"/>
        <v>https://centrodecapacitaciondelsur.com/victimas-por-agentes-quimicos-</v>
      </c>
      <c r="C74" s="29">
        <f>INSCRITOS!B43</f>
        <v>59653519</v>
      </c>
      <c r="D74" t="str">
        <f t="shared" si="2"/>
        <v>https://centrodecapacitaciondelsur.com/victimas-por-agentes-quimicos-59653519/</v>
      </c>
    </row>
    <row r="75" spans="1:4" ht="63.75" customHeight="1" x14ac:dyDescent="0.25">
      <c r="A75" s="29" t="str">
        <f>INSCRITOS!N44</f>
        <v>VIOLENCIA SEXUAL</v>
      </c>
      <c r="B75" s="14" t="str">
        <f t="shared" si="0"/>
        <v>https://centrodecapacitaciondelsur.com/violencia-sexual-</v>
      </c>
      <c r="C75" s="29">
        <f>INSCRITOS!B44</f>
        <v>59653519</v>
      </c>
      <c r="D75" t="str">
        <f t="shared" si="2"/>
        <v>https://centrodecapacitaciondelsur.com/violencia-sexual-59653519/</v>
      </c>
    </row>
    <row r="76" spans="1:4" ht="63.75" customHeight="1" x14ac:dyDescent="0.25">
      <c r="A76" s="29" t="str">
        <f>INSCRITOS!N45</f>
        <v>BLS</v>
      </c>
      <c r="B76" s="14" t="str">
        <f t="shared" si="0"/>
        <v>https://centrodecapacitaciondelsur.com/soporte-basico-de-vida-</v>
      </c>
      <c r="C76" s="29">
        <f>INSCRITOS!B45</f>
        <v>87062740</v>
      </c>
      <c r="D76" t="str">
        <f t="shared" si="2"/>
        <v>https://centrodecapacitaciondelsur.com/soporte-basico-de-vida-87062740/</v>
      </c>
    </row>
    <row r="77" spans="1:4" ht="63.75" customHeight="1" x14ac:dyDescent="0.25">
      <c r="A77" s="29" t="str">
        <f>INSCRITOS!N46</f>
        <v>ACLS</v>
      </c>
      <c r="B77" s="14" t="str">
        <f t="shared" si="0"/>
        <v>https://centrodecapacitaciondelsur.com/soporte-cardiovascular-avanzado-</v>
      </c>
      <c r="C77" s="29">
        <f>INSCRITOS!B46</f>
        <v>1085323504</v>
      </c>
      <c r="D77" t="str">
        <f t="shared" si="2"/>
        <v>https://centrodecapacitaciondelsur.com/soporte-cardiovascular-avanzado-1085323504/</v>
      </c>
    </row>
    <row r="78" spans="1:4" ht="63.75" customHeight="1" x14ac:dyDescent="0.25">
      <c r="A78" s="29" t="str">
        <f>INSCRITOS!N47</f>
        <v>DUELO</v>
      </c>
      <c r="B78" s="14" t="str">
        <f t="shared" si="0"/>
        <v>https://centrodecapacitaciondelsur.com/manejo-del-duelo-</v>
      </c>
      <c r="C78" s="29">
        <f>INSCRITOS!B47</f>
        <v>1069721933</v>
      </c>
      <c r="D78" t="str">
        <f t="shared" si="2"/>
        <v>https://centrodecapacitaciondelsur.com/manejo-del-duelo-1069721933/</v>
      </c>
    </row>
    <row r="79" spans="1:4" ht="63.75" customHeight="1" x14ac:dyDescent="0.25">
      <c r="A79" s="29" t="str">
        <f>INSCRITOS!N48</f>
        <v>QUIMICOS</v>
      </c>
      <c r="B79" s="14" t="str">
        <f t="shared" si="0"/>
        <v>https://centrodecapacitaciondelsur.com/victimas-por-agentes-quimicos-</v>
      </c>
      <c r="C79" s="29">
        <f>INSCRITOS!B48</f>
        <v>1069721933</v>
      </c>
      <c r="D79" t="str">
        <f t="shared" si="2"/>
        <v>https://centrodecapacitaciondelsur.com/victimas-por-agentes-quimicos-1069721933/</v>
      </c>
    </row>
    <row r="80" spans="1:4" ht="63.75" customHeight="1" x14ac:dyDescent="0.25">
      <c r="A80" s="29" t="str">
        <f>INSCRITOS!N49</f>
        <v>VIOLENCIA SEXUAL</v>
      </c>
      <c r="B80" s="14" t="str">
        <f t="shared" si="0"/>
        <v>https://centrodecapacitaciondelsur.com/violencia-sexual-</v>
      </c>
      <c r="C80" s="29">
        <f>INSCRITOS!B49</f>
        <v>1061794220</v>
      </c>
      <c r="D80" t="str">
        <f t="shared" si="2"/>
        <v>https://centrodecapacitaciondelsur.com/violencia-sexual-1061794220/</v>
      </c>
    </row>
    <row r="81" spans="1:4" ht="63.75" customHeight="1" x14ac:dyDescent="0.25">
      <c r="A81" s="29" t="str">
        <f>INSCRITOS!N50</f>
        <v>BLS</v>
      </c>
      <c r="B81" s="14" t="str">
        <f t="shared" si="0"/>
        <v>https://centrodecapacitaciondelsur.com/soporte-basico-de-vida-</v>
      </c>
      <c r="C81" s="29">
        <f>INSCRITOS!B50</f>
        <v>1128884016</v>
      </c>
      <c r="D81" t="str">
        <f t="shared" si="2"/>
        <v>https://centrodecapacitaciondelsur.com/soporte-basico-de-vida-1128884016/</v>
      </c>
    </row>
    <row r="82" spans="1:4" ht="63.75" customHeight="1" x14ac:dyDescent="0.25">
      <c r="A82" s="29" t="str">
        <f>INSCRITOS!N51</f>
        <v>ACLS</v>
      </c>
      <c r="B82" s="14" t="str">
        <f t="shared" si="0"/>
        <v>https://centrodecapacitaciondelsur.com/soporte-cardiovascular-avanzado-</v>
      </c>
      <c r="C82" s="29">
        <f>INSCRITOS!B51</f>
        <v>1085336447</v>
      </c>
      <c r="D82" t="str">
        <f t="shared" si="2"/>
        <v>https://centrodecapacitaciondelsur.com/soporte-cardiovascular-avanzado-1085336447/</v>
      </c>
    </row>
    <row r="83" spans="1:4" ht="63.75" customHeight="1" x14ac:dyDescent="0.25">
      <c r="A83" s="29" t="str">
        <f>INSCRITOS!N52</f>
        <v>PALIATIVOS</v>
      </c>
      <c r="B83" s="14" t="str">
        <f t="shared" si="0"/>
        <v>https://centrodecapacitaciondelsur.com/manejo-del-dolor-y-cuidados-paliativos-</v>
      </c>
      <c r="C83" s="29">
        <f>INSCRITOS!B52</f>
        <v>1085336447</v>
      </c>
      <c r="D83" t="str">
        <f t="shared" si="2"/>
        <v>https://centrodecapacitaciondelsur.com/manejo-del-dolor-y-cuidados-paliativos-1085336447/</v>
      </c>
    </row>
    <row r="84" spans="1:4" ht="63.75" customHeight="1" x14ac:dyDescent="0.25">
      <c r="A84" s="29" t="str">
        <f>INSCRITOS!N53</f>
        <v>VIOLENCIA SEXUAL</v>
      </c>
      <c r="B84" s="14" t="str">
        <f t="shared" si="0"/>
        <v>https://centrodecapacitaciondelsur.com/violencia-sexual-</v>
      </c>
      <c r="C84" s="29">
        <f>INSCRITOS!B53</f>
        <v>1085336447</v>
      </c>
      <c r="D84" t="str">
        <f t="shared" si="2"/>
        <v>https://centrodecapacitaciondelsur.com/violencia-sexual-1085336447/</v>
      </c>
    </row>
    <row r="85" spans="1:4" ht="63.75" customHeight="1" x14ac:dyDescent="0.25">
      <c r="A85" s="29" t="str">
        <f>INSCRITOS!N54</f>
        <v>DUELO</v>
      </c>
      <c r="B85" s="14" t="str">
        <f t="shared" si="0"/>
        <v>https://centrodecapacitaciondelsur.com/manejo-del-duelo-</v>
      </c>
      <c r="C85" s="29">
        <f>INSCRITOS!B54</f>
        <v>1085336447</v>
      </c>
      <c r="D85" t="str">
        <f t="shared" si="2"/>
        <v>https://centrodecapacitaciondelsur.com/manejo-del-duelo-1085336447/</v>
      </c>
    </row>
    <row r="86" spans="1:4" ht="63.75" customHeight="1" x14ac:dyDescent="0.25">
      <c r="A86" s="29" t="str">
        <f>INSCRITOS!N55</f>
        <v>QUIMICOS</v>
      </c>
      <c r="B86" s="14" t="str">
        <f t="shared" si="0"/>
        <v>https://centrodecapacitaciondelsur.com/victimas-por-agentes-quimicos-</v>
      </c>
      <c r="C86" s="29">
        <f>INSCRITOS!B55</f>
        <v>1085336447</v>
      </c>
      <c r="D86" t="str">
        <f t="shared" si="2"/>
        <v>https://centrodecapacitaciondelsur.com/victimas-por-agentes-quimicos-1085336447/</v>
      </c>
    </row>
    <row r="87" spans="1:4" ht="63.75" customHeight="1" x14ac:dyDescent="0.25">
      <c r="A87" s="29" t="str">
        <f>INSCRITOS!N56</f>
        <v>BLS</v>
      </c>
      <c r="B87" s="14" t="str">
        <f t="shared" si="0"/>
        <v>https://centrodecapacitaciondelsur.com/soporte-basico-de-vida-</v>
      </c>
      <c r="C87" s="29">
        <f>INSCRITOS!B56</f>
        <v>1085255661</v>
      </c>
      <c r="D87" t="str">
        <f t="shared" si="2"/>
        <v>https://centrodecapacitaciondelsur.com/soporte-basico-de-vida-1085255661/</v>
      </c>
    </row>
    <row r="88" spans="1:4" ht="63.75" customHeight="1" x14ac:dyDescent="0.25">
      <c r="A88" s="29" t="str">
        <f>INSCRITOS!N57</f>
        <v>BLS</v>
      </c>
      <c r="B88" s="14" t="str">
        <f t="shared" si="0"/>
        <v>https://centrodecapacitaciondelsur.com/soporte-basico-de-vida-</v>
      </c>
      <c r="C88" s="29">
        <f>INSCRITOS!B57</f>
        <v>1085336447</v>
      </c>
      <c r="D88" t="str">
        <f t="shared" si="2"/>
        <v>https://centrodecapacitaciondelsur.com/soporte-basico-de-vida-1085336447/</v>
      </c>
    </row>
    <row r="89" spans="1:4" ht="63.75" customHeight="1" x14ac:dyDescent="0.25">
      <c r="A89" s="29" t="str">
        <f>INSCRITOS!N58</f>
        <v>ADMON DE MEDICAMENTOS</v>
      </c>
      <c r="B89" s="14" t="str">
        <f t="shared" si="0"/>
        <v>https://centrodecapacitaciondelsur.com/adm-medicamentos-canalizacion-inyectologia-</v>
      </c>
      <c r="C89" s="29">
        <f>INSCRITOS!B58</f>
        <v>12982578</v>
      </c>
      <c r="D89" t="str">
        <f t="shared" si="2"/>
        <v>https://centrodecapacitaciondelsur.com/adm-medicamentos-canalizacion-inyectologia-12982578/</v>
      </c>
    </row>
    <row r="90" spans="1:4" ht="63.75" customHeight="1" x14ac:dyDescent="0.25">
      <c r="A90" s="29" t="str">
        <f>INSCRITOS!N59</f>
        <v>QUIMICOS</v>
      </c>
      <c r="B90" s="14" t="str">
        <f t="shared" si="0"/>
        <v>https://centrodecapacitaciondelsur.com/victimas-por-agentes-quimicos-</v>
      </c>
      <c r="C90" s="29">
        <f>INSCRITOS!B59</f>
        <v>1087674179</v>
      </c>
      <c r="D90" t="str">
        <f t="shared" si="2"/>
        <v>https://centrodecapacitaciondelsur.com/victimas-por-agentes-quimicos-1087674179/</v>
      </c>
    </row>
    <row r="91" spans="1:4" ht="63.75" customHeight="1" x14ac:dyDescent="0.25">
      <c r="A91" s="29" t="str">
        <f>INSCRITOS!N60</f>
        <v>VIOLENCIA SEXUAL</v>
      </c>
      <c r="B91" s="14" t="str">
        <f t="shared" si="0"/>
        <v>https://centrodecapacitaciondelsur.com/violencia-sexual-</v>
      </c>
      <c r="C91" s="29">
        <f>INSCRITOS!B60</f>
        <v>1087674179</v>
      </c>
      <c r="D91" t="str">
        <f t="shared" si="2"/>
        <v>https://centrodecapacitaciondelsur.com/violencia-sexual-1087674179/</v>
      </c>
    </row>
    <row r="92" spans="1:4" ht="63.75" customHeight="1" x14ac:dyDescent="0.25">
      <c r="A92" s="29" t="str">
        <f>INSCRITOS!N61</f>
        <v>BLS</v>
      </c>
      <c r="B92" s="14" t="str">
        <f t="shared" si="0"/>
        <v>https://centrodecapacitaciondelsur.com/soporte-basico-de-vida-</v>
      </c>
      <c r="C92" s="29">
        <f>INSCRITOS!B61</f>
        <v>1010035528</v>
      </c>
      <c r="D92" t="str">
        <f t="shared" si="2"/>
        <v>https://centrodecapacitaciondelsur.com/soporte-basico-de-vida-1010035528/</v>
      </c>
    </row>
    <row r="93" spans="1:4" ht="63.75" customHeight="1" x14ac:dyDescent="0.25">
      <c r="A93" s="29" t="str">
        <f>INSCRITOS!N62</f>
        <v>VIOLENCIA SEXUAL</v>
      </c>
      <c r="B93" s="14" t="str">
        <f t="shared" si="0"/>
        <v>https://centrodecapacitaciondelsur.com/violencia-sexual-</v>
      </c>
      <c r="C93" s="29">
        <f>INSCRITOS!B62</f>
        <v>1010035528</v>
      </c>
      <c r="D93" t="str">
        <f t="shared" si="2"/>
        <v>https://centrodecapacitaciondelsur.com/violencia-sexual-1010035528/</v>
      </c>
    </row>
    <row r="94" spans="1:4" ht="63.75" customHeight="1" x14ac:dyDescent="0.25">
      <c r="A94" s="29" t="str">
        <f>INSCRITOS!N63</f>
        <v>VIOLENCIA SEXUAL</v>
      </c>
      <c r="B94" s="14" t="str">
        <f t="shared" si="0"/>
        <v>https://centrodecapacitaciondelsur.com/violencia-sexual-</v>
      </c>
      <c r="C94" s="29">
        <f>INSCRITOS!B63</f>
        <v>1116248523</v>
      </c>
      <c r="D94" t="str">
        <f t="shared" si="2"/>
        <v>https://centrodecapacitaciondelsur.com/violencia-sexual-1116248523/</v>
      </c>
    </row>
    <row r="95" spans="1:4" ht="63.75" customHeight="1" x14ac:dyDescent="0.25">
      <c r="A95" s="29" t="str">
        <f>INSCRITOS!N64</f>
        <v>QUIMICOS</v>
      </c>
      <c r="B95" s="14" t="str">
        <f t="shared" si="0"/>
        <v>https://centrodecapacitaciondelsur.com/victimas-por-agentes-quimicos-</v>
      </c>
      <c r="C95" s="29">
        <f>INSCRITOS!B64</f>
        <v>1116248523</v>
      </c>
      <c r="D95" t="str">
        <f t="shared" si="2"/>
        <v>https://centrodecapacitaciondelsur.com/victimas-por-agentes-quimicos-1116248523/</v>
      </c>
    </row>
    <row r="96" spans="1:4" ht="63.75" customHeight="1" x14ac:dyDescent="0.25">
      <c r="A96" s="29" t="str">
        <f>INSCRITOS!N65</f>
        <v>ACLS</v>
      </c>
      <c r="B96" s="14" t="str">
        <f t="shared" si="0"/>
        <v>https://centrodecapacitaciondelsur.com/soporte-cardiovascular-avanzado-</v>
      </c>
      <c r="C96" s="29">
        <f>INSCRITOS!B65</f>
        <v>1234192018</v>
      </c>
      <c r="D96" t="str">
        <f t="shared" si="2"/>
        <v>https://centrodecapacitaciondelsur.com/soporte-cardiovascular-avanzado-1234192018/</v>
      </c>
    </row>
    <row r="97" spans="1:4" ht="63.75" customHeight="1" x14ac:dyDescent="0.25">
      <c r="A97" s="29" t="str">
        <f>INSCRITOS!N66</f>
        <v>ACLS</v>
      </c>
      <c r="B97" s="14" t="str">
        <f t="shared" si="0"/>
        <v>https://centrodecapacitaciondelsur.com/soporte-cardiovascular-avanzado-</v>
      </c>
      <c r="C97" s="29">
        <f>INSCRITOS!B66</f>
        <v>36953528</v>
      </c>
      <c r="D97" t="str">
        <f t="shared" si="2"/>
        <v>https://centrodecapacitaciondelsur.com/soporte-cardiovascular-avanzado-36953528/</v>
      </c>
    </row>
    <row r="98" spans="1:4" ht="63.75" customHeight="1" x14ac:dyDescent="0.25">
      <c r="A98" s="29" t="str">
        <f>INSCRITOS!N67</f>
        <v>DUELO</v>
      </c>
      <c r="B98" s="14" t="str">
        <f t="shared" ref="B98:B161" si="3">IF(A98=$H$19,"https://centrodecapacitaciondelsur.com/o-v-e-",IF(A98=$H$2,"https://centrodecapacitaciondelsur.com/aph-",IF(A98=$H$3,"https://centrodecapacitaciondelsur.com/manejo-del-duelo-",IF(A98=$H$4,"https://centrodecapacitaciondelsur.com/victimas-por-agentes-quimicos-",IF(A98=$H$5,"https://centrodecapacitaciondelsur.com/primeros-auxilios-",IF(A98=$H$6,"https://centrodecapacitaciondelsur.com/uci-",IF(A98=$H$8,"https://centrodecapacitaciondelsur.com/humanizacion-",IF(A98=$H$11,"https://centrodecapacitaciondelsur.com/soporte-cardiovascular-avanzado-",IF(A98=$H$12,"https://centrodecapacitaciondelsur.com/camillero-",IF(A98=$H$13,"https://centrodecapacitaciondelsur.com/toma-de-muestras-y-lab-clinico-",IF(A98=$H$14,"https://centrodecapacitaciondelsur.com/soporte-basico-de-vida-",IF(A98=$H$15,"https://centrodecapacitaciondelsur.com/violencia-sexual-",IF(A98=$H$17,"https://centrodecapacitaciondelsur.com/aiepi-",IF(A98=$H$18,"https://centrodecapacitaciondelsur.com/adm-medicamentos-canalizacion-inyectologia-",IF(A98=$H$25,"https://centrodecapacitaciondelsur.com/manejo-del-dolor-y-cuidados-paliativos-",IF(A98=$H$26,"https://centrodecapacitaciondelsur.com/toma-de-muestras-y-lab-clinico-poct-",IF(A98=$H$27,"https://centrodecapacitaciondelsur.com/implante-subdermico-",IF(A98=$H$21,"https://centrodecapacitaciondelsur.com/donante-de-organos-",IF(A98=$H$30,"https://centrodecapacitaciondelsur.com/atencion-a-victimas-del-conflicto-armado-",IF(A98=$H$20,"https://centrodecapacitaciondelsur.com/iami-",IF(A98=$H$22,"https://centrodecapacitaciondelsur.com/violencia-de-genero-",IF(A98=$H$23,"https://centrodecapacitaciondelsur.com/igualdad-de-genero-",IF(A98=$H$16,"https://centrodecapacitaciondelsur.com/pai-",IF(A98=$H$31,"https://centrodecapacitaciondelsur.com/manipulacion-de-alimentos-",IF(A98=$H$32,"https://centrodecapacitaciondelsur.com/atencion-a-personas-con-discapacidad-",IF(A98=$H$33,"https://centrodecapacitaciondelsur.com/atencion-al-adulto-mayor-"))))))))))))))))))))))))))</f>
        <v>https://centrodecapacitaciondelsur.com/manejo-del-duelo-</v>
      </c>
      <c r="C98" s="29">
        <f>INSCRITOS!B67</f>
        <v>36953528</v>
      </c>
      <c r="D98" t="str">
        <f t="shared" si="2"/>
        <v>https://centrodecapacitaciondelsur.com/manejo-del-duelo-36953528/</v>
      </c>
    </row>
    <row r="99" spans="1:4" ht="63.75" customHeight="1" x14ac:dyDescent="0.25">
      <c r="A99" s="29" t="str">
        <f>INSCRITOS!N68</f>
        <v>BLS</v>
      </c>
      <c r="B99" s="14" t="str">
        <f t="shared" si="3"/>
        <v>https://centrodecapacitaciondelsur.com/soporte-basico-de-vida-</v>
      </c>
      <c r="C99" s="29">
        <f>INSCRITOS!B68</f>
        <v>1234192018</v>
      </c>
      <c r="D99" t="str">
        <f t="shared" si="2"/>
        <v>https://centrodecapacitaciondelsur.com/soporte-basico-de-vida-1234192018/</v>
      </c>
    </row>
    <row r="100" spans="1:4" ht="63.75" customHeight="1" x14ac:dyDescent="0.25">
      <c r="A100" s="29" t="str">
        <f>INSCRITOS!N69</f>
        <v>ACLS</v>
      </c>
      <c r="B100" s="14" t="str">
        <f t="shared" si="3"/>
        <v>https://centrodecapacitaciondelsur.com/soporte-cardiovascular-avanzado-</v>
      </c>
      <c r="C100" s="29">
        <f>INSCRITOS!B69</f>
        <v>1084221284</v>
      </c>
      <c r="D100" t="str">
        <f t="shared" si="2"/>
        <v>https://centrodecapacitaciondelsur.com/soporte-cardiovascular-avanzado-1084221284/</v>
      </c>
    </row>
    <row r="101" spans="1:4" ht="63.75" customHeight="1" x14ac:dyDescent="0.25">
      <c r="A101" s="29" t="str">
        <f>INSCRITOS!N70</f>
        <v>VIOLENCIA SEXUAL</v>
      </c>
      <c r="B101" s="14" t="str">
        <f t="shared" si="3"/>
        <v>https://centrodecapacitaciondelsur.com/violencia-sexual-</v>
      </c>
      <c r="C101" s="29">
        <f>INSCRITOS!B70</f>
        <v>1084221284</v>
      </c>
      <c r="D101" t="str">
        <f t="shared" si="2"/>
        <v>https://centrodecapacitaciondelsur.com/violencia-sexual-1084221284/</v>
      </c>
    </row>
    <row r="102" spans="1:4" ht="63.75" customHeight="1" x14ac:dyDescent="0.25">
      <c r="A102" s="29" t="str">
        <f>INSCRITOS!N71</f>
        <v>PALIATIVOS</v>
      </c>
      <c r="B102" s="14" t="str">
        <f t="shared" si="3"/>
        <v>https://centrodecapacitaciondelsur.com/manejo-del-dolor-y-cuidados-paliativos-</v>
      </c>
      <c r="C102" s="29">
        <f>INSCRITOS!B71</f>
        <v>1084221284</v>
      </c>
      <c r="D102" t="str">
        <f t="shared" si="2"/>
        <v>https://centrodecapacitaciondelsur.com/manejo-del-dolor-y-cuidados-paliativos-1084221284/</v>
      </c>
    </row>
    <row r="103" spans="1:4" ht="63.75" customHeight="1" x14ac:dyDescent="0.25">
      <c r="A103" s="29" t="str">
        <f>INSCRITOS!N72</f>
        <v>ACLS</v>
      </c>
      <c r="B103" s="14" t="str">
        <f t="shared" si="3"/>
        <v>https://centrodecapacitaciondelsur.com/soporte-cardiovascular-avanzado-</v>
      </c>
      <c r="C103" s="29">
        <f>INSCRITOS!B72</f>
        <v>1151945606</v>
      </c>
      <c r="D103" t="str">
        <f t="shared" si="2"/>
        <v>https://centrodecapacitaciondelsur.com/soporte-cardiovascular-avanzado-1151945606/</v>
      </c>
    </row>
    <row r="104" spans="1:4" ht="63.75" customHeight="1" x14ac:dyDescent="0.25">
      <c r="A104" s="29" t="str">
        <f>INSCRITOS!N73</f>
        <v>BLS</v>
      </c>
      <c r="B104" s="14" t="str">
        <f t="shared" si="3"/>
        <v>https://centrodecapacitaciondelsur.com/soporte-basico-de-vida-</v>
      </c>
      <c r="C104" s="29">
        <f>INSCRITOS!B73</f>
        <v>1151945606</v>
      </c>
      <c r="D104" t="str">
        <f t="shared" ref="D104:D167" si="4">CONCATENATE(B104,C104,"/")</f>
        <v>https://centrodecapacitaciondelsur.com/soporte-basico-de-vida-1151945606/</v>
      </c>
    </row>
    <row r="105" spans="1:4" ht="63.75" customHeight="1" x14ac:dyDescent="0.25">
      <c r="A105" s="29" t="str">
        <f>INSCRITOS!N74</f>
        <v>VIOLENCIA SEXUAL</v>
      </c>
      <c r="B105" s="14" t="str">
        <f t="shared" si="3"/>
        <v>https://centrodecapacitaciondelsur.com/violencia-sexual-</v>
      </c>
      <c r="C105" s="29">
        <f>INSCRITOS!B74</f>
        <v>1151945606</v>
      </c>
      <c r="D105" t="str">
        <f t="shared" si="4"/>
        <v>https://centrodecapacitaciondelsur.com/violencia-sexual-1151945606/</v>
      </c>
    </row>
    <row r="106" spans="1:4" ht="63.75" customHeight="1" x14ac:dyDescent="0.25">
      <c r="A106" s="29" t="str">
        <f>INSCRITOS!N75</f>
        <v>ACLS</v>
      </c>
      <c r="B106" s="14" t="str">
        <f t="shared" si="3"/>
        <v>https://centrodecapacitaciondelsur.com/soporte-cardiovascular-avanzado-</v>
      </c>
      <c r="C106" s="29">
        <f>INSCRITOS!B75</f>
        <v>12753235</v>
      </c>
      <c r="D106" t="str">
        <f t="shared" si="4"/>
        <v>https://centrodecapacitaciondelsur.com/soporte-cardiovascular-avanzado-12753235/</v>
      </c>
    </row>
    <row r="107" spans="1:4" ht="63.75" customHeight="1" x14ac:dyDescent="0.25">
      <c r="A107" s="29" t="str">
        <f>INSCRITOS!N76</f>
        <v>BLS</v>
      </c>
      <c r="B107" s="14" t="str">
        <f t="shared" si="3"/>
        <v>https://centrodecapacitaciondelsur.com/soporte-basico-de-vida-</v>
      </c>
      <c r="C107" s="29">
        <f>INSCRITOS!B76</f>
        <v>12753235</v>
      </c>
      <c r="D107" t="str">
        <f t="shared" si="4"/>
        <v>https://centrodecapacitaciondelsur.com/soporte-basico-de-vida-12753235/</v>
      </c>
    </row>
    <row r="108" spans="1:4" ht="63.75" customHeight="1" x14ac:dyDescent="0.25">
      <c r="A108" s="29" t="str">
        <f>INSCRITOS!N77</f>
        <v>VIOLENCIA SEXUAL</v>
      </c>
      <c r="B108" s="14" t="str">
        <f t="shared" si="3"/>
        <v>https://centrodecapacitaciondelsur.com/violencia-sexual-</v>
      </c>
      <c r="C108" s="29">
        <f>INSCRITOS!B77</f>
        <v>12753235</v>
      </c>
      <c r="D108" t="str">
        <f t="shared" si="4"/>
        <v>https://centrodecapacitaciondelsur.com/violencia-sexual-12753235/</v>
      </c>
    </row>
    <row r="109" spans="1:4" ht="63.75" customHeight="1" x14ac:dyDescent="0.25">
      <c r="A109" s="29" t="str">
        <f>INSCRITOS!N78</f>
        <v>HUMANIZACION</v>
      </c>
      <c r="B109" s="14" t="str">
        <f t="shared" si="3"/>
        <v>https://centrodecapacitaciondelsur.com/humanizacion-</v>
      </c>
      <c r="C109" s="29">
        <f>INSCRITOS!B78</f>
        <v>12753235</v>
      </c>
      <c r="D109" t="str">
        <f t="shared" si="4"/>
        <v>https://centrodecapacitaciondelsur.com/humanizacion-12753235/</v>
      </c>
    </row>
    <row r="110" spans="1:4" ht="63.75" customHeight="1" x14ac:dyDescent="0.25">
      <c r="A110" s="29" t="str">
        <f>INSCRITOS!N79</f>
        <v>QUIMICOS</v>
      </c>
      <c r="B110" s="14" t="str">
        <f t="shared" si="3"/>
        <v>https://centrodecapacitaciondelsur.com/victimas-por-agentes-quimicos-</v>
      </c>
      <c r="C110" s="29">
        <f>INSCRITOS!B79</f>
        <v>12753235</v>
      </c>
      <c r="D110" t="str">
        <f t="shared" si="4"/>
        <v>https://centrodecapacitaciondelsur.com/victimas-por-agentes-quimicos-12753235/</v>
      </c>
    </row>
    <row r="111" spans="1:4" ht="63.75" customHeight="1" x14ac:dyDescent="0.25">
      <c r="A111" s="29" t="str">
        <f>INSCRITOS!N80</f>
        <v>DONANTE</v>
      </c>
      <c r="B111" s="14" t="str">
        <f t="shared" si="3"/>
        <v>https://centrodecapacitaciondelsur.com/donante-de-organos-</v>
      </c>
      <c r="C111" s="29">
        <f>INSCRITOS!B80</f>
        <v>1085264248</v>
      </c>
      <c r="D111" t="str">
        <f t="shared" si="4"/>
        <v>https://centrodecapacitaciondelsur.com/donante-de-organos-1085264248/</v>
      </c>
    </row>
    <row r="112" spans="1:4" ht="63.75" customHeight="1" x14ac:dyDescent="0.25">
      <c r="A112" s="29" t="str">
        <f>INSCRITOS!N81</f>
        <v>DUELO</v>
      </c>
      <c r="B112" s="14" t="str">
        <f t="shared" si="3"/>
        <v>https://centrodecapacitaciondelsur.com/manejo-del-duelo-</v>
      </c>
      <c r="C112" s="29">
        <f>INSCRITOS!B81</f>
        <v>37085908</v>
      </c>
      <c r="D112" t="str">
        <f t="shared" si="4"/>
        <v>https://centrodecapacitaciondelsur.com/manejo-del-duelo-37085908/</v>
      </c>
    </row>
    <row r="113" spans="1:4" ht="63.75" customHeight="1" x14ac:dyDescent="0.25">
      <c r="A113" s="29" t="str">
        <f>INSCRITOS!N82</f>
        <v>QUIMICOS</v>
      </c>
      <c r="B113" s="14" t="str">
        <f t="shared" si="3"/>
        <v>https://centrodecapacitaciondelsur.com/victimas-por-agentes-quimicos-</v>
      </c>
      <c r="C113" s="29">
        <f>INSCRITOS!B82</f>
        <v>59793479</v>
      </c>
      <c r="D113" t="str">
        <f t="shared" si="4"/>
        <v>https://centrodecapacitaciondelsur.com/victimas-por-agentes-quimicos-59793479/</v>
      </c>
    </row>
    <row r="114" spans="1:4" ht="63.75" customHeight="1" x14ac:dyDescent="0.25">
      <c r="A114" s="29" t="str">
        <f>INSCRITOS!N83</f>
        <v>QUIMICOS</v>
      </c>
      <c r="B114" s="14" t="str">
        <f t="shared" si="3"/>
        <v>https://centrodecapacitaciondelsur.com/victimas-por-agentes-quimicos-</v>
      </c>
      <c r="C114" s="29">
        <f>INSCRITOS!B83</f>
        <v>1085925798</v>
      </c>
      <c r="D114" t="str">
        <f t="shared" si="4"/>
        <v>https://centrodecapacitaciondelsur.com/victimas-por-agentes-quimicos-1085925798/</v>
      </c>
    </row>
    <row r="115" spans="1:4" ht="63.75" customHeight="1" x14ac:dyDescent="0.25">
      <c r="A115" s="29" t="str">
        <f>INSCRITOS!N84</f>
        <v>QUIMICOS</v>
      </c>
      <c r="B115" s="14" t="str">
        <f t="shared" si="3"/>
        <v>https://centrodecapacitaciondelsur.com/victimas-por-agentes-quimicos-</v>
      </c>
      <c r="C115" s="29">
        <f>INSCRITOS!B84</f>
        <v>1085277113</v>
      </c>
      <c r="D115" t="str">
        <f t="shared" si="4"/>
        <v>https://centrodecapacitaciondelsur.com/victimas-por-agentes-quimicos-1085277113/</v>
      </c>
    </row>
    <row r="116" spans="1:4" ht="63.75" customHeight="1" x14ac:dyDescent="0.25">
      <c r="A116" s="29" t="str">
        <f>INSCRITOS!N85</f>
        <v>CONFLICTO ARMADO</v>
      </c>
      <c r="B116" s="14" t="str">
        <f t="shared" si="3"/>
        <v>https://centrodecapacitaciondelsur.com/atencion-a-victimas-del-conflicto-armado-</v>
      </c>
      <c r="C116" s="29">
        <f>INSCRITOS!B85</f>
        <v>1085277113</v>
      </c>
      <c r="D116" t="str">
        <f t="shared" si="4"/>
        <v>https://centrodecapacitaciondelsur.com/atencion-a-victimas-del-conflicto-armado-1085277113/</v>
      </c>
    </row>
    <row r="117" spans="1:4" ht="63.75" customHeight="1" x14ac:dyDescent="0.25">
      <c r="A117" s="29" t="str">
        <f>INSCRITOS!N86</f>
        <v>HUMANIZACION</v>
      </c>
      <c r="B117" s="14" t="str">
        <f t="shared" si="3"/>
        <v>https://centrodecapacitaciondelsur.com/humanizacion-</v>
      </c>
      <c r="C117" s="29">
        <f>INSCRITOS!B86</f>
        <v>1085277113</v>
      </c>
      <c r="D117" t="str">
        <f t="shared" si="4"/>
        <v>https://centrodecapacitaciondelsur.com/humanizacion-1085277113/</v>
      </c>
    </row>
    <row r="118" spans="1:4" ht="63.75" customHeight="1" x14ac:dyDescent="0.25">
      <c r="A118" s="29" t="str">
        <f>INSCRITOS!N87</f>
        <v>BLS</v>
      </c>
      <c r="B118" s="14" t="str">
        <f t="shared" si="3"/>
        <v>https://centrodecapacitaciondelsur.com/soporte-basico-de-vida-</v>
      </c>
      <c r="C118" s="29">
        <f>INSCRITOS!B87</f>
        <v>36759746</v>
      </c>
      <c r="D118" t="str">
        <f t="shared" si="4"/>
        <v>https://centrodecapacitaciondelsur.com/soporte-basico-de-vida-36759746/</v>
      </c>
    </row>
    <row r="119" spans="1:4" ht="63.75" customHeight="1" x14ac:dyDescent="0.25">
      <c r="A119" s="29" t="str">
        <f>INSCRITOS!N88</f>
        <v>BLS</v>
      </c>
      <c r="B119" s="14" t="str">
        <f t="shared" si="3"/>
        <v>https://centrodecapacitaciondelsur.com/soporte-basico-de-vida-</v>
      </c>
      <c r="C119" s="29">
        <f>INSCRITOS!B88</f>
        <v>1004509422</v>
      </c>
      <c r="D119" t="str">
        <f t="shared" si="4"/>
        <v>https://centrodecapacitaciondelsur.com/soporte-basico-de-vida-1004509422/</v>
      </c>
    </row>
    <row r="120" spans="1:4" ht="63.75" customHeight="1" x14ac:dyDescent="0.25">
      <c r="A120" s="29" t="str">
        <f>INSCRITOS!N89</f>
        <v>PRIMEROS AUXILIOS</v>
      </c>
      <c r="B120" s="14" t="str">
        <f t="shared" si="3"/>
        <v>https://centrodecapacitaciondelsur.com/primeros-auxilios-</v>
      </c>
      <c r="C120" s="29">
        <f>INSCRITOS!B89</f>
        <v>1086331884</v>
      </c>
      <c r="D120" t="str">
        <f t="shared" si="4"/>
        <v>https://centrodecapacitaciondelsur.com/primeros-auxilios-1086331884/</v>
      </c>
    </row>
    <row r="121" spans="1:4" ht="63.75" customHeight="1" x14ac:dyDescent="0.25">
      <c r="A121" s="29" t="str">
        <f>INSCRITOS!N90</f>
        <v>ADULTO MAYOR</v>
      </c>
      <c r="B121" s="14" t="str">
        <f t="shared" si="3"/>
        <v>https://centrodecapacitaciondelsur.com/atencion-al-adulto-mayor-</v>
      </c>
      <c r="C121" s="29">
        <f>INSCRITOS!B90</f>
        <v>1086331884</v>
      </c>
      <c r="D121" t="str">
        <f t="shared" si="4"/>
        <v>https://centrodecapacitaciondelsur.com/atencion-al-adulto-mayor-1086331884/</v>
      </c>
    </row>
    <row r="122" spans="1:4" ht="63.75" customHeight="1" x14ac:dyDescent="0.25">
      <c r="A122" s="29" t="str">
        <f>INSCRITOS!N91</f>
        <v>HUMANIZACION</v>
      </c>
      <c r="B122" s="14" t="str">
        <f t="shared" si="3"/>
        <v>https://centrodecapacitaciondelsur.com/humanizacion-</v>
      </c>
      <c r="C122" s="29">
        <f>INSCRITOS!B91</f>
        <v>1087129393</v>
      </c>
      <c r="D122" t="str">
        <f t="shared" si="4"/>
        <v>https://centrodecapacitaciondelsur.com/humanizacion-1087129393/</v>
      </c>
    </row>
    <row r="123" spans="1:4" ht="63.75" customHeight="1" x14ac:dyDescent="0.25">
      <c r="A123" s="29" t="str">
        <f>INSCRITOS!N92</f>
        <v>IAMI</v>
      </c>
      <c r="B123" s="14" t="str">
        <f t="shared" si="3"/>
        <v>https://centrodecapacitaciondelsur.com/iami-</v>
      </c>
      <c r="C123" s="29">
        <f>INSCRITOS!B92</f>
        <v>1004232591</v>
      </c>
      <c r="D123" t="str">
        <f t="shared" si="4"/>
        <v>https://centrodecapacitaciondelsur.com/iami-1004232591/</v>
      </c>
    </row>
    <row r="124" spans="1:4" ht="63.75" customHeight="1" x14ac:dyDescent="0.25">
      <c r="A124" s="29" t="str">
        <f>INSCRITOS!N93</f>
        <v>AIEPI</v>
      </c>
      <c r="B124" s="14" t="str">
        <f t="shared" si="3"/>
        <v>https://centrodecapacitaciondelsur.com/aiepi-</v>
      </c>
      <c r="C124" s="29">
        <f>INSCRITOS!B93</f>
        <v>1004232591</v>
      </c>
      <c r="D124" t="str">
        <f t="shared" si="4"/>
        <v>https://centrodecapacitaciondelsur.com/aiepi-1004232591/</v>
      </c>
    </row>
    <row r="125" spans="1:4" ht="63.75" customHeight="1" x14ac:dyDescent="0.25">
      <c r="A125" s="29" t="str">
        <f>INSCRITOS!N94</f>
        <v>BLS</v>
      </c>
      <c r="B125" s="14" t="str">
        <f t="shared" si="3"/>
        <v>https://centrodecapacitaciondelsur.com/soporte-basico-de-vida-</v>
      </c>
      <c r="C125" s="29">
        <f>INSCRITOS!B94</f>
        <v>1085284549</v>
      </c>
      <c r="D125" t="str">
        <f t="shared" si="4"/>
        <v>https://centrodecapacitaciondelsur.com/soporte-basico-de-vida-1085284549/</v>
      </c>
    </row>
    <row r="126" spans="1:4" ht="63.75" customHeight="1" x14ac:dyDescent="0.25">
      <c r="A126" s="29" t="str">
        <f>INSCRITOS!N95</f>
        <v>VIOLENCIA SEXUAL</v>
      </c>
      <c r="B126" s="14" t="str">
        <f t="shared" si="3"/>
        <v>https://centrodecapacitaciondelsur.com/violencia-sexual-</v>
      </c>
      <c r="C126" s="29">
        <f>INSCRITOS!B95</f>
        <v>1085284549</v>
      </c>
      <c r="D126" t="str">
        <f t="shared" si="4"/>
        <v>https://centrodecapacitaciondelsur.com/violencia-sexual-1085284549/</v>
      </c>
    </row>
    <row r="127" spans="1:4" ht="63.75" customHeight="1" x14ac:dyDescent="0.25">
      <c r="A127" s="29" t="str">
        <f>INSCRITOS!N96</f>
        <v>BLS</v>
      </c>
      <c r="B127" s="14" t="str">
        <f t="shared" si="3"/>
        <v>https://centrodecapacitaciondelsur.com/soporte-basico-de-vida-</v>
      </c>
      <c r="C127" s="29">
        <f>INSCRITOS!B96</f>
        <v>87573879</v>
      </c>
      <c r="D127" t="str">
        <f t="shared" si="4"/>
        <v>https://centrodecapacitaciondelsur.com/soporte-basico-de-vida-87573879/</v>
      </c>
    </row>
    <row r="128" spans="1:4" ht="63.75" customHeight="1" x14ac:dyDescent="0.25">
      <c r="A128" s="29" t="str">
        <f>INSCRITOS!N97</f>
        <v>VIOLENCIA SEXUAL</v>
      </c>
      <c r="B128" s="14" t="str">
        <f t="shared" si="3"/>
        <v>https://centrodecapacitaciondelsur.com/violencia-sexual-</v>
      </c>
      <c r="C128" s="29">
        <f>INSCRITOS!B97</f>
        <v>87573879</v>
      </c>
      <c r="D128" t="str">
        <f t="shared" si="4"/>
        <v>https://centrodecapacitaciondelsur.com/violencia-sexual-87573879/</v>
      </c>
    </row>
    <row r="129" spans="1:4" ht="63.75" customHeight="1" x14ac:dyDescent="0.25">
      <c r="A129" s="29" t="str">
        <f>INSCRITOS!N98</f>
        <v>BLS</v>
      </c>
      <c r="B129" s="14" t="str">
        <f t="shared" si="3"/>
        <v>https://centrodecapacitaciondelsur.com/soporte-basico-de-vida-</v>
      </c>
      <c r="C129" s="29">
        <f>INSCRITOS!B98</f>
        <v>36951721</v>
      </c>
      <c r="D129" t="str">
        <f t="shared" si="4"/>
        <v>https://centrodecapacitaciondelsur.com/soporte-basico-de-vida-36951721/</v>
      </c>
    </row>
    <row r="130" spans="1:4" ht="63.75" customHeight="1" x14ac:dyDescent="0.25">
      <c r="A130" s="29" t="str">
        <f>INSCRITOS!N99</f>
        <v>VIOLENCIA SEXUAL</v>
      </c>
      <c r="B130" s="14" t="str">
        <f t="shared" si="3"/>
        <v>https://centrodecapacitaciondelsur.com/violencia-sexual-</v>
      </c>
      <c r="C130" s="29">
        <f>INSCRITOS!B99</f>
        <v>36951721</v>
      </c>
      <c r="D130" t="str">
        <f t="shared" si="4"/>
        <v>https://centrodecapacitaciondelsur.com/violencia-sexual-36951721/</v>
      </c>
    </row>
    <row r="131" spans="1:4" ht="63.75" customHeight="1" x14ac:dyDescent="0.25">
      <c r="A131" s="29" t="str">
        <f>INSCRITOS!N100</f>
        <v>BLS</v>
      </c>
      <c r="B131" s="14" t="str">
        <f t="shared" si="3"/>
        <v>https://centrodecapacitaciondelsur.com/soporte-basico-de-vida-</v>
      </c>
      <c r="C131" s="29">
        <f>INSCRITOS!B100</f>
        <v>87063718</v>
      </c>
      <c r="D131" t="str">
        <f t="shared" si="4"/>
        <v>https://centrodecapacitaciondelsur.com/soporte-basico-de-vida-87063718/</v>
      </c>
    </row>
    <row r="132" spans="1:4" ht="63.75" customHeight="1" x14ac:dyDescent="0.25">
      <c r="A132" s="29" t="str">
        <f>INSCRITOS!N101</f>
        <v>VIOLENCIA SEXUAL</v>
      </c>
      <c r="B132" s="14" t="str">
        <f t="shared" si="3"/>
        <v>https://centrodecapacitaciondelsur.com/violencia-sexual-</v>
      </c>
      <c r="C132" s="29">
        <f>INSCRITOS!B101</f>
        <v>87063718</v>
      </c>
      <c r="D132" t="str">
        <f t="shared" si="4"/>
        <v>https://centrodecapacitaciondelsur.com/violencia-sexual-87063718/</v>
      </c>
    </row>
    <row r="133" spans="1:4" ht="60" customHeight="1" x14ac:dyDescent="0.25">
      <c r="A133" s="29" t="str">
        <f>INSCRITOS!N102</f>
        <v>BLS</v>
      </c>
      <c r="B133" s="14" t="str">
        <f t="shared" si="3"/>
        <v>https://centrodecapacitaciondelsur.com/soporte-basico-de-vida-</v>
      </c>
      <c r="C133" s="29">
        <f>INSCRITOS!B102</f>
        <v>14253056</v>
      </c>
      <c r="D133" t="str">
        <f t="shared" si="4"/>
        <v>https://centrodecapacitaciondelsur.com/soporte-basico-de-vida-14253056/</v>
      </c>
    </row>
    <row r="134" spans="1:4" ht="60" customHeight="1" x14ac:dyDescent="0.25">
      <c r="A134" s="29" t="str">
        <f>INSCRITOS!N103</f>
        <v>VIOLENCIA SEXUAL</v>
      </c>
      <c r="B134" s="14" t="str">
        <f t="shared" si="3"/>
        <v>https://centrodecapacitaciondelsur.com/violencia-sexual-</v>
      </c>
      <c r="C134" s="29">
        <f>INSCRITOS!B103</f>
        <v>14253056</v>
      </c>
      <c r="D134" t="str">
        <f t="shared" si="4"/>
        <v>https://centrodecapacitaciondelsur.com/violencia-sexual-14253056/</v>
      </c>
    </row>
    <row r="135" spans="1:4" ht="60" customHeight="1" x14ac:dyDescent="0.25">
      <c r="A135" s="29" t="str">
        <f>INSCRITOS!N104</f>
        <v>BLS</v>
      </c>
      <c r="B135" s="14" t="str">
        <f t="shared" si="3"/>
        <v>https://centrodecapacitaciondelsur.com/soporte-basico-de-vida-</v>
      </c>
      <c r="C135" s="29">
        <f>INSCRITOS!B104</f>
        <v>1004539876</v>
      </c>
      <c r="D135" t="str">
        <f t="shared" si="4"/>
        <v>https://centrodecapacitaciondelsur.com/soporte-basico-de-vida-1004539876/</v>
      </c>
    </row>
    <row r="136" spans="1:4" ht="60" customHeight="1" x14ac:dyDescent="0.25">
      <c r="A136" s="29" t="str">
        <f>INSCRITOS!N105</f>
        <v>VIOLENCIA SEXUAL</v>
      </c>
      <c r="B136" s="14" t="str">
        <f t="shared" si="3"/>
        <v>https://centrodecapacitaciondelsur.com/violencia-sexual-</v>
      </c>
      <c r="C136" s="29">
        <f>INSCRITOS!B105</f>
        <v>1004539876</v>
      </c>
      <c r="D136" t="str">
        <f t="shared" si="4"/>
        <v>https://centrodecapacitaciondelsur.com/violencia-sexual-1004539876/</v>
      </c>
    </row>
    <row r="137" spans="1:4" ht="60" customHeight="1" x14ac:dyDescent="0.25">
      <c r="A137" s="29" t="str">
        <f>INSCRITOS!N106</f>
        <v>BLS</v>
      </c>
      <c r="B137" s="14" t="str">
        <f t="shared" si="3"/>
        <v>https://centrodecapacitaciondelsur.com/soporte-basico-de-vida-</v>
      </c>
      <c r="C137" s="29">
        <f>INSCRITOS!B106</f>
        <v>59265338</v>
      </c>
      <c r="D137" t="str">
        <f t="shared" si="4"/>
        <v>https://centrodecapacitaciondelsur.com/soporte-basico-de-vida-59265338/</v>
      </c>
    </row>
    <row r="138" spans="1:4" ht="60" customHeight="1" x14ac:dyDescent="0.25">
      <c r="A138" s="29" t="str">
        <f>INSCRITOS!N107</f>
        <v>VIOLENCIA SEXUAL</v>
      </c>
      <c r="B138" s="14" t="str">
        <f t="shared" si="3"/>
        <v>https://centrodecapacitaciondelsur.com/violencia-sexual-</v>
      </c>
      <c r="C138" s="29">
        <f>INSCRITOS!B107</f>
        <v>59265338</v>
      </c>
      <c r="D138" t="str">
        <f t="shared" si="4"/>
        <v>https://centrodecapacitaciondelsur.com/violencia-sexual-59265338/</v>
      </c>
    </row>
    <row r="139" spans="1:4" ht="60" customHeight="1" x14ac:dyDescent="0.25">
      <c r="A139" s="29" t="str">
        <f>INSCRITOS!N108</f>
        <v>VIOLENCIA SEXUAL</v>
      </c>
      <c r="B139" s="14" t="str">
        <f t="shared" si="3"/>
        <v>https://centrodecapacitaciondelsur.com/violencia-sexual-</v>
      </c>
      <c r="C139" s="29">
        <f>INSCRITOS!B108</f>
        <v>1086500343</v>
      </c>
      <c r="D139" t="str">
        <f t="shared" si="4"/>
        <v>https://centrodecapacitaciondelsur.com/violencia-sexual-1086500343/</v>
      </c>
    </row>
    <row r="140" spans="1:4" ht="60" customHeight="1" x14ac:dyDescent="0.25">
      <c r="A140" s="29" t="str">
        <f>INSCRITOS!N109</f>
        <v>HUMANIZACION</v>
      </c>
      <c r="B140" s="14" t="str">
        <f t="shared" si="3"/>
        <v>https://centrodecapacitaciondelsur.com/humanizacion-</v>
      </c>
      <c r="C140" s="29">
        <f>INSCRITOS!B109</f>
        <v>1086500343</v>
      </c>
      <c r="D140" t="str">
        <f t="shared" si="4"/>
        <v>https://centrodecapacitaciondelsur.com/humanizacion-1086500343/</v>
      </c>
    </row>
    <row r="141" spans="1:4" ht="60" customHeight="1" x14ac:dyDescent="0.25">
      <c r="A141" s="29" t="str">
        <f>INSCRITOS!N110</f>
        <v>VIOLENCIA SEXUAL</v>
      </c>
      <c r="B141" s="14" t="str">
        <f t="shared" si="3"/>
        <v>https://centrodecapacitaciondelsur.com/violencia-sexual-</v>
      </c>
      <c r="C141" s="29">
        <f>INSCRITOS!B110</f>
        <v>59830644</v>
      </c>
      <c r="D141" t="str">
        <f t="shared" si="4"/>
        <v>https://centrodecapacitaciondelsur.com/violencia-sexual-59830644/</v>
      </c>
    </row>
    <row r="142" spans="1:4" ht="60" customHeight="1" x14ac:dyDescent="0.25">
      <c r="A142" s="29" t="str">
        <f>INSCRITOS!N111</f>
        <v>QUIMICOS</v>
      </c>
      <c r="B142" s="14" t="str">
        <f t="shared" si="3"/>
        <v>https://centrodecapacitaciondelsur.com/victimas-por-agentes-quimicos-</v>
      </c>
      <c r="C142" s="29">
        <f>INSCRITOS!B111</f>
        <v>59830644</v>
      </c>
      <c r="D142" t="str">
        <f t="shared" si="4"/>
        <v>https://centrodecapacitaciondelsur.com/victimas-por-agentes-quimicos-59830644/</v>
      </c>
    </row>
    <row r="143" spans="1:4" ht="60" customHeight="1" x14ac:dyDescent="0.25">
      <c r="A143" s="29" t="str">
        <f>INSCRITOS!N112</f>
        <v>CONFLICTO ARMADO</v>
      </c>
      <c r="B143" s="14" t="str">
        <f t="shared" si="3"/>
        <v>https://centrodecapacitaciondelsur.com/atencion-a-victimas-del-conflicto-armado-</v>
      </c>
      <c r="C143" s="29">
        <f>INSCRITOS!B112</f>
        <v>59830644</v>
      </c>
      <c r="D143" t="str">
        <f t="shared" si="4"/>
        <v>https://centrodecapacitaciondelsur.com/atencion-a-victimas-del-conflicto-armado-59830644/</v>
      </c>
    </row>
    <row r="144" spans="1:4" ht="60" customHeight="1" x14ac:dyDescent="0.25">
      <c r="A144" s="29" t="str">
        <f>INSCRITOS!N113</f>
        <v>QUIMICOS</v>
      </c>
      <c r="B144" s="14" t="str">
        <f t="shared" si="3"/>
        <v>https://centrodecapacitaciondelsur.com/victimas-por-agentes-quimicos-</v>
      </c>
      <c r="C144" s="29">
        <f>INSCRITOS!B113</f>
        <v>1233192638</v>
      </c>
      <c r="D144" t="str">
        <f t="shared" si="4"/>
        <v>https://centrodecapacitaciondelsur.com/victimas-por-agentes-quimicos-1233192638/</v>
      </c>
    </row>
    <row r="145" spans="1:4" ht="60" customHeight="1" x14ac:dyDescent="0.25">
      <c r="A145" s="29" t="str">
        <f>INSCRITOS!N114</f>
        <v>ACLS</v>
      </c>
      <c r="B145" s="14" t="str">
        <f t="shared" si="3"/>
        <v>https://centrodecapacitaciondelsur.com/soporte-cardiovascular-avanzado-</v>
      </c>
      <c r="C145" s="29">
        <f>INSCRITOS!B114</f>
        <v>87455931</v>
      </c>
      <c r="D145" t="str">
        <f t="shared" si="4"/>
        <v>https://centrodecapacitaciondelsur.com/soporte-cardiovascular-avanzado-87455931/</v>
      </c>
    </row>
    <row r="146" spans="1:4" ht="60" customHeight="1" x14ac:dyDescent="0.25">
      <c r="A146" s="29" t="str">
        <f>INSCRITOS!N115</f>
        <v>VIOLENCIA SEXUAL</v>
      </c>
      <c r="B146" s="14" t="str">
        <f t="shared" si="3"/>
        <v>https://centrodecapacitaciondelsur.com/violencia-sexual-</v>
      </c>
      <c r="C146" s="29">
        <f>INSCRITOS!B115</f>
        <v>1085264248</v>
      </c>
      <c r="D146" t="str">
        <f t="shared" si="4"/>
        <v>https://centrodecapacitaciondelsur.com/violencia-sexual-1085264248/</v>
      </c>
    </row>
    <row r="147" spans="1:4" ht="60" customHeight="1" x14ac:dyDescent="0.25">
      <c r="A147" s="29" t="str">
        <f>INSCRITOS!N116</f>
        <v>PRIMEROS AUXILIOS</v>
      </c>
      <c r="B147" s="14" t="str">
        <f t="shared" si="3"/>
        <v>https://centrodecapacitaciondelsur.com/primeros-auxilios-</v>
      </c>
      <c r="C147" s="29">
        <f>INSCRITOS!B116</f>
        <v>16790980</v>
      </c>
      <c r="D147" t="str">
        <f t="shared" si="4"/>
        <v>https://centrodecapacitaciondelsur.com/primeros-auxilios-16790980/</v>
      </c>
    </row>
    <row r="148" spans="1:4" ht="60" customHeight="1" x14ac:dyDescent="0.25">
      <c r="A148" s="29" t="str">
        <f>INSCRITOS!N117</f>
        <v>BLS</v>
      </c>
      <c r="B148" s="14" t="str">
        <f t="shared" si="3"/>
        <v>https://centrodecapacitaciondelsur.com/soporte-basico-de-vida-</v>
      </c>
      <c r="C148" s="29">
        <f>INSCRITOS!B117</f>
        <v>1088733235</v>
      </c>
      <c r="D148" t="str">
        <f t="shared" si="4"/>
        <v>https://centrodecapacitaciondelsur.com/soporte-basico-de-vida-1088733235/</v>
      </c>
    </row>
    <row r="149" spans="1:4" ht="60" customHeight="1" x14ac:dyDescent="0.25">
      <c r="A149" s="29" t="str">
        <f>INSCRITOS!N118</f>
        <v>BLS</v>
      </c>
      <c r="B149" s="14" t="str">
        <f t="shared" si="3"/>
        <v>https://centrodecapacitaciondelsur.com/soporte-basico-de-vida-</v>
      </c>
      <c r="C149" s="29">
        <f>INSCRITOS!B118</f>
        <v>27168885</v>
      </c>
      <c r="D149" t="str">
        <f t="shared" si="4"/>
        <v>https://centrodecapacitaciondelsur.com/soporte-basico-de-vida-27168885/</v>
      </c>
    </row>
    <row r="150" spans="1:4" ht="60" customHeight="1" x14ac:dyDescent="0.25">
      <c r="A150" s="29" t="str">
        <f>INSCRITOS!N119</f>
        <v>DUELO</v>
      </c>
      <c r="B150" s="14" t="str">
        <f t="shared" si="3"/>
        <v>https://centrodecapacitaciondelsur.com/manejo-del-duelo-</v>
      </c>
      <c r="C150" s="29">
        <f>INSCRITOS!B119</f>
        <v>27168885</v>
      </c>
      <c r="D150" t="str">
        <f t="shared" si="4"/>
        <v>https://centrodecapacitaciondelsur.com/manejo-del-duelo-27168885/</v>
      </c>
    </row>
    <row r="151" spans="1:4" ht="60" customHeight="1" x14ac:dyDescent="0.25">
      <c r="A151" s="29" t="str">
        <f>INSCRITOS!N120</f>
        <v>QUIMICOS</v>
      </c>
      <c r="B151" s="14" t="str">
        <f t="shared" si="3"/>
        <v>https://centrodecapacitaciondelsur.com/victimas-por-agentes-quimicos-</v>
      </c>
      <c r="C151" s="29">
        <f>INSCRITOS!B120</f>
        <v>1085310145</v>
      </c>
      <c r="D151" t="str">
        <f t="shared" si="4"/>
        <v>https://centrodecapacitaciondelsur.com/victimas-por-agentes-quimicos-1085310145/</v>
      </c>
    </row>
    <row r="152" spans="1:4" ht="60" customHeight="1" x14ac:dyDescent="0.25">
      <c r="A152" s="29" t="str">
        <f>INSCRITOS!N121</f>
        <v>PALIATIVOS</v>
      </c>
      <c r="B152" s="14" t="str">
        <f t="shared" si="3"/>
        <v>https://centrodecapacitaciondelsur.com/manejo-del-dolor-y-cuidados-paliativos-</v>
      </c>
      <c r="C152" s="29">
        <f>INSCRITOS!B121</f>
        <v>1085310145</v>
      </c>
      <c r="D152" t="str">
        <f t="shared" si="4"/>
        <v>https://centrodecapacitaciondelsur.com/manejo-del-dolor-y-cuidados-paliativos-1085310145/</v>
      </c>
    </row>
    <row r="153" spans="1:4" ht="60" customHeight="1" x14ac:dyDescent="0.25">
      <c r="A153" s="29" t="str">
        <f>INSCRITOS!N122</f>
        <v>ACLS</v>
      </c>
      <c r="B153" s="14" t="str">
        <f t="shared" si="3"/>
        <v>https://centrodecapacitaciondelsur.com/soporte-cardiovascular-avanzado-</v>
      </c>
      <c r="C153" s="29">
        <f>INSCRITOS!B122</f>
        <v>1122786509</v>
      </c>
      <c r="D153" t="str">
        <f t="shared" si="4"/>
        <v>https://centrodecapacitaciondelsur.com/soporte-cardiovascular-avanzado-1122786509/</v>
      </c>
    </row>
    <row r="154" spans="1:4" ht="60" customHeight="1" x14ac:dyDescent="0.25">
      <c r="A154" s="29" t="str">
        <f>INSCRITOS!N123</f>
        <v>BLS</v>
      </c>
      <c r="B154" s="14" t="str">
        <f t="shared" si="3"/>
        <v>https://centrodecapacitaciondelsur.com/soporte-basico-de-vida-</v>
      </c>
      <c r="C154" s="29">
        <f>INSCRITOS!B123</f>
        <v>1122786509</v>
      </c>
      <c r="D154" t="str">
        <f t="shared" si="4"/>
        <v>https://centrodecapacitaciondelsur.com/soporte-basico-de-vida-1122786509/</v>
      </c>
    </row>
    <row r="155" spans="1:4" ht="60" customHeight="1" x14ac:dyDescent="0.25">
      <c r="A155" s="29" t="str">
        <f>INSCRITOS!N124</f>
        <v>QUIMICOS</v>
      </c>
      <c r="B155" s="14" t="str">
        <f t="shared" si="3"/>
        <v>https://centrodecapacitaciondelsur.com/victimas-por-agentes-quimicos-</v>
      </c>
      <c r="C155" s="29">
        <f>INSCRITOS!B124</f>
        <v>1122786509</v>
      </c>
      <c r="D155" t="str">
        <f t="shared" si="4"/>
        <v>https://centrodecapacitaciondelsur.com/victimas-por-agentes-quimicos-1122786509/</v>
      </c>
    </row>
    <row r="156" spans="1:4" ht="60" customHeight="1" x14ac:dyDescent="0.25">
      <c r="A156" s="29" t="str">
        <f>INSCRITOS!N125</f>
        <v>VIOLENCIA SEXUAL</v>
      </c>
      <c r="B156" s="14" t="str">
        <f t="shared" si="3"/>
        <v>https://centrodecapacitaciondelsur.com/violencia-sexual-</v>
      </c>
      <c r="C156" s="29">
        <f>INSCRITOS!B125</f>
        <v>1122786509</v>
      </c>
      <c r="D156" t="str">
        <f t="shared" si="4"/>
        <v>https://centrodecapacitaciondelsur.com/violencia-sexual-1122786509/</v>
      </c>
    </row>
    <row r="157" spans="1:4" ht="60" customHeight="1" x14ac:dyDescent="0.25">
      <c r="A157" s="29" t="str">
        <f>INSCRITOS!N126</f>
        <v>ACLS</v>
      </c>
      <c r="B157" s="14" t="str">
        <f t="shared" si="3"/>
        <v>https://centrodecapacitaciondelsur.com/soporte-cardiovascular-avanzado-</v>
      </c>
      <c r="C157" s="29">
        <f>INSCRITOS!B126</f>
        <v>1085327331</v>
      </c>
      <c r="D157" t="str">
        <f t="shared" si="4"/>
        <v>https://centrodecapacitaciondelsur.com/soporte-cardiovascular-avanzado-1085327331/</v>
      </c>
    </row>
    <row r="158" spans="1:4" ht="60" customHeight="1" x14ac:dyDescent="0.25">
      <c r="A158" s="29" t="str">
        <f>INSCRITOS!N127</f>
        <v>BLS</v>
      </c>
      <c r="B158" s="14" t="str">
        <f t="shared" si="3"/>
        <v>https://centrodecapacitaciondelsur.com/soporte-basico-de-vida-</v>
      </c>
      <c r="C158" s="29">
        <f>INSCRITOS!B127</f>
        <v>1085327331</v>
      </c>
      <c r="D158" t="str">
        <f t="shared" si="4"/>
        <v>https://centrodecapacitaciondelsur.com/soporte-basico-de-vida-1085327331/</v>
      </c>
    </row>
    <row r="159" spans="1:4" ht="60" customHeight="1" x14ac:dyDescent="0.25">
      <c r="A159" s="29" t="str">
        <f>INSCRITOS!N128</f>
        <v>BLS</v>
      </c>
      <c r="B159" s="14" t="str">
        <f t="shared" si="3"/>
        <v>https://centrodecapacitaciondelsur.com/soporte-basico-de-vida-</v>
      </c>
      <c r="C159" s="29">
        <f>INSCRITOS!B128</f>
        <v>1004623899</v>
      </c>
      <c r="D159" t="str">
        <f t="shared" si="4"/>
        <v>https://centrodecapacitaciondelsur.com/soporte-basico-de-vida-1004623899/</v>
      </c>
    </row>
    <row r="160" spans="1:4" ht="60" customHeight="1" x14ac:dyDescent="0.25">
      <c r="A160" s="29" t="str">
        <f>INSCRITOS!N129</f>
        <v>VIOLENCIA SEXUAL</v>
      </c>
      <c r="B160" s="14" t="str">
        <f t="shared" si="3"/>
        <v>https://centrodecapacitaciondelsur.com/violencia-sexual-</v>
      </c>
      <c r="C160" s="29">
        <f>INSCRITOS!B129</f>
        <v>1086361303</v>
      </c>
      <c r="D160" t="str">
        <f t="shared" si="4"/>
        <v>https://centrodecapacitaciondelsur.com/violencia-sexual-1086361303/</v>
      </c>
    </row>
    <row r="161" spans="1:4" ht="60" customHeight="1" x14ac:dyDescent="0.25">
      <c r="A161" s="29" t="str">
        <f>INSCRITOS!N130</f>
        <v>DUELO</v>
      </c>
      <c r="B161" s="14" t="str">
        <f t="shared" si="3"/>
        <v>https://centrodecapacitaciondelsur.com/manejo-del-duelo-</v>
      </c>
      <c r="C161" s="29">
        <f>INSCRITOS!B130</f>
        <v>1086361303</v>
      </c>
      <c r="D161" t="str">
        <f t="shared" si="4"/>
        <v>https://centrodecapacitaciondelsur.com/manejo-del-duelo-1086361303/</v>
      </c>
    </row>
    <row r="162" spans="1:4" ht="60" customHeight="1" x14ac:dyDescent="0.25">
      <c r="A162" s="29" t="str">
        <f>INSCRITOS!N131</f>
        <v>PALIATIVOS</v>
      </c>
      <c r="B162" s="14" t="str">
        <f t="shared" ref="B162:B225" si="5">IF(A162=$H$19,"https://centrodecapacitaciondelsur.com/o-v-e-",IF(A162=$H$2,"https://centrodecapacitaciondelsur.com/aph-",IF(A162=$H$3,"https://centrodecapacitaciondelsur.com/manejo-del-duelo-",IF(A162=$H$4,"https://centrodecapacitaciondelsur.com/victimas-por-agentes-quimicos-",IF(A162=$H$5,"https://centrodecapacitaciondelsur.com/primeros-auxilios-",IF(A162=$H$6,"https://centrodecapacitaciondelsur.com/uci-",IF(A162=$H$8,"https://centrodecapacitaciondelsur.com/humanizacion-",IF(A162=$H$11,"https://centrodecapacitaciondelsur.com/soporte-cardiovascular-avanzado-",IF(A162=$H$12,"https://centrodecapacitaciondelsur.com/camillero-",IF(A162=$H$13,"https://centrodecapacitaciondelsur.com/toma-de-muestras-y-lab-clinico-",IF(A162=$H$14,"https://centrodecapacitaciondelsur.com/soporte-basico-de-vida-",IF(A162=$H$15,"https://centrodecapacitaciondelsur.com/violencia-sexual-",IF(A162=$H$17,"https://centrodecapacitaciondelsur.com/aiepi-",IF(A162=$H$18,"https://centrodecapacitaciondelsur.com/adm-medicamentos-canalizacion-inyectologia-",IF(A162=$H$25,"https://centrodecapacitaciondelsur.com/manejo-del-dolor-y-cuidados-paliativos-",IF(A162=$H$26,"https://centrodecapacitaciondelsur.com/toma-de-muestras-y-lab-clinico-poct-",IF(A162=$H$27,"https://centrodecapacitaciondelsur.com/implante-subdermico-",IF(A162=$H$21,"https://centrodecapacitaciondelsur.com/donante-de-organos-",IF(A162=$H$30,"https://centrodecapacitaciondelsur.com/atencion-a-victimas-del-conflicto-armado-",IF(A162=$H$20,"https://centrodecapacitaciondelsur.com/iami-",IF(A162=$H$22,"https://centrodecapacitaciondelsur.com/violencia-de-genero-",IF(A162=$H$23,"https://centrodecapacitaciondelsur.com/igualdad-de-genero-",IF(A162=$H$16,"https://centrodecapacitaciondelsur.com/pai-",IF(A162=$H$31,"https://centrodecapacitaciondelsur.com/manipulacion-de-alimentos-",IF(A162=$H$32,"https://centrodecapacitaciondelsur.com/atencion-a-personas-con-discapacidad-",IF(A162=$H$33,"https://centrodecapacitaciondelsur.com/atencion-al-adulto-mayor-"))))))))))))))))))))))))))</f>
        <v>https://centrodecapacitaciondelsur.com/manejo-del-dolor-y-cuidados-paliativos-</v>
      </c>
      <c r="C162" s="29">
        <f>INSCRITOS!B131</f>
        <v>1083812673</v>
      </c>
      <c r="D162" t="str">
        <f t="shared" si="4"/>
        <v>https://centrodecapacitaciondelsur.com/manejo-del-dolor-y-cuidados-paliativos-1083812673/</v>
      </c>
    </row>
    <row r="163" spans="1:4" ht="60" customHeight="1" x14ac:dyDescent="0.25">
      <c r="A163" s="29" t="str">
        <f>INSCRITOS!N132</f>
        <v>VIOLENCIA SEXUAL</v>
      </c>
      <c r="B163" s="14" t="str">
        <f t="shared" si="5"/>
        <v>https://centrodecapacitaciondelsur.com/violencia-sexual-</v>
      </c>
      <c r="C163" s="29">
        <f>INSCRITOS!B132</f>
        <v>1083812673</v>
      </c>
      <c r="D163" t="str">
        <f t="shared" si="4"/>
        <v>https://centrodecapacitaciondelsur.com/violencia-sexual-1083812673/</v>
      </c>
    </row>
    <row r="164" spans="1:4" ht="60" customHeight="1" x14ac:dyDescent="0.25">
      <c r="A164" s="29" t="str">
        <f>INSCRITOS!N133</f>
        <v>DUELO</v>
      </c>
      <c r="B164" s="14" t="str">
        <f t="shared" si="5"/>
        <v>https://centrodecapacitaciondelsur.com/manejo-del-duelo-</v>
      </c>
      <c r="C164" s="29">
        <f>INSCRITOS!B133</f>
        <v>1086359492</v>
      </c>
      <c r="D164" t="str">
        <f t="shared" si="4"/>
        <v>https://centrodecapacitaciondelsur.com/manejo-del-duelo-1086359492/</v>
      </c>
    </row>
    <row r="165" spans="1:4" ht="60" customHeight="1" x14ac:dyDescent="0.25">
      <c r="A165" s="29" t="str">
        <f>INSCRITOS!N134</f>
        <v>VIOLENCIA SEXUAL</v>
      </c>
      <c r="B165" s="14" t="str">
        <f t="shared" si="5"/>
        <v>https://centrodecapacitaciondelsur.com/violencia-sexual-</v>
      </c>
      <c r="C165" s="29">
        <f>INSCRITOS!B134</f>
        <v>1086359492</v>
      </c>
      <c r="D165" t="str">
        <f t="shared" si="4"/>
        <v>https://centrodecapacitaciondelsur.com/violencia-sexual-1086359492/</v>
      </c>
    </row>
    <row r="166" spans="1:4" ht="60" customHeight="1" x14ac:dyDescent="0.25">
      <c r="A166" s="29" t="str">
        <f>INSCRITOS!N135</f>
        <v>DUELO</v>
      </c>
      <c r="B166" s="14" t="str">
        <f t="shared" si="5"/>
        <v>https://centrodecapacitaciondelsur.com/manejo-del-duelo-</v>
      </c>
      <c r="C166" s="29">
        <f>INSCRITOS!B135</f>
        <v>1086362554</v>
      </c>
      <c r="D166" t="str">
        <f t="shared" si="4"/>
        <v>https://centrodecapacitaciondelsur.com/manejo-del-duelo-1086362554/</v>
      </c>
    </row>
    <row r="167" spans="1:4" ht="60" customHeight="1" x14ac:dyDescent="0.25">
      <c r="A167" s="29" t="str">
        <f>INSCRITOS!N136</f>
        <v>VIOLENCIA SEXUAL</v>
      </c>
      <c r="B167" s="14" t="str">
        <f t="shared" si="5"/>
        <v>https://centrodecapacitaciondelsur.com/violencia-sexual-</v>
      </c>
      <c r="C167" s="29">
        <f>INSCRITOS!B136</f>
        <v>1086362554</v>
      </c>
      <c r="D167" t="str">
        <f t="shared" si="4"/>
        <v>https://centrodecapacitaciondelsur.com/violencia-sexual-1086362554/</v>
      </c>
    </row>
    <row r="168" spans="1:4" ht="60" customHeight="1" x14ac:dyDescent="0.25">
      <c r="A168" s="29" t="str">
        <f>INSCRITOS!N137</f>
        <v>VIOLENCIA SEXUAL</v>
      </c>
      <c r="B168" s="14" t="str">
        <f t="shared" si="5"/>
        <v>https://centrodecapacitaciondelsur.com/violencia-sexual-</v>
      </c>
      <c r="C168" s="29">
        <f>INSCRITOS!B137</f>
        <v>27081932</v>
      </c>
      <c r="D168" t="str">
        <f t="shared" ref="D168:D231" si="6">CONCATENATE(B168,C168,"/")</f>
        <v>https://centrodecapacitaciondelsur.com/violencia-sexual-27081932/</v>
      </c>
    </row>
    <row r="169" spans="1:4" ht="60" customHeight="1" x14ac:dyDescent="0.25">
      <c r="A169" s="29" t="str">
        <f>INSCRITOS!N138</f>
        <v>HUMANIZACION</v>
      </c>
      <c r="B169" s="14" t="str">
        <f t="shared" si="5"/>
        <v>https://centrodecapacitaciondelsur.com/humanizacion-</v>
      </c>
      <c r="C169" s="29">
        <f>INSCRITOS!B138</f>
        <v>1085936280</v>
      </c>
      <c r="D169" t="str">
        <f t="shared" si="6"/>
        <v>https://centrodecapacitaciondelsur.com/humanizacion-1085936280/</v>
      </c>
    </row>
    <row r="170" spans="1:4" ht="60" customHeight="1" x14ac:dyDescent="0.25">
      <c r="A170" s="29" t="str">
        <f>INSCRITOS!N139</f>
        <v>VIOLENCIA SEXUAL</v>
      </c>
      <c r="B170" s="14" t="str">
        <f t="shared" si="5"/>
        <v>https://centrodecapacitaciondelsur.com/violencia-sexual-</v>
      </c>
      <c r="C170" s="29">
        <f>INSCRITOS!B139</f>
        <v>36759792</v>
      </c>
      <c r="D170" t="str">
        <f t="shared" si="6"/>
        <v>https://centrodecapacitaciondelsur.com/violencia-sexual-36759792/</v>
      </c>
    </row>
    <row r="171" spans="1:4" ht="60" customHeight="1" x14ac:dyDescent="0.25">
      <c r="A171" s="29" t="str">
        <f>INSCRITOS!N140</f>
        <v>HUMANIZACION</v>
      </c>
      <c r="B171" s="14" t="str">
        <f t="shared" si="5"/>
        <v>https://centrodecapacitaciondelsur.com/humanizacion-</v>
      </c>
      <c r="C171" s="29">
        <f>INSCRITOS!B140</f>
        <v>36759792</v>
      </c>
      <c r="D171" t="str">
        <f t="shared" si="6"/>
        <v>https://centrodecapacitaciondelsur.com/humanizacion-36759792/</v>
      </c>
    </row>
    <row r="172" spans="1:4" ht="60" customHeight="1" x14ac:dyDescent="0.25">
      <c r="A172" s="29">
        <f>INSCRITOS!N141</f>
        <v>0</v>
      </c>
      <c r="B172" s="14" t="b">
        <f t="shared" si="5"/>
        <v>0</v>
      </c>
      <c r="C172" s="29">
        <f>INSCRITOS!B141</f>
        <v>0</v>
      </c>
      <c r="D172" t="str">
        <f t="shared" si="6"/>
        <v>FALSO0/</v>
      </c>
    </row>
    <row r="173" spans="1:4" ht="60" customHeight="1" x14ac:dyDescent="0.25">
      <c r="A173" s="29">
        <f>INSCRITOS!N142</f>
        <v>0</v>
      </c>
      <c r="B173" s="14" t="b">
        <f t="shared" si="5"/>
        <v>0</v>
      </c>
      <c r="C173" s="29">
        <f>INSCRITOS!B142</f>
        <v>0</v>
      </c>
      <c r="D173" t="str">
        <f t="shared" si="6"/>
        <v>FALSO0/</v>
      </c>
    </row>
    <row r="174" spans="1:4" ht="60" customHeight="1" x14ac:dyDescent="0.25">
      <c r="A174" s="29">
        <f>INSCRITOS!N143</f>
        <v>0</v>
      </c>
      <c r="B174" s="14" t="b">
        <f t="shared" si="5"/>
        <v>0</v>
      </c>
      <c r="C174" s="29">
        <f>INSCRITOS!B143</f>
        <v>0</v>
      </c>
      <c r="D174" t="str">
        <f t="shared" si="6"/>
        <v>FALSO0/</v>
      </c>
    </row>
    <row r="175" spans="1:4" ht="60" customHeight="1" x14ac:dyDescent="0.25">
      <c r="A175" s="29">
        <f>INSCRITOS!N144</f>
        <v>0</v>
      </c>
      <c r="B175" s="14" t="b">
        <f t="shared" si="5"/>
        <v>0</v>
      </c>
      <c r="C175" s="29">
        <f>INSCRITOS!B144</f>
        <v>0</v>
      </c>
      <c r="D175" t="str">
        <f t="shared" si="6"/>
        <v>FALSO0/</v>
      </c>
    </row>
    <row r="176" spans="1:4" ht="60" customHeight="1" x14ac:dyDescent="0.25">
      <c r="A176" s="29">
        <f>INSCRITOS!N145</f>
        <v>0</v>
      </c>
      <c r="B176" s="14" t="b">
        <f t="shared" si="5"/>
        <v>0</v>
      </c>
      <c r="C176" s="29">
        <f>INSCRITOS!B145</f>
        <v>0</v>
      </c>
      <c r="D176" t="str">
        <f t="shared" si="6"/>
        <v>FALSO0/</v>
      </c>
    </row>
    <row r="177" spans="1:4" ht="60" customHeight="1" x14ac:dyDescent="0.25">
      <c r="A177" s="29">
        <f>INSCRITOS!N146</f>
        <v>0</v>
      </c>
      <c r="B177" s="14" t="b">
        <f t="shared" si="5"/>
        <v>0</v>
      </c>
      <c r="C177" s="29">
        <f>INSCRITOS!B146</f>
        <v>0</v>
      </c>
      <c r="D177" t="str">
        <f t="shared" si="6"/>
        <v>FALSO0/</v>
      </c>
    </row>
    <row r="178" spans="1:4" ht="60" customHeight="1" x14ac:dyDescent="0.25">
      <c r="A178" s="29">
        <f>INSCRITOS!N147</f>
        <v>0</v>
      </c>
      <c r="B178" s="14" t="b">
        <f t="shared" si="5"/>
        <v>0</v>
      </c>
      <c r="C178" s="29">
        <f>INSCRITOS!B147</f>
        <v>0</v>
      </c>
      <c r="D178" t="str">
        <f t="shared" si="6"/>
        <v>FALSO0/</v>
      </c>
    </row>
    <row r="179" spans="1:4" ht="60" customHeight="1" x14ac:dyDescent="0.25">
      <c r="A179" s="29">
        <f>INSCRITOS!N148</f>
        <v>0</v>
      </c>
      <c r="B179" s="14" t="b">
        <f t="shared" si="5"/>
        <v>0</v>
      </c>
      <c r="C179" s="29">
        <f>INSCRITOS!B148</f>
        <v>0</v>
      </c>
      <c r="D179" t="str">
        <f t="shared" si="6"/>
        <v>FALSO0/</v>
      </c>
    </row>
    <row r="180" spans="1:4" ht="60" customHeight="1" x14ac:dyDescent="0.25">
      <c r="A180" s="29">
        <f>INSCRITOS!N149</f>
        <v>0</v>
      </c>
      <c r="B180" s="14" t="b">
        <f t="shared" si="5"/>
        <v>0</v>
      </c>
      <c r="C180" s="29">
        <f>INSCRITOS!B149</f>
        <v>0</v>
      </c>
      <c r="D180" t="str">
        <f t="shared" si="6"/>
        <v>FALSO0/</v>
      </c>
    </row>
    <row r="181" spans="1:4" ht="60" customHeight="1" x14ac:dyDescent="0.25">
      <c r="A181" s="29">
        <f>INSCRITOS!N150</f>
        <v>0</v>
      </c>
      <c r="B181" s="14" t="b">
        <f t="shared" si="5"/>
        <v>0</v>
      </c>
      <c r="C181" s="29">
        <f>INSCRITOS!B150</f>
        <v>0</v>
      </c>
      <c r="D181" t="str">
        <f t="shared" si="6"/>
        <v>FALSO0/</v>
      </c>
    </row>
    <row r="182" spans="1:4" ht="60" customHeight="1" x14ac:dyDescent="0.25">
      <c r="A182" s="29">
        <f>INSCRITOS!N151</f>
        <v>0</v>
      </c>
      <c r="B182" s="14" t="b">
        <f t="shared" si="5"/>
        <v>0</v>
      </c>
      <c r="C182" s="29">
        <f>INSCRITOS!B151</f>
        <v>0</v>
      </c>
      <c r="D182" t="str">
        <f t="shared" si="6"/>
        <v>FALSO0/</v>
      </c>
    </row>
    <row r="183" spans="1:4" ht="60" customHeight="1" x14ac:dyDescent="0.25">
      <c r="A183" s="29">
        <f>INSCRITOS!N152</f>
        <v>0</v>
      </c>
      <c r="B183" s="14" t="b">
        <f t="shared" si="5"/>
        <v>0</v>
      </c>
      <c r="C183" s="29">
        <f>INSCRITOS!B152</f>
        <v>0</v>
      </c>
      <c r="D183" t="str">
        <f t="shared" si="6"/>
        <v>FALSO0/</v>
      </c>
    </row>
    <row r="184" spans="1:4" ht="60" customHeight="1" x14ac:dyDescent="0.25">
      <c r="A184" s="29">
        <f>INSCRITOS!N153</f>
        <v>0</v>
      </c>
      <c r="B184" s="14" t="b">
        <f t="shared" si="5"/>
        <v>0</v>
      </c>
      <c r="C184" s="29">
        <f>INSCRITOS!B153</f>
        <v>0</v>
      </c>
      <c r="D184" t="str">
        <f t="shared" si="6"/>
        <v>FALSO0/</v>
      </c>
    </row>
    <row r="185" spans="1:4" ht="60" customHeight="1" x14ac:dyDescent="0.25">
      <c r="A185" s="29">
        <f>INSCRITOS!N154</f>
        <v>0</v>
      </c>
      <c r="B185" s="14" t="b">
        <f t="shared" si="5"/>
        <v>0</v>
      </c>
      <c r="C185" s="29">
        <f>INSCRITOS!B154</f>
        <v>0</v>
      </c>
      <c r="D185" t="str">
        <f t="shared" si="6"/>
        <v>FALSO0/</v>
      </c>
    </row>
    <row r="186" spans="1:4" ht="60" customHeight="1" x14ac:dyDescent="0.25">
      <c r="A186" s="29">
        <f>INSCRITOS!N155</f>
        <v>0</v>
      </c>
      <c r="B186" s="14" t="b">
        <f t="shared" si="5"/>
        <v>0</v>
      </c>
      <c r="C186" s="29">
        <f>INSCRITOS!B155</f>
        <v>0</v>
      </c>
      <c r="D186" t="str">
        <f t="shared" si="6"/>
        <v>FALSO0/</v>
      </c>
    </row>
    <row r="187" spans="1:4" ht="60" customHeight="1" x14ac:dyDescent="0.25">
      <c r="A187" s="29">
        <f>INSCRITOS!N156</f>
        <v>0</v>
      </c>
      <c r="B187" s="14" t="b">
        <f t="shared" si="5"/>
        <v>0</v>
      </c>
      <c r="C187" s="29">
        <f>INSCRITOS!B156</f>
        <v>0</v>
      </c>
      <c r="D187" t="str">
        <f t="shared" si="6"/>
        <v>FALSO0/</v>
      </c>
    </row>
    <row r="188" spans="1:4" ht="60" customHeight="1" x14ac:dyDescent="0.25">
      <c r="A188" s="29">
        <f>INSCRITOS!N157</f>
        <v>0</v>
      </c>
      <c r="B188" s="14" t="b">
        <f t="shared" si="5"/>
        <v>0</v>
      </c>
      <c r="C188" s="29">
        <f>INSCRITOS!B157</f>
        <v>0</v>
      </c>
      <c r="D188" t="str">
        <f t="shared" si="6"/>
        <v>FALSO0/</v>
      </c>
    </row>
    <row r="189" spans="1:4" ht="60" customHeight="1" x14ac:dyDescent="0.25">
      <c r="A189" s="29">
        <f>INSCRITOS!N158</f>
        <v>0</v>
      </c>
      <c r="B189" s="14" t="b">
        <f t="shared" si="5"/>
        <v>0</v>
      </c>
      <c r="C189" s="29">
        <f>INSCRITOS!B158</f>
        <v>0</v>
      </c>
      <c r="D189" t="str">
        <f t="shared" si="6"/>
        <v>FALSO0/</v>
      </c>
    </row>
    <row r="190" spans="1:4" ht="60" customHeight="1" x14ac:dyDescent="0.25">
      <c r="A190" s="29">
        <f>INSCRITOS!N159</f>
        <v>0</v>
      </c>
      <c r="B190" s="14" t="b">
        <f t="shared" si="5"/>
        <v>0</v>
      </c>
      <c r="C190" s="29">
        <f>INSCRITOS!B159</f>
        <v>0</v>
      </c>
      <c r="D190" t="str">
        <f t="shared" si="6"/>
        <v>FALSO0/</v>
      </c>
    </row>
    <row r="191" spans="1:4" ht="60" customHeight="1" x14ac:dyDescent="0.25">
      <c r="A191" s="29">
        <f>INSCRITOS!N160</f>
        <v>0</v>
      </c>
      <c r="B191" s="14" t="b">
        <f t="shared" si="5"/>
        <v>0</v>
      </c>
      <c r="C191" s="29">
        <f>INSCRITOS!B160</f>
        <v>0</v>
      </c>
      <c r="D191" t="str">
        <f t="shared" si="6"/>
        <v>FALSO0/</v>
      </c>
    </row>
    <row r="192" spans="1:4" ht="60" customHeight="1" x14ac:dyDescent="0.25">
      <c r="A192" s="29">
        <f>INSCRITOS!N161</f>
        <v>0</v>
      </c>
      <c r="B192" s="14" t="b">
        <f t="shared" si="5"/>
        <v>0</v>
      </c>
      <c r="C192" s="29">
        <f>INSCRITOS!B161</f>
        <v>0</v>
      </c>
      <c r="D192" t="str">
        <f t="shared" si="6"/>
        <v>FALSO0/</v>
      </c>
    </row>
    <row r="193" spans="1:4" ht="60" customHeight="1" x14ac:dyDescent="0.25">
      <c r="A193" s="29">
        <f>INSCRITOS!N162</f>
        <v>0</v>
      </c>
      <c r="B193" s="14" t="b">
        <f t="shared" si="5"/>
        <v>0</v>
      </c>
      <c r="C193" s="29">
        <f>INSCRITOS!B162</f>
        <v>0</v>
      </c>
      <c r="D193" t="str">
        <f t="shared" si="6"/>
        <v>FALSO0/</v>
      </c>
    </row>
    <row r="194" spans="1:4" ht="60" customHeight="1" x14ac:dyDescent="0.25">
      <c r="A194" s="29">
        <f>INSCRITOS!N163</f>
        <v>0</v>
      </c>
      <c r="B194" s="14" t="b">
        <f t="shared" si="5"/>
        <v>0</v>
      </c>
      <c r="C194" s="29">
        <f>INSCRITOS!B163</f>
        <v>0</v>
      </c>
      <c r="D194" t="str">
        <f t="shared" si="6"/>
        <v>FALSO0/</v>
      </c>
    </row>
    <row r="195" spans="1:4" ht="60" customHeight="1" x14ac:dyDescent="0.25">
      <c r="A195" s="29">
        <f>INSCRITOS!N164</f>
        <v>0</v>
      </c>
      <c r="B195" s="14" t="b">
        <f t="shared" si="5"/>
        <v>0</v>
      </c>
      <c r="C195" s="29">
        <f>INSCRITOS!B164</f>
        <v>0</v>
      </c>
      <c r="D195" t="str">
        <f t="shared" si="6"/>
        <v>FALSO0/</v>
      </c>
    </row>
    <row r="196" spans="1:4" ht="60" customHeight="1" x14ac:dyDescent="0.25">
      <c r="A196" s="29">
        <f>INSCRITOS!N165</f>
        <v>0</v>
      </c>
      <c r="B196" s="14" t="b">
        <f t="shared" si="5"/>
        <v>0</v>
      </c>
      <c r="C196" s="29">
        <f>INSCRITOS!B165</f>
        <v>0</v>
      </c>
      <c r="D196" t="str">
        <f t="shared" si="6"/>
        <v>FALSO0/</v>
      </c>
    </row>
    <row r="197" spans="1:4" ht="60" customHeight="1" x14ac:dyDescent="0.25">
      <c r="A197" s="29">
        <f>INSCRITOS!N166</f>
        <v>0</v>
      </c>
      <c r="B197" s="14" t="b">
        <f t="shared" si="5"/>
        <v>0</v>
      </c>
      <c r="C197" s="29">
        <f>INSCRITOS!B166</f>
        <v>0</v>
      </c>
      <c r="D197" t="str">
        <f t="shared" si="6"/>
        <v>FALSO0/</v>
      </c>
    </row>
    <row r="198" spans="1:4" ht="60" customHeight="1" x14ac:dyDescent="0.25">
      <c r="A198" s="29">
        <f>INSCRITOS!N167</f>
        <v>0</v>
      </c>
      <c r="B198" s="14" t="b">
        <f t="shared" si="5"/>
        <v>0</v>
      </c>
      <c r="C198" s="29">
        <f>INSCRITOS!B167</f>
        <v>0</v>
      </c>
      <c r="D198" t="str">
        <f t="shared" si="6"/>
        <v>FALSO0/</v>
      </c>
    </row>
    <row r="199" spans="1:4" ht="60" customHeight="1" x14ac:dyDescent="0.25">
      <c r="A199" s="29">
        <f>INSCRITOS!N168</f>
        <v>0</v>
      </c>
      <c r="B199" s="14" t="b">
        <f t="shared" si="5"/>
        <v>0</v>
      </c>
      <c r="C199" s="29">
        <f>INSCRITOS!B168</f>
        <v>0</v>
      </c>
      <c r="D199" t="str">
        <f t="shared" si="6"/>
        <v>FALSO0/</v>
      </c>
    </row>
    <row r="200" spans="1:4" ht="60" customHeight="1" x14ac:dyDescent="0.25">
      <c r="A200" s="29">
        <f>INSCRITOS!N169</f>
        <v>0</v>
      </c>
      <c r="B200" s="14" t="b">
        <f t="shared" si="5"/>
        <v>0</v>
      </c>
      <c r="C200" s="29">
        <f>INSCRITOS!B169</f>
        <v>0</v>
      </c>
      <c r="D200" t="str">
        <f t="shared" si="6"/>
        <v>FALSO0/</v>
      </c>
    </row>
    <row r="201" spans="1:4" ht="60" customHeight="1" x14ac:dyDescent="0.25">
      <c r="A201" s="29">
        <f>INSCRITOS!N170</f>
        <v>0</v>
      </c>
      <c r="B201" s="14" t="b">
        <f t="shared" si="5"/>
        <v>0</v>
      </c>
      <c r="C201" s="29">
        <f>INSCRITOS!B170</f>
        <v>0</v>
      </c>
      <c r="D201" t="str">
        <f t="shared" si="6"/>
        <v>FALSO0/</v>
      </c>
    </row>
    <row r="202" spans="1:4" ht="60" customHeight="1" x14ac:dyDescent="0.25">
      <c r="A202" s="29">
        <f>INSCRITOS!N171</f>
        <v>0</v>
      </c>
      <c r="B202" s="14" t="b">
        <f t="shared" si="5"/>
        <v>0</v>
      </c>
      <c r="C202" s="29">
        <f>INSCRITOS!B171</f>
        <v>0</v>
      </c>
      <c r="D202" t="str">
        <f t="shared" si="6"/>
        <v>FALSO0/</v>
      </c>
    </row>
    <row r="203" spans="1:4" ht="60" customHeight="1" x14ac:dyDescent="0.25">
      <c r="A203" s="29">
        <f>INSCRITOS!N172</f>
        <v>0</v>
      </c>
      <c r="B203" s="14" t="b">
        <f t="shared" si="5"/>
        <v>0</v>
      </c>
      <c r="C203" s="29">
        <f>INSCRITOS!B172</f>
        <v>0</v>
      </c>
      <c r="D203" t="str">
        <f t="shared" si="6"/>
        <v>FALSO0/</v>
      </c>
    </row>
    <row r="204" spans="1:4" ht="60" customHeight="1" x14ac:dyDescent="0.25">
      <c r="A204" s="29">
        <f>INSCRITOS!N173</f>
        <v>0</v>
      </c>
      <c r="B204" s="14" t="b">
        <f t="shared" si="5"/>
        <v>0</v>
      </c>
      <c r="C204" s="29">
        <f>INSCRITOS!B173</f>
        <v>0</v>
      </c>
      <c r="D204" t="str">
        <f t="shared" si="6"/>
        <v>FALSO0/</v>
      </c>
    </row>
    <row r="205" spans="1:4" ht="60" customHeight="1" x14ac:dyDescent="0.25">
      <c r="A205" s="29">
        <f>INSCRITOS!N174</f>
        <v>0</v>
      </c>
      <c r="B205" s="14" t="b">
        <f t="shared" si="5"/>
        <v>0</v>
      </c>
      <c r="C205" s="29">
        <f>INSCRITOS!B174</f>
        <v>0</v>
      </c>
      <c r="D205" t="str">
        <f t="shared" si="6"/>
        <v>FALSO0/</v>
      </c>
    </row>
    <row r="206" spans="1:4" ht="60" customHeight="1" x14ac:dyDescent="0.25">
      <c r="A206" s="29">
        <f>INSCRITOS!N175</f>
        <v>0</v>
      </c>
      <c r="B206" s="14" t="b">
        <f t="shared" si="5"/>
        <v>0</v>
      </c>
      <c r="C206" s="29">
        <f>INSCRITOS!B175</f>
        <v>0</v>
      </c>
      <c r="D206" t="str">
        <f t="shared" si="6"/>
        <v>FALSO0/</v>
      </c>
    </row>
    <row r="207" spans="1:4" ht="60" customHeight="1" x14ac:dyDescent="0.25">
      <c r="A207" s="29">
        <f>INSCRITOS!N176</f>
        <v>0</v>
      </c>
      <c r="B207" s="14" t="b">
        <f t="shared" si="5"/>
        <v>0</v>
      </c>
      <c r="C207" s="29">
        <f>INSCRITOS!B176</f>
        <v>0</v>
      </c>
      <c r="D207" t="str">
        <f t="shared" si="6"/>
        <v>FALSO0/</v>
      </c>
    </row>
    <row r="208" spans="1:4" ht="60" customHeight="1" x14ac:dyDescent="0.25">
      <c r="A208" s="29">
        <f>INSCRITOS!N177</f>
        <v>0</v>
      </c>
      <c r="B208" s="14" t="b">
        <f t="shared" si="5"/>
        <v>0</v>
      </c>
      <c r="C208" s="29">
        <f>INSCRITOS!B177</f>
        <v>0</v>
      </c>
      <c r="D208" t="str">
        <f t="shared" si="6"/>
        <v>FALSO0/</v>
      </c>
    </row>
    <row r="209" spans="1:4" ht="60" customHeight="1" x14ac:dyDescent="0.25">
      <c r="A209" s="29">
        <f>INSCRITOS!N178</f>
        <v>0</v>
      </c>
      <c r="B209" s="14" t="b">
        <f t="shared" si="5"/>
        <v>0</v>
      </c>
      <c r="C209" s="29">
        <f>INSCRITOS!B178</f>
        <v>0</v>
      </c>
      <c r="D209" t="str">
        <f t="shared" si="6"/>
        <v>FALSO0/</v>
      </c>
    </row>
    <row r="210" spans="1:4" ht="60" customHeight="1" x14ac:dyDescent="0.25">
      <c r="A210" s="29">
        <f>INSCRITOS!N179</f>
        <v>0</v>
      </c>
      <c r="B210" s="14" t="b">
        <f t="shared" si="5"/>
        <v>0</v>
      </c>
      <c r="C210" s="29">
        <f>INSCRITOS!B179</f>
        <v>0</v>
      </c>
      <c r="D210" t="str">
        <f t="shared" si="6"/>
        <v>FALSO0/</v>
      </c>
    </row>
    <row r="211" spans="1:4" ht="60" customHeight="1" x14ac:dyDescent="0.25">
      <c r="A211" s="29">
        <f>INSCRITOS!N180</f>
        <v>0</v>
      </c>
      <c r="B211" s="14" t="b">
        <f t="shared" si="5"/>
        <v>0</v>
      </c>
      <c r="C211" s="29">
        <f>INSCRITOS!B180</f>
        <v>0</v>
      </c>
      <c r="D211" t="str">
        <f t="shared" si="6"/>
        <v>FALSO0/</v>
      </c>
    </row>
    <row r="212" spans="1:4" ht="60" customHeight="1" x14ac:dyDescent="0.25">
      <c r="A212" s="29">
        <f>INSCRITOS!N181</f>
        <v>0</v>
      </c>
      <c r="B212" s="14" t="b">
        <f t="shared" si="5"/>
        <v>0</v>
      </c>
      <c r="C212" s="29">
        <f>INSCRITOS!B181</f>
        <v>0</v>
      </c>
      <c r="D212" t="str">
        <f t="shared" si="6"/>
        <v>FALSO0/</v>
      </c>
    </row>
    <row r="213" spans="1:4" ht="60" customHeight="1" x14ac:dyDescent="0.25">
      <c r="A213" s="29">
        <f>INSCRITOS!N182</f>
        <v>0</v>
      </c>
      <c r="B213" s="14" t="b">
        <f t="shared" si="5"/>
        <v>0</v>
      </c>
      <c r="C213" s="29">
        <f>INSCRITOS!B182</f>
        <v>0</v>
      </c>
      <c r="D213" t="str">
        <f t="shared" si="6"/>
        <v>FALSO0/</v>
      </c>
    </row>
    <row r="214" spans="1:4" ht="60" customHeight="1" x14ac:dyDescent="0.25">
      <c r="A214" s="29">
        <f>INSCRITOS!N183</f>
        <v>0</v>
      </c>
      <c r="B214" s="14" t="b">
        <f t="shared" si="5"/>
        <v>0</v>
      </c>
      <c r="C214" s="29">
        <f>INSCRITOS!B183</f>
        <v>0</v>
      </c>
      <c r="D214" t="str">
        <f t="shared" si="6"/>
        <v>FALSO0/</v>
      </c>
    </row>
    <row r="215" spans="1:4" ht="60" customHeight="1" x14ac:dyDescent="0.25">
      <c r="A215" s="29">
        <f>INSCRITOS!N184</f>
        <v>0</v>
      </c>
      <c r="B215" s="14" t="b">
        <f t="shared" si="5"/>
        <v>0</v>
      </c>
      <c r="C215" s="29">
        <f>INSCRITOS!B184</f>
        <v>0</v>
      </c>
      <c r="D215" t="str">
        <f t="shared" si="6"/>
        <v>FALSO0/</v>
      </c>
    </row>
    <row r="216" spans="1:4" ht="60" customHeight="1" x14ac:dyDescent="0.25">
      <c r="A216" s="29">
        <f>INSCRITOS!N185</f>
        <v>0</v>
      </c>
      <c r="B216" s="14" t="b">
        <f t="shared" si="5"/>
        <v>0</v>
      </c>
      <c r="C216" s="29">
        <f>INSCRITOS!B185</f>
        <v>0</v>
      </c>
      <c r="D216" t="str">
        <f t="shared" si="6"/>
        <v>FALSO0/</v>
      </c>
    </row>
    <row r="217" spans="1:4" ht="60" customHeight="1" x14ac:dyDescent="0.25">
      <c r="A217" s="29">
        <f>INSCRITOS!N186</f>
        <v>0</v>
      </c>
      <c r="B217" s="14" t="b">
        <f t="shared" si="5"/>
        <v>0</v>
      </c>
      <c r="C217" s="29">
        <f>INSCRITOS!B186</f>
        <v>0</v>
      </c>
      <c r="D217" t="str">
        <f t="shared" si="6"/>
        <v>FALSO0/</v>
      </c>
    </row>
    <row r="218" spans="1:4" ht="60.75" customHeight="1" x14ac:dyDescent="0.25">
      <c r="A218" s="29">
        <f>INSCRITOS!N187</f>
        <v>0</v>
      </c>
      <c r="B218" s="14" t="b">
        <f t="shared" si="5"/>
        <v>0</v>
      </c>
      <c r="C218" s="29">
        <f>INSCRITOS!B187</f>
        <v>0</v>
      </c>
      <c r="D218" t="str">
        <f t="shared" si="6"/>
        <v>FALSO0/</v>
      </c>
    </row>
    <row r="219" spans="1:4" ht="60.75" customHeight="1" x14ac:dyDescent="0.25">
      <c r="A219" s="29">
        <f>INSCRITOS!N188</f>
        <v>0</v>
      </c>
      <c r="B219" s="14" t="b">
        <f t="shared" si="5"/>
        <v>0</v>
      </c>
      <c r="C219" s="29">
        <f>INSCRITOS!B188</f>
        <v>0</v>
      </c>
      <c r="D219" t="str">
        <f t="shared" si="6"/>
        <v>FALSO0/</v>
      </c>
    </row>
    <row r="220" spans="1:4" ht="60.75" customHeight="1" x14ac:dyDescent="0.25">
      <c r="A220" s="29">
        <f>INSCRITOS!N189</f>
        <v>0</v>
      </c>
      <c r="B220" s="14" t="b">
        <f t="shared" si="5"/>
        <v>0</v>
      </c>
      <c r="C220" s="29">
        <f>INSCRITOS!B189</f>
        <v>0</v>
      </c>
      <c r="D220" t="str">
        <f t="shared" si="6"/>
        <v>FALSO0/</v>
      </c>
    </row>
    <row r="221" spans="1:4" ht="60.75" customHeight="1" x14ac:dyDescent="0.25">
      <c r="A221" s="29">
        <f>INSCRITOS!N190</f>
        <v>0</v>
      </c>
      <c r="B221" s="14" t="b">
        <f t="shared" si="5"/>
        <v>0</v>
      </c>
      <c r="C221" s="29">
        <f>INSCRITOS!B190</f>
        <v>0</v>
      </c>
      <c r="D221" t="str">
        <f t="shared" si="6"/>
        <v>FALSO0/</v>
      </c>
    </row>
    <row r="222" spans="1:4" ht="60.75" customHeight="1" x14ac:dyDescent="0.25">
      <c r="A222" s="29">
        <f>INSCRITOS!N191</f>
        <v>0</v>
      </c>
      <c r="B222" s="14" t="b">
        <f t="shared" si="5"/>
        <v>0</v>
      </c>
      <c r="C222" s="29">
        <f>INSCRITOS!B191</f>
        <v>0</v>
      </c>
      <c r="D222" t="str">
        <f t="shared" si="6"/>
        <v>FALSO0/</v>
      </c>
    </row>
    <row r="223" spans="1:4" ht="60.75" customHeight="1" x14ac:dyDescent="0.25">
      <c r="A223" s="29">
        <f>INSCRITOS!N192</f>
        <v>0</v>
      </c>
      <c r="B223" s="14" t="b">
        <f t="shared" si="5"/>
        <v>0</v>
      </c>
      <c r="C223" s="29">
        <f>INSCRITOS!B192</f>
        <v>0</v>
      </c>
      <c r="D223" t="str">
        <f t="shared" si="6"/>
        <v>FALSO0/</v>
      </c>
    </row>
    <row r="224" spans="1:4" ht="60.75" customHeight="1" x14ac:dyDescent="0.25">
      <c r="A224" s="29">
        <f>INSCRITOS!N193</f>
        <v>0</v>
      </c>
      <c r="B224" s="14" t="b">
        <f t="shared" si="5"/>
        <v>0</v>
      </c>
      <c r="C224" s="29">
        <f>INSCRITOS!B193</f>
        <v>0</v>
      </c>
      <c r="D224" t="str">
        <f t="shared" si="6"/>
        <v>FALSO0/</v>
      </c>
    </row>
    <row r="225" spans="1:4" ht="60.75" customHeight="1" x14ac:dyDescent="0.25">
      <c r="A225" s="29">
        <f>INSCRITOS!N194</f>
        <v>0</v>
      </c>
      <c r="B225" s="14" t="b">
        <f t="shared" si="5"/>
        <v>0</v>
      </c>
      <c r="C225" s="29">
        <f>INSCRITOS!B194</f>
        <v>0</v>
      </c>
      <c r="D225" t="str">
        <f t="shared" si="6"/>
        <v>FALSO0/</v>
      </c>
    </row>
    <row r="226" spans="1:4" ht="60.75" customHeight="1" x14ac:dyDescent="0.25">
      <c r="A226" s="29">
        <f>INSCRITOS!N195</f>
        <v>0</v>
      </c>
      <c r="B226" s="14" t="b">
        <f t="shared" ref="B226:B245" si="7">IF(A226=$H$19,"https://centrodecapacitaciondelsur.com/o-v-e-",IF(A226=$H$2,"https://centrodecapacitaciondelsur.com/aph-",IF(A226=$H$3,"https://centrodecapacitaciondelsur.com/manejo-del-duelo-",IF(A226=$H$4,"https://centrodecapacitaciondelsur.com/victimas-por-agentes-quimicos-",IF(A226=$H$5,"https://centrodecapacitaciondelsur.com/primeros-auxilios-",IF(A226=$H$6,"https://centrodecapacitaciondelsur.com/uci-",IF(A226=$H$8,"https://centrodecapacitaciondelsur.com/humanizacion-",IF(A226=$H$11,"https://centrodecapacitaciondelsur.com/soporte-cardiovascular-avanzado-",IF(A226=$H$12,"https://centrodecapacitaciondelsur.com/camillero-",IF(A226=$H$13,"https://centrodecapacitaciondelsur.com/toma-de-muestras-y-lab-clinico-",IF(A226=$H$14,"https://centrodecapacitaciondelsur.com/soporte-basico-de-vida-",IF(A226=$H$15,"https://centrodecapacitaciondelsur.com/violencia-sexual-",IF(A226=$H$17,"https://centrodecapacitaciondelsur.com/aiepi-",IF(A226=$H$18,"https://centrodecapacitaciondelsur.com/adm-medicamentos-canalizacion-inyectologia-",IF(A226=$H$25,"https://centrodecapacitaciondelsur.com/manejo-del-dolor-y-cuidados-paliativos-",IF(A226=$H$26,"https://centrodecapacitaciondelsur.com/toma-de-muestras-y-lab-clinico-poct-",IF(A226=$H$27,"https://centrodecapacitaciondelsur.com/implante-subdermico-",IF(A226=$H$21,"https://centrodecapacitaciondelsur.com/donante-de-organos-",IF(A226=$H$30,"https://centrodecapacitaciondelsur.com/atencion-a-victimas-del-conflicto-armado-",IF(A226=$H$20,"https://centrodecapacitaciondelsur.com/iami-",IF(A226=$H$22,"https://centrodecapacitaciondelsur.com/violencia-de-genero-",IF(A226=$H$23,"https://centrodecapacitaciondelsur.com/igualdad-de-genero-",IF(A226=$H$16,"https://centrodecapacitaciondelsur.com/pai-",IF(A226=$H$31,"https://centrodecapacitaciondelsur.com/manipulacion-de-alimentos-",IF(A226=$H$32,"https://centrodecapacitaciondelsur.com/atencion-a-personas-con-discapacidad-",IF(A226=$H$33,"https://centrodecapacitaciondelsur.com/atencion-al-adulto-mayor-"))))))))))))))))))))))))))</f>
        <v>0</v>
      </c>
      <c r="C226" s="29">
        <f>INSCRITOS!B195</f>
        <v>0</v>
      </c>
      <c r="D226" t="str">
        <f t="shared" si="6"/>
        <v>FALSO0/</v>
      </c>
    </row>
    <row r="227" spans="1:4" ht="72.75" customHeight="1" x14ac:dyDescent="0.25">
      <c r="A227" s="29">
        <f>INSCRITOS!N196</f>
        <v>0</v>
      </c>
      <c r="B227" s="14" t="b">
        <f t="shared" si="7"/>
        <v>0</v>
      </c>
      <c r="C227" s="29">
        <f>INSCRITOS!B196</f>
        <v>0</v>
      </c>
      <c r="D227" t="str">
        <f t="shared" si="6"/>
        <v>FALSO0/</v>
      </c>
    </row>
    <row r="228" spans="1:4" ht="72.75" customHeight="1" x14ac:dyDescent="0.25">
      <c r="A228" s="29">
        <f>INSCRITOS!N197</f>
        <v>0</v>
      </c>
      <c r="B228" s="14" t="b">
        <f t="shared" si="7"/>
        <v>0</v>
      </c>
      <c r="C228" s="29">
        <f>INSCRITOS!B197</f>
        <v>0</v>
      </c>
      <c r="D228" t="str">
        <f t="shared" si="6"/>
        <v>FALSO0/</v>
      </c>
    </row>
    <row r="229" spans="1:4" ht="72.75" customHeight="1" x14ac:dyDescent="0.25">
      <c r="A229" s="29">
        <f>INSCRITOS!N198</f>
        <v>0</v>
      </c>
      <c r="B229" s="14" t="b">
        <f t="shared" si="7"/>
        <v>0</v>
      </c>
      <c r="C229" s="29">
        <f>INSCRITOS!B198</f>
        <v>0</v>
      </c>
      <c r="D229" t="str">
        <f t="shared" si="6"/>
        <v>FALSO0/</v>
      </c>
    </row>
    <row r="230" spans="1:4" ht="72.75" customHeight="1" x14ac:dyDescent="0.25">
      <c r="A230" s="29">
        <f>INSCRITOS!N199</f>
        <v>0</v>
      </c>
      <c r="B230" s="14" t="b">
        <f t="shared" si="7"/>
        <v>0</v>
      </c>
      <c r="C230" s="29">
        <f>INSCRITOS!B199</f>
        <v>0</v>
      </c>
      <c r="D230" t="str">
        <f t="shared" si="6"/>
        <v>FALSO0/</v>
      </c>
    </row>
    <row r="231" spans="1:4" ht="72.75" customHeight="1" x14ac:dyDescent="0.25">
      <c r="A231" s="29">
        <f>INSCRITOS!N200</f>
        <v>0</v>
      </c>
      <c r="B231" s="14" t="b">
        <f t="shared" si="7"/>
        <v>0</v>
      </c>
      <c r="C231" s="29">
        <f>INSCRITOS!B200</f>
        <v>0</v>
      </c>
      <c r="D231" t="str">
        <f t="shared" si="6"/>
        <v>FALSO0/</v>
      </c>
    </row>
    <row r="232" spans="1:4" ht="72.75" customHeight="1" x14ac:dyDescent="0.25">
      <c r="A232" s="29">
        <f>INSCRITOS!N201</f>
        <v>0</v>
      </c>
      <c r="B232" s="14" t="b">
        <f t="shared" si="7"/>
        <v>0</v>
      </c>
      <c r="C232" s="29">
        <f>INSCRITOS!B201</f>
        <v>0</v>
      </c>
      <c r="D232" t="str">
        <f t="shared" ref="D232:D245" si="8">CONCATENATE(B232,C232,"/")</f>
        <v>FALSO0/</v>
      </c>
    </row>
    <row r="233" spans="1:4" ht="72.75" customHeight="1" x14ac:dyDescent="0.25">
      <c r="A233" s="29">
        <f>INSCRITOS!N202</f>
        <v>0</v>
      </c>
      <c r="B233" s="14" t="b">
        <f t="shared" si="7"/>
        <v>0</v>
      </c>
      <c r="C233" s="29">
        <f>INSCRITOS!B202</f>
        <v>0</v>
      </c>
      <c r="D233" t="str">
        <f t="shared" si="8"/>
        <v>FALSO0/</v>
      </c>
    </row>
    <row r="234" spans="1:4" ht="72.75" customHeight="1" x14ac:dyDescent="0.25">
      <c r="A234" s="29">
        <f>INSCRITOS!N203</f>
        <v>0</v>
      </c>
      <c r="B234" s="14" t="b">
        <f t="shared" si="7"/>
        <v>0</v>
      </c>
      <c r="C234" s="29">
        <f>INSCRITOS!B203</f>
        <v>0</v>
      </c>
      <c r="D234" t="str">
        <f t="shared" si="8"/>
        <v>FALSO0/</v>
      </c>
    </row>
    <row r="235" spans="1:4" ht="72.75" customHeight="1" x14ac:dyDescent="0.25">
      <c r="A235" s="29">
        <f>INSCRITOS!N204</f>
        <v>0</v>
      </c>
      <c r="B235" s="14" t="b">
        <f t="shared" si="7"/>
        <v>0</v>
      </c>
      <c r="C235" s="29">
        <f>INSCRITOS!B204</f>
        <v>0</v>
      </c>
      <c r="D235" t="str">
        <f t="shared" si="8"/>
        <v>FALSO0/</v>
      </c>
    </row>
    <row r="236" spans="1:4" ht="72.75" customHeight="1" x14ac:dyDescent="0.25">
      <c r="A236" s="29">
        <f>INSCRITOS!N205</f>
        <v>0</v>
      </c>
      <c r="B236" s="14" t="b">
        <f t="shared" si="7"/>
        <v>0</v>
      </c>
      <c r="C236" s="29">
        <f>INSCRITOS!B205</f>
        <v>0</v>
      </c>
      <c r="D236" t="str">
        <f t="shared" si="8"/>
        <v>FALSO0/</v>
      </c>
    </row>
    <row r="237" spans="1:4" ht="72.75" customHeight="1" x14ac:dyDescent="0.25">
      <c r="A237" s="29">
        <f>INSCRITOS!N206</f>
        <v>0</v>
      </c>
      <c r="B237" s="14" t="b">
        <f t="shared" si="7"/>
        <v>0</v>
      </c>
      <c r="C237" s="29">
        <f>INSCRITOS!B206</f>
        <v>0</v>
      </c>
      <c r="D237" t="str">
        <f t="shared" si="8"/>
        <v>FALSO0/</v>
      </c>
    </row>
    <row r="238" spans="1:4" ht="72.75" customHeight="1" x14ac:dyDescent="0.25">
      <c r="A238" s="29">
        <f>INSCRITOS!N207</f>
        <v>0</v>
      </c>
      <c r="B238" s="14" t="b">
        <f t="shared" si="7"/>
        <v>0</v>
      </c>
      <c r="C238" s="29">
        <f>INSCRITOS!B207</f>
        <v>0</v>
      </c>
      <c r="D238" t="str">
        <f t="shared" si="8"/>
        <v>FALSO0/</v>
      </c>
    </row>
    <row r="239" spans="1:4" ht="72.75" customHeight="1" x14ac:dyDescent="0.25">
      <c r="A239" s="29">
        <f>INSCRITOS!N208</f>
        <v>0</v>
      </c>
      <c r="B239" s="14" t="b">
        <f t="shared" si="7"/>
        <v>0</v>
      </c>
      <c r="C239" s="29">
        <f>INSCRITOS!B208</f>
        <v>0</v>
      </c>
      <c r="D239" t="str">
        <f t="shared" si="8"/>
        <v>FALSO0/</v>
      </c>
    </row>
    <row r="240" spans="1:4" ht="72.75" customHeight="1" x14ac:dyDescent="0.25">
      <c r="A240" s="29">
        <f>INSCRITOS!N209</f>
        <v>0</v>
      </c>
      <c r="B240" s="14" t="b">
        <f t="shared" si="7"/>
        <v>0</v>
      </c>
      <c r="C240" s="29">
        <f>INSCRITOS!B209</f>
        <v>0</v>
      </c>
      <c r="D240" t="str">
        <f t="shared" si="8"/>
        <v>FALSO0/</v>
      </c>
    </row>
    <row r="241" spans="1:4" ht="72.75" customHeight="1" x14ac:dyDescent="0.25">
      <c r="A241" s="29">
        <f>INSCRITOS!N210</f>
        <v>0</v>
      </c>
      <c r="B241" s="14" t="b">
        <f t="shared" si="7"/>
        <v>0</v>
      </c>
      <c r="C241" s="29">
        <f>INSCRITOS!B210</f>
        <v>0</v>
      </c>
      <c r="D241" t="str">
        <f t="shared" si="8"/>
        <v>FALSO0/</v>
      </c>
    </row>
    <row r="242" spans="1:4" ht="72.75" customHeight="1" x14ac:dyDescent="0.25">
      <c r="A242" s="29">
        <f>INSCRITOS!N211</f>
        <v>0</v>
      </c>
      <c r="B242" s="14" t="b">
        <f t="shared" si="7"/>
        <v>0</v>
      </c>
      <c r="C242" s="29">
        <f>INSCRITOS!B211</f>
        <v>0</v>
      </c>
      <c r="D242" t="str">
        <f t="shared" si="8"/>
        <v>FALSO0/</v>
      </c>
    </row>
    <row r="243" spans="1:4" ht="72.75" customHeight="1" x14ac:dyDescent="0.25">
      <c r="A243" s="29">
        <f>INSCRITOS!N212</f>
        <v>0</v>
      </c>
      <c r="B243" s="14" t="b">
        <f t="shared" si="7"/>
        <v>0</v>
      </c>
      <c r="C243" s="29">
        <f>INSCRITOS!B212</f>
        <v>0</v>
      </c>
      <c r="D243" t="str">
        <f t="shared" si="8"/>
        <v>FALSO0/</v>
      </c>
    </row>
    <row r="244" spans="1:4" ht="72.75" customHeight="1" x14ac:dyDescent="0.25">
      <c r="A244" s="29">
        <f>INSCRITOS!N213</f>
        <v>0</v>
      </c>
      <c r="B244" s="14" t="b">
        <f t="shared" si="7"/>
        <v>0</v>
      </c>
      <c r="C244" s="29">
        <f>INSCRITOS!B213</f>
        <v>0</v>
      </c>
      <c r="D244" t="str">
        <f t="shared" si="8"/>
        <v>FALSO0/</v>
      </c>
    </row>
    <row r="245" spans="1:4" ht="72.75" customHeight="1" x14ac:dyDescent="0.25">
      <c r="A245" s="29">
        <f>INSCRITOS!N214</f>
        <v>0</v>
      </c>
      <c r="B245" s="14" t="b">
        <f t="shared" si="7"/>
        <v>0</v>
      </c>
      <c r="C245" s="29">
        <f>INSCRITOS!B214</f>
        <v>0</v>
      </c>
      <c r="D245" t="str">
        <f t="shared" si="8"/>
        <v>FALSO0/</v>
      </c>
    </row>
    <row r="246" spans="1:4" ht="72.75" customHeight="1" x14ac:dyDescent="0.25"/>
    <row r="247" spans="1:4" ht="72.75" customHeight="1" x14ac:dyDescent="0.25"/>
    <row r="248" spans="1:4" ht="72.75" customHeight="1" x14ac:dyDescent="0.25"/>
    <row r="249" spans="1:4" ht="72.75" customHeight="1" x14ac:dyDescent="0.25"/>
    <row r="250" spans="1:4" ht="72.75" customHeight="1" x14ac:dyDescent="0.25"/>
    <row r="251" spans="1:4" ht="72.75" customHeight="1" x14ac:dyDescent="0.25"/>
    <row r="252" spans="1:4" ht="72.75" customHeight="1" x14ac:dyDescent="0.25"/>
    <row r="253" spans="1:4" ht="72.75" customHeight="1" x14ac:dyDescent="0.25"/>
    <row r="254" spans="1:4" ht="72.75" customHeight="1" x14ac:dyDescent="0.25"/>
    <row r="255" spans="1:4" ht="72.75" customHeight="1" x14ac:dyDescent="0.25"/>
    <row r="256" spans="1:4" ht="72.75" customHeight="1" x14ac:dyDescent="0.25"/>
    <row r="257" ht="72.75" customHeight="1" x14ac:dyDescent="0.25"/>
    <row r="258" ht="72.75" customHeight="1" x14ac:dyDescent="0.25"/>
    <row r="259" ht="72.75" customHeight="1" x14ac:dyDescent="0.25"/>
    <row r="260" ht="72.75" customHeight="1" x14ac:dyDescent="0.25"/>
    <row r="261" ht="72.75" customHeight="1" x14ac:dyDescent="0.25"/>
    <row r="262" ht="72.75" customHeight="1" x14ac:dyDescent="0.25"/>
    <row r="263" ht="72.75" customHeight="1" x14ac:dyDescent="0.25"/>
    <row r="264" ht="72.75" customHeight="1" x14ac:dyDescent="0.25"/>
    <row r="265" ht="72.75" customHeight="1" x14ac:dyDescent="0.25"/>
    <row r="266" ht="72.75" customHeight="1" x14ac:dyDescent="0.25"/>
    <row r="267" ht="72.75" customHeight="1" x14ac:dyDescent="0.25"/>
    <row r="268" ht="72.75" customHeight="1" x14ac:dyDescent="0.25"/>
    <row r="269" ht="72.75" customHeight="1" x14ac:dyDescent="0.25"/>
    <row r="270" ht="72.75" customHeight="1" x14ac:dyDescent="0.25"/>
    <row r="271" ht="72.75" customHeight="1" x14ac:dyDescent="0.25"/>
    <row r="272" ht="72.75" customHeight="1" x14ac:dyDescent="0.25"/>
    <row r="273" ht="72.75" customHeight="1" x14ac:dyDescent="0.25"/>
    <row r="274" ht="72.75" customHeight="1" x14ac:dyDescent="0.25"/>
    <row r="275" ht="72.75" customHeight="1" x14ac:dyDescent="0.25"/>
    <row r="276" ht="72.75" customHeight="1" x14ac:dyDescent="0.25"/>
    <row r="277" ht="72.75" customHeight="1" x14ac:dyDescent="0.25"/>
    <row r="278" ht="72.75" customHeight="1" x14ac:dyDescent="0.25"/>
    <row r="279" ht="72.75" customHeight="1" x14ac:dyDescent="0.25"/>
    <row r="280" ht="72.75" customHeight="1" x14ac:dyDescent="0.25"/>
    <row r="281" ht="72.75" customHeight="1" x14ac:dyDescent="0.25"/>
    <row r="282" ht="72.75" customHeight="1" x14ac:dyDescent="0.25"/>
    <row r="283" ht="72.75" customHeight="1" x14ac:dyDescent="0.25"/>
    <row r="284" ht="72.75" customHeight="1" x14ac:dyDescent="0.25"/>
    <row r="285" ht="72.75" customHeight="1" x14ac:dyDescent="0.25"/>
    <row r="286" ht="72.75" customHeight="1" x14ac:dyDescent="0.25"/>
    <row r="287" ht="72.75" customHeight="1" x14ac:dyDescent="0.25"/>
    <row r="288" ht="72.75" customHeight="1" x14ac:dyDescent="0.25"/>
    <row r="289" ht="72.75" customHeight="1" x14ac:dyDescent="0.25"/>
    <row r="290" ht="72.75" customHeight="1" x14ac:dyDescent="0.25"/>
    <row r="291" ht="72.75" customHeight="1" x14ac:dyDescent="0.25"/>
    <row r="292" ht="72.75" customHeight="1" x14ac:dyDescent="0.25"/>
    <row r="293" ht="72.75" customHeight="1" x14ac:dyDescent="0.25"/>
    <row r="294" ht="72.75" customHeight="1" x14ac:dyDescent="0.25"/>
    <row r="295" ht="72.75" customHeight="1" x14ac:dyDescent="0.25"/>
    <row r="296" ht="72.75" customHeight="1" x14ac:dyDescent="0.25"/>
    <row r="297" ht="72.75" customHeight="1" x14ac:dyDescent="0.25"/>
    <row r="298" ht="72.75" customHeight="1" x14ac:dyDescent="0.25"/>
    <row r="299" ht="72.75" customHeight="1" x14ac:dyDescent="0.25"/>
    <row r="300" ht="72.75" customHeight="1" x14ac:dyDescent="0.25"/>
    <row r="301" ht="72.75" customHeight="1" x14ac:dyDescent="0.25"/>
    <row r="302" ht="72.75" customHeight="1" x14ac:dyDescent="0.25"/>
    <row r="303" ht="72.75" customHeight="1" x14ac:dyDescent="0.25"/>
    <row r="304" ht="72.75" customHeight="1" x14ac:dyDescent="0.25"/>
    <row r="305" ht="72.75" customHeight="1" x14ac:dyDescent="0.25"/>
    <row r="306" ht="72.75" customHeight="1" x14ac:dyDescent="0.25"/>
    <row r="307" ht="72.75" customHeight="1" x14ac:dyDescent="0.25"/>
    <row r="308" ht="72.75" customHeight="1" x14ac:dyDescent="0.25"/>
    <row r="309" ht="72.75" customHeight="1" x14ac:dyDescent="0.25"/>
    <row r="310" ht="72.75" customHeight="1" x14ac:dyDescent="0.25"/>
    <row r="311" ht="72.75" customHeight="1" x14ac:dyDescent="0.25"/>
    <row r="312" ht="72.75" customHeight="1" x14ac:dyDescent="0.25"/>
    <row r="313" ht="72.75" customHeight="1" x14ac:dyDescent="0.25"/>
    <row r="314" ht="72.75" customHeight="1" x14ac:dyDescent="0.25"/>
    <row r="315" ht="72.75" customHeight="1" x14ac:dyDescent="0.25"/>
    <row r="316" ht="72.75" customHeight="1" x14ac:dyDescent="0.25"/>
    <row r="317" ht="72.75" customHeight="1" x14ac:dyDescent="0.25"/>
    <row r="318" ht="72.75" customHeight="1" x14ac:dyDescent="0.25"/>
    <row r="319" ht="72.75" customHeight="1" x14ac:dyDescent="0.25"/>
    <row r="320" ht="72.75" customHeight="1" x14ac:dyDescent="0.25"/>
  </sheetData>
  <hyperlinks>
    <hyperlink ref="B33" r:id="rId1" display="https://centrodecapacitaciondelsur.com/soporte-basico-de-vida-" xr:uid="{00000000-0004-0000-0200-000000000000}"/>
    <hyperlink ref="B34:B245" r:id="rId2" display="https://centrodecapacitaciondelsur.com/soporte-basico-de-vida-" xr:uid="{00000000-0004-0000-0200-000001000000}"/>
  </hyperlink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INSCRITOS</vt:lpstr>
      <vt:lpstr>CURSOS</vt:lpstr>
      <vt:lpstr>LINK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Hugo Cabrera</cp:lastModifiedBy>
  <cp:lastPrinted>2023-10-09T20:56:18Z</cp:lastPrinted>
  <dcterms:created xsi:type="dcterms:W3CDTF">2023-09-02T16:45:54Z</dcterms:created>
  <dcterms:modified xsi:type="dcterms:W3CDTF">2025-04-02T03:45:40Z</dcterms:modified>
</cp:coreProperties>
</file>