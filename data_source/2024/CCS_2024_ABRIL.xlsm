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go\Documents\MEGA\PROYECTOS\CCS\Nueva carpeta\"/>
    </mc:Choice>
  </mc:AlternateContent>
  <xr:revisionPtr revIDLastSave="0" documentId="8_{B1C142A6-16EE-4FCB-B2C8-E42E5A7F395B}" xr6:coauthVersionLast="47" xr6:coauthVersionMax="47" xr10:uidLastSave="{00000000-0000-0000-0000-000000000000}"/>
  <bookViews>
    <workbookView xWindow="-120" yWindow="-120" windowWidth="29040" windowHeight="15720" tabRatio="574" xr2:uid="{00000000-000D-0000-FFFF-FFFF00000000}"/>
  </bookViews>
  <sheets>
    <sheet name="INSCRITOS" sheetId="1" r:id="rId1"/>
    <sheet name="Hoja4" sheetId="11" r:id="rId2"/>
    <sheet name="Hoja2" sheetId="9" r:id="rId3"/>
    <sheet name="CURSOS" sheetId="2" r:id="rId4"/>
    <sheet name="link" sheetId="7" r:id="rId5"/>
    <sheet name="AVANTI" sheetId="12" r:id="rId6"/>
    <sheet name="Hoja1" sheetId="13" r:id="rId7"/>
  </sheets>
  <externalReferences>
    <externalReference r:id="rId8"/>
  </externalReferences>
  <definedNames>
    <definedName name="_xlnm._FilterDatabase" localSheetId="0" hidden="1">INSCRITOS!$A$1:$W$344</definedName>
  </definedNames>
  <calcPr calcId="191029"/>
  <pivotCaches>
    <pivotCache cacheId="0" r:id="rId9"/>
    <pivotCache cacheId="1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9" i="13" l="1"/>
  <c r="K346" i="1"/>
  <c r="G5" i="13"/>
  <c r="G3" i="13"/>
  <c r="B232" i="7" l="1"/>
  <c r="B200" i="7"/>
  <c r="C200" i="7"/>
  <c r="B201" i="7"/>
  <c r="C201" i="7"/>
  <c r="B202" i="7"/>
  <c r="C202" i="7"/>
  <c r="B203" i="7"/>
  <c r="C203" i="7"/>
  <c r="B204" i="7"/>
  <c r="C204" i="7"/>
  <c r="B205" i="7"/>
  <c r="C205" i="7"/>
  <c r="B206" i="7"/>
  <c r="C206" i="7"/>
  <c r="B207" i="7"/>
  <c r="C207" i="7"/>
  <c r="B208" i="7"/>
  <c r="C208" i="7"/>
  <c r="B209" i="7"/>
  <c r="C209" i="7"/>
  <c r="B210" i="7"/>
  <c r="C210" i="7"/>
  <c r="B211" i="7"/>
  <c r="C211" i="7"/>
  <c r="B212" i="7"/>
  <c r="C212" i="7"/>
  <c r="B213" i="7"/>
  <c r="C213" i="7"/>
  <c r="B214" i="7"/>
  <c r="C214" i="7"/>
  <c r="B215" i="7"/>
  <c r="C215" i="7"/>
  <c r="B216" i="7"/>
  <c r="C216" i="7"/>
  <c r="B217" i="7"/>
  <c r="C217" i="7"/>
  <c r="B218" i="7"/>
  <c r="C218" i="7"/>
  <c r="B219" i="7"/>
  <c r="C219" i="7"/>
  <c r="B220" i="7"/>
  <c r="C220" i="7"/>
  <c r="B221" i="7"/>
  <c r="C221" i="7"/>
  <c r="B222" i="7"/>
  <c r="C222" i="7"/>
  <c r="B223" i="7"/>
  <c r="C223" i="7"/>
  <c r="B224" i="7"/>
  <c r="C224" i="7"/>
  <c r="B225" i="7"/>
  <c r="C225" i="7"/>
  <c r="B226" i="7"/>
  <c r="C226" i="7"/>
  <c r="B227" i="7"/>
  <c r="C227" i="7"/>
  <c r="B228" i="7"/>
  <c r="C228" i="7"/>
  <c r="B229" i="7"/>
  <c r="C229" i="7"/>
  <c r="B230" i="7"/>
  <c r="C230" i="7"/>
  <c r="B231" i="7"/>
  <c r="C231" i="7"/>
  <c r="T344" i="1"/>
  <c r="U344" i="1"/>
  <c r="V344" i="1" s="1"/>
  <c r="E219" i="7" a="1"/>
  <c r="D228" i="7" l="1"/>
  <c r="D224" i="7"/>
  <c r="D220" i="7"/>
  <c r="D216" i="7"/>
  <c r="D212" i="7"/>
  <c r="D208" i="7"/>
  <c r="D204" i="7"/>
  <c r="D200" i="7"/>
  <c r="D231" i="7"/>
  <c r="D227" i="7"/>
  <c r="D223" i="7"/>
  <c r="D219" i="7"/>
  <c r="D215" i="7"/>
  <c r="D211" i="7"/>
  <c r="D207" i="7"/>
  <c r="D203" i="7"/>
  <c r="D221" i="7"/>
  <c r="D226" i="7"/>
  <c r="D218" i="7"/>
  <c r="D213" i="7"/>
  <c r="D210" i="7"/>
  <c r="D205" i="7"/>
  <c r="D202" i="7"/>
  <c r="D229" i="7"/>
  <c r="D230" i="7"/>
  <c r="D225" i="7"/>
  <c r="D222" i="7"/>
  <c r="D217" i="7"/>
  <c r="D214" i="7"/>
  <c r="D209" i="7"/>
  <c r="D206" i="7"/>
  <c r="D201" i="7"/>
  <c r="E219" i="7"/>
  <c r="W344" i="1"/>
  <c r="C232" i="7"/>
  <c r="D232" i="7" s="1"/>
  <c r="T338" i="1"/>
  <c r="U338" i="1"/>
  <c r="V338" i="1" s="1"/>
  <c r="T339" i="1"/>
  <c r="U339" i="1"/>
  <c r="V339" i="1" s="1"/>
  <c r="T340" i="1"/>
  <c r="U340" i="1"/>
  <c r="V340" i="1" s="1"/>
  <c r="T341" i="1"/>
  <c r="U341" i="1"/>
  <c r="V341" i="1" s="1"/>
  <c r="T342" i="1"/>
  <c r="U342" i="1"/>
  <c r="V342" i="1" s="1"/>
  <c r="T343" i="1"/>
  <c r="U343" i="1"/>
  <c r="V343" i="1" s="1"/>
  <c r="U337" i="1"/>
  <c r="W337" i="1" s="1"/>
  <c r="T337" i="1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" i="7"/>
  <c r="T328" i="1"/>
  <c r="U328" i="1"/>
  <c r="V328" i="1" s="1"/>
  <c r="T329" i="1"/>
  <c r="U329" i="1"/>
  <c r="V329" i="1" s="1"/>
  <c r="T330" i="1"/>
  <c r="U330" i="1"/>
  <c r="V330" i="1" s="1"/>
  <c r="T331" i="1"/>
  <c r="U331" i="1"/>
  <c r="V331" i="1" s="1"/>
  <c r="T332" i="1"/>
  <c r="U332" i="1"/>
  <c r="V332" i="1" s="1"/>
  <c r="T333" i="1"/>
  <c r="U333" i="1"/>
  <c r="V333" i="1" s="1"/>
  <c r="T334" i="1"/>
  <c r="U334" i="1"/>
  <c r="V334" i="1" s="1"/>
  <c r="T335" i="1"/>
  <c r="U335" i="1"/>
  <c r="V335" i="1" s="1"/>
  <c r="T336" i="1"/>
  <c r="U336" i="1"/>
  <c r="V336" i="1" s="1"/>
  <c r="T327" i="1"/>
  <c r="U327" i="1"/>
  <c r="V327" i="1" s="1"/>
  <c r="W332" i="1" l="1"/>
  <c r="W328" i="1"/>
  <c r="W336" i="1"/>
  <c r="W335" i="1"/>
  <c r="W331" i="1"/>
  <c r="W327" i="1"/>
  <c r="W334" i="1"/>
  <c r="W330" i="1"/>
  <c r="W333" i="1"/>
  <c r="W329" i="1"/>
  <c r="W338" i="1"/>
  <c r="W343" i="1"/>
  <c r="W342" i="1"/>
  <c r="W341" i="1"/>
  <c r="W340" i="1"/>
  <c r="W339" i="1"/>
  <c r="V337" i="1"/>
  <c r="J100" i="1"/>
  <c r="T320" i="1"/>
  <c r="U320" i="1"/>
  <c r="V320" i="1" s="1"/>
  <c r="T321" i="1"/>
  <c r="U321" i="1"/>
  <c r="V321" i="1" s="1"/>
  <c r="T322" i="1"/>
  <c r="U322" i="1"/>
  <c r="V322" i="1" s="1"/>
  <c r="T323" i="1"/>
  <c r="U323" i="1"/>
  <c r="V323" i="1" s="1"/>
  <c r="T324" i="1"/>
  <c r="U324" i="1"/>
  <c r="V324" i="1" s="1"/>
  <c r="T325" i="1"/>
  <c r="U325" i="1"/>
  <c r="V325" i="1" s="1"/>
  <c r="T326" i="1"/>
  <c r="U326" i="1"/>
  <c r="V326" i="1" s="1"/>
  <c r="T319" i="1"/>
  <c r="U319" i="1"/>
  <c r="V319" i="1" s="1"/>
  <c r="W326" i="1" l="1"/>
  <c r="W325" i="1"/>
  <c r="W324" i="1"/>
  <c r="W323" i="1"/>
  <c r="W322" i="1"/>
  <c r="W321" i="1"/>
  <c r="W320" i="1"/>
  <c r="W319" i="1"/>
  <c r="T312" i="1"/>
  <c r="U312" i="1"/>
  <c r="V312" i="1" s="1"/>
  <c r="T313" i="1"/>
  <c r="U313" i="1"/>
  <c r="V313" i="1" s="1"/>
  <c r="T314" i="1"/>
  <c r="U314" i="1"/>
  <c r="V314" i="1" s="1"/>
  <c r="T315" i="1"/>
  <c r="U315" i="1"/>
  <c r="V315" i="1" s="1"/>
  <c r="T316" i="1"/>
  <c r="U316" i="1"/>
  <c r="V316" i="1" s="1"/>
  <c r="T317" i="1"/>
  <c r="U317" i="1"/>
  <c r="V317" i="1" s="1"/>
  <c r="T318" i="1"/>
  <c r="U318" i="1"/>
  <c r="V318" i="1" s="1"/>
  <c r="C198" i="7"/>
  <c r="C199" i="7"/>
  <c r="C178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W318" i="1" l="1"/>
  <c r="W317" i="1"/>
  <c r="W316" i="1"/>
  <c r="W315" i="1"/>
  <c r="W314" i="1"/>
  <c r="W313" i="1"/>
  <c r="W312" i="1"/>
  <c r="D199" i="7"/>
  <c r="D198" i="7"/>
  <c r="T309" i="1"/>
  <c r="U309" i="1"/>
  <c r="V309" i="1" s="1"/>
  <c r="T310" i="1"/>
  <c r="U310" i="1"/>
  <c r="V310" i="1" s="1"/>
  <c r="T311" i="1"/>
  <c r="U311" i="1"/>
  <c r="V311" i="1" s="1"/>
  <c r="U269" i="1"/>
  <c r="V269" i="1" s="1"/>
  <c r="T269" i="1"/>
  <c r="D195" i="7"/>
  <c r="D196" i="7"/>
  <c r="D197" i="7"/>
  <c r="T307" i="1"/>
  <c r="U307" i="1"/>
  <c r="V307" i="1" s="1"/>
  <c r="T308" i="1"/>
  <c r="U308" i="1"/>
  <c r="V308" i="1" s="1"/>
  <c r="W269" i="1" l="1"/>
  <c r="W311" i="1"/>
  <c r="W310" i="1"/>
  <c r="W309" i="1"/>
  <c r="W308" i="1"/>
  <c r="W307" i="1"/>
  <c r="T297" i="1"/>
  <c r="U297" i="1"/>
  <c r="V297" i="1" s="1"/>
  <c r="T298" i="1"/>
  <c r="U298" i="1"/>
  <c r="V298" i="1" s="1"/>
  <c r="T299" i="1"/>
  <c r="U299" i="1"/>
  <c r="V299" i="1" s="1"/>
  <c r="T300" i="1"/>
  <c r="U300" i="1"/>
  <c r="V300" i="1" s="1"/>
  <c r="T301" i="1"/>
  <c r="U301" i="1"/>
  <c r="V301" i="1" s="1"/>
  <c r="T302" i="1"/>
  <c r="U302" i="1"/>
  <c r="V302" i="1" s="1"/>
  <c r="T303" i="1"/>
  <c r="U303" i="1"/>
  <c r="V303" i="1" s="1"/>
  <c r="T304" i="1"/>
  <c r="U304" i="1"/>
  <c r="V304" i="1" s="1"/>
  <c r="T305" i="1"/>
  <c r="U305" i="1"/>
  <c r="V305" i="1" s="1"/>
  <c r="T306" i="1"/>
  <c r="U306" i="1"/>
  <c r="V306" i="1" s="1"/>
  <c r="D186" i="7"/>
  <c r="D187" i="7"/>
  <c r="D188" i="7"/>
  <c r="D189" i="7"/>
  <c r="D190" i="7"/>
  <c r="D191" i="7"/>
  <c r="D192" i="7"/>
  <c r="D193" i="7"/>
  <c r="D194" i="7"/>
  <c r="D154" i="7"/>
  <c r="D157" i="7"/>
  <c r="D158" i="7"/>
  <c r="D165" i="7"/>
  <c r="D166" i="7"/>
  <c r="D170" i="7"/>
  <c r="D173" i="7"/>
  <c r="D174" i="7"/>
  <c r="D177" i="7"/>
  <c r="D178" i="7"/>
  <c r="D179" i="7"/>
  <c r="D181" i="7"/>
  <c r="D182" i="7"/>
  <c r="D183" i="7"/>
  <c r="D185" i="7"/>
  <c r="D162" i="7"/>
  <c r="D184" i="7"/>
  <c r="D156" i="7"/>
  <c r="D168" i="7"/>
  <c r="D160" i="7"/>
  <c r="D171" i="7"/>
  <c r="D172" i="7"/>
  <c r="D152" i="7"/>
  <c r="D153" i="7"/>
  <c r="D155" i="7"/>
  <c r="D159" i="7"/>
  <c r="D161" i="7"/>
  <c r="D163" i="7"/>
  <c r="D164" i="7"/>
  <c r="D167" i="7"/>
  <c r="D169" i="7"/>
  <c r="D175" i="7"/>
  <c r="D176" i="7"/>
  <c r="D180" i="7"/>
  <c r="T296" i="1"/>
  <c r="U296" i="1"/>
  <c r="V296" i="1" s="1"/>
  <c r="T263" i="1"/>
  <c r="U263" i="1"/>
  <c r="V263" i="1" s="1"/>
  <c r="T264" i="1"/>
  <c r="U264" i="1"/>
  <c r="V264" i="1" s="1"/>
  <c r="T265" i="1"/>
  <c r="U265" i="1"/>
  <c r="V265" i="1" s="1"/>
  <c r="T266" i="1"/>
  <c r="U266" i="1"/>
  <c r="V266" i="1" s="1"/>
  <c r="U267" i="1"/>
  <c r="V267" i="1" s="1"/>
  <c r="T268" i="1"/>
  <c r="U268" i="1"/>
  <c r="T270" i="1"/>
  <c r="U270" i="1"/>
  <c r="T271" i="1"/>
  <c r="U271" i="1"/>
  <c r="T272" i="1"/>
  <c r="U272" i="1"/>
  <c r="V272" i="1" s="1"/>
  <c r="T273" i="1"/>
  <c r="U273" i="1"/>
  <c r="V273" i="1" s="1"/>
  <c r="U274" i="1"/>
  <c r="V274" i="1" s="1"/>
  <c r="T275" i="1"/>
  <c r="U275" i="1"/>
  <c r="V275" i="1" s="1"/>
  <c r="T276" i="1"/>
  <c r="U276" i="1"/>
  <c r="V276" i="1" s="1"/>
  <c r="T277" i="1"/>
  <c r="U277" i="1"/>
  <c r="V277" i="1" s="1"/>
  <c r="T278" i="1"/>
  <c r="U278" i="1"/>
  <c r="V278" i="1" s="1"/>
  <c r="T279" i="1"/>
  <c r="U279" i="1"/>
  <c r="V279" i="1" s="1"/>
  <c r="U280" i="1"/>
  <c r="V280" i="1" s="1"/>
  <c r="T281" i="1"/>
  <c r="U281" i="1"/>
  <c r="V281" i="1" s="1"/>
  <c r="T282" i="1"/>
  <c r="U282" i="1"/>
  <c r="V282" i="1" s="1"/>
  <c r="T283" i="1"/>
  <c r="U283" i="1"/>
  <c r="V283" i="1" s="1"/>
  <c r="T284" i="1"/>
  <c r="U284" i="1"/>
  <c r="V284" i="1" s="1"/>
  <c r="T285" i="1"/>
  <c r="U285" i="1"/>
  <c r="V285" i="1" s="1"/>
  <c r="U286" i="1"/>
  <c r="V286" i="1" s="1"/>
  <c r="T287" i="1"/>
  <c r="U287" i="1"/>
  <c r="V287" i="1" s="1"/>
  <c r="T288" i="1"/>
  <c r="U288" i="1"/>
  <c r="V288" i="1" s="1"/>
  <c r="T289" i="1"/>
  <c r="U289" i="1"/>
  <c r="V289" i="1" s="1"/>
  <c r="T290" i="1"/>
  <c r="U290" i="1"/>
  <c r="V290" i="1" s="1"/>
  <c r="T291" i="1"/>
  <c r="U291" i="1"/>
  <c r="V291" i="1" s="1"/>
  <c r="U292" i="1"/>
  <c r="V292" i="1" s="1"/>
  <c r="T293" i="1"/>
  <c r="U293" i="1"/>
  <c r="V293" i="1" s="1"/>
  <c r="T294" i="1"/>
  <c r="U294" i="1"/>
  <c r="V294" i="1" s="1"/>
  <c r="T295" i="1"/>
  <c r="U295" i="1"/>
  <c r="V295" i="1" s="1"/>
  <c r="W304" i="1" l="1"/>
  <c r="W292" i="1"/>
  <c r="W299" i="1"/>
  <c r="W305" i="1"/>
  <c r="W300" i="1"/>
  <c r="W297" i="1"/>
  <c r="V271" i="1"/>
  <c r="W271" i="1"/>
  <c r="V268" i="1"/>
  <c r="W268" i="1"/>
  <c r="W302" i="1"/>
  <c r="W298" i="1"/>
  <c r="W280" i="1"/>
  <c r="W272" i="1"/>
  <c r="W303" i="1"/>
  <c r="V270" i="1"/>
  <c r="W270" i="1"/>
  <c r="W289" i="1"/>
  <c r="W277" i="1"/>
  <c r="W301" i="1"/>
  <c r="W306" i="1"/>
  <c r="W267" i="1"/>
  <c r="W263" i="1"/>
  <c r="W284" i="1"/>
  <c r="W285" i="1"/>
  <c r="W273" i="1"/>
  <c r="W266" i="1"/>
  <c r="W293" i="1"/>
  <c r="W288" i="1"/>
  <c r="W281" i="1"/>
  <c r="W276" i="1"/>
  <c r="W294" i="1"/>
  <c r="W290" i="1"/>
  <c r="W286" i="1"/>
  <c r="W282" i="1"/>
  <c r="W278" i="1"/>
  <c r="W274" i="1"/>
  <c r="W264" i="1"/>
  <c r="W295" i="1"/>
  <c r="W291" i="1"/>
  <c r="W287" i="1"/>
  <c r="W283" i="1"/>
  <c r="W279" i="1"/>
  <c r="W275" i="1"/>
  <c r="W265" i="1"/>
  <c r="W296" i="1"/>
  <c r="T262" i="1"/>
  <c r="U262" i="1"/>
  <c r="V262" i="1" s="1"/>
  <c r="T260" i="1"/>
  <c r="U260" i="1"/>
  <c r="V260" i="1" s="1"/>
  <c r="T261" i="1"/>
  <c r="U261" i="1"/>
  <c r="V261" i="1" s="1"/>
  <c r="T259" i="1"/>
  <c r="U259" i="1"/>
  <c r="V259" i="1" s="1"/>
  <c r="T258" i="1"/>
  <c r="U258" i="1"/>
  <c r="V258" i="1" s="1"/>
  <c r="T255" i="1"/>
  <c r="U255" i="1"/>
  <c r="V255" i="1" s="1"/>
  <c r="T256" i="1"/>
  <c r="U256" i="1"/>
  <c r="V256" i="1" s="1"/>
  <c r="T257" i="1"/>
  <c r="U257" i="1"/>
  <c r="V257" i="1" s="1"/>
  <c r="C134" i="7"/>
  <c r="C135" i="7"/>
  <c r="C136" i="7"/>
  <c r="C137" i="7"/>
  <c r="C138" i="7"/>
  <c r="C139" i="7"/>
  <c r="C140" i="7"/>
  <c r="C141" i="7"/>
  <c r="C142" i="7"/>
  <c r="C143" i="7"/>
  <c r="U243" i="1"/>
  <c r="V243" i="1" s="1"/>
  <c r="T244" i="1"/>
  <c r="U244" i="1"/>
  <c r="V244" i="1" s="1"/>
  <c r="T245" i="1"/>
  <c r="U245" i="1"/>
  <c r="V245" i="1" s="1"/>
  <c r="T246" i="1"/>
  <c r="U246" i="1"/>
  <c r="V246" i="1" s="1"/>
  <c r="U247" i="1"/>
  <c r="V247" i="1" s="1"/>
  <c r="T248" i="1"/>
  <c r="U248" i="1"/>
  <c r="V248" i="1" s="1"/>
  <c r="T249" i="1"/>
  <c r="U249" i="1"/>
  <c r="V249" i="1" s="1"/>
  <c r="T250" i="1"/>
  <c r="U250" i="1"/>
  <c r="V250" i="1" s="1"/>
  <c r="U251" i="1"/>
  <c r="W251" i="1" s="1"/>
  <c r="T252" i="1"/>
  <c r="U252" i="1"/>
  <c r="W252" i="1" s="1"/>
  <c r="T253" i="1"/>
  <c r="U253" i="1"/>
  <c r="W253" i="1" s="1"/>
  <c r="T254" i="1"/>
  <c r="U254" i="1"/>
  <c r="W254" i="1" s="1"/>
  <c r="C133" i="7"/>
  <c r="C131" i="7"/>
  <c r="C132" i="7"/>
  <c r="T242" i="1"/>
  <c r="U242" i="1"/>
  <c r="V242" i="1" s="1"/>
  <c r="C127" i="7"/>
  <c r="D127" i="7" s="1"/>
  <c r="C128" i="7"/>
  <c r="C129" i="7"/>
  <c r="C130" i="7"/>
  <c r="D130" i="7" s="1"/>
  <c r="T238" i="1"/>
  <c r="U238" i="1"/>
  <c r="V238" i="1" s="1"/>
  <c r="U239" i="1"/>
  <c r="V239" i="1" s="1"/>
  <c r="T240" i="1"/>
  <c r="U240" i="1"/>
  <c r="V240" i="1" s="1"/>
  <c r="T241" i="1"/>
  <c r="U241" i="1"/>
  <c r="V241" i="1" s="1"/>
  <c r="C125" i="7"/>
  <c r="D125" i="7" s="1"/>
  <c r="C126" i="7"/>
  <c r="U237" i="1"/>
  <c r="V237" i="1" s="1"/>
  <c r="U236" i="1"/>
  <c r="W236" i="1" s="1"/>
  <c r="T237" i="1"/>
  <c r="T236" i="1"/>
  <c r="C124" i="7"/>
  <c r="D124" i="7" s="1"/>
  <c r="C123" i="7"/>
  <c r="D123" i="7" s="1"/>
  <c r="C120" i="7"/>
  <c r="C121" i="7"/>
  <c r="D121" i="7" s="1"/>
  <c r="C122" i="7"/>
  <c r="C119" i="7"/>
  <c r="C106" i="7"/>
  <c r="C107" i="7"/>
  <c r="C108" i="7"/>
  <c r="C109" i="7"/>
  <c r="C110" i="7"/>
  <c r="D110" i="7" s="1"/>
  <c r="C111" i="7"/>
  <c r="C112" i="7"/>
  <c r="C113" i="7"/>
  <c r="C114" i="7"/>
  <c r="D114" i="7" s="1"/>
  <c r="C115" i="7"/>
  <c r="C116" i="7"/>
  <c r="D116" i="7" s="1"/>
  <c r="C117" i="7"/>
  <c r="D117" i="7" s="1"/>
  <c r="C118" i="7"/>
  <c r="D118" i="7" s="1"/>
  <c r="D149" i="7" l="1"/>
  <c r="D147" i="7"/>
  <c r="D120" i="7"/>
  <c r="D126" i="7"/>
  <c r="D142" i="7"/>
  <c r="D138" i="7"/>
  <c r="D134" i="7"/>
  <c r="D148" i="7"/>
  <c r="D115" i="7"/>
  <c r="D111" i="7"/>
  <c r="D119" i="7"/>
  <c r="D122" i="7"/>
  <c r="D141" i="7"/>
  <c r="D137" i="7"/>
  <c r="V253" i="1"/>
  <c r="V251" i="1"/>
  <c r="D146" i="7"/>
  <c r="D132" i="7"/>
  <c r="D133" i="7"/>
  <c r="D131" i="7"/>
  <c r="D145" i="7"/>
  <c r="D108" i="7"/>
  <c r="D106" i="7"/>
  <c r="D150" i="7"/>
  <c r="D109" i="7"/>
  <c r="D107" i="7"/>
  <c r="D151" i="7"/>
  <c r="D112" i="7"/>
  <c r="D129" i="7"/>
  <c r="V252" i="1"/>
  <c r="D144" i="7"/>
  <c r="D139" i="7"/>
  <c r="D136" i="7"/>
  <c r="D113" i="7"/>
  <c r="D128" i="7"/>
  <c r="V254" i="1"/>
  <c r="D143" i="7"/>
  <c r="D140" i="7"/>
  <c r="D135" i="7"/>
  <c r="W262" i="1"/>
  <c r="W261" i="1"/>
  <c r="W260" i="1"/>
  <c r="W259" i="1"/>
  <c r="W258" i="1"/>
  <c r="W257" i="1"/>
  <c r="W256" i="1"/>
  <c r="W255" i="1"/>
  <c r="W246" i="1"/>
  <c r="W245" i="1"/>
  <c r="W244" i="1"/>
  <c r="W243" i="1"/>
  <c r="W250" i="1"/>
  <c r="W249" i="1"/>
  <c r="W248" i="1"/>
  <c r="W247" i="1"/>
  <c r="W242" i="1"/>
  <c r="W238" i="1"/>
  <c r="W241" i="1"/>
  <c r="W240" i="1"/>
  <c r="W239" i="1"/>
  <c r="W237" i="1"/>
  <c r="V236" i="1"/>
  <c r="T230" i="1" l="1"/>
  <c r="U230" i="1"/>
  <c r="V230" i="1" s="1"/>
  <c r="T231" i="1"/>
  <c r="U231" i="1"/>
  <c r="V231" i="1" s="1"/>
  <c r="T232" i="1"/>
  <c r="U232" i="1"/>
  <c r="V232" i="1" s="1"/>
  <c r="T233" i="1"/>
  <c r="U233" i="1"/>
  <c r="V233" i="1" s="1"/>
  <c r="T234" i="1"/>
  <c r="U234" i="1"/>
  <c r="V234" i="1" s="1"/>
  <c r="U235" i="1"/>
  <c r="V235" i="1" s="1"/>
  <c r="T227" i="1"/>
  <c r="U227" i="1"/>
  <c r="V227" i="1" s="1"/>
  <c r="U228" i="1"/>
  <c r="V228" i="1" s="1"/>
  <c r="U229" i="1"/>
  <c r="V229" i="1" s="1"/>
  <c r="T224" i="1"/>
  <c r="U224" i="1"/>
  <c r="V224" i="1" s="1"/>
  <c r="T225" i="1"/>
  <c r="U225" i="1"/>
  <c r="V225" i="1" s="1"/>
  <c r="T226" i="1"/>
  <c r="U226" i="1"/>
  <c r="V226" i="1" s="1"/>
  <c r="T222" i="1"/>
  <c r="U222" i="1"/>
  <c r="V222" i="1" s="1"/>
  <c r="U223" i="1"/>
  <c r="V223" i="1" s="1"/>
  <c r="W227" i="1" l="1"/>
  <c r="W234" i="1"/>
  <c r="W233" i="1"/>
  <c r="W228" i="1"/>
  <c r="W230" i="1"/>
  <c r="W229" i="1"/>
  <c r="W231" i="1"/>
  <c r="W235" i="1"/>
  <c r="W232" i="1"/>
  <c r="W226" i="1"/>
  <c r="W225" i="1"/>
  <c r="W224" i="1"/>
  <c r="W223" i="1"/>
  <c r="W222" i="1"/>
  <c r="T220" i="1"/>
  <c r="U220" i="1"/>
  <c r="V220" i="1" s="1"/>
  <c r="T221" i="1"/>
  <c r="U221" i="1"/>
  <c r="V221" i="1" s="1"/>
  <c r="T217" i="1"/>
  <c r="U217" i="1"/>
  <c r="V217" i="1" s="1"/>
  <c r="T218" i="1"/>
  <c r="U218" i="1"/>
  <c r="V218" i="1" s="1"/>
  <c r="T219" i="1"/>
  <c r="U219" i="1"/>
  <c r="V219" i="1" s="1"/>
  <c r="C105" i="7"/>
  <c r="U215" i="1"/>
  <c r="V215" i="1" s="1"/>
  <c r="T216" i="1"/>
  <c r="U216" i="1"/>
  <c r="V216" i="1" s="1"/>
  <c r="C104" i="7"/>
  <c r="D104" i="7" s="1"/>
  <c r="C102" i="7"/>
  <c r="C103" i="7"/>
  <c r="T213" i="1"/>
  <c r="U213" i="1"/>
  <c r="V213" i="1" s="1"/>
  <c r="T214" i="1"/>
  <c r="U214" i="1"/>
  <c r="V214" i="1" s="1"/>
  <c r="C90" i="7"/>
  <c r="D90" i="7" s="1"/>
  <c r="C91" i="7"/>
  <c r="C92" i="7"/>
  <c r="C93" i="7"/>
  <c r="C94" i="7"/>
  <c r="D94" i="7" s="1"/>
  <c r="C95" i="7"/>
  <c r="C96" i="7"/>
  <c r="C97" i="7"/>
  <c r="C98" i="7"/>
  <c r="C99" i="7"/>
  <c r="C100" i="7"/>
  <c r="C101" i="7"/>
  <c r="T204" i="1"/>
  <c r="U204" i="1"/>
  <c r="V204" i="1" s="1"/>
  <c r="T205" i="1"/>
  <c r="U205" i="1"/>
  <c r="V205" i="1" s="1"/>
  <c r="T206" i="1"/>
  <c r="U206" i="1"/>
  <c r="V206" i="1" s="1"/>
  <c r="T207" i="1"/>
  <c r="U207" i="1"/>
  <c r="V207" i="1" s="1"/>
  <c r="T208" i="1"/>
  <c r="U208" i="1"/>
  <c r="V208" i="1" s="1"/>
  <c r="T209" i="1"/>
  <c r="U209" i="1"/>
  <c r="V209" i="1" s="1"/>
  <c r="T210" i="1"/>
  <c r="U210" i="1"/>
  <c r="V210" i="1" s="1"/>
  <c r="T211" i="1"/>
  <c r="U211" i="1"/>
  <c r="V211" i="1" s="1"/>
  <c r="T212" i="1"/>
  <c r="U212" i="1"/>
  <c r="V212" i="1" s="1"/>
  <c r="T203" i="1"/>
  <c r="U203" i="1"/>
  <c r="V203" i="1" s="1"/>
  <c r="D101" i="7" l="1"/>
  <c r="D93" i="7"/>
  <c r="D91" i="7"/>
  <c r="D100" i="7"/>
  <c r="D98" i="7"/>
  <c r="D102" i="7"/>
  <c r="W219" i="1"/>
  <c r="W218" i="1"/>
  <c r="W217" i="1"/>
  <c r="W220" i="1"/>
  <c r="W221" i="1"/>
  <c r="D103" i="7"/>
  <c r="D99" i="7"/>
  <c r="D97" i="7"/>
  <c r="D92" i="7"/>
  <c r="W216" i="1"/>
  <c r="W215" i="1"/>
  <c r="D105" i="7"/>
  <c r="W214" i="1"/>
  <c r="W213" i="1"/>
  <c r="D96" i="7"/>
  <c r="D95" i="7"/>
  <c r="W212" i="1"/>
  <c r="W211" i="1"/>
  <c r="W210" i="1"/>
  <c r="W209" i="1"/>
  <c r="W208" i="1"/>
  <c r="W207" i="1"/>
  <c r="W206" i="1"/>
  <c r="W205" i="1"/>
  <c r="W204" i="1"/>
  <c r="W203" i="1"/>
  <c r="C86" i="7" l="1"/>
  <c r="C87" i="7"/>
  <c r="C88" i="7"/>
  <c r="C89" i="7"/>
  <c r="T199" i="1"/>
  <c r="U199" i="1"/>
  <c r="W199" i="1" s="1"/>
  <c r="T200" i="1"/>
  <c r="U200" i="1"/>
  <c r="W200" i="1" s="1"/>
  <c r="T201" i="1"/>
  <c r="U201" i="1"/>
  <c r="W201" i="1" s="1"/>
  <c r="T202" i="1"/>
  <c r="U202" i="1"/>
  <c r="W202" i="1" s="1"/>
  <c r="T198" i="1"/>
  <c r="U198" i="1"/>
  <c r="V198" i="1" s="1"/>
  <c r="T197" i="1"/>
  <c r="U197" i="1"/>
  <c r="V197" i="1" s="1"/>
  <c r="C85" i="7"/>
  <c r="C78" i="7"/>
  <c r="C79" i="7"/>
  <c r="C80" i="7"/>
  <c r="D80" i="7" s="1"/>
  <c r="C81" i="7"/>
  <c r="C82" i="7"/>
  <c r="C83" i="7"/>
  <c r="C84" i="7"/>
  <c r="D84" i="7" s="1"/>
  <c r="T189" i="1"/>
  <c r="U189" i="1"/>
  <c r="V189" i="1" s="1"/>
  <c r="T190" i="1"/>
  <c r="U190" i="1"/>
  <c r="V190" i="1" s="1"/>
  <c r="T191" i="1"/>
  <c r="U191" i="1"/>
  <c r="V191" i="1" s="1"/>
  <c r="T192" i="1"/>
  <c r="U192" i="1"/>
  <c r="V192" i="1" s="1"/>
  <c r="T193" i="1"/>
  <c r="U193" i="1"/>
  <c r="V193" i="1" s="1"/>
  <c r="T194" i="1"/>
  <c r="U194" i="1"/>
  <c r="V194" i="1" s="1"/>
  <c r="T195" i="1"/>
  <c r="U195" i="1"/>
  <c r="V195" i="1" s="1"/>
  <c r="T196" i="1"/>
  <c r="U196" i="1"/>
  <c r="V196" i="1" s="1"/>
  <c r="C75" i="7"/>
  <c r="C76" i="7"/>
  <c r="C77" i="7"/>
  <c r="C67" i="7"/>
  <c r="C68" i="7"/>
  <c r="C69" i="7"/>
  <c r="C70" i="7"/>
  <c r="C71" i="7"/>
  <c r="C72" i="7"/>
  <c r="C73" i="7"/>
  <c r="C74" i="7"/>
  <c r="T178" i="1"/>
  <c r="U178" i="1"/>
  <c r="V178" i="1" s="1"/>
  <c r="T179" i="1"/>
  <c r="U179" i="1"/>
  <c r="V179" i="1" s="1"/>
  <c r="T180" i="1"/>
  <c r="U180" i="1"/>
  <c r="V180" i="1" s="1"/>
  <c r="T181" i="1"/>
  <c r="U181" i="1"/>
  <c r="V181" i="1" s="1"/>
  <c r="T182" i="1"/>
  <c r="U182" i="1"/>
  <c r="V182" i="1" s="1"/>
  <c r="T183" i="1"/>
  <c r="U183" i="1"/>
  <c r="V183" i="1" s="1"/>
  <c r="T184" i="1"/>
  <c r="U184" i="1"/>
  <c r="V184" i="1" s="1"/>
  <c r="T185" i="1"/>
  <c r="U185" i="1"/>
  <c r="V185" i="1" s="1"/>
  <c r="T186" i="1"/>
  <c r="U186" i="1"/>
  <c r="V186" i="1" s="1"/>
  <c r="T187" i="1"/>
  <c r="U187" i="1"/>
  <c r="V187" i="1" s="1"/>
  <c r="T188" i="1"/>
  <c r="U188" i="1"/>
  <c r="V188" i="1" s="1"/>
  <c r="C66" i="7"/>
  <c r="T177" i="1"/>
  <c r="U177" i="1"/>
  <c r="V177" i="1" s="1"/>
  <c r="D67" i="7" l="1"/>
  <c r="D86" i="7"/>
  <c r="D89" i="7"/>
  <c r="D83" i="7"/>
  <c r="D79" i="7"/>
  <c r="D87" i="7"/>
  <c r="D71" i="7"/>
  <c r="D77" i="7"/>
  <c r="V202" i="1"/>
  <c r="V201" i="1"/>
  <c r="V200" i="1"/>
  <c r="V199" i="1"/>
  <c r="D88" i="7"/>
  <c r="D74" i="7"/>
  <c r="D70" i="7"/>
  <c r="W198" i="1"/>
  <c r="D81" i="7"/>
  <c r="D82" i="7"/>
  <c r="D72" i="7"/>
  <c r="D69" i="7"/>
  <c r="D75" i="7"/>
  <c r="D78" i="7"/>
  <c r="D73" i="7"/>
  <c r="D68" i="7"/>
  <c r="D76" i="7"/>
  <c r="D85" i="7"/>
  <c r="W196" i="1"/>
  <c r="W195" i="1"/>
  <c r="W194" i="1"/>
  <c r="W193" i="1"/>
  <c r="W192" i="1"/>
  <c r="W191" i="1"/>
  <c r="W190" i="1"/>
  <c r="W189" i="1"/>
  <c r="W188" i="1"/>
  <c r="W187" i="1"/>
  <c r="W186" i="1"/>
  <c r="W185" i="1"/>
  <c r="W184" i="1"/>
  <c r="W183" i="1"/>
  <c r="W182" i="1"/>
  <c r="W181" i="1"/>
  <c r="W180" i="1"/>
  <c r="W179" i="1"/>
  <c r="W178" i="1"/>
  <c r="D66" i="7"/>
  <c r="W177" i="1"/>
  <c r="C59" i="7"/>
  <c r="C60" i="7"/>
  <c r="D60" i="7" s="1"/>
  <c r="C61" i="7"/>
  <c r="C62" i="7"/>
  <c r="C63" i="7"/>
  <c r="C64" i="7"/>
  <c r="C6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45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2" i="7"/>
  <c r="D62" i="7" l="1"/>
  <c r="D65" i="7"/>
  <c r="D61" i="7"/>
  <c r="D64" i="7"/>
  <c r="D63" i="7"/>
  <c r="D59" i="7"/>
  <c r="D58" i="7"/>
  <c r="T176" i="1"/>
  <c r="U176" i="1"/>
  <c r="V176" i="1" s="1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W176" i="1" l="1"/>
  <c r="T164" i="1"/>
  <c r="U164" i="1"/>
  <c r="V164" i="1" s="1"/>
  <c r="T165" i="1"/>
  <c r="U165" i="1"/>
  <c r="V165" i="1" s="1"/>
  <c r="T166" i="1"/>
  <c r="U166" i="1"/>
  <c r="V166" i="1" s="1"/>
  <c r="T167" i="1"/>
  <c r="U167" i="1"/>
  <c r="V167" i="1" s="1"/>
  <c r="T168" i="1"/>
  <c r="U168" i="1"/>
  <c r="V168" i="1" s="1"/>
  <c r="T169" i="1"/>
  <c r="U169" i="1"/>
  <c r="V169" i="1" s="1"/>
  <c r="T170" i="1"/>
  <c r="U170" i="1"/>
  <c r="V170" i="1" s="1"/>
  <c r="T171" i="1"/>
  <c r="U171" i="1"/>
  <c r="V171" i="1" s="1"/>
  <c r="T172" i="1"/>
  <c r="U172" i="1"/>
  <c r="V172" i="1" s="1"/>
  <c r="T173" i="1"/>
  <c r="U173" i="1"/>
  <c r="V173" i="1" s="1"/>
  <c r="T174" i="1"/>
  <c r="U174" i="1"/>
  <c r="V174" i="1" s="1"/>
  <c r="T175" i="1"/>
  <c r="U175" i="1"/>
  <c r="V175" i="1" s="1"/>
  <c r="D38" i="7"/>
  <c r="D39" i="7"/>
  <c r="D40" i="7"/>
  <c r="D41" i="7"/>
  <c r="D42" i="7"/>
  <c r="D43" i="7"/>
  <c r="D44" i="7"/>
  <c r="T162" i="1"/>
  <c r="U162" i="1"/>
  <c r="V162" i="1" s="1"/>
  <c r="T163" i="1"/>
  <c r="U163" i="1"/>
  <c r="V163" i="1" s="1"/>
  <c r="T157" i="1"/>
  <c r="U157" i="1"/>
  <c r="V157" i="1" s="1"/>
  <c r="T158" i="1"/>
  <c r="U158" i="1"/>
  <c r="W158" i="1" s="1"/>
  <c r="T159" i="1"/>
  <c r="U159" i="1"/>
  <c r="W159" i="1" s="1"/>
  <c r="T160" i="1"/>
  <c r="U160" i="1"/>
  <c r="W160" i="1" s="1"/>
  <c r="T161" i="1"/>
  <c r="U161" i="1"/>
  <c r="W161" i="1" s="1"/>
  <c r="D37" i="7"/>
  <c r="V159" i="1" l="1"/>
  <c r="V161" i="1"/>
  <c r="W163" i="1"/>
  <c r="V158" i="1"/>
  <c r="W162" i="1"/>
  <c r="V160" i="1"/>
  <c r="W157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T156" i="1"/>
  <c r="U156" i="1"/>
  <c r="V156" i="1" s="1"/>
  <c r="U155" i="1"/>
  <c r="V155" i="1" s="1"/>
  <c r="T155" i="1"/>
  <c r="T152" i="1"/>
  <c r="U152" i="1"/>
  <c r="V152" i="1" s="1"/>
  <c r="T153" i="1"/>
  <c r="U153" i="1"/>
  <c r="V153" i="1" s="1"/>
  <c r="T154" i="1"/>
  <c r="U154" i="1"/>
  <c r="V154" i="1" s="1"/>
  <c r="U149" i="1"/>
  <c r="V149" i="1" s="1"/>
  <c r="T150" i="1"/>
  <c r="U150" i="1"/>
  <c r="V150" i="1" s="1"/>
  <c r="T151" i="1"/>
  <c r="U151" i="1"/>
  <c r="V151" i="1" s="1"/>
  <c r="W152" i="1" l="1"/>
  <c r="W155" i="1"/>
  <c r="W153" i="1"/>
  <c r="W156" i="1"/>
  <c r="W154" i="1"/>
  <c r="W151" i="1"/>
  <c r="W149" i="1"/>
  <c r="W150" i="1"/>
  <c r="D34" i="7"/>
  <c r="D35" i="7"/>
  <c r="D36" i="7"/>
  <c r="D33" i="7"/>
  <c r="T144" i="1"/>
  <c r="U144" i="1"/>
  <c r="V144" i="1" s="1"/>
  <c r="T145" i="1"/>
  <c r="U145" i="1"/>
  <c r="V145" i="1" s="1"/>
  <c r="T146" i="1"/>
  <c r="U146" i="1"/>
  <c r="V146" i="1" s="1"/>
  <c r="U147" i="1"/>
  <c r="V147" i="1" s="1"/>
  <c r="T148" i="1"/>
  <c r="U148" i="1"/>
  <c r="V148" i="1" s="1"/>
  <c r="W146" i="1" l="1"/>
  <c r="W145" i="1"/>
  <c r="W144" i="1"/>
  <c r="W148" i="1"/>
  <c r="W147" i="1"/>
  <c r="D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T134" i="1" l="1"/>
  <c r="U134" i="1"/>
  <c r="V134" i="1" s="1"/>
  <c r="T135" i="1"/>
  <c r="U135" i="1"/>
  <c r="V135" i="1" s="1"/>
  <c r="T136" i="1"/>
  <c r="U136" i="1"/>
  <c r="V136" i="1" s="1"/>
  <c r="T137" i="1"/>
  <c r="U137" i="1"/>
  <c r="V137" i="1" s="1"/>
  <c r="T138" i="1"/>
  <c r="U138" i="1"/>
  <c r="V138" i="1" s="1"/>
  <c r="T139" i="1"/>
  <c r="U139" i="1"/>
  <c r="V139" i="1" s="1"/>
  <c r="T140" i="1"/>
  <c r="U140" i="1"/>
  <c r="V140" i="1" s="1"/>
  <c r="T141" i="1"/>
  <c r="U141" i="1"/>
  <c r="V141" i="1" s="1"/>
  <c r="T142" i="1"/>
  <c r="U142" i="1"/>
  <c r="V142" i="1" s="1"/>
  <c r="T143" i="1"/>
  <c r="U143" i="1"/>
  <c r="V143" i="1" s="1"/>
  <c r="T113" i="1"/>
  <c r="U113" i="1"/>
  <c r="V113" i="1" s="1"/>
  <c r="T114" i="1"/>
  <c r="U114" i="1"/>
  <c r="V114" i="1" s="1"/>
  <c r="T115" i="1"/>
  <c r="U115" i="1"/>
  <c r="V115" i="1" s="1"/>
  <c r="T116" i="1"/>
  <c r="U116" i="1"/>
  <c r="V116" i="1" s="1"/>
  <c r="T117" i="1"/>
  <c r="U117" i="1"/>
  <c r="V117" i="1" s="1"/>
  <c r="T118" i="1"/>
  <c r="U118" i="1"/>
  <c r="V118" i="1" s="1"/>
  <c r="T119" i="1"/>
  <c r="U119" i="1"/>
  <c r="V119" i="1" s="1"/>
  <c r="T120" i="1"/>
  <c r="U120" i="1"/>
  <c r="V120" i="1" s="1"/>
  <c r="T121" i="1"/>
  <c r="U121" i="1"/>
  <c r="V121" i="1" s="1"/>
  <c r="T122" i="1"/>
  <c r="U122" i="1"/>
  <c r="V122" i="1" s="1"/>
  <c r="T123" i="1"/>
  <c r="U123" i="1"/>
  <c r="V123" i="1" s="1"/>
  <c r="T124" i="1"/>
  <c r="U124" i="1"/>
  <c r="V124" i="1" s="1"/>
  <c r="T125" i="1"/>
  <c r="U125" i="1"/>
  <c r="V125" i="1" s="1"/>
  <c r="T126" i="1"/>
  <c r="U126" i="1"/>
  <c r="V126" i="1" s="1"/>
  <c r="T127" i="1"/>
  <c r="U127" i="1"/>
  <c r="V127" i="1" s="1"/>
  <c r="T128" i="1"/>
  <c r="U128" i="1"/>
  <c r="V128" i="1" s="1"/>
  <c r="T129" i="1"/>
  <c r="U129" i="1"/>
  <c r="V129" i="1" s="1"/>
  <c r="T130" i="1"/>
  <c r="U130" i="1"/>
  <c r="V130" i="1" s="1"/>
  <c r="T131" i="1"/>
  <c r="U131" i="1"/>
  <c r="V131" i="1" s="1"/>
  <c r="T132" i="1"/>
  <c r="U132" i="1"/>
  <c r="V132" i="1" s="1"/>
  <c r="T133" i="1"/>
  <c r="U133" i="1"/>
  <c r="V133" i="1" s="1"/>
  <c r="T110" i="1"/>
  <c r="U110" i="1"/>
  <c r="V110" i="1" s="1"/>
  <c r="T111" i="1"/>
  <c r="U111" i="1"/>
  <c r="V111" i="1" s="1"/>
  <c r="T112" i="1"/>
  <c r="U112" i="1"/>
  <c r="V112" i="1" s="1"/>
  <c r="W143" i="1" l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W116" i="1"/>
  <c r="W115" i="1"/>
  <c r="W114" i="1"/>
  <c r="W113" i="1"/>
  <c r="W112" i="1"/>
  <c r="W111" i="1"/>
  <c r="W110" i="1"/>
  <c r="T105" i="1"/>
  <c r="U105" i="1"/>
  <c r="V105" i="1" s="1"/>
  <c r="U106" i="1"/>
  <c r="V106" i="1" s="1"/>
  <c r="T107" i="1"/>
  <c r="U107" i="1"/>
  <c r="V107" i="1" s="1"/>
  <c r="U108" i="1"/>
  <c r="V108" i="1" s="1"/>
  <c r="T109" i="1"/>
  <c r="U109" i="1"/>
  <c r="V109" i="1" s="1"/>
  <c r="W109" i="1" l="1"/>
  <c r="W108" i="1"/>
  <c r="W107" i="1"/>
  <c r="W106" i="1"/>
  <c r="W105" i="1"/>
  <c r="T100" i="1"/>
  <c r="U100" i="1"/>
  <c r="V100" i="1" s="1"/>
  <c r="T101" i="1"/>
  <c r="U101" i="1"/>
  <c r="V101" i="1" s="1"/>
  <c r="T102" i="1"/>
  <c r="U102" i="1"/>
  <c r="V102" i="1" s="1"/>
  <c r="T103" i="1"/>
  <c r="U103" i="1"/>
  <c r="V103" i="1" s="1"/>
  <c r="T104" i="1"/>
  <c r="U104" i="1"/>
  <c r="V104" i="1" s="1"/>
  <c r="W104" i="1" l="1"/>
  <c r="W103" i="1"/>
  <c r="W102" i="1"/>
  <c r="W101" i="1"/>
  <c r="W100" i="1"/>
  <c r="T94" i="1"/>
  <c r="U94" i="1"/>
  <c r="V94" i="1" s="1"/>
  <c r="T95" i="1"/>
  <c r="U95" i="1"/>
  <c r="V95" i="1" s="1"/>
  <c r="T96" i="1"/>
  <c r="U96" i="1"/>
  <c r="V96" i="1" s="1"/>
  <c r="T97" i="1"/>
  <c r="U97" i="1"/>
  <c r="V97" i="1" s="1"/>
  <c r="T98" i="1"/>
  <c r="U98" i="1"/>
  <c r="V98" i="1" s="1"/>
  <c r="T99" i="1"/>
  <c r="U99" i="1"/>
  <c r="V99" i="1" s="1"/>
  <c r="W96" i="1" l="1"/>
  <c r="W97" i="1"/>
  <c r="W94" i="1"/>
  <c r="W98" i="1"/>
  <c r="W99" i="1"/>
  <c r="W95" i="1"/>
  <c r="T91" i="1"/>
  <c r="U91" i="1"/>
  <c r="V91" i="1" s="1"/>
  <c r="T92" i="1"/>
  <c r="U92" i="1"/>
  <c r="V92" i="1" s="1"/>
  <c r="T93" i="1"/>
  <c r="U93" i="1"/>
  <c r="V93" i="1" s="1"/>
  <c r="W93" i="1" l="1"/>
  <c r="W92" i="1"/>
  <c r="W91" i="1"/>
  <c r="T46" i="1"/>
  <c r="U46" i="1"/>
  <c r="V46" i="1" s="1"/>
  <c r="T87" i="1"/>
  <c r="U87" i="1"/>
  <c r="V87" i="1" s="1"/>
  <c r="T88" i="1"/>
  <c r="U88" i="1"/>
  <c r="V88" i="1" s="1"/>
  <c r="T89" i="1"/>
  <c r="U89" i="1"/>
  <c r="V89" i="1" s="1"/>
  <c r="T90" i="1"/>
  <c r="U90" i="1"/>
  <c r="V90" i="1" s="1"/>
  <c r="T78" i="1"/>
  <c r="U78" i="1"/>
  <c r="V78" i="1" s="1"/>
  <c r="T79" i="1"/>
  <c r="U79" i="1"/>
  <c r="V79" i="1" s="1"/>
  <c r="T80" i="1"/>
  <c r="U80" i="1"/>
  <c r="V80" i="1" s="1"/>
  <c r="T81" i="1"/>
  <c r="U81" i="1"/>
  <c r="V81" i="1" s="1"/>
  <c r="T82" i="1"/>
  <c r="U82" i="1"/>
  <c r="V82" i="1" s="1"/>
  <c r="T83" i="1"/>
  <c r="U83" i="1"/>
  <c r="V83" i="1" s="1"/>
  <c r="T84" i="1"/>
  <c r="U84" i="1"/>
  <c r="V84" i="1" s="1"/>
  <c r="T85" i="1"/>
  <c r="U85" i="1"/>
  <c r="V85" i="1" s="1"/>
  <c r="T86" i="1"/>
  <c r="U86" i="1"/>
  <c r="V86" i="1" s="1"/>
  <c r="T77" i="1"/>
  <c r="U77" i="1"/>
  <c r="V77" i="1" s="1"/>
  <c r="W46" i="1" l="1"/>
  <c r="W90" i="1"/>
  <c r="W89" i="1"/>
  <c r="W88" i="1"/>
  <c r="W87" i="1"/>
  <c r="W86" i="1"/>
  <c r="W85" i="1"/>
  <c r="W84" i="1"/>
  <c r="W83" i="1"/>
  <c r="W82" i="1"/>
  <c r="W81" i="1"/>
  <c r="W80" i="1"/>
  <c r="W79" i="1"/>
  <c r="W78" i="1"/>
  <c r="W77" i="1"/>
  <c r="T75" i="1"/>
  <c r="T76" i="1"/>
  <c r="U75" i="1"/>
  <c r="V75" i="1" s="1"/>
  <c r="U76" i="1"/>
  <c r="W76" i="1" s="1"/>
  <c r="V76" i="1" l="1"/>
  <c r="W75" i="1"/>
  <c r="U70" i="1"/>
  <c r="V70" i="1" s="1"/>
  <c r="U71" i="1"/>
  <c r="V71" i="1" s="1"/>
  <c r="U72" i="1"/>
  <c r="V72" i="1" s="1"/>
  <c r="U73" i="1"/>
  <c r="V73" i="1" s="1"/>
  <c r="U74" i="1"/>
  <c r="V74" i="1" s="1"/>
  <c r="T62" i="1"/>
  <c r="U62" i="1"/>
  <c r="V62" i="1" s="1"/>
  <c r="T63" i="1"/>
  <c r="U63" i="1"/>
  <c r="V63" i="1" s="1"/>
  <c r="T64" i="1"/>
  <c r="U64" i="1"/>
  <c r="V64" i="1" s="1"/>
  <c r="T65" i="1"/>
  <c r="U65" i="1"/>
  <c r="V65" i="1" s="1"/>
  <c r="T66" i="1"/>
  <c r="U66" i="1"/>
  <c r="V66" i="1" s="1"/>
  <c r="U67" i="1"/>
  <c r="V67" i="1" s="1"/>
  <c r="U68" i="1"/>
  <c r="V68" i="1" s="1"/>
  <c r="U69" i="1"/>
  <c r="V69" i="1" s="1"/>
  <c r="T61" i="1"/>
  <c r="U56" i="1"/>
  <c r="V56" i="1" s="1"/>
  <c r="T57" i="1"/>
  <c r="U57" i="1"/>
  <c r="V57" i="1" s="1"/>
  <c r="T58" i="1"/>
  <c r="U58" i="1"/>
  <c r="V58" i="1" s="1"/>
  <c r="T59" i="1"/>
  <c r="U59" i="1"/>
  <c r="V59" i="1" s="1"/>
  <c r="T60" i="1"/>
  <c r="U60" i="1"/>
  <c r="V60" i="1" s="1"/>
  <c r="U61" i="1"/>
  <c r="V61" i="1" s="1"/>
  <c r="T53" i="1"/>
  <c r="T54" i="1"/>
  <c r="T55" i="1"/>
  <c r="U53" i="1"/>
  <c r="V53" i="1" s="1"/>
  <c r="U54" i="1"/>
  <c r="V54" i="1" s="1"/>
  <c r="U55" i="1"/>
  <c r="V55" i="1" s="1"/>
  <c r="T47" i="1"/>
  <c r="U47" i="1"/>
  <c r="V47" i="1" s="1"/>
  <c r="T48" i="1"/>
  <c r="U48" i="1"/>
  <c r="V48" i="1" s="1"/>
  <c r="T49" i="1"/>
  <c r="U49" i="1"/>
  <c r="V49" i="1" s="1"/>
  <c r="T50" i="1"/>
  <c r="U50" i="1"/>
  <c r="V50" i="1" s="1"/>
  <c r="T51" i="1"/>
  <c r="U51" i="1"/>
  <c r="V51" i="1" s="1"/>
  <c r="U52" i="1"/>
  <c r="V52" i="1" s="1"/>
  <c r="W72" i="1" l="1"/>
  <c r="W73" i="1"/>
  <c r="W53" i="1"/>
  <c r="W70" i="1"/>
  <c r="W74" i="1"/>
  <c r="W71" i="1"/>
  <c r="W69" i="1"/>
  <c r="W68" i="1"/>
  <c r="W67" i="1"/>
  <c r="W66" i="1"/>
  <c r="W65" i="1"/>
  <c r="W64" i="1"/>
  <c r="W63" i="1"/>
  <c r="W62" i="1"/>
  <c r="W59" i="1"/>
  <c r="W58" i="1"/>
  <c r="W57" i="1"/>
  <c r="W56" i="1"/>
  <c r="W60" i="1"/>
  <c r="W61" i="1"/>
  <c r="W54" i="1"/>
  <c r="W55" i="1"/>
  <c r="W52" i="1"/>
  <c r="W51" i="1"/>
  <c r="W50" i="1"/>
  <c r="W49" i="1"/>
  <c r="W48" i="1"/>
  <c r="W47" i="1"/>
  <c r="T39" i="1"/>
  <c r="U39" i="1"/>
  <c r="V39" i="1" s="1"/>
  <c r="T40" i="1"/>
  <c r="U40" i="1"/>
  <c r="V40" i="1" s="1"/>
  <c r="T41" i="1"/>
  <c r="U41" i="1"/>
  <c r="V41" i="1" s="1"/>
  <c r="T42" i="1"/>
  <c r="U42" i="1"/>
  <c r="V42" i="1" s="1"/>
  <c r="T43" i="1"/>
  <c r="U43" i="1"/>
  <c r="V43" i="1" s="1"/>
  <c r="T44" i="1"/>
  <c r="U44" i="1"/>
  <c r="V44" i="1" s="1"/>
  <c r="T45" i="1"/>
  <c r="U45" i="1"/>
  <c r="V45" i="1" s="1"/>
  <c r="W45" i="1" l="1"/>
  <c r="W44" i="1"/>
  <c r="W43" i="1"/>
  <c r="W42" i="1"/>
  <c r="W41" i="1"/>
  <c r="W40" i="1"/>
  <c r="W39" i="1"/>
  <c r="U35" i="1"/>
  <c r="T37" i="1"/>
  <c r="U37" i="1"/>
  <c r="T20" i="1"/>
  <c r="U20" i="1"/>
  <c r="V20" i="1" s="1"/>
  <c r="U19" i="1"/>
  <c r="W19" i="1" s="1"/>
  <c r="T19" i="1"/>
  <c r="T18" i="1"/>
  <c r="U18" i="1"/>
  <c r="V18" i="1" s="1"/>
  <c r="V37" i="1" l="1"/>
  <c r="W37" i="1"/>
  <c r="W18" i="1"/>
  <c r="W20" i="1"/>
  <c r="V19" i="1"/>
  <c r="T3" i="1"/>
  <c r="U3" i="1"/>
  <c r="V3" i="1" s="1"/>
  <c r="T4" i="1"/>
  <c r="U4" i="1"/>
  <c r="V4" i="1" s="1"/>
  <c r="T5" i="1"/>
  <c r="U5" i="1"/>
  <c r="V5" i="1" s="1"/>
  <c r="T6" i="1"/>
  <c r="U6" i="1"/>
  <c r="V6" i="1" s="1"/>
  <c r="T7" i="1"/>
  <c r="U7" i="1"/>
  <c r="V7" i="1" s="1"/>
  <c r="T8" i="1"/>
  <c r="U8" i="1"/>
  <c r="V8" i="1" s="1"/>
  <c r="T9" i="1"/>
  <c r="U9" i="1"/>
  <c r="V9" i="1" s="1"/>
  <c r="T10" i="1"/>
  <c r="U10" i="1"/>
  <c r="V10" i="1" s="1"/>
  <c r="T11" i="1"/>
  <c r="U11" i="1"/>
  <c r="V11" i="1" s="1"/>
  <c r="T12" i="1"/>
  <c r="U12" i="1"/>
  <c r="V12" i="1" s="1"/>
  <c r="T13" i="1"/>
  <c r="U13" i="1"/>
  <c r="V13" i="1" s="1"/>
  <c r="T14" i="1"/>
  <c r="U14" i="1"/>
  <c r="V14" i="1" s="1"/>
  <c r="T15" i="1"/>
  <c r="U15" i="1"/>
  <c r="V15" i="1" s="1"/>
  <c r="T16" i="1"/>
  <c r="U16" i="1"/>
  <c r="V16" i="1" s="1"/>
  <c r="T17" i="1"/>
  <c r="U17" i="1"/>
  <c r="V17" i="1" s="1"/>
  <c r="T21" i="1"/>
  <c r="U21" i="1"/>
  <c r="V21" i="1" s="1"/>
  <c r="T22" i="1"/>
  <c r="U22" i="1"/>
  <c r="V22" i="1" s="1"/>
  <c r="T23" i="1"/>
  <c r="U23" i="1"/>
  <c r="V23" i="1" s="1"/>
  <c r="T24" i="1"/>
  <c r="U24" i="1"/>
  <c r="V24" i="1" s="1"/>
  <c r="T25" i="1"/>
  <c r="U25" i="1"/>
  <c r="V25" i="1" s="1"/>
  <c r="T26" i="1"/>
  <c r="U26" i="1"/>
  <c r="V26" i="1" s="1"/>
  <c r="T27" i="1"/>
  <c r="U27" i="1"/>
  <c r="V27" i="1" s="1"/>
  <c r="T28" i="1"/>
  <c r="U28" i="1"/>
  <c r="V28" i="1" s="1"/>
  <c r="T29" i="1"/>
  <c r="U29" i="1"/>
  <c r="V29" i="1" s="1"/>
  <c r="T30" i="1"/>
  <c r="U30" i="1"/>
  <c r="V30" i="1" s="1"/>
  <c r="T31" i="1"/>
  <c r="U31" i="1"/>
  <c r="V31" i="1" s="1"/>
  <c r="T32" i="1"/>
  <c r="U32" i="1"/>
  <c r="V32" i="1" s="1"/>
  <c r="T33" i="1"/>
  <c r="U33" i="1"/>
  <c r="V33" i="1" s="1"/>
  <c r="T34" i="1"/>
  <c r="U34" i="1"/>
  <c r="V34" i="1" s="1"/>
  <c r="T35" i="1"/>
  <c r="V35" i="1"/>
  <c r="T36" i="1"/>
  <c r="U36" i="1"/>
  <c r="V36" i="1" s="1"/>
  <c r="T38" i="1"/>
  <c r="U38" i="1"/>
  <c r="V38" i="1" s="1"/>
  <c r="W35" i="1" l="1"/>
  <c r="W31" i="1"/>
  <c r="W27" i="1"/>
  <c r="W23" i="1"/>
  <c r="W15" i="1"/>
  <c r="W36" i="1"/>
  <c r="W32" i="1"/>
  <c r="W28" i="1"/>
  <c r="W24" i="1"/>
  <c r="W16" i="1"/>
  <c r="W3" i="1"/>
  <c r="W33" i="1"/>
  <c r="W29" i="1"/>
  <c r="W25" i="1"/>
  <c r="W21" i="1"/>
  <c r="W17" i="1"/>
  <c r="W38" i="1"/>
  <c r="W34" i="1"/>
  <c r="W30" i="1"/>
  <c r="W26" i="1"/>
  <c r="W22" i="1"/>
  <c r="W14" i="1"/>
  <c r="W13" i="1"/>
  <c r="W12" i="1"/>
  <c r="W11" i="1"/>
  <c r="W10" i="1"/>
  <c r="W9" i="1"/>
  <c r="W8" i="1"/>
  <c r="W7" i="1"/>
  <c r="W6" i="1"/>
  <c r="W5" i="1"/>
  <c r="W4" i="1"/>
  <c r="T2" i="1"/>
  <c r="U2" i="1"/>
  <c r="V2" i="1" s="1"/>
  <c r="W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<sst xmlns="http://schemas.openxmlformats.org/spreadsheetml/2006/main" count="4593" uniqueCount="741">
  <si>
    <t xml:space="preserve">NUMERO DE IDENTIFICACION </t>
  </si>
  <si>
    <t>PRIMER APELLIDO</t>
  </si>
  <si>
    <t>SEGUNDO APELLIDO</t>
  </si>
  <si>
    <t>PRIMER NOMBRE</t>
  </si>
  <si>
    <t>SEGUNDO NOMBRE</t>
  </si>
  <si>
    <t>DIA</t>
  </si>
  <si>
    <t>MES</t>
  </si>
  <si>
    <t>FECHA DE PAGO</t>
  </si>
  <si>
    <t>VALOR UNITARIO</t>
  </si>
  <si>
    <t>MEDIO DE PAGO</t>
  </si>
  <si>
    <t>RESPONSABLE</t>
  </si>
  <si>
    <t>CURSO</t>
  </si>
  <si>
    <t>GENERO</t>
  </si>
  <si>
    <t>PERFIL DEL PROFESIONAL</t>
  </si>
  <si>
    <t>CELULAR</t>
  </si>
  <si>
    <t>NOMBRE CURSO</t>
  </si>
  <si>
    <t>NOMBRE COMPLETO</t>
  </si>
  <si>
    <t>NOMBRE CERTIFICADO</t>
  </si>
  <si>
    <t>NOMBRE PDF</t>
  </si>
  <si>
    <t>BLS</t>
  </si>
  <si>
    <t>CODIGO</t>
  </si>
  <si>
    <t>ATENCION PRE-HOSPITALARIA</t>
  </si>
  <si>
    <t>DIPLOMADO EN ATENCION PRE-HOSPITALARIA</t>
  </si>
  <si>
    <t>DUELO</t>
  </si>
  <si>
    <t>ACOMPAÑAMIENTO Y MANEJO DEL DUELO</t>
  </si>
  <si>
    <t>QUIMICOS</t>
  </si>
  <si>
    <t xml:space="preserve">ATENCION A VICTIMAS DE ATAQUE CON AGENTES QUIMICOS </t>
  </si>
  <si>
    <t>PRIMEROS AUXILIOS</t>
  </si>
  <si>
    <t xml:space="preserve">PRIMEROS AUXILIOS </t>
  </si>
  <si>
    <t>UCI</t>
  </si>
  <si>
    <t>DIPLOMADO DE UNIDAD DE CUIDADOS INTENSIVOS (UCI)</t>
  </si>
  <si>
    <t>CODIGO VERDE</t>
  </si>
  <si>
    <t>MODELO DE ATENCION PARA EVENTOS EMERGENTES EN SALUD MENTAL (CODIGO VERDE)</t>
  </si>
  <si>
    <t>HUMANIZACION</t>
  </si>
  <si>
    <t xml:space="preserve">HUMANIZACION EN SALUD, BUENAS PRACTICAS EN PACIENTE </t>
  </si>
  <si>
    <t>CLINICA DE HERIDAS</t>
  </si>
  <si>
    <t xml:space="preserve">CLINICA DE HERIDAS </t>
  </si>
  <si>
    <t>CITOLOGIA</t>
  </si>
  <si>
    <t xml:space="preserve">TOMA DE CITOLOGIA A CERVICO VAGINAL </t>
  </si>
  <si>
    <t>ACLS</t>
  </si>
  <si>
    <t xml:space="preserve">SOPORTE CARDIOVASCULAR AVANZADO </t>
  </si>
  <si>
    <t>CAMILLERO</t>
  </si>
  <si>
    <t xml:space="preserve">CAMILLERO </t>
  </si>
  <si>
    <t>TOMA DE MUESTRAS</t>
  </si>
  <si>
    <t xml:space="preserve">TOMA MUESTRAS Y LABORATORIO </t>
  </si>
  <si>
    <t>SOPORTE VITAL BASICO (BLS)</t>
  </si>
  <si>
    <t>VIOLENCIA SEXUAL</t>
  </si>
  <si>
    <t xml:space="preserve">ATENCION A VICTIMAS DE VIOLENCIA SEXUAL </t>
  </si>
  <si>
    <t>COVID</t>
  </si>
  <si>
    <t>PROGRAMADO AMPLIADO DE INMUNIZACION (PAI - COVID 19)</t>
  </si>
  <si>
    <t>AIEPI</t>
  </si>
  <si>
    <t>ATENCION INTEGRAL EN ENFERMEDADES PREVALENTES EN PRIMERA INFANCIA (AIEPI)</t>
  </si>
  <si>
    <t>ADMON DE MEDICAMENTOS</t>
  </si>
  <si>
    <t xml:space="preserve">ADMINISTRACION DE MEDICAMENTOS, IYECTOLOGIA  Y CANALIZACION </t>
  </si>
  <si>
    <t>OVE</t>
  </si>
  <si>
    <t>OPERADOR DE VEHICULOS DE EMERGENCIA (OVE)</t>
  </si>
  <si>
    <t>IAMI</t>
  </si>
  <si>
    <t>INSTITUCIONES AMIGAS DE LA MUJER Y LA INFANCIA (IAMI)</t>
  </si>
  <si>
    <t>DONANTE</t>
  </si>
  <si>
    <t>CUIDADO DEL DONANTE DE ORGANOS</t>
  </si>
  <si>
    <t>VIOLENCIA DE GENERO</t>
  </si>
  <si>
    <t>ATENCION A VICTIMAS POR VIOLENCIA DE GENERO</t>
  </si>
  <si>
    <t>IGUALDAD DE GENERO</t>
  </si>
  <si>
    <t>IGUALDAD DE GENERO EN LA SALUD</t>
  </si>
  <si>
    <t>BRIGADA</t>
  </si>
  <si>
    <t>BRIGADA DE EMERGENCIA</t>
  </si>
  <si>
    <t>PALIATIVOS</t>
  </si>
  <si>
    <t>MANEJO DEL DOLOR Y CUIDADOS PALIATIVOS</t>
  </si>
  <si>
    <t>POCT</t>
  </si>
  <si>
    <t>TOMA MUESTRAS Y LABORATORIO POCT</t>
  </si>
  <si>
    <t>IMPLANTE</t>
  </si>
  <si>
    <t>IMPLANTE SUBDERMICO Y DISPOSITIVO INTRAUTERINO</t>
  </si>
  <si>
    <t>SALUD MENTAL</t>
  </si>
  <si>
    <t>PRIMEROS AUXILIOS P</t>
  </si>
  <si>
    <t>PRIMEROS AUXILIOS PSICOLOGICOS</t>
  </si>
  <si>
    <t>CONFLICTO ARMADO</t>
  </si>
  <si>
    <t>ATENCION A VICTIMAS POR CONFLICTO ARMADO</t>
  </si>
  <si>
    <t>CCS</t>
  </si>
  <si>
    <t>F</t>
  </si>
  <si>
    <t>BANCOLOMBIA</t>
  </si>
  <si>
    <t>f</t>
  </si>
  <si>
    <t>FECHA DE NACIMIENTO</t>
  </si>
  <si>
    <t>NEQUI</t>
  </si>
  <si>
    <t>X</t>
  </si>
  <si>
    <t>SEBAS</t>
  </si>
  <si>
    <t>Carolina</t>
  </si>
  <si>
    <t>POR CANCELAR</t>
  </si>
  <si>
    <t>Lopez</t>
  </si>
  <si>
    <t>M</t>
  </si>
  <si>
    <t>Elizabeth</t>
  </si>
  <si>
    <t xml:space="preserve">POR CANCELAR </t>
  </si>
  <si>
    <t>Sarasty</t>
  </si>
  <si>
    <t>Chamorro</t>
  </si>
  <si>
    <t>Cuero</t>
  </si>
  <si>
    <t>Sandra</t>
  </si>
  <si>
    <t>ELABORO</t>
  </si>
  <si>
    <t>Correa</t>
  </si>
  <si>
    <t>Ivan</t>
  </si>
  <si>
    <t>Hernando</t>
  </si>
  <si>
    <t>ABRIL</t>
  </si>
  <si>
    <t>FRANCISCO</t>
  </si>
  <si>
    <t>Conductor de vehiculos</t>
  </si>
  <si>
    <t>TABLA</t>
  </si>
  <si>
    <t xml:space="preserve">MARTINEZ </t>
  </si>
  <si>
    <t xml:space="preserve">MARTHA </t>
  </si>
  <si>
    <t xml:space="preserve">ISABEL </t>
  </si>
  <si>
    <t>PROVIRED</t>
  </si>
  <si>
    <t>ODONTOLOGO</t>
  </si>
  <si>
    <t xml:space="preserve">CORREO </t>
  </si>
  <si>
    <t>marthaisabelmarinez1970@gmail.com</t>
  </si>
  <si>
    <t xml:space="preserve">CERON </t>
  </si>
  <si>
    <t>SANCHEZ</t>
  </si>
  <si>
    <t xml:space="preserve">WILLIAM </t>
  </si>
  <si>
    <t xml:space="preserve">FABIAN </t>
  </si>
  <si>
    <t>fabianceronsanchez@gmail.com</t>
  </si>
  <si>
    <t>Ruiz</t>
  </si>
  <si>
    <t>David</t>
  </si>
  <si>
    <t>Bernardo</t>
  </si>
  <si>
    <t>davidruizch89@hotmail.com</t>
  </si>
  <si>
    <t>Cumbal</t>
  </si>
  <si>
    <t>Daniela</t>
  </si>
  <si>
    <t>Alejandra</t>
  </si>
  <si>
    <t>DANIALEJANDRA.04@GMAIL.Com</t>
  </si>
  <si>
    <t>Vallejo</t>
  </si>
  <si>
    <t>Jojoa</t>
  </si>
  <si>
    <t>Karen</t>
  </si>
  <si>
    <t>Dayana</t>
  </si>
  <si>
    <t>19/7/1199</t>
  </si>
  <si>
    <t>Jimenez</t>
  </si>
  <si>
    <t>Valentina</t>
  </si>
  <si>
    <t>dayanajojoa521@gmail.com</t>
  </si>
  <si>
    <t>jimenezvalentina365@gmail.com</t>
  </si>
  <si>
    <t>Jurado</t>
  </si>
  <si>
    <t>Salaz</t>
  </si>
  <si>
    <t xml:space="preserve">carojurado21@gmail.com </t>
  </si>
  <si>
    <t>Zambrano</t>
  </si>
  <si>
    <t>Rivera</t>
  </si>
  <si>
    <t>Guimar</t>
  </si>
  <si>
    <t>Johana</t>
  </si>
  <si>
    <t>Apraez</t>
  </si>
  <si>
    <t>Deicy</t>
  </si>
  <si>
    <t>Maritza</t>
  </si>
  <si>
    <t>joez1182@gmail.com</t>
  </si>
  <si>
    <t>auxiliar9pypmedfam@gmail.com</t>
  </si>
  <si>
    <t>Ortiz</t>
  </si>
  <si>
    <t>Arteaga</t>
  </si>
  <si>
    <t>Julio</t>
  </si>
  <si>
    <t>Andres</t>
  </si>
  <si>
    <t>MEDICO GENERAL</t>
  </si>
  <si>
    <t>jortiz314@gmail.coM</t>
  </si>
  <si>
    <t>Perez</t>
  </si>
  <si>
    <t>Cordoba</t>
  </si>
  <si>
    <t>Estefany</t>
  </si>
  <si>
    <t xml:space="preserve"> 01/07/1996</t>
  </si>
  <si>
    <t>stefyperez9624@gmail.co,</t>
  </si>
  <si>
    <t>Muñoz</t>
  </si>
  <si>
    <t>Hernandez</t>
  </si>
  <si>
    <t>Evelyn</t>
  </si>
  <si>
    <t>Graciela</t>
  </si>
  <si>
    <t>brayan</t>
  </si>
  <si>
    <t>AUXILIAR DE ENFERMERIA</t>
  </si>
  <si>
    <t>hernandezevelin203@gmail.com</t>
  </si>
  <si>
    <t>Cabezas</t>
  </si>
  <si>
    <t>Quiñones</t>
  </si>
  <si>
    <t>Flor</t>
  </si>
  <si>
    <t>Mabelis</t>
  </si>
  <si>
    <t>marzo</t>
  </si>
  <si>
    <t>obsequio</t>
  </si>
  <si>
    <t>obsequi</t>
  </si>
  <si>
    <t>DIVINO NIÑO</t>
  </si>
  <si>
    <t>Bastidas</t>
  </si>
  <si>
    <t>Achicanoy</t>
  </si>
  <si>
    <t>Paul</t>
  </si>
  <si>
    <t>Luis pinta</t>
  </si>
  <si>
    <t>DICIEMBRE</t>
  </si>
  <si>
    <t>Castillo</t>
  </si>
  <si>
    <t>Tello</t>
  </si>
  <si>
    <t>NICOLAS</t>
  </si>
  <si>
    <t>stefytello1520@gmail.com</t>
  </si>
  <si>
    <t>Alban</t>
  </si>
  <si>
    <t>Delgado</t>
  </si>
  <si>
    <t>Santiago</t>
  </si>
  <si>
    <t>Guerrero</t>
  </si>
  <si>
    <t>Palacios</t>
  </si>
  <si>
    <t>Vanessa</t>
  </si>
  <si>
    <t>Guevara</t>
  </si>
  <si>
    <t>Rosero</t>
  </si>
  <si>
    <t>Tatiana</t>
  </si>
  <si>
    <t>Sofia</t>
  </si>
  <si>
    <t>Caja</t>
  </si>
  <si>
    <t>sofiagro.2001@gmail.com</t>
  </si>
  <si>
    <t>Arroyo</t>
  </si>
  <si>
    <t>Paz</t>
  </si>
  <si>
    <t>Dolly</t>
  </si>
  <si>
    <t>Andrea</t>
  </si>
  <si>
    <t>andrear-med@hotmail.com</t>
  </si>
  <si>
    <t>nico</t>
  </si>
  <si>
    <t>yurani</t>
  </si>
  <si>
    <t>lilimainguez@gmail.com</t>
  </si>
  <si>
    <t>yiselamunoz09@gmail.com</t>
  </si>
  <si>
    <t>cristinaordonez353@gmail.com</t>
  </si>
  <si>
    <t>Liliana</t>
  </si>
  <si>
    <t>Isabel</t>
  </si>
  <si>
    <t>Mainguez</t>
  </si>
  <si>
    <t>Alvear</t>
  </si>
  <si>
    <t>Yisela</t>
  </si>
  <si>
    <t>Alexandra</t>
  </si>
  <si>
    <t>Salazar</t>
  </si>
  <si>
    <t>Ana</t>
  </si>
  <si>
    <t>Cristina</t>
  </si>
  <si>
    <t>Ordóñez</t>
  </si>
  <si>
    <t>Mayra</t>
  </si>
  <si>
    <t>Ceron</t>
  </si>
  <si>
    <t>mayrsalazar38@gmail.com</t>
  </si>
  <si>
    <t>USAMAG</t>
  </si>
  <si>
    <t>IBARRA</t>
  </si>
  <si>
    <t>DEISSY</t>
  </si>
  <si>
    <t>CAROLINA</t>
  </si>
  <si>
    <t>deissycarolina2010@gmail.com</t>
  </si>
  <si>
    <t>Posso</t>
  </si>
  <si>
    <t>Burgos</t>
  </si>
  <si>
    <t>Hugo</t>
  </si>
  <si>
    <t>Alirio</t>
  </si>
  <si>
    <t>CORPOSALUD</t>
  </si>
  <si>
    <t>burgosnano092@hotmail.com</t>
  </si>
  <si>
    <t>Lucy</t>
  </si>
  <si>
    <t>Anabel</t>
  </si>
  <si>
    <t xml:space="preserve">lucytabastidas@hotmail.com </t>
  </si>
  <si>
    <t>Henry</t>
  </si>
  <si>
    <t>Manuel</t>
  </si>
  <si>
    <t>henrypa21@hotmail.com</t>
  </si>
  <si>
    <t>Gomez</t>
  </si>
  <si>
    <t>Del Socorro</t>
  </si>
  <si>
    <t>doris55207@gmail.com</t>
  </si>
  <si>
    <t>Mora</t>
  </si>
  <si>
    <t>Edison</t>
  </si>
  <si>
    <t>Jose</t>
  </si>
  <si>
    <t>edissonmorarosero@gmail.com</t>
  </si>
  <si>
    <t>Chatazar</t>
  </si>
  <si>
    <t>Getial</t>
  </si>
  <si>
    <t>Ines</t>
  </si>
  <si>
    <t xml:space="preserve">floris.chazatar309@gmail.com </t>
  </si>
  <si>
    <t>Doris</t>
  </si>
  <si>
    <t>Florinda</t>
  </si>
  <si>
    <t>Sanchez</t>
  </si>
  <si>
    <t>Puchana</t>
  </si>
  <si>
    <t>Mary</t>
  </si>
  <si>
    <t>Astrid</t>
  </si>
  <si>
    <t>medisaludesclero25@gmail.com</t>
  </si>
  <si>
    <t>CUIDADO AL PACIENTE DONANTE</t>
  </si>
  <si>
    <t>Angulo</t>
  </si>
  <si>
    <t xml:space="preserve">Caicedo </t>
  </si>
  <si>
    <t>Yurani</t>
  </si>
  <si>
    <t>Yuracai39@gmail.com</t>
  </si>
  <si>
    <t>Riascos</t>
  </si>
  <si>
    <t>Guaranguay</t>
  </si>
  <si>
    <t>Fernanda</t>
  </si>
  <si>
    <t>Ramirez</t>
  </si>
  <si>
    <t>Cuayal</t>
  </si>
  <si>
    <t>Rigoberto</t>
  </si>
  <si>
    <t>Jose Fernando</t>
  </si>
  <si>
    <t>AUXILIAR DE ENEFERMERIA</t>
  </si>
  <si>
    <t>Melo</t>
  </si>
  <si>
    <t>Martinez</t>
  </si>
  <si>
    <t>Hanya</t>
  </si>
  <si>
    <t>Yeraldy</t>
  </si>
  <si>
    <t>Osorio</t>
  </si>
  <si>
    <t>Maria</t>
  </si>
  <si>
    <t>Franqueline</t>
  </si>
  <si>
    <t>MEDICO INTERNISTA</t>
  </si>
  <si>
    <t>mariafranqueline@gmail.com</t>
  </si>
  <si>
    <t>Nova</t>
  </si>
  <si>
    <t>Angelica</t>
  </si>
  <si>
    <t xml:space="preserve">Delgado </t>
  </si>
  <si>
    <t>Ever</t>
  </si>
  <si>
    <t>Alfonso</t>
  </si>
  <si>
    <t xml:space="preserve">Riascos </t>
  </si>
  <si>
    <t xml:space="preserve">Mosquera </t>
  </si>
  <si>
    <t>Diana</t>
  </si>
  <si>
    <t>Juaspuezan</t>
  </si>
  <si>
    <t>Puenayan</t>
  </si>
  <si>
    <t>Jimy</t>
  </si>
  <si>
    <t>Alberth</t>
  </si>
  <si>
    <t>Gamboa</t>
  </si>
  <si>
    <t xml:space="preserve">Yolanda </t>
  </si>
  <si>
    <t xml:space="preserve">Ruales </t>
  </si>
  <si>
    <t xml:space="preserve">Monica </t>
  </si>
  <si>
    <t>Patiño</t>
  </si>
  <si>
    <t>Nicolas</t>
  </si>
  <si>
    <t>Juajinoy</t>
  </si>
  <si>
    <t>Betancourt</t>
  </si>
  <si>
    <t>Lizeth</t>
  </si>
  <si>
    <t xml:space="preserve">NEQUI  </t>
  </si>
  <si>
    <t>DAVIPLATA</t>
  </si>
  <si>
    <t>EXOGENA</t>
  </si>
  <si>
    <t>m</t>
  </si>
  <si>
    <t>angelicanova13@gmail.com</t>
  </si>
  <si>
    <t>martinezever489@gmail.com</t>
  </si>
  <si>
    <t>dianariascos05mosq@gmail.com</t>
  </si>
  <si>
    <t>jimmyalberth5@gmail.com</t>
  </si>
  <si>
    <t>yolandagamboa18@hotmail.com</t>
  </si>
  <si>
    <t>moniliru1981@gmail.com</t>
  </si>
  <si>
    <t>nicor.ptt@gmail.com</t>
  </si>
  <si>
    <t>danielajuaninoyb@gmail.com</t>
  </si>
  <si>
    <t>CONTADOR PUBLICO</t>
  </si>
  <si>
    <t>SEMINARIO INFORMACION EXOGENA AÑO 2024</t>
  </si>
  <si>
    <t>Ascuntar</t>
  </si>
  <si>
    <t>Pulzara</t>
  </si>
  <si>
    <t>Nancy</t>
  </si>
  <si>
    <t>nancy.lili.2611@gmail.com</t>
  </si>
  <si>
    <t>Daza</t>
  </si>
  <si>
    <t>Paredes</t>
  </si>
  <si>
    <t>Jorge</t>
  </si>
  <si>
    <t>gorgydaza94@hotmail.com</t>
  </si>
  <si>
    <t>Ibarra</t>
  </si>
  <si>
    <t>Guzman</t>
  </si>
  <si>
    <t>Lucia</t>
  </si>
  <si>
    <t>ENERO</t>
  </si>
  <si>
    <t>anittalucia@hotmail.com</t>
  </si>
  <si>
    <t>Gonzales</t>
  </si>
  <si>
    <t>Rodriguez</t>
  </si>
  <si>
    <t>Victor</t>
  </si>
  <si>
    <t>Camilo</t>
  </si>
  <si>
    <t>6 DE MARZO</t>
  </si>
  <si>
    <t>Ginna</t>
  </si>
  <si>
    <t>Nathaly</t>
  </si>
  <si>
    <t>Cauchanez</t>
  </si>
  <si>
    <t>Soledad</t>
  </si>
  <si>
    <t>Yandar</t>
  </si>
  <si>
    <t>Mila</t>
  </si>
  <si>
    <t>Mireyra</t>
  </si>
  <si>
    <t>Marisol</t>
  </si>
  <si>
    <t>Cabrera</t>
  </si>
  <si>
    <t>Fanny</t>
  </si>
  <si>
    <t>María</t>
  </si>
  <si>
    <t>Erica</t>
  </si>
  <si>
    <t>Lorena</t>
  </si>
  <si>
    <t xml:space="preserve"> 03/07/1963</t>
  </si>
  <si>
    <t>Enriquez</t>
  </si>
  <si>
    <t>Ferrin</t>
  </si>
  <si>
    <t>Ilsy</t>
  </si>
  <si>
    <t>Fabiola</t>
  </si>
  <si>
    <t>Velez</t>
  </si>
  <si>
    <t>Criollo</t>
  </si>
  <si>
    <t>Camila</t>
  </si>
  <si>
    <t>PEDIATRA</t>
  </si>
  <si>
    <t>Portillo</t>
  </si>
  <si>
    <t>Ortega</t>
  </si>
  <si>
    <t>Yescika</t>
  </si>
  <si>
    <t>jescikajp@yahoo.com</t>
  </si>
  <si>
    <t>Florez</t>
  </si>
  <si>
    <t>Pantoja</t>
  </si>
  <si>
    <t>Jazmin</t>
  </si>
  <si>
    <t>Pahola</t>
  </si>
  <si>
    <t>jazminmelo0812@gmail.com</t>
  </si>
  <si>
    <t>Obando</t>
  </si>
  <si>
    <t>Alvarez</t>
  </si>
  <si>
    <t>Mauricio</t>
  </si>
  <si>
    <t>Alexander</t>
  </si>
  <si>
    <t xml:space="preserve">Burbano </t>
  </si>
  <si>
    <t>Hernan</t>
  </si>
  <si>
    <t>William</t>
  </si>
  <si>
    <t xml:space="preserve">MEDICO </t>
  </si>
  <si>
    <t>MEDICO</t>
  </si>
  <si>
    <t>SOPORTE BASICO NEONATAL</t>
  </si>
  <si>
    <t>Jativa</t>
  </si>
  <si>
    <t>Coral</t>
  </si>
  <si>
    <t>Walther</t>
  </si>
  <si>
    <t>nequi</t>
  </si>
  <si>
    <t>Urbano</t>
  </si>
  <si>
    <t>Luisa</t>
  </si>
  <si>
    <t>avanti</t>
  </si>
  <si>
    <t>CASANOVA</t>
  </si>
  <si>
    <t>ROJAS</t>
  </si>
  <si>
    <t>ELIZABETH</t>
  </si>
  <si>
    <t>ENFERMERA JEFE</t>
  </si>
  <si>
    <t>Jhoana29.994@gmail.com</t>
  </si>
  <si>
    <t>Barrera</t>
  </si>
  <si>
    <t>De la cruz</t>
  </si>
  <si>
    <t>Damaris</t>
  </si>
  <si>
    <t>Nathalia</t>
  </si>
  <si>
    <t>Duelo</t>
  </si>
  <si>
    <t>Cuaspa</t>
  </si>
  <si>
    <t>Chaucanes</t>
  </si>
  <si>
    <t>Anny</t>
  </si>
  <si>
    <t>Lisseth</t>
  </si>
  <si>
    <t>Chaves</t>
  </si>
  <si>
    <t>Erazo</t>
  </si>
  <si>
    <t>Mercedes</t>
  </si>
  <si>
    <t>Bolaños</t>
  </si>
  <si>
    <t>Lady</t>
  </si>
  <si>
    <t>Carmen</t>
  </si>
  <si>
    <t>Elena</t>
  </si>
  <si>
    <t>Santacruz</t>
  </si>
  <si>
    <t>Montaño</t>
  </si>
  <si>
    <t>Jesus</t>
  </si>
  <si>
    <t>Armando</t>
  </si>
  <si>
    <t>velasques</t>
  </si>
  <si>
    <t>Mesias</t>
  </si>
  <si>
    <t>Grace</t>
  </si>
  <si>
    <t>Erika</t>
  </si>
  <si>
    <t xml:space="preserve"> 3/06/1983</t>
  </si>
  <si>
    <t>barreran288@gmail.com</t>
  </si>
  <si>
    <t xml:space="preserve">Anyta-7@hotmail.com </t>
  </si>
  <si>
    <t>alexanico87@gmail.com</t>
  </si>
  <si>
    <t>helengeral.cem@gmail.com</t>
  </si>
  <si>
    <t>313 5976789</t>
  </si>
  <si>
    <t xml:space="preserve">jesussantacruz12345@gmail.com </t>
  </si>
  <si>
    <t>greismesias@gmail.com</t>
  </si>
  <si>
    <t>Torres</t>
  </si>
  <si>
    <t>Paladines</t>
  </si>
  <si>
    <t>Quimicos</t>
  </si>
  <si>
    <t>Paliativos</t>
  </si>
  <si>
    <t>Arturo</t>
  </si>
  <si>
    <t>Toro</t>
  </si>
  <si>
    <t>Paola</t>
  </si>
  <si>
    <t>Mateo</t>
  </si>
  <si>
    <t>mafesita0825@hotmail.com</t>
  </si>
  <si>
    <t xml:space="preserve">paat190215@gmail.com </t>
  </si>
  <si>
    <t>burgos26nicolas@gmail.com</t>
  </si>
  <si>
    <t>Salinas</t>
  </si>
  <si>
    <t>Felipe</t>
  </si>
  <si>
    <t>CHINO TUMACO</t>
  </si>
  <si>
    <t xml:space="preserve">SALVAMENTO ACUATICO </t>
  </si>
  <si>
    <t>SALVAMENTO ACUATICO</t>
  </si>
  <si>
    <t>Jhon</t>
  </si>
  <si>
    <t>Jairo</t>
  </si>
  <si>
    <t>jhonjairoperez8821@hotmail.com</t>
  </si>
  <si>
    <t>FATIMA</t>
  </si>
  <si>
    <t>Cassetta</t>
  </si>
  <si>
    <t xml:space="preserve">Mario </t>
  </si>
  <si>
    <t>AVANTI</t>
  </si>
  <si>
    <t>Matabanchoy</t>
  </si>
  <si>
    <t>Benavides</t>
  </si>
  <si>
    <t>Ayda</t>
  </si>
  <si>
    <t>Arciniegas</t>
  </si>
  <si>
    <t>Alicia</t>
  </si>
  <si>
    <t>Leiton</t>
  </si>
  <si>
    <t>Nicela</t>
  </si>
  <si>
    <t>Lilibeth</t>
  </si>
  <si>
    <t>nicelaleyton@gmail.com</t>
  </si>
  <si>
    <t>Bacca</t>
  </si>
  <si>
    <t>Córdoba</t>
  </si>
  <si>
    <t>Bibiana</t>
  </si>
  <si>
    <t>Margey</t>
  </si>
  <si>
    <t>.bibianabacca05@gmail.com</t>
  </si>
  <si>
    <t xml:space="preserve">Solarte </t>
  </si>
  <si>
    <t>Mercedessolartep@hotmail.com</t>
  </si>
  <si>
    <t>MEDICA</t>
  </si>
  <si>
    <t>Fuelantala</t>
  </si>
  <si>
    <t>Marlene</t>
  </si>
  <si>
    <t>Romero</t>
  </si>
  <si>
    <t>Gustin</t>
  </si>
  <si>
    <t>Julieth</t>
  </si>
  <si>
    <t>Viviana</t>
  </si>
  <si>
    <t>imbajoa</t>
  </si>
  <si>
    <t>fajardo</t>
  </si>
  <si>
    <t>Magaly</t>
  </si>
  <si>
    <t>Quiroz</t>
  </si>
  <si>
    <t>Vivas</t>
  </si>
  <si>
    <t>Edilson</t>
  </si>
  <si>
    <t>Javier</t>
  </si>
  <si>
    <t>Hidalgo</t>
  </si>
  <si>
    <t>Lina</t>
  </si>
  <si>
    <t>vivi.anita2404@hotmail.com</t>
  </si>
  <si>
    <t xml:space="preserve">edilsonjavierquiroz2018@gmail.com </t>
  </si>
  <si>
    <t xml:space="preserve">paitogo2@hotmail.com </t>
  </si>
  <si>
    <t>Mariaf1964@hotmail.es</t>
  </si>
  <si>
    <t>Lagos</t>
  </si>
  <si>
    <t>Christian</t>
  </si>
  <si>
    <t>Andrés</t>
  </si>
  <si>
    <t>Angi</t>
  </si>
  <si>
    <t>Milena</t>
  </si>
  <si>
    <t>LINK BASE</t>
  </si>
  <si>
    <t>CEDULA</t>
  </si>
  <si>
    <t>LINK</t>
  </si>
  <si>
    <t>#</t>
  </si>
  <si>
    <t>Nombre del curso</t>
  </si>
  <si>
    <t>Chana</t>
  </si>
  <si>
    <t xml:space="preserve">Erica </t>
  </si>
  <si>
    <t xml:space="preserve">Marcela </t>
  </si>
  <si>
    <t xml:space="preserve">erikittachana@gmail.com </t>
  </si>
  <si>
    <t>Tolosa</t>
  </si>
  <si>
    <t>Aguirre</t>
  </si>
  <si>
    <t>Mariliny</t>
  </si>
  <si>
    <t>Castro</t>
  </si>
  <si>
    <t>Calzada</t>
  </si>
  <si>
    <t>Edwin</t>
  </si>
  <si>
    <t xml:space="preserve">tolosaaguirre@hotmail.com </t>
  </si>
  <si>
    <t>Margaret</t>
  </si>
  <si>
    <t>marielalvear1959@gmail.com</t>
  </si>
  <si>
    <t xml:space="preserve">MEDICA </t>
  </si>
  <si>
    <t>Mipaz</t>
  </si>
  <si>
    <t>Aux</t>
  </si>
  <si>
    <t>Jeimmy</t>
  </si>
  <si>
    <t>Yicel</t>
  </si>
  <si>
    <t>PSICOLOGA</t>
  </si>
  <si>
    <t>jeimmy1308@gmail.com</t>
  </si>
  <si>
    <t>Estefania</t>
  </si>
  <si>
    <t>estefany3-6@hotmail.com</t>
  </si>
  <si>
    <t>luiaguirre567@gmail.com</t>
  </si>
  <si>
    <t xml:space="preserve"> 20/11/1986</t>
  </si>
  <si>
    <t>Nequi</t>
  </si>
  <si>
    <t>Silva</t>
  </si>
  <si>
    <t>drasoficor07@gmail.com</t>
  </si>
  <si>
    <t>Acosta</t>
  </si>
  <si>
    <t xml:space="preserve">mayracasanova476@gmail.com </t>
  </si>
  <si>
    <t>Almanza</t>
  </si>
  <si>
    <t>Molina</t>
  </si>
  <si>
    <t>Veronica</t>
  </si>
  <si>
    <t>acls</t>
  </si>
  <si>
    <t xml:space="preserve"> </t>
  </si>
  <si>
    <t>PAOLA</t>
  </si>
  <si>
    <t>Sierra</t>
  </si>
  <si>
    <t>BACTERIÓLOGA</t>
  </si>
  <si>
    <t>Latorre</t>
  </si>
  <si>
    <t>Jackeline</t>
  </si>
  <si>
    <t>Del Rocio</t>
  </si>
  <si>
    <t>De los Angeles</t>
  </si>
  <si>
    <t>Calderon</t>
  </si>
  <si>
    <t>Chicaiza</t>
  </si>
  <si>
    <t>Frank</t>
  </si>
  <si>
    <t>Giovani</t>
  </si>
  <si>
    <t>Arellano</t>
  </si>
  <si>
    <t>Rosa</t>
  </si>
  <si>
    <t>Shirley</t>
  </si>
  <si>
    <t>luisitha_0798@gmail.com</t>
  </si>
  <si>
    <t>frankgetial@gmail.com</t>
  </si>
  <si>
    <t>rositaarellanoj@hotmail.com</t>
  </si>
  <si>
    <t>Oscar</t>
  </si>
  <si>
    <t>Ismael</t>
  </si>
  <si>
    <t>md-hozkar16@hotmail.com</t>
  </si>
  <si>
    <t>Timana</t>
  </si>
  <si>
    <t>Emilce</t>
  </si>
  <si>
    <t>Natalhie</t>
  </si>
  <si>
    <t>emilce14@outlook.es</t>
  </si>
  <si>
    <t>DONANTE DE ORGANOS</t>
  </si>
  <si>
    <t>SAN PEDRO</t>
  </si>
  <si>
    <t>Martha</t>
  </si>
  <si>
    <t>inés</t>
  </si>
  <si>
    <t>LINA</t>
  </si>
  <si>
    <t>marthazambranoh@hotmail.com</t>
  </si>
  <si>
    <t>IDENTIDAD DE GENERO</t>
  </si>
  <si>
    <t>Julieta</t>
  </si>
  <si>
    <t>Madroñero</t>
  </si>
  <si>
    <t>Tapia</t>
  </si>
  <si>
    <t>Leidy</t>
  </si>
  <si>
    <t>leidymadronero907@gmail.com</t>
  </si>
  <si>
    <t>Casanova</t>
  </si>
  <si>
    <t>mdanachaves@gmail.com</t>
  </si>
  <si>
    <t>-</t>
  </si>
  <si>
    <t>nEQUI</t>
  </si>
  <si>
    <t xml:space="preserve">SAN PEDRO </t>
  </si>
  <si>
    <t>Vallejos</t>
  </si>
  <si>
    <t>Edelberto</t>
  </si>
  <si>
    <t>oscarvallejos286@gmail.com</t>
  </si>
  <si>
    <t>Estrada</t>
  </si>
  <si>
    <t>Oliva</t>
  </si>
  <si>
    <t>Carlos</t>
  </si>
  <si>
    <t>Efren</t>
  </si>
  <si>
    <t>carlos.estrada.oliva@hotmail.com</t>
  </si>
  <si>
    <t>violencia sexual</t>
  </si>
  <si>
    <t>Moreno</t>
  </si>
  <si>
    <t>Jimena</t>
  </si>
  <si>
    <t>jimenasofia@hotmail.com</t>
  </si>
  <si>
    <t>Molineros</t>
  </si>
  <si>
    <t>Padilla</t>
  </si>
  <si>
    <t>Jesús</t>
  </si>
  <si>
    <t>Fabio</t>
  </si>
  <si>
    <t>Lucely</t>
  </si>
  <si>
    <t>Villota</t>
  </si>
  <si>
    <t>Dayra</t>
  </si>
  <si>
    <t>pendiente</t>
  </si>
  <si>
    <t>bls</t>
  </si>
  <si>
    <t>n</t>
  </si>
  <si>
    <t>medico familiar</t>
  </si>
  <si>
    <t>daluce.06vime@gmail.com</t>
  </si>
  <si>
    <t>fabiopadillamolineros@gmail.com</t>
  </si>
  <si>
    <t>Jaider</t>
  </si>
  <si>
    <t>Yair</t>
  </si>
  <si>
    <t>Morales</t>
  </si>
  <si>
    <t>jaidergamer77@gmail.com</t>
  </si>
  <si>
    <t>duelo</t>
  </si>
  <si>
    <t>Sonia</t>
  </si>
  <si>
    <t>Tulcán</t>
  </si>
  <si>
    <t>AUXILIAR DE ODONTOLOGIA</t>
  </si>
  <si>
    <t xml:space="preserve">pantojajohanafp186@gmail.com </t>
  </si>
  <si>
    <t>Manchabajoy</t>
  </si>
  <si>
    <t>Ronaldo</t>
  </si>
  <si>
    <t>criolloronaldo98@gmail.com</t>
  </si>
  <si>
    <t>Cifuentes</t>
  </si>
  <si>
    <t>Daniel</t>
  </si>
  <si>
    <t>danielsantiago0123@hotmail.com</t>
  </si>
  <si>
    <t>Guancha</t>
  </si>
  <si>
    <t>Lulieth</t>
  </si>
  <si>
    <t xml:space="preserve">paolaguancha9307@gmail.com </t>
  </si>
  <si>
    <t>Araujo</t>
  </si>
  <si>
    <t>Prado</t>
  </si>
  <si>
    <t>Laura</t>
  </si>
  <si>
    <t xml:space="preserve">lauarapra@gmail.com </t>
  </si>
  <si>
    <t>Vilma</t>
  </si>
  <si>
    <t>Judith</t>
  </si>
  <si>
    <t>Vilmayudiht49@gmail.com</t>
  </si>
  <si>
    <t>Montenegro</t>
  </si>
  <si>
    <t>Geraldine</t>
  </si>
  <si>
    <t xml:space="preserve">Geraldine99sol@gmail.com </t>
  </si>
  <si>
    <t>Mejía</t>
  </si>
  <si>
    <t>Thania</t>
  </si>
  <si>
    <t>Jharledy</t>
  </si>
  <si>
    <t xml:space="preserve">taniamejiacordoba31@gmail.com </t>
  </si>
  <si>
    <t>Rojas</t>
  </si>
  <si>
    <t>Cruz</t>
  </si>
  <si>
    <t>Nilsa</t>
  </si>
  <si>
    <t>Albany</t>
  </si>
  <si>
    <t>nilbani55@gmail.com</t>
  </si>
  <si>
    <t>MEDICA GENERAL</t>
  </si>
  <si>
    <t>Valencia</t>
  </si>
  <si>
    <t>Maricela</t>
  </si>
  <si>
    <t xml:space="preserve">Leymava85@hotmail.com </t>
  </si>
  <si>
    <t>Yanet</t>
  </si>
  <si>
    <t>Enríquez</t>
  </si>
  <si>
    <t xml:space="preserve">sonnya030178@gmail.com </t>
  </si>
  <si>
    <t>Pacuasa</t>
  </si>
  <si>
    <t>Gelpud</t>
  </si>
  <si>
    <t>Brayan</t>
  </si>
  <si>
    <t>Stewen</t>
  </si>
  <si>
    <t>Segura</t>
  </si>
  <si>
    <t>Iris</t>
  </si>
  <si>
    <t>MEDICO ESPECIALISTA</t>
  </si>
  <si>
    <t>AUXILIAR DE ENFERMER</t>
  </si>
  <si>
    <t>RICARDO</t>
  </si>
  <si>
    <t>ALBERTO</t>
  </si>
  <si>
    <t>ZARAMA</t>
  </si>
  <si>
    <t>MARQUEZ</t>
  </si>
  <si>
    <t>ANA</t>
  </si>
  <si>
    <t>MARTIZA</t>
  </si>
  <si>
    <t>ARCINIEGAS</t>
  </si>
  <si>
    <t>HERNANDEZ</t>
  </si>
  <si>
    <t>JOSE</t>
  </si>
  <si>
    <t>LUIS</t>
  </si>
  <si>
    <t>TIMANA</t>
  </si>
  <si>
    <t>MIGUEL</t>
  </si>
  <si>
    <t>ANGEL</t>
  </si>
  <si>
    <t>VARGAS</t>
  </si>
  <si>
    <t>RIOS</t>
  </si>
  <si>
    <t>GIOVANNY</t>
  </si>
  <si>
    <t>MAURICIO</t>
  </si>
  <si>
    <t>CAICEDO</t>
  </si>
  <si>
    <t>RAMOS</t>
  </si>
  <si>
    <t>SEBASTIAN</t>
  </si>
  <si>
    <t>RAMIRO</t>
  </si>
  <si>
    <t>TORO</t>
  </si>
  <si>
    <t>MARTINEZ</t>
  </si>
  <si>
    <t>PROINSALUD</t>
  </si>
  <si>
    <t>ATENCION PRE HOSPITALARIA</t>
  </si>
  <si>
    <t>Ruano</t>
  </si>
  <si>
    <t>Gladys</t>
  </si>
  <si>
    <t>Aleyda</t>
  </si>
  <si>
    <t>REGENTE DE FARMACIA</t>
  </si>
  <si>
    <t>AUXILIAR EN SERVICIOS FARMACEUTICOS</t>
  </si>
  <si>
    <t xml:space="preserve">diana.ruano5@gmail.com </t>
  </si>
  <si>
    <t xml:space="preserve">gladyssalazar2331995@gmail.com </t>
  </si>
  <si>
    <t>Andrade</t>
  </si>
  <si>
    <t>Elisa</t>
  </si>
  <si>
    <t>jimenaandrade31@gmail.com</t>
  </si>
  <si>
    <t>Yina</t>
  </si>
  <si>
    <t>Yinistimana1@gmail.com</t>
  </si>
  <si>
    <t>Mueses</t>
  </si>
  <si>
    <t>Dharly</t>
  </si>
  <si>
    <t>Dadiana</t>
  </si>
  <si>
    <t>NeQUI</t>
  </si>
  <si>
    <t>OPTOMETRA</t>
  </si>
  <si>
    <t>dhbenavides31@gmail.com</t>
  </si>
  <si>
    <t>Miller</t>
  </si>
  <si>
    <t>Danilo</t>
  </si>
  <si>
    <t>ADMINISTRADOR DE EMPRESAS</t>
  </si>
  <si>
    <t xml:space="preserve">danilocad.11@gmail.com </t>
  </si>
  <si>
    <t>Espinosa</t>
  </si>
  <si>
    <t>Floribet</t>
  </si>
  <si>
    <t>Nastacuaz</t>
  </si>
  <si>
    <t>jackeliinenastacuas21@gmail.com</t>
  </si>
  <si>
    <t>Caez</t>
  </si>
  <si>
    <t>Juli</t>
  </si>
  <si>
    <t>Juliandrea131@gmail.com</t>
  </si>
  <si>
    <t>Betty</t>
  </si>
  <si>
    <t>Amanda</t>
  </si>
  <si>
    <t>Miriam</t>
  </si>
  <si>
    <t>Yolanda</t>
  </si>
  <si>
    <t>jairo_amr@hotmail.com</t>
  </si>
  <si>
    <t>Banguera</t>
  </si>
  <si>
    <t>Peña</t>
  </si>
  <si>
    <t>Yadira</t>
  </si>
  <si>
    <t>yadybellabanguera@gmail.com</t>
  </si>
  <si>
    <t>VERIFICAR</t>
  </si>
  <si>
    <t>24/424</t>
  </si>
  <si>
    <t>neQUI</t>
  </si>
  <si>
    <t>verificar</t>
  </si>
  <si>
    <t>Etiquetas de fila</t>
  </si>
  <si>
    <t>Total general</t>
  </si>
  <si>
    <t>(Varios elementos)</t>
  </si>
  <si>
    <t>Suma de VALOR UNITARIO</t>
  </si>
  <si>
    <t>ktsalcedo27@hotmail.com</t>
  </si>
  <si>
    <t>Micanquer</t>
  </si>
  <si>
    <t>Mileidy</t>
  </si>
  <si>
    <t>Bravo</t>
  </si>
  <si>
    <t>Herrera</t>
  </si>
  <si>
    <t>Amparo</t>
  </si>
  <si>
    <t>Lbravo17@unisalle.edu.co</t>
  </si>
  <si>
    <t xml:space="preserve">Johamile28@hotmail.com </t>
  </si>
  <si>
    <t>Ferney</t>
  </si>
  <si>
    <t>GERONTOLOGO</t>
  </si>
  <si>
    <t>marioroserocruz@gmail.com</t>
  </si>
  <si>
    <t>Gabriela</t>
  </si>
  <si>
    <t>Rocio</t>
  </si>
  <si>
    <t>Gabyss03@hotmail.com</t>
  </si>
  <si>
    <t>Lizbeth</t>
  </si>
  <si>
    <t>liz18042020@gmail.com</t>
  </si>
  <si>
    <t>Mario</t>
  </si>
  <si>
    <t>Salcedo</t>
  </si>
  <si>
    <t>Katherine</t>
  </si>
  <si>
    <t>https://centrodecapacitaciondelsur.com/igualdad-de-genero-</t>
  </si>
  <si>
    <t>https://centrodecapacitaciondelsur.com/violencia-de-genero-</t>
  </si>
  <si>
    <t>covid</t>
  </si>
  <si>
    <t>Dulce</t>
  </si>
  <si>
    <t>Carreño</t>
  </si>
  <si>
    <t>Mideros</t>
  </si>
  <si>
    <t>Adriana</t>
  </si>
  <si>
    <t>Esperanza</t>
  </si>
  <si>
    <t>Ordoñez</t>
  </si>
  <si>
    <t>Efrain</t>
  </si>
  <si>
    <t>Burbano</t>
  </si>
  <si>
    <t>Jeison</t>
  </si>
  <si>
    <t>Alveiro</t>
  </si>
  <si>
    <t>Goyes</t>
  </si>
  <si>
    <t>Del rosario</t>
  </si>
  <si>
    <t>MANIPULACION DE ALIMENTOS</t>
  </si>
  <si>
    <t>Yascual</t>
  </si>
  <si>
    <t>Johanna</t>
  </si>
  <si>
    <t>VALOR</t>
  </si>
  <si>
    <t>(en blanco)</t>
  </si>
  <si>
    <t>Suma de VALOR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</si>
</sst>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43" formatCode="_-* #,##0.00_-;\-* #,##0.00_-;_-* &quot;-&quot;??_-;_-@_-"/>
    <numFmt numFmtId="164" formatCode="_-* #,##0_-;\-* #,##0_-;_-* &quot;-&quot;??_-;_-@_-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Arial"/>
      <family val="2"/>
    </font>
    <font>
      <u/>
      <sz val="12"/>
      <color theme="10"/>
      <name val="Arial"/>
      <family val="2"/>
    </font>
    <font>
      <b/>
      <sz val="11"/>
      <color rgb="FF000000"/>
      <name val="Segoe UI"/>
      <family val="2"/>
    </font>
    <font>
      <u/>
      <sz val="12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148">
    <xf numFmtId="0" fontId="0" fillId="0" borderId="0" xfId="0"/>
    <xf numFmtId="0" fontId="6" fillId="0" borderId="0" xfId="0" applyFont="1" applyAlignment="1">
      <alignment vertical="center"/>
    </xf>
    <xf numFmtId="0" fontId="0" fillId="0" borderId="0" xfId="0" applyAlignment="1">
      <alignment horizontal="center"/>
    </xf>
    <xf numFmtId="0" fontId="2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5" xfId="0" applyFont="1" applyBorder="1"/>
    <xf numFmtId="0" fontId="8" fillId="0" borderId="6" xfId="0" applyFont="1" applyBorder="1" applyAlignment="1">
      <alignment horizontal="center"/>
    </xf>
    <xf numFmtId="0" fontId="8" fillId="0" borderId="1" xfId="0" applyFont="1" applyBorder="1" applyAlignment="1">
      <alignment horizontal="left"/>
    </xf>
    <xf numFmtId="0" fontId="7" fillId="0" borderId="7" xfId="0" applyFont="1" applyBorder="1"/>
    <xf numFmtId="0" fontId="7" fillId="0" borderId="6" xfId="0" applyFont="1" applyBorder="1" applyAlignment="1">
      <alignment horizontal="center" vertical="center"/>
    </xf>
    <xf numFmtId="0" fontId="7" fillId="0" borderId="1" xfId="0" applyFont="1" applyBorder="1" applyAlignment="1">
      <alignment horizontal="left"/>
    </xf>
    <xf numFmtId="0" fontId="7" fillId="0" borderId="1" xfId="0" applyFont="1" applyBorder="1"/>
    <xf numFmtId="0" fontId="8" fillId="0" borderId="7" xfId="0" applyFont="1" applyBorder="1" applyAlignment="1">
      <alignment horizontal="left"/>
    </xf>
    <xf numFmtId="0" fontId="7" fillId="0" borderId="7" xfId="0" applyFont="1" applyBorder="1" applyAlignment="1">
      <alignment horizontal="left"/>
    </xf>
    <xf numFmtId="0" fontId="0" fillId="0" borderId="6" xfId="0" applyBorder="1" applyAlignment="1">
      <alignment horizontal="center"/>
    </xf>
    <xf numFmtId="0" fontId="0" fillId="0" borderId="7" xfId="0" applyBorder="1"/>
    <xf numFmtId="0" fontId="0" fillId="0" borderId="1" xfId="0" applyBorder="1" applyAlignment="1">
      <alignment horizontal="center"/>
    </xf>
    <xf numFmtId="0" fontId="0" fillId="0" borderId="1" xfId="0" applyBorder="1"/>
    <xf numFmtId="0" fontId="6" fillId="2" borderId="1" xfId="0" applyFont="1" applyFill="1" applyBorder="1" applyAlignment="1">
      <alignment horizontal="center"/>
    </xf>
    <xf numFmtId="0" fontId="6" fillId="2" borderId="1" xfId="0" applyFont="1" applyFill="1" applyBorder="1"/>
    <xf numFmtId="0" fontId="6" fillId="2" borderId="1" xfId="0" applyFont="1" applyFill="1" applyBorder="1" applyAlignment="1">
      <alignment horizontal="left"/>
    </xf>
    <xf numFmtId="0" fontId="6" fillId="2" borderId="0" xfId="0" applyFont="1" applyFill="1"/>
    <xf numFmtId="0" fontId="6" fillId="2" borderId="0" xfId="0" applyFont="1" applyFill="1" applyAlignment="1">
      <alignment horizontal="center"/>
    </xf>
    <xf numFmtId="0" fontId="6" fillId="2" borderId="0" xfId="0" applyFont="1" applyFill="1" applyAlignment="1">
      <alignment horizontal="left"/>
    </xf>
    <xf numFmtId="14" fontId="6" fillId="2" borderId="1" xfId="0" applyNumberFormat="1" applyFont="1" applyFill="1" applyBorder="1" applyAlignment="1">
      <alignment horizontal="center"/>
    </xf>
    <xf numFmtId="14" fontId="6" fillId="2" borderId="0" xfId="0" applyNumberFormat="1" applyFont="1" applyFill="1" applyAlignment="1">
      <alignment horizontal="center"/>
    </xf>
    <xf numFmtId="0" fontId="6" fillId="2" borderId="8" xfId="0" applyFont="1" applyFill="1" applyBorder="1"/>
    <xf numFmtId="0" fontId="10" fillId="0" borderId="0" xfId="3"/>
    <xf numFmtId="0" fontId="6" fillId="2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left" vertical="center" wrapText="1"/>
    </xf>
    <xf numFmtId="0" fontId="6" fillId="2" borderId="1" xfId="0" applyFont="1" applyFill="1" applyBorder="1" applyAlignment="1">
      <alignment vertical="center" wrapText="1"/>
    </xf>
    <xf numFmtId="0" fontId="6" fillId="2" borderId="1" xfId="0" applyFont="1" applyFill="1" applyBorder="1" applyAlignment="1">
      <alignment wrapText="1"/>
    </xf>
    <xf numFmtId="14" fontId="6" fillId="2" borderId="1" xfId="0" applyNumberFormat="1" applyFont="1" applyFill="1" applyBorder="1" applyAlignment="1">
      <alignment wrapText="1"/>
    </xf>
    <xf numFmtId="0" fontId="6" fillId="0" borderId="1" xfId="0" applyFont="1" applyBorder="1" applyAlignment="1">
      <alignment wrapText="1"/>
    </xf>
    <xf numFmtId="0" fontId="13" fillId="0" borderId="0" xfId="0" applyFont="1"/>
    <xf numFmtId="0" fontId="7" fillId="0" borderId="5" xfId="0" applyFont="1" applyBorder="1" applyAlignment="1">
      <alignment horizontal="left" vertical="center"/>
    </xf>
    <xf numFmtId="0" fontId="0" fillId="0" borderId="10" xfId="0" applyBorder="1" applyAlignment="1">
      <alignment horizontal="center"/>
    </xf>
    <xf numFmtId="0" fontId="7" fillId="0" borderId="11" xfId="0" applyFont="1" applyBorder="1"/>
    <xf numFmtId="0" fontId="0" fillId="0" borderId="12" xfId="0" applyBorder="1"/>
    <xf numFmtId="0" fontId="0" fillId="0" borderId="13" xfId="0" applyBorder="1"/>
    <xf numFmtId="0" fontId="11" fillId="2" borderId="0" xfId="0" applyFont="1" applyFill="1"/>
    <xf numFmtId="0" fontId="11" fillId="2" borderId="1" xfId="0" applyFont="1" applyFill="1" applyBorder="1" applyAlignment="1">
      <alignment horizontal="center"/>
    </xf>
    <xf numFmtId="0" fontId="11" fillId="2" borderId="1" xfId="0" applyFont="1" applyFill="1" applyBorder="1" applyAlignment="1">
      <alignment horizontal="left"/>
    </xf>
    <xf numFmtId="14" fontId="11" fillId="2" borderId="1" xfId="0" applyNumberFormat="1" applyFont="1" applyFill="1" applyBorder="1" applyAlignment="1">
      <alignment horizontal="center"/>
    </xf>
    <xf numFmtId="0" fontId="6" fillId="2" borderId="8" xfId="0" applyFont="1" applyFill="1" applyBorder="1" applyAlignment="1">
      <alignment vertical="center"/>
    </xf>
    <xf numFmtId="0" fontId="7" fillId="0" borderId="0" xfId="0" applyFont="1"/>
    <xf numFmtId="0" fontId="0" fillId="0" borderId="0" xfId="0" applyAlignment="1">
      <alignment vertical="center"/>
    </xf>
    <xf numFmtId="0" fontId="0" fillId="0" borderId="8" xfId="0" applyBorder="1"/>
    <xf numFmtId="0" fontId="6" fillId="2" borderId="0" xfId="0" applyFont="1" applyFill="1" applyAlignment="1">
      <alignment vertical="center"/>
    </xf>
    <xf numFmtId="0" fontId="6" fillId="3" borderId="1" xfId="0" applyFont="1" applyFill="1" applyBorder="1"/>
    <xf numFmtId="0" fontId="6" fillId="3" borderId="1" xfId="0" applyFont="1" applyFill="1" applyBorder="1" applyAlignment="1">
      <alignment wrapText="1"/>
    </xf>
    <xf numFmtId="0" fontId="11" fillId="3" borderId="1" xfId="0" applyFont="1" applyFill="1" applyBorder="1" applyAlignment="1">
      <alignment wrapText="1"/>
    </xf>
    <xf numFmtId="0" fontId="6" fillId="3" borderId="0" xfId="0" applyFont="1" applyFill="1"/>
    <xf numFmtId="0" fontId="6" fillId="2" borderId="1" xfId="0" applyFont="1" applyFill="1" applyBorder="1" applyAlignment="1">
      <alignment horizontal="center" wrapText="1"/>
    </xf>
    <xf numFmtId="0" fontId="6" fillId="4" borderId="0" xfId="0" applyFont="1" applyFill="1"/>
    <xf numFmtId="0" fontId="6" fillId="2" borderId="14" xfId="0" applyFont="1" applyFill="1" applyBorder="1"/>
    <xf numFmtId="0" fontId="6" fillId="4" borderId="1" xfId="0" applyFont="1" applyFill="1" applyBorder="1" applyAlignment="1">
      <alignment wrapText="1"/>
    </xf>
    <xf numFmtId="0" fontId="4" fillId="2" borderId="8" xfId="0" applyFont="1" applyFill="1" applyBorder="1" applyAlignment="1" applyProtection="1">
      <alignment vertical="center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0" fontId="5" fillId="2" borderId="8" xfId="0" applyFont="1" applyFill="1" applyBorder="1" applyAlignment="1" applyProtection="1">
      <alignment horizontal="center" vertical="center"/>
      <protection locked="0"/>
    </xf>
    <xf numFmtId="0" fontId="5" fillId="2" borderId="8" xfId="0" applyFont="1" applyFill="1" applyBorder="1" applyAlignment="1" applyProtection="1">
      <alignment horizontal="left" vertical="center"/>
      <protection locked="0"/>
    </xf>
    <xf numFmtId="0" fontId="5" fillId="3" borderId="8" xfId="0" applyFont="1" applyFill="1" applyBorder="1" applyAlignment="1">
      <alignment vertical="center"/>
    </xf>
    <xf numFmtId="0" fontId="6" fillId="4" borderId="1" xfId="0" applyFont="1" applyFill="1" applyBorder="1" applyAlignment="1">
      <alignment horizontal="left"/>
    </xf>
    <xf numFmtId="0" fontId="6" fillId="4" borderId="1" xfId="0" applyFont="1" applyFill="1" applyBorder="1" applyAlignment="1">
      <alignment horizontal="center"/>
    </xf>
    <xf numFmtId="14" fontId="6" fillId="4" borderId="1" xfId="0" applyNumberFormat="1" applyFont="1" applyFill="1" applyBorder="1" applyAlignment="1">
      <alignment horizontal="center"/>
    </xf>
    <xf numFmtId="0" fontId="6" fillId="4" borderId="1" xfId="0" applyFont="1" applyFill="1" applyBorder="1"/>
    <xf numFmtId="0" fontId="3" fillId="2" borderId="1" xfId="0" applyFont="1" applyFill="1" applyBorder="1" applyAlignment="1" applyProtection="1">
      <alignment vertical="center" wrapText="1"/>
      <protection locked="0"/>
    </xf>
    <xf numFmtId="1" fontId="3" fillId="2" borderId="8" xfId="2" applyNumberFormat="1" applyFont="1" applyFill="1" applyBorder="1" applyAlignment="1" applyProtection="1">
      <alignment vertical="center"/>
      <protection locked="0"/>
    </xf>
    <xf numFmtId="0" fontId="5" fillId="2" borderId="8" xfId="0" applyFont="1" applyFill="1" applyBorder="1" applyAlignment="1" applyProtection="1">
      <alignment vertical="center"/>
      <protection locked="0"/>
    </xf>
    <xf numFmtId="14" fontId="5" fillId="2" borderId="8" xfId="0" applyNumberFormat="1" applyFont="1" applyFill="1" applyBorder="1" applyAlignment="1" applyProtection="1">
      <alignment vertical="center"/>
      <protection locked="0"/>
    </xf>
    <xf numFmtId="0" fontId="4" fillId="3" borderId="8" xfId="0" applyFont="1" applyFill="1" applyBorder="1" applyAlignment="1">
      <alignment vertical="center"/>
    </xf>
    <xf numFmtId="14" fontId="6" fillId="2" borderId="1" xfId="0" applyNumberFormat="1" applyFont="1" applyFill="1" applyBorder="1"/>
    <xf numFmtId="0" fontId="6" fillId="0" borderId="1" xfId="0" applyFont="1" applyBorder="1"/>
    <xf numFmtId="0" fontId="10" fillId="2" borderId="1" xfId="3" applyFill="1" applyBorder="1" applyAlignment="1"/>
    <xf numFmtId="3" fontId="6" fillId="2" borderId="1" xfId="0" applyNumberFormat="1" applyFont="1" applyFill="1" applyBorder="1"/>
    <xf numFmtId="0" fontId="11" fillId="2" borderId="1" xfId="3" applyFont="1" applyFill="1" applyBorder="1" applyAlignment="1"/>
    <xf numFmtId="14" fontId="6" fillId="2" borderId="1" xfId="0" applyNumberFormat="1" applyFont="1" applyFill="1" applyBorder="1" applyAlignment="1">
      <alignment vertical="center"/>
    </xf>
    <xf numFmtId="0" fontId="11" fillId="2" borderId="1" xfId="0" applyFont="1" applyFill="1" applyBorder="1"/>
    <xf numFmtId="14" fontId="11" fillId="2" borderId="1" xfId="0" applyNumberFormat="1" applyFont="1" applyFill="1" applyBorder="1"/>
    <xf numFmtId="0" fontId="11" fillId="0" borderId="1" xfId="0" applyFont="1" applyBorder="1"/>
    <xf numFmtId="14" fontId="10" fillId="2" borderId="1" xfId="3" applyNumberFormat="1" applyFill="1" applyBorder="1" applyAlignment="1"/>
    <xf numFmtId="0" fontId="6" fillId="2" borderId="9" xfId="0" applyFont="1" applyFill="1" applyBorder="1"/>
    <xf numFmtId="14" fontId="6" fillId="4" borderId="1" xfId="0" applyNumberFormat="1" applyFont="1" applyFill="1" applyBorder="1"/>
    <xf numFmtId="14" fontId="6" fillId="2" borderId="0" xfId="0" applyNumberFormat="1" applyFont="1" applyFill="1"/>
    <xf numFmtId="0" fontId="6" fillId="0" borderId="0" xfId="0" applyFont="1"/>
    <xf numFmtId="14" fontId="4" fillId="2" borderId="8" xfId="2" applyNumberFormat="1" applyFont="1" applyFill="1" applyBorder="1" applyAlignment="1" applyProtection="1">
      <alignment horizontal="center" vertical="center"/>
      <protection locked="0"/>
    </xf>
    <xf numFmtId="14" fontId="6" fillId="2" borderId="1" xfId="0" applyNumberFormat="1" applyFont="1" applyFill="1" applyBorder="1" applyAlignment="1">
      <alignment horizontal="center" wrapText="1"/>
    </xf>
    <xf numFmtId="164" fontId="6" fillId="2" borderId="1" xfId="1" applyNumberFormat="1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164" fontId="6" fillId="4" borderId="1" xfId="1" applyNumberFormat="1" applyFont="1" applyFill="1" applyBorder="1" applyAlignment="1">
      <alignment horizontal="center"/>
    </xf>
    <xf numFmtId="164" fontId="6" fillId="2" borderId="0" xfId="1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left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5" borderId="0" xfId="0" applyFill="1" applyAlignment="1">
      <alignment horizontal="left"/>
    </xf>
    <xf numFmtId="0" fontId="6" fillId="4" borderId="9" xfId="0" applyFont="1" applyFill="1" applyBorder="1" applyAlignment="1">
      <alignment wrapText="1"/>
    </xf>
    <xf numFmtId="0" fontId="6" fillId="2" borderId="15" xfId="0" applyFont="1" applyFill="1" applyBorder="1"/>
    <xf numFmtId="164" fontId="6" fillId="6" borderId="1" xfId="1" applyNumberFormat="1" applyFont="1" applyFill="1" applyBorder="1" applyAlignment="1">
      <alignment horizontal="center"/>
    </xf>
    <xf numFmtId="164" fontId="6" fillId="6" borderId="1" xfId="1" applyNumberFormat="1" applyFont="1" applyFill="1" applyBorder="1" applyAlignment="1">
      <alignment horizontal="center" wrapText="1"/>
    </xf>
    <xf numFmtId="164" fontId="4" fillId="6" borderId="8" xfId="1" applyNumberFormat="1" applyFont="1" applyFill="1" applyBorder="1" applyAlignment="1" applyProtection="1">
      <alignment horizontal="center" vertical="center"/>
      <protection locked="0"/>
    </xf>
    <xf numFmtId="164" fontId="6" fillId="6" borderId="0" xfId="1" applyNumberFormat="1" applyFont="1" applyFill="1" applyBorder="1" applyAlignment="1">
      <alignment horizontal="center"/>
    </xf>
    <xf numFmtId="0" fontId="6" fillId="7" borderId="1" xfId="0" applyFont="1" applyFill="1" applyBorder="1"/>
    <xf numFmtId="0" fontId="6" fillId="7" borderId="1" xfId="0" applyFont="1" applyFill="1" applyBorder="1" applyAlignment="1">
      <alignment horizontal="center"/>
    </xf>
    <xf numFmtId="14" fontId="6" fillId="7" borderId="1" xfId="0" applyNumberFormat="1" applyFont="1" applyFill="1" applyBorder="1" applyAlignment="1">
      <alignment horizontal="center"/>
    </xf>
    <xf numFmtId="0" fontId="6" fillId="7" borderId="1" xfId="0" applyFont="1" applyFill="1" applyBorder="1" applyAlignment="1">
      <alignment horizontal="left"/>
    </xf>
    <xf numFmtId="14" fontId="6" fillId="7" borderId="1" xfId="0" applyNumberFormat="1" applyFont="1" applyFill="1" applyBorder="1"/>
    <xf numFmtId="0" fontId="6" fillId="7" borderId="1" xfId="0" applyFont="1" applyFill="1" applyBorder="1" applyAlignment="1">
      <alignment wrapText="1"/>
    </xf>
    <xf numFmtId="0" fontId="6" fillId="6" borderId="1" xfId="0" applyFont="1" applyFill="1" applyBorder="1"/>
    <xf numFmtId="0" fontId="6" fillId="6" borderId="1" xfId="0" applyFont="1" applyFill="1" applyBorder="1" applyAlignment="1">
      <alignment vertical="center" wrapText="1"/>
    </xf>
    <xf numFmtId="0" fontId="6" fillId="6" borderId="1" xfId="0" applyFont="1" applyFill="1" applyBorder="1" applyAlignment="1">
      <alignment horizontal="center" wrapText="1"/>
    </xf>
    <xf numFmtId="14" fontId="6" fillId="6" borderId="1" xfId="0" applyNumberFormat="1" applyFont="1" applyFill="1" applyBorder="1" applyAlignment="1">
      <alignment horizontal="center" wrapText="1"/>
    </xf>
    <xf numFmtId="0" fontId="14" fillId="6" borderId="1" xfId="0" applyFont="1" applyFill="1" applyBorder="1" applyAlignment="1">
      <alignment horizontal="center"/>
    </xf>
    <xf numFmtId="0" fontId="6" fillId="6" borderId="1" xfId="0" applyFont="1" applyFill="1" applyBorder="1" applyAlignment="1">
      <alignment horizontal="left" vertical="center" wrapText="1"/>
    </xf>
    <xf numFmtId="0" fontId="6" fillId="6" borderId="1" xfId="0" applyFont="1" applyFill="1" applyBorder="1" applyAlignment="1">
      <alignment wrapText="1"/>
    </xf>
    <xf numFmtId="0" fontId="6" fillId="6" borderId="1" xfId="0" applyFont="1" applyFill="1" applyBorder="1" applyAlignment="1">
      <alignment vertical="center"/>
    </xf>
    <xf numFmtId="0" fontId="6" fillId="6" borderId="1" xfId="0" applyFont="1" applyFill="1" applyBorder="1" applyAlignment="1">
      <alignment horizontal="center"/>
    </xf>
    <xf numFmtId="14" fontId="6" fillId="6" borderId="1" xfId="0" applyNumberFormat="1" applyFont="1" applyFill="1" applyBorder="1" applyAlignment="1">
      <alignment horizontal="center"/>
    </xf>
    <xf numFmtId="164" fontId="11" fillId="6" borderId="1" xfId="1" applyNumberFormat="1" applyFont="1" applyFill="1" applyBorder="1" applyAlignment="1">
      <alignment horizontal="center"/>
    </xf>
    <xf numFmtId="0" fontId="5" fillId="6" borderId="8" xfId="0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/>
    </xf>
    <xf numFmtId="0" fontId="6" fillId="6" borderId="0" xfId="0" applyFont="1" applyFill="1" applyAlignment="1">
      <alignment horizontal="center"/>
    </xf>
    <xf numFmtId="164" fontId="4" fillId="2" borderId="1" xfId="1" applyNumberFormat="1" applyFont="1" applyFill="1" applyBorder="1" applyAlignment="1">
      <alignment horizontal="center"/>
    </xf>
    <xf numFmtId="164" fontId="4" fillId="2" borderId="1" xfId="1" applyNumberFormat="1" applyFont="1" applyFill="1" applyBorder="1" applyAlignment="1">
      <alignment horizontal="center" wrapText="1"/>
    </xf>
    <xf numFmtId="0" fontId="4" fillId="2" borderId="1" xfId="0" applyFont="1" applyFill="1" applyBorder="1" applyAlignment="1">
      <alignment vertical="center" wrapText="1"/>
    </xf>
    <xf numFmtId="0" fontId="4" fillId="2" borderId="1" xfId="0" applyFont="1" applyFill="1" applyBorder="1" applyAlignment="1">
      <alignment horizontal="center" wrapText="1"/>
    </xf>
    <xf numFmtId="14" fontId="4" fillId="2" borderId="1" xfId="0" applyNumberFormat="1" applyFont="1" applyFill="1" applyBorder="1" applyAlignment="1">
      <alignment horizontal="center" wrapText="1"/>
    </xf>
    <xf numFmtId="0" fontId="4" fillId="2" borderId="1" xfId="0" applyFont="1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/>
    </xf>
    <xf numFmtId="164" fontId="0" fillId="0" borderId="0" xfId="0" applyNumberFormat="1"/>
    <xf numFmtId="164" fontId="0" fillId="0" borderId="0" xfId="1" applyNumberFormat="1" applyFont="1"/>
    <xf numFmtId="164" fontId="0" fillId="0" borderId="0" xfId="1" pivotButton="1" applyNumberFormat="1" applyFont="1"/>
    <xf numFmtId="164" fontId="0" fillId="0" borderId="0" xfId="1" applyNumberFormat="1" applyFont="1" applyAlignment="1">
      <alignment horizontal="left"/>
    </xf>
    <xf numFmtId="0" fontId="6" fillId="2" borderId="1" xfId="0" applyFont="1" applyFill="1" applyBorder="1" applyAlignment="1">
      <alignment vertical="center"/>
    </xf>
    <xf numFmtId="14" fontId="0" fillId="2" borderId="1" xfId="0" applyNumberFormat="1" applyFill="1" applyBorder="1" applyAlignment="1">
      <alignment vertical="center"/>
    </xf>
    <xf numFmtId="0" fontId="0" fillId="2" borderId="1" xfId="0" applyFill="1" applyBorder="1" applyAlignment="1">
      <alignment vertical="center"/>
    </xf>
    <xf numFmtId="0" fontId="10" fillId="2" borderId="1" xfId="3" applyFill="1" applyBorder="1" applyAlignment="1">
      <alignment vertical="center"/>
    </xf>
    <xf numFmtId="0" fontId="12" fillId="2" borderId="1" xfId="3" applyFont="1" applyFill="1" applyBorder="1" applyAlignment="1">
      <alignment vertical="center" wrapText="1"/>
    </xf>
    <xf numFmtId="0" fontId="6" fillId="2" borderId="1" xfId="0" applyFont="1" applyFill="1" applyBorder="1" applyAlignment="1">
      <alignment vertical="center" wrapText="1"/>
    </xf>
    <xf numFmtId="14" fontId="6" fillId="2" borderId="1" xfId="0" applyNumberFormat="1" applyFont="1" applyFill="1" applyBorder="1" applyAlignment="1">
      <alignment vertical="center" wrapText="1"/>
    </xf>
    <xf numFmtId="0" fontId="12" fillId="2" borderId="1" xfId="3" applyFont="1" applyFill="1" applyBorder="1" applyAlignment="1">
      <alignment vertical="center"/>
    </xf>
    <xf numFmtId="14" fontId="6" fillId="6" borderId="1" xfId="0" applyNumberFormat="1" applyFont="1" applyFill="1" applyBorder="1" applyAlignment="1">
      <alignment vertical="center" wrapText="1"/>
    </xf>
    <xf numFmtId="0" fontId="6" fillId="6" borderId="1" xfId="0" applyFont="1" applyFill="1" applyBorder="1" applyAlignment="1">
      <alignment vertical="center" wrapText="1"/>
    </xf>
    <xf numFmtId="0" fontId="6" fillId="6" borderId="1" xfId="0" applyFont="1" applyFill="1" applyBorder="1" applyAlignment="1">
      <alignment vertical="center"/>
    </xf>
    <xf numFmtId="0" fontId="12" fillId="6" borderId="1" xfId="3" applyFont="1" applyFill="1" applyBorder="1" applyAlignment="1">
      <alignment vertical="center"/>
    </xf>
    <xf numFmtId="0" fontId="12" fillId="6" borderId="1" xfId="3" applyFont="1" applyFill="1" applyBorder="1" applyAlignment="1">
      <alignment vertical="center" wrapText="1"/>
    </xf>
    <xf numFmtId="14" fontId="6" fillId="6" borderId="1" xfId="0" applyNumberFormat="1" applyFont="1" applyFill="1" applyBorder="1" applyAlignment="1">
      <alignment vertical="center"/>
    </xf>
    <xf numFmtId="14" fontId="6" fillId="2" borderId="1" xfId="0" applyNumberFormat="1" applyFont="1" applyFill="1" applyBorder="1" applyAlignment="1">
      <alignment vertical="center"/>
    </xf>
  </cellXfs>
  <cellStyles count="4">
    <cellStyle name="Hipervínculo" xfId="3" builtinId="8"/>
    <cellStyle name="Millares" xfId="1" builtinId="3"/>
    <cellStyle name="Millares [0]" xfId="2" builtinId="6"/>
    <cellStyle name="Normal" xfId="0" builtinId="0"/>
  </cellStyles>
  <dxfs count="8"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BASTIAN-CCS\compartida%20ccs\CCS\2.Certificado\2023\JULIO\CERTIFICADOS%20JULI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1"/>
      <sheetName val="CURSOS"/>
    </sheetNames>
    <sheetDataSet>
      <sheetData sheetId="0" refreshError="1"/>
      <sheetData sheetId="1" refreshError="1">
        <row r="3">
          <cell r="D3" t="str">
            <v>ATENCION PRE-HOSPITALARIA</v>
          </cell>
          <cell r="E3" t="str">
            <v>DIPLOMADO EN ATENCION PRE-HOSPITALARIA</v>
          </cell>
        </row>
        <row r="4">
          <cell r="D4" t="str">
            <v>DUELO</v>
          </cell>
          <cell r="E4" t="str">
            <v>ACOMPAÑAMIENTO Y MANEJO DEL DUELO</v>
          </cell>
        </row>
        <row r="5">
          <cell r="D5" t="str">
            <v>QUIMICOS</v>
          </cell>
          <cell r="E5" t="str">
            <v xml:space="preserve">ATENCION A VICTIMAS DE ATAQUE CON AGENTES QUIMICOS </v>
          </cell>
        </row>
        <row r="6">
          <cell r="D6" t="str">
            <v>PRIMEROS AUXILIOS</v>
          </cell>
          <cell r="E6" t="str">
            <v xml:space="preserve">PRIMEROS AUXILIOS </v>
          </cell>
        </row>
        <row r="7">
          <cell r="D7" t="str">
            <v>UCI</v>
          </cell>
          <cell r="E7" t="str">
            <v>DIPLOMADO DE UNIDAD DE CUIDADOS INTENSIVOS (UCI)</v>
          </cell>
        </row>
        <row r="8">
          <cell r="D8" t="str">
            <v>CODIGO VERDE</v>
          </cell>
          <cell r="E8" t="str">
            <v>MODELO DE ATENCION PARA EVENTOS EMERGENTES EN SALUD MENTAL (CODIGO VERDE)</v>
          </cell>
        </row>
        <row r="9">
          <cell r="D9" t="str">
            <v>HUMANIZACION</v>
          </cell>
          <cell r="E9" t="str">
            <v xml:space="preserve">HUMANIZACION EN SALUD, BUENAS PRACTICAS EN PACIENTE </v>
          </cell>
        </row>
        <row r="10">
          <cell r="D10" t="str">
            <v>CLINICA DE HERIDAS</v>
          </cell>
          <cell r="E10" t="str">
            <v xml:space="preserve">CLINICA DE HERIDAS </v>
          </cell>
        </row>
        <row r="11">
          <cell r="D11" t="str">
            <v>CITOLOGIA</v>
          </cell>
          <cell r="E11" t="str">
            <v xml:space="preserve">TOMA DE CITOLOGIA A CERVICO VAGINAL </v>
          </cell>
        </row>
        <row r="12">
          <cell r="D12" t="str">
            <v>ACLS</v>
          </cell>
          <cell r="E12" t="str">
            <v xml:space="preserve">SOPORTE CARDIOVASCULAR AVANZADO </v>
          </cell>
        </row>
        <row r="13">
          <cell r="D13" t="str">
            <v>CAMILLERO</v>
          </cell>
          <cell r="E13" t="str">
            <v>CAMILLERO HOSPITALARIO</v>
          </cell>
        </row>
        <row r="14">
          <cell r="D14" t="str">
            <v>TOMA DE MUESTRAS</v>
          </cell>
          <cell r="E14" t="str">
            <v>TOMA MUESTRAS Y LABORATORIO CLINICO</v>
          </cell>
        </row>
        <row r="15">
          <cell r="D15" t="str">
            <v>BLS</v>
          </cell>
          <cell r="E15" t="str">
            <v>SOPORTE VITAL BASICO (BLS)</v>
          </cell>
        </row>
        <row r="16">
          <cell r="D16" t="str">
            <v>VIOLENCIA SEXUAL</v>
          </cell>
          <cell r="E16" t="str">
            <v xml:space="preserve">ATENCION A VICTIMAS DE VIOLENCIA SEXUAL </v>
          </cell>
        </row>
        <row r="17">
          <cell r="D17" t="str">
            <v>COVID</v>
          </cell>
          <cell r="E17" t="str">
            <v>PROGRAMADO AMPLIADO DE INMUNIZACION (PAI - COVID 19)</v>
          </cell>
        </row>
        <row r="18">
          <cell r="D18" t="str">
            <v>AIEPI</v>
          </cell>
          <cell r="E18" t="str">
            <v>ATENCION INTEGRAL EN ENFERMEDADES PREVALENTES EN PRIMERA INFANCIA (AIEPI)</v>
          </cell>
        </row>
        <row r="19">
          <cell r="D19" t="str">
            <v>ADMON DE MEDICAMENTOS</v>
          </cell>
          <cell r="E19" t="str">
            <v xml:space="preserve">ADMINISTRACION DE MEDICAMENTOS, INYECTOLOGIA  Y CANALIZACION </v>
          </cell>
        </row>
        <row r="20">
          <cell r="D20" t="str">
            <v>OVE</v>
          </cell>
          <cell r="E20" t="str">
            <v>OPERADOR DE VEHICULOS DE EMERGENCIA (OVE)</v>
          </cell>
        </row>
        <row r="21">
          <cell r="D21" t="str">
            <v>IAMI</v>
          </cell>
          <cell r="E21" t="str">
            <v>INSTITUCIONES AMIGAS DE LA MUJER Y LA INFANCIA (IAMI)</v>
          </cell>
        </row>
        <row r="22">
          <cell r="D22" t="str">
            <v>DONANTE</v>
          </cell>
          <cell r="E22" t="str">
            <v>CUIDADO DEL DONANTE DE ORGANOS</v>
          </cell>
        </row>
        <row r="23">
          <cell r="D23" t="str">
            <v>VIOLENCIA DE GENERO</v>
          </cell>
          <cell r="E23" t="str">
            <v>ATENCION A VICTIMAS POR VIOLENCIA DE GENERO</v>
          </cell>
        </row>
        <row r="24">
          <cell r="D24" t="str">
            <v>IGUALDAD DE GENERO</v>
          </cell>
          <cell r="E24" t="str">
            <v>IGUALDAD DE GENERO EN LA SALUD</v>
          </cell>
        </row>
        <row r="25">
          <cell r="D25" t="str">
            <v>BRIGADA</v>
          </cell>
          <cell r="E25" t="str">
            <v>BRIGADA DE EMERGENCIA</v>
          </cell>
        </row>
        <row r="26">
          <cell r="D26" t="str">
            <v>PALIATIVOS</v>
          </cell>
          <cell r="E26" t="str">
            <v>MANEJO DEL DOLOR Y CUIDADOS PALIATIVOS</v>
          </cell>
        </row>
        <row r="27">
          <cell r="D27" t="str">
            <v>POCT</v>
          </cell>
          <cell r="E27" t="str">
            <v>TOMA MUESTRAS Y LABORATORIO POCT</v>
          </cell>
        </row>
        <row r="28">
          <cell r="D28" t="str">
            <v>IMPLANTE</v>
          </cell>
          <cell r="E28" t="str">
            <v>IMPLANTE SUBDERMICO Y DISPOSITIVO INTRAUTERINO</v>
          </cell>
        </row>
        <row r="29">
          <cell r="D29" t="str">
            <v>SALUD MENTAL</v>
          </cell>
          <cell r="E29" t="str">
            <v>SALUD MENTAL (CODIGO VERDE)</v>
          </cell>
        </row>
        <row r="30">
          <cell r="D30" t="str">
            <v>PRIMEROS AUXILIOS P</v>
          </cell>
          <cell r="E30" t="str">
            <v>PRIMEROS AUXILIOS PSICOLOGICOS</v>
          </cell>
        </row>
        <row r="31">
          <cell r="D31" t="str">
            <v>CONFLICTO ARMADO</v>
          </cell>
          <cell r="E31" t="str">
            <v>ATENCION A VICTIMAS POR CONFLICTO ARMADO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ORK" refreshedDate="45412.495683449073" createdVersion="7" refreshedVersion="7" minRefreshableVersion="3" recordCount="48" xr:uid="{00000000-000A-0000-FFFF-FFFF00000000}">
  <cacheSource type="worksheet">
    <worksheetSource ref="B2:N50" sheet="Hoja2"/>
  </cacheSource>
  <cacheFields count="13">
    <cacheField name="NUMERO DE IDENTIFICACION " numFmtId="0">
      <sharedItems containsSemiMixedTypes="0" containsString="0" containsNumber="1" containsInteger="1" minValue="27082792" maxValue="1233192014" count="16">
        <n v="1004233109"/>
        <n v="1085263638"/>
        <n v="27082792"/>
        <n v="1085262213"/>
        <n v="59310859"/>
        <n v="1010019346"/>
        <n v="1085294747"/>
        <n v="1085314820"/>
        <n v="36952461"/>
        <n v="1233192014"/>
        <n v="1085263555"/>
        <n v="38644168"/>
        <n v="1085311598"/>
        <n v="1010084437"/>
        <n v="1131085776"/>
        <n v="1006849055"/>
      </sharedItems>
    </cacheField>
    <cacheField name="PRIMER APELLIDO" numFmtId="0">
      <sharedItems/>
    </cacheField>
    <cacheField name="SEGUNDO APELLIDO" numFmtId="0">
      <sharedItems/>
    </cacheField>
    <cacheField name="PRIMER NOMBRE" numFmtId="0">
      <sharedItems/>
    </cacheField>
    <cacheField name="SEGUNDO NOMBRE" numFmtId="0">
      <sharedItems containsBlank="1"/>
    </cacheField>
    <cacheField name="DIA" numFmtId="0">
      <sharedItems containsSemiMixedTypes="0" containsString="0" containsNumber="1" containsInteger="1" minValue="10" maxValue="27"/>
    </cacheField>
    <cacheField name="MES" numFmtId="0">
      <sharedItems/>
    </cacheField>
    <cacheField name="FECHA DE PAGO" numFmtId="0">
      <sharedItems containsBlank="1" containsMixedTypes="1" containsNumber="1" containsInteger="1" minValue="45384" maxValue="45401"/>
    </cacheField>
    <cacheField name="VALOR UNITARIO" numFmtId="0">
      <sharedItems containsMixedTypes="1" containsNumber="1" containsInteger="1" minValue="20000" maxValue="180000"/>
    </cacheField>
    <cacheField name="MEDIO DE PAGO" numFmtId="0">
      <sharedItems containsBlank="1" count="5">
        <m/>
        <s v="DAVIPLATA"/>
        <s v="NEQUI"/>
        <s v="VERIFICAR"/>
        <s v="Caja"/>
      </sharedItems>
    </cacheField>
    <cacheField name="ELABORO" numFmtId="0">
      <sharedItems/>
    </cacheField>
    <cacheField name="RESPONSABLE" numFmtId="0">
      <sharedItems/>
    </cacheField>
    <cacheField name="CURSO" numFmtId="0">
      <sharedItems count="7">
        <s v="BLS"/>
        <s v="Duelo"/>
        <s v="HUMANIZACION"/>
        <s v="ACLS"/>
        <s v="Quimicos"/>
        <s v="Paliativos"/>
        <s v="VIOLENCIA SEXU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" refreshedDate="45504.775101388892" createdVersion="7" refreshedVersion="7" minRefreshableVersion="3" recordCount="28" xr:uid="{00000000-000A-0000-FFFF-FFFF01000000}">
  <cacheSource type="worksheet">
    <worksheetSource ref="B1:C29" sheet="Hoja1"/>
  </cacheSource>
  <cacheFields count="2">
    <cacheField name="VALOR" numFmtId="164">
      <sharedItems containsSemiMixedTypes="0" containsString="0" containsNumber="1" containsInteger="1" minValue="25000" maxValue="1410000"/>
    </cacheField>
    <cacheField name="CURSO" numFmtId="0">
      <sharedItems containsBlank="1" count="7">
        <s v="BLS"/>
        <s v="Duelo"/>
        <s v="HUMANIZACION"/>
        <s v="ACLS"/>
        <s v="Quimicos"/>
        <s v="Paliativos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x v="0"/>
    <s v="Barrera"/>
    <s v="De la cruz"/>
    <s v="Damaris"/>
    <s v="Nathalia"/>
    <n v="10"/>
    <s v="ABRIL"/>
    <s v="SAN PEDRO "/>
    <n v="40000"/>
    <x v="0"/>
    <s v="Camilo"/>
    <s v="SAN PEDRO"/>
    <x v="0"/>
  </r>
  <r>
    <x v="0"/>
    <s v="Barrera"/>
    <s v="De la cruz"/>
    <s v="Damaris"/>
    <s v="Nathalia"/>
    <n v="16"/>
    <s v="ABRIL"/>
    <m/>
    <n v="20000"/>
    <x v="0"/>
    <s v="Camilo"/>
    <s v="SAN PEDRO"/>
    <x v="1"/>
  </r>
  <r>
    <x v="0"/>
    <s v="Barrera"/>
    <s v="De la cruz"/>
    <s v="Damaris"/>
    <s v="Nathalia"/>
    <n v="15"/>
    <s v="ABRIL"/>
    <m/>
    <n v="20000"/>
    <x v="0"/>
    <s v="Camilo"/>
    <s v="SAN PEDRO"/>
    <x v="2"/>
  </r>
  <r>
    <x v="1"/>
    <s v="Cuaspa"/>
    <s v="Chaucanes"/>
    <s v="Anny"/>
    <s v="Lisseth"/>
    <n v="10"/>
    <s v="ABRIL"/>
    <m/>
    <n v="40000"/>
    <x v="0"/>
    <s v="Camilo"/>
    <s v="SAN PEDRO"/>
    <x v="0"/>
  </r>
  <r>
    <x v="1"/>
    <s v="Cuaspa"/>
    <s v="Chaucanes"/>
    <s v="Anny"/>
    <s v="Lisseth"/>
    <n v="16"/>
    <s v="ABRIL"/>
    <m/>
    <n v="20000"/>
    <x v="0"/>
    <s v="Camilo"/>
    <s v="SAN PEDRO"/>
    <x v="1"/>
  </r>
  <r>
    <x v="1"/>
    <s v="Cuaspa"/>
    <s v="Chaucanes"/>
    <s v="Anny"/>
    <s v="Lisseth"/>
    <n v="15"/>
    <s v="ABRIL"/>
    <m/>
    <n v="20000"/>
    <x v="0"/>
    <s v="Camilo"/>
    <s v="SAN PEDRO"/>
    <x v="2"/>
  </r>
  <r>
    <x v="2"/>
    <s v="Chaves"/>
    <s v="Erazo"/>
    <s v="Maria"/>
    <s v="Mercedes"/>
    <n v="10"/>
    <s v="ABRIL"/>
    <m/>
    <n v="40000"/>
    <x v="0"/>
    <s v="Camilo"/>
    <s v="SAN PEDRO"/>
    <x v="0"/>
  </r>
  <r>
    <x v="2"/>
    <s v="Chaves"/>
    <s v="Erazo"/>
    <s v="Maria"/>
    <s v="Mercedes"/>
    <n v="16"/>
    <s v="ABRIL"/>
    <m/>
    <n v="20000"/>
    <x v="0"/>
    <s v="Camilo"/>
    <s v="SAN PEDRO"/>
    <x v="1"/>
  </r>
  <r>
    <x v="2"/>
    <s v="Chaves"/>
    <s v="Erazo"/>
    <s v="Maria"/>
    <s v="Mercedes"/>
    <n v="15"/>
    <s v="ABRIL"/>
    <m/>
    <n v="20000"/>
    <x v="0"/>
    <s v="Camilo"/>
    <s v="SAN PEDRO"/>
    <x v="2"/>
  </r>
  <r>
    <x v="3"/>
    <s v="Bolaños"/>
    <s v="Jojoa"/>
    <s v="Lady"/>
    <s v="Alexandra"/>
    <n v="10"/>
    <s v="ABRIL"/>
    <m/>
    <n v="40000"/>
    <x v="0"/>
    <s v="Camilo"/>
    <s v="SAN PEDRO"/>
    <x v="0"/>
  </r>
  <r>
    <x v="3"/>
    <s v="Bolaños"/>
    <s v="Jojoa"/>
    <s v="Lady"/>
    <s v="Alexandra"/>
    <n v="16"/>
    <s v="ABRIL"/>
    <m/>
    <n v="20000"/>
    <x v="0"/>
    <s v="Camilo"/>
    <s v="SAN PEDRO"/>
    <x v="1"/>
  </r>
  <r>
    <x v="3"/>
    <s v="Bolaños"/>
    <s v="Jojoa"/>
    <s v="Lady"/>
    <s v="Alexandra"/>
    <n v="15"/>
    <s v="ABRIL"/>
    <m/>
    <n v="20000"/>
    <x v="0"/>
    <s v="Camilo"/>
    <s v="SAN PEDRO"/>
    <x v="2"/>
  </r>
  <r>
    <x v="4"/>
    <s v="Mora"/>
    <s v="Guerrero"/>
    <s v="Carmen"/>
    <s v="Elena"/>
    <n v="10"/>
    <s v="ABRIL"/>
    <m/>
    <n v="40000"/>
    <x v="0"/>
    <s v="Camilo"/>
    <s v="SAN PEDRO"/>
    <x v="0"/>
  </r>
  <r>
    <x v="4"/>
    <s v="Mora"/>
    <s v="Guerrero"/>
    <s v="Carmen"/>
    <s v="Elena"/>
    <n v="16"/>
    <s v="ABRIL"/>
    <m/>
    <n v="20000"/>
    <x v="0"/>
    <s v="Camilo"/>
    <s v="SAN PEDRO"/>
    <x v="1"/>
  </r>
  <r>
    <x v="4"/>
    <s v="Mora"/>
    <s v="Guerrero"/>
    <s v="Carmen"/>
    <s v="Elena"/>
    <n v="15"/>
    <s v="ABRIL"/>
    <m/>
    <n v="20000"/>
    <x v="0"/>
    <s v="Camilo"/>
    <s v="SAN PEDRO"/>
    <x v="2"/>
  </r>
  <r>
    <x v="5"/>
    <s v="Santacruz"/>
    <s v="Montaño"/>
    <s v="Jesus"/>
    <s v="Armando"/>
    <n v="10"/>
    <s v="ABRIL"/>
    <m/>
    <n v="40000"/>
    <x v="0"/>
    <s v="Camilo"/>
    <s v="SAN PEDRO"/>
    <x v="0"/>
  </r>
  <r>
    <x v="5"/>
    <s v="Santacruz"/>
    <s v="Montaño"/>
    <s v="Jesus"/>
    <s v="Armando"/>
    <n v="16"/>
    <s v="ABRIL"/>
    <m/>
    <n v="20000"/>
    <x v="0"/>
    <s v="Camilo"/>
    <s v="SAN PEDRO"/>
    <x v="1"/>
  </r>
  <r>
    <x v="5"/>
    <s v="Santacruz"/>
    <s v="Montaño"/>
    <s v="Jesus"/>
    <s v="Armando"/>
    <n v="15"/>
    <s v="ABRIL"/>
    <m/>
    <n v="20000"/>
    <x v="0"/>
    <s v="Camilo"/>
    <s v="SAN PEDRO"/>
    <x v="2"/>
  </r>
  <r>
    <x v="6"/>
    <s v="velasques"/>
    <s v="Mesias"/>
    <s v="Grace"/>
    <s v="Erika"/>
    <n v="10"/>
    <s v="ABRIL"/>
    <m/>
    <n v="40000"/>
    <x v="0"/>
    <s v="Camilo"/>
    <s v="SAN PEDRO"/>
    <x v="0"/>
  </r>
  <r>
    <x v="6"/>
    <s v="velasques"/>
    <s v="Mesias"/>
    <s v="Grace"/>
    <s v="Erika"/>
    <n v="16"/>
    <s v="ABRIL"/>
    <m/>
    <n v="20000"/>
    <x v="0"/>
    <s v="Camilo"/>
    <s v="SAN PEDRO"/>
    <x v="1"/>
  </r>
  <r>
    <x v="6"/>
    <s v="velasques"/>
    <s v="Mesias"/>
    <s v="Grace"/>
    <s v="Erika"/>
    <n v="15"/>
    <s v="ABRIL"/>
    <m/>
    <n v="20000"/>
    <x v="0"/>
    <s v="Camilo"/>
    <s v="SAN PEDRO"/>
    <x v="2"/>
  </r>
  <r>
    <x v="7"/>
    <s v="Torres"/>
    <s v="Paladines"/>
    <s v="Maria"/>
    <s v="Fernanda"/>
    <n v="11"/>
    <s v="ABRIL"/>
    <m/>
    <n v="180000"/>
    <x v="0"/>
    <s v="Camilo"/>
    <s v="SAN PEDRO"/>
    <x v="3"/>
  </r>
  <r>
    <x v="7"/>
    <s v="Torres"/>
    <s v="Paladines"/>
    <s v="Maria"/>
    <s v="Fernanda"/>
    <n v="17"/>
    <s v="ABRIL"/>
    <m/>
    <n v="40000"/>
    <x v="0"/>
    <s v="Camilo"/>
    <s v="SAN PEDRO"/>
    <x v="4"/>
  </r>
  <r>
    <x v="7"/>
    <s v="Torres"/>
    <s v="Paladines"/>
    <s v="Maria"/>
    <s v="Fernanda"/>
    <n v="15"/>
    <s v="ABRIL"/>
    <m/>
    <n v="40000"/>
    <x v="0"/>
    <s v="Camilo"/>
    <s v="SAN PEDRO"/>
    <x v="2"/>
  </r>
  <r>
    <x v="7"/>
    <s v="Torres"/>
    <s v="Paladines"/>
    <s v="Maria"/>
    <s v="Fernanda"/>
    <n v="11"/>
    <s v="ABRIL"/>
    <m/>
    <n v="60000"/>
    <x v="0"/>
    <s v="Camilo"/>
    <s v="SAN PEDRO"/>
    <x v="5"/>
  </r>
  <r>
    <x v="8"/>
    <s v="Arturo"/>
    <s v="Toro"/>
    <s v="Paola"/>
    <s v="Andrea"/>
    <n v="11"/>
    <s v="ABRIL"/>
    <m/>
    <n v="180000"/>
    <x v="0"/>
    <s v="Camilo"/>
    <s v="SAN PEDRO"/>
    <x v="3"/>
  </r>
  <r>
    <x v="8"/>
    <s v="Arturo"/>
    <s v="Toro"/>
    <s v="Paola"/>
    <s v="Andrea"/>
    <n v="17"/>
    <s v="ABRIL"/>
    <m/>
    <n v="40000"/>
    <x v="0"/>
    <s v="Camilo"/>
    <s v="SAN PEDRO"/>
    <x v="4"/>
  </r>
  <r>
    <x v="8"/>
    <s v="Arturo"/>
    <s v="Toro"/>
    <s v="Paola"/>
    <s v="Andrea"/>
    <n v="15"/>
    <s v="ABRIL"/>
    <m/>
    <n v="40000"/>
    <x v="0"/>
    <s v="Camilo"/>
    <s v="SAN PEDRO"/>
    <x v="2"/>
  </r>
  <r>
    <x v="8"/>
    <s v="Arturo"/>
    <s v="Toro"/>
    <s v="Paola"/>
    <s v="Andrea"/>
    <n v="11"/>
    <s v="ABRIL"/>
    <m/>
    <n v="60000"/>
    <x v="0"/>
    <s v="Camilo"/>
    <s v="SAN PEDRO"/>
    <x v="5"/>
  </r>
  <r>
    <x v="9"/>
    <s v="Burgos"/>
    <s v="Rosero"/>
    <s v="Nicolas"/>
    <s v="Mateo"/>
    <n v="11"/>
    <s v="ABRIL"/>
    <m/>
    <n v="180000"/>
    <x v="0"/>
    <s v="Camilo"/>
    <s v="SAN PEDRO"/>
    <x v="3"/>
  </r>
  <r>
    <x v="9"/>
    <s v="Burgos"/>
    <s v="Rosero"/>
    <s v="Nicolas"/>
    <s v="Mateo"/>
    <n v="11"/>
    <s v="ABRIL"/>
    <m/>
    <n v="40000"/>
    <x v="0"/>
    <s v="Camilo"/>
    <s v="SAN PEDRO"/>
    <x v="5"/>
  </r>
  <r>
    <x v="10"/>
    <s v="Delgado"/>
    <s v="Perez"/>
    <s v="Jhon"/>
    <s v="Jairo"/>
    <n v="10"/>
    <s v="ABRIL"/>
    <n v="45384"/>
    <n v="40000"/>
    <x v="1"/>
    <s v="Camilo"/>
    <s v="SAN PEDRO"/>
    <x v="0"/>
  </r>
  <r>
    <x v="10"/>
    <s v="Delgado"/>
    <s v="Perez"/>
    <s v="Jhon"/>
    <s v="Jairo"/>
    <n v="16"/>
    <s v="ABRIL"/>
    <n v="45384"/>
    <n v="20000"/>
    <x v="1"/>
    <s v="Camilo"/>
    <s v="SAN PEDRO"/>
    <x v="1"/>
  </r>
  <r>
    <x v="10"/>
    <s v="Delgado"/>
    <s v="Perez"/>
    <s v="Jhon"/>
    <s v="Jairo"/>
    <n v="15"/>
    <s v="ABRIL"/>
    <n v="45384"/>
    <n v="20000"/>
    <x v="1"/>
    <s v="Camilo"/>
    <s v="SAN PEDRO"/>
    <x v="2"/>
  </r>
  <r>
    <x v="9"/>
    <s v="Burgos"/>
    <s v="Rosero"/>
    <s v="Nicolas"/>
    <s v="Mateo"/>
    <n v="16"/>
    <s v="ABRIL"/>
    <s v="-"/>
    <n v="40000"/>
    <x v="0"/>
    <s v="Camilo"/>
    <s v="SAN PEDRO"/>
    <x v="4"/>
  </r>
  <r>
    <x v="9"/>
    <s v="Burgos"/>
    <s v="Rosero"/>
    <s v="Nicolas"/>
    <s v="Mateo"/>
    <n v="18"/>
    <s v="ABRIL"/>
    <s v="-"/>
    <n v="40000"/>
    <x v="0"/>
    <s v="Camilo"/>
    <s v="SAN PEDRO"/>
    <x v="1"/>
  </r>
  <r>
    <x v="11"/>
    <s v="Almanza"/>
    <s v="Molina"/>
    <s v="Veronica"/>
    <m/>
    <n v="27"/>
    <s v="ABRIL"/>
    <n v="45401"/>
    <n v="40000"/>
    <x v="2"/>
    <s v="Camilo"/>
    <s v="SAN PEDRO"/>
    <x v="0"/>
  </r>
  <r>
    <x v="11"/>
    <s v="Almanza"/>
    <s v="Molina"/>
    <s v="Veronica"/>
    <m/>
    <n v="22"/>
    <s v="ABRIL"/>
    <n v="45401"/>
    <n v="20000"/>
    <x v="2"/>
    <s v="Camilo"/>
    <s v="SAN PEDRO"/>
    <x v="4"/>
  </r>
  <r>
    <x v="11"/>
    <s v="Almanza"/>
    <s v="Molina"/>
    <s v="Veronica"/>
    <m/>
    <n v="25"/>
    <s v="ABRIL"/>
    <n v="45401"/>
    <n v="20000"/>
    <x v="2"/>
    <s v="Camilo"/>
    <s v="SAN PEDRO"/>
    <x v="2"/>
  </r>
  <r>
    <x v="12"/>
    <s v="Araujo"/>
    <s v="Prado"/>
    <s v="Laura"/>
    <s v="Maria"/>
    <n v="22"/>
    <s v="ABRIL"/>
    <n v="45386"/>
    <n v="150000"/>
    <x v="1"/>
    <s v="Camilo"/>
    <s v="SAN PEDRO"/>
    <x v="3"/>
  </r>
  <r>
    <x v="12"/>
    <s v="Araujo"/>
    <s v="Prado"/>
    <s v="Laura"/>
    <s v="Maria"/>
    <n v="11"/>
    <s v="ABRIL"/>
    <n v="45386"/>
    <n v="50000"/>
    <x v="1"/>
    <s v="Camilo"/>
    <s v="SAN PEDRO"/>
    <x v="5"/>
  </r>
  <r>
    <x v="12"/>
    <s v="Araujo"/>
    <s v="Prado"/>
    <s v="Laura"/>
    <s v="Maria"/>
    <n v="16"/>
    <s v="ABRIL"/>
    <n v="45386"/>
    <n v="50000"/>
    <x v="1"/>
    <s v="Camilo"/>
    <s v="SAN PEDRO"/>
    <x v="1"/>
  </r>
  <r>
    <x v="12"/>
    <s v="Araujo"/>
    <s v="Prado"/>
    <s v="Laura"/>
    <s v="Maria"/>
    <n v="16"/>
    <s v="ABRIL"/>
    <n v="45386"/>
    <n v="50000"/>
    <x v="1"/>
    <s v="Camilo"/>
    <s v="SAN PEDRO"/>
    <x v="4"/>
  </r>
  <r>
    <x v="13"/>
    <s v="Solarte "/>
    <s v="Montenegro"/>
    <s v="Geraldine"/>
    <m/>
    <n v="25"/>
    <s v="ABRIL"/>
    <s v="verificar"/>
    <s v="VERIFICAR"/>
    <x v="3"/>
    <s v="Camilo"/>
    <s v="SAN PEDRO"/>
    <x v="0"/>
  </r>
  <r>
    <x v="13"/>
    <s v="Solarte "/>
    <s v="Montenegro"/>
    <s v="Geraldine"/>
    <m/>
    <n v="25"/>
    <s v="ABRIL"/>
    <s v="verificar"/>
    <s v="VERIFICAR"/>
    <x v="3"/>
    <s v="Camilo"/>
    <s v="SAN PEDRO"/>
    <x v="1"/>
  </r>
  <r>
    <x v="13"/>
    <s v="Solarte "/>
    <s v="Montenegro"/>
    <s v="Geraldine"/>
    <m/>
    <n v="25"/>
    <s v="ABRIL"/>
    <s v="verificar"/>
    <s v="VERIFICAR"/>
    <x v="3"/>
    <s v="Camilo"/>
    <s v="SAN PEDRO"/>
    <x v="6"/>
  </r>
  <r>
    <x v="14"/>
    <s v="Mejía"/>
    <s v="Córdoba"/>
    <s v="Thania"/>
    <s v="Jharledy"/>
    <n v="10"/>
    <s v="ABRIL"/>
    <n v="45392"/>
    <n v="50000"/>
    <x v="4"/>
    <s v="Camilo"/>
    <s v="SAN PEDRO"/>
    <x v="0"/>
  </r>
  <r>
    <x v="15"/>
    <s v="Rojas"/>
    <s v="Cruz"/>
    <s v="Nilsa"/>
    <s v="Albany"/>
    <n v="10"/>
    <s v="ABRIL"/>
    <n v="45392"/>
    <n v="50000"/>
    <x v="4"/>
    <s v="Camilo"/>
    <s v="SAN PEDRO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">
  <r>
    <n v="40000"/>
    <x v="0"/>
  </r>
  <r>
    <n v="25000"/>
    <x v="1"/>
  </r>
  <r>
    <n v="25000"/>
    <x v="2"/>
  </r>
  <r>
    <n v="40000"/>
    <x v="0"/>
  </r>
  <r>
    <n v="25000"/>
    <x v="1"/>
  </r>
  <r>
    <n v="25000"/>
    <x v="2"/>
  </r>
  <r>
    <n v="40000"/>
    <x v="0"/>
  </r>
  <r>
    <n v="25000"/>
    <x v="1"/>
  </r>
  <r>
    <n v="25000"/>
    <x v="2"/>
  </r>
  <r>
    <n v="40000"/>
    <x v="0"/>
  </r>
  <r>
    <n v="25000"/>
    <x v="1"/>
  </r>
  <r>
    <n v="25000"/>
    <x v="2"/>
  </r>
  <r>
    <n v="40000"/>
    <x v="0"/>
  </r>
  <r>
    <n v="25000"/>
    <x v="1"/>
  </r>
  <r>
    <n v="25000"/>
    <x v="2"/>
  </r>
  <r>
    <n v="180000"/>
    <x v="3"/>
  </r>
  <r>
    <n v="40000"/>
    <x v="4"/>
  </r>
  <r>
    <n v="40000"/>
    <x v="2"/>
  </r>
  <r>
    <n v="60000"/>
    <x v="5"/>
  </r>
  <r>
    <n v="180000"/>
    <x v="3"/>
  </r>
  <r>
    <n v="40000"/>
    <x v="4"/>
  </r>
  <r>
    <n v="40000"/>
    <x v="2"/>
  </r>
  <r>
    <n v="60000"/>
    <x v="5"/>
  </r>
  <r>
    <n v="180000"/>
    <x v="3"/>
  </r>
  <r>
    <n v="60000"/>
    <x v="5"/>
  </r>
  <r>
    <n v="40000"/>
    <x v="4"/>
  </r>
  <r>
    <n v="40000"/>
    <x v="1"/>
  </r>
  <r>
    <n v="1410000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Dinámica2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C3:D20" firstHeaderRow="1" firstDataRow="1" firstDataCol="1" rowPageCount="1" colPageCount="1"/>
  <pivotFields count="13">
    <pivotField axis="axisRow" showAll="0">
      <items count="17">
        <item x="2"/>
        <item x="8"/>
        <item x="11"/>
        <item x="4"/>
        <item x="0"/>
        <item x="15"/>
        <item x="5"/>
        <item x="13"/>
        <item x="3"/>
        <item x="10"/>
        <item x="1"/>
        <item x="6"/>
        <item x="12"/>
        <item x="7"/>
        <item x="14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6">
        <item x="4"/>
        <item x="1"/>
        <item x="2"/>
        <item x="3"/>
        <item x="0"/>
        <item t="default"/>
      </items>
    </pivotField>
    <pivotField showAll="0"/>
    <pivotField showAll="0"/>
    <pivotField axis="axisPage" multipleItemSelectionAllowed="1" showAll="0">
      <items count="8">
        <item x="3"/>
        <item x="0"/>
        <item h="1" x="1"/>
        <item h="1" x="2"/>
        <item h="1" x="5"/>
        <item h="1" x="4"/>
        <item h="1" x="6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pageFields count="1">
    <pageField fld="12" hier="-1"/>
  </pageFields>
  <dataFields count="1">
    <dataField name="Suma de VALOR UNITARIO" fld="8" baseField="9" baseItem="4"/>
  </dataFields>
  <formats count="2">
    <format dxfId="7">
      <pivotArea dataOnly="0" labelOnly="1" fieldPosition="0">
        <references count="1">
          <reference field="0" count="1">
            <x v="2"/>
          </reference>
        </references>
      </pivotArea>
    </format>
    <format dxfId="6">
      <pivotArea dataOnly="0" labelOnly="1" fieldPosition="0">
        <references count="1">
          <reference field="0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6" cacheId="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E2:F10" firstHeaderRow="1" firstDataRow="1" firstDataCol="1"/>
  <pivotFields count="2">
    <pivotField dataField="1" numFmtId="164" showAll="0"/>
    <pivotField axis="axisRow" showAll="0">
      <items count="8">
        <item x="3"/>
        <item x="0"/>
        <item x="1"/>
        <item x="2"/>
        <item x="5"/>
        <item x="4"/>
        <item x="6"/>
        <item t="default"/>
      </items>
    </pivotField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a de VALOR" fld="0" baseField="0" baseItem="0" numFmtId="164"/>
  </dataFields>
  <formats count="6">
    <format dxfId="5">
      <pivotArea type="all" dataOnly="0" outline="0" fieldPosition="0"/>
    </format>
    <format dxfId="4">
      <pivotArea outline="0" collapsedLevelsAreSubtotals="1" fieldPosition="0"/>
    </format>
    <format dxfId="3">
      <pivotArea field="1" type="button" dataOnly="0" labelOnly="1" outline="0" axis="axisRow" fieldPosition="0"/>
    </format>
    <format dxfId="2">
      <pivotArea dataOnly="0" labelOnly="1" fieldPosition="0">
        <references count="1">
          <reference field="1" count="0"/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46B886E-5378-4525-9F18-895B0B50D33F}">
  <we:reference id="wa104051163" version="1.2.0.3" store="es-E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deissycarolina2010@gmail.com" TargetMode="External"/><Relationship Id="rId18" Type="http://schemas.openxmlformats.org/officeDocument/2006/relationships/hyperlink" Target="mailto:doris55207@gmail.com" TargetMode="External"/><Relationship Id="rId26" Type="http://schemas.openxmlformats.org/officeDocument/2006/relationships/hyperlink" Target="mailto:jesussantacruz12345@gmail.com" TargetMode="External"/><Relationship Id="rId39" Type="http://schemas.openxmlformats.org/officeDocument/2006/relationships/hyperlink" Target="mailto:ktsalcedo27@hotmail.com" TargetMode="External"/><Relationship Id="rId21" Type="http://schemas.openxmlformats.org/officeDocument/2006/relationships/hyperlink" Target="mailto:doris55207@gmail.com" TargetMode="External"/><Relationship Id="rId34" Type="http://schemas.openxmlformats.org/officeDocument/2006/relationships/hyperlink" Target="mailto:frankgetial@gmail.com" TargetMode="External"/><Relationship Id="rId7" Type="http://schemas.openxmlformats.org/officeDocument/2006/relationships/hyperlink" Target="mailto:carojurado21@gmail.com" TargetMode="External"/><Relationship Id="rId12" Type="http://schemas.openxmlformats.org/officeDocument/2006/relationships/hyperlink" Target="mailto:lilimainguez@gmail.com" TargetMode="External"/><Relationship Id="rId17" Type="http://schemas.openxmlformats.org/officeDocument/2006/relationships/hyperlink" Target="mailto:edissonmorarosero@gmail.com" TargetMode="External"/><Relationship Id="rId25" Type="http://schemas.openxmlformats.org/officeDocument/2006/relationships/hyperlink" Target="mailto:helengeral.cem@gmail.com" TargetMode="External"/><Relationship Id="rId33" Type="http://schemas.openxmlformats.org/officeDocument/2006/relationships/hyperlink" Target="mailto:luisitha_0798@gmail.com" TargetMode="External"/><Relationship Id="rId38" Type="http://schemas.openxmlformats.org/officeDocument/2006/relationships/hyperlink" Target="mailto:Juliandrea131@gmail.com" TargetMode="External"/><Relationship Id="rId2" Type="http://schemas.openxmlformats.org/officeDocument/2006/relationships/hyperlink" Target="mailto:fabianceronsanchez@gmail.com" TargetMode="External"/><Relationship Id="rId16" Type="http://schemas.openxmlformats.org/officeDocument/2006/relationships/hyperlink" Target="mailto:henrypa21@hotmail.com" TargetMode="External"/><Relationship Id="rId20" Type="http://schemas.openxmlformats.org/officeDocument/2006/relationships/hyperlink" Target="mailto:henrypa21@hotmail.com" TargetMode="External"/><Relationship Id="rId29" Type="http://schemas.openxmlformats.org/officeDocument/2006/relationships/hyperlink" Target="mailto:mafesita0825@hotmail.com" TargetMode="External"/><Relationship Id="rId1" Type="http://schemas.openxmlformats.org/officeDocument/2006/relationships/hyperlink" Target="mailto:marthaisabelmarinez1970@gmail.com" TargetMode="External"/><Relationship Id="rId6" Type="http://schemas.openxmlformats.org/officeDocument/2006/relationships/hyperlink" Target="mailto:jimenezvalentina365@gmail.com" TargetMode="External"/><Relationship Id="rId11" Type="http://schemas.openxmlformats.org/officeDocument/2006/relationships/hyperlink" Target="mailto:stefytello1520@gmail.com" TargetMode="External"/><Relationship Id="rId24" Type="http://schemas.openxmlformats.org/officeDocument/2006/relationships/hyperlink" Target="mailto:alexanico87@gmail.com" TargetMode="External"/><Relationship Id="rId32" Type="http://schemas.openxmlformats.org/officeDocument/2006/relationships/hyperlink" Target="mailto:jhonjairoperez8821@hotmail.com" TargetMode="External"/><Relationship Id="rId37" Type="http://schemas.openxmlformats.org/officeDocument/2006/relationships/hyperlink" Target="mailto:Juliandrea131@gmail.com" TargetMode="External"/><Relationship Id="rId40" Type="http://schemas.openxmlformats.org/officeDocument/2006/relationships/printerSettings" Target="../printerSettings/printerSettings1.bin"/><Relationship Id="rId5" Type="http://schemas.openxmlformats.org/officeDocument/2006/relationships/hyperlink" Target="mailto:dayanajojoa521@gmail.com" TargetMode="External"/><Relationship Id="rId15" Type="http://schemas.openxmlformats.org/officeDocument/2006/relationships/hyperlink" Target="mailto:lucytabastidas@hotmail.com" TargetMode="External"/><Relationship Id="rId23" Type="http://schemas.openxmlformats.org/officeDocument/2006/relationships/hyperlink" Target="mailto:Anyta-7@hotmail.com" TargetMode="External"/><Relationship Id="rId28" Type="http://schemas.openxmlformats.org/officeDocument/2006/relationships/hyperlink" Target="mailto:barreran288@gmail.com" TargetMode="External"/><Relationship Id="rId36" Type="http://schemas.openxmlformats.org/officeDocument/2006/relationships/hyperlink" Target="mailto:rositaarellanoj@hotmail.com" TargetMode="External"/><Relationship Id="rId10" Type="http://schemas.openxmlformats.org/officeDocument/2006/relationships/hyperlink" Target="mailto:jortiz314@gmail.coM" TargetMode="External"/><Relationship Id="rId19" Type="http://schemas.openxmlformats.org/officeDocument/2006/relationships/hyperlink" Target="mailto:floris.chazatar309@gmail.com" TargetMode="External"/><Relationship Id="rId31" Type="http://schemas.openxmlformats.org/officeDocument/2006/relationships/hyperlink" Target="mailto:burgos26nicolas@gmail.com" TargetMode="External"/><Relationship Id="rId4" Type="http://schemas.openxmlformats.org/officeDocument/2006/relationships/hyperlink" Target="mailto:DANIALEJANDRA.04@GMAIL.Com" TargetMode="External"/><Relationship Id="rId9" Type="http://schemas.openxmlformats.org/officeDocument/2006/relationships/hyperlink" Target="mailto:auxiliar9pypmedfam@gmail.com" TargetMode="External"/><Relationship Id="rId14" Type="http://schemas.openxmlformats.org/officeDocument/2006/relationships/hyperlink" Target="mailto:burgosnano092@hotmail.com" TargetMode="External"/><Relationship Id="rId22" Type="http://schemas.openxmlformats.org/officeDocument/2006/relationships/hyperlink" Target="mailto:anittalucia@hotmail.com" TargetMode="External"/><Relationship Id="rId27" Type="http://schemas.openxmlformats.org/officeDocument/2006/relationships/hyperlink" Target="mailto:greismesias@gmail.com" TargetMode="External"/><Relationship Id="rId30" Type="http://schemas.openxmlformats.org/officeDocument/2006/relationships/hyperlink" Target="mailto:paat190215@gmail.com" TargetMode="External"/><Relationship Id="rId35" Type="http://schemas.openxmlformats.org/officeDocument/2006/relationships/hyperlink" Target="mailto:frankgetial@gmail.com" TargetMode="External"/><Relationship Id="rId8" Type="http://schemas.openxmlformats.org/officeDocument/2006/relationships/hyperlink" Target="mailto:joez1182@gmail.com" TargetMode="External"/><Relationship Id="rId3" Type="http://schemas.openxmlformats.org/officeDocument/2006/relationships/hyperlink" Target="mailto:davidruizch89@hot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centrodecapacitaciondelsur.com/violencia-de-genero-" TargetMode="External"/><Relationship Id="rId2" Type="http://schemas.openxmlformats.org/officeDocument/2006/relationships/hyperlink" Target="https://centrodecapacitaciondelsur.com/igualdad-de-genero-" TargetMode="External"/><Relationship Id="rId1" Type="http://schemas.openxmlformats.org/officeDocument/2006/relationships/hyperlink" Target="https://centrodecapacitaciondelsur.com/soporte-basico-de-vida-" TargetMode="External"/><Relationship Id="rId4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W1048563"/>
  <sheetViews>
    <sheetView tabSelected="1" zoomScale="70" zoomScaleNormal="70" workbookViewId="0">
      <pane xSplit="1" ySplit="1" topLeftCell="B2" activePane="bottomRight" state="frozen"/>
      <selection pane="topRight"/>
      <selection pane="bottomLeft"/>
      <selection pane="bottomRight" activeCell="B1" sqref="B1"/>
    </sheetView>
  </sheetViews>
  <sheetFormatPr baseColWidth="10" defaultColWidth="11.42578125" defaultRowHeight="15" x14ac:dyDescent="0.2"/>
  <cols>
    <col min="1" max="1" width="6.42578125" style="22" bestFit="1" customWidth="1"/>
    <col min="2" max="2" width="46.85546875" style="22" bestFit="1" customWidth="1"/>
    <col min="3" max="3" width="29" style="22" bestFit="1" customWidth="1"/>
    <col min="4" max="4" width="31.7109375" style="22" bestFit="1" customWidth="1"/>
    <col min="5" max="5" width="28.140625" style="22" bestFit="1" customWidth="1"/>
    <col min="6" max="6" width="30.85546875" style="22" bestFit="1" customWidth="1"/>
    <col min="7" max="7" width="7.5703125" style="23" customWidth="1"/>
    <col min="8" max="8" width="15.5703125" style="23" bestFit="1" customWidth="1"/>
    <col min="9" max="9" width="26" style="26" bestFit="1" customWidth="1"/>
    <col min="10" max="10" width="33.42578125" style="101" customWidth="1"/>
    <col min="11" max="11" width="26" style="121" bestFit="1" customWidth="1"/>
    <col min="12" max="12" width="20.7109375" style="23" bestFit="1" customWidth="1"/>
    <col min="13" max="13" width="23.7109375" style="23" bestFit="1" customWidth="1"/>
    <col min="14" max="14" width="43" style="24" bestFit="1" customWidth="1"/>
    <col min="15" max="15" width="37" style="84" bestFit="1" customWidth="1"/>
    <col min="16" max="16" width="14.42578125" style="22" bestFit="1" customWidth="1"/>
    <col min="17" max="17" width="54.28515625" style="22" bestFit="1" customWidth="1"/>
    <col min="18" max="18" width="16.85546875" style="22" bestFit="1" customWidth="1"/>
    <col min="19" max="19" width="42.42578125" style="22" bestFit="1" customWidth="1"/>
    <col min="20" max="20" width="110.28515625" style="53" bestFit="1" customWidth="1"/>
    <col min="21" max="21" width="52" style="53" bestFit="1" customWidth="1"/>
    <col min="22" max="22" width="48" style="53" bestFit="1" customWidth="1"/>
    <col min="23" max="23" width="107.5703125" style="53" bestFit="1" customWidth="1"/>
    <col min="24" max="16384" width="11.42578125" style="85"/>
  </cols>
  <sheetData>
    <row r="1" spans="1:23" s="1" customFormat="1" ht="15.75" x14ac:dyDescent="0.25">
      <c r="A1" s="67" t="s">
        <v>83</v>
      </c>
      <c r="B1" s="68" t="s">
        <v>0</v>
      </c>
      <c r="C1" s="58" t="s">
        <v>1</v>
      </c>
      <c r="D1" s="58" t="s">
        <v>2</v>
      </c>
      <c r="E1" s="58" t="s">
        <v>3</v>
      </c>
      <c r="F1" s="58" t="s">
        <v>4</v>
      </c>
      <c r="G1" s="59" t="s">
        <v>5</v>
      </c>
      <c r="H1" s="59" t="s">
        <v>6</v>
      </c>
      <c r="I1" s="86" t="s">
        <v>7</v>
      </c>
      <c r="J1" s="100" t="s">
        <v>8</v>
      </c>
      <c r="K1" s="119" t="s">
        <v>9</v>
      </c>
      <c r="L1" s="60" t="s">
        <v>95</v>
      </c>
      <c r="M1" s="60" t="s">
        <v>10</v>
      </c>
      <c r="N1" s="61" t="s">
        <v>11</v>
      </c>
      <c r="O1" s="70" t="s">
        <v>81</v>
      </c>
      <c r="P1" s="69" t="s">
        <v>12</v>
      </c>
      <c r="Q1" s="58" t="s">
        <v>13</v>
      </c>
      <c r="R1" s="58" t="s">
        <v>14</v>
      </c>
      <c r="S1" s="58" t="s">
        <v>108</v>
      </c>
      <c r="T1" s="62" t="s">
        <v>15</v>
      </c>
      <c r="U1" s="71" t="s">
        <v>16</v>
      </c>
      <c r="V1" s="71" t="s">
        <v>17</v>
      </c>
      <c r="W1" s="71" t="s">
        <v>18</v>
      </c>
    </row>
    <row r="2" spans="1:23" s="73" customFormat="1" x14ac:dyDescent="0.2">
      <c r="A2" s="20">
        <v>1</v>
      </c>
      <c r="B2" s="20">
        <v>98430412</v>
      </c>
      <c r="C2" s="20" t="s">
        <v>96</v>
      </c>
      <c r="D2" s="20" t="s">
        <v>93</v>
      </c>
      <c r="E2" s="20" t="s">
        <v>97</v>
      </c>
      <c r="F2" s="20" t="s">
        <v>98</v>
      </c>
      <c r="G2" s="19">
        <v>1</v>
      </c>
      <c r="H2" s="19" t="s">
        <v>99</v>
      </c>
      <c r="I2" s="25">
        <v>45383</v>
      </c>
      <c r="J2" s="88">
        <v>50000</v>
      </c>
      <c r="K2" s="116" t="s">
        <v>79</v>
      </c>
      <c r="L2" s="19" t="s">
        <v>84</v>
      </c>
      <c r="M2" s="19" t="s">
        <v>100</v>
      </c>
      <c r="N2" s="21" t="s">
        <v>54</v>
      </c>
      <c r="O2" s="72">
        <v>28547</v>
      </c>
      <c r="P2" s="20" t="s">
        <v>88</v>
      </c>
      <c r="Q2" s="20" t="s">
        <v>101</v>
      </c>
      <c r="R2" s="20"/>
      <c r="S2" s="20"/>
      <c r="T2" s="50" t="str">
        <f>+IF($N2=[1]CURSOS!$D$3,[1]CURSOS!$E$3,(+IF($N2=[1]CURSOS!$D$4,[1]CURSOS!$E$4,(+IF($N2=[1]CURSOS!$D$5,[1]CURSOS!$E$5,(+IF($N2=[1]CURSOS!$D$6,[1]CURSOS!$E$6,(+IF($N2=[1]CURSOS!$D$7,[1]CURSOS!$E$7,(+IF($N2=[1]CURSOS!$D$8,[1]CURSOS!$E$8,(+IF($N2=[1]CURSOS!$D$9,[1]CURSOS!$E$9,(+IF($N2=[1]CURSOS!$D$10,[1]CURSOS!$E$10,(+IF($N2=[1]CURSOS!$D$11,[1]CURSOS!$E$11,(+IF($N2=[1]CURSOS!$D$12,[1]CURSOS!$E$12,(+IF($N2=[1]CURSOS!$D$13,[1]CURSOS!$E$13,(+IF($N2=[1]CURSOS!$D$14,[1]CURSOS!$E$14,(+IF($N2=[1]CURSOS!$D$15,[1]CURSOS!$E$15,(+IF($N2=[1]CURSOS!$D$16,[1]CURSOS!$E$16,(+IF($N2=[1]CURSOS!$D$17,[1]CURSOS!$E$17,(+IF($N2=[1]CURSOS!$D$18,[1]CURSOS!$E$18,(+IF($N2=[1]CURSOS!$D$19,[1]CURSOS!$E$19,(+IF($N2=[1]CURSOS!$D$20,[1]CURSOS!$E$20,(+IF($N2=[1]CURSOS!$D$21,[1]CURSOS!$E$21,(+IF($N2=[1]CURSOS!$D$22,[1]CURSOS!$E$22,(+IF($N2=[1]CURSOS!$D$23,[1]CURSOS!$E$23,(+IF($N2=[1]CURSOS!$D$24,[1]CURSOS!$E$24,(+IF($N2=[1]CURSOS!$D$25,[1]CURSOS!$E$25,(+IF($N2=[1]CURSOS!$D$26,[1]CURSOS!$E$26,(+IF($N2=[1]CURSOS!$D$27,[1]CURSOS!$E$27,(+IF($N2=[1]CURSOS!$D$28,[1]CURSOS!$E$28,(+IF($N2=[1]CURSOS!$D$29,[1]CURSOS!$E$29,(+IF($N2=[1]CURSOS!$D$30,[1]CURSOS!$E$30,(+IF($N2=[1]CURSOS!$D$31,[1]CURSOS!$E$31,(+IF($N2=[1]CURSOS!$D$32,[1]CURSOS!$E$32)))))))))))))))))))))))))))))))))))))))))))))))))))))))))))</f>
        <v>OPERADOR DE VEHICULOS DE EMERGENCIA (OVE)</v>
      </c>
      <c r="U2" s="50" t="str">
        <f t="shared" ref="U2" si="0">CONCATENATE(E2," ",F2," ",C2," ",D2)</f>
        <v>Ivan Hernando Correa Cuero</v>
      </c>
      <c r="V2" s="50" t="str">
        <f t="shared" ref="V2" si="1">+PROPER(U2)</f>
        <v>Ivan Hernando Correa Cuero</v>
      </c>
      <c r="W2" s="50" t="str">
        <f t="shared" ref="W2" si="2">CONCATENATE(U2,"-",B2,"-",N2)</f>
        <v>Ivan Hernando Correa Cuero-98430412-OVE</v>
      </c>
    </row>
    <row r="3" spans="1:23" s="73" customFormat="1" x14ac:dyDescent="0.2">
      <c r="A3" s="20">
        <v>2</v>
      </c>
      <c r="B3" s="20">
        <v>98430412</v>
      </c>
      <c r="C3" s="20" t="s">
        <v>96</v>
      </c>
      <c r="D3" s="20" t="s">
        <v>93</v>
      </c>
      <c r="E3" s="20" t="s">
        <v>97</v>
      </c>
      <c r="F3" s="20" t="s">
        <v>98</v>
      </c>
      <c r="G3" s="19">
        <v>1</v>
      </c>
      <c r="H3" s="19" t="s">
        <v>99</v>
      </c>
      <c r="I3" s="25">
        <v>45383</v>
      </c>
      <c r="J3" s="88">
        <v>50000</v>
      </c>
      <c r="K3" s="116" t="s">
        <v>79</v>
      </c>
      <c r="L3" s="19" t="s">
        <v>84</v>
      </c>
      <c r="M3" s="19" t="s">
        <v>100</v>
      </c>
      <c r="N3" s="21" t="s">
        <v>27</v>
      </c>
      <c r="O3" s="72">
        <v>28547</v>
      </c>
      <c r="P3" s="20" t="s">
        <v>88</v>
      </c>
      <c r="Q3" s="20" t="s">
        <v>101</v>
      </c>
      <c r="R3" s="20"/>
      <c r="S3" s="20"/>
      <c r="T3" s="50" t="str">
        <f>+IF($N3=[1]CURSOS!$D$3,[1]CURSOS!$E$3,(+IF($N3=[1]CURSOS!$D$4,[1]CURSOS!$E$4,(+IF($N3=[1]CURSOS!$D$5,[1]CURSOS!$E$5,(+IF($N3=[1]CURSOS!$D$6,[1]CURSOS!$E$6,(+IF($N3=[1]CURSOS!$D$7,[1]CURSOS!$E$7,(+IF($N3=[1]CURSOS!$D$8,[1]CURSOS!$E$8,(+IF($N3=[1]CURSOS!$D$9,[1]CURSOS!$E$9,(+IF($N3=[1]CURSOS!$D$10,[1]CURSOS!$E$10,(+IF($N3=[1]CURSOS!$D$11,[1]CURSOS!$E$11,(+IF($N3=[1]CURSOS!$D$12,[1]CURSOS!$E$12,(+IF($N3=[1]CURSOS!$D$13,[1]CURSOS!$E$13,(+IF($N3=[1]CURSOS!$D$14,[1]CURSOS!$E$14,(+IF($N3=[1]CURSOS!$D$15,[1]CURSOS!$E$15,(+IF($N3=[1]CURSOS!$D$16,[1]CURSOS!$E$16,(+IF($N3=[1]CURSOS!$D$17,[1]CURSOS!$E$17,(+IF($N3=[1]CURSOS!$D$18,[1]CURSOS!$E$18,(+IF($N3=[1]CURSOS!$D$19,[1]CURSOS!$E$19,(+IF($N3=[1]CURSOS!$D$20,[1]CURSOS!$E$20,(+IF($N3=[1]CURSOS!$D$21,[1]CURSOS!$E$21,(+IF($N3=[1]CURSOS!$D$22,[1]CURSOS!$E$22,(+IF($N3=[1]CURSOS!$D$23,[1]CURSOS!$E$23,(+IF($N3=[1]CURSOS!$D$24,[1]CURSOS!$E$24,(+IF($N3=[1]CURSOS!$D$25,[1]CURSOS!$E$25,(+IF($N3=[1]CURSOS!$D$26,[1]CURSOS!$E$26,(+IF($N3=[1]CURSOS!$D$27,[1]CURSOS!$E$27,(+IF($N3=[1]CURSOS!$D$28,[1]CURSOS!$E$28,(+IF($N3=[1]CURSOS!$D$29,[1]CURSOS!$E$29,(+IF($N3=[1]CURSOS!$D$30,[1]CURSOS!$E$30,(+IF($N3=[1]CURSOS!$D$31,[1]CURSOS!$E$31,(+IF($N3=[1]CURSOS!$D$32,[1]CURSOS!$E$32)))))))))))))))))))))))))))))))))))))))))))))))))))))))))))</f>
        <v xml:space="preserve">PRIMEROS AUXILIOS </v>
      </c>
      <c r="U3" s="50" t="str">
        <f t="shared" ref="U3:U30" si="3">CONCATENATE(E3," ",F3," ",C3," ",D3)</f>
        <v>Ivan Hernando Correa Cuero</v>
      </c>
      <c r="V3" s="50" t="str">
        <f t="shared" ref="V3:V38" si="4">+PROPER(U3)</f>
        <v>Ivan Hernando Correa Cuero</v>
      </c>
      <c r="W3" s="50" t="str">
        <f t="shared" ref="W3:W38" si="5">CONCATENATE(U3,"-",B3,"-",N3)</f>
        <v>Ivan Hernando Correa Cuero-98430412-PRIMEROS AUXILIOS</v>
      </c>
    </row>
    <row r="4" spans="1:23" s="73" customFormat="1" ht="15.75" x14ac:dyDescent="0.25">
      <c r="A4" s="20">
        <v>3</v>
      </c>
      <c r="B4" s="20">
        <v>30746429</v>
      </c>
      <c r="C4" s="20" t="s">
        <v>103</v>
      </c>
      <c r="D4" s="20" t="s">
        <v>102</v>
      </c>
      <c r="E4" s="20" t="s">
        <v>104</v>
      </c>
      <c r="F4" s="20" t="s">
        <v>105</v>
      </c>
      <c r="G4" s="19">
        <v>1</v>
      </c>
      <c r="H4" s="19" t="s">
        <v>99</v>
      </c>
      <c r="I4" s="25">
        <v>45387</v>
      </c>
      <c r="J4" s="98">
        <v>30000</v>
      </c>
      <c r="K4" s="116" t="s">
        <v>82</v>
      </c>
      <c r="L4" s="19" t="s">
        <v>84</v>
      </c>
      <c r="M4" s="19" t="s">
        <v>106</v>
      </c>
      <c r="N4" s="21" t="s">
        <v>46</v>
      </c>
      <c r="O4" s="72">
        <v>25726</v>
      </c>
      <c r="P4" s="20" t="s">
        <v>78</v>
      </c>
      <c r="Q4" s="20" t="s">
        <v>107</v>
      </c>
      <c r="R4" s="20"/>
      <c r="S4" s="74" t="s">
        <v>109</v>
      </c>
      <c r="T4" s="50" t="str">
        <f>+IF($N4=[1]CURSOS!$D$3,[1]CURSOS!$E$3,(+IF($N4=[1]CURSOS!$D$4,[1]CURSOS!$E$4,(+IF($N4=[1]CURSOS!$D$5,[1]CURSOS!$E$5,(+IF($N4=[1]CURSOS!$D$6,[1]CURSOS!$E$6,(+IF($N4=[1]CURSOS!$D$7,[1]CURSOS!$E$7,(+IF($N4=[1]CURSOS!$D$8,[1]CURSOS!$E$8,(+IF($N4=[1]CURSOS!$D$9,[1]CURSOS!$E$9,(+IF($N4=[1]CURSOS!$D$10,[1]CURSOS!$E$10,(+IF($N4=[1]CURSOS!$D$11,[1]CURSOS!$E$11,(+IF($N4=[1]CURSOS!$D$12,[1]CURSOS!$E$12,(+IF($N4=[1]CURSOS!$D$13,[1]CURSOS!$E$13,(+IF($N4=[1]CURSOS!$D$14,[1]CURSOS!$E$14,(+IF($N4=[1]CURSOS!$D$15,[1]CURSOS!$E$15,(+IF($N4=[1]CURSOS!$D$16,[1]CURSOS!$E$16,(+IF($N4=[1]CURSOS!$D$17,[1]CURSOS!$E$17,(+IF($N4=[1]CURSOS!$D$18,[1]CURSOS!$E$18,(+IF($N4=[1]CURSOS!$D$19,[1]CURSOS!$E$19,(+IF($N4=[1]CURSOS!$D$20,[1]CURSOS!$E$20,(+IF($N4=[1]CURSOS!$D$21,[1]CURSOS!$E$21,(+IF($N4=[1]CURSOS!$D$22,[1]CURSOS!$E$22,(+IF($N4=[1]CURSOS!$D$23,[1]CURSOS!$E$23,(+IF($N4=[1]CURSOS!$D$24,[1]CURSOS!$E$24,(+IF($N4=[1]CURSOS!$D$25,[1]CURSOS!$E$25,(+IF($N4=[1]CURSOS!$D$26,[1]CURSOS!$E$26,(+IF($N4=[1]CURSOS!$D$27,[1]CURSOS!$E$27,(+IF($N4=[1]CURSOS!$D$28,[1]CURSOS!$E$28,(+IF($N4=[1]CURSOS!$D$29,[1]CURSOS!$E$29,(+IF($N4=[1]CURSOS!$D$30,[1]CURSOS!$E$30,(+IF($N4=[1]CURSOS!$D$31,[1]CURSOS!$E$31,(+IF($N4=[1]CURSOS!$D$32,[1]CURSOS!$E$32)))))))))))))))))))))))))))))))))))))))))))))))))))))))))))</f>
        <v xml:space="preserve">ATENCION A VICTIMAS DE VIOLENCIA SEXUAL </v>
      </c>
      <c r="U4" s="50" t="str">
        <f t="shared" si="3"/>
        <v>MARTHA  ISABEL  MARTINEZ  TABLA</v>
      </c>
      <c r="V4" s="50" t="str">
        <f t="shared" si="4"/>
        <v>Martha  Isabel  Martinez  Tabla</v>
      </c>
      <c r="W4" s="50" t="str">
        <f t="shared" si="5"/>
        <v>MARTHA  ISABEL  MARTINEZ  TABLA-30746429-VIOLENCIA SEXUAL</v>
      </c>
    </row>
    <row r="5" spans="1:23" s="73" customFormat="1" ht="15.75" x14ac:dyDescent="0.25">
      <c r="A5" s="20">
        <v>4</v>
      </c>
      <c r="B5" s="20">
        <v>1085296847</v>
      </c>
      <c r="C5" s="20" t="s">
        <v>110</v>
      </c>
      <c r="D5" s="20" t="s">
        <v>111</v>
      </c>
      <c r="E5" s="20" t="s">
        <v>112</v>
      </c>
      <c r="F5" s="20" t="s">
        <v>113</v>
      </c>
      <c r="G5" s="19">
        <v>1</v>
      </c>
      <c r="H5" s="19" t="s">
        <v>99</v>
      </c>
      <c r="I5" s="25">
        <v>45387</v>
      </c>
      <c r="J5" s="98">
        <v>30000</v>
      </c>
      <c r="K5" s="116" t="s">
        <v>82</v>
      </c>
      <c r="L5" s="19" t="s">
        <v>84</v>
      </c>
      <c r="M5" s="19" t="s">
        <v>106</v>
      </c>
      <c r="N5" s="21" t="s">
        <v>46</v>
      </c>
      <c r="O5" s="72">
        <v>33731</v>
      </c>
      <c r="P5" s="20" t="s">
        <v>88</v>
      </c>
      <c r="Q5" s="20" t="s">
        <v>107</v>
      </c>
      <c r="R5" s="20"/>
      <c r="S5" s="74" t="s">
        <v>114</v>
      </c>
      <c r="T5" s="50" t="str">
        <f>+IF($N5=[1]CURSOS!$D$3,[1]CURSOS!$E$3,(+IF($N5=[1]CURSOS!$D$4,[1]CURSOS!$E$4,(+IF($N5=[1]CURSOS!$D$5,[1]CURSOS!$E$5,(+IF($N5=[1]CURSOS!$D$6,[1]CURSOS!$E$6,(+IF($N5=[1]CURSOS!$D$7,[1]CURSOS!$E$7,(+IF($N5=[1]CURSOS!$D$8,[1]CURSOS!$E$8,(+IF($N5=[1]CURSOS!$D$9,[1]CURSOS!$E$9,(+IF($N5=[1]CURSOS!$D$10,[1]CURSOS!$E$10,(+IF($N5=[1]CURSOS!$D$11,[1]CURSOS!$E$11,(+IF($N5=[1]CURSOS!$D$12,[1]CURSOS!$E$12,(+IF($N5=[1]CURSOS!$D$13,[1]CURSOS!$E$13,(+IF($N5=[1]CURSOS!$D$14,[1]CURSOS!$E$14,(+IF($N5=[1]CURSOS!$D$15,[1]CURSOS!$E$15,(+IF($N5=[1]CURSOS!$D$16,[1]CURSOS!$E$16,(+IF($N5=[1]CURSOS!$D$17,[1]CURSOS!$E$17,(+IF($N5=[1]CURSOS!$D$18,[1]CURSOS!$E$18,(+IF($N5=[1]CURSOS!$D$19,[1]CURSOS!$E$19,(+IF($N5=[1]CURSOS!$D$20,[1]CURSOS!$E$20,(+IF($N5=[1]CURSOS!$D$21,[1]CURSOS!$E$21,(+IF($N5=[1]CURSOS!$D$22,[1]CURSOS!$E$22,(+IF($N5=[1]CURSOS!$D$23,[1]CURSOS!$E$23,(+IF($N5=[1]CURSOS!$D$24,[1]CURSOS!$E$24,(+IF($N5=[1]CURSOS!$D$25,[1]CURSOS!$E$25,(+IF($N5=[1]CURSOS!$D$26,[1]CURSOS!$E$26,(+IF($N5=[1]CURSOS!$D$27,[1]CURSOS!$E$27,(+IF($N5=[1]CURSOS!$D$28,[1]CURSOS!$E$28,(+IF($N5=[1]CURSOS!$D$29,[1]CURSOS!$E$29,(+IF($N5=[1]CURSOS!$D$30,[1]CURSOS!$E$30,(+IF($N5=[1]CURSOS!$D$31,[1]CURSOS!$E$31,(+IF($N5=[1]CURSOS!$D$32,[1]CURSOS!$E$32)))))))))))))))))))))))))))))))))))))))))))))))))))))))))))</f>
        <v xml:space="preserve">ATENCION A VICTIMAS DE VIOLENCIA SEXUAL </v>
      </c>
      <c r="U5" s="50" t="str">
        <f t="shared" si="3"/>
        <v>WILLIAM  FABIAN  CERON  SANCHEZ</v>
      </c>
      <c r="V5" s="50" t="str">
        <f t="shared" si="4"/>
        <v>William  Fabian  Ceron  Sanchez</v>
      </c>
      <c r="W5" s="50" t="str">
        <f t="shared" si="5"/>
        <v>WILLIAM  FABIAN  CERON  SANCHEZ-1085296847-VIOLENCIA SEXUAL</v>
      </c>
    </row>
    <row r="6" spans="1:23" s="73" customFormat="1" ht="15.75" x14ac:dyDescent="0.25">
      <c r="A6" s="20">
        <v>5</v>
      </c>
      <c r="B6" s="20">
        <v>1085278502</v>
      </c>
      <c r="C6" s="20" t="s">
        <v>115</v>
      </c>
      <c r="D6" s="20" t="s">
        <v>92</v>
      </c>
      <c r="E6" s="20" t="s">
        <v>116</v>
      </c>
      <c r="F6" s="20" t="s">
        <v>117</v>
      </c>
      <c r="G6" s="19">
        <v>1</v>
      </c>
      <c r="H6" s="19" t="s">
        <v>99</v>
      </c>
      <c r="I6" s="25">
        <v>45387</v>
      </c>
      <c r="J6" s="98">
        <v>30000</v>
      </c>
      <c r="K6" s="116" t="s">
        <v>82</v>
      </c>
      <c r="L6" s="19" t="s">
        <v>84</v>
      </c>
      <c r="M6" s="19" t="s">
        <v>106</v>
      </c>
      <c r="N6" s="21" t="s">
        <v>46</v>
      </c>
      <c r="O6" s="72">
        <v>34810</v>
      </c>
      <c r="P6" s="20" t="s">
        <v>88</v>
      </c>
      <c r="Q6" s="20" t="s">
        <v>107</v>
      </c>
      <c r="R6" s="20"/>
      <c r="S6" s="74" t="s">
        <v>118</v>
      </c>
      <c r="T6" s="50" t="str">
        <f>+IF($N6=[1]CURSOS!$D$3,[1]CURSOS!$E$3,(+IF($N6=[1]CURSOS!$D$4,[1]CURSOS!$E$4,(+IF($N6=[1]CURSOS!$D$5,[1]CURSOS!$E$5,(+IF($N6=[1]CURSOS!$D$6,[1]CURSOS!$E$6,(+IF($N6=[1]CURSOS!$D$7,[1]CURSOS!$E$7,(+IF($N6=[1]CURSOS!$D$8,[1]CURSOS!$E$8,(+IF($N6=[1]CURSOS!$D$9,[1]CURSOS!$E$9,(+IF($N6=[1]CURSOS!$D$10,[1]CURSOS!$E$10,(+IF($N6=[1]CURSOS!$D$11,[1]CURSOS!$E$11,(+IF($N6=[1]CURSOS!$D$12,[1]CURSOS!$E$12,(+IF($N6=[1]CURSOS!$D$13,[1]CURSOS!$E$13,(+IF($N6=[1]CURSOS!$D$14,[1]CURSOS!$E$14,(+IF($N6=[1]CURSOS!$D$15,[1]CURSOS!$E$15,(+IF($N6=[1]CURSOS!$D$16,[1]CURSOS!$E$16,(+IF($N6=[1]CURSOS!$D$17,[1]CURSOS!$E$17,(+IF($N6=[1]CURSOS!$D$18,[1]CURSOS!$E$18,(+IF($N6=[1]CURSOS!$D$19,[1]CURSOS!$E$19,(+IF($N6=[1]CURSOS!$D$20,[1]CURSOS!$E$20,(+IF($N6=[1]CURSOS!$D$21,[1]CURSOS!$E$21,(+IF($N6=[1]CURSOS!$D$22,[1]CURSOS!$E$22,(+IF($N6=[1]CURSOS!$D$23,[1]CURSOS!$E$23,(+IF($N6=[1]CURSOS!$D$24,[1]CURSOS!$E$24,(+IF($N6=[1]CURSOS!$D$25,[1]CURSOS!$E$25,(+IF($N6=[1]CURSOS!$D$26,[1]CURSOS!$E$26,(+IF($N6=[1]CURSOS!$D$27,[1]CURSOS!$E$27,(+IF($N6=[1]CURSOS!$D$28,[1]CURSOS!$E$28,(+IF($N6=[1]CURSOS!$D$29,[1]CURSOS!$E$29,(+IF($N6=[1]CURSOS!$D$30,[1]CURSOS!$E$30,(+IF($N6=[1]CURSOS!$D$31,[1]CURSOS!$E$31,(+IF($N6=[1]CURSOS!$D$32,[1]CURSOS!$E$32)))))))))))))))))))))))))))))))))))))))))))))))))))))))))))</f>
        <v xml:space="preserve">ATENCION A VICTIMAS DE VIOLENCIA SEXUAL </v>
      </c>
      <c r="U6" s="50" t="str">
        <f t="shared" si="3"/>
        <v>David Bernardo Ruiz Chamorro</v>
      </c>
      <c r="V6" s="50" t="str">
        <f t="shared" si="4"/>
        <v>David Bernardo Ruiz Chamorro</v>
      </c>
      <c r="W6" s="50" t="str">
        <f t="shared" si="5"/>
        <v>David Bernardo Ruiz Chamorro-1085278502-VIOLENCIA SEXUAL</v>
      </c>
    </row>
    <row r="7" spans="1:23" s="73" customFormat="1" ht="15.75" x14ac:dyDescent="0.25">
      <c r="A7" s="20">
        <v>6</v>
      </c>
      <c r="B7" s="20">
        <v>1085320369</v>
      </c>
      <c r="C7" s="20" t="s">
        <v>115</v>
      </c>
      <c r="D7" s="20" t="s">
        <v>119</v>
      </c>
      <c r="E7" s="20" t="s">
        <v>120</v>
      </c>
      <c r="F7" s="20" t="s">
        <v>121</v>
      </c>
      <c r="G7" s="19">
        <v>1</v>
      </c>
      <c r="H7" s="19" t="s">
        <v>99</v>
      </c>
      <c r="I7" s="25">
        <v>45387</v>
      </c>
      <c r="J7" s="98">
        <v>30000</v>
      </c>
      <c r="K7" s="116" t="s">
        <v>82</v>
      </c>
      <c r="L7" s="19" t="s">
        <v>84</v>
      </c>
      <c r="M7" s="19" t="s">
        <v>106</v>
      </c>
      <c r="N7" s="21" t="s">
        <v>46</v>
      </c>
      <c r="O7" s="72">
        <v>34810</v>
      </c>
      <c r="P7" s="20" t="s">
        <v>78</v>
      </c>
      <c r="Q7" s="20" t="s">
        <v>107</v>
      </c>
      <c r="R7" s="20"/>
      <c r="S7" s="74" t="s">
        <v>122</v>
      </c>
      <c r="T7" s="50" t="str">
        <f>+IF($N7=[1]CURSOS!$D$3,[1]CURSOS!$E$3,(+IF($N7=[1]CURSOS!$D$4,[1]CURSOS!$E$4,(+IF($N7=[1]CURSOS!$D$5,[1]CURSOS!$E$5,(+IF($N7=[1]CURSOS!$D$6,[1]CURSOS!$E$6,(+IF($N7=[1]CURSOS!$D$7,[1]CURSOS!$E$7,(+IF($N7=[1]CURSOS!$D$8,[1]CURSOS!$E$8,(+IF($N7=[1]CURSOS!$D$9,[1]CURSOS!$E$9,(+IF($N7=[1]CURSOS!$D$10,[1]CURSOS!$E$10,(+IF($N7=[1]CURSOS!$D$11,[1]CURSOS!$E$11,(+IF($N7=[1]CURSOS!$D$12,[1]CURSOS!$E$12,(+IF($N7=[1]CURSOS!$D$13,[1]CURSOS!$E$13,(+IF($N7=[1]CURSOS!$D$14,[1]CURSOS!$E$14,(+IF($N7=[1]CURSOS!$D$15,[1]CURSOS!$E$15,(+IF($N7=[1]CURSOS!$D$16,[1]CURSOS!$E$16,(+IF($N7=[1]CURSOS!$D$17,[1]CURSOS!$E$17,(+IF($N7=[1]CURSOS!$D$18,[1]CURSOS!$E$18,(+IF($N7=[1]CURSOS!$D$19,[1]CURSOS!$E$19,(+IF($N7=[1]CURSOS!$D$20,[1]CURSOS!$E$20,(+IF($N7=[1]CURSOS!$D$21,[1]CURSOS!$E$21,(+IF($N7=[1]CURSOS!$D$22,[1]CURSOS!$E$22,(+IF($N7=[1]CURSOS!$D$23,[1]CURSOS!$E$23,(+IF($N7=[1]CURSOS!$D$24,[1]CURSOS!$E$24,(+IF($N7=[1]CURSOS!$D$25,[1]CURSOS!$E$25,(+IF($N7=[1]CURSOS!$D$26,[1]CURSOS!$E$26,(+IF($N7=[1]CURSOS!$D$27,[1]CURSOS!$E$27,(+IF($N7=[1]CURSOS!$D$28,[1]CURSOS!$E$28,(+IF($N7=[1]CURSOS!$D$29,[1]CURSOS!$E$29,(+IF($N7=[1]CURSOS!$D$30,[1]CURSOS!$E$30,(+IF($N7=[1]CURSOS!$D$31,[1]CURSOS!$E$31,(+IF($N7=[1]CURSOS!$D$32,[1]CURSOS!$E$32)))))))))))))))))))))))))))))))))))))))))))))))))))))))))))</f>
        <v xml:space="preserve">ATENCION A VICTIMAS DE VIOLENCIA SEXUAL </v>
      </c>
      <c r="U7" s="50" t="str">
        <f t="shared" si="3"/>
        <v>Daniela Alejandra Ruiz Cumbal</v>
      </c>
      <c r="V7" s="50" t="str">
        <f t="shared" si="4"/>
        <v>Daniela Alejandra Ruiz Cumbal</v>
      </c>
      <c r="W7" s="50" t="str">
        <f t="shared" si="5"/>
        <v>Daniela Alejandra Ruiz Cumbal-1085320369-VIOLENCIA SEXUAL</v>
      </c>
    </row>
    <row r="8" spans="1:23" s="73" customFormat="1" ht="15.75" x14ac:dyDescent="0.25">
      <c r="A8" s="20">
        <v>7</v>
      </c>
      <c r="B8" s="20">
        <v>1233193884</v>
      </c>
      <c r="C8" s="20" t="s">
        <v>123</v>
      </c>
      <c r="D8" s="20" t="s">
        <v>124</v>
      </c>
      <c r="E8" s="20" t="s">
        <v>125</v>
      </c>
      <c r="F8" s="20" t="s">
        <v>126</v>
      </c>
      <c r="G8" s="19">
        <v>1</v>
      </c>
      <c r="H8" s="19" t="s">
        <v>99</v>
      </c>
      <c r="I8" s="25">
        <v>45387</v>
      </c>
      <c r="J8" s="98">
        <v>30000</v>
      </c>
      <c r="K8" s="116" t="s">
        <v>82</v>
      </c>
      <c r="L8" s="19" t="s">
        <v>84</v>
      </c>
      <c r="M8" s="19" t="s">
        <v>106</v>
      </c>
      <c r="N8" s="21" t="s">
        <v>46</v>
      </c>
      <c r="O8" s="72" t="s">
        <v>127</v>
      </c>
      <c r="P8" s="20" t="s">
        <v>78</v>
      </c>
      <c r="Q8" s="20" t="s">
        <v>107</v>
      </c>
      <c r="R8" s="20"/>
      <c r="S8" s="74" t="s">
        <v>130</v>
      </c>
      <c r="T8" s="50" t="str">
        <f>+IF($N8=[1]CURSOS!$D$3,[1]CURSOS!$E$3,(+IF($N8=[1]CURSOS!$D$4,[1]CURSOS!$E$4,(+IF($N8=[1]CURSOS!$D$5,[1]CURSOS!$E$5,(+IF($N8=[1]CURSOS!$D$6,[1]CURSOS!$E$6,(+IF($N8=[1]CURSOS!$D$7,[1]CURSOS!$E$7,(+IF($N8=[1]CURSOS!$D$8,[1]CURSOS!$E$8,(+IF($N8=[1]CURSOS!$D$9,[1]CURSOS!$E$9,(+IF($N8=[1]CURSOS!$D$10,[1]CURSOS!$E$10,(+IF($N8=[1]CURSOS!$D$11,[1]CURSOS!$E$11,(+IF($N8=[1]CURSOS!$D$12,[1]CURSOS!$E$12,(+IF($N8=[1]CURSOS!$D$13,[1]CURSOS!$E$13,(+IF($N8=[1]CURSOS!$D$14,[1]CURSOS!$E$14,(+IF($N8=[1]CURSOS!$D$15,[1]CURSOS!$E$15,(+IF($N8=[1]CURSOS!$D$16,[1]CURSOS!$E$16,(+IF($N8=[1]CURSOS!$D$17,[1]CURSOS!$E$17,(+IF($N8=[1]CURSOS!$D$18,[1]CURSOS!$E$18,(+IF($N8=[1]CURSOS!$D$19,[1]CURSOS!$E$19,(+IF($N8=[1]CURSOS!$D$20,[1]CURSOS!$E$20,(+IF($N8=[1]CURSOS!$D$21,[1]CURSOS!$E$21,(+IF($N8=[1]CURSOS!$D$22,[1]CURSOS!$E$22,(+IF($N8=[1]CURSOS!$D$23,[1]CURSOS!$E$23,(+IF($N8=[1]CURSOS!$D$24,[1]CURSOS!$E$24,(+IF($N8=[1]CURSOS!$D$25,[1]CURSOS!$E$25,(+IF($N8=[1]CURSOS!$D$26,[1]CURSOS!$E$26,(+IF($N8=[1]CURSOS!$D$27,[1]CURSOS!$E$27,(+IF($N8=[1]CURSOS!$D$28,[1]CURSOS!$E$28,(+IF($N8=[1]CURSOS!$D$29,[1]CURSOS!$E$29,(+IF($N8=[1]CURSOS!$D$30,[1]CURSOS!$E$30,(+IF($N8=[1]CURSOS!$D$31,[1]CURSOS!$E$31,(+IF($N8=[1]CURSOS!$D$32,[1]CURSOS!$E$32)))))))))))))))))))))))))))))))))))))))))))))))))))))))))))</f>
        <v xml:space="preserve">ATENCION A VICTIMAS DE VIOLENCIA SEXUAL </v>
      </c>
      <c r="U8" s="50" t="str">
        <f t="shared" si="3"/>
        <v>Karen Dayana Vallejo Jojoa</v>
      </c>
      <c r="V8" s="50" t="str">
        <f t="shared" si="4"/>
        <v>Karen Dayana Vallejo Jojoa</v>
      </c>
      <c r="W8" s="50" t="str">
        <f t="shared" si="5"/>
        <v>Karen Dayana Vallejo Jojoa-1233193884-VIOLENCIA SEXUAL</v>
      </c>
    </row>
    <row r="9" spans="1:23" s="73" customFormat="1" ht="15.75" x14ac:dyDescent="0.25">
      <c r="A9" s="20">
        <v>8</v>
      </c>
      <c r="B9" s="20">
        <v>1193554889</v>
      </c>
      <c r="C9" s="20" t="s">
        <v>128</v>
      </c>
      <c r="D9" s="20" t="s">
        <v>87</v>
      </c>
      <c r="E9" s="20" t="s">
        <v>120</v>
      </c>
      <c r="F9" s="20" t="s">
        <v>129</v>
      </c>
      <c r="G9" s="19">
        <v>1</v>
      </c>
      <c r="H9" s="19" t="s">
        <v>99</v>
      </c>
      <c r="I9" s="25">
        <v>45387</v>
      </c>
      <c r="J9" s="98">
        <v>30000</v>
      </c>
      <c r="K9" s="116" t="s">
        <v>82</v>
      </c>
      <c r="L9" s="19" t="s">
        <v>84</v>
      </c>
      <c r="M9" s="19" t="s">
        <v>106</v>
      </c>
      <c r="N9" s="21" t="s">
        <v>46</v>
      </c>
      <c r="O9" s="72">
        <v>36769</v>
      </c>
      <c r="P9" s="20" t="s">
        <v>78</v>
      </c>
      <c r="Q9" s="20" t="s">
        <v>107</v>
      </c>
      <c r="R9" s="20"/>
      <c r="S9" s="74" t="s">
        <v>131</v>
      </c>
      <c r="T9" s="50" t="str">
        <f>+IF($N9=[1]CURSOS!$D$3,[1]CURSOS!$E$3,(+IF($N9=[1]CURSOS!$D$4,[1]CURSOS!$E$4,(+IF($N9=[1]CURSOS!$D$5,[1]CURSOS!$E$5,(+IF($N9=[1]CURSOS!$D$6,[1]CURSOS!$E$6,(+IF($N9=[1]CURSOS!$D$7,[1]CURSOS!$E$7,(+IF($N9=[1]CURSOS!$D$8,[1]CURSOS!$E$8,(+IF($N9=[1]CURSOS!$D$9,[1]CURSOS!$E$9,(+IF($N9=[1]CURSOS!$D$10,[1]CURSOS!$E$10,(+IF($N9=[1]CURSOS!$D$11,[1]CURSOS!$E$11,(+IF($N9=[1]CURSOS!$D$12,[1]CURSOS!$E$12,(+IF($N9=[1]CURSOS!$D$13,[1]CURSOS!$E$13,(+IF($N9=[1]CURSOS!$D$14,[1]CURSOS!$E$14,(+IF($N9=[1]CURSOS!$D$15,[1]CURSOS!$E$15,(+IF($N9=[1]CURSOS!$D$16,[1]CURSOS!$E$16,(+IF($N9=[1]CURSOS!$D$17,[1]CURSOS!$E$17,(+IF($N9=[1]CURSOS!$D$18,[1]CURSOS!$E$18,(+IF($N9=[1]CURSOS!$D$19,[1]CURSOS!$E$19,(+IF($N9=[1]CURSOS!$D$20,[1]CURSOS!$E$20,(+IF($N9=[1]CURSOS!$D$21,[1]CURSOS!$E$21,(+IF($N9=[1]CURSOS!$D$22,[1]CURSOS!$E$22,(+IF($N9=[1]CURSOS!$D$23,[1]CURSOS!$E$23,(+IF($N9=[1]CURSOS!$D$24,[1]CURSOS!$E$24,(+IF($N9=[1]CURSOS!$D$25,[1]CURSOS!$E$25,(+IF($N9=[1]CURSOS!$D$26,[1]CURSOS!$E$26,(+IF($N9=[1]CURSOS!$D$27,[1]CURSOS!$E$27,(+IF($N9=[1]CURSOS!$D$28,[1]CURSOS!$E$28,(+IF($N9=[1]CURSOS!$D$29,[1]CURSOS!$E$29,(+IF($N9=[1]CURSOS!$D$30,[1]CURSOS!$E$30,(+IF($N9=[1]CURSOS!$D$31,[1]CURSOS!$E$31,(+IF($N9=[1]CURSOS!$D$32,[1]CURSOS!$E$32)))))))))))))))))))))))))))))))))))))))))))))))))))))))))))</f>
        <v xml:space="preserve">ATENCION A VICTIMAS DE VIOLENCIA SEXUAL </v>
      </c>
      <c r="U9" s="50" t="str">
        <f t="shared" si="3"/>
        <v>Daniela Valentina Jimenez Lopez</v>
      </c>
      <c r="V9" s="50" t="str">
        <f t="shared" si="4"/>
        <v>Daniela Valentina Jimenez Lopez</v>
      </c>
      <c r="W9" s="50" t="str">
        <f t="shared" si="5"/>
        <v>Daniela Valentina Jimenez Lopez-1193554889-VIOLENCIA SEXUAL</v>
      </c>
    </row>
    <row r="10" spans="1:23" s="73" customFormat="1" ht="15.75" x14ac:dyDescent="0.25">
      <c r="A10" s="20">
        <v>9</v>
      </c>
      <c r="B10" s="20">
        <v>1085300242</v>
      </c>
      <c r="C10" s="20" t="s">
        <v>132</v>
      </c>
      <c r="D10" s="20" t="s">
        <v>133</v>
      </c>
      <c r="E10" s="20" t="s">
        <v>94</v>
      </c>
      <c r="F10" s="20" t="s">
        <v>85</v>
      </c>
      <c r="G10" s="19">
        <v>1</v>
      </c>
      <c r="H10" s="19" t="s">
        <v>99</v>
      </c>
      <c r="I10" s="25">
        <v>45387</v>
      </c>
      <c r="J10" s="98">
        <v>30000</v>
      </c>
      <c r="K10" s="116" t="s">
        <v>82</v>
      </c>
      <c r="L10" s="19" t="s">
        <v>84</v>
      </c>
      <c r="M10" s="19" t="s">
        <v>106</v>
      </c>
      <c r="N10" s="21" t="s">
        <v>46</v>
      </c>
      <c r="O10" s="72">
        <v>33896</v>
      </c>
      <c r="P10" s="20" t="s">
        <v>78</v>
      </c>
      <c r="Q10" s="20" t="s">
        <v>107</v>
      </c>
      <c r="R10" s="20"/>
      <c r="S10" s="74" t="s">
        <v>134</v>
      </c>
      <c r="T10" s="50" t="str">
        <f>+IF($N10=[1]CURSOS!$D$3,[1]CURSOS!$E$3,(+IF($N10=[1]CURSOS!$D$4,[1]CURSOS!$E$4,(+IF($N10=[1]CURSOS!$D$5,[1]CURSOS!$E$5,(+IF($N10=[1]CURSOS!$D$6,[1]CURSOS!$E$6,(+IF($N10=[1]CURSOS!$D$7,[1]CURSOS!$E$7,(+IF($N10=[1]CURSOS!$D$8,[1]CURSOS!$E$8,(+IF($N10=[1]CURSOS!$D$9,[1]CURSOS!$E$9,(+IF($N10=[1]CURSOS!$D$10,[1]CURSOS!$E$10,(+IF($N10=[1]CURSOS!$D$11,[1]CURSOS!$E$11,(+IF($N10=[1]CURSOS!$D$12,[1]CURSOS!$E$12,(+IF($N10=[1]CURSOS!$D$13,[1]CURSOS!$E$13,(+IF($N10=[1]CURSOS!$D$14,[1]CURSOS!$E$14,(+IF($N10=[1]CURSOS!$D$15,[1]CURSOS!$E$15,(+IF($N10=[1]CURSOS!$D$16,[1]CURSOS!$E$16,(+IF($N10=[1]CURSOS!$D$17,[1]CURSOS!$E$17,(+IF($N10=[1]CURSOS!$D$18,[1]CURSOS!$E$18,(+IF($N10=[1]CURSOS!$D$19,[1]CURSOS!$E$19,(+IF($N10=[1]CURSOS!$D$20,[1]CURSOS!$E$20,(+IF($N10=[1]CURSOS!$D$21,[1]CURSOS!$E$21,(+IF($N10=[1]CURSOS!$D$22,[1]CURSOS!$E$22,(+IF($N10=[1]CURSOS!$D$23,[1]CURSOS!$E$23,(+IF($N10=[1]CURSOS!$D$24,[1]CURSOS!$E$24,(+IF($N10=[1]CURSOS!$D$25,[1]CURSOS!$E$25,(+IF($N10=[1]CURSOS!$D$26,[1]CURSOS!$E$26,(+IF($N10=[1]CURSOS!$D$27,[1]CURSOS!$E$27,(+IF($N10=[1]CURSOS!$D$28,[1]CURSOS!$E$28,(+IF($N10=[1]CURSOS!$D$29,[1]CURSOS!$E$29,(+IF($N10=[1]CURSOS!$D$30,[1]CURSOS!$E$30,(+IF($N10=[1]CURSOS!$D$31,[1]CURSOS!$E$31,(+IF($N10=[1]CURSOS!$D$32,[1]CURSOS!$E$32)))))))))))))))))))))))))))))))))))))))))))))))))))))))))))</f>
        <v xml:space="preserve">ATENCION A VICTIMAS DE VIOLENCIA SEXUAL </v>
      </c>
      <c r="U10" s="50" t="str">
        <f t="shared" si="3"/>
        <v>Sandra Carolina Jurado Salaz</v>
      </c>
      <c r="V10" s="50" t="str">
        <f t="shared" si="4"/>
        <v>Sandra Carolina Jurado Salaz</v>
      </c>
      <c r="W10" s="50" t="str">
        <f t="shared" si="5"/>
        <v>Sandra Carolina Jurado Salaz-1085300242-VIOLENCIA SEXUAL</v>
      </c>
    </row>
    <row r="11" spans="1:23" s="73" customFormat="1" ht="15.75" x14ac:dyDescent="0.25">
      <c r="A11" s="20">
        <v>10</v>
      </c>
      <c r="B11" s="20">
        <v>1085279286</v>
      </c>
      <c r="C11" s="20" t="s">
        <v>135</v>
      </c>
      <c r="D11" s="20" t="s">
        <v>136</v>
      </c>
      <c r="E11" s="20" t="s">
        <v>137</v>
      </c>
      <c r="F11" s="20" t="s">
        <v>138</v>
      </c>
      <c r="G11" s="19">
        <v>1</v>
      </c>
      <c r="H11" s="19" t="s">
        <v>99</v>
      </c>
      <c r="I11" s="25">
        <v>45383</v>
      </c>
      <c r="J11" s="98">
        <v>20000</v>
      </c>
      <c r="K11" s="116" t="s">
        <v>293</v>
      </c>
      <c r="L11" s="19" t="s">
        <v>84</v>
      </c>
      <c r="M11" s="19" t="s">
        <v>177</v>
      </c>
      <c r="N11" s="21" t="s">
        <v>46</v>
      </c>
      <c r="O11" s="72">
        <v>32862</v>
      </c>
      <c r="P11" s="20" t="s">
        <v>78</v>
      </c>
      <c r="Q11" s="20"/>
      <c r="R11" s="20"/>
      <c r="S11" s="74" t="s">
        <v>142</v>
      </c>
      <c r="T11" s="50" t="str">
        <f>+IF($N11=[1]CURSOS!$D$3,[1]CURSOS!$E$3,(+IF($N11=[1]CURSOS!$D$4,[1]CURSOS!$E$4,(+IF($N11=[1]CURSOS!$D$5,[1]CURSOS!$E$5,(+IF($N11=[1]CURSOS!$D$6,[1]CURSOS!$E$6,(+IF($N11=[1]CURSOS!$D$7,[1]CURSOS!$E$7,(+IF($N11=[1]CURSOS!$D$8,[1]CURSOS!$E$8,(+IF($N11=[1]CURSOS!$D$9,[1]CURSOS!$E$9,(+IF($N11=[1]CURSOS!$D$10,[1]CURSOS!$E$10,(+IF($N11=[1]CURSOS!$D$11,[1]CURSOS!$E$11,(+IF($N11=[1]CURSOS!$D$12,[1]CURSOS!$E$12,(+IF($N11=[1]CURSOS!$D$13,[1]CURSOS!$E$13,(+IF($N11=[1]CURSOS!$D$14,[1]CURSOS!$E$14,(+IF($N11=[1]CURSOS!$D$15,[1]CURSOS!$E$15,(+IF($N11=[1]CURSOS!$D$16,[1]CURSOS!$E$16,(+IF($N11=[1]CURSOS!$D$17,[1]CURSOS!$E$17,(+IF($N11=[1]CURSOS!$D$18,[1]CURSOS!$E$18,(+IF($N11=[1]CURSOS!$D$19,[1]CURSOS!$E$19,(+IF($N11=[1]CURSOS!$D$20,[1]CURSOS!$E$20,(+IF($N11=[1]CURSOS!$D$21,[1]CURSOS!$E$21,(+IF($N11=[1]CURSOS!$D$22,[1]CURSOS!$E$22,(+IF($N11=[1]CURSOS!$D$23,[1]CURSOS!$E$23,(+IF($N11=[1]CURSOS!$D$24,[1]CURSOS!$E$24,(+IF($N11=[1]CURSOS!$D$25,[1]CURSOS!$E$25,(+IF($N11=[1]CURSOS!$D$26,[1]CURSOS!$E$26,(+IF($N11=[1]CURSOS!$D$27,[1]CURSOS!$E$27,(+IF($N11=[1]CURSOS!$D$28,[1]CURSOS!$E$28,(+IF($N11=[1]CURSOS!$D$29,[1]CURSOS!$E$29,(+IF($N11=[1]CURSOS!$D$30,[1]CURSOS!$E$30,(+IF($N11=[1]CURSOS!$D$31,[1]CURSOS!$E$31,(+IF($N11=[1]CURSOS!$D$32,[1]CURSOS!$E$32)))))))))))))))))))))))))))))))))))))))))))))))))))))))))))</f>
        <v xml:space="preserve">ATENCION A VICTIMAS DE VIOLENCIA SEXUAL </v>
      </c>
      <c r="U11" s="50" t="str">
        <f t="shared" si="3"/>
        <v>Guimar Johana Zambrano Rivera</v>
      </c>
      <c r="V11" s="50" t="str">
        <f t="shared" si="4"/>
        <v>Guimar Johana Zambrano Rivera</v>
      </c>
      <c r="W11" s="50" t="str">
        <f t="shared" si="5"/>
        <v>Guimar Johana Zambrano Rivera-1085279286-VIOLENCIA SEXUAL</v>
      </c>
    </row>
    <row r="12" spans="1:23" s="73" customFormat="1" ht="15.75" x14ac:dyDescent="0.25">
      <c r="A12" s="20">
        <v>11</v>
      </c>
      <c r="B12" s="20">
        <v>37082336</v>
      </c>
      <c r="C12" s="20" t="s">
        <v>91</v>
      </c>
      <c r="D12" s="20" t="s">
        <v>139</v>
      </c>
      <c r="E12" s="20" t="s">
        <v>140</v>
      </c>
      <c r="F12" s="20" t="s">
        <v>141</v>
      </c>
      <c r="G12" s="19">
        <v>1</v>
      </c>
      <c r="H12" s="19" t="s">
        <v>99</v>
      </c>
      <c r="I12" s="25">
        <v>45383</v>
      </c>
      <c r="J12" s="98">
        <v>20000</v>
      </c>
      <c r="K12" s="116" t="s">
        <v>293</v>
      </c>
      <c r="L12" s="19" t="s">
        <v>84</v>
      </c>
      <c r="M12" s="19" t="s">
        <v>177</v>
      </c>
      <c r="N12" s="21" t="s">
        <v>46</v>
      </c>
      <c r="O12" s="72">
        <v>30402</v>
      </c>
      <c r="P12" s="20" t="s">
        <v>78</v>
      </c>
      <c r="Q12" s="20"/>
      <c r="R12" s="20"/>
      <c r="S12" s="74" t="s">
        <v>143</v>
      </c>
      <c r="T12" s="50" t="str">
        <f>+IF($N12=[1]CURSOS!$D$3,[1]CURSOS!$E$3,(+IF($N12=[1]CURSOS!$D$4,[1]CURSOS!$E$4,(+IF($N12=[1]CURSOS!$D$5,[1]CURSOS!$E$5,(+IF($N12=[1]CURSOS!$D$6,[1]CURSOS!$E$6,(+IF($N12=[1]CURSOS!$D$7,[1]CURSOS!$E$7,(+IF($N12=[1]CURSOS!$D$8,[1]CURSOS!$E$8,(+IF($N12=[1]CURSOS!$D$9,[1]CURSOS!$E$9,(+IF($N12=[1]CURSOS!$D$10,[1]CURSOS!$E$10,(+IF($N12=[1]CURSOS!$D$11,[1]CURSOS!$E$11,(+IF($N12=[1]CURSOS!$D$12,[1]CURSOS!$E$12,(+IF($N12=[1]CURSOS!$D$13,[1]CURSOS!$E$13,(+IF($N12=[1]CURSOS!$D$14,[1]CURSOS!$E$14,(+IF($N12=[1]CURSOS!$D$15,[1]CURSOS!$E$15,(+IF($N12=[1]CURSOS!$D$16,[1]CURSOS!$E$16,(+IF($N12=[1]CURSOS!$D$17,[1]CURSOS!$E$17,(+IF($N12=[1]CURSOS!$D$18,[1]CURSOS!$E$18,(+IF($N12=[1]CURSOS!$D$19,[1]CURSOS!$E$19,(+IF($N12=[1]CURSOS!$D$20,[1]CURSOS!$E$20,(+IF($N12=[1]CURSOS!$D$21,[1]CURSOS!$E$21,(+IF($N12=[1]CURSOS!$D$22,[1]CURSOS!$E$22,(+IF($N12=[1]CURSOS!$D$23,[1]CURSOS!$E$23,(+IF($N12=[1]CURSOS!$D$24,[1]CURSOS!$E$24,(+IF($N12=[1]CURSOS!$D$25,[1]CURSOS!$E$25,(+IF($N12=[1]CURSOS!$D$26,[1]CURSOS!$E$26,(+IF($N12=[1]CURSOS!$D$27,[1]CURSOS!$E$27,(+IF($N12=[1]CURSOS!$D$28,[1]CURSOS!$E$28,(+IF($N12=[1]CURSOS!$D$29,[1]CURSOS!$E$29,(+IF($N12=[1]CURSOS!$D$30,[1]CURSOS!$E$30,(+IF($N12=[1]CURSOS!$D$31,[1]CURSOS!$E$31,(+IF($N12=[1]CURSOS!$D$32,[1]CURSOS!$E$32)))))))))))))))))))))))))))))))))))))))))))))))))))))))))))</f>
        <v xml:space="preserve">ATENCION A VICTIMAS DE VIOLENCIA SEXUAL </v>
      </c>
      <c r="U12" s="50" t="str">
        <f t="shared" si="3"/>
        <v>Deicy Maritza Sarasty Apraez</v>
      </c>
      <c r="V12" s="50" t="str">
        <f t="shared" si="4"/>
        <v>Deicy Maritza Sarasty Apraez</v>
      </c>
      <c r="W12" s="50" t="str">
        <f t="shared" si="5"/>
        <v>Deicy Maritza Sarasty Apraez-37082336-VIOLENCIA SEXUAL</v>
      </c>
    </row>
    <row r="13" spans="1:23" s="73" customFormat="1" ht="15.75" x14ac:dyDescent="0.25">
      <c r="A13" s="20">
        <v>12</v>
      </c>
      <c r="B13" s="20">
        <v>1086754770</v>
      </c>
      <c r="C13" s="20" t="s">
        <v>144</v>
      </c>
      <c r="D13" s="20" t="s">
        <v>145</v>
      </c>
      <c r="E13" s="20" t="s">
        <v>146</v>
      </c>
      <c r="F13" s="20" t="s">
        <v>147</v>
      </c>
      <c r="G13" s="19">
        <v>1</v>
      </c>
      <c r="H13" s="19" t="s">
        <v>99</v>
      </c>
      <c r="I13" s="25">
        <v>45292</v>
      </c>
      <c r="J13" s="98">
        <v>35000</v>
      </c>
      <c r="K13" s="116" t="s">
        <v>82</v>
      </c>
      <c r="L13" s="19" t="s">
        <v>84</v>
      </c>
      <c r="M13" s="19" t="s">
        <v>77</v>
      </c>
      <c r="N13" s="21" t="s">
        <v>46</v>
      </c>
      <c r="O13" s="72">
        <v>45393</v>
      </c>
      <c r="P13" s="20" t="s">
        <v>88</v>
      </c>
      <c r="Q13" s="20" t="s">
        <v>148</v>
      </c>
      <c r="R13" s="20">
        <v>3163672648</v>
      </c>
      <c r="S13" s="74" t="s">
        <v>149</v>
      </c>
      <c r="T13" s="50" t="str">
        <f>+IF($N13=[1]CURSOS!$D$3,[1]CURSOS!$E$3,(+IF($N13=[1]CURSOS!$D$4,[1]CURSOS!$E$4,(+IF($N13=[1]CURSOS!$D$5,[1]CURSOS!$E$5,(+IF($N13=[1]CURSOS!$D$6,[1]CURSOS!$E$6,(+IF($N13=[1]CURSOS!$D$7,[1]CURSOS!$E$7,(+IF($N13=[1]CURSOS!$D$8,[1]CURSOS!$E$8,(+IF($N13=[1]CURSOS!$D$9,[1]CURSOS!$E$9,(+IF($N13=[1]CURSOS!$D$10,[1]CURSOS!$E$10,(+IF($N13=[1]CURSOS!$D$11,[1]CURSOS!$E$11,(+IF($N13=[1]CURSOS!$D$12,[1]CURSOS!$E$12,(+IF($N13=[1]CURSOS!$D$13,[1]CURSOS!$E$13,(+IF($N13=[1]CURSOS!$D$14,[1]CURSOS!$E$14,(+IF($N13=[1]CURSOS!$D$15,[1]CURSOS!$E$15,(+IF($N13=[1]CURSOS!$D$16,[1]CURSOS!$E$16,(+IF($N13=[1]CURSOS!$D$17,[1]CURSOS!$E$17,(+IF($N13=[1]CURSOS!$D$18,[1]CURSOS!$E$18,(+IF($N13=[1]CURSOS!$D$19,[1]CURSOS!$E$19,(+IF($N13=[1]CURSOS!$D$20,[1]CURSOS!$E$20,(+IF($N13=[1]CURSOS!$D$21,[1]CURSOS!$E$21,(+IF($N13=[1]CURSOS!$D$22,[1]CURSOS!$E$22,(+IF($N13=[1]CURSOS!$D$23,[1]CURSOS!$E$23,(+IF($N13=[1]CURSOS!$D$24,[1]CURSOS!$E$24,(+IF($N13=[1]CURSOS!$D$25,[1]CURSOS!$E$25,(+IF($N13=[1]CURSOS!$D$26,[1]CURSOS!$E$26,(+IF($N13=[1]CURSOS!$D$27,[1]CURSOS!$E$27,(+IF($N13=[1]CURSOS!$D$28,[1]CURSOS!$E$28,(+IF($N13=[1]CURSOS!$D$29,[1]CURSOS!$E$29,(+IF($N13=[1]CURSOS!$D$30,[1]CURSOS!$E$30,(+IF($N13=[1]CURSOS!$D$31,[1]CURSOS!$E$31,(+IF($N13=[1]CURSOS!$D$32,[1]CURSOS!$E$32)))))))))))))))))))))))))))))))))))))))))))))))))))))))))))</f>
        <v xml:space="preserve">ATENCION A VICTIMAS DE VIOLENCIA SEXUAL </v>
      </c>
      <c r="U13" s="50" t="str">
        <f t="shared" si="3"/>
        <v>Julio Andres Ortiz Arteaga</v>
      </c>
      <c r="V13" s="50" t="str">
        <f t="shared" si="4"/>
        <v>Julio Andres Ortiz Arteaga</v>
      </c>
      <c r="W13" s="50" t="str">
        <f t="shared" si="5"/>
        <v>Julio Andres Ortiz Arteaga-1086754770-VIOLENCIA SEXUAL</v>
      </c>
    </row>
    <row r="14" spans="1:23" s="73" customFormat="1" ht="15.75" x14ac:dyDescent="0.25">
      <c r="A14" s="20">
        <v>13</v>
      </c>
      <c r="B14" s="20">
        <v>1085332278</v>
      </c>
      <c r="C14" s="20" t="s">
        <v>150</v>
      </c>
      <c r="D14" s="20" t="s">
        <v>151</v>
      </c>
      <c r="E14" s="20" t="s">
        <v>152</v>
      </c>
      <c r="F14" s="20" t="s">
        <v>89</v>
      </c>
      <c r="G14" s="19">
        <v>1</v>
      </c>
      <c r="H14" s="19" t="s">
        <v>174</v>
      </c>
      <c r="I14" s="25">
        <v>45383</v>
      </c>
      <c r="J14" s="88">
        <v>130000</v>
      </c>
      <c r="K14" s="116" t="s">
        <v>79</v>
      </c>
      <c r="L14" s="19" t="s">
        <v>84</v>
      </c>
      <c r="M14" s="19" t="s">
        <v>77</v>
      </c>
      <c r="N14" s="21" t="s">
        <v>39</v>
      </c>
      <c r="O14" s="72" t="s">
        <v>153</v>
      </c>
      <c r="P14" s="20" t="s">
        <v>78</v>
      </c>
      <c r="Q14" s="20" t="s">
        <v>148</v>
      </c>
      <c r="R14" s="20">
        <v>3137233870</v>
      </c>
      <c r="S14" s="74" t="s">
        <v>154</v>
      </c>
      <c r="T14" s="50" t="str">
        <f>+IF($N14=[1]CURSOS!$D$3,[1]CURSOS!$E$3,(+IF($N14=[1]CURSOS!$D$4,[1]CURSOS!$E$4,(+IF($N14=[1]CURSOS!$D$5,[1]CURSOS!$E$5,(+IF($N14=[1]CURSOS!$D$6,[1]CURSOS!$E$6,(+IF($N14=[1]CURSOS!$D$7,[1]CURSOS!$E$7,(+IF($N14=[1]CURSOS!$D$8,[1]CURSOS!$E$8,(+IF($N14=[1]CURSOS!$D$9,[1]CURSOS!$E$9,(+IF($N14=[1]CURSOS!$D$10,[1]CURSOS!$E$10,(+IF($N14=[1]CURSOS!$D$11,[1]CURSOS!$E$11,(+IF($N14=[1]CURSOS!$D$12,[1]CURSOS!$E$12,(+IF($N14=[1]CURSOS!$D$13,[1]CURSOS!$E$13,(+IF($N14=[1]CURSOS!$D$14,[1]CURSOS!$E$14,(+IF($N14=[1]CURSOS!$D$15,[1]CURSOS!$E$15,(+IF($N14=[1]CURSOS!$D$16,[1]CURSOS!$E$16,(+IF($N14=[1]CURSOS!$D$17,[1]CURSOS!$E$17,(+IF($N14=[1]CURSOS!$D$18,[1]CURSOS!$E$18,(+IF($N14=[1]CURSOS!$D$19,[1]CURSOS!$E$19,(+IF($N14=[1]CURSOS!$D$20,[1]CURSOS!$E$20,(+IF($N14=[1]CURSOS!$D$21,[1]CURSOS!$E$21,(+IF($N14=[1]CURSOS!$D$22,[1]CURSOS!$E$22,(+IF($N14=[1]CURSOS!$D$23,[1]CURSOS!$E$23,(+IF($N14=[1]CURSOS!$D$24,[1]CURSOS!$E$24,(+IF($N14=[1]CURSOS!$D$25,[1]CURSOS!$E$25,(+IF($N14=[1]CURSOS!$D$26,[1]CURSOS!$E$26,(+IF($N14=[1]CURSOS!$D$27,[1]CURSOS!$E$27,(+IF($N14=[1]CURSOS!$D$28,[1]CURSOS!$E$28,(+IF($N14=[1]CURSOS!$D$29,[1]CURSOS!$E$29,(+IF($N14=[1]CURSOS!$D$30,[1]CURSOS!$E$30,(+IF($N14=[1]CURSOS!$D$31,[1]CURSOS!$E$31,(+IF($N14=[1]CURSOS!$D$32,[1]CURSOS!$E$32)))))))))))))))))))))))))))))))))))))))))))))))))))))))))))</f>
        <v xml:space="preserve">SOPORTE CARDIOVASCULAR AVANZADO </v>
      </c>
      <c r="U14" s="50" t="str">
        <f t="shared" si="3"/>
        <v>Estefany Elizabeth Perez Cordoba</v>
      </c>
      <c r="V14" s="50" t="str">
        <f t="shared" si="4"/>
        <v>Estefany Elizabeth Perez Cordoba</v>
      </c>
      <c r="W14" s="50" t="str">
        <f t="shared" si="5"/>
        <v>Estefany Elizabeth Perez Cordoba-1085332278-ACLS</v>
      </c>
    </row>
    <row r="15" spans="1:23" s="73" customFormat="1" x14ac:dyDescent="0.2">
      <c r="A15" s="20">
        <v>14</v>
      </c>
      <c r="B15" s="20">
        <v>1004578165</v>
      </c>
      <c r="C15" s="20" t="s">
        <v>155</v>
      </c>
      <c r="D15" s="20" t="s">
        <v>156</v>
      </c>
      <c r="E15" s="20" t="s">
        <v>157</v>
      </c>
      <c r="F15" s="20" t="s">
        <v>158</v>
      </c>
      <c r="G15" s="19">
        <v>2</v>
      </c>
      <c r="H15" s="19" t="s">
        <v>99</v>
      </c>
      <c r="I15" s="25">
        <v>45384</v>
      </c>
      <c r="J15" s="98">
        <v>40000</v>
      </c>
      <c r="K15" s="116" t="s">
        <v>82</v>
      </c>
      <c r="L15" s="19" t="s">
        <v>84</v>
      </c>
      <c r="M15" s="19" t="s">
        <v>159</v>
      </c>
      <c r="N15" s="21" t="s">
        <v>23</v>
      </c>
      <c r="O15" s="72"/>
      <c r="P15" s="20" t="s">
        <v>78</v>
      </c>
      <c r="Q15" s="20" t="s">
        <v>160</v>
      </c>
      <c r="R15" s="20"/>
      <c r="S15" s="20" t="s">
        <v>161</v>
      </c>
      <c r="T15" s="50" t="str">
        <f>+IF($N15=[1]CURSOS!$D$3,[1]CURSOS!$E$3,(+IF($N15=[1]CURSOS!$D$4,[1]CURSOS!$E$4,(+IF($N15=[1]CURSOS!$D$5,[1]CURSOS!$E$5,(+IF($N15=[1]CURSOS!$D$6,[1]CURSOS!$E$6,(+IF($N15=[1]CURSOS!$D$7,[1]CURSOS!$E$7,(+IF($N15=[1]CURSOS!$D$8,[1]CURSOS!$E$8,(+IF($N15=[1]CURSOS!$D$9,[1]CURSOS!$E$9,(+IF($N15=[1]CURSOS!$D$10,[1]CURSOS!$E$10,(+IF($N15=[1]CURSOS!$D$11,[1]CURSOS!$E$11,(+IF($N15=[1]CURSOS!$D$12,[1]CURSOS!$E$12,(+IF($N15=[1]CURSOS!$D$13,[1]CURSOS!$E$13,(+IF($N15=[1]CURSOS!$D$14,[1]CURSOS!$E$14,(+IF($N15=[1]CURSOS!$D$15,[1]CURSOS!$E$15,(+IF($N15=[1]CURSOS!$D$16,[1]CURSOS!$E$16,(+IF($N15=[1]CURSOS!$D$17,[1]CURSOS!$E$17,(+IF($N15=[1]CURSOS!$D$18,[1]CURSOS!$E$18,(+IF($N15=[1]CURSOS!$D$19,[1]CURSOS!$E$19,(+IF($N15=[1]CURSOS!$D$20,[1]CURSOS!$E$20,(+IF($N15=[1]CURSOS!$D$21,[1]CURSOS!$E$21,(+IF($N15=[1]CURSOS!$D$22,[1]CURSOS!$E$22,(+IF($N15=[1]CURSOS!$D$23,[1]CURSOS!$E$23,(+IF($N15=[1]CURSOS!$D$24,[1]CURSOS!$E$24,(+IF($N15=[1]CURSOS!$D$25,[1]CURSOS!$E$25,(+IF($N15=[1]CURSOS!$D$26,[1]CURSOS!$E$26,(+IF($N15=[1]CURSOS!$D$27,[1]CURSOS!$E$27,(+IF($N15=[1]CURSOS!$D$28,[1]CURSOS!$E$28,(+IF($N15=[1]CURSOS!$D$29,[1]CURSOS!$E$29,(+IF($N15=[1]CURSOS!$D$30,[1]CURSOS!$E$30,(+IF($N15=[1]CURSOS!$D$31,[1]CURSOS!$E$31,(+IF($N15=[1]CURSOS!$D$32,[1]CURSOS!$E$32)))))))))))))))))))))))))))))))))))))))))))))))))))))))))))</f>
        <v>ACOMPAÑAMIENTO Y MANEJO DEL DUELO</v>
      </c>
      <c r="U15" s="50" t="str">
        <f t="shared" si="3"/>
        <v>Evelyn Graciela Muñoz Hernandez</v>
      </c>
      <c r="V15" s="50" t="str">
        <f t="shared" si="4"/>
        <v>Evelyn Graciela Muñoz Hernandez</v>
      </c>
      <c r="W15" s="50" t="str">
        <f t="shared" si="5"/>
        <v>Evelyn Graciela Muñoz Hernandez-1004578165-DUELO</v>
      </c>
    </row>
    <row r="16" spans="1:23" s="73" customFormat="1" x14ac:dyDescent="0.2">
      <c r="A16" s="20">
        <v>15</v>
      </c>
      <c r="B16" s="20">
        <v>59683722</v>
      </c>
      <c r="C16" s="20" t="s">
        <v>162</v>
      </c>
      <c r="D16" s="20" t="s">
        <v>163</v>
      </c>
      <c r="E16" s="20" t="s">
        <v>164</v>
      </c>
      <c r="F16" s="20" t="s">
        <v>165</v>
      </c>
      <c r="G16" s="19">
        <v>24</v>
      </c>
      <c r="H16" s="19" t="s">
        <v>166</v>
      </c>
      <c r="I16" s="25" t="s">
        <v>167</v>
      </c>
      <c r="J16" s="88" t="s">
        <v>167</v>
      </c>
      <c r="K16" s="19" t="s">
        <v>168</v>
      </c>
      <c r="L16" s="19" t="s">
        <v>84</v>
      </c>
      <c r="M16" s="19" t="s">
        <v>169</v>
      </c>
      <c r="N16" s="21" t="s">
        <v>39</v>
      </c>
      <c r="O16" s="72"/>
      <c r="P16" s="20" t="s">
        <v>78</v>
      </c>
      <c r="Q16" s="20"/>
      <c r="R16" s="20"/>
      <c r="S16" s="20"/>
      <c r="T16" s="50" t="str">
        <f>+IF($N16=[1]CURSOS!$D$3,[1]CURSOS!$E$3,(+IF($N16=[1]CURSOS!$D$4,[1]CURSOS!$E$4,(+IF($N16=[1]CURSOS!$D$5,[1]CURSOS!$E$5,(+IF($N16=[1]CURSOS!$D$6,[1]CURSOS!$E$6,(+IF($N16=[1]CURSOS!$D$7,[1]CURSOS!$E$7,(+IF($N16=[1]CURSOS!$D$8,[1]CURSOS!$E$8,(+IF($N16=[1]CURSOS!$D$9,[1]CURSOS!$E$9,(+IF($N16=[1]CURSOS!$D$10,[1]CURSOS!$E$10,(+IF($N16=[1]CURSOS!$D$11,[1]CURSOS!$E$11,(+IF($N16=[1]CURSOS!$D$12,[1]CURSOS!$E$12,(+IF($N16=[1]CURSOS!$D$13,[1]CURSOS!$E$13,(+IF($N16=[1]CURSOS!$D$14,[1]CURSOS!$E$14,(+IF($N16=[1]CURSOS!$D$15,[1]CURSOS!$E$15,(+IF($N16=[1]CURSOS!$D$16,[1]CURSOS!$E$16,(+IF($N16=[1]CURSOS!$D$17,[1]CURSOS!$E$17,(+IF($N16=[1]CURSOS!$D$18,[1]CURSOS!$E$18,(+IF($N16=[1]CURSOS!$D$19,[1]CURSOS!$E$19,(+IF($N16=[1]CURSOS!$D$20,[1]CURSOS!$E$20,(+IF($N16=[1]CURSOS!$D$21,[1]CURSOS!$E$21,(+IF($N16=[1]CURSOS!$D$22,[1]CURSOS!$E$22,(+IF($N16=[1]CURSOS!$D$23,[1]CURSOS!$E$23,(+IF($N16=[1]CURSOS!$D$24,[1]CURSOS!$E$24,(+IF($N16=[1]CURSOS!$D$25,[1]CURSOS!$E$25,(+IF($N16=[1]CURSOS!$D$26,[1]CURSOS!$E$26,(+IF($N16=[1]CURSOS!$D$27,[1]CURSOS!$E$27,(+IF($N16=[1]CURSOS!$D$28,[1]CURSOS!$E$28,(+IF($N16=[1]CURSOS!$D$29,[1]CURSOS!$E$29,(+IF($N16=[1]CURSOS!$D$30,[1]CURSOS!$E$30,(+IF($N16=[1]CURSOS!$D$31,[1]CURSOS!$E$31,(+IF($N16=[1]CURSOS!$D$32,[1]CURSOS!$E$32)))))))))))))))))))))))))))))))))))))))))))))))))))))))))))</f>
        <v xml:space="preserve">SOPORTE CARDIOVASCULAR AVANZADO </v>
      </c>
      <c r="U16" s="50" t="str">
        <f t="shared" si="3"/>
        <v>Flor Mabelis Cabezas Quiñones</v>
      </c>
      <c r="V16" s="50" t="str">
        <f t="shared" si="4"/>
        <v>Flor Mabelis Cabezas Quiñones</v>
      </c>
      <c r="W16" s="50" t="str">
        <f t="shared" si="5"/>
        <v>Flor Mabelis Cabezas Quiñones-59683722-ACLS</v>
      </c>
    </row>
    <row r="17" spans="1:23" s="73" customFormat="1" x14ac:dyDescent="0.2">
      <c r="A17" s="20">
        <v>16</v>
      </c>
      <c r="B17" s="20">
        <v>59683722</v>
      </c>
      <c r="C17" s="20" t="s">
        <v>162</v>
      </c>
      <c r="D17" s="20" t="s">
        <v>163</v>
      </c>
      <c r="E17" s="20" t="s">
        <v>164</v>
      </c>
      <c r="F17" s="20" t="s">
        <v>165</v>
      </c>
      <c r="G17" s="19">
        <v>24</v>
      </c>
      <c r="H17" s="19" t="s">
        <v>166</v>
      </c>
      <c r="I17" s="25" t="s">
        <v>167</v>
      </c>
      <c r="J17" s="88" t="s">
        <v>167</v>
      </c>
      <c r="K17" s="19" t="s">
        <v>168</v>
      </c>
      <c r="L17" s="19" t="s">
        <v>84</v>
      </c>
      <c r="M17" s="19" t="s">
        <v>169</v>
      </c>
      <c r="N17" s="21" t="s">
        <v>23</v>
      </c>
      <c r="O17" s="72"/>
      <c r="P17" s="20" t="s">
        <v>78</v>
      </c>
      <c r="Q17" s="20"/>
      <c r="R17" s="20"/>
      <c r="S17" s="20"/>
      <c r="T17" s="50" t="str">
        <f>+IF($N17=[1]CURSOS!$D$3,[1]CURSOS!$E$3,(+IF($N17=[1]CURSOS!$D$4,[1]CURSOS!$E$4,(+IF($N17=[1]CURSOS!$D$5,[1]CURSOS!$E$5,(+IF($N17=[1]CURSOS!$D$6,[1]CURSOS!$E$6,(+IF($N17=[1]CURSOS!$D$7,[1]CURSOS!$E$7,(+IF($N17=[1]CURSOS!$D$8,[1]CURSOS!$E$8,(+IF($N17=[1]CURSOS!$D$9,[1]CURSOS!$E$9,(+IF($N17=[1]CURSOS!$D$10,[1]CURSOS!$E$10,(+IF($N17=[1]CURSOS!$D$11,[1]CURSOS!$E$11,(+IF($N17=[1]CURSOS!$D$12,[1]CURSOS!$E$12,(+IF($N17=[1]CURSOS!$D$13,[1]CURSOS!$E$13,(+IF($N17=[1]CURSOS!$D$14,[1]CURSOS!$E$14,(+IF($N17=[1]CURSOS!$D$15,[1]CURSOS!$E$15,(+IF($N17=[1]CURSOS!$D$16,[1]CURSOS!$E$16,(+IF($N17=[1]CURSOS!$D$17,[1]CURSOS!$E$17,(+IF($N17=[1]CURSOS!$D$18,[1]CURSOS!$E$18,(+IF($N17=[1]CURSOS!$D$19,[1]CURSOS!$E$19,(+IF($N17=[1]CURSOS!$D$20,[1]CURSOS!$E$20,(+IF($N17=[1]CURSOS!$D$21,[1]CURSOS!$E$21,(+IF($N17=[1]CURSOS!$D$22,[1]CURSOS!$E$22,(+IF($N17=[1]CURSOS!$D$23,[1]CURSOS!$E$23,(+IF($N17=[1]CURSOS!$D$24,[1]CURSOS!$E$24,(+IF($N17=[1]CURSOS!$D$25,[1]CURSOS!$E$25,(+IF($N17=[1]CURSOS!$D$26,[1]CURSOS!$E$26,(+IF($N17=[1]CURSOS!$D$27,[1]CURSOS!$E$27,(+IF($N17=[1]CURSOS!$D$28,[1]CURSOS!$E$28,(+IF($N17=[1]CURSOS!$D$29,[1]CURSOS!$E$29,(+IF($N17=[1]CURSOS!$D$30,[1]CURSOS!$E$30,(+IF($N17=[1]CURSOS!$D$31,[1]CURSOS!$E$31,(+IF($N17=[1]CURSOS!$D$32,[1]CURSOS!$E$32)))))))))))))))))))))))))))))))))))))))))))))))))))))))))))</f>
        <v>ACOMPAÑAMIENTO Y MANEJO DEL DUELO</v>
      </c>
      <c r="U17" s="50" t="str">
        <f t="shared" si="3"/>
        <v>Flor Mabelis Cabezas Quiñones</v>
      </c>
      <c r="V17" s="50" t="str">
        <f t="shared" si="4"/>
        <v>Flor Mabelis Cabezas Quiñones</v>
      </c>
      <c r="W17" s="50" t="str">
        <f t="shared" si="5"/>
        <v>Flor Mabelis Cabezas Quiñones-59683722-DUELO</v>
      </c>
    </row>
    <row r="18" spans="1:23" s="73" customFormat="1" x14ac:dyDescent="0.2">
      <c r="A18" s="20">
        <v>17</v>
      </c>
      <c r="B18" s="20">
        <v>5204222</v>
      </c>
      <c r="C18" s="20" t="s">
        <v>170</v>
      </c>
      <c r="D18" s="20" t="s">
        <v>171</v>
      </c>
      <c r="E18" s="20" t="s">
        <v>172</v>
      </c>
      <c r="F18" s="20" t="s">
        <v>170</v>
      </c>
      <c r="G18" s="19">
        <v>2</v>
      </c>
      <c r="H18" s="19" t="s">
        <v>166</v>
      </c>
      <c r="I18" s="25">
        <v>45385</v>
      </c>
      <c r="J18" s="98">
        <v>30000</v>
      </c>
      <c r="K18" s="116" t="s">
        <v>82</v>
      </c>
      <c r="L18" s="19" t="s">
        <v>84</v>
      </c>
      <c r="M18" s="19" t="s">
        <v>173</v>
      </c>
      <c r="N18" s="21" t="s">
        <v>46</v>
      </c>
      <c r="O18" s="72"/>
      <c r="P18" s="20" t="s">
        <v>78</v>
      </c>
      <c r="Q18" s="20"/>
      <c r="R18" s="20"/>
      <c r="S18" s="20"/>
      <c r="T18" s="50" t="str">
        <f>+IF($N18=[1]CURSOS!$D$3,[1]CURSOS!$E$3,(+IF($N18=[1]CURSOS!$D$4,[1]CURSOS!$E$4,(+IF($N18=[1]CURSOS!$D$5,[1]CURSOS!$E$5,(+IF($N18=[1]CURSOS!$D$6,[1]CURSOS!$E$6,(+IF($N18=[1]CURSOS!$D$7,[1]CURSOS!$E$7,(+IF($N18=[1]CURSOS!$D$8,[1]CURSOS!$E$8,(+IF($N18=[1]CURSOS!$D$9,[1]CURSOS!$E$9,(+IF($N18=[1]CURSOS!$D$10,[1]CURSOS!$E$10,(+IF($N18=[1]CURSOS!$D$11,[1]CURSOS!$E$11,(+IF($N18=[1]CURSOS!$D$12,[1]CURSOS!$E$12,(+IF($N18=[1]CURSOS!$D$13,[1]CURSOS!$E$13,(+IF($N18=[1]CURSOS!$D$14,[1]CURSOS!$E$14,(+IF($N18=[1]CURSOS!$D$15,[1]CURSOS!$E$15,(+IF($N18=[1]CURSOS!$D$16,[1]CURSOS!$E$16,(+IF($N18=[1]CURSOS!$D$17,[1]CURSOS!$E$17,(+IF($N18=[1]CURSOS!$D$18,[1]CURSOS!$E$18,(+IF($N18=[1]CURSOS!$D$19,[1]CURSOS!$E$19,(+IF($N18=[1]CURSOS!$D$20,[1]CURSOS!$E$20,(+IF($N18=[1]CURSOS!$D$21,[1]CURSOS!$E$21,(+IF($N18=[1]CURSOS!$D$22,[1]CURSOS!$E$22,(+IF($N18=[1]CURSOS!$D$23,[1]CURSOS!$E$23,(+IF($N18=[1]CURSOS!$D$24,[1]CURSOS!$E$24,(+IF($N18=[1]CURSOS!$D$25,[1]CURSOS!$E$25,(+IF($N18=[1]CURSOS!$D$26,[1]CURSOS!$E$26,(+IF($N18=[1]CURSOS!$D$27,[1]CURSOS!$E$27,(+IF($N18=[1]CURSOS!$D$28,[1]CURSOS!$E$28,(+IF($N18=[1]CURSOS!$D$29,[1]CURSOS!$E$29,(+IF($N18=[1]CURSOS!$D$30,[1]CURSOS!$E$30,(+IF($N18=[1]CURSOS!$D$31,[1]CURSOS!$E$31,(+IF($N18=[1]CURSOS!$D$32,[1]CURSOS!$E$32)))))))))))))))))))))))))))))))))))))))))))))))))))))))))))</f>
        <v xml:space="preserve">ATENCION A VICTIMAS DE VIOLENCIA SEXUAL </v>
      </c>
      <c r="U18" s="50" t="str">
        <f t="shared" si="3"/>
        <v>Paul Bastidas Bastidas Achicanoy</v>
      </c>
      <c r="V18" s="50" t="str">
        <f t="shared" si="4"/>
        <v>Paul Bastidas Bastidas Achicanoy</v>
      </c>
      <c r="W18" s="50" t="str">
        <f t="shared" si="5"/>
        <v>Paul Bastidas Bastidas Achicanoy-5204222-VIOLENCIA SEXUAL</v>
      </c>
    </row>
    <row r="19" spans="1:23" s="73" customFormat="1" ht="15.75" x14ac:dyDescent="0.25">
      <c r="A19" s="20">
        <v>18</v>
      </c>
      <c r="B19" s="20">
        <v>1085332278</v>
      </c>
      <c r="C19" s="20" t="s">
        <v>150</v>
      </c>
      <c r="D19" s="20" t="s">
        <v>151</v>
      </c>
      <c r="E19" s="20" t="s">
        <v>152</v>
      </c>
      <c r="F19" s="20" t="s">
        <v>89</v>
      </c>
      <c r="G19" s="19">
        <v>1</v>
      </c>
      <c r="H19" s="19" t="s">
        <v>174</v>
      </c>
      <c r="I19" s="25" t="s">
        <v>167</v>
      </c>
      <c r="J19" s="88" t="s">
        <v>167</v>
      </c>
      <c r="K19" s="19" t="s">
        <v>168</v>
      </c>
      <c r="L19" s="19" t="s">
        <v>84</v>
      </c>
      <c r="M19" s="19" t="s">
        <v>77</v>
      </c>
      <c r="N19" s="21" t="s">
        <v>19</v>
      </c>
      <c r="O19" s="72" t="s">
        <v>153</v>
      </c>
      <c r="P19" s="20" t="s">
        <v>78</v>
      </c>
      <c r="Q19" s="20" t="s">
        <v>148</v>
      </c>
      <c r="R19" s="20">
        <v>3137233870</v>
      </c>
      <c r="S19" s="74" t="s">
        <v>154</v>
      </c>
      <c r="T19" s="50" t="str">
        <f>+IF($N19=[1]CURSOS!$D$3,[1]CURSOS!$E$3,(+IF($N19=[1]CURSOS!$D$4,[1]CURSOS!$E$4,(+IF($N19=[1]CURSOS!$D$5,[1]CURSOS!$E$5,(+IF($N19=[1]CURSOS!$D$6,[1]CURSOS!$E$6,(+IF($N19=[1]CURSOS!$D$7,[1]CURSOS!$E$7,(+IF($N19=[1]CURSOS!$D$8,[1]CURSOS!$E$8,(+IF($N19=[1]CURSOS!$D$9,[1]CURSOS!$E$9,(+IF($N19=[1]CURSOS!$D$10,[1]CURSOS!$E$10,(+IF($N19=[1]CURSOS!$D$11,[1]CURSOS!$E$11,(+IF($N19=[1]CURSOS!$D$12,[1]CURSOS!$E$12,(+IF($N19=[1]CURSOS!$D$13,[1]CURSOS!$E$13,(+IF($N19=[1]CURSOS!$D$14,[1]CURSOS!$E$14,(+IF($N19=[1]CURSOS!$D$15,[1]CURSOS!$E$15,(+IF($N19=[1]CURSOS!$D$16,[1]CURSOS!$E$16,(+IF($N19=[1]CURSOS!$D$17,[1]CURSOS!$E$17,(+IF($N19=[1]CURSOS!$D$18,[1]CURSOS!$E$18,(+IF($N19=[1]CURSOS!$D$19,[1]CURSOS!$E$19,(+IF($N19=[1]CURSOS!$D$20,[1]CURSOS!$E$20,(+IF($N19=[1]CURSOS!$D$21,[1]CURSOS!$E$21,(+IF($N19=[1]CURSOS!$D$22,[1]CURSOS!$E$22,(+IF($N19=[1]CURSOS!$D$23,[1]CURSOS!$E$23,(+IF($N19=[1]CURSOS!$D$24,[1]CURSOS!$E$24,(+IF($N19=[1]CURSOS!$D$25,[1]CURSOS!$E$25,(+IF($N19=[1]CURSOS!$D$26,[1]CURSOS!$E$26,(+IF($N19=[1]CURSOS!$D$27,[1]CURSOS!$E$27,(+IF($N19=[1]CURSOS!$D$28,[1]CURSOS!$E$28,(+IF($N19=[1]CURSOS!$D$29,[1]CURSOS!$E$29,(+IF($N19=[1]CURSOS!$D$30,[1]CURSOS!$E$30,(+IF($N19=[1]CURSOS!$D$31,[1]CURSOS!$E$31,(+IF($N19=[1]CURSOS!$D$32,[1]CURSOS!$E$32)))))))))))))))))))))))))))))))))))))))))))))))))))))))))))</f>
        <v>SOPORTE VITAL BASICO (BLS)</v>
      </c>
      <c r="U19" s="50" t="str">
        <f t="shared" ref="U19" si="6">CONCATENATE(E19," ",F19," ",C19," ",D19)</f>
        <v>Estefany Elizabeth Perez Cordoba</v>
      </c>
      <c r="V19" s="50" t="str">
        <f t="shared" ref="V19" si="7">+PROPER(U19)</f>
        <v>Estefany Elizabeth Perez Cordoba</v>
      </c>
      <c r="W19" s="50" t="str">
        <f t="shared" ref="W19" si="8">CONCATENATE(U19,"-",B19,"-",N19)</f>
        <v>Estefany Elizabeth Perez Cordoba-1085332278-BLS</v>
      </c>
    </row>
    <row r="20" spans="1:23" s="73" customFormat="1" ht="15.75" x14ac:dyDescent="0.25">
      <c r="A20" s="20">
        <v>19</v>
      </c>
      <c r="B20" s="20">
        <v>1087122749</v>
      </c>
      <c r="C20" s="20" t="s">
        <v>175</v>
      </c>
      <c r="D20" s="20" t="s">
        <v>176</v>
      </c>
      <c r="E20" s="20" t="s">
        <v>152</v>
      </c>
      <c r="F20" s="20" t="s">
        <v>232</v>
      </c>
      <c r="G20" s="19">
        <v>2</v>
      </c>
      <c r="H20" s="19" t="s">
        <v>99</v>
      </c>
      <c r="I20" s="25">
        <v>45383</v>
      </c>
      <c r="J20" s="98">
        <v>50000</v>
      </c>
      <c r="K20" s="116" t="s">
        <v>82</v>
      </c>
      <c r="L20" s="19" t="s">
        <v>84</v>
      </c>
      <c r="M20" s="19" t="s">
        <v>77</v>
      </c>
      <c r="N20" s="21" t="s">
        <v>19</v>
      </c>
      <c r="O20" s="72">
        <v>34377</v>
      </c>
      <c r="P20" s="20" t="s">
        <v>78</v>
      </c>
      <c r="Q20" s="20"/>
      <c r="R20" s="20"/>
      <c r="S20" s="74" t="s">
        <v>178</v>
      </c>
      <c r="T20" s="50" t="str">
        <f>+IF($N20=[1]CURSOS!$D$3,[1]CURSOS!$E$3,(+IF($N20=[1]CURSOS!$D$4,[1]CURSOS!$E$4,(+IF($N20=[1]CURSOS!$D$5,[1]CURSOS!$E$5,(+IF($N20=[1]CURSOS!$D$6,[1]CURSOS!$E$6,(+IF($N20=[1]CURSOS!$D$7,[1]CURSOS!$E$7,(+IF($N20=[1]CURSOS!$D$8,[1]CURSOS!$E$8,(+IF($N20=[1]CURSOS!$D$9,[1]CURSOS!$E$9,(+IF($N20=[1]CURSOS!$D$10,[1]CURSOS!$E$10,(+IF($N20=[1]CURSOS!$D$11,[1]CURSOS!$E$11,(+IF($N20=[1]CURSOS!$D$12,[1]CURSOS!$E$12,(+IF($N20=[1]CURSOS!$D$13,[1]CURSOS!$E$13,(+IF($N20=[1]CURSOS!$D$14,[1]CURSOS!$E$14,(+IF($N20=[1]CURSOS!$D$15,[1]CURSOS!$E$15,(+IF($N20=[1]CURSOS!$D$16,[1]CURSOS!$E$16,(+IF($N20=[1]CURSOS!$D$17,[1]CURSOS!$E$17,(+IF($N20=[1]CURSOS!$D$18,[1]CURSOS!$E$18,(+IF($N20=[1]CURSOS!$D$19,[1]CURSOS!$E$19,(+IF($N20=[1]CURSOS!$D$20,[1]CURSOS!$E$20,(+IF($N20=[1]CURSOS!$D$21,[1]CURSOS!$E$21,(+IF($N20=[1]CURSOS!$D$22,[1]CURSOS!$E$22,(+IF($N20=[1]CURSOS!$D$23,[1]CURSOS!$E$23,(+IF($N20=[1]CURSOS!$D$24,[1]CURSOS!$E$24,(+IF($N20=[1]CURSOS!$D$25,[1]CURSOS!$E$25,(+IF($N20=[1]CURSOS!$D$26,[1]CURSOS!$E$26,(+IF($N20=[1]CURSOS!$D$27,[1]CURSOS!$E$27,(+IF($N20=[1]CURSOS!$D$28,[1]CURSOS!$E$28,(+IF($N20=[1]CURSOS!$D$29,[1]CURSOS!$E$29,(+IF($N20=[1]CURSOS!$D$30,[1]CURSOS!$E$30,(+IF($N20=[1]CURSOS!$D$31,[1]CURSOS!$E$31,(+IF($N20=[1]CURSOS!$D$32,[1]CURSOS!$E$32)))))))))))))))))))))))))))))))))))))))))))))))))))))))))))</f>
        <v>SOPORTE VITAL BASICO (BLS)</v>
      </c>
      <c r="U20" s="50" t="str">
        <f t="shared" ref="U20" si="9">CONCATENATE(E20," ",F20," ",C20," ",D20)</f>
        <v>Estefany Del Socorro Castillo Tello</v>
      </c>
      <c r="V20" s="50" t="str">
        <f t="shared" ref="V20" si="10">+PROPER(U20)</f>
        <v>Estefany Del Socorro Castillo Tello</v>
      </c>
      <c r="W20" s="50" t="str">
        <f t="shared" ref="W20" si="11">CONCATENATE(U20,"-",B20,"-",N20)</f>
        <v>Estefany Del Socorro Castillo Tello-1087122749-BLS</v>
      </c>
    </row>
    <row r="21" spans="1:23" s="73" customFormat="1" x14ac:dyDescent="0.2">
      <c r="A21" s="20">
        <v>20</v>
      </c>
      <c r="B21" s="20">
        <v>87301935</v>
      </c>
      <c r="C21" s="20" t="s">
        <v>179</v>
      </c>
      <c r="D21" s="20" t="s">
        <v>180</v>
      </c>
      <c r="E21" s="20" t="s">
        <v>181</v>
      </c>
      <c r="F21" s="20"/>
      <c r="G21" s="19">
        <v>2</v>
      </c>
      <c r="H21" s="19" t="s">
        <v>99</v>
      </c>
      <c r="I21" s="25">
        <v>45383</v>
      </c>
      <c r="J21" s="98">
        <v>40000</v>
      </c>
      <c r="K21" s="116" t="s">
        <v>82</v>
      </c>
      <c r="L21" s="19" t="s">
        <v>84</v>
      </c>
      <c r="M21" s="19" t="s">
        <v>77</v>
      </c>
      <c r="N21" s="21" t="s">
        <v>27</v>
      </c>
      <c r="O21" s="72">
        <v>30718</v>
      </c>
      <c r="P21" s="20" t="s">
        <v>88</v>
      </c>
      <c r="Q21" s="20"/>
      <c r="R21" s="20"/>
      <c r="S21" s="20"/>
      <c r="T21" s="50" t="str">
        <f>+IF($N21=[1]CURSOS!$D$3,[1]CURSOS!$E$3,(+IF($N21=[1]CURSOS!$D$4,[1]CURSOS!$E$4,(+IF($N21=[1]CURSOS!$D$5,[1]CURSOS!$E$5,(+IF($N21=[1]CURSOS!$D$6,[1]CURSOS!$E$6,(+IF($N21=[1]CURSOS!$D$7,[1]CURSOS!$E$7,(+IF($N21=[1]CURSOS!$D$8,[1]CURSOS!$E$8,(+IF($N21=[1]CURSOS!$D$9,[1]CURSOS!$E$9,(+IF($N21=[1]CURSOS!$D$10,[1]CURSOS!$E$10,(+IF($N21=[1]CURSOS!$D$11,[1]CURSOS!$E$11,(+IF($N21=[1]CURSOS!$D$12,[1]CURSOS!$E$12,(+IF($N21=[1]CURSOS!$D$13,[1]CURSOS!$E$13,(+IF($N21=[1]CURSOS!$D$14,[1]CURSOS!$E$14,(+IF($N21=[1]CURSOS!$D$15,[1]CURSOS!$E$15,(+IF($N21=[1]CURSOS!$D$16,[1]CURSOS!$E$16,(+IF($N21=[1]CURSOS!$D$17,[1]CURSOS!$E$17,(+IF($N21=[1]CURSOS!$D$18,[1]CURSOS!$E$18,(+IF($N21=[1]CURSOS!$D$19,[1]CURSOS!$E$19,(+IF($N21=[1]CURSOS!$D$20,[1]CURSOS!$E$20,(+IF($N21=[1]CURSOS!$D$21,[1]CURSOS!$E$21,(+IF($N21=[1]CURSOS!$D$22,[1]CURSOS!$E$22,(+IF($N21=[1]CURSOS!$D$23,[1]CURSOS!$E$23,(+IF($N21=[1]CURSOS!$D$24,[1]CURSOS!$E$24,(+IF($N21=[1]CURSOS!$D$25,[1]CURSOS!$E$25,(+IF($N21=[1]CURSOS!$D$26,[1]CURSOS!$E$26,(+IF($N21=[1]CURSOS!$D$27,[1]CURSOS!$E$27,(+IF($N21=[1]CURSOS!$D$28,[1]CURSOS!$E$28,(+IF($N21=[1]CURSOS!$D$29,[1]CURSOS!$E$29,(+IF($N21=[1]CURSOS!$D$30,[1]CURSOS!$E$30,(+IF($N21=[1]CURSOS!$D$31,[1]CURSOS!$E$31,(+IF($N21=[1]CURSOS!$D$32,[1]CURSOS!$E$32)))))))))))))))))))))))))))))))))))))))))))))))))))))))))))</f>
        <v xml:space="preserve">PRIMEROS AUXILIOS </v>
      </c>
      <c r="U21" s="50" t="str">
        <f t="shared" si="3"/>
        <v>Santiago  Alban Delgado</v>
      </c>
      <c r="V21" s="50" t="str">
        <f t="shared" si="4"/>
        <v>Santiago  Alban Delgado</v>
      </c>
      <c r="W21" s="50" t="str">
        <f t="shared" si="5"/>
        <v>Santiago  Alban Delgado-87301935-PRIMEROS AUXILIOS</v>
      </c>
    </row>
    <row r="22" spans="1:23" s="73" customFormat="1" x14ac:dyDescent="0.2">
      <c r="A22" s="20">
        <v>21</v>
      </c>
      <c r="B22" s="20">
        <v>1085285351</v>
      </c>
      <c r="C22" s="20" t="s">
        <v>182</v>
      </c>
      <c r="D22" s="20" t="s">
        <v>183</v>
      </c>
      <c r="E22" s="20" t="s">
        <v>184</v>
      </c>
      <c r="F22" s="20"/>
      <c r="G22" s="19">
        <v>2</v>
      </c>
      <c r="H22" s="19" t="s">
        <v>99</v>
      </c>
      <c r="I22" s="25">
        <v>45385</v>
      </c>
      <c r="J22" s="98">
        <v>30000</v>
      </c>
      <c r="K22" s="116" t="s">
        <v>82</v>
      </c>
      <c r="L22" s="19" t="s">
        <v>84</v>
      </c>
      <c r="M22" s="19" t="s">
        <v>173</v>
      </c>
      <c r="N22" s="21" t="s">
        <v>23</v>
      </c>
      <c r="O22" s="72"/>
      <c r="P22" s="20" t="s">
        <v>78</v>
      </c>
      <c r="Q22" s="20" t="s">
        <v>160</v>
      </c>
      <c r="R22" s="20"/>
      <c r="S22" s="20"/>
      <c r="T22" s="50" t="str">
        <f>+IF($N22=[1]CURSOS!$D$3,[1]CURSOS!$E$3,(+IF($N22=[1]CURSOS!$D$4,[1]CURSOS!$E$4,(+IF($N22=[1]CURSOS!$D$5,[1]CURSOS!$E$5,(+IF($N22=[1]CURSOS!$D$6,[1]CURSOS!$E$6,(+IF($N22=[1]CURSOS!$D$7,[1]CURSOS!$E$7,(+IF($N22=[1]CURSOS!$D$8,[1]CURSOS!$E$8,(+IF($N22=[1]CURSOS!$D$9,[1]CURSOS!$E$9,(+IF($N22=[1]CURSOS!$D$10,[1]CURSOS!$E$10,(+IF($N22=[1]CURSOS!$D$11,[1]CURSOS!$E$11,(+IF($N22=[1]CURSOS!$D$12,[1]CURSOS!$E$12,(+IF($N22=[1]CURSOS!$D$13,[1]CURSOS!$E$13,(+IF($N22=[1]CURSOS!$D$14,[1]CURSOS!$E$14,(+IF($N22=[1]CURSOS!$D$15,[1]CURSOS!$E$15,(+IF($N22=[1]CURSOS!$D$16,[1]CURSOS!$E$16,(+IF($N22=[1]CURSOS!$D$17,[1]CURSOS!$E$17,(+IF($N22=[1]CURSOS!$D$18,[1]CURSOS!$E$18,(+IF($N22=[1]CURSOS!$D$19,[1]CURSOS!$E$19,(+IF($N22=[1]CURSOS!$D$20,[1]CURSOS!$E$20,(+IF($N22=[1]CURSOS!$D$21,[1]CURSOS!$E$21,(+IF($N22=[1]CURSOS!$D$22,[1]CURSOS!$E$22,(+IF($N22=[1]CURSOS!$D$23,[1]CURSOS!$E$23,(+IF($N22=[1]CURSOS!$D$24,[1]CURSOS!$E$24,(+IF($N22=[1]CURSOS!$D$25,[1]CURSOS!$E$25,(+IF($N22=[1]CURSOS!$D$26,[1]CURSOS!$E$26,(+IF($N22=[1]CURSOS!$D$27,[1]CURSOS!$E$27,(+IF($N22=[1]CURSOS!$D$28,[1]CURSOS!$E$28,(+IF($N22=[1]CURSOS!$D$29,[1]CURSOS!$E$29,(+IF($N22=[1]CURSOS!$D$30,[1]CURSOS!$E$30,(+IF($N22=[1]CURSOS!$D$31,[1]CURSOS!$E$31,(+IF($N22=[1]CURSOS!$D$32,[1]CURSOS!$E$32)))))))))))))))))))))))))))))))))))))))))))))))))))))))))))</f>
        <v>ACOMPAÑAMIENTO Y MANEJO DEL DUELO</v>
      </c>
      <c r="U22" s="50" t="str">
        <f t="shared" si="3"/>
        <v>Vanessa  Guerrero Palacios</v>
      </c>
      <c r="V22" s="50" t="str">
        <f t="shared" si="4"/>
        <v>Vanessa  Guerrero Palacios</v>
      </c>
      <c r="W22" s="50" t="str">
        <f t="shared" si="5"/>
        <v>Vanessa  Guerrero Palacios-1085285351-DUELO</v>
      </c>
    </row>
    <row r="23" spans="1:23" s="73" customFormat="1" ht="15.75" x14ac:dyDescent="0.25">
      <c r="A23" s="20">
        <v>22</v>
      </c>
      <c r="B23" s="20">
        <v>1193034433</v>
      </c>
      <c r="C23" s="20" t="s">
        <v>185</v>
      </c>
      <c r="D23" s="20" t="s">
        <v>186</v>
      </c>
      <c r="E23" s="20" t="s">
        <v>187</v>
      </c>
      <c r="F23" s="20" t="s">
        <v>188</v>
      </c>
      <c r="G23" s="19">
        <v>4</v>
      </c>
      <c r="H23" s="19" t="s">
        <v>99</v>
      </c>
      <c r="I23" s="25">
        <v>45385</v>
      </c>
      <c r="J23" s="98">
        <v>60000</v>
      </c>
      <c r="K23" s="116" t="s">
        <v>189</v>
      </c>
      <c r="L23" s="19" t="s">
        <v>84</v>
      </c>
      <c r="M23" s="19" t="s">
        <v>77</v>
      </c>
      <c r="N23" s="21" t="s">
        <v>23</v>
      </c>
      <c r="O23" s="72">
        <v>37046</v>
      </c>
      <c r="P23" s="20" t="s">
        <v>78</v>
      </c>
      <c r="Q23" s="20" t="s">
        <v>160</v>
      </c>
      <c r="R23" s="20">
        <v>3136716885</v>
      </c>
      <c r="S23" s="74" t="s">
        <v>190</v>
      </c>
      <c r="T23" s="50" t="str">
        <f>+IF($N23=[1]CURSOS!$D$3,[1]CURSOS!$E$3,(+IF($N23=[1]CURSOS!$D$4,[1]CURSOS!$E$4,(+IF($N23=[1]CURSOS!$D$5,[1]CURSOS!$E$5,(+IF($N23=[1]CURSOS!$D$6,[1]CURSOS!$E$6,(+IF($N23=[1]CURSOS!$D$7,[1]CURSOS!$E$7,(+IF($N23=[1]CURSOS!$D$8,[1]CURSOS!$E$8,(+IF($N23=[1]CURSOS!$D$9,[1]CURSOS!$E$9,(+IF($N23=[1]CURSOS!$D$10,[1]CURSOS!$E$10,(+IF($N23=[1]CURSOS!$D$11,[1]CURSOS!$E$11,(+IF($N23=[1]CURSOS!$D$12,[1]CURSOS!$E$12,(+IF($N23=[1]CURSOS!$D$13,[1]CURSOS!$E$13,(+IF($N23=[1]CURSOS!$D$14,[1]CURSOS!$E$14,(+IF($N23=[1]CURSOS!$D$15,[1]CURSOS!$E$15,(+IF($N23=[1]CURSOS!$D$16,[1]CURSOS!$E$16,(+IF($N23=[1]CURSOS!$D$17,[1]CURSOS!$E$17,(+IF($N23=[1]CURSOS!$D$18,[1]CURSOS!$E$18,(+IF($N23=[1]CURSOS!$D$19,[1]CURSOS!$E$19,(+IF($N23=[1]CURSOS!$D$20,[1]CURSOS!$E$20,(+IF($N23=[1]CURSOS!$D$21,[1]CURSOS!$E$21,(+IF($N23=[1]CURSOS!$D$22,[1]CURSOS!$E$22,(+IF($N23=[1]CURSOS!$D$23,[1]CURSOS!$E$23,(+IF($N23=[1]CURSOS!$D$24,[1]CURSOS!$E$24,(+IF($N23=[1]CURSOS!$D$25,[1]CURSOS!$E$25,(+IF($N23=[1]CURSOS!$D$26,[1]CURSOS!$E$26,(+IF($N23=[1]CURSOS!$D$27,[1]CURSOS!$E$27,(+IF($N23=[1]CURSOS!$D$28,[1]CURSOS!$E$28,(+IF($N23=[1]CURSOS!$D$29,[1]CURSOS!$E$29,(+IF($N23=[1]CURSOS!$D$30,[1]CURSOS!$E$30,(+IF($N23=[1]CURSOS!$D$31,[1]CURSOS!$E$31,(+IF($N23=[1]CURSOS!$D$32,[1]CURSOS!$E$32)))))))))))))))))))))))))))))))))))))))))))))))))))))))))))</f>
        <v>ACOMPAÑAMIENTO Y MANEJO DEL DUELO</v>
      </c>
      <c r="U23" s="50" t="str">
        <f t="shared" si="3"/>
        <v>Tatiana Sofia Guevara Rosero</v>
      </c>
      <c r="V23" s="50" t="str">
        <f t="shared" si="4"/>
        <v>Tatiana Sofia Guevara Rosero</v>
      </c>
      <c r="W23" s="50" t="str">
        <f t="shared" si="5"/>
        <v>Tatiana Sofia Guevara Rosero-1193034433-DUELO</v>
      </c>
    </row>
    <row r="24" spans="1:23" s="73" customFormat="1" ht="15.75" x14ac:dyDescent="0.25">
      <c r="A24" s="20">
        <v>23</v>
      </c>
      <c r="B24" s="20">
        <v>1193034433</v>
      </c>
      <c r="C24" s="20" t="s">
        <v>185</v>
      </c>
      <c r="D24" s="20" t="s">
        <v>186</v>
      </c>
      <c r="E24" s="20" t="s">
        <v>187</v>
      </c>
      <c r="F24" s="20" t="s">
        <v>188</v>
      </c>
      <c r="G24" s="19">
        <v>4</v>
      </c>
      <c r="H24" s="19" t="s">
        <v>99</v>
      </c>
      <c r="I24" s="25">
        <v>45385</v>
      </c>
      <c r="J24" s="98">
        <v>60000</v>
      </c>
      <c r="K24" s="116" t="s">
        <v>189</v>
      </c>
      <c r="L24" s="19" t="s">
        <v>84</v>
      </c>
      <c r="M24" s="19" t="s">
        <v>77</v>
      </c>
      <c r="N24" s="21" t="s">
        <v>46</v>
      </c>
      <c r="O24" s="72">
        <v>37046</v>
      </c>
      <c r="P24" s="20" t="s">
        <v>78</v>
      </c>
      <c r="Q24" s="20" t="s">
        <v>160</v>
      </c>
      <c r="R24" s="20">
        <v>3136716885</v>
      </c>
      <c r="S24" s="74" t="s">
        <v>190</v>
      </c>
      <c r="T24" s="50" t="str">
        <f>+IF($N24=[1]CURSOS!$D$3,[1]CURSOS!$E$3,(+IF($N24=[1]CURSOS!$D$4,[1]CURSOS!$E$4,(+IF($N24=[1]CURSOS!$D$5,[1]CURSOS!$E$5,(+IF($N24=[1]CURSOS!$D$6,[1]CURSOS!$E$6,(+IF($N24=[1]CURSOS!$D$7,[1]CURSOS!$E$7,(+IF($N24=[1]CURSOS!$D$8,[1]CURSOS!$E$8,(+IF($N24=[1]CURSOS!$D$9,[1]CURSOS!$E$9,(+IF($N24=[1]CURSOS!$D$10,[1]CURSOS!$E$10,(+IF($N24=[1]CURSOS!$D$11,[1]CURSOS!$E$11,(+IF($N24=[1]CURSOS!$D$12,[1]CURSOS!$E$12,(+IF($N24=[1]CURSOS!$D$13,[1]CURSOS!$E$13,(+IF($N24=[1]CURSOS!$D$14,[1]CURSOS!$E$14,(+IF($N24=[1]CURSOS!$D$15,[1]CURSOS!$E$15,(+IF($N24=[1]CURSOS!$D$16,[1]CURSOS!$E$16,(+IF($N24=[1]CURSOS!$D$17,[1]CURSOS!$E$17,(+IF($N24=[1]CURSOS!$D$18,[1]CURSOS!$E$18,(+IF($N24=[1]CURSOS!$D$19,[1]CURSOS!$E$19,(+IF($N24=[1]CURSOS!$D$20,[1]CURSOS!$E$20,(+IF($N24=[1]CURSOS!$D$21,[1]CURSOS!$E$21,(+IF($N24=[1]CURSOS!$D$22,[1]CURSOS!$E$22,(+IF($N24=[1]CURSOS!$D$23,[1]CURSOS!$E$23,(+IF($N24=[1]CURSOS!$D$24,[1]CURSOS!$E$24,(+IF($N24=[1]CURSOS!$D$25,[1]CURSOS!$E$25,(+IF($N24=[1]CURSOS!$D$26,[1]CURSOS!$E$26,(+IF($N24=[1]CURSOS!$D$27,[1]CURSOS!$E$27,(+IF($N24=[1]CURSOS!$D$28,[1]CURSOS!$E$28,(+IF($N24=[1]CURSOS!$D$29,[1]CURSOS!$E$29,(+IF($N24=[1]CURSOS!$D$30,[1]CURSOS!$E$30,(+IF($N24=[1]CURSOS!$D$31,[1]CURSOS!$E$31,(+IF($N24=[1]CURSOS!$D$32,[1]CURSOS!$E$32)))))))))))))))))))))))))))))))))))))))))))))))))))))))))))</f>
        <v xml:space="preserve">ATENCION A VICTIMAS DE VIOLENCIA SEXUAL </v>
      </c>
      <c r="U24" s="50" t="str">
        <f t="shared" si="3"/>
        <v>Tatiana Sofia Guevara Rosero</v>
      </c>
      <c r="V24" s="50" t="str">
        <f t="shared" si="4"/>
        <v>Tatiana Sofia Guevara Rosero</v>
      </c>
      <c r="W24" s="50" t="str">
        <f t="shared" si="5"/>
        <v>Tatiana Sofia Guevara Rosero-1193034433-VIOLENCIA SEXUAL</v>
      </c>
    </row>
    <row r="25" spans="1:23" s="73" customFormat="1" x14ac:dyDescent="0.2">
      <c r="A25" s="20">
        <v>24</v>
      </c>
      <c r="B25" s="20">
        <v>36754135</v>
      </c>
      <c r="C25" s="20" t="s">
        <v>191</v>
      </c>
      <c r="D25" s="20" t="s">
        <v>192</v>
      </c>
      <c r="E25" s="20" t="s">
        <v>193</v>
      </c>
      <c r="F25" s="20" t="s">
        <v>194</v>
      </c>
      <c r="G25" s="19">
        <v>4</v>
      </c>
      <c r="H25" s="19" t="s">
        <v>99</v>
      </c>
      <c r="I25" s="25">
        <v>45387</v>
      </c>
      <c r="J25" s="88">
        <v>100000</v>
      </c>
      <c r="K25" s="116" t="s">
        <v>79</v>
      </c>
      <c r="L25" s="19" t="s">
        <v>84</v>
      </c>
      <c r="M25" s="19" t="s">
        <v>77</v>
      </c>
      <c r="N25" s="21" t="s">
        <v>39</v>
      </c>
      <c r="O25" s="72">
        <v>28919</v>
      </c>
      <c r="P25" s="20" t="s">
        <v>78</v>
      </c>
      <c r="Q25" s="20" t="s">
        <v>148</v>
      </c>
      <c r="R25" s="20">
        <v>3165355238</v>
      </c>
      <c r="S25" s="20" t="s">
        <v>195</v>
      </c>
      <c r="T25" s="50" t="str">
        <f>+IF($N25=[1]CURSOS!$D$3,[1]CURSOS!$E$3,(+IF($N25=[1]CURSOS!$D$4,[1]CURSOS!$E$4,(+IF($N25=[1]CURSOS!$D$5,[1]CURSOS!$E$5,(+IF($N25=[1]CURSOS!$D$6,[1]CURSOS!$E$6,(+IF($N25=[1]CURSOS!$D$7,[1]CURSOS!$E$7,(+IF($N25=[1]CURSOS!$D$8,[1]CURSOS!$E$8,(+IF($N25=[1]CURSOS!$D$9,[1]CURSOS!$E$9,(+IF($N25=[1]CURSOS!$D$10,[1]CURSOS!$E$10,(+IF($N25=[1]CURSOS!$D$11,[1]CURSOS!$E$11,(+IF($N25=[1]CURSOS!$D$12,[1]CURSOS!$E$12,(+IF($N25=[1]CURSOS!$D$13,[1]CURSOS!$E$13,(+IF($N25=[1]CURSOS!$D$14,[1]CURSOS!$E$14,(+IF($N25=[1]CURSOS!$D$15,[1]CURSOS!$E$15,(+IF($N25=[1]CURSOS!$D$16,[1]CURSOS!$E$16,(+IF($N25=[1]CURSOS!$D$17,[1]CURSOS!$E$17,(+IF($N25=[1]CURSOS!$D$18,[1]CURSOS!$E$18,(+IF($N25=[1]CURSOS!$D$19,[1]CURSOS!$E$19,(+IF($N25=[1]CURSOS!$D$20,[1]CURSOS!$E$20,(+IF($N25=[1]CURSOS!$D$21,[1]CURSOS!$E$21,(+IF($N25=[1]CURSOS!$D$22,[1]CURSOS!$E$22,(+IF($N25=[1]CURSOS!$D$23,[1]CURSOS!$E$23,(+IF($N25=[1]CURSOS!$D$24,[1]CURSOS!$E$24,(+IF($N25=[1]CURSOS!$D$25,[1]CURSOS!$E$25,(+IF($N25=[1]CURSOS!$D$26,[1]CURSOS!$E$26,(+IF($N25=[1]CURSOS!$D$27,[1]CURSOS!$E$27,(+IF($N25=[1]CURSOS!$D$28,[1]CURSOS!$E$28,(+IF($N25=[1]CURSOS!$D$29,[1]CURSOS!$E$29,(+IF($N25=[1]CURSOS!$D$30,[1]CURSOS!$E$30,(+IF($N25=[1]CURSOS!$D$31,[1]CURSOS!$E$31,(+IF($N25=[1]CURSOS!$D$32,[1]CURSOS!$E$32)))))))))))))))))))))))))))))))))))))))))))))))))))))))))))</f>
        <v xml:space="preserve">SOPORTE CARDIOVASCULAR AVANZADO </v>
      </c>
      <c r="U25" s="50" t="str">
        <f t="shared" si="3"/>
        <v>Dolly Andrea Arroyo Paz</v>
      </c>
      <c r="V25" s="50" t="str">
        <f t="shared" si="4"/>
        <v>Dolly Andrea Arroyo Paz</v>
      </c>
      <c r="W25" s="50" t="str">
        <f t="shared" si="5"/>
        <v>Dolly Andrea Arroyo Paz-36754135-ACLS</v>
      </c>
    </row>
    <row r="26" spans="1:23" s="73" customFormat="1" x14ac:dyDescent="0.2">
      <c r="A26" s="20">
        <v>25</v>
      </c>
      <c r="B26" s="20">
        <v>36754135</v>
      </c>
      <c r="C26" s="20" t="s">
        <v>191</v>
      </c>
      <c r="D26" s="20" t="s">
        <v>192</v>
      </c>
      <c r="E26" s="20" t="s">
        <v>193</v>
      </c>
      <c r="F26" s="20" t="s">
        <v>194</v>
      </c>
      <c r="G26" s="19">
        <v>4</v>
      </c>
      <c r="H26" s="19" t="s">
        <v>99</v>
      </c>
      <c r="I26" s="25" t="s">
        <v>167</v>
      </c>
      <c r="J26" s="88" t="s">
        <v>167</v>
      </c>
      <c r="K26" s="19" t="s">
        <v>168</v>
      </c>
      <c r="L26" s="19" t="s">
        <v>84</v>
      </c>
      <c r="M26" s="19" t="s">
        <v>77</v>
      </c>
      <c r="N26" s="21" t="s">
        <v>19</v>
      </c>
      <c r="O26" s="72">
        <v>28919</v>
      </c>
      <c r="P26" s="20" t="s">
        <v>78</v>
      </c>
      <c r="Q26" s="20" t="s">
        <v>148</v>
      </c>
      <c r="R26" s="20">
        <v>3165355238</v>
      </c>
      <c r="S26" s="20" t="s">
        <v>195</v>
      </c>
      <c r="T26" s="50" t="str">
        <f>+IF($N26=[1]CURSOS!$D$3,[1]CURSOS!$E$3,(+IF($N26=[1]CURSOS!$D$4,[1]CURSOS!$E$4,(+IF($N26=[1]CURSOS!$D$5,[1]CURSOS!$E$5,(+IF($N26=[1]CURSOS!$D$6,[1]CURSOS!$E$6,(+IF($N26=[1]CURSOS!$D$7,[1]CURSOS!$E$7,(+IF($N26=[1]CURSOS!$D$8,[1]CURSOS!$E$8,(+IF($N26=[1]CURSOS!$D$9,[1]CURSOS!$E$9,(+IF($N26=[1]CURSOS!$D$10,[1]CURSOS!$E$10,(+IF($N26=[1]CURSOS!$D$11,[1]CURSOS!$E$11,(+IF($N26=[1]CURSOS!$D$12,[1]CURSOS!$E$12,(+IF($N26=[1]CURSOS!$D$13,[1]CURSOS!$E$13,(+IF($N26=[1]CURSOS!$D$14,[1]CURSOS!$E$14,(+IF($N26=[1]CURSOS!$D$15,[1]CURSOS!$E$15,(+IF($N26=[1]CURSOS!$D$16,[1]CURSOS!$E$16,(+IF($N26=[1]CURSOS!$D$17,[1]CURSOS!$E$17,(+IF($N26=[1]CURSOS!$D$18,[1]CURSOS!$E$18,(+IF($N26=[1]CURSOS!$D$19,[1]CURSOS!$E$19,(+IF($N26=[1]CURSOS!$D$20,[1]CURSOS!$E$20,(+IF($N26=[1]CURSOS!$D$21,[1]CURSOS!$E$21,(+IF($N26=[1]CURSOS!$D$22,[1]CURSOS!$E$22,(+IF($N26=[1]CURSOS!$D$23,[1]CURSOS!$E$23,(+IF($N26=[1]CURSOS!$D$24,[1]CURSOS!$E$24,(+IF($N26=[1]CURSOS!$D$25,[1]CURSOS!$E$25,(+IF($N26=[1]CURSOS!$D$26,[1]CURSOS!$E$26,(+IF($N26=[1]CURSOS!$D$27,[1]CURSOS!$E$27,(+IF($N26=[1]CURSOS!$D$28,[1]CURSOS!$E$28,(+IF($N26=[1]CURSOS!$D$29,[1]CURSOS!$E$29,(+IF($N26=[1]CURSOS!$D$30,[1]CURSOS!$E$30,(+IF($N26=[1]CURSOS!$D$31,[1]CURSOS!$E$31,(+IF($N26=[1]CURSOS!$D$32,[1]CURSOS!$E$32)))))))))))))))))))))))))))))))))))))))))))))))))))))))))))</f>
        <v>SOPORTE VITAL BASICO (BLS)</v>
      </c>
      <c r="U26" s="50" t="str">
        <f t="shared" si="3"/>
        <v>Dolly Andrea Arroyo Paz</v>
      </c>
      <c r="V26" s="50" t="str">
        <f t="shared" si="4"/>
        <v>Dolly Andrea Arroyo Paz</v>
      </c>
      <c r="W26" s="50" t="str">
        <f t="shared" si="5"/>
        <v>Dolly Andrea Arroyo Paz-36754135-BLS</v>
      </c>
    </row>
    <row r="27" spans="1:23" s="73" customFormat="1" x14ac:dyDescent="0.2">
      <c r="A27" s="20">
        <v>26</v>
      </c>
      <c r="B27" s="20">
        <v>36754135</v>
      </c>
      <c r="C27" s="20" t="s">
        <v>191</v>
      </c>
      <c r="D27" s="20" t="s">
        <v>192</v>
      </c>
      <c r="E27" s="20" t="s">
        <v>193</v>
      </c>
      <c r="F27" s="20" t="s">
        <v>194</v>
      </c>
      <c r="G27" s="19">
        <v>4</v>
      </c>
      <c r="H27" s="19" t="s">
        <v>99</v>
      </c>
      <c r="I27" s="25">
        <v>45387</v>
      </c>
      <c r="J27" s="88">
        <v>30000</v>
      </c>
      <c r="K27" s="116" t="s">
        <v>79</v>
      </c>
      <c r="L27" s="19" t="s">
        <v>84</v>
      </c>
      <c r="M27" s="19" t="s">
        <v>77</v>
      </c>
      <c r="N27" s="21" t="s">
        <v>46</v>
      </c>
      <c r="O27" s="72">
        <v>28919</v>
      </c>
      <c r="P27" s="20" t="s">
        <v>78</v>
      </c>
      <c r="Q27" s="20" t="s">
        <v>148</v>
      </c>
      <c r="R27" s="20">
        <v>3165355238</v>
      </c>
      <c r="S27" s="20" t="s">
        <v>195</v>
      </c>
      <c r="T27" s="50" t="str">
        <f>+IF($N27=[1]CURSOS!$D$3,[1]CURSOS!$E$3,(+IF($N27=[1]CURSOS!$D$4,[1]CURSOS!$E$4,(+IF($N27=[1]CURSOS!$D$5,[1]CURSOS!$E$5,(+IF($N27=[1]CURSOS!$D$6,[1]CURSOS!$E$6,(+IF($N27=[1]CURSOS!$D$7,[1]CURSOS!$E$7,(+IF($N27=[1]CURSOS!$D$8,[1]CURSOS!$E$8,(+IF($N27=[1]CURSOS!$D$9,[1]CURSOS!$E$9,(+IF($N27=[1]CURSOS!$D$10,[1]CURSOS!$E$10,(+IF($N27=[1]CURSOS!$D$11,[1]CURSOS!$E$11,(+IF($N27=[1]CURSOS!$D$12,[1]CURSOS!$E$12,(+IF($N27=[1]CURSOS!$D$13,[1]CURSOS!$E$13,(+IF($N27=[1]CURSOS!$D$14,[1]CURSOS!$E$14,(+IF($N27=[1]CURSOS!$D$15,[1]CURSOS!$E$15,(+IF($N27=[1]CURSOS!$D$16,[1]CURSOS!$E$16,(+IF($N27=[1]CURSOS!$D$17,[1]CURSOS!$E$17,(+IF($N27=[1]CURSOS!$D$18,[1]CURSOS!$E$18,(+IF($N27=[1]CURSOS!$D$19,[1]CURSOS!$E$19,(+IF($N27=[1]CURSOS!$D$20,[1]CURSOS!$E$20,(+IF($N27=[1]CURSOS!$D$21,[1]CURSOS!$E$21,(+IF($N27=[1]CURSOS!$D$22,[1]CURSOS!$E$22,(+IF($N27=[1]CURSOS!$D$23,[1]CURSOS!$E$23,(+IF($N27=[1]CURSOS!$D$24,[1]CURSOS!$E$24,(+IF($N27=[1]CURSOS!$D$25,[1]CURSOS!$E$25,(+IF($N27=[1]CURSOS!$D$26,[1]CURSOS!$E$26,(+IF($N27=[1]CURSOS!$D$27,[1]CURSOS!$E$27,(+IF($N27=[1]CURSOS!$D$28,[1]CURSOS!$E$28,(+IF($N27=[1]CURSOS!$D$29,[1]CURSOS!$E$29,(+IF($N27=[1]CURSOS!$D$30,[1]CURSOS!$E$30,(+IF($N27=[1]CURSOS!$D$31,[1]CURSOS!$E$31,(+IF($N27=[1]CURSOS!$D$32,[1]CURSOS!$E$32)))))))))))))))))))))))))))))))))))))))))))))))))))))))))))</f>
        <v xml:space="preserve">ATENCION A VICTIMAS DE VIOLENCIA SEXUAL </v>
      </c>
      <c r="U27" s="50" t="str">
        <f t="shared" si="3"/>
        <v>Dolly Andrea Arroyo Paz</v>
      </c>
      <c r="V27" s="50" t="str">
        <f t="shared" si="4"/>
        <v>Dolly Andrea Arroyo Paz</v>
      </c>
      <c r="W27" s="50" t="str">
        <f t="shared" si="5"/>
        <v>Dolly Andrea Arroyo Paz-36754135-VIOLENCIA SEXUAL</v>
      </c>
    </row>
    <row r="28" spans="1:23" s="73" customFormat="1" x14ac:dyDescent="0.2">
      <c r="A28" s="20">
        <v>27</v>
      </c>
      <c r="B28" s="20">
        <v>36754135</v>
      </c>
      <c r="C28" s="20" t="s">
        <v>191</v>
      </c>
      <c r="D28" s="20" t="s">
        <v>192</v>
      </c>
      <c r="E28" s="20" t="s">
        <v>193</v>
      </c>
      <c r="F28" s="20" t="s">
        <v>194</v>
      </c>
      <c r="G28" s="19">
        <v>4</v>
      </c>
      <c r="H28" s="19" t="s">
        <v>99</v>
      </c>
      <c r="I28" s="25">
        <v>45387</v>
      </c>
      <c r="J28" s="88">
        <v>30000</v>
      </c>
      <c r="K28" s="116" t="s">
        <v>79</v>
      </c>
      <c r="L28" s="19" t="s">
        <v>84</v>
      </c>
      <c r="M28" s="19" t="s">
        <v>77</v>
      </c>
      <c r="N28" s="21" t="s">
        <v>23</v>
      </c>
      <c r="O28" s="72">
        <v>28919</v>
      </c>
      <c r="P28" s="20" t="s">
        <v>78</v>
      </c>
      <c r="Q28" s="20" t="s">
        <v>148</v>
      </c>
      <c r="R28" s="20">
        <v>3165355238</v>
      </c>
      <c r="S28" s="20" t="s">
        <v>195</v>
      </c>
      <c r="T28" s="50" t="str">
        <f>+IF($N28=[1]CURSOS!$D$3,[1]CURSOS!$E$3,(+IF($N28=[1]CURSOS!$D$4,[1]CURSOS!$E$4,(+IF($N28=[1]CURSOS!$D$5,[1]CURSOS!$E$5,(+IF($N28=[1]CURSOS!$D$6,[1]CURSOS!$E$6,(+IF($N28=[1]CURSOS!$D$7,[1]CURSOS!$E$7,(+IF($N28=[1]CURSOS!$D$8,[1]CURSOS!$E$8,(+IF($N28=[1]CURSOS!$D$9,[1]CURSOS!$E$9,(+IF($N28=[1]CURSOS!$D$10,[1]CURSOS!$E$10,(+IF($N28=[1]CURSOS!$D$11,[1]CURSOS!$E$11,(+IF($N28=[1]CURSOS!$D$12,[1]CURSOS!$E$12,(+IF($N28=[1]CURSOS!$D$13,[1]CURSOS!$E$13,(+IF($N28=[1]CURSOS!$D$14,[1]CURSOS!$E$14,(+IF($N28=[1]CURSOS!$D$15,[1]CURSOS!$E$15,(+IF($N28=[1]CURSOS!$D$16,[1]CURSOS!$E$16,(+IF($N28=[1]CURSOS!$D$17,[1]CURSOS!$E$17,(+IF($N28=[1]CURSOS!$D$18,[1]CURSOS!$E$18,(+IF($N28=[1]CURSOS!$D$19,[1]CURSOS!$E$19,(+IF($N28=[1]CURSOS!$D$20,[1]CURSOS!$E$20,(+IF($N28=[1]CURSOS!$D$21,[1]CURSOS!$E$21,(+IF($N28=[1]CURSOS!$D$22,[1]CURSOS!$E$22,(+IF($N28=[1]CURSOS!$D$23,[1]CURSOS!$E$23,(+IF($N28=[1]CURSOS!$D$24,[1]CURSOS!$E$24,(+IF($N28=[1]CURSOS!$D$25,[1]CURSOS!$E$25,(+IF($N28=[1]CURSOS!$D$26,[1]CURSOS!$E$26,(+IF($N28=[1]CURSOS!$D$27,[1]CURSOS!$E$27,(+IF($N28=[1]CURSOS!$D$28,[1]CURSOS!$E$28,(+IF($N28=[1]CURSOS!$D$29,[1]CURSOS!$E$29,(+IF($N28=[1]CURSOS!$D$30,[1]CURSOS!$E$30,(+IF($N28=[1]CURSOS!$D$31,[1]CURSOS!$E$31,(+IF($N28=[1]CURSOS!$D$32,[1]CURSOS!$E$32)))))))))))))))))))))))))))))))))))))))))))))))))))))))))))</f>
        <v>ACOMPAÑAMIENTO Y MANEJO DEL DUELO</v>
      </c>
      <c r="U28" s="50" t="str">
        <f t="shared" si="3"/>
        <v>Dolly Andrea Arroyo Paz</v>
      </c>
      <c r="V28" s="50" t="str">
        <f t="shared" si="4"/>
        <v>Dolly Andrea Arroyo Paz</v>
      </c>
      <c r="W28" s="50" t="str">
        <f t="shared" si="5"/>
        <v>Dolly Andrea Arroyo Paz-36754135-DUELO</v>
      </c>
    </row>
    <row r="29" spans="1:23" s="73" customFormat="1" x14ac:dyDescent="0.2">
      <c r="A29" s="20">
        <v>28</v>
      </c>
      <c r="B29" s="20">
        <v>36754135</v>
      </c>
      <c r="C29" s="20" t="s">
        <v>191</v>
      </c>
      <c r="D29" s="20" t="s">
        <v>192</v>
      </c>
      <c r="E29" s="20" t="s">
        <v>193</v>
      </c>
      <c r="F29" s="20" t="s">
        <v>194</v>
      </c>
      <c r="G29" s="19">
        <v>4</v>
      </c>
      <c r="H29" s="19" t="s">
        <v>99</v>
      </c>
      <c r="I29" s="25">
        <v>45387</v>
      </c>
      <c r="J29" s="88">
        <v>30000</v>
      </c>
      <c r="K29" s="116" t="s">
        <v>79</v>
      </c>
      <c r="L29" s="19" t="s">
        <v>84</v>
      </c>
      <c r="M29" s="19" t="s">
        <v>77</v>
      </c>
      <c r="N29" s="21" t="s">
        <v>33</v>
      </c>
      <c r="O29" s="72">
        <v>28919</v>
      </c>
      <c r="P29" s="20" t="s">
        <v>78</v>
      </c>
      <c r="Q29" s="20" t="s">
        <v>148</v>
      </c>
      <c r="R29" s="20">
        <v>3165355238</v>
      </c>
      <c r="S29" s="20" t="s">
        <v>195</v>
      </c>
      <c r="T29" s="50" t="str">
        <f>+IF($N29=[1]CURSOS!$D$3,[1]CURSOS!$E$3,(+IF($N29=[1]CURSOS!$D$4,[1]CURSOS!$E$4,(+IF($N29=[1]CURSOS!$D$5,[1]CURSOS!$E$5,(+IF($N29=[1]CURSOS!$D$6,[1]CURSOS!$E$6,(+IF($N29=[1]CURSOS!$D$7,[1]CURSOS!$E$7,(+IF($N29=[1]CURSOS!$D$8,[1]CURSOS!$E$8,(+IF($N29=[1]CURSOS!$D$9,[1]CURSOS!$E$9,(+IF($N29=[1]CURSOS!$D$10,[1]CURSOS!$E$10,(+IF($N29=[1]CURSOS!$D$11,[1]CURSOS!$E$11,(+IF($N29=[1]CURSOS!$D$12,[1]CURSOS!$E$12,(+IF($N29=[1]CURSOS!$D$13,[1]CURSOS!$E$13,(+IF($N29=[1]CURSOS!$D$14,[1]CURSOS!$E$14,(+IF($N29=[1]CURSOS!$D$15,[1]CURSOS!$E$15,(+IF($N29=[1]CURSOS!$D$16,[1]CURSOS!$E$16,(+IF($N29=[1]CURSOS!$D$17,[1]CURSOS!$E$17,(+IF($N29=[1]CURSOS!$D$18,[1]CURSOS!$E$18,(+IF($N29=[1]CURSOS!$D$19,[1]CURSOS!$E$19,(+IF($N29=[1]CURSOS!$D$20,[1]CURSOS!$E$20,(+IF($N29=[1]CURSOS!$D$21,[1]CURSOS!$E$21,(+IF($N29=[1]CURSOS!$D$22,[1]CURSOS!$E$22,(+IF($N29=[1]CURSOS!$D$23,[1]CURSOS!$E$23,(+IF($N29=[1]CURSOS!$D$24,[1]CURSOS!$E$24,(+IF($N29=[1]CURSOS!$D$25,[1]CURSOS!$E$25,(+IF($N29=[1]CURSOS!$D$26,[1]CURSOS!$E$26,(+IF($N29=[1]CURSOS!$D$27,[1]CURSOS!$E$27,(+IF($N29=[1]CURSOS!$D$28,[1]CURSOS!$E$28,(+IF($N29=[1]CURSOS!$D$29,[1]CURSOS!$E$29,(+IF($N29=[1]CURSOS!$D$30,[1]CURSOS!$E$30,(+IF($N29=[1]CURSOS!$D$31,[1]CURSOS!$E$31,(+IF($N29=[1]CURSOS!$D$32,[1]CURSOS!$E$32)))))))))))))))))))))))))))))))))))))))))))))))))))))))))))</f>
        <v xml:space="preserve">HUMANIZACION EN SALUD, BUENAS PRACTICAS EN PACIENTE </v>
      </c>
      <c r="U29" s="50" t="str">
        <f t="shared" si="3"/>
        <v>Dolly Andrea Arroyo Paz</v>
      </c>
      <c r="V29" s="50" t="str">
        <f t="shared" si="4"/>
        <v>Dolly Andrea Arroyo Paz</v>
      </c>
      <c r="W29" s="50" t="str">
        <f t="shared" si="5"/>
        <v>Dolly Andrea Arroyo Paz-36754135-HUMANIZACION</v>
      </c>
    </row>
    <row r="30" spans="1:23" s="73" customFormat="1" x14ac:dyDescent="0.2">
      <c r="A30" s="20">
        <v>29</v>
      </c>
      <c r="B30" s="20">
        <v>36754135</v>
      </c>
      <c r="C30" s="20" t="s">
        <v>191</v>
      </c>
      <c r="D30" s="20" t="s">
        <v>192</v>
      </c>
      <c r="E30" s="20" t="s">
        <v>193</v>
      </c>
      <c r="F30" s="20" t="s">
        <v>194</v>
      </c>
      <c r="G30" s="19">
        <v>4</v>
      </c>
      <c r="H30" s="19" t="s">
        <v>99</v>
      </c>
      <c r="I30" s="25">
        <v>45387</v>
      </c>
      <c r="J30" s="88">
        <v>30000</v>
      </c>
      <c r="K30" s="116" t="s">
        <v>79</v>
      </c>
      <c r="L30" s="19" t="s">
        <v>84</v>
      </c>
      <c r="M30" s="19" t="s">
        <v>77</v>
      </c>
      <c r="N30" s="21" t="s">
        <v>25</v>
      </c>
      <c r="O30" s="72">
        <v>28919</v>
      </c>
      <c r="P30" s="20" t="s">
        <v>78</v>
      </c>
      <c r="Q30" s="20" t="s">
        <v>148</v>
      </c>
      <c r="R30" s="20">
        <v>3165355238</v>
      </c>
      <c r="S30" s="20" t="s">
        <v>195</v>
      </c>
      <c r="T30" s="50" t="str">
        <f>+IF($N30=[1]CURSOS!$D$3,[1]CURSOS!$E$3,(+IF($N30=[1]CURSOS!$D$4,[1]CURSOS!$E$4,(+IF($N30=[1]CURSOS!$D$5,[1]CURSOS!$E$5,(+IF($N30=[1]CURSOS!$D$6,[1]CURSOS!$E$6,(+IF($N30=[1]CURSOS!$D$7,[1]CURSOS!$E$7,(+IF($N30=[1]CURSOS!$D$8,[1]CURSOS!$E$8,(+IF($N30=[1]CURSOS!$D$9,[1]CURSOS!$E$9,(+IF($N30=[1]CURSOS!$D$10,[1]CURSOS!$E$10,(+IF($N30=[1]CURSOS!$D$11,[1]CURSOS!$E$11,(+IF($N30=[1]CURSOS!$D$12,[1]CURSOS!$E$12,(+IF($N30=[1]CURSOS!$D$13,[1]CURSOS!$E$13,(+IF($N30=[1]CURSOS!$D$14,[1]CURSOS!$E$14,(+IF($N30=[1]CURSOS!$D$15,[1]CURSOS!$E$15,(+IF($N30=[1]CURSOS!$D$16,[1]CURSOS!$E$16,(+IF($N30=[1]CURSOS!$D$17,[1]CURSOS!$E$17,(+IF($N30=[1]CURSOS!$D$18,[1]CURSOS!$E$18,(+IF($N30=[1]CURSOS!$D$19,[1]CURSOS!$E$19,(+IF($N30=[1]CURSOS!$D$20,[1]CURSOS!$E$20,(+IF($N30=[1]CURSOS!$D$21,[1]CURSOS!$E$21,(+IF($N30=[1]CURSOS!$D$22,[1]CURSOS!$E$22,(+IF($N30=[1]CURSOS!$D$23,[1]CURSOS!$E$23,(+IF($N30=[1]CURSOS!$D$24,[1]CURSOS!$E$24,(+IF($N30=[1]CURSOS!$D$25,[1]CURSOS!$E$25,(+IF($N30=[1]CURSOS!$D$26,[1]CURSOS!$E$26,(+IF($N30=[1]CURSOS!$D$27,[1]CURSOS!$E$27,(+IF($N30=[1]CURSOS!$D$28,[1]CURSOS!$E$28,(+IF($N30=[1]CURSOS!$D$29,[1]CURSOS!$E$29,(+IF($N30=[1]CURSOS!$D$30,[1]CURSOS!$E$30,(+IF($N30=[1]CURSOS!$D$31,[1]CURSOS!$E$31,(+IF($N30=[1]CURSOS!$D$32,[1]CURSOS!$E$32)))))))))))))))))))))))))))))))))))))))))))))))))))))))))))</f>
        <v xml:space="preserve">ATENCION A VICTIMAS DE ATAQUE CON AGENTES QUIMICOS </v>
      </c>
      <c r="U30" s="50" t="str">
        <f t="shared" si="3"/>
        <v>Dolly Andrea Arroyo Paz</v>
      </c>
      <c r="V30" s="50" t="str">
        <f t="shared" si="4"/>
        <v>Dolly Andrea Arroyo Paz</v>
      </c>
      <c r="W30" s="50" t="str">
        <f t="shared" si="5"/>
        <v>Dolly Andrea Arroyo Paz-36754135-QUIMICOS</v>
      </c>
    </row>
    <row r="31" spans="1:23" s="73" customFormat="1" ht="15.75" x14ac:dyDescent="0.25">
      <c r="A31" s="20">
        <v>30</v>
      </c>
      <c r="B31" s="20">
        <v>36931576</v>
      </c>
      <c r="C31" s="20" t="s">
        <v>203</v>
      </c>
      <c r="D31" s="20" t="s">
        <v>204</v>
      </c>
      <c r="E31" s="20" t="s">
        <v>201</v>
      </c>
      <c r="F31" s="20" t="s">
        <v>202</v>
      </c>
      <c r="G31" s="19">
        <v>5</v>
      </c>
      <c r="H31" s="19" t="s">
        <v>99</v>
      </c>
      <c r="I31" s="25">
        <v>45387</v>
      </c>
      <c r="J31" s="88">
        <v>25000</v>
      </c>
      <c r="K31" s="116" t="s">
        <v>79</v>
      </c>
      <c r="L31" s="19" t="s">
        <v>196</v>
      </c>
      <c r="M31" s="19" t="s">
        <v>197</v>
      </c>
      <c r="N31" s="21" t="s">
        <v>19</v>
      </c>
      <c r="O31" s="72">
        <v>26743</v>
      </c>
      <c r="P31" s="20" t="s">
        <v>80</v>
      </c>
      <c r="Q31" s="20" t="s">
        <v>160</v>
      </c>
      <c r="R31" s="20"/>
      <c r="S31" s="74" t="s">
        <v>198</v>
      </c>
      <c r="T31" s="50" t="str">
        <f>+IF($N31=[1]CURSOS!$D$3,[1]CURSOS!$E$3,(+IF($N31=[1]CURSOS!$D$4,[1]CURSOS!$E$4,(+IF($N31=[1]CURSOS!$D$5,[1]CURSOS!$E$5,(+IF($N31=[1]CURSOS!$D$6,[1]CURSOS!$E$6,(+IF($N31=[1]CURSOS!$D$7,[1]CURSOS!$E$7,(+IF($N31=[1]CURSOS!$D$8,[1]CURSOS!$E$8,(+IF($N31=[1]CURSOS!$D$9,[1]CURSOS!$E$9,(+IF($N31=[1]CURSOS!$D$10,[1]CURSOS!$E$10,(+IF($N31=[1]CURSOS!$D$11,[1]CURSOS!$E$11,(+IF($N31=[1]CURSOS!$D$12,[1]CURSOS!$E$12,(+IF($N31=[1]CURSOS!$D$13,[1]CURSOS!$E$13,(+IF($N31=[1]CURSOS!$D$14,[1]CURSOS!$E$14,(+IF($N31=[1]CURSOS!$D$15,[1]CURSOS!$E$15,(+IF($N31=[1]CURSOS!$D$16,[1]CURSOS!$E$16,(+IF($N31=[1]CURSOS!$D$17,[1]CURSOS!$E$17,(+IF($N31=[1]CURSOS!$D$18,[1]CURSOS!$E$18,(+IF($N31=[1]CURSOS!$D$19,[1]CURSOS!$E$19,(+IF($N31=[1]CURSOS!$D$20,[1]CURSOS!$E$20,(+IF($N31=[1]CURSOS!$D$21,[1]CURSOS!$E$21,(+IF($N31=[1]CURSOS!$D$22,[1]CURSOS!$E$22,(+IF($N31=[1]CURSOS!$D$23,[1]CURSOS!$E$23,(+IF($N31=[1]CURSOS!$D$24,[1]CURSOS!$E$24,(+IF($N31=[1]CURSOS!$D$25,[1]CURSOS!$E$25,(+IF($N31=[1]CURSOS!$D$26,[1]CURSOS!$E$26,(+IF($N31=[1]CURSOS!$D$27,[1]CURSOS!$E$27,(+IF($N31=[1]CURSOS!$D$28,[1]CURSOS!$E$28,(+IF($N31=[1]CURSOS!$D$29,[1]CURSOS!$E$29,(+IF($N31=[1]CURSOS!$D$30,[1]CURSOS!$E$30,(+IF($N31=[1]CURSOS!$D$31,[1]CURSOS!$E$31,(+IF($N31=[1]CURSOS!$D$32,[1]CURSOS!$E$32)))))))))))))))))))))))))))))))))))))))))))))))))))))))))))</f>
        <v>SOPORTE VITAL BASICO (BLS)</v>
      </c>
      <c r="U31" s="50" t="str">
        <f t="shared" ref="U31:U38" si="12">CONCATENATE(E31," ",F31," ",C31," ",D31)</f>
        <v>Liliana Isabel Mainguez Alvear</v>
      </c>
      <c r="V31" s="50" t="str">
        <f t="shared" si="4"/>
        <v>Liliana Isabel Mainguez Alvear</v>
      </c>
      <c r="W31" s="50" t="str">
        <f t="shared" si="5"/>
        <v>Liliana Isabel Mainguez Alvear-36931576-BLS</v>
      </c>
    </row>
    <row r="32" spans="1:23" s="73" customFormat="1" x14ac:dyDescent="0.2">
      <c r="A32" s="20">
        <v>31</v>
      </c>
      <c r="B32" s="20">
        <v>1087422780</v>
      </c>
      <c r="C32" s="20" t="s">
        <v>155</v>
      </c>
      <c r="D32" s="20" t="s">
        <v>207</v>
      </c>
      <c r="E32" s="20" t="s">
        <v>205</v>
      </c>
      <c r="F32" s="20" t="s">
        <v>206</v>
      </c>
      <c r="G32" s="19">
        <v>5</v>
      </c>
      <c r="H32" s="19" t="s">
        <v>99</v>
      </c>
      <c r="I32" s="25">
        <v>45387</v>
      </c>
      <c r="J32" s="88">
        <v>25000</v>
      </c>
      <c r="K32" s="116" t="s">
        <v>79</v>
      </c>
      <c r="L32" s="19" t="s">
        <v>196</v>
      </c>
      <c r="M32" s="19" t="s">
        <v>197</v>
      </c>
      <c r="N32" s="21" t="s">
        <v>19</v>
      </c>
      <c r="O32" s="72">
        <v>35159</v>
      </c>
      <c r="P32" s="20" t="s">
        <v>80</v>
      </c>
      <c r="Q32" s="20" t="s">
        <v>160</v>
      </c>
      <c r="R32" s="20"/>
      <c r="S32" s="20" t="s">
        <v>199</v>
      </c>
      <c r="T32" s="50" t="str">
        <f>+IF($N32=[1]CURSOS!$D$3,[1]CURSOS!$E$3,(+IF($N32=[1]CURSOS!$D$4,[1]CURSOS!$E$4,(+IF($N32=[1]CURSOS!$D$5,[1]CURSOS!$E$5,(+IF($N32=[1]CURSOS!$D$6,[1]CURSOS!$E$6,(+IF($N32=[1]CURSOS!$D$7,[1]CURSOS!$E$7,(+IF($N32=[1]CURSOS!$D$8,[1]CURSOS!$E$8,(+IF($N32=[1]CURSOS!$D$9,[1]CURSOS!$E$9,(+IF($N32=[1]CURSOS!$D$10,[1]CURSOS!$E$10,(+IF($N32=[1]CURSOS!$D$11,[1]CURSOS!$E$11,(+IF($N32=[1]CURSOS!$D$12,[1]CURSOS!$E$12,(+IF($N32=[1]CURSOS!$D$13,[1]CURSOS!$E$13,(+IF($N32=[1]CURSOS!$D$14,[1]CURSOS!$E$14,(+IF($N32=[1]CURSOS!$D$15,[1]CURSOS!$E$15,(+IF($N32=[1]CURSOS!$D$16,[1]CURSOS!$E$16,(+IF($N32=[1]CURSOS!$D$17,[1]CURSOS!$E$17,(+IF($N32=[1]CURSOS!$D$18,[1]CURSOS!$E$18,(+IF($N32=[1]CURSOS!$D$19,[1]CURSOS!$E$19,(+IF($N32=[1]CURSOS!$D$20,[1]CURSOS!$E$20,(+IF($N32=[1]CURSOS!$D$21,[1]CURSOS!$E$21,(+IF($N32=[1]CURSOS!$D$22,[1]CURSOS!$E$22,(+IF($N32=[1]CURSOS!$D$23,[1]CURSOS!$E$23,(+IF($N32=[1]CURSOS!$D$24,[1]CURSOS!$E$24,(+IF($N32=[1]CURSOS!$D$25,[1]CURSOS!$E$25,(+IF($N32=[1]CURSOS!$D$26,[1]CURSOS!$E$26,(+IF($N32=[1]CURSOS!$D$27,[1]CURSOS!$E$27,(+IF($N32=[1]CURSOS!$D$28,[1]CURSOS!$E$28,(+IF($N32=[1]CURSOS!$D$29,[1]CURSOS!$E$29,(+IF($N32=[1]CURSOS!$D$30,[1]CURSOS!$E$30,(+IF($N32=[1]CURSOS!$D$31,[1]CURSOS!$E$31,(+IF($N32=[1]CURSOS!$D$32,[1]CURSOS!$E$32)))))))))))))))))))))))))))))))))))))))))))))))))))))))))))</f>
        <v>SOPORTE VITAL BASICO (BLS)</v>
      </c>
      <c r="U32" s="50" t="str">
        <f t="shared" si="12"/>
        <v>Yisela Alexandra Muñoz Salazar</v>
      </c>
      <c r="V32" s="50" t="str">
        <f t="shared" si="4"/>
        <v>Yisela Alexandra Muñoz Salazar</v>
      </c>
      <c r="W32" s="50" t="str">
        <f t="shared" si="5"/>
        <v>Yisela Alexandra Muñoz Salazar-1087422780-BLS</v>
      </c>
    </row>
    <row r="33" spans="1:23" s="73" customFormat="1" x14ac:dyDescent="0.2">
      <c r="A33" s="20">
        <v>32</v>
      </c>
      <c r="B33" s="20">
        <v>1193034433</v>
      </c>
      <c r="C33" s="20" t="s">
        <v>185</v>
      </c>
      <c r="D33" s="20" t="s">
        <v>186</v>
      </c>
      <c r="E33" s="20" t="s">
        <v>187</v>
      </c>
      <c r="F33" s="20" t="s">
        <v>188</v>
      </c>
      <c r="G33" s="19">
        <v>5</v>
      </c>
      <c r="H33" s="19" t="s">
        <v>99</v>
      </c>
      <c r="I33" s="25">
        <v>45385</v>
      </c>
      <c r="J33" s="88">
        <v>60000</v>
      </c>
      <c r="K33" s="116" t="s">
        <v>189</v>
      </c>
      <c r="L33" s="19" t="s">
        <v>196</v>
      </c>
      <c r="M33" s="19" t="s">
        <v>77</v>
      </c>
      <c r="N33" s="21" t="s">
        <v>25</v>
      </c>
      <c r="O33" s="72">
        <v>37046</v>
      </c>
      <c r="P33" s="20" t="s">
        <v>80</v>
      </c>
      <c r="Q33" s="20" t="s">
        <v>160</v>
      </c>
      <c r="R33" s="20">
        <v>313671885</v>
      </c>
      <c r="S33" s="20" t="s">
        <v>190</v>
      </c>
      <c r="T33" s="50" t="str">
        <f>+IF($N33=[1]CURSOS!$D$3,[1]CURSOS!$E$3,(+IF($N33=[1]CURSOS!$D$4,[1]CURSOS!$E$4,(+IF($N33=[1]CURSOS!$D$5,[1]CURSOS!$E$5,(+IF($N33=[1]CURSOS!$D$6,[1]CURSOS!$E$6,(+IF($N33=[1]CURSOS!$D$7,[1]CURSOS!$E$7,(+IF($N33=[1]CURSOS!$D$8,[1]CURSOS!$E$8,(+IF($N33=[1]CURSOS!$D$9,[1]CURSOS!$E$9,(+IF($N33=[1]CURSOS!$D$10,[1]CURSOS!$E$10,(+IF($N33=[1]CURSOS!$D$11,[1]CURSOS!$E$11,(+IF($N33=[1]CURSOS!$D$12,[1]CURSOS!$E$12,(+IF($N33=[1]CURSOS!$D$13,[1]CURSOS!$E$13,(+IF($N33=[1]CURSOS!$D$14,[1]CURSOS!$E$14,(+IF($N33=[1]CURSOS!$D$15,[1]CURSOS!$E$15,(+IF($N33=[1]CURSOS!$D$16,[1]CURSOS!$E$16,(+IF($N33=[1]CURSOS!$D$17,[1]CURSOS!$E$17,(+IF($N33=[1]CURSOS!$D$18,[1]CURSOS!$E$18,(+IF($N33=[1]CURSOS!$D$19,[1]CURSOS!$E$19,(+IF($N33=[1]CURSOS!$D$20,[1]CURSOS!$E$20,(+IF($N33=[1]CURSOS!$D$21,[1]CURSOS!$E$21,(+IF($N33=[1]CURSOS!$D$22,[1]CURSOS!$E$22,(+IF($N33=[1]CURSOS!$D$23,[1]CURSOS!$E$23,(+IF($N33=[1]CURSOS!$D$24,[1]CURSOS!$E$24,(+IF($N33=[1]CURSOS!$D$25,[1]CURSOS!$E$25,(+IF($N33=[1]CURSOS!$D$26,[1]CURSOS!$E$26,(+IF($N33=[1]CURSOS!$D$27,[1]CURSOS!$E$27,(+IF($N33=[1]CURSOS!$D$28,[1]CURSOS!$E$28,(+IF($N33=[1]CURSOS!$D$29,[1]CURSOS!$E$29,(+IF($N33=[1]CURSOS!$D$30,[1]CURSOS!$E$30,(+IF($N33=[1]CURSOS!$D$31,[1]CURSOS!$E$31,(+IF($N33=[1]CURSOS!$D$32,[1]CURSOS!$E$32)))))))))))))))))))))))))))))))))))))))))))))))))))))))))))</f>
        <v xml:space="preserve">ATENCION A VICTIMAS DE ATAQUE CON AGENTES QUIMICOS </v>
      </c>
      <c r="U33" s="50" t="str">
        <f t="shared" si="12"/>
        <v>Tatiana Sofia Guevara Rosero</v>
      </c>
      <c r="V33" s="50" t="str">
        <f t="shared" si="4"/>
        <v>Tatiana Sofia Guevara Rosero</v>
      </c>
      <c r="W33" s="50" t="str">
        <f t="shared" si="5"/>
        <v>Tatiana Sofia Guevara Rosero-1193034433-QUIMICOS</v>
      </c>
    </row>
    <row r="34" spans="1:23" s="73" customFormat="1" x14ac:dyDescent="0.2">
      <c r="A34" s="20">
        <v>33</v>
      </c>
      <c r="B34" s="20">
        <v>1087643414</v>
      </c>
      <c r="C34" s="20" t="s">
        <v>210</v>
      </c>
      <c r="D34" s="20" t="s">
        <v>210</v>
      </c>
      <c r="E34" s="20" t="s">
        <v>208</v>
      </c>
      <c r="F34" s="20" t="s">
        <v>209</v>
      </c>
      <c r="G34" s="19">
        <v>5</v>
      </c>
      <c r="H34" s="19" t="s">
        <v>99</v>
      </c>
      <c r="I34" s="25">
        <v>45387</v>
      </c>
      <c r="J34" s="98">
        <v>30000</v>
      </c>
      <c r="K34" s="116" t="s">
        <v>368</v>
      </c>
      <c r="L34" s="19" t="s">
        <v>196</v>
      </c>
      <c r="M34" s="19" t="s">
        <v>77</v>
      </c>
      <c r="N34" s="21" t="s">
        <v>25</v>
      </c>
      <c r="O34" s="72">
        <v>31736</v>
      </c>
      <c r="P34" s="20" t="s">
        <v>80</v>
      </c>
      <c r="Q34" s="20" t="s">
        <v>160</v>
      </c>
      <c r="R34" s="20">
        <v>320179678</v>
      </c>
      <c r="S34" s="20" t="s">
        <v>200</v>
      </c>
      <c r="T34" s="50" t="str">
        <f>+IF($N34=[1]CURSOS!$D$3,[1]CURSOS!$E$3,(+IF($N34=[1]CURSOS!$D$4,[1]CURSOS!$E$4,(+IF($N34=[1]CURSOS!$D$5,[1]CURSOS!$E$5,(+IF($N34=[1]CURSOS!$D$6,[1]CURSOS!$E$6,(+IF($N34=[1]CURSOS!$D$7,[1]CURSOS!$E$7,(+IF($N34=[1]CURSOS!$D$8,[1]CURSOS!$E$8,(+IF($N34=[1]CURSOS!$D$9,[1]CURSOS!$E$9,(+IF($N34=[1]CURSOS!$D$10,[1]CURSOS!$E$10,(+IF($N34=[1]CURSOS!$D$11,[1]CURSOS!$E$11,(+IF($N34=[1]CURSOS!$D$12,[1]CURSOS!$E$12,(+IF($N34=[1]CURSOS!$D$13,[1]CURSOS!$E$13,(+IF($N34=[1]CURSOS!$D$14,[1]CURSOS!$E$14,(+IF($N34=[1]CURSOS!$D$15,[1]CURSOS!$E$15,(+IF($N34=[1]CURSOS!$D$16,[1]CURSOS!$E$16,(+IF($N34=[1]CURSOS!$D$17,[1]CURSOS!$E$17,(+IF($N34=[1]CURSOS!$D$18,[1]CURSOS!$E$18,(+IF($N34=[1]CURSOS!$D$19,[1]CURSOS!$E$19,(+IF($N34=[1]CURSOS!$D$20,[1]CURSOS!$E$20,(+IF($N34=[1]CURSOS!$D$21,[1]CURSOS!$E$21,(+IF($N34=[1]CURSOS!$D$22,[1]CURSOS!$E$22,(+IF($N34=[1]CURSOS!$D$23,[1]CURSOS!$E$23,(+IF($N34=[1]CURSOS!$D$24,[1]CURSOS!$E$24,(+IF($N34=[1]CURSOS!$D$25,[1]CURSOS!$E$25,(+IF($N34=[1]CURSOS!$D$26,[1]CURSOS!$E$26,(+IF($N34=[1]CURSOS!$D$27,[1]CURSOS!$E$27,(+IF($N34=[1]CURSOS!$D$28,[1]CURSOS!$E$28,(+IF($N34=[1]CURSOS!$D$29,[1]CURSOS!$E$29,(+IF($N34=[1]CURSOS!$D$30,[1]CURSOS!$E$30,(+IF($N34=[1]CURSOS!$D$31,[1]CURSOS!$E$31,(+IF($N34=[1]CURSOS!$D$32,[1]CURSOS!$E$32)))))))))))))))))))))))))))))))))))))))))))))))))))))))))))</f>
        <v xml:space="preserve">ATENCION A VICTIMAS DE ATAQUE CON AGENTES QUIMICOS </v>
      </c>
      <c r="U34" s="50" t="str">
        <f t="shared" si="12"/>
        <v>Ana Cristina Ordóñez Ordóñez</v>
      </c>
      <c r="V34" s="50" t="str">
        <f t="shared" si="4"/>
        <v>Ana Cristina Ordóñez Ordóñez</v>
      </c>
      <c r="W34" s="50" t="str">
        <f t="shared" si="5"/>
        <v>Ana Cristina Ordóñez Ordóñez-1087643414-QUIMICOS</v>
      </c>
    </row>
    <row r="35" spans="1:23" s="73" customFormat="1" x14ac:dyDescent="0.2">
      <c r="A35" s="20">
        <v>34</v>
      </c>
      <c r="B35" s="75">
        <v>1004509046</v>
      </c>
      <c r="C35" s="20" t="s">
        <v>207</v>
      </c>
      <c r="D35" s="20" t="s">
        <v>212</v>
      </c>
      <c r="E35" s="20" t="s">
        <v>211</v>
      </c>
      <c r="F35" s="20" t="s">
        <v>121</v>
      </c>
      <c r="G35" s="19">
        <v>6</v>
      </c>
      <c r="H35" s="19" t="s">
        <v>99</v>
      </c>
      <c r="I35" s="25">
        <v>45388</v>
      </c>
      <c r="J35" s="88">
        <v>30000</v>
      </c>
      <c r="K35" s="116" t="s">
        <v>79</v>
      </c>
      <c r="L35" s="19" t="s">
        <v>196</v>
      </c>
      <c r="M35" s="19" t="s">
        <v>77</v>
      </c>
      <c r="N35" s="21" t="s">
        <v>25</v>
      </c>
      <c r="O35" s="72">
        <v>35387</v>
      </c>
      <c r="P35" s="20" t="s">
        <v>80</v>
      </c>
      <c r="Q35" s="20" t="s">
        <v>148</v>
      </c>
      <c r="R35" s="20">
        <v>3175722987</v>
      </c>
      <c r="S35" s="20" t="s">
        <v>213</v>
      </c>
      <c r="T35" s="50" t="str">
        <f>+IF($N35=[1]CURSOS!$D$3,[1]CURSOS!$E$3,(+IF($N35=[1]CURSOS!$D$4,[1]CURSOS!$E$4,(+IF($N35=[1]CURSOS!$D$5,[1]CURSOS!$E$5,(+IF($N35=[1]CURSOS!$D$6,[1]CURSOS!$E$6,(+IF($N35=[1]CURSOS!$D$7,[1]CURSOS!$E$7,(+IF($N35=[1]CURSOS!$D$8,[1]CURSOS!$E$8,(+IF($N35=[1]CURSOS!$D$9,[1]CURSOS!$E$9,(+IF($N35=[1]CURSOS!$D$10,[1]CURSOS!$E$10,(+IF($N35=[1]CURSOS!$D$11,[1]CURSOS!$E$11,(+IF($N35=[1]CURSOS!$D$12,[1]CURSOS!$E$12,(+IF($N35=[1]CURSOS!$D$13,[1]CURSOS!$E$13,(+IF($N35=[1]CURSOS!$D$14,[1]CURSOS!$E$14,(+IF($N35=[1]CURSOS!$D$15,[1]CURSOS!$E$15,(+IF($N35=[1]CURSOS!$D$16,[1]CURSOS!$E$16,(+IF($N35=[1]CURSOS!$D$17,[1]CURSOS!$E$17,(+IF($N35=[1]CURSOS!$D$18,[1]CURSOS!$E$18,(+IF($N35=[1]CURSOS!$D$19,[1]CURSOS!$E$19,(+IF($N35=[1]CURSOS!$D$20,[1]CURSOS!$E$20,(+IF($N35=[1]CURSOS!$D$21,[1]CURSOS!$E$21,(+IF($N35=[1]CURSOS!$D$22,[1]CURSOS!$E$22,(+IF($N35=[1]CURSOS!$D$23,[1]CURSOS!$E$23,(+IF($N35=[1]CURSOS!$D$24,[1]CURSOS!$E$24,(+IF($N35=[1]CURSOS!$D$25,[1]CURSOS!$E$25,(+IF($N35=[1]CURSOS!$D$26,[1]CURSOS!$E$26,(+IF($N35=[1]CURSOS!$D$27,[1]CURSOS!$E$27,(+IF($N35=[1]CURSOS!$D$28,[1]CURSOS!$E$28,(+IF($N35=[1]CURSOS!$D$29,[1]CURSOS!$E$29,(+IF($N35=[1]CURSOS!$D$30,[1]CURSOS!$E$30,(+IF($N35=[1]CURSOS!$D$31,[1]CURSOS!$E$31,(+IF($N35=[1]CURSOS!$D$32,[1]CURSOS!$E$32)))))))))))))))))))))))))))))))))))))))))))))))))))))))))))</f>
        <v xml:space="preserve">ATENCION A VICTIMAS DE ATAQUE CON AGENTES QUIMICOS </v>
      </c>
      <c r="U35" s="50" t="str">
        <f t="shared" si="12"/>
        <v>Mayra Alejandra Salazar Ceron</v>
      </c>
      <c r="V35" s="50" t="str">
        <f t="shared" si="4"/>
        <v>Mayra Alejandra Salazar Ceron</v>
      </c>
      <c r="W35" s="50" t="str">
        <f t="shared" si="5"/>
        <v>Mayra Alejandra Salazar Ceron-1004509046-QUIMICOS</v>
      </c>
    </row>
    <row r="36" spans="1:23" s="73" customFormat="1" x14ac:dyDescent="0.2">
      <c r="A36" s="20">
        <v>35</v>
      </c>
      <c r="B36" s="75">
        <v>1004509046</v>
      </c>
      <c r="C36" s="20" t="s">
        <v>207</v>
      </c>
      <c r="D36" s="20" t="s">
        <v>212</v>
      </c>
      <c r="E36" s="20" t="s">
        <v>211</v>
      </c>
      <c r="F36" s="20" t="s">
        <v>121</v>
      </c>
      <c r="G36" s="19">
        <v>8</v>
      </c>
      <c r="H36" s="19" t="s">
        <v>99</v>
      </c>
      <c r="I36" s="25">
        <v>45388</v>
      </c>
      <c r="J36" s="88">
        <v>30000</v>
      </c>
      <c r="K36" s="116" t="s">
        <v>79</v>
      </c>
      <c r="L36" s="19" t="s">
        <v>196</v>
      </c>
      <c r="M36" s="19" t="s">
        <v>77</v>
      </c>
      <c r="N36" s="21" t="s">
        <v>23</v>
      </c>
      <c r="O36" s="72">
        <v>35387</v>
      </c>
      <c r="P36" s="20" t="s">
        <v>80</v>
      </c>
      <c r="Q36" s="20" t="s">
        <v>148</v>
      </c>
      <c r="R36" s="20">
        <v>3175722987</v>
      </c>
      <c r="S36" s="20" t="s">
        <v>213</v>
      </c>
      <c r="T36" s="50" t="str">
        <f>+IF($N36=[1]CURSOS!$D$3,[1]CURSOS!$E$3,(+IF($N36=[1]CURSOS!$D$4,[1]CURSOS!$E$4,(+IF($N36=[1]CURSOS!$D$5,[1]CURSOS!$E$5,(+IF($N36=[1]CURSOS!$D$6,[1]CURSOS!$E$6,(+IF($N36=[1]CURSOS!$D$7,[1]CURSOS!$E$7,(+IF($N36=[1]CURSOS!$D$8,[1]CURSOS!$E$8,(+IF($N36=[1]CURSOS!$D$9,[1]CURSOS!$E$9,(+IF($N36=[1]CURSOS!$D$10,[1]CURSOS!$E$10,(+IF($N36=[1]CURSOS!$D$11,[1]CURSOS!$E$11,(+IF($N36=[1]CURSOS!$D$12,[1]CURSOS!$E$12,(+IF($N36=[1]CURSOS!$D$13,[1]CURSOS!$E$13,(+IF($N36=[1]CURSOS!$D$14,[1]CURSOS!$E$14,(+IF($N36=[1]CURSOS!$D$15,[1]CURSOS!$E$15,(+IF($N36=[1]CURSOS!$D$16,[1]CURSOS!$E$16,(+IF($N36=[1]CURSOS!$D$17,[1]CURSOS!$E$17,(+IF($N36=[1]CURSOS!$D$18,[1]CURSOS!$E$18,(+IF($N36=[1]CURSOS!$D$19,[1]CURSOS!$E$19,(+IF($N36=[1]CURSOS!$D$20,[1]CURSOS!$E$20,(+IF($N36=[1]CURSOS!$D$21,[1]CURSOS!$E$21,(+IF($N36=[1]CURSOS!$D$22,[1]CURSOS!$E$22,(+IF($N36=[1]CURSOS!$D$23,[1]CURSOS!$E$23,(+IF($N36=[1]CURSOS!$D$24,[1]CURSOS!$E$24,(+IF($N36=[1]CURSOS!$D$25,[1]CURSOS!$E$25,(+IF($N36=[1]CURSOS!$D$26,[1]CURSOS!$E$26,(+IF($N36=[1]CURSOS!$D$27,[1]CURSOS!$E$27,(+IF($N36=[1]CURSOS!$D$28,[1]CURSOS!$E$28,(+IF($N36=[1]CURSOS!$D$29,[1]CURSOS!$E$29,(+IF($N36=[1]CURSOS!$D$30,[1]CURSOS!$E$30,(+IF($N36=[1]CURSOS!$D$31,[1]CURSOS!$E$31,(+IF($N36=[1]CURSOS!$D$32,[1]CURSOS!$E$32)))))))))))))))))))))))))))))))))))))))))))))))))))))))))))</f>
        <v>ACOMPAÑAMIENTO Y MANEJO DEL DUELO</v>
      </c>
      <c r="U36" s="50" t="str">
        <f t="shared" si="12"/>
        <v>Mayra Alejandra Salazar Ceron</v>
      </c>
      <c r="V36" s="50" t="str">
        <f t="shared" si="4"/>
        <v>Mayra Alejandra Salazar Ceron</v>
      </c>
      <c r="W36" s="50" t="str">
        <f t="shared" si="5"/>
        <v>Mayra Alejandra Salazar Ceron-1004509046-DUELO</v>
      </c>
    </row>
    <row r="37" spans="1:23" s="73" customFormat="1" ht="15.75" x14ac:dyDescent="0.25">
      <c r="A37" s="20">
        <v>36</v>
      </c>
      <c r="B37" s="20">
        <v>1085907287</v>
      </c>
      <c r="C37" s="20" t="s">
        <v>215</v>
      </c>
      <c r="D37" s="20" t="s">
        <v>214</v>
      </c>
      <c r="E37" s="20" t="s">
        <v>216</v>
      </c>
      <c r="F37" s="20" t="s">
        <v>217</v>
      </c>
      <c r="G37" s="19">
        <v>7</v>
      </c>
      <c r="H37" s="19" t="s">
        <v>99</v>
      </c>
      <c r="I37" s="25">
        <v>45389</v>
      </c>
      <c r="J37" s="98">
        <v>40000</v>
      </c>
      <c r="K37" s="116" t="s">
        <v>82</v>
      </c>
      <c r="L37" s="19" t="s">
        <v>84</v>
      </c>
      <c r="M37" s="19" t="s">
        <v>77</v>
      </c>
      <c r="N37" s="21" t="s">
        <v>52</v>
      </c>
      <c r="O37" s="72">
        <v>32178</v>
      </c>
      <c r="P37" s="20" t="s">
        <v>78</v>
      </c>
      <c r="Q37" s="20" t="s">
        <v>160</v>
      </c>
      <c r="R37" s="20">
        <v>3165336297</v>
      </c>
      <c r="S37" s="74" t="s">
        <v>218</v>
      </c>
      <c r="T37" s="50" t="str">
        <f>+IF($N37=[1]CURSOS!$D$3,[1]CURSOS!$E$3,(+IF($N37=[1]CURSOS!$D$4,[1]CURSOS!$E$4,(+IF($N37=[1]CURSOS!$D$5,[1]CURSOS!$E$5,(+IF($N37=[1]CURSOS!$D$6,[1]CURSOS!$E$6,(+IF($N37=[1]CURSOS!$D$7,[1]CURSOS!$E$7,(+IF($N37=[1]CURSOS!$D$8,[1]CURSOS!$E$8,(+IF($N37=[1]CURSOS!$D$9,[1]CURSOS!$E$9,(+IF($N37=[1]CURSOS!$D$10,[1]CURSOS!$E$10,(+IF($N37=[1]CURSOS!$D$11,[1]CURSOS!$E$11,(+IF($N37=[1]CURSOS!$D$12,[1]CURSOS!$E$12,(+IF($N37=[1]CURSOS!$D$13,[1]CURSOS!$E$13,(+IF($N37=[1]CURSOS!$D$14,[1]CURSOS!$E$14,(+IF($N37=[1]CURSOS!$D$15,[1]CURSOS!$E$15,(+IF($N37=[1]CURSOS!$D$16,[1]CURSOS!$E$16,(+IF($N37=[1]CURSOS!$D$17,[1]CURSOS!$E$17,(+IF($N37=[1]CURSOS!$D$18,[1]CURSOS!$E$18,(+IF($N37=[1]CURSOS!$D$19,[1]CURSOS!$E$19,(+IF($N37=[1]CURSOS!$D$20,[1]CURSOS!$E$20,(+IF($N37=[1]CURSOS!$D$21,[1]CURSOS!$E$21,(+IF($N37=[1]CURSOS!$D$22,[1]CURSOS!$E$22,(+IF($N37=[1]CURSOS!$D$23,[1]CURSOS!$E$23,(+IF($N37=[1]CURSOS!$D$24,[1]CURSOS!$E$24,(+IF($N37=[1]CURSOS!$D$25,[1]CURSOS!$E$25,(+IF($N37=[1]CURSOS!$D$26,[1]CURSOS!$E$26,(+IF($N37=[1]CURSOS!$D$27,[1]CURSOS!$E$27,(+IF($N37=[1]CURSOS!$D$28,[1]CURSOS!$E$28,(+IF($N37=[1]CURSOS!$D$29,[1]CURSOS!$E$29,(+IF($N37=[1]CURSOS!$D$30,[1]CURSOS!$E$30,(+IF($N37=[1]CURSOS!$D$31,[1]CURSOS!$E$31,(+IF($N37=[1]CURSOS!$D$32,[1]CURSOS!$E$32)))))))))))))))))))))))))))))))))))))))))))))))))))))))))))</f>
        <v xml:space="preserve">ADMINISTRACION DE MEDICAMENTOS, INYECTOLOGIA  Y CANALIZACION </v>
      </c>
      <c r="U37" s="50" t="str">
        <f t="shared" si="12"/>
        <v>DEISSY CAROLINA IBARRA USAMAG</v>
      </c>
      <c r="V37" s="50" t="str">
        <f t="shared" ref="V37" si="13">+PROPER(U37)</f>
        <v>Deissy Carolina Ibarra Usamag</v>
      </c>
      <c r="W37" s="50" t="str">
        <f>CONCATENATE(U37,"-",B37,"-",N37)</f>
        <v>DEISSY CAROLINA IBARRA USAMAG-1085907287-ADMON DE MEDICAMENTOS</v>
      </c>
    </row>
    <row r="38" spans="1:23" s="73" customFormat="1" ht="15.75" x14ac:dyDescent="0.25">
      <c r="A38" s="20">
        <v>37</v>
      </c>
      <c r="B38" s="20">
        <v>1085266801</v>
      </c>
      <c r="C38" s="20" t="s">
        <v>220</v>
      </c>
      <c r="D38" s="20" t="s">
        <v>219</v>
      </c>
      <c r="E38" s="20" t="s">
        <v>221</v>
      </c>
      <c r="F38" s="20" t="s">
        <v>222</v>
      </c>
      <c r="G38" s="19">
        <v>6</v>
      </c>
      <c r="H38" s="19" t="s">
        <v>99</v>
      </c>
      <c r="I38" s="25">
        <v>45391</v>
      </c>
      <c r="J38" s="88">
        <v>30000</v>
      </c>
      <c r="K38" s="116" t="s">
        <v>79</v>
      </c>
      <c r="L38" s="25" t="s">
        <v>84</v>
      </c>
      <c r="M38" s="19" t="s">
        <v>223</v>
      </c>
      <c r="N38" s="21" t="s">
        <v>46</v>
      </c>
      <c r="O38" s="72"/>
      <c r="P38" s="20" t="s">
        <v>88</v>
      </c>
      <c r="Q38" s="20" t="s">
        <v>160</v>
      </c>
      <c r="R38" s="20"/>
      <c r="S38" s="74" t="s">
        <v>224</v>
      </c>
      <c r="T38" s="50" t="str">
        <f>+IF($N38=[1]CURSOS!$D$3,[1]CURSOS!$E$3,(+IF($N38=[1]CURSOS!$D$4,[1]CURSOS!$E$4,(+IF($N38=[1]CURSOS!$D$5,[1]CURSOS!$E$5,(+IF($N38=[1]CURSOS!$D$6,[1]CURSOS!$E$6,(+IF($N38=[1]CURSOS!$D$7,[1]CURSOS!$E$7,(+IF($N38=[1]CURSOS!$D$8,[1]CURSOS!$E$8,(+IF($N38=[1]CURSOS!$D$9,[1]CURSOS!$E$9,(+IF($N38=[1]CURSOS!$D$10,[1]CURSOS!$E$10,(+IF($N38=[1]CURSOS!$D$11,[1]CURSOS!$E$11,(+IF($N38=[1]CURSOS!$D$12,[1]CURSOS!$E$12,(+IF($N38=[1]CURSOS!$D$13,[1]CURSOS!$E$13,(+IF($N38=[1]CURSOS!$D$14,[1]CURSOS!$E$14,(+IF($N38=[1]CURSOS!$D$15,[1]CURSOS!$E$15,(+IF($N38=[1]CURSOS!$D$16,[1]CURSOS!$E$16,(+IF($N38=[1]CURSOS!$D$17,[1]CURSOS!$E$17,(+IF($N38=[1]CURSOS!$D$18,[1]CURSOS!$E$18,(+IF($N38=[1]CURSOS!$D$19,[1]CURSOS!$E$19,(+IF($N38=[1]CURSOS!$D$20,[1]CURSOS!$E$20,(+IF($N38=[1]CURSOS!$D$21,[1]CURSOS!$E$21,(+IF($N38=[1]CURSOS!$D$22,[1]CURSOS!$E$22,(+IF($N38=[1]CURSOS!$D$23,[1]CURSOS!$E$23,(+IF($N38=[1]CURSOS!$D$24,[1]CURSOS!$E$24,(+IF($N38=[1]CURSOS!$D$25,[1]CURSOS!$E$25,(+IF($N38=[1]CURSOS!$D$26,[1]CURSOS!$E$26,(+IF($N38=[1]CURSOS!$D$27,[1]CURSOS!$E$27,(+IF($N38=[1]CURSOS!$D$28,[1]CURSOS!$E$28,(+IF($N38=[1]CURSOS!$D$29,[1]CURSOS!$E$29,(+IF($N38=[1]CURSOS!$D$30,[1]CURSOS!$E$30,(+IF($N38=[1]CURSOS!$D$31,[1]CURSOS!$E$31,(+IF($N38=[1]CURSOS!$D$32,[1]CURSOS!$E$32)))))))))))))))))))))))))))))))))))))))))))))))))))))))))))</f>
        <v xml:space="preserve">ATENCION A VICTIMAS DE VIOLENCIA SEXUAL </v>
      </c>
      <c r="U38" s="50" t="str">
        <f t="shared" si="12"/>
        <v>Hugo Alirio Burgos Posso</v>
      </c>
      <c r="V38" s="50" t="str">
        <f t="shared" si="4"/>
        <v>Hugo Alirio Burgos Posso</v>
      </c>
      <c r="W38" s="50" t="str">
        <f t="shared" si="5"/>
        <v>Hugo Alirio Burgos Posso-1085266801-VIOLENCIA SEXUAL</v>
      </c>
    </row>
    <row r="39" spans="1:23" s="73" customFormat="1" ht="15.75" x14ac:dyDescent="0.25">
      <c r="A39" s="20">
        <v>38</v>
      </c>
      <c r="B39" s="20">
        <v>27090397</v>
      </c>
      <c r="C39" s="20" t="s">
        <v>170</v>
      </c>
      <c r="D39" s="20" t="s">
        <v>180</v>
      </c>
      <c r="E39" s="20" t="s">
        <v>225</v>
      </c>
      <c r="F39" s="20" t="s">
        <v>226</v>
      </c>
      <c r="G39" s="19">
        <v>6</v>
      </c>
      <c r="H39" s="19" t="s">
        <v>99</v>
      </c>
      <c r="I39" s="25">
        <v>45391</v>
      </c>
      <c r="J39" s="88">
        <v>30000</v>
      </c>
      <c r="K39" s="116" t="s">
        <v>79</v>
      </c>
      <c r="L39" s="25" t="s">
        <v>84</v>
      </c>
      <c r="M39" s="19" t="s">
        <v>223</v>
      </c>
      <c r="N39" s="21" t="s">
        <v>46</v>
      </c>
      <c r="O39" s="72"/>
      <c r="P39" s="20" t="s">
        <v>78</v>
      </c>
      <c r="Q39" s="20" t="s">
        <v>160</v>
      </c>
      <c r="R39" s="20"/>
      <c r="S39" s="74" t="s">
        <v>227</v>
      </c>
      <c r="T39" s="50" t="str">
        <f>+IF($N39=[1]CURSOS!$D$3,[1]CURSOS!$E$3,(+IF($N39=[1]CURSOS!$D$4,[1]CURSOS!$E$4,(+IF($N39=[1]CURSOS!$D$5,[1]CURSOS!$E$5,(+IF($N39=[1]CURSOS!$D$6,[1]CURSOS!$E$6,(+IF($N39=[1]CURSOS!$D$7,[1]CURSOS!$E$7,(+IF($N39=[1]CURSOS!$D$8,[1]CURSOS!$E$8,(+IF($N39=[1]CURSOS!$D$9,[1]CURSOS!$E$9,(+IF($N39=[1]CURSOS!$D$10,[1]CURSOS!$E$10,(+IF($N39=[1]CURSOS!$D$11,[1]CURSOS!$E$11,(+IF($N39=[1]CURSOS!$D$12,[1]CURSOS!$E$12,(+IF($N39=[1]CURSOS!$D$13,[1]CURSOS!$E$13,(+IF($N39=[1]CURSOS!$D$14,[1]CURSOS!$E$14,(+IF($N39=[1]CURSOS!$D$15,[1]CURSOS!$E$15,(+IF($N39=[1]CURSOS!$D$16,[1]CURSOS!$E$16,(+IF($N39=[1]CURSOS!$D$17,[1]CURSOS!$E$17,(+IF($N39=[1]CURSOS!$D$18,[1]CURSOS!$E$18,(+IF($N39=[1]CURSOS!$D$19,[1]CURSOS!$E$19,(+IF($N39=[1]CURSOS!$D$20,[1]CURSOS!$E$20,(+IF($N39=[1]CURSOS!$D$21,[1]CURSOS!$E$21,(+IF($N39=[1]CURSOS!$D$22,[1]CURSOS!$E$22,(+IF($N39=[1]CURSOS!$D$23,[1]CURSOS!$E$23,(+IF($N39=[1]CURSOS!$D$24,[1]CURSOS!$E$24,(+IF($N39=[1]CURSOS!$D$25,[1]CURSOS!$E$25,(+IF($N39=[1]CURSOS!$D$26,[1]CURSOS!$E$26,(+IF($N39=[1]CURSOS!$D$27,[1]CURSOS!$E$27,(+IF($N39=[1]CURSOS!$D$28,[1]CURSOS!$E$28,(+IF($N39=[1]CURSOS!$D$29,[1]CURSOS!$E$29,(+IF($N39=[1]CURSOS!$D$30,[1]CURSOS!$E$30,(+IF($N39=[1]CURSOS!$D$31,[1]CURSOS!$E$31,(+IF($N39=[1]CURSOS!$D$32,[1]CURSOS!$E$32)))))))))))))))))))))))))))))))))))))))))))))))))))))))))))</f>
        <v xml:space="preserve">ATENCION A VICTIMAS DE VIOLENCIA SEXUAL </v>
      </c>
      <c r="U39" s="50" t="str">
        <f t="shared" ref="U39:U45" si="14">CONCATENATE(E39," ",F39," ",C39," ",D39)</f>
        <v>Lucy Anabel Bastidas Delgado</v>
      </c>
      <c r="V39" s="50" t="str">
        <f t="shared" ref="V39:V45" si="15">+PROPER(U39)</f>
        <v>Lucy Anabel Bastidas Delgado</v>
      </c>
      <c r="W39" s="50" t="str">
        <f t="shared" ref="W39:W45" si="16">CONCATENATE(U39,"-",B39,"-",N39)</f>
        <v>Lucy Anabel Bastidas Delgado-27090397-VIOLENCIA SEXUAL</v>
      </c>
    </row>
    <row r="40" spans="1:23" s="73" customFormat="1" ht="15.75" x14ac:dyDescent="0.25">
      <c r="A40" s="20">
        <v>39</v>
      </c>
      <c r="B40" s="20">
        <v>13040300</v>
      </c>
      <c r="C40" s="20" t="s">
        <v>183</v>
      </c>
      <c r="D40" s="20" t="s">
        <v>182</v>
      </c>
      <c r="E40" s="20" t="s">
        <v>228</v>
      </c>
      <c r="F40" s="20" t="s">
        <v>229</v>
      </c>
      <c r="G40" s="19">
        <v>6</v>
      </c>
      <c r="H40" s="19" t="s">
        <v>99</v>
      </c>
      <c r="I40" s="25">
        <v>45391</v>
      </c>
      <c r="J40" s="88">
        <v>30000</v>
      </c>
      <c r="K40" s="116" t="s">
        <v>79</v>
      </c>
      <c r="L40" s="25" t="s">
        <v>84</v>
      </c>
      <c r="M40" s="19" t="s">
        <v>223</v>
      </c>
      <c r="N40" s="21" t="s">
        <v>46</v>
      </c>
      <c r="O40" s="72"/>
      <c r="P40" s="20" t="s">
        <v>88</v>
      </c>
      <c r="Q40" s="20" t="s">
        <v>148</v>
      </c>
      <c r="R40" s="20"/>
      <c r="S40" s="74" t="s">
        <v>230</v>
      </c>
      <c r="T40" s="50" t="str">
        <f>+IF($N40=[1]CURSOS!$D$3,[1]CURSOS!$E$3,(+IF($N40=[1]CURSOS!$D$4,[1]CURSOS!$E$4,(+IF($N40=[1]CURSOS!$D$5,[1]CURSOS!$E$5,(+IF($N40=[1]CURSOS!$D$6,[1]CURSOS!$E$6,(+IF($N40=[1]CURSOS!$D$7,[1]CURSOS!$E$7,(+IF($N40=[1]CURSOS!$D$8,[1]CURSOS!$E$8,(+IF($N40=[1]CURSOS!$D$9,[1]CURSOS!$E$9,(+IF($N40=[1]CURSOS!$D$10,[1]CURSOS!$E$10,(+IF($N40=[1]CURSOS!$D$11,[1]CURSOS!$E$11,(+IF($N40=[1]CURSOS!$D$12,[1]CURSOS!$E$12,(+IF($N40=[1]CURSOS!$D$13,[1]CURSOS!$E$13,(+IF($N40=[1]CURSOS!$D$14,[1]CURSOS!$E$14,(+IF($N40=[1]CURSOS!$D$15,[1]CURSOS!$E$15,(+IF($N40=[1]CURSOS!$D$16,[1]CURSOS!$E$16,(+IF($N40=[1]CURSOS!$D$17,[1]CURSOS!$E$17,(+IF($N40=[1]CURSOS!$D$18,[1]CURSOS!$E$18,(+IF($N40=[1]CURSOS!$D$19,[1]CURSOS!$E$19,(+IF($N40=[1]CURSOS!$D$20,[1]CURSOS!$E$20,(+IF($N40=[1]CURSOS!$D$21,[1]CURSOS!$E$21,(+IF($N40=[1]CURSOS!$D$22,[1]CURSOS!$E$22,(+IF($N40=[1]CURSOS!$D$23,[1]CURSOS!$E$23,(+IF($N40=[1]CURSOS!$D$24,[1]CURSOS!$E$24,(+IF($N40=[1]CURSOS!$D$25,[1]CURSOS!$E$25,(+IF($N40=[1]CURSOS!$D$26,[1]CURSOS!$E$26,(+IF($N40=[1]CURSOS!$D$27,[1]CURSOS!$E$27,(+IF($N40=[1]CURSOS!$D$28,[1]CURSOS!$E$28,(+IF($N40=[1]CURSOS!$D$29,[1]CURSOS!$E$29,(+IF($N40=[1]CURSOS!$D$30,[1]CURSOS!$E$30,(+IF($N40=[1]CURSOS!$D$31,[1]CURSOS!$E$31,(+IF($N40=[1]CURSOS!$D$32,[1]CURSOS!$E$32)))))))))))))))))))))))))))))))))))))))))))))))))))))))))))</f>
        <v xml:space="preserve">ATENCION A VICTIMAS DE VIOLENCIA SEXUAL </v>
      </c>
      <c r="U40" s="50" t="str">
        <f t="shared" si="14"/>
        <v>Henry Manuel Palacios Guerrero</v>
      </c>
      <c r="V40" s="50" t="str">
        <f t="shared" si="15"/>
        <v>Henry Manuel Palacios Guerrero</v>
      </c>
      <c r="W40" s="50" t="str">
        <f t="shared" si="16"/>
        <v>Henry Manuel Palacios Guerrero-13040300-VIOLENCIA SEXUAL</v>
      </c>
    </row>
    <row r="41" spans="1:23" s="73" customFormat="1" ht="15.75" x14ac:dyDescent="0.25">
      <c r="A41" s="20">
        <v>40</v>
      </c>
      <c r="B41" s="20">
        <v>55207036</v>
      </c>
      <c r="C41" s="20" t="s">
        <v>180</v>
      </c>
      <c r="D41" s="20" t="s">
        <v>231</v>
      </c>
      <c r="E41" s="20" t="s">
        <v>242</v>
      </c>
      <c r="F41" s="20" t="s">
        <v>232</v>
      </c>
      <c r="G41" s="19">
        <v>6</v>
      </c>
      <c r="H41" s="19" t="s">
        <v>99</v>
      </c>
      <c r="I41" s="25">
        <v>45391</v>
      </c>
      <c r="J41" s="88">
        <v>30000</v>
      </c>
      <c r="K41" s="116" t="s">
        <v>79</v>
      </c>
      <c r="L41" s="25" t="s">
        <v>84</v>
      </c>
      <c r="M41" s="19" t="s">
        <v>223</v>
      </c>
      <c r="N41" s="21" t="s">
        <v>46</v>
      </c>
      <c r="O41" s="72"/>
      <c r="P41" s="20" t="s">
        <v>78</v>
      </c>
      <c r="Q41" s="20" t="s">
        <v>160</v>
      </c>
      <c r="R41" s="20"/>
      <c r="S41" s="74" t="s">
        <v>233</v>
      </c>
      <c r="T41" s="50" t="str">
        <f>+IF($N41=[1]CURSOS!$D$3,[1]CURSOS!$E$3,(+IF($N41=[1]CURSOS!$D$4,[1]CURSOS!$E$4,(+IF($N41=[1]CURSOS!$D$5,[1]CURSOS!$E$5,(+IF($N41=[1]CURSOS!$D$6,[1]CURSOS!$E$6,(+IF($N41=[1]CURSOS!$D$7,[1]CURSOS!$E$7,(+IF($N41=[1]CURSOS!$D$8,[1]CURSOS!$E$8,(+IF($N41=[1]CURSOS!$D$9,[1]CURSOS!$E$9,(+IF($N41=[1]CURSOS!$D$10,[1]CURSOS!$E$10,(+IF($N41=[1]CURSOS!$D$11,[1]CURSOS!$E$11,(+IF($N41=[1]CURSOS!$D$12,[1]CURSOS!$E$12,(+IF($N41=[1]CURSOS!$D$13,[1]CURSOS!$E$13,(+IF($N41=[1]CURSOS!$D$14,[1]CURSOS!$E$14,(+IF($N41=[1]CURSOS!$D$15,[1]CURSOS!$E$15,(+IF($N41=[1]CURSOS!$D$16,[1]CURSOS!$E$16,(+IF($N41=[1]CURSOS!$D$17,[1]CURSOS!$E$17,(+IF($N41=[1]CURSOS!$D$18,[1]CURSOS!$E$18,(+IF($N41=[1]CURSOS!$D$19,[1]CURSOS!$E$19,(+IF($N41=[1]CURSOS!$D$20,[1]CURSOS!$E$20,(+IF($N41=[1]CURSOS!$D$21,[1]CURSOS!$E$21,(+IF($N41=[1]CURSOS!$D$22,[1]CURSOS!$E$22,(+IF($N41=[1]CURSOS!$D$23,[1]CURSOS!$E$23,(+IF($N41=[1]CURSOS!$D$24,[1]CURSOS!$E$24,(+IF($N41=[1]CURSOS!$D$25,[1]CURSOS!$E$25,(+IF($N41=[1]CURSOS!$D$26,[1]CURSOS!$E$26,(+IF($N41=[1]CURSOS!$D$27,[1]CURSOS!$E$27,(+IF($N41=[1]CURSOS!$D$28,[1]CURSOS!$E$28,(+IF($N41=[1]CURSOS!$D$29,[1]CURSOS!$E$29,(+IF($N41=[1]CURSOS!$D$30,[1]CURSOS!$E$30,(+IF($N41=[1]CURSOS!$D$31,[1]CURSOS!$E$31,(+IF($N41=[1]CURSOS!$D$32,[1]CURSOS!$E$32)))))))))))))))))))))))))))))))))))))))))))))))))))))))))))</f>
        <v xml:space="preserve">ATENCION A VICTIMAS DE VIOLENCIA SEXUAL </v>
      </c>
      <c r="U41" s="50" t="str">
        <f t="shared" si="14"/>
        <v>Doris Del Socorro Delgado Gomez</v>
      </c>
      <c r="V41" s="50" t="str">
        <f t="shared" si="15"/>
        <v>Doris Del Socorro Delgado Gomez</v>
      </c>
      <c r="W41" s="50" t="str">
        <f t="shared" si="16"/>
        <v>Doris Del Socorro Delgado Gomez-55207036-VIOLENCIA SEXUAL</v>
      </c>
    </row>
    <row r="42" spans="1:23" s="73" customFormat="1" ht="15.75" x14ac:dyDescent="0.25">
      <c r="A42" s="20">
        <v>41</v>
      </c>
      <c r="B42" s="20">
        <v>1087412439</v>
      </c>
      <c r="C42" s="20" t="s">
        <v>234</v>
      </c>
      <c r="D42" s="20" t="s">
        <v>186</v>
      </c>
      <c r="E42" s="20" t="s">
        <v>235</v>
      </c>
      <c r="F42" s="20" t="s">
        <v>236</v>
      </c>
      <c r="G42" s="19">
        <v>6</v>
      </c>
      <c r="H42" s="19" t="s">
        <v>99</v>
      </c>
      <c r="I42" s="25">
        <v>45391</v>
      </c>
      <c r="J42" s="88">
        <v>30000</v>
      </c>
      <c r="K42" s="116" t="s">
        <v>79</v>
      </c>
      <c r="L42" s="25" t="s">
        <v>84</v>
      </c>
      <c r="M42" s="19" t="s">
        <v>223</v>
      </c>
      <c r="N42" s="21" t="s">
        <v>46</v>
      </c>
      <c r="O42" s="72"/>
      <c r="P42" s="20" t="s">
        <v>78</v>
      </c>
      <c r="Q42" s="20" t="s">
        <v>160</v>
      </c>
      <c r="R42" s="20"/>
      <c r="S42" s="74" t="s">
        <v>237</v>
      </c>
      <c r="T42" s="50" t="str">
        <f>+IF($N42=[1]CURSOS!$D$3,[1]CURSOS!$E$3,(+IF($N42=[1]CURSOS!$D$4,[1]CURSOS!$E$4,(+IF($N42=[1]CURSOS!$D$5,[1]CURSOS!$E$5,(+IF($N42=[1]CURSOS!$D$6,[1]CURSOS!$E$6,(+IF($N42=[1]CURSOS!$D$7,[1]CURSOS!$E$7,(+IF($N42=[1]CURSOS!$D$8,[1]CURSOS!$E$8,(+IF($N42=[1]CURSOS!$D$9,[1]CURSOS!$E$9,(+IF($N42=[1]CURSOS!$D$10,[1]CURSOS!$E$10,(+IF($N42=[1]CURSOS!$D$11,[1]CURSOS!$E$11,(+IF($N42=[1]CURSOS!$D$12,[1]CURSOS!$E$12,(+IF($N42=[1]CURSOS!$D$13,[1]CURSOS!$E$13,(+IF($N42=[1]CURSOS!$D$14,[1]CURSOS!$E$14,(+IF($N42=[1]CURSOS!$D$15,[1]CURSOS!$E$15,(+IF($N42=[1]CURSOS!$D$16,[1]CURSOS!$E$16,(+IF($N42=[1]CURSOS!$D$17,[1]CURSOS!$E$17,(+IF($N42=[1]CURSOS!$D$18,[1]CURSOS!$E$18,(+IF($N42=[1]CURSOS!$D$19,[1]CURSOS!$E$19,(+IF($N42=[1]CURSOS!$D$20,[1]CURSOS!$E$20,(+IF($N42=[1]CURSOS!$D$21,[1]CURSOS!$E$21,(+IF($N42=[1]CURSOS!$D$22,[1]CURSOS!$E$22,(+IF($N42=[1]CURSOS!$D$23,[1]CURSOS!$E$23,(+IF($N42=[1]CURSOS!$D$24,[1]CURSOS!$E$24,(+IF($N42=[1]CURSOS!$D$25,[1]CURSOS!$E$25,(+IF($N42=[1]CURSOS!$D$26,[1]CURSOS!$E$26,(+IF($N42=[1]CURSOS!$D$27,[1]CURSOS!$E$27,(+IF($N42=[1]CURSOS!$D$28,[1]CURSOS!$E$28,(+IF($N42=[1]CURSOS!$D$29,[1]CURSOS!$E$29,(+IF($N42=[1]CURSOS!$D$30,[1]CURSOS!$E$30,(+IF($N42=[1]CURSOS!$D$31,[1]CURSOS!$E$31,(+IF($N42=[1]CURSOS!$D$32,[1]CURSOS!$E$32)))))))))))))))))))))))))))))))))))))))))))))))))))))))))))</f>
        <v xml:space="preserve">ATENCION A VICTIMAS DE VIOLENCIA SEXUAL </v>
      </c>
      <c r="U42" s="50" t="str">
        <f t="shared" si="14"/>
        <v>Edison Jose Mora Rosero</v>
      </c>
      <c r="V42" s="50" t="str">
        <f t="shared" si="15"/>
        <v>Edison Jose Mora Rosero</v>
      </c>
      <c r="W42" s="50" t="str">
        <f t="shared" si="16"/>
        <v>Edison Jose Mora Rosero-1087412439-VIOLENCIA SEXUAL</v>
      </c>
    </row>
    <row r="43" spans="1:23" s="73" customFormat="1" ht="15.75" x14ac:dyDescent="0.25">
      <c r="A43" s="20">
        <v>42</v>
      </c>
      <c r="B43" s="20">
        <v>27456280</v>
      </c>
      <c r="C43" s="20" t="s">
        <v>238</v>
      </c>
      <c r="D43" s="20" t="s">
        <v>239</v>
      </c>
      <c r="E43" s="20" t="s">
        <v>243</v>
      </c>
      <c r="F43" s="20" t="s">
        <v>240</v>
      </c>
      <c r="G43" s="19">
        <v>7</v>
      </c>
      <c r="H43" s="19" t="s">
        <v>99</v>
      </c>
      <c r="I43" s="25">
        <v>45391</v>
      </c>
      <c r="J43" s="88">
        <v>30000</v>
      </c>
      <c r="K43" s="116" t="s">
        <v>79</v>
      </c>
      <c r="L43" s="25" t="s">
        <v>84</v>
      </c>
      <c r="M43" s="19" t="s">
        <v>223</v>
      </c>
      <c r="N43" s="21" t="s">
        <v>25</v>
      </c>
      <c r="O43" s="72"/>
      <c r="P43" s="20" t="s">
        <v>78</v>
      </c>
      <c r="Q43" s="20" t="s">
        <v>160</v>
      </c>
      <c r="R43" s="20"/>
      <c r="S43" s="74" t="s">
        <v>241</v>
      </c>
      <c r="T43" s="50" t="str">
        <f>+IF($N43=[1]CURSOS!$D$3,[1]CURSOS!$E$3,(+IF($N43=[1]CURSOS!$D$4,[1]CURSOS!$E$4,(+IF($N43=[1]CURSOS!$D$5,[1]CURSOS!$E$5,(+IF($N43=[1]CURSOS!$D$6,[1]CURSOS!$E$6,(+IF($N43=[1]CURSOS!$D$7,[1]CURSOS!$E$7,(+IF($N43=[1]CURSOS!$D$8,[1]CURSOS!$E$8,(+IF($N43=[1]CURSOS!$D$9,[1]CURSOS!$E$9,(+IF($N43=[1]CURSOS!$D$10,[1]CURSOS!$E$10,(+IF($N43=[1]CURSOS!$D$11,[1]CURSOS!$E$11,(+IF($N43=[1]CURSOS!$D$12,[1]CURSOS!$E$12,(+IF($N43=[1]CURSOS!$D$13,[1]CURSOS!$E$13,(+IF($N43=[1]CURSOS!$D$14,[1]CURSOS!$E$14,(+IF($N43=[1]CURSOS!$D$15,[1]CURSOS!$E$15,(+IF($N43=[1]CURSOS!$D$16,[1]CURSOS!$E$16,(+IF($N43=[1]CURSOS!$D$17,[1]CURSOS!$E$17,(+IF($N43=[1]CURSOS!$D$18,[1]CURSOS!$E$18,(+IF($N43=[1]CURSOS!$D$19,[1]CURSOS!$E$19,(+IF($N43=[1]CURSOS!$D$20,[1]CURSOS!$E$20,(+IF($N43=[1]CURSOS!$D$21,[1]CURSOS!$E$21,(+IF($N43=[1]CURSOS!$D$22,[1]CURSOS!$E$22,(+IF($N43=[1]CURSOS!$D$23,[1]CURSOS!$E$23,(+IF($N43=[1]CURSOS!$D$24,[1]CURSOS!$E$24,(+IF($N43=[1]CURSOS!$D$25,[1]CURSOS!$E$25,(+IF($N43=[1]CURSOS!$D$26,[1]CURSOS!$E$26,(+IF($N43=[1]CURSOS!$D$27,[1]CURSOS!$E$27,(+IF($N43=[1]CURSOS!$D$28,[1]CURSOS!$E$28,(+IF($N43=[1]CURSOS!$D$29,[1]CURSOS!$E$29,(+IF($N43=[1]CURSOS!$D$30,[1]CURSOS!$E$30,(+IF($N43=[1]CURSOS!$D$31,[1]CURSOS!$E$31,(+IF($N43=[1]CURSOS!$D$32,[1]CURSOS!$E$32)))))))))))))))))))))))))))))))))))))))))))))))))))))))))))</f>
        <v xml:space="preserve">ATENCION A VICTIMAS DE ATAQUE CON AGENTES QUIMICOS </v>
      </c>
      <c r="U43" s="50" t="str">
        <f t="shared" si="14"/>
        <v>Florinda Ines Chatazar Getial</v>
      </c>
      <c r="V43" s="50" t="str">
        <f t="shared" si="15"/>
        <v>Florinda Ines Chatazar Getial</v>
      </c>
      <c r="W43" s="50" t="str">
        <f t="shared" si="16"/>
        <v>Florinda Ines Chatazar Getial-27456280-QUIMICOS</v>
      </c>
    </row>
    <row r="44" spans="1:23" s="73" customFormat="1" ht="15.75" x14ac:dyDescent="0.25">
      <c r="A44" s="20">
        <v>43</v>
      </c>
      <c r="B44" s="20">
        <v>13040300</v>
      </c>
      <c r="C44" s="20" t="s">
        <v>183</v>
      </c>
      <c r="D44" s="20" t="s">
        <v>182</v>
      </c>
      <c r="E44" s="20" t="s">
        <v>228</v>
      </c>
      <c r="F44" s="20" t="s">
        <v>229</v>
      </c>
      <c r="G44" s="19">
        <v>7</v>
      </c>
      <c r="H44" s="19" t="s">
        <v>99</v>
      </c>
      <c r="I44" s="25">
        <v>45391</v>
      </c>
      <c r="J44" s="88">
        <v>30000</v>
      </c>
      <c r="K44" s="116" t="s">
        <v>79</v>
      </c>
      <c r="L44" s="25" t="s">
        <v>84</v>
      </c>
      <c r="M44" s="19" t="s">
        <v>223</v>
      </c>
      <c r="N44" s="21" t="s">
        <v>25</v>
      </c>
      <c r="O44" s="72"/>
      <c r="P44" s="20" t="s">
        <v>88</v>
      </c>
      <c r="Q44" s="20" t="s">
        <v>148</v>
      </c>
      <c r="R44" s="20"/>
      <c r="S44" s="74" t="s">
        <v>230</v>
      </c>
      <c r="T44" s="50" t="str">
        <f>+IF($N44=[1]CURSOS!$D$3,[1]CURSOS!$E$3,(+IF($N44=[1]CURSOS!$D$4,[1]CURSOS!$E$4,(+IF($N44=[1]CURSOS!$D$5,[1]CURSOS!$E$5,(+IF($N44=[1]CURSOS!$D$6,[1]CURSOS!$E$6,(+IF($N44=[1]CURSOS!$D$7,[1]CURSOS!$E$7,(+IF($N44=[1]CURSOS!$D$8,[1]CURSOS!$E$8,(+IF($N44=[1]CURSOS!$D$9,[1]CURSOS!$E$9,(+IF($N44=[1]CURSOS!$D$10,[1]CURSOS!$E$10,(+IF($N44=[1]CURSOS!$D$11,[1]CURSOS!$E$11,(+IF($N44=[1]CURSOS!$D$12,[1]CURSOS!$E$12,(+IF($N44=[1]CURSOS!$D$13,[1]CURSOS!$E$13,(+IF($N44=[1]CURSOS!$D$14,[1]CURSOS!$E$14,(+IF($N44=[1]CURSOS!$D$15,[1]CURSOS!$E$15,(+IF($N44=[1]CURSOS!$D$16,[1]CURSOS!$E$16,(+IF($N44=[1]CURSOS!$D$17,[1]CURSOS!$E$17,(+IF($N44=[1]CURSOS!$D$18,[1]CURSOS!$E$18,(+IF($N44=[1]CURSOS!$D$19,[1]CURSOS!$E$19,(+IF($N44=[1]CURSOS!$D$20,[1]CURSOS!$E$20,(+IF($N44=[1]CURSOS!$D$21,[1]CURSOS!$E$21,(+IF($N44=[1]CURSOS!$D$22,[1]CURSOS!$E$22,(+IF($N44=[1]CURSOS!$D$23,[1]CURSOS!$E$23,(+IF($N44=[1]CURSOS!$D$24,[1]CURSOS!$E$24,(+IF($N44=[1]CURSOS!$D$25,[1]CURSOS!$E$25,(+IF($N44=[1]CURSOS!$D$26,[1]CURSOS!$E$26,(+IF($N44=[1]CURSOS!$D$27,[1]CURSOS!$E$27,(+IF($N44=[1]CURSOS!$D$28,[1]CURSOS!$E$28,(+IF($N44=[1]CURSOS!$D$29,[1]CURSOS!$E$29,(+IF($N44=[1]CURSOS!$D$30,[1]CURSOS!$E$30,(+IF($N44=[1]CURSOS!$D$31,[1]CURSOS!$E$31,(+IF($N44=[1]CURSOS!$D$32,[1]CURSOS!$E$32)))))))))))))))))))))))))))))))))))))))))))))))))))))))))))</f>
        <v xml:space="preserve">ATENCION A VICTIMAS DE ATAQUE CON AGENTES QUIMICOS </v>
      </c>
      <c r="U44" s="50" t="str">
        <f t="shared" si="14"/>
        <v>Henry Manuel Palacios Guerrero</v>
      </c>
      <c r="V44" s="50" t="str">
        <f t="shared" si="15"/>
        <v>Henry Manuel Palacios Guerrero</v>
      </c>
      <c r="W44" s="50" t="str">
        <f t="shared" si="16"/>
        <v>Henry Manuel Palacios Guerrero-13040300-QUIMICOS</v>
      </c>
    </row>
    <row r="45" spans="1:23" s="73" customFormat="1" ht="15.75" x14ac:dyDescent="0.25">
      <c r="A45" s="20">
        <v>44</v>
      </c>
      <c r="B45" s="76">
        <v>55207036</v>
      </c>
      <c r="C45" s="20" t="s">
        <v>180</v>
      </c>
      <c r="D45" s="20" t="s">
        <v>231</v>
      </c>
      <c r="E45" s="20" t="s">
        <v>242</v>
      </c>
      <c r="F45" s="20" t="s">
        <v>232</v>
      </c>
      <c r="G45" s="19">
        <v>7</v>
      </c>
      <c r="H45" s="19" t="s">
        <v>99</v>
      </c>
      <c r="I45" s="25">
        <v>45391</v>
      </c>
      <c r="J45" s="88">
        <v>30000</v>
      </c>
      <c r="K45" s="116" t="s">
        <v>79</v>
      </c>
      <c r="L45" s="25" t="s">
        <v>84</v>
      </c>
      <c r="M45" s="19" t="s">
        <v>223</v>
      </c>
      <c r="N45" s="21" t="s">
        <v>23</v>
      </c>
      <c r="O45" s="72"/>
      <c r="P45" s="20" t="s">
        <v>78</v>
      </c>
      <c r="Q45" s="20" t="s">
        <v>160</v>
      </c>
      <c r="R45" s="20"/>
      <c r="S45" s="74" t="s">
        <v>233</v>
      </c>
      <c r="T45" s="50" t="str">
        <f>+IF($N45=[1]CURSOS!$D$3,[1]CURSOS!$E$3,(+IF($N45=[1]CURSOS!$D$4,[1]CURSOS!$E$4,(+IF($N45=[1]CURSOS!$D$5,[1]CURSOS!$E$5,(+IF($N45=[1]CURSOS!$D$6,[1]CURSOS!$E$6,(+IF($N45=[1]CURSOS!$D$7,[1]CURSOS!$E$7,(+IF($N45=[1]CURSOS!$D$8,[1]CURSOS!$E$8,(+IF($N45=[1]CURSOS!$D$9,[1]CURSOS!$E$9,(+IF($N45=[1]CURSOS!$D$10,[1]CURSOS!$E$10,(+IF($N45=[1]CURSOS!$D$11,[1]CURSOS!$E$11,(+IF($N45=[1]CURSOS!$D$12,[1]CURSOS!$E$12,(+IF($N45=[1]CURSOS!$D$13,[1]CURSOS!$E$13,(+IF($N45=[1]CURSOS!$D$14,[1]CURSOS!$E$14,(+IF($N45=[1]CURSOS!$D$15,[1]CURSOS!$E$15,(+IF($N45=[1]CURSOS!$D$16,[1]CURSOS!$E$16,(+IF($N45=[1]CURSOS!$D$17,[1]CURSOS!$E$17,(+IF($N45=[1]CURSOS!$D$18,[1]CURSOS!$E$18,(+IF($N45=[1]CURSOS!$D$19,[1]CURSOS!$E$19,(+IF($N45=[1]CURSOS!$D$20,[1]CURSOS!$E$20,(+IF($N45=[1]CURSOS!$D$21,[1]CURSOS!$E$21,(+IF($N45=[1]CURSOS!$D$22,[1]CURSOS!$E$22,(+IF($N45=[1]CURSOS!$D$23,[1]CURSOS!$E$23,(+IF($N45=[1]CURSOS!$D$24,[1]CURSOS!$E$24,(+IF($N45=[1]CURSOS!$D$25,[1]CURSOS!$E$25,(+IF($N45=[1]CURSOS!$D$26,[1]CURSOS!$E$26,(+IF($N45=[1]CURSOS!$D$27,[1]CURSOS!$E$27,(+IF($N45=[1]CURSOS!$D$28,[1]CURSOS!$E$28,(+IF($N45=[1]CURSOS!$D$29,[1]CURSOS!$E$29,(+IF($N45=[1]CURSOS!$D$30,[1]CURSOS!$E$30,(+IF($N45=[1]CURSOS!$D$31,[1]CURSOS!$E$31,(+IF($N45=[1]CURSOS!$D$32,[1]CURSOS!$E$32)))))))))))))))))))))))))))))))))))))))))))))))))))))))))))</f>
        <v>ACOMPAÑAMIENTO Y MANEJO DEL DUELO</v>
      </c>
      <c r="U45" s="50" t="str">
        <f t="shared" si="14"/>
        <v>Doris Del Socorro Delgado Gomez</v>
      </c>
      <c r="V45" s="50" t="str">
        <f t="shared" si="15"/>
        <v>Doris Del Socorro Delgado Gomez</v>
      </c>
      <c r="W45" s="50" t="str">
        <f t="shared" si="16"/>
        <v>Doris Del Socorro Delgado Gomez-55207036-DUELO</v>
      </c>
    </row>
    <row r="46" spans="1:23" s="73" customFormat="1" x14ac:dyDescent="0.2">
      <c r="A46" s="20">
        <v>45</v>
      </c>
      <c r="B46" s="20">
        <v>1085266810</v>
      </c>
      <c r="C46" s="20" t="s">
        <v>155</v>
      </c>
      <c r="D46" s="20" t="s">
        <v>338</v>
      </c>
      <c r="E46" s="20" t="s">
        <v>121</v>
      </c>
      <c r="F46" s="20"/>
      <c r="G46" s="19">
        <v>8</v>
      </c>
      <c r="H46" s="19" t="s">
        <v>99</v>
      </c>
      <c r="I46" s="25">
        <v>45391</v>
      </c>
      <c r="J46" s="88">
        <v>30000</v>
      </c>
      <c r="K46" s="116" t="s">
        <v>79</v>
      </c>
      <c r="L46" s="19" t="s">
        <v>84</v>
      </c>
      <c r="M46" s="19" t="s">
        <v>223</v>
      </c>
      <c r="N46" s="21" t="s">
        <v>19</v>
      </c>
      <c r="O46" s="72"/>
      <c r="P46" s="20" t="s">
        <v>78</v>
      </c>
      <c r="Q46" s="20"/>
      <c r="R46" s="20"/>
      <c r="S46" s="20"/>
      <c r="T46" s="50" t="str">
        <f>+IF($N46=[1]CURSOS!$D$3,[1]CURSOS!$E$3,(+IF($N46=[1]CURSOS!$D$4,[1]CURSOS!$E$4,(+IF($N46=[1]CURSOS!$D$5,[1]CURSOS!$E$5,(+IF($N46=[1]CURSOS!$D$6,[1]CURSOS!$E$6,(+IF($N46=[1]CURSOS!$D$7,[1]CURSOS!$E$7,(+IF($N46=[1]CURSOS!$D$8,[1]CURSOS!$E$8,(+IF($N46=[1]CURSOS!$D$9,[1]CURSOS!$E$9,(+IF($N46=[1]CURSOS!$D$10,[1]CURSOS!$E$10,(+IF($N46=[1]CURSOS!$D$11,[1]CURSOS!$E$11,(+IF($N46=[1]CURSOS!$D$12,[1]CURSOS!$E$12,(+IF($N46=[1]CURSOS!$D$13,[1]CURSOS!$E$13,(+IF($N46=[1]CURSOS!$D$14,[1]CURSOS!$E$14,(+IF($N46=[1]CURSOS!$D$15,[1]CURSOS!$E$15,(+IF($N46=[1]CURSOS!$D$16,[1]CURSOS!$E$16,(+IF($N46=[1]CURSOS!$D$17,[1]CURSOS!$E$17,(+IF($N46=[1]CURSOS!$D$18,[1]CURSOS!$E$18,(+IF($N46=[1]CURSOS!$D$19,[1]CURSOS!$E$19,(+IF($N46=[1]CURSOS!$D$20,[1]CURSOS!$E$20,(+IF($N46=[1]CURSOS!$D$21,[1]CURSOS!$E$21,(+IF($N46=[1]CURSOS!$D$22,[1]CURSOS!$E$22,(+IF($N46=[1]CURSOS!$D$23,[1]CURSOS!$E$23,(+IF($N46=[1]CURSOS!$D$24,[1]CURSOS!$E$24,(+IF($N46=[1]CURSOS!$D$25,[1]CURSOS!$E$25,(+IF($N46=[1]CURSOS!$D$26,[1]CURSOS!$E$26,(+IF($N46=[1]CURSOS!$D$27,[1]CURSOS!$E$27,(+IF($N46=[1]CURSOS!$D$28,[1]CURSOS!$E$28,(+IF($N46=[1]CURSOS!$D$29,[1]CURSOS!$E$29,(+IF($N46=[1]CURSOS!$D$30,[1]CURSOS!$E$30,(+IF($N46=[1]CURSOS!$D$31,[1]CURSOS!$E$31,(+IF($N46=[1]CURSOS!$D$32,[1]CURSOS!$E$32)))))))))))))))))))))))))))))))))))))))))))))))))))))))))))</f>
        <v>SOPORTE VITAL BASICO (BLS)</v>
      </c>
      <c r="U46" s="50" t="str">
        <f>CONCATENATE(E46," ",F46," ",C46," ",D46)</f>
        <v>Alejandra  Muñoz Enriquez</v>
      </c>
      <c r="V46" s="50" t="str">
        <f>+PROPER(U46)</f>
        <v>Alejandra  Muñoz Enriquez</v>
      </c>
      <c r="W46" s="50" t="str">
        <f t="shared" ref="W46" si="17">CONCATENATE(U46,"-",B46,"-",N46)</f>
        <v>Alejandra  Muñoz Enriquez-1085266810-BLS</v>
      </c>
    </row>
    <row r="47" spans="1:23" s="73" customFormat="1" x14ac:dyDescent="0.2">
      <c r="A47" s="20">
        <v>46</v>
      </c>
      <c r="B47" s="20">
        <v>59856421</v>
      </c>
      <c r="C47" s="20" t="s">
        <v>244</v>
      </c>
      <c r="D47" s="20" t="s">
        <v>245</v>
      </c>
      <c r="E47" s="20" t="s">
        <v>246</v>
      </c>
      <c r="F47" s="20" t="s">
        <v>247</v>
      </c>
      <c r="G47" s="19">
        <v>5</v>
      </c>
      <c r="H47" s="19" t="s">
        <v>99</v>
      </c>
      <c r="I47" s="25">
        <v>45391</v>
      </c>
      <c r="J47" s="98">
        <v>20000</v>
      </c>
      <c r="K47" s="116" t="s">
        <v>82</v>
      </c>
      <c r="L47" s="25" t="s">
        <v>79</v>
      </c>
      <c r="M47" s="19" t="s">
        <v>173</v>
      </c>
      <c r="N47" s="21" t="s">
        <v>46</v>
      </c>
      <c r="O47" s="72"/>
      <c r="P47" s="20" t="s">
        <v>78</v>
      </c>
      <c r="Q47" s="20"/>
      <c r="R47" s="20"/>
      <c r="S47" s="20" t="s">
        <v>248</v>
      </c>
      <c r="T47" s="50" t="str">
        <f>+IF($N47=[1]CURSOS!$D$3,[1]CURSOS!$E$3,(+IF($N47=[1]CURSOS!$D$4,[1]CURSOS!$E$4,(+IF($N47=[1]CURSOS!$D$5,[1]CURSOS!$E$5,(+IF($N47=[1]CURSOS!$D$6,[1]CURSOS!$E$6,(+IF($N47=[1]CURSOS!$D$7,[1]CURSOS!$E$7,(+IF($N47=[1]CURSOS!$D$8,[1]CURSOS!$E$8,(+IF($N47=[1]CURSOS!$D$9,[1]CURSOS!$E$9,(+IF($N47=[1]CURSOS!$D$10,[1]CURSOS!$E$10,(+IF($N47=[1]CURSOS!$D$11,[1]CURSOS!$E$11,(+IF($N47=[1]CURSOS!$D$12,[1]CURSOS!$E$12,(+IF($N47=[1]CURSOS!$D$13,[1]CURSOS!$E$13,(+IF($N47=[1]CURSOS!$D$14,[1]CURSOS!$E$14,(+IF($N47=[1]CURSOS!$D$15,[1]CURSOS!$E$15,(+IF($N47=[1]CURSOS!$D$16,[1]CURSOS!$E$16,(+IF($N47=[1]CURSOS!$D$17,[1]CURSOS!$E$17,(+IF($N47=[1]CURSOS!$D$18,[1]CURSOS!$E$18,(+IF($N47=[1]CURSOS!$D$19,[1]CURSOS!$E$19,(+IF($N47=[1]CURSOS!$D$20,[1]CURSOS!$E$20,(+IF($N47=[1]CURSOS!$D$21,[1]CURSOS!$E$21,(+IF($N47=[1]CURSOS!$D$22,[1]CURSOS!$E$22,(+IF($N47=[1]CURSOS!$D$23,[1]CURSOS!$E$23,(+IF($N47=[1]CURSOS!$D$24,[1]CURSOS!$E$24,(+IF($N47=[1]CURSOS!$D$25,[1]CURSOS!$E$25,(+IF($N47=[1]CURSOS!$D$26,[1]CURSOS!$E$26,(+IF($N47=[1]CURSOS!$D$27,[1]CURSOS!$E$27,(+IF($N47=[1]CURSOS!$D$28,[1]CURSOS!$E$28,(+IF($N47=[1]CURSOS!$D$29,[1]CURSOS!$E$29,(+IF($N47=[1]CURSOS!$D$30,[1]CURSOS!$E$30,(+IF($N47=[1]CURSOS!$D$31,[1]CURSOS!$E$31,(+IF($N47=[1]CURSOS!$D$32,[1]CURSOS!$E$32)))))))))))))))))))))))))))))))))))))))))))))))))))))))))))</f>
        <v xml:space="preserve">ATENCION A VICTIMAS DE VIOLENCIA SEXUAL </v>
      </c>
      <c r="U47" s="50" t="str">
        <f t="shared" ref="U47:U52" si="18">CONCATENATE(E47," ",F47," ",C47," ",D47)</f>
        <v>Mary Astrid Sanchez Puchana</v>
      </c>
      <c r="V47" s="50" t="str">
        <f t="shared" ref="V47:V52" si="19">+PROPER(U47)</f>
        <v>Mary Astrid Sanchez Puchana</v>
      </c>
      <c r="W47" s="50" t="str">
        <f t="shared" ref="W47:W52" si="20">CONCATENATE(U47,"-",B47,"-",N47)</f>
        <v>Mary Astrid Sanchez Puchana-59856421-VIOLENCIA SEXUAL</v>
      </c>
    </row>
    <row r="48" spans="1:23" s="73" customFormat="1" x14ac:dyDescent="0.2">
      <c r="A48" s="20">
        <v>47</v>
      </c>
      <c r="B48" s="20">
        <v>59856421</v>
      </c>
      <c r="C48" s="20" t="s">
        <v>244</v>
      </c>
      <c r="D48" s="20" t="s">
        <v>245</v>
      </c>
      <c r="E48" s="20" t="s">
        <v>246</v>
      </c>
      <c r="F48" s="20" t="s">
        <v>247</v>
      </c>
      <c r="G48" s="19">
        <v>6</v>
      </c>
      <c r="H48" s="19" t="s">
        <v>99</v>
      </c>
      <c r="I48" s="25">
        <v>45391</v>
      </c>
      <c r="J48" s="98">
        <v>20000</v>
      </c>
      <c r="K48" s="116" t="s">
        <v>82</v>
      </c>
      <c r="L48" s="25" t="s">
        <v>79</v>
      </c>
      <c r="M48" s="19" t="s">
        <v>173</v>
      </c>
      <c r="N48" s="21" t="s">
        <v>25</v>
      </c>
      <c r="O48" s="72"/>
      <c r="P48" s="20"/>
      <c r="Q48" s="20"/>
      <c r="R48" s="20"/>
      <c r="S48" s="20" t="s">
        <v>248</v>
      </c>
      <c r="T48" s="50" t="str">
        <f>+IF($N48=[1]CURSOS!$D$3,[1]CURSOS!$E$3,(+IF($N48=[1]CURSOS!$D$4,[1]CURSOS!$E$4,(+IF($N48=[1]CURSOS!$D$5,[1]CURSOS!$E$5,(+IF($N48=[1]CURSOS!$D$6,[1]CURSOS!$E$6,(+IF($N48=[1]CURSOS!$D$7,[1]CURSOS!$E$7,(+IF($N48=[1]CURSOS!$D$8,[1]CURSOS!$E$8,(+IF($N48=[1]CURSOS!$D$9,[1]CURSOS!$E$9,(+IF($N48=[1]CURSOS!$D$10,[1]CURSOS!$E$10,(+IF($N48=[1]CURSOS!$D$11,[1]CURSOS!$E$11,(+IF($N48=[1]CURSOS!$D$12,[1]CURSOS!$E$12,(+IF($N48=[1]CURSOS!$D$13,[1]CURSOS!$E$13,(+IF($N48=[1]CURSOS!$D$14,[1]CURSOS!$E$14,(+IF($N48=[1]CURSOS!$D$15,[1]CURSOS!$E$15,(+IF($N48=[1]CURSOS!$D$16,[1]CURSOS!$E$16,(+IF($N48=[1]CURSOS!$D$17,[1]CURSOS!$E$17,(+IF($N48=[1]CURSOS!$D$18,[1]CURSOS!$E$18,(+IF($N48=[1]CURSOS!$D$19,[1]CURSOS!$E$19,(+IF($N48=[1]CURSOS!$D$20,[1]CURSOS!$E$20,(+IF($N48=[1]CURSOS!$D$21,[1]CURSOS!$E$21,(+IF($N48=[1]CURSOS!$D$22,[1]CURSOS!$E$22,(+IF($N48=[1]CURSOS!$D$23,[1]CURSOS!$E$23,(+IF($N48=[1]CURSOS!$D$24,[1]CURSOS!$E$24,(+IF($N48=[1]CURSOS!$D$25,[1]CURSOS!$E$25,(+IF($N48=[1]CURSOS!$D$26,[1]CURSOS!$E$26,(+IF($N48=[1]CURSOS!$D$27,[1]CURSOS!$E$27,(+IF($N48=[1]CURSOS!$D$28,[1]CURSOS!$E$28,(+IF($N48=[1]CURSOS!$D$29,[1]CURSOS!$E$29,(+IF($N48=[1]CURSOS!$D$30,[1]CURSOS!$E$30,(+IF($N48=[1]CURSOS!$D$31,[1]CURSOS!$E$31,(+IF($N48=[1]CURSOS!$D$32,[1]CURSOS!$E$32)))))))))))))))))))))))))))))))))))))))))))))))))))))))))))</f>
        <v xml:space="preserve">ATENCION A VICTIMAS DE ATAQUE CON AGENTES QUIMICOS </v>
      </c>
      <c r="U48" s="50" t="str">
        <f t="shared" si="18"/>
        <v>Mary Astrid Sanchez Puchana</v>
      </c>
      <c r="V48" s="50" t="str">
        <f t="shared" si="19"/>
        <v>Mary Astrid Sanchez Puchana</v>
      </c>
      <c r="W48" s="50" t="str">
        <f t="shared" si="20"/>
        <v>Mary Astrid Sanchez Puchana-59856421-QUIMICOS</v>
      </c>
    </row>
    <row r="49" spans="1:23" s="73" customFormat="1" x14ac:dyDescent="0.2">
      <c r="A49" s="20">
        <v>48</v>
      </c>
      <c r="B49" s="20">
        <v>59856421</v>
      </c>
      <c r="C49" s="20" t="s">
        <v>244</v>
      </c>
      <c r="D49" s="20" t="s">
        <v>245</v>
      </c>
      <c r="E49" s="20" t="s">
        <v>246</v>
      </c>
      <c r="F49" s="20" t="s">
        <v>247</v>
      </c>
      <c r="G49" s="19">
        <v>7</v>
      </c>
      <c r="H49" s="19" t="s">
        <v>99</v>
      </c>
      <c r="I49" s="25">
        <v>45391</v>
      </c>
      <c r="J49" s="98">
        <v>100000</v>
      </c>
      <c r="K49" s="116" t="s">
        <v>82</v>
      </c>
      <c r="L49" s="25" t="s">
        <v>79</v>
      </c>
      <c r="M49" s="19" t="s">
        <v>173</v>
      </c>
      <c r="N49" s="21" t="s">
        <v>39</v>
      </c>
      <c r="O49" s="72"/>
      <c r="P49" s="20"/>
      <c r="Q49" s="20"/>
      <c r="R49" s="20"/>
      <c r="S49" s="20" t="s">
        <v>248</v>
      </c>
      <c r="T49" s="50" t="str">
        <f>+IF($N49=[1]CURSOS!$D$3,[1]CURSOS!$E$3,(+IF($N49=[1]CURSOS!$D$4,[1]CURSOS!$E$4,(+IF($N49=[1]CURSOS!$D$5,[1]CURSOS!$E$5,(+IF($N49=[1]CURSOS!$D$6,[1]CURSOS!$E$6,(+IF($N49=[1]CURSOS!$D$7,[1]CURSOS!$E$7,(+IF($N49=[1]CURSOS!$D$8,[1]CURSOS!$E$8,(+IF($N49=[1]CURSOS!$D$9,[1]CURSOS!$E$9,(+IF($N49=[1]CURSOS!$D$10,[1]CURSOS!$E$10,(+IF($N49=[1]CURSOS!$D$11,[1]CURSOS!$E$11,(+IF($N49=[1]CURSOS!$D$12,[1]CURSOS!$E$12,(+IF($N49=[1]CURSOS!$D$13,[1]CURSOS!$E$13,(+IF($N49=[1]CURSOS!$D$14,[1]CURSOS!$E$14,(+IF($N49=[1]CURSOS!$D$15,[1]CURSOS!$E$15,(+IF($N49=[1]CURSOS!$D$16,[1]CURSOS!$E$16,(+IF($N49=[1]CURSOS!$D$17,[1]CURSOS!$E$17,(+IF($N49=[1]CURSOS!$D$18,[1]CURSOS!$E$18,(+IF($N49=[1]CURSOS!$D$19,[1]CURSOS!$E$19,(+IF($N49=[1]CURSOS!$D$20,[1]CURSOS!$E$20,(+IF($N49=[1]CURSOS!$D$21,[1]CURSOS!$E$21,(+IF($N49=[1]CURSOS!$D$22,[1]CURSOS!$E$22,(+IF($N49=[1]CURSOS!$D$23,[1]CURSOS!$E$23,(+IF($N49=[1]CURSOS!$D$24,[1]CURSOS!$E$24,(+IF($N49=[1]CURSOS!$D$25,[1]CURSOS!$E$25,(+IF($N49=[1]CURSOS!$D$26,[1]CURSOS!$E$26,(+IF($N49=[1]CURSOS!$D$27,[1]CURSOS!$E$27,(+IF($N49=[1]CURSOS!$D$28,[1]CURSOS!$E$28,(+IF($N49=[1]CURSOS!$D$29,[1]CURSOS!$E$29,(+IF($N49=[1]CURSOS!$D$30,[1]CURSOS!$E$30,(+IF($N49=[1]CURSOS!$D$31,[1]CURSOS!$E$31,(+IF($N49=[1]CURSOS!$D$32,[1]CURSOS!$E$32)))))))))))))))))))))))))))))))))))))))))))))))))))))))))))</f>
        <v xml:space="preserve">SOPORTE CARDIOVASCULAR AVANZADO </v>
      </c>
      <c r="U49" s="50" t="str">
        <f t="shared" si="18"/>
        <v>Mary Astrid Sanchez Puchana</v>
      </c>
      <c r="V49" s="50" t="str">
        <f t="shared" si="19"/>
        <v>Mary Astrid Sanchez Puchana</v>
      </c>
      <c r="W49" s="50" t="str">
        <f t="shared" si="20"/>
        <v>Mary Astrid Sanchez Puchana-59856421-ACLS</v>
      </c>
    </row>
    <row r="50" spans="1:23" s="73" customFormat="1" x14ac:dyDescent="0.2">
      <c r="A50" s="20">
        <v>49</v>
      </c>
      <c r="B50" s="20">
        <v>59856421</v>
      </c>
      <c r="C50" s="20" t="s">
        <v>244</v>
      </c>
      <c r="D50" s="20" t="s">
        <v>245</v>
      </c>
      <c r="E50" s="20" t="s">
        <v>246</v>
      </c>
      <c r="F50" s="20" t="s">
        <v>247</v>
      </c>
      <c r="G50" s="19">
        <v>7</v>
      </c>
      <c r="H50" s="19" t="s">
        <v>99</v>
      </c>
      <c r="I50" s="25">
        <v>45391</v>
      </c>
      <c r="J50" s="98">
        <v>20000</v>
      </c>
      <c r="K50" s="116" t="s">
        <v>82</v>
      </c>
      <c r="L50" s="25" t="s">
        <v>79</v>
      </c>
      <c r="M50" s="19" t="s">
        <v>173</v>
      </c>
      <c r="N50" s="21" t="s">
        <v>50</v>
      </c>
      <c r="O50" s="72"/>
      <c r="P50" s="20"/>
      <c r="Q50" s="20"/>
      <c r="R50" s="20"/>
      <c r="S50" s="20" t="s">
        <v>248</v>
      </c>
      <c r="T50" s="50" t="str">
        <f>+IF($N50=[1]CURSOS!$D$3,[1]CURSOS!$E$3,(+IF($N50=[1]CURSOS!$D$4,[1]CURSOS!$E$4,(+IF($N50=[1]CURSOS!$D$5,[1]CURSOS!$E$5,(+IF($N50=[1]CURSOS!$D$6,[1]CURSOS!$E$6,(+IF($N50=[1]CURSOS!$D$7,[1]CURSOS!$E$7,(+IF($N50=[1]CURSOS!$D$8,[1]CURSOS!$E$8,(+IF($N50=[1]CURSOS!$D$9,[1]CURSOS!$E$9,(+IF($N50=[1]CURSOS!$D$10,[1]CURSOS!$E$10,(+IF($N50=[1]CURSOS!$D$11,[1]CURSOS!$E$11,(+IF($N50=[1]CURSOS!$D$12,[1]CURSOS!$E$12,(+IF($N50=[1]CURSOS!$D$13,[1]CURSOS!$E$13,(+IF($N50=[1]CURSOS!$D$14,[1]CURSOS!$E$14,(+IF($N50=[1]CURSOS!$D$15,[1]CURSOS!$E$15,(+IF($N50=[1]CURSOS!$D$16,[1]CURSOS!$E$16,(+IF($N50=[1]CURSOS!$D$17,[1]CURSOS!$E$17,(+IF($N50=[1]CURSOS!$D$18,[1]CURSOS!$E$18,(+IF($N50=[1]CURSOS!$D$19,[1]CURSOS!$E$19,(+IF($N50=[1]CURSOS!$D$20,[1]CURSOS!$E$20,(+IF($N50=[1]CURSOS!$D$21,[1]CURSOS!$E$21,(+IF($N50=[1]CURSOS!$D$22,[1]CURSOS!$E$22,(+IF($N50=[1]CURSOS!$D$23,[1]CURSOS!$E$23,(+IF($N50=[1]CURSOS!$D$24,[1]CURSOS!$E$24,(+IF($N50=[1]CURSOS!$D$25,[1]CURSOS!$E$25,(+IF($N50=[1]CURSOS!$D$26,[1]CURSOS!$E$26,(+IF($N50=[1]CURSOS!$D$27,[1]CURSOS!$E$27,(+IF($N50=[1]CURSOS!$D$28,[1]CURSOS!$E$28,(+IF($N50=[1]CURSOS!$D$29,[1]CURSOS!$E$29,(+IF($N50=[1]CURSOS!$D$30,[1]CURSOS!$E$30,(+IF($N50=[1]CURSOS!$D$31,[1]CURSOS!$E$31,(+IF($N50=[1]CURSOS!$D$32,[1]CURSOS!$E$32)))))))))))))))))))))))))))))))))))))))))))))))))))))))))))</f>
        <v>ATENCION INTEGRAL EN ENFERMEDADES PREVALENTES EN PRIMERA INFANCIA (AIEPI)</v>
      </c>
      <c r="U50" s="50" t="str">
        <f t="shared" si="18"/>
        <v>Mary Astrid Sanchez Puchana</v>
      </c>
      <c r="V50" s="50" t="str">
        <f t="shared" si="19"/>
        <v>Mary Astrid Sanchez Puchana</v>
      </c>
      <c r="W50" s="50" t="str">
        <f t="shared" si="20"/>
        <v>Mary Astrid Sanchez Puchana-59856421-AIEPI</v>
      </c>
    </row>
    <row r="51" spans="1:23" s="73" customFormat="1" x14ac:dyDescent="0.2">
      <c r="A51" s="20">
        <v>50</v>
      </c>
      <c r="B51" s="20">
        <v>59856421</v>
      </c>
      <c r="C51" s="20" t="s">
        <v>244</v>
      </c>
      <c r="D51" s="20" t="s">
        <v>245</v>
      </c>
      <c r="E51" s="20" t="s">
        <v>246</v>
      </c>
      <c r="F51" s="20" t="s">
        <v>247</v>
      </c>
      <c r="G51" s="19">
        <v>8</v>
      </c>
      <c r="H51" s="19" t="s">
        <v>99</v>
      </c>
      <c r="I51" s="25">
        <v>45391</v>
      </c>
      <c r="J51" s="98">
        <v>20000</v>
      </c>
      <c r="K51" s="116" t="s">
        <v>82</v>
      </c>
      <c r="L51" s="25" t="s">
        <v>79</v>
      </c>
      <c r="M51" s="19" t="s">
        <v>173</v>
      </c>
      <c r="N51" s="21" t="s">
        <v>75</v>
      </c>
      <c r="O51" s="72"/>
      <c r="P51" s="20"/>
      <c r="Q51" s="20"/>
      <c r="R51" s="20"/>
      <c r="S51" s="20" t="s">
        <v>248</v>
      </c>
      <c r="T51" s="50" t="str">
        <f>+IF($N51=[1]CURSOS!$D$3,[1]CURSOS!$E$3,(+IF($N51=[1]CURSOS!$D$4,[1]CURSOS!$E$4,(+IF($N51=[1]CURSOS!$D$5,[1]CURSOS!$E$5,(+IF($N51=[1]CURSOS!$D$6,[1]CURSOS!$E$6,(+IF($N51=[1]CURSOS!$D$7,[1]CURSOS!$E$7,(+IF($N51=[1]CURSOS!$D$8,[1]CURSOS!$E$8,(+IF($N51=[1]CURSOS!$D$9,[1]CURSOS!$E$9,(+IF($N51=[1]CURSOS!$D$10,[1]CURSOS!$E$10,(+IF($N51=[1]CURSOS!$D$11,[1]CURSOS!$E$11,(+IF($N51=[1]CURSOS!$D$12,[1]CURSOS!$E$12,(+IF($N51=[1]CURSOS!$D$13,[1]CURSOS!$E$13,(+IF($N51=[1]CURSOS!$D$14,[1]CURSOS!$E$14,(+IF($N51=[1]CURSOS!$D$15,[1]CURSOS!$E$15,(+IF($N51=[1]CURSOS!$D$16,[1]CURSOS!$E$16,(+IF($N51=[1]CURSOS!$D$17,[1]CURSOS!$E$17,(+IF($N51=[1]CURSOS!$D$18,[1]CURSOS!$E$18,(+IF($N51=[1]CURSOS!$D$19,[1]CURSOS!$E$19,(+IF($N51=[1]CURSOS!$D$20,[1]CURSOS!$E$20,(+IF($N51=[1]CURSOS!$D$21,[1]CURSOS!$E$21,(+IF($N51=[1]CURSOS!$D$22,[1]CURSOS!$E$22,(+IF($N51=[1]CURSOS!$D$23,[1]CURSOS!$E$23,(+IF($N51=[1]CURSOS!$D$24,[1]CURSOS!$E$24,(+IF($N51=[1]CURSOS!$D$25,[1]CURSOS!$E$25,(+IF($N51=[1]CURSOS!$D$26,[1]CURSOS!$E$26,(+IF($N51=[1]CURSOS!$D$27,[1]CURSOS!$E$27,(+IF($N51=[1]CURSOS!$D$28,[1]CURSOS!$E$28,(+IF($N51=[1]CURSOS!$D$29,[1]CURSOS!$E$29,(+IF($N51=[1]CURSOS!$D$30,[1]CURSOS!$E$30,(+IF($N51=[1]CURSOS!$D$31,[1]CURSOS!$E$31,(+IF($N51=[1]CURSOS!$D$32,[1]CURSOS!$E$32)))))))))))))))))))))))))))))))))))))))))))))))))))))))))))</f>
        <v>ATENCION A VICTIMAS POR CONFLICTO ARMADO</v>
      </c>
      <c r="U51" s="50" t="str">
        <f t="shared" si="18"/>
        <v>Mary Astrid Sanchez Puchana</v>
      </c>
      <c r="V51" s="50" t="str">
        <f t="shared" si="19"/>
        <v>Mary Astrid Sanchez Puchana</v>
      </c>
      <c r="W51" s="50" t="str">
        <f t="shared" si="20"/>
        <v>Mary Astrid Sanchez Puchana-59856421-CONFLICTO ARMADO</v>
      </c>
    </row>
    <row r="52" spans="1:23" s="73" customFormat="1" x14ac:dyDescent="0.2">
      <c r="A52" s="20">
        <v>51</v>
      </c>
      <c r="B52" s="20">
        <v>59856421</v>
      </c>
      <c r="C52" s="20" t="s">
        <v>244</v>
      </c>
      <c r="D52" s="20" t="s">
        <v>245</v>
      </c>
      <c r="E52" s="20" t="s">
        <v>246</v>
      </c>
      <c r="F52" s="20" t="s">
        <v>247</v>
      </c>
      <c r="G52" s="19">
        <v>8</v>
      </c>
      <c r="H52" s="19" t="s">
        <v>99</v>
      </c>
      <c r="I52" s="25">
        <v>45391</v>
      </c>
      <c r="J52" s="98">
        <v>20000</v>
      </c>
      <c r="K52" s="116" t="s">
        <v>82</v>
      </c>
      <c r="L52" s="25" t="s">
        <v>79</v>
      </c>
      <c r="M52" s="19" t="s">
        <v>173</v>
      </c>
      <c r="N52" s="21" t="s">
        <v>249</v>
      </c>
      <c r="O52" s="72"/>
      <c r="P52" s="20"/>
      <c r="Q52" s="20"/>
      <c r="R52" s="20"/>
      <c r="S52" s="20" t="s">
        <v>248</v>
      </c>
      <c r="T52" s="50" t="s">
        <v>249</v>
      </c>
      <c r="U52" s="50" t="str">
        <f t="shared" si="18"/>
        <v>Mary Astrid Sanchez Puchana</v>
      </c>
      <c r="V52" s="50" t="str">
        <f t="shared" si="19"/>
        <v>Mary Astrid Sanchez Puchana</v>
      </c>
      <c r="W52" s="50" t="str">
        <f t="shared" si="20"/>
        <v>Mary Astrid Sanchez Puchana-59856421-CUIDADO AL PACIENTE DONANTE</v>
      </c>
    </row>
    <row r="53" spans="1:23" s="73" customFormat="1" x14ac:dyDescent="0.2">
      <c r="A53" s="20">
        <v>52</v>
      </c>
      <c r="B53" s="20">
        <v>1148950151</v>
      </c>
      <c r="C53" s="20" t="s">
        <v>250</v>
      </c>
      <c r="D53" s="20" t="s">
        <v>251</v>
      </c>
      <c r="E53" s="20" t="s">
        <v>252</v>
      </c>
      <c r="F53" s="20"/>
      <c r="G53" s="19">
        <v>3</v>
      </c>
      <c r="H53" s="19" t="s">
        <v>99</v>
      </c>
      <c r="I53" s="25" t="s">
        <v>167</v>
      </c>
      <c r="J53" s="88" t="s">
        <v>167</v>
      </c>
      <c r="K53" s="19" t="s">
        <v>168</v>
      </c>
      <c r="L53" s="19" t="s">
        <v>84</v>
      </c>
      <c r="M53" s="19" t="s">
        <v>100</v>
      </c>
      <c r="N53" s="21" t="s">
        <v>39</v>
      </c>
      <c r="O53" s="72"/>
      <c r="P53" s="20"/>
      <c r="Q53" s="20" t="s">
        <v>148</v>
      </c>
      <c r="R53" s="20"/>
      <c r="S53" s="20" t="s">
        <v>253</v>
      </c>
      <c r="T53" s="50" t="str">
        <f>+IF($N53=[1]CURSOS!$D$3,[1]CURSOS!$E$3,(+IF($N53=[1]CURSOS!$D$4,[1]CURSOS!$E$4,(+IF($N53=[1]CURSOS!$D$5,[1]CURSOS!$E$5,(+IF($N53=[1]CURSOS!$D$6,[1]CURSOS!$E$6,(+IF($N53=[1]CURSOS!$D$7,[1]CURSOS!$E$7,(+IF($N53=[1]CURSOS!$D$8,[1]CURSOS!$E$8,(+IF($N53=[1]CURSOS!$D$9,[1]CURSOS!$E$9,(+IF($N53=[1]CURSOS!$D$10,[1]CURSOS!$E$10,(+IF($N53=[1]CURSOS!$D$11,[1]CURSOS!$E$11,(+IF($N53=[1]CURSOS!$D$12,[1]CURSOS!$E$12,(+IF($N53=[1]CURSOS!$D$13,[1]CURSOS!$E$13,(+IF($N53=[1]CURSOS!$D$14,[1]CURSOS!$E$14,(+IF($N53=[1]CURSOS!$D$15,[1]CURSOS!$E$15,(+IF($N53=[1]CURSOS!$D$16,[1]CURSOS!$E$16,(+IF($N53=[1]CURSOS!$D$17,[1]CURSOS!$E$17,(+IF($N53=[1]CURSOS!$D$18,[1]CURSOS!$E$18,(+IF($N53=[1]CURSOS!$D$19,[1]CURSOS!$E$19,(+IF($N53=[1]CURSOS!$D$20,[1]CURSOS!$E$20,(+IF($N53=[1]CURSOS!$D$21,[1]CURSOS!$E$21,(+IF($N53=[1]CURSOS!$D$22,[1]CURSOS!$E$22,(+IF($N53=[1]CURSOS!$D$23,[1]CURSOS!$E$23,(+IF($N53=[1]CURSOS!$D$24,[1]CURSOS!$E$24,(+IF($N53=[1]CURSOS!$D$25,[1]CURSOS!$E$25,(+IF($N53=[1]CURSOS!$D$26,[1]CURSOS!$E$26,(+IF($N53=[1]CURSOS!$D$27,[1]CURSOS!$E$27,(+IF($N53=[1]CURSOS!$D$28,[1]CURSOS!$E$28,(+IF($N53=[1]CURSOS!$D$29,[1]CURSOS!$E$29,(+IF($N53=[1]CURSOS!$D$30,[1]CURSOS!$E$30,(+IF($N53=[1]CURSOS!$D$31,[1]CURSOS!$E$31,(+IF($N53=[1]CURSOS!$D$32,[1]CURSOS!$E$32)))))))))))))))))))))))))))))))))))))))))))))))))))))))))))</f>
        <v xml:space="preserve">SOPORTE CARDIOVASCULAR AVANZADO </v>
      </c>
      <c r="U53" s="50" t="str">
        <f t="shared" ref="U53:U55" si="21">CONCATENATE(E53," ",F53," ",C53," ",D53)</f>
        <v xml:space="preserve">Yurani  Angulo Caicedo </v>
      </c>
      <c r="V53" s="50" t="str">
        <f t="shared" ref="V53:V55" si="22">+PROPER(U53)</f>
        <v xml:space="preserve">Yurani  Angulo Caicedo </v>
      </c>
      <c r="W53" s="50" t="str">
        <f t="shared" ref="W53:W55" si="23">CONCATENATE(U53,"-",B53,"-",N53)</f>
        <v>Yurani  Angulo Caicedo -1148950151-ACLS</v>
      </c>
    </row>
    <row r="54" spans="1:23" s="73" customFormat="1" x14ac:dyDescent="0.2">
      <c r="A54" s="20">
        <v>53</v>
      </c>
      <c r="B54" s="20">
        <v>1148950151</v>
      </c>
      <c r="C54" s="20" t="s">
        <v>250</v>
      </c>
      <c r="D54" s="20" t="s">
        <v>251</v>
      </c>
      <c r="E54" s="20" t="s">
        <v>252</v>
      </c>
      <c r="F54" s="20"/>
      <c r="G54" s="19">
        <v>3</v>
      </c>
      <c r="H54" s="19" t="s">
        <v>99</v>
      </c>
      <c r="I54" s="25" t="s">
        <v>167</v>
      </c>
      <c r="J54" s="88" t="s">
        <v>167</v>
      </c>
      <c r="K54" s="19" t="s">
        <v>168</v>
      </c>
      <c r="L54" s="19" t="s">
        <v>84</v>
      </c>
      <c r="M54" s="19" t="s">
        <v>100</v>
      </c>
      <c r="N54" s="21" t="s">
        <v>19</v>
      </c>
      <c r="O54" s="72"/>
      <c r="P54" s="20"/>
      <c r="Q54" s="20" t="s">
        <v>148</v>
      </c>
      <c r="R54" s="20"/>
      <c r="S54" s="20" t="s">
        <v>253</v>
      </c>
      <c r="T54" s="50" t="str">
        <f>+IF($N54=[1]CURSOS!$D$3,[1]CURSOS!$E$3,(+IF($N54=[1]CURSOS!$D$4,[1]CURSOS!$E$4,(+IF($N54=[1]CURSOS!$D$5,[1]CURSOS!$E$5,(+IF($N54=[1]CURSOS!$D$6,[1]CURSOS!$E$6,(+IF($N54=[1]CURSOS!$D$7,[1]CURSOS!$E$7,(+IF($N54=[1]CURSOS!$D$8,[1]CURSOS!$E$8,(+IF($N54=[1]CURSOS!$D$9,[1]CURSOS!$E$9,(+IF($N54=[1]CURSOS!$D$10,[1]CURSOS!$E$10,(+IF($N54=[1]CURSOS!$D$11,[1]CURSOS!$E$11,(+IF($N54=[1]CURSOS!$D$12,[1]CURSOS!$E$12,(+IF($N54=[1]CURSOS!$D$13,[1]CURSOS!$E$13,(+IF($N54=[1]CURSOS!$D$14,[1]CURSOS!$E$14,(+IF($N54=[1]CURSOS!$D$15,[1]CURSOS!$E$15,(+IF($N54=[1]CURSOS!$D$16,[1]CURSOS!$E$16,(+IF($N54=[1]CURSOS!$D$17,[1]CURSOS!$E$17,(+IF($N54=[1]CURSOS!$D$18,[1]CURSOS!$E$18,(+IF($N54=[1]CURSOS!$D$19,[1]CURSOS!$E$19,(+IF($N54=[1]CURSOS!$D$20,[1]CURSOS!$E$20,(+IF($N54=[1]CURSOS!$D$21,[1]CURSOS!$E$21,(+IF($N54=[1]CURSOS!$D$22,[1]CURSOS!$E$22,(+IF($N54=[1]CURSOS!$D$23,[1]CURSOS!$E$23,(+IF($N54=[1]CURSOS!$D$24,[1]CURSOS!$E$24,(+IF($N54=[1]CURSOS!$D$25,[1]CURSOS!$E$25,(+IF($N54=[1]CURSOS!$D$26,[1]CURSOS!$E$26,(+IF($N54=[1]CURSOS!$D$27,[1]CURSOS!$E$27,(+IF($N54=[1]CURSOS!$D$28,[1]CURSOS!$E$28,(+IF($N54=[1]CURSOS!$D$29,[1]CURSOS!$E$29,(+IF($N54=[1]CURSOS!$D$30,[1]CURSOS!$E$30,(+IF($N54=[1]CURSOS!$D$31,[1]CURSOS!$E$31,(+IF($N54=[1]CURSOS!$D$32,[1]CURSOS!$E$32)))))))))))))))))))))))))))))))))))))))))))))))))))))))))))</f>
        <v>SOPORTE VITAL BASICO (BLS)</v>
      </c>
      <c r="U54" s="50" t="str">
        <f t="shared" si="21"/>
        <v xml:space="preserve">Yurani  Angulo Caicedo </v>
      </c>
      <c r="V54" s="50" t="str">
        <f t="shared" si="22"/>
        <v xml:space="preserve">Yurani  Angulo Caicedo </v>
      </c>
      <c r="W54" s="50" t="str">
        <f t="shared" si="23"/>
        <v>Yurani  Angulo Caicedo -1148950151-BLS</v>
      </c>
    </row>
    <row r="55" spans="1:23" s="73" customFormat="1" x14ac:dyDescent="0.2">
      <c r="A55" s="20">
        <v>54</v>
      </c>
      <c r="B55" s="20">
        <v>1148950151</v>
      </c>
      <c r="C55" s="20" t="s">
        <v>250</v>
      </c>
      <c r="D55" s="20" t="s">
        <v>251</v>
      </c>
      <c r="E55" s="20" t="s">
        <v>252</v>
      </c>
      <c r="F55" s="20"/>
      <c r="G55" s="19">
        <v>3</v>
      </c>
      <c r="H55" s="19" t="s">
        <v>99</v>
      </c>
      <c r="I55" s="25" t="s">
        <v>167</v>
      </c>
      <c r="J55" s="88" t="s">
        <v>167</v>
      </c>
      <c r="K55" s="19" t="s">
        <v>168</v>
      </c>
      <c r="L55" s="19" t="s">
        <v>84</v>
      </c>
      <c r="M55" s="19" t="s">
        <v>100</v>
      </c>
      <c r="N55" s="21" t="s">
        <v>23</v>
      </c>
      <c r="O55" s="72"/>
      <c r="P55" s="20"/>
      <c r="Q55" s="20" t="s">
        <v>148</v>
      </c>
      <c r="R55" s="20"/>
      <c r="S55" s="20" t="s">
        <v>253</v>
      </c>
      <c r="T55" s="50" t="str">
        <f>+IF($N55=[1]CURSOS!$D$3,[1]CURSOS!$E$3,(+IF($N55=[1]CURSOS!$D$4,[1]CURSOS!$E$4,(+IF($N55=[1]CURSOS!$D$5,[1]CURSOS!$E$5,(+IF($N55=[1]CURSOS!$D$6,[1]CURSOS!$E$6,(+IF($N55=[1]CURSOS!$D$7,[1]CURSOS!$E$7,(+IF($N55=[1]CURSOS!$D$8,[1]CURSOS!$E$8,(+IF($N55=[1]CURSOS!$D$9,[1]CURSOS!$E$9,(+IF($N55=[1]CURSOS!$D$10,[1]CURSOS!$E$10,(+IF($N55=[1]CURSOS!$D$11,[1]CURSOS!$E$11,(+IF($N55=[1]CURSOS!$D$12,[1]CURSOS!$E$12,(+IF($N55=[1]CURSOS!$D$13,[1]CURSOS!$E$13,(+IF($N55=[1]CURSOS!$D$14,[1]CURSOS!$E$14,(+IF($N55=[1]CURSOS!$D$15,[1]CURSOS!$E$15,(+IF($N55=[1]CURSOS!$D$16,[1]CURSOS!$E$16,(+IF($N55=[1]CURSOS!$D$17,[1]CURSOS!$E$17,(+IF($N55=[1]CURSOS!$D$18,[1]CURSOS!$E$18,(+IF($N55=[1]CURSOS!$D$19,[1]CURSOS!$E$19,(+IF($N55=[1]CURSOS!$D$20,[1]CURSOS!$E$20,(+IF($N55=[1]CURSOS!$D$21,[1]CURSOS!$E$21,(+IF($N55=[1]CURSOS!$D$22,[1]CURSOS!$E$22,(+IF($N55=[1]CURSOS!$D$23,[1]CURSOS!$E$23,(+IF($N55=[1]CURSOS!$D$24,[1]CURSOS!$E$24,(+IF($N55=[1]CURSOS!$D$25,[1]CURSOS!$E$25,(+IF($N55=[1]CURSOS!$D$26,[1]CURSOS!$E$26,(+IF($N55=[1]CURSOS!$D$27,[1]CURSOS!$E$27,(+IF($N55=[1]CURSOS!$D$28,[1]CURSOS!$E$28,(+IF($N55=[1]CURSOS!$D$29,[1]CURSOS!$E$29,(+IF($N55=[1]CURSOS!$D$30,[1]CURSOS!$E$30,(+IF($N55=[1]CURSOS!$D$31,[1]CURSOS!$E$31,(+IF($N55=[1]CURSOS!$D$32,[1]CURSOS!$E$32)))))))))))))))))))))))))))))))))))))))))))))))))))))))))))</f>
        <v>ACOMPAÑAMIENTO Y MANEJO DEL DUELO</v>
      </c>
      <c r="U55" s="50" t="str">
        <f t="shared" si="21"/>
        <v xml:space="preserve">Yurani  Angulo Caicedo </v>
      </c>
      <c r="V55" s="50" t="str">
        <f t="shared" si="22"/>
        <v xml:space="preserve">Yurani  Angulo Caicedo </v>
      </c>
      <c r="W55" s="50" t="str">
        <f t="shared" si="23"/>
        <v>Yurani  Angulo Caicedo -1148950151-DUELO</v>
      </c>
    </row>
    <row r="56" spans="1:23" s="73" customFormat="1" x14ac:dyDescent="0.2">
      <c r="A56" s="20">
        <v>55</v>
      </c>
      <c r="B56" s="20">
        <v>1148950151</v>
      </c>
      <c r="C56" s="20" t="s">
        <v>250</v>
      </c>
      <c r="D56" s="20" t="s">
        <v>251</v>
      </c>
      <c r="E56" s="20" t="s">
        <v>252</v>
      </c>
      <c r="F56" s="20"/>
      <c r="G56" s="19">
        <v>3</v>
      </c>
      <c r="H56" s="19" t="s">
        <v>99</v>
      </c>
      <c r="I56" s="25" t="s">
        <v>167</v>
      </c>
      <c r="J56" s="88" t="s">
        <v>167</v>
      </c>
      <c r="K56" s="19" t="s">
        <v>168</v>
      </c>
      <c r="L56" s="19" t="s">
        <v>84</v>
      </c>
      <c r="M56" s="19" t="s">
        <v>100</v>
      </c>
      <c r="N56" s="21" t="s">
        <v>249</v>
      </c>
      <c r="O56" s="72"/>
      <c r="P56" s="20"/>
      <c r="Q56" s="20" t="s">
        <v>148</v>
      </c>
      <c r="R56" s="20"/>
      <c r="S56" s="20" t="s">
        <v>253</v>
      </c>
      <c r="T56" s="50" t="s">
        <v>249</v>
      </c>
      <c r="U56" s="50" t="str">
        <f t="shared" ref="U56:U60" si="24">CONCATENATE(E56," ",F56," ",C56," ",D56)</f>
        <v xml:space="preserve">Yurani  Angulo Caicedo </v>
      </c>
      <c r="V56" s="50" t="str">
        <f t="shared" ref="V56:V60" si="25">+PROPER(U56)</f>
        <v xml:space="preserve">Yurani  Angulo Caicedo </v>
      </c>
      <c r="W56" s="50" t="str">
        <f t="shared" ref="W56:W60" si="26">CONCATENATE(U56,"-",B56,"-",N56)</f>
        <v>Yurani  Angulo Caicedo -1148950151-CUIDADO AL PACIENTE DONANTE</v>
      </c>
    </row>
    <row r="57" spans="1:23" s="73" customFormat="1" x14ac:dyDescent="0.2">
      <c r="A57" s="20">
        <v>56</v>
      </c>
      <c r="B57" s="20">
        <v>1085323836</v>
      </c>
      <c r="C57" s="20" t="s">
        <v>254</v>
      </c>
      <c r="D57" s="20" t="s">
        <v>255</v>
      </c>
      <c r="E57" s="20" t="s">
        <v>120</v>
      </c>
      <c r="F57" s="20" t="s">
        <v>256</v>
      </c>
      <c r="G57" s="19">
        <v>7</v>
      </c>
      <c r="H57" s="19" t="s">
        <v>99</v>
      </c>
      <c r="I57" s="25">
        <v>45390</v>
      </c>
      <c r="J57" s="98">
        <v>110000</v>
      </c>
      <c r="K57" s="116" t="s">
        <v>82</v>
      </c>
      <c r="L57" s="19" t="s">
        <v>84</v>
      </c>
      <c r="M57" s="19" t="s">
        <v>77</v>
      </c>
      <c r="N57" s="21" t="s">
        <v>39</v>
      </c>
      <c r="O57" s="72"/>
      <c r="P57" s="20"/>
      <c r="Q57" s="20" t="s">
        <v>148</v>
      </c>
      <c r="R57" s="20"/>
      <c r="S57" s="20" t="s">
        <v>253</v>
      </c>
      <c r="T57" s="50" t="str">
        <f>+IF($N57=[1]CURSOS!$D$3,[1]CURSOS!$E$3,(+IF($N57=[1]CURSOS!$D$4,[1]CURSOS!$E$4,(+IF($N57=[1]CURSOS!$D$5,[1]CURSOS!$E$5,(+IF($N57=[1]CURSOS!$D$6,[1]CURSOS!$E$6,(+IF($N57=[1]CURSOS!$D$7,[1]CURSOS!$E$7,(+IF($N57=[1]CURSOS!$D$8,[1]CURSOS!$E$8,(+IF($N57=[1]CURSOS!$D$9,[1]CURSOS!$E$9,(+IF($N57=[1]CURSOS!$D$10,[1]CURSOS!$E$10,(+IF($N57=[1]CURSOS!$D$11,[1]CURSOS!$E$11,(+IF($N57=[1]CURSOS!$D$12,[1]CURSOS!$E$12,(+IF($N57=[1]CURSOS!$D$13,[1]CURSOS!$E$13,(+IF($N57=[1]CURSOS!$D$14,[1]CURSOS!$E$14,(+IF($N57=[1]CURSOS!$D$15,[1]CURSOS!$E$15,(+IF($N57=[1]CURSOS!$D$16,[1]CURSOS!$E$16,(+IF($N57=[1]CURSOS!$D$17,[1]CURSOS!$E$17,(+IF($N57=[1]CURSOS!$D$18,[1]CURSOS!$E$18,(+IF($N57=[1]CURSOS!$D$19,[1]CURSOS!$E$19,(+IF($N57=[1]CURSOS!$D$20,[1]CURSOS!$E$20,(+IF($N57=[1]CURSOS!$D$21,[1]CURSOS!$E$21,(+IF($N57=[1]CURSOS!$D$22,[1]CURSOS!$E$22,(+IF($N57=[1]CURSOS!$D$23,[1]CURSOS!$E$23,(+IF($N57=[1]CURSOS!$D$24,[1]CURSOS!$E$24,(+IF($N57=[1]CURSOS!$D$25,[1]CURSOS!$E$25,(+IF($N57=[1]CURSOS!$D$26,[1]CURSOS!$E$26,(+IF($N57=[1]CURSOS!$D$27,[1]CURSOS!$E$27,(+IF($N57=[1]CURSOS!$D$28,[1]CURSOS!$E$28,(+IF($N57=[1]CURSOS!$D$29,[1]CURSOS!$E$29,(+IF($N57=[1]CURSOS!$D$30,[1]CURSOS!$E$30,(+IF($N57=[1]CURSOS!$D$31,[1]CURSOS!$E$31,(+IF($N57=[1]CURSOS!$D$32,[1]CURSOS!$E$32)))))))))))))))))))))))))))))))))))))))))))))))))))))))))))</f>
        <v xml:space="preserve">SOPORTE CARDIOVASCULAR AVANZADO </v>
      </c>
      <c r="U57" s="50" t="str">
        <f t="shared" si="24"/>
        <v>Daniela Fernanda Riascos Guaranguay</v>
      </c>
      <c r="V57" s="50" t="str">
        <f t="shared" si="25"/>
        <v>Daniela Fernanda Riascos Guaranguay</v>
      </c>
      <c r="W57" s="50" t="str">
        <f t="shared" si="26"/>
        <v>Daniela Fernanda Riascos Guaranguay-1085323836-ACLS</v>
      </c>
    </row>
    <row r="58" spans="1:23" s="73" customFormat="1" x14ac:dyDescent="0.2">
      <c r="A58" s="20">
        <v>57</v>
      </c>
      <c r="B58" s="20">
        <v>1085323836</v>
      </c>
      <c r="C58" s="20" t="s">
        <v>254</v>
      </c>
      <c r="D58" s="20" t="s">
        <v>255</v>
      </c>
      <c r="E58" s="20" t="s">
        <v>120</v>
      </c>
      <c r="F58" s="20" t="s">
        <v>256</v>
      </c>
      <c r="G58" s="19">
        <v>7</v>
      </c>
      <c r="H58" s="19" t="s">
        <v>99</v>
      </c>
      <c r="I58" s="25">
        <v>45390</v>
      </c>
      <c r="J58" s="98">
        <v>30000</v>
      </c>
      <c r="K58" s="116" t="s">
        <v>82</v>
      </c>
      <c r="L58" s="19" t="s">
        <v>84</v>
      </c>
      <c r="M58" s="19" t="s">
        <v>77</v>
      </c>
      <c r="N58" s="21" t="s">
        <v>46</v>
      </c>
      <c r="O58" s="72"/>
      <c r="P58" s="20"/>
      <c r="Q58" s="20" t="s">
        <v>148</v>
      </c>
      <c r="R58" s="20"/>
      <c r="S58" s="20" t="s">
        <v>253</v>
      </c>
      <c r="T58" s="50" t="str">
        <f>+IF($N58=[1]CURSOS!$D$3,[1]CURSOS!$E$3,(+IF($N58=[1]CURSOS!$D$4,[1]CURSOS!$E$4,(+IF($N58=[1]CURSOS!$D$5,[1]CURSOS!$E$5,(+IF($N58=[1]CURSOS!$D$6,[1]CURSOS!$E$6,(+IF($N58=[1]CURSOS!$D$7,[1]CURSOS!$E$7,(+IF($N58=[1]CURSOS!$D$8,[1]CURSOS!$E$8,(+IF($N58=[1]CURSOS!$D$9,[1]CURSOS!$E$9,(+IF($N58=[1]CURSOS!$D$10,[1]CURSOS!$E$10,(+IF($N58=[1]CURSOS!$D$11,[1]CURSOS!$E$11,(+IF($N58=[1]CURSOS!$D$12,[1]CURSOS!$E$12,(+IF($N58=[1]CURSOS!$D$13,[1]CURSOS!$E$13,(+IF($N58=[1]CURSOS!$D$14,[1]CURSOS!$E$14,(+IF($N58=[1]CURSOS!$D$15,[1]CURSOS!$E$15,(+IF($N58=[1]CURSOS!$D$16,[1]CURSOS!$E$16,(+IF($N58=[1]CURSOS!$D$17,[1]CURSOS!$E$17,(+IF($N58=[1]CURSOS!$D$18,[1]CURSOS!$E$18,(+IF($N58=[1]CURSOS!$D$19,[1]CURSOS!$E$19,(+IF($N58=[1]CURSOS!$D$20,[1]CURSOS!$E$20,(+IF($N58=[1]CURSOS!$D$21,[1]CURSOS!$E$21,(+IF($N58=[1]CURSOS!$D$22,[1]CURSOS!$E$22,(+IF($N58=[1]CURSOS!$D$23,[1]CURSOS!$E$23,(+IF($N58=[1]CURSOS!$D$24,[1]CURSOS!$E$24,(+IF($N58=[1]CURSOS!$D$25,[1]CURSOS!$E$25,(+IF($N58=[1]CURSOS!$D$26,[1]CURSOS!$E$26,(+IF($N58=[1]CURSOS!$D$27,[1]CURSOS!$E$27,(+IF($N58=[1]CURSOS!$D$28,[1]CURSOS!$E$28,(+IF($N58=[1]CURSOS!$D$29,[1]CURSOS!$E$29,(+IF($N58=[1]CURSOS!$D$30,[1]CURSOS!$E$30,(+IF($N58=[1]CURSOS!$D$31,[1]CURSOS!$E$31,(+IF($N58=[1]CURSOS!$D$32,[1]CURSOS!$E$32)))))))))))))))))))))))))))))))))))))))))))))))))))))))))))</f>
        <v xml:space="preserve">ATENCION A VICTIMAS DE VIOLENCIA SEXUAL </v>
      </c>
      <c r="U58" s="50" t="str">
        <f t="shared" si="24"/>
        <v>Daniela Fernanda Riascos Guaranguay</v>
      </c>
      <c r="V58" s="50" t="str">
        <f t="shared" si="25"/>
        <v>Daniela Fernanda Riascos Guaranguay</v>
      </c>
      <c r="W58" s="50" t="str">
        <f t="shared" si="26"/>
        <v>Daniela Fernanda Riascos Guaranguay-1085323836-VIOLENCIA SEXUAL</v>
      </c>
    </row>
    <row r="59" spans="1:23" s="73" customFormat="1" x14ac:dyDescent="0.2">
      <c r="A59" s="20">
        <v>58</v>
      </c>
      <c r="B59" s="20">
        <v>1085323836</v>
      </c>
      <c r="C59" s="20" t="s">
        <v>254</v>
      </c>
      <c r="D59" s="20" t="s">
        <v>255</v>
      </c>
      <c r="E59" s="20" t="s">
        <v>120</v>
      </c>
      <c r="F59" s="20" t="s">
        <v>256</v>
      </c>
      <c r="G59" s="19">
        <v>7</v>
      </c>
      <c r="H59" s="19" t="s">
        <v>99</v>
      </c>
      <c r="I59" s="25">
        <v>45390</v>
      </c>
      <c r="J59" s="98">
        <v>30000</v>
      </c>
      <c r="K59" s="116" t="s">
        <v>82</v>
      </c>
      <c r="L59" s="19" t="s">
        <v>84</v>
      </c>
      <c r="M59" s="19" t="s">
        <v>77</v>
      </c>
      <c r="N59" s="21" t="s">
        <v>23</v>
      </c>
      <c r="O59" s="72"/>
      <c r="P59" s="20"/>
      <c r="Q59" s="20" t="s">
        <v>148</v>
      </c>
      <c r="R59" s="20"/>
      <c r="S59" s="20" t="s">
        <v>253</v>
      </c>
      <c r="T59" s="50" t="str">
        <f>+IF($N59=[1]CURSOS!$D$3,[1]CURSOS!$E$3,(+IF($N59=[1]CURSOS!$D$4,[1]CURSOS!$E$4,(+IF($N59=[1]CURSOS!$D$5,[1]CURSOS!$E$5,(+IF($N59=[1]CURSOS!$D$6,[1]CURSOS!$E$6,(+IF($N59=[1]CURSOS!$D$7,[1]CURSOS!$E$7,(+IF($N59=[1]CURSOS!$D$8,[1]CURSOS!$E$8,(+IF($N59=[1]CURSOS!$D$9,[1]CURSOS!$E$9,(+IF($N59=[1]CURSOS!$D$10,[1]CURSOS!$E$10,(+IF($N59=[1]CURSOS!$D$11,[1]CURSOS!$E$11,(+IF($N59=[1]CURSOS!$D$12,[1]CURSOS!$E$12,(+IF($N59=[1]CURSOS!$D$13,[1]CURSOS!$E$13,(+IF($N59=[1]CURSOS!$D$14,[1]CURSOS!$E$14,(+IF($N59=[1]CURSOS!$D$15,[1]CURSOS!$E$15,(+IF($N59=[1]CURSOS!$D$16,[1]CURSOS!$E$16,(+IF($N59=[1]CURSOS!$D$17,[1]CURSOS!$E$17,(+IF($N59=[1]CURSOS!$D$18,[1]CURSOS!$E$18,(+IF($N59=[1]CURSOS!$D$19,[1]CURSOS!$E$19,(+IF($N59=[1]CURSOS!$D$20,[1]CURSOS!$E$20,(+IF($N59=[1]CURSOS!$D$21,[1]CURSOS!$E$21,(+IF($N59=[1]CURSOS!$D$22,[1]CURSOS!$E$22,(+IF($N59=[1]CURSOS!$D$23,[1]CURSOS!$E$23,(+IF($N59=[1]CURSOS!$D$24,[1]CURSOS!$E$24,(+IF($N59=[1]CURSOS!$D$25,[1]CURSOS!$E$25,(+IF($N59=[1]CURSOS!$D$26,[1]CURSOS!$E$26,(+IF($N59=[1]CURSOS!$D$27,[1]CURSOS!$E$27,(+IF($N59=[1]CURSOS!$D$28,[1]CURSOS!$E$28,(+IF($N59=[1]CURSOS!$D$29,[1]CURSOS!$E$29,(+IF($N59=[1]CURSOS!$D$30,[1]CURSOS!$E$30,(+IF($N59=[1]CURSOS!$D$31,[1]CURSOS!$E$31,(+IF($N59=[1]CURSOS!$D$32,[1]CURSOS!$E$32)))))))))))))))))))))))))))))))))))))))))))))))))))))))))))</f>
        <v>ACOMPAÑAMIENTO Y MANEJO DEL DUELO</v>
      </c>
      <c r="U59" s="50" t="str">
        <f t="shared" si="24"/>
        <v>Daniela Fernanda Riascos Guaranguay</v>
      </c>
      <c r="V59" s="50" t="str">
        <f t="shared" si="25"/>
        <v>Daniela Fernanda Riascos Guaranguay</v>
      </c>
      <c r="W59" s="50" t="str">
        <f t="shared" si="26"/>
        <v>Daniela Fernanda Riascos Guaranguay-1085323836-DUELO</v>
      </c>
    </row>
    <row r="60" spans="1:23" s="73" customFormat="1" x14ac:dyDescent="0.2">
      <c r="A60" s="20">
        <v>59</v>
      </c>
      <c r="B60" s="20">
        <v>1085323836</v>
      </c>
      <c r="C60" s="20" t="s">
        <v>254</v>
      </c>
      <c r="D60" s="20" t="s">
        <v>255</v>
      </c>
      <c r="E60" s="20" t="s">
        <v>120</v>
      </c>
      <c r="F60" s="20" t="s">
        <v>256</v>
      </c>
      <c r="G60" s="19">
        <v>7</v>
      </c>
      <c r="H60" s="19" t="s">
        <v>99</v>
      </c>
      <c r="I60" s="25">
        <v>45390</v>
      </c>
      <c r="J60" s="98">
        <v>30000</v>
      </c>
      <c r="K60" s="116" t="s">
        <v>82</v>
      </c>
      <c r="L60" s="19" t="s">
        <v>84</v>
      </c>
      <c r="M60" s="19" t="s">
        <v>77</v>
      </c>
      <c r="N60" s="21" t="s">
        <v>25</v>
      </c>
      <c r="O60" s="72"/>
      <c r="P60" s="20"/>
      <c r="Q60" s="20" t="s">
        <v>148</v>
      </c>
      <c r="R60" s="20"/>
      <c r="S60" s="20" t="s">
        <v>253</v>
      </c>
      <c r="T60" s="50" t="str">
        <f>+IF($N60=[1]CURSOS!$D$3,[1]CURSOS!$E$3,(+IF($N60=[1]CURSOS!$D$4,[1]CURSOS!$E$4,(+IF($N60=[1]CURSOS!$D$5,[1]CURSOS!$E$5,(+IF($N60=[1]CURSOS!$D$6,[1]CURSOS!$E$6,(+IF($N60=[1]CURSOS!$D$7,[1]CURSOS!$E$7,(+IF($N60=[1]CURSOS!$D$8,[1]CURSOS!$E$8,(+IF($N60=[1]CURSOS!$D$9,[1]CURSOS!$E$9,(+IF($N60=[1]CURSOS!$D$10,[1]CURSOS!$E$10,(+IF($N60=[1]CURSOS!$D$11,[1]CURSOS!$E$11,(+IF($N60=[1]CURSOS!$D$12,[1]CURSOS!$E$12,(+IF($N60=[1]CURSOS!$D$13,[1]CURSOS!$E$13,(+IF($N60=[1]CURSOS!$D$14,[1]CURSOS!$E$14,(+IF($N60=[1]CURSOS!$D$15,[1]CURSOS!$E$15,(+IF($N60=[1]CURSOS!$D$16,[1]CURSOS!$E$16,(+IF($N60=[1]CURSOS!$D$17,[1]CURSOS!$E$17,(+IF($N60=[1]CURSOS!$D$18,[1]CURSOS!$E$18,(+IF($N60=[1]CURSOS!$D$19,[1]CURSOS!$E$19,(+IF($N60=[1]CURSOS!$D$20,[1]CURSOS!$E$20,(+IF($N60=[1]CURSOS!$D$21,[1]CURSOS!$E$21,(+IF($N60=[1]CURSOS!$D$22,[1]CURSOS!$E$22,(+IF($N60=[1]CURSOS!$D$23,[1]CURSOS!$E$23,(+IF($N60=[1]CURSOS!$D$24,[1]CURSOS!$E$24,(+IF($N60=[1]CURSOS!$D$25,[1]CURSOS!$E$25,(+IF($N60=[1]CURSOS!$D$26,[1]CURSOS!$E$26,(+IF($N60=[1]CURSOS!$D$27,[1]CURSOS!$E$27,(+IF($N60=[1]CURSOS!$D$28,[1]CURSOS!$E$28,(+IF($N60=[1]CURSOS!$D$29,[1]CURSOS!$E$29,(+IF($N60=[1]CURSOS!$D$30,[1]CURSOS!$E$30,(+IF($N60=[1]CURSOS!$D$31,[1]CURSOS!$E$31,(+IF($N60=[1]CURSOS!$D$32,[1]CURSOS!$E$32)))))))))))))))))))))))))))))))))))))))))))))))))))))))))))</f>
        <v xml:space="preserve">ATENCION A VICTIMAS DE ATAQUE CON AGENTES QUIMICOS </v>
      </c>
      <c r="U60" s="50" t="str">
        <f t="shared" si="24"/>
        <v>Daniela Fernanda Riascos Guaranguay</v>
      </c>
      <c r="V60" s="50" t="str">
        <f t="shared" si="25"/>
        <v>Daniela Fernanda Riascos Guaranguay</v>
      </c>
      <c r="W60" s="50" t="str">
        <f t="shared" si="26"/>
        <v>Daniela Fernanda Riascos Guaranguay-1085323836-QUIMICOS</v>
      </c>
    </row>
    <row r="61" spans="1:23" s="73" customFormat="1" x14ac:dyDescent="0.2">
      <c r="A61" s="20">
        <v>60</v>
      </c>
      <c r="B61" s="20">
        <v>1192768001</v>
      </c>
      <c r="C61" s="20" t="s">
        <v>257</v>
      </c>
      <c r="D61" s="20" t="s">
        <v>258</v>
      </c>
      <c r="E61" s="20" t="s">
        <v>259</v>
      </c>
      <c r="F61" s="20" t="s">
        <v>260</v>
      </c>
      <c r="G61" s="19">
        <v>8</v>
      </c>
      <c r="H61" s="19" t="s">
        <v>99</v>
      </c>
      <c r="I61" s="25">
        <v>45390</v>
      </c>
      <c r="J61" s="98">
        <v>40000</v>
      </c>
      <c r="K61" s="116" t="s">
        <v>82</v>
      </c>
      <c r="L61" s="19" t="s">
        <v>84</v>
      </c>
      <c r="M61" s="19" t="s">
        <v>100</v>
      </c>
      <c r="N61" s="21" t="s">
        <v>19</v>
      </c>
      <c r="O61" s="72"/>
      <c r="P61" s="20"/>
      <c r="Q61" s="20" t="s">
        <v>261</v>
      </c>
      <c r="R61" s="20"/>
      <c r="S61" s="20" t="s">
        <v>253</v>
      </c>
      <c r="T61" s="50" t="str">
        <f>+IF($N61=[1]CURSOS!$D$3,[1]CURSOS!$E$3,(+IF($N61=[1]CURSOS!$D$4,[1]CURSOS!$E$4,(+IF($N61=[1]CURSOS!$D$5,[1]CURSOS!$E$5,(+IF($N61=[1]CURSOS!$D$6,[1]CURSOS!$E$6,(+IF($N61=[1]CURSOS!$D$7,[1]CURSOS!$E$7,(+IF($N61=[1]CURSOS!$D$8,[1]CURSOS!$E$8,(+IF($N61=[1]CURSOS!$D$9,[1]CURSOS!$E$9,(+IF($N61=[1]CURSOS!$D$10,[1]CURSOS!$E$10,(+IF($N61=[1]CURSOS!$D$11,[1]CURSOS!$E$11,(+IF($N61=[1]CURSOS!$D$12,[1]CURSOS!$E$12,(+IF($N61=[1]CURSOS!$D$13,[1]CURSOS!$E$13,(+IF($N61=[1]CURSOS!$D$14,[1]CURSOS!$E$14,(+IF($N61=[1]CURSOS!$D$15,[1]CURSOS!$E$15,(+IF($N61=[1]CURSOS!$D$16,[1]CURSOS!$E$16,(+IF($N61=[1]CURSOS!$D$17,[1]CURSOS!$E$17,(+IF($N61=[1]CURSOS!$D$18,[1]CURSOS!$E$18,(+IF($N61=[1]CURSOS!$D$19,[1]CURSOS!$E$19,(+IF($N61=[1]CURSOS!$D$20,[1]CURSOS!$E$20,(+IF($N61=[1]CURSOS!$D$21,[1]CURSOS!$E$21,(+IF($N61=[1]CURSOS!$D$22,[1]CURSOS!$E$22,(+IF($N61=[1]CURSOS!$D$23,[1]CURSOS!$E$23,(+IF($N61=[1]CURSOS!$D$24,[1]CURSOS!$E$24,(+IF($N61=[1]CURSOS!$D$25,[1]CURSOS!$E$25,(+IF($N61=[1]CURSOS!$D$26,[1]CURSOS!$E$26,(+IF($N61=[1]CURSOS!$D$27,[1]CURSOS!$E$27,(+IF($N61=[1]CURSOS!$D$28,[1]CURSOS!$E$28,(+IF($N61=[1]CURSOS!$D$29,[1]CURSOS!$E$29,(+IF($N61=[1]CURSOS!$D$30,[1]CURSOS!$E$30,(+IF($N61=[1]CURSOS!$D$31,[1]CURSOS!$E$31,(+IF($N61=[1]CURSOS!$D$32,[1]CURSOS!$E$32)))))))))))))))))))))))))))))))))))))))))))))))))))))))))))</f>
        <v>SOPORTE VITAL BASICO (BLS)</v>
      </c>
      <c r="U61" s="50" t="str">
        <f t="shared" ref="U61" si="27">CONCATENATE(E61," ",F61," ",C61," ",D61)</f>
        <v>Rigoberto Jose Fernando Ramirez Cuayal</v>
      </c>
      <c r="V61" s="50" t="str">
        <f t="shared" ref="V61" si="28">+PROPER(U61)</f>
        <v>Rigoberto Jose Fernando Ramirez Cuayal</v>
      </c>
      <c r="W61" s="50" t="str">
        <f t="shared" ref="W61" si="29">CONCATENATE(U61,"-",B61,"-",N61)</f>
        <v>Rigoberto Jose Fernando Ramirez Cuayal-1192768001-BLS</v>
      </c>
    </row>
    <row r="62" spans="1:23" s="73" customFormat="1" x14ac:dyDescent="0.2">
      <c r="A62" s="20">
        <v>61</v>
      </c>
      <c r="B62" s="20">
        <v>1193034433</v>
      </c>
      <c r="C62" s="20" t="s">
        <v>185</v>
      </c>
      <c r="D62" s="20" t="s">
        <v>186</v>
      </c>
      <c r="E62" s="20" t="s">
        <v>187</v>
      </c>
      <c r="F62" s="20" t="s">
        <v>188</v>
      </c>
      <c r="G62" s="19">
        <v>8</v>
      </c>
      <c r="H62" s="19" t="s">
        <v>99</v>
      </c>
      <c r="I62" s="25">
        <v>45390</v>
      </c>
      <c r="J62" s="98">
        <v>60000</v>
      </c>
      <c r="K62" s="116" t="s">
        <v>189</v>
      </c>
      <c r="L62" s="19" t="s">
        <v>84</v>
      </c>
      <c r="M62" s="19" t="s">
        <v>77</v>
      </c>
      <c r="N62" s="21" t="s">
        <v>19</v>
      </c>
      <c r="O62" s="72">
        <v>37046</v>
      </c>
      <c r="P62" s="20" t="s">
        <v>78</v>
      </c>
      <c r="Q62" s="20" t="s">
        <v>261</v>
      </c>
      <c r="R62" s="20">
        <v>3136716885</v>
      </c>
      <c r="S62" s="20" t="s">
        <v>190</v>
      </c>
      <c r="T62" s="50" t="str">
        <f>+IF($N62=[1]CURSOS!$D$3,[1]CURSOS!$E$3,(+IF($N62=[1]CURSOS!$D$4,[1]CURSOS!$E$4,(+IF($N62=[1]CURSOS!$D$5,[1]CURSOS!$E$5,(+IF($N62=[1]CURSOS!$D$6,[1]CURSOS!$E$6,(+IF($N62=[1]CURSOS!$D$7,[1]CURSOS!$E$7,(+IF($N62=[1]CURSOS!$D$8,[1]CURSOS!$E$8,(+IF($N62=[1]CURSOS!$D$9,[1]CURSOS!$E$9,(+IF($N62=[1]CURSOS!$D$10,[1]CURSOS!$E$10,(+IF($N62=[1]CURSOS!$D$11,[1]CURSOS!$E$11,(+IF($N62=[1]CURSOS!$D$12,[1]CURSOS!$E$12,(+IF($N62=[1]CURSOS!$D$13,[1]CURSOS!$E$13,(+IF($N62=[1]CURSOS!$D$14,[1]CURSOS!$E$14,(+IF($N62=[1]CURSOS!$D$15,[1]CURSOS!$E$15,(+IF($N62=[1]CURSOS!$D$16,[1]CURSOS!$E$16,(+IF($N62=[1]CURSOS!$D$17,[1]CURSOS!$E$17,(+IF($N62=[1]CURSOS!$D$18,[1]CURSOS!$E$18,(+IF($N62=[1]CURSOS!$D$19,[1]CURSOS!$E$19,(+IF($N62=[1]CURSOS!$D$20,[1]CURSOS!$E$20,(+IF($N62=[1]CURSOS!$D$21,[1]CURSOS!$E$21,(+IF($N62=[1]CURSOS!$D$22,[1]CURSOS!$E$22,(+IF($N62=[1]CURSOS!$D$23,[1]CURSOS!$E$23,(+IF($N62=[1]CURSOS!$D$24,[1]CURSOS!$E$24,(+IF($N62=[1]CURSOS!$D$25,[1]CURSOS!$E$25,(+IF($N62=[1]CURSOS!$D$26,[1]CURSOS!$E$26,(+IF($N62=[1]CURSOS!$D$27,[1]CURSOS!$E$27,(+IF($N62=[1]CURSOS!$D$28,[1]CURSOS!$E$28,(+IF($N62=[1]CURSOS!$D$29,[1]CURSOS!$E$29,(+IF($N62=[1]CURSOS!$D$30,[1]CURSOS!$E$30,(+IF($N62=[1]CURSOS!$D$31,[1]CURSOS!$E$31,(+IF($N62=[1]CURSOS!$D$32,[1]CURSOS!$E$32)))))))))))))))))))))))))))))))))))))))))))))))))))))))))))</f>
        <v>SOPORTE VITAL BASICO (BLS)</v>
      </c>
      <c r="U62" s="50" t="str">
        <f t="shared" ref="U62:U69" si="30">CONCATENATE(E62," ",F62," ",C62," ",D62)</f>
        <v>Tatiana Sofia Guevara Rosero</v>
      </c>
      <c r="V62" s="50" t="str">
        <f t="shared" ref="V62:V69" si="31">+PROPER(U62)</f>
        <v>Tatiana Sofia Guevara Rosero</v>
      </c>
      <c r="W62" s="50" t="str">
        <f t="shared" ref="W62:W69" si="32">CONCATENATE(U62,"-",B62,"-",N62)</f>
        <v>Tatiana Sofia Guevara Rosero-1193034433-BLS</v>
      </c>
    </row>
    <row r="63" spans="1:23" s="73" customFormat="1" x14ac:dyDescent="0.2">
      <c r="A63" s="20">
        <v>62</v>
      </c>
      <c r="B63" s="20">
        <v>1088734549</v>
      </c>
      <c r="C63" s="20" t="s">
        <v>262</v>
      </c>
      <c r="D63" s="20" t="s">
        <v>263</v>
      </c>
      <c r="E63" s="20" t="s">
        <v>264</v>
      </c>
      <c r="F63" s="20" t="s">
        <v>265</v>
      </c>
      <c r="G63" s="19">
        <v>9</v>
      </c>
      <c r="H63" s="19" t="s">
        <v>99</v>
      </c>
      <c r="I63" s="25">
        <v>45391</v>
      </c>
      <c r="J63" s="88">
        <v>32000</v>
      </c>
      <c r="K63" s="116" t="s">
        <v>79</v>
      </c>
      <c r="L63" s="19" t="s">
        <v>84</v>
      </c>
      <c r="M63" s="19" t="s">
        <v>197</v>
      </c>
      <c r="N63" s="21" t="s">
        <v>73</v>
      </c>
      <c r="O63" s="72"/>
      <c r="P63" s="20" t="s">
        <v>78</v>
      </c>
      <c r="Q63" s="20" t="s">
        <v>261</v>
      </c>
      <c r="R63" s="20"/>
      <c r="S63" s="20"/>
      <c r="T63" s="50" t="str">
        <f>+IF($N63=[1]CURSOS!$D$3,[1]CURSOS!$E$3,(+IF($N63=[1]CURSOS!$D$4,[1]CURSOS!$E$4,(+IF($N63=[1]CURSOS!$D$5,[1]CURSOS!$E$5,(+IF($N63=[1]CURSOS!$D$6,[1]CURSOS!$E$6,(+IF($N63=[1]CURSOS!$D$7,[1]CURSOS!$E$7,(+IF($N63=[1]CURSOS!$D$8,[1]CURSOS!$E$8,(+IF($N63=[1]CURSOS!$D$9,[1]CURSOS!$E$9,(+IF($N63=[1]CURSOS!$D$10,[1]CURSOS!$E$10,(+IF($N63=[1]CURSOS!$D$11,[1]CURSOS!$E$11,(+IF($N63=[1]CURSOS!$D$12,[1]CURSOS!$E$12,(+IF($N63=[1]CURSOS!$D$13,[1]CURSOS!$E$13,(+IF($N63=[1]CURSOS!$D$14,[1]CURSOS!$E$14,(+IF($N63=[1]CURSOS!$D$15,[1]CURSOS!$E$15,(+IF($N63=[1]CURSOS!$D$16,[1]CURSOS!$E$16,(+IF($N63=[1]CURSOS!$D$17,[1]CURSOS!$E$17,(+IF($N63=[1]CURSOS!$D$18,[1]CURSOS!$E$18,(+IF($N63=[1]CURSOS!$D$19,[1]CURSOS!$E$19,(+IF($N63=[1]CURSOS!$D$20,[1]CURSOS!$E$20,(+IF($N63=[1]CURSOS!$D$21,[1]CURSOS!$E$21,(+IF($N63=[1]CURSOS!$D$22,[1]CURSOS!$E$22,(+IF($N63=[1]CURSOS!$D$23,[1]CURSOS!$E$23,(+IF($N63=[1]CURSOS!$D$24,[1]CURSOS!$E$24,(+IF($N63=[1]CURSOS!$D$25,[1]CURSOS!$E$25,(+IF($N63=[1]CURSOS!$D$26,[1]CURSOS!$E$26,(+IF($N63=[1]CURSOS!$D$27,[1]CURSOS!$E$27,(+IF($N63=[1]CURSOS!$D$28,[1]CURSOS!$E$28,(+IF($N63=[1]CURSOS!$D$29,[1]CURSOS!$E$29,(+IF($N63=[1]CURSOS!$D$30,[1]CURSOS!$E$30,(+IF($N63=[1]CURSOS!$D$31,[1]CURSOS!$E$31,(+IF($N63=[1]CURSOS!$D$32,[1]CURSOS!$E$32)))))))))))))))))))))))))))))))))))))))))))))))))))))))))))</f>
        <v>PRIMEROS AUXILIOS PSICOLOGICOS</v>
      </c>
      <c r="U63" s="50" t="str">
        <f t="shared" si="30"/>
        <v>Hanya Yeraldy Melo Martinez</v>
      </c>
      <c r="V63" s="50" t="str">
        <f t="shared" si="31"/>
        <v>Hanya Yeraldy Melo Martinez</v>
      </c>
      <c r="W63" s="50" t="str">
        <f t="shared" si="32"/>
        <v>Hanya Yeraldy Melo Martinez-1088734549-PRIMEROS AUXILIOS P</v>
      </c>
    </row>
    <row r="64" spans="1:23" s="73" customFormat="1" x14ac:dyDescent="0.2">
      <c r="A64" s="20">
        <v>63</v>
      </c>
      <c r="B64" s="20">
        <v>30726750</v>
      </c>
      <c r="C64" s="20" t="s">
        <v>266</v>
      </c>
      <c r="D64" s="20" t="s">
        <v>115</v>
      </c>
      <c r="E64" s="20" t="s">
        <v>267</v>
      </c>
      <c r="F64" s="20" t="s">
        <v>268</v>
      </c>
      <c r="G64" s="19">
        <v>8</v>
      </c>
      <c r="H64" s="19" t="s">
        <v>99</v>
      </c>
      <c r="I64" s="25">
        <v>45390</v>
      </c>
      <c r="J64" s="98">
        <v>120000</v>
      </c>
      <c r="K64" s="116" t="s">
        <v>82</v>
      </c>
      <c r="L64" s="19" t="s">
        <v>84</v>
      </c>
      <c r="M64" s="19" t="s">
        <v>77</v>
      </c>
      <c r="N64" s="21" t="s">
        <v>39</v>
      </c>
      <c r="O64" s="72">
        <v>23565</v>
      </c>
      <c r="P64" s="20" t="s">
        <v>78</v>
      </c>
      <c r="Q64" s="20" t="s">
        <v>269</v>
      </c>
      <c r="R64" s="20">
        <v>3187171222</v>
      </c>
      <c r="S64" s="20" t="s">
        <v>270</v>
      </c>
      <c r="T64" s="50" t="str">
        <f>+IF($N64=[1]CURSOS!$D$3,[1]CURSOS!$E$3,(+IF($N64=[1]CURSOS!$D$4,[1]CURSOS!$E$4,(+IF($N64=[1]CURSOS!$D$5,[1]CURSOS!$E$5,(+IF($N64=[1]CURSOS!$D$6,[1]CURSOS!$E$6,(+IF($N64=[1]CURSOS!$D$7,[1]CURSOS!$E$7,(+IF($N64=[1]CURSOS!$D$8,[1]CURSOS!$E$8,(+IF($N64=[1]CURSOS!$D$9,[1]CURSOS!$E$9,(+IF($N64=[1]CURSOS!$D$10,[1]CURSOS!$E$10,(+IF($N64=[1]CURSOS!$D$11,[1]CURSOS!$E$11,(+IF($N64=[1]CURSOS!$D$12,[1]CURSOS!$E$12,(+IF($N64=[1]CURSOS!$D$13,[1]CURSOS!$E$13,(+IF($N64=[1]CURSOS!$D$14,[1]CURSOS!$E$14,(+IF($N64=[1]CURSOS!$D$15,[1]CURSOS!$E$15,(+IF($N64=[1]CURSOS!$D$16,[1]CURSOS!$E$16,(+IF($N64=[1]CURSOS!$D$17,[1]CURSOS!$E$17,(+IF($N64=[1]CURSOS!$D$18,[1]CURSOS!$E$18,(+IF($N64=[1]CURSOS!$D$19,[1]CURSOS!$E$19,(+IF($N64=[1]CURSOS!$D$20,[1]CURSOS!$E$20,(+IF($N64=[1]CURSOS!$D$21,[1]CURSOS!$E$21,(+IF($N64=[1]CURSOS!$D$22,[1]CURSOS!$E$22,(+IF($N64=[1]CURSOS!$D$23,[1]CURSOS!$E$23,(+IF($N64=[1]CURSOS!$D$24,[1]CURSOS!$E$24,(+IF($N64=[1]CURSOS!$D$25,[1]CURSOS!$E$25,(+IF($N64=[1]CURSOS!$D$26,[1]CURSOS!$E$26,(+IF($N64=[1]CURSOS!$D$27,[1]CURSOS!$E$27,(+IF($N64=[1]CURSOS!$D$28,[1]CURSOS!$E$28,(+IF($N64=[1]CURSOS!$D$29,[1]CURSOS!$E$29,(+IF($N64=[1]CURSOS!$D$30,[1]CURSOS!$E$30,(+IF($N64=[1]CURSOS!$D$31,[1]CURSOS!$E$31,(+IF($N64=[1]CURSOS!$D$32,[1]CURSOS!$E$32)))))))))))))))))))))))))))))))))))))))))))))))))))))))))))</f>
        <v xml:space="preserve">SOPORTE CARDIOVASCULAR AVANZADO </v>
      </c>
      <c r="U64" s="50" t="str">
        <f t="shared" si="30"/>
        <v>Maria Franqueline Osorio Ruiz</v>
      </c>
      <c r="V64" s="50" t="str">
        <f t="shared" si="31"/>
        <v>Maria Franqueline Osorio Ruiz</v>
      </c>
      <c r="W64" s="50" t="str">
        <f t="shared" si="32"/>
        <v>Maria Franqueline Osorio Ruiz-30726750-ACLS</v>
      </c>
    </row>
    <row r="65" spans="1:23" s="73" customFormat="1" x14ac:dyDescent="0.2">
      <c r="A65" s="20">
        <v>64</v>
      </c>
      <c r="B65" s="20">
        <v>30726750</v>
      </c>
      <c r="C65" s="20" t="s">
        <v>266</v>
      </c>
      <c r="D65" s="20" t="s">
        <v>115</v>
      </c>
      <c r="E65" s="20" t="s">
        <v>267</v>
      </c>
      <c r="F65" s="20" t="s">
        <v>268</v>
      </c>
      <c r="G65" s="19">
        <v>8</v>
      </c>
      <c r="H65" s="19" t="s">
        <v>99</v>
      </c>
      <c r="I65" s="25">
        <v>45390</v>
      </c>
      <c r="J65" s="98">
        <v>30000</v>
      </c>
      <c r="K65" s="116" t="s">
        <v>82</v>
      </c>
      <c r="L65" s="19" t="s">
        <v>84</v>
      </c>
      <c r="M65" s="19" t="s">
        <v>77</v>
      </c>
      <c r="N65" s="21" t="s">
        <v>46</v>
      </c>
      <c r="O65" s="72">
        <v>23565</v>
      </c>
      <c r="P65" s="20" t="s">
        <v>78</v>
      </c>
      <c r="Q65" s="20" t="s">
        <v>269</v>
      </c>
      <c r="R65" s="20">
        <v>3187171222</v>
      </c>
      <c r="S65" s="20" t="s">
        <v>270</v>
      </c>
      <c r="T65" s="50" t="str">
        <f>+IF($N65=[1]CURSOS!$D$3,[1]CURSOS!$E$3,(+IF($N65=[1]CURSOS!$D$4,[1]CURSOS!$E$4,(+IF($N65=[1]CURSOS!$D$5,[1]CURSOS!$E$5,(+IF($N65=[1]CURSOS!$D$6,[1]CURSOS!$E$6,(+IF($N65=[1]CURSOS!$D$7,[1]CURSOS!$E$7,(+IF($N65=[1]CURSOS!$D$8,[1]CURSOS!$E$8,(+IF($N65=[1]CURSOS!$D$9,[1]CURSOS!$E$9,(+IF($N65=[1]CURSOS!$D$10,[1]CURSOS!$E$10,(+IF($N65=[1]CURSOS!$D$11,[1]CURSOS!$E$11,(+IF($N65=[1]CURSOS!$D$12,[1]CURSOS!$E$12,(+IF($N65=[1]CURSOS!$D$13,[1]CURSOS!$E$13,(+IF($N65=[1]CURSOS!$D$14,[1]CURSOS!$E$14,(+IF($N65=[1]CURSOS!$D$15,[1]CURSOS!$E$15,(+IF($N65=[1]CURSOS!$D$16,[1]CURSOS!$E$16,(+IF($N65=[1]CURSOS!$D$17,[1]CURSOS!$E$17,(+IF($N65=[1]CURSOS!$D$18,[1]CURSOS!$E$18,(+IF($N65=[1]CURSOS!$D$19,[1]CURSOS!$E$19,(+IF($N65=[1]CURSOS!$D$20,[1]CURSOS!$E$20,(+IF($N65=[1]CURSOS!$D$21,[1]CURSOS!$E$21,(+IF($N65=[1]CURSOS!$D$22,[1]CURSOS!$E$22,(+IF($N65=[1]CURSOS!$D$23,[1]CURSOS!$E$23,(+IF($N65=[1]CURSOS!$D$24,[1]CURSOS!$E$24,(+IF($N65=[1]CURSOS!$D$25,[1]CURSOS!$E$25,(+IF($N65=[1]CURSOS!$D$26,[1]CURSOS!$E$26,(+IF($N65=[1]CURSOS!$D$27,[1]CURSOS!$E$27,(+IF($N65=[1]CURSOS!$D$28,[1]CURSOS!$E$28,(+IF($N65=[1]CURSOS!$D$29,[1]CURSOS!$E$29,(+IF($N65=[1]CURSOS!$D$30,[1]CURSOS!$E$30,(+IF($N65=[1]CURSOS!$D$31,[1]CURSOS!$E$31,(+IF($N65=[1]CURSOS!$D$32,[1]CURSOS!$E$32)))))))))))))))))))))))))))))))))))))))))))))))))))))))))))</f>
        <v xml:space="preserve">ATENCION A VICTIMAS DE VIOLENCIA SEXUAL </v>
      </c>
      <c r="U65" s="50" t="str">
        <f t="shared" si="30"/>
        <v>Maria Franqueline Osorio Ruiz</v>
      </c>
      <c r="V65" s="50" t="str">
        <f t="shared" si="31"/>
        <v>Maria Franqueline Osorio Ruiz</v>
      </c>
      <c r="W65" s="50" t="str">
        <f t="shared" si="32"/>
        <v>Maria Franqueline Osorio Ruiz-30726750-VIOLENCIA SEXUAL</v>
      </c>
    </row>
    <row r="66" spans="1:23" s="73" customFormat="1" x14ac:dyDescent="0.2">
      <c r="A66" s="20">
        <v>65</v>
      </c>
      <c r="B66" s="20">
        <v>87301935</v>
      </c>
      <c r="C66" s="20" t="s">
        <v>179</v>
      </c>
      <c r="D66" s="20" t="s">
        <v>180</v>
      </c>
      <c r="E66" s="20" t="s">
        <v>181</v>
      </c>
      <c r="F66" s="20"/>
      <c r="G66" s="19">
        <v>9</v>
      </c>
      <c r="H66" s="19" t="s">
        <v>99</v>
      </c>
      <c r="I66" s="25">
        <v>45391</v>
      </c>
      <c r="J66" s="88">
        <v>30000</v>
      </c>
      <c r="K66" s="116" t="s">
        <v>79</v>
      </c>
      <c r="L66" s="19" t="s">
        <v>84</v>
      </c>
      <c r="M66" s="19" t="s">
        <v>77</v>
      </c>
      <c r="N66" s="21" t="s">
        <v>19</v>
      </c>
      <c r="O66" s="72"/>
      <c r="P66" s="20" t="s">
        <v>88</v>
      </c>
      <c r="Q66" s="20" t="s">
        <v>261</v>
      </c>
      <c r="R66" s="20"/>
      <c r="S66" s="20"/>
      <c r="T66" s="50" t="str">
        <f>+IF($N66=[1]CURSOS!$D$3,[1]CURSOS!$E$3,(+IF($N66=[1]CURSOS!$D$4,[1]CURSOS!$E$4,(+IF($N66=[1]CURSOS!$D$5,[1]CURSOS!$E$5,(+IF($N66=[1]CURSOS!$D$6,[1]CURSOS!$E$6,(+IF($N66=[1]CURSOS!$D$7,[1]CURSOS!$E$7,(+IF($N66=[1]CURSOS!$D$8,[1]CURSOS!$E$8,(+IF($N66=[1]CURSOS!$D$9,[1]CURSOS!$E$9,(+IF($N66=[1]CURSOS!$D$10,[1]CURSOS!$E$10,(+IF($N66=[1]CURSOS!$D$11,[1]CURSOS!$E$11,(+IF($N66=[1]CURSOS!$D$12,[1]CURSOS!$E$12,(+IF($N66=[1]CURSOS!$D$13,[1]CURSOS!$E$13,(+IF($N66=[1]CURSOS!$D$14,[1]CURSOS!$E$14,(+IF($N66=[1]CURSOS!$D$15,[1]CURSOS!$E$15,(+IF($N66=[1]CURSOS!$D$16,[1]CURSOS!$E$16,(+IF($N66=[1]CURSOS!$D$17,[1]CURSOS!$E$17,(+IF($N66=[1]CURSOS!$D$18,[1]CURSOS!$E$18,(+IF($N66=[1]CURSOS!$D$19,[1]CURSOS!$E$19,(+IF($N66=[1]CURSOS!$D$20,[1]CURSOS!$E$20,(+IF($N66=[1]CURSOS!$D$21,[1]CURSOS!$E$21,(+IF($N66=[1]CURSOS!$D$22,[1]CURSOS!$E$22,(+IF($N66=[1]CURSOS!$D$23,[1]CURSOS!$E$23,(+IF($N66=[1]CURSOS!$D$24,[1]CURSOS!$E$24,(+IF($N66=[1]CURSOS!$D$25,[1]CURSOS!$E$25,(+IF($N66=[1]CURSOS!$D$26,[1]CURSOS!$E$26,(+IF($N66=[1]CURSOS!$D$27,[1]CURSOS!$E$27,(+IF($N66=[1]CURSOS!$D$28,[1]CURSOS!$E$28,(+IF($N66=[1]CURSOS!$D$29,[1]CURSOS!$E$29,(+IF($N66=[1]CURSOS!$D$30,[1]CURSOS!$E$30,(+IF($N66=[1]CURSOS!$D$31,[1]CURSOS!$E$31,(+IF($N66=[1]CURSOS!$D$32,[1]CURSOS!$E$32)))))))))))))))))))))))))))))))))))))))))))))))))))))))))))</f>
        <v>SOPORTE VITAL BASICO (BLS)</v>
      </c>
      <c r="U66" s="50" t="str">
        <f t="shared" si="30"/>
        <v>Santiago  Alban Delgado</v>
      </c>
      <c r="V66" s="50" t="str">
        <f t="shared" si="31"/>
        <v>Santiago  Alban Delgado</v>
      </c>
      <c r="W66" s="50" t="str">
        <f t="shared" si="32"/>
        <v>Santiago  Alban Delgado-87301935-BLS</v>
      </c>
    </row>
    <row r="67" spans="1:23" s="73" customFormat="1" x14ac:dyDescent="0.2">
      <c r="A67" s="20">
        <v>66</v>
      </c>
      <c r="B67" s="20">
        <v>1102724243</v>
      </c>
      <c r="C67" s="20" t="s">
        <v>271</v>
      </c>
      <c r="D67" s="20" t="s">
        <v>257</v>
      </c>
      <c r="E67" s="20" t="s">
        <v>272</v>
      </c>
      <c r="F67" s="20" t="s">
        <v>126</v>
      </c>
      <c r="G67" s="19">
        <v>9</v>
      </c>
      <c r="H67" s="19" t="s">
        <v>99</v>
      </c>
      <c r="I67" s="25">
        <v>45373</v>
      </c>
      <c r="J67" s="88"/>
      <c r="K67" s="116" t="s">
        <v>79</v>
      </c>
      <c r="L67" s="19" t="s">
        <v>196</v>
      </c>
      <c r="M67" s="19" t="s">
        <v>77</v>
      </c>
      <c r="N67" s="21" t="s">
        <v>294</v>
      </c>
      <c r="O67" s="72">
        <v>35388</v>
      </c>
      <c r="P67" s="20" t="s">
        <v>78</v>
      </c>
      <c r="Q67" s="20" t="s">
        <v>304</v>
      </c>
      <c r="R67" s="20">
        <v>3202923959</v>
      </c>
      <c r="S67" s="20" t="s">
        <v>296</v>
      </c>
      <c r="T67" s="50" t="s">
        <v>305</v>
      </c>
      <c r="U67" s="50" t="str">
        <f t="shared" si="30"/>
        <v>Angelica Dayana Nova Ramirez</v>
      </c>
      <c r="V67" s="50" t="str">
        <f t="shared" si="31"/>
        <v>Angelica Dayana Nova Ramirez</v>
      </c>
      <c r="W67" s="50" t="str">
        <f t="shared" si="32"/>
        <v>Angelica Dayana Nova Ramirez-1102724243-EXOGENA</v>
      </c>
    </row>
    <row r="68" spans="1:23" s="73" customFormat="1" x14ac:dyDescent="0.2">
      <c r="A68" s="20">
        <v>67</v>
      </c>
      <c r="B68" s="20">
        <v>1084550489</v>
      </c>
      <c r="C68" s="20" t="s">
        <v>263</v>
      </c>
      <c r="D68" s="20" t="s">
        <v>273</v>
      </c>
      <c r="E68" s="20" t="s">
        <v>274</v>
      </c>
      <c r="F68" s="20" t="s">
        <v>275</v>
      </c>
      <c r="G68" s="19">
        <v>9</v>
      </c>
      <c r="H68" s="19" t="s">
        <v>99</v>
      </c>
      <c r="I68" s="25">
        <v>45378</v>
      </c>
      <c r="J68" s="88"/>
      <c r="K68" s="116" t="s">
        <v>79</v>
      </c>
      <c r="L68" s="19" t="s">
        <v>196</v>
      </c>
      <c r="M68" s="19" t="s">
        <v>77</v>
      </c>
      <c r="N68" s="21" t="s">
        <v>294</v>
      </c>
      <c r="O68" s="72">
        <v>31962</v>
      </c>
      <c r="P68" s="20" t="s">
        <v>88</v>
      </c>
      <c r="Q68" s="20" t="s">
        <v>304</v>
      </c>
      <c r="R68" s="20">
        <v>3128485648</v>
      </c>
      <c r="S68" s="20" t="s">
        <v>297</v>
      </c>
      <c r="T68" s="50" t="s">
        <v>305</v>
      </c>
      <c r="U68" s="50" t="str">
        <f t="shared" si="30"/>
        <v xml:space="preserve">Ever Alfonso Martinez Delgado </v>
      </c>
      <c r="V68" s="50" t="str">
        <f t="shared" si="31"/>
        <v xml:space="preserve">Ever Alfonso Martinez Delgado </v>
      </c>
      <c r="W68" s="50" t="str">
        <f t="shared" si="32"/>
        <v>Ever Alfonso Martinez Delgado -1084550489-EXOGENA</v>
      </c>
    </row>
    <row r="69" spans="1:23" s="73" customFormat="1" x14ac:dyDescent="0.2">
      <c r="A69" s="20">
        <v>68</v>
      </c>
      <c r="B69" s="20">
        <v>59682215</v>
      </c>
      <c r="C69" s="20" t="s">
        <v>276</v>
      </c>
      <c r="D69" s="20" t="s">
        <v>277</v>
      </c>
      <c r="E69" s="20" t="s">
        <v>278</v>
      </c>
      <c r="F69" s="20"/>
      <c r="G69" s="19">
        <v>9</v>
      </c>
      <c r="H69" s="19" t="s">
        <v>99</v>
      </c>
      <c r="I69" s="25">
        <v>45378</v>
      </c>
      <c r="J69" s="98">
        <v>112500</v>
      </c>
      <c r="K69" s="116" t="s">
        <v>292</v>
      </c>
      <c r="L69" s="19" t="s">
        <v>196</v>
      </c>
      <c r="M69" s="19" t="s">
        <v>77</v>
      </c>
      <c r="N69" s="21" t="s">
        <v>294</v>
      </c>
      <c r="O69" s="72">
        <v>30803</v>
      </c>
      <c r="P69" s="20" t="s">
        <v>78</v>
      </c>
      <c r="Q69" s="20" t="s">
        <v>304</v>
      </c>
      <c r="R69" s="20">
        <v>3128863174</v>
      </c>
      <c r="S69" s="20" t="s">
        <v>298</v>
      </c>
      <c r="T69" s="50" t="s">
        <v>305</v>
      </c>
      <c r="U69" s="50" t="str">
        <f t="shared" si="30"/>
        <v xml:space="preserve">Diana  Riascos  Mosquera </v>
      </c>
      <c r="V69" s="50" t="str">
        <f t="shared" si="31"/>
        <v xml:space="preserve">Diana  Riascos  Mosquera </v>
      </c>
      <c r="W69" s="50" t="str">
        <f t="shared" si="32"/>
        <v>Diana  Riascos  Mosquera -59682215-EXOGENA</v>
      </c>
    </row>
    <row r="70" spans="1:23" s="73" customFormat="1" x14ac:dyDescent="0.2">
      <c r="A70" s="20">
        <v>69</v>
      </c>
      <c r="B70" s="20">
        <v>1088595276</v>
      </c>
      <c r="C70" s="20" t="s">
        <v>279</v>
      </c>
      <c r="D70" s="20" t="s">
        <v>280</v>
      </c>
      <c r="E70" s="20" t="s">
        <v>281</v>
      </c>
      <c r="F70" s="20" t="s">
        <v>282</v>
      </c>
      <c r="G70" s="19">
        <v>9</v>
      </c>
      <c r="H70" s="19" t="s">
        <v>99</v>
      </c>
      <c r="I70" s="25">
        <v>45378</v>
      </c>
      <c r="J70" s="88"/>
      <c r="K70" s="116" t="s">
        <v>79</v>
      </c>
      <c r="L70" s="19" t="s">
        <v>196</v>
      </c>
      <c r="M70" s="19" t="s">
        <v>77</v>
      </c>
      <c r="N70" s="21" t="s">
        <v>294</v>
      </c>
      <c r="O70" s="72">
        <v>34482</v>
      </c>
      <c r="P70" s="20" t="s">
        <v>88</v>
      </c>
      <c r="Q70" s="20" t="s">
        <v>304</v>
      </c>
      <c r="R70" s="20">
        <v>3116322808</v>
      </c>
      <c r="S70" s="20" t="s">
        <v>299</v>
      </c>
      <c r="T70" s="50" t="s">
        <v>305</v>
      </c>
      <c r="U70" s="50" t="str">
        <f t="shared" ref="U70:U74" si="33">CONCATENATE(E70," ",F70," ",C70," ",D70)</f>
        <v>Jimy Alberth Juaspuezan Puenayan</v>
      </c>
      <c r="V70" s="50" t="str">
        <f t="shared" ref="V70:V74" si="34">+PROPER(U70)</f>
        <v>Jimy Alberth Juaspuezan Puenayan</v>
      </c>
      <c r="W70" s="50" t="str">
        <f t="shared" ref="W70:W74" si="35">CONCATENATE(U70,"-",B70,"-",N70)</f>
        <v>Jimy Alberth Juaspuezan Puenayan-1088595276-EXOGENA</v>
      </c>
    </row>
    <row r="71" spans="1:23" s="73" customFormat="1" x14ac:dyDescent="0.2">
      <c r="A71" s="20">
        <v>70</v>
      </c>
      <c r="B71" s="20">
        <v>37747086</v>
      </c>
      <c r="C71" s="20" t="s">
        <v>283</v>
      </c>
      <c r="D71" s="20"/>
      <c r="E71" s="20" t="s">
        <v>284</v>
      </c>
      <c r="F71" s="20"/>
      <c r="G71" s="19">
        <v>9</v>
      </c>
      <c r="H71" s="19" t="s">
        <v>99</v>
      </c>
      <c r="I71" s="25">
        <v>45387</v>
      </c>
      <c r="J71" s="98">
        <v>112500</v>
      </c>
      <c r="K71" s="116" t="s">
        <v>293</v>
      </c>
      <c r="L71" s="19" t="s">
        <v>196</v>
      </c>
      <c r="M71" s="19" t="s">
        <v>77</v>
      </c>
      <c r="N71" s="21" t="s">
        <v>294</v>
      </c>
      <c r="O71" s="72">
        <v>29024</v>
      </c>
      <c r="P71" s="20" t="s">
        <v>78</v>
      </c>
      <c r="Q71" s="20" t="s">
        <v>304</v>
      </c>
      <c r="R71" s="20">
        <v>3123835535</v>
      </c>
      <c r="S71" s="20" t="s">
        <v>300</v>
      </c>
      <c r="T71" s="50" t="s">
        <v>305</v>
      </c>
      <c r="U71" s="50" t="str">
        <f t="shared" si="33"/>
        <v xml:space="preserve">Yolanda   Gamboa </v>
      </c>
      <c r="V71" s="50" t="str">
        <f t="shared" si="34"/>
        <v xml:space="preserve">Yolanda   Gamboa </v>
      </c>
      <c r="W71" s="50" t="str">
        <f t="shared" si="35"/>
        <v>Yolanda   Gamboa -37747086-EXOGENA</v>
      </c>
    </row>
    <row r="72" spans="1:23" s="73" customFormat="1" x14ac:dyDescent="0.2">
      <c r="A72" s="20">
        <v>71</v>
      </c>
      <c r="B72" s="20">
        <v>36759793</v>
      </c>
      <c r="C72" s="20" t="s">
        <v>285</v>
      </c>
      <c r="D72" s="20" t="s">
        <v>186</v>
      </c>
      <c r="E72" s="20" t="s">
        <v>286</v>
      </c>
      <c r="F72" s="20"/>
      <c r="G72" s="19">
        <v>9</v>
      </c>
      <c r="H72" s="19" t="s">
        <v>99</v>
      </c>
      <c r="I72" s="25">
        <v>45388</v>
      </c>
      <c r="J72" s="98">
        <v>112500</v>
      </c>
      <c r="K72" s="116" t="s">
        <v>292</v>
      </c>
      <c r="L72" s="19" t="s">
        <v>196</v>
      </c>
      <c r="M72" s="19" t="s">
        <v>77</v>
      </c>
      <c r="N72" s="21" t="s">
        <v>294</v>
      </c>
      <c r="O72" s="72">
        <v>29851</v>
      </c>
      <c r="P72" s="20" t="s">
        <v>78</v>
      </c>
      <c r="Q72" s="20" t="s">
        <v>304</v>
      </c>
      <c r="R72" s="20">
        <v>3163581884</v>
      </c>
      <c r="S72" s="20" t="s">
        <v>301</v>
      </c>
      <c r="T72" s="50" t="s">
        <v>305</v>
      </c>
      <c r="U72" s="50" t="str">
        <f t="shared" si="33"/>
        <v>Monica   Ruales  Rosero</v>
      </c>
      <c r="V72" s="50" t="str">
        <f t="shared" si="34"/>
        <v>Monica   Ruales  Rosero</v>
      </c>
      <c r="W72" s="50" t="str">
        <f t="shared" si="35"/>
        <v>Monica   Ruales  Rosero-36759793-EXOGENA</v>
      </c>
    </row>
    <row r="73" spans="1:23" s="73" customFormat="1" x14ac:dyDescent="0.2">
      <c r="A73" s="20">
        <v>72</v>
      </c>
      <c r="B73" s="20">
        <v>1085325360</v>
      </c>
      <c r="C73" s="20" t="s">
        <v>186</v>
      </c>
      <c r="D73" s="20" t="s">
        <v>287</v>
      </c>
      <c r="E73" s="20" t="s">
        <v>288</v>
      </c>
      <c r="F73" s="20"/>
      <c r="G73" s="19">
        <v>9</v>
      </c>
      <c r="H73" s="19" t="s">
        <v>99</v>
      </c>
      <c r="I73" s="25">
        <v>45390</v>
      </c>
      <c r="J73" s="88" t="s">
        <v>167</v>
      </c>
      <c r="K73" s="19" t="s">
        <v>168</v>
      </c>
      <c r="L73" s="19" t="s">
        <v>196</v>
      </c>
      <c r="M73" s="19" t="s">
        <v>77</v>
      </c>
      <c r="N73" s="21" t="s">
        <v>294</v>
      </c>
      <c r="O73" s="72">
        <v>35039</v>
      </c>
      <c r="P73" s="20" t="s">
        <v>295</v>
      </c>
      <c r="Q73" s="20" t="s">
        <v>304</v>
      </c>
      <c r="R73" s="20">
        <v>3164351605</v>
      </c>
      <c r="S73" s="20" t="s">
        <v>302</v>
      </c>
      <c r="T73" s="50" t="s">
        <v>305</v>
      </c>
      <c r="U73" s="50" t="str">
        <f t="shared" si="33"/>
        <v>Nicolas  Rosero Patiño</v>
      </c>
      <c r="V73" s="50" t="str">
        <f t="shared" si="34"/>
        <v>Nicolas  Rosero Patiño</v>
      </c>
      <c r="W73" s="50" t="str">
        <f t="shared" si="35"/>
        <v>Nicolas  Rosero Patiño-1085325360-EXOGENA</v>
      </c>
    </row>
    <row r="74" spans="1:23" s="73" customFormat="1" x14ac:dyDescent="0.2">
      <c r="A74" s="20">
        <v>73</v>
      </c>
      <c r="B74" s="20">
        <v>1085321047</v>
      </c>
      <c r="C74" s="20" t="s">
        <v>289</v>
      </c>
      <c r="D74" s="20" t="s">
        <v>290</v>
      </c>
      <c r="E74" s="20" t="s">
        <v>291</v>
      </c>
      <c r="F74" s="20" t="s">
        <v>120</v>
      </c>
      <c r="G74" s="19">
        <v>9</v>
      </c>
      <c r="H74" s="19" t="s">
        <v>99</v>
      </c>
      <c r="I74" s="25">
        <v>45390</v>
      </c>
      <c r="J74" s="88"/>
      <c r="K74" s="116" t="s">
        <v>79</v>
      </c>
      <c r="L74" s="19" t="s">
        <v>196</v>
      </c>
      <c r="M74" s="19" t="s">
        <v>77</v>
      </c>
      <c r="N74" s="21" t="s">
        <v>294</v>
      </c>
      <c r="O74" s="72">
        <v>34847</v>
      </c>
      <c r="P74" s="20" t="s">
        <v>78</v>
      </c>
      <c r="Q74" s="20" t="s">
        <v>304</v>
      </c>
      <c r="R74" s="20">
        <v>3177912231</v>
      </c>
      <c r="S74" s="20" t="s">
        <v>303</v>
      </c>
      <c r="T74" s="50" t="s">
        <v>305</v>
      </c>
      <c r="U74" s="50" t="str">
        <f t="shared" si="33"/>
        <v>Lizeth Daniela Juajinoy Betancourt</v>
      </c>
      <c r="V74" s="50" t="str">
        <f t="shared" si="34"/>
        <v>Lizeth Daniela Juajinoy Betancourt</v>
      </c>
      <c r="W74" s="50" t="str">
        <f t="shared" si="35"/>
        <v>Lizeth Daniela Juajinoy Betancourt-1085321047-EXOGENA</v>
      </c>
    </row>
    <row r="75" spans="1:23" s="73" customFormat="1" x14ac:dyDescent="0.2">
      <c r="A75" s="20">
        <v>74</v>
      </c>
      <c r="B75" s="20">
        <v>36759702</v>
      </c>
      <c r="C75" s="20" t="s">
        <v>306</v>
      </c>
      <c r="D75" s="20" t="s">
        <v>307</v>
      </c>
      <c r="E75" s="20" t="s">
        <v>308</v>
      </c>
      <c r="F75" s="20" t="s">
        <v>201</v>
      </c>
      <c r="G75" s="19">
        <v>9</v>
      </c>
      <c r="H75" s="19" t="s">
        <v>99</v>
      </c>
      <c r="I75" s="25">
        <v>45391</v>
      </c>
      <c r="J75" s="88">
        <v>32000</v>
      </c>
      <c r="K75" s="116" t="s">
        <v>79</v>
      </c>
      <c r="L75" s="19" t="s">
        <v>84</v>
      </c>
      <c r="M75" s="19" t="s">
        <v>197</v>
      </c>
      <c r="N75" s="21" t="s">
        <v>19</v>
      </c>
      <c r="O75" s="72">
        <v>30281</v>
      </c>
      <c r="P75" s="20" t="s">
        <v>78</v>
      </c>
      <c r="Q75" s="20" t="s">
        <v>160</v>
      </c>
      <c r="R75" s="20"/>
      <c r="S75" s="20" t="s">
        <v>309</v>
      </c>
      <c r="T75" s="50" t="str">
        <f>+IF($N75=[1]CURSOS!$D$3,[1]CURSOS!$E$3,(+IF($N75=[1]CURSOS!$D$4,[1]CURSOS!$E$4,(+IF($N75=[1]CURSOS!$D$5,[1]CURSOS!$E$5,(+IF($N75=[1]CURSOS!$D$6,[1]CURSOS!$E$6,(+IF($N75=[1]CURSOS!$D$7,[1]CURSOS!$E$7,(+IF($N75=[1]CURSOS!$D$8,[1]CURSOS!$E$8,(+IF($N75=[1]CURSOS!$D$9,[1]CURSOS!$E$9,(+IF($N75=[1]CURSOS!$D$10,[1]CURSOS!$E$10,(+IF($N75=[1]CURSOS!$D$11,[1]CURSOS!$E$11,(+IF($N75=[1]CURSOS!$D$12,[1]CURSOS!$E$12,(+IF($N75=[1]CURSOS!$D$13,[1]CURSOS!$E$13,(+IF($N75=[1]CURSOS!$D$14,[1]CURSOS!$E$14,(+IF($N75=[1]CURSOS!$D$15,[1]CURSOS!$E$15,(+IF($N75=[1]CURSOS!$D$16,[1]CURSOS!$E$16,(+IF($N75=[1]CURSOS!$D$17,[1]CURSOS!$E$17,(+IF($N75=[1]CURSOS!$D$18,[1]CURSOS!$E$18,(+IF($N75=[1]CURSOS!$D$19,[1]CURSOS!$E$19,(+IF($N75=[1]CURSOS!$D$20,[1]CURSOS!$E$20,(+IF($N75=[1]CURSOS!$D$21,[1]CURSOS!$E$21,(+IF($N75=[1]CURSOS!$D$22,[1]CURSOS!$E$22,(+IF($N75=[1]CURSOS!$D$23,[1]CURSOS!$E$23,(+IF($N75=[1]CURSOS!$D$24,[1]CURSOS!$E$24,(+IF($N75=[1]CURSOS!$D$25,[1]CURSOS!$E$25,(+IF($N75=[1]CURSOS!$D$26,[1]CURSOS!$E$26,(+IF($N75=[1]CURSOS!$D$27,[1]CURSOS!$E$27,(+IF($N75=[1]CURSOS!$D$28,[1]CURSOS!$E$28,(+IF($N75=[1]CURSOS!$D$29,[1]CURSOS!$E$29,(+IF($N75=[1]CURSOS!$D$30,[1]CURSOS!$E$30,(+IF($N75=[1]CURSOS!$D$31,[1]CURSOS!$E$31,(+IF($N75=[1]CURSOS!$D$32,[1]CURSOS!$E$32)))))))))))))))))))))))))))))))))))))))))))))))))))))))))))</f>
        <v>SOPORTE VITAL BASICO (BLS)</v>
      </c>
      <c r="U75" s="50" t="str">
        <f t="shared" ref="U75:U76" si="36">CONCATENATE(E75," ",F75," ",C75," ",D75)</f>
        <v>Nancy Liliana Ascuntar Pulzara</v>
      </c>
      <c r="V75" s="50" t="str">
        <f t="shared" ref="V75:V76" si="37">+PROPER(U75)</f>
        <v>Nancy Liliana Ascuntar Pulzara</v>
      </c>
      <c r="W75" s="50" t="str">
        <f t="shared" ref="W75:W76" si="38">CONCATENATE(U75,"-",B75,"-",N75)</f>
        <v>Nancy Liliana Ascuntar Pulzara-36759702-BLS</v>
      </c>
    </row>
    <row r="76" spans="1:23" s="73" customFormat="1" x14ac:dyDescent="0.2">
      <c r="A76" s="20">
        <v>75</v>
      </c>
      <c r="B76" s="20">
        <v>12752269</v>
      </c>
      <c r="C76" s="20" t="s">
        <v>310</v>
      </c>
      <c r="D76" s="20" t="s">
        <v>311</v>
      </c>
      <c r="E76" s="20" t="s">
        <v>312</v>
      </c>
      <c r="F76" s="20" t="s">
        <v>147</v>
      </c>
      <c r="G76" s="19">
        <v>9</v>
      </c>
      <c r="H76" s="19" t="s">
        <v>99</v>
      </c>
      <c r="I76" s="25">
        <v>45391</v>
      </c>
      <c r="J76" s="88">
        <v>32000</v>
      </c>
      <c r="K76" s="116" t="s">
        <v>79</v>
      </c>
      <c r="L76" s="19" t="s">
        <v>84</v>
      </c>
      <c r="M76" s="19" t="s">
        <v>197</v>
      </c>
      <c r="N76" s="21" t="s">
        <v>19</v>
      </c>
      <c r="O76" s="72">
        <v>30165</v>
      </c>
      <c r="P76" s="20" t="s">
        <v>88</v>
      </c>
      <c r="Q76" s="20" t="s">
        <v>160</v>
      </c>
      <c r="R76" s="20"/>
      <c r="S76" s="20" t="s">
        <v>313</v>
      </c>
      <c r="T76" s="50" t="str">
        <f>+IF($N76=[1]CURSOS!$D$3,[1]CURSOS!$E$3,(+IF($N76=[1]CURSOS!$D$4,[1]CURSOS!$E$4,(+IF($N76=[1]CURSOS!$D$5,[1]CURSOS!$E$5,(+IF($N76=[1]CURSOS!$D$6,[1]CURSOS!$E$6,(+IF($N76=[1]CURSOS!$D$7,[1]CURSOS!$E$7,(+IF($N76=[1]CURSOS!$D$8,[1]CURSOS!$E$8,(+IF($N76=[1]CURSOS!$D$9,[1]CURSOS!$E$9,(+IF($N76=[1]CURSOS!$D$10,[1]CURSOS!$E$10,(+IF($N76=[1]CURSOS!$D$11,[1]CURSOS!$E$11,(+IF($N76=[1]CURSOS!$D$12,[1]CURSOS!$E$12,(+IF($N76=[1]CURSOS!$D$13,[1]CURSOS!$E$13,(+IF($N76=[1]CURSOS!$D$14,[1]CURSOS!$E$14,(+IF($N76=[1]CURSOS!$D$15,[1]CURSOS!$E$15,(+IF($N76=[1]CURSOS!$D$16,[1]CURSOS!$E$16,(+IF($N76=[1]CURSOS!$D$17,[1]CURSOS!$E$17,(+IF($N76=[1]CURSOS!$D$18,[1]CURSOS!$E$18,(+IF($N76=[1]CURSOS!$D$19,[1]CURSOS!$E$19,(+IF($N76=[1]CURSOS!$D$20,[1]CURSOS!$E$20,(+IF($N76=[1]CURSOS!$D$21,[1]CURSOS!$E$21,(+IF($N76=[1]CURSOS!$D$22,[1]CURSOS!$E$22,(+IF($N76=[1]CURSOS!$D$23,[1]CURSOS!$E$23,(+IF($N76=[1]CURSOS!$D$24,[1]CURSOS!$E$24,(+IF($N76=[1]CURSOS!$D$25,[1]CURSOS!$E$25,(+IF($N76=[1]CURSOS!$D$26,[1]CURSOS!$E$26,(+IF($N76=[1]CURSOS!$D$27,[1]CURSOS!$E$27,(+IF($N76=[1]CURSOS!$D$28,[1]CURSOS!$E$28,(+IF($N76=[1]CURSOS!$D$29,[1]CURSOS!$E$29,(+IF($N76=[1]CURSOS!$D$30,[1]CURSOS!$E$30,(+IF($N76=[1]CURSOS!$D$31,[1]CURSOS!$E$31,(+IF($N76=[1]CURSOS!$D$32,[1]CURSOS!$E$32)))))))))))))))))))))))))))))))))))))))))))))))))))))))))))</f>
        <v>SOPORTE VITAL BASICO (BLS)</v>
      </c>
      <c r="U76" s="50" t="str">
        <f t="shared" si="36"/>
        <v>Jorge Andres Daza Paredes</v>
      </c>
      <c r="V76" s="50" t="str">
        <f t="shared" si="37"/>
        <v>Jorge Andres Daza Paredes</v>
      </c>
      <c r="W76" s="50" t="str">
        <f t="shared" si="38"/>
        <v>Jorge Andres Daza Paredes-12752269-BLS</v>
      </c>
    </row>
    <row r="77" spans="1:23" s="73" customFormat="1" ht="15.75" x14ac:dyDescent="0.25">
      <c r="A77" s="20">
        <v>76</v>
      </c>
      <c r="B77" s="20">
        <v>30739969</v>
      </c>
      <c r="C77" s="20" t="s">
        <v>314</v>
      </c>
      <c r="D77" s="20" t="s">
        <v>315</v>
      </c>
      <c r="E77" s="20" t="s">
        <v>208</v>
      </c>
      <c r="F77" s="20" t="s">
        <v>316</v>
      </c>
      <c r="G77" s="19">
        <v>9</v>
      </c>
      <c r="H77" s="19" t="s">
        <v>317</v>
      </c>
      <c r="I77" s="25">
        <v>45392</v>
      </c>
      <c r="J77" s="98">
        <v>30000</v>
      </c>
      <c r="K77" s="116" t="s">
        <v>82</v>
      </c>
      <c r="L77" s="19" t="s">
        <v>84</v>
      </c>
      <c r="M77" s="19" t="s">
        <v>173</v>
      </c>
      <c r="N77" s="21" t="s">
        <v>19</v>
      </c>
      <c r="O77" s="72"/>
      <c r="P77" s="20" t="s">
        <v>78</v>
      </c>
      <c r="Q77" s="20" t="s">
        <v>160</v>
      </c>
      <c r="R77" s="20"/>
      <c r="S77" s="74" t="s">
        <v>318</v>
      </c>
      <c r="T77" s="50" t="str">
        <f>+IF($N77=[1]CURSOS!$D$3,[1]CURSOS!$E$3,(+IF($N77=[1]CURSOS!$D$4,[1]CURSOS!$E$4,(+IF($N77=[1]CURSOS!$D$5,[1]CURSOS!$E$5,(+IF($N77=[1]CURSOS!$D$6,[1]CURSOS!$E$6,(+IF($N77=[1]CURSOS!$D$7,[1]CURSOS!$E$7,(+IF($N77=[1]CURSOS!$D$8,[1]CURSOS!$E$8,(+IF($N77=[1]CURSOS!$D$9,[1]CURSOS!$E$9,(+IF($N77=[1]CURSOS!$D$10,[1]CURSOS!$E$10,(+IF($N77=[1]CURSOS!$D$11,[1]CURSOS!$E$11,(+IF($N77=[1]CURSOS!$D$12,[1]CURSOS!$E$12,(+IF($N77=[1]CURSOS!$D$13,[1]CURSOS!$E$13,(+IF($N77=[1]CURSOS!$D$14,[1]CURSOS!$E$14,(+IF($N77=[1]CURSOS!$D$15,[1]CURSOS!$E$15,(+IF($N77=[1]CURSOS!$D$16,[1]CURSOS!$E$16,(+IF($N77=[1]CURSOS!$D$17,[1]CURSOS!$E$17,(+IF($N77=[1]CURSOS!$D$18,[1]CURSOS!$E$18,(+IF($N77=[1]CURSOS!$D$19,[1]CURSOS!$E$19,(+IF($N77=[1]CURSOS!$D$20,[1]CURSOS!$E$20,(+IF($N77=[1]CURSOS!$D$21,[1]CURSOS!$E$21,(+IF($N77=[1]CURSOS!$D$22,[1]CURSOS!$E$22,(+IF($N77=[1]CURSOS!$D$23,[1]CURSOS!$E$23,(+IF($N77=[1]CURSOS!$D$24,[1]CURSOS!$E$24,(+IF($N77=[1]CURSOS!$D$25,[1]CURSOS!$E$25,(+IF($N77=[1]CURSOS!$D$26,[1]CURSOS!$E$26,(+IF($N77=[1]CURSOS!$D$27,[1]CURSOS!$E$27,(+IF($N77=[1]CURSOS!$D$28,[1]CURSOS!$E$28,(+IF($N77=[1]CURSOS!$D$29,[1]CURSOS!$E$29,(+IF($N77=[1]CURSOS!$D$30,[1]CURSOS!$E$30,(+IF($N77=[1]CURSOS!$D$31,[1]CURSOS!$E$31,(+IF($N77=[1]CURSOS!$D$32,[1]CURSOS!$E$32)))))))))))))))))))))))))))))))))))))))))))))))))))))))))))</f>
        <v>SOPORTE VITAL BASICO (BLS)</v>
      </c>
      <c r="U77" s="50" t="str">
        <f t="shared" ref="U77:U79" si="39">CONCATENATE(E77," ",F77," ",C77," ",D77)</f>
        <v>Ana Lucia Ibarra Guzman</v>
      </c>
      <c r="V77" s="50" t="str">
        <f t="shared" ref="V77:V79" si="40">+PROPER(U77)</f>
        <v>Ana Lucia Ibarra Guzman</v>
      </c>
      <c r="W77" s="50" t="str">
        <f t="shared" ref="W77:W79" si="41">CONCATENATE(U77,"-",B77,"-",N77)</f>
        <v>Ana Lucia Ibarra Guzman-30739969-BLS</v>
      </c>
    </row>
    <row r="78" spans="1:23" s="73" customFormat="1" x14ac:dyDescent="0.2">
      <c r="A78" s="20">
        <v>77</v>
      </c>
      <c r="B78" s="20">
        <v>1085246342</v>
      </c>
      <c r="C78" s="20" t="s">
        <v>319</v>
      </c>
      <c r="D78" s="20" t="s">
        <v>320</v>
      </c>
      <c r="E78" s="20" t="s">
        <v>321</v>
      </c>
      <c r="F78" s="20" t="s">
        <v>221</v>
      </c>
      <c r="G78" s="19">
        <v>10</v>
      </c>
      <c r="H78" s="19" t="s">
        <v>99</v>
      </c>
      <c r="I78" s="25">
        <v>45398</v>
      </c>
      <c r="J78" s="88">
        <v>20000</v>
      </c>
      <c r="K78" s="19"/>
      <c r="L78" s="19" t="s">
        <v>322</v>
      </c>
      <c r="M78" s="19" t="s">
        <v>428</v>
      </c>
      <c r="N78" s="21" t="s">
        <v>25</v>
      </c>
      <c r="O78" s="72">
        <v>31363</v>
      </c>
      <c r="P78" s="20" t="s">
        <v>88</v>
      </c>
      <c r="Q78" s="20" t="s">
        <v>160</v>
      </c>
      <c r="R78" s="20"/>
      <c r="S78" s="20"/>
      <c r="T78" s="50" t="str">
        <f>+IF($N78=[1]CURSOS!$D$3,[1]CURSOS!$E$3,(+IF($N78=[1]CURSOS!$D$4,[1]CURSOS!$E$4,(+IF($N78=[1]CURSOS!$D$5,[1]CURSOS!$E$5,(+IF($N78=[1]CURSOS!$D$6,[1]CURSOS!$E$6,(+IF($N78=[1]CURSOS!$D$7,[1]CURSOS!$E$7,(+IF($N78=[1]CURSOS!$D$8,[1]CURSOS!$E$8,(+IF($N78=[1]CURSOS!$D$9,[1]CURSOS!$E$9,(+IF($N78=[1]CURSOS!$D$10,[1]CURSOS!$E$10,(+IF($N78=[1]CURSOS!$D$11,[1]CURSOS!$E$11,(+IF($N78=[1]CURSOS!$D$12,[1]CURSOS!$E$12,(+IF($N78=[1]CURSOS!$D$13,[1]CURSOS!$E$13,(+IF($N78=[1]CURSOS!$D$14,[1]CURSOS!$E$14,(+IF($N78=[1]CURSOS!$D$15,[1]CURSOS!$E$15,(+IF($N78=[1]CURSOS!$D$16,[1]CURSOS!$E$16,(+IF($N78=[1]CURSOS!$D$17,[1]CURSOS!$E$17,(+IF($N78=[1]CURSOS!$D$18,[1]CURSOS!$E$18,(+IF($N78=[1]CURSOS!$D$19,[1]CURSOS!$E$19,(+IF($N78=[1]CURSOS!$D$20,[1]CURSOS!$E$20,(+IF($N78=[1]CURSOS!$D$21,[1]CURSOS!$E$21,(+IF($N78=[1]CURSOS!$D$22,[1]CURSOS!$E$22,(+IF($N78=[1]CURSOS!$D$23,[1]CURSOS!$E$23,(+IF($N78=[1]CURSOS!$D$24,[1]CURSOS!$E$24,(+IF($N78=[1]CURSOS!$D$25,[1]CURSOS!$E$25,(+IF($N78=[1]CURSOS!$D$26,[1]CURSOS!$E$26,(+IF($N78=[1]CURSOS!$D$27,[1]CURSOS!$E$27,(+IF($N78=[1]CURSOS!$D$28,[1]CURSOS!$E$28,(+IF($N78=[1]CURSOS!$D$29,[1]CURSOS!$E$29,(+IF($N78=[1]CURSOS!$D$30,[1]CURSOS!$E$30,(+IF($N78=[1]CURSOS!$D$31,[1]CURSOS!$E$31,(+IF($N78=[1]CURSOS!$D$32,[1]CURSOS!$E$32)))))))))))))))))))))))))))))))))))))))))))))))))))))))))))</f>
        <v xml:space="preserve">ATENCION A VICTIMAS DE ATAQUE CON AGENTES QUIMICOS </v>
      </c>
      <c r="U78" s="50" t="str">
        <f t="shared" si="39"/>
        <v>Victor Hugo Gonzales Rodriguez</v>
      </c>
      <c r="V78" s="50" t="str">
        <f t="shared" si="40"/>
        <v>Victor Hugo Gonzales Rodriguez</v>
      </c>
      <c r="W78" s="50" t="str">
        <f t="shared" si="41"/>
        <v>Victor Hugo Gonzales Rodriguez-1085246342-QUIMICOS</v>
      </c>
    </row>
    <row r="79" spans="1:23" s="73" customFormat="1" x14ac:dyDescent="0.2">
      <c r="A79" s="20">
        <v>78</v>
      </c>
      <c r="B79" s="20">
        <v>1085246342</v>
      </c>
      <c r="C79" s="20" t="s">
        <v>319</v>
      </c>
      <c r="D79" s="20" t="s">
        <v>320</v>
      </c>
      <c r="E79" s="20" t="s">
        <v>321</v>
      </c>
      <c r="F79" s="20" t="s">
        <v>221</v>
      </c>
      <c r="G79" s="19">
        <v>10</v>
      </c>
      <c r="H79" s="19" t="s">
        <v>99</v>
      </c>
      <c r="I79" s="25">
        <v>45398</v>
      </c>
      <c r="J79" s="88">
        <v>20000</v>
      </c>
      <c r="K79" s="19"/>
      <c r="L79" s="19" t="s">
        <v>322</v>
      </c>
      <c r="M79" s="19" t="s">
        <v>428</v>
      </c>
      <c r="N79" s="21" t="s">
        <v>23</v>
      </c>
      <c r="O79" s="72">
        <v>31363</v>
      </c>
      <c r="P79" s="20" t="s">
        <v>88</v>
      </c>
      <c r="Q79" s="20" t="s">
        <v>160</v>
      </c>
      <c r="R79" s="20"/>
      <c r="S79" s="20"/>
      <c r="T79" s="50" t="str">
        <f>+IF($N79=[1]CURSOS!$D$3,[1]CURSOS!$E$3,(+IF($N79=[1]CURSOS!$D$4,[1]CURSOS!$E$4,(+IF($N79=[1]CURSOS!$D$5,[1]CURSOS!$E$5,(+IF($N79=[1]CURSOS!$D$6,[1]CURSOS!$E$6,(+IF($N79=[1]CURSOS!$D$7,[1]CURSOS!$E$7,(+IF($N79=[1]CURSOS!$D$8,[1]CURSOS!$E$8,(+IF($N79=[1]CURSOS!$D$9,[1]CURSOS!$E$9,(+IF($N79=[1]CURSOS!$D$10,[1]CURSOS!$E$10,(+IF($N79=[1]CURSOS!$D$11,[1]CURSOS!$E$11,(+IF($N79=[1]CURSOS!$D$12,[1]CURSOS!$E$12,(+IF($N79=[1]CURSOS!$D$13,[1]CURSOS!$E$13,(+IF($N79=[1]CURSOS!$D$14,[1]CURSOS!$E$14,(+IF($N79=[1]CURSOS!$D$15,[1]CURSOS!$E$15,(+IF($N79=[1]CURSOS!$D$16,[1]CURSOS!$E$16,(+IF($N79=[1]CURSOS!$D$17,[1]CURSOS!$E$17,(+IF($N79=[1]CURSOS!$D$18,[1]CURSOS!$E$18,(+IF($N79=[1]CURSOS!$D$19,[1]CURSOS!$E$19,(+IF($N79=[1]CURSOS!$D$20,[1]CURSOS!$E$20,(+IF($N79=[1]CURSOS!$D$21,[1]CURSOS!$E$21,(+IF($N79=[1]CURSOS!$D$22,[1]CURSOS!$E$22,(+IF($N79=[1]CURSOS!$D$23,[1]CURSOS!$E$23,(+IF($N79=[1]CURSOS!$D$24,[1]CURSOS!$E$24,(+IF($N79=[1]CURSOS!$D$25,[1]CURSOS!$E$25,(+IF($N79=[1]CURSOS!$D$26,[1]CURSOS!$E$26,(+IF($N79=[1]CURSOS!$D$27,[1]CURSOS!$E$27,(+IF($N79=[1]CURSOS!$D$28,[1]CURSOS!$E$28,(+IF($N79=[1]CURSOS!$D$29,[1]CURSOS!$E$29,(+IF($N79=[1]CURSOS!$D$30,[1]CURSOS!$E$30,(+IF($N79=[1]CURSOS!$D$31,[1]CURSOS!$E$31,(+IF($N79=[1]CURSOS!$D$32,[1]CURSOS!$E$32)))))))))))))))))))))))))))))))))))))))))))))))))))))))))))</f>
        <v>ACOMPAÑAMIENTO Y MANEJO DEL DUELO</v>
      </c>
      <c r="U79" s="50" t="str">
        <f t="shared" si="39"/>
        <v>Victor Hugo Gonzales Rodriguez</v>
      </c>
      <c r="V79" s="50" t="str">
        <f t="shared" si="40"/>
        <v>Victor Hugo Gonzales Rodriguez</v>
      </c>
      <c r="W79" s="50" t="str">
        <f t="shared" si="41"/>
        <v>Victor Hugo Gonzales Rodriguez-1085246342-DUELO</v>
      </c>
    </row>
    <row r="80" spans="1:23" s="73" customFormat="1" x14ac:dyDescent="0.2">
      <c r="A80" s="20">
        <v>79</v>
      </c>
      <c r="B80" s="20">
        <v>1085246342</v>
      </c>
      <c r="C80" s="20" t="s">
        <v>319</v>
      </c>
      <c r="D80" s="20" t="s">
        <v>320</v>
      </c>
      <c r="E80" s="20" t="s">
        <v>321</v>
      </c>
      <c r="F80" s="20" t="s">
        <v>221</v>
      </c>
      <c r="G80" s="19">
        <v>9</v>
      </c>
      <c r="H80" s="19" t="s">
        <v>99</v>
      </c>
      <c r="I80" s="25">
        <v>45398</v>
      </c>
      <c r="J80" s="88">
        <v>20000</v>
      </c>
      <c r="K80" s="19"/>
      <c r="L80" s="19" t="s">
        <v>322</v>
      </c>
      <c r="M80" s="19" t="s">
        <v>428</v>
      </c>
      <c r="N80" s="21" t="s">
        <v>46</v>
      </c>
      <c r="O80" s="72">
        <v>31363</v>
      </c>
      <c r="P80" s="20" t="s">
        <v>88</v>
      </c>
      <c r="Q80" s="20" t="s">
        <v>160</v>
      </c>
      <c r="R80" s="20"/>
      <c r="S80" s="20"/>
      <c r="T80" s="50" t="str">
        <f>+IF($N80=[1]CURSOS!$D$3,[1]CURSOS!$E$3,(+IF($N80=[1]CURSOS!$D$4,[1]CURSOS!$E$4,(+IF($N80=[1]CURSOS!$D$5,[1]CURSOS!$E$5,(+IF($N80=[1]CURSOS!$D$6,[1]CURSOS!$E$6,(+IF($N80=[1]CURSOS!$D$7,[1]CURSOS!$E$7,(+IF($N80=[1]CURSOS!$D$8,[1]CURSOS!$E$8,(+IF($N80=[1]CURSOS!$D$9,[1]CURSOS!$E$9,(+IF($N80=[1]CURSOS!$D$10,[1]CURSOS!$E$10,(+IF($N80=[1]CURSOS!$D$11,[1]CURSOS!$E$11,(+IF($N80=[1]CURSOS!$D$12,[1]CURSOS!$E$12,(+IF($N80=[1]CURSOS!$D$13,[1]CURSOS!$E$13,(+IF($N80=[1]CURSOS!$D$14,[1]CURSOS!$E$14,(+IF($N80=[1]CURSOS!$D$15,[1]CURSOS!$E$15,(+IF($N80=[1]CURSOS!$D$16,[1]CURSOS!$E$16,(+IF($N80=[1]CURSOS!$D$17,[1]CURSOS!$E$17,(+IF($N80=[1]CURSOS!$D$18,[1]CURSOS!$E$18,(+IF($N80=[1]CURSOS!$D$19,[1]CURSOS!$E$19,(+IF($N80=[1]CURSOS!$D$20,[1]CURSOS!$E$20,(+IF($N80=[1]CURSOS!$D$21,[1]CURSOS!$E$21,(+IF($N80=[1]CURSOS!$D$22,[1]CURSOS!$E$22,(+IF($N80=[1]CURSOS!$D$23,[1]CURSOS!$E$23,(+IF($N80=[1]CURSOS!$D$24,[1]CURSOS!$E$24,(+IF($N80=[1]CURSOS!$D$25,[1]CURSOS!$E$25,(+IF($N80=[1]CURSOS!$D$26,[1]CURSOS!$E$26,(+IF($N80=[1]CURSOS!$D$27,[1]CURSOS!$E$27,(+IF($N80=[1]CURSOS!$D$28,[1]CURSOS!$E$28,(+IF($N80=[1]CURSOS!$D$29,[1]CURSOS!$E$29,(+IF($N80=[1]CURSOS!$D$30,[1]CURSOS!$E$30,(+IF($N80=[1]CURSOS!$D$31,[1]CURSOS!$E$31,(+IF($N80=[1]CURSOS!$D$32,[1]CURSOS!$E$32)))))))))))))))))))))))))))))))))))))))))))))))))))))))))))</f>
        <v xml:space="preserve">ATENCION A VICTIMAS DE VIOLENCIA SEXUAL </v>
      </c>
      <c r="U80" s="50" t="str">
        <f t="shared" ref="U80:U86" si="42">CONCATENATE(E80," ",F80," ",C80," ",D80)</f>
        <v>Victor Hugo Gonzales Rodriguez</v>
      </c>
      <c r="V80" s="50" t="str">
        <f t="shared" ref="V80:V86" si="43">+PROPER(U80)</f>
        <v>Victor Hugo Gonzales Rodriguez</v>
      </c>
      <c r="W80" s="50" t="str">
        <f t="shared" ref="W80:W86" si="44">CONCATENATE(U80,"-",B80,"-",N80)</f>
        <v>Victor Hugo Gonzales Rodriguez-1085246342-VIOLENCIA SEXUAL</v>
      </c>
    </row>
    <row r="81" spans="1:23" s="73" customFormat="1" x14ac:dyDescent="0.2">
      <c r="A81" s="20">
        <v>80</v>
      </c>
      <c r="B81" s="20">
        <v>1085246342</v>
      </c>
      <c r="C81" s="20" t="s">
        <v>319</v>
      </c>
      <c r="D81" s="20" t="s">
        <v>320</v>
      </c>
      <c r="E81" s="20" t="s">
        <v>321</v>
      </c>
      <c r="F81" s="20" t="s">
        <v>221</v>
      </c>
      <c r="G81" s="19">
        <v>8</v>
      </c>
      <c r="H81" s="19" t="s">
        <v>99</v>
      </c>
      <c r="I81" s="25">
        <v>45398</v>
      </c>
      <c r="J81" s="88">
        <v>40000</v>
      </c>
      <c r="K81" s="19"/>
      <c r="L81" s="19" t="s">
        <v>322</v>
      </c>
      <c r="M81" s="19" t="s">
        <v>428</v>
      </c>
      <c r="N81" s="21" t="s">
        <v>66</v>
      </c>
      <c r="O81" s="72">
        <v>31363</v>
      </c>
      <c r="P81" s="20" t="s">
        <v>88</v>
      </c>
      <c r="Q81" s="20" t="s">
        <v>160</v>
      </c>
      <c r="R81" s="20"/>
      <c r="S81" s="20"/>
      <c r="T81" s="50" t="str">
        <f>+IF($N81=[1]CURSOS!$D$3,[1]CURSOS!$E$3,(+IF($N81=[1]CURSOS!$D$4,[1]CURSOS!$E$4,(+IF($N81=[1]CURSOS!$D$5,[1]CURSOS!$E$5,(+IF($N81=[1]CURSOS!$D$6,[1]CURSOS!$E$6,(+IF($N81=[1]CURSOS!$D$7,[1]CURSOS!$E$7,(+IF($N81=[1]CURSOS!$D$8,[1]CURSOS!$E$8,(+IF($N81=[1]CURSOS!$D$9,[1]CURSOS!$E$9,(+IF($N81=[1]CURSOS!$D$10,[1]CURSOS!$E$10,(+IF($N81=[1]CURSOS!$D$11,[1]CURSOS!$E$11,(+IF($N81=[1]CURSOS!$D$12,[1]CURSOS!$E$12,(+IF($N81=[1]CURSOS!$D$13,[1]CURSOS!$E$13,(+IF($N81=[1]CURSOS!$D$14,[1]CURSOS!$E$14,(+IF($N81=[1]CURSOS!$D$15,[1]CURSOS!$E$15,(+IF($N81=[1]CURSOS!$D$16,[1]CURSOS!$E$16,(+IF($N81=[1]CURSOS!$D$17,[1]CURSOS!$E$17,(+IF($N81=[1]CURSOS!$D$18,[1]CURSOS!$E$18,(+IF($N81=[1]CURSOS!$D$19,[1]CURSOS!$E$19,(+IF($N81=[1]CURSOS!$D$20,[1]CURSOS!$E$20,(+IF($N81=[1]CURSOS!$D$21,[1]CURSOS!$E$21,(+IF($N81=[1]CURSOS!$D$22,[1]CURSOS!$E$22,(+IF($N81=[1]CURSOS!$D$23,[1]CURSOS!$E$23,(+IF($N81=[1]CURSOS!$D$24,[1]CURSOS!$E$24,(+IF($N81=[1]CURSOS!$D$25,[1]CURSOS!$E$25,(+IF($N81=[1]CURSOS!$D$26,[1]CURSOS!$E$26,(+IF($N81=[1]CURSOS!$D$27,[1]CURSOS!$E$27,(+IF($N81=[1]CURSOS!$D$28,[1]CURSOS!$E$28,(+IF($N81=[1]CURSOS!$D$29,[1]CURSOS!$E$29,(+IF($N81=[1]CURSOS!$D$30,[1]CURSOS!$E$30,(+IF($N81=[1]CURSOS!$D$31,[1]CURSOS!$E$31,(+IF($N81=[1]CURSOS!$D$32,[1]CURSOS!$E$32)))))))))))))))))))))))))))))))))))))))))))))))))))))))))))</f>
        <v>MANEJO DEL DOLOR Y CUIDADOS PALIATIVOS</v>
      </c>
      <c r="U81" s="50" t="str">
        <f t="shared" si="42"/>
        <v>Victor Hugo Gonzales Rodriguez</v>
      </c>
      <c r="V81" s="50" t="str">
        <f t="shared" si="43"/>
        <v>Victor Hugo Gonzales Rodriguez</v>
      </c>
      <c r="W81" s="50" t="str">
        <f t="shared" si="44"/>
        <v>Victor Hugo Gonzales Rodriguez-1085246342-PALIATIVOS</v>
      </c>
    </row>
    <row r="82" spans="1:23" s="73" customFormat="1" x14ac:dyDescent="0.2">
      <c r="A82" s="20">
        <v>81</v>
      </c>
      <c r="B82" s="20">
        <v>1085246342</v>
      </c>
      <c r="C82" s="20" t="s">
        <v>319</v>
      </c>
      <c r="D82" s="20" t="s">
        <v>320</v>
      </c>
      <c r="E82" s="20" t="s">
        <v>321</v>
      </c>
      <c r="F82" s="20" t="s">
        <v>221</v>
      </c>
      <c r="G82" s="19">
        <v>10</v>
      </c>
      <c r="H82" s="19" t="s">
        <v>99</v>
      </c>
      <c r="I82" s="25">
        <v>45398</v>
      </c>
      <c r="J82" s="88">
        <v>20000</v>
      </c>
      <c r="K82" s="19"/>
      <c r="L82" s="19" t="s">
        <v>322</v>
      </c>
      <c r="M82" s="19" t="s">
        <v>428</v>
      </c>
      <c r="N82" s="21" t="s">
        <v>27</v>
      </c>
      <c r="O82" s="72">
        <v>31363</v>
      </c>
      <c r="P82" s="20" t="s">
        <v>88</v>
      </c>
      <c r="Q82" s="20" t="s">
        <v>160</v>
      </c>
      <c r="R82" s="20"/>
      <c r="S82" s="20"/>
      <c r="T82" s="50" t="str">
        <f>+IF($N82=[1]CURSOS!$D$3,[1]CURSOS!$E$3,(+IF($N82=[1]CURSOS!$D$4,[1]CURSOS!$E$4,(+IF($N82=[1]CURSOS!$D$5,[1]CURSOS!$E$5,(+IF($N82=[1]CURSOS!$D$6,[1]CURSOS!$E$6,(+IF($N82=[1]CURSOS!$D$7,[1]CURSOS!$E$7,(+IF($N82=[1]CURSOS!$D$8,[1]CURSOS!$E$8,(+IF($N82=[1]CURSOS!$D$9,[1]CURSOS!$E$9,(+IF($N82=[1]CURSOS!$D$10,[1]CURSOS!$E$10,(+IF($N82=[1]CURSOS!$D$11,[1]CURSOS!$E$11,(+IF($N82=[1]CURSOS!$D$12,[1]CURSOS!$E$12,(+IF($N82=[1]CURSOS!$D$13,[1]CURSOS!$E$13,(+IF($N82=[1]CURSOS!$D$14,[1]CURSOS!$E$14,(+IF($N82=[1]CURSOS!$D$15,[1]CURSOS!$E$15,(+IF($N82=[1]CURSOS!$D$16,[1]CURSOS!$E$16,(+IF($N82=[1]CURSOS!$D$17,[1]CURSOS!$E$17,(+IF($N82=[1]CURSOS!$D$18,[1]CURSOS!$E$18,(+IF($N82=[1]CURSOS!$D$19,[1]CURSOS!$E$19,(+IF($N82=[1]CURSOS!$D$20,[1]CURSOS!$E$20,(+IF($N82=[1]CURSOS!$D$21,[1]CURSOS!$E$21,(+IF($N82=[1]CURSOS!$D$22,[1]CURSOS!$E$22,(+IF($N82=[1]CURSOS!$D$23,[1]CURSOS!$E$23,(+IF($N82=[1]CURSOS!$D$24,[1]CURSOS!$E$24,(+IF($N82=[1]CURSOS!$D$25,[1]CURSOS!$E$25,(+IF($N82=[1]CURSOS!$D$26,[1]CURSOS!$E$26,(+IF($N82=[1]CURSOS!$D$27,[1]CURSOS!$E$27,(+IF($N82=[1]CURSOS!$D$28,[1]CURSOS!$E$28,(+IF($N82=[1]CURSOS!$D$29,[1]CURSOS!$E$29,(+IF($N82=[1]CURSOS!$D$30,[1]CURSOS!$E$30,(+IF($N82=[1]CURSOS!$D$31,[1]CURSOS!$E$31,(+IF($N82=[1]CURSOS!$D$32,[1]CURSOS!$E$32)))))))))))))))))))))))))))))))))))))))))))))))))))))))))))</f>
        <v xml:space="preserve">PRIMEROS AUXILIOS </v>
      </c>
      <c r="U82" s="50" t="str">
        <f t="shared" si="42"/>
        <v>Victor Hugo Gonzales Rodriguez</v>
      </c>
      <c r="V82" s="50" t="str">
        <f t="shared" si="43"/>
        <v>Victor Hugo Gonzales Rodriguez</v>
      </c>
      <c r="W82" s="50" t="str">
        <f t="shared" si="44"/>
        <v>Victor Hugo Gonzales Rodriguez-1085246342-PRIMEROS AUXILIOS</v>
      </c>
    </row>
    <row r="83" spans="1:23" s="73" customFormat="1" x14ac:dyDescent="0.2">
      <c r="A83" s="20">
        <v>82</v>
      </c>
      <c r="B83" s="20">
        <v>1085262285</v>
      </c>
      <c r="C83" s="20" t="s">
        <v>151</v>
      </c>
      <c r="D83" s="20" t="s">
        <v>263</v>
      </c>
      <c r="E83" s="20" t="s">
        <v>324</v>
      </c>
      <c r="F83" s="20" t="s">
        <v>325</v>
      </c>
      <c r="G83" s="19">
        <v>8</v>
      </c>
      <c r="H83" s="19" t="s">
        <v>99</v>
      </c>
      <c r="I83" s="25">
        <v>45398</v>
      </c>
      <c r="J83" s="88">
        <v>20000</v>
      </c>
      <c r="K83" s="19"/>
      <c r="L83" s="19" t="s">
        <v>322</v>
      </c>
      <c r="M83" s="19" t="s">
        <v>428</v>
      </c>
      <c r="N83" s="21" t="s">
        <v>33</v>
      </c>
      <c r="O83" s="72">
        <v>31444</v>
      </c>
      <c r="P83" s="20" t="s">
        <v>78</v>
      </c>
      <c r="Q83" s="20" t="s">
        <v>160</v>
      </c>
      <c r="R83" s="20"/>
      <c r="S83" s="20"/>
      <c r="T83" s="50" t="str">
        <f>+IF($N83=[1]CURSOS!$D$3,[1]CURSOS!$E$3,(+IF($N83=[1]CURSOS!$D$4,[1]CURSOS!$E$4,(+IF($N83=[1]CURSOS!$D$5,[1]CURSOS!$E$5,(+IF($N83=[1]CURSOS!$D$6,[1]CURSOS!$E$6,(+IF($N83=[1]CURSOS!$D$7,[1]CURSOS!$E$7,(+IF($N83=[1]CURSOS!$D$8,[1]CURSOS!$E$8,(+IF($N83=[1]CURSOS!$D$9,[1]CURSOS!$E$9,(+IF($N83=[1]CURSOS!$D$10,[1]CURSOS!$E$10,(+IF($N83=[1]CURSOS!$D$11,[1]CURSOS!$E$11,(+IF($N83=[1]CURSOS!$D$12,[1]CURSOS!$E$12,(+IF($N83=[1]CURSOS!$D$13,[1]CURSOS!$E$13,(+IF($N83=[1]CURSOS!$D$14,[1]CURSOS!$E$14,(+IF($N83=[1]CURSOS!$D$15,[1]CURSOS!$E$15,(+IF($N83=[1]CURSOS!$D$16,[1]CURSOS!$E$16,(+IF($N83=[1]CURSOS!$D$17,[1]CURSOS!$E$17,(+IF($N83=[1]CURSOS!$D$18,[1]CURSOS!$E$18,(+IF($N83=[1]CURSOS!$D$19,[1]CURSOS!$E$19,(+IF($N83=[1]CURSOS!$D$20,[1]CURSOS!$E$20,(+IF($N83=[1]CURSOS!$D$21,[1]CURSOS!$E$21,(+IF($N83=[1]CURSOS!$D$22,[1]CURSOS!$E$22,(+IF($N83=[1]CURSOS!$D$23,[1]CURSOS!$E$23,(+IF($N83=[1]CURSOS!$D$24,[1]CURSOS!$E$24,(+IF($N83=[1]CURSOS!$D$25,[1]CURSOS!$E$25,(+IF($N83=[1]CURSOS!$D$26,[1]CURSOS!$E$26,(+IF($N83=[1]CURSOS!$D$27,[1]CURSOS!$E$27,(+IF($N83=[1]CURSOS!$D$28,[1]CURSOS!$E$28,(+IF($N83=[1]CURSOS!$D$29,[1]CURSOS!$E$29,(+IF($N83=[1]CURSOS!$D$30,[1]CURSOS!$E$30,(+IF($N83=[1]CURSOS!$D$31,[1]CURSOS!$E$31,(+IF($N83=[1]CURSOS!$D$32,[1]CURSOS!$E$32)))))))))))))))))))))))))))))))))))))))))))))))))))))))))))</f>
        <v xml:space="preserve">HUMANIZACION EN SALUD, BUENAS PRACTICAS EN PACIENTE </v>
      </c>
      <c r="U83" s="50" t="str">
        <f t="shared" si="42"/>
        <v>Ginna Nathaly Cordoba Martinez</v>
      </c>
      <c r="V83" s="50" t="str">
        <f t="shared" si="43"/>
        <v>Ginna Nathaly Cordoba Martinez</v>
      </c>
      <c r="W83" s="50" t="str">
        <f t="shared" si="44"/>
        <v>Ginna Nathaly Cordoba Martinez-1085262285-HUMANIZACION</v>
      </c>
    </row>
    <row r="84" spans="1:23" s="73" customFormat="1" x14ac:dyDescent="0.2">
      <c r="A84" s="20">
        <v>83</v>
      </c>
      <c r="B84" s="20">
        <v>27089753</v>
      </c>
      <c r="C84" s="20" t="s">
        <v>326</v>
      </c>
      <c r="D84" s="20"/>
      <c r="E84" s="20" t="s">
        <v>327</v>
      </c>
      <c r="F84" s="20" t="s">
        <v>194</v>
      </c>
      <c r="G84" s="19">
        <v>8</v>
      </c>
      <c r="H84" s="19" t="s">
        <v>99</v>
      </c>
      <c r="I84" s="25">
        <v>45398</v>
      </c>
      <c r="J84" s="88">
        <v>20000</v>
      </c>
      <c r="K84" s="19"/>
      <c r="L84" s="19" t="s">
        <v>322</v>
      </c>
      <c r="M84" s="19" t="s">
        <v>428</v>
      </c>
      <c r="N84" s="21" t="s">
        <v>33</v>
      </c>
      <c r="O84" s="77">
        <v>29044</v>
      </c>
      <c r="P84" s="20" t="s">
        <v>78</v>
      </c>
      <c r="Q84" s="20" t="s">
        <v>160</v>
      </c>
      <c r="R84" s="20"/>
      <c r="S84" s="20"/>
      <c r="T84" s="50" t="str">
        <f>+IF($N84=[1]CURSOS!$D$3,[1]CURSOS!$E$3,(+IF($N84=[1]CURSOS!$D$4,[1]CURSOS!$E$4,(+IF($N84=[1]CURSOS!$D$5,[1]CURSOS!$E$5,(+IF($N84=[1]CURSOS!$D$6,[1]CURSOS!$E$6,(+IF($N84=[1]CURSOS!$D$7,[1]CURSOS!$E$7,(+IF($N84=[1]CURSOS!$D$8,[1]CURSOS!$E$8,(+IF($N84=[1]CURSOS!$D$9,[1]CURSOS!$E$9,(+IF($N84=[1]CURSOS!$D$10,[1]CURSOS!$E$10,(+IF($N84=[1]CURSOS!$D$11,[1]CURSOS!$E$11,(+IF($N84=[1]CURSOS!$D$12,[1]CURSOS!$E$12,(+IF($N84=[1]CURSOS!$D$13,[1]CURSOS!$E$13,(+IF($N84=[1]CURSOS!$D$14,[1]CURSOS!$E$14,(+IF($N84=[1]CURSOS!$D$15,[1]CURSOS!$E$15,(+IF($N84=[1]CURSOS!$D$16,[1]CURSOS!$E$16,(+IF($N84=[1]CURSOS!$D$17,[1]CURSOS!$E$17,(+IF($N84=[1]CURSOS!$D$18,[1]CURSOS!$E$18,(+IF($N84=[1]CURSOS!$D$19,[1]CURSOS!$E$19,(+IF($N84=[1]CURSOS!$D$20,[1]CURSOS!$E$20,(+IF($N84=[1]CURSOS!$D$21,[1]CURSOS!$E$21,(+IF($N84=[1]CURSOS!$D$22,[1]CURSOS!$E$22,(+IF($N84=[1]CURSOS!$D$23,[1]CURSOS!$E$23,(+IF($N84=[1]CURSOS!$D$24,[1]CURSOS!$E$24,(+IF($N84=[1]CURSOS!$D$25,[1]CURSOS!$E$25,(+IF($N84=[1]CURSOS!$D$26,[1]CURSOS!$E$26,(+IF($N84=[1]CURSOS!$D$27,[1]CURSOS!$E$27,(+IF($N84=[1]CURSOS!$D$28,[1]CURSOS!$E$28,(+IF($N84=[1]CURSOS!$D$29,[1]CURSOS!$E$29,(+IF($N84=[1]CURSOS!$D$30,[1]CURSOS!$E$30,(+IF($N84=[1]CURSOS!$D$31,[1]CURSOS!$E$31,(+IF($N84=[1]CURSOS!$D$32,[1]CURSOS!$E$32)))))))))))))))))))))))))))))))))))))))))))))))))))))))))))</f>
        <v xml:space="preserve">HUMANIZACION EN SALUD, BUENAS PRACTICAS EN PACIENTE </v>
      </c>
      <c r="U84" s="50" t="str">
        <f t="shared" si="42"/>
        <v xml:space="preserve">Soledad Andrea Cauchanez </v>
      </c>
      <c r="V84" s="50" t="str">
        <f t="shared" si="43"/>
        <v xml:space="preserve">Soledad Andrea Cauchanez </v>
      </c>
      <c r="W84" s="50" t="str">
        <f t="shared" si="44"/>
        <v>Soledad Andrea Cauchanez -27089753-HUMANIZACION</v>
      </c>
    </row>
    <row r="85" spans="1:23" s="73" customFormat="1" x14ac:dyDescent="0.2">
      <c r="A85" s="20">
        <v>84</v>
      </c>
      <c r="B85" s="20">
        <v>30734792</v>
      </c>
      <c r="C85" s="20" t="s">
        <v>328</v>
      </c>
      <c r="D85" s="20" t="s">
        <v>170</v>
      </c>
      <c r="E85" s="20" t="s">
        <v>329</v>
      </c>
      <c r="F85" s="20" t="s">
        <v>330</v>
      </c>
      <c r="G85" s="19">
        <v>8</v>
      </c>
      <c r="H85" s="19" t="s">
        <v>99</v>
      </c>
      <c r="I85" s="25">
        <v>45398</v>
      </c>
      <c r="J85" s="88">
        <v>20000</v>
      </c>
      <c r="K85" s="19"/>
      <c r="L85" s="19" t="s">
        <v>322</v>
      </c>
      <c r="M85" s="19" t="s">
        <v>428</v>
      </c>
      <c r="N85" s="21" t="s">
        <v>33</v>
      </c>
      <c r="O85" s="77">
        <v>25429</v>
      </c>
      <c r="P85" s="20" t="s">
        <v>78</v>
      </c>
      <c r="Q85" s="20" t="s">
        <v>160</v>
      </c>
      <c r="R85" s="20"/>
      <c r="S85" s="20"/>
      <c r="T85" s="50" t="str">
        <f>+IF($N85=[1]CURSOS!$D$3,[1]CURSOS!$E$3,(+IF($N85=[1]CURSOS!$D$4,[1]CURSOS!$E$4,(+IF($N85=[1]CURSOS!$D$5,[1]CURSOS!$E$5,(+IF($N85=[1]CURSOS!$D$6,[1]CURSOS!$E$6,(+IF($N85=[1]CURSOS!$D$7,[1]CURSOS!$E$7,(+IF($N85=[1]CURSOS!$D$8,[1]CURSOS!$E$8,(+IF($N85=[1]CURSOS!$D$9,[1]CURSOS!$E$9,(+IF($N85=[1]CURSOS!$D$10,[1]CURSOS!$E$10,(+IF($N85=[1]CURSOS!$D$11,[1]CURSOS!$E$11,(+IF($N85=[1]CURSOS!$D$12,[1]CURSOS!$E$12,(+IF($N85=[1]CURSOS!$D$13,[1]CURSOS!$E$13,(+IF($N85=[1]CURSOS!$D$14,[1]CURSOS!$E$14,(+IF($N85=[1]CURSOS!$D$15,[1]CURSOS!$E$15,(+IF($N85=[1]CURSOS!$D$16,[1]CURSOS!$E$16,(+IF($N85=[1]CURSOS!$D$17,[1]CURSOS!$E$17,(+IF($N85=[1]CURSOS!$D$18,[1]CURSOS!$E$18,(+IF($N85=[1]CURSOS!$D$19,[1]CURSOS!$E$19,(+IF($N85=[1]CURSOS!$D$20,[1]CURSOS!$E$20,(+IF($N85=[1]CURSOS!$D$21,[1]CURSOS!$E$21,(+IF($N85=[1]CURSOS!$D$22,[1]CURSOS!$E$22,(+IF($N85=[1]CURSOS!$D$23,[1]CURSOS!$E$23,(+IF($N85=[1]CURSOS!$D$24,[1]CURSOS!$E$24,(+IF($N85=[1]CURSOS!$D$25,[1]CURSOS!$E$25,(+IF($N85=[1]CURSOS!$D$26,[1]CURSOS!$E$26,(+IF($N85=[1]CURSOS!$D$27,[1]CURSOS!$E$27,(+IF($N85=[1]CURSOS!$D$28,[1]CURSOS!$E$28,(+IF($N85=[1]CURSOS!$D$29,[1]CURSOS!$E$29,(+IF($N85=[1]CURSOS!$D$30,[1]CURSOS!$E$30,(+IF($N85=[1]CURSOS!$D$31,[1]CURSOS!$E$31,(+IF($N85=[1]CURSOS!$D$32,[1]CURSOS!$E$32)))))))))))))))))))))))))))))))))))))))))))))))))))))))))))</f>
        <v xml:space="preserve">HUMANIZACION EN SALUD, BUENAS PRACTICAS EN PACIENTE </v>
      </c>
      <c r="U85" s="50" t="str">
        <f t="shared" si="42"/>
        <v>Mila Mireyra Yandar Bastidas</v>
      </c>
      <c r="V85" s="50" t="str">
        <f t="shared" si="43"/>
        <v>Mila Mireyra Yandar Bastidas</v>
      </c>
      <c r="W85" s="50" t="str">
        <f t="shared" si="44"/>
        <v>Mila Mireyra Yandar Bastidas-30734792-HUMANIZACION</v>
      </c>
    </row>
    <row r="86" spans="1:23" s="73" customFormat="1" x14ac:dyDescent="0.2">
      <c r="A86" s="20">
        <v>85</v>
      </c>
      <c r="B86" s="20">
        <v>59818169</v>
      </c>
      <c r="C86" s="20" t="s">
        <v>234</v>
      </c>
      <c r="D86" s="20" t="s">
        <v>180</v>
      </c>
      <c r="E86" s="20" t="s">
        <v>308</v>
      </c>
      <c r="F86" s="20" t="s">
        <v>331</v>
      </c>
      <c r="G86" s="19">
        <v>8</v>
      </c>
      <c r="H86" s="19" t="s">
        <v>99</v>
      </c>
      <c r="I86" s="25">
        <v>45398</v>
      </c>
      <c r="J86" s="88">
        <v>20000</v>
      </c>
      <c r="K86" s="19"/>
      <c r="L86" s="19" t="s">
        <v>322</v>
      </c>
      <c r="M86" s="19" t="s">
        <v>428</v>
      </c>
      <c r="N86" s="21" t="s">
        <v>33</v>
      </c>
      <c r="O86" s="29" t="s">
        <v>323</v>
      </c>
      <c r="P86" s="20" t="s">
        <v>78</v>
      </c>
      <c r="Q86" s="20" t="s">
        <v>160</v>
      </c>
      <c r="R86" s="20"/>
      <c r="S86" s="20"/>
      <c r="T86" s="50" t="str">
        <f>+IF($N86=[1]CURSOS!$D$3,[1]CURSOS!$E$3,(+IF($N86=[1]CURSOS!$D$4,[1]CURSOS!$E$4,(+IF($N86=[1]CURSOS!$D$5,[1]CURSOS!$E$5,(+IF($N86=[1]CURSOS!$D$6,[1]CURSOS!$E$6,(+IF($N86=[1]CURSOS!$D$7,[1]CURSOS!$E$7,(+IF($N86=[1]CURSOS!$D$8,[1]CURSOS!$E$8,(+IF($N86=[1]CURSOS!$D$9,[1]CURSOS!$E$9,(+IF($N86=[1]CURSOS!$D$10,[1]CURSOS!$E$10,(+IF($N86=[1]CURSOS!$D$11,[1]CURSOS!$E$11,(+IF($N86=[1]CURSOS!$D$12,[1]CURSOS!$E$12,(+IF($N86=[1]CURSOS!$D$13,[1]CURSOS!$E$13,(+IF($N86=[1]CURSOS!$D$14,[1]CURSOS!$E$14,(+IF($N86=[1]CURSOS!$D$15,[1]CURSOS!$E$15,(+IF($N86=[1]CURSOS!$D$16,[1]CURSOS!$E$16,(+IF($N86=[1]CURSOS!$D$17,[1]CURSOS!$E$17,(+IF($N86=[1]CURSOS!$D$18,[1]CURSOS!$E$18,(+IF($N86=[1]CURSOS!$D$19,[1]CURSOS!$E$19,(+IF($N86=[1]CURSOS!$D$20,[1]CURSOS!$E$20,(+IF($N86=[1]CURSOS!$D$21,[1]CURSOS!$E$21,(+IF($N86=[1]CURSOS!$D$22,[1]CURSOS!$E$22,(+IF($N86=[1]CURSOS!$D$23,[1]CURSOS!$E$23,(+IF($N86=[1]CURSOS!$D$24,[1]CURSOS!$E$24,(+IF($N86=[1]CURSOS!$D$25,[1]CURSOS!$E$25,(+IF($N86=[1]CURSOS!$D$26,[1]CURSOS!$E$26,(+IF($N86=[1]CURSOS!$D$27,[1]CURSOS!$E$27,(+IF($N86=[1]CURSOS!$D$28,[1]CURSOS!$E$28,(+IF($N86=[1]CURSOS!$D$29,[1]CURSOS!$E$29,(+IF($N86=[1]CURSOS!$D$30,[1]CURSOS!$E$30,(+IF($N86=[1]CURSOS!$D$31,[1]CURSOS!$E$31,(+IF($N86=[1]CURSOS!$D$32,[1]CURSOS!$E$32)))))))))))))))))))))))))))))))))))))))))))))))))))))))))))</f>
        <v xml:space="preserve">HUMANIZACION EN SALUD, BUENAS PRACTICAS EN PACIENTE </v>
      </c>
      <c r="U86" s="50" t="str">
        <f t="shared" si="42"/>
        <v>Nancy Marisol Mora Delgado</v>
      </c>
      <c r="V86" s="50" t="str">
        <f t="shared" si="43"/>
        <v>Nancy Marisol Mora Delgado</v>
      </c>
      <c r="W86" s="50" t="str">
        <f t="shared" si="44"/>
        <v>Nancy Marisol Mora Delgado-59818169-HUMANIZACION</v>
      </c>
    </row>
    <row r="87" spans="1:23" s="73" customFormat="1" x14ac:dyDescent="0.2">
      <c r="A87" s="20">
        <v>86</v>
      </c>
      <c r="B87" s="20">
        <v>27533331</v>
      </c>
      <c r="C87" s="20" t="s">
        <v>263</v>
      </c>
      <c r="D87" s="20" t="s">
        <v>332</v>
      </c>
      <c r="E87" s="20" t="s">
        <v>334</v>
      </c>
      <c r="F87" s="20" t="s">
        <v>333</v>
      </c>
      <c r="G87" s="19">
        <v>9</v>
      </c>
      <c r="H87" s="19" t="s">
        <v>99</v>
      </c>
      <c r="I87" s="25"/>
      <c r="J87" s="98">
        <v>80000</v>
      </c>
      <c r="K87" s="116" t="s">
        <v>82</v>
      </c>
      <c r="L87" s="19" t="s">
        <v>322</v>
      </c>
      <c r="M87" s="19" t="s">
        <v>77</v>
      </c>
      <c r="N87" s="21" t="s">
        <v>39</v>
      </c>
      <c r="O87" s="72" t="s">
        <v>337</v>
      </c>
      <c r="P87" s="20" t="s">
        <v>78</v>
      </c>
      <c r="Q87" s="20" t="s">
        <v>345</v>
      </c>
      <c r="R87" s="20"/>
      <c r="S87" s="20"/>
      <c r="T87" s="50" t="str">
        <f>+IF($N87=[1]CURSOS!$D$3,[1]CURSOS!$E$3,(+IF($N87=[1]CURSOS!$D$4,[1]CURSOS!$E$4,(+IF($N87=[1]CURSOS!$D$5,[1]CURSOS!$E$5,(+IF($N87=[1]CURSOS!$D$6,[1]CURSOS!$E$6,(+IF($N87=[1]CURSOS!$D$7,[1]CURSOS!$E$7,(+IF($N87=[1]CURSOS!$D$8,[1]CURSOS!$E$8,(+IF($N87=[1]CURSOS!$D$9,[1]CURSOS!$E$9,(+IF($N87=[1]CURSOS!$D$10,[1]CURSOS!$E$10,(+IF($N87=[1]CURSOS!$D$11,[1]CURSOS!$E$11,(+IF($N87=[1]CURSOS!$D$12,[1]CURSOS!$E$12,(+IF($N87=[1]CURSOS!$D$13,[1]CURSOS!$E$13,(+IF($N87=[1]CURSOS!$D$14,[1]CURSOS!$E$14,(+IF($N87=[1]CURSOS!$D$15,[1]CURSOS!$E$15,(+IF($N87=[1]CURSOS!$D$16,[1]CURSOS!$E$16,(+IF($N87=[1]CURSOS!$D$17,[1]CURSOS!$E$17,(+IF($N87=[1]CURSOS!$D$18,[1]CURSOS!$E$18,(+IF($N87=[1]CURSOS!$D$19,[1]CURSOS!$E$19,(+IF($N87=[1]CURSOS!$D$20,[1]CURSOS!$E$20,(+IF($N87=[1]CURSOS!$D$21,[1]CURSOS!$E$21,(+IF($N87=[1]CURSOS!$D$22,[1]CURSOS!$E$22,(+IF($N87=[1]CURSOS!$D$23,[1]CURSOS!$E$23,(+IF($N87=[1]CURSOS!$D$24,[1]CURSOS!$E$24,(+IF($N87=[1]CURSOS!$D$25,[1]CURSOS!$E$25,(+IF($N87=[1]CURSOS!$D$26,[1]CURSOS!$E$26,(+IF($N87=[1]CURSOS!$D$27,[1]CURSOS!$E$27,(+IF($N87=[1]CURSOS!$D$28,[1]CURSOS!$E$28,(+IF($N87=[1]CURSOS!$D$29,[1]CURSOS!$E$29,(+IF($N87=[1]CURSOS!$D$30,[1]CURSOS!$E$30,(+IF($N87=[1]CURSOS!$D$31,[1]CURSOS!$E$31,(+IF($N87=[1]CURSOS!$D$32,[1]CURSOS!$E$32)))))))))))))))))))))))))))))))))))))))))))))))))))))))))))</f>
        <v xml:space="preserve">SOPORTE CARDIOVASCULAR AVANZADO </v>
      </c>
      <c r="U87" s="50" t="str">
        <f t="shared" ref="U87:U90" si="45">CONCATENATE(E87," ",F87," ",C87," ",D87)</f>
        <v>María Fanny Martinez Cabrera</v>
      </c>
      <c r="V87" s="50" t="str">
        <f t="shared" ref="V87:V90" si="46">+PROPER(U87)</f>
        <v>María Fanny Martinez Cabrera</v>
      </c>
      <c r="W87" s="50" t="str">
        <f t="shared" ref="W87:W90" si="47">CONCATENATE(U87,"-",B87,"-",N87)</f>
        <v>María Fanny Martinez Cabrera-27533331-ACLS</v>
      </c>
    </row>
    <row r="88" spans="1:23" s="73" customFormat="1" x14ac:dyDescent="0.2">
      <c r="A88" s="20">
        <v>87</v>
      </c>
      <c r="B88" s="20">
        <v>27533331</v>
      </c>
      <c r="C88" s="20" t="s">
        <v>263</v>
      </c>
      <c r="D88" s="20" t="s">
        <v>332</v>
      </c>
      <c r="E88" s="20" t="s">
        <v>334</v>
      </c>
      <c r="F88" s="20" t="s">
        <v>333</v>
      </c>
      <c r="G88" s="19">
        <v>9</v>
      </c>
      <c r="H88" s="19" t="s">
        <v>99</v>
      </c>
      <c r="I88" s="25"/>
      <c r="J88" s="98">
        <v>30000</v>
      </c>
      <c r="K88" s="116" t="s">
        <v>368</v>
      </c>
      <c r="L88" s="19" t="s">
        <v>322</v>
      </c>
      <c r="M88" s="19" t="s">
        <v>77</v>
      </c>
      <c r="N88" s="21" t="s">
        <v>19</v>
      </c>
      <c r="O88" s="72" t="s">
        <v>337</v>
      </c>
      <c r="P88" s="20" t="s">
        <v>78</v>
      </c>
      <c r="Q88" s="20" t="s">
        <v>345</v>
      </c>
      <c r="R88" s="20"/>
      <c r="S88" s="20"/>
      <c r="T88" s="50" t="str">
        <f>+IF($N88=[1]CURSOS!$D$3,[1]CURSOS!$E$3,(+IF($N88=[1]CURSOS!$D$4,[1]CURSOS!$E$4,(+IF($N88=[1]CURSOS!$D$5,[1]CURSOS!$E$5,(+IF($N88=[1]CURSOS!$D$6,[1]CURSOS!$E$6,(+IF($N88=[1]CURSOS!$D$7,[1]CURSOS!$E$7,(+IF($N88=[1]CURSOS!$D$8,[1]CURSOS!$E$8,(+IF($N88=[1]CURSOS!$D$9,[1]CURSOS!$E$9,(+IF($N88=[1]CURSOS!$D$10,[1]CURSOS!$E$10,(+IF($N88=[1]CURSOS!$D$11,[1]CURSOS!$E$11,(+IF($N88=[1]CURSOS!$D$12,[1]CURSOS!$E$12,(+IF($N88=[1]CURSOS!$D$13,[1]CURSOS!$E$13,(+IF($N88=[1]CURSOS!$D$14,[1]CURSOS!$E$14,(+IF($N88=[1]CURSOS!$D$15,[1]CURSOS!$E$15,(+IF($N88=[1]CURSOS!$D$16,[1]CURSOS!$E$16,(+IF($N88=[1]CURSOS!$D$17,[1]CURSOS!$E$17,(+IF($N88=[1]CURSOS!$D$18,[1]CURSOS!$E$18,(+IF($N88=[1]CURSOS!$D$19,[1]CURSOS!$E$19,(+IF($N88=[1]CURSOS!$D$20,[1]CURSOS!$E$20,(+IF($N88=[1]CURSOS!$D$21,[1]CURSOS!$E$21,(+IF($N88=[1]CURSOS!$D$22,[1]CURSOS!$E$22,(+IF($N88=[1]CURSOS!$D$23,[1]CURSOS!$E$23,(+IF($N88=[1]CURSOS!$D$24,[1]CURSOS!$E$24,(+IF($N88=[1]CURSOS!$D$25,[1]CURSOS!$E$25,(+IF($N88=[1]CURSOS!$D$26,[1]CURSOS!$E$26,(+IF($N88=[1]CURSOS!$D$27,[1]CURSOS!$E$27,(+IF($N88=[1]CURSOS!$D$28,[1]CURSOS!$E$28,(+IF($N88=[1]CURSOS!$D$29,[1]CURSOS!$E$29,(+IF($N88=[1]CURSOS!$D$30,[1]CURSOS!$E$30,(+IF($N88=[1]CURSOS!$D$31,[1]CURSOS!$E$31,(+IF($N88=[1]CURSOS!$D$32,[1]CURSOS!$E$32)))))))))))))))))))))))))))))))))))))))))))))))))))))))))))</f>
        <v>SOPORTE VITAL BASICO (BLS)</v>
      </c>
      <c r="U88" s="50" t="str">
        <f t="shared" si="45"/>
        <v>María Fanny Martinez Cabrera</v>
      </c>
      <c r="V88" s="50" t="str">
        <f t="shared" si="46"/>
        <v>María Fanny Martinez Cabrera</v>
      </c>
      <c r="W88" s="50" t="str">
        <f t="shared" si="47"/>
        <v>María Fanny Martinez Cabrera-27533331-BLS</v>
      </c>
    </row>
    <row r="89" spans="1:23" s="73" customFormat="1" x14ac:dyDescent="0.2">
      <c r="A89" s="20">
        <v>88</v>
      </c>
      <c r="B89" s="20">
        <v>34316741</v>
      </c>
      <c r="C89" s="20" t="s">
        <v>87</v>
      </c>
      <c r="D89" s="20" t="s">
        <v>186</v>
      </c>
      <c r="E89" s="20" t="s">
        <v>335</v>
      </c>
      <c r="F89" s="20" t="s">
        <v>336</v>
      </c>
      <c r="G89" s="19">
        <v>9</v>
      </c>
      <c r="H89" s="19" t="s">
        <v>99</v>
      </c>
      <c r="I89" s="25"/>
      <c r="J89" s="98">
        <v>80000</v>
      </c>
      <c r="K89" s="116" t="s">
        <v>292</v>
      </c>
      <c r="L89" s="19" t="s">
        <v>322</v>
      </c>
      <c r="M89" s="19" t="s">
        <v>77</v>
      </c>
      <c r="N89" s="21" t="s">
        <v>39</v>
      </c>
      <c r="O89" s="72">
        <v>30025</v>
      </c>
      <c r="P89" s="20" t="s">
        <v>78</v>
      </c>
      <c r="Q89" s="20" t="s">
        <v>345</v>
      </c>
      <c r="R89" s="20"/>
      <c r="S89" s="20"/>
      <c r="T89" s="50" t="str">
        <f>+IF($N89=[1]CURSOS!$D$3,[1]CURSOS!$E$3,(+IF($N89=[1]CURSOS!$D$4,[1]CURSOS!$E$4,(+IF($N89=[1]CURSOS!$D$5,[1]CURSOS!$E$5,(+IF($N89=[1]CURSOS!$D$6,[1]CURSOS!$E$6,(+IF($N89=[1]CURSOS!$D$7,[1]CURSOS!$E$7,(+IF($N89=[1]CURSOS!$D$8,[1]CURSOS!$E$8,(+IF($N89=[1]CURSOS!$D$9,[1]CURSOS!$E$9,(+IF($N89=[1]CURSOS!$D$10,[1]CURSOS!$E$10,(+IF($N89=[1]CURSOS!$D$11,[1]CURSOS!$E$11,(+IF($N89=[1]CURSOS!$D$12,[1]CURSOS!$E$12,(+IF($N89=[1]CURSOS!$D$13,[1]CURSOS!$E$13,(+IF($N89=[1]CURSOS!$D$14,[1]CURSOS!$E$14,(+IF($N89=[1]CURSOS!$D$15,[1]CURSOS!$E$15,(+IF($N89=[1]CURSOS!$D$16,[1]CURSOS!$E$16,(+IF($N89=[1]CURSOS!$D$17,[1]CURSOS!$E$17,(+IF($N89=[1]CURSOS!$D$18,[1]CURSOS!$E$18,(+IF($N89=[1]CURSOS!$D$19,[1]CURSOS!$E$19,(+IF($N89=[1]CURSOS!$D$20,[1]CURSOS!$E$20,(+IF($N89=[1]CURSOS!$D$21,[1]CURSOS!$E$21,(+IF($N89=[1]CURSOS!$D$22,[1]CURSOS!$E$22,(+IF($N89=[1]CURSOS!$D$23,[1]CURSOS!$E$23,(+IF($N89=[1]CURSOS!$D$24,[1]CURSOS!$E$24,(+IF($N89=[1]CURSOS!$D$25,[1]CURSOS!$E$25,(+IF($N89=[1]CURSOS!$D$26,[1]CURSOS!$E$26,(+IF($N89=[1]CURSOS!$D$27,[1]CURSOS!$E$27,(+IF($N89=[1]CURSOS!$D$28,[1]CURSOS!$E$28,(+IF($N89=[1]CURSOS!$D$29,[1]CURSOS!$E$29,(+IF($N89=[1]CURSOS!$D$30,[1]CURSOS!$E$30,(+IF($N89=[1]CURSOS!$D$31,[1]CURSOS!$E$31,(+IF($N89=[1]CURSOS!$D$32,[1]CURSOS!$E$32)))))))))))))))))))))))))))))))))))))))))))))))))))))))))))</f>
        <v xml:space="preserve">SOPORTE CARDIOVASCULAR AVANZADO </v>
      </c>
      <c r="U89" s="50" t="str">
        <f t="shared" si="45"/>
        <v>Erica Lorena Lopez Rosero</v>
      </c>
      <c r="V89" s="50" t="str">
        <f t="shared" si="46"/>
        <v>Erica Lorena Lopez Rosero</v>
      </c>
      <c r="W89" s="50" t="str">
        <f t="shared" si="47"/>
        <v>Erica Lorena Lopez Rosero-34316741-ACLS</v>
      </c>
    </row>
    <row r="90" spans="1:23" s="73" customFormat="1" x14ac:dyDescent="0.2">
      <c r="A90" s="20">
        <v>89</v>
      </c>
      <c r="B90" s="20">
        <v>34316741</v>
      </c>
      <c r="C90" s="20" t="s">
        <v>87</v>
      </c>
      <c r="D90" s="20" t="s">
        <v>186</v>
      </c>
      <c r="E90" s="20" t="s">
        <v>335</v>
      </c>
      <c r="F90" s="20" t="s">
        <v>336</v>
      </c>
      <c r="G90" s="19">
        <v>9</v>
      </c>
      <c r="H90" s="19" t="s">
        <v>99</v>
      </c>
      <c r="I90" s="25"/>
      <c r="J90" s="98">
        <v>30000</v>
      </c>
      <c r="K90" s="116" t="s">
        <v>368</v>
      </c>
      <c r="L90" s="19" t="s">
        <v>322</v>
      </c>
      <c r="M90" s="19" t="s">
        <v>77</v>
      </c>
      <c r="N90" s="21" t="s">
        <v>19</v>
      </c>
      <c r="O90" s="72">
        <v>30025</v>
      </c>
      <c r="P90" s="20" t="s">
        <v>78</v>
      </c>
      <c r="Q90" s="20" t="s">
        <v>345</v>
      </c>
      <c r="R90" s="20"/>
      <c r="S90" s="20"/>
      <c r="T90" s="50" t="str">
        <f>+IF($N90=[1]CURSOS!$D$3,[1]CURSOS!$E$3,(+IF($N90=[1]CURSOS!$D$4,[1]CURSOS!$E$4,(+IF($N90=[1]CURSOS!$D$5,[1]CURSOS!$E$5,(+IF($N90=[1]CURSOS!$D$6,[1]CURSOS!$E$6,(+IF($N90=[1]CURSOS!$D$7,[1]CURSOS!$E$7,(+IF($N90=[1]CURSOS!$D$8,[1]CURSOS!$E$8,(+IF($N90=[1]CURSOS!$D$9,[1]CURSOS!$E$9,(+IF($N90=[1]CURSOS!$D$10,[1]CURSOS!$E$10,(+IF($N90=[1]CURSOS!$D$11,[1]CURSOS!$E$11,(+IF($N90=[1]CURSOS!$D$12,[1]CURSOS!$E$12,(+IF($N90=[1]CURSOS!$D$13,[1]CURSOS!$E$13,(+IF($N90=[1]CURSOS!$D$14,[1]CURSOS!$E$14,(+IF($N90=[1]CURSOS!$D$15,[1]CURSOS!$E$15,(+IF($N90=[1]CURSOS!$D$16,[1]CURSOS!$E$16,(+IF($N90=[1]CURSOS!$D$17,[1]CURSOS!$E$17,(+IF($N90=[1]CURSOS!$D$18,[1]CURSOS!$E$18,(+IF($N90=[1]CURSOS!$D$19,[1]CURSOS!$E$19,(+IF($N90=[1]CURSOS!$D$20,[1]CURSOS!$E$20,(+IF($N90=[1]CURSOS!$D$21,[1]CURSOS!$E$21,(+IF($N90=[1]CURSOS!$D$22,[1]CURSOS!$E$22,(+IF($N90=[1]CURSOS!$D$23,[1]CURSOS!$E$23,(+IF($N90=[1]CURSOS!$D$24,[1]CURSOS!$E$24,(+IF($N90=[1]CURSOS!$D$25,[1]CURSOS!$E$25,(+IF($N90=[1]CURSOS!$D$26,[1]CURSOS!$E$26,(+IF($N90=[1]CURSOS!$D$27,[1]CURSOS!$E$27,(+IF($N90=[1]CURSOS!$D$28,[1]CURSOS!$E$28,(+IF($N90=[1]CURSOS!$D$29,[1]CURSOS!$E$29,(+IF($N90=[1]CURSOS!$D$30,[1]CURSOS!$E$30,(+IF($N90=[1]CURSOS!$D$31,[1]CURSOS!$E$31,(+IF($N90=[1]CURSOS!$D$32,[1]CURSOS!$E$32)))))))))))))))))))))))))))))))))))))))))))))))))))))))))))</f>
        <v>SOPORTE VITAL BASICO (BLS)</v>
      </c>
      <c r="U90" s="50" t="str">
        <f t="shared" si="45"/>
        <v>Erica Lorena Lopez Rosero</v>
      </c>
      <c r="V90" s="50" t="str">
        <f t="shared" si="46"/>
        <v>Erica Lorena Lopez Rosero</v>
      </c>
      <c r="W90" s="50" t="str">
        <f t="shared" si="47"/>
        <v>Erica Lorena Lopez Rosero-34316741-BLS</v>
      </c>
    </row>
    <row r="91" spans="1:23" s="73" customFormat="1" x14ac:dyDescent="0.2">
      <c r="A91" s="20">
        <v>90</v>
      </c>
      <c r="B91" s="20">
        <v>1131085871</v>
      </c>
      <c r="C91" s="20" t="s">
        <v>342</v>
      </c>
      <c r="D91" s="20" t="s">
        <v>343</v>
      </c>
      <c r="E91" s="20" t="s">
        <v>267</v>
      </c>
      <c r="F91" s="20" t="s">
        <v>344</v>
      </c>
      <c r="G91" s="19">
        <v>9</v>
      </c>
      <c r="H91" s="19" t="s">
        <v>99</v>
      </c>
      <c r="I91" s="25">
        <v>45397</v>
      </c>
      <c r="J91" s="98">
        <v>30000</v>
      </c>
      <c r="K91" s="116" t="s">
        <v>82</v>
      </c>
      <c r="L91" s="19" t="s">
        <v>84</v>
      </c>
      <c r="M91" s="19" t="s">
        <v>173</v>
      </c>
      <c r="N91" s="21" t="s">
        <v>23</v>
      </c>
      <c r="O91" s="72"/>
      <c r="P91" s="20" t="s">
        <v>78</v>
      </c>
      <c r="Q91" s="20" t="s">
        <v>160</v>
      </c>
      <c r="R91" s="20"/>
      <c r="S91" s="20"/>
      <c r="T91" s="50" t="str">
        <f>+IF($N91=[1]CURSOS!$D$3,[1]CURSOS!$E$3,(+IF($N91=[1]CURSOS!$D$4,[1]CURSOS!$E$4,(+IF($N91=[1]CURSOS!$D$5,[1]CURSOS!$E$5,(+IF($N91=[1]CURSOS!$D$6,[1]CURSOS!$E$6,(+IF($N91=[1]CURSOS!$D$7,[1]CURSOS!$E$7,(+IF($N91=[1]CURSOS!$D$8,[1]CURSOS!$E$8,(+IF($N91=[1]CURSOS!$D$9,[1]CURSOS!$E$9,(+IF($N91=[1]CURSOS!$D$10,[1]CURSOS!$E$10,(+IF($N91=[1]CURSOS!$D$11,[1]CURSOS!$E$11,(+IF($N91=[1]CURSOS!$D$12,[1]CURSOS!$E$12,(+IF($N91=[1]CURSOS!$D$13,[1]CURSOS!$E$13,(+IF($N91=[1]CURSOS!$D$14,[1]CURSOS!$E$14,(+IF($N91=[1]CURSOS!$D$15,[1]CURSOS!$E$15,(+IF($N91=[1]CURSOS!$D$16,[1]CURSOS!$E$16,(+IF($N91=[1]CURSOS!$D$17,[1]CURSOS!$E$17,(+IF($N91=[1]CURSOS!$D$18,[1]CURSOS!$E$18,(+IF($N91=[1]CURSOS!$D$19,[1]CURSOS!$E$19,(+IF($N91=[1]CURSOS!$D$20,[1]CURSOS!$E$20,(+IF($N91=[1]CURSOS!$D$21,[1]CURSOS!$E$21,(+IF($N91=[1]CURSOS!$D$22,[1]CURSOS!$E$22,(+IF($N91=[1]CURSOS!$D$23,[1]CURSOS!$E$23,(+IF($N91=[1]CURSOS!$D$24,[1]CURSOS!$E$24,(+IF($N91=[1]CURSOS!$D$25,[1]CURSOS!$E$25,(+IF($N91=[1]CURSOS!$D$26,[1]CURSOS!$E$26,(+IF($N91=[1]CURSOS!$D$27,[1]CURSOS!$E$27,(+IF($N91=[1]CURSOS!$D$28,[1]CURSOS!$E$28,(+IF($N91=[1]CURSOS!$D$29,[1]CURSOS!$E$29,(+IF($N91=[1]CURSOS!$D$30,[1]CURSOS!$E$30,(+IF($N91=[1]CURSOS!$D$31,[1]CURSOS!$E$31,(+IF($N91=[1]CURSOS!$D$32,[1]CURSOS!$E$32)))))))))))))))))))))))))))))))))))))))))))))))))))))))))))</f>
        <v>ACOMPAÑAMIENTO Y MANEJO DEL DUELO</v>
      </c>
      <c r="U91" s="50" t="str">
        <f t="shared" ref="U91:U93" si="48">CONCATENATE(E91," ",F91," ",C91," ",D91)</f>
        <v>Maria Camila Velez Criollo</v>
      </c>
      <c r="V91" s="50" t="str">
        <f t="shared" ref="V91:V93" si="49">+PROPER(U91)</f>
        <v>Maria Camila Velez Criollo</v>
      </c>
      <c r="W91" s="50" t="str">
        <f t="shared" ref="W91:W93" si="50">CONCATENATE(U91,"-",B91,"-",N91)</f>
        <v>Maria Camila Velez Criollo-1131085871-DUELO</v>
      </c>
    </row>
    <row r="92" spans="1:23" s="73" customFormat="1" x14ac:dyDescent="0.2">
      <c r="A92" s="20">
        <v>91</v>
      </c>
      <c r="B92" s="20">
        <v>1087128938</v>
      </c>
      <c r="C92" s="20" t="s">
        <v>339</v>
      </c>
      <c r="D92" s="20" t="s">
        <v>93</v>
      </c>
      <c r="E92" s="20" t="s">
        <v>340</v>
      </c>
      <c r="F92" s="20" t="s">
        <v>341</v>
      </c>
      <c r="G92" s="19">
        <v>10</v>
      </c>
      <c r="H92" s="19" t="s">
        <v>99</v>
      </c>
      <c r="I92" s="25">
        <v>45392</v>
      </c>
      <c r="J92" s="88">
        <v>30000</v>
      </c>
      <c r="K92" s="116" t="s">
        <v>79</v>
      </c>
      <c r="L92" s="19" t="s">
        <v>84</v>
      </c>
      <c r="M92" s="19" t="s">
        <v>77</v>
      </c>
      <c r="N92" s="21" t="s">
        <v>46</v>
      </c>
      <c r="O92" s="72"/>
      <c r="P92" s="20" t="s">
        <v>78</v>
      </c>
      <c r="Q92" s="20" t="s">
        <v>160</v>
      </c>
      <c r="R92" s="20"/>
      <c r="S92" s="20"/>
      <c r="T92" s="50" t="str">
        <f>+IF($N92=[1]CURSOS!$D$3,[1]CURSOS!$E$3,(+IF($N92=[1]CURSOS!$D$4,[1]CURSOS!$E$4,(+IF($N92=[1]CURSOS!$D$5,[1]CURSOS!$E$5,(+IF($N92=[1]CURSOS!$D$6,[1]CURSOS!$E$6,(+IF($N92=[1]CURSOS!$D$7,[1]CURSOS!$E$7,(+IF($N92=[1]CURSOS!$D$8,[1]CURSOS!$E$8,(+IF($N92=[1]CURSOS!$D$9,[1]CURSOS!$E$9,(+IF($N92=[1]CURSOS!$D$10,[1]CURSOS!$E$10,(+IF($N92=[1]CURSOS!$D$11,[1]CURSOS!$E$11,(+IF($N92=[1]CURSOS!$D$12,[1]CURSOS!$E$12,(+IF($N92=[1]CURSOS!$D$13,[1]CURSOS!$E$13,(+IF($N92=[1]CURSOS!$D$14,[1]CURSOS!$E$14,(+IF($N92=[1]CURSOS!$D$15,[1]CURSOS!$E$15,(+IF($N92=[1]CURSOS!$D$16,[1]CURSOS!$E$16,(+IF($N92=[1]CURSOS!$D$17,[1]CURSOS!$E$17,(+IF($N92=[1]CURSOS!$D$18,[1]CURSOS!$E$18,(+IF($N92=[1]CURSOS!$D$19,[1]CURSOS!$E$19,(+IF($N92=[1]CURSOS!$D$20,[1]CURSOS!$E$20,(+IF($N92=[1]CURSOS!$D$21,[1]CURSOS!$E$21,(+IF($N92=[1]CURSOS!$D$22,[1]CURSOS!$E$22,(+IF($N92=[1]CURSOS!$D$23,[1]CURSOS!$E$23,(+IF($N92=[1]CURSOS!$D$24,[1]CURSOS!$E$24,(+IF($N92=[1]CURSOS!$D$25,[1]CURSOS!$E$25,(+IF($N92=[1]CURSOS!$D$26,[1]CURSOS!$E$26,(+IF($N92=[1]CURSOS!$D$27,[1]CURSOS!$E$27,(+IF($N92=[1]CURSOS!$D$28,[1]CURSOS!$E$28,(+IF($N92=[1]CURSOS!$D$29,[1]CURSOS!$E$29,(+IF($N92=[1]CURSOS!$D$30,[1]CURSOS!$E$30,(+IF($N92=[1]CURSOS!$D$31,[1]CURSOS!$E$31,(+IF($N92=[1]CURSOS!$D$32,[1]CURSOS!$E$32)))))))))))))))))))))))))))))))))))))))))))))))))))))))))))</f>
        <v xml:space="preserve">ATENCION A VICTIMAS DE VIOLENCIA SEXUAL </v>
      </c>
      <c r="U92" s="50" t="str">
        <f t="shared" si="48"/>
        <v>Ilsy Fabiola Ferrin Cuero</v>
      </c>
      <c r="V92" s="50" t="str">
        <f t="shared" si="49"/>
        <v>Ilsy Fabiola Ferrin Cuero</v>
      </c>
      <c r="W92" s="50" t="str">
        <f t="shared" si="50"/>
        <v>Ilsy Fabiola Ferrin Cuero-1087128938-VIOLENCIA SEXUAL</v>
      </c>
    </row>
    <row r="93" spans="1:23" s="73" customFormat="1" x14ac:dyDescent="0.2">
      <c r="A93" s="20">
        <v>92</v>
      </c>
      <c r="B93" s="20">
        <v>1087128938</v>
      </c>
      <c r="C93" s="20" t="s">
        <v>339</v>
      </c>
      <c r="D93" s="20" t="s">
        <v>93</v>
      </c>
      <c r="E93" s="20" t="s">
        <v>340</v>
      </c>
      <c r="F93" s="20" t="s">
        <v>341</v>
      </c>
      <c r="G93" s="19">
        <v>10</v>
      </c>
      <c r="H93" s="19" t="s">
        <v>99</v>
      </c>
      <c r="I93" s="25">
        <v>45393</v>
      </c>
      <c r="J93" s="88">
        <v>30000</v>
      </c>
      <c r="K93" s="116" t="s">
        <v>79</v>
      </c>
      <c r="L93" s="19" t="s">
        <v>84</v>
      </c>
      <c r="M93" s="19" t="s">
        <v>77</v>
      </c>
      <c r="N93" s="21" t="s">
        <v>25</v>
      </c>
      <c r="O93" s="72"/>
      <c r="P93" s="20" t="s">
        <v>78</v>
      </c>
      <c r="Q93" s="20" t="s">
        <v>160</v>
      </c>
      <c r="R93" s="20"/>
      <c r="S93" s="20"/>
      <c r="T93" s="50" t="str">
        <f>+IF($N93=[1]CURSOS!$D$3,[1]CURSOS!$E$3,(+IF($N93=[1]CURSOS!$D$4,[1]CURSOS!$E$4,(+IF($N93=[1]CURSOS!$D$5,[1]CURSOS!$E$5,(+IF($N93=[1]CURSOS!$D$6,[1]CURSOS!$E$6,(+IF($N93=[1]CURSOS!$D$7,[1]CURSOS!$E$7,(+IF($N93=[1]CURSOS!$D$8,[1]CURSOS!$E$8,(+IF($N93=[1]CURSOS!$D$9,[1]CURSOS!$E$9,(+IF($N93=[1]CURSOS!$D$10,[1]CURSOS!$E$10,(+IF($N93=[1]CURSOS!$D$11,[1]CURSOS!$E$11,(+IF($N93=[1]CURSOS!$D$12,[1]CURSOS!$E$12,(+IF($N93=[1]CURSOS!$D$13,[1]CURSOS!$E$13,(+IF($N93=[1]CURSOS!$D$14,[1]CURSOS!$E$14,(+IF($N93=[1]CURSOS!$D$15,[1]CURSOS!$E$15,(+IF($N93=[1]CURSOS!$D$16,[1]CURSOS!$E$16,(+IF($N93=[1]CURSOS!$D$17,[1]CURSOS!$E$17,(+IF($N93=[1]CURSOS!$D$18,[1]CURSOS!$E$18,(+IF($N93=[1]CURSOS!$D$19,[1]CURSOS!$E$19,(+IF($N93=[1]CURSOS!$D$20,[1]CURSOS!$E$20,(+IF($N93=[1]CURSOS!$D$21,[1]CURSOS!$E$21,(+IF($N93=[1]CURSOS!$D$22,[1]CURSOS!$E$22,(+IF($N93=[1]CURSOS!$D$23,[1]CURSOS!$E$23,(+IF($N93=[1]CURSOS!$D$24,[1]CURSOS!$E$24,(+IF($N93=[1]CURSOS!$D$25,[1]CURSOS!$E$25,(+IF($N93=[1]CURSOS!$D$26,[1]CURSOS!$E$26,(+IF($N93=[1]CURSOS!$D$27,[1]CURSOS!$E$27,(+IF($N93=[1]CURSOS!$D$28,[1]CURSOS!$E$28,(+IF($N93=[1]CURSOS!$D$29,[1]CURSOS!$E$29,(+IF($N93=[1]CURSOS!$D$30,[1]CURSOS!$E$30,(+IF($N93=[1]CURSOS!$D$31,[1]CURSOS!$E$31,(+IF($N93=[1]CURSOS!$D$32,[1]CURSOS!$E$32)))))))))))))))))))))))))))))))))))))))))))))))))))))))))))</f>
        <v xml:space="preserve">ATENCION A VICTIMAS DE ATAQUE CON AGENTES QUIMICOS </v>
      </c>
      <c r="U93" s="50" t="str">
        <f t="shared" si="48"/>
        <v>Ilsy Fabiola Ferrin Cuero</v>
      </c>
      <c r="V93" s="50" t="str">
        <f t="shared" si="49"/>
        <v>Ilsy Fabiola Ferrin Cuero</v>
      </c>
      <c r="W93" s="50" t="str">
        <f t="shared" si="50"/>
        <v>Ilsy Fabiola Ferrin Cuero-1087128938-QUIMICOS</v>
      </c>
    </row>
    <row r="94" spans="1:23" s="73" customFormat="1" x14ac:dyDescent="0.2">
      <c r="A94" s="20">
        <v>93</v>
      </c>
      <c r="B94" s="20">
        <v>1086136729</v>
      </c>
      <c r="C94" s="20" t="s">
        <v>346</v>
      </c>
      <c r="D94" s="20" t="s">
        <v>347</v>
      </c>
      <c r="E94" s="20" t="s">
        <v>348</v>
      </c>
      <c r="F94" s="20" t="s">
        <v>121</v>
      </c>
      <c r="G94" s="19">
        <v>10</v>
      </c>
      <c r="H94" s="19" t="s">
        <v>99</v>
      </c>
      <c r="I94" s="25">
        <v>45393</v>
      </c>
      <c r="J94" s="98">
        <v>40000</v>
      </c>
      <c r="K94" s="116" t="s">
        <v>293</v>
      </c>
      <c r="L94" s="19" t="s">
        <v>84</v>
      </c>
      <c r="M94" s="19" t="s">
        <v>77</v>
      </c>
      <c r="N94" s="21" t="s">
        <v>19</v>
      </c>
      <c r="O94" s="72">
        <v>33741</v>
      </c>
      <c r="P94" s="20" t="s">
        <v>78</v>
      </c>
      <c r="Q94" s="20" t="s">
        <v>160</v>
      </c>
      <c r="R94" s="20"/>
      <c r="S94" s="20" t="s">
        <v>349</v>
      </c>
      <c r="T94" s="50" t="str">
        <f>+IF($N94=[1]CURSOS!$D$3,[1]CURSOS!$E$3,(+IF($N94=[1]CURSOS!$D$4,[1]CURSOS!$E$4,(+IF($N94=[1]CURSOS!$D$5,[1]CURSOS!$E$5,(+IF($N94=[1]CURSOS!$D$6,[1]CURSOS!$E$6,(+IF($N94=[1]CURSOS!$D$7,[1]CURSOS!$E$7,(+IF($N94=[1]CURSOS!$D$8,[1]CURSOS!$E$8,(+IF($N94=[1]CURSOS!$D$9,[1]CURSOS!$E$9,(+IF($N94=[1]CURSOS!$D$10,[1]CURSOS!$E$10,(+IF($N94=[1]CURSOS!$D$11,[1]CURSOS!$E$11,(+IF($N94=[1]CURSOS!$D$12,[1]CURSOS!$E$12,(+IF($N94=[1]CURSOS!$D$13,[1]CURSOS!$E$13,(+IF($N94=[1]CURSOS!$D$14,[1]CURSOS!$E$14,(+IF($N94=[1]CURSOS!$D$15,[1]CURSOS!$E$15,(+IF($N94=[1]CURSOS!$D$16,[1]CURSOS!$E$16,(+IF($N94=[1]CURSOS!$D$17,[1]CURSOS!$E$17,(+IF($N94=[1]CURSOS!$D$18,[1]CURSOS!$E$18,(+IF($N94=[1]CURSOS!$D$19,[1]CURSOS!$E$19,(+IF($N94=[1]CURSOS!$D$20,[1]CURSOS!$E$20,(+IF($N94=[1]CURSOS!$D$21,[1]CURSOS!$E$21,(+IF($N94=[1]CURSOS!$D$22,[1]CURSOS!$E$22,(+IF($N94=[1]CURSOS!$D$23,[1]CURSOS!$E$23,(+IF($N94=[1]CURSOS!$D$24,[1]CURSOS!$E$24,(+IF($N94=[1]CURSOS!$D$25,[1]CURSOS!$E$25,(+IF($N94=[1]CURSOS!$D$26,[1]CURSOS!$E$26,(+IF($N94=[1]CURSOS!$D$27,[1]CURSOS!$E$27,(+IF($N94=[1]CURSOS!$D$28,[1]CURSOS!$E$28,(+IF($N94=[1]CURSOS!$D$29,[1]CURSOS!$E$29,(+IF($N94=[1]CURSOS!$D$30,[1]CURSOS!$E$30,(+IF($N94=[1]CURSOS!$D$31,[1]CURSOS!$E$31,(+IF($N94=[1]CURSOS!$D$32,[1]CURSOS!$E$32)))))))))))))))))))))))))))))))))))))))))))))))))))))))))))</f>
        <v>SOPORTE VITAL BASICO (BLS)</v>
      </c>
      <c r="U94" s="50" t="str">
        <f t="shared" ref="U94:U99" si="51">CONCATENATE(E94," ",F94," ",C94," ",D94)</f>
        <v>Yescika Alejandra Portillo Ortega</v>
      </c>
      <c r="V94" s="50" t="str">
        <f t="shared" ref="V94:V99" si="52">+PROPER(U94)</f>
        <v>Yescika Alejandra Portillo Ortega</v>
      </c>
      <c r="W94" s="50" t="str">
        <f t="shared" ref="W94:W99" si="53">CONCATENATE(U94,"-",B94,"-",N94)</f>
        <v>Yescika Alejandra Portillo Ortega-1086136729-BLS</v>
      </c>
    </row>
    <row r="95" spans="1:23" s="73" customFormat="1" x14ac:dyDescent="0.2">
      <c r="A95" s="20">
        <v>94</v>
      </c>
      <c r="B95" s="20">
        <v>1088736932</v>
      </c>
      <c r="C95" s="20" t="s">
        <v>170</v>
      </c>
      <c r="D95" s="20" t="s">
        <v>350</v>
      </c>
      <c r="E95" s="20" t="s">
        <v>267</v>
      </c>
      <c r="F95" s="20" t="s">
        <v>121</v>
      </c>
      <c r="G95" s="19">
        <v>10</v>
      </c>
      <c r="H95" s="19" t="s">
        <v>99</v>
      </c>
      <c r="I95" s="25">
        <v>45394</v>
      </c>
      <c r="J95" s="88">
        <v>25000</v>
      </c>
      <c r="K95" s="116" t="s">
        <v>79</v>
      </c>
      <c r="L95" s="19" t="s">
        <v>84</v>
      </c>
      <c r="M95" s="19" t="s">
        <v>77</v>
      </c>
      <c r="N95" s="21" t="s">
        <v>73</v>
      </c>
      <c r="O95" s="72"/>
      <c r="P95" s="20" t="s">
        <v>78</v>
      </c>
      <c r="Q95" s="20" t="s">
        <v>160</v>
      </c>
      <c r="R95" s="20"/>
      <c r="S95" s="20"/>
      <c r="T95" s="50" t="str">
        <f>+IF($N95=[1]CURSOS!$D$3,[1]CURSOS!$E$3,(+IF($N95=[1]CURSOS!$D$4,[1]CURSOS!$E$4,(+IF($N95=[1]CURSOS!$D$5,[1]CURSOS!$E$5,(+IF($N95=[1]CURSOS!$D$6,[1]CURSOS!$E$6,(+IF($N95=[1]CURSOS!$D$7,[1]CURSOS!$E$7,(+IF($N95=[1]CURSOS!$D$8,[1]CURSOS!$E$8,(+IF($N95=[1]CURSOS!$D$9,[1]CURSOS!$E$9,(+IF($N95=[1]CURSOS!$D$10,[1]CURSOS!$E$10,(+IF($N95=[1]CURSOS!$D$11,[1]CURSOS!$E$11,(+IF($N95=[1]CURSOS!$D$12,[1]CURSOS!$E$12,(+IF($N95=[1]CURSOS!$D$13,[1]CURSOS!$E$13,(+IF($N95=[1]CURSOS!$D$14,[1]CURSOS!$E$14,(+IF($N95=[1]CURSOS!$D$15,[1]CURSOS!$E$15,(+IF($N95=[1]CURSOS!$D$16,[1]CURSOS!$E$16,(+IF($N95=[1]CURSOS!$D$17,[1]CURSOS!$E$17,(+IF($N95=[1]CURSOS!$D$18,[1]CURSOS!$E$18,(+IF($N95=[1]CURSOS!$D$19,[1]CURSOS!$E$19,(+IF($N95=[1]CURSOS!$D$20,[1]CURSOS!$E$20,(+IF($N95=[1]CURSOS!$D$21,[1]CURSOS!$E$21,(+IF($N95=[1]CURSOS!$D$22,[1]CURSOS!$E$22,(+IF($N95=[1]CURSOS!$D$23,[1]CURSOS!$E$23,(+IF($N95=[1]CURSOS!$D$24,[1]CURSOS!$E$24,(+IF($N95=[1]CURSOS!$D$25,[1]CURSOS!$E$25,(+IF($N95=[1]CURSOS!$D$26,[1]CURSOS!$E$26,(+IF($N95=[1]CURSOS!$D$27,[1]CURSOS!$E$27,(+IF($N95=[1]CURSOS!$D$28,[1]CURSOS!$E$28,(+IF($N95=[1]CURSOS!$D$29,[1]CURSOS!$E$29,(+IF($N95=[1]CURSOS!$D$30,[1]CURSOS!$E$30,(+IF($N95=[1]CURSOS!$D$31,[1]CURSOS!$E$31,(+IF($N95=[1]CURSOS!$D$32,[1]CURSOS!$E$32)))))))))))))))))))))))))))))))))))))))))))))))))))))))))))</f>
        <v>PRIMEROS AUXILIOS PSICOLOGICOS</v>
      </c>
      <c r="U95" s="50" t="str">
        <f t="shared" si="51"/>
        <v>Maria Alejandra Bastidas Florez</v>
      </c>
      <c r="V95" s="50" t="str">
        <f t="shared" si="52"/>
        <v>Maria Alejandra Bastidas Florez</v>
      </c>
      <c r="W95" s="50" t="str">
        <f t="shared" si="53"/>
        <v>Maria Alejandra Bastidas Florez-1088736932-PRIMEROS AUXILIOS P</v>
      </c>
    </row>
    <row r="96" spans="1:23" s="73" customFormat="1" x14ac:dyDescent="0.2">
      <c r="A96" s="20">
        <v>95</v>
      </c>
      <c r="B96" s="20">
        <v>1088736932</v>
      </c>
      <c r="C96" s="20" t="s">
        <v>170</v>
      </c>
      <c r="D96" s="20" t="s">
        <v>350</v>
      </c>
      <c r="E96" s="20" t="s">
        <v>267</v>
      </c>
      <c r="F96" s="20" t="s">
        <v>121</v>
      </c>
      <c r="G96" s="19">
        <v>10</v>
      </c>
      <c r="H96" s="19" t="s">
        <v>99</v>
      </c>
      <c r="I96" s="25">
        <v>45394</v>
      </c>
      <c r="J96" s="88">
        <v>25000</v>
      </c>
      <c r="K96" s="116" t="s">
        <v>79</v>
      </c>
      <c r="L96" s="19" t="s">
        <v>84</v>
      </c>
      <c r="M96" s="19" t="s">
        <v>77</v>
      </c>
      <c r="N96" s="21" t="s">
        <v>23</v>
      </c>
      <c r="O96" s="72"/>
      <c r="P96" s="20" t="s">
        <v>78</v>
      </c>
      <c r="Q96" s="20" t="s">
        <v>160</v>
      </c>
      <c r="R96" s="20"/>
      <c r="S96" s="20"/>
      <c r="T96" s="50" t="str">
        <f>+IF($N96=[1]CURSOS!$D$3,[1]CURSOS!$E$3,(+IF($N96=[1]CURSOS!$D$4,[1]CURSOS!$E$4,(+IF($N96=[1]CURSOS!$D$5,[1]CURSOS!$E$5,(+IF($N96=[1]CURSOS!$D$6,[1]CURSOS!$E$6,(+IF($N96=[1]CURSOS!$D$7,[1]CURSOS!$E$7,(+IF($N96=[1]CURSOS!$D$8,[1]CURSOS!$E$8,(+IF($N96=[1]CURSOS!$D$9,[1]CURSOS!$E$9,(+IF($N96=[1]CURSOS!$D$10,[1]CURSOS!$E$10,(+IF($N96=[1]CURSOS!$D$11,[1]CURSOS!$E$11,(+IF($N96=[1]CURSOS!$D$12,[1]CURSOS!$E$12,(+IF($N96=[1]CURSOS!$D$13,[1]CURSOS!$E$13,(+IF($N96=[1]CURSOS!$D$14,[1]CURSOS!$E$14,(+IF($N96=[1]CURSOS!$D$15,[1]CURSOS!$E$15,(+IF($N96=[1]CURSOS!$D$16,[1]CURSOS!$E$16,(+IF($N96=[1]CURSOS!$D$17,[1]CURSOS!$E$17,(+IF($N96=[1]CURSOS!$D$18,[1]CURSOS!$E$18,(+IF($N96=[1]CURSOS!$D$19,[1]CURSOS!$E$19,(+IF($N96=[1]CURSOS!$D$20,[1]CURSOS!$E$20,(+IF($N96=[1]CURSOS!$D$21,[1]CURSOS!$E$21,(+IF($N96=[1]CURSOS!$D$22,[1]CURSOS!$E$22,(+IF($N96=[1]CURSOS!$D$23,[1]CURSOS!$E$23,(+IF($N96=[1]CURSOS!$D$24,[1]CURSOS!$E$24,(+IF($N96=[1]CURSOS!$D$25,[1]CURSOS!$E$25,(+IF($N96=[1]CURSOS!$D$26,[1]CURSOS!$E$26,(+IF($N96=[1]CURSOS!$D$27,[1]CURSOS!$E$27,(+IF($N96=[1]CURSOS!$D$28,[1]CURSOS!$E$28,(+IF($N96=[1]CURSOS!$D$29,[1]CURSOS!$E$29,(+IF($N96=[1]CURSOS!$D$30,[1]CURSOS!$E$30,(+IF($N96=[1]CURSOS!$D$31,[1]CURSOS!$E$31,(+IF($N96=[1]CURSOS!$D$32,[1]CURSOS!$E$32)))))))))))))))))))))))))))))))))))))))))))))))))))))))))))</f>
        <v>ACOMPAÑAMIENTO Y MANEJO DEL DUELO</v>
      </c>
      <c r="U96" s="50" t="str">
        <f t="shared" si="51"/>
        <v>Maria Alejandra Bastidas Florez</v>
      </c>
      <c r="V96" s="50" t="str">
        <f t="shared" si="52"/>
        <v>Maria Alejandra Bastidas Florez</v>
      </c>
      <c r="W96" s="50" t="str">
        <f t="shared" si="53"/>
        <v>Maria Alejandra Bastidas Florez-1088736932-DUELO</v>
      </c>
    </row>
    <row r="97" spans="1:23" s="73" customFormat="1" x14ac:dyDescent="0.2">
      <c r="A97" s="20">
        <v>96</v>
      </c>
      <c r="B97" s="20">
        <v>1088736932</v>
      </c>
      <c r="C97" s="20" t="s">
        <v>170</v>
      </c>
      <c r="D97" s="20" t="s">
        <v>350</v>
      </c>
      <c r="E97" s="20" t="s">
        <v>267</v>
      </c>
      <c r="F97" s="20" t="s">
        <v>121</v>
      </c>
      <c r="G97" s="19">
        <v>10</v>
      </c>
      <c r="H97" s="19" t="s">
        <v>99</v>
      </c>
      <c r="I97" s="25">
        <v>45394</v>
      </c>
      <c r="J97" s="88">
        <v>25000</v>
      </c>
      <c r="K97" s="116" t="s">
        <v>79</v>
      </c>
      <c r="L97" s="19" t="s">
        <v>84</v>
      </c>
      <c r="M97" s="19" t="s">
        <v>77</v>
      </c>
      <c r="N97" s="21" t="s">
        <v>33</v>
      </c>
      <c r="O97" s="72"/>
      <c r="P97" s="20" t="s">
        <v>78</v>
      </c>
      <c r="Q97" s="20" t="s">
        <v>160</v>
      </c>
      <c r="R97" s="20"/>
      <c r="S97" s="20"/>
      <c r="T97" s="50" t="str">
        <f>+IF($N97=[1]CURSOS!$D$3,[1]CURSOS!$E$3,(+IF($N97=[1]CURSOS!$D$4,[1]CURSOS!$E$4,(+IF($N97=[1]CURSOS!$D$5,[1]CURSOS!$E$5,(+IF($N97=[1]CURSOS!$D$6,[1]CURSOS!$E$6,(+IF($N97=[1]CURSOS!$D$7,[1]CURSOS!$E$7,(+IF($N97=[1]CURSOS!$D$8,[1]CURSOS!$E$8,(+IF($N97=[1]CURSOS!$D$9,[1]CURSOS!$E$9,(+IF($N97=[1]CURSOS!$D$10,[1]CURSOS!$E$10,(+IF($N97=[1]CURSOS!$D$11,[1]CURSOS!$E$11,(+IF($N97=[1]CURSOS!$D$12,[1]CURSOS!$E$12,(+IF($N97=[1]CURSOS!$D$13,[1]CURSOS!$E$13,(+IF($N97=[1]CURSOS!$D$14,[1]CURSOS!$E$14,(+IF($N97=[1]CURSOS!$D$15,[1]CURSOS!$E$15,(+IF($N97=[1]CURSOS!$D$16,[1]CURSOS!$E$16,(+IF($N97=[1]CURSOS!$D$17,[1]CURSOS!$E$17,(+IF($N97=[1]CURSOS!$D$18,[1]CURSOS!$E$18,(+IF($N97=[1]CURSOS!$D$19,[1]CURSOS!$E$19,(+IF($N97=[1]CURSOS!$D$20,[1]CURSOS!$E$20,(+IF($N97=[1]CURSOS!$D$21,[1]CURSOS!$E$21,(+IF($N97=[1]CURSOS!$D$22,[1]CURSOS!$E$22,(+IF($N97=[1]CURSOS!$D$23,[1]CURSOS!$E$23,(+IF($N97=[1]CURSOS!$D$24,[1]CURSOS!$E$24,(+IF($N97=[1]CURSOS!$D$25,[1]CURSOS!$E$25,(+IF($N97=[1]CURSOS!$D$26,[1]CURSOS!$E$26,(+IF($N97=[1]CURSOS!$D$27,[1]CURSOS!$E$27,(+IF($N97=[1]CURSOS!$D$28,[1]CURSOS!$E$28,(+IF($N97=[1]CURSOS!$D$29,[1]CURSOS!$E$29,(+IF($N97=[1]CURSOS!$D$30,[1]CURSOS!$E$30,(+IF($N97=[1]CURSOS!$D$31,[1]CURSOS!$E$31,(+IF($N97=[1]CURSOS!$D$32,[1]CURSOS!$E$32)))))))))))))))))))))))))))))))))))))))))))))))))))))))))))</f>
        <v xml:space="preserve">HUMANIZACION EN SALUD, BUENAS PRACTICAS EN PACIENTE </v>
      </c>
      <c r="U97" s="50" t="str">
        <f t="shared" si="51"/>
        <v>Maria Alejandra Bastidas Florez</v>
      </c>
      <c r="V97" s="50" t="str">
        <f t="shared" si="52"/>
        <v>Maria Alejandra Bastidas Florez</v>
      </c>
      <c r="W97" s="50" t="str">
        <f t="shared" si="53"/>
        <v>Maria Alejandra Bastidas Florez-1088736932-HUMANIZACION</v>
      </c>
    </row>
    <row r="98" spans="1:23" s="73" customFormat="1" x14ac:dyDescent="0.2">
      <c r="A98" s="20">
        <v>97</v>
      </c>
      <c r="B98" s="20">
        <v>1088736932</v>
      </c>
      <c r="C98" s="20" t="s">
        <v>170</v>
      </c>
      <c r="D98" s="20" t="s">
        <v>350</v>
      </c>
      <c r="E98" s="20" t="s">
        <v>267</v>
      </c>
      <c r="F98" s="20" t="s">
        <v>121</v>
      </c>
      <c r="G98" s="19">
        <v>10</v>
      </c>
      <c r="H98" s="19" t="s">
        <v>99</v>
      </c>
      <c r="I98" s="25">
        <v>45394</v>
      </c>
      <c r="J98" s="88">
        <v>25000</v>
      </c>
      <c r="K98" s="116" t="s">
        <v>79</v>
      </c>
      <c r="L98" s="19" t="s">
        <v>84</v>
      </c>
      <c r="M98" s="19" t="s">
        <v>77</v>
      </c>
      <c r="N98" s="21" t="s">
        <v>25</v>
      </c>
      <c r="O98" s="72"/>
      <c r="P98" s="20" t="s">
        <v>78</v>
      </c>
      <c r="Q98" s="20" t="s">
        <v>160</v>
      </c>
      <c r="R98" s="20"/>
      <c r="S98" s="20"/>
      <c r="T98" s="50" t="str">
        <f>+IF($N98=[1]CURSOS!$D$3,[1]CURSOS!$E$3,(+IF($N98=[1]CURSOS!$D$4,[1]CURSOS!$E$4,(+IF($N98=[1]CURSOS!$D$5,[1]CURSOS!$E$5,(+IF($N98=[1]CURSOS!$D$6,[1]CURSOS!$E$6,(+IF($N98=[1]CURSOS!$D$7,[1]CURSOS!$E$7,(+IF($N98=[1]CURSOS!$D$8,[1]CURSOS!$E$8,(+IF($N98=[1]CURSOS!$D$9,[1]CURSOS!$E$9,(+IF($N98=[1]CURSOS!$D$10,[1]CURSOS!$E$10,(+IF($N98=[1]CURSOS!$D$11,[1]CURSOS!$E$11,(+IF($N98=[1]CURSOS!$D$12,[1]CURSOS!$E$12,(+IF($N98=[1]CURSOS!$D$13,[1]CURSOS!$E$13,(+IF($N98=[1]CURSOS!$D$14,[1]CURSOS!$E$14,(+IF($N98=[1]CURSOS!$D$15,[1]CURSOS!$E$15,(+IF($N98=[1]CURSOS!$D$16,[1]CURSOS!$E$16,(+IF($N98=[1]CURSOS!$D$17,[1]CURSOS!$E$17,(+IF($N98=[1]CURSOS!$D$18,[1]CURSOS!$E$18,(+IF($N98=[1]CURSOS!$D$19,[1]CURSOS!$E$19,(+IF($N98=[1]CURSOS!$D$20,[1]CURSOS!$E$20,(+IF($N98=[1]CURSOS!$D$21,[1]CURSOS!$E$21,(+IF($N98=[1]CURSOS!$D$22,[1]CURSOS!$E$22,(+IF($N98=[1]CURSOS!$D$23,[1]CURSOS!$E$23,(+IF($N98=[1]CURSOS!$D$24,[1]CURSOS!$E$24,(+IF($N98=[1]CURSOS!$D$25,[1]CURSOS!$E$25,(+IF($N98=[1]CURSOS!$D$26,[1]CURSOS!$E$26,(+IF($N98=[1]CURSOS!$D$27,[1]CURSOS!$E$27,(+IF($N98=[1]CURSOS!$D$28,[1]CURSOS!$E$28,(+IF($N98=[1]CURSOS!$D$29,[1]CURSOS!$E$29,(+IF($N98=[1]CURSOS!$D$30,[1]CURSOS!$E$30,(+IF($N98=[1]CURSOS!$D$31,[1]CURSOS!$E$31,(+IF($N98=[1]CURSOS!$D$32,[1]CURSOS!$E$32)))))))))))))))))))))))))))))))))))))))))))))))))))))))))))</f>
        <v xml:space="preserve">ATENCION A VICTIMAS DE ATAQUE CON AGENTES QUIMICOS </v>
      </c>
      <c r="U98" s="50" t="str">
        <f t="shared" si="51"/>
        <v>Maria Alejandra Bastidas Florez</v>
      </c>
      <c r="V98" s="50" t="str">
        <f t="shared" si="52"/>
        <v>Maria Alejandra Bastidas Florez</v>
      </c>
      <c r="W98" s="50" t="str">
        <f t="shared" si="53"/>
        <v>Maria Alejandra Bastidas Florez-1088736932-QUIMICOS</v>
      </c>
    </row>
    <row r="99" spans="1:23" s="73" customFormat="1" x14ac:dyDescent="0.2">
      <c r="A99" s="20">
        <v>98</v>
      </c>
      <c r="B99" s="20">
        <v>1088736932</v>
      </c>
      <c r="C99" s="20" t="s">
        <v>170</v>
      </c>
      <c r="D99" s="20" t="s">
        <v>350</v>
      </c>
      <c r="E99" s="20" t="s">
        <v>267</v>
      </c>
      <c r="F99" s="20" t="s">
        <v>121</v>
      </c>
      <c r="G99" s="19">
        <v>10</v>
      </c>
      <c r="H99" s="19" t="s">
        <v>99</v>
      </c>
      <c r="I99" s="25">
        <v>45394</v>
      </c>
      <c r="J99" s="88">
        <v>25000</v>
      </c>
      <c r="K99" s="116" t="s">
        <v>79</v>
      </c>
      <c r="L99" s="19" t="s">
        <v>84</v>
      </c>
      <c r="M99" s="19" t="s">
        <v>77</v>
      </c>
      <c r="N99" s="21" t="s">
        <v>46</v>
      </c>
      <c r="O99" s="72"/>
      <c r="P99" s="20" t="s">
        <v>78</v>
      </c>
      <c r="Q99" s="20" t="s">
        <v>160</v>
      </c>
      <c r="R99" s="20"/>
      <c r="S99" s="20"/>
      <c r="T99" s="50" t="str">
        <f>+IF($N99=[1]CURSOS!$D$3,[1]CURSOS!$E$3,(+IF($N99=[1]CURSOS!$D$4,[1]CURSOS!$E$4,(+IF($N99=[1]CURSOS!$D$5,[1]CURSOS!$E$5,(+IF($N99=[1]CURSOS!$D$6,[1]CURSOS!$E$6,(+IF($N99=[1]CURSOS!$D$7,[1]CURSOS!$E$7,(+IF($N99=[1]CURSOS!$D$8,[1]CURSOS!$E$8,(+IF($N99=[1]CURSOS!$D$9,[1]CURSOS!$E$9,(+IF($N99=[1]CURSOS!$D$10,[1]CURSOS!$E$10,(+IF($N99=[1]CURSOS!$D$11,[1]CURSOS!$E$11,(+IF($N99=[1]CURSOS!$D$12,[1]CURSOS!$E$12,(+IF($N99=[1]CURSOS!$D$13,[1]CURSOS!$E$13,(+IF($N99=[1]CURSOS!$D$14,[1]CURSOS!$E$14,(+IF($N99=[1]CURSOS!$D$15,[1]CURSOS!$E$15,(+IF($N99=[1]CURSOS!$D$16,[1]CURSOS!$E$16,(+IF($N99=[1]CURSOS!$D$17,[1]CURSOS!$E$17,(+IF($N99=[1]CURSOS!$D$18,[1]CURSOS!$E$18,(+IF($N99=[1]CURSOS!$D$19,[1]CURSOS!$E$19,(+IF($N99=[1]CURSOS!$D$20,[1]CURSOS!$E$20,(+IF($N99=[1]CURSOS!$D$21,[1]CURSOS!$E$21,(+IF($N99=[1]CURSOS!$D$22,[1]CURSOS!$E$22,(+IF($N99=[1]CURSOS!$D$23,[1]CURSOS!$E$23,(+IF($N99=[1]CURSOS!$D$24,[1]CURSOS!$E$24,(+IF($N99=[1]CURSOS!$D$25,[1]CURSOS!$E$25,(+IF($N99=[1]CURSOS!$D$26,[1]CURSOS!$E$26,(+IF($N99=[1]CURSOS!$D$27,[1]CURSOS!$E$27,(+IF($N99=[1]CURSOS!$D$28,[1]CURSOS!$E$28,(+IF($N99=[1]CURSOS!$D$29,[1]CURSOS!$E$29,(+IF($N99=[1]CURSOS!$D$30,[1]CURSOS!$E$30,(+IF($N99=[1]CURSOS!$D$31,[1]CURSOS!$E$31,(+IF($N99=[1]CURSOS!$D$32,[1]CURSOS!$E$32)))))))))))))))))))))))))))))))))))))))))))))))))))))))))))</f>
        <v xml:space="preserve">ATENCION A VICTIMAS DE VIOLENCIA SEXUAL </v>
      </c>
      <c r="U99" s="50" t="str">
        <f t="shared" si="51"/>
        <v>Maria Alejandra Bastidas Florez</v>
      </c>
      <c r="V99" s="50" t="str">
        <f t="shared" si="52"/>
        <v>Maria Alejandra Bastidas Florez</v>
      </c>
      <c r="W99" s="50" t="str">
        <f t="shared" si="53"/>
        <v>Maria Alejandra Bastidas Florez-1088736932-VIOLENCIA SEXUAL</v>
      </c>
    </row>
    <row r="100" spans="1:23" s="73" customFormat="1" ht="15.75" x14ac:dyDescent="0.25">
      <c r="A100" s="20">
        <v>99</v>
      </c>
      <c r="B100" s="20">
        <v>1004694875</v>
      </c>
      <c r="C100" s="20" t="s">
        <v>262</v>
      </c>
      <c r="D100" s="20" t="s">
        <v>351</v>
      </c>
      <c r="E100" s="20" t="s">
        <v>352</v>
      </c>
      <c r="F100" s="20" t="s">
        <v>353</v>
      </c>
      <c r="G100" s="19">
        <v>10</v>
      </c>
      <c r="H100" s="19" t="s">
        <v>99</v>
      </c>
      <c r="I100" s="25">
        <v>45395</v>
      </c>
      <c r="J100" s="88">
        <f>112000/4</f>
        <v>28000</v>
      </c>
      <c r="K100" s="116" t="s">
        <v>79</v>
      </c>
      <c r="L100" s="19" t="s">
        <v>84</v>
      </c>
      <c r="M100" s="19" t="s">
        <v>197</v>
      </c>
      <c r="N100" s="21" t="s">
        <v>19</v>
      </c>
      <c r="O100" s="72">
        <v>36868</v>
      </c>
      <c r="P100" s="20" t="s">
        <v>78</v>
      </c>
      <c r="Q100" s="20" t="s">
        <v>160</v>
      </c>
      <c r="R100" s="20"/>
      <c r="S100" s="74" t="s">
        <v>354</v>
      </c>
      <c r="T100" s="50" t="str">
        <f>+IF($N100=[1]CURSOS!$D$3,[1]CURSOS!$E$3,(+IF($N100=[1]CURSOS!$D$4,[1]CURSOS!$E$4,(+IF($N100=[1]CURSOS!$D$5,[1]CURSOS!$E$5,(+IF($N100=[1]CURSOS!$D$6,[1]CURSOS!$E$6,(+IF($N100=[1]CURSOS!$D$7,[1]CURSOS!$E$7,(+IF($N100=[1]CURSOS!$D$8,[1]CURSOS!$E$8,(+IF($N100=[1]CURSOS!$D$9,[1]CURSOS!$E$9,(+IF($N100=[1]CURSOS!$D$10,[1]CURSOS!$E$10,(+IF($N100=[1]CURSOS!$D$11,[1]CURSOS!$E$11,(+IF($N100=[1]CURSOS!$D$12,[1]CURSOS!$E$12,(+IF($N100=[1]CURSOS!$D$13,[1]CURSOS!$E$13,(+IF($N100=[1]CURSOS!$D$14,[1]CURSOS!$E$14,(+IF($N100=[1]CURSOS!$D$15,[1]CURSOS!$E$15,(+IF($N100=[1]CURSOS!$D$16,[1]CURSOS!$E$16,(+IF($N100=[1]CURSOS!$D$17,[1]CURSOS!$E$17,(+IF($N100=[1]CURSOS!$D$18,[1]CURSOS!$E$18,(+IF($N100=[1]CURSOS!$D$19,[1]CURSOS!$E$19,(+IF($N100=[1]CURSOS!$D$20,[1]CURSOS!$E$20,(+IF($N100=[1]CURSOS!$D$21,[1]CURSOS!$E$21,(+IF($N100=[1]CURSOS!$D$22,[1]CURSOS!$E$22,(+IF($N100=[1]CURSOS!$D$23,[1]CURSOS!$E$23,(+IF($N100=[1]CURSOS!$D$24,[1]CURSOS!$E$24,(+IF($N100=[1]CURSOS!$D$25,[1]CURSOS!$E$25,(+IF($N100=[1]CURSOS!$D$26,[1]CURSOS!$E$26,(+IF($N100=[1]CURSOS!$D$27,[1]CURSOS!$E$27,(+IF($N100=[1]CURSOS!$D$28,[1]CURSOS!$E$28,(+IF($N100=[1]CURSOS!$D$29,[1]CURSOS!$E$29,(+IF($N100=[1]CURSOS!$D$30,[1]CURSOS!$E$30,(+IF($N100=[1]CURSOS!$D$31,[1]CURSOS!$E$31,(+IF($N100=[1]CURSOS!$D$32,[1]CURSOS!$E$32)))))))))))))))))))))))))))))))))))))))))))))))))))))))))))</f>
        <v>SOPORTE VITAL BASICO (BLS)</v>
      </c>
      <c r="U100" s="50" t="str">
        <f t="shared" ref="U100:U104" si="54">CONCATENATE(E100," ",F100," ",C100," ",D100)</f>
        <v>Jazmin Pahola Melo Pantoja</v>
      </c>
      <c r="V100" s="50" t="str">
        <f t="shared" ref="V100:V104" si="55">+PROPER(U100)</f>
        <v>Jazmin Pahola Melo Pantoja</v>
      </c>
      <c r="W100" s="50" t="str">
        <f t="shared" ref="W100:W104" si="56">CONCATENATE(U100,"-",B100,"-",N100)</f>
        <v>Jazmin Pahola Melo Pantoja-1004694875-BLS</v>
      </c>
    </row>
    <row r="101" spans="1:23" s="73" customFormat="1" ht="15.75" x14ac:dyDescent="0.25">
      <c r="A101" s="20">
        <v>100</v>
      </c>
      <c r="B101" s="20">
        <v>1004694875</v>
      </c>
      <c r="C101" s="20" t="s">
        <v>262</v>
      </c>
      <c r="D101" s="20" t="s">
        <v>351</v>
      </c>
      <c r="E101" s="20" t="s">
        <v>352</v>
      </c>
      <c r="F101" s="20" t="s">
        <v>353</v>
      </c>
      <c r="G101" s="19">
        <v>11</v>
      </c>
      <c r="H101" s="19" t="s">
        <v>99</v>
      </c>
      <c r="I101" s="25">
        <v>45395</v>
      </c>
      <c r="J101" s="88">
        <v>28000</v>
      </c>
      <c r="K101" s="116" t="s">
        <v>79</v>
      </c>
      <c r="L101" s="19" t="s">
        <v>84</v>
      </c>
      <c r="M101" s="19" t="s">
        <v>197</v>
      </c>
      <c r="N101" s="21" t="s">
        <v>25</v>
      </c>
      <c r="O101" s="72">
        <v>36868</v>
      </c>
      <c r="P101" s="20" t="s">
        <v>78</v>
      </c>
      <c r="Q101" s="20" t="s">
        <v>160</v>
      </c>
      <c r="R101" s="20"/>
      <c r="S101" s="74" t="s">
        <v>354</v>
      </c>
      <c r="T101" s="50" t="str">
        <f>+IF($N101=[1]CURSOS!$D$3,[1]CURSOS!$E$3,(+IF($N101=[1]CURSOS!$D$4,[1]CURSOS!$E$4,(+IF($N101=[1]CURSOS!$D$5,[1]CURSOS!$E$5,(+IF($N101=[1]CURSOS!$D$6,[1]CURSOS!$E$6,(+IF($N101=[1]CURSOS!$D$7,[1]CURSOS!$E$7,(+IF($N101=[1]CURSOS!$D$8,[1]CURSOS!$E$8,(+IF($N101=[1]CURSOS!$D$9,[1]CURSOS!$E$9,(+IF($N101=[1]CURSOS!$D$10,[1]CURSOS!$E$10,(+IF($N101=[1]CURSOS!$D$11,[1]CURSOS!$E$11,(+IF($N101=[1]CURSOS!$D$12,[1]CURSOS!$E$12,(+IF($N101=[1]CURSOS!$D$13,[1]CURSOS!$E$13,(+IF($N101=[1]CURSOS!$D$14,[1]CURSOS!$E$14,(+IF($N101=[1]CURSOS!$D$15,[1]CURSOS!$E$15,(+IF($N101=[1]CURSOS!$D$16,[1]CURSOS!$E$16,(+IF($N101=[1]CURSOS!$D$17,[1]CURSOS!$E$17,(+IF($N101=[1]CURSOS!$D$18,[1]CURSOS!$E$18,(+IF($N101=[1]CURSOS!$D$19,[1]CURSOS!$E$19,(+IF($N101=[1]CURSOS!$D$20,[1]CURSOS!$E$20,(+IF($N101=[1]CURSOS!$D$21,[1]CURSOS!$E$21,(+IF($N101=[1]CURSOS!$D$22,[1]CURSOS!$E$22,(+IF($N101=[1]CURSOS!$D$23,[1]CURSOS!$E$23,(+IF($N101=[1]CURSOS!$D$24,[1]CURSOS!$E$24,(+IF($N101=[1]CURSOS!$D$25,[1]CURSOS!$E$25,(+IF($N101=[1]CURSOS!$D$26,[1]CURSOS!$E$26,(+IF($N101=[1]CURSOS!$D$27,[1]CURSOS!$E$27,(+IF($N101=[1]CURSOS!$D$28,[1]CURSOS!$E$28,(+IF($N101=[1]CURSOS!$D$29,[1]CURSOS!$E$29,(+IF($N101=[1]CURSOS!$D$30,[1]CURSOS!$E$30,(+IF($N101=[1]CURSOS!$D$31,[1]CURSOS!$E$31,(+IF($N101=[1]CURSOS!$D$32,[1]CURSOS!$E$32)))))))))))))))))))))))))))))))))))))))))))))))))))))))))))</f>
        <v xml:space="preserve">ATENCION A VICTIMAS DE ATAQUE CON AGENTES QUIMICOS </v>
      </c>
      <c r="U101" s="50" t="str">
        <f t="shared" si="54"/>
        <v>Jazmin Pahola Melo Pantoja</v>
      </c>
      <c r="V101" s="50" t="str">
        <f t="shared" si="55"/>
        <v>Jazmin Pahola Melo Pantoja</v>
      </c>
      <c r="W101" s="50" t="str">
        <f t="shared" si="56"/>
        <v>Jazmin Pahola Melo Pantoja-1004694875-QUIMICOS</v>
      </c>
    </row>
    <row r="102" spans="1:23" s="73" customFormat="1" ht="15.75" x14ac:dyDescent="0.25">
      <c r="A102" s="20">
        <v>101</v>
      </c>
      <c r="B102" s="20">
        <v>1004694875</v>
      </c>
      <c r="C102" s="20" t="s">
        <v>262</v>
      </c>
      <c r="D102" s="20" t="s">
        <v>351</v>
      </c>
      <c r="E102" s="20" t="s">
        <v>352</v>
      </c>
      <c r="F102" s="20" t="s">
        <v>353</v>
      </c>
      <c r="G102" s="19">
        <v>10</v>
      </c>
      <c r="H102" s="19" t="s">
        <v>99</v>
      </c>
      <c r="I102" s="25">
        <v>45395</v>
      </c>
      <c r="J102" s="88">
        <v>28000</v>
      </c>
      <c r="K102" s="116" t="s">
        <v>79</v>
      </c>
      <c r="L102" s="19" t="s">
        <v>84</v>
      </c>
      <c r="M102" s="19" t="s">
        <v>197</v>
      </c>
      <c r="N102" s="21" t="s">
        <v>46</v>
      </c>
      <c r="O102" s="72">
        <v>36868</v>
      </c>
      <c r="P102" s="20" t="s">
        <v>78</v>
      </c>
      <c r="Q102" s="20" t="s">
        <v>160</v>
      </c>
      <c r="R102" s="20"/>
      <c r="S102" s="74" t="s">
        <v>354</v>
      </c>
      <c r="T102" s="50" t="str">
        <f>+IF($N102=[1]CURSOS!$D$3,[1]CURSOS!$E$3,(+IF($N102=[1]CURSOS!$D$4,[1]CURSOS!$E$4,(+IF($N102=[1]CURSOS!$D$5,[1]CURSOS!$E$5,(+IF($N102=[1]CURSOS!$D$6,[1]CURSOS!$E$6,(+IF($N102=[1]CURSOS!$D$7,[1]CURSOS!$E$7,(+IF($N102=[1]CURSOS!$D$8,[1]CURSOS!$E$8,(+IF($N102=[1]CURSOS!$D$9,[1]CURSOS!$E$9,(+IF($N102=[1]CURSOS!$D$10,[1]CURSOS!$E$10,(+IF($N102=[1]CURSOS!$D$11,[1]CURSOS!$E$11,(+IF($N102=[1]CURSOS!$D$12,[1]CURSOS!$E$12,(+IF($N102=[1]CURSOS!$D$13,[1]CURSOS!$E$13,(+IF($N102=[1]CURSOS!$D$14,[1]CURSOS!$E$14,(+IF($N102=[1]CURSOS!$D$15,[1]CURSOS!$E$15,(+IF($N102=[1]CURSOS!$D$16,[1]CURSOS!$E$16,(+IF($N102=[1]CURSOS!$D$17,[1]CURSOS!$E$17,(+IF($N102=[1]CURSOS!$D$18,[1]CURSOS!$E$18,(+IF($N102=[1]CURSOS!$D$19,[1]CURSOS!$E$19,(+IF($N102=[1]CURSOS!$D$20,[1]CURSOS!$E$20,(+IF($N102=[1]CURSOS!$D$21,[1]CURSOS!$E$21,(+IF($N102=[1]CURSOS!$D$22,[1]CURSOS!$E$22,(+IF($N102=[1]CURSOS!$D$23,[1]CURSOS!$E$23,(+IF($N102=[1]CURSOS!$D$24,[1]CURSOS!$E$24,(+IF($N102=[1]CURSOS!$D$25,[1]CURSOS!$E$25,(+IF($N102=[1]CURSOS!$D$26,[1]CURSOS!$E$26,(+IF($N102=[1]CURSOS!$D$27,[1]CURSOS!$E$27,(+IF($N102=[1]CURSOS!$D$28,[1]CURSOS!$E$28,(+IF($N102=[1]CURSOS!$D$29,[1]CURSOS!$E$29,(+IF($N102=[1]CURSOS!$D$30,[1]CURSOS!$E$30,(+IF($N102=[1]CURSOS!$D$31,[1]CURSOS!$E$31,(+IF($N102=[1]CURSOS!$D$32,[1]CURSOS!$E$32)))))))))))))))))))))))))))))))))))))))))))))))))))))))))))</f>
        <v xml:space="preserve">ATENCION A VICTIMAS DE VIOLENCIA SEXUAL </v>
      </c>
      <c r="U102" s="50" t="str">
        <f t="shared" si="54"/>
        <v>Jazmin Pahola Melo Pantoja</v>
      </c>
      <c r="V102" s="50" t="str">
        <f t="shared" si="55"/>
        <v>Jazmin Pahola Melo Pantoja</v>
      </c>
      <c r="W102" s="50" t="str">
        <f t="shared" si="56"/>
        <v>Jazmin Pahola Melo Pantoja-1004694875-VIOLENCIA SEXUAL</v>
      </c>
    </row>
    <row r="103" spans="1:23" s="73" customFormat="1" ht="15.75" x14ac:dyDescent="0.25">
      <c r="A103" s="20">
        <v>102</v>
      </c>
      <c r="B103" s="20">
        <v>1004694875</v>
      </c>
      <c r="C103" s="20" t="s">
        <v>262</v>
      </c>
      <c r="D103" s="20" t="s">
        <v>351</v>
      </c>
      <c r="E103" s="20" t="s">
        <v>352</v>
      </c>
      <c r="F103" s="20" t="s">
        <v>353</v>
      </c>
      <c r="G103" s="19">
        <v>12</v>
      </c>
      <c r="H103" s="19" t="s">
        <v>99</v>
      </c>
      <c r="I103" s="25">
        <v>45395</v>
      </c>
      <c r="J103" s="88">
        <v>28000</v>
      </c>
      <c r="K103" s="116" t="s">
        <v>79</v>
      </c>
      <c r="L103" s="19" t="s">
        <v>84</v>
      </c>
      <c r="M103" s="19" t="s">
        <v>197</v>
      </c>
      <c r="N103" s="21" t="s">
        <v>23</v>
      </c>
      <c r="O103" s="72">
        <v>36868</v>
      </c>
      <c r="P103" s="20" t="s">
        <v>78</v>
      </c>
      <c r="Q103" s="20" t="s">
        <v>160</v>
      </c>
      <c r="R103" s="20"/>
      <c r="S103" s="74" t="s">
        <v>354</v>
      </c>
      <c r="T103" s="50" t="str">
        <f>+IF($N103=[1]CURSOS!$D$3,[1]CURSOS!$E$3,(+IF($N103=[1]CURSOS!$D$4,[1]CURSOS!$E$4,(+IF($N103=[1]CURSOS!$D$5,[1]CURSOS!$E$5,(+IF($N103=[1]CURSOS!$D$6,[1]CURSOS!$E$6,(+IF($N103=[1]CURSOS!$D$7,[1]CURSOS!$E$7,(+IF($N103=[1]CURSOS!$D$8,[1]CURSOS!$E$8,(+IF($N103=[1]CURSOS!$D$9,[1]CURSOS!$E$9,(+IF($N103=[1]CURSOS!$D$10,[1]CURSOS!$E$10,(+IF($N103=[1]CURSOS!$D$11,[1]CURSOS!$E$11,(+IF($N103=[1]CURSOS!$D$12,[1]CURSOS!$E$12,(+IF($N103=[1]CURSOS!$D$13,[1]CURSOS!$E$13,(+IF($N103=[1]CURSOS!$D$14,[1]CURSOS!$E$14,(+IF($N103=[1]CURSOS!$D$15,[1]CURSOS!$E$15,(+IF($N103=[1]CURSOS!$D$16,[1]CURSOS!$E$16,(+IF($N103=[1]CURSOS!$D$17,[1]CURSOS!$E$17,(+IF($N103=[1]CURSOS!$D$18,[1]CURSOS!$E$18,(+IF($N103=[1]CURSOS!$D$19,[1]CURSOS!$E$19,(+IF($N103=[1]CURSOS!$D$20,[1]CURSOS!$E$20,(+IF($N103=[1]CURSOS!$D$21,[1]CURSOS!$E$21,(+IF($N103=[1]CURSOS!$D$22,[1]CURSOS!$E$22,(+IF($N103=[1]CURSOS!$D$23,[1]CURSOS!$E$23,(+IF($N103=[1]CURSOS!$D$24,[1]CURSOS!$E$24,(+IF($N103=[1]CURSOS!$D$25,[1]CURSOS!$E$25,(+IF($N103=[1]CURSOS!$D$26,[1]CURSOS!$E$26,(+IF($N103=[1]CURSOS!$D$27,[1]CURSOS!$E$27,(+IF($N103=[1]CURSOS!$D$28,[1]CURSOS!$E$28,(+IF($N103=[1]CURSOS!$D$29,[1]CURSOS!$E$29,(+IF($N103=[1]CURSOS!$D$30,[1]CURSOS!$E$30,(+IF($N103=[1]CURSOS!$D$31,[1]CURSOS!$E$31,(+IF($N103=[1]CURSOS!$D$32,[1]CURSOS!$E$32)))))))))))))))))))))))))))))))))))))))))))))))))))))))))))</f>
        <v>ACOMPAÑAMIENTO Y MANEJO DEL DUELO</v>
      </c>
      <c r="U103" s="50" t="str">
        <f t="shared" si="54"/>
        <v>Jazmin Pahola Melo Pantoja</v>
      </c>
      <c r="V103" s="50" t="str">
        <f t="shared" si="55"/>
        <v>Jazmin Pahola Melo Pantoja</v>
      </c>
      <c r="W103" s="50" t="str">
        <f t="shared" si="56"/>
        <v>Jazmin Pahola Melo Pantoja-1004694875-DUELO</v>
      </c>
    </row>
    <row r="104" spans="1:23" s="73" customFormat="1" x14ac:dyDescent="0.2">
      <c r="A104" s="20">
        <v>103</v>
      </c>
      <c r="B104" s="20">
        <v>87453037</v>
      </c>
      <c r="C104" s="20" t="s">
        <v>355</v>
      </c>
      <c r="D104" s="20" t="s">
        <v>356</v>
      </c>
      <c r="E104" s="20" t="s">
        <v>357</v>
      </c>
      <c r="F104" s="20" t="s">
        <v>358</v>
      </c>
      <c r="G104" s="19">
        <v>10</v>
      </c>
      <c r="H104" s="19" t="s">
        <v>99</v>
      </c>
      <c r="I104" s="25">
        <v>45395</v>
      </c>
      <c r="J104" s="88">
        <v>28000</v>
      </c>
      <c r="K104" s="116" t="s">
        <v>79</v>
      </c>
      <c r="L104" s="19" t="s">
        <v>84</v>
      </c>
      <c r="M104" s="19" t="s">
        <v>197</v>
      </c>
      <c r="N104" s="21" t="s">
        <v>33</v>
      </c>
      <c r="O104" s="72">
        <v>26418</v>
      </c>
      <c r="P104" s="20" t="s">
        <v>88</v>
      </c>
      <c r="Q104" s="20" t="s">
        <v>160</v>
      </c>
      <c r="R104" s="20"/>
      <c r="S104" s="20"/>
      <c r="T104" s="50" t="str">
        <f>+IF($N104=[1]CURSOS!$D$3,[1]CURSOS!$E$3,(+IF($N104=[1]CURSOS!$D$4,[1]CURSOS!$E$4,(+IF($N104=[1]CURSOS!$D$5,[1]CURSOS!$E$5,(+IF($N104=[1]CURSOS!$D$6,[1]CURSOS!$E$6,(+IF($N104=[1]CURSOS!$D$7,[1]CURSOS!$E$7,(+IF($N104=[1]CURSOS!$D$8,[1]CURSOS!$E$8,(+IF($N104=[1]CURSOS!$D$9,[1]CURSOS!$E$9,(+IF($N104=[1]CURSOS!$D$10,[1]CURSOS!$E$10,(+IF($N104=[1]CURSOS!$D$11,[1]CURSOS!$E$11,(+IF($N104=[1]CURSOS!$D$12,[1]CURSOS!$E$12,(+IF($N104=[1]CURSOS!$D$13,[1]CURSOS!$E$13,(+IF($N104=[1]CURSOS!$D$14,[1]CURSOS!$E$14,(+IF($N104=[1]CURSOS!$D$15,[1]CURSOS!$E$15,(+IF($N104=[1]CURSOS!$D$16,[1]CURSOS!$E$16,(+IF($N104=[1]CURSOS!$D$17,[1]CURSOS!$E$17,(+IF($N104=[1]CURSOS!$D$18,[1]CURSOS!$E$18,(+IF($N104=[1]CURSOS!$D$19,[1]CURSOS!$E$19,(+IF($N104=[1]CURSOS!$D$20,[1]CURSOS!$E$20,(+IF($N104=[1]CURSOS!$D$21,[1]CURSOS!$E$21,(+IF($N104=[1]CURSOS!$D$22,[1]CURSOS!$E$22,(+IF($N104=[1]CURSOS!$D$23,[1]CURSOS!$E$23,(+IF($N104=[1]CURSOS!$D$24,[1]CURSOS!$E$24,(+IF($N104=[1]CURSOS!$D$25,[1]CURSOS!$E$25,(+IF($N104=[1]CURSOS!$D$26,[1]CURSOS!$E$26,(+IF($N104=[1]CURSOS!$D$27,[1]CURSOS!$E$27,(+IF($N104=[1]CURSOS!$D$28,[1]CURSOS!$E$28,(+IF($N104=[1]CURSOS!$D$29,[1]CURSOS!$E$29,(+IF($N104=[1]CURSOS!$D$30,[1]CURSOS!$E$30,(+IF($N104=[1]CURSOS!$D$31,[1]CURSOS!$E$31,(+IF($N104=[1]CURSOS!$D$32,[1]CURSOS!$E$32)))))))))))))))))))))))))))))))))))))))))))))))))))))))))))</f>
        <v xml:space="preserve">HUMANIZACION EN SALUD, BUENAS PRACTICAS EN PACIENTE </v>
      </c>
      <c r="U104" s="50" t="str">
        <f t="shared" si="54"/>
        <v>Mauricio Alexander Obando Alvarez</v>
      </c>
      <c r="V104" s="50" t="str">
        <f t="shared" si="55"/>
        <v>Mauricio Alexander Obando Alvarez</v>
      </c>
      <c r="W104" s="50" t="str">
        <f t="shared" si="56"/>
        <v>Mauricio Alexander Obando Alvarez-87453037-HUMANIZACION</v>
      </c>
    </row>
    <row r="105" spans="1:23" s="73" customFormat="1" x14ac:dyDescent="0.2">
      <c r="A105" s="20">
        <v>104</v>
      </c>
      <c r="B105" s="20">
        <v>12990618</v>
      </c>
      <c r="C105" s="20" t="s">
        <v>359</v>
      </c>
      <c r="D105" s="20"/>
      <c r="E105" s="20" t="s">
        <v>360</v>
      </c>
      <c r="F105" s="20" t="s">
        <v>361</v>
      </c>
      <c r="G105" s="19">
        <v>11</v>
      </c>
      <c r="H105" s="19" t="s">
        <v>99</v>
      </c>
      <c r="I105" s="25">
        <v>45393</v>
      </c>
      <c r="J105" s="88" t="s">
        <v>167</v>
      </c>
      <c r="K105" s="19" t="s">
        <v>168</v>
      </c>
      <c r="L105" s="19" t="s">
        <v>84</v>
      </c>
      <c r="M105" s="19" t="s">
        <v>77</v>
      </c>
      <c r="N105" s="21" t="s">
        <v>39</v>
      </c>
      <c r="O105" s="72">
        <v>24511</v>
      </c>
      <c r="P105" s="20" t="s">
        <v>78</v>
      </c>
      <c r="Q105" s="20" t="s">
        <v>160</v>
      </c>
      <c r="R105" s="20"/>
      <c r="S105" s="20"/>
      <c r="T105" s="50" t="str">
        <f>+IF($N105=[1]CURSOS!$D$3,[1]CURSOS!$E$3,(+IF($N105=[1]CURSOS!$D$4,[1]CURSOS!$E$4,(+IF($N105=[1]CURSOS!$D$5,[1]CURSOS!$E$5,(+IF($N105=[1]CURSOS!$D$6,[1]CURSOS!$E$6,(+IF($N105=[1]CURSOS!$D$7,[1]CURSOS!$E$7,(+IF($N105=[1]CURSOS!$D$8,[1]CURSOS!$E$8,(+IF($N105=[1]CURSOS!$D$9,[1]CURSOS!$E$9,(+IF($N105=[1]CURSOS!$D$10,[1]CURSOS!$E$10,(+IF($N105=[1]CURSOS!$D$11,[1]CURSOS!$E$11,(+IF($N105=[1]CURSOS!$D$12,[1]CURSOS!$E$12,(+IF($N105=[1]CURSOS!$D$13,[1]CURSOS!$E$13,(+IF($N105=[1]CURSOS!$D$14,[1]CURSOS!$E$14,(+IF($N105=[1]CURSOS!$D$15,[1]CURSOS!$E$15,(+IF($N105=[1]CURSOS!$D$16,[1]CURSOS!$E$16,(+IF($N105=[1]CURSOS!$D$17,[1]CURSOS!$E$17,(+IF($N105=[1]CURSOS!$D$18,[1]CURSOS!$E$18,(+IF($N105=[1]CURSOS!$D$19,[1]CURSOS!$E$19,(+IF($N105=[1]CURSOS!$D$20,[1]CURSOS!$E$20,(+IF($N105=[1]CURSOS!$D$21,[1]CURSOS!$E$21,(+IF($N105=[1]CURSOS!$D$22,[1]CURSOS!$E$22,(+IF($N105=[1]CURSOS!$D$23,[1]CURSOS!$E$23,(+IF($N105=[1]CURSOS!$D$24,[1]CURSOS!$E$24,(+IF($N105=[1]CURSOS!$D$25,[1]CURSOS!$E$25,(+IF($N105=[1]CURSOS!$D$26,[1]CURSOS!$E$26,(+IF($N105=[1]CURSOS!$D$27,[1]CURSOS!$E$27,(+IF($N105=[1]CURSOS!$D$28,[1]CURSOS!$E$28,(+IF($N105=[1]CURSOS!$D$29,[1]CURSOS!$E$29,(+IF($N105=[1]CURSOS!$D$30,[1]CURSOS!$E$30,(+IF($N105=[1]CURSOS!$D$31,[1]CURSOS!$E$31,(+IF($N105=[1]CURSOS!$D$32,[1]CURSOS!$E$32)))))))))))))))))))))))))))))))))))))))))))))))))))))))))))</f>
        <v xml:space="preserve">SOPORTE CARDIOVASCULAR AVANZADO </v>
      </c>
      <c r="U105" s="50" t="str">
        <f t="shared" ref="U105:U109" si="57">CONCATENATE(E105," ",F105," ",C105," ",D105)</f>
        <v xml:space="preserve">Hernan William Burbano  </v>
      </c>
      <c r="V105" s="50" t="str">
        <f t="shared" ref="V105:V109" si="58">+PROPER(U105)</f>
        <v xml:space="preserve">Hernan William Burbano  </v>
      </c>
      <c r="W105" s="50" t="str">
        <f t="shared" ref="W105:W109" si="59">CONCATENATE(U105,"-",B105,"-",N105)</f>
        <v>Hernan William Burbano  -12990618-ACLS</v>
      </c>
    </row>
    <row r="106" spans="1:23" s="73" customFormat="1" x14ac:dyDescent="0.2">
      <c r="A106" s="20">
        <v>105</v>
      </c>
      <c r="B106" s="20">
        <v>12990618</v>
      </c>
      <c r="C106" s="20" t="s">
        <v>359</v>
      </c>
      <c r="D106" s="20"/>
      <c r="E106" s="20" t="s">
        <v>360</v>
      </c>
      <c r="F106" s="20" t="s">
        <v>361</v>
      </c>
      <c r="G106" s="19">
        <v>11</v>
      </c>
      <c r="H106" s="19" t="s">
        <v>99</v>
      </c>
      <c r="I106" s="25">
        <v>45393</v>
      </c>
      <c r="J106" s="88" t="s">
        <v>167</v>
      </c>
      <c r="K106" s="19" t="s">
        <v>168</v>
      </c>
      <c r="L106" s="19" t="s">
        <v>84</v>
      </c>
      <c r="M106" s="19" t="s">
        <v>77</v>
      </c>
      <c r="N106" s="21" t="s">
        <v>19</v>
      </c>
      <c r="O106" s="72">
        <v>24511</v>
      </c>
      <c r="P106" s="20" t="s">
        <v>78</v>
      </c>
      <c r="Q106" s="20" t="s">
        <v>160</v>
      </c>
      <c r="R106" s="20"/>
      <c r="S106" s="20"/>
      <c r="T106" s="50" t="s">
        <v>364</v>
      </c>
      <c r="U106" s="50" t="str">
        <f t="shared" si="57"/>
        <v xml:space="preserve">Hernan William Burbano  </v>
      </c>
      <c r="V106" s="50" t="str">
        <f t="shared" si="58"/>
        <v xml:space="preserve">Hernan William Burbano  </v>
      </c>
      <c r="W106" s="50" t="str">
        <f t="shared" si="59"/>
        <v>Hernan William Burbano  -12990618-BLS</v>
      </c>
    </row>
    <row r="107" spans="1:23" s="73" customFormat="1" x14ac:dyDescent="0.2">
      <c r="A107" s="20">
        <v>106</v>
      </c>
      <c r="B107" s="20">
        <v>1088737998</v>
      </c>
      <c r="C107" s="20" t="s">
        <v>355</v>
      </c>
      <c r="D107" s="20" t="s">
        <v>182</v>
      </c>
      <c r="E107" s="20" t="s">
        <v>267</v>
      </c>
      <c r="F107" s="20" t="s">
        <v>121</v>
      </c>
      <c r="G107" s="19">
        <v>12</v>
      </c>
      <c r="H107" s="19" t="s">
        <v>99</v>
      </c>
      <c r="I107" s="25">
        <v>45395</v>
      </c>
      <c r="J107" s="88">
        <v>35000</v>
      </c>
      <c r="K107" s="116" t="s">
        <v>79</v>
      </c>
      <c r="L107" s="19" t="s">
        <v>84</v>
      </c>
      <c r="M107" s="19" t="s">
        <v>197</v>
      </c>
      <c r="N107" s="21" t="s">
        <v>50</v>
      </c>
      <c r="O107" s="72">
        <v>35537</v>
      </c>
      <c r="P107" s="20" t="s">
        <v>78</v>
      </c>
      <c r="Q107" s="20" t="s">
        <v>362</v>
      </c>
      <c r="R107" s="20"/>
      <c r="S107" s="20"/>
      <c r="T107" s="50" t="str">
        <f>+IF($N107=[1]CURSOS!$D$3,[1]CURSOS!$E$3,(+IF($N107=[1]CURSOS!$D$4,[1]CURSOS!$E$4,(+IF($N107=[1]CURSOS!$D$5,[1]CURSOS!$E$5,(+IF($N107=[1]CURSOS!$D$6,[1]CURSOS!$E$6,(+IF($N107=[1]CURSOS!$D$7,[1]CURSOS!$E$7,(+IF($N107=[1]CURSOS!$D$8,[1]CURSOS!$E$8,(+IF($N107=[1]CURSOS!$D$9,[1]CURSOS!$E$9,(+IF($N107=[1]CURSOS!$D$10,[1]CURSOS!$E$10,(+IF($N107=[1]CURSOS!$D$11,[1]CURSOS!$E$11,(+IF($N107=[1]CURSOS!$D$12,[1]CURSOS!$E$12,(+IF($N107=[1]CURSOS!$D$13,[1]CURSOS!$E$13,(+IF($N107=[1]CURSOS!$D$14,[1]CURSOS!$E$14,(+IF($N107=[1]CURSOS!$D$15,[1]CURSOS!$E$15,(+IF($N107=[1]CURSOS!$D$16,[1]CURSOS!$E$16,(+IF($N107=[1]CURSOS!$D$17,[1]CURSOS!$E$17,(+IF($N107=[1]CURSOS!$D$18,[1]CURSOS!$E$18,(+IF($N107=[1]CURSOS!$D$19,[1]CURSOS!$E$19,(+IF($N107=[1]CURSOS!$D$20,[1]CURSOS!$E$20,(+IF($N107=[1]CURSOS!$D$21,[1]CURSOS!$E$21,(+IF($N107=[1]CURSOS!$D$22,[1]CURSOS!$E$22,(+IF($N107=[1]CURSOS!$D$23,[1]CURSOS!$E$23,(+IF($N107=[1]CURSOS!$D$24,[1]CURSOS!$E$24,(+IF($N107=[1]CURSOS!$D$25,[1]CURSOS!$E$25,(+IF($N107=[1]CURSOS!$D$26,[1]CURSOS!$E$26,(+IF($N107=[1]CURSOS!$D$27,[1]CURSOS!$E$27,(+IF($N107=[1]CURSOS!$D$28,[1]CURSOS!$E$28,(+IF($N107=[1]CURSOS!$D$29,[1]CURSOS!$E$29,(+IF($N107=[1]CURSOS!$D$30,[1]CURSOS!$E$30,(+IF($N107=[1]CURSOS!$D$31,[1]CURSOS!$E$31,(+IF($N107=[1]CURSOS!$D$32,[1]CURSOS!$E$32)))))))))))))))))))))))))))))))))))))))))))))))))))))))))))</f>
        <v>ATENCION INTEGRAL EN ENFERMEDADES PREVALENTES EN PRIMERA INFANCIA (AIEPI)</v>
      </c>
      <c r="U107" s="50" t="str">
        <f t="shared" si="57"/>
        <v>Maria Alejandra Obando Guerrero</v>
      </c>
      <c r="V107" s="50" t="str">
        <f t="shared" si="58"/>
        <v>Maria Alejandra Obando Guerrero</v>
      </c>
      <c r="W107" s="50" t="str">
        <f t="shared" si="59"/>
        <v>Maria Alejandra Obando Guerrero-1088737998-AIEPI</v>
      </c>
    </row>
    <row r="108" spans="1:23" s="73" customFormat="1" x14ac:dyDescent="0.2">
      <c r="A108" s="20">
        <v>107</v>
      </c>
      <c r="B108" s="20">
        <v>1088737998</v>
      </c>
      <c r="C108" s="20" t="s">
        <v>355</v>
      </c>
      <c r="D108" s="20" t="s">
        <v>182</v>
      </c>
      <c r="E108" s="20" t="s">
        <v>267</v>
      </c>
      <c r="F108" s="20" t="s">
        <v>121</v>
      </c>
      <c r="G108" s="19">
        <v>12</v>
      </c>
      <c r="H108" s="19" t="s">
        <v>99</v>
      </c>
      <c r="I108" s="25" t="s">
        <v>90</v>
      </c>
      <c r="J108" s="88">
        <v>35000</v>
      </c>
      <c r="K108" s="19" t="s">
        <v>168</v>
      </c>
      <c r="L108" s="19" t="s">
        <v>84</v>
      </c>
      <c r="M108" s="19" t="s">
        <v>197</v>
      </c>
      <c r="N108" s="21" t="s">
        <v>249</v>
      </c>
      <c r="O108" s="72">
        <v>35537</v>
      </c>
      <c r="P108" s="20" t="s">
        <v>78</v>
      </c>
      <c r="Q108" s="20" t="s">
        <v>363</v>
      </c>
      <c r="R108" s="20"/>
      <c r="S108" s="20"/>
      <c r="T108" s="50" t="s">
        <v>249</v>
      </c>
      <c r="U108" s="50" t="str">
        <f t="shared" si="57"/>
        <v>Maria Alejandra Obando Guerrero</v>
      </c>
      <c r="V108" s="50" t="str">
        <f t="shared" si="58"/>
        <v>Maria Alejandra Obando Guerrero</v>
      </c>
      <c r="W108" s="50" t="str">
        <f t="shared" si="59"/>
        <v>Maria Alejandra Obando Guerrero-1088737998-CUIDADO AL PACIENTE DONANTE</v>
      </c>
    </row>
    <row r="109" spans="1:23" s="73" customFormat="1" x14ac:dyDescent="0.2">
      <c r="A109" s="20">
        <v>108</v>
      </c>
      <c r="B109" s="20">
        <v>98417516</v>
      </c>
      <c r="C109" s="20" t="s">
        <v>365</v>
      </c>
      <c r="D109" s="20" t="s">
        <v>366</v>
      </c>
      <c r="E109" s="20" t="s">
        <v>367</v>
      </c>
      <c r="F109" s="20" t="s">
        <v>147</v>
      </c>
      <c r="G109" s="19">
        <v>29</v>
      </c>
      <c r="H109" s="19" t="s">
        <v>317</v>
      </c>
      <c r="I109" s="25">
        <v>45394</v>
      </c>
      <c r="J109" s="98">
        <v>40000</v>
      </c>
      <c r="K109" s="116" t="s">
        <v>368</v>
      </c>
      <c r="L109" s="19" t="s">
        <v>84</v>
      </c>
      <c r="M109" s="19" t="s">
        <v>159</v>
      </c>
      <c r="N109" s="21" t="s">
        <v>27</v>
      </c>
      <c r="O109" s="72"/>
      <c r="P109" s="20" t="s">
        <v>88</v>
      </c>
      <c r="Q109" s="20" t="s">
        <v>160</v>
      </c>
      <c r="R109" s="20"/>
      <c r="S109" s="20"/>
      <c r="T109" s="50" t="str">
        <f>+IF($N109=[1]CURSOS!$D$3,[1]CURSOS!$E$3,(+IF($N109=[1]CURSOS!$D$4,[1]CURSOS!$E$4,(+IF($N109=[1]CURSOS!$D$5,[1]CURSOS!$E$5,(+IF($N109=[1]CURSOS!$D$6,[1]CURSOS!$E$6,(+IF($N109=[1]CURSOS!$D$7,[1]CURSOS!$E$7,(+IF($N109=[1]CURSOS!$D$8,[1]CURSOS!$E$8,(+IF($N109=[1]CURSOS!$D$9,[1]CURSOS!$E$9,(+IF($N109=[1]CURSOS!$D$10,[1]CURSOS!$E$10,(+IF($N109=[1]CURSOS!$D$11,[1]CURSOS!$E$11,(+IF($N109=[1]CURSOS!$D$12,[1]CURSOS!$E$12,(+IF($N109=[1]CURSOS!$D$13,[1]CURSOS!$E$13,(+IF($N109=[1]CURSOS!$D$14,[1]CURSOS!$E$14,(+IF($N109=[1]CURSOS!$D$15,[1]CURSOS!$E$15,(+IF($N109=[1]CURSOS!$D$16,[1]CURSOS!$E$16,(+IF($N109=[1]CURSOS!$D$17,[1]CURSOS!$E$17,(+IF($N109=[1]CURSOS!$D$18,[1]CURSOS!$E$18,(+IF($N109=[1]CURSOS!$D$19,[1]CURSOS!$E$19,(+IF($N109=[1]CURSOS!$D$20,[1]CURSOS!$E$20,(+IF($N109=[1]CURSOS!$D$21,[1]CURSOS!$E$21,(+IF($N109=[1]CURSOS!$D$22,[1]CURSOS!$E$22,(+IF($N109=[1]CURSOS!$D$23,[1]CURSOS!$E$23,(+IF($N109=[1]CURSOS!$D$24,[1]CURSOS!$E$24,(+IF($N109=[1]CURSOS!$D$25,[1]CURSOS!$E$25,(+IF($N109=[1]CURSOS!$D$26,[1]CURSOS!$E$26,(+IF($N109=[1]CURSOS!$D$27,[1]CURSOS!$E$27,(+IF($N109=[1]CURSOS!$D$28,[1]CURSOS!$E$28,(+IF($N109=[1]CURSOS!$D$29,[1]CURSOS!$E$29,(+IF($N109=[1]CURSOS!$D$30,[1]CURSOS!$E$30,(+IF($N109=[1]CURSOS!$D$31,[1]CURSOS!$E$31,(+IF($N109=[1]CURSOS!$D$32,[1]CURSOS!$E$32)))))))))))))))))))))))))))))))))))))))))))))))))))))))))))</f>
        <v xml:space="preserve">PRIMEROS AUXILIOS </v>
      </c>
      <c r="U109" s="50" t="str">
        <f t="shared" si="57"/>
        <v>Walther Andres Jativa Coral</v>
      </c>
      <c r="V109" s="50" t="str">
        <f t="shared" si="58"/>
        <v>Walther Andres Jativa Coral</v>
      </c>
      <c r="W109" s="50" t="str">
        <f t="shared" si="59"/>
        <v>Walther Andres Jativa Coral-98417516-PRIMEROS AUXILIOS</v>
      </c>
    </row>
    <row r="110" spans="1:23" s="73" customFormat="1" x14ac:dyDescent="0.2">
      <c r="A110" s="20">
        <v>109</v>
      </c>
      <c r="B110" s="20">
        <v>27461915</v>
      </c>
      <c r="C110" s="20" t="s">
        <v>151</v>
      </c>
      <c r="D110" s="20" t="s">
        <v>369</v>
      </c>
      <c r="E110" s="20" t="s">
        <v>267</v>
      </c>
      <c r="F110" s="20" t="s">
        <v>370</v>
      </c>
      <c r="G110" s="19">
        <v>15</v>
      </c>
      <c r="H110" s="19" t="s">
        <v>99</v>
      </c>
      <c r="I110" s="25" t="s">
        <v>90</v>
      </c>
      <c r="J110" s="98">
        <v>30000</v>
      </c>
      <c r="K110" s="19" t="s">
        <v>431</v>
      </c>
      <c r="L110" s="19" t="s">
        <v>84</v>
      </c>
      <c r="M110" s="19" t="s">
        <v>371</v>
      </c>
      <c r="N110" s="21" t="s">
        <v>68</v>
      </c>
      <c r="O110" s="72"/>
      <c r="P110" s="20" t="s">
        <v>78</v>
      </c>
      <c r="Q110" s="20"/>
      <c r="R110" s="20"/>
      <c r="S110" s="20"/>
      <c r="T110" s="50" t="str">
        <f>+IF($N110=[1]CURSOS!$D$3,[1]CURSOS!$E$3,(+IF($N110=[1]CURSOS!$D$4,[1]CURSOS!$E$4,(+IF($N110=[1]CURSOS!$D$5,[1]CURSOS!$E$5,(+IF($N110=[1]CURSOS!$D$6,[1]CURSOS!$E$6,(+IF($N110=[1]CURSOS!$D$7,[1]CURSOS!$E$7,(+IF($N110=[1]CURSOS!$D$8,[1]CURSOS!$E$8,(+IF($N110=[1]CURSOS!$D$9,[1]CURSOS!$E$9,(+IF($N110=[1]CURSOS!$D$10,[1]CURSOS!$E$10,(+IF($N110=[1]CURSOS!$D$11,[1]CURSOS!$E$11,(+IF($N110=[1]CURSOS!$D$12,[1]CURSOS!$E$12,(+IF($N110=[1]CURSOS!$D$13,[1]CURSOS!$E$13,(+IF($N110=[1]CURSOS!$D$14,[1]CURSOS!$E$14,(+IF($N110=[1]CURSOS!$D$15,[1]CURSOS!$E$15,(+IF($N110=[1]CURSOS!$D$16,[1]CURSOS!$E$16,(+IF($N110=[1]CURSOS!$D$17,[1]CURSOS!$E$17,(+IF($N110=[1]CURSOS!$D$18,[1]CURSOS!$E$18,(+IF($N110=[1]CURSOS!$D$19,[1]CURSOS!$E$19,(+IF($N110=[1]CURSOS!$D$20,[1]CURSOS!$E$20,(+IF($N110=[1]CURSOS!$D$21,[1]CURSOS!$E$21,(+IF($N110=[1]CURSOS!$D$22,[1]CURSOS!$E$22,(+IF($N110=[1]CURSOS!$D$23,[1]CURSOS!$E$23,(+IF($N110=[1]CURSOS!$D$24,[1]CURSOS!$E$24,(+IF($N110=[1]CURSOS!$D$25,[1]CURSOS!$E$25,(+IF($N110=[1]CURSOS!$D$26,[1]CURSOS!$E$26,(+IF($N110=[1]CURSOS!$D$27,[1]CURSOS!$E$27,(+IF($N110=[1]CURSOS!$D$28,[1]CURSOS!$E$28,(+IF($N110=[1]CURSOS!$D$29,[1]CURSOS!$E$29,(+IF($N110=[1]CURSOS!$D$30,[1]CURSOS!$E$30,(+IF($N110=[1]CURSOS!$D$31,[1]CURSOS!$E$31,(+IF($N110=[1]CURSOS!$D$32,[1]CURSOS!$E$32)))))))))))))))))))))))))))))))))))))))))))))))))))))))))))</f>
        <v>TOMA MUESTRAS Y LABORATORIO POCT</v>
      </c>
      <c r="U110" s="50" t="str">
        <f t="shared" ref="U110:U112" si="60">CONCATENATE(E110," ",F110," ",C110," ",D110)</f>
        <v>Maria Luisa Cordoba Urbano</v>
      </c>
      <c r="V110" s="50" t="str">
        <f t="shared" ref="V110:V112" si="61">+PROPER(U110)</f>
        <v>Maria Luisa Cordoba Urbano</v>
      </c>
      <c r="W110" s="50" t="str">
        <f t="shared" ref="W110:W112" si="62">CONCATENATE(U110,"-",B110,"-",N110)</f>
        <v>Maria Luisa Cordoba Urbano-27461915-POCT</v>
      </c>
    </row>
    <row r="111" spans="1:23" s="73" customFormat="1" x14ac:dyDescent="0.2">
      <c r="A111" s="20">
        <v>110</v>
      </c>
      <c r="B111" s="20">
        <v>1088736736</v>
      </c>
      <c r="C111" s="20" t="s">
        <v>372</v>
      </c>
      <c r="D111" s="20" t="s">
        <v>373</v>
      </c>
      <c r="E111" s="20" t="s">
        <v>138</v>
      </c>
      <c r="F111" s="20" t="s">
        <v>374</v>
      </c>
      <c r="G111" s="19">
        <v>15</v>
      </c>
      <c r="H111" s="19" t="s">
        <v>99</v>
      </c>
      <c r="I111" s="25">
        <v>45397</v>
      </c>
      <c r="J111" s="88">
        <v>32000</v>
      </c>
      <c r="K111" s="116" t="s">
        <v>79</v>
      </c>
      <c r="L111" s="19" t="s">
        <v>84</v>
      </c>
      <c r="M111" s="19" t="s">
        <v>197</v>
      </c>
      <c r="N111" s="21" t="s">
        <v>46</v>
      </c>
      <c r="O111" s="72">
        <v>34604</v>
      </c>
      <c r="P111" s="20" t="s">
        <v>78</v>
      </c>
      <c r="Q111" s="20" t="s">
        <v>375</v>
      </c>
      <c r="R111" s="20"/>
      <c r="S111" s="20" t="s">
        <v>376</v>
      </c>
      <c r="T111" s="50" t="str">
        <f>+IF($N111=[1]CURSOS!$D$3,[1]CURSOS!$E$3,(+IF($N111=[1]CURSOS!$D$4,[1]CURSOS!$E$4,(+IF($N111=[1]CURSOS!$D$5,[1]CURSOS!$E$5,(+IF($N111=[1]CURSOS!$D$6,[1]CURSOS!$E$6,(+IF($N111=[1]CURSOS!$D$7,[1]CURSOS!$E$7,(+IF($N111=[1]CURSOS!$D$8,[1]CURSOS!$E$8,(+IF($N111=[1]CURSOS!$D$9,[1]CURSOS!$E$9,(+IF($N111=[1]CURSOS!$D$10,[1]CURSOS!$E$10,(+IF($N111=[1]CURSOS!$D$11,[1]CURSOS!$E$11,(+IF($N111=[1]CURSOS!$D$12,[1]CURSOS!$E$12,(+IF($N111=[1]CURSOS!$D$13,[1]CURSOS!$E$13,(+IF($N111=[1]CURSOS!$D$14,[1]CURSOS!$E$14,(+IF($N111=[1]CURSOS!$D$15,[1]CURSOS!$E$15,(+IF($N111=[1]CURSOS!$D$16,[1]CURSOS!$E$16,(+IF($N111=[1]CURSOS!$D$17,[1]CURSOS!$E$17,(+IF($N111=[1]CURSOS!$D$18,[1]CURSOS!$E$18,(+IF($N111=[1]CURSOS!$D$19,[1]CURSOS!$E$19,(+IF($N111=[1]CURSOS!$D$20,[1]CURSOS!$E$20,(+IF($N111=[1]CURSOS!$D$21,[1]CURSOS!$E$21,(+IF($N111=[1]CURSOS!$D$22,[1]CURSOS!$E$22,(+IF($N111=[1]CURSOS!$D$23,[1]CURSOS!$E$23,(+IF($N111=[1]CURSOS!$D$24,[1]CURSOS!$E$24,(+IF($N111=[1]CURSOS!$D$25,[1]CURSOS!$E$25,(+IF($N111=[1]CURSOS!$D$26,[1]CURSOS!$E$26,(+IF($N111=[1]CURSOS!$D$27,[1]CURSOS!$E$27,(+IF($N111=[1]CURSOS!$D$28,[1]CURSOS!$E$28,(+IF($N111=[1]CURSOS!$D$29,[1]CURSOS!$E$29,(+IF($N111=[1]CURSOS!$D$30,[1]CURSOS!$E$30,(+IF($N111=[1]CURSOS!$D$31,[1]CURSOS!$E$31,(+IF($N111=[1]CURSOS!$D$32,[1]CURSOS!$E$32)))))))))))))))))))))))))))))))))))))))))))))))))))))))))))</f>
        <v xml:space="preserve">ATENCION A VICTIMAS DE VIOLENCIA SEXUAL </v>
      </c>
      <c r="U111" s="50" t="str">
        <f t="shared" si="60"/>
        <v>Johana ELIZABETH CASANOVA ROJAS</v>
      </c>
      <c r="V111" s="50" t="str">
        <f t="shared" si="61"/>
        <v>Johana Elizabeth Casanova Rojas</v>
      </c>
      <c r="W111" s="50" t="str">
        <f t="shared" si="62"/>
        <v>Johana ELIZABETH CASANOVA ROJAS-1088736736-VIOLENCIA SEXUAL</v>
      </c>
    </row>
    <row r="112" spans="1:23" s="73" customFormat="1" x14ac:dyDescent="0.2">
      <c r="A112" s="20">
        <v>111</v>
      </c>
      <c r="B112" s="20">
        <v>1088736736</v>
      </c>
      <c r="C112" s="20" t="s">
        <v>372</v>
      </c>
      <c r="D112" s="20" t="s">
        <v>373</v>
      </c>
      <c r="E112" s="20" t="s">
        <v>138</v>
      </c>
      <c r="F112" s="20" t="s">
        <v>374</v>
      </c>
      <c r="G112" s="19">
        <v>15</v>
      </c>
      <c r="H112" s="19" t="s">
        <v>99</v>
      </c>
      <c r="I112" s="25">
        <v>45397</v>
      </c>
      <c r="J112" s="88">
        <v>32000</v>
      </c>
      <c r="K112" s="116" t="s">
        <v>79</v>
      </c>
      <c r="L112" s="19" t="s">
        <v>84</v>
      </c>
      <c r="M112" s="19" t="s">
        <v>197</v>
      </c>
      <c r="N112" s="21" t="s">
        <v>25</v>
      </c>
      <c r="O112" s="72">
        <v>34604</v>
      </c>
      <c r="P112" s="20" t="s">
        <v>78</v>
      </c>
      <c r="Q112" s="20" t="s">
        <v>375</v>
      </c>
      <c r="R112" s="20"/>
      <c r="S112" s="20" t="s">
        <v>376</v>
      </c>
      <c r="T112" s="50" t="str">
        <f>+IF($N112=[1]CURSOS!$D$3,[1]CURSOS!$E$3,(+IF($N112=[1]CURSOS!$D$4,[1]CURSOS!$E$4,(+IF($N112=[1]CURSOS!$D$5,[1]CURSOS!$E$5,(+IF($N112=[1]CURSOS!$D$6,[1]CURSOS!$E$6,(+IF($N112=[1]CURSOS!$D$7,[1]CURSOS!$E$7,(+IF($N112=[1]CURSOS!$D$8,[1]CURSOS!$E$8,(+IF($N112=[1]CURSOS!$D$9,[1]CURSOS!$E$9,(+IF($N112=[1]CURSOS!$D$10,[1]CURSOS!$E$10,(+IF($N112=[1]CURSOS!$D$11,[1]CURSOS!$E$11,(+IF($N112=[1]CURSOS!$D$12,[1]CURSOS!$E$12,(+IF($N112=[1]CURSOS!$D$13,[1]CURSOS!$E$13,(+IF($N112=[1]CURSOS!$D$14,[1]CURSOS!$E$14,(+IF($N112=[1]CURSOS!$D$15,[1]CURSOS!$E$15,(+IF($N112=[1]CURSOS!$D$16,[1]CURSOS!$E$16,(+IF($N112=[1]CURSOS!$D$17,[1]CURSOS!$E$17,(+IF($N112=[1]CURSOS!$D$18,[1]CURSOS!$E$18,(+IF($N112=[1]CURSOS!$D$19,[1]CURSOS!$E$19,(+IF($N112=[1]CURSOS!$D$20,[1]CURSOS!$E$20,(+IF($N112=[1]CURSOS!$D$21,[1]CURSOS!$E$21,(+IF($N112=[1]CURSOS!$D$22,[1]CURSOS!$E$22,(+IF($N112=[1]CURSOS!$D$23,[1]CURSOS!$E$23,(+IF($N112=[1]CURSOS!$D$24,[1]CURSOS!$E$24,(+IF($N112=[1]CURSOS!$D$25,[1]CURSOS!$E$25,(+IF($N112=[1]CURSOS!$D$26,[1]CURSOS!$E$26,(+IF($N112=[1]CURSOS!$D$27,[1]CURSOS!$E$27,(+IF($N112=[1]CURSOS!$D$28,[1]CURSOS!$E$28,(+IF($N112=[1]CURSOS!$D$29,[1]CURSOS!$E$29,(+IF($N112=[1]CURSOS!$D$30,[1]CURSOS!$E$30,(+IF($N112=[1]CURSOS!$D$31,[1]CURSOS!$E$31,(+IF($N112=[1]CURSOS!$D$32,[1]CURSOS!$E$32)))))))))))))))))))))))))))))))))))))))))))))))))))))))))))</f>
        <v xml:space="preserve">ATENCION A VICTIMAS DE ATAQUE CON AGENTES QUIMICOS </v>
      </c>
      <c r="U112" s="50" t="str">
        <f t="shared" si="60"/>
        <v>Johana ELIZABETH CASANOVA ROJAS</v>
      </c>
      <c r="V112" s="50" t="str">
        <f t="shared" si="61"/>
        <v>Johana Elizabeth Casanova Rojas</v>
      </c>
      <c r="W112" s="50" t="str">
        <f t="shared" si="62"/>
        <v>Johana ELIZABETH CASANOVA ROJAS-1088736736-QUIMICOS</v>
      </c>
    </row>
    <row r="113" spans="1:23" s="73" customFormat="1" ht="15.75" x14ac:dyDescent="0.25">
      <c r="A113" s="20">
        <v>112</v>
      </c>
      <c r="B113" s="29">
        <v>1004233109</v>
      </c>
      <c r="C113" s="29" t="s">
        <v>377</v>
      </c>
      <c r="D113" s="29" t="s">
        <v>378</v>
      </c>
      <c r="E113" s="29" t="s">
        <v>379</v>
      </c>
      <c r="F113" s="29" t="s">
        <v>380</v>
      </c>
      <c r="G113" s="19">
        <v>10</v>
      </c>
      <c r="H113" s="19" t="s">
        <v>99</v>
      </c>
      <c r="I113" s="25" t="s">
        <v>552</v>
      </c>
      <c r="J113" s="122">
        <v>40000</v>
      </c>
      <c r="K113" s="19"/>
      <c r="L113" s="19" t="s">
        <v>322</v>
      </c>
      <c r="M113" s="89" t="s">
        <v>537</v>
      </c>
      <c r="N113" s="30" t="s">
        <v>19</v>
      </c>
      <c r="O113" s="147">
        <v>37640</v>
      </c>
      <c r="P113" s="133" t="s">
        <v>78</v>
      </c>
      <c r="Q113" s="20" t="s">
        <v>160</v>
      </c>
      <c r="R113" s="133">
        <v>3155121491</v>
      </c>
      <c r="S113" s="140" t="s">
        <v>402</v>
      </c>
      <c r="T113" s="50" t="str">
        <f>+IF($N113=[1]CURSOS!$D$3,[1]CURSOS!$E$3,(+IF($N113=[1]CURSOS!$D$4,[1]CURSOS!$E$4,(+IF($N113=[1]CURSOS!$D$5,[1]CURSOS!$E$5,(+IF($N113=[1]CURSOS!$D$6,[1]CURSOS!$E$6,(+IF($N113=[1]CURSOS!$D$7,[1]CURSOS!$E$7,(+IF($N113=[1]CURSOS!$D$8,[1]CURSOS!$E$8,(+IF($N113=[1]CURSOS!$D$9,[1]CURSOS!$E$9,(+IF($N113=[1]CURSOS!$D$10,[1]CURSOS!$E$10,(+IF($N113=[1]CURSOS!$D$11,[1]CURSOS!$E$11,(+IF($N113=[1]CURSOS!$D$12,[1]CURSOS!$E$12,(+IF($N113=[1]CURSOS!$D$13,[1]CURSOS!$E$13,(+IF($N113=[1]CURSOS!$D$14,[1]CURSOS!$E$14,(+IF($N113=[1]CURSOS!$D$15,[1]CURSOS!$E$15,(+IF($N113=[1]CURSOS!$D$16,[1]CURSOS!$E$16,(+IF($N113=[1]CURSOS!$D$17,[1]CURSOS!$E$17,(+IF($N113=[1]CURSOS!$D$18,[1]CURSOS!$E$18,(+IF($N113=[1]CURSOS!$D$19,[1]CURSOS!$E$19,(+IF($N113=[1]CURSOS!$D$20,[1]CURSOS!$E$20,(+IF($N113=[1]CURSOS!$D$21,[1]CURSOS!$E$21,(+IF($N113=[1]CURSOS!$D$22,[1]CURSOS!$E$22,(+IF($N113=[1]CURSOS!$D$23,[1]CURSOS!$E$23,(+IF($N113=[1]CURSOS!$D$24,[1]CURSOS!$E$24,(+IF($N113=[1]CURSOS!$D$25,[1]CURSOS!$E$25,(+IF($N113=[1]CURSOS!$D$26,[1]CURSOS!$E$26,(+IF($N113=[1]CURSOS!$D$27,[1]CURSOS!$E$27,(+IF($N113=[1]CURSOS!$D$28,[1]CURSOS!$E$28,(+IF($N113=[1]CURSOS!$D$29,[1]CURSOS!$E$29,(+IF($N113=[1]CURSOS!$D$30,[1]CURSOS!$E$30,(+IF($N113=[1]CURSOS!$D$31,[1]CURSOS!$E$31,(+IF($N113=[1]CURSOS!$D$32,[1]CURSOS!$E$32)))))))))))))))))))))))))))))))))))))))))))))))))))))))))))</f>
        <v>SOPORTE VITAL BASICO (BLS)</v>
      </c>
      <c r="U113" s="50" t="str">
        <f t="shared" ref="U113:U133" si="63">CONCATENATE(E113," ",F113," ",C113," ",D113)</f>
        <v>Damaris Nathalia Barrera De la cruz</v>
      </c>
      <c r="V113" s="50" t="str">
        <f t="shared" ref="V113:V133" si="64">+PROPER(U113)</f>
        <v>Damaris Nathalia Barrera De La Cruz</v>
      </c>
      <c r="W113" s="50" t="str">
        <f t="shared" ref="W113:W133" si="65">CONCATENATE(U113,"-",B113,"-",N113)</f>
        <v>Damaris Nathalia Barrera De la cruz-1004233109-BLS</v>
      </c>
    </row>
    <row r="114" spans="1:23" s="73" customFormat="1" ht="15.75" x14ac:dyDescent="0.25">
      <c r="A114" s="20">
        <v>113</v>
      </c>
      <c r="B114" s="29">
        <v>1004233109</v>
      </c>
      <c r="C114" s="29" t="s">
        <v>377</v>
      </c>
      <c r="D114" s="29" t="s">
        <v>378</v>
      </c>
      <c r="E114" s="29" t="s">
        <v>379</v>
      </c>
      <c r="F114" s="29" t="s">
        <v>380</v>
      </c>
      <c r="G114" s="19">
        <v>16</v>
      </c>
      <c r="H114" s="19" t="s">
        <v>99</v>
      </c>
      <c r="I114" s="25"/>
      <c r="J114" s="122">
        <v>25000</v>
      </c>
      <c r="K114" s="19"/>
      <c r="L114" s="19" t="s">
        <v>322</v>
      </c>
      <c r="M114" s="89" t="s">
        <v>537</v>
      </c>
      <c r="N114" s="30" t="s">
        <v>381</v>
      </c>
      <c r="O114" s="147"/>
      <c r="P114" s="133"/>
      <c r="Q114" s="20" t="s">
        <v>160</v>
      </c>
      <c r="R114" s="133"/>
      <c r="S114" s="133"/>
      <c r="T114" s="50" t="str">
        <f>+IF($N114=[1]CURSOS!$D$3,[1]CURSOS!$E$3,(+IF($N114=[1]CURSOS!$D$4,[1]CURSOS!$E$4,(+IF($N114=[1]CURSOS!$D$5,[1]CURSOS!$E$5,(+IF($N114=[1]CURSOS!$D$6,[1]CURSOS!$E$6,(+IF($N114=[1]CURSOS!$D$7,[1]CURSOS!$E$7,(+IF($N114=[1]CURSOS!$D$8,[1]CURSOS!$E$8,(+IF($N114=[1]CURSOS!$D$9,[1]CURSOS!$E$9,(+IF($N114=[1]CURSOS!$D$10,[1]CURSOS!$E$10,(+IF($N114=[1]CURSOS!$D$11,[1]CURSOS!$E$11,(+IF($N114=[1]CURSOS!$D$12,[1]CURSOS!$E$12,(+IF($N114=[1]CURSOS!$D$13,[1]CURSOS!$E$13,(+IF($N114=[1]CURSOS!$D$14,[1]CURSOS!$E$14,(+IF($N114=[1]CURSOS!$D$15,[1]CURSOS!$E$15,(+IF($N114=[1]CURSOS!$D$16,[1]CURSOS!$E$16,(+IF($N114=[1]CURSOS!$D$17,[1]CURSOS!$E$17,(+IF($N114=[1]CURSOS!$D$18,[1]CURSOS!$E$18,(+IF($N114=[1]CURSOS!$D$19,[1]CURSOS!$E$19,(+IF($N114=[1]CURSOS!$D$20,[1]CURSOS!$E$20,(+IF($N114=[1]CURSOS!$D$21,[1]CURSOS!$E$21,(+IF($N114=[1]CURSOS!$D$22,[1]CURSOS!$E$22,(+IF($N114=[1]CURSOS!$D$23,[1]CURSOS!$E$23,(+IF($N114=[1]CURSOS!$D$24,[1]CURSOS!$E$24,(+IF($N114=[1]CURSOS!$D$25,[1]CURSOS!$E$25,(+IF($N114=[1]CURSOS!$D$26,[1]CURSOS!$E$26,(+IF($N114=[1]CURSOS!$D$27,[1]CURSOS!$E$27,(+IF($N114=[1]CURSOS!$D$28,[1]CURSOS!$E$28,(+IF($N114=[1]CURSOS!$D$29,[1]CURSOS!$E$29,(+IF($N114=[1]CURSOS!$D$30,[1]CURSOS!$E$30,(+IF($N114=[1]CURSOS!$D$31,[1]CURSOS!$E$31,(+IF($N114=[1]CURSOS!$D$32,[1]CURSOS!$E$32)))))))))))))))))))))))))))))))))))))))))))))))))))))))))))</f>
        <v>ACOMPAÑAMIENTO Y MANEJO DEL DUELO</v>
      </c>
      <c r="U114" s="50" t="str">
        <f t="shared" si="63"/>
        <v>Damaris Nathalia Barrera De la cruz</v>
      </c>
      <c r="V114" s="50" t="str">
        <f t="shared" si="64"/>
        <v>Damaris Nathalia Barrera De La Cruz</v>
      </c>
      <c r="W114" s="50" t="str">
        <f t="shared" si="65"/>
        <v>Damaris Nathalia Barrera De la cruz-1004233109-Duelo</v>
      </c>
    </row>
    <row r="115" spans="1:23" s="73" customFormat="1" ht="15.75" x14ac:dyDescent="0.25">
      <c r="A115" s="20">
        <v>114</v>
      </c>
      <c r="B115" s="29">
        <v>1004233109</v>
      </c>
      <c r="C115" s="29" t="s">
        <v>377</v>
      </c>
      <c r="D115" s="29" t="s">
        <v>378</v>
      </c>
      <c r="E115" s="29" t="s">
        <v>379</v>
      </c>
      <c r="F115" s="29" t="s">
        <v>380</v>
      </c>
      <c r="G115" s="19">
        <v>15</v>
      </c>
      <c r="H115" s="19" t="s">
        <v>99</v>
      </c>
      <c r="I115" s="25"/>
      <c r="J115" s="122">
        <v>25000</v>
      </c>
      <c r="K115" s="19"/>
      <c r="L115" s="19" t="s">
        <v>322</v>
      </c>
      <c r="M115" s="89" t="s">
        <v>537</v>
      </c>
      <c r="N115" s="30" t="s">
        <v>33</v>
      </c>
      <c r="O115" s="147"/>
      <c r="P115" s="133"/>
      <c r="Q115" s="20" t="s">
        <v>160</v>
      </c>
      <c r="R115" s="133"/>
      <c r="S115" s="133"/>
      <c r="T115" s="50" t="str">
        <f>+IF($N115=[1]CURSOS!$D$3,[1]CURSOS!$E$3,(+IF($N115=[1]CURSOS!$D$4,[1]CURSOS!$E$4,(+IF($N115=[1]CURSOS!$D$5,[1]CURSOS!$E$5,(+IF($N115=[1]CURSOS!$D$6,[1]CURSOS!$E$6,(+IF($N115=[1]CURSOS!$D$7,[1]CURSOS!$E$7,(+IF($N115=[1]CURSOS!$D$8,[1]CURSOS!$E$8,(+IF($N115=[1]CURSOS!$D$9,[1]CURSOS!$E$9,(+IF($N115=[1]CURSOS!$D$10,[1]CURSOS!$E$10,(+IF($N115=[1]CURSOS!$D$11,[1]CURSOS!$E$11,(+IF($N115=[1]CURSOS!$D$12,[1]CURSOS!$E$12,(+IF($N115=[1]CURSOS!$D$13,[1]CURSOS!$E$13,(+IF($N115=[1]CURSOS!$D$14,[1]CURSOS!$E$14,(+IF($N115=[1]CURSOS!$D$15,[1]CURSOS!$E$15,(+IF($N115=[1]CURSOS!$D$16,[1]CURSOS!$E$16,(+IF($N115=[1]CURSOS!$D$17,[1]CURSOS!$E$17,(+IF($N115=[1]CURSOS!$D$18,[1]CURSOS!$E$18,(+IF($N115=[1]CURSOS!$D$19,[1]CURSOS!$E$19,(+IF($N115=[1]CURSOS!$D$20,[1]CURSOS!$E$20,(+IF($N115=[1]CURSOS!$D$21,[1]CURSOS!$E$21,(+IF($N115=[1]CURSOS!$D$22,[1]CURSOS!$E$22,(+IF($N115=[1]CURSOS!$D$23,[1]CURSOS!$E$23,(+IF($N115=[1]CURSOS!$D$24,[1]CURSOS!$E$24,(+IF($N115=[1]CURSOS!$D$25,[1]CURSOS!$E$25,(+IF($N115=[1]CURSOS!$D$26,[1]CURSOS!$E$26,(+IF($N115=[1]CURSOS!$D$27,[1]CURSOS!$E$27,(+IF($N115=[1]CURSOS!$D$28,[1]CURSOS!$E$28,(+IF($N115=[1]CURSOS!$D$29,[1]CURSOS!$E$29,(+IF($N115=[1]CURSOS!$D$30,[1]CURSOS!$E$30,(+IF($N115=[1]CURSOS!$D$31,[1]CURSOS!$E$31,(+IF($N115=[1]CURSOS!$D$32,[1]CURSOS!$E$32)))))))))))))))))))))))))))))))))))))))))))))))))))))))))))</f>
        <v xml:space="preserve">HUMANIZACION EN SALUD, BUENAS PRACTICAS EN PACIENTE </v>
      </c>
      <c r="U115" s="50" t="str">
        <f t="shared" si="63"/>
        <v>Damaris Nathalia Barrera De la cruz</v>
      </c>
      <c r="V115" s="50" t="str">
        <f t="shared" si="64"/>
        <v>Damaris Nathalia Barrera De La Cruz</v>
      </c>
      <c r="W115" s="50" t="str">
        <f t="shared" si="65"/>
        <v>Damaris Nathalia Barrera De la cruz-1004233109-HUMANIZACION</v>
      </c>
    </row>
    <row r="116" spans="1:23" s="108" customFormat="1" x14ac:dyDescent="0.2">
      <c r="A116" s="108">
        <v>115</v>
      </c>
      <c r="B116" s="115">
        <v>1085263638</v>
      </c>
      <c r="C116" s="115" t="s">
        <v>382</v>
      </c>
      <c r="D116" s="115" t="s">
        <v>383</v>
      </c>
      <c r="E116" s="115" t="s">
        <v>384</v>
      </c>
      <c r="F116" s="115" t="s">
        <v>385</v>
      </c>
      <c r="G116" s="116">
        <v>10</v>
      </c>
      <c r="H116" s="116" t="s">
        <v>99</v>
      </c>
      <c r="I116" s="117"/>
      <c r="J116" s="98">
        <v>40000</v>
      </c>
      <c r="K116" s="116"/>
      <c r="L116" s="116" t="s">
        <v>322</v>
      </c>
      <c r="M116" s="112" t="s">
        <v>537</v>
      </c>
      <c r="N116" s="113" t="s">
        <v>19</v>
      </c>
      <c r="O116" s="146">
        <v>32180</v>
      </c>
      <c r="P116" s="143" t="s">
        <v>78</v>
      </c>
      <c r="Q116" s="108" t="s">
        <v>160</v>
      </c>
      <c r="R116" s="143">
        <v>3113216320</v>
      </c>
      <c r="S116" s="144" t="s">
        <v>403</v>
      </c>
      <c r="T116" s="108" t="str">
        <f>+IF($N116=[1]CURSOS!$D$3,[1]CURSOS!$E$3,(+IF($N116=[1]CURSOS!$D$4,[1]CURSOS!$E$4,(+IF($N116=[1]CURSOS!$D$5,[1]CURSOS!$E$5,(+IF($N116=[1]CURSOS!$D$6,[1]CURSOS!$E$6,(+IF($N116=[1]CURSOS!$D$7,[1]CURSOS!$E$7,(+IF($N116=[1]CURSOS!$D$8,[1]CURSOS!$E$8,(+IF($N116=[1]CURSOS!$D$9,[1]CURSOS!$E$9,(+IF($N116=[1]CURSOS!$D$10,[1]CURSOS!$E$10,(+IF($N116=[1]CURSOS!$D$11,[1]CURSOS!$E$11,(+IF($N116=[1]CURSOS!$D$12,[1]CURSOS!$E$12,(+IF($N116=[1]CURSOS!$D$13,[1]CURSOS!$E$13,(+IF($N116=[1]CURSOS!$D$14,[1]CURSOS!$E$14,(+IF($N116=[1]CURSOS!$D$15,[1]CURSOS!$E$15,(+IF($N116=[1]CURSOS!$D$16,[1]CURSOS!$E$16,(+IF($N116=[1]CURSOS!$D$17,[1]CURSOS!$E$17,(+IF($N116=[1]CURSOS!$D$18,[1]CURSOS!$E$18,(+IF($N116=[1]CURSOS!$D$19,[1]CURSOS!$E$19,(+IF($N116=[1]CURSOS!$D$20,[1]CURSOS!$E$20,(+IF($N116=[1]CURSOS!$D$21,[1]CURSOS!$E$21,(+IF($N116=[1]CURSOS!$D$22,[1]CURSOS!$E$22,(+IF($N116=[1]CURSOS!$D$23,[1]CURSOS!$E$23,(+IF($N116=[1]CURSOS!$D$24,[1]CURSOS!$E$24,(+IF($N116=[1]CURSOS!$D$25,[1]CURSOS!$E$25,(+IF($N116=[1]CURSOS!$D$26,[1]CURSOS!$E$26,(+IF($N116=[1]CURSOS!$D$27,[1]CURSOS!$E$27,(+IF($N116=[1]CURSOS!$D$28,[1]CURSOS!$E$28,(+IF($N116=[1]CURSOS!$D$29,[1]CURSOS!$E$29,(+IF($N116=[1]CURSOS!$D$30,[1]CURSOS!$E$30,(+IF($N116=[1]CURSOS!$D$31,[1]CURSOS!$E$31,(+IF($N116=[1]CURSOS!$D$32,[1]CURSOS!$E$32)))))))))))))))))))))))))))))))))))))))))))))))))))))))))))</f>
        <v>SOPORTE VITAL BASICO (BLS)</v>
      </c>
      <c r="U116" s="108" t="str">
        <f t="shared" si="63"/>
        <v>Anny Lisseth Cuaspa Chaucanes</v>
      </c>
      <c r="V116" s="108" t="str">
        <f t="shared" si="64"/>
        <v>Anny Lisseth Cuaspa Chaucanes</v>
      </c>
      <c r="W116" s="108" t="str">
        <f t="shared" si="65"/>
        <v>Anny Lisseth Cuaspa Chaucanes-1085263638-BLS</v>
      </c>
    </row>
    <row r="117" spans="1:23" s="108" customFormat="1" x14ac:dyDescent="0.2">
      <c r="A117" s="108">
        <v>116</v>
      </c>
      <c r="B117" s="115">
        <v>1085263638</v>
      </c>
      <c r="C117" s="115" t="s">
        <v>382</v>
      </c>
      <c r="D117" s="115" t="s">
        <v>383</v>
      </c>
      <c r="E117" s="115" t="s">
        <v>384</v>
      </c>
      <c r="F117" s="115" t="s">
        <v>385</v>
      </c>
      <c r="G117" s="116">
        <v>16</v>
      </c>
      <c r="H117" s="116" t="s">
        <v>99</v>
      </c>
      <c r="I117" s="117"/>
      <c r="J117" s="98">
        <v>20000</v>
      </c>
      <c r="K117" s="116"/>
      <c r="L117" s="116" t="s">
        <v>322</v>
      </c>
      <c r="M117" s="112" t="s">
        <v>537</v>
      </c>
      <c r="N117" s="113" t="s">
        <v>381</v>
      </c>
      <c r="O117" s="143"/>
      <c r="P117" s="143"/>
      <c r="Q117" s="108" t="s">
        <v>160</v>
      </c>
      <c r="R117" s="143"/>
      <c r="S117" s="143"/>
      <c r="T117" s="108" t="str">
        <f>+IF($N117=[1]CURSOS!$D$3,[1]CURSOS!$E$3,(+IF($N117=[1]CURSOS!$D$4,[1]CURSOS!$E$4,(+IF($N117=[1]CURSOS!$D$5,[1]CURSOS!$E$5,(+IF($N117=[1]CURSOS!$D$6,[1]CURSOS!$E$6,(+IF($N117=[1]CURSOS!$D$7,[1]CURSOS!$E$7,(+IF($N117=[1]CURSOS!$D$8,[1]CURSOS!$E$8,(+IF($N117=[1]CURSOS!$D$9,[1]CURSOS!$E$9,(+IF($N117=[1]CURSOS!$D$10,[1]CURSOS!$E$10,(+IF($N117=[1]CURSOS!$D$11,[1]CURSOS!$E$11,(+IF($N117=[1]CURSOS!$D$12,[1]CURSOS!$E$12,(+IF($N117=[1]CURSOS!$D$13,[1]CURSOS!$E$13,(+IF($N117=[1]CURSOS!$D$14,[1]CURSOS!$E$14,(+IF($N117=[1]CURSOS!$D$15,[1]CURSOS!$E$15,(+IF($N117=[1]CURSOS!$D$16,[1]CURSOS!$E$16,(+IF($N117=[1]CURSOS!$D$17,[1]CURSOS!$E$17,(+IF($N117=[1]CURSOS!$D$18,[1]CURSOS!$E$18,(+IF($N117=[1]CURSOS!$D$19,[1]CURSOS!$E$19,(+IF($N117=[1]CURSOS!$D$20,[1]CURSOS!$E$20,(+IF($N117=[1]CURSOS!$D$21,[1]CURSOS!$E$21,(+IF($N117=[1]CURSOS!$D$22,[1]CURSOS!$E$22,(+IF($N117=[1]CURSOS!$D$23,[1]CURSOS!$E$23,(+IF($N117=[1]CURSOS!$D$24,[1]CURSOS!$E$24,(+IF($N117=[1]CURSOS!$D$25,[1]CURSOS!$E$25,(+IF($N117=[1]CURSOS!$D$26,[1]CURSOS!$E$26,(+IF($N117=[1]CURSOS!$D$27,[1]CURSOS!$E$27,(+IF($N117=[1]CURSOS!$D$28,[1]CURSOS!$E$28,(+IF($N117=[1]CURSOS!$D$29,[1]CURSOS!$E$29,(+IF($N117=[1]CURSOS!$D$30,[1]CURSOS!$E$30,(+IF($N117=[1]CURSOS!$D$31,[1]CURSOS!$E$31,(+IF($N117=[1]CURSOS!$D$32,[1]CURSOS!$E$32)))))))))))))))))))))))))))))))))))))))))))))))))))))))))))</f>
        <v>ACOMPAÑAMIENTO Y MANEJO DEL DUELO</v>
      </c>
      <c r="U117" s="108" t="str">
        <f t="shared" si="63"/>
        <v>Anny Lisseth Cuaspa Chaucanes</v>
      </c>
      <c r="V117" s="108" t="str">
        <f t="shared" si="64"/>
        <v>Anny Lisseth Cuaspa Chaucanes</v>
      </c>
      <c r="W117" s="108" t="str">
        <f t="shared" si="65"/>
        <v>Anny Lisseth Cuaspa Chaucanes-1085263638-Duelo</v>
      </c>
    </row>
    <row r="118" spans="1:23" s="108" customFormat="1" x14ac:dyDescent="0.2">
      <c r="A118" s="108">
        <v>117</v>
      </c>
      <c r="B118" s="115">
        <v>1085263638</v>
      </c>
      <c r="C118" s="115" t="s">
        <v>382</v>
      </c>
      <c r="D118" s="115" t="s">
        <v>383</v>
      </c>
      <c r="E118" s="115" t="s">
        <v>384</v>
      </c>
      <c r="F118" s="115" t="s">
        <v>385</v>
      </c>
      <c r="G118" s="116">
        <v>15</v>
      </c>
      <c r="H118" s="116" t="s">
        <v>99</v>
      </c>
      <c r="I118" s="117"/>
      <c r="J118" s="98">
        <v>20000</v>
      </c>
      <c r="K118" s="116"/>
      <c r="L118" s="116" t="s">
        <v>322</v>
      </c>
      <c r="M118" s="112" t="s">
        <v>537</v>
      </c>
      <c r="N118" s="113" t="s">
        <v>33</v>
      </c>
      <c r="O118" s="143"/>
      <c r="P118" s="143"/>
      <c r="Q118" s="108" t="s">
        <v>160</v>
      </c>
      <c r="R118" s="143"/>
      <c r="S118" s="143"/>
      <c r="T118" s="108" t="str">
        <f>+IF($N118=[1]CURSOS!$D$3,[1]CURSOS!$E$3,(+IF($N118=[1]CURSOS!$D$4,[1]CURSOS!$E$4,(+IF($N118=[1]CURSOS!$D$5,[1]CURSOS!$E$5,(+IF($N118=[1]CURSOS!$D$6,[1]CURSOS!$E$6,(+IF($N118=[1]CURSOS!$D$7,[1]CURSOS!$E$7,(+IF($N118=[1]CURSOS!$D$8,[1]CURSOS!$E$8,(+IF($N118=[1]CURSOS!$D$9,[1]CURSOS!$E$9,(+IF($N118=[1]CURSOS!$D$10,[1]CURSOS!$E$10,(+IF($N118=[1]CURSOS!$D$11,[1]CURSOS!$E$11,(+IF($N118=[1]CURSOS!$D$12,[1]CURSOS!$E$12,(+IF($N118=[1]CURSOS!$D$13,[1]CURSOS!$E$13,(+IF($N118=[1]CURSOS!$D$14,[1]CURSOS!$E$14,(+IF($N118=[1]CURSOS!$D$15,[1]CURSOS!$E$15,(+IF($N118=[1]CURSOS!$D$16,[1]CURSOS!$E$16,(+IF($N118=[1]CURSOS!$D$17,[1]CURSOS!$E$17,(+IF($N118=[1]CURSOS!$D$18,[1]CURSOS!$E$18,(+IF($N118=[1]CURSOS!$D$19,[1]CURSOS!$E$19,(+IF($N118=[1]CURSOS!$D$20,[1]CURSOS!$E$20,(+IF($N118=[1]CURSOS!$D$21,[1]CURSOS!$E$21,(+IF($N118=[1]CURSOS!$D$22,[1]CURSOS!$E$22,(+IF($N118=[1]CURSOS!$D$23,[1]CURSOS!$E$23,(+IF($N118=[1]CURSOS!$D$24,[1]CURSOS!$E$24,(+IF($N118=[1]CURSOS!$D$25,[1]CURSOS!$E$25,(+IF($N118=[1]CURSOS!$D$26,[1]CURSOS!$E$26,(+IF($N118=[1]CURSOS!$D$27,[1]CURSOS!$E$27,(+IF($N118=[1]CURSOS!$D$28,[1]CURSOS!$E$28,(+IF($N118=[1]CURSOS!$D$29,[1]CURSOS!$E$29,(+IF($N118=[1]CURSOS!$D$30,[1]CURSOS!$E$30,(+IF($N118=[1]CURSOS!$D$31,[1]CURSOS!$E$31,(+IF($N118=[1]CURSOS!$D$32,[1]CURSOS!$E$32)))))))))))))))))))))))))))))))))))))))))))))))))))))))))))</f>
        <v xml:space="preserve">HUMANIZACION EN SALUD, BUENAS PRACTICAS EN PACIENTE </v>
      </c>
      <c r="U118" s="108" t="str">
        <f t="shared" si="63"/>
        <v>Anny Lisseth Cuaspa Chaucanes</v>
      </c>
      <c r="V118" s="108" t="str">
        <f t="shared" si="64"/>
        <v>Anny Lisseth Cuaspa Chaucanes</v>
      </c>
      <c r="W118" s="108" t="str">
        <f t="shared" si="65"/>
        <v>Anny Lisseth Cuaspa Chaucanes-1085263638-HUMANIZACION</v>
      </c>
    </row>
    <row r="119" spans="1:23" s="73" customFormat="1" ht="15.75" x14ac:dyDescent="0.25">
      <c r="A119" s="20">
        <v>118</v>
      </c>
      <c r="B119" s="29">
        <v>27082792</v>
      </c>
      <c r="C119" s="29" t="s">
        <v>386</v>
      </c>
      <c r="D119" s="29" t="s">
        <v>387</v>
      </c>
      <c r="E119" s="29" t="s">
        <v>267</v>
      </c>
      <c r="F119" s="29" t="s">
        <v>388</v>
      </c>
      <c r="G119" s="19">
        <v>10</v>
      </c>
      <c r="H119" s="19" t="s">
        <v>99</v>
      </c>
      <c r="I119" s="25"/>
      <c r="J119" s="122">
        <v>40000</v>
      </c>
      <c r="K119" s="19"/>
      <c r="L119" s="19" t="s">
        <v>322</v>
      </c>
      <c r="M119" s="89" t="s">
        <v>537</v>
      </c>
      <c r="N119" s="30" t="s">
        <v>19</v>
      </c>
      <c r="O119" s="133"/>
      <c r="P119" s="133" t="s">
        <v>78</v>
      </c>
      <c r="Q119" s="20" t="s">
        <v>160</v>
      </c>
      <c r="R119" s="133">
        <v>3186066433</v>
      </c>
      <c r="S119" s="133"/>
      <c r="T119" s="50" t="str">
        <f>+IF($N119=[1]CURSOS!$D$3,[1]CURSOS!$E$3,(+IF($N119=[1]CURSOS!$D$4,[1]CURSOS!$E$4,(+IF($N119=[1]CURSOS!$D$5,[1]CURSOS!$E$5,(+IF($N119=[1]CURSOS!$D$6,[1]CURSOS!$E$6,(+IF($N119=[1]CURSOS!$D$7,[1]CURSOS!$E$7,(+IF($N119=[1]CURSOS!$D$8,[1]CURSOS!$E$8,(+IF($N119=[1]CURSOS!$D$9,[1]CURSOS!$E$9,(+IF($N119=[1]CURSOS!$D$10,[1]CURSOS!$E$10,(+IF($N119=[1]CURSOS!$D$11,[1]CURSOS!$E$11,(+IF($N119=[1]CURSOS!$D$12,[1]CURSOS!$E$12,(+IF($N119=[1]CURSOS!$D$13,[1]CURSOS!$E$13,(+IF($N119=[1]CURSOS!$D$14,[1]CURSOS!$E$14,(+IF($N119=[1]CURSOS!$D$15,[1]CURSOS!$E$15,(+IF($N119=[1]CURSOS!$D$16,[1]CURSOS!$E$16,(+IF($N119=[1]CURSOS!$D$17,[1]CURSOS!$E$17,(+IF($N119=[1]CURSOS!$D$18,[1]CURSOS!$E$18,(+IF($N119=[1]CURSOS!$D$19,[1]CURSOS!$E$19,(+IF($N119=[1]CURSOS!$D$20,[1]CURSOS!$E$20,(+IF($N119=[1]CURSOS!$D$21,[1]CURSOS!$E$21,(+IF($N119=[1]CURSOS!$D$22,[1]CURSOS!$E$22,(+IF($N119=[1]CURSOS!$D$23,[1]CURSOS!$E$23,(+IF($N119=[1]CURSOS!$D$24,[1]CURSOS!$E$24,(+IF($N119=[1]CURSOS!$D$25,[1]CURSOS!$E$25,(+IF($N119=[1]CURSOS!$D$26,[1]CURSOS!$E$26,(+IF($N119=[1]CURSOS!$D$27,[1]CURSOS!$E$27,(+IF($N119=[1]CURSOS!$D$28,[1]CURSOS!$E$28,(+IF($N119=[1]CURSOS!$D$29,[1]CURSOS!$E$29,(+IF($N119=[1]CURSOS!$D$30,[1]CURSOS!$E$30,(+IF($N119=[1]CURSOS!$D$31,[1]CURSOS!$E$31,(+IF($N119=[1]CURSOS!$D$32,[1]CURSOS!$E$32)))))))))))))))))))))))))))))))))))))))))))))))))))))))))))</f>
        <v>SOPORTE VITAL BASICO (BLS)</v>
      </c>
      <c r="U119" s="50" t="str">
        <f t="shared" si="63"/>
        <v>Maria Mercedes Chaves Erazo</v>
      </c>
      <c r="V119" s="50" t="str">
        <f t="shared" si="64"/>
        <v>Maria Mercedes Chaves Erazo</v>
      </c>
      <c r="W119" s="50" t="str">
        <f t="shared" si="65"/>
        <v>Maria Mercedes Chaves Erazo-27082792-BLS</v>
      </c>
    </row>
    <row r="120" spans="1:23" s="73" customFormat="1" ht="15.75" x14ac:dyDescent="0.25">
      <c r="A120" s="20">
        <v>119</v>
      </c>
      <c r="B120" s="29">
        <v>27082792</v>
      </c>
      <c r="C120" s="29" t="s">
        <v>386</v>
      </c>
      <c r="D120" s="29" t="s">
        <v>387</v>
      </c>
      <c r="E120" s="29" t="s">
        <v>267</v>
      </c>
      <c r="F120" s="29" t="s">
        <v>388</v>
      </c>
      <c r="G120" s="19">
        <v>16</v>
      </c>
      <c r="H120" s="19" t="s">
        <v>99</v>
      </c>
      <c r="I120" s="25"/>
      <c r="J120" s="122">
        <v>25000</v>
      </c>
      <c r="K120" s="19"/>
      <c r="L120" s="19" t="s">
        <v>322</v>
      </c>
      <c r="M120" s="89" t="s">
        <v>537</v>
      </c>
      <c r="N120" s="30" t="s">
        <v>381</v>
      </c>
      <c r="O120" s="133"/>
      <c r="P120" s="133"/>
      <c r="Q120" s="20" t="s">
        <v>160</v>
      </c>
      <c r="R120" s="133"/>
      <c r="S120" s="133"/>
      <c r="T120" s="50" t="str">
        <f>+IF($N120=[1]CURSOS!$D$3,[1]CURSOS!$E$3,(+IF($N120=[1]CURSOS!$D$4,[1]CURSOS!$E$4,(+IF($N120=[1]CURSOS!$D$5,[1]CURSOS!$E$5,(+IF($N120=[1]CURSOS!$D$6,[1]CURSOS!$E$6,(+IF($N120=[1]CURSOS!$D$7,[1]CURSOS!$E$7,(+IF($N120=[1]CURSOS!$D$8,[1]CURSOS!$E$8,(+IF($N120=[1]CURSOS!$D$9,[1]CURSOS!$E$9,(+IF($N120=[1]CURSOS!$D$10,[1]CURSOS!$E$10,(+IF($N120=[1]CURSOS!$D$11,[1]CURSOS!$E$11,(+IF($N120=[1]CURSOS!$D$12,[1]CURSOS!$E$12,(+IF($N120=[1]CURSOS!$D$13,[1]CURSOS!$E$13,(+IF($N120=[1]CURSOS!$D$14,[1]CURSOS!$E$14,(+IF($N120=[1]CURSOS!$D$15,[1]CURSOS!$E$15,(+IF($N120=[1]CURSOS!$D$16,[1]CURSOS!$E$16,(+IF($N120=[1]CURSOS!$D$17,[1]CURSOS!$E$17,(+IF($N120=[1]CURSOS!$D$18,[1]CURSOS!$E$18,(+IF($N120=[1]CURSOS!$D$19,[1]CURSOS!$E$19,(+IF($N120=[1]CURSOS!$D$20,[1]CURSOS!$E$20,(+IF($N120=[1]CURSOS!$D$21,[1]CURSOS!$E$21,(+IF($N120=[1]CURSOS!$D$22,[1]CURSOS!$E$22,(+IF($N120=[1]CURSOS!$D$23,[1]CURSOS!$E$23,(+IF($N120=[1]CURSOS!$D$24,[1]CURSOS!$E$24,(+IF($N120=[1]CURSOS!$D$25,[1]CURSOS!$E$25,(+IF($N120=[1]CURSOS!$D$26,[1]CURSOS!$E$26,(+IF($N120=[1]CURSOS!$D$27,[1]CURSOS!$E$27,(+IF($N120=[1]CURSOS!$D$28,[1]CURSOS!$E$28,(+IF($N120=[1]CURSOS!$D$29,[1]CURSOS!$E$29,(+IF($N120=[1]CURSOS!$D$30,[1]CURSOS!$E$30,(+IF($N120=[1]CURSOS!$D$31,[1]CURSOS!$E$31,(+IF($N120=[1]CURSOS!$D$32,[1]CURSOS!$E$32)))))))))))))))))))))))))))))))))))))))))))))))))))))))))))</f>
        <v>ACOMPAÑAMIENTO Y MANEJO DEL DUELO</v>
      </c>
      <c r="U120" s="50" t="str">
        <f t="shared" si="63"/>
        <v>Maria Mercedes Chaves Erazo</v>
      </c>
      <c r="V120" s="50" t="str">
        <f t="shared" si="64"/>
        <v>Maria Mercedes Chaves Erazo</v>
      </c>
      <c r="W120" s="50" t="str">
        <f t="shared" si="65"/>
        <v>Maria Mercedes Chaves Erazo-27082792-Duelo</v>
      </c>
    </row>
    <row r="121" spans="1:23" s="73" customFormat="1" ht="15.75" x14ac:dyDescent="0.25">
      <c r="A121" s="20">
        <v>120</v>
      </c>
      <c r="B121" s="29">
        <v>27082792</v>
      </c>
      <c r="C121" s="29" t="s">
        <v>386</v>
      </c>
      <c r="D121" s="29" t="s">
        <v>387</v>
      </c>
      <c r="E121" s="29" t="s">
        <v>267</v>
      </c>
      <c r="F121" s="29" t="s">
        <v>388</v>
      </c>
      <c r="G121" s="19">
        <v>15</v>
      </c>
      <c r="H121" s="19" t="s">
        <v>99</v>
      </c>
      <c r="I121" s="25"/>
      <c r="J121" s="122">
        <v>25000</v>
      </c>
      <c r="K121" s="19"/>
      <c r="L121" s="19" t="s">
        <v>322</v>
      </c>
      <c r="M121" s="89" t="s">
        <v>537</v>
      </c>
      <c r="N121" s="30" t="s">
        <v>33</v>
      </c>
      <c r="O121" s="133"/>
      <c r="P121" s="133"/>
      <c r="Q121" s="20" t="s">
        <v>160</v>
      </c>
      <c r="R121" s="133"/>
      <c r="S121" s="133"/>
      <c r="T121" s="50" t="str">
        <f>+IF($N121=[1]CURSOS!$D$3,[1]CURSOS!$E$3,(+IF($N121=[1]CURSOS!$D$4,[1]CURSOS!$E$4,(+IF($N121=[1]CURSOS!$D$5,[1]CURSOS!$E$5,(+IF($N121=[1]CURSOS!$D$6,[1]CURSOS!$E$6,(+IF($N121=[1]CURSOS!$D$7,[1]CURSOS!$E$7,(+IF($N121=[1]CURSOS!$D$8,[1]CURSOS!$E$8,(+IF($N121=[1]CURSOS!$D$9,[1]CURSOS!$E$9,(+IF($N121=[1]CURSOS!$D$10,[1]CURSOS!$E$10,(+IF($N121=[1]CURSOS!$D$11,[1]CURSOS!$E$11,(+IF($N121=[1]CURSOS!$D$12,[1]CURSOS!$E$12,(+IF($N121=[1]CURSOS!$D$13,[1]CURSOS!$E$13,(+IF($N121=[1]CURSOS!$D$14,[1]CURSOS!$E$14,(+IF($N121=[1]CURSOS!$D$15,[1]CURSOS!$E$15,(+IF($N121=[1]CURSOS!$D$16,[1]CURSOS!$E$16,(+IF($N121=[1]CURSOS!$D$17,[1]CURSOS!$E$17,(+IF($N121=[1]CURSOS!$D$18,[1]CURSOS!$E$18,(+IF($N121=[1]CURSOS!$D$19,[1]CURSOS!$E$19,(+IF($N121=[1]CURSOS!$D$20,[1]CURSOS!$E$20,(+IF($N121=[1]CURSOS!$D$21,[1]CURSOS!$E$21,(+IF($N121=[1]CURSOS!$D$22,[1]CURSOS!$E$22,(+IF($N121=[1]CURSOS!$D$23,[1]CURSOS!$E$23,(+IF($N121=[1]CURSOS!$D$24,[1]CURSOS!$E$24,(+IF($N121=[1]CURSOS!$D$25,[1]CURSOS!$E$25,(+IF($N121=[1]CURSOS!$D$26,[1]CURSOS!$E$26,(+IF($N121=[1]CURSOS!$D$27,[1]CURSOS!$E$27,(+IF($N121=[1]CURSOS!$D$28,[1]CURSOS!$E$28,(+IF($N121=[1]CURSOS!$D$29,[1]CURSOS!$E$29,(+IF($N121=[1]CURSOS!$D$30,[1]CURSOS!$E$30,(+IF($N121=[1]CURSOS!$D$31,[1]CURSOS!$E$31,(+IF($N121=[1]CURSOS!$D$32,[1]CURSOS!$E$32)))))))))))))))))))))))))))))))))))))))))))))))))))))))))))</f>
        <v xml:space="preserve">HUMANIZACION EN SALUD, BUENAS PRACTICAS EN PACIENTE </v>
      </c>
      <c r="U121" s="50" t="str">
        <f t="shared" si="63"/>
        <v>Maria Mercedes Chaves Erazo</v>
      </c>
      <c r="V121" s="50" t="str">
        <f t="shared" si="64"/>
        <v>Maria Mercedes Chaves Erazo</v>
      </c>
      <c r="W121" s="50" t="str">
        <f t="shared" si="65"/>
        <v>Maria Mercedes Chaves Erazo-27082792-HUMANIZACION</v>
      </c>
    </row>
    <row r="122" spans="1:23" s="73" customFormat="1" ht="15.75" x14ac:dyDescent="0.25">
      <c r="A122" s="20">
        <v>121</v>
      </c>
      <c r="B122" s="29">
        <v>1085262213</v>
      </c>
      <c r="C122" s="29" t="s">
        <v>389</v>
      </c>
      <c r="D122" s="29" t="s">
        <v>124</v>
      </c>
      <c r="E122" s="29" t="s">
        <v>390</v>
      </c>
      <c r="F122" s="29" t="s">
        <v>206</v>
      </c>
      <c r="G122" s="19">
        <v>10</v>
      </c>
      <c r="H122" s="19" t="s">
        <v>99</v>
      </c>
      <c r="I122" s="25"/>
      <c r="J122" s="122">
        <v>40000</v>
      </c>
      <c r="K122" s="19"/>
      <c r="L122" s="19" t="s">
        <v>322</v>
      </c>
      <c r="M122" s="89" t="s">
        <v>537</v>
      </c>
      <c r="N122" s="30" t="s">
        <v>19</v>
      </c>
      <c r="O122" s="147">
        <v>31779</v>
      </c>
      <c r="P122" s="133" t="s">
        <v>78</v>
      </c>
      <c r="Q122" s="20" t="s">
        <v>160</v>
      </c>
      <c r="R122" s="133">
        <v>3204588456</v>
      </c>
      <c r="S122" s="140" t="s">
        <v>404</v>
      </c>
      <c r="T122" s="50" t="str">
        <f>+IF($N122=[1]CURSOS!$D$3,[1]CURSOS!$E$3,(+IF($N122=[1]CURSOS!$D$4,[1]CURSOS!$E$4,(+IF($N122=[1]CURSOS!$D$5,[1]CURSOS!$E$5,(+IF($N122=[1]CURSOS!$D$6,[1]CURSOS!$E$6,(+IF($N122=[1]CURSOS!$D$7,[1]CURSOS!$E$7,(+IF($N122=[1]CURSOS!$D$8,[1]CURSOS!$E$8,(+IF($N122=[1]CURSOS!$D$9,[1]CURSOS!$E$9,(+IF($N122=[1]CURSOS!$D$10,[1]CURSOS!$E$10,(+IF($N122=[1]CURSOS!$D$11,[1]CURSOS!$E$11,(+IF($N122=[1]CURSOS!$D$12,[1]CURSOS!$E$12,(+IF($N122=[1]CURSOS!$D$13,[1]CURSOS!$E$13,(+IF($N122=[1]CURSOS!$D$14,[1]CURSOS!$E$14,(+IF($N122=[1]CURSOS!$D$15,[1]CURSOS!$E$15,(+IF($N122=[1]CURSOS!$D$16,[1]CURSOS!$E$16,(+IF($N122=[1]CURSOS!$D$17,[1]CURSOS!$E$17,(+IF($N122=[1]CURSOS!$D$18,[1]CURSOS!$E$18,(+IF($N122=[1]CURSOS!$D$19,[1]CURSOS!$E$19,(+IF($N122=[1]CURSOS!$D$20,[1]CURSOS!$E$20,(+IF($N122=[1]CURSOS!$D$21,[1]CURSOS!$E$21,(+IF($N122=[1]CURSOS!$D$22,[1]CURSOS!$E$22,(+IF($N122=[1]CURSOS!$D$23,[1]CURSOS!$E$23,(+IF($N122=[1]CURSOS!$D$24,[1]CURSOS!$E$24,(+IF($N122=[1]CURSOS!$D$25,[1]CURSOS!$E$25,(+IF($N122=[1]CURSOS!$D$26,[1]CURSOS!$E$26,(+IF($N122=[1]CURSOS!$D$27,[1]CURSOS!$E$27,(+IF($N122=[1]CURSOS!$D$28,[1]CURSOS!$E$28,(+IF($N122=[1]CURSOS!$D$29,[1]CURSOS!$E$29,(+IF($N122=[1]CURSOS!$D$30,[1]CURSOS!$E$30,(+IF($N122=[1]CURSOS!$D$31,[1]CURSOS!$E$31,(+IF($N122=[1]CURSOS!$D$32,[1]CURSOS!$E$32)))))))))))))))))))))))))))))))))))))))))))))))))))))))))))</f>
        <v>SOPORTE VITAL BASICO (BLS)</v>
      </c>
      <c r="U122" s="50" t="str">
        <f t="shared" si="63"/>
        <v>Lady Alexandra Bolaños Jojoa</v>
      </c>
      <c r="V122" s="50" t="str">
        <f t="shared" si="64"/>
        <v>Lady Alexandra Bolaños Jojoa</v>
      </c>
      <c r="W122" s="50" t="str">
        <f t="shared" si="65"/>
        <v>Lady Alexandra Bolaños Jojoa-1085262213-BLS</v>
      </c>
    </row>
    <row r="123" spans="1:23" s="73" customFormat="1" ht="15.75" x14ac:dyDescent="0.25">
      <c r="A123" s="20">
        <v>122</v>
      </c>
      <c r="B123" s="29">
        <v>1085262213</v>
      </c>
      <c r="C123" s="29" t="s">
        <v>389</v>
      </c>
      <c r="D123" s="29" t="s">
        <v>124</v>
      </c>
      <c r="E123" s="29" t="s">
        <v>390</v>
      </c>
      <c r="F123" s="29" t="s">
        <v>206</v>
      </c>
      <c r="G123" s="19">
        <v>16</v>
      </c>
      <c r="H123" s="19" t="s">
        <v>99</v>
      </c>
      <c r="I123" s="25"/>
      <c r="J123" s="122">
        <v>25000</v>
      </c>
      <c r="K123" s="19"/>
      <c r="L123" s="19" t="s">
        <v>322</v>
      </c>
      <c r="M123" s="89" t="s">
        <v>537</v>
      </c>
      <c r="N123" s="30" t="s">
        <v>381</v>
      </c>
      <c r="O123" s="133"/>
      <c r="P123" s="133"/>
      <c r="Q123" s="20" t="s">
        <v>160</v>
      </c>
      <c r="R123" s="133"/>
      <c r="S123" s="133"/>
      <c r="T123" s="50" t="str">
        <f>+IF($N123=[1]CURSOS!$D$3,[1]CURSOS!$E$3,(+IF($N123=[1]CURSOS!$D$4,[1]CURSOS!$E$4,(+IF($N123=[1]CURSOS!$D$5,[1]CURSOS!$E$5,(+IF($N123=[1]CURSOS!$D$6,[1]CURSOS!$E$6,(+IF($N123=[1]CURSOS!$D$7,[1]CURSOS!$E$7,(+IF($N123=[1]CURSOS!$D$8,[1]CURSOS!$E$8,(+IF($N123=[1]CURSOS!$D$9,[1]CURSOS!$E$9,(+IF($N123=[1]CURSOS!$D$10,[1]CURSOS!$E$10,(+IF($N123=[1]CURSOS!$D$11,[1]CURSOS!$E$11,(+IF($N123=[1]CURSOS!$D$12,[1]CURSOS!$E$12,(+IF($N123=[1]CURSOS!$D$13,[1]CURSOS!$E$13,(+IF($N123=[1]CURSOS!$D$14,[1]CURSOS!$E$14,(+IF($N123=[1]CURSOS!$D$15,[1]CURSOS!$E$15,(+IF($N123=[1]CURSOS!$D$16,[1]CURSOS!$E$16,(+IF($N123=[1]CURSOS!$D$17,[1]CURSOS!$E$17,(+IF($N123=[1]CURSOS!$D$18,[1]CURSOS!$E$18,(+IF($N123=[1]CURSOS!$D$19,[1]CURSOS!$E$19,(+IF($N123=[1]CURSOS!$D$20,[1]CURSOS!$E$20,(+IF($N123=[1]CURSOS!$D$21,[1]CURSOS!$E$21,(+IF($N123=[1]CURSOS!$D$22,[1]CURSOS!$E$22,(+IF($N123=[1]CURSOS!$D$23,[1]CURSOS!$E$23,(+IF($N123=[1]CURSOS!$D$24,[1]CURSOS!$E$24,(+IF($N123=[1]CURSOS!$D$25,[1]CURSOS!$E$25,(+IF($N123=[1]CURSOS!$D$26,[1]CURSOS!$E$26,(+IF($N123=[1]CURSOS!$D$27,[1]CURSOS!$E$27,(+IF($N123=[1]CURSOS!$D$28,[1]CURSOS!$E$28,(+IF($N123=[1]CURSOS!$D$29,[1]CURSOS!$E$29,(+IF($N123=[1]CURSOS!$D$30,[1]CURSOS!$E$30,(+IF($N123=[1]CURSOS!$D$31,[1]CURSOS!$E$31,(+IF($N123=[1]CURSOS!$D$32,[1]CURSOS!$E$32)))))))))))))))))))))))))))))))))))))))))))))))))))))))))))</f>
        <v>ACOMPAÑAMIENTO Y MANEJO DEL DUELO</v>
      </c>
      <c r="U123" s="50" t="str">
        <f t="shared" si="63"/>
        <v>Lady Alexandra Bolaños Jojoa</v>
      </c>
      <c r="V123" s="50" t="str">
        <f t="shared" si="64"/>
        <v>Lady Alexandra Bolaños Jojoa</v>
      </c>
      <c r="W123" s="50" t="str">
        <f t="shared" si="65"/>
        <v>Lady Alexandra Bolaños Jojoa-1085262213-Duelo</v>
      </c>
    </row>
    <row r="124" spans="1:23" s="34" customFormat="1" ht="15.75" x14ac:dyDescent="0.25">
      <c r="A124" s="20">
        <v>123</v>
      </c>
      <c r="B124" s="31">
        <v>1085262213</v>
      </c>
      <c r="C124" s="31" t="s">
        <v>389</v>
      </c>
      <c r="D124" s="31" t="s">
        <v>124</v>
      </c>
      <c r="E124" s="31" t="s">
        <v>390</v>
      </c>
      <c r="F124" s="31" t="s">
        <v>206</v>
      </c>
      <c r="G124" s="54">
        <v>15</v>
      </c>
      <c r="H124" s="54" t="s">
        <v>99</v>
      </c>
      <c r="I124" s="87"/>
      <c r="J124" s="123">
        <v>25000</v>
      </c>
      <c r="K124" s="54"/>
      <c r="L124" s="54" t="s">
        <v>322</v>
      </c>
      <c r="M124" s="89" t="s">
        <v>537</v>
      </c>
      <c r="N124" s="30" t="s">
        <v>33</v>
      </c>
      <c r="O124" s="133"/>
      <c r="P124" s="133"/>
      <c r="Q124" s="32" t="s">
        <v>160</v>
      </c>
      <c r="R124" s="133"/>
      <c r="S124" s="133"/>
      <c r="T124" s="51" t="str">
        <f>+IF($N124=[1]CURSOS!$D$3,[1]CURSOS!$E$3,(+IF($N124=[1]CURSOS!$D$4,[1]CURSOS!$E$4,(+IF($N124=[1]CURSOS!$D$5,[1]CURSOS!$E$5,(+IF($N124=[1]CURSOS!$D$6,[1]CURSOS!$E$6,(+IF($N124=[1]CURSOS!$D$7,[1]CURSOS!$E$7,(+IF($N124=[1]CURSOS!$D$8,[1]CURSOS!$E$8,(+IF($N124=[1]CURSOS!$D$9,[1]CURSOS!$E$9,(+IF($N124=[1]CURSOS!$D$10,[1]CURSOS!$E$10,(+IF($N124=[1]CURSOS!$D$11,[1]CURSOS!$E$11,(+IF($N124=[1]CURSOS!$D$12,[1]CURSOS!$E$12,(+IF($N124=[1]CURSOS!$D$13,[1]CURSOS!$E$13,(+IF($N124=[1]CURSOS!$D$14,[1]CURSOS!$E$14,(+IF($N124=[1]CURSOS!$D$15,[1]CURSOS!$E$15,(+IF($N124=[1]CURSOS!$D$16,[1]CURSOS!$E$16,(+IF($N124=[1]CURSOS!$D$17,[1]CURSOS!$E$17,(+IF($N124=[1]CURSOS!$D$18,[1]CURSOS!$E$18,(+IF($N124=[1]CURSOS!$D$19,[1]CURSOS!$E$19,(+IF($N124=[1]CURSOS!$D$20,[1]CURSOS!$E$20,(+IF($N124=[1]CURSOS!$D$21,[1]CURSOS!$E$21,(+IF($N124=[1]CURSOS!$D$22,[1]CURSOS!$E$22,(+IF($N124=[1]CURSOS!$D$23,[1]CURSOS!$E$23,(+IF($N124=[1]CURSOS!$D$24,[1]CURSOS!$E$24,(+IF($N124=[1]CURSOS!$D$25,[1]CURSOS!$E$25,(+IF($N124=[1]CURSOS!$D$26,[1]CURSOS!$E$26,(+IF($N124=[1]CURSOS!$D$27,[1]CURSOS!$E$27,(+IF($N124=[1]CURSOS!$D$28,[1]CURSOS!$E$28,(+IF($N124=[1]CURSOS!$D$29,[1]CURSOS!$E$29,(+IF($N124=[1]CURSOS!$D$30,[1]CURSOS!$E$30,(+IF($N124=[1]CURSOS!$D$31,[1]CURSOS!$E$31,(+IF($N124=[1]CURSOS!$D$32,[1]CURSOS!$E$32)))))))))))))))))))))))))))))))))))))))))))))))))))))))))))</f>
        <v xml:space="preserve">HUMANIZACION EN SALUD, BUENAS PRACTICAS EN PACIENTE </v>
      </c>
      <c r="U124" s="51" t="str">
        <f t="shared" si="63"/>
        <v>Lady Alexandra Bolaños Jojoa</v>
      </c>
      <c r="V124" s="51" t="str">
        <f t="shared" si="64"/>
        <v>Lady Alexandra Bolaños Jojoa</v>
      </c>
      <c r="W124" s="51" t="str">
        <f t="shared" si="65"/>
        <v>Lady Alexandra Bolaños Jojoa-1085262213-HUMANIZACION</v>
      </c>
    </row>
    <row r="125" spans="1:23" s="34" customFormat="1" ht="15.75" x14ac:dyDescent="0.25">
      <c r="A125" s="20">
        <v>124</v>
      </c>
      <c r="B125" s="31">
        <v>59310859</v>
      </c>
      <c r="C125" s="31" t="s">
        <v>234</v>
      </c>
      <c r="D125" s="31" t="s">
        <v>182</v>
      </c>
      <c r="E125" s="31" t="s">
        <v>391</v>
      </c>
      <c r="F125" s="31" t="s">
        <v>392</v>
      </c>
      <c r="G125" s="54">
        <v>10</v>
      </c>
      <c r="H125" s="54" t="s">
        <v>99</v>
      </c>
      <c r="I125" s="87"/>
      <c r="J125" s="123">
        <v>40000</v>
      </c>
      <c r="K125" s="54"/>
      <c r="L125" s="54" t="s">
        <v>322</v>
      </c>
      <c r="M125" s="89" t="s">
        <v>537</v>
      </c>
      <c r="N125" s="30" t="s">
        <v>19</v>
      </c>
      <c r="O125" s="138" t="s">
        <v>401</v>
      </c>
      <c r="P125" s="138" t="s">
        <v>78</v>
      </c>
      <c r="Q125" s="32" t="s">
        <v>160</v>
      </c>
      <c r="R125" s="138">
        <v>3113016340</v>
      </c>
      <c r="S125" s="137" t="s">
        <v>405</v>
      </c>
      <c r="T125" s="51" t="str">
        <f>+IF($N125=[1]CURSOS!$D$3,[1]CURSOS!$E$3,(+IF($N125=[1]CURSOS!$D$4,[1]CURSOS!$E$4,(+IF($N125=[1]CURSOS!$D$5,[1]CURSOS!$E$5,(+IF($N125=[1]CURSOS!$D$6,[1]CURSOS!$E$6,(+IF($N125=[1]CURSOS!$D$7,[1]CURSOS!$E$7,(+IF($N125=[1]CURSOS!$D$8,[1]CURSOS!$E$8,(+IF($N125=[1]CURSOS!$D$9,[1]CURSOS!$E$9,(+IF($N125=[1]CURSOS!$D$10,[1]CURSOS!$E$10,(+IF($N125=[1]CURSOS!$D$11,[1]CURSOS!$E$11,(+IF($N125=[1]CURSOS!$D$12,[1]CURSOS!$E$12,(+IF($N125=[1]CURSOS!$D$13,[1]CURSOS!$E$13,(+IF($N125=[1]CURSOS!$D$14,[1]CURSOS!$E$14,(+IF($N125=[1]CURSOS!$D$15,[1]CURSOS!$E$15,(+IF($N125=[1]CURSOS!$D$16,[1]CURSOS!$E$16,(+IF($N125=[1]CURSOS!$D$17,[1]CURSOS!$E$17,(+IF($N125=[1]CURSOS!$D$18,[1]CURSOS!$E$18,(+IF($N125=[1]CURSOS!$D$19,[1]CURSOS!$E$19,(+IF($N125=[1]CURSOS!$D$20,[1]CURSOS!$E$20,(+IF($N125=[1]CURSOS!$D$21,[1]CURSOS!$E$21,(+IF($N125=[1]CURSOS!$D$22,[1]CURSOS!$E$22,(+IF($N125=[1]CURSOS!$D$23,[1]CURSOS!$E$23,(+IF($N125=[1]CURSOS!$D$24,[1]CURSOS!$E$24,(+IF($N125=[1]CURSOS!$D$25,[1]CURSOS!$E$25,(+IF($N125=[1]CURSOS!$D$26,[1]CURSOS!$E$26,(+IF($N125=[1]CURSOS!$D$27,[1]CURSOS!$E$27,(+IF($N125=[1]CURSOS!$D$28,[1]CURSOS!$E$28,(+IF($N125=[1]CURSOS!$D$29,[1]CURSOS!$E$29,(+IF($N125=[1]CURSOS!$D$30,[1]CURSOS!$E$30,(+IF($N125=[1]CURSOS!$D$31,[1]CURSOS!$E$31,(+IF($N125=[1]CURSOS!$D$32,[1]CURSOS!$E$32)))))))))))))))))))))))))))))))))))))))))))))))))))))))))))</f>
        <v>SOPORTE VITAL BASICO (BLS)</v>
      </c>
      <c r="U125" s="51" t="str">
        <f t="shared" si="63"/>
        <v>Carmen Elena Mora Guerrero</v>
      </c>
      <c r="V125" s="51" t="str">
        <f t="shared" si="64"/>
        <v>Carmen Elena Mora Guerrero</v>
      </c>
      <c r="W125" s="51" t="str">
        <f t="shared" si="65"/>
        <v>Carmen Elena Mora Guerrero-59310859-BLS</v>
      </c>
    </row>
    <row r="126" spans="1:23" s="34" customFormat="1" ht="15.75" x14ac:dyDescent="0.25">
      <c r="A126" s="20">
        <v>125</v>
      </c>
      <c r="B126" s="31">
        <v>59310859</v>
      </c>
      <c r="C126" s="31" t="s">
        <v>234</v>
      </c>
      <c r="D126" s="31" t="s">
        <v>182</v>
      </c>
      <c r="E126" s="31" t="s">
        <v>391</v>
      </c>
      <c r="F126" s="31" t="s">
        <v>392</v>
      </c>
      <c r="G126" s="54">
        <v>16</v>
      </c>
      <c r="H126" s="54" t="s">
        <v>99</v>
      </c>
      <c r="I126" s="87"/>
      <c r="J126" s="123">
        <v>25000</v>
      </c>
      <c r="K126" s="54"/>
      <c r="L126" s="54" t="s">
        <v>322</v>
      </c>
      <c r="M126" s="89" t="s">
        <v>537</v>
      </c>
      <c r="N126" s="30" t="s">
        <v>381</v>
      </c>
      <c r="O126" s="138"/>
      <c r="P126" s="138"/>
      <c r="Q126" s="32" t="s">
        <v>160</v>
      </c>
      <c r="R126" s="138"/>
      <c r="S126" s="138"/>
      <c r="T126" s="51" t="str">
        <f>+IF($N126=[1]CURSOS!$D$3,[1]CURSOS!$E$3,(+IF($N126=[1]CURSOS!$D$4,[1]CURSOS!$E$4,(+IF($N126=[1]CURSOS!$D$5,[1]CURSOS!$E$5,(+IF($N126=[1]CURSOS!$D$6,[1]CURSOS!$E$6,(+IF($N126=[1]CURSOS!$D$7,[1]CURSOS!$E$7,(+IF($N126=[1]CURSOS!$D$8,[1]CURSOS!$E$8,(+IF($N126=[1]CURSOS!$D$9,[1]CURSOS!$E$9,(+IF($N126=[1]CURSOS!$D$10,[1]CURSOS!$E$10,(+IF($N126=[1]CURSOS!$D$11,[1]CURSOS!$E$11,(+IF($N126=[1]CURSOS!$D$12,[1]CURSOS!$E$12,(+IF($N126=[1]CURSOS!$D$13,[1]CURSOS!$E$13,(+IF($N126=[1]CURSOS!$D$14,[1]CURSOS!$E$14,(+IF($N126=[1]CURSOS!$D$15,[1]CURSOS!$E$15,(+IF($N126=[1]CURSOS!$D$16,[1]CURSOS!$E$16,(+IF($N126=[1]CURSOS!$D$17,[1]CURSOS!$E$17,(+IF($N126=[1]CURSOS!$D$18,[1]CURSOS!$E$18,(+IF($N126=[1]CURSOS!$D$19,[1]CURSOS!$E$19,(+IF($N126=[1]CURSOS!$D$20,[1]CURSOS!$E$20,(+IF($N126=[1]CURSOS!$D$21,[1]CURSOS!$E$21,(+IF($N126=[1]CURSOS!$D$22,[1]CURSOS!$E$22,(+IF($N126=[1]CURSOS!$D$23,[1]CURSOS!$E$23,(+IF($N126=[1]CURSOS!$D$24,[1]CURSOS!$E$24,(+IF($N126=[1]CURSOS!$D$25,[1]CURSOS!$E$25,(+IF($N126=[1]CURSOS!$D$26,[1]CURSOS!$E$26,(+IF($N126=[1]CURSOS!$D$27,[1]CURSOS!$E$27,(+IF($N126=[1]CURSOS!$D$28,[1]CURSOS!$E$28,(+IF($N126=[1]CURSOS!$D$29,[1]CURSOS!$E$29,(+IF($N126=[1]CURSOS!$D$30,[1]CURSOS!$E$30,(+IF($N126=[1]CURSOS!$D$31,[1]CURSOS!$E$31,(+IF($N126=[1]CURSOS!$D$32,[1]CURSOS!$E$32)))))))))))))))))))))))))))))))))))))))))))))))))))))))))))</f>
        <v>ACOMPAÑAMIENTO Y MANEJO DEL DUELO</v>
      </c>
      <c r="U126" s="51" t="str">
        <f t="shared" si="63"/>
        <v>Carmen Elena Mora Guerrero</v>
      </c>
      <c r="V126" s="51" t="str">
        <f t="shared" si="64"/>
        <v>Carmen Elena Mora Guerrero</v>
      </c>
      <c r="W126" s="51" t="str">
        <f t="shared" si="65"/>
        <v>Carmen Elena Mora Guerrero-59310859-Duelo</v>
      </c>
    </row>
    <row r="127" spans="1:23" s="34" customFormat="1" ht="15.75" x14ac:dyDescent="0.25">
      <c r="A127" s="20">
        <v>126</v>
      </c>
      <c r="B127" s="31">
        <v>59310859</v>
      </c>
      <c r="C127" s="31" t="s">
        <v>234</v>
      </c>
      <c r="D127" s="31" t="s">
        <v>182</v>
      </c>
      <c r="E127" s="31" t="s">
        <v>391</v>
      </c>
      <c r="F127" s="31" t="s">
        <v>392</v>
      </c>
      <c r="G127" s="54">
        <v>15</v>
      </c>
      <c r="H127" s="54" t="s">
        <v>99</v>
      </c>
      <c r="I127" s="87"/>
      <c r="J127" s="123">
        <v>25000</v>
      </c>
      <c r="K127" s="54"/>
      <c r="L127" s="54" t="s">
        <v>322</v>
      </c>
      <c r="M127" s="89" t="s">
        <v>537</v>
      </c>
      <c r="N127" s="30" t="s">
        <v>33</v>
      </c>
      <c r="O127" s="138"/>
      <c r="P127" s="138"/>
      <c r="Q127" s="32" t="s">
        <v>160</v>
      </c>
      <c r="R127" s="138"/>
      <c r="S127" s="138"/>
      <c r="T127" s="51" t="str">
        <f>+IF($N127=[1]CURSOS!$D$3,[1]CURSOS!$E$3,(+IF($N127=[1]CURSOS!$D$4,[1]CURSOS!$E$4,(+IF($N127=[1]CURSOS!$D$5,[1]CURSOS!$E$5,(+IF($N127=[1]CURSOS!$D$6,[1]CURSOS!$E$6,(+IF($N127=[1]CURSOS!$D$7,[1]CURSOS!$E$7,(+IF($N127=[1]CURSOS!$D$8,[1]CURSOS!$E$8,(+IF($N127=[1]CURSOS!$D$9,[1]CURSOS!$E$9,(+IF($N127=[1]CURSOS!$D$10,[1]CURSOS!$E$10,(+IF($N127=[1]CURSOS!$D$11,[1]CURSOS!$E$11,(+IF($N127=[1]CURSOS!$D$12,[1]CURSOS!$E$12,(+IF($N127=[1]CURSOS!$D$13,[1]CURSOS!$E$13,(+IF($N127=[1]CURSOS!$D$14,[1]CURSOS!$E$14,(+IF($N127=[1]CURSOS!$D$15,[1]CURSOS!$E$15,(+IF($N127=[1]CURSOS!$D$16,[1]CURSOS!$E$16,(+IF($N127=[1]CURSOS!$D$17,[1]CURSOS!$E$17,(+IF($N127=[1]CURSOS!$D$18,[1]CURSOS!$E$18,(+IF($N127=[1]CURSOS!$D$19,[1]CURSOS!$E$19,(+IF($N127=[1]CURSOS!$D$20,[1]CURSOS!$E$20,(+IF($N127=[1]CURSOS!$D$21,[1]CURSOS!$E$21,(+IF($N127=[1]CURSOS!$D$22,[1]CURSOS!$E$22,(+IF($N127=[1]CURSOS!$D$23,[1]CURSOS!$E$23,(+IF($N127=[1]CURSOS!$D$24,[1]CURSOS!$E$24,(+IF($N127=[1]CURSOS!$D$25,[1]CURSOS!$E$25,(+IF($N127=[1]CURSOS!$D$26,[1]CURSOS!$E$26,(+IF($N127=[1]CURSOS!$D$27,[1]CURSOS!$E$27,(+IF($N127=[1]CURSOS!$D$28,[1]CURSOS!$E$28,(+IF($N127=[1]CURSOS!$D$29,[1]CURSOS!$E$29,(+IF($N127=[1]CURSOS!$D$30,[1]CURSOS!$E$30,(+IF($N127=[1]CURSOS!$D$31,[1]CURSOS!$E$31,(+IF($N127=[1]CURSOS!$D$32,[1]CURSOS!$E$32)))))))))))))))))))))))))))))))))))))))))))))))))))))))))))</f>
        <v xml:space="preserve">HUMANIZACION EN SALUD, BUENAS PRACTICAS EN PACIENTE </v>
      </c>
      <c r="U127" s="51" t="str">
        <f t="shared" si="63"/>
        <v>Carmen Elena Mora Guerrero</v>
      </c>
      <c r="V127" s="51" t="str">
        <f t="shared" si="64"/>
        <v>Carmen Elena Mora Guerrero</v>
      </c>
      <c r="W127" s="51" t="str">
        <f t="shared" si="65"/>
        <v>Carmen Elena Mora Guerrero-59310859-HUMANIZACION</v>
      </c>
    </row>
    <row r="128" spans="1:23" s="114" customFormat="1" x14ac:dyDescent="0.2">
      <c r="A128" s="108">
        <v>127</v>
      </c>
      <c r="B128" s="109">
        <v>1010019346</v>
      </c>
      <c r="C128" s="109" t="s">
        <v>393</v>
      </c>
      <c r="D128" s="109" t="s">
        <v>394</v>
      </c>
      <c r="E128" s="109" t="s">
        <v>395</v>
      </c>
      <c r="F128" s="109" t="s">
        <v>396</v>
      </c>
      <c r="G128" s="110">
        <v>10</v>
      </c>
      <c r="H128" s="110" t="s">
        <v>99</v>
      </c>
      <c r="I128" s="111"/>
      <c r="J128" s="99">
        <v>40000</v>
      </c>
      <c r="K128" s="110" t="s">
        <v>86</v>
      </c>
      <c r="L128" s="110" t="s">
        <v>322</v>
      </c>
      <c r="M128" s="112" t="s">
        <v>537</v>
      </c>
      <c r="N128" s="113" t="s">
        <v>19</v>
      </c>
      <c r="O128" s="141">
        <v>37579</v>
      </c>
      <c r="P128" s="142" t="s">
        <v>88</v>
      </c>
      <c r="Q128" s="114" t="s">
        <v>160</v>
      </c>
      <c r="R128" s="142" t="s">
        <v>406</v>
      </c>
      <c r="S128" s="145" t="s">
        <v>407</v>
      </c>
      <c r="T128" s="114" t="str">
        <f>+IF($N128=[1]CURSOS!$D$3,[1]CURSOS!$E$3,(+IF($N128=[1]CURSOS!$D$4,[1]CURSOS!$E$4,(+IF($N128=[1]CURSOS!$D$5,[1]CURSOS!$E$5,(+IF($N128=[1]CURSOS!$D$6,[1]CURSOS!$E$6,(+IF($N128=[1]CURSOS!$D$7,[1]CURSOS!$E$7,(+IF($N128=[1]CURSOS!$D$8,[1]CURSOS!$E$8,(+IF($N128=[1]CURSOS!$D$9,[1]CURSOS!$E$9,(+IF($N128=[1]CURSOS!$D$10,[1]CURSOS!$E$10,(+IF($N128=[1]CURSOS!$D$11,[1]CURSOS!$E$11,(+IF($N128=[1]CURSOS!$D$12,[1]CURSOS!$E$12,(+IF($N128=[1]CURSOS!$D$13,[1]CURSOS!$E$13,(+IF($N128=[1]CURSOS!$D$14,[1]CURSOS!$E$14,(+IF($N128=[1]CURSOS!$D$15,[1]CURSOS!$E$15,(+IF($N128=[1]CURSOS!$D$16,[1]CURSOS!$E$16,(+IF($N128=[1]CURSOS!$D$17,[1]CURSOS!$E$17,(+IF($N128=[1]CURSOS!$D$18,[1]CURSOS!$E$18,(+IF($N128=[1]CURSOS!$D$19,[1]CURSOS!$E$19,(+IF($N128=[1]CURSOS!$D$20,[1]CURSOS!$E$20,(+IF($N128=[1]CURSOS!$D$21,[1]CURSOS!$E$21,(+IF($N128=[1]CURSOS!$D$22,[1]CURSOS!$E$22,(+IF($N128=[1]CURSOS!$D$23,[1]CURSOS!$E$23,(+IF($N128=[1]CURSOS!$D$24,[1]CURSOS!$E$24,(+IF($N128=[1]CURSOS!$D$25,[1]CURSOS!$E$25,(+IF($N128=[1]CURSOS!$D$26,[1]CURSOS!$E$26,(+IF($N128=[1]CURSOS!$D$27,[1]CURSOS!$E$27,(+IF($N128=[1]CURSOS!$D$28,[1]CURSOS!$E$28,(+IF($N128=[1]CURSOS!$D$29,[1]CURSOS!$E$29,(+IF($N128=[1]CURSOS!$D$30,[1]CURSOS!$E$30,(+IF($N128=[1]CURSOS!$D$31,[1]CURSOS!$E$31,(+IF($N128=[1]CURSOS!$D$32,[1]CURSOS!$E$32)))))))))))))))))))))))))))))))))))))))))))))))))))))))))))</f>
        <v>SOPORTE VITAL BASICO (BLS)</v>
      </c>
      <c r="U128" s="114" t="str">
        <f t="shared" si="63"/>
        <v>Jesus Armando Santacruz Montaño</v>
      </c>
      <c r="V128" s="114" t="str">
        <f t="shared" si="64"/>
        <v>Jesus Armando Santacruz Montaño</v>
      </c>
      <c r="W128" s="114" t="str">
        <f t="shared" si="65"/>
        <v>Jesus Armando Santacruz Montaño-1010019346-BLS</v>
      </c>
    </row>
    <row r="129" spans="1:23" s="114" customFormat="1" x14ac:dyDescent="0.2">
      <c r="A129" s="108">
        <v>128</v>
      </c>
      <c r="B129" s="109">
        <v>1010019346</v>
      </c>
      <c r="C129" s="109" t="s">
        <v>393</v>
      </c>
      <c r="D129" s="109" t="s">
        <v>394</v>
      </c>
      <c r="E129" s="109" t="s">
        <v>395</v>
      </c>
      <c r="F129" s="109" t="s">
        <v>396</v>
      </c>
      <c r="G129" s="110">
        <v>16</v>
      </c>
      <c r="H129" s="110" t="s">
        <v>99</v>
      </c>
      <c r="I129" s="111"/>
      <c r="J129" s="99">
        <v>20000</v>
      </c>
      <c r="K129" s="110" t="s">
        <v>86</v>
      </c>
      <c r="L129" s="110" t="s">
        <v>322</v>
      </c>
      <c r="M129" s="112" t="s">
        <v>537</v>
      </c>
      <c r="N129" s="113" t="s">
        <v>381</v>
      </c>
      <c r="O129" s="142"/>
      <c r="P129" s="142"/>
      <c r="Q129" s="114" t="s">
        <v>160</v>
      </c>
      <c r="R129" s="142"/>
      <c r="S129" s="142"/>
      <c r="T129" s="114" t="str">
        <f>+IF($N129=[1]CURSOS!$D$3,[1]CURSOS!$E$3,(+IF($N129=[1]CURSOS!$D$4,[1]CURSOS!$E$4,(+IF($N129=[1]CURSOS!$D$5,[1]CURSOS!$E$5,(+IF($N129=[1]CURSOS!$D$6,[1]CURSOS!$E$6,(+IF($N129=[1]CURSOS!$D$7,[1]CURSOS!$E$7,(+IF($N129=[1]CURSOS!$D$8,[1]CURSOS!$E$8,(+IF($N129=[1]CURSOS!$D$9,[1]CURSOS!$E$9,(+IF($N129=[1]CURSOS!$D$10,[1]CURSOS!$E$10,(+IF($N129=[1]CURSOS!$D$11,[1]CURSOS!$E$11,(+IF($N129=[1]CURSOS!$D$12,[1]CURSOS!$E$12,(+IF($N129=[1]CURSOS!$D$13,[1]CURSOS!$E$13,(+IF($N129=[1]CURSOS!$D$14,[1]CURSOS!$E$14,(+IF($N129=[1]CURSOS!$D$15,[1]CURSOS!$E$15,(+IF($N129=[1]CURSOS!$D$16,[1]CURSOS!$E$16,(+IF($N129=[1]CURSOS!$D$17,[1]CURSOS!$E$17,(+IF($N129=[1]CURSOS!$D$18,[1]CURSOS!$E$18,(+IF($N129=[1]CURSOS!$D$19,[1]CURSOS!$E$19,(+IF($N129=[1]CURSOS!$D$20,[1]CURSOS!$E$20,(+IF($N129=[1]CURSOS!$D$21,[1]CURSOS!$E$21,(+IF($N129=[1]CURSOS!$D$22,[1]CURSOS!$E$22,(+IF($N129=[1]CURSOS!$D$23,[1]CURSOS!$E$23,(+IF($N129=[1]CURSOS!$D$24,[1]CURSOS!$E$24,(+IF($N129=[1]CURSOS!$D$25,[1]CURSOS!$E$25,(+IF($N129=[1]CURSOS!$D$26,[1]CURSOS!$E$26,(+IF($N129=[1]CURSOS!$D$27,[1]CURSOS!$E$27,(+IF($N129=[1]CURSOS!$D$28,[1]CURSOS!$E$28,(+IF($N129=[1]CURSOS!$D$29,[1]CURSOS!$E$29,(+IF($N129=[1]CURSOS!$D$30,[1]CURSOS!$E$30,(+IF($N129=[1]CURSOS!$D$31,[1]CURSOS!$E$31,(+IF($N129=[1]CURSOS!$D$32,[1]CURSOS!$E$32)))))))))))))))))))))))))))))))))))))))))))))))))))))))))))</f>
        <v>ACOMPAÑAMIENTO Y MANEJO DEL DUELO</v>
      </c>
      <c r="U129" s="114" t="str">
        <f t="shared" si="63"/>
        <v>Jesus Armando Santacruz Montaño</v>
      </c>
      <c r="V129" s="114" t="str">
        <f t="shared" si="64"/>
        <v>Jesus Armando Santacruz Montaño</v>
      </c>
      <c r="W129" s="114" t="str">
        <f t="shared" si="65"/>
        <v>Jesus Armando Santacruz Montaño-1010019346-Duelo</v>
      </c>
    </row>
    <row r="130" spans="1:23" s="114" customFormat="1" x14ac:dyDescent="0.2">
      <c r="A130" s="108">
        <v>129</v>
      </c>
      <c r="B130" s="109">
        <v>1010019346</v>
      </c>
      <c r="C130" s="109" t="s">
        <v>393</v>
      </c>
      <c r="D130" s="109" t="s">
        <v>394</v>
      </c>
      <c r="E130" s="109" t="s">
        <v>395</v>
      </c>
      <c r="F130" s="109" t="s">
        <v>396</v>
      </c>
      <c r="G130" s="110">
        <v>15</v>
      </c>
      <c r="H130" s="110" t="s">
        <v>99</v>
      </c>
      <c r="I130" s="111"/>
      <c r="J130" s="99">
        <v>20000</v>
      </c>
      <c r="K130" s="110" t="s">
        <v>86</v>
      </c>
      <c r="L130" s="110" t="s">
        <v>322</v>
      </c>
      <c r="M130" s="112" t="s">
        <v>537</v>
      </c>
      <c r="N130" s="113" t="s">
        <v>33</v>
      </c>
      <c r="O130" s="142"/>
      <c r="P130" s="142"/>
      <c r="Q130" s="114" t="s">
        <v>160</v>
      </c>
      <c r="R130" s="142"/>
      <c r="S130" s="142"/>
      <c r="T130" s="114" t="str">
        <f>+IF($N130=[1]CURSOS!$D$3,[1]CURSOS!$E$3,(+IF($N130=[1]CURSOS!$D$4,[1]CURSOS!$E$4,(+IF($N130=[1]CURSOS!$D$5,[1]CURSOS!$E$5,(+IF($N130=[1]CURSOS!$D$6,[1]CURSOS!$E$6,(+IF($N130=[1]CURSOS!$D$7,[1]CURSOS!$E$7,(+IF($N130=[1]CURSOS!$D$8,[1]CURSOS!$E$8,(+IF($N130=[1]CURSOS!$D$9,[1]CURSOS!$E$9,(+IF($N130=[1]CURSOS!$D$10,[1]CURSOS!$E$10,(+IF($N130=[1]CURSOS!$D$11,[1]CURSOS!$E$11,(+IF($N130=[1]CURSOS!$D$12,[1]CURSOS!$E$12,(+IF($N130=[1]CURSOS!$D$13,[1]CURSOS!$E$13,(+IF($N130=[1]CURSOS!$D$14,[1]CURSOS!$E$14,(+IF($N130=[1]CURSOS!$D$15,[1]CURSOS!$E$15,(+IF($N130=[1]CURSOS!$D$16,[1]CURSOS!$E$16,(+IF($N130=[1]CURSOS!$D$17,[1]CURSOS!$E$17,(+IF($N130=[1]CURSOS!$D$18,[1]CURSOS!$E$18,(+IF($N130=[1]CURSOS!$D$19,[1]CURSOS!$E$19,(+IF($N130=[1]CURSOS!$D$20,[1]CURSOS!$E$20,(+IF($N130=[1]CURSOS!$D$21,[1]CURSOS!$E$21,(+IF($N130=[1]CURSOS!$D$22,[1]CURSOS!$E$22,(+IF($N130=[1]CURSOS!$D$23,[1]CURSOS!$E$23,(+IF($N130=[1]CURSOS!$D$24,[1]CURSOS!$E$24,(+IF($N130=[1]CURSOS!$D$25,[1]CURSOS!$E$25,(+IF($N130=[1]CURSOS!$D$26,[1]CURSOS!$E$26,(+IF($N130=[1]CURSOS!$D$27,[1]CURSOS!$E$27,(+IF($N130=[1]CURSOS!$D$28,[1]CURSOS!$E$28,(+IF($N130=[1]CURSOS!$D$29,[1]CURSOS!$E$29,(+IF($N130=[1]CURSOS!$D$30,[1]CURSOS!$E$30,(+IF($N130=[1]CURSOS!$D$31,[1]CURSOS!$E$31,(+IF($N130=[1]CURSOS!$D$32,[1]CURSOS!$E$32)))))))))))))))))))))))))))))))))))))))))))))))))))))))))))</f>
        <v xml:space="preserve">HUMANIZACION EN SALUD, BUENAS PRACTICAS EN PACIENTE </v>
      </c>
      <c r="U130" s="114" t="str">
        <f t="shared" si="63"/>
        <v>Jesus Armando Santacruz Montaño</v>
      </c>
      <c r="V130" s="114" t="str">
        <f t="shared" si="64"/>
        <v>Jesus Armando Santacruz Montaño</v>
      </c>
      <c r="W130" s="114" t="str">
        <f t="shared" si="65"/>
        <v>Jesus Armando Santacruz Montaño-1010019346-HUMANIZACION</v>
      </c>
    </row>
    <row r="131" spans="1:23" s="34" customFormat="1" ht="15.75" x14ac:dyDescent="0.25">
      <c r="A131" s="20">
        <v>130</v>
      </c>
      <c r="B131" s="31">
        <v>1085294747</v>
      </c>
      <c r="C131" s="31" t="s">
        <v>397</v>
      </c>
      <c r="D131" s="31" t="s">
        <v>398</v>
      </c>
      <c r="E131" s="31" t="s">
        <v>399</v>
      </c>
      <c r="F131" s="31" t="s">
        <v>400</v>
      </c>
      <c r="G131" s="54">
        <v>10</v>
      </c>
      <c r="H131" s="54" t="s">
        <v>99</v>
      </c>
      <c r="I131" s="87"/>
      <c r="J131" s="123">
        <v>40000</v>
      </c>
      <c r="K131" s="54"/>
      <c r="L131" s="54" t="s">
        <v>322</v>
      </c>
      <c r="M131" s="89" t="s">
        <v>537</v>
      </c>
      <c r="N131" s="30" t="s">
        <v>19</v>
      </c>
      <c r="O131" s="139">
        <v>33570</v>
      </c>
      <c r="P131" s="138" t="s">
        <v>78</v>
      </c>
      <c r="Q131" s="32" t="s">
        <v>160</v>
      </c>
      <c r="R131" s="138">
        <v>3173109213</v>
      </c>
      <c r="S131" s="137" t="s">
        <v>408</v>
      </c>
      <c r="T131" s="51" t="str">
        <f>+IF($N131=[1]CURSOS!$D$3,[1]CURSOS!$E$3,(+IF($N131=[1]CURSOS!$D$4,[1]CURSOS!$E$4,(+IF($N131=[1]CURSOS!$D$5,[1]CURSOS!$E$5,(+IF($N131=[1]CURSOS!$D$6,[1]CURSOS!$E$6,(+IF($N131=[1]CURSOS!$D$7,[1]CURSOS!$E$7,(+IF($N131=[1]CURSOS!$D$8,[1]CURSOS!$E$8,(+IF($N131=[1]CURSOS!$D$9,[1]CURSOS!$E$9,(+IF($N131=[1]CURSOS!$D$10,[1]CURSOS!$E$10,(+IF($N131=[1]CURSOS!$D$11,[1]CURSOS!$E$11,(+IF($N131=[1]CURSOS!$D$12,[1]CURSOS!$E$12,(+IF($N131=[1]CURSOS!$D$13,[1]CURSOS!$E$13,(+IF($N131=[1]CURSOS!$D$14,[1]CURSOS!$E$14,(+IF($N131=[1]CURSOS!$D$15,[1]CURSOS!$E$15,(+IF($N131=[1]CURSOS!$D$16,[1]CURSOS!$E$16,(+IF($N131=[1]CURSOS!$D$17,[1]CURSOS!$E$17,(+IF($N131=[1]CURSOS!$D$18,[1]CURSOS!$E$18,(+IF($N131=[1]CURSOS!$D$19,[1]CURSOS!$E$19,(+IF($N131=[1]CURSOS!$D$20,[1]CURSOS!$E$20,(+IF($N131=[1]CURSOS!$D$21,[1]CURSOS!$E$21,(+IF($N131=[1]CURSOS!$D$22,[1]CURSOS!$E$22,(+IF($N131=[1]CURSOS!$D$23,[1]CURSOS!$E$23,(+IF($N131=[1]CURSOS!$D$24,[1]CURSOS!$E$24,(+IF($N131=[1]CURSOS!$D$25,[1]CURSOS!$E$25,(+IF($N131=[1]CURSOS!$D$26,[1]CURSOS!$E$26,(+IF($N131=[1]CURSOS!$D$27,[1]CURSOS!$E$27,(+IF($N131=[1]CURSOS!$D$28,[1]CURSOS!$E$28,(+IF($N131=[1]CURSOS!$D$29,[1]CURSOS!$E$29,(+IF($N131=[1]CURSOS!$D$30,[1]CURSOS!$E$30,(+IF($N131=[1]CURSOS!$D$31,[1]CURSOS!$E$31,(+IF($N131=[1]CURSOS!$D$32,[1]CURSOS!$E$32)))))))))))))))))))))))))))))))))))))))))))))))))))))))))))</f>
        <v>SOPORTE VITAL BASICO (BLS)</v>
      </c>
      <c r="U131" s="51" t="str">
        <f t="shared" si="63"/>
        <v>Grace Erika velasques Mesias</v>
      </c>
      <c r="V131" s="51" t="str">
        <f t="shared" si="64"/>
        <v>Grace Erika Velasques Mesias</v>
      </c>
      <c r="W131" s="51" t="str">
        <f t="shared" si="65"/>
        <v>Grace Erika velasques Mesias-1085294747-BLS</v>
      </c>
    </row>
    <row r="132" spans="1:23" s="34" customFormat="1" ht="15.75" x14ac:dyDescent="0.25">
      <c r="A132" s="20">
        <v>131</v>
      </c>
      <c r="B132" s="31">
        <v>1085294747</v>
      </c>
      <c r="C132" s="31" t="s">
        <v>397</v>
      </c>
      <c r="D132" s="31" t="s">
        <v>398</v>
      </c>
      <c r="E132" s="31" t="s">
        <v>399</v>
      </c>
      <c r="F132" s="31" t="s">
        <v>400</v>
      </c>
      <c r="G132" s="54">
        <v>16</v>
      </c>
      <c r="H132" s="54" t="s">
        <v>99</v>
      </c>
      <c r="I132" s="87"/>
      <c r="J132" s="123">
        <v>25000</v>
      </c>
      <c r="K132" s="54"/>
      <c r="L132" s="54" t="s">
        <v>322</v>
      </c>
      <c r="M132" s="89" t="s">
        <v>537</v>
      </c>
      <c r="N132" s="30" t="s">
        <v>381</v>
      </c>
      <c r="O132" s="138"/>
      <c r="P132" s="138"/>
      <c r="Q132" s="32" t="s">
        <v>160</v>
      </c>
      <c r="R132" s="138"/>
      <c r="S132" s="138"/>
      <c r="T132" s="51" t="str">
        <f>+IF($N132=[1]CURSOS!$D$3,[1]CURSOS!$E$3,(+IF($N132=[1]CURSOS!$D$4,[1]CURSOS!$E$4,(+IF($N132=[1]CURSOS!$D$5,[1]CURSOS!$E$5,(+IF($N132=[1]CURSOS!$D$6,[1]CURSOS!$E$6,(+IF($N132=[1]CURSOS!$D$7,[1]CURSOS!$E$7,(+IF($N132=[1]CURSOS!$D$8,[1]CURSOS!$E$8,(+IF($N132=[1]CURSOS!$D$9,[1]CURSOS!$E$9,(+IF($N132=[1]CURSOS!$D$10,[1]CURSOS!$E$10,(+IF($N132=[1]CURSOS!$D$11,[1]CURSOS!$E$11,(+IF($N132=[1]CURSOS!$D$12,[1]CURSOS!$E$12,(+IF($N132=[1]CURSOS!$D$13,[1]CURSOS!$E$13,(+IF($N132=[1]CURSOS!$D$14,[1]CURSOS!$E$14,(+IF($N132=[1]CURSOS!$D$15,[1]CURSOS!$E$15,(+IF($N132=[1]CURSOS!$D$16,[1]CURSOS!$E$16,(+IF($N132=[1]CURSOS!$D$17,[1]CURSOS!$E$17,(+IF($N132=[1]CURSOS!$D$18,[1]CURSOS!$E$18,(+IF($N132=[1]CURSOS!$D$19,[1]CURSOS!$E$19,(+IF($N132=[1]CURSOS!$D$20,[1]CURSOS!$E$20,(+IF($N132=[1]CURSOS!$D$21,[1]CURSOS!$E$21,(+IF($N132=[1]CURSOS!$D$22,[1]CURSOS!$E$22,(+IF($N132=[1]CURSOS!$D$23,[1]CURSOS!$E$23,(+IF($N132=[1]CURSOS!$D$24,[1]CURSOS!$E$24,(+IF($N132=[1]CURSOS!$D$25,[1]CURSOS!$E$25,(+IF($N132=[1]CURSOS!$D$26,[1]CURSOS!$E$26,(+IF($N132=[1]CURSOS!$D$27,[1]CURSOS!$E$27,(+IF($N132=[1]CURSOS!$D$28,[1]CURSOS!$E$28,(+IF($N132=[1]CURSOS!$D$29,[1]CURSOS!$E$29,(+IF($N132=[1]CURSOS!$D$30,[1]CURSOS!$E$30,(+IF($N132=[1]CURSOS!$D$31,[1]CURSOS!$E$31,(+IF($N132=[1]CURSOS!$D$32,[1]CURSOS!$E$32)))))))))))))))))))))))))))))))))))))))))))))))))))))))))))</f>
        <v>ACOMPAÑAMIENTO Y MANEJO DEL DUELO</v>
      </c>
      <c r="U132" s="51" t="str">
        <f t="shared" si="63"/>
        <v>Grace Erika velasques Mesias</v>
      </c>
      <c r="V132" s="51" t="str">
        <f t="shared" si="64"/>
        <v>Grace Erika Velasques Mesias</v>
      </c>
      <c r="W132" s="51" t="str">
        <f t="shared" si="65"/>
        <v>Grace Erika velasques Mesias-1085294747-Duelo</v>
      </c>
    </row>
    <row r="133" spans="1:23" s="34" customFormat="1" ht="15.75" x14ac:dyDescent="0.25">
      <c r="A133" s="20">
        <v>132</v>
      </c>
      <c r="B133" s="31">
        <v>1085294747</v>
      </c>
      <c r="C133" s="31" t="s">
        <v>397</v>
      </c>
      <c r="D133" s="31" t="s">
        <v>398</v>
      </c>
      <c r="E133" s="31" t="s">
        <v>399</v>
      </c>
      <c r="F133" s="31" t="s">
        <v>400</v>
      </c>
      <c r="G133" s="54">
        <v>15</v>
      </c>
      <c r="H133" s="54" t="s">
        <v>99</v>
      </c>
      <c r="I133" s="87"/>
      <c r="J133" s="123">
        <v>25000</v>
      </c>
      <c r="K133" s="54"/>
      <c r="L133" s="54" t="s">
        <v>322</v>
      </c>
      <c r="M133" s="89" t="s">
        <v>537</v>
      </c>
      <c r="N133" s="30" t="s">
        <v>33</v>
      </c>
      <c r="O133" s="138"/>
      <c r="P133" s="138"/>
      <c r="Q133" s="32" t="s">
        <v>160</v>
      </c>
      <c r="R133" s="138"/>
      <c r="S133" s="138"/>
      <c r="T133" s="51" t="str">
        <f>+IF($N133=[1]CURSOS!$D$3,[1]CURSOS!$E$3,(+IF($N133=[1]CURSOS!$D$4,[1]CURSOS!$E$4,(+IF($N133=[1]CURSOS!$D$5,[1]CURSOS!$E$5,(+IF($N133=[1]CURSOS!$D$6,[1]CURSOS!$E$6,(+IF($N133=[1]CURSOS!$D$7,[1]CURSOS!$E$7,(+IF($N133=[1]CURSOS!$D$8,[1]CURSOS!$E$8,(+IF($N133=[1]CURSOS!$D$9,[1]CURSOS!$E$9,(+IF($N133=[1]CURSOS!$D$10,[1]CURSOS!$E$10,(+IF($N133=[1]CURSOS!$D$11,[1]CURSOS!$E$11,(+IF($N133=[1]CURSOS!$D$12,[1]CURSOS!$E$12,(+IF($N133=[1]CURSOS!$D$13,[1]CURSOS!$E$13,(+IF($N133=[1]CURSOS!$D$14,[1]CURSOS!$E$14,(+IF($N133=[1]CURSOS!$D$15,[1]CURSOS!$E$15,(+IF($N133=[1]CURSOS!$D$16,[1]CURSOS!$E$16,(+IF($N133=[1]CURSOS!$D$17,[1]CURSOS!$E$17,(+IF($N133=[1]CURSOS!$D$18,[1]CURSOS!$E$18,(+IF($N133=[1]CURSOS!$D$19,[1]CURSOS!$E$19,(+IF($N133=[1]CURSOS!$D$20,[1]CURSOS!$E$20,(+IF($N133=[1]CURSOS!$D$21,[1]CURSOS!$E$21,(+IF($N133=[1]CURSOS!$D$22,[1]CURSOS!$E$22,(+IF($N133=[1]CURSOS!$D$23,[1]CURSOS!$E$23,(+IF($N133=[1]CURSOS!$D$24,[1]CURSOS!$E$24,(+IF($N133=[1]CURSOS!$D$25,[1]CURSOS!$E$25,(+IF($N133=[1]CURSOS!$D$26,[1]CURSOS!$E$26,(+IF($N133=[1]CURSOS!$D$27,[1]CURSOS!$E$27,(+IF($N133=[1]CURSOS!$D$28,[1]CURSOS!$E$28,(+IF($N133=[1]CURSOS!$D$29,[1]CURSOS!$E$29,(+IF($N133=[1]CURSOS!$D$30,[1]CURSOS!$E$30,(+IF($N133=[1]CURSOS!$D$31,[1]CURSOS!$E$31,(+IF($N133=[1]CURSOS!$D$32,[1]CURSOS!$E$32)))))))))))))))))))))))))))))))))))))))))))))))))))))))))))</f>
        <v xml:space="preserve">HUMANIZACION EN SALUD, BUENAS PRACTICAS EN PACIENTE </v>
      </c>
      <c r="U133" s="51" t="str">
        <f t="shared" si="63"/>
        <v>Grace Erika velasques Mesias</v>
      </c>
      <c r="V133" s="51" t="str">
        <f t="shared" si="64"/>
        <v>Grace Erika Velasques Mesias</v>
      </c>
      <c r="W133" s="51" t="str">
        <f t="shared" si="65"/>
        <v>Grace Erika velasques Mesias-1085294747-HUMANIZACION</v>
      </c>
    </row>
    <row r="134" spans="1:23" s="34" customFormat="1" ht="15.75" x14ac:dyDescent="0.25">
      <c r="A134" s="20">
        <v>133</v>
      </c>
      <c r="B134" s="32">
        <v>1085314820</v>
      </c>
      <c r="C134" s="31" t="s">
        <v>409</v>
      </c>
      <c r="D134" s="31" t="s">
        <v>410</v>
      </c>
      <c r="E134" s="31" t="s">
        <v>267</v>
      </c>
      <c r="F134" s="31" t="s">
        <v>256</v>
      </c>
      <c r="G134" s="54">
        <v>11</v>
      </c>
      <c r="H134" s="54" t="s">
        <v>99</v>
      </c>
      <c r="I134" s="87"/>
      <c r="J134" s="123">
        <v>180000</v>
      </c>
      <c r="K134" s="54"/>
      <c r="L134" s="54" t="s">
        <v>322</v>
      </c>
      <c r="M134" s="89" t="s">
        <v>537</v>
      </c>
      <c r="N134" s="30" t="s">
        <v>39</v>
      </c>
      <c r="O134" s="139">
        <v>34571</v>
      </c>
      <c r="P134" s="138" t="s">
        <v>78</v>
      </c>
      <c r="Q134" s="32"/>
      <c r="R134" s="138">
        <v>3042141332</v>
      </c>
      <c r="S134" s="137" t="s">
        <v>417</v>
      </c>
      <c r="T134" s="51" t="str">
        <f>+IF($N134=[1]CURSOS!$D$3,[1]CURSOS!$E$3,(+IF($N134=[1]CURSOS!$D$4,[1]CURSOS!$E$4,(+IF($N134=[1]CURSOS!$D$5,[1]CURSOS!$E$5,(+IF($N134=[1]CURSOS!$D$6,[1]CURSOS!$E$6,(+IF($N134=[1]CURSOS!$D$7,[1]CURSOS!$E$7,(+IF($N134=[1]CURSOS!$D$8,[1]CURSOS!$E$8,(+IF($N134=[1]CURSOS!$D$9,[1]CURSOS!$E$9,(+IF($N134=[1]CURSOS!$D$10,[1]CURSOS!$E$10,(+IF($N134=[1]CURSOS!$D$11,[1]CURSOS!$E$11,(+IF($N134=[1]CURSOS!$D$12,[1]CURSOS!$E$12,(+IF($N134=[1]CURSOS!$D$13,[1]CURSOS!$E$13,(+IF($N134=[1]CURSOS!$D$14,[1]CURSOS!$E$14,(+IF($N134=[1]CURSOS!$D$15,[1]CURSOS!$E$15,(+IF($N134=[1]CURSOS!$D$16,[1]CURSOS!$E$16,(+IF($N134=[1]CURSOS!$D$17,[1]CURSOS!$E$17,(+IF($N134=[1]CURSOS!$D$18,[1]CURSOS!$E$18,(+IF($N134=[1]CURSOS!$D$19,[1]CURSOS!$E$19,(+IF($N134=[1]CURSOS!$D$20,[1]CURSOS!$E$20,(+IF($N134=[1]CURSOS!$D$21,[1]CURSOS!$E$21,(+IF($N134=[1]CURSOS!$D$22,[1]CURSOS!$E$22,(+IF($N134=[1]CURSOS!$D$23,[1]CURSOS!$E$23,(+IF($N134=[1]CURSOS!$D$24,[1]CURSOS!$E$24,(+IF($N134=[1]CURSOS!$D$25,[1]CURSOS!$E$25,(+IF($N134=[1]CURSOS!$D$26,[1]CURSOS!$E$26,(+IF($N134=[1]CURSOS!$D$27,[1]CURSOS!$E$27,(+IF($N134=[1]CURSOS!$D$28,[1]CURSOS!$E$28,(+IF($N134=[1]CURSOS!$D$29,[1]CURSOS!$E$29,(+IF($N134=[1]CURSOS!$D$30,[1]CURSOS!$E$30,(+IF($N134=[1]CURSOS!$D$31,[1]CURSOS!$E$31,(+IF($N134=[1]CURSOS!$D$32,[1]CURSOS!$E$32)))))))))))))))))))))))))))))))))))))))))))))))))))))))))))</f>
        <v xml:space="preserve">SOPORTE CARDIOVASCULAR AVANZADO </v>
      </c>
      <c r="U134" s="51" t="str">
        <f t="shared" ref="U134:U143" si="66">CONCATENATE(E134," ",F134," ",C134," ",D134)</f>
        <v>Maria Fernanda Torres Paladines</v>
      </c>
      <c r="V134" s="51" t="str">
        <f t="shared" ref="V134:V143" si="67">+PROPER(U134)</f>
        <v>Maria Fernanda Torres Paladines</v>
      </c>
      <c r="W134" s="51" t="str">
        <f t="shared" ref="W134:W143" si="68">CONCATENATE(U134,"-",B134,"-",N134)</f>
        <v>Maria Fernanda Torres Paladines-1085314820-ACLS</v>
      </c>
    </row>
    <row r="135" spans="1:23" s="34" customFormat="1" ht="15.75" x14ac:dyDescent="0.25">
      <c r="A135" s="20">
        <v>134</v>
      </c>
      <c r="B135" s="32">
        <v>1085314820</v>
      </c>
      <c r="C135" s="31" t="s">
        <v>409</v>
      </c>
      <c r="D135" s="31" t="s">
        <v>410</v>
      </c>
      <c r="E135" s="31" t="s">
        <v>267</v>
      </c>
      <c r="F135" s="31" t="s">
        <v>256</v>
      </c>
      <c r="G135" s="54">
        <v>17</v>
      </c>
      <c r="H135" s="54" t="s">
        <v>99</v>
      </c>
      <c r="I135" s="87"/>
      <c r="J135" s="123">
        <v>40000</v>
      </c>
      <c r="K135" s="54"/>
      <c r="L135" s="54" t="s">
        <v>322</v>
      </c>
      <c r="M135" s="89" t="s">
        <v>537</v>
      </c>
      <c r="N135" s="30" t="s">
        <v>411</v>
      </c>
      <c r="O135" s="139"/>
      <c r="P135" s="138"/>
      <c r="Q135" s="32"/>
      <c r="R135" s="138"/>
      <c r="S135" s="137"/>
      <c r="T135" s="51" t="str">
        <f>+IF($N135=[1]CURSOS!$D$3,[1]CURSOS!$E$3,(+IF($N135=[1]CURSOS!$D$4,[1]CURSOS!$E$4,(+IF($N135=[1]CURSOS!$D$5,[1]CURSOS!$E$5,(+IF($N135=[1]CURSOS!$D$6,[1]CURSOS!$E$6,(+IF($N135=[1]CURSOS!$D$7,[1]CURSOS!$E$7,(+IF($N135=[1]CURSOS!$D$8,[1]CURSOS!$E$8,(+IF($N135=[1]CURSOS!$D$9,[1]CURSOS!$E$9,(+IF($N135=[1]CURSOS!$D$10,[1]CURSOS!$E$10,(+IF($N135=[1]CURSOS!$D$11,[1]CURSOS!$E$11,(+IF($N135=[1]CURSOS!$D$12,[1]CURSOS!$E$12,(+IF($N135=[1]CURSOS!$D$13,[1]CURSOS!$E$13,(+IF($N135=[1]CURSOS!$D$14,[1]CURSOS!$E$14,(+IF($N135=[1]CURSOS!$D$15,[1]CURSOS!$E$15,(+IF($N135=[1]CURSOS!$D$16,[1]CURSOS!$E$16,(+IF($N135=[1]CURSOS!$D$17,[1]CURSOS!$E$17,(+IF($N135=[1]CURSOS!$D$18,[1]CURSOS!$E$18,(+IF($N135=[1]CURSOS!$D$19,[1]CURSOS!$E$19,(+IF($N135=[1]CURSOS!$D$20,[1]CURSOS!$E$20,(+IF($N135=[1]CURSOS!$D$21,[1]CURSOS!$E$21,(+IF($N135=[1]CURSOS!$D$22,[1]CURSOS!$E$22,(+IF($N135=[1]CURSOS!$D$23,[1]CURSOS!$E$23,(+IF($N135=[1]CURSOS!$D$24,[1]CURSOS!$E$24,(+IF($N135=[1]CURSOS!$D$25,[1]CURSOS!$E$25,(+IF($N135=[1]CURSOS!$D$26,[1]CURSOS!$E$26,(+IF($N135=[1]CURSOS!$D$27,[1]CURSOS!$E$27,(+IF($N135=[1]CURSOS!$D$28,[1]CURSOS!$E$28,(+IF($N135=[1]CURSOS!$D$29,[1]CURSOS!$E$29,(+IF($N135=[1]CURSOS!$D$30,[1]CURSOS!$E$30,(+IF($N135=[1]CURSOS!$D$31,[1]CURSOS!$E$31,(+IF($N135=[1]CURSOS!$D$32,[1]CURSOS!$E$32)))))))))))))))))))))))))))))))))))))))))))))))))))))))))))</f>
        <v xml:space="preserve">ATENCION A VICTIMAS DE ATAQUE CON AGENTES QUIMICOS </v>
      </c>
      <c r="U135" s="51" t="str">
        <f t="shared" si="66"/>
        <v>Maria Fernanda Torres Paladines</v>
      </c>
      <c r="V135" s="51" t="str">
        <f t="shared" si="67"/>
        <v>Maria Fernanda Torres Paladines</v>
      </c>
      <c r="W135" s="51" t="str">
        <f t="shared" si="68"/>
        <v>Maria Fernanda Torres Paladines-1085314820-Quimicos</v>
      </c>
    </row>
    <row r="136" spans="1:23" s="34" customFormat="1" ht="15.75" x14ac:dyDescent="0.25">
      <c r="A136" s="20">
        <v>135</v>
      </c>
      <c r="B136" s="32">
        <v>1085314820</v>
      </c>
      <c r="C136" s="31" t="s">
        <v>409</v>
      </c>
      <c r="D136" s="31" t="s">
        <v>410</v>
      </c>
      <c r="E136" s="31" t="s">
        <v>267</v>
      </c>
      <c r="F136" s="31" t="s">
        <v>256</v>
      </c>
      <c r="G136" s="54">
        <v>15</v>
      </c>
      <c r="H136" s="54" t="s">
        <v>99</v>
      </c>
      <c r="I136" s="87"/>
      <c r="J136" s="123">
        <v>40000</v>
      </c>
      <c r="K136" s="54"/>
      <c r="L136" s="54" t="s">
        <v>322</v>
      </c>
      <c r="M136" s="89" t="s">
        <v>537</v>
      </c>
      <c r="N136" s="30" t="s">
        <v>33</v>
      </c>
      <c r="O136" s="139"/>
      <c r="P136" s="138"/>
      <c r="Q136" s="32"/>
      <c r="R136" s="138"/>
      <c r="S136" s="137"/>
      <c r="T136" s="51" t="str">
        <f>+IF($N136=[1]CURSOS!$D$3,[1]CURSOS!$E$3,(+IF($N136=[1]CURSOS!$D$4,[1]CURSOS!$E$4,(+IF($N136=[1]CURSOS!$D$5,[1]CURSOS!$E$5,(+IF($N136=[1]CURSOS!$D$6,[1]CURSOS!$E$6,(+IF($N136=[1]CURSOS!$D$7,[1]CURSOS!$E$7,(+IF($N136=[1]CURSOS!$D$8,[1]CURSOS!$E$8,(+IF($N136=[1]CURSOS!$D$9,[1]CURSOS!$E$9,(+IF($N136=[1]CURSOS!$D$10,[1]CURSOS!$E$10,(+IF($N136=[1]CURSOS!$D$11,[1]CURSOS!$E$11,(+IF($N136=[1]CURSOS!$D$12,[1]CURSOS!$E$12,(+IF($N136=[1]CURSOS!$D$13,[1]CURSOS!$E$13,(+IF($N136=[1]CURSOS!$D$14,[1]CURSOS!$E$14,(+IF($N136=[1]CURSOS!$D$15,[1]CURSOS!$E$15,(+IF($N136=[1]CURSOS!$D$16,[1]CURSOS!$E$16,(+IF($N136=[1]CURSOS!$D$17,[1]CURSOS!$E$17,(+IF($N136=[1]CURSOS!$D$18,[1]CURSOS!$E$18,(+IF($N136=[1]CURSOS!$D$19,[1]CURSOS!$E$19,(+IF($N136=[1]CURSOS!$D$20,[1]CURSOS!$E$20,(+IF($N136=[1]CURSOS!$D$21,[1]CURSOS!$E$21,(+IF($N136=[1]CURSOS!$D$22,[1]CURSOS!$E$22,(+IF($N136=[1]CURSOS!$D$23,[1]CURSOS!$E$23,(+IF($N136=[1]CURSOS!$D$24,[1]CURSOS!$E$24,(+IF($N136=[1]CURSOS!$D$25,[1]CURSOS!$E$25,(+IF($N136=[1]CURSOS!$D$26,[1]CURSOS!$E$26,(+IF($N136=[1]CURSOS!$D$27,[1]CURSOS!$E$27,(+IF($N136=[1]CURSOS!$D$28,[1]CURSOS!$E$28,(+IF($N136=[1]CURSOS!$D$29,[1]CURSOS!$E$29,(+IF($N136=[1]CURSOS!$D$30,[1]CURSOS!$E$30,(+IF($N136=[1]CURSOS!$D$31,[1]CURSOS!$E$31,(+IF($N136=[1]CURSOS!$D$32,[1]CURSOS!$E$32)))))))))))))))))))))))))))))))))))))))))))))))))))))))))))</f>
        <v xml:space="preserve">HUMANIZACION EN SALUD, BUENAS PRACTICAS EN PACIENTE </v>
      </c>
      <c r="U136" s="51" t="str">
        <f t="shared" si="66"/>
        <v>Maria Fernanda Torres Paladines</v>
      </c>
      <c r="V136" s="51" t="str">
        <f t="shared" si="67"/>
        <v>Maria Fernanda Torres Paladines</v>
      </c>
      <c r="W136" s="51" t="str">
        <f t="shared" si="68"/>
        <v>Maria Fernanda Torres Paladines-1085314820-HUMANIZACION</v>
      </c>
    </row>
    <row r="137" spans="1:23" s="34" customFormat="1" ht="15.75" x14ac:dyDescent="0.25">
      <c r="A137" s="20">
        <v>136</v>
      </c>
      <c r="B137" s="32">
        <v>1085314820</v>
      </c>
      <c r="C137" s="31" t="s">
        <v>409</v>
      </c>
      <c r="D137" s="31" t="s">
        <v>410</v>
      </c>
      <c r="E137" s="31" t="s">
        <v>267</v>
      </c>
      <c r="F137" s="31" t="s">
        <v>256</v>
      </c>
      <c r="G137" s="54">
        <v>11</v>
      </c>
      <c r="H137" s="54" t="s">
        <v>99</v>
      </c>
      <c r="I137" s="87"/>
      <c r="J137" s="123">
        <v>60000</v>
      </c>
      <c r="K137" s="54"/>
      <c r="L137" s="54" t="s">
        <v>322</v>
      </c>
      <c r="M137" s="89" t="s">
        <v>537</v>
      </c>
      <c r="N137" s="30" t="s">
        <v>412</v>
      </c>
      <c r="O137" s="139"/>
      <c r="P137" s="138"/>
      <c r="Q137" s="32"/>
      <c r="R137" s="138"/>
      <c r="S137" s="137"/>
      <c r="T137" s="51" t="str">
        <f>+IF($N137=[1]CURSOS!$D$3,[1]CURSOS!$E$3,(+IF($N137=[1]CURSOS!$D$4,[1]CURSOS!$E$4,(+IF($N137=[1]CURSOS!$D$5,[1]CURSOS!$E$5,(+IF($N137=[1]CURSOS!$D$6,[1]CURSOS!$E$6,(+IF($N137=[1]CURSOS!$D$7,[1]CURSOS!$E$7,(+IF($N137=[1]CURSOS!$D$8,[1]CURSOS!$E$8,(+IF($N137=[1]CURSOS!$D$9,[1]CURSOS!$E$9,(+IF($N137=[1]CURSOS!$D$10,[1]CURSOS!$E$10,(+IF($N137=[1]CURSOS!$D$11,[1]CURSOS!$E$11,(+IF($N137=[1]CURSOS!$D$12,[1]CURSOS!$E$12,(+IF($N137=[1]CURSOS!$D$13,[1]CURSOS!$E$13,(+IF($N137=[1]CURSOS!$D$14,[1]CURSOS!$E$14,(+IF($N137=[1]CURSOS!$D$15,[1]CURSOS!$E$15,(+IF($N137=[1]CURSOS!$D$16,[1]CURSOS!$E$16,(+IF($N137=[1]CURSOS!$D$17,[1]CURSOS!$E$17,(+IF($N137=[1]CURSOS!$D$18,[1]CURSOS!$E$18,(+IF($N137=[1]CURSOS!$D$19,[1]CURSOS!$E$19,(+IF($N137=[1]CURSOS!$D$20,[1]CURSOS!$E$20,(+IF($N137=[1]CURSOS!$D$21,[1]CURSOS!$E$21,(+IF($N137=[1]CURSOS!$D$22,[1]CURSOS!$E$22,(+IF($N137=[1]CURSOS!$D$23,[1]CURSOS!$E$23,(+IF($N137=[1]CURSOS!$D$24,[1]CURSOS!$E$24,(+IF($N137=[1]CURSOS!$D$25,[1]CURSOS!$E$25,(+IF($N137=[1]CURSOS!$D$26,[1]CURSOS!$E$26,(+IF($N137=[1]CURSOS!$D$27,[1]CURSOS!$E$27,(+IF($N137=[1]CURSOS!$D$28,[1]CURSOS!$E$28,(+IF($N137=[1]CURSOS!$D$29,[1]CURSOS!$E$29,(+IF($N137=[1]CURSOS!$D$30,[1]CURSOS!$E$30,(+IF($N137=[1]CURSOS!$D$31,[1]CURSOS!$E$31,(+IF($N137=[1]CURSOS!$D$32,[1]CURSOS!$E$32)))))))))))))))))))))))))))))))))))))))))))))))))))))))))))</f>
        <v>MANEJO DEL DOLOR Y CUIDADOS PALIATIVOS</v>
      </c>
      <c r="U137" s="51" t="str">
        <f t="shared" si="66"/>
        <v>Maria Fernanda Torres Paladines</v>
      </c>
      <c r="V137" s="51" t="str">
        <f t="shared" si="67"/>
        <v>Maria Fernanda Torres Paladines</v>
      </c>
      <c r="W137" s="51" t="str">
        <f t="shared" si="68"/>
        <v>Maria Fernanda Torres Paladines-1085314820-Paliativos</v>
      </c>
    </row>
    <row r="138" spans="1:23" s="34" customFormat="1" ht="15.75" x14ac:dyDescent="0.25">
      <c r="A138" s="20">
        <v>137</v>
      </c>
      <c r="B138" s="31">
        <v>36952461</v>
      </c>
      <c r="C138" s="31" t="s">
        <v>413</v>
      </c>
      <c r="D138" s="31" t="s">
        <v>414</v>
      </c>
      <c r="E138" s="31" t="s">
        <v>415</v>
      </c>
      <c r="F138" s="31" t="s">
        <v>194</v>
      </c>
      <c r="G138" s="54">
        <v>11</v>
      </c>
      <c r="H138" s="54" t="s">
        <v>99</v>
      </c>
      <c r="I138" s="87"/>
      <c r="J138" s="123">
        <v>180000</v>
      </c>
      <c r="K138" s="54"/>
      <c r="L138" s="54" t="s">
        <v>322</v>
      </c>
      <c r="M138" s="89" t="s">
        <v>537</v>
      </c>
      <c r="N138" s="30" t="s">
        <v>39</v>
      </c>
      <c r="O138" s="33"/>
      <c r="P138" s="138" t="s">
        <v>78</v>
      </c>
      <c r="Q138" s="32"/>
      <c r="R138" s="138">
        <v>3226519970</v>
      </c>
      <c r="S138" s="137" t="s">
        <v>418</v>
      </c>
      <c r="T138" s="51" t="str">
        <f>+IF($N138=[1]CURSOS!$D$3,[1]CURSOS!$E$3,(+IF($N138=[1]CURSOS!$D$4,[1]CURSOS!$E$4,(+IF($N138=[1]CURSOS!$D$5,[1]CURSOS!$E$5,(+IF($N138=[1]CURSOS!$D$6,[1]CURSOS!$E$6,(+IF($N138=[1]CURSOS!$D$7,[1]CURSOS!$E$7,(+IF($N138=[1]CURSOS!$D$8,[1]CURSOS!$E$8,(+IF($N138=[1]CURSOS!$D$9,[1]CURSOS!$E$9,(+IF($N138=[1]CURSOS!$D$10,[1]CURSOS!$E$10,(+IF($N138=[1]CURSOS!$D$11,[1]CURSOS!$E$11,(+IF($N138=[1]CURSOS!$D$12,[1]CURSOS!$E$12,(+IF($N138=[1]CURSOS!$D$13,[1]CURSOS!$E$13,(+IF($N138=[1]CURSOS!$D$14,[1]CURSOS!$E$14,(+IF($N138=[1]CURSOS!$D$15,[1]CURSOS!$E$15,(+IF($N138=[1]CURSOS!$D$16,[1]CURSOS!$E$16,(+IF($N138=[1]CURSOS!$D$17,[1]CURSOS!$E$17,(+IF($N138=[1]CURSOS!$D$18,[1]CURSOS!$E$18,(+IF($N138=[1]CURSOS!$D$19,[1]CURSOS!$E$19,(+IF($N138=[1]CURSOS!$D$20,[1]CURSOS!$E$20,(+IF($N138=[1]CURSOS!$D$21,[1]CURSOS!$E$21,(+IF($N138=[1]CURSOS!$D$22,[1]CURSOS!$E$22,(+IF($N138=[1]CURSOS!$D$23,[1]CURSOS!$E$23,(+IF($N138=[1]CURSOS!$D$24,[1]CURSOS!$E$24,(+IF($N138=[1]CURSOS!$D$25,[1]CURSOS!$E$25,(+IF($N138=[1]CURSOS!$D$26,[1]CURSOS!$E$26,(+IF($N138=[1]CURSOS!$D$27,[1]CURSOS!$E$27,(+IF($N138=[1]CURSOS!$D$28,[1]CURSOS!$E$28,(+IF($N138=[1]CURSOS!$D$29,[1]CURSOS!$E$29,(+IF($N138=[1]CURSOS!$D$30,[1]CURSOS!$E$30,(+IF($N138=[1]CURSOS!$D$31,[1]CURSOS!$E$31,(+IF($N138=[1]CURSOS!$D$32,[1]CURSOS!$E$32)))))))))))))))))))))))))))))))))))))))))))))))))))))))))))</f>
        <v xml:space="preserve">SOPORTE CARDIOVASCULAR AVANZADO </v>
      </c>
      <c r="U138" s="51" t="str">
        <f t="shared" si="66"/>
        <v>Paola Andrea Arturo Toro</v>
      </c>
      <c r="V138" s="51" t="str">
        <f t="shared" si="67"/>
        <v>Paola Andrea Arturo Toro</v>
      </c>
      <c r="W138" s="51" t="str">
        <f t="shared" si="68"/>
        <v>Paola Andrea Arturo Toro-36952461-ACLS</v>
      </c>
    </row>
    <row r="139" spans="1:23" s="34" customFormat="1" ht="15.75" x14ac:dyDescent="0.25">
      <c r="A139" s="20">
        <v>138</v>
      </c>
      <c r="B139" s="31">
        <v>36952461</v>
      </c>
      <c r="C139" s="31" t="s">
        <v>413</v>
      </c>
      <c r="D139" s="31" t="s">
        <v>414</v>
      </c>
      <c r="E139" s="31" t="s">
        <v>415</v>
      </c>
      <c r="F139" s="31" t="s">
        <v>194</v>
      </c>
      <c r="G139" s="54">
        <v>17</v>
      </c>
      <c r="H139" s="54" t="s">
        <v>99</v>
      </c>
      <c r="I139" s="87"/>
      <c r="J139" s="123">
        <v>40000</v>
      </c>
      <c r="K139" s="54"/>
      <c r="L139" s="54" t="s">
        <v>322</v>
      </c>
      <c r="M139" s="89" t="s">
        <v>537</v>
      </c>
      <c r="N139" s="30" t="s">
        <v>411</v>
      </c>
      <c r="O139" s="33"/>
      <c r="P139" s="138"/>
      <c r="Q139" s="32"/>
      <c r="R139" s="138"/>
      <c r="S139" s="138"/>
      <c r="T139" s="51" t="str">
        <f>+IF($N139=[1]CURSOS!$D$3,[1]CURSOS!$E$3,(+IF($N139=[1]CURSOS!$D$4,[1]CURSOS!$E$4,(+IF($N139=[1]CURSOS!$D$5,[1]CURSOS!$E$5,(+IF($N139=[1]CURSOS!$D$6,[1]CURSOS!$E$6,(+IF($N139=[1]CURSOS!$D$7,[1]CURSOS!$E$7,(+IF($N139=[1]CURSOS!$D$8,[1]CURSOS!$E$8,(+IF($N139=[1]CURSOS!$D$9,[1]CURSOS!$E$9,(+IF($N139=[1]CURSOS!$D$10,[1]CURSOS!$E$10,(+IF($N139=[1]CURSOS!$D$11,[1]CURSOS!$E$11,(+IF($N139=[1]CURSOS!$D$12,[1]CURSOS!$E$12,(+IF($N139=[1]CURSOS!$D$13,[1]CURSOS!$E$13,(+IF($N139=[1]CURSOS!$D$14,[1]CURSOS!$E$14,(+IF($N139=[1]CURSOS!$D$15,[1]CURSOS!$E$15,(+IF($N139=[1]CURSOS!$D$16,[1]CURSOS!$E$16,(+IF($N139=[1]CURSOS!$D$17,[1]CURSOS!$E$17,(+IF($N139=[1]CURSOS!$D$18,[1]CURSOS!$E$18,(+IF($N139=[1]CURSOS!$D$19,[1]CURSOS!$E$19,(+IF($N139=[1]CURSOS!$D$20,[1]CURSOS!$E$20,(+IF($N139=[1]CURSOS!$D$21,[1]CURSOS!$E$21,(+IF($N139=[1]CURSOS!$D$22,[1]CURSOS!$E$22,(+IF($N139=[1]CURSOS!$D$23,[1]CURSOS!$E$23,(+IF($N139=[1]CURSOS!$D$24,[1]CURSOS!$E$24,(+IF($N139=[1]CURSOS!$D$25,[1]CURSOS!$E$25,(+IF($N139=[1]CURSOS!$D$26,[1]CURSOS!$E$26,(+IF($N139=[1]CURSOS!$D$27,[1]CURSOS!$E$27,(+IF($N139=[1]CURSOS!$D$28,[1]CURSOS!$E$28,(+IF($N139=[1]CURSOS!$D$29,[1]CURSOS!$E$29,(+IF($N139=[1]CURSOS!$D$30,[1]CURSOS!$E$30,(+IF($N139=[1]CURSOS!$D$31,[1]CURSOS!$E$31,(+IF($N139=[1]CURSOS!$D$32,[1]CURSOS!$E$32)))))))))))))))))))))))))))))))))))))))))))))))))))))))))))</f>
        <v xml:space="preserve">ATENCION A VICTIMAS DE ATAQUE CON AGENTES QUIMICOS </v>
      </c>
      <c r="U139" s="51" t="str">
        <f t="shared" si="66"/>
        <v>Paola Andrea Arturo Toro</v>
      </c>
      <c r="V139" s="51" t="str">
        <f t="shared" si="67"/>
        <v>Paola Andrea Arturo Toro</v>
      </c>
      <c r="W139" s="51" t="str">
        <f t="shared" si="68"/>
        <v>Paola Andrea Arturo Toro-36952461-Quimicos</v>
      </c>
    </row>
    <row r="140" spans="1:23" s="34" customFormat="1" ht="15.75" x14ac:dyDescent="0.25">
      <c r="A140" s="20">
        <v>139</v>
      </c>
      <c r="B140" s="31">
        <v>36952461</v>
      </c>
      <c r="C140" s="31" t="s">
        <v>413</v>
      </c>
      <c r="D140" s="31" t="s">
        <v>414</v>
      </c>
      <c r="E140" s="31" t="s">
        <v>415</v>
      </c>
      <c r="F140" s="31" t="s">
        <v>194</v>
      </c>
      <c r="G140" s="54">
        <v>15</v>
      </c>
      <c r="H140" s="54" t="s">
        <v>99</v>
      </c>
      <c r="I140" s="87"/>
      <c r="J140" s="123">
        <v>40000</v>
      </c>
      <c r="K140" s="54"/>
      <c r="L140" s="54" t="s">
        <v>322</v>
      </c>
      <c r="M140" s="89" t="s">
        <v>537</v>
      </c>
      <c r="N140" s="30" t="s">
        <v>33</v>
      </c>
      <c r="O140" s="33"/>
      <c r="P140" s="138"/>
      <c r="Q140" s="32"/>
      <c r="R140" s="138"/>
      <c r="S140" s="138"/>
      <c r="T140" s="51" t="str">
        <f>+IF($N140=[1]CURSOS!$D$3,[1]CURSOS!$E$3,(+IF($N140=[1]CURSOS!$D$4,[1]CURSOS!$E$4,(+IF($N140=[1]CURSOS!$D$5,[1]CURSOS!$E$5,(+IF($N140=[1]CURSOS!$D$6,[1]CURSOS!$E$6,(+IF($N140=[1]CURSOS!$D$7,[1]CURSOS!$E$7,(+IF($N140=[1]CURSOS!$D$8,[1]CURSOS!$E$8,(+IF($N140=[1]CURSOS!$D$9,[1]CURSOS!$E$9,(+IF($N140=[1]CURSOS!$D$10,[1]CURSOS!$E$10,(+IF($N140=[1]CURSOS!$D$11,[1]CURSOS!$E$11,(+IF($N140=[1]CURSOS!$D$12,[1]CURSOS!$E$12,(+IF($N140=[1]CURSOS!$D$13,[1]CURSOS!$E$13,(+IF($N140=[1]CURSOS!$D$14,[1]CURSOS!$E$14,(+IF($N140=[1]CURSOS!$D$15,[1]CURSOS!$E$15,(+IF($N140=[1]CURSOS!$D$16,[1]CURSOS!$E$16,(+IF($N140=[1]CURSOS!$D$17,[1]CURSOS!$E$17,(+IF($N140=[1]CURSOS!$D$18,[1]CURSOS!$E$18,(+IF($N140=[1]CURSOS!$D$19,[1]CURSOS!$E$19,(+IF($N140=[1]CURSOS!$D$20,[1]CURSOS!$E$20,(+IF($N140=[1]CURSOS!$D$21,[1]CURSOS!$E$21,(+IF($N140=[1]CURSOS!$D$22,[1]CURSOS!$E$22,(+IF($N140=[1]CURSOS!$D$23,[1]CURSOS!$E$23,(+IF($N140=[1]CURSOS!$D$24,[1]CURSOS!$E$24,(+IF($N140=[1]CURSOS!$D$25,[1]CURSOS!$E$25,(+IF($N140=[1]CURSOS!$D$26,[1]CURSOS!$E$26,(+IF($N140=[1]CURSOS!$D$27,[1]CURSOS!$E$27,(+IF($N140=[1]CURSOS!$D$28,[1]CURSOS!$E$28,(+IF($N140=[1]CURSOS!$D$29,[1]CURSOS!$E$29,(+IF($N140=[1]CURSOS!$D$30,[1]CURSOS!$E$30,(+IF($N140=[1]CURSOS!$D$31,[1]CURSOS!$E$31,(+IF($N140=[1]CURSOS!$D$32,[1]CURSOS!$E$32)))))))))))))))))))))))))))))))))))))))))))))))))))))))))))</f>
        <v xml:space="preserve">HUMANIZACION EN SALUD, BUENAS PRACTICAS EN PACIENTE </v>
      </c>
      <c r="U140" s="51" t="str">
        <f t="shared" si="66"/>
        <v>Paola Andrea Arturo Toro</v>
      </c>
      <c r="V140" s="51" t="str">
        <f t="shared" si="67"/>
        <v>Paola Andrea Arturo Toro</v>
      </c>
      <c r="W140" s="51" t="str">
        <f t="shared" si="68"/>
        <v>Paola Andrea Arturo Toro-36952461-HUMANIZACION</v>
      </c>
    </row>
    <row r="141" spans="1:23" s="34" customFormat="1" ht="15.75" x14ac:dyDescent="0.25">
      <c r="A141" s="20">
        <v>140</v>
      </c>
      <c r="B141" s="31">
        <v>36952461</v>
      </c>
      <c r="C141" s="31" t="s">
        <v>413</v>
      </c>
      <c r="D141" s="31" t="s">
        <v>414</v>
      </c>
      <c r="E141" s="31" t="s">
        <v>415</v>
      </c>
      <c r="F141" s="31" t="s">
        <v>194</v>
      </c>
      <c r="G141" s="54">
        <v>11</v>
      </c>
      <c r="H141" s="54" t="s">
        <v>99</v>
      </c>
      <c r="I141" s="87"/>
      <c r="J141" s="123">
        <v>60000</v>
      </c>
      <c r="K141" s="54"/>
      <c r="L141" s="54" t="s">
        <v>322</v>
      </c>
      <c r="M141" s="89" t="s">
        <v>537</v>
      </c>
      <c r="N141" s="30" t="s">
        <v>412</v>
      </c>
      <c r="O141" s="33"/>
      <c r="P141" s="138"/>
      <c r="Q141" s="32"/>
      <c r="R141" s="138"/>
      <c r="S141" s="138"/>
      <c r="T141" s="51" t="str">
        <f>+IF($N141=[1]CURSOS!$D$3,[1]CURSOS!$E$3,(+IF($N141=[1]CURSOS!$D$4,[1]CURSOS!$E$4,(+IF($N141=[1]CURSOS!$D$5,[1]CURSOS!$E$5,(+IF($N141=[1]CURSOS!$D$6,[1]CURSOS!$E$6,(+IF($N141=[1]CURSOS!$D$7,[1]CURSOS!$E$7,(+IF($N141=[1]CURSOS!$D$8,[1]CURSOS!$E$8,(+IF($N141=[1]CURSOS!$D$9,[1]CURSOS!$E$9,(+IF($N141=[1]CURSOS!$D$10,[1]CURSOS!$E$10,(+IF($N141=[1]CURSOS!$D$11,[1]CURSOS!$E$11,(+IF($N141=[1]CURSOS!$D$12,[1]CURSOS!$E$12,(+IF($N141=[1]CURSOS!$D$13,[1]CURSOS!$E$13,(+IF($N141=[1]CURSOS!$D$14,[1]CURSOS!$E$14,(+IF($N141=[1]CURSOS!$D$15,[1]CURSOS!$E$15,(+IF($N141=[1]CURSOS!$D$16,[1]CURSOS!$E$16,(+IF($N141=[1]CURSOS!$D$17,[1]CURSOS!$E$17,(+IF($N141=[1]CURSOS!$D$18,[1]CURSOS!$E$18,(+IF($N141=[1]CURSOS!$D$19,[1]CURSOS!$E$19,(+IF($N141=[1]CURSOS!$D$20,[1]CURSOS!$E$20,(+IF($N141=[1]CURSOS!$D$21,[1]CURSOS!$E$21,(+IF($N141=[1]CURSOS!$D$22,[1]CURSOS!$E$22,(+IF($N141=[1]CURSOS!$D$23,[1]CURSOS!$E$23,(+IF($N141=[1]CURSOS!$D$24,[1]CURSOS!$E$24,(+IF($N141=[1]CURSOS!$D$25,[1]CURSOS!$E$25,(+IF($N141=[1]CURSOS!$D$26,[1]CURSOS!$E$26,(+IF($N141=[1]CURSOS!$D$27,[1]CURSOS!$E$27,(+IF($N141=[1]CURSOS!$D$28,[1]CURSOS!$E$28,(+IF($N141=[1]CURSOS!$D$29,[1]CURSOS!$E$29,(+IF($N141=[1]CURSOS!$D$30,[1]CURSOS!$E$30,(+IF($N141=[1]CURSOS!$D$31,[1]CURSOS!$E$31,(+IF($N141=[1]CURSOS!$D$32,[1]CURSOS!$E$32)))))))))))))))))))))))))))))))))))))))))))))))))))))))))))</f>
        <v>MANEJO DEL DOLOR Y CUIDADOS PALIATIVOS</v>
      </c>
      <c r="U141" s="51" t="str">
        <f t="shared" si="66"/>
        <v>Paola Andrea Arturo Toro</v>
      </c>
      <c r="V141" s="51" t="str">
        <f t="shared" si="67"/>
        <v>Paola Andrea Arturo Toro</v>
      </c>
      <c r="W141" s="51" t="str">
        <f t="shared" si="68"/>
        <v>Paola Andrea Arturo Toro-36952461-Paliativos</v>
      </c>
    </row>
    <row r="142" spans="1:23" s="34" customFormat="1" ht="15.75" x14ac:dyDescent="0.25">
      <c r="A142" s="20">
        <v>141</v>
      </c>
      <c r="B142" s="31">
        <v>1233192014</v>
      </c>
      <c r="C142" s="124" t="s">
        <v>220</v>
      </c>
      <c r="D142" s="124" t="s">
        <v>186</v>
      </c>
      <c r="E142" s="124" t="s">
        <v>288</v>
      </c>
      <c r="F142" s="124" t="s">
        <v>416</v>
      </c>
      <c r="G142" s="125">
        <v>11</v>
      </c>
      <c r="H142" s="125" t="s">
        <v>99</v>
      </c>
      <c r="I142" s="126"/>
      <c r="J142" s="123">
        <v>180000</v>
      </c>
      <c r="K142" s="54"/>
      <c r="L142" s="54" t="s">
        <v>322</v>
      </c>
      <c r="M142" s="89" t="s">
        <v>537</v>
      </c>
      <c r="N142" s="92" t="s">
        <v>39</v>
      </c>
      <c r="O142" s="139">
        <v>36038</v>
      </c>
      <c r="P142" s="138" t="s">
        <v>88</v>
      </c>
      <c r="Q142" s="32"/>
      <c r="R142" s="138">
        <v>3188414800</v>
      </c>
      <c r="S142" s="137" t="s">
        <v>419</v>
      </c>
      <c r="T142" s="51" t="str">
        <f>+IF($N142=[1]CURSOS!$D$3,[1]CURSOS!$E$3,(+IF($N142=[1]CURSOS!$D$4,[1]CURSOS!$E$4,(+IF($N142=[1]CURSOS!$D$5,[1]CURSOS!$E$5,(+IF($N142=[1]CURSOS!$D$6,[1]CURSOS!$E$6,(+IF($N142=[1]CURSOS!$D$7,[1]CURSOS!$E$7,(+IF($N142=[1]CURSOS!$D$8,[1]CURSOS!$E$8,(+IF($N142=[1]CURSOS!$D$9,[1]CURSOS!$E$9,(+IF($N142=[1]CURSOS!$D$10,[1]CURSOS!$E$10,(+IF($N142=[1]CURSOS!$D$11,[1]CURSOS!$E$11,(+IF($N142=[1]CURSOS!$D$12,[1]CURSOS!$E$12,(+IF($N142=[1]CURSOS!$D$13,[1]CURSOS!$E$13,(+IF($N142=[1]CURSOS!$D$14,[1]CURSOS!$E$14,(+IF($N142=[1]CURSOS!$D$15,[1]CURSOS!$E$15,(+IF($N142=[1]CURSOS!$D$16,[1]CURSOS!$E$16,(+IF($N142=[1]CURSOS!$D$17,[1]CURSOS!$E$17,(+IF($N142=[1]CURSOS!$D$18,[1]CURSOS!$E$18,(+IF($N142=[1]CURSOS!$D$19,[1]CURSOS!$E$19,(+IF($N142=[1]CURSOS!$D$20,[1]CURSOS!$E$20,(+IF($N142=[1]CURSOS!$D$21,[1]CURSOS!$E$21,(+IF($N142=[1]CURSOS!$D$22,[1]CURSOS!$E$22,(+IF($N142=[1]CURSOS!$D$23,[1]CURSOS!$E$23,(+IF($N142=[1]CURSOS!$D$24,[1]CURSOS!$E$24,(+IF($N142=[1]CURSOS!$D$25,[1]CURSOS!$E$25,(+IF($N142=[1]CURSOS!$D$26,[1]CURSOS!$E$26,(+IF($N142=[1]CURSOS!$D$27,[1]CURSOS!$E$27,(+IF($N142=[1]CURSOS!$D$28,[1]CURSOS!$E$28,(+IF($N142=[1]CURSOS!$D$29,[1]CURSOS!$E$29,(+IF($N142=[1]CURSOS!$D$30,[1]CURSOS!$E$30,(+IF($N142=[1]CURSOS!$D$31,[1]CURSOS!$E$31,(+IF($N142=[1]CURSOS!$D$32,[1]CURSOS!$E$32)))))))))))))))))))))))))))))))))))))))))))))))))))))))))))</f>
        <v xml:space="preserve">SOPORTE CARDIOVASCULAR AVANZADO </v>
      </c>
      <c r="U142" s="51" t="str">
        <f t="shared" si="66"/>
        <v>Nicolas Mateo Burgos Rosero</v>
      </c>
      <c r="V142" s="51" t="str">
        <f t="shared" si="67"/>
        <v>Nicolas Mateo Burgos Rosero</v>
      </c>
      <c r="W142" s="51" t="str">
        <f t="shared" si="68"/>
        <v>Nicolas Mateo Burgos Rosero-1233192014-ACLS</v>
      </c>
    </row>
    <row r="143" spans="1:23" s="34" customFormat="1" ht="15.75" x14ac:dyDescent="0.25">
      <c r="A143" s="20">
        <v>142</v>
      </c>
      <c r="B143" s="31">
        <v>1233192014</v>
      </c>
      <c r="C143" s="124" t="s">
        <v>220</v>
      </c>
      <c r="D143" s="124" t="s">
        <v>186</v>
      </c>
      <c r="E143" s="124" t="s">
        <v>288</v>
      </c>
      <c r="F143" s="124" t="s">
        <v>416</v>
      </c>
      <c r="G143" s="125">
        <v>11</v>
      </c>
      <c r="H143" s="125" t="s">
        <v>99</v>
      </c>
      <c r="I143" s="126"/>
      <c r="J143" s="123">
        <v>60000</v>
      </c>
      <c r="K143" s="54"/>
      <c r="L143" s="54" t="s">
        <v>322</v>
      </c>
      <c r="M143" s="89" t="s">
        <v>537</v>
      </c>
      <c r="N143" s="92" t="s">
        <v>66</v>
      </c>
      <c r="O143" s="139"/>
      <c r="P143" s="138"/>
      <c r="Q143" s="32"/>
      <c r="R143" s="138"/>
      <c r="S143" s="138"/>
      <c r="T143" s="51" t="str">
        <f>+IF($N143=[1]CURSOS!$D$3,[1]CURSOS!$E$3,(+IF($N143=[1]CURSOS!$D$4,[1]CURSOS!$E$4,(+IF($N143=[1]CURSOS!$D$5,[1]CURSOS!$E$5,(+IF($N143=[1]CURSOS!$D$6,[1]CURSOS!$E$6,(+IF($N143=[1]CURSOS!$D$7,[1]CURSOS!$E$7,(+IF($N143=[1]CURSOS!$D$8,[1]CURSOS!$E$8,(+IF($N143=[1]CURSOS!$D$9,[1]CURSOS!$E$9,(+IF($N143=[1]CURSOS!$D$10,[1]CURSOS!$E$10,(+IF($N143=[1]CURSOS!$D$11,[1]CURSOS!$E$11,(+IF($N143=[1]CURSOS!$D$12,[1]CURSOS!$E$12,(+IF($N143=[1]CURSOS!$D$13,[1]CURSOS!$E$13,(+IF($N143=[1]CURSOS!$D$14,[1]CURSOS!$E$14,(+IF($N143=[1]CURSOS!$D$15,[1]CURSOS!$E$15,(+IF($N143=[1]CURSOS!$D$16,[1]CURSOS!$E$16,(+IF($N143=[1]CURSOS!$D$17,[1]CURSOS!$E$17,(+IF($N143=[1]CURSOS!$D$18,[1]CURSOS!$E$18,(+IF($N143=[1]CURSOS!$D$19,[1]CURSOS!$E$19,(+IF($N143=[1]CURSOS!$D$20,[1]CURSOS!$E$20,(+IF($N143=[1]CURSOS!$D$21,[1]CURSOS!$E$21,(+IF($N143=[1]CURSOS!$D$22,[1]CURSOS!$E$22,(+IF($N143=[1]CURSOS!$D$23,[1]CURSOS!$E$23,(+IF($N143=[1]CURSOS!$D$24,[1]CURSOS!$E$24,(+IF($N143=[1]CURSOS!$D$25,[1]CURSOS!$E$25,(+IF($N143=[1]CURSOS!$D$26,[1]CURSOS!$E$26,(+IF($N143=[1]CURSOS!$D$27,[1]CURSOS!$E$27,(+IF($N143=[1]CURSOS!$D$28,[1]CURSOS!$E$28,(+IF($N143=[1]CURSOS!$D$29,[1]CURSOS!$E$29,(+IF($N143=[1]CURSOS!$D$30,[1]CURSOS!$E$30,(+IF($N143=[1]CURSOS!$D$31,[1]CURSOS!$E$31,(+IF($N143=[1]CURSOS!$D$32,[1]CURSOS!$E$32)))))))))))))))))))))))))))))))))))))))))))))))))))))))))))</f>
        <v>MANEJO DEL DOLOR Y CUIDADOS PALIATIVOS</v>
      </c>
      <c r="U143" s="51" t="str">
        <f t="shared" si="66"/>
        <v>Nicolas Mateo Burgos Rosero</v>
      </c>
      <c r="V143" s="51" t="str">
        <f t="shared" si="67"/>
        <v>Nicolas Mateo Burgos Rosero</v>
      </c>
      <c r="W143" s="51" t="str">
        <f t="shared" si="68"/>
        <v>Nicolas Mateo Burgos Rosero-1233192014-PALIATIVOS</v>
      </c>
    </row>
    <row r="144" spans="1:23" s="34" customFormat="1" x14ac:dyDescent="0.2">
      <c r="A144" s="20">
        <v>143</v>
      </c>
      <c r="B144" s="29">
        <v>1085263555</v>
      </c>
      <c r="C144" s="29" t="s">
        <v>180</v>
      </c>
      <c r="D144" s="29" t="s">
        <v>150</v>
      </c>
      <c r="E144" s="29" t="s">
        <v>425</v>
      </c>
      <c r="F144" s="29" t="s">
        <v>426</v>
      </c>
      <c r="G144" s="54">
        <v>10</v>
      </c>
      <c r="H144" s="54" t="s">
        <v>99</v>
      </c>
      <c r="I144" s="87">
        <v>45384</v>
      </c>
      <c r="J144" s="99">
        <v>40000</v>
      </c>
      <c r="K144" s="110" t="s">
        <v>293</v>
      </c>
      <c r="L144" s="54" t="s">
        <v>322</v>
      </c>
      <c r="M144" s="89" t="s">
        <v>537</v>
      </c>
      <c r="N144" s="92" t="s">
        <v>19</v>
      </c>
      <c r="O144" s="134">
        <v>32223</v>
      </c>
      <c r="P144" s="133" t="s">
        <v>88</v>
      </c>
      <c r="Q144" s="32" t="s">
        <v>160</v>
      </c>
      <c r="R144" s="135">
        <v>3168621884</v>
      </c>
      <c r="S144" s="136" t="s">
        <v>427</v>
      </c>
      <c r="T144" s="51" t="str">
        <f>+IF($N144=[1]CURSOS!$D$3,[1]CURSOS!$E$3,(+IF($N144=[1]CURSOS!$D$4,[1]CURSOS!$E$4,(+IF($N144=[1]CURSOS!$D$5,[1]CURSOS!$E$5,(+IF($N144=[1]CURSOS!$D$6,[1]CURSOS!$E$6,(+IF($N144=[1]CURSOS!$D$7,[1]CURSOS!$E$7,(+IF($N144=[1]CURSOS!$D$8,[1]CURSOS!$E$8,(+IF($N144=[1]CURSOS!$D$9,[1]CURSOS!$E$9,(+IF($N144=[1]CURSOS!$D$10,[1]CURSOS!$E$10,(+IF($N144=[1]CURSOS!$D$11,[1]CURSOS!$E$11,(+IF($N144=[1]CURSOS!$D$12,[1]CURSOS!$E$12,(+IF($N144=[1]CURSOS!$D$13,[1]CURSOS!$E$13,(+IF($N144=[1]CURSOS!$D$14,[1]CURSOS!$E$14,(+IF($N144=[1]CURSOS!$D$15,[1]CURSOS!$E$15,(+IF($N144=[1]CURSOS!$D$16,[1]CURSOS!$E$16,(+IF($N144=[1]CURSOS!$D$17,[1]CURSOS!$E$17,(+IF($N144=[1]CURSOS!$D$18,[1]CURSOS!$E$18,(+IF($N144=[1]CURSOS!$D$19,[1]CURSOS!$E$19,(+IF($N144=[1]CURSOS!$D$20,[1]CURSOS!$E$20,(+IF($N144=[1]CURSOS!$D$21,[1]CURSOS!$E$21,(+IF($N144=[1]CURSOS!$D$22,[1]CURSOS!$E$22,(+IF($N144=[1]CURSOS!$D$23,[1]CURSOS!$E$23,(+IF($N144=[1]CURSOS!$D$24,[1]CURSOS!$E$24,(+IF($N144=[1]CURSOS!$D$25,[1]CURSOS!$E$25,(+IF($N144=[1]CURSOS!$D$26,[1]CURSOS!$E$26,(+IF($N144=[1]CURSOS!$D$27,[1]CURSOS!$E$27,(+IF($N144=[1]CURSOS!$D$28,[1]CURSOS!$E$28,(+IF($N144=[1]CURSOS!$D$29,[1]CURSOS!$E$29,(+IF($N144=[1]CURSOS!$D$30,[1]CURSOS!$E$30,(+IF($N144=[1]CURSOS!$D$31,[1]CURSOS!$E$31,(+IF($N144=[1]CURSOS!$D$32,[1]CURSOS!$E$32)))))))))))))))))))))))))))))))))))))))))))))))))))))))))))</f>
        <v>SOPORTE VITAL BASICO (BLS)</v>
      </c>
      <c r="U144" s="51" t="str">
        <f t="shared" ref="U144:U146" si="69">CONCATENATE(E144," ",F144," ",C144," ",D144)</f>
        <v>Jhon Jairo Delgado Perez</v>
      </c>
      <c r="V144" s="51" t="str">
        <f t="shared" ref="V144:V146" si="70">+PROPER(U144)</f>
        <v>Jhon Jairo Delgado Perez</v>
      </c>
      <c r="W144" s="51" t="str">
        <f t="shared" ref="W144:W146" si="71">CONCATENATE(U144,"-",B144,"-",N144)</f>
        <v>Jhon Jairo Delgado Perez-1085263555-BLS</v>
      </c>
    </row>
    <row r="145" spans="1:23" s="73" customFormat="1" x14ac:dyDescent="0.2">
      <c r="A145" s="20">
        <v>144</v>
      </c>
      <c r="B145" s="29">
        <v>1085263555</v>
      </c>
      <c r="C145" s="29" t="s">
        <v>180</v>
      </c>
      <c r="D145" s="29" t="s">
        <v>150</v>
      </c>
      <c r="E145" s="29" t="s">
        <v>425</v>
      </c>
      <c r="F145" s="29" t="s">
        <v>426</v>
      </c>
      <c r="G145" s="54">
        <v>16</v>
      </c>
      <c r="H145" s="54" t="s">
        <v>99</v>
      </c>
      <c r="I145" s="25">
        <v>45384</v>
      </c>
      <c r="J145" s="98">
        <v>20000</v>
      </c>
      <c r="K145" s="116" t="s">
        <v>293</v>
      </c>
      <c r="L145" s="19" t="s">
        <v>322</v>
      </c>
      <c r="M145" s="89" t="s">
        <v>537</v>
      </c>
      <c r="N145" s="21" t="s">
        <v>23</v>
      </c>
      <c r="O145" s="135"/>
      <c r="P145" s="133"/>
      <c r="Q145" s="32" t="s">
        <v>160</v>
      </c>
      <c r="R145" s="135"/>
      <c r="S145" s="135"/>
      <c r="T145" s="51" t="str">
        <f>+IF($N145=[1]CURSOS!$D$3,[1]CURSOS!$E$3,(+IF($N145=[1]CURSOS!$D$4,[1]CURSOS!$E$4,(+IF($N145=[1]CURSOS!$D$5,[1]CURSOS!$E$5,(+IF($N145=[1]CURSOS!$D$6,[1]CURSOS!$E$6,(+IF($N145=[1]CURSOS!$D$7,[1]CURSOS!$E$7,(+IF($N145=[1]CURSOS!$D$8,[1]CURSOS!$E$8,(+IF($N145=[1]CURSOS!$D$9,[1]CURSOS!$E$9,(+IF($N145=[1]CURSOS!$D$10,[1]CURSOS!$E$10,(+IF($N145=[1]CURSOS!$D$11,[1]CURSOS!$E$11,(+IF($N145=[1]CURSOS!$D$12,[1]CURSOS!$E$12,(+IF($N145=[1]CURSOS!$D$13,[1]CURSOS!$E$13,(+IF($N145=[1]CURSOS!$D$14,[1]CURSOS!$E$14,(+IF($N145=[1]CURSOS!$D$15,[1]CURSOS!$E$15,(+IF($N145=[1]CURSOS!$D$16,[1]CURSOS!$E$16,(+IF($N145=[1]CURSOS!$D$17,[1]CURSOS!$E$17,(+IF($N145=[1]CURSOS!$D$18,[1]CURSOS!$E$18,(+IF($N145=[1]CURSOS!$D$19,[1]CURSOS!$E$19,(+IF($N145=[1]CURSOS!$D$20,[1]CURSOS!$E$20,(+IF($N145=[1]CURSOS!$D$21,[1]CURSOS!$E$21,(+IF($N145=[1]CURSOS!$D$22,[1]CURSOS!$E$22,(+IF($N145=[1]CURSOS!$D$23,[1]CURSOS!$E$23,(+IF($N145=[1]CURSOS!$D$24,[1]CURSOS!$E$24,(+IF($N145=[1]CURSOS!$D$25,[1]CURSOS!$E$25,(+IF($N145=[1]CURSOS!$D$26,[1]CURSOS!$E$26,(+IF($N145=[1]CURSOS!$D$27,[1]CURSOS!$E$27,(+IF($N145=[1]CURSOS!$D$28,[1]CURSOS!$E$28,(+IF($N145=[1]CURSOS!$D$29,[1]CURSOS!$E$29,(+IF($N145=[1]CURSOS!$D$30,[1]CURSOS!$E$30,(+IF($N145=[1]CURSOS!$D$31,[1]CURSOS!$E$31,(+IF($N145=[1]CURSOS!$D$32,[1]CURSOS!$E$32)))))))))))))))))))))))))))))))))))))))))))))))))))))))))))</f>
        <v>ACOMPAÑAMIENTO Y MANEJO DEL DUELO</v>
      </c>
      <c r="U145" s="51" t="str">
        <f t="shared" si="69"/>
        <v>Jhon Jairo Delgado Perez</v>
      </c>
      <c r="V145" s="51" t="str">
        <f t="shared" si="70"/>
        <v>Jhon Jairo Delgado Perez</v>
      </c>
      <c r="W145" s="51" t="str">
        <f t="shared" si="71"/>
        <v>Jhon Jairo Delgado Perez-1085263555-DUELO</v>
      </c>
    </row>
    <row r="146" spans="1:23" s="73" customFormat="1" x14ac:dyDescent="0.2">
      <c r="A146" s="20">
        <v>145</v>
      </c>
      <c r="B146" s="29">
        <v>1085263555</v>
      </c>
      <c r="C146" s="29" t="s">
        <v>180</v>
      </c>
      <c r="D146" s="29" t="s">
        <v>150</v>
      </c>
      <c r="E146" s="29" t="s">
        <v>425</v>
      </c>
      <c r="F146" s="29" t="s">
        <v>426</v>
      </c>
      <c r="G146" s="54">
        <v>15</v>
      </c>
      <c r="H146" s="54" t="s">
        <v>99</v>
      </c>
      <c r="I146" s="25">
        <v>45384</v>
      </c>
      <c r="J146" s="98">
        <v>20000</v>
      </c>
      <c r="K146" s="116" t="s">
        <v>293</v>
      </c>
      <c r="L146" s="19" t="s">
        <v>322</v>
      </c>
      <c r="M146" s="89" t="s">
        <v>537</v>
      </c>
      <c r="N146" s="21" t="s">
        <v>33</v>
      </c>
      <c r="O146" s="135"/>
      <c r="P146" s="133"/>
      <c r="Q146" s="32" t="s">
        <v>160</v>
      </c>
      <c r="R146" s="135"/>
      <c r="S146" s="135"/>
      <c r="T146" s="51" t="str">
        <f>+IF($N146=[1]CURSOS!$D$3,[1]CURSOS!$E$3,(+IF($N146=[1]CURSOS!$D$4,[1]CURSOS!$E$4,(+IF($N146=[1]CURSOS!$D$5,[1]CURSOS!$E$5,(+IF($N146=[1]CURSOS!$D$6,[1]CURSOS!$E$6,(+IF($N146=[1]CURSOS!$D$7,[1]CURSOS!$E$7,(+IF($N146=[1]CURSOS!$D$8,[1]CURSOS!$E$8,(+IF($N146=[1]CURSOS!$D$9,[1]CURSOS!$E$9,(+IF($N146=[1]CURSOS!$D$10,[1]CURSOS!$E$10,(+IF($N146=[1]CURSOS!$D$11,[1]CURSOS!$E$11,(+IF($N146=[1]CURSOS!$D$12,[1]CURSOS!$E$12,(+IF($N146=[1]CURSOS!$D$13,[1]CURSOS!$E$13,(+IF($N146=[1]CURSOS!$D$14,[1]CURSOS!$E$14,(+IF($N146=[1]CURSOS!$D$15,[1]CURSOS!$E$15,(+IF($N146=[1]CURSOS!$D$16,[1]CURSOS!$E$16,(+IF($N146=[1]CURSOS!$D$17,[1]CURSOS!$E$17,(+IF($N146=[1]CURSOS!$D$18,[1]CURSOS!$E$18,(+IF($N146=[1]CURSOS!$D$19,[1]CURSOS!$E$19,(+IF($N146=[1]CURSOS!$D$20,[1]CURSOS!$E$20,(+IF($N146=[1]CURSOS!$D$21,[1]CURSOS!$E$21,(+IF($N146=[1]CURSOS!$D$22,[1]CURSOS!$E$22,(+IF($N146=[1]CURSOS!$D$23,[1]CURSOS!$E$23,(+IF($N146=[1]CURSOS!$D$24,[1]CURSOS!$E$24,(+IF($N146=[1]CURSOS!$D$25,[1]CURSOS!$E$25,(+IF($N146=[1]CURSOS!$D$26,[1]CURSOS!$E$26,(+IF($N146=[1]CURSOS!$D$27,[1]CURSOS!$E$27,(+IF($N146=[1]CURSOS!$D$28,[1]CURSOS!$E$28,(+IF($N146=[1]CURSOS!$D$29,[1]CURSOS!$E$29,(+IF($N146=[1]CURSOS!$D$30,[1]CURSOS!$E$30,(+IF($N146=[1]CURSOS!$D$31,[1]CURSOS!$E$31,(+IF($N146=[1]CURSOS!$D$32,[1]CURSOS!$E$32)))))))))))))))))))))))))))))))))))))))))))))))))))))))))))</f>
        <v xml:space="preserve">HUMANIZACION EN SALUD, BUENAS PRACTICAS EN PACIENTE </v>
      </c>
      <c r="U146" s="51" t="str">
        <f t="shared" si="69"/>
        <v>Jhon Jairo Delgado Perez</v>
      </c>
      <c r="V146" s="51" t="str">
        <f t="shared" si="70"/>
        <v>Jhon Jairo Delgado Perez</v>
      </c>
      <c r="W146" s="51" t="str">
        <f t="shared" si="71"/>
        <v>Jhon Jairo Delgado Perez-1085263555-HUMANIZACION</v>
      </c>
    </row>
    <row r="147" spans="1:23" s="73" customFormat="1" x14ac:dyDescent="0.2">
      <c r="A147" s="20">
        <v>146</v>
      </c>
      <c r="B147" s="20">
        <v>1144156352</v>
      </c>
      <c r="C147" s="20" t="s">
        <v>420</v>
      </c>
      <c r="D147" s="20" t="s">
        <v>111</v>
      </c>
      <c r="E147" s="20" t="s">
        <v>147</v>
      </c>
      <c r="F147" s="20" t="s">
        <v>421</v>
      </c>
      <c r="G147" s="19">
        <v>15</v>
      </c>
      <c r="H147" s="19" t="s">
        <v>99</v>
      </c>
      <c r="I147" s="25">
        <v>45397</v>
      </c>
      <c r="J147" s="98">
        <v>35000</v>
      </c>
      <c r="K147" s="116" t="s">
        <v>82</v>
      </c>
      <c r="L147" s="19" t="s">
        <v>84</v>
      </c>
      <c r="M147" s="19" t="s">
        <v>422</v>
      </c>
      <c r="N147" s="21" t="s">
        <v>423</v>
      </c>
      <c r="O147" s="72"/>
      <c r="P147" s="20" t="s">
        <v>88</v>
      </c>
      <c r="Q147" s="20"/>
      <c r="R147" s="20"/>
      <c r="S147" s="20"/>
      <c r="T147" s="51" t="s">
        <v>424</v>
      </c>
      <c r="U147" s="51" t="str">
        <f>CONCATENATE(E147," ",F147," ",C147," ",D147)</f>
        <v>Andres Felipe Salinas SANCHEZ</v>
      </c>
      <c r="V147" s="51" t="str">
        <f>+PROPER(U147)</f>
        <v>Andres Felipe Salinas Sanchez</v>
      </c>
      <c r="W147" s="51" t="str">
        <f>CONCATENATE(U147,"-",B147,"-",N147)</f>
        <v xml:space="preserve">Andres Felipe Salinas SANCHEZ-1144156352-SALVAMENTO ACUATICO </v>
      </c>
    </row>
    <row r="148" spans="1:23" s="73" customFormat="1" x14ac:dyDescent="0.2">
      <c r="A148" s="20">
        <v>147</v>
      </c>
      <c r="B148" s="20">
        <v>1144156352</v>
      </c>
      <c r="C148" s="20" t="s">
        <v>420</v>
      </c>
      <c r="D148" s="20" t="s">
        <v>111</v>
      </c>
      <c r="E148" s="20" t="s">
        <v>147</v>
      </c>
      <c r="F148" s="20" t="s">
        <v>421</v>
      </c>
      <c r="G148" s="19">
        <v>15</v>
      </c>
      <c r="H148" s="19" t="s">
        <v>99</v>
      </c>
      <c r="I148" s="25">
        <v>45397</v>
      </c>
      <c r="J148" s="98">
        <v>35000</v>
      </c>
      <c r="K148" s="116" t="s">
        <v>82</v>
      </c>
      <c r="L148" s="19" t="s">
        <v>84</v>
      </c>
      <c r="M148" s="19" t="s">
        <v>422</v>
      </c>
      <c r="N148" s="21" t="s">
        <v>27</v>
      </c>
      <c r="O148" s="72"/>
      <c r="P148" s="20" t="s">
        <v>88</v>
      </c>
      <c r="Q148" s="20"/>
      <c r="R148" s="20"/>
      <c r="S148" s="20"/>
      <c r="T148" s="51" t="str">
        <f>+IF($N148=[1]CURSOS!$D$3,[1]CURSOS!$E$3,(+IF($N148=[1]CURSOS!$D$4,[1]CURSOS!$E$4,(+IF($N148=[1]CURSOS!$D$5,[1]CURSOS!$E$5,(+IF($N148=[1]CURSOS!$D$6,[1]CURSOS!$E$6,(+IF($N148=[1]CURSOS!$D$7,[1]CURSOS!$E$7,(+IF($N148=[1]CURSOS!$D$8,[1]CURSOS!$E$8,(+IF($N148=[1]CURSOS!$D$9,[1]CURSOS!$E$9,(+IF($N148=[1]CURSOS!$D$10,[1]CURSOS!$E$10,(+IF($N148=[1]CURSOS!$D$11,[1]CURSOS!$E$11,(+IF($N148=[1]CURSOS!$D$12,[1]CURSOS!$E$12,(+IF($N148=[1]CURSOS!$D$13,[1]CURSOS!$E$13,(+IF($N148=[1]CURSOS!$D$14,[1]CURSOS!$E$14,(+IF($N148=[1]CURSOS!$D$15,[1]CURSOS!$E$15,(+IF($N148=[1]CURSOS!$D$16,[1]CURSOS!$E$16,(+IF($N148=[1]CURSOS!$D$17,[1]CURSOS!$E$17,(+IF($N148=[1]CURSOS!$D$18,[1]CURSOS!$E$18,(+IF($N148=[1]CURSOS!$D$19,[1]CURSOS!$E$19,(+IF($N148=[1]CURSOS!$D$20,[1]CURSOS!$E$20,(+IF($N148=[1]CURSOS!$D$21,[1]CURSOS!$E$21,(+IF($N148=[1]CURSOS!$D$22,[1]CURSOS!$E$22,(+IF($N148=[1]CURSOS!$D$23,[1]CURSOS!$E$23,(+IF($N148=[1]CURSOS!$D$24,[1]CURSOS!$E$24,(+IF($N148=[1]CURSOS!$D$25,[1]CURSOS!$E$25,(+IF($N148=[1]CURSOS!$D$26,[1]CURSOS!$E$26,(+IF($N148=[1]CURSOS!$D$27,[1]CURSOS!$E$27,(+IF($N148=[1]CURSOS!$D$28,[1]CURSOS!$E$28,(+IF($N148=[1]CURSOS!$D$29,[1]CURSOS!$E$29,(+IF($N148=[1]CURSOS!$D$30,[1]CURSOS!$E$30,(+IF($N148=[1]CURSOS!$D$31,[1]CURSOS!$E$31,(+IF($N148=[1]CURSOS!$D$32,[1]CURSOS!$E$32)))))))))))))))))))))))))))))))))))))))))))))))))))))))))))</f>
        <v xml:space="preserve">PRIMEROS AUXILIOS </v>
      </c>
      <c r="U148" s="51" t="str">
        <f>CONCATENATE(E148," ",F148," ",C148," ",D148)</f>
        <v>Andres Felipe Salinas SANCHEZ</v>
      </c>
      <c r="V148" s="51" t="str">
        <f>+PROPER(U148)</f>
        <v>Andres Felipe Salinas Sanchez</v>
      </c>
      <c r="W148" s="51" t="str">
        <f>CONCATENATE(U148,"-",B148,"-",N148)</f>
        <v>Andres Felipe Salinas SANCHEZ-1144156352-PRIMEROS AUXILIOS</v>
      </c>
    </row>
    <row r="149" spans="1:23" s="73" customFormat="1" x14ac:dyDescent="0.2">
      <c r="A149" s="20">
        <v>148</v>
      </c>
      <c r="B149" s="20">
        <v>1087121208</v>
      </c>
      <c r="C149" s="20" t="s">
        <v>420</v>
      </c>
      <c r="D149" s="20" t="s">
        <v>111</v>
      </c>
      <c r="E149" s="20" t="s">
        <v>194</v>
      </c>
      <c r="F149" s="20" t="s">
        <v>267</v>
      </c>
      <c r="G149" s="19">
        <v>15</v>
      </c>
      <c r="H149" s="19" t="s">
        <v>99</v>
      </c>
      <c r="I149" s="25">
        <v>45397</v>
      </c>
      <c r="J149" s="98">
        <v>35000</v>
      </c>
      <c r="K149" s="116" t="s">
        <v>82</v>
      </c>
      <c r="L149" s="19" t="s">
        <v>84</v>
      </c>
      <c r="M149" s="19" t="s">
        <v>422</v>
      </c>
      <c r="N149" s="21" t="s">
        <v>423</v>
      </c>
      <c r="O149" s="72"/>
      <c r="P149" s="20" t="s">
        <v>78</v>
      </c>
      <c r="Q149" s="20"/>
      <c r="R149" s="20"/>
      <c r="S149" s="20"/>
      <c r="T149" s="51" t="s">
        <v>424</v>
      </c>
      <c r="U149" s="51" t="str">
        <f t="shared" ref="U149:U151" si="72">CONCATENATE(E149," ",F149," ",C149," ",D149)</f>
        <v>Andrea Maria Salinas SANCHEZ</v>
      </c>
      <c r="V149" s="51" t="str">
        <f t="shared" ref="V149:V151" si="73">+PROPER(U149)</f>
        <v>Andrea Maria Salinas Sanchez</v>
      </c>
      <c r="W149" s="51" t="str">
        <f t="shared" ref="W149:W151" si="74">CONCATENATE(U149,"-",B149,"-",N149)</f>
        <v xml:space="preserve">Andrea Maria Salinas SANCHEZ-1087121208-SALVAMENTO ACUATICO </v>
      </c>
    </row>
    <row r="150" spans="1:23" s="73" customFormat="1" x14ac:dyDescent="0.2">
      <c r="A150" s="20">
        <v>149</v>
      </c>
      <c r="B150" s="20">
        <v>1087121208</v>
      </c>
      <c r="C150" s="20" t="s">
        <v>420</v>
      </c>
      <c r="D150" s="20" t="s">
        <v>111</v>
      </c>
      <c r="E150" s="20" t="s">
        <v>194</v>
      </c>
      <c r="F150" s="20" t="s">
        <v>267</v>
      </c>
      <c r="G150" s="19">
        <v>15</v>
      </c>
      <c r="H150" s="19" t="s">
        <v>99</v>
      </c>
      <c r="I150" s="25">
        <v>45397</v>
      </c>
      <c r="J150" s="98">
        <v>35000</v>
      </c>
      <c r="K150" s="116" t="s">
        <v>82</v>
      </c>
      <c r="L150" s="19" t="s">
        <v>84</v>
      </c>
      <c r="M150" s="19" t="s">
        <v>422</v>
      </c>
      <c r="N150" s="21" t="s">
        <v>27</v>
      </c>
      <c r="O150" s="72"/>
      <c r="P150" s="20" t="s">
        <v>78</v>
      </c>
      <c r="Q150" s="20"/>
      <c r="R150" s="20"/>
      <c r="S150" s="20"/>
      <c r="T150" s="51" t="str">
        <f>+IF($N150=[1]CURSOS!$D$3,[1]CURSOS!$E$3,(+IF($N150=[1]CURSOS!$D$4,[1]CURSOS!$E$4,(+IF($N150=[1]CURSOS!$D$5,[1]CURSOS!$E$5,(+IF($N150=[1]CURSOS!$D$6,[1]CURSOS!$E$6,(+IF($N150=[1]CURSOS!$D$7,[1]CURSOS!$E$7,(+IF($N150=[1]CURSOS!$D$8,[1]CURSOS!$E$8,(+IF($N150=[1]CURSOS!$D$9,[1]CURSOS!$E$9,(+IF($N150=[1]CURSOS!$D$10,[1]CURSOS!$E$10,(+IF($N150=[1]CURSOS!$D$11,[1]CURSOS!$E$11,(+IF($N150=[1]CURSOS!$D$12,[1]CURSOS!$E$12,(+IF($N150=[1]CURSOS!$D$13,[1]CURSOS!$E$13,(+IF($N150=[1]CURSOS!$D$14,[1]CURSOS!$E$14,(+IF($N150=[1]CURSOS!$D$15,[1]CURSOS!$E$15,(+IF($N150=[1]CURSOS!$D$16,[1]CURSOS!$E$16,(+IF($N150=[1]CURSOS!$D$17,[1]CURSOS!$E$17,(+IF($N150=[1]CURSOS!$D$18,[1]CURSOS!$E$18,(+IF($N150=[1]CURSOS!$D$19,[1]CURSOS!$E$19,(+IF($N150=[1]CURSOS!$D$20,[1]CURSOS!$E$20,(+IF($N150=[1]CURSOS!$D$21,[1]CURSOS!$E$21,(+IF($N150=[1]CURSOS!$D$22,[1]CURSOS!$E$22,(+IF($N150=[1]CURSOS!$D$23,[1]CURSOS!$E$23,(+IF($N150=[1]CURSOS!$D$24,[1]CURSOS!$E$24,(+IF($N150=[1]CURSOS!$D$25,[1]CURSOS!$E$25,(+IF($N150=[1]CURSOS!$D$26,[1]CURSOS!$E$26,(+IF($N150=[1]CURSOS!$D$27,[1]CURSOS!$E$27,(+IF($N150=[1]CURSOS!$D$28,[1]CURSOS!$E$28,(+IF($N150=[1]CURSOS!$D$29,[1]CURSOS!$E$29,(+IF($N150=[1]CURSOS!$D$30,[1]CURSOS!$E$30,(+IF($N150=[1]CURSOS!$D$31,[1]CURSOS!$E$31,(+IF($N150=[1]CURSOS!$D$32,[1]CURSOS!$E$32)))))))))))))))))))))))))))))))))))))))))))))))))))))))))))</f>
        <v xml:space="preserve">PRIMEROS AUXILIOS </v>
      </c>
      <c r="U150" s="51" t="str">
        <f t="shared" si="72"/>
        <v>Andrea Maria Salinas SANCHEZ</v>
      </c>
      <c r="V150" s="51" t="str">
        <f t="shared" si="73"/>
        <v>Andrea Maria Salinas Sanchez</v>
      </c>
      <c r="W150" s="51" t="str">
        <f t="shared" si="74"/>
        <v>Andrea Maria Salinas SANCHEZ-1087121208-PRIMEROS AUXILIOS</v>
      </c>
    </row>
    <row r="151" spans="1:23" s="73" customFormat="1" x14ac:dyDescent="0.2">
      <c r="A151" s="20">
        <v>150</v>
      </c>
      <c r="B151" s="20">
        <v>1085273942</v>
      </c>
      <c r="C151" s="20" t="s">
        <v>192</v>
      </c>
      <c r="D151" s="20" t="s">
        <v>429</v>
      </c>
      <c r="E151" s="20" t="s">
        <v>430</v>
      </c>
      <c r="F151" s="20" t="s">
        <v>360</v>
      </c>
      <c r="G151" s="19">
        <v>15</v>
      </c>
      <c r="H151" s="19" t="s">
        <v>99</v>
      </c>
      <c r="I151" s="25" t="s">
        <v>431</v>
      </c>
      <c r="J151" s="98">
        <v>30000</v>
      </c>
      <c r="K151" s="19" t="s">
        <v>431</v>
      </c>
      <c r="L151" s="19" t="s">
        <v>84</v>
      </c>
      <c r="M151" s="19" t="s">
        <v>371</v>
      </c>
      <c r="N151" s="21" t="s">
        <v>46</v>
      </c>
      <c r="O151" s="72"/>
      <c r="P151" s="20" t="s">
        <v>88</v>
      </c>
      <c r="Q151" s="32" t="s">
        <v>160</v>
      </c>
      <c r="R151" s="20"/>
      <c r="S151" s="20"/>
      <c r="T151" s="51" t="str">
        <f>+IF($N151=[1]CURSOS!$D$3,[1]CURSOS!$E$3,(+IF($N151=[1]CURSOS!$D$4,[1]CURSOS!$E$4,(+IF($N151=[1]CURSOS!$D$5,[1]CURSOS!$E$5,(+IF($N151=[1]CURSOS!$D$6,[1]CURSOS!$E$6,(+IF($N151=[1]CURSOS!$D$7,[1]CURSOS!$E$7,(+IF($N151=[1]CURSOS!$D$8,[1]CURSOS!$E$8,(+IF($N151=[1]CURSOS!$D$9,[1]CURSOS!$E$9,(+IF($N151=[1]CURSOS!$D$10,[1]CURSOS!$E$10,(+IF($N151=[1]CURSOS!$D$11,[1]CURSOS!$E$11,(+IF($N151=[1]CURSOS!$D$12,[1]CURSOS!$E$12,(+IF($N151=[1]CURSOS!$D$13,[1]CURSOS!$E$13,(+IF($N151=[1]CURSOS!$D$14,[1]CURSOS!$E$14,(+IF($N151=[1]CURSOS!$D$15,[1]CURSOS!$E$15,(+IF($N151=[1]CURSOS!$D$16,[1]CURSOS!$E$16,(+IF($N151=[1]CURSOS!$D$17,[1]CURSOS!$E$17,(+IF($N151=[1]CURSOS!$D$18,[1]CURSOS!$E$18,(+IF($N151=[1]CURSOS!$D$19,[1]CURSOS!$E$19,(+IF($N151=[1]CURSOS!$D$20,[1]CURSOS!$E$20,(+IF($N151=[1]CURSOS!$D$21,[1]CURSOS!$E$21,(+IF($N151=[1]CURSOS!$D$22,[1]CURSOS!$E$22,(+IF($N151=[1]CURSOS!$D$23,[1]CURSOS!$E$23,(+IF($N151=[1]CURSOS!$D$24,[1]CURSOS!$E$24,(+IF($N151=[1]CURSOS!$D$25,[1]CURSOS!$E$25,(+IF($N151=[1]CURSOS!$D$26,[1]CURSOS!$E$26,(+IF($N151=[1]CURSOS!$D$27,[1]CURSOS!$E$27,(+IF($N151=[1]CURSOS!$D$28,[1]CURSOS!$E$28,(+IF($N151=[1]CURSOS!$D$29,[1]CURSOS!$E$29,(+IF($N151=[1]CURSOS!$D$30,[1]CURSOS!$E$30,(+IF($N151=[1]CURSOS!$D$31,[1]CURSOS!$E$31,(+IF($N151=[1]CURSOS!$D$32,[1]CURSOS!$E$32)))))))))))))))))))))))))))))))))))))))))))))))))))))))))))</f>
        <v xml:space="preserve">ATENCION A VICTIMAS DE VIOLENCIA SEXUAL </v>
      </c>
      <c r="U151" s="51" t="str">
        <f t="shared" si="72"/>
        <v>Mario  Hernan Paz Cassetta</v>
      </c>
      <c r="V151" s="51" t="str">
        <f t="shared" si="73"/>
        <v>Mario  Hernan Paz Cassetta</v>
      </c>
      <c r="W151" s="51" t="str">
        <f t="shared" si="74"/>
        <v>Mario  Hernan Paz Cassetta-1085273942-VIOLENCIA SEXUAL</v>
      </c>
    </row>
    <row r="152" spans="1:23" s="73" customFormat="1" x14ac:dyDescent="0.2">
      <c r="A152" s="20">
        <v>151</v>
      </c>
      <c r="B152" s="20">
        <v>1085273942</v>
      </c>
      <c r="C152" s="20" t="s">
        <v>192</v>
      </c>
      <c r="D152" s="20" t="s">
        <v>429</v>
      </c>
      <c r="E152" s="20" t="s">
        <v>430</v>
      </c>
      <c r="F152" s="20" t="s">
        <v>360</v>
      </c>
      <c r="G152" s="19">
        <v>15</v>
      </c>
      <c r="H152" s="19" t="s">
        <v>99</v>
      </c>
      <c r="I152" s="25" t="s">
        <v>431</v>
      </c>
      <c r="J152" s="98">
        <v>30000</v>
      </c>
      <c r="K152" s="19" t="s">
        <v>431</v>
      </c>
      <c r="L152" s="19" t="s">
        <v>84</v>
      </c>
      <c r="M152" s="19" t="s">
        <v>371</v>
      </c>
      <c r="N152" s="21" t="s">
        <v>25</v>
      </c>
      <c r="O152" s="72"/>
      <c r="P152" s="20" t="s">
        <v>88</v>
      </c>
      <c r="Q152" s="32" t="s">
        <v>160</v>
      </c>
      <c r="R152" s="20"/>
      <c r="S152" s="20"/>
      <c r="T152" s="51" t="str">
        <f>+IF($N152=[1]CURSOS!$D$3,[1]CURSOS!$E$3,(+IF($N152=[1]CURSOS!$D$4,[1]CURSOS!$E$4,(+IF($N152=[1]CURSOS!$D$5,[1]CURSOS!$E$5,(+IF($N152=[1]CURSOS!$D$6,[1]CURSOS!$E$6,(+IF($N152=[1]CURSOS!$D$7,[1]CURSOS!$E$7,(+IF($N152=[1]CURSOS!$D$8,[1]CURSOS!$E$8,(+IF($N152=[1]CURSOS!$D$9,[1]CURSOS!$E$9,(+IF($N152=[1]CURSOS!$D$10,[1]CURSOS!$E$10,(+IF($N152=[1]CURSOS!$D$11,[1]CURSOS!$E$11,(+IF($N152=[1]CURSOS!$D$12,[1]CURSOS!$E$12,(+IF($N152=[1]CURSOS!$D$13,[1]CURSOS!$E$13,(+IF($N152=[1]CURSOS!$D$14,[1]CURSOS!$E$14,(+IF($N152=[1]CURSOS!$D$15,[1]CURSOS!$E$15,(+IF($N152=[1]CURSOS!$D$16,[1]CURSOS!$E$16,(+IF($N152=[1]CURSOS!$D$17,[1]CURSOS!$E$17,(+IF($N152=[1]CURSOS!$D$18,[1]CURSOS!$E$18,(+IF($N152=[1]CURSOS!$D$19,[1]CURSOS!$E$19,(+IF($N152=[1]CURSOS!$D$20,[1]CURSOS!$E$20,(+IF($N152=[1]CURSOS!$D$21,[1]CURSOS!$E$21,(+IF($N152=[1]CURSOS!$D$22,[1]CURSOS!$E$22,(+IF($N152=[1]CURSOS!$D$23,[1]CURSOS!$E$23,(+IF($N152=[1]CURSOS!$D$24,[1]CURSOS!$E$24,(+IF($N152=[1]CURSOS!$D$25,[1]CURSOS!$E$25,(+IF($N152=[1]CURSOS!$D$26,[1]CURSOS!$E$26,(+IF($N152=[1]CURSOS!$D$27,[1]CURSOS!$E$27,(+IF($N152=[1]CURSOS!$D$28,[1]CURSOS!$E$28,(+IF($N152=[1]CURSOS!$D$29,[1]CURSOS!$E$29,(+IF($N152=[1]CURSOS!$D$30,[1]CURSOS!$E$30,(+IF($N152=[1]CURSOS!$D$31,[1]CURSOS!$E$31,(+IF($N152=[1]CURSOS!$D$32,[1]CURSOS!$E$32)))))))))))))))))))))))))))))))))))))))))))))))))))))))))))</f>
        <v xml:space="preserve">ATENCION A VICTIMAS DE ATAQUE CON AGENTES QUIMICOS </v>
      </c>
      <c r="U152" s="51" t="str">
        <f t="shared" ref="U152:U154" si="75">CONCATENATE(E152," ",F152," ",C152," ",D152)</f>
        <v>Mario  Hernan Paz Cassetta</v>
      </c>
      <c r="V152" s="51" t="str">
        <f t="shared" ref="V152:V154" si="76">+PROPER(U152)</f>
        <v>Mario  Hernan Paz Cassetta</v>
      </c>
      <c r="W152" s="51" t="str">
        <f t="shared" ref="W152:W154" si="77">CONCATENATE(U152,"-",B152,"-",N152)</f>
        <v>Mario  Hernan Paz Cassetta-1085273942-QUIMICOS</v>
      </c>
    </row>
    <row r="153" spans="1:23" s="73" customFormat="1" x14ac:dyDescent="0.2">
      <c r="A153" s="20">
        <v>152</v>
      </c>
      <c r="B153" s="20">
        <v>1085325325</v>
      </c>
      <c r="C153" s="20" t="s">
        <v>432</v>
      </c>
      <c r="D153" s="20" t="s">
        <v>433</v>
      </c>
      <c r="E153" s="20" t="s">
        <v>434</v>
      </c>
      <c r="F153" s="20" t="s">
        <v>202</v>
      </c>
      <c r="G153" s="19">
        <v>15</v>
      </c>
      <c r="H153" s="19" t="s">
        <v>99</v>
      </c>
      <c r="I153" s="25" t="s">
        <v>431</v>
      </c>
      <c r="J153" s="98">
        <v>30000</v>
      </c>
      <c r="K153" s="19" t="s">
        <v>431</v>
      </c>
      <c r="L153" s="19" t="s">
        <v>84</v>
      </c>
      <c r="M153" s="19" t="s">
        <v>371</v>
      </c>
      <c r="N153" s="21" t="s">
        <v>19</v>
      </c>
      <c r="O153" s="72"/>
      <c r="P153" s="20" t="s">
        <v>78</v>
      </c>
      <c r="Q153" s="32" t="s">
        <v>160</v>
      </c>
      <c r="R153" s="20"/>
      <c r="S153" s="20"/>
      <c r="T153" s="51" t="str">
        <f>+IF($N153=[1]CURSOS!$D$3,[1]CURSOS!$E$3,(+IF($N153=[1]CURSOS!$D$4,[1]CURSOS!$E$4,(+IF($N153=[1]CURSOS!$D$5,[1]CURSOS!$E$5,(+IF($N153=[1]CURSOS!$D$6,[1]CURSOS!$E$6,(+IF($N153=[1]CURSOS!$D$7,[1]CURSOS!$E$7,(+IF($N153=[1]CURSOS!$D$8,[1]CURSOS!$E$8,(+IF($N153=[1]CURSOS!$D$9,[1]CURSOS!$E$9,(+IF($N153=[1]CURSOS!$D$10,[1]CURSOS!$E$10,(+IF($N153=[1]CURSOS!$D$11,[1]CURSOS!$E$11,(+IF($N153=[1]CURSOS!$D$12,[1]CURSOS!$E$12,(+IF($N153=[1]CURSOS!$D$13,[1]CURSOS!$E$13,(+IF($N153=[1]CURSOS!$D$14,[1]CURSOS!$E$14,(+IF($N153=[1]CURSOS!$D$15,[1]CURSOS!$E$15,(+IF($N153=[1]CURSOS!$D$16,[1]CURSOS!$E$16,(+IF($N153=[1]CURSOS!$D$17,[1]CURSOS!$E$17,(+IF($N153=[1]CURSOS!$D$18,[1]CURSOS!$E$18,(+IF($N153=[1]CURSOS!$D$19,[1]CURSOS!$E$19,(+IF($N153=[1]CURSOS!$D$20,[1]CURSOS!$E$20,(+IF($N153=[1]CURSOS!$D$21,[1]CURSOS!$E$21,(+IF($N153=[1]CURSOS!$D$22,[1]CURSOS!$E$22,(+IF($N153=[1]CURSOS!$D$23,[1]CURSOS!$E$23,(+IF($N153=[1]CURSOS!$D$24,[1]CURSOS!$E$24,(+IF($N153=[1]CURSOS!$D$25,[1]CURSOS!$E$25,(+IF($N153=[1]CURSOS!$D$26,[1]CURSOS!$E$26,(+IF($N153=[1]CURSOS!$D$27,[1]CURSOS!$E$27,(+IF($N153=[1]CURSOS!$D$28,[1]CURSOS!$E$28,(+IF($N153=[1]CURSOS!$D$29,[1]CURSOS!$E$29,(+IF($N153=[1]CURSOS!$D$30,[1]CURSOS!$E$30,(+IF($N153=[1]CURSOS!$D$31,[1]CURSOS!$E$31,(+IF($N153=[1]CURSOS!$D$32,[1]CURSOS!$E$32)))))))))))))))))))))))))))))))))))))))))))))))))))))))))))</f>
        <v>SOPORTE VITAL BASICO (BLS)</v>
      </c>
      <c r="U153" s="51" t="str">
        <f t="shared" si="75"/>
        <v>Ayda Isabel Matabanchoy Benavides</v>
      </c>
      <c r="V153" s="51" t="str">
        <f t="shared" si="76"/>
        <v>Ayda Isabel Matabanchoy Benavides</v>
      </c>
      <c r="W153" s="51" t="str">
        <f t="shared" si="77"/>
        <v>Ayda Isabel Matabanchoy Benavides-1085325325-BLS</v>
      </c>
    </row>
    <row r="154" spans="1:23" s="73" customFormat="1" x14ac:dyDescent="0.2">
      <c r="A154" s="20">
        <v>153</v>
      </c>
      <c r="B154" s="20">
        <v>59395473</v>
      </c>
      <c r="C154" s="20" t="s">
        <v>435</v>
      </c>
      <c r="D154" s="20"/>
      <c r="E154" s="20" t="s">
        <v>391</v>
      </c>
      <c r="F154" s="20" t="s">
        <v>436</v>
      </c>
      <c r="G154" s="19">
        <v>15</v>
      </c>
      <c r="H154" s="19" t="s">
        <v>99</v>
      </c>
      <c r="I154" s="25">
        <v>45397</v>
      </c>
      <c r="J154" s="88">
        <v>32000</v>
      </c>
      <c r="K154" s="116" t="s">
        <v>79</v>
      </c>
      <c r="L154" s="19" t="s">
        <v>84</v>
      </c>
      <c r="M154" s="19" t="s">
        <v>197</v>
      </c>
      <c r="N154" s="21" t="s">
        <v>46</v>
      </c>
      <c r="O154" s="72">
        <v>28805</v>
      </c>
      <c r="P154" s="20" t="s">
        <v>78</v>
      </c>
      <c r="Q154" s="32" t="s">
        <v>160</v>
      </c>
      <c r="R154" s="20"/>
      <c r="S154" s="20"/>
      <c r="T154" s="51" t="str">
        <f>+IF($N154=[1]CURSOS!$D$3,[1]CURSOS!$E$3,(+IF($N154=[1]CURSOS!$D$4,[1]CURSOS!$E$4,(+IF($N154=[1]CURSOS!$D$5,[1]CURSOS!$E$5,(+IF($N154=[1]CURSOS!$D$6,[1]CURSOS!$E$6,(+IF($N154=[1]CURSOS!$D$7,[1]CURSOS!$E$7,(+IF($N154=[1]CURSOS!$D$8,[1]CURSOS!$E$8,(+IF($N154=[1]CURSOS!$D$9,[1]CURSOS!$E$9,(+IF($N154=[1]CURSOS!$D$10,[1]CURSOS!$E$10,(+IF($N154=[1]CURSOS!$D$11,[1]CURSOS!$E$11,(+IF($N154=[1]CURSOS!$D$12,[1]CURSOS!$E$12,(+IF($N154=[1]CURSOS!$D$13,[1]CURSOS!$E$13,(+IF($N154=[1]CURSOS!$D$14,[1]CURSOS!$E$14,(+IF($N154=[1]CURSOS!$D$15,[1]CURSOS!$E$15,(+IF($N154=[1]CURSOS!$D$16,[1]CURSOS!$E$16,(+IF($N154=[1]CURSOS!$D$17,[1]CURSOS!$E$17,(+IF($N154=[1]CURSOS!$D$18,[1]CURSOS!$E$18,(+IF($N154=[1]CURSOS!$D$19,[1]CURSOS!$E$19,(+IF($N154=[1]CURSOS!$D$20,[1]CURSOS!$E$20,(+IF($N154=[1]CURSOS!$D$21,[1]CURSOS!$E$21,(+IF($N154=[1]CURSOS!$D$22,[1]CURSOS!$E$22,(+IF($N154=[1]CURSOS!$D$23,[1]CURSOS!$E$23,(+IF($N154=[1]CURSOS!$D$24,[1]CURSOS!$E$24,(+IF($N154=[1]CURSOS!$D$25,[1]CURSOS!$E$25,(+IF($N154=[1]CURSOS!$D$26,[1]CURSOS!$E$26,(+IF($N154=[1]CURSOS!$D$27,[1]CURSOS!$E$27,(+IF($N154=[1]CURSOS!$D$28,[1]CURSOS!$E$28,(+IF($N154=[1]CURSOS!$D$29,[1]CURSOS!$E$29,(+IF($N154=[1]CURSOS!$D$30,[1]CURSOS!$E$30,(+IF($N154=[1]CURSOS!$D$31,[1]CURSOS!$E$31,(+IF($N154=[1]CURSOS!$D$32,[1]CURSOS!$E$32)))))))))))))))))))))))))))))))))))))))))))))))))))))))))))</f>
        <v xml:space="preserve">ATENCION A VICTIMAS DE VIOLENCIA SEXUAL </v>
      </c>
      <c r="U154" s="51" t="str">
        <f t="shared" si="75"/>
        <v xml:space="preserve">Carmen Alicia Arciniegas </v>
      </c>
      <c r="V154" s="51" t="str">
        <f t="shared" si="76"/>
        <v xml:space="preserve">Carmen Alicia Arciniegas </v>
      </c>
      <c r="W154" s="51" t="str">
        <f t="shared" si="77"/>
        <v>Carmen Alicia Arciniegas -59395473-VIOLENCIA SEXUAL</v>
      </c>
    </row>
    <row r="155" spans="1:23" s="73" customFormat="1" x14ac:dyDescent="0.2">
      <c r="A155" s="20">
        <v>154</v>
      </c>
      <c r="B155" s="20">
        <v>59395473</v>
      </c>
      <c r="C155" s="20" t="s">
        <v>435</v>
      </c>
      <c r="D155" s="20"/>
      <c r="E155" s="20" t="s">
        <v>391</v>
      </c>
      <c r="F155" s="20" t="s">
        <v>436</v>
      </c>
      <c r="G155" s="19">
        <v>15</v>
      </c>
      <c r="H155" s="19" t="s">
        <v>99</v>
      </c>
      <c r="I155" s="25">
        <v>45397</v>
      </c>
      <c r="J155" s="88">
        <v>32000</v>
      </c>
      <c r="K155" s="116" t="s">
        <v>79</v>
      </c>
      <c r="L155" s="19" t="s">
        <v>84</v>
      </c>
      <c r="M155" s="19" t="s">
        <v>197</v>
      </c>
      <c r="N155" s="21" t="s">
        <v>25</v>
      </c>
      <c r="O155" s="72">
        <v>28805</v>
      </c>
      <c r="P155" s="20" t="s">
        <v>78</v>
      </c>
      <c r="Q155" s="32" t="s">
        <v>160</v>
      </c>
      <c r="R155" s="20"/>
      <c r="S155" s="20"/>
      <c r="T155" s="51" t="str">
        <f>+IF($N155=[1]CURSOS!$D$3,[1]CURSOS!$E$3,(+IF($N155=[1]CURSOS!$D$4,[1]CURSOS!$E$4,(+IF($N155=[1]CURSOS!$D$5,[1]CURSOS!$E$5,(+IF($N155=[1]CURSOS!$D$6,[1]CURSOS!$E$6,(+IF($N155=[1]CURSOS!$D$7,[1]CURSOS!$E$7,(+IF($N155=[1]CURSOS!$D$8,[1]CURSOS!$E$8,(+IF($N155=[1]CURSOS!$D$9,[1]CURSOS!$E$9,(+IF($N155=[1]CURSOS!$D$10,[1]CURSOS!$E$10,(+IF($N155=[1]CURSOS!$D$11,[1]CURSOS!$E$11,(+IF($N155=[1]CURSOS!$D$12,[1]CURSOS!$E$12,(+IF($N155=[1]CURSOS!$D$13,[1]CURSOS!$E$13,(+IF($N155=[1]CURSOS!$D$14,[1]CURSOS!$E$14,(+IF($N155=[1]CURSOS!$D$15,[1]CURSOS!$E$15,(+IF($N155=[1]CURSOS!$D$16,[1]CURSOS!$E$16,(+IF($N155=[1]CURSOS!$D$17,[1]CURSOS!$E$17,(+IF($N155=[1]CURSOS!$D$18,[1]CURSOS!$E$18,(+IF($N155=[1]CURSOS!$D$19,[1]CURSOS!$E$19,(+IF($N155=[1]CURSOS!$D$20,[1]CURSOS!$E$20,(+IF($N155=[1]CURSOS!$D$21,[1]CURSOS!$E$21,(+IF($N155=[1]CURSOS!$D$22,[1]CURSOS!$E$22,(+IF($N155=[1]CURSOS!$D$23,[1]CURSOS!$E$23,(+IF($N155=[1]CURSOS!$D$24,[1]CURSOS!$E$24,(+IF($N155=[1]CURSOS!$D$25,[1]CURSOS!$E$25,(+IF($N155=[1]CURSOS!$D$26,[1]CURSOS!$E$26,(+IF($N155=[1]CURSOS!$D$27,[1]CURSOS!$E$27,(+IF($N155=[1]CURSOS!$D$28,[1]CURSOS!$E$28,(+IF($N155=[1]CURSOS!$D$29,[1]CURSOS!$E$29,(+IF($N155=[1]CURSOS!$D$30,[1]CURSOS!$E$30,(+IF($N155=[1]CURSOS!$D$31,[1]CURSOS!$E$31,(+IF($N155=[1]CURSOS!$D$32,[1]CURSOS!$E$32)))))))))))))))))))))))))))))))))))))))))))))))))))))))))))</f>
        <v xml:space="preserve">ATENCION A VICTIMAS DE ATAQUE CON AGENTES QUIMICOS </v>
      </c>
      <c r="U155" s="51" t="str">
        <f t="shared" ref="U155" si="78">CONCATENATE(E155," ",F155," ",C155," ",D155)</f>
        <v xml:space="preserve">Carmen Alicia Arciniegas </v>
      </c>
      <c r="V155" s="51" t="str">
        <f t="shared" ref="V155" si="79">+PROPER(U155)</f>
        <v xml:space="preserve">Carmen Alicia Arciniegas </v>
      </c>
      <c r="W155" s="51" t="str">
        <f t="shared" ref="W155" si="80">CONCATENATE(U155,"-",B155,"-",N155)</f>
        <v>Carmen Alicia Arciniegas -59395473-QUIMICOS</v>
      </c>
    </row>
    <row r="156" spans="1:23" s="73" customFormat="1" x14ac:dyDescent="0.2">
      <c r="A156" s="20">
        <v>155</v>
      </c>
      <c r="B156" s="20">
        <v>59788801</v>
      </c>
      <c r="C156" s="20" t="s">
        <v>437</v>
      </c>
      <c r="D156" s="20" t="s">
        <v>347</v>
      </c>
      <c r="E156" s="20" t="s">
        <v>438</v>
      </c>
      <c r="F156" s="20" t="s">
        <v>439</v>
      </c>
      <c r="G156" s="19">
        <v>16</v>
      </c>
      <c r="H156" s="19" t="s">
        <v>99</v>
      </c>
      <c r="I156" s="25">
        <v>45398</v>
      </c>
      <c r="J156" s="98">
        <v>40000</v>
      </c>
      <c r="K156" s="116" t="s">
        <v>82</v>
      </c>
      <c r="L156" s="19" t="s">
        <v>322</v>
      </c>
      <c r="M156" s="19"/>
      <c r="N156" s="21" t="s">
        <v>43</v>
      </c>
      <c r="O156" s="72"/>
      <c r="P156" s="20" t="s">
        <v>78</v>
      </c>
      <c r="Q156" s="32" t="s">
        <v>160</v>
      </c>
      <c r="R156" s="20"/>
      <c r="S156" s="20" t="s">
        <v>440</v>
      </c>
      <c r="T156" s="51" t="str">
        <f>+IF($N156=[1]CURSOS!$D$3,[1]CURSOS!$E$3,(+IF($N156=[1]CURSOS!$D$4,[1]CURSOS!$E$4,(+IF($N156=[1]CURSOS!$D$5,[1]CURSOS!$E$5,(+IF($N156=[1]CURSOS!$D$6,[1]CURSOS!$E$6,(+IF($N156=[1]CURSOS!$D$7,[1]CURSOS!$E$7,(+IF($N156=[1]CURSOS!$D$8,[1]CURSOS!$E$8,(+IF($N156=[1]CURSOS!$D$9,[1]CURSOS!$E$9,(+IF($N156=[1]CURSOS!$D$10,[1]CURSOS!$E$10,(+IF($N156=[1]CURSOS!$D$11,[1]CURSOS!$E$11,(+IF($N156=[1]CURSOS!$D$12,[1]CURSOS!$E$12,(+IF($N156=[1]CURSOS!$D$13,[1]CURSOS!$E$13,(+IF($N156=[1]CURSOS!$D$14,[1]CURSOS!$E$14,(+IF($N156=[1]CURSOS!$D$15,[1]CURSOS!$E$15,(+IF($N156=[1]CURSOS!$D$16,[1]CURSOS!$E$16,(+IF($N156=[1]CURSOS!$D$17,[1]CURSOS!$E$17,(+IF($N156=[1]CURSOS!$D$18,[1]CURSOS!$E$18,(+IF($N156=[1]CURSOS!$D$19,[1]CURSOS!$E$19,(+IF($N156=[1]CURSOS!$D$20,[1]CURSOS!$E$20,(+IF($N156=[1]CURSOS!$D$21,[1]CURSOS!$E$21,(+IF($N156=[1]CURSOS!$D$22,[1]CURSOS!$E$22,(+IF($N156=[1]CURSOS!$D$23,[1]CURSOS!$E$23,(+IF($N156=[1]CURSOS!$D$24,[1]CURSOS!$E$24,(+IF($N156=[1]CURSOS!$D$25,[1]CURSOS!$E$25,(+IF($N156=[1]CURSOS!$D$26,[1]CURSOS!$E$26,(+IF($N156=[1]CURSOS!$D$27,[1]CURSOS!$E$27,(+IF($N156=[1]CURSOS!$D$28,[1]CURSOS!$E$28,(+IF($N156=[1]CURSOS!$D$29,[1]CURSOS!$E$29,(+IF($N156=[1]CURSOS!$D$30,[1]CURSOS!$E$30,(+IF($N156=[1]CURSOS!$D$31,[1]CURSOS!$E$31,(+IF($N156=[1]CURSOS!$D$32,[1]CURSOS!$E$32)))))))))))))))))))))))))))))))))))))))))))))))))))))))))))</f>
        <v>TOMA MUESTRAS Y LABORATORIO CLINICO</v>
      </c>
      <c r="U156" s="51" t="str">
        <f t="shared" ref="U156" si="81">CONCATENATE(E156," ",F156," ",C156," ",D156)</f>
        <v>Nicela Lilibeth Leiton Ortega</v>
      </c>
      <c r="V156" s="51" t="str">
        <f t="shared" ref="V156" si="82">+PROPER(U156)</f>
        <v>Nicela Lilibeth Leiton Ortega</v>
      </c>
      <c r="W156" s="51" t="str">
        <f t="shared" ref="W156" si="83">CONCATENATE(U156,"-",B156,"-",N156)</f>
        <v>Nicela Lilibeth Leiton Ortega-59788801-TOMA DE MUESTRAS</v>
      </c>
    </row>
    <row r="157" spans="1:23" s="73" customFormat="1" x14ac:dyDescent="0.2">
      <c r="A157" s="20">
        <v>156</v>
      </c>
      <c r="B157" s="20">
        <v>1088736125</v>
      </c>
      <c r="C157" s="20" t="s">
        <v>441</v>
      </c>
      <c r="D157" s="20" t="s">
        <v>442</v>
      </c>
      <c r="E157" s="20" t="s">
        <v>443</v>
      </c>
      <c r="F157" s="20" t="s">
        <v>444</v>
      </c>
      <c r="G157" s="19">
        <v>15</v>
      </c>
      <c r="H157" s="19" t="s">
        <v>99</v>
      </c>
      <c r="I157" s="25">
        <v>45399</v>
      </c>
      <c r="J157" s="88">
        <v>30000</v>
      </c>
      <c r="K157" s="116" t="s">
        <v>79</v>
      </c>
      <c r="L157" s="19" t="s">
        <v>322</v>
      </c>
      <c r="M157" s="19" t="s">
        <v>197</v>
      </c>
      <c r="N157" s="21" t="s">
        <v>19</v>
      </c>
      <c r="O157" s="72">
        <v>34261</v>
      </c>
      <c r="P157" s="20" t="s">
        <v>78</v>
      </c>
      <c r="Q157" s="32" t="s">
        <v>160</v>
      </c>
      <c r="R157" s="20">
        <v>3207930053</v>
      </c>
      <c r="S157" s="20" t="s">
        <v>445</v>
      </c>
      <c r="T157" s="51" t="str">
        <f>+IF($N157=[1]CURSOS!$D$3,[1]CURSOS!$E$3,(+IF($N157=[1]CURSOS!$D$4,[1]CURSOS!$E$4,(+IF($N157=[1]CURSOS!$D$5,[1]CURSOS!$E$5,(+IF($N157=[1]CURSOS!$D$6,[1]CURSOS!$E$6,(+IF($N157=[1]CURSOS!$D$7,[1]CURSOS!$E$7,(+IF($N157=[1]CURSOS!$D$8,[1]CURSOS!$E$8,(+IF($N157=[1]CURSOS!$D$9,[1]CURSOS!$E$9,(+IF($N157=[1]CURSOS!$D$10,[1]CURSOS!$E$10,(+IF($N157=[1]CURSOS!$D$11,[1]CURSOS!$E$11,(+IF($N157=[1]CURSOS!$D$12,[1]CURSOS!$E$12,(+IF($N157=[1]CURSOS!$D$13,[1]CURSOS!$E$13,(+IF($N157=[1]CURSOS!$D$14,[1]CURSOS!$E$14,(+IF($N157=[1]CURSOS!$D$15,[1]CURSOS!$E$15,(+IF($N157=[1]CURSOS!$D$16,[1]CURSOS!$E$16,(+IF($N157=[1]CURSOS!$D$17,[1]CURSOS!$E$17,(+IF($N157=[1]CURSOS!$D$18,[1]CURSOS!$E$18,(+IF($N157=[1]CURSOS!$D$19,[1]CURSOS!$E$19,(+IF($N157=[1]CURSOS!$D$20,[1]CURSOS!$E$20,(+IF($N157=[1]CURSOS!$D$21,[1]CURSOS!$E$21,(+IF($N157=[1]CURSOS!$D$22,[1]CURSOS!$E$22,(+IF($N157=[1]CURSOS!$D$23,[1]CURSOS!$E$23,(+IF($N157=[1]CURSOS!$D$24,[1]CURSOS!$E$24,(+IF($N157=[1]CURSOS!$D$25,[1]CURSOS!$E$25,(+IF($N157=[1]CURSOS!$D$26,[1]CURSOS!$E$26,(+IF($N157=[1]CURSOS!$D$27,[1]CURSOS!$E$27,(+IF($N157=[1]CURSOS!$D$28,[1]CURSOS!$E$28,(+IF($N157=[1]CURSOS!$D$29,[1]CURSOS!$E$29,(+IF($N157=[1]CURSOS!$D$30,[1]CURSOS!$E$30,(+IF($N157=[1]CURSOS!$D$31,[1]CURSOS!$E$31,(+IF($N157=[1]CURSOS!$D$32,[1]CURSOS!$E$32)))))))))))))))))))))))))))))))))))))))))))))))))))))))))))</f>
        <v>SOPORTE VITAL BASICO (BLS)</v>
      </c>
      <c r="U157" s="51" t="str">
        <f t="shared" ref="U157:U161" si="84">CONCATENATE(E157," ",F157," ",C157," ",D157)</f>
        <v>Bibiana Margey Bacca Córdoba</v>
      </c>
      <c r="V157" s="51" t="str">
        <f t="shared" ref="V157:V161" si="85">+PROPER(U157)</f>
        <v>Bibiana Margey Bacca Córdoba</v>
      </c>
      <c r="W157" s="51" t="str">
        <f t="shared" ref="W157:W161" si="86">CONCATENATE(U157,"-",B157,"-",N157)</f>
        <v>Bibiana Margey Bacca Córdoba-1088736125-BLS</v>
      </c>
    </row>
    <row r="158" spans="1:23" s="73" customFormat="1" x14ac:dyDescent="0.2">
      <c r="A158" s="20">
        <v>157</v>
      </c>
      <c r="B158" s="20">
        <v>1088736125</v>
      </c>
      <c r="C158" s="20" t="s">
        <v>441</v>
      </c>
      <c r="D158" s="20" t="s">
        <v>442</v>
      </c>
      <c r="E158" s="20" t="s">
        <v>443</v>
      </c>
      <c r="F158" s="20" t="s">
        <v>444</v>
      </c>
      <c r="G158" s="19">
        <v>15</v>
      </c>
      <c r="H158" s="19" t="s">
        <v>99</v>
      </c>
      <c r="I158" s="25">
        <v>45399</v>
      </c>
      <c r="J158" s="88">
        <v>30000</v>
      </c>
      <c r="K158" s="116" t="s">
        <v>79</v>
      </c>
      <c r="L158" s="19" t="s">
        <v>322</v>
      </c>
      <c r="M158" s="19" t="s">
        <v>197</v>
      </c>
      <c r="N158" s="21" t="s">
        <v>46</v>
      </c>
      <c r="O158" s="72">
        <v>34261</v>
      </c>
      <c r="P158" s="20" t="s">
        <v>78</v>
      </c>
      <c r="Q158" s="32" t="s">
        <v>160</v>
      </c>
      <c r="R158" s="20">
        <v>3207930053</v>
      </c>
      <c r="S158" s="20" t="s">
        <v>445</v>
      </c>
      <c r="T158" s="51" t="str">
        <f>+IF($N158=[1]CURSOS!$D$3,[1]CURSOS!$E$3,(+IF($N158=[1]CURSOS!$D$4,[1]CURSOS!$E$4,(+IF($N158=[1]CURSOS!$D$5,[1]CURSOS!$E$5,(+IF($N158=[1]CURSOS!$D$6,[1]CURSOS!$E$6,(+IF($N158=[1]CURSOS!$D$7,[1]CURSOS!$E$7,(+IF($N158=[1]CURSOS!$D$8,[1]CURSOS!$E$8,(+IF($N158=[1]CURSOS!$D$9,[1]CURSOS!$E$9,(+IF($N158=[1]CURSOS!$D$10,[1]CURSOS!$E$10,(+IF($N158=[1]CURSOS!$D$11,[1]CURSOS!$E$11,(+IF($N158=[1]CURSOS!$D$12,[1]CURSOS!$E$12,(+IF($N158=[1]CURSOS!$D$13,[1]CURSOS!$E$13,(+IF($N158=[1]CURSOS!$D$14,[1]CURSOS!$E$14,(+IF($N158=[1]CURSOS!$D$15,[1]CURSOS!$E$15,(+IF($N158=[1]CURSOS!$D$16,[1]CURSOS!$E$16,(+IF($N158=[1]CURSOS!$D$17,[1]CURSOS!$E$17,(+IF($N158=[1]CURSOS!$D$18,[1]CURSOS!$E$18,(+IF($N158=[1]CURSOS!$D$19,[1]CURSOS!$E$19,(+IF($N158=[1]CURSOS!$D$20,[1]CURSOS!$E$20,(+IF($N158=[1]CURSOS!$D$21,[1]CURSOS!$E$21,(+IF($N158=[1]CURSOS!$D$22,[1]CURSOS!$E$22,(+IF($N158=[1]CURSOS!$D$23,[1]CURSOS!$E$23,(+IF($N158=[1]CURSOS!$D$24,[1]CURSOS!$E$24,(+IF($N158=[1]CURSOS!$D$25,[1]CURSOS!$E$25,(+IF($N158=[1]CURSOS!$D$26,[1]CURSOS!$E$26,(+IF($N158=[1]CURSOS!$D$27,[1]CURSOS!$E$27,(+IF($N158=[1]CURSOS!$D$28,[1]CURSOS!$E$28,(+IF($N158=[1]CURSOS!$D$29,[1]CURSOS!$E$29,(+IF($N158=[1]CURSOS!$D$30,[1]CURSOS!$E$30,(+IF($N158=[1]CURSOS!$D$31,[1]CURSOS!$E$31,(+IF($N158=[1]CURSOS!$D$32,[1]CURSOS!$E$32)))))))))))))))))))))))))))))))))))))))))))))))))))))))))))</f>
        <v xml:space="preserve">ATENCION A VICTIMAS DE VIOLENCIA SEXUAL </v>
      </c>
      <c r="U158" s="51" t="str">
        <f t="shared" si="84"/>
        <v>Bibiana Margey Bacca Córdoba</v>
      </c>
      <c r="V158" s="51" t="str">
        <f t="shared" si="85"/>
        <v>Bibiana Margey Bacca Córdoba</v>
      </c>
      <c r="W158" s="51" t="str">
        <f t="shared" si="86"/>
        <v>Bibiana Margey Bacca Córdoba-1088736125-VIOLENCIA SEXUAL</v>
      </c>
    </row>
    <row r="159" spans="1:23" s="73" customFormat="1" x14ac:dyDescent="0.2">
      <c r="A159" s="20">
        <v>158</v>
      </c>
      <c r="B159" s="20">
        <v>1088736125</v>
      </c>
      <c r="C159" s="20" t="s">
        <v>441</v>
      </c>
      <c r="D159" s="20" t="s">
        <v>442</v>
      </c>
      <c r="E159" s="20" t="s">
        <v>443</v>
      </c>
      <c r="F159" s="20" t="s">
        <v>444</v>
      </c>
      <c r="G159" s="19">
        <v>16</v>
      </c>
      <c r="H159" s="19" t="s">
        <v>99</v>
      </c>
      <c r="I159" s="25">
        <v>45399</v>
      </c>
      <c r="J159" s="88">
        <v>30000</v>
      </c>
      <c r="K159" s="116" t="s">
        <v>79</v>
      </c>
      <c r="L159" s="19" t="s">
        <v>322</v>
      </c>
      <c r="M159" s="19" t="s">
        <v>197</v>
      </c>
      <c r="N159" s="21" t="s">
        <v>25</v>
      </c>
      <c r="O159" s="72">
        <v>34261</v>
      </c>
      <c r="P159" s="20" t="s">
        <v>78</v>
      </c>
      <c r="Q159" s="32" t="s">
        <v>160</v>
      </c>
      <c r="R159" s="20">
        <v>3207930053</v>
      </c>
      <c r="S159" s="20" t="s">
        <v>445</v>
      </c>
      <c r="T159" s="51" t="str">
        <f>+IF($N159=[1]CURSOS!$D$3,[1]CURSOS!$E$3,(+IF($N159=[1]CURSOS!$D$4,[1]CURSOS!$E$4,(+IF($N159=[1]CURSOS!$D$5,[1]CURSOS!$E$5,(+IF($N159=[1]CURSOS!$D$6,[1]CURSOS!$E$6,(+IF($N159=[1]CURSOS!$D$7,[1]CURSOS!$E$7,(+IF($N159=[1]CURSOS!$D$8,[1]CURSOS!$E$8,(+IF($N159=[1]CURSOS!$D$9,[1]CURSOS!$E$9,(+IF($N159=[1]CURSOS!$D$10,[1]CURSOS!$E$10,(+IF($N159=[1]CURSOS!$D$11,[1]CURSOS!$E$11,(+IF($N159=[1]CURSOS!$D$12,[1]CURSOS!$E$12,(+IF($N159=[1]CURSOS!$D$13,[1]CURSOS!$E$13,(+IF($N159=[1]CURSOS!$D$14,[1]CURSOS!$E$14,(+IF($N159=[1]CURSOS!$D$15,[1]CURSOS!$E$15,(+IF($N159=[1]CURSOS!$D$16,[1]CURSOS!$E$16,(+IF($N159=[1]CURSOS!$D$17,[1]CURSOS!$E$17,(+IF($N159=[1]CURSOS!$D$18,[1]CURSOS!$E$18,(+IF($N159=[1]CURSOS!$D$19,[1]CURSOS!$E$19,(+IF($N159=[1]CURSOS!$D$20,[1]CURSOS!$E$20,(+IF($N159=[1]CURSOS!$D$21,[1]CURSOS!$E$21,(+IF($N159=[1]CURSOS!$D$22,[1]CURSOS!$E$22,(+IF($N159=[1]CURSOS!$D$23,[1]CURSOS!$E$23,(+IF($N159=[1]CURSOS!$D$24,[1]CURSOS!$E$24,(+IF($N159=[1]CURSOS!$D$25,[1]CURSOS!$E$25,(+IF($N159=[1]CURSOS!$D$26,[1]CURSOS!$E$26,(+IF($N159=[1]CURSOS!$D$27,[1]CURSOS!$E$27,(+IF($N159=[1]CURSOS!$D$28,[1]CURSOS!$E$28,(+IF($N159=[1]CURSOS!$D$29,[1]CURSOS!$E$29,(+IF($N159=[1]CURSOS!$D$30,[1]CURSOS!$E$30,(+IF($N159=[1]CURSOS!$D$31,[1]CURSOS!$E$31,(+IF($N159=[1]CURSOS!$D$32,[1]CURSOS!$E$32)))))))))))))))))))))))))))))))))))))))))))))))))))))))))))</f>
        <v xml:space="preserve">ATENCION A VICTIMAS DE ATAQUE CON AGENTES QUIMICOS </v>
      </c>
      <c r="U159" s="51" t="str">
        <f t="shared" si="84"/>
        <v>Bibiana Margey Bacca Córdoba</v>
      </c>
      <c r="V159" s="51" t="str">
        <f t="shared" si="85"/>
        <v>Bibiana Margey Bacca Córdoba</v>
      </c>
      <c r="W159" s="51" t="str">
        <f t="shared" si="86"/>
        <v>Bibiana Margey Bacca Córdoba-1088736125-QUIMICOS</v>
      </c>
    </row>
    <row r="160" spans="1:23" s="73" customFormat="1" x14ac:dyDescent="0.2">
      <c r="A160" s="20">
        <v>159</v>
      </c>
      <c r="B160" s="20">
        <v>1088736125</v>
      </c>
      <c r="C160" s="20" t="s">
        <v>441</v>
      </c>
      <c r="D160" s="20" t="s">
        <v>442</v>
      </c>
      <c r="E160" s="20" t="s">
        <v>443</v>
      </c>
      <c r="F160" s="20" t="s">
        <v>444</v>
      </c>
      <c r="G160" s="19">
        <v>15</v>
      </c>
      <c r="H160" s="19" t="s">
        <v>99</v>
      </c>
      <c r="I160" s="25">
        <v>45399</v>
      </c>
      <c r="J160" s="88">
        <v>30000</v>
      </c>
      <c r="K160" s="116" t="s">
        <v>79</v>
      </c>
      <c r="L160" s="19" t="s">
        <v>322</v>
      </c>
      <c r="M160" s="19" t="s">
        <v>197</v>
      </c>
      <c r="N160" s="21" t="s">
        <v>23</v>
      </c>
      <c r="O160" s="72">
        <v>34261</v>
      </c>
      <c r="P160" s="20" t="s">
        <v>78</v>
      </c>
      <c r="Q160" s="32" t="s">
        <v>160</v>
      </c>
      <c r="R160" s="20">
        <v>3207930053</v>
      </c>
      <c r="S160" s="20" t="s">
        <v>445</v>
      </c>
      <c r="T160" s="51" t="str">
        <f>+IF($N160=[1]CURSOS!$D$3,[1]CURSOS!$E$3,(+IF($N160=[1]CURSOS!$D$4,[1]CURSOS!$E$4,(+IF($N160=[1]CURSOS!$D$5,[1]CURSOS!$E$5,(+IF($N160=[1]CURSOS!$D$6,[1]CURSOS!$E$6,(+IF($N160=[1]CURSOS!$D$7,[1]CURSOS!$E$7,(+IF($N160=[1]CURSOS!$D$8,[1]CURSOS!$E$8,(+IF($N160=[1]CURSOS!$D$9,[1]CURSOS!$E$9,(+IF($N160=[1]CURSOS!$D$10,[1]CURSOS!$E$10,(+IF($N160=[1]CURSOS!$D$11,[1]CURSOS!$E$11,(+IF($N160=[1]CURSOS!$D$12,[1]CURSOS!$E$12,(+IF($N160=[1]CURSOS!$D$13,[1]CURSOS!$E$13,(+IF($N160=[1]CURSOS!$D$14,[1]CURSOS!$E$14,(+IF($N160=[1]CURSOS!$D$15,[1]CURSOS!$E$15,(+IF($N160=[1]CURSOS!$D$16,[1]CURSOS!$E$16,(+IF($N160=[1]CURSOS!$D$17,[1]CURSOS!$E$17,(+IF($N160=[1]CURSOS!$D$18,[1]CURSOS!$E$18,(+IF($N160=[1]CURSOS!$D$19,[1]CURSOS!$E$19,(+IF($N160=[1]CURSOS!$D$20,[1]CURSOS!$E$20,(+IF($N160=[1]CURSOS!$D$21,[1]CURSOS!$E$21,(+IF($N160=[1]CURSOS!$D$22,[1]CURSOS!$E$22,(+IF($N160=[1]CURSOS!$D$23,[1]CURSOS!$E$23,(+IF($N160=[1]CURSOS!$D$24,[1]CURSOS!$E$24,(+IF($N160=[1]CURSOS!$D$25,[1]CURSOS!$E$25,(+IF($N160=[1]CURSOS!$D$26,[1]CURSOS!$E$26,(+IF($N160=[1]CURSOS!$D$27,[1]CURSOS!$E$27,(+IF($N160=[1]CURSOS!$D$28,[1]CURSOS!$E$28,(+IF($N160=[1]CURSOS!$D$29,[1]CURSOS!$E$29,(+IF($N160=[1]CURSOS!$D$30,[1]CURSOS!$E$30,(+IF($N160=[1]CURSOS!$D$31,[1]CURSOS!$E$31,(+IF($N160=[1]CURSOS!$D$32,[1]CURSOS!$E$32)))))))))))))))))))))))))))))))))))))))))))))))))))))))))))</f>
        <v>ACOMPAÑAMIENTO Y MANEJO DEL DUELO</v>
      </c>
      <c r="U160" s="51" t="str">
        <f t="shared" si="84"/>
        <v>Bibiana Margey Bacca Córdoba</v>
      </c>
      <c r="V160" s="51" t="str">
        <f t="shared" si="85"/>
        <v>Bibiana Margey Bacca Córdoba</v>
      </c>
      <c r="W160" s="51" t="str">
        <f t="shared" si="86"/>
        <v>Bibiana Margey Bacca Córdoba-1088736125-DUELO</v>
      </c>
    </row>
    <row r="161" spans="1:23" s="73" customFormat="1" x14ac:dyDescent="0.2">
      <c r="A161" s="20">
        <v>160</v>
      </c>
      <c r="B161" s="20">
        <v>1088736125</v>
      </c>
      <c r="C161" s="20" t="s">
        <v>441</v>
      </c>
      <c r="D161" s="20" t="s">
        <v>442</v>
      </c>
      <c r="E161" s="20" t="s">
        <v>443</v>
      </c>
      <c r="F161" s="20" t="s">
        <v>444</v>
      </c>
      <c r="G161" s="19">
        <v>16</v>
      </c>
      <c r="H161" s="19" t="s">
        <v>99</v>
      </c>
      <c r="I161" s="25">
        <v>45399</v>
      </c>
      <c r="J161" s="88">
        <v>30000</v>
      </c>
      <c r="K161" s="116" t="s">
        <v>79</v>
      </c>
      <c r="L161" s="19" t="s">
        <v>322</v>
      </c>
      <c r="M161" s="19" t="s">
        <v>197</v>
      </c>
      <c r="N161" s="21" t="s">
        <v>33</v>
      </c>
      <c r="O161" s="72">
        <v>34261</v>
      </c>
      <c r="P161" s="20" t="s">
        <v>78</v>
      </c>
      <c r="Q161" s="32" t="s">
        <v>160</v>
      </c>
      <c r="R161" s="20">
        <v>3207930053</v>
      </c>
      <c r="S161" s="20" t="s">
        <v>445</v>
      </c>
      <c r="T161" s="51" t="str">
        <f>+IF($N161=[1]CURSOS!$D$3,[1]CURSOS!$E$3,(+IF($N161=[1]CURSOS!$D$4,[1]CURSOS!$E$4,(+IF($N161=[1]CURSOS!$D$5,[1]CURSOS!$E$5,(+IF($N161=[1]CURSOS!$D$6,[1]CURSOS!$E$6,(+IF($N161=[1]CURSOS!$D$7,[1]CURSOS!$E$7,(+IF($N161=[1]CURSOS!$D$8,[1]CURSOS!$E$8,(+IF($N161=[1]CURSOS!$D$9,[1]CURSOS!$E$9,(+IF($N161=[1]CURSOS!$D$10,[1]CURSOS!$E$10,(+IF($N161=[1]CURSOS!$D$11,[1]CURSOS!$E$11,(+IF($N161=[1]CURSOS!$D$12,[1]CURSOS!$E$12,(+IF($N161=[1]CURSOS!$D$13,[1]CURSOS!$E$13,(+IF($N161=[1]CURSOS!$D$14,[1]CURSOS!$E$14,(+IF($N161=[1]CURSOS!$D$15,[1]CURSOS!$E$15,(+IF($N161=[1]CURSOS!$D$16,[1]CURSOS!$E$16,(+IF($N161=[1]CURSOS!$D$17,[1]CURSOS!$E$17,(+IF($N161=[1]CURSOS!$D$18,[1]CURSOS!$E$18,(+IF($N161=[1]CURSOS!$D$19,[1]CURSOS!$E$19,(+IF($N161=[1]CURSOS!$D$20,[1]CURSOS!$E$20,(+IF($N161=[1]CURSOS!$D$21,[1]CURSOS!$E$21,(+IF($N161=[1]CURSOS!$D$22,[1]CURSOS!$E$22,(+IF($N161=[1]CURSOS!$D$23,[1]CURSOS!$E$23,(+IF($N161=[1]CURSOS!$D$24,[1]CURSOS!$E$24,(+IF($N161=[1]CURSOS!$D$25,[1]CURSOS!$E$25,(+IF($N161=[1]CURSOS!$D$26,[1]CURSOS!$E$26,(+IF($N161=[1]CURSOS!$D$27,[1]CURSOS!$E$27,(+IF($N161=[1]CURSOS!$D$28,[1]CURSOS!$E$28,(+IF($N161=[1]CURSOS!$D$29,[1]CURSOS!$E$29,(+IF($N161=[1]CURSOS!$D$30,[1]CURSOS!$E$30,(+IF($N161=[1]CURSOS!$D$31,[1]CURSOS!$E$31,(+IF($N161=[1]CURSOS!$D$32,[1]CURSOS!$E$32)))))))))))))))))))))))))))))))))))))))))))))))))))))))))))</f>
        <v xml:space="preserve">HUMANIZACION EN SALUD, BUENAS PRACTICAS EN PACIENTE </v>
      </c>
      <c r="U161" s="51" t="str">
        <f t="shared" si="84"/>
        <v>Bibiana Margey Bacca Córdoba</v>
      </c>
      <c r="V161" s="51" t="str">
        <f t="shared" si="85"/>
        <v>Bibiana Margey Bacca Córdoba</v>
      </c>
      <c r="W161" s="51" t="str">
        <f t="shared" si="86"/>
        <v>Bibiana Margey Bacca Córdoba-1088736125-HUMANIZACION</v>
      </c>
    </row>
    <row r="162" spans="1:23" s="73" customFormat="1" x14ac:dyDescent="0.2">
      <c r="A162" s="20">
        <v>161</v>
      </c>
      <c r="B162" s="20">
        <v>52702928</v>
      </c>
      <c r="C162" s="20" t="s">
        <v>446</v>
      </c>
      <c r="D162" s="20" t="s">
        <v>183</v>
      </c>
      <c r="E162" s="20" t="s">
        <v>388</v>
      </c>
      <c r="F162" s="20"/>
      <c r="G162" s="19">
        <v>16</v>
      </c>
      <c r="H162" s="19" t="s">
        <v>99</v>
      </c>
      <c r="I162" s="25">
        <v>45398</v>
      </c>
      <c r="J162" s="88">
        <v>35000</v>
      </c>
      <c r="K162" s="116" t="s">
        <v>79</v>
      </c>
      <c r="L162" s="19" t="s">
        <v>322</v>
      </c>
      <c r="M162" s="19" t="s">
        <v>77</v>
      </c>
      <c r="N162" s="21" t="s">
        <v>23</v>
      </c>
      <c r="O162" s="72">
        <v>28936</v>
      </c>
      <c r="P162" s="20" t="s">
        <v>78</v>
      </c>
      <c r="Q162" s="20" t="s">
        <v>448</v>
      </c>
      <c r="R162" s="20">
        <v>3206878157</v>
      </c>
      <c r="S162" s="20" t="s">
        <v>447</v>
      </c>
      <c r="T162" s="51" t="str">
        <f>+IF($N162=[1]CURSOS!$D$3,[1]CURSOS!$E$3,(+IF($N162=[1]CURSOS!$D$4,[1]CURSOS!$E$4,(+IF($N162=[1]CURSOS!$D$5,[1]CURSOS!$E$5,(+IF($N162=[1]CURSOS!$D$6,[1]CURSOS!$E$6,(+IF($N162=[1]CURSOS!$D$7,[1]CURSOS!$E$7,(+IF($N162=[1]CURSOS!$D$8,[1]CURSOS!$E$8,(+IF($N162=[1]CURSOS!$D$9,[1]CURSOS!$E$9,(+IF($N162=[1]CURSOS!$D$10,[1]CURSOS!$E$10,(+IF($N162=[1]CURSOS!$D$11,[1]CURSOS!$E$11,(+IF($N162=[1]CURSOS!$D$12,[1]CURSOS!$E$12,(+IF($N162=[1]CURSOS!$D$13,[1]CURSOS!$E$13,(+IF($N162=[1]CURSOS!$D$14,[1]CURSOS!$E$14,(+IF($N162=[1]CURSOS!$D$15,[1]CURSOS!$E$15,(+IF($N162=[1]CURSOS!$D$16,[1]CURSOS!$E$16,(+IF($N162=[1]CURSOS!$D$17,[1]CURSOS!$E$17,(+IF($N162=[1]CURSOS!$D$18,[1]CURSOS!$E$18,(+IF($N162=[1]CURSOS!$D$19,[1]CURSOS!$E$19,(+IF($N162=[1]CURSOS!$D$20,[1]CURSOS!$E$20,(+IF($N162=[1]CURSOS!$D$21,[1]CURSOS!$E$21,(+IF($N162=[1]CURSOS!$D$22,[1]CURSOS!$E$22,(+IF($N162=[1]CURSOS!$D$23,[1]CURSOS!$E$23,(+IF($N162=[1]CURSOS!$D$24,[1]CURSOS!$E$24,(+IF($N162=[1]CURSOS!$D$25,[1]CURSOS!$E$25,(+IF($N162=[1]CURSOS!$D$26,[1]CURSOS!$E$26,(+IF($N162=[1]CURSOS!$D$27,[1]CURSOS!$E$27,(+IF($N162=[1]CURSOS!$D$28,[1]CURSOS!$E$28,(+IF($N162=[1]CURSOS!$D$29,[1]CURSOS!$E$29,(+IF($N162=[1]CURSOS!$D$30,[1]CURSOS!$E$30,(+IF($N162=[1]CURSOS!$D$31,[1]CURSOS!$E$31,(+IF($N162=[1]CURSOS!$D$32,[1]CURSOS!$E$32)))))))))))))))))))))))))))))))))))))))))))))))))))))))))))</f>
        <v>ACOMPAÑAMIENTO Y MANEJO DEL DUELO</v>
      </c>
      <c r="U162" s="51" t="str">
        <f t="shared" ref="U162:U165" si="87">CONCATENATE(E162," ",F162," ",C162," ",D162)</f>
        <v>Mercedes  Solarte  Palacios</v>
      </c>
      <c r="V162" s="51" t="str">
        <f t="shared" ref="V162:V165" si="88">+PROPER(U162)</f>
        <v>Mercedes  Solarte  Palacios</v>
      </c>
      <c r="W162" s="51" t="str">
        <f t="shared" ref="W162:W165" si="89">CONCATENATE(U162,"-",B162,"-",N162)</f>
        <v>Mercedes  Solarte  Palacios-52702928-DUELO</v>
      </c>
    </row>
    <row r="163" spans="1:23" s="73" customFormat="1" x14ac:dyDescent="0.2">
      <c r="A163" s="20">
        <v>162</v>
      </c>
      <c r="B163" s="20">
        <v>52702928</v>
      </c>
      <c r="C163" s="20" t="s">
        <v>446</v>
      </c>
      <c r="D163" s="20" t="s">
        <v>183</v>
      </c>
      <c r="E163" s="20" t="s">
        <v>388</v>
      </c>
      <c r="F163" s="20"/>
      <c r="G163" s="19">
        <v>16</v>
      </c>
      <c r="H163" s="19" t="s">
        <v>99</v>
      </c>
      <c r="I163" s="25">
        <v>45398</v>
      </c>
      <c r="J163" s="88">
        <v>35000</v>
      </c>
      <c r="K163" s="116" t="s">
        <v>79</v>
      </c>
      <c r="L163" s="19" t="s">
        <v>322</v>
      </c>
      <c r="M163" s="19" t="s">
        <v>77</v>
      </c>
      <c r="N163" s="21" t="s">
        <v>66</v>
      </c>
      <c r="O163" s="72">
        <v>28936</v>
      </c>
      <c r="P163" s="20" t="s">
        <v>78</v>
      </c>
      <c r="Q163" s="20" t="s">
        <v>448</v>
      </c>
      <c r="R163" s="20">
        <v>3206878157</v>
      </c>
      <c r="S163" s="20" t="s">
        <v>447</v>
      </c>
      <c r="T163" s="51" t="str">
        <f>+IF($N163=[1]CURSOS!$D$3,[1]CURSOS!$E$3,(+IF($N163=[1]CURSOS!$D$4,[1]CURSOS!$E$4,(+IF($N163=[1]CURSOS!$D$5,[1]CURSOS!$E$5,(+IF($N163=[1]CURSOS!$D$6,[1]CURSOS!$E$6,(+IF($N163=[1]CURSOS!$D$7,[1]CURSOS!$E$7,(+IF($N163=[1]CURSOS!$D$8,[1]CURSOS!$E$8,(+IF($N163=[1]CURSOS!$D$9,[1]CURSOS!$E$9,(+IF($N163=[1]CURSOS!$D$10,[1]CURSOS!$E$10,(+IF($N163=[1]CURSOS!$D$11,[1]CURSOS!$E$11,(+IF($N163=[1]CURSOS!$D$12,[1]CURSOS!$E$12,(+IF($N163=[1]CURSOS!$D$13,[1]CURSOS!$E$13,(+IF($N163=[1]CURSOS!$D$14,[1]CURSOS!$E$14,(+IF($N163=[1]CURSOS!$D$15,[1]CURSOS!$E$15,(+IF($N163=[1]CURSOS!$D$16,[1]CURSOS!$E$16,(+IF($N163=[1]CURSOS!$D$17,[1]CURSOS!$E$17,(+IF($N163=[1]CURSOS!$D$18,[1]CURSOS!$E$18,(+IF($N163=[1]CURSOS!$D$19,[1]CURSOS!$E$19,(+IF($N163=[1]CURSOS!$D$20,[1]CURSOS!$E$20,(+IF($N163=[1]CURSOS!$D$21,[1]CURSOS!$E$21,(+IF($N163=[1]CURSOS!$D$22,[1]CURSOS!$E$22,(+IF($N163=[1]CURSOS!$D$23,[1]CURSOS!$E$23,(+IF($N163=[1]CURSOS!$D$24,[1]CURSOS!$E$24,(+IF($N163=[1]CURSOS!$D$25,[1]CURSOS!$E$25,(+IF($N163=[1]CURSOS!$D$26,[1]CURSOS!$E$26,(+IF($N163=[1]CURSOS!$D$27,[1]CURSOS!$E$27,(+IF($N163=[1]CURSOS!$D$28,[1]CURSOS!$E$28,(+IF($N163=[1]CURSOS!$D$29,[1]CURSOS!$E$29,(+IF($N163=[1]CURSOS!$D$30,[1]CURSOS!$E$30,(+IF($N163=[1]CURSOS!$D$31,[1]CURSOS!$E$31,(+IF($N163=[1]CURSOS!$D$32,[1]CURSOS!$E$32)))))))))))))))))))))))))))))))))))))))))))))))))))))))))))</f>
        <v>MANEJO DEL DOLOR Y CUIDADOS PALIATIVOS</v>
      </c>
      <c r="U163" s="51" t="str">
        <f t="shared" si="87"/>
        <v>Mercedes  Solarte  Palacios</v>
      </c>
      <c r="V163" s="51" t="str">
        <f t="shared" si="88"/>
        <v>Mercedes  Solarte  Palacios</v>
      </c>
      <c r="W163" s="51" t="str">
        <f t="shared" si="89"/>
        <v>Mercedes  Solarte  Palacios-52702928-PALIATIVOS</v>
      </c>
    </row>
    <row r="164" spans="1:23" s="73" customFormat="1" x14ac:dyDescent="0.2">
      <c r="A164" s="20">
        <v>163</v>
      </c>
      <c r="B164" s="20">
        <v>30729536</v>
      </c>
      <c r="C164" s="20" t="s">
        <v>449</v>
      </c>
      <c r="D164" s="20"/>
      <c r="E164" s="20" t="s">
        <v>267</v>
      </c>
      <c r="F164" s="20" t="s">
        <v>450</v>
      </c>
      <c r="G164" s="19">
        <v>16</v>
      </c>
      <c r="H164" s="19" t="s">
        <v>99</v>
      </c>
      <c r="I164" s="25">
        <v>45399</v>
      </c>
      <c r="J164" s="98">
        <v>32000</v>
      </c>
      <c r="K164" s="116" t="s">
        <v>82</v>
      </c>
      <c r="L164" s="19" t="s">
        <v>322</v>
      </c>
      <c r="M164" s="19" t="s">
        <v>512</v>
      </c>
      <c r="N164" s="21" t="s">
        <v>19</v>
      </c>
      <c r="O164" s="72"/>
      <c r="P164" s="20" t="s">
        <v>78</v>
      </c>
      <c r="Q164" s="20"/>
      <c r="R164" s="20"/>
      <c r="S164" s="20" t="s">
        <v>467</v>
      </c>
      <c r="T164" s="51" t="str">
        <f>+IF($N164=[1]CURSOS!$D$3,[1]CURSOS!$E$3,(+IF($N164=[1]CURSOS!$D$4,[1]CURSOS!$E$4,(+IF($N164=[1]CURSOS!$D$5,[1]CURSOS!$E$5,(+IF($N164=[1]CURSOS!$D$6,[1]CURSOS!$E$6,(+IF($N164=[1]CURSOS!$D$7,[1]CURSOS!$E$7,(+IF($N164=[1]CURSOS!$D$8,[1]CURSOS!$E$8,(+IF($N164=[1]CURSOS!$D$9,[1]CURSOS!$E$9,(+IF($N164=[1]CURSOS!$D$10,[1]CURSOS!$E$10,(+IF($N164=[1]CURSOS!$D$11,[1]CURSOS!$E$11,(+IF($N164=[1]CURSOS!$D$12,[1]CURSOS!$E$12,(+IF($N164=[1]CURSOS!$D$13,[1]CURSOS!$E$13,(+IF($N164=[1]CURSOS!$D$14,[1]CURSOS!$E$14,(+IF($N164=[1]CURSOS!$D$15,[1]CURSOS!$E$15,(+IF($N164=[1]CURSOS!$D$16,[1]CURSOS!$E$16,(+IF($N164=[1]CURSOS!$D$17,[1]CURSOS!$E$17,(+IF($N164=[1]CURSOS!$D$18,[1]CURSOS!$E$18,(+IF($N164=[1]CURSOS!$D$19,[1]CURSOS!$E$19,(+IF($N164=[1]CURSOS!$D$20,[1]CURSOS!$E$20,(+IF($N164=[1]CURSOS!$D$21,[1]CURSOS!$E$21,(+IF($N164=[1]CURSOS!$D$22,[1]CURSOS!$E$22,(+IF($N164=[1]CURSOS!$D$23,[1]CURSOS!$E$23,(+IF($N164=[1]CURSOS!$D$24,[1]CURSOS!$E$24,(+IF($N164=[1]CURSOS!$D$25,[1]CURSOS!$E$25,(+IF($N164=[1]CURSOS!$D$26,[1]CURSOS!$E$26,(+IF($N164=[1]CURSOS!$D$27,[1]CURSOS!$E$27,(+IF($N164=[1]CURSOS!$D$28,[1]CURSOS!$E$28,(+IF($N164=[1]CURSOS!$D$29,[1]CURSOS!$E$29,(+IF($N164=[1]CURSOS!$D$30,[1]CURSOS!$E$30,(+IF($N164=[1]CURSOS!$D$31,[1]CURSOS!$E$31,(+IF($N164=[1]CURSOS!$D$32,[1]CURSOS!$E$32)))))))))))))))))))))))))))))))))))))))))))))))))))))))))))</f>
        <v>SOPORTE VITAL BASICO (BLS)</v>
      </c>
      <c r="U164" s="51" t="str">
        <f t="shared" si="87"/>
        <v xml:space="preserve">Maria Marlene Fuelantala </v>
      </c>
      <c r="V164" s="51" t="str">
        <f t="shared" si="88"/>
        <v xml:space="preserve">Maria Marlene Fuelantala </v>
      </c>
      <c r="W164" s="51" t="str">
        <f t="shared" si="89"/>
        <v>Maria Marlene Fuelantala -30729536-BLS</v>
      </c>
    </row>
    <row r="165" spans="1:23" s="73" customFormat="1" x14ac:dyDescent="0.2">
      <c r="A165" s="20">
        <v>164</v>
      </c>
      <c r="B165" s="20">
        <v>37083355</v>
      </c>
      <c r="C165" s="20" t="s">
        <v>231</v>
      </c>
      <c r="D165" s="20" t="s">
        <v>262</v>
      </c>
      <c r="E165" s="20" t="s">
        <v>415</v>
      </c>
      <c r="F165" s="20" t="s">
        <v>194</v>
      </c>
      <c r="G165" s="19">
        <v>17</v>
      </c>
      <c r="H165" s="19" t="s">
        <v>99</v>
      </c>
      <c r="I165" s="25">
        <v>45399</v>
      </c>
      <c r="J165" s="98">
        <v>20000</v>
      </c>
      <c r="K165" s="116" t="s">
        <v>82</v>
      </c>
      <c r="L165" s="19" t="s">
        <v>322</v>
      </c>
      <c r="M165" s="19" t="s">
        <v>512</v>
      </c>
      <c r="N165" s="21" t="s">
        <v>19</v>
      </c>
      <c r="O165" s="72"/>
      <c r="P165" s="20" t="s">
        <v>78</v>
      </c>
      <c r="Q165" s="20"/>
      <c r="R165" s="20">
        <v>3165351237</v>
      </c>
      <c r="S165" s="20" t="s">
        <v>466</v>
      </c>
      <c r="T165" s="51" t="str">
        <f>+IF($N165=[1]CURSOS!$D$3,[1]CURSOS!$E$3,(+IF($N165=[1]CURSOS!$D$4,[1]CURSOS!$E$4,(+IF($N165=[1]CURSOS!$D$5,[1]CURSOS!$E$5,(+IF($N165=[1]CURSOS!$D$6,[1]CURSOS!$E$6,(+IF($N165=[1]CURSOS!$D$7,[1]CURSOS!$E$7,(+IF($N165=[1]CURSOS!$D$8,[1]CURSOS!$E$8,(+IF($N165=[1]CURSOS!$D$9,[1]CURSOS!$E$9,(+IF($N165=[1]CURSOS!$D$10,[1]CURSOS!$E$10,(+IF($N165=[1]CURSOS!$D$11,[1]CURSOS!$E$11,(+IF($N165=[1]CURSOS!$D$12,[1]CURSOS!$E$12,(+IF($N165=[1]CURSOS!$D$13,[1]CURSOS!$E$13,(+IF($N165=[1]CURSOS!$D$14,[1]CURSOS!$E$14,(+IF($N165=[1]CURSOS!$D$15,[1]CURSOS!$E$15,(+IF($N165=[1]CURSOS!$D$16,[1]CURSOS!$E$16,(+IF($N165=[1]CURSOS!$D$17,[1]CURSOS!$E$17,(+IF($N165=[1]CURSOS!$D$18,[1]CURSOS!$E$18,(+IF($N165=[1]CURSOS!$D$19,[1]CURSOS!$E$19,(+IF($N165=[1]CURSOS!$D$20,[1]CURSOS!$E$20,(+IF($N165=[1]CURSOS!$D$21,[1]CURSOS!$E$21,(+IF($N165=[1]CURSOS!$D$22,[1]CURSOS!$E$22,(+IF($N165=[1]CURSOS!$D$23,[1]CURSOS!$E$23,(+IF($N165=[1]CURSOS!$D$24,[1]CURSOS!$E$24,(+IF($N165=[1]CURSOS!$D$25,[1]CURSOS!$E$25,(+IF($N165=[1]CURSOS!$D$26,[1]CURSOS!$E$26,(+IF($N165=[1]CURSOS!$D$27,[1]CURSOS!$E$27,(+IF($N165=[1]CURSOS!$D$28,[1]CURSOS!$E$28,(+IF($N165=[1]CURSOS!$D$29,[1]CURSOS!$E$29,(+IF($N165=[1]CURSOS!$D$30,[1]CURSOS!$E$30,(+IF($N165=[1]CURSOS!$D$31,[1]CURSOS!$E$31,(+IF($N165=[1]CURSOS!$D$32,[1]CURSOS!$E$32)))))))))))))))))))))))))))))))))))))))))))))))))))))))))))</f>
        <v>SOPORTE VITAL BASICO (BLS)</v>
      </c>
      <c r="U165" s="51" t="str">
        <f t="shared" si="87"/>
        <v>Paola Andrea Gomez Melo</v>
      </c>
      <c r="V165" s="51" t="str">
        <f t="shared" si="88"/>
        <v>Paola Andrea Gomez Melo</v>
      </c>
      <c r="W165" s="51" t="str">
        <f t="shared" si="89"/>
        <v>Paola Andrea Gomez Melo-37083355-BLS</v>
      </c>
    </row>
    <row r="166" spans="1:23" s="73" customFormat="1" x14ac:dyDescent="0.2">
      <c r="A166" s="20">
        <v>165</v>
      </c>
      <c r="B166" s="20">
        <v>1085311725</v>
      </c>
      <c r="C166" s="20" t="s">
        <v>451</v>
      </c>
      <c r="D166" s="20" t="s">
        <v>452</v>
      </c>
      <c r="E166" s="20" t="s">
        <v>453</v>
      </c>
      <c r="F166" s="20" t="s">
        <v>454</v>
      </c>
      <c r="G166" s="19">
        <v>16</v>
      </c>
      <c r="H166" s="19" t="s">
        <v>99</v>
      </c>
      <c r="I166" s="25">
        <v>45398</v>
      </c>
      <c r="J166" s="98">
        <v>35000</v>
      </c>
      <c r="K166" s="116" t="s">
        <v>293</v>
      </c>
      <c r="L166" s="19" t="s">
        <v>322</v>
      </c>
      <c r="M166" s="19" t="s">
        <v>100</v>
      </c>
      <c r="N166" s="21" t="s">
        <v>52</v>
      </c>
      <c r="O166" s="72">
        <v>34435</v>
      </c>
      <c r="P166" s="20" t="s">
        <v>78</v>
      </c>
      <c r="Q166" s="20"/>
      <c r="R166" s="20"/>
      <c r="S166" s="20" t="s">
        <v>464</v>
      </c>
      <c r="T166" s="51" t="str">
        <f>+IF($N166=[1]CURSOS!$D$3,[1]CURSOS!$E$3,(+IF($N166=[1]CURSOS!$D$4,[1]CURSOS!$E$4,(+IF($N166=[1]CURSOS!$D$5,[1]CURSOS!$E$5,(+IF($N166=[1]CURSOS!$D$6,[1]CURSOS!$E$6,(+IF($N166=[1]CURSOS!$D$7,[1]CURSOS!$E$7,(+IF($N166=[1]CURSOS!$D$8,[1]CURSOS!$E$8,(+IF($N166=[1]CURSOS!$D$9,[1]CURSOS!$E$9,(+IF($N166=[1]CURSOS!$D$10,[1]CURSOS!$E$10,(+IF($N166=[1]CURSOS!$D$11,[1]CURSOS!$E$11,(+IF($N166=[1]CURSOS!$D$12,[1]CURSOS!$E$12,(+IF($N166=[1]CURSOS!$D$13,[1]CURSOS!$E$13,(+IF($N166=[1]CURSOS!$D$14,[1]CURSOS!$E$14,(+IF($N166=[1]CURSOS!$D$15,[1]CURSOS!$E$15,(+IF($N166=[1]CURSOS!$D$16,[1]CURSOS!$E$16,(+IF($N166=[1]CURSOS!$D$17,[1]CURSOS!$E$17,(+IF($N166=[1]CURSOS!$D$18,[1]CURSOS!$E$18,(+IF($N166=[1]CURSOS!$D$19,[1]CURSOS!$E$19,(+IF($N166=[1]CURSOS!$D$20,[1]CURSOS!$E$20,(+IF($N166=[1]CURSOS!$D$21,[1]CURSOS!$E$21,(+IF($N166=[1]CURSOS!$D$22,[1]CURSOS!$E$22,(+IF($N166=[1]CURSOS!$D$23,[1]CURSOS!$E$23,(+IF($N166=[1]CURSOS!$D$24,[1]CURSOS!$E$24,(+IF($N166=[1]CURSOS!$D$25,[1]CURSOS!$E$25,(+IF($N166=[1]CURSOS!$D$26,[1]CURSOS!$E$26,(+IF($N166=[1]CURSOS!$D$27,[1]CURSOS!$E$27,(+IF($N166=[1]CURSOS!$D$28,[1]CURSOS!$E$28,(+IF($N166=[1]CURSOS!$D$29,[1]CURSOS!$E$29,(+IF($N166=[1]CURSOS!$D$30,[1]CURSOS!$E$30,(+IF($N166=[1]CURSOS!$D$31,[1]CURSOS!$E$31,(+IF($N166=[1]CURSOS!$D$32,[1]CURSOS!$E$32)))))))))))))))))))))))))))))))))))))))))))))))))))))))))))</f>
        <v xml:space="preserve">ADMINISTRACION DE MEDICAMENTOS, INYECTOLOGIA  Y CANALIZACION </v>
      </c>
      <c r="U166" s="51" t="str">
        <f t="shared" ref="U166:U175" si="90">CONCATENATE(E166," ",F166," ",C166," ",D166)</f>
        <v>Julieth Viviana Romero Gustin</v>
      </c>
      <c r="V166" s="51" t="str">
        <f t="shared" ref="V166:V175" si="91">+PROPER(U166)</f>
        <v>Julieth Viviana Romero Gustin</v>
      </c>
      <c r="W166" s="51" t="str">
        <f t="shared" ref="W166:W175" si="92">CONCATENATE(U166,"-",B166,"-",N166)</f>
        <v>Julieth Viviana Romero Gustin-1085311725-ADMON DE MEDICAMENTOS</v>
      </c>
    </row>
    <row r="167" spans="1:23" s="73" customFormat="1" x14ac:dyDescent="0.2">
      <c r="A167" s="20">
        <v>166</v>
      </c>
      <c r="B167" s="20">
        <v>1089485183</v>
      </c>
      <c r="C167" s="20" t="s">
        <v>455</v>
      </c>
      <c r="D167" s="20" t="s">
        <v>456</v>
      </c>
      <c r="E167" s="20" t="s">
        <v>335</v>
      </c>
      <c r="F167" s="20" t="s">
        <v>457</v>
      </c>
      <c r="G167" s="19">
        <v>16</v>
      </c>
      <c r="H167" s="19" t="s">
        <v>99</v>
      </c>
      <c r="I167" s="25">
        <v>45398</v>
      </c>
      <c r="J167" s="98">
        <v>33333</v>
      </c>
      <c r="K167" s="116" t="s">
        <v>368</v>
      </c>
      <c r="L167" s="19" t="s">
        <v>322</v>
      </c>
      <c r="M167" s="19" t="s">
        <v>100</v>
      </c>
      <c r="N167" s="21" t="s">
        <v>46</v>
      </c>
      <c r="O167" s="72">
        <v>34570</v>
      </c>
      <c r="P167" s="20" t="s">
        <v>78</v>
      </c>
      <c r="Q167" s="20"/>
      <c r="R167" s="20"/>
      <c r="S167" s="20"/>
      <c r="T167" s="51" t="str">
        <f>+IF($N167=[1]CURSOS!$D$3,[1]CURSOS!$E$3,(+IF($N167=[1]CURSOS!$D$4,[1]CURSOS!$E$4,(+IF($N167=[1]CURSOS!$D$5,[1]CURSOS!$E$5,(+IF($N167=[1]CURSOS!$D$6,[1]CURSOS!$E$6,(+IF($N167=[1]CURSOS!$D$7,[1]CURSOS!$E$7,(+IF($N167=[1]CURSOS!$D$8,[1]CURSOS!$E$8,(+IF($N167=[1]CURSOS!$D$9,[1]CURSOS!$E$9,(+IF($N167=[1]CURSOS!$D$10,[1]CURSOS!$E$10,(+IF($N167=[1]CURSOS!$D$11,[1]CURSOS!$E$11,(+IF($N167=[1]CURSOS!$D$12,[1]CURSOS!$E$12,(+IF($N167=[1]CURSOS!$D$13,[1]CURSOS!$E$13,(+IF($N167=[1]CURSOS!$D$14,[1]CURSOS!$E$14,(+IF($N167=[1]CURSOS!$D$15,[1]CURSOS!$E$15,(+IF($N167=[1]CURSOS!$D$16,[1]CURSOS!$E$16,(+IF($N167=[1]CURSOS!$D$17,[1]CURSOS!$E$17,(+IF($N167=[1]CURSOS!$D$18,[1]CURSOS!$E$18,(+IF($N167=[1]CURSOS!$D$19,[1]CURSOS!$E$19,(+IF($N167=[1]CURSOS!$D$20,[1]CURSOS!$E$20,(+IF($N167=[1]CURSOS!$D$21,[1]CURSOS!$E$21,(+IF($N167=[1]CURSOS!$D$22,[1]CURSOS!$E$22,(+IF($N167=[1]CURSOS!$D$23,[1]CURSOS!$E$23,(+IF($N167=[1]CURSOS!$D$24,[1]CURSOS!$E$24,(+IF($N167=[1]CURSOS!$D$25,[1]CURSOS!$E$25,(+IF($N167=[1]CURSOS!$D$26,[1]CURSOS!$E$26,(+IF($N167=[1]CURSOS!$D$27,[1]CURSOS!$E$27,(+IF($N167=[1]CURSOS!$D$28,[1]CURSOS!$E$28,(+IF($N167=[1]CURSOS!$D$29,[1]CURSOS!$E$29,(+IF($N167=[1]CURSOS!$D$30,[1]CURSOS!$E$30,(+IF($N167=[1]CURSOS!$D$31,[1]CURSOS!$E$31,(+IF($N167=[1]CURSOS!$D$32,[1]CURSOS!$E$32)))))))))))))))))))))))))))))))))))))))))))))))))))))))))))</f>
        <v xml:space="preserve">ATENCION A VICTIMAS DE VIOLENCIA SEXUAL </v>
      </c>
      <c r="U167" s="51" t="str">
        <f t="shared" si="90"/>
        <v>Erica Magaly imbajoa fajardo</v>
      </c>
      <c r="V167" s="51" t="str">
        <f t="shared" si="91"/>
        <v>Erica Magaly Imbajoa Fajardo</v>
      </c>
      <c r="W167" s="51" t="str">
        <f t="shared" si="92"/>
        <v>Erica Magaly imbajoa fajardo-1089485183-VIOLENCIA SEXUAL</v>
      </c>
    </row>
    <row r="168" spans="1:23" s="73" customFormat="1" x14ac:dyDescent="0.2">
      <c r="A168" s="20">
        <v>167</v>
      </c>
      <c r="B168" s="20">
        <v>1089485183</v>
      </c>
      <c r="C168" s="20" t="s">
        <v>455</v>
      </c>
      <c r="D168" s="20" t="s">
        <v>456</v>
      </c>
      <c r="E168" s="20" t="s">
        <v>335</v>
      </c>
      <c r="F168" s="20" t="s">
        <v>457</v>
      </c>
      <c r="G168" s="19">
        <v>16</v>
      </c>
      <c r="H168" s="19" t="s">
        <v>99</v>
      </c>
      <c r="I168" s="25">
        <v>45398</v>
      </c>
      <c r="J168" s="98">
        <v>33333</v>
      </c>
      <c r="K168" s="116" t="s">
        <v>368</v>
      </c>
      <c r="L168" s="19" t="s">
        <v>322</v>
      </c>
      <c r="M168" s="19" t="s">
        <v>100</v>
      </c>
      <c r="N168" s="21" t="s">
        <v>25</v>
      </c>
      <c r="O168" s="72">
        <v>34570</v>
      </c>
      <c r="P168" s="20" t="s">
        <v>78</v>
      </c>
      <c r="Q168" s="20"/>
      <c r="R168" s="20"/>
      <c r="S168" s="20"/>
      <c r="T168" s="51" t="str">
        <f>+IF($N168=[1]CURSOS!$D$3,[1]CURSOS!$E$3,(+IF($N168=[1]CURSOS!$D$4,[1]CURSOS!$E$4,(+IF($N168=[1]CURSOS!$D$5,[1]CURSOS!$E$5,(+IF($N168=[1]CURSOS!$D$6,[1]CURSOS!$E$6,(+IF($N168=[1]CURSOS!$D$7,[1]CURSOS!$E$7,(+IF($N168=[1]CURSOS!$D$8,[1]CURSOS!$E$8,(+IF($N168=[1]CURSOS!$D$9,[1]CURSOS!$E$9,(+IF($N168=[1]CURSOS!$D$10,[1]CURSOS!$E$10,(+IF($N168=[1]CURSOS!$D$11,[1]CURSOS!$E$11,(+IF($N168=[1]CURSOS!$D$12,[1]CURSOS!$E$12,(+IF($N168=[1]CURSOS!$D$13,[1]CURSOS!$E$13,(+IF($N168=[1]CURSOS!$D$14,[1]CURSOS!$E$14,(+IF($N168=[1]CURSOS!$D$15,[1]CURSOS!$E$15,(+IF($N168=[1]CURSOS!$D$16,[1]CURSOS!$E$16,(+IF($N168=[1]CURSOS!$D$17,[1]CURSOS!$E$17,(+IF($N168=[1]CURSOS!$D$18,[1]CURSOS!$E$18,(+IF($N168=[1]CURSOS!$D$19,[1]CURSOS!$E$19,(+IF($N168=[1]CURSOS!$D$20,[1]CURSOS!$E$20,(+IF($N168=[1]CURSOS!$D$21,[1]CURSOS!$E$21,(+IF($N168=[1]CURSOS!$D$22,[1]CURSOS!$E$22,(+IF($N168=[1]CURSOS!$D$23,[1]CURSOS!$E$23,(+IF($N168=[1]CURSOS!$D$24,[1]CURSOS!$E$24,(+IF($N168=[1]CURSOS!$D$25,[1]CURSOS!$E$25,(+IF($N168=[1]CURSOS!$D$26,[1]CURSOS!$E$26,(+IF($N168=[1]CURSOS!$D$27,[1]CURSOS!$E$27,(+IF($N168=[1]CURSOS!$D$28,[1]CURSOS!$E$28,(+IF($N168=[1]CURSOS!$D$29,[1]CURSOS!$E$29,(+IF($N168=[1]CURSOS!$D$30,[1]CURSOS!$E$30,(+IF($N168=[1]CURSOS!$D$31,[1]CURSOS!$E$31,(+IF($N168=[1]CURSOS!$D$32,[1]CURSOS!$E$32)))))))))))))))))))))))))))))))))))))))))))))))))))))))))))</f>
        <v xml:space="preserve">ATENCION A VICTIMAS DE ATAQUE CON AGENTES QUIMICOS </v>
      </c>
      <c r="U168" s="51" t="str">
        <f t="shared" si="90"/>
        <v>Erica Magaly imbajoa fajardo</v>
      </c>
      <c r="V168" s="51" t="str">
        <f t="shared" si="91"/>
        <v>Erica Magaly Imbajoa Fajardo</v>
      </c>
      <c r="W168" s="51" t="str">
        <f t="shared" si="92"/>
        <v>Erica Magaly imbajoa fajardo-1089485183-QUIMICOS</v>
      </c>
    </row>
    <row r="169" spans="1:23" s="73" customFormat="1" x14ac:dyDescent="0.2">
      <c r="A169" s="20">
        <v>168</v>
      </c>
      <c r="B169" s="20">
        <v>1089485183</v>
      </c>
      <c r="C169" s="20" t="s">
        <v>455</v>
      </c>
      <c r="D169" s="20" t="s">
        <v>456</v>
      </c>
      <c r="E169" s="20" t="s">
        <v>335</v>
      </c>
      <c r="F169" s="20" t="s">
        <v>457</v>
      </c>
      <c r="G169" s="19">
        <v>16</v>
      </c>
      <c r="H169" s="19" t="s">
        <v>99</v>
      </c>
      <c r="I169" s="25">
        <v>45398</v>
      </c>
      <c r="J169" s="98">
        <v>33333</v>
      </c>
      <c r="K169" s="116" t="s">
        <v>368</v>
      </c>
      <c r="L169" s="19" t="s">
        <v>322</v>
      </c>
      <c r="M169" s="19" t="s">
        <v>100</v>
      </c>
      <c r="N169" s="21" t="s">
        <v>19</v>
      </c>
      <c r="O169" s="72">
        <v>34570</v>
      </c>
      <c r="P169" s="20" t="s">
        <v>78</v>
      </c>
      <c r="Q169" s="20"/>
      <c r="R169" s="20"/>
      <c r="S169" s="20"/>
      <c r="T169" s="51" t="str">
        <f>+IF($N169=[1]CURSOS!$D$3,[1]CURSOS!$E$3,(+IF($N169=[1]CURSOS!$D$4,[1]CURSOS!$E$4,(+IF($N169=[1]CURSOS!$D$5,[1]CURSOS!$E$5,(+IF($N169=[1]CURSOS!$D$6,[1]CURSOS!$E$6,(+IF($N169=[1]CURSOS!$D$7,[1]CURSOS!$E$7,(+IF($N169=[1]CURSOS!$D$8,[1]CURSOS!$E$8,(+IF($N169=[1]CURSOS!$D$9,[1]CURSOS!$E$9,(+IF($N169=[1]CURSOS!$D$10,[1]CURSOS!$E$10,(+IF($N169=[1]CURSOS!$D$11,[1]CURSOS!$E$11,(+IF($N169=[1]CURSOS!$D$12,[1]CURSOS!$E$12,(+IF($N169=[1]CURSOS!$D$13,[1]CURSOS!$E$13,(+IF($N169=[1]CURSOS!$D$14,[1]CURSOS!$E$14,(+IF($N169=[1]CURSOS!$D$15,[1]CURSOS!$E$15,(+IF($N169=[1]CURSOS!$D$16,[1]CURSOS!$E$16,(+IF($N169=[1]CURSOS!$D$17,[1]CURSOS!$E$17,(+IF($N169=[1]CURSOS!$D$18,[1]CURSOS!$E$18,(+IF($N169=[1]CURSOS!$D$19,[1]CURSOS!$E$19,(+IF($N169=[1]CURSOS!$D$20,[1]CURSOS!$E$20,(+IF($N169=[1]CURSOS!$D$21,[1]CURSOS!$E$21,(+IF($N169=[1]CURSOS!$D$22,[1]CURSOS!$E$22,(+IF($N169=[1]CURSOS!$D$23,[1]CURSOS!$E$23,(+IF($N169=[1]CURSOS!$D$24,[1]CURSOS!$E$24,(+IF($N169=[1]CURSOS!$D$25,[1]CURSOS!$E$25,(+IF($N169=[1]CURSOS!$D$26,[1]CURSOS!$E$26,(+IF($N169=[1]CURSOS!$D$27,[1]CURSOS!$E$27,(+IF($N169=[1]CURSOS!$D$28,[1]CURSOS!$E$28,(+IF($N169=[1]CURSOS!$D$29,[1]CURSOS!$E$29,(+IF($N169=[1]CURSOS!$D$30,[1]CURSOS!$E$30,(+IF($N169=[1]CURSOS!$D$31,[1]CURSOS!$E$31,(+IF($N169=[1]CURSOS!$D$32,[1]CURSOS!$E$32)))))))))))))))))))))))))))))))))))))))))))))))))))))))))))</f>
        <v>SOPORTE VITAL BASICO (BLS)</v>
      </c>
      <c r="U169" s="51" t="str">
        <f t="shared" si="90"/>
        <v>Erica Magaly imbajoa fajardo</v>
      </c>
      <c r="V169" s="51" t="str">
        <f t="shared" si="91"/>
        <v>Erica Magaly Imbajoa Fajardo</v>
      </c>
      <c r="W169" s="51" t="str">
        <f t="shared" si="92"/>
        <v>Erica Magaly imbajoa fajardo-1089485183-BLS</v>
      </c>
    </row>
    <row r="170" spans="1:23" s="73" customFormat="1" x14ac:dyDescent="0.2">
      <c r="A170" s="20">
        <v>169</v>
      </c>
      <c r="B170" s="20">
        <v>15816148</v>
      </c>
      <c r="C170" s="20" t="s">
        <v>458</v>
      </c>
      <c r="D170" s="20" t="s">
        <v>459</v>
      </c>
      <c r="E170" s="20" t="s">
        <v>460</v>
      </c>
      <c r="F170" s="20" t="s">
        <v>461</v>
      </c>
      <c r="G170" s="19">
        <v>15</v>
      </c>
      <c r="H170" s="19" t="s">
        <v>99</v>
      </c>
      <c r="I170" s="25" t="s">
        <v>167</v>
      </c>
      <c r="J170" s="88" t="s">
        <v>167</v>
      </c>
      <c r="K170" s="19" t="s">
        <v>168</v>
      </c>
      <c r="L170" s="19" t="s">
        <v>322</v>
      </c>
      <c r="M170" s="19" t="s">
        <v>100</v>
      </c>
      <c r="N170" s="21" t="s">
        <v>19</v>
      </c>
      <c r="O170" s="72">
        <v>29823</v>
      </c>
      <c r="P170" s="20" t="s">
        <v>88</v>
      </c>
      <c r="Q170" s="20"/>
      <c r="R170" s="20"/>
      <c r="S170" s="20" t="s">
        <v>465</v>
      </c>
      <c r="T170" s="51" t="str">
        <f>+IF($N170=[1]CURSOS!$D$3,[1]CURSOS!$E$3,(+IF($N170=[1]CURSOS!$D$4,[1]CURSOS!$E$4,(+IF($N170=[1]CURSOS!$D$5,[1]CURSOS!$E$5,(+IF($N170=[1]CURSOS!$D$6,[1]CURSOS!$E$6,(+IF($N170=[1]CURSOS!$D$7,[1]CURSOS!$E$7,(+IF($N170=[1]CURSOS!$D$8,[1]CURSOS!$E$8,(+IF($N170=[1]CURSOS!$D$9,[1]CURSOS!$E$9,(+IF($N170=[1]CURSOS!$D$10,[1]CURSOS!$E$10,(+IF($N170=[1]CURSOS!$D$11,[1]CURSOS!$E$11,(+IF($N170=[1]CURSOS!$D$12,[1]CURSOS!$E$12,(+IF($N170=[1]CURSOS!$D$13,[1]CURSOS!$E$13,(+IF($N170=[1]CURSOS!$D$14,[1]CURSOS!$E$14,(+IF($N170=[1]CURSOS!$D$15,[1]CURSOS!$E$15,(+IF($N170=[1]CURSOS!$D$16,[1]CURSOS!$E$16,(+IF($N170=[1]CURSOS!$D$17,[1]CURSOS!$E$17,(+IF($N170=[1]CURSOS!$D$18,[1]CURSOS!$E$18,(+IF($N170=[1]CURSOS!$D$19,[1]CURSOS!$E$19,(+IF($N170=[1]CURSOS!$D$20,[1]CURSOS!$E$20,(+IF($N170=[1]CURSOS!$D$21,[1]CURSOS!$E$21,(+IF($N170=[1]CURSOS!$D$22,[1]CURSOS!$E$22,(+IF($N170=[1]CURSOS!$D$23,[1]CURSOS!$E$23,(+IF($N170=[1]CURSOS!$D$24,[1]CURSOS!$E$24,(+IF($N170=[1]CURSOS!$D$25,[1]CURSOS!$E$25,(+IF($N170=[1]CURSOS!$D$26,[1]CURSOS!$E$26,(+IF($N170=[1]CURSOS!$D$27,[1]CURSOS!$E$27,(+IF($N170=[1]CURSOS!$D$28,[1]CURSOS!$E$28,(+IF($N170=[1]CURSOS!$D$29,[1]CURSOS!$E$29,(+IF($N170=[1]CURSOS!$D$30,[1]CURSOS!$E$30,(+IF($N170=[1]CURSOS!$D$31,[1]CURSOS!$E$31,(+IF($N170=[1]CURSOS!$D$32,[1]CURSOS!$E$32)))))))))))))))))))))))))))))))))))))))))))))))))))))))))))</f>
        <v>SOPORTE VITAL BASICO (BLS)</v>
      </c>
      <c r="U170" s="51" t="str">
        <f t="shared" si="90"/>
        <v>Edilson Javier Quiroz Vivas</v>
      </c>
      <c r="V170" s="51" t="str">
        <f t="shared" si="91"/>
        <v>Edilson Javier Quiroz Vivas</v>
      </c>
      <c r="W170" s="51" t="str">
        <f t="shared" si="92"/>
        <v>Edilson Javier Quiroz Vivas-15816148-BLS</v>
      </c>
    </row>
    <row r="171" spans="1:23" s="73" customFormat="1" x14ac:dyDescent="0.2">
      <c r="A171" s="20">
        <v>170</v>
      </c>
      <c r="B171" s="20">
        <v>15816148</v>
      </c>
      <c r="C171" s="20" t="s">
        <v>458</v>
      </c>
      <c r="D171" s="20" t="s">
        <v>459</v>
      </c>
      <c r="E171" s="20" t="s">
        <v>460</v>
      </c>
      <c r="F171" s="20" t="s">
        <v>461</v>
      </c>
      <c r="G171" s="19">
        <v>15</v>
      </c>
      <c r="H171" s="19" t="s">
        <v>99</v>
      </c>
      <c r="I171" s="25" t="s">
        <v>167</v>
      </c>
      <c r="J171" s="88" t="s">
        <v>167</v>
      </c>
      <c r="K171" s="19" t="s">
        <v>168</v>
      </c>
      <c r="L171" s="19" t="s">
        <v>322</v>
      </c>
      <c r="M171" s="19" t="s">
        <v>100</v>
      </c>
      <c r="N171" s="21" t="s">
        <v>46</v>
      </c>
      <c r="O171" s="72">
        <v>29823</v>
      </c>
      <c r="P171" s="20" t="s">
        <v>88</v>
      </c>
      <c r="Q171" s="20"/>
      <c r="R171" s="20"/>
      <c r="S171" s="20" t="s">
        <v>465</v>
      </c>
      <c r="T171" s="51" t="str">
        <f>+IF($N171=[1]CURSOS!$D$3,[1]CURSOS!$E$3,(+IF($N171=[1]CURSOS!$D$4,[1]CURSOS!$E$4,(+IF($N171=[1]CURSOS!$D$5,[1]CURSOS!$E$5,(+IF($N171=[1]CURSOS!$D$6,[1]CURSOS!$E$6,(+IF($N171=[1]CURSOS!$D$7,[1]CURSOS!$E$7,(+IF($N171=[1]CURSOS!$D$8,[1]CURSOS!$E$8,(+IF($N171=[1]CURSOS!$D$9,[1]CURSOS!$E$9,(+IF($N171=[1]CURSOS!$D$10,[1]CURSOS!$E$10,(+IF($N171=[1]CURSOS!$D$11,[1]CURSOS!$E$11,(+IF($N171=[1]CURSOS!$D$12,[1]CURSOS!$E$12,(+IF($N171=[1]CURSOS!$D$13,[1]CURSOS!$E$13,(+IF($N171=[1]CURSOS!$D$14,[1]CURSOS!$E$14,(+IF($N171=[1]CURSOS!$D$15,[1]CURSOS!$E$15,(+IF($N171=[1]CURSOS!$D$16,[1]CURSOS!$E$16,(+IF($N171=[1]CURSOS!$D$17,[1]CURSOS!$E$17,(+IF($N171=[1]CURSOS!$D$18,[1]CURSOS!$E$18,(+IF($N171=[1]CURSOS!$D$19,[1]CURSOS!$E$19,(+IF($N171=[1]CURSOS!$D$20,[1]CURSOS!$E$20,(+IF($N171=[1]CURSOS!$D$21,[1]CURSOS!$E$21,(+IF($N171=[1]CURSOS!$D$22,[1]CURSOS!$E$22,(+IF($N171=[1]CURSOS!$D$23,[1]CURSOS!$E$23,(+IF($N171=[1]CURSOS!$D$24,[1]CURSOS!$E$24,(+IF($N171=[1]CURSOS!$D$25,[1]CURSOS!$E$25,(+IF($N171=[1]CURSOS!$D$26,[1]CURSOS!$E$26,(+IF($N171=[1]CURSOS!$D$27,[1]CURSOS!$E$27,(+IF($N171=[1]CURSOS!$D$28,[1]CURSOS!$E$28,(+IF($N171=[1]CURSOS!$D$29,[1]CURSOS!$E$29,(+IF($N171=[1]CURSOS!$D$30,[1]CURSOS!$E$30,(+IF($N171=[1]CURSOS!$D$31,[1]CURSOS!$E$31,(+IF($N171=[1]CURSOS!$D$32,[1]CURSOS!$E$32)))))))))))))))))))))))))))))))))))))))))))))))))))))))))))</f>
        <v xml:space="preserve">ATENCION A VICTIMAS DE VIOLENCIA SEXUAL </v>
      </c>
      <c r="U171" s="51" t="str">
        <f t="shared" si="90"/>
        <v>Edilson Javier Quiroz Vivas</v>
      </c>
      <c r="V171" s="51" t="str">
        <f t="shared" si="91"/>
        <v>Edilson Javier Quiroz Vivas</v>
      </c>
      <c r="W171" s="51" t="str">
        <f t="shared" si="92"/>
        <v>Edilson Javier Quiroz Vivas-15816148-VIOLENCIA SEXUAL</v>
      </c>
    </row>
    <row r="172" spans="1:23" s="73" customFormat="1" x14ac:dyDescent="0.2">
      <c r="A172" s="20">
        <v>171</v>
      </c>
      <c r="B172" s="20">
        <v>15816148</v>
      </c>
      <c r="C172" s="20" t="s">
        <v>458</v>
      </c>
      <c r="D172" s="20" t="s">
        <v>459</v>
      </c>
      <c r="E172" s="20" t="s">
        <v>460</v>
      </c>
      <c r="F172" s="20" t="s">
        <v>461</v>
      </c>
      <c r="G172" s="19">
        <v>15</v>
      </c>
      <c r="H172" s="19" t="s">
        <v>99</v>
      </c>
      <c r="I172" s="25" t="s">
        <v>167</v>
      </c>
      <c r="J172" s="88" t="s">
        <v>167</v>
      </c>
      <c r="K172" s="19" t="s">
        <v>168</v>
      </c>
      <c r="L172" s="19" t="s">
        <v>322</v>
      </c>
      <c r="M172" s="19" t="s">
        <v>100</v>
      </c>
      <c r="N172" s="21" t="s">
        <v>25</v>
      </c>
      <c r="O172" s="72">
        <v>29823</v>
      </c>
      <c r="P172" s="20" t="s">
        <v>88</v>
      </c>
      <c r="Q172" s="20"/>
      <c r="R172" s="20"/>
      <c r="S172" s="20" t="s">
        <v>465</v>
      </c>
      <c r="T172" s="51" t="str">
        <f>+IF($N172=[1]CURSOS!$D$3,[1]CURSOS!$E$3,(+IF($N172=[1]CURSOS!$D$4,[1]CURSOS!$E$4,(+IF($N172=[1]CURSOS!$D$5,[1]CURSOS!$E$5,(+IF($N172=[1]CURSOS!$D$6,[1]CURSOS!$E$6,(+IF($N172=[1]CURSOS!$D$7,[1]CURSOS!$E$7,(+IF($N172=[1]CURSOS!$D$8,[1]CURSOS!$E$8,(+IF($N172=[1]CURSOS!$D$9,[1]CURSOS!$E$9,(+IF($N172=[1]CURSOS!$D$10,[1]CURSOS!$E$10,(+IF($N172=[1]CURSOS!$D$11,[1]CURSOS!$E$11,(+IF($N172=[1]CURSOS!$D$12,[1]CURSOS!$E$12,(+IF($N172=[1]CURSOS!$D$13,[1]CURSOS!$E$13,(+IF($N172=[1]CURSOS!$D$14,[1]CURSOS!$E$14,(+IF($N172=[1]CURSOS!$D$15,[1]CURSOS!$E$15,(+IF($N172=[1]CURSOS!$D$16,[1]CURSOS!$E$16,(+IF($N172=[1]CURSOS!$D$17,[1]CURSOS!$E$17,(+IF($N172=[1]CURSOS!$D$18,[1]CURSOS!$E$18,(+IF($N172=[1]CURSOS!$D$19,[1]CURSOS!$E$19,(+IF($N172=[1]CURSOS!$D$20,[1]CURSOS!$E$20,(+IF($N172=[1]CURSOS!$D$21,[1]CURSOS!$E$21,(+IF($N172=[1]CURSOS!$D$22,[1]CURSOS!$E$22,(+IF($N172=[1]CURSOS!$D$23,[1]CURSOS!$E$23,(+IF($N172=[1]CURSOS!$D$24,[1]CURSOS!$E$24,(+IF($N172=[1]CURSOS!$D$25,[1]CURSOS!$E$25,(+IF($N172=[1]CURSOS!$D$26,[1]CURSOS!$E$26,(+IF($N172=[1]CURSOS!$D$27,[1]CURSOS!$E$27,(+IF($N172=[1]CURSOS!$D$28,[1]CURSOS!$E$28,(+IF($N172=[1]CURSOS!$D$29,[1]CURSOS!$E$29,(+IF($N172=[1]CURSOS!$D$30,[1]CURSOS!$E$30,(+IF($N172=[1]CURSOS!$D$31,[1]CURSOS!$E$31,(+IF($N172=[1]CURSOS!$D$32,[1]CURSOS!$E$32)))))))))))))))))))))))))))))))))))))))))))))))))))))))))))</f>
        <v xml:space="preserve">ATENCION A VICTIMAS DE ATAQUE CON AGENTES QUIMICOS </v>
      </c>
      <c r="U172" s="51" t="str">
        <f t="shared" si="90"/>
        <v>Edilson Javier Quiroz Vivas</v>
      </c>
      <c r="V172" s="51" t="str">
        <f t="shared" si="91"/>
        <v>Edilson Javier Quiroz Vivas</v>
      </c>
      <c r="W172" s="51" t="str">
        <f t="shared" si="92"/>
        <v>Edilson Javier Quiroz Vivas-15816148-QUIMICOS</v>
      </c>
    </row>
    <row r="173" spans="1:23" s="73" customFormat="1" x14ac:dyDescent="0.2">
      <c r="A173" s="20">
        <v>172</v>
      </c>
      <c r="B173" s="20">
        <v>15816148</v>
      </c>
      <c r="C173" s="20" t="s">
        <v>458</v>
      </c>
      <c r="D173" s="20" t="s">
        <v>459</v>
      </c>
      <c r="E173" s="20" t="s">
        <v>460</v>
      </c>
      <c r="F173" s="20" t="s">
        <v>461</v>
      </c>
      <c r="G173" s="19">
        <v>15</v>
      </c>
      <c r="H173" s="19" t="s">
        <v>99</v>
      </c>
      <c r="I173" s="25" t="s">
        <v>167</v>
      </c>
      <c r="J173" s="88" t="s">
        <v>167</v>
      </c>
      <c r="K173" s="19" t="s">
        <v>168</v>
      </c>
      <c r="L173" s="19" t="s">
        <v>322</v>
      </c>
      <c r="M173" s="19" t="s">
        <v>100</v>
      </c>
      <c r="N173" s="21" t="s">
        <v>23</v>
      </c>
      <c r="O173" s="72">
        <v>29823</v>
      </c>
      <c r="P173" s="20" t="s">
        <v>88</v>
      </c>
      <c r="Q173" s="20"/>
      <c r="R173" s="20"/>
      <c r="S173" s="20" t="s">
        <v>465</v>
      </c>
      <c r="T173" s="51" t="str">
        <f>+IF($N173=[1]CURSOS!$D$3,[1]CURSOS!$E$3,(+IF($N173=[1]CURSOS!$D$4,[1]CURSOS!$E$4,(+IF($N173=[1]CURSOS!$D$5,[1]CURSOS!$E$5,(+IF($N173=[1]CURSOS!$D$6,[1]CURSOS!$E$6,(+IF($N173=[1]CURSOS!$D$7,[1]CURSOS!$E$7,(+IF($N173=[1]CURSOS!$D$8,[1]CURSOS!$E$8,(+IF($N173=[1]CURSOS!$D$9,[1]CURSOS!$E$9,(+IF($N173=[1]CURSOS!$D$10,[1]CURSOS!$E$10,(+IF($N173=[1]CURSOS!$D$11,[1]CURSOS!$E$11,(+IF($N173=[1]CURSOS!$D$12,[1]CURSOS!$E$12,(+IF($N173=[1]CURSOS!$D$13,[1]CURSOS!$E$13,(+IF($N173=[1]CURSOS!$D$14,[1]CURSOS!$E$14,(+IF($N173=[1]CURSOS!$D$15,[1]CURSOS!$E$15,(+IF($N173=[1]CURSOS!$D$16,[1]CURSOS!$E$16,(+IF($N173=[1]CURSOS!$D$17,[1]CURSOS!$E$17,(+IF($N173=[1]CURSOS!$D$18,[1]CURSOS!$E$18,(+IF($N173=[1]CURSOS!$D$19,[1]CURSOS!$E$19,(+IF($N173=[1]CURSOS!$D$20,[1]CURSOS!$E$20,(+IF($N173=[1]CURSOS!$D$21,[1]CURSOS!$E$21,(+IF($N173=[1]CURSOS!$D$22,[1]CURSOS!$E$22,(+IF($N173=[1]CURSOS!$D$23,[1]CURSOS!$E$23,(+IF($N173=[1]CURSOS!$D$24,[1]CURSOS!$E$24,(+IF($N173=[1]CURSOS!$D$25,[1]CURSOS!$E$25,(+IF($N173=[1]CURSOS!$D$26,[1]CURSOS!$E$26,(+IF($N173=[1]CURSOS!$D$27,[1]CURSOS!$E$27,(+IF($N173=[1]CURSOS!$D$28,[1]CURSOS!$E$28,(+IF($N173=[1]CURSOS!$D$29,[1]CURSOS!$E$29,(+IF($N173=[1]CURSOS!$D$30,[1]CURSOS!$E$30,(+IF($N173=[1]CURSOS!$D$31,[1]CURSOS!$E$31,(+IF($N173=[1]CURSOS!$D$32,[1]CURSOS!$E$32)))))))))))))))))))))))))))))))))))))))))))))))))))))))))))</f>
        <v>ACOMPAÑAMIENTO Y MANEJO DEL DUELO</v>
      </c>
      <c r="U173" s="51" t="str">
        <f t="shared" si="90"/>
        <v>Edilson Javier Quiroz Vivas</v>
      </c>
      <c r="V173" s="51" t="str">
        <f t="shared" si="91"/>
        <v>Edilson Javier Quiroz Vivas</v>
      </c>
      <c r="W173" s="51" t="str">
        <f t="shared" si="92"/>
        <v>Edilson Javier Quiroz Vivas-15816148-DUELO</v>
      </c>
    </row>
    <row r="174" spans="1:23" s="73" customFormat="1" x14ac:dyDescent="0.2">
      <c r="A174" s="20">
        <v>173</v>
      </c>
      <c r="B174" s="20">
        <v>1085270409</v>
      </c>
      <c r="C174" s="20" t="s">
        <v>462</v>
      </c>
      <c r="D174" s="20" t="s">
        <v>182</v>
      </c>
      <c r="E174" s="20" t="s">
        <v>463</v>
      </c>
      <c r="F174" s="20" t="s">
        <v>267</v>
      </c>
      <c r="G174" s="19">
        <v>16</v>
      </c>
      <c r="H174" s="19" t="s">
        <v>99</v>
      </c>
      <c r="I174" s="25">
        <v>45399</v>
      </c>
      <c r="J174" s="98">
        <v>30000</v>
      </c>
      <c r="K174" s="116" t="s">
        <v>82</v>
      </c>
      <c r="L174" s="19" t="s">
        <v>322</v>
      </c>
      <c r="M174" s="19" t="s">
        <v>173</v>
      </c>
      <c r="N174" s="21" t="s">
        <v>46</v>
      </c>
      <c r="O174" s="72"/>
      <c r="P174" s="20" t="s">
        <v>78</v>
      </c>
      <c r="Q174" s="20"/>
      <c r="R174" s="20"/>
      <c r="S174" s="20"/>
      <c r="T174" s="51" t="str">
        <f>+IF($N174=[1]CURSOS!$D$3,[1]CURSOS!$E$3,(+IF($N174=[1]CURSOS!$D$4,[1]CURSOS!$E$4,(+IF($N174=[1]CURSOS!$D$5,[1]CURSOS!$E$5,(+IF($N174=[1]CURSOS!$D$6,[1]CURSOS!$E$6,(+IF($N174=[1]CURSOS!$D$7,[1]CURSOS!$E$7,(+IF($N174=[1]CURSOS!$D$8,[1]CURSOS!$E$8,(+IF($N174=[1]CURSOS!$D$9,[1]CURSOS!$E$9,(+IF($N174=[1]CURSOS!$D$10,[1]CURSOS!$E$10,(+IF($N174=[1]CURSOS!$D$11,[1]CURSOS!$E$11,(+IF($N174=[1]CURSOS!$D$12,[1]CURSOS!$E$12,(+IF($N174=[1]CURSOS!$D$13,[1]CURSOS!$E$13,(+IF($N174=[1]CURSOS!$D$14,[1]CURSOS!$E$14,(+IF($N174=[1]CURSOS!$D$15,[1]CURSOS!$E$15,(+IF($N174=[1]CURSOS!$D$16,[1]CURSOS!$E$16,(+IF($N174=[1]CURSOS!$D$17,[1]CURSOS!$E$17,(+IF($N174=[1]CURSOS!$D$18,[1]CURSOS!$E$18,(+IF($N174=[1]CURSOS!$D$19,[1]CURSOS!$E$19,(+IF($N174=[1]CURSOS!$D$20,[1]CURSOS!$E$20,(+IF($N174=[1]CURSOS!$D$21,[1]CURSOS!$E$21,(+IF($N174=[1]CURSOS!$D$22,[1]CURSOS!$E$22,(+IF($N174=[1]CURSOS!$D$23,[1]CURSOS!$E$23,(+IF($N174=[1]CURSOS!$D$24,[1]CURSOS!$E$24,(+IF($N174=[1]CURSOS!$D$25,[1]CURSOS!$E$25,(+IF($N174=[1]CURSOS!$D$26,[1]CURSOS!$E$26,(+IF($N174=[1]CURSOS!$D$27,[1]CURSOS!$E$27,(+IF($N174=[1]CURSOS!$D$28,[1]CURSOS!$E$28,(+IF($N174=[1]CURSOS!$D$29,[1]CURSOS!$E$29,(+IF($N174=[1]CURSOS!$D$30,[1]CURSOS!$E$30,(+IF($N174=[1]CURSOS!$D$31,[1]CURSOS!$E$31,(+IF($N174=[1]CURSOS!$D$32,[1]CURSOS!$E$32)))))))))))))))))))))))))))))))))))))))))))))))))))))))))))</f>
        <v xml:space="preserve">ATENCION A VICTIMAS DE VIOLENCIA SEXUAL </v>
      </c>
      <c r="U174" s="51" t="str">
        <f t="shared" si="90"/>
        <v>Lina Maria Hidalgo Guerrero</v>
      </c>
      <c r="V174" s="51" t="str">
        <f t="shared" si="91"/>
        <v>Lina Maria Hidalgo Guerrero</v>
      </c>
      <c r="W174" s="51" t="str">
        <f t="shared" si="92"/>
        <v>Lina Maria Hidalgo Guerrero-1085270409-VIOLENCIA SEXUAL</v>
      </c>
    </row>
    <row r="175" spans="1:23" s="73" customFormat="1" x14ac:dyDescent="0.2">
      <c r="A175" s="20">
        <v>174</v>
      </c>
      <c r="B175" s="20">
        <v>1085346681</v>
      </c>
      <c r="C175" s="20" t="s">
        <v>468</v>
      </c>
      <c r="D175" s="20" t="s">
        <v>351</v>
      </c>
      <c r="E175" s="20" t="s">
        <v>469</v>
      </c>
      <c r="F175" s="20" t="s">
        <v>470</v>
      </c>
      <c r="G175" s="19">
        <v>17</v>
      </c>
      <c r="H175" s="19" t="s">
        <v>99</v>
      </c>
      <c r="I175" s="25">
        <v>45399</v>
      </c>
      <c r="J175" s="98">
        <v>20000</v>
      </c>
      <c r="K175" s="116" t="s">
        <v>82</v>
      </c>
      <c r="L175" s="19" t="s">
        <v>322</v>
      </c>
      <c r="M175" s="19" t="s">
        <v>173</v>
      </c>
      <c r="N175" s="21" t="s">
        <v>19</v>
      </c>
      <c r="O175" s="72"/>
      <c r="P175" s="20" t="s">
        <v>88</v>
      </c>
      <c r="Q175" s="20"/>
      <c r="R175" s="20"/>
      <c r="S175" s="20"/>
      <c r="T175" s="51" t="str">
        <f>+IF($N175=[1]CURSOS!$D$3,[1]CURSOS!$E$3,(+IF($N175=[1]CURSOS!$D$4,[1]CURSOS!$E$4,(+IF($N175=[1]CURSOS!$D$5,[1]CURSOS!$E$5,(+IF($N175=[1]CURSOS!$D$6,[1]CURSOS!$E$6,(+IF($N175=[1]CURSOS!$D$7,[1]CURSOS!$E$7,(+IF($N175=[1]CURSOS!$D$8,[1]CURSOS!$E$8,(+IF($N175=[1]CURSOS!$D$9,[1]CURSOS!$E$9,(+IF($N175=[1]CURSOS!$D$10,[1]CURSOS!$E$10,(+IF($N175=[1]CURSOS!$D$11,[1]CURSOS!$E$11,(+IF($N175=[1]CURSOS!$D$12,[1]CURSOS!$E$12,(+IF($N175=[1]CURSOS!$D$13,[1]CURSOS!$E$13,(+IF($N175=[1]CURSOS!$D$14,[1]CURSOS!$E$14,(+IF($N175=[1]CURSOS!$D$15,[1]CURSOS!$E$15,(+IF($N175=[1]CURSOS!$D$16,[1]CURSOS!$E$16,(+IF($N175=[1]CURSOS!$D$17,[1]CURSOS!$E$17,(+IF($N175=[1]CURSOS!$D$18,[1]CURSOS!$E$18,(+IF($N175=[1]CURSOS!$D$19,[1]CURSOS!$E$19,(+IF($N175=[1]CURSOS!$D$20,[1]CURSOS!$E$20,(+IF($N175=[1]CURSOS!$D$21,[1]CURSOS!$E$21,(+IF($N175=[1]CURSOS!$D$22,[1]CURSOS!$E$22,(+IF($N175=[1]CURSOS!$D$23,[1]CURSOS!$E$23,(+IF($N175=[1]CURSOS!$D$24,[1]CURSOS!$E$24,(+IF($N175=[1]CURSOS!$D$25,[1]CURSOS!$E$25,(+IF($N175=[1]CURSOS!$D$26,[1]CURSOS!$E$26,(+IF($N175=[1]CURSOS!$D$27,[1]CURSOS!$E$27,(+IF($N175=[1]CURSOS!$D$28,[1]CURSOS!$E$28,(+IF($N175=[1]CURSOS!$D$29,[1]CURSOS!$E$29,(+IF($N175=[1]CURSOS!$D$30,[1]CURSOS!$E$30,(+IF($N175=[1]CURSOS!$D$31,[1]CURSOS!$E$31,(+IF($N175=[1]CURSOS!$D$32,[1]CURSOS!$E$32)))))))))))))))))))))))))))))))))))))))))))))))))))))))))))</f>
        <v>SOPORTE VITAL BASICO (BLS)</v>
      </c>
      <c r="U175" s="51" t="str">
        <f t="shared" si="90"/>
        <v>Christian Andrés Lagos Pantoja</v>
      </c>
      <c r="V175" s="51" t="str">
        <f t="shared" si="91"/>
        <v>Christian Andrés Lagos Pantoja</v>
      </c>
      <c r="W175" s="51" t="str">
        <f t="shared" si="92"/>
        <v>Christian Andrés Lagos Pantoja-1085346681-BLS</v>
      </c>
    </row>
    <row r="176" spans="1:23" s="73" customFormat="1" x14ac:dyDescent="0.2">
      <c r="A176" s="20">
        <v>175</v>
      </c>
      <c r="B176" s="20">
        <v>1004509046</v>
      </c>
      <c r="C176" s="20" t="s">
        <v>156</v>
      </c>
      <c r="D176" s="20" t="s">
        <v>389</v>
      </c>
      <c r="E176" s="20" t="s">
        <v>471</v>
      </c>
      <c r="F176" s="20" t="s">
        <v>472</v>
      </c>
      <c r="G176" s="19">
        <v>16</v>
      </c>
      <c r="H176" s="19" t="s">
        <v>99</v>
      </c>
      <c r="I176" s="25">
        <v>45398</v>
      </c>
      <c r="J176" s="98">
        <v>40000</v>
      </c>
      <c r="K176" s="116" t="s">
        <v>82</v>
      </c>
      <c r="L176" s="19" t="s">
        <v>322</v>
      </c>
      <c r="M176" s="19" t="s">
        <v>77</v>
      </c>
      <c r="N176" s="21" t="s">
        <v>52</v>
      </c>
      <c r="O176" s="72">
        <v>36723</v>
      </c>
      <c r="P176" s="20" t="s">
        <v>78</v>
      </c>
      <c r="Q176" s="20"/>
      <c r="R176" s="20"/>
      <c r="S176" s="20"/>
      <c r="T176" s="51" t="str">
        <f>+IF($N176=[1]CURSOS!$D$3,[1]CURSOS!$E$3,(+IF($N176=[1]CURSOS!$D$4,[1]CURSOS!$E$4,(+IF($N176=[1]CURSOS!$D$5,[1]CURSOS!$E$5,(+IF($N176=[1]CURSOS!$D$6,[1]CURSOS!$E$6,(+IF($N176=[1]CURSOS!$D$7,[1]CURSOS!$E$7,(+IF($N176=[1]CURSOS!$D$8,[1]CURSOS!$E$8,(+IF($N176=[1]CURSOS!$D$9,[1]CURSOS!$E$9,(+IF($N176=[1]CURSOS!$D$10,[1]CURSOS!$E$10,(+IF($N176=[1]CURSOS!$D$11,[1]CURSOS!$E$11,(+IF($N176=[1]CURSOS!$D$12,[1]CURSOS!$E$12,(+IF($N176=[1]CURSOS!$D$13,[1]CURSOS!$E$13,(+IF($N176=[1]CURSOS!$D$14,[1]CURSOS!$E$14,(+IF($N176=[1]CURSOS!$D$15,[1]CURSOS!$E$15,(+IF($N176=[1]CURSOS!$D$16,[1]CURSOS!$E$16,(+IF($N176=[1]CURSOS!$D$17,[1]CURSOS!$E$17,(+IF($N176=[1]CURSOS!$D$18,[1]CURSOS!$E$18,(+IF($N176=[1]CURSOS!$D$19,[1]CURSOS!$E$19,(+IF($N176=[1]CURSOS!$D$20,[1]CURSOS!$E$20,(+IF($N176=[1]CURSOS!$D$21,[1]CURSOS!$E$21,(+IF($N176=[1]CURSOS!$D$22,[1]CURSOS!$E$22,(+IF($N176=[1]CURSOS!$D$23,[1]CURSOS!$E$23,(+IF($N176=[1]CURSOS!$D$24,[1]CURSOS!$E$24,(+IF($N176=[1]CURSOS!$D$25,[1]CURSOS!$E$25,(+IF($N176=[1]CURSOS!$D$26,[1]CURSOS!$E$26,(+IF($N176=[1]CURSOS!$D$27,[1]CURSOS!$E$27,(+IF($N176=[1]CURSOS!$D$28,[1]CURSOS!$E$28,(+IF($N176=[1]CURSOS!$D$29,[1]CURSOS!$E$29,(+IF($N176=[1]CURSOS!$D$30,[1]CURSOS!$E$30,(+IF($N176=[1]CURSOS!$D$31,[1]CURSOS!$E$31,(+IF($N176=[1]CURSOS!$D$32,[1]CURSOS!$E$32)))))))))))))))))))))))))))))))))))))))))))))))))))))))))))</f>
        <v xml:space="preserve">ADMINISTRACION DE MEDICAMENTOS, INYECTOLOGIA  Y CANALIZACION </v>
      </c>
      <c r="U176" s="51" t="str">
        <f t="shared" ref="U176" si="93">CONCATENATE(E176," ",F176," ",C176," ",D176)</f>
        <v>Angi Milena Hernandez Bolaños</v>
      </c>
      <c r="V176" s="51" t="str">
        <f t="shared" ref="V176" si="94">+PROPER(U176)</f>
        <v>Angi Milena Hernandez Bolaños</v>
      </c>
      <c r="W176" s="51" t="str">
        <f t="shared" ref="W176" si="95">CONCATENATE(U176,"-",B176,"-",N176)</f>
        <v>Angi Milena Hernandez Bolaños-1004509046-ADMON DE MEDICAMENTOS</v>
      </c>
    </row>
    <row r="177" spans="1:23" s="102" customFormat="1" x14ac:dyDescent="0.2">
      <c r="A177" s="102">
        <v>176</v>
      </c>
      <c r="B177" s="102">
        <v>1085268999</v>
      </c>
      <c r="C177" s="102" t="s">
        <v>478</v>
      </c>
      <c r="D177" s="102" t="s">
        <v>175</v>
      </c>
      <c r="E177" s="102" t="s">
        <v>479</v>
      </c>
      <c r="F177" s="102" t="s">
        <v>480</v>
      </c>
      <c r="G177" s="103">
        <v>15</v>
      </c>
      <c r="H177" s="103" t="s">
        <v>99</v>
      </c>
      <c r="I177" s="104">
        <v>45397</v>
      </c>
      <c r="J177" s="98">
        <v>40000</v>
      </c>
      <c r="K177" s="116" t="s">
        <v>551</v>
      </c>
      <c r="L177" s="103" t="s">
        <v>322</v>
      </c>
      <c r="M177" s="103" t="s">
        <v>100</v>
      </c>
      <c r="N177" s="105" t="s">
        <v>19</v>
      </c>
      <c r="O177" s="106">
        <v>32405</v>
      </c>
      <c r="P177" s="102" t="s">
        <v>78</v>
      </c>
      <c r="Q177" s="107" t="s">
        <v>160</v>
      </c>
      <c r="R177" s="102">
        <v>3135877770</v>
      </c>
      <c r="S177" s="102" t="s">
        <v>481</v>
      </c>
      <c r="T177" s="107" t="str">
        <f>+IF($N177=[1]CURSOS!$D$3,[1]CURSOS!$E$3,(+IF($N177=[1]CURSOS!$D$4,[1]CURSOS!$E$4,(+IF($N177=[1]CURSOS!$D$5,[1]CURSOS!$E$5,(+IF($N177=[1]CURSOS!$D$6,[1]CURSOS!$E$6,(+IF($N177=[1]CURSOS!$D$7,[1]CURSOS!$E$7,(+IF($N177=[1]CURSOS!$D$8,[1]CURSOS!$E$8,(+IF($N177=[1]CURSOS!$D$9,[1]CURSOS!$E$9,(+IF($N177=[1]CURSOS!$D$10,[1]CURSOS!$E$10,(+IF($N177=[1]CURSOS!$D$11,[1]CURSOS!$E$11,(+IF($N177=[1]CURSOS!$D$12,[1]CURSOS!$E$12,(+IF($N177=[1]CURSOS!$D$13,[1]CURSOS!$E$13,(+IF($N177=[1]CURSOS!$D$14,[1]CURSOS!$E$14,(+IF($N177=[1]CURSOS!$D$15,[1]CURSOS!$E$15,(+IF($N177=[1]CURSOS!$D$16,[1]CURSOS!$E$16,(+IF($N177=[1]CURSOS!$D$17,[1]CURSOS!$E$17,(+IF($N177=[1]CURSOS!$D$18,[1]CURSOS!$E$18,(+IF($N177=[1]CURSOS!$D$19,[1]CURSOS!$E$19,(+IF($N177=[1]CURSOS!$D$20,[1]CURSOS!$E$20,(+IF($N177=[1]CURSOS!$D$21,[1]CURSOS!$E$21,(+IF($N177=[1]CURSOS!$D$22,[1]CURSOS!$E$22,(+IF($N177=[1]CURSOS!$D$23,[1]CURSOS!$E$23,(+IF($N177=[1]CURSOS!$D$24,[1]CURSOS!$E$24,(+IF($N177=[1]CURSOS!$D$25,[1]CURSOS!$E$25,(+IF($N177=[1]CURSOS!$D$26,[1]CURSOS!$E$26,(+IF($N177=[1]CURSOS!$D$27,[1]CURSOS!$E$27,(+IF($N177=[1]CURSOS!$D$28,[1]CURSOS!$E$28,(+IF($N177=[1]CURSOS!$D$29,[1]CURSOS!$E$29,(+IF($N177=[1]CURSOS!$D$30,[1]CURSOS!$E$30,(+IF($N177=[1]CURSOS!$D$31,[1]CURSOS!$E$31,(+IF($N177=[1]CURSOS!$D$32,[1]CURSOS!$E$32)))))))))))))))))))))))))))))))))))))))))))))))))))))))))))</f>
        <v>SOPORTE VITAL BASICO (BLS)</v>
      </c>
      <c r="U177" s="107" t="str">
        <f t="shared" ref="U177:U178" si="96">CONCATENATE(E177," ",F177," ",C177," ",D177)</f>
        <v>Erica  Marcela  Chana Castillo</v>
      </c>
      <c r="V177" s="107" t="str">
        <f t="shared" ref="V177:V178" si="97">+PROPER(U177)</f>
        <v>Erica  Marcela  Chana Castillo</v>
      </c>
      <c r="W177" s="107" t="str">
        <f t="shared" ref="W177:W178" si="98">CONCATENATE(U177,"-",B177,"-",N177)</f>
        <v>Erica  Marcela  Chana Castillo-1085268999-BLS</v>
      </c>
    </row>
    <row r="178" spans="1:23" s="73" customFormat="1" x14ac:dyDescent="0.2">
      <c r="A178" s="20">
        <v>177</v>
      </c>
      <c r="B178" s="20">
        <v>59166388</v>
      </c>
      <c r="C178" s="20" t="s">
        <v>482</v>
      </c>
      <c r="D178" s="20" t="s">
        <v>483</v>
      </c>
      <c r="E178" s="20" t="s">
        <v>390</v>
      </c>
      <c r="F178" s="20" t="s">
        <v>484</v>
      </c>
      <c r="G178" s="19">
        <v>18</v>
      </c>
      <c r="H178" s="19" t="s">
        <v>99</v>
      </c>
      <c r="I178" s="25" t="s">
        <v>167</v>
      </c>
      <c r="J178" s="88" t="s">
        <v>167</v>
      </c>
      <c r="K178" s="19" t="s">
        <v>168</v>
      </c>
      <c r="L178" s="19" t="s">
        <v>322</v>
      </c>
      <c r="M178" s="19" t="s">
        <v>100</v>
      </c>
      <c r="N178" s="21" t="s">
        <v>19</v>
      </c>
      <c r="O178" s="72"/>
      <c r="P178" s="20" t="s">
        <v>78</v>
      </c>
      <c r="Q178" s="20"/>
      <c r="R178" s="20"/>
      <c r="S178" s="20" t="s">
        <v>488</v>
      </c>
      <c r="T178" s="51" t="str">
        <f>+IF($N178=[1]CURSOS!$D$3,[1]CURSOS!$E$3,(+IF($N178=[1]CURSOS!$D$4,[1]CURSOS!$E$4,(+IF($N178=[1]CURSOS!$D$5,[1]CURSOS!$E$5,(+IF($N178=[1]CURSOS!$D$6,[1]CURSOS!$E$6,(+IF($N178=[1]CURSOS!$D$7,[1]CURSOS!$E$7,(+IF($N178=[1]CURSOS!$D$8,[1]CURSOS!$E$8,(+IF($N178=[1]CURSOS!$D$9,[1]CURSOS!$E$9,(+IF($N178=[1]CURSOS!$D$10,[1]CURSOS!$E$10,(+IF($N178=[1]CURSOS!$D$11,[1]CURSOS!$E$11,(+IF($N178=[1]CURSOS!$D$12,[1]CURSOS!$E$12,(+IF($N178=[1]CURSOS!$D$13,[1]CURSOS!$E$13,(+IF($N178=[1]CURSOS!$D$14,[1]CURSOS!$E$14,(+IF($N178=[1]CURSOS!$D$15,[1]CURSOS!$E$15,(+IF($N178=[1]CURSOS!$D$16,[1]CURSOS!$E$16,(+IF($N178=[1]CURSOS!$D$17,[1]CURSOS!$E$17,(+IF($N178=[1]CURSOS!$D$18,[1]CURSOS!$E$18,(+IF($N178=[1]CURSOS!$D$19,[1]CURSOS!$E$19,(+IF($N178=[1]CURSOS!$D$20,[1]CURSOS!$E$20,(+IF($N178=[1]CURSOS!$D$21,[1]CURSOS!$E$21,(+IF($N178=[1]CURSOS!$D$22,[1]CURSOS!$E$22,(+IF($N178=[1]CURSOS!$D$23,[1]CURSOS!$E$23,(+IF($N178=[1]CURSOS!$D$24,[1]CURSOS!$E$24,(+IF($N178=[1]CURSOS!$D$25,[1]CURSOS!$E$25,(+IF($N178=[1]CURSOS!$D$26,[1]CURSOS!$E$26,(+IF($N178=[1]CURSOS!$D$27,[1]CURSOS!$E$27,(+IF($N178=[1]CURSOS!$D$28,[1]CURSOS!$E$28,(+IF($N178=[1]CURSOS!$D$29,[1]CURSOS!$E$29,(+IF($N178=[1]CURSOS!$D$30,[1]CURSOS!$E$30,(+IF($N178=[1]CURSOS!$D$31,[1]CURSOS!$E$31,(+IF($N178=[1]CURSOS!$D$32,[1]CURSOS!$E$32)))))))))))))))))))))))))))))))))))))))))))))))))))))))))))</f>
        <v>SOPORTE VITAL BASICO (BLS)</v>
      </c>
      <c r="U178" s="51" t="str">
        <f t="shared" si="96"/>
        <v>Lady Mariliny Tolosa Aguirre</v>
      </c>
      <c r="V178" s="51" t="str">
        <f t="shared" si="97"/>
        <v>Lady Mariliny Tolosa Aguirre</v>
      </c>
      <c r="W178" s="51" t="str">
        <f t="shared" si="98"/>
        <v>Lady Mariliny Tolosa Aguirre-59166388-BLS</v>
      </c>
    </row>
    <row r="179" spans="1:23" s="73" customFormat="1" x14ac:dyDescent="0.2">
      <c r="A179" s="20">
        <v>178</v>
      </c>
      <c r="B179" s="20">
        <v>59166388</v>
      </c>
      <c r="C179" s="20" t="s">
        <v>482</v>
      </c>
      <c r="D179" s="20" t="s">
        <v>483</v>
      </c>
      <c r="E179" s="20" t="s">
        <v>390</v>
      </c>
      <c r="F179" s="20" t="s">
        <v>484</v>
      </c>
      <c r="G179" s="19">
        <v>18</v>
      </c>
      <c r="H179" s="19" t="s">
        <v>99</v>
      </c>
      <c r="I179" s="25" t="s">
        <v>167</v>
      </c>
      <c r="J179" s="88" t="s">
        <v>167</v>
      </c>
      <c r="K179" s="19" t="s">
        <v>168</v>
      </c>
      <c r="L179" s="19" t="s">
        <v>322</v>
      </c>
      <c r="M179" s="19" t="s">
        <v>100</v>
      </c>
      <c r="N179" s="21" t="s">
        <v>33</v>
      </c>
      <c r="O179" s="72"/>
      <c r="P179" s="20" t="s">
        <v>78</v>
      </c>
      <c r="Q179" s="20"/>
      <c r="R179" s="20"/>
      <c r="S179" s="20" t="s">
        <v>488</v>
      </c>
      <c r="T179" s="51" t="str">
        <f>+IF($N179=[1]CURSOS!$D$3,[1]CURSOS!$E$3,(+IF($N179=[1]CURSOS!$D$4,[1]CURSOS!$E$4,(+IF($N179=[1]CURSOS!$D$5,[1]CURSOS!$E$5,(+IF($N179=[1]CURSOS!$D$6,[1]CURSOS!$E$6,(+IF($N179=[1]CURSOS!$D$7,[1]CURSOS!$E$7,(+IF($N179=[1]CURSOS!$D$8,[1]CURSOS!$E$8,(+IF($N179=[1]CURSOS!$D$9,[1]CURSOS!$E$9,(+IF($N179=[1]CURSOS!$D$10,[1]CURSOS!$E$10,(+IF($N179=[1]CURSOS!$D$11,[1]CURSOS!$E$11,(+IF($N179=[1]CURSOS!$D$12,[1]CURSOS!$E$12,(+IF($N179=[1]CURSOS!$D$13,[1]CURSOS!$E$13,(+IF($N179=[1]CURSOS!$D$14,[1]CURSOS!$E$14,(+IF($N179=[1]CURSOS!$D$15,[1]CURSOS!$E$15,(+IF($N179=[1]CURSOS!$D$16,[1]CURSOS!$E$16,(+IF($N179=[1]CURSOS!$D$17,[1]CURSOS!$E$17,(+IF($N179=[1]CURSOS!$D$18,[1]CURSOS!$E$18,(+IF($N179=[1]CURSOS!$D$19,[1]CURSOS!$E$19,(+IF($N179=[1]CURSOS!$D$20,[1]CURSOS!$E$20,(+IF($N179=[1]CURSOS!$D$21,[1]CURSOS!$E$21,(+IF($N179=[1]CURSOS!$D$22,[1]CURSOS!$E$22,(+IF($N179=[1]CURSOS!$D$23,[1]CURSOS!$E$23,(+IF($N179=[1]CURSOS!$D$24,[1]CURSOS!$E$24,(+IF($N179=[1]CURSOS!$D$25,[1]CURSOS!$E$25,(+IF($N179=[1]CURSOS!$D$26,[1]CURSOS!$E$26,(+IF($N179=[1]CURSOS!$D$27,[1]CURSOS!$E$27,(+IF($N179=[1]CURSOS!$D$28,[1]CURSOS!$E$28,(+IF($N179=[1]CURSOS!$D$29,[1]CURSOS!$E$29,(+IF($N179=[1]CURSOS!$D$30,[1]CURSOS!$E$30,(+IF($N179=[1]CURSOS!$D$31,[1]CURSOS!$E$31,(+IF($N179=[1]CURSOS!$D$32,[1]CURSOS!$E$32)))))))))))))))))))))))))))))))))))))))))))))))))))))))))))</f>
        <v xml:space="preserve">HUMANIZACION EN SALUD, BUENAS PRACTICAS EN PACIENTE </v>
      </c>
      <c r="U179" s="51" t="str">
        <f t="shared" ref="U179:U188" si="99">CONCATENATE(E179," ",F179," ",C179," ",D179)</f>
        <v>Lady Mariliny Tolosa Aguirre</v>
      </c>
      <c r="V179" s="51" t="str">
        <f t="shared" ref="V179:V188" si="100">+PROPER(U179)</f>
        <v>Lady Mariliny Tolosa Aguirre</v>
      </c>
      <c r="W179" s="51" t="str">
        <f t="shared" ref="W179:W188" si="101">CONCATENATE(U179,"-",B179,"-",N179)</f>
        <v>Lady Mariliny Tolosa Aguirre-59166388-HUMANIZACION</v>
      </c>
    </row>
    <row r="180" spans="1:23" s="73" customFormat="1" x14ac:dyDescent="0.2">
      <c r="A180" s="20">
        <v>179</v>
      </c>
      <c r="B180" s="20">
        <v>59166388</v>
      </c>
      <c r="C180" s="20" t="s">
        <v>482</v>
      </c>
      <c r="D180" s="20" t="s">
        <v>483</v>
      </c>
      <c r="E180" s="20" t="s">
        <v>390</v>
      </c>
      <c r="F180" s="20" t="s">
        <v>484</v>
      </c>
      <c r="G180" s="19">
        <v>18</v>
      </c>
      <c r="H180" s="19" t="s">
        <v>99</v>
      </c>
      <c r="I180" s="25" t="s">
        <v>167</v>
      </c>
      <c r="J180" s="88" t="s">
        <v>167</v>
      </c>
      <c r="K180" s="19" t="s">
        <v>168</v>
      </c>
      <c r="L180" s="19" t="s">
        <v>322</v>
      </c>
      <c r="M180" s="19" t="s">
        <v>100</v>
      </c>
      <c r="N180" s="21" t="s">
        <v>46</v>
      </c>
      <c r="O180" s="72"/>
      <c r="P180" s="20" t="s">
        <v>78</v>
      </c>
      <c r="Q180" s="20"/>
      <c r="R180" s="20"/>
      <c r="S180" s="20" t="s">
        <v>488</v>
      </c>
      <c r="T180" s="51" t="str">
        <f>+IF($N180=[1]CURSOS!$D$3,[1]CURSOS!$E$3,(+IF($N180=[1]CURSOS!$D$4,[1]CURSOS!$E$4,(+IF($N180=[1]CURSOS!$D$5,[1]CURSOS!$E$5,(+IF($N180=[1]CURSOS!$D$6,[1]CURSOS!$E$6,(+IF($N180=[1]CURSOS!$D$7,[1]CURSOS!$E$7,(+IF($N180=[1]CURSOS!$D$8,[1]CURSOS!$E$8,(+IF($N180=[1]CURSOS!$D$9,[1]CURSOS!$E$9,(+IF($N180=[1]CURSOS!$D$10,[1]CURSOS!$E$10,(+IF($N180=[1]CURSOS!$D$11,[1]CURSOS!$E$11,(+IF($N180=[1]CURSOS!$D$12,[1]CURSOS!$E$12,(+IF($N180=[1]CURSOS!$D$13,[1]CURSOS!$E$13,(+IF($N180=[1]CURSOS!$D$14,[1]CURSOS!$E$14,(+IF($N180=[1]CURSOS!$D$15,[1]CURSOS!$E$15,(+IF($N180=[1]CURSOS!$D$16,[1]CURSOS!$E$16,(+IF($N180=[1]CURSOS!$D$17,[1]CURSOS!$E$17,(+IF($N180=[1]CURSOS!$D$18,[1]CURSOS!$E$18,(+IF($N180=[1]CURSOS!$D$19,[1]CURSOS!$E$19,(+IF($N180=[1]CURSOS!$D$20,[1]CURSOS!$E$20,(+IF($N180=[1]CURSOS!$D$21,[1]CURSOS!$E$21,(+IF($N180=[1]CURSOS!$D$22,[1]CURSOS!$E$22,(+IF($N180=[1]CURSOS!$D$23,[1]CURSOS!$E$23,(+IF($N180=[1]CURSOS!$D$24,[1]CURSOS!$E$24,(+IF($N180=[1]CURSOS!$D$25,[1]CURSOS!$E$25,(+IF($N180=[1]CURSOS!$D$26,[1]CURSOS!$E$26,(+IF($N180=[1]CURSOS!$D$27,[1]CURSOS!$E$27,(+IF($N180=[1]CURSOS!$D$28,[1]CURSOS!$E$28,(+IF($N180=[1]CURSOS!$D$29,[1]CURSOS!$E$29,(+IF($N180=[1]CURSOS!$D$30,[1]CURSOS!$E$30,(+IF($N180=[1]CURSOS!$D$31,[1]CURSOS!$E$31,(+IF($N180=[1]CURSOS!$D$32,[1]CURSOS!$E$32)))))))))))))))))))))))))))))))))))))))))))))))))))))))))))</f>
        <v xml:space="preserve">ATENCION A VICTIMAS DE VIOLENCIA SEXUAL </v>
      </c>
      <c r="U180" s="51" t="str">
        <f t="shared" si="99"/>
        <v>Lady Mariliny Tolosa Aguirre</v>
      </c>
      <c r="V180" s="51" t="str">
        <f t="shared" si="100"/>
        <v>Lady Mariliny Tolosa Aguirre</v>
      </c>
      <c r="W180" s="51" t="str">
        <f t="shared" si="101"/>
        <v>Lady Mariliny Tolosa Aguirre-59166388-VIOLENCIA SEXUAL</v>
      </c>
    </row>
    <row r="181" spans="1:23" s="73" customFormat="1" x14ac:dyDescent="0.2">
      <c r="A181" s="20">
        <v>180</v>
      </c>
      <c r="B181" s="20">
        <v>1069721933</v>
      </c>
      <c r="C181" s="20" t="s">
        <v>485</v>
      </c>
      <c r="D181" s="20" t="s">
        <v>486</v>
      </c>
      <c r="E181" s="20" t="s">
        <v>487</v>
      </c>
      <c r="F181" s="20"/>
      <c r="G181" s="19">
        <v>18</v>
      </c>
      <c r="H181" s="19" t="s">
        <v>99</v>
      </c>
      <c r="I181" s="25" t="s">
        <v>167</v>
      </c>
      <c r="J181" s="88" t="s">
        <v>167</v>
      </c>
      <c r="K181" s="19" t="s">
        <v>168</v>
      </c>
      <c r="L181" s="19" t="s">
        <v>322</v>
      </c>
      <c r="M181" s="19" t="s">
        <v>100</v>
      </c>
      <c r="N181" s="21" t="s">
        <v>19</v>
      </c>
      <c r="O181" s="72"/>
      <c r="P181" s="20" t="s">
        <v>88</v>
      </c>
      <c r="Q181" s="20"/>
      <c r="R181" s="20"/>
      <c r="S181" s="20"/>
      <c r="T181" s="51" t="str">
        <f>+IF($N181=[1]CURSOS!$D$3,[1]CURSOS!$E$3,(+IF($N181=[1]CURSOS!$D$4,[1]CURSOS!$E$4,(+IF($N181=[1]CURSOS!$D$5,[1]CURSOS!$E$5,(+IF($N181=[1]CURSOS!$D$6,[1]CURSOS!$E$6,(+IF($N181=[1]CURSOS!$D$7,[1]CURSOS!$E$7,(+IF($N181=[1]CURSOS!$D$8,[1]CURSOS!$E$8,(+IF($N181=[1]CURSOS!$D$9,[1]CURSOS!$E$9,(+IF($N181=[1]CURSOS!$D$10,[1]CURSOS!$E$10,(+IF($N181=[1]CURSOS!$D$11,[1]CURSOS!$E$11,(+IF($N181=[1]CURSOS!$D$12,[1]CURSOS!$E$12,(+IF($N181=[1]CURSOS!$D$13,[1]CURSOS!$E$13,(+IF($N181=[1]CURSOS!$D$14,[1]CURSOS!$E$14,(+IF($N181=[1]CURSOS!$D$15,[1]CURSOS!$E$15,(+IF($N181=[1]CURSOS!$D$16,[1]CURSOS!$E$16,(+IF($N181=[1]CURSOS!$D$17,[1]CURSOS!$E$17,(+IF($N181=[1]CURSOS!$D$18,[1]CURSOS!$E$18,(+IF($N181=[1]CURSOS!$D$19,[1]CURSOS!$E$19,(+IF($N181=[1]CURSOS!$D$20,[1]CURSOS!$E$20,(+IF($N181=[1]CURSOS!$D$21,[1]CURSOS!$E$21,(+IF($N181=[1]CURSOS!$D$22,[1]CURSOS!$E$22,(+IF($N181=[1]CURSOS!$D$23,[1]CURSOS!$E$23,(+IF($N181=[1]CURSOS!$D$24,[1]CURSOS!$E$24,(+IF($N181=[1]CURSOS!$D$25,[1]CURSOS!$E$25,(+IF($N181=[1]CURSOS!$D$26,[1]CURSOS!$E$26,(+IF($N181=[1]CURSOS!$D$27,[1]CURSOS!$E$27,(+IF($N181=[1]CURSOS!$D$28,[1]CURSOS!$E$28,(+IF($N181=[1]CURSOS!$D$29,[1]CURSOS!$E$29,(+IF($N181=[1]CURSOS!$D$30,[1]CURSOS!$E$30,(+IF($N181=[1]CURSOS!$D$31,[1]CURSOS!$E$31,(+IF($N181=[1]CURSOS!$D$32,[1]CURSOS!$E$32)))))))))))))))))))))))))))))))))))))))))))))))))))))))))))</f>
        <v>SOPORTE VITAL BASICO (BLS)</v>
      </c>
      <c r="U181" s="51" t="str">
        <f t="shared" si="99"/>
        <v>Edwin  Castro Calzada</v>
      </c>
      <c r="V181" s="51" t="str">
        <f t="shared" si="100"/>
        <v>Edwin  Castro Calzada</v>
      </c>
      <c r="W181" s="51" t="str">
        <f t="shared" si="101"/>
        <v>Edwin  Castro Calzada-1069721933-BLS</v>
      </c>
    </row>
    <row r="182" spans="1:23" s="73" customFormat="1" x14ac:dyDescent="0.2">
      <c r="A182" s="20">
        <v>181</v>
      </c>
      <c r="B182" s="20">
        <v>1069721933</v>
      </c>
      <c r="C182" s="20" t="s">
        <v>485</v>
      </c>
      <c r="D182" s="20" t="s">
        <v>486</v>
      </c>
      <c r="E182" s="20" t="s">
        <v>487</v>
      </c>
      <c r="F182" s="20"/>
      <c r="G182" s="19">
        <v>18</v>
      </c>
      <c r="H182" s="19" t="s">
        <v>99</v>
      </c>
      <c r="I182" s="25" t="s">
        <v>167</v>
      </c>
      <c r="J182" s="88" t="s">
        <v>167</v>
      </c>
      <c r="K182" s="19" t="s">
        <v>168</v>
      </c>
      <c r="L182" s="19" t="s">
        <v>322</v>
      </c>
      <c r="M182" s="19" t="s">
        <v>100</v>
      </c>
      <c r="N182" s="21" t="s">
        <v>33</v>
      </c>
      <c r="O182" s="72"/>
      <c r="P182" s="20" t="s">
        <v>88</v>
      </c>
      <c r="Q182" s="20"/>
      <c r="R182" s="20"/>
      <c r="S182" s="20"/>
      <c r="T182" s="51" t="str">
        <f>+IF($N182=[1]CURSOS!$D$3,[1]CURSOS!$E$3,(+IF($N182=[1]CURSOS!$D$4,[1]CURSOS!$E$4,(+IF($N182=[1]CURSOS!$D$5,[1]CURSOS!$E$5,(+IF($N182=[1]CURSOS!$D$6,[1]CURSOS!$E$6,(+IF($N182=[1]CURSOS!$D$7,[1]CURSOS!$E$7,(+IF($N182=[1]CURSOS!$D$8,[1]CURSOS!$E$8,(+IF($N182=[1]CURSOS!$D$9,[1]CURSOS!$E$9,(+IF($N182=[1]CURSOS!$D$10,[1]CURSOS!$E$10,(+IF($N182=[1]CURSOS!$D$11,[1]CURSOS!$E$11,(+IF($N182=[1]CURSOS!$D$12,[1]CURSOS!$E$12,(+IF($N182=[1]CURSOS!$D$13,[1]CURSOS!$E$13,(+IF($N182=[1]CURSOS!$D$14,[1]CURSOS!$E$14,(+IF($N182=[1]CURSOS!$D$15,[1]CURSOS!$E$15,(+IF($N182=[1]CURSOS!$D$16,[1]CURSOS!$E$16,(+IF($N182=[1]CURSOS!$D$17,[1]CURSOS!$E$17,(+IF($N182=[1]CURSOS!$D$18,[1]CURSOS!$E$18,(+IF($N182=[1]CURSOS!$D$19,[1]CURSOS!$E$19,(+IF($N182=[1]CURSOS!$D$20,[1]CURSOS!$E$20,(+IF($N182=[1]CURSOS!$D$21,[1]CURSOS!$E$21,(+IF($N182=[1]CURSOS!$D$22,[1]CURSOS!$E$22,(+IF($N182=[1]CURSOS!$D$23,[1]CURSOS!$E$23,(+IF($N182=[1]CURSOS!$D$24,[1]CURSOS!$E$24,(+IF($N182=[1]CURSOS!$D$25,[1]CURSOS!$E$25,(+IF($N182=[1]CURSOS!$D$26,[1]CURSOS!$E$26,(+IF($N182=[1]CURSOS!$D$27,[1]CURSOS!$E$27,(+IF($N182=[1]CURSOS!$D$28,[1]CURSOS!$E$28,(+IF($N182=[1]CURSOS!$D$29,[1]CURSOS!$E$29,(+IF($N182=[1]CURSOS!$D$30,[1]CURSOS!$E$30,(+IF($N182=[1]CURSOS!$D$31,[1]CURSOS!$E$31,(+IF($N182=[1]CURSOS!$D$32,[1]CURSOS!$E$32)))))))))))))))))))))))))))))))))))))))))))))))))))))))))))</f>
        <v xml:space="preserve">HUMANIZACION EN SALUD, BUENAS PRACTICAS EN PACIENTE </v>
      </c>
      <c r="U182" s="51" t="str">
        <f t="shared" si="99"/>
        <v>Edwin  Castro Calzada</v>
      </c>
      <c r="V182" s="51" t="str">
        <f t="shared" si="100"/>
        <v>Edwin  Castro Calzada</v>
      </c>
      <c r="W182" s="51" t="str">
        <f t="shared" si="101"/>
        <v>Edwin  Castro Calzada-1069721933-HUMANIZACION</v>
      </c>
    </row>
    <row r="183" spans="1:23" s="73" customFormat="1" x14ac:dyDescent="0.2">
      <c r="A183" s="20">
        <v>182</v>
      </c>
      <c r="B183" s="20">
        <v>1069721933</v>
      </c>
      <c r="C183" s="20" t="s">
        <v>485</v>
      </c>
      <c r="D183" s="20" t="s">
        <v>486</v>
      </c>
      <c r="E183" s="20" t="s">
        <v>487</v>
      </c>
      <c r="F183" s="20"/>
      <c r="G183" s="19">
        <v>18</v>
      </c>
      <c r="H183" s="19" t="s">
        <v>99</v>
      </c>
      <c r="I183" s="25" t="s">
        <v>167</v>
      </c>
      <c r="J183" s="88" t="s">
        <v>167</v>
      </c>
      <c r="K183" s="19" t="s">
        <v>168</v>
      </c>
      <c r="L183" s="19" t="s">
        <v>322</v>
      </c>
      <c r="M183" s="19" t="s">
        <v>100</v>
      </c>
      <c r="N183" s="21" t="s">
        <v>46</v>
      </c>
      <c r="O183" s="72"/>
      <c r="P183" s="20" t="s">
        <v>88</v>
      </c>
      <c r="Q183" s="20"/>
      <c r="R183" s="20"/>
      <c r="S183" s="20"/>
      <c r="T183" s="51" t="str">
        <f>+IF($N183=[1]CURSOS!$D$3,[1]CURSOS!$E$3,(+IF($N183=[1]CURSOS!$D$4,[1]CURSOS!$E$4,(+IF($N183=[1]CURSOS!$D$5,[1]CURSOS!$E$5,(+IF($N183=[1]CURSOS!$D$6,[1]CURSOS!$E$6,(+IF($N183=[1]CURSOS!$D$7,[1]CURSOS!$E$7,(+IF($N183=[1]CURSOS!$D$8,[1]CURSOS!$E$8,(+IF($N183=[1]CURSOS!$D$9,[1]CURSOS!$E$9,(+IF($N183=[1]CURSOS!$D$10,[1]CURSOS!$E$10,(+IF($N183=[1]CURSOS!$D$11,[1]CURSOS!$E$11,(+IF($N183=[1]CURSOS!$D$12,[1]CURSOS!$E$12,(+IF($N183=[1]CURSOS!$D$13,[1]CURSOS!$E$13,(+IF($N183=[1]CURSOS!$D$14,[1]CURSOS!$E$14,(+IF($N183=[1]CURSOS!$D$15,[1]CURSOS!$E$15,(+IF($N183=[1]CURSOS!$D$16,[1]CURSOS!$E$16,(+IF($N183=[1]CURSOS!$D$17,[1]CURSOS!$E$17,(+IF($N183=[1]CURSOS!$D$18,[1]CURSOS!$E$18,(+IF($N183=[1]CURSOS!$D$19,[1]CURSOS!$E$19,(+IF($N183=[1]CURSOS!$D$20,[1]CURSOS!$E$20,(+IF($N183=[1]CURSOS!$D$21,[1]CURSOS!$E$21,(+IF($N183=[1]CURSOS!$D$22,[1]CURSOS!$E$22,(+IF($N183=[1]CURSOS!$D$23,[1]CURSOS!$E$23,(+IF($N183=[1]CURSOS!$D$24,[1]CURSOS!$E$24,(+IF($N183=[1]CURSOS!$D$25,[1]CURSOS!$E$25,(+IF($N183=[1]CURSOS!$D$26,[1]CURSOS!$E$26,(+IF($N183=[1]CURSOS!$D$27,[1]CURSOS!$E$27,(+IF($N183=[1]CURSOS!$D$28,[1]CURSOS!$E$28,(+IF($N183=[1]CURSOS!$D$29,[1]CURSOS!$E$29,(+IF($N183=[1]CURSOS!$D$30,[1]CURSOS!$E$30,(+IF($N183=[1]CURSOS!$D$31,[1]CURSOS!$E$31,(+IF($N183=[1]CURSOS!$D$32,[1]CURSOS!$E$32)))))))))))))))))))))))))))))))))))))))))))))))))))))))))))</f>
        <v xml:space="preserve">ATENCION A VICTIMAS DE VIOLENCIA SEXUAL </v>
      </c>
      <c r="U183" s="51" t="str">
        <f t="shared" si="99"/>
        <v>Edwin  Castro Calzada</v>
      </c>
      <c r="V183" s="51" t="str">
        <f t="shared" si="100"/>
        <v>Edwin  Castro Calzada</v>
      </c>
      <c r="W183" s="51" t="str">
        <f t="shared" si="101"/>
        <v>Edwin  Castro Calzada-1069721933-VIOLENCIA SEXUAL</v>
      </c>
    </row>
    <row r="184" spans="1:23" s="73" customFormat="1" ht="15.75" x14ac:dyDescent="0.25">
      <c r="A184" s="20">
        <v>183</v>
      </c>
      <c r="B184" s="31">
        <v>1233192014</v>
      </c>
      <c r="C184" s="124" t="s">
        <v>220</v>
      </c>
      <c r="D184" s="124" t="s">
        <v>186</v>
      </c>
      <c r="E184" s="124" t="s">
        <v>288</v>
      </c>
      <c r="F184" s="124" t="s">
        <v>416</v>
      </c>
      <c r="G184" s="127">
        <v>16</v>
      </c>
      <c r="H184" s="127" t="s">
        <v>99</v>
      </c>
      <c r="I184" s="128" t="s">
        <v>550</v>
      </c>
      <c r="J184" s="122">
        <v>40000</v>
      </c>
      <c r="K184" s="19"/>
      <c r="L184" s="19" t="s">
        <v>322</v>
      </c>
      <c r="M184" s="19" t="s">
        <v>537</v>
      </c>
      <c r="N184" s="21" t="s">
        <v>25</v>
      </c>
      <c r="O184" s="72"/>
      <c r="P184" s="20" t="s">
        <v>88</v>
      </c>
      <c r="Q184" s="20"/>
      <c r="R184" s="20"/>
      <c r="S184" s="20"/>
      <c r="T184" s="51" t="str">
        <f>+IF($N184=[1]CURSOS!$D$3,[1]CURSOS!$E$3,(+IF($N184=[1]CURSOS!$D$4,[1]CURSOS!$E$4,(+IF($N184=[1]CURSOS!$D$5,[1]CURSOS!$E$5,(+IF($N184=[1]CURSOS!$D$6,[1]CURSOS!$E$6,(+IF($N184=[1]CURSOS!$D$7,[1]CURSOS!$E$7,(+IF($N184=[1]CURSOS!$D$8,[1]CURSOS!$E$8,(+IF($N184=[1]CURSOS!$D$9,[1]CURSOS!$E$9,(+IF($N184=[1]CURSOS!$D$10,[1]CURSOS!$E$10,(+IF($N184=[1]CURSOS!$D$11,[1]CURSOS!$E$11,(+IF($N184=[1]CURSOS!$D$12,[1]CURSOS!$E$12,(+IF($N184=[1]CURSOS!$D$13,[1]CURSOS!$E$13,(+IF($N184=[1]CURSOS!$D$14,[1]CURSOS!$E$14,(+IF($N184=[1]CURSOS!$D$15,[1]CURSOS!$E$15,(+IF($N184=[1]CURSOS!$D$16,[1]CURSOS!$E$16,(+IF($N184=[1]CURSOS!$D$17,[1]CURSOS!$E$17,(+IF($N184=[1]CURSOS!$D$18,[1]CURSOS!$E$18,(+IF($N184=[1]CURSOS!$D$19,[1]CURSOS!$E$19,(+IF($N184=[1]CURSOS!$D$20,[1]CURSOS!$E$20,(+IF($N184=[1]CURSOS!$D$21,[1]CURSOS!$E$21,(+IF($N184=[1]CURSOS!$D$22,[1]CURSOS!$E$22,(+IF($N184=[1]CURSOS!$D$23,[1]CURSOS!$E$23,(+IF($N184=[1]CURSOS!$D$24,[1]CURSOS!$E$24,(+IF($N184=[1]CURSOS!$D$25,[1]CURSOS!$E$25,(+IF($N184=[1]CURSOS!$D$26,[1]CURSOS!$E$26,(+IF($N184=[1]CURSOS!$D$27,[1]CURSOS!$E$27,(+IF($N184=[1]CURSOS!$D$28,[1]CURSOS!$E$28,(+IF($N184=[1]CURSOS!$D$29,[1]CURSOS!$E$29,(+IF($N184=[1]CURSOS!$D$30,[1]CURSOS!$E$30,(+IF($N184=[1]CURSOS!$D$31,[1]CURSOS!$E$31,(+IF($N184=[1]CURSOS!$D$32,[1]CURSOS!$E$32)))))))))))))))))))))))))))))))))))))))))))))))))))))))))))</f>
        <v xml:space="preserve">ATENCION A VICTIMAS DE ATAQUE CON AGENTES QUIMICOS </v>
      </c>
      <c r="U184" s="51" t="str">
        <f t="shared" si="99"/>
        <v>Nicolas Mateo Burgos Rosero</v>
      </c>
      <c r="V184" s="51" t="str">
        <f t="shared" si="100"/>
        <v>Nicolas Mateo Burgos Rosero</v>
      </c>
      <c r="W184" s="51" t="str">
        <f t="shared" si="101"/>
        <v>Nicolas Mateo Burgos Rosero-1233192014-QUIMICOS</v>
      </c>
    </row>
    <row r="185" spans="1:23" s="73" customFormat="1" ht="15.75" x14ac:dyDescent="0.25">
      <c r="A185" s="20">
        <v>184</v>
      </c>
      <c r="B185" s="31">
        <v>1233192014</v>
      </c>
      <c r="C185" s="124" t="s">
        <v>220</v>
      </c>
      <c r="D185" s="124" t="s">
        <v>186</v>
      </c>
      <c r="E185" s="124" t="s">
        <v>288</v>
      </c>
      <c r="F185" s="124" t="s">
        <v>416</v>
      </c>
      <c r="G185" s="127">
        <v>18</v>
      </c>
      <c r="H185" s="127" t="s">
        <v>99</v>
      </c>
      <c r="I185" s="128" t="s">
        <v>550</v>
      </c>
      <c r="J185" s="122">
        <v>40000</v>
      </c>
      <c r="K185" s="19"/>
      <c r="L185" s="19" t="s">
        <v>322</v>
      </c>
      <c r="M185" s="19" t="s">
        <v>537</v>
      </c>
      <c r="N185" s="21" t="s">
        <v>23</v>
      </c>
      <c r="O185" s="72"/>
      <c r="P185" s="20" t="s">
        <v>88</v>
      </c>
      <c r="Q185" s="20"/>
      <c r="R185" s="20"/>
      <c r="S185" s="20"/>
      <c r="T185" s="51" t="str">
        <f>+IF($N185=[1]CURSOS!$D$3,[1]CURSOS!$E$3,(+IF($N185=[1]CURSOS!$D$4,[1]CURSOS!$E$4,(+IF($N185=[1]CURSOS!$D$5,[1]CURSOS!$E$5,(+IF($N185=[1]CURSOS!$D$6,[1]CURSOS!$E$6,(+IF($N185=[1]CURSOS!$D$7,[1]CURSOS!$E$7,(+IF($N185=[1]CURSOS!$D$8,[1]CURSOS!$E$8,(+IF($N185=[1]CURSOS!$D$9,[1]CURSOS!$E$9,(+IF($N185=[1]CURSOS!$D$10,[1]CURSOS!$E$10,(+IF($N185=[1]CURSOS!$D$11,[1]CURSOS!$E$11,(+IF($N185=[1]CURSOS!$D$12,[1]CURSOS!$E$12,(+IF($N185=[1]CURSOS!$D$13,[1]CURSOS!$E$13,(+IF($N185=[1]CURSOS!$D$14,[1]CURSOS!$E$14,(+IF($N185=[1]CURSOS!$D$15,[1]CURSOS!$E$15,(+IF($N185=[1]CURSOS!$D$16,[1]CURSOS!$E$16,(+IF($N185=[1]CURSOS!$D$17,[1]CURSOS!$E$17,(+IF($N185=[1]CURSOS!$D$18,[1]CURSOS!$E$18,(+IF($N185=[1]CURSOS!$D$19,[1]CURSOS!$E$19,(+IF($N185=[1]CURSOS!$D$20,[1]CURSOS!$E$20,(+IF($N185=[1]CURSOS!$D$21,[1]CURSOS!$E$21,(+IF($N185=[1]CURSOS!$D$22,[1]CURSOS!$E$22,(+IF($N185=[1]CURSOS!$D$23,[1]CURSOS!$E$23,(+IF($N185=[1]CURSOS!$D$24,[1]CURSOS!$E$24,(+IF($N185=[1]CURSOS!$D$25,[1]CURSOS!$E$25,(+IF($N185=[1]CURSOS!$D$26,[1]CURSOS!$E$26,(+IF($N185=[1]CURSOS!$D$27,[1]CURSOS!$E$27,(+IF($N185=[1]CURSOS!$D$28,[1]CURSOS!$E$28,(+IF($N185=[1]CURSOS!$D$29,[1]CURSOS!$E$29,(+IF($N185=[1]CURSOS!$D$30,[1]CURSOS!$E$30,(+IF($N185=[1]CURSOS!$D$31,[1]CURSOS!$E$31,(+IF($N185=[1]CURSOS!$D$32,[1]CURSOS!$E$32)))))))))))))))))))))))))))))))))))))))))))))))))))))))))))</f>
        <v>ACOMPAÑAMIENTO Y MANEJO DEL DUELO</v>
      </c>
      <c r="U185" s="51" t="str">
        <f t="shared" si="99"/>
        <v>Nicolas Mateo Burgos Rosero</v>
      </c>
      <c r="V185" s="51" t="str">
        <f t="shared" si="100"/>
        <v>Nicolas Mateo Burgos Rosero</v>
      </c>
      <c r="W185" s="51" t="str">
        <f t="shared" si="101"/>
        <v>Nicolas Mateo Burgos Rosero-1233192014-DUELO</v>
      </c>
    </row>
    <row r="186" spans="1:23" s="73" customFormat="1" x14ac:dyDescent="0.2">
      <c r="A186" s="20">
        <v>185</v>
      </c>
      <c r="B186" s="20">
        <v>1086695565</v>
      </c>
      <c r="C186" s="20" t="s">
        <v>320</v>
      </c>
      <c r="D186" s="20" t="s">
        <v>204</v>
      </c>
      <c r="E186" s="20" t="s">
        <v>316</v>
      </c>
      <c r="F186" s="20" t="s">
        <v>489</v>
      </c>
      <c r="G186" s="19">
        <v>17</v>
      </c>
      <c r="H186" s="19" t="s">
        <v>99</v>
      </c>
      <c r="I186" s="25">
        <v>45400</v>
      </c>
      <c r="J186" s="98">
        <v>30000</v>
      </c>
      <c r="K186" s="116" t="s">
        <v>82</v>
      </c>
      <c r="L186" s="19" t="s">
        <v>322</v>
      </c>
      <c r="M186" s="19" t="s">
        <v>77</v>
      </c>
      <c r="N186" s="21" t="s">
        <v>25</v>
      </c>
      <c r="O186" s="72">
        <v>32196</v>
      </c>
      <c r="P186" s="20" t="s">
        <v>78</v>
      </c>
      <c r="Q186" s="20" t="s">
        <v>491</v>
      </c>
      <c r="R186" s="20">
        <v>3178550556</v>
      </c>
      <c r="S186" s="20" t="s">
        <v>490</v>
      </c>
      <c r="T186" s="51" t="str">
        <f>+IF($N186=[1]CURSOS!$D$3,[1]CURSOS!$E$3,(+IF($N186=[1]CURSOS!$D$4,[1]CURSOS!$E$4,(+IF($N186=[1]CURSOS!$D$5,[1]CURSOS!$E$5,(+IF($N186=[1]CURSOS!$D$6,[1]CURSOS!$E$6,(+IF($N186=[1]CURSOS!$D$7,[1]CURSOS!$E$7,(+IF($N186=[1]CURSOS!$D$8,[1]CURSOS!$E$8,(+IF($N186=[1]CURSOS!$D$9,[1]CURSOS!$E$9,(+IF($N186=[1]CURSOS!$D$10,[1]CURSOS!$E$10,(+IF($N186=[1]CURSOS!$D$11,[1]CURSOS!$E$11,(+IF($N186=[1]CURSOS!$D$12,[1]CURSOS!$E$12,(+IF($N186=[1]CURSOS!$D$13,[1]CURSOS!$E$13,(+IF($N186=[1]CURSOS!$D$14,[1]CURSOS!$E$14,(+IF($N186=[1]CURSOS!$D$15,[1]CURSOS!$E$15,(+IF($N186=[1]CURSOS!$D$16,[1]CURSOS!$E$16,(+IF($N186=[1]CURSOS!$D$17,[1]CURSOS!$E$17,(+IF($N186=[1]CURSOS!$D$18,[1]CURSOS!$E$18,(+IF($N186=[1]CURSOS!$D$19,[1]CURSOS!$E$19,(+IF($N186=[1]CURSOS!$D$20,[1]CURSOS!$E$20,(+IF($N186=[1]CURSOS!$D$21,[1]CURSOS!$E$21,(+IF($N186=[1]CURSOS!$D$22,[1]CURSOS!$E$22,(+IF($N186=[1]CURSOS!$D$23,[1]CURSOS!$E$23,(+IF($N186=[1]CURSOS!$D$24,[1]CURSOS!$E$24,(+IF($N186=[1]CURSOS!$D$25,[1]CURSOS!$E$25,(+IF($N186=[1]CURSOS!$D$26,[1]CURSOS!$E$26,(+IF($N186=[1]CURSOS!$D$27,[1]CURSOS!$E$27,(+IF($N186=[1]CURSOS!$D$28,[1]CURSOS!$E$28,(+IF($N186=[1]CURSOS!$D$29,[1]CURSOS!$E$29,(+IF($N186=[1]CURSOS!$D$30,[1]CURSOS!$E$30,(+IF($N186=[1]CURSOS!$D$31,[1]CURSOS!$E$31,(+IF($N186=[1]CURSOS!$D$32,[1]CURSOS!$E$32)))))))))))))))))))))))))))))))))))))))))))))))))))))))))))</f>
        <v xml:space="preserve">ATENCION A VICTIMAS DE ATAQUE CON AGENTES QUIMICOS </v>
      </c>
      <c r="U186" s="51" t="str">
        <f t="shared" si="99"/>
        <v>Lucia Margaret Rodriguez Alvear</v>
      </c>
      <c r="V186" s="51" t="str">
        <f t="shared" si="100"/>
        <v>Lucia Margaret Rodriguez Alvear</v>
      </c>
      <c r="W186" s="51" t="str">
        <f t="shared" si="101"/>
        <v>Lucia Margaret Rodriguez Alvear-1086695565-QUIMICOS</v>
      </c>
    </row>
    <row r="187" spans="1:23" s="73" customFormat="1" x14ac:dyDescent="0.2">
      <c r="A187" s="20">
        <v>186</v>
      </c>
      <c r="B187" s="20">
        <v>1086695565</v>
      </c>
      <c r="C187" s="20" t="s">
        <v>320</v>
      </c>
      <c r="D187" s="20" t="s">
        <v>204</v>
      </c>
      <c r="E187" s="20" t="s">
        <v>316</v>
      </c>
      <c r="F187" s="20" t="s">
        <v>489</v>
      </c>
      <c r="G187" s="19">
        <v>16</v>
      </c>
      <c r="H187" s="19" t="s">
        <v>99</v>
      </c>
      <c r="I187" s="25">
        <v>45400</v>
      </c>
      <c r="J187" s="98">
        <v>30000</v>
      </c>
      <c r="K187" s="116" t="s">
        <v>551</v>
      </c>
      <c r="L187" s="19" t="s">
        <v>322</v>
      </c>
      <c r="M187" s="19" t="s">
        <v>77</v>
      </c>
      <c r="N187" s="21" t="s">
        <v>46</v>
      </c>
      <c r="O187" s="72">
        <v>32196</v>
      </c>
      <c r="P187" s="20" t="s">
        <v>78</v>
      </c>
      <c r="Q187" s="20" t="s">
        <v>491</v>
      </c>
      <c r="R187" s="20">
        <v>3178550556</v>
      </c>
      <c r="S187" s="20" t="s">
        <v>490</v>
      </c>
      <c r="T187" s="51" t="str">
        <f>+IF($N187=[1]CURSOS!$D$3,[1]CURSOS!$E$3,(+IF($N187=[1]CURSOS!$D$4,[1]CURSOS!$E$4,(+IF($N187=[1]CURSOS!$D$5,[1]CURSOS!$E$5,(+IF($N187=[1]CURSOS!$D$6,[1]CURSOS!$E$6,(+IF($N187=[1]CURSOS!$D$7,[1]CURSOS!$E$7,(+IF($N187=[1]CURSOS!$D$8,[1]CURSOS!$E$8,(+IF($N187=[1]CURSOS!$D$9,[1]CURSOS!$E$9,(+IF($N187=[1]CURSOS!$D$10,[1]CURSOS!$E$10,(+IF($N187=[1]CURSOS!$D$11,[1]CURSOS!$E$11,(+IF($N187=[1]CURSOS!$D$12,[1]CURSOS!$E$12,(+IF($N187=[1]CURSOS!$D$13,[1]CURSOS!$E$13,(+IF($N187=[1]CURSOS!$D$14,[1]CURSOS!$E$14,(+IF($N187=[1]CURSOS!$D$15,[1]CURSOS!$E$15,(+IF($N187=[1]CURSOS!$D$16,[1]CURSOS!$E$16,(+IF($N187=[1]CURSOS!$D$17,[1]CURSOS!$E$17,(+IF($N187=[1]CURSOS!$D$18,[1]CURSOS!$E$18,(+IF($N187=[1]CURSOS!$D$19,[1]CURSOS!$E$19,(+IF($N187=[1]CURSOS!$D$20,[1]CURSOS!$E$20,(+IF($N187=[1]CURSOS!$D$21,[1]CURSOS!$E$21,(+IF($N187=[1]CURSOS!$D$22,[1]CURSOS!$E$22,(+IF($N187=[1]CURSOS!$D$23,[1]CURSOS!$E$23,(+IF($N187=[1]CURSOS!$D$24,[1]CURSOS!$E$24,(+IF($N187=[1]CURSOS!$D$25,[1]CURSOS!$E$25,(+IF($N187=[1]CURSOS!$D$26,[1]CURSOS!$E$26,(+IF($N187=[1]CURSOS!$D$27,[1]CURSOS!$E$27,(+IF($N187=[1]CURSOS!$D$28,[1]CURSOS!$E$28,(+IF($N187=[1]CURSOS!$D$29,[1]CURSOS!$E$29,(+IF($N187=[1]CURSOS!$D$30,[1]CURSOS!$E$30,(+IF($N187=[1]CURSOS!$D$31,[1]CURSOS!$E$31,(+IF($N187=[1]CURSOS!$D$32,[1]CURSOS!$E$32)))))))))))))))))))))))))))))))))))))))))))))))))))))))))))</f>
        <v xml:space="preserve">ATENCION A VICTIMAS DE VIOLENCIA SEXUAL </v>
      </c>
      <c r="U187" s="51" t="str">
        <f t="shared" si="99"/>
        <v>Lucia Margaret Rodriguez Alvear</v>
      </c>
      <c r="V187" s="51" t="str">
        <f t="shared" si="100"/>
        <v>Lucia Margaret Rodriguez Alvear</v>
      </c>
      <c r="W187" s="51" t="str">
        <f t="shared" si="101"/>
        <v>Lucia Margaret Rodriguez Alvear-1086695565-VIOLENCIA SEXUAL</v>
      </c>
    </row>
    <row r="188" spans="1:23" s="73" customFormat="1" x14ac:dyDescent="0.2">
      <c r="A188" s="20">
        <v>187</v>
      </c>
      <c r="B188" s="20">
        <v>1086695565</v>
      </c>
      <c r="C188" s="20" t="s">
        <v>320</v>
      </c>
      <c r="D188" s="20" t="s">
        <v>204</v>
      </c>
      <c r="E188" s="20" t="s">
        <v>316</v>
      </c>
      <c r="F188" s="20" t="s">
        <v>489</v>
      </c>
      <c r="G188" s="19">
        <v>18</v>
      </c>
      <c r="H188" s="19" t="s">
        <v>99</v>
      </c>
      <c r="I188" s="25">
        <v>45400</v>
      </c>
      <c r="J188" s="98">
        <v>30000</v>
      </c>
      <c r="K188" s="116" t="s">
        <v>551</v>
      </c>
      <c r="L188" s="19" t="s">
        <v>322</v>
      </c>
      <c r="M188" s="19" t="s">
        <v>77</v>
      </c>
      <c r="N188" s="21" t="s">
        <v>23</v>
      </c>
      <c r="O188" s="72">
        <v>32196</v>
      </c>
      <c r="P188" s="20" t="s">
        <v>78</v>
      </c>
      <c r="Q188" s="20" t="s">
        <v>491</v>
      </c>
      <c r="R188" s="20">
        <v>3178550556</v>
      </c>
      <c r="S188" s="20" t="s">
        <v>490</v>
      </c>
      <c r="T188" s="51" t="str">
        <f>+IF($N188=[1]CURSOS!$D$3,[1]CURSOS!$E$3,(+IF($N188=[1]CURSOS!$D$4,[1]CURSOS!$E$4,(+IF($N188=[1]CURSOS!$D$5,[1]CURSOS!$E$5,(+IF($N188=[1]CURSOS!$D$6,[1]CURSOS!$E$6,(+IF($N188=[1]CURSOS!$D$7,[1]CURSOS!$E$7,(+IF($N188=[1]CURSOS!$D$8,[1]CURSOS!$E$8,(+IF($N188=[1]CURSOS!$D$9,[1]CURSOS!$E$9,(+IF($N188=[1]CURSOS!$D$10,[1]CURSOS!$E$10,(+IF($N188=[1]CURSOS!$D$11,[1]CURSOS!$E$11,(+IF($N188=[1]CURSOS!$D$12,[1]CURSOS!$E$12,(+IF($N188=[1]CURSOS!$D$13,[1]CURSOS!$E$13,(+IF($N188=[1]CURSOS!$D$14,[1]CURSOS!$E$14,(+IF($N188=[1]CURSOS!$D$15,[1]CURSOS!$E$15,(+IF($N188=[1]CURSOS!$D$16,[1]CURSOS!$E$16,(+IF($N188=[1]CURSOS!$D$17,[1]CURSOS!$E$17,(+IF($N188=[1]CURSOS!$D$18,[1]CURSOS!$E$18,(+IF($N188=[1]CURSOS!$D$19,[1]CURSOS!$E$19,(+IF($N188=[1]CURSOS!$D$20,[1]CURSOS!$E$20,(+IF($N188=[1]CURSOS!$D$21,[1]CURSOS!$E$21,(+IF($N188=[1]CURSOS!$D$22,[1]CURSOS!$E$22,(+IF($N188=[1]CURSOS!$D$23,[1]CURSOS!$E$23,(+IF($N188=[1]CURSOS!$D$24,[1]CURSOS!$E$24,(+IF($N188=[1]CURSOS!$D$25,[1]CURSOS!$E$25,(+IF($N188=[1]CURSOS!$D$26,[1]CURSOS!$E$26,(+IF($N188=[1]CURSOS!$D$27,[1]CURSOS!$E$27,(+IF($N188=[1]CURSOS!$D$28,[1]CURSOS!$E$28,(+IF($N188=[1]CURSOS!$D$29,[1]CURSOS!$E$29,(+IF($N188=[1]CURSOS!$D$30,[1]CURSOS!$E$30,(+IF($N188=[1]CURSOS!$D$31,[1]CURSOS!$E$31,(+IF($N188=[1]CURSOS!$D$32,[1]CURSOS!$E$32)))))))))))))))))))))))))))))))))))))))))))))))))))))))))))</f>
        <v>ACOMPAÑAMIENTO Y MANEJO DEL DUELO</v>
      </c>
      <c r="U188" s="51" t="str">
        <f t="shared" si="99"/>
        <v>Lucia Margaret Rodriguez Alvear</v>
      </c>
      <c r="V188" s="51" t="str">
        <f t="shared" si="100"/>
        <v>Lucia Margaret Rodriguez Alvear</v>
      </c>
      <c r="W188" s="51" t="str">
        <f t="shared" si="101"/>
        <v>Lucia Margaret Rodriguez Alvear-1086695565-DUELO</v>
      </c>
    </row>
    <row r="189" spans="1:23" s="73" customFormat="1" x14ac:dyDescent="0.2">
      <c r="A189" s="20">
        <v>188</v>
      </c>
      <c r="B189" s="20">
        <v>1085306595</v>
      </c>
      <c r="C189" s="20" t="s">
        <v>492</v>
      </c>
      <c r="D189" s="20" t="s">
        <v>493</v>
      </c>
      <c r="E189" s="20" t="s">
        <v>494</v>
      </c>
      <c r="F189" s="20" t="s">
        <v>495</v>
      </c>
      <c r="G189" s="19">
        <v>19</v>
      </c>
      <c r="H189" s="19" t="s">
        <v>99</v>
      </c>
      <c r="I189" s="25">
        <v>45401</v>
      </c>
      <c r="J189" s="98">
        <v>40000</v>
      </c>
      <c r="K189" s="116" t="s">
        <v>293</v>
      </c>
      <c r="L189" s="19" t="s">
        <v>322</v>
      </c>
      <c r="M189" s="19" t="s">
        <v>77</v>
      </c>
      <c r="N189" s="21" t="s">
        <v>33</v>
      </c>
      <c r="O189" s="72">
        <v>34194</v>
      </c>
      <c r="P189" s="20" t="s">
        <v>78</v>
      </c>
      <c r="Q189" s="20" t="s">
        <v>496</v>
      </c>
      <c r="R189" s="20">
        <v>3006791209</v>
      </c>
      <c r="S189" s="20" t="s">
        <v>497</v>
      </c>
      <c r="T189" s="51" t="str">
        <f>+IF($N189=[1]CURSOS!$D$3,[1]CURSOS!$E$3,(+IF($N189=[1]CURSOS!$D$4,[1]CURSOS!$E$4,(+IF($N189=[1]CURSOS!$D$5,[1]CURSOS!$E$5,(+IF($N189=[1]CURSOS!$D$6,[1]CURSOS!$E$6,(+IF($N189=[1]CURSOS!$D$7,[1]CURSOS!$E$7,(+IF($N189=[1]CURSOS!$D$8,[1]CURSOS!$E$8,(+IF($N189=[1]CURSOS!$D$9,[1]CURSOS!$E$9,(+IF($N189=[1]CURSOS!$D$10,[1]CURSOS!$E$10,(+IF($N189=[1]CURSOS!$D$11,[1]CURSOS!$E$11,(+IF($N189=[1]CURSOS!$D$12,[1]CURSOS!$E$12,(+IF($N189=[1]CURSOS!$D$13,[1]CURSOS!$E$13,(+IF($N189=[1]CURSOS!$D$14,[1]CURSOS!$E$14,(+IF($N189=[1]CURSOS!$D$15,[1]CURSOS!$E$15,(+IF($N189=[1]CURSOS!$D$16,[1]CURSOS!$E$16,(+IF($N189=[1]CURSOS!$D$17,[1]CURSOS!$E$17,(+IF($N189=[1]CURSOS!$D$18,[1]CURSOS!$E$18,(+IF($N189=[1]CURSOS!$D$19,[1]CURSOS!$E$19,(+IF($N189=[1]CURSOS!$D$20,[1]CURSOS!$E$20,(+IF($N189=[1]CURSOS!$D$21,[1]CURSOS!$E$21,(+IF($N189=[1]CURSOS!$D$22,[1]CURSOS!$E$22,(+IF($N189=[1]CURSOS!$D$23,[1]CURSOS!$E$23,(+IF($N189=[1]CURSOS!$D$24,[1]CURSOS!$E$24,(+IF($N189=[1]CURSOS!$D$25,[1]CURSOS!$E$25,(+IF($N189=[1]CURSOS!$D$26,[1]CURSOS!$E$26,(+IF($N189=[1]CURSOS!$D$27,[1]CURSOS!$E$27,(+IF($N189=[1]CURSOS!$D$28,[1]CURSOS!$E$28,(+IF($N189=[1]CURSOS!$D$29,[1]CURSOS!$E$29,(+IF($N189=[1]CURSOS!$D$30,[1]CURSOS!$E$30,(+IF($N189=[1]CURSOS!$D$31,[1]CURSOS!$E$31,(+IF($N189=[1]CURSOS!$D$32,[1]CURSOS!$E$32)))))))))))))))))))))))))))))))))))))))))))))))))))))))))))</f>
        <v xml:space="preserve">HUMANIZACION EN SALUD, BUENAS PRACTICAS EN PACIENTE </v>
      </c>
      <c r="U189" s="51" t="str">
        <f t="shared" ref="U189:U196" si="102">CONCATENATE(E189," ",F189," ",C189," ",D189)</f>
        <v>Jeimmy Yicel Mipaz Aux</v>
      </c>
      <c r="V189" s="51" t="str">
        <f t="shared" ref="V189:V196" si="103">+PROPER(U189)</f>
        <v>Jeimmy Yicel Mipaz Aux</v>
      </c>
      <c r="W189" s="51" t="str">
        <f t="shared" ref="W189:W196" si="104">CONCATENATE(U189,"-",B189,"-",N189)</f>
        <v>Jeimmy Yicel Mipaz Aux-1085306595-HUMANIZACION</v>
      </c>
    </row>
    <row r="190" spans="1:23" s="73" customFormat="1" x14ac:dyDescent="0.2">
      <c r="A190" s="20">
        <v>189</v>
      </c>
      <c r="B190" s="20">
        <v>1085306595</v>
      </c>
      <c r="C190" s="20" t="s">
        <v>492</v>
      </c>
      <c r="D190" s="20" t="s">
        <v>493</v>
      </c>
      <c r="E190" s="20" t="s">
        <v>494</v>
      </c>
      <c r="F190" s="20" t="s">
        <v>495</v>
      </c>
      <c r="G190" s="19">
        <v>19</v>
      </c>
      <c r="H190" s="19" t="s">
        <v>99</v>
      </c>
      <c r="I190" s="25">
        <v>45401</v>
      </c>
      <c r="J190" s="98">
        <v>40000</v>
      </c>
      <c r="K190" s="116" t="s">
        <v>293</v>
      </c>
      <c r="L190" s="19" t="s">
        <v>322</v>
      </c>
      <c r="M190" s="19" t="s">
        <v>77</v>
      </c>
      <c r="N190" s="21" t="s">
        <v>381</v>
      </c>
      <c r="O190" s="72">
        <v>34194</v>
      </c>
      <c r="P190" s="20" t="s">
        <v>78</v>
      </c>
      <c r="Q190" s="20" t="s">
        <v>496</v>
      </c>
      <c r="R190" s="20">
        <v>3006791209</v>
      </c>
      <c r="S190" s="20" t="s">
        <v>497</v>
      </c>
      <c r="T190" s="51" t="str">
        <f>+IF($N190=[1]CURSOS!$D$3,[1]CURSOS!$E$3,(+IF($N190=[1]CURSOS!$D$4,[1]CURSOS!$E$4,(+IF($N190=[1]CURSOS!$D$5,[1]CURSOS!$E$5,(+IF($N190=[1]CURSOS!$D$6,[1]CURSOS!$E$6,(+IF($N190=[1]CURSOS!$D$7,[1]CURSOS!$E$7,(+IF($N190=[1]CURSOS!$D$8,[1]CURSOS!$E$8,(+IF($N190=[1]CURSOS!$D$9,[1]CURSOS!$E$9,(+IF($N190=[1]CURSOS!$D$10,[1]CURSOS!$E$10,(+IF($N190=[1]CURSOS!$D$11,[1]CURSOS!$E$11,(+IF($N190=[1]CURSOS!$D$12,[1]CURSOS!$E$12,(+IF($N190=[1]CURSOS!$D$13,[1]CURSOS!$E$13,(+IF($N190=[1]CURSOS!$D$14,[1]CURSOS!$E$14,(+IF($N190=[1]CURSOS!$D$15,[1]CURSOS!$E$15,(+IF($N190=[1]CURSOS!$D$16,[1]CURSOS!$E$16,(+IF($N190=[1]CURSOS!$D$17,[1]CURSOS!$E$17,(+IF($N190=[1]CURSOS!$D$18,[1]CURSOS!$E$18,(+IF($N190=[1]CURSOS!$D$19,[1]CURSOS!$E$19,(+IF($N190=[1]CURSOS!$D$20,[1]CURSOS!$E$20,(+IF($N190=[1]CURSOS!$D$21,[1]CURSOS!$E$21,(+IF($N190=[1]CURSOS!$D$22,[1]CURSOS!$E$22,(+IF($N190=[1]CURSOS!$D$23,[1]CURSOS!$E$23,(+IF($N190=[1]CURSOS!$D$24,[1]CURSOS!$E$24,(+IF($N190=[1]CURSOS!$D$25,[1]CURSOS!$E$25,(+IF($N190=[1]CURSOS!$D$26,[1]CURSOS!$E$26,(+IF($N190=[1]CURSOS!$D$27,[1]CURSOS!$E$27,(+IF($N190=[1]CURSOS!$D$28,[1]CURSOS!$E$28,(+IF($N190=[1]CURSOS!$D$29,[1]CURSOS!$E$29,(+IF($N190=[1]CURSOS!$D$30,[1]CURSOS!$E$30,(+IF($N190=[1]CURSOS!$D$31,[1]CURSOS!$E$31,(+IF($N190=[1]CURSOS!$D$32,[1]CURSOS!$E$32)))))))))))))))))))))))))))))))))))))))))))))))))))))))))))</f>
        <v>ACOMPAÑAMIENTO Y MANEJO DEL DUELO</v>
      </c>
      <c r="U190" s="51" t="str">
        <f t="shared" si="102"/>
        <v>Jeimmy Yicel Mipaz Aux</v>
      </c>
      <c r="V190" s="51" t="str">
        <f t="shared" si="103"/>
        <v>Jeimmy Yicel Mipaz Aux</v>
      </c>
      <c r="W190" s="51" t="str">
        <f t="shared" si="104"/>
        <v>Jeimmy Yicel Mipaz Aux-1085306595-Duelo</v>
      </c>
    </row>
    <row r="191" spans="1:23" s="73" customFormat="1" x14ac:dyDescent="0.2">
      <c r="A191" s="20">
        <v>190</v>
      </c>
      <c r="B191" s="20">
        <v>1088734931</v>
      </c>
      <c r="C191" s="20" t="s">
        <v>156</v>
      </c>
      <c r="D191" s="20" t="s">
        <v>389</v>
      </c>
      <c r="E191" s="20" t="s">
        <v>194</v>
      </c>
      <c r="F191" s="20" t="s">
        <v>498</v>
      </c>
      <c r="G191" s="19">
        <v>19</v>
      </c>
      <c r="H191" s="19" t="s">
        <v>99</v>
      </c>
      <c r="I191" s="25">
        <v>45401</v>
      </c>
      <c r="J191" s="88">
        <v>32000</v>
      </c>
      <c r="K191" s="116" t="s">
        <v>79</v>
      </c>
      <c r="L191" s="19" t="s">
        <v>322</v>
      </c>
      <c r="M191" s="19" t="s">
        <v>197</v>
      </c>
      <c r="N191" s="21" t="s">
        <v>33</v>
      </c>
      <c r="O191" s="72">
        <v>33550</v>
      </c>
      <c r="P191" s="20" t="s">
        <v>78</v>
      </c>
      <c r="Q191" s="20"/>
      <c r="R191" s="20"/>
      <c r="S191" s="20" t="s">
        <v>499</v>
      </c>
      <c r="T191" s="51" t="str">
        <f>+IF($N191=[1]CURSOS!$D$3,[1]CURSOS!$E$3,(+IF($N191=[1]CURSOS!$D$4,[1]CURSOS!$E$4,(+IF($N191=[1]CURSOS!$D$5,[1]CURSOS!$E$5,(+IF($N191=[1]CURSOS!$D$6,[1]CURSOS!$E$6,(+IF($N191=[1]CURSOS!$D$7,[1]CURSOS!$E$7,(+IF($N191=[1]CURSOS!$D$8,[1]CURSOS!$E$8,(+IF($N191=[1]CURSOS!$D$9,[1]CURSOS!$E$9,(+IF($N191=[1]CURSOS!$D$10,[1]CURSOS!$E$10,(+IF($N191=[1]CURSOS!$D$11,[1]CURSOS!$E$11,(+IF($N191=[1]CURSOS!$D$12,[1]CURSOS!$E$12,(+IF($N191=[1]CURSOS!$D$13,[1]CURSOS!$E$13,(+IF($N191=[1]CURSOS!$D$14,[1]CURSOS!$E$14,(+IF($N191=[1]CURSOS!$D$15,[1]CURSOS!$E$15,(+IF($N191=[1]CURSOS!$D$16,[1]CURSOS!$E$16,(+IF($N191=[1]CURSOS!$D$17,[1]CURSOS!$E$17,(+IF($N191=[1]CURSOS!$D$18,[1]CURSOS!$E$18,(+IF($N191=[1]CURSOS!$D$19,[1]CURSOS!$E$19,(+IF($N191=[1]CURSOS!$D$20,[1]CURSOS!$E$20,(+IF($N191=[1]CURSOS!$D$21,[1]CURSOS!$E$21,(+IF($N191=[1]CURSOS!$D$22,[1]CURSOS!$E$22,(+IF($N191=[1]CURSOS!$D$23,[1]CURSOS!$E$23,(+IF($N191=[1]CURSOS!$D$24,[1]CURSOS!$E$24,(+IF($N191=[1]CURSOS!$D$25,[1]CURSOS!$E$25,(+IF($N191=[1]CURSOS!$D$26,[1]CURSOS!$E$26,(+IF($N191=[1]CURSOS!$D$27,[1]CURSOS!$E$27,(+IF($N191=[1]CURSOS!$D$28,[1]CURSOS!$E$28,(+IF($N191=[1]CURSOS!$D$29,[1]CURSOS!$E$29,(+IF($N191=[1]CURSOS!$D$30,[1]CURSOS!$E$30,(+IF($N191=[1]CURSOS!$D$31,[1]CURSOS!$E$31,(+IF($N191=[1]CURSOS!$D$32,[1]CURSOS!$E$32)))))))))))))))))))))))))))))))))))))))))))))))))))))))))))</f>
        <v xml:space="preserve">HUMANIZACION EN SALUD, BUENAS PRACTICAS EN PACIENTE </v>
      </c>
      <c r="U191" s="51" t="str">
        <f t="shared" si="102"/>
        <v>Andrea Estefania Hernandez Bolaños</v>
      </c>
      <c r="V191" s="51" t="str">
        <f t="shared" si="103"/>
        <v>Andrea Estefania Hernandez Bolaños</v>
      </c>
      <c r="W191" s="51" t="str">
        <f t="shared" si="104"/>
        <v>Andrea Estefania Hernandez Bolaños-1088734931-HUMANIZACION</v>
      </c>
    </row>
    <row r="192" spans="1:23" s="73" customFormat="1" x14ac:dyDescent="0.2">
      <c r="A192" s="20">
        <v>191</v>
      </c>
      <c r="B192" s="20">
        <v>1002083318</v>
      </c>
      <c r="C192" s="20" t="s">
        <v>483</v>
      </c>
      <c r="D192" s="20" t="s">
        <v>207</v>
      </c>
      <c r="E192" s="20" t="s">
        <v>370</v>
      </c>
      <c r="F192" s="20" t="s">
        <v>256</v>
      </c>
      <c r="G192" s="19">
        <v>19</v>
      </c>
      <c r="H192" s="19" t="s">
        <v>99</v>
      </c>
      <c r="I192" s="25">
        <v>45405</v>
      </c>
      <c r="J192" s="98">
        <v>33333</v>
      </c>
      <c r="K192" s="116" t="s">
        <v>82</v>
      </c>
      <c r="L192" s="19" t="s">
        <v>322</v>
      </c>
      <c r="M192" s="19" t="s">
        <v>159</v>
      </c>
      <c r="N192" s="21" t="s">
        <v>46</v>
      </c>
      <c r="O192" s="72">
        <v>36612</v>
      </c>
      <c r="P192" s="20" t="s">
        <v>78</v>
      </c>
      <c r="Q192" s="20" t="s">
        <v>160</v>
      </c>
      <c r="R192" s="20">
        <v>3184025074</v>
      </c>
      <c r="S192" s="20" t="s">
        <v>500</v>
      </c>
      <c r="T192" s="51" t="str">
        <f>+IF($N192=[1]CURSOS!$D$3,[1]CURSOS!$E$3,(+IF($N192=[1]CURSOS!$D$4,[1]CURSOS!$E$4,(+IF($N192=[1]CURSOS!$D$5,[1]CURSOS!$E$5,(+IF($N192=[1]CURSOS!$D$6,[1]CURSOS!$E$6,(+IF($N192=[1]CURSOS!$D$7,[1]CURSOS!$E$7,(+IF($N192=[1]CURSOS!$D$8,[1]CURSOS!$E$8,(+IF($N192=[1]CURSOS!$D$9,[1]CURSOS!$E$9,(+IF($N192=[1]CURSOS!$D$10,[1]CURSOS!$E$10,(+IF($N192=[1]CURSOS!$D$11,[1]CURSOS!$E$11,(+IF($N192=[1]CURSOS!$D$12,[1]CURSOS!$E$12,(+IF($N192=[1]CURSOS!$D$13,[1]CURSOS!$E$13,(+IF($N192=[1]CURSOS!$D$14,[1]CURSOS!$E$14,(+IF($N192=[1]CURSOS!$D$15,[1]CURSOS!$E$15,(+IF($N192=[1]CURSOS!$D$16,[1]CURSOS!$E$16,(+IF($N192=[1]CURSOS!$D$17,[1]CURSOS!$E$17,(+IF($N192=[1]CURSOS!$D$18,[1]CURSOS!$E$18,(+IF($N192=[1]CURSOS!$D$19,[1]CURSOS!$E$19,(+IF($N192=[1]CURSOS!$D$20,[1]CURSOS!$E$20,(+IF($N192=[1]CURSOS!$D$21,[1]CURSOS!$E$21,(+IF($N192=[1]CURSOS!$D$22,[1]CURSOS!$E$22,(+IF($N192=[1]CURSOS!$D$23,[1]CURSOS!$E$23,(+IF($N192=[1]CURSOS!$D$24,[1]CURSOS!$E$24,(+IF($N192=[1]CURSOS!$D$25,[1]CURSOS!$E$25,(+IF($N192=[1]CURSOS!$D$26,[1]CURSOS!$E$26,(+IF($N192=[1]CURSOS!$D$27,[1]CURSOS!$E$27,(+IF($N192=[1]CURSOS!$D$28,[1]CURSOS!$E$28,(+IF($N192=[1]CURSOS!$D$29,[1]CURSOS!$E$29,(+IF($N192=[1]CURSOS!$D$30,[1]CURSOS!$E$30,(+IF($N192=[1]CURSOS!$D$31,[1]CURSOS!$E$31,(+IF($N192=[1]CURSOS!$D$32,[1]CURSOS!$E$32)))))))))))))))))))))))))))))))))))))))))))))))))))))))))))</f>
        <v xml:space="preserve">ATENCION A VICTIMAS DE VIOLENCIA SEXUAL </v>
      </c>
      <c r="U192" s="51" t="str">
        <f t="shared" si="102"/>
        <v>Luisa Fernanda Aguirre Salazar</v>
      </c>
      <c r="V192" s="51" t="str">
        <f t="shared" si="103"/>
        <v>Luisa Fernanda Aguirre Salazar</v>
      </c>
      <c r="W192" s="51" t="str">
        <f t="shared" si="104"/>
        <v>Luisa Fernanda Aguirre Salazar-1002083318-VIOLENCIA SEXUAL</v>
      </c>
    </row>
    <row r="193" spans="1:23" s="73" customFormat="1" x14ac:dyDescent="0.2">
      <c r="A193" s="20">
        <v>192</v>
      </c>
      <c r="B193" s="20">
        <v>1002083318</v>
      </c>
      <c r="C193" s="20" t="s">
        <v>483</v>
      </c>
      <c r="D193" s="20" t="s">
        <v>207</v>
      </c>
      <c r="E193" s="20" t="s">
        <v>370</v>
      </c>
      <c r="F193" s="20" t="s">
        <v>256</v>
      </c>
      <c r="G193" s="19">
        <v>19</v>
      </c>
      <c r="H193" s="19" t="s">
        <v>99</v>
      </c>
      <c r="I193" s="25">
        <v>45405</v>
      </c>
      <c r="J193" s="98">
        <v>33333</v>
      </c>
      <c r="K193" s="116" t="s">
        <v>82</v>
      </c>
      <c r="L193" s="19" t="s">
        <v>322</v>
      </c>
      <c r="M193" s="19" t="s">
        <v>159</v>
      </c>
      <c r="N193" s="21" t="s">
        <v>25</v>
      </c>
      <c r="O193" s="72">
        <v>36612</v>
      </c>
      <c r="P193" s="20" t="s">
        <v>78</v>
      </c>
      <c r="Q193" s="20" t="s">
        <v>160</v>
      </c>
      <c r="R193" s="20">
        <v>3184025074</v>
      </c>
      <c r="S193" s="20" t="s">
        <v>500</v>
      </c>
      <c r="T193" s="51" t="str">
        <f>+IF($N193=[1]CURSOS!$D$3,[1]CURSOS!$E$3,(+IF($N193=[1]CURSOS!$D$4,[1]CURSOS!$E$4,(+IF($N193=[1]CURSOS!$D$5,[1]CURSOS!$E$5,(+IF($N193=[1]CURSOS!$D$6,[1]CURSOS!$E$6,(+IF($N193=[1]CURSOS!$D$7,[1]CURSOS!$E$7,(+IF($N193=[1]CURSOS!$D$8,[1]CURSOS!$E$8,(+IF($N193=[1]CURSOS!$D$9,[1]CURSOS!$E$9,(+IF($N193=[1]CURSOS!$D$10,[1]CURSOS!$E$10,(+IF($N193=[1]CURSOS!$D$11,[1]CURSOS!$E$11,(+IF($N193=[1]CURSOS!$D$12,[1]CURSOS!$E$12,(+IF($N193=[1]CURSOS!$D$13,[1]CURSOS!$E$13,(+IF($N193=[1]CURSOS!$D$14,[1]CURSOS!$E$14,(+IF($N193=[1]CURSOS!$D$15,[1]CURSOS!$E$15,(+IF($N193=[1]CURSOS!$D$16,[1]CURSOS!$E$16,(+IF($N193=[1]CURSOS!$D$17,[1]CURSOS!$E$17,(+IF($N193=[1]CURSOS!$D$18,[1]CURSOS!$E$18,(+IF($N193=[1]CURSOS!$D$19,[1]CURSOS!$E$19,(+IF($N193=[1]CURSOS!$D$20,[1]CURSOS!$E$20,(+IF($N193=[1]CURSOS!$D$21,[1]CURSOS!$E$21,(+IF($N193=[1]CURSOS!$D$22,[1]CURSOS!$E$22,(+IF($N193=[1]CURSOS!$D$23,[1]CURSOS!$E$23,(+IF($N193=[1]CURSOS!$D$24,[1]CURSOS!$E$24,(+IF($N193=[1]CURSOS!$D$25,[1]CURSOS!$E$25,(+IF($N193=[1]CURSOS!$D$26,[1]CURSOS!$E$26,(+IF($N193=[1]CURSOS!$D$27,[1]CURSOS!$E$27,(+IF($N193=[1]CURSOS!$D$28,[1]CURSOS!$E$28,(+IF($N193=[1]CURSOS!$D$29,[1]CURSOS!$E$29,(+IF($N193=[1]CURSOS!$D$30,[1]CURSOS!$E$30,(+IF($N193=[1]CURSOS!$D$31,[1]CURSOS!$E$31,(+IF($N193=[1]CURSOS!$D$32,[1]CURSOS!$E$32)))))))))))))))))))))))))))))))))))))))))))))))))))))))))))</f>
        <v xml:space="preserve">ATENCION A VICTIMAS DE ATAQUE CON AGENTES QUIMICOS </v>
      </c>
      <c r="U193" s="51" t="str">
        <f t="shared" si="102"/>
        <v>Luisa Fernanda Aguirre Salazar</v>
      </c>
      <c r="V193" s="51" t="str">
        <f t="shared" si="103"/>
        <v>Luisa Fernanda Aguirre Salazar</v>
      </c>
      <c r="W193" s="51" t="str">
        <f t="shared" si="104"/>
        <v>Luisa Fernanda Aguirre Salazar-1002083318-QUIMICOS</v>
      </c>
    </row>
    <row r="194" spans="1:23" s="73" customFormat="1" x14ac:dyDescent="0.2">
      <c r="A194" s="20">
        <v>193</v>
      </c>
      <c r="B194" s="20">
        <v>1002083318</v>
      </c>
      <c r="C194" s="20" t="s">
        <v>483</v>
      </c>
      <c r="D194" s="20" t="s">
        <v>207</v>
      </c>
      <c r="E194" s="20" t="s">
        <v>370</v>
      </c>
      <c r="F194" s="20" t="s">
        <v>256</v>
      </c>
      <c r="G194" s="19">
        <v>19</v>
      </c>
      <c r="H194" s="19" t="s">
        <v>99</v>
      </c>
      <c r="I194" s="25">
        <v>45405</v>
      </c>
      <c r="J194" s="98">
        <v>33333</v>
      </c>
      <c r="K194" s="116" t="s">
        <v>82</v>
      </c>
      <c r="L194" s="19" t="s">
        <v>322</v>
      </c>
      <c r="M194" s="19" t="s">
        <v>159</v>
      </c>
      <c r="N194" s="21" t="s">
        <v>381</v>
      </c>
      <c r="O194" s="72">
        <v>36612</v>
      </c>
      <c r="P194" s="20" t="s">
        <v>78</v>
      </c>
      <c r="Q194" s="20" t="s">
        <v>160</v>
      </c>
      <c r="R194" s="20">
        <v>3184025074</v>
      </c>
      <c r="S194" s="20" t="s">
        <v>500</v>
      </c>
      <c r="T194" s="51" t="str">
        <f>+IF($N194=[1]CURSOS!$D$3,[1]CURSOS!$E$3,(+IF($N194=[1]CURSOS!$D$4,[1]CURSOS!$E$4,(+IF($N194=[1]CURSOS!$D$5,[1]CURSOS!$E$5,(+IF($N194=[1]CURSOS!$D$6,[1]CURSOS!$E$6,(+IF($N194=[1]CURSOS!$D$7,[1]CURSOS!$E$7,(+IF($N194=[1]CURSOS!$D$8,[1]CURSOS!$E$8,(+IF($N194=[1]CURSOS!$D$9,[1]CURSOS!$E$9,(+IF($N194=[1]CURSOS!$D$10,[1]CURSOS!$E$10,(+IF($N194=[1]CURSOS!$D$11,[1]CURSOS!$E$11,(+IF($N194=[1]CURSOS!$D$12,[1]CURSOS!$E$12,(+IF($N194=[1]CURSOS!$D$13,[1]CURSOS!$E$13,(+IF($N194=[1]CURSOS!$D$14,[1]CURSOS!$E$14,(+IF($N194=[1]CURSOS!$D$15,[1]CURSOS!$E$15,(+IF($N194=[1]CURSOS!$D$16,[1]CURSOS!$E$16,(+IF($N194=[1]CURSOS!$D$17,[1]CURSOS!$E$17,(+IF($N194=[1]CURSOS!$D$18,[1]CURSOS!$E$18,(+IF($N194=[1]CURSOS!$D$19,[1]CURSOS!$E$19,(+IF($N194=[1]CURSOS!$D$20,[1]CURSOS!$E$20,(+IF($N194=[1]CURSOS!$D$21,[1]CURSOS!$E$21,(+IF($N194=[1]CURSOS!$D$22,[1]CURSOS!$E$22,(+IF($N194=[1]CURSOS!$D$23,[1]CURSOS!$E$23,(+IF($N194=[1]CURSOS!$D$24,[1]CURSOS!$E$24,(+IF($N194=[1]CURSOS!$D$25,[1]CURSOS!$E$25,(+IF($N194=[1]CURSOS!$D$26,[1]CURSOS!$E$26,(+IF($N194=[1]CURSOS!$D$27,[1]CURSOS!$E$27,(+IF($N194=[1]CURSOS!$D$28,[1]CURSOS!$E$28,(+IF($N194=[1]CURSOS!$D$29,[1]CURSOS!$E$29,(+IF($N194=[1]CURSOS!$D$30,[1]CURSOS!$E$30,(+IF($N194=[1]CURSOS!$D$31,[1]CURSOS!$E$31,(+IF($N194=[1]CURSOS!$D$32,[1]CURSOS!$E$32)))))))))))))))))))))))))))))))))))))))))))))))))))))))))))</f>
        <v>ACOMPAÑAMIENTO Y MANEJO DEL DUELO</v>
      </c>
      <c r="U194" s="51" t="str">
        <f t="shared" si="102"/>
        <v>Luisa Fernanda Aguirre Salazar</v>
      </c>
      <c r="V194" s="51" t="str">
        <f t="shared" si="103"/>
        <v>Luisa Fernanda Aguirre Salazar</v>
      </c>
      <c r="W194" s="51" t="str">
        <f t="shared" si="104"/>
        <v>Luisa Fernanda Aguirre Salazar-1002083318-Duelo</v>
      </c>
    </row>
    <row r="195" spans="1:23" s="73" customFormat="1" x14ac:dyDescent="0.2">
      <c r="A195" s="20">
        <v>194</v>
      </c>
      <c r="B195" s="20">
        <v>1087643414</v>
      </c>
      <c r="C195" s="20" t="s">
        <v>210</v>
      </c>
      <c r="D195" s="20" t="s">
        <v>210</v>
      </c>
      <c r="E195" s="20" t="s">
        <v>208</v>
      </c>
      <c r="F195" s="20" t="s">
        <v>209</v>
      </c>
      <c r="G195" s="19">
        <v>19</v>
      </c>
      <c r="H195" s="19" t="s">
        <v>99</v>
      </c>
      <c r="I195" s="25">
        <v>45401</v>
      </c>
      <c r="J195" s="98">
        <v>30000</v>
      </c>
      <c r="K195" s="116" t="s">
        <v>502</v>
      </c>
      <c r="L195" s="19" t="s">
        <v>322</v>
      </c>
      <c r="M195" s="19" t="s">
        <v>77</v>
      </c>
      <c r="N195" s="21" t="s">
        <v>46</v>
      </c>
      <c r="O195" s="72" t="s">
        <v>501</v>
      </c>
      <c r="P195" s="20" t="s">
        <v>78</v>
      </c>
      <c r="Q195" s="20"/>
      <c r="R195" s="20">
        <v>3209179678</v>
      </c>
      <c r="S195" s="20" t="s">
        <v>200</v>
      </c>
      <c r="T195" s="51" t="str">
        <f>+IF($N195=[1]CURSOS!$D$3,[1]CURSOS!$E$3,(+IF($N195=[1]CURSOS!$D$4,[1]CURSOS!$E$4,(+IF($N195=[1]CURSOS!$D$5,[1]CURSOS!$E$5,(+IF($N195=[1]CURSOS!$D$6,[1]CURSOS!$E$6,(+IF($N195=[1]CURSOS!$D$7,[1]CURSOS!$E$7,(+IF($N195=[1]CURSOS!$D$8,[1]CURSOS!$E$8,(+IF($N195=[1]CURSOS!$D$9,[1]CURSOS!$E$9,(+IF($N195=[1]CURSOS!$D$10,[1]CURSOS!$E$10,(+IF($N195=[1]CURSOS!$D$11,[1]CURSOS!$E$11,(+IF($N195=[1]CURSOS!$D$12,[1]CURSOS!$E$12,(+IF($N195=[1]CURSOS!$D$13,[1]CURSOS!$E$13,(+IF($N195=[1]CURSOS!$D$14,[1]CURSOS!$E$14,(+IF($N195=[1]CURSOS!$D$15,[1]CURSOS!$E$15,(+IF($N195=[1]CURSOS!$D$16,[1]CURSOS!$E$16,(+IF($N195=[1]CURSOS!$D$17,[1]CURSOS!$E$17,(+IF($N195=[1]CURSOS!$D$18,[1]CURSOS!$E$18,(+IF($N195=[1]CURSOS!$D$19,[1]CURSOS!$E$19,(+IF($N195=[1]CURSOS!$D$20,[1]CURSOS!$E$20,(+IF($N195=[1]CURSOS!$D$21,[1]CURSOS!$E$21,(+IF($N195=[1]CURSOS!$D$22,[1]CURSOS!$E$22,(+IF($N195=[1]CURSOS!$D$23,[1]CURSOS!$E$23,(+IF($N195=[1]CURSOS!$D$24,[1]CURSOS!$E$24,(+IF($N195=[1]CURSOS!$D$25,[1]CURSOS!$E$25,(+IF($N195=[1]CURSOS!$D$26,[1]CURSOS!$E$26,(+IF($N195=[1]CURSOS!$D$27,[1]CURSOS!$E$27,(+IF($N195=[1]CURSOS!$D$28,[1]CURSOS!$E$28,(+IF($N195=[1]CURSOS!$D$29,[1]CURSOS!$E$29,(+IF($N195=[1]CURSOS!$D$30,[1]CURSOS!$E$30,(+IF($N195=[1]CURSOS!$D$31,[1]CURSOS!$E$31,(+IF($N195=[1]CURSOS!$D$32,[1]CURSOS!$E$32)))))))))))))))))))))))))))))))))))))))))))))))))))))))))))</f>
        <v xml:space="preserve">ATENCION A VICTIMAS DE VIOLENCIA SEXUAL </v>
      </c>
      <c r="U195" s="51" t="str">
        <f t="shared" si="102"/>
        <v>Ana Cristina Ordóñez Ordóñez</v>
      </c>
      <c r="V195" s="51" t="str">
        <f t="shared" si="103"/>
        <v>Ana Cristina Ordóñez Ordóñez</v>
      </c>
      <c r="W195" s="51" t="str">
        <f t="shared" si="104"/>
        <v>Ana Cristina Ordóñez Ordóñez-1087643414-VIOLENCIA SEXUAL</v>
      </c>
    </row>
    <row r="196" spans="1:23" s="73" customFormat="1" x14ac:dyDescent="0.2">
      <c r="A196" s="20">
        <v>195</v>
      </c>
      <c r="B196" s="20">
        <v>1087643414</v>
      </c>
      <c r="C196" s="20" t="s">
        <v>210</v>
      </c>
      <c r="D196" s="20" t="s">
        <v>210</v>
      </c>
      <c r="E196" s="20" t="s">
        <v>208</v>
      </c>
      <c r="F196" s="20" t="s">
        <v>209</v>
      </c>
      <c r="G196" s="19">
        <v>19</v>
      </c>
      <c r="H196" s="19" t="s">
        <v>99</v>
      </c>
      <c r="I196" s="25">
        <v>45401</v>
      </c>
      <c r="J196" s="98">
        <v>30000</v>
      </c>
      <c r="K196" s="116" t="s">
        <v>502</v>
      </c>
      <c r="L196" s="19" t="s">
        <v>322</v>
      </c>
      <c r="M196" s="19" t="s">
        <v>77</v>
      </c>
      <c r="N196" s="21" t="s">
        <v>19</v>
      </c>
      <c r="O196" s="72" t="s">
        <v>501</v>
      </c>
      <c r="P196" s="20" t="s">
        <v>78</v>
      </c>
      <c r="Q196" s="20"/>
      <c r="R196" s="20">
        <v>3209179678</v>
      </c>
      <c r="S196" s="20" t="s">
        <v>200</v>
      </c>
      <c r="T196" s="51" t="str">
        <f>+IF($N196=[1]CURSOS!$D$3,[1]CURSOS!$E$3,(+IF($N196=[1]CURSOS!$D$4,[1]CURSOS!$E$4,(+IF($N196=[1]CURSOS!$D$5,[1]CURSOS!$E$5,(+IF($N196=[1]CURSOS!$D$6,[1]CURSOS!$E$6,(+IF($N196=[1]CURSOS!$D$7,[1]CURSOS!$E$7,(+IF($N196=[1]CURSOS!$D$8,[1]CURSOS!$E$8,(+IF($N196=[1]CURSOS!$D$9,[1]CURSOS!$E$9,(+IF($N196=[1]CURSOS!$D$10,[1]CURSOS!$E$10,(+IF($N196=[1]CURSOS!$D$11,[1]CURSOS!$E$11,(+IF($N196=[1]CURSOS!$D$12,[1]CURSOS!$E$12,(+IF($N196=[1]CURSOS!$D$13,[1]CURSOS!$E$13,(+IF($N196=[1]CURSOS!$D$14,[1]CURSOS!$E$14,(+IF($N196=[1]CURSOS!$D$15,[1]CURSOS!$E$15,(+IF($N196=[1]CURSOS!$D$16,[1]CURSOS!$E$16,(+IF($N196=[1]CURSOS!$D$17,[1]CURSOS!$E$17,(+IF($N196=[1]CURSOS!$D$18,[1]CURSOS!$E$18,(+IF($N196=[1]CURSOS!$D$19,[1]CURSOS!$E$19,(+IF($N196=[1]CURSOS!$D$20,[1]CURSOS!$E$20,(+IF($N196=[1]CURSOS!$D$21,[1]CURSOS!$E$21,(+IF($N196=[1]CURSOS!$D$22,[1]CURSOS!$E$22,(+IF($N196=[1]CURSOS!$D$23,[1]CURSOS!$E$23,(+IF($N196=[1]CURSOS!$D$24,[1]CURSOS!$E$24,(+IF($N196=[1]CURSOS!$D$25,[1]CURSOS!$E$25,(+IF($N196=[1]CURSOS!$D$26,[1]CURSOS!$E$26,(+IF($N196=[1]CURSOS!$D$27,[1]CURSOS!$E$27,(+IF($N196=[1]CURSOS!$D$28,[1]CURSOS!$E$28,(+IF($N196=[1]CURSOS!$D$29,[1]CURSOS!$E$29,(+IF($N196=[1]CURSOS!$D$30,[1]CURSOS!$E$30,(+IF($N196=[1]CURSOS!$D$31,[1]CURSOS!$E$31,(+IF($N196=[1]CURSOS!$D$32,[1]CURSOS!$E$32)))))))))))))))))))))))))))))))))))))))))))))))))))))))))))</f>
        <v>SOPORTE VITAL BASICO (BLS)</v>
      </c>
      <c r="U196" s="51" t="str">
        <f t="shared" si="102"/>
        <v>Ana Cristina Ordóñez Ordóñez</v>
      </c>
      <c r="V196" s="51" t="str">
        <f t="shared" si="103"/>
        <v>Ana Cristina Ordóñez Ordóñez</v>
      </c>
      <c r="W196" s="51" t="str">
        <f t="shared" si="104"/>
        <v>Ana Cristina Ordóñez Ordóñez-1087643414-BLS</v>
      </c>
    </row>
    <row r="197" spans="1:23" s="80" customFormat="1" x14ac:dyDescent="0.2">
      <c r="A197" s="20">
        <v>196</v>
      </c>
      <c r="B197" s="78">
        <v>36658974</v>
      </c>
      <c r="C197" s="78" t="s">
        <v>151</v>
      </c>
      <c r="D197" s="78" t="s">
        <v>503</v>
      </c>
      <c r="E197" s="78" t="s">
        <v>188</v>
      </c>
      <c r="F197" s="78" t="s">
        <v>138</v>
      </c>
      <c r="G197" s="42">
        <v>20</v>
      </c>
      <c r="H197" s="42" t="s">
        <v>99</v>
      </c>
      <c r="I197" s="44">
        <v>45402</v>
      </c>
      <c r="J197" s="118">
        <v>120000</v>
      </c>
      <c r="K197" s="120" t="s">
        <v>82</v>
      </c>
      <c r="L197" s="42" t="s">
        <v>322</v>
      </c>
      <c r="M197" s="42" t="s">
        <v>77</v>
      </c>
      <c r="N197" s="43" t="s">
        <v>39</v>
      </c>
      <c r="O197" s="79">
        <v>30201</v>
      </c>
      <c r="P197" s="78" t="s">
        <v>78</v>
      </c>
      <c r="Q197" s="78"/>
      <c r="R197" s="78">
        <v>3005497237</v>
      </c>
      <c r="S197" s="78" t="s">
        <v>504</v>
      </c>
      <c r="T197" s="52" t="str">
        <f>+IF($N197=[1]CURSOS!$D$3,[1]CURSOS!$E$3,(+IF($N197=[1]CURSOS!$D$4,[1]CURSOS!$E$4,(+IF($N197=[1]CURSOS!$D$5,[1]CURSOS!$E$5,(+IF($N197=[1]CURSOS!$D$6,[1]CURSOS!$E$6,(+IF($N197=[1]CURSOS!$D$7,[1]CURSOS!$E$7,(+IF($N197=[1]CURSOS!$D$8,[1]CURSOS!$E$8,(+IF($N197=[1]CURSOS!$D$9,[1]CURSOS!$E$9,(+IF($N197=[1]CURSOS!$D$10,[1]CURSOS!$E$10,(+IF($N197=[1]CURSOS!$D$11,[1]CURSOS!$E$11,(+IF($N197=[1]CURSOS!$D$12,[1]CURSOS!$E$12,(+IF($N197=[1]CURSOS!$D$13,[1]CURSOS!$E$13,(+IF($N197=[1]CURSOS!$D$14,[1]CURSOS!$E$14,(+IF($N197=[1]CURSOS!$D$15,[1]CURSOS!$E$15,(+IF($N197=[1]CURSOS!$D$16,[1]CURSOS!$E$16,(+IF($N197=[1]CURSOS!$D$17,[1]CURSOS!$E$17,(+IF($N197=[1]CURSOS!$D$18,[1]CURSOS!$E$18,(+IF($N197=[1]CURSOS!$D$19,[1]CURSOS!$E$19,(+IF($N197=[1]CURSOS!$D$20,[1]CURSOS!$E$20,(+IF($N197=[1]CURSOS!$D$21,[1]CURSOS!$E$21,(+IF($N197=[1]CURSOS!$D$22,[1]CURSOS!$E$22,(+IF($N197=[1]CURSOS!$D$23,[1]CURSOS!$E$23,(+IF($N197=[1]CURSOS!$D$24,[1]CURSOS!$E$24,(+IF($N197=[1]CURSOS!$D$25,[1]CURSOS!$E$25,(+IF($N197=[1]CURSOS!$D$26,[1]CURSOS!$E$26,(+IF($N197=[1]CURSOS!$D$27,[1]CURSOS!$E$27,(+IF($N197=[1]CURSOS!$D$28,[1]CURSOS!$E$28,(+IF($N197=[1]CURSOS!$D$29,[1]CURSOS!$E$29,(+IF($N197=[1]CURSOS!$D$30,[1]CURSOS!$E$30,(+IF($N197=[1]CURSOS!$D$31,[1]CURSOS!$E$31,(+IF($N197=[1]CURSOS!$D$32,[1]CURSOS!$E$32)))))))))))))))))))))))))))))))))))))))))))))))))))))))))))</f>
        <v xml:space="preserve">SOPORTE CARDIOVASCULAR AVANZADO </v>
      </c>
      <c r="U197" s="52" t="str">
        <f t="shared" ref="U197:U200" si="105">CONCATENATE(E197," ",F197," ",C197," ",D197)</f>
        <v>Sofia Johana Cordoba Silva</v>
      </c>
      <c r="V197" s="52" t="str">
        <f t="shared" ref="V197:V200" si="106">+PROPER(U197)</f>
        <v>Sofia Johana Cordoba Silva</v>
      </c>
      <c r="W197" s="52" t="s">
        <v>511</v>
      </c>
    </row>
    <row r="198" spans="1:23" s="80" customFormat="1" x14ac:dyDescent="0.2">
      <c r="A198" s="20">
        <v>197</v>
      </c>
      <c r="B198" s="78">
        <v>38644168</v>
      </c>
      <c r="C198" s="78" t="s">
        <v>507</v>
      </c>
      <c r="D198" s="78" t="s">
        <v>508</v>
      </c>
      <c r="E198" s="78" t="s">
        <v>509</v>
      </c>
      <c r="F198" s="78"/>
      <c r="G198" s="42">
        <v>27</v>
      </c>
      <c r="H198" s="19" t="s">
        <v>99</v>
      </c>
      <c r="I198" s="44">
        <v>45401</v>
      </c>
      <c r="J198" s="118">
        <v>40000</v>
      </c>
      <c r="K198" s="120" t="s">
        <v>82</v>
      </c>
      <c r="L198" s="19" t="s">
        <v>322</v>
      </c>
      <c r="M198" s="42" t="s">
        <v>537</v>
      </c>
      <c r="N198" s="43" t="s">
        <v>19</v>
      </c>
      <c r="O198" s="78"/>
      <c r="P198" s="78" t="s">
        <v>78</v>
      </c>
      <c r="Q198" s="78"/>
      <c r="R198" s="78"/>
      <c r="S198" s="78"/>
      <c r="T198" s="51" t="str">
        <f>+IF($N198=[1]CURSOS!$D$3,[1]CURSOS!$E$3,(+IF($N198=[1]CURSOS!$D$4,[1]CURSOS!$E$4,(+IF($N198=[1]CURSOS!$D$5,[1]CURSOS!$E$5,(+IF($N198=[1]CURSOS!$D$6,[1]CURSOS!$E$6,(+IF($N198=[1]CURSOS!$D$7,[1]CURSOS!$E$7,(+IF($N198=[1]CURSOS!$D$8,[1]CURSOS!$E$8,(+IF($N198=[1]CURSOS!$D$9,[1]CURSOS!$E$9,(+IF($N198=[1]CURSOS!$D$10,[1]CURSOS!$E$10,(+IF($N198=[1]CURSOS!$D$11,[1]CURSOS!$E$11,(+IF($N198=[1]CURSOS!$D$12,[1]CURSOS!$E$12,(+IF($N198=[1]CURSOS!$D$13,[1]CURSOS!$E$13,(+IF($N198=[1]CURSOS!$D$14,[1]CURSOS!$E$14,(+IF($N198=[1]CURSOS!$D$15,[1]CURSOS!$E$15,(+IF($N198=[1]CURSOS!$D$16,[1]CURSOS!$E$16,(+IF($N198=[1]CURSOS!$D$17,[1]CURSOS!$E$17,(+IF($N198=[1]CURSOS!$D$18,[1]CURSOS!$E$18,(+IF($N198=[1]CURSOS!$D$19,[1]CURSOS!$E$19,(+IF($N198=[1]CURSOS!$D$20,[1]CURSOS!$E$20,(+IF($N198=[1]CURSOS!$D$21,[1]CURSOS!$E$21,(+IF($N198=[1]CURSOS!$D$22,[1]CURSOS!$E$22,(+IF($N198=[1]CURSOS!$D$23,[1]CURSOS!$E$23,(+IF($N198=[1]CURSOS!$D$24,[1]CURSOS!$E$24,(+IF($N198=[1]CURSOS!$D$25,[1]CURSOS!$E$25,(+IF($N198=[1]CURSOS!$D$26,[1]CURSOS!$E$26,(+IF($N198=[1]CURSOS!$D$27,[1]CURSOS!$E$27,(+IF($N198=[1]CURSOS!$D$28,[1]CURSOS!$E$28,(+IF($N198=[1]CURSOS!$D$29,[1]CURSOS!$E$29,(+IF($N198=[1]CURSOS!$D$30,[1]CURSOS!$E$30,(+IF($N198=[1]CURSOS!$D$31,[1]CURSOS!$E$31,(+IF($N198=[1]CURSOS!$D$32,[1]CURSOS!$E$32)))))))))))))))))))))))))))))))))))))))))))))))))))))))))))</f>
        <v>SOPORTE VITAL BASICO (BLS)</v>
      </c>
      <c r="U198" s="51" t="str">
        <f t="shared" si="105"/>
        <v>Veronica  Almanza Molina</v>
      </c>
      <c r="V198" s="51" t="str">
        <f t="shared" si="106"/>
        <v>Veronica  Almanza Molina</v>
      </c>
      <c r="W198" s="51" t="str">
        <f t="shared" ref="W198:W200" si="107">CONCATENATE(U198,"-",B198,"-",N198)</f>
        <v>Veronica  Almanza Molina-38644168-BLS</v>
      </c>
    </row>
    <row r="199" spans="1:23" s="73" customFormat="1" x14ac:dyDescent="0.2">
      <c r="A199" s="20">
        <v>198</v>
      </c>
      <c r="B199" s="78">
        <v>38644168</v>
      </c>
      <c r="C199" s="78" t="s">
        <v>507</v>
      </c>
      <c r="D199" s="78" t="s">
        <v>508</v>
      </c>
      <c r="E199" s="78" t="s">
        <v>509</v>
      </c>
      <c r="F199" s="20"/>
      <c r="G199" s="19">
        <v>22</v>
      </c>
      <c r="H199" s="19" t="s">
        <v>99</v>
      </c>
      <c r="I199" s="44">
        <v>45401</v>
      </c>
      <c r="J199" s="98">
        <v>20000</v>
      </c>
      <c r="K199" s="116" t="s">
        <v>82</v>
      </c>
      <c r="L199" s="19" t="s">
        <v>322</v>
      </c>
      <c r="M199" s="19" t="s">
        <v>537</v>
      </c>
      <c r="N199" s="21" t="s">
        <v>25</v>
      </c>
      <c r="O199" s="72"/>
      <c r="P199" s="20" t="s">
        <v>78</v>
      </c>
      <c r="Q199" s="20"/>
      <c r="R199" s="20"/>
      <c r="S199" s="20"/>
      <c r="T199" s="51" t="str">
        <f>+IF($N199=[1]CURSOS!$D$3,[1]CURSOS!$E$3,(+IF($N199=[1]CURSOS!$D$4,[1]CURSOS!$E$4,(+IF($N199=[1]CURSOS!$D$5,[1]CURSOS!$E$5,(+IF($N199=[1]CURSOS!$D$6,[1]CURSOS!$E$6,(+IF($N199=[1]CURSOS!$D$7,[1]CURSOS!$E$7,(+IF($N199=[1]CURSOS!$D$8,[1]CURSOS!$E$8,(+IF($N199=[1]CURSOS!$D$9,[1]CURSOS!$E$9,(+IF($N199=[1]CURSOS!$D$10,[1]CURSOS!$E$10,(+IF($N199=[1]CURSOS!$D$11,[1]CURSOS!$E$11,(+IF($N199=[1]CURSOS!$D$12,[1]CURSOS!$E$12,(+IF($N199=[1]CURSOS!$D$13,[1]CURSOS!$E$13,(+IF($N199=[1]CURSOS!$D$14,[1]CURSOS!$E$14,(+IF($N199=[1]CURSOS!$D$15,[1]CURSOS!$E$15,(+IF($N199=[1]CURSOS!$D$16,[1]CURSOS!$E$16,(+IF($N199=[1]CURSOS!$D$17,[1]CURSOS!$E$17,(+IF($N199=[1]CURSOS!$D$18,[1]CURSOS!$E$18,(+IF($N199=[1]CURSOS!$D$19,[1]CURSOS!$E$19,(+IF($N199=[1]CURSOS!$D$20,[1]CURSOS!$E$20,(+IF($N199=[1]CURSOS!$D$21,[1]CURSOS!$E$21,(+IF($N199=[1]CURSOS!$D$22,[1]CURSOS!$E$22,(+IF($N199=[1]CURSOS!$D$23,[1]CURSOS!$E$23,(+IF($N199=[1]CURSOS!$D$24,[1]CURSOS!$E$24,(+IF($N199=[1]CURSOS!$D$25,[1]CURSOS!$E$25,(+IF($N199=[1]CURSOS!$D$26,[1]CURSOS!$E$26,(+IF($N199=[1]CURSOS!$D$27,[1]CURSOS!$E$27,(+IF($N199=[1]CURSOS!$D$28,[1]CURSOS!$E$28,(+IF($N199=[1]CURSOS!$D$29,[1]CURSOS!$E$29,(+IF($N199=[1]CURSOS!$D$30,[1]CURSOS!$E$30,(+IF($N199=[1]CURSOS!$D$31,[1]CURSOS!$E$31,(+IF($N199=[1]CURSOS!$D$32,[1]CURSOS!$E$32)))))))))))))))))))))))))))))))))))))))))))))))))))))))))))</f>
        <v xml:space="preserve">ATENCION A VICTIMAS DE ATAQUE CON AGENTES QUIMICOS </v>
      </c>
      <c r="U199" s="51" t="str">
        <f t="shared" si="105"/>
        <v>Veronica  Almanza Molina</v>
      </c>
      <c r="V199" s="51" t="str">
        <f t="shared" si="106"/>
        <v>Veronica  Almanza Molina</v>
      </c>
      <c r="W199" s="51" t="str">
        <f t="shared" si="107"/>
        <v>Veronica  Almanza Molina-38644168-QUIMICOS</v>
      </c>
    </row>
    <row r="200" spans="1:23" s="73" customFormat="1" x14ac:dyDescent="0.2">
      <c r="A200" s="20">
        <v>199</v>
      </c>
      <c r="B200" s="78">
        <v>38644168</v>
      </c>
      <c r="C200" s="78" t="s">
        <v>507</v>
      </c>
      <c r="D200" s="78" t="s">
        <v>508</v>
      </c>
      <c r="E200" s="78" t="s">
        <v>509</v>
      </c>
      <c r="F200" s="20"/>
      <c r="G200" s="19">
        <v>25</v>
      </c>
      <c r="H200" s="19" t="s">
        <v>99</v>
      </c>
      <c r="I200" s="44">
        <v>45401</v>
      </c>
      <c r="J200" s="98">
        <v>20000</v>
      </c>
      <c r="K200" s="116" t="s">
        <v>82</v>
      </c>
      <c r="L200" s="19" t="s">
        <v>322</v>
      </c>
      <c r="M200" s="19" t="s">
        <v>537</v>
      </c>
      <c r="N200" s="21" t="s">
        <v>33</v>
      </c>
      <c r="O200" s="72"/>
      <c r="P200" s="20" t="s">
        <v>78</v>
      </c>
      <c r="Q200" s="20"/>
      <c r="R200" s="20"/>
      <c r="S200" s="20"/>
      <c r="T200" s="51" t="str">
        <f>+IF($N200=[1]CURSOS!$D$3,[1]CURSOS!$E$3,(+IF($N200=[1]CURSOS!$D$4,[1]CURSOS!$E$4,(+IF($N200=[1]CURSOS!$D$5,[1]CURSOS!$E$5,(+IF($N200=[1]CURSOS!$D$6,[1]CURSOS!$E$6,(+IF($N200=[1]CURSOS!$D$7,[1]CURSOS!$E$7,(+IF($N200=[1]CURSOS!$D$8,[1]CURSOS!$E$8,(+IF($N200=[1]CURSOS!$D$9,[1]CURSOS!$E$9,(+IF($N200=[1]CURSOS!$D$10,[1]CURSOS!$E$10,(+IF($N200=[1]CURSOS!$D$11,[1]CURSOS!$E$11,(+IF($N200=[1]CURSOS!$D$12,[1]CURSOS!$E$12,(+IF($N200=[1]CURSOS!$D$13,[1]CURSOS!$E$13,(+IF($N200=[1]CURSOS!$D$14,[1]CURSOS!$E$14,(+IF($N200=[1]CURSOS!$D$15,[1]CURSOS!$E$15,(+IF($N200=[1]CURSOS!$D$16,[1]CURSOS!$E$16,(+IF($N200=[1]CURSOS!$D$17,[1]CURSOS!$E$17,(+IF($N200=[1]CURSOS!$D$18,[1]CURSOS!$E$18,(+IF($N200=[1]CURSOS!$D$19,[1]CURSOS!$E$19,(+IF($N200=[1]CURSOS!$D$20,[1]CURSOS!$E$20,(+IF($N200=[1]CURSOS!$D$21,[1]CURSOS!$E$21,(+IF($N200=[1]CURSOS!$D$22,[1]CURSOS!$E$22,(+IF($N200=[1]CURSOS!$D$23,[1]CURSOS!$E$23,(+IF($N200=[1]CURSOS!$D$24,[1]CURSOS!$E$24,(+IF($N200=[1]CURSOS!$D$25,[1]CURSOS!$E$25,(+IF($N200=[1]CURSOS!$D$26,[1]CURSOS!$E$26,(+IF($N200=[1]CURSOS!$D$27,[1]CURSOS!$E$27,(+IF($N200=[1]CURSOS!$D$28,[1]CURSOS!$E$28,(+IF($N200=[1]CURSOS!$D$29,[1]CURSOS!$E$29,(+IF($N200=[1]CURSOS!$D$30,[1]CURSOS!$E$30,(+IF($N200=[1]CURSOS!$D$31,[1]CURSOS!$E$31,(+IF($N200=[1]CURSOS!$D$32,[1]CURSOS!$E$32)))))))))))))))))))))))))))))))))))))))))))))))))))))))))))</f>
        <v xml:space="preserve">HUMANIZACION EN SALUD, BUENAS PRACTICAS EN PACIENTE </v>
      </c>
      <c r="U200" s="51" t="str">
        <f t="shared" si="105"/>
        <v>Veronica  Almanza Molina</v>
      </c>
      <c r="V200" s="51" t="str">
        <f t="shared" si="106"/>
        <v>Veronica  Almanza Molina</v>
      </c>
      <c r="W200" s="51" t="str">
        <f t="shared" si="107"/>
        <v>Veronica  Almanza Molina-38644168-HUMANIZACION</v>
      </c>
    </row>
    <row r="201" spans="1:23" s="80" customFormat="1" x14ac:dyDescent="0.2">
      <c r="A201" s="20">
        <v>200</v>
      </c>
      <c r="B201" s="78">
        <v>1086103476</v>
      </c>
      <c r="C201" s="78" t="s">
        <v>548</v>
      </c>
      <c r="D201" s="78" t="s">
        <v>505</v>
      </c>
      <c r="E201" s="78" t="s">
        <v>211</v>
      </c>
      <c r="F201" s="78" t="s">
        <v>121</v>
      </c>
      <c r="G201" s="42">
        <v>22</v>
      </c>
      <c r="H201" s="42" t="s">
        <v>99</v>
      </c>
      <c r="I201" s="44">
        <v>45404</v>
      </c>
      <c r="J201" s="118">
        <v>35000</v>
      </c>
      <c r="K201" s="120" t="s">
        <v>82</v>
      </c>
      <c r="L201" s="42" t="s">
        <v>322</v>
      </c>
      <c r="M201" s="42" t="s">
        <v>77</v>
      </c>
      <c r="N201" s="43" t="s">
        <v>46</v>
      </c>
      <c r="O201" s="79">
        <v>32425</v>
      </c>
      <c r="P201" s="78" t="s">
        <v>78</v>
      </c>
      <c r="Q201" s="78" t="s">
        <v>160</v>
      </c>
      <c r="R201" s="78">
        <v>3168572963</v>
      </c>
      <c r="S201" s="78" t="s">
        <v>506</v>
      </c>
      <c r="T201" s="52" t="str">
        <f>+IF($N201=[1]CURSOS!$D$3,[1]CURSOS!$E$3,(+IF($N201=[1]CURSOS!$D$4,[1]CURSOS!$E$4,(+IF($N201=[1]CURSOS!$D$5,[1]CURSOS!$E$5,(+IF($N201=[1]CURSOS!$D$6,[1]CURSOS!$E$6,(+IF($N201=[1]CURSOS!$D$7,[1]CURSOS!$E$7,(+IF($N201=[1]CURSOS!$D$8,[1]CURSOS!$E$8,(+IF($N201=[1]CURSOS!$D$9,[1]CURSOS!$E$9,(+IF($N201=[1]CURSOS!$D$10,[1]CURSOS!$E$10,(+IF($N201=[1]CURSOS!$D$11,[1]CURSOS!$E$11,(+IF($N201=[1]CURSOS!$D$12,[1]CURSOS!$E$12,(+IF($N201=[1]CURSOS!$D$13,[1]CURSOS!$E$13,(+IF($N201=[1]CURSOS!$D$14,[1]CURSOS!$E$14,(+IF($N201=[1]CURSOS!$D$15,[1]CURSOS!$E$15,(+IF($N201=[1]CURSOS!$D$16,[1]CURSOS!$E$16,(+IF($N201=[1]CURSOS!$D$17,[1]CURSOS!$E$17,(+IF($N201=[1]CURSOS!$D$18,[1]CURSOS!$E$18,(+IF($N201=[1]CURSOS!$D$19,[1]CURSOS!$E$19,(+IF($N201=[1]CURSOS!$D$20,[1]CURSOS!$E$20,(+IF($N201=[1]CURSOS!$D$21,[1]CURSOS!$E$21,(+IF($N201=[1]CURSOS!$D$22,[1]CURSOS!$E$22,(+IF($N201=[1]CURSOS!$D$23,[1]CURSOS!$E$23,(+IF($N201=[1]CURSOS!$D$24,[1]CURSOS!$E$24,(+IF($N201=[1]CURSOS!$D$25,[1]CURSOS!$E$25,(+IF($N201=[1]CURSOS!$D$26,[1]CURSOS!$E$26,(+IF($N201=[1]CURSOS!$D$27,[1]CURSOS!$E$27,(+IF($N201=[1]CURSOS!$D$28,[1]CURSOS!$E$28,(+IF($N201=[1]CURSOS!$D$29,[1]CURSOS!$E$29,(+IF($N201=[1]CURSOS!$D$30,[1]CURSOS!$E$30,(+IF($N201=[1]CURSOS!$D$31,[1]CURSOS!$E$31,(+IF($N201=[1]CURSOS!$D$32,[1]CURSOS!$E$32)))))))))))))))))))))))))))))))))))))))))))))))))))))))))))</f>
        <v xml:space="preserve">ATENCION A VICTIMAS DE VIOLENCIA SEXUAL </v>
      </c>
      <c r="U201" s="52" t="str">
        <f t="shared" ref="U201:U202" si="108">CONCATENATE(E201," ",F201," ",C201," ",D201)</f>
        <v>Mayra Alejandra Casanova Acosta</v>
      </c>
      <c r="V201" s="52" t="str">
        <f t="shared" ref="V201:V202" si="109">+PROPER(U201)</f>
        <v>Mayra Alejandra Casanova Acosta</v>
      </c>
      <c r="W201" s="52" t="str">
        <f t="shared" ref="W201:W202" si="110">CONCATENATE(U201,"-",B201,"-",N201)</f>
        <v>Mayra Alejandra Casanova Acosta-1086103476-VIOLENCIA SEXUAL</v>
      </c>
    </row>
    <row r="202" spans="1:23" s="73" customFormat="1" x14ac:dyDescent="0.2">
      <c r="A202" s="20">
        <v>201</v>
      </c>
      <c r="B202" s="20">
        <v>1094284464</v>
      </c>
      <c r="C202" s="20" t="s">
        <v>263</v>
      </c>
      <c r="D202" s="20" t="s">
        <v>513</v>
      </c>
      <c r="E202" s="20" t="s">
        <v>267</v>
      </c>
      <c r="F202" s="20" t="s">
        <v>518</v>
      </c>
      <c r="G202" s="19">
        <v>22</v>
      </c>
      <c r="H202" s="19" t="s">
        <v>99</v>
      </c>
      <c r="I202" s="25">
        <v>45405</v>
      </c>
      <c r="J202" s="88">
        <v>32000</v>
      </c>
      <c r="K202" s="116" t="s">
        <v>79</v>
      </c>
      <c r="L202" s="19" t="s">
        <v>322</v>
      </c>
      <c r="M202" s="19" t="s">
        <v>197</v>
      </c>
      <c r="N202" s="21" t="s">
        <v>33</v>
      </c>
      <c r="O202" s="72">
        <v>36350</v>
      </c>
      <c r="P202" s="20" t="s">
        <v>78</v>
      </c>
      <c r="Q202" s="20" t="s">
        <v>514</v>
      </c>
      <c r="R202" s="20"/>
      <c r="S202" s="20"/>
      <c r="T202" s="51" t="str">
        <f>+IF($N202=[1]CURSOS!$D$3,[1]CURSOS!$E$3,(+IF($N202=[1]CURSOS!$D$4,[1]CURSOS!$E$4,(+IF($N202=[1]CURSOS!$D$5,[1]CURSOS!$E$5,(+IF($N202=[1]CURSOS!$D$6,[1]CURSOS!$E$6,(+IF($N202=[1]CURSOS!$D$7,[1]CURSOS!$E$7,(+IF($N202=[1]CURSOS!$D$8,[1]CURSOS!$E$8,(+IF($N202=[1]CURSOS!$D$9,[1]CURSOS!$E$9,(+IF($N202=[1]CURSOS!$D$10,[1]CURSOS!$E$10,(+IF($N202=[1]CURSOS!$D$11,[1]CURSOS!$E$11,(+IF($N202=[1]CURSOS!$D$12,[1]CURSOS!$E$12,(+IF($N202=[1]CURSOS!$D$13,[1]CURSOS!$E$13,(+IF($N202=[1]CURSOS!$D$14,[1]CURSOS!$E$14,(+IF($N202=[1]CURSOS!$D$15,[1]CURSOS!$E$15,(+IF($N202=[1]CURSOS!$D$16,[1]CURSOS!$E$16,(+IF($N202=[1]CURSOS!$D$17,[1]CURSOS!$E$17,(+IF($N202=[1]CURSOS!$D$18,[1]CURSOS!$E$18,(+IF($N202=[1]CURSOS!$D$19,[1]CURSOS!$E$19,(+IF($N202=[1]CURSOS!$D$20,[1]CURSOS!$E$20,(+IF($N202=[1]CURSOS!$D$21,[1]CURSOS!$E$21,(+IF($N202=[1]CURSOS!$D$22,[1]CURSOS!$E$22,(+IF($N202=[1]CURSOS!$D$23,[1]CURSOS!$E$23,(+IF($N202=[1]CURSOS!$D$24,[1]CURSOS!$E$24,(+IF($N202=[1]CURSOS!$D$25,[1]CURSOS!$E$25,(+IF($N202=[1]CURSOS!$D$26,[1]CURSOS!$E$26,(+IF($N202=[1]CURSOS!$D$27,[1]CURSOS!$E$27,(+IF($N202=[1]CURSOS!$D$28,[1]CURSOS!$E$28,(+IF($N202=[1]CURSOS!$D$29,[1]CURSOS!$E$29,(+IF($N202=[1]CURSOS!$D$30,[1]CURSOS!$E$30,(+IF($N202=[1]CURSOS!$D$31,[1]CURSOS!$E$31,(+IF($N202=[1]CURSOS!$D$32,[1]CURSOS!$E$32)))))))))))))))))))))))))))))))))))))))))))))))))))))))))))</f>
        <v xml:space="preserve">HUMANIZACION EN SALUD, BUENAS PRACTICAS EN PACIENTE </v>
      </c>
      <c r="U202" s="51" t="str">
        <f t="shared" si="108"/>
        <v>Maria De los Angeles Martinez Sierra</v>
      </c>
      <c r="V202" s="51" t="str">
        <f t="shared" si="109"/>
        <v>Maria De Los Angeles Martinez Sierra</v>
      </c>
      <c r="W202" s="51" t="str">
        <f t="shared" si="110"/>
        <v>Maria De los Angeles Martinez Sierra-1094284464-HUMANIZACION</v>
      </c>
    </row>
    <row r="203" spans="1:23" s="73" customFormat="1" x14ac:dyDescent="0.2">
      <c r="A203" s="20">
        <v>202</v>
      </c>
      <c r="B203" s="20">
        <v>1094284464</v>
      </c>
      <c r="C203" s="20" t="s">
        <v>263</v>
      </c>
      <c r="D203" s="20" t="s">
        <v>513</v>
      </c>
      <c r="E203" s="20" t="s">
        <v>267</v>
      </c>
      <c r="F203" s="20" t="s">
        <v>518</v>
      </c>
      <c r="G203" s="19">
        <v>22</v>
      </c>
      <c r="H203" s="19" t="s">
        <v>99</v>
      </c>
      <c r="I203" s="25">
        <v>45405</v>
      </c>
      <c r="J203" s="88">
        <v>32000</v>
      </c>
      <c r="K203" s="116" t="s">
        <v>79</v>
      </c>
      <c r="L203" s="19" t="s">
        <v>322</v>
      </c>
      <c r="M203" s="19" t="s">
        <v>197</v>
      </c>
      <c r="N203" s="21" t="s">
        <v>25</v>
      </c>
      <c r="O203" s="72">
        <v>36350</v>
      </c>
      <c r="P203" s="20" t="s">
        <v>78</v>
      </c>
      <c r="Q203" s="20" t="s">
        <v>514</v>
      </c>
      <c r="R203" s="20"/>
      <c r="S203" s="20"/>
      <c r="T203" s="51" t="str">
        <f>+IF($N203=[1]CURSOS!$D$3,[1]CURSOS!$E$3,(+IF($N203=[1]CURSOS!$D$4,[1]CURSOS!$E$4,(+IF($N203=[1]CURSOS!$D$5,[1]CURSOS!$E$5,(+IF($N203=[1]CURSOS!$D$6,[1]CURSOS!$E$6,(+IF($N203=[1]CURSOS!$D$7,[1]CURSOS!$E$7,(+IF($N203=[1]CURSOS!$D$8,[1]CURSOS!$E$8,(+IF($N203=[1]CURSOS!$D$9,[1]CURSOS!$E$9,(+IF($N203=[1]CURSOS!$D$10,[1]CURSOS!$E$10,(+IF($N203=[1]CURSOS!$D$11,[1]CURSOS!$E$11,(+IF($N203=[1]CURSOS!$D$12,[1]CURSOS!$E$12,(+IF($N203=[1]CURSOS!$D$13,[1]CURSOS!$E$13,(+IF($N203=[1]CURSOS!$D$14,[1]CURSOS!$E$14,(+IF($N203=[1]CURSOS!$D$15,[1]CURSOS!$E$15,(+IF($N203=[1]CURSOS!$D$16,[1]CURSOS!$E$16,(+IF($N203=[1]CURSOS!$D$17,[1]CURSOS!$E$17,(+IF($N203=[1]CURSOS!$D$18,[1]CURSOS!$E$18,(+IF($N203=[1]CURSOS!$D$19,[1]CURSOS!$E$19,(+IF($N203=[1]CURSOS!$D$20,[1]CURSOS!$E$20,(+IF($N203=[1]CURSOS!$D$21,[1]CURSOS!$E$21,(+IF($N203=[1]CURSOS!$D$22,[1]CURSOS!$E$22,(+IF($N203=[1]CURSOS!$D$23,[1]CURSOS!$E$23,(+IF($N203=[1]CURSOS!$D$24,[1]CURSOS!$E$24,(+IF($N203=[1]CURSOS!$D$25,[1]CURSOS!$E$25,(+IF($N203=[1]CURSOS!$D$26,[1]CURSOS!$E$26,(+IF($N203=[1]CURSOS!$D$27,[1]CURSOS!$E$27,(+IF($N203=[1]CURSOS!$D$28,[1]CURSOS!$E$28,(+IF($N203=[1]CURSOS!$D$29,[1]CURSOS!$E$29,(+IF($N203=[1]CURSOS!$D$30,[1]CURSOS!$E$30,(+IF($N203=[1]CURSOS!$D$31,[1]CURSOS!$E$31,(+IF($N203=[1]CURSOS!$D$32,[1]CURSOS!$E$32)))))))))))))))))))))))))))))))))))))))))))))))))))))))))))</f>
        <v xml:space="preserve">ATENCION A VICTIMAS DE ATAQUE CON AGENTES QUIMICOS </v>
      </c>
      <c r="U203" s="51" t="str">
        <f t="shared" ref="U203:U205" si="111">CONCATENATE(E203," ",F203," ",C203," ",D203)</f>
        <v>Maria De los Angeles Martinez Sierra</v>
      </c>
      <c r="V203" s="51" t="str">
        <f t="shared" ref="V203:V205" si="112">+PROPER(U203)</f>
        <v>Maria De Los Angeles Martinez Sierra</v>
      </c>
      <c r="W203" s="51" t="str">
        <f t="shared" ref="W203:W205" si="113">CONCATENATE(U203,"-",B203,"-",N203)</f>
        <v>Maria De los Angeles Martinez Sierra-1094284464-QUIMICOS</v>
      </c>
    </row>
    <row r="204" spans="1:23" s="73" customFormat="1" x14ac:dyDescent="0.2">
      <c r="A204" s="20">
        <v>203</v>
      </c>
      <c r="B204" s="20">
        <v>1094284464</v>
      </c>
      <c r="C204" s="20" t="s">
        <v>263</v>
      </c>
      <c r="D204" s="20" t="s">
        <v>513</v>
      </c>
      <c r="E204" s="20" t="s">
        <v>267</v>
      </c>
      <c r="F204" s="20" t="s">
        <v>518</v>
      </c>
      <c r="G204" s="19">
        <v>20</v>
      </c>
      <c r="H204" s="19" t="s">
        <v>99</v>
      </c>
      <c r="I204" s="25">
        <v>45405</v>
      </c>
      <c r="J204" s="88">
        <v>32000</v>
      </c>
      <c r="K204" s="116" t="s">
        <v>79</v>
      </c>
      <c r="L204" s="19" t="s">
        <v>322</v>
      </c>
      <c r="M204" s="19" t="s">
        <v>197</v>
      </c>
      <c r="N204" s="21" t="s">
        <v>46</v>
      </c>
      <c r="O204" s="72">
        <v>36350</v>
      </c>
      <c r="P204" s="20" t="s">
        <v>78</v>
      </c>
      <c r="Q204" s="20" t="s">
        <v>514</v>
      </c>
      <c r="R204" s="20"/>
      <c r="S204" s="20"/>
      <c r="T204" s="52" t="str">
        <f>+IF($N204=[1]CURSOS!$D$3,[1]CURSOS!$E$3,(+IF($N204=[1]CURSOS!$D$4,[1]CURSOS!$E$4,(+IF($N204=[1]CURSOS!$D$5,[1]CURSOS!$E$5,(+IF($N204=[1]CURSOS!$D$6,[1]CURSOS!$E$6,(+IF($N204=[1]CURSOS!$D$7,[1]CURSOS!$E$7,(+IF($N204=[1]CURSOS!$D$8,[1]CURSOS!$E$8,(+IF($N204=[1]CURSOS!$D$9,[1]CURSOS!$E$9,(+IF($N204=[1]CURSOS!$D$10,[1]CURSOS!$E$10,(+IF($N204=[1]CURSOS!$D$11,[1]CURSOS!$E$11,(+IF($N204=[1]CURSOS!$D$12,[1]CURSOS!$E$12,(+IF($N204=[1]CURSOS!$D$13,[1]CURSOS!$E$13,(+IF($N204=[1]CURSOS!$D$14,[1]CURSOS!$E$14,(+IF($N204=[1]CURSOS!$D$15,[1]CURSOS!$E$15,(+IF($N204=[1]CURSOS!$D$16,[1]CURSOS!$E$16,(+IF($N204=[1]CURSOS!$D$17,[1]CURSOS!$E$17,(+IF($N204=[1]CURSOS!$D$18,[1]CURSOS!$E$18,(+IF($N204=[1]CURSOS!$D$19,[1]CURSOS!$E$19,(+IF($N204=[1]CURSOS!$D$20,[1]CURSOS!$E$20,(+IF($N204=[1]CURSOS!$D$21,[1]CURSOS!$E$21,(+IF($N204=[1]CURSOS!$D$22,[1]CURSOS!$E$22,(+IF($N204=[1]CURSOS!$D$23,[1]CURSOS!$E$23,(+IF($N204=[1]CURSOS!$D$24,[1]CURSOS!$E$24,(+IF($N204=[1]CURSOS!$D$25,[1]CURSOS!$E$25,(+IF($N204=[1]CURSOS!$D$26,[1]CURSOS!$E$26,(+IF($N204=[1]CURSOS!$D$27,[1]CURSOS!$E$27,(+IF($N204=[1]CURSOS!$D$28,[1]CURSOS!$E$28,(+IF($N204=[1]CURSOS!$D$29,[1]CURSOS!$E$29,(+IF($N204=[1]CURSOS!$D$30,[1]CURSOS!$E$30,(+IF($N204=[1]CURSOS!$D$31,[1]CURSOS!$E$31,(+IF($N204=[1]CURSOS!$D$32,[1]CURSOS!$E$32)))))))))))))))))))))))))))))))))))))))))))))))))))))))))))</f>
        <v xml:space="preserve">ATENCION A VICTIMAS DE VIOLENCIA SEXUAL </v>
      </c>
      <c r="U204" s="52" t="str">
        <f t="shared" si="111"/>
        <v>Maria De los Angeles Martinez Sierra</v>
      </c>
      <c r="V204" s="52" t="str">
        <f t="shared" si="112"/>
        <v>Maria De Los Angeles Martinez Sierra</v>
      </c>
      <c r="W204" s="52" t="str">
        <f t="shared" si="113"/>
        <v>Maria De los Angeles Martinez Sierra-1094284464-VIOLENCIA SEXUAL</v>
      </c>
    </row>
    <row r="205" spans="1:23" s="73" customFormat="1" x14ac:dyDescent="0.2">
      <c r="A205" s="20">
        <v>204</v>
      </c>
      <c r="B205" s="20">
        <v>59177032</v>
      </c>
      <c r="C205" s="20" t="s">
        <v>155</v>
      </c>
      <c r="D205" s="20" t="s">
        <v>515</v>
      </c>
      <c r="E205" s="20" t="s">
        <v>516</v>
      </c>
      <c r="F205" s="20" t="s">
        <v>517</v>
      </c>
      <c r="G205" s="19">
        <v>22</v>
      </c>
      <c r="H205" s="19" t="s">
        <v>99</v>
      </c>
      <c r="I205" s="25">
        <v>45418</v>
      </c>
      <c r="J205" s="98">
        <v>25000</v>
      </c>
      <c r="K205" s="116" t="s">
        <v>82</v>
      </c>
      <c r="L205" s="19" t="s">
        <v>322</v>
      </c>
      <c r="M205" s="19" t="s">
        <v>173</v>
      </c>
      <c r="N205" s="21" t="s">
        <v>19</v>
      </c>
      <c r="O205" s="72"/>
      <c r="P205" s="20" t="s">
        <v>78</v>
      </c>
      <c r="Q205" s="20"/>
      <c r="R205" s="20"/>
      <c r="S205" s="20"/>
      <c r="T205" s="51" t="str">
        <f>+IF($N205=[1]CURSOS!$D$3,[1]CURSOS!$E$3,(+IF($N205=[1]CURSOS!$D$4,[1]CURSOS!$E$4,(+IF($N205=[1]CURSOS!$D$5,[1]CURSOS!$E$5,(+IF($N205=[1]CURSOS!$D$6,[1]CURSOS!$E$6,(+IF($N205=[1]CURSOS!$D$7,[1]CURSOS!$E$7,(+IF($N205=[1]CURSOS!$D$8,[1]CURSOS!$E$8,(+IF($N205=[1]CURSOS!$D$9,[1]CURSOS!$E$9,(+IF($N205=[1]CURSOS!$D$10,[1]CURSOS!$E$10,(+IF($N205=[1]CURSOS!$D$11,[1]CURSOS!$E$11,(+IF($N205=[1]CURSOS!$D$12,[1]CURSOS!$E$12,(+IF($N205=[1]CURSOS!$D$13,[1]CURSOS!$E$13,(+IF($N205=[1]CURSOS!$D$14,[1]CURSOS!$E$14,(+IF($N205=[1]CURSOS!$D$15,[1]CURSOS!$E$15,(+IF($N205=[1]CURSOS!$D$16,[1]CURSOS!$E$16,(+IF($N205=[1]CURSOS!$D$17,[1]CURSOS!$E$17,(+IF($N205=[1]CURSOS!$D$18,[1]CURSOS!$E$18,(+IF($N205=[1]CURSOS!$D$19,[1]CURSOS!$E$19,(+IF($N205=[1]CURSOS!$D$20,[1]CURSOS!$E$20,(+IF($N205=[1]CURSOS!$D$21,[1]CURSOS!$E$21,(+IF($N205=[1]CURSOS!$D$22,[1]CURSOS!$E$22,(+IF($N205=[1]CURSOS!$D$23,[1]CURSOS!$E$23,(+IF($N205=[1]CURSOS!$D$24,[1]CURSOS!$E$24,(+IF($N205=[1]CURSOS!$D$25,[1]CURSOS!$E$25,(+IF($N205=[1]CURSOS!$D$26,[1]CURSOS!$E$26,(+IF($N205=[1]CURSOS!$D$27,[1]CURSOS!$E$27,(+IF($N205=[1]CURSOS!$D$28,[1]CURSOS!$E$28,(+IF($N205=[1]CURSOS!$D$29,[1]CURSOS!$E$29,(+IF($N205=[1]CURSOS!$D$30,[1]CURSOS!$E$30,(+IF($N205=[1]CURSOS!$D$31,[1]CURSOS!$E$31,(+IF($N205=[1]CURSOS!$D$32,[1]CURSOS!$E$32)))))))))))))))))))))))))))))))))))))))))))))))))))))))))))</f>
        <v>SOPORTE VITAL BASICO (BLS)</v>
      </c>
      <c r="U205" s="51" t="str">
        <f t="shared" si="111"/>
        <v>Jackeline Del Rocio Muñoz Latorre</v>
      </c>
      <c r="V205" s="51" t="str">
        <f t="shared" si="112"/>
        <v>Jackeline Del Rocio Muñoz Latorre</v>
      </c>
      <c r="W205" s="51" t="str">
        <f t="shared" si="113"/>
        <v>Jackeline Del Rocio Muñoz Latorre-59177032-BLS</v>
      </c>
    </row>
    <row r="206" spans="1:23" s="73" customFormat="1" x14ac:dyDescent="0.2">
      <c r="A206" s="20">
        <v>205</v>
      </c>
      <c r="B206" s="20">
        <v>59177032</v>
      </c>
      <c r="C206" s="20" t="s">
        <v>155</v>
      </c>
      <c r="D206" s="20" t="s">
        <v>515</v>
      </c>
      <c r="E206" s="20" t="s">
        <v>516</v>
      </c>
      <c r="F206" s="20" t="s">
        <v>517</v>
      </c>
      <c r="G206" s="19">
        <v>22</v>
      </c>
      <c r="H206" s="19" t="s">
        <v>99</v>
      </c>
      <c r="I206" s="25">
        <v>45418</v>
      </c>
      <c r="J206" s="98">
        <v>25000</v>
      </c>
      <c r="K206" s="116" t="s">
        <v>82</v>
      </c>
      <c r="L206" s="19" t="s">
        <v>322</v>
      </c>
      <c r="M206" s="19" t="s">
        <v>173</v>
      </c>
      <c r="N206" s="21" t="s">
        <v>46</v>
      </c>
      <c r="O206" s="72"/>
      <c r="P206" s="20" t="s">
        <v>78</v>
      </c>
      <c r="Q206" s="20"/>
      <c r="R206" s="20"/>
      <c r="S206" s="20"/>
      <c r="T206" s="51" t="str">
        <f>+IF($N206=[1]CURSOS!$D$3,[1]CURSOS!$E$3,(+IF($N206=[1]CURSOS!$D$4,[1]CURSOS!$E$4,(+IF($N206=[1]CURSOS!$D$5,[1]CURSOS!$E$5,(+IF($N206=[1]CURSOS!$D$6,[1]CURSOS!$E$6,(+IF($N206=[1]CURSOS!$D$7,[1]CURSOS!$E$7,(+IF($N206=[1]CURSOS!$D$8,[1]CURSOS!$E$8,(+IF($N206=[1]CURSOS!$D$9,[1]CURSOS!$E$9,(+IF($N206=[1]CURSOS!$D$10,[1]CURSOS!$E$10,(+IF($N206=[1]CURSOS!$D$11,[1]CURSOS!$E$11,(+IF($N206=[1]CURSOS!$D$12,[1]CURSOS!$E$12,(+IF($N206=[1]CURSOS!$D$13,[1]CURSOS!$E$13,(+IF($N206=[1]CURSOS!$D$14,[1]CURSOS!$E$14,(+IF($N206=[1]CURSOS!$D$15,[1]CURSOS!$E$15,(+IF($N206=[1]CURSOS!$D$16,[1]CURSOS!$E$16,(+IF($N206=[1]CURSOS!$D$17,[1]CURSOS!$E$17,(+IF($N206=[1]CURSOS!$D$18,[1]CURSOS!$E$18,(+IF($N206=[1]CURSOS!$D$19,[1]CURSOS!$E$19,(+IF($N206=[1]CURSOS!$D$20,[1]CURSOS!$E$20,(+IF($N206=[1]CURSOS!$D$21,[1]CURSOS!$E$21,(+IF($N206=[1]CURSOS!$D$22,[1]CURSOS!$E$22,(+IF($N206=[1]CURSOS!$D$23,[1]CURSOS!$E$23,(+IF($N206=[1]CURSOS!$D$24,[1]CURSOS!$E$24,(+IF($N206=[1]CURSOS!$D$25,[1]CURSOS!$E$25,(+IF($N206=[1]CURSOS!$D$26,[1]CURSOS!$E$26,(+IF($N206=[1]CURSOS!$D$27,[1]CURSOS!$E$27,(+IF($N206=[1]CURSOS!$D$28,[1]CURSOS!$E$28,(+IF($N206=[1]CURSOS!$D$29,[1]CURSOS!$E$29,(+IF($N206=[1]CURSOS!$D$30,[1]CURSOS!$E$30,(+IF($N206=[1]CURSOS!$D$31,[1]CURSOS!$E$31,(+IF($N206=[1]CURSOS!$D$32,[1]CURSOS!$E$32)))))))))))))))))))))))))))))))))))))))))))))))))))))))))))</f>
        <v xml:space="preserve">ATENCION A VICTIMAS DE VIOLENCIA SEXUAL </v>
      </c>
      <c r="U206" s="51" t="str">
        <f t="shared" ref="U206:U212" si="114">CONCATENATE(E206," ",F206," ",C206," ",D206)</f>
        <v>Jackeline Del Rocio Muñoz Latorre</v>
      </c>
      <c r="V206" s="51" t="str">
        <f t="shared" ref="V206:V212" si="115">+PROPER(U206)</f>
        <v>Jackeline Del Rocio Muñoz Latorre</v>
      </c>
      <c r="W206" s="51" t="str">
        <f t="shared" ref="W206:W212" si="116">CONCATENATE(U206,"-",B206,"-",N206)</f>
        <v>Jackeline Del Rocio Muñoz Latorre-59177032-VIOLENCIA SEXUAL</v>
      </c>
    </row>
    <row r="207" spans="1:23" s="73" customFormat="1" x14ac:dyDescent="0.2">
      <c r="A207" s="20">
        <v>206</v>
      </c>
      <c r="B207" s="20">
        <v>59177032</v>
      </c>
      <c r="C207" s="20" t="s">
        <v>155</v>
      </c>
      <c r="D207" s="20" t="s">
        <v>515</v>
      </c>
      <c r="E207" s="20" t="s">
        <v>516</v>
      </c>
      <c r="F207" s="20" t="s">
        <v>517</v>
      </c>
      <c r="G207" s="19">
        <v>22</v>
      </c>
      <c r="H207" s="19" t="s">
        <v>99</v>
      </c>
      <c r="I207" s="25">
        <v>45418</v>
      </c>
      <c r="J207" s="98">
        <v>25000</v>
      </c>
      <c r="K207" s="116" t="s">
        <v>82</v>
      </c>
      <c r="L207" s="19" t="s">
        <v>322</v>
      </c>
      <c r="M207" s="19" t="s">
        <v>173</v>
      </c>
      <c r="N207" s="21" t="s">
        <v>25</v>
      </c>
      <c r="O207" s="72"/>
      <c r="P207" s="20" t="s">
        <v>78</v>
      </c>
      <c r="Q207" s="20"/>
      <c r="R207" s="20"/>
      <c r="S207" s="20"/>
      <c r="T207" s="52" t="str">
        <f>+IF($N207=[1]CURSOS!$D$3,[1]CURSOS!$E$3,(+IF($N207=[1]CURSOS!$D$4,[1]CURSOS!$E$4,(+IF($N207=[1]CURSOS!$D$5,[1]CURSOS!$E$5,(+IF($N207=[1]CURSOS!$D$6,[1]CURSOS!$E$6,(+IF($N207=[1]CURSOS!$D$7,[1]CURSOS!$E$7,(+IF($N207=[1]CURSOS!$D$8,[1]CURSOS!$E$8,(+IF($N207=[1]CURSOS!$D$9,[1]CURSOS!$E$9,(+IF($N207=[1]CURSOS!$D$10,[1]CURSOS!$E$10,(+IF($N207=[1]CURSOS!$D$11,[1]CURSOS!$E$11,(+IF($N207=[1]CURSOS!$D$12,[1]CURSOS!$E$12,(+IF($N207=[1]CURSOS!$D$13,[1]CURSOS!$E$13,(+IF($N207=[1]CURSOS!$D$14,[1]CURSOS!$E$14,(+IF($N207=[1]CURSOS!$D$15,[1]CURSOS!$E$15,(+IF($N207=[1]CURSOS!$D$16,[1]CURSOS!$E$16,(+IF($N207=[1]CURSOS!$D$17,[1]CURSOS!$E$17,(+IF($N207=[1]CURSOS!$D$18,[1]CURSOS!$E$18,(+IF($N207=[1]CURSOS!$D$19,[1]CURSOS!$E$19,(+IF($N207=[1]CURSOS!$D$20,[1]CURSOS!$E$20,(+IF($N207=[1]CURSOS!$D$21,[1]CURSOS!$E$21,(+IF($N207=[1]CURSOS!$D$22,[1]CURSOS!$E$22,(+IF($N207=[1]CURSOS!$D$23,[1]CURSOS!$E$23,(+IF($N207=[1]CURSOS!$D$24,[1]CURSOS!$E$24,(+IF($N207=[1]CURSOS!$D$25,[1]CURSOS!$E$25,(+IF($N207=[1]CURSOS!$D$26,[1]CURSOS!$E$26,(+IF($N207=[1]CURSOS!$D$27,[1]CURSOS!$E$27,(+IF($N207=[1]CURSOS!$D$28,[1]CURSOS!$E$28,(+IF($N207=[1]CURSOS!$D$29,[1]CURSOS!$E$29,(+IF($N207=[1]CURSOS!$D$30,[1]CURSOS!$E$30,(+IF($N207=[1]CURSOS!$D$31,[1]CURSOS!$E$31,(+IF($N207=[1]CURSOS!$D$32,[1]CURSOS!$E$32)))))))))))))))))))))))))))))))))))))))))))))))))))))))))))</f>
        <v xml:space="preserve">ATENCION A VICTIMAS DE ATAQUE CON AGENTES QUIMICOS </v>
      </c>
      <c r="U207" s="52" t="str">
        <f t="shared" si="114"/>
        <v>Jackeline Del Rocio Muñoz Latorre</v>
      </c>
      <c r="V207" s="52" t="str">
        <f t="shared" si="115"/>
        <v>Jackeline Del Rocio Muñoz Latorre</v>
      </c>
      <c r="W207" s="52" t="str">
        <f t="shared" si="116"/>
        <v>Jackeline Del Rocio Muñoz Latorre-59177032-QUIMICOS</v>
      </c>
    </row>
    <row r="208" spans="1:23" s="73" customFormat="1" x14ac:dyDescent="0.2">
      <c r="A208" s="20">
        <v>207</v>
      </c>
      <c r="B208" s="20">
        <v>59177032</v>
      </c>
      <c r="C208" s="20" t="s">
        <v>155</v>
      </c>
      <c r="D208" s="20" t="s">
        <v>515</v>
      </c>
      <c r="E208" s="20" t="s">
        <v>516</v>
      </c>
      <c r="F208" s="20" t="s">
        <v>517</v>
      </c>
      <c r="G208" s="19">
        <v>22</v>
      </c>
      <c r="H208" s="19" t="s">
        <v>99</v>
      </c>
      <c r="I208" s="25">
        <v>45418</v>
      </c>
      <c r="J208" s="98">
        <v>25000</v>
      </c>
      <c r="K208" s="116" t="s">
        <v>82</v>
      </c>
      <c r="L208" s="19" t="s">
        <v>322</v>
      </c>
      <c r="M208" s="19" t="s">
        <v>173</v>
      </c>
      <c r="N208" s="21" t="s">
        <v>52</v>
      </c>
      <c r="O208" s="72"/>
      <c r="P208" s="20" t="s">
        <v>78</v>
      </c>
      <c r="Q208" s="20"/>
      <c r="R208" s="20"/>
      <c r="S208" s="20"/>
      <c r="T208" s="51" t="str">
        <f>+IF($N208=[1]CURSOS!$D$3,[1]CURSOS!$E$3,(+IF($N208=[1]CURSOS!$D$4,[1]CURSOS!$E$4,(+IF($N208=[1]CURSOS!$D$5,[1]CURSOS!$E$5,(+IF($N208=[1]CURSOS!$D$6,[1]CURSOS!$E$6,(+IF($N208=[1]CURSOS!$D$7,[1]CURSOS!$E$7,(+IF($N208=[1]CURSOS!$D$8,[1]CURSOS!$E$8,(+IF($N208=[1]CURSOS!$D$9,[1]CURSOS!$E$9,(+IF($N208=[1]CURSOS!$D$10,[1]CURSOS!$E$10,(+IF($N208=[1]CURSOS!$D$11,[1]CURSOS!$E$11,(+IF($N208=[1]CURSOS!$D$12,[1]CURSOS!$E$12,(+IF($N208=[1]CURSOS!$D$13,[1]CURSOS!$E$13,(+IF($N208=[1]CURSOS!$D$14,[1]CURSOS!$E$14,(+IF($N208=[1]CURSOS!$D$15,[1]CURSOS!$E$15,(+IF($N208=[1]CURSOS!$D$16,[1]CURSOS!$E$16,(+IF($N208=[1]CURSOS!$D$17,[1]CURSOS!$E$17,(+IF($N208=[1]CURSOS!$D$18,[1]CURSOS!$E$18,(+IF($N208=[1]CURSOS!$D$19,[1]CURSOS!$E$19,(+IF($N208=[1]CURSOS!$D$20,[1]CURSOS!$E$20,(+IF($N208=[1]CURSOS!$D$21,[1]CURSOS!$E$21,(+IF($N208=[1]CURSOS!$D$22,[1]CURSOS!$E$22,(+IF($N208=[1]CURSOS!$D$23,[1]CURSOS!$E$23,(+IF($N208=[1]CURSOS!$D$24,[1]CURSOS!$E$24,(+IF($N208=[1]CURSOS!$D$25,[1]CURSOS!$E$25,(+IF($N208=[1]CURSOS!$D$26,[1]CURSOS!$E$26,(+IF($N208=[1]CURSOS!$D$27,[1]CURSOS!$E$27,(+IF($N208=[1]CURSOS!$D$28,[1]CURSOS!$E$28,(+IF($N208=[1]CURSOS!$D$29,[1]CURSOS!$E$29,(+IF($N208=[1]CURSOS!$D$30,[1]CURSOS!$E$30,(+IF($N208=[1]CURSOS!$D$31,[1]CURSOS!$E$31,(+IF($N208=[1]CURSOS!$D$32,[1]CURSOS!$E$32)))))))))))))))))))))))))))))))))))))))))))))))))))))))))))</f>
        <v xml:space="preserve">ADMINISTRACION DE MEDICAMENTOS, INYECTOLOGIA  Y CANALIZACION </v>
      </c>
      <c r="U208" s="51" t="str">
        <f t="shared" si="114"/>
        <v>Jackeline Del Rocio Muñoz Latorre</v>
      </c>
      <c r="V208" s="51" t="str">
        <f t="shared" si="115"/>
        <v>Jackeline Del Rocio Muñoz Latorre</v>
      </c>
      <c r="W208" s="51" t="str">
        <f t="shared" si="116"/>
        <v>Jackeline Del Rocio Muñoz Latorre-59177032-ADMON DE MEDICAMENTOS</v>
      </c>
    </row>
    <row r="209" spans="1:23" s="73" customFormat="1" ht="15.75" x14ac:dyDescent="0.25">
      <c r="A209" s="20">
        <v>208</v>
      </c>
      <c r="B209" s="20">
        <v>1085343205</v>
      </c>
      <c r="C209" s="20" t="s">
        <v>192</v>
      </c>
      <c r="D209" s="20" t="s">
        <v>519</v>
      </c>
      <c r="E209" s="20" t="s">
        <v>370</v>
      </c>
      <c r="F209" s="20" t="s">
        <v>267</v>
      </c>
      <c r="G209" s="19">
        <v>22</v>
      </c>
      <c r="H209" s="19" t="s">
        <v>99</v>
      </c>
      <c r="I209" s="25"/>
      <c r="J209" s="98">
        <v>30000</v>
      </c>
      <c r="K209" s="19" t="s">
        <v>431</v>
      </c>
      <c r="L209" s="19" t="s">
        <v>322</v>
      </c>
      <c r="M209" s="19" t="s">
        <v>371</v>
      </c>
      <c r="N209" s="21" t="s">
        <v>46</v>
      </c>
      <c r="O209" s="72">
        <v>36136</v>
      </c>
      <c r="P209" s="20" t="s">
        <v>78</v>
      </c>
      <c r="Q209" s="20"/>
      <c r="R209" s="20">
        <v>3183954002</v>
      </c>
      <c r="S209" s="74" t="s">
        <v>526</v>
      </c>
      <c r="T209" s="51" t="str">
        <f>+IF($N209=[1]CURSOS!$D$3,[1]CURSOS!$E$3,(+IF($N209=[1]CURSOS!$D$4,[1]CURSOS!$E$4,(+IF($N209=[1]CURSOS!$D$5,[1]CURSOS!$E$5,(+IF($N209=[1]CURSOS!$D$6,[1]CURSOS!$E$6,(+IF($N209=[1]CURSOS!$D$7,[1]CURSOS!$E$7,(+IF($N209=[1]CURSOS!$D$8,[1]CURSOS!$E$8,(+IF($N209=[1]CURSOS!$D$9,[1]CURSOS!$E$9,(+IF($N209=[1]CURSOS!$D$10,[1]CURSOS!$E$10,(+IF($N209=[1]CURSOS!$D$11,[1]CURSOS!$E$11,(+IF($N209=[1]CURSOS!$D$12,[1]CURSOS!$E$12,(+IF($N209=[1]CURSOS!$D$13,[1]CURSOS!$E$13,(+IF($N209=[1]CURSOS!$D$14,[1]CURSOS!$E$14,(+IF($N209=[1]CURSOS!$D$15,[1]CURSOS!$E$15,(+IF($N209=[1]CURSOS!$D$16,[1]CURSOS!$E$16,(+IF($N209=[1]CURSOS!$D$17,[1]CURSOS!$E$17,(+IF($N209=[1]CURSOS!$D$18,[1]CURSOS!$E$18,(+IF($N209=[1]CURSOS!$D$19,[1]CURSOS!$E$19,(+IF($N209=[1]CURSOS!$D$20,[1]CURSOS!$E$20,(+IF($N209=[1]CURSOS!$D$21,[1]CURSOS!$E$21,(+IF($N209=[1]CURSOS!$D$22,[1]CURSOS!$E$22,(+IF($N209=[1]CURSOS!$D$23,[1]CURSOS!$E$23,(+IF($N209=[1]CURSOS!$D$24,[1]CURSOS!$E$24,(+IF($N209=[1]CURSOS!$D$25,[1]CURSOS!$E$25,(+IF($N209=[1]CURSOS!$D$26,[1]CURSOS!$E$26,(+IF($N209=[1]CURSOS!$D$27,[1]CURSOS!$E$27,(+IF($N209=[1]CURSOS!$D$28,[1]CURSOS!$E$28,(+IF($N209=[1]CURSOS!$D$29,[1]CURSOS!$E$29,(+IF($N209=[1]CURSOS!$D$30,[1]CURSOS!$E$30,(+IF($N209=[1]CURSOS!$D$31,[1]CURSOS!$E$31,(+IF($N209=[1]CURSOS!$D$32,[1]CURSOS!$E$32)))))))))))))))))))))))))))))))))))))))))))))))))))))))))))</f>
        <v xml:space="preserve">ATENCION A VICTIMAS DE VIOLENCIA SEXUAL </v>
      </c>
      <c r="U209" s="51" t="str">
        <f t="shared" si="114"/>
        <v>Luisa Maria Paz Calderon</v>
      </c>
      <c r="V209" s="51" t="str">
        <f t="shared" si="115"/>
        <v>Luisa Maria Paz Calderon</v>
      </c>
      <c r="W209" s="51" t="str">
        <f t="shared" si="116"/>
        <v>Luisa Maria Paz Calderon-1085343205-VIOLENCIA SEXUAL</v>
      </c>
    </row>
    <row r="210" spans="1:23" s="73" customFormat="1" ht="15.75" x14ac:dyDescent="0.25">
      <c r="A210" s="20">
        <v>209</v>
      </c>
      <c r="B210" s="20">
        <v>13069881</v>
      </c>
      <c r="C210" s="20" t="s">
        <v>239</v>
      </c>
      <c r="D210" s="20" t="s">
        <v>520</v>
      </c>
      <c r="E210" s="20" t="s">
        <v>521</v>
      </c>
      <c r="F210" s="20" t="s">
        <v>522</v>
      </c>
      <c r="G210" s="19">
        <v>22</v>
      </c>
      <c r="H210" s="19" t="s">
        <v>99</v>
      </c>
      <c r="I210" s="25"/>
      <c r="J210" s="98">
        <v>30000</v>
      </c>
      <c r="K210" s="19" t="s">
        <v>431</v>
      </c>
      <c r="L210" s="19" t="s">
        <v>322</v>
      </c>
      <c r="M210" s="19" t="s">
        <v>371</v>
      </c>
      <c r="N210" s="21" t="s">
        <v>46</v>
      </c>
      <c r="O210" s="72">
        <v>29511</v>
      </c>
      <c r="P210" s="20" t="s">
        <v>88</v>
      </c>
      <c r="Q210" s="20"/>
      <c r="R210" s="20">
        <v>3126264914</v>
      </c>
      <c r="S210" s="74" t="s">
        <v>527</v>
      </c>
      <c r="T210" s="52" t="str">
        <f>+IF($N210=[1]CURSOS!$D$3,[1]CURSOS!$E$3,(+IF($N210=[1]CURSOS!$D$4,[1]CURSOS!$E$4,(+IF($N210=[1]CURSOS!$D$5,[1]CURSOS!$E$5,(+IF($N210=[1]CURSOS!$D$6,[1]CURSOS!$E$6,(+IF($N210=[1]CURSOS!$D$7,[1]CURSOS!$E$7,(+IF($N210=[1]CURSOS!$D$8,[1]CURSOS!$E$8,(+IF($N210=[1]CURSOS!$D$9,[1]CURSOS!$E$9,(+IF($N210=[1]CURSOS!$D$10,[1]CURSOS!$E$10,(+IF($N210=[1]CURSOS!$D$11,[1]CURSOS!$E$11,(+IF($N210=[1]CURSOS!$D$12,[1]CURSOS!$E$12,(+IF($N210=[1]CURSOS!$D$13,[1]CURSOS!$E$13,(+IF($N210=[1]CURSOS!$D$14,[1]CURSOS!$E$14,(+IF($N210=[1]CURSOS!$D$15,[1]CURSOS!$E$15,(+IF($N210=[1]CURSOS!$D$16,[1]CURSOS!$E$16,(+IF($N210=[1]CURSOS!$D$17,[1]CURSOS!$E$17,(+IF($N210=[1]CURSOS!$D$18,[1]CURSOS!$E$18,(+IF($N210=[1]CURSOS!$D$19,[1]CURSOS!$E$19,(+IF($N210=[1]CURSOS!$D$20,[1]CURSOS!$E$20,(+IF($N210=[1]CURSOS!$D$21,[1]CURSOS!$E$21,(+IF($N210=[1]CURSOS!$D$22,[1]CURSOS!$E$22,(+IF($N210=[1]CURSOS!$D$23,[1]CURSOS!$E$23,(+IF($N210=[1]CURSOS!$D$24,[1]CURSOS!$E$24,(+IF($N210=[1]CURSOS!$D$25,[1]CURSOS!$E$25,(+IF($N210=[1]CURSOS!$D$26,[1]CURSOS!$E$26,(+IF($N210=[1]CURSOS!$D$27,[1]CURSOS!$E$27,(+IF($N210=[1]CURSOS!$D$28,[1]CURSOS!$E$28,(+IF($N210=[1]CURSOS!$D$29,[1]CURSOS!$E$29,(+IF($N210=[1]CURSOS!$D$30,[1]CURSOS!$E$30,(+IF($N210=[1]CURSOS!$D$31,[1]CURSOS!$E$31,(+IF($N210=[1]CURSOS!$D$32,[1]CURSOS!$E$32)))))))))))))))))))))))))))))))))))))))))))))))))))))))))))</f>
        <v xml:space="preserve">ATENCION A VICTIMAS DE VIOLENCIA SEXUAL </v>
      </c>
      <c r="U210" s="52" t="str">
        <f t="shared" si="114"/>
        <v>Frank Giovani Getial Chicaiza</v>
      </c>
      <c r="V210" s="52" t="str">
        <f t="shared" si="115"/>
        <v>Frank Giovani Getial Chicaiza</v>
      </c>
      <c r="W210" s="52" t="str">
        <f t="shared" si="116"/>
        <v>Frank Giovani Getial Chicaiza-13069881-VIOLENCIA SEXUAL</v>
      </c>
    </row>
    <row r="211" spans="1:23" s="73" customFormat="1" ht="15.75" x14ac:dyDescent="0.25">
      <c r="A211" s="20">
        <v>210</v>
      </c>
      <c r="B211" s="20">
        <v>13069881</v>
      </c>
      <c r="C211" s="20" t="s">
        <v>239</v>
      </c>
      <c r="D211" s="20" t="s">
        <v>520</v>
      </c>
      <c r="E211" s="20" t="s">
        <v>521</v>
      </c>
      <c r="F211" s="20" t="s">
        <v>522</v>
      </c>
      <c r="G211" s="19">
        <v>22</v>
      </c>
      <c r="H211" s="19" t="s">
        <v>99</v>
      </c>
      <c r="I211" s="25"/>
      <c r="J211" s="98">
        <v>30000</v>
      </c>
      <c r="K211" s="19" t="s">
        <v>431</v>
      </c>
      <c r="L211" s="19" t="s">
        <v>322</v>
      </c>
      <c r="M211" s="19" t="s">
        <v>371</v>
      </c>
      <c r="N211" s="21" t="s">
        <v>25</v>
      </c>
      <c r="O211" s="72">
        <v>29511</v>
      </c>
      <c r="P211" s="20" t="s">
        <v>88</v>
      </c>
      <c r="Q211" s="20"/>
      <c r="R211" s="20">
        <v>3126264914</v>
      </c>
      <c r="S211" s="74" t="s">
        <v>527</v>
      </c>
      <c r="T211" s="51" t="str">
        <f>+IF($N211=[1]CURSOS!$D$3,[1]CURSOS!$E$3,(+IF($N211=[1]CURSOS!$D$4,[1]CURSOS!$E$4,(+IF($N211=[1]CURSOS!$D$5,[1]CURSOS!$E$5,(+IF($N211=[1]CURSOS!$D$6,[1]CURSOS!$E$6,(+IF($N211=[1]CURSOS!$D$7,[1]CURSOS!$E$7,(+IF($N211=[1]CURSOS!$D$8,[1]CURSOS!$E$8,(+IF($N211=[1]CURSOS!$D$9,[1]CURSOS!$E$9,(+IF($N211=[1]CURSOS!$D$10,[1]CURSOS!$E$10,(+IF($N211=[1]CURSOS!$D$11,[1]CURSOS!$E$11,(+IF($N211=[1]CURSOS!$D$12,[1]CURSOS!$E$12,(+IF($N211=[1]CURSOS!$D$13,[1]CURSOS!$E$13,(+IF($N211=[1]CURSOS!$D$14,[1]CURSOS!$E$14,(+IF($N211=[1]CURSOS!$D$15,[1]CURSOS!$E$15,(+IF($N211=[1]CURSOS!$D$16,[1]CURSOS!$E$16,(+IF($N211=[1]CURSOS!$D$17,[1]CURSOS!$E$17,(+IF($N211=[1]CURSOS!$D$18,[1]CURSOS!$E$18,(+IF($N211=[1]CURSOS!$D$19,[1]CURSOS!$E$19,(+IF($N211=[1]CURSOS!$D$20,[1]CURSOS!$E$20,(+IF($N211=[1]CURSOS!$D$21,[1]CURSOS!$E$21,(+IF($N211=[1]CURSOS!$D$22,[1]CURSOS!$E$22,(+IF($N211=[1]CURSOS!$D$23,[1]CURSOS!$E$23,(+IF($N211=[1]CURSOS!$D$24,[1]CURSOS!$E$24,(+IF($N211=[1]CURSOS!$D$25,[1]CURSOS!$E$25,(+IF($N211=[1]CURSOS!$D$26,[1]CURSOS!$E$26,(+IF($N211=[1]CURSOS!$D$27,[1]CURSOS!$E$27,(+IF($N211=[1]CURSOS!$D$28,[1]CURSOS!$E$28,(+IF($N211=[1]CURSOS!$D$29,[1]CURSOS!$E$29,(+IF($N211=[1]CURSOS!$D$30,[1]CURSOS!$E$30,(+IF($N211=[1]CURSOS!$D$31,[1]CURSOS!$E$31,(+IF($N211=[1]CURSOS!$D$32,[1]CURSOS!$E$32)))))))))))))))))))))))))))))))))))))))))))))))))))))))))))</f>
        <v xml:space="preserve">ATENCION A VICTIMAS DE ATAQUE CON AGENTES QUIMICOS </v>
      </c>
      <c r="U211" s="51" t="str">
        <f t="shared" si="114"/>
        <v>Frank Giovani Getial Chicaiza</v>
      </c>
      <c r="V211" s="51" t="str">
        <f t="shared" si="115"/>
        <v>Frank Giovani Getial Chicaiza</v>
      </c>
      <c r="W211" s="51" t="str">
        <f t="shared" si="116"/>
        <v>Frank Giovani Getial Chicaiza-13069881-QUIMICOS</v>
      </c>
    </row>
    <row r="212" spans="1:23" s="73" customFormat="1" ht="15.75" x14ac:dyDescent="0.25">
      <c r="A212" s="20">
        <v>211</v>
      </c>
      <c r="B212" s="20">
        <v>36754725</v>
      </c>
      <c r="C212" s="20" t="s">
        <v>523</v>
      </c>
      <c r="D212" s="20" t="s">
        <v>124</v>
      </c>
      <c r="E212" s="20" t="s">
        <v>524</v>
      </c>
      <c r="F212" s="20" t="s">
        <v>525</v>
      </c>
      <c r="G212" s="19">
        <v>22</v>
      </c>
      <c r="H212" s="19" t="s">
        <v>99</v>
      </c>
      <c r="I212" s="25"/>
      <c r="J212" s="98">
        <v>30000</v>
      </c>
      <c r="K212" s="19" t="s">
        <v>431</v>
      </c>
      <c r="L212" s="19" t="s">
        <v>322</v>
      </c>
      <c r="M212" s="19" t="s">
        <v>371</v>
      </c>
      <c r="N212" s="21" t="s">
        <v>68</v>
      </c>
      <c r="O212" s="72">
        <v>29073</v>
      </c>
      <c r="P212" s="20" t="s">
        <v>78</v>
      </c>
      <c r="Q212" s="20"/>
      <c r="R212" s="20">
        <v>3117153203</v>
      </c>
      <c r="S212" s="74" t="s">
        <v>528</v>
      </c>
      <c r="T212" s="51" t="str">
        <f>+IF($N212=[1]CURSOS!$D$3,[1]CURSOS!$E$3,(+IF($N212=[1]CURSOS!$D$4,[1]CURSOS!$E$4,(+IF($N212=[1]CURSOS!$D$5,[1]CURSOS!$E$5,(+IF($N212=[1]CURSOS!$D$6,[1]CURSOS!$E$6,(+IF($N212=[1]CURSOS!$D$7,[1]CURSOS!$E$7,(+IF($N212=[1]CURSOS!$D$8,[1]CURSOS!$E$8,(+IF($N212=[1]CURSOS!$D$9,[1]CURSOS!$E$9,(+IF($N212=[1]CURSOS!$D$10,[1]CURSOS!$E$10,(+IF($N212=[1]CURSOS!$D$11,[1]CURSOS!$E$11,(+IF($N212=[1]CURSOS!$D$12,[1]CURSOS!$E$12,(+IF($N212=[1]CURSOS!$D$13,[1]CURSOS!$E$13,(+IF($N212=[1]CURSOS!$D$14,[1]CURSOS!$E$14,(+IF($N212=[1]CURSOS!$D$15,[1]CURSOS!$E$15,(+IF($N212=[1]CURSOS!$D$16,[1]CURSOS!$E$16,(+IF($N212=[1]CURSOS!$D$17,[1]CURSOS!$E$17,(+IF($N212=[1]CURSOS!$D$18,[1]CURSOS!$E$18,(+IF($N212=[1]CURSOS!$D$19,[1]CURSOS!$E$19,(+IF($N212=[1]CURSOS!$D$20,[1]CURSOS!$E$20,(+IF($N212=[1]CURSOS!$D$21,[1]CURSOS!$E$21,(+IF($N212=[1]CURSOS!$D$22,[1]CURSOS!$E$22,(+IF($N212=[1]CURSOS!$D$23,[1]CURSOS!$E$23,(+IF($N212=[1]CURSOS!$D$24,[1]CURSOS!$E$24,(+IF($N212=[1]CURSOS!$D$25,[1]CURSOS!$E$25,(+IF($N212=[1]CURSOS!$D$26,[1]CURSOS!$E$26,(+IF($N212=[1]CURSOS!$D$27,[1]CURSOS!$E$27,(+IF($N212=[1]CURSOS!$D$28,[1]CURSOS!$E$28,(+IF($N212=[1]CURSOS!$D$29,[1]CURSOS!$E$29,(+IF($N212=[1]CURSOS!$D$30,[1]CURSOS!$E$30,(+IF($N212=[1]CURSOS!$D$31,[1]CURSOS!$E$31,(+IF($N212=[1]CURSOS!$D$32,[1]CURSOS!$E$32)))))))))))))))))))))))))))))))))))))))))))))))))))))))))))</f>
        <v>TOMA MUESTRAS Y LABORATORIO POCT</v>
      </c>
      <c r="U212" s="51" t="str">
        <f t="shared" si="114"/>
        <v>Rosa Shirley Arellano Jojoa</v>
      </c>
      <c r="V212" s="51" t="str">
        <f t="shared" si="115"/>
        <v>Rosa Shirley Arellano Jojoa</v>
      </c>
      <c r="W212" s="51" t="str">
        <f t="shared" si="116"/>
        <v>Rosa Shirley Arellano Jojoa-36754725-POCT</v>
      </c>
    </row>
    <row r="213" spans="1:23" s="73" customFormat="1" x14ac:dyDescent="0.2">
      <c r="A213" s="20">
        <v>212</v>
      </c>
      <c r="B213" s="20">
        <v>12965547</v>
      </c>
      <c r="C213" s="20" t="s">
        <v>182</v>
      </c>
      <c r="D213" s="20" t="s">
        <v>262</v>
      </c>
      <c r="E213" s="20" t="s">
        <v>529</v>
      </c>
      <c r="F213" s="20" t="s">
        <v>530</v>
      </c>
      <c r="G213" s="19">
        <v>22</v>
      </c>
      <c r="H213" s="19" t="s">
        <v>99</v>
      </c>
      <c r="I213" s="25">
        <v>45404</v>
      </c>
      <c r="J213" s="88">
        <v>40000</v>
      </c>
      <c r="K213" s="116" t="s">
        <v>79</v>
      </c>
      <c r="L213" s="19" t="s">
        <v>322</v>
      </c>
      <c r="M213" s="19" t="s">
        <v>77</v>
      </c>
      <c r="N213" s="21" t="s">
        <v>46</v>
      </c>
      <c r="O213" s="72">
        <v>20714</v>
      </c>
      <c r="P213" s="20" t="s">
        <v>88</v>
      </c>
      <c r="Q213" s="20"/>
      <c r="R213" s="20"/>
      <c r="S213" s="20" t="s">
        <v>531</v>
      </c>
      <c r="T213" s="52" t="str">
        <f>+IF($N213=[1]CURSOS!$D$3,[1]CURSOS!$E$3,(+IF($N213=[1]CURSOS!$D$4,[1]CURSOS!$E$4,(+IF($N213=[1]CURSOS!$D$5,[1]CURSOS!$E$5,(+IF($N213=[1]CURSOS!$D$6,[1]CURSOS!$E$6,(+IF($N213=[1]CURSOS!$D$7,[1]CURSOS!$E$7,(+IF($N213=[1]CURSOS!$D$8,[1]CURSOS!$E$8,(+IF($N213=[1]CURSOS!$D$9,[1]CURSOS!$E$9,(+IF($N213=[1]CURSOS!$D$10,[1]CURSOS!$E$10,(+IF($N213=[1]CURSOS!$D$11,[1]CURSOS!$E$11,(+IF($N213=[1]CURSOS!$D$12,[1]CURSOS!$E$12,(+IF($N213=[1]CURSOS!$D$13,[1]CURSOS!$E$13,(+IF($N213=[1]CURSOS!$D$14,[1]CURSOS!$E$14,(+IF($N213=[1]CURSOS!$D$15,[1]CURSOS!$E$15,(+IF($N213=[1]CURSOS!$D$16,[1]CURSOS!$E$16,(+IF($N213=[1]CURSOS!$D$17,[1]CURSOS!$E$17,(+IF($N213=[1]CURSOS!$D$18,[1]CURSOS!$E$18,(+IF($N213=[1]CURSOS!$D$19,[1]CURSOS!$E$19,(+IF($N213=[1]CURSOS!$D$20,[1]CURSOS!$E$20,(+IF($N213=[1]CURSOS!$D$21,[1]CURSOS!$E$21,(+IF($N213=[1]CURSOS!$D$22,[1]CURSOS!$E$22,(+IF($N213=[1]CURSOS!$D$23,[1]CURSOS!$E$23,(+IF($N213=[1]CURSOS!$D$24,[1]CURSOS!$E$24,(+IF($N213=[1]CURSOS!$D$25,[1]CURSOS!$E$25,(+IF($N213=[1]CURSOS!$D$26,[1]CURSOS!$E$26,(+IF($N213=[1]CURSOS!$D$27,[1]CURSOS!$E$27,(+IF($N213=[1]CURSOS!$D$28,[1]CURSOS!$E$28,(+IF($N213=[1]CURSOS!$D$29,[1]CURSOS!$E$29,(+IF($N213=[1]CURSOS!$D$30,[1]CURSOS!$E$30,(+IF($N213=[1]CURSOS!$D$31,[1]CURSOS!$E$31,(+IF($N213=[1]CURSOS!$D$32,[1]CURSOS!$E$32)))))))))))))))))))))))))))))))))))))))))))))))))))))))))))</f>
        <v xml:space="preserve">ATENCION A VICTIMAS DE VIOLENCIA SEXUAL </v>
      </c>
      <c r="U213" s="52" t="str">
        <f t="shared" ref="U213:U214" si="117">CONCATENATE(E213," ",F213," ",C213," ",D213)</f>
        <v>Oscar Ismael Guerrero Melo</v>
      </c>
      <c r="V213" s="52" t="str">
        <f t="shared" ref="V213:V214" si="118">+PROPER(U213)</f>
        <v>Oscar Ismael Guerrero Melo</v>
      </c>
      <c r="W213" s="52" t="str">
        <f t="shared" ref="W213:W214" si="119">CONCATENATE(U213,"-",B213,"-",N213)</f>
        <v>Oscar Ismael Guerrero Melo-12965547-VIOLENCIA SEXUAL</v>
      </c>
    </row>
    <row r="214" spans="1:23" s="73" customFormat="1" x14ac:dyDescent="0.2">
      <c r="A214" s="20">
        <v>213</v>
      </c>
      <c r="B214" s="20">
        <v>12965547</v>
      </c>
      <c r="C214" s="20" t="s">
        <v>182</v>
      </c>
      <c r="D214" s="20" t="s">
        <v>262</v>
      </c>
      <c r="E214" s="20" t="s">
        <v>529</v>
      </c>
      <c r="F214" s="20" t="s">
        <v>530</v>
      </c>
      <c r="G214" s="19">
        <v>22</v>
      </c>
      <c r="H214" s="19" t="s">
        <v>99</v>
      </c>
      <c r="I214" s="25">
        <v>45404</v>
      </c>
      <c r="J214" s="88">
        <v>40000</v>
      </c>
      <c r="K214" s="116" t="s">
        <v>79</v>
      </c>
      <c r="L214" s="19" t="s">
        <v>322</v>
      </c>
      <c r="M214" s="19" t="s">
        <v>77</v>
      </c>
      <c r="N214" s="21" t="s">
        <v>411</v>
      </c>
      <c r="O214" s="72">
        <v>20714</v>
      </c>
      <c r="P214" s="20" t="s">
        <v>88</v>
      </c>
      <c r="Q214" s="20"/>
      <c r="R214" s="20"/>
      <c r="S214" s="20" t="s">
        <v>531</v>
      </c>
      <c r="T214" s="51" t="str">
        <f>+IF($N214=[1]CURSOS!$D$3,[1]CURSOS!$E$3,(+IF($N214=[1]CURSOS!$D$4,[1]CURSOS!$E$4,(+IF($N214=[1]CURSOS!$D$5,[1]CURSOS!$E$5,(+IF($N214=[1]CURSOS!$D$6,[1]CURSOS!$E$6,(+IF($N214=[1]CURSOS!$D$7,[1]CURSOS!$E$7,(+IF($N214=[1]CURSOS!$D$8,[1]CURSOS!$E$8,(+IF($N214=[1]CURSOS!$D$9,[1]CURSOS!$E$9,(+IF($N214=[1]CURSOS!$D$10,[1]CURSOS!$E$10,(+IF($N214=[1]CURSOS!$D$11,[1]CURSOS!$E$11,(+IF($N214=[1]CURSOS!$D$12,[1]CURSOS!$E$12,(+IF($N214=[1]CURSOS!$D$13,[1]CURSOS!$E$13,(+IF($N214=[1]CURSOS!$D$14,[1]CURSOS!$E$14,(+IF($N214=[1]CURSOS!$D$15,[1]CURSOS!$E$15,(+IF($N214=[1]CURSOS!$D$16,[1]CURSOS!$E$16,(+IF($N214=[1]CURSOS!$D$17,[1]CURSOS!$E$17,(+IF($N214=[1]CURSOS!$D$18,[1]CURSOS!$E$18,(+IF($N214=[1]CURSOS!$D$19,[1]CURSOS!$E$19,(+IF($N214=[1]CURSOS!$D$20,[1]CURSOS!$E$20,(+IF($N214=[1]CURSOS!$D$21,[1]CURSOS!$E$21,(+IF($N214=[1]CURSOS!$D$22,[1]CURSOS!$E$22,(+IF($N214=[1]CURSOS!$D$23,[1]CURSOS!$E$23,(+IF($N214=[1]CURSOS!$D$24,[1]CURSOS!$E$24,(+IF($N214=[1]CURSOS!$D$25,[1]CURSOS!$E$25,(+IF($N214=[1]CURSOS!$D$26,[1]CURSOS!$E$26,(+IF($N214=[1]CURSOS!$D$27,[1]CURSOS!$E$27,(+IF($N214=[1]CURSOS!$D$28,[1]CURSOS!$E$28,(+IF($N214=[1]CURSOS!$D$29,[1]CURSOS!$E$29,(+IF($N214=[1]CURSOS!$D$30,[1]CURSOS!$E$30,(+IF($N214=[1]CURSOS!$D$31,[1]CURSOS!$E$31,(+IF($N214=[1]CURSOS!$D$32,[1]CURSOS!$E$32)))))))))))))))))))))))))))))))))))))))))))))))))))))))))))</f>
        <v xml:space="preserve">ATENCION A VICTIMAS DE ATAQUE CON AGENTES QUIMICOS </v>
      </c>
      <c r="U214" s="51" t="str">
        <f t="shared" si="117"/>
        <v>Oscar Ismael Guerrero Melo</v>
      </c>
      <c r="V214" s="51" t="str">
        <f t="shared" si="118"/>
        <v>Oscar Ismael Guerrero Melo</v>
      </c>
      <c r="W214" s="51" t="str">
        <f t="shared" si="119"/>
        <v>Oscar Ismael Guerrero Melo-12965547-Quimicos</v>
      </c>
    </row>
    <row r="215" spans="1:23" s="73" customFormat="1" x14ac:dyDescent="0.2">
      <c r="A215" s="20">
        <v>214</v>
      </c>
      <c r="B215" s="20">
        <v>12965547</v>
      </c>
      <c r="C215" s="20" t="s">
        <v>182</v>
      </c>
      <c r="D215" s="20" t="s">
        <v>262</v>
      </c>
      <c r="E215" s="20" t="s">
        <v>529</v>
      </c>
      <c r="F215" s="20" t="s">
        <v>530</v>
      </c>
      <c r="G215" s="19">
        <v>22</v>
      </c>
      <c r="H215" s="19" t="s">
        <v>99</v>
      </c>
      <c r="I215" s="25">
        <v>45404</v>
      </c>
      <c r="J215" s="88">
        <v>40000</v>
      </c>
      <c r="K215" s="116" t="s">
        <v>79</v>
      </c>
      <c r="L215" s="19" t="s">
        <v>322</v>
      </c>
      <c r="M215" s="19" t="s">
        <v>77</v>
      </c>
      <c r="N215" s="21" t="s">
        <v>249</v>
      </c>
      <c r="O215" s="72">
        <v>20714</v>
      </c>
      <c r="P215" s="20" t="s">
        <v>88</v>
      </c>
      <c r="Q215" s="20"/>
      <c r="R215" s="20"/>
      <c r="S215" s="20" t="s">
        <v>531</v>
      </c>
      <c r="T215" s="50" t="s">
        <v>249</v>
      </c>
      <c r="U215" s="52" t="str">
        <f t="shared" ref="U215:U217" si="120">CONCATENATE(E215," ",F215," ",C215," ",D215)</f>
        <v>Oscar Ismael Guerrero Melo</v>
      </c>
      <c r="V215" s="52" t="str">
        <f t="shared" ref="V215:V217" si="121">+PROPER(U215)</f>
        <v>Oscar Ismael Guerrero Melo</v>
      </c>
      <c r="W215" s="52" t="str">
        <f t="shared" ref="W215:W217" si="122">CONCATENATE(U215,"-",B215,"-",N215)</f>
        <v>Oscar Ismael Guerrero Melo-12965547-CUIDADO AL PACIENTE DONANTE</v>
      </c>
    </row>
    <row r="216" spans="1:23" s="73" customFormat="1" x14ac:dyDescent="0.2">
      <c r="A216" s="20">
        <v>215</v>
      </c>
      <c r="B216" s="20">
        <v>36758925</v>
      </c>
      <c r="C216" s="20" t="s">
        <v>332</v>
      </c>
      <c r="D216" s="20" t="s">
        <v>532</v>
      </c>
      <c r="E216" s="20" t="s">
        <v>533</v>
      </c>
      <c r="F216" s="20" t="s">
        <v>534</v>
      </c>
      <c r="G216" s="19">
        <v>22</v>
      </c>
      <c r="H216" s="19" t="s">
        <v>99</v>
      </c>
      <c r="I216" s="25">
        <v>45404</v>
      </c>
      <c r="J216" s="98">
        <v>30000</v>
      </c>
      <c r="K216" s="116" t="s">
        <v>82</v>
      </c>
      <c r="L216" s="19" t="s">
        <v>322</v>
      </c>
      <c r="M216" s="19" t="s">
        <v>77</v>
      </c>
      <c r="N216" s="21" t="s">
        <v>19</v>
      </c>
      <c r="O216" s="72">
        <v>29761</v>
      </c>
      <c r="P216" s="20" t="s">
        <v>78</v>
      </c>
      <c r="Q216" s="20" t="s">
        <v>160</v>
      </c>
      <c r="R216" s="20">
        <v>3014688827</v>
      </c>
      <c r="S216" s="20" t="s">
        <v>535</v>
      </c>
      <c r="T216" s="51" t="str">
        <f>+IF($N216=[1]CURSOS!$D$3,[1]CURSOS!$E$3,(+IF($N216=[1]CURSOS!$D$4,[1]CURSOS!$E$4,(+IF($N216=[1]CURSOS!$D$5,[1]CURSOS!$E$5,(+IF($N216=[1]CURSOS!$D$6,[1]CURSOS!$E$6,(+IF($N216=[1]CURSOS!$D$7,[1]CURSOS!$E$7,(+IF($N216=[1]CURSOS!$D$8,[1]CURSOS!$E$8,(+IF($N216=[1]CURSOS!$D$9,[1]CURSOS!$E$9,(+IF($N216=[1]CURSOS!$D$10,[1]CURSOS!$E$10,(+IF($N216=[1]CURSOS!$D$11,[1]CURSOS!$E$11,(+IF($N216=[1]CURSOS!$D$12,[1]CURSOS!$E$12,(+IF($N216=[1]CURSOS!$D$13,[1]CURSOS!$E$13,(+IF($N216=[1]CURSOS!$D$14,[1]CURSOS!$E$14,(+IF($N216=[1]CURSOS!$D$15,[1]CURSOS!$E$15,(+IF($N216=[1]CURSOS!$D$16,[1]CURSOS!$E$16,(+IF($N216=[1]CURSOS!$D$17,[1]CURSOS!$E$17,(+IF($N216=[1]CURSOS!$D$18,[1]CURSOS!$E$18,(+IF($N216=[1]CURSOS!$D$19,[1]CURSOS!$E$19,(+IF($N216=[1]CURSOS!$D$20,[1]CURSOS!$E$20,(+IF($N216=[1]CURSOS!$D$21,[1]CURSOS!$E$21,(+IF($N216=[1]CURSOS!$D$22,[1]CURSOS!$E$22,(+IF($N216=[1]CURSOS!$D$23,[1]CURSOS!$E$23,(+IF($N216=[1]CURSOS!$D$24,[1]CURSOS!$E$24,(+IF($N216=[1]CURSOS!$D$25,[1]CURSOS!$E$25,(+IF($N216=[1]CURSOS!$D$26,[1]CURSOS!$E$26,(+IF($N216=[1]CURSOS!$D$27,[1]CURSOS!$E$27,(+IF($N216=[1]CURSOS!$D$28,[1]CURSOS!$E$28,(+IF($N216=[1]CURSOS!$D$29,[1]CURSOS!$E$29,(+IF($N216=[1]CURSOS!$D$30,[1]CURSOS!$E$30,(+IF($N216=[1]CURSOS!$D$31,[1]CURSOS!$E$31,(+IF($N216=[1]CURSOS!$D$32,[1]CURSOS!$E$32)))))))))))))))))))))))))))))))))))))))))))))))))))))))))))</f>
        <v>SOPORTE VITAL BASICO (BLS)</v>
      </c>
      <c r="U216" s="51" t="str">
        <f t="shared" si="120"/>
        <v>Emilce Natalhie Cabrera Timana</v>
      </c>
      <c r="V216" s="51" t="str">
        <f t="shared" si="121"/>
        <v>Emilce Natalhie Cabrera Timana</v>
      </c>
      <c r="W216" s="51" t="str">
        <f t="shared" si="122"/>
        <v>Emilce Natalhie Cabrera Timana-36758925-BLS</v>
      </c>
    </row>
    <row r="217" spans="1:23" s="73" customFormat="1" x14ac:dyDescent="0.2">
      <c r="A217" s="20">
        <v>216</v>
      </c>
      <c r="B217" s="20">
        <v>1013584940</v>
      </c>
      <c r="C217" s="20" t="s">
        <v>135</v>
      </c>
      <c r="D217" s="20" t="s">
        <v>156</v>
      </c>
      <c r="E217" s="20" t="s">
        <v>538</v>
      </c>
      <c r="F217" s="20" t="s">
        <v>539</v>
      </c>
      <c r="G217" s="19">
        <v>22</v>
      </c>
      <c r="H217" s="19" t="s">
        <v>99</v>
      </c>
      <c r="I217" s="25">
        <v>45404</v>
      </c>
      <c r="J217" s="98">
        <v>110000</v>
      </c>
      <c r="K217" s="116" t="s">
        <v>82</v>
      </c>
      <c r="L217" s="19" t="s">
        <v>322</v>
      </c>
      <c r="M217" s="19" t="s">
        <v>540</v>
      </c>
      <c r="N217" s="21" t="s">
        <v>39</v>
      </c>
      <c r="O217" s="72"/>
      <c r="P217" s="20" t="s">
        <v>78</v>
      </c>
      <c r="Q217" s="20"/>
      <c r="R217" s="20">
        <v>3115108394</v>
      </c>
      <c r="S217" s="20" t="s">
        <v>541</v>
      </c>
      <c r="T217" s="51" t="str">
        <f>+IF($N217=[1]CURSOS!$D$3,[1]CURSOS!$E$3,(+IF($N217=[1]CURSOS!$D$4,[1]CURSOS!$E$4,(+IF($N217=[1]CURSOS!$D$5,[1]CURSOS!$E$5,(+IF($N217=[1]CURSOS!$D$6,[1]CURSOS!$E$6,(+IF($N217=[1]CURSOS!$D$7,[1]CURSOS!$E$7,(+IF($N217=[1]CURSOS!$D$8,[1]CURSOS!$E$8,(+IF($N217=[1]CURSOS!$D$9,[1]CURSOS!$E$9,(+IF($N217=[1]CURSOS!$D$10,[1]CURSOS!$E$10,(+IF($N217=[1]CURSOS!$D$11,[1]CURSOS!$E$11,(+IF($N217=[1]CURSOS!$D$12,[1]CURSOS!$E$12,(+IF($N217=[1]CURSOS!$D$13,[1]CURSOS!$E$13,(+IF($N217=[1]CURSOS!$D$14,[1]CURSOS!$E$14,(+IF($N217=[1]CURSOS!$D$15,[1]CURSOS!$E$15,(+IF($N217=[1]CURSOS!$D$16,[1]CURSOS!$E$16,(+IF($N217=[1]CURSOS!$D$17,[1]CURSOS!$E$17,(+IF($N217=[1]CURSOS!$D$18,[1]CURSOS!$E$18,(+IF($N217=[1]CURSOS!$D$19,[1]CURSOS!$E$19,(+IF($N217=[1]CURSOS!$D$20,[1]CURSOS!$E$20,(+IF($N217=[1]CURSOS!$D$21,[1]CURSOS!$E$21,(+IF($N217=[1]CURSOS!$D$22,[1]CURSOS!$E$22,(+IF($N217=[1]CURSOS!$D$23,[1]CURSOS!$E$23,(+IF($N217=[1]CURSOS!$D$24,[1]CURSOS!$E$24,(+IF($N217=[1]CURSOS!$D$25,[1]CURSOS!$E$25,(+IF($N217=[1]CURSOS!$D$26,[1]CURSOS!$E$26,(+IF($N217=[1]CURSOS!$D$27,[1]CURSOS!$E$27,(+IF($N217=[1]CURSOS!$D$28,[1]CURSOS!$E$28,(+IF($N217=[1]CURSOS!$D$29,[1]CURSOS!$E$29,(+IF($N217=[1]CURSOS!$D$30,[1]CURSOS!$E$30,(+IF($N217=[1]CURSOS!$D$31,[1]CURSOS!$E$31,(+IF($N217=[1]CURSOS!$D$32,[1]CURSOS!$E$32)))))))))))))))))))))))))))))))))))))))))))))))))))))))))))</f>
        <v xml:space="preserve">SOPORTE CARDIOVASCULAR AVANZADO </v>
      </c>
      <c r="U217" s="51" t="str">
        <f t="shared" si="120"/>
        <v>Martha inés Zambrano Hernandez</v>
      </c>
      <c r="V217" s="51" t="str">
        <f t="shared" si="121"/>
        <v>Martha Inés Zambrano Hernandez</v>
      </c>
      <c r="W217" s="51" t="str">
        <f t="shared" si="122"/>
        <v>Martha inés Zambrano Hernandez-1013584940-ACLS</v>
      </c>
    </row>
    <row r="218" spans="1:23" s="73" customFormat="1" x14ac:dyDescent="0.2">
      <c r="A218" s="20">
        <v>217</v>
      </c>
      <c r="B218" s="20">
        <v>1013584940</v>
      </c>
      <c r="C218" s="20" t="s">
        <v>135</v>
      </c>
      <c r="D218" s="20" t="s">
        <v>156</v>
      </c>
      <c r="E218" s="20" t="s">
        <v>538</v>
      </c>
      <c r="F218" s="20" t="s">
        <v>539</v>
      </c>
      <c r="G218" s="19">
        <v>22</v>
      </c>
      <c r="H218" s="19" t="s">
        <v>99</v>
      </c>
      <c r="I218" s="25">
        <v>45404</v>
      </c>
      <c r="J218" s="98">
        <v>35000</v>
      </c>
      <c r="K218" s="116" t="s">
        <v>82</v>
      </c>
      <c r="L218" s="19" t="s">
        <v>322</v>
      </c>
      <c r="M218" s="19" t="s">
        <v>540</v>
      </c>
      <c r="N218" s="21" t="s">
        <v>60</v>
      </c>
      <c r="O218" s="72"/>
      <c r="P218" s="20" t="s">
        <v>78</v>
      </c>
      <c r="Q218" s="20"/>
      <c r="R218" s="20">
        <v>3115108394</v>
      </c>
      <c r="S218" s="20" t="s">
        <v>541</v>
      </c>
      <c r="T218" s="52" t="str">
        <f>+IF($N218=[1]CURSOS!$D$3,[1]CURSOS!$E$3,(+IF($N218=[1]CURSOS!$D$4,[1]CURSOS!$E$4,(+IF($N218=[1]CURSOS!$D$5,[1]CURSOS!$E$5,(+IF($N218=[1]CURSOS!$D$6,[1]CURSOS!$E$6,(+IF($N218=[1]CURSOS!$D$7,[1]CURSOS!$E$7,(+IF($N218=[1]CURSOS!$D$8,[1]CURSOS!$E$8,(+IF($N218=[1]CURSOS!$D$9,[1]CURSOS!$E$9,(+IF($N218=[1]CURSOS!$D$10,[1]CURSOS!$E$10,(+IF($N218=[1]CURSOS!$D$11,[1]CURSOS!$E$11,(+IF($N218=[1]CURSOS!$D$12,[1]CURSOS!$E$12,(+IF($N218=[1]CURSOS!$D$13,[1]CURSOS!$E$13,(+IF($N218=[1]CURSOS!$D$14,[1]CURSOS!$E$14,(+IF($N218=[1]CURSOS!$D$15,[1]CURSOS!$E$15,(+IF($N218=[1]CURSOS!$D$16,[1]CURSOS!$E$16,(+IF($N218=[1]CURSOS!$D$17,[1]CURSOS!$E$17,(+IF($N218=[1]CURSOS!$D$18,[1]CURSOS!$E$18,(+IF($N218=[1]CURSOS!$D$19,[1]CURSOS!$E$19,(+IF($N218=[1]CURSOS!$D$20,[1]CURSOS!$E$20,(+IF($N218=[1]CURSOS!$D$21,[1]CURSOS!$E$21,(+IF($N218=[1]CURSOS!$D$22,[1]CURSOS!$E$22,(+IF($N218=[1]CURSOS!$D$23,[1]CURSOS!$E$23,(+IF($N218=[1]CURSOS!$D$24,[1]CURSOS!$E$24,(+IF($N218=[1]CURSOS!$D$25,[1]CURSOS!$E$25,(+IF($N218=[1]CURSOS!$D$26,[1]CURSOS!$E$26,(+IF($N218=[1]CURSOS!$D$27,[1]CURSOS!$E$27,(+IF($N218=[1]CURSOS!$D$28,[1]CURSOS!$E$28,(+IF($N218=[1]CURSOS!$D$29,[1]CURSOS!$E$29,(+IF($N218=[1]CURSOS!$D$30,[1]CURSOS!$E$30,(+IF($N218=[1]CURSOS!$D$31,[1]CURSOS!$E$31,(+IF($N218=[1]CURSOS!$D$32,[1]CURSOS!$E$32)))))))))))))))))))))))))))))))))))))))))))))))))))))))))))</f>
        <v>ATENCION A VICTIMAS POR VIOLENCIA DE GENERO</v>
      </c>
      <c r="U218" s="52" t="str">
        <f t="shared" ref="U218:U219" si="123">CONCATENATE(E218," ",F218," ",C218," ",D218)</f>
        <v>Martha inés Zambrano Hernandez</v>
      </c>
      <c r="V218" s="52" t="str">
        <f t="shared" ref="V218:V219" si="124">+PROPER(U218)</f>
        <v>Martha Inés Zambrano Hernandez</v>
      </c>
      <c r="W218" s="52" t="str">
        <f t="shared" ref="W218:W219" si="125">CONCATENATE(U218,"-",B218,"-",N218)</f>
        <v>Martha inés Zambrano Hernandez-1013584940-VIOLENCIA DE GENERO</v>
      </c>
    </row>
    <row r="219" spans="1:23" s="73" customFormat="1" x14ac:dyDescent="0.2">
      <c r="A219" s="20">
        <v>218</v>
      </c>
      <c r="B219" s="20">
        <v>1013584940</v>
      </c>
      <c r="C219" s="20" t="s">
        <v>135</v>
      </c>
      <c r="D219" s="20" t="s">
        <v>156</v>
      </c>
      <c r="E219" s="20" t="s">
        <v>538</v>
      </c>
      <c r="F219" s="20" t="s">
        <v>539</v>
      </c>
      <c r="G219" s="19">
        <v>22</v>
      </c>
      <c r="H219" s="19" t="s">
        <v>99</v>
      </c>
      <c r="I219" s="25">
        <v>45404</v>
      </c>
      <c r="J219" s="98">
        <v>35000</v>
      </c>
      <c r="K219" s="116" t="s">
        <v>82</v>
      </c>
      <c r="L219" s="19" t="s">
        <v>322</v>
      </c>
      <c r="M219" s="19" t="s">
        <v>540</v>
      </c>
      <c r="N219" s="21" t="s">
        <v>62</v>
      </c>
      <c r="O219" s="72"/>
      <c r="P219" s="20" t="s">
        <v>78</v>
      </c>
      <c r="Q219" s="20"/>
      <c r="R219" s="20">
        <v>3115108394</v>
      </c>
      <c r="S219" s="20" t="s">
        <v>541</v>
      </c>
      <c r="T219" s="51" t="str">
        <f>+IF($N219=[1]CURSOS!$D$3,[1]CURSOS!$E$3,(+IF($N219=[1]CURSOS!$D$4,[1]CURSOS!$E$4,(+IF($N219=[1]CURSOS!$D$5,[1]CURSOS!$E$5,(+IF($N219=[1]CURSOS!$D$6,[1]CURSOS!$E$6,(+IF($N219=[1]CURSOS!$D$7,[1]CURSOS!$E$7,(+IF($N219=[1]CURSOS!$D$8,[1]CURSOS!$E$8,(+IF($N219=[1]CURSOS!$D$9,[1]CURSOS!$E$9,(+IF($N219=[1]CURSOS!$D$10,[1]CURSOS!$E$10,(+IF($N219=[1]CURSOS!$D$11,[1]CURSOS!$E$11,(+IF($N219=[1]CURSOS!$D$12,[1]CURSOS!$E$12,(+IF($N219=[1]CURSOS!$D$13,[1]CURSOS!$E$13,(+IF($N219=[1]CURSOS!$D$14,[1]CURSOS!$E$14,(+IF($N219=[1]CURSOS!$D$15,[1]CURSOS!$E$15,(+IF($N219=[1]CURSOS!$D$16,[1]CURSOS!$E$16,(+IF($N219=[1]CURSOS!$D$17,[1]CURSOS!$E$17,(+IF($N219=[1]CURSOS!$D$18,[1]CURSOS!$E$18,(+IF($N219=[1]CURSOS!$D$19,[1]CURSOS!$E$19,(+IF($N219=[1]CURSOS!$D$20,[1]CURSOS!$E$20,(+IF($N219=[1]CURSOS!$D$21,[1]CURSOS!$E$21,(+IF($N219=[1]CURSOS!$D$22,[1]CURSOS!$E$22,(+IF($N219=[1]CURSOS!$D$23,[1]CURSOS!$E$23,(+IF($N219=[1]CURSOS!$D$24,[1]CURSOS!$E$24,(+IF($N219=[1]CURSOS!$D$25,[1]CURSOS!$E$25,(+IF($N219=[1]CURSOS!$D$26,[1]CURSOS!$E$26,(+IF($N219=[1]CURSOS!$D$27,[1]CURSOS!$E$27,(+IF($N219=[1]CURSOS!$D$28,[1]CURSOS!$E$28,(+IF($N219=[1]CURSOS!$D$29,[1]CURSOS!$E$29,(+IF($N219=[1]CURSOS!$D$30,[1]CURSOS!$E$30,(+IF($N219=[1]CURSOS!$D$31,[1]CURSOS!$E$31,(+IF($N219=[1]CURSOS!$D$32,[1]CURSOS!$E$32)))))))))))))))))))))))))))))))))))))))))))))))))))))))))))</f>
        <v>IGUALDAD DE GENERO EN LA SALUD</v>
      </c>
      <c r="U219" s="51" t="str">
        <f t="shared" si="123"/>
        <v>Martha inés Zambrano Hernandez</v>
      </c>
      <c r="V219" s="51" t="str">
        <f t="shared" si="124"/>
        <v>Martha Inés Zambrano Hernandez</v>
      </c>
      <c r="W219" s="51" t="str">
        <f t="shared" si="125"/>
        <v>Martha inés Zambrano Hernandez-1013584940-IGUALDAD DE GENERO</v>
      </c>
    </row>
    <row r="220" spans="1:23" s="73" customFormat="1" x14ac:dyDescent="0.2">
      <c r="A220" s="20">
        <v>219</v>
      </c>
      <c r="B220" s="20">
        <v>1085343431</v>
      </c>
      <c r="C220" s="20" t="s">
        <v>398</v>
      </c>
      <c r="D220" s="20" t="s">
        <v>171</v>
      </c>
      <c r="E220" s="20" t="s">
        <v>543</v>
      </c>
      <c r="F220" s="20" t="s">
        <v>498</v>
      </c>
      <c r="G220" s="19">
        <v>23</v>
      </c>
      <c r="H220" s="19" t="s">
        <v>99</v>
      </c>
      <c r="I220" s="25">
        <v>45405</v>
      </c>
      <c r="J220" s="98">
        <v>30000</v>
      </c>
      <c r="K220" s="116" t="s">
        <v>82</v>
      </c>
      <c r="L220" s="19" t="s">
        <v>322</v>
      </c>
      <c r="M220" s="19" t="s">
        <v>173</v>
      </c>
      <c r="N220" s="21" t="s">
        <v>381</v>
      </c>
      <c r="O220" s="72"/>
      <c r="P220" s="20" t="s">
        <v>78</v>
      </c>
      <c r="Q220" s="20"/>
      <c r="R220" s="20"/>
      <c r="S220" s="20"/>
      <c r="T220" s="52" t="str">
        <f>+IF($N220=[1]CURSOS!$D$3,[1]CURSOS!$E$3,(+IF($N220=[1]CURSOS!$D$4,[1]CURSOS!$E$4,(+IF($N220=[1]CURSOS!$D$5,[1]CURSOS!$E$5,(+IF($N220=[1]CURSOS!$D$6,[1]CURSOS!$E$6,(+IF($N220=[1]CURSOS!$D$7,[1]CURSOS!$E$7,(+IF($N220=[1]CURSOS!$D$8,[1]CURSOS!$E$8,(+IF($N220=[1]CURSOS!$D$9,[1]CURSOS!$E$9,(+IF($N220=[1]CURSOS!$D$10,[1]CURSOS!$E$10,(+IF($N220=[1]CURSOS!$D$11,[1]CURSOS!$E$11,(+IF($N220=[1]CURSOS!$D$12,[1]CURSOS!$E$12,(+IF($N220=[1]CURSOS!$D$13,[1]CURSOS!$E$13,(+IF($N220=[1]CURSOS!$D$14,[1]CURSOS!$E$14,(+IF($N220=[1]CURSOS!$D$15,[1]CURSOS!$E$15,(+IF($N220=[1]CURSOS!$D$16,[1]CURSOS!$E$16,(+IF($N220=[1]CURSOS!$D$17,[1]CURSOS!$E$17,(+IF($N220=[1]CURSOS!$D$18,[1]CURSOS!$E$18,(+IF($N220=[1]CURSOS!$D$19,[1]CURSOS!$E$19,(+IF($N220=[1]CURSOS!$D$20,[1]CURSOS!$E$20,(+IF($N220=[1]CURSOS!$D$21,[1]CURSOS!$E$21,(+IF($N220=[1]CURSOS!$D$22,[1]CURSOS!$E$22,(+IF($N220=[1]CURSOS!$D$23,[1]CURSOS!$E$23,(+IF($N220=[1]CURSOS!$D$24,[1]CURSOS!$E$24,(+IF($N220=[1]CURSOS!$D$25,[1]CURSOS!$E$25,(+IF($N220=[1]CURSOS!$D$26,[1]CURSOS!$E$26,(+IF($N220=[1]CURSOS!$D$27,[1]CURSOS!$E$27,(+IF($N220=[1]CURSOS!$D$28,[1]CURSOS!$E$28,(+IF($N220=[1]CURSOS!$D$29,[1]CURSOS!$E$29,(+IF($N220=[1]CURSOS!$D$30,[1]CURSOS!$E$30,(+IF($N220=[1]CURSOS!$D$31,[1]CURSOS!$E$31,(+IF($N220=[1]CURSOS!$D$32,[1]CURSOS!$E$32)))))))))))))))))))))))))))))))))))))))))))))))))))))))))))</f>
        <v>ACOMPAÑAMIENTO Y MANEJO DEL DUELO</v>
      </c>
      <c r="U220" s="52" t="str">
        <f t="shared" ref="U220:U221" si="126">CONCATENATE(E220," ",F220," ",C220," ",D220)</f>
        <v>Julieta Estefania Mesias Achicanoy</v>
      </c>
      <c r="V220" s="52" t="str">
        <f t="shared" ref="V220:V221" si="127">+PROPER(U220)</f>
        <v>Julieta Estefania Mesias Achicanoy</v>
      </c>
      <c r="W220" s="52" t="str">
        <f t="shared" ref="W220:W221" si="128">CONCATENATE(U220,"-",B220,"-",N220)</f>
        <v>Julieta Estefania Mesias Achicanoy-1085343431-Duelo</v>
      </c>
    </row>
    <row r="221" spans="1:23" s="73" customFormat="1" x14ac:dyDescent="0.2">
      <c r="A221" s="20">
        <v>220</v>
      </c>
      <c r="B221" s="20">
        <v>1004696983</v>
      </c>
      <c r="C221" s="20" t="s">
        <v>544</v>
      </c>
      <c r="D221" s="20" t="s">
        <v>545</v>
      </c>
      <c r="E221" s="20" t="s">
        <v>546</v>
      </c>
      <c r="F221" s="20" t="s">
        <v>85</v>
      </c>
      <c r="G221" s="19">
        <v>23</v>
      </c>
      <c r="H221" s="19" t="s">
        <v>99</v>
      </c>
      <c r="I221" s="25">
        <v>45406</v>
      </c>
      <c r="J221" s="88">
        <v>32000</v>
      </c>
      <c r="K221" s="116" t="s">
        <v>79</v>
      </c>
      <c r="L221" s="19" t="s">
        <v>322</v>
      </c>
      <c r="M221" s="19" t="s">
        <v>197</v>
      </c>
      <c r="N221" s="21" t="s">
        <v>33</v>
      </c>
      <c r="O221" s="72">
        <v>37680</v>
      </c>
      <c r="P221" s="20" t="s">
        <v>78</v>
      </c>
      <c r="Q221" s="20"/>
      <c r="R221" s="20">
        <v>3135812045</v>
      </c>
      <c r="S221" s="20" t="s">
        <v>547</v>
      </c>
      <c r="T221" s="51" t="str">
        <f>+IF($N221=[1]CURSOS!$D$3,[1]CURSOS!$E$3,(+IF($N221=[1]CURSOS!$D$4,[1]CURSOS!$E$4,(+IF($N221=[1]CURSOS!$D$5,[1]CURSOS!$E$5,(+IF($N221=[1]CURSOS!$D$6,[1]CURSOS!$E$6,(+IF($N221=[1]CURSOS!$D$7,[1]CURSOS!$E$7,(+IF($N221=[1]CURSOS!$D$8,[1]CURSOS!$E$8,(+IF($N221=[1]CURSOS!$D$9,[1]CURSOS!$E$9,(+IF($N221=[1]CURSOS!$D$10,[1]CURSOS!$E$10,(+IF($N221=[1]CURSOS!$D$11,[1]CURSOS!$E$11,(+IF($N221=[1]CURSOS!$D$12,[1]CURSOS!$E$12,(+IF($N221=[1]CURSOS!$D$13,[1]CURSOS!$E$13,(+IF($N221=[1]CURSOS!$D$14,[1]CURSOS!$E$14,(+IF($N221=[1]CURSOS!$D$15,[1]CURSOS!$E$15,(+IF($N221=[1]CURSOS!$D$16,[1]CURSOS!$E$16,(+IF($N221=[1]CURSOS!$D$17,[1]CURSOS!$E$17,(+IF($N221=[1]CURSOS!$D$18,[1]CURSOS!$E$18,(+IF($N221=[1]CURSOS!$D$19,[1]CURSOS!$E$19,(+IF($N221=[1]CURSOS!$D$20,[1]CURSOS!$E$20,(+IF($N221=[1]CURSOS!$D$21,[1]CURSOS!$E$21,(+IF($N221=[1]CURSOS!$D$22,[1]CURSOS!$E$22,(+IF($N221=[1]CURSOS!$D$23,[1]CURSOS!$E$23,(+IF($N221=[1]CURSOS!$D$24,[1]CURSOS!$E$24,(+IF($N221=[1]CURSOS!$D$25,[1]CURSOS!$E$25,(+IF($N221=[1]CURSOS!$D$26,[1]CURSOS!$E$26,(+IF($N221=[1]CURSOS!$D$27,[1]CURSOS!$E$27,(+IF($N221=[1]CURSOS!$D$28,[1]CURSOS!$E$28,(+IF($N221=[1]CURSOS!$D$29,[1]CURSOS!$E$29,(+IF($N221=[1]CURSOS!$D$30,[1]CURSOS!$E$30,(+IF($N221=[1]CURSOS!$D$31,[1]CURSOS!$E$31,(+IF($N221=[1]CURSOS!$D$32,[1]CURSOS!$E$32)))))))))))))))))))))))))))))))))))))))))))))))))))))))))))</f>
        <v xml:space="preserve">HUMANIZACION EN SALUD, BUENAS PRACTICAS EN PACIENTE </v>
      </c>
      <c r="U221" s="51" t="str">
        <f t="shared" si="126"/>
        <v>Leidy Carolina Madroñero Tapia</v>
      </c>
      <c r="V221" s="51" t="str">
        <f t="shared" si="127"/>
        <v>Leidy Carolina Madroñero Tapia</v>
      </c>
      <c r="W221" s="51" t="str">
        <f t="shared" si="128"/>
        <v>Leidy Carolina Madroñero Tapia-1004696983-HUMANIZACION</v>
      </c>
    </row>
    <row r="222" spans="1:23" s="73" customFormat="1" x14ac:dyDescent="0.2">
      <c r="A222" s="20">
        <v>221</v>
      </c>
      <c r="B222" s="20">
        <v>27090357</v>
      </c>
      <c r="C222" s="20" t="s">
        <v>386</v>
      </c>
      <c r="D222" s="20" t="s">
        <v>210</v>
      </c>
      <c r="E222" s="20" t="s">
        <v>208</v>
      </c>
      <c r="F222" s="20" t="s">
        <v>267</v>
      </c>
      <c r="G222" s="19">
        <v>23</v>
      </c>
      <c r="H222" s="19" t="s">
        <v>99</v>
      </c>
      <c r="I222" s="25">
        <v>45405</v>
      </c>
      <c r="J222" s="98">
        <v>40000</v>
      </c>
      <c r="K222" s="116" t="s">
        <v>82</v>
      </c>
      <c r="L222" s="19" t="s">
        <v>84</v>
      </c>
      <c r="M222" s="19" t="s">
        <v>100</v>
      </c>
      <c r="N222" s="21" t="s">
        <v>411</v>
      </c>
      <c r="O222" s="72">
        <v>28614</v>
      </c>
      <c r="P222" s="20" t="s">
        <v>78</v>
      </c>
      <c r="Q222" s="20"/>
      <c r="R222" s="20"/>
      <c r="S222" s="20" t="s">
        <v>549</v>
      </c>
      <c r="T222" s="51" t="str">
        <f>+IF($N222=[1]CURSOS!$D$3,[1]CURSOS!$E$3,(+IF($N222=[1]CURSOS!$D$4,[1]CURSOS!$E$4,(+IF($N222=[1]CURSOS!$D$5,[1]CURSOS!$E$5,(+IF($N222=[1]CURSOS!$D$6,[1]CURSOS!$E$6,(+IF($N222=[1]CURSOS!$D$7,[1]CURSOS!$E$7,(+IF($N222=[1]CURSOS!$D$8,[1]CURSOS!$E$8,(+IF($N222=[1]CURSOS!$D$9,[1]CURSOS!$E$9,(+IF($N222=[1]CURSOS!$D$10,[1]CURSOS!$E$10,(+IF($N222=[1]CURSOS!$D$11,[1]CURSOS!$E$11,(+IF($N222=[1]CURSOS!$D$12,[1]CURSOS!$E$12,(+IF($N222=[1]CURSOS!$D$13,[1]CURSOS!$E$13,(+IF($N222=[1]CURSOS!$D$14,[1]CURSOS!$E$14,(+IF($N222=[1]CURSOS!$D$15,[1]CURSOS!$E$15,(+IF($N222=[1]CURSOS!$D$16,[1]CURSOS!$E$16,(+IF($N222=[1]CURSOS!$D$17,[1]CURSOS!$E$17,(+IF($N222=[1]CURSOS!$D$18,[1]CURSOS!$E$18,(+IF($N222=[1]CURSOS!$D$19,[1]CURSOS!$E$19,(+IF($N222=[1]CURSOS!$D$20,[1]CURSOS!$E$20,(+IF($N222=[1]CURSOS!$D$21,[1]CURSOS!$E$21,(+IF($N222=[1]CURSOS!$D$22,[1]CURSOS!$E$22,(+IF($N222=[1]CURSOS!$D$23,[1]CURSOS!$E$23,(+IF($N222=[1]CURSOS!$D$24,[1]CURSOS!$E$24,(+IF($N222=[1]CURSOS!$D$25,[1]CURSOS!$E$25,(+IF($N222=[1]CURSOS!$D$26,[1]CURSOS!$E$26,(+IF($N222=[1]CURSOS!$D$27,[1]CURSOS!$E$27,(+IF($N222=[1]CURSOS!$D$28,[1]CURSOS!$E$28,(+IF($N222=[1]CURSOS!$D$29,[1]CURSOS!$E$29,(+IF($N222=[1]CURSOS!$D$30,[1]CURSOS!$E$30,(+IF($N222=[1]CURSOS!$D$31,[1]CURSOS!$E$31,(+IF($N222=[1]CURSOS!$D$32,[1]CURSOS!$E$32)))))))))))))))))))))))))))))))))))))))))))))))))))))))))))</f>
        <v xml:space="preserve">ATENCION A VICTIMAS DE ATAQUE CON AGENTES QUIMICOS </v>
      </c>
      <c r="U222" s="51" t="str">
        <f t="shared" ref="U222:U225" si="129">CONCATENATE(E222," ",F222," ",C222," ",D222)</f>
        <v>Ana Maria Chaves Ordóñez</v>
      </c>
      <c r="V222" s="51" t="str">
        <f t="shared" ref="V222:V225" si="130">+PROPER(U222)</f>
        <v>Ana Maria Chaves Ordóñez</v>
      </c>
      <c r="W222" s="51" t="str">
        <f t="shared" ref="W222:W225" si="131">CONCATENATE(U222,"-",B222,"-",N222)</f>
        <v>Ana Maria Chaves Ordóñez-27090357-Quimicos</v>
      </c>
    </row>
    <row r="223" spans="1:23" s="73" customFormat="1" x14ac:dyDescent="0.2">
      <c r="A223" s="20">
        <v>222</v>
      </c>
      <c r="B223" s="20">
        <v>27090357</v>
      </c>
      <c r="C223" s="20" t="s">
        <v>386</v>
      </c>
      <c r="D223" s="20" t="s">
        <v>210</v>
      </c>
      <c r="E223" s="20" t="s">
        <v>208</v>
      </c>
      <c r="F223" s="20" t="s">
        <v>267</v>
      </c>
      <c r="G223" s="19">
        <v>23</v>
      </c>
      <c r="H223" s="19" t="s">
        <v>99</v>
      </c>
      <c r="I223" s="25">
        <v>45405</v>
      </c>
      <c r="J223" s="98">
        <v>40000</v>
      </c>
      <c r="K223" s="116" t="s">
        <v>82</v>
      </c>
      <c r="L223" s="19" t="s">
        <v>84</v>
      </c>
      <c r="M223" s="19" t="s">
        <v>100</v>
      </c>
      <c r="N223" s="21" t="s">
        <v>249</v>
      </c>
      <c r="O223" s="72">
        <v>28614</v>
      </c>
      <c r="P223" s="20" t="s">
        <v>78</v>
      </c>
      <c r="Q223" s="20"/>
      <c r="R223" s="20"/>
      <c r="S223" s="20" t="s">
        <v>549</v>
      </c>
      <c r="T223" s="51" t="s">
        <v>249</v>
      </c>
      <c r="U223" s="51" t="str">
        <f t="shared" si="129"/>
        <v>Ana Maria Chaves Ordóñez</v>
      </c>
      <c r="V223" s="51" t="str">
        <f t="shared" si="130"/>
        <v>Ana Maria Chaves Ordóñez</v>
      </c>
      <c r="W223" s="51" t="str">
        <f t="shared" si="131"/>
        <v>Ana Maria Chaves Ordóñez-27090357-CUIDADO AL PACIENTE DONANTE</v>
      </c>
    </row>
    <row r="224" spans="1:23" s="73" customFormat="1" x14ac:dyDescent="0.2">
      <c r="A224" s="20">
        <v>223</v>
      </c>
      <c r="B224" s="20">
        <v>1088738155</v>
      </c>
      <c r="C224" s="20" t="s">
        <v>553</v>
      </c>
      <c r="D224" s="20" t="s">
        <v>234</v>
      </c>
      <c r="E224" s="20" t="s">
        <v>529</v>
      </c>
      <c r="F224" s="20" t="s">
        <v>554</v>
      </c>
      <c r="G224" s="19">
        <v>23</v>
      </c>
      <c r="H224" s="19" t="s">
        <v>99</v>
      </c>
      <c r="I224" s="25">
        <v>45406</v>
      </c>
      <c r="J224" s="88">
        <v>32000</v>
      </c>
      <c r="K224" s="116" t="s">
        <v>79</v>
      </c>
      <c r="L224" s="19" t="s">
        <v>322</v>
      </c>
      <c r="M224" s="19" t="s">
        <v>197</v>
      </c>
      <c r="N224" s="21" t="s">
        <v>33</v>
      </c>
      <c r="O224" s="72">
        <v>35675</v>
      </c>
      <c r="P224" s="20" t="s">
        <v>88</v>
      </c>
      <c r="Q224" s="20" t="s">
        <v>304</v>
      </c>
      <c r="R224" s="20">
        <v>3155572057</v>
      </c>
      <c r="S224" s="20" t="s">
        <v>555</v>
      </c>
      <c r="T224" s="52" t="str">
        <f>+IF($N224=[1]CURSOS!$D$3,[1]CURSOS!$E$3,(+IF($N224=[1]CURSOS!$D$4,[1]CURSOS!$E$4,(+IF($N224=[1]CURSOS!$D$5,[1]CURSOS!$E$5,(+IF($N224=[1]CURSOS!$D$6,[1]CURSOS!$E$6,(+IF($N224=[1]CURSOS!$D$7,[1]CURSOS!$E$7,(+IF($N224=[1]CURSOS!$D$8,[1]CURSOS!$E$8,(+IF($N224=[1]CURSOS!$D$9,[1]CURSOS!$E$9,(+IF($N224=[1]CURSOS!$D$10,[1]CURSOS!$E$10,(+IF($N224=[1]CURSOS!$D$11,[1]CURSOS!$E$11,(+IF($N224=[1]CURSOS!$D$12,[1]CURSOS!$E$12,(+IF($N224=[1]CURSOS!$D$13,[1]CURSOS!$E$13,(+IF($N224=[1]CURSOS!$D$14,[1]CURSOS!$E$14,(+IF($N224=[1]CURSOS!$D$15,[1]CURSOS!$E$15,(+IF($N224=[1]CURSOS!$D$16,[1]CURSOS!$E$16,(+IF($N224=[1]CURSOS!$D$17,[1]CURSOS!$E$17,(+IF($N224=[1]CURSOS!$D$18,[1]CURSOS!$E$18,(+IF($N224=[1]CURSOS!$D$19,[1]CURSOS!$E$19,(+IF($N224=[1]CURSOS!$D$20,[1]CURSOS!$E$20,(+IF($N224=[1]CURSOS!$D$21,[1]CURSOS!$E$21,(+IF($N224=[1]CURSOS!$D$22,[1]CURSOS!$E$22,(+IF($N224=[1]CURSOS!$D$23,[1]CURSOS!$E$23,(+IF($N224=[1]CURSOS!$D$24,[1]CURSOS!$E$24,(+IF($N224=[1]CURSOS!$D$25,[1]CURSOS!$E$25,(+IF($N224=[1]CURSOS!$D$26,[1]CURSOS!$E$26,(+IF($N224=[1]CURSOS!$D$27,[1]CURSOS!$E$27,(+IF($N224=[1]CURSOS!$D$28,[1]CURSOS!$E$28,(+IF($N224=[1]CURSOS!$D$29,[1]CURSOS!$E$29,(+IF($N224=[1]CURSOS!$D$30,[1]CURSOS!$E$30,(+IF($N224=[1]CURSOS!$D$31,[1]CURSOS!$E$31,(+IF($N224=[1]CURSOS!$D$32,[1]CURSOS!$E$32)))))))))))))))))))))))))))))))))))))))))))))))))))))))))))</f>
        <v xml:space="preserve">HUMANIZACION EN SALUD, BUENAS PRACTICAS EN PACIENTE </v>
      </c>
      <c r="U224" s="52" t="str">
        <f t="shared" si="129"/>
        <v>Oscar Edelberto Vallejos Mora</v>
      </c>
      <c r="V224" s="52" t="str">
        <f t="shared" si="130"/>
        <v>Oscar Edelberto Vallejos Mora</v>
      </c>
      <c r="W224" s="52" t="str">
        <f t="shared" si="131"/>
        <v>Oscar Edelberto Vallejos Mora-1088738155-HUMANIZACION</v>
      </c>
    </row>
    <row r="225" spans="1:23" s="73" customFormat="1" x14ac:dyDescent="0.2">
      <c r="A225" s="20">
        <v>224</v>
      </c>
      <c r="B225" s="20">
        <v>12965547</v>
      </c>
      <c r="C225" s="20" t="s">
        <v>182</v>
      </c>
      <c r="D225" s="20" t="s">
        <v>262</v>
      </c>
      <c r="E225" s="20" t="s">
        <v>529</v>
      </c>
      <c r="F225" s="20" t="s">
        <v>530</v>
      </c>
      <c r="G225" s="19">
        <v>23</v>
      </c>
      <c r="H225" s="19" t="s">
        <v>99</v>
      </c>
      <c r="I225" s="25">
        <v>45405</v>
      </c>
      <c r="J225" s="88">
        <v>30000</v>
      </c>
      <c r="K225" s="116" t="s">
        <v>79</v>
      </c>
      <c r="L225" s="19" t="s">
        <v>322</v>
      </c>
      <c r="M225" s="19" t="s">
        <v>100</v>
      </c>
      <c r="N225" s="21" t="s">
        <v>381</v>
      </c>
      <c r="O225" s="72">
        <v>20714</v>
      </c>
      <c r="P225" s="20" t="s">
        <v>88</v>
      </c>
      <c r="Q225" s="20"/>
      <c r="R225" s="20"/>
      <c r="S225" s="20" t="s">
        <v>531</v>
      </c>
      <c r="T225" s="51" t="str">
        <f>+IF($N225=[1]CURSOS!$D$3,[1]CURSOS!$E$3,(+IF($N225=[1]CURSOS!$D$4,[1]CURSOS!$E$4,(+IF($N225=[1]CURSOS!$D$5,[1]CURSOS!$E$5,(+IF($N225=[1]CURSOS!$D$6,[1]CURSOS!$E$6,(+IF($N225=[1]CURSOS!$D$7,[1]CURSOS!$E$7,(+IF($N225=[1]CURSOS!$D$8,[1]CURSOS!$E$8,(+IF($N225=[1]CURSOS!$D$9,[1]CURSOS!$E$9,(+IF($N225=[1]CURSOS!$D$10,[1]CURSOS!$E$10,(+IF($N225=[1]CURSOS!$D$11,[1]CURSOS!$E$11,(+IF($N225=[1]CURSOS!$D$12,[1]CURSOS!$E$12,(+IF($N225=[1]CURSOS!$D$13,[1]CURSOS!$E$13,(+IF($N225=[1]CURSOS!$D$14,[1]CURSOS!$E$14,(+IF($N225=[1]CURSOS!$D$15,[1]CURSOS!$E$15,(+IF($N225=[1]CURSOS!$D$16,[1]CURSOS!$E$16,(+IF($N225=[1]CURSOS!$D$17,[1]CURSOS!$E$17,(+IF($N225=[1]CURSOS!$D$18,[1]CURSOS!$E$18,(+IF($N225=[1]CURSOS!$D$19,[1]CURSOS!$E$19,(+IF($N225=[1]CURSOS!$D$20,[1]CURSOS!$E$20,(+IF($N225=[1]CURSOS!$D$21,[1]CURSOS!$E$21,(+IF($N225=[1]CURSOS!$D$22,[1]CURSOS!$E$22,(+IF($N225=[1]CURSOS!$D$23,[1]CURSOS!$E$23,(+IF($N225=[1]CURSOS!$D$24,[1]CURSOS!$E$24,(+IF($N225=[1]CURSOS!$D$25,[1]CURSOS!$E$25,(+IF($N225=[1]CURSOS!$D$26,[1]CURSOS!$E$26,(+IF($N225=[1]CURSOS!$D$27,[1]CURSOS!$E$27,(+IF($N225=[1]CURSOS!$D$28,[1]CURSOS!$E$28,(+IF($N225=[1]CURSOS!$D$29,[1]CURSOS!$E$29,(+IF($N225=[1]CURSOS!$D$30,[1]CURSOS!$E$30,(+IF($N225=[1]CURSOS!$D$31,[1]CURSOS!$E$31,(+IF($N225=[1]CURSOS!$D$32,[1]CURSOS!$E$32)))))))))))))))))))))))))))))))))))))))))))))))))))))))))))</f>
        <v>ACOMPAÑAMIENTO Y MANEJO DEL DUELO</v>
      </c>
      <c r="U225" s="51" t="str">
        <f t="shared" si="129"/>
        <v>Oscar Ismael Guerrero Melo</v>
      </c>
      <c r="V225" s="51" t="str">
        <f t="shared" si="130"/>
        <v>Oscar Ismael Guerrero Melo</v>
      </c>
      <c r="W225" s="51" t="str">
        <f t="shared" si="131"/>
        <v>Oscar Ismael Guerrero Melo-12965547-Duelo</v>
      </c>
    </row>
    <row r="226" spans="1:23" s="73" customFormat="1" x14ac:dyDescent="0.2">
      <c r="A226" s="20">
        <v>225</v>
      </c>
      <c r="B226" s="20">
        <v>12964895</v>
      </c>
      <c r="C226" s="20" t="s">
        <v>556</v>
      </c>
      <c r="D226" s="20" t="s">
        <v>557</v>
      </c>
      <c r="E226" s="20" t="s">
        <v>558</v>
      </c>
      <c r="F226" s="20" t="s">
        <v>559</v>
      </c>
      <c r="G226" s="19">
        <v>23</v>
      </c>
      <c r="H226" s="19" t="s">
        <v>99</v>
      </c>
      <c r="I226" s="25">
        <v>45405</v>
      </c>
      <c r="J226" s="98">
        <v>40000</v>
      </c>
      <c r="K226" s="116" t="s">
        <v>82</v>
      </c>
      <c r="L226" s="19" t="s">
        <v>322</v>
      </c>
      <c r="M226" s="19" t="s">
        <v>100</v>
      </c>
      <c r="N226" s="21" t="s">
        <v>561</v>
      </c>
      <c r="O226" s="72">
        <v>19922</v>
      </c>
      <c r="P226" s="20" t="s">
        <v>88</v>
      </c>
      <c r="Q226" s="20"/>
      <c r="R226" s="20"/>
      <c r="S226" s="20" t="s">
        <v>560</v>
      </c>
      <c r="T226" s="51" t="str">
        <f>+IF($N226=[1]CURSOS!$D$3,[1]CURSOS!$E$3,(+IF($N226=[1]CURSOS!$D$4,[1]CURSOS!$E$4,(+IF($N226=[1]CURSOS!$D$5,[1]CURSOS!$E$5,(+IF($N226=[1]CURSOS!$D$6,[1]CURSOS!$E$6,(+IF($N226=[1]CURSOS!$D$7,[1]CURSOS!$E$7,(+IF($N226=[1]CURSOS!$D$8,[1]CURSOS!$E$8,(+IF($N226=[1]CURSOS!$D$9,[1]CURSOS!$E$9,(+IF($N226=[1]CURSOS!$D$10,[1]CURSOS!$E$10,(+IF($N226=[1]CURSOS!$D$11,[1]CURSOS!$E$11,(+IF($N226=[1]CURSOS!$D$12,[1]CURSOS!$E$12,(+IF($N226=[1]CURSOS!$D$13,[1]CURSOS!$E$13,(+IF($N226=[1]CURSOS!$D$14,[1]CURSOS!$E$14,(+IF($N226=[1]CURSOS!$D$15,[1]CURSOS!$E$15,(+IF($N226=[1]CURSOS!$D$16,[1]CURSOS!$E$16,(+IF($N226=[1]CURSOS!$D$17,[1]CURSOS!$E$17,(+IF($N226=[1]CURSOS!$D$18,[1]CURSOS!$E$18,(+IF($N226=[1]CURSOS!$D$19,[1]CURSOS!$E$19,(+IF($N226=[1]CURSOS!$D$20,[1]CURSOS!$E$20,(+IF($N226=[1]CURSOS!$D$21,[1]CURSOS!$E$21,(+IF($N226=[1]CURSOS!$D$22,[1]CURSOS!$E$22,(+IF($N226=[1]CURSOS!$D$23,[1]CURSOS!$E$23,(+IF($N226=[1]CURSOS!$D$24,[1]CURSOS!$E$24,(+IF($N226=[1]CURSOS!$D$25,[1]CURSOS!$E$25,(+IF($N226=[1]CURSOS!$D$26,[1]CURSOS!$E$26,(+IF($N226=[1]CURSOS!$D$27,[1]CURSOS!$E$27,(+IF($N226=[1]CURSOS!$D$28,[1]CURSOS!$E$28,(+IF($N226=[1]CURSOS!$D$29,[1]CURSOS!$E$29,(+IF($N226=[1]CURSOS!$D$30,[1]CURSOS!$E$30,(+IF($N226=[1]CURSOS!$D$31,[1]CURSOS!$E$31,(+IF($N226=[1]CURSOS!$D$32,[1]CURSOS!$E$32)))))))))))))))))))))))))))))))))))))))))))))))))))))))))))</f>
        <v xml:space="preserve">ATENCION A VICTIMAS DE VIOLENCIA SEXUAL </v>
      </c>
      <c r="U226" s="51" t="str">
        <f t="shared" ref="U226:U229" si="132">CONCATENATE(E226," ",F226," ",C226," ",D226)</f>
        <v>Carlos Efren Estrada Oliva</v>
      </c>
      <c r="V226" s="51" t="str">
        <f t="shared" ref="V226:V229" si="133">+PROPER(U226)</f>
        <v>Carlos Efren Estrada Oliva</v>
      </c>
      <c r="W226" s="51" t="str">
        <f t="shared" ref="W226:W229" si="134">CONCATENATE(U226,"-",B226,"-",N226)</f>
        <v>Carlos Efren Estrada Oliva-12964895-violencia sexual</v>
      </c>
    </row>
    <row r="227" spans="1:23" s="73" customFormat="1" x14ac:dyDescent="0.2">
      <c r="A227" s="20">
        <v>226</v>
      </c>
      <c r="B227" s="20">
        <v>12964895</v>
      </c>
      <c r="C227" s="20" t="s">
        <v>556</v>
      </c>
      <c r="D227" s="20" t="s">
        <v>557</v>
      </c>
      <c r="E227" s="20" t="s">
        <v>558</v>
      </c>
      <c r="F227" s="20" t="s">
        <v>559</v>
      </c>
      <c r="G227" s="19">
        <v>23</v>
      </c>
      <c r="H227" s="19" t="s">
        <v>99</v>
      </c>
      <c r="I227" s="25">
        <v>45405</v>
      </c>
      <c r="J227" s="98">
        <v>40000</v>
      </c>
      <c r="K227" s="116" t="s">
        <v>82</v>
      </c>
      <c r="L227" s="19" t="s">
        <v>322</v>
      </c>
      <c r="M227" s="19" t="s">
        <v>100</v>
      </c>
      <c r="N227" s="21" t="s">
        <v>56</v>
      </c>
      <c r="O227" s="72">
        <v>19922</v>
      </c>
      <c r="P227" s="20" t="s">
        <v>88</v>
      </c>
      <c r="Q227" s="20"/>
      <c r="R227" s="20"/>
      <c r="S227" s="20" t="s">
        <v>560</v>
      </c>
      <c r="T227" s="52" t="str">
        <f>+IF($N227=[1]CURSOS!$D$3,[1]CURSOS!$E$3,(+IF($N227=[1]CURSOS!$D$4,[1]CURSOS!$E$4,(+IF($N227=[1]CURSOS!$D$5,[1]CURSOS!$E$5,(+IF($N227=[1]CURSOS!$D$6,[1]CURSOS!$E$6,(+IF($N227=[1]CURSOS!$D$7,[1]CURSOS!$E$7,(+IF($N227=[1]CURSOS!$D$8,[1]CURSOS!$E$8,(+IF($N227=[1]CURSOS!$D$9,[1]CURSOS!$E$9,(+IF($N227=[1]CURSOS!$D$10,[1]CURSOS!$E$10,(+IF($N227=[1]CURSOS!$D$11,[1]CURSOS!$E$11,(+IF($N227=[1]CURSOS!$D$12,[1]CURSOS!$E$12,(+IF($N227=[1]CURSOS!$D$13,[1]CURSOS!$E$13,(+IF($N227=[1]CURSOS!$D$14,[1]CURSOS!$E$14,(+IF($N227=[1]CURSOS!$D$15,[1]CURSOS!$E$15,(+IF($N227=[1]CURSOS!$D$16,[1]CURSOS!$E$16,(+IF($N227=[1]CURSOS!$D$17,[1]CURSOS!$E$17,(+IF($N227=[1]CURSOS!$D$18,[1]CURSOS!$E$18,(+IF($N227=[1]CURSOS!$D$19,[1]CURSOS!$E$19,(+IF($N227=[1]CURSOS!$D$20,[1]CURSOS!$E$20,(+IF($N227=[1]CURSOS!$D$21,[1]CURSOS!$E$21,(+IF($N227=[1]CURSOS!$D$22,[1]CURSOS!$E$22,(+IF($N227=[1]CURSOS!$D$23,[1]CURSOS!$E$23,(+IF($N227=[1]CURSOS!$D$24,[1]CURSOS!$E$24,(+IF($N227=[1]CURSOS!$D$25,[1]CURSOS!$E$25,(+IF($N227=[1]CURSOS!$D$26,[1]CURSOS!$E$26,(+IF($N227=[1]CURSOS!$D$27,[1]CURSOS!$E$27,(+IF($N227=[1]CURSOS!$D$28,[1]CURSOS!$E$28,(+IF($N227=[1]CURSOS!$D$29,[1]CURSOS!$E$29,(+IF($N227=[1]CURSOS!$D$30,[1]CURSOS!$E$30,(+IF($N227=[1]CURSOS!$D$31,[1]CURSOS!$E$31,(+IF($N227=[1]CURSOS!$D$32,[1]CURSOS!$E$32)))))))))))))))))))))))))))))))))))))))))))))))))))))))))))</f>
        <v>INSTITUCIONES AMIGAS DE LA MUJER Y LA INFANCIA (IAMI)</v>
      </c>
      <c r="U227" s="52" t="str">
        <f t="shared" si="132"/>
        <v>Carlos Efren Estrada Oliva</v>
      </c>
      <c r="V227" s="52" t="str">
        <f t="shared" si="133"/>
        <v>Carlos Efren Estrada Oliva</v>
      </c>
      <c r="W227" s="52" t="str">
        <f t="shared" si="134"/>
        <v>Carlos Efren Estrada Oliva-12964895-IAMI</v>
      </c>
    </row>
    <row r="228" spans="1:23" s="73" customFormat="1" x14ac:dyDescent="0.2">
      <c r="A228" s="20">
        <v>227</v>
      </c>
      <c r="B228" s="20">
        <v>12964895</v>
      </c>
      <c r="C228" s="20" t="s">
        <v>556</v>
      </c>
      <c r="D228" s="20" t="s">
        <v>557</v>
      </c>
      <c r="E228" s="20" t="s">
        <v>558</v>
      </c>
      <c r="F228" s="20" t="s">
        <v>559</v>
      </c>
      <c r="G228" s="19">
        <v>23</v>
      </c>
      <c r="H228" s="19" t="s">
        <v>99</v>
      </c>
      <c r="I228" s="25">
        <v>45405</v>
      </c>
      <c r="J228" s="98">
        <v>40000</v>
      </c>
      <c r="K228" s="116" t="s">
        <v>82</v>
      </c>
      <c r="L228" s="19" t="s">
        <v>322</v>
      </c>
      <c r="M228" s="19" t="s">
        <v>100</v>
      </c>
      <c r="N228" s="21" t="s">
        <v>249</v>
      </c>
      <c r="O228" s="72">
        <v>19922</v>
      </c>
      <c r="P228" s="20" t="s">
        <v>88</v>
      </c>
      <c r="Q228" s="20"/>
      <c r="R228" s="20"/>
      <c r="S228" s="20" t="s">
        <v>560</v>
      </c>
      <c r="T228" s="50" t="s">
        <v>249</v>
      </c>
      <c r="U228" s="51" t="str">
        <f t="shared" si="132"/>
        <v>Carlos Efren Estrada Oliva</v>
      </c>
      <c r="V228" s="51" t="str">
        <f t="shared" si="133"/>
        <v>Carlos Efren Estrada Oliva</v>
      </c>
      <c r="W228" s="51" t="str">
        <f t="shared" si="134"/>
        <v>Carlos Efren Estrada Oliva-12964895-CUIDADO AL PACIENTE DONANTE</v>
      </c>
    </row>
    <row r="229" spans="1:23" s="73" customFormat="1" ht="17.25" customHeight="1" x14ac:dyDescent="0.25">
      <c r="A229" s="20">
        <v>228</v>
      </c>
      <c r="B229" s="20">
        <v>1085261683</v>
      </c>
      <c r="C229" s="20" t="s">
        <v>290</v>
      </c>
      <c r="D229" s="20" t="s">
        <v>562</v>
      </c>
      <c r="E229" s="20" t="s">
        <v>563</v>
      </c>
      <c r="F229" s="20" t="s">
        <v>188</v>
      </c>
      <c r="G229" s="19">
        <v>23</v>
      </c>
      <c r="H229" s="19" t="s">
        <v>99</v>
      </c>
      <c r="I229" s="25">
        <v>45405</v>
      </c>
      <c r="J229" s="98">
        <v>60000</v>
      </c>
      <c r="K229" s="116" t="s">
        <v>82</v>
      </c>
      <c r="L229" s="19" t="s">
        <v>322</v>
      </c>
      <c r="M229" s="19" t="s">
        <v>100</v>
      </c>
      <c r="N229" s="21" t="s">
        <v>249</v>
      </c>
      <c r="O229" s="81">
        <v>32344</v>
      </c>
      <c r="P229" s="20" t="s">
        <v>78</v>
      </c>
      <c r="Q229" s="20"/>
      <c r="R229" s="20"/>
      <c r="S229" s="20" t="s">
        <v>564</v>
      </c>
      <c r="T229" s="50" t="s">
        <v>249</v>
      </c>
      <c r="U229" s="51" t="str">
        <f t="shared" si="132"/>
        <v>Jimena Sofia Betancourt Moreno</v>
      </c>
      <c r="V229" s="51" t="str">
        <f t="shared" si="133"/>
        <v>Jimena Sofia Betancourt Moreno</v>
      </c>
      <c r="W229" s="51" t="str">
        <f t="shared" si="134"/>
        <v>Jimena Sofia Betancourt Moreno-1085261683-CUIDADO AL PACIENTE DONANTE</v>
      </c>
    </row>
    <row r="230" spans="1:23" s="73" customFormat="1" ht="15.75" x14ac:dyDescent="0.25">
      <c r="A230" s="20">
        <v>229</v>
      </c>
      <c r="B230" s="20">
        <v>59395959</v>
      </c>
      <c r="C230" s="20" t="s">
        <v>570</v>
      </c>
      <c r="D230" s="20" t="s">
        <v>262</v>
      </c>
      <c r="E230" s="20" t="s">
        <v>571</v>
      </c>
      <c r="F230" s="20" t="s">
        <v>569</v>
      </c>
      <c r="G230" s="19">
        <v>23</v>
      </c>
      <c r="H230" s="19" t="s">
        <v>99</v>
      </c>
      <c r="I230" s="25">
        <v>45406</v>
      </c>
      <c r="J230" s="98">
        <v>28000</v>
      </c>
      <c r="K230" s="116" t="s">
        <v>79</v>
      </c>
      <c r="L230" s="19" t="s">
        <v>196</v>
      </c>
      <c r="M230" s="19" t="s">
        <v>197</v>
      </c>
      <c r="N230" s="21" t="s">
        <v>573</v>
      </c>
      <c r="O230" s="72">
        <v>30436</v>
      </c>
      <c r="P230" s="20" t="s">
        <v>80</v>
      </c>
      <c r="Q230" s="20" t="s">
        <v>160</v>
      </c>
      <c r="R230" s="20">
        <v>3223085516</v>
      </c>
      <c r="S230" s="74" t="s">
        <v>576</v>
      </c>
      <c r="T230" s="51" t="str">
        <f>+IF($N230=[1]CURSOS!$D$3,[1]CURSOS!$E$3,(+IF($N230=[1]CURSOS!$D$4,[1]CURSOS!$E$4,(+IF($N230=[1]CURSOS!$D$5,[1]CURSOS!$E$5,(+IF($N230=[1]CURSOS!$D$6,[1]CURSOS!$E$6,(+IF($N230=[1]CURSOS!$D$7,[1]CURSOS!$E$7,(+IF($N230=[1]CURSOS!$D$8,[1]CURSOS!$E$8,(+IF($N230=[1]CURSOS!$D$9,[1]CURSOS!$E$9,(+IF($N230=[1]CURSOS!$D$10,[1]CURSOS!$E$10,(+IF($N230=[1]CURSOS!$D$11,[1]CURSOS!$E$11,(+IF($N230=[1]CURSOS!$D$12,[1]CURSOS!$E$12,(+IF($N230=[1]CURSOS!$D$13,[1]CURSOS!$E$13,(+IF($N230=[1]CURSOS!$D$14,[1]CURSOS!$E$14,(+IF($N230=[1]CURSOS!$D$15,[1]CURSOS!$E$15,(+IF($N230=[1]CURSOS!$D$16,[1]CURSOS!$E$16,(+IF($N230=[1]CURSOS!$D$17,[1]CURSOS!$E$17,(+IF($N230=[1]CURSOS!$D$18,[1]CURSOS!$E$18,(+IF($N230=[1]CURSOS!$D$19,[1]CURSOS!$E$19,(+IF($N230=[1]CURSOS!$D$20,[1]CURSOS!$E$20,(+IF($N230=[1]CURSOS!$D$21,[1]CURSOS!$E$21,(+IF($N230=[1]CURSOS!$D$22,[1]CURSOS!$E$22,(+IF($N230=[1]CURSOS!$D$23,[1]CURSOS!$E$23,(+IF($N230=[1]CURSOS!$D$24,[1]CURSOS!$E$24,(+IF($N230=[1]CURSOS!$D$25,[1]CURSOS!$E$25,(+IF($N230=[1]CURSOS!$D$26,[1]CURSOS!$E$26,(+IF($N230=[1]CURSOS!$D$27,[1]CURSOS!$E$27,(+IF($N230=[1]CURSOS!$D$28,[1]CURSOS!$E$28,(+IF($N230=[1]CURSOS!$D$29,[1]CURSOS!$E$29,(+IF($N230=[1]CURSOS!$D$30,[1]CURSOS!$E$30,(+IF($N230=[1]CURSOS!$D$31,[1]CURSOS!$E$31,(+IF($N230=[1]CURSOS!$D$32,[1]CURSOS!$E$32)))))))))))))))))))))))))))))))))))))))))))))))))))))))))))</f>
        <v>SOPORTE VITAL BASICO (BLS)</v>
      </c>
      <c r="U230" s="51" t="str">
        <f t="shared" ref="U230:U235" si="135">CONCATENATE(E230," ",F230," ",C230," ",D230)</f>
        <v>Dayra Lucely Villota Melo</v>
      </c>
      <c r="V230" s="51" t="str">
        <f t="shared" ref="V230:V235" si="136">+PROPER(U230)</f>
        <v>Dayra Lucely Villota Melo</v>
      </c>
      <c r="W230" s="51" t="str">
        <f t="shared" ref="W230:W235" si="137">CONCATENATE(U230,"-",B230,"-",N230)</f>
        <v>Dayra Lucely Villota Melo-59395959-bls</v>
      </c>
    </row>
    <row r="231" spans="1:23" s="73" customFormat="1" ht="15.75" x14ac:dyDescent="0.25">
      <c r="A231" s="20">
        <v>230</v>
      </c>
      <c r="B231" s="20">
        <v>59395959</v>
      </c>
      <c r="C231" s="20" t="s">
        <v>570</v>
      </c>
      <c r="D231" s="20" t="s">
        <v>262</v>
      </c>
      <c r="E231" s="20" t="s">
        <v>571</v>
      </c>
      <c r="F231" s="20" t="s">
        <v>569</v>
      </c>
      <c r="G231" s="19">
        <v>23</v>
      </c>
      <c r="H231" s="19" t="s">
        <v>99</v>
      </c>
      <c r="I231" s="25">
        <v>45406</v>
      </c>
      <c r="J231" s="98">
        <v>28000</v>
      </c>
      <c r="K231" s="116" t="s">
        <v>79</v>
      </c>
      <c r="L231" s="19" t="s">
        <v>196</v>
      </c>
      <c r="M231" s="19" t="s">
        <v>197</v>
      </c>
      <c r="N231" s="21" t="s">
        <v>411</v>
      </c>
      <c r="O231" s="72">
        <v>30436</v>
      </c>
      <c r="P231" s="20" t="s">
        <v>80</v>
      </c>
      <c r="Q231" s="20" t="s">
        <v>160</v>
      </c>
      <c r="R231" s="20">
        <v>3223085516</v>
      </c>
      <c r="S231" s="74" t="s">
        <v>576</v>
      </c>
      <c r="T231" s="51" t="str">
        <f>+IF($N231=[1]CURSOS!$D$3,[1]CURSOS!$E$3,(+IF($N231=[1]CURSOS!$D$4,[1]CURSOS!$E$4,(+IF($N231=[1]CURSOS!$D$5,[1]CURSOS!$E$5,(+IF($N231=[1]CURSOS!$D$6,[1]CURSOS!$E$6,(+IF($N231=[1]CURSOS!$D$7,[1]CURSOS!$E$7,(+IF($N231=[1]CURSOS!$D$8,[1]CURSOS!$E$8,(+IF($N231=[1]CURSOS!$D$9,[1]CURSOS!$E$9,(+IF($N231=[1]CURSOS!$D$10,[1]CURSOS!$E$10,(+IF($N231=[1]CURSOS!$D$11,[1]CURSOS!$E$11,(+IF($N231=[1]CURSOS!$D$12,[1]CURSOS!$E$12,(+IF($N231=[1]CURSOS!$D$13,[1]CURSOS!$E$13,(+IF($N231=[1]CURSOS!$D$14,[1]CURSOS!$E$14,(+IF($N231=[1]CURSOS!$D$15,[1]CURSOS!$E$15,(+IF($N231=[1]CURSOS!$D$16,[1]CURSOS!$E$16,(+IF($N231=[1]CURSOS!$D$17,[1]CURSOS!$E$17,(+IF($N231=[1]CURSOS!$D$18,[1]CURSOS!$E$18,(+IF($N231=[1]CURSOS!$D$19,[1]CURSOS!$E$19,(+IF($N231=[1]CURSOS!$D$20,[1]CURSOS!$E$20,(+IF($N231=[1]CURSOS!$D$21,[1]CURSOS!$E$21,(+IF($N231=[1]CURSOS!$D$22,[1]CURSOS!$E$22,(+IF($N231=[1]CURSOS!$D$23,[1]CURSOS!$E$23,(+IF($N231=[1]CURSOS!$D$24,[1]CURSOS!$E$24,(+IF($N231=[1]CURSOS!$D$25,[1]CURSOS!$E$25,(+IF($N231=[1]CURSOS!$D$26,[1]CURSOS!$E$26,(+IF($N231=[1]CURSOS!$D$27,[1]CURSOS!$E$27,(+IF($N231=[1]CURSOS!$D$28,[1]CURSOS!$E$28,(+IF($N231=[1]CURSOS!$D$29,[1]CURSOS!$E$29,(+IF($N231=[1]CURSOS!$D$30,[1]CURSOS!$E$30,(+IF($N231=[1]CURSOS!$D$31,[1]CURSOS!$E$31,(+IF($N231=[1]CURSOS!$D$32,[1]CURSOS!$E$32)))))))))))))))))))))))))))))))))))))))))))))))))))))))))))</f>
        <v xml:space="preserve">ATENCION A VICTIMAS DE ATAQUE CON AGENTES QUIMICOS </v>
      </c>
      <c r="U231" s="51" t="str">
        <f t="shared" si="135"/>
        <v>Dayra Lucely Villota Melo</v>
      </c>
      <c r="V231" s="51" t="str">
        <f t="shared" si="136"/>
        <v>Dayra Lucely Villota Melo</v>
      </c>
      <c r="W231" s="51" t="str">
        <f t="shared" si="137"/>
        <v>Dayra Lucely Villota Melo-59395959-Quimicos</v>
      </c>
    </row>
    <row r="232" spans="1:23" s="73" customFormat="1" ht="15.75" x14ac:dyDescent="0.25">
      <c r="A232" s="20">
        <v>231</v>
      </c>
      <c r="B232" s="20">
        <v>59395959</v>
      </c>
      <c r="C232" s="20" t="s">
        <v>570</v>
      </c>
      <c r="D232" s="20" t="s">
        <v>262</v>
      </c>
      <c r="E232" s="20" t="s">
        <v>571</v>
      </c>
      <c r="F232" s="20" t="s">
        <v>569</v>
      </c>
      <c r="G232" s="19">
        <v>24</v>
      </c>
      <c r="H232" s="19" t="s">
        <v>99</v>
      </c>
      <c r="I232" s="25">
        <v>45406</v>
      </c>
      <c r="J232" s="98">
        <v>28000</v>
      </c>
      <c r="K232" s="116" t="s">
        <v>79</v>
      </c>
      <c r="L232" s="19" t="s">
        <v>196</v>
      </c>
      <c r="M232" s="19" t="s">
        <v>197</v>
      </c>
      <c r="N232" s="21" t="s">
        <v>46</v>
      </c>
      <c r="O232" s="72">
        <v>30436</v>
      </c>
      <c r="P232" s="20" t="s">
        <v>80</v>
      </c>
      <c r="Q232" s="20" t="s">
        <v>160</v>
      </c>
      <c r="R232" s="20">
        <v>3223085516</v>
      </c>
      <c r="S232" s="74" t="s">
        <v>576</v>
      </c>
      <c r="T232" s="51" t="str">
        <f>+IF($N232=[1]CURSOS!$D$3,[1]CURSOS!$E$3,(+IF($N232=[1]CURSOS!$D$4,[1]CURSOS!$E$4,(+IF($N232=[1]CURSOS!$D$5,[1]CURSOS!$E$5,(+IF($N232=[1]CURSOS!$D$6,[1]CURSOS!$E$6,(+IF($N232=[1]CURSOS!$D$7,[1]CURSOS!$E$7,(+IF($N232=[1]CURSOS!$D$8,[1]CURSOS!$E$8,(+IF($N232=[1]CURSOS!$D$9,[1]CURSOS!$E$9,(+IF($N232=[1]CURSOS!$D$10,[1]CURSOS!$E$10,(+IF($N232=[1]CURSOS!$D$11,[1]CURSOS!$E$11,(+IF($N232=[1]CURSOS!$D$12,[1]CURSOS!$E$12,(+IF($N232=[1]CURSOS!$D$13,[1]CURSOS!$E$13,(+IF($N232=[1]CURSOS!$D$14,[1]CURSOS!$E$14,(+IF($N232=[1]CURSOS!$D$15,[1]CURSOS!$E$15,(+IF($N232=[1]CURSOS!$D$16,[1]CURSOS!$E$16,(+IF($N232=[1]CURSOS!$D$17,[1]CURSOS!$E$17,(+IF($N232=[1]CURSOS!$D$18,[1]CURSOS!$E$18,(+IF($N232=[1]CURSOS!$D$19,[1]CURSOS!$E$19,(+IF($N232=[1]CURSOS!$D$20,[1]CURSOS!$E$20,(+IF($N232=[1]CURSOS!$D$21,[1]CURSOS!$E$21,(+IF($N232=[1]CURSOS!$D$22,[1]CURSOS!$E$22,(+IF($N232=[1]CURSOS!$D$23,[1]CURSOS!$E$23,(+IF($N232=[1]CURSOS!$D$24,[1]CURSOS!$E$24,(+IF($N232=[1]CURSOS!$D$25,[1]CURSOS!$E$25,(+IF($N232=[1]CURSOS!$D$26,[1]CURSOS!$E$26,(+IF($N232=[1]CURSOS!$D$27,[1]CURSOS!$E$27,(+IF($N232=[1]CURSOS!$D$28,[1]CURSOS!$E$28,(+IF($N232=[1]CURSOS!$D$29,[1]CURSOS!$E$29,(+IF($N232=[1]CURSOS!$D$30,[1]CURSOS!$E$30,(+IF($N232=[1]CURSOS!$D$31,[1]CURSOS!$E$31,(+IF($N232=[1]CURSOS!$D$32,[1]CURSOS!$E$32)))))))))))))))))))))))))))))))))))))))))))))))))))))))))))</f>
        <v xml:space="preserve">ATENCION A VICTIMAS DE VIOLENCIA SEXUAL </v>
      </c>
      <c r="U232" s="51" t="str">
        <f t="shared" si="135"/>
        <v>Dayra Lucely Villota Melo</v>
      </c>
      <c r="V232" s="51" t="str">
        <f t="shared" si="136"/>
        <v>Dayra Lucely Villota Melo</v>
      </c>
      <c r="W232" s="51" t="str">
        <f t="shared" si="137"/>
        <v>Dayra Lucely Villota Melo-59395959-VIOLENCIA SEXUAL</v>
      </c>
    </row>
    <row r="233" spans="1:23" s="73" customFormat="1" ht="15.75" x14ac:dyDescent="0.25">
      <c r="A233" s="20">
        <v>232</v>
      </c>
      <c r="B233" s="20">
        <v>59395959</v>
      </c>
      <c r="C233" s="20" t="s">
        <v>570</v>
      </c>
      <c r="D233" s="20" t="s">
        <v>262</v>
      </c>
      <c r="E233" s="20" t="s">
        <v>571</v>
      </c>
      <c r="F233" s="20" t="s">
        <v>569</v>
      </c>
      <c r="G233" s="19">
        <v>24</v>
      </c>
      <c r="H233" s="19" t="s">
        <v>99</v>
      </c>
      <c r="I233" s="25">
        <v>45406</v>
      </c>
      <c r="J233" s="98">
        <v>28000</v>
      </c>
      <c r="K233" s="116" t="s">
        <v>79</v>
      </c>
      <c r="L233" s="19" t="s">
        <v>196</v>
      </c>
      <c r="M233" s="19" t="s">
        <v>197</v>
      </c>
      <c r="N233" s="21" t="s">
        <v>23</v>
      </c>
      <c r="O233" s="72">
        <v>30436</v>
      </c>
      <c r="P233" s="20" t="s">
        <v>80</v>
      </c>
      <c r="Q233" s="20" t="s">
        <v>160</v>
      </c>
      <c r="R233" s="20">
        <v>3223085516</v>
      </c>
      <c r="S233" s="74" t="s">
        <v>576</v>
      </c>
      <c r="T233" s="51" t="str">
        <f>+IF($N233=[1]CURSOS!$D$3,[1]CURSOS!$E$3,(+IF($N233=[1]CURSOS!$D$4,[1]CURSOS!$E$4,(+IF($N233=[1]CURSOS!$D$5,[1]CURSOS!$E$5,(+IF($N233=[1]CURSOS!$D$6,[1]CURSOS!$E$6,(+IF($N233=[1]CURSOS!$D$7,[1]CURSOS!$E$7,(+IF($N233=[1]CURSOS!$D$8,[1]CURSOS!$E$8,(+IF($N233=[1]CURSOS!$D$9,[1]CURSOS!$E$9,(+IF($N233=[1]CURSOS!$D$10,[1]CURSOS!$E$10,(+IF($N233=[1]CURSOS!$D$11,[1]CURSOS!$E$11,(+IF($N233=[1]CURSOS!$D$12,[1]CURSOS!$E$12,(+IF($N233=[1]CURSOS!$D$13,[1]CURSOS!$E$13,(+IF($N233=[1]CURSOS!$D$14,[1]CURSOS!$E$14,(+IF($N233=[1]CURSOS!$D$15,[1]CURSOS!$E$15,(+IF($N233=[1]CURSOS!$D$16,[1]CURSOS!$E$16,(+IF($N233=[1]CURSOS!$D$17,[1]CURSOS!$E$17,(+IF($N233=[1]CURSOS!$D$18,[1]CURSOS!$E$18,(+IF($N233=[1]CURSOS!$D$19,[1]CURSOS!$E$19,(+IF($N233=[1]CURSOS!$D$20,[1]CURSOS!$E$20,(+IF($N233=[1]CURSOS!$D$21,[1]CURSOS!$E$21,(+IF($N233=[1]CURSOS!$D$22,[1]CURSOS!$E$22,(+IF($N233=[1]CURSOS!$D$23,[1]CURSOS!$E$23,(+IF($N233=[1]CURSOS!$D$24,[1]CURSOS!$E$24,(+IF($N233=[1]CURSOS!$D$25,[1]CURSOS!$E$25,(+IF($N233=[1]CURSOS!$D$26,[1]CURSOS!$E$26,(+IF($N233=[1]CURSOS!$D$27,[1]CURSOS!$E$27,(+IF($N233=[1]CURSOS!$D$28,[1]CURSOS!$E$28,(+IF($N233=[1]CURSOS!$D$29,[1]CURSOS!$E$29,(+IF($N233=[1]CURSOS!$D$30,[1]CURSOS!$E$30,(+IF($N233=[1]CURSOS!$D$31,[1]CURSOS!$E$31,(+IF($N233=[1]CURSOS!$D$32,[1]CURSOS!$E$32)))))))))))))))))))))))))))))))))))))))))))))))))))))))))))</f>
        <v>ACOMPAÑAMIENTO Y MANEJO DEL DUELO</v>
      </c>
      <c r="U233" s="51" t="str">
        <f t="shared" si="135"/>
        <v>Dayra Lucely Villota Melo</v>
      </c>
      <c r="V233" s="51" t="str">
        <f t="shared" si="136"/>
        <v>Dayra Lucely Villota Melo</v>
      </c>
      <c r="W233" s="51" t="str">
        <f t="shared" si="137"/>
        <v>Dayra Lucely Villota Melo-59395959-DUELO</v>
      </c>
    </row>
    <row r="234" spans="1:23" s="73" customFormat="1" ht="15.75" x14ac:dyDescent="0.25">
      <c r="A234" s="20">
        <v>233</v>
      </c>
      <c r="B234" s="20">
        <v>59395959</v>
      </c>
      <c r="C234" s="20" t="s">
        <v>570</v>
      </c>
      <c r="D234" s="20" t="s">
        <v>262</v>
      </c>
      <c r="E234" s="20" t="s">
        <v>571</v>
      </c>
      <c r="F234" s="20" t="s">
        <v>569</v>
      </c>
      <c r="G234" s="19">
        <v>24</v>
      </c>
      <c r="H234" s="19" t="s">
        <v>99</v>
      </c>
      <c r="I234" s="25">
        <v>45406</v>
      </c>
      <c r="J234" s="98">
        <v>28000</v>
      </c>
      <c r="K234" s="116" t="s">
        <v>79</v>
      </c>
      <c r="L234" s="19" t="s">
        <v>196</v>
      </c>
      <c r="M234" s="19" t="s">
        <v>197</v>
      </c>
      <c r="N234" s="21" t="s">
        <v>33</v>
      </c>
      <c r="O234" s="72">
        <v>30436</v>
      </c>
      <c r="P234" s="20" t="s">
        <v>80</v>
      </c>
      <c r="Q234" s="20" t="s">
        <v>160</v>
      </c>
      <c r="R234" s="20">
        <v>3223085516</v>
      </c>
      <c r="S234" s="74" t="s">
        <v>576</v>
      </c>
      <c r="T234" s="51" t="str">
        <f>+IF($N234=[1]CURSOS!$D$3,[1]CURSOS!$E$3,(+IF($N234=[1]CURSOS!$D$4,[1]CURSOS!$E$4,(+IF($N234=[1]CURSOS!$D$5,[1]CURSOS!$E$5,(+IF($N234=[1]CURSOS!$D$6,[1]CURSOS!$E$6,(+IF($N234=[1]CURSOS!$D$7,[1]CURSOS!$E$7,(+IF($N234=[1]CURSOS!$D$8,[1]CURSOS!$E$8,(+IF($N234=[1]CURSOS!$D$9,[1]CURSOS!$E$9,(+IF($N234=[1]CURSOS!$D$10,[1]CURSOS!$E$10,(+IF($N234=[1]CURSOS!$D$11,[1]CURSOS!$E$11,(+IF($N234=[1]CURSOS!$D$12,[1]CURSOS!$E$12,(+IF($N234=[1]CURSOS!$D$13,[1]CURSOS!$E$13,(+IF($N234=[1]CURSOS!$D$14,[1]CURSOS!$E$14,(+IF($N234=[1]CURSOS!$D$15,[1]CURSOS!$E$15,(+IF($N234=[1]CURSOS!$D$16,[1]CURSOS!$E$16,(+IF($N234=[1]CURSOS!$D$17,[1]CURSOS!$E$17,(+IF($N234=[1]CURSOS!$D$18,[1]CURSOS!$E$18,(+IF($N234=[1]CURSOS!$D$19,[1]CURSOS!$E$19,(+IF($N234=[1]CURSOS!$D$20,[1]CURSOS!$E$20,(+IF($N234=[1]CURSOS!$D$21,[1]CURSOS!$E$21,(+IF($N234=[1]CURSOS!$D$22,[1]CURSOS!$E$22,(+IF($N234=[1]CURSOS!$D$23,[1]CURSOS!$E$23,(+IF($N234=[1]CURSOS!$D$24,[1]CURSOS!$E$24,(+IF($N234=[1]CURSOS!$D$25,[1]CURSOS!$E$25,(+IF($N234=[1]CURSOS!$D$26,[1]CURSOS!$E$26,(+IF($N234=[1]CURSOS!$D$27,[1]CURSOS!$E$27,(+IF($N234=[1]CURSOS!$D$28,[1]CURSOS!$E$28,(+IF($N234=[1]CURSOS!$D$29,[1]CURSOS!$E$29,(+IF($N234=[1]CURSOS!$D$30,[1]CURSOS!$E$30,(+IF($N234=[1]CURSOS!$D$31,[1]CURSOS!$E$31,(+IF($N234=[1]CURSOS!$D$32,[1]CURSOS!$E$32)))))))))))))))))))))))))))))))))))))))))))))))))))))))))))</f>
        <v xml:space="preserve">HUMANIZACION EN SALUD, BUENAS PRACTICAS EN PACIENTE </v>
      </c>
      <c r="U234" s="51" t="str">
        <f t="shared" si="135"/>
        <v>Dayra Lucely Villota Melo</v>
      </c>
      <c r="V234" s="51" t="str">
        <f t="shared" si="136"/>
        <v>Dayra Lucely Villota Melo</v>
      </c>
      <c r="W234" s="51" t="str">
        <f t="shared" si="137"/>
        <v>Dayra Lucely Villota Melo-59395959-HUMANIZACION</v>
      </c>
    </row>
    <row r="235" spans="1:23" s="73" customFormat="1" x14ac:dyDescent="0.2">
      <c r="A235" s="20">
        <v>234</v>
      </c>
      <c r="B235" s="20">
        <v>12983618</v>
      </c>
      <c r="C235" s="20" t="s">
        <v>566</v>
      </c>
      <c r="D235" s="20" t="s">
        <v>565</v>
      </c>
      <c r="E235" s="20" t="s">
        <v>568</v>
      </c>
      <c r="F235" s="20" t="s">
        <v>567</v>
      </c>
      <c r="G235" s="19">
        <v>24</v>
      </c>
      <c r="H235" s="19" t="s">
        <v>99</v>
      </c>
      <c r="I235" s="25">
        <v>45406</v>
      </c>
      <c r="J235" s="98">
        <v>40000</v>
      </c>
      <c r="K235" s="116" t="s">
        <v>551</v>
      </c>
      <c r="L235" s="19" t="s">
        <v>196</v>
      </c>
      <c r="M235" s="19" t="s">
        <v>100</v>
      </c>
      <c r="N235" s="21" t="s">
        <v>249</v>
      </c>
      <c r="O235" s="72">
        <v>23743</v>
      </c>
      <c r="P235" s="20" t="s">
        <v>574</v>
      </c>
      <c r="Q235" s="20" t="s">
        <v>575</v>
      </c>
      <c r="R235" s="20">
        <v>3152496688</v>
      </c>
      <c r="S235" s="20" t="s">
        <v>577</v>
      </c>
      <c r="T235" s="51" t="s">
        <v>249</v>
      </c>
      <c r="U235" s="51" t="str">
        <f t="shared" si="135"/>
        <v>Fabio Jesús Padilla Molineros</v>
      </c>
      <c r="V235" s="51" t="str">
        <f t="shared" si="136"/>
        <v>Fabio Jesús Padilla Molineros</v>
      </c>
      <c r="W235" s="51" t="str">
        <f t="shared" si="137"/>
        <v>Fabio Jesús Padilla Molineros-12983618-CUIDADO AL PACIENTE DONANTE</v>
      </c>
    </row>
    <row r="236" spans="1:23" s="73" customFormat="1" x14ac:dyDescent="0.2">
      <c r="A236" s="20">
        <v>235</v>
      </c>
      <c r="B236" s="20">
        <v>1087643414</v>
      </c>
      <c r="C236" s="20" t="s">
        <v>210</v>
      </c>
      <c r="D236" s="20" t="s">
        <v>210</v>
      </c>
      <c r="E236" s="20" t="s">
        <v>208</v>
      </c>
      <c r="F236" s="20" t="s">
        <v>209</v>
      </c>
      <c r="G236" s="19">
        <v>23</v>
      </c>
      <c r="H236" s="19" t="s">
        <v>99</v>
      </c>
      <c r="I236" s="25">
        <v>45401</v>
      </c>
      <c r="J236" s="98">
        <v>30000</v>
      </c>
      <c r="K236" s="116" t="s">
        <v>695</v>
      </c>
      <c r="L236" s="19" t="s">
        <v>196</v>
      </c>
      <c r="M236" s="19" t="s">
        <v>77</v>
      </c>
      <c r="N236" s="21" t="s">
        <v>23</v>
      </c>
      <c r="O236" s="72">
        <v>31736</v>
      </c>
      <c r="P236" s="20" t="s">
        <v>80</v>
      </c>
      <c r="Q236" s="20" t="s">
        <v>160</v>
      </c>
      <c r="R236" s="20">
        <v>320179678</v>
      </c>
      <c r="S236" s="20" t="s">
        <v>200</v>
      </c>
      <c r="T236" s="51" t="str">
        <f>+IF($N236=[1]CURSOS!$D$3,[1]CURSOS!$E$3,(+IF($N236=[1]CURSOS!$D$4,[1]CURSOS!$E$4,(+IF($N236=[1]CURSOS!$D$5,[1]CURSOS!$E$5,(+IF($N236=[1]CURSOS!$D$6,[1]CURSOS!$E$6,(+IF($N236=[1]CURSOS!$D$7,[1]CURSOS!$E$7,(+IF($N236=[1]CURSOS!$D$8,[1]CURSOS!$E$8,(+IF($N236=[1]CURSOS!$D$9,[1]CURSOS!$E$9,(+IF($N236=[1]CURSOS!$D$10,[1]CURSOS!$E$10,(+IF($N236=[1]CURSOS!$D$11,[1]CURSOS!$E$11,(+IF($N236=[1]CURSOS!$D$12,[1]CURSOS!$E$12,(+IF($N236=[1]CURSOS!$D$13,[1]CURSOS!$E$13,(+IF($N236=[1]CURSOS!$D$14,[1]CURSOS!$E$14,(+IF($N236=[1]CURSOS!$D$15,[1]CURSOS!$E$15,(+IF($N236=[1]CURSOS!$D$16,[1]CURSOS!$E$16,(+IF($N236=[1]CURSOS!$D$17,[1]CURSOS!$E$17,(+IF($N236=[1]CURSOS!$D$18,[1]CURSOS!$E$18,(+IF($N236=[1]CURSOS!$D$19,[1]CURSOS!$E$19,(+IF($N236=[1]CURSOS!$D$20,[1]CURSOS!$E$20,(+IF($N236=[1]CURSOS!$D$21,[1]CURSOS!$E$21,(+IF($N236=[1]CURSOS!$D$22,[1]CURSOS!$E$22,(+IF($N236=[1]CURSOS!$D$23,[1]CURSOS!$E$23,(+IF($N236=[1]CURSOS!$D$24,[1]CURSOS!$E$24,(+IF($N236=[1]CURSOS!$D$25,[1]CURSOS!$E$25,(+IF($N236=[1]CURSOS!$D$26,[1]CURSOS!$E$26,(+IF($N236=[1]CURSOS!$D$27,[1]CURSOS!$E$27,(+IF($N236=[1]CURSOS!$D$28,[1]CURSOS!$E$28,(+IF($N236=[1]CURSOS!$D$29,[1]CURSOS!$E$29,(+IF($N236=[1]CURSOS!$D$30,[1]CURSOS!$E$30,(+IF($N236=[1]CURSOS!$D$31,[1]CURSOS!$E$31,(+IF($N236=[1]CURSOS!$D$32,[1]CURSOS!$E$32)))))))))))))))))))))))))))))))))))))))))))))))))))))))))))</f>
        <v>ACOMPAÑAMIENTO Y MANEJO DEL DUELO</v>
      </c>
      <c r="U236" s="51" t="str">
        <f t="shared" ref="U236" si="138">CONCATENATE(E236," ",F236," ",C236," ",D236)</f>
        <v>Ana Cristina Ordóñez Ordóñez</v>
      </c>
      <c r="V236" s="51" t="str">
        <f t="shared" ref="V236" si="139">+PROPER(U236)</f>
        <v>Ana Cristina Ordóñez Ordóñez</v>
      </c>
      <c r="W236" s="51" t="str">
        <f t="shared" ref="W236" si="140">CONCATENATE(U236,"-",B236,"-",N236)</f>
        <v>Ana Cristina Ordóñez Ordóñez-1087643414-DUELO</v>
      </c>
    </row>
    <row r="237" spans="1:23" s="73" customFormat="1" x14ac:dyDescent="0.2">
      <c r="A237" s="20">
        <v>236</v>
      </c>
      <c r="B237" s="20">
        <v>1081274863</v>
      </c>
      <c r="C237" s="20" t="s">
        <v>580</v>
      </c>
      <c r="D237" s="20" t="s">
        <v>351</v>
      </c>
      <c r="E237" s="20" t="s">
        <v>578</v>
      </c>
      <c r="F237" s="20" t="s">
        <v>579</v>
      </c>
      <c r="G237" s="19">
        <v>24</v>
      </c>
      <c r="H237" s="19" t="s">
        <v>99</v>
      </c>
      <c r="I237" s="25" t="s">
        <v>694</v>
      </c>
      <c r="J237" s="88">
        <v>28000</v>
      </c>
      <c r="K237" s="116" t="s">
        <v>79</v>
      </c>
      <c r="L237" s="19" t="s">
        <v>196</v>
      </c>
      <c r="M237" s="19" t="s">
        <v>197</v>
      </c>
      <c r="N237" s="21" t="s">
        <v>33</v>
      </c>
      <c r="O237" s="72">
        <v>38512</v>
      </c>
      <c r="P237" s="20" t="s">
        <v>295</v>
      </c>
      <c r="Q237" s="20"/>
      <c r="R237" s="20">
        <v>3117122963</v>
      </c>
      <c r="S237" s="20" t="s">
        <v>581</v>
      </c>
      <c r="T237" s="51" t="str">
        <f>+IF($N237=[1]CURSOS!$D$3,[1]CURSOS!$E$3,(+IF($N237=[1]CURSOS!$D$4,[1]CURSOS!$E$4,(+IF($N237=[1]CURSOS!$D$5,[1]CURSOS!$E$5,(+IF($N237=[1]CURSOS!$D$6,[1]CURSOS!$E$6,(+IF($N237=[1]CURSOS!$D$7,[1]CURSOS!$E$7,(+IF($N237=[1]CURSOS!$D$8,[1]CURSOS!$E$8,(+IF($N237=[1]CURSOS!$D$9,[1]CURSOS!$E$9,(+IF($N237=[1]CURSOS!$D$10,[1]CURSOS!$E$10,(+IF($N237=[1]CURSOS!$D$11,[1]CURSOS!$E$11,(+IF($N237=[1]CURSOS!$D$12,[1]CURSOS!$E$12,(+IF($N237=[1]CURSOS!$D$13,[1]CURSOS!$E$13,(+IF($N237=[1]CURSOS!$D$14,[1]CURSOS!$E$14,(+IF($N237=[1]CURSOS!$D$15,[1]CURSOS!$E$15,(+IF($N237=[1]CURSOS!$D$16,[1]CURSOS!$E$16,(+IF($N237=[1]CURSOS!$D$17,[1]CURSOS!$E$17,(+IF($N237=[1]CURSOS!$D$18,[1]CURSOS!$E$18,(+IF($N237=[1]CURSOS!$D$19,[1]CURSOS!$E$19,(+IF($N237=[1]CURSOS!$D$20,[1]CURSOS!$E$20,(+IF($N237=[1]CURSOS!$D$21,[1]CURSOS!$E$21,(+IF($N237=[1]CURSOS!$D$22,[1]CURSOS!$E$22,(+IF($N237=[1]CURSOS!$D$23,[1]CURSOS!$E$23,(+IF($N237=[1]CURSOS!$D$24,[1]CURSOS!$E$24,(+IF($N237=[1]CURSOS!$D$25,[1]CURSOS!$E$25,(+IF($N237=[1]CURSOS!$D$26,[1]CURSOS!$E$26,(+IF($N237=[1]CURSOS!$D$27,[1]CURSOS!$E$27,(+IF($N237=[1]CURSOS!$D$28,[1]CURSOS!$E$28,(+IF($N237=[1]CURSOS!$D$29,[1]CURSOS!$E$29,(+IF($N237=[1]CURSOS!$D$30,[1]CURSOS!$E$30,(+IF($N237=[1]CURSOS!$D$31,[1]CURSOS!$E$31,(+IF($N237=[1]CURSOS!$D$32,[1]CURSOS!$E$32)))))))))))))))))))))))))))))))))))))))))))))))))))))))))))</f>
        <v xml:space="preserve">HUMANIZACION EN SALUD, BUENAS PRACTICAS EN PACIENTE </v>
      </c>
      <c r="U237" s="51" t="str">
        <f t="shared" ref="U237:U240" si="141">CONCATENATE(E237," ",F237," ",C237," ",D237)</f>
        <v>Jaider Yair Morales Pantoja</v>
      </c>
      <c r="V237" s="51" t="str">
        <f t="shared" ref="V237:V240" si="142">+PROPER(U237)</f>
        <v>Jaider Yair Morales Pantoja</v>
      </c>
      <c r="W237" s="51" t="str">
        <f t="shared" ref="W237:W240" si="143">CONCATENATE(U237,"-",B237,"-",N237)</f>
        <v>Jaider Yair Morales Pantoja-1081274863-HUMANIZACION</v>
      </c>
    </row>
    <row r="238" spans="1:23" s="73" customFormat="1" x14ac:dyDescent="0.2">
      <c r="A238" s="20">
        <v>237</v>
      </c>
      <c r="B238" s="20">
        <v>1085253821</v>
      </c>
      <c r="C238" s="20" t="s">
        <v>351</v>
      </c>
      <c r="D238" s="20" t="s">
        <v>584</v>
      </c>
      <c r="E238" s="20" t="s">
        <v>583</v>
      </c>
      <c r="F238" s="20" t="s">
        <v>138</v>
      </c>
      <c r="G238" s="19">
        <v>24</v>
      </c>
      <c r="H238" s="19" t="s">
        <v>99</v>
      </c>
      <c r="I238" s="25" t="s">
        <v>572</v>
      </c>
      <c r="J238" s="88" t="s">
        <v>572</v>
      </c>
      <c r="K238" s="19" t="s">
        <v>572</v>
      </c>
      <c r="L238" s="19" t="s">
        <v>322</v>
      </c>
      <c r="M238" s="19" t="s">
        <v>197</v>
      </c>
      <c r="N238" s="21" t="s">
        <v>46</v>
      </c>
      <c r="O238" s="72">
        <v>31673</v>
      </c>
      <c r="P238" s="20" t="s">
        <v>78</v>
      </c>
      <c r="Q238" s="20" t="s">
        <v>585</v>
      </c>
      <c r="R238" s="20">
        <v>3233226172</v>
      </c>
      <c r="S238" s="20" t="s">
        <v>586</v>
      </c>
      <c r="T238" s="51" t="str">
        <f>+IF($N238=[1]CURSOS!$D$3,[1]CURSOS!$E$3,(+IF($N238=[1]CURSOS!$D$4,[1]CURSOS!$E$4,(+IF($N238=[1]CURSOS!$D$5,[1]CURSOS!$E$5,(+IF($N238=[1]CURSOS!$D$6,[1]CURSOS!$E$6,(+IF($N238=[1]CURSOS!$D$7,[1]CURSOS!$E$7,(+IF($N238=[1]CURSOS!$D$8,[1]CURSOS!$E$8,(+IF($N238=[1]CURSOS!$D$9,[1]CURSOS!$E$9,(+IF($N238=[1]CURSOS!$D$10,[1]CURSOS!$E$10,(+IF($N238=[1]CURSOS!$D$11,[1]CURSOS!$E$11,(+IF($N238=[1]CURSOS!$D$12,[1]CURSOS!$E$12,(+IF($N238=[1]CURSOS!$D$13,[1]CURSOS!$E$13,(+IF($N238=[1]CURSOS!$D$14,[1]CURSOS!$E$14,(+IF($N238=[1]CURSOS!$D$15,[1]CURSOS!$E$15,(+IF($N238=[1]CURSOS!$D$16,[1]CURSOS!$E$16,(+IF($N238=[1]CURSOS!$D$17,[1]CURSOS!$E$17,(+IF($N238=[1]CURSOS!$D$18,[1]CURSOS!$E$18,(+IF($N238=[1]CURSOS!$D$19,[1]CURSOS!$E$19,(+IF($N238=[1]CURSOS!$D$20,[1]CURSOS!$E$20,(+IF($N238=[1]CURSOS!$D$21,[1]CURSOS!$E$21,(+IF($N238=[1]CURSOS!$D$22,[1]CURSOS!$E$22,(+IF($N238=[1]CURSOS!$D$23,[1]CURSOS!$E$23,(+IF($N238=[1]CURSOS!$D$24,[1]CURSOS!$E$24,(+IF($N238=[1]CURSOS!$D$25,[1]CURSOS!$E$25,(+IF($N238=[1]CURSOS!$D$26,[1]CURSOS!$E$26,(+IF($N238=[1]CURSOS!$D$27,[1]CURSOS!$E$27,(+IF($N238=[1]CURSOS!$D$28,[1]CURSOS!$E$28,(+IF($N238=[1]CURSOS!$D$29,[1]CURSOS!$E$29,(+IF($N238=[1]CURSOS!$D$30,[1]CURSOS!$E$30,(+IF($N238=[1]CURSOS!$D$31,[1]CURSOS!$E$31,(+IF($N238=[1]CURSOS!$D$32,[1]CURSOS!$E$32)))))))))))))))))))))))))))))))))))))))))))))))))))))))))))</f>
        <v xml:space="preserve">ATENCION A VICTIMAS DE VIOLENCIA SEXUAL </v>
      </c>
      <c r="U238" s="51" t="str">
        <f t="shared" si="141"/>
        <v>Sonia Johana Pantoja Tulcán</v>
      </c>
      <c r="V238" s="51" t="str">
        <f t="shared" si="142"/>
        <v>Sonia Johana Pantoja Tulcán</v>
      </c>
      <c r="W238" s="51" t="str">
        <f t="shared" si="143"/>
        <v>Sonia Johana Pantoja Tulcán-1085253821-VIOLENCIA SEXUAL</v>
      </c>
    </row>
    <row r="239" spans="1:23" s="73" customFormat="1" x14ac:dyDescent="0.2">
      <c r="A239" s="20">
        <v>238</v>
      </c>
      <c r="B239" s="20">
        <v>1085253821</v>
      </c>
      <c r="C239" s="20" t="s">
        <v>351</v>
      </c>
      <c r="D239" s="20" t="s">
        <v>584</v>
      </c>
      <c r="E239" s="20" t="s">
        <v>583</v>
      </c>
      <c r="F239" s="20" t="s">
        <v>138</v>
      </c>
      <c r="G239" s="19">
        <v>24</v>
      </c>
      <c r="H239" s="19" t="s">
        <v>99</v>
      </c>
      <c r="I239" s="25" t="s">
        <v>572</v>
      </c>
      <c r="J239" s="88" t="s">
        <v>572</v>
      </c>
      <c r="K239" s="19" t="s">
        <v>572</v>
      </c>
      <c r="L239" s="19" t="s">
        <v>322</v>
      </c>
      <c r="M239" s="19" t="s">
        <v>197</v>
      </c>
      <c r="N239" s="21" t="s">
        <v>411</v>
      </c>
      <c r="O239" s="72">
        <v>31673</v>
      </c>
      <c r="P239" s="20" t="s">
        <v>78</v>
      </c>
      <c r="Q239" s="20" t="s">
        <v>585</v>
      </c>
      <c r="R239" s="20">
        <v>3233226172</v>
      </c>
      <c r="S239" s="20" t="s">
        <v>586</v>
      </c>
      <c r="T239" s="51" t="s">
        <v>249</v>
      </c>
      <c r="U239" s="51" t="str">
        <f t="shared" si="141"/>
        <v>Sonia Johana Pantoja Tulcán</v>
      </c>
      <c r="V239" s="51" t="str">
        <f t="shared" si="142"/>
        <v>Sonia Johana Pantoja Tulcán</v>
      </c>
      <c r="W239" s="51" t="str">
        <f t="shared" si="143"/>
        <v>Sonia Johana Pantoja Tulcán-1085253821-Quimicos</v>
      </c>
    </row>
    <row r="240" spans="1:23" s="73" customFormat="1" x14ac:dyDescent="0.2">
      <c r="A240" s="20">
        <v>239</v>
      </c>
      <c r="B240" s="20">
        <v>1085253821</v>
      </c>
      <c r="C240" s="20" t="s">
        <v>351</v>
      </c>
      <c r="D240" s="20" t="s">
        <v>584</v>
      </c>
      <c r="E240" s="20" t="s">
        <v>583</v>
      </c>
      <c r="F240" s="20" t="s">
        <v>138</v>
      </c>
      <c r="G240" s="19">
        <v>24</v>
      </c>
      <c r="H240" s="19" t="s">
        <v>99</v>
      </c>
      <c r="I240" s="25" t="s">
        <v>572</v>
      </c>
      <c r="J240" s="88" t="s">
        <v>572</v>
      </c>
      <c r="K240" s="19" t="s">
        <v>572</v>
      </c>
      <c r="L240" s="19" t="s">
        <v>322</v>
      </c>
      <c r="M240" s="19" t="s">
        <v>197</v>
      </c>
      <c r="N240" s="21" t="s">
        <v>23</v>
      </c>
      <c r="O240" s="72">
        <v>31673</v>
      </c>
      <c r="P240" s="20" t="s">
        <v>78</v>
      </c>
      <c r="Q240" s="20" t="s">
        <v>585</v>
      </c>
      <c r="R240" s="20">
        <v>3233226172</v>
      </c>
      <c r="S240" s="20" t="s">
        <v>586</v>
      </c>
      <c r="T240" s="51" t="str">
        <f>+IF($N240=[1]CURSOS!$D$3,[1]CURSOS!$E$3,(+IF($N240=[1]CURSOS!$D$4,[1]CURSOS!$E$4,(+IF($N240=[1]CURSOS!$D$5,[1]CURSOS!$E$5,(+IF($N240=[1]CURSOS!$D$6,[1]CURSOS!$E$6,(+IF($N240=[1]CURSOS!$D$7,[1]CURSOS!$E$7,(+IF($N240=[1]CURSOS!$D$8,[1]CURSOS!$E$8,(+IF($N240=[1]CURSOS!$D$9,[1]CURSOS!$E$9,(+IF($N240=[1]CURSOS!$D$10,[1]CURSOS!$E$10,(+IF($N240=[1]CURSOS!$D$11,[1]CURSOS!$E$11,(+IF($N240=[1]CURSOS!$D$12,[1]CURSOS!$E$12,(+IF($N240=[1]CURSOS!$D$13,[1]CURSOS!$E$13,(+IF($N240=[1]CURSOS!$D$14,[1]CURSOS!$E$14,(+IF($N240=[1]CURSOS!$D$15,[1]CURSOS!$E$15,(+IF($N240=[1]CURSOS!$D$16,[1]CURSOS!$E$16,(+IF($N240=[1]CURSOS!$D$17,[1]CURSOS!$E$17,(+IF($N240=[1]CURSOS!$D$18,[1]CURSOS!$E$18,(+IF($N240=[1]CURSOS!$D$19,[1]CURSOS!$E$19,(+IF($N240=[1]CURSOS!$D$20,[1]CURSOS!$E$20,(+IF($N240=[1]CURSOS!$D$21,[1]CURSOS!$E$21,(+IF($N240=[1]CURSOS!$D$22,[1]CURSOS!$E$22,(+IF($N240=[1]CURSOS!$D$23,[1]CURSOS!$E$23,(+IF($N240=[1]CURSOS!$D$24,[1]CURSOS!$E$24,(+IF($N240=[1]CURSOS!$D$25,[1]CURSOS!$E$25,(+IF($N240=[1]CURSOS!$D$26,[1]CURSOS!$E$26,(+IF($N240=[1]CURSOS!$D$27,[1]CURSOS!$E$27,(+IF($N240=[1]CURSOS!$D$28,[1]CURSOS!$E$28,(+IF($N240=[1]CURSOS!$D$29,[1]CURSOS!$E$29,(+IF($N240=[1]CURSOS!$D$30,[1]CURSOS!$E$30,(+IF($N240=[1]CURSOS!$D$31,[1]CURSOS!$E$31,(+IF($N240=[1]CURSOS!$D$32,[1]CURSOS!$E$32)))))))))))))))))))))))))))))))))))))))))))))))))))))))))))</f>
        <v>ACOMPAÑAMIENTO Y MANEJO DEL DUELO</v>
      </c>
      <c r="U240" s="51" t="str">
        <f t="shared" si="141"/>
        <v>Sonia Johana Pantoja Tulcán</v>
      </c>
      <c r="V240" s="51" t="str">
        <f t="shared" si="142"/>
        <v>Sonia Johana Pantoja Tulcán</v>
      </c>
      <c r="W240" s="51" t="str">
        <f t="shared" si="143"/>
        <v>Sonia Johana Pantoja Tulcán-1085253821-DUELO</v>
      </c>
    </row>
    <row r="241" spans="1:23" s="73" customFormat="1" x14ac:dyDescent="0.2">
      <c r="A241" s="20">
        <v>240</v>
      </c>
      <c r="B241" s="20">
        <v>1085253821</v>
      </c>
      <c r="C241" s="20" t="s">
        <v>351</v>
      </c>
      <c r="D241" s="20" t="s">
        <v>584</v>
      </c>
      <c r="E241" s="20" t="s">
        <v>583</v>
      </c>
      <c r="F241" s="20" t="s">
        <v>138</v>
      </c>
      <c r="G241" s="19">
        <v>24</v>
      </c>
      <c r="H241" s="19" t="s">
        <v>99</v>
      </c>
      <c r="I241" s="25" t="s">
        <v>572</v>
      </c>
      <c r="J241" s="88" t="s">
        <v>572</v>
      </c>
      <c r="K241" s="19" t="s">
        <v>572</v>
      </c>
      <c r="L241" s="19" t="s">
        <v>322</v>
      </c>
      <c r="M241" s="19" t="s">
        <v>197</v>
      </c>
      <c r="N241" s="21" t="s">
        <v>33</v>
      </c>
      <c r="O241" s="72">
        <v>31673</v>
      </c>
      <c r="P241" s="20" t="s">
        <v>78</v>
      </c>
      <c r="Q241" s="20" t="s">
        <v>585</v>
      </c>
      <c r="R241" s="20">
        <v>3233226172</v>
      </c>
      <c r="S241" s="20" t="s">
        <v>586</v>
      </c>
      <c r="T241" s="51" t="str">
        <f>+IF($N241=[1]CURSOS!$D$3,[1]CURSOS!$E$3,(+IF($N241=[1]CURSOS!$D$4,[1]CURSOS!$E$4,(+IF($N241=[1]CURSOS!$D$5,[1]CURSOS!$E$5,(+IF($N241=[1]CURSOS!$D$6,[1]CURSOS!$E$6,(+IF($N241=[1]CURSOS!$D$7,[1]CURSOS!$E$7,(+IF($N241=[1]CURSOS!$D$8,[1]CURSOS!$E$8,(+IF($N241=[1]CURSOS!$D$9,[1]CURSOS!$E$9,(+IF($N241=[1]CURSOS!$D$10,[1]CURSOS!$E$10,(+IF($N241=[1]CURSOS!$D$11,[1]CURSOS!$E$11,(+IF($N241=[1]CURSOS!$D$12,[1]CURSOS!$E$12,(+IF($N241=[1]CURSOS!$D$13,[1]CURSOS!$E$13,(+IF($N241=[1]CURSOS!$D$14,[1]CURSOS!$E$14,(+IF($N241=[1]CURSOS!$D$15,[1]CURSOS!$E$15,(+IF($N241=[1]CURSOS!$D$16,[1]CURSOS!$E$16,(+IF($N241=[1]CURSOS!$D$17,[1]CURSOS!$E$17,(+IF($N241=[1]CURSOS!$D$18,[1]CURSOS!$E$18,(+IF($N241=[1]CURSOS!$D$19,[1]CURSOS!$E$19,(+IF($N241=[1]CURSOS!$D$20,[1]CURSOS!$E$20,(+IF($N241=[1]CURSOS!$D$21,[1]CURSOS!$E$21,(+IF($N241=[1]CURSOS!$D$22,[1]CURSOS!$E$22,(+IF($N241=[1]CURSOS!$D$23,[1]CURSOS!$E$23,(+IF($N241=[1]CURSOS!$D$24,[1]CURSOS!$E$24,(+IF($N241=[1]CURSOS!$D$25,[1]CURSOS!$E$25,(+IF($N241=[1]CURSOS!$D$26,[1]CURSOS!$E$26,(+IF($N241=[1]CURSOS!$D$27,[1]CURSOS!$E$27,(+IF($N241=[1]CURSOS!$D$28,[1]CURSOS!$E$28,(+IF($N241=[1]CURSOS!$D$29,[1]CURSOS!$E$29,(+IF($N241=[1]CURSOS!$D$30,[1]CURSOS!$E$30,(+IF($N241=[1]CURSOS!$D$31,[1]CURSOS!$E$31,(+IF($N241=[1]CURSOS!$D$32,[1]CURSOS!$E$32)))))))))))))))))))))))))))))))))))))))))))))))))))))))))))</f>
        <v xml:space="preserve">HUMANIZACION EN SALUD, BUENAS PRACTICAS EN PACIENTE </v>
      </c>
      <c r="U241" s="51" t="str">
        <f t="shared" ref="U241:U244" si="144">CONCATENATE(E241," ",F241," ",C241," ",D241)</f>
        <v>Sonia Johana Pantoja Tulcán</v>
      </c>
      <c r="V241" s="51" t="str">
        <f t="shared" ref="V241:V244" si="145">+PROPER(U241)</f>
        <v>Sonia Johana Pantoja Tulcán</v>
      </c>
      <c r="W241" s="51" t="str">
        <f t="shared" ref="W241:W244" si="146">CONCATENATE(U241,"-",B241,"-",N241)</f>
        <v>Sonia Johana Pantoja Tulcán-1085253821-HUMANIZACION</v>
      </c>
    </row>
    <row r="242" spans="1:23" s="73" customFormat="1" x14ac:dyDescent="0.2">
      <c r="A242" s="20">
        <v>241</v>
      </c>
      <c r="B242" s="20">
        <v>1234192018</v>
      </c>
      <c r="C242" s="20" t="s">
        <v>587</v>
      </c>
      <c r="D242" s="20" t="s">
        <v>343</v>
      </c>
      <c r="E242" s="20" t="s">
        <v>588</v>
      </c>
      <c r="F242" s="20"/>
      <c r="G242" s="19">
        <v>24</v>
      </c>
      <c r="H242" s="19" t="s">
        <v>99</v>
      </c>
      <c r="I242" s="25" t="s">
        <v>572</v>
      </c>
      <c r="J242" s="88" t="s">
        <v>572</v>
      </c>
      <c r="K242" s="19" t="s">
        <v>572</v>
      </c>
      <c r="L242" s="19" t="s">
        <v>322</v>
      </c>
      <c r="M242" s="19" t="s">
        <v>197</v>
      </c>
      <c r="N242" s="21" t="s">
        <v>50</v>
      </c>
      <c r="O242" s="72">
        <v>35934</v>
      </c>
      <c r="P242" s="20" t="s">
        <v>88</v>
      </c>
      <c r="Q242" s="20" t="s">
        <v>148</v>
      </c>
      <c r="R242" s="20">
        <v>3127448887</v>
      </c>
      <c r="S242" s="20" t="s">
        <v>589</v>
      </c>
      <c r="T242" s="51" t="str">
        <f>+IF($N242=[1]CURSOS!$D$3,[1]CURSOS!$E$3,(+IF($N242=[1]CURSOS!$D$4,[1]CURSOS!$E$4,(+IF($N242=[1]CURSOS!$D$5,[1]CURSOS!$E$5,(+IF($N242=[1]CURSOS!$D$6,[1]CURSOS!$E$6,(+IF($N242=[1]CURSOS!$D$7,[1]CURSOS!$E$7,(+IF($N242=[1]CURSOS!$D$8,[1]CURSOS!$E$8,(+IF($N242=[1]CURSOS!$D$9,[1]CURSOS!$E$9,(+IF($N242=[1]CURSOS!$D$10,[1]CURSOS!$E$10,(+IF($N242=[1]CURSOS!$D$11,[1]CURSOS!$E$11,(+IF($N242=[1]CURSOS!$D$12,[1]CURSOS!$E$12,(+IF($N242=[1]CURSOS!$D$13,[1]CURSOS!$E$13,(+IF($N242=[1]CURSOS!$D$14,[1]CURSOS!$E$14,(+IF($N242=[1]CURSOS!$D$15,[1]CURSOS!$E$15,(+IF($N242=[1]CURSOS!$D$16,[1]CURSOS!$E$16,(+IF($N242=[1]CURSOS!$D$17,[1]CURSOS!$E$17,(+IF($N242=[1]CURSOS!$D$18,[1]CURSOS!$E$18,(+IF($N242=[1]CURSOS!$D$19,[1]CURSOS!$E$19,(+IF($N242=[1]CURSOS!$D$20,[1]CURSOS!$E$20,(+IF($N242=[1]CURSOS!$D$21,[1]CURSOS!$E$21,(+IF($N242=[1]CURSOS!$D$22,[1]CURSOS!$E$22,(+IF($N242=[1]CURSOS!$D$23,[1]CURSOS!$E$23,(+IF($N242=[1]CURSOS!$D$24,[1]CURSOS!$E$24,(+IF($N242=[1]CURSOS!$D$25,[1]CURSOS!$E$25,(+IF($N242=[1]CURSOS!$D$26,[1]CURSOS!$E$26,(+IF($N242=[1]CURSOS!$D$27,[1]CURSOS!$E$27,(+IF($N242=[1]CURSOS!$D$28,[1]CURSOS!$E$28,(+IF($N242=[1]CURSOS!$D$29,[1]CURSOS!$E$29,(+IF($N242=[1]CURSOS!$D$30,[1]CURSOS!$E$30,(+IF($N242=[1]CURSOS!$D$31,[1]CURSOS!$E$31,(+IF($N242=[1]CURSOS!$D$32,[1]CURSOS!$E$32)))))))))))))))))))))))))))))))))))))))))))))))))))))))))))</f>
        <v>ATENCION INTEGRAL EN ENFERMEDADES PREVALENTES EN PRIMERA INFANCIA (AIEPI)</v>
      </c>
      <c r="U242" s="51" t="str">
        <f t="shared" si="144"/>
        <v>Ronaldo  Manchabajoy Criollo</v>
      </c>
      <c r="V242" s="51" t="str">
        <f t="shared" si="145"/>
        <v>Ronaldo  Manchabajoy Criollo</v>
      </c>
      <c r="W242" s="51" t="str">
        <f t="shared" si="146"/>
        <v>Ronaldo  Manchabajoy Criollo-1234192018-AIEPI</v>
      </c>
    </row>
    <row r="243" spans="1:23" s="73" customFormat="1" x14ac:dyDescent="0.2">
      <c r="A243" s="20">
        <v>242</v>
      </c>
      <c r="B243" s="20">
        <v>1234192018</v>
      </c>
      <c r="C243" s="20" t="s">
        <v>587</v>
      </c>
      <c r="D243" s="20" t="s">
        <v>343</v>
      </c>
      <c r="E243" s="20" t="s">
        <v>588</v>
      </c>
      <c r="F243" s="20"/>
      <c r="G243" s="19">
        <v>24</v>
      </c>
      <c r="H243" s="19" t="s">
        <v>99</v>
      </c>
      <c r="I243" s="25" t="s">
        <v>572</v>
      </c>
      <c r="J243" s="88" t="s">
        <v>572</v>
      </c>
      <c r="K243" s="19" t="s">
        <v>572</v>
      </c>
      <c r="L243" s="19" t="s">
        <v>322</v>
      </c>
      <c r="M243" s="19" t="s">
        <v>197</v>
      </c>
      <c r="N243" s="21" t="s">
        <v>33</v>
      </c>
      <c r="O243" s="72">
        <v>35934</v>
      </c>
      <c r="P243" s="20" t="s">
        <v>88</v>
      </c>
      <c r="Q243" s="20" t="s">
        <v>148</v>
      </c>
      <c r="R243" s="20">
        <v>3127448887</v>
      </c>
      <c r="S243" s="20" t="s">
        <v>589</v>
      </c>
      <c r="T243" s="51" t="s">
        <v>249</v>
      </c>
      <c r="U243" s="51" t="str">
        <f t="shared" si="144"/>
        <v>Ronaldo  Manchabajoy Criollo</v>
      </c>
      <c r="V243" s="51" t="str">
        <f t="shared" si="145"/>
        <v>Ronaldo  Manchabajoy Criollo</v>
      </c>
      <c r="W243" s="51" t="str">
        <f t="shared" si="146"/>
        <v>Ronaldo  Manchabajoy Criollo-1234192018-HUMANIZACION</v>
      </c>
    </row>
    <row r="244" spans="1:23" s="73" customFormat="1" x14ac:dyDescent="0.2">
      <c r="A244" s="20">
        <v>243</v>
      </c>
      <c r="B244" s="20">
        <v>1233192638</v>
      </c>
      <c r="C244" s="20" t="s">
        <v>590</v>
      </c>
      <c r="D244" s="20" t="s">
        <v>192</v>
      </c>
      <c r="E244" s="20" t="s">
        <v>591</v>
      </c>
      <c r="F244" s="20" t="s">
        <v>181</v>
      </c>
      <c r="G244" s="19">
        <v>24</v>
      </c>
      <c r="H244" s="19" t="s">
        <v>99</v>
      </c>
      <c r="I244" s="25">
        <v>45406</v>
      </c>
      <c r="J244" s="98">
        <v>40000</v>
      </c>
      <c r="K244" s="116" t="s">
        <v>82</v>
      </c>
      <c r="L244" s="19" t="s">
        <v>322</v>
      </c>
      <c r="M244" s="19" t="s">
        <v>77</v>
      </c>
      <c r="N244" s="21" t="s">
        <v>19</v>
      </c>
      <c r="O244" s="72">
        <v>36148</v>
      </c>
      <c r="P244" s="20" t="s">
        <v>88</v>
      </c>
      <c r="Q244" s="20" t="s">
        <v>160</v>
      </c>
      <c r="R244" s="20">
        <v>3233701851</v>
      </c>
      <c r="S244" s="20" t="s">
        <v>592</v>
      </c>
      <c r="T244" s="51" t="str">
        <f>+IF($N244=[1]CURSOS!$D$3,[1]CURSOS!$E$3,(+IF($N244=[1]CURSOS!$D$4,[1]CURSOS!$E$4,(+IF($N244=[1]CURSOS!$D$5,[1]CURSOS!$E$5,(+IF($N244=[1]CURSOS!$D$6,[1]CURSOS!$E$6,(+IF($N244=[1]CURSOS!$D$7,[1]CURSOS!$E$7,(+IF($N244=[1]CURSOS!$D$8,[1]CURSOS!$E$8,(+IF($N244=[1]CURSOS!$D$9,[1]CURSOS!$E$9,(+IF($N244=[1]CURSOS!$D$10,[1]CURSOS!$E$10,(+IF($N244=[1]CURSOS!$D$11,[1]CURSOS!$E$11,(+IF($N244=[1]CURSOS!$D$12,[1]CURSOS!$E$12,(+IF($N244=[1]CURSOS!$D$13,[1]CURSOS!$E$13,(+IF($N244=[1]CURSOS!$D$14,[1]CURSOS!$E$14,(+IF($N244=[1]CURSOS!$D$15,[1]CURSOS!$E$15,(+IF($N244=[1]CURSOS!$D$16,[1]CURSOS!$E$16,(+IF($N244=[1]CURSOS!$D$17,[1]CURSOS!$E$17,(+IF($N244=[1]CURSOS!$D$18,[1]CURSOS!$E$18,(+IF($N244=[1]CURSOS!$D$19,[1]CURSOS!$E$19,(+IF($N244=[1]CURSOS!$D$20,[1]CURSOS!$E$20,(+IF($N244=[1]CURSOS!$D$21,[1]CURSOS!$E$21,(+IF($N244=[1]CURSOS!$D$22,[1]CURSOS!$E$22,(+IF($N244=[1]CURSOS!$D$23,[1]CURSOS!$E$23,(+IF($N244=[1]CURSOS!$D$24,[1]CURSOS!$E$24,(+IF($N244=[1]CURSOS!$D$25,[1]CURSOS!$E$25,(+IF($N244=[1]CURSOS!$D$26,[1]CURSOS!$E$26,(+IF($N244=[1]CURSOS!$D$27,[1]CURSOS!$E$27,(+IF($N244=[1]CURSOS!$D$28,[1]CURSOS!$E$28,(+IF($N244=[1]CURSOS!$D$29,[1]CURSOS!$E$29,(+IF($N244=[1]CURSOS!$D$30,[1]CURSOS!$E$30,(+IF($N244=[1]CURSOS!$D$31,[1]CURSOS!$E$31,(+IF($N244=[1]CURSOS!$D$32,[1]CURSOS!$E$32)))))))))))))))))))))))))))))))))))))))))))))))))))))))))))</f>
        <v>SOPORTE VITAL BASICO (BLS)</v>
      </c>
      <c r="U244" s="51" t="str">
        <f t="shared" si="144"/>
        <v>Daniel Santiago Cifuentes Paz</v>
      </c>
      <c r="V244" s="51" t="str">
        <f t="shared" si="145"/>
        <v>Daniel Santiago Cifuentes Paz</v>
      </c>
      <c r="W244" s="51" t="str">
        <f t="shared" si="146"/>
        <v>Daniel Santiago Cifuentes Paz-1233192638-BLS</v>
      </c>
    </row>
    <row r="245" spans="1:23" s="73" customFormat="1" x14ac:dyDescent="0.2">
      <c r="A245" s="20">
        <v>244</v>
      </c>
      <c r="B245" s="20">
        <v>1087418449</v>
      </c>
      <c r="C245" s="20" t="s">
        <v>593</v>
      </c>
      <c r="D245" s="20" t="s">
        <v>548</v>
      </c>
      <c r="E245" s="20" t="s">
        <v>594</v>
      </c>
      <c r="F245" s="20" t="s">
        <v>415</v>
      </c>
      <c r="G245" s="19">
        <v>25</v>
      </c>
      <c r="H245" s="19" t="s">
        <v>99</v>
      </c>
      <c r="I245" s="25">
        <v>45407</v>
      </c>
      <c r="J245" s="88">
        <v>40000</v>
      </c>
      <c r="K245" s="116" t="s">
        <v>79</v>
      </c>
      <c r="L245" s="19" t="s">
        <v>322</v>
      </c>
      <c r="M245" s="19" t="s">
        <v>77</v>
      </c>
      <c r="N245" s="21" t="s">
        <v>68</v>
      </c>
      <c r="O245" s="72">
        <v>33976</v>
      </c>
      <c r="P245" s="20" t="s">
        <v>78</v>
      </c>
      <c r="Q245" s="20" t="s">
        <v>160</v>
      </c>
      <c r="R245" s="20">
        <v>3176752016</v>
      </c>
      <c r="S245" s="20" t="s">
        <v>595</v>
      </c>
      <c r="T245" s="51" t="str">
        <f>+IF($N245=[1]CURSOS!$D$3,[1]CURSOS!$E$3,(+IF($N245=[1]CURSOS!$D$4,[1]CURSOS!$E$4,(+IF($N245=[1]CURSOS!$D$5,[1]CURSOS!$E$5,(+IF($N245=[1]CURSOS!$D$6,[1]CURSOS!$E$6,(+IF($N245=[1]CURSOS!$D$7,[1]CURSOS!$E$7,(+IF($N245=[1]CURSOS!$D$8,[1]CURSOS!$E$8,(+IF($N245=[1]CURSOS!$D$9,[1]CURSOS!$E$9,(+IF($N245=[1]CURSOS!$D$10,[1]CURSOS!$E$10,(+IF($N245=[1]CURSOS!$D$11,[1]CURSOS!$E$11,(+IF($N245=[1]CURSOS!$D$12,[1]CURSOS!$E$12,(+IF($N245=[1]CURSOS!$D$13,[1]CURSOS!$E$13,(+IF($N245=[1]CURSOS!$D$14,[1]CURSOS!$E$14,(+IF($N245=[1]CURSOS!$D$15,[1]CURSOS!$E$15,(+IF($N245=[1]CURSOS!$D$16,[1]CURSOS!$E$16,(+IF($N245=[1]CURSOS!$D$17,[1]CURSOS!$E$17,(+IF($N245=[1]CURSOS!$D$18,[1]CURSOS!$E$18,(+IF($N245=[1]CURSOS!$D$19,[1]CURSOS!$E$19,(+IF($N245=[1]CURSOS!$D$20,[1]CURSOS!$E$20,(+IF($N245=[1]CURSOS!$D$21,[1]CURSOS!$E$21,(+IF($N245=[1]CURSOS!$D$22,[1]CURSOS!$E$22,(+IF($N245=[1]CURSOS!$D$23,[1]CURSOS!$E$23,(+IF($N245=[1]CURSOS!$D$24,[1]CURSOS!$E$24,(+IF($N245=[1]CURSOS!$D$25,[1]CURSOS!$E$25,(+IF($N245=[1]CURSOS!$D$26,[1]CURSOS!$E$26,(+IF($N245=[1]CURSOS!$D$27,[1]CURSOS!$E$27,(+IF($N245=[1]CURSOS!$D$28,[1]CURSOS!$E$28,(+IF($N245=[1]CURSOS!$D$29,[1]CURSOS!$E$29,(+IF($N245=[1]CURSOS!$D$30,[1]CURSOS!$E$30,(+IF($N245=[1]CURSOS!$D$31,[1]CURSOS!$E$31,(+IF($N245=[1]CURSOS!$D$32,[1]CURSOS!$E$32)))))))))))))))))))))))))))))))))))))))))))))))))))))))))))</f>
        <v>TOMA MUESTRAS Y LABORATORIO POCT</v>
      </c>
      <c r="U245" s="51" t="str">
        <f t="shared" ref="U245:U254" si="147">CONCATENATE(E245," ",F245," ",C245," ",D245)</f>
        <v>Lulieth Paola Guancha Casanova</v>
      </c>
      <c r="V245" s="51" t="str">
        <f t="shared" ref="V245:V254" si="148">+PROPER(U245)</f>
        <v>Lulieth Paola Guancha Casanova</v>
      </c>
      <c r="W245" s="51" t="str">
        <f t="shared" ref="W245:W254" si="149">CONCATENATE(U245,"-",B245,"-",N245)</f>
        <v>Lulieth Paola Guancha Casanova-1087418449-POCT</v>
      </c>
    </row>
    <row r="246" spans="1:23" s="73" customFormat="1" x14ac:dyDescent="0.2">
      <c r="A246" s="20">
        <v>245</v>
      </c>
      <c r="B246" s="20">
        <v>1085311598</v>
      </c>
      <c r="C246" s="20" t="s">
        <v>596</v>
      </c>
      <c r="D246" s="20" t="s">
        <v>597</v>
      </c>
      <c r="E246" s="20" t="s">
        <v>598</v>
      </c>
      <c r="F246" s="20" t="s">
        <v>267</v>
      </c>
      <c r="G246" s="19">
        <v>22</v>
      </c>
      <c r="H246" s="19" t="s">
        <v>99</v>
      </c>
      <c r="I246" s="25">
        <v>45386</v>
      </c>
      <c r="J246" s="98">
        <v>150000</v>
      </c>
      <c r="K246" s="116" t="s">
        <v>293</v>
      </c>
      <c r="L246" s="19" t="s">
        <v>322</v>
      </c>
      <c r="M246" s="19" t="s">
        <v>537</v>
      </c>
      <c r="N246" s="21" t="s">
        <v>39</v>
      </c>
      <c r="O246" s="72">
        <v>34435</v>
      </c>
      <c r="P246" s="20" t="s">
        <v>78</v>
      </c>
      <c r="Q246" s="20" t="s">
        <v>615</v>
      </c>
      <c r="R246" s="20">
        <v>3004116467</v>
      </c>
      <c r="S246" s="20" t="s">
        <v>599</v>
      </c>
      <c r="T246" s="51" t="str">
        <f>+IF($N246=[1]CURSOS!$D$3,[1]CURSOS!$E$3,(+IF($N246=[1]CURSOS!$D$4,[1]CURSOS!$E$4,(+IF($N246=[1]CURSOS!$D$5,[1]CURSOS!$E$5,(+IF($N246=[1]CURSOS!$D$6,[1]CURSOS!$E$6,(+IF($N246=[1]CURSOS!$D$7,[1]CURSOS!$E$7,(+IF($N246=[1]CURSOS!$D$8,[1]CURSOS!$E$8,(+IF($N246=[1]CURSOS!$D$9,[1]CURSOS!$E$9,(+IF($N246=[1]CURSOS!$D$10,[1]CURSOS!$E$10,(+IF($N246=[1]CURSOS!$D$11,[1]CURSOS!$E$11,(+IF($N246=[1]CURSOS!$D$12,[1]CURSOS!$E$12,(+IF($N246=[1]CURSOS!$D$13,[1]CURSOS!$E$13,(+IF($N246=[1]CURSOS!$D$14,[1]CURSOS!$E$14,(+IF($N246=[1]CURSOS!$D$15,[1]CURSOS!$E$15,(+IF($N246=[1]CURSOS!$D$16,[1]CURSOS!$E$16,(+IF($N246=[1]CURSOS!$D$17,[1]CURSOS!$E$17,(+IF($N246=[1]CURSOS!$D$18,[1]CURSOS!$E$18,(+IF($N246=[1]CURSOS!$D$19,[1]CURSOS!$E$19,(+IF($N246=[1]CURSOS!$D$20,[1]CURSOS!$E$20,(+IF($N246=[1]CURSOS!$D$21,[1]CURSOS!$E$21,(+IF($N246=[1]CURSOS!$D$22,[1]CURSOS!$E$22,(+IF($N246=[1]CURSOS!$D$23,[1]CURSOS!$E$23,(+IF($N246=[1]CURSOS!$D$24,[1]CURSOS!$E$24,(+IF($N246=[1]CURSOS!$D$25,[1]CURSOS!$E$25,(+IF($N246=[1]CURSOS!$D$26,[1]CURSOS!$E$26,(+IF($N246=[1]CURSOS!$D$27,[1]CURSOS!$E$27,(+IF($N246=[1]CURSOS!$D$28,[1]CURSOS!$E$28,(+IF($N246=[1]CURSOS!$D$29,[1]CURSOS!$E$29,(+IF($N246=[1]CURSOS!$D$30,[1]CURSOS!$E$30,(+IF($N246=[1]CURSOS!$D$31,[1]CURSOS!$E$31,(+IF($N246=[1]CURSOS!$D$32,[1]CURSOS!$E$32)))))))))))))))))))))))))))))))))))))))))))))))))))))))))))</f>
        <v xml:space="preserve">SOPORTE CARDIOVASCULAR AVANZADO </v>
      </c>
      <c r="U246" s="51" t="str">
        <f t="shared" si="147"/>
        <v>Laura Maria Araujo Prado</v>
      </c>
      <c r="V246" s="51" t="str">
        <f t="shared" si="148"/>
        <v>Laura Maria Araujo Prado</v>
      </c>
      <c r="W246" s="51" t="str">
        <f t="shared" si="149"/>
        <v>Laura Maria Araujo Prado-1085311598-ACLS</v>
      </c>
    </row>
    <row r="247" spans="1:23" s="73" customFormat="1" x14ac:dyDescent="0.2">
      <c r="A247" s="20">
        <v>246</v>
      </c>
      <c r="B247" s="20">
        <v>1085311598</v>
      </c>
      <c r="C247" s="20" t="s">
        <v>596</v>
      </c>
      <c r="D247" s="20" t="s">
        <v>597</v>
      </c>
      <c r="E247" s="20" t="s">
        <v>598</v>
      </c>
      <c r="F247" s="20" t="s">
        <v>267</v>
      </c>
      <c r="G247" s="19">
        <v>11</v>
      </c>
      <c r="H247" s="19" t="s">
        <v>99</v>
      </c>
      <c r="I247" s="25">
        <v>45386</v>
      </c>
      <c r="J247" s="98">
        <v>50000</v>
      </c>
      <c r="K247" s="116" t="s">
        <v>293</v>
      </c>
      <c r="L247" s="19" t="s">
        <v>322</v>
      </c>
      <c r="M247" s="19" t="s">
        <v>537</v>
      </c>
      <c r="N247" s="21" t="s">
        <v>66</v>
      </c>
      <c r="O247" s="72">
        <v>34435</v>
      </c>
      <c r="P247" s="20" t="s">
        <v>78</v>
      </c>
      <c r="Q247" s="20" t="s">
        <v>615</v>
      </c>
      <c r="R247" s="20">
        <v>3004116467</v>
      </c>
      <c r="S247" s="20" t="s">
        <v>599</v>
      </c>
      <c r="T247" s="51" t="s">
        <v>249</v>
      </c>
      <c r="U247" s="51" t="str">
        <f t="shared" si="147"/>
        <v>Laura Maria Araujo Prado</v>
      </c>
      <c r="V247" s="51" t="str">
        <f t="shared" si="148"/>
        <v>Laura Maria Araujo Prado</v>
      </c>
      <c r="W247" s="51" t="str">
        <f t="shared" si="149"/>
        <v>Laura Maria Araujo Prado-1085311598-PALIATIVOS</v>
      </c>
    </row>
    <row r="248" spans="1:23" s="73" customFormat="1" x14ac:dyDescent="0.2">
      <c r="A248" s="20">
        <v>247</v>
      </c>
      <c r="B248" s="20">
        <v>1085311598</v>
      </c>
      <c r="C248" s="20" t="s">
        <v>596</v>
      </c>
      <c r="D248" s="20" t="s">
        <v>597</v>
      </c>
      <c r="E248" s="20" t="s">
        <v>598</v>
      </c>
      <c r="F248" s="20" t="s">
        <v>267</v>
      </c>
      <c r="G248" s="19">
        <v>16</v>
      </c>
      <c r="H248" s="19" t="s">
        <v>99</v>
      </c>
      <c r="I248" s="25">
        <v>45386</v>
      </c>
      <c r="J248" s="98">
        <v>50000</v>
      </c>
      <c r="K248" s="116" t="s">
        <v>293</v>
      </c>
      <c r="L248" s="19" t="s">
        <v>322</v>
      </c>
      <c r="M248" s="19" t="s">
        <v>537</v>
      </c>
      <c r="N248" s="21" t="s">
        <v>23</v>
      </c>
      <c r="O248" s="72">
        <v>34435</v>
      </c>
      <c r="P248" s="20" t="s">
        <v>78</v>
      </c>
      <c r="Q248" s="20" t="s">
        <v>615</v>
      </c>
      <c r="R248" s="20">
        <v>3004116467</v>
      </c>
      <c r="S248" s="20" t="s">
        <v>599</v>
      </c>
      <c r="T248" s="51" t="str">
        <f>+IF($N248=[1]CURSOS!$D$3,[1]CURSOS!$E$3,(+IF($N248=[1]CURSOS!$D$4,[1]CURSOS!$E$4,(+IF($N248=[1]CURSOS!$D$5,[1]CURSOS!$E$5,(+IF($N248=[1]CURSOS!$D$6,[1]CURSOS!$E$6,(+IF($N248=[1]CURSOS!$D$7,[1]CURSOS!$E$7,(+IF($N248=[1]CURSOS!$D$8,[1]CURSOS!$E$8,(+IF($N248=[1]CURSOS!$D$9,[1]CURSOS!$E$9,(+IF($N248=[1]CURSOS!$D$10,[1]CURSOS!$E$10,(+IF($N248=[1]CURSOS!$D$11,[1]CURSOS!$E$11,(+IF($N248=[1]CURSOS!$D$12,[1]CURSOS!$E$12,(+IF($N248=[1]CURSOS!$D$13,[1]CURSOS!$E$13,(+IF($N248=[1]CURSOS!$D$14,[1]CURSOS!$E$14,(+IF($N248=[1]CURSOS!$D$15,[1]CURSOS!$E$15,(+IF($N248=[1]CURSOS!$D$16,[1]CURSOS!$E$16,(+IF($N248=[1]CURSOS!$D$17,[1]CURSOS!$E$17,(+IF($N248=[1]CURSOS!$D$18,[1]CURSOS!$E$18,(+IF($N248=[1]CURSOS!$D$19,[1]CURSOS!$E$19,(+IF($N248=[1]CURSOS!$D$20,[1]CURSOS!$E$20,(+IF($N248=[1]CURSOS!$D$21,[1]CURSOS!$E$21,(+IF($N248=[1]CURSOS!$D$22,[1]CURSOS!$E$22,(+IF($N248=[1]CURSOS!$D$23,[1]CURSOS!$E$23,(+IF($N248=[1]CURSOS!$D$24,[1]CURSOS!$E$24,(+IF($N248=[1]CURSOS!$D$25,[1]CURSOS!$E$25,(+IF($N248=[1]CURSOS!$D$26,[1]CURSOS!$E$26,(+IF($N248=[1]CURSOS!$D$27,[1]CURSOS!$E$27,(+IF($N248=[1]CURSOS!$D$28,[1]CURSOS!$E$28,(+IF($N248=[1]CURSOS!$D$29,[1]CURSOS!$E$29,(+IF($N248=[1]CURSOS!$D$30,[1]CURSOS!$E$30,(+IF($N248=[1]CURSOS!$D$31,[1]CURSOS!$E$31,(+IF($N248=[1]CURSOS!$D$32,[1]CURSOS!$E$32)))))))))))))))))))))))))))))))))))))))))))))))))))))))))))</f>
        <v>ACOMPAÑAMIENTO Y MANEJO DEL DUELO</v>
      </c>
      <c r="U248" s="51" t="str">
        <f t="shared" si="147"/>
        <v>Laura Maria Araujo Prado</v>
      </c>
      <c r="V248" s="51" t="str">
        <f t="shared" si="148"/>
        <v>Laura Maria Araujo Prado</v>
      </c>
      <c r="W248" s="51" t="str">
        <f t="shared" si="149"/>
        <v>Laura Maria Araujo Prado-1085311598-DUELO</v>
      </c>
    </row>
    <row r="249" spans="1:23" s="73" customFormat="1" x14ac:dyDescent="0.2">
      <c r="A249" s="20">
        <v>248</v>
      </c>
      <c r="B249" s="20">
        <v>1085311598</v>
      </c>
      <c r="C249" s="20" t="s">
        <v>596</v>
      </c>
      <c r="D249" s="20" t="s">
        <v>597</v>
      </c>
      <c r="E249" s="20" t="s">
        <v>598</v>
      </c>
      <c r="F249" s="20" t="s">
        <v>267</v>
      </c>
      <c r="G249" s="19">
        <v>16</v>
      </c>
      <c r="H249" s="19" t="s">
        <v>99</v>
      </c>
      <c r="I249" s="25">
        <v>45386</v>
      </c>
      <c r="J249" s="98">
        <v>50000</v>
      </c>
      <c r="K249" s="116" t="s">
        <v>293</v>
      </c>
      <c r="L249" s="19" t="s">
        <v>322</v>
      </c>
      <c r="M249" s="19" t="s">
        <v>537</v>
      </c>
      <c r="N249" s="21" t="s">
        <v>25</v>
      </c>
      <c r="O249" s="72">
        <v>34435</v>
      </c>
      <c r="P249" s="20" t="s">
        <v>78</v>
      </c>
      <c r="Q249" s="20" t="s">
        <v>615</v>
      </c>
      <c r="R249" s="20">
        <v>3004116467</v>
      </c>
      <c r="S249" s="20" t="s">
        <v>599</v>
      </c>
      <c r="T249" s="51" t="str">
        <f>+IF($N249=[1]CURSOS!$D$3,[1]CURSOS!$E$3,(+IF($N249=[1]CURSOS!$D$4,[1]CURSOS!$E$4,(+IF($N249=[1]CURSOS!$D$5,[1]CURSOS!$E$5,(+IF($N249=[1]CURSOS!$D$6,[1]CURSOS!$E$6,(+IF($N249=[1]CURSOS!$D$7,[1]CURSOS!$E$7,(+IF($N249=[1]CURSOS!$D$8,[1]CURSOS!$E$8,(+IF($N249=[1]CURSOS!$D$9,[1]CURSOS!$E$9,(+IF($N249=[1]CURSOS!$D$10,[1]CURSOS!$E$10,(+IF($N249=[1]CURSOS!$D$11,[1]CURSOS!$E$11,(+IF($N249=[1]CURSOS!$D$12,[1]CURSOS!$E$12,(+IF($N249=[1]CURSOS!$D$13,[1]CURSOS!$E$13,(+IF($N249=[1]CURSOS!$D$14,[1]CURSOS!$E$14,(+IF($N249=[1]CURSOS!$D$15,[1]CURSOS!$E$15,(+IF($N249=[1]CURSOS!$D$16,[1]CURSOS!$E$16,(+IF($N249=[1]CURSOS!$D$17,[1]CURSOS!$E$17,(+IF($N249=[1]CURSOS!$D$18,[1]CURSOS!$E$18,(+IF($N249=[1]CURSOS!$D$19,[1]CURSOS!$E$19,(+IF($N249=[1]CURSOS!$D$20,[1]CURSOS!$E$20,(+IF($N249=[1]CURSOS!$D$21,[1]CURSOS!$E$21,(+IF($N249=[1]CURSOS!$D$22,[1]CURSOS!$E$22,(+IF($N249=[1]CURSOS!$D$23,[1]CURSOS!$E$23,(+IF($N249=[1]CURSOS!$D$24,[1]CURSOS!$E$24,(+IF($N249=[1]CURSOS!$D$25,[1]CURSOS!$E$25,(+IF($N249=[1]CURSOS!$D$26,[1]CURSOS!$E$26,(+IF($N249=[1]CURSOS!$D$27,[1]CURSOS!$E$27,(+IF($N249=[1]CURSOS!$D$28,[1]CURSOS!$E$28,(+IF($N249=[1]CURSOS!$D$29,[1]CURSOS!$E$29,(+IF($N249=[1]CURSOS!$D$30,[1]CURSOS!$E$30,(+IF($N249=[1]CURSOS!$D$31,[1]CURSOS!$E$31,(+IF($N249=[1]CURSOS!$D$32,[1]CURSOS!$E$32)))))))))))))))))))))))))))))))))))))))))))))))))))))))))))</f>
        <v xml:space="preserve">ATENCION A VICTIMAS DE ATAQUE CON AGENTES QUIMICOS </v>
      </c>
      <c r="U249" s="51" t="str">
        <f t="shared" si="147"/>
        <v>Laura Maria Araujo Prado</v>
      </c>
      <c r="V249" s="51" t="str">
        <f t="shared" si="148"/>
        <v>Laura Maria Araujo Prado</v>
      </c>
      <c r="W249" s="51" t="str">
        <f t="shared" si="149"/>
        <v>Laura Maria Araujo Prado-1085311598-QUIMICOS</v>
      </c>
    </row>
    <row r="250" spans="1:23" s="73" customFormat="1" x14ac:dyDescent="0.2">
      <c r="A250" s="20">
        <v>249</v>
      </c>
      <c r="B250" s="20">
        <v>59312461</v>
      </c>
      <c r="C250" s="20" t="s">
        <v>87</v>
      </c>
      <c r="D250" s="20" t="s">
        <v>393</v>
      </c>
      <c r="E250" s="20" t="s">
        <v>600</v>
      </c>
      <c r="F250" s="20" t="s">
        <v>601</v>
      </c>
      <c r="G250" s="19">
        <v>25</v>
      </c>
      <c r="H250" s="19" t="s">
        <v>99</v>
      </c>
      <c r="I250" s="25">
        <v>45408</v>
      </c>
      <c r="J250" s="98">
        <v>35000</v>
      </c>
      <c r="K250" s="116" t="s">
        <v>82</v>
      </c>
      <c r="L250" s="19" t="s">
        <v>322</v>
      </c>
      <c r="M250" s="19" t="s">
        <v>77</v>
      </c>
      <c r="N250" s="21" t="s">
        <v>19</v>
      </c>
      <c r="O250" s="72">
        <v>30700</v>
      </c>
      <c r="P250" s="20" t="s">
        <v>78</v>
      </c>
      <c r="Q250" s="20" t="s">
        <v>160</v>
      </c>
      <c r="R250" s="20">
        <v>3165193237</v>
      </c>
      <c r="S250" s="20" t="s">
        <v>602</v>
      </c>
      <c r="T250" s="51" t="str">
        <f>+IF($N250=[1]CURSOS!$D$3,[1]CURSOS!$E$3,(+IF($N250=[1]CURSOS!$D$4,[1]CURSOS!$E$4,(+IF($N250=[1]CURSOS!$D$5,[1]CURSOS!$E$5,(+IF($N250=[1]CURSOS!$D$6,[1]CURSOS!$E$6,(+IF($N250=[1]CURSOS!$D$7,[1]CURSOS!$E$7,(+IF($N250=[1]CURSOS!$D$8,[1]CURSOS!$E$8,(+IF($N250=[1]CURSOS!$D$9,[1]CURSOS!$E$9,(+IF($N250=[1]CURSOS!$D$10,[1]CURSOS!$E$10,(+IF($N250=[1]CURSOS!$D$11,[1]CURSOS!$E$11,(+IF($N250=[1]CURSOS!$D$12,[1]CURSOS!$E$12,(+IF($N250=[1]CURSOS!$D$13,[1]CURSOS!$E$13,(+IF($N250=[1]CURSOS!$D$14,[1]CURSOS!$E$14,(+IF($N250=[1]CURSOS!$D$15,[1]CURSOS!$E$15,(+IF($N250=[1]CURSOS!$D$16,[1]CURSOS!$E$16,(+IF($N250=[1]CURSOS!$D$17,[1]CURSOS!$E$17,(+IF($N250=[1]CURSOS!$D$18,[1]CURSOS!$E$18,(+IF($N250=[1]CURSOS!$D$19,[1]CURSOS!$E$19,(+IF($N250=[1]CURSOS!$D$20,[1]CURSOS!$E$20,(+IF($N250=[1]CURSOS!$D$21,[1]CURSOS!$E$21,(+IF($N250=[1]CURSOS!$D$22,[1]CURSOS!$E$22,(+IF($N250=[1]CURSOS!$D$23,[1]CURSOS!$E$23,(+IF($N250=[1]CURSOS!$D$24,[1]CURSOS!$E$24,(+IF($N250=[1]CURSOS!$D$25,[1]CURSOS!$E$25,(+IF($N250=[1]CURSOS!$D$26,[1]CURSOS!$E$26,(+IF($N250=[1]CURSOS!$D$27,[1]CURSOS!$E$27,(+IF($N250=[1]CURSOS!$D$28,[1]CURSOS!$E$28,(+IF($N250=[1]CURSOS!$D$29,[1]CURSOS!$E$29,(+IF($N250=[1]CURSOS!$D$30,[1]CURSOS!$E$30,(+IF($N250=[1]CURSOS!$D$31,[1]CURSOS!$E$31,(+IF($N250=[1]CURSOS!$D$32,[1]CURSOS!$E$32)))))))))))))))))))))))))))))))))))))))))))))))))))))))))))</f>
        <v>SOPORTE VITAL BASICO (BLS)</v>
      </c>
      <c r="U250" s="51" t="str">
        <f t="shared" si="147"/>
        <v>Vilma Judith Lopez Santacruz</v>
      </c>
      <c r="V250" s="51" t="str">
        <f t="shared" si="148"/>
        <v>Vilma Judith Lopez Santacruz</v>
      </c>
      <c r="W250" s="51" t="str">
        <f t="shared" si="149"/>
        <v>Vilma Judith Lopez Santacruz-59312461-BLS</v>
      </c>
    </row>
    <row r="251" spans="1:23" s="73" customFormat="1" x14ac:dyDescent="0.2">
      <c r="A251" s="20">
        <v>250</v>
      </c>
      <c r="B251" s="20">
        <v>1010084437</v>
      </c>
      <c r="C251" s="20" t="s">
        <v>446</v>
      </c>
      <c r="D251" s="20" t="s">
        <v>603</v>
      </c>
      <c r="E251" s="20" t="s">
        <v>604</v>
      </c>
      <c r="F251" s="20"/>
      <c r="G251" s="19">
        <v>25</v>
      </c>
      <c r="H251" s="19" t="s">
        <v>99</v>
      </c>
      <c r="I251" s="25" t="s">
        <v>696</v>
      </c>
      <c r="J251" s="88" t="s">
        <v>693</v>
      </c>
      <c r="K251" s="19" t="s">
        <v>693</v>
      </c>
      <c r="L251" s="19" t="s">
        <v>322</v>
      </c>
      <c r="M251" s="19" t="s">
        <v>537</v>
      </c>
      <c r="N251" s="21" t="s">
        <v>19</v>
      </c>
      <c r="O251" s="72">
        <v>36430</v>
      </c>
      <c r="P251" s="20" t="s">
        <v>78</v>
      </c>
      <c r="Q251" s="20" t="s">
        <v>160</v>
      </c>
      <c r="R251" s="20">
        <v>3164557682</v>
      </c>
      <c r="S251" s="20" t="s">
        <v>605</v>
      </c>
      <c r="T251" s="51" t="s">
        <v>249</v>
      </c>
      <c r="U251" s="51" t="str">
        <f t="shared" si="147"/>
        <v>Geraldine  Solarte  Montenegro</v>
      </c>
      <c r="V251" s="51" t="str">
        <f t="shared" si="148"/>
        <v>Geraldine  Solarte  Montenegro</v>
      </c>
      <c r="W251" s="51" t="str">
        <f t="shared" si="149"/>
        <v>Geraldine  Solarte  Montenegro-1010084437-BLS</v>
      </c>
    </row>
    <row r="252" spans="1:23" s="73" customFormat="1" x14ac:dyDescent="0.2">
      <c r="A252" s="20">
        <v>251</v>
      </c>
      <c r="B252" s="20">
        <v>1010084437</v>
      </c>
      <c r="C252" s="20" t="s">
        <v>446</v>
      </c>
      <c r="D252" s="20" t="s">
        <v>603</v>
      </c>
      <c r="E252" s="20" t="s">
        <v>604</v>
      </c>
      <c r="F252" s="20"/>
      <c r="G252" s="19">
        <v>25</v>
      </c>
      <c r="H252" s="19" t="s">
        <v>99</v>
      </c>
      <c r="I252" s="25" t="s">
        <v>696</v>
      </c>
      <c r="J252" s="88" t="s">
        <v>693</v>
      </c>
      <c r="K252" s="19" t="s">
        <v>693</v>
      </c>
      <c r="L252" s="19" t="s">
        <v>322</v>
      </c>
      <c r="M252" s="19" t="s">
        <v>537</v>
      </c>
      <c r="N252" s="21" t="s">
        <v>23</v>
      </c>
      <c r="O252" s="72">
        <v>36430</v>
      </c>
      <c r="P252" s="20" t="s">
        <v>78</v>
      </c>
      <c r="Q252" s="20" t="s">
        <v>160</v>
      </c>
      <c r="R252" s="20">
        <v>3164557682</v>
      </c>
      <c r="S252" s="20" t="s">
        <v>605</v>
      </c>
      <c r="T252" s="51" t="str">
        <f>+IF($N252=[1]CURSOS!$D$3,[1]CURSOS!$E$3,(+IF($N252=[1]CURSOS!$D$4,[1]CURSOS!$E$4,(+IF($N252=[1]CURSOS!$D$5,[1]CURSOS!$E$5,(+IF($N252=[1]CURSOS!$D$6,[1]CURSOS!$E$6,(+IF($N252=[1]CURSOS!$D$7,[1]CURSOS!$E$7,(+IF($N252=[1]CURSOS!$D$8,[1]CURSOS!$E$8,(+IF($N252=[1]CURSOS!$D$9,[1]CURSOS!$E$9,(+IF($N252=[1]CURSOS!$D$10,[1]CURSOS!$E$10,(+IF($N252=[1]CURSOS!$D$11,[1]CURSOS!$E$11,(+IF($N252=[1]CURSOS!$D$12,[1]CURSOS!$E$12,(+IF($N252=[1]CURSOS!$D$13,[1]CURSOS!$E$13,(+IF($N252=[1]CURSOS!$D$14,[1]CURSOS!$E$14,(+IF($N252=[1]CURSOS!$D$15,[1]CURSOS!$E$15,(+IF($N252=[1]CURSOS!$D$16,[1]CURSOS!$E$16,(+IF($N252=[1]CURSOS!$D$17,[1]CURSOS!$E$17,(+IF($N252=[1]CURSOS!$D$18,[1]CURSOS!$E$18,(+IF($N252=[1]CURSOS!$D$19,[1]CURSOS!$E$19,(+IF($N252=[1]CURSOS!$D$20,[1]CURSOS!$E$20,(+IF($N252=[1]CURSOS!$D$21,[1]CURSOS!$E$21,(+IF($N252=[1]CURSOS!$D$22,[1]CURSOS!$E$22,(+IF($N252=[1]CURSOS!$D$23,[1]CURSOS!$E$23,(+IF($N252=[1]CURSOS!$D$24,[1]CURSOS!$E$24,(+IF($N252=[1]CURSOS!$D$25,[1]CURSOS!$E$25,(+IF($N252=[1]CURSOS!$D$26,[1]CURSOS!$E$26,(+IF($N252=[1]CURSOS!$D$27,[1]CURSOS!$E$27,(+IF($N252=[1]CURSOS!$D$28,[1]CURSOS!$E$28,(+IF($N252=[1]CURSOS!$D$29,[1]CURSOS!$E$29,(+IF($N252=[1]CURSOS!$D$30,[1]CURSOS!$E$30,(+IF($N252=[1]CURSOS!$D$31,[1]CURSOS!$E$31,(+IF($N252=[1]CURSOS!$D$32,[1]CURSOS!$E$32)))))))))))))))))))))))))))))))))))))))))))))))))))))))))))</f>
        <v>ACOMPAÑAMIENTO Y MANEJO DEL DUELO</v>
      </c>
      <c r="U252" s="51" t="str">
        <f t="shared" si="147"/>
        <v>Geraldine  Solarte  Montenegro</v>
      </c>
      <c r="V252" s="51" t="str">
        <f t="shared" si="148"/>
        <v>Geraldine  Solarte  Montenegro</v>
      </c>
      <c r="W252" s="51" t="str">
        <f t="shared" si="149"/>
        <v>Geraldine  Solarte  Montenegro-1010084437-DUELO</v>
      </c>
    </row>
    <row r="253" spans="1:23" s="73" customFormat="1" x14ac:dyDescent="0.2">
      <c r="A253" s="20">
        <v>252</v>
      </c>
      <c r="B253" s="20">
        <v>1010084437</v>
      </c>
      <c r="C253" s="20" t="s">
        <v>446</v>
      </c>
      <c r="D253" s="20" t="s">
        <v>603</v>
      </c>
      <c r="E253" s="20" t="s">
        <v>604</v>
      </c>
      <c r="F253" s="20"/>
      <c r="G253" s="19">
        <v>25</v>
      </c>
      <c r="H253" s="19" t="s">
        <v>99</v>
      </c>
      <c r="I253" s="25" t="s">
        <v>696</v>
      </c>
      <c r="J253" s="88" t="s">
        <v>693</v>
      </c>
      <c r="K253" s="19" t="s">
        <v>693</v>
      </c>
      <c r="L253" s="19" t="s">
        <v>322</v>
      </c>
      <c r="M253" s="19" t="s">
        <v>537</v>
      </c>
      <c r="N253" s="21" t="s">
        <v>46</v>
      </c>
      <c r="O253" s="72">
        <v>36430</v>
      </c>
      <c r="P253" s="20" t="s">
        <v>78</v>
      </c>
      <c r="Q253" s="20" t="s">
        <v>160</v>
      </c>
      <c r="R253" s="20">
        <v>3164557682</v>
      </c>
      <c r="S253" s="20" t="s">
        <v>605</v>
      </c>
      <c r="T253" s="51" t="str">
        <f>+IF($N253=[1]CURSOS!$D$3,[1]CURSOS!$E$3,(+IF($N253=[1]CURSOS!$D$4,[1]CURSOS!$E$4,(+IF($N253=[1]CURSOS!$D$5,[1]CURSOS!$E$5,(+IF($N253=[1]CURSOS!$D$6,[1]CURSOS!$E$6,(+IF($N253=[1]CURSOS!$D$7,[1]CURSOS!$E$7,(+IF($N253=[1]CURSOS!$D$8,[1]CURSOS!$E$8,(+IF($N253=[1]CURSOS!$D$9,[1]CURSOS!$E$9,(+IF($N253=[1]CURSOS!$D$10,[1]CURSOS!$E$10,(+IF($N253=[1]CURSOS!$D$11,[1]CURSOS!$E$11,(+IF($N253=[1]CURSOS!$D$12,[1]CURSOS!$E$12,(+IF($N253=[1]CURSOS!$D$13,[1]CURSOS!$E$13,(+IF($N253=[1]CURSOS!$D$14,[1]CURSOS!$E$14,(+IF($N253=[1]CURSOS!$D$15,[1]CURSOS!$E$15,(+IF($N253=[1]CURSOS!$D$16,[1]CURSOS!$E$16,(+IF($N253=[1]CURSOS!$D$17,[1]CURSOS!$E$17,(+IF($N253=[1]CURSOS!$D$18,[1]CURSOS!$E$18,(+IF($N253=[1]CURSOS!$D$19,[1]CURSOS!$E$19,(+IF($N253=[1]CURSOS!$D$20,[1]CURSOS!$E$20,(+IF($N253=[1]CURSOS!$D$21,[1]CURSOS!$E$21,(+IF($N253=[1]CURSOS!$D$22,[1]CURSOS!$E$22,(+IF($N253=[1]CURSOS!$D$23,[1]CURSOS!$E$23,(+IF($N253=[1]CURSOS!$D$24,[1]CURSOS!$E$24,(+IF($N253=[1]CURSOS!$D$25,[1]CURSOS!$E$25,(+IF($N253=[1]CURSOS!$D$26,[1]CURSOS!$E$26,(+IF($N253=[1]CURSOS!$D$27,[1]CURSOS!$E$27,(+IF($N253=[1]CURSOS!$D$28,[1]CURSOS!$E$28,(+IF($N253=[1]CURSOS!$D$29,[1]CURSOS!$E$29,(+IF($N253=[1]CURSOS!$D$30,[1]CURSOS!$E$30,(+IF($N253=[1]CURSOS!$D$31,[1]CURSOS!$E$31,(+IF($N253=[1]CURSOS!$D$32,[1]CURSOS!$E$32)))))))))))))))))))))))))))))))))))))))))))))))))))))))))))</f>
        <v xml:space="preserve">ATENCION A VICTIMAS DE VIOLENCIA SEXUAL </v>
      </c>
      <c r="U253" s="51" t="str">
        <f t="shared" si="147"/>
        <v>Geraldine  Solarte  Montenegro</v>
      </c>
      <c r="V253" s="51" t="str">
        <f t="shared" si="148"/>
        <v>Geraldine  Solarte  Montenegro</v>
      </c>
      <c r="W253" s="51" t="str">
        <f t="shared" si="149"/>
        <v>Geraldine  Solarte  Montenegro-1010084437-VIOLENCIA SEXUAL</v>
      </c>
    </row>
    <row r="254" spans="1:23" s="73" customFormat="1" x14ac:dyDescent="0.2">
      <c r="A254" s="20">
        <v>253</v>
      </c>
      <c r="B254" s="20">
        <v>1131085776</v>
      </c>
      <c r="C254" s="20" t="s">
        <v>606</v>
      </c>
      <c r="D254" s="20" t="s">
        <v>442</v>
      </c>
      <c r="E254" s="20" t="s">
        <v>607</v>
      </c>
      <c r="F254" s="20" t="s">
        <v>608</v>
      </c>
      <c r="G254" s="19">
        <v>10</v>
      </c>
      <c r="H254" s="19" t="s">
        <v>99</v>
      </c>
      <c r="I254" s="25">
        <v>45392</v>
      </c>
      <c r="J254" s="98">
        <v>50000</v>
      </c>
      <c r="K254" s="19" t="s">
        <v>189</v>
      </c>
      <c r="L254" s="19" t="s">
        <v>322</v>
      </c>
      <c r="M254" s="19" t="s">
        <v>537</v>
      </c>
      <c r="N254" s="21" t="s">
        <v>19</v>
      </c>
      <c r="O254" s="72">
        <v>36162</v>
      </c>
      <c r="P254" s="20" t="s">
        <v>78</v>
      </c>
      <c r="Q254" s="20"/>
      <c r="R254" s="20">
        <v>3218825885</v>
      </c>
      <c r="S254" s="20" t="s">
        <v>609</v>
      </c>
      <c r="T254" s="51" t="str">
        <f>+IF($N254=[1]CURSOS!$D$3,[1]CURSOS!$E$3,(+IF($N254=[1]CURSOS!$D$4,[1]CURSOS!$E$4,(+IF($N254=[1]CURSOS!$D$5,[1]CURSOS!$E$5,(+IF($N254=[1]CURSOS!$D$6,[1]CURSOS!$E$6,(+IF($N254=[1]CURSOS!$D$7,[1]CURSOS!$E$7,(+IF($N254=[1]CURSOS!$D$8,[1]CURSOS!$E$8,(+IF($N254=[1]CURSOS!$D$9,[1]CURSOS!$E$9,(+IF($N254=[1]CURSOS!$D$10,[1]CURSOS!$E$10,(+IF($N254=[1]CURSOS!$D$11,[1]CURSOS!$E$11,(+IF($N254=[1]CURSOS!$D$12,[1]CURSOS!$E$12,(+IF($N254=[1]CURSOS!$D$13,[1]CURSOS!$E$13,(+IF($N254=[1]CURSOS!$D$14,[1]CURSOS!$E$14,(+IF($N254=[1]CURSOS!$D$15,[1]CURSOS!$E$15,(+IF($N254=[1]CURSOS!$D$16,[1]CURSOS!$E$16,(+IF($N254=[1]CURSOS!$D$17,[1]CURSOS!$E$17,(+IF($N254=[1]CURSOS!$D$18,[1]CURSOS!$E$18,(+IF($N254=[1]CURSOS!$D$19,[1]CURSOS!$E$19,(+IF($N254=[1]CURSOS!$D$20,[1]CURSOS!$E$20,(+IF($N254=[1]CURSOS!$D$21,[1]CURSOS!$E$21,(+IF($N254=[1]CURSOS!$D$22,[1]CURSOS!$E$22,(+IF($N254=[1]CURSOS!$D$23,[1]CURSOS!$E$23,(+IF($N254=[1]CURSOS!$D$24,[1]CURSOS!$E$24,(+IF($N254=[1]CURSOS!$D$25,[1]CURSOS!$E$25,(+IF($N254=[1]CURSOS!$D$26,[1]CURSOS!$E$26,(+IF($N254=[1]CURSOS!$D$27,[1]CURSOS!$E$27,(+IF($N254=[1]CURSOS!$D$28,[1]CURSOS!$E$28,(+IF($N254=[1]CURSOS!$D$29,[1]CURSOS!$E$29,(+IF($N254=[1]CURSOS!$D$30,[1]CURSOS!$E$30,(+IF($N254=[1]CURSOS!$D$31,[1]CURSOS!$E$31,(+IF($N254=[1]CURSOS!$D$32,[1]CURSOS!$E$32)))))))))))))))))))))))))))))))))))))))))))))))))))))))))))</f>
        <v>SOPORTE VITAL BASICO (BLS)</v>
      </c>
      <c r="U254" s="51" t="str">
        <f t="shared" si="147"/>
        <v>Thania Jharledy Mejía Córdoba</v>
      </c>
      <c r="V254" s="51" t="str">
        <f t="shared" si="148"/>
        <v>Thania Jharledy Mejía Córdoba</v>
      </c>
      <c r="W254" s="51" t="str">
        <f t="shared" si="149"/>
        <v>Thania Jharledy Mejía Córdoba-1131085776-BLS</v>
      </c>
    </row>
    <row r="255" spans="1:23" s="73" customFormat="1" x14ac:dyDescent="0.2">
      <c r="A255" s="20">
        <v>254</v>
      </c>
      <c r="B255" s="20">
        <v>1006849055</v>
      </c>
      <c r="C255" s="20" t="s">
        <v>610</v>
      </c>
      <c r="D255" s="20" t="s">
        <v>611</v>
      </c>
      <c r="E255" s="20" t="s">
        <v>612</v>
      </c>
      <c r="F255" s="20" t="s">
        <v>613</v>
      </c>
      <c r="G255" s="19">
        <v>10</v>
      </c>
      <c r="H255" s="19" t="s">
        <v>99</v>
      </c>
      <c r="I255" s="25">
        <v>45392</v>
      </c>
      <c r="J255" s="98">
        <v>50000</v>
      </c>
      <c r="K255" s="19" t="s">
        <v>189</v>
      </c>
      <c r="L255" s="19" t="s">
        <v>322</v>
      </c>
      <c r="M255" s="19" t="s">
        <v>537</v>
      </c>
      <c r="N255" s="21" t="s">
        <v>19</v>
      </c>
      <c r="O255" s="72">
        <v>34008</v>
      </c>
      <c r="P255" s="20" t="s">
        <v>78</v>
      </c>
      <c r="Q255" s="20"/>
      <c r="R255" s="20">
        <v>3105962836</v>
      </c>
      <c r="S255" s="20" t="s">
        <v>614</v>
      </c>
      <c r="T255" s="51" t="str">
        <f>+IF($N255=[1]CURSOS!$D$3,[1]CURSOS!$E$3,(+IF($N255=[1]CURSOS!$D$4,[1]CURSOS!$E$4,(+IF($N255=[1]CURSOS!$D$5,[1]CURSOS!$E$5,(+IF($N255=[1]CURSOS!$D$6,[1]CURSOS!$E$6,(+IF($N255=[1]CURSOS!$D$7,[1]CURSOS!$E$7,(+IF($N255=[1]CURSOS!$D$8,[1]CURSOS!$E$8,(+IF($N255=[1]CURSOS!$D$9,[1]CURSOS!$E$9,(+IF($N255=[1]CURSOS!$D$10,[1]CURSOS!$E$10,(+IF($N255=[1]CURSOS!$D$11,[1]CURSOS!$E$11,(+IF($N255=[1]CURSOS!$D$12,[1]CURSOS!$E$12,(+IF($N255=[1]CURSOS!$D$13,[1]CURSOS!$E$13,(+IF($N255=[1]CURSOS!$D$14,[1]CURSOS!$E$14,(+IF($N255=[1]CURSOS!$D$15,[1]CURSOS!$E$15,(+IF($N255=[1]CURSOS!$D$16,[1]CURSOS!$E$16,(+IF($N255=[1]CURSOS!$D$17,[1]CURSOS!$E$17,(+IF($N255=[1]CURSOS!$D$18,[1]CURSOS!$E$18,(+IF($N255=[1]CURSOS!$D$19,[1]CURSOS!$E$19,(+IF($N255=[1]CURSOS!$D$20,[1]CURSOS!$E$20,(+IF($N255=[1]CURSOS!$D$21,[1]CURSOS!$E$21,(+IF($N255=[1]CURSOS!$D$22,[1]CURSOS!$E$22,(+IF($N255=[1]CURSOS!$D$23,[1]CURSOS!$E$23,(+IF($N255=[1]CURSOS!$D$24,[1]CURSOS!$E$24,(+IF($N255=[1]CURSOS!$D$25,[1]CURSOS!$E$25,(+IF($N255=[1]CURSOS!$D$26,[1]CURSOS!$E$26,(+IF($N255=[1]CURSOS!$D$27,[1]CURSOS!$E$27,(+IF($N255=[1]CURSOS!$D$28,[1]CURSOS!$E$28,(+IF($N255=[1]CURSOS!$D$29,[1]CURSOS!$E$29,(+IF($N255=[1]CURSOS!$D$30,[1]CURSOS!$E$30,(+IF($N255=[1]CURSOS!$D$31,[1]CURSOS!$E$31,(+IF($N255=[1]CURSOS!$D$32,[1]CURSOS!$E$32)))))))))))))))))))))))))))))))))))))))))))))))))))))))))))</f>
        <v>SOPORTE VITAL BASICO (BLS)</v>
      </c>
      <c r="U255" s="51" t="str">
        <f t="shared" ref="U255:U257" si="150">CONCATENATE(E255," ",F255," ",C255," ",D255)</f>
        <v>Nilsa Albany Rojas Cruz</v>
      </c>
      <c r="V255" s="51" t="str">
        <f t="shared" ref="V255:V257" si="151">+PROPER(U255)</f>
        <v>Nilsa Albany Rojas Cruz</v>
      </c>
      <c r="W255" s="51" t="str">
        <f t="shared" ref="W255:W257" si="152">CONCATENATE(U255,"-",B255,"-",N255)</f>
        <v>Nilsa Albany Rojas Cruz-1006849055-BLS</v>
      </c>
    </row>
    <row r="256" spans="1:23" s="73" customFormat="1" x14ac:dyDescent="0.2">
      <c r="A256" s="20">
        <v>255</v>
      </c>
      <c r="B256" s="20">
        <v>59687279</v>
      </c>
      <c r="C256" s="20" t="s">
        <v>616</v>
      </c>
      <c r="D256" s="20" t="s">
        <v>210</v>
      </c>
      <c r="E256" s="20" t="s">
        <v>546</v>
      </c>
      <c r="F256" s="20" t="s">
        <v>617</v>
      </c>
      <c r="G256" s="19">
        <v>25</v>
      </c>
      <c r="H256" s="19" t="s">
        <v>99</v>
      </c>
      <c r="I256" s="25">
        <v>45407</v>
      </c>
      <c r="J256" s="98">
        <v>35000</v>
      </c>
      <c r="K256" s="116" t="s">
        <v>82</v>
      </c>
      <c r="L256" s="19" t="s">
        <v>322</v>
      </c>
      <c r="M256" s="19" t="s">
        <v>100</v>
      </c>
      <c r="N256" s="21" t="s">
        <v>46</v>
      </c>
      <c r="O256" s="72">
        <v>31109</v>
      </c>
      <c r="P256" s="20" t="s">
        <v>78</v>
      </c>
      <c r="Q256" s="20" t="s">
        <v>160</v>
      </c>
      <c r="R256" s="20">
        <v>3012729593</v>
      </c>
      <c r="S256" s="20" t="s">
        <v>618</v>
      </c>
      <c r="T256" s="51" t="str">
        <f>+IF($N256=[1]CURSOS!$D$3,[1]CURSOS!$E$3,(+IF($N256=[1]CURSOS!$D$4,[1]CURSOS!$E$4,(+IF($N256=[1]CURSOS!$D$5,[1]CURSOS!$E$5,(+IF($N256=[1]CURSOS!$D$6,[1]CURSOS!$E$6,(+IF($N256=[1]CURSOS!$D$7,[1]CURSOS!$E$7,(+IF($N256=[1]CURSOS!$D$8,[1]CURSOS!$E$8,(+IF($N256=[1]CURSOS!$D$9,[1]CURSOS!$E$9,(+IF($N256=[1]CURSOS!$D$10,[1]CURSOS!$E$10,(+IF($N256=[1]CURSOS!$D$11,[1]CURSOS!$E$11,(+IF($N256=[1]CURSOS!$D$12,[1]CURSOS!$E$12,(+IF($N256=[1]CURSOS!$D$13,[1]CURSOS!$E$13,(+IF($N256=[1]CURSOS!$D$14,[1]CURSOS!$E$14,(+IF($N256=[1]CURSOS!$D$15,[1]CURSOS!$E$15,(+IF($N256=[1]CURSOS!$D$16,[1]CURSOS!$E$16,(+IF($N256=[1]CURSOS!$D$17,[1]CURSOS!$E$17,(+IF($N256=[1]CURSOS!$D$18,[1]CURSOS!$E$18,(+IF($N256=[1]CURSOS!$D$19,[1]CURSOS!$E$19,(+IF($N256=[1]CURSOS!$D$20,[1]CURSOS!$E$20,(+IF($N256=[1]CURSOS!$D$21,[1]CURSOS!$E$21,(+IF($N256=[1]CURSOS!$D$22,[1]CURSOS!$E$22,(+IF($N256=[1]CURSOS!$D$23,[1]CURSOS!$E$23,(+IF($N256=[1]CURSOS!$D$24,[1]CURSOS!$E$24,(+IF($N256=[1]CURSOS!$D$25,[1]CURSOS!$E$25,(+IF($N256=[1]CURSOS!$D$26,[1]CURSOS!$E$26,(+IF($N256=[1]CURSOS!$D$27,[1]CURSOS!$E$27,(+IF($N256=[1]CURSOS!$D$28,[1]CURSOS!$E$28,(+IF($N256=[1]CURSOS!$D$29,[1]CURSOS!$E$29,(+IF($N256=[1]CURSOS!$D$30,[1]CURSOS!$E$30,(+IF($N256=[1]CURSOS!$D$31,[1]CURSOS!$E$31,(+IF($N256=[1]CURSOS!$D$32,[1]CURSOS!$E$32)))))))))))))))))))))))))))))))))))))))))))))))))))))))))))</f>
        <v xml:space="preserve">ATENCION A VICTIMAS DE VIOLENCIA SEXUAL </v>
      </c>
      <c r="U256" s="51" t="str">
        <f t="shared" si="150"/>
        <v>Leidy Maricela Valencia Ordóñez</v>
      </c>
      <c r="V256" s="51" t="str">
        <f t="shared" si="151"/>
        <v>Leidy Maricela Valencia Ordóñez</v>
      </c>
      <c r="W256" s="51" t="str">
        <f t="shared" si="152"/>
        <v>Leidy Maricela Valencia Ordóñez-59687279-VIOLENCIA SEXUAL</v>
      </c>
    </row>
    <row r="257" spans="1:23" s="73" customFormat="1" x14ac:dyDescent="0.2">
      <c r="A257" s="20">
        <v>256</v>
      </c>
      <c r="B257" s="20">
        <v>59687279</v>
      </c>
      <c r="C257" s="20" t="s">
        <v>616</v>
      </c>
      <c r="D257" s="20" t="s">
        <v>210</v>
      </c>
      <c r="E257" s="20" t="s">
        <v>546</v>
      </c>
      <c r="F257" s="20" t="s">
        <v>617</v>
      </c>
      <c r="G257" s="19">
        <v>25</v>
      </c>
      <c r="H257" s="19" t="s">
        <v>99</v>
      </c>
      <c r="I257" s="25">
        <v>45407</v>
      </c>
      <c r="J257" s="98">
        <v>35000</v>
      </c>
      <c r="K257" s="116" t="s">
        <v>82</v>
      </c>
      <c r="L257" s="19" t="s">
        <v>322</v>
      </c>
      <c r="M257" s="19" t="s">
        <v>100</v>
      </c>
      <c r="N257" s="21" t="s">
        <v>19</v>
      </c>
      <c r="O257" s="72">
        <v>31109</v>
      </c>
      <c r="P257" s="20" t="s">
        <v>78</v>
      </c>
      <c r="Q257" s="20" t="s">
        <v>160</v>
      </c>
      <c r="R257" s="20">
        <v>3012729593</v>
      </c>
      <c r="S257" s="20" t="s">
        <v>618</v>
      </c>
      <c r="T257" s="51" t="str">
        <f>+IF($N257=[1]CURSOS!$D$3,[1]CURSOS!$E$3,(+IF($N257=[1]CURSOS!$D$4,[1]CURSOS!$E$4,(+IF($N257=[1]CURSOS!$D$5,[1]CURSOS!$E$5,(+IF($N257=[1]CURSOS!$D$6,[1]CURSOS!$E$6,(+IF($N257=[1]CURSOS!$D$7,[1]CURSOS!$E$7,(+IF($N257=[1]CURSOS!$D$8,[1]CURSOS!$E$8,(+IF($N257=[1]CURSOS!$D$9,[1]CURSOS!$E$9,(+IF($N257=[1]CURSOS!$D$10,[1]CURSOS!$E$10,(+IF($N257=[1]CURSOS!$D$11,[1]CURSOS!$E$11,(+IF($N257=[1]CURSOS!$D$12,[1]CURSOS!$E$12,(+IF($N257=[1]CURSOS!$D$13,[1]CURSOS!$E$13,(+IF($N257=[1]CURSOS!$D$14,[1]CURSOS!$E$14,(+IF($N257=[1]CURSOS!$D$15,[1]CURSOS!$E$15,(+IF($N257=[1]CURSOS!$D$16,[1]CURSOS!$E$16,(+IF($N257=[1]CURSOS!$D$17,[1]CURSOS!$E$17,(+IF($N257=[1]CURSOS!$D$18,[1]CURSOS!$E$18,(+IF($N257=[1]CURSOS!$D$19,[1]CURSOS!$E$19,(+IF($N257=[1]CURSOS!$D$20,[1]CURSOS!$E$20,(+IF($N257=[1]CURSOS!$D$21,[1]CURSOS!$E$21,(+IF($N257=[1]CURSOS!$D$22,[1]CURSOS!$E$22,(+IF($N257=[1]CURSOS!$D$23,[1]CURSOS!$E$23,(+IF($N257=[1]CURSOS!$D$24,[1]CURSOS!$E$24,(+IF($N257=[1]CURSOS!$D$25,[1]CURSOS!$E$25,(+IF($N257=[1]CURSOS!$D$26,[1]CURSOS!$E$26,(+IF($N257=[1]CURSOS!$D$27,[1]CURSOS!$E$27,(+IF($N257=[1]CURSOS!$D$28,[1]CURSOS!$E$28,(+IF($N257=[1]CURSOS!$D$29,[1]CURSOS!$E$29,(+IF($N257=[1]CURSOS!$D$30,[1]CURSOS!$E$30,(+IF($N257=[1]CURSOS!$D$31,[1]CURSOS!$E$31,(+IF($N257=[1]CURSOS!$D$32,[1]CURSOS!$E$32)))))))))))))))))))))))))))))))))))))))))))))))))))))))))))</f>
        <v>SOPORTE VITAL BASICO (BLS)</v>
      </c>
      <c r="U257" s="51" t="str">
        <f t="shared" si="150"/>
        <v>Leidy Maricela Valencia Ordóñez</v>
      </c>
      <c r="V257" s="51" t="str">
        <f t="shared" si="151"/>
        <v>Leidy Maricela Valencia Ordóñez</v>
      </c>
      <c r="W257" s="51" t="str">
        <f t="shared" si="152"/>
        <v>Leidy Maricela Valencia Ordóñez-59687279-BLS</v>
      </c>
    </row>
    <row r="258" spans="1:23" s="80" customFormat="1" x14ac:dyDescent="0.2">
      <c r="A258" s="78">
        <v>257</v>
      </c>
      <c r="B258" s="78">
        <v>27087131</v>
      </c>
      <c r="C258" s="78" t="s">
        <v>620</v>
      </c>
      <c r="D258" s="78" t="s">
        <v>182</v>
      </c>
      <c r="E258" s="78" t="s">
        <v>583</v>
      </c>
      <c r="F258" s="78" t="s">
        <v>619</v>
      </c>
      <c r="G258" s="42">
        <v>25</v>
      </c>
      <c r="H258" s="42" t="s">
        <v>99</v>
      </c>
      <c r="I258" s="44">
        <v>45418</v>
      </c>
      <c r="J258" s="118">
        <v>40000</v>
      </c>
      <c r="K258" s="120" t="s">
        <v>82</v>
      </c>
      <c r="L258" s="42" t="s">
        <v>322</v>
      </c>
      <c r="M258" s="42" t="s">
        <v>77</v>
      </c>
      <c r="N258" s="43" t="s">
        <v>19</v>
      </c>
      <c r="O258" s="79">
        <v>28493</v>
      </c>
      <c r="P258" s="78" t="s">
        <v>78</v>
      </c>
      <c r="Q258" s="78" t="s">
        <v>160</v>
      </c>
      <c r="R258" s="78">
        <v>3136976514</v>
      </c>
      <c r="S258" s="78" t="s">
        <v>621</v>
      </c>
      <c r="T258" s="52" t="str">
        <f>+IF($N258=[1]CURSOS!$D$3,[1]CURSOS!$E$3,(+IF($N258=[1]CURSOS!$D$4,[1]CURSOS!$E$4,(+IF($N258=[1]CURSOS!$D$5,[1]CURSOS!$E$5,(+IF($N258=[1]CURSOS!$D$6,[1]CURSOS!$E$6,(+IF($N258=[1]CURSOS!$D$7,[1]CURSOS!$E$7,(+IF($N258=[1]CURSOS!$D$8,[1]CURSOS!$E$8,(+IF($N258=[1]CURSOS!$D$9,[1]CURSOS!$E$9,(+IF($N258=[1]CURSOS!$D$10,[1]CURSOS!$E$10,(+IF($N258=[1]CURSOS!$D$11,[1]CURSOS!$E$11,(+IF($N258=[1]CURSOS!$D$12,[1]CURSOS!$E$12,(+IF($N258=[1]CURSOS!$D$13,[1]CURSOS!$E$13,(+IF($N258=[1]CURSOS!$D$14,[1]CURSOS!$E$14,(+IF($N258=[1]CURSOS!$D$15,[1]CURSOS!$E$15,(+IF($N258=[1]CURSOS!$D$16,[1]CURSOS!$E$16,(+IF($N258=[1]CURSOS!$D$17,[1]CURSOS!$E$17,(+IF($N258=[1]CURSOS!$D$18,[1]CURSOS!$E$18,(+IF($N258=[1]CURSOS!$D$19,[1]CURSOS!$E$19,(+IF($N258=[1]CURSOS!$D$20,[1]CURSOS!$E$20,(+IF($N258=[1]CURSOS!$D$21,[1]CURSOS!$E$21,(+IF($N258=[1]CURSOS!$D$22,[1]CURSOS!$E$22,(+IF($N258=[1]CURSOS!$D$23,[1]CURSOS!$E$23,(+IF($N258=[1]CURSOS!$D$24,[1]CURSOS!$E$24,(+IF($N258=[1]CURSOS!$D$25,[1]CURSOS!$E$25,(+IF($N258=[1]CURSOS!$D$26,[1]CURSOS!$E$26,(+IF($N258=[1]CURSOS!$D$27,[1]CURSOS!$E$27,(+IF($N258=[1]CURSOS!$D$28,[1]CURSOS!$E$28,(+IF($N258=[1]CURSOS!$D$29,[1]CURSOS!$E$29,(+IF($N258=[1]CURSOS!$D$30,[1]CURSOS!$E$30,(+IF($N258=[1]CURSOS!$D$31,[1]CURSOS!$E$31,(+IF($N258=[1]CURSOS!$D$32,[1]CURSOS!$E$32)))))))))))))))))))))))))))))))))))))))))))))))))))))))))))</f>
        <v>SOPORTE VITAL BASICO (BLS)</v>
      </c>
      <c r="U258" s="52" t="str">
        <f t="shared" ref="U258:U259" si="153">CONCATENATE(E258," ",F258," ",C258," ",D258)</f>
        <v>Sonia Yanet Enríquez Guerrero</v>
      </c>
      <c r="V258" s="52" t="str">
        <f t="shared" ref="V258:V259" si="154">+PROPER(U258)</f>
        <v>Sonia Yanet Enríquez Guerrero</v>
      </c>
      <c r="W258" s="52" t="str">
        <f t="shared" ref="W258:W259" si="155">CONCATENATE(U258,"-",B258,"-",N258)</f>
        <v>Sonia Yanet Enríquez Guerrero-27087131-BLS</v>
      </c>
    </row>
    <row r="259" spans="1:23" s="73" customFormat="1" x14ac:dyDescent="0.2">
      <c r="A259" s="20">
        <v>258</v>
      </c>
      <c r="B259" s="20">
        <v>1004624584</v>
      </c>
      <c r="C259" s="20" t="s">
        <v>622</v>
      </c>
      <c r="D259" s="20" t="s">
        <v>623</v>
      </c>
      <c r="E259" s="20" t="s">
        <v>624</v>
      </c>
      <c r="F259" s="20" t="s">
        <v>625</v>
      </c>
      <c r="G259" s="19">
        <v>25</v>
      </c>
      <c r="H259" s="19" t="s">
        <v>99</v>
      </c>
      <c r="I259" s="25">
        <v>45407</v>
      </c>
      <c r="J259" s="98">
        <v>100000</v>
      </c>
      <c r="K259" s="116" t="s">
        <v>82</v>
      </c>
      <c r="L259" s="19" t="s">
        <v>322</v>
      </c>
      <c r="M259" s="19" t="s">
        <v>173</v>
      </c>
      <c r="N259" s="21" t="s">
        <v>29</v>
      </c>
      <c r="O259" s="72">
        <v>37050</v>
      </c>
      <c r="P259" s="20" t="s">
        <v>88</v>
      </c>
      <c r="Q259" s="20"/>
      <c r="R259" s="20"/>
      <c r="S259" s="20"/>
      <c r="T259" s="51" t="str">
        <f>+IF($N259=[1]CURSOS!$D$3,[1]CURSOS!$E$3,(+IF($N259=[1]CURSOS!$D$4,[1]CURSOS!$E$4,(+IF($N259=[1]CURSOS!$D$5,[1]CURSOS!$E$5,(+IF($N259=[1]CURSOS!$D$6,[1]CURSOS!$E$6,(+IF($N259=[1]CURSOS!$D$7,[1]CURSOS!$E$7,(+IF($N259=[1]CURSOS!$D$8,[1]CURSOS!$E$8,(+IF($N259=[1]CURSOS!$D$9,[1]CURSOS!$E$9,(+IF($N259=[1]CURSOS!$D$10,[1]CURSOS!$E$10,(+IF($N259=[1]CURSOS!$D$11,[1]CURSOS!$E$11,(+IF($N259=[1]CURSOS!$D$12,[1]CURSOS!$E$12,(+IF($N259=[1]CURSOS!$D$13,[1]CURSOS!$E$13,(+IF($N259=[1]CURSOS!$D$14,[1]CURSOS!$E$14,(+IF($N259=[1]CURSOS!$D$15,[1]CURSOS!$E$15,(+IF($N259=[1]CURSOS!$D$16,[1]CURSOS!$E$16,(+IF($N259=[1]CURSOS!$D$17,[1]CURSOS!$E$17,(+IF($N259=[1]CURSOS!$D$18,[1]CURSOS!$E$18,(+IF($N259=[1]CURSOS!$D$19,[1]CURSOS!$E$19,(+IF($N259=[1]CURSOS!$D$20,[1]CURSOS!$E$20,(+IF($N259=[1]CURSOS!$D$21,[1]CURSOS!$E$21,(+IF($N259=[1]CURSOS!$D$22,[1]CURSOS!$E$22,(+IF($N259=[1]CURSOS!$D$23,[1]CURSOS!$E$23,(+IF($N259=[1]CURSOS!$D$24,[1]CURSOS!$E$24,(+IF($N259=[1]CURSOS!$D$25,[1]CURSOS!$E$25,(+IF($N259=[1]CURSOS!$D$26,[1]CURSOS!$E$26,(+IF($N259=[1]CURSOS!$D$27,[1]CURSOS!$E$27,(+IF($N259=[1]CURSOS!$D$28,[1]CURSOS!$E$28,(+IF($N259=[1]CURSOS!$D$29,[1]CURSOS!$E$29,(+IF($N259=[1]CURSOS!$D$30,[1]CURSOS!$E$30,(+IF($N259=[1]CURSOS!$D$31,[1]CURSOS!$E$31,(+IF($N259=[1]CURSOS!$D$32,[1]CURSOS!$E$32)))))))))))))))))))))))))))))))))))))))))))))))))))))))))))</f>
        <v>DIPLOMADO DE UNIDAD DE CUIDADOS INTENSIVOS (UCI)</v>
      </c>
      <c r="U259" s="51" t="str">
        <f t="shared" si="153"/>
        <v>Brayan Stewen Pacuasa Gelpud</v>
      </c>
      <c r="V259" s="51" t="str">
        <f t="shared" si="154"/>
        <v>Brayan Stewen Pacuasa Gelpud</v>
      </c>
      <c r="W259" s="51" t="str">
        <f t="shared" si="155"/>
        <v>Brayan Stewen Pacuasa Gelpud-1004624584-UCI</v>
      </c>
    </row>
    <row r="260" spans="1:23" s="73" customFormat="1" x14ac:dyDescent="0.2">
      <c r="A260" s="20">
        <v>259</v>
      </c>
      <c r="B260" s="20">
        <v>27126290</v>
      </c>
      <c r="C260" s="20" t="s">
        <v>626</v>
      </c>
      <c r="D260" s="20" t="s">
        <v>163</v>
      </c>
      <c r="E260" s="20" t="s">
        <v>524</v>
      </c>
      <c r="F260" s="20" t="s">
        <v>627</v>
      </c>
      <c r="G260" s="19">
        <v>25</v>
      </c>
      <c r="H260" s="19" t="s">
        <v>99</v>
      </c>
      <c r="I260" s="25" t="s">
        <v>572</v>
      </c>
      <c r="J260" s="88" t="s">
        <v>572</v>
      </c>
      <c r="K260" s="19" t="s">
        <v>572</v>
      </c>
      <c r="L260" s="19" t="s">
        <v>322</v>
      </c>
      <c r="M260" s="19" t="s">
        <v>100</v>
      </c>
      <c r="N260" s="21" t="s">
        <v>39</v>
      </c>
      <c r="O260" s="72"/>
      <c r="P260" s="20" t="s">
        <v>78</v>
      </c>
      <c r="Q260" s="20"/>
      <c r="R260" s="20"/>
      <c r="S260" s="20"/>
      <c r="T260" s="51" t="str">
        <f>+IF($N260=[1]CURSOS!$D$3,[1]CURSOS!$E$3,(+IF($N260=[1]CURSOS!$D$4,[1]CURSOS!$E$4,(+IF($N260=[1]CURSOS!$D$5,[1]CURSOS!$E$5,(+IF($N260=[1]CURSOS!$D$6,[1]CURSOS!$E$6,(+IF($N260=[1]CURSOS!$D$7,[1]CURSOS!$E$7,(+IF($N260=[1]CURSOS!$D$8,[1]CURSOS!$E$8,(+IF($N260=[1]CURSOS!$D$9,[1]CURSOS!$E$9,(+IF($N260=[1]CURSOS!$D$10,[1]CURSOS!$E$10,(+IF($N260=[1]CURSOS!$D$11,[1]CURSOS!$E$11,(+IF($N260=[1]CURSOS!$D$12,[1]CURSOS!$E$12,(+IF($N260=[1]CURSOS!$D$13,[1]CURSOS!$E$13,(+IF($N260=[1]CURSOS!$D$14,[1]CURSOS!$E$14,(+IF($N260=[1]CURSOS!$D$15,[1]CURSOS!$E$15,(+IF($N260=[1]CURSOS!$D$16,[1]CURSOS!$E$16,(+IF($N260=[1]CURSOS!$D$17,[1]CURSOS!$E$17,(+IF($N260=[1]CURSOS!$D$18,[1]CURSOS!$E$18,(+IF($N260=[1]CURSOS!$D$19,[1]CURSOS!$E$19,(+IF($N260=[1]CURSOS!$D$20,[1]CURSOS!$E$20,(+IF($N260=[1]CURSOS!$D$21,[1]CURSOS!$E$21,(+IF($N260=[1]CURSOS!$D$22,[1]CURSOS!$E$22,(+IF($N260=[1]CURSOS!$D$23,[1]CURSOS!$E$23,(+IF($N260=[1]CURSOS!$D$24,[1]CURSOS!$E$24,(+IF($N260=[1]CURSOS!$D$25,[1]CURSOS!$E$25,(+IF($N260=[1]CURSOS!$D$26,[1]CURSOS!$E$26,(+IF($N260=[1]CURSOS!$D$27,[1]CURSOS!$E$27,(+IF($N260=[1]CURSOS!$D$28,[1]CURSOS!$E$28,(+IF($N260=[1]CURSOS!$D$29,[1]CURSOS!$E$29,(+IF($N260=[1]CURSOS!$D$30,[1]CURSOS!$E$30,(+IF($N260=[1]CURSOS!$D$31,[1]CURSOS!$E$31,(+IF($N260=[1]CURSOS!$D$32,[1]CURSOS!$E$32)))))))))))))))))))))))))))))))))))))))))))))))))))))))))))</f>
        <v xml:space="preserve">SOPORTE CARDIOVASCULAR AVANZADO </v>
      </c>
      <c r="U260" s="51" t="str">
        <f t="shared" ref="U260:U261" si="156">CONCATENATE(E260," ",F260," ",C260," ",D260)</f>
        <v>Rosa Iris Segura Quiñones</v>
      </c>
      <c r="V260" s="51" t="str">
        <f t="shared" ref="V260:V261" si="157">+PROPER(U260)</f>
        <v>Rosa Iris Segura Quiñones</v>
      </c>
      <c r="W260" s="51" t="str">
        <f t="shared" ref="W260:W261" si="158">CONCATENATE(U260,"-",B260,"-",N260)</f>
        <v>Rosa Iris Segura Quiñones-27126290-ACLS</v>
      </c>
    </row>
    <row r="261" spans="1:23" s="73" customFormat="1" x14ac:dyDescent="0.2">
      <c r="A261" s="20">
        <v>260</v>
      </c>
      <c r="B261" s="20">
        <v>27126290</v>
      </c>
      <c r="C261" s="20" t="s">
        <v>626</v>
      </c>
      <c r="D261" s="20" t="s">
        <v>163</v>
      </c>
      <c r="E261" s="20" t="s">
        <v>524</v>
      </c>
      <c r="F261" s="20" t="s">
        <v>627</v>
      </c>
      <c r="G261" s="19">
        <v>25</v>
      </c>
      <c r="H261" s="19" t="s">
        <v>99</v>
      </c>
      <c r="I261" s="25" t="s">
        <v>572</v>
      </c>
      <c r="J261" s="88" t="s">
        <v>572</v>
      </c>
      <c r="K261" s="19" t="s">
        <v>572</v>
      </c>
      <c r="L261" s="19" t="s">
        <v>322</v>
      </c>
      <c r="M261" s="19" t="s">
        <v>100</v>
      </c>
      <c r="N261" s="21" t="s">
        <v>25</v>
      </c>
      <c r="O261" s="72"/>
      <c r="P261" s="20" t="s">
        <v>78</v>
      </c>
      <c r="Q261" s="20"/>
      <c r="R261" s="20"/>
      <c r="S261" s="20"/>
      <c r="T261" s="51" t="str">
        <f>+IF($N261=[1]CURSOS!$D$3,[1]CURSOS!$E$3,(+IF($N261=[1]CURSOS!$D$4,[1]CURSOS!$E$4,(+IF($N261=[1]CURSOS!$D$5,[1]CURSOS!$E$5,(+IF($N261=[1]CURSOS!$D$6,[1]CURSOS!$E$6,(+IF($N261=[1]CURSOS!$D$7,[1]CURSOS!$E$7,(+IF($N261=[1]CURSOS!$D$8,[1]CURSOS!$E$8,(+IF($N261=[1]CURSOS!$D$9,[1]CURSOS!$E$9,(+IF($N261=[1]CURSOS!$D$10,[1]CURSOS!$E$10,(+IF($N261=[1]CURSOS!$D$11,[1]CURSOS!$E$11,(+IF($N261=[1]CURSOS!$D$12,[1]CURSOS!$E$12,(+IF($N261=[1]CURSOS!$D$13,[1]CURSOS!$E$13,(+IF($N261=[1]CURSOS!$D$14,[1]CURSOS!$E$14,(+IF($N261=[1]CURSOS!$D$15,[1]CURSOS!$E$15,(+IF($N261=[1]CURSOS!$D$16,[1]CURSOS!$E$16,(+IF($N261=[1]CURSOS!$D$17,[1]CURSOS!$E$17,(+IF($N261=[1]CURSOS!$D$18,[1]CURSOS!$E$18,(+IF($N261=[1]CURSOS!$D$19,[1]CURSOS!$E$19,(+IF($N261=[1]CURSOS!$D$20,[1]CURSOS!$E$20,(+IF($N261=[1]CURSOS!$D$21,[1]CURSOS!$E$21,(+IF($N261=[1]CURSOS!$D$22,[1]CURSOS!$E$22,(+IF($N261=[1]CURSOS!$D$23,[1]CURSOS!$E$23,(+IF($N261=[1]CURSOS!$D$24,[1]CURSOS!$E$24,(+IF($N261=[1]CURSOS!$D$25,[1]CURSOS!$E$25,(+IF($N261=[1]CURSOS!$D$26,[1]CURSOS!$E$26,(+IF($N261=[1]CURSOS!$D$27,[1]CURSOS!$E$27,(+IF($N261=[1]CURSOS!$D$28,[1]CURSOS!$E$28,(+IF($N261=[1]CURSOS!$D$29,[1]CURSOS!$E$29,(+IF($N261=[1]CURSOS!$D$30,[1]CURSOS!$E$30,(+IF($N261=[1]CURSOS!$D$31,[1]CURSOS!$E$31,(+IF($N261=[1]CURSOS!$D$32,[1]CURSOS!$E$32)))))))))))))))))))))))))))))))))))))))))))))))))))))))))))</f>
        <v xml:space="preserve">ATENCION A VICTIMAS DE ATAQUE CON AGENTES QUIMICOS </v>
      </c>
      <c r="U261" s="51" t="str">
        <f t="shared" si="156"/>
        <v>Rosa Iris Segura Quiñones</v>
      </c>
      <c r="V261" s="51" t="str">
        <f t="shared" si="157"/>
        <v>Rosa Iris Segura Quiñones</v>
      </c>
      <c r="W261" s="51" t="str">
        <f t="shared" si="158"/>
        <v>Rosa Iris Segura Quiñones-27126290-QUIMICOS</v>
      </c>
    </row>
    <row r="262" spans="1:23" s="73" customFormat="1" x14ac:dyDescent="0.2">
      <c r="A262" s="20">
        <v>261</v>
      </c>
      <c r="B262" s="20">
        <v>27126290</v>
      </c>
      <c r="C262" s="20" t="s">
        <v>626</v>
      </c>
      <c r="D262" s="20" t="s">
        <v>163</v>
      </c>
      <c r="E262" s="20" t="s">
        <v>524</v>
      </c>
      <c r="F262" s="20" t="s">
        <v>627</v>
      </c>
      <c r="G262" s="19">
        <v>25</v>
      </c>
      <c r="H262" s="19" t="s">
        <v>99</v>
      </c>
      <c r="I262" s="25" t="s">
        <v>572</v>
      </c>
      <c r="J262" s="88" t="s">
        <v>572</v>
      </c>
      <c r="K262" s="19" t="s">
        <v>572</v>
      </c>
      <c r="L262" s="19" t="s">
        <v>322</v>
      </c>
      <c r="M262" s="19" t="s">
        <v>100</v>
      </c>
      <c r="N262" s="21" t="s">
        <v>46</v>
      </c>
      <c r="O262" s="72"/>
      <c r="P262" s="20" t="s">
        <v>78</v>
      </c>
      <c r="Q262" s="20"/>
      <c r="R262" s="20"/>
      <c r="S262" s="20"/>
      <c r="T262" s="51" t="str">
        <f>+IF($N262=[1]CURSOS!$D$3,[1]CURSOS!$E$3,(+IF($N262=[1]CURSOS!$D$4,[1]CURSOS!$E$4,(+IF($N262=[1]CURSOS!$D$5,[1]CURSOS!$E$5,(+IF($N262=[1]CURSOS!$D$6,[1]CURSOS!$E$6,(+IF($N262=[1]CURSOS!$D$7,[1]CURSOS!$E$7,(+IF($N262=[1]CURSOS!$D$8,[1]CURSOS!$E$8,(+IF($N262=[1]CURSOS!$D$9,[1]CURSOS!$E$9,(+IF($N262=[1]CURSOS!$D$10,[1]CURSOS!$E$10,(+IF($N262=[1]CURSOS!$D$11,[1]CURSOS!$E$11,(+IF($N262=[1]CURSOS!$D$12,[1]CURSOS!$E$12,(+IF($N262=[1]CURSOS!$D$13,[1]CURSOS!$E$13,(+IF($N262=[1]CURSOS!$D$14,[1]CURSOS!$E$14,(+IF($N262=[1]CURSOS!$D$15,[1]CURSOS!$E$15,(+IF($N262=[1]CURSOS!$D$16,[1]CURSOS!$E$16,(+IF($N262=[1]CURSOS!$D$17,[1]CURSOS!$E$17,(+IF($N262=[1]CURSOS!$D$18,[1]CURSOS!$E$18,(+IF($N262=[1]CURSOS!$D$19,[1]CURSOS!$E$19,(+IF($N262=[1]CURSOS!$D$20,[1]CURSOS!$E$20,(+IF($N262=[1]CURSOS!$D$21,[1]CURSOS!$E$21,(+IF($N262=[1]CURSOS!$D$22,[1]CURSOS!$E$22,(+IF($N262=[1]CURSOS!$D$23,[1]CURSOS!$E$23,(+IF($N262=[1]CURSOS!$D$24,[1]CURSOS!$E$24,(+IF($N262=[1]CURSOS!$D$25,[1]CURSOS!$E$25,(+IF($N262=[1]CURSOS!$D$26,[1]CURSOS!$E$26,(+IF($N262=[1]CURSOS!$D$27,[1]CURSOS!$E$27,(+IF($N262=[1]CURSOS!$D$28,[1]CURSOS!$E$28,(+IF($N262=[1]CURSOS!$D$29,[1]CURSOS!$E$29,(+IF($N262=[1]CURSOS!$D$30,[1]CURSOS!$E$30,(+IF($N262=[1]CURSOS!$D$31,[1]CURSOS!$E$31,(+IF($N262=[1]CURSOS!$D$32,[1]CURSOS!$E$32)))))))))))))))))))))))))))))))))))))))))))))))))))))))))))</f>
        <v xml:space="preserve">ATENCION A VICTIMAS DE VIOLENCIA SEXUAL </v>
      </c>
      <c r="U262" s="51" t="str">
        <f t="shared" ref="U262" si="159">CONCATENATE(E262," ",F262," ",C262," ",D262)</f>
        <v>Rosa Iris Segura Quiñones</v>
      </c>
      <c r="V262" s="51" t="str">
        <f t="shared" ref="V262" si="160">+PROPER(U262)</f>
        <v>Rosa Iris Segura Quiñones</v>
      </c>
      <c r="W262" s="51" t="str">
        <f t="shared" ref="W262" si="161">CONCATENATE(U262,"-",B262,"-",N262)</f>
        <v>Rosa Iris Segura Quiñones-27126290-VIOLENCIA SEXUAL</v>
      </c>
    </row>
    <row r="263" spans="1:23" s="20" customFormat="1" x14ac:dyDescent="0.2">
      <c r="A263" s="20">
        <v>262</v>
      </c>
      <c r="B263" s="20">
        <v>12994086</v>
      </c>
      <c r="C263" s="20" t="s">
        <v>632</v>
      </c>
      <c r="D263" s="20" t="s">
        <v>633</v>
      </c>
      <c r="E263" s="20" t="s">
        <v>630</v>
      </c>
      <c r="F263" s="20" t="s">
        <v>631</v>
      </c>
      <c r="G263" s="19">
        <v>6</v>
      </c>
      <c r="H263" s="19">
        <v>4</v>
      </c>
      <c r="I263" s="25">
        <v>45408</v>
      </c>
      <c r="J263" s="98">
        <v>100000</v>
      </c>
      <c r="K263" s="116" t="s">
        <v>293</v>
      </c>
      <c r="L263" s="19" t="s">
        <v>322</v>
      </c>
      <c r="M263" s="19" t="s">
        <v>653</v>
      </c>
      <c r="N263" s="21" t="s">
        <v>39</v>
      </c>
      <c r="O263" s="72"/>
      <c r="P263" s="20" t="s">
        <v>88</v>
      </c>
      <c r="Q263" s="20" t="s">
        <v>628</v>
      </c>
      <c r="T263" s="32" t="str">
        <f>+IF($N263=[1]CURSOS!$D$3,[1]CURSOS!$E$3,(+IF($N263=[1]CURSOS!$D$4,[1]CURSOS!$E$4,(+IF($N263=[1]CURSOS!$D$5,[1]CURSOS!$E$5,(+IF($N263=[1]CURSOS!$D$6,[1]CURSOS!$E$6,(+IF($N263=[1]CURSOS!$D$7,[1]CURSOS!$E$7,(+IF($N263=[1]CURSOS!$D$8,[1]CURSOS!$E$8,(+IF($N263=[1]CURSOS!$D$9,[1]CURSOS!$E$9,(+IF($N263=[1]CURSOS!$D$10,[1]CURSOS!$E$10,(+IF($N263=[1]CURSOS!$D$11,[1]CURSOS!$E$11,(+IF($N263=[1]CURSOS!$D$12,[1]CURSOS!$E$12,(+IF($N263=[1]CURSOS!$D$13,[1]CURSOS!$E$13,(+IF($N263=[1]CURSOS!$D$14,[1]CURSOS!$E$14,(+IF($N263=[1]CURSOS!$D$15,[1]CURSOS!$E$15,(+IF($N263=[1]CURSOS!$D$16,[1]CURSOS!$E$16,(+IF($N263=[1]CURSOS!$D$17,[1]CURSOS!$E$17,(+IF($N263=[1]CURSOS!$D$18,[1]CURSOS!$E$18,(+IF($N263=[1]CURSOS!$D$19,[1]CURSOS!$E$19,(+IF($N263=[1]CURSOS!$D$20,[1]CURSOS!$E$20,(+IF($N263=[1]CURSOS!$D$21,[1]CURSOS!$E$21,(+IF($N263=[1]CURSOS!$D$22,[1]CURSOS!$E$22,(+IF($N263=[1]CURSOS!$D$23,[1]CURSOS!$E$23,(+IF($N263=[1]CURSOS!$D$24,[1]CURSOS!$E$24,(+IF($N263=[1]CURSOS!$D$25,[1]CURSOS!$E$25,(+IF($N263=[1]CURSOS!$D$26,[1]CURSOS!$E$26,(+IF($N263=[1]CURSOS!$D$27,[1]CURSOS!$E$27,(+IF($N263=[1]CURSOS!$D$28,[1]CURSOS!$E$28,(+IF($N263=[1]CURSOS!$D$29,[1]CURSOS!$E$29,(+IF($N263=[1]CURSOS!$D$30,[1]CURSOS!$E$30,(+IF($N263=[1]CURSOS!$D$31,[1]CURSOS!$E$31,(+IF($N263=[1]CURSOS!$D$32,[1]CURSOS!$E$32)))))))))))))))))))))))))))))))))))))))))))))))))))))))))))</f>
        <v xml:space="preserve">SOPORTE CARDIOVASCULAR AVANZADO </v>
      </c>
      <c r="U263" s="32" t="str">
        <f t="shared" ref="U263:U296" si="162">CONCATENATE(E263," ",F263," ",C263," ",D263)</f>
        <v>RICARDO ALBERTO ZARAMA MARQUEZ</v>
      </c>
      <c r="V263" s="32" t="str">
        <f t="shared" ref="V263:V296" si="163">+PROPER(U263)</f>
        <v>Ricardo Alberto Zarama Marquez</v>
      </c>
      <c r="W263" s="32" t="str">
        <f t="shared" ref="W263:W296" si="164">CONCATENATE(U263,"-",B263,"-",N263)</f>
        <v>RICARDO ALBERTO ZARAMA MARQUEZ-12994086-ACLS</v>
      </c>
    </row>
    <row r="264" spans="1:23" s="20" customFormat="1" x14ac:dyDescent="0.2">
      <c r="A264" s="20">
        <v>263</v>
      </c>
      <c r="B264" s="20">
        <v>12994086</v>
      </c>
      <c r="C264" s="20" t="s">
        <v>632</v>
      </c>
      <c r="D264" s="20" t="s">
        <v>633</v>
      </c>
      <c r="E264" s="20" t="s">
        <v>630</v>
      </c>
      <c r="F264" s="20" t="s">
        <v>631</v>
      </c>
      <c r="G264" s="19">
        <v>9</v>
      </c>
      <c r="H264" s="19">
        <v>4</v>
      </c>
      <c r="I264" s="25">
        <v>45408</v>
      </c>
      <c r="J264" s="98">
        <v>30000</v>
      </c>
      <c r="K264" s="116" t="s">
        <v>293</v>
      </c>
      <c r="L264" s="19" t="s">
        <v>322</v>
      </c>
      <c r="M264" s="19" t="s">
        <v>653</v>
      </c>
      <c r="N264" s="21" t="s">
        <v>46</v>
      </c>
      <c r="O264" s="72"/>
      <c r="P264" s="20" t="s">
        <v>88</v>
      </c>
      <c r="Q264" s="20" t="s">
        <v>628</v>
      </c>
      <c r="T264" s="32" t="str">
        <f>+IF($N264=[1]CURSOS!$D$3,[1]CURSOS!$E$3,(+IF($N264=[1]CURSOS!$D$4,[1]CURSOS!$E$4,(+IF($N264=[1]CURSOS!$D$5,[1]CURSOS!$E$5,(+IF($N264=[1]CURSOS!$D$6,[1]CURSOS!$E$6,(+IF($N264=[1]CURSOS!$D$7,[1]CURSOS!$E$7,(+IF($N264=[1]CURSOS!$D$8,[1]CURSOS!$E$8,(+IF($N264=[1]CURSOS!$D$9,[1]CURSOS!$E$9,(+IF($N264=[1]CURSOS!$D$10,[1]CURSOS!$E$10,(+IF($N264=[1]CURSOS!$D$11,[1]CURSOS!$E$11,(+IF($N264=[1]CURSOS!$D$12,[1]CURSOS!$E$12,(+IF($N264=[1]CURSOS!$D$13,[1]CURSOS!$E$13,(+IF($N264=[1]CURSOS!$D$14,[1]CURSOS!$E$14,(+IF($N264=[1]CURSOS!$D$15,[1]CURSOS!$E$15,(+IF($N264=[1]CURSOS!$D$16,[1]CURSOS!$E$16,(+IF($N264=[1]CURSOS!$D$17,[1]CURSOS!$E$17,(+IF($N264=[1]CURSOS!$D$18,[1]CURSOS!$E$18,(+IF($N264=[1]CURSOS!$D$19,[1]CURSOS!$E$19,(+IF($N264=[1]CURSOS!$D$20,[1]CURSOS!$E$20,(+IF($N264=[1]CURSOS!$D$21,[1]CURSOS!$E$21,(+IF($N264=[1]CURSOS!$D$22,[1]CURSOS!$E$22,(+IF($N264=[1]CURSOS!$D$23,[1]CURSOS!$E$23,(+IF($N264=[1]CURSOS!$D$24,[1]CURSOS!$E$24,(+IF($N264=[1]CURSOS!$D$25,[1]CURSOS!$E$25,(+IF($N264=[1]CURSOS!$D$26,[1]CURSOS!$E$26,(+IF($N264=[1]CURSOS!$D$27,[1]CURSOS!$E$27,(+IF($N264=[1]CURSOS!$D$28,[1]CURSOS!$E$28,(+IF($N264=[1]CURSOS!$D$29,[1]CURSOS!$E$29,(+IF($N264=[1]CURSOS!$D$30,[1]CURSOS!$E$30,(+IF($N264=[1]CURSOS!$D$31,[1]CURSOS!$E$31,(+IF($N264=[1]CURSOS!$D$32,[1]CURSOS!$E$32)))))))))))))))))))))))))))))))))))))))))))))))))))))))))))</f>
        <v xml:space="preserve">ATENCION A VICTIMAS DE VIOLENCIA SEXUAL </v>
      </c>
      <c r="U264" s="32" t="str">
        <f t="shared" si="162"/>
        <v>RICARDO ALBERTO ZARAMA MARQUEZ</v>
      </c>
      <c r="V264" s="32" t="str">
        <f t="shared" si="163"/>
        <v>Ricardo Alberto Zarama Marquez</v>
      </c>
      <c r="W264" s="32" t="str">
        <f t="shared" si="164"/>
        <v>RICARDO ALBERTO ZARAMA MARQUEZ-12994086-VIOLENCIA SEXUAL</v>
      </c>
    </row>
    <row r="265" spans="1:23" s="20" customFormat="1" x14ac:dyDescent="0.2">
      <c r="A265" s="20">
        <v>264</v>
      </c>
      <c r="B265" s="20">
        <v>12994086</v>
      </c>
      <c r="C265" s="20" t="s">
        <v>632</v>
      </c>
      <c r="D265" s="20" t="s">
        <v>633</v>
      </c>
      <c r="E265" s="20" t="s">
        <v>630</v>
      </c>
      <c r="F265" s="20" t="s">
        <v>631</v>
      </c>
      <c r="G265" s="19">
        <v>11</v>
      </c>
      <c r="H265" s="19">
        <v>4</v>
      </c>
      <c r="I265" s="25">
        <v>45408</v>
      </c>
      <c r="J265" s="98">
        <v>30000</v>
      </c>
      <c r="K265" s="116" t="s">
        <v>293</v>
      </c>
      <c r="L265" s="19" t="s">
        <v>322</v>
      </c>
      <c r="M265" s="19" t="s">
        <v>653</v>
      </c>
      <c r="N265" s="21" t="s">
        <v>25</v>
      </c>
      <c r="O265" s="72"/>
      <c r="P265" s="20" t="s">
        <v>88</v>
      </c>
      <c r="Q265" s="20" t="s">
        <v>628</v>
      </c>
      <c r="T265" s="32" t="str">
        <f>+IF($N265=[1]CURSOS!$D$3,[1]CURSOS!$E$3,(+IF($N265=[1]CURSOS!$D$4,[1]CURSOS!$E$4,(+IF($N265=[1]CURSOS!$D$5,[1]CURSOS!$E$5,(+IF($N265=[1]CURSOS!$D$6,[1]CURSOS!$E$6,(+IF($N265=[1]CURSOS!$D$7,[1]CURSOS!$E$7,(+IF($N265=[1]CURSOS!$D$8,[1]CURSOS!$E$8,(+IF($N265=[1]CURSOS!$D$9,[1]CURSOS!$E$9,(+IF($N265=[1]CURSOS!$D$10,[1]CURSOS!$E$10,(+IF($N265=[1]CURSOS!$D$11,[1]CURSOS!$E$11,(+IF($N265=[1]CURSOS!$D$12,[1]CURSOS!$E$12,(+IF($N265=[1]CURSOS!$D$13,[1]CURSOS!$E$13,(+IF($N265=[1]CURSOS!$D$14,[1]CURSOS!$E$14,(+IF($N265=[1]CURSOS!$D$15,[1]CURSOS!$E$15,(+IF($N265=[1]CURSOS!$D$16,[1]CURSOS!$E$16,(+IF($N265=[1]CURSOS!$D$17,[1]CURSOS!$E$17,(+IF($N265=[1]CURSOS!$D$18,[1]CURSOS!$E$18,(+IF($N265=[1]CURSOS!$D$19,[1]CURSOS!$E$19,(+IF($N265=[1]CURSOS!$D$20,[1]CURSOS!$E$20,(+IF($N265=[1]CURSOS!$D$21,[1]CURSOS!$E$21,(+IF($N265=[1]CURSOS!$D$22,[1]CURSOS!$E$22,(+IF($N265=[1]CURSOS!$D$23,[1]CURSOS!$E$23,(+IF($N265=[1]CURSOS!$D$24,[1]CURSOS!$E$24,(+IF($N265=[1]CURSOS!$D$25,[1]CURSOS!$E$25,(+IF($N265=[1]CURSOS!$D$26,[1]CURSOS!$E$26,(+IF($N265=[1]CURSOS!$D$27,[1]CURSOS!$E$27,(+IF($N265=[1]CURSOS!$D$28,[1]CURSOS!$E$28,(+IF($N265=[1]CURSOS!$D$29,[1]CURSOS!$E$29,(+IF($N265=[1]CURSOS!$D$30,[1]CURSOS!$E$30,(+IF($N265=[1]CURSOS!$D$31,[1]CURSOS!$E$31,(+IF($N265=[1]CURSOS!$D$32,[1]CURSOS!$E$32)))))))))))))))))))))))))))))))))))))))))))))))))))))))))))</f>
        <v xml:space="preserve">ATENCION A VICTIMAS DE ATAQUE CON AGENTES QUIMICOS </v>
      </c>
      <c r="U265" s="32" t="str">
        <f t="shared" si="162"/>
        <v>RICARDO ALBERTO ZARAMA MARQUEZ</v>
      </c>
      <c r="V265" s="32" t="str">
        <f t="shared" si="163"/>
        <v>Ricardo Alberto Zarama Marquez</v>
      </c>
      <c r="W265" s="32" t="str">
        <f t="shared" si="164"/>
        <v>RICARDO ALBERTO ZARAMA MARQUEZ-12994086-QUIMICOS</v>
      </c>
    </row>
    <row r="266" spans="1:23" s="20" customFormat="1" x14ac:dyDescent="0.2">
      <c r="A266" s="20">
        <v>265</v>
      </c>
      <c r="B266" s="20">
        <v>12994086</v>
      </c>
      <c r="C266" s="20" t="s">
        <v>632</v>
      </c>
      <c r="D266" s="20" t="s">
        <v>633</v>
      </c>
      <c r="E266" s="20" t="s">
        <v>630</v>
      </c>
      <c r="F266" s="20" t="s">
        <v>631</v>
      </c>
      <c r="G266" s="19">
        <v>13</v>
      </c>
      <c r="H266" s="19">
        <v>4</v>
      </c>
      <c r="I266" s="25">
        <v>45408</v>
      </c>
      <c r="J266" s="98">
        <v>30000</v>
      </c>
      <c r="K266" s="116" t="s">
        <v>293</v>
      </c>
      <c r="L266" s="19" t="s">
        <v>322</v>
      </c>
      <c r="M266" s="19" t="s">
        <v>653</v>
      </c>
      <c r="N266" s="21" t="s">
        <v>33</v>
      </c>
      <c r="O266" s="72"/>
      <c r="P266" s="20" t="s">
        <v>88</v>
      </c>
      <c r="Q266" s="20" t="s">
        <v>628</v>
      </c>
      <c r="T266" s="32" t="str">
        <f>+IF($N266=[1]CURSOS!$D$3,[1]CURSOS!$E$3,(+IF($N266=[1]CURSOS!$D$4,[1]CURSOS!$E$4,(+IF($N266=[1]CURSOS!$D$5,[1]CURSOS!$E$5,(+IF($N266=[1]CURSOS!$D$6,[1]CURSOS!$E$6,(+IF($N266=[1]CURSOS!$D$7,[1]CURSOS!$E$7,(+IF($N266=[1]CURSOS!$D$8,[1]CURSOS!$E$8,(+IF($N266=[1]CURSOS!$D$9,[1]CURSOS!$E$9,(+IF($N266=[1]CURSOS!$D$10,[1]CURSOS!$E$10,(+IF($N266=[1]CURSOS!$D$11,[1]CURSOS!$E$11,(+IF($N266=[1]CURSOS!$D$12,[1]CURSOS!$E$12,(+IF($N266=[1]CURSOS!$D$13,[1]CURSOS!$E$13,(+IF($N266=[1]CURSOS!$D$14,[1]CURSOS!$E$14,(+IF($N266=[1]CURSOS!$D$15,[1]CURSOS!$E$15,(+IF($N266=[1]CURSOS!$D$16,[1]CURSOS!$E$16,(+IF($N266=[1]CURSOS!$D$17,[1]CURSOS!$E$17,(+IF($N266=[1]CURSOS!$D$18,[1]CURSOS!$E$18,(+IF($N266=[1]CURSOS!$D$19,[1]CURSOS!$E$19,(+IF($N266=[1]CURSOS!$D$20,[1]CURSOS!$E$20,(+IF($N266=[1]CURSOS!$D$21,[1]CURSOS!$E$21,(+IF($N266=[1]CURSOS!$D$22,[1]CURSOS!$E$22,(+IF($N266=[1]CURSOS!$D$23,[1]CURSOS!$E$23,(+IF($N266=[1]CURSOS!$D$24,[1]CURSOS!$E$24,(+IF($N266=[1]CURSOS!$D$25,[1]CURSOS!$E$25,(+IF($N266=[1]CURSOS!$D$26,[1]CURSOS!$E$26,(+IF($N266=[1]CURSOS!$D$27,[1]CURSOS!$E$27,(+IF($N266=[1]CURSOS!$D$28,[1]CURSOS!$E$28,(+IF($N266=[1]CURSOS!$D$29,[1]CURSOS!$E$29,(+IF($N266=[1]CURSOS!$D$30,[1]CURSOS!$E$30,(+IF($N266=[1]CURSOS!$D$31,[1]CURSOS!$E$31,(+IF($N266=[1]CURSOS!$D$32,[1]CURSOS!$E$32)))))))))))))))))))))))))))))))))))))))))))))))))))))))))))</f>
        <v xml:space="preserve">HUMANIZACION EN SALUD, BUENAS PRACTICAS EN PACIENTE </v>
      </c>
      <c r="U266" s="32" t="str">
        <f t="shared" si="162"/>
        <v>RICARDO ALBERTO ZARAMA MARQUEZ</v>
      </c>
      <c r="V266" s="32" t="str">
        <f t="shared" si="163"/>
        <v>Ricardo Alberto Zarama Marquez</v>
      </c>
      <c r="W266" s="32" t="str">
        <f t="shared" si="164"/>
        <v>RICARDO ALBERTO ZARAMA MARQUEZ-12994086-HUMANIZACION</v>
      </c>
    </row>
    <row r="267" spans="1:23" s="20" customFormat="1" x14ac:dyDescent="0.2">
      <c r="A267" s="20">
        <v>266</v>
      </c>
      <c r="B267" s="20">
        <v>12994086</v>
      </c>
      <c r="C267" s="20" t="s">
        <v>632</v>
      </c>
      <c r="D267" s="20" t="s">
        <v>633</v>
      </c>
      <c r="E267" s="20" t="s">
        <v>630</v>
      </c>
      <c r="F267" s="20" t="s">
        <v>631</v>
      </c>
      <c r="G267" s="19">
        <v>17</v>
      </c>
      <c r="H267" s="19">
        <v>4</v>
      </c>
      <c r="I267" s="25">
        <v>45408</v>
      </c>
      <c r="J267" s="98">
        <v>30000</v>
      </c>
      <c r="K267" s="116" t="s">
        <v>293</v>
      </c>
      <c r="L267" s="19" t="s">
        <v>322</v>
      </c>
      <c r="M267" s="19" t="s">
        <v>653</v>
      </c>
      <c r="N267" s="21" t="s">
        <v>249</v>
      </c>
      <c r="O267" s="72"/>
      <c r="P267" s="20" t="s">
        <v>88</v>
      </c>
      <c r="Q267" s="20" t="s">
        <v>628</v>
      </c>
      <c r="T267" s="20" t="s">
        <v>249</v>
      </c>
      <c r="U267" s="32" t="str">
        <f t="shared" si="162"/>
        <v>RICARDO ALBERTO ZARAMA MARQUEZ</v>
      </c>
      <c r="V267" s="32" t="str">
        <f t="shared" si="163"/>
        <v>Ricardo Alberto Zarama Marquez</v>
      </c>
      <c r="W267" s="32" t="str">
        <f t="shared" si="164"/>
        <v>RICARDO ALBERTO ZARAMA MARQUEZ-12994086-CUIDADO AL PACIENTE DONANTE</v>
      </c>
    </row>
    <row r="268" spans="1:23" s="20" customFormat="1" x14ac:dyDescent="0.2">
      <c r="A268" s="20">
        <v>267</v>
      </c>
      <c r="B268" s="20">
        <v>12994086</v>
      </c>
      <c r="C268" s="20" t="s">
        <v>632</v>
      </c>
      <c r="D268" s="20" t="s">
        <v>633</v>
      </c>
      <c r="E268" s="20" t="s">
        <v>630</v>
      </c>
      <c r="F268" s="20" t="s">
        <v>631</v>
      </c>
      <c r="G268" s="19">
        <v>10</v>
      </c>
      <c r="H268" s="19">
        <v>4</v>
      </c>
      <c r="I268" s="25">
        <v>45408</v>
      </c>
      <c r="J268" s="98">
        <v>30000</v>
      </c>
      <c r="K268" s="116" t="s">
        <v>293</v>
      </c>
      <c r="L268" s="19" t="s">
        <v>322</v>
      </c>
      <c r="M268" s="19" t="s">
        <v>653</v>
      </c>
      <c r="N268" s="21" t="s">
        <v>381</v>
      </c>
      <c r="O268" s="72"/>
      <c r="P268" s="20" t="s">
        <v>88</v>
      </c>
      <c r="Q268" s="20" t="s">
        <v>628</v>
      </c>
      <c r="T268" s="32" t="str">
        <f>+IF($N268=[1]CURSOS!$D$3,[1]CURSOS!$E$3,(+IF($N268=[1]CURSOS!$D$4,[1]CURSOS!$E$4,(+IF($N268=[1]CURSOS!$D$5,[1]CURSOS!$E$5,(+IF($N268=[1]CURSOS!$D$6,[1]CURSOS!$E$6,(+IF($N268=[1]CURSOS!$D$7,[1]CURSOS!$E$7,(+IF($N268=[1]CURSOS!$D$8,[1]CURSOS!$E$8,(+IF($N268=[1]CURSOS!$D$9,[1]CURSOS!$E$9,(+IF($N268=[1]CURSOS!$D$10,[1]CURSOS!$E$10,(+IF($N268=[1]CURSOS!$D$11,[1]CURSOS!$E$11,(+IF($N268=[1]CURSOS!$D$12,[1]CURSOS!$E$12,(+IF($N268=[1]CURSOS!$D$13,[1]CURSOS!$E$13,(+IF($N268=[1]CURSOS!$D$14,[1]CURSOS!$E$14,(+IF($N268=[1]CURSOS!$D$15,[1]CURSOS!$E$15,(+IF($N268=[1]CURSOS!$D$16,[1]CURSOS!$E$16,(+IF($N268=[1]CURSOS!$D$17,[1]CURSOS!$E$17,(+IF($N268=[1]CURSOS!$D$18,[1]CURSOS!$E$18,(+IF($N268=[1]CURSOS!$D$19,[1]CURSOS!$E$19,(+IF($N268=[1]CURSOS!$D$20,[1]CURSOS!$E$20,(+IF($N268=[1]CURSOS!$D$21,[1]CURSOS!$E$21,(+IF($N268=[1]CURSOS!$D$22,[1]CURSOS!$E$22,(+IF($N268=[1]CURSOS!$D$23,[1]CURSOS!$E$23,(+IF($N268=[1]CURSOS!$D$24,[1]CURSOS!$E$24,(+IF($N268=[1]CURSOS!$D$25,[1]CURSOS!$E$25,(+IF($N268=[1]CURSOS!$D$26,[1]CURSOS!$E$26,(+IF($N268=[1]CURSOS!$D$27,[1]CURSOS!$E$27,(+IF($N268=[1]CURSOS!$D$28,[1]CURSOS!$E$28,(+IF($N268=[1]CURSOS!$D$29,[1]CURSOS!$E$29,(+IF($N268=[1]CURSOS!$D$30,[1]CURSOS!$E$30,(+IF($N268=[1]CURSOS!$D$31,[1]CURSOS!$E$31,(+IF($N268=[1]CURSOS!$D$32,[1]CURSOS!$E$32)))))))))))))))))))))))))))))))))))))))))))))))))))))))))))</f>
        <v>ACOMPAÑAMIENTO Y MANEJO DEL DUELO</v>
      </c>
      <c r="U268" s="32" t="str">
        <f t="shared" si="162"/>
        <v>RICARDO ALBERTO ZARAMA MARQUEZ</v>
      </c>
      <c r="V268" s="32" t="str">
        <f t="shared" si="163"/>
        <v>Ricardo Alberto Zarama Marquez</v>
      </c>
      <c r="W268" s="32" t="str">
        <f t="shared" si="164"/>
        <v>RICARDO ALBERTO ZARAMA MARQUEZ-12994086-Duelo</v>
      </c>
    </row>
    <row r="269" spans="1:23" s="20" customFormat="1" x14ac:dyDescent="0.2">
      <c r="A269" s="20">
        <v>268</v>
      </c>
      <c r="B269" s="20">
        <v>12994086</v>
      </c>
      <c r="C269" s="20" t="s">
        <v>632</v>
      </c>
      <c r="D269" s="20" t="s">
        <v>633</v>
      </c>
      <c r="E269" s="20" t="s">
        <v>630</v>
      </c>
      <c r="F269" s="20" t="s">
        <v>631</v>
      </c>
      <c r="G269" s="19">
        <v>10</v>
      </c>
      <c r="H269" s="19">
        <v>4</v>
      </c>
      <c r="I269" s="25"/>
      <c r="J269" s="98">
        <v>30000</v>
      </c>
      <c r="K269" s="116" t="s">
        <v>293</v>
      </c>
      <c r="L269" s="19" t="s">
        <v>322</v>
      </c>
      <c r="M269" s="19" t="s">
        <v>653</v>
      </c>
      <c r="N269" s="21" t="s">
        <v>75</v>
      </c>
      <c r="O269" s="72"/>
      <c r="P269" s="20" t="s">
        <v>88</v>
      </c>
      <c r="Q269" s="20" t="s">
        <v>628</v>
      </c>
      <c r="T269" s="32" t="str">
        <f>+IF($N269=[1]CURSOS!$D$3,[1]CURSOS!$E$3,(+IF($N269=[1]CURSOS!$D$4,[1]CURSOS!$E$4,(+IF($N269=[1]CURSOS!$D$5,[1]CURSOS!$E$5,(+IF($N269=[1]CURSOS!$D$6,[1]CURSOS!$E$6,(+IF($N269=[1]CURSOS!$D$7,[1]CURSOS!$E$7,(+IF($N269=[1]CURSOS!$D$8,[1]CURSOS!$E$8,(+IF($N269=[1]CURSOS!$D$9,[1]CURSOS!$E$9,(+IF($N269=[1]CURSOS!$D$10,[1]CURSOS!$E$10,(+IF($N269=[1]CURSOS!$D$11,[1]CURSOS!$E$11,(+IF($N269=[1]CURSOS!$D$12,[1]CURSOS!$E$12,(+IF($N269=[1]CURSOS!$D$13,[1]CURSOS!$E$13,(+IF($N269=[1]CURSOS!$D$14,[1]CURSOS!$E$14,(+IF($N269=[1]CURSOS!$D$15,[1]CURSOS!$E$15,(+IF($N269=[1]CURSOS!$D$16,[1]CURSOS!$E$16,(+IF($N269=[1]CURSOS!$D$17,[1]CURSOS!$E$17,(+IF($N269=[1]CURSOS!$D$18,[1]CURSOS!$E$18,(+IF($N269=[1]CURSOS!$D$19,[1]CURSOS!$E$19,(+IF($N269=[1]CURSOS!$D$20,[1]CURSOS!$E$20,(+IF($N269=[1]CURSOS!$D$21,[1]CURSOS!$E$21,(+IF($N269=[1]CURSOS!$D$22,[1]CURSOS!$E$22,(+IF($N269=[1]CURSOS!$D$23,[1]CURSOS!$E$23,(+IF($N269=[1]CURSOS!$D$24,[1]CURSOS!$E$24,(+IF($N269=[1]CURSOS!$D$25,[1]CURSOS!$E$25,(+IF($N269=[1]CURSOS!$D$26,[1]CURSOS!$E$26,(+IF($N269=[1]CURSOS!$D$27,[1]CURSOS!$E$27,(+IF($N269=[1]CURSOS!$D$28,[1]CURSOS!$E$28,(+IF($N269=[1]CURSOS!$D$29,[1]CURSOS!$E$29,(+IF($N269=[1]CURSOS!$D$30,[1]CURSOS!$E$30,(+IF($N269=[1]CURSOS!$D$31,[1]CURSOS!$E$31,(+IF($N269=[1]CURSOS!$D$32,[1]CURSOS!$E$32)))))))))))))))))))))))))))))))))))))))))))))))))))))))))))</f>
        <v>ATENCION A VICTIMAS POR CONFLICTO ARMADO</v>
      </c>
      <c r="U269" s="32" t="str">
        <f t="shared" ref="U269" si="165">CONCATENATE(E269," ",F269," ",C269," ",D269)</f>
        <v>RICARDO ALBERTO ZARAMA MARQUEZ</v>
      </c>
      <c r="V269" s="32" t="str">
        <f t="shared" ref="V269" si="166">+PROPER(U269)</f>
        <v>Ricardo Alberto Zarama Marquez</v>
      </c>
      <c r="W269" s="32" t="str">
        <f t="shared" si="164"/>
        <v>RICARDO ALBERTO ZARAMA MARQUEZ-12994086-CONFLICTO ARMADO</v>
      </c>
    </row>
    <row r="270" spans="1:23" s="66" customFormat="1" x14ac:dyDescent="0.2">
      <c r="A270" s="82">
        <v>269</v>
      </c>
      <c r="B270" s="66">
        <v>59653690</v>
      </c>
      <c r="C270" s="66" t="s">
        <v>636</v>
      </c>
      <c r="D270" s="66" t="s">
        <v>637</v>
      </c>
      <c r="E270" s="66" t="s">
        <v>634</v>
      </c>
      <c r="F270" s="66" t="s">
        <v>635</v>
      </c>
      <c r="G270" s="64">
        <v>9</v>
      </c>
      <c r="H270" s="64">
        <v>4</v>
      </c>
      <c r="I270" s="65"/>
      <c r="J270" s="90"/>
      <c r="K270" s="64"/>
      <c r="L270" s="64" t="s">
        <v>322</v>
      </c>
      <c r="M270" s="64" t="s">
        <v>653</v>
      </c>
      <c r="N270" s="63" t="s">
        <v>46</v>
      </c>
      <c r="O270" s="83"/>
      <c r="P270" s="66" t="s">
        <v>78</v>
      </c>
      <c r="Q270" s="66" t="s">
        <v>629</v>
      </c>
      <c r="T270" s="57" t="str">
        <f>+IF($N270=[1]CURSOS!$D$3,[1]CURSOS!$E$3,(+IF($N270=[1]CURSOS!$D$4,[1]CURSOS!$E$4,(+IF($N270=[1]CURSOS!$D$5,[1]CURSOS!$E$5,(+IF($N270=[1]CURSOS!$D$6,[1]CURSOS!$E$6,(+IF($N270=[1]CURSOS!$D$7,[1]CURSOS!$E$7,(+IF($N270=[1]CURSOS!$D$8,[1]CURSOS!$E$8,(+IF($N270=[1]CURSOS!$D$9,[1]CURSOS!$E$9,(+IF($N270=[1]CURSOS!$D$10,[1]CURSOS!$E$10,(+IF($N270=[1]CURSOS!$D$11,[1]CURSOS!$E$11,(+IF($N270=[1]CURSOS!$D$12,[1]CURSOS!$E$12,(+IF($N270=[1]CURSOS!$D$13,[1]CURSOS!$E$13,(+IF($N270=[1]CURSOS!$D$14,[1]CURSOS!$E$14,(+IF($N270=[1]CURSOS!$D$15,[1]CURSOS!$E$15,(+IF($N270=[1]CURSOS!$D$16,[1]CURSOS!$E$16,(+IF($N270=[1]CURSOS!$D$17,[1]CURSOS!$E$17,(+IF($N270=[1]CURSOS!$D$18,[1]CURSOS!$E$18,(+IF($N270=[1]CURSOS!$D$19,[1]CURSOS!$E$19,(+IF($N270=[1]CURSOS!$D$20,[1]CURSOS!$E$20,(+IF($N270=[1]CURSOS!$D$21,[1]CURSOS!$E$21,(+IF($N270=[1]CURSOS!$D$22,[1]CURSOS!$E$22,(+IF($N270=[1]CURSOS!$D$23,[1]CURSOS!$E$23,(+IF($N270=[1]CURSOS!$D$24,[1]CURSOS!$E$24,(+IF($N270=[1]CURSOS!$D$25,[1]CURSOS!$E$25,(+IF($N270=[1]CURSOS!$D$26,[1]CURSOS!$E$26,(+IF($N270=[1]CURSOS!$D$27,[1]CURSOS!$E$27,(+IF($N270=[1]CURSOS!$D$28,[1]CURSOS!$E$28,(+IF($N270=[1]CURSOS!$D$29,[1]CURSOS!$E$29,(+IF($N270=[1]CURSOS!$D$30,[1]CURSOS!$E$30,(+IF($N270=[1]CURSOS!$D$31,[1]CURSOS!$E$31,(+IF($N270=[1]CURSOS!$D$32,[1]CURSOS!$E$32)))))))))))))))))))))))))))))))))))))))))))))))))))))))))))</f>
        <v xml:space="preserve">ATENCION A VICTIMAS DE VIOLENCIA SEXUAL </v>
      </c>
      <c r="U270" s="57" t="str">
        <f t="shared" si="162"/>
        <v>ANA MARTIZA ARCINIEGAS HERNANDEZ</v>
      </c>
      <c r="V270" s="57" t="str">
        <f t="shared" si="163"/>
        <v>Ana Martiza Arciniegas Hernandez</v>
      </c>
      <c r="W270" s="57" t="str">
        <f t="shared" si="164"/>
        <v>ANA MARTIZA ARCINIEGAS HERNANDEZ-59653690-VIOLENCIA SEXUAL</v>
      </c>
    </row>
    <row r="271" spans="1:23" s="66" customFormat="1" x14ac:dyDescent="0.2">
      <c r="A271" s="20">
        <v>270</v>
      </c>
      <c r="B271" s="66">
        <v>12991646</v>
      </c>
      <c r="C271" s="66" t="s">
        <v>640</v>
      </c>
      <c r="D271" s="66" t="s">
        <v>636</v>
      </c>
      <c r="E271" s="66" t="s">
        <v>638</v>
      </c>
      <c r="F271" s="66" t="s">
        <v>639</v>
      </c>
      <c r="G271" s="64">
        <v>9</v>
      </c>
      <c r="H271" s="64">
        <v>4</v>
      </c>
      <c r="I271" s="65"/>
      <c r="J271" s="90"/>
      <c r="K271" s="64"/>
      <c r="L271" s="64" t="s">
        <v>322</v>
      </c>
      <c r="M271" s="64" t="s">
        <v>653</v>
      </c>
      <c r="N271" s="63" t="s">
        <v>46</v>
      </c>
      <c r="O271" s="83"/>
      <c r="P271" s="66" t="s">
        <v>88</v>
      </c>
      <c r="Q271" s="66" t="s">
        <v>628</v>
      </c>
      <c r="T271" s="57" t="str">
        <f>+IF($N271=[1]CURSOS!$D$3,[1]CURSOS!$E$3,(+IF($N271=[1]CURSOS!$D$4,[1]CURSOS!$E$4,(+IF($N271=[1]CURSOS!$D$5,[1]CURSOS!$E$5,(+IF($N271=[1]CURSOS!$D$6,[1]CURSOS!$E$6,(+IF($N271=[1]CURSOS!$D$7,[1]CURSOS!$E$7,(+IF($N271=[1]CURSOS!$D$8,[1]CURSOS!$E$8,(+IF($N271=[1]CURSOS!$D$9,[1]CURSOS!$E$9,(+IF($N271=[1]CURSOS!$D$10,[1]CURSOS!$E$10,(+IF($N271=[1]CURSOS!$D$11,[1]CURSOS!$E$11,(+IF($N271=[1]CURSOS!$D$12,[1]CURSOS!$E$12,(+IF($N271=[1]CURSOS!$D$13,[1]CURSOS!$E$13,(+IF($N271=[1]CURSOS!$D$14,[1]CURSOS!$E$14,(+IF($N271=[1]CURSOS!$D$15,[1]CURSOS!$E$15,(+IF($N271=[1]CURSOS!$D$16,[1]CURSOS!$E$16,(+IF($N271=[1]CURSOS!$D$17,[1]CURSOS!$E$17,(+IF($N271=[1]CURSOS!$D$18,[1]CURSOS!$E$18,(+IF($N271=[1]CURSOS!$D$19,[1]CURSOS!$E$19,(+IF($N271=[1]CURSOS!$D$20,[1]CURSOS!$E$20,(+IF($N271=[1]CURSOS!$D$21,[1]CURSOS!$E$21,(+IF($N271=[1]CURSOS!$D$22,[1]CURSOS!$E$22,(+IF($N271=[1]CURSOS!$D$23,[1]CURSOS!$E$23,(+IF($N271=[1]CURSOS!$D$24,[1]CURSOS!$E$24,(+IF($N271=[1]CURSOS!$D$25,[1]CURSOS!$E$25,(+IF($N271=[1]CURSOS!$D$26,[1]CURSOS!$E$26,(+IF($N271=[1]CURSOS!$D$27,[1]CURSOS!$E$27,(+IF($N271=[1]CURSOS!$D$28,[1]CURSOS!$E$28,(+IF($N271=[1]CURSOS!$D$29,[1]CURSOS!$E$29,(+IF($N271=[1]CURSOS!$D$30,[1]CURSOS!$E$30,(+IF($N271=[1]CURSOS!$D$31,[1]CURSOS!$E$31,(+IF($N271=[1]CURSOS!$D$32,[1]CURSOS!$E$32)))))))))))))))))))))))))))))))))))))))))))))))))))))))))))</f>
        <v xml:space="preserve">ATENCION A VICTIMAS DE VIOLENCIA SEXUAL </v>
      </c>
      <c r="U271" s="57" t="str">
        <f t="shared" si="162"/>
        <v>JOSE LUIS TIMANA ARCINIEGAS</v>
      </c>
      <c r="V271" s="57" t="str">
        <f t="shared" si="163"/>
        <v>Jose Luis Timana Arciniegas</v>
      </c>
      <c r="W271" s="57" t="str">
        <f t="shared" si="164"/>
        <v>JOSE LUIS TIMANA ARCINIEGAS-12991646-VIOLENCIA SEXUAL</v>
      </c>
    </row>
    <row r="272" spans="1:23" s="66" customFormat="1" x14ac:dyDescent="0.2">
      <c r="A272" s="20">
        <v>271</v>
      </c>
      <c r="B272" s="66">
        <v>12991646</v>
      </c>
      <c r="C272" s="66" t="s">
        <v>640</v>
      </c>
      <c r="D272" s="66" t="s">
        <v>636</v>
      </c>
      <c r="E272" s="66" t="s">
        <v>638</v>
      </c>
      <c r="F272" s="66" t="s">
        <v>639</v>
      </c>
      <c r="G272" s="64">
        <v>11</v>
      </c>
      <c r="H272" s="64">
        <v>4</v>
      </c>
      <c r="I272" s="65"/>
      <c r="J272" s="90"/>
      <c r="K272" s="64"/>
      <c r="L272" s="64" t="s">
        <v>322</v>
      </c>
      <c r="M272" s="64" t="s">
        <v>653</v>
      </c>
      <c r="N272" s="63" t="s">
        <v>25</v>
      </c>
      <c r="O272" s="83"/>
      <c r="P272" s="66" t="s">
        <v>88</v>
      </c>
      <c r="Q272" s="66" t="s">
        <v>628</v>
      </c>
      <c r="T272" s="57" t="str">
        <f>+IF($N272=[1]CURSOS!$D$3,[1]CURSOS!$E$3,(+IF($N272=[1]CURSOS!$D$4,[1]CURSOS!$E$4,(+IF($N272=[1]CURSOS!$D$5,[1]CURSOS!$E$5,(+IF($N272=[1]CURSOS!$D$6,[1]CURSOS!$E$6,(+IF($N272=[1]CURSOS!$D$7,[1]CURSOS!$E$7,(+IF($N272=[1]CURSOS!$D$8,[1]CURSOS!$E$8,(+IF($N272=[1]CURSOS!$D$9,[1]CURSOS!$E$9,(+IF($N272=[1]CURSOS!$D$10,[1]CURSOS!$E$10,(+IF($N272=[1]CURSOS!$D$11,[1]CURSOS!$E$11,(+IF($N272=[1]CURSOS!$D$12,[1]CURSOS!$E$12,(+IF($N272=[1]CURSOS!$D$13,[1]CURSOS!$E$13,(+IF($N272=[1]CURSOS!$D$14,[1]CURSOS!$E$14,(+IF($N272=[1]CURSOS!$D$15,[1]CURSOS!$E$15,(+IF($N272=[1]CURSOS!$D$16,[1]CURSOS!$E$16,(+IF($N272=[1]CURSOS!$D$17,[1]CURSOS!$E$17,(+IF($N272=[1]CURSOS!$D$18,[1]CURSOS!$E$18,(+IF($N272=[1]CURSOS!$D$19,[1]CURSOS!$E$19,(+IF($N272=[1]CURSOS!$D$20,[1]CURSOS!$E$20,(+IF($N272=[1]CURSOS!$D$21,[1]CURSOS!$E$21,(+IF($N272=[1]CURSOS!$D$22,[1]CURSOS!$E$22,(+IF($N272=[1]CURSOS!$D$23,[1]CURSOS!$E$23,(+IF($N272=[1]CURSOS!$D$24,[1]CURSOS!$E$24,(+IF($N272=[1]CURSOS!$D$25,[1]CURSOS!$E$25,(+IF($N272=[1]CURSOS!$D$26,[1]CURSOS!$E$26,(+IF($N272=[1]CURSOS!$D$27,[1]CURSOS!$E$27,(+IF($N272=[1]CURSOS!$D$28,[1]CURSOS!$E$28,(+IF($N272=[1]CURSOS!$D$29,[1]CURSOS!$E$29,(+IF($N272=[1]CURSOS!$D$30,[1]CURSOS!$E$30,(+IF($N272=[1]CURSOS!$D$31,[1]CURSOS!$E$31,(+IF($N272=[1]CURSOS!$D$32,[1]CURSOS!$E$32)))))))))))))))))))))))))))))))))))))))))))))))))))))))))))</f>
        <v xml:space="preserve">ATENCION A VICTIMAS DE ATAQUE CON AGENTES QUIMICOS </v>
      </c>
      <c r="U272" s="57" t="str">
        <f t="shared" si="162"/>
        <v>JOSE LUIS TIMANA ARCINIEGAS</v>
      </c>
      <c r="V272" s="57" t="str">
        <f t="shared" si="163"/>
        <v>Jose Luis Timana Arciniegas</v>
      </c>
      <c r="W272" s="57" t="str">
        <f t="shared" si="164"/>
        <v>JOSE LUIS TIMANA ARCINIEGAS-12991646-QUIMICOS</v>
      </c>
    </row>
    <row r="273" spans="1:23" s="66" customFormat="1" x14ac:dyDescent="0.2">
      <c r="A273" s="20">
        <v>272</v>
      </c>
      <c r="B273" s="66">
        <v>12991646</v>
      </c>
      <c r="C273" s="66" t="s">
        <v>640</v>
      </c>
      <c r="D273" s="66" t="s">
        <v>636</v>
      </c>
      <c r="E273" s="66" t="s">
        <v>638</v>
      </c>
      <c r="F273" s="66" t="s">
        <v>639</v>
      </c>
      <c r="G273" s="64">
        <v>13</v>
      </c>
      <c r="H273" s="64">
        <v>4</v>
      </c>
      <c r="I273" s="65"/>
      <c r="J273" s="90"/>
      <c r="K273" s="64"/>
      <c r="L273" s="64" t="s">
        <v>322</v>
      </c>
      <c r="M273" s="64" t="s">
        <v>653</v>
      </c>
      <c r="N273" s="63" t="s">
        <v>33</v>
      </c>
      <c r="O273" s="83"/>
      <c r="P273" s="66" t="s">
        <v>88</v>
      </c>
      <c r="Q273" s="66" t="s">
        <v>628</v>
      </c>
      <c r="T273" s="57" t="str">
        <f>+IF($N273=[1]CURSOS!$D$3,[1]CURSOS!$E$3,(+IF($N273=[1]CURSOS!$D$4,[1]CURSOS!$E$4,(+IF($N273=[1]CURSOS!$D$5,[1]CURSOS!$E$5,(+IF($N273=[1]CURSOS!$D$6,[1]CURSOS!$E$6,(+IF($N273=[1]CURSOS!$D$7,[1]CURSOS!$E$7,(+IF($N273=[1]CURSOS!$D$8,[1]CURSOS!$E$8,(+IF($N273=[1]CURSOS!$D$9,[1]CURSOS!$E$9,(+IF($N273=[1]CURSOS!$D$10,[1]CURSOS!$E$10,(+IF($N273=[1]CURSOS!$D$11,[1]CURSOS!$E$11,(+IF($N273=[1]CURSOS!$D$12,[1]CURSOS!$E$12,(+IF($N273=[1]CURSOS!$D$13,[1]CURSOS!$E$13,(+IF($N273=[1]CURSOS!$D$14,[1]CURSOS!$E$14,(+IF($N273=[1]CURSOS!$D$15,[1]CURSOS!$E$15,(+IF($N273=[1]CURSOS!$D$16,[1]CURSOS!$E$16,(+IF($N273=[1]CURSOS!$D$17,[1]CURSOS!$E$17,(+IF($N273=[1]CURSOS!$D$18,[1]CURSOS!$E$18,(+IF($N273=[1]CURSOS!$D$19,[1]CURSOS!$E$19,(+IF($N273=[1]CURSOS!$D$20,[1]CURSOS!$E$20,(+IF($N273=[1]CURSOS!$D$21,[1]CURSOS!$E$21,(+IF($N273=[1]CURSOS!$D$22,[1]CURSOS!$E$22,(+IF($N273=[1]CURSOS!$D$23,[1]CURSOS!$E$23,(+IF($N273=[1]CURSOS!$D$24,[1]CURSOS!$E$24,(+IF($N273=[1]CURSOS!$D$25,[1]CURSOS!$E$25,(+IF($N273=[1]CURSOS!$D$26,[1]CURSOS!$E$26,(+IF($N273=[1]CURSOS!$D$27,[1]CURSOS!$E$27,(+IF($N273=[1]CURSOS!$D$28,[1]CURSOS!$E$28,(+IF($N273=[1]CURSOS!$D$29,[1]CURSOS!$E$29,(+IF($N273=[1]CURSOS!$D$30,[1]CURSOS!$E$30,(+IF($N273=[1]CURSOS!$D$31,[1]CURSOS!$E$31,(+IF($N273=[1]CURSOS!$D$32,[1]CURSOS!$E$32)))))))))))))))))))))))))))))))))))))))))))))))))))))))))))</f>
        <v xml:space="preserve">HUMANIZACION EN SALUD, BUENAS PRACTICAS EN PACIENTE </v>
      </c>
      <c r="U273" s="57" t="str">
        <f t="shared" si="162"/>
        <v>JOSE LUIS TIMANA ARCINIEGAS</v>
      </c>
      <c r="V273" s="57" t="str">
        <f t="shared" si="163"/>
        <v>Jose Luis Timana Arciniegas</v>
      </c>
      <c r="W273" s="57" t="str">
        <f t="shared" si="164"/>
        <v>JOSE LUIS TIMANA ARCINIEGAS-12991646-HUMANIZACION</v>
      </c>
    </row>
    <row r="274" spans="1:23" s="66" customFormat="1" x14ac:dyDescent="0.2">
      <c r="A274" s="20">
        <v>273</v>
      </c>
      <c r="B274" s="66">
        <v>12991646</v>
      </c>
      <c r="C274" s="66" t="s">
        <v>640</v>
      </c>
      <c r="D274" s="66" t="s">
        <v>636</v>
      </c>
      <c r="E274" s="66" t="s">
        <v>638</v>
      </c>
      <c r="F274" s="66" t="s">
        <v>639</v>
      </c>
      <c r="G274" s="64">
        <v>17</v>
      </c>
      <c r="H274" s="64">
        <v>4</v>
      </c>
      <c r="I274" s="65"/>
      <c r="J274" s="90"/>
      <c r="K274" s="64"/>
      <c r="L274" s="64" t="s">
        <v>322</v>
      </c>
      <c r="M274" s="64" t="s">
        <v>653</v>
      </c>
      <c r="N274" s="63" t="s">
        <v>249</v>
      </c>
      <c r="O274" s="83"/>
      <c r="P274" s="66" t="s">
        <v>88</v>
      </c>
      <c r="Q274" s="66" t="s">
        <v>628</v>
      </c>
      <c r="T274" s="66" t="s">
        <v>249</v>
      </c>
      <c r="U274" s="57" t="str">
        <f t="shared" si="162"/>
        <v>JOSE LUIS TIMANA ARCINIEGAS</v>
      </c>
      <c r="V274" s="57" t="str">
        <f t="shared" si="163"/>
        <v>Jose Luis Timana Arciniegas</v>
      </c>
      <c r="W274" s="57" t="str">
        <f t="shared" si="164"/>
        <v>JOSE LUIS TIMANA ARCINIEGAS-12991646-CUIDADO AL PACIENTE DONANTE</v>
      </c>
    </row>
    <row r="275" spans="1:23" s="66" customFormat="1" x14ac:dyDescent="0.2">
      <c r="A275" s="20">
        <v>274</v>
      </c>
      <c r="B275" s="66">
        <v>12991646</v>
      </c>
      <c r="C275" s="66" t="s">
        <v>640</v>
      </c>
      <c r="D275" s="66" t="s">
        <v>636</v>
      </c>
      <c r="E275" s="66" t="s">
        <v>638</v>
      </c>
      <c r="F275" s="66" t="s">
        <v>639</v>
      </c>
      <c r="G275" s="64">
        <v>23</v>
      </c>
      <c r="H275" s="64">
        <v>4</v>
      </c>
      <c r="I275" s="65"/>
      <c r="J275" s="90"/>
      <c r="K275" s="64"/>
      <c r="L275" s="64" t="s">
        <v>322</v>
      </c>
      <c r="M275" s="64" t="s">
        <v>653</v>
      </c>
      <c r="N275" s="63" t="s">
        <v>75</v>
      </c>
      <c r="O275" s="83"/>
      <c r="P275" s="66" t="s">
        <v>88</v>
      </c>
      <c r="Q275" s="66" t="s">
        <v>628</v>
      </c>
      <c r="T275" s="57" t="str">
        <f>+IF($N275=[1]CURSOS!$D$3,[1]CURSOS!$E$3,(+IF($N275=[1]CURSOS!$D$4,[1]CURSOS!$E$4,(+IF($N275=[1]CURSOS!$D$5,[1]CURSOS!$E$5,(+IF($N275=[1]CURSOS!$D$6,[1]CURSOS!$E$6,(+IF($N275=[1]CURSOS!$D$7,[1]CURSOS!$E$7,(+IF($N275=[1]CURSOS!$D$8,[1]CURSOS!$E$8,(+IF($N275=[1]CURSOS!$D$9,[1]CURSOS!$E$9,(+IF($N275=[1]CURSOS!$D$10,[1]CURSOS!$E$10,(+IF($N275=[1]CURSOS!$D$11,[1]CURSOS!$E$11,(+IF($N275=[1]CURSOS!$D$12,[1]CURSOS!$E$12,(+IF($N275=[1]CURSOS!$D$13,[1]CURSOS!$E$13,(+IF($N275=[1]CURSOS!$D$14,[1]CURSOS!$E$14,(+IF($N275=[1]CURSOS!$D$15,[1]CURSOS!$E$15,(+IF($N275=[1]CURSOS!$D$16,[1]CURSOS!$E$16,(+IF($N275=[1]CURSOS!$D$17,[1]CURSOS!$E$17,(+IF($N275=[1]CURSOS!$D$18,[1]CURSOS!$E$18,(+IF($N275=[1]CURSOS!$D$19,[1]CURSOS!$E$19,(+IF($N275=[1]CURSOS!$D$20,[1]CURSOS!$E$20,(+IF($N275=[1]CURSOS!$D$21,[1]CURSOS!$E$21,(+IF($N275=[1]CURSOS!$D$22,[1]CURSOS!$E$22,(+IF($N275=[1]CURSOS!$D$23,[1]CURSOS!$E$23,(+IF($N275=[1]CURSOS!$D$24,[1]CURSOS!$E$24,(+IF($N275=[1]CURSOS!$D$25,[1]CURSOS!$E$25,(+IF($N275=[1]CURSOS!$D$26,[1]CURSOS!$E$26,(+IF($N275=[1]CURSOS!$D$27,[1]CURSOS!$E$27,(+IF($N275=[1]CURSOS!$D$28,[1]CURSOS!$E$28,(+IF($N275=[1]CURSOS!$D$29,[1]CURSOS!$E$29,(+IF($N275=[1]CURSOS!$D$30,[1]CURSOS!$E$30,(+IF($N275=[1]CURSOS!$D$31,[1]CURSOS!$E$31,(+IF($N275=[1]CURSOS!$D$32,[1]CURSOS!$E$32)))))))))))))))))))))))))))))))))))))))))))))))))))))))))))</f>
        <v>ATENCION A VICTIMAS POR CONFLICTO ARMADO</v>
      </c>
      <c r="U275" s="57" t="str">
        <f t="shared" si="162"/>
        <v>JOSE LUIS TIMANA ARCINIEGAS</v>
      </c>
      <c r="V275" s="57" t="str">
        <f t="shared" si="163"/>
        <v>Jose Luis Timana Arciniegas</v>
      </c>
      <c r="W275" s="57" t="str">
        <f t="shared" si="164"/>
        <v>JOSE LUIS TIMANA ARCINIEGAS-12991646-CONFLICTO ARMADO</v>
      </c>
    </row>
    <row r="276" spans="1:23" s="66" customFormat="1" x14ac:dyDescent="0.2">
      <c r="A276" s="20">
        <v>275</v>
      </c>
      <c r="B276" s="66">
        <v>12991646</v>
      </c>
      <c r="C276" s="66" t="s">
        <v>640</v>
      </c>
      <c r="D276" s="66" t="s">
        <v>636</v>
      </c>
      <c r="E276" s="66" t="s">
        <v>638</v>
      </c>
      <c r="F276" s="66" t="s">
        <v>639</v>
      </c>
      <c r="G276" s="64">
        <v>25</v>
      </c>
      <c r="H276" s="64">
        <v>4</v>
      </c>
      <c r="I276" s="65"/>
      <c r="J276" s="90"/>
      <c r="K276" s="64"/>
      <c r="L276" s="64" t="s">
        <v>322</v>
      </c>
      <c r="M276" s="64" t="s">
        <v>653</v>
      </c>
      <c r="N276" s="63" t="s">
        <v>66</v>
      </c>
      <c r="O276" s="83"/>
      <c r="P276" s="66" t="s">
        <v>88</v>
      </c>
      <c r="Q276" s="66" t="s">
        <v>628</v>
      </c>
      <c r="T276" s="57" t="str">
        <f>+IF($N276=[1]CURSOS!$D$3,[1]CURSOS!$E$3,(+IF($N276=[1]CURSOS!$D$4,[1]CURSOS!$E$4,(+IF($N276=[1]CURSOS!$D$5,[1]CURSOS!$E$5,(+IF($N276=[1]CURSOS!$D$6,[1]CURSOS!$E$6,(+IF($N276=[1]CURSOS!$D$7,[1]CURSOS!$E$7,(+IF($N276=[1]CURSOS!$D$8,[1]CURSOS!$E$8,(+IF($N276=[1]CURSOS!$D$9,[1]CURSOS!$E$9,(+IF($N276=[1]CURSOS!$D$10,[1]CURSOS!$E$10,(+IF($N276=[1]CURSOS!$D$11,[1]CURSOS!$E$11,(+IF($N276=[1]CURSOS!$D$12,[1]CURSOS!$E$12,(+IF($N276=[1]CURSOS!$D$13,[1]CURSOS!$E$13,(+IF($N276=[1]CURSOS!$D$14,[1]CURSOS!$E$14,(+IF($N276=[1]CURSOS!$D$15,[1]CURSOS!$E$15,(+IF($N276=[1]CURSOS!$D$16,[1]CURSOS!$E$16,(+IF($N276=[1]CURSOS!$D$17,[1]CURSOS!$E$17,(+IF($N276=[1]CURSOS!$D$18,[1]CURSOS!$E$18,(+IF($N276=[1]CURSOS!$D$19,[1]CURSOS!$E$19,(+IF($N276=[1]CURSOS!$D$20,[1]CURSOS!$E$20,(+IF($N276=[1]CURSOS!$D$21,[1]CURSOS!$E$21,(+IF($N276=[1]CURSOS!$D$22,[1]CURSOS!$E$22,(+IF($N276=[1]CURSOS!$D$23,[1]CURSOS!$E$23,(+IF($N276=[1]CURSOS!$D$24,[1]CURSOS!$E$24,(+IF($N276=[1]CURSOS!$D$25,[1]CURSOS!$E$25,(+IF($N276=[1]CURSOS!$D$26,[1]CURSOS!$E$26,(+IF($N276=[1]CURSOS!$D$27,[1]CURSOS!$E$27,(+IF($N276=[1]CURSOS!$D$28,[1]CURSOS!$E$28,(+IF($N276=[1]CURSOS!$D$29,[1]CURSOS!$E$29,(+IF($N276=[1]CURSOS!$D$30,[1]CURSOS!$E$30,(+IF($N276=[1]CURSOS!$D$31,[1]CURSOS!$E$31,(+IF($N276=[1]CURSOS!$D$32,[1]CURSOS!$E$32)))))))))))))))))))))))))))))))))))))))))))))))))))))))))))</f>
        <v>MANEJO DEL DOLOR Y CUIDADOS PALIATIVOS</v>
      </c>
      <c r="U276" s="57" t="str">
        <f t="shared" si="162"/>
        <v>JOSE LUIS TIMANA ARCINIEGAS</v>
      </c>
      <c r="V276" s="57" t="str">
        <f t="shared" si="163"/>
        <v>Jose Luis Timana Arciniegas</v>
      </c>
      <c r="W276" s="57" t="str">
        <f t="shared" si="164"/>
        <v>JOSE LUIS TIMANA ARCINIEGAS-12991646-PALIATIVOS</v>
      </c>
    </row>
    <row r="277" spans="1:23" s="66" customFormat="1" x14ac:dyDescent="0.2">
      <c r="A277" s="20">
        <v>276</v>
      </c>
      <c r="B277" s="66">
        <v>88195662</v>
      </c>
      <c r="C277" s="66" t="s">
        <v>643</v>
      </c>
      <c r="D277" s="66" t="s">
        <v>644</v>
      </c>
      <c r="E277" s="66" t="s">
        <v>641</v>
      </c>
      <c r="F277" s="66" t="s">
        <v>642</v>
      </c>
      <c r="G277" s="64">
        <v>9</v>
      </c>
      <c r="H277" s="64">
        <v>4</v>
      </c>
      <c r="I277" s="65"/>
      <c r="J277" s="90"/>
      <c r="K277" s="64"/>
      <c r="L277" s="64" t="s">
        <v>322</v>
      </c>
      <c r="M277" s="64" t="s">
        <v>653</v>
      </c>
      <c r="N277" s="63" t="s">
        <v>46</v>
      </c>
      <c r="O277" s="83"/>
      <c r="P277" s="66" t="s">
        <v>88</v>
      </c>
      <c r="Q277" s="66" t="s">
        <v>628</v>
      </c>
      <c r="T277" s="57" t="str">
        <f>+IF($N277=[1]CURSOS!$D$3,[1]CURSOS!$E$3,(+IF($N277=[1]CURSOS!$D$4,[1]CURSOS!$E$4,(+IF($N277=[1]CURSOS!$D$5,[1]CURSOS!$E$5,(+IF($N277=[1]CURSOS!$D$6,[1]CURSOS!$E$6,(+IF($N277=[1]CURSOS!$D$7,[1]CURSOS!$E$7,(+IF($N277=[1]CURSOS!$D$8,[1]CURSOS!$E$8,(+IF($N277=[1]CURSOS!$D$9,[1]CURSOS!$E$9,(+IF($N277=[1]CURSOS!$D$10,[1]CURSOS!$E$10,(+IF($N277=[1]CURSOS!$D$11,[1]CURSOS!$E$11,(+IF($N277=[1]CURSOS!$D$12,[1]CURSOS!$E$12,(+IF($N277=[1]CURSOS!$D$13,[1]CURSOS!$E$13,(+IF($N277=[1]CURSOS!$D$14,[1]CURSOS!$E$14,(+IF($N277=[1]CURSOS!$D$15,[1]CURSOS!$E$15,(+IF($N277=[1]CURSOS!$D$16,[1]CURSOS!$E$16,(+IF($N277=[1]CURSOS!$D$17,[1]CURSOS!$E$17,(+IF($N277=[1]CURSOS!$D$18,[1]CURSOS!$E$18,(+IF($N277=[1]CURSOS!$D$19,[1]CURSOS!$E$19,(+IF($N277=[1]CURSOS!$D$20,[1]CURSOS!$E$20,(+IF($N277=[1]CURSOS!$D$21,[1]CURSOS!$E$21,(+IF($N277=[1]CURSOS!$D$22,[1]CURSOS!$E$22,(+IF($N277=[1]CURSOS!$D$23,[1]CURSOS!$E$23,(+IF($N277=[1]CURSOS!$D$24,[1]CURSOS!$E$24,(+IF($N277=[1]CURSOS!$D$25,[1]CURSOS!$E$25,(+IF($N277=[1]CURSOS!$D$26,[1]CURSOS!$E$26,(+IF($N277=[1]CURSOS!$D$27,[1]CURSOS!$E$27,(+IF($N277=[1]CURSOS!$D$28,[1]CURSOS!$E$28,(+IF($N277=[1]CURSOS!$D$29,[1]CURSOS!$E$29,(+IF($N277=[1]CURSOS!$D$30,[1]CURSOS!$E$30,(+IF($N277=[1]CURSOS!$D$31,[1]CURSOS!$E$31,(+IF($N277=[1]CURSOS!$D$32,[1]CURSOS!$E$32)))))))))))))))))))))))))))))))))))))))))))))))))))))))))))</f>
        <v xml:space="preserve">ATENCION A VICTIMAS DE VIOLENCIA SEXUAL </v>
      </c>
      <c r="U277" s="57" t="str">
        <f t="shared" si="162"/>
        <v>MIGUEL ANGEL VARGAS RIOS</v>
      </c>
      <c r="V277" s="57" t="str">
        <f t="shared" si="163"/>
        <v>Miguel Angel Vargas Rios</v>
      </c>
      <c r="W277" s="57" t="str">
        <f t="shared" si="164"/>
        <v>MIGUEL ANGEL VARGAS RIOS-88195662-VIOLENCIA SEXUAL</v>
      </c>
    </row>
    <row r="278" spans="1:23" s="66" customFormat="1" x14ac:dyDescent="0.2">
      <c r="A278" s="20">
        <v>277</v>
      </c>
      <c r="B278" s="66">
        <v>88195662</v>
      </c>
      <c r="C278" s="66" t="s">
        <v>643</v>
      </c>
      <c r="D278" s="66" t="s">
        <v>644</v>
      </c>
      <c r="E278" s="66" t="s">
        <v>641</v>
      </c>
      <c r="F278" s="66" t="s">
        <v>642</v>
      </c>
      <c r="G278" s="64">
        <v>11</v>
      </c>
      <c r="H278" s="64">
        <v>4</v>
      </c>
      <c r="I278" s="65"/>
      <c r="J278" s="90"/>
      <c r="K278" s="64"/>
      <c r="L278" s="64" t="s">
        <v>322</v>
      </c>
      <c r="M278" s="64" t="s">
        <v>653</v>
      </c>
      <c r="N278" s="63" t="s">
        <v>25</v>
      </c>
      <c r="O278" s="83"/>
      <c r="P278" s="66" t="s">
        <v>88</v>
      </c>
      <c r="Q278" s="66" t="s">
        <v>628</v>
      </c>
      <c r="T278" s="57" t="str">
        <f>+IF($N278=[1]CURSOS!$D$3,[1]CURSOS!$E$3,(+IF($N278=[1]CURSOS!$D$4,[1]CURSOS!$E$4,(+IF($N278=[1]CURSOS!$D$5,[1]CURSOS!$E$5,(+IF($N278=[1]CURSOS!$D$6,[1]CURSOS!$E$6,(+IF($N278=[1]CURSOS!$D$7,[1]CURSOS!$E$7,(+IF($N278=[1]CURSOS!$D$8,[1]CURSOS!$E$8,(+IF($N278=[1]CURSOS!$D$9,[1]CURSOS!$E$9,(+IF($N278=[1]CURSOS!$D$10,[1]CURSOS!$E$10,(+IF($N278=[1]CURSOS!$D$11,[1]CURSOS!$E$11,(+IF($N278=[1]CURSOS!$D$12,[1]CURSOS!$E$12,(+IF($N278=[1]CURSOS!$D$13,[1]CURSOS!$E$13,(+IF($N278=[1]CURSOS!$D$14,[1]CURSOS!$E$14,(+IF($N278=[1]CURSOS!$D$15,[1]CURSOS!$E$15,(+IF($N278=[1]CURSOS!$D$16,[1]CURSOS!$E$16,(+IF($N278=[1]CURSOS!$D$17,[1]CURSOS!$E$17,(+IF($N278=[1]CURSOS!$D$18,[1]CURSOS!$E$18,(+IF($N278=[1]CURSOS!$D$19,[1]CURSOS!$E$19,(+IF($N278=[1]CURSOS!$D$20,[1]CURSOS!$E$20,(+IF($N278=[1]CURSOS!$D$21,[1]CURSOS!$E$21,(+IF($N278=[1]CURSOS!$D$22,[1]CURSOS!$E$22,(+IF($N278=[1]CURSOS!$D$23,[1]CURSOS!$E$23,(+IF($N278=[1]CURSOS!$D$24,[1]CURSOS!$E$24,(+IF($N278=[1]CURSOS!$D$25,[1]CURSOS!$E$25,(+IF($N278=[1]CURSOS!$D$26,[1]CURSOS!$E$26,(+IF($N278=[1]CURSOS!$D$27,[1]CURSOS!$E$27,(+IF($N278=[1]CURSOS!$D$28,[1]CURSOS!$E$28,(+IF($N278=[1]CURSOS!$D$29,[1]CURSOS!$E$29,(+IF($N278=[1]CURSOS!$D$30,[1]CURSOS!$E$30,(+IF($N278=[1]CURSOS!$D$31,[1]CURSOS!$E$31,(+IF($N278=[1]CURSOS!$D$32,[1]CURSOS!$E$32)))))))))))))))))))))))))))))))))))))))))))))))))))))))))))</f>
        <v xml:space="preserve">ATENCION A VICTIMAS DE ATAQUE CON AGENTES QUIMICOS </v>
      </c>
      <c r="U278" s="57" t="str">
        <f t="shared" si="162"/>
        <v>MIGUEL ANGEL VARGAS RIOS</v>
      </c>
      <c r="V278" s="57" t="str">
        <f t="shared" si="163"/>
        <v>Miguel Angel Vargas Rios</v>
      </c>
      <c r="W278" s="57" t="str">
        <f t="shared" si="164"/>
        <v>MIGUEL ANGEL VARGAS RIOS-88195662-QUIMICOS</v>
      </c>
    </row>
    <row r="279" spans="1:23" s="66" customFormat="1" x14ac:dyDescent="0.2">
      <c r="A279" s="20">
        <v>278</v>
      </c>
      <c r="B279" s="66">
        <v>88195662</v>
      </c>
      <c r="C279" s="66" t="s">
        <v>643</v>
      </c>
      <c r="D279" s="66" t="s">
        <v>644</v>
      </c>
      <c r="E279" s="66" t="s">
        <v>641</v>
      </c>
      <c r="F279" s="66" t="s">
        <v>642</v>
      </c>
      <c r="G279" s="64">
        <v>13</v>
      </c>
      <c r="H279" s="64">
        <v>4</v>
      </c>
      <c r="I279" s="65"/>
      <c r="J279" s="90"/>
      <c r="K279" s="64"/>
      <c r="L279" s="64" t="s">
        <v>322</v>
      </c>
      <c r="M279" s="64" t="s">
        <v>653</v>
      </c>
      <c r="N279" s="63" t="s">
        <v>33</v>
      </c>
      <c r="O279" s="83"/>
      <c r="P279" s="66" t="s">
        <v>88</v>
      </c>
      <c r="Q279" s="66" t="s">
        <v>628</v>
      </c>
      <c r="T279" s="57" t="str">
        <f>+IF($N279=[1]CURSOS!$D$3,[1]CURSOS!$E$3,(+IF($N279=[1]CURSOS!$D$4,[1]CURSOS!$E$4,(+IF($N279=[1]CURSOS!$D$5,[1]CURSOS!$E$5,(+IF($N279=[1]CURSOS!$D$6,[1]CURSOS!$E$6,(+IF($N279=[1]CURSOS!$D$7,[1]CURSOS!$E$7,(+IF($N279=[1]CURSOS!$D$8,[1]CURSOS!$E$8,(+IF($N279=[1]CURSOS!$D$9,[1]CURSOS!$E$9,(+IF($N279=[1]CURSOS!$D$10,[1]CURSOS!$E$10,(+IF($N279=[1]CURSOS!$D$11,[1]CURSOS!$E$11,(+IF($N279=[1]CURSOS!$D$12,[1]CURSOS!$E$12,(+IF($N279=[1]CURSOS!$D$13,[1]CURSOS!$E$13,(+IF($N279=[1]CURSOS!$D$14,[1]CURSOS!$E$14,(+IF($N279=[1]CURSOS!$D$15,[1]CURSOS!$E$15,(+IF($N279=[1]CURSOS!$D$16,[1]CURSOS!$E$16,(+IF($N279=[1]CURSOS!$D$17,[1]CURSOS!$E$17,(+IF($N279=[1]CURSOS!$D$18,[1]CURSOS!$E$18,(+IF($N279=[1]CURSOS!$D$19,[1]CURSOS!$E$19,(+IF($N279=[1]CURSOS!$D$20,[1]CURSOS!$E$20,(+IF($N279=[1]CURSOS!$D$21,[1]CURSOS!$E$21,(+IF($N279=[1]CURSOS!$D$22,[1]CURSOS!$E$22,(+IF($N279=[1]CURSOS!$D$23,[1]CURSOS!$E$23,(+IF($N279=[1]CURSOS!$D$24,[1]CURSOS!$E$24,(+IF($N279=[1]CURSOS!$D$25,[1]CURSOS!$E$25,(+IF($N279=[1]CURSOS!$D$26,[1]CURSOS!$E$26,(+IF($N279=[1]CURSOS!$D$27,[1]CURSOS!$E$27,(+IF($N279=[1]CURSOS!$D$28,[1]CURSOS!$E$28,(+IF($N279=[1]CURSOS!$D$29,[1]CURSOS!$E$29,(+IF($N279=[1]CURSOS!$D$30,[1]CURSOS!$E$30,(+IF($N279=[1]CURSOS!$D$31,[1]CURSOS!$E$31,(+IF($N279=[1]CURSOS!$D$32,[1]CURSOS!$E$32)))))))))))))))))))))))))))))))))))))))))))))))))))))))))))</f>
        <v xml:space="preserve">HUMANIZACION EN SALUD, BUENAS PRACTICAS EN PACIENTE </v>
      </c>
      <c r="U279" s="57" t="str">
        <f t="shared" si="162"/>
        <v>MIGUEL ANGEL VARGAS RIOS</v>
      </c>
      <c r="V279" s="57" t="str">
        <f t="shared" si="163"/>
        <v>Miguel Angel Vargas Rios</v>
      </c>
      <c r="W279" s="57" t="str">
        <f t="shared" si="164"/>
        <v>MIGUEL ANGEL VARGAS RIOS-88195662-HUMANIZACION</v>
      </c>
    </row>
    <row r="280" spans="1:23" s="66" customFormat="1" x14ac:dyDescent="0.2">
      <c r="A280" s="20">
        <v>279</v>
      </c>
      <c r="B280" s="66">
        <v>88195662</v>
      </c>
      <c r="C280" s="66" t="s">
        <v>643</v>
      </c>
      <c r="D280" s="66" t="s">
        <v>644</v>
      </c>
      <c r="E280" s="66" t="s">
        <v>641</v>
      </c>
      <c r="F280" s="66" t="s">
        <v>642</v>
      </c>
      <c r="G280" s="64">
        <v>17</v>
      </c>
      <c r="H280" s="64">
        <v>4</v>
      </c>
      <c r="I280" s="65"/>
      <c r="J280" s="90"/>
      <c r="K280" s="64"/>
      <c r="L280" s="64" t="s">
        <v>322</v>
      </c>
      <c r="M280" s="64" t="s">
        <v>653</v>
      </c>
      <c r="N280" s="63" t="s">
        <v>249</v>
      </c>
      <c r="O280" s="83"/>
      <c r="P280" s="66" t="s">
        <v>88</v>
      </c>
      <c r="Q280" s="66" t="s">
        <v>628</v>
      </c>
      <c r="T280" s="66" t="s">
        <v>249</v>
      </c>
      <c r="U280" s="57" t="str">
        <f t="shared" si="162"/>
        <v>MIGUEL ANGEL VARGAS RIOS</v>
      </c>
      <c r="V280" s="57" t="str">
        <f t="shared" si="163"/>
        <v>Miguel Angel Vargas Rios</v>
      </c>
      <c r="W280" s="57" t="str">
        <f t="shared" si="164"/>
        <v>MIGUEL ANGEL VARGAS RIOS-88195662-CUIDADO AL PACIENTE DONANTE</v>
      </c>
    </row>
    <row r="281" spans="1:23" s="66" customFormat="1" x14ac:dyDescent="0.2">
      <c r="A281" s="20">
        <v>280</v>
      </c>
      <c r="B281" s="66">
        <v>88195662</v>
      </c>
      <c r="C281" s="66" t="s">
        <v>643</v>
      </c>
      <c r="D281" s="66" t="s">
        <v>644</v>
      </c>
      <c r="E281" s="66" t="s">
        <v>641</v>
      </c>
      <c r="F281" s="66" t="s">
        <v>642</v>
      </c>
      <c r="G281" s="64">
        <v>23</v>
      </c>
      <c r="H281" s="64">
        <v>4</v>
      </c>
      <c r="I281" s="65"/>
      <c r="J281" s="90"/>
      <c r="K281" s="64"/>
      <c r="L281" s="64" t="s">
        <v>322</v>
      </c>
      <c r="M281" s="64" t="s">
        <v>653</v>
      </c>
      <c r="N281" s="63" t="s">
        <v>75</v>
      </c>
      <c r="O281" s="83"/>
      <c r="P281" s="66" t="s">
        <v>88</v>
      </c>
      <c r="Q281" s="66" t="s">
        <v>628</v>
      </c>
      <c r="T281" s="57" t="str">
        <f>+IF($N281=[1]CURSOS!$D$3,[1]CURSOS!$E$3,(+IF($N281=[1]CURSOS!$D$4,[1]CURSOS!$E$4,(+IF($N281=[1]CURSOS!$D$5,[1]CURSOS!$E$5,(+IF($N281=[1]CURSOS!$D$6,[1]CURSOS!$E$6,(+IF($N281=[1]CURSOS!$D$7,[1]CURSOS!$E$7,(+IF($N281=[1]CURSOS!$D$8,[1]CURSOS!$E$8,(+IF($N281=[1]CURSOS!$D$9,[1]CURSOS!$E$9,(+IF($N281=[1]CURSOS!$D$10,[1]CURSOS!$E$10,(+IF($N281=[1]CURSOS!$D$11,[1]CURSOS!$E$11,(+IF($N281=[1]CURSOS!$D$12,[1]CURSOS!$E$12,(+IF($N281=[1]CURSOS!$D$13,[1]CURSOS!$E$13,(+IF($N281=[1]CURSOS!$D$14,[1]CURSOS!$E$14,(+IF($N281=[1]CURSOS!$D$15,[1]CURSOS!$E$15,(+IF($N281=[1]CURSOS!$D$16,[1]CURSOS!$E$16,(+IF($N281=[1]CURSOS!$D$17,[1]CURSOS!$E$17,(+IF($N281=[1]CURSOS!$D$18,[1]CURSOS!$E$18,(+IF($N281=[1]CURSOS!$D$19,[1]CURSOS!$E$19,(+IF($N281=[1]CURSOS!$D$20,[1]CURSOS!$E$20,(+IF($N281=[1]CURSOS!$D$21,[1]CURSOS!$E$21,(+IF($N281=[1]CURSOS!$D$22,[1]CURSOS!$E$22,(+IF($N281=[1]CURSOS!$D$23,[1]CURSOS!$E$23,(+IF($N281=[1]CURSOS!$D$24,[1]CURSOS!$E$24,(+IF($N281=[1]CURSOS!$D$25,[1]CURSOS!$E$25,(+IF($N281=[1]CURSOS!$D$26,[1]CURSOS!$E$26,(+IF($N281=[1]CURSOS!$D$27,[1]CURSOS!$E$27,(+IF($N281=[1]CURSOS!$D$28,[1]CURSOS!$E$28,(+IF($N281=[1]CURSOS!$D$29,[1]CURSOS!$E$29,(+IF($N281=[1]CURSOS!$D$30,[1]CURSOS!$E$30,(+IF($N281=[1]CURSOS!$D$31,[1]CURSOS!$E$31,(+IF($N281=[1]CURSOS!$D$32,[1]CURSOS!$E$32)))))))))))))))))))))))))))))))))))))))))))))))))))))))))))</f>
        <v>ATENCION A VICTIMAS POR CONFLICTO ARMADO</v>
      </c>
      <c r="U281" s="57" t="str">
        <f t="shared" si="162"/>
        <v>MIGUEL ANGEL VARGAS RIOS</v>
      </c>
      <c r="V281" s="57" t="str">
        <f t="shared" si="163"/>
        <v>Miguel Angel Vargas Rios</v>
      </c>
      <c r="W281" s="57" t="str">
        <f t="shared" si="164"/>
        <v>MIGUEL ANGEL VARGAS RIOS-88195662-CONFLICTO ARMADO</v>
      </c>
    </row>
    <row r="282" spans="1:23" s="66" customFormat="1" x14ac:dyDescent="0.2">
      <c r="A282" s="20">
        <v>281</v>
      </c>
      <c r="B282" s="66">
        <v>88195662</v>
      </c>
      <c r="C282" s="66" t="s">
        <v>643</v>
      </c>
      <c r="D282" s="66" t="s">
        <v>644</v>
      </c>
      <c r="E282" s="66" t="s">
        <v>641</v>
      </c>
      <c r="F282" s="66" t="s">
        <v>642</v>
      </c>
      <c r="G282" s="64">
        <v>25</v>
      </c>
      <c r="H282" s="64">
        <v>4</v>
      </c>
      <c r="I282" s="65"/>
      <c r="J282" s="90"/>
      <c r="K282" s="64"/>
      <c r="L282" s="64" t="s">
        <v>322</v>
      </c>
      <c r="M282" s="64" t="s">
        <v>653</v>
      </c>
      <c r="N282" s="63" t="s">
        <v>66</v>
      </c>
      <c r="O282" s="83"/>
      <c r="P282" s="66" t="s">
        <v>88</v>
      </c>
      <c r="Q282" s="66" t="s">
        <v>628</v>
      </c>
      <c r="T282" s="57" t="str">
        <f>+IF($N282=[1]CURSOS!$D$3,[1]CURSOS!$E$3,(+IF($N282=[1]CURSOS!$D$4,[1]CURSOS!$E$4,(+IF($N282=[1]CURSOS!$D$5,[1]CURSOS!$E$5,(+IF($N282=[1]CURSOS!$D$6,[1]CURSOS!$E$6,(+IF($N282=[1]CURSOS!$D$7,[1]CURSOS!$E$7,(+IF($N282=[1]CURSOS!$D$8,[1]CURSOS!$E$8,(+IF($N282=[1]CURSOS!$D$9,[1]CURSOS!$E$9,(+IF($N282=[1]CURSOS!$D$10,[1]CURSOS!$E$10,(+IF($N282=[1]CURSOS!$D$11,[1]CURSOS!$E$11,(+IF($N282=[1]CURSOS!$D$12,[1]CURSOS!$E$12,(+IF($N282=[1]CURSOS!$D$13,[1]CURSOS!$E$13,(+IF($N282=[1]CURSOS!$D$14,[1]CURSOS!$E$14,(+IF($N282=[1]CURSOS!$D$15,[1]CURSOS!$E$15,(+IF($N282=[1]CURSOS!$D$16,[1]CURSOS!$E$16,(+IF($N282=[1]CURSOS!$D$17,[1]CURSOS!$E$17,(+IF($N282=[1]CURSOS!$D$18,[1]CURSOS!$E$18,(+IF($N282=[1]CURSOS!$D$19,[1]CURSOS!$E$19,(+IF($N282=[1]CURSOS!$D$20,[1]CURSOS!$E$20,(+IF($N282=[1]CURSOS!$D$21,[1]CURSOS!$E$21,(+IF($N282=[1]CURSOS!$D$22,[1]CURSOS!$E$22,(+IF($N282=[1]CURSOS!$D$23,[1]CURSOS!$E$23,(+IF($N282=[1]CURSOS!$D$24,[1]CURSOS!$E$24,(+IF($N282=[1]CURSOS!$D$25,[1]CURSOS!$E$25,(+IF($N282=[1]CURSOS!$D$26,[1]CURSOS!$E$26,(+IF($N282=[1]CURSOS!$D$27,[1]CURSOS!$E$27,(+IF($N282=[1]CURSOS!$D$28,[1]CURSOS!$E$28,(+IF($N282=[1]CURSOS!$D$29,[1]CURSOS!$E$29,(+IF($N282=[1]CURSOS!$D$30,[1]CURSOS!$E$30,(+IF($N282=[1]CURSOS!$D$31,[1]CURSOS!$E$31,(+IF($N282=[1]CURSOS!$D$32,[1]CURSOS!$E$32)))))))))))))))))))))))))))))))))))))))))))))))))))))))))))</f>
        <v>MANEJO DEL DOLOR Y CUIDADOS PALIATIVOS</v>
      </c>
      <c r="U282" s="57" t="str">
        <f t="shared" si="162"/>
        <v>MIGUEL ANGEL VARGAS RIOS</v>
      </c>
      <c r="V282" s="57" t="str">
        <f t="shared" si="163"/>
        <v>Miguel Angel Vargas Rios</v>
      </c>
      <c r="W282" s="57" t="str">
        <f t="shared" si="164"/>
        <v>MIGUEL ANGEL VARGAS RIOS-88195662-PALIATIVOS</v>
      </c>
    </row>
    <row r="283" spans="1:23" s="66" customFormat="1" x14ac:dyDescent="0.2">
      <c r="A283" s="20">
        <v>282</v>
      </c>
      <c r="B283" s="66">
        <v>98396643</v>
      </c>
      <c r="C283" s="66" t="s">
        <v>647</v>
      </c>
      <c r="D283" s="66" t="s">
        <v>648</v>
      </c>
      <c r="E283" s="66" t="s">
        <v>645</v>
      </c>
      <c r="F283" s="66" t="s">
        <v>646</v>
      </c>
      <c r="G283" s="64">
        <v>9</v>
      </c>
      <c r="H283" s="64">
        <v>4</v>
      </c>
      <c r="I283" s="65"/>
      <c r="J283" s="90"/>
      <c r="K283" s="64"/>
      <c r="L283" s="64" t="s">
        <v>322</v>
      </c>
      <c r="M283" s="64" t="s">
        <v>653</v>
      </c>
      <c r="N283" s="63" t="s">
        <v>46</v>
      </c>
      <c r="O283" s="83"/>
      <c r="P283" s="66" t="s">
        <v>88</v>
      </c>
      <c r="Q283" s="66" t="s">
        <v>628</v>
      </c>
      <c r="T283" s="57" t="str">
        <f>+IF($N283=[1]CURSOS!$D$3,[1]CURSOS!$E$3,(+IF($N283=[1]CURSOS!$D$4,[1]CURSOS!$E$4,(+IF($N283=[1]CURSOS!$D$5,[1]CURSOS!$E$5,(+IF($N283=[1]CURSOS!$D$6,[1]CURSOS!$E$6,(+IF($N283=[1]CURSOS!$D$7,[1]CURSOS!$E$7,(+IF($N283=[1]CURSOS!$D$8,[1]CURSOS!$E$8,(+IF($N283=[1]CURSOS!$D$9,[1]CURSOS!$E$9,(+IF($N283=[1]CURSOS!$D$10,[1]CURSOS!$E$10,(+IF($N283=[1]CURSOS!$D$11,[1]CURSOS!$E$11,(+IF($N283=[1]CURSOS!$D$12,[1]CURSOS!$E$12,(+IF($N283=[1]CURSOS!$D$13,[1]CURSOS!$E$13,(+IF($N283=[1]CURSOS!$D$14,[1]CURSOS!$E$14,(+IF($N283=[1]CURSOS!$D$15,[1]CURSOS!$E$15,(+IF($N283=[1]CURSOS!$D$16,[1]CURSOS!$E$16,(+IF($N283=[1]CURSOS!$D$17,[1]CURSOS!$E$17,(+IF($N283=[1]CURSOS!$D$18,[1]CURSOS!$E$18,(+IF($N283=[1]CURSOS!$D$19,[1]CURSOS!$E$19,(+IF($N283=[1]CURSOS!$D$20,[1]CURSOS!$E$20,(+IF($N283=[1]CURSOS!$D$21,[1]CURSOS!$E$21,(+IF($N283=[1]CURSOS!$D$22,[1]CURSOS!$E$22,(+IF($N283=[1]CURSOS!$D$23,[1]CURSOS!$E$23,(+IF($N283=[1]CURSOS!$D$24,[1]CURSOS!$E$24,(+IF($N283=[1]CURSOS!$D$25,[1]CURSOS!$E$25,(+IF($N283=[1]CURSOS!$D$26,[1]CURSOS!$E$26,(+IF($N283=[1]CURSOS!$D$27,[1]CURSOS!$E$27,(+IF($N283=[1]CURSOS!$D$28,[1]CURSOS!$E$28,(+IF($N283=[1]CURSOS!$D$29,[1]CURSOS!$E$29,(+IF($N283=[1]CURSOS!$D$30,[1]CURSOS!$E$30,(+IF($N283=[1]CURSOS!$D$31,[1]CURSOS!$E$31,(+IF($N283=[1]CURSOS!$D$32,[1]CURSOS!$E$32)))))))))))))))))))))))))))))))))))))))))))))))))))))))))))</f>
        <v xml:space="preserve">ATENCION A VICTIMAS DE VIOLENCIA SEXUAL </v>
      </c>
      <c r="U283" s="57" t="str">
        <f t="shared" si="162"/>
        <v>GIOVANNY MAURICIO CAICEDO RAMOS</v>
      </c>
      <c r="V283" s="57" t="str">
        <f t="shared" si="163"/>
        <v>Giovanny Mauricio Caicedo Ramos</v>
      </c>
      <c r="W283" s="57" t="str">
        <f t="shared" si="164"/>
        <v>GIOVANNY MAURICIO CAICEDO RAMOS-98396643-VIOLENCIA SEXUAL</v>
      </c>
    </row>
    <row r="284" spans="1:23" s="66" customFormat="1" x14ac:dyDescent="0.2">
      <c r="A284" s="20">
        <v>283</v>
      </c>
      <c r="B284" s="66">
        <v>98396643</v>
      </c>
      <c r="C284" s="66" t="s">
        <v>647</v>
      </c>
      <c r="D284" s="66" t="s">
        <v>648</v>
      </c>
      <c r="E284" s="66" t="s">
        <v>645</v>
      </c>
      <c r="F284" s="66" t="s">
        <v>646</v>
      </c>
      <c r="G284" s="64">
        <v>11</v>
      </c>
      <c r="H284" s="64">
        <v>4</v>
      </c>
      <c r="I284" s="65"/>
      <c r="J284" s="90"/>
      <c r="K284" s="64"/>
      <c r="L284" s="64" t="s">
        <v>322</v>
      </c>
      <c r="M284" s="64" t="s">
        <v>653</v>
      </c>
      <c r="N284" s="63" t="s">
        <v>25</v>
      </c>
      <c r="O284" s="83"/>
      <c r="P284" s="66" t="s">
        <v>88</v>
      </c>
      <c r="Q284" s="66" t="s">
        <v>628</v>
      </c>
      <c r="T284" s="57" t="str">
        <f>+IF($N284=[1]CURSOS!$D$3,[1]CURSOS!$E$3,(+IF($N284=[1]CURSOS!$D$4,[1]CURSOS!$E$4,(+IF($N284=[1]CURSOS!$D$5,[1]CURSOS!$E$5,(+IF($N284=[1]CURSOS!$D$6,[1]CURSOS!$E$6,(+IF($N284=[1]CURSOS!$D$7,[1]CURSOS!$E$7,(+IF($N284=[1]CURSOS!$D$8,[1]CURSOS!$E$8,(+IF($N284=[1]CURSOS!$D$9,[1]CURSOS!$E$9,(+IF($N284=[1]CURSOS!$D$10,[1]CURSOS!$E$10,(+IF($N284=[1]CURSOS!$D$11,[1]CURSOS!$E$11,(+IF($N284=[1]CURSOS!$D$12,[1]CURSOS!$E$12,(+IF($N284=[1]CURSOS!$D$13,[1]CURSOS!$E$13,(+IF($N284=[1]CURSOS!$D$14,[1]CURSOS!$E$14,(+IF($N284=[1]CURSOS!$D$15,[1]CURSOS!$E$15,(+IF($N284=[1]CURSOS!$D$16,[1]CURSOS!$E$16,(+IF($N284=[1]CURSOS!$D$17,[1]CURSOS!$E$17,(+IF($N284=[1]CURSOS!$D$18,[1]CURSOS!$E$18,(+IF($N284=[1]CURSOS!$D$19,[1]CURSOS!$E$19,(+IF($N284=[1]CURSOS!$D$20,[1]CURSOS!$E$20,(+IF($N284=[1]CURSOS!$D$21,[1]CURSOS!$E$21,(+IF($N284=[1]CURSOS!$D$22,[1]CURSOS!$E$22,(+IF($N284=[1]CURSOS!$D$23,[1]CURSOS!$E$23,(+IF($N284=[1]CURSOS!$D$24,[1]CURSOS!$E$24,(+IF($N284=[1]CURSOS!$D$25,[1]CURSOS!$E$25,(+IF($N284=[1]CURSOS!$D$26,[1]CURSOS!$E$26,(+IF($N284=[1]CURSOS!$D$27,[1]CURSOS!$E$27,(+IF($N284=[1]CURSOS!$D$28,[1]CURSOS!$E$28,(+IF($N284=[1]CURSOS!$D$29,[1]CURSOS!$E$29,(+IF($N284=[1]CURSOS!$D$30,[1]CURSOS!$E$30,(+IF($N284=[1]CURSOS!$D$31,[1]CURSOS!$E$31,(+IF($N284=[1]CURSOS!$D$32,[1]CURSOS!$E$32)))))))))))))))))))))))))))))))))))))))))))))))))))))))))))</f>
        <v xml:space="preserve">ATENCION A VICTIMAS DE ATAQUE CON AGENTES QUIMICOS </v>
      </c>
      <c r="U284" s="57" t="str">
        <f t="shared" si="162"/>
        <v>GIOVANNY MAURICIO CAICEDO RAMOS</v>
      </c>
      <c r="V284" s="57" t="str">
        <f t="shared" si="163"/>
        <v>Giovanny Mauricio Caicedo Ramos</v>
      </c>
      <c r="W284" s="57" t="str">
        <f t="shared" si="164"/>
        <v>GIOVANNY MAURICIO CAICEDO RAMOS-98396643-QUIMICOS</v>
      </c>
    </row>
    <row r="285" spans="1:23" s="66" customFormat="1" x14ac:dyDescent="0.2">
      <c r="A285" s="20">
        <v>284</v>
      </c>
      <c r="B285" s="66">
        <v>98396643</v>
      </c>
      <c r="C285" s="66" t="s">
        <v>647</v>
      </c>
      <c r="D285" s="66" t="s">
        <v>648</v>
      </c>
      <c r="E285" s="66" t="s">
        <v>645</v>
      </c>
      <c r="F285" s="66" t="s">
        <v>646</v>
      </c>
      <c r="G285" s="64">
        <v>13</v>
      </c>
      <c r="H285" s="64">
        <v>4</v>
      </c>
      <c r="I285" s="65"/>
      <c r="J285" s="90"/>
      <c r="K285" s="64"/>
      <c r="L285" s="64" t="s">
        <v>322</v>
      </c>
      <c r="M285" s="64" t="s">
        <v>653</v>
      </c>
      <c r="N285" s="63" t="s">
        <v>33</v>
      </c>
      <c r="O285" s="83"/>
      <c r="P285" s="66" t="s">
        <v>88</v>
      </c>
      <c r="Q285" s="66" t="s">
        <v>628</v>
      </c>
      <c r="T285" s="57" t="str">
        <f>+IF($N285=[1]CURSOS!$D$3,[1]CURSOS!$E$3,(+IF($N285=[1]CURSOS!$D$4,[1]CURSOS!$E$4,(+IF($N285=[1]CURSOS!$D$5,[1]CURSOS!$E$5,(+IF($N285=[1]CURSOS!$D$6,[1]CURSOS!$E$6,(+IF($N285=[1]CURSOS!$D$7,[1]CURSOS!$E$7,(+IF($N285=[1]CURSOS!$D$8,[1]CURSOS!$E$8,(+IF($N285=[1]CURSOS!$D$9,[1]CURSOS!$E$9,(+IF($N285=[1]CURSOS!$D$10,[1]CURSOS!$E$10,(+IF($N285=[1]CURSOS!$D$11,[1]CURSOS!$E$11,(+IF($N285=[1]CURSOS!$D$12,[1]CURSOS!$E$12,(+IF($N285=[1]CURSOS!$D$13,[1]CURSOS!$E$13,(+IF($N285=[1]CURSOS!$D$14,[1]CURSOS!$E$14,(+IF($N285=[1]CURSOS!$D$15,[1]CURSOS!$E$15,(+IF($N285=[1]CURSOS!$D$16,[1]CURSOS!$E$16,(+IF($N285=[1]CURSOS!$D$17,[1]CURSOS!$E$17,(+IF($N285=[1]CURSOS!$D$18,[1]CURSOS!$E$18,(+IF($N285=[1]CURSOS!$D$19,[1]CURSOS!$E$19,(+IF($N285=[1]CURSOS!$D$20,[1]CURSOS!$E$20,(+IF($N285=[1]CURSOS!$D$21,[1]CURSOS!$E$21,(+IF($N285=[1]CURSOS!$D$22,[1]CURSOS!$E$22,(+IF($N285=[1]CURSOS!$D$23,[1]CURSOS!$E$23,(+IF($N285=[1]CURSOS!$D$24,[1]CURSOS!$E$24,(+IF($N285=[1]CURSOS!$D$25,[1]CURSOS!$E$25,(+IF($N285=[1]CURSOS!$D$26,[1]CURSOS!$E$26,(+IF($N285=[1]CURSOS!$D$27,[1]CURSOS!$E$27,(+IF($N285=[1]CURSOS!$D$28,[1]CURSOS!$E$28,(+IF($N285=[1]CURSOS!$D$29,[1]CURSOS!$E$29,(+IF($N285=[1]CURSOS!$D$30,[1]CURSOS!$E$30,(+IF($N285=[1]CURSOS!$D$31,[1]CURSOS!$E$31,(+IF($N285=[1]CURSOS!$D$32,[1]CURSOS!$E$32)))))))))))))))))))))))))))))))))))))))))))))))))))))))))))</f>
        <v xml:space="preserve">HUMANIZACION EN SALUD, BUENAS PRACTICAS EN PACIENTE </v>
      </c>
      <c r="U285" s="57" t="str">
        <f t="shared" si="162"/>
        <v>GIOVANNY MAURICIO CAICEDO RAMOS</v>
      </c>
      <c r="V285" s="57" t="str">
        <f t="shared" si="163"/>
        <v>Giovanny Mauricio Caicedo Ramos</v>
      </c>
      <c r="W285" s="57" t="str">
        <f t="shared" si="164"/>
        <v>GIOVANNY MAURICIO CAICEDO RAMOS-98396643-HUMANIZACION</v>
      </c>
    </row>
    <row r="286" spans="1:23" s="66" customFormat="1" x14ac:dyDescent="0.2">
      <c r="A286" s="20">
        <v>285</v>
      </c>
      <c r="B286" s="66">
        <v>98396643</v>
      </c>
      <c r="C286" s="66" t="s">
        <v>647</v>
      </c>
      <c r="D286" s="66" t="s">
        <v>648</v>
      </c>
      <c r="E286" s="66" t="s">
        <v>645</v>
      </c>
      <c r="F286" s="66" t="s">
        <v>646</v>
      </c>
      <c r="G286" s="64">
        <v>17</v>
      </c>
      <c r="H286" s="64">
        <v>4</v>
      </c>
      <c r="I286" s="65"/>
      <c r="J286" s="90"/>
      <c r="K286" s="64"/>
      <c r="L286" s="64" t="s">
        <v>322</v>
      </c>
      <c r="M286" s="64" t="s">
        <v>653</v>
      </c>
      <c r="N286" s="63" t="s">
        <v>249</v>
      </c>
      <c r="O286" s="83"/>
      <c r="P286" s="66" t="s">
        <v>88</v>
      </c>
      <c r="Q286" s="66" t="s">
        <v>628</v>
      </c>
      <c r="T286" s="66" t="s">
        <v>249</v>
      </c>
      <c r="U286" s="57" t="str">
        <f t="shared" si="162"/>
        <v>GIOVANNY MAURICIO CAICEDO RAMOS</v>
      </c>
      <c r="V286" s="57" t="str">
        <f t="shared" si="163"/>
        <v>Giovanny Mauricio Caicedo Ramos</v>
      </c>
      <c r="W286" s="57" t="str">
        <f t="shared" si="164"/>
        <v>GIOVANNY MAURICIO CAICEDO RAMOS-98396643-CUIDADO AL PACIENTE DONANTE</v>
      </c>
    </row>
    <row r="287" spans="1:23" s="66" customFormat="1" x14ac:dyDescent="0.2">
      <c r="A287" s="20">
        <v>286</v>
      </c>
      <c r="B287" s="66">
        <v>98396643</v>
      </c>
      <c r="C287" s="66" t="s">
        <v>647</v>
      </c>
      <c r="D287" s="66" t="s">
        <v>648</v>
      </c>
      <c r="E287" s="66" t="s">
        <v>645</v>
      </c>
      <c r="F287" s="66" t="s">
        <v>646</v>
      </c>
      <c r="G287" s="64">
        <v>23</v>
      </c>
      <c r="H287" s="64">
        <v>4</v>
      </c>
      <c r="I287" s="65"/>
      <c r="J287" s="90"/>
      <c r="K287" s="64"/>
      <c r="L287" s="64" t="s">
        <v>322</v>
      </c>
      <c r="M287" s="64" t="s">
        <v>653</v>
      </c>
      <c r="N287" s="63" t="s">
        <v>75</v>
      </c>
      <c r="O287" s="83"/>
      <c r="P287" s="66" t="s">
        <v>88</v>
      </c>
      <c r="Q287" s="66" t="s">
        <v>628</v>
      </c>
      <c r="T287" s="57" t="str">
        <f>+IF($N287=[1]CURSOS!$D$3,[1]CURSOS!$E$3,(+IF($N287=[1]CURSOS!$D$4,[1]CURSOS!$E$4,(+IF($N287=[1]CURSOS!$D$5,[1]CURSOS!$E$5,(+IF($N287=[1]CURSOS!$D$6,[1]CURSOS!$E$6,(+IF($N287=[1]CURSOS!$D$7,[1]CURSOS!$E$7,(+IF($N287=[1]CURSOS!$D$8,[1]CURSOS!$E$8,(+IF($N287=[1]CURSOS!$D$9,[1]CURSOS!$E$9,(+IF($N287=[1]CURSOS!$D$10,[1]CURSOS!$E$10,(+IF($N287=[1]CURSOS!$D$11,[1]CURSOS!$E$11,(+IF($N287=[1]CURSOS!$D$12,[1]CURSOS!$E$12,(+IF($N287=[1]CURSOS!$D$13,[1]CURSOS!$E$13,(+IF($N287=[1]CURSOS!$D$14,[1]CURSOS!$E$14,(+IF($N287=[1]CURSOS!$D$15,[1]CURSOS!$E$15,(+IF($N287=[1]CURSOS!$D$16,[1]CURSOS!$E$16,(+IF($N287=[1]CURSOS!$D$17,[1]CURSOS!$E$17,(+IF($N287=[1]CURSOS!$D$18,[1]CURSOS!$E$18,(+IF($N287=[1]CURSOS!$D$19,[1]CURSOS!$E$19,(+IF($N287=[1]CURSOS!$D$20,[1]CURSOS!$E$20,(+IF($N287=[1]CURSOS!$D$21,[1]CURSOS!$E$21,(+IF($N287=[1]CURSOS!$D$22,[1]CURSOS!$E$22,(+IF($N287=[1]CURSOS!$D$23,[1]CURSOS!$E$23,(+IF($N287=[1]CURSOS!$D$24,[1]CURSOS!$E$24,(+IF($N287=[1]CURSOS!$D$25,[1]CURSOS!$E$25,(+IF($N287=[1]CURSOS!$D$26,[1]CURSOS!$E$26,(+IF($N287=[1]CURSOS!$D$27,[1]CURSOS!$E$27,(+IF($N287=[1]CURSOS!$D$28,[1]CURSOS!$E$28,(+IF($N287=[1]CURSOS!$D$29,[1]CURSOS!$E$29,(+IF($N287=[1]CURSOS!$D$30,[1]CURSOS!$E$30,(+IF($N287=[1]CURSOS!$D$31,[1]CURSOS!$E$31,(+IF($N287=[1]CURSOS!$D$32,[1]CURSOS!$E$32)))))))))))))))))))))))))))))))))))))))))))))))))))))))))))</f>
        <v>ATENCION A VICTIMAS POR CONFLICTO ARMADO</v>
      </c>
      <c r="U287" s="57" t="str">
        <f t="shared" si="162"/>
        <v>GIOVANNY MAURICIO CAICEDO RAMOS</v>
      </c>
      <c r="V287" s="57" t="str">
        <f t="shared" si="163"/>
        <v>Giovanny Mauricio Caicedo Ramos</v>
      </c>
      <c r="W287" s="57" t="str">
        <f t="shared" si="164"/>
        <v>GIOVANNY MAURICIO CAICEDO RAMOS-98396643-CONFLICTO ARMADO</v>
      </c>
    </row>
    <row r="288" spans="1:23" s="66" customFormat="1" x14ac:dyDescent="0.2">
      <c r="A288" s="20">
        <v>287</v>
      </c>
      <c r="B288" s="66">
        <v>98396643</v>
      </c>
      <c r="C288" s="66" t="s">
        <v>647</v>
      </c>
      <c r="D288" s="66" t="s">
        <v>648</v>
      </c>
      <c r="E288" s="66" t="s">
        <v>645</v>
      </c>
      <c r="F288" s="66" t="s">
        <v>646</v>
      </c>
      <c r="G288" s="64">
        <v>25</v>
      </c>
      <c r="H288" s="64">
        <v>4</v>
      </c>
      <c r="I288" s="65"/>
      <c r="J288" s="90"/>
      <c r="K288" s="64"/>
      <c r="L288" s="64" t="s">
        <v>322</v>
      </c>
      <c r="M288" s="64" t="s">
        <v>653</v>
      </c>
      <c r="N288" s="63" t="s">
        <v>66</v>
      </c>
      <c r="O288" s="83"/>
      <c r="P288" s="66" t="s">
        <v>88</v>
      </c>
      <c r="Q288" s="66" t="s">
        <v>148</v>
      </c>
      <c r="T288" s="57" t="str">
        <f>+IF($N288=[1]CURSOS!$D$3,[1]CURSOS!$E$3,(+IF($N288=[1]CURSOS!$D$4,[1]CURSOS!$E$4,(+IF($N288=[1]CURSOS!$D$5,[1]CURSOS!$E$5,(+IF($N288=[1]CURSOS!$D$6,[1]CURSOS!$E$6,(+IF($N288=[1]CURSOS!$D$7,[1]CURSOS!$E$7,(+IF($N288=[1]CURSOS!$D$8,[1]CURSOS!$E$8,(+IF($N288=[1]CURSOS!$D$9,[1]CURSOS!$E$9,(+IF($N288=[1]CURSOS!$D$10,[1]CURSOS!$E$10,(+IF($N288=[1]CURSOS!$D$11,[1]CURSOS!$E$11,(+IF($N288=[1]CURSOS!$D$12,[1]CURSOS!$E$12,(+IF($N288=[1]CURSOS!$D$13,[1]CURSOS!$E$13,(+IF($N288=[1]CURSOS!$D$14,[1]CURSOS!$E$14,(+IF($N288=[1]CURSOS!$D$15,[1]CURSOS!$E$15,(+IF($N288=[1]CURSOS!$D$16,[1]CURSOS!$E$16,(+IF($N288=[1]CURSOS!$D$17,[1]CURSOS!$E$17,(+IF($N288=[1]CURSOS!$D$18,[1]CURSOS!$E$18,(+IF($N288=[1]CURSOS!$D$19,[1]CURSOS!$E$19,(+IF($N288=[1]CURSOS!$D$20,[1]CURSOS!$E$20,(+IF($N288=[1]CURSOS!$D$21,[1]CURSOS!$E$21,(+IF($N288=[1]CURSOS!$D$22,[1]CURSOS!$E$22,(+IF($N288=[1]CURSOS!$D$23,[1]CURSOS!$E$23,(+IF($N288=[1]CURSOS!$D$24,[1]CURSOS!$E$24,(+IF($N288=[1]CURSOS!$D$25,[1]CURSOS!$E$25,(+IF($N288=[1]CURSOS!$D$26,[1]CURSOS!$E$26,(+IF($N288=[1]CURSOS!$D$27,[1]CURSOS!$E$27,(+IF($N288=[1]CURSOS!$D$28,[1]CURSOS!$E$28,(+IF($N288=[1]CURSOS!$D$29,[1]CURSOS!$E$29,(+IF($N288=[1]CURSOS!$D$30,[1]CURSOS!$E$30,(+IF($N288=[1]CURSOS!$D$31,[1]CURSOS!$E$31,(+IF($N288=[1]CURSOS!$D$32,[1]CURSOS!$E$32)))))))))))))))))))))))))))))))))))))))))))))))))))))))))))</f>
        <v>MANEJO DEL DOLOR Y CUIDADOS PALIATIVOS</v>
      </c>
      <c r="U288" s="57" t="str">
        <f t="shared" si="162"/>
        <v>GIOVANNY MAURICIO CAICEDO RAMOS</v>
      </c>
      <c r="V288" s="57" t="str">
        <f t="shared" si="163"/>
        <v>Giovanny Mauricio Caicedo Ramos</v>
      </c>
      <c r="W288" s="57" t="str">
        <f t="shared" si="164"/>
        <v>GIOVANNY MAURICIO CAICEDO RAMOS-98396643-PALIATIVOS</v>
      </c>
    </row>
    <row r="289" spans="1:23" s="66" customFormat="1" x14ac:dyDescent="0.2">
      <c r="A289" s="20">
        <v>288</v>
      </c>
      <c r="B289" s="66">
        <v>1144065320</v>
      </c>
      <c r="C289" s="66" t="s">
        <v>651</v>
      </c>
      <c r="D289" s="66" t="s">
        <v>652</v>
      </c>
      <c r="E289" s="66" t="s">
        <v>649</v>
      </c>
      <c r="F289" s="66" t="s">
        <v>650</v>
      </c>
      <c r="G289" s="64">
        <v>9</v>
      </c>
      <c r="H289" s="64">
        <v>4</v>
      </c>
      <c r="I289" s="65"/>
      <c r="J289" s="90"/>
      <c r="K289" s="64"/>
      <c r="L289" s="64" t="s">
        <v>322</v>
      </c>
      <c r="M289" s="64" t="s">
        <v>653</v>
      </c>
      <c r="N289" s="63" t="s">
        <v>46</v>
      </c>
      <c r="O289" s="83"/>
      <c r="P289" s="66" t="s">
        <v>88</v>
      </c>
      <c r="Q289" s="66" t="s">
        <v>148</v>
      </c>
      <c r="T289" s="57" t="str">
        <f>+IF($N289=[1]CURSOS!$D$3,[1]CURSOS!$E$3,(+IF($N289=[1]CURSOS!$D$4,[1]CURSOS!$E$4,(+IF($N289=[1]CURSOS!$D$5,[1]CURSOS!$E$5,(+IF($N289=[1]CURSOS!$D$6,[1]CURSOS!$E$6,(+IF($N289=[1]CURSOS!$D$7,[1]CURSOS!$E$7,(+IF($N289=[1]CURSOS!$D$8,[1]CURSOS!$E$8,(+IF($N289=[1]CURSOS!$D$9,[1]CURSOS!$E$9,(+IF($N289=[1]CURSOS!$D$10,[1]CURSOS!$E$10,(+IF($N289=[1]CURSOS!$D$11,[1]CURSOS!$E$11,(+IF($N289=[1]CURSOS!$D$12,[1]CURSOS!$E$12,(+IF($N289=[1]CURSOS!$D$13,[1]CURSOS!$E$13,(+IF($N289=[1]CURSOS!$D$14,[1]CURSOS!$E$14,(+IF($N289=[1]CURSOS!$D$15,[1]CURSOS!$E$15,(+IF($N289=[1]CURSOS!$D$16,[1]CURSOS!$E$16,(+IF($N289=[1]CURSOS!$D$17,[1]CURSOS!$E$17,(+IF($N289=[1]CURSOS!$D$18,[1]CURSOS!$E$18,(+IF($N289=[1]CURSOS!$D$19,[1]CURSOS!$E$19,(+IF($N289=[1]CURSOS!$D$20,[1]CURSOS!$E$20,(+IF($N289=[1]CURSOS!$D$21,[1]CURSOS!$E$21,(+IF($N289=[1]CURSOS!$D$22,[1]CURSOS!$E$22,(+IF($N289=[1]CURSOS!$D$23,[1]CURSOS!$E$23,(+IF($N289=[1]CURSOS!$D$24,[1]CURSOS!$E$24,(+IF($N289=[1]CURSOS!$D$25,[1]CURSOS!$E$25,(+IF($N289=[1]CURSOS!$D$26,[1]CURSOS!$E$26,(+IF($N289=[1]CURSOS!$D$27,[1]CURSOS!$E$27,(+IF($N289=[1]CURSOS!$D$28,[1]CURSOS!$E$28,(+IF($N289=[1]CURSOS!$D$29,[1]CURSOS!$E$29,(+IF($N289=[1]CURSOS!$D$30,[1]CURSOS!$E$30,(+IF($N289=[1]CURSOS!$D$31,[1]CURSOS!$E$31,(+IF($N289=[1]CURSOS!$D$32,[1]CURSOS!$E$32)))))))))))))))))))))))))))))))))))))))))))))))))))))))))))</f>
        <v xml:space="preserve">ATENCION A VICTIMAS DE VIOLENCIA SEXUAL </v>
      </c>
      <c r="U289" s="57" t="str">
        <f t="shared" si="162"/>
        <v>SEBASTIAN RAMIRO TORO MARTINEZ</v>
      </c>
      <c r="V289" s="57" t="str">
        <f t="shared" si="163"/>
        <v>Sebastian Ramiro Toro Martinez</v>
      </c>
      <c r="W289" s="57" t="str">
        <f t="shared" si="164"/>
        <v>SEBASTIAN RAMIRO TORO MARTINEZ-1144065320-VIOLENCIA SEXUAL</v>
      </c>
    </row>
    <row r="290" spans="1:23" s="66" customFormat="1" x14ac:dyDescent="0.2">
      <c r="A290" s="20">
        <v>289</v>
      </c>
      <c r="B290" s="66">
        <v>1144065320</v>
      </c>
      <c r="C290" s="66" t="s">
        <v>651</v>
      </c>
      <c r="D290" s="66" t="s">
        <v>652</v>
      </c>
      <c r="E290" s="66" t="s">
        <v>649</v>
      </c>
      <c r="F290" s="66" t="s">
        <v>650</v>
      </c>
      <c r="G290" s="64">
        <v>11</v>
      </c>
      <c r="H290" s="64">
        <v>4</v>
      </c>
      <c r="I290" s="65"/>
      <c r="J290" s="90"/>
      <c r="K290" s="64"/>
      <c r="L290" s="64" t="s">
        <v>322</v>
      </c>
      <c r="M290" s="64" t="s">
        <v>653</v>
      </c>
      <c r="N290" s="63" t="s">
        <v>25</v>
      </c>
      <c r="O290" s="83"/>
      <c r="P290" s="66" t="s">
        <v>88</v>
      </c>
      <c r="Q290" s="66" t="s">
        <v>148</v>
      </c>
      <c r="T290" s="57" t="str">
        <f>+IF($N290=[1]CURSOS!$D$3,[1]CURSOS!$E$3,(+IF($N290=[1]CURSOS!$D$4,[1]CURSOS!$E$4,(+IF($N290=[1]CURSOS!$D$5,[1]CURSOS!$E$5,(+IF($N290=[1]CURSOS!$D$6,[1]CURSOS!$E$6,(+IF($N290=[1]CURSOS!$D$7,[1]CURSOS!$E$7,(+IF($N290=[1]CURSOS!$D$8,[1]CURSOS!$E$8,(+IF($N290=[1]CURSOS!$D$9,[1]CURSOS!$E$9,(+IF($N290=[1]CURSOS!$D$10,[1]CURSOS!$E$10,(+IF($N290=[1]CURSOS!$D$11,[1]CURSOS!$E$11,(+IF($N290=[1]CURSOS!$D$12,[1]CURSOS!$E$12,(+IF($N290=[1]CURSOS!$D$13,[1]CURSOS!$E$13,(+IF($N290=[1]CURSOS!$D$14,[1]CURSOS!$E$14,(+IF($N290=[1]CURSOS!$D$15,[1]CURSOS!$E$15,(+IF($N290=[1]CURSOS!$D$16,[1]CURSOS!$E$16,(+IF($N290=[1]CURSOS!$D$17,[1]CURSOS!$E$17,(+IF($N290=[1]CURSOS!$D$18,[1]CURSOS!$E$18,(+IF($N290=[1]CURSOS!$D$19,[1]CURSOS!$E$19,(+IF($N290=[1]CURSOS!$D$20,[1]CURSOS!$E$20,(+IF($N290=[1]CURSOS!$D$21,[1]CURSOS!$E$21,(+IF($N290=[1]CURSOS!$D$22,[1]CURSOS!$E$22,(+IF($N290=[1]CURSOS!$D$23,[1]CURSOS!$E$23,(+IF($N290=[1]CURSOS!$D$24,[1]CURSOS!$E$24,(+IF($N290=[1]CURSOS!$D$25,[1]CURSOS!$E$25,(+IF($N290=[1]CURSOS!$D$26,[1]CURSOS!$E$26,(+IF($N290=[1]CURSOS!$D$27,[1]CURSOS!$E$27,(+IF($N290=[1]CURSOS!$D$28,[1]CURSOS!$E$28,(+IF($N290=[1]CURSOS!$D$29,[1]CURSOS!$E$29,(+IF($N290=[1]CURSOS!$D$30,[1]CURSOS!$E$30,(+IF($N290=[1]CURSOS!$D$31,[1]CURSOS!$E$31,(+IF($N290=[1]CURSOS!$D$32,[1]CURSOS!$E$32)))))))))))))))))))))))))))))))))))))))))))))))))))))))))))</f>
        <v xml:space="preserve">ATENCION A VICTIMAS DE ATAQUE CON AGENTES QUIMICOS </v>
      </c>
      <c r="U290" s="57" t="str">
        <f t="shared" si="162"/>
        <v>SEBASTIAN RAMIRO TORO MARTINEZ</v>
      </c>
      <c r="V290" s="57" t="str">
        <f t="shared" si="163"/>
        <v>Sebastian Ramiro Toro Martinez</v>
      </c>
      <c r="W290" s="57" t="str">
        <f t="shared" si="164"/>
        <v>SEBASTIAN RAMIRO TORO MARTINEZ-1144065320-QUIMICOS</v>
      </c>
    </row>
    <row r="291" spans="1:23" s="66" customFormat="1" x14ac:dyDescent="0.2">
      <c r="A291" s="20">
        <v>290</v>
      </c>
      <c r="B291" s="66">
        <v>1144065320</v>
      </c>
      <c r="C291" s="66" t="s">
        <v>651</v>
      </c>
      <c r="D291" s="66" t="s">
        <v>652</v>
      </c>
      <c r="E291" s="66" t="s">
        <v>649</v>
      </c>
      <c r="F291" s="66" t="s">
        <v>650</v>
      </c>
      <c r="G291" s="64">
        <v>13</v>
      </c>
      <c r="H291" s="64">
        <v>4</v>
      </c>
      <c r="I291" s="65"/>
      <c r="J291" s="90"/>
      <c r="K291" s="64"/>
      <c r="L291" s="64" t="s">
        <v>322</v>
      </c>
      <c r="M291" s="64" t="s">
        <v>653</v>
      </c>
      <c r="N291" s="63" t="s">
        <v>33</v>
      </c>
      <c r="O291" s="83"/>
      <c r="P291" s="66" t="s">
        <v>88</v>
      </c>
      <c r="Q291" s="66" t="s">
        <v>148</v>
      </c>
      <c r="T291" s="57" t="str">
        <f>+IF($N291=[1]CURSOS!$D$3,[1]CURSOS!$E$3,(+IF($N291=[1]CURSOS!$D$4,[1]CURSOS!$E$4,(+IF($N291=[1]CURSOS!$D$5,[1]CURSOS!$E$5,(+IF($N291=[1]CURSOS!$D$6,[1]CURSOS!$E$6,(+IF($N291=[1]CURSOS!$D$7,[1]CURSOS!$E$7,(+IF($N291=[1]CURSOS!$D$8,[1]CURSOS!$E$8,(+IF($N291=[1]CURSOS!$D$9,[1]CURSOS!$E$9,(+IF($N291=[1]CURSOS!$D$10,[1]CURSOS!$E$10,(+IF($N291=[1]CURSOS!$D$11,[1]CURSOS!$E$11,(+IF($N291=[1]CURSOS!$D$12,[1]CURSOS!$E$12,(+IF($N291=[1]CURSOS!$D$13,[1]CURSOS!$E$13,(+IF($N291=[1]CURSOS!$D$14,[1]CURSOS!$E$14,(+IF($N291=[1]CURSOS!$D$15,[1]CURSOS!$E$15,(+IF($N291=[1]CURSOS!$D$16,[1]CURSOS!$E$16,(+IF($N291=[1]CURSOS!$D$17,[1]CURSOS!$E$17,(+IF($N291=[1]CURSOS!$D$18,[1]CURSOS!$E$18,(+IF($N291=[1]CURSOS!$D$19,[1]CURSOS!$E$19,(+IF($N291=[1]CURSOS!$D$20,[1]CURSOS!$E$20,(+IF($N291=[1]CURSOS!$D$21,[1]CURSOS!$E$21,(+IF($N291=[1]CURSOS!$D$22,[1]CURSOS!$E$22,(+IF($N291=[1]CURSOS!$D$23,[1]CURSOS!$E$23,(+IF($N291=[1]CURSOS!$D$24,[1]CURSOS!$E$24,(+IF($N291=[1]CURSOS!$D$25,[1]CURSOS!$E$25,(+IF($N291=[1]CURSOS!$D$26,[1]CURSOS!$E$26,(+IF($N291=[1]CURSOS!$D$27,[1]CURSOS!$E$27,(+IF($N291=[1]CURSOS!$D$28,[1]CURSOS!$E$28,(+IF($N291=[1]CURSOS!$D$29,[1]CURSOS!$E$29,(+IF($N291=[1]CURSOS!$D$30,[1]CURSOS!$E$30,(+IF($N291=[1]CURSOS!$D$31,[1]CURSOS!$E$31,(+IF($N291=[1]CURSOS!$D$32,[1]CURSOS!$E$32)))))))))))))))))))))))))))))))))))))))))))))))))))))))))))</f>
        <v xml:space="preserve">HUMANIZACION EN SALUD, BUENAS PRACTICAS EN PACIENTE </v>
      </c>
      <c r="U291" s="57" t="str">
        <f t="shared" si="162"/>
        <v>SEBASTIAN RAMIRO TORO MARTINEZ</v>
      </c>
      <c r="V291" s="57" t="str">
        <f t="shared" si="163"/>
        <v>Sebastian Ramiro Toro Martinez</v>
      </c>
      <c r="W291" s="57" t="str">
        <f t="shared" si="164"/>
        <v>SEBASTIAN RAMIRO TORO MARTINEZ-1144065320-HUMANIZACION</v>
      </c>
    </row>
    <row r="292" spans="1:23" s="66" customFormat="1" x14ac:dyDescent="0.2">
      <c r="A292" s="20">
        <v>291</v>
      </c>
      <c r="B292" s="66">
        <v>1144065320</v>
      </c>
      <c r="C292" s="66" t="s">
        <v>651</v>
      </c>
      <c r="D292" s="66" t="s">
        <v>652</v>
      </c>
      <c r="E292" s="66" t="s">
        <v>649</v>
      </c>
      <c r="F292" s="66" t="s">
        <v>650</v>
      </c>
      <c r="G292" s="64">
        <v>17</v>
      </c>
      <c r="H292" s="64">
        <v>4</v>
      </c>
      <c r="I292" s="65"/>
      <c r="J292" s="90"/>
      <c r="K292" s="64"/>
      <c r="L292" s="64" t="s">
        <v>322</v>
      </c>
      <c r="M292" s="64" t="s">
        <v>653</v>
      </c>
      <c r="N292" s="63" t="s">
        <v>249</v>
      </c>
      <c r="O292" s="83"/>
      <c r="P292" s="66" t="s">
        <v>88</v>
      </c>
      <c r="Q292" s="66" t="s">
        <v>148</v>
      </c>
      <c r="T292" s="66" t="s">
        <v>249</v>
      </c>
      <c r="U292" s="57" t="str">
        <f t="shared" si="162"/>
        <v>SEBASTIAN RAMIRO TORO MARTINEZ</v>
      </c>
      <c r="V292" s="57" t="str">
        <f t="shared" si="163"/>
        <v>Sebastian Ramiro Toro Martinez</v>
      </c>
      <c r="W292" s="57" t="str">
        <f t="shared" si="164"/>
        <v>SEBASTIAN RAMIRO TORO MARTINEZ-1144065320-CUIDADO AL PACIENTE DONANTE</v>
      </c>
    </row>
    <row r="293" spans="1:23" s="66" customFormat="1" x14ac:dyDescent="0.2">
      <c r="A293" s="20">
        <v>292</v>
      </c>
      <c r="B293" s="66">
        <v>1144065320</v>
      </c>
      <c r="C293" s="66" t="s">
        <v>651</v>
      </c>
      <c r="D293" s="66" t="s">
        <v>652</v>
      </c>
      <c r="E293" s="66" t="s">
        <v>649</v>
      </c>
      <c r="F293" s="66" t="s">
        <v>650</v>
      </c>
      <c r="G293" s="64">
        <v>23</v>
      </c>
      <c r="H293" s="64">
        <v>4</v>
      </c>
      <c r="I293" s="65"/>
      <c r="J293" s="90"/>
      <c r="K293" s="64"/>
      <c r="L293" s="64" t="s">
        <v>322</v>
      </c>
      <c r="M293" s="64" t="s">
        <v>653</v>
      </c>
      <c r="N293" s="63" t="s">
        <v>75</v>
      </c>
      <c r="O293" s="83"/>
      <c r="P293" s="66" t="s">
        <v>88</v>
      </c>
      <c r="Q293" s="66" t="s">
        <v>148</v>
      </c>
      <c r="T293" s="57" t="str">
        <f>+IF($N293=[1]CURSOS!$D$3,[1]CURSOS!$E$3,(+IF($N293=[1]CURSOS!$D$4,[1]CURSOS!$E$4,(+IF($N293=[1]CURSOS!$D$5,[1]CURSOS!$E$5,(+IF($N293=[1]CURSOS!$D$6,[1]CURSOS!$E$6,(+IF($N293=[1]CURSOS!$D$7,[1]CURSOS!$E$7,(+IF($N293=[1]CURSOS!$D$8,[1]CURSOS!$E$8,(+IF($N293=[1]CURSOS!$D$9,[1]CURSOS!$E$9,(+IF($N293=[1]CURSOS!$D$10,[1]CURSOS!$E$10,(+IF($N293=[1]CURSOS!$D$11,[1]CURSOS!$E$11,(+IF($N293=[1]CURSOS!$D$12,[1]CURSOS!$E$12,(+IF($N293=[1]CURSOS!$D$13,[1]CURSOS!$E$13,(+IF($N293=[1]CURSOS!$D$14,[1]CURSOS!$E$14,(+IF($N293=[1]CURSOS!$D$15,[1]CURSOS!$E$15,(+IF($N293=[1]CURSOS!$D$16,[1]CURSOS!$E$16,(+IF($N293=[1]CURSOS!$D$17,[1]CURSOS!$E$17,(+IF($N293=[1]CURSOS!$D$18,[1]CURSOS!$E$18,(+IF($N293=[1]CURSOS!$D$19,[1]CURSOS!$E$19,(+IF($N293=[1]CURSOS!$D$20,[1]CURSOS!$E$20,(+IF($N293=[1]CURSOS!$D$21,[1]CURSOS!$E$21,(+IF($N293=[1]CURSOS!$D$22,[1]CURSOS!$E$22,(+IF($N293=[1]CURSOS!$D$23,[1]CURSOS!$E$23,(+IF($N293=[1]CURSOS!$D$24,[1]CURSOS!$E$24,(+IF($N293=[1]CURSOS!$D$25,[1]CURSOS!$E$25,(+IF($N293=[1]CURSOS!$D$26,[1]CURSOS!$E$26,(+IF($N293=[1]CURSOS!$D$27,[1]CURSOS!$E$27,(+IF($N293=[1]CURSOS!$D$28,[1]CURSOS!$E$28,(+IF($N293=[1]CURSOS!$D$29,[1]CURSOS!$E$29,(+IF($N293=[1]CURSOS!$D$30,[1]CURSOS!$E$30,(+IF($N293=[1]CURSOS!$D$31,[1]CURSOS!$E$31,(+IF($N293=[1]CURSOS!$D$32,[1]CURSOS!$E$32)))))))))))))))))))))))))))))))))))))))))))))))))))))))))))</f>
        <v>ATENCION A VICTIMAS POR CONFLICTO ARMADO</v>
      </c>
      <c r="U293" s="57" t="str">
        <f t="shared" si="162"/>
        <v>SEBASTIAN RAMIRO TORO MARTINEZ</v>
      </c>
      <c r="V293" s="57" t="str">
        <f t="shared" si="163"/>
        <v>Sebastian Ramiro Toro Martinez</v>
      </c>
      <c r="W293" s="57" t="str">
        <f t="shared" si="164"/>
        <v>SEBASTIAN RAMIRO TORO MARTINEZ-1144065320-CONFLICTO ARMADO</v>
      </c>
    </row>
    <row r="294" spans="1:23" s="66" customFormat="1" x14ac:dyDescent="0.2">
      <c r="A294" s="20">
        <v>293</v>
      </c>
      <c r="B294" s="66">
        <v>1144065320</v>
      </c>
      <c r="C294" s="66" t="s">
        <v>651</v>
      </c>
      <c r="D294" s="66" t="s">
        <v>652</v>
      </c>
      <c r="E294" s="66" t="s">
        <v>649</v>
      </c>
      <c r="F294" s="66" t="s">
        <v>650</v>
      </c>
      <c r="G294" s="64">
        <v>25</v>
      </c>
      <c r="H294" s="64">
        <v>4</v>
      </c>
      <c r="I294" s="65"/>
      <c r="J294" s="90"/>
      <c r="K294" s="64"/>
      <c r="L294" s="64" t="s">
        <v>322</v>
      </c>
      <c r="M294" s="64" t="s">
        <v>653</v>
      </c>
      <c r="N294" s="63" t="s">
        <v>66</v>
      </c>
      <c r="O294" s="83"/>
      <c r="P294" s="66" t="s">
        <v>88</v>
      </c>
      <c r="Q294" s="66" t="s">
        <v>148</v>
      </c>
      <c r="T294" s="57" t="str">
        <f>+IF($N294=[1]CURSOS!$D$3,[1]CURSOS!$E$3,(+IF($N294=[1]CURSOS!$D$4,[1]CURSOS!$E$4,(+IF($N294=[1]CURSOS!$D$5,[1]CURSOS!$E$5,(+IF($N294=[1]CURSOS!$D$6,[1]CURSOS!$E$6,(+IF($N294=[1]CURSOS!$D$7,[1]CURSOS!$E$7,(+IF($N294=[1]CURSOS!$D$8,[1]CURSOS!$E$8,(+IF($N294=[1]CURSOS!$D$9,[1]CURSOS!$E$9,(+IF($N294=[1]CURSOS!$D$10,[1]CURSOS!$E$10,(+IF($N294=[1]CURSOS!$D$11,[1]CURSOS!$E$11,(+IF($N294=[1]CURSOS!$D$12,[1]CURSOS!$E$12,(+IF($N294=[1]CURSOS!$D$13,[1]CURSOS!$E$13,(+IF($N294=[1]CURSOS!$D$14,[1]CURSOS!$E$14,(+IF($N294=[1]CURSOS!$D$15,[1]CURSOS!$E$15,(+IF($N294=[1]CURSOS!$D$16,[1]CURSOS!$E$16,(+IF($N294=[1]CURSOS!$D$17,[1]CURSOS!$E$17,(+IF($N294=[1]CURSOS!$D$18,[1]CURSOS!$E$18,(+IF($N294=[1]CURSOS!$D$19,[1]CURSOS!$E$19,(+IF($N294=[1]CURSOS!$D$20,[1]CURSOS!$E$20,(+IF($N294=[1]CURSOS!$D$21,[1]CURSOS!$E$21,(+IF($N294=[1]CURSOS!$D$22,[1]CURSOS!$E$22,(+IF($N294=[1]CURSOS!$D$23,[1]CURSOS!$E$23,(+IF($N294=[1]CURSOS!$D$24,[1]CURSOS!$E$24,(+IF($N294=[1]CURSOS!$D$25,[1]CURSOS!$E$25,(+IF($N294=[1]CURSOS!$D$26,[1]CURSOS!$E$26,(+IF($N294=[1]CURSOS!$D$27,[1]CURSOS!$E$27,(+IF($N294=[1]CURSOS!$D$28,[1]CURSOS!$E$28,(+IF($N294=[1]CURSOS!$D$29,[1]CURSOS!$E$29,(+IF($N294=[1]CURSOS!$D$30,[1]CURSOS!$E$30,(+IF($N294=[1]CURSOS!$D$31,[1]CURSOS!$E$31,(+IF($N294=[1]CURSOS!$D$32,[1]CURSOS!$E$32)))))))))))))))))))))))))))))))))))))))))))))))))))))))))))</f>
        <v>MANEJO DEL DOLOR Y CUIDADOS PALIATIVOS</v>
      </c>
      <c r="U294" s="57" t="str">
        <f t="shared" si="162"/>
        <v>SEBASTIAN RAMIRO TORO MARTINEZ</v>
      </c>
      <c r="V294" s="57" t="str">
        <f t="shared" si="163"/>
        <v>Sebastian Ramiro Toro Martinez</v>
      </c>
      <c r="W294" s="57" t="str">
        <f t="shared" si="164"/>
        <v>SEBASTIAN RAMIRO TORO MARTINEZ-1144065320-PALIATIVOS</v>
      </c>
    </row>
    <row r="295" spans="1:23" s="66" customFormat="1" x14ac:dyDescent="0.2">
      <c r="A295" s="20">
        <v>294</v>
      </c>
      <c r="B295" s="66">
        <v>1144065320</v>
      </c>
      <c r="C295" s="66" t="s">
        <v>651</v>
      </c>
      <c r="D295" s="66" t="s">
        <v>652</v>
      </c>
      <c r="E295" s="66" t="s">
        <v>649</v>
      </c>
      <c r="F295" s="66" t="s">
        <v>650</v>
      </c>
      <c r="G295" s="64">
        <v>10</v>
      </c>
      <c r="H295" s="64">
        <v>4</v>
      </c>
      <c r="I295" s="65"/>
      <c r="J295" s="90"/>
      <c r="K295" s="64"/>
      <c r="L295" s="64" t="s">
        <v>322</v>
      </c>
      <c r="M295" s="64" t="s">
        <v>653</v>
      </c>
      <c r="N295" s="63" t="s">
        <v>381</v>
      </c>
      <c r="O295" s="83"/>
      <c r="P295" s="66" t="s">
        <v>88</v>
      </c>
      <c r="Q295" s="66" t="s">
        <v>148</v>
      </c>
      <c r="T295" s="57" t="str">
        <f>+IF($N295=[1]CURSOS!$D$3,[1]CURSOS!$E$3,(+IF($N295=[1]CURSOS!$D$4,[1]CURSOS!$E$4,(+IF($N295=[1]CURSOS!$D$5,[1]CURSOS!$E$5,(+IF($N295=[1]CURSOS!$D$6,[1]CURSOS!$E$6,(+IF($N295=[1]CURSOS!$D$7,[1]CURSOS!$E$7,(+IF($N295=[1]CURSOS!$D$8,[1]CURSOS!$E$8,(+IF($N295=[1]CURSOS!$D$9,[1]CURSOS!$E$9,(+IF($N295=[1]CURSOS!$D$10,[1]CURSOS!$E$10,(+IF($N295=[1]CURSOS!$D$11,[1]CURSOS!$E$11,(+IF($N295=[1]CURSOS!$D$12,[1]CURSOS!$E$12,(+IF($N295=[1]CURSOS!$D$13,[1]CURSOS!$E$13,(+IF($N295=[1]CURSOS!$D$14,[1]CURSOS!$E$14,(+IF($N295=[1]CURSOS!$D$15,[1]CURSOS!$E$15,(+IF($N295=[1]CURSOS!$D$16,[1]CURSOS!$E$16,(+IF($N295=[1]CURSOS!$D$17,[1]CURSOS!$E$17,(+IF($N295=[1]CURSOS!$D$18,[1]CURSOS!$E$18,(+IF($N295=[1]CURSOS!$D$19,[1]CURSOS!$E$19,(+IF($N295=[1]CURSOS!$D$20,[1]CURSOS!$E$20,(+IF($N295=[1]CURSOS!$D$21,[1]CURSOS!$E$21,(+IF($N295=[1]CURSOS!$D$22,[1]CURSOS!$E$22,(+IF($N295=[1]CURSOS!$D$23,[1]CURSOS!$E$23,(+IF($N295=[1]CURSOS!$D$24,[1]CURSOS!$E$24,(+IF($N295=[1]CURSOS!$D$25,[1]CURSOS!$E$25,(+IF($N295=[1]CURSOS!$D$26,[1]CURSOS!$E$26,(+IF($N295=[1]CURSOS!$D$27,[1]CURSOS!$E$27,(+IF($N295=[1]CURSOS!$D$28,[1]CURSOS!$E$28,(+IF($N295=[1]CURSOS!$D$29,[1]CURSOS!$E$29,(+IF($N295=[1]CURSOS!$D$30,[1]CURSOS!$E$30,(+IF($N295=[1]CURSOS!$D$31,[1]CURSOS!$E$31,(+IF($N295=[1]CURSOS!$D$32,[1]CURSOS!$E$32)))))))))))))))))))))))))))))))))))))))))))))))))))))))))))</f>
        <v>ACOMPAÑAMIENTO Y MANEJO DEL DUELO</v>
      </c>
      <c r="U295" s="57" t="str">
        <f t="shared" si="162"/>
        <v>SEBASTIAN RAMIRO TORO MARTINEZ</v>
      </c>
      <c r="V295" s="57" t="str">
        <f t="shared" si="163"/>
        <v>Sebastian Ramiro Toro Martinez</v>
      </c>
      <c r="W295" s="57" t="str">
        <f t="shared" si="164"/>
        <v>SEBASTIAN RAMIRO TORO MARTINEZ-1144065320-Duelo</v>
      </c>
    </row>
    <row r="296" spans="1:23" s="66" customFormat="1" x14ac:dyDescent="0.2">
      <c r="A296" s="20">
        <v>295</v>
      </c>
      <c r="B296" s="66">
        <v>1144065320</v>
      </c>
      <c r="C296" s="66" t="s">
        <v>651</v>
      </c>
      <c r="D296" s="66" t="s">
        <v>652</v>
      </c>
      <c r="E296" s="66" t="s">
        <v>649</v>
      </c>
      <c r="F296" s="66" t="s">
        <v>650</v>
      </c>
      <c r="G296" s="64">
        <v>19</v>
      </c>
      <c r="H296" s="64">
        <v>4</v>
      </c>
      <c r="I296" s="65"/>
      <c r="J296" s="90"/>
      <c r="K296" s="64"/>
      <c r="L296" s="64" t="s">
        <v>322</v>
      </c>
      <c r="M296" s="64" t="s">
        <v>653</v>
      </c>
      <c r="N296" s="63" t="s">
        <v>56</v>
      </c>
      <c r="O296" s="83"/>
      <c r="P296" s="66" t="s">
        <v>88</v>
      </c>
      <c r="Q296" s="66" t="s">
        <v>148</v>
      </c>
      <c r="T296" s="57" t="str">
        <f>+IF($N296=[1]CURSOS!$D$3,[1]CURSOS!$E$3,(+IF($N296=[1]CURSOS!$D$4,[1]CURSOS!$E$4,(+IF($N296=[1]CURSOS!$D$5,[1]CURSOS!$E$5,(+IF($N296=[1]CURSOS!$D$6,[1]CURSOS!$E$6,(+IF($N296=[1]CURSOS!$D$7,[1]CURSOS!$E$7,(+IF($N296=[1]CURSOS!$D$8,[1]CURSOS!$E$8,(+IF($N296=[1]CURSOS!$D$9,[1]CURSOS!$E$9,(+IF($N296=[1]CURSOS!$D$10,[1]CURSOS!$E$10,(+IF($N296=[1]CURSOS!$D$11,[1]CURSOS!$E$11,(+IF($N296=[1]CURSOS!$D$12,[1]CURSOS!$E$12,(+IF($N296=[1]CURSOS!$D$13,[1]CURSOS!$E$13,(+IF($N296=[1]CURSOS!$D$14,[1]CURSOS!$E$14,(+IF($N296=[1]CURSOS!$D$15,[1]CURSOS!$E$15,(+IF($N296=[1]CURSOS!$D$16,[1]CURSOS!$E$16,(+IF($N296=[1]CURSOS!$D$17,[1]CURSOS!$E$17,(+IF($N296=[1]CURSOS!$D$18,[1]CURSOS!$E$18,(+IF($N296=[1]CURSOS!$D$19,[1]CURSOS!$E$19,(+IF($N296=[1]CURSOS!$D$20,[1]CURSOS!$E$20,(+IF($N296=[1]CURSOS!$D$21,[1]CURSOS!$E$21,(+IF($N296=[1]CURSOS!$D$22,[1]CURSOS!$E$22,(+IF($N296=[1]CURSOS!$D$23,[1]CURSOS!$E$23,(+IF($N296=[1]CURSOS!$D$24,[1]CURSOS!$E$24,(+IF($N296=[1]CURSOS!$D$25,[1]CURSOS!$E$25,(+IF($N296=[1]CURSOS!$D$26,[1]CURSOS!$E$26,(+IF($N296=[1]CURSOS!$D$27,[1]CURSOS!$E$27,(+IF($N296=[1]CURSOS!$D$28,[1]CURSOS!$E$28,(+IF($N296=[1]CURSOS!$D$29,[1]CURSOS!$E$29,(+IF($N296=[1]CURSOS!$D$30,[1]CURSOS!$E$30,(+IF($N296=[1]CURSOS!$D$31,[1]CURSOS!$E$31,(+IF($N296=[1]CURSOS!$D$32,[1]CURSOS!$E$32)))))))))))))))))))))))))))))))))))))))))))))))))))))))))))</f>
        <v>INSTITUCIONES AMIGAS DE LA MUJER Y LA INFANCIA (IAMI)</v>
      </c>
      <c r="U296" s="57" t="str">
        <f t="shared" si="162"/>
        <v>SEBASTIAN RAMIRO TORO MARTINEZ</v>
      </c>
      <c r="V296" s="57" t="str">
        <f t="shared" si="163"/>
        <v>Sebastian Ramiro Toro Martinez</v>
      </c>
      <c r="W296" s="57" t="str">
        <f t="shared" si="164"/>
        <v>SEBASTIAN RAMIRO TORO MARTINEZ-1144065320-IAMI</v>
      </c>
    </row>
    <row r="297" spans="1:23" s="66" customFormat="1" x14ac:dyDescent="0.2">
      <c r="A297" s="27">
        <v>296</v>
      </c>
      <c r="B297" s="66">
        <v>1144065320</v>
      </c>
      <c r="C297" s="66" t="s">
        <v>651</v>
      </c>
      <c r="D297" s="66" t="s">
        <v>652</v>
      </c>
      <c r="E297" s="66" t="s">
        <v>649</v>
      </c>
      <c r="F297" s="66" t="s">
        <v>650</v>
      </c>
      <c r="G297" s="64">
        <v>20</v>
      </c>
      <c r="H297" s="64">
        <v>4</v>
      </c>
      <c r="I297" s="65"/>
      <c r="J297" s="90"/>
      <c r="K297" s="64"/>
      <c r="L297" s="64" t="s">
        <v>322</v>
      </c>
      <c r="M297" s="64" t="s">
        <v>653</v>
      </c>
      <c r="N297" s="63" t="s">
        <v>50</v>
      </c>
      <c r="O297" s="83"/>
      <c r="P297" s="66" t="s">
        <v>88</v>
      </c>
      <c r="Q297" s="66" t="s">
        <v>148</v>
      </c>
      <c r="T297" s="57" t="str">
        <f>+IF($N297=[1]CURSOS!$D$3,[1]CURSOS!$E$3,(+IF($N297=[1]CURSOS!$D$4,[1]CURSOS!$E$4,(+IF($N297=[1]CURSOS!$D$5,[1]CURSOS!$E$5,(+IF($N297=[1]CURSOS!$D$6,[1]CURSOS!$E$6,(+IF($N297=[1]CURSOS!$D$7,[1]CURSOS!$E$7,(+IF($N297=[1]CURSOS!$D$8,[1]CURSOS!$E$8,(+IF($N297=[1]CURSOS!$D$9,[1]CURSOS!$E$9,(+IF($N297=[1]CURSOS!$D$10,[1]CURSOS!$E$10,(+IF($N297=[1]CURSOS!$D$11,[1]CURSOS!$E$11,(+IF($N297=[1]CURSOS!$D$12,[1]CURSOS!$E$12,(+IF($N297=[1]CURSOS!$D$13,[1]CURSOS!$E$13,(+IF($N297=[1]CURSOS!$D$14,[1]CURSOS!$E$14,(+IF($N297=[1]CURSOS!$D$15,[1]CURSOS!$E$15,(+IF($N297=[1]CURSOS!$D$16,[1]CURSOS!$E$16,(+IF($N297=[1]CURSOS!$D$17,[1]CURSOS!$E$17,(+IF($N297=[1]CURSOS!$D$18,[1]CURSOS!$E$18,(+IF($N297=[1]CURSOS!$D$19,[1]CURSOS!$E$19,(+IF($N297=[1]CURSOS!$D$20,[1]CURSOS!$E$20,(+IF($N297=[1]CURSOS!$D$21,[1]CURSOS!$E$21,(+IF($N297=[1]CURSOS!$D$22,[1]CURSOS!$E$22,(+IF($N297=[1]CURSOS!$D$23,[1]CURSOS!$E$23,(+IF($N297=[1]CURSOS!$D$24,[1]CURSOS!$E$24,(+IF($N297=[1]CURSOS!$D$25,[1]CURSOS!$E$25,(+IF($N297=[1]CURSOS!$D$26,[1]CURSOS!$E$26,(+IF($N297=[1]CURSOS!$D$27,[1]CURSOS!$E$27,(+IF($N297=[1]CURSOS!$D$28,[1]CURSOS!$E$28,(+IF($N297=[1]CURSOS!$D$29,[1]CURSOS!$E$29,(+IF($N297=[1]CURSOS!$D$30,[1]CURSOS!$E$30,(+IF($N297=[1]CURSOS!$D$31,[1]CURSOS!$E$31,(+IF($N297=[1]CURSOS!$D$32,[1]CURSOS!$E$32)))))))))))))))))))))))))))))))))))))))))))))))))))))))))))</f>
        <v>ATENCION INTEGRAL EN ENFERMEDADES PREVALENTES EN PRIMERA INFANCIA (AIEPI)</v>
      </c>
      <c r="U297" s="57" t="str">
        <f t="shared" ref="U297:U306" si="167">CONCATENATE(E297," ",F297," ",C297," ",D297)</f>
        <v>SEBASTIAN RAMIRO TORO MARTINEZ</v>
      </c>
      <c r="V297" s="57" t="str">
        <f t="shared" ref="V297:V306" si="168">+PROPER(U297)</f>
        <v>Sebastian Ramiro Toro Martinez</v>
      </c>
      <c r="W297" s="57" t="str">
        <f t="shared" ref="W297:W306" si="169">CONCATENATE(U297,"-",B297,"-",N297)</f>
        <v>SEBASTIAN RAMIRO TORO MARTINEZ-1144065320-AIEPI</v>
      </c>
    </row>
    <row r="298" spans="1:23" s="73" customFormat="1" x14ac:dyDescent="0.2">
      <c r="A298" s="20">
        <v>297</v>
      </c>
      <c r="B298" s="20">
        <v>1088735494</v>
      </c>
      <c r="C298" s="20" t="s">
        <v>655</v>
      </c>
      <c r="D298" s="20" t="s">
        <v>287</v>
      </c>
      <c r="E298" s="20" t="s">
        <v>278</v>
      </c>
      <c r="F298" s="20" t="s">
        <v>85</v>
      </c>
      <c r="G298" s="19">
        <v>26</v>
      </c>
      <c r="H298" s="19" t="s">
        <v>99</v>
      </c>
      <c r="I298" s="25">
        <v>45409</v>
      </c>
      <c r="J298" s="88">
        <v>25000</v>
      </c>
      <c r="K298" s="116" t="s">
        <v>79</v>
      </c>
      <c r="L298" s="19" t="s">
        <v>322</v>
      </c>
      <c r="M298" s="19" t="s">
        <v>197</v>
      </c>
      <c r="N298" s="21" t="s">
        <v>46</v>
      </c>
      <c r="O298" s="72">
        <v>33913</v>
      </c>
      <c r="P298" s="20" t="s">
        <v>78</v>
      </c>
      <c r="Q298" s="20" t="s">
        <v>658</v>
      </c>
      <c r="R298" s="20">
        <v>3104501390</v>
      </c>
      <c r="S298" s="20" t="s">
        <v>660</v>
      </c>
      <c r="T298" s="57" t="str">
        <f>+IF($N298=[1]CURSOS!$D$3,[1]CURSOS!$E$3,(+IF($N298=[1]CURSOS!$D$4,[1]CURSOS!$E$4,(+IF($N298=[1]CURSOS!$D$5,[1]CURSOS!$E$5,(+IF($N298=[1]CURSOS!$D$6,[1]CURSOS!$E$6,(+IF($N298=[1]CURSOS!$D$7,[1]CURSOS!$E$7,(+IF($N298=[1]CURSOS!$D$8,[1]CURSOS!$E$8,(+IF($N298=[1]CURSOS!$D$9,[1]CURSOS!$E$9,(+IF($N298=[1]CURSOS!$D$10,[1]CURSOS!$E$10,(+IF($N298=[1]CURSOS!$D$11,[1]CURSOS!$E$11,(+IF($N298=[1]CURSOS!$D$12,[1]CURSOS!$E$12,(+IF($N298=[1]CURSOS!$D$13,[1]CURSOS!$E$13,(+IF($N298=[1]CURSOS!$D$14,[1]CURSOS!$E$14,(+IF($N298=[1]CURSOS!$D$15,[1]CURSOS!$E$15,(+IF($N298=[1]CURSOS!$D$16,[1]CURSOS!$E$16,(+IF($N298=[1]CURSOS!$D$17,[1]CURSOS!$E$17,(+IF($N298=[1]CURSOS!$D$18,[1]CURSOS!$E$18,(+IF($N298=[1]CURSOS!$D$19,[1]CURSOS!$E$19,(+IF($N298=[1]CURSOS!$D$20,[1]CURSOS!$E$20,(+IF($N298=[1]CURSOS!$D$21,[1]CURSOS!$E$21,(+IF($N298=[1]CURSOS!$D$22,[1]CURSOS!$E$22,(+IF($N298=[1]CURSOS!$D$23,[1]CURSOS!$E$23,(+IF($N298=[1]CURSOS!$D$24,[1]CURSOS!$E$24,(+IF($N298=[1]CURSOS!$D$25,[1]CURSOS!$E$25,(+IF($N298=[1]CURSOS!$D$26,[1]CURSOS!$E$26,(+IF($N298=[1]CURSOS!$D$27,[1]CURSOS!$E$27,(+IF($N298=[1]CURSOS!$D$28,[1]CURSOS!$E$28,(+IF($N298=[1]CURSOS!$D$29,[1]CURSOS!$E$29,(+IF($N298=[1]CURSOS!$D$30,[1]CURSOS!$E$30,(+IF($N298=[1]CURSOS!$D$31,[1]CURSOS!$E$31,(+IF($N298=[1]CURSOS!$D$32,[1]CURSOS!$E$32)))))))))))))))))))))))))))))))))))))))))))))))))))))))))))</f>
        <v xml:space="preserve">ATENCION A VICTIMAS DE VIOLENCIA SEXUAL </v>
      </c>
      <c r="U298" s="57" t="str">
        <f t="shared" si="167"/>
        <v>Diana Carolina Ruano Patiño</v>
      </c>
      <c r="V298" s="57" t="str">
        <f t="shared" si="168"/>
        <v>Diana Carolina Ruano Patiño</v>
      </c>
      <c r="W298" s="57" t="str">
        <f t="shared" si="169"/>
        <v>Diana Carolina Ruano Patiño-1088735494-VIOLENCIA SEXUAL</v>
      </c>
    </row>
    <row r="299" spans="1:23" s="73" customFormat="1" x14ac:dyDescent="0.2">
      <c r="A299" s="20">
        <v>298</v>
      </c>
      <c r="B299" s="20">
        <v>1088735494</v>
      </c>
      <c r="C299" s="20" t="s">
        <v>655</v>
      </c>
      <c r="D299" s="20" t="s">
        <v>287</v>
      </c>
      <c r="E299" s="20" t="s">
        <v>278</v>
      </c>
      <c r="F299" s="20" t="s">
        <v>85</v>
      </c>
      <c r="G299" s="19">
        <v>26</v>
      </c>
      <c r="H299" s="19" t="s">
        <v>99</v>
      </c>
      <c r="I299" s="25">
        <v>45409</v>
      </c>
      <c r="J299" s="88">
        <v>25000</v>
      </c>
      <c r="K299" s="116" t="s">
        <v>79</v>
      </c>
      <c r="L299" s="19" t="s">
        <v>322</v>
      </c>
      <c r="M299" s="19" t="s">
        <v>197</v>
      </c>
      <c r="N299" s="21" t="s">
        <v>33</v>
      </c>
      <c r="O299" s="72">
        <v>33913</v>
      </c>
      <c r="P299" s="20" t="s">
        <v>78</v>
      </c>
      <c r="Q299" s="20" t="s">
        <v>658</v>
      </c>
      <c r="R299" s="20">
        <v>3104501390</v>
      </c>
      <c r="S299" s="20" t="s">
        <v>660</v>
      </c>
      <c r="T299" s="57" t="str">
        <f>+IF($N299=[1]CURSOS!$D$3,[1]CURSOS!$E$3,(+IF($N299=[1]CURSOS!$D$4,[1]CURSOS!$E$4,(+IF($N299=[1]CURSOS!$D$5,[1]CURSOS!$E$5,(+IF($N299=[1]CURSOS!$D$6,[1]CURSOS!$E$6,(+IF($N299=[1]CURSOS!$D$7,[1]CURSOS!$E$7,(+IF($N299=[1]CURSOS!$D$8,[1]CURSOS!$E$8,(+IF($N299=[1]CURSOS!$D$9,[1]CURSOS!$E$9,(+IF($N299=[1]CURSOS!$D$10,[1]CURSOS!$E$10,(+IF($N299=[1]CURSOS!$D$11,[1]CURSOS!$E$11,(+IF($N299=[1]CURSOS!$D$12,[1]CURSOS!$E$12,(+IF($N299=[1]CURSOS!$D$13,[1]CURSOS!$E$13,(+IF($N299=[1]CURSOS!$D$14,[1]CURSOS!$E$14,(+IF($N299=[1]CURSOS!$D$15,[1]CURSOS!$E$15,(+IF($N299=[1]CURSOS!$D$16,[1]CURSOS!$E$16,(+IF($N299=[1]CURSOS!$D$17,[1]CURSOS!$E$17,(+IF($N299=[1]CURSOS!$D$18,[1]CURSOS!$E$18,(+IF($N299=[1]CURSOS!$D$19,[1]CURSOS!$E$19,(+IF($N299=[1]CURSOS!$D$20,[1]CURSOS!$E$20,(+IF($N299=[1]CURSOS!$D$21,[1]CURSOS!$E$21,(+IF($N299=[1]CURSOS!$D$22,[1]CURSOS!$E$22,(+IF($N299=[1]CURSOS!$D$23,[1]CURSOS!$E$23,(+IF($N299=[1]CURSOS!$D$24,[1]CURSOS!$E$24,(+IF($N299=[1]CURSOS!$D$25,[1]CURSOS!$E$25,(+IF($N299=[1]CURSOS!$D$26,[1]CURSOS!$E$26,(+IF($N299=[1]CURSOS!$D$27,[1]CURSOS!$E$27,(+IF($N299=[1]CURSOS!$D$28,[1]CURSOS!$E$28,(+IF($N299=[1]CURSOS!$D$29,[1]CURSOS!$E$29,(+IF($N299=[1]CURSOS!$D$30,[1]CURSOS!$E$30,(+IF($N299=[1]CURSOS!$D$31,[1]CURSOS!$E$31,(+IF($N299=[1]CURSOS!$D$32,[1]CURSOS!$E$32)))))))))))))))))))))))))))))))))))))))))))))))))))))))))))</f>
        <v xml:space="preserve">HUMANIZACION EN SALUD, BUENAS PRACTICAS EN PACIENTE </v>
      </c>
      <c r="U299" s="57" t="str">
        <f t="shared" si="167"/>
        <v>Diana Carolina Ruano Patiño</v>
      </c>
      <c r="V299" s="57" t="str">
        <f t="shared" si="168"/>
        <v>Diana Carolina Ruano Patiño</v>
      </c>
      <c r="W299" s="57" t="str">
        <f t="shared" si="169"/>
        <v>Diana Carolina Ruano Patiño-1088735494-HUMANIZACION</v>
      </c>
    </row>
    <row r="300" spans="1:23" s="73" customFormat="1" x14ac:dyDescent="0.2">
      <c r="A300" s="20">
        <v>299</v>
      </c>
      <c r="B300" s="20">
        <v>1123330985</v>
      </c>
      <c r="C300" s="20" t="s">
        <v>207</v>
      </c>
      <c r="D300" s="20" t="s">
        <v>343</v>
      </c>
      <c r="E300" s="20" t="s">
        <v>656</v>
      </c>
      <c r="F300" s="20" t="s">
        <v>657</v>
      </c>
      <c r="G300" s="19">
        <v>26</v>
      </c>
      <c r="H300" s="19" t="s">
        <v>99</v>
      </c>
      <c r="I300" s="25">
        <v>45409</v>
      </c>
      <c r="J300" s="88">
        <v>25000</v>
      </c>
      <c r="K300" s="116" t="s">
        <v>79</v>
      </c>
      <c r="L300" s="19" t="s">
        <v>322</v>
      </c>
      <c r="M300" s="19" t="s">
        <v>197</v>
      </c>
      <c r="N300" s="21" t="s">
        <v>46</v>
      </c>
      <c r="O300" s="72">
        <v>34795</v>
      </c>
      <c r="P300" s="20" t="s">
        <v>78</v>
      </c>
      <c r="Q300" s="20" t="s">
        <v>659</v>
      </c>
      <c r="R300" s="20">
        <v>3116843645</v>
      </c>
      <c r="S300" s="20" t="s">
        <v>661</v>
      </c>
      <c r="T300" s="57" t="str">
        <f>+IF($N300=[1]CURSOS!$D$3,[1]CURSOS!$E$3,(+IF($N300=[1]CURSOS!$D$4,[1]CURSOS!$E$4,(+IF($N300=[1]CURSOS!$D$5,[1]CURSOS!$E$5,(+IF($N300=[1]CURSOS!$D$6,[1]CURSOS!$E$6,(+IF($N300=[1]CURSOS!$D$7,[1]CURSOS!$E$7,(+IF($N300=[1]CURSOS!$D$8,[1]CURSOS!$E$8,(+IF($N300=[1]CURSOS!$D$9,[1]CURSOS!$E$9,(+IF($N300=[1]CURSOS!$D$10,[1]CURSOS!$E$10,(+IF($N300=[1]CURSOS!$D$11,[1]CURSOS!$E$11,(+IF($N300=[1]CURSOS!$D$12,[1]CURSOS!$E$12,(+IF($N300=[1]CURSOS!$D$13,[1]CURSOS!$E$13,(+IF($N300=[1]CURSOS!$D$14,[1]CURSOS!$E$14,(+IF($N300=[1]CURSOS!$D$15,[1]CURSOS!$E$15,(+IF($N300=[1]CURSOS!$D$16,[1]CURSOS!$E$16,(+IF($N300=[1]CURSOS!$D$17,[1]CURSOS!$E$17,(+IF($N300=[1]CURSOS!$D$18,[1]CURSOS!$E$18,(+IF($N300=[1]CURSOS!$D$19,[1]CURSOS!$E$19,(+IF($N300=[1]CURSOS!$D$20,[1]CURSOS!$E$20,(+IF($N300=[1]CURSOS!$D$21,[1]CURSOS!$E$21,(+IF($N300=[1]CURSOS!$D$22,[1]CURSOS!$E$22,(+IF($N300=[1]CURSOS!$D$23,[1]CURSOS!$E$23,(+IF($N300=[1]CURSOS!$D$24,[1]CURSOS!$E$24,(+IF($N300=[1]CURSOS!$D$25,[1]CURSOS!$E$25,(+IF($N300=[1]CURSOS!$D$26,[1]CURSOS!$E$26,(+IF($N300=[1]CURSOS!$D$27,[1]CURSOS!$E$27,(+IF($N300=[1]CURSOS!$D$28,[1]CURSOS!$E$28,(+IF($N300=[1]CURSOS!$D$29,[1]CURSOS!$E$29,(+IF($N300=[1]CURSOS!$D$30,[1]CURSOS!$E$30,(+IF($N300=[1]CURSOS!$D$31,[1]CURSOS!$E$31,(+IF($N300=[1]CURSOS!$D$32,[1]CURSOS!$E$32)))))))))))))))))))))))))))))))))))))))))))))))))))))))))))</f>
        <v xml:space="preserve">ATENCION A VICTIMAS DE VIOLENCIA SEXUAL </v>
      </c>
      <c r="U300" s="57" t="str">
        <f t="shared" si="167"/>
        <v>Gladys Aleyda Salazar Criollo</v>
      </c>
      <c r="V300" s="57" t="str">
        <f t="shared" si="168"/>
        <v>Gladys Aleyda Salazar Criollo</v>
      </c>
      <c r="W300" s="57" t="str">
        <f t="shared" si="169"/>
        <v>Gladys Aleyda Salazar Criollo-1123330985-VIOLENCIA SEXUAL</v>
      </c>
    </row>
    <row r="301" spans="1:23" s="73" customFormat="1" x14ac:dyDescent="0.2">
      <c r="A301" s="20">
        <v>300</v>
      </c>
      <c r="B301" s="20">
        <v>1123330985</v>
      </c>
      <c r="C301" s="20" t="s">
        <v>207</v>
      </c>
      <c r="D301" s="20" t="s">
        <v>343</v>
      </c>
      <c r="E301" s="20" t="s">
        <v>656</v>
      </c>
      <c r="F301" s="20" t="s">
        <v>657</v>
      </c>
      <c r="G301" s="19">
        <v>26</v>
      </c>
      <c r="H301" s="19" t="s">
        <v>99</v>
      </c>
      <c r="I301" s="25">
        <v>45409</v>
      </c>
      <c r="J301" s="88">
        <v>25000</v>
      </c>
      <c r="K301" s="116" t="s">
        <v>79</v>
      </c>
      <c r="L301" s="19" t="s">
        <v>322</v>
      </c>
      <c r="M301" s="19" t="s">
        <v>197</v>
      </c>
      <c r="N301" s="21" t="s">
        <v>33</v>
      </c>
      <c r="O301" s="72">
        <v>34795</v>
      </c>
      <c r="P301" s="20" t="s">
        <v>78</v>
      </c>
      <c r="Q301" s="20" t="s">
        <v>659</v>
      </c>
      <c r="R301" s="20">
        <v>3116843645</v>
      </c>
      <c r="S301" s="20" t="s">
        <v>661</v>
      </c>
      <c r="T301" s="57" t="str">
        <f>+IF($N301=[1]CURSOS!$D$3,[1]CURSOS!$E$3,(+IF($N301=[1]CURSOS!$D$4,[1]CURSOS!$E$4,(+IF($N301=[1]CURSOS!$D$5,[1]CURSOS!$E$5,(+IF($N301=[1]CURSOS!$D$6,[1]CURSOS!$E$6,(+IF($N301=[1]CURSOS!$D$7,[1]CURSOS!$E$7,(+IF($N301=[1]CURSOS!$D$8,[1]CURSOS!$E$8,(+IF($N301=[1]CURSOS!$D$9,[1]CURSOS!$E$9,(+IF($N301=[1]CURSOS!$D$10,[1]CURSOS!$E$10,(+IF($N301=[1]CURSOS!$D$11,[1]CURSOS!$E$11,(+IF($N301=[1]CURSOS!$D$12,[1]CURSOS!$E$12,(+IF($N301=[1]CURSOS!$D$13,[1]CURSOS!$E$13,(+IF($N301=[1]CURSOS!$D$14,[1]CURSOS!$E$14,(+IF($N301=[1]CURSOS!$D$15,[1]CURSOS!$E$15,(+IF($N301=[1]CURSOS!$D$16,[1]CURSOS!$E$16,(+IF($N301=[1]CURSOS!$D$17,[1]CURSOS!$E$17,(+IF($N301=[1]CURSOS!$D$18,[1]CURSOS!$E$18,(+IF($N301=[1]CURSOS!$D$19,[1]CURSOS!$E$19,(+IF($N301=[1]CURSOS!$D$20,[1]CURSOS!$E$20,(+IF($N301=[1]CURSOS!$D$21,[1]CURSOS!$E$21,(+IF($N301=[1]CURSOS!$D$22,[1]CURSOS!$E$22,(+IF($N301=[1]CURSOS!$D$23,[1]CURSOS!$E$23,(+IF($N301=[1]CURSOS!$D$24,[1]CURSOS!$E$24,(+IF($N301=[1]CURSOS!$D$25,[1]CURSOS!$E$25,(+IF($N301=[1]CURSOS!$D$26,[1]CURSOS!$E$26,(+IF($N301=[1]CURSOS!$D$27,[1]CURSOS!$E$27,(+IF($N301=[1]CURSOS!$D$28,[1]CURSOS!$E$28,(+IF($N301=[1]CURSOS!$D$29,[1]CURSOS!$E$29,(+IF($N301=[1]CURSOS!$D$30,[1]CURSOS!$E$30,(+IF($N301=[1]CURSOS!$D$31,[1]CURSOS!$E$31,(+IF($N301=[1]CURSOS!$D$32,[1]CURSOS!$E$32)))))))))))))))))))))))))))))))))))))))))))))))))))))))))))</f>
        <v xml:space="preserve">HUMANIZACION EN SALUD, BUENAS PRACTICAS EN PACIENTE </v>
      </c>
      <c r="U301" s="57" t="str">
        <f t="shared" si="167"/>
        <v>Gladys Aleyda Salazar Criollo</v>
      </c>
      <c r="V301" s="57" t="str">
        <f t="shared" si="168"/>
        <v>Gladys Aleyda Salazar Criollo</v>
      </c>
      <c r="W301" s="57" t="str">
        <f t="shared" si="169"/>
        <v>Gladys Aleyda Salazar Criollo-1123330985-HUMANIZACION</v>
      </c>
    </row>
    <row r="302" spans="1:23" s="73" customFormat="1" x14ac:dyDescent="0.2">
      <c r="A302" s="20">
        <v>301</v>
      </c>
      <c r="B302" s="20">
        <v>1088736445</v>
      </c>
      <c r="C302" s="20" t="s">
        <v>662</v>
      </c>
      <c r="D302" s="20" t="s">
        <v>234</v>
      </c>
      <c r="E302" s="20" t="s">
        <v>663</v>
      </c>
      <c r="F302" s="20" t="s">
        <v>563</v>
      </c>
      <c r="G302" s="19">
        <v>26</v>
      </c>
      <c r="H302" s="19" t="s">
        <v>99</v>
      </c>
      <c r="I302" s="25">
        <v>45411</v>
      </c>
      <c r="J302" s="88">
        <v>25000</v>
      </c>
      <c r="K302" s="116" t="s">
        <v>79</v>
      </c>
      <c r="L302" s="19" t="s">
        <v>322</v>
      </c>
      <c r="M302" s="19" t="s">
        <v>197</v>
      </c>
      <c r="N302" s="21" t="s">
        <v>19</v>
      </c>
      <c r="O302" s="72">
        <v>34420</v>
      </c>
      <c r="P302" s="20" t="s">
        <v>78</v>
      </c>
      <c r="Q302" s="20" t="s">
        <v>160</v>
      </c>
      <c r="R302" s="20">
        <v>3136741575</v>
      </c>
      <c r="S302" s="20" t="s">
        <v>664</v>
      </c>
      <c r="T302" s="57" t="str">
        <f>+IF($N302=[1]CURSOS!$D$3,[1]CURSOS!$E$3,(+IF($N302=[1]CURSOS!$D$4,[1]CURSOS!$E$4,(+IF($N302=[1]CURSOS!$D$5,[1]CURSOS!$E$5,(+IF($N302=[1]CURSOS!$D$6,[1]CURSOS!$E$6,(+IF($N302=[1]CURSOS!$D$7,[1]CURSOS!$E$7,(+IF($N302=[1]CURSOS!$D$8,[1]CURSOS!$E$8,(+IF($N302=[1]CURSOS!$D$9,[1]CURSOS!$E$9,(+IF($N302=[1]CURSOS!$D$10,[1]CURSOS!$E$10,(+IF($N302=[1]CURSOS!$D$11,[1]CURSOS!$E$11,(+IF($N302=[1]CURSOS!$D$12,[1]CURSOS!$E$12,(+IF($N302=[1]CURSOS!$D$13,[1]CURSOS!$E$13,(+IF($N302=[1]CURSOS!$D$14,[1]CURSOS!$E$14,(+IF($N302=[1]CURSOS!$D$15,[1]CURSOS!$E$15,(+IF($N302=[1]CURSOS!$D$16,[1]CURSOS!$E$16,(+IF($N302=[1]CURSOS!$D$17,[1]CURSOS!$E$17,(+IF($N302=[1]CURSOS!$D$18,[1]CURSOS!$E$18,(+IF($N302=[1]CURSOS!$D$19,[1]CURSOS!$E$19,(+IF($N302=[1]CURSOS!$D$20,[1]CURSOS!$E$20,(+IF($N302=[1]CURSOS!$D$21,[1]CURSOS!$E$21,(+IF($N302=[1]CURSOS!$D$22,[1]CURSOS!$E$22,(+IF($N302=[1]CURSOS!$D$23,[1]CURSOS!$E$23,(+IF($N302=[1]CURSOS!$D$24,[1]CURSOS!$E$24,(+IF($N302=[1]CURSOS!$D$25,[1]CURSOS!$E$25,(+IF($N302=[1]CURSOS!$D$26,[1]CURSOS!$E$26,(+IF($N302=[1]CURSOS!$D$27,[1]CURSOS!$E$27,(+IF($N302=[1]CURSOS!$D$28,[1]CURSOS!$E$28,(+IF($N302=[1]CURSOS!$D$29,[1]CURSOS!$E$29,(+IF($N302=[1]CURSOS!$D$30,[1]CURSOS!$E$30,(+IF($N302=[1]CURSOS!$D$31,[1]CURSOS!$E$31,(+IF($N302=[1]CURSOS!$D$32,[1]CURSOS!$E$32)))))))))))))))))))))))))))))))))))))))))))))))))))))))))))</f>
        <v>SOPORTE VITAL BASICO (BLS)</v>
      </c>
      <c r="U302" s="57" t="str">
        <f t="shared" si="167"/>
        <v>Elisa Jimena Andrade Mora</v>
      </c>
      <c r="V302" s="57" t="str">
        <f t="shared" si="168"/>
        <v>Elisa Jimena Andrade Mora</v>
      </c>
      <c r="W302" s="57" t="str">
        <f t="shared" si="169"/>
        <v>Elisa Jimena Andrade Mora-1088736445-BLS</v>
      </c>
    </row>
    <row r="303" spans="1:23" s="73" customFormat="1" x14ac:dyDescent="0.2">
      <c r="A303" s="20">
        <v>302</v>
      </c>
      <c r="B303" s="20">
        <v>1088736445</v>
      </c>
      <c r="C303" s="20" t="s">
        <v>662</v>
      </c>
      <c r="D303" s="20" t="s">
        <v>234</v>
      </c>
      <c r="E303" s="20" t="s">
        <v>663</v>
      </c>
      <c r="F303" s="20" t="s">
        <v>563</v>
      </c>
      <c r="G303" s="19">
        <v>26</v>
      </c>
      <c r="H303" s="19" t="s">
        <v>99</v>
      </c>
      <c r="I303" s="25">
        <v>45411</v>
      </c>
      <c r="J303" s="88">
        <v>25000</v>
      </c>
      <c r="K303" s="116" t="s">
        <v>79</v>
      </c>
      <c r="L303" s="19" t="s">
        <v>322</v>
      </c>
      <c r="M303" s="19" t="s">
        <v>197</v>
      </c>
      <c r="N303" s="21" t="s">
        <v>46</v>
      </c>
      <c r="O303" s="72">
        <v>34420</v>
      </c>
      <c r="P303" s="20" t="s">
        <v>78</v>
      </c>
      <c r="Q303" s="20" t="s">
        <v>160</v>
      </c>
      <c r="R303" s="20">
        <v>3136741575</v>
      </c>
      <c r="S303" s="20" t="s">
        <v>664</v>
      </c>
      <c r="T303" s="57" t="str">
        <f>+IF($N303=[1]CURSOS!$D$3,[1]CURSOS!$E$3,(+IF($N303=[1]CURSOS!$D$4,[1]CURSOS!$E$4,(+IF($N303=[1]CURSOS!$D$5,[1]CURSOS!$E$5,(+IF($N303=[1]CURSOS!$D$6,[1]CURSOS!$E$6,(+IF($N303=[1]CURSOS!$D$7,[1]CURSOS!$E$7,(+IF($N303=[1]CURSOS!$D$8,[1]CURSOS!$E$8,(+IF($N303=[1]CURSOS!$D$9,[1]CURSOS!$E$9,(+IF($N303=[1]CURSOS!$D$10,[1]CURSOS!$E$10,(+IF($N303=[1]CURSOS!$D$11,[1]CURSOS!$E$11,(+IF($N303=[1]CURSOS!$D$12,[1]CURSOS!$E$12,(+IF($N303=[1]CURSOS!$D$13,[1]CURSOS!$E$13,(+IF($N303=[1]CURSOS!$D$14,[1]CURSOS!$E$14,(+IF($N303=[1]CURSOS!$D$15,[1]CURSOS!$E$15,(+IF($N303=[1]CURSOS!$D$16,[1]CURSOS!$E$16,(+IF($N303=[1]CURSOS!$D$17,[1]CURSOS!$E$17,(+IF($N303=[1]CURSOS!$D$18,[1]CURSOS!$E$18,(+IF($N303=[1]CURSOS!$D$19,[1]CURSOS!$E$19,(+IF($N303=[1]CURSOS!$D$20,[1]CURSOS!$E$20,(+IF($N303=[1]CURSOS!$D$21,[1]CURSOS!$E$21,(+IF($N303=[1]CURSOS!$D$22,[1]CURSOS!$E$22,(+IF($N303=[1]CURSOS!$D$23,[1]CURSOS!$E$23,(+IF($N303=[1]CURSOS!$D$24,[1]CURSOS!$E$24,(+IF($N303=[1]CURSOS!$D$25,[1]CURSOS!$E$25,(+IF($N303=[1]CURSOS!$D$26,[1]CURSOS!$E$26,(+IF($N303=[1]CURSOS!$D$27,[1]CURSOS!$E$27,(+IF($N303=[1]CURSOS!$D$28,[1]CURSOS!$E$28,(+IF($N303=[1]CURSOS!$D$29,[1]CURSOS!$E$29,(+IF($N303=[1]CURSOS!$D$30,[1]CURSOS!$E$30,(+IF($N303=[1]CURSOS!$D$31,[1]CURSOS!$E$31,(+IF($N303=[1]CURSOS!$D$32,[1]CURSOS!$E$32)))))))))))))))))))))))))))))))))))))))))))))))))))))))))))</f>
        <v xml:space="preserve">ATENCION A VICTIMAS DE VIOLENCIA SEXUAL </v>
      </c>
      <c r="U303" s="57" t="str">
        <f t="shared" si="167"/>
        <v>Elisa Jimena Andrade Mora</v>
      </c>
      <c r="V303" s="57" t="str">
        <f t="shared" si="168"/>
        <v>Elisa Jimena Andrade Mora</v>
      </c>
      <c r="W303" s="57" t="str">
        <f t="shared" si="169"/>
        <v>Elisa Jimena Andrade Mora-1088736445-VIOLENCIA SEXUAL</v>
      </c>
    </row>
    <row r="304" spans="1:23" s="73" customFormat="1" x14ac:dyDescent="0.2">
      <c r="A304" s="20">
        <v>303</v>
      </c>
      <c r="B304" s="20">
        <v>1088736445</v>
      </c>
      <c r="C304" s="20" t="s">
        <v>662</v>
      </c>
      <c r="D304" s="20" t="s">
        <v>234</v>
      </c>
      <c r="E304" s="20" t="s">
        <v>663</v>
      </c>
      <c r="F304" s="20" t="s">
        <v>563</v>
      </c>
      <c r="G304" s="19">
        <v>26</v>
      </c>
      <c r="H304" s="19" t="s">
        <v>99</v>
      </c>
      <c r="I304" s="25">
        <v>45411</v>
      </c>
      <c r="J304" s="88">
        <v>25000</v>
      </c>
      <c r="K304" s="116" t="s">
        <v>79</v>
      </c>
      <c r="L304" s="19" t="s">
        <v>322</v>
      </c>
      <c r="M304" s="19" t="s">
        <v>197</v>
      </c>
      <c r="N304" s="21" t="s">
        <v>25</v>
      </c>
      <c r="O304" s="72">
        <v>34420</v>
      </c>
      <c r="P304" s="20" t="s">
        <v>78</v>
      </c>
      <c r="Q304" s="20" t="s">
        <v>160</v>
      </c>
      <c r="R304" s="20">
        <v>3136741575</v>
      </c>
      <c r="S304" s="20" t="s">
        <v>664</v>
      </c>
      <c r="T304" s="57" t="str">
        <f>+IF($N304=[1]CURSOS!$D$3,[1]CURSOS!$E$3,(+IF($N304=[1]CURSOS!$D$4,[1]CURSOS!$E$4,(+IF($N304=[1]CURSOS!$D$5,[1]CURSOS!$E$5,(+IF($N304=[1]CURSOS!$D$6,[1]CURSOS!$E$6,(+IF($N304=[1]CURSOS!$D$7,[1]CURSOS!$E$7,(+IF($N304=[1]CURSOS!$D$8,[1]CURSOS!$E$8,(+IF($N304=[1]CURSOS!$D$9,[1]CURSOS!$E$9,(+IF($N304=[1]CURSOS!$D$10,[1]CURSOS!$E$10,(+IF($N304=[1]CURSOS!$D$11,[1]CURSOS!$E$11,(+IF($N304=[1]CURSOS!$D$12,[1]CURSOS!$E$12,(+IF($N304=[1]CURSOS!$D$13,[1]CURSOS!$E$13,(+IF($N304=[1]CURSOS!$D$14,[1]CURSOS!$E$14,(+IF($N304=[1]CURSOS!$D$15,[1]CURSOS!$E$15,(+IF($N304=[1]CURSOS!$D$16,[1]CURSOS!$E$16,(+IF($N304=[1]CURSOS!$D$17,[1]CURSOS!$E$17,(+IF($N304=[1]CURSOS!$D$18,[1]CURSOS!$E$18,(+IF($N304=[1]CURSOS!$D$19,[1]CURSOS!$E$19,(+IF($N304=[1]CURSOS!$D$20,[1]CURSOS!$E$20,(+IF($N304=[1]CURSOS!$D$21,[1]CURSOS!$E$21,(+IF($N304=[1]CURSOS!$D$22,[1]CURSOS!$E$22,(+IF($N304=[1]CURSOS!$D$23,[1]CURSOS!$E$23,(+IF($N304=[1]CURSOS!$D$24,[1]CURSOS!$E$24,(+IF($N304=[1]CURSOS!$D$25,[1]CURSOS!$E$25,(+IF($N304=[1]CURSOS!$D$26,[1]CURSOS!$E$26,(+IF($N304=[1]CURSOS!$D$27,[1]CURSOS!$E$27,(+IF($N304=[1]CURSOS!$D$28,[1]CURSOS!$E$28,(+IF($N304=[1]CURSOS!$D$29,[1]CURSOS!$E$29,(+IF($N304=[1]CURSOS!$D$30,[1]CURSOS!$E$30,(+IF($N304=[1]CURSOS!$D$31,[1]CURSOS!$E$31,(+IF($N304=[1]CURSOS!$D$32,[1]CURSOS!$E$32)))))))))))))))))))))))))))))))))))))))))))))))))))))))))))</f>
        <v xml:space="preserve">ATENCION A VICTIMAS DE ATAQUE CON AGENTES QUIMICOS </v>
      </c>
      <c r="U304" s="57" t="str">
        <f t="shared" si="167"/>
        <v>Elisa Jimena Andrade Mora</v>
      </c>
      <c r="V304" s="57" t="str">
        <f t="shared" si="168"/>
        <v>Elisa Jimena Andrade Mora</v>
      </c>
      <c r="W304" s="57" t="str">
        <f t="shared" si="169"/>
        <v>Elisa Jimena Andrade Mora-1088736445-QUIMICOS</v>
      </c>
    </row>
    <row r="305" spans="1:23" s="73" customFormat="1" x14ac:dyDescent="0.2">
      <c r="A305" s="20">
        <v>304</v>
      </c>
      <c r="B305" s="20">
        <v>1088736445</v>
      </c>
      <c r="C305" s="20" t="s">
        <v>662</v>
      </c>
      <c r="D305" s="20" t="s">
        <v>234</v>
      </c>
      <c r="E305" s="20" t="s">
        <v>663</v>
      </c>
      <c r="F305" s="20" t="s">
        <v>563</v>
      </c>
      <c r="G305" s="19">
        <v>26</v>
      </c>
      <c r="H305" s="19" t="s">
        <v>99</v>
      </c>
      <c r="I305" s="25">
        <v>45411</v>
      </c>
      <c r="J305" s="88">
        <v>25000</v>
      </c>
      <c r="K305" s="116" t="s">
        <v>79</v>
      </c>
      <c r="L305" s="19" t="s">
        <v>322</v>
      </c>
      <c r="M305" s="19" t="s">
        <v>197</v>
      </c>
      <c r="N305" s="21" t="s">
        <v>381</v>
      </c>
      <c r="O305" s="72">
        <v>34420</v>
      </c>
      <c r="P305" s="20" t="s">
        <v>78</v>
      </c>
      <c r="Q305" s="20" t="s">
        <v>160</v>
      </c>
      <c r="R305" s="20">
        <v>3136741575</v>
      </c>
      <c r="S305" s="20" t="s">
        <v>664</v>
      </c>
      <c r="T305" s="57" t="str">
        <f>+IF($N305=[1]CURSOS!$D$3,[1]CURSOS!$E$3,(+IF($N305=[1]CURSOS!$D$4,[1]CURSOS!$E$4,(+IF($N305=[1]CURSOS!$D$5,[1]CURSOS!$E$5,(+IF($N305=[1]CURSOS!$D$6,[1]CURSOS!$E$6,(+IF($N305=[1]CURSOS!$D$7,[1]CURSOS!$E$7,(+IF($N305=[1]CURSOS!$D$8,[1]CURSOS!$E$8,(+IF($N305=[1]CURSOS!$D$9,[1]CURSOS!$E$9,(+IF($N305=[1]CURSOS!$D$10,[1]CURSOS!$E$10,(+IF($N305=[1]CURSOS!$D$11,[1]CURSOS!$E$11,(+IF($N305=[1]CURSOS!$D$12,[1]CURSOS!$E$12,(+IF($N305=[1]CURSOS!$D$13,[1]CURSOS!$E$13,(+IF($N305=[1]CURSOS!$D$14,[1]CURSOS!$E$14,(+IF($N305=[1]CURSOS!$D$15,[1]CURSOS!$E$15,(+IF($N305=[1]CURSOS!$D$16,[1]CURSOS!$E$16,(+IF($N305=[1]CURSOS!$D$17,[1]CURSOS!$E$17,(+IF($N305=[1]CURSOS!$D$18,[1]CURSOS!$E$18,(+IF($N305=[1]CURSOS!$D$19,[1]CURSOS!$E$19,(+IF($N305=[1]CURSOS!$D$20,[1]CURSOS!$E$20,(+IF($N305=[1]CURSOS!$D$21,[1]CURSOS!$E$21,(+IF($N305=[1]CURSOS!$D$22,[1]CURSOS!$E$22,(+IF($N305=[1]CURSOS!$D$23,[1]CURSOS!$E$23,(+IF($N305=[1]CURSOS!$D$24,[1]CURSOS!$E$24,(+IF($N305=[1]CURSOS!$D$25,[1]CURSOS!$E$25,(+IF($N305=[1]CURSOS!$D$26,[1]CURSOS!$E$26,(+IF($N305=[1]CURSOS!$D$27,[1]CURSOS!$E$27,(+IF($N305=[1]CURSOS!$D$28,[1]CURSOS!$E$28,(+IF($N305=[1]CURSOS!$D$29,[1]CURSOS!$E$29,(+IF($N305=[1]CURSOS!$D$30,[1]CURSOS!$E$30,(+IF($N305=[1]CURSOS!$D$31,[1]CURSOS!$E$31,(+IF($N305=[1]CURSOS!$D$32,[1]CURSOS!$E$32)))))))))))))))))))))))))))))))))))))))))))))))))))))))))))</f>
        <v>ACOMPAÑAMIENTO Y MANEJO DEL DUELO</v>
      </c>
      <c r="U305" s="57" t="str">
        <f t="shared" si="167"/>
        <v>Elisa Jimena Andrade Mora</v>
      </c>
      <c r="V305" s="57" t="str">
        <f t="shared" si="168"/>
        <v>Elisa Jimena Andrade Mora</v>
      </c>
      <c r="W305" s="57" t="str">
        <f t="shared" si="169"/>
        <v>Elisa Jimena Andrade Mora-1088736445-Duelo</v>
      </c>
    </row>
    <row r="306" spans="1:23" s="73" customFormat="1" x14ac:dyDescent="0.2">
      <c r="A306" s="20">
        <v>305</v>
      </c>
      <c r="B306" s="20">
        <v>59314884</v>
      </c>
      <c r="C306" s="20" t="s">
        <v>532</v>
      </c>
      <c r="D306" s="20" t="s">
        <v>180</v>
      </c>
      <c r="E306" s="20" t="s">
        <v>665</v>
      </c>
      <c r="F306" s="20" t="s">
        <v>388</v>
      </c>
      <c r="G306" s="19">
        <v>26</v>
      </c>
      <c r="H306" s="19" t="s">
        <v>99</v>
      </c>
      <c r="I306" s="25">
        <v>45408</v>
      </c>
      <c r="J306" s="98">
        <v>36600</v>
      </c>
      <c r="K306" s="116" t="s">
        <v>82</v>
      </c>
      <c r="L306" s="19" t="s">
        <v>322</v>
      </c>
      <c r="M306" s="19" t="s">
        <v>77</v>
      </c>
      <c r="N306" s="21" t="s">
        <v>381</v>
      </c>
      <c r="O306" s="72">
        <v>45408</v>
      </c>
      <c r="P306" s="20" t="s">
        <v>78</v>
      </c>
      <c r="Q306" s="20" t="s">
        <v>345</v>
      </c>
      <c r="R306" s="20">
        <v>3023575860</v>
      </c>
      <c r="S306" s="20" t="s">
        <v>666</v>
      </c>
      <c r="T306" s="57" t="str">
        <f>+IF($N306=[1]CURSOS!$D$3,[1]CURSOS!$E$3,(+IF($N306=[1]CURSOS!$D$4,[1]CURSOS!$E$4,(+IF($N306=[1]CURSOS!$D$5,[1]CURSOS!$E$5,(+IF($N306=[1]CURSOS!$D$6,[1]CURSOS!$E$6,(+IF($N306=[1]CURSOS!$D$7,[1]CURSOS!$E$7,(+IF($N306=[1]CURSOS!$D$8,[1]CURSOS!$E$8,(+IF($N306=[1]CURSOS!$D$9,[1]CURSOS!$E$9,(+IF($N306=[1]CURSOS!$D$10,[1]CURSOS!$E$10,(+IF($N306=[1]CURSOS!$D$11,[1]CURSOS!$E$11,(+IF($N306=[1]CURSOS!$D$12,[1]CURSOS!$E$12,(+IF($N306=[1]CURSOS!$D$13,[1]CURSOS!$E$13,(+IF($N306=[1]CURSOS!$D$14,[1]CURSOS!$E$14,(+IF($N306=[1]CURSOS!$D$15,[1]CURSOS!$E$15,(+IF($N306=[1]CURSOS!$D$16,[1]CURSOS!$E$16,(+IF($N306=[1]CURSOS!$D$17,[1]CURSOS!$E$17,(+IF($N306=[1]CURSOS!$D$18,[1]CURSOS!$E$18,(+IF($N306=[1]CURSOS!$D$19,[1]CURSOS!$E$19,(+IF($N306=[1]CURSOS!$D$20,[1]CURSOS!$E$20,(+IF($N306=[1]CURSOS!$D$21,[1]CURSOS!$E$21,(+IF($N306=[1]CURSOS!$D$22,[1]CURSOS!$E$22,(+IF($N306=[1]CURSOS!$D$23,[1]CURSOS!$E$23,(+IF($N306=[1]CURSOS!$D$24,[1]CURSOS!$E$24,(+IF($N306=[1]CURSOS!$D$25,[1]CURSOS!$E$25,(+IF($N306=[1]CURSOS!$D$26,[1]CURSOS!$E$26,(+IF($N306=[1]CURSOS!$D$27,[1]CURSOS!$E$27,(+IF($N306=[1]CURSOS!$D$28,[1]CURSOS!$E$28,(+IF($N306=[1]CURSOS!$D$29,[1]CURSOS!$E$29,(+IF($N306=[1]CURSOS!$D$30,[1]CURSOS!$E$30,(+IF($N306=[1]CURSOS!$D$31,[1]CURSOS!$E$31,(+IF($N306=[1]CURSOS!$D$32,[1]CURSOS!$E$32)))))))))))))))))))))))))))))))))))))))))))))))))))))))))))</f>
        <v>ACOMPAÑAMIENTO Y MANEJO DEL DUELO</v>
      </c>
      <c r="U306" s="57" t="str">
        <f t="shared" si="167"/>
        <v>Yina Mercedes Timana Delgado</v>
      </c>
      <c r="V306" s="57" t="str">
        <f t="shared" si="168"/>
        <v>Yina Mercedes Timana Delgado</v>
      </c>
      <c r="W306" s="57" t="str">
        <f t="shared" si="169"/>
        <v>Yina Mercedes Timana Delgado-59314884-Duelo</v>
      </c>
    </row>
    <row r="307" spans="1:23" s="73" customFormat="1" x14ac:dyDescent="0.2">
      <c r="A307" s="20">
        <v>306</v>
      </c>
      <c r="B307" s="20">
        <v>59314884</v>
      </c>
      <c r="C307" s="20" t="s">
        <v>532</v>
      </c>
      <c r="D307" s="20" t="s">
        <v>180</v>
      </c>
      <c r="E307" s="20" t="s">
        <v>665</v>
      </c>
      <c r="F307" s="20" t="s">
        <v>388</v>
      </c>
      <c r="G307" s="19">
        <v>26</v>
      </c>
      <c r="H307" s="19" t="s">
        <v>99</v>
      </c>
      <c r="I307" s="25">
        <v>45408</v>
      </c>
      <c r="J307" s="98">
        <v>36600</v>
      </c>
      <c r="K307" s="116" t="s">
        <v>82</v>
      </c>
      <c r="L307" s="19" t="s">
        <v>322</v>
      </c>
      <c r="M307" s="19" t="s">
        <v>77</v>
      </c>
      <c r="N307" s="21" t="s">
        <v>66</v>
      </c>
      <c r="O307" s="72">
        <v>45408</v>
      </c>
      <c r="P307" s="20" t="s">
        <v>78</v>
      </c>
      <c r="Q307" s="20" t="s">
        <v>345</v>
      </c>
      <c r="R307" s="20">
        <v>3023575860</v>
      </c>
      <c r="S307" s="20" t="s">
        <v>666</v>
      </c>
      <c r="T307" s="57" t="str">
        <f>+IF($N307=[1]CURSOS!$D$3,[1]CURSOS!$E$3,(+IF($N307=[1]CURSOS!$D$4,[1]CURSOS!$E$4,(+IF($N307=[1]CURSOS!$D$5,[1]CURSOS!$E$5,(+IF($N307=[1]CURSOS!$D$6,[1]CURSOS!$E$6,(+IF($N307=[1]CURSOS!$D$7,[1]CURSOS!$E$7,(+IF($N307=[1]CURSOS!$D$8,[1]CURSOS!$E$8,(+IF($N307=[1]CURSOS!$D$9,[1]CURSOS!$E$9,(+IF($N307=[1]CURSOS!$D$10,[1]CURSOS!$E$10,(+IF($N307=[1]CURSOS!$D$11,[1]CURSOS!$E$11,(+IF($N307=[1]CURSOS!$D$12,[1]CURSOS!$E$12,(+IF($N307=[1]CURSOS!$D$13,[1]CURSOS!$E$13,(+IF($N307=[1]CURSOS!$D$14,[1]CURSOS!$E$14,(+IF($N307=[1]CURSOS!$D$15,[1]CURSOS!$E$15,(+IF($N307=[1]CURSOS!$D$16,[1]CURSOS!$E$16,(+IF($N307=[1]CURSOS!$D$17,[1]CURSOS!$E$17,(+IF($N307=[1]CURSOS!$D$18,[1]CURSOS!$E$18,(+IF($N307=[1]CURSOS!$D$19,[1]CURSOS!$E$19,(+IF($N307=[1]CURSOS!$D$20,[1]CURSOS!$E$20,(+IF($N307=[1]CURSOS!$D$21,[1]CURSOS!$E$21,(+IF($N307=[1]CURSOS!$D$22,[1]CURSOS!$E$22,(+IF($N307=[1]CURSOS!$D$23,[1]CURSOS!$E$23,(+IF($N307=[1]CURSOS!$D$24,[1]CURSOS!$E$24,(+IF($N307=[1]CURSOS!$D$25,[1]CURSOS!$E$25,(+IF($N307=[1]CURSOS!$D$26,[1]CURSOS!$E$26,(+IF($N307=[1]CURSOS!$D$27,[1]CURSOS!$E$27,(+IF($N307=[1]CURSOS!$D$28,[1]CURSOS!$E$28,(+IF($N307=[1]CURSOS!$D$29,[1]CURSOS!$E$29,(+IF($N307=[1]CURSOS!$D$30,[1]CURSOS!$E$30,(+IF($N307=[1]CURSOS!$D$31,[1]CURSOS!$E$31,(+IF($N307=[1]CURSOS!$D$32,[1]CURSOS!$E$32)))))))))))))))))))))))))))))))))))))))))))))))))))))))))))</f>
        <v>MANEJO DEL DOLOR Y CUIDADOS PALIATIVOS</v>
      </c>
      <c r="U307" s="57" t="str">
        <f t="shared" ref="U307:U308" si="170">CONCATENATE(E307," ",F307," ",C307," ",D307)</f>
        <v>Yina Mercedes Timana Delgado</v>
      </c>
      <c r="V307" s="57" t="str">
        <f t="shared" ref="V307:V308" si="171">+PROPER(U307)</f>
        <v>Yina Mercedes Timana Delgado</v>
      </c>
      <c r="W307" s="57" t="str">
        <f t="shared" ref="W307:W308" si="172">CONCATENATE(U307,"-",B307,"-",N307)</f>
        <v>Yina Mercedes Timana Delgado-59314884-PALIATIVOS</v>
      </c>
    </row>
    <row r="308" spans="1:23" s="73" customFormat="1" x14ac:dyDescent="0.2">
      <c r="A308" s="20">
        <v>307</v>
      </c>
      <c r="B308" s="20">
        <v>59314884</v>
      </c>
      <c r="C308" s="20" t="s">
        <v>532</v>
      </c>
      <c r="D308" s="20" t="s">
        <v>180</v>
      </c>
      <c r="E308" s="20" t="s">
        <v>665</v>
      </c>
      <c r="F308" s="20" t="s">
        <v>388</v>
      </c>
      <c r="G308" s="19">
        <v>26</v>
      </c>
      <c r="H308" s="19" t="s">
        <v>99</v>
      </c>
      <c r="I308" s="25">
        <v>45408</v>
      </c>
      <c r="J308" s="98">
        <v>36600</v>
      </c>
      <c r="K308" s="116" t="s">
        <v>82</v>
      </c>
      <c r="L308" s="19" t="s">
        <v>322</v>
      </c>
      <c r="M308" s="19" t="s">
        <v>77</v>
      </c>
      <c r="N308" s="21" t="s">
        <v>46</v>
      </c>
      <c r="O308" s="72">
        <v>45408</v>
      </c>
      <c r="P308" s="20" t="s">
        <v>78</v>
      </c>
      <c r="Q308" s="20" t="s">
        <v>345</v>
      </c>
      <c r="R308" s="20">
        <v>3023575860</v>
      </c>
      <c r="S308" s="20" t="s">
        <v>666</v>
      </c>
      <c r="T308" s="57" t="str">
        <f>+IF($N308=[1]CURSOS!$D$3,[1]CURSOS!$E$3,(+IF($N308=[1]CURSOS!$D$4,[1]CURSOS!$E$4,(+IF($N308=[1]CURSOS!$D$5,[1]CURSOS!$E$5,(+IF($N308=[1]CURSOS!$D$6,[1]CURSOS!$E$6,(+IF($N308=[1]CURSOS!$D$7,[1]CURSOS!$E$7,(+IF($N308=[1]CURSOS!$D$8,[1]CURSOS!$E$8,(+IF($N308=[1]CURSOS!$D$9,[1]CURSOS!$E$9,(+IF($N308=[1]CURSOS!$D$10,[1]CURSOS!$E$10,(+IF($N308=[1]CURSOS!$D$11,[1]CURSOS!$E$11,(+IF($N308=[1]CURSOS!$D$12,[1]CURSOS!$E$12,(+IF($N308=[1]CURSOS!$D$13,[1]CURSOS!$E$13,(+IF($N308=[1]CURSOS!$D$14,[1]CURSOS!$E$14,(+IF($N308=[1]CURSOS!$D$15,[1]CURSOS!$E$15,(+IF($N308=[1]CURSOS!$D$16,[1]CURSOS!$E$16,(+IF($N308=[1]CURSOS!$D$17,[1]CURSOS!$E$17,(+IF($N308=[1]CURSOS!$D$18,[1]CURSOS!$E$18,(+IF($N308=[1]CURSOS!$D$19,[1]CURSOS!$E$19,(+IF($N308=[1]CURSOS!$D$20,[1]CURSOS!$E$20,(+IF($N308=[1]CURSOS!$D$21,[1]CURSOS!$E$21,(+IF($N308=[1]CURSOS!$D$22,[1]CURSOS!$E$22,(+IF($N308=[1]CURSOS!$D$23,[1]CURSOS!$E$23,(+IF($N308=[1]CURSOS!$D$24,[1]CURSOS!$E$24,(+IF($N308=[1]CURSOS!$D$25,[1]CURSOS!$E$25,(+IF($N308=[1]CURSOS!$D$26,[1]CURSOS!$E$26,(+IF($N308=[1]CURSOS!$D$27,[1]CURSOS!$E$27,(+IF($N308=[1]CURSOS!$D$28,[1]CURSOS!$E$28,(+IF($N308=[1]CURSOS!$D$29,[1]CURSOS!$E$29,(+IF($N308=[1]CURSOS!$D$30,[1]CURSOS!$E$30,(+IF($N308=[1]CURSOS!$D$31,[1]CURSOS!$E$31,(+IF($N308=[1]CURSOS!$D$32,[1]CURSOS!$E$32)))))))))))))))))))))))))))))))))))))))))))))))))))))))))))</f>
        <v xml:space="preserve">ATENCION A VICTIMAS DE VIOLENCIA SEXUAL </v>
      </c>
      <c r="U308" s="57" t="str">
        <f t="shared" si="170"/>
        <v>Yina Mercedes Timana Delgado</v>
      </c>
      <c r="V308" s="57" t="str">
        <f t="shared" si="171"/>
        <v>Yina Mercedes Timana Delgado</v>
      </c>
      <c r="W308" s="57" t="str">
        <f t="shared" si="172"/>
        <v>Yina Mercedes Timana Delgado-59314884-VIOLENCIA SEXUAL</v>
      </c>
    </row>
    <row r="309" spans="1:23" s="73" customFormat="1" x14ac:dyDescent="0.2">
      <c r="A309" s="20">
        <v>308</v>
      </c>
      <c r="B309" s="20">
        <v>1085935672</v>
      </c>
      <c r="C309" s="20" t="s">
        <v>667</v>
      </c>
      <c r="D309" s="20" t="s">
        <v>433</v>
      </c>
      <c r="E309" s="20" t="s">
        <v>668</v>
      </c>
      <c r="F309" s="20" t="s">
        <v>669</v>
      </c>
      <c r="G309" s="19">
        <v>25</v>
      </c>
      <c r="H309" s="19" t="s">
        <v>99</v>
      </c>
      <c r="I309" s="25">
        <v>45408</v>
      </c>
      <c r="J309" s="98">
        <v>120000</v>
      </c>
      <c r="K309" s="116" t="s">
        <v>670</v>
      </c>
      <c r="L309" s="19" t="s">
        <v>84</v>
      </c>
      <c r="M309" s="19" t="s">
        <v>77</v>
      </c>
      <c r="N309" s="21" t="s">
        <v>39</v>
      </c>
      <c r="O309" s="72">
        <v>34501</v>
      </c>
      <c r="P309" s="20" t="s">
        <v>78</v>
      </c>
      <c r="Q309" s="20" t="s">
        <v>671</v>
      </c>
      <c r="R309" s="20">
        <v>3207769515</v>
      </c>
      <c r="S309" s="20" t="s">
        <v>672</v>
      </c>
      <c r="T309" s="57" t="str">
        <f>+IF($N309=[1]CURSOS!$D$3,[1]CURSOS!$E$3,(+IF($N309=[1]CURSOS!$D$4,[1]CURSOS!$E$4,(+IF($N309=[1]CURSOS!$D$5,[1]CURSOS!$E$5,(+IF($N309=[1]CURSOS!$D$6,[1]CURSOS!$E$6,(+IF($N309=[1]CURSOS!$D$7,[1]CURSOS!$E$7,(+IF($N309=[1]CURSOS!$D$8,[1]CURSOS!$E$8,(+IF($N309=[1]CURSOS!$D$9,[1]CURSOS!$E$9,(+IF($N309=[1]CURSOS!$D$10,[1]CURSOS!$E$10,(+IF($N309=[1]CURSOS!$D$11,[1]CURSOS!$E$11,(+IF($N309=[1]CURSOS!$D$12,[1]CURSOS!$E$12,(+IF($N309=[1]CURSOS!$D$13,[1]CURSOS!$E$13,(+IF($N309=[1]CURSOS!$D$14,[1]CURSOS!$E$14,(+IF($N309=[1]CURSOS!$D$15,[1]CURSOS!$E$15,(+IF($N309=[1]CURSOS!$D$16,[1]CURSOS!$E$16,(+IF($N309=[1]CURSOS!$D$17,[1]CURSOS!$E$17,(+IF($N309=[1]CURSOS!$D$18,[1]CURSOS!$E$18,(+IF($N309=[1]CURSOS!$D$19,[1]CURSOS!$E$19,(+IF($N309=[1]CURSOS!$D$20,[1]CURSOS!$E$20,(+IF($N309=[1]CURSOS!$D$21,[1]CURSOS!$E$21,(+IF($N309=[1]CURSOS!$D$22,[1]CURSOS!$E$22,(+IF($N309=[1]CURSOS!$D$23,[1]CURSOS!$E$23,(+IF($N309=[1]CURSOS!$D$24,[1]CURSOS!$E$24,(+IF($N309=[1]CURSOS!$D$25,[1]CURSOS!$E$25,(+IF($N309=[1]CURSOS!$D$26,[1]CURSOS!$E$26,(+IF($N309=[1]CURSOS!$D$27,[1]CURSOS!$E$27,(+IF($N309=[1]CURSOS!$D$28,[1]CURSOS!$E$28,(+IF($N309=[1]CURSOS!$D$29,[1]CURSOS!$E$29,(+IF($N309=[1]CURSOS!$D$30,[1]CURSOS!$E$30,(+IF($N309=[1]CURSOS!$D$31,[1]CURSOS!$E$31,(+IF($N309=[1]CURSOS!$D$32,[1]CURSOS!$E$32)))))))))))))))))))))))))))))))))))))))))))))))))))))))))))</f>
        <v xml:space="preserve">SOPORTE CARDIOVASCULAR AVANZADO </v>
      </c>
      <c r="U309" s="57" t="str">
        <f t="shared" ref="U309:U311" si="173">CONCATENATE(E309," ",F309," ",C309," ",D309)</f>
        <v>Dharly Dadiana Mueses Benavides</v>
      </c>
      <c r="V309" s="57" t="str">
        <f t="shared" ref="V309:V311" si="174">+PROPER(U309)</f>
        <v>Dharly Dadiana Mueses Benavides</v>
      </c>
      <c r="W309" s="57" t="str">
        <f t="shared" ref="W309:W311" si="175">CONCATENATE(U309,"-",B309,"-",N309)</f>
        <v>Dharly Dadiana Mueses Benavides-1085935672-ACLS</v>
      </c>
    </row>
    <row r="310" spans="1:23" s="73" customFormat="1" x14ac:dyDescent="0.2">
      <c r="A310" s="20">
        <v>309</v>
      </c>
      <c r="B310" s="20">
        <v>1085935672</v>
      </c>
      <c r="C310" s="20" t="s">
        <v>667</v>
      </c>
      <c r="D310" s="20" t="s">
        <v>433</v>
      </c>
      <c r="E310" s="20" t="s">
        <v>668</v>
      </c>
      <c r="F310" s="20" t="s">
        <v>669</v>
      </c>
      <c r="G310" s="19">
        <v>26</v>
      </c>
      <c r="H310" s="19" t="s">
        <v>99</v>
      </c>
      <c r="I310" s="25">
        <v>45408</v>
      </c>
      <c r="J310" s="98">
        <v>50000</v>
      </c>
      <c r="K310" s="116" t="s">
        <v>551</v>
      </c>
      <c r="L310" s="19" t="s">
        <v>84</v>
      </c>
      <c r="M310" s="19" t="s">
        <v>77</v>
      </c>
      <c r="N310" s="21" t="s">
        <v>46</v>
      </c>
      <c r="O310" s="72">
        <v>34501</v>
      </c>
      <c r="P310" s="20" t="s">
        <v>78</v>
      </c>
      <c r="Q310" s="20" t="s">
        <v>671</v>
      </c>
      <c r="R310" s="20">
        <v>3207769515</v>
      </c>
      <c r="S310" s="20" t="s">
        <v>672</v>
      </c>
      <c r="T310" s="57" t="str">
        <f>+IF($N310=[1]CURSOS!$D$3,[1]CURSOS!$E$3,(+IF($N310=[1]CURSOS!$D$4,[1]CURSOS!$E$4,(+IF($N310=[1]CURSOS!$D$5,[1]CURSOS!$E$5,(+IF($N310=[1]CURSOS!$D$6,[1]CURSOS!$E$6,(+IF($N310=[1]CURSOS!$D$7,[1]CURSOS!$E$7,(+IF($N310=[1]CURSOS!$D$8,[1]CURSOS!$E$8,(+IF($N310=[1]CURSOS!$D$9,[1]CURSOS!$E$9,(+IF($N310=[1]CURSOS!$D$10,[1]CURSOS!$E$10,(+IF($N310=[1]CURSOS!$D$11,[1]CURSOS!$E$11,(+IF($N310=[1]CURSOS!$D$12,[1]CURSOS!$E$12,(+IF($N310=[1]CURSOS!$D$13,[1]CURSOS!$E$13,(+IF($N310=[1]CURSOS!$D$14,[1]CURSOS!$E$14,(+IF($N310=[1]CURSOS!$D$15,[1]CURSOS!$E$15,(+IF($N310=[1]CURSOS!$D$16,[1]CURSOS!$E$16,(+IF($N310=[1]CURSOS!$D$17,[1]CURSOS!$E$17,(+IF($N310=[1]CURSOS!$D$18,[1]CURSOS!$E$18,(+IF($N310=[1]CURSOS!$D$19,[1]CURSOS!$E$19,(+IF($N310=[1]CURSOS!$D$20,[1]CURSOS!$E$20,(+IF($N310=[1]CURSOS!$D$21,[1]CURSOS!$E$21,(+IF($N310=[1]CURSOS!$D$22,[1]CURSOS!$E$22,(+IF($N310=[1]CURSOS!$D$23,[1]CURSOS!$E$23,(+IF($N310=[1]CURSOS!$D$24,[1]CURSOS!$E$24,(+IF($N310=[1]CURSOS!$D$25,[1]CURSOS!$E$25,(+IF($N310=[1]CURSOS!$D$26,[1]CURSOS!$E$26,(+IF($N310=[1]CURSOS!$D$27,[1]CURSOS!$E$27,(+IF($N310=[1]CURSOS!$D$28,[1]CURSOS!$E$28,(+IF($N310=[1]CURSOS!$D$29,[1]CURSOS!$E$29,(+IF($N310=[1]CURSOS!$D$30,[1]CURSOS!$E$30,(+IF($N310=[1]CURSOS!$D$31,[1]CURSOS!$E$31,(+IF($N310=[1]CURSOS!$D$32,[1]CURSOS!$E$32)))))))))))))))))))))))))))))))))))))))))))))))))))))))))))</f>
        <v xml:space="preserve">ATENCION A VICTIMAS DE VIOLENCIA SEXUAL </v>
      </c>
      <c r="U310" s="57" t="str">
        <f t="shared" si="173"/>
        <v>Dharly Dadiana Mueses Benavides</v>
      </c>
      <c r="V310" s="57" t="str">
        <f t="shared" si="174"/>
        <v>Dharly Dadiana Mueses Benavides</v>
      </c>
      <c r="W310" s="57" t="str">
        <f t="shared" si="175"/>
        <v>Dharly Dadiana Mueses Benavides-1085935672-VIOLENCIA SEXUAL</v>
      </c>
    </row>
    <row r="311" spans="1:23" s="73" customFormat="1" x14ac:dyDescent="0.2">
      <c r="A311" s="20">
        <v>310</v>
      </c>
      <c r="B311" s="20">
        <v>1088737954</v>
      </c>
      <c r="C311" s="20" t="s">
        <v>485</v>
      </c>
      <c r="D311" s="20" t="s">
        <v>356</v>
      </c>
      <c r="E311" s="20" t="s">
        <v>673</v>
      </c>
      <c r="F311" s="20" t="s">
        <v>674</v>
      </c>
      <c r="G311" s="19">
        <v>27</v>
      </c>
      <c r="H311" s="19" t="s">
        <v>99</v>
      </c>
      <c r="I311" s="25">
        <v>45411</v>
      </c>
      <c r="J311" s="88">
        <v>25000</v>
      </c>
      <c r="K311" s="116" t="s">
        <v>79</v>
      </c>
      <c r="L311" s="19" t="s">
        <v>322</v>
      </c>
      <c r="M311" s="19" t="s">
        <v>197</v>
      </c>
      <c r="N311" s="21" t="s">
        <v>33</v>
      </c>
      <c r="O311" s="72">
        <v>35547</v>
      </c>
      <c r="P311" s="20" t="s">
        <v>88</v>
      </c>
      <c r="Q311" s="20" t="s">
        <v>675</v>
      </c>
      <c r="R311" s="20">
        <v>3152435179</v>
      </c>
      <c r="S311" s="20" t="s">
        <v>676</v>
      </c>
      <c r="T311" s="57" t="str">
        <f>+IF($N311=[1]CURSOS!$D$3,[1]CURSOS!$E$3,(+IF($N311=[1]CURSOS!$D$4,[1]CURSOS!$E$4,(+IF($N311=[1]CURSOS!$D$5,[1]CURSOS!$E$5,(+IF($N311=[1]CURSOS!$D$6,[1]CURSOS!$E$6,(+IF($N311=[1]CURSOS!$D$7,[1]CURSOS!$E$7,(+IF($N311=[1]CURSOS!$D$8,[1]CURSOS!$E$8,(+IF($N311=[1]CURSOS!$D$9,[1]CURSOS!$E$9,(+IF($N311=[1]CURSOS!$D$10,[1]CURSOS!$E$10,(+IF($N311=[1]CURSOS!$D$11,[1]CURSOS!$E$11,(+IF($N311=[1]CURSOS!$D$12,[1]CURSOS!$E$12,(+IF($N311=[1]CURSOS!$D$13,[1]CURSOS!$E$13,(+IF($N311=[1]CURSOS!$D$14,[1]CURSOS!$E$14,(+IF($N311=[1]CURSOS!$D$15,[1]CURSOS!$E$15,(+IF($N311=[1]CURSOS!$D$16,[1]CURSOS!$E$16,(+IF($N311=[1]CURSOS!$D$17,[1]CURSOS!$E$17,(+IF($N311=[1]CURSOS!$D$18,[1]CURSOS!$E$18,(+IF($N311=[1]CURSOS!$D$19,[1]CURSOS!$E$19,(+IF($N311=[1]CURSOS!$D$20,[1]CURSOS!$E$20,(+IF($N311=[1]CURSOS!$D$21,[1]CURSOS!$E$21,(+IF($N311=[1]CURSOS!$D$22,[1]CURSOS!$E$22,(+IF($N311=[1]CURSOS!$D$23,[1]CURSOS!$E$23,(+IF($N311=[1]CURSOS!$D$24,[1]CURSOS!$E$24,(+IF($N311=[1]CURSOS!$D$25,[1]CURSOS!$E$25,(+IF($N311=[1]CURSOS!$D$26,[1]CURSOS!$E$26,(+IF($N311=[1]CURSOS!$D$27,[1]CURSOS!$E$27,(+IF($N311=[1]CURSOS!$D$28,[1]CURSOS!$E$28,(+IF($N311=[1]CURSOS!$D$29,[1]CURSOS!$E$29,(+IF($N311=[1]CURSOS!$D$30,[1]CURSOS!$E$30,(+IF($N311=[1]CURSOS!$D$31,[1]CURSOS!$E$31,(+IF($N311=[1]CURSOS!$D$32,[1]CURSOS!$E$32)))))))))))))))))))))))))))))))))))))))))))))))))))))))))))</f>
        <v xml:space="preserve">HUMANIZACION EN SALUD, BUENAS PRACTICAS EN PACIENTE </v>
      </c>
      <c r="U311" s="57" t="str">
        <f t="shared" si="173"/>
        <v>Miller Danilo Castro Alvarez</v>
      </c>
      <c r="V311" s="57" t="str">
        <f t="shared" si="174"/>
        <v>Miller Danilo Castro Alvarez</v>
      </c>
      <c r="W311" s="57" t="str">
        <f t="shared" si="175"/>
        <v>Miller Danilo Castro Alvarez-1088737954-HUMANIZACION</v>
      </c>
    </row>
    <row r="312" spans="1:23" s="73" customFormat="1" x14ac:dyDescent="0.2">
      <c r="A312" s="20">
        <v>311</v>
      </c>
      <c r="B312" s="20">
        <v>1032424255</v>
      </c>
      <c r="C312" s="20" t="s">
        <v>320</v>
      </c>
      <c r="D312" s="20" t="s">
        <v>677</v>
      </c>
      <c r="E312" s="20" t="s">
        <v>678</v>
      </c>
      <c r="F312" s="20"/>
      <c r="G312" s="19">
        <v>29</v>
      </c>
      <c r="H312" s="19" t="s">
        <v>99</v>
      </c>
      <c r="I312" s="25">
        <v>45412</v>
      </c>
      <c r="J312" s="88">
        <v>32500</v>
      </c>
      <c r="K312" s="116" t="s">
        <v>79</v>
      </c>
      <c r="L312" s="19" t="s">
        <v>322</v>
      </c>
      <c r="M312" s="19" t="s">
        <v>197</v>
      </c>
      <c r="N312" s="21" t="s">
        <v>50</v>
      </c>
      <c r="O312" s="72"/>
      <c r="P312" s="20" t="s">
        <v>78</v>
      </c>
      <c r="Q312" s="20"/>
      <c r="R312" s="20"/>
      <c r="S312" s="20"/>
      <c r="T312" s="57" t="str">
        <f>+IF($N312=[1]CURSOS!$D$3,[1]CURSOS!$E$3,(+IF($N312=[1]CURSOS!$D$4,[1]CURSOS!$E$4,(+IF($N312=[1]CURSOS!$D$5,[1]CURSOS!$E$5,(+IF($N312=[1]CURSOS!$D$6,[1]CURSOS!$E$6,(+IF($N312=[1]CURSOS!$D$7,[1]CURSOS!$E$7,(+IF($N312=[1]CURSOS!$D$8,[1]CURSOS!$E$8,(+IF($N312=[1]CURSOS!$D$9,[1]CURSOS!$E$9,(+IF($N312=[1]CURSOS!$D$10,[1]CURSOS!$E$10,(+IF($N312=[1]CURSOS!$D$11,[1]CURSOS!$E$11,(+IF($N312=[1]CURSOS!$D$12,[1]CURSOS!$E$12,(+IF($N312=[1]CURSOS!$D$13,[1]CURSOS!$E$13,(+IF($N312=[1]CURSOS!$D$14,[1]CURSOS!$E$14,(+IF($N312=[1]CURSOS!$D$15,[1]CURSOS!$E$15,(+IF($N312=[1]CURSOS!$D$16,[1]CURSOS!$E$16,(+IF($N312=[1]CURSOS!$D$17,[1]CURSOS!$E$17,(+IF($N312=[1]CURSOS!$D$18,[1]CURSOS!$E$18,(+IF($N312=[1]CURSOS!$D$19,[1]CURSOS!$E$19,(+IF($N312=[1]CURSOS!$D$20,[1]CURSOS!$E$20,(+IF($N312=[1]CURSOS!$D$21,[1]CURSOS!$E$21,(+IF($N312=[1]CURSOS!$D$22,[1]CURSOS!$E$22,(+IF($N312=[1]CURSOS!$D$23,[1]CURSOS!$E$23,(+IF($N312=[1]CURSOS!$D$24,[1]CURSOS!$E$24,(+IF($N312=[1]CURSOS!$D$25,[1]CURSOS!$E$25,(+IF($N312=[1]CURSOS!$D$26,[1]CURSOS!$E$26,(+IF($N312=[1]CURSOS!$D$27,[1]CURSOS!$E$27,(+IF($N312=[1]CURSOS!$D$28,[1]CURSOS!$E$28,(+IF($N312=[1]CURSOS!$D$29,[1]CURSOS!$E$29,(+IF($N312=[1]CURSOS!$D$30,[1]CURSOS!$E$30,(+IF($N312=[1]CURSOS!$D$31,[1]CURSOS!$E$31,(+IF($N312=[1]CURSOS!$D$32,[1]CURSOS!$E$32)))))))))))))))))))))))))))))))))))))))))))))))))))))))))))</f>
        <v>ATENCION INTEGRAL EN ENFERMEDADES PREVALENTES EN PRIMERA INFANCIA (AIEPI)</v>
      </c>
      <c r="U312" s="57" t="str">
        <f t="shared" ref="U312:U318" si="176">CONCATENATE(E312," ",F312," ",C312," ",D312)</f>
        <v>Floribet  Rodriguez Espinosa</v>
      </c>
      <c r="V312" s="57" t="str">
        <f t="shared" ref="V312:V318" si="177">+PROPER(U312)</f>
        <v>Floribet  Rodriguez Espinosa</v>
      </c>
      <c r="W312" s="57" t="str">
        <f t="shared" ref="W312:W318" si="178">CONCATENATE(U312,"-",B312,"-",N312)</f>
        <v>Floribet  Rodriguez Espinosa-1032424255-AIEPI</v>
      </c>
    </row>
    <row r="313" spans="1:23" s="73" customFormat="1" x14ac:dyDescent="0.2">
      <c r="A313" s="20">
        <v>312</v>
      </c>
      <c r="B313" s="20">
        <v>1032424255</v>
      </c>
      <c r="C313" s="20" t="s">
        <v>320</v>
      </c>
      <c r="D313" s="20" t="s">
        <v>677</v>
      </c>
      <c r="E313" s="20" t="s">
        <v>678</v>
      </c>
      <c r="F313" s="20"/>
      <c r="G313" s="19">
        <v>29</v>
      </c>
      <c r="H313" s="19" t="s">
        <v>99</v>
      </c>
      <c r="I313" s="25">
        <v>45412</v>
      </c>
      <c r="J313" s="88">
        <v>32500</v>
      </c>
      <c r="K313" s="116" t="s">
        <v>79</v>
      </c>
      <c r="L313" s="19" t="s">
        <v>322</v>
      </c>
      <c r="M313" s="19" t="s">
        <v>197</v>
      </c>
      <c r="N313" s="21" t="s">
        <v>33</v>
      </c>
      <c r="O313" s="72"/>
      <c r="P313" s="20" t="s">
        <v>78</v>
      </c>
      <c r="Q313" s="20"/>
      <c r="R313" s="20"/>
      <c r="S313" s="20"/>
      <c r="T313" s="57" t="str">
        <f>+IF($N313=[1]CURSOS!$D$3,[1]CURSOS!$E$3,(+IF($N313=[1]CURSOS!$D$4,[1]CURSOS!$E$4,(+IF($N313=[1]CURSOS!$D$5,[1]CURSOS!$E$5,(+IF($N313=[1]CURSOS!$D$6,[1]CURSOS!$E$6,(+IF($N313=[1]CURSOS!$D$7,[1]CURSOS!$E$7,(+IF($N313=[1]CURSOS!$D$8,[1]CURSOS!$E$8,(+IF($N313=[1]CURSOS!$D$9,[1]CURSOS!$E$9,(+IF($N313=[1]CURSOS!$D$10,[1]CURSOS!$E$10,(+IF($N313=[1]CURSOS!$D$11,[1]CURSOS!$E$11,(+IF($N313=[1]CURSOS!$D$12,[1]CURSOS!$E$12,(+IF($N313=[1]CURSOS!$D$13,[1]CURSOS!$E$13,(+IF($N313=[1]CURSOS!$D$14,[1]CURSOS!$E$14,(+IF($N313=[1]CURSOS!$D$15,[1]CURSOS!$E$15,(+IF($N313=[1]CURSOS!$D$16,[1]CURSOS!$E$16,(+IF($N313=[1]CURSOS!$D$17,[1]CURSOS!$E$17,(+IF($N313=[1]CURSOS!$D$18,[1]CURSOS!$E$18,(+IF($N313=[1]CURSOS!$D$19,[1]CURSOS!$E$19,(+IF($N313=[1]CURSOS!$D$20,[1]CURSOS!$E$20,(+IF($N313=[1]CURSOS!$D$21,[1]CURSOS!$E$21,(+IF($N313=[1]CURSOS!$D$22,[1]CURSOS!$E$22,(+IF($N313=[1]CURSOS!$D$23,[1]CURSOS!$E$23,(+IF($N313=[1]CURSOS!$D$24,[1]CURSOS!$E$24,(+IF($N313=[1]CURSOS!$D$25,[1]CURSOS!$E$25,(+IF($N313=[1]CURSOS!$D$26,[1]CURSOS!$E$26,(+IF($N313=[1]CURSOS!$D$27,[1]CURSOS!$E$27,(+IF($N313=[1]CURSOS!$D$28,[1]CURSOS!$E$28,(+IF($N313=[1]CURSOS!$D$29,[1]CURSOS!$E$29,(+IF($N313=[1]CURSOS!$D$30,[1]CURSOS!$E$30,(+IF($N313=[1]CURSOS!$D$31,[1]CURSOS!$E$31,(+IF($N313=[1]CURSOS!$D$32,[1]CURSOS!$E$32)))))))))))))))))))))))))))))))))))))))))))))))))))))))))))</f>
        <v xml:space="preserve">HUMANIZACION EN SALUD, BUENAS PRACTICAS EN PACIENTE </v>
      </c>
      <c r="U313" s="57" t="str">
        <f t="shared" si="176"/>
        <v>Floribet  Rodriguez Espinosa</v>
      </c>
      <c r="V313" s="57" t="str">
        <f t="shared" si="177"/>
        <v>Floribet  Rodriguez Espinosa</v>
      </c>
      <c r="W313" s="57" t="str">
        <f t="shared" si="178"/>
        <v>Floribet  Rodriguez Espinosa-1032424255-HUMANIZACION</v>
      </c>
    </row>
    <row r="314" spans="1:23" s="73" customFormat="1" x14ac:dyDescent="0.2">
      <c r="A314" s="20">
        <v>313</v>
      </c>
      <c r="B314" s="20">
        <v>1088733716</v>
      </c>
      <c r="C314" s="20" t="s">
        <v>679</v>
      </c>
      <c r="D314" s="20"/>
      <c r="E314" s="20" t="s">
        <v>516</v>
      </c>
      <c r="F314" s="20"/>
      <c r="G314" s="19">
        <v>29</v>
      </c>
      <c r="H314" s="19" t="s">
        <v>99</v>
      </c>
      <c r="I314" s="25">
        <v>45412</v>
      </c>
      <c r="J314" s="88">
        <v>30000</v>
      </c>
      <c r="K314" s="116" t="s">
        <v>79</v>
      </c>
      <c r="L314" s="19" t="s">
        <v>322</v>
      </c>
      <c r="M314" s="19" t="s">
        <v>197</v>
      </c>
      <c r="N314" s="21" t="s">
        <v>411</v>
      </c>
      <c r="O314" s="72">
        <v>34831</v>
      </c>
      <c r="P314" s="20" t="s">
        <v>78</v>
      </c>
      <c r="Q314" s="20" t="s">
        <v>160</v>
      </c>
      <c r="R314" s="20">
        <v>3183103457</v>
      </c>
      <c r="S314" s="20" t="s">
        <v>680</v>
      </c>
      <c r="T314" s="57" t="str">
        <f>+IF($N314=[1]CURSOS!$D$3,[1]CURSOS!$E$3,(+IF($N314=[1]CURSOS!$D$4,[1]CURSOS!$E$4,(+IF($N314=[1]CURSOS!$D$5,[1]CURSOS!$E$5,(+IF($N314=[1]CURSOS!$D$6,[1]CURSOS!$E$6,(+IF($N314=[1]CURSOS!$D$7,[1]CURSOS!$E$7,(+IF($N314=[1]CURSOS!$D$8,[1]CURSOS!$E$8,(+IF($N314=[1]CURSOS!$D$9,[1]CURSOS!$E$9,(+IF($N314=[1]CURSOS!$D$10,[1]CURSOS!$E$10,(+IF($N314=[1]CURSOS!$D$11,[1]CURSOS!$E$11,(+IF($N314=[1]CURSOS!$D$12,[1]CURSOS!$E$12,(+IF($N314=[1]CURSOS!$D$13,[1]CURSOS!$E$13,(+IF($N314=[1]CURSOS!$D$14,[1]CURSOS!$E$14,(+IF($N314=[1]CURSOS!$D$15,[1]CURSOS!$E$15,(+IF($N314=[1]CURSOS!$D$16,[1]CURSOS!$E$16,(+IF($N314=[1]CURSOS!$D$17,[1]CURSOS!$E$17,(+IF($N314=[1]CURSOS!$D$18,[1]CURSOS!$E$18,(+IF($N314=[1]CURSOS!$D$19,[1]CURSOS!$E$19,(+IF($N314=[1]CURSOS!$D$20,[1]CURSOS!$E$20,(+IF($N314=[1]CURSOS!$D$21,[1]CURSOS!$E$21,(+IF($N314=[1]CURSOS!$D$22,[1]CURSOS!$E$22,(+IF($N314=[1]CURSOS!$D$23,[1]CURSOS!$E$23,(+IF($N314=[1]CURSOS!$D$24,[1]CURSOS!$E$24,(+IF($N314=[1]CURSOS!$D$25,[1]CURSOS!$E$25,(+IF($N314=[1]CURSOS!$D$26,[1]CURSOS!$E$26,(+IF($N314=[1]CURSOS!$D$27,[1]CURSOS!$E$27,(+IF($N314=[1]CURSOS!$D$28,[1]CURSOS!$E$28,(+IF($N314=[1]CURSOS!$D$29,[1]CURSOS!$E$29,(+IF($N314=[1]CURSOS!$D$30,[1]CURSOS!$E$30,(+IF($N314=[1]CURSOS!$D$31,[1]CURSOS!$E$31,(+IF($N314=[1]CURSOS!$D$32,[1]CURSOS!$E$32)))))))))))))))))))))))))))))))))))))))))))))))))))))))))))</f>
        <v xml:space="preserve">ATENCION A VICTIMAS DE ATAQUE CON AGENTES QUIMICOS </v>
      </c>
      <c r="U314" s="57" t="str">
        <f t="shared" si="176"/>
        <v xml:space="preserve">Jackeline  Nastacuaz </v>
      </c>
      <c r="V314" s="57" t="str">
        <f t="shared" si="177"/>
        <v xml:space="preserve">Jackeline  Nastacuaz </v>
      </c>
      <c r="W314" s="57" t="str">
        <f t="shared" si="178"/>
        <v>Jackeline  Nastacuaz -1088733716-Quimicos</v>
      </c>
    </row>
    <row r="315" spans="1:23" s="73" customFormat="1" x14ac:dyDescent="0.2">
      <c r="A315" s="20">
        <v>314</v>
      </c>
      <c r="B315" s="20">
        <v>1088733716</v>
      </c>
      <c r="C315" s="20" t="s">
        <v>679</v>
      </c>
      <c r="D315" s="20"/>
      <c r="E315" s="20" t="s">
        <v>516</v>
      </c>
      <c r="F315" s="20"/>
      <c r="G315" s="19">
        <v>29</v>
      </c>
      <c r="H315" s="19" t="s">
        <v>99</v>
      </c>
      <c r="I315" s="25">
        <v>45412</v>
      </c>
      <c r="J315" s="88">
        <v>30000</v>
      </c>
      <c r="K315" s="116" t="s">
        <v>79</v>
      </c>
      <c r="L315" s="19" t="s">
        <v>322</v>
      </c>
      <c r="M315" s="19" t="s">
        <v>197</v>
      </c>
      <c r="N315" s="21" t="s">
        <v>561</v>
      </c>
      <c r="O315" s="72">
        <v>34831</v>
      </c>
      <c r="P315" s="20" t="s">
        <v>78</v>
      </c>
      <c r="Q315" s="20" t="s">
        <v>160</v>
      </c>
      <c r="R315" s="20">
        <v>3183103457</v>
      </c>
      <c r="S315" s="20" t="s">
        <v>680</v>
      </c>
      <c r="T315" s="57" t="str">
        <f>+IF($N315=[1]CURSOS!$D$3,[1]CURSOS!$E$3,(+IF($N315=[1]CURSOS!$D$4,[1]CURSOS!$E$4,(+IF($N315=[1]CURSOS!$D$5,[1]CURSOS!$E$5,(+IF($N315=[1]CURSOS!$D$6,[1]CURSOS!$E$6,(+IF($N315=[1]CURSOS!$D$7,[1]CURSOS!$E$7,(+IF($N315=[1]CURSOS!$D$8,[1]CURSOS!$E$8,(+IF($N315=[1]CURSOS!$D$9,[1]CURSOS!$E$9,(+IF($N315=[1]CURSOS!$D$10,[1]CURSOS!$E$10,(+IF($N315=[1]CURSOS!$D$11,[1]CURSOS!$E$11,(+IF($N315=[1]CURSOS!$D$12,[1]CURSOS!$E$12,(+IF($N315=[1]CURSOS!$D$13,[1]CURSOS!$E$13,(+IF($N315=[1]CURSOS!$D$14,[1]CURSOS!$E$14,(+IF($N315=[1]CURSOS!$D$15,[1]CURSOS!$E$15,(+IF($N315=[1]CURSOS!$D$16,[1]CURSOS!$E$16,(+IF($N315=[1]CURSOS!$D$17,[1]CURSOS!$E$17,(+IF($N315=[1]CURSOS!$D$18,[1]CURSOS!$E$18,(+IF($N315=[1]CURSOS!$D$19,[1]CURSOS!$E$19,(+IF($N315=[1]CURSOS!$D$20,[1]CURSOS!$E$20,(+IF($N315=[1]CURSOS!$D$21,[1]CURSOS!$E$21,(+IF($N315=[1]CURSOS!$D$22,[1]CURSOS!$E$22,(+IF($N315=[1]CURSOS!$D$23,[1]CURSOS!$E$23,(+IF($N315=[1]CURSOS!$D$24,[1]CURSOS!$E$24,(+IF($N315=[1]CURSOS!$D$25,[1]CURSOS!$E$25,(+IF($N315=[1]CURSOS!$D$26,[1]CURSOS!$E$26,(+IF($N315=[1]CURSOS!$D$27,[1]CURSOS!$E$27,(+IF($N315=[1]CURSOS!$D$28,[1]CURSOS!$E$28,(+IF($N315=[1]CURSOS!$D$29,[1]CURSOS!$E$29,(+IF($N315=[1]CURSOS!$D$30,[1]CURSOS!$E$30,(+IF($N315=[1]CURSOS!$D$31,[1]CURSOS!$E$31,(+IF($N315=[1]CURSOS!$D$32,[1]CURSOS!$E$32)))))))))))))))))))))))))))))))))))))))))))))))))))))))))))</f>
        <v xml:space="preserve">ATENCION A VICTIMAS DE VIOLENCIA SEXUAL </v>
      </c>
      <c r="U315" s="57" t="str">
        <f t="shared" si="176"/>
        <v xml:space="preserve">Jackeline  Nastacuaz </v>
      </c>
      <c r="V315" s="57" t="str">
        <f t="shared" si="177"/>
        <v xml:space="preserve">Jackeline  Nastacuaz </v>
      </c>
      <c r="W315" s="57" t="str">
        <f t="shared" si="178"/>
        <v>Jackeline  Nastacuaz -1088733716-violencia sexual</v>
      </c>
    </row>
    <row r="316" spans="1:23" s="73" customFormat="1" x14ac:dyDescent="0.2">
      <c r="A316" s="20">
        <v>315</v>
      </c>
      <c r="B316" s="20">
        <v>1088733716</v>
      </c>
      <c r="C316" s="20" t="s">
        <v>679</v>
      </c>
      <c r="D316" s="20"/>
      <c r="E316" s="20" t="s">
        <v>516</v>
      </c>
      <c r="F316" s="20"/>
      <c r="G316" s="19">
        <v>29</v>
      </c>
      <c r="H316" s="19" t="s">
        <v>99</v>
      </c>
      <c r="I316" s="25">
        <v>45412</v>
      </c>
      <c r="J316" s="88">
        <v>30000</v>
      </c>
      <c r="K316" s="116" t="s">
        <v>79</v>
      </c>
      <c r="L316" s="19" t="s">
        <v>322</v>
      </c>
      <c r="M316" s="19" t="s">
        <v>197</v>
      </c>
      <c r="N316" s="21" t="s">
        <v>381</v>
      </c>
      <c r="O316" s="72">
        <v>34831</v>
      </c>
      <c r="P316" s="20" t="s">
        <v>78</v>
      </c>
      <c r="Q316" s="20" t="s">
        <v>160</v>
      </c>
      <c r="R316" s="20">
        <v>3183103457</v>
      </c>
      <c r="S316" s="20" t="s">
        <v>680</v>
      </c>
      <c r="T316" s="57" t="str">
        <f>+IF($N316=[1]CURSOS!$D$3,[1]CURSOS!$E$3,(+IF($N316=[1]CURSOS!$D$4,[1]CURSOS!$E$4,(+IF($N316=[1]CURSOS!$D$5,[1]CURSOS!$E$5,(+IF($N316=[1]CURSOS!$D$6,[1]CURSOS!$E$6,(+IF($N316=[1]CURSOS!$D$7,[1]CURSOS!$E$7,(+IF($N316=[1]CURSOS!$D$8,[1]CURSOS!$E$8,(+IF($N316=[1]CURSOS!$D$9,[1]CURSOS!$E$9,(+IF($N316=[1]CURSOS!$D$10,[1]CURSOS!$E$10,(+IF($N316=[1]CURSOS!$D$11,[1]CURSOS!$E$11,(+IF($N316=[1]CURSOS!$D$12,[1]CURSOS!$E$12,(+IF($N316=[1]CURSOS!$D$13,[1]CURSOS!$E$13,(+IF($N316=[1]CURSOS!$D$14,[1]CURSOS!$E$14,(+IF($N316=[1]CURSOS!$D$15,[1]CURSOS!$E$15,(+IF($N316=[1]CURSOS!$D$16,[1]CURSOS!$E$16,(+IF($N316=[1]CURSOS!$D$17,[1]CURSOS!$E$17,(+IF($N316=[1]CURSOS!$D$18,[1]CURSOS!$E$18,(+IF($N316=[1]CURSOS!$D$19,[1]CURSOS!$E$19,(+IF($N316=[1]CURSOS!$D$20,[1]CURSOS!$E$20,(+IF($N316=[1]CURSOS!$D$21,[1]CURSOS!$E$21,(+IF($N316=[1]CURSOS!$D$22,[1]CURSOS!$E$22,(+IF($N316=[1]CURSOS!$D$23,[1]CURSOS!$E$23,(+IF($N316=[1]CURSOS!$D$24,[1]CURSOS!$E$24,(+IF($N316=[1]CURSOS!$D$25,[1]CURSOS!$E$25,(+IF($N316=[1]CURSOS!$D$26,[1]CURSOS!$E$26,(+IF($N316=[1]CURSOS!$D$27,[1]CURSOS!$E$27,(+IF($N316=[1]CURSOS!$D$28,[1]CURSOS!$E$28,(+IF($N316=[1]CURSOS!$D$29,[1]CURSOS!$E$29,(+IF($N316=[1]CURSOS!$D$30,[1]CURSOS!$E$30,(+IF($N316=[1]CURSOS!$D$31,[1]CURSOS!$E$31,(+IF($N316=[1]CURSOS!$D$32,[1]CURSOS!$E$32)))))))))))))))))))))))))))))))))))))))))))))))))))))))))))</f>
        <v>ACOMPAÑAMIENTO Y MANEJO DEL DUELO</v>
      </c>
      <c r="U316" s="57" t="str">
        <f t="shared" si="176"/>
        <v xml:space="preserve">Jackeline  Nastacuaz </v>
      </c>
      <c r="V316" s="57" t="str">
        <f t="shared" si="177"/>
        <v xml:space="preserve">Jackeline  Nastacuaz </v>
      </c>
      <c r="W316" s="57" t="str">
        <f t="shared" si="178"/>
        <v>Jackeline  Nastacuaz -1088733716-Duelo</v>
      </c>
    </row>
    <row r="317" spans="1:23" s="73" customFormat="1" ht="15.75" x14ac:dyDescent="0.25">
      <c r="A317" s="20">
        <v>316</v>
      </c>
      <c r="B317" s="20">
        <v>1085268026</v>
      </c>
      <c r="C317" s="20" t="s">
        <v>186</v>
      </c>
      <c r="D317" s="20" t="s">
        <v>681</v>
      </c>
      <c r="E317" s="20" t="s">
        <v>682</v>
      </c>
      <c r="F317" s="20" t="s">
        <v>194</v>
      </c>
      <c r="G317" s="19">
        <v>29</v>
      </c>
      <c r="H317" s="19" t="s">
        <v>99</v>
      </c>
      <c r="I317" s="25">
        <v>45411</v>
      </c>
      <c r="J317" s="98">
        <v>25000</v>
      </c>
      <c r="K317" s="116" t="s">
        <v>82</v>
      </c>
      <c r="L317" s="19" t="s">
        <v>322</v>
      </c>
      <c r="M317" s="19" t="s">
        <v>173</v>
      </c>
      <c r="N317" s="21" t="s">
        <v>411</v>
      </c>
      <c r="O317" s="72"/>
      <c r="P317" s="20" t="s">
        <v>78</v>
      </c>
      <c r="Q317" s="20"/>
      <c r="R317" s="20"/>
      <c r="S317" s="74" t="s">
        <v>683</v>
      </c>
      <c r="T317" s="57" t="str">
        <f>+IF($N317=[1]CURSOS!$D$3,[1]CURSOS!$E$3,(+IF($N317=[1]CURSOS!$D$4,[1]CURSOS!$E$4,(+IF($N317=[1]CURSOS!$D$5,[1]CURSOS!$E$5,(+IF($N317=[1]CURSOS!$D$6,[1]CURSOS!$E$6,(+IF($N317=[1]CURSOS!$D$7,[1]CURSOS!$E$7,(+IF($N317=[1]CURSOS!$D$8,[1]CURSOS!$E$8,(+IF($N317=[1]CURSOS!$D$9,[1]CURSOS!$E$9,(+IF($N317=[1]CURSOS!$D$10,[1]CURSOS!$E$10,(+IF($N317=[1]CURSOS!$D$11,[1]CURSOS!$E$11,(+IF($N317=[1]CURSOS!$D$12,[1]CURSOS!$E$12,(+IF($N317=[1]CURSOS!$D$13,[1]CURSOS!$E$13,(+IF($N317=[1]CURSOS!$D$14,[1]CURSOS!$E$14,(+IF($N317=[1]CURSOS!$D$15,[1]CURSOS!$E$15,(+IF($N317=[1]CURSOS!$D$16,[1]CURSOS!$E$16,(+IF($N317=[1]CURSOS!$D$17,[1]CURSOS!$E$17,(+IF($N317=[1]CURSOS!$D$18,[1]CURSOS!$E$18,(+IF($N317=[1]CURSOS!$D$19,[1]CURSOS!$E$19,(+IF($N317=[1]CURSOS!$D$20,[1]CURSOS!$E$20,(+IF($N317=[1]CURSOS!$D$21,[1]CURSOS!$E$21,(+IF($N317=[1]CURSOS!$D$22,[1]CURSOS!$E$22,(+IF($N317=[1]CURSOS!$D$23,[1]CURSOS!$E$23,(+IF($N317=[1]CURSOS!$D$24,[1]CURSOS!$E$24,(+IF($N317=[1]CURSOS!$D$25,[1]CURSOS!$E$25,(+IF($N317=[1]CURSOS!$D$26,[1]CURSOS!$E$26,(+IF($N317=[1]CURSOS!$D$27,[1]CURSOS!$E$27,(+IF($N317=[1]CURSOS!$D$28,[1]CURSOS!$E$28,(+IF($N317=[1]CURSOS!$D$29,[1]CURSOS!$E$29,(+IF($N317=[1]CURSOS!$D$30,[1]CURSOS!$E$30,(+IF($N317=[1]CURSOS!$D$31,[1]CURSOS!$E$31,(+IF($N317=[1]CURSOS!$D$32,[1]CURSOS!$E$32)))))))))))))))))))))))))))))))))))))))))))))))))))))))))))</f>
        <v xml:space="preserve">ATENCION A VICTIMAS DE ATAQUE CON AGENTES QUIMICOS </v>
      </c>
      <c r="U317" s="57" t="str">
        <f t="shared" si="176"/>
        <v>Juli Andrea Rosero Caez</v>
      </c>
      <c r="V317" s="57" t="str">
        <f t="shared" si="177"/>
        <v>Juli Andrea Rosero Caez</v>
      </c>
      <c r="W317" s="57" t="str">
        <f t="shared" si="178"/>
        <v>Juli Andrea Rosero Caez-1085268026-Quimicos</v>
      </c>
    </row>
    <row r="318" spans="1:23" s="73" customFormat="1" ht="15.75" x14ac:dyDescent="0.25">
      <c r="A318" s="20">
        <v>317</v>
      </c>
      <c r="B318" s="20">
        <v>1085268026</v>
      </c>
      <c r="C318" s="20" t="s">
        <v>186</v>
      </c>
      <c r="D318" s="20" t="s">
        <v>681</v>
      </c>
      <c r="E318" s="20" t="s">
        <v>682</v>
      </c>
      <c r="F318" s="20" t="s">
        <v>194</v>
      </c>
      <c r="G318" s="19">
        <v>29</v>
      </c>
      <c r="H318" s="19" t="s">
        <v>99</v>
      </c>
      <c r="I318" s="25">
        <v>45411</v>
      </c>
      <c r="J318" s="98">
        <v>25000</v>
      </c>
      <c r="K318" s="116" t="s">
        <v>82</v>
      </c>
      <c r="L318" s="19" t="s">
        <v>322</v>
      </c>
      <c r="M318" s="19" t="s">
        <v>173</v>
      </c>
      <c r="N318" s="21" t="s">
        <v>33</v>
      </c>
      <c r="O318" s="72"/>
      <c r="P318" s="20" t="s">
        <v>78</v>
      </c>
      <c r="Q318" s="20"/>
      <c r="R318" s="20"/>
      <c r="S318" s="74" t="s">
        <v>683</v>
      </c>
      <c r="T318" s="57" t="str">
        <f>+IF($N318=[1]CURSOS!$D$3,[1]CURSOS!$E$3,(+IF($N318=[1]CURSOS!$D$4,[1]CURSOS!$E$4,(+IF($N318=[1]CURSOS!$D$5,[1]CURSOS!$E$5,(+IF($N318=[1]CURSOS!$D$6,[1]CURSOS!$E$6,(+IF($N318=[1]CURSOS!$D$7,[1]CURSOS!$E$7,(+IF($N318=[1]CURSOS!$D$8,[1]CURSOS!$E$8,(+IF($N318=[1]CURSOS!$D$9,[1]CURSOS!$E$9,(+IF($N318=[1]CURSOS!$D$10,[1]CURSOS!$E$10,(+IF($N318=[1]CURSOS!$D$11,[1]CURSOS!$E$11,(+IF($N318=[1]CURSOS!$D$12,[1]CURSOS!$E$12,(+IF($N318=[1]CURSOS!$D$13,[1]CURSOS!$E$13,(+IF($N318=[1]CURSOS!$D$14,[1]CURSOS!$E$14,(+IF($N318=[1]CURSOS!$D$15,[1]CURSOS!$E$15,(+IF($N318=[1]CURSOS!$D$16,[1]CURSOS!$E$16,(+IF($N318=[1]CURSOS!$D$17,[1]CURSOS!$E$17,(+IF($N318=[1]CURSOS!$D$18,[1]CURSOS!$E$18,(+IF($N318=[1]CURSOS!$D$19,[1]CURSOS!$E$19,(+IF($N318=[1]CURSOS!$D$20,[1]CURSOS!$E$20,(+IF($N318=[1]CURSOS!$D$21,[1]CURSOS!$E$21,(+IF($N318=[1]CURSOS!$D$22,[1]CURSOS!$E$22,(+IF($N318=[1]CURSOS!$D$23,[1]CURSOS!$E$23,(+IF($N318=[1]CURSOS!$D$24,[1]CURSOS!$E$24,(+IF($N318=[1]CURSOS!$D$25,[1]CURSOS!$E$25,(+IF($N318=[1]CURSOS!$D$26,[1]CURSOS!$E$26,(+IF($N318=[1]CURSOS!$D$27,[1]CURSOS!$E$27,(+IF($N318=[1]CURSOS!$D$28,[1]CURSOS!$E$28,(+IF($N318=[1]CURSOS!$D$29,[1]CURSOS!$E$29,(+IF($N318=[1]CURSOS!$D$30,[1]CURSOS!$E$30,(+IF($N318=[1]CURSOS!$D$31,[1]CURSOS!$E$31,(+IF($N318=[1]CURSOS!$D$32,[1]CURSOS!$E$32)))))))))))))))))))))))))))))))))))))))))))))))))))))))))))</f>
        <v xml:space="preserve">HUMANIZACION EN SALUD, BUENAS PRACTICAS EN PACIENTE </v>
      </c>
      <c r="U318" s="57" t="str">
        <f t="shared" si="176"/>
        <v>Juli Andrea Rosero Caez</v>
      </c>
      <c r="V318" s="57" t="str">
        <f t="shared" si="177"/>
        <v>Juli Andrea Rosero Caez</v>
      </c>
      <c r="W318" s="57" t="str">
        <f t="shared" si="178"/>
        <v>Juli Andrea Rosero Caez-1085268026-HUMANIZACION</v>
      </c>
    </row>
    <row r="319" spans="1:23" s="73" customFormat="1" x14ac:dyDescent="0.2">
      <c r="A319" s="20">
        <v>318</v>
      </c>
      <c r="B319" s="20">
        <v>36997355</v>
      </c>
      <c r="C319" s="20" t="s">
        <v>123</v>
      </c>
      <c r="D319" s="20" t="s">
        <v>314</v>
      </c>
      <c r="E319" s="20" t="s">
        <v>684</v>
      </c>
      <c r="F319" s="20" t="s">
        <v>685</v>
      </c>
      <c r="G319" s="19">
        <v>29</v>
      </c>
      <c r="H319" s="19" t="s">
        <v>99</v>
      </c>
      <c r="I319" s="25">
        <v>45411</v>
      </c>
      <c r="J319" s="98">
        <v>100000</v>
      </c>
      <c r="K319" s="116" t="s">
        <v>82</v>
      </c>
      <c r="L319" s="19" t="s">
        <v>322</v>
      </c>
      <c r="M319" s="19" t="s">
        <v>173</v>
      </c>
      <c r="N319" s="21" t="s">
        <v>29</v>
      </c>
      <c r="O319" s="72"/>
      <c r="P319" s="20" t="s">
        <v>78</v>
      </c>
      <c r="Q319" s="20"/>
      <c r="R319" s="20"/>
      <c r="S319" s="20"/>
      <c r="T319" s="57" t="str">
        <f>+IF($N319=[1]CURSOS!$D$3,[1]CURSOS!$E$3,(+IF($N319=[1]CURSOS!$D$4,[1]CURSOS!$E$4,(+IF($N319=[1]CURSOS!$D$5,[1]CURSOS!$E$5,(+IF($N319=[1]CURSOS!$D$6,[1]CURSOS!$E$6,(+IF($N319=[1]CURSOS!$D$7,[1]CURSOS!$E$7,(+IF($N319=[1]CURSOS!$D$8,[1]CURSOS!$E$8,(+IF($N319=[1]CURSOS!$D$9,[1]CURSOS!$E$9,(+IF($N319=[1]CURSOS!$D$10,[1]CURSOS!$E$10,(+IF($N319=[1]CURSOS!$D$11,[1]CURSOS!$E$11,(+IF($N319=[1]CURSOS!$D$12,[1]CURSOS!$E$12,(+IF($N319=[1]CURSOS!$D$13,[1]CURSOS!$E$13,(+IF($N319=[1]CURSOS!$D$14,[1]CURSOS!$E$14,(+IF($N319=[1]CURSOS!$D$15,[1]CURSOS!$E$15,(+IF($N319=[1]CURSOS!$D$16,[1]CURSOS!$E$16,(+IF($N319=[1]CURSOS!$D$17,[1]CURSOS!$E$17,(+IF($N319=[1]CURSOS!$D$18,[1]CURSOS!$E$18,(+IF($N319=[1]CURSOS!$D$19,[1]CURSOS!$E$19,(+IF($N319=[1]CURSOS!$D$20,[1]CURSOS!$E$20,(+IF($N319=[1]CURSOS!$D$21,[1]CURSOS!$E$21,(+IF($N319=[1]CURSOS!$D$22,[1]CURSOS!$E$22,(+IF($N319=[1]CURSOS!$D$23,[1]CURSOS!$E$23,(+IF($N319=[1]CURSOS!$D$24,[1]CURSOS!$E$24,(+IF($N319=[1]CURSOS!$D$25,[1]CURSOS!$E$25,(+IF($N319=[1]CURSOS!$D$26,[1]CURSOS!$E$26,(+IF($N319=[1]CURSOS!$D$27,[1]CURSOS!$E$27,(+IF($N319=[1]CURSOS!$D$28,[1]CURSOS!$E$28,(+IF($N319=[1]CURSOS!$D$29,[1]CURSOS!$E$29,(+IF($N319=[1]CURSOS!$D$30,[1]CURSOS!$E$30,(+IF($N319=[1]CURSOS!$D$31,[1]CURSOS!$E$31,(+IF($N319=[1]CURSOS!$D$32,[1]CURSOS!$E$32)))))))))))))))))))))))))))))))))))))))))))))))))))))))))))</f>
        <v>DIPLOMADO DE UNIDAD DE CUIDADOS INTENSIVOS (UCI)</v>
      </c>
      <c r="U319" s="57" t="str">
        <f t="shared" ref="U319" si="179">CONCATENATE(E319," ",F319," ",C319," ",D319)</f>
        <v>Betty Amanda Vallejo Ibarra</v>
      </c>
      <c r="V319" s="57" t="str">
        <f t="shared" ref="V319" si="180">+PROPER(U319)</f>
        <v>Betty Amanda Vallejo Ibarra</v>
      </c>
      <c r="W319" s="57" t="str">
        <f t="shared" ref="W319" si="181">CONCATENATE(U319,"-",B319,"-",N319)</f>
        <v>Betty Amanda Vallejo Ibarra-36997355-UCI</v>
      </c>
    </row>
    <row r="320" spans="1:23" s="73" customFormat="1" x14ac:dyDescent="0.2">
      <c r="A320" s="20">
        <v>319</v>
      </c>
      <c r="B320" s="20">
        <v>59794079</v>
      </c>
      <c r="C320" s="20" t="s">
        <v>186</v>
      </c>
      <c r="D320" s="20" t="s">
        <v>387</v>
      </c>
      <c r="E320" s="20" t="s">
        <v>686</v>
      </c>
      <c r="F320" s="20" t="s">
        <v>687</v>
      </c>
      <c r="G320" s="19">
        <v>29</v>
      </c>
      <c r="H320" s="19" t="s">
        <v>99</v>
      </c>
      <c r="I320" s="25">
        <v>45412</v>
      </c>
      <c r="J320" s="88">
        <v>30000</v>
      </c>
      <c r="K320" s="116" t="s">
        <v>79</v>
      </c>
      <c r="L320" s="19" t="s">
        <v>322</v>
      </c>
      <c r="M320" s="19" t="s">
        <v>197</v>
      </c>
      <c r="N320" s="21" t="s">
        <v>573</v>
      </c>
      <c r="O320" s="72">
        <v>24670</v>
      </c>
      <c r="P320" s="20" t="s">
        <v>78</v>
      </c>
      <c r="Q320" s="20" t="s">
        <v>160</v>
      </c>
      <c r="R320" s="20">
        <v>3223773971</v>
      </c>
      <c r="S320" s="20" t="s">
        <v>688</v>
      </c>
      <c r="T320" s="57" t="str">
        <f>+IF($N320=[1]CURSOS!$D$3,[1]CURSOS!$E$3,(+IF($N320=[1]CURSOS!$D$4,[1]CURSOS!$E$4,(+IF($N320=[1]CURSOS!$D$5,[1]CURSOS!$E$5,(+IF($N320=[1]CURSOS!$D$6,[1]CURSOS!$E$6,(+IF($N320=[1]CURSOS!$D$7,[1]CURSOS!$E$7,(+IF($N320=[1]CURSOS!$D$8,[1]CURSOS!$E$8,(+IF($N320=[1]CURSOS!$D$9,[1]CURSOS!$E$9,(+IF($N320=[1]CURSOS!$D$10,[1]CURSOS!$E$10,(+IF($N320=[1]CURSOS!$D$11,[1]CURSOS!$E$11,(+IF($N320=[1]CURSOS!$D$12,[1]CURSOS!$E$12,(+IF($N320=[1]CURSOS!$D$13,[1]CURSOS!$E$13,(+IF($N320=[1]CURSOS!$D$14,[1]CURSOS!$E$14,(+IF($N320=[1]CURSOS!$D$15,[1]CURSOS!$E$15,(+IF($N320=[1]CURSOS!$D$16,[1]CURSOS!$E$16,(+IF($N320=[1]CURSOS!$D$17,[1]CURSOS!$E$17,(+IF($N320=[1]CURSOS!$D$18,[1]CURSOS!$E$18,(+IF($N320=[1]CURSOS!$D$19,[1]CURSOS!$E$19,(+IF($N320=[1]CURSOS!$D$20,[1]CURSOS!$E$20,(+IF($N320=[1]CURSOS!$D$21,[1]CURSOS!$E$21,(+IF($N320=[1]CURSOS!$D$22,[1]CURSOS!$E$22,(+IF($N320=[1]CURSOS!$D$23,[1]CURSOS!$E$23,(+IF($N320=[1]CURSOS!$D$24,[1]CURSOS!$E$24,(+IF($N320=[1]CURSOS!$D$25,[1]CURSOS!$E$25,(+IF($N320=[1]CURSOS!$D$26,[1]CURSOS!$E$26,(+IF($N320=[1]CURSOS!$D$27,[1]CURSOS!$E$27,(+IF($N320=[1]CURSOS!$D$28,[1]CURSOS!$E$28,(+IF($N320=[1]CURSOS!$D$29,[1]CURSOS!$E$29,(+IF($N320=[1]CURSOS!$D$30,[1]CURSOS!$E$30,(+IF($N320=[1]CURSOS!$D$31,[1]CURSOS!$E$31,(+IF($N320=[1]CURSOS!$D$32,[1]CURSOS!$E$32)))))))))))))))))))))))))))))))))))))))))))))))))))))))))))</f>
        <v>SOPORTE VITAL BASICO (BLS)</v>
      </c>
      <c r="U320" s="57" t="str">
        <f t="shared" ref="U320:U326" si="182">CONCATENATE(E320," ",F320," ",C320," ",D320)</f>
        <v>Miriam Yolanda Rosero Erazo</v>
      </c>
      <c r="V320" s="57" t="str">
        <f t="shared" ref="V320:V326" si="183">+PROPER(U320)</f>
        <v>Miriam Yolanda Rosero Erazo</v>
      </c>
      <c r="W320" s="57" t="str">
        <f t="shared" ref="W320:W337" si="184">CONCATENATE(U320,"-",B320,"-",N320)</f>
        <v>Miriam Yolanda Rosero Erazo-59794079-bls</v>
      </c>
    </row>
    <row r="321" spans="1:23" s="73" customFormat="1" x14ac:dyDescent="0.2">
      <c r="A321" s="20">
        <v>320</v>
      </c>
      <c r="B321" s="20">
        <v>59794079</v>
      </c>
      <c r="C321" s="20" t="s">
        <v>186</v>
      </c>
      <c r="D321" s="20" t="s">
        <v>387</v>
      </c>
      <c r="E321" s="20" t="s">
        <v>686</v>
      </c>
      <c r="F321" s="20" t="s">
        <v>687</v>
      </c>
      <c r="G321" s="19">
        <v>29</v>
      </c>
      <c r="H321" s="19" t="s">
        <v>99</v>
      </c>
      <c r="I321" s="25">
        <v>45412</v>
      </c>
      <c r="J321" s="88">
        <v>30000</v>
      </c>
      <c r="K321" s="116" t="s">
        <v>79</v>
      </c>
      <c r="L321" s="19" t="s">
        <v>322</v>
      </c>
      <c r="M321" s="19" t="s">
        <v>197</v>
      </c>
      <c r="N321" s="21" t="s">
        <v>411</v>
      </c>
      <c r="O321" s="72">
        <v>24670</v>
      </c>
      <c r="P321" s="20" t="s">
        <v>78</v>
      </c>
      <c r="Q321" s="20" t="s">
        <v>160</v>
      </c>
      <c r="R321" s="20">
        <v>3223773971</v>
      </c>
      <c r="S321" s="20" t="s">
        <v>688</v>
      </c>
      <c r="T321" s="57" t="str">
        <f>+IF($N321=[1]CURSOS!$D$3,[1]CURSOS!$E$3,(+IF($N321=[1]CURSOS!$D$4,[1]CURSOS!$E$4,(+IF($N321=[1]CURSOS!$D$5,[1]CURSOS!$E$5,(+IF($N321=[1]CURSOS!$D$6,[1]CURSOS!$E$6,(+IF($N321=[1]CURSOS!$D$7,[1]CURSOS!$E$7,(+IF($N321=[1]CURSOS!$D$8,[1]CURSOS!$E$8,(+IF($N321=[1]CURSOS!$D$9,[1]CURSOS!$E$9,(+IF($N321=[1]CURSOS!$D$10,[1]CURSOS!$E$10,(+IF($N321=[1]CURSOS!$D$11,[1]CURSOS!$E$11,(+IF($N321=[1]CURSOS!$D$12,[1]CURSOS!$E$12,(+IF($N321=[1]CURSOS!$D$13,[1]CURSOS!$E$13,(+IF($N321=[1]CURSOS!$D$14,[1]CURSOS!$E$14,(+IF($N321=[1]CURSOS!$D$15,[1]CURSOS!$E$15,(+IF($N321=[1]CURSOS!$D$16,[1]CURSOS!$E$16,(+IF($N321=[1]CURSOS!$D$17,[1]CURSOS!$E$17,(+IF($N321=[1]CURSOS!$D$18,[1]CURSOS!$E$18,(+IF($N321=[1]CURSOS!$D$19,[1]CURSOS!$E$19,(+IF($N321=[1]CURSOS!$D$20,[1]CURSOS!$E$20,(+IF($N321=[1]CURSOS!$D$21,[1]CURSOS!$E$21,(+IF($N321=[1]CURSOS!$D$22,[1]CURSOS!$E$22,(+IF($N321=[1]CURSOS!$D$23,[1]CURSOS!$E$23,(+IF($N321=[1]CURSOS!$D$24,[1]CURSOS!$E$24,(+IF($N321=[1]CURSOS!$D$25,[1]CURSOS!$E$25,(+IF($N321=[1]CURSOS!$D$26,[1]CURSOS!$E$26,(+IF($N321=[1]CURSOS!$D$27,[1]CURSOS!$E$27,(+IF($N321=[1]CURSOS!$D$28,[1]CURSOS!$E$28,(+IF($N321=[1]CURSOS!$D$29,[1]CURSOS!$E$29,(+IF($N321=[1]CURSOS!$D$30,[1]CURSOS!$E$30,(+IF($N321=[1]CURSOS!$D$31,[1]CURSOS!$E$31,(+IF($N321=[1]CURSOS!$D$32,[1]CURSOS!$E$32)))))))))))))))))))))))))))))))))))))))))))))))))))))))))))</f>
        <v xml:space="preserve">ATENCION A VICTIMAS DE ATAQUE CON AGENTES QUIMICOS </v>
      </c>
      <c r="U321" s="57" t="str">
        <f t="shared" si="182"/>
        <v>Miriam Yolanda Rosero Erazo</v>
      </c>
      <c r="V321" s="57" t="str">
        <f t="shared" si="183"/>
        <v>Miriam Yolanda Rosero Erazo</v>
      </c>
      <c r="W321" s="57" t="str">
        <f t="shared" si="184"/>
        <v>Miriam Yolanda Rosero Erazo-59794079-Quimicos</v>
      </c>
    </row>
    <row r="322" spans="1:23" s="73" customFormat="1" x14ac:dyDescent="0.2">
      <c r="A322" s="20">
        <v>321</v>
      </c>
      <c r="B322" s="20">
        <v>59794079</v>
      </c>
      <c r="C322" s="20" t="s">
        <v>186</v>
      </c>
      <c r="D322" s="20" t="s">
        <v>387</v>
      </c>
      <c r="E322" s="20" t="s">
        <v>686</v>
      </c>
      <c r="F322" s="20" t="s">
        <v>687</v>
      </c>
      <c r="G322" s="19">
        <v>29</v>
      </c>
      <c r="H322" s="19" t="s">
        <v>99</v>
      </c>
      <c r="I322" s="25">
        <v>45412</v>
      </c>
      <c r="J322" s="88">
        <v>30000</v>
      </c>
      <c r="K322" s="116" t="s">
        <v>79</v>
      </c>
      <c r="L322" s="19" t="s">
        <v>322</v>
      </c>
      <c r="M322" s="19" t="s">
        <v>197</v>
      </c>
      <c r="N322" s="21" t="s">
        <v>46</v>
      </c>
      <c r="O322" s="72">
        <v>24670</v>
      </c>
      <c r="P322" s="20" t="s">
        <v>78</v>
      </c>
      <c r="Q322" s="20" t="s">
        <v>160</v>
      </c>
      <c r="R322" s="20">
        <v>3223773971</v>
      </c>
      <c r="S322" s="20" t="s">
        <v>688</v>
      </c>
      <c r="T322" s="57" t="str">
        <f>+IF($N322=[1]CURSOS!$D$3,[1]CURSOS!$E$3,(+IF($N322=[1]CURSOS!$D$4,[1]CURSOS!$E$4,(+IF($N322=[1]CURSOS!$D$5,[1]CURSOS!$E$5,(+IF($N322=[1]CURSOS!$D$6,[1]CURSOS!$E$6,(+IF($N322=[1]CURSOS!$D$7,[1]CURSOS!$E$7,(+IF($N322=[1]CURSOS!$D$8,[1]CURSOS!$E$8,(+IF($N322=[1]CURSOS!$D$9,[1]CURSOS!$E$9,(+IF($N322=[1]CURSOS!$D$10,[1]CURSOS!$E$10,(+IF($N322=[1]CURSOS!$D$11,[1]CURSOS!$E$11,(+IF($N322=[1]CURSOS!$D$12,[1]CURSOS!$E$12,(+IF($N322=[1]CURSOS!$D$13,[1]CURSOS!$E$13,(+IF($N322=[1]CURSOS!$D$14,[1]CURSOS!$E$14,(+IF($N322=[1]CURSOS!$D$15,[1]CURSOS!$E$15,(+IF($N322=[1]CURSOS!$D$16,[1]CURSOS!$E$16,(+IF($N322=[1]CURSOS!$D$17,[1]CURSOS!$E$17,(+IF($N322=[1]CURSOS!$D$18,[1]CURSOS!$E$18,(+IF($N322=[1]CURSOS!$D$19,[1]CURSOS!$E$19,(+IF($N322=[1]CURSOS!$D$20,[1]CURSOS!$E$20,(+IF($N322=[1]CURSOS!$D$21,[1]CURSOS!$E$21,(+IF($N322=[1]CURSOS!$D$22,[1]CURSOS!$E$22,(+IF($N322=[1]CURSOS!$D$23,[1]CURSOS!$E$23,(+IF($N322=[1]CURSOS!$D$24,[1]CURSOS!$E$24,(+IF($N322=[1]CURSOS!$D$25,[1]CURSOS!$E$25,(+IF($N322=[1]CURSOS!$D$26,[1]CURSOS!$E$26,(+IF($N322=[1]CURSOS!$D$27,[1]CURSOS!$E$27,(+IF($N322=[1]CURSOS!$D$28,[1]CURSOS!$E$28,(+IF($N322=[1]CURSOS!$D$29,[1]CURSOS!$E$29,(+IF($N322=[1]CURSOS!$D$30,[1]CURSOS!$E$30,(+IF($N322=[1]CURSOS!$D$31,[1]CURSOS!$E$31,(+IF($N322=[1]CURSOS!$D$32,[1]CURSOS!$E$32)))))))))))))))))))))))))))))))))))))))))))))))))))))))))))</f>
        <v xml:space="preserve">ATENCION A VICTIMAS DE VIOLENCIA SEXUAL </v>
      </c>
      <c r="U322" s="57" t="str">
        <f t="shared" si="182"/>
        <v>Miriam Yolanda Rosero Erazo</v>
      </c>
      <c r="V322" s="57" t="str">
        <f t="shared" si="183"/>
        <v>Miriam Yolanda Rosero Erazo</v>
      </c>
      <c r="W322" s="57" t="str">
        <f t="shared" si="184"/>
        <v>Miriam Yolanda Rosero Erazo-59794079-VIOLENCIA SEXUAL</v>
      </c>
    </row>
    <row r="323" spans="1:23" s="73" customFormat="1" x14ac:dyDescent="0.2">
      <c r="A323" s="20">
        <v>322</v>
      </c>
      <c r="B323" s="20">
        <v>59794079</v>
      </c>
      <c r="C323" s="20" t="s">
        <v>186</v>
      </c>
      <c r="D323" s="20" t="s">
        <v>387</v>
      </c>
      <c r="E323" s="20" t="s">
        <v>686</v>
      </c>
      <c r="F323" s="20" t="s">
        <v>687</v>
      </c>
      <c r="G323" s="19">
        <v>29</v>
      </c>
      <c r="H323" s="19" t="s">
        <v>99</v>
      </c>
      <c r="I323" s="25">
        <v>45412</v>
      </c>
      <c r="J323" s="88">
        <v>30000</v>
      </c>
      <c r="K323" s="116" t="s">
        <v>79</v>
      </c>
      <c r="L323" s="19" t="s">
        <v>322</v>
      </c>
      <c r="M323" s="19" t="s">
        <v>197</v>
      </c>
      <c r="N323" s="21" t="s">
        <v>23</v>
      </c>
      <c r="O323" s="72">
        <v>24670</v>
      </c>
      <c r="P323" s="20" t="s">
        <v>78</v>
      </c>
      <c r="Q323" s="20" t="s">
        <v>160</v>
      </c>
      <c r="R323" s="20">
        <v>3223773971</v>
      </c>
      <c r="S323" s="20" t="s">
        <v>688</v>
      </c>
      <c r="T323" s="57" t="str">
        <f>+IF($N323=[1]CURSOS!$D$3,[1]CURSOS!$E$3,(+IF($N323=[1]CURSOS!$D$4,[1]CURSOS!$E$4,(+IF($N323=[1]CURSOS!$D$5,[1]CURSOS!$E$5,(+IF($N323=[1]CURSOS!$D$6,[1]CURSOS!$E$6,(+IF($N323=[1]CURSOS!$D$7,[1]CURSOS!$E$7,(+IF($N323=[1]CURSOS!$D$8,[1]CURSOS!$E$8,(+IF($N323=[1]CURSOS!$D$9,[1]CURSOS!$E$9,(+IF($N323=[1]CURSOS!$D$10,[1]CURSOS!$E$10,(+IF($N323=[1]CURSOS!$D$11,[1]CURSOS!$E$11,(+IF($N323=[1]CURSOS!$D$12,[1]CURSOS!$E$12,(+IF($N323=[1]CURSOS!$D$13,[1]CURSOS!$E$13,(+IF($N323=[1]CURSOS!$D$14,[1]CURSOS!$E$14,(+IF($N323=[1]CURSOS!$D$15,[1]CURSOS!$E$15,(+IF($N323=[1]CURSOS!$D$16,[1]CURSOS!$E$16,(+IF($N323=[1]CURSOS!$D$17,[1]CURSOS!$E$17,(+IF($N323=[1]CURSOS!$D$18,[1]CURSOS!$E$18,(+IF($N323=[1]CURSOS!$D$19,[1]CURSOS!$E$19,(+IF($N323=[1]CURSOS!$D$20,[1]CURSOS!$E$20,(+IF($N323=[1]CURSOS!$D$21,[1]CURSOS!$E$21,(+IF($N323=[1]CURSOS!$D$22,[1]CURSOS!$E$22,(+IF($N323=[1]CURSOS!$D$23,[1]CURSOS!$E$23,(+IF($N323=[1]CURSOS!$D$24,[1]CURSOS!$E$24,(+IF($N323=[1]CURSOS!$D$25,[1]CURSOS!$E$25,(+IF($N323=[1]CURSOS!$D$26,[1]CURSOS!$E$26,(+IF($N323=[1]CURSOS!$D$27,[1]CURSOS!$E$27,(+IF($N323=[1]CURSOS!$D$28,[1]CURSOS!$E$28,(+IF($N323=[1]CURSOS!$D$29,[1]CURSOS!$E$29,(+IF($N323=[1]CURSOS!$D$30,[1]CURSOS!$E$30,(+IF($N323=[1]CURSOS!$D$31,[1]CURSOS!$E$31,(+IF($N323=[1]CURSOS!$D$32,[1]CURSOS!$E$32)))))))))))))))))))))))))))))))))))))))))))))))))))))))))))</f>
        <v>ACOMPAÑAMIENTO Y MANEJO DEL DUELO</v>
      </c>
      <c r="U323" s="57" t="str">
        <f t="shared" si="182"/>
        <v>Miriam Yolanda Rosero Erazo</v>
      </c>
      <c r="V323" s="57" t="str">
        <f t="shared" si="183"/>
        <v>Miriam Yolanda Rosero Erazo</v>
      </c>
      <c r="W323" s="57" t="str">
        <f t="shared" si="184"/>
        <v>Miriam Yolanda Rosero Erazo-59794079-DUELO</v>
      </c>
    </row>
    <row r="324" spans="1:23" s="73" customFormat="1" x14ac:dyDescent="0.2">
      <c r="A324" s="20">
        <v>323</v>
      </c>
      <c r="B324" s="97">
        <v>1087128499</v>
      </c>
      <c r="C324" s="20" t="s">
        <v>689</v>
      </c>
      <c r="D324" s="20" t="s">
        <v>690</v>
      </c>
      <c r="E324" s="20" t="s">
        <v>538</v>
      </c>
      <c r="F324" s="20" t="s">
        <v>691</v>
      </c>
      <c r="G324" s="19">
        <v>29</v>
      </c>
      <c r="H324" s="19" t="s">
        <v>99</v>
      </c>
      <c r="I324" s="25">
        <v>45407</v>
      </c>
      <c r="J324" s="98">
        <v>23334</v>
      </c>
      <c r="K324" s="116" t="s">
        <v>82</v>
      </c>
      <c r="L324" s="19" t="s">
        <v>322</v>
      </c>
      <c r="M324" s="19" t="s">
        <v>100</v>
      </c>
      <c r="N324" s="21" t="s">
        <v>573</v>
      </c>
      <c r="O324" s="72">
        <v>32738</v>
      </c>
      <c r="P324" s="20" t="s">
        <v>78</v>
      </c>
      <c r="Q324" s="20"/>
      <c r="R324" s="20"/>
      <c r="S324" s="20" t="s">
        <v>692</v>
      </c>
      <c r="T324" s="57" t="str">
        <f>+IF($N324=[1]CURSOS!$D$3,[1]CURSOS!$E$3,(+IF($N324=[1]CURSOS!$D$4,[1]CURSOS!$E$4,(+IF($N324=[1]CURSOS!$D$5,[1]CURSOS!$E$5,(+IF($N324=[1]CURSOS!$D$6,[1]CURSOS!$E$6,(+IF($N324=[1]CURSOS!$D$7,[1]CURSOS!$E$7,(+IF($N324=[1]CURSOS!$D$8,[1]CURSOS!$E$8,(+IF($N324=[1]CURSOS!$D$9,[1]CURSOS!$E$9,(+IF($N324=[1]CURSOS!$D$10,[1]CURSOS!$E$10,(+IF($N324=[1]CURSOS!$D$11,[1]CURSOS!$E$11,(+IF($N324=[1]CURSOS!$D$12,[1]CURSOS!$E$12,(+IF($N324=[1]CURSOS!$D$13,[1]CURSOS!$E$13,(+IF($N324=[1]CURSOS!$D$14,[1]CURSOS!$E$14,(+IF($N324=[1]CURSOS!$D$15,[1]CURSOS!$E$15,(+IF($N324=[1]CURSOS!$D$16,[1]CURSOS!$E$16,(+IF($N324=[1]CURSOS!$D$17,[1]CURSOS!$E$17,(+IF($N324=[1]CURSOS!$D$18,[1]CURSOS!$E$18,(+IF($N324=[1]CURSOS!$D$19,[1]CURSOS!$E$19,(+IF($N324=[1]CURSOS!$D$20,[1]CURSOS!$E$20,(+IF($N324=[1]CURSOS!$D$21,[1]CURSOS!$E$21,(+IF($N324=[1]CURSOS!$D$22,[1]CURSOS!$E$22,(+IF($N324=[1]CURSOS!$D$23,[1]CURSOS!$E$23,(+IF($N324=[1]CURSOS!$D$24,[1]CURSOS!$E$24,(+IF($N324=[1]CURSOS!$D$25,[1]CURSOS!$E$25,(+IF($N324=[1]CURSOS!$D$26,[1]CURSOS!$E$26,(+IF($N324=[1]CURSOS!$D$27,[1]CURSOS!$E$27,(+IF($N324=[1]CURSOS!$D$28,[1]CURSOS!$E$28,(+IF($N324=[1]CURSOS!$D$29,[1]CURSOS!$E$29,(+IF($N324=[1]CURSOS!$D$30,[1]CURSOS!$E$30,(+IF($N324=[1]CURSOS!$D$31,[1]CURSOS!$E$31,(+IF($N324=[1]CURSOS!$D$32,[1]CURSOS!$E$32)))))))))))))))))))))))))))))))))))))))))))))))))))))))))))</f>
        <v>SOPORTE VITAL BASICO (BLS)</v>
      </c>
      <c r="U324" s="57" t="str">
        <f t="shared" si="182"/>
        <v>Martha Yadira Banguera Peña</v>
      </c>
      <c r="V324" s="57" t="str">
        <f t="shared" si="183"/>
        <v>Martha Yadira Banguera Peña</v>
      </c>
      <c r="W324" s="57" t="str">
        <f t="shared" si="184"/>
        <v>Martha Yadira Banguera Peña-1087128499-bls</v>
      </c>
    </row>
    <row r="325" spans="1:23" s="73" customFormat="1" x14ac:dyDescent="0.2">
      <c r="A325" s="20">
        <v>324</v>
      </c>
      <c r="B325" s="97">
        <v>1087128499</v>
      </c>
      <c r="C325" s="20" t="s">
        <v>689</v>
      </c>
      <c r="D325" s="20" t="s">
        <v>690</v>
      </c>
      <c r="E325" s="20" t="s">
        <v>538</v>
      </c>
      <c r="F325" s="20" t="s">
        <v>691</v>
      </c>
      <c r="G325" s="19">
        <v>29</v>
      </c>
      <c r="H325" s="19" t="s">
        <v>99</v>
      </c>
      <c r="I325" s="25">
        <v>45407</v>
      </c>
      <c r="J325" s="98">
        <v>23333</v>
      </c>
      <c r="K325" s="116" t="s">
        <v>82</v>
      </c>
      <c r="L325" s="19" t="s">
        <v>322</v>
      </c>
      <c r="M325" s="19" t="s">
        <v>100</v>
      </c>
      <c r="N325" s="21" t="s">
        <v>411</v>
      </c>
      <c r="O325" s="72">
        <v>32738</v>
      </c>
      <c r="P325" s="20" t="s">
        <v>78</v>
      </c>
      <c r="Q325" s="20"/>
      <c r="R325" s="20"/>
      <c r="S325" s="20" t="s">
        <v>692</v>
      </c>
      <c r="T325" s="57" t="str">
        <f>+IF($N325=[1]CURSOS!$D$3,[1]CURSOS!$E$3,(+IF($N325=[1]CURSOS!$D$4,[1]CURSOS!$E$4,(+IF($N325=[1]CURSOS!$D$5,[1]CURSOS!$E$5,(+IF($N325=[1]CURSOS!$D$6,[1]CURSOS!$E$6,(+IF($N325=[1]CURSOS!$D$7,[1]CURSOS!$E$7,(+IF($N325=[1]CURSOS!$D$8,[1]CURSOS!$E$8,(+IF($N325=[1]CURSOS!$D$9,[1]CURSOS!$E$9,(+IF($N325=[1]CURSOS!$D$10,[1]CURSOS!$E$10,(+IF($N325=[1]CURSOS!$D$11,[1]CURSOS!$E$11,(+IF($N325=[1]CURSOS!$D$12,[1]CURSOS!$E$12,(+IF($N325=[1]CURSOS!$D$13,[1]CURSOS!$E$13,(+IF($N325=[1]CURSOS!$D$14,[1]CURSOS!$E$14,(+IF($N325=[1]CURSOS!$D$15,[1]CURSOS!$E$15,(+IF($N325=[1]CURSOS!$D$16,[1]CURSOS!$E$16,(+IF($N325=[1]CURSOS!$D$17,[1]CURSOS!$E$17,(+IF($N325=[1]CURSOS!$D$18,[1]CURSOS!$E$18,(+IF($N325=[1]CURSOS!$D$19,[1]CURSOS!$E$19,(+IF($N325=[1]CURSOS!$D$20,[1]CURSOS!$E$20,(+IF($N325=[1]CURSOS!$D$21,[1]CURSOS!$E$21,(+IF($N325=[1]CURSOS!$D$22,[1]CURSOS!$E$22,(+IF($N325=[1]CURSOS!$D$23,[1]CURSOS!$E$23,(+IF($N325=[1]CURSOS!$D$24,[1]CURSOS!$E$24,(+IF($N325=[1]CURSOS!$D$25,[1]CURSOS!$E$25,(+IF($N325=[1]CURSOS!$D$26,[1]CURSOS!$E$26,(+IF($N325=[1]CURSOS!$D$27,[1]CURSOS!$E$27,(+IF($N325=[1]CURSOS!$D$28,[1]CURSOS!$E$28,(+IF($N325=[1]CURSOS!$D$29,[1]CURSOS!$E$29,(+IF($N325=[1]CURSOS!$D$30,[1]CURSOS!$E$30,(+IF($N325=[1]CURSOS!$D$31,[1]CURSOS!$E$31,(+IF($N325=[1]CURSOS!$D$32,[1]CURSOS!$E$32)))))))))))))))))))))))))))))))))))))))))))))))))))))))))))</f>
        <v xml:space="preserve">ATENCION A VICTIMAS DE ATAQUE CON AGENTES QUIMICOS </v>
      </c>
      <c r="U325" s="57" t="str">
        <f t="shared" si="182"/>
        <v>Martha Yadira Banguera Peña</v>
      </c>
      <c r="V325" s="57" t="str">
        <f t="shared" si="183"/>
        <v>Martha Yadira Banguera Peña</v>
      </c>
      <c r="W325" s="57" t="str">
        <f t="shared" si="184"/>
        <v>Martha Yadira Banguera Peña-1087128499-Quimicos</v>
      </c>
    </row>
    <row r="326" spans="1:23" s="73" customFormat="1" x14ac:dyDescent="0.2">
      <c r="A326" s="20">
        <v>325</v>
      </c>
      <c r="B326" s="97">
        <v>1087128499</v>
      </c>
      <c r="C326" s="20" t="s">
        <v>689</v>
      </c>
      <c r="D326" s="20" t="s">
        <v>690</v>
      </c>
      <c r="E326" s="20" t="s">
        <v>538</v>
      </c>
      <c r="F326" s="20" t="s">
        <v>691</v>
      </c>
      <c r="G326" s="19">
        <v>29</v>
      </c>
      <c r="H326" s="19" t="s">
        <v>99</v>
      </c>
      <c r="I326" s="25">
        <v>45407</v>
      </c>
      <c r="J326" s="98">
        <v>23333</v>
      </c>
      <c r="K326" s="116" t="s">
        <v>82</v>
      </c>
      <c r="L326" s="19" t="s">
        <v>322</v>
      </c>
      <c r="M326" s="19" t="s">
        <v>100</v>
      </c>
      <c r="N326" s="21" t="s">
        <v>46</v>
      </c>
      <c r="O326" s="72">
        <v>32738</v>
      </c>
      <c r="P326" s="20" t="s">
        <v>78</v>
      </c>
      <c r="Q326" s="20"/>
      <c r="R326" s="20"/>
      <c r="S326" s="20" t="s">
        <v>692</v>
      </c>
      <c r="T326" s="57" t="str">
        <f>+IF($N326=[1]CURSOS!$D$3,[1]CURSOS!$E$3,(+IF($N326=[1]CURSOS!$D$4,[1]CURSOS!$E$4,(+IF($N326=[1]CURSOS!$D$5,[1]CURSOS!$E$5,(+IF($N326=[1]CURSOS!$D$6,[1]CURSOS!$E$6,(+IF($N326=[1]CURSOS!$D$7,[1]CURSOS!$E$7,(+IF($N326=[1]CURSOS!$D$8,[1]CURSOS!$E$8,(+IF($N326=[1]CURSOS!$D$9,[1]CURSOS!$E$9,(+IF($N326=[1]CURSOS!$D$10,[1]CURSOS!$E$10,(+IF($N326=[1]CURSOS!$D$11,[1]CURSOS!$E$11,(+IF($N326=[1]CURSOS!$D$12,[1]CURSOS!$E$12,(+IF($N326=[1]CURSOS!$D$13,[1]CURSOS!$E$13,(+IF($N326=[1]CURSOS!$D$14,[1]CURSOS!$E$14,(+IF($N326=[1]CURSOS!$D$15,[1]CURSOS!$E$15,(+IF($N326=[1]CURSOS!$D$16,[1]CURSOS!$E$16,(+IF($N326=[1]CURSOS!$D$17,[1]CURSOS!$E$17,(+IF($N326=[1]CURSOS!$D$18,[1]CURSOS!$E$18,(+IF($N326=[1]CURSOS!$D$19,[1]CURSOS!$E$19,(+IF($N326=[1]CURSOS!$D$20,[1]CURSOS!$E$20,(+IF($N326=[1]CURSOS!$D$21,[1]CURSOS!$E$21,(+IF($N326=[1]CURSOS!$D$22,[1]CURSOS!$E$22,(+IF($N326=[1]CURSOS!$D$23,[1]CURSOS!$E$23,(+IF($N326=[1]CURSOS!$D$24,[1]CURSOS!$E$24,(+IF($N326=[1]CURSOS!$D$25,[1]CURSOS!$E$25,(+IF($N326=[1]CURSOS!$D$26,[1]CURSOS!$E$26,(+IF($N326=[1]CURSOS!$D$27,[1]CURSOS!$E$27,(+IF($N326=[1]CURSOS!$D$28,[1]CURSOS!$E$28,(+IF($N326=[1]CURSOS!$D$29,[1]CURSOS!$E$29,(+IF($N326=[1]CURSOS!$D$30,[1]CURSOS!$E$30,(+IF($N326=[1]CURSOS!$D$31,[1]CURSOS!$E$31,(+IF($N326=[1]CURSOS!$D$32,[1]CURSOS!$E$32)))))))))))))))))))))))))))))))))))))))))))))))))))))))))))</f>
        <v xml:space="preserve">ATENCION A VICTIMAS DE VIOLENCIA SEXUAL </v>
      </c>
      <c r="U326" s="57" t="str">
        <f t="shared" si="182"/>
        <v>Martha Yadira Banguera Peña</v>
      </c>
      <c r="V326" s="57" t="str">
        <f t="shared" si="183"/>
        <v>Martha Yadira Banguera Peña</v>
      </c>
      <c r="W326" s="57" t="str">
        <f t="shared" si="184"/>
        <v>Martha Yadira Banguera Peña-1087128499-VIOLENCIA SEXUAL</v>
      </c>
    </row>
    <row r="327" spans="1:23" s="73" customFormat="1" ht="15.75" x14ac:dyDescent="0.25">
      <c r="A327" s="20">
        <v>326</v>
      </c>
      <c r="B327" s="97">
        <v>1144147241</v>
      </c>
      <c r="C327" s="20" t="s">
        <v>718</v>
      </c>
      <c r="D327" s="20" t="s">
        <v>485</v>
      </c>
      <c r="E327" s="20" t="s">
        <v>719</v>
      </c>
      <c r="F327" s="20"/>
      <c r="G327" s="19">
        <v>29</v>
      </c>
      <c r="H327" s="19" t="s">
        <v>99</v>
      </c>
      <c r="I327" s="25">
        <v>45411</v>
      </c>
      <c r="J327" s="88"/>
      <c r="K327" s="19"/>
      <c r="L327" s="19" t="s">
        <v>322</v>
      </c>
      <c r="M327" s="19" t="s">
        <v>100</v>
      </c>
      <c r="N327" s="21" t="s">
        <v>46</v>
      </c>
      <c r="O327" s="72">
        <v>33296</v>
      </c>
      <c r="P327" s="20" t="s">
        <v>80</v>
      </c>
      <c r="Q327" s="20" t="s">
        <v>160</v>
      </c>
      <c r="R327" s="20"/>
      <c r="S327" s="74" t="s">
        <v>701</v>
      </c>
      <c r="T327" s="57" t="str">
        <f>+IF($N327=[1]CURSOS!$D$3,[1]CURSOS!$E$3,(+IF($N327=[1]CURSOS!$D$4,[1]CURSOS!$E$4,(+IF($N327=[1]CURSOS!$D$5,[1]CURSOS!$E$5,(+IF($N327=[1]CURSOS!$D$6,[1]CURSOS!$E$6,(+IF($N327=[1]CURSOS!$D$7,[1]CURSOS!$E$7,(+IF($N327=[1]CURSOS!$D$8,[1]CURSOS!$E$8,(+IF($N327=[1]CURSOS!$D$9,[1]CURSOS!$E$9,(+IF($N327=[1]CURSOS!$D$10,[1]CURSOS!$E$10,(+IF($N327=[1]CURSOS!$D$11,[1]CURSOS!$E$11,(+IF($N327=[1]CURSOS!$D$12,[1]CURSOS!$E$12,(+IF($N327=[1]CURSOS!$D$13,[1]CURSOS!$E$13,(+IF($N327=[1]CURSOS!$D$14,[1]CURSOS!$E$14,(+IF($N327=[1]CURSOS!$D$15,[1]CURSOS!$E$15,(+IF($N327=[1]CURSOS!$D$16,[1]CURSOS!$E$16,(+IF($N327=[1]CURSOS!$D$17,[1]CURSOS!$E$17,(+IF($N327=[1]CURSOS!$D$18,[1]CURSOS!$E$18,(+IF($N327=[1]CURSOS!$D$19,[1]CURSOS!$E$19,(+IF($N327=[1]CURSOS!$D$20,[1]CURSOS!$E$20,(+IF($N327=[1]CURSOS!$D$21,[1]CURSOS!$E$21,(+IF($N327=[1]CURSOS!$D$22,[1]CURSOS!$E$22,(+IF($N327=[1]CURSOS!$D$23,[1]CURSOS!$E$23,(+IF($N327=[1]CURSOS!$D$24,[1]CURSOS!$E$24,(+IF($N327=[1]CURSOS!$D$25,[1]CURSOS!$E$25,(+IF($N327=[1]CURSOS!$D$26,[1]CURSOS!$E$26,(+IF($N327=[1]CURSOS!$D$27,[1]CURSOS!$E$27,(+IF($N327=[1]CURSOS!$D$28,[1]CURSOS!$E$28,(+IF($N327=[1]CURSOS!$D$29,[1]CURSOS!$E$29,(+IF($N327=[1]CURSOS!$D$30,[1]CURSOS!$E$30,(+IF($N327=[1]CURSOS!$D$31,[1]CURSOS!$E$31,(+IF($N327=[1]CURSOS!$D$32,[1]CURSOS!$E$32)))))))))))))))))))))))))))))))))))))))))))))))))))))))))))</f>
        <v xml:space="preserve">ATENCION A VICTIMAS DE VIOLENCIA SEXUAL </v>
      </c>
      <c r="U327" s="57" t="str">
        <f t="shared" ref="U327" si="185">CONCATENATE(E327," ",F327," ",C327," ",D327)</f>
        <v>Katherine  Salcedo Castro</v>
      </c>
      <c r="V327" s="57" t="str">
        <f t="shared" ref="V327" si="186">+PROPER(U327)</f>
        <v>Katherine  Salcedo Castro</v>
      </c>
      <c r="W327" s="57" t="str">
        <f t="shared" si="184"/>
        <v>Katherine  Salcedo Castro-1144147241-VIOLENCIA SEXUAL</v>
      </c>
    </row>
    <row r="328" spans="1:23" s="73" customFormat="1" x14ac:dyDescent="0.2">
      <c r="A328" s="20">
        <v>327</v>
      </c>
      <c r="B328" s="97">
        <v>1030653759</v>
      </c>
      <c r="C328" s="20" t="s">
        <v>704</v>
      </c>
      <c r="D328" s="20" t="s">
        <v>705</v>
      </c>
      <c r="E328" s="20" t="s">
        <v>598</v>
      </c>
      <c r="F328" s="20" t="s">
        <v>706</v>
      </c>
      <c r="G328" s="19">
        <v>30</v>
      </c>
      <c r="H328" s="19" t="s">
        <v>99</v>
      </c>
      <c r="I328" s="25">
        <v>45442</v>
      </c>
      <c r="J328" s="88">
        <v>70000</v>
      </c>
      <c r="K328" s="116" t="s">
        <v>79</v>
      </c>
      <c r="L328" s="19" t="s">
        <v>322</v>
      </c>
      <c r="M328" s="19" t="s">
        <v>77</v>
      </c>
      <c r="N328" s="21" t="s">
        <v>19</v>
      </c>
      <c r="O328" s="72">
        <v>34761</v>
      </c>
      <c r="P328" s="20" t="s">
        <v>78</v>
      </c>
      <c r="Q328" s="20" t="s">
        <v>671</v>
      </c>
      <c r="R328" s="20">
        <v>3052091428</v>
      </c>
      <c r="S328" s="20" t="s">
        <v>707</v>
      </c>
      <c r="T328" s="57" t="str">
        <f>+IF($N328=[1]CURSOS!$D$3,[1]CURSOS!$E$3,(+IF($N328=[1]CURSOS!$D$4,[1]CURSOS!$E$4,(+IF($N328=[1]CURSOS!$D$5,[1]CURSOS!$E$5,(+IF($N328=[1]CURSOS!$D$6,[1]CURSOS!$E$6,(+IF($N328=[1]CURSOS!$D$7,[1]CURSOS!$E$7,(+IF($N328=[1]CURSOS!$D$8,[1]CURSOS!$E$8,(+IF($N328=[1]CURSOS!$D$9,[1]CURSOS!$E$9,(+IF($N328=[1]CURSOS!$D$10,[1]CURSOS!$E$10,(+IF($N328=[1]CURSOS!$D$11,[1]CURSOS!$E$11,(+IF($N328=[1]CURSOS!$D$12,[1]CURSOS!$E$12,(+IF($N328=[1]CURSOS!$D$13,[1]CURSOS!$E$13,(+IF($N328=[1]CURSOS!$D$14,[1]CURSOS!$E$14,(+IF($N328=[1]CURSOS!$D$15,[1]CURSOS!$E$15,(+IF($N328=[1]CURSOS!$D$16,[1]CURSOS!$E$16,(+IF($N328=[1]CURSOS!$D$17,[1]CURSOS!$E$17,(+IF($N328=[1]CURSOS!$D$18,[1]CURSOS!$E$18,(+IF($N328=[1]CURSOS!$D$19,[1]CURSOS!$E$19,(+IF($N328=[1]CURSOS!$D$20,[1]CURSOS!$E$20,(+IF($N328=[1]CURSOS!$D$21,[1]CURSOS!$E$21,(+IF($N328=[1]CURSOS!$D$22,[1]CURSOS!$E$22,(+IF($N328=[1]CURSOS!$D$23,[1]CURSOS!$E$23,(+IF($N328=[1]CURSOS!$D$24,[1]CURSOS!$E$24,(+IF($N328=[1]CURSOS!$D$25,[1]CURSOS!$E$25,(+IF($N328=[1]CURSOS!$D$26,[1]CURSOS!$E$26,(+IF($N328=[1]CURSOS!$D$27,[1]CURSOS!$E$27,(+IF($N328=[1]CURSOS!$D$28,[1]CURSOS!$E$28,(+IF($N328=[1]CURSOS!$D$29,[1]CURSOS!$E$29,(+IF($N328=[1]CURSOS!$D$30,[1]CURSOS!$E$30,(+IF($N328=[1]CURSOS!$D$31,[1]CURSOS!$E$31,(+IF($N328=[1]CURSOS!$D$32,[1]CURSOS!$E$32)))))))))))))))))))))))))))))))))))))))))))))))))))))))))))</f>
        <v>SOPORTE VITAL BASICO (BLS)</v>
      </c>
      <c r="U328" s="57" t="str">
        <f t="shared" ref="U328:U337" si="187">CONCATENATE(E328," ",F328," ",C328," ",D328)</f>
        <v>Laura Amparo Bravo Herrera</v>
      </c>
      <c r="V328" s="57" t="str">
        <f t="shared" ref="V328:V337" si="188">+PROPER(U328)</f>
        <v>Laura Amparo Bravo Herrera</v>
      </c>
      <c r="W328" s="57" t="str">
        <f t="shared" si="184"/>
        <v>Laura Amparo Bravo Herrera-1030653759-BLS</v>
      </c>
    </row>
    <row r="329" spans="1:23" s="73" customFormat="1" x14ac:dyDescent="0.2">
      <c r="A329" s="20">
        <v>328</v>
      </c>
      <c r="B329" s="97">
        <v>1030653759</v>
      </c>
      <c r="C329" s="20" t="s">
        <v>704</v>
      </c>
      <c r="D329" s="20" t="s">
        <v>705</v>
      </c>
      <c r="E329" s="20" t="s">
        <v>598</v>
      </c>
      <c r="F329" s="20" t="s">
        <v>706</v>
      </c>
      <c r="G329" s="19">
        <v>30</v>
      </c>
      <c r="H329" s="19" t="s">
        <v>99</v>
      </c>
      <c r="I329" s="25">
        <v>45442</v>
      </c>
      <c r="J329" s="88">
        <v>70000</v>
      </c>
      <c r="K329" s="116" t="s">
        <v>79</v>
      </c>
      <c r="L329" s="19" t="s">
        <v>322</v>
      </c>
      <c r="M329" s="19" t="s">
        <v>77</v>
      </c>
      <c r="N329" s="21" t="s">
        <v>46</v>
      </c>
      <c r="O329" s="72">
        <v>34761</v>
      </c>
      <c r="P329" s="20" t="s">
        <v>78</v>
      </c>
      <c r="Q329" s="20" t="s">
        <v>671</v>
      </c>
      <c r="R329" s="20">
        <v>3052091428</v>
      </c>
      <c r="S329" s="20" t="s">
        <v>707</v>
      </c>
      <c r="T329" s="57" t="str">
        <f>+IF($N329=[1]CURSOS!$D$3,[1]CURSOS!$E$3,(+IF($N329=[1]CURSOS!$D$4,[1]CURSOS!$E$4,(+IF($N329=[1]CURSOS!$D$5,[1]CURSOS!$E$5,(+IF($N329=[1]CURSOS!$D$6,[1]CURSOS!$E$6,(+IF($N329=[1]CURSOS!$D$7,[1]CURSOS!$E$7,(+IF($N329=[1]CURSOS!$D$8,[1]CURSOS!$E$8,(+IF($N329=[1]CURSOS!$D$9,[1]CURSOS!$E$9,(+IF($N329=[1]CURSOS!$D$10,[1]CURSOS!$E$10,(+IF($N329=[1]CURSOS!$D$11,[1]CURSOS!$E$11,(+IF($N329=[1]CURSOS!$D$12,[1]CURSOS!$E$12,(+IF($N329=[1]CURSOS!$D$13,[1]CURSOS!$E$13,(+IF($N329=[1]CURSOS!$D$14,[1]CURSOS!$E$14,(+IF($N329=[1]CURSOS!$D$15,[1]CURSOS!$E$15,(+IF($N329=[1]CURSOS!$D$16,[1]CURSOS!$E$16,(+IF($N329=[1]CURSOS!$D$17,[1]CURSOS!$E$17,(+IF($N329=[1]CURSOS!$D$18,[1]CURSOS!$E$18,(+IF($N329=[1]CURSOS!$D$19,[1]CURSOS!$E$19,(+IF($N329=[1]CURSOS!$D$20,[1]CURSOS!$E$20,(+IF($N329=[1]CURSOS!$D$21,[1]CURSOS!$E$21,(+IF($N329=[1]CURSOS!$D$22,[1]CURSOS!$E$22,(+IF($N329=[1]CURSOS!$D$23,[1]CURSOS!$E$23,(+IF($N329=[1]CURSOS!$D$24,[1]CURSOS!$E$24,(+IF($N329=[1]CURSOS!$D$25,[1]CURSOS!$E$25,(+IF($N329=[1]CURSOS!$D$26,[1]CURSOS!$E$26,(+IF($N329=[1]CURSOS!$D$27,[1]CURSOS!$E$27,(+IF($N329=[1]CURSOS!$D$28,[1]CURSOS!$E$28,(+IF($N329=[1]CURSOS!$D$29,[1]CURSOS!$E$29,(+IF($N329=[1]CURSOS!$D$30,[1]CURSOS!$E$30,(+IF($N329=[1]CURSOS!$D$31,[1]CURSOS!$E$31,(+IF($N329=[1]CURSOS!$D$32,[1]CURSOS!$E$32)))))))))))))))))))))))))))))))))))))))))))))))))))))))))))</f>
        <v xml:space="preserve">ATENCION A VICTIMAS DE VIOLENCIA SEXUAL </v>
      </c>
      <c r="U329" s="57" t="str">
        <f t="shared" si="187"/>
        <v>Laura Amparo Bravo Herrera</v>
      </c>
      <c r="V329" s="57" t="str">
        <f t="shared" si="188"/>
        <v>Laura Amparo Bravo Herrera</v>
      </c>
      <c r="W329" s="57" t="str">
        <f t="shared" si="184"/>
        <v>Laura Amparo Bravo Herrera-1030653759-VIOLENCIA SEXUAL</v>
      </c>
    </row>
    <row r="330" spans="1:23" s="73" customFormat="1" x14ac:dyDescent="0.2">
      <c r="A330" s="20">
        <v>329</v>
      </c>
      <c r="B330" s="97">
        <v>1088651257</v>
      </c>
      <c r="C330" s="20" t="s">
        <v>702</v>
      </c>
      <c r="D330" s="20" t="s">
        <v>449</v>
      </c>
      <c r="E330" s="20" t="s">
        <v>138</v>
      </c>
      <c r="F330" s="20" t="s">
        <v>703</v>
      </c>
      <c r="G330" s="19">
        <v>30</v>
      </c>
      <c r="H330" s="19" t="s">
        <v>99</v>
      </c>
      <c r="I330" s="25"/>
      <c r="J330" s="88">
        <v>70000</v>
      </c>
      <c r="K330" s="19"/>
      <c r="L330" s="19" t="s">
        <v>322</v>
      </c>
      <c r="M330" s="19" t="s">
        <v>77</v>
      </c>
      <c r="N330" s="21" t="s">
        <v>19</v>
      </c>
      <c r="O330" s="72">
        <v>33733</v>
      </c>
      <c r="P330" s="20" t="s">
        <v>78</v>
      </c>
      <c r="Q330" s="20" t="s">
        <v>160</v>
      </c>
      <c r="R330" s="20">
        <v>3164111593</v>
      </c>
      <c r="S330" s="20" t="s">
        <v>708</v>
      </c>
      <c r="T330" s="57" t="str">
        <f>+IF($N330=[1]CURSOS!$D$3,[1]CURSOS!$E$3,(+IF($N330=[1]CURSOS!$D$4,[1]CURSOS!$E$4,(+IF($N330=[1]CURSOS!$D$5,[1]CURSOS!$E$5,(+IF($N330=[1]CURSOS!$D$6,[1]CURSOS!$E$6,(+IF($N330=[1]CURSOS!$D$7,[1]CURSOS!$E$7,(+IF($N330=[1]CURSOS!$D$8,[1]CURSOS!$E$8,(+IF($N330=[1]CURSOS!$D$9,[1]CURSOS!$E$9,(+IF($N330=[1]CURSOS!$D$10,[1]CURSOS!$E$10,(+IF($N330=[1]CURSOS!$D$11,[1]CURSOS!$E$11,(+IF($N330=[1]CURSOS!$D$12,[1]CURSOS!$E$12,(+IF($N330=[1]CURSOS!$D$13,[1]CURSOS!$E$13,(+IF($N330=[1]CURSOS!$D$14,[1]CURSOS!$E$14,(+IF($N330=[1]CURSOS!$D$15,[1]CURSOS!$E$15,(+IF($N330=[1]CURSOS!$D$16,[1]CURSOS!$E$16,(+IF($N330=[1]CURSOS!$D$17,[1]CURSOS!$E$17,(+IF($N330=[1]CURSOS!$D$18,[1]CURSOS!$E$18,(+IF($N330=[1]CURSOS!$D$19,[1]CURSOS!$E$19,(+IF($N330=[1]CURSOS!$D$20,[1]CURSOS!$E$20,(+IF($N330=[1]CURSOS!$D$21,[1]CURSOS!$E$21,(+IF($N330=[1]CURSOS!$D$22,[1]CURSOS!$E$22,(+IF($N330=[1]CURSOS!$D$23,[1]CURSOS!$E$23,(+IF($N330=[1]CURSOS!$D$24,[1]CURSOS!$E$24,(+IF($N330=[1]CURSOS!$D$25,[1]CURSOS!$E$25,(+IF($N330=[1]CURSOS!$D$26,[1]CURSOS!$E$26,(+IF($N330=[1]CURSOS!$D$27,[1]CURSOS!$E$27,(+IF($N330=[1]CURSOS!$D$28,[1]CURSOS!$E$28,(+IF($N330=[1]CURSOS!$D$29,[1]CURSOS!$E$29,(+IF($N330=[1]CURSOS!$D$30,[1]CURSOS!$E$30,(+IF($N330=[1]CURSOS!$D$31,[1]CURSOS!$E$31,(+IF($N330=[1]CURSOS!$D$32,[1]CURSOS!$E$32)))))))))))))))))))))))))))))))))))))))))))))))))))))))))))</f>
        <v>SOPORTE VITAL BASICO (BLS)</v>
      </c>
      <c r="U330" s="57" t="str">
        <f t="shared" si="187"/>
        <v>Johana Mileidy Micanquer Fuelantala</v>
      </c>
      <c r="V330" s="57" t="str">
        <f t="shared" si="188"/>
        <v>Johana Mileidy Micanquer Fuelantala</v>
      </c>
      <c r="W330" s="57" t="str">
        <f t="shared" si="184"/>
        <v>Johana Mileidy Micanquer Fuelantala-1088651257-BLS</v>
      </c>
    </row>
    <row r="331" spans="1:23" s="73" customFormat="1" x14ac:dyDescent="0.2">
      <c r="A331" s="20">
        <v>330</v>
      </c>
      <c r="B331" s="97">
        <v>1004338451</v>
      </c>
      <c r="C331" s="20" t="s">
        <v>378</v>
      </c>
      <c r="D331" s="20" t="s">
        <v>186</v>
      </c>
      <c r="E331" s="20" t="s">
        <v>717</v>
      </c>
      <c r="F331" s="20" t="s">
        <v>709</v>
      </c>
      <c r="G331" s="19">
        <v>30</v>
      </c>
      <c r="H331" s="19" t="s">
        <v>99</v>
      </c>
      <c r="I331" s="25">
        <v>45442</v>
      </c>
      <c r="J331" s="98">
        <v>60000</v>
      </c>
      <c r="K331" s="116" t="s">
        <v>82</v>
      </c>
      <c r="L331" s="19" t="s">
        <v>322</v>
      </c>
      <c r="M331" s="19" t="s">
        <v>77</v>
      </c>
      <c r="N331" s="21" t="s">
        <v>722</v>
      </c>
      <c r="O331" s="72">
        <v>37099</v>
      </c>
      <c r="P331" s="20" t="s">
        <v>88</v>
      </c>
      <c r="Q331" s="20" t="s">
        <v>710</v>
      </c>
      <c r="R331" s="20">
        <v>3002664179</v>
      </c>
      <c r="S331" s="20" t="s">
        <v>711</v>
      </c>
      <c r="T331" s="57" t="str">
        <f>+IF($N331=[1]CURSOS!$D$3,[1]CURSOS!$E$3,(+IF($N331=[1]CURSOS!$D$4,[1]CURSOS!$E$4,(+IF($N331=[1]CURSOS!$D$5,[1]CURSOS!$E$5,(+IF($N331=[1]CURSOS!$D$6,[1]CURSOS!$E$6,(+IF($N331=[1]CURSOS!$D$7,[1]CURSOS!$E$7,(+IF($N331=[1]CURSOS!$D$8,[1]CURSOS!$E$8,(+IF($N331=[1]CURSOS!$D$9,[1]CURSOS!$E$9,(+IF($N331=[1]CURSOS!$D$10,[1]CURSOS!$E$10,(+IF($N331=[1]CURSOS!$D$11,[1]CURSOS!$E$11,(+IF($N331=[1]CURSOS!$D$12,[1]CURSOS!$E$12,(+IF($N331=[1]CURSOS!$D$13,[1]CURSOS!$E$13,(+IF($N331=[1]CURSOS!$D$14,[1]CURSOS!$E$14,(+IF($N331=[1]CURSOS!$D$15,[1]CURSOS!$E$15,(+IF($N331=[1]CURSOS!$D$16,[1]CURSOS!$E$16,(+IF($N331=[1]CURSOS!$D$17,[1]CURSOS!$E$17,(+IF($N331=[1]CURSOS!$D$18,[1]CURSOS!$E$18,(+IF($N331=[1]CURSOS!$D$19,[1]CURSOS!$E$19,(+IF($N331=[1]CURSOS!$D$20,[1]CURSOS!$E$20,(+IF($N331=[1]CURSOS!$D$21,[1]CURSOS!$E$21,(+IF($N331=[1]CURSOS!$D$22,[1]CURSOS!$E$22,(+IF($N331=[1]CURSOS!$D$23,[1]CURSOS!$E$23,(+IF($N331=[1]CURSOS!$D$24,[1]CURSOS!$E$24,(+IF($N331=[1]CURSOS!$D$25,[1]CURSOS!$E$25,(+IF($N331=[1]CURSOS!$D$26,[1]CURSOS!$E$26,(+IF($N331=[1]CURSOS!$D$27,[1]CURSOS!$E$27,(+IF($N331=[1]CURSOS!$D$28,[1]CURSOS!$E$28,(+IF($N331=[1]CURSOS!$D$29,[1]CURSOS!$E$29,(+IF($N331=[1]CURSOS!$D$30,[1]CURSOS!$E$30,(+IF($N331=[1]CURSOS!$D$31,[1]CURSOS!$E$31,(+IF($N331=[1]CURSOS!$D$32,[1]CURSOS!$E$32)))))))))))))))))))))))))))))))))))))))))))))))))))))))))))</f>
        <v>PROGRAMADO AMPLIADO DE INMUNIZACION (PAI - COVID 19)</v>
      </c>
      <c r="U331" s="57" t="str">
        <f t="shared" si="187"/>
        <v>Mario Ferney De la cruz Rosero</v>
      </c>
      <c r="V331" s="57" t="str">
        <f t="shared" si="188"/>
        <v>Mario Ferney De La Cruz Rosero</v>
      </c>
      <c r="W331" s="57" t="str">
        <f t="shared" si="184"/>
        <v>Mario Ferney De la cruz Rosero-1004338451-covid</v>
      </c>
    </row>
    <row r="332" spans="1:23" s="73" customFormat="1" x14ac:dyDescent="0.2">
      <c r="A332" s="20">
        <v>331</v>
      </c>
      <c r="B332" s="97">
        <v>1004338451</v>
      </c>
      <c r="C332" s="20" t="s">
        <v>378</v>
      </c>
      <c r="D332" s="20" t="s">
        <v>186</v>
      </c>
      <c r="E332" s="20" t="s">
        <v>717</v>
      </c>
      <c r="F332" s="20" t="s">
        <v>709</v>
      </c>
      <c r="G332" s="19">
        <v>30</v>
      </c>
      <c r="H332" s="19" t="s">
        <v>99</v>
      </c>
      <c r="I332" s="25">
        <v>45442</v>
      </c>
      <c r="J332" s="98">
        <v>60000</v>
      </c>
      <c r="K332" s="116" t="s">
        <v>82</v>
      </c>
      <c r="L332" s="19" t="s">
        <v>322</v>
      </c>
      <c r="M332" s="19" t="s">
        <v>77</v>
      </c>
      <c r="N332" s="21" t="s">
        <v>411</v>
      </c>
      <c r="O332" s="72">
        <v>37099</v>
      </c>
      <c r="P332" s="20" t="s">
        <v>88</v>
      </c>
      <c r="Q332" s="20" t="s">
        <v>710</v>
      </c>
      <c r="R332" s="20">
        <v>3002664179</v>
      </c>
      <c r="S332" s="20" t="s">
        <v>711</v>
      </c>
      <c r="T332" s="57" t="str">
        <f>+IF($N332=[1]CURSOS!$D$3,[1]CURSOS!$E$3,(+IF($N332=[1]CURSOS!$D$4,[1]CURSOS!$E$4,(+IF($N332=[1]CURSOS!$D$5,[1]CURSOS!$E$5,(+IF($N332=[1]CURSOS!$D$6,[1]CURSOS!$E$6,(+IF($N332=[1]CURSOS!$D$7,[1]CURSOS!$E$7,(+IF($N332=[1]CURSOS!$D$8,[1]CURSOS!$E$8,(+IF($N332=[1]CURSOS!$D$9,[1]CURSOS!$E$9,(+IF($N332=[1]CURSOS!$D$10,[1]CURSOS!$E$10,(+IF($N332=[1]CURSOS!$D$11,[1]CURSOS!$E$11,(+IF($N332=[1]CURSOS!$D$12,[1]CURSOS!$E$12,(+IF($N332=[1]CURSOS!$D$13,[1]CURSOS!$E$13,(+IF($N332=[1]CURSOS!$D$14,[1]CURSOS!$E$14,(+IF($N332=[1]CURSOS!$D$15,[1]CURSOS!$E$15,(+IF($N332=[1]CURSOS!$D$16,[1]CURSOS!$E$16,(+IF($N332=[1]CURSOS!$D$17,[1]CURSOS!$E$17,(+IF($N332=[1]CURSOS!$D$18,[1]CURSOS!$E$18,(+IF($N332=[1]CURSOS!$D$19,[1]CURSOS!$E$19,(+IF($N332=[1]CURSOS!$D$20,[1]CURSOS!$E$20,(+IF($N332=[1]CURSOS!$D$21,[1]CURSOS!$E$21,(+IF($N332=[1]CURSOS!$D$22,[1]CURSOS!$E$22,(+IF($N332=[1]CURSOS!$D$23,[1]CURSOS!$E$23,(+IF($N332=[1]CURSOS!$D$24,[1]CURSOS!$E$24,(+IF($N332=[1]CURSOS!$D$25,[1]CURSOS!$E$25,(+IF($N332=[1]CURSOS!$D$26,[1]CURSOS!$E$26,(+IF($N332=[1]CURSOS!$D$27,[1]CURSOS!$E$27,(+IF($N332=[1]CURSOS!$D$28,[1]CURSOS!$E$28,(+IF($N332=[1]CURSOS!$D$29,[1]CURSOS!$E$29,(+IF($N332=[1]CURSOS!$D$30,[1]CURSOS!$E$30,(+IF($N332=[1]CURSOS!$D$31,[1]CURSOS!$E$31,(+IF($N332=[1]CURSOS!$D$32,[1]CURSOS!$E$32)))))))))))))))))))))))))))))))))))))))))))))))))))))))))))</f>
        <v xml:space="preserve">ATENCION A VICTIMAS DE ATAQUE CON AGENTES QUIMICOS </v>
      </c>
      <c r="U332" s="57" t="str">
        <f t="shared" si="187"/>
        <v>Mario Ferney De la cruz Rosero</v>
      </c>
      <c r="V332" s="57" t="str">
        <f t="shared" si="188"/>
        <v>Mario Ferney De La Cruz Rosero</v>
      </c>
      <c r="W332" s="57" t="str">
        <f t="shared" si="184"/>
        <v>Mario Ferney De la cruz Rosero-1004338451-Quimicos</v>
      </c>
    </row>
    <row r="333" spans="1:23" s="73" customFormat="1" x14ac:dyDescent="0.2">
      <c r="A333" s="20">
        <v>332</v>
      </c>
      <c r="B333" s="97">
        <v>1004338451</v>
      </c>
      <c r="C333" s="20" t="s">
        <v>378</v>
      </c>
      <c r="D333" s="20" t="s">
        <v>186</v>
      </c>
      <c r="E333" s="20" t="s">
        <v>717</v>
      </c>
      <c r="F333" s="20" t="s">
        <v>709</v>
      </c>
      <c r="G333" s="19">
        <v>30</v>
      </c>
      <c r="H333" s="19" t="s">
        <v>99</v>
      </c>
      <c r="I333" s="25">
        <v>45442</v>
      </c>
      <c r="J333" s="98">
        <v>60000</v>
      </c>
      <c r="K333" s="116" t="s">
        <v>82</v>
      </c>
      <c r="L333" s="19" t="s">
        <v>322</v>
      </c>
      <c r="M333" s="19" t="s">
        <v>77</v>
      </c>
      <c r="N333" s="21" t="s">
        <v>60</v>
      </c>
      <c r="O333" s="72">
        <v>37099</v>
      </c>
      <c r="P333" s="20" t="s">
        <v>88</v>
      </c>
      <c r="Q333" s="20" t="s">
        <v>710</v>
      </c>
      <c r="R333" s="20">
        <v>3002664179</v>
      </c>
      <c r="S333" s="20" t="s">
        <v>711</v>
      </c>
      <c r="T333" s="57" t="str">
        <f>+IF($N333=[1]CURSOS!$D$3,[1]CURSOS!$E$3,(+IF($N333=[1]CURSOS!$D$4,[1]CURSOS!$E$4,(+IF($N333=[1]CURSOS!$D$5,[1]CURSOS!$E$5,(+IF($N333=[1]CURSOS!$D$6,[1]CURSOS!$E$6,(+IF($N333=[1]CURSOS!$D$7,[1]CURSOS!$E$7,(+IF($N333=[1]CURSOS!$D$8,[1]CURSOS!$E$8,(+IF($N333=[1]CURSOS!$D$9,[1]CURSOS!$E$9,(+IF($N333=[1]CURSOS!$D$10,[1]CURSOS!$E$10,(+IF($N333=[1]CURSOS!$D$11,[1]CURSOS!$E$11,(+IF($N333=[1]CURSOS!$D$12,[1]CURSOS!$E$12,(+IF($N333=[1]CURSOS!$D$13,[1]CURSOS!$E$13,(+IF($N333=[1]CURSOS!$D$14,[1]CURSOS!$E$14,(+IF($N333=[1]CURSOS!$D$15,[1]CURSOS!$E$15,(+IF($N333=[1]CURSOS!$D$16,[1]CURSOS!$E$16,(+IF($N333=[1]CURSOS!$D$17,[1]CURSOS!$E$17,(+IF($N333=[1]CURSOS!$D$18,[1]CURSOS!$E$18,(+IF($N333=[1]CURSOS!$D$19,[1]CURSOS!$E$19,(+IF($N333=[1]CURSOS!$D$20,[1]CURSOS!$E$20,(+IF($N333=[1]CURSOS!$D$21,[1]CURSOS!$E$21,(+IF($N333=[1]CURSOS!$D$22,[1]CURSOS!$E$22,(+IF($N333=[1]CURSOS!$D$23,[1]CURSOS!$E$23,(+IF($N333=[1]CURSOS!$D$24,[1]CURSOS!$E$24,(+IF($N333=[1]CURSOS!$D$25,[1]CURSOS!$E$25,(+IF($N333=[1]CURSOS!$D$26,[1]CURSOS!$E$26,(+IF($N333=[1]CURSOS!$D$27,[1]CURSOS!$E$27,(+IF($N333=[1]CURSOS!$D$28,[1]CURSOS!$E$28,(+IF($N333=[1]CURSOS!$D$29,[1]CURSOS!$E$29,(+IF($N333=[1]CURSOS!$D$30,[1]CURSOS!$E$30,(+IF($N333=[1]CURSOS!$D$31,[1]CURSOS!$E$31,(+IF($N333=[1]CURSOS!$D$32,[1]CURSOS!$E$32)))))))))))))))))))))))))))))))))))))))))))))))))))))))))))</f>
        <v>ATENCION A VICTIMAS POR VIOLENCIA DE GENERO</v>
      </c>
      <c r="U333" s="57" t="str">
        <f t="shared" si="187"/>
        <v>Mario Ferney De la cruz Rosero</v>
      </c>
      <c r="V333" s="57" t="str">
        <f t="shared" si="188"/>
        <v>Mario Ferney De La Cruz Rosero</v>
      </c>
      <c r="W333" s="57" t="str">
        <f t="shared" si="184"/>
        <v>Mario Ferney De la cruz Rosero-1004338451-VIOLENCIA DE GENERO</v>
      </c>
    </row>
    <row r="334" spans="1:23" s="73" customFormat="1" x14ac:dyDescent="0.2">
      <c r="A334" s="20">
        <v>333</v>
      </c>
      <c r="B334" s="97">
        <v>1004338451</v>
      </c>
      <c r="C334" s="20" t="s">
        <v>378</v>
      </c>
      <c r="D334" s="20" t="s">
        <v>186</v>
      </c>
      <c r="E334" s="20" t="s">
        <v>717</v>
      </c>
      <c r="F334" s="20" t="s">
        <v>709</v>
      </c>
      <c r="G334" s="19">
        <v>30</v>
      </c>
      <c r="H334" s="19" t="s">
        <v>99</v>
      </c>
      <c r="I334" s="25">
        <v>45442</v>
      </c>
      <c r="J334" s="98">
        <v>60000</v>
      </c>
      <c r="K334" s="116" t="s">
        <v>82</v>
      </c>
      <c r="L334" s="19" t="s">
        <v>322</v>
      </c>
      <c r="M334" s="19" t="s">
        <v>77</v>
      </c>
      <c r="N334" s="21" t="s">
        <v>62</v>
      </c>
      <c r="O334" s="72">
        <v>37099</v>
      </c>
      <c r="P334" s="20" t="s">
        <v>88</v>
      </c>
      <c r="Q334" s="20" t="s">
        <v>710</v>
      </c>
      <c r="R334" s="20">
        <v>3002664179</v>
      </c>
      <c r="S334" s="20" t="s">
        <v>711</v>
      </c>
      <c r="T334" s="57" t="str">
        <f>+IF($N334=[1]CURSOS!$D$3,[1]CURSOS!$E$3,(+IF($N334=[1]CURSOS!$D$4,[1]CURSOS!$E$4,(+IF($N334=[1]CURSOS!$D$5,[1]CURSOS!$E$5,(+IF($N334=[1]CURSOS!$D$6,[1]CURSOS!$E$6,(+IF($N334=[1]CURSOS!$D$7,[1]CURSOS!$E$7,(+IF($N334=[1]CURSOS!$D$8,[1]CURSOS!$E$8,(+IF($N334=[1]CURSOS!$D$9,[1]CURSOS!$E$9,(+IF($N334=[1]CURSOS!$D$10,[1]CURSOS!$E$10,(+IF($N334=[1]CURSOS!$D$11,[1]CURSOS!$E$11,(+IF($N334=[1]CURSOS!$D$12,[1]CURSOS!$E$12,(+IF($N334=[1]CURSOS!$D$13,[1]CURSOS!$E$13,(+IF($N334=[1]CURSOS!$D$14,[1]CURSOS!$E$14,(+IF($N334=[1]CURSOS!$D$15,[1]CURSOS!$E$15,(+IF($N334=[1]CURSOS!$D$16,[1]CURSOS!$E$16,(+IF($N334=[1]CURSOS!$D$17,[1]CURSOS!$E$17,(+IF($N334=[1]CURSOS!$D$18,[1]CURSOS!$E$18,(+IF($N334=[1]CURSOS!$D$19,[1]CURSOS!$E$19,(+IF($N334=[1]CURSOS!$D$20,[1]CURSOS!$E$20,(+IF($N334=[1]CURSOS!$D$21,[1]CURSOS!$E$21,(+IF($N334=[1]CURSOS!$D$22,[1]CURSOS!$E$22,(+IF($N334=[1]CURSOS!$D$23,[1]CURSOS!$E$23,(+IF($N334=[1]CURSOS!$D$24,[1]CURSOS!$E$24,(+IF($N334=[1]CURSOS!$D$25,[1]CURSOS!$E$25,(+IF($N334=[1]CURSOS!$D$26,[1]CURSOS!$E$26,(+IF($N334=[1]CURSOS!$D$27,[1]CURSOS!$E$27,(+IF($N334=[1]CURSOS!$D$28,[1]CURSOS!$E$28,(+IF($N334=[1]CURSOS!$D$29,[1]CURSOS!$E$29,(+IF($N334=[1]CURSOS!$D$30,[1]CURSOS!$E$30,(+IF($N334=[1]CURSOS!$D$31,[1]CURSOS!$E$31,(+IF($N334=[1]CURSOS!$D$32,[1]CURSOS!$E$32)))))))))))))))))))))))))))))))))))))))))))))))))))))))))))</f>
        <v>IGUALDAD DE GENERO EN LA SALUD</v>
      </c>
      <c r="U334" s="57" t="str">
        <f t="shared" si="187"/>
        <v>Mario Ferney De la cruz Rosero</v>
      </c>
      <c r="V334" s="57" t="str">
        <f t="shared" si="188"/>
        <v>Mario Ferney De La Cruz Rosero</v>
      </c>
      <c r="W334" s="57" t="str">
        <f t="shared" si="184"/>
        <v>Mario Ferney De la cruz Rosero-1004338451-IGUALDAD DE GENERO</v>
      </c>
    </row>
    <row r="335" spans="1:23" s="73" customFormat="1" x14ac:dyDescent="0.2">
      <c r="A335" s="20">
        <v>334</v>
      </c>
      <c r="B335" s="97">
        <v>1131084625</v>
      </c>
      <c r="C335" s="20" t="s">
        <v>433</v>
      </c>
      <c r="D335" s="20" t="s">
        <v>290</v>
      </c>
      <c r="E335" s="20" t="s">
        <v>712</v>
      </c>
      <c r="F335" s="20" t="s">
        <v>713</v>
      </c>
      <c r="G335" s="19">
        <v>30</v>
      </c>
      <c r="H335" s="19" t="s">
        <v>99</v>
      </c>
      <c r="I335" s="25"/>
      <c r="J335" s="88"/>
      <c r="K335" s="19"/>
      <c r="L335" s="19" t="s">
        <v>322</v>
      </c>
      <c r="M335" s="19" t="s">
        <v>173</v>
      </c>
      <c r="N335" s="21" t="s">
        <v>19</v>
      </c>
      <c r="O335" s="72"/>
      <c r="P335" s="20" t="s">
        <v>78</v>
      </c>
      <c r="Q335" s="20"/>
      <c r="R335" s="20"/>
      <c r="S335" s="20" t="s">
        <v>714</v>
      </c>
      <c r="T335" s="57" t="str">
        <f>+IF($N335=[1]CURSOS!$D$3,[1]CURSOS!$E$3,(+IF($N335=[1]CURSOS!$D$4,[1]CURSOS!$E$4,(+IF($N335=[1]CURSOS!$D$5,[1]CURSOS!$E$5,(+IF($N335=[1]CURSOS!$D$6,[1]CURSOS!$E$6,(+IF($N335=[1]CURSOS!$D$7,[1]CURSOS!$E$7,(+IF($N335=[1]CURSOS!$D$8,[1]CURSOS!$E$8,(+IF($N335=[1]CURSOS!$D$9,[1]CURSOS!$E$9,(+IF($N335=[1]CURSOS!$D$10,[1]CURSOS!$E$10,(+IF($N335=[1]CURSOS!$D$11,[1]CURSOS!$E$11,(+IF($N335=[1]CURSOS!$D$12,[1]CURSOS!$E$12,(+IF($N335=[1]CURSOS!$D$13,[1]CURSOS!$E$13,(+IF($N335=[1]CURSOS!$D$14,[1]CURSOS!$E$14,(+IF($N335=[1]CURSOS!$D$15,[1]CURSOS!$E$15,(+IF($N335=[1]CURSOS!$D$16,[1]CURSOS!$E$16,(+IF($N335=[1]CURSOS!$D$17,[1]CURSOS!$E$17,(+IF($N335=[1]CURSOS!$D$18,[1]CURSOS!$E$18,(+IF($N335=[1]CURSOS!$D$19,[1]CURSOS!$E$19,(+IF($N335=[1]CURSOS!$D$20,[1]CURSOS!$E$20,(+IF($N335=[1]CURSOS!$D$21,[1]CURSOS!$E$21,(+IF($N335=[1]CURSOS!$D$22,[1]CURSOS!$E$22,(+IF($N335=[1]CURSOS!$D$23,[1]CURSOS!$E$23,(+IF($N335=[1]CURSOS!$D$24,[1]CURSOS!$E$24,(+IF($N335=[1]CURSOS!$D$25,[1]CURSOS!$E$25,(+IF($N335=[1]CURSOS!$D$26,[1]CURSOS!$E$26,(+IF($N335=[1]CURSOS!$D$27,[1]CURSOS!$E$27,(+IF($N335=[1]CURSOS!$D$28,[1]CURSOS!$E$28,(+IF($N335=[1]CURSOS!$D$29,[1]CURSOS!$E$29,(+IF($N335=[1]CURSOS!$D$30,[1]CURSOS!$E$30,(+IF($N335=[1]CURSOS!$D$31,[1]CURSOS!$E$31,(+IF($N335=[1]CURSOS!$D$32,[1]CURSOS!$E$32)))))))))))))))))))))))))))))))))))))))))))))))))))))))))))</f>
        <v>SOPORTE VITAL BASICO (BLS)</v>
      </c>
      <c r="U335" s="57" t="str">
        <f t="shared" si="187"/>
        <v>Gabriela Rocio Benavides Betancourt</v>
      </c>
      <c r="V335" s="57" t="str">
        <f t="shared" si="188"/>
        <v>Gabriela Rocio Benavides Betancourt</v>
      </c>
      <c r="W335" s="57" t="str">
        <f t="shared" si="184"/>
        <v>Gabriela Rocio Benavides Betancourt-1131084625-BLS</v>
      </c>
    </row>
    <row r="336" spans="1:23" s="73" customFormat="1" x14ac:dyDescent="0.2">
      <c r="A336" s="20">
        <v>335</v>
      </c>
      <c r="B336" s="97">
        <v>1088735917</v>
      </c>
      <c r="C336" s="20" t="s">
        <v>332</v>
      </c>
      <c r="D336" s="20" t="s">
        <v>262</v>
      </c>
      <c r="E336" s="20" t="s">
        <v>715</v>
      </c>
      <c r="F336" s="20"/>
      <c r="G336" s="19">
        <v>30</v>
      </c>
      <c r="H336" s="19" t="s">
        <v>99</v>
      </c>
      <c r="I336" s="25">
        <v>45412</v>
      </c>
      <c r="J336" s="88">
        <v>30000</v>
      </c>
      <c r="K336" s="116" t="s">
        <v>79</v>
      </c>
      <c r="L336" s="19" t="s">
        <v>322</v>
      </c>
      <c r="M336" s="19" t="s">
        <v>197</v>
      </c>
      <c r="N336" s="21" t="s">
        <v>25</v>
      </c>
      <c r="O336" s="72">
        <v>34141</v>
      </c>
      <c r="P336" s="20" t="s">
        <v>78</v>
      </c>
      <c r="Q336" s="20"/>
      <c r="R336" s="20"/>
      <c r="S336" s="20" t="s">
        <v>716</v>
      </c>
      <c r="T336" s="57" t="str">
        <f>+IF($N336=[1]CURSOS!$D$3,[1]CURSOS!$E$3,(+IF($N336=[1]CURSOS!$D$4,[1]CURSOS!$E$4,(+IF($N336=[1]CURSOS!$D$5,[1]CURSOS!$E$5,(+IF($N336=[1]CURSOS!$D$6,[1]CURSOS!$E$6,(+IF($N336=[1]CURSOS!$D$7,[1]CURSOS!$E$7,(+IF($N336=[1]CURSOS!$D$8,[1]CURSOS!$E$8,(+IF($N336=[1]CURSOS!$D$9,[1]CURSOS!$E$9,(+IF($N336=[1]CURSOS!$D$10,[1]CURSOS!$E$10,(+IF($N336=[1]CURSOS!$D$11,[1]CURSOS!$E$11,(+IF($N336=[1]CURSOS!$D$12,[1]CURSOS!$E$12,(+IF($N336=[1]CURSOS!$D$13,[1]CURSOS!$E$13,(+IF($N336=[1]CURSOS!$D$14,[1]CURSOS!$E$14,(+IF($N336=[1]CURSOS!$D$15,[1]CURSOS!$E$15,(+IF($N336=[1]CURSOS!$D$16,[1]CURSOS!$E$16,(+IF($N336=[1]CURSOS!$D$17,[1]CURSOS!$E$17,(+IF($N336=[1]CURSOS!$D$18,[1]CURSOS!$E$18,(+IF($N336=[1]CURSOS!$D$19,[1]CURSOS!$E$19,(+IF($N336=[1]CURSOS!$D$20,[1]CURSOS!$E$20,(+IF($N336=[1]CURSOS!$D$21,[1]CURSOS!$E$21,(+IF($N336=[1]CURSOS!$D$22,[1]CURSOS!$E$22,(+IF($N336=[1]CURSOS!$D$23,[1]CURSOS!$E$23,(+IF($N336=[1]CURSOS!$D$24,[1]CURSOS!$E$24,(+IF($N336=[1]CURSOS!$D$25,[1]CURSOS!$E$25,(+IF($N336=[1]CURSOS!$D$26,[1]CURSOS!$E$26,(+IF($N336=[1]CURSOS!$D$27,[1]CURSOS!$E$27,(+IF($N336=[1]CURSOS!$D$28,[1]CURSOS!$E$28,(+IF($N336=[1]CURSOS!$D$29,[1]CURSOS!$E$29,(+IF($N336=[1]CURSOS!$D$30,[1]CURSOS!$E$30,(+IF($N336=[1]CURSOS!$D$31,[1]CURSOS!$E$31,(+IF($N336=[1]CURSOS!$D$32,[1]CURSOS!$E$32)))))))))))))))))))))))))))))))))))))))))))))))))))))))))))</f>
        <v xml:space="preserve">ATENCION A VICTIMAS DE ATAQUE CON AGENTES QUIMICOS </v>
      </c>
      <c r="U336" s="57" t="str">
        <f t="shared" si="187"/>
        <v>Lizbeth  Cabrera Melo</v>
      </c>
      <c r="V336" s="57" t="str">
        <f t="shared" si="188"/>
        <v>Lizbeth  Cabrera Melo</v>
      </c>
      <c r="W336" s="57" t="str">
        <f t="shared" si="184"/>
        <v>Lizbeth  Cabrera Melo-1088735917-QUIMICOS</v>
      </c>
    </row>
    <row r="337" spans="1:23" s="73" customFormat="1" x14ac:dyDescent="0.2">
      <c r="A337" s="20">
        <v>336</v>
      </c>
      <c r="B337" s="97">
        <v>1088733716</v>
      </c>
      <c r="C337" s="20" t="s">
        <v>679</v>
      </c>
      <c r="D337" s="20"/>
      <c r="E337" s="20" t="s">
        <v>516</v>
      </c>
      <c r="F337" s="20"/>
      <c r="G337" s="19">
        <v>30</v>
      </c>
      <c r="H337" s="19" t="s">
        <v>99</v>
      </c>
      <c r="I337" s="25">
        <v>45412</v>
      </c>
      <c r="J337" s="88">
        <v>32000</v>
      </c>
      <c r="K337" s="116" t="s">
        <v>79</v>
      </c>
      <c r="L337" s="19" t="s">
        <v>322</v>
      </c>
      <c r="M337" s="19" t="s">
        <v>197</v>
      </c>
      <c r="N337" s="21" t="s">
        <v>19</v>
      </c>
      <c r="O337" s="72">
        <v>34831</v>
      </c>
      <c r="P337" s="20" t="s">
        <v>78</v>
      </c>
      <c r="Q337" s="20" t="s">
        <v>160</v>
      </c>
      <c r="R337" s="20">
        <v>3183103457</v>
      </c>
      <c r="S337" s="20" t="s">
        <v>680</v>
      </c>
      <c r="T337" s="57" t="str">
        <f>+IF($N337=[1]CURSOS!$D$3,[1]CURSOS!$E$3,(+IF($N337=[1]CURSOS!$D$4,[1]CURSOS!$E$4,(+IF($N337=[1]CURSOS!$D$5,[1]CURSOS!$E$5,(+IF($N337=[1]CURSOS!$D$6,[1]CURSOS!$E$6,(+IF($N337=[1]CURSOS!$D$7,[1]CURSOS!$E$7,(+IF($N337=[1]CURSOS!$D$8,[1]CURSOS!$E$8,(+IF($N337=[1]CURSOS!$D$9,[1]CURSOS!$E$9,(+IF($N337=[1]CURSOS!$D$10,[1]CURSOS!$E$10,(+IF($N337=[1]CURSOS!$D$11,[1]CURSOS!$E$11,(+IF($N337=[1]CURSOS!$D$12,[1]CURSOS!$E$12,(+IF($N337=[1]CURSOS!$D$13,[1]CURSOS!$E$13,(+IF($N337=[1]CURSOS!$D$14,[1]CURSOS!$E$14,(+IF($N337=[1]CURSOS!$D$15,[1]CURSOS!$E$15,(+IF($N337=[1]CURSOS!$D$16,[1]CURSOS!$E$16,(+IF($N337=[1]CURSOS!$D$17,[1]CURSOS!$E$17,(+IF($N337=[1]CURSOS!$D$18,[1]CURSOS!$E$18,(+IF($N337=[1]CURSOS!$D$19,[1]CURSOS!$E$19,(+IF($N337=[1]CURSOS!$D$20,[1]CURSOS!$E$20,(+IF($N337=[1]CURSOS!$D$21,[1]CURSOS!$E$21,(+IF($N337=[1]CURSOS!$D$22,[1]CURSOS!$E$22,(+IF($N337=[1]CURSOS!$D$23,[1]CURSOS!$E$23,(+IF($N337=[1]CURSOS!$D$24,[1]CURSOS!$E$24,(+IF($N337=[1]CURSOS!$D$25,[1]CURSOS!$E$25,(+IF($N337=[1]CURSOS!$D$26,[1]CURSOS!$E$26,(+IF($N337=[1]CURSOS!$D$27,[1]CURSOS!$E$27,(+IF($N337=[1]CURSOS!$D$28,[1]CURSOS!$E$28,(+IF($N337=[1]CURSOS!$D$29,[1]CURSOS!$E$29,(+IF($N337=[1]CURSOS!$D$30,[1]CURSOS!$E$30,(+IF($N337=[1]CURSOS!$D$31,[1]CURSOS!$E$31,(+IF($N337=[1]CURSOS!$D$32,[1]CURSOS!$E$32)))))))))))))))))))))))))))))))))))))))))))))))))))))))))))</f>
        <v>SOPORTE VITAL BASICO (BLS)</v>
      </c>
      <c r="U337" s="57" t="str">
        <f t="shared" si="187"/>
        <v xml:space="preserve">Jackeline  Nastacuaz </v>
      </c>
      <c r="V337" s="57" t="str">
        <f t="shared" si="188"/>
        <v xml:space="preserve">Jackeline  Nastacuaz </v>
      </c>
      <c r="W337" s="57" t="str">
        <f t="shared" si="184"/>
        <v>Jackeline  Nastacuaz -1088733716-BLS</v>
      </c>
    </row>
    <row r="338" spans="1:23" s="73" customFormat="1" x14ac:dyDescent="0.2">
      <c r="A338" s="20">
        <v>337</v>
      </c>
      <c r="B338" s="97">
        <v>59310652</v>
      </c>
      <c r="C338" s="20" t="s">
        <v>570</v>
      </c>
      <c r="D338" s="20" t="s">
        <v>723</v>
      </c>
      <c r="E338" s="20" t="s">
        <v>267</v>
      </c>
      <c r="F338" s="20" t="s">
        <v>194</v>
      </c>
      <c r="G338" s="19">
        <v>30</v>
      </c>
      <c r="H338" s="19" t="s">
        <v>99</v>
      </c>
      <c r="I338" s="25"/>
      <c r="J338" s="88"/>
      <c r="K338" s="19"/>
      <c r="L338" s="19" t="s">
        <v>322</v>
      </c>
      <c r="M338" s="19" t="s">
        <v>177</v>
      </c>
      <c r="N338" s="21" t="s">
        <v>735</v>
      </c>
      <c r="O338" s="72"/>
      <c r="P338" s="20"/>
      <c r="Q338" s="20"/>
      <c r="R338" s="20"/>
      <c r="S338" s="20"/>
      <c r="T338" s="57" t="e">
        <f>+IF($N338=[1]CURSOS!$D$3,[1]CURSOS!$E$3,(+IF($N338=[1]CURSOS!$D$4,[1]CURSOS!$E$4,(+IF($N338=[1]CURSOS!$D$5,[1]CURSOS!$E$5,(+IF($N338=[1]CURSOS!$D$6,[1]CURSOS!$E$6,(+IF($N338=[1]CURSOS!$D$7,[1]CURSOS!$E$7,(+IF($N338=[1]CURSOS!$D$8,[1]CURSOS!$E$8,(+IF($N338=[1]CURSOS!$D$9,[1]CURSOS!$E$9,(+IF($N338=[1]CURSOS!$D$10,[1]CURSOS!$E$10,(+IF($N338=[1]CURSOS!$D$11,[1]CURSOS!$E$11,(+IF($N338=[1]CURSOS!$D$12,[1]CURSOS!$E$12,(+IF($N338=[1]CURSOS!$D$13,[1]CURSOS!$E$13,(+IF($N338=[1]CURSOS!$D$14,[1]CURSOS!$E$14,(+IF($N338=[1]CURSOS!$D$15,[1]CURSOS!$E$15,(+IF($N338=[1]CURSOS!$D$16,[1]CURSOS!$E$16,(+IF($N338=[1]CURSOS!$D$17,[1]CURSOS!$E$17,(+IF($N338=[1]CURSOS!$D$18,[1]CURSOS!$E$18,(+IF($N338=[1]CURSOS!$D$19,[1]CURSOS!$E$19,(+IF($N338=[1]CURSOS!$D$20,[1]CURSOS!$E$20,(+IF($N338=[1]CURSOS!$D$21,[1]CURSOS!$E$21,(+IF($N338=[1]CURSOS!$D$22,[1]CURSOS!$E$22,(+IF($N338=[1]CURSOS!$D$23,[1]CURSOS!$E$23,(+IF($N338=[1]CURSOS!$D$24,[1]CURSOS!$E$24,(+IF($N338=[1]CURSOS!$D$25,[1]CURSOS!$E$25,(+IF($N338=[1]CURSOS!$D$26,[1]CURSOS!$E$26,(+IF($N338=[1]CURSOS!$D$27,[1]CURSOS!$E$27,(+IF($N338=[1]CURSOS!$D$28,[1]CURSOS!$E$28,(+IF($N338=[1]CURSOS!$D$29,[1]CURSOS!$E$29,(+IF($N338=[1]CURSOS!$D$30,[1]CURSOS!$E$30,(+IF($N338=[1]CURSOS!$D$31,[1]CURSOS!$E$31,(+IF($N338=[1]CURSOS!$D$32,[1]CURSOS!$E$32)))))))))))))))))))))))))))))))))))))))))))))))))))))))))))</f>
        <v>#REF!</v>
      </c>
      <c r="U338" s="57" t="str">
        <f t="shared" ref="U338:U343" si="189">CONCATENATE(E338," ",F338," ",C338," ",D338)</f>
        <v>Maria Andrea Villota Dulce</v>
      </c>
      <c r="V338" s="57" t="str">
        <f t="shared" ref="V338:V343" si="190">+PROPER(U338)</f>
        <v>Maria Andrea Villota Dulce</v>
      </c>
      <c r="W338" s="57" t="str">
        <f t="shared" ref="W338:W343" si="191">CONCATENATE(U338,"-",B338,"-",N338)</f>
        <v>Maria Andrea Villota Dulce-59310652-MANIPULACION DE ALIMENTOS</v>
      </c>
    </row>
    <row r="339" spans="1:23" s="73" customFormat="1" x14ac:dyDescent="0.2">
      <c r="A339" s="20">
        <v>338</v>
      </c>
      <c r="B339" s="97">
        <v>30742386</v>
      </c>
      <c r="C339" s="20" t="s">
        <v>724</v>
      </c>
      <c r="D339" s="20" t="s">
        <v>725</v>
      </c>
      <c r="E339" s="20" t="s">
        <v>726</v>
      </c>
      <c r="F339" s="20" t="s">
        <v>727</v>
      </c>
      <c r="G339" s="19">
        <v>30</v>
      </c>
      <c r="H339" s="19" t="s">
        <v>99</v>
      </c>
      <c r="I339" s="25"/>
      <c r="J339" s="88"/>
      <c r="K339" s="19"/>
      <c r="L339" s="19" t="s">
        <v>322</v>
      </c>
      <c r="M339" s="19" t="s">
        <v>177</v>
      </c>
      <c r="N339" s="21" t="s">
        <v>735</v>
      </c>
      <c r="O339" s="72"/>
      <c r="P339" s="20"/>
      <c r="Q339" s="20"/>
      <c r="R339" s="20"/>
      <c r="S339" s="20"/>
      <c r="T339" s="57" t="e">
        <f>+IF($N339=[1]CURSOS!$D$3,[1]CURSOS!$E$3,(+IF($N339=[1]CURSOS!$D$4,[1]CURSOS!$E$4,(+IF($N339=[1]CURSOS!$D$5,[1]CURSOS!$E$5,(+IF($N339=[1]CURSOS!$D$6,[1]CURSOS!$E$6,(+IF($N339=[1]CURSOS!$D$7,[1]CURSOS!$E$7,(+IF($N339=[1]CURSOS!$D$8,[1]CURSOS!$E$8,(+IF($N339=[1]CURSOS!$D$9,[1]CURSOS!$E$9,(+IF($N339=[1]CURSOS!$D$10,[1]CURSOS!$E$10,(+IF($N339=[1]CURSOS!$D$11,[1]CURSOS!$E$11,(+IF($N339=[1]CURSOS!$D$12,[1]CURSOS!$E$12,(+IF($N339=[1]CURSOS!$D$13,[1]CURSOS!$E$13,(+IF($N339=[1]CURSOS!$D$14,[1]CURSOS!$E$14,(+IF($N339=[1]CURSOS!$D$15,[1]CURSOS!$E$15,(+IF($N339=[1]CURSOS!$D$16,[1]CURSOS!$E$16,(+IF($N339=[1]CURSOS!$D$17,[1]CURSOS!$E$17,(+IF($N339=[1]CURSOS!$D$18,[1]CURSOS!$E$18,(+IF($N339=[1]CURSOS!$D$19,[1]CURSOS!$E$19,(+IF($N339=[1]CURSOS!$D$20,[1]CURSOS!$E$20,(+IF($N339=[1]CURSOS!$D$21,[1]CURSOS!$E$21,(+IF($N339=[1]CURSOS!$D$22,[1]CURSOS!$E$22,(+IF($N339=[1]CURSOS!$D$23,[1]CURSOS!$E$23,(+IF($N339=[1]CURSOS!$D$24,[1]CURSOS!$E$24,(+IF($N339=[1]CURSOS!$D$25,[1]CURSOS!$E$25,(+IF($N339=[1]CURSOS!$D$26,[1]CURSOS!$E$26,(+IF($N339=[1]CURSOS!$D$27,[1]CURSOS!$E$27,(+IF($N339=[1]CURSOS!$D$28,[1]CURSOS!$E$28,(+IF($N339=[1]CURSOS!$D$29,[1]CURSOS!$E$29,(+IF($N339=[1]CURSOS!$D$30,[1]CURSOS!$E$30,(+IF($N339=[1]CURSOS!$D$31,[1]CURSOS!$E$31,(+IF($N339=[1]CURSOS!$D$32,[1]CURSOS!$E$32)))))))))))))))))))))))))))))))))))))))))))))))))))))))))))</f>
        <v>#REF!</v>
      </c>
      <c r="U339" s="57" t="str">
        <f t="shared" si="189"/>
        <v>Adriana Esperanza Carreño Mideros</v>
      </c>
      <c r="V339" s="57" t="str">
        <f t="shared" si="190"/>
        <v>Adriana Esperanza Carreño Mideros</v>
      </c>
      <c r="W339" s="57" t="str">
        <f t="shared" si="191"/>
        <v>Adriana Esperanza Carreño Mideros-30742386-MANIPULACION DE ALIMENTOS</v>
      </c>
    </row>
    <row r="340" spans="1:23" s="73" customFormat="1" x14ac:dyDescent="0.2">
      <c r="A340" s="20">
        <v>339</v>
      </c>
      <c r="B340" s="97">
        <v>12970936</v>
      </c>
      <c r="C340" s="20" t="s">
        <v>347</v>
      </c>
      <c r="D340" s="20" t="s">
        <v>728</v>
      </c>
      <c r="E340" s="20" t="s">
        <v>236</v>
      </c>
      <c r="F340" s="20" t="s">
        <v>729</v>
      </c>
      <c r="G340" s="19">
        <v>30</v>
      </c>
      <c r="H340" s="19" t="s">
        <v>99</v>
      </c>
      <c r="I340" s="25"/>
      <c r="J340" s="88"/>
      <c r="K340" s="19"/>
      <c r="L340" s="19" t="s">
        <v>322</v>
      </c>
      <c r="M340" s="19" t="s">
        <v>177</v>
      </c>
      <c r="N340" s="21" t="s">
        <v>735</v>
      </c>
      <c r="O340" s="72"/>
      <c r="P340" s="20"/>
      <c r="Q340" s="20"/>
      <c r="R340" s="20"/>
      <c r="S340" s="20"/>
      <c r="T340" s="57" t="e">
        <f>+IF($N340=[1]CURSOS!$D$3,[1]CURSOS!$E$3,(+IF($N340=[1]CURSOS!$D$4,[1]CURSOS!$E$4,(+IF($N340=[1]CURSOS!$D$5,[1]CURSOS!$E$5,(+IF($N340=[1]CURSOS!$D$6,[1]CURSOS!$E$6,(+IF($N340=[1]CURSOS!$D$7,[1]CURSOS!$E$7,(+IF($N340=[1]CURSOS!$D$8,[1]CURSOS!$E$8,(+IF($N340=[1]CURSOS!$D$9,[1]CURSOS!$E$9,(+IF($N340=[1]CURSOS!$D$10,[1]CURSOS!$E$10,(+IF($N340=[1]CURSOS!$D$11,[1]CURSOS!$E$11,(+IF($N340=[1]CURSOS!$D$12,[1]CURSOS!$E$12,(+IF($N340=[1]CURSOS!$D$13,[1]CURSOS!$E$13,(+IF($N340=[1]CURSOS!$D$14,[1]CURSOS!$E$14,(+IF($N340=[1]CURSOS!$D$15,[1]CURSOS!$E$15,(+IF($N340=[1]CURSOS!$D$16,[1]CURSOS!$E$16,(+IF($N340=[1]CURSOS!$D$17,[1]CURSOS!$E$17,(+IF($N340=[1]CURSOS!$D$18,[1]CURSOS!$E$18,(+IF($N340=[1]CURSOS!$D$19,[1]CURSOS!$E$19,(+IF($N340=[1]CURSOS!$D$20,[1]CURSOS!$E$20,(+IF($N340=[1]CURSOS!$D$21,[1]CURSOS!$E$21,(+IF($N340=[1]CURSOS!$D$22,[1]CURSOS!$E$22,(+IF($N340=[1]CURSOS!$D$23,[1]CURSOS!$E$23,(+IF($N340=[1]CURSOS!$D$24,[1]CURSOS!$E$24,(+IF($N340=[1]CURSOS!$D$25,[1]CURSOS!$E$25,(+IF($N340=[1]CURSOS!$D$26,[1]CURSOS!$E$26,(+IF($N340=[1]CURSOS!$D$27,[1]CURSOS!$E$27,(+IF($N340=[1]CURSOS!$D$28,[1]CURSOS!$E$28,(+IF($N340=[1]CURSOS!$D$29,[1]CURSOS!$E$29,(+IF($N340=[1]CURSOS!$D$30,[1]CURSOS!$E$30,(+IF($N340=[1]CURSOS!$D$31,[1]CURSOS!$E$31,(+IF($N340=[1]CURSOS!$D$32,[1]CURSOS!$E$32)))))))))))))))))))))))))))))))))))))))))))))))))))))))))))</f>
        <v>#REF!</v>
      </c>
      <c r="U340" s="57" t="str">
        <f t="shared" si="189"/>
        <v>Jose Efrain Ortega Ordoñez</v>
      </c>
      <c r="V340" s="57" t="str">
        <f t="shared" si="190"/>
        <v>Jose Efrain Ortega Ordoñez</v>
      </c>
      <c r="W340" s="57" t="str">
        <f t="shared" si="191"/>
        <v>Jose Efrain Ortega Ordoñez-12970936-MANIPULACION DE ALIMENTOS</v>
      </c>
    </row>
    <row r="341" spans="1:23" s="73" customFormat="1" x14ac:dyDescent="0.2">
      <c r="A341" s="20">
        <v>340</v>
      </c>
      <c r="B341" s="97">
        <v>1085301038</v>
      </c>
      <c r="C341" s="20" t="s">
        <v>180</v>
      </c>
      <c r="D341" s="20" t="s">
        <v>730</v>
      </c>
      <c r="E341" s="20" t="s">
        <v>731</v>
      </c>
      <c r="F341" s="20" t="s">
        <v>732</v>
      </c>
      <c r="G341" s="19">
        <v>30</v>
      </c>
      <c r="H341" s="19" t="s">
        <v>99</v>
      </c>
      <c r="I341" s="25"/>
      <c r="J341" s="88"/>
      <c r="K341" s="19"/>
      <c r="L341" s="19" t="s">
        <v>322</v>
      </c>
      <c r="M341" s="19" t="s">
        <v>177</v>
      </c>
      <c r="N341" s="21" t="s">
        <v>735</v>
      </c>
      <c r="O341" s="72"/>
      <c r="P341" s="20"/>
      <c r="Q341" s="20"/>
      <c r="R341" s="20"/>
      <c r="S341" s="20"/>
      <c r="T341" s="57" t="e">
        <f>+IF($N341=[1]CURSOS!$D$3,[1]CURSOS!$E$3,(+IF($N341=[1]CURSOS!$D$4,[1]CURSOS!$E$4,(+IF($N341=[1]CURSOS!$D$5,[1]CURSOS!$E$5,(+IF($N341=[1]CURSOS!$D$6,[1]CURSOS!$E$6,(+IF($N341=[1]CURSOS!$D$7,[1]CURSOS!$E$7,(+IF($N341=[1]CURSOS!$D$8,[1]CURSOS!$E$8,(+IF($N341=[1]CURSOS!$D$9,[1]CURSOS!$E$9,(+IF($N341=[1]CURSOS!$D$10,[1]CURSOS!$E$10,(+IF($N341=[1]CURSOS!$D$11,[1]CURSOS!$E$11,(+IF($N341=[1]CURSOS!$D$12,[1]CURSOS!$E$12,(+IF($N341=[1]CURSOS!$D$13,[1]CURSOS!$E$13,(+IF($N341=[1]CURSOS!$D$14,[1]CURSOS!$E$14,(+IF($N341=[1]CURSOS!$D$15,[1]CURSOS!$E$15,(+IF($N341=[1]CURSOS!$D$16,[1]CURSOS!$E$16,(+IF($N341=[1]CURSOS!$D$17,[1]CURSOS!$E$17,(+IF($N341=[1]CURSOS!$D$18,[1]CURSOS!$E$18,(+IF($N341=[1]CURSOS!$D$19,[1]CURSOS!$E$19,(+IF($N341=[1]CURSOS!$D$20,[1]CURSOS!$E$20,(+IF($N341=[1]CURSOS!$D$21,[1]CURSOS!$E$21,(+IF($N341=[1]CURSOS!$D$22,[1]CURSOS!$E$22,(+IF($N341=[1]CURSOS!$D$23,[1]CURSOS!$E$23,(+IF($N341=[1]CURSOS!$D$24,[1]CURSOS!$E$24,(+IF($N341=[1]CURSOS!$D$25,[1]CURSOS!$E$25,(+IF($N341=[1]CURSOS!$D$26,[1]CURSOS!$E$26,(+IF($N341=[1]CURSOS!$D$27,[1]CURSOS!$E$27,(+IF($N341=[1]CURSOS!$D$28,[1]CURSOS!$E$28,(+IF($N341=[1]CURSOS!$D$29,[1]CURSOS!$E$29,(+IF($N341=[1]CURSOS!$D$30,[1]CURSOS!$E$30,(+IF($N341=[1]CURSOS!$D$31,[1]CURSOS!$E$31,(+IF($N341=[1]CURSOS!$D$32,[1]CURSOS!$E$32)))))))))))))))))))))))))))))))))))))))))))))))))))))))))))</f>
        <v>#REF!</v>
      </c>
      <c r="U341" s="57" t="str">
        <f t="shared" si="189"/>
        <v>Jeison Alveiro Delgado Burbano</v>
      </c>
      <c r="V341" s="57" t="str">
        <f t="shared" si="190"/>
        <v>Jeison Alveiro Delgado Burbano</v>
      </c>
      <c r="W341" s="57" t="str">
        <f t="shared" si="191"/>
        <v>Jeison Alveiro Delgado Burbano-1085301038-MANIPULACION DE ALIMENTOS</v>
      </c>
    </row>
    <row r="342" spans="1:23" s="73" customFormat="1" x14ac:dyDescent="0.2">
      <c r="A342" s="20">
        <v>340</v>
      </c>
      <c r="B342" s="97">
        <v>59313405</v>
      </c>
      <c r="C342" s="20" t="s">
        <v>733</v>
      </c>
      <c r="D342" s="20" t="s">
        <v>87</v>
      </c>
      <c r="E342" s="20" t="s">
        <v>206</v>
      </c>
      <c r="F342" s="20" t="s">
        <v>734</v>
      </c>
      <c r="G342" s="19">
        <v>30</v>
      </c>
      <c r="H342" s="19" t="s">
        <v>99</v>
      </c>
      <c r="I342" s="25"/>
      <c r="J342" s="88"/>
      <c r="K342" s="19"/>
      <c r="L342" s="19" t="s">
        <v>322</v>
      </c>
      <c r="M342" s="19" t="s">
        <v>177</v>
      </c>
      <c r="N342" s="21" t="s">
        <v>735</v>
      </c>
      <c r="O342" s="72"/>
      <c r="P342" s="20"/>
      <c r="Q342" s="20"/>
      <c r="R342" s="20"/>
      <c r="S342" s="20"/>
      <c r="T342" s="57" t="e">
        <f>+IF($N342=[1]CURSOS!$D$3,[1]CURSOS!$E$3,(+IF($N342=[1]CURSOS!$D$4,[1]CURSOS!$E$4,(+IF($N342=[1]CURSOS!$D$5,[1]CURSOS!$E$5,(+IF($N342=[1]CURSOS!$D$6,[1]CURSOS!$E$6,(+IF($N342=[1]CURSOS!$D$7,[1]CURSOS!$E$7,(+IF($N342=[1]CURSOS!$D$8,[1]CURSOS!$E$8,(+IF($N342=[1]CURSOS!$D$9,[1]CURSOS!$E$9,(+IF($N342=[1]CURSOS!$D$10,[1]CURSOS!$E$10,(+IF($N342=[1]CURSOS!$D$11,[1]CURSOS!$E$11,(+IF($N342=[1]CURSOS!$D$12,[1]CURSOS!$E$12,(+IF($N342=[1]CURSOS!$D$13,[1]CURSOS!$E$13,(+IF($N342=[1]CURSOS!$D$14,[1]CURSOS!$E$14,(+IF($N342=[1]CURSOS!$D$15,[1]CURSOS!$E$15,(+IF($N342=[1]CURSOS!$D$16,[1]CURSOS!$E$16,(+IF($N342=[1]CURSOS!$D$17,[1]CURSOS!$E$17,(+IF($N342=[1]CURSOS!$D$18,[1]CURSOS!$E$18,(+IF($N342=[1]CURSOS!$D$19,[1]CURSOS!$E$19,(+IF($N342=[1]CURSOS!$D$20,[1]CURSOS!$E$20,(+IF($N342=[1]CURSOS!$D$21,[1]CURSOS!$E$21,(+IF($N342=[1]CURSOS!$D$22,[1]CURSOS!$E$22,(+IF($N342=[1]CURSOS!$D$23,[1]CURSOS!$E$23,(+IF($N342=[1]CURSOS!$D$24,[1]CURSOS!$E$24,(+IF($N342=[1]CURSOS!$D$25,[1]CURSOS!$E$25,(+IF($N342=[1]CURSOS!$D$26,[1]CURSOS!$E$26,(+IF($N342=[1]CURSOS!$D$27,[1]CURSOS!$E$27,(+IF($N342=[1]CURSOS!$D$28,[1]CURSOS!$E$28,(+IF($N342=[1]CURSOS!$D$29,[1]CURSOS!$E$29,(+IF($N342=[1]CURSOS!$D$30,[1]CURSOS!$E$30,(+IF($N342=[1]CURSOS!$D$31,[1]CURSOS!$E$31,(+IF($N342=[1]CURSOS!$D$32,[1]CURSOS!$E$32)))))))))))))))))))))))))))))))))))))))))))))))))))))))))))</f>
        <v>#REF!</v>
      </c>
      <c r="U342" s="57" t="str">
        <f t="shared" si="189"/>
        <v>Alexandra Del rosario Goyes Lopez</v>
      </c>
      <c r="V342" s="57" t="str">
        <f t="shared" si="190"/>
        <v>Alexandra Del Rosario Goyes Lopez</v>
      </c>
      <c r="W342" s="57" t="str">
        <f t="shared" si="191"/>
        <v>Alexandra Del rosario Goyes Lopez-59313405-MANIPULACION DE ALIMENTOS</v>
      </c>
    </row>
    <row r="343" spans="1:23" x14ac:dyDescent="0.2">
      <c r="A343" s="20">
        <v>341</v>
      </c>
      <c r="B343" s="22">
        <v>1085250304</v>
      </c>
      <c r="C343" s="20" t="s">
        <v>124</v>
      </c>
      <c r="D343" s="20" t="s">
        <v>736</v>
      </c>
      <c r="E343" s="20" t="s">
        <v>737</v>
      </c>
      <c r="F343" s="20" t="s">
        <v>141</v>
      </c>
      <c r="G343" s="19">
        <v>30</v>
      </c>
      <c r="H343" s="19" t="s">
        <v>99</v>
      </c>
      <c r="I343" s="25"/>
      <c r="J343" s="88"/>
      <c r="K343" s="19"/>
      <c r="L343" s="19" t="s">
        <v>84</v>
      </c>
      <c r="M343" s="19" t="s">
        <v>177</v>
      </c>
      <c r="N343" s="21" t="s">
        <v>735</v>
      </c>
      <c r="O343" s="72"/>
      <c r="P343" s="20"/>
      <c r="Q343" s="20"/>
      <c r="R343" s="20"/>
      <c r="S343" s="20"/>
      <c r="T343" s="57" t="e">
        <f>+IF($N343=[1]CURSOS!$D$3,[1]CURSOS!$E$3,(+IF($N343=[1]CURSOS!$D$4,[1]CURSOS!$E$4,(+IF($N343=[1]CURSOS!$D$5,[1]CURSOS!$E$5,(+IF($N343=[1]CURSOS!$D$6,[1]CURSOS!$E$6,(+IF($N343=[1]CURSOS!$D$7,[1]CURSOS!$E$7,(+IF($N343=[1]CURSOS!$D$8,[1]CURSOS!$E$8,(+IF($N343=[1]CURSOS!$D$9,[1]CURSOS!$E$9,(+IF($N343=[1]CURSOS!$D$10,[1]CURSOS!$E$10,(+IF($N343=[1]CURSOS!$D$11,[1]CURSOS!$E$11,(+IF($N343=[1]CURSOS!$D$12,[1]CURSOS!$E$12,(+IF($N343=[1]CURSOS!$D$13,[1]CURSOS!$E$13,(+IF($N343=[1]CURSOS!$D$14,[1]CURSOS!$E$14,(+IF($N343=[1]CURSOS!$D$15,[1]CURSOS!$E$15,(+IF($N343=[1]CURSOS!$D$16,[1]CURSOS!$E$16,(+IF($N343=[1]CURSOS!$D$17,[1]CURSOS!$E$17,(+IF($N343=[1]CURSOS!$D$18,[1]CURSOS!$E$18,(+IF($N343=[1]CURSOS!$D$19,[1]CURSOS!$E$19,(+IF($N343=[1]CURSOS!$D$20,[1]CURSOS!$E$20,(+IF($N343=[1]CURSOS!$D$21,[1]CURSOS!$E$21,(+IF($N343=[1]CURSOS!$D$22,[1]CURSOS!$E$22,(+IF($N343=[1]CURSOS!$D$23,[1]CURSOS!$E$23,(+IF($N343=[1]CURSOS!$D$24,[1]CURSOS!$E$24,(+IF($N343=[1]CURSOS!$D$25,[1]CURSOS!$E$25,(+IF($N343=[1]CURSOS!$D$26,[1]CURSOS!$E$26,(+IF($N343=[1]CURSOS!$D$27,[1]CURSOS!$E$27,(+IF($N343=[1]CURSOS!$D$28,[1]CURSOS!$E$28,(+IF($N343=[1]CURSOS!$D$29,[1]CURSOS!$E$29,(+IF($N343=[1]CURSOS!$D$30,[1]CURSOS!$E$30,(+IF($N343=[1]CURSOS!$D$31,[1]CURSOS!$E$31,(+IF($N343=[1]CURSOS!$D$32,[1]CURSOS!$E$32)))))))))))))))))))))))))))))))))))))))))))))))))))))))))))</f>
        <v>#REF!</v>
      </c>
      <c r="U343" s="96" t="str">
        <f t="shared" si="189"/>
        <v>Johanna Maritza Jojoa Yascual</v>
      </c>
      <c r="V343" s="96" t="str">
        <f t="shared" si="190"/>
        <v>Johanna Maritza Jojoa Yascual</v>
      </c>
      <c r="W343" s="96" t="str">
        <f t="shared" si="191"/>
        <v>Johanna Maritza Jojoa Yascual-1085250304-MANIPULACION DE ALIMENTOS</v>
      </c>
    </row>
    <row r="344" spans="1:23" x14ac:dyDescent="0.2">
      <c r="J344" s="91"/>
      <c r="K344" s="23"/>
      <c r="T344" s="57" t="e">
        <f>+IF($N344=[1]CURSOS!$D$3,[1]CURSOS!$E$3,(+IF($N344=[1]CURSOS!$D$4,[1]CURSOS!$E$4,(+IF($N344=[1]CURSOS!$D$5,[1]CURSOS!$E$5,(+IF($N344=[1]CURSOS!$D$6,[1]CURSOS!$E$6,(+IF($N344=[1]CURSOS!$D$7,[1]CURSOS!$E$7,(+IF($N344=[1]CURSOS!$D$8,[1]CURSOS!$E$8,(+IF($N344=[1]CURSOS!$D$9,[1]CURSOS!$E$9,(+IF($N344=[1]CURSOS!$D$10,[1]CURSOS!$E$10,(+IF($N344=[1]CURSOS!$D$11,[1]CURSOS!$E$11,(+IF($N344=[1]CURSOS!$D$12,[1]CURSOS!$E$12,(+IF($N344=[1]CURSOS!$D$13,[1]CURSOS!$E$13,(+IF($N344=[1]CURSOS!$D$14,[1]CURSOS!$E$14,(+IF($N344=[1]CURSOS!$D$15,[1]CURSOS!$E$15,(+IF($N344=[1]CURSOS!$D$16,[1]CURSOS!$E$16,(+IF($N344=[1]CURSOS!$D$17,[1]CURSOS!$E$17,(+IF($N344=[1]CURSOS!$D$18,[1]CURSOS!$E$18,(+IF($N344=[1]CURSOS!$D$19,[1]CURSOS!$E$19,(+IF($N344=[1]CURSOS!$D$20,[1]CURSOS!$E$20,(+IF($N344=[1]CURSOS!$D$21,[1]CURSOS!$E$21,(+IF($N344=[1]CURSOS!$D$22,[1]CURSOS!$E$22,(+IF($N344=[1]CURSOS!$D$23,[1]CURSOS!$E$23,(+IF($N344=[1]CURSOS!$D$24,[1]CURSOS!$E$24,(+IF($N344=[1]CURSOS!$D$25,[1]CURSOS!$E$25,(+IF($N344=[1]CURSOS!$D$26,[1]CURSOS!$E$26,(+IF($N344=[1]CURSOS!$D$27,[1]CURSOS!$E$27,(+IF($N344=[1]CURSOS!$D$28,[1]CURSOS!$E$28,(+IF($N344=[1]CURSOS!$D$29,[1]CURSOS!$E$29,(+IF($N344=[1]CURSOS!$D$30,[1]CURSOS!$E$30,(+IF($N344=[1]CURSOS!$D$31,[1]CURSOS!$E$31,(+IF($N344=[1]CURSOS!$D$32,[1]CURSOS!$E$32)))))))))))))))))))))))))))))))))))))))))))))))))))))))))))</f>
        <v>#REF!</v>
      </c>
      <c r="U344" s="96" t="str">
        <f t="shared" ref="U344" si="192">CONCATENATE(E344," ",F344," ",C344," ",D344)</f>
        <v xml:space="preserve">   </v>
      </c>
      <c r="V344" s="96" t="str">
        <f t="shared" ref="V344" si="193">+PROPER(U344)</f>
        <v xml:space="preserve">   </v>
      </c>
      <c r="W344" s="96" t="str">
        <f t="shared" ref="W344" si="194">CONCATENATE(U344,"-",B344,"-",N344)</f>
        <v xml:space="preserve">   --</v>
      </c>
    </row>
    <row r="346" spans="1:23" x14ac:dyDescent="0.2">
      <c r="K346" s="121">
        <f>112500*6</f>
        <v>675000</v>
      </c>
    </row>
    <row r="1048563" spans="9:9" x14ac:dyDescent="0.2">
      <c r="I1048563" s="25"/>
    </row>
  </sheetData>
  <mergeCells count="43">
    <mergeCell ref="O131:O133"/>
    <mergeCell ref="P131:P133"/>
    <mergeCell ref="R113:R115"/>
    <mergeCell ref="R125:R127"/>
    <mergeCell ref="P113:P115"/>
    <mergeCell ref="O116:O118"/>
    <mergeCell ref="P116:P118"/>
    <mergeCell ref="O119:O121"/>
    <mergeCell ref="P119:P121"/>
    <mergeCell ref="O122:O124"/>
    <mergeCell ref="P122:P124"/>
    <mergeCell ref="O113:O115"/>
    <mergeCell ref="O125:O127"/>
    <mergeCell ref="R122:R124"/>
    <mergeCell ref="R131:R133"/>
    <mergeCell ref="S122:S124"/>
    <mergeCell ref="P125:P127"/>
    <mergeCell ref="O128:O130"/>
    <mergeCell ref="P128:P130"/>
    <mergeCell ref="S113:S115"/>
    <mergeCell ref="R116:R118"/>
    <mergeCell ref="S116:S118"/>
    <mergeCell ref="R119:R121"/>
    <mergeCell ref="S119:S121"/>
    <mergeCell ref="S125:S127"/>
    <mergeCell ref="R128:R130"/>
    <mergeCell ref="S128:S130"/>
    <mergeCell ref="P144:P146"/>
    <mergeCell ref="O144:O146"/>
    <mergeCell ref="R144:R146"/>
    <mergeCell ref="S144:S146"/>
    <mergeCell ref="S131:S133"/>
    <mergeCell ref="S134:S137"/>
    <mergeCell ref="S138:S141"/>
    <mergeCell ref="S142:S143"/>
    <mergeCell ref="O142:O143"/>
    <mergeCell ref="P134:P137"/>
    <mergeCell ref="P138:P141"/>
    <mergeCell ref="P142:P143"/>
    <mergeCell ref="R134:R137"/>
    <mergeCell ref="R138:R141"/>
    <mergeCell ref="R142:R143"/>
    <mergeCell ref="O134:O137"/>
  </mergeCells>
  <phoneticPr fontId="9" type="noConversion"/>
  <hyperlinks>
    <hyperlink ref="S4" r:id="rId1" xr:uid="{00000000-0004-0000-0000-000000000000}"/>
    <hyperlink ref="S5" r:id="rId2" xr:uid="{00000000-0004-0000-0000-000001000000}"/>
    <hyperlink ref="S6" r:id="rId3" xr:uid="{00000000-0004-0000-0000-000002000000}"/>
    <hyperlink ref="S7" r:id="rId4" xr:uid="{00000000-0004-0000-0000-000003000000}"/>
    <hyperlink ref="S8" r:id="rId5" xr:uid="{00000000-0004-0000-0000-000004000000}"/>
    <hyperlink ref="S9" r:id="rId6" xr:uid="{00000000-0004-0000-0000-000005000000}"/>
    <hyperlink ref="S10" r:id="rId7" xr:uid="{00000000-0004-0000-0000-000006000000}"/>
    <hyperlink ref="S11" r:id="rId8" xr:uid="{00000000-0004-0000-0000-000007000000}"/>
    <hyperlink ref="S12" r:id="rId9" xr:uid="{00000000-0004-0000-0000-000008000000}"/>
    <hyperlink ref="S13" r:id="rId10" xr:uid="{00000000-0004-0000-0000-000009000000}"/>
    <hyperlink ref="S20" r:id="rId11" xr:uid="{00000000-0004-0000-0000-00000A000000}"/>
    <hyperlink ref="S31" r:id="rId12" xr:uid="{00000000-0004-0000-0000-00000B000000}"/>
    <hyperlink ref="S37" r:id="rId13" xr:uid="{00000000-0004-0000-0000-00000C000000}"/>
    <hyperlink ref="S38" r:id="rId14" xr:uid="{00000000-0004-0000-0000-00000D000000}"/>
    <hyperlink ref="S39" r:id="rId15" xr:uid="{00000000-0004-0000-0000-00000E000000}"/>
    <hyperlink ref="S40" r:id="rId16" xr:uid="{00000000-0004-0000-0000-00000F000000}"/>
    <hyperlink ref="S42" r:id="rId17" xr:uid="{00000000-0004-0000-0000-000010000000}"/>
    <hyperlink ref="S41" r:id="rId18" xr:uid="{00000000-0004-0000-0000-000011000000}"/>
    <hyperlink ref="S43" r:id="rId19" xr:uid="{00000000-0004-0000-0000-000012000000}"/>
    <hyperlink ref="S44" r:id="rId20" xr:uid="{00000000-0004-0000-0000-000013000000}"/>
    <hyperlink ref="S45" r:id="rId21" xr:uid="{00000000-0004-0000-0000-000014000000}"/>
    <hyperlink ref="S77" r:id="rId22" xr:uid="{00000000-0004-0000-0000-000015000000}"/>
    <hyperlink ref="S116" r:id="rId23" xr:uid="{00000000-0004-0000-0000-000016000000}"/>
    <hyperlink ref="S122" r:id="rId24" xr:uid="{00000000-0004-0000-0000-000017000000}"/>
    <hyperlink ref="S125" r:id="rId25" xr:uid="{00000000-0004-0000-0000-000018000000}"/>
    <hyperlink ref="S128" r:id="rId26" xr:uid="{00000000-0004-0000-0000-000019000000}"/>
    <hyperlink ref="S131" r:id="rId27" xr:uid="{00000000-0004-0000-0000-00001A000000}"/>
    <hyperlink ref="S113" r:id="rId28" xr:uid="{00000000-0004-0000-0000-00001B000000}"/>
    <hyperlink ref="S134" r:id="rId29" xr:uid="{00000000-0004-0000-0000-00001C000000}"/>
    <hyperlink ref="S138" r:id="rId30" xr:uid="{00000000-0004-0000-0000-00001D000000}"/>
    <hyperlink ref="S142" r:id="rId31" xr:uid="{00000000-0004-0000-0000-00001E000000}"/>
    <hyperlink ref="S144" r:id="rId32" xr:uid="{00000000-0004-0000-0000-00001F000000}"/>
    <hyperlink ref="S209" r:id="rId33" xr:uid="{00000000-0004-0000-0000-000020000000}"/>
    <hyperlink ref="S210" r:id="rId34" xr:uid="{00000000-0004-0000-0000-000021000000}"/>
    <hyperlink ref="S211" r:id="rId35" xr:uid="{00000000-0004-0000-0000-000022000000}"/>
    <hyperlink ref="S212" r:id="rId36" xr:uid="{00000000-0004-0000-0000-000023000000}"/>
    <hyperlink ref="S317" r:id="rId37" xr:uid="{00000000-0004-0000-0000-000024000000}"/>
    <hyperlink ref="S318" r:id="rId38" xr:uid="{00000000-0004-0000-0000-000025000000}"/>
    <hyperlink ref="S327" r:id="rId39" xr:uid="{00000000-0004-0000-0000-000026000000}"/>
  </hyperlinks>
  <pageMargins left="0.7" right="0.7" top="0.75" bottom="0.75" header="0.3" footer="0.3"/>
  <pageSetup paperSize="9" scale="12" orientation="portrait" r:id="rId4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1:H24"/>
  <sheetViews>
    <sheetView zoomScale="97" workbookViewId="0">
      <selection activeCell="D4" sqref="D4:D19"/>
    </sheetView>
  </sheetViews>
  <sheetFormatPr baseColWidth="10" defaultRowHeight="15" x14ac:dyDescent="0.25"/>
  <cols>
    <col min="3" max="3" width="17.5703125" bestFit="1" customWidth="1"/>
    <col min="4" max="4" width="24.5703125" bestFit="1" customWidth="1"/>
    <col min="5" max="5" width="11" bestFit="1" customWidth="1"/>
    <col min="6" max="6" width="12.5703125" bestFit="1" customWidth="1"/>
    <col min="7" max="7" width="15.7109375" bestFit="1" customWidth="1"/>
    <col min="8" max="8" width="15.28515625" bestFit="1" customWidth="1"/>
    <col min="9" max="9" width="9.28515625" bestFit="1" customWidth="1"/>
    <col min="10" max="10" width="17.85546875" bestFit="1" customWidth="1"/>
    <col min="11" max="11" width="12.5703125" bestFit="1" customWidth="1"/>
  </cols>
  <sheetData>
    <row r="1" spans="2:8" x14ac:dyDescent="0.25">
      <c r="C1" s="93" t="s">
        <v>11</v>
      </c>
      <c r="D1" t="s">
        <v>699</v>
      </c>
    </row>
    <row r="3" spans="2:8" x14ac:dyDescent="0.25">
      <c r="C3" s="93" t="s">
        <v>697</v>
      </c>
      <c r="D3" t="s">
        <v>700</v>
      </c>
    </row>
    <row r="4" spans="2:8" x14ac:dyDescent="0.25">
      <c r="B4" t="s">
        <v>550</v>
      </c>
      <c r="C4" s="94">
        <v>27082792</v>
      </c>
      <c r="D4">
        <v>40000</v>
      </c>
    </row>
    <row r="5" spans="2:8" x14ac:dyDescent="0.25">
      <c r="C5" s="94">
        <v>36952461</v>
      </c>
      <c r="D5">
        <v>180000</v>
      </c>
      <c r="G5" t="s">
        <v>550</v>
      </c>
      <c r="H5">
        <v>27082792</v>
      </c>
    </row>
    <row r="6" spans="2:8" x14ac:dyDescent="0.25">
      <c r="C6" s="95">
        <v>38644168</v>
      </c>
      <c r="D6">
        <v>40000</v>
      </c>
      <c r="G6" t="s">
        <v>550</v>
      </c>
      <c r="H6">
        <v>59310859</v>
      </c>
    </row>
    <row r="7" spans="2:8" x14ac:dyDescent="0.25">
      <c r="C7" s="94">
        <v>59310859</v>
      </c>
      <c r="D7">
        <v>40000</v>
      </c>
      <c r="G7" t="s">
        <v>550</v>
      </c>
      <c r="H7">
        <v>1004233109</v>
      </c>
    </row>
    <row r="8" spans="2:8" x14ac:dyDescent="0.25">
      <c r="B8" t="s">
        <v>550</v>
      </c>
      <c r="C8" s="94">
        <v>1004233109</v>
      </c>
      <c r="D8">
        <v>40000</v>
      </c>
      <c r="G8" t="s">
        <v>550</v>
      </c>
      <c r="H8">
        <v>1010019346</v>
      </c>
    </row>
    <row r="9" spans="2:8" x14ac:dyDescent="0.25">
      <c r="C9" s="95">
        <v>1006849055</v>
      </c>
      <c r="D9">
        <v>50000</v>
      </c>
      <c r="G9" t="s">
        <v>550</v>
      </c>
      <c r="H9">
        <v>1085262213</v>
      </c>
    </row>
    <row r="10" spans="2:8" x14ac:dyDescent="0.25">
      <c r="B10" t="s">
        <v>550</v>
      </c>
      <c r="C10" s="94">
        <v>1010019346</v>
      </c>
      <c r="D10">
        <v>40000</v>
      </c>
      <c r="G10" t="s">
        <v>550</v>
      </c>
      <c r="H10">
        <v>1085263638</v>
      </c>
    </row>
    <row r="11" spans="2:8" x14ac:dyDescent="0.25">
      <c r="C11" s="94">
        <v>1010084437</v>
      </c>
      <c r="D11">
        <v>0</v>
      </c>
      <c r="G11" t="s">
        <v>550</v>
      </c>
      <c r="H11">
        <v>1085294747</v>
      </c>
    </row>
    <row r="12" spans="2:8" x14ac:dyDescent="0.25">
      <c r="C12" s="94">
        <v>1085262213</v>
      </c>
      <c r="D12">
        <v>40000</v>
      </c>
    </row>
    <row r="13" spans="2:8" x14ac:dyDescent="0.25">
      <c r="C13" s="94">
        <v>1085263555</v>
      </c>
      <c r="D13">
        <v>40000</v>
      </c>
    </row>
    <row r="14" spans="2:8" x14ac:dyDescent="0.25">
      <c r="B14" t="s">
        <v>550</v>
      </c>
      <c r="C14" s="94">
        <v>1085263638</v>
      </c>
      <c r="D14">
        <v>40000</v>
      </c>
    </row>
    <row r="15" spans="2:8" x14ac:dyDescent="0.25">
      <c r="C15" s="94">
        <v>1085294747</v>
      </c>
      <c r="D15">
        <v>40000</v>
      </c>
    </row>
    <row r="16" spans="2:8" x14ac:dyDescent="0.25">
      <c r="C16" s="94">
        <v>1085311598</v>
      </c>
      <c r="D16">
        <v>150000</v>
      </c>
    </row>
    <row r="17" spans="2:4" x14ac:dyDescent="0.25">
      <c r="C17" s="94">
        <v>1085314820</v>
      </c>
      <c r="D17">
        <v>180000</v>
      </c>
    </row>
    <row r="18" spans="2:4" x14ac:dyDescent="0.25">
      <c r="B18" t="s">
        <v>550</v>
      </c>
      <c r="C18" s="94">
        <v>1131085776</v>
      </c>
      <c r="D18">
        <v>50000</v>
      </c>
    </row>
    <row r="19" spans="2:4" x14ac:dyDescent="0.25">
      <c r="C19" s="94">
        <v>1233192014</v>
      </c>
      <c r="D19">
        <v>180000</v>
      </c>
    </row>
    <row r="20" spans="2:4" x14ac:dyDescent="0.25">
      <c r="C20" s="94" t="s">
        <v>698</v>
      </c>
      <c r="D20">
        <v>1150000</v>
      </c>
    </row>
    <row r="22" spans="2:4" x14ac:dyDescent="0.25">
      <c r="B22" t="s">
        <v>550</v>
      </c>
    </row>
    <row r="24" spans="2:4" x14ac:dyDescent="0.25">
      <c r="B24" t="s">
        <v>550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B2:N50"/>
  <sheetViews>
    <sheetView topLeftCell="B13" workbookViewId="0">
      <selection activeCell="B2" sqref="B2:N50"/>
    </sheetView>
  </sheetViews>
  <sheetFormatPr baseColWidth="10" defaultRowHeight="15" x14ac:dyDescent="0.25"/>
  <sheetData>
    <row r="2" spans="2:14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95</v>
      </c>
      <c r="M2" t="s">
        <v>10</v>
      </c>
      <c r="N2" t="s">
        <v>11</v>
      </c>
    </row>
    <row r="3" spans="2:14" x14ac:dyDescent="0.25">
      <c r="B3">
        <v>1004233109</v>
      </c>
      <c r="C3" t="s">
        <v>377</v>
      </c>
      <c r="D3" t="s">
        <v>378</v>
      </c>
      <c r="E3" t="s">
        <v>379</v>
      </c>
      <c r="F3" t="s">
        <v>380</v>
      </c>
      <c r="G3">
        <v>10</v>
      </c>
      <c r="H3" t="s">
        <v>99</v>
      </c>
      <c r="I3" t="s">
        <v>552</v>
      </c>
      <c r="J3">
        <v>40000</v>
      </c>
      <c r="L3" t="s">
        <v>322</v>
      </c>
      <c r="M3" t="s">
        <v>537</v>
      </c>
      <c r="N3" t="s">
        <v>19</v>
      </c>
    </row>
    <row r="4" spans="2:14" x14ac:dyDescent="0.25">
      <c r="B4">
        <v>1004233109</v>
      </c>
      <c r="C4" t="s">
        <v>377</v>
      </c>
      <c r="D4" t="s">
        <v>378</v>
      </c>
      <c r="E4" t="s">
        <v>379</v>
      </c>
      <c r="F4" t="s">
        <v>380</v>
      </c>
      <c r="G4">
        <v>16</v>
      </c>
      <c r="H4" t="s">
        <v>99</v>
      </c>
      <c r="J4">
        <v>20000</v>
      </c>
      <c r="L4" t="s">
        <v>322</v>
      </c>
      <c r="M4" t="s">
        <v>537</v>
      </c>
      <c r="N4" t="s">
        <v>381</v>
      </c>
    </row>
    <row r="5" spans="2:14" x14ac:dyDescent="0.25">
      <c r="B5">
        <v>1004233109</v>
      </c>
      <c r="C5" t="s">
        <v>377</v>
      </c>
      <c r="D5" t="s">
        <v>378</v>
      </c>
      <c r="E5" t="s">
        <v>379</v>
      </c>
      <c r="F5" t="s">
        <v>380</v>
      </c>
      <c r="G5">
        <v>15</v>
      </c>
      <c r="H5" t="s">
        <v>99</v>
      </c>
      <c r="J5">
        <v>20000</v>
      </c>
      <c r="L5" t="s">
        <v>322</v>
      </c>
      <c r="M5" t="s">
        <v>537</v>
      </c>
      <c r="N5" t="s">
        <v>33</v>
      </c>
    </row>
    <row r="6" spans="2:14" x14ac:dyDescent="0.25">
      <c r="B6">
        <v>1085263638</v>
      </c>
      <c r="C6" t="s">
        <v>382</v>
      </c>
      <c r="D6" t="s">
        <v>383</v>
      </c>
      <c r="E6" t="s">
        <v>384</v>
      </c>
      <c r="F6" t="s">
        <v>385</v>
      </c>
      <c r="G6">
        <v>10</v>
      </c>
      <c r="H6" t="s">
        <v>99</v>
      </c>
      <c r="J6">
        <v>40000</v>
      </c>
      <c r="L6" t="s">
        <v>322</v>
      </c>
      <c r="M6" t="s">
        <v>537</v>
      </c>
      <c r="N6" t="s">
        <v>19</v>
      </c>
    </row>
    <row r="7" spans="2:14" x14ac:dyDescent="0.25">
      <c r="B7">
        <v>1085263638</v>
      </c>
      <c r="C7" t="s">
        <v>382</v>
      </c>
      <c r="D7" t="s">
        <v>383</v>
      </c>
      <c r="E7" t="s">
        <v>384</v>
      </c>
      <c r="F7" t="s">
        <v>385</v>
      </c>
      <c r="G7">
        <v>16</v>
      </c>
      <c r="H7" t="s">
        <v>99</v>
      </c>
      <c r="J7">
        <v>20000</v>
      </c>
      <c r="L7" t="s">
        <v>322</v>
      </c>
      <c r="M7" t="s">
        <v>537</v>
      </c>
      <c r="N7" t="s">
        <v>381</v>
      </c>
    </row>
    <row r="8" spans="2:14" x14ac:dyDescent="0.25">
      <c r="B8">
        <v>1085263638</v>
      </c>
      <c r="C8" t="s">
        <v>382</v>
      </c>
      <c r="D8" t="s">
        <v>383</v>
      </c>
      <c r="E8" t="s">
        <v>384</v>
      </c>
      <c r="F8" t="s">
        <v>385</v>
      </c>
      <c r="G8">
        <v>15</v>
      </c>
      <c r="H8" t="s">
        <v>99</v>
      </c>
      <c r="J8">
        <v>20000</v>
      </c>
      <c r="L8" t="s">
        <v>322</v>
      </c>
      <c r="M8" t="s">
        <v>537</v>
      </c>
      <c r="N8" t="s">
        <v>33</v>
      </c>
    </row>
    <row r="9" spans="2:14" x14ac:dyDescent="0.25">
      <c r="B9">
        <v>27082792</v>
      </c>
      <c r="C9" t="s">
        <v>386</v>
      </c>
      <c r="D9" t="s">
        <v>387</v>
      </c>
      <c r="E9" t="s">
        <v>267</v>
      </c>
      <c r="F9" t="s">
        <v>388</v>
      </c>
      <c r="G9">
        <v>10</v>
      </c>
      <c r="H9" t="s">
        <v>99</v>
      </c>
      <c r="J9">
        <v>40000</v>
      </c>
      <c r="L9" t="s">
        <v>322</v>
      </c>
      <c r="M9" t="s">
        <v>537</v>
      </c>
      <c r="N9" t="s">
        <v>19</v>
      </c>
    </row>
    <row r="10" spans="2:14" x14ac:dyDescent="0.25">
      <c r="B10">
        <v>27082792</v>
      </c>
      <c r="C10" t="s">
        <v>386</v>
      </c>
      <c r="D10" t="s">
        <v>387</v>
      </c>
      <c r="E10" t="s">
        <v>267</v>
      </c>
      <c r="F10" t="s">
        <v>388</v>
      </c>
      <c r="G10">
        <v>16</v>
      </c>
      <c r="H10" t="s">
        <v>99</v>
      </c>
      <c r="J10">
        <v>20000</v>
      </c>
      <c r="L10" t="s">
        <v>322</v>
      </c>
      <c r="M10" t="s">
        <v>537</v>
      </c>
      <c r="N10" t="s">
        <v>381</v>
      </c>
    </row>
    <row r="11" spans="2:14" x14ac:dyDescent="0.25">
      <c r="B11">
        <v>27082792</v>
      </c>
      <c r="C11" t="s">
        <v>386</v>
      </c>
      <c r="D11" t="s">
        <v>387</v>
      </c>
      <c r="E11" t="s">
        <v>267</v>
      </c>
      <c r="F11" t="s">
        <v>388</v>
      </c>
      <c r="G11">
        <v>15</v>
      </c>
      <c r="H11" t="s">
        <v>99</v>
      </c>
      <c r="J11">
        <v>20000</v>
      </c>
      <c r="L11" t="s">
        <v>322</v>
      </c>
      <c r="M11" t="s">
        <v>537</v>
      </c>
      <c r="N11" t="s">
        <v>33</v>
      </c>
    </row>
    <row r="12" spans="2:14" x14ac:dyDescent="0.25">
      <c r="B12">
        <v>1085262213</v>
      </c>
      <c r="C12" t="s">
        <v>389</v>
      </c>
      <c r="D12" t="s">
        <v>124</v>
      </c>
      <c r="E12" t="s">
        <v>390</v>
      </c>
      <c r="F12" t="s">
        <v>206</v>
      </c>
      <c r="G12">
        <v>10</v>
      </c>
      <c r="H12" t="s">
        <v>99</v>
      </c>
      <c r="J12">
        <v>40000</v>
      </c>
      <c r="L12" t="s">
        <v>322</v>
      </c>
      <c r="M12" t="s">
        <v>537</v>
      </c>
      <c r="N12" t="s">
        <v>19</v>
      </c>
    </row>
    <row r="13" spans="2:14" x14ac:dyDescent="0.25">
      <c r="B13">
        <v>1085262213</v>
      </c>
      <c r="C13" t="s">
        <v>389</v>
      </c>
      <c r="D13" t="s">
        <v>124</v>
      </c>
      <c r="E13" t="s">
        <v>390</v>
      </c>
      <c r="F13" t="s">
        <v>206</v>
      </c>
      <c r="G13">
        <v>16</v>
      </c>
      <c r="H13" t="s">
        <v>99</v>
      </c>
      <c r="J13">
        <v>20000</v>
      </c>
      <c r="L13" t="s">
        <v>322</v>
      </c>
      <c r="M13" t="s">
        <v>537</v>
      </c>
      <c r="N13" t="s">
        <v>381</v>
      </c>
    </row>
    <row r="14" spans="2:14" x14ac:dyDescent="0.25">
      <c r="B14">
        <v>1085262213</v>
      </c>
      <c r="C14" t="s">
        <v>389</v>
      </c>
      <c r="D14" t="s">
        <v>124</v>
      </c>
      <c r="E14" t="s">
        <v>390</v>
      </c>
      <c r="F14" t="s">
        <v>206</v>
      </c>
      <c r="G14">
        <v>15</v>
      </c>
      <c r="H14" t="s">
        <v>99</v>
      </c>
      <c r="J14">
        <v>20000</v>
      </c>
      <c r="L14" t="s">
        <v>322</v>
      </c>
      <c r="M14" t="s">
        <v>537</v>
      </c>
      <c r="N14" t="s">
        <v>33</v>
      </c>
    </row>
    <row r="15" spans="2:14" x14ac:dyDescent="0.25">
      <c r="B15">
        <v>59310859</v>
      </c>
      <c r="C15" t="s">
        <v>234</v>
      </c>
      <c r="D15" t="s">
        <v>182</v>
      </c>
      <c r="E15" t="s">
        <v>391</v>
      </c>
      <c r="F15" t="s">
        <v>392</v>
      </c>
      <c r="G15">
        <v>10</v>
      </c>
      <c r="H15" t="s">
        <v>99</v>
      </c>
      <c r="J15">
        <v>40000</v>
      </c>
      <c r="L15" t="s">
        <v>322</v>
      </c>
      <c r="M15" t="s">
        <v>537</v>
      </c>
      <c r="N15" t="s">
        <v>19</v>
      </c>
    </row>
    <row r="16" spans="2:14" x14ac:dyDescent="0.25">
      <c r="B16">
        <v>59310859</v>
      </c>
      <c r="C16" t="s">
        <v>234</v>
      </c>
      <c r="D16" t="s">
        <v>182</v>
      </c>
      <c r="E16" t="s">
        <v>391</v>
      </c>
      <c r="F16" t="s">
        <v>392</v>
      </c>
      <c r="G16">
        <v>16</v>
      </c>
      <c r="H16" t="s">
        <v>99</v>
      </c>
      <c r="J16">
        <v>20000</v>
      </c>
      <c r="L16" t="s">
        <v>322</v>
      </c>
      <c r="M16" t="s">
        <v>537</v>
      </c>
      <c r="N16" t="s">
        <v>381</v>
      </c>
    </row>
    <row r="17" spans="2:14" x14ac:dyDescent="0.25">
      <c r="B17">
        <v>59310859</v>
      </c>
      <c r="C17" t="s">
        <v>234</v>
      </c>
      <c r="D17" t="s">
        <v>182</v>
      </c>
      <c r="E17" t="s">
        <v>391</v>
      </c>
      <c r="F17" t="s">
        <v>392</v>
      </c>
      <c r="G17">
        <v>15</v>
      </c>
      <c r="H17" t="s">
        <v>99</v>
      </c>
      <c r="J17">
        <v>20000</v>
      </c>
      <c r="L17" t="s">
        <v>322</v>
      </c>
      <c r="M17" t="s">
        <v>537</v>
      </c>
      <c r="N17" t="s">
        <v>33</v>
      </c>
    </row>
    <row r="18" spans="2:14" x14ac:dyDescent="0.25">
      <c r="B18">
        <v>1010019346</v>
      </c>
      <c r="C18" t="s">
        <v>393</v>
      </c>
      <c r="D18" t="s">
        <v>394</v>
      </c>
      <c r="E18" t="s">
        <v>395</v>
      </c>
      <c r="F18" t="s">
        <v>396</v>
      </c>
      <c r="G18">
        <v>10</v>
      </c>
      <c r="H18" t="s">
        <v>99</v>
      </c>
      <c r="J18">
        <v>40000</v>
      </c>
      <c r="L18" t="s">
        <v>322</v>
      </c>
      <c r="M18" t="s">
        <v>537</v>
      </c>
      <c r="N18" t="s">
        <v>19</v>
      </c>
    </row>
    <row r="19" spans="2:14" x14ac:dyDescent="0.25">
      <c r="B19">
        <v>1010019346</v>
      </c>
      <c r="C19" t="s">
        <v>393</v>
      </c>
      <c r="D19" t="s">
        <v>394</v>
      </c>
      <c r="E19" t="s">
        <v>395</v>
      </c>
      <c r="F19" t="s">
        <v>396</v>
      </c>
      <c r="G19">
        <v>16</v>
      </c>
      <c r="H19" t="s">
        <v>99</v>
      </c>
      <c r="J19">
        <v>20000</v>
      </c>
      <c r="L19" t="s">
        <v>322</v>
      </c>
      <c r="M19" t="s">
        <v>537</v>
      </c>
      <c r="N19" t="s">
        <v>381</v>
      </c>
    </row>
    <row r="20" spans="2:14" x14ac:dyDescent="0.25">
      <c r="B20">
        <v>1010019346</v>
      </c>
      <c r="C20" t="s">
        <v>393</v>
      </c>
      <c r="D20" t="s">
        <v>394</v>
      </c>
      <c r="E20" t="s">
        <v>395</v>
      </c>
      <c r="F20" t="s">
        <v>396</v>
      </c>
      <c r="G20">
        <v>15</v>
      </c>
      <c r="H20" t="s">
        <v>99</v>
      </c>
      <c r="J20">
        <v>20000</v>
      </c>
      <c r="L20" t="s">
        <v>322</v>
      </c>
      <c r="M20" t="s">
        <v>537</v>
      </c>
      <c r="N20" t="s">
        <v>33</v>
      </c>
    </row>
    <row r="21" spans="2:14" x14ac:dyDescent="0.25">
      <c r="B21">
        <v>1085294747</v>
      </c>
      <c r="C21" t="s">
        <v>397</v>
      </c>
      <c r="D21" t="s">
        <v>398</v>
      </c>
      <c r="E21" t="s">
        <v>399</v>
      </c>
      <c r="F21" t="s">
        <v>400</v>
      </c>
      <c r="G21">
        <v>10</v>
      </c>
      <c r="H21" t="s">
        <v>99</v>
      </c>
      <c r="J21">
        <v>40000</v>
      </c>
      <c r="L21" t="s">
        <v>322</v>
      </c>
      <c r="M21" t="s">
        <v>537</v>
      </c>
      <c r="N21" t="s">
        <v>19</v>
      </c>
    </row>
    <row r="22" spans="2:14" x14ac:dyDescent="0.25">
      <c r="B22">
        <v>1085294747</v>
      </c>
      <c r="C22" t="s">
        <v>397</v>
      </c>
      <c r="D22" t="s">
        <v>398</v>
      </c>
      <c r="E22" t="s">
        <v>399</v>
      </c>
      <c r="F22" t="s">
        <v>400</v>
      </c>
      <c r="G22">
        <v>16</v>
      </c>
      <c r="H22" t="s">
        <v>99</v>
      </c>
      <c r="J22">
        <v>20000</v>
      </c>
      <c r="L22" t="s">
        <v>322</v>
      </c>
      <c r="M22" t="s">
        <v>537</v>
      </c>
      <c r="N22" t="s">
        <v>381</v>
      </c>
    </row>
    <row r="23" spans="2:14" x14ac:dyDescent="0.25">
      <c r="B23">
        <v>1085294747</v>
      </c>
      <c r="C23" t="s">
        <v>397</v>
      </c>
      <c r="D23" t="s">
        <v>398</v>
      </c>
      <c r="E23" t="s">
        <v>399</v>
      </c>
      <c r="F23" t="s">
        <v>400</v>
      </c>
      <c r="G23">
        <v>15</v>
      </c>
      <c r="H23" t="s">
        <v>99</v>
      </c>
      <c r="J23">
        <v>20000</v>
      </c>
      <c r="L23" t="s">
        <v>322</v>
      </c>
      <c r="M23" t="s">
        <v>537</v>
      </c>
      <c r="N23" t="s">
        <v>33</v>
      </c>
    </row>
    <row r="24" spans="2:14" x14ac:dyDescent="0.25">
      <c r="B24">
        <v>1085314820</v>
      </c>
      <c r="C24" t="s">
        <v>409</v>
      </c>
      <c r="D24" t="s">
        <v>410</v>
      </c>
      <c r="E24" t="s">
        <v>267</v>
      </c>
      <c r="F24" t="s">
        <v>256</v>
      </c>
      <c r="G24">
        <v>11</v>
      </c>
      <c r="H24" t="s">
        <v>99</v>
      </c>
      <c r="J24">
        <v>180000</v>
      </c>
      <c r="L24" t="s">
        <v>322</v>
      </c>
      <c r="M24" t="s">
        <v>537</v>
      </c>
      <c r="N24" t="s">
        <v>39</v>
      </c>
    </row>
    <row r="25" spans="2:14" x14ac:dyDescent="0.25">
      <c r="B25">
        <v>1085314820</v>
      </c>
      <c r="C25" t="s">
        <v>409</v>
      </c>
      <c r="D25" t="s">
        <v>410</v>
      </c>
      <c r="E25" t="s">
        <v>267</v>
      </c>
      <c r="F25" t="s">
        <v>256</v>
      </c>
      <c r="G25">
        <v>17</v>
      </c>
      <c r="H25" t="s">
        <v>99</v>
      </c>
      <c r="J25">
        <v>40000</v>
      </c>
      <c r="L25" t="s">
        <v>322</v>
      </c>
      <c r="M25" t="s">
        <v>537</v>
      </c>
      <c r="N25" t="s">
        <v>411</v>
      </c>
    </row>
    <row r="26" spans="2:14" x14ac:dyDescent="0.25">
      <c r="B26">
        <v>1085314820</v>
      </c>
      <c r="C26" t="s">
        <v>409</v>
      </c>
      <c r="D26" t="s">
        <v>410</v>
      </c>
      <c r="E26" t="s">
        <v>267</v>
      </c>
      <c r="F26" t="s">
        <v>256</v>
      </c>
      <c r="G26">
        <v>15</v>
      </c>
      <c r="H26" t="s">
        <v>99</v>
      </c>
      <c r="J26">
        <v>40000</v>
      </c>
      <c r="L26" t="s">
        <v>322</v>
      </c>
      <c r="M26" t="s">
        <v>537</v>
      </c>
      <c r="N26" t="s">
        <v>33</v>
      </c>
    </row>
    <row r="27" spans="2:14" x14ac:dyDescent="0.25">
      <c r="B27">
        <v>1085314820</v>
      </c>
      <c r="C27" t="s">
        <v>409</v>
      </c>
      <c r="D27" t="s">
        <v>410</v>
      </c>
      <c r="E27" t="s">
        <v>267</v>
      </c>
      <c r="F27" t="s">
        <v>256</v>
      </c>
      <c r="G27">
        <v>11</v>
      </c>
      <c r="H27" t="s">
        <v>99</v>
      </c>
      <c r="J27">
        <v>60000</v>
      </c>
      <c r="L27" t="s">
        <v>322</v>
      </c>
      <c r="M27" t="s">
        <v>537</v>
      </c>
      <c r="N27" t="s">
        <v>412</v>
      </c>
    </row>
    <row r="28" spans="2:14" x14ac:dyDescent="0.25">
      <c r="B28">
        <v>36952461</v>
      </c>
      <c r="C28" t="s">
        <v>413</v>
      </c>
      <c r="D28" t="s">
        <v>414</v>
      </c>
      <c r="E28" t="s">
        <v>415</v>
      </c>
      <c r="F28" t="s">
        <v>194</v>
      </c>
      <c r="G28">
        <v>11</v>
      </c>
      <c r="H28" t="s">
        <v>99</v>
      </c>
      <c r="J28">
        <v>180000</v>
      </c>
      <c r="L28" t="s">
        <v>322</v>
      </c>
      <c r="M28" t="s">
        <v>537</v>
      </c>
      <c r="N28" t="s">
        <v>39</v>
      </c>
    </row>
    <row r="29" spans="2:14" x14ac:dyDescent="0.25">
      <c r="B29">
        <v>36952461</v>
      </c>
      <c r="C29" t="s">
        <v>413</v>
      </c>
      <c r="D29" t="s">
        <v>414</v>
      </c>
      <c r="E29" t="s">
        <v>415</v>
      </c>
      <c r="F29" t="s">
        <v>194</v>
      </c>
      <c r="G29">
        <v>17</v>
      </c>
      <c r="H29" t="s">
        <v>99</v>
      </c>
      <c r="J29">
        <v>40000</v>
      </c>
      <c r="L29" t="s">
        <v>322</v>
      </c>
      <c r="M29" t="s">
        <v>537</v>
      </c>
      <c r="N29" t="s">
        <v>411</v>
      </c>
    </row>
    <row r="30" spans="2:14" x14ac:dyDescent="0.25">
      <c r="B30">
        <v>36952461</v>
      </c>
      <c r="C30" t="s">
        <v>413</v>
      </c>
      <c r="D30" t="s">
        <v>414</v>
      </c>
      <c r="E30" t="s">
        <v>415</v>
      </c>
      <c r="F30" t="s">
        <v>194</v>
      </c>
      <c r="G30">
        <v>15</v>
      </c>
      <c r="H30" t="s">
        <v>99</v>
      </c>
      <c r="J30">
        <v>40000</v>
      </c>
      <c r="L30" t="s">
        <v>322</v>
      </c>
      <c r="M30" t="s">
        <v>537</v>
      </c>
      <c r="N30" t="s">
        <v>33</v>
      </c>
    </row>
    <row r="31" spans="2:14" x14ac:dyDescent="0.25">
      <c r="B31">
        <v>36952461</v>
      </c>
      <c r="C31" t="s">
        <v>413</v>
      </c>
      <c r="D31" t="s">
        <v>414</v>
      </c>
      <c r="E31" t="s">
        <v>415</v>
      </c>
      <c r="F31" t="s">
        <v>194</v>
      </c>
      <c r="G31">
        <v>11</v>
      </c>
      <c r="H31" t="s">
        <v>99</v>
      </c>
      <c r="J31">
        <v>60000</v>
      </c>
      <c r="L31" t="s">
        <v>322</v>
      </c>
      <c r="M31" t="s">
        <v>537</v>
      </c>
      <c r="N31" t="s">
        <v>412</v>
      </c>
    </row>
    <row r="32" spans="2:14" x14ac:dyDescent="0.25">
      <c r="B32">
        <v>1233192014</v>
      </c>
      <c r="C32" t="s">
        <v>220</v>
      </c>
      <c r="D32" t="s">
        <v>186</v>
      </c>
      <c r="E32" t="s">
        <v>288</v>
      </c>
      <c r="F32" t="s">
        <v>416</v>
      </c>
      <c r="G32">
        <v>11</v>
      </c>
      <c r="H32" t="s">
        <v>99</v>
      </c>
      <c r="J32">
        <v>180000</v>
      </c>
      <c r="L32" t="s">
        <v>322</v>
      </c>
      <c r="M32" t="s">
        <v>537</v>
      </c>
      <c r="N32" t="s">
        <v>39</v>
      </c>
    </row>
    <row r="33" spans="2:14" x14ac:dyDescent="0.25">
      <c r="B33">
        <v>1233192014</v>
      </c>
      <c r="C33" t="s">
        <v>220</v>
      </c>
      <c r="D33" t="s">
        <v>186</v>
      </c>
      <c r="E33" t="s">
        <v>288</v>
      </c>
      <c r="F33" t="s">
        <v>416</v>
      </c>
      <c r="G33">
        <v>11</v>
      </c>
      <c r="H33" t="s">
        <v>99</v>
      </c>
      <c r="J33">
        <v>40000</v>
      </c>
      <c r="L33" t="s">
        <v>322</v>
      </c>
      <c r="M33" t="s">
        <v>537</v>
      </c>
      <c r="N33" t="s">
        <v>66</v>
      </c>
    </row>
    <row r="34" spans="2:14" x14ac:dyDescent="0.25">
      <c r="B34">
        <v>1085263555</v>
      </c>
      <c r="C34" t="s">
        <v>180</v>
      </c>
      <c r="D34" t="s">
        <v>150</v>
      </c>
      <c r="E34" t="s">
        <v>425</v>
      </c>
      <c r="F34" t="s">
        <v>426</v>
      </c>
      <c r="G34">
        <v>10</v>
      </c>
      <c r="H34" t="s">
        <v>99</v>
      </c>
      <c r="I34">
        <v>45384</v>
      </c>
      <c r="J34">
        <v>40000</v>
      </c>
      <c r="K34" t="s">
        <v>293</v>
      </c>
      <c r="L34" t="s">
        <v>322</v>
      </c>
      <c r="M34" t="s">
        <v>537</v>
      </c>
      <c r="N34" t="s">
        <v>19</v>
      </c>
    </row>
    <row r="35" spans="2:14" x14ac:dyDescent="0.25">
      <c r="B35">
        <v>1085263555</v>
      </c>
      <c r="C35" t="s">
        <v>180</v>
      </c>
      <c r="D35" t="s">
        <v>150</v>
      </c>
      <c r="E35" t="s">
        <v>425</v>
      </c>
      <c r="F35" t="s">
        <v>426</v>
      </c>
      <c r="G35">
        <v>16</v>
      </c>
      <c r="H35" t="s">
        <v>99</v>
      </c>
      <c r="I35">
        <v>45384</v>
      </c>
      <c r="J35">
        <v>20000</v>
      </c>
      <c r="K35" t="s">
        <v>293</v>
      </c>
      <c r="L35" t="s">
        <v>322</v>
      </c>
      <c r="M35" t="s">
        <v>537</v>
      </c>
      <c r="N35" t="s">
        <v>23</v>
      </c>
    </row>
    <row r="36" spans="2:14" x14ac:dyDescent="0.25">
      <c r="B36">
        <v>1085263555</v>
      </c>
      <c r="C36" t="s">
        <v>180</v>
      </c>
      <c r="D36" t="s">
        <v>150</v>
      </c>
      <c r="E36" t="s">
        <v>425</v>
      </c>
      <c r="F36" t="s">
        <v>426</v>
      </c>
      <c r="G36">
        <v>15</v>
      </c>
      <c r="H36" t="s">
        <v>99</v>
      </c>
      <c r="I36">
        <v>45384</v>
      </c>
      <c r="J36">
        <v>20000</v>
      </c>
      <c r="K36" t="s">
        <v>293</v>
      </c>
      <c r="L36" t="s">
        <v>322</v>
      </c>
      <c r="M36" t="s">
        <v>537</v>
      </c>
      <c r="N36" t="s">
        <v>33</v>
      </c>
    </row>
    <row r="37" spans="2:14" x14ac:dyDescent="0.25">
      <c r="B37">
        <v>1233192014</v>
      </c>
      <c r="C37" t="s">
        <v>220</v>
      </c>
      <c r="D37" t="s">
        <v>186</v>
      </c>
      <c r="E37" t="s">
        <v>288</v>
      </c>
      <c r="F37" t="s">
        <v>416</v>
      </c>
      <c r="G37">
        <v>16</v>
      </c>
      <c r="H37" t="s">
        <v>99</v>
      </c>
      <c r="I37" t="s">
        <v>550</v>
      </c>
      <c r="J37">
        <v>40000</v>
      </c>
      <c r="L37" t="s">
        <v>322</v>
      </c>
      <c r="M37" t="s">
        <v>537</v>
      </c>
      <c r="N37" t="s">
        <v>25</v>
      </c>
    </row>
    <row r="38" spans="2:14" x14ac:dyDescent="0.25">
      <c r="B38">
        <v>1233192014</v>
      </c>
      <c r="C38" t="s">
        <v>220</v>
      </c>
      <c r="D38" t="s">
        <v>186</v>
      </c>
      <c r="E38" t="s">
        <v>288</v>
      </c>
      <c r="F38" t="s">
        <v>416</v>
      </c>
      <c r="G38">
        <v>18</v>
      </c>
      <c r="H38" t="s">
        <v>99</v>
      </c>
      <c r="I38" t="s">
        <v>550</v>
      </c>
      <c r="J38">
        <v>40000</v>
      </c>
      <c r="L38" t="s">
        <v>322</v>
      </c>
      <c r="M38" t="s">
        <v>537</v>
      </c>
      <c r="N38" t="s">
        <v>23</v>
      </c>
    </row>
    <row r="39" spans="2:14" x14ac:dyDescent="0.25">
      <c r="B39">
        <v>38644168</v>
      </c>
      <c r="C39" t="s">
        <v>507</v>
      </c>
      <c r="D39" t="s">
        <v>508</v>
      </c>
      <c r="E39" t="s">
        <v>509</v>
      </c>
      <c r="G39">
        <v>27</v>
      </c>
      <c r="H39" t="s">
        <v>99</v>
      </c>
      <c r="I39">
        <v>45401</v>
      </c>
      <c r="J39">
        <v>40000</v>
      </c>
      <c r="K39" t="s">
        <v>82</v>
      </c>
      <c r="L39" t="s">
        <v>322</v>
      </c>
      <c r="M39" t="s">
        <v>537</v>
      </c>
      <c r="N39" t="s">
        <v>19</v>
      </c>
    </row>
    <row r="40" spans="2:14" x14ac:dyDescent="0.25">
      <c r="B40">
        <v>38644168</v>
      </c>
      <c r="C40" t="s">
        <v>507</v>
      </c>
      <c r="D40" t="s">
        <v>508</v>
      </c>
      <c r="E40" t="s">
        <v>509</v>
      </c>
      <c r="G40">
        <v>22</v>
      </c>
      <c r="H40" t="s">
        <v>99</v>
      </c>
      <c r="I40">
        <v>45401</v>
      </c>
      <c r="J40">
        <v>20000</v>
      </c>
      <c r="K40" t="s">
        <v>82</v>
      </c>
      <c r="L40" t="s">
        <v>322</v>
      </c>
      <c r="M40" t="s">
        <v>537</v>
      </c>
      <c r="N40" t="s">
        <v>25</v>
      </c>
    </row>
    <row r="41" spans="2:14" x14ac:dyDescent="0.25">
      <c r="B41">
        <v>38644168</v>
      </c>
      <c r="C41" t="s">
        <v>507</v>
      </c>
      <c r="D41" t="s">
        <v>508</v>
      </c>
      <c r="E41" t="s">
        <v>509</v>
      </c>
      <c r="G41">
        <v>25</v>
      </c>
      <c r="H41" t="s">
        <v>99</v>
      </c>
      <c r="I41">
        <v>45401</v>
      </c>
      <c r="J41">
        <v>20000</v>
      </c>
      <c r="K41" t="s">
        <v>82</v>
      </c>
      <c r="L41" t="s">
        <v>322</v>
      </c>
      <c r="M41" t="s">
        <v>537</v>
      </c>
      <c r="N41" t="s">
        <v>33</v>
      </c>
    </row>
    <row r="42" spans="2:14" x14ac:dyDescent="0.25">
      <c r="B42">
        <v>1085311598</v>
      </c>
      <c r="C42" t="s">
        <v>596</v>
      </c>
      <c r="D42" t="s">
        <v>597</v>
      </c>
      <c r="E42" t="s">
        <v>598</v>
      </c>
      <c r="F42" t="s">
        <v>267</v>
      </c>
      <c r="G42">
        <v>22</v>
      </c>
      <c r="H42" t="s">
        <v>99</v>
      </c>
      <c r="I42">
        <v>45386</v>
      </c>
      <c r="J42">
        <v>150000</v>
      </c>
      <c r="K42" t="s">
        <v>293</v>
      </c>
      <c r="L42" t="s">
        <v>322</v>
      </c>
      <c r="M42" t="s">
        <v>537</v>
      </c>
      <c r="N42" t="s">
        <v>39</v>
      </c>
    </row>
    <row r="43" spans="2:14" x14ac:dyDescent="0.25">
      <c r="B43">
        <v>1085311598</v>
      </c>
      <c r="C43" t="s">
        <v>596</v>
      </c>
      <c r="D43" t="s">
        <v>597</v>
      </c>
      <c r="E43" t="s">
        <v>598</v>
      </c>
      <c r="F43" t="s">
        <v>267</v>
      </c>
      <c r="G43">
        <v>11</v>
      </c>
      <c r="H43" t="s">
        <v>99</v>
      </c>
      <c r="I43">
        <v>45386</v>
      </c>
      <c r="J43">
        <v>50000</v>
      </c>
      <c r="K43" t="s">
        <v>293</v>
      </c>
      <c r="L43" t="s">
        <v>322</v>
      </c>
      <c r="M43" t="s">
        <v>537</v>
      </c>
      <c r="N43" t="s">
        <v>66</v>
      </c>
    </row>
    <row r="44" spans="2:14" x14ac:dyDescent="0.25">
      <c r="B44">
        <v>1085311598</v>
      </c>
      <c r="C44" t="s">
        <v>596</v>
      </c>
      <c r="D44" t="s">
        <v>597</v>
      </c>
      <c r="E44" t="s">
        <v>598</v>
      </c>
      <c r="F44" t="s">
        <v>267</v>
      </c>
      <c r="G44">
        <v>16</v>
      </c>
      <c r="H44" t="s">
        <v>99</v>
      </c>
      <c r="I44">
        <v>45386</v>
      </c>
      <c r="J44">
        <v>50000</v>
      </c>
      <c r="K44" t="s">
        <v>293</v>
      </c>
      <c r="L44" t="s">
        <v>322</v>
      </c>
      <c r="M44" t="s">
        <v>537</v>
      </c>
      <c r="N44" t="s">
        <v>23</v>
      </c>
    </row>
    <row r="45" spans="2:14" x14ac:dyDescent="0.25">
      <c r="B45">
        <v>1085311598</v>
      </c>
      <c r="C45" t="s">
        <v>596</v>
      </c>
      <c r="D45" t="s">
        <v>597</v>
      </c>
      <c r="E45" t="s">
        <v>598</v>
      </c>
      <c r="F45" t="s">
        <v>267</v>
      </c>
      <c r="G45">
        <v>16</v>
      </c>
      <c r="H45" t="s">
        <v>99</v>
      </c>
      <c r="I45">
        <v>45386</v>
      </c>
      <c r="J45">
        <v>50000</v>
      </c>
      <c r="K45" t="s">
        <v>293</v>
      </c>
      <c r="L45" t="s">
        <v>322</v>
      </c>
      <c r="M45" t="s">
        <v>537</v>
      </c>
      <c r="N45" t="s">
        <v>25</v>
      </c>
    </row>
    <row r="46" spans="2:14" x14ac:dyDescent="0.25">
      <c r="B46">
        <v>1010084437</v>
      </c>
      <c r="C46" t="s">
        <v>446</v>
      </c>
      <c r="D46" t="s">
        <v>603</v>
      </c>
      <c r="E46" t="s">
        <v>604</v>
      </c>
      <c r="G46">
        <v>25</v>
      </c>
      <c r="H46" t="s">
        <v>99</v>
      </c>
      <c r="I46" t="s">
        <v>696</v>
      </c>
      <c r="J46" t="s">
        <v>693</v>
      </c>
      <c r="K46" t="s">
        <v>693</v>
      </c>
      <c r="L46" t="s">
        <v>322</v>
      </c>
      <c r="M46" t="s">
        <v>537</v>
      </c>
      <c r="N46" t="s">
        <v>19</v>
      </c>
    </row>
    <row r="47" spans="2:14" x14ac:dyDescent="0.25">
      <c r="B47">
        <v>1010084437</v>
      </c>
      <c r="C47" t="s">
        <v>446</v>
      </c>
      <c r="D47" t="s">
        <v>603</v>
      </c>
      <c r="E47" t="s">
        <v>604</v>
      </c>
      <c r="G47">
        <v>25</v>
      </c>
      <c r="H47" t="s">
        <v>99</v>
      </c>
      <c r="I47" t="s">
        <v>696</v>
      </c>
      <c r="J47" t="s">
        <v>693</v>
      </c>
      <c r="K47" t="s">
        <v>693</v>
      </c>
      <c r="L47" t="s">
        <v>322</v>
      </c>
      <c r="M47" t="s">
        <v>537</v>
      </c>
      <c r="N47" t="s">
        <v>23</v>
      </c>
    </row>
    <row r="48" spans="2:14" x14ac:dyDescent="0.25">
      <c r="B48">
        <v>1010084437</v>
      </c>
      <c r="C48" t="s">
        <v>446</v>
      </c>
      <c r="D48" t="s">
        <v>603</v>
      </c>
      <c r="E48" t="s">
        <v>604</v>
      </c>
      <c r="G48">
        <v>25</v>
      </c>
      <c r="H48" t="s">
        <v>99</v>
      </c>
      <c r="I48" t="s">
        <v>696</v>
      </c>
      <c r="J48" t="s">
        <v>693</v>
      </c>
      <c r="K48" t="s">
        <v>693</v>
      </c>
      <c r="L48" t="s">
        <v>322</v>
      </c>
      <c r="M48" t="s">
        <v>537</v>
      </c>
      <c r="N48" t="s">
        <v>46</v>
      </c>
    </row>
    <row r="49" spans="2:14" x14ac:dyDescent="0.25">
      <c r="B49">
        <v>1131085776</v>
      </c>
      <c r="C49" t="s">
        <v>606</v>
      </c>
      <c r="D49" t="s">
        <v>442</v>
      </c>
      <c r="E49" t="s">
        <v>607</v>
      </c>
      <c r="F49" t="s">
        <v>608</v>
      </c>
      <c r="G49">
        <v>10</v>
      </c>
      <c r="H49" t="s">
        <v>99</v>
      </c>
      <c r="I49">
        <v>45392</v>
      </c>
      <c r="J49">
        <v>50000</v>
      </c>
      <c r="K49" t="s">
        <v>189</v>
      </c>
      <c r="L49" t="s">
        <v>322</v>
      </c>
      <c r="M49" t="s">
        <v>537</v>
      </c>
      <c r="N49" t="s">
        <v>19</v>
      </c>
    </row>
    <row r="50" spans="2:14" x14ac:dyDescent="0.25">
      <c r="B50">
        <v>1006849055</v>
      </c>
      <c r="C50" t="s">
        <v>610</v>
      </c>
      <c r="D50" t="s">
        <v>611</v>
      </c>
      <c r="E50" t="s">
        <v>612</v>
      </c>
      <c r="F50" t="s">
        <v>613</v>
      </c>
      <c r="G50">
        <v>10</v>
      </c>
      <c r="H50" t="s">
        <v>99</v>
      </c>
      <c r="I50">
        <v>45392</v>
      </c>
      <c r="J50">
        <v>50000</v>
      </c>
      <c r="K50" t="s">
        <v>189</v>
      </c>
      <c r="L50" t="s">
        <v>322</v>
      </c>
      <c r="M50" t="s">
        <v>537</v>
      </c>
      <c r="N50" t="s">
        <v>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C1:E32"/>
  <sheetViews>
    <sheetView topLeftCell="B1" zoomScale="85" zoomScaleNormal="85" workbookViewId="0">
      <selection activeCell="C17" sqref="C17:E17"/>
    </sheetView>
  </sheetViews>
  <sheetFormatPr baseColWidth="10" defaultRowHeight="15" x14ac:dyDescent="0.25"/>
  <cols>
    <col min="3" max="3" width="8.140625" style="2" bestFit="1" customWidth="1"/>
    <col min="4" max="4" width="32.5703125" bestFit="1" customWidth="1"/>
    <col min="5" max="5" width="97" bestFit="1" customWidth="1"/>
  </cols>
  <sheetData>
    <row r="1" spans="3:5" ht="15.75" thickBot="1" x14ac:dyDescent="0.3"/>
    <row r="2" spans="3:5" ht="15.75" thickBot="1" x14ac:dyDescent="0.3">
      <c r="C2" s="3" t="s">
        <v>20</v>
      </c>
      <c r="D2" s="3" t="s">
        <v>11</v>
      </c>
      <c r="E2" s="3" t="s">
        <v>15</v>
      </c>
    </row>
    <row r="3" spans="3:5" x14ac:dyDescent="0.25">
      <c r="C3" s="4">
        <v>1</v>
      </c>
      <c r="D3" s="5" t="s">
        <v>21</v>
      </c>
      <c r="E3" s="6" t="s">
        <v>22</v>
      </c>
    </row>
    <row r="4" spans="3:5" x14ac:dyDescent="0.25">
      <c r="C4" s="7">
        <v>2</v>
      </c>
      <c r="D4" s="8" t="s">
        <v>23</v>
      </c>
      <c r="E4" s="9" t="s">
        <v>24</v>
      </c>
    </row>
    <row r="5" spans="3:5" x14ac:dyDescent="0.25">
      <c r="C5" s="10">
        <v>3</v>
      </c>
      <c r="D5" s="8" t="s">
        <v>25</v>
      </c>
      <c r="E5" s="9" t="s">
        <v>26</v>
      </c>
    </row>
    <row r="6" spans="3:5" x14ac:dyDescent="0.25">
      <c r="C6" s="7">
        <v>4</v>
      </c>
      <c r="D6" s="8" t="s">
        <v>27</v>
      </c>
      <c r="E6" s="9" t="s">
        <v>28</v>
      </c>
    </row>
    <row r="7" spans="3:5" x14ac:dyDescent="0.25">
      <c r="C7" s="10">
        <v>5</v>
      </c>
      <c r="D7" s="8" t="s">
        <v>29</v>
      </c>
      <c r="E7" s="9" t="s">
        <v>30</v>
      </c>
    </row>
    <row r="8" spans="3:5" x14ac:dyDescent="0.25">
      <c r="C8" s="7">
        <v>6</v>
      </c>
      <c r="D8" s="8" t="s">
        <v>31</v>
      </c>
      <c r="E8" s="9" t="s">
        <v>32</v>
      </c>
    </row>
    <row r="9" spans="3:5" x14ac:dyDescent="0.25">
      <c r="C9" s="10">
        <v>7</v>
      </c>
      <c r="D9" s="8" t="s">
        <v>33</v>
      </c>
      <c r="E9" s="9" t="s">
        <v>34</v>
      </c>
    </row>
    <row r="10" spans="3:5" x14ac:dyDescent="0.25">
      <c r="C10" s="7">
        <v>8</v>
      </c>
      <c r="D10" s="8" t="s">
        <v>35</v>
      </c>
      <c r="E10" s="9" t="s">
        <v>36</v>
      </c>
    </row>
    <row r="11" spans="3:5" x14ac:dyDescent="0.25">
      <c r="C11" s="10">
        <v>9</v>
      </c>
      <c r="D11" s="11" t="s">
        <v>37</v>
      </c>
      <c r="E11" s="9" t="s">
        <v>38</v>
      </c>
    </row>
    <row r="12" spans="3:5" x14ac:dyDescent="0.25">
      <c r="C12" s="7">
        <v>10</v>
      </c>
      <c r="D12" s="12" t="s">
        <v>39</v>
      </c>
      <c r="E12" s="9" t="s">
        <v>40</v>
      </c>
    </row>
    <row r="13" spans="3:5" x14ac:dyDescent="0.25">
      <c r="C13" s="10">
        <v>11</v>
      </c>
      <c r="D13" s="12" t="s">
        <v>41</v>
      </c>
      <c r="E13" s="9" t="s">
        <v>42</v>
      </c>
    </row>
    <row r="14" spans="3:5" x14ac:dyDescent="0.25">
      <c r="C14" s="7">
        <v>12</v>
      </c>
      <c r="D14" s="12" t="s">
        <v>43</v>
      </c>
      <c r="E14" s="9" t="s">
        <v>44</v>
      </c>
    </row>
    <row r="15" spans="3:5" x14ac:dyDescent="0.25">
      <c r="C15" s="10">
        <v>13</v>
      </c>
      <c r="D15" s="12" t="s">
        <v>19</v>
      </c>
      <c r="E15" s="9" t="s">
        <v>45</v>
      </c>
    </row>
    <row r="16" spans="3:5" x14ac:dyDescent="0.25">
      <c r="C16" s="7">
        <v>14</v>
      </c>
      <c r="D16" s="12" t="s">
        <v>46</v>
      </c>
      <c r="E16" s="9" t="s">
        <v>47</v>
      </c>
    </row>
    <row r="17" spans="3:5" x14ac:dyDescent="0.25">
      <c r="C17" s="10">
        <v>15</v>
      </c>
      <c r="D17" s="12" t="s">
        <v>48</v>
      </c>
      <c r="E17" s="9" t="s">
        <v>49</v>
      </c>
    </row>
    <row r="18" spans="3:5" x14ac:dyDescent="0.25">
      <c r="C18" s="7">
        <v>16</v>
      </c>
      <c r="D18" s="12" t="s">
        <v>50</v>
      </c>
      <c r="E18" s="9" t="s">
        <v>51</v>
      </c>
    </row>
    <row r="19" spans="3:5" x14ac:dyDescent="0.25">
      <c r="C19" s="10">
        <v>17</v>
      </c>
      <c r="D19" s="12" t="s">
        <v>52</v>
      </c>
      <c r="E19" s="9" t="s">
        <v>53</v>
      </c>
    </row>
    <row r="20" spans="3:5" x14ac:dyDescent="0.25">
      <c r="C20" s="7">
        <v>18</v>
      </c>
      <c r="D20" s="12" t="s">
        <v>54</v>
      </c>
      <c r="E20" s="9" t="s">
        <v>55</v>
      </c>
    </row>
    <row r="21" spans="3:5" x14ac:dyDescent="0.25">
      <c r="C21" s="10">
        <v>19</v>
      </c>
      <c r="D21" s="12" t="s">
        <v>56</v>
      </c>
      <c r="E21" s="13" t="s">
        <v>57</v>
      </c>
    </row>
    <row r="22" spans="3:5" x14ac:dyDescent="0.25">
      <c r="C22" s="7">
        <v>20</v>
      </c>
      <c r="D22" s="12" t="s">
        <v>58</v>
      </c>
      <c r="E22" s="13" t="s">
        <v>59</v>
      </c>
    </row>
    <row r="23" spans="3:5" x14ac:dyDescent="0.25">
      <c r="C23" s="10">
        <v>21</v>
      </c>
      <c r="D23" s="12" t="s">
        <v>60</v>
      </c>
      <c r="E23" s="13" t="s">
        <v>61</v>
      </c>
    </row>
    <row r="24" spans="3:5" x14ac:dyDescent="0.25">
      <c r="C24" s="7">
        <v>22</v>
      </c>
      <c r="D24" s="12" t="s">
        <v>62</v>
      </c>
      <c r="E24" s="14" t="s">
        <v>63</v>
      </c>
    </row>
    <row r="25" spans="3:5" x14ac:dyDescent="0.25">
      <c r="C25" s="15">
        <v>23</v>
      </c>
      <c r="D25" s="12" t="s">
        <v>64</v>
      </c>
      <c r="E25" s="9" t="s">
        <v>65</v>
      </c>
    </row>
    <row r="26" spans="3:5" x14ac:dyDescent="0.25">
      <c r="C26" s="15">
        <v>24</v>
      </c>
      <c r="D26" s="12" t="s">
        <v>66</v>
      </c>
      <c r="E26" s="13" t="s">
        <v>67</v>
      </c>
    </row>
    <row r="27" spans="3:5" x14ac:dyDescent="0.25">
      <c r="C27" s="15">
        <v>25</v>
      </c>
      <c r="D27" s="12" t="s">
        <v>68</v>
      </c>
      <c r="E27" s="9" t="s">
        <v>69</v>
      </c>
    </row>
    <row r="28" spans="3:5" x14ac:dyDescent="0.25">
      <c r="C28" s="15">
        <v>26</v>
      </c>
      <c r="D28" s="12" t="s">
        <v>70</v>
      </c>
      <c r="E28" s="16" t="s">
        <v>71</v>
      </c>
    </row>
    <row r="29" spans="3:5" x14ac:dyDescent="0.25">
      <c r="C29" s="15">
        <v>27</v>
      </c>
      <c r="D29" s="12" t="s">
        <v>72</v>
      </c>
      <c r="E29" s="16" t="s">
        <v>72</v>
      </c>
    </row>
    <row r="30" spans="3:5" x14ac:dyDescent="0.25">
      <c r="C30" s="17">
        <v>28</v>
      </c>
      <c r="D30" s="12" t="s">
        <v>73</v>
      </c>
      <c r="E30" s="18" t="s">
        <v>74</v>
      </c>
    </row>
    <row r="31" spans="3:5" x14ac:dyDescent="0.25">
      <c r="C31" s="17">
        <v>29</v>
      </c>
      <c r="D31" s="12" t="s">
        <v>75</v>
      </c>
      <c r="E31" s="18" t="s">
        <v>76</v>
      </c>
    </row>
    <row r="32" spans="3:5" x14ac:dyDescent="0.25">
      <c r="D32" s="4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/>
  <dimension ref="A1:H319"/>
  <sheetViews>
    <sheetView topLeftCell="A218" zoomScale="70" zoomScaleNormal="70" workbookViewId="0">
      <selection activeCell="E220" sqref="E220"/>
    </sheetView>
  </sheetViews>
  <sheetFormatPr baseColWidth="10" defaultRowHeight="15" customHeight="1" x14ac:dyDescent="0.25"/>
  <cols>
    <col min="1" max="1" width="39.28515625" bestFit="1" customWidth="1"/>
    <col min="2" max="2" width="84.140625" bestFit="1" customWidth="1"/>
    <col min="3" max="3" width="14.5703125" bestFit="1" customWidth="1"/>
    <col min="4" max="4" width="100.140625" bestFit="1" customWidth="1"/>
    <col min="5" max="5" width="17.42578125" customWidth="1"/>
    <col min="6" max="6" width="38.140625" bestFit="1" customWidth="1"/>
    <col min="7" max="7" width="3.5703125" bestFit="1" customWidth="1"/>
    <col min="8" max="8" width="32.5703125" bestFit="1" customWidth="1"/>
  </cols>
  <sheetData>
    <row r="1" spans="1:8" ht="15.75" thickBot="1" x14ac:dyDescent="0.3">
      <c r="A1" t="s">
        <v>11</v>
      </c>
      <c r="B1" t="s">
        <v>473</v>
      </c>
      <c r="C1" t="s">
        <v>474</v>
      </c>
      <c r="D1" t="s">
        <v>475</v>
      </c>
      <c r="F1" s="28"/>
      <c r="G1" s="39" t="s">
        <v>476</v>
      </c>
      <c r="H1" s="40" t="s">
        <v>477</v>
      </c>
    </row>
    <row r="2" spans="1:8" x14ac:dyDescent="0.25">
      <c r="A2" s="30" t="s">
        <v>381</v>
      </c>
      <c r="B2" s="28" t="str">
        <f>IF(A2=$H$2,"https://centrodecapacitaciondelsur.com/aph-",IF(A2=$H$3,"https://centrodecapacitaciondelsur.com/manejo-del-duelo-",IF(A2=$H$4,"https://centrodecapacitaciondelsur.com/victimas-por-agentes-quimicos-",IF(A2=$H$5,"https://centrodecapacitaciondelsur.com/primeros-auxilios-",IF(A2=$H$6,"https://centrodecapacitaciondelsur.com/uci-",IF(A2=$H$8,"https://centrodecapacitaciondelsur.com/humanizacion-",IF(A2=$H$11,"https://centrodecapacitaciondelsur.com/soporte-cardiovascular-avanzado-",IF(A2=$H$12,"https://centrodecapacitaciondelsur.com/camillero-",IF(A2=$H$13,"https://centrodecapacitaciondelsur.com/toma-de-muestras-y-lab-clinico-",IF(A2=$H$14,"https://centrodecapacitaciondelsur.com/soporte-basico-de-vida-",IF(A2=$H$15,"https://centrodecapacitaciondelsur.com/violencia-sexual-",IF(A2=$H$17,"https://centrodecapacitaciondelsur.com/aiepi-",IF(A2=$H$18,"https://centrodecapacitaciondelsur.com/adm-medicamentos-canalizacion-inyectologia-",IF(A2=$H$25,"https://centrodecapacitaciondelsur.com/manejo-del-dolor-y-cuidados-paliativos-",IF(A2=$H$26,"https://centrodecapacitaciondelsur.com/toma-de-muestras-y-lab-clinico-poct-",IF(A2=$H$27,"https://centrodecapacitaciondelsur.com/implante-subdermico-",IF(A2=$H$21,"https://centrodecapacitaciondelsur.com/donante-de-organos-",IF(A2=$H$30,"https://centrodecapacitaciondelsur.com/atencion-a-victimas-del-conflicto-armado-",IF(A2=$H$20,"https://centrodecapacitaciondelsur.com/iami-",IF(A2=$H$22,"https://centrodecapacitaciondelsur.com/violencia-de-genero-",IF(A2=$H$23,"https://centrodecapacitaciondelsur.com/igualdad-de-genero-")))))))))))))))))))))</f>
        <v>https://centrodecapacitaciondelsur.com/manejo-del-duelo-</v>
      </c>
      <c r="C2" s="29" t="e">
        <f>INSCRITOS!B114+link!B114</f>
        <v>#VALUE!</v>
      </c>
      <c r="D2" t="e">
        <f t="shared" ref="D2:D65" si="0">CONCATENATE(B2,C2,"/")</f>
        <v>#VALUE!</v>
      </c>
      <c r="G2" s="4">
        <v>1</v>
      </c>
      <c r="H2" s="36" t="s">
        <v>21</v>
      </c>
    </row>
    <row r="3" spans="1:8" ht="15" customHeight="1" x14ac:dyDescent="0.25">
      <c r="A3" s="30" t="s">
        <v>33</v>
      </c>
      <c r="B3" s="28" t="str">
        <f t="shared" ref="B3:B66" si="1">IF(A3=$H$2,"https://centrodecapacitaciondelsur.com/aph-",IF(A3=$H$3,"https://centrodecapacitaciondelsur.com/manejo-del-duelo-",IF(A3=$H$4,"https://centrodecapacitaciondelsur.com/victimas-por-agentes-quimicos-",IF(A3=$H$5,"https://centrodecapacitaciondelsur.com/primeros-auxilios-",IF(A3=$H$6,"https://centrodecapacitaciondelsur.com/uci-",IF(A3=$H$8,"https://centrodecapacitaciondelsur.com/humanizacion-",IF(A3=$H$11,"https://centrodecapacitaciondelsur.com/soporte-cardiovascular-avanzado-",IF(A3=$H$12,"https://centrodecapacitaciondelsur.com/camillero-",IF(A3=$H$13,"https://centrodecapacitaciondelsur.com/toma-de-muestras-y-lab-clinico-",IF(A3=$H$14,"https://centrodecapacitaciondelsur.com/soporte-basico-de-vida-",IF(A3=$H$15,"https://centrodecapacitaciondelsur.com/violencia-sexual-",IF(A3=$H$17,"https://centrodecapacitaciondelsur.com/aiepi-",IF(A3=$H$18,"https://centrodecapacitaciondelsur.com/adm-medicamentos-canalizacion-inyectologia-",IF(A3=$H$25,"https://centrodecapacitaciondelsur.com/manejo-del-dolor-y-cuidados-paliativos-",IF(A3=$H$26,"https://centrodecapacitaciondelsur.com/toma-de-muestras-y-lab-clinico-poct-",IF(A3=$H$27,"https://centrodecapacitaciondelsur.com/implante-subdermico-",IF(A3=$H$21,"https://centrodecapacitaciondelsur.com/donante-de-organos-",IF(A3=$H$30,"https://centrodecapacitaciondelsur.com/atencion-a-victimas-del-conflicto-armado-",IF(A3=$H$20,"https://centrodecapacitaciondelsur.com/iami-",IF(A3=$H$22,"https://centrodecapacitaciondelsur.com/violencia-de-genero-",IF(A3=$H$23,"https://centrodecapacitaciondelsur.com/igualdad-de-genero-")))))))))))))))))))))</f>
        <v>https://centrodecapacitaciondelsur.com/humanizacion-</v>
      </c>
      <c r="C3" s="29" t="e">
        <f>INSCRITOS!B115+link!B115</f>
        <v>#VALUE!</v>
      </c>
      <c r="D3" t="e">
        <f t="shared" si="0"/>
        <v>#VALUE!</v>
      </c>
      <c r="G3" s="7">
        <v>2</v>
      </c>
      <c r="H3" s="13" t="s">
        <v>23</v>
      </c>
    </row>
    <row r="4" spans="1:8" ht="15" customHeight="1" x14ac:dyDescent="0.3">
      <c r="A4" s="30" t="s">
        <v>19</v>
      </c>
      <c r="B4" s="28" t="str">
        <f t="shared" si="1"/>
        <v>https://centrodecapacitaciondelsur.com/soporte-basico-de-vida-</v>
      </c>
      <c r="C4" s="29" t="e">
        <f>INSCRITOS!B116+link!B116</f>
        <v>#VALUE!</v>
      </c>
      <c r="D4" t="e">
        <f t="shared" si="0"/>
        <v>#VALUE!</v>
      </c>
      <c r="E4" s="35"/>
      <c r="G4" s="10">
        <v>3</v>
      </c>
      <c r="H4" s="13" t="s">
        <v>25</v>
      </c>
    </row>
    <row r="5" spans="1:8" ht="15" customHeight="1" x14ac:dyDescent="0.25">
      <c r="A5" s="30" t="s">
        <v>381</v>
      </c>
      <c r="B5" s="28" t="str">
        <f t="shared" si="1"/>
        <v>https://centrodecapacitaciondelsur.com/manejo-del-duelo-</v>
      </c>
      <c r="C5" s="29" t="e">
        <f>INSCRITOS!B117+link!B117</f>
        <v>#VALUE!</v>
      </c>
      <c r="D5" t="e">
        <f t="shared" si="0"/>
        <v>#VALUE!</v>
      </c>
      <c r="G5" s="7">
        <v>4</v>
      </c>
      <c r="H5" s="13" t="s">
        <v>27</v>
      </c>
    </row>
    <row r="6" spans="1:8" ht="15" customHeight="1" x14ac:dyDescent="0.25">
      <c r="A6" s="30" t="s">
        <v>33</v>
      </c>
      <c r="B6" s="28" t="str">
        <f t="shared" si="1"/>
        <v>https://centrodecapacitaciondelsur.com/humanizacion-</v>
      </c>
      <c r="C6" s="29" t="e">
        <f>INSCRITOS!B118+link!B118</f>
        <v>#VALUE!</v>
      </c>
      <c r="D6" t="e">
        <f t="shared" si="0"/>
        <v>#VALUE!</v>
      </c>
      <c r="G6" s="10">
        <v>5</v>
      </c>
      <c r="H6" s="13" t="s">
        <v>29</v>
      </c>
    </row>
    <row r="7" spans="1:8" ht="15" customHeight="1" x14ac:dyDescent="0.25">
      <c r="A7" s="30" t="s">
        <v>19</v>
      </c>
      <c r="B7" s="28" t="str">
        <f t="shared" si="1"/>
        <v>https://centrodecapacitaciondelsur.com/soporte-basico-de-vida-</v>
      </c>
      <c r="C7" s="29" t="e">
        <f>INSCRITOS!B119+link!B119</f>
        <v>#VALUE!</v>
      </c>
      <c r="D7" t="e">
        <f t="shared" si="0"/>
        <v>#VALUE!</v>
      </c>
      <c r="G7" s="7">
        <v>6</v>
      </c>
      <c r="H7" s="13" t="s">
        <v>31</v>
      </c>
    </row>
    <row r="8" spans="1:8" ht="15" customHeight="1" x14ac:dyDescent="0.25">
      <c r="A8" s="30" t="s">
        <v>381</v>
      </c>
      <c r="B8" s="28" t="str">
        <f t="shared" si="1"/>
        <v>https://centrodecapacitaciondelsur.com/manejo-del-duelo-</v>
      </c>
      <c r="C8" s="29" t="e">
        <f>INSCRITOS!B120+link!B120</f>
        <v>#VALUE!</v>
      </c>
      <c r="D8" t="e">
        <f t="shared" si="0"/>
        <v>#VALUE!</v>
      </c>
      <c r="G8" s="10">
        <v>7</v>
      </c>
      <c r="H8" s="13" t="s">
        <v>33</v>
      </c>
    </row>
    <row r="9" spans="1:8" ht="15" customHeight="1" x14ac:dyDescent="0.25">
      <c r="A9" s="30" t="s">
        <v>33</v>
      </c>
      <c r="B9" s="28" t="str">
        <f t="shared" si="1"/>
        <v>https://centrodecapacitaciondelsur.com/humanizacion-</v>
      </c>
      <c r="C9" s="29" t="e">
        <f>INSCRITOS!B121+link!B121</f>
        <v>#VALUE!</v>
      </c>
      <c r="D9" t="e">
        <f t="shared" si="0"/>
        <v>#VALUE!</v>
      </c>
      <c r="G9" s="7">
        <v>8</v>
      </c>
      <c r="H9" s="13" t="s">
        <v>35</v>
      </c>
    </row>
    <row r="10" spans="1:8" ht="15" customHeight="1" x14ac:dyDescent="0.25">
      <c r="A10" s="30" t="s">
        <v>19</v>
      </c>
      <c r="B10" s="28" t="str">
        <f t="shared" si="1"/>
        <v>https://centrodecapacitaciondelsur.com/soporte-basico-de-vida-</v>
      </c>
      <c r="C10" s="29" t="e">
        <f>INSCRITOS!B122+link!B122</f>
        <v>#VALUE!</v>
      </c>
      <c r="D10" t="e">
        <f t="shared" si="0"/>
        <v>#VALUE!</v>
      </c>
      <c r="G10" s="10">
        <v>9</v>
      </c>
      <c r="H10" s="14" t="s">
        <v>37</v>
      </c>
    </row>
    <row r="11" spans="1:8" ht="15" customHeight="1" x14ac:dyDescent="0.25">
      <c r="A11" s="30" t="s">
        <v>381</v>
      </c>
      <c r="B11" s="28" t="str">
        <f t="shared" si="1"/>
        <v>https://centrodecapacitaciondelsur.com/manejo-del-duelo-</v>
      </c>
      <c r="C11" s="29" t="e">
        <f>INSCRITOS!B123+link!B123</f>
        <v>#VALUE!</v>
      </c>
      <c r="D11" t="e">
        <f t="shared" si="0"/>
        <v>#VALUE!</v>
      </c>
      <c r="G11" s="7">
        <v>10</v>
      </c>
      <c r="H11" s="9" t="s">
        <v>39</v>
      </c>
    </row>
    <row r="12" spans="1:8" ht="15" customHeight="1" x14ac:dyDescent="0.25">
      <c r="A12" s="30" t="s">
        <v>33</v>
      </c>
      <c r="B12" s="28" t="str">
        <f t="shared" si="1"/>
        <v>https://centrodecapacitaciondelsur.com/humanizacion-</v>
      </c>
      <c r="C12" s="29">
        <f>INSCRITOS!B124+link!B124</f>
        <v>1085262213</v>
      </c>
      <c r="D12" t="str">
        <f t="shared" si="0"/>
        <v>https://centrodecapacitaciondelsur.com/humanizacion-1085262213/</v>
      </c>
      <c r="G12" s="10">
        <v>11</v>
      </c>
      <c r="H12" s="9" t="s">
        <v>41</v>
      </c>
    </row>
    <row r="13" spans="1:8" ht="15" customHeight="1" x14ac:dyDescent="0.25">
      <c r="A13" s="30" t="s">
        <v>19</v>
      </c>
      <c r="B13" s="28" t="str">
        <f t="shared" si="1"/>
        <v>https://centrodecapacitaciondelsur.com/soporte-basico-de-vida-</v>
      </c>
      <c r="C13" s="29" t="e">
        <f>INSCRITOS!B125+link!B125</f>
        <v>#VALUE!</v>
      </c>
      <c r="D13" t="e">
        <f t="shared" si="0"/>
        <v>#VALUE!</v>
      </c>
      <c r="G13" s="7">
        <v>12</v>
      </c>
      <c r="H13" s="9" t="s">
        <v>43</v>
      </c>
    </row>
    <row r="14" spans="1:8" ht="15" customHeight="1" x14ac:dyDescent="0.25">
      <c r="A14" s="30" t="s">
        <v>381</v>
      </c>
      <c r="B14" s="28" t="str">
        <f t="shared" si="1"/>
        <v>https://centrodecapacitaciondelsur.com/manejo-del-duelo-</v>
      </c>
      <c r="C14" s="29" t="e">
        <f>INSCRITOS!B126+link!B126</f>
        <v>#VALUE!</v>
      </c>
      <c r="D14" t="e">
        <f t="shared" si="0"/>
        <v>#VALUE!</v>
      </c>
      <c r="G14" s="10">
        <v>13</v>
      </c>
      <c r="H14" s="9" t="s">
        <v>19</v>
      </c>
    </row>
    <row r="15" spans="1:8" ht="15" customHeight="1" x14ac:dyDescent="0.25">
      <c r="A15" s="30" t="s">
        <v>33</v>
      </c>
      <c r="B15" s="28" t="str">
        <f t="shared" si="1"/>
        <v>https://centrodecapacitaciondelsur.com/humanizacion-</v>
      </c>
      <c r="C15" s="29" t="e">
        <f>INSCRITOS!B127+link!B127</f>
        <v>#VALUE!</v>
      </c>
      <c r="D15" t="e">
        <f t="shared" si="0"/>
        <v>#VALUE!</v>
      </c>
      <c r="G15" s="7">
        <v>14</v>
      </c>
      <c r="H15" s="9" t="s">
        <v>46</v>
      </c>
    </row>
    <row r="16" spans="1:8" ht="15" customHeight="1" x14ac:dyDescent="0.25">
      <c r="A16" s="30" t="s">
        <v>19</v>
      </c>
      <c r="B16" s="28" t="str">
        <f t="shared" si="1"/>
        <v>https://centrodecapacitaciondelsur.com/soporte-basico-de-vida-</v>
      </c>
      <c r="C16" s="29" t="e">
        <f>INSCRITOS!B128+link!B128</f>
        <v>#VALUE!</v>
      </c>
      <c r="D16" t="e">
        <f t="shared" si="0"/>
        <v>#VALUE!</v>
      </c>
      <c r="G16" s="10">
        <v>15</v>
      </c>
      <c r="H16" s="9" t="s">
        <v>48</v>
      </c>
    </row>
    <row r="17" spans="1:8" ht="15" customHeight="1" x14ac:dyDescent="0.25">
      <c r="A17" s="30" t="s">
        <v>381</v>
      </c>
      <c r="B17" s="28" t="str">
        <f t="shared" si="1"/>
        <v>https://centrodecapacitaciondelsur.com/manejo-del-duelo-</v>
      </c>
      <c r="C17" s="29" t="e">
        <f>INSCRITOS!B129+link!B129</f>
        <v>#VALUE!</v>
      </c>
      <c r="D17" t="e">
        <f t="shared" si="0"/>
        <v>#VALUE!</v>
      </c>
      <c r="G17" s="7">
        <v>16</v>
      </c>
      <c r="H17" s="9" t="s">
        <v>50</v>
      </c>
    </row>
    <row r="18" spans="1:8" ht="15" customHeight="1" x14ac:dyDescent="0.25">
      <c r="A18" s="30" t="s">
        <v>33</v>
      </c>
      <c r="B18" s="28" t="str">
        <f t="shared" si="1"/>
        <v>https://centrodecapacitaciondelsur.com/humanizacion-</v>
      </c>
      <c r="C18" s="29" t="e">
        <f>INSCRITOS!B130+link!B130</f>
        <v>#VALUE!</v>
      </c>
      <c r="D18" t="e">
        <f t="shared" si="0"/>
        <v>#VALUE!</v>
      </c>
      <c r="G18" s="10">
        <v>17</v>
      </c>
      <c r="H18" s="9" t="s">
        <v>52</v>
      </c>
    </row>
    <row r="19" spans="1:8" ht="15" customHeight="1" x14ac:dyDescent="0.25">
      <c r="A19" s="30" t="s">
        <v>19</v>
      </c>
      <c r="B19" s="28" t="str">
        <f t="shared" si="1"/>
        <v>https://centrodecapacitaciondelsur.com/soporte-basico-de-vida-</v>
      </c>
      <c r="C19" s="29" t="e">
        <f>INSCRITOS!B131+link!B131</f>
        <v>#VALUE!</v>
      </c>
      <c r="D19" t="e">
        <f t="shared" si="0"/>
        <v>#VALUE!</v>
      </c>
      <c r="G19" s="7">
        <v>18</v>
      </c>
      <c r="H19" s="9" t="s">
        <v>54</v>
      </c>
    </row>
    <row r="20" spans="1:8" ht="15" customHeight="1" x14ac:dyDescent="0.25">
      <c r="A20" s="30" t="s">
        <v>381</v>
      </c>
      <c r="B20" s="28" t="str">
        <f t="shared" si="1"/>
        <v>https://centrodecapacitaciondelsur.com/manejo-del-duelo-</v>
      </c>
      <c r="C20" s="29" t="e">
        <f>INSCRITOS!B132+link!B132</f>
        <v>#VALUE!</v>
      </c>
      <c r="D20" t="e">
        <f t="shared" si="0"/>
        <v>#VALUE!</v>
      </c>
      <c r="G20" s="10">
        <v>19</v>
      </c>
      <c r="H20" s="9" t="s">
        <v>56</v>
      </c>
    </row>
    <row r="21" spans="1:8" ht="15" customHeight="1" x14ac:dyDescent="0.25">
      <c r="A21" s="30" t="s">
        <v>33</v>
      </c>
      <c r="B21" s="28" t="str">
        <f t="shared" si="1"/>
        <v>https://centrodecapacitaciondelsur.com/humanizacion-</v>
      </c>
      <c r="C21" s="29" t="e">
        <f>INSCRITOS!B133+link!B133</f>
        <v>#VALUE!</v>
      </c>
      <c r="D21" t="e">
        <f t="shared" si="0"/>
        <v>#VALUE!</v>
      </c>
      <c r="G21" s="7">
        <v>20</v>
      </c>
      <c r="H21" s="9" t="s">
        <v>249</v>
      </c>
    </row>
    <row r="22" spans="1:8" ht="15" customHeight="1" x14ac:dyDescent="0.25">
      <c r="A22" s="31" t="s">
        <v>39</v>
      </c>
      <c r="B22" s="28" t="str">
        <f t="shared" si="1"/>
        <v>https://centrodecapacitaciondelsur.com/soporte-cardiovascular-avanzado-</v>
      </c>
      <c r="C22" s="29" t="e">
        <f>INSCRITOS!B134+link!B134</f>
        <v>#VALUE!</v>
      </c>
      <c r="D22" t="e">
        <f t="shared" si="0"/>
        <v>#VALUE!</v>
      </c>
      <c r="G22" s="10">
        <v>21</v>
      </c>
      <c r="H22" s="9" t="s">
        <v>60</v>
      </c>
    </row>
    <row r="23" spans="1:8" ht="15" customHeight="1" x14ac:dyDescent="0.25">
      <c r="A23" s="31" t="s">
        <v>411</v>
      </c>
      <c r="B23" s="28" t="str">
        <f t="shared" si="1"/>
        <v>https://centrodecapacitaciondelsur.com/victimas-por-agentes-quimicos-</v>
      </c>
      <c r="C23" s="29" t="e">
        <f>INSCRITOS!B135+link!B135</f>
        <v>#VALUE!</v>
      </c>
      <c r="D23" t="e">
        <f t="shared" si="0"/>
        <v>#VALUE!</v>
      </c>
      <c r="G23" s="7">
        <v>22</v>
      </c>
      <c r="H23" s="9" t="s">
        <v>62</v>
      </c>
    </row>
    <row r="24" spans="1:8" ht="15" customHeight="1" x14ac:dyDescent="0.25">
      <c r="A24" s="30" t="s">
        <v>33</v>
      </c>
      <c r="B24" s="28" t="str">
        <f t="shared" si="1"/>
        <v>https://centrodecapacitaciondelsur.com/humanizacion-</v>
      </c>
      <c r="C24" s="29" t="e">
        <f>INSCRITOS!B136+link!B136</f>
        <v>#VALUE!</v>
      </c>
      <c r="D24" t="e">
        <f t="shared" si="0"/>
        <v>#VALUE!</v>
      </c>
      <c r="G24" s="15">
        <v>23</v>
      </c>
      <c r="H24" s="9" t="s">
        <v>64</v>
      </c>
    </row>
    <row r="25" spans="1:8" ht="15" customHeight="1" x14ac:dyDescent="0.25">
      <c r="A25" s="31" t="s">
        <v>412</v>
      </c>
      <c r="B25" s="28" t="str">
        <f t="shared" si="1"/>
        <v>https://centrodecapacitaciondelsur.com/manejo-del-dolor-y-cuidados-paliativos-</v>
      </c>
      <c r="C25" s="29" t="e">
        <f>INSCRITOS!B137+link!B137</f>
        <v>#VALUE!</v>
      </c>
      <c r="D25" t="e">
        <f t="shared" si="0"/>
        <v>#VALUE!</v>
      </c>
      <c r="G25" s="15">
        <v>24</v>
      </c>
      <c r="H25" s="9" t="s">
        <v>66</v>
      </c>
    </row>
    <row r="26" spans="1:8" ht="15" customHeight="1" x14ac:dyDescent="0.25">
      <c r="A26" s="31" t="s">
        <v>39</v>
      </c>
      <c r="B26" s="28" t="str">
        <f t="shared" si="1"/>
        <v>https://centrodecapacitaciondelsur.com/soporte-cardiovascular-avanzado-</v>
      </c>
      <c r="C26" s="29" t="e">
        <f>INSCRITOS!B138+link!B138</f>
        <v>#VALUE!</v>
      </c>
      <c r="D26" t="e">
        <f t="shared" si="0"/>
        <v>#VALUE!</v>
      </c>
      <c r="G26" s="15">
        <v>25</v>
      </c>
      <c r="H26" s="9" t="s">
        <v>68</v>
      </c>
    </row>
    <row r="27" spans="1:8" ht="15" customHeight="1" x14ac:dyDescent="0.25">
      <c r="A27" s="31" t="s">
        <v>411</v>
      </c>
      <c r="B27" s="28" t="str">
        <f t="shared" si="1"/>
        <v>https://centrodecapacitaciondelsur.com/victimas-por-agentes-quimicos-</v>
      </c>
      <c r="C27" s="29" t="e">
        <f>INSCRITOS!B139+link!B139</f>
        <v>#VALUE!</v>
      </c>
      <c r="D27" t="e">
        <f t="shared" si="0"/>
        <v>#VALUE!</v>
      </c>
      <c r="G27" s="15">
        <v>26</v>
      </c>
      <c r="H27" s="9" t="s">
        <v>70</v>
      </c>
    </row>
    <row r="28" spans="1:8" ht="15" customHeight="1" x14ac:dyDescent="0.25">
      <c r="A28" s="30" t="s">
        <v>33</v>
      </c>
      <c r="B28" s="28" t="str">
        <f t="shared" si="1"/>
        <v>https://centrodecapacitaciondelsur.com/humanizacion-</v>
      </c>
      <c r="C28" s="29" t="e">
        <f>INSCRITOS!B140+link!B140</f>
        <v>#VALUE!</v>
      </c>
      <c r="D28" t="e">
        <f t="shared" si="0"/>
        <v>#VALUE!</v>
      </c>
      <c r="G28" s="15">
        <v>27</v>
      </c>
      <c r="H28" s="9" t="s">
        <v>72</v>
      </c>
    </row>
    <row r="29" spans="1:8" ht="15" customHeight="1" x14ac:dyDescent="0.25">
      <c r="A29" s="31" t="s">
        <v>412</v>
      </c>
      <c r="B29" s="28" t="str">
        <f t="shared" si="1"/>
        <v>https://centrodecapacitaciondelsur.com/manejo-del-dolor-y-cuidados-paliativos-</v>
      </c>
      <c r="C29" s="29" t="e">
        <f>INSCRITOS!B141+link!B141</f>
        <v>#VALUE!</v>
      </c>
      <c r="D29" t="e">
        <f t="shared" si="0"/>
        <v>#VALUE!</v>
      </c>
      <c r="G29" s="15">
        <v>28</v>
      </c>
      <c r="H29" s="9" t="s">
        <v>73</v>
      </c>
    </row>
    <row r="30" spans="1:8" ht="15" customHeight="1" thickBot="1" x14ac:dyDescent="0.3">
      <c r="A30" s="32" t="s">
        <v>39</v>
      </c>
      <c r="B30" s="28" t="str">
        <f t="shared" si="1"/>
        <v>https://centrodecapacitaciondelsur.com/soporte-cardiovascular-avanzado-</v>
      </c>
      <c r="C30" s="29" t="e">
        <f>INSCRITOS!B142+link!B142</f>
        <v>#VALUE!</v>
      </c>
      <c r="D30" t="e">
        <f t="shared" si="0"/>
        <v>#VALUE!</v>
      </c>
      <c r="G30" s="37">
        <v>29</v>
      </c>
      <c r="H30" s="38" t="s">
        <v>75</v>
      </c>
    </row>
    <row r="31" spans="1:8" ht="15" customHeight="1" x14ac:dyDescent="0.25">
      <c r="A31" s="32" t="s">
        <v>66</v>
      </c>
      <c r="B31" s="28" t="str">
        <f t="shared" si="1"/>
        <v>https://centrodecapacitaciondelsur.com/manejo-del-dolor-y-cuidados-paliativos-</v>
      </c>
      <c r="C31" s="29" t="e">
        <f>INSCRITOS!B143+link!B143</f>
        <v>#VALUE!</v>
      </c>
      <c r="D31" t="e">
        <f t="shared" si="0"/>
        <v>#VALUE!</v>
      </c>
    </row>
    <row r="32" spans="1:8" ht="15" customHeight="1" x14ac:dyDescent="0.25">
      <c r="A32" s="32"/>
      <c r="B32" s="28" t="b">
        <f t="shared" si="1"/>
        <v>0</v>
      </c>
      <c r="C32" s="29" t="e">
        <f>INSCRITOS!#REF!+link!B144</f>
        <v>#REF!</v>
      </c>
      <c r="D32" t="e">
        <f t="shared" si="0"/>
        <v>#REF!</v>
      </c>
    </row>
    <row r="33" spans="1:8" ht="15" customHeight="1" x14ac:dyDescent="0.25">
      <c r="A33" s="32" t="s">
        <v>19</v>
      </c>
      <c r="B33" s="28" t="str">
        <f t="shared" si="1"/>
        <v>https://centrodecapacitaciondelsur.com/soporte-basico-de-vida-</v>
      </c>
      <c r="C33" s="29" t="e">
        <f>INSCRITOS!B144+link!B145</f>
        <v>#VALUE!</v>
      </c>
      <c r="D33" t="e">
        <f t="shared" si="0"/>
        <v>#VALUE!</v>
      </c>
    </row>
    <row r="34" spans="1:8" ht="15" customHeight="1" x14ac:dyDescent="0.25">
      <c r="A34" s="20" t="s">
        <v>23</v>
      </c>
      <c r="B34" s="28" t="str">
        <f t="shared" si="1"/>
        <v>https://centrodecapacitaciondelsur.com/manejo-del-duelo-</v>
      </c>
      <c r="C34" s="29" t="e">
        <f>INSCRITOS!B145+link!B146</f>
        <v>#VALUE!</v>
      </c>
      <c r="D34" t="e">
        <f t="shared" si="0"/>
        <v>#VALUE!</v>
      </c>
      <c r="H34" s="28" t="s">
        <v>720</v>
      </c>
    </row>
    <row r="35" spans="1:8" ht="15" customHeight="1" x14ac:dyDescent="0.25">
      <c r="A35" s="20" t="s">
        <v>33</v>
      </c>
      <c r="B35" s="28" t="str">
        <f t="shared" si="1"/>
        <v>https://centrodecapacitaciondelsur.com/humanizacion-</v>
      </c>
      <c r="C35" s="29" t="e">
        <f>INSCRITOS!B146+link!B147</f>
        <v>#VALUE!</v>
      </c>
      <c r="D35" t="e">
        <f t="shared" si="0"/>
        <v>#VALUE!</v>
      </c>
      <c r="H35" s="28" t="s">
        <v>721</v>
      </c>
    </row>
    <row r="36" spans="1:8" ht="15" customHeight="1" x14ac:dyDescent="0.25">
      <c r="A36" s="20" t="s">
        <v>423</v>
      </c>
      <c r="B36" s="28" t="b">
        <f t="shared" si="1"/>
        <v>0</v>
      </c>
      <c r="C36" s="29" t="e">
        <f>INSCRITOS!B147+link!B148</f>
        <v>#VALUE!</v>
      </c>
      <c r="D36" t="e">
        <f t="shared" si="0"/>
        <v>#VALUE!</v>
      </c>
    </row>
    <row r="37" spans="1:8" ht="15" customHeight="1" x14ac:dyDescent="0.25">
      <c r="A37" s="20" t="s">
        <v>27</v>
      </c>
      <c r="B37" s="28" t="str">
        <f t="shared" si="1"/>
        <v>https://centrodecapacitaciondelsur.com/primeros-auxilios-</v>
      </c>
      <c r="C37" s="29" t="e">
        <f>INSCRITOS!B148+link!B149</f>
        <v>#VALUE!</v>
      </c>
      <c r="D37" t="e">
        <f t="shared" si="0"/>
        <v>#VALUE!</v>
      </c>
    </row>
    <row r="38" spans="1:8" ht="15" customHeight="1" x14ac:dyDescent="0.25">
      <c r="A38" s="20" t="s">
        <v>423</v>
      </c>
      <c r="B38" s="28" t="b">
        <f t="shared" si="1"/>
        <v>0</v>
      </c>
      <c r="C38" s="29" t="e">
        <f>INSCRITOS!B149+link!B150</f>
        <v>#VALUE!</v>
      </c>
      <c r="D38" t="e">
        <f t="shared" si="0"/>
        <v>#VALUE!</v>
      </c>
    </row>
    <row r="39" spans="1:8" ht="15" customHeight="1" x14ac:dyDescent="0.25">
      <c r="A39" s="20" t="s">
        <v>27</v>
      </c>
      <c r="B39" s="28" t="str">
        <f t="shared" si="1"/>
        <v>https://centrodecapacitaciondelsur.com/primeros-auxilios-</v>
      </c>
      <c r="C39" s="29" t="e">
        <f>INSCRITOS!B150+link!B151</f>
        <v>#VALUE!</v>
      </c>
      <c r="D39" t="e">
        <f t="shared" si="0"/>
        <v>#VALUE!</v>
      </c>
    </row>
    <row r="40" spans="1:8" ht="15" customHeight="1" x14ac:dyDescent="0.25">
      <c r="A40" s="20" t="s">
        <v>46</v>
      </c>
      <c r="B40" s="28" t="str">
        <f t="shared" si="1"/>
        <v>https://centrodecapacitaciondelsur.com/violencia-sexual-</v>
      </c>
      <c r="C40" s="29" t="e">
        <f>INSCRITOS!B151+link!B152</f>
        <v>#VALUE!</v>
      </c>
      <c r="D40" t="e">
        <f t="shared" si="0"/>
        <v>#VALUE!</v>
      </c>
    </row>
    <row r="41" spans="1:8" ht="15" customHeight="1" x14ac:dyDescent="0.25">
      <c r="A41" s="20" t="s">
        <v>25</v>
      </c>
      <c r="B41" s="28" t="str">
        <f t="shared" si="1"/>
        <v>https://centrodecapacitaciondelsur.com/victimas-por-agentes-quimicos-</v>
      </c>
      <c r="C41" s="29" t="e">
        <f>INSCRITOS!B152+link!B153</f>
        <v>#VALUE!</v>
      </c>
      <c r="D41" t="e">
        <f t="shared" si="0"/>
        <v>#VALUE!</v>
      </c>
    </row>
    <row r="42" spans="1:8" ht="15" customHeight="1" x14ac:dyDescent="0.25">
      <c r="A42" s="20" t="s">
        <v>19</v>
      </c>
      <c r="B42" s="28" t="str">
        <f t="shared" si="1"/>
        <v>https://centrodecapacitaciondelsur.com/soporte-basico-de-vida-</v>
      </c>
      <c r="C42" s="29" t="e">
        <f>INSCRITOS!B153+link!B154</f>
        <v>#VALUE!</v>
      </c>
      <c r="D42" t="e">
        <f t="shared" si="0"/>
        <v>#VALUE!</v>
      </c>
    </row>
    <row r="43" spans="1:8" ht="15" customHeight="1" x14ac:dyDescent="0.25">
      <c r="A43" s="20" t="s">
        <v>46</v>
      </c>
      <c r="B43" s="28" t="str">
        <f t="shared" si="1"/>
        <v>https://centrodecapacitaciondelsur.com/violencia-sexual-</v>
      </c>
      <c r="C43" s="29" t="e">
        <f>INSCRITOS!B154+link!B155</f>
        <v>#VALUE!</v>
      </c>
      <c r="D43" t="e">
        <f t="shared" si="0"/>
        <v>#VALUE!</v>
      </c>
    </row>
    <row r="44" spans="1:8" ht="15" customHeight="1" x14ac:dyDescent="0.25">
      <c r="A44" s="27" t="s">
        <v>25</v>
      </c>
      <c r="B44" s="28" t="str">
        <f t="shared" si="1"/>
        <v>https://centrodecapacitaciondelsur.com/victimas-por-agentes-quimicos-</v>
      </c>
      <c r="C44" s="29" t="e">
        <f>INSCRITOS!B155+link!B156</f>
        <v>#VALUE!</v>
      </c>
      <c r="D44" t="e">
        <f t="shared" si="0"/>
        <v>#VALUE!</v>
      </c>
    </row>
    <row r="45" spans="1:8" ht="15" customHeight="1" x14ac:dyDescent="0.25">
      <c r="A45" s="27" t="s">
        <v>43</v>
      </c>
      <c r="B45" s="28" t="str">
        <f t="shared" si="1"/>
        <v>https://centrodecapacitaciondelsur.com/toma-de-muestras-y-lab-clinico-</v>
      </c>
      <c r="C45" s="29" t="e">
        <f>INSCRITOS!B156+link!B157</f>
        <v>#VALUE!</v>
      </c>
      <c r="D45" t="e">
        <f t="shared" si="0"/>
        <v>#VALUE!</v>
      </c>
    </row>
    <row r="46" spans="1:8" ht="15" customHeight="1" x14ac:dyDescent="0.25">
      <c r="A46" s="20" t="s">
        <v>19</v>
      </c>
      <c r="B46" s="28" t="str">
        <f t="shared" si="1"/>
        <v>https://centrodecapacitaciondelsur.com/soporte-basico-de-vida-</v>
      </c>
      <c r="C46" s="29" t="e">
        <f>INSCRITOS!B157+link!B158</f>
        <v>#VALUE!</v>
      </c>
      <c r="D46" t="e">
        <f t="shared" si="0"/>
        <v>#VALUE!</v>
      </c>
    </row>
    <row r="47" spans="1:8" ht="15" customHeight="1" x14ac:dyDescent="0.25">
      <c r="A47" s="20" t="s">
        <v>46</v>
      </c>
      <c r="B47" s="28" t="str">
        <f t="shared" si="1"/>
        <v>https://centrodecapacitaciondelsur.com/violencia-sexual-</v>
      </c>
      <c r="C47" s="29" t="e">
        <f>INSCRITOS!B158+link!B159</f>
        <v>#VALUE!</v>
      </c>
      <c r="D47" t="e">
        <f t="shared" si="0"/>
        <v>#VALUE!</v>
      </c>
    </row>
    <row r="48" spans="1:8" ht="15" customHeight="1" x14ac:dyDescent="0.25">
      <c r="A48" s="20" t="s">
        <v>25</v>
      </c>
      <c r="B48" s="28" t="str">
        <f t="shared" si="1"/>
        <v>https://centrodecapacitaciondelsur.com/victimas-por-agentes-quimicos-</v>
      </c>
      <c r="C48" s="29" t="e">
        <f>INSCRITOS!B159+link!B160</f>
        <v>#VALUE!</v>
      </c>
      <c r="D48" t="e">
        <f t="shared" si="0"/>
        <v>#VALUE!</v>
      </c>
    </row>
    <row r="49" spans="1:4" ht="15" customHeight="1" x14ac:dyDescent="0.25">
      <c r="A49" s="20" t="s">
        <v>23</v>
      </c>
      <c r="B49" s="28" t="str">
        <f t="shared" si="1"/>
        <v>https://centrodecapacitaciondelsur.com/manejo-del-duelo-</v>
      </c>
      <c r="C49" s="29" t="e">
        <f>INSCRITOS!B160+link!B161</f>
        <v>#VALUE!</v>
      </c>
      <c r="D49" t="e">
        <f t="shared" si="0"/>
        <v>#VALUE!</v>
      </c>
    </row>
    <row r="50" spans="1:4" ht="15" customHeight="1" x14ac:dyDescent="0.25">
      <c r="A50" s="20" t="s">
        <v>33</v>
      </c>
      <c r="B50" s="28" t="str">
        <f t="shared" si="1"/>
        <v>https://centrodecapacitaciondelsur.com/humanizacion-</v>
      </c>
      <c r="C50" s="29" t="e">
        <f>INSCRITOS!B161+link!B162</f>
        <v>#VALUE!</v>
      </c>
      <c r="D50" t="e">
        <f t="shared" si="0"/>
        <v>#VALUE!</v>
      </c>
    </row>
    <row r="51" spans="1:4" ht="15" customHeight="1" x14ac:dyDescent="0.25">
      <c r="A51" s="20" t="s">
        <v>23</v>
      </c>
      <c r="B51" s="28" t="str">
        <f t="shared" si="1"/>
        <v>https://centrodecapacitaciondelsur.com/manejo-del-duelo-</v>
      </c>
      <c r="C51" s="29" t="e">
        <f>INSCRITOS!B162+link!B163</f>
        <v>#VALUE!</v>
      </c>
      <c r="D51" t="e">
        <f t="shared" si="0"/>
        <v>#VALUE!</v>
      </c>
    </row>
    <row r="52" spans="1:4" ht="15" customHeight="1" x14ac:dyDescent="0.25">
      <c r="A52" s="20" t="s">
        <v>66</v>
      </c>
      <c r="B52" s="28" t="str">
        <f t="shared" si="1"/>
        <v>https://centrodecapacitaciondelsur.com/manejo-del-dolor-y-cuidados-paliativos-</v>
      </c>
      <c r="C52" s="29" t="e">
        <f>INSCRITOS!B163+link!B164</f>
        <v>#VALUE!</v>
      </c>
      <c r="D52" t="e">
        <f t="shared" si="0"/>
        <v>#VALUE!</v>
      </c>
    </row>
    <row r="53" spans="1:4" ht="15" customHeight="1" x14ac:dyDescent="0.25">
      <c r="A53" s="20" t="s">
        <v>19</v>
      </c>
      <c r="B53" s="28" t="str">
        <f t="shared" si="1"/>
        <v>https://centrodecapacitaciondelsur.com/soporte-basico-de-vida-</v>
      </c>
      <c r="C53" s="29" t="e">
        <f>INSCRITOS!B164+link!B165</f>
        <v>#VALUE!</v>
      </c>
      <c r="D53" t="e">
        <f t="shared" si="0"/>
        <v>#VALUE!</v>
      </c>
    </row>
    <row r="54" spans="1:4" ht="15" customHeight="1" x14ac:dyDescent="0.25">
      <c r="A54" s="20" t="s">
        <v>19</v>
      </c>
      <c r="B54" s="28" t="str">
        <f t="shared" si="1"/>
        <v>https://centrodecapacitaciondelsur.com/soporte-basico-de-vida-</v>
      </c>
      <c r="C54" s="29" t="e">
        <f>INSCRITOS!B165+link!B166</f>
        <v>#VALUE!</v>
      </c>
      <c r="D54" t="e">
        <f t="shared" si="0"/>
        <v>#VALUE!</v>
      </c>
    </row>
    <row r="55" spans="1:4" ht="15" customHeight="1" x14ac:dyDescent="0.25">
      <c r="A55" s="20" t="s">
        <v>52</v>
      </c>
      <c r="B55" s="28" t="str">
        <f t="shared" si="1"/>
        <v>https://centrodecapacitaciondelsur.com/adm-medicamentos-canalizacion-inyectologia-</v>
      </c>
      <c r="C55" s="29" t="e">
        <f>INSCRITOS!B166+link!B167</f>
        <v>#VALUE!</v>
      </c>
      <c r="D55" t="e">
        <f t="shared" si="0"/>
        <v>#VALUE!</v>
      </c>
    </row>
    <row r="56" spans="1:4" ht="15" customHeight="1" x14ac:dyDescent="0.25">
      <c r="A56" s="20" t="s">
        <v>46</v>
      </c>
      <c r="B56" s="28" t="str">
        <f t="shared" si="1"/>
        <v>https://centrodecapacitaciondelsur.com/violencia-sexual-</v>
      </c>
      <c r="C56" s="29" t="e">
        <f>INSCRITOS!B167+link!B168</f>
        <v>#VALUE!</v>
      </c>
      <c r="D56" t="e">
        <f t="shared" si="0"/>
        <v>#VALUE!</v>
      </c>
    </row>
    <row r="57" spans="1:4" ht="15" customHeight="1" x14ac:dyDescent="0.25">
      <c r="A57" s="20" t="s">
        <v>25</v>
      </c>
      <c r="B57" s="28" t="str">
        <f t="shared" si="1"/>
        <v>https://centrodecapacitaciondelsur.com/victimas-por-agentes-quimicos-</v>
      </c>
      <c r="C57" s="29" t="e">
        <f>INSCRITOS!B168+link!B169</f>
        <v>#VALUE!</v>
      </c>
      <c r="D57" t="e">
        <f t="shared" si="0"/>
        <v>#VALUE!</v>
      </c>
    </row>
    <row r="58" spans="1:4" ht="15" customHeight="1" x14ac:dyDescent="0.25">
      <c r="A58" s="20" t="s">
        <v>19</v>
      </c>
      <c r="B58" s="28" t="str">
        <f t="shared" si="1"/>
        <v>https://centrodecapacitaciondelsur.com/soporte-basico-de-vida-</v>
      </c>
      <c r="C58" s="29" t="e">
        <f>INSCRITOS!B169+link!B170</f>
        <v>#VALUE!</v>
      </c>
      <c r="D58" t="e">
        <f t="shared" si="0"/>
        <v>#VALUE!</v>
      </c>
    </row>
    <row r="59" spans="1:4" ht="63.75" customHeight="1" x14ac:dyDescent="0.25">
      <c r="A59" s="20" t="s">
        <v>654</v>
      </c>
      <c r="B59" s="28" t="b">
        <f t="shared" si="1"/>
        <v>0</v>
      </c>
      <c r="C59" s="29" t="e">
        <f>INSCRITOS!B170+link!B171</f>
        <v>#VALUE!</v>
      </c>
      <c r="D59" t="e">
        <f t="shared" si="0"/>
        <v>#VALUE!</v>
      </c>
    </row>
    <row r="60" spans="1:4" ht="63.75" customHeight="1" x14ac:dyDescent="0.25">
      <c r="A60" s="20" t="s">
        <v>46</v>
      </c>
      <c r="B60" s="28" t="str">
        <f t="shared" si="1"/>
        <v>https://centrodecapacitaciondelsur.com/violencia-sexual-</v>
      </c>
      <c r="C60" s="29" t="e">
        <f>INSCRITOS!B171+link!B172</f>
        <v>#VALUE!</v>
      </c>
      <c r="D60" t="e">
        <f t="shared" si="0"/>
        <v>#VALUE!</v>
      </c>
    </row>
    <row r="61" spans="1:4" ht="63.75" customHeight="1" x14ac:dyDescent="0.25">
      <c r="A61" s="20" t="s">
        <v>25</v>
      </c>
      <c r="B61" s="28" t="str">
        <f t="shared" si="1"/>
        <v>https://centrodecapacitaciondelsur.com/victimas-por-agentes-quimicos-</v>
      </c>
      <c r="C61" s="29" t="e">
        <f>INSCRITOS!B172+link!B173</f>
        <v>#VALUE!</v>
      </c>
      <c r="D61" t="e">
        <f t="shared" si="0"/>
        <v>#VALUE!</v>
      </c>
    </row>
    <row r="62" spans="1:4" ht="63.75" customHeight="1" x14ac:dyDescent="0.25">
      <c r="A62" s="20" t="s">
        <v>23</v>
      </c>
      <c r="B62" s="28" t="str">
        <f t="shared" si="1"/>
        <v>https://centrodecapacitaciondelsur.com/manejo-del-duelo-</v>
      </c>
      <c r="C62" s="29" t="e">
        <f>INSCRITOS!B173+link!B174</f>
        <v>#VALUE!</v>
      </c>
      <c r="D62" t="e">
        <f t="shared" si="0"/>
        <v>#VALUE!</v>
      </c>
    </row>
    <row r="63" spans="1:4" ht="63.75" customHeight="1" x14ac:dyDescent="0.25">
      <c r="A63" s="20" t="s">
        <v>46</v>
      </c>
      <c r="B63" s="28" t="str">
        <f t="shared" si="1"/>
        <v>https://centrodecapacitaciondelsur.com/violencia-sexual-</v>
      </c>
      <c r="C63" s="29" t="e">
        <f>INSCRITOS!B174+link!B175</f>
        <v>#VALUE!</v>
      </c>
      <c r="D63" t="e">
        <f t="shared" si="0"/>
        <v>#VALUE!</v>
      </c>
    </row>
    <row r="64" spans="1:4" ht="63.75" customHeight="1" x14ac:dyDescent="0.25">
      <c r="A64" s="20" t="s">
        <v>19</v>
      </c>
      <c r="B64" s="28" t="str">
        <f t="shared" si="1"/>
        <v>https://centrodecapacitaciondelsur.com/soporte-basico-de-vida-</v>
      </c>
      <c r="C64" s="29" t="e">
        <f>INSCRITOS!B175+link!B176</f>
        <v>#VALUE!</v>
      </c>
      <c r="D64" t="e">
        <f t="shared" si="0"/>
        <v>#VALUE!</v>
      </c>
    </row>
    <row r="65" spans="1:4" ht="63.75" customHeight="1" x14ac:dyDescent="0.25">
      <c r="A65" s="20" t="s">
        <v>52</v>
      </c>
      <c r="B65" s="28" t="str">
        <f t="shared" si="1"/>
        <v>https://centrodecapacitaciondelsur.com/adm-medicamentos-canalizacion-inyectologia-</v>
      </c>
      <c r="C65" s="29" t="e">
        <f>INSCRITOS!B176+link!B177</f>
        <v>#VALUE!</v>
      </c>
      <c r="D65" t="e">
        <f t="shared" si="0"/>
        <v>#VALUE!</v>
      </c>
    </row>
    <row r="66" spans="1:4" ht="63.75" customHeight="1" x14ac:dyDescent="0.25">
      <c r="A66" s="20" t="s">
        <v>52</v>
      </c>
      <c r="B66" s="28" t="str">
        <f t="shared" si="1"/>
        <v>https://centrodecapacitaciondelsur.com/adm-medicamentos-canalizacion-inyectologia-</v>
      </c>
      <c r="C66" s="29" t="e">
        <f>INSCRITOS!B177+link!B178</f>
        <v>#VALUE!</v>
      </c>
      <c r="D66" t="e">
        <f t="shared" ref="D66" si="2">CONCATENATE(B66,C66,"/")</f>
        <v>#VALUE!</v>
      </c>
    </row>
    <row r="67" spans="1:4" ht="63.75" customHeight="1" x14ac:dyDescent="0.25">
      <c r="A67" s="22" t="s">
        <v>19</v>
      </c>
      <c r="B67" s="28" t="str">
        <f t="shared" ref="B67:B130" si="3">IF(A67=$H$2,"https://centrodecapacitaciondelsur.com/aph-",IF(A67=$H$3,"https://centrodecapacitaciondelsur.com/manejo-del-duelo-",IF(A67=$H$4,"https://centrodecapacitaciondelsur.com/victimas-por-agentes-quimicos-",IF(A67=$H$5,"https://centrodecapacitaciondelsur.com/primeros-auxilios-",IF(A67=$H$6,"https://centrodecapacitaciondelsur.com/uci-",IF(A67=$H$8,"https://centrodecapacitaciondelsur.com/humanizacion-",IF(A67=$H$11,"https://centrodecapacitaciondelsur.com/soporte-cardiovascular-avanzado-",IF(A67=$H$12,"https://centrodecapacitaciondelsur.com/camillero-",IF(A67=$H$13,"https://centrodecapacitaciondelsur.com/toma-de-muestras-y-lab-clinico-",IF(A67=$H$14,"https://centrodecapacitaciondelsur.com/soporte-basico-de-vida-",IF(A67=$H$15,"https://centrodecapacitaciondelsur.com/violencia-sexual-",IF(A67=$H$17,"https://centrodecapacitaciondelsur.com/aiepi-",IF(A67=$H$18,"https://centrodecapacitaciondelsur.com/adm-medicamentos-canalizacion-inyectologia-",IF(A67=$H$25,"https://centrodecapacitaciondelsur.com/manejo-del-dolor-y-cuidados-paliativos-",IF(A67=$H$26,"https://centrodecapacitaciondelsur.com/toma-de-muestras-y-lab-clinico-poct-",IF(A67=$H$27,"https://centrodecapacitaciondelsur.com/implante-subdermico-",IF(A67=$H$21,"https://centrodecapacitaciondelsur.com/donante-de-organos-",IF(A67=$H$30,"https://centrodecapacitaciondelsur.com/atencion-a-victimas-del-conflicto-armado-",IF(A67=$H$20,"https://centrodecapacitaciondelsur.com/iami-",IF(A67=$H$22,"https://centrodecapacitaciondelsur.com/violencia-de-genero-",IF(A67=$H$23,"https://centrodecapacitaciondelsur.com/igualdad-de-genero-")))))))))))))))))))))</f>
        <v>https://centrodecapacitaciondelsur.com/soporte-basico-de-vida-</v>
      </c>
      <c r="C67" s="29" t="e">
        <f>INSCRITOS!B178+link!B179</f>
        <v>#VALUE!</v>
      </c>
      <c r="D67" t="e">
        <f t="shared" ref="D67:D74" si="4">CONCATENATE(B67,C67,"/")</f>
        <v>#VALUE!</v>
      </c>
    </row>
    <row r="68" spans="1:4" ht="63.75" customHeight="1" x14ac:dyDescent="0.25">
      <c r="A68" s="22" t="s">
        <v>33</v>
      </c>
      <c r="B68" s="28" t="str">
        <f t="shared" si="3"/>
        <v>https://centrodecapacitaciondelsur.com/humanizacion-</v>
      </c>
      <c r="C68" s="29" t="e">
        <f>INSCRITOS!B179+link!B180</f>
        <v>#VALUE!</v>
      </c>
      <c r="D68" t="e">
        <f t="shared" si="4"/>
        <v>#VALUE!</v>
      </c>
    </row>
    <row r="69" spans="1:4" ht="63.75" customHeight="1" x14ac:dyDescent="0.25">
      <c r="A69" s="22" t="s">
        <v>46</v>
      </c>
      <c r="B69" s="28" t="str">
        <f t="shared" si="3"/>
        <v>https://centrodecapacitaciondelsur.com/violencia-sexual-</v>
      </c>
      <c r="C69" s="29" t="e">
        <f>INSCRITOS!B180+link!B181</f>
        <v>#VALUE!</v>
      </c>
      <c r="D69" t="e">
        <f t="shared" si="4"/>
        <v>#VALUE!</v>
      </c>
    </row>
    <row r="70" spans="1:4" ht="63.75" customHeight="1" x14ac:dyDescent="0.25">
      <c r="A70" s="22" t="s">
        <v>19</v>
      </c>
      <c r="B70" s="28" t="str">
        <f t="shared" si="3"/>
        <v>https://centrodecapacitaciondelsur.com/soporte-basico-de-vida-</v>
      </c>
      <c r="C70" s="29" t="e">
        <f>INSCRITOS!B181+link!B182</f>
        <v>#VALUE!</v>
      </c>
      <c r="D70" t="e">
        <f t="shared" si="4"/>
        <v>#VALUE!</v>
      </c>
    </row>
    <row r="71" spans="1:4" ht="63.75" customHeight="1" x14ac:dyDescent="0.25">
      <c r="A71" s="22" t="s">
        <v>33</v>
      </c>
      <c r="B71" s="28" t="str">
        <f t="shared" si="3"/>
        <v>https://centrodecapacitaciondelsur.com/humanizacion-</v>
      </c>
      <c r="C71" s="29" t="e">
        <f>INSCRITOS!B182+link!B183</f>
        <v>#VALUE!</v>
      </c>
      <c r="D71" t="e">
        <f t="shared" si="4"/>
        <v>#VALUE!</v>
      </c>
    </row>
    <row r="72" spans="1:4" ht="63.75" customHeight="1" x14ac:dyDescent="0.25">
      <c r="A72" s="22" t="s">
        <v>46</v>
      </c>
      <c r="B72" s="28" t="str">
        <f t="shared" si="3"/>
        <v>https://centrodecapacitaciondelsur.com/violencia-sexual-</v>
      </c>
      <c r="C72" s="29" t="e">
        <f>INSCRITOS!B183+link!B184</f>
        <v>#VALUE!</v>
      </c>
      <c r="D72" t="e">
        <f t="shared" si="4"/>
        <v>#VALUE!</v>
      </c>
    </row>
    <row r="73" spans="1:4" ht="63.75" customHeight="1" x14ac:dyDescent="0.25">
      <c r="A73" s="22" t="s">
        <v>25</v>
      </c>
      <c r="B73" s="28" t="str">
        <f t="shared" si="3"/>
        <v>https://centrodecapacitaciondelsur.com/victimas-por-agentes-quimicos-</v>
      </c>
      <c r="C73" s="29" t="e">
        <f>INSCRITOS!B184+link!B185</f>
        <v>#VALUE!</v>
      </c>
      <c r="D73" t="e">
        <f t="shared" si="4"/>
        <v>#VALUE!</v>
      </c>
    </row>
    <row r="74" spans="1:4" ht="63.75" customHeight="1" x14ac:dyDescent="0.25">
      <c r="A74" s="22" t="s">
        <v>23</v>
      </c>
      <c r="B74" s="28" t="str">
        <f t="shared" si="3"/>
        <v>https://centrodecapacitaciondelsur.com/manejo-del-duelo-</v>
      </c>
      <c r="C74" s="29" t="e">
        <f>INSCRITOS!B185+link!#REF!</f>
        <v>#REF!</v>
      </c>
      <c r="D74" t="e">
        <f t="shared" si="4"/>
        <v>#REF!</v>
      </c>
    </row>
    <row r="75" spans="1:4" ht="63.75" customHeight="1" x14ac:dyDescent="0.25">
      <c r="A75" s="22" t="s">
        <v>25</v>
      </c>
      <c r="B75" s="28" t="str">
        <f t="shared" si="3"/>
        <v>https://centrodecapacitaciondelsur.com/victimas-por-agentes-quimicos-</v>
      </c>
      <c r="C75" s="29" t="e">
        <f>INSCRITOS!B186+link!#REF!</f>
        <v>#REF!</v>
      </c>
      <c r="D75" t="e">
        <f t="shared" ref="D75:D77" si="5">CONCATENATE(B75,C75,"/")</f>
        <v>#REF!</v>
      </c>
    </row>
    <row r="76" spans="1:4" ht="63.75" customHeight="1" x14ac:dyDescent="0.25">
      <c r="A76" s="22" t="s">
        <v>46</v>
      </c>
      <c r="B76" s="28" t="str">
        <f t="shared" si="3"/>
        <v>https://centrodecapacitaciondelsur.com/violencia-sexual-</v>
      </c>
      <c r="C76" s="29" t="e">
        <f>INSCRITOS!B187+link!#REF!</f>
        <v>#REF!</v>
      </c>
      <c r="D76" t="e">
        <f t="shared" si="5"/>
        <v>#REF!</v>
      </c>
    </row>
    <row r="77" spans="1:4" ht="63.75" customHeight="1" x14ac:dyDescent="0.25">
      <c r="A77" s="22" t="s">
        <v>23</v>
      </c>
      <c r="B77" s="28" t="str">
        <f t="shared" si="3"/>
        <v>https://centrodecapacitaciondelsur.com/manejo-del-duelo-</v>
      </c>
      <c r="C77" s="29" t="e">
        <f>INSCRITOS!B188+link!B186</f>
        <v>#VALUE!</v>
      </c>
      <c r="D77" t="e">
        <f t="shared" si="5"/>
        <v>#VALUE!</v>
      </c>
    </row>
    <row r="78" spans="1:4" ht="63.75" customHeight="1" x14ac:dyDescent="0.25">
      <c r="A78" s="22" t="s">
        <v>33</v>
      </c>
      <c r="B78" s="28" t="str">
        <f t="shared" si="3"/>
        <v>https://centrodecapacitaciondelsur.com/humanizacion-</v>
      </c>
      <c r="C78" s="29" t="e">
        <f>INSCRITOS!B189+link!B187</f>
        <v>#VALUE!</v>
      </c>
      <c r="D78" t="e">
        <f t="shared" ref="D78:D84" si="6">CONCATENATE(B78,C78,"/")</f>
        <v>#VALUE!</v>
      </c>
    </row>
    <row r="79" spans="1:4" ht="63.75" customHeight="1" x14ac:dyDescent="0.25">
      <c r="A79" s="22" t="s">
        <v>381</v>
      </c>
      <c r="B79" s="28" t="str">
        <f t="shared" si="3"/>
        <v>https://centrodecapacitaciondelsur.com/manejo-del-duelo-</v>
      </c>
      <c r="C79" s="29" t="e">
        <f>INSCRITOS!B190+link!B188</f>
        <v>#VALUE!</v>
      </c>
      <c r="D79" t="e">
        <f t="shared" si="6"/>
        <v>#VALUE!</v>
      </c>
    </row>
    <row r="80" spans="1:4" ht="63.75" customHeight="1" x14ac:dyDescent="0.25">
      <c r="A80" s="22" t="s">
        <v>33</v>
      </c>
      <c r="B80" s="28" t="str">
        <f t="shared" si="3"/>
        <v>https://centrodecapacitaciondelsur.com/humanizacion-</v>
      </c>
      <c r="C80" s="29" t="e">
        <f>INSCRITOS!B191+link!B189</f>
        <v>#VALUE!</v>
      </c>
      <c r="D80" t="e">
        <f t="shared" si="6"/>
        <v>#VALUE!</v>
      </c>
    </row>
    <row r="81" spans="1:4" ht="63.75" customHeight="1" x14ac:dyDescent="0.25">
      <c r="A81" s="22" t="s">
        <v>46</v>
      </c>
      <c r="B81" s="28" t="str">
        <f t="shared" si="3"/>
        <v>https://centrodecapacitaciondelsur.com/violencia-sexual-</v>
      </c>
      <c r="C81" s="29" t="e">
        <f>INSCRITOS!B192+link!B190</f>
        <v>#VALUE!</v>
      </c>
      <c r="D81" t="e">
        <f t="shared" si="6"/>
        <v>#VALUE!</v>
      </c>
    </row>
    <row r="82" spans="1:4" ht="63.75" customHeight="1" x14ac:dyDescent="0.25">
      <c r="A82" s="22" t="s">
        <v>25</v>
      </c>
      <c r="B82" s="28" t="str">
        <f t="shared" si="3"/>
        <v>https://centrodecapacitaciondelsur.com/victimas-por-agentes-quimicos-</v>
      </c>
      <c r="C82" s="29" t="e">
        <f>INSCRITOS!B193+link!B191</f>
        <v>#VALUE!</v>
      </c>
      <c r="D82" t="e">
        <f t="shared" si="6"/>
        <v>#VALUE!</v>
      </c>
    </row>
    <row r="83" spans="1:4" ht="63.75" customHeight="1" x14ac:dyDescent="0.25">
      <c r="A83" s="22" t="s">
        <v>381</v>
      </c>
      <c r="B83" s="28" t="str">
        <f t="shared" si="3"/>
        <v>https://centrodecapacitaciondelsur.com/manejo-del-duelo-</v>
      </c>
      <c r="C83" s="29" t="e">
        <f>INSCRITOS!B194+link!B192</f>
        <v>#VALUE!</v>
      </c>
      <c r="D83" t="e">
        <f t="shared" si="6"/>
        <v>#VALUE!</v>
      </c>
    </row>
    <row r="84" spans="1:4" ht="63.75" customHeight="1" x14ac:dyDescent="0.25">
      <c r="A84" s="22" t="s">
        <v>46</v>
      </c>
      <c r="B84" s="28" t="str">
        <f t="shared" si="3"/>
        <v>https://centrodecapacitaciondelsur.com/violencia-sexual-</v>
      </c>
      <c r="C84" s="29" t="e">
        <f>INSCRITOS!B195+link!B193</f>
        <v>#VALUE!</v>
      </c>
      <c r="D84" t="e">
        <f t="shared" si="6"/>
        <v>#VALUE!</v>
      </c>
    </row>
    <row r="85" spans="1:4" ht="63.75" customHeight="1" x14ac:dyDescent="0.25">
      <c r="A85" s="22" t="s">
        <v>19</v>
      </c>
      <c r="B85" s="28" t="str">
        <f t="shared" si="3"/>
        <v>https://centrodecapacitaciondelsur.com/soporte-basico-de-vida-</v>
      </c>
      <c r="C85" s="29" t="e">
        <f>INSCRITOS!B196+link!B194</f>
        <v>#VALUE!</v>
      </c>
      <c r="D85" t="e">
        <f t="shared" ref="D85" si="7">CONCATENATE(B85,C85,"/")</f>
        <v>#VALUE!</v>
      </c>
    </row>
    <row r="86" spans="1:4" ht="63.75" customHeight="1" x14ac:dyDescent="0.25">
      <c r="A86" s="22" t="s">
        <v>510</v>
      </c>
      <c r="B86" s="28" t="str">
        <f t="shared" si="3"/>
        <v>https://centrodecapacitaciondelsur.com/soporte-cardiovascular-avanzado-</v>
      </c>
      <c r="C86" s="29" t="e">
        <f>INSCRITOS!B197+link!B195</f>
        <v>#VALUE!</v>
      </c>
      <c r="D86" t="e">
        <f t="shared" ref="D86:D89" si="8">CONCATENATE(B86,C86,"/")</f>
        <v>#VALUE!</v>
      </c>
    </row>
    <row r="87" spans="1:4" ht="63.75" customHeight="1" x14ac:dyDescent="0.25">
      <c r="A87" s="41" t="s">
        <v>19</v>
      </c>
      <c r="B87" s="28" t="str">
        <f t="shared" si="3"/>
        <v>https://centrodecapacitaciondelsur.com/soporte-basico-de-vida-</v>
      </c>
      <c r="C87" s="29" t="e">
        <f>INSCRITOS!B198+link!B196</f>
        <v>#VALUE!</v>
      </c>
      <c r="D87" t="e">
        <f t="shared" si="8"/>
        <v>#VALUE!</v>
      </c>
    </row>
    <row r="88" spans="1:4" ht="63.75" customHeight="1" x14ac:dyDescent="0.25">
      <c r="A88" s="22" t="s">
        <v>25</v>
      </c>
      <c r="B88" s="28" t="str">
        <f t="shared" si="3"/>
        <v>https://centrodecapacitaciondelsur.com/victimas-por-agentes-quimicos-</v>
      </c>
      <c r="C88" s="45" t="e">
        <f>INSCRITOS!B199+link!B197</f>
        <v>#VALUE!</v>
      </c>
      <c r="D88" t="e">
        <f t="shared" si="8"/>
        <v>#VALUE!</v>
      </c>
    </row>
    <row r="89" spans="1:4" ht="63.75" customHeight="1" x14ac:dyDescent="0.25">
      <c r="A89" s="20" t="s">
        <v>33</v>
      </c>
      <c r="B89" s="28" t="str">
        <f t="shared" si="3"/>
        <v>https://centrodecapacitaciondelsur.com/humanizacion-</v>
      </c>
      <c r="C89" s="29" t="e">
        <f>INSCRITOS!B200+link!B198</f>
        <v>#VALUE!</v>
      </c>
      <c r="D89" s="18" t="e">
        <f t="shared" si="8"/>
        <v>#VALUE!</v>
      </c>
    </row>
    <row r="90" spans="1:4" ht="63.75" customHeight="1" x14ac:dyDescent="0.25">
      <c r="A90" s="41" t="s">
        <v>46</v>
      </c>
      <c r="B90" s="28" t="str">
        <f t="shared" si="3"/>
        <v>https://centrodecapacitaciondelsur.com/violencia-sexual-</v>
      </c>
      <c r="C90" s="29" t="e">
        <f>INSCRITOS!B201+link!B199</f>
        <v>#VALUE!</v>
      </c>
      <c r="D90" s="18" t="e">
        <f t="shared" ref="D90:D101" si="9">CONCATENATE(B90,C90,"/")</f>
        <v>#VALUE!</v>
      </c>
    </row>
    <row r="91" spans="1:4" ht="63.75" customHeight="1" x14ac:dyDescent="0.25">
      <c r="A91" s="22" t="s">
        <v>33</v>
      </c>
      <c r="B91" s="28" t="str">
        <f t="shared" si="3"/>
        <v>https://centrodecapacitaciondelsur.com/humanizacion-</v>
      </c>
      <c r="C91" s="29" t="e">
        <f>INSCRITOS!B202+link!B200</f>
        <v>#VALUE!</v>
      </c>
      <c r="D91" s="18" t="e">
        <f t="shared" si="9"/>
        <v>#VALUE!</v>
      </c>
    </row>
    <row r="92" spans="1:4" ht="63.75" customHeight="1" x14ac:dyDescent="0.25">
      <c r="A92" s="22" t="s">
        <v>25</v>
      </c>
      <c r="B92" s="28" t="str">
        <f t="shared" si="3"/>
        <v>https://centrodecapacitaciondelsur.com/victimas-por-agentes-quimicos-</v>
      </c>
      <c r="C92" s="29" t="e">
        <f>INSCRITOS!B203+link!B201</f>
        <v>#VALUE!</v>
      </c>
      <c r="D92" s="18" t="e">
        <f t="shared" si="9"/>
        <v>#VALUE!</v>
      </c>
    </row>
    <row r="93" spans="1:4" ht="63.75" customHeight="1" x14ac:dyDescent="0.25">
      <c r="A93" s="22" t="s">
        <v>46</v>
      </c>
      <c r="B93" s="28" t="str">
        <f t="shared" si="3"/>
        <v>https://centrodecapacitaciondelsur.com/violencia-sexual-</v>
      </c>
      <c r="C93" s="29" t="e">
        <f>INSCRITOS!B204+link!B202</f>
        <v>#VALUE!</v>
      </c>
      <c r="D93" s="18" t="e">
        <f t="shared" si="9"/>
        <v>#VALUE!</v>
      </c>
    </row>
    <row r="94" spans="1:4" ht="63.75" customHeight="1" x14ac:dyDescent="0.25">
      <c r="A94" s="22" t="s">
        <v>19</v>
      </c>
      <c r="B94" s="28" t="str">
        <f t="shared" si="3"/>
        <v>https://centrodecapacitaciondelsur.com/soporte-basico-de-vida-</v>
      </c>
      <c r="C94" s="29" t="e">
        <f>INSCRITOS!B205+link!B203</f>
        <v>#VALUE!</v>
      </c>
      <c r="D94" s="18" t="e">
        <f t="shared" si="9"/>
        <v>#VALUE!</v>
      </c>
    </row>
    <row r="95" spans="1:4" ht="63.75" customHeight="1" x14ac:dyDescent="0.25">
      <c r="A95" s="22" t="s">
        <v>46</v>
      </c>
      <c r="B95" s="28" t="str">
        <f t="shared" si="3"/>
        <v>https://centrodecapacitaciondelsur.com/violencia-sexual-</v>
      </c>
      <c r="C95" s="29" t="e">
        <f>INSCRITOS!B206+link!B204</f>
        <v>#VALUE!</v>
      </c>
      <c r="D95" s="18" t="e">
        <f t="shared" si="9"/>
        <v>#VALUE!</v>
      </c>
    </row>
    <row r="96" spans="1:4" ht="63.75" customHeight="1" x14ac:dyDescent="0.25">
      <c r="A96" s="22" t="s">
        <v>25</v>
      </c>
      <c r="B96" s="28" t="str">
        <f t="shared" si="3"/>
        <v>https://centrodecapacitaciondelsur.com/victimas-por-agentes-quimicos-</v>
      </c>
      <c r="C96" s="29" t="e">
        <f>INSCRITOS!B207+link!B205</f>
        <v>#VALUE!</v>
      </c>
      <c r="D96" s="18" t="e">
        <f t="shared" si="9"/>
        <v>#VALUE!</v>
      </c>
    </row>
    <row r="97" spans="1:4" ht="63.75" customHeight="1" x14ac:dyDescent="0.25">
      <c r="A97" s="22" t="s">
        <v>52</v>
      </c>
      <c r="B97" s="28" t="str">
        <f t="shared" si="3"/>
        <v>https://centrodecapacitaciondelsur.com/adm-medicamentos-canalizacion-inyectologia-</v>
      </c>
      <c r="C97" s="29" t="e">
        <f>INSCRITOS!B208+link!B206</f>
        <v>#VALUE!</v>
      </c>
      <c r="D97" s="18" t="e">
        <f t="shared" si="9"/>
        <v>#VALUE!</v>
      </c>
    </row>
    <row r="98" spans="1:4" ht="63.75" customHeight="1" x14ac:dyDescent="0.25">
      <c r="A98" s="22" t="s">
        <v>46</v>
      </c>
      <c r="B98" s="28" t="str">
        <f t="shared" si="3"/>
        <v>https://centrodecapacitaciondelsur.com/violencia-sexual-</v>
      </c>
      <c r="C98" s="29" t="e">
        <f>INSCRITOS!B209+link!B207</f>
        <v>#VALUE!</v>
      </c>
      <c r="D98" s="18" t="e">
        <f t="shared" si="9"/>
        <v>#VALUE!</v>
      </c>
    </row>
    <row r="99" spans="1:4" ht="63.75" customHeight="1" x14ac:dyDescent="0.25">
      <c r="A99" s="22" t="s">
        <v>46</v>
      </c>
      <c r="B99" s="28" t="str">
        <f t="shared" si="3"/>
        <v>https://centrodecapacitaciondelsur.com/violencia-sexual-</v>
      </c>
      <c r="C99" s="29" t="e">
        <f>INSCRITOS!B210+link!B208</f>
        <v>#VALUE!</v>
      </c>
      <c r="D99" s="18" t="e">
        <f t="shared" si="9"/>
        <v>#VALUE!</v>
      </c>
    </row>
    <row r="100" spans="1:4" ht="63.75" customHeight="1" x14ac:dyDescent="0.25">
      <c r="A100" s="22" t="s">
        <v>25</v>
      </c>
      <c r="B100" s="28" t="str">
        <f t="shared" si="3"/>
        <v>https://centrodecapacitaciondelsur.com/victimas-por-agentes-quimicos-</v>
      </c>
      <c r="C100" s="29" t="e">
        <f>INSCRITOS!B211+link!B209</f>
        <v>#VALUE!</v>
      </c>
      <c r="D100" s="18" t="e">
        <f t="shared" si="9"/>
        <v>#VALUE!</v>
      </c>
    </row>
    <row r="101" spans="1:4" ht="63.75" customHeight="1" x14ac:dyDescent="0.25">
      <c r="A101" s="22" t="s">
        <v>68</v>
      </c>
      <c r="B101" s="28" t="str">
        <f t="shared" si="3"/>
        <v>https://centrodecapacitaciondelsur.com/toma-de-muestras-y-lab-clinico-poct-</v>
      </c>
      <c r="C101" s="29" t="e">
        <f>INSCRITOS!B212+link!B210</f>
        <v>#VALUE!</v>
      </c>
      <c r="D101" s="18" t="e">
        <f t="shared" si="9"/>
        <v>#VALUE!</v>
      </c>
    </row>
    <row r="102" spans="1:4" ht="63.75" customHeight="1" x14ac:dyDescent="0.25">
      <c r="A102" s="22" t="s">
        <v>46</v>
      </c>
      <c r="B102" s="28" t="str">
        <f t="shared" si="3"/>
        <v>https://centrodecapacitaciondelsur.com/violencia-sexual-</v>
      </c>
      <c r="C102" s="29" t="e">
        <f>INSCRITOS!B213+link!B211</f>
        <v>#VALUE!</v>
      </c>
      <c r="D102" s="18" t="e">
        <f t="shared" ref="D102:D104" si="10">CONCATENATE(B102,C102,"/")</f>
        <v>#VALUE!</v>
      </c>
    </row>
    <row r="103" spans="1:4" ht="63.75" customHeight="1" x14ac:dyDescent="0.25">
      <c r="A103" s="22" t="s">
        <v>411</v>
      </c>
      <c r="B103" s="28" t="str">
        <f t="shared" si="3"/>
        <v>https://centrodecapacitaciondelsur.com/victimas-por-agentes-quimicos-</v>
      </c>
      <c r="C103" s="29" t="e">
        <f>INSCRITOS!B214+link!B212</f>
        <v>#VALUE!</v>
      </c>
      <c r="D103" s="18" t="e">
        <f t="shared" si="10"/>
        <v>#VALUE!</v>
      </c>
    </row>
    <row r="104" spans="1:4" ht="63.75" customHeight="1" x14ac:dyDescent="0.25">
      <c r="A104" s="22" t="s">
        <v>536</v>
      </c>
      <c r="B104" s="28" t="b">
        <f t="shared" si="3"/>
        <v>0</v>
      </c>
      <c r="C104" s="29" t="e">
        <f>INSCRITOS!B215+link!B213</f>
        <v>#VALUE!</v>
      </c>
      <c r="D104" s="18" t="e">
        <f t="shared" si="10"/>
        <v>#VALUE!</v>
      </c>
    </row>
    <row r="105" spans="1:4" ht="63.75" customHeight="1" x14ac:dyDescent="0.25">
      <c r="A105" s="22" t="s">
        <v>19</v>
      </c>
      <c r="B105" s="28" t="str">
        <f t="shared" si="3"/>
        <v>https://centrodecapacitaciondelsur.com/soporte-basico-de-vida-</v>
      </c>
      <c r="C105" s="29" t="e">
        <f>INSCRITOS!B216+link!B214</f>
        <v>#VALUE!</v>
      </c>
      <c r="D105" s="18" t="e">
        <f t="shared" ref="D105" si="11">CONCATENATE(B105,C105,"/")</f>
        <v>#VALUE!</v>
      </c>
    </row>
    <row r="106" spans="1:4" ht="63.75" customHeight="1" x14ac:dyDescent="0.25">
      <c r="A106" s="22" t="s">
        <v>39</v>
      </c>
      <c r="B106" s="28" t="str">
        <f t="shared" si="3"/>
        <v>https://centrodecapacitaciondelsur.com/soporte-cardiovascular-avanzado-</v>
      </c>
      <c r="C106" s="29" t="e">
        <f>INSCRITOS!B217+link!B215</f>
        <v>#VALUE!</v>
      </c>
      <c r="D106" s="18" t="e">
        <f t="shared" ref="D106" si="12">CONCATENATE(B106,C106,"/")</f>
        <v>#VALUE!</v>
      </c>
    </row>
    <row r="107" spans="1:4" ht="63.75" customHeight="1" x14ac:dyDescent="0.25">
      <c r="A107" s="22" t="s">
        <v>60</v>
      </c>
      <c r="B107" s="28" t="str">
        <f t="shared" si="3"/>
        <v>https://centrodecapacitaciondelsur.com/violencia-de-genero-</v>
      </c>
      <c r="C107" s="29" t="e">
        <f>INSCRITOS!B218+link!B216</f>
        <v>#VALUE!</v>
      </c>
      <c r="D107" s="18" t="e">
        <f t="shared" ref="D107:D110" si="13">CONCATENATE(B107,C107,"/")</f>
        <v>#VALUE!</v>
      </c>
    </row>
    <row r="108" spans="1:4" ht="63.75" customHeight="1" x14ac:dyDescent="0.25">
      <c r="A108" s="22" t="s">
        <v>542</v>
      </c>
      <c r="B108" s="28" t="b">
        <f t="shared" si="3"/>
        <v>0</v>
      </c>
      <c r="C108" s="29" t="e">
        <f>INSCRITOS!B219+link!B217</f>
        <v>#VALUE!</v>
      </c>
      <c r="D108" s="18" t="e">
        <f t="shared" si="13"/>
        <v>#VALUE!</v>
      </c>
    </row>
    <row r="109" spans="1:4" ht="63.75" customHeight="1" x14ac:dyDescent="0.25">
      <c r="A109" s="22" t="s">
        <v>381</v>
      </c>
      <c r="B109" s="28" t="str">
        <f t="shared" si="3"/>
        <v>https://centrodecapacitaciondelsur.com/manejo-del-duelo-</v>
      </c>
      <c r="C109" s="29" t="e">
        <f>INSCRITOS!B220+link!B218</f>
        <v>#VALUE!</v>
      </c>
      <c r="D109" s="18" t="e">
        <f t="shared" si="13"/>
        <v>#VALUE!</v>
      </c>
    </row>
    <row r="110" spans="1:4" ht="63.75" customHeight="1" x14ac:dyDescent="0.25">
      <c r="A110" s="22" t="s">
        <v>33</v>
      </c>
      <c r="B110" s="28" t="str">
        <f t="shared" si="3"/>
        <v>https://centrodecapacitaciondelsur.com/humanizacion-</v>
      </c>
      <c r="C110" s="29" t="e">
        <f>INSCRITOS!B221+link!B219</f>
        <v>#VALUE!</v>
      </c>
      <c r="D110" s="18" t="e">
        <f t="shared" si="13"/>
        <v>#VALUE!</v>
      </c>
    </row>
    <row r="111" spans="1:4" ht="63.75" customHeight="1" x14ac:dyDescent="0.25">
      <c r="B111" s="28" t="b">
        <f t="shared" si="3"/>
        <v>0</v>
      </c>
      <c r="C111" s="29">
        <f>INSCRITOS!B222+link!B220</f>
        <v>27090357</v>
      </c>
      <c r="D111" s="18" t="str">
        <f t="shared" ref="D111:D114" si="14">CONCATENATE(B111,C111,"/")</f>
        <v>FALSO27090357/</v>
      </c>
    </row>
    <row r="112" spans="1:4" ht="63.75" customHeight="1" x14ac:dyDescent="0.25">
      <c r="B112" s="28" t="b">
        <f t="shared" si="3"/>
        <v>0</v>
      </c>
      <c r="C112" s="29" t="e">
        <f>INSCRITOS!B223+link!B221</f>
        <v>#VALUE!</v>
      </c>
      <c r="D112" s="18" t="e">
        <f t="shared" si="14"/>
        <v>#VALUE!</v>
      </c>
    </row>
    <row r="113" spans="1:5" ht="63.75" customHeight="1" x14ac:dyDescent="0.25">
      <c r="A113" s="22" t="s">
        <v>33</v>
      </c>
      <c r="B113" s="28" t="str">
        <f t="shared" si="3"/>
        <v>https://centrodecapacitaciondelsur.com/humanizacion-</v>
      </c>
      <c r="C113" s="29" t="e">
        <f>INSCRITOS!B224+link!B222</f>
        <v>#VALUE!</v>
      </c>
      <c r="D113" s="18" t="e">
        <f t="shared" si="14"/>
        <v>#VALUE!</v>
      </c>
    </row>
    <row r="114" spans="1:5" ht="63.75" customHeight="1" x14ac:dyDescent="0.25">
      <c r="A114" s="22" t="s">
        <v>381</v>
      </c>
      <c r="B114" s="28" t="str">
        <f t="shared" si="3"/>
        <v>https://centrodecapacitaciondelsur.com/manejo-del-duelo-</v>
      </c>
      <c r="C114" s="29" t="e">
        <f>INSCRITOS!B225+link!B223</f>
        <v>#VALUE!</v>
      </c>
      <c r="D114" s="18" t="e">
        <f t="shared" si="14"/>
        <v>#VALUE!</v>
      </c>
    </row>
    <row r="115" spans="1:5" ht="63.75" customHeight="1" x14ac:dyDescent="0.25">
      <c r="A115" s="22" t="s">
        <v>561</v>
      </c>
      <c r="B115" s="28" t="str">
        <f t="shared" si="3"/>
        <v>https://centrodecapacitaciondelsur.com/violencia-sexual-</v>
      </c>
      <c r="C115" s="29" t="e">
        <f>INSCRITOS!B226+link!B224</f>
        <v>#VALUE!</v>
      </c>
      <c r="D115" s="18" t="e">
        <f t="shared" ref="D115:D126" si="15">CONCATENATE(B115,C115,"/")</f>
        <v>#VALUE!</v>
      </c>
    </row>
    <row r="116" spans="1:5" ht="63.75" customHeight="1" x14ac:dyDescent="0.25">
      <c r="A116" s="22" t="s">
        <v>56</v>
      </c>
      <c r="B116" s="28" t="str">
        <f t="shared" si="3"/>
        <v>https://centrodecapacitaciondelsur.com/iami-</v>
      </c>
      <c r="C116" s="29" t="e">
        <f>INSCRITOS!B227+link!B225</f>
        <v>#VALUE!</v>
      </c>
      <c r="D116" s="18" t="e">
        <f t="shared" si="15"/>
        <v>#VALUE!</v>
      </c>
    </row>
    <row r="117" spans="1:5" ht="63.75" customHeight="1" x14ac:dyDescent="0.25">
      <c r="A117" s="22" t="s">
        <v>249</v>
      </c>
      <c r="B117" s="28" t="str">
        <f t="shared" si="3"/>
        <v>https://centrodecapacitaciondelsur.com/donante-de-organos-</v>
      </c>
      <c r="C117" s="29" t="e">
        <f>INSCRITOS!B228+link!B226</f>
        <v>#VALUE!</v>
      </c>
      <c r="D117" s="18" t="e">
        <f t="shared" si="15"/>
        <v>#VALUE!</v>
      </c>
    </row>
    <row r="118" spans="1:5" ht="63.75" customHeight="1" x14ac:dyDescent="0.25">
      <c r="A118" s="22" t="s">
        <v>249</v>
      </c>
      <c r="B118" s="28" t="str">
        <f t="shared" si="3"/>
        <v>https://centrodecapacitaciondelsur.com/donante-de-organos-</v>
      </c>
      <c r="C118" s="29">
        <f>INSCRITOS!B229+link!B227</f>
        <v>1085261683</v>
      </c>
      <c r="D118" s="18" t="str">
        <f t="shared" si="15"/>
        <v>https://centrodecapacitaciondelsur.com/donante-de-organos-1085261683/</v>
      </c>
    </row>
    <row r="119" spans="1:5" ht="63.75" customHeight="1" x14ac:dyDescent="0.25">
      <c r="A119" t="s">
        <v>573</v>
      </c>
      <c r="B119" s="28" t="str">
        <f t="shared" si="3"/>
        <v>https://centrodecapacitaciondelsur.com/soporte-basico-de-vida-</v>
      </c>
      <c r="C119" s="29">
        <f>INSCRITOS!B230+link!B228</f>
        <v>59395959</v>
      </c>
      <c r="D119" s="18" t="str">
        <f t="shared" si="15"/>
        <v>https://centrodecapacitaciondelsur.com/soporte-basico-de-vida-59395959/</v>
      </c>
      <c r="E119" s="47"/>
    </row>
    <row r="120" spans="1:5" ht="63.75" customHeight="1" x14ac:dyDescent="0.25">
      <c r="A120" t="s">
        <v>411</v>
      </c>
      <c r="B120" s="28" t="str">
        <f t="shared" si="3"/>
        <v>https://centrodecapacitaciondelsur.com/victimas-por-agentes-quimicos-</v>
      </c>
      <c r="C120" s="29">
        <f>INSCRITOS!B231+link!B229</f>
        <v>59395959</v>
      </c>
      <c r="D120" s="18" t="str">
        <f t="shared" si="15"/>
        <v>https://centrodecapacitaciondelsur.com/victimas-por-agentes-quimicos-59395959/</v>
      </c>
      <c r="E120" s="47"/>
    </row>
    <row r="121" spans="1:5" ht="63.75" customHeight="1" x14ac:dyDescent="0.25">
      <c r="A121" t="s">
        <v>46</v>
      </c>
      <c r="B121" s="28" t="str">
        <f t="shared" si="3"/>
        <v>https://centrodecapacitaciondelsur.com/violencia-sexual-</v>
      </c>
      <c r="C121" s="29">
        <f>INSCRITOS!B232+link!B230</f>
        <v>59395959</v>
      </c>
      <c r="D121" s="18" t="str">
        <f t="shared" si="15"/>
        <v>https://centrodecapacitaciondelsur.com/violencia-sexual-59395959/</v>
      </c>
      <c r="E121" s="47"/>
    </row>
    <row r="122" spans="1:5" ht="63.75" customHeight="1" x14ac:dyDescent="0.25">
      <c r="A122" t="s">
        <v>23</v>
      </c>
      <c r="B122" s="28" t="str">
        <f t="shared" si="3"/>
        <v>https://centrodecapacitaciondelsur.com/manejo-del-duelo-</v>
      </c>
      <c r="C122" s="29">
        <f>INSCRITOS!B233+link!B231</f>
        <v>59395959</v>
      </c>
      <c r="D122" s="18" t="str">
        <f t="shared" si="15"/>
        <v>https://centrodecapacitaciondelsur.com/manejo-del-duelo-59395959/</v>
      </c>
      <c r="E122" s="47"/>
    </row>
    <row r="123" spans="1:5" ht="63.75" customHeight="1" x14ac:dyDescent="0.25">
      <c r="A123" t="s">
        <v>33</v>
      </c>
      <c r="B123" s="28" t="str">
        <f t="shared" si="3"/>
        <v>https://centrodecapacitaciondelsur.com/humanizacion-</v>
      </c>
      <c r="C123" s="29" t="e">
        <f>INSCRITOS!B234+link!B232</f>
        <v>#VALUE!</v>
      </c>
      <c r="D123" s="18" t="e">
        <f t="shared" si="15"/>
        <v>#VALUE!</v>
      </c>
      <c r="E123" s="47"/>
    </row>
    <row r="124" spans="1:5" ht="63.75" customHeight="1" x14ac:dyDescent="0.25">
      <c r="B124" s="28" t="b">
        <f t="shared" si="3"/>
        <v>0</v>
      </c>
      <c r="C124" s="29">
        <f>INSCRITOS!B235+link!B233</f>
        <v>12983618</v>
      </c>
      <c r="D124" s="18" t="str">
        <f t="shared" si="15"/>
        <v>FALSO12983618/</v>
      </c>
      <c r="E124" s="47"/>
    </row>
    <row r="125" spans="1:5" ht="63.75" customHeight="1" x14ac:dyDescent="0.25">
      <c r="A125" t="s">
        <v>582</v>
      </c>
      <c r="B125" s="28" t="str">
        <f t="shared" si="3"/>
        <v>https://centrodecapacitaciondelsur.com/manejo-del-duelo-</v>
      </c>
      <c r="C125" s="29">
        <f>INSCRITOS!B236+link!B234</f>
        <v>1087643414</v>
      </c>
      <c r="D125" s="18" t="str">
        <f t="shared" si="15"/>
        <v>https://centrodecapacitaciondelsur.com/manejo-del-duelo-1087643414/</v>
      </c>
      <c r="E125" s="47"/>
    </row>
    <row r="126" spans="1:5" ht="63.75" customHeight="1" x14ac:dyDescent="0.25">
      <c r="A126" t="s">
        <v>33</v>
      </c>
      <c r="B126" s="28" t="str">
        <f t="shared" si="3"/>
        <v>https://centrodecapacitaciondelsur.com/humanizacion-</v>
      </c>
      <c r="C126" s="29">
        <f>INSCRITOS!B237+link!B235</f>
        <v>1081274863</v>
      </c>
      <c r="D126" s="18" t="str">
        <f t="shared" si="15"/>
        <v>https://centrodecapacitaciondelsur.com/humanizacion-1081274863/</v>
      </c>
      <c r="E126" s="47"/>
    </row>
    <row r="127" spans="1:5" ht="63.75" customHeight="1" x14ac:dyDescent="0.25">
      <c r="A127" s="22" t="s">
        <v>46</v>
      </c>
      <c r="B127" s="28" t="str">
        <f t="shared" si="3"/>
        <v>https://centrodecapacitaciondelsur.com/violencia-sexual-</v>
      </c>
      <c r="C127" s="29">
        <f>INSCRITOS!B238+link!B236</f>
        <v>1085253821</v>
      </c>
      <c r="D127" s="18" t="str">
        <f t="shared" ref="D127:D130" si="16">CONCATENATE(B127,C127,"/")</f>
        <v>https://centrodecapacitaciondelsur.com/violencia-sexual-1085253821/</v>
      </c>
    </row>
    <row r="128" spans="1:5" ht="63.75" customHeight="1" x14ac:dyDescent="0.25">
      <c r="A128" s="22" t="s">
        <v>411</v>
      </c>
      <c r="B128" s="28" t="str">
        <f t="shared" si="3"/>
        <v>https://centrodecapacitaciondelsur.com/victimas-por-agentes-quimicos-</v>
      </c>
      <c r="C128" s="29">
        <f>INSCRITOS!B239+link!B237</f>
        <v>1085253821</v>
      </c>
      <c r="D128" s="18" t="str">
        <f t="shared" si="16"/>
        <v>https://centrodecapacitaciondelsur.com/victimas-por-agentes-quimicos-1085253821/</v>
      </c>
    </row>
    <row r="129" spans="1:4" ht="63.75" customHeight="1" x14ac:dyDescent="0.25">
      <c r="A129" s="22" t="s">
        <v>23</v>
      </c>
      <c r="B129" s="28" t="str">
        <f t="shared" si="3"/>
        <v>https://centrodecapacitaciondelsur.com/manejo-del-duelo-</v>
      </c>
      <c r="C129" s="29">
        <f>INSCRITOS!B240+link!B238</f>
        <v>1085253821</v>
      </c>
      <c r="D129" s="18" t="str">
        <f t="shared" si="16"/>
        <v>https://centrodecapacitaciondelsur.com/manejo-del-duelo-1085253821/</v>
      </c>
    </row>
    <row r="130" spans="1:4" ht="63.75" customHeight="1" x14ac:dyDescent="0.25">
      <c r="A130" s="22" t="s">
        <v>33</v>
      </c>
      <c r="B130" s="28" t="str">
        <f t="shared" si="3"/>
        <v>https://centrodecapacitaciondelsur.com/humanizacion-</v>
      </c>
      <c r="C130" s="29">
        <f>INSCRITOS!B241+link!B239</f>
        <v>1085253821</v>
      </c>
      <c r="D130" s="18" t="str">
        <f t="shared" si="16"/>
        <v>https://centrodecapacitaciondelsur.com/humanizacion-1085253821/</v>
      </c>
    </row>
    <row r="131" spans="1:4" ht="63.75" customHeight="1" x14ac:dyDescent="0.25">
      <c r="A131" s="22" t="s">
        <v>50</v>
      </c>
      <c r="B131" s="28" t="str">
        <f t="shared" ref="B131:B194" si="17">IF(A131=$H$2,"https://centrodecapacitaciondelsur.com/aph-",IF(A131=$H$3,"https://centrodecapacitaciondelsur.com/manejo-del-duelo-",IF(A131=$H$4,"https://centrodecapacitaciondelsur.com/victimas-por-agentes-quimicos-",IF(A131=$H$5,"https://centrodecapacitaciondelsur.com/primeros-auxilios-",IF(A131=$H$6,"https://centrodecapacitaciondelsur.com/uci-",IF(A131=$H$8,"https://centrodecapacitaciondelsur.com/humanizacion-",IF(A131=$H$11,"https://centrodecapacitaciondelsur.com/soporte-cardiovascular-avanzado-",IF(A131=$H$12,"https://centrodecapacitaciondelsur.com/camillero-",IF(A131=$H$13,"https://centrodecapacitaciondelsur.com/toma-de-muestras-y-lab-clinico-",IF(A131=$H$14,"https://centrodecapacitaciondelsur.com/soporte-basico-de-vida-",IF(A131=$H$15,"https://centrodecapacitaciondelsur.com/violencia-sexual-",IF(A131=$H$17,"https://centrodecapacitaciondelsur.com/aiepi-",IF(A131=$H$18,"https://centrodecapacitaciondelsur.com/adm-medicamentos-canalizacion-inyectologia-",IF(A131=$H$25,"https://centrodecapacitaciondelsur.com/manejo-del-dolor-y-cuidados-paliativos-",IF(A131=$H$26,"https://centrodecapacitaciondelsur.com/toma-de-muestras-y-lab-clinico-poct-",IF(A131=$H$27,"https://centrodecapacitaciondelsur.com/implante-subdermico-",IF(A131=$H$21,"https://centrodecapacitaciondelsur.com/donante-de-organos-",IF(A131=$H$30,"https://centrodecapacitaciondelsur.com/atencion-a-victimas-del-conflicto-armado-",IF(A131=$H$20,"https://centrodecapacitaciondelsur.com/iami-",IF(A131=$H$22,"https://centrodecapacitaciondelsur.com/violencia-de-genero-",IF(A131=$H$23,"https://centrodecapacitaciondelsur.com/igualdad-de-genero-")))))))))))))))))))))</f>
        <v>https://centrodecapacitaciondelsur.com/aiepi-</v>
      </c>
      <c r="C131" s="29">
        <f>INSCRITOS!B242+link!B240</f>
        <v>1234192018</v>
      </c>
      <c r="D131" s="18" t="str">
        <f t="shared" ref="D131:D132" si="18">CONCATENATE(B131,C131,"/")</f>
        <v>https://centrodecapacitaciondelsur.com/aiepi-1234192018/</v>
      </c>
    </row>
    <row r="132" spans="1:4" ht="60" customHeight="1" x14ac:dyDescent="0.25">
      <c r="A132" s="22" t="s">
        <v>33</v>
      </c>
      <c r="B132" s="28" t="str">
        <f t="shared" si="17"/>
        <v>https://centrodecapacitaciondelsur.com/humanizacion-</v>
      </c>
      <c r="C132" s="45">
        <f>INSCRITOS!B243+link!B241</f>
        <v>1234192018</v>
      </c>
      <c r="D132" s="48" t="str">
        <f t="shared" si="18"/>
        <v>https://centrodecapacitaciondelsur.com/humanizacion-1234192018/</v>
      </c>
    </row>
    <row r="133" spans="1:4" ht="60" customHeight="1" x14ac:dyDescent="0.25">
      <c r="A133" s="20" t="s">
        <v>19</v>
      </c>
      <c r="B133" s="28" t="str">
        <f t="shared" si="17"/>
        <v>https://centrodecapacitaciondelsur.com/soporte-basico-de-vida-</v>
      </c>
      <c r="C133" s="29">
        <f>INSCRITOS!B244+link!B242</f>
        <v>1233192638</v>
      </c>
      <c r="D133" s="18" t="str">
        <f t="shared" ref="D133" si="19">CONCATENATE(B133,C133,"/")</f>
        <v>https://centrodecapacitaciondelsur.com/soporte-basico-de-vida-1233192638/</v>
      </c>
    </row>
    <row r="134" spans="1:4" ht="60" customHeight="1" x14ac:dyDescent="0.25">
      <c r="A134" s="22" t="s">
        <v>68</v>
      </c>
      <c r="B134" s="28" t="str">
        <f t="shared" si="17"/>
        <v>https://centrodecapacitaciondelsur.com/toma-de-muestras-y-lab-clinico-poct-</v>
      </c>
      <c r="C134" s="49">
        <f>INSCRITOS!B245+link!B243</f>
        <v>1087418449</v>
      </c>
      <c r="D134" t="str">
        <f t="shared" ref="D134:D144" si="20">CONCATENATE(B134,C134,"/")</f>
        <v>https://centrodecapacitaciondelsur.com/toma-de-muestras-y-lab-clinico-poct-1087418449/</v>
      </c>
    </row>
    <row r="135" spans="1:4" ht="60" customHeight="1" x14ac:dyDescent="0.25">
      <c r="A135" s="22" t="s">
        <v>39</v>
      </c>
      <c r="B135" s="28" t="str">
        <f t="shared" si="17"/>
        <v>https://centrodecapacitaciondelsur.com/soporte-cardiovascular-avanzado-</v>
      </c>
      <c r="C135" s="49">
        <f>INSCRITOS!B246+link!B244</f>
        <v>1085311598</v>
      </c>
      <c r="D135" t="str">
        <f t="shared" si="20"/>
        <v>https://centrodecapacitaciondelsur.com/soporte-cardiovascular-avanzado-1085311598/</v>
      </c>
    </row>
    <row r="136" spans="1:4" ht="60" customHeight="1" x14ac:dyDescent="0.25">
      <c r="A136" s="22" t="s">
        <v>66</v>
      </c>
      <c r="B136" s="28" t="str">
        <f t="shared" si="17"/>
        <v>https://centrodecapacitaciondelsur.com/manejo-del-dolor-y-cuidados-paliativos-</v>
      </c>
      <c r="C136" s="49">
        <f>INSCRITOS!B247+link!B245</f>
        <v>1085311598</v>
      </c>
      <c r="D136" t="str">
        <f t="shared" si="20"/>
        <v>https://centrodecapacitaciondelsur.com/manejo-del-dolor-y-cuidados-paliativos-1085311598/</v>
      </c>
    </row>
    <row r="137" spans="1:4" ht="60" customHeight="1" x14ac:dyDescent="0.25">
      <c r="A137" s="22" t="s">
        <v>23</v>
      </c>
      <c r="B137" s="28" t="str">
        <f t="shared" si="17"/>
        <v>https://centrodecapacitaciondelsur.com/manejo-del-duelo-</v>
      </c>
      <c r="C137" s="49">
        <f>INSCRITOS!B248+link!B246</f>
        <v>1085311598</v>
      </c>
      <c r="D137" t="str">
        <f t="shared" si="20"/>
        <v>https://centrodecapacitaciondelsur.com/manejo-del-duelo-1085311598/</v>
      </c>
    </row>
    <row r="138" spans="1:4" ht="60" customHeight="1" x14ac:dyDescent="0.25">
      <c r="A138" s="22" t="s">
        <v>25</v>
      </c>
      <c r="B138" s="28" t="str">
        <f t="shared" si="17"/>
        <v>https://centrodecapacitaciondelsur.com/victimas-por-agentes-quimicos-</v>
      </c>
      <c r="C138" s="49">
        <f>INSCRITOS!B249+link!B247</f>
        <v>1085311598</v>
      </c>
      <c r="D138" t="str">
        <f t="shared" si="20"/>
        <v>https://centrodecapacitaciondelsur.com/victimas-por-agentes-quimicos-1085311598/</v>
      </c>
    </row>
    <row r="139" spans="1:4" ht="60" customHeight="1" x14ac:dyDescent="0.25">
      <c r="A139" s="22" t="s">
        <v>19</v>
      </c>
      <c r="B139" s="28" t="str">
        <f t="shared" si="17"/>
        <v>https://centrodecapacitaciondelsur.com/soporte-basico-de-vida-</v>
      </c>
      <c r="C139" s="49">
        <f>INSCRITOS!B250+link!B248</f>
        <v>59312461</v>
      </c>
      <c r="D139" t="str">
        <f t="shared" si="20"/>
        <v>https://centrodecapacitaciondelsur.com/soporte-basico-de-vida-59312461/</v>
      </c>
    </row>
    <row r="140" spans="1:4" ht="60" customHeight="1" x14ac:dyDescent="0.25">
      <c r="A140" s="22" t="s">
        <v>19</v>
      </c>
      <c r="B140" s="28" t="str">
        <f t="shared" si="17"/>
        <v>https://centrodecapacitaciondelsur.com/soporte-basico-de-vida-</v>
      </c>
      <c r="C140" s="49">
        <f>INSCRITOS!B251+link!B249</f>
        <v>1010084437</v>
      </c>
      <c r="D140" t="str">
        <f t="shared" si="20"/>
        <v>https://centrodecapacitaciondelsur.com/soporte-basico-de-vida-1010084437/</v>
      </c>
    </row>
    <row r="141" spans="1:4" ht="60" customHeight="1" x14ac:dyDescent="0.25">
      <c r="A141" s="22" t="s">
        <v>23</v>
      </c>
      <c r="B141" s="28" t="str">
        <f t="shared" si="17"/>
        <v>https://centrodecapacitaciondelsur.com/manejo-del-duelo-</v>
      </c>
      <c r="C141" s="49">
        <f>INSCRITOS!B252+link!B250</f>
        <v>1010084437</v>
      </c>
      <c r="D141" t="str">
        <f t="shared" si="20"/>
        <v>https://centrodecapacitaciondelsur.com/manejo-del-duelo-1010084437/</v>
      </c>
    </row>
    <row r="142" spans="1:4" ht="60" customHeight="1" x14ac:dyDescent="0.25">
      <c r="A142" s="22" t="s">
        <v>46</v>
      </c>
      <c r="B142" s="28" t="str">
        <f t="shared" si="17"/>
        <v>https://centrodecapacitaciondelsur.com/violencia-sexual-</v>
      </c>
      <c r="C142" s="49">
        <f>INSCRITOS!B253+link!B251</f>
        <v>1010084437</v>
      </c>
      <c r="D142" t="str">
        <f t="shared" si="20"/>
        <v>https://centrodecapacitaciondelsur.com/violencia-sexual-1010084437/</v>
      </c>
    </row>
    <row r="143" spans="1:4" ht="60" customHeight="1" x14ac:dyDescent="0.25">
      <c r="A143" s="22" t="s">
        <v>19</v>
      </c>
      <c r="B143" s="28" t="str">
        <f t="shared" si="17"/>
        <v>https://centrodecapacitaciondelsur.com/soporte-basico-de-vida-</v>
      </c>
      <c r="C143" s="49">
        <f>INSCRITOS!B254+link!B252</f>
        <v>1131085776</v>
      </c>
      <c r="D143" t="str">
        <f t="shared" si="20"/>
        <v>https://centrodecapacitaciondelsur.com/soporte-basico-de-vida-1131085776/</v>
      </c>
    </row>
    <row r="144" spans="1:4" ht="60" customHeight="1" x14ac:dyDescent="0.25">
      <c r="A144" s="22" t="s">
        <v>19</v>
      </c>
      <c r="B144" s="28" t="str">
        <f t="shared" si="17"/>
        <v>https://centrodecapacitaciondelsur.com/soporte-basico-de-vida-</v>
      </c>
      <c r="C144" s="49">
        <f>INSCRITOS!B255+link!B253</f>
        <v>1006849055</v>
      </c>
      <c r="D144" t="str">
        <f t="shared" si="20"/>
        <v>https://centrodecapacitaciondelsur.com/soporte-basico-de-vida-1006849055/</v>
      </c>
    </row>
    <row r="145" spans="1:4" ht="60" customHeight="1" x14ac:dyDescent="0.25">
      <c r="A145" s="22" t="s">
        <v>46</v>
      </c>
      <c r="B145" s="28" t="str">
        <f t="shared" si="17"/>
        <v>https://centrodecapacitaciondelsur.com/violencia-sexual-</v>
      </c>
      <c r="C145" s="49">
        <f>INSCRITOS!B256+link!B254</f>
        <v>59687279</v>
      </c>
      <c r="D145" t="str">
        <f t="shared" ref="D145:D146" si="21">CONCATENATE(B145,C145,"/")</f>
        <v>https://centrodecapacitaciondelsur.com/violencia-sexual-59687279/</v>
      </c>
    </row>
    <row r="146" spans="1:4" ht="60" customHeight="1" x14ac:dyDescent="0.25">
      <c r="A146" s="22" t="s">
        <v>19</v>
      </c>
      <c r="B146" s="28" t="str">
        <f t="shared" si="17"/>
        <v>https://centrodecapacitaciondelsur.com/soporte-basico-de-vida-</v>
      </c>
      <c r="C146" s="49">
        <f>INSCRITOS!B257+link!B255</f>
        <v>59687279</v>
      </c>
      <c r="D146" t="str">
        <f t="shared" si="21"/>
        <v>https://centrodecapacitaciondelsur.com/soporte-basico-de-vida-59687279/</v>
      </c>
    </row>
    <row r="147" spans="1:4" ht="60" customHeight="1" x14ac:dyDescent="0.25">
      <c r="A147" s="22" t="s">
        <v>19</v>
      </c>
      <c r="B147" s="28" t="str">
        <f t="shared" si="17"/>
        <v>https://centrodecapacitaciondelsur.com/soporte-basico-de-vida-</v>
      </c>
      <c r="C147" s="49">
        <f>INSCRITOS!B258+link!B256</f>
        <v>27087131</v>
      </c>
      <c r="D147" t="str">
        <f t="shared" ref="D147:D148" si="22">CONCATENATE(B147,C147,"/")</f>
        <v>https://centrodecapacitaciondelsur.com/soporte-basico-de-vida-27087131/</v>
      </c>
    </row>
    <row r="148" spans="1:4" ht="60" customHeight="1" x14ac:dyDescent="0.25">
      <c r="A148" s="22" t="s">
        <v>29</v>
      </c>
      <c r="B148" s="28" t="str">
        <f t="shared" si="17"/>
        <v>https://centrodecapacitaciondelsur.com/uci-</v>
      </c>
      <c r="C148" s="49">
        <f>INSCRITOS!B259+link!B257</f>
        <v>1004624584</v>
      </c>
      <c r="D148" t="str">
        <f t="shared" si="22"/>
        <v>https://centrodecapacitaciondelsur.com/uci-1004624584/</v>
      </c>
    </row>
    <row r="149" spans="1:4" ht="60" customHeight="1" x14ac:dyDescent="0.25">
      <c r="A149" s="22" t="s">
        <v>39</v>
      </c>
      <c r="B149" s="28" t="str">
        <f t="shared" si="17"/>
        <v>https://centrodecapacitaciondelsur.com/soporte-cardiovascular-avanzado-</v>
      </c>
      <c r="C149" s="49">
        <f>INSCRITOS!B260+link!B258</f>
        <v>27126290</v>
      </c>
      <c r="D149" t="str">
        <f t="shared" ref="D149:D185" si="23">CONCATENATE(B149,C149,"/")</f>
        <v>https://centrodecapacitaciondelsur.com/soporte-cardiovascular-avanzado-27126290/</v>
      </c>
    </row>
    <row r="150" spans="1:4" ht="60" customHeight="1" x14ac:dyDescent="0.25">
      <c r="A150" s="22" t="s">
        <v>25</v>
      </c>
      <c r="B150" s="28" t="str">
        <f t="shared" si="17"/>
        <v>https://centrodecapacitaciondelsur.com/victimas-por-agentes-quimicos-</v>
      </c>
      <c r="C150" s="49">
        <f>INSCRITOS!B261+link!B259</f>
        <v>27126290</v>
      </c>
      <c r="D150" t="str">
        <f t="shared" si="23"/>
        <v>https://centrodecapacitaciondelsur.com/victimas-por-agentes-quimicos-27126290/</v>
      </c>
    </row>
    <row r="151" spans="1:4" ht="60" customHeight="1" x14ac:dyDescent="0.25">
      <c r="A151" s="22" t="s">
        <v>46</v>
      </c>
      <c r="B151" s="28" t="str">
        <f t="shared" si="17"/>
        <v>https://centrodecapacitaciondelsur.com/violencia-sexual-</v>
      </c>
      <c r="C151" s="49">
        <f>INSCRITOS!B262+link!B260</f>
        <v>27126290</v>
      </c>
      <c r="D151" t="str">
        <f t="shared" si="23"/>
        <v>https://centrodecapacitaciondelsur.com/violencia-sexual-27126290/</v>
      </c>
    </row>
    <row r="152" spans="1:4" ht="60" customHeight="1" x14ac:dyDescent="0.25">
      <c r="A152" s="22" t="s">
        <v>39</v>
      </c>
      <c r="B152" s="28" t="str">
        <f t="shared" si="17"/>
        <v>https://centrodecapacitaciondelsur.com/soporte-cardiovascular-avanzado-</v>
      </c>
      <c r="C152" s="49">
        <f>INSCRITOS!B263+link!B261</f>
        <v>12994086</v>
      </c>
      <c r="D152" s="18" t="str">
        <f t="shared" si="23"/>
        <v>https://centrodecapacitaciondelsur.com/soporte-cardiovascular-avanzado-12994086/</v>
      </c>
    </row>
    <row r="153" spans="1:4" ht="60" customHeight="1" x14ac:dyDescent="0.25">
      <c r="A153" s="22" t="s">
        <v>46</v>
      </c>
      <c r="B153" s="28" t="str">
        <f t="shared" si="17"/>
        <v>https://centrodecapacitaciondelsur.com/violencia-sexual-</v>
      </c>
      <c r="C153" s="49">
        <f>INSCRITOS!B264+link!B262</f>
        <v>12994086</v>
      </c>
      <c r="D153" s="18" t="str">
        <f t="shared" si="23"/>
        <v>https://centrodecapacitaciondelsur.com/violencia-sexual-12994086/</v>
      </c>
    </row>
    <row r="154" spans="1:4" ht="60" customHeight="1" x14ac:dyDescent="0.25">
      <c r="A154" s="22" t="s">
        <v>25</v>
      </c>
      <c r="B154" s="28" t="str">
        <f t="shared" si="17"/>
        <v>https://centrodecapacitaciondelsur.com/victimas-por-agentes-quimicos-</v>
      </c>
      <c r="C154" s="49">
        <f>INSCRITOS!B265+link!B263</f>
        <v>12994086</v>
      </c>
      <c r="D154" s="18" t="str">
        <f t="shared" si="23"/>
        <v>https://centrodecapacitaciondelsur.com/victimas-por-agentes-quimicos-12994086/</v>
      </c>
    </row>
    <row r="155" spans="1:4" ht="60" customHeight="1" x14ac:dyDescent="0.25">
      <c r="A155" s="22" t="s">
        <v>33</v>
      </c>
      <c r="B155" s="28" t="str">
        <f t="shared" si="17"/>
        <v>https://centrodecapacitaciondelsur.com/humanizacion-</v>
      </c>
      <c r="C155" s="49">
        <f>INSCRITOS!B266+link!B264</f>
        <v>12994086</v>
      </c>
      <c r="D155" s="18" t="str">
        <f t="shared" si="23"/>
        <v>https://centrodecapacitaciondelsur.com/humanizacion-12994086/</v>
      </c>
    </row>
    <row r="156" spans="1:4" ht="60" customHeight="1" x14ac:dyDescent="0.25">
      <c r="A156" s="22" t="s">
        <v>249</v>
      </c>
      <c r="B156" s="28" t="str">
        <f t="shared" si="17"/>
        <v>https://centrodecapacitaciondelsur.com/donante-de-organos-</v>
      </c>
      <c r="C156" s="49">
        <f>INSCRITOS!B267+link!B265</f>
        <v>12994086</v>
      </c>
      <c r="D156" s="18" t="str">
        <f t="shared" si="23"/>
        <v>https://centrodecapacitaciondelsur.com/donante-de-organos-12994086/</v>
      </c>
    </row>
    <row r="157" spans="1:4" ht="60" customHeight="1" x14ac:dyDescent="0.25">
      <c r="A157" s="22" t="s">
        <v>381</v>
      </c>
      <c r="B157" s="28" t="str">
        <f t="shared" si="17"/>
        <v>https://centrodecapacitaciondelsur.com/manejo-del-duelo-</v>
      </c>
      <c r="C157" s="49">
        <f>INSCRITOS!B268+link!B266</f>
        <v>12994086</v>
      </c>
      <c r="D157" s="18" t="str">
        <f t="shared" si="23"/>
        <v>https://centrodecapacitaciondelsur.com/manejo-del-duelo-12994086/</v>
      </c>
    </row>
    <row r="158" spans="1:4" ht="60" customHeight="1" x14ac:dyDescent="0.25">
      <c r="A158" s="22" t="s">
        <v>46</v>
      </c>
      <c r="B158" s="28" t="str">
        <f t="shared" si="17"/>
        <v>https://centrodecapacitaciondelsur.com/violencia-sexual-</v>
      </c>
      <c r="C158" s="49">
        <f>INSCRITOS!B269+link!B267</f>
        <v>12994086</v>
      </c>
      <c r="D158" s="18" t="str">
        <f t="shared" si="23"/>
        <v>https://centrodecapacitaciondelsur.com/violencia-sexual-12994086/</v>
      </c>
    </row>
    <row r="159" spans="1:4" ht="60" customHeight="1" x14ac:dyDescent="0.25">
      <c r="A159" s="22" t="s">
        <v>46</v>
      </c>
      <c r="B159" s="28" t="str">
        <f t="shared" si="17"/>
        <v>https://centrodecapacitaciondelsur.com/violencia-sexual-</v>
      </c>
      <c r="C159" s="49">
        <f>INSCRITOS!B270+link!B268</f>
        <v>59653690</v>
      </c>
      <c r="D159" s="18" t="str">
        <f t="shared" si="23"/>
        <v>https://centrodecapacitaciondelsur.com/violencia-sexual-59653690/</v>
      </c>
    </row>
    <row r="160" spans="1:4" ht="60" customHeight="1" x14ac:dyDescent="0.25">
      <c r="A160" s="22" t="s">
        <v>25</v>
      </c>
      <c r="B160" s="28" t="str">
        <f t="shared" si="17"/>
        <v>https://centrodecapacitaciondelsur.com/victimas-por-agentes-quimicos-</v>
      </c>
      <c r="C160" s="49">
        <f>INSCRITOS!B271+link!B269</f>
        <v>12991646</v>
      </c>
      <c r="D160" s="18" t="str">
        <f t="shared" si="23"/>
        <v>https://centrodecapacitaciondelsur.com/victimas-por-agentes-quimicos-12991646/</v>
      </c>
    </row>
    <row r="161" spans="1:4" ht="60" customHeight="1" x14ac:dyDescent="0.25">
      <c r="A161" s="22" t="s">
        <v>33</v>
      </c>
      <c r="B161" s="28" t="str">
        <f t="shared" si="17"/>
        <v>https://centrodecapacitaciondelsur.com/humanizacion-</v>
      </c>
      <c r="C161" s="49">
        <f>INSCRITOS!B272+link!B270</f>
        <v>12991646</v>
      </c>
      <c r="D161" s="18" t="str">
        <f t="shared" si="23"/>
        <v>https://centrodecapacitaciondelsur.com/humanizacion-12991646/</v>
      </c>
    </row>
    <row r="162" spans="1:4" ht="60" customHeight="1" x14ac:dyDescent="0.25">
      <c r="A162" s="22" t="s">
        <v>249</v>
      </c>
      <c r="B162" s="28" t="str">
        <f t="shared" si="17"/>
        <v>https://centrodecapacitaciondelsur.com/donante-de-organos-</v>
      </c>
      <c r="C162" s="49">
        <f>INSCRITOS!B273+link!B271</f>
        <v>12991646</v>
      </c>
      <c r="D162" s="18" t="str">
        <f t="shared" si="23"/>
        <v>https://centrodecapacitaciondelsur.com/donante-de-organos-12991646/</v>
      </c>
    </row>
    <row r="163" spans="1:4" ht="60" customHeight="1" x14ac:dyDescent="0.25">
      <c r="A163" s="22" t="s">
        <v>75</v>
      </c>
      <c r="B163" s="28" t="str">
        <f t="shared" si="17"/>
        <v>https://centrodecapacitaciondelsur.com/atencion-a-victimas-del-conflicto-armado-</v>
      </c>
      <c r="C163" s="49">
        <f>INSCRITOS!B274+link!B272</f>
        <v>12991646</v>
      </c>
      <c r="D163" s="18" t="str">
        <f t="shared" si="23"/>
        <v>https://centrodecapacitaciondelsur.com/atencion-a-victimas-del-conflicto-armado-12991646/</v>
      </c>
    </row>
    <row r="164" spans="1:4" ht="60" customHeight="1" x14ac:dyDescent="0.25">
      <c r="A164" s="22" t="s">
        <v>66</v>
      </c>
      <c r="B164" s="28" t="str">
        <f t="shared" si="17"/>
        <v>https://centrodecapacitaciondelsur.com/manejo-del-dolor-y-cuidados-paliativos-</v>
      </c>
      <c r="C164" s="49">
        <f>INSCRITOS!B275+link!B273</f>
        <v>12991646</v>
      </c>
      <c r="D164" s="18" t="str">
        <f t="shared" si="23"/>
        <v>https://centrodecapacitaciondelsur.com/manejo-del-dolor-y-cuidados-paliativos-12991646/</v>
      </c>
    </row>
    <row r="165" spans="1:4" ht="60" customHeight="1" x14ac:dyDescent="0.25">
      <c r="A165" s="22" t="s">
        <v>46</v>
      </c>
      <c r="B165" s="28" t="str">
        <f t="shared" si="17"/>
        <v>https://centrodecapacitaciondelsur.com/violencia-sexual-</v>
      </c>
      <c r="C165" s="49">
        <f>INSCRITOS!B276+link!B274</f>
        <v>12991646</v>
      </c>
      <c r="D165" s="18" t="str">
        <f t="shared" si="23"/>
        <v>https://centrodecapacitaciondelsur.com/violencia-sexual-12991646/</v>
      </c>
    </row>
    <row r="166" spans="1:4" ht="60" customHeight="1" x14ac:dyDescent="0.25">
      <c r="A166" s="22" t="s">
        <v>25</v>
      </c>
      <c r="B166" s="28" t="str">
        <f t="shared" si="17"/>
        <v>https://centrodecapacitaciondelsur.com/victimas-por-agentes-quimicos-</v>
      </c>
      <c r="C166" s="49">
        <f>INSCRITOS!B277+link!B275</f>
        <v>88195662</v>
      </c>
      <c r="D166" s="18" t="str">
        <f t="shared" si="23"/>
        <v>https://centrodecapacitaciondelsur.com/victimas-por-agentes-quimicos-88195662/</v>
      </c>
    </row>
    <row r="167" spans="1:4" ht="60" customHeight="1" x14ac:dyDescent="0.25">
      <c r="A167" s="22" t="s">
        <v>33</v>
      </c>
      <c r="B167" s="28" t="str">
        <f t="shared" si="17"/>
        <v>https://centrodecapacitaciondelsur.com/humanizacion-</v>
      </c>
      <c r="C167" s="49">
        <f>INSCRITOS!B278+link!B276</f>
        <v>88195662</v>
      </c>
      <c r="D167" s="18" t="str">
        <f t="shared" si="23"/>
        <v>https://centrodecapacitaciondelsur.com/humanizacion-88195662/</v>
      </c>
    </row>
    <row r="168" spans="1:4" ht="60" customHeight="1" x14ac:dyDescent="0.25">
      <c r="A168" s="22" t="s">
        <v>249</v>
      </c>
      <c r="B168" s="28" t="str">
        <f t="shared" si="17"/>
        <v>https://centrodecapacitaciondelsur.com/donante-de-organos-</v>
      </c>
      <c r="C168" s="49">
        <f>INSCRITOS!B279+link!B277</f>
        <v>88195662</v>
      </c>
      <c r="D168" s="18" t="str">
        <f t="shared" si="23"/>
        <v>https://centrodecapacitaciondelsur.com/donante-de-organos-88195662/</v>
      </c>
    </row>
    <row r="169" spans="1:4" ht="60" customHeight="1" x14ac:dyDescent="0.25">
      <c r="A169" s="56" t="s">
        <v>75</v>
      </c>
      <c r="B169" s="28" t="str">
        <f t="shared" si="17"/>
        <v>https://centrodecapacitaciondelsur.com/atencion-a-victimas-del-conflicto-armado-</v>
      </c>
      <c r="C169" s="49">
        <f>INSCRITOS!B280+link!B278</f>
        <v>88195662</v>
      </c>
      <c r="D169" s="18" t="str">
        <f t="shared" si="23"/>
        <v>https://centrodecapacitaciondelsur.com/atencion-a-victimas-del-conflicto-armado-88195662/</v>
      </c>
    </row>
    <row r="170" spans="1:4" ht="60" customHeight="1" x14ac:dyDescent="0.25">
      <c r="A170" s="22" t="s">
        <v>66</v>
      </c>
      <c r="B170" s="28" t="str">
        <f t="shared" si="17"/>
        <v>https://centrodecapacitaciondelsur.com/manejo-del-dolor-y-cuidados-paliativos-</v>
      </c>
      <c r="C170" s="49">
        <f>INSCRITOS!B281+link!B279</f>
        <v>88195662</v>
      </c>
      <c r="D170" s="18" t="str">
        <f t="shared" si="23"/>
        <v>https://centrodecapacitaciondelsur.com/manejo-del-dolor-y-cuidados-paliativos-88195662/</v>
      </c>
    </row>
    <row r="171" spans="1:4" ht="60" customHeight="1" x14ac:dyDescent="0.25">
      <c r="A171" s="22" t="s">
        <v>46</v>
      </c>
      <c r="B171" s="28" t="str">
        <f t="shared" si="17"/>
        <v>https://centrodecapacitaciondelsur.com/violencia-sexual-</v>
      </c>
      <c r="C171" s="49">
        <f>INSCRITOS!B282+link!B280</f>
        <v>88195662</v>
      </c>
      <c r="D171" s="18" t="str">
        <f t="shared" si="23"/>
        <v>https://centrodecapacitaciondelsur.com/violencia-sexual-88195662/</v>
      </c>
    </row>
    <row r="172" spans="1:4" ht="60" customHeight="1" x14ac:dyDescent="0.25">
      <c r="A172" s="22" t="s">
        <v>25</v>
      </c>
      <c r="B172" s="28" t="str">
        <f t="shared" si="17"/>
        <v>https://centrodecapacitaciondelsur.com/victimas-por-agentes-quimicos-</v>
      </c>
      <c r="C172" s="49">
        <f>INSCRITOS!B283+link!B281</f>
        <v>98396643</v>
      </c>
      <c r="D172" s="18" t="str">
        <f t="shared" si="23"/>
        <v>https://centrodecapacitaciondelsur.com/victimas-por-agentes-quimicos-98396643/</v>
      </c>
    </row>
    <row r="173" spans="1:4" ht="60" customHeight="1" x14ac:dyDescent="0.25">
      <c r="A173" s="22" t="s">
        <v>33</v>
      </c>
      <c r="B173" s="28" t="str">
        <f t="shared" si="17"/>
        <v>https://centrodecapacitaciondelsur.com/humanizacion-</v>
      </c>
      <c r="C173" s="49">
        <f>INSCRITOS!B284+link!B282</f>
        <v>98396643</v>
      </c>
      <c r="D173" s="18" t="str">
        <f t="shared" si="23"/>
        <v>https://centrodecapacitaciondelsur.com/humanizacion-98396643/</v>
      </c>
    </row>
    <row r="174" spans="1:4" ht="60" customHeight="1" x14ac:dyDescent="0.25">
      <c r="A174" s="22" t="s">
        <v>249</v>
      </c>
      <c r="B174" s="28" t="str">
        <f t="shared" si="17"/>
        <v>https://centrodecapacitaciondelsur.com/donante-de-organos-</v>
      </c>
      <c r="C174" s="49">
        <f>INSCRITOS!B285+link!B283</f>
        <v>98396643</v>
      </c>
      <c r="D174" s="18" t="str">
        <f t="shared" si="23"/>
        <v>https://centrodecapacitaciondelsur.com/donante-de-organos-98396643/</v>
      </c>
    </row>
    <row r="175" spans="1:4" ht="60" customHeight="1" x14ac:dyDescent="0.25">
      <c r="A175" s="22" t="s">
        <v>75</v>
      </c>
      <c r="B175" s="28" t="str">
        <f t="shared" si="17"/>
        <v>https://centrodecapacitaciondelsur.com/atencion-a-victimas-del-conflicto-armado-</v>
      </c>
      <c r="C175" s="49">
        <f>INSCRITOS!B286+link!B284</f>
        <v>98396643</v>
      </c>
      <c r="D175" s="18" t="str">
        <f t="shared" si="23"/>
        <v>https://centrodecapacitaciondelsur.com/atencion-a-victimas-del-conflicto-armado-98396643/</v>
      </c>
    </row>
    <row r="176" spans="1:4" ht="60" customHeight="1" x14ac:dyDescent="0.25">
      <c r="A176" s="22" t="s">
        <v>66</v>
      </c>
      <c r="B176" s="28" t="str">
        <f t="shared" si="17"/>
        <v>https://centrodecapacitaciondelsur.com/manejo-del-dolor-y-cuidados-paliativos-</v>
      </c>
      <c r="C176" s="49">
        <f>INSCRITOS!B287+link!B285</f>
        <v>98396643</v>
      </c>
      <c r="D176" s="18" t="str">
        <f t="shared" si="23"/>
        <v>https://centrodecapacitaciondelsur.com/manejo-del-dolor-y-cuidados-paliativos-98396643/</v>
      </c>
    </row>
    <row r="177" spans="1:4" ht="60" customHeight="1" x14ac:dyDescent="0.25">
      <c r="A177" s="22" t="s">
        <v>46</v>
      </c>
      <c r="B177" s="28" t="str">
        <f t="shared" si="17"/>
        <v>https://centrodecapacitaciondelsur.com/violencia-sexual-</v>
      </c>
      <c r="C177" s="49">
        <f>INSCRITOS!B288+link!B286</f>
        <v>98396643</v>
      </c>
      <c r="D177" s="18" t="str">
        <f t="shared" si="23"/>
        <v>https://centrodecapacitaciondelsur.com/violencia-sexual-98396643/</v>
      </c>
    </row>
    <row r="178" spans="1:4" ht="60" customHeight="1" x14ac:dyDescent="0.25">
      <c r="A178" s="55" t="s">
        <v>46</v>
      </c>
      <c r="B178" s="28" t="str">
        <f t="shared" si="17"/>
        <v>https://centrodecapacitaciondelsur.com/violencia-sexual-</v>
      </c>
      <c r="C178" s="49">
        <f>INSCRITOS!B289+link!B287</f>
        <v>1144065320</v>
      </c>
      <c r="D178" s="18" t="str">
        <f t="shared" si="23"/>
        <v>https://centrodecapacitaciondelsur.com/violencia-sexual-1144065320/</v>
      </c>
    </row>
    <row r="179" spans="1:4" ht="60" customHeight="1" x14ac:dyDescent="0.25">
      <c r="A179" s="55" t="s">
        <v>25</v>
      </c>
      <c r="B179" s="28" t="str">
        <f t="shared" si="17"/>
        <v>https://centrodecapacitaciondelsur.com/victimas-por-agentes-quimicos-</v>
      </c>
      <c r="C179" s="49">
        <f>INSCRITOS!B290+link!B288</f>
        <v>1144065320</v>
      </c>
      <c r="D179" s="18" t="str">
        <f t="shared" si="23"/>
        <v>https://centrodecapacitaciondelsur.com/victimas-por-agentes-quimicos-1144065320/</v>
      </c>
    </row>
    <row r="180" spans="1:4" ht="60" customHeight="1" x14ac:dyDescent="0.25">
      <c r="A180" s="55" t="s">
        <v>33</v>
      </c>
      <c r="B180" s="28" t="str">
        <f t="shared" si="17"/>
        <v>https://centrodecapacitaciondelsur.com/humanizacion-</v>
      </c>
      <c r="C180" s="49">
        <f>INSCRITOS!B291+link!B289</f>
        <v>1144065320</v>
      </c>
      <c r="D180" s="18" t="str">
        <f t="shared" si="23"/>
        <v>https://centrodecapacitaciondelsur.com/humanizacion-1144065320/</v>
      </c>
    </row>
    <row r="181" spans="1:4" ht="60" customHeight="1" x14ac:dyDescent="0.25">
      <c r="A181" s="55" t="s">
        <v>249</v>
      </c>
      <c r="B181" s="28" t="str">
        <f t="shared" si="17"/>
        <v>https://centrodecapacitaciondelsur.com/donante-de-organos-</v>
      </c>
      <c r="C181" s="49">
        <f>INSCRITOS!B292+link!B290</f>
        <v>1144065320</v>
      </c>
      <c r="D181" s="18" t="str">
        <f t="shared" si="23"/>
        <v>https://centrodecapacitaciondelsur.com/donante-de-organos-1144065320/</v>
      </c>
    </row>
    <row r="182" spans="1:4" ht="60" customHeight="1" x14ac:dyDescent="0.25">
      <c r="A182" s="55" t="s">
        <v>75</v>
      </c>
      <c r="B182" s="28" t="str">
        <f t="shared" si="17"/>
        <v>https://centrodecapacitaciondelsur.com/atencion-a-victimas-del-conflicto-armado-</v>
      </c>
      <c r="C182" s="49">
        <f>INSCRITOS!B293+link!B291</f>
        <v>1144065320</v>
      </c>
      <c r="D182" s="18" t="str">
        <f t="shared" si="23"/>
        <v>https://centrodecapacitaciondelsur.com/atencion-a-victimas-del-conflicto-armado-1144065320/</v>
      </c>
    </row>
    <row r="183" spans="1:4" ht="60" customHeight="1" x14ac:dyDescent="0.25">
      <c r="A183" s="55" t="s">
        <v>66</v>
      </c>
      <c r="B183" s="28" t="str">
        <f t="shared" si="17"/>
        <v>https://centrodecapacitaciondelsur.com/manejo-del-dolor-y-cuidados-paliativos-</v>
      </c>
      <c r="C183" s="49">
        <f>INSCRITOS!B294+link!B292</f>
        <v>1144065320</v>
      </c>
      <c r="D183" s="18" t="str">
        <f t="shared" si="23"/>
        <v>https://centrodecapacitaciondelsur.com/manejo-del-dolor-y-cuidados-paliativos-1144065320/</v>
      </c>
    </row>
    <row r="184" spans="1:4" ht="60" customHeight="1" x14ac:dyDescent="0.25">
      <c r="A184" s="55" t="s">
        <v>381</v>
      </c>
      <c r="B184" s="28" t="str">
        <f t="shared" si="17"/>
        <v>https://centrodecapacitaciondelsur.com/manejo-del-duelo-</v>
      </c>
      <c r="C184" s="49">
        <f>INSCRITOS!B295+link!B293</f>
        <v>1144065320</v>
      </c>
      <c r="D184" s="18" t="str">
        <f t="shared" si="23"/>
        <v>https://centrodecapacitaciondelsur.com/manejo-del-duelo-1144065320/</v>
      </c>
    </row>
    <row r="185" spans="1:4" ht="60" customHeight="1" x14ac:dyDescent="0.25">
      <c r="A185" s="55" t="s">
        <v>56</v>
      </c>
      <c r="B185" s="28" t="str">
        <f t="shared" si="17"/>
        <v>https://centrodecapacitaciondelsur.com/iami-</v>
      </c>
      <c r="C185" s="49">
        <f>INSCRITOS!B296+link!B294</f>
        <v>1144065320</v>
      </c>
      <c r="D185" s="18" t="str">
        <f t="shared" si="23"/>
        <v>https://centrodecapacitaciondelsur.com/iami-1144065320/</v>
      </c>
    </row>
    <row r="186" spans="1:4" ht="60" customHeight="1" x14ac:dyDescent="0.25">
      <c r="A186" s="55" t="s">
        <v>50</v>
      </c>
      <c r="B186" s="28" t="str">
        <f t="shared" si="17"/>
        <v>https://centrodecapacitaciondelsur.com/aiepi-</v>
      </c>
      <c r="C186" s="49">
        <f>INSCRITOS!B297+link!B295</f>
        <v>1144065320</v>
      </c>
      <c r="D186" s="18" t="str">
        <f t="shared" ref="D186:D197" si="24">CONCATENATE(B186,C186,"/")</f>
        <v>https://centrodecapacitaciondelsur.com/aiepi-1144065320/</v>
      </c>
    </row>
    <row r="187" spans="1:4" ht="60" customHeight="1" x14ac:dyDescent="0.25">
      <c r="A187" s="20" t="s">
        <v>46</v>
      </c>
      <c r="B187" s="28" t="str">
        <f t="shared" si="17"/>
        <v>https://centrodecapacitaciondelsur.com/violencia-sexual-</v>
      </c>
      <c r="C187" s="49">
        <f>INSCRITOS!B298+link!B296</f>
        <v>1088735494</v>
      </c>
      <c r="D187" s="18" t="str">
        <f t="shared" si="24"/>
        <v>https://centrodecapacitaciondelsur.com/violencia-sexual-1088735494/</v>
      </c>
    </row>
    <row r="188" spans="1:4" ht="60" customHeight="1" x14ac:dyDescent="0.25">
      <c r="A188" s="20" t="s">
        <v>33</v>
      </c>
      <c r="B188" s="28" t="str">
        <f t="shared" si="17"/>
        <v>https://centrodecapacitaciondelsur.com/humanizacion-</v>
      </c>
      <c r="C188" s="49">
        <f>INSCRITOS!B299+link!B297</f>
        <v>1088735494</v>
      </c>
      <c r="D188" s="18" t="str">
        <f t="shared" si="24"/>
        <v>https://centrodecapacitaciondelsur.com/humanizacion-1088735494/</v>
      </c>
    </row>
    <row r="189" spans="1:4" ht="60" customHeight="1" x14ac:dyDescent="0.25">
      <c r="A189" s="20" t="s">
        <v>46</v>
      </c>
      <c r="B189" s="28" t="str">
        <f t="shared" si="17"/>
        <v>https://centrodecapacitaciondelsur.com/violencia-sexual-</v>
      </c>
      <c r="C189" s="49">
        <f>INSCRITOS!B300+link!B298</f>
        <v>1123330985</v>
      </c>
      <c r="D189" s="18" t="str">
        <f t="shared" si="24"/>
        <v>https://centrodecapacitaciondelsur.com/violencia-sexual-1123330985/</v>
      </c>
    </row>
    <row r="190" spans="1:4" ht="60" customHeight="1" x14ac:dyDescent="0.25">
      <c r="A190" s="20" t="s">
        <v>33</v>
      </c>
      <c r="B190" s="28" t="str">
        <f t="shared" si="17"/>
        <v>https://centrodecapacitaciondelsur.com/humanizacion-</v>
      </c>
      <c r="C190" s="49">
        <f>INSCRITOS!B301+link!B299</f>
        <v>1123330985</v>
      </c>
      <c r="D190" s="18" t="str">
        <f t="shared" si="24"/>
        <v>https://centrodecapacitaciondelsur.com/humanizacion-1123330985/</v>
      </c>
    </row>
    <row r="191" spans="1:4" ht="60" customHeight="1" x14ac:dyDescent="0.25">
      <c r="A191" s="20" t="s">
        <v>19</v>
      </c>
      <c r="B191" s="28" t="str">
        <f t="shared" si="17"/>
        <v>https://centrodecapacitaciondelsur.com/soporte-basico-de-vida-</v>
      </c>
      <c r="C191" s="49">
        <f>INSCRITOS!B302+link!B300</f>
        <v>1088736445</v>
      </c>
      <c r="D191" s="18" t="str">
        <f t="shared" si="24"/>
        <v>https://centrodecapacitaciondelsur.com/soporte-basico-de-vida-1088736445/</v>
      </c>
    </row>
    <row r="192" spans="1:4" ht="60" customHeight="1" x14ac:dyDescent="0.25">
      <c r="A192" s="20" t="s">
        <v>46</v>
      </c>
      <c r="B192" s="28" t="str">
        <f t="shared" si="17"/>
        <v>https://centrodecapacitaciondelsur.com/violencia-sexual-</v>
      </c>
      <c r="C192" s="49">
        <f>INSCRITOS!B303+link!B301</f>
        <v>1088736445</v>
      </c>
      <c r="D192" s="18" t="str">
        <f t="shared" si="24"/>
        <v>https://centrodecapacitaciondelsur.com/violencia-sexual-1088736445/</v>
      </c>
    </row>
    <row r="193" spans="1:4" ht="60" customHeight="1" x14ac:dyDescent="0.25">
      <c r="A193" s="20" t="s">
        <v>25</v>
      </c>
      <c r="B193" s="28" t="str">
        <f t="shared" si="17"/>
        <v>https://centrodecapacitaciondelsur.com/victimas-por-agentes-quimicos-</v>
      </c>
      <c r="C193" s="49">
        <f>INSCRITOS!B304+link!B302</f>
        <v>1088736445</v>
      </c>
      <c r="D193" s="18" t="str">
        <f t="shared" si="24"/>
        <v>https://centrodecapacitaciondelsur.com/victimas-por-agentes-quimicos-1088736445/</v>
      </c>
    </row>
    <row r="194" spans="1:4" ht="60" customHeight="1" x14ac:dyDescent="0.25">
      <c r="A194" s="20" t="s">
        <v>381</v>
      </c>
      <c r="B194" s="28" t="str">
        <f t="shared" si="17"/>
        <v>https://centrodecapacitaciondelsur.com/manejo-del-duelo-</v>
      </c>
      <c r="C194" s="49">
        <f>INSCRITOS!B305+link!B303</f>
        <v>1088736445</v>
      </c>
      <c r="D194" s="18" t="str">
        <f t="shared" si="24"/>
        <v>https://centrodecapacitaciondelsur.com/manejo-del-duelo-1088736445/</v>
      </c>
    </row>
    <row r="195" spans="1:4" ht="60" customHeight="1" x14ac:dyDescent="0.25">
      <c r="A195" s="20" t="s">
        <v>381</v>
      </c>
      <c r="B195" s="28" t="str">
        <f t="shared" ref="B195:B199" si="25">IF(A195=$H$2,"https://centrodecapacitaciondelsur.com/aph-",IF(A195=$H$3,"https://centrodecapacitaciondelsur.com/manejo-del-duelo-",IF(A195=$H$4,"https://centrodecapacitaciondelsur.com/victimas-por-agentes-quimicos-",IF(A195=$H$5,"https://centrodecapacitaciondelsur.com/primeros-auxilios-",IF(A195=$H$6,"https://centrodecapacitaciondelsur.com/uci-",IF(A195=$H$8,"https://centrodecapacitaciondelsur.com/humanizacion-",IF(A195=$H$11,"https://centrodecapacitaciondelsur.com/soporte-cardiovascular-avanzado-",IF(A195=$H$12,"https://centrodecapacitaciondelsur.com/camillero-",IF(A195=$H$13,"https://centrodecapacitaciondelsur.com/toma-de-muestras-y-lab-clinico-",IF(A195=$H$14,"https://centrodecapacitaciondelsur.com/soporte-basico-de-vida-",IF(A195=$H$15,"https://centrodecapacitaciondelsur.com/violencia-sexual-",IF(A195=$H$17,"https://centrodecapacitaciondelsur.com/aiepi-",IF(A195=$H$18,"https://centrodecapacitaciondelsur.com/adm-medicamentos-canalizacion-inyectologia-",IF(A195=$H$25,"https://centrodecapacitaciondelsur.com/manejo-del-dolor-y-cuidados-paliativos-",IF(A195=$H$26,"https://centrodecapacitaciondelsur.com/toma-de-muestras-y-lab-clinico-poct-",IF(A195=$H$27,"https://centrodecapacitaciondelsur.com/implante-subdermico-",IF(A195=$H$21,"https://centrodecapacitaciondelsur.com/donante-de-organos-",IF(A195=$H$30,"https://centrodecapacitaciondelsur.com/atencion-a-victimas-del-conflicto-armado-",IF(A195=$H$20,"https://centrodecapacitaciondelsur.com/iami-",IF(A195=$H$22,"https://centrodecapacitaciondelsur.com/violencia-de-genero-",IF(A195=$H$23,"https://centrodecapacitaciondelsur.com/igualdad-de-genero-")))))))))))))))))))))</f>
        <v>https://centrodecapacitaciondelsur.com/manejo-del-duelo-</v>
      </c>
      <c r="C195" s="49">
        <f>INSCRITOS!B306+link!B304</f>
        <v>59314884</v>
      </c>
      <c r="D195" s="18" t="str">
        <f t="shared" si="24"/>
        <v>https://centrodecapacitaciondelsur.com/manejo-del-duelo-59314884/</v>
      </c>
    </row>
    <row r="196" spans="1:4" ht="60" customHeight="1" x14ac:dyDescent="0.25">
      <c r="A196" s="20" t="s">
        <v>66</v>
      </c>
      <c r="B196" s="28" t="str">
        <f t="shared" si="25"/>
        <v>https://centrodecapacitaciondelsur.com/manejo-del-dolor-y-cuidados-paliativos-</v>
      </c>
      <c r="C196" s="49">
        <f>INSCRITOS!B307+link!B305</f>
        <v>59314884</v>
      </c>
      <c r="D196" s="18" t="str">
        <f t="shared" si="24"/>
        <v>https://centrodecapacitaciondelsur.com/manejo-del-dolor-y-cuidados-paliativos-59314884/</v>
      </c>
    </row>
    <row r="197" spans="1:4" ht="60" customHeight="1" x14ac:dyDescent="0.25">
      <c r="A197" s="20" t="s">
        <v>46</v>
      </c>
      <c r="B197" s="28" t="str">
        <f t="shared" si="25"/>
        <v>https://centrodecapacitaciondelsur.com/violencia-sexual-</v>
      </c>
      <c r="C197" s="49">
        <f>INSCRITOS!B308+link!B306</f>
        <v>59314884</v>
      </c>
      <c r="D197" s="18" t="str">
        <f t="shared" si="24"/>
        <v>https://centrodecapacitaciondelsur.com/violencia-sexual-59314884/</v>
      </c>
    </row>
    <row r="198" spans="1:4" ht="60" customHeight="1" x14ac:dyDescent="0.25">
      <c r="A198" s="20" t="s">
        <v>39</v>
      </c>
      <c r="B198" s="28" t="str">
        <f t="shared" si="25"/>
        <v>https://centrodecapacitaciondelsur.com/soporte-cardiovascular-avanzado-</v>
      </c>
      <c r="C198" s="49">
        <f>INSCRITOS!B309+link!B307</f>
        <v>1085935672</v>
      </c>
      <c r="D198" s="18" t="str">
        <f t="shared" ref="D198:D199" si="26">CONCATENATE(B198,C198,"/")</f>
        <v>https://centrodecapacitaciondelsur.com/soporte-cardiovascular-avanzado-1085935672/</v>
      </c>
    </row>
    <row r="199" spans="1:4" ht="60" customHeight="1" x14ac:dyDescent="0.25">
      <c r="A199" s="20" t="s">
        <v>46</v>
      </c>
      <c r="B199" s="28" t="str">
        <f t="shared" si="25"/>
        <v>https://centrodecapacitaciondelsur.com/violencia-sexual-</v>
      </c>
      <c r="C199" s="49">
        <f>INSCRITOS!B310+link!B308</f>
        <v>1085935672</v>
      </c>
      <c r="D199" s="18" t="str">
        <f t="shared" si="26"/>
        <v>https://centrodecapacitaciondelsur.com/violencia-sexual-1085935672/</v>
      </c>
    </row>
    <row r="200" spans="1:4" ht="60" customHeight="1" x14ac:dyDescent="0.25">
      <c r="A200" s="22" t="s">
        <v>33</v>
      </c>
      <c r="B200" s="28" t="str">
        <f t="shared" ref="B200:B232" si="27">IF(A200=$H$2,"https://centrodecapacitaciondelsur.com/aph-",IF(A200=$H$3,"https://centrodecapacitaciondelsur.com/manejo-del-duelo-",IF(A200=$H$4,"https://centrodecapacitaciondelsur.com/victimas-por-agentes-quimicos-",IF(A200=$H$5,"https://centrodecapacitaciondelsur.com/primeros-auxilios-",IF(A200=$H$6,"https://centrodecapacitaciondelsur.com/uci-",IF(A200=$H$8,"https://centrodecapacitaciondelsur.com/humanizacion-",IF(A200=$H$11,"https://centrodecapacitaciondelsur.com/soporte-cardiovascular-avanzado-",IF(A200=$H$12,"https://centrodecapacitaciondelsur.com/camillero-",IF(A200=$H$13,"https://centrodecapacitaciondelsur.com/toma-de-muestras-y-lab-clinico-",IF(A200=$H$14,"https://centrodecapacitaciondelsur.com/soporte-basico-de-vida-",IF(A200=$H$15,"https://centrodecapacitaciondelsur.com/violencia-sexual-",IF(A200=$H$17,"https://centrodecapacitaciondelsur.com/aiepi-",IF(A200=$H$18,"https://centrodecapacitaciondelsur.com/adm-medicamentos-canalizacion-inyectologia-",IF(A200=$H$25,"https://centrodecapacitaciondelsur.com/manejo-del-dolor-y-cuidados-paliativos-",IF(A200=$H$26,"https://centrodecapacitaciondelsur.com/toma-de-muestras-y-lab-clinico-poct-",IF(A200=$H$27,"https://centrodecapacitaciondelsur.com/implante-subdermico-",IF(A200=$H$21,"https://centrodecapacitaciondelsur.com/donante-de-organos-",IF(A200=$H$30,"https://centrodecapacitaciondelsur.com/atencion-a-victimas-del-conflicto-armado-",IF(A200=$H$20,"https://centrodecapacitaciondelsur.com/iami-",IF(A200=$H$22,"https://centrodecapacitaciondelsur.com/violencia-de-genero-",IF(A200=$H$23,"https://centrodecapacitaciondelsur.com/igualdad-de-genero-")))))))))))))))))))))</f>
        <v>https://centrodecapacitaciondelsur.com/humanizacion-</v>
      </c>
      <c r="C200" s="49">
        <f>INSCRITOS!B311+link!B309</f>
        <v>1088737954</v>
      </c>
      <c r="D200" s="18" t="str">
        <f t="shared" ref="D200:D231" si="28">CONCATENATE(B200,C200,"/")</f>
        <v>https://centrodecapacitaciondelsur.com/humanizacion-1088737954/</v>
      </c>
    </row>
    <row r="201" spans="1:4" ht="60" customHeight="1" x14ac:dyDescent="0.25">
      <c r="A201" s="22" t="s">
        <v>50</v>
      </c>
      <c r="B201" s="28" t="str">
        <f t="shared" si="27"/>
        <v>https://centrodecapacitaciondelsur.com/aiepi-</v>
      </c>
      <c r="C201" s="49">
        <f>INSCRITOS!B312+link!B310</f>
        <v>1032424255</v>
      </c>
      <c r="D201" s="18" t="str">
        <f t="shared" si="28"/>
        <v>https://centrodecapacitaciondelsur.com/aiepi-1032424255/</v>
      </c>
    </row>
    <row r="202" spans="1:4" ht="60" customHeight="1" x14ac:dyDescent="0.25">
      <c r="A202" s="22" t="s">
        <v>33</v>
      </c>
      <c r="B202" s="28" t="str">
        <f t="shared" si="27"/>
        <v>https://centrodecapacitaciondelsur.com/humanizacion-</v>
      </c>
      <c r="C202" s="49">
        <f>INSCRITOS!B313+link!B311</f>
        <v>1032424255</v>
      </c>
      <c r="D202" s="18" t="str">
        <f t="shared" si="28"/>
        <v>https://centrodecapacitaciondelsur.com/humanizacion-1032424255/</v>
      </c>
    </row>
    <row r="203" spans="1:4" ht="60" customHeight="1" x14ac:dyDescent="0.25">
      <c r="A203" s="22" t="s">
        <v>411</v>
      </c>
      <c r="B203" s="28" t="str">
        <f t="shared" si="27"/>
        <v>https://centrodecapacitaciondelsur.com/victimas-por-agentes-quimicos-</v>
      </c>
      <c r="C203" s="49">
        <f>INSCRITOS!B314+link!B312</f>
        <v>1088733716</v>
      </c>
      <c r="D203" s="18" t="str">
        <f t="shared" si="28"/>
        <v>https://centrodecapacitaciondelsur.com/victimas-por-agentes-quimicos-1088733716/</v>
      </c>
    </row>
    <row r="204" spans="1:4" ht="60" customHeight="1" x14ac:dyDescent="0.25">
      <c r="A204" s="22" t="s">
        <v>561</v>
      </c>
      <c r="B204" s="28" t="str">
        <f t="shared" si="27"/>
        <v>https://centrodecapacitaciondelsur.com/violencia-sexual-</v>
      </c>
      <c r="C204" s="49">
        <f>INSCRITOS!B315+link!B313</f>
        <v>1088733716</v>
      </c>
      <c r="D204" s="18" t="str">
        <f t="shared" si="28"/>
        <v>https://centrodecapacitaciondelsur.com/violencia-sexual-1088733716/</v>
      </c>
    </row>
    <row r="205" spans="1:4" ht="60" customHeight="1" x14ac:dyDescent="0.25">
      <c r="A205" s="22" t="s">
        <v>381</v>
      </c>
      <c r="B205" s="28" t="str">
        <f t="shared" si="27"/>
        <v>https://centrodecapacitaciondelsur.com/manejo-del-duelo-</v>
      </c>
      <c r="C205" s="49">
        <f>INSCRITOS!B316+link!B314</f>
        <v>1088733716</v>
      </c>
      <c r="D205" s="18" t="str">
        <f t="shared" si="28"/>
        <v>https://centrodecapacitaciondelsur.com/manejo-del-duelo-1088733716/</v>
      </c>
    </row>
    <row r="206" spans="1:4" ht="60" customHeight="1" x14ac:dyDescent="0.25">
      <c r="A206" s="22" t="s">
        <v>411</v>
      </c>
      <c r="B206" s="28" t="str">
        <f t="shared" si="27"/>
        <v>https://centrodecapacitaciondelsur.com/victimas-por-agentes-quimicos-</v>
      </c>
      <c r="C206" s="49">
        <f>INSCRITOS!B317+link!B315</f>
        <v>1085268026</v>
      </c>
      <c r="D206" s="18" t="str">
        <f t="shared" si="28"/>
        <v>https://centrodecapacitaciondelsur.com/victimas-por-agentes-quimicos-1085268026/</v>
      </c>
    </row>
    <row r="207" spans="1:4" ht="60" customHeight="1" x14ac:dyDescent="0.25">
      <c r="A207" s="22" t="s">
        <v>33</v>
      </c>
      <c r="B207" s="28" t="str">
        <f t="shared" si="27"/>
        <v>https://centrodecapacitaciondelsur.com/humanizacion-</v>
      </c>
      <c r="C207" s="49">
        <f>INSCRITOS!B318+link!B316</f>
        <v>1085268026</v>
      </c>
      <c r="D207" s="18" t="str">
        <f t="shared" si="28"/>
        <v>https://centrodecapacitaciondelsur.com/humanizacion-1085268026/</v>
      </c>
    </row>
    <row r="208" spans="1:4" ht="60" customHeight="1" x14ac:dyDescent="0.25">
      <c r="A208" s="22" t="s">
        <v>29</v>
      </c>
      <c r="B208" s="28" t="str">
        <f t="shared" si="27"/>
        <v>https://centrodecapacitaciondelsur.com/uci-</v>
      </c>
      <c r="C208" s="49">
        <f>INSCRITOS!B319+link!B317</f>
        <v>36997355</v>
      </c>
      <c r="D208" s="18" t="str">
        <f t="shared" si="28"/>
        <v>https://centrodecapacitaciondelsur.com/uci-36997355/</v>
      </c>
    </row>
    <row r="209" spans="1:5" ht="60" customHeight="1" x14ac:dyDescent="0.25">
      <c r="A209" s="22" t="s">
        <v>573</v>
      </c>
      <c r="B209" s="28" t="str">
        <f t="shared" si="27"/>
        <v>https://centrodecapacitaciondelsur.com/soporte-basico-de-vida-</v>
      </c>
      <c r="C209" s="49">
        <f>INSCRITOS!B320+link!B318</f>
        <v>59794079</v>
      </c>
      <c r="D209" s="18" t="str">
        <f t="shared" si="28"/>
        <v>https://centrodecapacitaciondelsur.com/soporte-basico-de-vida-59794079/</v>
      </c>
    </row>
    <row r="210" spans="1:5" ht="60" customHeight="1" x14ac:dyDescent="0.25">
      <c r="A210" s="22" t="s">
        <v>411</v>
      </c>
      <c r="B210" s="28" t="str">
        <f t="shared" si="27"/>
        <v>https://centrodecapacitaciondelsur.com/victimas-por-agentes-quimicos-</v>
      </c>
      <c r="C210" s="49">
        <f>INSCRITOS!B321+link!B319</f>
        <v>59794079</v>
      </c>
      <c r="D210" s="18" t="str">
        <f t="shared" si="28"/>
        <v>https://centrodecapacitaciondelsur.com/victimas-por-agentes-quimicos-59794079/</v>
      </c>
    </row>
    <row r="211" spans="1:5" ht="60" customHeight="1" x14ac:dyDescent="0.25">
      <c r="A211" s="22" t="s">
        <v>46</v>
      </c>
      <c r="B211" s="28" t="str">
        <f t="shared" si="27"/>
        <v>https://centrodecapacitaciondelsur.com/violencia-sexual-</v>
      </c>
      <c r="C211" s="49">
        <f>INSCRITOS!B322+link!B320</f>
        <v>59794079</v>
      </c>
      <c r="D211" s="18" t="str">
        <f t="shared" si="28"/>
        <v>https://centrodecapacitaciondelsur.com/violencia-sexual-59794079/</v>
      </c>
    </row>
    <row r="212" spans="1:5" ht="60" customHeight="1" x14ac:dyDescent="0.25">
      <c r="A212" s="22" t="s">
        <v>23</v>
      </c>
      <c r="B212" s="28" t="str">
        <f t="shared" si="27"/>
        <v>https://centrodecapacitaciondelsur.com/manejo-del-duelo-</v>
      </c>
      <c r="C212" s="49">
        <f>INSCRITOS!B323+link!B321</f>
        <v>59794079</v>
      </c>
      <c r="D212" s="18" t="str">
        <f t="shared" si="28"/>
        <v>https://centrodecapacitaciondelsur.com/manejo-del-duelo-59794079/</v>
      </c>
    </row>
    <row r="213" spans="1:5" ht="60" customHeight="1" x14ac:dyDescent="0.25">
      <c r="A213" s="22" t="s">
        <v>573</v>
      </c>
      <c r="B213" s="28" t="str">
        <f t="shared" si="27"/>
        <v>https://centrodecapacitaciondelsur.com/soporte-basico-de-vida-</v>
      </c>
      <c r="C213" s="49">
        <f>INSCRITOS!B324+link!B322</f>
        <v>1087128499</v>
      </c>
      <c r="D213" s="18" t="str">
        <f t="shared" si="28"/>
        <v>https://centrodecapacitaciondelsur.com/soporte-basico-de-vida-1087128499/</v>
      </c>
    </row>
    <row r="214" spans="1:5" ht="60" customHeight="1" x14ac:dyDescent="0.25">
      <c r="A214" s="22" t="s">
        <v>411</v>
      </c>
      <c r="B214" s="28" t="str">
        <f t="shared" si="27"/>
        <v>https://centrodecapacitaciondelsur.com/victimas-por-agentes-quimicos-</v>
      </c>
      <c r="C214" s="49">
        <f>INSCRITOS!B325+link!B323</f>
        <v>1087128499</v>
      </c>
      <c r="D214" s="18" t="str">
        <f t="shared" si="28"/>
        <v>https://centrodecapacitaciondelsur.com/victimas-por-agentes-quimicos-1087128499/</v>
      </c>
    </row>
    <row r="215" spans="1:5" ht="60" customHeight="1" x14ac:dyDescent="0.25">
      <c r="A215" s="22" t="s">
        <v>46</v>
      </c>
      <c r="B215" s="28" t="str">
        <f t="shared" si="27"/>
        <v>https://centrodecapacitaciondelsur.com/violencia-sexual-</v>
      </c>
      <c r="C215" s="49">
        <f>INSCRITOS!B326+link!B324</f>
        <v>1087128499</v>
      </c>
      <c r="D215" s="18" t="str">
        <f t="shared" si="28"/>
        <v>https://centrodecapacitaciondelsur.com/violencia-sexual-1087128499/</v>
      </c>
    </row>
    <row r="216" spans="1:5" ht="60" customHeight="1" x14ac:dyDescent="0.25">
      <c r="A216" s="24" t="s">
        <v>46</v>
      </c>
      <c r="B216" s="28" t="str">
        <f t="shared" si="27"/>
        <v>https://centrodecapacitaciondelsur.com/violencia-sexual-</v>
      </c>
      <c r="C216" s="49">
        <f>INSCRITOS!B327+link!B325</f>
        <v>1144147241</v>
      </c>
      <c r="D216" s="18" t="str">
        <f t="shared" si="28"/>
        <v>https://centrodecapacitaciondelsur.com/violencia-sexual-1144147241/</v>
      </c>
    </row>
    <row r="217" spans="1:5" ht="60.75" customHeight="1" x14ac:dyDescent="0.25">
      <c r="A217" s="24" t="s">
        <v>19</v>
      </c>
      <c r="B217" s="28" t="str">
        <f t="shared" si="27"/>
        <v>https://centrodecapacitaciondelsur.com/soporte-basico-de-vida-</v>
      </c>
      <c r="C217" s="49">
        <f>INSCRITOS!B328+link!B326</f>
        <v>1030653759</v>
      </c>
      <c r="D217" s="18" t="str">
        <f t="shared" si="28"/>
        <v>https://centrodecapacitaciondelsur.com/soporte-basico-de-vida-1030653759/</v>
      </c>
    </row>
    <row r="218" spans="1:5" ht="60.75" customHeight="1" x14ac:dyDescent="0.25">
      <c r="A218" s="24" t="s">
        <v>46</v>
      </c>
      <c r="B218" s="28" t="str">
        <f t="shared" si="27"/>
        <v>https://centrodecapacitaciondelsur.com/violencia-sexual-</v>
      </c>
      <c r="C218" s="49">
        <f>INSCRITOS!B329+link!B327</f>
        <v>1030653759</v>
      </c>
      <c r="D218" s="18" t="str">
        <f t="shared" si="28"/>
        <v>https://centrodecapacitaciondelsur.com/violencia-sexual-1030653759/</v>
      </c>
    </row>
    <row r="219" spans="1:5" ht="60.75" customHeight="1" x14ac:dyDescent="0.25">
      <c r="A219" s="24" t="s">
        <v>19</v>
      </c>
      <c r="B219" s="28" t="str">
        <f t="shared" si="27"/>
        <v>https://centrodecapacitaciondelsur.com/soporte-basico-de-vida-</v>
      </c>
      <c r="C219" s="49">
        <f>INSCRITOS!B330+link!B328</f>
        <v>1088651257</v>
      </c>
      <c r="D219" s="18" t="str">
        <f t="shared" si="28"/>
        <v>https://centrodecapacitaciondelsur.com/soporte-basico-de-vida-1088651257/</v>
      </c>
      <c r="E219" t="e" cm="1">
        <f t="array" aca="1" ref="E219" ca="1">CodigoQr(D219)</f>
        <v>#NAME?</v>
      </c>
    </row>
    <row r="220" spans="1:5" ht="60.75" customHeight="1" x14ac:dyDescent="0.25">
      <c r="A220" s="24" t="s">
        <v>722</v>
      </c>
      <c r="B220" s="28" t="b">
        <f t="shared" si="27"/>
        <v>0</v>
      </c>
      <c r="C220" s="49">
        <f>INSCRITOS!B331+link!B329</f>
        <v>1004338451</v>
      </c>
      <c r="D220" s="18" t="str">
        <f t="shared" si="28"/>
        <v>FALSO1004338451/</v>
      </c>
    </row>
    <row r="221" spans="1:5" ht="60.75" customHeight="1" x14ac:dyDescent="0.25">
      <c r="A221" s="24" t="s">
        <v>411</v>
      </c>
      <c r="B221" s="28" t="str">
        <f t="shared" si="27"/>
        <v>https://centrodecapacitaciondelsur.com/victimas-por-agentes-quimicos-</v>
      </c>
      <c r="C221" s="49">
        <f>INSCRITOS!B332+link!B330</f>
        <v>1004338451</v>
      </c>
      <c r="D221" s="18" t="str">
        <f t="shared" si="28"/>
        <v>https://centrodecapacitaciondelsur.com/victimas-por-agentes-quimicos-1004338451/</v>
      </c>
    </row>
    <row r="222" spans="1:5" ht="60.75" customHeight="1" x14ac:dyDescent="0.25">
      <c r="A222" s="24" t="s">
        <v>60</v>
      </c>
      <c r="B222" s="28" t="str">
        <f t="shared" si="27"/>
        <v>https://centrodecapacitaciondelsur.com/violencia-de-genero-</v>
      </c>
      <c r="C222" s="49">
        <f>INSCRITOS!B333+link!B331</f>
        <v>1004338451</v>
      </c>
      <c r="D222" s="18" t="str">
        <f t="shared" si="28"/>
        <v>https://centrodecapacitaciondelsur.com/violencia-de-genero-1004338451/</v>
      </c>
    </row>
    <row r="223" spans="1:5" ht="60.75" customHeight="1" x14ac:dyDescent="0.25">
      <c r="A223" s="24" t="s">
        <v>62</v>
      </c>
      <c r="B223" s="28" t="str">
        <f t="shared" si="27"/>
        <v>https://centrodecapacitaciondelsur.com/igualdad-de-genero-</v>
      </c>
      <c r="C223" s="49">
        <f>INSCRITOS!B334+link!B332</f>
        <v>1004338451</v>
      </c>
      <c r="D223" s="18" t="str">
        <f t="shared" si="28"/>
        <v>https://centrodecapacitaciondelsur.com/igualdad-de-genero-1004338451/</v>
      </c>
    </row>
    <row r="224" spans="1:5" ht="60.75" customHeight="1" x14ac:dyDescent="0.25">
      <c r="A224" s="24" t="s">
        <v>19</v>
      </c>
      <c r="B224" s="28" t="str">
        <f t="shared" si="27"/>
        <v>https://centrodecapacitaciondelsur.com/soporte-basico-de-vida-</v>
      </c>
      <c r="C224" s="49">
        <f>INSCRITOS!B335+link!B333</f>
        <v>1131084625</v>
      </c>
      <c r="D224" s="18" t="str">
        <f t="shared" si="28"/>
        <v>https://centrodecapacitaciondelsur.com/soporte-basico-de-vida-1131084625/</v>
      </c>
    </row>
    <row r="225" spans="1:4" ht="60.75" customHeight="1" x14ac:dyDescent="0.25">
      <c r="A225" s="24" t="s">
        <v>25</v>
      </c>
      <c r="B225" s="28" t="str">
        <f t="shared" si="27"/>
        <v>https://centrodecapacitaciondelsur.com/victimas-por-agentes-quimicos-</v>
      </c>
      <c r="C225" s="49">
        <f>INSCRITOS!B336+link!B334</f>
        <v>1088735917</v>
      </c>
      <c r="D225" s="18" t="str">
        <f t="shared" si="28"/>
        <v>https://centrodecapacitaciondelsur.com/victimas-por-agentes-quimicos-1088735917/</v>
      </c>
    </row>
    <row r="226" spans="1:4" ht="72.75" customHeight="1" x14ac:dyDescent="0.25">
      <c r="A226" s="24" t="s">
        <v>19</v>
      </c>
      <c r="B226" s="28" t="str">
        <f t="shared" si="27"/>
        <v>https://centrodecapacitaciondelsur.com/soporte-basico-de-vida-</v>
      </c>
      <c r="C226" s="49">
        <f>INSCRITOS!B337+link!B335</f>
        <v>1088733716</v>
      </c>
      <c r="D226" s="18" t="str">
        <f t="shared" si="28"/>
        <v>https://centrodecapacitaciondelsur.com/soporte-basico-de-vida-1088733716/</v>
      </c>
    </row>
    <row r="227" spans="1:4" ht="72.75" customHeight="1" x14ac:dyDescent="0.25">
      <c r="A227" t="s">
        <v>735</v>
      </c>
      <c r="B227" s="28" t="b">
        <f t="shared" si="27"/>
        <v>0</v>
      </c>
      <c r="C227" s="49">
        <f>INSCRITOS!B338+link!B336</f>
        <v>59310652</v>
      </c>
      <c r="D227" s="18" t="str">
        <f t="shared" si="28"/>
        <v>FALSO59310652/</v>
      </c>
    </row>
    <row r="228" spans="1:4" ht="72.75" customHeight="1" x14ac:dyDescent="0.25">
      <c r="A228" t="s">
        <v>735</v>
      </c>
      <c r="B228" s="28" t="b">
        <f t="shared" si="27"/>
        <v>0</v>
      </c>
      <c r="C228" s="49">
        <f>INSCRITOS!B339+link!B337</f>
        <v>30742386</v>
      </c>
      <c r="D228" s="18" t="str">
        <f t="shared" si="28"/>
        <v>FALSO30742386/</v>
      </c>
    </row>
    <row r="229" spans="1:4" ht="72.75" customHeight="1" x14ac:dyDescent="0.25">
      <c r="A229" t="s">
        <v>735</v>
      </c>
      <c r="B229" s="28" t="b">
        <f t="shared" si="27"/>
        <v>0</v>
      </c>
      <c r="C229" s="49">
        <f>INSCRITOS!B340+link!B338</f>
        <v>12970936</v>
      </c>
      <c r="D229" s="18" t="str">
        <f t="shared" si="28"/>
        <v>FALSO12970936/</v>
      </c>
    </row>
    <row r="230" spans="1:4" ht="72.75" customHeight="1" x14ac:dyDescent="0.25">
      <c r="A230" t="s">
        <v>735</v>
      </c>
      <c r="B230" s="28" t="b">
        <f t="shared" si="27"/>
        <v>0</v>
      </c>
      <c r="C230" s="49">
        <f>INSCRITOS!B341+link!B339</f>
        <v>1085301038</v>
      </c>
      <c r="D230" s="18" t="str">
        <f t="shared" si="28"/>
        <v>FALSO1085301038/</v>
      </c>
    </row>
    <row r="231" spans="1:4" ht="72.75" customHeight="1" x14ac:dyDescent="0.25">
      <c r="A231" t="s">
        <v>735</v>
      </c>
      <c r="B231" s="28" t="b">
        <f t="shared" si="27"/>
        <v>0</v>
      </c>
      <c r="C231" s="49">
        <f>INSCRITOS!B342+link!B340</f>
        <v>59313405</v>
      </c>
      <c r="D231" s="18" t="str">
        <f t="shared" si="28"/>
        <v>FALSO59313405/</v>
      </c>
    </row>
    <row r="232" spans="1:4" ht="72.75" customHeight="1" x14ac:dyDescent="0.25">
      <c r="A232" t="s">
        <v>19</v>
      </c>
      <c r="B232" s="28" t="str">
        <f t="shared" si="27"/>
        <v>https://centrodecapacitaciondelsur.com/soporte-basico-de-vida-</v>
      </c>
      <c r="C232" s="49">
        <f>INSCRITOS!B343+link!B341</f>
        <v>1085250304</v>
      </c>
      <c r="D232" s="18" t="str">
        <f t="shared" ref="D232" si="29">CONCATENATE(B232,C232,"/")</f>
        <v>https://centrodecapacitaciondelsur.com/soporte-basico-de-vida-1085250304/</v>
      </c>
    </row>
    <row r="233" spans="1:4" ht="72.75" customHeight="1" x14ac:dyDescent="0.25"/>
    <row r="234" spans="1:4" ht="72.75" customHeight="1" x14ac:dyDescent="0.25"/>
    <row r="235" spans="1:4" ht="72.75" customHeight="1" x14ac:dyDescent="0.25"/>
    <row r="236" spans="1:4" ht="72.75" customHeight="1" x14ac:dyDescent="0.25"/>
    <row r="237" spans="1:4" ht="72.75" customHeight="1" x14ac:dyDescent="0.25"/>
    <row r="238" spans="1:4" ht="72.75" customHeight="1" x14ac:dyDescent="0.25"/>
    <row r="239" spans="1:4" ht="72.75" customHeight="1" x14ac:dyDescent="0.25"/>
    <row r="240" spans="1:4" ht="72.75" customHeight="1" x14ac:dyDescent="0.25"/>
    <row r="241" ht="72.75" customHeight="1" x14ac:dyDescent="0.25"/>
    <row r="242" ht="72.75" customHeight="1" x14ac:dyDescent="0.25"/>
    <row r="243" ht="72.75" customHeight="1" x14ac:dyDescent="0.25"/>
    <row r="244" ht="72.75" customHeight="1" x14ac:dyDescent="0.25"/>
    <row r="245" ht="72.75" customHeight="1" x14ac:dyDescent="0.25"/>
    <row r="246" ht="72.75" customHeight="1" x14ac:dyDescent="0.25"/>
    <row r="247" ht="72.75" customHeight="1" x14ac:dyDescent="0.25"/>
    <row r="248" ht="72.75" customHeight="1" x14ac:dyDescent="0.25"/>
    <row r="249" ht="72.75" customHeight="1" x14ac:dyDescent="0.25"/>
    <row r="250" ht="72.75" customHeight="1" x14ac:dyDescent="0.25"/>
    <row r="251" ht="72.75" customHeight="1" x14ac:dyDescent="0.25"/>
    <row r="252" ht="72.75" customHeight="1" x14ac:dyDescent="0.25"/>
    <row r="253" ht="72.75" customHeight="1" x14ac:dyDescent="0.25"/>
    <row r="254" ht="72.75" customHeight="1" x14ac:dyDescent="0.25"/>
    <row r="255" ht="72.75" customHeight="1" x14ac:dyDescent="0.25"/>
    <row r="256" ht="72.75" customHeight="1" x14ac:dyDescent="0.25"/>
    <row r="257" ht="72.75" customHeight="1" x14ac:dyDescent="0.25"/>
    <row r="258" ht="72.75" customHeight="1" x14ac:dyDescent="0.25"/>
    <row r="259" ht="72.75" customHeight="1" x14ac:dyDescent="0.25"/>
    <row r="260" ht="72.75" customHeight="1" x14ac:dyDescent="0.25"/>
    <row r="261" ht="72.75" customHeight="1" x14ac:dyDescent="0.25"/>
    <row r="262" ht="72.75" customHeight="1" x14ac:dyDescent="0.25"/>
    <row r="263" ht="72.75" customHeight="1" x14ac:dyDescent="0.25"/>
    <row r="264" ht="72.75" customHeight="1" x14ac:dyDescent="0.25"/>
    <row r="265" ht="72.75" customHeight="1" x14ac:dyDescent="0.25"/>
    <row r="266" ht="72.75" customHeight="1" x14ac:dyDescent="0.25"/>
    <row r="267" ht="72.75" customHeight="1" x14ac:dyDescent="0.25"/>
    <row r="268" ht="72.75" customHeight="1" x14ac:dyDescent="0.25"/>
    <row r="269" ht="72.75" customHeight="1" x14ac:dyDescent="0.25"/>
    <row r="270" ht="72.75" customHeight="1" x14ac:dyDescent="0.25"/>
    <row r="271" ht="72.75" customHeight="1" x14ac:dyDescent="0.25"/>
    <row r="272" ht="72.75" customHeight="1" x14ac:dyDescent="0.25"/>
    <row r="273" ht="72.75" customHeight="1" x14ac:dyDescent="0.25"/>
    <row r="274" ht="72.75" customHeight="1" x14ac:dyDescent="0.25"/>
    <row r="275" ht="72.75" customHeight="1" x14ac:dyDescent="0.25"/>
    <row r="276" ht="72.75" customHeight="1" x14ac:dyDescent="0.25"/>
    <row r="277" ht="72.75" customHeight="1" x14ac:dyDescent="0.25"/>
    <row r="278" ht="72.75" customHeight="1" x14ac:dyDescent="0.25"/>
    <row r="279" ht="72.75" customHeight="1" x14ac:dyDescent="0.25"/>
    <row r="280" ht="72.75" customHeight="1" x14ac:dyDescent="0.25"/>
    <row r="281" ht="72.75" customHeight="1" x14ac:dyDescent="0.25"/>
    <row r="282" ht="72.75" customHeight="1" x14ac:dyDescent="0.25"/>
    <row r="283" ht="72.75" customHeight="1" x14ac:dyDescent="0.25"/>
    <row r="284" ht="72.75" customHeight="1" x14ac:dyDescent="0.25"/>
    <row r="285" ht="72.75" customHeight="1" x14ac:dyDescent="0.25"/>
    <row r="286" ht="72.75" customHeight="1" x14ac:dyDescent="0.25"/>
    <row r="287" ht="72.75" customHeight="1" x14ac:dyDescent="0.25"/>
    <row r="288" ht="72.75" customHeight="1" x14ac:dyDescent="0.25"/>
    <row r="289" ht="72.75" customHeight="1" x14ac:dyDescent="0.25"/>
    <row r="290" ht="72.75" customHeight="1" x14ac:dyDescent="0.25"/>
    <row r="291" ht="72.75" customHeight="1" x14ac:dyDescent="0.25"/>
    <row r="292" ht="72.75" customHeight="1" x14ac:dyDescent="0.25"/>
    <row r="293" ht="72.75" customHeight="1" x14ac:dyDescent="0.25"/>
    <row r="294" ht="72.75" customHeight="1" x14ac:dyDescent="0.25"/>
    <row r="295" ht="72.75" customHeight="1" x14ac:dyDescent="0.25"/>
    <row r="296" ht="72.75" customHeight="1" x14ac:dyDescent="0.25"/>
    <row r="297" ht="72.75" customHeight="1" x14ac:dyDescent="0.25"/>
    <row r="298" ht="72.75" customHeight="1" x14ac:dyDescent="0.25"/>
    <row r="299" ht="72.75" customHeight="1" x14ac:dyDescent="0.25"/>
    <row r="300" ht="72.75" customHeight="1" x14ac:dyDescent="0.25"/>
    <row r="301" ht="72.75" customHeight="1" x14ac:dyDescent="0.25"/>
    <row r="302" ht="72.75" customHeight="1" x14ac:dyDescent="0.25"/>
    <row r="303" ht="72.75" customHeight="1" x14ac:dyDescent="0.25"/>
    <row r="304" ht="72.75" customHeight="1" x14ac:dyDescent="0.25"/>
    <row r="305" ht="72.75" customHeight="1" x14ac:dyDescent="0.25"/>
    <row r="306" ht="72.75" customHeight="1" x14ac:dyDescent="0.25"/>
    <row r="307" ht="72.75" customHeight="1" x14ac:dyDescent="0.25"/>
    <row r="308" ht="72.75" customHeight="1" x14ac:dyDescent="0.25"/>
    <row r="309" ht="72.75" customHeight="1" x14ac:dyDescent="0.25"/>
    <row r="310" ht="72.75" customHeight="1" x14ac:dyDescent="0.25"/>
    <row r="311" ht="72.75" customHeight="1" x14ac:dyDescent="0.25"/>
    <row r="312" ht="72.75" customHeight="1" x14ac:dyDescent="0.25"/>
    <row r="313" ht="72.75" customHeight="1" x14ac:dyDescent="0.25"/>
    <row r="314" ht="72.75" customHeight="1" x14ac:dyDescent="0.25"/>
    <row r="315" ht="72.75" customHeight="1" x14ac:dyDescent="0.25"/>
    <row r="316" ht="72.75" customHeight="1" x14ac:dyDescent="0.25"/>
    <row r="317" ht="72.75" customHeight="1" x14ac:dyDescent="0.25"/>
    <row r="318" ht="72.75" customHeight="1" x14ac:dyDescent="0.25"/>
    <row r="319" ht="72.75" customHeight="1" x14ac:dyDescent="0.25"/>
  </sheetData>
  <hyperlinks>
    <hyperlink ref="B2" r:id="rId1" display="https://centrodecapacitaciondelsur.com/soporte-basico-de-vida-" xr:uid="{00000000-0004-0000-0400-000000000000}"/>
    <hyperlink ref="H34" r:id="rId2" xr:uid="{00000000-0004-0000-0400-000001000000}"/>
    <hyperlink ref="H35" r:id="rId3" xr:uid="{00000000-0004-0000-0400-000002000000}"/>
  </hyperlinks>
  <pageMargins left="0.7" right="0.7" top="0.75" bottom="0.75" header="0.3" footer="0.3"/>
  <pageSetup orientation="portrait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G29"/>
  <sheetViews>
    <sheetView workbookViewId="0">
      <selection activeCell="G6" sqref="G6"/>
    </sheetView>
  </sheetViews>
  <sheetFormatPr baseColWidth="10" defaultRowHeight="15" x14ac:dyDescent="0.25"/>
  <cols>
    <col min="2" max="2" width="19.42578125" customWidth="1"/>
    <col min="3" max="3" width="18.85546875" customWidth="1"/>
    <col min="5" max="5" width="17.5703125" style="130" bestFit="1" customWidth="1"/>
    <col min="6" max="6" width="15" style="130" bestFit="1" customWidth="1"/>
  </cols>
  <sheetData>
    <row r="1" spans="2:7" x14ac:dyDescent="0.25">
      <c r="B1" t="s">
        <v>738</v>
      </c>
      <c r="C1" t="s">
        <v>11</v>
      </c>
    </row>
    <row r="2" spans="2:7" ht="15.75" x14ac:dyDescent="0.25">
      <c r="B2" s="122">
        <v>40000</v>
      </c>
      <c r="C2" s="30" t="s">
        <v>19</v>
      </c>
      <c r="E2" s="131" t="s">
        <v>697</v>
      </c>
      <c r="F2" s="130" t="s">
        <v>740</v>
      </c>
    </row>
    <row r="3" spans="2:7" ht="15.75" x14ac:dyDescent="0.25">
      <c r="B3" s="122">
        <v>25000</v>
      </c>
      <c r="C3" s="30" t="s">
        <v>381</v>
      </c>
      <c r="E3" s="132" t="s">
        <v>39</v>
      </c>
      <c r="F3" s="130">
        <v>540000</v>
      </c>
      <c r="G3">
        <f>+GETPIVOTDATA("VALOR",$E$2,"CURSO","ACLS")+150000</f>
        <v>690000</v>
      </c>
    </row>
    <row r="4" spans="2:7" ht="15.75" x14ac:dyDescent="0.25">
      <c r="B4" s="122">
        <v>25000</v>
      </c>
      <c r="C4" s="30" t="s">
        <v>33</v>
      </c>
      <c r="E4" s="132" t="s">
        <v>19</v>
      </c>
      <c r="F4" s="130">
        <v>200000</v>
      </c>
    </row>
    <row r="5" spans="2:7" ht="15.75" x14ac:dyDescent="0.25">
      <c r="B5" s="122">
        <v>40000</v>
      </c>
      <c r="C5" s="30" t="s">
        <v>19</v>
      </c>
      <c r="E5" s="132" t="s">
        <v>381</v>
      </c>
      <c r="F5" s="130">
        <v>165000</v>
      </c>
      <c r="G5">
        <f>+GETPIVOTDATA("VALOR",$E$2,"CURSO","Duelo")+70000</f>
        <v>235000</v>
      </c>
    </row>
    <row r="6" spans="2:7" ht="15.75" x14ac:dyDescent="0.25">
      <c r="B6" s="122">
        <v>25000</v>
      </c>
      <c r="C6" s="30" t="s">
        <v>381</v>
      </c>
      <c r="E6" s="132" t="s">
        <v>33</v>
      </c>
      <c r="F6" s="130">
        <v>205000</v>
      </c>
    </row>
    <row r="7" spans="2:7" ht="15.75" x14ac:dyDescent="0.25">
      <c r="B7" s="122">
        <v>25000</v>
      </c>
      <c r="C7" s="30" t="s">
        <v>33</v>
      </c>
      <c r="E7" s="132" t="s">
        <v>412</v>
      </c>
      <c r="F7" s="130">
        <v>180000</v>
      </c>
    </row>
    <row r="8" spans="2:7" ht="15.75" x14ac:dyDescent="0.25">
      <c r="B8" s="122">
        <v>40000</v>
      </c>
      <c r="C8" s="30" t="s">
        <v>19</v>
      </c>
      <c r="E8" s="132" t="s">
        <v>411</v>
      </c>
      <c r="F8" s="130">
        <v>120000</v>
      </c>
    </row>
    <row r="9" spans="2:7" ht="15.75" x14ac:dyDescent="0.25">
      <c r="B9" s="122">
        <v>25000</v>
      </c>
      <c r="C9" s="30" t="s">
        <v>381</v>
      </c>
      <c r="E9" s="132" t="s">
        <v>739</v>
      </c>
      <c r="F9" s="130">
        <v>1410000</v>
      </c>
    </row>
    <row r="10" spans="2:7" ht="15.75" x14ac:dyDescent="0.25">
      <c r="B10" s="123">
        <v>25000</v>
      </c>
      <c r="C10" s="30" t="s">
        <v>33</v>
      </c>
      <c r="E10" s="132" t="s">
        <v>698</v>
      </c>
      <c r="F10" s="130">
        <v>2820000</v>
      </c>
    </row>
    <row r="11" spans="2:7" ht="15.75" x14ac:dyDescent="0.25">
      <c r="B11" s="123">
        <v>40000</v>
      </c>
      <c r="C11" s="30" t="s">
        <v>19</v>
      </c>
    </row>
    <row r="12" spans="2:7" ht="15.75" x14ac:dyDescent="0.25">
      <c r="B12" s="123">
        <v>25000</v>
      </c>
      <c r="C12" s="30" t="s">
        <v>381</v>
      </c>
    </row>
    <row r="13" spans="2:7" ht="15.75" x14ac:dyDescent="0.25">
      <c r="B13" s="123">
        <v>25000</v>
      </c>
      <c r="C13" s="30" t="s">
        <v>33</v>
      </c>
    </row>
    <row r="14" spans="2:7" ht="15.75" x14ac:dyDescent="0.25">
      <c r="B14" s="123">
        <v>40000</v>
      </c>
      <c r="C14" s="30" t="s">
        <v>19</v>
      </c>
    </row>
    <row r="15" spans="2:7" ht="15.75" x14ac:dyDescent="0.25">
      <c r="B15" s="123">
        <v>25000</v>
      </c>
      <c r="C15" s="30" t="s">
        <v>381</v>
      </c>
    </row>
    <row r="16" spans="2:7" ht="15.75" x14ac:dyDescent="0.25">
      <c r="B16" s="123">
        <v>25000</v>
      </c>
      <c r="C16" s="30" t="s">
        <v>33</v>
      </c>
    </row>
    <row r="17" spans="2:3" ht="15.75" x14ac:dyDescent="0.25">
      <c r="B17" s="123">
        <v>180000</v>
      </c>
      <c r="C17" s="30" t="s">
        <v>39</v>
      </c>
    </row>
    <row r="18" spans="2:3" ht="15.75" x14ac:dyDescent="0.25">
      <c r="B18" s="123">
        <v>40000</v>
      </c>
      <c r="C18" s="30" t="s">
        <v>411</v>
      </c>
    </row>
    <row r="19" spans="2:3" ht="15.75" x14ac:dyDescent="0.25">
      <c r="B19" s="123">
        <v>40000</v>
      </c>
      <c r="C19" s="30" t="s">
        <v>33</v>
      </c>
    </row>
    <row r="20" spans="2:3" ht="15.75" x14ac:dyDescent="0.25">
      <c r="B20" s="123">
        <v>60000</v>
      </c>
      <c r="C20" s="30" t="s">
        <v>412</v>
      </c>
    </row>
    <row r="21" spans="2:3" ht="15.75" x14ac:dyDescent="0.25">
      <c r="B21" s="123">
        <v>180000</v>
      </c>
      <c r="C21" s="30" t="s">
        <v>39</v>
      </c>
    </row>
    <row r="22" spans="2:3" ht="15.75" x14ac:dyDescent="0.25">
      <c r="B22" s="123">
        <v>40000</v>
      </c>
      <c r="C22" s="30" t="s">
        <v>411</v>
      </c>
    </row>
    <row r="23" spans="2:3" ht="15.75" x14ac:dyDescent="0.25">
      <c r="B23" s="123">
        <v>40000</v>
      </c>
      <c r="C23" s="30" t="s">
        <v>33</v>
      </c>
    </row>
    <row r="24" spans="2:3" ht="15.75" x14ac:dyDescent="0.25">
      <c r="B24" s="123">
        <v>60000</v>
      </c>
      <c r="C24" s="30" t="s">
        <v>412</v>
      </c>
    </row>
    <row r="25" spans="2:3" ht="15.75" x14ac:dyDescent="0.25">
      <c r="B25" s="123">
        <v>180000</v>
      </c>
      <c r="C25" s="92" t="s">
        <v>39</v>
      </c>
    </row>
    <row r="26" spans="2:3" ht="15.75" x14ac:dyDescent="0.25">
      <c r="B26" s="123">
        <v>60000</v>
      </c>
      <c r="C26" s="92" t="s">
        <v>66</v>
      </c>
    </row>
    <row r="27" spans="2:3" ht="15.75" x14ac:dyDescent="0.25">
      <c r="B27" s="122">
        <v>40000</v>
      </c>
      <c r="C27" s="21" t="s">
        <v>25</v>
      </c>
    </row>
    <row r="28" spans="2:3" ht="15.75" x14ac:dyDescent="0.25">
      <c r="B28" s="122">
        <v>40000</v>
      </c>
      <c r="C28" s="21" t="s">
        <v>23</v>
      </c>
    </row>
    <row r="29" spans="2:3" x14ac:dyDescent="0.25">
      <c r="B29" s="129">
        <f>SUM(B2:B28)</f>
        <v>1410000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INSCRITOS</vt:lpstr>
      <vt:lpstr>Hoja4</vt:lpstr>
      <vt:lpstr>Hoja2</vt:lpstr>
      <vt:lpstr>CURSOS</vt:lpstr>
      <vt:lpstr>link</vt:lpstr>
      <vt:lpstr>AVANTI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Hugo Cabrera</cp:lastModifiedBy>
  <cp:lastPrinted>2023-10-09T20:56:18Z</cp:lastPrinted>
  <dcterms:created xsi:type="dcterms:W3CDTF">2023-09-02T16:45:54Z</dcterms:created>
  <dcterms:modified xsi:type="dcterms:W3CDTF">2025-04-02T03:40:34Z</dcterms:modified>
</cp:coreProperties>
</file>