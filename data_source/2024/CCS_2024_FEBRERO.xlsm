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/>
  <workbookPr/>
  <mc:AlternateContent xmlns:mc="http://schemas.openxmlformats.org/markup-compatibility/2006">
    <mc:Choice Requires="x15">
      <x15ac:absPath xmlns:x15ac="http://schemas.microsoft.com/office/spreadsheetml/2010/11/ac" url="C:\Users\Hugo\Documents\MEGA\PROYECTOS\CCS\Analisis CCS\Python-analisys\data_source\2024\"/>
    </mc:Choice>
  </mc:AlternateContent>
  <xr:revisionPtr revIDLastSave="0" documentId="13_ncr:1_{7978F5E6-6756-484A-9E91-641605740AA5}" xr6:coauthVersionLast="47" xr6:coauthVersionMax="47" xr10:uidLastSave="{00000000-0000-0000-0000-000000000000}"/>
  <bookViews>
    <workbookView xWindow="-120" yWindow="-120" windowWidth="29040" windowHeight="15720" tabRatio="574" xr2:uid="{00000000-000D-0000-FFFF-FFFF00000000}"/>
  </bookViews>
  <sheets>
    <sheet name="Hoja1" sheetId="1" r:id="rId1"/>
  </sheets>
  <externalReferences>
    <externalReference r:id="rId2"/>
  </externalReferences>
  <definedNames>
    <definedName name="_xlnm._FilterDatabase" localSheetId="0" hidden="1">Hoja1!$A$1:$V$186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86" i="1" l="1"/>
  <c r="V186" i="1" s="1"/>
  <c r="S186" i="1"/>
  <c r="U186" i="1" l="1"/>
  <c r="S78" i="1"/>
  <c r="T78" i="1"/>
  <c r="U78" i="1" s="1"/>
  <c r="S79" i="1"/>
  <c r="T79" i="1"/>
  <c r="U79" i="1" s="1"/>
  <c r="S80" i="1"/>
  <c r="T80" i="1"/>
  <c r="U80" i="1" s="1"/>
  <c r="V79" i="1" l="1"/>
  <c r="V78" i="1"/>
  <c r="V80" i="1"/>
  <c r="S185" i="1"/>
  <c r="T185" i="1"/>
  <c r="U185" i="1" s="1"/>
  <c r="S183" i="1"/>
  <c r="T183" i="1"/>
  <c r="V183" i="1" s="1"/>
  <c r="S184" i="1"/>
  <c r="T184" i="1"/>
  <c r="U184" i="1" s="1"/>
  <c r="S175" i="1"/>
  <c r="T175" i="1"/>
  <c r="U175" i="1" s="1"/>
  <c r="S176" i="1"/>
  <c r="T176" i="1"/>
  <c r="U176" i="1" s="1"/>
  <c r="S177" i="1"/>
  <c r="T177" i="1"/>
  <c r="U177" i="1" s="1"/>
  <c r="S178" i="1"/>
  <c r="T178" i="1"/>
  <c r="U178" i="1" s="1"/>
  <c r="S179" i="1"/>
  <c r="T179" i="1"/>
  <c r="U179" i="1" s="1"/>
  <c r="S180" i="1"/>
  <c r="T180" i="1"/>
  <c r="U180" i="1" s="1"/>
  <c r="S181" i="1"/>
  <c r="T181" i="1"/>
  <c r="U181" i="1" s="1"/>
  <c r="S182" i="1"/>
  <c r="T182" i="1"/>
  <c r="U182" i="1" s="1"/>
  <c r="U183" i="1" l="1"/>
  <c r="V175" i="1"/>
  <c r="V184" i="1"/>
  <c r="V185" i="1"/>
  <c r="V177" i="1"/>
  <c r="V176" i="1"/>
  <c r="V181" i="1"/>
  <c r="V179" i="1"/>
  <c r="V178" i="1"/>
  <c r="V182" i="1"/>
  <c r="V180" i="1"/>
  <c r="S165" i="1" l="1"/>
  <c r="T165" i="1"/>
  <c r="U165" i="1" s="1"/>
  <c r="S166" i="1"/>
  <c r="T166" i="1"/>
  <c r="U166" i="1" s="1"/>
  <c r="S167" i="1"/>
  <c r="T167" i="1"/>
  <c r="U167" i="1" s="1"/>
  <c r="S168" i="1"/>
  <c r="T168" i="1"/>
  <c r="U168" i="1" s="1"/>
  <c r="S169" i="1"/>
  <c r="T169" i="1"/>
  <c r="U169" i="1" s="1"/>
  <c r="S170" i="1"/>
  <c r="T170" i="1"/>
  <c r="U170" i="1" s="1"/>
  <c r="S171" i="1"/>
  <c r="T171" i="1"/>
  <c r="U171" i="1" s="1"/>
  <c r="S172" i="1"/>
  <c r="T172" i="1"/>
  <c r="U172" i="1" s="1"/>
  <c r="S173" i="1"/>
  <c r="T173" i="1"/>
  <c r="U173" i="1" s="1"/>
  <c r="S174" i="1"/>
  <c r="T174" i="1"/>
  <c r="U174" i="1" s="1"/>
  <c r="V165" i="1" l="1"/>
  <c r="V166" i="1"/>
  <c r="V174" i="1"/>
  <c r="V173" i="1"/>
  <c r="V172" i="1"/>
  <c r="V171" i="1"/>
  <c r="V170" i="1"/>
  <c r="V169" i="1"/>
  <c r="V168" i="1"/>
  <c r="V167" i="1"/>
  <c r="S162" i="1"/>
  <c r="T162" i="1"/>
  <c r="U162" i="1" s="1"/>
  <c r="S163" i="1"/>
  <c r="T163" i="1"/>
  <c r="U163" i="1" s="1"/>
  <c r="S164" i="1"/>
  <c r="T164" i="1"/>
  <c r="U164" i="1" s="1"/>
  <c r="S160" i="1"/>
  <c r="T160" i="1"/>
  <c r="U160" i="1" s="1"/>
  <c r="S161" i="1"/>
  <c r="T161" i="1"/>
  <c r="U161" i="1" s="1"/>
  <c r="S159" i="1"/>
  <c r="T159" i="1"/>
  <c r="U159" i="1" s="1"/>
  <c r="V161" i="1" l="1"/>
  <c r="V160" i="1"/>
  <c r="V164" i="1"/>
  <c r="V163" i="1"/>
  <c r="V162" i="1"/>
  <c r="V159" i="1"/>
  <c r="S158" i="1"/>
  <c r="T158" i="1"/>
  <c r="U158" i="1" s="1"/>
  <c r="V158" i="1" l="1"/>
  <c r="S157" i="1"/>
  <c r="T157" i="1"/>
  <c r="V157" i="1" s="1"/>
  <c r="T154" i="1"/>
  <c r="U154" i="1" s="1"/>
  <c r="S155" i="1"/>
  <c r="T155" i="1"/>
  <c r="U155" i="1" s="1"/>
  <c r="S156" i="1"/>
  <c r="T156" i="1"/>
  <c r="U156" i="1" s="1"/>
  <c r="U157" i="1" l="1"/>
  <c r="V156" i="1"/>
  <c r="V155" i="1"/>
  <c r="V154" i="1"/>
  <c r="S150" i="1"/>
  <c r="T150" i="1"/>
  <c r="U150" i="1" s="1"/>
  <c r="S151" i="1"/>
  <c r="T151" i="1"/>
  <c r="U151" i="1" s="1"/>
  <c r="S152" i="1"/>
  <c r="T152" i="1"/>
  <c r="U152" i="1" s="1"/>
  <c r="S153" i="1"/>
  <c r="T153" i="1"/>
  <c r="U153" i="1" s="1"/>
  <c r="V153" i="1" l="1"/>
  <c r="V152" i="1"/>
  <c r="V151" i="1"/>
  <c r="V150" i="1"/>
  <c r="S148" i="1"/>
  <c r="T148" i="1"/>
  <c r="U148" i="1" s="1"/>
  <c r="S149" i="1"/>
  <c r="T149" i="1"/>
  <c r="U149" i="1" s="1"/>
  <c r="V149" i="1" l="1"/>
  <c r="V148" i="1"/>
  <c r="S147" i="1"/>
  <c r="T147" i="1"/>
  <c r="U147" i="1" s="1"/>
  <c r="V147" i="1" l="1"/>
  <c r="S145" i="1"/>
  <c r="T145" i="1"/>
  <c r="V145" i="1" s="1"/>
  <c r="S146" i="1"/>
  <c r="T146" i="1"/>
  <c r="V146" i="1" s="1"/>
  <c r="S143" i="1"/>
  <c r="T143" i="1"/>
  <c r="U143" i="1" s="1"/>
  <c r="S144" i="1"/>
  <c r="T144" i="1"/>
  <c r="U144" i="1" s="1"/>
  <c r="S118" i="1"/>
  <c r="T118" i="1"/>
  <c r="U118" i="1" s="1"/>
  <c r="S119" i="1"/>
  <c r="T119" i="1"/>
  <c r="U119" i="1" s="1"/>
  <c r="S120" i="1"/>
  <c r="T120" i="1"/>
  <c r="U120" i="1" s="1"/>
  <c r="S121" i="1"/>
  <c r="T121" i="1"/>
  <c r="U121" i="1" s="1"/>
  <c r="S122" i="1"/>
  <c r="T122" i="1"/>
  <c r="U122" i="1" s="1"/>
  <c r="S123" i="1"/>
  <c r="T123" i="1"/>
  <c r="U123" i="1" s="1"/>
  <c r="S124" i="1"/>
  <c r="T124" i="1"/>
  <c r="U124" i="1" s="1"/>
  <c r="S125" i="1"/>
  <c r="T125" i="1"/>
  <c r="U125" i="1" s="1"/>
  <c r="S126" i="1"/>
  <c r="T126" i="1"/>
  <c r="U126" i="1" s="1"/>
  <c r="S127" i="1"/>
  <c r="T127" i="1"/>
  <c r="U127" i="1" s="1"/>
  <c r="S128" i="1"/>
  <c r="T128" i="1"/>
  <c r="U128" i="1" s="1"/>
  <c r="S129" i="1"/>
  <c r="T129" i="1"/>
  <c r="U129" i="1" s="1"/>
  <c r="S130" i="1"/>
  <c r="T130" i="1"/>
  <c r="U130" i="1" s="1"/>
  <c r="S131" i="1"/>
  <c r="T131" i="1"/>
  <c r="U131" i="1" s="1"/>
  <c r="S132" i="1"/>
  <c r="T132" i="1"/>
  <c r="U132" i="1" s="1"/>
  <c r="S133" i="1"/>
  <c r="T133" i="1"/>
  <c r="U133" i="1" s="1"/>
  <c r="S134" i="1"/>
  <c r="T134" i="1"/>
  <c r="U134" i="1" s="1"/>
  <c r="S135" i="1"/>
  <c r="T135" i="1"/>
  <c r="U135" i="1" s="1"/>
  <c r="S136" i="1"/>
  <c r="T136" i="1"/>
  <c r="U136" i="1" s="1"/>
  <c r="S137" i="1"/>
  <c r="T137" i="1"/>
  <c r="U137" i="1" s="1"/>
  <c r="S138" i="1"/>
  <c r="T138" i="1"/>
  <c r="U138" i="1" s="1"/>
  <c r="S139" i="1"/>
  <c r="T139" i="1"/>
  <c r="U139" i="1" s="1"/>
  <c r="S140" i="1"/>
  <c r="T140" i="1"/>
  <c r="U140" i="1" s="1"/>
  <c r="S141" i="1"/>
  <c r="T141" i="1"/>
  <c r="U141" i="1" s="1"/>
  <c r="S142" i="1"/>
  <c r="T142" i="1"/>
  <c r="U142" i="1" s="1"/>
  <c r="S117" i="1"/>
  <c r="T117" i="1"/>
  <c r="U117" i="1" s="1"/>
  <c r="V133" i="1" l="1"/>
  <c r="U145" i="1"/>
  <c r="V122" i="1"/>
  <c r="V141" i="1"/>
  <c r="V118" i="1"/>
  <c r="V120" i="1"/>
  <c r="U146" i="1"/>
  <c r="V138" i="1"/>
  <c r="V127" i="1"/>
  <c r="V137" i="1"/>
  <c r="V130" i="1"/>
  <c r="V125" i="1"/>
  <c r="V129" i="1"/>
  <c r="V126" i="1"/>
  <c r="V123" i="1"/>
  <c r="V142" i="1"/>
  <c r="V134" i="1"/>
  <c r="V131" i="1"/>
  <c r="V119" i="1"/>
  <c r="V139" i="1"/>
  <c r="V135" i="1"/>
  <c r="V140" i="1"/>
  <c r="V136" i="1"/>
  <c r="V132" i="1"/>
  <c r="V128" i="1"/>
  <c r="V124" i="1"/>
  <c r="V121" i="1"/>
  <c r="V144" i="1"/>
  <c r="V143" i="1"/>
  <c r="V117" i="1"/>
  <c r="S116" i="1"/>
  <c r="T116" i="1"/>
  <c r="U116" i="1" s="1"/>
  <c r="S115" i="1"/>
  <c r="T115" i="1"/>
  <c r="U115" i="1" s="1"/>
  <c r="V115" i="1" l="1"/>
  <c r="V116" i="1"/>
  <c r="S112" i="1"/>
  <c r="T112" i="1"/>
  <c r="U112" i="1" s="1"/>
  <c r="S113" i="1"/>
  <c r="T113" i="1"/>
  <c r="U113" i="1" s="1"/>
  <c r="S114" i="1"/>
  <c r="T114" i="1"/>
  <c r="U114" i="1" s="1"/>
  <c r="V114" i="1" l="1"/>
  <c r="V113" i="1"/>
  <c r="V112" i="1"/>
  <c r="S110" i="1"/>
  <c r="T110" i="1"/>
  <c r="U110" i="1" s="1"/>
  <c r="S111" i="1"/>
  <c r="T111" i="1"/>
  <c r="U111" i="1" s="1"/>
  <c r="S106" i="1"/>
  <c r="T106" i="1"/>
  <c r="V106" i="1" s="1"/>
  <c r="S107" i="1"/>
  <c r="T107" i="1"/>
  <c r="V107" i="1" s="1"/>
  <c r="S108" i="1"/>
  <c r="T108" i="1"/>
  <c r="V108" i="1" s="1"/>
  <c r="S109" i="1"/>
  <c r="T109" i="1"/>
  <c r="V109" i="1" s="1"/>
  <c r="S104" i="1"/>
  <c r="T104" i="1"/>
  <c r="U104" i="1" s="1"/>
  <c r="S105" i="1"/>
  <c r="T105" i="1"/>
  <c r="U105" i="1" s="1"/>
  <c r="S100" i="1"/>
  <c r="T100" i="1"/>
  <c r="V100" i="1" s="1"/>
  <c r="S101" i="1"/>
  <c r="T101" i="1"/>
  <c r="V101" i="1" s="1"/>
  <c r="S102" i="1"/>
  <c r="T102" i="1"/>
  <c r="V102" i="1" s="1"/>
  <c r="S103" i="1"/>
  <c r="T103" i="1"/>
  <c r="U103" i="1" s="1"/>
  <c r="S96" i="1"/>
  <c r="T96" i="1"/>
  <c r="U96" i="1" s="1"/>
  <c r="S97" i="1"/>
  <c r="T97" i="1"/>
  <c r="U97" i="1" s="1"/>
  <c r="S98" i="1"/>
  <c r="T98" i="1"/>
  <c r="U98" i="1" s="1"/>
  <c r="S99" i="1"/>
  <c r="T99" i="1"/>
  <c r="U99" i="1" s="1"/>
  <c r="S92" i="1"/>
  <c r="T92" i="1"/>
  <c r="U92" i="1" s="1"/>
  <c r="S93" i="1"/>
  <c r="T93" i="1"/>
  <c r="U93" i="1" s="1"/>
  <c r="S94" i="1"/>
  <c r="T94" i="1"/>
  <c r="U94" i="1" s="1"/>
  <c r="S95" i="1"/>
  <c r="T95" i="1"/>
  <c r="U95" i="1" s="1"/>
  <c r="U106" i="1" l="1"/>
  <c r="U108" i="1"/>
  <c r="U102" i="1"/>
  <c r="U109" i="1"/>
  <c r="U100" i="1"/>
  <c r="V103" i="1"/>
  <c r="U101" i="1"/>
  <c r="U107" i="1"/>
  <c r="V111" i="1"/>
  <c r="V110" i="1"/>
  <c r="V104" i="1"/>
  <c r="V99" i="1"/>
  <c r="V105" i="1"/>
  <c r="V98" i="1"/>
  <c r="V97" i="1"/>
  <c r="V96" i="1"/>
  <c r="V95" i="1"/>
  <c r="V94" i="1"/>
  <c r="V93" i="1"/>
  <c r="V92" i="1"/>
  <c r="S90" i="1" l="1"/>
  <c r="T90" i="1"/>
  <c r="U90" i="1" s="1"/>
  <c r="S91" i="1"/>
  <c r="T91" i="1"/>
  <c r="U91" i="1" s="1"/>
  <c r="V91" i="1" l="1"/>
  <c r="V90" i="1"/>
  <c r="S89" i="1"/>
  <c r="T89" i="1"/>
  <c r="V89" i="1" s="1"/>
  <c r="S88" i="1"/>
  <c r="T88" i="1"/>
  <c r="U88" i="1" s="1"/>
  <c r="S85" i="1"/>
  <c r="T85" i="1"/>
  <c r="U85" i="1" s="1"/>
  <c r="S86" i="1"/>
  <c r="T86" i="1"/>
  <c r="U86" i="1" s="1"/>
  <c r="S87" i="1"/>
  <c r="T87" i="1"/>
  <c r="U87" i="1" s="1"/>
  <c r="S81" i="1"/>
  <c r="T81" i="1"/>
  <c r="V81" i="1" s="1"/>
  <c r="S82" i="1"/>
  <c r="T82" i="1"/>
  <c r="V82" i="1" s="1"/>
  <c r="S83" i="1"/>
  <c r="T83" i="1"/>
  <c r="V83" i="1" s="1"/>
  <c r="S84" i="1"/>
  <c r="T84" i="1"/>
  <c r="U84" i="1" s="1"/>
  <c r="U81" i="1" l="1"/>
  <c r="U89" i="1"/>
  <c r="U83" i="1"/>
  <c r="U82" i="1"/>
  <c r="V88" i="1"/>
  <c r="V87" i="1"/>
  <c r="V86" i="1"/>
  <c r="V85" i="1"/>
  <c r="V84" i="1"/>
  <c r="S76" i="1"/>
  <c r="T76" i="1"/>
  <c r="U76" i="1" s="1"/>
  <c r="S77" i="1"/>
  <c r="T77" i="1"/>
  <c r="U77" i="1" s="1"/>
  <c r="S75" i="1"/>
  <c r="T75" i="1"/>
  <c r="U75" i="1" s="1"/>
  <c r="V77" i="1" l="1"/>
  <c r="V76" i="1"/>
  <c r="V75" i="1"/>
  <c r="S66" i="1"/>
  <c r="T66" i="1"/>
  <c r="U66" i="1" s="1"/>
  <c r="S67" i="1"/>
  <c r="T67" i="1"/>
  <c r="U67" i="1" s="1"/>
  <c r="S68" i="1"/>
  <c r="T68" i="1"/>
  <c r="U68" i="1" s="1"/>
  <c r="S69" i="1"/>
  <c r="T69" i="1"/>
  <c r="U69" i="1" s="1"/>
  <c r="S70" i="1"/>
  <c r="T70" i="1"/>
  <c r="U70" i="1" s="1"/>
  <c r="S71" i="1"/>
  <c r="T71" i="1"/>
  <c r="U71" i="1" s="1"/>
  <c r="S72" i="1"/>
  <c r="T72" i="1"/>
  <c r="U72" i="1" s="1"/>
  <c r="S73" i="1"/>
  <c r="T73" i="1"/>
  <c r="U73" i="1" s="1"/>
  <c r="S74" i="1"/>
  <c r="T74" i="1"/>
  <c r="U74" i="1" s="1"/>
  <c r="S44" i="1"/>
  <c r="T44" i="1"/>
  <c r="U44" i="1" s="1"/>
  <c r="S45" i="1"/>
  <c r="T45" i="1"/>
  <c r="U45" i="1" s="1"/>
  <c r="S46" i="1"/>
  <c r="T46" i="1"/>
  <c r="U46" i="1" s="1"/>
  <c r="S47" i="1"/>
  <c r="T47" i="1"/>
  <c r="U47" i="1" s="1"/>
  <c r="S48" i="1"/>
  <c r="T48" i="1"/>
  <c r="U48" i="1" s="1"/>
  <c r="S49" i="1"/>
  <c r="T49" i="1"/>
  <c r="U49" i="1" s="1"/>
  <c r="S50" i="1"/>
  <c r="T50" i="1"/>
  <c r="U50" i="1" s="1"/>
  <c r="S51" i="1"/>
  <c r="T51" i="1"/>
  <c r="U51" i="1" s="1"/>
  <c r="S52" i="1"/>
  <c r="T52" i="1"/>
  <c r="U52" i="1" s="1"/>
  <c r="S53" i="1"/>
  <c r="T53" i="1"/>
  <c r="U53" i="1" s="1"/>
  <c r="S54" i="1"/>
  <c r="T54" i="1"/>
  <c r="U54" i="1" s="1"/>
  <c r="S55" i="1"/>
  <c r="T55" i="1"/>
  <c r="U55" i="1" s="1"/>
  <c r="S56" i="1"/>
  <c r="T56" i="1"/>
  <c r="U56" i="1" s="1"/>
  <c r="S57" i="1"/>
  <c r="T57" i="1"/>
  <c r="U57" i="1" s="1"/>
  <c r="S58" i="1"/>
  <c r="T58" i="1"/>
  <c r="U58" i="1" s="1"/>
  <c r="S59" i="1"/>
  <c r="T59" i="1"/>
  <c r="U59" i="1" s="1"/>
  <c r="S60" i="1"/>
  <c r="T60" i="1"/>
  <c r="U60" i="1" s="1"/>
  <c r="S61" i="1"/>
  <c r="T61" i="1"/>
  <c r="U61" i="1" s="1"/>
  <c r="S62" i="1"/>
  <c r="T62" i="1"/>
  <c r="U62" i="1" s="1"/>
  <c r="S63" i="1"/>
  <c r="T63" i="1"/>
  <c r="U63" i="1" s="1"/>
  <c r="S64" i="1"/>
  <c r="T64" i="1"/>
  <c r="U64" i="1" s="1"/>
  <c r="S65" i="1"/>
  <c r="T65" i="1"/>
  <c r="U65" i="1" s="1"/>
  <c r="S38" i="1"/>
  <c r="T38" i="1"/>
  <c r="V38" i="1" s="1"/>
  <c r="S39" i="1"/>
  <c r="T39" i="1"/>
  <c r="V39" i="1" s="1"/>
  <c r="S40" i="1"/>
  <c r="T40" i="1"/>
  <c r="V40" i="1" s="1"/>
  <c r="S41" i="1"/>
  <c r="T41" i="1"/>
  <c r="V41" i="1" s="1"/>
  <c r="S42" i="1"/>
  <c r="T42" i="1"/>
  <c r="V42" i="1" s="1"/>
  <c r="S43" i="1"/>
  <c r="T43" i="1"/>
  <c r="U43" i="1" s="1"/>
  <c r="S36" i="1"/>
  <c r="T36" i="1"/>
  <c r="U36" i="1" s="1"/>
  <c r="S37" i="1"/>
  <c r="T37" i="1"/>
  <c r="U37" i="1" s="1"/>
  <c r="S25" i="1"/>
  <c r="T25" i="1"/>
  <c r="U25" i="1" s="1"/>
  <c r="T26" i="1"/>
  <c r="V26" i="1" s="1"/>
  <c r="S27" i="1"/>
  <c r="T27" i="1"/>
  <c r="V27" i="1" s="1"/>
  <c r="S28" i="1"/>
  <c r="T28" i="1"/>
  <c r="V28" i="1" s="1"/>
  <c r="S29" i="1"/>
  <c r="T29" i="1"/>
  <c r="V29" i="1" s="1"/>
  <c r="S30" i="1"/>
  <c r="T30" i="1"/>
  <c r="V30" i="1" s="1"/>
  <c r="S31" i="1"/>
  <c r="T31" i="1"/>
  <c r="V31" i="1" s="1"/>
  <c r="S32" i="1"/>
  <c r="T32" i="1"/>
  <c r="V32" i="1" s="1"/>
  <c r="S33" i="1"/>
  <c r="T33" i="1"/>
  <c r="V33" i="1" s="1"/>
  <c r="T34" i="1"/>
  <c r="V34" i="1" s="1"/>
  <c r="S35" i="1"/>
  <c r="T35" i="1"/>
  <c r="U35" i="1" s="1"/>
  <c r="T24" i="1"/>
  <c r="U24" i="1" s="1"/>
  <c r="S24" i="1"/>
  <c r="T23" i="1"/>
  <c r="U23" i="1" s="1"/>
  <c r="S23" i="1"/>
  <c r="T22" i="1"/>
  <c r="U22" i="1" s="1"/>
  <c r="S22" i="1"/>
  <c r="T21" i="1"/>
  <c r="U21" i="1" s="1"/>
  <c r="S21" i="1"/>
  <c r="T20" i="1"/>
  <c r="U20" i="1" s="1"/>
  <c r="S20" i="1"/>
  <c r="T19" i="1"/>
  <c r="U19" i="1" s="1"/>
  <c r="S19" i="1"/>
  <c r="T18" i="1"/>
  <c r="U18" i="1" s="1"/>
  <c r="S18" i="1"/>
  <c r="T17" i="1"/>
  <c r="U17" i="1" s="1"/>
  <c r="S17" i="1"/>
  <c r="T16" i="1"/>
  <c r="U16" i="1" s="1"/>
  <c r="S16" i="1"/>
  <c r="T15" i="1"/>
  <c r="U15" i="1" s="1"/>
  <c r="S15" i="1"/>
  <c r="T14" i="1"/>
  <c r="U14" i="1" s="1"/>
  <c r="S14" i="1"/>
  <c r="T13" i="1"/>
  <c r="U13" i="1" s="1"/>
  <c r="S13" i="1"/>
  <c r="T12" i="1"/>
  <c r="U12" i="1" s="1"/>
  <c r="S12" i="1"/>
  <c r="V21" i="1" l="1"/>
  <c r="V13" i="1"/>
  <c r="V18" i="1"/>
  <c r="V17" i="1"/>
  <c r="V52" i="1"/>
  <c r="U40" i="1"/>
  <c r="V48" i="1"/>
  <c r="V14" i="1"/>
  <c r="V22" i="1"/>
  <c r="U41" i="1"/>
  <c r="V43" i="1"/>
  <c r="U42" i="1"/>
  <c r="U38" i="1"/>
  <c r="V59" i="1"/>
  <c r="U39" i="1"/>
  <c r="V55" i="1"/>
  <c r="V74" i="1"/>
  <c r="V73" i="1"/>
  <c r="V72" i="1"/>
  <c r="V71" i="1"/>
  <c r="V70" i="1"/>
  <c r="V69" i="1"/>
  <c r="V68" i="1"/>
  <c r="V67" i="1"/>
  <c r="V66" i="1"/>
  <c r="V51" i="1"/>
  <c r="V45" i="1"/>
  <c r="V58" i="1"/>
  <c r="V53" i="1"/>
  <c r="V47" i="1"/>
  <c r="V44" i="1"/>
  <c r="V49" i="1"/>
  <c r="V54" i="1"/>
  <c r="V50" i="1"/>
  <c r="V46" i="1"/>
  <c r="V62" i="1"/>
  <c r="V61" i="1"/>
  <c r="V65" i="1"/>
  <c r="V64" i="1"/>
  <c r="V63" i="1"/>
  <c r="V60" i="1"/>
  <c r="V56" i="1"/>
  <c r="V57" i="1"/>
  <c r="V37" i="1"/>
  <c r="V36" i="1"/>
  <c r="U26" i="1"/>
  <c r="V16" i="1"/>
  <c r="V20" i="1"/>
  <c r="V24" i="1"/>
  <c r="V12" i="1"/>
  <c r="V15" i="1"/>
  <c r="V19" i="1"/>
  <c r="V23" i="1"/>
  <c r="U32" i="1"/>
  <c r="U30" i="1"/>
  <c r="U28" i="1"/>
  <c r="U31" i="1"/>
  <c r="U27" i="1"/>
  <c r="U33" i="1"/>
  <c r="U29" i="1"/>
  <c r="V35" i="1"/>
  <c r="V25" i="1"/>
  <c r="U34" i="1"/>
  <c r="S3" i="1"/>
  <c r="T3" i="1"/>
  <c r="U3" i="1" s="1"/>
  <c r="S4" i="1"/>
  <c r="T4" i="1"/>
  <c r="U4" i="1" s="1"/>
  <c r="S5" i="1"/>
  <c r="T5" i="1"/>
  <c r="V5" i="1" s="1"/>
  <c r="S6" i="1"/>
  <c r="T6" i="1"/>
  <c r="V6" i="1" s="1"/>
  <c r="S7" i="1"/>
  <c r="T7" i="1"/>
  <c r="V7" i="1" s="1"/>
  <c r="S8" i="1"/>
  <c r="T8" i="1"/>
  <c r="V8" i="1" s="1"/>
  <c r="S9" i="1"/>
  <c r="T9" i="1"/>
  <c r="V9" i="1" s="1"/>
  <c r="S10" i="1"/>
  <c r="T10" i="1"/>
  <c r="V10" i="1" s="1"/>
  <c r="S11" i="1"/>
  <c r="T11" i="1"/>
  <c r="V11" i="1" s="1"/>
  <c r="U5" i="1" l="1"/>
  <c r="U9" i="1"/>
  <c r="U8" i="1"/>
  <c r="U10" i="1"/>
  <c r="U6" i="1"/>
  <c r="U11" i="1"/>
  <c r="U7" i="1"/>
  <c r="V4" i="1"/>
  <c r="V3" i="1"/>
  <c r="S2" i="1"/>
  <c r="T2" i="1"/>
  <c r="U2" i="1" s="1"/>
  <c r="V2" i="1" l="1"/>
</calcChain>
</file>

<file path=xl/sharedStrings.xml><?xml version="1.0" encoding="utf-8"?>
<sst xmlns="http://schemas.openxmlformats.org/spreadsheetml/2006/main" count="1892" uniqueCount="396">
  <si>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</si>
  <si>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</si>
  <si>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</si>
  <si>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</si>
  <si>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</si>
  <si>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</si>
  <si>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</si>
  <si>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</si>
  <si>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</si>
  <si>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</si>
  <si>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</si>
  <si>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</si>
  <si>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</si>
  <si>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</si>
  <si>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</si>
  <si>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</si>
  <si>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</si>
  <si>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</si>
  <si>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</si>
  <si>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</si>
  <si>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DUELO</t>
  </si>
  <si>
    <t>QUIMICOS</t>
  </si>
  <si>
    <t>PRIMEROS AUXILIOS</t>
  </si>
  <si>
    <t>HUMANIZACION</t>
  </si>
  <si>
    <t>ACLS</t>
  </si>
  <si>
    <t>CAMILLERO</t>
  </si>
  <si>
    <t>TOMA DE MUESTRAS</t>
  </si>
  <si>
    <t>VIOLENCIA SEXUAL</t>
  </si>
  <si>
    <t>COVID</t>
  </si>
  <si>
    <t>AIEPI</t>
  </si>
  <si>
    <t>ADMON DE MEDICAMENTOS</t>
  </si>
  <si>
    <t>OVE</t>
  </si>
  <si>
    <t>VIOLENCIA DE GENERO</t>
  </si>
  <si>
    <t>IGUALDAD DE GENERO</t>
  </si>
  <si>
    <t>PALIATIVOS</t>
  </si>
  <si>
    <t>POCT</t>
  </si>
  <si>
    <t>IMPLANTE</t>
  </si>
  <si>
    <t>SALUD MENTAL</t>
  </si>
  <si>
    <t>PRIMEROS AUXILIOS P</t>
  </si>
  <si>
    <t>M</t>
  </si>
  <si>
    <t>CCS</t>
  </si>
  <si>
    <t>MEDICO</t>
  </si>
  <si>
    <t>F</t>
  </si>
  <si>
    <t>Aux. enfermeria</t>
  </si>
  <si>
    <t>Andres</t>
  </si>
  <si>
    <t>BANCOLOMBIA</t>
  </si>
  <si>
    <t>Martinez</t>
  </si>
  <si>
    <t>Cordoba</t>
  </si>
  <si>
    <t>m</t>
  </si>
  <si>
    <t>Rosero</t>
  </si>
  <si>
    <t>Benavides</t>
  </si>
  <si>
    <t>Obando</t>
  </si>
  <si>
    <t>Esteban</t>
  </si>
  <si>
    <t>Maria</t>
  </si>
  <si>
    <t>Salazar</t>
  </si>
  <si>
    <t>Andrea</t>
  </si>
  <si>
    <t>Carlos</t>
  </si>
  <si>
    <t>Andrade</t>
  </si>
  <si>
    <t>De La Cruz</t>
  </si>
  <si>
    <t>FECHA DE NACIMIENTO</t>
  </si>
  <si>
    <t>Alban</t>
  </si>
  <si>
    <t>Araujo</t>
  </si>
  <si>
    <t>Juan</t>
  </si>
  <si>
    <t>FEBRERO</t>
  </si>
  <si>
    <t>OBSEQUIO</t>
  </si>
  <si>
    <t>Erira</t>
  </si>
  <si>
    <t>Eugenia</t>
  </si>
  <si>
    <t xml:space="preserve">por cancelar </t>
  </si>
  <si>
    <t>Por cancelar</t>
  </si>
  <si>
    <t>Pantoja</t>
  </si>
  <si>
    <t>Camilo</t>
  </si>
  <si>
    <t>Humanizacion</t>
  </si>
  <si>
    <t>Ingeniero biomedico</t>
  </si>
  <si>
    <t>Lilian</t>
  </si>
  <si>
    <t>Yolanda</t>
  </si>
  <si>
    <t>YURANi</t>
  </si>
  <si>
    <t>Geovanny</t>
  </si>
  <si>
    <t xml:space="preserve"> OBSEQUIO</t>
  </si>
  <si>
    <t>Yury</t>
  </si>
  <si>
    <t xml:space="preserve"> 22/01/1989</t>
  </si>
  <si>
    <t>Jairo</t>
  </si>
  <si>
    <t>Alexandra</t>
  </si>
  <si>
    <t>Tania</t>
  </si>
  <si>
    <t>NEQUI</t>
  </si>
  <si>
    <t>Correa</t>
  </si>
  <si>
    <t>Angulo</t>
  </si>
  <si>
    <t>Claudia</t>
  </si>
  <si>
    <t>Lorena</t>
  </si>
  <si>
    <t>Stiven</t>
  </si>
  <si>
    <t>Arley</t>
  </si>
  <si>
    <t>De Los Reyes</t>
  </si>
  <si>
    <t>Roberto</t>
  </si>
  <si>
    <t>CUIDADO AL PACIENTE DONANTE</t>
  </si>
  <si>
    <t>FRANCISCO</t>
  </si>
  <si>
    <t>X</t>
  </si>
  <si>
    <t>Ruales</t>
  </si>
  <si>
    <t>Luna</t>
  </si>
  <si>
    <t>Richard</t>
  </si>
  <si>
    <t>Steven</t>
  </si>
  <si>
    <t>LUIS PINTA</t>
  </si>
  <si>
    <t>Caicedo</t>
  </si>
  <si>
    <t>Noguera</t>
  </si>
  <si>
    <t>Rita</t>
  </si>
  <si>
    <t>Guadalupe</t>
  </si>
  <si>
    <t>Toro</t>
  </si>
  <si>
    <t>Chalpatar</t>
  </si>
  <si>
    <t>Yudi</t>
  </si>
  <si>
    <t>Alejandra</t>
  </si>
  <si>
    <t>Castillo</t>
  </si>
  <si>
    <t>Ines</t>
  </si>
  <si>
    <t>Armero</t>
  </si>
  <si>
    <t>Neira</t>
  </si>
  <si>
    <t>Jimena</t>
  </si>
  <si>
    <t>Artunduaga</t>
  </si>
  <si>
    <t>Angie</t>
  </si>
  <si>
    <t>Tatiana</t>
  </si>
  <si>
    <t>Achicanoy</t>
  </si>
  <si>
    <t>Ortiz</t>
  </si>
  <si>
    <t>Jessica</t>
  </si>
  <si>
    <t>Karina</t>
  </si>
  <si>
    <t>Melo</t>
  </si>
  <si>
    <t>Nancy</t>
  </si>
  <si>
    <t>Magaly</t>
  </si>
  <si>
    <t>Diana</t>
  </si>
  <si>
    <t>Ceron</t>
  </si>
  <si>
    <t>Sanchez</t>
  </si>
  <si>
    <t>William</t>
  </si>
  <si>
    <t>Fabian</t>
  </si>
  <si>
    <t>Ruiz</t>
  </si>
  <si>
    <t>Chamorro</t>
  </si>
  <si>
    <t>David</t>
  </si>
  <si>
    <t>Bernardo</t>
  </si>
  <si>
    <t>Fernanda</t>
  </si>
  <si>
    <t>Jimenez</t>
  </si>
  <si>
    <t>Criollo</t>
  </si>
  <si>
    <t>Mendoza</t>
  </si>
  <si>
    <t>Delgado</t>
  </si>
  <si>
    <t>Maya</t>
  </si>
  <si>
    <t>Lopez</t>
  </si>
  <si>
    <t>Enriquez</t>
  </si>
  <si>
    <t>Florez</t>
  </si>
  <si>
    <t>Gonzalez</t>
  </si>
  <si>
    <t>Gordillo</t>
  </si>
  <si>
    <t>Ibarra</t>
  </si>
  <si>
    <t>Paz</t>
  </si>
  <si>
    <t>Jojoa</t>
  </si>
  <si>
    <t>Pejendino</t>
  </si>
  <si>
    <t>Riascos</t>
  </si>
  <si>
    <t>Coronado</t>
  </si>
  <si>
    <t>Gomez</t>
  </si>
  <si>
    <t>Perez</t>
  </si>
  <si>
    <t>Torres</t>
  </si>
  <si>
    <t>Vallejo</t>
  </si>
  <si>
    <t>Narvaez</t>
  </si>
  <si>
    <t>Mora</t>
  </si>
  <si>
    <t>Almeida</t>
  </si>
  <si>
    <t>Jurado</t>
  </si>
  <si>
    <t>Rodriguez</t>
  </si>
  <si>
    <t>Teran</t>
  </si>
  <si>
    <t>Inguilan</t>
  </si>
  <si>
    <t>Cuastumal</t>
  </si>
  <si>
    <t>Morales</t>
  </si>
  <si>
    <t>Antonio</t>
  </si>
  <si>
    <t>Luis</t>
  </si>
  <si>
    <t>Geovany</t>
  </si>
  <si>
    <t>Lina</t>
  </si>
  <si>
    <t>Daniel</t>
  </si>
  <si>
    <t>Patricia</t>
  </si>
  <si>
    <t>Darwin</t>
  </si>
  <si>
    <t>Gustavo</t>
  </si>
  <si>
    <t>Leidy</t>
  </si>
  <si>
    <t>Leydi</t>
  </si>
  <si>
    <t>Julio</t>
  </si>
  <si>
    <t>Sandra</t>
  </si>
  <si>
    <t>Cristian</t>
  </si>
  <si>
    <t>Nidia</t>
  </si>
  <si>
    <t>Jenny</t>
  </si>
  <si>
    <t>Sebastian</t>
  </si>
  <si>
    <t>Jazmin</t>
  </si>
  <si>
    <t>Nathaly</t>
  </si>
  <si>
    <t>Santiago</t>
  </si>
  <si>
    <t>Daniela</t>
  </si>
  <si>
    <t>Alonso</t>
  </si>
  <si>
    <t>Armando</t>
  </si>
  <si>
    <t>Milena</t>
  </si>
  <si>
    <t>Yamile</t>
  </si>
  <si>
    <t>Johana</t>
  </si>
  <si>
    <t>Marinela</t>
  </si>
  <si>
    <t>Del Hierro</t>
  </si>
  <si>
    <t>Bravo</t>
  </si>
  <si>
    <t>Jaime</t>
  </si>
  <si>
    <t>Yenny</t>
  </si>
  <si>
    <t>Amalfy</t>
  </si>
  <si>
    <t>Bolaños</t>
  </si>
  <si>
    <t>Muñoz</t>
  </si>
  <si>
    <t>Yeimi</t>
  </si>
  <si>
    <t>Katerine</t>
  </si>
  <si>
    <t>Timana</t>
  </si>
  <si>
    <t>Vanessa</t>
  </si>
  <si>
    <t>Cuaicuan</t>
  </si>
  <si>
    <t>Karen</t>
  </si>
  <si>
    <t>Viviana</t>
  </si>
  <si>
    <t>Pazmiño</t>
  </si>
  <si>
    <t>Omar</t>
  </si>
  <si>
    <t>Alexander</t>
  </si>
  <si>
    <t>Rengifo</t>
  </si>
  <si>
    <t>Laura</t>
  </si>
  <si>
    <t>Valentina</t>
  </si>
  <si>
    <t>Caja</t>
  </si>
  <si>
    <t>AVANTI</t>
  </si>
  <si>
    <t>FATIMA</t>
  </si>
  <si>
    <t>27091 524</t>
  </si>
  <si>
    <t xml:space="preserve">Mesias </t>
  </si>
  <si>
    <t>Achichanoy</t>
  </si>
  <si>
    <t>Julieta</t>
  </si>
  <si>
    <t>Estefania</t>
  </si>
  <si>
    <t>Villareal</t>
  </si>
  <si>
    <t>Paguay</t>
  </si>
  <si>
    <t>Alejandro</t>
  </si>
  <si>
    <t>Alvear</t>
  </si>
  <si>
    <t>Luisa</t>
  </si>
  <si>
    <t>REALIZADOR</t>
  </si>
  <si>
    <t>CAMILO</t>
  </si>
  <si>
    <t>SEBAS</t>
  </si>
  <si>
    <t>Rivera</t>
  </si>
  <si>
    <t>Sara</t>
  </si>
  <si>
    <t xml:space="preserve">Bastidas </t>
  </si>
  <si>
    <t>Rosales</t>
  </si>
  <si>
    <t>Yuliana</t>
  </si>
  <si>
    <t>Del Carmen</t>
  </si>
  <si>
    <t>Carrillo</t>
  </si>
  <si>
    <t>Linda</t>
  </si>
  <si>
    <t>Katheryne</t>
  </si>
  <si>
    <t>Mueses</t>
  </si>
  <si>
    <t>Quitiaquez</t>
  </si>
  <si>
    <t>Segundo</t>
  </si>
  <si>
    <t>Humberto</t>
  </si>
  <si>
    <t>Zambrano</t>
  </si>
  <si>
    <t>Eduardo</t>
  </si>
  <si>
    <t>Onofre</t>
  </si>
  <si>
    <t>Myriam</t>
  </si>
  <si>
    <t>Adriana</t>
  </si>
  <si>
    <t xml:space="preserve">Efectivo </t>
  </si>
  <si>
    <t>Guevara</t>
  </si>
  <si>
    <t>Geimar</t>
  </si>
  <si>
    <t>Alexis</t>
  </si>
  <si>
    <t>Cárdenas</t>
  </si>
  <si>
    <t>Uribe</t>
  </si>
  <si>
    <t>Gabriel</t>
  </si>
  <si>
    <t>Burbano</t>
  </si>
  <si>
    <t>Capacho</t>
  </si>
  <si>
    <t>Kateryne</t>
  </si>
  <si>
    <t>Villota</t>
  </si>
  <si>
    <t xml:space="preserve">Milena </t>
  </si>
  <si>
    <t>Josa</t>
  </si>
  <si>
    <t>Alfredo</t>
  </si>
  <si>
    <t>Jhonny</t>
  </si>
  <si>
    <t>Fernando</t>
  </si>
  <si>
    <t>Montilla</t>
  </si>
  <si>
    <t>Juana</t>
  </si>
  <si>
    <t>Cortes</t>
  </si>
  <si>
    <t>Tapia</t>
  </si>
  <si>
    <t>nequi</t>
  </si>
  <si>
    <t>Cadena</t>
  </si>
  <si>
    <t>Didier</t>
  </si>
  <si>
    <t>Monica</t>
  </si>
  <si>
    <t>N/A</t>
  </si>
  <si>
    <t>Palacios</t>
  </si>
  <si>
    <t>Guerrero</t>
  </si>
  <si>
    <t>Yanitza</t>
  </si>
  <si>
    <t>Clarivel</t>
  </si>
  <si>
    <t>Barayan</t>
  </si>
  <si>
    <t xml:space="preserve">Angela </t>
  </si>
  <si>
    <t>Hernandez</t>
  </si>
  <si>
    <t>Mangua</t>
  </si>
  <si>
    <t>13/092003</t>
  </si>
  <si>
    <t>Betancourt</t>
  </si>
  <si>
    <t>Frank</t>
  </si>
  <si>
    <t>Emilio</t>
  </si>
  <si>
    <t>Bryan</t>
  </si>
  <si>
    <t>Erazo</t>
  </si>
  <si>
    <t>Katherine</t>
  </si>
  <si>
    <t>Daisy</t>
  </si>
  <si>
    <t>Pastaz</t>
  </si>
  <si>
    <t>Estrada</t>
  </si>
  <si>
    <t>Stella</t>
  </si>
  <si>
    <t>Pabon</t>
  </si>
  <si>
    <t>Marcela</t>
  </si>
  <si>
    <t>Chazatar</t>
  </si>
  <si>
    <t>Getial</t>
  </si>
  <si>
    <t>Aura</t>
  </si>
  <si>
    <t>Nely</t>
  </si>
  <si>
    <t>Ramirez</t>
  </si>
  <si>
    <t>Suárez</t>
  </si>
  <si>
    <t>Liliana</t>
  </si>
  <si>
    <t>Del Socorro</t>
  </si>
  <si>
    <t>Antonieta</t>
  </si>
  <si>
    <t>Quenan</t>
  </si>
  <si>
    <t>Derly</t>
  </si>
  <si>
    <t>Calvache</t>
  </si>
  <si>
    <t>Romero</t>
  </si>
  <si>
    <t>Cristina</t>
  </si>
  <si>
    <t>Potosi</t>
  </si>
  <si>
    <t>Jeimy</t>
  </si>
  <si>
    <t>Dayan</t>
  </si>
  <si>
    <t>Velasco</t>
  </si>
  <si>
    <t>Natalia</t>
  </si>
  <si>
    <t>Carolina</t>
  </si>
  <si>
    <t>MARZO</t>
  </si>
  <si>
    <t>Guaques</t>
  </si>
  <si>
    <t>Luz</t>
  </si>
  <si>
    <t>Escobar</t>
  </si>
  <si>
    <t>Bibiana</t>
  </si>
  <si>
    <t>Patascoy</t>
  </si>
  <si>
    <t>Janeth</t>
  </si>
  <si>
    <t>Mena</t>
  </si>
  <si>
    <t>Botina</t>
  </si>
  <si>
    <t>Pablo</t>
  </si>
  <si>
    <t>Molina</t>
  </si>
  <si>
    <t>Lilia</t>
  </si>
  <si>
    <t>Villacis</t>
  </si>
  <si>
    <t>Rueda</t>
  </si>
  <si>
    <t>Edith</t>
  </si>
  <si>
    <t>Ortega</t>
  </si>
  <si>
    <t>Jheimy</t>
  </si>
  <si>
    <t>Lizel</t>
  </si>
  <si>
    <t>Pascuaza</t>
  </si>
  <si>
    <t>Acosta</t>
  </si>
  <si>
    <t>Zuluaga</t>
  </si>
  <si>
    <t>Arcila</t>
  </si>
  <si>
    <t>Edwin</t>
  </si>
  <si>
    <t>Estiv</t>
  </si>
  <si>
    <t>PASTO SALUD</t>
  </si>
  <si>
    <t>Castro</t>
  </si>
  <si>
    <t>Parra</t>
  </si>
  <si>
    <t>Magda</t>
  </si>
  <si>
    <t>juajinoy</t>
  </si>
  <si>
    <t>Miramag</t>
  </si>
  <si>
    <t>Ayde</t>
  </si>
  <si>
    <t>DAVIPLATA</t>
  </si>
  <si>
    <t>janamejoy</t>
  </si>
  <si>
    <t>Alirio</t>
  </si>
  <si>
    <t>DEA</t>
  </si>
  <si>
    <t>USO Y MANEJO DEL DEA</t>
  </si>
  <si>
    <t>Medina</t>
  </si>
  <si>
    <t>Samboni</t>
  </si>
  <si>
    <t>Arturo</t>
  </si>
  <si>
    <t>OPERADOS DE VEHICULOS</t>
  </si>
  <si>
    <t>Ayala</t>
  </si>
  <si>
    <t>Edmer</t>
  </si>
  <si>
    <t>Leonardo</t>
  </si>
  <si>
    <t xml:space="preserve">Odontologo </t>
  </si>
  <si>
    <t>-</t>
  </si>
  <si>
    <t>Enfermera jefe</t>
  </si>
  <si>
    <t>Callcenter</t>
  </si>
  <si>
    <t>Uyaque</t>
  </si>
  <si>
    <t>Insuasty</t>
  </si>
  <si>
    <t>Beyanira</t>
  </si>
  <si>
    <t>Realpe</t>
  </si>
  <si>
    <t>Imbachi</t>
  </si>
  <si>
    <t>Fuertes</t>
  </si>
  <si>
    <t>Mejia</t>
  </si>
  <si>
    <t>Jorge</t>
  </si>
  <si>
    <t>Aguirre</t>
  </si>
  <si>
    <t xml:space="preserve">Ana </t>
  </si>
  <si>
    <t>Lucia</t>
  </si>
  <si>
    <t xml:space="preserve"> 28/10/1961</t>
  </si>
  <si>
    <t>Nayibe</t>
  </si>
  <si>
    <t>Nieto</t>
  </si>
  <si>
    <t>Edgar</t>
  </si>
  <si>
    <t>Ramiro</t>
  </si>
  <si>
    <t>Calderon</t>
  </si>
  <si>
    <t>Eraso</t>
  </si>
  <si>
    <t>Santracruz</t>
  </si>
  <si>
    <t>Clarisa</t>
  </si>
  <si>
    <t>14/1167</t>
  </si>
  <si>
    <t>Ceballos</t>
  </si>
  <si>
    <t>Becerra</t>
  </si>
  <si>
    <t>Doris</t>
  </si>
  <si>
    <t>Raquel</t>
  </si>
  <si>
    <t>Efren</t>
  </si>
  <si>
    <t>Dario</t>
  </si>
  <si>
    <t xml:space="preserve"> </t>
  </si>
  <si>
    <t>Diaz Del Castillo</t>
  </si>
  <si>
    <t>Garzon</t>
  </si>
  <si>
    <t>Manuel</t>
  </si>
  <si>
    <t>Diaz</t>
  </si>
  <si>
    <t>Alvarez</t>
  </si>
  <si>
    <t>Lizeth</t>
  </si>
  <si>
    <t>Garcia</t>
  </si>
  <si>
    <t>Jamioy</t>
  </si>
  <si>
    <t>Gina</t>
  </si>
  <si>
    <t>Ramírez</t>
  </si>
  <si>
    <t>Nequi</t>
  </si>
  <si>
    <t>Brayan</t>
  </si>
  <si>
    <t>Chavez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</si>
</sst>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name val="Arial"/>
      <family val="2"/>
    </font>
    <font>
      <sz val="8"/>
      <name val="Calibri"/>
      <family val="2"/>
      <scheme val="minor"/>
    </font>
    <font>
      <sz val="12"/>
      <color rgb="FF000000"/>
      <name val="Arial"/>
      <family val="2"/>
    </font>
    <font>
      <sz val="12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5">
    <xf numFmtId="0" fontId="0" fillId="0" borderId="0" xfId="0"/>
    <xf numFmtId="164" fontId="2" fillId="0" borderId="0" xfId="1" applyNumberFormat="1" applyFont="1" applyFill="1" applyBorder="1" applyAlignment="1"/>
    <xf numFmtId="0" fontId="7" fillId="0" borderId="0" xfId="0" applyFont="1" applyBorder="1" applyAlignment="1" applyProtection="1">
      <alignment horizontal="center" vertical="center"/>
      <protection locked="0"/>
    </xf>
    <xf numFmtId="1" fontId="7" fillId="0" borderId="0" xfId="2" applyNumberFormat="1" applyFont="1" applyFill="1" applyBorder="1" applyAlignment="1" applyProtection="1">
      <alignment horizontal="right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/>
      <protection locked="0"/>
    </xf>
    <xf numFmtId="49" fontId="2" fillId="0" borderId="0" xfId="0" applyNumberFormat="1" applyFont="1" applyBorder="1" applyAlignment="1" applyProtection="1">
      <alignment horizontal="center" vertical="center"/>
      <protection locked="0"/>
    </xf>
    <xf numFmtId="14" fontId="2" fillId="0" borderId="0" xfId="2" applyNumberFormat="1" applyFont="1" applyFill="1" applyBorder="1" applyAlignment="1" applyProtection="1">
      <alignment vertical="center"/>
      <protection locked="0"/>
    </xf>
    <xf numFmtId="164" fontId="2" fillId="0" borderId="0" xfId="1" applyNumberFormat="1" applyFont="1" applyFill="1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14" fontId="4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right" vertical="center"/>
      <protection locked="0"/>
    </xf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14" fontId="2" fillId="0" borderId="0" xfId="0" applyNumberFormat="1" applyFont="1" applyBorder="1"/>
    <xf numFmtId="14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right"/>
    </xf>
    <xf numFmtId="14" fontId="2" fillId="0" borderId="0" xfId="1" applyNumberFormat="1" applyFont="1" applyFill="1" applyBorder="1" applyAlignment="1"/>
    <xf numFmtId="0" fontId="0" fillId="0" borderId="0" xfId="0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right"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0" fontId="4" fillId="0" borderId="0" xfId="0" applyFont="1" applyBorder="1" applyAlignment="1">
      <alignment horizontal="left"/>
    </xf>
    <xf numFmtId="14" fontId="4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vertical="center"/>
    </xf>
    <xf numFmtId="0" fontId="3" fillId="0" borderId="0" xfId="0" applyFont="1" applyBorder="1"/>
  </cellXfs>
  <cellStyles count="3">
    <cellStyle name="Millares" xfId="1" builtinId="3"/>
    <cellStyle name="Millares [0]" xfId="2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BASTIAN-CCS\compartida%20ccs\CCS\2.Certificado\2023\JULIO\BASE%20DE%20DATOS%20CERTIFICADOS%20JUL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CURSOS"/>
      <sheetName val="Hoja2"/>
    </sheetNames>
    <sheetDataSet>
      <sheetData sheetId="0" refreshError="1"/>
      <sheetData sheetId="1" refreshError="1">
        <row r="3">
          <cell r="D3" t="str">
            <v>ATENCION PRE-HOSPITALARIA</v>
          </cell>
          <cell r="E3" t="str">
            <v>DIPLOMADO EN ATENCION PRE-HOSPITALARIA</v>
          </cell>
        </row>
        <row r="4">
          <cell r="D4" t="str">
            <v>DUELO</v>
          </cell>
          <cell r="E4" t="str">
            <v>ACOMPAÑAMIENTO Y MANEJO DEL DUELO</v>
          </cell>
        </row>
        <row r="5">
          <cell r="D5" t="str">
            <v>QUIMICOS</v>
          </cell>
          <cell r="E5" t="str">
            <v xml:space="preserve">ATENCION A VICTIMAS DE ATAQUE CON AGENTES QUIMICOS </v>
          </cell>
        </row>
        <row r="6">
          <cell r="D6" t="str">
            <v>PRIMEROS AUXILIOS</v>
          </cell>
          <cell r="E6" t="str">
            <v>PRIMEROS AUXILIOS</v>
          </cell>
        </row>
        <row r="7">
          <cell r="D7" t="str">
            <v>UCI</v>
          </cell>
          <cell r="E7" t="str">
            <v>DIPLOMADO DE UNIDAD DE CUIDADOS INTENSIVOS (UCI)</v>
          </cell>
        </row>
        <row r="8">
          <cell r="D8" t="str">
            <v>CODIGO VERDE</v>
          </cell>
          <cell r="E8" t="str">
            <v>MODELO DE ATENCION PARA EVENTOS EMERGENTES EN SALUD MENTAL (CODIGO VERDE)</v>
          </cell>
        </row>
        <row r="9">
          <cell r="D9" t="str">
            <v>HUMANIZACION</v>
          </cell>
          <cell r="E9" t="str">
            <v xml:space="preserve">HUMANIZACION EN SALUD, BUENAS PRACTICAS EN PACIENTE </v>
          </cell>
        </row>
        <row r="10">
          <cell r="D10" t="str">
            <v>CLINICA DE HERIDAS</v>
          </cell>
          <cell r="E10" t="str">
            <v xml:space="preserve">CLINICA DE HERIDAS </v>
          </cell>
        </row>
        <row r="11">
          <cell r="D11" t="str">
            <v>CITOLOGIA</v>
          </cell>
          <cell r="E11" t="str">
            <v xml:space="preserve">TOMA DE CITOLOGIA A CERVICO VAGINAL </v>
          </cell>
        </row>
        <row r="12">
          <cell r="D12" t="str">
            <v>ACLS</v>
          </cell>
          <cell r="E12" t="str">
            <v xml:space="preserve">SOPORTE CARDIOVASCULAR AVANZADO </v>
          </cell>
        </row>
        <row r="13">
          <cell r="D13" t="str">
            <v>CAMILLERO</v>
          </cell>
          <cell r="E13" t="str">
            <v>CAMILLERO HOSPITALARIO</v>
          </cell>
        </row>
        <row r="14">
          <cell r="D14" t="str">
            <v>TOMA DE MUESTRAS</v>
          </cell>
          <cell r="E14" t="str">
            <v>TOMA MUESTRAS Y LABORATORIO CLINICO</v>
          </cell>
        </row>
        <row r="15">
          <cell r="D15" t="str">
            <v>BLS</v>
          </cell>
          <cell r="E15" t="str">
            <v>SOPORTE VITAL BASICO (BLS)</v>
          </cell>
        </row>
        <row r="16">
          <cell r="D16" t="str">
            <v>VIOLENCIA SEXUAL</v>
          </cell>
          <cell r="E16" t="str">
            <v xml:space="preserve">ATENCION A VICTIMAS DE VIOLENCIA SEXUAL </v>
          </cell>
        </row>
        <row r="17">
          <cell r="D17" t="str">
            <v>COVID</v>
          </cell>
          <cell r="E17" t="str">
            <v>PROGRAMADO AMPLIADO DE INMUNIZACION (PAI - COVID 19)</v>
          </cell>
        </row>
        <row r="18">
          <cell r="D18" t="str">
            <v>AIEPI</v>
          </cell>
          <cell r="E18" t="str">
            <v>ATENCION INTEGRAL EN ENFERMEDADES PREVALENTES EN PRIMERA INFANCIA (AIEPI)</v>
          </cell>
        </row>
        <row r="19">
          <cell r="D19" t="str">
            <v>ADMON DE MEDICAMENTOS</v>
          </cell>
          <cell r="E19" t="str">
            <v xml:space="preserve">ADMINISTRACION DE MEDICAMENTOS, INYECTOLOGIA  Y CANALIZACION </v>
          </cell>
        </row>
        <row r="20">
          <cell r="D20" t="str">
            <v>OVE</v>
          </cell>
          <cell r="E20" t="str">
            <v>OPERADOR DE VEHICULOS DE EMERGENCIA (OVE)</v>
          </cell>
        </row>
        <row r="21">
          <cell r="D21" t="str">
            <v>IAMI</v>
          </cell>
          <cell r="E21" t="str">
            <v>INSTITUCIONES AMIGAS DE LA MUJER Y LA INFANCIA (IAMI)</v>
          </cell>
        </row>
        <row r="22">
          <cell r="D22" t="str">
            <v>DONANTE</v>
          </cell>
          <cell r="E22" t="str">
            <v>CUIDADO DEL DONANTE DE ORGANOS</v>
          </cell>
        </row>
        <row r="23">
          <cell r="D23" t="str">
            <v>VIOLENCIA DE GENERO</v>
          </cell>
          <cell r="E23" t="str">
            <v>ATENCION A VICTIMAS POR VIOLENCIA DE GENERO</v>
          </cell>
        </row>
        <row r="24">
          <cell r="D24" t="str">
            <v>IGUALDAD DE GENERO</v>
          </cell>
          <cell r="E24" t="str">
            <v>IGUALDAD DE GENERO EN LA SALUD</v>
          </cell>
        </row>
        <row r="25">
          <cell r="D25" t="str">
            <v>BRIGADA</v>
          </cell>
          <cell r="E25" t="str">
            <v>BRIGADA DE EMERGENCIA</v>
          </cell>
        </row>
        <row r="26">
          <cell r="D26" t="str">
            <v>PALIATIVOS</v>
          </cell>
          <cell r="E26" t="str">
            <v>MANEJO DEL DOLOR Y CUIDADOS PALIATIVOS</v>
          </cell>
        </row>
        <row r="27">
          <cell r="D27" t="str">
            <v>POCT</v>
          </cell>
          <cell r="E27" t="str">
            <v>TOMA MUESTRAS Y LABORATORIO POCT</v>
          </cell>
        </row>
        <row r="28">
          <cell r="D28" t="str">
            <v>IMPLANTE</v>
          </cell>
          <cell r="E28" t="str">
            <v>IMPLANTE SUBDERMICO Y DISPOSITIVO INTRAUTERINO</v>
          </cell>
        </row>
        <row r="29">
          <cell r="D29" t="str">
            <v>SALUD MENTAL</v>
          </cell>
          <cell r="E29" t="str">
            <v>SALUD MENTAL (CODIGO VERDE)</v>
          </cell>
        </row>
        <row r="30">
          <cell r="D30" t="str">
            <v>PRIMEROS AUXILIOS P</v>
          </cell>
          <cell r="E30" t="str">
            <v>PRIMEROS AUXILIOS PSICOLOGICOS</v>
          </cell>
        </row>
        <row r="31">
          <cell r="D31" t="str">
            <v>CONFLICTO ARMADO</v>
          </cell>
          <cell r="E31" t="str">
            <v>ATENCION A VICTIMAS POR CONFLICTO ARMADO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186"/>
  <sheetViews>
    <sheetView tabSelected="1" zoomScale="55" zoomScaleNormal="55" workbookViewId="0">
      <pane xSplit="1" ySplit="1" topLeftCell="B2" activePane="bottomRight" state="frozen"/>
      <selection pane="topRight"/>
      <selection pane="bottomLeft"/>
      <selection pane="bottomRight" activeCell="C122" sqref="C122"/>
    </sheetView>
  </sheetViews>
  <sheetFormatPr baseColWidth="10" defaultRowHeight="15" x14ac:dyDescent="0.2"/>
  <cols>
    <col min="1" max="1" width="5.140625" style="17" bestFit="1" customWidth="1"/>
    <col min="2" max="2" width="45.140625" style="17" bestFit="1" customWidth="1"/>
    <col min="3" max="3" width="33.140625" style="17" bestFit="1" customWidth="1"/>
    <col min="4" max="4" width="39.5703125" style="17" bestFit="1" customWidth="1"/>
    <col min="5" max="5" width="35.7109375" style="17" bestFit="1" customWidth="1"/>
    <col min="6" max="6" width="34.140625" style="18" bestFit="1" customWidth="1"/>
    <col min="7" max="7" width="15.42578125" style="17" bestFit="1" customWidth="1"/>
    <col min="8" max="8" width="16.7109375" style="17" bestFit="1" customWidth="1"/>
    <col min="9" max="9" width="30.28515625" style="19" bestFit="1" customWidth="1"/>
    <col min="10" max="10" width="32.85546875" style="1" bestFit="1" customWidth="1"/>
    <col min="11" max="11" width="33.85546875" style="17" bestFit="1" customWidth="1"/>
    <col min="12" max="12" width="29" style="17" bestFit="1" customWidth="1"/>
    <col min="13" max="13" width="32.140625" style="17" bestFit="1" customWidth="1"/>
    <col min="14" max="14" width="43.28515625" style="17" bestFit="1" customWidth="1"/>
    <col min="15" max="15" width="44.85546875" style="20" bestFit="1" customWidth="1"/>
    <col min="16" max="16" width="22.42578125" style="21" bestFit="1" customWidth="1"/>
    <col min="17" max="17" width="48.7109375" style="17" bestFit="1" customWidth="1"/>
    <col min="18" max="18" width="15.140625" style="17" bestFit="1" customWidth="1"/>
    <col min="19" max="19" width="111" style="17" bestFit="1" customWidth="1"/>
    <col min="20" max="21" width="45.85546875" style="17" bestFit="1" customWidth="1"/>
    <col min="22" max="22" width="96.28515625" style="17" bestFit="1" customWidth="1"/>
    <col min="23" max="16384" width="11.42578125" style="17"/>
  </cols>
  <sheetData>
    <row r="1" spans="1:22" s="16" customFormat="1" x14ac:dyDescent="0.25">
      <c r="A1" s="2" t="s">
        <v>94</v>
      </c>
      <c r="B1" s="3" t="s">
        <v>0</v>
      </c>
      <c r="C1" s="4" t="s">
        <v>1</v>
      </c>
      <c r="D1" s="5" t="s">
        <v>2</v>
      </c>
      <c r="E1" s="5" t="s">
        <v>3</v>
      </c>
      <c r="F1" s="6" t="s">
        <v>4</v>
      </c>
      <c r="G1" s="7" t="s">
        <v>5</v>
      </c>
      <c r="H1" s="7" t="s">
        <v>6</v>
      </c>
      <c r="I1" s="8" t="s">
        <v>7</v>
      </c>
      <c r="J1" s="9" t="s">
        <v>8</v>
      </c>
      <c r="K1" s="10" t="s">
        <v>9</v>
      </c>
      <c r="L1" s="10" t="s">
        <v>221</v>
      </c>
      <c r="M1" s="10" t="s">
        <v>10</v>
      </c>
      <c r="N1" s="11" t="s">
        <v>11</v>
      </c>
      <c r="O1" s="12" t="s">
        <v>59</v>
      </c>
      <c r="P1" s="10" t="s">
        <v>12</v>
      </c>
      <c r="Q1" s="5" t="s">
        <v>13</v>
      </c>
      <c r="R1" s="13" t="s">
        <v>14</v>
      </c>
      <c r="S1" s="14" t="s">
        <v>15</v>
      </c>
      <c r="T1" s="15" t="s">
        <v>16</v>
      </c>
      <c r="U1" s="15" t="s">
        <v>17</v>
      </c>
      <c r="V1" s="15" t="s">
        <v>18</v>
      </c>
    </row>
    <row r="2" spans="1:22" x14ac:dyDescent="0.2">
      <c r="A2" s="17">
        <v>1</v>
      </c>
      <c r="B2" s="17">
        <v>12919771</v>
      </c>
      <c r="C2" s="17" t="s">
        <v>60</v>
      </c>
      <c r="D2" s="17" t="s">
        <v>61</v>
      </c>
      <c r="E2" s="17" t="s">
        <v>62</v>
      </c>
      <c r="F2" s="18" t="s">
        <v>56</v>
      </c>
      <c r="G2" s="17">
        <v>1</v>
      </c>
      <c r="H2" s="17" t="s">
        <v>63</v>
      </c>
      <c r="I2" s="19">
        <v>45323</v>
      </c>
      <c r="J2" s="1">
        <v>100000</v>
      </c>
      <c r="K2" s="17" t="s">
        <v>45</v>
      </c>
      <c r="M2" s="17" t="s">
        <v>40</v>
      </c>
      <c r="N2" s="18" t="s">
        <v>24</v>
      </c>
      <c r="O2" s="20">
        <v>26254</v>
      </c>
      <c r="P2" s="21" t="s">
        <v>39</v>
      </c>
      <c r="Q2" s="17" t="s">
        <v>41</v>
      </c>
      <c r="R2" s="22">
        <v>3116057472</v>
      </c>
      <c r="S2" s="17" t="str">
        <f>+IF($N2=[1]CURSOS!$D$3,[1]CURSOS!$E$3,(+IF($N2=[1]CURSOS!$D$4,[1]CURSOS!$E$4,(+IF($N2=[1]CURSOS!$D$5,[1]CURSOS!$E$5,(+IF($N2=[1]CURSOS!$D$6,[1]CURSOS!$E$6,(+IF($N2=[1]CURSOS!$D$7,[1]CURSOS!$E$7,(+IF($N2=[1]CURSOS!$D$8,[1]CURSOS!$E$8,(+IF($N2=[1]CURSOS!$D$9,[1]CURSOS!$E$9,(+IF($N2=[1]CURSOS!$D$10,[1]CURSOS!$E$10,(+IF($N2=[1]CURSOS!$D$11,[1]CURSOS!$E$11,(+IF($N2=[1]CURSOS!$D$12,[1]CURSOS!$E$12,(+IF($N2=[1]CURSOS!$D$13,[1]CURSOS!$E$13,(+IF($N2=[1]CURSOS!$D$14,[1]CURSOS!$E$14,(+IF($N2=[1]CURSOS!$D$15,[1]CURSOS!$E$15,(+IF($N2=[1]CURSOS!$D$16,[1]CURSOS!$E$16,(+IF($N2=[1]CURSOS!$D$17,[1]CURSOS!$E$17,(+IF($N2=[1]CURSOS!$D$18,[1]CURSOS!$E$18,(+IF($N2=[1]CURSOS!$D$19,[1]CURSOS!$E$19,(+IF($N2=[1]CURSOS!$D$20,[1]CURSOS!$E$20,(+IF($N2=[1]CURSOS!$D$21,[1]CURSOS!$E$21,(+IF($N2=[1]CURSOS!$D$22,[1]CURSOS!$E$22,(+IF($N2=[1]CURSOS!$D$23,[1]CURSOS!$E$23,(+IF($N2=[1]CURSOS!$D$24,[1]CURSOS!$E$24,(+IF($N2=[1]CURSOS!$D$25,[1]CURSOS!$E$25,(+IF($N2=[1]CURSOS!$D$26,[1]CURSOS!$E$26,(+IF($N2=[1]CURSOS!$D$27,[1]CURSOS!$E$27,(+IF($N2=[1]CURSOS!$D$28,[1]CURSOS!$E$28,(+IF($N2=[1]CURSOS!$D$29,[1]CURSOS!$E$29,(+IF($N2=[1]CURSOS!$D$30,[1]CURSOS!$E$30,(+IF($N2=[1]CURSOS!$D$31,[1]CURSOS!$E$31,(+IF($N2=[1]CURSOS!$D$32,[1]CURSOS!$E$32)))))))))))))))))))))))))))))))))))))))))))))))))))))))))))</f>
        <v xml:space="preserve">SOPORTE CARDIOVASCULAR AVANZADO </v>
      </c>
      <c r="T2" s="17" t="str">
        <f t="shared" ref="T2" si="0">CONCATENATE(E2," ",F2," ",C2," ",D2)</f>
        <v>Juan Carlos Alban Araujo</v>
      </c>
      <c r="U2" s="17" t="str">
        <f t="shared" ref="U2" si="1">+PROPER(T2)</f>
        <v>Juan Carlos Alban Araujo</v>
      </c>
      <c r="V2" s="17" t="str">
        <f t="shared" ref="V2" si="2">CONCATENATE(T2,"-",B2,"-",N2)</f>
        <v>Juan Carlos Alban Araujo-12919771-ACLS</v>
      </c>
    </row>
    <row r="3" spans="1:22" x14ac:dyDescent="0.2">
      <c r="A3" s="17">
        <v>2</v>
      </c>
      <c r="B3" s="17">
        <v>12919771</v>
      </c>
      <c r="C3" s="17" t="s">
        <v>60</v>
      </c>
      <c r="D3" s="17" t="s">
        <v>61</v>
      </c>
      <c r="E3" s="17" t="s">
        <v>62</v>
      </c>
      <c r="F3" s="18" t="s">
        <v>56</v>
      </c>
      <c r="G3" s="17">
        <v>1</v>
      </c>
      <c r="H3" s="17" t="s">
        <v>63</v>
      </c>
      <c r="I3" s="19" t="s">
        <v>64</v>
      </c>
      <c r="J3" s="1" t="s">
        <v>64</v>
      </c>
      <c r="K3" s="17" t="s">
        <v>64</v>
      </c>
      <c r="M3" s="17" t="s">
        <v>40</v>
      </c>
      <c r="N3" s="18" t="s">
        <v>19</v>
      </c>
      <c r="O3" s="20">
        <v>26254</v>
      </c>
      <c r="P3" s="21" t="s">
        <v>39</v>
      </c>
      <c r="Q3" s="17" t="s">
        <v>41</v>
      </c>
      <c r="R3" s="22">
        <v>3116057472</v>
      </c>
      <c r="S3" s="17" t="str">
        <f>+IF($N3=[1]CURSOS!$D$3,[1]CURSOS!$E$3,(+IF($N3=[1]CURSOS!$D$4,[1]CURSOS!$E$4,(+IF($N3=[1]CURSOS!$D$5,[1]CURSOS!$E$5,(+IF($N3=[1]CURSOS!$D$6,[1]CURSOS!$E$6,(+IF($N3=[1]CURSOS!$D$7,[1]CURSOS!$E$7,(+IF($N3=[1]CURSOS!$D$8,[1]CURSOS!$E$8,(+IF($N3=[1]CURSOS!$D$9,[1]CURSOS!$E$9,(+IF($N3=[1]CURSOS!$D$10,[1]CURSOS!$E$10,(+IF($N3=[1]CURSOS!$D$11,[1]CURSOS!$E$11,(+IF($N3=[1]CURSOS!$D$12,[1]CURSOS!$E$12,(+IF($N3=[1]CURSOS!$D$13,[1]CURSOS!$E$13,(+IF($N3=[1]CURSOS!$D$14,[1]CURSOS!$E$14,(+IF($N3=[1]CURSOS!$D$15,[1]CURSOS!$E$15,(+IF($N3=[1]CURSOS!$D$16,[1]CURSOS!$E$16,(+IF($N3=[1]CURSOS!$D$17,[1]CURSOS!$E$17,(+IF($N3=[1]CURSOS!$D$18,[1]CURSOS!$E$18,(+IF($N3=[1]CURSOS!$D$19,[1]CURSOS!$E$19,(+IF($N3=[1]CURSOS!$D$20,[1]CURSOS!$E$20,(+IF($N3=[1]CURSOS!$D$21,[1]CURSOS!$E$21,(+IF($N3=[1]CURSOS!$D$22,[1]CURSOS!$E$22,(+IF($N3=[1]CURSOS!$D$23,[1]CURSOS!$E$23,(+IF($N3=[1]CURSOS!$D$24,[1]CURSOS!$E$24,(+IF($N3=[1]CURSOS!$D$25,[1]CURSOS!$E$25,(+IF($N3=[1]CURSOS!$D$26,[1]CURSOS!$E$26,(+IF($N3=[1]CURSOS!$D$27,[1]CURSOS!$E$27,(+IF($N3=[1]CURSOS!$D$28,[1]CURSOS!$E$28,(+IF($N3=[1]CURSOS!$D$29,[1]CURSOS!$E$29,(+IF($N3=[1]CURSOS!$D$30,[1]CURSOS!$E$30,(+IF($N3=[1]CURSOS!$D$31,[1]CURSOS!$E$31,(+IF($N3=[1]CURSOS!$D$32,[1]CURSOS!$E$32)))))))))))))))))))))))))))))))))))))))))))))))))))))))))))</f>
        <v>SOPORTE VITAL BASICO (BLS)</v>
      </c>
      <c r="T3" s="17" t="str">
        <f t="shared" ref="T3:T24" si="3">CONCATENATE(E3," ",F3," ",C3," ",D3)</f>
        <v>Juan Carlos Alban Araujo</v>
      </c>
      <c r="U3" s="17" t="str">
        <f t="shared" ref="U3:U24" si="4">+PROPER(T3)</f>
        <v>Juan Carlos Alban Araujo</v>
      </c>
      <c r="V3" s="17" t="str">
        <f t="shared" ref="V3:V24" si="5">CONCATENATE(T3,"-",B3,"-",N3)</f>
        <v>Juan Carlos Alban Araujo-12919771-BLS</v>
      </c>
    </row>
    <row r="4" spans="1:22" x14ac:dyDescent="0.2">
      <c r="A4" s="17">
        <v>3</v>
      </c>
      <c r="B4" s="17">
        <v>27225367</v>
      </c>
      <c r="C4" s="17" t="s">
        <v>65</v>
      </c>
      <c r="D4" s="17" t="s">
        <v>46</v>
      </c>
      <c r="E4" s="17" t="s">
        <v>53</v>
      </c>
      <c r="F4" s="18" t="s">
        <v>66</v>
      </c>
      <c r="G4" s="17">
        <v>1</v>
      </c>
      <c r="H4" s="17" t="s">
        <v>63</v>
      </c>
      <c r="I4" s="19">
        <v>45293</v>
      </c>
      <c r="J4" s="1">
        <v>130000</v>
      </c>
      <c r="K4" s="17" t="s">
        <v>83</v>
      </c>
      <c r="M4" s="17" t="s">
        <v>40</v>
      </c>
      <c r="N4" s="18" t="s">
        <v>24</v>
      </c>
      <c r="O4" s="20">
        <v>30037</v>
      </c>
      <c r="P4" s="21" t="s">
        <v>42</v>
      </c>
      <c r="Q4" s="17" t="s">
        <v>41</v>
      </c>
      <c r="R4" s="22">
        <v>3127034072</v>
      </c>
      <c r="S4" s="17" t="str">
        <f>+IF($N4=[1]CURSOS!$D$3,[1]CURSOS!$E$3,(+IF($N4=[1]CURSOS!$D$4,[1]CURSOS!$E$4,(+IF($N4=[1]CURSOS!$D$5,[1]CURSOS!$E$5,(+IF($N4=[1]CURSOS!$D$6,[1]CURSOS!$E$6,(+IF($N4=[1]CURSOS!$D$7,[1]CURSOS!$E$7,(+IF($N4=[1]CURSOS!$D$8,[1]CURSOS!$E$8,(+IF($N4=[1]CURSOS!$D$9,[1]CURSOS!$E$9,(+IF($N4=[1]CURSOS!$D$10,[1]CURSOS!$E$10,(+IF($N4=[1]CURSOS!$D$11,[1]CURSOS!$E$11,(+IF($N4=[1]CURSOS!$D$12,[1]CURSOS!$E$12,(+IF($N4=[1]CURSOS!$D$13,[1]CURSOS!$E$13,(+IF($N4=[1]CURSOS!$D$14,[1]CURSOS!$E$14,(+IF($N4=[1]CURSOS!$D$15,[1]CURSOS!$E$15,(+IF($N4=[1]CURSOS!$D$16,[1]CURSOS!$E$16,(+IF($N4=[1]CURSOS!$D$17,[1]CURSOS!$E$17,(+IF($N4=[1]CURSOS!$D$18,[1]CURSOS!$E$18,(+IF($N4=[1]CURSOS!$D$19,[1]CURSOS!$E$19,(+IF($N4=[1]CURSOS!$D$20,[1]CURSOS!$E$20,(+IF($N4=[1]CURSOS!$D$21,[1]CURSOS!$E$21,(+IF($N4=[1]CURSOS!$D$22,[1]CURSOS!$E$22,(+IF($N4=[1]CURSOS!$D$23,[1]CURSOS!$E$23,(+IF($N4=[1]CURSOS!$D$24,[1]CURSOS!$E$24,(+IF($N4=[1]CURSOS!$D$25,[1]CURSOS!$E$25,(+IF($N4=[1]CURSOS!$D$26,[1]CURSOS!$E$26,(+IF($N4=[1]CURSOS!$D$27,[1]CURSOS!$E$27,(+IF($N4=[1]CURSOS!$D$28,[1]CURSOS!$E$28,(+IF($N4=[1]CURSOS!$D$29,[1]CURSOS!$E$29,(+IF($N4=[1]CURSOS!$D$30,[1]CURSOS!$E$30,(+IF($N4=[1]CURSOS!$D$31,[1]CURSOS!$E$31,(+IF($N4=[1]CURSOS!$D$32,[1]CURSOS!$E$32)))))))))))))))))))))))))))))))))))))))))))))))))))))))))))</f>
        <v xml:space="preserve">SOPORTE CARDIOVASCULAR AVANZADO </v>
      </c>
      <c r="T4" s="17" t="str">
        <f t="shared" si="3"/>
        <v>Maria Eugenia Erira Martinez</v>
      </c>
      <c r="U4" s="17" t="str">
        <f t="shared" si="4"/>
        <v>Maria Eugenia Erira Martinez</v>
      </c>
      <c r="V4" s="17" t="str">
        <f t="shared" si="5"/>
        <v>Maria Eugenia Erira Martinez-27225367-ACLS</v>
      </c>
    </row>
    <row r="5" spans="1:22" x14ac:dyDescent="0.2">
      <c r="A5" s="17">
        <v>4</v>
      </c>
      <c r="B5" s="17">
        <v>1085299596</v>
      </c>
      <c r="C5" s="17" t="s">
        <v>69</v>
      </c>
      <c r="D5" s="17" t="s">
        <v>58</v>
      </c>
      <c r="E5" s="17" t="s">
        <v>52</v>
      </c>
      <c r="F5" s="18" t="s">
        <v>70</v>
      </c>
      <c r="G5" s="17">
        <v>1</v>
      </c>
      <c r="H5" s="17" t="s">
        <v>63</v>
      </c>
      <c r="I5" s="19">
        <v>45323</v>
      </c>
      <c r="J5" s="1">
        <v>60000</v>
      </c>
      <c r="K5" s="17" t="s">
        <v>45</v>
      </c>
      <c r="M5" s="17" t="s">
        <v>40</v>
      </c>
      <c r="N5" s="18" t="s">
        <v>71</v>
      </c>
      <c r="O5" s="20">
        <v>33869</v>
      </c>
      <c r="P5" s="21" t="s">
        <v>39</v>
      </c>
      <c r="Q5" s="17" t="s">
        <v>72</v>
      </c>
      <c r="R5" s="22">
        <v>3205677099</v>
      </c>
      <c r="S5" s="17" t="str">
        <f>+IF($N5=[1]CURSOS!$D$3,[1]CURSOS!$E$3,(+IF($N5=[1]CURSOS!$D$4,[1]CURSOS!$E$4,(+IF($N5=[1]CURSOS!$D$5,[1]CURSOS!$E$5,(+IF($N5=[1]CURSOS!$D$6,[1]CURSOS!$E$6,(+IF($N5=[1]CURSOS!$D$7,[1]CURSOS!$E$7,(+IF($N5=[1]CURSOS!$D$8,[1]CURSOS!$E$8,(+IF($N5=[1]CURSOS!$D$9,[1]CURSOS!$E$9,(+IF($N5=[1]CURSOS!$D$10,[1]CURSOS!$E$10,(+IF($N5=[1]CURSOS!$D$11,[1]CURSOS!$E$11,(+IF($N5=[1]CURSOS!$D$12,[1]CURSOS!$E$12,(+IF($N5=[1]CURSOS!$D$13,[1]CURSOS!$E$13,(+IF($N5=[1]CURSOS!$D$14,[1]CURSOS!$E$14,(+IF($N5=[1]CURSOS!$D$15,[1]CURSOS!$E$15,(+IF($N5=[1]CURSOS!$D$16,[1]CURSOS!$E$16,(+IF($N5=[1]CURSOS!$D$17,[1]CURSOS!$E$17,(+IF($N5=[1]CURSOS!$D$18,[1]CURSOS!$E$18,(+IF($N5=[1]CURSOS!$D$19,[1]CURSOS!$E$19,(+IF($N5=[1]CURSOS!$D$20,[1]CURSOS!$E$20,(+IF($N5=[1]CURSOS!$D$21,[1]CURSOS!$E$21,(+IF($N5=[1]CURSOS!$D$22,[1]CURSOS!$E$22,(+IF($N5=[1]CURSOS!$D$23,[1]CURSOS!$E$23,(+IF($N5=[1]CURSOS!$D$24,[1]CURSOS!$E$24,(+IF($N5=[1]CURSOS!$D$25,[1]CURSOS!$E$25,(+IF($N5=[1]CURSOS!$D$26,[1]CURSOS!$E$26,(+IF($N5=[1]CURSOS!$D$27,[1]CURSOS!$E$27,(+IF($N5=[1]CURSOS!$D$28,[1]CURSOS!$E$28,(+IF($N5=[1]CURSOS!$D$29,[1]CURSOS!$E$29,(+IF($N5=[1]CURSOS!$D$30,[1]CURSOS!$E$30,(+IF($N5=[1]CURSOS!$D$31,[1]CURSOS!$E$31,(+IF($N5=[1]CURSOS!$D$32,[1]CURSOS!$E$32)))))))))))))))))))))))))))))))))))))))))))))))))))))))))))</f>
        <v xml:space="preserve">HUMANIZACION EN SALUD, BUENAS PRACTICAS EN PACIENTE </v>
      </c>
      <c r="T5" s="17" t="str">
        <f t="shared" si="3"/>
        <v>Esteban Camilo Pantoja De La Cruz</v>
      </c>
      <c r="U5" s="17" t="str">
        <f t="shared" si="4"/>
        <v>Esteban Camilo Pantoja De La Cruz</v>
      </c>
      <c r="V5" s="17" t="str">
        <f t="shared" si="5"/>
        <v>Esteban Camilo Pantoja De La Cruz-1085299596-Humanizacion</v>
      </c>
    </row>
    <row r="6" spans="1:22" x14ac:dyDescent="0.2">
      <c r="A6" s="17">
        <v>5</v>
      </c>
      <c r="B6" s="17">
        <v>59796342</v>
      </c>
      <c r="C6" s="17" t="s">
        <v>57</v>
      </c>
      <c r="D6" s="17" t="s">
        <v>49</v>
      </c>
      <c r="E6" s="17" t="s">
        <v>73</v>
      </c>
      <c r="F6" s="18" t="s">
        <v>74</v>
      </c>
      <c r="G6" s="17">
        <v>1</v>
      </c>
      <c r="H6" s="17" t="s">
        <v>63</v>
      </c>
      <c r="I6" s="19">
        <v>45384</v>
      </c>
      <c r="J6" s="1">
        <v>32000</v>
      </c>
      <c r="K6" s="17" t="s">
        <v>45</v>
      </c>
      <c r="M6" s="17" t="s">
        <v>75</v>
      </c>
      <c r="N6" s="18" t="s">
        <v>71</v>
      </c>
      <c r="O6" s="20">
        <v>29323</v>
      </c>
      <c r="P6" s="21" t="s">
        <v>42</v>
      </c>
      <c r="Q6" s="17" t="s">
        <v>43</v>
      </c>
      <c r="R6" s="22"/>
      <c r="S6" s="17" t="str">
        <f>+IF($N6=[1]CURSOS!$D$3,[1]CURSOS!$E$3,(+IF($N6=[1]CURSOS!$D$4,[1]CURSOS!$E$4,(+IF($N6=[1]CURSOS!$D$5,[1]CURSOS!$E$5,(+IF($N6=[1]CURSOS!$D$6,[1]CURSOS!$E$6,(+IF($N6=[1]CURSOS!$D$7,[1]CURSOS!$E$7,(+IF($N6=[1]CURSOS!$D$8,[1]CURSOS!$E$8,(+IF($N6=[1]CURSOS!$D$9,[1]CURSOS!$E$9,(+IF($N6=[1]CURSOS!$D$10,[1]CURSOS!$E$10,(+IF($N6=[1]CURSOS!$D$11,[1]CURSOS!$E$11,(+IF($N6=[1]CURSOS!$D$12,[1]CURSOS!$E$12,(+IF($N6=[1]CURSOS!$D$13,[1]CURSOS!$E$13,(+IF($N6=[1]CURSOS!$D$14,[1]CURSOS!$E$14,(+IF($N6=[1]CURSOS!$D$15,[1]CURSOS!$E$15,(+IF($N6=[1]CURSOS!$D$16,[1]CURSOS!$E$16,(+IF($N6=[1]CURSOS!$D$17,[1]CURSOS!$E$17,(+IF($N6=[1]CURSOS!$D$18,[1]CURSOS!$E$18,(+IF($N6=[1]CURSOS!$D$19,[1]CURSOS!$E$19,(+IF($N6=[1]CURSOS!$D$20,[1]CURSOS!$E$20,(+IF($N6=[1]CURSOS!$D$21,[1]CURSOS!$E$21,(+IF($N6=[1]CURSOS!$D$22,[1]CURSOS!$E$22,(+IF($N6=[1]CURSOS!$D$23,[1]CURSOS!$E$23,(+IF($N6=[1]CURSOS!$D$24,[1]CURSOS!$E$24,(+IF($N6=[1]CURSOS!$D$25,[1]CURSOS!$E$25,(+IF($N6=[1]CURSOS!$D$26,[1]CURSOS!$E$26,(+IF($N6=[1]CURSOS!$D$27,[1]CURSOS!$E$27,(+IF($N6=[1]CURSOS!$D$28,[1]CURSOS!$E$28,(+IF($N6=[1]CURSOS!$D$29,[1]CURSOS!$E$29,(+IF($N6=[1]CURSOS!$D$30,[1]CURSOS!$E$30,(+IF($N6=[1]CURSOS!$D$31,[1]CURSOS!$E$31,(+IF($N6=[1]CURSOS!$D$32,[1]CURSOS!$E$32)))))))))))))))))))))))))))))))))))))))))))))))))))))))))))</f>
        <v xml:space="preserve">HUMANIZACION EN SALUD, BUENAS PRACTICAS EN PACIENTE </v>
      </c>
      <c r="T6" s="17" t="str">
        <f t="shared" si="3"/>
        <v>Lilian Yolanda Andrade Rosero</v>
      </c>
      <c r="U6" s="17" t="str">
        <f t="shared" si="4"/>
        <v>Lilian Yolanda Andrade Rosero</v>
      </c>
      <c r="V6" s="17" t="str">
        <f t="shared" si="5"/>
        <v>Lilian Yolanda Andrade Rosero-59796342-Humanizacion</v>
      </c>
    </row>
    <row r="7" spans="1:22" x14ac:dyDescent="0.2">
      <c r="A7" s="17">
        <v>6</v>
      </c>
      <c r="B7" s="17">
        <v>1088733829</v>
      </c>
      <c r="C7" s="17" t="s">
        <v>51</v>
      </c>
      <c r="D7" s="17" t="s">
        <v>50</v>
      </c>
      <c r="E7" s="17" t="s">
        <v>44</v>
      </c>
      <c r="F7" s="18" t="s">
        <v>76</v>
      </c>
      <c r="G7" s="17">
        <v>1</v>
      </c>
      <c r="H7" s="17" t="s">
        <v>63</v>
      </c>
      <c r="I7" s="19">
        <v>45384</v>
      </c>
      <c r="J7" s="1">
        <v>30000</v>
      </c>
      <c r="K7" s="17" t="s">
        <v>45</v>
      </c>
      <c r="M7" s="17" t="s">
        <v>75</v>
      </c>
      <c r="N7" s="17" t="s">
        <v>27</v>
      </c>
      <c r="O7" s="20">
        <v>33186</v>
      </c>
      <c r="R7" s="22"/>
      <c r="S7" s="17" t="str">
        <f>+IF($N7=[1]CURSOS!$D$3,[1]CURSOS!$E$3,(+IF($N7=[1]CURSOS!$D$4,[1]CURSOS!$E$4,(+IF($N7=[1]CURSOS!$D$5,[1]CURSOS!$E$5,(+IF($N7=[1]CURSOS!$D$6,[1]CURSOS!$E$6,(+IF($N7=[1]CURSOS!$D$7,[1]CURSOS!$E$7,(+IF($N7=[1]CURSOS!$D$8,[1]CURSOS!$E$8,(+IF($N7=[1]CURSOS!$D$9,[1]CURSOS!$E$9,(+IF($N7=[1]CURSOS!$D$10,[1]CURSOS!$E$10,(+IF($N7=[1]CURSOS!$D$11,[1]CURSOS!$E$11,(+IF($N7=[1]CURSOS!$D$12,[1]CURSOS!$E$12,(+IF($N7=[1]CURSOS!$D$13,[1]CURSOS!$E$13,(+IF($N7=[1]CURSOS!$D$14,[1]CURSOS!$E$14,(+IF($N7=[1]CURSOS!$D$15,[1]CURSOS!$E$15,(+IF($N7=[1]CURSOS!$D$16,[1]CURSOS!$E$16,(+IF($N7=[1]CURSOS!$D$17,[1]CURSOS!$E$17,(+IF($N7=[1]CURSOS!$D$18,[1]CURSOS!$E$18,(+IF($N7=[1]CURSOS!$D$19,[1]CURSOS!$E$19,(+IF($N7=[1]CURSOS!$D$20,[1]CURSOS!$E$20,(+IF($N7=[1]CURSOS!$D$21,[1]CURSOS!$E$21,(+IF($N7=[1]CURSOS!$D$22,[1]CURSOS!$E$22,(+IF($N7=[1]CURSOS!$D$23,[1]CURSOS!$E$23,(+IF($N7=[1]CURSOS!$D$24,[1]CURSOS!$E$24,(+IF($N7=[1]CURSOS!$D$25,[1]CURSOS!$E$25,(+IF($N7=[1]CURSOS!$D$26,[1]CURSOS!$E$26,(+IF($N7=[1]CURSOS!$D$27,[1]CURSOS!$E$27,(+IF($N7=[1]CURSOS!$D$28,[1]CURSOS!$E$28,(+IF($N7=[1]CURSOS!$D$29,[1]CURSOS!$E$29,(+IF($N7=[1]CURSOS!$D$30,[1]CURSOS!$E$30,(+IF($N7=[1]CURSOS!$D$31,[1]CURSOS!$E$31,(+IF($N7=[1]CURSOS!$D$32,[1]CURSOS!$E$32)))))))))))))))))))))))))))))))))))))))))))))))))))))))))))</f>
        <v xml:space="preserve">ATENCION A VICTIMAS DE VIOLENCIA SEXUAL </v>
      </c>
      <c r="T7" s="17" t="str">
        <f t="shared" si="3"/>
        <v>Andres Geovanny Obando Benavides</v>
      </c>
      <c r="U7" s="17" t="str">
        <f t="shared" si="4"/>
        <v>Andres Geovanny Obando Benavides</v>
      </c>
      <c r="V7" s="17" t="str">
        <f t="shared" si="5"/>
        <v>Andres Geovanny Obando Benavides-1088733829-VIOLENCIA SEXUAL</v>
      </c>
    </row>
    <row r="8" spans="1:22" x14ac:dyDescent="0.2">
      <c r="A8" s="17">
        <v>7</v>
      </c>
      <c r="B8" s="17">
        <v>1088733829</v>
      </c>
      <c r="C8" s="17" t="s">
        <v>51</v>
      </c>
      <c r="D8" s="17" t="s">
        <v>50</v>
      </c>
      <c r="E8" s="17" t="s">
        <v>44</v>
      </c>
      <c r="F8" s="18" t="s">
        <v>76</v>
      </c>
      <c r="G8" s="17">
        <v>1</v>
      </c>
      <c r="H8" s="17" t="s">
        <v>63</v>
      </c>
      <c r="I8" s="19">
        <v>45384</v>
      </c>
      <c r="J8" s="1">
        <v>30000</v>
      </c>
      <c r="K8" s="17" t="s">
        <v>45</v>
      </c>
      <c r="M8" s="17" t="s">
        <v>75</v>
      </c>
      <c r="N8" s="18" t="s">
        <v>20</v>
      </c>
      <c r="O8" s="20">
        <v>33186</v>
      </c>
      <c r="R8" s="22"/>
      <c r="S8" s="17" t="str">
        <f>+IF($N8=[1]CURSOS!$D$3,[1]CURSOS!$E$3,(+IF($N8=[1]CURSOS!$D$4,[1]CURSOS!$E$4,(+IF($N8=[1]CURSOS!$D$5,[1]CURSOS!$E$5,(+IF($N8=[1]CURSOS!$D$6,[1]CURSOS!$E$6,(+IF($N8=[1]CURSOS!$D$7,[1]CURSOS!$E$7,(+IF($N8=[1]CURSOS!$D$8,[1]CURSOS!$E$8,(+IF($N8=[1]CURSOS!$D$9,[1]CURSOS!$E$9,(+IF($N8=[1]CURSOS!$D$10,[1]CURSOS!$E$10,(+IF($N8=[1]CURSOS!$D$11,[1]CURSOS!$E$11,(+IF($N8=[1]CURSOS!$D$12,[1]CURSOS!$E$12,(+IF($N8=[1]CURSOS!$D$13,[1]CURSOS!$E$13,(+IF($N8=[1]CURSOS!$D$14,[1]CURSOS!$E$14,(+IF($N8=[1]CURSOS!$D$15,[1]CURSOS!$E$15,(+IF($N8=[1]CURSOS!$D$16,[1]CURSOS!$E$16,(+IF($N8=[1]CURSOS!$D$17,[1]CURSOS!$E$17,(+IF($N8=[1]CURSOS!$D$18,[1]CURSOS!$E$18,(+IF($N8=[1]CURSOS!$D$19,[1]CURSOS!$E$19,(+IF($N8=[1]CURSOS!$D$20,[1]CURSOS!$E$20,(+IF($N8=[1]CURSOS!$D$21,[1]CURSOS!$E$21,(+IF($N8=[1]CURSOS!$D$22,[1]CURSOS!$E$22,(+IF($N8=[1]CURSOS!$D$23,[1]CURSOS!$E$23,(+IF($N8=[1]CURSOS!$D$24,[1]CURSOS!$E$24,(+IF($N8=[1]CURSOS!$D$25,[1]CURSOS!$E$25,(+IF($N8=[1]CURSOS!$D$26,[1]CURSOS!$E$26,(+IF($N8=[1]CURSOS!$D$27,[1]CURSOS!$E$27,(+IF($N8=[1]CURSOS!$D$28,[1]CURSOS!$E$28,(+IF($N8=[1]CURSOS!$D$29,[1]CURSOS!$E$29,(+IF($N8=[1]CURSOS!$D$30,[1]CURSOS!$E$30,(+IF($N8=[1]CURSOS!$D$31,[1]CURSOS!$E$31,(+IF($N8=[1]CURSOS!$D$32,[1]CURSOS!$E$32)))))))))))))))))))))))))))))))))))))))))))))))))))))))))))</f>
        <v>ACOMPAÑAMIENTO Y MANEJO DEL DUELO</v>
      </c>
      <c r="T8" s="17" t="str">
        <f t="shared" si="3"/>
        <v>Andres Geovanny Obando Benavides</v>
      </c>
      <c r="U8" s="17" t="str">
        <f t="shared" si="4"/>
        <v>Andres Geovanny Obando Benavides</v>
      </c>
      <c r="V8" s="17" t="str">
        <f t="shared" si="5"/>
        <v>Andres Geovanny Obando Benavides-1088733829-DUELO</v>
      </c>
    </row>
    <row r="9" spans="1:22" x14ac:dyDescent="0.2">
      <c r="A9" s="17">
        <v>8</v>
      </c>
      <c r="B9" s="17">
        <v>1088733829</v>
      </c>
      <c r="C9" s="17" t="s">
        <v>51</v>
      </c>
      <c r="D9" s="17" t="s">
        <v>50</v>
      </c>
      <c r="E9" s="17" t="s">
        <v>44</v>
      </c>
      <c r="F9" s="18" t="s">
        <v>76</v>
      </c>
      <c r="G9" s="17">
        <v>2</v>
      </c>
      <c r="H9" s="17" t="s">
        <v>63</v>
      </c>
      <c r="I9" s="19">
        <v>45384</v>
      </c>
      <c r="J9" s="1">
        <v>100000</v>
      </c>
      <c r="K9" s="17" t="s">
        <v>45</v>
      </c>
      <c r="M9" s="17" t="s">
        <v>75</v>
      </c>
      <c r="N9" s="17" t="s">
        <v>24</v>
      </c>
      <c r="O9" s="20">
        <v>33186</v>
      </c>
      <c r="R9" s="22"/>
      <c r="S9" s="17" t="str">
        <f>+IF($N9=[1]CURSOS!$D$3,[1]CURSOS!$E$3,(+IF($N9=[1]CURSOS!$D$4,[1]CURSOS!$E$4,(+IF($N9=[1]CURSOS!$D$5,[1]CURSOS!$E$5,(+IF($N9=[1]CURSOS!$D$6,[1]CURSOS!$E$6,(+IF($N9=[1]CURSOS!$D$7,[1]CURSOS!$E$7,(+IF($N9=[1]CURSOS!$D$8,[1]CURSOS!$E$8,(+IF($N9=[1]CURSOS!$D$9,[1]CURSOS!$E$9,(+IF($N9=[1]CURSOS!$D$10,[1]CURSOS!$E$10,(+IF($N9=[1]CURSOS!$D$11,[1]CURSOS!$E$11,(+IF($N9=[1]CURSOS!$D$12,[1]CURSOS!$E$12,(+IF($N9=[1]CURSOS!$D$13,[1]CURSOS!$E$13,(+IF($N9=[1]CURSOS!$D$14,[1]CURSOS!$E$14,(+IF($N9=[1]CURSOS!$D$15,[1]CURSOS!$E$15,(+IF($N9=[1]CURSOS!$D$16,[1]CURSOS!$E$16,(+IF($N9=[1]CURSOS!$D$17,[1]CURSOS!$E$17,(+IF($N9=[1]CURSOS!$D$18,[1]CURSOS!$E$18,(+IF($N9=[1]CURSOS!$D$19,[1]CURSOS!$E$19,(+IF($N9=[1]CURSOS!$D$20,[1]CURSOS!$E$20,(+IF($N9=[1]CURSOS!$D$21,[1]CURSOS!$E$21,(+IF($N9=[1]CURSOS!$D$22,[1]CURSOS!$E$22,(+IF($N9=[1]CURSOS!$D$23,[1]CURSOS!$E$23,(+IF($N9=[1]CURSOS!$D$24,[1]CURSOS!$E$24,(+IF($N9=[1]CURSOS!$D$25,[1]CURSOS!$E$25,(+IF($N9=[1]CURSOS!$D$26,[1]CURSOS!$E$26,(+IF($N9=[1]CURSOS!$D$27,[1]CURSOS!$E$27,(+IF($N9=[1]CURSOS!$D$28,[1]CURSOS!$E$28,(+IF($N9=[1]CURSOS!$D$29,[1]CURSOS!$E$29,(+IF($N9=[1]CURSOS!$D$30,[1]CURSOS!$E$30,(+IF($N9=[1]CURSOS!$D$31,[1]CURSOS!$E$31,(+IF($N9=[1]CURSOS!$D$32,[1]CURSOS!$E$32)))))))))))))))))))))))))))))))))))))))))))))))))))))))))))</f>
        <v xml:space="preserve">SOPORTE CARDIOVASCULAR AVANZADO </v>
      </c>
      <c r="T9" s="17" t="str">
        <f t="shared" si="3"/>
        <v>Andres Geovanny Obando Benavides</v>
      </c>
      <c r="U9" s="17" t="str">
        <f t="shared" si="4"/>
        <v>Andres Geovanny Obando Benavides</v>
      </c>
      <c r="V9" s="17" t="str">
        <f t="shared" si="5"/>
        <v>Andres Geovanny Obando Benavides-1088733829-ACLS</v>
      </c>
    </row>
    <row r="10" spans="1:22" x14ac:dyDescent="0.2">
      <c r="A10" s="17">
        <v>9</v>
      </c>
      <c r="B10" s="17">
        <v>1088733829</v>
      </c>
      <c r="C10" s="17" t="s">
        <v>51</v>
      </c>
      <c r="D10" s="17" t="s">
        <v>50</v>
      </c>
      <c r="E10" s="17" t="s">
        <v>44</v>
      </c>
      <c r="F10" s="18" t="s">
        <v>76</v>
      </c>
      <c r="G10" s="17">
        <v>2</v>
      </c>
      <c r="H10" s="17" t="s">
        <v>63</v>
      </c>
      <c r="I10" s="19">
        <v>45384</v>
      </c>
      <c r="J10" s="1" t="s">
        <v>77</v>
      </c>
      <c r="K10" s="17" t="s">
        <v>64</v>
      </c>
      <c r="M10" s="17" t="s">
        <v>75</v>
      </c>
      <c r="N10" s="17" t="s">
        <v>19</v>
      </c>
      <c r="O10" s="20">
        <v>33186</v>
      </c>
      <c r="R10" s="22"/>
      <c r="S10" s="17" t="str">
        <f>+IF($N10=[1]CURSOS!$D$3,[1]CURSOS!$E$3,(+IF($N10=[1]CURSOS!$D$4,[1]CURSOS!$E$4,(+IF($N10=[1]CURSOS!$D$5,[1]CURSOS!$E$5,(+IF($N10=[1]CURSOS!$D$6,[1]CURSOS!$E$6,(+IF($N10=[1]CURSOS!$D$7,[1]CURSOS!$E$7,(+IF($N10=[1]CURSOS!$D$8,[1]CURSOS!$E$8,(+IF($N10=[1]CURSOS!$D$9,[1]CURSOS!$E$9,(+IF($N10=[1]CURSOS!$D$10,[1]CURSOS!$E$10,(+IF($N10=[1]CURSOS!$D$11,[1]CURSOS!$E$11,(+IF($N10=[1]CURSOS!$D$12,[1]CURSOS!$E$12,(+IF($N10=[1]CURSOS!$D$13,[1]CURSOS!$E$13,(+IF($N10=[1]CURSOS!$D$14,[1]CURSOS!$E$14,(+IF($N10=[1]CURSOS!$D$15,[1]CURSOS!$E$15,(+IF($N10=[1]CURSOS!$D$16,[1]CURSOS!$E$16,(+IF($N10=[1]CURSOS!$D$17,[1]CURSOS!$E$17,(+IF($N10=[1]CURSOS!$D$18,[1]CURSOS!$E$18,(+IF($N10=[1]CURSOS!$D$19,[1]CURSOS!$E$19,(+IF($N10=[1]CURSOS!$D$20,[1]CURSOS!$E$20,(+IF($N10=[1]CURSOS!$D$21,[1]CURSOS!$E$21,(+IF($N10=[1]CURSOS!$D$22,[1]CURSOS!$E$22,(+IF($N10=[1]CURSOS!$D$23,[1]CURSOS!$E$23,(+IF($N10=[1]CURSOS!$D$24,[1]CURSOS!$E$24,(+IF($N10=[1]CURSOS!$D$25,[1]CURSOS!$E$25,(+IF($N10=[1]CURSOS!$D$26,[1]CURSOS!$E$26,(+IF($N10=[1]CURSOS!$D$27,[1]CURSOS!$E$27,(+IF($N10=[1]CURSOS!$D$28,[1]CURSOS!$E$28,(+IF($N10=[1]CURSOS!$D$29,[1]CURSOS!$E$29,(+IF($N10=[1]CURSOS!$D$30,[1]CURSOS!$E$30,(+IF($N10=[1]CURSOS!$D$31,[1]CURSOS!$E$31,(+IF($N10=[1]CURSOS!$D$32,[1]CURSOS!$E$32)))))))))))))))))))))))))))))))))))))))))))))))))))))))))))</f>
        <v>SOPORTE VITAL BASICO (BLS)</v>
      </c>
      <c r="T10" s="17" t="str">
        <f t="shared" si="3"/>
        <v>Andres Geovanny Obando Benavides</v>
      </c>
      <c r="U10" s="17" t="str">
        <f t="shared" si="4"/>
        <v>Andres Geovanny Obando Benavides</v>
      </c>
      <c r="V10" s="17" t="str">
        <f t="shared" si="5"/>
        <v>Andres Geovanny Obando Benavides-1088733829-BLS</v>
      </c>
    </row>
    <row r="11" spans="1:22" x14ac:dyDescent="0.2">
      <c r="A11" s="17">
        <v>10</v>
      </c>
      <c r="B11" s="17">
        <v>1088731663</v>
      </c>
      <c r="C11" s="17" t="s">
        <v>69</v>
      </c>
      <c r="D11" s="17" t="s">
        <v>47</v>
      </c>
      <c r="E11" s="17" t="s">
        <v>78</v>
      </c>
      <c r="F11" s="18" t="s">
        <v>55</v>
      </c>
      <c r="G11" s="17">
        <v>1</v>
      </c>
      <c r="H11" s="17" t="s">
        <v>63</v>
      </c>
      <c r="I11" s="19">
        <v>45384</v>
      </c>
      <c r="J11" s="1">
        <v>30000</v>
      </c>
      <c r="K11" s="17" t="s">
        <v>45</v>
      </c>
      <c r="M11" s="17" t="s">
        <v>75</v>
      </c>
      <c r="N11" s="17" t="s">
        <v>19</v>
      </c>
      <c r="O11" s="20" t="s">
        <v>79</v>
      </c>
      <c r="R11" s="22"/>
      <c r="S11" s="17" t="str">
        <f>+IF($N11=[1]CURSOS!$D$3,[1]CURSOS!$E$3,(+IF($N11=[1]CURSOS!$D$4,[1]CURSOS!$E$4,(+IF($N11=[1]CURSOS!$D$5,[1]CURSOS!$E$5,(+IF($N11=[1]CURSOS!$D$6,[1]CURSOS!$E$6,(+IF($N11=[1]CURSOS!$D$7,[1]CURSOS!$E$7,(+IF($N11=[1]CURSOS!$D$8,[1]CURSOS!$E$8,(+IF($N11=[1]CURSOS!$D$9,[1]CURSOS!$E$9,(+IF($N11=[1]CURSOS!$D$10,[1]CURSOS!$E$10,(+IF($N11=[1]CURSOS!$D$11,[1]CURSOS!$E$11,(+IF($N11=[1]CURSOS!$D$12,[1]CURSOS!$E$12,(+IF($N11=[1]CURSOS!$D$13,[1]CURSOS!$E$13,(+IF($N11=[1]CURSOS!$D$14,[1]CURSOS!$E$14,(+IF($N11=[1]CURSOS!$D$15,[1]CURSOS!$E$15,(+IF($N11=[1]CURSOS!$D$16,[1]CURSOS!$E$16,(+IF($N11=[1]CURSOS!$D$17,[1]CURSOS!$E$17,(+IF($N11=[1]CURSOS!$D$18,[1]CURSOS!$E$18,(+IF($N11=[1]CURSOS!$D$19,[1]CURSOS!$E$19,(+IF($N11=[1]CURSOS!$D$20,[1]CURSOS!$E$20,(+IF($N11=[1]CURSOS!$D$21,[1]CURSOS!$E$21,(+IF($N11=[1]CURSOS!$D$22,[1]CURSOS!$E$22,(+IF($N11=[1]CURSOS!$D$23,[1]CURSOS!$E$23,(+IF($N11=[1]CURSOS!$D$24,[1]CURSOS!$E$24,(+IF($N11=[1]CURSOS!$D$25,[1]CURSOS!$E$25,(+IF($N11=[1]CURSOS!$D$26,[1]CURSOS!$E$26,(+IF($N11=[1]CURSOS!$D$27,[1]CURSOS!$E$27,(+IF($N11=[1]CURSOS!$D$28,[1]CURSOS!$E$28,(+IF($N11=[1]CURSOS!$D$29,[1]CURSOS!$E$29,(+IF($N11=[1]CURSOS!$D$30,[1]CURSOS!$E$30,(+IF($N11=[1]CURSOS!$D$31,[1]CURSOS!$E$31,(+IF($N11=[1]CURSOS!$D$32,[1]CURSOS!$E$32)))))))))))))))))))))))))))))))))))))))))))))))))))))))))))</f>
        <v>SOPORTE VITAL BASICO (BLS)</v>
      </c>
      <c r="T11" s="17" t="str">
        <f t="shared" si="3"/>
        <v>Yury Andrea Pantoja Cordoba</v>
      </c>
      <c r="U11" s="17" t="str">
        <f t="shared" si="4"/>
        <v>Yury Andrea Pantoja Cordoba</v>
      </c>
      <c r="V11" s="17" t="str">
        <f t="shared" si="5"/>
        <v>Yury Andrea Pantoja Cordoba-1088731663-BLS</v>
      </c>
    </row>
    <row r="12" spans="1:22" x14ac:dyDescent="0.2">
      <c r="A12" s="17">
        <v>11</v>
      </c>
      <c r="B12" s="17">
        <v>1088731663</v>
      </c>
      <c r="C12" s="17" t="s">
        <v>69</v>
      </c>
      <c r="D12" s="17" t="s">
        <v>47</v>
      </c>
      <c r="E12" s="17" t="s">
        <v>78</v>
      </c>
      <c r="F12" s="18" t="s">
        <v>55</v>
      </c>
      <c r="G12" s="17">
        <v>1</v>
      </c>
      <c r="H12" s="17" t="s">
        <v>63</v>
      </c>
      <c r="I12" s="19">
        <v>45384</v>
      </c>
      <c r="J12" s="1">
        <v>30000</v>
      </c>
      <c r="K12" s="17" t="s">
        <v>45</v>
      </c>
      <c r="M12" s="17" t="s">
        <v>75</v>
      </c>
      <c r="N12" s="17" t="s">
        <v>20</v>
      </c>
      <c r="O12" s="20" t="s">
        <v>79</v>
      </c>
      <c r="R12" s="22"/>
      <c r="S12" s="17" t="str">
        <f>+IF($N12=[1]CURSOS!$D$3,[1]CURSOS!$E$3,(+IF($N12=[1]CURSOS!$D$4,[1]CURSOS!$E$4,(+IF($N12=[1]CURSOS!$D$5,[1]CURSOS!$E$5,(+IF($N12=[1]CURSOS!$D$6,[1]CURSOS!$E$6,(+IF($N12=[1]CURSOS!$D$7,[1]CURSOS!$E$7,(+IF($N12=[1]CURSOS!$D$8,[1]CURSOS!$E$8,(+IF($N12=[1]CURSOS!$D$9,[1]CURSOS!$E$9,(+IF($N12=[1]CURSOS!$D$10,[1]CURSOS!$E$10,(+IF($N12=[1]CURSOS!$D$11,[1]CURSOS!$E$11,(+IF($N12=[1]CURSOS!$D$12,[1]CURSOS!$E$12,(+IF($N12=[1]CURSOS!$D$13,[1]CURSOS!$E$13,(+IF($N12=[1]CURSOS!$D$14,[1]CURSOS!$E$14,(+IF($N12=[1]CURSOS!$D$15,[1]CURSOS!$E$15,(+IF($N12=[1]CURSOS!$D$16,[1]CURSOS!$E$16,(+IF($N12=[1]CURSOS!$D$17,[1]CURSOS!$E$17,(+IF($N12=[1]CURSOS!$D$18,[1]CURSOS!$E$18,(+IF($N12=[1]CURSOS!$D$19,[1]CURSOS!$E$19,(+IF($N12=[1]CURSOS!$D$20,[1]CURSOS!$E$20,(+IF($N12=[1]CURSOS!$D$21,[1]CURSOS!$E$21,(+IF($N12=[1]CURSOS!$D$22,[1]CURSOS!$E$22,(+IF($N12=[1]CURSOS!$D$23,[1]CURSOS!$E$23,(+IF($N12=[1]CURSOS!$D$24,[1]CURSOS!$E$24,(+IF($N12=[1]CURSOS!$D$25,[1]CURSOS!$E$25,(+IF($N12=[1]CURSOS!$D$26,[1]CURSOS!$E$26,(+IF($N12=[1]CURSOS!$D$27,[1]CURSOS!$E$27,(+IF($N12=[1]CURSOS!$D$28,[1]CURSOS!$E$28,(+IF($N12=[1]CURSOS!$D$29,[1]CURSOS!$E$29,(+IF($N12=[1]CURSOS!$D$30,[1]CURSOS!$E$30,(+IF($N12=[1]CURSOS!$D$31,[1]CURSOS!$E$31,(+IF($N12=[1]CURSOS!$D$32,[1]CURSOS!$E$32)))))))))))))))))))))))))))))))))))))))))))))))))))))))))))</f>
        <v>ACOMPAÑAMIENTO Y MANEJO DEL DUELO</v>
      </c>
      <c r="T12" s="17" t="str">
        <f t="shared" si="3"/>
        <v>Yury Andrea Pantoja Cordoba</v>
      </c>
      <c r="U12" s="17" t="str">
        <f t="shared" si="4"/>
        <v>Yury Andrea Pantoja Cordoba</v>
      </c>
      <c r="V12" s="17" t="str">
        <f t="shared" si="5"/>
        <v>Yury Andrea Pantoja Cordoba-1088731663-DUELO</v>
      </c>
    </row>
    <row r="13" spans="1:22" x14ac:dyDescent="0.2">
      <c r="A13" s="17">
        <v>12</v>
      </c>
      <c r="B13" s="17">
        <v>1088731663</v>
      </c>
      <c r="C13" s="17" t="s">
        <v>69</v>
      </c>
      <c r="D13" s="17" t="s">
        <v>47</v>
      </c>
      <c r="E13" s="17" t="s">
        <v>78</v>
      </c>
      <c r="F13" s="18" t="s">
        <v>55</v>
      </c>
      <c r="G13" s="17">
        <v>1</v>
      </c>
      <c r="H13" s="17" t="s">
        <v>63</v>
      </c>
      <c r="I13" s="19">
        <v>45384</v>
      </c>
      <c r="J13" s="1">
        <v>30000</v>
      </c>
      <c r="K13" s="17" t="s">
        <v>45</v>
      </c>
      <c r="M13" s="17" t="s">
        <v>75</v>
      </c>
      <c r="N13" s="17" t="s">
        <v>71</v>
      </c>
      <c r="O13" s="20" t="s">
        <v>79</v>
      </c>
      <c r="R13" s="22"/>
      <c r="S13" s="17" t="str">
        <f>+IF($N13=[1]CURSOS!$D$3,[1]CURSOS!$E$3,(+IF($N13=[1]CURSOS!$D$4,[1]CURSOS!$E$4,(+IF($N13=[1]CURSOS!$D$5,[1]CURSOS!$E$5,(+IF($N13=[1]CURSOS!$D$6,[1]CURSOS!$E$6,(+IF($N13=[1]CURSOS!$D$7,[1]CURSOS!$E$7,(+IF($N13=[1]CURSOS!$D$8,[1]CURSOS!$E$8,(+IF($N13=[1]CURSOS!$D$9,[1]CURSOS!$E$9,(+IF($N13=[1]CURSOS!$D$10,[1]CURSOS!$E$10,(+IF($N13=[1]CURSOS!$D$11,[1]CURSOS!$E$11,(+IF($N13=[1]CURSOS!$D$12,[1]CURSOS!$E$12,(+IF($N13=[1]CURSOS!$D$13,[1]CURSOS!$E$13,(+IF($N13=[1]CURSOS!$D$14,[1]CURSOS!$E$14,(+IF($N13=[1]CURSOS!$D$15,[1]CURSOS!$E$15,(+IF($N13=[1]CURSOS!$D$16,[1]CURSOS!$E$16,(+IF($N13=[1]CURSOS!$D$17,[1]CURSOS!$E$17,(+IF($N13=[1]CURSOS!$D$18,[1]CURSOS!$E$18,(+IF($N13=[1]CURSOS!$D$19,[1]CURSOS!$E$19,(+IF($N13=[1]CURSOS!$D$20,[1]CURSOS!$E$20,(+IF($N13=[1]CURSOS!$D$21,[1]CURSOS!$E$21,(+IF($N13=[1]CURSOS!$D$22,[1]CURSOS!$E$22,(+IF($N13=[1]CURSOS!$D$23,[1]CURSOS!$E$23,(+IF($N13=[1]CURSOS!$D$24,[1]CURSOS!$E$24,(+IF($N13=[1]CURSOS!$D$25,[1]CURSOS!$E$25,(+IF($N13=[1]CURSOS!$D$26,[1]CURSOS!$E$26,(+IF($N13=[1]CURSOS!$D$27,[1]CURSOS!$E$27,(+IF($N13=[1]CURSOS!$D$28,[1]CURSOS!$E$28,(+IF($N13=[1]CURSOS!$D$29,[1]CURSOS!$E$29,(+IF($N13=[1]CURSOS!$D$30,[1]CURSOS!$E$30,(+IF($N13=[1]CURSOS!$D$31,[1]CURSOS!$E$31,(+IF($N13=[1]CURSOS!$D$32,[1]CURSOS!$E$32)))))))))))))))))))))))))))))))))))))))))))))))))))))))))))</f>
        <v xml:space="preserve">HUMANIZACION EN SALUD, BUENAS PRACTICAS EN PACIENTE </v>
      </c>
      <c r="T13" s="17" t="str">
        <f t="shared" si="3"/>
        <v>Yury Andrea Pantoja Cordoba</v>
      </c>
      <c r="U13" s="17" t="str">
        <f t="shared" si="4"/>
        <v>Yury Andrea Pantoja Cordoba</v>
      </c>
      <c r="V13" s="17" t="str">
        <f t="shared" si="5"/>
        <v>Yury Andrea Pantoja Cordoba-1088731663-Humanizacion</v>
      </c>
    </row>
    <row r="14" spans="1:22" x14ac:dyDescent="0.2">
      <c r="A14" s="17">
        <v>13</v>
      </c>
      <c r="B14" s="17">
        <v>1088731663</v>
      </c>
      <c r="C14" s="17" t="s">
        <v>69</v>
      </c>
      <c r="D14" s="17" t="s">
        <v>47</v>
      </c>
      <c r="E14" s="17" t="s">
        <v>78</v>
      </c>
      <c r="F14" s="18" t="s">
        <v>55</v>
      </c>
      <c r="G14" s="17">
        <v>1</v>
      </c>
      <c r="H14" s="17" t="s">
        <v>63</v>
      </c>
      <c r="I14" s="19">
        <v>45384</v>
      </c>
      <c r="J14" s="1">
        <v>30000</v>
      </c>
      <c r="K14" s="17" t="s">
        <v>45</v>
      </c>
      <c r="M14" s="17" t="s">
        <v>75</v>
      </c>
      <c r="N14" s="17" t="s">
        <v>21</v>
      </c>
      <c r="O14" s="20" t="s">
        <v>79</v>
      </c>
      <c r="R14" s="22"/>
      <c r="S14" s="17" t="str">
        <f>+IF($N14=[1]CURSOS!$D$3,[1]CURSOS!$E$3,(+IF($N14=[1]CURSOS!$D$4,[1]CURSOS!$E$4,(+IF($N14=[1]CURSOS!$D$5,[1]CURSOS!$E$5,(+IF($N14=[1]CURSOS!$D$6,[1]CURSOS!$E$6,(+IF($N14=[1]CURSOS!$D$7,[1]CURSOS!$E$7,(+IF($N14=[1]CURSOS!$D$8,[1]CURSOS!$E$8,(+IF($N14=[1]CURSOS!$D$9,[1]CURSOS!$E$9,(+IF($N14=[1]CURSOS!$D$10,[1]CURSOS!$E$10,(+IF($N14=[1]CURSOS!$D$11,[1]CURSOS!$E$11,(+IF($N14=[1]CURSOS!$D$12,[1]CURSOS!$E$12,(+IF($N14=[1]CURSOS!$D$13,[1]CURSOS!$E$13,(+IF($N14=[1]CURSOS!$D$14,[1]CURSOS!$E$14,(+IF($N14=[1]CURSOS!$D$15,[1]CURSOS!$E$15,(+IF($N14=[1]CURSOS!$D$16,[1]CURSOS!$E$16,(+IF($N14=[1]CURSOS!$D$17,[1]CURSOS!$E$17,(+IF($N14=[1]CURSOS!$D$18,[1]CURSOS!$E$18,(+IF($N14=[1]CURSOS!$D$19,[1]CURSOS!$E$19,(+IF($N14=[1]CURSOS!$D$20,[1]CURSOS!$E$20,(+IF($N14=[1]CURSOS!$D$21,[1]CURSOS!$E$21,(+IF($N14=[1]CURSOS!$D$22,[1]CURSOS!$E$22,(+IF($N14=[1]CURSOS!$D$23,[1]CURSOS!$E$23,(+IF($N14=[1]CURSOS!$D$24,[1]CURSOS!$E$24,(+IF($N14=[1]CURSOS!$D$25,[1]CURSOS!$E$25,(+IF($N14=[1]CURSOS!$D$26,[1]CURSOS!$E$26,(+IF($N14=[1]CURSOS!$D$27,[1]CURSOS!$E$27,(+IF($N14=[1]CURSOS!$D$28,[1]CURSOS!$E$28,(+IF($N14=[1]CURSOS!$D$29,[1]CURSOS!$E$29,(+IF($N14=[1]CURSOS!$D$30,[1]CURSOS!$E$30,(+IF($N14=[1]CURSOS!$D$31,[1]CURSOS!$E$31,(+IF($N14=[1]CURSOS!$D$32,[1]CURSOS!$E$32)))))))))))))))))))))))))))))))))))))))))))))))))))))))))))</f>
        <v xml:space="preserve">ATENCION A VICTIMAS DE ATAQUE CON AGENTES QUIMICOS </v>
      </c>
      <c r="T14" s="17" t="str">
        <f t="shared" si="3"/>
        <v>Yury Andrea Pantoja Cordoba</v>
      </c>
      <c r="U14" s="17" t="str">
        <f t="shared" si="4"/>
        <v>Yury Andrea Pantoja Cordoba</v>
      </c>
      <c r="V14" s="17" t="str">
        <f t="shared" si="5"/>
        <v>Yury Andrea Pantoja Cordoba-1088731663-QUIMICOS</v>
      </c>
    </row>
    <row r="15" spans="1:22" x14ac:dyDescent="0.2">
      <c r="A15" s="17">
        <v>14</v>
      </c>
      <c r="B15" s="17">
        <v>1088731663</v>
      </c>
      <c r="C15" s="17" t="s">
        <v>69</v>
      </c>
      <c r="D15" s="17" t="s">
        <v>47</v>
      </c>
      <c r="E15" s="17" t="s">
        <v>78</v>
      </c>
      <c r="F15" s="18" t="s">
        <v>55</v>
      </c>
      <c r="G15" s="17">
        <v>1</v>
      </c>
      <c r="H15" s="17" t="s">
        <v>63</v>
      </c>
      <c r="I15" s="19">
        <v>45384</v>
      </c>
      <c r="J15" s="1">
        <v>30000</v>
      </c>
      <c r="K15" s="17" t="s">
        <v>45</v>
      </c>
      <c r="M15" s="17" t="s">
        <v>75</v>
      </c>
      <c r="N15" s="17" t="s">
        <v>27</v>
      </c>
      <c r="O15" s="20" t="s">
        <v>79</v>
      </c>
      <c r="R15" s="22"/>
      <c r="S15" s="17" t="str">
        <f>+IF($N15=[1]CURSOS!$D$3,[1]CURSOS!$E$3,(+IF($N15=[1]CURSOS!$D$4,[1]CURSOS!$E$4,(+IF($N15=[1]CURSOS!$D$5,[1]CURSOS!$E$5,(+IF($N15=[1]CURSOS!$D$6,[1]CURSOS!$E$6,(+IF($N15=[1]CURSOS!$D$7,[1]CURSOS!$E$7,(+IF($N15=[1]CURSOS!$D$8,[1]CURSOS!$E$8,(+IF($N15=[1]CURSOS!$D$9,[1]CURSOS!$E$9,(+IF($N15=[1]CURSOS!$D$10,[1]CURSOS!$E$10,(+IF($N15=[1]CURSOS!$D$11,[1]CURSOS!$E$11,(+IF($N15=[1]CURSOS!$D$12,[1]CURSOS!$E$12,(+IF($N15=[1]CURSOS!$D$13,[1]CURSOS!$E$13,(+IF($N15=[1]CURSOS!$D$14,[1]CURSOS!$E$14,(+IF($N15=[1]CURSOS!$D$15,[1]CURSOS!$E$15,(+IF($N15=[1]CURSOS!$D$16,[1]CURSOS!$E$16,(+IF($N15=[1]CURSOS!$D$17,[1]CURSOS!$E$17,(+IF($N15=[1]CURSOS!$D$18,[1]CURSOS!$E$18,(+IF($N15=[1]CURSOS!$D$19,[1]CURSOS!$E$19,(+IF($N15=[1]CURSOS!$D$20,[1]CURSOS!$E$20,(+IF($N15=[1]CURSOS!$D$21,[1]CURSOS!$E$21,(+IF($N15=[1]CURSOS!$D$22,[1]CURSOS!$E$22,(+IF($N15=[1]CURSOS!$D$23,[1]CURSOS!$E$23,(+IF($N15=[1]CURSOS!$D$24,[1]CURSOS!$E$24,(+IF($N15=[1]CURSOS!$D$25,[1]CURSOS!$E$25,(+IF($N15=[1]CURSOS!$D$26,[1]CURSOS!$E$26,(+IF($N15=[1]CURSOS!$D$27,[1]CURSOS!$E$27,(+IF($N15=[1]CURSOS!$D$28,[1]CURSOS!$E$28,(+IF($N15=[1]CURSOS!$D$29,[1]CURSOS!$E$29,(+IF($N15=[1]CURSOS!$D$30,[1]CURSOS!$E$30,(+IF($N15=[1]CURSOS!$D$31,[1]CURSOS!$E$31,(+IF($N15=[1]CURSOS!$D$32,[1]CURSOS!$E$32)))))))))))))))))))))))))))))))))))))))))))))))))))))))))))</f>
        <v xml:space="preserve">ATENCION A VICTIMAS DE VIOLENCIA SEXUAL </v>
      </c>
      <c r="T15" s="17" t="str">
        <f t="shared" si="3"/>
        <v>Yury Andrea Pantoja Cordoba</v>
      </c>
      <c r="U15" s="17" t="str">
        <f t="shared" si="4"/>
        <v>Yury Andrea Pantoja Cordoba</v>
      </c>
      <c r="V15" s="17" t="str">
        <f t="shared" si="5"/>
        <v>Yury Andrea Pantoja Cordoba-1088731663-VIOLENCIA SEXUAL</v>
      </c>
    </row>
    <row r="16" spans="1:22" x14ac:dyDescent="0.2">
      <c r="A16" s="17">
        <v>15</v>
      </c>
      <c r="B16" s="17">
        <v>87450625</v>
      </c>
      <c r="C16" s="17" t="s">
        <v>57</v>
      </c>
      <c r="D16" s="17" t="s">
        <v>62</v>
      </c>
      <c r="E16" s="17" t="s">
        <v>80</v>
      </c>
      <c r="G16" s="17">
        <v>1</v>
      </c>
      <c r="H16" s="17" t="s">
        <v>63</v>
      </c>
      <c r="I16" s="19">
        <v>45384</v>
      </c>
      <c r="J16" s="1">
        <v>32000</v>
      </c>
      <c r="K16" s="17" t="s">
        <v>45</v>
      </c>
      <c r="M16" s="17" t="s">
        <v>75</v>
      </c>
      <c r="N16" s="17" t="s">
        <v>71</v>
      </c>
      <c r="O16" s="20">
        <v>21215</v>
      </c>
      <c r="S16" s="17" t="str">
        <f>+IF($N16=[1]CURSOS!$D$3,[1]CURSOS!$E$3,(+IF($N16=[1]CURSOS!$D$4,[1]CURSOS!$E$4,(+IF($N16=[1]CURSOS!$D$5,[1]CURSOS!$E$5,(+IF($N16=[1]CURSOS!$D$6,[1]CURSOS!$E$6,(+IF($N16=[1]CURSOS!$D$7,[1]CURSOS!$E$7,(+IF($N16=[1]CURSOS!$D$8,[1]CURSOS!$E$8,(+IF($N16=[1]CURSOS!$D$9,[1]CURSOS!$E$9,(+IF($N16=[1]CURSOS!$D$10,[1]CURSOS!$E$10,(+IF($N16=[1]CURSOS!$D$11,[1]CURSOS!$E$11,(+IF($N16=[1]CURSOS!$D$12,[1]CURSOS!$E$12,(+IF($N16=[1]CURSOS!$D$13,[1]CURSOS!$E$13,(+IF($N16=[1]CURSOS!$D$14,[1]CURSOS!$E$14,(+IF($N16=[1]CURSOS!$D$15,[1]CURSOS!$E$15,(+IF($N16=[1]CURSOS!$D$16,[1]CURSOS!$E$16,(+IF($N16=[1]CURSOS!$D$17,[1]CURSOS!$E$17,(+IF($N16=[1]CURSOS!$D$18,[1]CURSOS!$E$18,(+IF($N16=[1]CURSOS!$D$19,[1]CURSOS!$E$19,(+IF($N16=[1]CURSOS!$D$20,[1]CURSOS!$E$20,(+IF($N16=[1]CURSOS!$D$21,[1]CURSOS!$E$21,(+IF($N16=[1]CURSOS!$D$22,[1]CURSOS!$E$22,(+IF($N16=[1]CURSOS!$D$23,[1]CURSOS!$E$23,(+IF($N16=[1]CURSOS!$D$24,[1]CURSOS!$E$24,(+IF($N16=[1]CURSOS!$D$25,[1]CURSOS!$E$25,(+IF($N16=[1]CURSOS!$D$26,[1]CURSOS!$E$26,(+IF($N16=[1]CURSOS!$D$27,[1]CURSOS!$E$27,(+IF($N16=[1]CURSOS!$D$28,[1]CURSOS!$E$28,(+IF($N16=[1]CURSOS!$D$29,[1]CURSOS!$E$29,(+IF($N16=[1]CURSOS!$D$30,[1]CURSOS!$E$30,(+IF($N16=[1]CURSOS!$D$31,[1]CURSOS!$E$31,(+IF($N16=[1]CURSOS!$D$32,[1]CURSOS!$E$32)))))))))))))))))))))))))))))))))))))))))))))))))))))))))))</f>
        <v xml:space="preserve">HUMANIZACION EN SALUD, BUENAS PRACTICAS EN PACIENTE </v>
      </c>
      <c r="T16" s="17" t="str">
        <f t="shared" si="3"/>
        <v>Jairo  Andrade Juan</v>
      </c>
      <c r="U16" s="17" t="str">
        <f t="shared" si="4"/>
        <v>Jairo  Andrade Juan</v>
      </c>
      <c r="V16" s="17" t="str">
        <f t="shared" si="5"/>
        <v>Jairo  Andrade Juan-87450625-Humanizacion</v>
      </c>
    </row>
    <row r="17" spans="1:22" x14ac:dyDescent="0.2">
      <c r="A17" s="17">
        <v>16</v>
      </c>
      <c r="B17" s="17">
        <v>1088736830</v>
      </c>
      <c r="C17" s="17" t="s">
        <v>50</v>
      </c>
      <c r="D17" s="17" t="s">
        <v>54</v>
      </c>
      <c r="E17" s="17" t="s">
        <v>82</v>
      </c>
      <c r="F17" s="18" t="s">
        <v>81</v>
      </c>
      <c r="G17" s="17">
        <v>1</v>
      </c>
      <c r="H17" s="17" t="s">
        <v>63</v>
      </c>
      <c r="I17" s="19">
        <v>45384</v>
      </c>
      <c r="J17" s="1">
        <v>40000</v>
      </c>
      <c r="K17" s="17" t="s">
        <v>45</v>
      </c>
      <c r="M17" s="17" t="s">
        <v>75</v>
      </c>
      <c r="N17" s="17" t="s">
        <v>30</v>
      </c>
      <c r="O17" s="20">
        <v>34666</v>
      </c>
      <c r="S17" s="17" t="str">
        <f>+IF($N17=[1]CURSOS!$D$3,[1]CURSOS!$E$3,(+IF($N17=[1]CURSOS!$D$4,[1]CURSOS!$E$4,(+IF($N17=[1]CURSOS!$D$5,[1]CURSOS!$E$5,(+IF($N17=[1]CURSOS!$D$6,[1]CURSOS!$E$6,(+IF($N17=[1]CURSOS!$D$7,[1]CURSOS!$E$7,(+IF($N17=[1]CURSOS!$D$8,[1]CURSOS!$E$8,(+IF($N17=[1]CURSOS!$D$9,[1]CURSOS!$E$9,(+IF($N17=[1]CURSOS!$D$10,[1]CURSOS!$E$10,(+IF($N17=[1]CURSOS!$D$11,[1]CURSOS!$E$11,(+IF($N17=[1]CURSOS!$D$12,[1]CURSOS!$E$12,(+IF($N17=[1]CURSOS!$D$13,[1]CURSOS!$E$13,(+IF($N17=[1]CURSOS!$D$14,[1]CURSOS!$E$14,(+IF($N17=[1]CURSOS!$D$15,[1]CURSOS!$E$15,(+IF($N17=[1]CURSOS!$D$16,[1]CURSOS!$E$16,(+IF($N17=[1]CURSOS!$D$17,[1]CURSOS!$E$17,(+IF($N17=[1]CURSOS!$D$18,[1]CURSOS!$E$18,(+IF($N17=[1]CURSOS!$D$19,[1]CURSOS!$E$19,(+IF($N17=[1]CURSOS!$D$20,[1]CURSOS!$E$20,(+IF($N17=[1]CURSOS!$D$21,[1]CURSOS!$E$21,(+IF($N17=[1]CURSOS!$D$22,[1]CURSOS!$E$22,(+IF($N17=[1]CURSOS!$D$23,[1]CURSOS!$E$23,(+IF($N17=[1]CURSOS!$D$24,[1]CURSOS!$E$24,(+IF($N17=[1]CURSOS!$D$25,[1]CURSOS!$E$25,(+IF($N17=[1]CURSOS!$D$26,[1]CURSOS!$E$26,(+IF($N17=[1]CURSOS!$D$27,[1]CURSOS!$E$27,(+IF($N17=[1]CURSOS!$D$28,[1]CURSOS!$E$28,(+IF($N17=[1]CURSOS!$D$29,[1]CURSOS!$E$29,(+IF($N17=[1]CURSOS!$D$30,[1]CURSOS!$E$30,(+IF($N17=[1]CURSOS!$D$31,[1]CURSOS!$E$31,(+IF($N17=[1]CURSOS!$D$32,[1]CURSOS!$E$32)))))))))))))))))))))))))))))))))))))))))))))))))))))))))))</f>
        <v xml:space="preserve">ADMINISTRACION DE MEDICAMENTOS, INYECTOLOGIA  Y CANALIZACION </v>
      </c>
      <c r="T17" s="17" t="str">
        <f t="shared" si="3"/>
        <v>Tania Alexandra Benavides Salazar</v>
      </c>
      <c r="U17" s="17" t="str">
        <f t="shared" si="4"/>
        <v>Tania Alexandra Benavides Salazar</v>
      </c>
      <c r="V17" s="17" t="str">
        <f t="shared" si="5"/>
        <v>Tania Alexandra Benavides Salazar-1088736830-ADMON DE MEDICAMENTOS</v>
      </c>
    </row>
    <row r="18" spans="1:22" x14ac:dyDescent="0.2">
      <c r="A18" s="17">
        <v>17</v>
      </c>
      <c r="B18" s="17">
        <v>1007012904</v>
      </c>
      <c r="C18" s="17" t="s">
        <v>49</v>
      </c>
      <c r="D18" s="17" t="s">
        <v>50</v>
      </c>
      <c r="E18" s="17" t="s">
        <v>88</v>
      </c>
      <c r="F18" s="18" t="s">
        <v>89</v>
      </c>
      <c r="G18" s="17">
        <v>1</v>
      </c>
      <c r="H18" s="17" t="s">
        <v>63</v>
      </c>
      <c r="I18" s="19">
        <v>45387</v>
      </c>
      <c r="J18" s="1">
        <v>50000</v>
      </c>
      <c r="K18" s="17" t="s">
        <v>83</v>
      </c>
      <c r="M18" s="17" t="s">
        <v>40</v>
      </c>
      <c r="N18" s="17" t="s">
        <v>27</v>
      </c>
      <c r="O18" s="20">
        <v>36547</v>
      </c>
      <c r="R18" s="17">
        <v>3182120692</v>
      </c>
      <c r="S18" s="17" t="str">
        <f>+IF($N18=[1]CURSOS!$D$3,[1]CURSOS!$E$3,(+IF($N18=[1]CURSOS!$D$4,[1]CURSOS!$E$4,(+IF($N18=[1]CURSOS!$D$5,[1]CURSOS!$E$5,(+IF($N18=[1]CURSOS!$D$6,[1]CURSOS!$E$6,(+IF($N18=[1]CURSOS!$D$7,[1]CURSOS!$E$7,(+IF($N18=[1]CURSOS!$D$8,[1]CURSOS!$E$8,(+IF($N18=[1]CURSOS!$D$9,[1]CURSOS!$E$9,(+IF($N18=[1]CURSOS!$D$10,[1]CURSOS!$E$10,(+IF($N18=[1]CURSOS!$D$11,[1]CURSOS!$E$11,(+IF($N18=[1]CURSOS!$D$12,[1]CURSOS!$E$12,(+IF($N18=[1]CURSOS!$D$13,[1]CURSOS!$E$13,(+IF($N18=[1]CURSOS!$D$14,[1]CURSOS!$E$14,(+IF($N18=[1]CURSOS!$D$15,[1]CURSOS!$E$15,(+IF($N18=[1]CURSOS!$D$16,[1]CURSOS!$E$16,(+IF($N18=[1]CURSOS!$D$17,[1]CURSOS!$E$17,(+IF($N18=[1]CURSOS!$D$18,[1]CURSOS!$E$18,(+IF($N18=[1]CURSOS!$D$19,[1]CURSOS!$E$19,(+IF($N18=[1]CURSOS!$D$20,[1]CURSOS!$E$20,(+IF($N18=[1]CURSOS!$D$21,[1]CURSOS!$E$21,(+IF($N18=[1]CURSOS!$D$22,[1]CURSOS!$E$22,(+IF($N18=[1]CURSOS!$D$23,[1]CURSOS!$E$23,(+IF($N18=[1]CURSOS!$D$24,[1]CURSOS!$E$24,(+IF($N18=[1]CURSOS!$D$25,[1]CURSOS!$E$25,(+IF($N18=[1]CURSOS!$D$26,[1]CURSOS!$E$26,(+IF($N18=[1]CURSOS!$D$27,[1]CURSOS!$E$27,(+IF($N18=[1]CURSOS!$D$28,[1]CURSOS!$E$28,(+IF($N18=[1]CURSOS!$D$29,[1]CURSOS!$E$29,(+IF($N18=[1]CURSOS!$D$30,[1]CURSOS!$E$30,(+IF($N18=[1]CURSOS!$D$31,[1]CURSOS!$E$31,(+IF($N18=[1]CURSOS!$D$32,[1]CURSOS!$E$32)))))))))))))))))))))))))))))))))))))))))))))))))))))))))))</f>
        <v xml:space="preserve">ATENCION A VICTIMAS DE VIOLENCIA SEXUAL </v>
      </c>
      <c r="T18" s="17" t="str">
        <f t="shared" si="3"/>
        <v>Stiven Arley Rosero Benavides</v>
      </c>
      <c r="U18" s="17" t="str">
        <f t="shared" si="4"/>
        <v>Stiven Arley Rosero Benavides</v>
      </c>
      <c r="V18" s="17" t="str">
        <f t="shared" si="5"/>
        <v>Stiven Arley Rosero Benavides-1007012904-VIOLENCIA SEXUAL</v>
      </c>
    </row>
    <row r="19" spans="1:22" x14ac:dyDescent="0.2">
      <c r="A19" s="17">
        <v>18</v>
      </c>
      <c r="B19" s="17">
        <v>1007012904</v>
      </c>
      <c r="C19" s="17" t="s">
        <v>49</v>
      </c>
      <c r="D19" s="17" t="s">
        <v>50</v>
      </c>
      <c r="E19" s="17" t="s">
        <v>88</v>
      </c>
      <c r="F19" s="18" t="s">
        <v>89</v>
      </c>
      <c r="G19" s="17">
        <v>2</v>
      </c>
      <c r="H19" s="17" t="s">
        <v>63</v>
      </c>
      <c r="I19" s="19">
        <v>45387</v>
      </c>
      <c r="J19" s="1">
        <v>50000</v>
      </c>
      <c r="K19" s="1" t="s">
        <v>83</v>
      </c>
      <c r="L19" s="1"/>
      <c r="M19" s="17" t="s">
        <v>40</v>
      </c>
      <c r="N19" s="17" t="s">
        <v>21</v>
      </c>
      <c r="O19" s="20">
        <v>36547</v>
      </c>
      <c r="R19" s="17">
        <v>3182120692</v>
      </c>
      <c r="S19" s="17" t="str">
        <f>+IF($N19=[1]CURSOS!$D$3,[1]CURSOS!$E$3,(+IF($N19=[1]CURSOS!$D$4,[1]CURSOS!$E$4,(+IF($N19=[1]CURSOS!$D$5,[1]CURSOS!$E$5,(+IF($N19=[1]CURSOS!$D$6,[1]CURSOS!$E$6,(+IF($N19=[1]CURSOS!$D$7,[1]CURSOS!$E$7,(+IF($N19=[1]CURSOS!$D$8,[1]CURSOS!$E$8,(+IF($N19=[1]CURSOS!$D$9,[1]CURSOS!$E$9,(+IF($N19=[1]CURSOS!$D$10,[1]CURSOS!$E$10,(+IF($N19=[1]CURSOS!$D$11,[1]CURSOS!$E$11,(+IF($N19=[1]CURSOS!$D$12,[1]CURSOS!$E$12,(+IF($N19=[1]CURSOS!$D$13,[1]CURSOS!$E$13,(+IF($N19=[1]CURSOS!$D$14,[1]CURSOS!$E$14,(+IF($N19=[1]CURSOS!$D$15,[1]CURSOS!$E$15,(+IF($N19=[1]CURSOS!$D$16,[1]CURSOS!$E$16,(+IF($N19=[1]CURSOS!$D$17,[1]CURSOS!$E$17,(+IF($N19=[1]CURSOS!$D$18,[1]CURSOS!$E$18,(+IF($N19=[1]CURSOS!$D$19,[1]CURSOS!$E$19,(+IF($N19=[1]CURSOS!$D$20,[1]CURSOS!$E$20,(+IF($N19=[1]CURSOS!$D$21,[1]CURSOS!$E$21,(+IF($N19=[1]CURSOS!$D$22,[1]CURSOS!$E$22,(+IF($N19=[1]CURSOS!$D$23,[1]CURSOS!$E$23,(+IF($N19=[1]CURSOS!$D$24,[1]CURSOS!$E$24,(+IF($N19=[1]CURSOS!$D$25,[1]CURSOS!$E$25,(+IF($N19=[1]CURSOS!$D$26,[1]CURSOS!$E$26,(+IF($N19=[1]CURSOS!$D$27,[1]CURSOS!$E$27,(+IF($N19=[1]CURSOS!$D$28,[1]CURSOS!$E$28,(+IF($N19=[1]CURSOS!$D$29,[1]CURSOS!$E$29,(+IF($N19=[1]CURSOS!$D$30,[1]CURSOS!$E$30,(+IF($N19=[1]CURSOS!$D$31,[1]CURSOS!$E$31,(+IF($N19=[1]CURSOS!$D$32,[1]CURSOS!$E$32)))))))))))))))))))))))))))))))))))))))))))))))))))))))))))</f>
        <v xml:space="preserve">ATENCION A VICTIMAS DE ATAQUE CON AGENTES QUIMICOS </v>
      </c>
      <c r="T19" s="17" t="str">
        <f t="shared" si="3"/>
        <v>Stiven Arley Rosero Benavides</v>
      </c>
      <c r="U19" s="17" t="str">
        <f t="shared" si="4"/>
        <v>Stiven Arley Rosero Benavides</v>
      </c>
      <c r="V19" s="17" t="str">
        <f t="shared" si="5"/>
        <v>Stiven Arley Rosero Benavides-1007012904-QUIMICOS</v>
      </c>
    </row>
    <row r="20" spans="1:22" x14ac:dyDescent="0.2">
      <c r="A20" s="17">
        <v>19</v>
      </c>
      <c r="B20" s="17">
        <v>59677886</v>
      </c>
      <c r="C20" s="17" t="s">
        <v>84</v>
      </c>
      <c r="D20" s="17" t="s">
        <v>85</v>
      </c>
      <c r="E20" s="17" t="s">
        <v>86</v>
      </c>
      <c r="F20" s="18" t="s">
        <v>87</v>
      </c>
      <c r="G20" s="17">
        <v>2</v>
      </c>
      <c r="H20" s="17" t="s">
        <v>63</v>
      </c>
      <c r="I20" s="23">
        <v>45324</v>
      </c>
      <c r="J20" s="1">
        <v>35000</v>
      </c>
      <c r="K20" s="1" t="s">
        <v>83</v>
      </c>
      <c r="L20" s="1"/>
      <c r="M20" s="17" t="s">
        <v>40</v>
      </c>
      <c r="N20" s="17" t="s">
        <v>27</v>
      </c>
      <c r="O20" s="20">
        <v>29248</v>
      </c>
      <c r="S20" s="17" t="str">
        <f>+IF($N20=[1]CURSOS!$D$3,[1]CURSOS!$E$3,(+IF($N20=[1]CURSOS!$D$4,[1]CURSOS!$E$4,(+IF($N20=[1]CURSOS!$D$5,[1]CURSOS!$E$5,(+IF($N20=[1]CURSOS!$D$6,[1]CURSOS!$E$6,(+IF($N20=[1]CURSOS!$D$7,[1]CURSOS!$E$7,(+IF($N20=[1]CURSOS!$D$8,[1]CURSOS!$E$8,(+IF($N20=[1]CURSOS!$D$9,[1]CURSOS!$E$9,(+IF($N20=[1]CURSOS!$D$10,[1]CURSOS!$E$10,(+IF($N20=[1]CURSOS!$D$11,[1]CURSOS!$E$11,(+IF($N20=[1]CURSOS!$D$12,[1]CURSOS!$E$12,(+IF($N20=[1]CURSOS!$D$13,[1]CURSOS!$E$13,(+IF($N20=[1]CURSOS!$D$14,[1]CURSOS!$E$14,(+IF($N20=[1]CURSOS!$D$15,[1]CURSOS!$E$15,(+IF($N20=[1]CURSOS!$D$16,[1]CURSOS!$E$16,(+IF($N20=[1]CURSOS!$D$17,[1]CURSOS!$E$17,(+IF($N20=[1]CURSOS!$D$18,[1]CURSOS!$E$18,(+IF($N20=[1]CURSOS!$D$19,[1]CURSOS!$E$19,(+IF($N20=[1]CURSOS!$D$20,[1]CURSOS!$E$20,(+IF($N20=[1]CURSOS!$D$21,[1]CURSOS!$E$21,(+IF($N20=[1]CURSOS!$D$22,[1]CURSOS!$E$22,(+IF($N20=[1]CURSOS!$D$23,[1]CURSOS!$E$23,(+IF($N20=[1]CURSOS!$D$24,[1]CURSOS!$E$24,(+IF($N20=[1]CURSOS!$D$25,[1]CURSOS!$E$25,(+IF($N20=[1]CURSOS!$D$26,[1]CURSOS!$E$26,(+IF($N20=[1]CURSOS!$D$27,[1]CURSOS!$E$27,(+IF($N20=[1]CURSOS!$D$28,[1]CURSOS!$E$28,(+IF($N20=[1]CURSOS!$D$29,[1]CURSOS!$E$29,(+IF($N20=[1]CURSOS!$D$30,[1]CURSOS!$E$30,(+IF($N20=[1]CURSOS!$D$31,[1]CURSOS!$E$31,(+IF($N20=[1]CURSOS!$D$32,[1]CURSOS!$E$32)))))))))))))))))))))))))))))))))))))))))))))))))))))))))))</f>
        <v xml:space="preserve">ATENCION A VICTIMAS DE VIOLENCIA SEXUAL </v>
      </c>
      <c r="T20" s="17" t="str">
        <f t="shared" si="3"/>
        <v>Claudia Lorena Correa Angulo</v>
      </c>
      <c r="U20" s="17" t="str">
        <f t="shared" si="4"/>
        <v>Claudia Lorena Correa Angulo</v>
      </c>
      <c r="V20" s="17" t="str">
        <f t="shared" si="5"/>
        <v>Claudia Lorena Correa Angulo-59677886-VIOLENCIA SEXUAL</v>
      </c>
    </row>
    <row r="21" spans="1:22" x14ac:dyDescent="0.2">
      <c r="A21" s="17">
        <v>20</v>
      </c>
      <c r="B21" s="17">
        <v>59677886</v>
      </c>
      <c r="C21" s="17" t="s">
        <v>84</v>
      </c>
      <c r="D21" s="17" t="s">
        <v>85</v>
      </c>
      <c r="E21" s="17" t="s">
        <v>86</v>
      </c>
      <c r="F21" s="18" t="s">
        <v>87</v>
      </c>
      <c r="G21" s="17">
        <v>2</v>
      </c>
      <c r="H21" s="17" t="s">
        <v>63</v>
      </c>
      <c r="I21" s="23">
        <v>45324</v>
      </c>
      <c r="J21" s="1">
        <v>35000</v>
      </c>
      <c r="K21" s="1" t="s">
        <v>83</v>
      </c>
      <c r="L21" s="1"/>
      <c r="M21" s="17" t="s">
        <v>40</v>
      </c>
      <c r="N21" s="17" t="s">
        <v>19</v>
      </c>
      <c r="O21" s="20">
        <v>29248</v>
      </c>
      <c r="S21" s="17" t="str">
        <f>+IF($N21=[1]CURSOS!$D$3,[1]CURSOS!$E$3,(+IF($N21=[1]CURSOS!$D$4,[1]CURSOS!$E$4,(+IF($N21=[1]CURSOS!$D$5,[1]CURSOS!$E$5,(+IF($N21=[1]CURSOS!$D$6,[1]CURSOS!$E$6,(+IF($N21=[1]CURSOS!$D$7,[1]CURSOS!$E$7,(+IF($N21=[1]CURSOS!$D$8,[1]CURSOS!$E$8,(+IF($N21=[1]CURSOS!$D$9,[1]CURSOS!$E$9,(+IF($N21=[1]CURSOS!$D$10,[1]CURSOS!$E$10,(+IF($N21=[1]CURSOS!$D$11,[1]CURSOS!$E$11,(+IF($N21=[1]CURSOS!$D$12,[1]CURSOS!$E$12,(+IF($N21=[1]CURSOS!$D$13,[1]CURSOS!$E$13,(+IF($N21=[1]CURSOS!$D$14,[1]CURSOS!$E$14,(+IF($N21=[1]CURSOS!$D$15,[1]CURSOS!$E$15,(+IF($N21=[1]CURSOS!$D$16,[1]CURSOS!$E$16,(+IF($N21=[1]CURSOS!$D$17,[1]CURSOS!$E$17,(+IF($N21=[1]CURSOS!$D$18,[1]CURSOS!$E$18,(+IF($N21=[1]CURSOS!$D$19,[1]CURSOS!$E$19,(+IF($N21=[1]CURSOS!$D$20,[1]CURSOS!$E$20,(+IF($N21=[1]CURSOS!$D$21,[1]CURSOS!$E$21,(+IF($N21=[1]CURSOS!$D$22,[1]CURSOS!$E$22,(+IF($N21=[1]CURSOS!$D$23,[1]CURSOS!$E$23,(+IF($N21=[1]CURSOS!$D$24,[1]CURSOS!$E$24,(+IF($N21=[1]CURSOS!$D$25,[1]CURSOS!$E$25,(+IF($N21=[1]CURSOS!$D$26,[1]CURSOS!$E$26,(+IF($N21=[1]CURSOS!$D$27,[1]CURSOS!$E$27,(+IF($N21=[1]CURSOS!$D$28,[1]CURSOS!$E$28,(+IF($N21=[1]CURSOS!$D$29,[1]CURSOS!$E$29,(+IF($N21=[1]CURSOS!$D$30,[1]CURSOS!$E$30,(+IF($N21=[1]CURSOS!$D$31,[1]CURSOS!$E$31,(+IF($N21=[1]CURSOS!$D$32,[1]CURSOS!$E$32)))))))))))))))))))))))))))))))))))))))))))))))))))))))))))</f>
        <v>SOPORTE VITAL BASICO (BLS)</v>
      </c>
      <c r="T21" s="17" t="str">
        <f t="shared" si="3"/>
        <v>Claudia Lorena Correa Angulo</v>
      </c>
      <c r="U21" s="17" t="str">
        <f t="shared" si="4"/>
        <v>Claudia Lorena Correa Angulo</v>
      </c>
      <c r="V21" s="17" t="str">
        <f t="shared" si="5"/>
        <v>Claudia Lorena Correa Angulo-59677886-BLS</v>
      </c>
    </row>
    <row r="22" spans="1:22" x14ac:dyDescent="0.2">
      <c r="A22" s="17">
        <v>21</v>
      </c>
      <c r="B22" s="17">
        <v>8665081</v>
      </c>
      <c r="C22" s="17" t="s">
        <v>90</v>
      </c>
      <c r="D22" s="17" t="s">
        <v>90</v>
      </c>
      <c r="E22" s="17" t="s">
        <v>91</v>
      </c>
      <c r="G22" s="17">
        <v>5</v>
      </c>
      <c r="H22" s="17" t="s">
        <v>63</v>
      </c>
      <c r="I22" s="19">
        <v>45327</v>
      </c>
      <c r="J22" s="1">
        <v>125000</v>
      </c>
      <c r="K22" s="1" t="s">
        <v>83</v>
      </c>
      <c r="L22" s="1"/>
      <c r="M22" s="17" t="s">
        <v>93</v>
      </c>
      <c r="N22" s="17" t="s">
        <v>24</v>
      </c>
      <c r="S22" s="17" t="str">
        <f>+IF($N22=[1]CURSOS!$D$3,[1]CURSOS!$E$3,(+IF($N22=[1]CURSOS!$D$4,[1]CURSOS!$E$4,(+IF($N22=[1]CURSOS!$D$5,[1]CURSOS!$E$5,(+IF($N22=[1]CURSOS!$D$6,[1]CURSOS!$E$6,(+IF($N22=[1]CURSOS!$D$7,[1]CURSOS!$E$7,(+IF($N22=[1]CURSOS!$D$8,[1]CURSOS!$E$8,(+IF($N22=[1]CURSOS!$D$9,[1]CURSOS!$E$9,(+IF($N22=[1]CURSOS!$D$10,[1]CURSOS!$E$10,(+IF($N22=[1]CURSOS!$D$11,[1]CURSOS!$E$11,(+IF($N22=[1]CURSOS!$D$12,[1]CURSOS!$E$12,(+IF($N22=[1]CURSOS!$D$13,[1]CURSOS!$E$13,(+IF($N22=[1]CURSOS!$D$14,[1]CURSOS!$E$14,(+IF($N22=[1]CURSOS!$D$15,[1]CURSOS!$E$15,(+IF($N22=[1]CURSOS!$D$16,[1]CURSOS!$E$16,(+IF($N22=[1]CURSOS!$D$17,[1]CURSOS!$E$17,(+IF($N22=[1]CURSOS!$D$18,[1]CURSOS!$E$18,(+IF($N22=[1]CURSOS!$D$19,[1]CURSOS!$E$19,(+IF($N22=[1]CURSOS!$D$20,[1]CURSOS!$E$20,(+IF($N22=[1]CURSOS!$D$21,[1]CURSOS!$E$21,(+IF($N22=[1]CURSOS!$D$22,[1]CURSOS!$E$22,(+IF($N22=[1]CURSOS!$D$23,[1]CURSOS!$E$23,(+IF($N22=[1]CURSOS!$D$24,[1]CURSOS!$E$24,(+IF($N22=[1]CURSOS!$D$25,[1]CURSOS!$E$25,(+IF($N22=[1]CURSOS!$D$26,[1]CURSOS!$E$26,(+IF($N22=[1]CURSOS!$D$27,[1]CURSOS!$E$27,(+IF($N22=[1]CURSOS!$D$28,[1]CURSOS!$E$28,(+IF($N22=[1]CURSOS!$D$29,[1]CURSOS!$E$29,(+IF($N22=[1]CURSOS!$D$30,[1]CURSOS!$E$30,(+IF($N22=[1]CURSOS!$D$31,[1]CURSOS!$E$31,(+IF($N22=[1]CURSOS!$D$32,[1]CURSOS!$E$32)))))))))))))))))))))))))))))))))))))))))))))))))))))))))))</f>
        <v xml:space="preserve">SOPORTE CARDIOVASCULAR AVANZADO </v>
      </c>
      <c r="T22" s="17" t="str">
        <f t="shared" si="3"/>
        <v>Roberto  De Los Reyes De Los Reyes</v>
      </c>
      <c r="U22" s="17" t="str">
        <f t="shared" si="4"/>
        <v>Roberto  De Los Reyes De Los Reyes</v>
      </c>
      <c r="V22" s="17" t="str">
        <f t="shared" si="5"/>
        <v>Roberto  De Los Reyes De Los Reyes-8665081-ACLS</v>
      </c>
    </row>
    <row r="23" spans="1:22" x14ac:dyDescent="0.2">
      <c r="A23" s="17">
        <v>22</v>
      </c>
      <c r="B23" s="17">
        <v>8665081</v>
      </c>
      <c r="C23" s="17" t="s">
        <v>90</v>
      </c>
      <c r="D23" s="17" t="s">
        <v>90</v>
      </c>
      <c r="E23" s="17" t="s">
        <v>91</v>
      </c>
      <c r="G23" s="17">
        <v>5</v>
      </c>
      <c r="H23" s="17" t="s">
        <v>63</v>
      </c>
      <c r="I23" s="19">
        <v>45327</v>
      </c>
      <c r="K23" s="1" t="s">
        <v>83</v>
      </c>
      <c r="L23" s="1"/>
      <c r="M23" s="17" t="s">
        <v>93</v>
      </c>
      <c r="N23" s="17" t="s">
        <v>19</v>
      </c>
      <c r="S23" s="17" t="str">
        <f>+IF($N23=[1]CURSOS!$D$3,[1]CURSOS!$E$3,(+IF($N23=[1]CURSOS!$D$4,[1]CURSOS!$E$4,(+IF($N23=[1]CURSOS!$D$5,[1]CURSOS!$E$5,(+IF($N23=[1]CURSOS!$D$6,[1]CURSOS!$E$6,(+IF($N23=[1]CURSOS!$D$7,[1]CURSOS!$E$7,(+IF($N23=[1]CURSOS!$D$8,[1]CURSOS!$E$8,(+IF($N23=[1]CURSOS!$D$9,[1]CURSOS!$E$9,(+IF($N23=[1]CURSOS!$D$10,[1]CURSOS!$E$10,(+IF($N23=[1]CURSOS!$D$11,[1]CURSOS!$E$11,(+IF($N23=[1]CURSOS!$D$12,[1]CURSOS!$E$12,(+IF($N23=[1]CURSOS!$D$13,[1]CURSOS!$E$13,(+IF($N23=[1]CURSOS!$D$14,[1]CURSOS!$E$14,(+IF($N23=[1]CURSOS!$D$15,[1]CURSOS!$E$15,(+IF($N23=[1]CURSOS!$D$16,[1]CURSOS!$E$16,(+IF($N23=[1]CURSOS!$D$17,[1]CURSOS!$E$17,(+IF($N23=[1]CURSOS!$D$18,[1]CURSOS!$E$18,(+IF($N23=[1]CURSOS!$D$19,[1]CURSOS!$E$19,(+IF($N23=[1]CURSOS!$D$20,[1]CURSOS!$E$20,(+IF($N23=[1]CURSOS!$D$21,[1]CURSOS!$E$21,(+IF($N23=[1]CURSOS!$D$22,[1]CURSOS!$E$22,(+IF($N23=[1]CURSOS!$D$23,[1]CURSOS!$E$23,(+IF($N23=[1]CURSOS!$D$24,[1]CURSOS!$E$24,(+IF($N23=[1]CURSOS!$D$25,[1]CURSOS!$E$25,(+IF($N23=[1]CURSOS!$D$26,[1]CURSOS!$E$26,(+IF($N23=[1]CURSOS!$D$27,[1]CURSOS!$E$27,(+IF($N23=[1]CURSOS!$D$28,[1]CURSOS!$E$28,(+IF($N23=[1]CURSOS!$D$29,[1]CURSOS!$E$29,(+IF($N23=[1]CURSOS!$D$30,[1]CURSOS!$E$30,(+IF($N23=[1]CURSOS!$D$31,[1]CURSOS!$E$31,(+IF($N23=[1]CURSOS!$D$32,[1]CURSOS!$E$32)))))))))))))))))))))))))))))))))))))))))))))))))))))))))))</f>
        <v>SOPORTE VITAL BASICO (BLS)</v>
      </c>
      <c r="T23" s="17" t="str">
        <f t="shared" si="3"/>
        <v>Roberto  De Los Reyes De Los Reyes</v>
      </c>
      <c r="U23" s="17" t="str">
        <f t="shared" si="4"/>
        <v>Roberto  De Los Reyes De Los Reyes</v>
      </c>
      <c r="V23" s="17" t="str">
        <f t="shared" si="5"/>
        <v>Roberto  De Los Reyes De Los Reyes-8665081-BLS</v>
      </c>
    </row>
    <row r="24" spans="1:22" x14ac:dyDescent="0.2">
      <c r="A24" s="17">
        <v>23</v>
      </c>
      <c r="B24" s="17">
        <v>8665081</v>
      </c>
      <c r="C24" s="17" t="s">
        <v>90</v>
      </c>
      <c r="D24" s="17" t="s">
        <v>90</v>
      </c>
      <c r="E24" s="17" t="s">
        <v>91</v>
      </c>
      <c r="G24" s="17">
        <v>3</v>
      </c>
      <c r="H24" s="17" t="s">
        <v>63</v>
      </c>
      <c r="I24" s="19">
        <v>45327</v>
      </c>
      <c r="J24" s="1">
        <v>25000</v>
      </c>
      <c r="K24" s="1" t="s">
        <v>83</v>
      </c>
      <c r="L24" s="1"/>
      <c r="M24" s="17" t="s">
        <v>93</v>
      </c>
      <c r="N24" s="17" t="s">
        <v>20</v>
      </c>
      <c r="S24" s="17" t="str">
        <f>+IF($N24=[1]CURSOS!$D$3,[1]CURSOS!$E$3,(+IF($N24=[1]CURSOS!$D$4,[1]CURSOS!$E$4,(+IF($N24=[1]CURSOS!$D$5,[1]CURSOS!$E$5,(+IF($N24=[1]CURSOS!$D$6,[1]CURSOS!$E$6,(+IF($N24=[1]CURSOS!$D$7,[1]CURSOS!$E$7,(+IF($N24=[1]CURSOS!$D$8,[1]CURSOS!$E$8,(+IF($N24=[1]CURSOS!$D$9,[1]CURSOS!$E$9,(+IF($N24=[1]CURSOS!$D$10,[1]CURSOS!$E$10,(+IF($N24=[1]CURSOS!$D$11,[1]CURSOS!$E$11,(+IF($N24=[1]CURSOS!$D$12,[1]CURSOS!$E$12,(+IF($N24=[1]CURSOS!$D$13,[1]CURSOS!$E$13,(+IF($N24=[1]CURSOS!$D$14,[1]CURSOS!$E$14,(+IF($N24=[1]CURSOS!$D$15,[1]CURSOS!$E$15,(+IF($N24=[1]CURSOS!$D$16,[1]CURSOS!$E$16,(+IF($N24=[1]CURSOS!$D$17,[1]CURSOS!$E$17,(+IF($N24=[1]CURSOS!$D$18,[1]CURSOS!$E$18,(+IF($N24=[1]CURSOS!$D$19,[1]CURSOS!$E$19,(+IF($N24=[1]CURSOS!$D$20,[1]CURSOS!$E$20,(+IF($N24=[1]CURSOS!$D$21,[1]CURSOS!$E$21,(+IF($N24=[1]CURSOS!$D$22,[1]CURSOS!$E$22,(+IF($N24=[1]CURSOS!$D$23,[1]CURSOS!$E$23,(+IF($N24=[1]CURSOS!$D$24,[1]CURSOS!$E$24,(+IF($N24=[1]CURSOS!$D$25,[1]CURSOS!$E$25,(+IF($N24=[1]CURSOS!$D$26,[1]CURSOS!$E$26,(+IF($N24=[1]CURSOS!$D$27,[1]CURSOS!$E$27,(+IF($N24=[1]CURSOS!$D$28,[1]CURSOS!$E$28,(+IF($N24=[1]CURSOS!$D$29,[1]CURSOS!$E$29,(+IF($N24=[1]CURSOS!$D$30,[1]CURSOS!$E$30,(+IF($N24=[1]CURSOS!$D$31,[1]CURSOS!$E$31,(+IF($N24=[1]CURSOS!$D$32,[1]CURSOS!$E$32)))))))))))))))))))))))))))))))))))))))))))))))))))))))))))</f>
        <v>ACOMPAÑAMIENTO Y MANEJO DEL DUELO</v>
      </c>
      <c r="T24" s="17" t="str">
        <f t="shared" si="3"/>
        <v>Roberto  De Los Reyes De Los Reyes</v>
      </c>
      <c r="U24" s="17" t="str">
        <f t="shared" si="4"/>
        <v>Roberto  De Los Reyes De Los Reyes</v>
      </c>
      <c r="V24" s="17" t="str">
        <f t="shared" si="5"/>
        <v>Roberto  De Los Reyes De Los Reyes-8665081-DUELO</v>
      </c>
    </row>
    <row r="25" spans="1:22" x14ac:dyDescent="0.2">
      <c r="A25" s="17">
        <v>24</v>
      </c>
      <c r="B25" s="17">
        <v>8665081</v>
      </c>
      <c r="C25" s="17" t="s">
        <v>90</v>
      </c>
      <c r="D25" s="17" t="s">
        <v>90</v>
      </c>
      <c r="E25" s="17" t="s">
        <v>91</v>
      </c>
      <c r="G25" s="17">
        <v>4</v>
      </c>
      <c r="H25" s="17" t="s">
        <v>63</v>
      </c>
      <c r="I25" s="19">
        <v>45327</v>
      </c>
      <c r="J25" s="1">
        <v>25000</v>
      </c>
      <c r="K25" s="1" t="s">
        <v>83</v>
      </c>
      <c r="L25" s="1"/>
      <c r="M25" s="17" t="s">
        <v>93</v>
      </c>
      <c r="N25" s="17" t="s">
        <v>27</v>
      </c>
      <c r="S25" s="17" t="str">
        <f>+IF($N25=[1]CURSOS!$D$3,[1]CURSOS!$E$3,(+IF($N25=[1]CURSOS!$D$4,[1]CURSOS!$E$4,(+IF($N25=[1]CURSOS!$D$5,[1]CURSOS!$E$5,(+IF($N25=[1]CURSOS!$D$6,[1]CURSOS!$E$6,(+IF($N25=[1]CURSOS!$D$7,[1]CURSOS!$E$7,(+IF($N25=[1]CURSOS!$D$8,[1]CURSOS!$E$8,(+IF($N25=[1]CURSOS!$D$9,[1]CURSOS!$E$9,(+IF($N25=[1]CURSOS!$D$10,[1]CURSOS!$E$10,(+IF($N25=[1]CURSOS!$D$11,[1]CURSOS!$E$11,(+IF($N25=[1]CURSOS!$D$12,[1]CURSOS!$E$12,(+IF($N25=[1]CURSOS!$D$13,[1]CURSOS!$E$13,(+IF($N25=[1]CURSOS!$D$14,[1]CURSOS!$E$14,(+IF($N25=[1]CURSOS!$D$15,[1]CURSOS!$E$15,(+IF($N25=[1]CURSOS!$D$16,[1]CURSOS!$E$16,(+IF($N25=[1]CURSOS!$D$17,[1]CURSOS!$E$17,(+IF($N25=[1]CURSOS!$D$18,[1]CURSOS!$E$18,(+IF($N25=[1]CURSOS!$D$19,[1]CURSOS!$E$19,(+IF($N25=[1]CURSOS!$D$20,[1]CURSOS!$E$20,(+IF($N25=[1]CURSOS!$D$21,[1]CURSOS!$E$21,(+IF($N25=[1]CURSOS!$D$22,[1]CURSOS!$E$22,(+IF($N25=[1]CURSOS!$D$23,[1]CURSOS!$E$23,(+IF($N25=[1]CURSOS!$D$24,[1]CURSOS!$E$24,(+IF($N25=[1]CURSOS!$D$25,[1]CURSOS!$E$25,(+IF($N25=[1]CURSOS!$D$26,[1]CURSOS!$E$26,(+IF($N25=[1]CURSOS!$D$27,[1]CURSOS!$E$27,(+IF($N25=[1]CURSOS!$D$28,[1]CURSOS!$E$28,(+IF($N25=[1]CURSOS!$D$29,[1]CURSOS!$E$29,(+IF($N25=[1]CURSOS!$D$30,[1]CURSOS!$E$30,(+IF($N25=[1]CURSOS!$D$31,[1]CURSOS!$E$31,(+IF($N25=[1]CURSOS!$D$32,[1]CURSOS!$E$32)))))))))))))))))))))))))))))))))))))))))))))))))))))))))))</f>
        <v xml:space="preserve">ATENCION A VICTIMAS DE VIOLENCIA SEXUAL </v>
      </c>
      <c r="T25" s="17" t="str">
        <f t="shared" ref="T25:T35" si="6">CONCATENATE(E25," ",F25," ",C25," ",D25)</f>
        <v>Roberto  De Los Reyes De Los Reyes</v>
      </c>
      <c r="U25" s="17" t="str">
        <f t="shared" ref="U25:U35" si="7">+PROPER(T25)</f>
        <v>Roberto  De Los Reyes De Los Reyes</v>
      </c>
      <c r="V25" s="17" t="str">
        <f t="shared" ref="V25:V35" si="8">CONCATENATE(T25,"-",B25,"-",N25)</f>
        <v>Roberto  De Los Reyes De Los Reyes-8665081-VIOLENCIA SEXUAL</v>
      </c>
    </row>
    <row r="26" spans="1:22" x14ac:dyDescent="0.2">
      <c r="A26" s="17">
        <v>25</v>
      </c>
      <c r="B26" s="17">
        <v>8665081</v>
      </c>
      <c r="C26" s="17" t="s">
        <v>90</v>
      </c>
      <c r="D26" s="17" t="s">
        <v>90</v>
      </c>
      <c r="E26" s="17" t="s">
        <v>91</v>
      </c>
      <c r="G26" s="17">
        <v>4</v>
      </c>
      <c r="H26" s="17" t="s">
        <v>63</v>
      </c>
      <c r="I26" s="19">
        <v>45327</v>
      </c>
      <c r="J26" s="1">
        <v>25000</v>
      </c>
      <c r="K26" s="1" t="s">
        <v>83</v>
      </c>
      <c r="L26" s="1"/>
      <c r="M26" s="17" t="s">
        <v>93</v>
      </c>
      <c r="N26" s="17" t="s">
        <v>92</v>
      </c>
      <c r="S26" s="17" t="s">
        <v>92</v>
      </c>
      <c r="T26" s="17" t="str">
        <f t="shared" si="6"/>
        <v>Roberto  De Los Reyes De Los Reyes</v>
      </c>
      <c r="U26" s="17" t="str">
        <f t="shared" si="7"/>
        <v>Roberto  De Los Reyes De Los Reyes</v>
      </c>
      <c r="V26" s="17" t="str">
        <f t="shared" si="8"/>
        <v>Roberto  De Los Reyes De Los Reyes-8665081-CUIDADO AL PACIENTE DONANTE</v>
      </c>
    </row>
    <row r="27" spans="1:22" x14ac:dyDescent="0.2">
      <c r="A27" s="17">
        <v>26</v>
      </c>
      <c r="B27" s="17">
        <v>1085316645</v>
      </c>
      <c r="C27" s="17" t="s">
        <v>95</v>
      </c>
      <c r="D27" s="17" t="s">
        <v>96</v>
      </c>
      <c r="E27" s="17" t="s">
        <v>97</v>
      </c>
      <c r="F27" s="18" t="s">
        <v>98</v>
      </c>
      <c r="G27" s="17">
        <v>5</v>
      </c>
      <c r="H27" s="17" t="s">
        <v>63</v>
      </c>
      <c r="I27" s="19">
        <v>45328</v>
      </c>
      <c r="J27" s="1">
        <v>30000</v>
      </c>
      <c r="K27" s="17" t="s">
        <v>83</v>
      </c>
      <c r="M27" s="17" t="s">
        <v>99</v>
      </c>
      <c r="N27" s="17" t="s">
        <v>22</v>
      </c>
      <c r="P27" s="21" t="s">
        <v>39</v>
      </c>
      <c r="Q27" s="17" t="s">
        <v>43</v>
      </c>
      <c r="S27" s="17" t="str">
        <f>+IF($N27=[1]CURSOS!$D$3,[1]CURSOS!$E$3,(+IF($N27=[1]CURSOS!$D$4,[1]CURSOS!$E$4,(+IF($N27=[1]CURSOS!$D$5,[1]CURSOS!$E$5,(+IF($N27=[1]CURSOS!$D$6,[1]CURSOS!$E$6,(+IF($N27=[1]CURSOS!$D$7,[1]CURSOS!$E$7,(+IF($N27=[1]CURSOS!$D$8,[1]CURSOS!$E$8,(+IF($N27=[1]CURSOS!$D$9,[1]CURSOS!$E$9,(+IF($N27=[1]CURSOS!$D$10,[1]CURSOS!$E$10,(+IF($N27=[1]CURSOS!$D$11,[1]CURSOS!$E$11,(+IF($N27=[1]CURSOS!$D$12,[1]CURSOS!$E$12,(+IF($N27=[1]CURSOS!$D$13,[1]CURSOS!$E$13,(+IF($N27=[1]CURSOS!$D$14,[1]CURSOS!$E$14,(+IF($N27=[1]CURSOS!$D$15,[1]CURSOS!$E$15,(+IF($N27=[1]CURSOS!$D$16,[1]CURSOS!$E$16,(+IF($N27=[1]CURSOS!$D$17,[1]CURSOS!$E$17,(+IF($N27=[1]CURSOS!$D$18,[1]CURSOS!$E$18,(+IF($N27=[1]CURSOS!$D$19,[1]CURSOS!$E$19,(+IF($N27=[1]CURSOS!$D$20,[1]CURSOS!$E$20,(+IF($N27=[1]CURSOS!$D$21,[1]CURSOS!$E$21,(+IF($N27=[1]CURSOS!$D$22,[1]CURSOS!$E$22,(+IF($N27=[1]CURSOS!$D$23,[1]CURSOS!$E$23,(+IF($N27=[1]CURSOS!$D$24,[1]CURSOS!$E$24,(+IF($N27=[1]CURSOS!$D$25,[1]CURSOS!$E$25,(+IF($N27=[1]CURSOS!$D$26,[1]CURSOS!$E$26,(+IF($N27=[1]CURSOS!$D$27,[1]CURSOS!$E$27,(+IF($N27=[1]CURSOS!$D$28,[1]CURSOS!$E$28,(+IF($N27=[1]CURSOS!$D$29,[1]CURSOS!$E$29,(+IF($N27=[1]CURSOS!$D$30,[1]CURSOS!$E$30,(+IF($N27=[1]CURSOS!$D$31,[1]CURSOS!$E$31,(+IF($N27=[1]CURSOS!$D$32,[1]CURSOS!$E$32)))))))))))))))))))))))))))))))))))))))))))))))))))))))))))</f>
        <v>PRIMEROS AUXILIOS</v>
      </c>
      <c r="T27" s="17" t="str">
        <f t="shared" si="6"/>
        <v>Richard Steven Ruales Luna</v>
      </c>
      <c r="U27" s="17" t="str">
        <f t="shared" si="7"/>
        <v>Richard Steven Ruales Luna</v>
      </c>
      <c r="V27" s="17" t="str">
        <f t="shared" si="8"/>
        <v>Richard Steven Ruales Luna-1085316645-PRIMEROS AUXILIOS</v>
      </c>
    </row>
    <row r="28" spans="1:22" x14ac:dyDescent="0.2">
      <c r="A28" s="17">
        <v>27</v>
      </c>
      <c r="B28" s="17">
        <v>27198144</v>
      </c>
      <c r="C28" s="17" t="s">
        <v>100</v>
      </c>
      <c r="D28" s="17" t="s">
        <v>101</v>
      </c>
      <c r="E28" s="17" t="s">
        <v>102</v>
      </c>
      <c r="F28" s="18" t="s">
        <v>103</v>
      </c>
      <c r="G28" s="17">
        <v>5</v>
      </c>
      <c r="H28" s="17" t="s">
        <v>63</v>
      </c>
      <c r="I28" s="19">
        <v>45328</v>
      </c>
      <c r="J28" s="1">
        <v>30000</v>
      </c>
      <c r="K28" s="17" t="s">
        <v>83</v>
      </c>
      <c r="M28" s="17" t="s">
        <v>99</v>
      </c>
      <c r="N28" s="17" t="s">
        <v>21</v>
      </c>
      <c r="P28" s="21" t="s">
        <v>42</v>
      </c>
      <c r="Q28" s="17" t="s">
        <v>43</v>
      </c>
      <c r="S28" s="17" t="str">
        <f>+IF($N28=[1]CURSOS!$D$3,[1]CURSOS!$E$3,(+IF($N28=[1]CURSOS!$D$4,[1]CURSOS!$E$4,(+IF($N28=[1]CURSOS!$D$5,[1]CURSOS!$E$5,(+IF($N28=[1]CURSOS!$D$6,[1]CURSOS!$E$6,(+IF($N28=[1]CURSOS!$D$7,[1]CURSOS!$E$7,(+IF($N28=[1]CURSOS!$D$8,[1]CURSOS!$E$8,(+IF($N28=[1]CURSOS!$D$9,[1]CURSOS!$E$9,(+IF($N28=[1]CURSOS!$D$10,[1]CURSOS!$E$10,(+IF($N28=[1]CURSOS!$D$11,[1]CURSOS!$E$11,(+IF($N28=[1]CURSOS!$D$12,[1]CURSOS!$E$12,(+IF($N28=[1]CURSOS!$D$13,[1]CURSOS!$E$13,(+IF($N28=[1]CURSOS!$D$14,[1]CURSOS!$E$14,(+IF($N28=[1]CURSOS!$D$15,[1]CURSOS!$E$15,(+IF($N28=[1]CURSOS!$D$16,[1]CURSOS!$E$16,(+IF($N28=[1]CURSOS!$D$17,[1]CURSOS!$E$17,(+IF($N28=[1]CURSOS!$D$18,[1]CURSOS!$E$18,(+IF($N28=[1]CURSOS!$D$19,[1]CURSOS!$E$19,(+IF($N28=[1]CURSOS!$D$20,[1]CURSOS!$E$20,(+IF($N28=[1]CURSOS!$D$21,[1]CURSOS!$E$21,(+IF($N28=[1]CURSOS!$D$22,[1]CURSOS!$E$22,(+IF($N28=[1]CURSOS!$D$23,[1]CURSOS!$E$23,(+IF($N28=[1]CURSOS!$D$24,[1]CURSOS!$E$24,(+IF($N28=[1]CURSOS!$D$25,[1]CURSOS!$E$25,(+IF($N28=[1]CURSOS!$D$26,[1]CURSOS!$E$26,(+IF($N28=[1]CURSOS!$D$27,[1]CURSOS!$E$27,(+IF($N28=[1]CURSOS!$D$28,[1]CURSOS!$E$28,(+IF($N28=[1]CURSOS!$D$29,[1]CURSOS!$E$29,(+IF($N28=[1]CURSOS!$D$30,[1]CURSOS!$E$30,(+IF($N28=[1]CURSOS!$D$31,[1]CURSOS!$E$31,(+IF($N28=[1]CURSOS!$D$32,[1]CURSOS!$E$32)))))))))))))))))))))))))))))))))))))))))))))))))))))))))))</f>
        <v xml:space="preserve">ATENCION A VICTIMAS DE ATAQUE CON AGENTES QUIMICOS </v>
      </c>
      <c r="T28" s="17" t="str">
        <f t="shared" si="6"/>
        <v>Rita Guadalupe Caicedo Noguera</v>
      </c>
      <c r="U28" s="17" t="str">
        <f t="shared" si="7"/>
        <v>Rita Guadalupe Caicedo Noguera</v>
      </c>
      <c r="V28" s="17" t="str">
        <f t="shared" si="8"/>
        <v>Rita Guadalupe Caicedo Noguera-27198144-QUIMICOS</v>
      </c>
    </row>
    <row r="29" spans="1:22" x14ac:dyDescent="0.2">
      <c r="A29" s="17">
        <v>28</v>
      </c>
      <c r="B29" s="17">
        <v>1007282210</v>
      </c>
      <c r="C29" s="17" t="s">
        <v>104</v>
      </c>
      <c r="D29" s="17" t="s">
        <v>105</v>
      </c>
      <c r="E29" s="17" t="s">
        <v>106</v>
      </c>
      <c r="F29" s="18" t="s">
        <v>107</v>
      </c>
      <c r="G29" s="17">
        <v>5</v>
      </c>
      <c r="H29" s="17" t="s">
        <v>63</v>
      </c>
      <c r="I29" s="19">
        <v>46434</v>
      </c>
      <c r="J29" s="1">
        <v>32000</v>
      </c>
      <c r="K29" s="17" t="s">
        <v>45</v>
      </c>
      <c r="L29" s="17" t="s">
        <v>223</v>
      </c>
      <c r="M29" s="17" t="s">
        <v>75</v>
      </c>
      <c r="N29" s="17" t="s">
        <v>71</v>
      </c>
      <c r="P29" s="21" t="s">
        <v>42</v>
      </c>
      <c r="Q29" s="17" t="s">
        <v>43</v>
      </c>
      <c r="S29" s="17" t="str">
        <f>+IF($N29=[1]CURSOS!$D$3,[1]CURSOS!$E$3,(+IF($N29=[1]CURSOS!$D$4,[1]CURSOS!$E$4,(+IF($N29=[1]CURSOS!$D$5,[1]CURSOS!$E$5,(+IF($N29=[1]CURSOS!$D$6,[1]CURSOS!$E$6,(+IF($N29=[1]CURSOS!$D$7,[1]CURSOS!$E$7,(+IF($N29=[1]CURSOS!$D$8,[1]CURSOS!$E$8,(+IF($N29=[1]CURSOS!$D$9,[1]CURSOS!$E$9,(+IF($N29=[1]CURSOS!$D$10,[1]CURSOS!$E$10,(+IF($N29=[1]CURSOS!$D$11,[1]CURSOS!$E$11,(+IF($N29=[1]CURSOS!$D$12,[1]CURSOS!$E$12,(+IF($N29=[1]CURSOS!$D$13,[1]CURSOS!$E$13,(+IF($N29=[1]CURSOS!$D$14,[1]CURSOS!$E$14,(+IF($N29=[1]CURSOS!$D$15,[1]CURSOS!$E$15,(+IF($N29=[1]CURSOS!$D$16,[1]CURSOS!$E$16,(+IF($N29=[1]CURSOS!$D$17,[1]CURSOS!$E$17,(+IF($N29=[1]CURSOS!$D$18,[1]CURSOS!$E$18,(+IF($N29=[1]CURSOS!$D$19,[1]CURSOS!$E$19,(+IF($N29=[1]CURSOS!$D$20,[1]CURSOS!$E$20,(+IF($N29=[1]CURSOS!$D$21,[1]CURSOS!$E$21,(+IF($N29=[1]CURSOS!$D$22,[1]CURSOS!$E$22,(+IF($N29=[1]CURSOS!$D$23,[1]CURSOS!$E$23,(+IF($N29=[1]CURSOS!$D$24,[1]CURSOS!$E$24,(+IF($N29=[1]CURSOS!$D$25,[1]CURSOS!$E$25,(+IF($N29=[1]CURSOS!$D$26,[1]CURSOS!$E$26,(+IF($N29=[1]CURSOS!$D$27,[1]CURSOS!$E$27,(+IF($N29=[1]CURSOS!$D$28,[1]CURSOS!$E$28,(+IF($N29=[1]CURSOS!$D$29,[1]CURSOS!$E$29,(+IF($N29=[1]CURSOS!$D$30,[1]CURSOS!$E$30,(+IF($N29=[1]CURSOS!$D$31,[1]CURSOS!$E$31,(+IF($N29=[1]CURSOS!$D$32,[1]CURSOS!$E$32)))))))))))))))))))))))))))))))))))))))))))))))))))))))))))</f>
        <v xml:space="preserve">HUMANIZACION EN SALUD, BUENAS PRACTICAS EN PACIENTE </v>
      </c>
      <c r="T29" s="17" t="str">
        <f t="shared" si="6"/>
        <v>Yudi Alejandra Toro Chalpatar</v>
      </c>
      <c r="U29" s="17" t="str">
        <f t="shared" si="7"/>
        <v>Yudi Alejandra Toro Chalpatar</v>
      </c>
      <c r="V29" s="17" t="str">
        <f t="shared" si="8"/>
        <v>Yudi Alejandra Toro Chalpatar-1007282210-Humanizacion</v>
      </c>
    </row>
    <row r="30" spans="1:22" x14ac:dyDescent="0.2">
      <c r="A30" s="17">
        <v>29</v>
      </c>
      <c r="B30" s="17">
        <v>27097891</v>
      </c>
      <c r="C30" s="17" t="s">
        <v>108</v>
      </c>
      <c r="E30" s="17" t="s">
        <v>53</v>
      </c>
      <c r="F30" s="18" t="s">
        <v>109</v>
      </c>
      <c r="G30" s="17">
        <v>6</v>
      </c>
      <c r="H30" s="17" t="s">
        <v>63</v>
      </c>
      <c r="I30" s="19" t="s">
        <v>67</v>
      </c>
      <c r="J30" s="1">
        <v>30000</v>
      </c>
      <c r="K30" s="17" t="s">
        <v>68</v>
      </c>
      <c r="L30" s="17" t="s">
        <v>223</v>
      </c>
      <c r="M30" s="17" t="s">
        <v>93</v>
      </c>
      <c r="N30" s="17" t="s">
        <v>28</v>
      </c>
      <c r="O30" s="20">
        <v>27103</v>
      </c>
      <c r="P30" s="21" t="s">
        <v>42</v>
      </c>
      <c r="Q30" s="17" t="s">
        <v>43</v>
      </c>
      <c r="S30" s="17" t="str">
        <f>+IF($N30=[1]CURSOS!$D$3,[1]CURSOS!$E$3,(+IF($N30=[1]CURSOS!$D$4,[1]CURSOS!$E$4,(+IF($N30=[1]CURSOS!$D$5,[1]CURSOS!$E$5,(+IF($N30=[1]CURSOS!$D$6,[1]CURSOS!$E$6,(+IF($N30=[1]CURSOS!$D$7,[1]CURSOS!$E$7,(+IF($N30=[1]CURSOS!$D$8,[1]CURSOS!$E$8,(+IF($N30=[1]CURSOS!$D$9,[1]CURSOS!$E$9,(+IF($N30=[1]CURSOS!$D$10,[1]CURSOS!$E$10,(+IF($N30=[1]CURSOS!$D$11,[1]CURSOS!$E$11,(+IF($N30=[1]CURSOS!$D$12,[1]CURSOS!$E$12,(+IF($N30=[1]CURSOS!$D$13,[1]CURSOS!$E$13,(+IF($N30=[1]CURSOS!$D$14,[1]CURSOS!$E$14,(+IF($N30=[1]CURSOS!$D$15,[1]CURSOS!$E$15,(+IF($N30=[1]CURSOS!$D$16,[1]CURSOS!$E$16,(+IF($N30=[1]CURSOS!$D$17,[1]CURSOS!$E$17,(+IF($N30=[1]CURSOS!$D$18,[1]CURSOS!$E$18,(+IF($N30=[1]CURSOS!$D$19,[1]CURSOS!$E$19,(+IF($N30=[1]CURSOS!$D$20,[1]CURSOS!$E$20,(+IF($N30=[1]CURSOS!$D$21,[1]CURSOS!$E$21,(+IF($N30=[1]CURSOS!$D$22,[1]CURSOS!$E$22,(+IF($N30=[1]CURSOS!$D$23,[1]CURSOS!$E$23,(+IF($N30=[1]CURSOS!$D$24,[1]CURSOS!$E$24,(+IF($N30=[1]CURSOS!$D$25,[1]CURSOS!$E$25,(+IF($N30=[1]CURSOS!$D$26,[1]CURSOS!$E$26,(+IF($N30=[1]CURSOS!$D$27,[1]CURSOS!$E$27,(+IF($N30=[1]CURSOS!$D$28,[1]CURSOS!$E$28,(+IF($N30=[1]CURSOS!$D$29,[1]CURSOS!$E$29,(+IF($N30=[1]CURSOS!$D$30,[1]CURSOS!$E$30,(+IF($N30=[1]CURSOS!$D$31,[1]CURSOS!$E$31,(+IF($N30=[1]CURSOS!$D$32,[1]CURSOS!$E$32)))))))))))))))))))))))))))))))))))))))))))))))))))))))))))</f>
        <v>PROGRAMADO AMPLIADO DE INMUNIZACION (PAI - COVID 19)</v>
      </c>
      <c r="T30" s="17" t="e">
        <f>CONCATENATE(F30," ",#REF!," ",C30," ",E30)</f>
        <v>#REF!</v>
      </c>
      <c r="U30" s="17" t="e">
        <f t="shared" si="7"/>
        <v>#REF!</v>
      </c>
      <c r="V30" s="17" t="e">
        <f t="shared" si="8"/>
        <v>#REF!</v>
      </c>
    </row>
    <row r="31" spans="1:22" x14ac:dyDescent="0.2">
      <c r="A31" s="17">
        <v>30</v>
      </c>
      <c r="B31" s="17">
        <v>27097891</v>
      </c>
      <c r="C31" s="17" t="s">
        <v>108</v>
      </c>
      <c r="E31" s="17" t="s">
        <v>53</v>
      </c>
      <c r="F31" s="18" t="s">
        <v>109</v>
      </c>
      <c r="G31" s="17">
        <v>6</v>
      </c>
      <c r="H31" s="17" t="s">
        <v>63</v>
      </c>
      <c r="I31" s="19" t="s">
        <v>67</v>
      </c>
      <c r="J31" s="1">
        <v>30000</v>
      </c>
      <c r="K31" s="17" t="s">
        <v>68</v>
      </c>
      <c r="L31" s="17" t="s">
        <v>223</v>
      </c>
      <c r="M31" s="17" t="s">
        <v>93</v>
      </c>
      <c r="N31" s="17" t="s">
        <v>29</v>
      </c>
      <c r="O31" s="20">
        <v>27103</v>
      </c>
      <c r="P31" s="21" t="s">
        <v>42</v>
      </c>
      <c r="Q31" s="17" t="s">
        <v>43</v>
      </c>
      <c r="S31" s="17" t="str">
        <f>+IF($N31=[1]CURSOS!$D$3,[1]CURSOS!$E$3,(+IF($N31=[1]CURSOS!$D$4,[1]CURSOS!$E$4,(+IF($N31=[1]CURSOS!$D$5,[1]CURSOS!$E$5,(+IF($N31=[1]CURSOS!$D$6,[1]CURSOS!$E$6,(+IF($N31=[1]CURSOS!$D$7,[1]CURSOS!$E$7,(+IF($N31=[1]CURSOS!$D$8,[1]CURSOS!$E$8,(+IF($N31=[1]CURSOS!$D$9,[1]CURSOS!$E$9,(+IF($N31=[1]CURSOS!$D$10,[1]CURSOS!$E$10,(+IF($N31=[1]CURSOS!$D$11,[1]CURSOS!$E$11,(+IF($N31=[1]CURSOS!$D$12,[1]CURSOS!$E$12,(+IF($N31=[1]CURSOS!$D$13,[1]CURSOS!$E$13,(+IF($N31=[1]CURSOS!$D$14,[1]CURSOS!$E$14,(+IF($N31=[1]CURSOS!$D$15,[1]CURSOS!$E$15,(+IF($N31=[1]CURSOS!$D$16,[1]CURSOS!$E$16,(+IF($N31=[1]CURSOS!$D$17,[1]CURSOS!$E$17,(+IF($N31=[1]CURSOS!$D$18,[1]CURSOS!$E$18,(+IF($N31=[1]CURSOS!$D$19,[1]CURSOS!$E$19,(+IF($N31=[1]CURSOS!$D$20,[1]CURSOS!$E$20,(+IF($N31=[1]CURSOS!$D$21,[1]CURSOS!$E$21,(+IF($N31=[1]CURSOS!$D$22,[1]CURSOS!$E$22,(+IF($N31=[1]CURSOS!$D$23,[1]CURSOS!$E$23,(+IF($N31=[1]CURSOS!$D$24,[1]CURSOS!$E$24,(+IF($N31=[1]CURSOS!$D$25,[1]CURSOS!$E$25,(+IF($N31=[1]CURSOS!$D$26,[1]CURSOS!$E$26,(+IF($N31=[1]CURSOS!$D$27,[1]CURSOS!$E$27,(+IF($N31=[1]CURSOS!$D$28,[1]CURSOS!$E$28,(+IF($N31=[1]CURSOS!$D$29,[1]CURSOS!$E$29,(+IF($N31=[1]CURSOS!$D$30,[1]CURSOS!$E$30,(+IF($N31=[1]CURSOS!$D$31,[1]CURSOS!$E$31,(+IF($N31=[1]CURSOS!$D$32,[1]CURSOS!$E$32)))))))))))))))))))))))))))))))))))))))))))))))))))))))))))</f>
        <v>ATENCION INTEGRAL EN ENFERMEDADES PREVALENTES EN PRIMERA INFANCIA (AIEPI)</v>
      </c>
      <c r="T31" s="17" t="e">
        <f>CONCATENATE(F31," ",#REF!," ",C31," ",E31)</f>
        <v>#REF!</v>
      </c>
      <c r="U31" s="17" t="e">
        <f t="shared" si="7"/>
        <v>#REF!</v>
      </c>
      <c r="V31" s="17" t="e">
        <f t="shared" si="8"/>
        <v>#REF!</v>
      </c>
    </row>
    <row r="32" spans="1:22" x14ac:dyDescent="0.2">
      <c r="A32" s="17">
        <v>31</v>
      </c>
      <c r="B32" s="17">
        <v>27146489</v>
      </c>
      <c r="C32" s="17" t="s">
        <v>108</v>
      </c>
      <c r="D32" s="17" t="s">
        <v>110</v>
      </c>
      <c r="E32" s="17" t="s">
        <v>111</v>
      </c>
      <c r="F32" s="18" t="s">
        <v>112</v>
      </c>
      <c r="G32" s="17">
        <v>6</v>
      </c>
      <c r="H32" s="17" t="s">
        <v>63</v>
      </c>
      <c r="I32" s="19">
        <v>45328</v>
      </c>
      <c r="J32" s="1">
        <v>75000</v>
      </c>
      <c r="K32" s="17" t="s">
        <v>83</v>
      </c>
      <c r="M32" s="17" t="s">
        <v>40</v>
      </c>
      <c r="N32" s="17" t="s">
        <v>71</v>
      </c>
      <c r="O32" s="20">
        <v>45414</v>
      </c>
      <c r="P32" s="21" t="s">
        <v>42</v>
      </c>
      <c r="Q32" s="17" t="s">
        <v>43</v>
      </c>
      <c r="R32" s="17">
        <v>3123090529</v>
      </c>
      <c r="S32" s="17" t="str">
        <f>+IF($N32=[1]CURSOS!$D$3,[1]CURSOS!$E$3,(+IF($N32=[1]CURSOS!$D$4,[1]CURSOS!$E$4,(+IF($N32=[1]CURSOS!$D$5,[1]CURSOS!$E$5,(+IF($N32=[1]CURSOS!$D$6,[1]CURSOS!$E$6,(+IF($N32=[1]CURSOS!$D$7,[1]CURSOS!$E$7,(+IF($N32=[1]CURSOS!$D$8,[1]CURSOS!$E$8,(+IF($N32=[1]CURSOS!$D$9,[1]CURSOS!$E$9,(+IF($N32=[1]CURSOS!$D$10,[1]CURSOS!$E$10,(+IF($N32=[1]CURSOS!$D$11,[1]CURSOS!$E$11,(+IF($N32=[1]CURSOS!$D$12,[1]CURSOS!$E$12,(+IF($N32=[1]CURSOS!$D$13,[1]CURSOS!$E$13,(+IF($N32=[1]CURSOS!$D$14,[1]CURSOS!$E$14,(+IF($N32=[1]CURSOS!$D$15,[1]CURSOS!$E$15,(+IF($N32=[1]CURSOS!$D$16,[1]CURSOS!$E$16,(+IF($N32=[1]CURSOS!$D$17,[1]CURSOS!$E$17,(+IF($N32=[1]CURSOS!$D$18,[1]CURSOS!$E$18,(+IF($N32=[1]CURSOS!$D$19,[1]CURSOS!$E$19,(+IF($N32=[1]CURSOS!$D$20,[1]CURSOS!$E$20,(+IF($N32=[1]CURSOS!$D$21,[1]CURSOS!$E$21,(+IF($N32=[1]CURSOS!$D$22,[1]CURSOS!$E$22,(+IF($N32=[1]CURSOS!$D$23,[1]CURSOS!$E$23,(+IF($N32=[1]CURSOS!$D$24,[1]CURSOS!$E$24,(+IF($N32=[1]CURSOS!$D$25,[1]CURSOS!$E$25,(+IF($N32=[1]CURSOS!$D$26,[1]CURSOS!$E$26,(+IF($N32=[1]CURSOS!$D$27,[1]CURSOS!$E$27,(+IF($N32=[1]CURSOS!$D$28,[1]CURSOS!$E$28,(+IF($N32=[1]CURSOS!$D$29,[1]CURSOS!$E$29,(+IF($N32=[1]CURSOS!$D$30,[1]CURSOS!$E$30,(+IF($N32=[1]CURSOS!$D$31,[1]CURSOS!$E$31,(+IF($N32=[1]CURSOS!$D$32,[1]CURSOS!$E$32)))))))))))))))))))))))))))))))))))))))))))))))))))))))))))</f>
        <v xml:space="preserve">HUMANIZACION EN SALUD, BUENAS PRACTICAS EN PACIENTE </v>
      </c>
      <c r="T32" s="17" t="str">
        <f t="shared" si="6"/>
        <v>Neira Jimena Castillo Armero</v>
      </c>
      <c r="U32" s="17" t="str">
        <f t="shared" si="7"/>
        <v>Neira Jimena Castillo Armero</v>
      </c>
      <c r="V32" s="17" t="str">
        <f t="shared" si="8"/>
        <v>Neira Jimena Castillo Armero-27146489-Humanizacion</v>
      </c>
    </row>
    <row r="33" spans="1:22" x14ac:dyDescent="0.2">
      <c r="A33" s="17">
        <v>32</v>
      </c>
      <c r="B33" s="17">
        <v>1061782977</v>
      </c>
      <c r="C33" s="17" t="s">
        <v>113</v>
      </c>
      <c r="D33" s="17" t="s">
        <v>110</v>
      </c>
      <c r="E33" s="17" t="s">
        <v>114</v>
      </c>
      <c r="F33" s="18" t="s">
        <v>115</v>
      </c>
      <c r="G33" s="17">
        <v>5</v>
      </c>
      <c r="H33" s="17" t="s">
        <v>63</v>
      </c>
      <c r="I33" s="19">
        <v>45329</v>
      </c>
      <c r="J33" s="1">
        <v>50000</v>
      </c>
      <c r="K33" s="17" t="s">
        <v>83</v>
      </c>
      <c r="M33" s="17" t="s">
        <v>40</v>
      </c>
      <c r="N33" s="17" t="s">
        <v>30</v>
      </c>
      <c r="O33" s="20">
        <v>34899</v>
      </c>
      <c r="P33" s="21" t="s">
        <v>42</v>
      </c>
      <c r="R33" s="17">
        <v>3182634546</v>
      </c>
      <c r="S33" s="17" t="str">
        <f>+IF($N33=[1]CURSOS!$D$3,[1]CURSOS!$E$3,(+IF($N33=[1]CURSOS!$D$4,[1]CURSOS!$E$4,(+IF($N33=[1]CURSOS!$D$5,[1]CURSOS!$E$5,(+IF($N33=[1]CURSOS!$D$6,[1]CURSOS!$E$6,(+IF($N33=[1]CURSOS!$D$7,[1]CURSOS!$E$7,(+IF($N33=[1]CURSOS!$D$8,[1]CURSOS!$E$8,(+IF($N33=[1]CURSOS!$D$9,[1]CURSOS!$E$9,(+IF($N33=[1]CURSOS!$D$10,[1]CURSOS!$E$10,(+IF($N33=[1]CURSOS!$D$11,[1]CURSOS!$E$11,(+IF($N33=[1]CURSOS!$D$12,[1]CURSOS!$E$12,(+IF($N33=[1]CURSOS!$D$13,[1]CURSOS!$E$13,(+IF($N33=[1]CURSOS!$D$14,[1]CURSOS!$E$14,(+IF($N33=[1]CURSOS!$D$15,[1]CURSOS!$E$15,(+IF($N33=[1]CURSOS!$D$16,[1]CURSOS!$E$16,(+IF($N33=[1]CURSOS!$D$17,[1]CURSOS!$E$17,(+IF($N33=[1]CURSOS!$D$18,[1]CURSOS!$E$18,(+IF($N33=[1]CURSOS!$D$19,[1]CURSOS!$E$19,(+IF($N33=[1]CURSOS!$D$20,[1]CURSOS!$E$20,(+IF($N33=[1]CURSOS!$D$21,[1]CURSOS!$E$21,(+IF($N33=[1]CURSOS!$D$22,[1]CURSOS!$E$22,(+IF($N33=[1]CURSOS!$D$23,[1]CURSOS!$E$23,(+IF($N33=[1]CURSOS!$D$24,[1]CURSOS!$E$24,(+IF($N33=[1]CURSOS!$D$25,[1]CURSOS!$E$25,(+IF($N33=[1]CURSOS!$D$26,[1]CURSOS!$E$26,(+IF($N33=[1]CURSOS!$D$27,[1]CURSOS!$E$27,(+IF($N33=[1]CURSOS!$D$28,[1]CURSOS!$E$28,(+IF($N33=[1]CURSOS!$D$29,[1]CURSOS!$E$29,(+IF($N33=[1]CURSOS!$D$30,[1]CURSOS!$E$30,(+IF($N33=[1]CURSOS!$D$31,[1]CURSOS!$E$31,(+IF($N33=[1]CURSOS!$D$32,[1]CURSOS!$E$32)))))))))))))))))))))))))))))))))))))))))))))))))))))))))))</f>
        <v xml:space="preserve">ADMINISTRACION DE MEDICAMENTOS, INYECTOLOGIA  Y CANALIZACION </v>
      </c>
      <c r="T33" s="17" t="str">
        <f t="shared" si="6"/>
        <v>Angie Tatiana Artunduaga Armero</v>
      </c>
      <c r="U33" s="17" t="str">
        <f t="shared" si="7"/>
        <v>Angie Tatiana Artunduaga Armero</v>
      </c>
      <c r="V33" s="17" t="str">
        <f t="shared" si="8"/>
        <v>Angie Tatiana Artunduaga Armero-1061782977-ADMON DE MEDICAMENTOS</v>
      </c>
    </row>
    <row r="34" spans="1:22" x14ac:dyDescent="0.2">
      <c r="A34" s="17">
        <v>33</v>
      </c>
      <c r="B34" s="17">
        <v>1085341271</v>
      </c>
      <c r="C34" s="17" t="s">
        <v>116</v>
      </c>
      <c r="D34" s="17" t="s">
        <v>117</v>
      </c>
      <c r="E34" s="17" t="s">
        <v>118</v>
      </c>
      <c r="F34" s="18" t="s">
        <v>119</v>
      </c>
      <c r="G34" s="17">
        <v>6</v>
      </c>
      <c r="H34" s="17" t="s">
        <v>63</v>
      </c>
      <c r="I34" s="19">
        <v>45328</v>
      </c>
      <c r="J34" s="1">
        <v>50000</v>
      </c>
      <c r="K34" s="17" t="s">
        <v>83</v>
      </c>
      <c r="M34" s="17" t="s">
        <v>40</v>
      </c>
      <c r="N34" s="17" t="s">
        <v>92</v>
      </c>
      <c r="O34" s="20">
        <v>35986</v>
      </c>
      <c r="P34" s="21" t="s">
        <v>42</v>
      </c>
      <c r="Q34" s="17" t="s">
        <v>43</v>
      </c>
      <c r="R34" s="17">
        <v>3163807983</v>
      </c>
      <c r="S34" s="17" t="s">
        <v>92</v>
      </c>
      <c r="T34" s="17" t="str">
        <f t="shared" si="6"/>
        <v>Jessica Karina Achicanoy Ortiz</v>
      </c>
      <c r="U34" s="17" t="str">
        <f t="shared" si="7"/>
        <v>Jessica Karina Achicanoy Ortiz</v>
      </c>
      <c r="V34" s="17" t="str">
        <f t="shared" si="8"/>
        <v>Jessica Karina Achicanoy Ortiz-1085341271-CUIDADO AL PACIENTE DONANTE</v>
      </c>
    </row>
    <row r="35" spans="1:22" x14ac:dyDescent="0.2">
      <c r="A35" s="17">
        <v>34</v>
      </c>
      <c r="B35" s="17">
        <v>27219697</v>
      </c>
      <c r="C35" s="17" t="s">
        <v>120</v>
      </c>
      <c r="D35" s="17" t="s">
        <v>69</v>
      </c>
      <c r="E35" s="17" t="s">
        <v>121</v>
      </c>
      <c r="F35" s="18" t="s">
        <v>122</v>
      </c>
      <c r="G35" s="17">
        <v>7</v>
      </c>
      <c r="H35" s="17" t="s">
        <v>63</v>
      </c>
      <c r="I35" s="19">
        <v>45329</v>
      </c>
      <c r="J35" s="1">
        <v>40000</v>
      </c>
      <c r="K35" s="17" t="s">
        <v>83</v>
      </c>
      <c r="L35" s="17" t="s">
        <v>222</v>
      </c>
      <c r="M35" s="17" t="s">
        <v>40</v>
      </c>
      <c r="N35" s="17" t="s">
        <v>22</v>
      </c>
      <c r="O35" s="20">
        <v>24531</v>
      </c>
      <c r="P35" s="21" t="s">
        <v>42</v>
      </c>
      <c r="S35" s="17" t="str">
        <f>+IF($N35=[1]CURSOS!$D$3,[1]CURSOS!$E$3,(+IF($N35=[1]CURSOS!$D$4,[1]CURSOS!$E$4,(+IF($N35=[1]CURSOS!$D$5,[1]CURSOS!$E$5,(+IF($N35=[1]CURSOS!$D$6,[1]CURSOS!$E$6,(+IF($N35=[1]CURSOS!$D$7,[1]CURSOS!$E$7,(+IF($N35=[1]CURSOS!$D$8,[1]CURSOS!$E$8,(+IF($N35=[1]CURSOS!$D$9,[1]CURSOS!$E$9,(+IF($N35=[1]CURSOS!$D$10,[1]CURSOS!$E$10,(+IF($N35=[1]CURSOS!$D$11,[1]CURSOS!$E$11,(+IF($N35=[1]CURSOS!$D$12,[1]CURSOS!$E$12,(+IF($N35=[1]CURSOS!$D$13,[1]CURSOS!$E$13,(+IF($N35=[1]CURSOS!$D$14,[1]CURSOS!$E$14,(+IF($N35=[1]CURSOS!$D$15,[1]CURSOS!$E$15,(+IF($N35=[1]CURSOS!$D$16,[1]CURSOS!$E$16,(+IF($N35=[1]CURSOS!$D$17,[1]CURSOS!$E$17,(+IF($N35=[1]CURSOS!$D$18,[1]CURSOS!$E$18,(+IF($N35=[1]CURSOS!$D$19,[1]CURSOS!$E$19,(+IF($N35=[1]CURSOS!$D$20,[1]CURSOS!$E$20,(+IF($N35=[1]CURSOS!$D$21,[1]CURSOS!$E$21,(+IF($N35=[1]CURSOS!$D$22,[1]CURSOS!$E$22,(+IF($N35=[1]CURSOS!$D$23,[1]CURSOS!$E$23,(+IF($N35=[1]CURSOS!$D$24,[1]CURSOS!$E$24,(+IF($N35=[1]CURSOS!$D$25,[1]CURSOS!$E$25,(+IF($N35=[1]CURSOS!$D$26,[1]CURSOS!$E$26,(+IF($N35=[1]CURSOS!$D$27,[1]CURSOS!$E$27,(+IF($N35=[1]CURSOS!$D$28,[1]CURSOS!$E$28,(+IF($N35=[1]CURSOS!$D$29,[1]CURSOS!$E$29,(+IF($N35=[1]CURSOS!$D$30,[1]CURSOS!$E$30,(+IF($N35=[1]CURSOS!$D$31,[1]CURSOS!$E$31,(+IF($N35=[1]CURSOS!$D$32,[1]CURSOS!$E$32)))))))))))))))))))))))))))))))))))))))))))))))))))))))))))</f>
        <v>PRIMEROS AUXILIOS</v>
      </c>
      <c r="T35" s="17" t="str">
        <f t="shared" si="6"/>
        <v>Nancy Magaly Melo Pantoja</v>
      </c>
      <c r="U35" s="17" t="str">
        <f t="shared" si="7"/>
        <v>Nancy Magaly Melo Pantoja</v>
      </c>
      <c r="V35" s="17" t="str">
        <f t="shared" si="8"/>
        <v>Nancy Magaly Melo Pantoja-27219697-PRIMEROS AUXILIOS</v>
      </c>
    </row>
    <row r="36" spans="1:22" x14ac:dyDescent="0.2">
      <c r="A36" s="17">
        <v>36</v>
      </c>
      <c r="B36" s="17">
        <v>1085296847</v>
      </c>
      <c r="C36" s="17" t="s">
        <v>124</v>
      </c>
      <c r="D36" s="17" t="s">
        <v>125</v>
      </c>
      <c r="E36" s="17" t="s">
        <v>126</v>
      </c>
      <c r="F36" s="18" t="s">
        <v>127</v>
      </c>
      <c r="G36" s="17">
        <v>8</v>
      </c>
      <c r="H36" s="17" t="s">
        <v>63</v>
      </c>
      <c r="I36" s="19">
        <v>45328</v>
      </c>
      <c r="J36" s="1">
        <v>45000</v>
      </c>
      <c r="K36" s="17" t="s">
        <v>83</v>
      </c>
      <c r="L36" s="17" t="s">
        <v>222</v>
      </c>
      <c r="M36" s="17" t="s">
        <v>40</v>
      </c>
      <c r="N36" s="17" t="s">
        <v>19</v>
      </c>
      <c r="O36" s="20">
        <v>33731</v>
      </c>
      <c r="P36" s="21" t="s">
        <v>39</v>
      </c>
      <c r="S36" s="17" t="str">
        <f>+IF($N36=[1]CURSOS!$D$3,[1]CURSOS!$E$3,(+IF($N36=[1]CURSOS!$D$4,[1]CURSOS!$E$4,(+IF($N36=[1]CURSOS!$D$5,[1]CURSOS!$E$5,(+IF($N36=[1]CURSOS!$D$6,[1]CURSOS!$E$6,(+IF($N36=[1]CURSOS!$D$7,[1]CURSOS!$E$7,(+IF($N36=[1]CURSOS!$D$8,[1]CURSOS!$E$8,(+IF($N36=[1]CURSOS!$D$9,[1]CURSOS!$E$9,(+IF($N36=[1]CURSOS!$D$10,[1]CURSOS!$E$10,(+IF($N36=[1]CURSOS!$D$11,[1]CURSOS!$E$11,(+IF($N36=[1]CURSOS!$D$12,[1]CURSOS!$E$12,(+IF($N36=[1]CURSOS!$D$13,[1]CURSOS!$E$13,(+IF($N36=[1]CURSOS!$D$14,[1]CURSOS!$E$14,(+IF($N36=[1]CURSOS!$D$15,[1]CURSOS!$E$15,(+IF($N36=[1]CURSOS!$D$16,[1]CURSOS!$E$16,(+IF($N36=[1]CURSOS!$D$17,[1]CURSOS!$E$17,(+IF($N36=[1]CURSOS!$D$18,[1]CURSOS!$E$18,(+IF($N36=[1]CURSOS!$D$19,[1]CURSOS!$E$19,(+IF($N36=[1]CURSOS!$D$20,[1]CURSOS!$E$20,(+IF($N36=[1]CURSOS!$D$21,[1]CURSOS!$E$21,(+IF($N36=[1]CURSOS!$D$22,[1]CURSOS!$E$22,(+IF($N36=[1]CURSOS!$D$23,[1]CURSOS!$E$23,(+IF($N36=[1]CURSOS!$D$24,[1]CURSOS!$E$24,(+IF($N36=[1]CURSOS!$D$25,[1]CURSOS!$E$25,(+IF($N36=[1]CURSOS!$D$26,[1]CURSOS!$E$26,(+IF($N36=[1]CURSOS!$D$27,[1]CURSOS!$E$27,(+IF($N36=[1]CURSOS!$D$28,[1]CURSOS!$E$28,(+IF($N36=[1]CURSOS!$D$29,[1]CURSOS!$E$29,(+IF($N36=[1]CURSOS!$D$30,[1]CURSOS!$E$30,(+IF($N36=[1]CURSOS!$D$31,[1]CURSOS!$E$31,(+IF($N36=[1]CURSOS!$D$32,[1]CURSOS!$E$32)))))))))))))))))))))))))))))))))))))))))))))))))))))))))))</f>
        <v>SOPORTE VITAL BASICO (BLS)</v>
      </c>
      <c r="T36" s="17" t="str">
        <f t="shared" ref="T36:T39" si="9">CONCATENATE(E36," ",F36," ",C36," ",D36)</f>
        <v>William Fabian Ceron Sanchez</v>
      </c>
      <c r="U36" s="17" t="str">
        <f t="shared" ref="U36:U39" si="10">+PROPER(T36)</f>
        <v>William Fabian Ceron Sanchez</v>
      </c>
      <c r="V36" s="17" t="str">
        <f t="shared" ref="V36:V39" si="11">CONCATENATE(T36,"-",B36,"-",N36)</f>
        <v>William Fabian Ceron Sanchez-1085296847-BLS</v>
      </c>
    </row>
    <row r="37" spans="1:22" x14ac:dyDescent="0.2">
      <c r="A37" s="17">
        <v>37</v>
      </c>
      <c r="B37" s="17">
        <v>1085278502</v>
      </c>
      <c r="C37" s="17" t="s">
        <v>128</v>
      </c>
      <c r="D37" s="17" t="s">
        <v>129</v>
      </c>
      <c r="E37" s="17" t="s">
        <v>130</v>
      </c>
      <c r="F37" s="18" t="s">
        <v>131</v>
      </c>
      <c r="G37" s="17">
        <v>8</v>
      </c>
      <c r="H37" s="17" t="s">
        <v>63</v>
      </c>
      <c r="I37" s="19">
        <v>45328</v>
      </c>
      <c r="J37" s="1">
        <v>45000</v>
      </c>
      <c r="K37" s="17" t="s">
        <v>83</v>
      </c>
      <c r="L37" s="17" t="s">
        <v>222</v>
      </c>
      <c r="M37" s="17" t="s">
        <v>40</v>
      </c>
      <c r="N37" s="17" t="s">
        <v>19</v>
      </c>
      <c r="O37" s="20">
        <v>32809</v>
      </c>
      <c r="P37" s="21" t="s">
        <v>39</v>
      </c>
      <c r="S37" s="17" t="str">
        <f>+IF($N37=[1]CURSOS!$D$3,[1]CURSOS!$E$3,(+IF($N37=[1]CURSOS!$D$4,[1]CURSOS!$E$4,(+IF($N37=[1]CURSOS!$D$5,[1]CURSOS!$E$5,(+IF($N37=[1]CURSOS!$D$6,[1]CURSOS!$E$6,(+IF($N37=[1]CURSOS!$D$7,[1]CURSOS!$E$7,(+IF($N37=[1]CURSOS!$D$8,[1]CURSOS!$E$8,(+IF($N37=[1]CURSOS!$D$9,[1]CURSOS!$E$9,(+IF($N37=[1]CURSOS!$D$10,[1]CURSOS!$E$10,(+IF($N37=[1]CURSOS!$D$11,[1]CURSOS!$E$11,(+IF($N37=[1]CURSOS!$D$12,[1]CURSOS!$E$12,(+IF($N37=[1]CURSOS!$D$13,[1]CURSOS!$E$13,(+IF($N37=[1]CURSOS!$D$14,[1]CURSOS!$E$14,(+IF($N37=[1]CURSOS!$D$15,[1]CURSOS!$E$15,(+IF($N37=[1]CURSOS!$D$16,[1]CURSOS!$E$16,(+IF($N37=[1]CURSOS!$D$17,[1]CURSOS!$E$17,(+IF($N37=[1]CURSOS!$D$18,[1]CURSOS!$E$18,(+IF($N37=[1]CURSOS!$D$19,[1]CURSOS!$E$19,(+IF($N37=[1]CURSOS!$D$20,[1]CURSOS!$E$20,(+IF($N37=[1]CURSOS!$D$21,[1]CURSOS!$E$21,(+IF($N37=[1]CURSOS!$D$22,[1]CURSOS!$E$22,(+IF($N37=[1]CURSOS!$D$23,[1]CURSOS!$E$23,(+IF($N37=[1]CURSOS!$D$24,[1]CURSOS!$E$24,(+IF($N37=[1]CURSOS!$D$25,[1]CURSOS!$E$25,(+IF($N37=[1]CURSOS!$D$26,[1]CURSOS!$E$26,(+IF($N37=[1]CURSOS!$D$27,[1]CURSOS!$E$27,(+IF($N37=[1]CURSOS!$D$28,[1]CURSOS!$E$28,(+IF($N37=[1]CURSOS!$D$29,[1]CURSOS!$E$29,(+IF($N37=[1]CURSOS!$D$30,[1]CURSOS!$E$30,(+IF($N37=[1]CURSOS!$D$31,[1]CURSOS!$E$31,(+IF($N37=[1]CURSOS!$D$32,[1]CURSOS!$E$32)))))))))))))))))))))))))))))))))))))))))))))))))))))))))))</f>
        <v>SOPORTE VITAL BASICO (BLS)</v>
      </c>
      <c r="T37" s="17" t="str">
        <f t="shared" si="9"/>
        <v>David Bernardo Ruiz Chamorro</v>
      </c>
      <c r="U37" s="17" t="str">
        <f t="shared" si="10"/>
        <v>David Bernardo Ruiz Chamorro</v>
      </c>
      <c r="V37" s="17" t="str">
        <f t="shared" si="11"/>
        <v>David Bernardo Ruiz Chamorro-1085278502-BLS</v>
      </c>
    </row>
    <row r="38" spans="1:22" x14ac:dyDescent="0.2">
      <c r="A38" s="17">
        <v>38</v>
      </c>
      <c r="B38" s="17">
        <v>1085296863</v>
      </c>
      <c r="C38" s="17" t="s">
        <v>133</v>
      </c>
      <c r="D38" s="17" t="s">
        <v>134</v>
      </c>
      <c r="E38" s="17" t="s">
        <v>53</v>
      </c>
      <c r="F38" s="18" t="s">
        <v>107</v>
      </c>
      <c r="G38" s="17">
        <v>8</v>
      </c>
      <c r="H38" s="17" t="s">
        <v>63</v>
      </c>
      <c r="I38" s="19" t="s">
        <v>67</v>
      </c>
      <c r="J38" s="1">
        <v>30000</v>
      </c>
      <c r="K38" s="17" t="s">
        <v>68</v>
      </c>
      <c r="L38" s="17" t="s">
        <v>222</v>
      </c>
      <c r="M38" s="17" t="s">
        <v>209</v>
      </c>
      <c r="N38" s="17" t="s">
        <v>27</v>
      </c>
      <c r="O38" s="20">
        <v>33745</v>
      </c>
      <c r="P38" s="21" t="s">
        <v>42</v>
      </c>
      <c r="S38" s="17" t="str">
        <f>+IF($N38=[1]CURSOS!$D$3,[1]CURSOS!$E$3,(+IF($N38=[1]CURSOS!$D$4,[1]CURSOS!$E$4,(+IF($N38=[1]CURSOS!$D$5,[1]CURSOS!$E$5,(+IF($N38=[1]CURSOS!$D$6,[1]CURSOS!$E$6,(+IF($N38=[1]CURSOS!$D$7,[1]CURSOS!$E$7,(+IF($N38=[1]CURSOS!$D$8,[1]CURSOS!$E$8,(+IF($N38=[1]CURSOS!$D$9,[1]CURSOS!$E$9,(+IF($N38=[1]CURSOS!$D$10,[1]CURSOS!$E$10,(+IF($N38=[1]CURSOS!$D$11,[1]CURSOS!$E$11,(+IF($N38=[1]CURSOS!$D$12,[1]CURSOS!$E$12,(+IF($N38=[1]CURSOS!$D$13,[1]CURSOS!$E$13,(+IF($N38=[1]CURSOS!$D$14,[1]CURSOS!$E$14,(+IF($N38=[1]CURSOS!$D$15,[1]CURSOS!$E$15,(+IF($N38=[1]CURSOS!$D$16,[1]CURSOS!$E$16,(+IF($N38=[1]CURSOS!$D$17,[1]CURSOS!$E$17,(+IF($N38=[1]CURSOS!$D$18,[1]CURSOS!$E$18,(+IF($N38=[1]CURSOS!$D$19,[1]CURSOS!$E$19,(+IF($N38=[1]CURSOS!$D$20,[1]CURSOS!$E$20,(+IF($N38=[1]CURSOS!$D$21,[1]CURSOS!$E$21,(+IF($N38=[1]CURSOS!$D$22,[1]CURSOS!$E$22,(+IF($N38=[1]CURSOS!$D$23,[1]CURSOS!$E$23,(+IF($N38=[1]CURSOS!$D$24,[1]CURSOS!$E$24,(+IF($N38=[1]CURSOS!$D$25,[1]CURSOS!$E$25,(+IF($N38=[1]CURSOS!$D$26,[1]CURSOS!$E$26,(+IF($N38=[1]CURSOS!$D$27,[1]CURSOS!$E$27,(+IF($N38=[1]CURSOS!$D$28,[1]CURSOS!$E$28,(+IF($N38=[1]CURSOS!$D$29,[1]CURSOS!$E$29,(+IF($N38=[1]CURSOS!$D$30,[1]CURSOS!$E$30,(+IF($N38=[1]CURSOS!$D$31,[1]CURSOS!$E$31,(+IF($N38=[1]CURSOS!$D$32,[1]CURSOS!$E$32)))))))))))))))))))))))))))))))))))))))))))))))))))))))))))</f>
        <v xml:space="preserve">ATENCION A VICTIMAS DE VIOLENCIA SEXUAL </v>
      </c>
      <c r="T38" s="17" t="str">
        <f t="shared" si="9"/>
        <v>Maria Alejandra Jimenez Criollo</v>
      </c>
      <c r="U38" s="17" t="str">
        <f t="shared" si="10"/>
        <v>Maria Alejandra Jimenez Criollo</v>
      </c>
      <c r="V38" s="17" t="str">
        <f t="shared" si="11"/>
        <v>Maria Alejandra Jimenez Criollo-1085296863-VIOLENCIA SEXUAL</v>
      </c>
    </row>
    <row r="39" spans="1:22" x14ac:dyDescent="0.2">
      <c r="A39" s="17">
        <v>39</v>
      </c>
      <c r="B39" s="17">
        <v>1085296863</v>
      </c>
      <c r="C39" s="17" t="s">
        <v>133</v>
      </c>
      <c r="D39" s="17" t="s">
        <v>134</v>
      </c>
      <c r="E39" s="17" t="s">
        <v>53</v>
      </c>
      <c r="F39" s="18" t="s">
        <v>107</v>
      </c>
      <c r="G39" s="17">
        <v>8</v>
      </c>
      <c r="H39" s="17" t="s">
        <v>63</v>
      </c>
      <c r="I39" s="19" t="s">
        <v>67</v>
      </c>
      <c r="J39" s="1">
        <v>30000</v>
      </c>
      <c r="K39" s="17" t="s">
        <v>68</v>
      </c>
      <c r="L39" s="17" t="s">
        <v>222</v>
      </c>
      <c r="M39" s="17" t="s">
        <v>209</v>
      </c>
      <c r="N39" s="17" t="s">
        <v>19</v>
      </c>
      <c r="O39" s="20">
        <v>33745</v>
      </c>
      <c r="P39" s="21" t="s">
        <v>42</v>
      </c>
      <c r="S39" s="17" t="str">
        <f>+IF($N39=[1]CURSOS!$D$3,[1]CURSOS!$E$3,(+IF($N39=[1]CURSOS!$D$4,[1]CURSOS!$E$4,(+IF($N39=[1]CURSOS!$D$5,[1]CURSOS!$E$5,(+IF($N39=[1]CURSOS!$D$6,[1]CURSOS!$E$6,(+IF($N39=[1]CURSOS!$D$7,[1]CURSOS!$E$7,(+IF($N39=[1]CURSOS!$D$8,[1]CURSOS!$E$8,(+IF($N39=[1]CURSOS!$D$9,[1]CURSOS!$E$9,(+IF($N39=[1]CURSOS!$D$10,[1]CURSOS!$E$10,(+IF($N39=[1]CURSOS!$D$11,[1]CURSOS!$E$11,(+IF($N39=[1]CURSOS!$D$12,[1]CURSOS!$E$12,(+IF($N39=[1]CURSOS!$D$13,[1]CURSOS!$E$13,(+IF($N39=[1]CURSOS!$D$14,[1]CURSOS!$E$14,(+IF($N39=[1]CURSOS!$D$15,[1]CURSOS!$E$15,(+IF($N39=[1]CURSOS!$D$16,[1]CURSOS!$E$16,(+IF($N39=[1]CURSOS!$D$17,[1]CURSOS!$E$17,(+IF($N39=[1]CURSOS!$D$18,[1]CURSOS!$E$18,(+IF($N39=[1]CURSOS!$D$19,[1]CURSOS!$E$19,(+IF($N39=[1]CURSOS!$D$20,[1]CURSOS!$E$20,(+IF($N39=[1]CURSOS!$D$21,[1]CURSOS!$E$21,(+IF($N39=[1]CURSOS!$D$22,[1]CURSOS!$E$22,(+IF($N39=[1]CURSOS!$D$23,[1]CURSOS!$E$23,(+IF($N39=[1]CURSOS!$D$24,[1]CURSOS!$E$24,(+IF($N39=[1]CURSOS!$D$25,[1]CURSOS!$E$25,(+IF($N39=[1]CURSOS!$D$26,[1]CURSOS!$E$26,(+IF($N39=[1]CURSOS!$D$27,[1]CURSOS!$E$27,(+IF($N39=[1]CURSOS!$D$28,[1]CURSOS!$E$28,(+IF($N39=[1]CURSOS!$D$29,[1]CURSOS!$E$29,(+IF($N39=[1]CURSOS!$D$30,[1]CURSOS!$E$30,(+IF($N39=[1]CURSOS!$D$31,[1]CURSOS!$E$31,(+IF($N39=[1]CURSOS!$D$32,[1]CURSOS!$E$32)))))))))))))))))))))))))))))))))))))))))))))))))))))))))))</f>
        <v>SOPORTE VITAL BASICO (BLS)</v>
      </c>
      <c r="T39" s="17" t="str">
        <f t="shared" si="9"/>
        <v>Maria Alejandra Jimenez Criollo</v>
      </c>
      <c r="U39" s="17" t="str">
        <f t="shared" si="10"/>
        <v>Maria Alejandra Jimenez Criollo</v>
      </c>
      <c r="V39" s="17" t="str">
        <f t="shared" si="11"/>
        <v>Maria Alejandra Jimenez Criollo-1085296863-BLS</v>
      </c>
    </row>
    <row r="40" spans="1:22" x14ac:dyDescent="0.2">
      <c r="A40" s="17">
        <v>40</v>
      </c>
      <c r="B40" s="17">
        <v>1085296863</v>
      </c>
      <c r="C40" s="17" t="s">
        <v>133</v>
      </c>
      <c r="D40" s="17" t="s">
        <v>134</v>
      </c>
      <c r="E40" s="17" t="s">
        <v>53</v>
      </c>
      <c r="F40" s="18" t="s">
        <v>107</v>
      </c>
      <c r="G40" s="17">
        <v>8</v>
      </c>
      <c r="H40" s="17" t="s">
        <v>63</v>
      </c>
      <c r="I40" s="19" t="s">
        <v>67</v>
      </c>
      <c r="J40" s="1">
        <v>30000</v>
      </c>
      <c r="K40" s="17" t="s">
        <v>68</v>
      </c>
      <c r="L40" s="17" t="s">
        <v>222</v>
      </c>
      <c r="M40" s="17" t="s">
        <v>209</v>
      </c>
      <c r="N40" s="17" t="s">
        <v>26</v>
      </c>
      <c r="O40" s="20">
        <v>33745</v>
      </c>
      <c r="P40" s="21" t="s">
        <v>42</v>
      </c>
      <c r="S40" s="17" t="str">
        <f>+IF($N40=[1]CURSOS!$D$3,[1]CURSOS!$E$3,(+IF($N40=[1]CURSOS!$D$4,[1]CURSOS!$E$4,(+IF($N40=[1]CURSOS!$D$5,[1]CURSOS!$E$5,(+IF($N40=[1]CURSOS!$D$6,[1]CURSOS!$E$6,(+IF($N40=[1]CURSOS!$D$7,[1]CURSOS!$E$7,(+IF($N40=[1]CURSOS!$D$8,[1]CURSOS!$E$8,(+IF($N40=[1]CURSOS!$D$9,[1]CURSOS!$E$9,(+IF($N40=[1]CURSOS!$D$10,[1]CURSOS!$E$10,(+IF($N40=[1]CURSOS!$D$11,[1]CURSOS!$E$11,(+IF($N40=[1]CURSOS!$D$12,[1]CURSOS!$E$12,(+IF($N40=[1]CURSOS!$D$13,[1]CURSOS!$E$13,(+IF($N40=[1]CURSOS!$D$14,[1]CURSOS!$E$14,(+IF($N40=[1]CURSOS!$D$15,[1]CURSOS!$E$15,(+IF($N40=[1]CURSOS!$D$16,[1]CURSOS!$E$16,(+IF($N40=[1]CURSOS!$D$17,[1]CURSOS!$E$17,(+IF($N40=[1]CURSOS!$D$18,[1]CURSOS!$E$18,(+IF($N40=[1]CURSOS!$D$19,[1]CURSOS!$E$19,(+IF($N40=[1]CURSOS!$D$20,[1]CURSOS!$E$20,(+IF($N40=[1]CURSOS!$D$21,[1]CURSOS!$E$21,(+IF($N40=[1]CURSOS!$D$22,[1]CURSOS!$E$22,(+IF($N40=[1]CURSOS!$D$23,[1]CURSOS!$E$23,(+IF($N40=[1]CURSOS!$D$24,[1]CURSOS!$E$24,(+IF($N40=[1]CURSOS!$D$25,[1]CURSOS!$E$25,(+IF($N40=[1]CURSOS!$D$26,[1]CURSOS!$E$26,(+IF($N40=[1]CURSOS!$D$27,[1]CURSOS!$E$27,(+IF($N40=[1]CURSOS!$D$28,[1]CURSOS!$E$28,(+IF($N40=[1]CURSOS!$D$29,[1]CURSOS!$E$29,(+IF($N40=[1]CURSOS!$D$30,[1]CURSOS!$E$30,(+IF($N40=[1]CURSOS!$D$31,[1]CURSOS!$E$31,(+IF($N40=[1]CURSOS!$D$32,[1]CURSOS!$E$32)))))))))))))))))))))))))))))))))))))))))))))))))))))))))))</f>
        <v>TOMA MUESTRAS Y LABORATORIO CLINICO</v>
      </c>
      <c r="T40" s="17" t="str">
        <f t="shared" ref="T40:T43" si="12">CONCATENATE(E40," ",F40," ",C40," ",D40)</f>
        <v>Maria Alejandra Jimenez Criollo</v>
      </c>
      <c r="U40" s="17" t="str">
        <f t="shared" ref="U40:U42" si="13">+PROPER(T40)</f>
        <v>Maria Alejandra Jimenez Criollo</v>
      </c>
      <c r="V40" s="17" t="str">
        <f t="shared" ref="V40:V41" si="14">CONCATENATE(T40,"-",B40,"-",N40)</f>
        <v>Maria Alejandra Jimenez Criollo-1085296863-TOMA DE MUESTRAS</v>
      </c>
    </row>
    <row r="41" spans="1:22" x14ac:dyDescent="0.2">
      <c r="A41" s="17">
        <v>41</v>
      </c>
      <c r="B41" s="17">
        <v>1085296863</v>
      </c>
      <c r="C41" s="17" t="s">
        <v>133</v>
      </c>
      <c r="D41" s="17" t="s">
        <v>134</v>
      </c>
      <c r="E41" s="17" t="s">
        <v>53</v>
      </c>
      <c r="F41" s="18" t="s">
        <v>107</v>
      </c>
      <c r="G41" s="17">
        <v>8</v>
      </c>
      <c r="H41" s="17" t="s">
        <v>63</v>
      </c>
      <c r="I41" s="19" t="s">
        <v>67</v>
      </c>
      <c r="J41" s="1">
        <v>30000</v>
      </c>
      <c r="K41" s="17" t="s">
        <v>68</v>
      </c>
      <c r="L41" s="17" t="s">
        <v>222</v>
      </c>
      <c r="M41" s="17" t="s">
        <v>209</v>
      </c>
      <c r="N41" s="17" t="s">
        <v>36</v>
      </c>
      <c r="O41" s="20">
        <v>33745</v>
      </c>
      <c r="P41" s="21" t="s">
        <v>42</v>
      </c>
      <c r="S41" s="17" t="str">
        <f>+IF($N41=[1]CURSOS!$D$3,[1]CURSOS!$E$3,(+IF($N41=[1]CURSOS!$D$4,[1]CURSOS!$E$4,(+IF($N41=[1]CURSOS!$D$5,[1]CURSOS!$E$5,(+IF($N41=[1]CURSOS!$D$6,[1]CURSOS!$E$6,(+IF($N41=[1]CURSOS!$D$7,[1]CURSOS!$E$7,(+IF($N41=[1]CURSOS!$D$8,[1]CURSOS!$E$8,(+IF($N41=[1]CURSOS!$D$9,[1]CURSOS!$E$9,(+IF($N41=[1]CURSOS!$D$10,[1]CURSOS!$E$10,(+IF($N41=[1]CURSOS!$D$11,[1]CURSOS!$E$11,(+IF($N41=[1]CURSOS!$D$12,[1]CURSOS!$E$12,(+IF($N41=[1]CURSOS!$D$13,[1]CURSOS!$E$13,(+IF($N41=[1]CURSOS!$D$14,[1]CURSOS!$E$14,(+IF($N41=[1]CURSOS!$D$15,[1]CURSOS!$E$15,(+IF($N41=[1]CURSOS!$D$16,[1]CURSOS!$E$16,(+IF($N41=[1]CURSOS!$D$17,[1]CURSOS!$E$17,(+IF($N41=[1]CURSOS!$D$18,[1]CURSOS!$E$18,(+IF($N41=[1]CURSOS!$D$19,[1]CURSOS!$E$19,(+IF($N41=[1]CURSOS!$D$20,[1]CURSOS!$E$20,(+IF($N41=[1]CURSOS!$D$21,[1]CURSOS!$E$21,(+IF($N41=[1]CURSOS!$D$22,[1]CURSOS!$E$22,(+IF($N41=[1]CURSOS!$D$23,[1]CURSOS!$E$23,(+IF($N41=[1]CURSOS!$D$24,[1]CURSOS!$E$24,(+IF($N41=[1]CURSOS!$D$25,[1]CURSOS!$E$25,(+IF($N41=[1]CURSOS!$D$26,[1]CURSOS!$E$26,(+IF($N41=[1]CURSOS!$D$27,[1]CURSOS!$E$27,(+IF($N41=[1]CURSOS!$D$28,[1]CURSOS!$E$28,(+IF($N41=[1]CURSOS!$D$29,[1]CURSOS!$E$29,(+IF($N41=[1]CURSOS!$D$30,[1]CURSOS!$E$30,(+IF($N41=[1]CURSOS!$D$31,[1]CURSOS!$E$31,(+IF($N41=[1]CURSOS!$D$32,[1]CURSOS!$E$32)))))))))))))))))))))))))))))))))))))))))))))))))))))))))))</f>
        <v>IMPLANTE SUBDERMICO Y DISPOSITIVO INTRAUTERINO</v>
      </c>
      <c r="T41" s="17" t="str">
        <f t="shared" si="12"/>
        <v>Maria Alejandra Jimenez Criollo</v>
      </c>
      <c r="U41" s="17" t="str">
        <f t="shared" si="13"/>
        <v>Maria Alejandra Jimenez Criollo</v>
      </c>
      <c r="V41" s="17" t="str">
        <f t="shared" si="14"/>
        <v>Maria Alejandra Jimenez Criollo-1085296863-IMPLANTE</v>
      </c>
    </row>
    <row r="42" spans="1:22" ht="12.75" customHeight="1" x14ac:dyDescent="0.2">
      <c r="A42" s="17">
        <v>42</v>
      </c>
      <c r="B42" s="17">
        <v>1085296863</v>
      </c>
      <c r="C42" s="17" t="s">
        <v>133</v>
      </c>
      <c r="D42" s="17" t="s">
        <v>134</v>
      </c>
      <c r="E42" s="17" t="s">
        <v>53</v>
      </c>
      <c r="F42" s="18" t="s">
        <v>107</v>
      </c>
      <c r="G42" s="17">
        <v>8</v>
      </c>
      <c r="H42" s="17" t="s">
        <v>63</v>
      </c>
      <c r="I42" s="19" t="s">
        <v>67</v>
      </c>
      <c r="J42" s="1">
        <v>30000</v>
      </c>
      <c r="K42" s="17" t="s">
        <v>68</v>
      </c>
      <c r="L42" s="17" t="s">
        <v>222</v>
      </c>
      <c r="M42" s="17" t="s">
        <v>209</v>
      </c>
      <c r="N42" s="17" t="s">
        <v>35</v>
      </c>
      <c r="O42" s="20">
        <v>33745</v>
      </c>
      <c r="P42" s="21" t="s">
        <v>42</v>
      </c>
      <c r="S42" s="17" t="str">
        <f>+IF($N42=[1]CURSOS!$D$3,[1]CURSOS!$E$3,(+IF($N42=[1]CURSOS!$D$4,[1]CURSOS!$E$4,(+IF($N42=[1]CURSOS!$D$5,[1]CURSOS!$E$5,(+IF($N42=[1]CURSOS!$D$6,[1]CURSOS!$E$6,(+IF($N42=[1]CURSOS!$D$7,[1]CURSOS!$E$7,(+IF($N42=[1]CURSOS!$D$8,[1]CURSOS!$E$8,(+IF($N42=[1]CURSOS!$D$9,[1]CURSOS!$E$9,(+IF($N42=[1]CURSOS!$D$10,[1]CURSOS!$E$10,(+IF($N42=[1]CURSOS!$D$11,[1]CURSOS!$E$11,(+IF($N42=[1]CURSOS!$D$12,[1]CURSOS!$E$12,(+IF($N42=[1]CURSOS!$D$13,[1]CURSOS!$E$13,(+IF($N42=[1]CURSOS!$D$14,[1]CURSOS!$E$14,(+IF($N42=[1]CURSOS!$D$15,[1]CURSOS!$E$15,(+IF($N42=[1]CURSOS!$D$16,[1]CURSOS!$E$16,(+IF($N42=[1]CURSOS!$D$17,[1]CURSOS!$E$17,(+IF($N42=[1]CURSOS!$D$18,[1]CURSOS!$E$18,(+IF($N42=[1]CURSOS!$D$19,[1]CURSOS!$E$19,(+IF($N42=[1]CURSOS!$D$20,[1]CURSOS!$E$20,(+IF($N42=[1]CURSOS!$D$21,[1]CURSOS!$E$21,(+IF($N42=[1]CURSOS!$D$22,[1]CURSOS!$E$22,(+IF($N42=[1]CURSOS!$D$23,[1]CURSOS!$E$23,(+IF($N42=[1]CURSOS!$D$24,[1]CURSOS!$E$24,(+IF($N42=[1]CURSOS!$D$25,[1]CURSOS!$E$25,(+IF($N42=[1]CURSOS!$D$26,[1]CURSOS!$E$26,(+IF($N42=[1]CURSOS!$D$27,[1]CURSOS!$E$27,(+IF($N42=[1]CURSOS!$D$28,[1]CURSOS!$E$28,(+IF($N42=[1]CURSOS!$D$29,[1]CURSOS!$E$29,(+IF($N42=[1]CURSOS!$D$30,[1]CURSOS!$E$30,(+IF($N42=[1]CURSOS!$D$31,[1]CURSOS!$E$31,(+IF($N42=[1]CURSOS!$D$32,[1]CURSOS!$E$32)))))))))))))))))))))))))))))))))))))))))))))))))))))))))))</f>
        <v>TOMA MUESTRAS Y LABORATORIO POCT</v>
      </c>
      <c r="T42" s="17" t="str">
        <f t="shared" si="12"/>
        <v>Maria Alejandra Jimenez Criollo</v>
      </c>
      <c r="U42" s="17" t="str">
        <f t="shared" si="13"/>
        <v>Maria Alejandra Jimenez Criollo</v>
      </c>
      <c r="V42" s="17" t="str">
        <f>CONCATENATE(T42,"-",B42,"-",N42)</f>
        <v>Maria Alejandra Jimenez Criollo-1085296863-POCT</v>
      </c>
    </row>
    <row r="43" spans="1:22" x14ac:dyDescent="0.2">
      <c r="A43" s="17">
        <v>43</v>
      </c>
      <c r="B43" s="17">
        <v>1085296863</v>
      </c>
      <c r="C43" s="17" t="s">
        <v>133</v>
      </c>
      <c r="D43" s="17" t="s">
        <v>134</v>
      </c>
      <c r="E43" s="17" t="s">
        <v>53</v>
      </c>
      <c r="F43" s="18" t="s">
        <v>107</v>
      </c>
      <c r="G43" s="17">
        <v>8</v>
      </c>
      <c r="H43" s="17" t="s">
        <v>63</v>
      </c>
      <c r="I43" s="19" t="s">
        <v>67</v>
      </c>
      <c r="J43" s="1">
        <v>30000</v>
      </c>
      <c r="K43" s="17" t="s">
        <v>68</v>
      </c>
      <c r="L43" s="17" t="s">
        <v>222</v>
      </c>
      <c r="M43" s="17" t="s">
        <v>209</v>
      </c>
      <c r="N43" s="17" t="s">
        <v>34</v>
      </c>
      <c r="O43" s="20">
        <v>33745</v>
      </c>
      <c r="P43" s="21" t="s">
        <v>42</v>
      </c>
      <c r="S43" s="17" t="str">
        <f>+IF($N43=[1]CURSOS!$D$3,[1]CURSOS!$E$3,(+IF($N43=[1]CURSOS!$D$4,[1]CURSOS!$E$4,(+IF($N43=[1]CURSOS!$D$5,[1]CURSOS!$E$5,(+IF($N43=[1]CURSOS!$D$6,[1]CURSOS!$E$6,(+IF($N43=[1]CURSOS!$D$7,[1]CURSOS!$E$7,(+IF($N43=[1]CURSOS!$D$8,[1]CURSOS!$E$8,(+IF($N43=[1]CURSOS!$D$9,[1]CURSOS!$E$9,(+IF($N43=[1]CURSOS!$D$10,[1]CURSOS!$E$10,(+IF($N43=[1]CURSOS!$D$11,[1]CURSOS!$E$11,(+IF($N43=[1]CURSOS!$D$12,[1]CURSOS!$E$12,(+IF($N43=[1]CURSOS!$D$13,[1]CURSOS!$E$13,(+IF($N43=[1]CURSOS!$D$14,[1]CURSOS!$E$14,(+IF($N43=[1]CURSOS!$D$15,[1]CURSOS!$E$15,(+IF($N43=[1]CURSOS!$D$16,[1]CURSOS!$E$16,(+IF($N43=[1]CURSOS!$D$17,[1]CURSOS!$E$17,(+IF($N43=[1]CURSOS!$D$18,[1]CURSOS!$E$18,(+IF($N43=[1]CURSOS!$D$19,[1]CURSOS!$E$19,(+IF($N43=[1]CURSOS!$D$20,[1]CURSOS!$E$20,(+IF($N43=[1]CURSOS!$D$21,[1]CURSOS!$E$21,(+IF($N43=[1]CURSOS!$D$22,[1]CURSOS!$E$22,(+IF($N43=[1]CURSOS!$D$23,[1]CURSOS!$E$23,(+IF($N43=[1]CURSOS!$D$24,[1]CURSOS!$E$24,(+IF($N43=[1]CURSOS!$D$25,[1]CURSOS!$E$25,(+IF($N43=[1]CURSOS!$D$26,[1]CURSOS!$E$26,(+IF($N43=[1]CURSOS!$D$27,[1]CURSOS!$E$27,(+IF($N43=[1]CURSOS!$D$28,[1]CURSOS!$E$28,(+IF($N43=[1]CURSOS!$D$29,[1]CURSOS!$E$29,(+IF($N43=[1]CURSOS!$D$30,[1]CURSOS!$E$30,(+IF($N43=[1]CURSOS!$D$31,[1]CURSOS!$E$31,(+IF($N43=[1]CURSOS!$D$32,[1]CURSOS!$E$32)))))))))))))))))))))))))))))))))))))))))))))))))))))))))))</f>
        <v>MANEJO DEL DOLOR Y CUIDADOS PALIATIVOS</v>
      </c>
      <c r="T43" s="17" t="str">
        <f t="shared" si="12"/>
        <v>Maria Alejandra Jimenez Criollo</v>
      </c>
      <c r="U43" s="17" t="str">
        <f>+PROPER(T43)</f>
        <v>Maria Alejandra Jimenez Criollo</v>
      </c>
      <c r="V43" s="17" t="str">
        <f>CONCATENATE(T43,"-",B43,"-",N43)</f>
        <v>Maria Alejandra Jimenez Criollo-1085296863-PALIATIVOS</v>
      </c>
    </row>
    <row r="44" spans="1:22" ht="15.75" x14ac:dyDescent="0.25">
      <c r="A44" s="17">
        <v>44</v>
      </c>
      <c r="B44" s="24">
        <v>1143371089</v>
      </c>
      <c r="C44" s="25" t="s">
        <v>135</v>
      </c>
      <c r="D44" s="25" t="s">
        <v>148</v>
      </c>
      <c r="E44" s="25" t="s">
        <v>162</v>
      </c>
      <c r="F44" s="26" t="s">
        <v>56</v>
      </c>
      <c r="G44" s="17">
        <v>8</v>
      </c>
      <c r="H44" s="17" t="s">
        <v>63</v>
      </c>
      <c r="I44" s="19">
        <v>45332</v>
      </c>
      <c r="J44" s="1">
        <v>20000</v>
      </c>
      <c r="K44" s="17" t="s">
        <v>208</v>
      </c>
      <c r="L44" s="17" t="s">
        <v>222</v>
      </c>
      <c r="M44" s="17" t="s">
        <v>210</v>
      </c>
      <c r="N44" s="25" t="s">
        <v>23</v>
      </c>
      <c r="O44" s="27">
        <v>34334</v>
      </c>
      <c r="P44" s="21" t="s">
        <v>39</v>
      </c>
      <c r="S44" s="17" t="str">
        <f>+IF($N44=[1]CURSOS!$D$3,[1]CURSOS!$E$3,(+IF($N44=[1]CURSOS!$D$4,[1]CURSOS!$E$4,(+IF($N44=[1]CURSOS!$D$5,[1]CURSOS!$E$5,(+IF($N44=[1]CURSOS!$D$6,[1]CURSOS!$E$6,(+IF($N44=[1]CURSOS!$D$7,[1]CURSOS!$E$7,(+IF($N44=[1]CURSOS!$D$8,[1]CURSOS!$E$8,(+IF($N44=[1]CURSOS!$D$9,[1]CURSOS!$E$9,(+IF($N44=[1]CURSOS!$D$10,[1]CURSOS!$E$10,(+IF($N44=[1]CURSOS!$D$11,[1]CURSOS!$E$11,(+IF($N44=[1]CURSOS!$D$12,[1]CURSOS!$E$12,(+IF($N44=[1]CURSOS!$D$13,[1]CURSOS!$E$13,(+IF($N44=[1]CURSOS!$D$14,[1]CURSOS!$E$14,(+IF($N44=[1]CURSOS!$D$15,[1]CURSOS!$E$15,(+IF($N44=[1]CURSOS!$D$16,[1]CURSOS!$E$16,(+IF($N44=[1]CURSOS!$D$17,[1]CURSOS!$E$17,(+IF($N44=[1]CURSOS!$D$18,[1]CURSOS!$E$18,(+IF($N44=[1]CURSOS!$D$19,[1]CURSOS!$E$19,(+IF($N44=[1]CURSOS!$D$20,[1]CURSOS!$E$20,(+IF($N44=[1]CURSOS!$D$21,[1]CURSOS!$E$21,(+IF($N44=[1]CURSOS!$D$22,[1]CURSOS!$E$22,(+IF($N44=[1]CURSOS!$D$23,[1]CURSOS!$E$23,(+IF($N44=[1]CURSOS!$D$24,[1]CURSOS!$E$24,(+IF($N44=[1]CURSOS!$D$25,[1]CURSOS!$E$25,(+IF($N44=[1]CURSOS!$D$26,[1]CURSOS!$E$26,(+IF($N44=[1]CURSOS!$D$27,[1]CURSOS!$E$27,(+IF($N44=[1]CURSOS!$D$28,[1]CURSOS!$E$28,(+IF($N44=[1]CURSOS!$D$29,[1]CURSOS!$E$29,(+IF($N44=[1]CURSOS!$D$30,[1]CURSOS!$E$30,(+IF($N44=[1]CURSOS!$D$31,[1]CURSOS!$E$31,(+IF($N44=[1]CURSOS!$D$32,[1]CURSOS!$E$32)))))))))))))))))))))))))))))))))))))))))))))))))))))))))))</f>
        <v xml:space="preserve">HUMANIZACION EN SALUD, BUENAS PRACTICAS EN PACIENTE </v>
      </c>
      <c r="T44" s="17" t="str">
        <f t="shared" ref="T44:T65" si="15">CONCATENATE(E44," ",F44," ",C44," ",D44)</f>
        <v>Antonio Carlos Mendoza Coronado</v>
      </c>
      <c r="U44" s="17" t="str">
        <f t="shared" ref="U44:U65" si="16">+PROPER(T44)</f>
        <v>Antonio Carlos Mendoza Coronado</v>
      </c>
      <c r="V44" s="17" t="str">
        <f t="shared" ref="V44:V65" si="17">CONCATENATE(T44,"-",B44,"-",N44)</f>
        <v>Antonio Carlos Mendoza Coronado-1143371089-HUMANIZACION</v>
      </c>
    </row>
    <row r="45" spans="1:22" ht="15.75" x14ac:dyDescent="0.25">
      <c r="A45" s="17">
        <v>45</v>
      </c>
      <c r="B45" s="24">
        <v>1143379669</v>
      </c>
      <c r="C45" s="25" t="s">
        <v>54</v>
      </c>
      <c r="D45" s="25" t="s">
        <v>149</v>
      </c>
      <c r="E45" s="25" t="s">
        <v>163</v>
      </c>
      <c r="F45" s="26" t="s">
        <v>177</v>
      </c>
      <c r="G45" s="17">
        <v>8</v>
      </c>
      <c r="H45" s="17" t="s">
        <v>63</v>
      </c>
      <c r="I45" s="19">
        <v>45332</v>
      </c>
      <c r="J45" s="1">
        <v>20000</v>
      </c>
      <c r="K45" s="17" t="s">
        <v>208</v>
      </c>
      <c r="L45" s="17" t="s">
        <v>222</v>
      </c>
      <c r="M45" s="17" t="s">
        <v>210</v>
      </c>
      <c r="N45" s="25" t="s">
        <v>23</v>
      </c>
      <c r="O45" s="27">
        <v>34717</v>
      </c>
      <c r="P45" s="21" t="s">
        <v>39</v>
      </c>
      <c r="S45" s="17" t="str">
        <f>+IF($N45=[1]CURSOS!$D$3,[1]CURSOS!$E$3,(+IF($N45=[1]CURSOS!$D$4,[1]CURSOS!$E$4,(+IF($N45=[1]CURSOS!$D$5,[1]CURSOS!$E$5,(+IF($N45=[1]CURSOS!$D$6,[1]CURSOS!$E$6,(+IF($N45=[1]CURSOS!$D$7,[1]CURSOS!$E$7,(+IF($N45=[1]CURSOS!$D$8,[1]CURSOS!$E$8,(+IF($N45=[1]CURSOS!$D$9,[1]CURSOS!$E$9,(+IF($N45=[1]CURSOS!$D$10,[1]CURSOS!$E$10,(+IF($N45=[1]CURSOS!$D$11,[1]CURSOS!$E$11,(+IF($N45=[1]CURSOS!$D$12,[1]CURSOS!$E$12,(+IF($N45=[1]CURSOS!$D$13,[1]CURSOS!$E$13,(+IF($N45=[1]CURSOS!$D$14,[1]CURSOS!$E$14,(+IF($N45=[1]CURSOS!$D$15,[1]CURSOS!$E$15,(+IF($N45=[1]CURSOS!$D$16,[1]CURSOS!$E$16,(+IF($N45=[1]CURSOS!$D$17,[1]CURSOS!$E$17,(+IF($N45=[1]CURSOS!$D$18,[1]CURSOS!$E$18,(+IF($N45=[1]CURSOS!$D$19,[1]CURSOS!$E$19,(+IF($N45=[1]CURSOS!$D$20,[1]CURSOS!$E$20,(+IF($N45=[1]CURSOS!$D$21,[1]CURSOS!$E$21,(+IF($N45=[1]CURSOS!$D$22,[1]CURSOS!$E$22,(+IF($N45=[1]CURSOS!$D$23,[1]CURSOS!$E$23,(+IF($N45=[1]CURSOS!$D$24,[1]CURSOS!$E$24,(+IF($N45=[1]CURSOS!$D$25,[1]CURSOS!$E$25,(+IF($N45=[1]CURSOS!$D$26,[1]CURSOS!$E$26,(+IF($N45=[1]CURSOS!$D$27,[1]CURSOS!$E$27,(+IF($N45=[1]CURSOS!$D$28,[1]CURSOS!$E$28,(+IF($N45=[1]CURSOS!$D$29,[1]CURSOS!$E$29,(+IF($N45=[1]CURSOS!$D$30,[1]CURSOS!$E$30,(+IF($N45=[1]CURSOS!$D$31,[1]CURSOS!$E$31,(+IF($N45=[1]CURSOS!$D$32,[1]CURSOS!$E$32)))))))))))))))))))))))))))))))))))))))))))))))))))))))))))</f>
        <v xml:space="preserve">HUMANIZACION EN SALUD, BUENAS PRACTICAS EN PACIENTE </v>
      </c>
      <c r="T45" s="17" t="str">
        <f t="shared" si="15"/>
        <v>Luis Sebastian Salazar Gomez</v>
      </c>
      <c r="U45" s="17" t="str">
        <f t="shared" si="16"/>
        <v>Luis Sebastian Salazar Gomez</v>
      </c>
      <c r="V45" s="17" t="str">
        <f t="shared" si="17"/>
        <v>Luis Sebastian Salazar Gomez-1143379669-HUMANIZACION</v>
      </c>
    </row>
    <row r="46" spans="1:22" ht="15.75" x14ac:dyDescent="0.25">
      <c r="A46" s="17">
        <v>46</v>
      </c>
      <c r="B46" s="24">
        <v>1085321415</v>
      </c>
      <c r="C46" s="25" t="s">
        <v>136</v>
      </c>
      <c r="D46" s="25" t="s">
        <v>150</v>
      </c>
      <c r="E46" s="25" t="s">
        <v>164</v>
      </c>
      <c r="F46" s="26" t="s">
        <v>130</v>
      </c>
      <c r="G46" s="17">
        <v>8</v>
      </c>
      <c r="H46" s="17" t="s">
        <v>63</v>
      </c>
      <c r="I46" s="19" t="s">
        <v>64</v>
      </c>
      <c r="J46" s="1" t="s">
        <v>64</v>
      </c>
      <c r="K46" s="17" t="s">
        <v>64</v>
      </c>
      <c r="L46" s="17" t="s">
        <v>222</v>
      </c>
      <c r="M46" s="17" t="s">
        <v>210</v>
      </c>
      <c r="N46" s="25" t="s">
        <v>23</v>
      </c>
      <c r="O46" s="27">
        <v>34836</v>
      </c>
      <c r="P46" s="21" t="s">
        <v>39</v>
      </c>
      <c r="S46" s="17" t="str">
        <f>+IF($N46=[1]CURSOS!$D$3,[1]CURSOS!$E$3,(+IF($N46=[1]CURSOS!$D$4,[1]CURSOS!$E$4,(+IF($N46=[1]CURSOS!$D$5,[1]CURSOS!$E$5,(+IF($N46=[1]CURSOS!$D$6,[1]CURSOS!$E$6,(+IF($N46=[1]CURSOS!$D$7,[1]CURSOS!$E$7,(+IF($N46=[1]CURSOS!$D$8,[1]CURSOS!$E$8,(+IF($N46=[1]CURSOS!$D$9,[1]CURSOS!$E$9,(+IF($N46=[1]CURSOS!$D$10,[1]CURSOS!$E$10,(+IF($N46=[1]CURSOS!$D$11,[1]CURSOS!$E$11,(+IF($N46=[1]CURSOS!$D$12,[1]CURSOS!$E$12,(+IF($N46=[1]CURSOS!$D$13,[1]CURSOS!$E$13,(+IF($N46=[1]CURSOS!$D$14,[1]CURSOS!$E$14,(+IF($N46=[1]CURSOS!$D$15,[1]CURSOS!$E$15,(+IF($N46=[1]CURSOS!$D$16,[1]CURSOS!$E$16,(+IF($N46=[1]CURSOS!$D$17,[1]CURSOS!$E$17,(+IF($N46=[1]CURSOS!$D$18,[1]CURSOS!$E$18,(+IF($N46=[1]CURSOS!$D$19,[1]CURSOS!$E$19,(+IF($N46=[1]CURSOS!$D$20,[1]CURSOS!$E$20,(+IF($N46=[1]CURSOS!$D$21,[1]CURSOS!$E$21,(+IF($N46=[1]CURSOS!$D$22,[1]CURSOS!$E$22,(+IF($N46=[1]CURSOS!$D$23,[1]CURSOS!$E$23,(+IF($N46=[1]CURSOS!$D$24,[1]CURSOS!$E$24,(+IF($N46=[1]CURSOS!$D$25,[1]CURSOS!$E$25,(+IF($N46=[1]CURSOS!$D$26,[1]CURSOS!$E$26,(+IF($N46=[1]CURSOS!$D$27,[1]CURSOS!$E$27,(+IF($N46=[1]CURSOS!$D$28,[1]CURSOS!$E$28,(+IF($N46=[1]CURSOS!$D$29,[1]CURSOS!$E$29,(+IF($N46=[1]CURSOS!$D$30,[1]CURSOS!$E$30,(+IF($N46=[1]CURSOS!$D$31,[1]CURSOS!$E$31,(+IF($N46=[1]CURSOS!$D$32,[1]CURSOS!$E$32)))))))))))))))))))))))))))))))))))))))))))))))))))))))))))</f>
        <v xml:space="preserve">HUMANIZACION EN SALUD, BUENAS PRACTICAS EN PACIENTE </v>
      </c>
      <c r="T46" s="17" t="str">
        <f t="shared" si="15"/>
        <v>Geovany David Delgado Perez</v>
      </c>
      <c r="U46" s="17" t="str">
        <f t="shared" si="16"/>
        <v>Geovany David Delgado Perez</v>
      </c>
      <c r="V46" s="17" t="str">
        <f t="shared" si="17"/>
        <v>Geovany David Delgado Perez-1085321415-HUMANIZACION</v>
      </c>
    </row>
    <row r="47" spans="1:22" ht="15.75" x14ac:dyDescent="0.25">
      <c r="A47" s="17">
        <v>47</v>
      </c>
      <c r="B47" s="24">
        <v>27090909</v>
      </c>
      <c r="C47" s="25" t="s">
        <v>137</v>
      </c>
      <c r="D47" s="25" t="s">
        <v>151</v>
      </c>
      <c r="E47" s="25" t="s">
        <v>165</v>
      </c>
      <c r="F47" s="26" t="s">
        <v>178</v>
      </c>
      <c r="G47" s="17">
        <v>8</v>
      </c>
      <c r="H47" s="17" t="s">
        <v>63</v>
      </c>
      <c r="I47" s="19">
        <v>45332</v>
      </c>
      <c r="J47" s="1">
        <v>20000</v>
      </c>
      <c r="K47" s="17" t="s">
        <v>208</v>
      </c>
      <c r="L47" s="17" t="s">
        <v>222</v>
      </c>
      <c r="M47" s="17" t="s">
        <v>210</v>
      </c>
      <c r="N47" s="25" t="s">
        <v>23</v>
      </c>
      <c r="O47" s="27">
        <v>29239</v>
      </c>
      <c r="P47" s="21" t="s">
        <v>42</v>
      </c>
      <c r="S47" s="17" t="str">
        <f>+IF($N47=[1]CURSOS!$D$3,[1]CURSOS!$E$3,(+IF($N47=[1]CURSOS!$D$4,[1]CURSOS!$E$4,(+IF($N47=[1]CURSOS!$D$5,[1]CURSOS!$E$5,(+IF($N47=[1]CURSOS!$D$6,[1]CURSOS!$E$6,(+IF($N47=[1]CURSOS!$D$7,[1]CURSOS!$E$7,(+IF($N47=[1]CURSOS!$D$8,[1]CURSOS!$E$8,(+IF($N47=[1]CURSOS!$D$9,[1]CURSOS!$E$9,(+IF($N47=[1]CURSOS!$D$10,[1]CURSOS!$E$10,(+IF($N47=[1]CURSOS!$D$11,[1]CURSOS!$E$11,(+IF($N47=[1]CURSOS!$D$12,[1]CURSOS!$E$12,(+IF($N47=[1]CURSOS!$D$13,[1]CURSOS!$E$13,(+IF($N47=[1]CURSOS!$D$14,[1]CURSOS!$E$14,(+IF($N47=[1]CURSOS!$D$15,[1]CURSOS!$E$15,(+IF($N47=[1]CURSOS!$D$16,[1]CURSOS!$E$16,(+IF($N47=[1]CURSOS!$D$17,[1]CURSOS!$E$17,(+IF($N47=[1]CURSOS!$D$18,[1]CURSOS!$E$18,(+IF($N47=[1]CURSOS!$D$19,[1]CURSOS!$E$19,(+IF($N47=[1]CURSOS!$D$20,[1]CURSOS!$E$20,(+IF($N47=[1]CURSOS!$D$21,[1]CURSOS!$E$21,(+IF($N47=[1]CURSOS!$D$22,[1]CURSOS!$E$22,(+IF($N47=[1]CURSOS!$D$23,[1]CURSOS!$E$23,(+IF($N47=[1]CURSOS!$D$24,[1]CURSOS!$E$24,(+IF($N47=[1]CURSOS!$D$25,[1]CURSOS!$E$25,(+IF($N47=[1]CURSOS!$D$26,[1]CURSOS!$E$26,(+IF($N47=[1]CURSOS!$D$27,[1]CURSOS!$E$27,(+IF($N47=[1]CURSOS!$D$28,[1]CURSOS!$E$28,(+IF($N47=[1]CURSOS!$D$29,[1]CURSOS!$E$29,(+IF($N47=[1]CURSOS!$D$30,[1]CURSOS!$E$30,(+IF($N47=[1]CURSOS!$D$31,[1]CURSOS!$E$31,(+IF($N47=[1]CURSOS!$D$32,[1]CURSOS!$E$32)))))))))))))))))))))))))))))))))))))))))))))))))))))))))))</f>
        <v xml:space="preserve">HUMANIZACION EN SALUD, BUENAS PRACTICAS EN PACIENTE </v>
      </c>
      <c r="T47" s="17" t="str">
        <f t="shared" si="15"/>
        <v>Lina Jazmin Maya Torres</v>
      </c>
      <c r="U47" s="17" t="str">
        <f t="shared" si="16"/>
        <v>Lina Jazmin Maya Torres</v>
      </c>
      <c r="V47" s="17" t="str">
        <f t="shared" si="17"/>
        <v>Lina Jazmin Maya Torres-27090909-HUMANIZACION</v>
      </c>
    </row>
    <row r="48" spans="1:22" ht="15.75" x14ac:dyDescent="0.25">
      <c r="A48" s="17">
        <v>48</v>
      </c>
      <c r="B48" s="24">
        <v>1233188657</v>
      </c>
      <c r="C48" s="25" t="s">
        <v>116</v>
      </c>
      <c r="D48" s="25" t="s">
        <v>47</v>
      </c>
      <c r="E48" s="25" t="s">
        <v>166</v>
      </c>
      <c r="F48" s="26" t="s">
        <v>177</v>
      </c>
      <c r="G48" s="17">
        <v>8</v>
      </c>
      <c r="H48" s="17" t="s">
        <v>63</v>
      </c>
      <c r="I48" s="19">
        <v>45332</v>
      </c>
      <c r="J48" s="1">
        <v>20000</v>
      </c>
      <c r="K48" s="17" t="s">
        <v>208</v>
      </c>
      <c r="L48" s="17" t="s">
        <v>222</v>
      </c>
      <c r="M48" s="17" t="s">
        <v>210</v>
      </c>
      <c r="N48" s="25" t="s">
        <v>23</v>
      </c>
      <c r="O48" s="27">
        <v>35505</v>
      </c>
      <c r="P48" s="21" t="s">
        <v>39</v>
      </c>
      <c r="S48" s="17" t="str">
        <f>+IF($N48=[1]CURSOS!$D$3,[1]CURSOS!$E$3,(+IF($N48=[1]CURSOS!$D$4,[1]CURSOS!$E$4,(+IF($N48=[1]CURSOS!$D$5,[1]CURSOS!$E$5,(+IF($N48=[1]CURSOS!$D$6,[1]CURSOS!$E$6,(+IF($N48=[1]CURSOS!$D$7,[1]CURSOS!$E$7,(+IF($N48=[1]CURSOS!$D$8,[1]CURSOS!$E$8,(+IF($N48=[1]CURSOS!$D$9,[1]CURSOS!$E$9,(+IF($N48=[1]CURSOS!$D$10,[1]CURSOS!$E$10,(+IF($N48=[1]CURSOS!$D$11,[1]CURSOS!$E$11,(+IF($N48=[1]CURSOS!$D$12,[1]CURSOS!$E$12,(+IF($N48=[1]CURSOS!$D$13,[1]CURSOS!$E$13,(+IF($N48=[1]CURSOS!$D$14,[1]CURSOS!$E$14,(+IF($N48=[1]CURSOS!$D$15,[1]CURSOS!$E$15,(+IF($N48=[1]CURSOS!$D$16,[1]CURSOS!$E$16,(+IF($N48=[1]CURSOS!$D$17,[1]CURSOS!$E$17,(+IF($N48=[1]CURSOS!$D$18,[1]CURSOS!$E$18,(+IF($N48=[1]CURSOS!$D$19,[1]CURSOS!$E$19,(+IF($N48=[1]CURSOS!$D$20,[1]CURSOS!$E$20,(+IF($N48=[1]CURSOS!$D$21,[1]CURSOS!$E$21,(+IF($N48=[1]CURSOS!$D$22,[1]CURSOS!$E$22,(+IF($N48=[1]CURSOS!$D$23,[1]CURSOS!$E$23,(+IF($N48=[1]CURSOS!$D$24,[1]CURSOS!$E$24,(+IF($N48=[1]CURSOS!$D$25,[1]CURSOS!$E$25,(+IF($N48=[1]CURSOS!$D$26,[1]CURSOS!$E$26,(+IF($N48=[1]CURSOS!$D$27,[1]CURSOS!$E$27,(+IF($N48=[1]CURSOS!$D$28,[1]CURSOS!$E$28,(+IF($N48=[1]CURSOS!$D$29,[1]CURSOS!$E$29,(+IF($N48=[1]CURSOS!$D$30,[1]CURSOS!$E$30,(+IF($N48=[1]CURSOS!$D$31,[1]CURSOS!$E$31,(+IF($N48=[1]CURSOS!$D$32,[1]CURSOS!$E$32)))))))))))))))))))))))))))))))))))))))))))))))))))))))))))</f>
        <v xml:space="preserve">HUMANIZACION EN SALUD, BUENAS PRACTICAS EN PACIENTE </v>
      </c>
      <c r="T48" s="17" t="str">
        <f t="shared" si="15"/>
        <v>Daniel Sebastian Achicanoy Cordoba</v>
      </c>
      <c r="U48" s="17" t="str">
        <f t="shared" si="16"/>
        <v>Daniel Sebastian Achicanoy Cordoba</v>
      </c>
      <c r="V48" s="17" t="str">
        <f t="shared" si="17"/>
        <v>Daniel Sebastian Achicanoy Cordoba-1233188657-HUMANIZACION</v>
      </c>
    </row>
    <row r="49" spans="1:22" ht="15.75" x14ac:dyDescent="0.25">
      <c r="A49" s="17">
        <v>49</v>
      </c>
      <c r="B49" s="24">
        <v>1085309695</v>
      </c>
      <c r="C49" s="25" t="s">
        <v>138</v>
      </c>
      <c r="D49" s="25" t="s">
        <v>152</v>
      </c>
      <c r="E49" s="25" t="s">
        <v>167</v>
      </c>
      <c r="F49" s="26" t="s">
        <v>179</v>
      </c>
      <c r="G49" s="17">
        <v>8</v>
      </c>
      <c r="H49" s="17" t="s">
        <v>63</v>
      </c>
      <c r="I49" s="19">
        <v>45332</v>
      </c>
      <c r="J49" s="1">
        <v>20000</v>
      </c>
      <c r="K49" s="17" t="s">
        <v>208</v>
      </c>
      <c r="L49" s="17" t="s">
        <v>222</v>
      </c>
      <c r="M49" s="17" t="s">
        <v>210</v>
      </c>
      <c r="N49" s="25" t="s">
        <v>23</v>
      </c>
      <c r="O49" s="27">
        <v>34340</v>
      </c>
      <c r="P49" s="21" t="s">
        <v>42</v>
      </c>
      <c r="S49" s="17" t="str">
        <f>+IF($N49=[1]CURSOS!$D$3,[1]CURSOS!$E$3,(+IF($N49=[1]CURSOS!$D$4,[1]CURSOS!$E$4,(+IF($N49=[1]CURSOS!$D$5,[1]CURSOS!$E$5,(+IF($N49=[1]CURSOS!$D$6,[1]CURSOS!$E$6,(+IF($N49=[1]CURSOS!$D$7,[1]CURSOS!$E$7,(+IF($N49=[1]CURSOS!$D$8,[1]CURSOS!$E$8,(+IF($N49=[1]CURSOS!$D$9,[1]CURSOS!$E$9,(+IF($N49=[1]CURSOS!$D$10,[1]CURSOS!$E$10,(+IF($N49=[1]CURSOS!$D$11,[1]CURSOS!$E$11,(+IF($N49=[1]CURSOS!$D$12,[1]CURSOS!$E$12,(+IF($N49=[1]CURSOS!$D$13,[1]CURSOS!$E$13,(+IF($N49=[1]CURSOS!$D$14,[1]CURSOS!$E$14,(+IF($N49=[1]CURSOS!$D$15,[1]CURSOS!$E$15,(+IF($N49=[1]CURSOS!$D$16,[1]CURSOS!$E$16,(+IF($N49=[1]CURSOS!$D$17,[1]CURSOS!$E$17,(+IF($N49=[1]CURSOS!$D$18,[1]CURSOS!$E$18,(+IF($N49=[1]CURSOS!$D$19,[1]CURSOS!$E$19,(+IF($N49=[1]CURSOS!$D$20,[1]CURSOS!$E$20,(+IF($N49=[1]CURSOS!$D$21,[1]CURSOS!$E$21,(+IF($N49=[1]CURSOS!$D$22,[1]CURSOS!$E$22,(+IF($N49=[1]CURSOS!$D$23,[1]CURSOS!$E$23,(+IF($N49=[1]CURSOS!$D$24,[1]CURSOS!$E$24,(+IF($N49=[1]CURSOS!$D$25,[1]CURSOS!$E$25,(+IF($N49=[1]CURSOS!$D$26,[1]CURSOS!$E$26,(+IF($N49=[1]CURSOS!$D$27,[1]CURSOS!$E$27,(+IF($N49=[1]CURSOS!$D$28,[1]CURSOS!$E$28,(+IF($N49=[1]CURSOS!$D$29,[1]CURSOS!$E$29,(+IF($N49=[1]CURSOS!$D$30,[1]CURSOS!$E$30,(+IF($N49=[1]CURSOS!$D$31,[1]CURSOS!$E$31,(+IF($N49=[1]CURSOS!$D$32,[1]CURSOS!$E$32)))))))))))))))))))))))))))))))))))))))))))))))))))))))))))</f>
        <v xml:space="preserve">HUMANIZACION EN SALUD, BUENAS PRACTICAS EN PACIENTE </v>
      </c>
      <c r="T49" s="17" t="str">
        <f t="shared" si="15"/>
        <v>Patricia Nathaly Lopez Vallejo</v>
      </c>
      <c r="U49" s="17" t="str">
        <f t="shared" si="16"/>
        <v>Patricia Nathaly Lopez Vallejo</v>
      </c>
      <c r="V49" s="17" t="str">
        <f t="shared" si="17"/>
        <v>Patricia Nathaly Lopez Vallejo-1085309695-HUMANIZACION</v>
      </c>
    </row>
    <row r="50" spans="1:22" ht="15.75" x14ac:dyDescent="0.25">
      <c r="A50" s="17">
        <v>50</v>
      </c>
      <c r="B50" s="24">
        <v>1086361346</v>
      </c>
      <c r="C50" s="25" t="s">
        <v>139</v>
      </c>
      <c r="D50" s="25" t="s">
        <v>153</v>
      </c>
      <c r="E50" s="25" t="s">
        <v>168</v>
      </c>
      <c r="F50" s="26" t="s">
        <v>180</v>
      </c>
      <c r="G50" s="17">
        <v>8</v>
      </c>
      <c r="H50" s="17" t="s">
        <v>63</v>
      </c>
      <c r="I50" s="19">
        <v>45332</v>
      </c>
      <c r="J50" s="1">
        <v>20000</v>
      </c>
      <c r="K50" s="17" t="s">
        <v>208</v>
      </c>
      <c r="L50" s="17" t="s">
        <v>222</v>
      </c>
      <c r="M50" s="17" t="s">
        <v>210</v>
      </c>
      <c r="N50" s="25" t="s">
        <v>23</v>
      </c>
      <c r="O50" s="27">
        <v>33618</v>
      </c>
      <c r="P50" s="21" t="s">
        <v>39</v>
      </c>
      <c r="S50" s="17" t="str">
        <f>+IF($N50=[1]CURSOS!$D$3,[1]CURSOS!$E$3,(+IF($N50=[1]CURSOS!$D$4,[1]CURSOS!$E$4,(+IF($N50=[1]CURSOS!$D$5,[1]CURSOS!$E$5,(+IF($N50=[1]CURSOS!$D$6,[1]CURSOS!$E$6,(+IF($N50=[1]CURSOS!$D$7,[1]CURSOS!$E$7,(+IF($N50=[1]CURSOS!$D$8,[1]CURSOS!$E$8,(+IF($N50=[1]CURSOS!$D$9,[1]CURSOS!$E$9,(+IF($N50=[1]CURSOS!$D$10,[1]CURSOS!$E$10,(+IF($N50=[1]CURSOS!$D$11,[1]CURSOS!$E$11,(+IF($N50=[1]CURSOS!$D$12,[1]CURSOS!$E$12,(+IF($N50=[1]CURSOS!$D$13,[1]CURSOS!$E$13,(+IF($N50=[1]CURSOS!$D$14,[1]CURSOS!$E$14,(+IF($N50=[1]CURSOS!$D$15,[1]CURSOS!$E$15,(+IF($N50=[1]CURSOS!$D$16,[1]CURSOS!$E$16,(+IF($N50=[1]CURSOS!$D$17,[1]CURSOS!$E$17,(+IF($N50=[1]CURSOS!$D$18,[1]CURSOS!$E$18,(+IF($N50=[1]CURSOS!$D$19,[1]CURSOS!$E$19,(+IF($N50=[1]CURSOS!$D$20,[1]CURSOS!$E$20,(+IF($N50=[1]CURSOS!$D$21,[1]CURSOS!$E$21,(+IF($N50=[1]CURSOS!$D$22,[1]CURSOS!$E$22,(+IF($N50=[1]CURSOS!$D$23,[1]CURSOS!$E$23,(+IF($N50=[1]CURSOS!$D$24,[1]CURSOS!$E$24,(+IF($N50=[1]CURSOS!$D$25,[1]CURSOS!$E$25,(+IF($N50=[1]CURSOS!$D$26,[1]CURSOS!$E$26,(+IF($N50=[1]CURSOS!$D$27,[1]CURSOS!$E$27,(+IF($N50=[1]CURSOS!$D$28,[1]CURSOS!$E$28,(+IF($N50=[1]CURSOS!$D$29,[1]CURSOS!$E$29,(+IF($N50=[1]CURSOS!$D$30,[1]CURSOS!$E$30,(+IF($N50=[1]CURSOS!$D$31,[1]CURSOS!$E$31,(+IF($N50=[1]CURSOS!$D$32,[1]CURSOS!$E$32)))))))))))))))))))))))))))))))))))))))))))))))))))))))))))</f>
        <v xml:space="preserve">HUMANIZACION EN SALUD, BUENAS PRACTICAS EN PACIENTE </v>
      </c>
      <c r="T50" s="17" t="str">
        <f t="shared" si="15"/>
        <v>Darwin Santiago Enriquez Narvaez</v>
      </c>
      <c r="U50" s="17" t="str">
        <f t="shared" si="16"/>
        <v>Darwin Santiago Enriquez Narvaez</v>
      </c>
      <c r="V50" s="17" t="str">
        <f t="shared" si="17"/>
        <v>Darwin Santiago Enriquez Narvaez-1086361346-HUMANIZACION</v>
      </c>
    </row>
    <row r="51" spans="1:22" ht="15.75" x14ac:dyDescent="0.25">
      <c r="A51" s="17">
        <v>51</v>
      </c>
      <c r="B51" s="24">
        <v>1233191653</v>
      </c>
      <c r="C51" s="25" t="s">
        <v>140</v>
      </c>
      <c r="D51" s="25" t="s">
        <v>188</v>
      </c>
      <c r="E51" s="25" t="s">
        <v>166</v>
      </c>
      <c r="F51" s="26" t="s">
        <v>52</v>
      </c>
      <c r="G51" s="17">
        <v>8</v>
      </c>
      <c r="H51" s="17" t="s">
        <v>63</v>
      </c>
      <c r="I51" s="19">
        <v>45332</v>
      </c>
      <c r="J51" s="1">
        <v>20000</v>
      </c>
      <c r="K51" s="17" t="s">
        <v>208</v>
      </c>
      <c r="L51" s="17" t="s">
        <v>222</v>
      </c>
      <c r="M51" s="17" t="s">
        <v>210</v>
      </c>
      <c r="N51" s="25" t="s">
        <v>23</v>
      </c>
      <c r="O51" s="27">
        <v>35991</v>
      </c>
      <c r="P51" s="21" t="s">
        <v>39</v>
      </c>
      <c r="S51" s="17" t="str">
        <f>+IF($N51=[1]CURSOS!$D$3,[1]CURSOS!$E$3,(+IF($N51=[1]CURSOS!$D$4,[1]CURSOS!$E$4,(+IF($N51=[1]CURSOS!$D$5,[1]CURSOS!$E$5,(+IF($N51=[1]CURSOS!$D$6,[1]CURSOS!$E$6,(+IF($N51=[1]CURSOS!$D$7,[1]CURSOS!$E$7,(+IF($N51=[1]CURSOS!$D$8,[1]CURSOS!$E$8,(+IF($N51=[1]CURSOS!$D$9,[1]CURSOS!$E$9,(+IF($N51=[1]CURSOS!$D$10,[1]CURSOS!$E$10,(+IF($N51=[1]CURSOS!$D$11,[1]CURSOS!$E$11,(+IF($N51=[1]CURSOS!$D$12,[1]CURSOS!$E$12,(+IF($N51=[1]CURSOS!$D$13,[1]CURSOS!$E$13,(+IF($N51=[1]CURSOS!$D$14,[1]CURSOS!$E$14,(+IF($N51=[1]CURSOS!$D$15,[1]CURSOS!$E$15,(+IF($N51=[1]CURSOS!$D$16,[1]CURSOS!$E$16,(+IF($N51=[1]CURSOS!$D$17,[1]CURSOS!$E$17,(+IF($N51=[1]CURSOS!$D$18,[1]CURSOS!$E$18,(+IF($N51=[1]CURSOS!$D$19,[1]CURSOS!$E$19,(+IF($N51=[1]CURSOS!$D$20,[1]CURSOS!$E$20,(+IF($N51=[1]CURSOS!$D$21,[1]CURSOS!$E$21,(+IF($N51=[1]CURSOS!$D$22,[1]CURSOS!$E$22,(+IF($N51=[1]CURSOS!$D$23,[1]CURSOS!$E$23,(+IF($N51=[1]CURSOS!$D$24,[1]CURSOS!$E$24,(+IF($N51=[1]CURSOS!$D$25,[1]CURSOS!$E$25,(+IF($N51=[1]CURSOS!$D$26,[1]CURSOS!$E$26,(+IF($N51=[1]CURSOS!$D$27,[1]CURSOS!$E$27,(+IF($N51=[1]CURSOS!$D$28,[1]CURSOS!$E$28,(+IF($N51=[1]CURSOS!$D$29,[1]CURSOS!$E$29,(+IF($N51=[1]CURSOS!$D$30,[1]CURSOS!$E$30,(+IF($N51=[1]CURSOS!$D$31,[1]CURSOS!$E$31,(+IF($N51=[1]CURSOS!$D$32,[1]CURSOS!$E$32)))))))))))))))))))))))))))))))))))))))))))))))))))))))))))</f>
        <v xml:space="preserve">HUMANIZACION EN SALUD, BUENAS PRACTICAS EN PACIENTE </v>
      </c>
      <c r="T51" s="17" t="str">
        <f t="shared" si="15"/>
        <v>Daniel Esteban Florez Del Hierro</v>
      </c>
      <c r="U51" s="17" t="str">
        <f t="shared" si="16"/>
        <v>Daniel Esteban Florez Del Hierro</v>
      </c>
      <c r="V51" s="17" t="str">
        <f t="shared" si="17"/>
        <v>Daniel Esteban Florez Del Hierro-1233191653-HUMANIZACION</v>
      </c>
    </row>
    <row r="52" spans="1:22" ht="15.75" x14ac:dyDescent="0.25">
      <c r="A52" s="17">
        <v>58</v>
      </c>
      <c r="B52" s="24">
        <v>1094245103</v>
      </c>
      <c r="C52" s="25" t="s">
        <v>141</v>
      </c>
      <c r="D52" s="25" t="s">
        <v>157</v>
      </c>
      <c r="E52" s="25" t="s">
        <v>169</v>
      </c>
      <c r="F52" s="26" t="s">
        <v>182</v>
      </c>
      <c r="G52" s="17">
        <v>8</v>
      </c>
      <c r="H52" s="17" t="s">
        <v>63</v>
      </c>
      <c r="I52" s="19">
        <v>45332</v>
      </c>
      <c r="J52" s="1">
        <v>20000</v>
      </c>
      <c r="K52" s="17" t="s">
        <v>208</v>
      </c>
      <c r="L52" s="17" t="s">
        <v>222</v>
      </c>
      <c r="M52" s="17" t="s">
        <v>210</v>
      </c>
      <c r="N52" s="25" t="s">
        <v>23</v>
      </c>
      <c r="O52" s="27">
        <v>32221</v>
      </c>
      <c r="P52" s="21" t="s">
        <v>39</v>
      </c>
      <c r="S52" s="17" t="str">
        <f>+IF($N52=[1]CURSOS!$D$3,[1]CURSOS!$E$3,(+IF($N52=[1]CURSOS!$D$4,[1]CURSOS!$E$4,(+IF($N52=[1]CURSOS!$D$5,[1]CURSOS!$E$5,(+IF($N52=[1]CURSOS!$D$6,[1]CURSOS!$E$6,(+IF($N52=[1]CURSOS!$D$7,[1]CURSOS!$E$7,(+IF($N52=[1]CURSOS!$D$8,[1]CURSOS!$E$8,(+IF($N52=[1]CURSOS!$D$9,[1]CURSOS!$E$9,(+IF($N52=[1]CURSOS!$D$10,[1]CURSOS!$E$10,(+IF($N52=[1]CURSOS!$D$11,[1]CURSOS!$E$11,(+IF($N52=[1]CURSOS!$D$12,[1]CURSOS!$E$12,(+IF($N52=[1]CURSOS!$D$13,[1]CURSOS!$E$13,(+IF($N52=[1]CURSOS!$D$14,[1]CURSOS!$E$14,(+IF($N52=[1]CURSOS!$D$15,[1]CURSOS!$E$15,(+IF($N52=[1]CURSOS!$D$16,[1]CURSOS!$E$16,(+IF($N52=[1]CURSOS!$D$17,[1]CURSOS!$E$17,(+IF($N52=[1]CURSOS!$D$18,[1]CURSOS!$E$18,(+IF($N52=[1]CURSOS!$D$19,[1]CURSOS!$E$19,(+IF($N52=[1]CURSOS!$D$20,[1]CURSOS!$E$20,(+IF($N52=[1]CURSOS!$D$21,[1]CURSOS!$E$21,(+IF($N52=[1]CURSOS!$D$22,[1]CURSOS!$E$22,(+IF($N52=[1]CURSOS!$D$23,[1]CURSOS!$E$23,(+IF($N52=[1]CURSOS!$D$24,[1]CURSOS!$E$24,(+IF($N52=[1]CURSOS!$D$25,[1]CURSOS!$E$25,(+IF($N52=[1]CURSOS!$D$26,[1]CURSOS!$E$26,(+IF($N52=[1]CURSOS!$D$27,[1]CURSOS!$E$27,(+IF($N52=[1]CURSOS!$D$28,[1]CURSOS!$E$28,(+IF($N52=[1]CURSOS!$D$29,[1]CURSOS!$E$29,(+IF($N52=[1]CURSOS!$D$30,[1]CURSOS!$E$30,(+IF($N52=[1]CURSOS!$D$31,[1]CURSOS!$E$31,(+IF($N52=[1]CURSOS!$D$32,[1]CURSOS!$E$32)))))))))))))))))))))))))))))))))))))))))))))))))))))))))))</f>
        <v xml:space="preserve">HUMANIZACION EN SALUD, BUENAS PRACTICAS EN PACIENTE </v>
      </c>
      <c r="T52" s="17" t="str">
        <f t="shared" si="15"/>
        <v>Gustavo Alonso Gonzalez Rodriguez</v>
      </c>
      <c r="U52" s="17" t="str">
        <f t="shared" si="16"/>
        <v>Gustavo Alonso Gonzalez Rodriguez</v>
      </c>
      <c r="V52" s="17" t="str">
        <f t="shared" si="17"/>
        <v>Gustavo Alonso Gonzalez Rodriguez-1094245103-HUMANIZACION</v>
      </c>
    </row>
    <row r="53" spans="1:22" ht="15.75" x14ac:dyDescent="0.25">
      <c r="A53" s="17">
        <v>59</v>
      </c>
      <c r="B53" s="24">
        <v>1085288081</v>
      </c>
      <c r="C53" s="25" t="s">
        <v>142</v>
      </c>
      <c r="D53" s="25" t="s">
        <v>152</v>
      </c>
      <c r="E53" s="25" t="s">
        <v>170</v>
      </c>
      <c r="F53" s="26" t="s">
        <v>55</v>
      </c>
      <c r="G53" s="17">
        <v>8</v>
      </c>
      <c r="H53" s="17" t="s">
        <v>63</v>
      </c>
      <c r="I53" s="19">
        <v>45332</v>
      </c>
      <c r="J53" s="1">
        <v>20000</v>
      </c>
      <c r="K53" s="17" t="s">
        <v>208</v>
      </c>
      <c r="L53" s="17" t="s">
        <v>222</v>
      </c>
      <c r="M53" s="17" t="s">
        <v>210</v>
      </c>
      <c r="N53" s="25" t="s">
        <v>23</v>
      </c>
      <c r="O53" s="27">
        <v>33352</v>
      </c>
      <c r="P53" s="21" t="s">
        <v>42</v>
      </c>
      <c r="S53" s="17" t="str">
        <f>+IF($N53=[1]CURSOS!$D$3,[1]CURSOS!$E$3,(+IF($N53=[1]CURSOS!$D$4,[1]CURSOS!$E$4,(+IF($N53=[1]CURSOS!$D$5,[1]CURSOS!$E$5,(+IF($N53=[1]CURSOS!$D$6,[1]CURSOS!$E$6,(+IF($N53=[1]CURSOS!$D$7,[1]CURSOS!$E$7,(+IF($N53=[1]CURSOS!$D$8,[1]CURSOS!$E$8,(+IF($N53=[1]CURSOS!$D$9,[1]CURSOS!$E$9,(+IF($N53=[1]CURSOS!$D$10,[1]CURSOS!$E$10,(+IF($N53=[1]CURSOS!$D$11,[1]CURSOS!$E$11,(+IF($N53=[1]CURSOS!$D$12,[1]CURSOS!$E$12,(+IF($N53=[1]CURSOS!$D$13,[1]CURSOS!$E$13,(+IF($N53=[1]CURSOS!$D$14,[1]CURSOS!$E$14,(+IF($N53=[1]CURSOS!$D$15,[1]CURSOS!$E$15,(+IF($N53=[1]CURSOS!$D$16,[1]CURSOS!$E$16,(+IF($N53=[1]CURSOS!$D$17,[1]CURSOS!$E$17,(+IF($N53=[1]CURSOS!$D$18,[1]CURSOS!$E$18,(+IF($N53=[1]CURSOS!$D$19,[1]CURSOS!$E$19,(+IF($N53=[1]CURSOS!$D$20,[1]CURSOS!$E$20,(+IF($N53=[1]CURSOS!$D$21,[1]CURSOS!$E$21,(+IF($N53=[1]CURSOS!$D$22,[1]CURSOS!$E$22,(+IF($N53=[1]CURSOS!$D$23,[1]CURSOS!$E$23,(+IF($N53=[1]CURSOS!$D$24,[1]CURSOS!$E$24,(+IF($N53=[1]CURSOS!$D$25,[1]CURSOS!$E$25,(+IF($N53=[1]CURSOS!$D$26,[1]CURSOS!$E$26,(+IF($N53=[1]CURSOS!$D$27,[1]CURSOS!$E$27,(+IF($N53=[1]CURSOS!$D$28,[1]CURSOS!$E$28,(+IF($N53=[1]CURSOS!$D$29,[1]CURSOS!$E$29,(+IF($N53=[1]CURSOS!$D$30,[1]CURSOS!$E$30,(+IF($N53=[1]CURSOS!$D$31,[1]CURSOS!$E$31,(+IF($N53=[1]CURSOS!$D$32,[1]CURSOS!$E$32)))))))))))))))))))))))))))))))))))))))))))))))))))))))))))</f>
        <v xml:space="preserve">HUMANIZACION EN SALUD, BUENAS PRACTICAS EN PACIENTE </v>
      </c>
      <c r="T53" s="17" t="str">
        <f t="shared" si="15"/>
        <v>Leidy Andrea Gordillo Vallejo</v>
      </c>
      <c r="U53" s="17" t="str">
        <f t="shared" si="16"/>
        <v>Leidy Andrea Gordillo Vallejo</v>
      </c>
      <c r="V53" s="17" t="str">
        <f t="shared" si="17"/>
        <v>Leidy Andrea Gordillo Vallejo-1085288081-HUMANIZACION</v>
      </c>
    </row>
    <row r="54" spans="1:22" ht="15.75" x14ac:dyDescent="0.25">
      <c r="A54" s="17">
        <v>60</v>
      </c>
      <c r="B54" s="24">
        <v>1086755732</v>
      </c>
      <c r="C54" s="25" t="s">
        <v>143</v>
      </c>
      <c r="D54" s="25" t="s">
        <v>158</v>
      </c>
      <c r="E54" s="25" t="s">
        <v>171</v>
      </c>
      <c r="F54" s="26" t="s">
        <v>87</v>
      </c>
      <c r="G54" s="17">
        <v>8</v>
      </c>
      <c r="H54" s="17" t="s">
        <v>63</v>
      </c>
      <c r="I54" s="19">
        <v>45332</v>
      </c>
      <c r="J54" s="1">
        <v>20000</v>
      </c>
      <c r="K54" s="17" t="s">
        <v>208</v>
      </c>
      <c r="L54" s="17" t="s">
        <v>222</v>
      </c>
      <c r="M54" s="17" t="s">
        <v>210</v>
      </c>
      <c r="N54" s="25" t="s">
        <v>23</v>
      </c>
      <c r="O54" s="27">
        <v>34329</v>
      </c>
      <c r="P54" s="21" t="s">
        <v>42</v>
      </c>
      <c r="S54" s="17" t="str">
        <f>+IF($N54=[1]CURSOS!$D$3,[1]CURSOS!$E$3,(+IF($N54=[1]CURSOS!$D$4,[1]CURSOS!$E$4,(+IF($N54=[1]CURSOS!$D$5,[1]CURSOS!$E$5,(+IF($N54=[1]CURSOS!$D$6,[1]CURSOS!$E$6,(+IF($N54=[1]CURSOS!$D$7,[1]CURSOS!$E$7,(+IF($N54=[1]CURSOS!$D$8,[1]CURSOS!$E$8,(+IF($N54=[1]CURSOS!$D$9,[1]CURSOS!$E$9,(+IF($N54=[1]CURSOS!$D$10,[1]CURSOS!$E$10,(+IF($N54=[1]CURSOS!$D$11,[1]CURSOS!$E$11,(+IF($N54=[1]CURSOS!$D$12,[1]CURSOS!$E$12,(+IF($N54=[1]CURSOS!$D$13,[1]CURSOS!$E$13,(+IF($N54=[1]CURSOS!$D$14,[1]CURSOS!$E$14,(+IF($N54=[1]CURSOS!$D$15,[1]CURSOS!$E$15,(+IF($N54=[1]CURSOS!$D$16,[1]CURSOS!$E$16,(+IF($N54=[1]CURSOS!$D$17,[1]CURSOS!$E$17,(+IF($N54=[1]CURSOS!$D$18,[1]CURSOS!$E$18,(+IF($N54=[1]CURSOS!$D$19,[1]CURSOS!$E$19,(+IF($N54=[1]CURSOS!$D$20,[1]CURSOS!$E$20,(+IF($N54=[1]CURSOS!$D$21,[1]CURSOS!$E$21,(+IF($N54=[1]CURSOS!$D$22,[1]CURSOS!$E$22,(+IF($N54=[1]CURSOS!$D$23,[1]CURSOS!$E$23,(+IF($N54=[1]CURSOS!$D$24,[1]CURSOS!$E$24,(+IF($N54=[1]CURSOS!$D$25,[1]CURSOS!$E$25,(+IF($N54=[1]CURSOS!$D$26,[1]CURSOS!$E$26,(+IF($N54=[1]CURSOS!$D$27,[1]CURSOS!$E$27,(+IF($N54=[1]CURSOS!$D$28,[1]CURSOS!$E$28,(+IF($N54=[1]CURSOS!$D$29,[1]CURSOS!$E$29,(+IF($N54=[1]CURSOS!$D$30,[1]CURSOS!$E$30,(+IF($N54=[1]CURSOS!$D$31,[1]CURSOS!$E$31,(+IF($N54=[1]CURSOS!$D$32,[1]CURSOS!$E$32)))))))))))))))))))))))))))))))))))))))))))))))))))))))))))</f>
        <v xml:space="preserve">HUMANIZACION EN SALUD, BUENAS PRACTICAS EN PACIENTE </v>
      </c>
      <c r="T54" s="17" t="str">
        <f t="shared" si="15"/>
        <v>Leydi Lorena Ibarra Teran</v>
      </c>
      <c r="U54" s="17" t="str">
        <f t="shared" si="16"/>
        <v>Leydi Lorena Ibarra Teran</v>
      </c>
      <c r="V54" s="17" t="str">
        <f t="shared" si="17"/>
        <v>Leydi Lorena Ibarra Teran-1086755732-HUMANIZACION</v>
      </c>
    </row>
    <row r="55" spans="1:22" ht="15.75" x14ac:dyDescent="0.25">
      <c r="A55" s="17">
        <v>61</v>
      </c>
      <c r="B55" s="24">
        <v>1085274661</v>
      </c>
      <c r="C55" s="25" t="s">
        <v>61</v>
      </c>
      <c r="D55" s="25" t="s">
        <v>151</v>
      </c>
      <c r="E55" s="25" t="s">
        <v>172</v>
      </c>
      <c r="F55" s="26" t="s">
        <v>183</v>
      </c>
      <c r="G55" s="17">
        <v>8</v>
      </c>
      <c r="H55" s="17" t="s">
        <v>63</v>
      </c>
      <c r="I55" s="19">
        <v>45332</v>
      </c>
      <c r="J55" s="1">
        <v>20000</v>
      </c>
      <c r="K55" s="17" t="s">
        <v>208</v>
      </c>
      <c r="L55" s="17" t="s">
        <v>222</v>
      </c>
      <c r="M55" s="17" t="s">
        <v>210</v>
      </c>
      <c r="N55" s="25" t="s">
        <v>23</v>
      </c>
      <c r="O55" s="27">
        <v>32435</v>
      </c>
      <c r="P55" s="21" t="s">
        <v>39</v>
      </c>
      <c r="S55" s="17" t="str">
        <f>+IF($N55=[1]CURSOS!$D$3,[1]CURSOS!$E$3,(+IF($N55=[1]CURSOS!$D$4,[1]CURSOS!$E$4,(+IF($N55=[1]CURSOS!$D$5,[1]CURSOS!$E$5,(+IF($N55=[1]CURSOS!$D$6,[1]CURSOS!$E$6,(+IF($N55=[1]CURSOS!$D$7,[1]CURSOS!$E$7,(+IF($N55=[1]CURSOS!$D$8,[1]CURSOS!$E$8,(+IF($N55=[1]CURSOS!$D$9,[1]CURSOS!$E$9,(+IF($N55=[1]CURSOS!$D$10,[1]CURSOS!$E$10,(+IF($N55=[1]CURSOS!$D$11,[1]CURSOS!$E$11,(+IF($N55=[1]CURSOS!$D$12,[1]CURSOS!$E$12,(+IF($N55=[1]CURSOS!$D$13,[1]CURSOS!$E$13,(+IF($N55=[1]CURSOS!$D$14,[1]CURSOS!$E$14,(+IF($N55=[1]CURSOS!$D$15,[1]CURSOS!$E$15,(+IF($N55=[1]CURSOS!$D$16,[1]CURSOS!$E$16,(+IF($N55=[1]CURSOS!$D$17,[1]CURSOS!$E$17,(+IF($N55=[1]CURSOS!$D$18,[1]CURSOS!$E$18,(+IF($N55=[1]CURSOS!$D$19,[1]CURSOS!$E$19,(+IF($N55=[1]CURSOS!$D$20,[1]CURSOS!$E$20,(+IF($N55=[1]CURSOS!$D$21,[1]CURSOS!$E$21,(+IF($N55=[1]CURSOS!$D$22,[1]CURSOS!$E$22,(+IF($N55=[1]CURSOS!$D$23,[1]CURSOS!$E$23,(+IF($N55=[1]CURSOS!$D$24,[1]CURSOS!$E$24,(+IF($N55=[1]CURSOS!$D$25,[1]CURSOS!$E$25,(+IF($N55=[1]CURSOS!$D$26,[1]CURSOS!$E$26,(+IF($N55=[1]CURSOS!$D$27,[1]CURSOS!$E$27,(+IF($N55=[1]CURSOS!$D$28,[1]CURSOS!$E$28,(+IF($N55=[1]CURSOS!$D$29,[1]CURSOS!$E$29,(+IF($N55=[1]CURSOS!$D$30,[1]CURSOS!$E$30,(+IF($N55=[1]CURSOS!$D$31,[1]CURSOS!$E$31,(+IF($N55=[1]CURSOS!$D$32,[1]CURSOS!$E$32)))))))))))))))))))))))))))))))))))))))))))))))))))))))))))</f>
        <v xml:space="preserve">HUMANIZACION EN SALUD, BUENAS PRACTICAS EN PACIENTE </v>
      </c>
      <c r="T55" s="17" t="str">
        <f t="shared" si="15"/>
        <v>Julio Armando Araujo Torres</v>
      </c>
      <c r="U55" s="17" t="str">
        <f t="shared" si="16"/>
        <v>Julio Armando Araujo Torres</v>
      </c>
      <c r="V55" s="17" t="str">
        <f t="shared" si="17"/>
        <v>Julio Armando Araujo Torres-1085274661-HUMANIZACION</v>
      </c>
    </row>
    <row r="56" spans="1:22" ht="15.75" x14ac:dyDescent="0.25">
      <c r="A56" s="17">
        <v>62</v>
      </c>
      <c r="B56" s="28">
        <v>1085246914</v>
      </c>
      <c r="C56" s="25" t="s">
        <v>144</v>
      </c>
      <c r="D56" s="25" t="s">
        <v>159</v>
      </c>
      <c r="E56" s="25" t="s">
        <v>173</v>
      </c>
      <c r="F56" s="26" t="s">
        <v>184</v>
      </c>
      <c r="G56" s="17">
        <v>8</v>
      </c>
      <c r="H56" s="17" t="s">
        <v>63</v>
      </c>
      <c r="I56" s="19">
        <v>45332</v>
      </c>
      <c r="J56" s="1">
        <v>20000</v>
      </c>
      <c r="K56" s="17" t="s">
        <v>208</v>
      </c>
      <c r="L56" s="17" t="s">
        <v>222</v>
      </c>
      <c r="M56" s="17" t="s">
        <v>210</v>
      </c>
      <c r="N56" s="25" t="s">
        <v>20</v>
      </c>
      <c r="O56" s="29">
        <v>31453</v>
      </c>
      <c r="P56" s="21" t="s">
        <v>42</v>
      </c>
      <c r="S56" s="17" t="str">
        <f>+IF($N56=[1]CURSOS!$D$3,[1]CURSOS!$E$3,(+IF($N56=[1]CURSOS!$D$4,[1]CURSOS!$E$4,(+IF($N56=[1]CURSOS!$D$5,[1]CURSOS!$E$5,(+IF($N56=[1]CURSOS!$D$6,[1]CURSOS!$E$6,(+IF($N56=[1]CURSOS!$D$7,[1]CURSOS!$E$7,(+IF($N56=[1]CURSOS!$D$8,[1]CURSOS!$E$8,(+IF($N56=[1]CURSOS!$D$9,[1]CURSOS!$E$9,(+IF($N56=[1]CURSOS!$D$10,[1]CURSOS!$E$10,(+IF($N56=[1]CURSOS!$D$11,[1]CURSOS!$E$11,(+IF($N56=[1]CURSOS!$D$12,[1]CURSOS!$E$12,(+IF($N56=[1]CURSOS!$D$13,[1]CURSOS!$E$13,(+IF($N56=[1]CURSOS!$D$14,[1]CURSOS!$E$14,(+IF($N56=[1]CURSOS!$D$15,[1]CURSOS!$E$15,(+IF($N56=[1]CURSOS!$D$16,[1]CURSOS!$E$16,(+IF($N56=[1]CURSOS!$D$17,[1]CURSOS!$E$17,(+IF($N56=[1]CURSOS!$D$18,[1]CURSOS!$E$18,(+IF($N56=[1]CURSOS!$D$19,[1]CURSOS!$E$19,(+IF($N56=[1]CURSOS!$D$20,[1]CURSOS!$E$20,(+IF($N56=[1]CURSOS!$D$21,[1]CURSOS!$E$21,(+IF($N56=[1]CURSOS!$D$22,[1]CURSOS!$E$22,(+IF($N56=[1]CURSOS!$D$23,[1]CURSOS!$E$23,(+IF($N56=[1]CURSOS!$D$24,[1]CURSOS!$E$24,(+IF($N56=[1]CURSOS!$D$25,[1]CURSOS!$E$25,(+IF($N56=[1]CURSOS!$D$26,[1]CURSOS!$E$26,(+IF($N56=[1]CURSOS!$D$27,[1]CURSOS!$E$27,(+IF($N56=[1]CURSOS!$D$28,[1]CURSOS!$E$28,(+IF($N56=[1]CURSOS!$D$29,[1]CURSOS!$E$29,(+IF($N56=[1]CURSOS!$D$30,[1]CURSOS!$E$30,(+IF($N56=[1]CURSOS!$D$31,[1]CURSOS!$E$31,(+IF($N56=[1]CURSOS!$D$32,[1]CURSOS!$E$32)))))))))))))))))))))))))))))))))))))))))))))))))))))))))))</f>
        <v>ACOMPAÑAMIENTO Y MANEJO DEL DUELO</v>
      </c>
      <c r="T56" s="17" t="str">
        <f t="shared" si="15"/>
        <v>Sandra Milena Paz Inguilan</v>
      </c>
      <c r="U56" s="17" t="str">
        <f t="shared" si="16"/>
        <v>Sandra Milena Paz Inguilan</v>
      </c>
      <c r="V56" s="17" t="str">
        <f t="shared" si="17"/>
        <v>Sandra Milena Paz Inguilan-1085246914-DUELO</v>
      </c>
    </row>
    <row r="57" spans="1:22" ht="15.75" x14ac:dyDescent="0.25">
      <c r="A57" s="17">
        <v>63</v>
      </c>
      <c r="B57" s="28">
        <v>1085246914</v>
      </c>
      <c r="C57" s="25" t="s">
        <v>144</v>
      </c>
      <c r="D57" s="25" t="s">
        <v>159</v>
      </c>
      <c r="E57" s="25" t="s">
        <v>173</v>
      </c>
      <c r="F57" s="26" t="s">
        <v>184</v>
      </c>
      <c r="G57" s="17">
        <v>8</v>
      </c>
      <c r="H57" s="17" t="s">
        <v>63</v>
      </c>
      <c r="I57" s="19">
        <v>45332</v>
      </c>
      <c r="J57" s="1">
        <v>20000</v>
      </c>
      <c r="K57" s="17" t="s">
        <v>208</v>
      </c>
      <c r="L57" s="17" t="s">
        <v>222</v>
      </c>
      <c r="M57" s="17" t="s">
        <v>210</v>
      </c>
      <c r="N57" s="25" t="s">
        <v>23</v>
      </c>
      <c r="O57" s="29"/>
      <c r="P57" s="21" t="s">
        <v>42</v>
      </c>
      <c r="S57" s="17" t="str">
        <f>+IF($N57=[1]CURSOS!$D$3,[1]CURSOS!$E$3,(+IF($N57=[1]CURSOS!$D$4,[1]CURSOS!$E$4,(+IF($N57=[1]CURSOS!$D$5,[1]CURSOS!$E$5,(+IF($N57=[1]CURSOS!$D$6,[1]CURSOS!$E$6,(+IF($N57=[1]CURSOS!$D$7,[1]CURSOS!$E$7,(+IF($N57=[1]CURSOS!$D$8,[1]CURSOS!$E$8,(+IF($N57=[1]CURSOS!$D$9,[1]CURSOS!$E$9,(+IF($N57=[1]CURSOS!$D$10,[1]CURSOS!$E$10,(+IF($N57=[1]CURSOS!$D$11,[1]CURSOS!$E$11,(+IF($N57=[1]CURSOS!$D$12,[1]CURSOS!$E$12,(+IF($N57=[1]CURSOS!$D$13,[1]CURSOS!$E$13,(+IF($N57=[1]CURSOS!$D$14,[1]CURSOS!$E$14,(+IF($N57=[1]CURSOS!$D$15,[1]CURSOS!$E$15,(+IF($N57=[1]CURSOS!$D$16,[1]CURSOS!$E$16,(+IF($N57=[1]CURSOS!$D$17,[1]CURSOS!$E$17,(+IF($N57=[1]CURSOS!$D$18,[1]CURSOS!$E$18,(+IF($N57=[1]CURSOS!$D$19,[1]CURSOS!$E$19,(+IF($N57=[1]CURSOS!$D$20,[1]CURSOS!$E$20,(+IF($N57=[1]CURSOS!$D$21,[1]CURSOS!$E$21,(+IF($N57=[1]CURSOS!$D$22,[1]CURSOS!$E$22,(+IF($N57=[1]CURSOS!$D$23,[1]CURSOS!$E$23,(+IF($N57=[1]CURSOS!$D$24,[1]CURSOS!$E$24,(+IF($N57=[1]CURSOS!$D$25,[1]CURSOS!$E$25,(+IF($N57=[1]CURSOS!$D$26,[1]CURSOS!$E$26,(+IF($N57=[1]CURSOS!$D$27,[1]CURSOS!$E$27,(+IF($N57=[1]CURSOS!$D$28,[1]CURSOS!$E$28,(+IF($N57=[1]CURSOS!$D$29,[1]CURSOS!$E$29,(+IF($N57=[1]CURSOS!$D$30,[1]CURSOS!$E$30,(+IF($N57=[1]CURSOS!$D$31,[1]CURSOS!$E$31,(+IF($N57=[1]CURSOS!$D$32,[1]CURSOS!$E$32)))))))))))))))))))))))))))))))))))))))))))))))))))))))))))</f>
        <v xml:space="preserve">HUMANIZACION EN SALUD, BUENAS PRACTICAS EN PACIENTE </v>
      </c>
      <c r="T57" s="17" t="str">
        <f t="shared" si="15"/>
        <v>Sandra Milena Paz Inguilan</v>
      </c>
      <c r="U57" s="17" t="str">
        <f t="shared" si="16"/>
        <v>Sandra Milena Paz Inguilan</v>
      </c>
      <c r="V57" s="17" t="str">
        <f t="shared" si="17"/>
        <v>Sandra Milena Paz Inguilan-1085246914-HUMANIZACION</v>
      </c>
    </row>
    <row r="58" spans="1:22" ht="15.75" x14ac:dyDescent="0.25">
      <c r="A58" s="17">
        <v>64</v>
      </c>
      <c r="B58" s="24">
        <v>1085324488</v>
      </c>
      <c r="C58" s="25" t="s">
        <v>138</v>
      </c>
      <c r="D58" s="25" t="s">
        <v>96</v>
      </c>
      <c r="E58" s="25" t="s">
        <v>174</v>
      </c>
      <c r="F58" s="26" t="s">
        <v>70</v>
      </c>
      <c r="G58" s="17">
        <v>8</v>
      </c>
      <c r="H58" s="17" t="s">
        <v>63</v>
      </c>
      <c r="I58" s="19">
        <v>45332</v>
      </c>
      <c r="J58" s="1">
        <v>20000</v>
      </c>
      <c r="K58" s="17" t="s">
        <v>208</v>
      </c>
      <c r="L58" s="17" t="s">
        <v>222</v>
      </c>
      <c r="M58" s="17" t="s">
        <v>210</v>
      </c>
      <c r="N58" s="25" t="s">
        <v>23</v>
      </c>
      <c r="O58" s="27">
        <v>34995</v>
      </c>
      <c r="P58" s="21" t="s">
        <v>39</v>
      </c>
      <c r="S58" s="17" t="str">
        <f>+IF($N58=[1]CURSOS!$D$3,[1]CURSOS!$E$3,(+IF($N58=[1]CURSOS!$D$4,[1]CURSOS!$E$4,(+IF($N58=[1]CURSOS!$D$5,[1]CURSOS!$E$5,(+IF($N58=[1]CURSOS!$D$6,[1]CURSOS!$E$6,(+IF($N58=[1]CURSOS!$D$7,[1]CURSOS!$E$7,(+IF($N58=[1]CURSOS!$D$8,[1]CURSOS!$E$8,(+IF($N58=[1]CURSOS!$D$9,[1]CURSOS!$E$9,(+IF($N58=[1]CURSOS!$D$10,[1]CURSOS!$E$10,(+IF($N58=[1]CURSOS!$D$11,[1]CURSOS!$E$11,(+IF($N58=[1]CURSOS!$D$12,[1]CURSOS!$E$12,(+IF($N58=[1]CURSOS!$D$13,[1]CURSOS!$E$13,(+IF($N58=[1]CURSOS!$D$14,[1]CURSOS!$E$14,(+IF($N58=[1]CURSOS!$D$15,[1]CURSOS!$E$15,(+IF($N58=[1]CURSOS!$D$16,[1]CURSOS!$E$16,(+IF($N58=[1]CURSOS!$D$17,[1]CURSOS!$E$17,(+IF($N58=[1]CURSOS!$D$18,[1]CURSOS!$E$18,(+IF($N58=[1]CURSOS!$D$19,[1]CURSOS!$E$19,(+IF($N58=[1]CURSOS!$D$20,[1]CURSOS!$E$20,(+IF($N58=[1]CURSOS!$D$21,[1]CURSOS!$E$21,(+IF($N58=[1]CURSOS!$D$22,[1]CURSOS!$E$22,(+IF($N58=[1]CURSOS!$D$23,[1]CURSOS!$E$23,(+IF($N58=[1]CURSOS!$D$24,[1]CURSOS!$E$24,(+IF($N58=[1]CURSOS!$D$25,[1]CURSOS!$E$25,(+IF($N58=[1]CURSOS!$D$26,[1]CURSOS!$E$26,(+IF($N58=[1]CURSOS!$D$27,[1]CURSOS!$E$27,(+IF($N58=[1]CURSOS!$D$28,[1]CURSOS!$E$28,(+IF($N58=[1]CURSOS!$D$29,[1]CURSOS!$E$29,(+IF($N58=[1]CURSOS!$D$30,[1]CURSOS!$E$30,(+IF($N58=[1]CURSOS!$D$31,[1]CURSOS!$E$31,(+IF($N58=[1]CURSOS!$D$32,[1]CURSOS!$E$32)))))))))))))))))))))))))))))))))))))))))))))))))))))))))))</f>
        <v xml:space="preserve">HUMANIZACION EN SALUD, BUENAS PRACTICAS EN PACIENTE </v>
      </c>
      <c r="T58" s="17" t="str">
        <f t="shared" si="15"/>
        <v>Cristian Camilo Lopez Luna</v>
      </c>
      <c r="U58" s="17" t="str">
        <f t="shared" si="16"/>
        <v>Cristian Camilo Lopez Luna</v>
      </c>
      <c r="V58" s="17" t="str">
        <f t="shared" si="17"/>
        <v>Cristian Camilo Lopez Luna-1085324488-HUMANIZACION</v>
      </c>
    </row>
    <row r="59" spans="1:22" ht="15.75" x14ac:dyDescent="0.25">
      <c r="A59" s="17">
        <v>65</v>
      </c>
      <c r="B59" s="28">
        <v>27091524</v>
      </c>
      <c r="C59" s="25" t="s">
        <v>145</v>
      </c>
      <c r="D59" s="25" t="s">
        <v>160</v>
      </c>
      <c r="E59" s="25" t="s">
        <v>175</v>
      </c>
      <c r="F59" s="26" t="s">
        <v>185</v>
      </c>
      <c r="G59" s="17">
        <v>8</v>
      </c>
      <c r="H59" s="17" t="s">
        <v>63</v>
      </c>
      <c r="I59" s="19">
        <v>45332</v>
      </c>
      <c r="J59" s="1">
        <v>20000</v>
      </c>
      <c r="K59" s="17" t="s">
        <v>208</v>
      </c>
      <c r="L59" s="17" t="s">
        <v>222</v>
      </c>
      <c r="M59" s="17" t="s">
        <v>210</v>
      </c>
      <c r="N59" s="25" t="s">
        <v>27</v>
      </c>
      <c r="O59" s="29">
        <v>29178</v>
      </c>
      <c r="P59" s="21" t="s">
        <v>42</v>
      </c>
      <c r="S59" s="17" t="str">
        <f>+IF($N59=[1]CURSOS!$D$3,[1]CURSOS!$E$3,(+IF($N59=[1]CURSOS!$D$4,[1]CURSOS!$E$4,(+IF($N59=[1]CURSOS!$D$5,[1]CURSOS!$E$5,(+IF($N59=[1]CURSOS!$D$6,[1]CURSOS!$E$6,(+IF($N59=[1]CURSOS!$D$7,[1]CURSOS!$E$7,(+IF($N59=[1]CURSOS!$D$8,[1]CURSOS!$E$8,(+IF($N59=[1]CURSOS!$D$9,[1]CURSOS!$E$9,(+IF($N59=[1]CURSOS!$D$10,[1]CURSOS!$E$10,(+IF($N59=[1]CURSOS!$D$11,[1]CURSOS!$E$11,(+IF($N59=[1]CURSOS!$D$12,[1]CURSOS!$E$12,(+IF($N59=[1]CURSOS!$D$13,[1]CURSOS!$E$13,(+IF($N59=[1]CURSOS!$D$14,[1]CURSOS!$E$14,(+IF($N59=[1]CURSOS!$D$15,[1]CURSOS!$E$15,(+IF($N59=[1]CURSOS!$D$16,[1]CURSOS!$E$16,(+IF($N59=[1]CURSOS!$D$17,[1]CURSOS!$E$17,(+IF($N59=[1]CURSOS!$D$18,[1]CURSOS!$E$18,(+IF($N59=[1]CURSOS!$D$19,[1]CURSOS!$E$19,(+IF($N59=[1]CURSOS!$D$20,[1]CURSOS!$E$20,(+IF($N59=[1]CURSOS!$D$21,[1]CURSOS!$E$21,(+IF($N59=[1]CURSOS!$D$22,[1]CURSOS!$E$22,(+IF($N59=[1]CURSOS!$D$23,[1]CURSOS!$E$23,(+IF($N59=[1]CURSOS!$D$24,[1]CURSOS!$E$24,(+IF($N59=[1]CURSOS!$D$25,[1]CURSOS!$E$25,(+IF($N59=[1]CURSOS!$D$26,[1]CURSOS!$E$26,(+IF($N59=[1]CURSOS!$D$27,[1]CURSOS!$E$27,(+IF($N59=[1]CURSOS!$D$28,[1]CURSOS!$E$28,(+IF($N59=[1]CURSOS!$D$29,[1]CURSOS!$E$29,(+IF($N59=[1]CURSOS!$D$30,[1]CURSOS!$E$30,(+IF($N59=[1]CURSOS!$D$31,[1]CURSOS!$E$31,(+IF($N59=[1]CURSOS!$D$32,[1]CURSOS!$E$32)))))))))))))))))))))))))))))))))))))))))))))))))))))))))))</f>
        <v xml:space="preserve">ATENCION A VICTIMAS DE VIOLENCIA SEXUAL </v>
      </c>
      <c r="T59" s="17" t="str">
        <f t="shared" si="15"/>
        <v>Nidia Yamile Jojoa Cuastumal</v>
      </c>
      <c r="U59" s="17" t="str">
        <f t="shared" si="16"/>
        <v>Nidia Yamile Jojoa Cuastumal</v>
      </c>
      <c r="V59" s="17" t="str">
        <f t="shared" si="17"/>
        <v>Nidia Yamile Jojoa Cuastumal-27091524-VIOLENCIA SEXUAL</v>
      </c>
    </row>
    <row r="60" spans="1:22" ht="15.75" x14ac:dyDescent="0.25">
      <c r="A60" s="17">
        <v>66</v>
      </c>
      <c r="B60" s="28" t="s">
        <v>211</v>
      </c>
      <c r="C60" s="25" t="s">
        <v>145</v>
      </c>
      <c r="D60" s="25" t="s">
        <v>160</v>
      </c>
      <c r="E60" s="25" t="s">
        <v>175</v>
      </c>
      <c r="F60" s="26" t="s">
        <v>185</v>
      </c>
      <c r="G60" s="17">
        <v>8</v>
      </c>
      <c r="H60" s="17" t="s">
        <v>63</v>
      </c>
      <c r="I60" s="19">
        <v>45332</v>
      </c>
      <c r="J60" s="1">
        <v>20000</v>
      </c>
      <c r="K60" s="17" t="s">
        <v>208</v>
      </c>
      <c r="L60" s="17" t="s">
        <v>222</v>
      </c>
      <c r="M60" s="17" t="s">
        <v>210</v>
      </c>
      <c r="N60" s="30" t="s">
        <v>19</v>
      </c>
      <c r="O60" s="29"/>
      <c r="P60" s="21" t="s">
        <v>42</v>
      </c>
      <c r="S60" s="17" t="str">
        <f>+IF($N60=[1]CURSOS!$D$3,[1]CURSOS!$E$3,(+IF($N60=[1]CURSOS!$D$4,[1]CURSOS!$E$4,(+IF($N60=[1]CURSOS!$D$5,[1]CURSOS!$E$5,(+IF($N60=[1]CURSOS!$D$6,[1]CURSOS!$E$6,(+IF($N60=[1]CURSOS!$D$7,[1]CURSOS!$E$7,(+IF($N60=[1]CURSOS!$D$8,[1]CURSOS!$E$8,(+IF($N60=[1]CURSOS!$D$9,[1]CURSOS!$E$9,(+IF($N60=[1]CURSOS!$D$10,[1]CURSOS!$E$10,(+IF($N60=[1]CURSOS!$D$11,[1]CURSOS!$E$11,(+IF($N60=[1]CURSOS!$D$12,[1]CURSOS!$E$12,(+IF($N60=[1]CURSOS!$D$13,[1]CURSOS!$E$13,(+IF($N60=[1]CURSOS!$D$14,[1]CURSOS!$E$14,(+IF($N60=[1]CURSOS!$D$15,[1]CURSOS!$E$15,(+IF($N60=[1]CURSOS!$D$16,[1]CURSOS!$E$16,(+IF($N60=[1]CURSOS!$D$17,[1]CURSOS!$E$17,(+IF($N60=[1]CURSOS!$D$18,[1]CURSOS!$E$18,(+IF($N60=[1]CURSOS!$D$19,[1]CURSOS!$E$19,(+IF($N60=[1]CURSOS!$D$20,[1]CURSOS!$E$20,(+IF($N60=[1]CURSOS!$D$21,[1]CURSOS!$E$21,(+IF($N60=[1]CURSOS!$D$22,[1]CURSOS!$E$22,(+IF($N60=[1]CURSOS!$D$23,[1]CURSOS!$E$23,(+IF($N60=[1]CURSOS!$D$24,[1]CURSOS!$E$24,(+IF($N60=[1]CURSOS!$D$25,[1]CURSOS!$E$25,(+IF($N60=[1]CURSOS!$D$26,[1]CURSOS!$E$26,(+IF($N60=[1]CURSOS!$D$27,[1]CURSOS!$E$27,(+IF($N60=[1]CURSOS!$D$28,[1]CURSOS!$E$28,(+IF($N60=[1]CURSOS!$D$29,[1]CURSOS!$E$29,(+IF($N60=[1]CURSOS!$D$30,[1]CURSOS!$E$30,(+IF($N60=[1]CURSOS!$D$31,[1]CURSOS!$E$31,(+IF($N60=[1]CURSOS!$D$32,[1]CURSOS!$E$32)))))))))))))))))))))))))))))))))))))))))))))))))))))))))))</f>
        <v>SOPORTE VITAL BASICO (BLS)</v>
      </c>
      <c r="T60" s="17" t="str">
        <f t="shared" si="15"/>
        <v>Nidia Yamile Jojoa Cuastumal</v>
      </c>
      <c r="U60" s="17" t="str">
        <f t="shared" si="16"/>
        <v>Nidia Yamile Jojoa Cuastumal</v>
      </c>
      <c r="V60" s="17" t="str">
        <f t="shared" si="17"/>
        <v>Nidia Yamile Jojoa Cuastumal-27091 524-BLS</v>
      </c>
    </row>
    <row r="61" spans="1:22" ht="15.75" x14ac:dyDescent="0.25">
      <c r="A61" s="17">
        <v>67</v>
      </c>
      <c r="B61" s="24">
        <v>1085329067</v>
      </c>
      <c r="C61" s="25" t="s">
        <v>146</v>
      </c>
      <c r="D61" s="25" t="s">
        <v>146</v>
      </c>
      <c r="E61" s="25" t="s">
        <v>170</v>
      </c>
      <c r="F61" s="26" t="s">
        <v>186</v>
      </c>
      <c r="G61" s="17">
        <v>8</v>
      </c>
      <c r="H61" s="17" t="s">
        <v>63</v>
      </c>
      <c r="I61" s="19">
        <v>45332</v>
      </c>
      <c r="J61" s="1">
        <v>20000</v>
      </c>
      <c r="K61" s="17" t="s">
        <v>208</v>
      </c>
      <c r="L61" s="17" t="s">
        <v>222</v>
      </c>
      <c r="M61" s="17" t="s">
        <v>210</v>
      </c>
      <c r="N61" s="25" t="s">
        <v>23</v>
      </c>
      <c r="O61" s="27">
        <v>35213</v>
      </c>
      <c r="P61" s="21" t="s">
        <v>42</v>
      </c>
      <c r="S61" s="17" t="str">
        <f>+IF($N61=[1]CURSOS!$D$3,[1]CURSOS!$E$3,(+IF($N61=[1]CURSOS!$D$4,[1]CURSOS!$E$4,(+IF($N61=[1]CURSOS!$D$5,[1]CURSOS!$E$5,(+IF($N61=[1]CURSOS!$D$6,[1]CURSOS!$E$6,(+IF($N61=[1]CURSOS!$D$7,[1]CURSOS!$E$7,(+IF($N61=[1]CURSOS!$D$8,[1]CURSOS!$E$8,(+IF($N61=[1]CURSOS!$D$9,[1]CURSOS!$E$9,(+IF($N61=[1]CURSOS!$D$10,[1]CURSOS!$E$10,(+IF($N61=[1]CURSOS!$D$11,[1]CURSOS!$E$11,(+IF($N61=[1]CURSOS!$D$12,[1]CURSOS!$E$12,(+IF($N61=[1]CURSOS!$D$13,[1]CURSOS!$E$13,(+IF($N61=[1]CURSOS!$D$14,[1]CURSOS!$E$14,(+IF($N61=[1]CURSOS!$D$15,[1]CURSOS!$E$15,(+IF($N61=[1]CURSOS!$D$16,[1]CURSOS!$E$16,(+IF($N61=[1]CURSOS!$D$17,[1]CURSOS!$E$17,(+IF($N61=[1]CURSOS!$D$18,[1]CURSOS!$E$18,(+IF($N61=[1]CURSOS!$D$19,[1]CURSOS!$E$19,(+IF($N61=[1]CURSOS!$D$20,[1]CURSOS!$E$20,(+IF($N61=[1]CURSOS!$D$21,[1]CURSOS!$E$21,(+IF($N61=[1]CURSOS!$D$22,[1]CURSOS!$E$22,(+IF($N61=[1]CURSOS!$D$23,[1]CURSOS!$E$23,(+IF($N61=[1]CURSOS!$D$24,[1]CURSOS!$E$24,(+IF($N61=[1]CURSOS!$D$25,[1]CURSOS!$E$25,(+IF($N61=[1]CURSOS!$D$26,[1]CURSOS!$E$26,(+IF($N61=[1]CURSOS!$D$27,[1]CURSOS!$E$27,(+IF($N61=[1]CURSOS!$D$28,[1]CURSOS!$E$28,(+IF($N61=[1]CURSOS!$D$29,[1]CURSOS!$E$29,(+IF($N61=[1]CURSOS!$D$30,[1]CURSOS!$E$30,(+IF($N61=[1]CURSOS!$D$31,[1]CURSOS!$E$31,(+IF($N61=[1]CURSOS!$D$32,[1]CURSOS!$E$32)))))))))))))))))))))))))))))))))))))))))))))))))))))))))))</f>
        <v xml:space="preserve">HUMANIZACION EN SALUD, BUENAS PRACTICAS EN PACIENTE </v>
      </c>
      <c r="T61" s="17" t="str">
        <f t="shared" si="15"/>
        <v>Leidy Johana Pejendino Pejendino</v>
      </c>
      <c r="U61" s="17" t="str">
        <f t="shared" si="16"/>
        <v>Leidy Johana Pejendino Pejendino</v>
      </c>
      <c r="V61" s="17" t="str">
        <f t="shared" si="17"/>
        <v>Leidy Johana Pejendino Pejendino-1085329067-HUMANIZACION</v>
      </c>
    </row>
    <row r="62" spans="1:22" ht="15.75" x14ac:dyDescent="0.25">
      <c r="A62" s="17">
        <v>68</v>
      </c>
      <c r="B62" s="28">
        <v>1089196341</v>
      </c>
      <c r="C62" s="25" t="s">
        <v>147</v>
      </c>
      <c r="D62" s="25" t="s">
        <v>161</v>
      </c>
      <c r="E62" s="25" t="s">
        <v>176</v>
      </c>
      <c r="F62" s="26" t="s">
        <v>187</v>
      </c>
      <c r="G62" s="17">
        <v>8</v>
      </c>
      <c r="H62" s="17" t="s">
        <v>63</v>
      </c>
      <c r="I62" s="19">
        <v>45332</v>
      </c>
      <c r="J62" s="1">
        <v>20000</v>
      </c>
      <c r="K62" s="17" t="s">
        <v>208</v>
      </c>
      <c r="L62" s="17" t="s">
        <v>222</v>
      </c>
      <c r="M62" s="17" t="s">
        <v>210</v>
      </c>
      <c r="N62" s="25" t="s">
        <v>27</v>
      </c>
      <c r="O62" s="29">
        <v>32914</v>
      </c>
      <c r="P62" s="21" t="s">
        <v>42</v>
      </c>
      <c r="S62" s="17" t="str">
        <f>+IF($N62=[1]CURSOS!$D$3,[1]CURSOS!$E$3,(+IF($N62=[1]CURSOS!$D$4,[1]CURSOS!$E$4,(+IF($N62=[1]CURSOS!$D$5,[1]CURSOS!$E$5,(+IF($N62=[1]CURSOS!$D$6,[1]CURSOS!$E$6,(+IF($N62=[1]CURSOS!$D$7,[1]CURSOS!$E$7,(+IF($N62=[1]CURSOS!$D$8,[1]CURSOS!$E$8,(+IF($N62=[1]CURSOS!$D$9,[1]CURSOS!$E$9,(+IF($N62=[1]CURSOS!$D$10,[1]CURSOS!$E$10,(+IF($N62=[1]CURSOS!$D$11,[1]CURSOS!$E$11,(+IF($N62=[1]CURSOS!$D$12,[1]CURSOS!$E$12,(+IF($N62=[1]CURSOS!$D$13,[1]CURSOS!$E$13,(+IF($N62=[1]CURSOS!$D$14,[1]CURSOS!$E$14,(+IF($N62=[1]CURSOS!$D$15,[1]CURSOS!$E$15,(+IF($N62=[1]CURSOS!$D$16,[1]CURSOS!$E$16,(+IF($N62=[1]CURSOS!$D$17,[1]CURSOS!$E$17,(+IF($N62=[1]CURSOS!$D$18,[1]CURSOS!$E$18,(+IF($N62=[1]CURSOS!$D$19,[1]CURSOS!$E$19,(+IF($N62=[1]CURSOS!$D$20,[1]CURSOS!$E$20,(+IF($N62=[1]CURSOS!$D$21,[1]CURSOS!$E$21,(+IF($N62=[1]CURSOS!$D$22,[1]CURSOS!$E$22,(+IF($N62=[1]CURSOS!$D$23,[1]CURSOS!$E$23,(+IF($N62=[1]CURSOS!$D$24,[1]CURSOS!$E$24,(+IF($N62=[1]CURSOS!$D$25,[1]CURSOS!$E$25,(+IF($N62=[1]CURSOS!$D$26,[1]CURSOS!$E$26,(+IF($N62=[1]CURSOS!$D$27,[1]CURSOS!$E$27,(+IF($N62=[1]CURSOS!$D$28,[1]CURSOS!$E$28,(+IF($N62=[1]CURSOS!$D$29,[1]CURSOS!$E$29,(+IF($N62=[1]CURSOS!$D$30,[1]CURSOS!$E$30,(+IF($N62=[1]CURSOS!$D$31,[1]CURSOS!$E$31,(+IF($N62=[1]CURSOS!$D$32,[1]CURSOS!$E$32)))))))))))))))))))))))))))))))))))))))))))))))))))))))))))</f>
        <v xml:space="preserve">ATENCION A VICTIMAS DE VIOLENCIA SEXUAL </v>
      </c>
      <c r="T62" s="17" t="str">
        <f t="shared" si="15"/>
        <v>Jenny Marinela Riascos Morales</v>
      </c>
      <c r="U62" s="17" t="str">
        <f t="shared" si="16"/>
        <v>Jenny Marinela Riascos Morales</v>
      </c>
      <c r="V62" s="17" t="str">
        <f t="shared" si="17"/>
        <v>Jenny Marinela Riascos Morales-1089196341-VIOLENCIA SEXUAL</v>
      </c>
    </row>
    <row r="63" spans="1:22" ht="15.75" x14ac:dyDescent="0.25">
      <c r="A63" s="17">
        <v>69</v>
      </c>
      <c r="B63" s="28">
        <v>1089196341</v>
      </c>
      <c r="C63" s="25" t="s">
        <v>147</v>
      </c>
      <c r="D63" s="25" t="s">
        <v>161</v>
      </c>
      <c r="E63" s="25" t="s">
        <v>176</v>
      </c>
      <c r="F63" s="26" t="s">
        <v>187</v>
      </c>
      <c r="G63" s="17">
        <v>8</v>
      </c>
      <c r="H63" s="17" t="s">
        <v>63</v>
      </c>
      <c r="I63" s="19">
        <v>45332</v>
      </c>
      <c r="J63" s="1">
        <v>20000</v>
      </c>
      <c r="K63" s="17" t="s">
        <v>208</v>
      </c>
      <c r="L63" s="17" t="s">
        <v>222</v>
      </c>
      <c r="M63" s="17" t="s">
        <v>210</v>
      </c>
      <c r="N63" s="25" t="s">
        <v>21</v>
      </c>
      <c r="O63" s="29"/>
      <c r="P63" s="21" t="s">
        <v>42</v>
      </c>
      <c r="S63" s="17" t="str">
        <f>+IF($N63=[1]CURSOS!$D$3,[1]CURSOS!$E$3,(+IF($N63=[1]CURSOS!$D$4,[1]CURSOS!$E$4,(+IF($N63=[1]CURSOS!$D$5,[1]CURSOS!$E$5,(+IF($N63=[1]CURSOS!$D$6,[1]CURSOS!$E$6,(+IF($N63=[1]CURSOS!$D$7,[1]CURSOS!$E$7,(+IF($N63=[1]CURSOS!$D$8,[1]CURSOS!$E$8,(+IF($N63=[1]CURSOS!$D$9,[1]CURSOS!$E$9,(+IF($N63=[1]CURSOS!$D$10,[1]CURSOS!$E$10,(+IF($N63=[1]CURSOS!$D$11,[1]CURSOS!$E$11,(+IF($N63=[1]CURSOS!$D$12,[1]CURSOS!$E$12,(+IF($N63=[1]CURSOS!$D$13,[1]CURSOS!$E$13,(+IF($N63=[1]CURSOS!$D$14,[1]CURSOS!$E$14,(+IF($N63=[1]CURSOS!$D$15,[1]CURSOS!$E$15,(+IF($N63=[1]CURSOS!$D$16,[1]CURSOS!$E$16,(+IF($N63=[1]CURSOS!$D$17,[1]CURSOS!$E$17,(+IF($N63=[1]CURSOS!$D$18,[1]CURSOS!$E$18,(+IF($N63=[1]CURSOS!$D$19,[1]CURSOS!$E$19,(+IF($N63=[1]CURSOS!$D$20,[1]CURSOS!$E$20,(+IF($N63=[1]CURSOS!$D$21,[1]CURSOS!$E$21,(+IF($N63=[1]CURSOS!$D$22,[1]CURSOS!$E$22,(+IF($N63=[1]CURSOS!$D$23,[1]CURSOS!$E$23,(+IF($N63=[1]CURSOS!$D$24,[1]CURSOS!$E$24,(+IF($N63=[1]CURSOS!$D$25,[1]CURSOS!$E$25,(+IF($N63=[1]CURSOS!$D$26,[1]CURSOS!$E$26,(+IF($N63=[1]CURSOS!$D$27,[1]CURSOS!$E$27,(+IF($N63=[1]CURSOS!$D$28,[1]CURSOS!$E$28,(+IF($N63=[1]CURSOS!$D$29,[1]CURSOS!$E$29,(+IF($N63=[1]CURSOS!$D$30,[1]CURSOS!$E$30,(+IF($N63=[1]CURSOS!$D$31,[1]CURSOS!$E$31,(+IF($N63=[1]CURSOS!$D$32,[1]CURSOS!$E$32)))))))))))))))))))))))))))))))))))))))))))))))))))))))))))</f>
        <v xml:space="preserve">ATENCION A VICTIMAS DE ATAQUE CON AGENTES QUIMICOS </v>
      </c>
      <c r="T63" s="17" t="str">
        <f t="shared" si="15"/>
        <v>Jenny Marinela Riascos Morales</v>
      </c>
      <c r="U63" s="17" t="str">
        <f t="shared" si="16"/>
        <v>Jenny Marinela Riascos Morales</v>
      </c>
      <c r="V63" s="17" t="str">
        <f t="shared" si="17"/>
        <v>Jenny Marinela Riascos Morales-1089196341-QUIMICOS</v>
      </c>
    </row>
    <row r="64" spans="1:22" ht="15.75" x14ac:dyDescent="0.25">
      <c r="A64" s="17">
        <v>70</v>
      </c>
      <c r="B64" s="28">
        <v>1089196341</v>
      </c>
      <c r="C64" s="25" t="s">
        <v>147</v>
      </c>
      <c r="D64" s="25" t="s">
        <v>161</v>
      </c>
      <c r="E64" s="25" t="s">
        <v>176</v>
      </c>
      <c r="F64" s="26" t="s">
        <v>187</v>
      </c>
      <c r="G64" s="17">
        <v>8</v>
      </c>
      <c r="H64" s="17" t="s">
        <v>63</v>
      </c>
      <c r="I64" s="19">
        <v>45344</v>
      </c>
      <c r="J64" s="1">
        <v>20000</v>
      </c>
      <c r="K64" s="17" t="s">
        <v>83</v>
      </c>
      <c r="L64" s="17" t="s">
        <v>222</v>
      </c>
      <c r="M64" s="17" t="s">
        <v>210</v>
      </c>
      <c r="N64" s="25" t="s">
        <v>20</v>
      </c>
      <c r="O64" s="29"/>
      <c r="P64" s="21" t="s">
        <v>42</v>
      </c>
      <c r="S64" s="17" t="str">
        <f>+IF($N64=[1]CURSOS!$D$3,[1]CURSOS!$E$3,(+IF($N64=[1]CURSOS!$D$4,[1]CURSOS!$E$4,(+IF($N64=[1]CURSOS!$D$5,[1]CURSOS!$E$5,(+IF($N64=[1]CURSOS!$D$6,[1]CURSOS!$E$6,(+IF($N64=[1]CURSOS!$D$7,[1]CURSOS!$E$7,(+IF($N64=[1]CURSOS!$D$8,[1]CURSOS!$E$8,(+IF($N64=[1]CURSOS!$D$9,[1]CURSOS!$E$9,(+IF($N64=[1]CURSOS!$D$10,[1]CURSOS!$E$10,(+IF($N64=[1]CURSOS!$D$11,[1]CURSOS!$E$11,(+IF($N64=[1]CURSOS!$D$12,[1]CURSOS!$E$12,(+IF($N64=[1]CURSOS!$D$13,[1]CURSOS!$E$13,(+IF($N64=[1]CURSOS!$D$14,[1]CURSOS!$E$14,(+IF($N64=[1]CURSOS!$D$15,[1]CURSOS!$E$15,(+IF($N64=[1]CURSOS!$D$16,[1]CURSOS!$E$16,(+IF($N64=[1]CURSOS!$D$17,[1]CURSOS!$E$17,(+IF($N64=[1]CURSOS!$D$18,[1]CURSOS!$E$18,(+IF($N64=[1]CURSOS!$D$19,[1]CURSOS!$E$19,(+IF($N64=[1]CURSOS!$D$20,[1]CURSOS!$E$20,(+IF($N64=[1]CURSOS!$D$21,[1]CURSOS!$E$21,(+IF($N64=[1]CURSOS!$D$22,[1]CURSOS!$E$22,(+IF($N64=[1]CURSOS!$D$23,[1]CURSOS!$E$23,(+IF($N64=[1]CURSOS!$D$24,[1]CURSOS!$E$24,(+IF($N64=[1]CURSOS!$D$25,[1]CURSOS!$E$25,(+IF($N64=[1]CURSOS!$D$26,[1]CURSOS!$E$26,(+IF($N64=[1]CURSOS!$D$27,[1]CURSOS!$E$27,(+IF($N64=[1]CURSOS!$D$28,[1]CURSOS!$E$28,(+IF($N64=[1]CURSOS!$D$29,[1]CURSOS!$E$29,(+IF($N64=[1]CURSOS!$D$30,[1]CURSOS!$E$30,(+IF($N64=[1]CURSOS!$D$31,[1]CURSOS!$E$31,(+IF($N64=[1]CURSOS!$D$32,[1]CURSOS!$E$32)))))))))))))))))))))))))))))))))))))))))))))))))))))))))))</f>
        <v>ACOMPAÑAMIENTO Y MANEJO DEL DUELO</v>
      </c>
      <c r="T64" s="17" t="str">
        <f t="shared" si="15"/>
        <v>Jenny Marinela Riascos Morales</v>
      </c>
      <c r="U64" s="17" t="str">
        <f t="shared" si="16"/>
        <v>Jenny Marinela Riascos Morales</v>
      </c>
      <c r="V64" s="17" t="str">
        <f t="shared" si="17"/>
        <v>Jenny Marinela Riascos Morales-1089196341-DUELO</v>
      </c>
    </row>
    <row r="65" spans="1:22" ht="15.75" x14ac:dyDescent="0.25">
      <c r="A65" s="17">
        <v>71</v>
      </c>
      <c r="B65" s="28">
        <v>1089196341</v>
      </c>
      <c r="C65" s="25" t="s">
        <v>147</v>
      </c>
      <c r="D65" s="25" t="s">
        <v>161</v>
      </c>
      <c r="E65" s="25" t="s">
        <v>176</v>
      </c>
      <c r="F65" s="26" t="s">
        <v>187</v>
      </c>
      <c r="G65" s="17">
        <v>8</v>
      </c>
      <c r="H65" s="17" t="s">
        <v>63</v>
      </c>
      <c r="I65" s="19">
        <v>45344</v>
      </c>
      <c r="J65" s="1">
        <v>20000</v>
      </c>
      <c r="K65" s="17" t="s">
        <v>83</v>
      </c>
      <c r="L65" s="17" t="s">
        <v>222</v>
      </c>
      <c r="M65" s="17" t="s">
        <v>210</v>
      </c>
      <c r="N65" s="25" t="s">
        <v>23</v>
      </c>
      <c r="O65" s="29"/>
      <c r="P65" s="21" t="s">
        <v>42</v>
      </c>
      <c r="S65" s="17" t="str">
        <f>+IF($N65=[1]CURSOS!$D$3,[1]CURSOS!$E$3,(+IF($N65=[1]CURSOS!$D$4,[1]CURSOS!$E$4,(+IF($N65=[1]CURSOS!$D$5,[1]CURSOS!$E$5,(+IF($N65=[1]CURSOS!$D$6,[1]CURSOS!$E$6,(+IF($N65=[1]CURSOS!$D$7,[1]CURSOS!$E$7,(+IF($N65=[1]CURSOS!$D$8,[1]CURSOS!$E$8,(+IF($N65=[1]CURSOS!$D$9,[1]CURSOS!$E$9,(+IF($N65=[1]CURSOS!$D$10,[1]CURSOS!$E$10,(+IF($N65=[1]CURSOS!$D$11,[1]CURSOS!$E$11,(+IF($N65=[1]CURSOS!$D$12,[1]CURSOS!$E$12,(+IF($N65=[1]CURSOS!$D$13,[1]CURSOS!$E$13,(+IF($N65=[1]CURSOS!$D$14,[1]CURSOS!$E$14,(+IF($N65=[1]CURSOS!$D$15,[1]CURSOS!$E$15,(+IF($N65=[1]CURSOS!$D$16,[1]CURSOS!$E$16,(+IF($N65=[1]CURSOS!$D$17,[1]CURSOS!$E$17,(+IF($N65=[1]CURSOS!$D$18,[1]CURSOS!$E$18,(+IF($N65=[1]CURSOS!$D$19,[1]CURSOS!$E$19,(+IF($N65=[1]CURSOS!$D$20,[1]CURSOS!$E$20,(+IF($N65=[1]CURSOS!$D$21,[1]CURSOS!$E$21,(+IF($N65=[1]CURSOS!$D$22,[1]CURSOS!$E$22,(+IF($N65=[1]CURSOS!$D$23,[1]CURSOS!$E$23,(+IF($N65=[1]CURSOS!$D$24,[1]CURSOS!$E$24,(+IF($N65=[1]CURSOS!$D$25,[1]CURSOS!$E$25,(+IF($N65=[1]CURSOS!$D$26,[1]CURSOS!$E$26,(+IF($N65=[1]CURSOS!$D$27,[1]CURSOS!$E$27,(+IF($N65=[1]CURSOS!$D$28,[1]CURSOS!$E$28,(+IF($N65=[1]CURSOS!$D$29,[1]CURSOS!$E$29,(+IF($N65=[1]CURSOS!$D$30,[1]CURSOS!$E$30,(+IF($N65=[1]CURSOS!$D$31,[1]CURSOS!$E$31,(+IF($N65=[1]CURSOS!$D$32,[1]CURSOS!$E$32)))))))))))))))))))))))))))))))))))))))))))))))))))))))))))</f>
        <v xml:space="preserve">HUMANIZACION EN SALUD, BUENAS PRACTICAS EN PACIENTE </v>
      </c>
      <c r="T65" s="17" t="str">
        <f t="shared" si="15"/>
        <v>Jenny Marinela Riascos Morales</v>
      </c>
      <c r="U65" s="17" t="str">
        <f t="shared" si="16"/>
        <v>Jenny Marinela Riascos Morales</v>
      </c>
      <c r="V65" s="17" t="str">
        <f t="shared" si="17"/>
        <v>Jenny Marinela Riascos Morales-1089196341-HUMANIZACION</v>
      </c>
    </row>
    <row r="66" spans="1:22" ht="15.75" x14ac:dyDescent="0.25">
      <c r="A66" s="17">
        <v>72</v>
      </c>
      <c r="B66" s="17">
        <v>1088972446</v>
      </c>
      <c r="C66" s="17" t="s">
        <v>128</v>
      </c>
      <c r="D66" s="17" t="s">
        <v>189</v>
      </c>
      <c r="E66" s="17" t="s">
        <v>190</v>
      </c>
      <c r="F66" s="26" t="s">
        <v>44</v>
      </c>
      <c r="G66" s="17">
        <v>8</v>
      </c>
      <c r="H66" s="17" t="s">
        <v>63</v>
      </c>
      <c r="I66" s="19">
        <v>45331</v>
      </c>
      <c r="J66" s="1">
        <v>35000</v>
      </c>
      <c r="K66" s="17" t="s">
        <v>83</v>
      </c>
      <c r="L66" s="17" t="s">
        <v>222</v>
      </c>
      <c r="M66" s="17" t="s">
        <v>40</v>
      </c>
      <c r="N66" s="17" t="s">
        <v>27</v>
      </c>
      <c r="O66" s="20">
        <v>32743</v>
      </c>
      <c r="P66" s="21" t="s">
        <v>39</v>
      </c>
      <c r="S66" s="17" t="str">
        <f>+IF($N66=[1]CURSOS!$D$3,[1]CURSOS!$E$3,(+IF($N66=[1]CURSOS!$D$4,[1]CURSOS!$E$4,(+IF($N66=[1]CURSOS!$D$5,[1]CURSOS!$E$5,(+IF($N66=[1]CURSOS!$D$6,[1]CURSOS!$E$6,(+IF($N66=[1]CURSOS!$D$7,[1]CURSOS!$E$7,(+IF($N66=[1]CURSOS!$D$8,[1]CURSOS!$E$8,(+IF($N66=[1]CURSOS!$D$9,[1]CURSOS!$E$9,(+IF($N66=[1]CURSOS!$D$10,[1]CURSOS!$E$10,(+IF($N66=[1]CURSOS!$D$11,[1]CURSOS!$E$11,(+IF($N66=[1]CURSOS!$D$12,[1]CURSOS!$E$12,(+IF($N66=[1]CURSOS!$D$13,[1]CURSOS!$E$13,(+IF($N66=[1]CURSOS!$D$14,[1]CURSOS!$E$14,(+IF($N66=[1]CURSOS!$D$15,[1]CURSOS!$E$15,(+IF($N66=[1]CURSOS!$D$16,[1]CURSOS!$E$16,(+IF($N66=[1]CURSOS!$D$17,[1]CURSOS!$E$17,(+IF($N66=[1]CURSOS!$D$18,[1]CURSOS!$E$18,(+IF($N66=[1]CURSOS!$D$19,[1]CURSOS!$E$19,(+IF($N66=[1]CURSOS!$D$20,[1]CURSOS!$E$20,(+IF($N66=[1]CURSOS!$D$21,[1]CURSOS!$E$21,(+IF($N66=[1]CURSOS!$D$22,[1]CURSOS!$E$22,(+IF($N66=[1]CURSOS!$D$23,[1]CURSOS!$E$23,(+IF($N66=[1]CURSOS!$D$24,[1]CURSOS!$E$24,(+IF($N66=[1]CURSOS!$D$25,[1]CURSOS!$E$25,(+IF($N66=[1]CURSOS!$D$26,[1]CURSOS!$E$26,(+IF($N66=[1]CURSOS!$D$27,[1]CURSOS!$E$27,(+IF($N66=[1]CURSOS!$D$28,[1]CURSOS!$E$28,(+IF($N66=[1]CURSOS!$D$29,[1]CURSOS!$E$29,(+IF($N66=[1]CURSOS!$D$30,[1]CURSOS!$E$30,(+IF($N66=[1]CURSOS!$D$31,[1]CURSOS!$E$31,(+IF($N66=[1]CURSOS!$D$32,[1]CURSOS!$E$32)))))))))))))))))))))))))))))))))))))))))))))))))))))))))))</f>
        <v xml:space="preserve">ATENCION A VICTIMAS DE VIOLENCIA SEXUAL </v>
      </c>
      <c r="T66" s="17" t="str">
        <f t="shared" ref="T66:T74" si="18">CONCATENATE(E66," ",F66," ",C66," ",D66)</f>
        <v>Jaime Andres Ruiz Bravo</v>
      </c>
      <c r="U66" s="17" t="str">
        <f t="shared" ref="U66:U74" si="19">+PROPER(T66)</f>
        <v>Jaime Andres Ruiz Bravo</v>
      </c>
      <c r="V66" s="17" t="str">
        <f t="shared" ref="V66:V74" si="20">CONCATENATE(T66,"-",B66,"-",N66)</f>
        <v>Jaime Andres Ruiz Bravo-1088972446-VIOLENCIA SEXUAL</v>
      </c>
    </row>
    <row r="67" spans="1:22" ht="15.75" x14ac:dyDescent="0.25">
      <c r="A67" s="17">
        <v>73</v>
      </c>
      <c r="B67" s="17">
        <v>27277376</v>
      </c>
      <c r="C67" s="17" t="s">
        <v>149</v>
      </c>
      <c r="D67" s="17" t="s">
        <v>143</v>
      </c>
      <c r="E67" s="17" t="s">
        <v>191</v>
      </c>
      <c r="F67" s="26" t="s">
        <v>192</v>
      </c>
      <c r="G67" s="17">
        <v>9</v>
      </c>
      <c r="H67" s="17" t="s">
        <v>63</v>
      </c>
      <c r="I67" s="19">
        <v>45331</v>
      </c>
      <c r="J67" s="1">
        <v>30000</v>
      </c>
      <c r="K67" s="17" t="s">
        <v>83</v>
      </c>
      <c r="L67" s="17" t="s">
        <v>222</v>
      </c>
      <c r="M67" s="17" t="s">
        <v>40</v>
      </c>
      <c r="N67" s="17" t="s">
        <v>26</v>
      </c>
      <c r="O67" s="20">
        <v>27757</v>
      </c>
      <c r="P67" s="21" t="s">
        <v>42</v>
      </c>
      <c r="S67" s="17" t="str">
        <f>+IF($N67=[1]CURSOS!$D$3,[1]CURSOS!$E$3,(+IF($N67=[1]CURSOS!$D$4,[1]CURSOS!$E$4,(+IF($N67=[1]CURSOS!$D$5,[1]CURSOS!$E$5,(+IF($N67=[1]CURSOS!$D$6,[1]CURSOS!$E$6,(+IF($N67=[1]CURSOS!$D$7,[1]CURSOS!$E$7,(+IF($N67=[1]CURSOS!$D$8,[1]CURSOS!$E$8,(+IF($N67=[1]CURSOS!$D$9,[1]CURSOS!$E$9,(+IF($N67=[1]CURSOS!$D$10,[1]CURSOS!$E$10,(+IF($N67=[1]CURSOS!$D$11,[1]CURSOS!$E$11,(+IF($N67=[1]CURSOS!$D$12,[1]CURSOS!$E$12,(+IF($N67=[1]CURSOS!$D$13,[1]CURSOS!$E$13,(+IF($N67=[1]CURSOS!$D$14,[1]CURSOS!$E$14,(+IF($N67=[1]CURSOS!$D$15,[1]CURSOS!$E$15,(+IF($N67=[1]CURSOS!$D$16,[1]CURSOS!$E$16,(+IF($N67=[1]CURSOS!$D$17,[1]CURSOS!$E$17,(+IF($N67=[1]CURSOS!$D$18,[1]CURSOS!$E$18,(+IF($N67=[1]CURSOS!$D$19,[1]CURSOS!$E$19,(+IF($N67=[1]CURSOS!$D$20,[1]CURSOS!$E$20,(+IF($N67=[1]CURSOS!$D$21,[1]CURSOS!$E$21,(+IF($N67=[1]CURSOS!$D$22,[1]CURSOS!$E$22,(+IF($N67=[1]CURSOS!$D$23,[1]CURSOS!$E$23,(+IF($N67=[1]CURSOS!$D$24,[1]CURSOS!$E$24,(+IF($N67=[1]CURSOS!$D$25,[1]CURSOS!$E$25,(+IF($N67=[1]CURSOS!$D$26,[1]CURSOS!$E$26,(+IF($N67=[1]CURSOS!$D$27,[1]CURSOS!$E$27,(+IF($N67=[1]CURSOS!$D$28,[1]CURSOS!$E$28,(+IF($N67=[1]CURSOS!$D$29,[1]CURSOS!$E$29,(+IF($N67=[1]CURSOS!$D$30,[1]CURSOS!$E$30,(+IF($N67=[1]CURSOS!$D$31,[1]CURSOS!$E$31,(+IF($N67=[1]CURSOS!$D$32,[1]CURSOS!$E$32)))))))))))))))))))))))))))))))))))))))))))))))))))))))))))</f>
        <v>TOMA MUESTRAS Y LABORATORIO CLINICO</v>
      </c>
      <c r="T67" s="17" t="str">
        <f t="shared" si="18"/>
        <v>Yenny Amalfy Gomez Ibarra</v>
      </c>
      <c r="U67" s="17" t="str">
        <f t="shared" si="19"/>
        <v>Yenny Amalfy Gomez Ibarra</v>
      </c>
      <c r="V67" s="17" t="str">
        <f t="shared" si="20"/>
        <v>Yenny Amalfy Gomez Ibarra-27277376-TOMA DE MUESTRAS</v>
      </c>
    </row>
    <row r="68" spans="1:22" ht="15.75" x14ac:dyDescent="0.25">
      <c r="A68" s="17">
        <v>74</v>
      </c>
      <c r="B68" s="17">
        <v>27277376</v>
      </c>
      <c r="C68" s="17" t="s">
        <v>149</v>
      </c>
      <c r="D68" s="17" t="s">
        <v>143</v>
      </c>
      <c r="E68" s="17" t="s">
        <v>191</v>
      </c>
      <c r="F68" s="26" t="s">
        <v>192</v>
      </c>
      <c r="G68" s="17">
        <v>9</v>
      </c>
      <c r="H68" s="17" t="s">
        <v>63</v>
      </c>
      <c r="I68" s="19">
        <v>45331</v>
      </c>
      <c r="J68" s="1">
        <v>50000</v>
      </c>
      <c r="K68" s="17" t="s">
        <v>83</v>
      </c>
      <c r="L68" s="17" t="s">
        <v>222</v>
      </c>
      <c r="M68" s="17" t="s">
        <v>40</v>
      </c>
      <c r="N68" s="17" t="s">
        <v>27</v>
      </c>
      <c r="O68" s="20">
        <v>27757</v>
      </c>
      <c r="P68" s="21" t="s">
        <v>42</v>
      </c>
      <c r="S68" s="17" t="str">
        <f>+IF($N68=[1]CURSOS!$D$3,[1]CURSOS!$E$3,(+IF($N68=[1]CURSOS!$D$4,[1]CURSOS!$E$4,(+IF($N68=[1]CURSOS!$D$5,[1]CURSOS!$E$5,(+IF($N68=[1]CURSOS!$D$6,[1]CURSOS!$E$6,(+IF($N68=[1]CURSOS!$D$7,[1]CURSOS!$E$7,(+IF($N68=[1]CURSOS!$D$8,[1]CURSOS!$E$8,(+IF($N68=[1]CURSOS!$D$9,[1]CURSOS!$E$9,(+IF($N68=[1]CURSOS!$D$10,[1]CURSOS!$E$10,(+IF($N68=[1]CURSOS!$D$11,[1]CURSOS!$E$11,(+IF($N68=[1]CURSOS!$D$12,[1]CURSOS!$E$12,(+IF($N68=[1]CURSOS!$D$13,[1]CURSOS!$E$13,(+IF($N68=[1]CURSOS!$D$14,[1]CURSOS!$E$14,(+IF($N68=[1]CURSOS!$D$15,[1]CURSOS!$E$15,(+IF($N68=[1]CURSOS!$D$16,[1]CURSOS!$E$16,(+IF($N68=[1]CURSOS!$D$17,[1]CURSOS!$E$17,(+IF($N68=[1]CURSOS!$D$18,[1]CURSOS!$E$18,(+IF($N68=[1]CURSOS!$D$19,[1]CURSOS!$E$19,(+IF($N68=[1]CURSOS!$D$20,[1]CURSOS!$E$20,(+IF($N68=[1]CURSOS!$D$21,[1]CURSOS!$E$21,(+IF($N68=[1]CURSOS!$D$22,[1]CURSOS!$E$22,(+IF($N68=[1]CURSOS!$D$23,[1]CURSOS!$E$23,(+IF($N68=[1]CURSOS!$D$24,[1]CURSOS!$E$24,(+IF($N68=[1]CURSOS!$D$25,[1]CURSOS!$E$25,(+IF($N68=[1]CURSOS!$D$26,[1]CURSOS!$E$26,(+IF($N68=[1]CURSOS!$D$27,[1]CURSOS!$E$27,(+IF($N68=[1]CURSOS!$D$28,[1]CURSOS!$E$28,(+IF($N68=[1]CURSOS!$D$29,[1]CURSOS!$E$29,(+IF($N68=[1]CURSOS!$D$30,[1]CURSOS!$E$30,(+IF($N68=[1]CURSOS!$D$31,[1]CURSOS!$E$31,(+IF($N68=[1]CURSOS!$D$32,[1]CURSOS!$E$32)))))))))))))))))))))))))))))))))))))))))))))))))))))))))))</f>
        <v xml:space="preserve">ATENCION A VICTIMAS DE VIOLENCIA SEXUAL </v>
      </c>
      <c r="T68" s="17" t="str">
        <f t="shared" si="18"/>
        <v>Yenny Amalfy Gomez Ibarra</v>
      </c>
      <c r="U68" s="17" t="str">
        <f t="shared" si="19"/>
        <v>Yenny Amalfy Gomez Ibarra</v>
      </c>
      <c r="V68" s="17" t="str">
        <f t="shared" si="20"/>
        <v>Yenny Amalfy Gomez Ibarra-27277376-VIOLENCIA SEXUAL</v>
      </c>
    </row>
    <row r="69" spans="1:22" x14ac:dyDescent="0.2">
      <c r="A69" s="17">
        <v>75</v>
      </c>
      <c r="B69" s="17">
        <v>1130654663</v>
      </c>
      <c r="C69" s="17" t="s">
        <v>193</v>
      </c>
      <c r="D69" s="17" t="s">
        <v>194</v>
      </c>
      <c r="E69" s="17" t="s">
        <v>195</v>
      </c>
      <c r="F69" s="18" t="s">
        <v>196</v>
      </c>
      <c r="G69" s="17">
        <v>8</v>
      </c>
      <c r="H69" s="17" t="s">
        <v>63</v>
      </c>
      <c r="I69" s="19">
        <v>45331</v>
      </c>
      <c r="J69" s="1">
        <v>50000</v>
      </c>
      <c r="K69" s="17" t="s">
        <v>83</v>
      </c>
      <c r="L69" s="17" t="s">
        <v>222</v>
      </c>
      <c r="M69" s="17" t="s">
        <v>40</v>
      </c>
      <c r="N69" s="17" t="s">
        <v>71</v>
      </c>
      <c r="O69" s="20">
        <v>31797</v>
      </c>
      <c r="P69" s="21" t="s">
        <v>42</v>
      </c>
      <c r="S69" s="17" t="str">
        <f>+IF($N69=[1]CURSOS!$D$3,[1]CURSOS!$E$3,(+IF($N69=[1]CURSOS!$D$4,[1]CURSOS!$E$4,(+IF($N69=[1]CURSOS!$D$5,[1]CURSOS!$E$5,(+IF($N69=[1]CURSOS!$D$6,[1]CURSOS!$E$6,(+IF($N69=[1]CURSOS!$D$7,[1]CURSOS!$E$7,(+IF($N69=[1]CURSOS!$D$8,[1]CURSOS!$E$8,(+IF($N69=[1]CURSOS!$D$9,[1]CURSOS!$E$9,(+IF($N69=[1]CURSOS!$D$10,[1]CURSOS!$E$10,(+IF($N69=[1]CURSOS!$D$11,[1]CURSOS!$E$11,(+IF($N69=[1]CURSOS!$D$12,[1]CURSOS!$E$12,(+IF($N69=[1]CURSOS!$D$13,[1]CURSOS!$E$13,(+IF($N69=[1]CURSOS!$D$14,[1]CURSOS!$E$14,(+IF($N69=[1]CURSOS!$D$15,[1]CURSOS!$E$15,(+IF($N69=[1]CURSOS!$D$16,[1]CURSOS!$E$16,(+IF($N69=[1]CURSOS!$D$17,[1]CURSOS!$E$17,(+IF($N69=[1]CURSOS!$D$18,[1]CURSOS!$E$18,(+IF($N69=[1]CURSOS!$D$19,[1]CURSOS!$E$19,(+IF($N69=[1]CURSOS!$D$20,[1]CURSOS!$E$20,(+IF($N69=[1]CURSOS!$D$21,[1]CURSOS!$E$21,(+IF($N69=[1]CURSOS!$D$22,[1]CURSOS!$E$22,(+IF($N69=[1]CURSOS!$D$23,[1]CURSOS!$E$23,(+IF($N69=[1]CURSOS!$D$24,[1]CURSOS!$E$24,(+IF($N69=[1]CURSOS!$D$25,[1]CURSOS!$E$25,(+IF($N69=[1]CURSOS!$D$26,[1]CURSOS!$E$26,(+IF($N69=[1]CURSOS!$D$27,[1]CURSOS!$E$27,(+IF($N69=[1]CURSOS!$D$28,[1]CURSOS!$E$28,(+IF($N69=[1]CURSOS!$D$29,[1]CURSOS!$E$29,(+IF($N69=[1]CURSOS!$D$30,[1]CURSOS!$E$30,(+IF($N69=[1]CURSOS!$D$31,[1]CURSOS!$E$31,(+IF($N69=[1]CURSOS!$D$32,[1]CURSOS!$E$32)))))))))))))))))))))))))))))))))))))))))))))))))))))))))))</f>
        <v xml:space="preserve">HUMANIZACION EN SALUD, BUENAS PRACTICAS EN PACIENTE </v>
      </c>
      <c r="T69" s="17" t="str">
        <f t="shared" si="18"/>
        <v>Yeimi Katerine Bolaños Muñoz</v>
      </c>
      <c r="U69" s="17" t="str">
        <f t="shared" si="19"/>
        <v>Yeimi Katerine Bolaños Muñoz</v>
      </c>
      <c r="V69" s="17" t="str">
        <f t="shared" si="20"/>
        <v>Yeimi Katerine Bolaños Muñoz-1130654663-Humanizacion</v>
      </c>
    </row>
    <row r="70" spans="1:22" x14ac:dyDescent="0.2">
      <c r="A70" s="17">
        <v>76</v>
      </c>
      <c r="B70" s="17">
        <v>1004136828</v>
      </c>
      <c r="C70" s="17" t="s">
        <v>197</v>
      </c>
      <c r="D70" s="17" t="s">
        <v>154</v>
      </c>
      <c r="E70" s="17" t="s">
        <v>198</v>
      </c>
      <c r="F70" s="18" t="s">
        <v>107</v>
      </c>
      <c r="G70" s="17">
        <v>8</v>
      </c>
      <c r="H70" s="17" t="s">
        <v>63</v>
      </c>
      <c r="I70" s="19" t="s">
        <v>67</v>
      </c>
      <c r="J70" s="1">
        <v>30000</v>
      </c>
      <c r="K70" s="17" t="s">
        <v>68</v>
      </c>
      <c r="L70" s="17" t="s">
        <v>222</v>
      </c>
      <c r="M70" s="17" t="s">
        <v>209</v>
      </c>
      <c r="N70" s="17" t="s">
        <v>35</v>
      </c>
      <c r="O70" s="20">
        <v>35888</v>
      </c>
      <c r="P70" s="21" t="s">
        <v>42</v>
      </c>
      <c r="S70" s="17" t="str">
        <f>+IF($N70=[1]CURSOS!$D$3,[1]CURSOS!$E$3,(+IF($N70=[1]CURSOS!$D$4,[1]CURSOS!$E$4,(+IF($N70=[1]CURSOS!$D$5,[1]CURSOS!$E$5,(+IF($N70=[1]CURSOS!$D$6,[1]CURSOS!$E$6,(+IF($N70=[1]CURSOS!$D$7,[1]CURSOS!$E$7,(+IF($N70=[1]CURSOS!$D$8,[1]CURSOS!$E$8,(+IF($N70=[1]CURSOS!$D$9,[1]CURSOS!$E$9,(+IF($N70=[1]CURSOS!$D$10,[1]CURSOS!$E$10,(+IF($N70=[1]CURSOS!$D$11,[1]CURSOS!$E$11,(+IF($N70=[1]CURSOS!$D$12,[1]CURSOS!$E$12,(+IF($N70=[1]CURSOS!$D$13,[1]CURSOS!$E$13,(+IF($N70=[1]CURSOS!$D$14,[1]CURSOS!$E$14,(+IF($N70=[1]CURSOS!$D$15,[1]CURSOS!$E$15,(+IF($N70=[1]CURSOS!$D$16,[1]CURSOS!$E$16,(+IF($N70=[1]CURSOS!$D$17,[1]CURSOS!$E$17,(+IF($N70=[1]CURSOS!$D$18,[1]CURSOS!$E$18,(+IF($N70=[1]CURSOS!$D$19,[1]CURSOS!$E$19,(+IF($N70=[1]CURSOS!$D$20,[1]CURSOS!$E$20,(+IF($N70=[1]CURSOS!$D$21,[1]CURSOS!$E$21,(+IF($N70=[1]CURSOS!$D$22,[1]CURSOS!$E$22,(+IF($N70=[1]CURSOS!$D$23,[1]CURSOS!$E$23,(+IF($N70=[1]CURSOS!$D$24,[1]CURSOS!$E$24,(+IF($N70=[1]CURSOS!$D$25,[1]CURSOS!$E$25,(+IF($N70=[1]CURSOS!$D$26,[1]CURSOS!$E$26,(+IF($N70=[1]CURSOS!$D$27,[1]CURSOS!$E$27,(+IF($N70=[1]CURSOS!$D$28,[1]CURSOS!$E$28,(+IF($N70=[1]CURSOS!$D$29,[1]CURSOS!$E$29,(+IF($N70=[1]CURSOS!$D$30,[1]CURSOS!$E$30,(+IF($N70=[1]CURSOS!$D$31,[1]CURSOS!$E$31,(+IF($N70=[1]CURSOS!$D$32,[1]CURSOS!$E$32)))))))))))))))))))))))))))))))))))))))))))))))))))))))))))</f>
        <v>TOMA MUESTRAS Y LABORATORIO POCT</v>
      </c>
      <c r="T70" s="17" t="str">
        <f t="shared" si="18"/>
        <v>Vanessa Alejandra Timana Mora</v>
      </c>
      <c r="U70" s="17" t="str">
        <f t="shared" si="19"/>
        <v>Vanessa Alejandra Timana Mora</v>
      </c>
      <c r="V70" s="17" t="str">
        <f t="shared" si="20"/>
        <v>Vanessa Alejandra Timana Mora-1004136828-POCT</v>
      </c>
    </row>
    <row r="71" spans="1:22" x14ac:dyDescent="0.2">
      <c r="A71" s="17">
        <v>77</v>
      </c>
      <c r="B71" s="17">
        <v>1085270752</v>
      </c>
      <c r="C71" s="17" t="s">
        <v>199</v>
      </c>
      <c r="D71" s="17" t="s">
        <v>136</v>
      </c>
      <c r="E71" s="17" t="s">
        <v>200</v>
      </c>
      <c r="F71" s="18" t="s">
        <v>201</v>
      </c>
      <c r="G71" s="17">
        <v>9</v>
      </c>
      <c r="H71" s="17" t="s">
        <v>63</v>
      </c>
      <c r="I71" s="19" t="s">
        <v>67</v>
      </c>
      <c r="J71" s="1">
        <v>30000</v>
      </c>
      <c r="K71" s="17" t="s">
        <v>68</v>
      </c>
      <c r="L71" s="17" t="s">
        <v>222</v>
      </c>
      <c r="M71" s="17" t="s">
        <v>209</v>
      </c>
      <c r="N71" s="17" t="s">
        <v>21</v>
      </c>
      <c r="O71" s="20">
        <v>32533</v>
      </c>
      <c r="P71" s="21" t="s">
        <v>42</v>
      </c>
      <c r="S71" s="17" t="str">
        <f>+IF($N71=[1]CURSOS!$D$3,[1]CURSOS!$E$3,(+IF($N71=[1]CURSOS!$D$4,[1]CURSOS!$E$4,(+IF($N71=[1]CURSOS!$D$5,[1]CURSOS!$E$5,(+IF($N71=[1]CURSOS!$D$6,[1]CURSOS!$E$6,(+IF($N71=[1]CURSOS!$D$7,[1]CURSOS!$E$7,(+IF($N71=[1]CURSOS!$D$8,[1]CURSOS!$E$8,(+IF($N71=[1]CURSOS!$D$9,[1]CURSOS!$E$9,(+IF($N71=[1]CURSOS!$D$10,[1]CURSOS!$E$10,(+IF($N71=[1]CURSOS!$D$11,[1]CURSOS!$E$11,(+IF($N71=[1]CURSOS!$D$12,[1]CURSOS!$E$12,(+IF($N71=[1]CURSOS!$D$13,[1]CURSOS!$E$13,(+IF($N71=[1]CURSOS!$D$14,[1]CURSOS!$E$14,(+IF($N71=[1]CURSOS!$D$15,[1]CURSOS!$E$15,(+IF($N71=[1]CURSOS!$D$16,[1]CURSOS!$E$16,(+IF($N71=[1]CURSOS!$D$17,[1]CURSOS!$E$17,(+IF($N71=[1]CURSOS!$D$18,[1]CURSOS!$E$18,(+IF($N71=[1]CURSOS!$D$19,[1]CURSOS!$E$19,(+IF($N71=[1]CURSOS!$D$20,[1]CURSOS!$E$20,(+IF($N71=[1]CURSOS!$D$21,[1]CURSOS!$E$21,(+IF($N71=[1]CURSOS!$D$22,[1]CURSOS!$E$22,(+IF($N71=[1]CURSOS!$D$23,[1]CURSOS!$E$23,(+IF($N71=[1]CURSOS!$D$24,[1]CURSOS!$E$24,(+IF($N71=[1]CURSOS!$D$25,[1]CURSOS!$E$25,(+IF($N71=[1]CURSOS!$D$26,[1]CURSOS!$E$26,(+IF($N71=[1]CURSOS!$D$27,[1]CURSOS!$E$27,(+IF($N71=[1]CURSOS!$D$28,[1]CURSOS!$E$28,(+IF($N71=[1]CURSOS!$D$29,[1]CURSOS!$E$29,(+IF($N71=[1]CURSOS!$D$30,[1]CURSOS!$E$30,(+IF($N71=[1]CURSOS!$D$31,[1]CURSOS!$E$31,(+IF($N71=[1]CURSOS!$D$32,[1]CURSOS!$E$32)))))))))))))))))))))))))))))))))))))))))))))))))))))))))))</f>
        <v xml:space="preserve">ATENCION A VICTIMAS DE ATAQUE CON AGENTES QUIMICOS </v>
      </c>
      <c r="T71" s="17" t="str">
        <f t="shared" si="18"/>
        <v>Karen Viviana Cuaicuan Delgado</v>
      </c>
      <c r="U71" s="17" t="str">
        <f t="shared" si="19"/>
        <v>Karen Viviana Cuaicuan Delgado</v>
      </c>
      <c r="V71" s="17" t="str">
        <f t="shared" si="20"/>
        <v>Karen Viviana Cuaicuan Delgado-1085270752-QUIMICOS</v>
      </c>
    </row>
    <row r="72" spans="1:22" x14ac:dyDescent="0.2">
      <c r="A72" s="17">
        <v>78</v>
      </c>
      <c r="B72" s="17">
        <v>1085270752</v>
      </c>
      <c r="C72" s="17" t="s">
        <v>199</v>
      </c>
      <c r="D72" s="17" t="s">
        <v>136</v>
      </c>
      <c r="E72" s="17" t="s">
        <v>200</v>
      </c>
      <c r="F72" s="18" t="s">
        <v>201</v>
      </c>
      <c r="G72" s="17">
        <v>9</v>
      </c>
      <c r="H72" s="17" t="s">
        <v>63</v>
      </c>
      <c r="I72" s="19" t="s">
        <v>67</v>
      </c>
      <c r="J72" s="1">
        <v>30000</v>
      </c>
      <c r="K72" s="17" t="s">
        <v>68</v>
      </c>
      <c r="L72" s="17" t="s">
        <v>222</v>
      </c>
      <c r="M72" s="17" t="s">
        <v>209</v>
      </c>
      <c r="N72" s="17" t="s">
        <v>27</v>
      </c>
      <c r="O72" s="20">
        <v>32533</v>
      </c>
      <c r="P72" s="21" t="s">
        <v>42</v>
      </c>
      <c r="S72" s="17" t="str">
        <f>+IF($N72=[1]CURSOS!$D$3,[1]CURSOS!$E$3,(+IF($N72=[1]CURSOS!$D$4,[1]CURSOS!$E$4,(+IF($N72=[1]CURSOS!$D$5,[1]CURSOS!$E$5,(+IF($N72=[1]CURSOS!$D$6,[1]CURSOS!$E$6,(+IF($N72=[1]CURSOS!$D$7,[1]CURSOS!$E$7,(+IF($N72=[1]CURSOS!$D$8,[1]CURSOS!$E$8,(+IF($N72=[1]CURSOS!$D$9,[1]CURSOS!$E$9,(+IF($N72=[1]CURSOS!$D$10,[1]CURSOS!$E$10,(+IF($N72=[1]CURSOS!$D$11,[1]CURSOS!$E$11,(+IF($N72=[1]CURSOS!$D$12,[1]CURSOS!$E$12,(+IF($N72=[1]CURSOS!$D$13,[1]CURSOS!$E$13,(+IF($N72=[1]CURSOS!$D$14,[1]CURSOS!$E$14,(+IF($N72=[1]CURSOS!$D$15,[1]CURSOS!$E$15,(+IF($N72=[1]CURSOS!$D$16,[1]CURSOS!$E$16,(+IF($N72=[1]CURSOS!$D$17,[1]CURSOS!$E$17,(+IF($N72=[1]CURSOS!$D$18,[1]CURSOS!$E$18,(+IF($N72=[1]CURSOS!$D$19,[1]CURSOS!$E$19,(+IF($N72=[1]CURSOS!$D$20,[1]CURSOS!$E$20,(+IF($N72=[1]CURSOS!$D$21,[1]CURSOS!$E$21,(+IF($N72=[1]CURSOS!$D$22,[1]CURSOS!$E$22,(+IF($N72=[1]CURSOS!$D$23,[1]CURSOS!$E$23,(+IF($N72=[1]CURSOS!$D$24,[1]CURSOS!$E$24,(+IF($N72=[1]CURSOS!$D$25,[1]CURSOS!$E$25,(+IF($N72=[1]CURSOS!$D$26,[1]CURSOS!$E$26,(+IF($N72=[1]CURSOS!$D$27,[1]CURSOS!$E$27,(+IF($N72=[1]CURSOS!$D$28,[1]CURSOS!$E$28,(+IF($N72=[1]CURSOS!$D$29,[1]CURSOS!$E$29,(+IF($N72=[1]CURSOS!$D$30,[1]CURSOS!$E$30,(+IF($N72=[1]CURSOS!$D$31,[1]CURSOS!$E$31,(+IF($N72=[1]CURSOS!$D$32,[1]CURSOS!$E$32)))))))))))))))))))))))))))))))))))))))))))))))))))))))))))</f>
        <v xml:space="preserve">ATENCION A VICTIMAS DE VIOLENCIA SEXUAL </v>
      </c>
      <c r="T72" s="17" t="str">
        <f t="shared" si="18"/>
        <v>Karen Viviana Cuaicuan Delgado</v>
      </c>
      <c r="U72" s="17" t="str">
        <f t="shared" si="19"/>
        <v>Karen Viviana Cuaicuan Delgado</v>
      </c>
      <c r="V72" s="17" t="str">
        <f t="shared" si="20"/>
        <v>Karen Viviana Cuaicuan Delgado-1085270752-VIOLENCIA SEXUAL</v>
      </c>
    </row>
    <row r="73" spans="1:22" x14ac:dyDescent="0.2">
      <c r="A73" s="17">
        <v>79</v>
      </c>
      <c r="B73" s="17">
        <v>1085251158</v>
      </c>
      <c r="C73" s="17" t="s">
        <v>117</v>
      </c>
      <c r="D73" s="17" t="s">
        <v>202</v>
      </c>
      <c r="E73" s="17" t="s">
        <v>203</v>
      </c>
      <c r="F73" s="18" t="s">
        <v>204</v>
      </c>
      <c r="G73" s="17">
        <v>9</v>
      </c>
      <c r="H73" s="17" t="s">
        <v>63</v>
      </c>
      <c r="I73" s="19" t="s">
        <v>67</v>
      </c>
      <c r="J73" s="1">
        <v>35000</v>
      </c>
      <c r="K73" s="17" t="s">
        <v>68</v>
      </c>
      <c r="L73" s="17" t="s">
        <v>222</v>
      </c>
      <c r="M73" s="17" t="s">
        <v>209</v>
      </c>
      <c r="N73" s="17" t="s">
        <v>34</v>
      </c>
      <c r="O73" s="20">
        <v>31590</v>
      </c>
      <c r="P73" s="21" t="s">
        <v>39</v>
      </c>
      <c r="S73" s="17" t="str">
        <f>+IF($N73=[1]CURSOS!$D$3,[1]CURSOS!$E$3,(+IF($N73=[1]CURSOS!$D$4,[1]CURSOS!$E$4,(+IF($N73=[1]CURSOS!$D$5,[1]CURSOS!$E$5,(+IF($N73=[1]CURSOS!$D$6,[1]CURSOS!$E$6,(+IF($N73=[1]CURSOS!$D$7,[1]CURSOS!$E$7,(+IF($N73=[1]CURSOS!$D$8,[1]CURSOS!$E$8,(+IF($N73=[1]CURSOS!$D$9,[1]CURSOS!$E$9,(+IF($N73=[1]CURSOS!$D$10,[1]CURSOS!$E$10,(+IF($N73=[1]CURSOS!$D$11,[1]CURSOS!$E$11,(+IF($N73=[1]CURSOS!$D$12,[1]CURSOS!$E$12,(+IF($N73=[1]CURSOS!$D$13,[1]CURSOS!$E$13,(+IF($N73=[1]CURSOS!$D$14,[1]CURSOS!$E$14,(+IF($N73=[1]CURSOS!$D$15,[1]CURSOS!$E$15,(+IF($N73=[1]CURSOS!$D$16,[1]CURSOS!$E$16,(+IF($N73=[1]CURSOS!$D$17,[1]CURSOS!$E$17,(+IF($N73=[1]CURSOS!$D$18,[1]CURSOS!$E$18,(+IF($N73=[1]CURSOS!$D$19,[1]CURSOS!$E$19,(+IF($N73=[1]CURSOS!$D$20,[1]CURSOS!$E$20,(+IF($N73=[1]CURSOS!$D$21,[1]CURSOS!$E$21,(+IF($N73=[1]CURSOS!$D$22,[1]CURSOS!$E$22,(+IF($N73=[1]CURSOS!$D$23,[1]CURSOS!$E$23,(+IF($N73=[1]CURSOS!$D$24,[1]CURSOS!$E$24,(+IF($N73=[1]CURSOS!$D$25,[1]CURSOS!$E$25,(+IF($N73=[1]CURSOS!$D$26,[1]CURSOS!$E$26,(+IF($N73=[1]CURSOS!$D$27,[1]CURSOS!$E$27,(+IF($N73=[1]CURSOS!$D$28,[1]CURSOS!$E$28,(+IF($N73=[1]CURSOS!$D$29,[1]CURSOS!$E$29,(+IF($N73=[1]CURSOS!$D$30,[1]CURSOS!$E$30,(+IF($N73=[1]CURSOS!$D$31,[1]CURSOS!$E$31,(+IF($N73=[1]CURSOS!$D$32,[1]CURSOS!$E$32)))))))))))))))))))))))))))))))))))))))))))))))))))))))))))</f>
        <v>MANEJO DEL DOLOR Y CUIDADOS PALIATIVOS</v>
      </c>
      <c r="T73" s="17" t="str">
        <f t="shared" si="18"/>
        <v>Omar Alexander Ortiz Pazmiño</v>
      </c>
      <c r="U73" s="17" t="str">
        <f t="shared" si="19"/>
        <v>Omar Alexander Ortiz Pazmiño</v>
      </c>
      <c r="V73" s="17" t="str">
        <f t="shared" si="20"/>
        <v>Omar Alexander Ortiz Pazmiño-1085251158-PALIATIVOS</v>
      </c>
    </row>
    <row r="74" spans="1:22" x14ac:dyDescent="0.2">
      <c r="A74" s="17">
        <v>80</v>
      </c>
      <c r="B74" s="17">
        <v>1193570118</v>
      </c>
      <c r="C74" s="17" t="s">
        <v>205</v>
      </c>
      <c r="D74" s="17" t="s">
        <v>50</v>
      </c>
      <c r="E74" s="17" t="s">
        <v>206</v>
      </c>
      <c r="F74" s="18" t="s">
        <v>207</v>
      </c>
      <c r="G74" s="17">
        <v>8</v>
      </c>
      <c r="H74" s="17" t="s">
        <v>63</v>
      </c>
      <c r="I74" s="19" t="s">
        <v>67</v>
      </c>
      <c r="J74" s="1">
        <v>35000</v>
      </c>
      <c r="K74" s="17" t="s">
        <v>68</v>
      </c>
      <c r="L74" s="17" t="s">
        <v>222</v>
      </c>
      <c r="M74" s="17" t="s">
        <v>209</v>
      </c>
      <c r="N74" s="17" t="s">
        <v>34</v>
      </c>
      <c r="O74" s="20">
        <v>36817</v>
      </c>
      <c r="P74" s="21" t="s">
        <v>42</v>
      </c>
      <c r="S74" s="17" t="str">
        <f>+IF($N74=[1]CURSOS!$D$3,[1]CURSOS!$E$3,(+IF($N74=[1]CURSOS!$D$4,[1]CURSOS!$E$4,(+IF($N74=[1]CURSOS!$D$5,[1]CURSOS!$E$5,(+IF($N74=[1]CURSOS!$D$6,[1]CURSOS!$E$6,(+IF($N74=[1]CURSOS!$D$7,[1]CURSOS!$E$7,(+IF($N74=[1]CURSOS!$D$8,[1]CURSOS!$E$8,(+IF($N74=[1]CURSOS!$D$9,[1]CURSOS!$E$9,(+IF($N74=[1]CURSOS!$D$10,[1]CURSOS!$E$10,(+IF($N74=[1]CURSOS!$D$11,[1]CURSOS!$E$11,(+IF($N74=[1]CURSOS!$D$12,[1]CURSOS!$E$12,(+IF($N74=[1]CURSOS!$D$13,[1]CURSOS!$E$13,(+IF($N74=[1]CURSOS!$D$14,[1]CURSOS!$E$14,(+IF($N74=[1]CURSOS!$D$15,[1]CURSOS!$E$15,(+IF($N74=[1]CURSOS!$D$16,[1]CURSOS!$E$16,(+IF($N74=[1]CURSOS!$D$17,[1]CURSOS!$E$17,(+IF($N74=[1]CURSOS!$D$18,[1]CURSOS!$E$18,(+IF($N74=[1]CURSOS!$D$19,[1]CURSOS!$E$19,(+IF($N74=[1]CURSOS!$D$20,[1]CURSOS!$E$20,(+IF($N74=[1]CURSOS!$D$21,[1]CURSOS!$E$21,(+IF($N74=[1]CURSOS!$D$22,[1]CURSOS!$E$22,(+IF($N74=[1]CURSOS!$D$23,[1]CURSOS!$E$23,(+IF($N74=[1]CURSOS!$D$24,[1]CURSOS!$E$24,(+IF($N74=[1]CURSOS!$D$25,[1]CURSOS!$E$25,(+IF($N74=[1]CURSOS!$D$26,[1]CURSOS!$E$26,(+IF($N74=[1]CURSOS!$D$27,[1]CURSOS!$E$27,(+IF($N74=[1]CURSOS!$D$28,[1]CURSOS!$E$28,(+IF($N74=[1]CURSOS!$D$29,[1]CURSOS!$E$29,(+IF($N74=[1]CURSOS!$D$30,[1]CURSOS!$E$30,(+IF($N74=[1]CURSOS!$D$31,[1]CURSOS!$E$31,(+IF($N74=[1]CURSOS!$D$32,[1]CURSOS!$E$32)))))))))))))))))))))))))))))))))))))))))))))))))))))))))))</f>
        <v>MANEJO DEL DOLOR Y CUIDADOS PALIATIVOS</v>
      </c>
      <c r="T74" s="17" t="str">
        <f t="shared" si="18"/>
        <v>Laura Valentina Rengifo Benavides</v>
      </c>
      <c r="U74" s="17" t="str">
        <f t="shared" si="19"/>
        <v>Laura Valentina Rengifo Benavides</v>
      </c>
      <c r="V74" s="17" t="str">
        <f t="shared" si="20"/>
        <v>Laura Valentina Rengifo Benavides-1193570118-PALIATIVOS</v>
      </c>
    </row>
    <row r="75" spans="1:22" x14ac:dyDescent="0.2">
      <c r="A75" s="17">
        <v>81</v>
      </c>
      <c r="B75" s="17">
        <v>1085343431</v>
      </c>
      <c r="C75" s="17" t="s">
        <v>212</v>
      </c>
      <c r="D75" s="17" t="s">
        <v>213</v>
      </c>
      <c r="E75" s="17" t="s">
        <v>214</v>
      </c>
      <c r="F75" s="18" t="s">
        <v>215</v>
      </c>
      <c r="G75" s="17">
        <v>10</v>
      </c>
      <c r="H75" s="17" t="s">
        <v>63</v>
      </c>
      <c r="I75" s="19">
        <v>45334</v>
      </c>
      <c r="J75" s="1">
        <v>100000</v>
      </c>
      <c r="K75" s="17" t="s">
        <v>83</v>
      </c>
      <c r="L75" s="17" t="s">
        <v>223</v>
      </c>
      <c r="M75" s="17" t="s">
        <v>99</v>
      </c>
      <c r="N75" s="17" t="s">
        <v>24</v>
      </c>
      <c r="P75" s="21" t="s">
        <v>42</v>
      </c>
      <c r="S75" s="17" t="str">
        <f>+IF($N75=[1]CURSOS!$D$3,[1]CURSOS!$E$3,(+IF($N75=[1]CURSOS!$D$4,[1]CURSOS!$E$4,(+IF($N75=[1]CURSOS!$D$5,[1]CURSOS!$E$5,(+IF($N75=[1]CURSOS!$D$6,[1]CURSOS!$E$6,(+IF($N75=[1]CURSOS!$D$7,[1]CURSOS!$E$7,(+IF($N75=[1]CURSOS!$D$8,[1]CURSOS!$E$8,(+IF($N75=[1]CURSOS!$D$9,[1]CURSOS!$E$9,(+IF($N75=[1]CURSOS!$D$10,[1]CURSOS!$E$10,(+IF($N75=[1]CURSOS!$D$11,[1]CURSOS!$E$11,(+IF($N75=[1]CURSOS!$D$12,[1]CURSOS!$E$12,(+IF($N75=[1]CURSOS!$D$13,[1]CURSOS!$E$13,(+IF($N75=[1]CURSOS!$D$14,[1]CURSOS!$E$14,(+IF($N75=[1]CURSOS!$D$15,[1]CURSOS!$E$15,(+IF($N75=[1]CURSOS!$D$16,[1]CURSOS!$E$16,(+IF($N75=[1]CURSOS!$D$17,[1]CURSOS!$E$17,(+IF($N75=[1]CURSOS!$D$18,[1]CURSOS!$E$18,(+IF($N75=[1]CURSOS!$D$19,[1]CURSOS!$E$19,(+IF($N75=[1]CURSOS!$D$20,[1]CURSOS!$E$20,(+IF($N75=[1]CURSOS!$D$21,[1]CURSOS!$E$21,(+IF($N75=[1]CURSOS!$D$22,[1]CURSOS!$E$22,(+IF($N75=[1]CURSOS!$D$23,[1]CURSOS!$E$23,(+IF($N75=[1]CURSOS!$D$24,[1]CURSOS!$E$24,(+IF($N75=[1]CURSOS!$D$25,[1]CURSOS!$E$25,(+IF($N75=[1]CURSOS!$D$26,[1]CURSOS!$E$26,(+IF($N75=[1]CURSOS!$D$27,[1]CURSOS!$E$27,(+IF($N75=[1]CURSOS!$D$28,[1]CURSOS!$E$28,(+IF($N75=[1]CURSOS!$D$29,[1]CURSOS!$E$29,(+IF($N75=[1]CURSOS!$D$30,[1]CURSOS!$E$30,(+IF($N75=[1]CURSOS!$D$31,[1]CURSOS!$E$31,(+IF($N75=[1]CURSOS!$D$32,[1]CURSOS!$E$32)))))))))))))))))))))))))))))))))))))))))))))))))))))))))))</f>
        <v xml:space="preserve">SOPORTE CARDIOVASCULAR AVANZADO </v>
      </c>
      <c r="T75" s="17" t="str">
        <f>CONCATENATE(E75," ",F75," ",C75," ",D75)</f>
        <v>Julieta Estefania Mesias  Achichanoy</v>
      </c>
      <c r="U75" s="17" t="str">
        <f t="shared" ref="U75:U76" si="21">+PROPER(T75)</f>
        <v>Julieta Estefania Mesias  Achichanoy</v>
      </c>
      <c r="V75" s="17" t="str">
        <f>CONCATENATE(T75,"-",B75,"-",N75)</f>
        <v>Julieta Estefania Mesias  Achichanoy-1085343431-ACLS</v>
      </c>
    </row>
    <row r="76" spans="1:22" x14ac:dyDescent="0.2">
      <c r="A76" s="17">
        <v>82</v>
      </c>
      <c r="B76" s="17">
        <v>1085260286</v>
      </c>
      <c r="C76" s="17" t="s">
        <v>216</v>
      </c>
      <c r="D76" s="17" t="s">
        <v>217</v>
      </c>
      <c r="E76" s="18" t="s">
        <v>80</v>
      </c>
      <c r="F76" s="17" t="s">
        <v>218</v>
      </c>
      <c r="G76" s="17">
        <v>14</v>
      </c>
      <c r="H76" s="19" t="s">
        <v>63</v>
      </c>
      <c r="I76" s="23">
        <v>44972</v>
      </c>
      <c r="J76" s="1">
        <v>70000</v>
      </c>
      <c r="K76" s="17" t="s">
        <v>242</v>
      </c>
      <c r="L76" s="17" t="s">
        <v>222</v>
      </c>
      <c r="M76" s="17" t="s">
        <v>40</v>
      </c>
      <c r="N76" s="19" t="s">
        <v>19</v>
      </c>
      <c r="O76" s="21"/>
      <c r="P76" s="21" t="s">
        <v>39</v>
      </c>
      <c r="S76" s="17" t="str">
        <f>+IF($N76=[1]CURSOS!$D$3,[1]CURSOS!$E$3,(+IF($N76=[1]CURSOS!$D$4,[1]CURSOS!$E$4,(+IF($N76=[1]CURSOS!$D$5,[1]CURSOS!$E$5,(+IF($N76=[1]CURSOS!$D$6,[1]CURSOS!$E$6,(+IF($N76=[1]CURSOS!$D$7,[1]CURSOS!$E$7,(+IF($N76=[1]CURSOS!$D$8,[1]CURSOS!$E$8,(+IF($N76=[1]CURSOS!$D$9,[1]CURSOS!$E$9,(+IF($N76=[1]CURSOS!$D$10,[1]CURSOS!$E$10,(+IF($N76=[1]CURSOS!$D$11,[1]CURSOS!$E$11,(+IF($N76=[1]CURSOS!$D$12,[1]CURSOS!$E$12,(+IF($N76=[1]CURSOS!$D$13,[1]CURSOS!$E$13,(+IF($N76=[1]CURSOS!$D$14,[1]CURSOS!$E$14,(+IF($N76=[1]CURSOS!$D$15,[1]CURSOS!$E$15,(+IF($N76=[1]CURSOS!$D$16,[1]CURSOS!$E$16,(+IF($N76=[1]CURSOS!$D$17,[1]CURSOS!$E$17,(+IF($N76=[1]CURSOS!$D$18,[1]CURSOS!$E$18,(+IF($N76=[1]CURSOS!$D$19,[1]CURSOS!$E$19,(+IF($N76=[1]CURSOS!$D$20,[1]CURSOS!$E$20,(+IF($N76=[1]CURSOS!$D$21,[1]CURSOS!$E$21,(+IF($N76=[1]CURSOS!$D$22,[1]CURSOS!$E$22,(+IF($N76=[1]CURSOS!$D$23,[1]CURSOS!$E$23,(+IF($N76=[1]CURSOS!$D$24,[1]CURSOS!$E$24,(+IF($N76=[1]CURSOS!$D$25,[1]CURSOS!$E$25,(+IF($N76=[1]CURSOS!$D$26,[1]CURSOS!$E$26,(+IF($N76=[1]CURSOS!$D$27,[1]CURSOS!$E$27,(+IF($N76=[1]CURSOS!$D$28,[1]CURSOS!$E$28,(+IF($N76=[1]CURSOS!$D$29,[1]CURSOS!$E$29,(+IF($N76=[1]CURSOS!$D$30,[1]CURSOS!$E$30,(+IF($N76=[1]CURSOS!$D$31,[1]CURSOS!$E$31,(+IF($N76=[1]CURSOS!$D$32,[1]CURSOS!$E$32)))))))))))))))))))))))))))))))))))))))))))))))))))))))))))</f>
        <v>SOPORTE VITAL BASICO (BLS)</v>
      </c>
      <c r="T76" s="17" t="str">
        <f t="shared" ref="T76:T80" si="22">CONCATENATE(E76," ",F76," ",C76," ",D76)</f>
        <v>Jairo Alejandro Villareal Paguay</v>
      </c>
      <c r="U76" s="17" t="str">
        <f t="shared" si="21"/>
        <v>Jairo Alejandro Villareal Paguay</v>
      </c>
      <c r="V76" s="17" t="str">
        <f t="shared" ref="V76:V80" si="23">CONCATENATE(T76,"-",B76,"-",N76)</f>
        <v>Jairo Alejandro Villareal Paguay-1085260286-BLS</v>
      </c>
    </row>
    <row r="77" spans="1:22" x14ac:dyDescent="0.2">
      <c r="A77" s="17">
        <v>87</v>
      </c>
      <c r="B77" s="17">
        <v>1080691368</v>
      </c>
      <c r="C77" s="17" t="s">
        <v>392</v>
      </c>
      <c r="D77" s="17" t="s">
        <v>219</v>
      </c>
      <c r="E77" s="17" t="s">
        <v>220</v>
      </c>
      <c r="F77" s="18" t="s">
        <v>132</v>
      </c>
      <c r="G77" s="17">
        <v>12</v>
      </c>
      <c r="H77" s="17" t="s">
        <v>63</v>
      </c>
      <c r="I77" s="19">
        <v>45334</v>
      </c>
      <c r="J77" s="1">
        <v>50000</v>
      </c>
      <c r="K77" s="17" t="s">
        <v>208</v>
      </c>
      <c r="L77" s="17" t="s">
        <v>222</v>
      </c>
      <c r="M77" s="17" t="s">
        <v>40</v>
      </c>
      <c r="N77" s="17" t="s">
        <v>20</v>
      </c>
      <c r="P77" s="21" t="s">
        <v>42</v>
      </c>
      <c r="S77" s="17" t="str">
        <f>+IF($N77=[1]CURSOS!$D$3,[1]CURSOS!$E$3,(+IF($N77=[1]CURSOS!$D$4,[1]CURSOS!$E$4,(+IF($N77=[1]CURSOS!$D$5,[1]CURSOS!$E$5,(+IF($N77=[1]CURSOS!$D$6,[1]CURSOS!$E$6,(+IF($N77=[1]CURSOS!$D$7,[1]CURSOS!$E$7,(+IF($N77=[1]CURSOS!$D$8,[1]CURSOS!$E$8,(+IF($N77=[1]CURSOS!$D$9,[1]CURSOS!$E$9,(+IF($N77=[1]CURSOS!$D$10,[1]CURSOS!$E$10,(+IF($N77=[1]CURSOS!$D$11,[1]CURSOS!$E$11,(+IF($N77=[1]CURSOS!$D$12,[1]CURSOS!$E$12,(+IF($N77=[1]CURSOS!$D$13,[1]CURSOS!$E$13,(+IF($N77=[1]CURSOS!$D$14,[1]CURSOS!$E$14,(+IF($N77=[1]CURSOS!$D$15,[1]CURSOS!$E$15,(+IF($N77=[1]CURSOS!$D$16,[1]CURSOS!$E$16,(+IF($N77=[1]CURSOS!$D$17,[1]CURSOS!$E$17,(+IF($N77=[1]CURSOS!$D$18,[1]CURSOS!$E$18,(+IF($N77=[1]CURSOS!$D$19,[1]CURSOS!$E$19,(+IF($N77=[1]CURSOS!$D$20,[1]CURSOS!$E$20,(+IF($N77=[1]CURSOS!$D$21,[1]CURSOS!$E$21,(+IF($N77=[1]CURSOS!$D$22,[1]CURSOS!$E$22,(+IF($N77=[1]CURSOS!$D$23,[1]CURSOS!$E$23,(+IF($N77=[1]CURSOS!$D$24,[1]CURSOS!$E$24,(+IF($N77=[1]CURSOS!$D$25,[1]CURSOS!$E$25,(+IF($N77=[1]CURSOS!$D$26,[1]CURSOS!$E$26,(+IF($N77=[1]CURSOS!$D$27,[1]CURSOS!$E$27,(+IF($N77=[1]CURSOS!$D$28,[1]CURSOS!$E$28,(+IF($N77=[1]CURSOS!$D$29,[1]CURSOS!$E$29,(+IF($N77=[1]CURSOS!$D$30,[1]CURSOS!$E$30,(+IF($N77=[1]CURSOS!$D$31,[1]CURSOS!$E$31,(+IF($N77=[1]CURSOS!$D$32,[1]CURSOS!$E$32)))))))))))))))))))))))))))))))))))))))))))))))))))))))))))</f>
        <v>ACOMPAÑAMIENTO Y MANEJO DEL DUELO</v>
      </c>
      <c r="T77" s="17" t="str">
        <f t="shared" si="22"/>
        <v>Luisa Fernanda Ramírez Alvear</v>
      </c>
      <c r="U77" s="17" t="str">
        <f t="shared" ref="U77:U80" si="24">+PROPER(T77)</f>
        <v>Luisa Fernanda Ramírez Alvear</v>
      </c>
      <c r="V77" s="17" t="str">
        <f t="shared" si="23"/>
        <v>Luisa Fernanda Ramírez Alvear-1080691368-DUELO</v>
      </c>
    </row>
    <row r="78" spans="1:22" x14ac:dyDescent="0.2">
      <c r="A78" s="17">
        <v>88</v>
      </c>
      <c r="B78" s="17">
        <v>1080691368</v>
      </c>
      <c r="C78" s="17" t="s">
        <v>392</v>
      </c>
      <c r="D78" s="17" t="s">
        <v>219</v>
      </c>
      <c r="E78" s="17" t="s">
        <v>220</v>
      </c>
      <c r="F78" s="18" t="s">
        <v>132</v>
      </c>
      <c r="G78" s="17">
        <v>12</v>
      </c>
      <c r="H78" s="19" t="s">
        <v>63</v>
      </c>
      <c r="I78" s="19">
        <v>45334</v>
      </c>
      <c r="J78" s="1">
        <v>50000</v>
      </c>
      <c r="K78" s="17" t="s">
        <v>208</v>
      </c>
      <c r="L78" s="17" t="s">
        <v>222</v>
      </c>
      <c r="M78" s="17" t="s">
        <v>40</v>
      </c>
      <c r="N78" s="17" t="s">
        <v>21</v>
      </c>
      <c r="P78" s="21" t="s">
        <v>42</v>
      </c>
      <c r="S78" s="17" t="str">
        <f>+IF($N78=[1]CURSOS!$D$3,[1]CURSOS!$E$3,(+IF($N78=[1]CURSOS!$D$4,[1]CURSOS!$E$4,(+IF($N78=[1]CURSOS!$D$5,[1]CURSOS!$E$5,(+IF($N78=[1]CURSOS!$D$6,[1]CURSOS!$E$6,(+IF($N78=[1]CURSOS!$D$7,[1]CURSOS!$E$7,(+IF($N78=[1]CURSOS!$D$8,[1]CURSOS!$E$8,(+IF($N78=[1]CURSOS!$D$9,[1]CURSOS!$E$9,(+IF($N78=[1]CURSOS!$D$10,[1]CURSOS!$E$10,(+IF($N78=[1]CURSOS!$D$11,[1]CURSOS!$E$11,(+IF($N78=[1]CURSOS!$D$12,[1]CURSOS!$E$12,(+IF($N78=[1]CURSOS!$D$13,[1]CURSOS!$E$13,(+IF($N78=[1]CURSOS!$D$14,[1]CURSOS!$E$14,(+IF($N78=[1]CURSOS!$D$15,[1]CURSOS!$E$15,(+IF($N78=[1]CURSOS!$D$16,[1]CURSOS!$E$16,(+IF($N78=[1]CURSOS!$D$17,[1]CURSOS!$E$17,(+IF($N78=[1]CURSOS!$D$18,[1]CURSOS!$E$18,(+IF($N78=[1]CURSOS!$D$19,[1]CURSOS!$E$19,(+IF($N78=[1]CURSOS!$D$20,[1]CURSOS!$E$20,(+IF($N78=[1]CURSOS!$D$21,[1]CURSOS!$E$21,(+IF($N78=[1]CURSOS!$D$22,[1]CURSOS!$E$22,(+IF($N78=[1]CURSOS!$D$23,[1]CURSOS!$E$23,(+IF($N78=[1]CURSOS!$D$24,[1]CURSOS!$E$24,(+IF($N78=[1]CURSOS!$D$25,[1]CURSOS!$E$25,(+IF($N78=[1]CURSOS!$D$26,[1]CURSOS!$E$26,(+IF($N78=[1]CURSOS!$D$27,[1]CURSOS!$E$27,(+IF($N78=[1]CURSOS!$D$28,[1]CURSOS!$E$28,(+IF($N78=[1]CURSOS!$D$29,[1]CURSOS!$E$29,(+IF($N78=[1]CURSOS!$D$30,[1]CURSOS!$E$30,(+IF($N78=[1]CURSOS!$D$31,[1]CURSOS!$E$31,(+IF($N78=[1]CURSOS!$D$32,[1]CURSOS!$E$32)))))))))))))))))))))))))))))))))))))))))))))))))))))))))))</f>
        <v xml:space="preserve">ATENCION A VICTIMAS DE ATAQUE CON AGENTES QUIMICOS </v>
      </c>
      <c r="T78" s="17" t="str">
        <f t="shared" si="22"/>
        <v>Luisa Fernanda Ramírez Alvear</v>
      </c>
      <c r="U78" s="17" t="str">
        <f t="shared" si="24"/>
        <v>Luisa Fernanda Ramírez Alvear</v>
      </c>
      <c r="V78" s="17" t="str">
        <f t="shared" si="23"/>
        <v>Luisa Fernanda Ramírez Alvear-1080691368-QUIMICOS</v>
      </c>
    </row>
    <row r="79" spans="1:22" x14ac:dyDescent="0.2">
      <c r="A79" s="17">
        <v>89</v>
      </c>
      <c r="B79" s="17">
        <v>1080691368</v>
      </c>
      <c r="C79" s="17" t="s">
        <v>392</v>
      </c>
      <c r="D79" s="17" t="s">
        <v>219</v>
      </c>
      <c r="E79" s="17" t="s">
        <v>220</v>
      </c>
      <c r="F79" s="18" t="s">
        <v>132</v>
      </c>
      <c r="G79" s="17">
        <v>12</v>
      </c>
      <c r="H79" s="17" t="s">
        <v>63</v>
      </c>
      <c r="I79" s="19">
        <v>45334</v>
      </c>
      <c r="J79" s="1">
        <v>50000</v>
      </c>
      <c r="K79" s="17" t="s">
        <v>208</v>
      </c>
      <c r="L79" s="17" t="s">
        <v>222</v>
      </c>
      <c r="M79" s="17" t="s">
        <v>40</v>
      </c>
      <c r="N79" s="17" t="s">
        <v>27</v>
      </c>
      <c r="P79" s="21" t="s">
        <v>42</v>
      </c>
      <c r="S79" s="17" t="str">
        <f>+IF($N79=[1]CURSOS!$D$3,[1]CURSOS!$E$3,(+IF($N79=[1]CURSOS!$D$4,[1]CURSOS!$E$4,(+IF($N79=[1]CURSOS!$D$5,[1]CURSOS!$E$5,(+IF($N79=[1]CURSOS!$D$6,[1]CURSOS!$E$6,(+IF($N79=[1]CURSOS!$D$7,[1]CURSOS!$E$7,(+IF($N79=[1]CURSOS!$D$8,[1]CURSOS!$E$8,(+IF($N79=[1]CURSOS!$D$9,[1]CURSOS!$E$9,(+IF($N79=[1]CURSOS!$D$10,[1]CURSOS!$E$10,(+IF($N79=[1]CURSOS!$D$11,[1]CURSOS!$E$11,(+IF($N79=[1]CURSOS!$D$12,[1]CURSOS!$E$12,(+IF($N79=[1]CURSOS!$D$13,[1]CURSOS!$E$13,(+IF($N79=[1]CURSOS!$D$14,[1]CURSOS!$E$14,(+IF($N79=[1]CURSOS!$D$15,[1]CURSOS!$E$15,(+IF($N79=[1]CURSOS!$D$16,[1]CURSOS!$E$16,(+IF($N79=[1]CURSOS!$D$17,[1]CURSOS!$E$17,(+IF($N79=[1]CURSOS!$D$18,[1]CURSOS!$E$18,(+IF($N79=[1]CURSOS!$D$19,[1]CURSOS!$E$19,(+IF($N79=[1]CURSOS!$D$20,[1]CURSOS!$E$20,(+IF($N79=[1]CURSOS!$D$21,[1]CURSOS!$E$21,(+IF($N79=[1]CURSOS!$D$22,[1]CURSOS!$E$22,(+IF($N79=[1]CURSOS!$D$23,[1]CURSOS!$E$23,(+IF($N79=[1]CURSOS!$D$24,[1]CURSOS!$E$24,(+IF($N79=[1]CURSOS!$D$25,[1]CURSOS!$E$25,(+IF($N79=[1]CURSOS!$D$26,[1]CURSOS!$E$26,(+IF($N79=[1]CURSOS!$D$27,[1]CURSOS!$E$27,(+IF($N79=[1]CURSOS!$D$28,[1]CURSOS!$E$28,(+IF($N79=[1]CURSOS!$D$29,[1]CURSOS!$E$29,(+IF($N79=[1]CURSOS!$D$30,[1]CURSOS!$E$30,(+IF($N79=[1]CURSOS!$D$31,[1]CURSOS!$E$31,(+IF($N79=[1]CURSOS!$D$32,[1]CURSOS!$E$32)))))))))))))))))))))))))))))))))))))))))))))))))))))))))))</f>
        <v xml:space="preserve">ATENCION A VICTIMAS DE VIOLENCIA SEXUAL </v>
      </c>
      <c r="T79" s="17" t="str">
        <f t="shared" si="22"/>
        <v>Luisa Fernanda Ramírez Alvear</v>
      </c>
      <c r="U79" s="17" t="str">
        <f t="shared" si="24"/>
        <v>Luisa Fernanda Ramírez Alvear</v>
      </c>
      <c r="V79" s="17" t="str">
        <f t="shared" si="23"/>
        <v>Luisa Fernanda Ramírez Alvear-1080691368-VIOLENCIA SEXUAL</v>
      </c>
    </row>
    <row r="80" spans="1:22" x14ac:dyDescent="0.2">
      <c r="A80" s="17">
        <v>90</v>
      </c>
      <c r="B80" s="17">
        <v>1080691368</v>
      </c>
      <c r="C80" s="17" t="s">
        <v>392</v>
      </c>
      <c r="D80" s="17" t="s">
        <v>219</v>
      </c>
      <c r="E80" s="17" t="s">
        <v>220</v>
      </c>
      <c r="F80" s="18" t="s">
        <v>132</v>
      </c>
      <c r="G80" s="17">
        <v>12</v>
      </c>
      <c r="H80" s="17" t="s">
        <v>63</v>
      </c>
      <c r="I80" s="19">
        <v>45334</v>
      </c>
      <c r="J80" s="1">
        <v>50000</v>
      </c>
      <c r="K80" s="17" t="s">
        <v>208</v>
      </c>
      <c r="L80" s="17" t="s">
        <v>222</v>
      </c>
      <c r="M80" s="17" t="s">
        <v>40</v>
      </c>
      <c r="N80" s="17" t="s">
        <v>19</v>
      </c>
      <c r="P80" s="21" t="s">
        <v>42</v>
      </c>
      <c r="S80" s="17" t="str">
        <f>+IF($N80=[1]CURSOS!$D$3,[1]CURSOS!$E$3,(+IF($N80=[1]CURSOS!$D$4,[1]CURSOS!$E$4,(+IF($N80=[1]CURSOS!$D$5,[1]CURSOS!$E$5,(+IF($N80=[1]CURSOS!$D$6,[1]CURSOS!$E$6,(+IF($N80=[1]CURSOS!$D$7,[1]CURSOS!$E$7,(+IF($N80=[1]CURSOS!$D$8,[1]CURSOS!$E$8,(+IF($N80=[1]CURSOS!$D$9,[1]CURSOS!$E$9,(+IF($N80=[1]CURSOS!$D$10,[1]CURSOS!$E$10,(+IF($N80=[1]CURSOS!$D$11,[1]CURSOS!$E$11,(+IF($N80=[1]CURSOS!$D$12,[1]CURSOS!$E$12,(+IF($N80=[1]CURSOS!$D$13,[1]CURSOS!$E$13,(+IF($N80=[1]CURSOS!$D$14,[1]CURSOS!$E$14,(+IF($N80=[1]CURSOS!$D$15,[1]CURSOS!$E$15,(+IF($N80=[1]CURSOS!$D$16,[1]CURSOS!$E$16,(+IF($N80=[1]CURSOS!$D$17,[1]CURSOS!$E$17,(+IF($N80=[1]CURSOS!$D$18,[1]CURSOS!$E$18,(+IF($N80=[1]CURSOS!$D$19,[1]CURSOS!$E$19,(+IF($N80=[1]CURSOS!$D$20,[1]CURSOS!$E$20,(+IF($N80=[1]CURSOS!$D$21,[1]CURSOS!$E$21,(+IF($N80=[1]CURSOS!$D$22,[1]CURSOS!$E$22,(+IF($N80=[1]CURSOS!$D$23,[1]CURSOS!$E$23,(+IF($N80=[1]CURSOS!$D$24,[1]CURSOS!$E$24,(+IF($N80=[1]CURSOS!$D$25,[1]CURSOS!$E$25,(+IF($N80=[1]CURSOS!$D$26,[1]CURSOS!$E$26,(+IF($N80=[1]CURSOS!$D$27,[1]CURSOS!$E$27,(+IF($N80=[1]CURSOS!$D$28,[1]CURSOS!$E$28,(+IF($N80=[1]CURSOS!$D$29,[1]CURSOS!$E$29,(+IF($N80=[1]CURSOS!$D$30,[1]CURSOS!$E$30,(+IF($N80=[1]CURSOS!$D$31,[1]CURSOS!$E$31,(+IF($N80=[1]CURSOS!$D$32,[1]CURSOS!$E$32)))))))))))))))))))))))))))))))))))))))))))))))))))))))))))</f>
        <v>SOPORTE VITAL BASICO (BLS)</v>
      </c>
      <c r="T80" s="17" t="str">
        <f t="shared" si="22"/>
        <v>Luisa Fernanda Ramírez Alvear</v>
      </c>
      <c r="U80" s="17" t="str">
        <f t="shared" si="24"/>
        <v>Luisa Fernanda Ramírez Alvear</v>
      </c>
      <c r="V80" s="17" t="str">
        <f t="shared" si="23"/>
        <v>Luisa Fernanda Ramírez Alvear-1080691368-BLS</v>
      </c>
    </row>
    <row r="81" spans="1:22" x14ac:dyDescent="0.2">
      <c r="A81" s="17">
        <v>91</v>
      </c>
      <c r="B81" s="17">
        <v>1086363233</v>
      </c>
      <c r="C81" s="17" t="s">
        <v>224</v>
      </c>
      <c r="D81" s="17" t="s">
        <v>100</v>
      </c>
      <c r="E81" s="17" t="s">
        <v>225</v>
      </c>
      <c r="F81" s="18" t="s">
        <v>167</v>
      </c>
      <c r="G81" s="17">
        <v>12</v>
      </c>
      <c r="H81" s="17" t="s">
        <v>63</v>
      </c>
      <c r="I81" s="19">
        <v>45336</v>
      </c>
      <c r="J81" s="1">
        <v>26666</v>
      </c>
      <c r="K81" s="17" t="s">
        <v>83</v>
      </c>
      <c r="L81" s="17" t="s">
        <v>223</v>
      </c>
      <c r="M81" s="17" t="s">
        <v>99</v>
      </c>
      <c r="N81" s="31" t="s">
        <v>21</v>
      </c>
      <c r="O81" s="32"/>
      <c r="S81" s="17" t="str">
        <f>+IF($N81=[1]CURSOS!$D$3,[1]CURSOS!$E$3,(+IF($N81=[1]CURSOS!$D$4,[1]CURSOS!$E$4,(+IF($N81=[1]CURSOS!$D$5,[1]CURSOS!$E$5,(+IF($N81=[1]CURSOS!$D$6,[1]CURSOS!$E$6,(+IF($N81=[1]CURSOS!$D$7,[1]CURSOS!$E$7,(+IF($N81=[1]CURSOS!$D$8,[1]CURSOS!$E$8,(+IF($N81=[1]CURSOS!$D$9,[1]CURSOS!$E$9,(+IF($N81=[1]CURSOS!$D$10,[1]CURSOS!$E$10,(+IF($N81=[1]CURSOS!$D$11,[1]CURSOS!$E$11,(+IF($N81=[1]CURSOS!$D$12,[1]CURSOS!$E$12,(+IF($N81=[1]CURSOS!$D$13,[1]CURSOS!$E$13,(+IF($N81=[1]CURSOS!$D$14,[1]CURSOS!$E$14,(+IF($N81=[1]CURSOS!$D$15,[1]CURSOS!$E$15,(+IF($N81=[1]CURSOS!$D$16,[1]CURSOS!$E$16,(+IF($N81=[1]CURSOS!$D$17,[1]CURSOS!$E$17,(+IF($N81=[1]CURSOS!$D$18,[1]CURSOS!$E$18,(+IF($N81=[1]CURSOS!$D$19,[1]CURSOS!$E$19,(+IF($N81=[1]CURSOS!$D$20,[1]CURSOS!$E$20,(+IF($N81=[1]CURSOS!$D$21,[1]CURSOS!$E$21,(+IF($N81=[1]CURSOS!$D$22,[1]CURSOS!$E$22,(+IF($N81=[1]CURSOS!$D$23,[1]CURSOS!$E$23,(+IF($N81=[1]CURSOS!$D$24,[1]CURSOS!$E$24,(+IF($N81=[1]CURSOS!$D$25,[1]CURSOS!$E$25,(+IF($N81=[1]CURSOS!$D$26,[1]CURSOS!$E$26,(+IF($N81=[1]CURSOS!$D$27,[1]CURSOS!$E$27,(+IF($N81=[1]CURSOS!$D$28,[1]CURSOS!$E$28,(+IF($N81=[1]CURSOS!$D$29,[1]CURSOS!$E$29,(+IF($N81=[1]CURSOS!$D$30,[1]CURSOS!$E$30,(+IF($N81=[1]CURSOS!$D$31,[1]CURSOS!$E$31,(+IF($N81=[1]CURSOS!$D$32,[1]CURSOS!$E$32)))))))))))))))))))))))))))))))))))))))))))))))))))))))))))</f>
        <v xml:space="preserve">ATENCION A VICTIMAS DE ATAQUE CON AGENTES QUIMICOS </v>
      </c>
      <c r="T81" s="17" t="str">
        <f t="shared" ref="T81:T84" si="25">CONCATENATE(E81," ",F81," ",C81," ",D81)</f>
        <v>Sara Patricia Rivera Caicedo</v>
      </c>
      <c r="U81" s="17" t="str">
        <f t="shared" ref="U81:U84" si="26">+PROPER(T81)</f>
        <v>Sara Patricia Rivera Caicedo</v>
      </c>
      <c r="V81" s="17" t="str">
        <f t="shared" ref="V81:V84" si="27">CONCATENATE(T81,"-",B81,"-",N81)</f>
        <v>Sara Patricia Rivera Caicedo-1086363233-QUIMICOS</v>
      </c>
    </row>
    <row r="82" spans="1:22" x14ac:dyDescent="0.2">
      <c r="A82" s="17">
        <v>92</v>
      </c>
      <c r="B82" s="17">
        <v>1086363233</v>
      </c>
      <c r="C82" s="17" t="s">
        <v>224</v>
      </c>
      <c r="D82" s="17" t="s">
        <v>100</v>
      </c>
      <c r="E82" s="17" t="s">
        <v>225</v>
      </c>
      <c r="F82" s="18" t="s">
        <v>167</v>
      </c>
      <c r="G82" s="17">
        <v>12</v>
      </c>
      <c r="H82" s="17" t="s">
        <v>63</v>
      </c>
      <c r="I82" s="19">
        <v>45336</v>
      </c>
      <c r="J82" s="1">
        <v>26666</v>
      </c>
      <c r="K82" s="17" t="s">
        <v>83</v>
      </c>
      <c r="L82" s="17" t="s">
        <v>223</v>
      </c>
      <c r="M82" s="17" t="s">
        <v>99</v>
      </c>
      <c r="N82" s="17" t="s">
        <v>20</v>
      </c>
      <c r="S82" s="17" t="str">
        <f>+IF($N82=[1]CURSOS!$D$3,[1]CURSOS!$E$3,(+IF($N82=[1]CURSOS!$D$4,[1]CURSOS!$E$4,(+IF($N82=[1]CURSOS!$D$5,[1]CURSOS!$E$5,(+IF($N82=[1]CURSOS!$D$6,[1]CURSOS!$E$6,(+IF($N82=[1]CURSOS!$D$7,[1]CURSOS!$E$7,(+IF($N82=[1]CURSOS!$D$8,[1]CURSOS!$E$8,(+IF($N82=[1]CURSOS!$D$9,[1]CURSOS!$E$9,(+IF($N82=[1]CURSOS!$D$10,[1]CURSOS!$E$10,(+IF($N82=[1]CURSOS!$D$11,[1]CURSOS!$E$11,(+IF($N82=[1]CURSOS!$D$12,[1]CURSOS!$E$12,(+IF($N82=[1]CURSOS!$D$13,[1]CURSOS!$E$13,(+IF($N82=[1]CURSOS!$D$14,[1]CURSOS!$E$14,(+IF($N82=[1]CURSOS!$D$15,[1]CURSOS!$E$15,(+IF($N82=[1]CURSOS!$D$16,[1]CURSOS!$E$16,(+IF($N82=[1]CURSOS!$D$17,[1]CURSOS!$E$17,(+IF($N82=[1]CURSOS!$D$18,[1]CURSOS!$E$18,(+IF($N82=[1]CURSOS!$D$19,[1]CURSOS!$E$19,(+IF($N82=[1]CURSOS!$D$20,[1]CURSOS!$E$20,(+IF($N82=[1]CURSOS!$D$21,[1]CURSOS!$E$21,(+IF($N82=[1]CURSOS!$D$22,[1]CURSOS!$E$22,(+IF($N82=[1]CURSOS!$D$23,[1]CURSOS!$E$23,(+IF($N82=[1]CURSOS!$D$24,[1]CURSOS!$E$24,(+IF($N82=[1]CURSOS!$D$25,[1]CURSOS!$E$25,(+IF($N82=[1]CURSOS!$D$26,[1]CURSOS!$E$26,(+IF($N82=[1]CURSOS!$D$27,[1]CURSOS!$E$27,(+IF($N82=[1]CURSOS!$D$28,[1]CURSOS!$E$28,(+IF($N82=[1]CURSOS!$D$29,[1]CURSOS!$E$29,(+IF($N82=[1]CURSOS!$D$30,[1]CURSOS!$E$30,(+IF($N82=[1]CURSOS!$D$31,[1]CURSOS!$E$31,(+IF($N82=[1]CURSOS!$D$32,[1]CURSOS!$E$32)))))))))))))))))))))))))))))))))))))))))))))))))))))))))))</f>
        <v>ACOMPAÑAMIENTO Y MANEJO DEL DUELO</v>
      </c>
      <c r="T82" s="17" t="str">
        <f t="shared" si="25"/>
        <v>Sara Patricia Rivera Caicedo</v>
      </c>
      <c r="U82" s="17" t="str">
        <f t="shared" si="26"/>
        <v>Sara Patricia Rivera Caicedo</v>
      </c>
      <c r="V82" s="17" t="str">
        <f t="shared" si="27"/>
        <v>Sara Patricia Rivera Caicedo-1086363233-DUELO</v>
      </c>
    </row>
    <row r="83" spans="1:22" x14ac:dyDescent="0.2">
      <c r="A83" s="17">
        <v>93</v>
      </c>
      <c r="B83" s="17">
        <v>1086363233</v>
      </c>
      <c r="C83" s="17" t="s">
        <v>224</v>
      </c>
      <c r="D83" s="17" t="s">
        <v>100</v>
      </c>
      <c r="E83" s="17" t="s">
        <v>225</v>
      </c>
      <c r="F83" s="18" t="s">
        <v>167</v>
      </c>
      <c r="G83" s="17">
        <v>12</v>
      </c>
      <c r="H83" s="17" t="s">
        <v>63</v>
      </c>
      <c r="I83" s="19">
        <v>45336</v>
      </c>
      <c r="J83" s="1">
        <v>26666</v>
      </c>
      <c r="K83" s="17" t="s">
        <v>83</v>
      </c>
      <c r="L83" s="17" t="s">
        <v>223</v>
      </c>
      <c r="M83" s="17" t="s">
        <v>99</v>
      </c>
      <c r="N83" s="17" t="s">
        <v>27</v>
      </c>
      <c r="S83" s="17" t="str">
        <f>+IF($N83=[1]CURSOS!$D$3,[1]CURSOS!$E$3,(+IF($N83=[1]CURSOS!$D$4,[1]CURSOS!$E$4,(+IF($N83=[1]CURSOS!$D$5,[1]CURSOS!$E$5,(+IF($N83=[1]CURSOS!$D$6,[1]CURSOS!$E$6,(+IF($N83=[1]CURSOS!$D$7,[1]CURSOS!$E$7,(+IF($N83=[1]CURSOS!$D$8,[1]CURSOS!$E$8,(+IF($N83=[1]CURSOS!$D$9,[1]CURSOS!$E$9,(+IF($N83=[1]CURSOS!$D$10,[1]CURSOS!$E$10,(+IF($N83=[1]CURSOS!$D$11,[1]CURSOS!$E$11,(+IF($N83=[1]CURSOS!$D$12,[1]CURSOS!$E$12,(+IF($N83=[1]CURSOS!$D$13,[1]CURSOS!$E$13,(+IF($N83=[1]CURSOS!$D$14,[1]CURSOS!$E$14,(+IF($N83=[1]CURSOS!$D$15,[1]CURSOS!$E$15,(+IF($N83=[1]CURSOS!$D$16,[1]CURSOS!$E$16,(+IF($N83=[1]CURSOS!$D$17,[1]CURSOS!$E$17,(+IF($N83=[1]CURSOS!$D$18,[1]CURSOS!$E$18,(+IF($N83=[1]CURSOS!$D$19,[1]CURSOS!$E$19,(+IF($N83=[1]CURSOS!$D$20,[1]CURSOS!$E$20,(+IF($N83=[1]CURSOS!$D$21,[1]CURSOS!$E$21,(+IF($N83=[1]CURSOS!$D$22,[1]CURSOS!$E$22,(+IF($N83=[1]CURSOS!$D$23,[1]CURSOS!$E$23,(+IF($N83=[1]CURSOS!$D$24,[1]CURSOS!$E$24,(+IF($N83=[1]CURSOS!$D$25,[1]CURSOS!$E$25,(+IF($N83=[1]CURSOS!$D$26,[1]CURSOS!$E$26,(+IF($N83=[1]CURSOS!$D$27,[1]CURSOS!$E$27,(+IF($N83=[1]CURSOS!$D$28,[1]CURSOS!$E$28,(+IF($N83=[1]CURSOS!$D$29,[1]CURSOS!$E$29,(+IF($N83=[1]CURSOS!$D$30,[1]CURSOS!$E$30,(+IF($N83=[1]CURSOS!$D$31,[1]CURSOS!$E$31,(+IF($N83=[1]CURSOS!$D$32,[1]CURSOS!$E$32)))))))))))))))))))))))))))))))))))))))))))))))))))))))))))</f>
        <v xml:space="preserve">ATENCION A VICTIMAS DE VIOLENCIA SEXUAL </v>
      </c>
      <c r="T83" s="17" t="str">
        <f t="shared" si="25"/>
        <v>Sara Patricia Rivera Caicedo</v>
      </c>
      <c r="U83" s="17" t="str">
        <f t="shared" si="26"/>
        <v>Sara Patricia Rivera Caicedo</v>
      </c>
      <c r="V83" s="17" t="str">
        <f t="shared" si="27"/>
        <v>Sara Patricia Rivera Caicedo-1086363233-VIOLENCIA SEXUAL</v>
      </c>
    </row>
    <row r="84" spans="1:22" x14ac:dyDescent="0.2">
      <c r="A84" s="17">
        <v>94</v>
      </c>
      <c r="B84" s="17">
        <v>1085331592</v>
      </c>
      <c r="C84" s="17" t="s">
        <v>226</v>
      </c>
      <c r="D84" s="17" t="s">
        <v>227</v>
      </c>
      <c r="E84" s="17" t="s">
        <v>228</v>
      </c>
      <c r="F84" s="18" t="s">
        <v>229</v>
      </c>
      <c r="G84" s="17">
        <v>16</v>
      </c>
      <c r="H84" s="17" t="s">
        <v>63</v>
      </c>
      <c r="I84" s="19">
        <v>45336</v>
      </c>
      <c r="J84" s="1">
        <v>60000</v>
      </c>
      <c r="K84" s="17" t="s">
        <v>83</v>
      </c>
      <c r="L84" s="17" t="s">
        <v>223</v>
      </c>
      <c r="M84" s="17" t="s">
        <v>40</v>
      </c>
      <c r="N84" s="17" t="s">
        <v>37</v>
      </c>
      <c r="R84" s="17">
        <v>3213082200</v>
      </c>
      <c r="S84" s="17" t="str">
        <f>+IF($N84=[1]CURSOS!$D$3,[1]CURSOS!$E$3,(+IF($N84=[1]CURSOS!$D$4,[1]CURSOS!$E$4,(+IF($N84=[1]CURSOS!$D$5,[1]CURSOS!$E$5,(+IF($N84=[1]CURSOS!$D$6,[1]CURSOS!$E$6,(+IF($N84=[1]CURSOS!$D$7,[1]CURSOS!$E$7,(+IF($N84=[1]CURSOS!$D$8,[1]CURSOS!$E$8,(+IF($N84=[1]CURSOS!$D$9,[1]CURSOS!$E$9,(+IF($N84=[1]CURSOS!$D$10,[1]CURSOS!$E$10,(+IF($N84=[1]CURSOS!$D$11,[1]CURSOS!$E$11,(+IF($N84=[1]CURSOS!$D$12,[1]CURSOS!$E$12,(+IF($N84=[1]CURSOS!$D$13,[1]CURSOS!$E$13,(+IF($N84=[1]CURSOS!$D$14,[1]CURSOS!$E$14,(+IF($N84=[1]CURSOS!$D$15,[1]CURSOS!$E$15,(+IF($N84=[1]CURSOS!$D$16,[1]CURSOS!$E$16,(+IF($N84=[1]CURSOS!$D$17,[1]CURSOS!$E$17,(+IF($N84=[1]CURSOS!$D$18,[1]CURSOS!$E$18,(+IF($N84=[1]CURSOS!$D$19,[1]CURSOS!$E$19,(+IF($N84=[1]CURSOS!$D$20,[1]CURSOS!$E$20,(+IF($N84=[1]CURSOS!$D$21,[1]CURSOS!$E$21,(+IF($N84=[1]CURSOS!$D$22,[1]CURSOS!$E$22,(+IF($N84=[1]CURSOS!$D$23,[1]CURSOS!$E$23,(+IF($N84=[1]CURSOS!$D$24,[1]CURSOS!$E$24,(+IF($N84=[1]CURSOS!$D$25,[1]CURSOS!$E$25,(+IF($N84=[1]CURSOS!$D$26,[1]CURSOS!$E$26,(+IF($N84=[1]CURSOS!$D$27,[1]CURSOS!$E$27,(+IF($N84=[1]CURSOS!$D$28,[1]CURSOS!$E$28,(+IF($N84=[1]CURSOS!$D$29,[1]CURSOS!$E$29,(+IF($N84=[1]CURSOS!$D$30,[1]CURSOS!$E$30,(+IF($N84=[1]CURSOS!$D$31,[1]CURSOS!$E$31,(+IF($N84=[1]CURSOS!$D$32,[1]CURSOS!$E$32)))))))))))))))))))))))))))))))))))))))))))))))))))))))))))</f>
        <v>SALUD MENTAL (CODIGO VERDE)</v>
      </c>
      <c r="T84" s="17" t="str">
        <f t="shared" si="25"/>
        <v>Yuliana Del Carmen Bastidas  Rosales</v>
      </c>
      <c r="U84" s="17" t="str">
        <f t="shared" si="26"/>
        <v>Yuliana Del Carmen Bastidas  Rosales</v>
      </c>
      <c r="V84" s="17" t="str">
        <f t="shared" si="27"/>
        <v>Yuliana Del Carmen Bastidas  Rosales-1085331592-SALUD MENTAL</v>
      </c>
    </row>
    <row r="85" spans="1:22" x14ac:dyDescent="0.2">
      <c r="A85" s="17">
        <v>95</v>
      </c>
      <c r="B85" s="17">
        <v>1085331592</v>
      </c>
      <c r="C85" s="17" t="s">
        <v>226</v>
      </c>
      <c r="D85" s="17" t="s">
        <v>227</v>
      </c>
      <c r="E85" s="17" t="s">
        <v>228</v>
      </c>
      <c r="F85" s="18" t="s">
        <v>229</v>
      </c>
      <c r="G85" s="17">
        <v>16</v>
      </c>
      <c r="H85" s="17" t="s">
        <v>63</v>
      </c>
      <c r="I85" s="19">
        <v>45336</v>
      </c>
      <c r="J85" s="1">
        <v>60000</v>
      </c>
      <c r="K85" s="17" t="s">
        <v>83</v>
      </c>
      <c r="L85" s="17" t="s">
        <v>223</v>
      </c>
      <c r="M85" s="17" t="s">
        <v>40</v>
      </c>
      <c r="N85" s="17" t="s">
        <v>20</v>
      </c>
      <c r="R85" s="17">
        <v>3213082200</v>
      </c>
      <c r="S85" s="17" t="str">
        <f>+IF($N85=[1]CURSOS!$D$3,[1]CURSOS!$E$3,(+IF($N85=[1]CURSOS!$D$4,[1]CURSOS!$E$4,(+IF($N85=[1]CURSOS!$D$5,[1]CURSOS!$E$5,(+IF($N85=[1]CURSOS!$D$6,[1]CURSOS!$E$6,(+IF($N85=[1]CURSOS!$D$7,[1]CURSOS!$E$7,(+IF($N85=[1]CURSOS!$D$8,[1]CURSOS!$E$8,(+IF($N85=[1]CURSOS!$D$9,[1]CURSOS!$E$9,(+IF($N85=[1]CURSOS!$D$10,[1]CURSOS!$E$10,(+IF($N85=[1]CURSOS!$D$11,[1]CURSOS!$E$11,(+IF($N85=[1]CURSOS!$D$12,[1]CURSOS!$E$12,(+IF($N85=[1]CURSOS!$D$13,[1]CURSOS!$E$13,(+IF($N85=[1]CURSOS!$D$14,[1]CURSOS!$E$14,(+IF($N85=[1]CURSOS!$D$15,[1]CURSOS!$E$15,(+IF($N85=[1]CURSOS!$D$16,[1]CURSOS!$E$16,(+IF($N85=[1]CURSOS!$D$17,[1]CURSOS!$E$17,(+IF($N85=[1]CURSOS!$D$18,[1]CURSOS!$E$18,(+IF($N85=[1]CURSOS!$D$19,[1]CURSOS!$E$19,(+IF($N85=[1]CURSOS!$D$20,[1]CURSOS!$E$20,(+IF($N85=[1]CURSOS!$D$21,[1]CURSOS!$E$21,(+IF($N85=[1]CURSOS!$D$22,[1]CURSOS!$E$22,(+IF($N85=[1]CURSOS!$D$23,[1]CURSOS!$E$23,(+IF($N85=[1]CURSOS!$D$24,[1]CURSOS!$E$24,(+IF($N85=[1]CURSOS!$D$25,[1]CURSOS!$E$25,(+IF($N85=[1]CURSOS!$D$26,[1]CURSOS!$E$26,(+IF($N85=[1]CURSOS!$D$27,[1]CURSOS!$E$27,(+IF($N85=[1]CURSOS!$D$28,[1]CURSOS!$E$28,(+IF($N85=[1]CURSOS!$D$29,[1]CURSOS!$E$29,(+IF($N85=[1]CURSOS!$D$30,[1]CURSOS!$E$30,(+IF($N85=[1]CURSOS!$D$31,[1]CURSOS!$E$31,(+IF($N85=[1]CURSOS!$D$32,[1]CURSOS!$E$32)))))))))))))))))))))))))))))))))))))))))))))))))))))))))))</f>
        <v>ACOMPAÑAMIENTO Y MANEJO DEL DUELO</v>
      </c>
      <c r="T85" s="17" t="str">
        <f t="shared" ref="T85:T87" si="28">CONCATENATE(E85," ",F85," ",C85," ",D85)</f>
        <v>Yuliana Del Carmen Bastidas  Rosales</v>
      </c>
      <c r="U85" s="17" t="str">
        <f t="shared" ref="U85:U87" si="29">+PROPER(T85)</f>
        <v>Yuliana Del Carmen Bastidas  Rosales</v>
      </c>
      <c r="V85" s="17" t="str">
        <f t="shared" ref="V85:V87" si="30">CONCATENATE(T85,"-",B85,"-",N85)</f>
        <v>Yuliana Del Carmen Bastidas  Rosales-1085331592-DUELO</v>
      </c>
    </row>
    <row r="86" spans="1:22" x14ac:dyDescent="0.2">
      <c r="A86" s="17">
        <v>96</v>
      </c>
      <c r="B86" s="17">
        <v>1233190311</v>
      </c>
      <c r="C86" s="17" t="s">
        <v>49</v>
      </c>
      <c r="D86" s="17" t="s">
        <v>230</v>
      </c>
      <c r="E86" s="17" t="s">
        <v>231</v>
      </c>
      <c r="F86" s="18" t="s">
        <v>232</v>
      </c>
      <c r="G86" s="17">
        <v>16</v>
      </c>
      <c r="H86" s="17" t="s">
        <v>63</v>
      </c>
      <c r="I86" s="19">
        <v>45336</v>
      </c>
      <c r="J86" s="1">
        <v>60000</v>
      </c>
      <c r="K86" s="17" t="s">
        <v>83</v>
      </c>
      <c r="L86" s="17" t="s">
        <v>223</v>
      </c>
      <c r="M86" s="17" t="s">
        <v>40</v>
      </c>
      <c r="N86" s="17" t="s">
        <v>37</v>
      </c>
      <c r="R86" s="17">
        <v>3148043009</v>
      </c>
      <c r="S86" s="17" t="str">
        <f>+IF($N86=[1]CURSOS!$D$3,[1]CURSOS!$E$3,(+IF($N86=[1]CURSOS!$D$4,[1]CURSOS!$E$4,(+IF($N86=[1]CURSOS!$D$5,[1]CURSOS!$E$5,(+IF($N86=[1]CURSOS!$D$6,[1]CURSOS!$E$6,(+IF($N86=[1]CURSOS!$D$7,[1]CURSOS!$E$7,(+IF($N86=[1]CURSOS!$D$8,[1]CURSOS!$E$8,(+IF($N86=[1]CURSOS!$D$9,[1]CURSOS!$E$9,(+IF($N86=[1]CURSOS!$D$10,[1]CURSOS!$E$10,(+IF($N86=[1]CURSOS!$D$11,[1]CURSOS!$E$11,(+IF($N86=[1]CURSOS!$D$12,[1]CURSOS!$E$12,(+IF($N86=[1]CURSOS!$D$13,[1]CURSOS!$E$13,(+IF($N86=[1]CURSOS!$D$14,[1]CURSOS!$E$14,(+IF($N86=[1]CURSOS!$D$15,[1]CURSOS!$E$15,(+IF($N86=[1]CURSOS!$D$16,[1]CURSOS!$E$16,(+IF($N86=[1]CURSOS!$D$17,[1]CURSOS!$E$17,(+IF($N86=[1]CURSOS!$D$18,[1]CURSOS!$E$18,(+IF($N86=[1]CURSOS!$D$19,[1]CURSOS!$E$19,(+IF($N86=[1]CURSOS!$D$20,[1]CURSOS!$E$20,(+IF($N86=[1]CURSOS!$D$21,[1]CURSOS!$E$21,(+IF($N86=[1]CURSOS!$D$22,[1]CURSOS!$E$22,(+IF($N86=[1]CURSOS!$D$23,[1]CURSOS!$E$23,(+IF($N86=[1]CURSOS!$D$24,[1]CURSOS!$E$24,(+IF($N86=[1]CURSOS!$D$25,[1]CURSOS!$E$25,(+IF($N86=[1]CURSOS!$D$26,[1]CURSOS!$E$26,(+IF($N86=[1]CURSOS!$D$27,[1]CURSOS!$E$27,(+IF($N86=[1]CURSOS!$D$28,[1]CURSOS!$E$28,(+IF($N86=[1]CURSOS!$D$29,[1]CURSOS!$E$29,(+IF($N86=[1]CURSOS!$D$30,[1]CURSOS!$E$30,(+IF($N86=[1]CURSOS!$D$31,[1]CURSOS!$E$31,(+IF($N86=[1]CURSOS!$D$32,[1]CURSOS!$E$32)))))))))))))))))))))))))))))))))))))))))))))))))))))))))))</f>
        <v>SALUD MENTAL (CODIGO VERDE)</v>
      </c>
      <c r="T86" s="17" t="str">
        <f t="shared" si="28"/>
        <v>Linda Katheryne Rosero Carrillo</v>
      </c>
      <c r="U86" s="17" t="str">
        <f t="shared" si="29"/>
        <v>Linda Katheryne Rosero Carrillo</v>
      </c>
      <c r="V86" s="17" t="str">
        <f t="shared" si="30"/>
        <v>Linda Katheryne Rosero Carrillo-1233190311-SALUD MENTAL</v>
      </c>
    </row>
    <row r="87" spans="1:22" x14ac:dyDescent="0.2">
      <c r="A87" s="17">
        <v>97</v>
      </c>
      <c r="B87" s="17">
        <v>1233190311</v>
      </c>
      <c r="C87" s="17" t="s">
        <v>49</v>
      </c>
      <c r="D87" s="17" t="s">
        <v>230</v>
      </c>
      <c r="E87" s="17" t="s">
        <v>231</v>
      </c>
      <c r="F87" s="18" t="s">
        <v>232</v>
      </c>
      <c r="G87" s="17">
        <v>16</v>
      </c>
      <c r="H87" s="17" t="s">
        <v>63</v>
      </c>
      <c r="I87" s="19">
        <v>45336</v>
      </c>
      <c r="J87" s="1">
        <v>60000</v>
      </c>
      <c r="K87" s="17" t="s">
        <v>83</v>
      </c>
      <c r="L87" s="17" t="s">
        <v>223</v>
      </c>
      <c r="M87" s="17" t="s">
        <v>40</v>
      </c>
      <c r="N87" s="17" t="s">
        <v>20</v>
      </c>
      <c r="R87" s="17">
        <v>3148043009</v>
      </c>
      <c r="S87" s="17" t="str">
        <f>+IF($N87=[1]CURSOS!$D$3,[1]CURSOS!$E$3,(+IF($N87=[1]CURSOS!$D$4,[1]CURSOS!$E$4,(+IF($N87=[1]CURSOS!$D$5,[1]CURSOS!$E$5,(+IF($N87=[1]CURSOS!$D$6,[1]CURSOS!$E$6,(+IF($N87=[1]CURSOS!$D$7,[1]CURSOS!$E$7,(+IF($N87=[1]CURSOS!$D$8,[1]CURSOS!$E$8,(+IF($N87=[1]CURSOS!$D$9,[1]CURSOS!$E$9,(+IF($N87=[1]CURSOS!$D$10,[1]CURSOS!$E$10,(+IF($N87=[1]CURSOS!$D$11,[1]CURSOS!$E$11,(+IF($N87=[1]CURSOS!$D$12,[1]CURSOS!$E$12,(+IF($N87=[1]CURSOS!$D$13,[1]CURSOS!$E$13,(+IF($N87=[1]CURSOS!$D$14,[1]CURSOS!$E$14,(+IF($N87=[1]CURSOS!$D$15,[1]CURSOS!$E$15,(+IF($N87=[1]CURSOS!$D$16,[1]CURSOS!$E$16,(+IF($N87=[1]CURSOS!$D$17,[1]CURSOS!$E$17,(+IF($N87=[1]CURSOS!$D$18,[1]CURSOS!$E$18,(+IF($N87=[1]CURSOS!$D$19,[1]CURSOS!$E$19,(+IF($N87=[1]CURSOS!$D$20,[1]CURSOS!$E$20,(+IF($N87=[1]CURSOS!$D$21,[1]CURSOS!$E$21,(+IF($N87=[1]CURSOS!$D$22,[1]CURSOS!$E$22,(+IF($N87=[1]CURSOS!$D$23,[1]CURSOS!$E$23,(+IF($N87=[1]CURSOS!$D$24,[1]CURSOS!$E$24,(+IF($N87=[1]CURSOS!$D$25,[1]CURSOS!$E$25,(+IF($N87=[1]CURSOS!$D$26,[1]CURSOS!$E$26,(+IF($N87=[1]CURSOS!$D$27,[1]CURSOS!$E$27,(+IF($N87=[1]CURSOS!$D$28,[1]CURSOS!$E$28,(+IF($N87=[1]CURSOS!$D$29,[1]CURSOS!$E$29,(+IF($N87=[1]CURSOS!$D$30,[1]CURSOS!$E$30,(+IF($N87=[1]CURSOS!$D$31,[1]CURSOS!$E$31,(+IF($N87=[1]CURSOS!$D$32,[1]CURSOS!$E$32)))))))))))))))))))))))))))))))))))))))))))))))))))))))))))</f>
        <v>ACOMPAÑAMIENTO Y MANEJO DEL DUELO</v>
      </c>
      <c r="T87" s="17" t="str">
        <f t="shared" si="28"/>
        <v>Linda Katheryne Rosero Carrillo</v>
      </c>
      <c r="U87" s="17" t="str">
        <f t="shared" si="29"/>
        <v>Linda Katheryne Rosero Carrillo</v>
      </c>
      <c r="V87" s="17" t="str">
        <f t="shared" si="30"/>
        <v>Linda Katheryne Rosero Carrillo-1233190311-DUELO</v>
      </c>
    </row>
    <row r="88" spans="1:22" x14ac:dyDescent="0.2">
      <c r="A88" s="17">
        <v>98</v>
      </c>
      <c r="B88" s="17">
        <v>1082106042</v>
      </c>
      <c r="C88" s="17" t="s">
        <v>233</v>
      </c>
      <c r="D88" s="17" t="s">
        <v>234</v>
      </c>
      <c r="E88" s="17" t="s">
        <v>235</v>
      </c>
      <c r="F88" s="18" t="s">
        <v>236</v>
      </c>
      <c r="G88" s="17">
        <v>14</v>
      </c>
      <c r="H88" s="17" t="s">
        <v>63</v>
      </c>
      <c r="I88" s="19">
        <v>45336</v>
      </c>
      <c r="J88" s="1">
        <v>20000</v>
      </c>
      <c r="K88" s="17" t="s">
        <v>208</v>
      </c>
      <c r="L88" s="17" t="s">
        <v>223</v>
      </c>
      <c r="M88" s="17" t="s">
        <v>40</v>
      </c>
      <c r="N88" s="17" t="s">
        <v>71</v>
      </c>
      <c r="O88" s="20">
        <v>36078</v>
      </c>
      <c r="P88" s="21" t="s">
        <v>39</v>
      </c>
      <c r="S88" s="17" t="str">
        <f>+IF($N88=[1]CURSOS!$D$3,[1]CURSOS!$E$3,(+IF($N88=[1]CURSOS!$D$4,[1]CURSOS!$E$4,(+IF($N88=[1]CURSOS!$D$5,[1]CURSOS!$E$5,(+IF($N88=[1]CURSOS!$D$6,[1]CURSOS!$E$6,(+IF($N88=[1]CURSOS!$D$7,[1]CURSOS!$E$7,(+IF($N88=[1]CURSOS!$D$8,[1]CURSOS!$E$8,(+IF($N88=[1]CURSOS!$D$9,[1]CURSOS!$E$9,(+IF($N88=[1]CURSOS!$D$10,[1]CURSOS!$E$10,(+IF($N88=[1]CURSOS!$D$11,[1]CURSOS!$E$11,(+IF($N88=[1]CURSOS!$D$12,[1]CURSOS!$E$12,(+IF($N88=[1]CURSOS!$D$13,[1]CURSOS!$E$13,(+IF($N88=[1]CURSOS!$D$14,[1]CURSOS!$E$14,(+IF($N88=[1]CURSOS!$D$15,[1]CURSOS!$E$15,(+IF($N88=[1]CURSOS!$D$16,[1]CURSOS!$E$16,(+IF($N88=[1]CURSOS!$D$17,[1]CURSOS!$E$17,(+IF($N88=[1]CURSOS!$D$18,[1]CURSOS!$E$18,(+IF($N88=[1]CURSOS!$D$19,[1]CURSOS!$E$19,(+IF($N88=[1]CURSOS!$D$20,[1]CURSOS!$E$20,(+IF($N88=[1]CURSOS!$D$21,[1]CURSOS!$E$21,(+IF($N88=[1]CURSOS!$D$22,[1]CURSOS!$E$22,(+IF($N88=[1]CURSOS!$D$23,[1]CURSOS!$E$23,(+IF($N88=[1]CURSOS!$D$24,[1]CURSOS!$E$24,(+IF($N88=[1]CURSOS!$D$25,[1]CURSOS!$E$25,(+IF($N88=[1]CURSOS!$D$26,[1]CURSOS!$E$26,(+IF($N88=[1]CURSOS!$D$27,[1]CURSOS!$E$27,(+IF($N88=[1]CURSOS!$D$28,[1]CURSOS!$E$28,(+IF($N88=[1]CURSOS!$D$29,[1]CURSOS!$E$29,(+IF($N88=[1]CURSOS!$D$30,[1]CURSOS!$E$30,(+IF($N88=[1]CURSOS!$D$31,[1]CURSOS!$E$31,(+IF($N88=[1]CURSOS!$D$32,[1]CURSOS!$E$32)))))))))))))))))))))))))))))))))))))))))))))))))))))))))))</f>
        <v xml:space="preserve">HUMANIZACION EN SALUD, BUENAS PRACTICAS EN PACIENTE </v>
      </c>
      <c r="T88" s="17" t="str">
        <f t="shared" ref="T88" si="31">CONCATENATE(E88," ",F88," ",C88," ",D88)</f>
        <v>Segundo Humberto Mueses Quitiaquez</v>
      </c>
      <c r="U88" s="17" t="str">
        <f t="shared" ref="U88" si="32">+PROPER(T88)</f>
        <v>Segundo Humberto Mueses Quitiaquez</v>
      </c>
      <c r="V88" s="17" t="str">
        <f t="shared" ref="V88" si="33">CONCATENATE(T88,"-",B88,"-",N88)</f>
        <v>Segundo Humberto Mueses Quitiaquez-1082106042-Humanizacion</v>
      </c>
    </row>
    <row r="89" spans="1:22" x14ac:dyDescent="0.2">
      <c r="A89" s="17">
        <v>99</v>
      </c>
      <c r="B89" s="17">
        <v>37082232</v>
      </c>
      <c r="C89" s="33" t="s">
        <v>237</v>
      </c>
      <c r="D89" s="17" t="s">
        <v>239</v>
      </c>
      <c r="E89" s="17" t="s">
        <v>240</v>
      </c>
      <c r="F89" s="18" t="s">
        <v>241</v>
      </c>
      <c r="G89" s="17">
        <v>15</v>
      </c>
      <c r="H89" s="17" t="s">
        <v>63</v>
      </c>
      <c r="I89" s="19">
        <v>45337</v>
      </c>
      <c r="J89" s="1">
        <v>30000</v>
      </c>
      <c r="L89" s="17" t="s">
        <v>222</v>
      </c>
      <c r="M89" s="17" t="s">
        <v>209</v>
      </c>
      <c r="N89" s="17" t="s">
        <v>27</v>
      </c>
      <c r="O89" s="20">
        <v>30324</v>
      </c>
      <c r="P89" s="21" t="s">
        <v>42</v>
      </c>
      <c r="S89" s="17" t="str">
        <f>+IF($N89=[1]CURSOS!$D$3,[1]CURSOS!$E$3,(+IF($N89=[1]CURSOS!$D$4,[1]CURSOS!$E$4,(+IF($N89=[1]CURSOS!$D$5,[1]CURSOS!$E$5,(+IF($N89=[1]CURSOS!$D$6,[1]CURSOS!$E$6,(+IF($N89=[1]CURSOS!$D$7,[1]CURSOS!$E$7,(+IF($N89=[1]CURSOS!$D$8,[1]CURSOS!$E$8,(+IF($N89=[1]CURSOS!$D$9,[1]CURSOS!$E$9,(+IF($N89=[1]CURSOS!$D$10,[1]CURSOS!$E$10,(+IF($N89=[1]CURSOS!$D$11,[1]CURSOS!$E$11,(+IF($N89=[1]CURSOS!$D$12,[1]CURSOS!$E$12,(+IF($N89=[1]CURSOS!$D$13,[1]CURSOS!$E$13,(+IF($N89=[1]CURSOS!$D$14,[1]CURSOS!$E$14,(+IF($N89=[1]CURSOS!$D$15,[1]CURSOS!$E$15,(+IF($N89=[1]CURSOS!$D$16,[1]CURSOS!$E$16,(+IF($N89=[1]CURSOS!$D$17,[1]CURSOS!$E$17,(+IF($N89=[1]CURSOS!$D$18,[1]CURSOS!$E$18,(+IF($N89=[1]CURSOS!$D$19,[1]CURSOS!$E$19,(+IF($N89=[1]CURSOS!$D$20,[1]CURSOS!$E$20,(+IF($N89=[1]CURSOS!$D$21,[1]CURSOS!$E$21,(+IF($N89=[1]CURSOS!$D$22,[1]CURSOS!$E$22,(+IF($N89=[1]CURSOS!$D$23,[1]CURSOS!$E$23,(+IF($N89=[1]CURSOS!$D$24,[1]CURSOS!$E$24,(+IF($N89=[1]CURSOS!$D$25,[1]CURSOS!$E$25,(+IF($N89=[1]CURSOS!$D$26,[1]CURSOS!$E$26,(+IF($N89=[1]CURSOS!$D$27,[1]CURSOS!$E$27,(+IF($N89=[1]CURSOS!$D$28,[1]CURSOS!$E$28,(+IF($N89=[1]CURSOS!$D$29,[1]CURSOS!$E$29,(+IF($N89=[1]CURSOS!$D$30,[1]CURSOS!$E$30,(+IF($N89=[1]CURSOS!$D$31,[1]CURSOS!$E$31,(+IF($N89=[1]CURSOS!$D$32,[1]CURSOS!$E$32)))))))))))))))))))))))))))))))))))))))))))))))))))))))))))</f>
        <v xml:space="preserve">ATENCION A VICTIMAS DE VIOLENCIA SEXUAL </v>
      </c>
      <c r="T89" s="17" t="str">
        <f t="shared" ref="T89" si="34">CONCATENATE(E89," ",F89," ",C89," ",D89)</f>
        <v>Myriam Adriana Zambrano Onofre</v>
      </c>
      <c r="U89" s="17" t="str">
        <f t="shared" ref="U89" si="35">+PROPER(T89)</f>
        <v>Myriam Adriana Zambrano Onofre</v>
      </c>
      <c r="V89" s="17" t="str">
        <f t="shared" ref="V89" si="36">CONCATENATE(T89,"-",B89,"-",N89)</f>
        <v>Myriam Adriana Zambrano Onofre-37082232-VIOLENCIA SEXUAL</v>
      </c>
    </row>
    <row r="90" spans="1:22" x14ac:dyDescent="0.2">
      <c r="A90" s="17">
        <v>100</v>
      </c>
      <c r="B90" s="17">
        <v>1088733869</v>
      </c>
      <c r="C90" s="17" t="s">
        <v>243</v>
      </c>
      <c r="D90" s="17" t="s">
        <v>120</v>
      </c>
      <c r="E90" s="17" t="s">
        <v>244</v>
      </c>
      <c r="F90" s="18" t="s">
        <v>245</v>
      </c>
      <c r="G90" s="17">
        <v>15</v>
      </c>
      <c r="H90" s="17" t="s">
        <v>63</v>
      </c>
      <c r="I90" s="19">
        <v>45338</v>
      </c>
      <c r="J90" s="1">
        <v>32000</v>
      </c>
      <c r="K90" s="17" t="s">
        <v>83</v>
      </c>
      <c r="L90" s="17" t="s">
        <v>223</v>
      </c>
      <c r="M90" s="17" t="s">
        <v>75</v>
      </c>
      <c r="N90" s="17" t="s">
        <v>38</v>
      </c>
      <c r="O90" s="20">
        <v>45400</v>
      </c>
      <c r="P90" s="21" t="s">
        <v>39</v>
      </c>
      <c r="S90" s="17" t="str">
        <f>+IF($N90=[1]CURSOS!$D$3,[1]CURSOS!$E$3,(+IF($N90=[1]CURSOS!$D$4,[1]CURSOS!$E$4,(+IF($N90=[1]CURSOS!$D$5,[1]CURSOS!$E$5,(+IF($N90=[1]CURSOS!$D$6,[1]CURSOS!$E$6,(+IF($N90=[1]CURSOS!$D$7,[1]CURSOS!$E$7,(+IF($N90=[1]CURSOS!$D$8,[1]CURSOS!$E$8,(+IF($N90=[1]CURSOS!$D$9,[1]CURSOS!$E$9,(+IF($N90=[1]CURSOS!$D$10,[1]CURSOS!$E$10,(+IF($N90=[1]CURSOS!$D$11,[1]CURSOS!$E$11,(+IF($N90=[1]CURSOS!$D$12,[1]CURSOS!$E$12,(+IF($N90=[1]CURSOS!$D$13,[1]CURSOS!$E$13,(+IF($N90=[1]CURSOS!$D$14,[1]CURSOS!$E$14,(+IF($N90=[1]CURSOS!$D$15,[1]CURSOS!$E$15,(+IF($N90=[1]CURSOS!$D$16,[1]CURSOS!$E$16,(+IF($N90=[1]CURSOS!$D$17,[1]CURSOS!$E$17,(+IF($N90=[1]CURSOS!$D$18,[1]CURSOS!$E$18,(+IF($N90=[1]CURSOS!$D$19,[1]CURSOS!$E$19,(+IF($N90=[1]CURSOS!$D$20,[1]CURSOS!$E$20,(+IF($N90=[1]CURSOS!$D$21,[1]CURSOS!$E$21,(+IF($N90=[1]CURSOS!$D$22,[1]CURSOS!$E$22,(+IF($N90=[1]CURSOS!$D$23,[1]CURSOS!$E$23,(+IF($N90=[1]CURSOS!$D$24,[1]CURSOS!$E$24,(+IF($N90=[1]CURSOS!$D$25,[1]CURSOS!$E$25,(+IF($N90=[1]CURSOS!$D$26,[1]CURSOS!$E$26,(+IF($N90=[1]CURSOS!$D$27,[1]CURSOS!$E$27,(+IF($N90=[1]CURSOS!$D$28,[1]CURSOS!$E$28,(+IF($N90=[1]CURSOS!$D$29,[1]CURSOS!$E$29,(+IF($N90=[1]CURSOS!$D$30,[1]CURSOS!$E$30,(+IF($N90=[1]CURSOS!$D$31,[1]CURSOS!$E$31,(+IF($N90=[1]CURSOS!$D$32,[1]CURSOS!$E$32)))))))))))))))))))))))))))))))))))))))))))))))))))))))))))</f>
        <v>PRIMEROS AUXILIOS PSICOLOGICOS</v>
      </c>
      <c r="T90" s="17" t="str">
        <f t="shared" ref="T90:T91" si="37">CONCATENATE(E90," ",F90," ",C90," ",D90)</f>
        <v>Geimar Alexis Guevara Melo</v>
      </c>
      <c r="U90" s="17" t="str">
        <f t="shared" ref="U90:U91" si="38">+PROPER(T90)</f>
        <v>Geimar Alexis Guevara Melo</v>
      </c>
      <c r="V90" s="17" t="str">
        <f t="shared" ref="V90:V91" si="39">CONCATENATE(T90,"-",B90,"-",N90)</f>
        <v>Geimar Alexis Guevara Melo-1088733869-PRIMEROS AUXILIOS P</v>
      </c>
    </row>
    <row r="91" spans="1:22" x14ac:dyDescent="0.2">
      <c r="A91" s="17">
        <v>101</v>
      </c>
      <c r="B91" s="17">
        <v>75079271</v>
      </c>
      <c r="C91" s="17" t="s">
        <v>246</v>
      </c>
      <c r="D91" s="17" t="s">
        <v>247</v>
      </c>
      <c r="E91" s="17" t="s">
        <v>248</v>
      </c>
      <c r="F91" s="18" t="s">
        <v>238</v>
      </c>
      <c r="G91" s="17">
        <v>16</v>
      </c>
      <c r="H91" s="17" t="s">
        <v>63</v>
      </c>
      <c r="I91" s="19">
        <v>45338</v>
      </c>
      <c r="J91" s="1">
        <v>30000</v>
      </c>
      <c r="K91" s="17" t="s">
        <v>83</v>
      </c>
      <c r="L91" s="17" t="s">
        <v>222</v>
      </c>
      <c r="M91" s="17" t="s">
        <v>40</v>
      </c>
      <c r="N91" s="17" t="s">
        <v>29</v>
      </c>
      <c r="O91" s="20">
        <v>27759</v>
      </c>
      <c r="P91" s="21" t="s">
        <v>39</v>
      </c>
      <c r="S91" s="17" t="str">
        <f>+IF($N91=[1]CURSOS!$D$3,[1]CURSOS!$E$3,(+IF($N91=[1]CURSOS!$D$4,[1]CURSOS!$E$4,(+IF($N91=[1]CURSOS!$D$5,[1]CURSOS!$E$5,(+IF($N91=[1]CURSOS!$D$6,[1]CURSOS!$E$6,(+IF($N91=[1]CURSOS!$D$7,[1]CURSOS!$E$7,(+IF($N91=[1]CURSOS!$D$8,[1]CURSOS!$E$8,(+IF($N91=[1]CURSOS!$D$9,[1]CURSOS!$E$9,(+IF($N91=[1]CURSOS!$D$10,[1]CURSOS!$E$10,(+IF($N91=[1]CURSOS!$D$11,[1]CURSOS!$E$11,(+IF($N91=[1]CURSOS!$D$12,[1]CURSOS!$E$12,(+IF($N91=[1]CURSOS!$D$13,[1]CURSOS!$E$13,(+IF($N91=[1]CURSOS!$D$14,[1]CURSOS!$E$14,(+IF($N91=[1]CURSOS!$D$15,[1]CURSOS!$E$15,(+IF($N91=[1]CURSOS!$D$16,[1]CURSOS!$E$16,(+IF($N91=[1]CURSOS!$D$17,[1]CURSOS!$E$17,(+IF($N91=[1]CURSOS!$D$18,[1]CURSOS!$E$18,(+IF($N91=[1]CURSOS!$D$19,[1]CURSOS!$E$19,(+IF($N91=[1]CURSOS!$D$20,[1]CURSOS!$E$20,(+IF($N91=[1]CURSOS!$D$21,[1]CURSOS!$E$21,(+IF($N91=[1]CURSOS!$D$22,[1]CURSOS!$E$22,(+IF($N91=[1]CURSOS!$D$23,[1]CURSOS!$E$23,(+IF($N91=[1]CURSOS!$D$24,[1]CURSOS!$E$24,(+IF($N91=[1]CURSOS!$D$25,[1]CURSOS!$E$25,(+IF($N91=[1]CURSOS!$D$26,[1]CURSOS!$E$26,(+IF($N91=[1]CURSOS!$D$27,[1]CURSOS!$E$27,(+IF($N91=[1]CURSOS!$D$28,[1]CURSOS!$E$28,(+IF($N91=[1]CURSOS!$D$29,[1]CURSOS!$E$29,(+IF($N91=[1]CURSOS!$D$30,[1]CURSOS!$E$30,(+IF($N91=[1]CURSOS!$D$31,[1]CURSOS!$E$31,(+IF($N91=[1]CURSOS!$D$32,[1]CURSOS!$E$32)))))))))))))))))))))))))))))))))))))))))))))))))))))))))))</f>
        <v>ATENCION INTEGRAL EN ENFERMEDADES PREVALENTES EN PRIMERA INFANCIA (AIEPI)</v>
      </c>
      <c r="T91" s="17" t="str">
        <f t="shared" si="37"/>
        <v>Gabriel Eduardo Cárdenas Uribe</v>
      </c>
      <c r="U91" s="17" t="str">
        <f t="shared" si="38"/>
        <v>Gabriel Eduardo Cárdenas Uribe</v>
      </c>
      <c r="V91" s="17" t="str">
        <f t="shared" si="39"/>
        <v>Gabriel Eduardo Cárdenas Uribe-75079271-AIEPI</v>
      </c>
    </row>
    <row r="92" spans="1:22" x14ac:dyDescent="0.2">
      <c r="A92" s="17">
        <v>102</v>
      </c>
      <c r="B92" s="17">
        <v>75079271</v>
      </c>
      <c r="C92" s="17" t="s">
        <v>246</v>
      </c>
      <c r="D92" s="17" t="s">
        <v>247</v>
      </c>
      <c r="E92" s="17" t="s">
        <v>248</v>
      </c>
      <c r="F92" s="18" t="s">
        <v>238</v>
      </c>
      <c r="G92" s="17">
        <v>16</v>
      </c>
      <c r="H92" s="17" t="s">
        <v>63</v>
      </c>
      <c r="I92" s="19">
        <v>45338</v>
      </c>
      <c r="J92" s="1">
        <v>23000</v>
      </c>
      <c r="K92" s="17" t="s">
        <v>83</v>
      </c>
      <c r="L92" s="17" t="s">
        <v>222</v>
      </c>
      <c r="M92" s="17" t="s">
        <v>40</v>
      </c>
      <c r="N92" s="17" t="s">
        <v>27</v>
      </c>
      <c r="O92" s="20">
        <v>27759</v>
      </c>
      <c r="P92" s="21" t="s">
        <v>39</v>
      </c>
      <c r="S92" s="17" t="str">
        <f>+IF($N92=[1]CURSOS!$D$3,[1]CURSOS!$E$3,(+IF($N92=[1]CURSOS!$D$4,[1]CURSOS!$E$4,(+IF($N92=[1]CURSOS!$D$5,[1]CURSOS!$E$5,(+IF($N92=[1]CURSOS!$D$6,[1]CURSOS!$E$6,(+IF($N92=[1]CURSOS!$D$7,[1]CURSOS!$E$7,(+IF($N92=[1]CURSOS!$D$8,[1]CURSOS!$E$8,(+IF($N92=[1]CURSOS!$D$9,[1]CURSOS!$E$9,(+IF($N92=[1]CURSOS!$D$10,[1]CURSOS!$E$10,(+IF($N92=[1]CURSOS!$D$11,[1]CURSOS!$E$11,(+IF($N92=[1]CURSOS!$D$12,[1]CURSOS!$E$12,(+IF($N92=[1]CURSOS!$D$13,[1]CURSOS!$E$13,(+IF($N92=[1]CURSOS!$D$14,[1]CURSOS!$E$14,(+IF($N92=[1]CURSOS!$D$15,[1]CURSOS!$E$15,(+IF($N92=[1]CURSOS!$D$16,[1]CURSOS!$E$16,(+IF($N92=[1]CURSOS!$D$17,[1]CURSOS!$E$17,(+IF($N92=[1]CURSOS!$D$18,[1]CURSOS!$E$18,(+IF($N92=[1]CURSOS!$D$19,[1]CURSOS!$E$19,(+IF($N92=[1]CURSOS!$D$20,[1]CURSOS!$E$20,(+IF($N92=[1]CURSOS!$D$21,[1]CURSOS!$E$21,(+IF($N92=[1]CURSOS!$D$22,[1]CURSOS!$E$22,(+IF($N92=[1]CURSOS!$D$23,[1]CURSOS!$E$23,(+IF($N92=[1]CURSOS!$D$24,[1]CURSOS!$E$24,(+IF($N92=[1]CURSOS!$D$25,[1]CURSOS!$E$25,(+IF($N92=[1]CURSOS!$D$26,[1]CURSOS!$E$26,(+IF($N92=[1]CURSOS!$D$27,[1]CURSOS!$E$27,(+IF($N92=[1]CURSOS!$D$28,[1]CURSOS!$E$28,(+IF($N92=[1]CURSOS!$D$29,[1]CURSOS!$E$29,(+IF($N92=[1]CURSOS!$D$30,[1]CURSOS!$E$30,(+IF($N92=[1]CURSOS!$D$31,[1]CURSOS!$E$31,(+IF($N92=[1]CURSOS!$D$32,[1]CURSOS!$E$32)))))))))))))))))))))))))))))))))))))))))))))))))))))))))))</f>
        <v xml:space="preserve">ATENCION A VICTIMAS DE VIOLENCIA SEXUAL </v>
      </c>
      <c r="T92" s="17" t="str">
        <f t="shared" ref="T92:T95" si="40">CONCATENATE(E92," ",F92," ",C92," ",D92)</f>
        <v>Gabriel Eduardo Cárdenas Uribe</v>
      </c>
      <c r="U92" s="17" t="str">
        <f t="shared" ref="U92:U95" si="41">+PROPER(T92)</f>
        <v>Gabriel Eduardo Cárdenas Uribe</v>
      </c>
      <c r="V92" s="17" t="str">
        <f t="shared" ref="V92:V95" si="42">CONCATENATE(T92,"-",B92,"-",N92)</f>
        <v>Gabriel Eduardo Cárdenas Uribe-75079271-VIOLENCIA SEXUAL</v>
      </c>
    </row>
    <row r="93" spans="1:22" x14ac:dyDescent="0.2">
      <c r="A93" s="17">
        <v>103</v>
      </c>
      <c r="B93" s="17">
        <v>75079271</v>
      </c>
      <c r="C93" s="17" t="s">
        <v>246</v>
      </c>
      <c r="D93" s="17" t="s">
        <v>247</v>
      </c>
      <c r="E93" s="17" t="s">
        <v>248</v>
      </c>
      <c r="F93" s="18" t="s">
        <v>238</v>
      </c>
      <c r="G93" s="17">
        <v>15</v>
      </c>
      <c r="H93" s="17" t="s">
        <v>63</v>
      </c>
      <c r="I93" s="19">
        <v>45338</v>
      </c>
      <c r="J93" s="1">
        <v>100000</v>
      </c>
      <c r="K93" s="17" t="s">
        <v>83</v>
      </c>
      <c r="L93" s="17" t="s">
        <v>222</v>
      </c>
      <c r="M93" s="17" t="s">
        <v>40</v>
      </c>
      <c r="N93" s="17" t="s">
        <v>24</v>
      </c>
      <c r="O93" s="20">
        <v>27759</v>
      </c>
      <c r="P93" s="21" t="s">
        <v>39</v>
      </c>
      <c r="S93" s="17" t="str">
        <f>+IF($N93=[1]CURSOS!$D$3,[1]CURSOS!$E$3,(+IF($N93=[1]CURSOS!$D$4,[1]CURSOS!$E$4,(+IF($N93=[1]CURSOS!$D$5,[1]CURSOS!$E$5,(+IF($N93=[1]CURSOS!$D$6,[1]CURSOS!$E$6,(+IF($N93=[1]CURSOS!$D$7,[1]CURSOS!$E$7,(+IF($N93=[1]CURSOS!$D$8,[1]CURSOS!$E$8,(+IF($N93=[1]CURSOS!$D$9,[1]CURSOS!$E$9,(+IF($N93=[1]CURSOS!$D$10,[1]CURSOS!$E$10,(+IF($N93=[1]CURSOS!$D$11,[1]CURSOS!$E$11,(+IF($N93=[1]CURSOS!$D$12,[1]CURSOS!$E$12,(+IF($N93=[1]CURSOS!$D$13,[1]CURSOS!$E$13,(+IF($N93=[1]CURSOS!$D$14,[1]CURSOS!$E$14,(+IF($N93=[1]CURSOS!$D$15,[1]CURSOS!$E$15,(+IF($N93=[1]CURSOS!$D$16,[1]CURSOS!$E$16,(+IF($N93=[1]CURSOS!$D$17,[1]CURSOS!$E$17,(+IF($N93=[1]CURSOS!$D$18,[1]CURSOS!$E$18,(+IF($N93=[1]CURSOS!$D$19,[1]CURSOS!$E$19,(+IF($N93=[1]CURSOS!$D$20,[1]CURSOS!$E$20,(+IF($N93=[1]CURSOS!$D$21,[1]CURSOS!$E$21,(+IF($N93=[1]CURSOS!$D$22,[1]CURSOS!$E$22,(+IF($N93=[1]CURSOS!$D$23,[1]CURSOS!$E$23,(+IF($N93=[1]CURSOS!$D$24,[1]CURSOS!$E$24,(+IF($N93=[1]CURSOS!$D$25,[1]CURSOS!$E$25,(+IF($N93=[1]CURSOS!$D$26,[1]CURSOS!$E$26,(+IF($N93=[1]CURSOS!$D$27,[1]CURSOS!$E$27,(+IF($N93=[1]CURSOS!$D$28,[1]CURSOS!$E$28,(+IF($N93=[1]CURSOS!$D$29,[1]CURSOS!$E$29,(+IF($N93=[1]CURSOS!$D$30,[1]CURSOS!$E$30,(+IF($N93=[1]CURSOS!$D$31,[1]CURSOS!$E$31,(+IF($N93=[1]CURSOS!$D$32,[1]CURSOS!$E$32)))))))))))))))))))))))))))))))))))))))))))))))))))))))))))</f>
        <v xml:space="preserve">SOPORTE CARDIOVASCULAR AVANZADO </v>
      </c>
      <c r="T93" s="17" t="str">
        <f t="shared" si="40"/>
        <v>Gabriel Eduardo Cárdenas Uribe</v>
      </c>
      <c r="U93" s="17" t="str">
        <f t="shared" si="41"/>
        <v>Gabriel Eduardo Cárdenas Uribe</v>
      </c>
      <c r="V93" s="17" t="str">
        <f t="shared" si="42"/>
        <v>Gabriel Eduardo Cárdenas Uribe-75079271-ACLS</v>
      </c>
    </row>
    <row r="94" spans="1:22" x14ac:dyDescent="0.2">
      <c r="A94" s="17">
        <v>104</v>
      </c>
      <c r="B94" s="17">
        <v>1085326714</v>
      </c>
      <c r="C94" s="17" t="s">
        <v>249</v>
      </c>
      <c r="D94" s="17" t="s">
        <v>250</v>
      </c>
      <c r="E94" s="17" t="s">
        <v>206</v>
      </c>
      <c r="F94" s="18" t="s">
        <v>251</v>
      </c>
      <c r="G94" s="17">
        <v>15</v>
      </c>
      <c r="H94" s="17" t="s">
        <v>63</v>
      </c>
      <c r="I94" s="19">
        <v>45337</v>
      </c>
      <c r="J94" s="1">
        <v>60000</v>
      </c>
      <c r="K94" s="17" t="s">
        <v>83</v>
      </c>
      <c r="L94" s="17" t="s">
        <v>222</v>
      </c>
      <c r="M94" s="17" t="s">
        <v>40</v>
      </c>
      <c r="N94" s="17" t="s">
        <v>19</v>
      </c>
      <c r="O94" s="20">
        <v>35105</v>
      </c>
      <c r="P94" s="21" t="s">
        <v>42</v>
      </c>
      <c r="S94" s="17" t="str">
        <f>+IF($N94=[1]CURSOS!$D$3,[1]CURSOS!$E$3,(+IF($N94=[1]CURSOS!$D$4,[1]CURSOS!$E$4,(+IF($N94=[1]CURSOS!$D$5,[1]CURSOS!$E$5,(+IF($N94=[1]CURSOS!$D$6,[1]CURSOS!$E$6,(+IF($N94=[1]CURSOS!$D$7,[1]CURSOS!$E$7,(+IF($N94=[1]CURSOS!$D$8,[1]CURSOS!$E$8,(+IF($N94=[1]CURSOS!$D$9,[1]CURSOS!$E$9,(+IF($N94=[1]CURSOS!$D$10,[1]CURSOS!$E$10,(+IF($N94=[1]CURSOS!$D$11,[1]CURSOS!$E$11,(+IF($N94=[1]CURSOS!$D$12,[1]CURSOS!$E$12,(+IF($N94=[1]CURSOS!$D$13,[1]CURSOS!$E$13,(+IF($N94=[1]CURSOS!$D$14,[1]CURSOS!$E$14,(+IF($N94=[1]CURSOS!$D$15,[1]CURSOS!$E$15,(+IF($N94=[1]CURSOS!$D$16,[1]CURSOS!$E$16,(+IF($N94=[1]CURSOS!$D$17,[1]CURSOS!$E$17,(+IF($N94=[1]CURSOS!$D$18,[1]CURSOS!$E$18,(+IF($N94=[1]CURSOS!$D$19,[1]CURSOS!$E$19,(+IF($N94=[1]CURSOS!$D$20,[1]CURSOS!$E$20,(+IF($N94=[1]CURSOS!$D$21,[1]CURSOS!$E$21,(+IF($N94=[1]CURSOS!$D$22,[1]CURSOS!$E$22,(+IF($N94=[1]CURSOS!$D$23,[1]CURSOS!$E$23,(+IF($N94=[1]CURSOS!$D$24,[1]CURSOS!$E$24,(+IF($N94=[1]CURSOS!$D$25,[1]CURSOS!$E$25,(+IF($N94=[1]CURSOS!$D$26,[1]CURSOS!$E$26,(+IF($N94=[1]CURSOS!$D$27,[1]CURSOS!$E$27,(+IF($N94=[1]CURSOS!$D$28,[1]CURSOS!$E$28,(+IF($N94=[1]CURSOS!$D$29,[1]CURSOS!$E$29,(+IF($N94=[1]CURSOS!$D$30,[1]CURSOS!$E$30,(+IF($N94=[1]CURSOS!$D$31,[1]CURSOS!$E$31,(+IF($N94=[1]CURSOS!$D$32,[1]CURSOS!$E$32)))))))))))))))))))))))))))))))))))))))))))))))))))))))))))</f>
        <v>SOPORTE VITAL BASICO (BLS)</v>
      </c>
      <c r="T94" s="17" t="str">
        <f t="shared" si="40"/>
        <v>Laura Kateryne Burbano Capacho</v>
      </c>
      <c r="U94" s="17" t="str">
        <f t="shared" si="41"/>
        <v>Laura Kateryne Burbano Capacho</v>
      </c>
      <c r="V94" s="17" t="str">
        <f t="shared" si="42"/>
        <v>Laura Kateryne Burbano Capacho-1085326714-BLS</v>
      </c>
    </row>
    <row r="95" spans="1:22" x14ac:dyDescent="0.2">
      <c r="A95" s="17">
        <v>105</v>
      </c>
      <c r="B95" s="17">
        <v>1085326714</v>
      </c>
      <c r="C95" s="17" t="s">
        <v>249</v>
      </c>
      <c r="D95" s="17" t="s">
        <v>250</v>
      </c>
      <c r="E95" s="17" t="s">
        <v>206</v>
      </c>
      <c r="F95" s="18" t="s">
        <v>251</v>
      </c>
      <c r="G95" s="17">
        <v>16</v>
      </c>
      <c r="H95" s="17" t="s">
        <v>63</v>
      </c>
      <c r="I95" s="19">
        <v>45337</v>
      </c>
      <c r="J95" s="1">
        <v>60000</v>
      </c>
      <c r="K95" s="17" t="s">
        <v>83</v>
      </c>
      <c r="L95" s="17" t="s">
        <v>222</v>
      </c>
      <c r="M95" s="17" t="s">
        <v>40</v>
      </c>
      <c r="N95" s="17" t="s">
        <v>27</v>
      </c>
      <c r="O95" s="20">
        <v>35105</v>
      </c>
      <c r="P95" s="21" t="s">
        <v>42</v>
      </c>
      <c r="S95" s="17" t="str">
        <f>+IF($N95=[1]CURSOS!$D$3,[1]CURSOS!$E$3,(+IF($N95=[1]CURSOS!$D$4,[1]CURSOS!$E$4,(+IF($N95=[1]CURSOS!$D$5,[1]CURSOS!$E$5,(+IF($N95=[1]CURSOS!$D$6,[1]CURSOS!$E$6,(+IF($N95=[1]CURSOS!$D$7,[1]CURSOS!$E$7,(+IF($N95=[1]CURSOS!$D$8,[1]CURSOS!$E$8,(+IF($N95=[1]CURSOS!$D$9,[1]CURSOS!$E$9,(+IF($N95=[1]CURSOS!$D$10,[1]CURSOS!$E$10,(+IF($N95=[1]CURSOS!$D$11,[1]CURSOS!$E$11,(+IF($N95=[1]CURSOS!$D$12,[1]CURSOS!$E$12,(+IF($N95=[1]CURSOS!$D$13,[1]CURSOS!$E$13,(+IF($N95=[1]CURSOS!$D$14,[1]CURSOS!$E$14,(+IF($N95=[1]CURSOS!$D$15,[1]CURSOS!$E$15,(+IF($N95=[1]CURSOS!$D$16,[1]CURSOS!$E$16,(+IF($N95=[1]CURSOS!$D$17,[1]CURSOS!$E$17,(+IF($N95=[1]CURSOS!$D$18,[1]CURSOS!$E$18,(+IF($N95=[1]CURSOS!$D$19,[1]CURSOS!$E$19,(+IF($N95=[1]CURSOS!$D$20,[1]CURSOS!$E$20,(+IF($N95=[1]CURSOS!$D$21,[1]CURSOS!$E$21,(+IF($N95=[1]CURSOS!$D$22,[1]CURSOS!$E$22,(+IF($N95=[1]CURSOS!$D$23,[1]CURSOS!$E$23,(+IF($N95=[1]CURSOS!$D$24,[1]CURSOS!$E$24,(+IF($N95=[1]CURSOS!$D$25,[1]CURSOS!$E$25,(+IF($N95=[1]CURSOS!$D$26,[1]CURSOS!$E$26,(+IF($N95=[1]CURSOS!$D$27,[1]CURSOS!$E$27,(+IF($N95=[1]CURSOS!$D$28,[1]CURSOS!$E$28,(+IF($N95=[1]CURSOS!$D$29,[1]CURSOS!$E$29,(+IF($N95=[1]CURSOS!$D$30,[1]CURSOS!$E$30,(+IF($N95=[1]CURSOS!$D$31,[1]CURSOS!$E$31,(+IF($N95=[1]CURSOS!$D$32,[1]CURSOS!$E$32)))))))))))))))))))))))))))))))))))))))))))))))))))))))))))</f>
        <v xml:space="preserve">ATENCION A VICTIMAS DE VIOLENCIA SEXUAL </v>
      </c>
      <c r="T95" s="17" t="str">
        <f t="shared" si="40"/>
        <v>Laura Kateryne Burbano Capacho</v>
      </c>
      <c r="U95" s="17" t="str">
        <f t="shared" si="41"/>
        <v>Laura Kateryne Burbano Capacho</v>
      </c>
      <c r="V95" s="17" t="str">
        <f t="shared" si="42"/>
        <v>Laura Kateryne Burbano Capacho-1085326714-VIOLENCIA SEXUAL</v>
      </c>
    </row>
    <row r="96" spans="1:22" x14ac:dyDescent="0.2">
      <c r="A96" s="17">
        <v>106</v>
      </c>
      <c r="B96" s="17">
        <v>23624103</v>
      </c>
      <c r="C96" s="17" t="s">
        <v>252</v>
      </c>
      <c r="E96" s="17" t="s">
        <v>253</v>
      </c>
      <c r="F96" s="18" t="s">
        <v>229</v>
      </c>
      <c r="G96" s="17">
        <v>15</v>
      </c>
      <c r="H96" s="17" t="s">
        <v>63</v>
      </c>
      <c r="I96" s="19">
        <v>45338</v>
      </c>
      <c r="J96" s="1">
        <v>30000</v>
      </c>
      <c r="K96" s="17" t="s">
        <v>83</v>
      </c>
      <c r="L96" s="17" t="s">
        <v>222</v>
      </c>
      <c r="M96" s="17" t="s">
        <v>40</v>
      </c>
      <c r="N96" s="17" t="s">
        <v>30</v>
      </c>
      <c r="O96" s="20">
        <v>29664</v>
      </c>
      <c r="P96" s="21" t="s">
        <v>42</v>
      </c>
      <c r="S96" s="17" t="str">
        <f>+IF($N96=[1]CURSOS!$D$3,[1]CURSOS!$E$3,(+IF($N96=[1]CURSOS!$D$4,[1]CURSOS!$E$4,(+IF($N96=[1]CURSOS!$D$5,[1]CURSOS!$E$5,(+IF($N96=[1]CURSOS!$D$6,[1]CURSOS!$E$6,(+IF($N96=[1]CURSOS!$D$7,[1]CURSOS!$E$7,(+IF($N96=[1]CURSOS!$D$8,[1]CURSOS!$E$8,(+IF($N96=[1]CURSOS!$D$9,[1]CURSOS!$E$9,(+IF($N96=[1]CURSOS!$D$10,[1]CURSOS!$E$10,(+IF($N96=[1]CURSOS!$D$11,[1]CURSOS!$E$11,(+IF($N96=[1]CURSOS!$D$12,[1]CURSOS!$E$12,(+IF($N96=[1]CURSOS!$D$13,[1]CURSOS!$E$13,(+IF($N96=[1]CURSOS!$D$14,[1]CURSOS!$E$14,(+IF($N96=[1]CURSOS!$D$15,[1]CURSOS!$E$15,(+IF($N96=[1]CURSOS!$D$16,[1]CURSOS!$E$16,(+IF($N96=[1]CURSOS!$D$17,[1]CURSOS!$E$17,(+IF($N96=[1]CURSOS!$D$18,[1]CURSOS!$E$18,(+IF($N96=[1]CURSOS!$D$19,[1]CURSOS!$E$19,(+IF($N96=[1]CURSOS!$D$20,[1]CURSOS!$E$20,(+IF($N96=[1]CURSOS!$D$21,[1]CURSOS!$E$21,(+IF($N96=[1]CURSOS!$D$22,[1]CURSOS!$E$22,(+IF($N96=[1]CURSOS!$D$23,[1]CURSOS!$E$23,(+IF($N96=[1]CURSOS!$D$24,[1]CURSOS!$E$24,(+IF($N96=[1]CURSOS!$D$25,[1]CURSOS!$E$25,(+IF($N96=[1]CURSOS!$D$26,[1]CURSOS!$E$26,(+IF($N96=[1]CURSOS!$D$27,[1]CURSOS!$E$27,(+IF($N96=[1]CURSOS!$D$28,[1]CURSOS!$E$28,(+IF($N96=[1]CURSOS!$D$29,[1]CURSOS!$E$29,(+IF($N96=[1]CURSOS!$D$30,[1]CURSOS!$E$30,(+IF($N96=[1]CURSOS!$D$31,[1]CURSOS!$E$31,(+IF($N96=[1]CURSOS!$D$32,[1]CURSOS!$E$32)))))))))))))))))))))))))))))))))))))))))))))))))))))))))))</f>
        <v xml:space="preserve">ADMINISTRACION DE MEDICAMENTOS, INYECTOLOGIA  Y CANALIZACION </v>
      </c>
      <c r="T96" s="17" t="str">
        <f t="shared" ref="T96:T99" si="43">CONCATENATE(E96," ",F96," ",C96," ",D96)</f>
        <v xml:space="preserve">Milena  Del Carmen Villota </v>
      </c>
      <c r="U96" s="17" t="str">
        <f t="shared" ref="U96:U99" si="44">+PROPER(T96)</f>
        <v xml:space="preserve">Milena  Del Carmen Villota </v>
      </c>
      <c r="V96" s="17" t="str">
        <f t="shared" ref="V96:V99" si="45">CONCATENATE(T96,"-",B96,"-",N96)</f>
        <v>Milena  Del Carmen Villota -23624103-ADMON DE MEDICAMENTOS</v>
      </c>
    </row>
    <row r="97" spans="1:22" x14ac:dyDescent="0.2">
      <c r="A97" s="17">
        <v>107</v>
      </c>
      <c r="B97" s="17">
        <v>23624103</v>
      </c>
      <c r="C97" s="17" t="s">
        <v>252</v>
      </c>
      <c r="E97" s="17" t="s">
        <v>253</v>
      </c>
      <c r="F97" s="18" t="s">
        <v>229</v>
      </c>
      <c r="G97" s="17">
        <v>15</v>
      </c>
      <c r="H97" s="17" t="s">
        <v>63</v>
      </c>
      <c r="I97" s="19">
        <v>45338</v>
      </c>
      <c r="J97" s="1">
        <v>30000</v>
      </c>
      <c r="K97" s="17" t="s">
        <v>83</v>
      </c>
      <c r="L97" s="17" t="s">
        <v>222</v>
      </c>
      <c r="M97" s="17" t="s">
        <v>40</v>
      </c>
      <c r="N97" s="17" t="s">
        <v>27</v>
      </c>
      <c r="O97" s="20">
        <v>29664</v>
      </c>
      <c r="P97" s="21" t="s">
        <v>42</v>
      </c>
      <c r="S97" s="17" t="str">
        <f>+IF($N97=[1]CURSOS!$D$3,[1]CURSOS!$E$3,(+IF($N97=[1]CURSOS!$D$4,[1]CURSOS!$E$4,(+IF($N97=[1]CURSOS!$D$5,[1]CURSOS!$E$5,(+IF($N97=[1]CURSOS!$D$6,[1]CURSOS!$E$6,(+IF($N97=[1]CURSOS!$D$7,[1]CURSOS!$E$7,(+IF($N97=[1]CURSOS!$D$8,[1]CURSOS!$E$8,(+IF($N97=[1]CURSOS!$D$9,[1]CURSOS!$E$9,(+IF($N97=[1]CURSOS!$D$10,[1]CURSOS!$E$10,(+IF($N97=[1]CURSOS!$D$11,[1]CURSOS!$E$11,(+IF($N97=[1]CURSOS!$D$12,[1]CURSOS!$E$12,(+IF($N97=[1]CURSOS!$D$13,[1]CURSOS!$E$13,(+IF($N97=[1]CURSOS!$D$14,[1]CURSOS!$E$14,(+IF($N97=[1]CURSOS!$D$15,[1]CURSOS!$E$15,(+IF($N97=[1]CURSOS!$D$16,[1]CURSOS!$E$16,(+IF($N97=[1]CURSOS!$D$17,[1]CURSOS!$E$17,(+IF($N97=[1]CURSOS!$D$18,[1]CURSOS!$E$18,(+IF($N97=[1]CURSOS!$D$19,[1]CURSOS!$E$19,(+IF($N97=[1]CURSOS!$D$20,[1]CURSOS!$E$20,(+IF($N97=[1]CURSOS!$D$21,[1]CURSOS!$E$21,(+IF($N97=[1]CURSOS!$D$22,[1]CURSOS!$E$22,(+IF($N97=[1]CURSOS!$D$23,[1]CURSOS!$E$23,(+IF($N97=[1]CURSOS!$D$24,[1]CURSOS!$E$24,(+IF($N97=[1]CURSOS!$D$25,[1]CURSOS!$E$25,(+IF($N97=[1]CURSOS!$D$26,[1]CURSOS!$E$26,(+IF($N97=[1]CURSOS!$D$27,[1]CURSOS!$E$27,(+IF($N97=[1]CURSOS!$D$28,[1]CURSOS!$E$28,(+IF($N97=[1]CURSOS!$D$29,[1]CURSOS!$E$29,(+IF($N97=[1]CURSOS!$D$30,[1]CURSOS!$E$30,(+IF($N97=[1]CURSOS!$D$31,[1]CURSOS!$E$31,(+IF($N97=[1]CURSOS!$D$32,[1]CURSOS!$E$32)))))))))))))))))))))))))))))))))))))))))))))))))))))))))))</f>
        <v xml:space="preserve">ATENCION A VICTIMAS DE VIOLENCIA SEXUAL </v>
      </c>
      <c r="T97" s="17" t="str">
        <f t="shared" si="43"/>
        <v xml:space="preserve">Milena  Del Carmen Villota </v>
      </c>
      <c r="U97" s="17" t="str">
        <f t="shared" si="44"/>
        <v xml:space="preserve">Milena  Del Carmen Villota </v>
      </c>
      <c r="V97" s="17" t="str">
        <f t="shared" si="45"/>
        <v>Milena  Del Carmen Villota -23624103-VIOLENCIA SEXUAL</v>
      </c>
    </row>
    <row r="98" spans="1:22" x14ac:dyDescent="0.2">
      <c r="A98" s="17">
        <v>108</v>
      </c>
      <c r="B98" s="17">
        <v>23624103</v>
      </c>
      <c r="C98" s="17" t="s">
        <v>252</v>
      </c>
      <c r="E98" s="17" t="s">
        <v>253</v>
      </c>
      <c r="F98" s="18" t="s">
        <v>229</v>
      </c>
      <c r="G98" s="17">
        <v>16</v>
      </c>
      <c r="H98" s="17" t="s">
        <v>63</v>
      </c>
      <c r="I98" s="19">
        <v>45338</v>
      </c>
      <c r="J98" s="1">
        <v>30000</v>
      </c>
      <c r="K98" s="17" t="s">
        <v>83</v>
      </c>
      <c r="L98" s="17" t="s">
        <v>222</v>
      </c>
      <c r="M98" s="17" t="s">
        <v>40</v>
      </c>
      <c r="N98" s="17" t="s">
        <v>21</v>
      </c>
      <c r="O98" s="20">
        <v>29664</v>
      </c>
      <c r="P98" s="21" t="s">
        <v>42</v>
      </c>
      <c r="S98" s="17" t="str">
        <f>+IF($N98=[1]CURSOS!$D$3,[1]CURSOS!$E$3,(+IF($N98=[1]CURSOS!$D$4,[1]CURSOS!$E$4,(+IF($N98=[1]CURSOS!$D$5,[1]CURSOS!$E$5,(+IF($N98=[1]CURSOS!$D$6,[1]CURSOS!$E$6,(+IF($N98=[1]CURSOS!$D$7,[1]CURSOS!$E$7,(+IF($N98=[1]CURSOS!$D$8,[1]CURSOS!$E$8,(+IF($N98=[1]CURSOS!$D$9,[1]CURSOS!$E$9,(+IF($N98=[1]CURSOS!$D$10,[1]CURSOS!$E$10,(+IF($N98=[1]CURSOS!$D$11,[1]CURSOS!$E$11,(+IF($N98=[1]CURSOS!$D$12,[1]CURSOS!$E$12,(+IF($N98=[1]CURSOS!$D$13,[1]CURSOS!$E$13,(+IF($N98=[1]CURSOS!$D$14,[1]CURSOS!$E$14,(+IF($N98=[1]CURSOS!$D$15,[1]CURSOS!$E$15,(+IF($N98=[1]CURSOS!$D$16,[1]CURSOS!$E$16,(+IF($N98=[1]CURSOS!$D$17,[1]CURSOS!$E$17,(+IF($N98=[1]CURSOS!$D$18,[1]CURSOS!$E$18,(+IF($N98=[1]CURSOS!$D$19,[1]CURSOS!$E$19,(+IF($N98=[1]CURSOS!$D$20,[1]CURSOS!$E$20,(+IF($N98=[1]CURSOS!$D$21,[1]CURSOS!$E$21,(+IF($N98=[1]CURSOS!$D$22,[1]CURSOS!$E$22,(+IF($N98=[1]CURSOS!$D$23,[1]CURSOS!$E$23,(+IF($N98=[1]CURSOS!$D$24,[1]CURSOS!$E$24,(+IF($N98=[1]CURSOS!$D$25,[1]CURSOS!$E$25,(+IF($N98=[1]CURSOS!$D$26,[1]CURSOS!$E$26,(+IF($N98=[1]CURSOS!$D$27,[1]CURSOS!$E$27,(+IF($N98=[1]CURSOS!$D$28,[1]CURSOS!$E$28,(+IF($N98=[1]CURSOS!$D$29,[1]CURSOS!$E$29,(+IF($N98=[1]CURSOS!$D$30,[1]CURSOS!$E$30,(+IF($N98=[1]CURSOS!$D$31,[1]CURSOS!$E$31,(+IF($N98=[1]CURSOS!$D$32,[1]CURSOS!$E$32)))))))))))))))))))))))))))))))))))))))))))))))))))))))))))</f>
        <v xml:space="preserve">ATENCION A VICTIMAS DE ATAQUE CON AGENTES QUIMICOS </v>
      </c>
      <c r="T98" s="17" t="str">
        <f t="shared" si="43"/>
        <v xml:space="preserve">Milena  Del Carmen Villota </v>
      </c>
      <c r="U98" s="17" t="str">
        <f t="shared" si="44"/>
        <v xml:space="preserve">Milena  Del Carmen Villota </v>
      </c>
      <c r="V98" s="17" t="str">
        <f t="shared" si="45"/>
        <v>Milena  Del Carmen Villota -23624103-QUIMICOS</v>
      </c>
    </row>
    <row r="99" spans="1:22" x14ac:dyDescent="0.2">
      <c r="A99" s="17">
        <v>109</v>
      </c>
      <c r="B99" s="17">
        <v>23624103</v>
      </c>
      <c r="C99" s="17" t="s">
        <v>252</v>
      </c>
      <c r="E99" s="17" t="s">
        <v>253</v>
      </c>
      <c r="F99" s="18" t="s">
        <v>229</v>
      </c>
      <c r="G99" s="17">
        <v>16</v>
      </c>
      <c r="H99" s="17" t="s">
        <v>63</v>
      </c>
      <c r="I99" s="19">
        <v>45338</v>
      </c>
      <c r="J99" s="1">
        <v>30000</v>
      </c>
      <c r="K99" s="17" t="s">
        <v>83</v>
      </c>
      <c r="L99" s="17" t="s">
        <v>222</v>
      </c>
      <c r="M99" s="17" t="s">
        <v>40</v>
      </c>
      <c r="N99" s="17" t="s">
        <v>20</v>
      </c>
      <c r="O99" s="20">
        <v>29664</v>
      </c>
      <c r="P99" s="21" t="s">
        <v>42</v>
      </c>
      <c r="S99" s="17" t="str">
        <f>+IF($N99=[1]CURSOS!$D$3,[1]CURSOS!$E$3,(+IF($N99=[1]CURSOS!$D$4,[1]CURSOS!$E$4,(+IF($N99=[1]CURSOS!$D$5,[1]CURSOS!$E$5,(+IF($N99=[1]CURSOS!$D$6,[1]CURSOS!$E$6,(+IF($N99=[1]CURSOS!$D$7,[1]CURSOS!$E$7,(+IF($N99=[1]CURSOS!$D$8,[1]CURSOS!$E$8,(+IF($N99=[1]CURSOS!$D$9,[1]CURSOS!$E$9,(+IF($N99=[1]CURSOS!$D$10,[1]CURSOS!$E$10,(+IF($N99=[1]CURSOS!$D$11,[1]CURSOS!$E$11,(+IF($N99=[1]CURSOS!$D$12,[1]CURSOS!$E$12,(+IF($N99=[1]CURSOS!$D$13,[1]CURSOS!$E$13,(+IF($N99=[1]CURSOS!$D$14,[1]CURSOS!$E$14,(+IF($N99=[1]CURSOS!$D$15,[1]CURSOS!$E$15,(+IF($N99=[1]CURSOS!$D$16,[1]CURSOS!$E$16,(+IF($N99=[1]CURSOS!$D$17,[1]CURSOS!$E$17,(+IF($N99=[1]CURSOS!$D$18,[1]CURSOS!$E$18,(+IF($N99=[1]CURSOS!$D$19,[1]CURSOS!$E$19,(+IF($N99=[1]CURSOS!$D$20,[1]CURSOS!$E$20,(+IF($N99=[1]CURSOS!$D$21,[1]CURSOS!$E$21,(+IF($N99=[1]CURSOS!$D$22,[1]CURSOS!$E$22,(+IF($N99=[1]CURSOS!$D$23,[1]CURSOS!$E$23,(+IF($N99=[1]CURSOS!$D$24,[1]CURSOS!$E$24,(+IF($N99=[1]CURSOS!$D$25,[1]CURSOS!$E$25,(+IF($N99=[1]CURSOS!$D$26,[1]CURSOS!$E$26,(+IF($N99=[1]CURSOS!$D$27,[1]CURSOS!$E$27,(+IF($N99=[1]CURSOS!$D$28,[1]CURSOS!$E$28,(+IF($N99=[1]CURSOS!$D$29,[1]CURSOS!$E$29,(+IF($N99=[1]CURSOS!$D$30,[1]CURSOS!$E$30,(+IF($N99=[1]CURSOS!$D$31,[1]CURSOS!$E$31,(+IF($N99=[1]CURSOS!$D$32,[1]CURSOS!$E$32)))))))))))))))))))))))))))))))))))))))))))))))))))))))))))</f>
        <v>ACOMPAÑAMIENTO Y MANEJO DEL DUELO</v>
      </c>
      <c r="T99" s="17" t="str">
        <f t="shared" si="43"/>
        <v xml:space="preserve">Milena  Del Carmen Villota </v>
      </c>
      <c r="U99" s="17" t="str">
        <f t="shared" si="44"/>
        <v xml:space="preserve">Milena  Del Carmen Villota </v>
      </c>
      <c r="V99" s="17" t="str">
        <f t="shared" si="45"/>
        <v>Milena  Del Carmen Villota -23624103-DUELO</v>
      </c>
    </row>
    <row r="100" spans="1:22" x14ac:dyDescent="0.2">
      <c r="A100" s="17">
        <v>110</v>
      </c>
      <c r="B100" s="17">
        <v>1085252933</v>
      </c>
      <c r="C100" s="17" t="s">
        <v>254</v>
      </c>
      <c r="D100" s="17" t="s">
        <v>58</v>
      </c>
      <c r="E100" s="17" t="s">
        <v>163</v>
      </c>
      <c r="F100" s="18" t="s">
        <v>255</v>
      </c>
      <c r="G100" s="17">
        <v>17</v>
      </c>
      <c r="H100" s="17" t="s">
        <v>63</v>
      </c>
      <c r="I100" s="19">
        <v>45339</v>
      </c>
      <c r="J100" s="1">
        <v>50000</v>
      </c>
      <c r="K100" s="17" t="s">
        <v>262</v>
      </c>
      <c r="L100" s="17" t="s">
        <v>222</v>
      </c>
      <c r="M100" s="17" t="s">
        <v>40</v>
      </c>
      <c r="N100" s="17" t="s">
        <v>25</v>
      </c>
      <c r="P100" s="21" t="s">
        <v>39</v>
      </c>
      <c r="S100" s="17" t="str">
        <f>+IF($N100=[1]CURSOS!$D$3,[1]CURSOS!$E$3,(+IF($N100=[1]CURSOS!$D$4,[1]CURSOS!$E$4,(+IF($N100=[1]CURSOS!$D$5,[1]CURSOS!$E$5,(+IF($N100=[1]CURSOS!$D$6,[1]CURSOS!$E$6,(+IF($N100=[1]CURSOS!$D$7,[1]CURSOS!$E$7,(+IF($N100=[1]CURSOS!$D$8,[1]CURSOS!$E$8,(+IF($N100=[1]CURSOS!$D$9,[1]CURSOS!$E$9,(+IF($N100=[1]CURSOS!$D$10,[1]CURSOS!$E$10,(+IF($N100=[1]CURSOS!$D$11,[1]CURSOS!$E$11,(+IF($N100=[1]CURSOS!$D$12,[1]CURSOS!$E$12,(+IF($N100=[1]CURSOS!$D$13,[1]CURSOS!$E$13,(+IF($N100=[1]CURSOS!$D$14,[1]CURSOS!$E$14,(+IF($N100=[1]CURSOS!$D$15,[1]CURSOS!$E$15,(+IF($N100=[1]CURSOS!$D$16,[1]CURSOS!$E$16,(+IF($N100=[1]CURSOS!$D$17,[1]CURSOS!$E$17,(+IF($N100=[1]CURSOS!$D$18,[1]CURSOS!$E$18,(+IF($N100=[1]CURSOS!$D$19,[1]CURSOS!$E$19,(+IF($N100=[1]CURSOS!$D$20,[1]CURSOS!$E$20,(+IF($N100=[1]CURSOS!$D$21,[1]CURSOS!$E$21,(+IF($N100=[1]CURSOS!$D$22,[1]CURSOS!$E$22,(+IF($N100=[1]CURSOS!$D$23,[1]CURSOS!$E$23,(+IF($N100=[1]CURSOS!$D$24,[1]CURSOS!$E$24,(+IF($N100=[1]CURSOS!$D$25,[1]CURSOS!$E$25,(+IF($N100=[1]CURSOS!$D$26,[1]CURSOS!$E$26,(+IF($N100=[1]CURSOS!$D$27,[1]CURSOS!$E$27,(+IF($N100=[1]CURSOS!$D$28,[1]CURSOS!$E$28,(+IF($N100=[1]CURSOS!$D$29,[1]CURSOS!$E$29,(+IF($N100=[1]CURSOS!$D$30,[1]CURSOS!$E$30,(+IF($N100=[1]CURSOS!$D$31,[1]CURSOS!$E$31,(+IF($N100=[1]CURSOS!$D$32,[1]CURSOS!$E$32)))))))))))))))))))))))))))))))))))))))))))))))))))))))))))</f>
        <v>CAMILLERO HOSPITALARIO</v>
      </c>
      <c r="T100" s="17" t="str">
        <f t="shared" ref="T100:T103" si="46">CONCATENATE(E100," ",F100," ",C100," ",D100)</f>
        <v>Luis Alfredo Josa De La Cruz</v>
      </c>
      <c r="U100" s="17" t="str">
        <f t="shared" ref="U100:U103" si="47">+PROPER(T100)</f>
        <v>Luis Alfredo Josa De La Cruz</v>
      </c>
      <c r="V100" s="17" t="str">
        <f t="shared" ref="V100:V103" si="48">CONCATENATE(T100,"-",B100,"-",N100)</f>
        <v>Luis Alfredo Josa De La Cruz-1085252933-CAMILLERO</v>
      </c>
    </row>
    <row r="101" spans="1:22" x14ac:dyDescent="0.2">
      <c r="A101" s="17">
        <v>111</v>
      </c>
      <c r="B101" s="17">
        <v>1085252933</v>
      </c>
      <c r="C101" s="17" t="s">
        <v>254</v>
      </c>
      <c r="D101" s="17" t="s">
        <v>58</v>
      </c>
      <c r="E101" s="17" t="s">
        <v>163</v>
      </c>
      <c r="F101" s="18" t="s">
        <v>255</v>
      </c>
      <c r="G101" s="17">
        <v>10</v>
      </c>
      <c r="H101" s="17" t="s">
        <v>63</v>
      </c>
      <c r="I101" s="19">
        <v>45339</v>
      </c>
      <c r="J101" s="1">
        <v>50000</v>
      </c>
      <c r="K101" s="17" t="s">
        <v>262</v>
      </c>
      <c r="L101" s="17" t="s">
        <v>222</v>
      </c>
      <c r="M101" s="17" t="s">
        <v>40</v>
      </c>
      <c r="N101" s="17" t="s">
        <v>22</v>
      </c>
      <c r="P101" s="21" t="s">
        <v>39</v>
      </c>
      <c r="S101" s="17" t="str">
        <f>+IF($N101=[1]CURSOS!$D$3,[1]CURSOS!$E$3,(+IF($N101=[1]CURSOS!$D$4,[1]CURSOS!$E$4,(+IF($N101=[1]CURSOS!$D$5,[1]CURSOS!$E$5,(+IF($N101=[1]CURSOS!$D$6,[1]CURSOS!$E$6,(+IF($N101=[1]CURSOS!$D$7,[1]CURSOS!$E$7,(+IF($N101=[1]CURSOS!$D$8,[1]CURSOS!$E$8,(+IF($N101=[1]CURSOS!$D$9,[1]CURSOS!$E$9,(+IF($N101=[1]CURSOS!$D$10,[1]CURSOS!$E$10,(+IF($N101=[1]CURSOS!$D$11,[1]CURSOS!$E$11,(+IF($N101=[1]CURSOS!$D$12,[1]CURSOS!$E$12,(+IF($N101=[1]CURSOS!$D$13,[1]CURSOS!$E$13,(+IF($N101=[1]CURSOS!$D$14,[1]CURSOS!$E$14,(+IF($N101=[1]CURSOS!$D$15,[1]CURSOS!$E$15,(+IF($N101=[1]CURSOS!$D$16,[1]CURSOS!$E$16,(+IF($N101=[1]CURSOS!$D$17,[1]CURSOS!$E$17,(+IF($N101=[1]CURSOS!$D$18,[1]CURSOS!$E$18,(+IF($N101=[1]CURSOS!$D$19,[1]CURSOS!$E$19,(+IF($N101=[1]CURSOS!$D$20,[1]CURSOS!$E$20,(+IF($N101=[1]CURSOS!$D$21,[1]CURSOS!$E$21,(+IF($N101=[1]CURSOS!$D$22,[1]CURSOS!$E$22,(+IF($N101=[1]CURSOS!$D$23,[1]CURSOS!$E$23,(+IF($N101=[1]CURSOS!$D$24,[1]CURSOS!$E$24,(+IF($N101=[1]CURSOS!$D$25,[1]CURSOS!$E$25,(+IF($N101=[1]CURSOS!$D$26,[1]CURSOS!$E$26,(+IF($N101=[1]CURSOS!$D$27,[1]CURSOS!$E$27,(+IF($N101=[1]CURSOS!$D$28,[1]CURSOS!$E$28,(+IF($N101=[1]CURSOS!$D$29,[1]CURSOS!$E$29,(+IF($N101=[1]CURSOS!$D$30,[1]CURSOS!$E$30,(+IF($N101=[1]CURSOS!$D$31,[1]CURSOS!$E$31,(+IF($N101=[1]CURSOS!$D$32,[1]CURSOS!$E$32)))))))))))))))))))))))))))))))))))))))))))))))))))))))))))</f>
        <v>PRIMEROS AUXILIOS</v>
      </c>
      <c r="T101" s="17" t="str">
        <f t="shared" si="46"/>
        <v>Luis Alfredo Josa De La Cruz</v>
      </c>
      <c r="U101" s="17" t="str">
        <f t="shared" si="47"/>
        <v>Luis Alfredo Josa De La Cruz</v>
      </c>
      <c r="V101" s="17" t="str">
        <f t="shared" si="48"/>
        <v>Luis Alfredo Josa De La Cruz-1085252933-PRIMEROS AUXILIOS</v>
      </c>
    </row>
    <row r="102" spans="1:22" x14ac:dyDescent="0.2">
      <c r="A102" s="17">
        <v>112</v>
      </c>
      <c r="B102" s="17">
        <v>1081052525</v>
      </c>
      <c r="C102" s="17" t="s">
        <v>194</v>
      </c>
      <c r="D102" s="17" t="s">
        <v>254</v>
      </c>
      <c r="E102" s="17" t="s">
        <v>256</v>
      </c>
      <c r="F102" s="18" t="s">
        <v>257</v>
      </c>
      <c r="G102" s="17">
        <v>17</v>
      </c>
      <c r="H102" s="17" t="s">
        <v>63</v>
      </c>
      <c r="I102" s="19">
        <v>45339</v>
      </c>
      <c r="J102" s="1">
        <v>50000</v>
      </c>
      <c r="K102" s="17" t="s">
        <v>242</v>
      </c>
      <c r="L102" s="17" t="s">
        <v>222</v>
      </c>
      <c r="M102" s="17" t="s">
        <v>40</v>
      </c>
      <c r="N102" s="17" t="s">
        <v>25</v>
      </c>
      <c r="P102" s="21" t="s">
        <v>39</v>
      </c>
      <c r="S102" s="17" t="str">
        <f>+IF($N102=[1]CURSOS!$D$3,[1]CURSOS!$E$3,(+IF($N102=[1]CURSOS!$D$4,[1]CURSOS!$E$4,(+IF($N102=[1]CURSOS!$D$5,[1]CURSOS!$E$5,(+IF($N102=[1]CURSOS!$D$6,[1]CURSOS!$E$6,(+IF($N102=[1]CURSOS!$D$7,[1]CURSOS!$E$7,(+IF($N102=[1]CURSOS!$D$8,[1]CURSOS!$E$8,(+IF($N102=[1]CURSOS!$D$9,[1]CURSOS!$E$9,(+IF($N102=[1]CURSOS!$D$10,[1]CURSOS!$E$10,(+IF($N102=[1]CURSOS!$D$11,[1]CURSOS!$E$11,(+IF($N102=[1]CURSOS!$D$12,[1]CURSOS!$E$12,(+IF($N102=[1]CURSOS!$D$13,[1]CURSOS!$E$13,(+IF($N102=[1]CURSOS!$D$14,[1]CURSOS!$E$14,(+IF($N102=[1]CURSOS!$D$15,[1]CURSOS!$E$15,(+IF($N102=[1]CURSOS!$D$16,[1]CURSOS!$E$16,(+IF($N102=[1]CURSOS!$D$17,[1]CURSOS!$E$17,(+IF($N102=[1]CURSOS!$D$18,[1]CURSOS!$E$18,(+IF($N102=[1]CURSOS!$D$19,[1]CURSOS!$E$19,(+IF($N102=[1]CURSOS!$D$20,[1]CURSOS!$E$20,(+IF($N102=[1]CURSOS!$D$21,[1]CURSOS!$E$21,(+IF($N102=[1]CURSOS!$D$22,[1]CURSOS!$E$22,(+IF($N102=[1]CURSOS!$D$23,[1]CURSOS!$E$23,(+IF($N102=[1]CURSOS!$D$24,[1]CURSOS!$E$24,(+IF($N102=[1]CURSOS!$D$25,[1]CURSOS!$E$25,(+IF($N102=[1]CURSOS!$D$26,[1]CURSOS!$E$26,(+IF($N102=[1]CURSOS!$D$27,[1]CURSOS!$E$27,(+IF($N102=[1]CURSOS!$D$28,[1]CURSOS!$E$28,(+IF($N102=[1]CURSOS!$D$29,[1]CURSOS!$E$29,(+IF($N102=[1]CURSOS!$D$30,[1]CURSOS!$E$30,(+IF($N102=[1]CURSOS!$D$31,[1]CURSOS!$E$31,(+IF($N102=[1]CURSOS!$D$32,[1]CURSOS!$E$32)))))))))))))))))))))))))))))))))))))))))))))))))))))))))))</f>
        <v>CAMILLERO HOSPITALARIO</v>
      </c>
      <c r="T102" s="17" t="str">
        <f t="shared" si="46"/>
        <v>Jhonny Fernando Muñoz Josa</v>
      </c>
      <c r="U102" s="17" t="str">
        <f t="shared" si="47"/>
        <v>Jhonny Fernando Muñoz Josa</v>
      </c>
      <c r="V102" s="17" t="str">
        <f t="shared" si="48"/>
        <v>Jhonny Fernando Muñoz Josa-1081052525-CAMILLERO</v>
      </c>
    </row>
    <row r="103" spans="1:22" x14ac:dyDescent="0.2">
      <c r="A103" s="17">
        <v>113</v>
      </c>
      <c r="B103" s="17">
        <v>1081052525</v>
      </c>
      <c r="C103" s="17" t="s">
        <v>194</v>
      </c>
      <c r="D103" s="17" t="s">
        <v>254</v>
      </c>
      <c r="E103" s="17" t="s">
        <v>256</v>
      </c>
      <c r="F103" s="18" t="s">
        <v>257</v>
      </c>
      <c r="G103" s="17">
        <v>10</v>
      </c>
      <c r="H103" s="17" t="s">
        <v>63</v>
      </c>
      <c r="I103" s="19">
        <v>45339</v>
      </c>
      <c r="J103" s="1">
        <v>50000</v>
      </c>
      <c r="K103" s="17" t="s">
        <v>242</v>
      </c>
      <c r="L103" s="17" t="s">
        <v>222</v>
      </c>
      <c r="M103" s="17" t="s">
        <v>40</v>
      </c>
      <c r="N103" s="17" t="s">
        <v>22</v>
      </c>
      <c r="P103" s="21" t="s">
        <v>39</v>
      </c>
      <c r="S103" s="17" t="str">
        <f>+IF($N103=[1]CURSOS!$D$3,[1]CURSOS!$E$3,(+IF($N103=[1]CURSOS!$D$4,[1]CURSOS!$E$4,(+IF($N103=[1]CURSOS!$D$5,[1]CURSOS!$E$5,(+IF($N103=[1]CURSOS!$D$6,[1]CURSOS!$E$6,(+IF($N103=[1]CURSOS!$D$7,[1]CURSOS!$E$7,(+IF($N103=[1]CURSOS!$D$8,[1]CURSOS!$E$8,(+IF($N103=[1]CURSOS!$D$9,[1]CURSOS!$E$9,(+IF($N103=[1]CURSOS!$D$10,[1]CURSOS!$E$10,(+IF($N103=[1]CURSOS!$D$11,[1]CURSOS!$E$11,(+IF($N103=[1]CURSOS!$D$12,[1]CURSOS!$E$12,(+IF($N103=[1]CURSOS!$D$13,[1]CURSOS!$E$13,(+IF($N103=[1]CURSOS!$D$14,[1]CURSOS!$E$14,(+IF($N103=[1]CURSOS!$D$15,[1]CURSOS!$E$15,(+IF($N103=[1]CURSOS!$D$16,[1]CURSOS!$E$16,(+IF($N103=[1]CURSOS!$D$17,[1]CURSOS!$E$17,(+IF($N103=[1]CURSOS!$D$18,[1]CURSOS!$E$18,(+IF($N103=[1]CURSOS!$D$19,[1]CURSOS!$E$19,(+IF($N103=[1]CURSOS!$D$20,[1]CURSOS!$E$20,(+IF($N103=[1]CURSOS!$D$21,[1]CURSOS!$E$21,(+IF($N103=[1]CURSOS!$D$22,[1]CURSOS!$E$22,(+IF($N103=[1]CURSOS!$D$23,[1]CURSOS!$E$23,(+IF($N103=[1]CURSOS!$D$24,[1]CURSOS!$E$24,(+IF($N103=[1]CURSOS!$D$25,[1]CURSOS!$E$25,(+IF($N103=[1]CURSOS!$D$26,[1]CURSOS!$E$26,(+IF($N103=[1]CURSOS!$D$27,[1]CURSOS!$E$27,(+IF($N103=[1]CURSOS!$D$28,[1]CURSOS!$E$28,(+IF($N103=[1]CURSOS!$D$29,[1]CURSOS!$E$29,(+IF($N103=[1]CURSOS!$D$30,[1]CURSOS!$E$30,(+IF($N103=[1]CURSOS!$D$31,[1]CURSOS!$E$31,(+IF($N103=[1]CURSOS!$D$32,[1]CURSOS!$E$32)))))))))))))))))))))))))))))))))))))))))))))))))))))))))))</f>
        <v>PRIMEROS AUXILIOS</v>
      </c>
      <c r="T103" s="17" t="str">
        <f t="shared" si="46"/>
        <v>Jhonny Fernando Muñoz Josa</v>
      </c>
      <c r="U103" s="17" t="str">
        <f t="shared" si="47"/>
        <v>Jhonny Fernando Muñoz Josa</v>
      </c>
      <c r="V103" s="17" t="str">
        <f t="shared" si="48"/>
        <v>Jhonny Fernando Muñoz Josa-1081052525-PRIMEROS AUXILIOS</v>
      </c>
    </row>
    <row r="104" spans="1:22" x14ac:dyDescent="0.2">
      <c r="A104" s="17">
        <v>114</v>
      </c>
      <c r="B104" s="17">
        <v>1004192723</v>
      </c>
      <c r="C104" s="17" t="s">
        <v>49</v>
      </c>
      <c r="D104" s="17" t="s">
        <v>258</v>
      </c>
      <c r="E104" s="17" t="s">
        <v>259</v>
      </c>
      <c r="G104" s="17">
        <v>17</v>
      </c>
      <c r="H104" s="17" t="s">
        <v>63</v>
      </c>
      <c r="I104" s="19">
        <v>45339</v>
      </c>
      <c r="J104" s="1">
        <v>75000</v>
      </c>
      <c r="K104" s="17" t="s">
        <v>393</v>
      </c>
      <c r="L104" s="17" t="s">
        <v>223</v>
      </c>
      <c r="M104" s="17" t="s">
        <v>40</v>
      </c>
      <c r="N104" s="17" t="s">
        <v>30</v>
      </c>
      <c r="O104" s="20">
        <v>37912</v>
      </c>
      <c r="P104" s="21" t="s">
        <v>42</v>
      </c>
      <c r="Q104" s="17" t="s">
        <v>41</v>
      </c>
      <c r="R104" s="17">
        <v>3014623430</v>
      </c>
      <c r="S104" s="17" t="str">
        <f>+IF($N104=[1]CURSOS!$D$3,[1]CURSOS!$E$3,(+IF($N104=[1]CURSOS!$D$4,[1]CURSOS!$E$4,(+IF($N104=[1]CURSOS!$D$5,[1]CURSOS!$E$5,(+IF($N104=[1]CURSOS!$D$6,[1]CURSOS!$E$6,(+IF($N104=[1]CURSOS!$D$7,[1]CURSOS!$E$7,(+IF($N104=[1]CURSOS!$D$8,[1]CURSOS!$E$8,(+IF($N104=[1]CURSOS!$D$9,[1]CURSOS!$E$9,(+IF($N104=[1]CURSOS!$D$10,[1]CURSOS!$E$10,(+IF($N104=[1]CURSOS!$D$11,[1]CURSOS!$E$11,(+IF($N104=[1]CURSOS!$D$12,[1]CURSOS!$E$12,(+IF($N104=[1]CURSOS!$D$13,[1]CURSOS!$E$13,(+IF($N104=[1]CURSOS!$D$14,[1]CURSOS!$E$14,(+IF($N104=[1]CURSOS!$D$15,[1]CURSOS!$E$15,(+IF($N104=[1]CURSOS!$D$16,[1]CURSOS!$E$16,(+IF($N104=[1]CURSOS!$D$17,[1]CURSOS!$E$17,(+IF($N104=[1]CURSOS!$D$18,[1]CURSOS!$E$18,(+IF($N104=[1]CURSOS!$D$19,[1]CURSOS!$E$19,(+IF($N104=[1]CURSOS!$D$20,[1]CURSOS!$E$20,(+IF($N104=[1]CURSOS!$D$21,[1]CURSOS!$E$21,(+IF($N104=[1]CURSOS!$D$22,[1]CURSOS!$E$22,(+IF($N104=[1]CURSOS!$D$23,[1]CURSOS!$E$23,(+IF($N104=[1]CURSOS!$D$24,[1]CURSOS!$E$24,(+IF($N104=[1]CURSOS!$D$25,[1]CURSOS!$E$25,(+IF($N104=[1]CURSOS!$D$26,[1]CURSOS!$E$26,(+IF($N104=[1]CURSOS!$D$27,[1]CURSOS!$E$27,(+IF($N104=[1]CURSOS!$D$28,[1]CURSOS!$E$28,(+IF($N104=[1]CURSOS!$D$29,[1]CURSOS!$E$29,(+IF($N104=[1]CURSOS!$D$30,[1]CURSOS!$E$30,(+IF($N104=[1]CURSOS!$D$31,[1]CURSOS!$E$31,(+IF($N104=[1]CURSOS!$D$32,[1]CURSOS!$E$32)))))))))))))))))))))))))))))))))))))))))))))))))))))))))))</f>
        <v xml:space="preserve">ADMINISTRACION DE MEDICAMENTOS, INYECTOLOGIA  Y CANALIZACION </v>
      </c>
      <c r="T104" s="17" t="str">
        <f t="shared" ref="T104:T105" si="49">CONCATENATE(E104," ",F104," ",C104," ",D104)</f>
        <v>Juana  Rosero Montilla</v>
      </c>
      <c r="U104" s="17" t="str">
        <f t="shared" ref="U104:U105" si="50">+PROPER(T104)</f>
        <v>Juana  Rosero Montilla</v>
      </c>
      <c r="V104" s="17" t="str">
        <f t="shared" ref="V104:V105" si="51">CONCATENATE(T104,"-",B104,"-",N104)</f>
        <v>Juana  Rosero Montilla-1004192723-ADMON DE MEDICAMENTOS</v>
      </c>
    </row>
    <row r="105" spans="1:22" x14ac:dyDescent="0.2">
      <c r="A105" s="17">
        <v>115</v>
      </c>
      <c r="B105" s="17">
        <v>1004509702</v>
      </c>
      <c r="C105" s="17" t="s">
        <v>260</v>
      </c>
      <c r="D105" s="17" t="s">
        <v>261</v>
      </c>
      <c r="E105" s="17" t="s">
        <v>132</v>
      </c>
      <c r="F105" s="18" t="s">
        <v>198</v>
      </c>
      <c r="G105" s="17">
        <v>17</v>
      </c>
      <c r="H105" s="17" t="s">
        <v>63</v>
      </c>
      <c r="I105" s="19">
        <v>45339</v>
      </c>
      <c r="J105" s="1">
        <v>75000</v>
      </c>
      <c r="K105" s="17" t="s">
        <v>83</v>
      </c>
      <c r="L105" s="17" t="s">
        <v>223</v>
      </c>
      <c r="M105" s="17" t="s">
        <v>40</v>
      </c>
      <c r="N105" s="17" t="s">
        <v>30</v>
      </c>
      <c r="O105" s="20">
        <v>37800</v>
      </c>
      <c r="P105" s="21" t="s">
        <v>42</v>
      </c>
      <c r="Q105" s="17" t="s">
        <v>41</v>
      </c>
      <c r="R105" s="17">
        <v>3135215215</v>
      </c>
      <c r="S105" s="17" t="str">
        <f>+IF($N105=[1]CURSOS!$D$3,[1]CURSOS!$E$3,(+IF($N105=[1]CURSOS!$D$4,[1]CURSOS!$E$4,(+IF($N105=[1]CURSOS!$D$5,[1]CURSOS!$E$5,(+IF($N105=[1]CURSOS!$D$6,[1]CURSOS!$E$6,(+IF($N105=[1]CURSOS!$D$7,[1]CURSOS!$E$7,(+IF($N105=[1]CURSOS!$D$8,[1]CURSOS!$E$8,(+IF($N105=[1]CURSOS!$D$9,[1]CURSOS!$E$9,(+IF($N105=[1]CURSOS!$D$10,[1]CURSOS!$E$10,(+IF($N105=[1]CURSOS!$D$11,[1]CURSOS!$E$11,(+IF($N105=[1]CURSOS!$D$12,[1]CURSOS!$E$12,(+IF($N105=[1]CURSOS!$D$13,[1]CURSOS!$E$13,(+IF($N105=[1]CURSOS!$D$14,[1]CURSOS!$E$14,(+IF($N105=[1]CURSOS!$D$15,[1]CURSOS!$E$15,(+IF($N105=[1]CURSOS!$D$16,[1]CURSOS!$E$16,(+IF($N105=[1]CURSOS!$D$17,[1]CURSOS!$E$17,(+IF($N105=[1]CURSOS!$D$18,[1]CURSOS!$E$18,(+IF($N105=[1]CURSOS!$D$19,[1]CURSOS!$E$19,(+IF($N105=[1]CURSOS!$D$20,[1]CURSOS!$E$20,(+IF($N105=[1]CURSOS!$D$21,[1]CURSOS!$E$21,(+IF($N105=[1]CURSOS!$D$22,[1]CURSOS!$E$22,(+IF($N105=[1]CURSOS!$D$23,[1]CURSOS!$E$23,(+IF($N105=[1]CURSOS!$D$24,[1]CURSOS!$E$24,(+IF($N105=[1]CURSOS!$D$25,[1]CURSOS!$E$25,(+IF($N105=[1]CURSOS!$D$26,[1]CURSOS!$E$26,(+IF($N105=[1]CURSOS!$D$27,[1]CURSOS!$E$27,(+IF($N105=[1]CURSOS!$D$28,[1]CURSOS!$E$28,(+IF($N105=[1]CURSOS!$D$29,[1]CURSOS!$E$29,(+IF($N105=[1]CURSOS!$D$30,[1]CURSOS!$E$30,(+IF($N105=[1]CURSOS!$D$31,[1]CURSOS!$E$31,(+IF($N105=[1]CURSOS!$D$32,[1]CURSOS!$E$32)))))))))))))))))))))))))))))))))))))))))))))))))))))))))))</f>
        <v xml:space="preserve">ADMINISTRACION DE MEDICAMENTOS, INYECTOLOGIA  Y CANALIZACION </v>
      </c>
      <c r="T105" s="17" t="str">
        <f t="shared" si="49"/>
        <v>Fernanda Vanessa Cortes Tapia</v>
      </c>
      <c r="U105" s="17" t="str">
        <f t="shared" si="50"/>
        <v>Fernanda Vanessa Cortes Tapia</v>
      </c>
      <c r="V105" s="17" t="str">
        <f t="shared" si="51"/>
        <v>Fernanda Vanessa Cortes Tapia-1004509702-ADMON DE MEDICAMENTOS</v>
      </c>
    </row>
    <row r="106" spans="1:22" x14ac:dyDescent="0.2">
      <c r="A106" s="17">
        <v>116</v>
      </c>
      <c r="B106" s="17">
        <v>27388620</v>
      </c>
      <c r="C106" s="17" t="s">
        <v>138</v>
      </c>
      <c r="D106" s="17" t="s">
        <v>263</v>
      </c>
      <c r="E106" s="17" t="s">
        <v>264</v>
      </c>
      <c r="F106" s="18" t="s">
        <v>265</v>
      </c>
      <c r="G106" s="17">
        <v>18</v>
      </c>
      <c r="H106" s="17" t="s">
        <v>63</v>
      </c>
      <c r="I106" s="19">
        <v>45341</v>
      </c>
      <c r="J106" s="1">
        <v>30000</v>
      </c>
      <c r="K106" s="17" t="s">
        <v>45</v>
      </c>
      <c r="L106" s="17" t="s">
        <v>223</v>
      </c>
      <c r="M106" s="17" t="s">
        <v>40</v>
      </c>
      <c r="N106" s="17" t="s">
        <v>20</v>
      </c>
      <c r="O106" s="20" t="s">
        <v>266</v>
      </c>
      <c r="P106" s="21" t="s">
        <v>42</v>
      </c>
      <c r="Q106" s="17" t="s">
        <v>43</v>
      </c>
      <c r="R106" s="17">
        <v>3204840184</v>
      </c>
      <c r="S106" s="17" t="str">
        <f>+IF($N106=[1]CURSOS!$D$3,[1]CURSOS!$E$3,(+IF($N106=[1]CURSOS!$D$4,[1]CURSOS!$E$4,(+IF($N106=[1]CURSOS!$D$5,[1]CURSOS!$E$5,(+IF($N106=[1]CURSOS!$D$6,[1]CURSOS!$E$6,(+IF($N106=[1]CURSOS!$D$7,[1]CURSOS!$E$7,(+IF($N106=[1]CURSOS!$D$8,[1]CURSOS!$E$8,(+IF($N106=[1]CURSOS!$D$9,[1]CURSOS!$E$9,(+IF($N106=[1]CURSOS!$D$10,[1]CURSOS!$E$10,(+IF($N106=[1]CURSOS!$D$11,[1]CURSOS!$E$11,(+IF($N106=[1]CURSOS!$D$12,[1]CURSOS!$E$12,(+IF($N106=[1]CURSOS!$D$13,[1]CURSOS!$E$13,(+IF($N106=[1]CURSOS!$D$14,[1]CURSOS!$E$14,(+IF($N106=[1]CURSOS!$D$15,[1]CURSOS!$E$15,(+IF($N106=[1]CURSOS!$D$16,[1]CURSOS!$E$16,(+IF($N106=[1]CURSOS!$D$17,[1]CURSOS!$E$17,(+IF($N106=[1]CURSOS!$D$18,[1]CURSOS!$E$18,(+IF($N106=[1]CURSOS!$D$19,[1]CURSOS!$E$19,(+IF($N106=[1]CURSOS!$D$20,[1]CURSOS!$E$20,(+IF($N106=[1]CURSOS!$D$21,[1]CURSOS!$E$21,(+IF($N106=[1]CURSOS!$D$22,[1]CURSOS!$E$22,(+IF($N106=[1]CURSOS!$D$23,[1]CURSOS!$E$23,(+IF($N106=[1]CURSOS!$D$24,[1]CURSOS!$E$24,(+IF($N106=[1]CURSOS!$D$25,[1]CURSOS!$E$25,(+IF($N106=[1]CURSOS!$D$26,[1]CURSOS!$E$26,(+IF($N106=[1]CURSOS!$D$27,[1]CURSOS!$E$27,(+IF($N106=[1]CURSOS!$D$28,[1]CURSOS!$E$28,(+IF($N106=[1]CURSOS!$D$29,[1]CURSOS!$E$29,(+IF($N106=[1]CURSOS!$D$30,[1]CURSOS!$E$30,(+IF($N106=[1]CURSOS!$D$31,[1]CURSOS!$E$31,(+IF($N106=[1]CURSOS!$D$32,[1]CURSOS!$E$32)))))))))))))))))))))))))))))))))))))))))))))))))))))))))))</f>
        <v>ACOMPAÑAMIENTO Y MANEJO DEL DUELO</v>
      </c>
      <c r="T106" s="17" t="str">
        <f t="shared" ref="T106:T109" si="52">CONCATENATE(E106," ",F106," ",C106," ",D106)</f>
        <v>Didier Monica Lopez Cadena</v>
      </c>
      <c r="U106" s="17" t="str">
        <f t="shared" ref="U106:U109" si="53">+PROPER(T106)</f>
        <v>Didier Monica Lopez Cadena</v>
      </c>
      <c r="V106" s="17" t="str">
        <f t="shared" ref="V106:V109" si="54">CONCATENATE(T106,"-",B106,"-",N106)</f>
        <v>Didier Monica Lopez Cadena-27388620-DUELO</v>
      </c>
    </row>
    <row r="107" spans="1:22" x14ac:dyDescent="0.2">
      <c r="A107" s="17">
        <v>117</v>
      </c>
      <c r="B107" s="17">
        <v>1004629441</v>
      </c>
      <c r="C107" s="17" t="s">
        <v>267</v>
      </c>
      <c r="D107" s="17" t="s">
        <v>268</v>
      </c>
      <c r="E107" s="17" t="s">
        <v>269</v>
      </c>
      <c r="F107" s="18" t="s">
        <v>270</v>
      </c>
      <c r="G107" s="17">
        <v>18</v>
      </c>
      <c r="H107" s="17" t="s">
        <v>63</v>
      </c>
      <c r="I107" s="19">
        <v>45341</v>
      </c>
      <c r="J107" s="1">
        <v>56666</v>
      </c>
      <c r="K107" s="17" t="s">
        <v>83</v>
      </c>
      <c r="L107" s="17" t="s">
        <v>223</v>
      </c>
      <c r="M107" s="17" t="s">
        <v>271</v>
      </c>
      <c r="N107" s="17" t="s">
        <v>19</v>
      </c>
      <c r="P107" s="21" t="s">
        <v>42</v>
      </c>
      <c r="Q107" s="17" t="s">
        <v>43</v>
      </c>
      <c r="S107" s="17" t="str">
        <f>+IF($N107=[1]CURSOS!$D$3,[1]CURSOS!$E$3,(+IF($N107=[1]CURSOS!$D$4,[1]CURSOS!$E$4,(+IF($N107=[1]CURSOS!$D$5,[1]CURSOS!$E$5,(+IF($N107=[1]CURSOS!$D$6,[1]CURSOS!$E$6,(+IF($N107=[1]CURSOS!$D$7,[1]CURSOS!$E$7,(+IF($N107=[1]CURSOS!$D$8,[1]CURSOS!$E$8,(+IF($N107=[1]CURSOS!$D$9,[1]CURSOS!$E$9,(+IF($N107=[1]CURSOS!$D$10,[1]CURSOS!$E$10,(+IF($N107=[1]CURSOS!$D$11,[1]CURSOS!$E$11,(+IF($N107=[1]CURSOS!$D$12,[1]CURSOS!$E$12,(+IF($N107=[1]CURSOS!$D$13,[1]CURSOS!$E$13,(+IF($N107=[1]CURSOS!$D$14,[1]CURSOS!$E$14,(+IF($N107=[1]CURSOS!$D$15,[1]CURSOS!$E$15,(+IF($N107=[1]CURSOS!$D$16,[1]CURSOS!$E$16,(+IF($N107=[1]CURSOS!$D$17,[1]CURSOS!$E$17,(+IF($N107=[1]CURSOS!$D$18,[1]CURSOS!$E$18,(+IF($N107=[1]CURSOS!$D$19,[1]CURSOS!$E$19,(+IF($N107=[1]CURSOS!$D$20,[1]CURSOS!$E$20,(+IF($N107=[1]CURSOS!$D$21,[1]CURSOS!$E$21,(+IF($N107=[1]CURSOS!$D$22,[1]CURSOS!$E$22,(+IF($N107=[1]CURSOS!$D$23,[1]CURSOS!$E$23,(+IF($N107=[1]CURSOS!$D$24,[1]CURSOS!$E$24,(+IF($N107=[1]CURSOS!$D$25,[1]CURSOS!$E$25,(+IF($N107=[1]CURSOS!$D$26,[1]CURSOS!$E$26,(+IF($N107=[1]CURSOS!$D$27,[1]CURSOS!$E$27,(+IF($N107=[1]CURSOS!$D$28,[1]CURSOS!$E$28,(+IF($N107=[1]CURSOS!$D$29,[1]CURSOS!$E$29,(+IF($N107=[1]CURSOS!$D$30,[1]CURSOS!$E$30,(+IF($N107=[1]CURSOS!$D$31,[1]CURSOS!$E$31,(+IF($N107=[1]CURSOS!$D$32,[1]CURSOS!$E$32)))))))))))))))))))))))))))))))))))))))))))))))))))))))))))</f>
        <v>SOPORTE VITAL BASICO (BLS)</v>
      </c>
      <c r="T107" s="17" t="str">
        <f t="shared" si="52"/>
        <v>Yanitza Clarivel Palacios Guerrero</v>
      </c>
      <c r="U107" s="17" t="str">
        <f t="shared" si="53"/>
        <v>Yanitza Clarivel Palacios Guerrero</v>
      </c>
      <c r="V107" s="17" t="str">
        <f t="shared" si="54"/>
        <v>Yanitza Clarivel Palacios Guerrero-1004629441-BLS</v>
      </c>
    </row>
    <row r="108" spans="1:22" x14ac:dyDescent="0.2">
      <c r="A108" s="17">
        <v>118</v>
      </c>
      <c r="B108" s="17">
        <v>1004629441</v>
      </c>
      <c r="C108" s="17" t="s">
        <v>267</v>
      </c>
      <c r="D108" s="17" t="s">
        <v>268</v>
      </c>
      <c r="E108" s="17" t="s">
        <v>269</v>
      </c>
      <c r="F108" s="18" t="s">
        <v>270</v>
      </c>
      <c r="G108" s="17">
        <v>18</v>
      </c>
      <c r="H108" s="17" t="s">
        <v>63</v>
      </c>
      <c r="I108" s="19">
        <v>45341</v>
      </c>
      <c r="J108" s="1">
        <v>56666</v>
      </c>
      <c r="K108" s="17" t="s">
        <v>83</v>
      </c>
      <c r="L108" s="17" t="s">
        <v>223</v>
      </c>
      <c r="M108" s="17" t="s">
        <v>271</v>
      </c>
      <c r="N108" s="17" t="s">
        <v>27</v>
      </c>
      <c r="P108" s="21" t="s">
        <v>42</v>
      </c>
      <c r="Q108" s="17" t="s">
        <v>43</v>
      </c>
      <c r="S108" s="17" t="str">
        <f>+IF($N108=[1]CURSOS!$D$3,[1]CURSOS!$E$3,(+IF($N108=[1]CURSOS!$D$4,[1]CURSOS!$E$4,(+IF($N108=[1]CURSOS!$D$5,[1]CURSOS!$E$5,(+IF($N108=[1]CURSOS!$D$6,[1]CURSOS!$E$6,(+IF($N108=[1]CURSOS!$D$7,[1]CURSOS!$E$7,(+IF($N108=[1]CURSOS!$D$8,[1]CURSOS!$E$8,(+IF($N108=[1]CURSOS!$D$9,[1]CURSOS!$E$9,(+IF($N108=[1]CURSOS!$D$10,[1]CURSOS!$E$10,(+IF($N108=[1]CURSOS!$D$11,[1]CURSOS!$E$11,(+IF($N108=[1]CURSOS!$D$12,[1]CURSOS!$E$12,(+IF($N108=[1]CURSOS!$D$13,[1]CURSOS!$E$13,(+IF($N108=[1]CURSOS!$D$14,[1]CURSOS!$E$14,(+IF($N108=[1]CURSOS!$D$15,[1]CURSOS!$E$15,(+IF($N108=[1]CURSOS!$D$16,[1]CURSOS!$E$16,(+IF($N108=[1]CURSOS!$D$17,[1]CURSOS!$E$17,(+IF($N108=[1]CURSOS!$D$18,[1]CURSOS!$E$18,(+IF($N108=[1]CURSOS!$D$19,[1]CURSOS!$E$19,(+IF($N108=[1]CURSOS!$D$20,[1]CURSOS!$E$20,(+IF($N108=[1]CURSOS!$D$21,[1]CURSOS!$E$21,(+IF($N108=[1]CURSOS!$D$22,[1]CURSOS!$E$22,(+IF($N108=[1]CURSOS!$D$23,[1]CURSOS!$E$23,(+IF($N108=[1]CURSOS!$D$24,[1]CURSOS!$E$24,(+IF($N108=[1]CURSOS!$D$25,[1]CURSOS!$E$25,(+IF($N108=[1]CURSOS!$D$26,[1]CURSOS!$E$26,(+IF($N108=[1]CURSOS!$D$27,[1]CURSOS!$E$27,(+IF($N108=[1]CURSOS!$D$28,[1]CURSOS!$E$28,(+IF($N108=[1]CURSOS!$D$29,[1]CURSOS!$E$29,(+IF($N108=[1]CURSOS!$D$30,[1]CURSOS!$E$30,(+IF($N108=[1]CURSOS!$D$31,[1]CURSOS!$E$31,(+IF($N108=[1]CURSOS!$D$32,[1]CURSOS!$E$32)))))))))))))))))))))))))))))))))))))))))))))))))))))))))))</f>
        <v xml:space="preserve">ATENCION A VICTIMAS DE VIOLENCIA SEXUAL </v>
      </c>
      <c r="T108" s="17" t="str">
        <f t="shared" si="52"/>
        <v>Yanitza Clarivel Palacios Guerrero</v>
      </c>
      <c r="U108" s="17" t="str">
        <f t="shared" si="53"/>
        <v>Yanitza Clarivel Palacios Guerrero</v>
      </c>
      <c r="V108" s="17" t="str">
        <f t="shared" si="54"/>
        <v>Yanitza Clarivel Palacios Guerrero-1004629441-VIOLENCIA SEXUAL</v>
      </c>
    </row>
    <row r="109" spans="1:22" x14ac:dyDescent="0.2">
      <c r="A109" s="17">
        <v>119</v>
      </c>
      <c r="B109" s="17">
        <v>1004629441</v>
      </c>
      <c r="C109" s="17" t="s">
        <v>267</v>
      </c>
      <c r="D109" s="17" t="s">
        <v>268</v>
      </c>
      <c r="E109" s="17" t="s">
        <v>269</v>
      </c>
      <c r="F109" s="18" t="s">
        <v>270</v>
      </c>
      <c r="G109" s="17">
        <v>18</v>
      </c>
      <c r="H109" s="17" t="s">
        <v>63</v>
      </c>
      <c r="I109" s="19">
        <v>45341</v>
      </c>
      <c r="J109" s="1">
        <v>56666</v>
      </c>
      <c r="K109" s="17" t="s">
        <v>83</v>
      </c>
      <c r="L109" s="17" t="s">
        <v>223</v>
      </c>
      <c r="M109" s="17" t="s">
        <v>271</v>
      </c>
      <c r="N109" s="17" t="s">
        <v>21</v>
      </c>
      <c r="P109" s="21" t="s">
        <v>42</v>
      </c>
      <c r="S109" s="17" t="str">
        <f>+IF($N109=[1]CURSOS!$D$3,[1]CURSOS!$E$3,(+IF($N109=[1]CURSOS!$D$4,[1]CURSOS!$E$4,(+IF($N109=[1]CURSOS!$D$5,[1]CURSOS!$E$5,(+IF($N109=[1]CURSOS!$D$6,[1]CURSOS!$E$6,(+IF($N109=[1]CURSOS!$D$7,[1]CURSOS!$E$7,(+IF($N109=[1]CURSOS!$D$8,[1]CURSOS!$E$8,(+IF($N109=[1]CURSOS!$D$9,[1]CURSOS!$E$9,(+IF($N109=[1]CURSOS!$D$10,[1]CURSOS!$E$10,(+IF($N109=[1]CURSOS!$D$11,[1]CURSOS!$E$11,(+IF($N109=[1]CURSOS!$D$12,[1]CURSOS!$E$12,(+IF($N109=[1]CURSOS!$D$13,[1]CURSOS!$E$13,(+IF($N109=[1]CURSOS!$D$14,[1]CURSOS!$E$14,(+IF($N109=[1]CURSOS!$D$15,[1]CURSOS!$E$15,(+IF($N109=[1]CURSOS!$D$16,[1]CURSOS!$E$16,(+IF($N109=[1]CURSOS!$D$17,[1]CURSOS!$E$17,(+IF($N109=[1]CURSOS!$D$18,[1]CURSOS!$E$18,(+IF($N109=[1]CURSOS!$D$19,[1]CURSOS!$E$19,(+IF($N109=[1]CURSOS!$D$20,[1]CURSOS!$E$20,(+IF($N109=[1]CURSOS!$D$21,[1]CURSOS!$E$21,(+IF($N109=[1]CURSOS!$D$22,[1]CURSOS!$E$22,(+IF($N109=[1]CURSOS!$D$23,[1]CURSOS!$E$23,(+IF($N109=[1]CURSOS!$D$24,[1]CURSOS!$E$24,(+IF($N109=[1]CURSOS!$D$25,[1]CURSOS!$E$25,(+IF($N109=[1]CURSOS!$D$26,[1]CURSOS!$E$26,(+IF($N109=[1]CURSOS!$D$27,[1]CURSOS!$E$27,(+IF($N109=[1]CURSOS!$D$28,[1]CURSOS!$E$28,(+IF($N109=[1]CURSOS!$D$29,[1]CURSOS!$E$29,(+IF($N109=[1]CURSOS!$D$30,[1]CURSOS!$E$30,(+IF($N109=[1]CURSOS!$D$31,[1]CURSOS!$E$31,(+IF($N109=[1]CURSOS!$D$32,[1]CURSOS!$E$32)))))))))))))))))))))))))))))))))))))))))))))))))))))))))))</f>
        <v xml:space="preserve">ATENCION A VICTIMAS DE ATAQUE CON AGENTES QUIMICOS </v>
      </c>
      <c r="T109" s="17" t="str">
        <f t="shared" si="52"/>
        <v>Yanitza Clarivel Palacios Guerrero</v>
      </c>
      <c r="U109" s="17" t="str">
        <f t="shared" si="53"/>
        <v>Yanitza Clarivel Palacios Guerrero</v>
      </c>
      <c r="V109" s="17" t="str">
        <f t="shared" si="54"/>
        <v>Yanitza Clarivel Palacios Guerrero-1004629441-QUIMICOS</v>
      </c>
    </row>
    <row r="110" spans="1:22" x14ac:dyDescent="0.2">
      <c r="A110" s="17">
        <v>120</v>
      </c>
      <c r="B110" s="17">
        <v>1088729887</v>
      </c>
      <c r="C110" s="17" t="s">
        <v>138</v>
      </c>
      <c r="D110" s="17" t="s">
        <v>120</v>
      </c>
      <c r="E110" s="17" t="s">
        <v>272</v>
      </c>
      <c r="F110" s="18" t="s">
        <v>53</v>
      </c>
      <c r="G110" s="17">
        <v>18</v>
      </c>
      <c r="H110" s="17" t="s">
        <v>63</v>
      </c>
      <c r="I110" s="19">
        <v>45341</v>
      </c>
      <c r="J110" s="1">
        <v>35000</v>
      </c>
      <c r="K110" s="17" t="s">
        <v>45</v>
      </c>
      <c r="L110" s="17" t="s">
        <v>223</v>
      </c>
      <c r="M110" s="17" t="s">
        <v>75</v>
      </c>
      <c r="N110" s="34" t="s">
        <v>38</v>
      </c>
      <c r="O110" s="20">
        <v>31972</v>
      </c>
      <c r="P110" s="21" t="s">
        <v>39</v>
      </c>
      <c r="Q110" s="17" t="s">
        <v>43</v>
      </c>
      <c r="S110" s="17" t="str">
        <f>+IF($N110=[1]CURSOS!$D$3,[1]CURSOS!$E$3,(+IF($N110=[1]CURSOS!$D$4,[1]CURSOS!$E$4,(+IF($N110=[1]CURSOS!$D$5,[1]CURSOS!$E$5,(+IF($N110=[1]CURSOS!$D$6,[1]CURSOS!$E$6,(+IF($N110=[1]CURSOS!$D$7,[1]CURSOS!$E$7,(+IF($N110=[1]CURSOS!$D$8,[1]CURSOS!$E$8,(+IF($N110=[1]CURSOS!$D$9,[1]CURSOS!$E$9,(+IF($N110=[1]CURSOS!$D$10,[1]CURSOS!$E$10,(+IF($N110=[1]CURSOS!$D$11,[1]CURSOS!$E$11,(+IF($N110=[1]CURSOS!$D$12,[1]CURSOS!$E$12,(+IF($N110=[1]CURSOS!$D$13,[1]CURSOS!$E$13,(+IF($N110=[1]CURSOS!$D$14,[1]CURSOS!$E$14,(+IF($N110=[1]CURSOS!$D$15,[1]CURSOS!$E$15,(+IF($N110=[1]CURSOS!$D$16,[1]CURSOS!$E$16,(+IF($N110=[1]CURSOS!$D$17,[1]CURSOS!$E$17,(+IF($N110=[1]CURSOS!$D$18,[1]CURSOS!$E$18,(+IF($N110=[1]CURSOS!$D$19,[1]CURSOS!$E$19,(+IF($N110=[1]CURSOS!$D$20,[1]CURSOS!$E$20,(+IF($N110=[1]CURSOS!$D$21,[1]CURSOS!$E$21,(+IF($N110=[1]CURSOS!$D$22,[1]CURSOS!$E$22,(+IF($N110=[1]CURSOS!$D$23,[1]CURSOS!$E$23,(+IF($N110=[1]CURSOS!$D$24,[1]CURSOS!$E$24,(+IF($N110=[1]CURSOS!$D$25,[1]CURSOS!$E$25,(+IF($N110=[1]CURSOS!$D$26,[1]CURSOS!$E$26,(+IF($N110=[1]CURSOS!$D$27,[1]CURSOS!$E$27,(+IF($N110=[1]CURSOS!$D$28,[1]CURSOS!$E$28,(+IF($N110=[1]CURSOS!$D$29,[1]CURSOS!$E$29,(+IF($N110=[1]CURSOS!$D$30,[1]CURSOS!$E$30,(+IF($N110=[1]CURSOS!$D$31,[1]CURSOS!$E$31,(+IF($N110=[1]CURSOS!$D$32,[1]CURSOS!$E$32)))))))))))))))))))))))))))))))))))))))))))))))))))))))))))</f>
        <v>PRIMEROS AUXILIOS PSICOLOGICOS</v>
      </c>
      <c r="T110" s="17" t="str">
        <f t="shared" ref="T110:T111" si="55">CONCATENATE(E110," ",F110," ",C110," ",D110)</f>
        <v>Angela  Maria Lopez Melo</v>
      </c>
      <c r="U110" s="17" t="str">
        <f t="shared" ref="U110:U111" si="56">+PROPER(T110)</f>
        <v>Angela  Maria Lopez Melo</v>
      </c>
      <c r="V110" s="17" t="str">
        <f t="shared" ref="V110:V111" si="57">CONCATENATE(T110,"-",B110,"-",N110)</f>
        <v>Angela  Maria Lopez Melo-1088729887-PRIMEROS AUXILIOS P</v>
      </c>
    </row>
    <row r="111" spans="1:22" x14ac:dyDescent="0.2">
      <c r="A111" s="17">
        <v>121</v>
      </c>
      <c r="B111" s="17">
        <v>1088729887</v>
      </c>
      <c r="C111" s="17" t="s">
        <v>138</v>
      </c>
      <c r="D111" s="17" t="s">
        <v>120</v>
      </c>
      <c r="E111" s="17" t="s">
        <v>272</v>
      </c>
      <c r="F111" s="18" t="s">
        <v>53</v>
      </c>
      <c r="G111" s="17">
        <v>18</v>
      </c>
      <c r="H111" s="17" t="s">
        <v>63</v>
      </c>
      <c r="I111" s="19">
        <v>45341</v>
      </c>
      <c r="J111" s="1">
        <v>30000</v>
      </c>
      <c r="K111" s="17" t="s">
        <v>45</v>
      </c>
      <c r="L111" s="17" t="s">
        <v>223</v>
      </c>
      <c r="M111" s="17" t="s">
        <v>75</v>
      </c>
      <c r="N111" s="17" t="s">
        <v>71</v>
      </c>
      <c r="O111" s="20">
        <v>31972</v>
      </c>
      <c r="P111" s="21" t="s">
        <v>39</v>
      </c>
      <c r="Q111" s="17" t="s">
        <v>43</v>
      </c>
      <c r="S111" s="17" t="str">
        <f>+IF($N111=[1]CURSOS!$D$3,[1]CURSOS!$E$3,(+IF($N111=[1]CURSOS!$D$4,[1]CURSOS!$E$4,(+IF($N111=[1]CURSOS!$D$5,[1]CURSOS!$E$5,(+IF($N111=[1]CURSOS!$D$6,[1]CURSOS!$E$6,(+IF($N111=[1]CURSOS!$D$7,[1]CURSOS!$E$7,(+IF($N111=[1]CURSOS!$D$8,[1]CURSOS!$E$8,(+IF($N111=[1]CURSOS!$D$9,[1]CURSOS!$E$9,(+IF($N111=[1]CURSOS!$D$10,[1]CURSOS!$E$10,(+IF($N111=[1]CURSOS!$D$11,[1]CURSOS!$E$11,(+IF($N111=[1]CURSOS!$D$12,[1]CURSOS!$E$12,(+IF($N111=[1]CURSOS!$D$13,[1]CURSOS!$E$13,(+IF($N111=[1]CURSOS!$D$14,[1]CURSOS!$E$14,(+IF($N111=[1]CURSOS!$D$15,[1]CURSOS!$E$15,(+IF($N111=[1]CURSOS!$D$16,[1]CURSOS!$E$16,(+IF($N111=[1]CURSOS!$D$17,[1]CURSOS!$E$17,(+IF($N111=[1]CURSOS!$D$18,[1]CURSOS!$E$18,(+IF($N111=[1]CURSOS!$D$19,[1]CURSOS!$E$19,(+IF($N111=[1]CURSOS!$D$20,[1]CURSOS!$E$20,(+IF($N111=[1]CURSOS!$D$21,[1]CURSOS!$E$21,(+IF($N111=[1]CURSOS!$D$22,[1]CURSOS!$E$22,(+IF($N111=[1]CURSOS!$D$23,[1]CURSOS!$E$23,(+IF($N111=[1]CURSOS!$D$24,[1]CURSOS!$E$24,(+IF($N111=[1]CURSOS!$D$25,[1]CURSOS!$E$25,(+IF($N111=[1]CURSOS!$D$26,[1]CURSOS!$E$26,(+IF($N111=[1]CURSOS!$D$27,[1]CURSOS!$E$27,(+IF($N111=[1]CURSOS!$D$28,[1]CURSOS!$E$28,(+IF($N111=[1]CURSOS!$D$29,[1]CURSOS!$E$29,(+IF($N111=[1]CURSOS!$D$30,[1]CURSOS!$E$30,(+IF($N111=[1]CURSOS!$D$31,[1]CURSOS!$E$31,(+IF($N111=[1]CURSOS!$D$32,[1]CURSOS!$E$32)))))))))))))))))))))))))))))))))))))))))))))))))))))))))))</f>
        <v xml:space="preserve">HUMANIZACION EN SALUD, BUENAS PRACTICAS EN PACIENTE </v>
      </c>
      <c r="T111" s="17" t="str">
        <f t="shared" si="55"/>
        <v>Angela  Maria Lopez Melo</v>
      </c>
      <c r="U111" s="17" t="str">
        <f t="shared" si="56"/>
        <v>Angela  Maria Lopez Melo</v>
      </c>
      <c r="V111" s="17" t="str">
        <f t="shared" si="57"/>
        <v>Angela  Maria Lopez Melo-1088729887-Humanizacion</v>
      </c>
    </row>
    <row r="112" spans="1:22" x14ac:dyDescent="0.2">
      <c r="A112" s="17">
        <v>122</v>
      </c>
      <c r="B112" s="17">
        <v>1088729887</v>
      </c>
      <c r="C112" s="17" t="s">
        <v>138</v>
      </c>
      <c r="D112" s="17" t="s">
        <v>120</v>
      </c>
      <c r="E112" s="17" t="s">
        <v>272</v>
      </c>
      <c r="F112" s="18" t="s">
        <v>53</v>
      </c>
      <c r="G112" s="17">
        <v>18</v>
      </c>
      <c r="H112" s="17" t="s">
        <v>63</v>
      </c>
      <c r="I112" s="19">
        <v>45341</v>
      </c>
      <c r="J112" s="1">
        <v>30000</v>
      </c>
      <c r="K112" s="17" t="s">
        <v>45</v>
      </c>
      <c r="L112" s="17" t="s">
        <v>223</v>
      </c>
      <c r="M112" s="17" t="s">
        <v>75</v>
      </c>
      <c r="N112" s="17" t="s">
        <v>20</v>
      </c>
      <c r="O112" s="20">
        <v>31972</v>
      </c>
      <c r="P112" s="21" t="s">
        <v>39</v>
      </c>
      <c r="Q112" s="17" t="s">
        <v>43</v>
      </c>
      <c r="S112" s="17" t="str">
        <f>+IF($N112=[1]CURSOS!$D$3,[1]CURSOS!$E$3,(+IF($N112=[1]CURSOS!$D$4,[1]CURSOS!$E$4,(+IF($N112=[1]CURSOS!$D$5,[1]CURSOS!$E$5,(+IF($N112=[1]CURSOS!$D$6,[1]CURSOS!$E$6,(+IF($N112=[1]CURSOS!$D$7,[1]CURSOS!$E$7,(+IF($N112=[1]CURSOS!$D$8,[1]CURSOS!$E$8,(+IF($N112=[1]CURSOS!$D$9,[1]CURSOS!$E$9,(+IF($N112=[1]CURSOS!$D$10,[1]CURSOS!$E$10,(+IF($N112=[1]CURSOS!$D$11,[1]CURSOS!$E$11,(+IF($N112=[1]CURSOS!$D$12,[1]CURSOS!$E$12,(+IF($N112=[1]CURSOS!$D$13,[1]CURSOS!$E$13,(+IF($N112=[1]CURSOS!$D$14,[1]CURSOS!$E$14,(+IF($N112=[1]CURSOS!$D$15,[1]CURSOS!$E$15,(+IF($N112=[1]CURSOS!$D$16,[1]CURSOS!$E$16,(+IF($N112=[1]CURSOS!$D$17,[1]CURSOS!$E$17,(+IF($N112=[1]CURSOS!$D$18,[1]CURSOS!$E$18,(+IF($N112=[1]CURSOS!$D$19,[1]CURSOS!$E$19,(+IF($N112=[1]CURSOS!$D$20,[1]CURSOS!$E$20,(+IF($N112=[1]CURSOS!$D$21,[1]CURSOS!$E$21,(+IF($N112=[1]CURSOS!$D$22,[1]CURSOS!$E$22,(+IF($N112=[1]CURSOS!$D$23,[1]CURSOS!$E$23,(+IF($N112=[1]CURSOS!$D$24,[1]CURSOS!$E$24,(+IF($N112=[1]CURSOS!$D$25,[1]CURSOS!$E$25,(+IF($N112=[1]CURSOS!$D$26,[1]CURSOS!$E$26,(+IF($N112=[1]CURSOS!$D$27,[1]CURSOS!$E$27,(+IF($N112=[1]CURSOS!$D$28,[1]CURSOS!$E$28,(+IF($N112=[1]CURSOS!$D$29,[1]CURSOS!$E$29,(+IF($N112=[1]CURSOS!$D$30,[1]CURSOS!$E$30,(+IF($N112=[1]CURSOS!$D$31,[1]CURSOS!$E$31,(+IF($N112=[1]CURSOS!$D$32,[1]CURSOS!$E$32)))))))))))))))))))))))))))))))))))))))))))))))))))))))))))</f>
        <v>ACOMPAÑAMIENTO Y MANEJO DEL DUELO</v>
      </c>
      <c r="T112" s="17" t="str">
        <f t="shared" ref="T112:T114" si="58">CONCATENATE(E112," ",F112," ",C112," ",D112)</f>
        <v>Angela  Maria Lopez Melo</v>
      </c>
      <c r="U112" s="17" t="str">
        <f t="shared" ref="U112:U114" si="59">+PROPER(T112)</f>
        <v>Angela  Maria Lopez Melo</v>
      </c>
      <c r="V112" s="17" t="str">
        <f t="shared" ref="V112:V114" si="60">CONCATENATE(T112,"-",B112,"-",N112)</f>
        <v>Angela  Maria Lopez Melo-1088729887-DUELO</v>
      </c>
    </row>
    <row r="113" spans="1:22" x14ac:dyDescent="0.2">
      <c r="A113" s="17">
        <v>123</v>
      </c>
      <c r="B113" s="17">
        <v>1088729887</v>
      </c>
      <c r="C113" s="17" t="s">
        <v>138</v>
      </c>
      <c r="D113" s="17" t="s">
        <v>120</v>
      </c>
      <c r="E113" s="17" t="s">
        <v>272</v>
      </c>
      <c r="F113" s="18" t="s">
        <v>53</v>
      </c>
      <c r="G113" s="17">
        <v>18</v>
      </c>
      <c r="H113" s="17" t="s">
        <v>63</v>
      </c>
      <c r="I113" s="19">
        <v>45341</v>
      </c>
      <c r="J113" s="1">
        <v>30000</v>
      </c>
      <c r="K113" s="17" t="s">
        <v>45</v>
      </c>
      <c r="L113" s="17" t="s">
        <v>223</v>
      </c>
      <c r="M113" s="17" t="s">
        <v>75</v>
      </c>
      <c r="N113" s="17" t="s">
        <v>21</v>
      </c>
      <c r="O113" s="20">
        <v>31972</v>
      </c>
      <c r="P113" s="21" t="s">
        <v>39</v>
      </c>
      <c r="Q113" s="17" t="s">
        <v>43</v>
      </c>
      <c r="S113" s="17" t="str">
        <f>+IF($N113=[1]CURSOS!$D$3,[1]CURSOS!$E$3,(+IF($N113=[1]CURSOS!$D$4,[1]CURSOS!$E$4,(+IF($N113=[1]CURSOS!$D$5,[1]CURSOS!$E$5,(+IF($N113=[1]CURSOS!$D$6,[1]CURSOS!$E$6,(+IF($N113=[1]CURSOS!$D$7,[1]CURSOS!$E$7,(+IF($N113=[1]CURSOS!$D$8,[1]CURSOS!$E$8,(+IF($N113=[1]CURSOS!$D$9,[1]CURSOS!$E$9,(+IF($N113=[1]CURSOS!$D$10,[1]CURSOS!$E$10,(+IF($N113=[1]CURSOS!$D$11,[1]CURSOS!$E$11,(+IF($N113=[1]CURSOS!$D$12,[1]CURSOS!$E$12,(+IF($N113=[1]CURSOS!$D$13,[1]CURSOS!$E$13,(+IF($N113=[1]CURSOS!$D$14,[1]CURSOS!$E$14,(+IF($N113=[1]CURSOS!$D$15,[1]CURSOS!$E$15,(+IF($N113=[1]CURSOS!$D$16,[1]CURSOS!$E$16,(+IF($N113=[1]CURSOS!$D$17,[1]CURSOS!$E$17,(+IF($N113=[1]CURSOS!$D$18,[1]CURSOS!$E$18,(+IF($N113=[1]CURSOS!$D$19,[1]CURSOS!$E$19,(+IF($N113=[1]CURSOS!$D$20,[1]CURSOS!$E$20,(+IF($N113=[1]CURSOS!$D$21,[1]CURSOS!$E$21,(+IF($N113=[1]CURSOS!$D$22,[1]CURSOS!$E$22,(+IF($N113=[1]CURSOS!$D$23,[1]CURSOS!$E$23,(+IF($N113=[1]CURSOS!$D$24,[1]CURSOS!$E$24,(+IF($N113=[1]CURSOS!$D$25,[1]CURSOS!$E$25,(+IF($N113=[1]CURSOS!$D$26,[1]CURSOS!$E$26,(+IF($N113=[1]CURSOS!$D$27,[1]CURSOS!$E$27,(+IF($N113=[1]CURSOS!$D$28,[1]CURSOS!$E$28,(+IF($N113=[1]CURSOS!$D$29,[1]CURSOS!$E$29,(+IF($N113=[1]CURSOS!$D$30,[1]CURSOS!$E$30,(+IF($N113=[1]CURSOS!$D$31,[1]CURSOS!$E$31,(+IF($N113=[1]CURSOS!$D$32,[1]CURSOS!$E$32)))))))))))))))))))))))))))))))))))))))))))))))))))))))))))</f>
        <v xml:space="preserve">ATENCION A VICTIMAS DE ATAQUE CON AGENTES QUIMICOS </v>
      </c>
      <c r="T113" s="17" t="str">
        <f t="shared" si="58"/>
        <v>Angela  Maria Lopez Melo</v>
      </c>
      <c r="U113" s="17" t="str">
        <f t="shared" si="59"/>
        <v>Angela  Maria Lopez Melo</v>
      </c>
      <c r="V113" s="17" t="str">
        <f t="shared" si="60"/>
        <v>Angela  Maria Lopez Melo-1088729887-QUIMICOS</v>
      </c>
    </row>
    <row r="114" spans="1:22" x14ac:dyDescent="0.2">
      <c r="A114" s="17">
        <v>124</v>
      </c>
      <c r="B114" s="17">
        <v>1088729887</v>
      </c>
      <c r="C114" s="17" t="s">
        <v>138</v>
      </c>
      <c r="D114" s="17" t="s">
        <v>120</v>
      </c>
      <c r="E114" s="17" t="s">
        <v>272</v>
      </c>
      <c r="F114" s="18" t="s">
        <v>53</v>
      </c>
      <c r="G114" s="17">
        <v>18</v>
      </c>
      <c r="H114" s="17" t="s">
        <v>63</v>
      </c>
      <c r="I114" s="19">
        <v>45341</v>
      </c>
      <c r="J114" s="1">
        <v>30000</v>
      </c>
      <c r="K114" s="17" t="s">
        <v>45</v>
      </c>
      <c r="L114" s="17" t="s">
        <v>223</v>
      </c>
      <c r="M114" s="17" t="s">
        <v>75</v>
      </c>
      <c r="N114" s="17" t="s">
        <v>27</v>
      </c>
      <c r="O114" s="20">
        <v>31972</v>
      </c>
      <c r="P114" s="21" t="s">
        <v>39</v>
      </c>
      <c r="Q114" s="17" t="s">
        <v>43</v>
      </c>
      <c r="S114" s="17" t="str">
        <f>+IF($N114=[1]CURSOS!$D$3,[1]CURSOS!$E$3,(+IF($N114=[1]CURSOS!$D$4,[1]CURSOS!$E$4,(+IF($N114=[1]CURSOS!$D$5,[1]CURSOS!$E$5,(+IF($N114=[1]CURSOS!$D$6,[1]CURSOS!$E$6,(+IF($N114=[1]CURSOS!$D$7,[1]CURSOS!$E$7,(+IF($N114=[1]CURSOS!$D$8,[1]CURSOS!$E$8,(+IF($N114=[1]CURSOS!$D$9,[1]CURSOS!$E$9,(+IF($N114=[1]CURSOS!$D$10,[1]CURSOS!$E$10,(+IF($N114=[1]CURSOS!$D$11,[1]CURSOS!$E$11,(+IF($N114=[1]CURSOS!$D$12,[1]CURSOS!$E$12,(+IF($N114=[1]CURSOS!$D$13,[1]CURSOS!$E$13,(+IF($N114=[1]CURSOS!$D$14,[1]CURSOS!$E$14,(+IF($N114=[1]CURSOS!$D$15,[1]CURSOS!$E$15,(+IF($N114=[1]CURSOS!$D$16,[1]CURSOS!$E$16,(+IF($N114=[1]CURSOS!$D$17,[1]CURSOS!$E$17,(+IF($N114=[1]CURSOS!$D$18,[1]CURSOS!$E$18,(+IF($N114=[1]CURSOS!$D$19,[1]CURSOS!$E$19,(+IF($N114=[1]CURSOS!$D$20,[1]CURSOS!$E$20,(+IF($N114=[1]CURSOS!$D$21,[1]CURSOS!$E$21,(+IF($N114=[1]CURSOS!$D$22,[1]CURSOS!$E$22,(+IF($N114=[1]CURSOS!$D$23,[1]CURSOS!$E$23,(+IF($N114=[1]CURSOS!$D$24,[1]CURSOS!$E$24,(+IF($N114=[1]CURSOS!$D$25,[1]CURSOS!$E$25,(+IF($N114=[1]CURSOS!$D$26,[1]CURSOS!$E$26,(+IF($N114=[1]CURSOS!$D$27,[1]CURSOS!$E$27,(+IF($N114=[1]CURSOS!$D$28,[1]CURSOS!$E$28,(+IF($N114=[1]CURSOS!$D$29,[1]CURSOS!$E$29,(+IF($N114=[1]CURSOS!$D$30,[1]CURSOS!$E$30,(+IF($N114=[1]CURSOS!$D$31,[1]CURSOS!$E$31,(+IF($N114=[1]CURSOS!$D$32,[1]CURSOS!$E$32)))))))))))))))))))))))))))))))))))))))))))))))))))))))))))</f>
        <v xml:space="preserve">ATENCION A VICTIMAS DE VIOLENCIA SEXUAL </v>
      </c>
      <c r="T114" s="17" t="str">
        <f t="shared" si="58"/>
        <v>Angela  Maria Lopez Melo</v>
      </c>
      <c r="U114" s="17" t="str">
        <f t="shared" si="59"/>
        <v>Angela  Maria Lopez Melo</v>
      </c>
      <c r="V114" s="17" t="str">
        <f t="shared" si="60"/>
        <v>Angela  Maria Lopez Melo-1088729887-VIOLENCIA SEXUAL</v>
      </c>
    </row>
    <row r="115" spans="1:22" x14ac:dyDescent="0.2">
      <c r="A115" s="17">
        <v>125</v>
      </c>
      <c r="B115" s="17">
        <v>1004629669</v>
      </c>
      <c r="C115" s="17" t="s">
        <v>273</v>
      </c>
      <c r="D115" s="17" t="s">
        <v>274</v>
      </c>
      <c r="E115" s="17" t="s">
        <v>177</v>
      </c>
      <c r="F115" s="18" t="s">
        <v>204</v>
      </c>
      <c r="G115" s="17">
        <v>20</v>
      </c>
      <c r="H115" s="17" t="s">
        <v>63</v>
      </c>
      <c r="I115" s="19">
        <v>45342</v>
      </c>
      <c r="J115" s="1">
        <v>40000</v>
      </c>
      <c r="K115" s="17" t="s">
        <v>83</v>
      </c>
      <c r="L115" s="17" t="s">
        <v>223</v>
      </c>
      <c r="M115" s="17" t="s">
        <v>40</v>
      </c>
      <c r="N115" s="17" t="s">
        <v>22</v>
      </c>
      <c r="O115" s="20" t="s">
        <v>275</v>
      </c>
      <c r="P115" s="21" t="s">
        <v>48</v>
      </c>
      <c r="Q115" s="17" t="s">
        <v>43</v>
      </c>
      <c r="R115" s="17">
        <v>3123270885</v>
      </c>
      <c r="S115" s="17" t="str">
        <f>+IF($N115=[1]CURSOS!$D$3,[1]CURSOS!$E$3,(+IF($N115=[1]CURSOS!$D$4,[1]CURSOS!$E$4,(+IF($N115=[1]CURSOS!$D$5,[1]CURSOS!$E$5,(+IF($N115=[1]CURSOS!$D$6,[1]CURSOS!$E$6,(+IF($N115=[1]CURSOS!$D$7,[1]CURSOS!$E$7,(+IF($N115=[1]CURSOS!$D$8,[1]CURSOS!$E$8,(+IF($N115=[1]CURSOS!$D$9,[1]CURSOS!$E$9,(+IF($N115=[1]CURSOS!$D$10,[1]CURSOS!$E$10,(+IF($N115=[1]CURSOS!$D$11,[1]CURSOS!$E$11,(+IF($N115=[1]CURSOS!$D$12,[1]CURSOS!$E$12,(+IF($N115=[1]CURSOS!$D$13,[1]CURSOS!$E$13,(+IF($N115=[1]CURSOS!$D$14,[1]CURSOS!$E$14,(+IF($N115=[1]CURSOS!$D$15,[1]CURSOS!$E$15,(+IF($N115=[1]CURSOS!$D$16,[1]CURSOS!$E$16,(+IF($N115=[1]CURSOS!$D$17,[1]CURSOS!$E$17,(+IF($N115=[1]CURSOS!$D$18,[1]CURSOS!$E$18,(+IF($N115=[1]CURSOS!$D$19,[1]CURSOS!$E$19,(+IF($N115=[1]CURSOS!$D$20,[1]CURSOS!$E$20,(+IF($N115=[1]CURSOS!$D$21,[1]CURSOS!$E$21,(+IF($N115=[1]CURSOS!$D$22,[1]CURSOS!$E$22,(+IF($N115=[1]CURSOS!$D$23,[1]CURSOS!$E$23,(+IF($N115=[1]CURSOS!$D$24,[1]CURSOS!$E$24,(+IF($N115=[1]CURSOS!$D$25,[1]CURSOS!$E$25,(+IF($N115=[1]CURSOS!$D$26,[1]CURSOS!$E$26,(+IF($N115=[1]CURSOS!$D$27,[1]CURSOS!$E$27,(+IF($N115=[1]CURSOS!$D$28,[1]CURSOS!$E$28,(+IF($N115=[1]CURSOS!$D$29,[1]CURSOS!$E$29,(+IF($N115=[1]CURSOS!$D$30,[1]CURSOS!$E$30,(+IF($N115=[1]CURSOS!$D$31,[1]CURSOS!$E$31,(+IF($N115=[1]CURSOS!$D$32,[1]CURSOS!$E$32)))))))))))))))))))))))))))))))))))))))))))))))))))))))))))</f>
        <v>PRIMEROS AUXILIOS</v>
      </c>
      <c r="T115" s="17" t="str">
        <f t="shared" ref="T115:T116" si="61">CONCATENATE(E115," ",F115," ",C115," ",D115)</f>
        <v>Sebastian Alexander Hernandez Mangua</v>
      </c>
      <c r="U115" s="17" t="str">
        <f t="shared" ref="U115:U116" si="62">+PROPER(T115)</f>
        <v>Sebastian Alexander Hernandez Mangua</v>
      </c>
      <c r="V115" s="17" t="str">
        <f t="shared" ref="V115:V116" si="63">CONCATENATE(T115,"-",B115,"-",N115)</f>
        <v>Sebastian Alexander Hernandez Mangua-1004629669-PRIMEROS AUXILIOS</v>
      </c>
    </row>
    <row r="116" spans="1:22" x14ac:dyDescent="0.2">
      <c r="A116" s="17">
        <v>126</v>
      </c>
      <c r="B116" s="17">
        <v>1004629669</v>
      </c>
      <c r="C116" s="17" t="s">
        <v>273</v>
      </c>
      <c r="D116" s="17" t="s">
        <v>274</v>
      </c>
      <c r="E116" s="17" t="s">
        <v>177</v>
      </c>
      <c r="F116" s="18" t="s">
        <v>204</v>
      </c>
      <c r="G116" s="17">
        <v>20</v>
      </c>
      <c r="H116" s="17" t="s">
        <v>63</v>
      </c>
      <c r="I116" s="19">
        <v>45342</v>
      </c>
      <c r="J116" s="1">
        <v>40000</v>
      </c>
      <c r="K116" s="17" t="s">
        <v>83</v>
      </c>
      <c r="L116" s="17" t="s">
        <v>223</v>
      </c>
      <c r="M116" s="17" t="s">
        <v>40</v>
      </c>
      <c r="N116" s="17" t="s">
        <v>23</v>
      </c>
      <c r="O116" s="20" t="s">
        <v>275</v>
      </c>
      <c r="P116" s="21" t="s">
        <v>48</v>
      </c>
      <c r="Q116" s="17" t="s">
        <v>43</v>
      </c>
      <c r="R116" s="17">
        <v>3123270885</v>
      </c>
      <c r="S116" s="17" t="str">
        <f>+IF($N116=[1]CURSOS!$D$3,[1]CURSOS!$E$3,(+IF($N116=[1]CURSOS!$D$4,[1]CURSOS!$E$4,(+IF($N116=[1]CURSOS!$D$5,[1]CURSOS!$E$5,(+IF($N116=[1]CURSOS!$D$6,[1]CURSOS!$E$6,(+IF($N116=[1]CURSOS!$D$7,[1]CURSOS!$E$7,(+IF($N116=[1]CURSOS!$D$8,[1]CURSOS!$E$8,(+IF($N116=[1]CURSOS!$D$9,[1]CURSOS!$E$9,(+IF($N116=[1]CURSOS!$D$10,[1]CURSOS!$E$10,(+IF($N116=[1]CURSOS!$D$11,[1]CURSOS!$E$11,(+IF($N116=[1]CURSOS!$D$12,[1]CURSOS!$E$12,(+IF($N116=[1]CURSOS!$D$13,[1]CURSOS!$E$13,(+IF($N116=[1]CURSOS!$D$14,[1]CURSOS!$E$14,(+IF($N116=[1]CURSOS!$D$15,[1]CURSOS!$E$15,(+IF($N116=[1]CURSOS!$D$16,[1]CURSOS!$E$16,(+IF($N116=[1]CURSOS!$D$17,[1]CURSOS!$E$17,(+IF($N116=[1]CURSOS!$D$18,[1]CURSOS!$E$18,(+IF($N116=[1]CURSOS!$D$19,[1]CURSOS!$E$19,(+IF($N116=[1]CURSOS!$D$20,[1]CURSOS!$E$20,(+IF($N116=[1]CURSOS!$D$21,[1]CURSOS!$E$21,(+IF($N116=[1]CURSOS!$D$22,[1]CURSOS!$E$22,(+IF($N116=[1]CURSOS!$D$23,[1]CURSOS!$E$23,(+IF($N116=[1]CURSOS!$D$24,[1]CURSOS!$E$24,(+IF($N116=[1]CURSOS!$D$25,[1]CURSOS!$E$25,(+IF($N116=[1]CURSOS!$D$26,[1]CURSOS!$E$26,(+IF($N116=[1]CURSOS!$D$27,[1]CURSOS!$E$27,(+IF($N116=[1]CURSOS!$D$28,[1]CURSOS!$E$28,(+IF($N116=[1]CURSOS!$D$29,[1]CURSOS!$E$29,(+IF($N116=[1]CURSOS!$D$30,[1]CURSOS!$E$30,(+IF($N116=[1]CURSOS!$D$31,[1]CURSOS!$E$31,(+IF($N116=[1]CURSOS!$D$32,[1]CURSOS!$E$32)))))))))))))))))))))))))))))))))))))))))))))))))))))))))))</f>
        <v xml:space="preserve">HUMANIZACION EN SALUD, BUENAS PRACTICAS EN PACIENTE </v>
      </c>
      <c r="T116" s="17" t="str">
        <f t="shared" si="61"/>
        <v>Sebastian Alexander Hernandez Mangua</v>
      </c>
      <c r="U116" s="17" t="str">
        <f t="shared" si="62"/>
        <v>Sebastian Alexander Hernandez Mangua</v>
      </c>
      <c r="V116" s="17" t="str">
        <f t="shared" si="63"/>
        <v>Sebastian Alexander Hernandez Mangua-1004629669-HUMANIZACION</v>
      </c>
    </row>
    <row r="117" spans="1:22" x14ac:dyDescent="0.2">
      <c r="A117" s="17">
        <v>127</v>
      </c>
      <c r="B117" s="17">
        <v>510177</v>
      </c>
      <c r="C117" s="17" t="s">
        <v>46</v>
      </c>
      <c r="D117" s="17" t="s">
        <v>276</v>
      </c>
      <c r="E117" s="17" t="s">
        <v>277</v>
      </c>
      <c r="F117" s="18" t="s">
        <v>278</v>
      </c>
      <c r="G117" s="17">
        <v>17</v>
      </c>
      <c r="H117" s="17" t="s">
        <v>63</v>
      </c>
      <c r="I117" s="19">
        <v>45353</v>
      </c>
      <c r="J117" s="1">
        <v>100000</v>
      </c>
      <c r="K117" s="17" t="s">
        <v>83</v>
      </c>
      <c r="L117" s="17" t="s">
        <v>223</v>
      </c>
      <c r="M117" s="17" t="s">
        <v>279</v>
      </c>
      <c r="N117" s="17" t="s">
        <v>24</v>
      </c>
      <c r="O117" s="20">
        <v>28443</v>
      </c>
      <c r="P117" s="21" t="s">
        <v>39</v>
      </c>
      <c r="Q117" s="17" t="s">
        <v>41</v>
      </c>
      <c r="S117" s="17" t="str">
        <f>+IF($N117=[1]CURSOS!$D$3,[1]CURSOS!$E$3,(+IF($N117=[1]CURSOS!$D$4,[1]CURSOS!$E$4,(+IF($N117=[1]CURSOS!$D$5,[1]CURSOS!$E$5,(+IF($N117=[1]CURSOS!$D$6,[1]CURSOS!$E$6,(+IF($N117=[1]CURSOS!$D$7,[1]CURSOS!$E$7,(+IF($N117=[1]CURSOS!$D$8,[1]CURSOS!$E$8,(+IF($N117=[1]CURSOS!$D$9,[1]CURSOS!$E$9,(+IF($N117=[1]CURSOS!$D$10,[1]CURSOS!$E$10,(+IF($N117=[1]CURSOS!$D$11,[1]CURSOS!$E$11,(+IF($N117=[1]CURSOS!$D$12,[1]CURSOS!$E$12,(+IF($N117=[1]CURSOS!$D$13,[1]CURSOS!$E$13,(+IF($N117=[1]CURSOS!$D$14,[1]CURSOS!$E$14,(+IF($N117=[1]CURSOS!$D$15,[1]CURSOS!$E$15,(+IF($N117=[1]CURSOS!$D$16,[1]CURSOS!$E$16,(+IF($N117=[1]CURSOS!$D$17,[1]CURSOS!$E$17,(+IF($N117=[1]CURSOS!$D$18,[1]CURSOS!$E$18,(+IF($N117=[1]CURSOS!$D$19,[1]CURSOS!$E$19,(+IF($N117=[1]CURSOS!$D$20,[1]CURSOS!$E$20,(+IF($N117=[1]CURSOS!$D$21,[1]CURSOS!$E$21,(+IF($N117=[1]CURSOS!$D$22,[1]CURSOS!$E$22,(+IF($N117=[1]CURSOS!$D$23,[1]CURSOS!$E$23,(+IF($N117=[1]CURSOS!$D$24,[1]CURSOS!$E$24,(+IF($N117=[1]CURSOS!$D$25,[1]CURSOS!$E$25,(+IF($N117=[1]CURSOS!$D$26,[1]CURSOS!$E$26,(+IF($N117=[1]CURSOS!$D$27,[1]CURSOS!$E$27,(+IF($N117=[1]CURSOS!$D$28,[1]CURSOS!$E$28,(+IF($N117=[1]CURSOS!$D$29,[1]CURSOS!$E$29,(+IF($N117=[1]CURSOS!$D$30,[1]CURSOS!$E$30,(+IF($N117=[1]CURSOS!$D$31,[1]CURSOS!$E$31,(+IF($N117=[1]CURSOS!$D$32,[1]CURSOS!$E$32)))))))))))))))))))))))))))))))))))))))))))))))))))))))))))</f>
        <v xml:space="preserve">SOPORTE CARDIOVASCULAR AVANZADO </v>
      </c>
      <c r="T117" s="17" t="str">
        <f t="shared" ref="T117:T123" si="64">CONCATENATE(E117," ",F117," ",C117," ",D117)</f>
        <v>Frank Emilio Martinez Betancourt</v>
      </c>
      <c r="U117" s="17" t="str">
        <f t="shared" ref="U117:U123" si="65">+PROPER(T117)</f>
        <v>Frank Emilio Martinez Betancourt</v>
      </c>
      <c r="V117" s="17" t="str">
        <f t="shared" ref="V117:V123" si="66">CONCATENATE(T117,"-",B117,"-",N117)</f>
        <v>Frank Emilio Martinez Betancourt-510177-ACLS</v>
      </c>
    </row>
    <row r="118" spans="1:22" x14ac:dyDescent="0.2">
      <c r="A118" s="17">
        <v>128</v>
      </c>
      <c r="B118" s="17">
        <v>510177</v>
      </c>
      <c r="C118" s="17" t="s">
        <v>46</v>
      </c>
      <c r="D118" s="17" t="s">
        <v>276</v>
      </c>
      <c r="E118" s="17" t="s">
        <v>277</v>
      </c>
      <c r="F118" s="18" t="s">
        <v>278</v>
      </c>
      <c r="G118" s="17">
        <v>17</v>
      </c>
      <c r="H118" s="17" t="s">
        <v>63</v>
      </c>
      <c r="I118" s="19">
        <v>45353</v>
      </c>
      <c r="J118" s="1">
        <v>30000</v>
      </c>
      <c r="K118" s="17" t="s">
        <v>83</v>
      </c>
      <c r="L118" s="17" t="s">
        <v>222</v>
      </c>
      <c r="M118" s="17" t="s">
        <v>279</v>
      </c>
      <c r="N118" s="17" t="s">
        <v>27</v>
      </c>
      <c r="O118" s="20">
        <v>28443</v>
      </c>
      <c r="P118" s="21" t="s">
        <v>39</v>
      </c>
      <c r="Q118" s="17" t="s">
        <v>41</v>
      </c>
      <c r="S118" s="17" t="str">
        <f>+IF($N118=[1]CURSOS!$D$3,[1]CURSOS!$E$3,(+IF($N118=[1]CURSOS!$D$4,[1]CURSOS!$E$4,(+IF($N118=[1]CURSOS!$D$5,[1]CURSOS!$E$5,(+IF($N118=[1]CURSOS!$D$6,[1]CURSOS!$E$6,(+IF($N118=[1]CURSOS!$D$7,[1]CURSOS!$E$7,(+IF($N118=[1]CURSOS!$D$8,[1]CURSOS!$E$8,(+IF($N118=[1]CURSOS!$D$9,[1]CURSOS!$E$9,(+IF($N118=[1]CURSOS!$D$10,[1]CURSOS!$E$10,(+IF($N118=[1]CURSOS!$D$11,[1]CURSOS!$E$11,(+IF($N118=[1]CURSOS!$D$12,[1]CURSOS!$E$12,(+IF($N118=[1]CURSOS!$D$13,[1]CURSOS!$E$13,(+IF($N118=[1]CURSOS!$D$14,[1]CURSOS!$E$14,(+IF($N118=[1]CURSOS!$D$15,[1]CURSOS!$E$15,(+IF($N118=[1]CURSOS!$D$16,[1]CURSOS!$E$16,(+IF($N118=[1]CURSOS!$D$17,[1]CURSOS!$E$17,(+IF($N118=[1]CURSOS!$D$18,[1]CURSOS!$E$18,(+IF($N118=[1]CURSOS!$D$19,[1]CURSOS!$E$19,(+IF($N118=[1]CURSOS!$D$20,[1]CURSOS!$E$20,(+IF($N118=[1]CURSOS!$D$21,[1]CURSOS!$E$21,(+IF($N118=[1]CURSOS!$D$22,[1]CURSOS!$E$22,(+IF($N118=[1]CURSOS!$D$23,[1]CURSOS!$E$23,(+IF($N118=[1]CURSOS!$D$24,[1]CURSOS!$E$24,(+IF($N118=[1]CURSOS!$D$25,[1]CURSOS!$E$25,(+IF($N118=[1]CURSOS!$D$26,[1]CURSOS!$E$26,(+IF($N118=[1]CURSOS!$D$27,[1]CURSOS!$E$27,(+IF($N118=[1]CURSOS!$D$28,[1]CURSOS!$E$28,(+IF($N118=[1]CURSOS!$D$29,[1]CURSOS!$E$29,(+IF($N118=[1]CURSOS!$D$30,[1]CURSOS!$E$30,(+IF($N118=[1]CURSOS!$D$31,[1]CURSOS!$E$31,(+IF($N118=[1]CURSOS!$D$32,[1]CURSOS!$E$32)))))))))))))))))))))))))))))))))))))))))))))))))))))))))))</f>
        <v xml:space="preserve">ATENCION A VICTIMAS DE VIOLENCIA SEXUAL </v>
      </c>
      <c r="T118" s="17" t="str">
        <f t="shared" si="64"/>
        <v>Frank Emilio Martinez Betancourt</v>
      </c>
      <c r="U118" s="17" t="str">
        <f t="shared" si="65"/>
        <v>Frank Emilio Martinez Betancourt</v>
      </c>
      <c r="V118" s="17" t="str">
        <f t="shared" si="66"/>
        <v>Frank Emilio Martinez Betancourt-510177-VIOLENCIA SEXUAL</v>
      </c>
    </row>
    <row r="119" spans="1:22" x14ac:dyDescent="0.2">
      <c r="A119" s="17">
        <v>129</v>
      </c>
      <c r="B119" s="17">
        <v>510177</v>
      </c>
      <c r="C119" s="17" t="s">
        <v>46</v>
      </c>
      <c r="D119" s="17" t="s">
        <v>276</v>
      </c>
      <c r="E119" s="17" t="s">
        <v>277</v>
      </c>
      <c r="F119" s="18" t="s">
        <v>278</v>
      </c>
      <c r="G119" s="17">
        <v>17</v>
      </c>
      <c r="H119" s="17" t="s">
        <v>63</v>
      </c>
      <c r="I119" s="19">
        <v>45353</v>
      </c>
      <c r="J119" s="1">
        <v>20000</v>
      </c>
      <c r="K119" s="17" t="s">
        <v>83</v>
      </c>
      <c r="L119" s="17" t="s">
        <v>222</v>
      </c>
      <c r="M119" s="17" t="s">
        <v>279</v>
      </c>
      <c r="N119" s="17" t="s">
        <v>20</v>
      </c>
      <c r="O119" s="20">
        <v>28443</v>
      </c>
      <c r="P119" s="21" t="s">
        <v>39</v>
      </c>
      <c r="Q119" s="17" t="s">
        <v>41</v>
      </c>
      <c r="S119" s="17" t="str">
        <f>+IF($N119=[1]CURSOS!$D$3,[1]CURSOS!$E$3,(+IF($N119=[1]CURSOS!$D$4,[1]CURSOS!$E$4,(+IF($N119=[1]CURSOS!$D$5,[1]CURSOS!$E$5,(+IF($N119=[1]CURSOS!$D$6,[1]CURSOS!$E$6,(+IF($N119=[1]CURSOS!$D$7,[1]CURSOS!$E$7,(+IF($N119=[1]CURSOS!$D$8,[1]CURSOS!$E$8,(+IF($N119=[1]CURSOS!$D$9,[1]CURSOS!$E$9,(+IF($N119=[1]CURSOS!$D$10,[1]CURSOS!$E$10,(+IF($N119=[1]CURSOS!$D$11,[1]CURSOS!$E$11,(+IF($N119=[1]CURSOS!$D$12,[1]CURSOS!$E$12,(+IF($N119=[1]CURSOS!$D$13,[1]CURSOS!$E$13,(+IF($N119=[1]CURSOS!$D$14,[1]CURSOS!$E$14,(+IF($N119=[1]CURSOS!$D$15,[1]CURSOS!$E$15,(+IF($N119=[1]CURSOS!$D$16,[1]CURSOS!$E$16,(+IF($N119=[1]CURSOS!$D$17,[1]CURSOS!$E$17,(+IF($N119=[1]CURSOS!$D$18,[1]CURSOS!$E$18,(+IF($N119=[1]CURSOS!$D$19,[1]CURSOS!$E$19,(+IF($N119=[1]CURSOS!$D$20,[1]CURSOS!$E$20,(+IF($N119=[1]CURSOS!$D$21,[1]CURSOS!$E$21,(+IF($N119=[1]CURSOS!$D$22,[1]CURSOS!$E$22,(+IF($N119=[1]CURSOS!$D$23,[1]CURSOS!$E$23,(+IF($N119=[1]CURSOS!$D$24,[1]CURSOS!$E$24,(+IF($N119=[1]CURSOS!$D$25,[1]CURSOS!$E$25,(+IF($N119=[1]CURSOS!$D$26,[1]CURSOS!$E$26,(+IF($N119=[1]CURSOS!$D$27,[1]CURSOS!$E$27,(+IF($N119=[1]CURSOS!$D$28,[1]CURSOS!$E$28,(+IF($N119=[1]CURSOS!$D$29,[1]CURSOS!$E$29,(+IF($N119=[1]CURSOS!$D$30,[1]CURSOS!$E$30,(+IF($N119=[1]CURSOS!$D$31,[1]CURSOS!$E$31,(+IF($N119=[1]CURSOS!$D$32,[1]CURSOS!$E$32)))))))))))))))))))))))))))))))))))))))))))))))))))))))))))</f>
        <v>ACOMPAÑAMIENTO Y MANEJO DEL DUELO</v>
      </c>
      <c r="T119" s="17" t="str">
        <f t="shared" si="64"/>
        <v>Frank Emilio Martinez Betancourt</v>
      </c>
      <c r="U119" s="17" t="str">
        <f t="shared" si="65"/>
        <v>Frank Emilio Martinez Betancourt</v>
      </c>
      <c r="V119" s="17" t="str">
        <f t="shared" si="66"/>
        <v>Frank Emilio Martinez Betancourt-510177-DUELO</v>
      </c>
    </row>
    <row r="120" spans="1:22" x14ac:dyDescent="0.2">
      <c r="A120" s="17">
        <v>130</v>
      </c>
      <c r="B120" s="17">
        <v>510177</v>
      </c>
      <c r="C120" s="17" t="s">
        <v>46</v>
      </c>
      <c r="D120" s="17" t="s">
        <v>276</v>
      </c>
      <c r="E120" s="17" t="s">
        <v>277</v>
      </c>
      <c r="F120" s="18" t="s">
        <v>278</v>
      </c>
      <c r="G120" s="17">
        <v>17</v>
      </c>
      <c r="H120" s="17" t="s">
        <v>63</v>
      </c>
      <c r="I120" s="19">
        <v>45353</v>
      </c>
      <c r="J120" s="1">
        <v>30020</v>
      </c>
      <c r="K120" s="17" t="s">
        <v>83</v>
      </c>
      <c r="L120" s="17" t="s">
        <v>222</v>
      </c>
      <c r="M120" s="17" t="s">
        <v>279</v>
      </c>
      <c r="N120" s="17" t="s">
        <v>21</v>
      </c>
      <c r="O120" s="20">
        <v>28443</v>
      </c>
      <c r="P120" s="21" t="s">
        <v>39</v>
      </c>
      <c r="Q120" s="17" t="s">
        <v>41</v>
      </c>
      <c r="S120" s="17" t="str">
        <f>+IF($N120=[1]CURSOS!$D$3,[1]CURSOS!$E$3,(+IF($N120=[1]CURSOS!$D$4,[1]CURSOS!$E$4,(+IF($N120=[1]CURSOS!$D$5,[1]CURSOS!$E$5,(+IF($N120=[1]CURSOS!$D$6,[1]CURSOS!$E$6,(+IF($N120=[1]CURSOS!$D$7,[1]CURSOS!$E$7,(+IF($N120=[1]CURSOS!$D$8,[1]CURSOS!$E$8,(+IF($N120=[1]CURSOS!$D$9,[1]CURSOS!$E$9,(+IF($N120=[1]CURSOS!$D$10,[1]CURSOS!$E$10,(+IF($N120=[1]CURSOS!$D$11,[1]CURSOS!$E$11,(+IF($N120=[1]CURSOS!$D$12,[1]CURSOS!$E$12,(+IF($N120=[1]CURSOS!$D$13,[1]CURSOS!$E$13,(+IF($N120=[1]CURSOS!$D$14,[1]CURSOS!$E$14,(+IF($N120=[1]CURSOS!$D$15,[1]CURSOS!$E$15,(+IF($N120=[1]CURSOS!$D$16,[1]CURSOS!$E$16,(+IF($N120=[1]CURSOS!$D$17,[1]CURSOS!$E$17,(+IF($N120=[1]CURSOS!$D$18,[1]CURSOS!$E$18,(+IF($N120=[1]CURSOS!$D$19,[1]CURSOS!$E$19,(+IF($N120=[1]CURSOS!$D$20,[1]CURSOS!$E$20,(+IF($N120=[1]CURSOS!$D$21,[1]CURSOS!$E$21,(+IF($N120=[1]CURSOS!$D$22,[1]CURSOS!$E$22,(+IF($N120=[1]CURSOS!$D$23,[1]CURSOS!$E$23,(+IF($N120=[1]CURSOS!$D$24,[1]CURSOS!$E$24,(+IF($N120=[1]CURSOS!$D$25,[1]CURSOS!$E$25,(+IF($N120=[1]CURSOS!$D$26,[1]CURSOS!$E$26,(+IF($N120=[1]CURSOS!$D$27,[1]CURSOS!$E$27,(+IF($N120=[1]CURSOS!$D$28,[1]CURSOS!$E$28,(+IF($N120=[1]CURSOS!$D$29,[1]CURSOS!$E$29,(+IF($N120=[1]CURSOS!$D$30,[1]CURSOS!$E$30,(+IF($N120=[1]CURSOS!$D$31,[1]CURSOS!$E$31,(+IF($N120=[1]CURSOS!$D$32,[1]CURSOS!$E$32)))))))))))))))))))))))))))))))))))))))))))))))))))))))))))</f>
        <v xml:space="preserve">ATENCION A VICTIMAS DE ATAQUE CON AGENTES QUIMICOS </v>
      </c>
      <c r="T120" s="17" t="str">
        <f t="shared" si="64"/>
        <v>Frank Emilio Martinez Betancourt</v>
      </c>
      <c r="U120" s="17" t="str">
        <f t="shared" si="65"/>
        <v>Frank Emilio Martinez Betancourt</v>
      </c>
      <c r="V120" s="17" t="str">
        <f t="shared" si="66"/>
        <v>Frank Emilio Martinez Betancourt-510177-QUIMICOS</v>
      </c>
    </row>
    <row r="121" spans="1:22" x14ac:dyDescent="0.2">
      <c r="A121" s="17">
        <v>131</v>
      </c>
      <c r="B121" s="17">
        <v>1020754987</v>
      </c>
      <c r="C121" s="17" t="s">
        <v>50</v>
      </c>
      <c r="D121" s="17" t="s">
        <v>280</v>
      </c>
      <c r="E121" s="17" t="s">
        <v>186</v>
      </c>
      <c r="F121" s="18" t="s">
        <v>281</v>
      </c>
      <c r="G121" s="17">
        <v>21</v>
      </c>
      <c r="H121" s="17" t="s">
        <v>63</v>
      </c>
      <c r="J121" s="1">
        <v>30000</v>
      </c>
      <c r="L121" s="17" t="s">
        <v>222</v>
      </c>
      <c r="M121" s="17" t="s">
        <v>209</v>
      </c>
      <c r="N121" s="17" t="s">
        <v>21</v>
      </c>
      <c r="O121" s="20">
        <v>33053</v>
      </c>
      <c r="P121" s="21" t="s">
        <v>42</v>
      </c>
      <c r="S121" s="17" t="str">
        <f>+IF($N121=[1]CURSOS!$D$3,[1]CURSOS!$E$3,(+IF($N121=[1]CURSOS!$D$4,[1]CURSOS!$E$4,(+IF($N121=[1]CURSOS!$D$5,[1]CURSOS!$E$5,(+IF($N121=[1]CURSOS!$D$6,[1]CURSOS!$E$6,(+IF($N121=[1]CURSOS!$D$7,[1]CURSOS!$E$7,(+IF($N121=[1]CURSOS!$D$8,[1]CURSOS!$E$8,(+IF($N121=[1]CURSOS!$D$9,[1]CURSOS!$E$9,(+IF($N121=[1]CURSOS!$D$10,[1]CURSOS!$E$10,(+IF($N121=[1]CURSOS!$D$11,[1]CURSOS!$E$11,(+IF($N121=[1]CURSOS!$D$12,[1]CURSOS!$E$12,(+IF($N121=[1]CURSOS!$D$13,[1]CURSOS!$E$13,(+IF($N121=[1]CURSOS!$D$14,[1]CURSOS!$E$14,(+IF($N121=[1]CURSOS!$D$15,[1]CURSOS!$E$15,(+IF($N121=[1]CURSOS!$D$16,[1]CURSOS!$E$16,(+IF($N121=[1]CURSOS!$D$17,[1]CURSOS!$E$17,(+IF($N121=[1]CURSOS!$D$18,[1]CURSOS!$E$18,(+IF($N121=[1]CURSOS!$D$19,[1]CURSOS!$E$19,(+IF($N121=[1]CURSOS!$D$20,[1]CURSOS!$E$20,(+IF($N121=[1]CURSOS!$D$21,[1]CURSOS!$E$21,(+IF($N121=[1]CURSOS!$D$22,[1]CURSOS!$E$22,(+IF($N121=[1]CURSOS!$D$23,[1]CURSOS!$E$23,(+IF($N121=[1]CURSOS!$D$24,[1]CURSOS!$E$24,(+IF($N121=[1]CURSOS!$D$25,[1]CURSOS!$E$25,(+IF($N121=[1]CURSOS!$D$26,[1]CURSOS!$E$26,(+IF($N121=[1]CURSOS!$D$27,[1]CURSOS!$E$27,(+IF($N121=[1]CURSOS!$D$28,[1]CURSOS!$E$28,(+IF($N121=[1]CURSOS!$D$29,[1]CURSOS!$E$29,(+IF($N121=[1]CURSOS!$D$30,[1]CURSOS!$E$30,(+IF($N121=[1]CURSOS!$D$31,[1]CURSOS!$E$31,(+IF($N121=[1]CURSOS!$D$32,[1]CURSOS!$E$32)))))))))))))))))))))))))))))))))))))))))))))))))))))))))))</f>
        <v xml:space="preserve">ATENCION A VICTIMAS DE ATAQUE CON AGENTES QUIMICOS </v>
      </c>
      <c r="T121" s="17" t="str">
        <f t="shared" si="64"/>
        <v>Johana Katherine Benavides Erazo</v>
      </c>
      <c r="U121" s="17" t="str">
        <f t="shared" si="65"/>
        <v>Johana Katherine Benavides Erazo</v>
      </c>
      <c r="V121" s="17" t="str">
        <f t="shared" si="66"/>
        <v>Johana Katherine Benavides Erazo-1020754987-QUIMICOS</v>
      </c>
    </row>
    <row r="122" spans="1:22" x14ac:dyDescent="0.2">
      <c r="A122" s="17">
        <v>132</v>
      </c>
      <c r="B122" s="17">
        <v>1085244627</v>
      </c>
      <c r="C122" s="17" t="s">
        <v>49</v>
      </c>
      <c r="D122" s="17" t="s">
        <v>155</v>
      </c>
      <c r="E122" s="17" t="s">
        <v>282</v>
      </c>
      <c r="F122" s="18" t="s">
        <v>186</v>
      </c>
      <c r="G122" s="17">
        <v>10</v>
      </c>
      <c r="H122" s="17" t="s">
        <v>308</v>
      </c>
      <c r="I122" s="19">
        <v>45343</v>
      </c>
      <c r="J122" s="1">
        <v>25000</v>
      </c>
      <c r="K122" s="17" t="s">
        <v>45</v>
      </c>
      <c r="L122" s="17" t="s">
        <v>222</v>
      </c>
      <c r="M122" s="17" t="s">
        <v>332</v>
      </c>
      <c r="N122" s="17" t="s">
        <v>27</v>
      </c>
      <c r="P122" s="21" t="s">
        <v>42</v>
      </c>
      <c r="S122" s="17" t="str">
        <f>+IF($N122=[1]CURSOS!$D$3,[1]CURSOS!$E$3,(+IF($N122=[1]CURSOS!$D$4,[1]CURSOS!$E$4,(+IF($N122=[1]CURSOS!$D$5,[1]CURSOS!$E$5,(+IF($N122=[1]CURSOS!$D$6,[1]CURSOS!$E$6,(+IF($N122=[1]CURSOS!$D$7,[1]CURSOS!$E$7,(+IF($N122=[1]CURSOS!$D$8,[1]CURSOS!$E$8,(+IF($N122=[1]CURSOS!$D$9,[1]CURSOS!$E$9,(+IF($N122=[1]CURSOS!$D$10,[1]CURSOS!$E$10,(+IF($N122=[1]CURSOS!$D$11,[1]CURSOS!$E$11,(+IF($N122=[1]CURSOS!$D$12,[1]CURSOS!$E$12,(+IF($N122=[1]CURSOS!$D$13,[1]CURSOS!$E$13,(+IF($N122=[1]CURSOS!$D$14,[1]CURSOS!$E$14,(+IF($N122=[1]CURSOS!$D$15,[1]CURSOS!$E$15,(+IF($N122=[1]CURSOS!$D$16,[1]CURSOS!$E$16,(+IF($N122=[1]CURSOS!$D$17,[1]CURSOS!$E$17,(+IF($N122=[1]CURSOS!$D$18,[1]CURSOS!$E$18,(+IF($N122=[1]CURSOS!$D$19,[1]CURSOS!$E$19,(+IF($N122=[1]CURSOS!$D$20,[1]CURSOS!$E$20,(+IF($N122=[1]CURSOS!$D$21,[1]CURSOS!$E$21,(+IF($N122=[1]CURSOS!$D$22,[1]CURSOS!$E$22,(+IF($N122=[1]CURSOS!$D$23,[1]CURSOS!$E$23,(+IF($N122=[1]CURSOS!$D$24,[1]CURSOS!$E$24,(+IF($N122=[1]CURSOS!$D$25,[1]CURSOS!$E$25,(+IF($N122=[1]CURSOS!$D$26,[1]CURSOS!$E$26,(+IF($N122=[1]CURSOS!$D$27,[1]CURSOS!$E$27,(+IF($N122=[1]CURSOS!$D$28,[1]CURSOS!$E$28,(+IF($N122=[1]CURSOS!$D$29,[1]CURSOS!$E$29,(+IF($N122=[1]CURSOS!$D$30,[1]CURSOS!$E$30,(+IF($N122=[1]CURSOS!$D$31,[1]CURSOS!$E$31,(+IF($N122=[1]CURSOS!$D$32,[1]CURSOS!$E$32)))))))))))))))))))))))))))))))))))))))))))))))))))))))))))</f>
        <v xml:space="preserve">ATENCION A VICTIMAS DE VIOLENCIA SEXUAL </v>
      </c>
      <c r="T122" s="17" t="str">
        <f t="shared" si="64"/>
        <v>Daisy Johana Rosero Almeida</v>
      </c>
      <c r="U122" s="17" t="str">
        <f t="shared" si="65"/>
        <v>Daisy Johana Rosero Almeida</v>
      </c>
      <c r="V122" s="17" t="str">
        <f t="shared" si="66"/>
        <v>Daisy Johana Rosero Almeida-1085244627-VIOLENCIA SEXUAL</v>
      </c>
    </row>
    <row r="123" spans="1:22" x14ac:dyDescent="0.2">
      <c r="A123" s="17">
        <v>133</v>
      </c>
      <c r="B123" s="17">
        <v>59817144</v>
      </c>
      <c r="C123" s="17" t="s">
        <v>283</v>
      </c>
      <c r="D123" s="17" t="s">
        <v>284</v>
      </c>
      <c r="E123" s="17" t="s">
        <v>272</v>
      </c>
      <c r="F123" s="18" t="s">
        <v>285</v>
      </c>
      <c r="G123" s="17">
        <v>10</v>
      </c>
      <c r="H123" s="17" t="s">
        <v>308</v>
      </c>
      <c r="I123" s="19">
        <v>45343</v>
      </c>
      <c r="J123" s="1">
        <v>25000</v>
      </c>
      <c r="K123" s="17" t="s">
        <v>45</v>
      </c>
      <c r="L123" s="17" t="s">
        <v>222</v>
      </c>
      <c r="M123" s="17" t="s">
        <v>332</v>
      </c>
      <c r="N123" s="17" t="s">
        <v>27</v>
      </c>
      <c r="P123" s="21" t="s">
        <v>42</v>
      </c>
      <c r="S123" s="17" t="str">
        <f>+IF($N123=[1]CURSOS!$D$3,[1]CURSOS!$E$3,(+IF($N123=[1]CURSOS!$D$4,[1]CURSOS!$E$4,(+IF($N123=[1]CURSOS!$D$5,[1]CURSOS!$E$5,(+IF($N123=[1]CURSOS!$D$6,[1]CURSOS!$E$6,(+IF($N123=[1]CURSOS!$D$7,[1]CURSOS!$E$7,(+IF($N123=[1]CURSOS!$D$8,[1]CURSOS!$E$8,(+IF($N123=[1]CURSOS!$D$9,[1]CURSOS!$E$9,(+IF($N123=[1]CURSOS!$D$10,[1]CURSOS!$E$10,(+IF($N123=[1]CURSOS!$D$11,[1]CURSOS!$E$11,(+IF($N123=[1]CURSOS!$D$12,[1]CURSOS!$E$12,(+IF($N123=[1]CURSOS!$D$13,[1]CURSOS!$E$13,(+IF($N123=[1]CURSOS!$D$14,[1]CURSOS!$E$14,(+IF($N123=[1]CURSOS!$D$15,[1]CURSOS!$E$15,(+IF($N123=[1]CURSOS!$D$16,[1]CURSOS!$E$16,(+IF($N123=[1]CURSOS!$D$17,[1]CURSOS!$E$17,(+IF($N123=[1]CURSOS!$D$18,[1]CURSOS!$E$18,(+IF($N123=[1]CURSOS!$D$19,[1]CURSOS!$E$19,(+IF($N123=[1]CURSOS!$D$20,[1]CURSOS!$E$20,(+IF($N123=[1]CURSOS!$D$21,[1]CURSOS!$E$21,(+IF($N123=[1]CURSOS!$D$22,[1]CURSOS!$E$22,(+IF($N123=[1]CURSOS!$D$23,[1]CURSOS!$E$23,(+IF($N123=[1]CURSOS!$D$24,[1]CURSOS!$E$24,(+IF($N123=[1]CURSOS!$D$25,[1]CURSOS!$E$25,(+IF($N123=[1]CURSOS!$D$26,[1]CURSOS!$E$26,(+IF($N123=[1]CURSOS!$D$27,[1]CURSOS!$E$27,(+IF($N123=[1]CURSOS!$D$28,[1]CURSOS!$E$28,(+IF($N123=[1]CURSOS!$D$29,[1]CURSOS!$E$29,(+IF($N123=[1]CURSOS!$D$30,[1]CURSOS!$E$30,(+IF($N123=[1]CURSOS!$D$31,[1]CURSOS!$E$31,(+IF($N123=[1]CURSOS!$D$32,[1]CURSOS!$E$32)))))))))))))))))))))))))))))))))))))))))))))))))))))))))))</f>
        <v xml:space="preserve">ATENCION A VICTIMAS DE VIOLENCIA SEXUAL </v>
      </c>
      <c r="T123" s="17" t="str">
        <f t="shared" si="64"/>
        <v>Angela  Stella Pastaz Estrada</v>
      </c>
      <c r="U123" s="17" t="str">
        <f t="shared" si="65"/>
        <v>Angela  Stella Pastaz Estrada</v>
      </c>
      <c r="V123" s="17" t="str">
        <f t="shared" si="66"/>
        <v>Angela  Stella Pastaz Estrada-59817144-VIOLENCIA SEXUAL</v>
      </c>
    </row>
    <row r="124" spans="1:22" x14ac:dyDescent="0.2">
      <c r="A124" s="17">
        <v>134</v>
      </c>
      <c r="B124" s="17">
        <v>1085249573</v>
      </c>
      <c r="C124" s="17" t="s">
        <v>286</v>
      </c>
      <c r="D124" s="17" t="s">
        <v>51</v>
      </c>
      <c r="E124" s="17" t="s">
        <v>123</v>
      </c>
      <c r="F124" s="18" t="s">
        <v>287</v>
      </c>
      <c r="G124" s="17">
        <v>10</v>
      </c>
      <c r="H124" s="17" t="s">
        <v>308</v>
      </c>
      <c r="I124" s="19">
        <v>45343</v>
      </c>
      <c r="J124" s="1">
        <v>25000</v>
      </c>
      <c r="K124" s="17" t="s">
        <v>45</v>
      </c>
      <c r="L124" s="17" t="s">
        <v>222</v>
      </c>
      <c r="M124" s="17" t="s">
        <v>332</v>
      </c>
      <c r="N124" s="17" t="s">
        <v>27</v>
      </c>
      <c r="P124" s="21" t="s">
        <v>42</v>
      </c>
      <c r="S124" s="17" t="str">
        <f>+IF($N124=[1]CURSOS!$D$3,[1]CURSOS!$E$3,(+IF($N124=[1]CURSOS!$D$4,[1]CURSOS!$E$4,(+IF($N124=[1]CURSOS!$D$5,[1]CURSOS!$E$5,(+IF($N124=[1]CURSOS!$D$6,[1]CURSOS!$E$6,(+IF($N124=[1]CURSOS!$D$7,[1]CURSOS!$E$7,(+IF($N124=[1]CURSOS!$D$8,[1]CURSOS!$E$8,(+IF($N124=[1]CURSOS!$D$9,[1]CURSOS!$E$9,(+IF($N124=[1]CURSOS!$D$10,[1]CURSOS!$E$10,(+IF($N124=[1]CURSOS!$D$11,[1]CURSOS!$E$11,(+IF($N124=[1]CURSOS!$D$12,[1]CURSOS!$E$12,(+IF($N124=[1]CURSOS!$D$13,[1]CURSOS!$E$13,(+IF($N124=[1]CURSOS!$D$14,[1]CURSOS!$E$14,(+IF($N124=[1]CURSOS!$D$15,[1]CURSOS!$E$15,(+IF($N124=[1]CURSOS!$D$16,[1]CURSOS!$E$16,(+IF($N124=[1]CURSOS!$D$17,[1]CURSOS!$E$17,(+IF($N124=[1]CURSOS!$D$18,[1]CURSOS!$E$18,(+IF($N124=[1]CURSOS!$D$19,[1]CURSOS!$E$19,(+IF($N124=[1]CURSOS!$D$20,[1]CURSOS!$E$20,(+IF($N124=[1]CURSOS!$D$21,[1]CURSOS!$E$21,(+IF($N124=[1]CURSOS!$D$22,[1]CURSOS!$E$22,(+IF($N124=[1]CURSOS!$D$23,[1]CURSOS!$E$23,(+IF($N124=[1]CURSOS!$D$24,[1]CURSOS!$E$24,(+IF($N124=[1]CURSOS!$D$25,[1]CURSOS!$E$25,(+IF($N124=[1]CURSOS!$D$26,[1]CURSOS!$E$26,(+IF($N124=[1]CURSOS!$D$27,[1]CURSOS!$E$27,(+IF($N124=[1]CURSOS!$D$28,[1]CURSOS!$E$28,(+IF($N124=[1]CURSOS!$D$29,[1]CURSOS!$E$29,(+IF($N124=[1]CURSOS!$D$30,[1]CURSOS!$E$30,(+IF($N124=[1]CURSOS!$D$31,[1]CURSOS!$E$31,(+IF($N124=[1]CURSOS!$D$32,[1]CURSOS!$E$32)))))))))))))))))))))))))))))))))))))))))))))))))))))))))))</f>
        <v xml:space="preserve">ATENCION A VICTIMAS DE VIOLENCIA SEXUAL </v>
      </c>
      <c r="T124" s="17" t="str">
        <f t="shared" ref="T124:T142" si="67">CONCATENATE(E124," ",F124," ",C124," ",D124)</f>
        <v>Diana Marcela Pabon Obando</v>
      </c>
      <c r="U124" s="17" t="str">
        <f t="shared" ref="U124:U142" si="68">+PROPER(T124)</f>
        <v>Diana Marcela Pabon Obando</v>
      </c>
      <c r="V124" s="17" t="str">
        <f t="shared" ref="V124:V142" si="69">CONCATENATE(T124,"-",B124,"-",N124)</f>
        <v>Diana Marcela Pabon Obando-1085249573-VIOLENCIA SEXUAL</v>
      </c>
    </row>
    <row r="125" spans="1:22" x14ac:dyDescent="0.2">
      <c r="A125" s="17">
        <v>135</v>
      </c>
      <c r="B125" s="17">
        <v>27456132</v>
      </c>
      <c r="C125" s="17" t="s">
        <v>288</v>
      </c>
      <c r="D125" s="17" t="s">
        <v>289</v>
      </c>
      <c r="E125" s="17" t="s">
        <v>290</v>
      </c>
      <c r="F125" s="18" t="s">
        <v>291</v>
      </c>
      <c r="G125" s="17">
        <v>10</v>
      </c>
      <c r="H125" s="17" t="s">
        <v>308</v>
      </c>
      <c r="I125" s="19">
        <v>45343</v>
      </c>
      <c r="J125" s="1">
        <v>25000</v>
      </c>
      <c r="K125" s="17" t="s">
        <v>45</v>
      </c>
      <c r="L125" s="17" t="s">
        <v>222</v>
      </c>
      <c r="M125" s="17" t="s">
        <v>332</v>
      </c>
      <c r="N125" s="17" t="s">
        <v>27</v>
      </c>
      <c r="P125" s="21" t="s">
        <v>42</v>
      </c>
      <c r="S125" s="17" t="str">
        <f>+IF($N125=[1]CURSOS!$D$3,[1]CURSOS!$E$3,(+IF($N125=[1]CURSOS!$D$4,[1]CURSOS!$E$4,(+IF($N125=[1]CURSOS!$D$5,[1]CURSOS!$E$5,(+IF($N125=[1]CURSOS!$D$6,[1]CURSOS!$E$6,(+IF($N125=[1]CURSOS!$D$7,[1]CURSOS!$E$7,(+IF($N125=[1]CURSOS!$D$8,[1]CURSOS!$E$8,(+IF($N125=[1]CURSOS!$D$9,[1]CURSOS!$E$9,(+IF($N125=[1]CURSOS!$D$10,[1]CURSOS!$E$10,(+IF($N125=[1]CURSOS!$D$11,[1]CURSOS!$E$11,(+IF($N125=[1]CURSOS!$D$12,[1]CURSOS!$E$12,(+IF($N125=[1]CURSOS!$D$13,[1]CURSOS!$E$13,(+IF($N125=[1]CURSOS!$D$14,[1]CURSOS!$E$14,(+IF($N125=[1]CURSOS!$D$15,[1]CURSOS!$E$15,(+IF($N125=[1]CURSOS!$D$16,[1]CURSOS!$E$16,(+IF($N125=[1]CURSOS!$D$17,[1]CURSOS!$E$17,(+IF($N125=[1]CURSOS!$D$18,[1]CURSOS!$E$18,(+IF($N125=[1]CURSOS!$D$19,[1]CURSOS!$E$19,(+IF($N125=[1]CURSOS!$D$20,[1]CURSOS!$E$20,(+IF($N125=[1]CURSOS!$D$21,[1]CURSOS!$E$21,(+IF($N125=[1]CURSOS!$D$22,[1]CURSOS!$E$22,(+IF($N125=[1]CURSOS!$D$23,[1]CURSOS!$E$23,(+IF($N125=[1]CURSOS!$D$24,[1]CURSOS!$E$24,(+IF($N125=[1]CURSOS!$D$25,[1]CURSOS!$E$25,(+IF($N125=[1]CURSOS!$D$26,[1]CURSOS!$E$26,(+IF($N125=[1]CURSOS!$D$27,[1]CURSOS!$E$27,(+IF($N125=[1]CURSOS!$D$28,[1]CURSOS!$E$28,(+IF($N125=[1]CURSOS!$D$29,[1]CURSOS!$E$29,(+IF($N125=[1]CURSOS!$D$30,[1]CURSOS!$E$30,(+IF($N125=[1]CURSOS!$D$31,[1]CURSOS!$E$31,(+IF($N125=[1]CURSOS!$D$32,[1]CURSOS!$E$32)))))))))))))))))))))))))))))))))))))))))))))))))))))))))))</f>
        <v xml:space="preserve">ATENCION A VICTIMAS DE VIOLENCIA SEXUAL </v>
      </c>
      <c r="T125" s="17" t="str">
        <f t="shared" si="67"/>
        <v>Aura Nely Chazatar Getial</v>
      </c>
      <c r="U125" s="17" t="str">
        <f t="shared" si="68"/>
        <v>Aura Nely Chazatar Getial</v>
      </c>
      <c r="V125" s="17" t="str">
        <f t="shared" si="69"/>
        <v>Aura Nely Chazatar Getial-27456132-VIOLENCIA SEXUAL</v>
      </c>
    </row>
    <row r="126" spans="1:22" x14ac:dyDescent="0.2">
      <c r="A126" s="17">
        <v>136</v>
      </c>
      <c r="B126" s="17">
        <v>59816807</v>
      </c>
      <c r="C126" s="17" t="s">
        <v>292</v>
      </c>
      <c r="D126" s="17" t="s">
        <v>293</v>
      </c>
      <c r="E126" s="17" t="s">
        <v>294</v>
      </c>
      <c r="F126" s="18" t="s">
        <v>295</v>
      </c>
      <c r="G126" s="17">
        <v>10</v>
      </c>
      <c r="H126" s="17" t="s">
        <v>308</v>
      </c>
      <c r="I126" s="19">
        <v>45343</v>
      </c>
      <c r="J126" s="1">
        <v>25000</v>
      </c>
      <c r="K126" s="17" t="s">
        <v>45</v>
      </c>
      <c r="L126" s="17" t="s">
        <v>222</v>
      </c>
      <c r="M126" s="17" t="s">
        <v>332</v>
      </c>
      <c r="N126" s="17" t="s">
        <v>27</v>
      </c>
      <c r="P126" s="21" t="s">
        <v>42</v>
      </c>
      <c r="S126" s="17" t="str">
        <f>+IF($N126=[1]CURSOS!$D$3,[1]CURSOS!$E$3,(+IF($N126=[1]CURSOS!$D$4,[1]CURSOS!$E$4,(+IF($N126=[1]CURSOS!$D$5,[1]CURSOS!$E$5,(+IF($N126=[1]CURSOS!$D$6,[1]CURSOS!$E$6,(+IF($N126=[1]CURSOS!$D$7,[1]CURSOS!$E$7,(+IF($N126=[1]CURSOS!$D$8,[1]CURSOS!$E$8,(+IF($N126=[1]CURSOS!$D$9,[1]CURSOS!$E$9,(+IF($N126=[1]CURSOS!$D$10,[1]CURSOS!$E$10,(+IF($N126=[1]CURSOS!$D$11,[1]CURSOS!$E$11,(+IF($N126=[1]CURSOS!$D$12,[1]CURSOS!$E$12,(+IF($N126=[1]CURSOS!$D$13,[1]CURSOS!$E$13,(+IF($N126=[1]CURSOS!$D$14,[1]CURSOS!$E$14,(+IF($N126=[1]CURSOS!$D$15,[1]CURSOS!$E$15,(+IF($N126=[1]CURSOS!$D$16,[1]CURSOS!$E$16,(+IF($N126=[1]CURSOS!$D$17,[1]CURSOS!$E$17,(+IF($N126=[1]CURSOS!$D$18,[1]CURSOS!$E$18,(+IF($N126=[1]CURSOS!$D$19,[1]CURSOS!$E$19,(+IF($N126=[1]CURSOS!$D$20,[1]CURSOS!$E$20,(+IF($N126=[1]CURSOS!$D$21,[1]CURSOS!$E$21,(+IF($N126=[1]CURSOS!$D$22,[1]CURSOS!$E$22,(+IF($N126=[1]CURSOS!$D$23,[1]CURSOS!$E$23,(+IF($N126=[1]CURSOS!$D$24,[1]CURSOS!$E$24,(+IF($N126=[1]CURSOS!$D$25,[1]CURSOS!$E$25,(+IF($N126=[1]CURSOS!$D$26,[1]CURSOS!$E$26,(+IF($N126=[1]CURSOS!$D$27,[1]CURSOS!$E$27,(+IF($N126=[1]CURSOS!$D$28,[1]CURSOS!$E$28,(+IF($N126=[1]CURSOS!$D$29,[1]CURSOS!$E$29,(+IF($N126=[1]CURSOS!$D$30,[1]CURSOS!$E$30,(+IF($N126=[1]CURSOS!$D$31,[1]CURSOS!$E$31,(+IF($N126=[1]CURSOS!$D$32,[1]CURSOS!$E$32)))))))))))))))))))))))))))))))))))))))))))))))))))))))))))</f>
        <v xml:space="preserve">ATENCION A VICTIMAS DE VIOLENCIA SEXUAL </v>
      </c>
      <c r="T126" s="17" t="str">
        <f t="shared" si="67"/>
        <v>Liliana Del Socorro Ramirez Suárez</v>
      </c>
      <c r="U126" s="17" t="str">
        <f t="shared" si="68"/>
        <v>Liliana Del Socorro Ramirez Suárez</v>
      </c>
      <c r="V126" s="17" t="str">
        <f t="shared" si="69"/>
        <v>Liliana Del Socorro Ramirez Suárez-59816807-VIOLENCIA SEXUAL</v>
      </c>
    </row>
    <row r="127" spans="1:22" x14ac:dyDescent="0.2">
      <c r="A127" s="17">
        <v>137</v>
      </c>
      <c r="B127" s="17">
        <v>38558508</v>
      </c>
      <c r="C127" s="17" t="s">
        <v>194</v>
      </c>
      <c r="D127" s="17" t="s">
        <v>149</v>
      </c>
      <c r="E127" s="17" t="s">
        <v>53</v>
      </c>
      <c r="F127" s="18" t="s">
        <v>296</v>
      </c>
      <c r="G127" s="17">
        <v>10</v>
      </c>
      <c r="H127" s="17" t="s">
        <v>308</v>
      </c>
      <c r="I127" s="19">
        <v>45343</v>
      </c>
      <c r="J127" s="1">
        <v>25000</v>
      </c>
      <c r="K127" s="17" t="s">
        <v>45</v>
      </c>
      <c r="L127" s="17" t="s">
        <v>222</v>
      </c>
      <c r="M127" s="17" t="s">
        <v>332</v>
      </c>
      <c r="N127" s="17" t="s">
        <v>27</v>
      </c>
      <c r="P127" s="21" t="s">
        <v>42</v>
      </c>
      <c r="S127" s="17" t="str">
        <f>+IF($N127=[1]CURSOS!$D$3,[1]CURSOS!$E$3,(+IF($N127=[1]CURSOS!$D$4,[1]CURSOS!$E$4,(+IF($N127=[1]CURSOS!$D$5,[1]CURSOS!$E$5,(+IF($N127=[1]CURSOS!$D$6,[1]CURSOS!$E$6,(+IF($N127=[1]CURSOS!$D$7,[1]CURSOS!$E$7,(+IF($N127=[1]CURSOS!$D$8,[1]CURSOS!$E$8,(+IF($N127=[1]CURSOS!$D$9,[1]CURSOS!$E$9,(+IF($N127=[1]CURSOS!$D$10,[1]CURSOS!$E$10,(+IF($N127=[1]CURSOS!$D$11,[1]CURSOS!$E$11,(+IF($N127=[1]CURSOS!$D$12,[1]CURSOS!$E$12,(+IF($N127=[1]CURSOS!$D$13,[1]CURSOS!$E$13,(+IF($N127=[1]CURSOS!$D$14,[1]CURSOS!$E$14,(+IF($N127=[1]CURSOS!$D$15,[1]CURSOS!$E$15,(+IF($N127=[1]CURSOS!$D$16,[1]CURSOS!$E$16,(+IF($N127=[1]CURSOS!$D$17,[1]CURSOS!$E$17,(+IF($N127=[1]CURSOS!$D$18,[1]CURSOS!$E$18,(+IF($N127=[1]CURSOS!$D$19,[1]CURSOS!$E$19,(+IF($N127=[1]CURSOS!$D$20,[1]CURSOS!$E$20,(+IF($N127=[1]CURSOS!$D$21,[1]CURSOS!$E$21,(+IF($N127=[1]CURSOS!$D$22,[1]CURSOS!$E$22,(+IF($N127=[1]CURSOS!$D$23,[1]CURSOS!$E$23,(+IF($N127=[1]CURSOS!$D$24,[1]CURSOS!$E$24,(+IF($N127=[1]CURSOS!$D$25,[1]CURSOS!$E$25,(+IF($N127=[1]CURSOS!$D$26,[1]CURSOS!$E$26,(+IF($N127=[1]CURSOS!$D$27,[1]CURSOS!$E$27,(+IF($N127=[1]CURSOS!$D$28,[1]CURSOS!$E$28,(+IF($N127=[1]CURSOS!$D$29,[1]CURSOS!$E$29,(+IF($N127=[1]CURSOS!$D$30,[1]CURSOS!$E$30,(+IF($N127=[1]CURSOS!$D$31,[1]CURSOS!$E$31,(+IF($N127=[1]CURSOS!$D$32,[1]CURSOS!$E$32)))))))))))))))))))))))))))))))))))))))))))))))))))))))))))</f>
        <v xml:space="preserve">ATENCION A VICTIMAS DE VIOLENCIA SEXUAL </v>
      </c>
      <c r="T127" s="17" t="str">
        <f t="shared" si="67"/>
        <v>Maria Antonieta Muñoz Gomez</v>
      </c>
      <c r="U127" s="17" t="str">
        <f t="shared" si="68"/>
        <v>Maria Antonieta Muñoz Gomez</v>
      </c>
      <c r="V127" s="17" t="str">
        <f t="shared" si="69"/>
        <v>Maria Antonieta Muñoz Gomez-38558508-VIOLENCIA SEXUAL</v>
      </c>
    </row>
    <row r="128" spans="1:22" x14ac:dyDescent="0.2">
      <c r="A128" s="17">
        <v>138</v>
      </c>
      <c r="B128" s="17">
        <v>38680426</v>
      </c>
      <c r="C128" s="17" t="s">
        <v>297</v>
      </c>
      <c r="D128" s="17" t="s">
        <v>138</v>
      </c>
      <c r="E128" s="17" t="s">
        <v>298</v>
      </c>
      <c r="F128" s="18" t="s">
        <v>185</v>
      </c>
      <c r="G128" s="17">
        <v>10</v>
      </c>
      <c r="H128" s="17" t="s">
        <v>308</v>
      </c>
      <c r="I128" s="19">
        <v>45343</v>
      </c>
      <c r="J128" s="1">
        <v>25000</v>
      </c>
      <c r="K128" s="17" t="s">
        <v>45</v>
      </c>
      <c r="L128" s="17" t="s">
        <v>222</v>
      </c>
      <c r="M128" s="17" t="s">
        <v>332</v>
      </c>
      <c r="N128" s="17" t="s">
        <v>27</v>
      </c>
      <c r="P128" s="21" t="s">
        <v>42</v>
      </c>
      <c r="S128" s="17" t="str">
        <f>+IF($N128=[1]CURSOS!$D$3,[1]CURSOS!$E$3,(+IF($N128=[1]CURSOS!$D$4,[1]CURSOS!$E$4,(+IF($N128=[1]CURSOS!$D$5,[1]CURSOS!$E$5,(+IF($N128=[1]CURSOS!$D$6,[1]CURSOS!$E$6,(+IF($N128=[1]CURSOS!$D$7,[1]CURSOS!$E$7,(+IF($N128=[1]CURSOS!$D$8,[1]CURSOS!$E$8,(+IF($N128=[1]CURSOS!$D$9,[1]CURSOS!$E$9,(+IF($N128=[1]CURSOS!$D$10,[1]CURSOS!$E$10,(+IF($N128=[1]CURSOS!$D$11,[1]CURSOS!$E$11,(+IF($N128=[1]CURSOS!$D$12,[1]CURSOS!$E$12,(+IF($N128=[1]CURSOS!$D$13,[1]CURSOS!$E$13,(+IF($N128=[1]CURSOS!$D$14,[1]CURSOS!$E$14,(+IF($N128=[1]CURSOS!$D$15,[1]CURSOS!$E$15,(+IF($N128=[1]CURSOS!$D$16,[1]CURSOS!$E$16,(+IF($N128=[1]CURSOS!$D$17,[1]CURSOS!$E$17,(+IF($N128=[1]CURSOS!$D$18,[1]CURSOS!$E$18,(+IF($N128=[1]CURSOS!$D$19,[1]CURSOS!$E$19,(+IF($N128=[1]CURSOS!$D$20,[1]CURSOS!$E$20,(+IF($N128=[1]CURSOS!$D$21,[1]CURSOS!$E$21,(+IF($N128=[1]CURSOS!$D$22,[1]CURSOS!$E$22,(+IF($N128=[1]CURSOS!$D$23,[1]CURSOS!$E$23,(+IF($N128=[1]CURSOS!$D$24,[1]CURSOS!$E$24,(+IF($N128=[1]CURSOS!$D$25,[1]CURSOS!$E$25,(+IF($N128=[1]CURSOS!$D$26,[1]CURSOS!$E$26,(+IF($N128=[1]CURSOS!$D$27,[1]CURSOS!$E$27,(+IF($N128=[1]CURSOS!$D$28,[1]CURSOS!$E$28,(+IF($N128=[1]CURSOS!$D$29,[1]CURSOS!$E$29,(+IF($N128=[1]CURSOS!$D$30,[1]CURSOS!$E$30,(+IF($N128=[1]CURSOS!$D$31,[1]CURSOS!$E$31,(+IF($N128=[1]CURSOS!$D$32,[1]CURSOS!$E$32)))))))))))))))))))))))))))))))))))))))))))))))))))))))))))</f>
        <v xml:space="preserve">ATENCION A VICTIMAS DE VIOLENCIA SEXUAL </v>
      </c>
      <c r="T128" s="17" t="str">
        <f t="shared" si="67"/>
        <v>Derly Yamile Quenan Lopez</v>
      </c>
      <c r="U128" s="17" t="str">
        <f t="shared" si="68"/>
        <v>Derly Yamile Quenan Lopez</v>
      </c>
      <c r="V128" s="17" t="str">
        <f t="shared" si="69"/>
        <v>Derly Yamile Quenan Lopez-38680426-VIOLENCIA SEXUAL</v>
      </c>
    </row>
    <row r="129" spans="1:22" x14ac:dyDescent="0.2">
      <c r="A129" s="17">
        <v>139</v>
      </c>
      <c r="B129" s="17">
        <v>59836213</v>
      </c>
      <c r="C129" s="17" t="s">
        <v>299</v>
      </c>
      <c r="D129" s="17" t="s">
        <v>300</v>
      </c>
      <c r="E129" s="17" t="s">
        <v>53</v>
      </c>
      <c r="F129" s="18" t="s">
        <v>301</v>
      </c>
      <c r="G129" s="17">
        <v>10</v>
      </c>
      <c r="H129" s="17" t="s">
        <v>308</v>
      </c>
      <c r="I129" s="19">
        <v>45343</v>
      </c>
      <c r="J129" s="1">
        <v>25000</v>
      </c>
      <c r="K129" s="17" t="s">
        <v>45</v>
      </c>
      <c r="L129" s="17" t="s">
        <v>222</v>
      </c>
      <c r="M129" s="17" t="s">
        <v>332</v>
      </c>
      <c r="N129" s="17" t="s">
        <v>27</v>
      </c>
      <c r="P129" s="21" t="s">
        <v>42</v>
      </c>
      <c r="S129" s="17" t="str">
        <f>+IF($N129=[1]CURSOS!$D$3,[1]CURSOS!$E$3,(+IF($N129=[1]CURSOS!$D$4,[1]CURSOS!$E$4,(+IF($N129=[1]CURSOS!$D$5,[1]CURSOS!$E$5,(+IF($N129=[1]CURSOS!$D$6,[1]CURSOS!$E$6,(+IF($N129=[1]CURSOS!$D$7,[1]CURSOS!$E$7,(+IF($N129=[1]CURSOS!$D$8,[1]CURSOS!$E$8,(+IF($N129=[1]CURSOS!$D$9,[1]CURSOS!$E$9,(+IF($N129=[1]CURSOS!$D$10,[1]CURSOS!$E$10,(+IF($N129=[1]CURSOS!$D$11,[1]CURSOS!$E$11,(+IF($N129=[1]CURSOS!$D$12,[1]CURSOS!$E$12,(+IF($N129=[1]CURSOS!$D$13,[1]CURSOS!$E$13,(+IF($N129=[1]CURSOS!$D$14,[1]CURSOS!$E$14,(+IF($N129=[1]CURSOS!$D$15,[1]CURSOS!$E$15,(+IF($N129=[1]CURSOS!$D$16,[1]CURSOS!$E$16,(+IF($N129=[1]CURSOS!$D$17,[1]CURSOS!$E$17,(+IF($N129=[1]CURSOS!$D$18,[1]CURSOS!$E$18,(+IF($N129=[1]CURSOS!$D$19,[1]CURSOS!$E$19,(+IF($N129=[1]CURSOS!$D$20,[1]CURSOS!$E$20,(+IF($N129=[1]CURSOS!$D$21,[1]CURSOS!$E$21,(+IF($N129=[1]CURSOS!$D$22,[1]CURSOS!$E$22,(+IF($N129=[1]CURSOS!$D$23,[1]CURSOS!$E$23,(+IF($N129=[1]CURSOS!$D$24,[1]CURSOS!$E$24,(+IF($N129=[1]CURSOS!$D$25,[1]CURSOS!$E$25,(+IF($N129=[1]CURSOS!$D$26,[1]CURSOS!$E$26,(+IF($N129=[1]CURSOS!$D$27,[1]CURSOS!$E$27,(+IF($N129=[1]CURSOS!$D$28,[1]CURSOS!$E$28,(+IF($N129=[1]CURSOS!$D$29,[1]CURSOS!$E$29,(+IF($N129=[1]CURSOS!$D$30,[1]CURSOS!$E$30,(+IF($N129=[1]CURSOS!$D$31,[1]CURSOS!$E$31,(+IF($N129=[1]CURSOS!$D$32,[1]CURSOS!$E$32)))))))))))))))))))))))))))))))))))))))))))))))))))))))))))</f>
        <v xml:space="preserve">ATENCION A VICTIMAS DE VIOLENCIA SEXUAL </v>
      </c>
      <c r="T129" s="17" t="str">
        <f t="shared" si="67"/>
        <v>Maria Cristina Calvache Romero</v>
      </c>
      <c r="U129" s="17" t="str">
        <f t="shared" si="68"/>
        <v>Maria Cristina Calvache Romero</v>
      </c>
      <c r="V129" s="17" t="str">
        <f t="shared" si="69"/>
        <v>Maria Cristina Calvache Romero-59836213-VIOLENCIA SEXUAL</v>
      </c>
    </row>
    <row r="130" spans="1:22" x14ac:dyDescent="0.2">
      <c r="A130" s="17">
        <v>140</v>
      </c>
      <c r="B130" s="17">
        <v>1085277525</v>
      </c>
      <c r="C130" s="17" t="s">
        <v>302</v>
      </c>
      <c r="D130" s="17" t="s">
        <v>216</v>
      </c>
      <c r="E130" s="17" t="s">
        <v>303</v>
      </c>
      <c r="F130" s="18" t="s">
        <v>304</v>
      </c>
      <c r="G130" s="17">
        <v>10</v>
      </c>
      <c r="H130" s="17" t="s">
        <v>308</v>
      </c>
      <c r="I130" s="19">
        <v>45343</v>
      </c>
      <c r="J130" s="1">
        <v>25000</v>
      </c>
      <c r="K130" s="17" t="s">
        <v>45</v>
      </c>
      <c r="L130" s="17" t="s">
        <v>222</v>
      </c>
      <c r="M130" s="17" t="s">
        <v>332</v>
      </c>
      <c r="N130" s="17" t="s">
        <v>27</v>
      </c>
      <c r="P130" s="21" t="s">
        <v>42</v>
      </c>
      <c r="S130" s="17" t="str">
        <f>+IF($N130=[1]CURSOS!$D$3,[1]CURSOS!$E$3,(+IF($N130=[1]CURSOS!$D$4,[1]CURSOS!$E$4,(+IF($N130=[1]CURSOS!$D$5,[1]CURSOS!$E$5,(+IF($N130=[1]CURSOS!$D$6,[1]CURSOS!$E$6,(+IF($N130=[1]CURSOS!$D$7,[1]CURSOS!$E$7,(+IF($N130=[1]CURSOS!$D$8,[1]CURSOS!$E$8,(+IF($N130=[1]CURSOS!$D$9,[1]CURSOS!$E$9,(+IF($N130=[1]CURSOS!$D$10,[1]CURSOS!$E$10,(+IF($N130=[1]CURSOS!$D$11,[1]CURSOS!$E$11,(+IF($N130=[1]CURSOS!$D$12,[1]CURSOS!$E$12,(+IF($N130=[1]CURSOS!$D$13,[1]CURSOS!$E$13,(+IF($N130=[1]CURSOS!$D$14,[1]CURSOS!$E$14,(+IF($N130=[1]CURSOS!$D$15,[1]CURSOS!$E$15,(+IF($N130=[1]CURSOS!$D$16,[1]CURSOS!$E$16,(+IF($N130=[1]CURSOS!$D$17,[1]CURSOS!$E$17,(+IF($N130=[1]CURSOS!$D$18,[1]CURSOS!$E$18,(+IF($N130=[1]CURSOS!$D$19,[1]CURSOS!$E$19,(+IF($N130=[1]CURSOS!$D$20,[1]CURSOS!$E$20,(+IF($N130=[1]CURSOS!$D$21,[1]CURSOS!$E$21,(+IF($N130=[1]CURSOS!$D$22,[1]CURSOS!$E$22,(+IF($N130=[1]CURSOS!$D$23,[1]CURSOS!$E$23,(+IF($N130=[1]CURSOS!$D$24,[1]CURSOS!$E$24,(+IF($N130=[1]CURSOS!$D$25,[1]CURSOS!$E$25,(+IF($N130=[1]CURSOS!$D$26,[1]CURSOS!$E$26,(+IF($N130=[1]CURSOS!$D$27,[1]CURSOS!$E$27,(+IF($N130=[1]CURSOS!$D$28,[1]CURSOS!$E$28,(+IF($N130=[1]CURSOS!$D$29,[1]CURSOS!$E$29,(+IF($N130=[1]CURSOS!$D$30,[1]CURSOS!$E$30,(+IF($N130=[1]CURSOS!$D$31,[1]CURSOS!$E$31,(+IF($N130=[1]CURSOS!$D$32,[1]CURSOS!$E$32)))))))))))))))))))))))))))))))))))))))))))))))))))))))))))</f>
        <v xml:space="preserve">ATENCION A VICTIMAS DE VIOLENCIA SEXUAL </v>
      </c>
      <c r="T130" s="17" t="str">
        <f t="shared" si="67"/>
        <v>Jeimy Dayan Potosi Villareal</v>
      </c>
      <c r="U130" s="17" t="str">
        <f t="shared" si="68"/>
        <v>Jeimy Dayan Potosi Villareal</v>
      </c>
      <c r="V130" s="17" t="str">
        <f t="shared" si="69"/>
        <v>Jeimy Dayan Potosi Villareal-1085277525-VIOLENCIA SEXUAL</v>
      </c>
    </row>
    <row r="131" spans="1:22" x14ac:dyDescent="0.2">
      <c r="A131" s="17">
        <v>141</v>
      </c>
      <c r="B131" s="17">
        <v>36953804</v>
      </c>
      <c r="C131" s="17" t="s">
        <v>305</v>
      </c>
      <c r="D131" s="17" t="s">
        <v>144</v>
      </c>
      <c r="E131" s="17" t="s">
        <v>306</v>
      </c>
      <c r="F131" s="18" t="s">
        <v>307</v>
      </c>
      <c r="G131" s="17">
        <v>10</v>
      </c>
      <c r="H131" s="17" t="s">
        <v>308</v>
      </c>
      <c r="I131" s="19">
        <v>45343</v>
      </c>
      <c r="J131" s="1">
        <v>25000</v>
      </c>
      <c r="K131" s="17" t="s">
        <v>45</v>
      </c>
      <c r="L131" s="17" t="s">
        <v>222</v>
      </c>
      <c r="M131" s="17" t="s">
        <v>332</v>
      </c>
      <c r="N131" s="17" t="s">
        <v>27</v>
      </c>
      <c r="P131" s="21" t="s">
        <v>42</v>
      </c>
      <c r="S131" s="17" t="str">
        <f>+IF($N131=[1]CURSOS!$D$3,[1]CURSOS!$E$3,(+IF($N131=[1]CURSOS!$D$4,[1]CURSOS!$E$4,(+IF($N131=[1]CURSOS!$D$5,[1]CURSOS!$E$5,(+IF($N131=[1]CURSOS!$D$6,[1]CURSOS!$E$6,(+IF($N131=[1]CURSOS!$D$7,[1]CURSOS!$E$7,(+IF($N131=[1]CURSOS!$D$8,[1]CURSOS!$E$8,(+IF($N131=[1]CURSOS!$D$9,[1]CURSOS!$E$9,(+IF($N131=[1]CURSOS!$D$10,[1]CURSOS!$E$10,(+IF($N131=[1]CURSOS!$D$11,[1]CURSOS!$E$11,(+IF($N131=[1]CURSOS!$D$12,[1]CURSOS!$E$12,(+IF($N131=[1]CURSOS!$D$13,[1]CURSOS!$E$13,(+IF($N131=[1]CURSOS!$D$14,[1]CURSOS!$E$14,(+IF($N131=[1]CURSOS!$D$15,[1]CURSOS!$E$15,(+IF($N131=[1]CURSOS!$D$16,[1]CURSOS!$E$16,(+IF($N131=[1]CURSOS!$D$17,[1]CURSOS!$E$17,(+IF($N131=[1]CURSOS!$D$18,[1]CURSOS!$E$18,(+IF($N131=[1]CURSOS!$D$19,[1]CURSOS!$E$19,(+IF($N131=[1]CURSOS!$D$20,[1]CURSOS!$E$20,(+IF($N131=[1]CURSOS!$D$21,[1]CURSOS!$E$21,(+IF($N131=[1]CURSOS!$D$22,[1]CURSOS!$E$22,(+IF($N131=[1]CURSOS!$D$23,[1]CURSOS!$E$23,(+IF($N131=[1]CURSOS!$D$24,[1]CURSOS!$E$24,(+IF($N131=[1]CURSOS!$D$25,[1]CURSOS!$E$25,(+IF($N131=[1]CURSOS!$D$26,[1]CURSOS!$E$26,(+IF($N131=[1]CURSOS!$D$27,[1]CURSOS!$E$27,(+IF($N131=[1]CURSOS!$D$28,[1]CURSOS!$E$28,(+IF($N131=[1]CURSOS!$D$29,[1]CURSOS!$E$29,(+IF($N131=[1]CURSOS!$D$30,[1]CURSOS!$E$30,(+IF($N131=[1]CURSOS!$D$31,[1]CURSOS!$E$31,(+IF($N131=[1]CURSOS!$D$32,[1]CURSOS!$E$32)))))))))))))))))))))))))))))))))))))))))))))))))))))))))))</f>
        <v xml:space="preserve">ATENCION A VICTIMAS DE VIOLENCIA SEXUAL </v>
      </c>
      <c r="T131" s="17" t="str">
        <f t="shared" si="67"/>
        <v>Natalia Carolina Velasco Paz</v>
      </c>
      <c r="U131" s="17" t="str">
        <f t="shared" si="68"/>
        <v>Natalia Carolina Velasco Paz</v>
      </c>
      <c r="V131" s="17" t="str">
        <f t="shared" si="69"/>
        <v>Natalia Carolina Velasco Paz-36953804-VIOLENCIA SEXUAL</v>
      </c>
    </row>
    <row r="132" spans="1:22" x14ac:dyDescent="0.2">
      <c r="A132" s="17">
        <v>142</v>
      </c>
      <c r="B132" s="17">
        <v>59310722</v>
      </c>
      <c r="C132" s="17" t="s">
        <v>309</v>
      </c>
      <c r="D132" s="17" t="s">
        <v>134</v>
      </c>
      <c r="E132" s="17" t="s">
        <v>310</v>
      </c>
      <c r="F132" s="18" t="s">
        <v>241</v>
      </c>
      <c r="G132" s="17">
        <v>17</v>
      </c>
      <c r="H132" s="17" t="s">
        <v>63</v>
      </c>
      <c r="J132" s="1">
        <v>20000</v>
      </c>
      <c r="L132" s="17" t="s">
        <v>222</v>
      </c>
      <c r="M132" s="17" t="s">
        <v>210</v>
      </c>
      <c r="N132" s="17" t="s">
        <v>34</v>
      </c>
      <c r="P132" s="21" t="s">
        <v>42</v>
      </c>
      <c r="S132" s="17" t="str">
        <f>+IF($N132=[1]CURSOS!$D$3,[1]CURSOS!$E$3,(+IF($N132=[1]CURSOS!$D$4,[1]CURSOS!$E$4,(+IF($N132=[1]CURSOS!$D$5,[1]CURSOS!$E$5,(+IF($N132=[1]CURSOS!$D$6,[1]CURSOS!$E$6,(+IF($N132=[1]CURSOS!$D$7,[1]CURSOS!$E$7,(+IF($N132=[1]CURSOS!$D$8,[1]CURSOS!$E$8,(+IF($N132=[1]CURSOS!$D$9,[1]CURSOS!$E$9,(+IF($N132=[1]CURSOS!$D$10,[1]CURSOS!$E$10,(+IF($N132=[1]CURSOS!$D$11,[1]CURSOS!$E$11,(+IF($N132=[1]CURSOS!$D$12,[1]CURSOS!$E$12,(+IF($N132=[1]CURSOS!$D$13,[1]CURSOS!$E$13,(+IF($N132=[1]CURSOS!$D$14,[1]CURSOS!$E$14,(+IF($N132=[1]CURSOS!$D$15,[1]CURSOS!$E$15,(+IF($N132=[1]CURSOS!$D$16,[1]CURSOS!$E$16,(+IF($N132=[1]CURSOS!$D$17,[1]CURSOS!$E$17,(+IF($N132=[1]CURSOS!$D$18,[1]CURSOS!$E$18,(+IF($N132=[1]CURSOS!$D$19,[1]CURSOS!$E$19,(+IF($N132=[1]CURSOS!$D$20,[1]CURSOS!$E$20,(+IF($N132=[1]CURSOS!$D$21,[1]CURSOS!$E$21,(+IF($N132=[1]CURSOS!$D$22,[1]CURSOS!$E$22,(+IF($N132=[1]CURSOS!$D$23,[1]CURSOS!$E$23,(+IF($N132=[1]CURSOS!$D$24,[1]CURSOS!$E$24,(+IF($N132=[1]CURSOS!$D$25,[1]CURSOS!$E$25,(+IF($N132=[1]CURSOS!$D$26,[1]CURSOS!$E$26,(+IF($N132=[1]CURSOS!$D$27,[1]CURSOS!$E$27,(+IF($N132=[1]CURSOS!$D$28,[1]CURSOS!$E$28,(+IF($N132=[1]CURSOS!$D$29,[1]CURSOS!$E$29,(+IF($N132=[1]CURSOS!$D$30,[1]CURSOS!$E$30,(+IF($N132=[1]CURSOS!$D$31,[1]CURSOS!$E$31,(+IF($N132=[1]CURSOS!$D$32,[1]CURSOS!$E$32)))))))))))))))))))))))))))))))))))))))))))))))))))))))))))</f>
        <v>MANEJO DEL DOLOR Y CUIDADOS PALIATIVOS</v>
      </c>
      <c r="T132" s="17" t="str">
        <f t="shared" si="67"/>
        <v>Luz Adriana Guaques Criollo</v>
      </c>
      <c r="U132" s="17" t="str">
        <f t="shared" si="68"/>
        <v>Luz Adriana Guaques Criollo</v>
      </c>
      <c r="V132" s="17" t="str">
        <f t="shared" si="69"/>
        <v>Luz Adriana Guaques Criollo-59310722-PALIATIVOS</v>
      </c>
    </row>
    <row r="133" spans="1:22" x14ac:dyDescent="0.2">
      <c r="A133" s="17">
        <v>143</v>
      </c>
      <c r="B133" s="17">
        <v>59310722</v>
      </c>
      <c r="C133" s="17" t="s">
        <v>309</v>
      </c>
      <c r="D133" s="17" t="s">
        <v>134</v>
      </c>
      <c r="E133" s="17" t="s">
        <v>310</v>
      </c>
      <c r="F133" s="18" t="s">
        <v>241</v>
      </c>
      <c r="G133" s="17">
        <v>17</v>
      </c>
      <c r="H133" s="17" t="s">
        <v>63</v>
      </c>
      <c r="J133" s="1">
        <v>20000</v>
      </c>
      <c r="L133" s="17" t="s">
        <v>222</v>
      </c>
      <c r="M133" s="17" t="s">
        <v>210</v>
      </c>
      <c r="N133" s="17" t="s">
        <v>20</v>
      </c>
      <c r="P133" s="21" t="s">
        <v>42</v>
      </c>
      <c r="S133" s="17" t="str">
        <f>+IF($N133=[1]CURSOS!$D$3,[1]CURSOS!$E$3,(+IF($N133=[1]CURSOS!$D$4,[1]CURSOS!$E$4,(+IF($N133=[1]CURSOS!$D$5,[1]CURSOS!$E$5,(+IF($N133=[1]CURSOS!$D$6,[1]CURSOS!$E$6,(+IF($N133=[1]CURSOS!$D$7,[1]CURSOS!$E$7,(+IF($N133=[1]CURSOS!$D$8,[1]CURSOS!$E$8,(+IF($N133=[1]CURSOS!$D$9,[1]CURSOS!$E$9,(+IF($N133=[1]CURSOS!$D$10,[1]CURSOS!$E$10,(+IF($N133=[1]CURSOS!$D$11,[1]CURSOS!$E$11,(+IF($N133=[1]CURSOS!$D$12,[1]CURSOS!$E$12,(+IF($N133=[1]CURSOS!$D$13,[1]CURSOS!$E$13,(+IF($N133=[1]CURSOS!$D$14,[1]CURSOS!$E$14,(+IF($N133=[1]CURSOS!$D$15,[1]CURSOS!$E$15,(+IF($N133=[1]CURSOS!$D$16,[1]CURSOS!$E$16,(+IF($N133=[1]CURSOS!$D$17,[1]CURSOS!$E$17,(+IF($N133=[1]CURSOS!$D$18,[1]CURSOS!$E$18,(+IF($N133=[1]CURSOS!$D$19,[1]CURSOS!$E$19,(+IF($N133=[1]CURSOS!$D$20,[1]CURSOS!$E$20,(+IF($N133=[1]CURSOS!$D$21,[1]CURSOS!$E$21,(+IF($N133=[1]CURSOS!$D$22,[1]CURSOS!$E$22,(+IF($N133=[1]CURSOS!$D$23,[1]CURSOS!$E$23,(+IF($N133=[1]CURSOS!$D$24,[1]CURSOS!$E$24,(+IF($N133=[1]CURSOS!$D$25,[1]CURSOS!$E$25,(+IF($N133=[1]CURSOS!$D$26,[1]CURSOS!$E$26,(+IF($N133=[1]CURSOS!$D$27,[1]CURSOS!$E$27,(+IF($N133=[1]CURSOS!$D$28,[1]CURSOS!$E$28,(+IF($N133=[1]CURSOS!$D$29,[1]CURSOS!$E$29,(+IF($N133=[1]CURSOS!$D$30,[1]CURSOS!$E$30,(+IF($N133=[1]CURSOS!$D$31,[1]CURSOS!$E$31,(+IF($N133=[1]CURSOS!$D$32,[1]CURSOS!$E$32)))))))))))))))))))))))))))))))))))))))))))))))))))))))))))</f>
        <v>ACOMPAÑAMIENTO Y MANEJO DEL DUELO</v>
      </c>
      <c r="T133" s="17" t="str">
        <f t="shared" si="67"/>
        <v>Luz Adriana Guaques Criollo</v>
      </c>
      <c r="U133" s="17" t="str">
        <f t="shared" si="68"/>
        <v>Luz Adriana Guaques Criollo</v>
      </c>
      <c r="V133" s="17" t="str">
        <f t="shared" si="69"/>
        <v>Luz Adriana Guaques Criollo-59310722-DUELO</v>
      </c>
    </row>
    <row r="134" spans="1:22" x14ac:dyDescent="0.2">
      <c r="A134" s="17">
        <v>144</v>
      </c>
      <c r="B134" s="17">
        <v>59310722</v>
      </c>
      <c r="C134" s="17" t="s">
        <v>309</v>
      </c>
      <c r="D134" s="17" t="s">
        <v>134</v>
      </c>
      <c r="E134" s="17" t="s">
        <v>310</v>
      </c>
      <c r="F134" s="18" t="s">
        <v>241</v>
      </c>
      <c r="G134" s="17">
        <v>17</v>
      </c>
      <c r="H134" s="17" t="s">
        <v>63</v>
      </c>
      <c r="J134" s="1">
        <v>20000</v>
      </c>
      <c r="L134" s="17" t="s">
        <v>222</v>
      </c>
      <c r="M134" s="17" t="s">
        <v>210</v>
      </c>
      <c r="N134" s="17" t="s">
        <v>27</v>
      </c>
      <c r="P134" s="21" t="s">
        <v>42</v>
      </c>
      <c r="S134" s="17" t="str">
        <f>+IF($N134=[1]CURSOS!$D$3,[1]CURSOS!$E$3,(+IF($N134=[1]CURSOS!$D$4,[1]CURSOS!$E$4,(+IF($N134=[1]CURSOS!$D$5,[1]CURSOS!$E$5,(+IF($N134=[1]CURSOS!$D$6,[1]CURSOS!$E$6,(+IF($N134=[1]CURSOS!$D$7,[1]CURSOS!$E$7,(+IF($N134=[1]CURSOS!$D$8,[1]CURSOS!$E$8,(+IF($N134=[1]CURSOS!$D$9,[1]CURSOS!$E$9,(+IF($N134=[1]CURSOS!$D$10,[1]CURSOS!$E$10,(+IF($N134=[1]CURSOS!$D$11,[1]CURSOS!$E$11,(+IF($N134=[1]CURSOS!$D$12,[1]CURSOS!$E$12,(+IF($N134=[1]CURSOS!$D$13,[1]CURSOS!$E$13,(+IF($N134=[1]CURSOS!$D$14,[1]CURSOS!$E$14,(+IF($N134=[1]CURSOS!$D$15,[1]CURSOS!$E$15,(+IF($N134=[1]CURSOS!$D$16,[1]CURSOS!$E$16,(+IF($N134=[1]CURSOS!$D$17,[1]CURSOS!$E$17,(+IF($N134=[1]CURSOS!$D$18,[1]CURSOS!$E$18,(+IF($N134=[1]CURSOS!$D$19,[1]CURSOS!$E$19,(+IF($N134=[1]CURSOS!$D$20,[1]CURSOS!$E$20,(+IF($N134=[1]CURSOS!$D$21,[1]CURSOS!$E$21,(+IF($N134=[1]CURSOS!$D$22,[1]CURSOS!$E$22,(+IF($N134=[1]CURSOS!$D$23,[1]CURSOS!$E$23,(+IF($N134=[1]CURSOS!$D$24,[1]CURSOS!$E$24,(+IF($N134=[1]CURSOS!$D$25,[1]CURSOS!$E$25,(+IF($N134=[1]CURSOS!$D$26,[1]CURSOS!$E$26,(+IF($N134=[1]CURSOS!$D$27,[1]CURSOS!$E$27,(+IF($N134=[1]CURSOS!$D$28,[1]CURSOS!$E$28,(+IF($N134=[1]CURSOS!$D$29,[1]CURSOS!$E$29,(+IF($N134=[1]CURSOS!$D$30,[1]CURSOS!$E$30,(+IF($N134=[1]CURSOS!$D$31,[1]CURSOS!$E$31,(+IF($N134=[1]CURSOS!$D$32,[1]CURSOS!$E$32)))))))))))))))))))))))))))))))))))))))))))))))))))))))))))</f>
        <v xml:space="preserve">ATENCION A VICTIMAS DE VIOLENCIA SEXUAL </v>
      </c>
      <c r="T134" s="17" t="str">
        <f t="shared" si="67"/>
        <v>Luz Adriana Guaques Criollo</v>
      </c>
      <c r="U134" s="17" t="str">
        <f t="shared" si="68"/>
        <v>Luz Adriana Guaques Criollo</v>
      </c>
      <c r="V134" s="17" t="str">
        <f t="shared" si="69"/>
        <v>Luz Adriana Guaques Criollo-59310722-VIOLENCIA SEXUAL</v>
      </c>
    </row>
    <row r="135" spans="1:22" x14ac:dyDescent="0.2">
      <c r="A135" s="17">
        <v>145</v>
      </c>
      <c r="B135" s="17">
        <v>59834757</v>
      </c>
      <c r="C135" s="17" t="s">
        <v>311</v>
      </c>
      <c r="D135" s="17" t="s">
        <v>124</v>
      </c>
      <c r="E135" s="17" t="s">
        <v>55</v>
      </c>
      <c r="F135" s="18" t="s">
        <v>312</v>
      </c>
      <c r="G135" s="17">
        <v>17</v>
      </c>
      <c r="H135" s="17" t="s">
        <v>63</v>
      </c>
      <c r="J135" s="1">
        <v>20000</v>
      </c>
      <c r="L135" s="17" t="s">
        <v>222</v>
      </c>
      <c r="M135" s="17" t="s">
        <v>210</v>
      </c>
      <c r="N135" s="17" t="s">
        <v>20</v>
      </c>
      <c r="P135" s="21" t="s">
        <v>42</v>
      </c>
      <c r="S135" s="17" t="str">
        <f>+IF($N135=[1]CURSOS!$D$3,[1]CURSOS!$E$3,(+IF($N135=[1]CURSOS!$D$4,[1]CURSOS!$E$4,(+IF($N135=[1]CURSOS!$D$5,[1]CURSOS!$E$5,(+IF($N135=[1]CURSOS!$D$6,[1]CURSOS!$E$6,(+IF($N135=[1]CURSOS!$D$7,[1]CURSOS!$E$7,(+IF($N135=[1]CURSOS!$D$8,[1]CURSOS!$E$8,(+IF($N135=[1]CURSOS!$D$9,[1]CURSOS!$E$9,(+IF($N135=[1]CURSOS!$D$10,[1]CURSOS!$E$10,(+IF($N135=[1]CURSOS!$D$11,[1]CURSOS!$E$11,(+IF($N135=[1]CURSOS!$D$12,[1]CURSOS!$E$12,(+IF($N135=[1]CURSOS!$D$13,[1]CURSOS!$E$13,(+IF($N135=[1]CURSOS!$D$14,[1]CURSOS!$E$14,(+IF($N135=[1]CURSOS!$D$15,[1]CURSOS!$E$15,(+IF($N135=[1]CURSOS!$D$16,[1]CURSOS!$E$16,(+IF($N135=[1]CURSOS!$D$17,[1]CURSOS!$E$17,(+IF($N135=[1]CURSOS!$D$18,[1]CURSOS!$E$18,(+IF($N135=[1]CURSOS!$D$19,[1]CURSOS!$E$19,(+IF($N135=[1]CURSOS!$D$20,[1]CURSOS!$E$20,(+IF($N135=[1]CURSOS!$D$21,[1]CURSOS!$E$21,(+IF($N135=[1]CURSOS!$D$22,[1]CURSOS!$E$22,(+IF($N135=[1]CURSOS!$D$23,[1]CURSOS!$E$23,(+IF($N135=[1]CURSOS!$D$24,[1]CURSOS!$E$24,(+IF($N135=[1]CURSOS!$D$25,[1]CURSOS!$E$25,(+IF($N135=[1]CURSOS!$D$26,[1]CURSOS!$E$26,(+IF($N135=[1]CURSOS!$D$27,[1]CURSOS!$E$27,(+IF($N135=[1]CURSOS!$D$28,[1]CURSOS!$E$28,(+IF($N135=[1]CURSOS!$D$29,[1]CURSOS!$E$29,(+IF($N135=[1]CURSOS!$D$30,[1]CURSOS!$E$30,(+IF($N135=[1]CURSOS!$D$31,[1]CURSOS!$E$31,(+IF($N135=[1]CURSOS!$D$32,[1]CURSOS!$E$32)))))))))))))))))))))))))))))))))))))))))))))))))))))))))))</f>
        <v>ACOMPAÑAMIENTO Y MANEJO DEL DUELO</v>
      </c>
      <c r="T135" s="17" t="str">
        <f t="shared" si="67"/>
        <v>Andrea Bibiana Escobar Ceron</v>
      </c>
      <c r="U135" s="17" t="str">
        <f t="shared" si="68"/>
        <v>Andrea Bibiana Escobar Ceron</v>
      </c>
      <c r="V135" s="17" t="str">
        <f t="shared" si="69"/>
        <v>Andrea Bibiana Escobar Ceron-59834757-DUELO</v>
      </c>
    </row>
    <row r="136" spans="1:22" x14ac:dyDescent="0.2">
      <c r="A136" s="17">
        <v>146</v>
      </c>
      <c r="B136" s="17">
        <v>1085284701</v>
      </c>
      <c r="C136" s="17" t="s">
        <v>313</v>
      </c>
      <c r="E136" s="17" t="s">
        <v>173</v>
      </c>
      <c r="F136" s="18" t="s">
        <v>314</v>
      </c>
      <c r="G136" s="17">
        <v>17</v>
      </c>
      <c r="H136" s="17" t="s">
        <v>63</v>
      </c>
      <c r="J136" s="1">
        <v>20000</v>
      </c>
      <c r="L136" s="17" t="s">
        <v>222</v>
      </c>
      <c r="M136" s="17" t="s">
        <v>210</v>
      </c>
      <c r="N136" s="17" t="s">
        <v>20</v>
      </c>
      <c r="P136" s="21" t="s">
        <v>42</v>
      </c>
      <c r="S136" s="17" t="str">
        <f>+IF($N136=[1]CURSOS!$D$3,[1]CURSOS!$E$3,(+IF($N136=[1]CURSOS!$D$4,[1]CURSOS!$E$4,(+IF($N136=[1]CURSOS!$D$5,[1]CURSOS!$E$5,(+IF($N136=[1]CURSOS!$D$6,[1]CURSOS!$E$6,(+IF($N136=[1]CURSOS!$D$7,[1]CURSOS!$E$7,(+IF($N136=[1]CURSOS!$D$8,[1]CURSOS!$E$8,(+IF($N136=[1]CURSOS!$D$9,[1]CURSOS!$E$9,(+IF($N136=[1]CURSOS!$D$10,[1]CURSOS!$E$10,(+IF($N136=[1]CURSOS!$D$11,[1]CURSOS!$E$11,(+IF($N136=[1]CURSOS!$D$12,[1]CURSOS!$E$12,(+IF($N136=[1]CURSOS!$D$13,[1]CURSOS!$E$13,(+IF($N136=[1]CURSOS!$D$14,[1]CURSOS!$E$14,(+IF($N136=[1]CURSOS!$D$15,[1]CURSOS!$E$15,(+IF($N136=[1]CURSOS!$D$16,[1]CURSOS!$E$16,(+IF($N136=[1]CURSOS!$D$17,[1]CURSOS!$E$17,(+IF($N136=[1]CURSOS!$D$18,[1]CURSOS!$E$18,(+IF($N136=[1]CURSOS!$D$19,[1]CURSOS!$E$19,(+IF($N136=[1]CURSOS!$D$20,[1]CURSOS!$E$20,(+IF($N136=[1]CURSOS!$D$21,[1]CURSOS!$E$21,(+IF($N136=[1]CURSOS!$D$22,[1]CURSOS!$E$22,(+IF($N136=[1]CURSOS!$D$23,[1]CURSOS!$E$23,(+IF($N136=[1]CURSOS!$D$24,[1]CURSOS!$E$24,(+IF($N136=[1]CURSOS!$D$25,[1]CURSOS!$E$25,(+IF($N136=[1]CURSOS!$D$26,[1]CURSOS!$E$26,(+IF($N136=[1]CURSOS!$D$27,[1]CURSOS!$E$27,(+IF($N136=[1]CURSOS!$D$28,[1]CURSOS!$E$28,(+IF($N136=[1]CURSOS!$D$29,[1]CURSOS!$E$29,(+IF($N136=[1]CURSOS!$D$30,[1]CURSOS!$E$30,(+IF($N136=[1]CURSOS!$D$31,[1]CURSOS!$E$31,(+IF($N136=[1]CURSOS!$D$32,[1]CURSOS!$E$32)))))))))))))))))))))))))))))))))))))))))))))))))))))))))))</f>
        <v>ACOMPAÑAMIENTO Y MANEJO DEL DUELO</v>
      </c>
      <c r="T136" s="17" t="str">
        <f t="shared" si="67"/>
        <v xml:space="preserve">Sandra Janeth Patascoy </v>
      </c>
      <c r="U136" s="17" t="str">
        <f t="shared" si="68"/>
        <v xml:space="preserve">Sandra Janeth Patascoy </v>
      </c>
      <c r="V136" s="17" t="str">
        <f t="shared" si="69"/>
        <v>Sandra Janeth Patascoy -1085284701-DUELO</v>
      </c>
    </row>
    <row r="137" spans="1:22" x14ac:dyDescent="0.2">
      <c r="A137" s="17">
        <v>147</v>
      </c>
      <c r="B137" s="17">
        <v>1085342693</v>
      </c>
      <c r="C137" s="17" t="s">
        <v>315</v>
      </c>
      <c r="D137" s="17" t="s">
        <v>316</v>
      </c>
      <c r="E137" s="17" t="s">
        <v>317</v>
      </c>
      <c r="F137" s="18" t="s">
        <v>44</v>
      </c>
      <c r="G137" s="17">
        <v>17</v>
      </c>
      <c r="H137" s="17" t="s">
        <v>63</v>
      </c>
      <c r="J137" s="1">
        <v>20000</v>
      </c>
      <c r="L137" s="17" t="s">
        <v>222</v>
      </c>
      <c r="M137" s="17" t="s">
        <v>210</v>
      </c>
      <c r="N137" s="17" t="s">
        <v>23</v>
      </c>
      <c r="P137" s="21" t="s">
        <v>39</v>
      </c>
      <c r="S137" s="17" t="str">
        <f>+IF($N137=[1]CURSOS!$D$3,[1]CURSOS!$E$3,(+IF($N137=[1]CURSOS!$D$4,[1]CURSOS!$E$4,(+IF($N137=[1]CURSOS!$D$5,[1]CURSOS!$E$5,(+IF($N137=[1]CURSOS!$D$6,[1]CURSOS!$E$6,(+IF($N137=[1]CURSOS!$D$7,[1]CURSOS!$E$7,(+IF($N137=[1]CURSOS!$D$8,[1]CURSOS!$E$8,(+IF($N137=[1]CURSOS!$D$9,[1]CURSOS!$E$9,(+IF($N137=[1]CURSOS!$D$10,[1]CURSOS!$E$10,(+IF($N137=[1]CURSOS!$D$11,[1]CURSOS!$E$11,(+IF($N137=[1]CURSOS!$D$12,[1]CURSOS!$E$12,(+IF($N137=[1]CURSOS!$D$13,[1]CURSOS!$E$13,(+IF($N137=[1]CURSOS!$D$14,[1]CURSOS!$E$14,(+IF($N137=[1]CURSOS!$D$15,[1]CURSOS!$E$15,(+IF($N137=[1]CURSOS!$D$16,[1]CURSOS!$E$16,(+IF($N137=[1]CURSOS!$D$17,[1]CURSOS!$E$17,(+IF($N137=[1]CURSOS!$D$18,[1]CURSOS!$E$18,(+IF($N137=[1]CURSOS!$D$19,[1]CURSOS!$E$19,(+IF($N137=[1]CURSOS!$D$20,[1]CURSOS!$E$20,(+IF($N137=[1]CURSOS!$D$21,[1]CURSOS!$E$21,(+IF($N137=[1]CURSOS!$D$22,[1]CURSOS!$E$22,(+IF($N137=[1]CURSOS!$D$23,[1]CURSOS!$E$23,(+IF($N137=[1]CURSOS!$D$24,[1]CURSOS!$E$24,(+IF($N137=[1]CURSOS!$D$25,[1]CURSOS!$E$25,(+IF($N137=[1]CURSOS!$D$26,[1]CURSOS!$E$26,(+IF($N137=[1]CURSOS!$D$27,[1]CURSOS!$E$27,(+IF($N137=[1]CURSOS!$D$28,[1]CURSOS!$E$28,(+IF($N137=[1]CURSOS!$D$29,[1]CURSOS!$E$29,(+IF($N137=[1]CURSOS!$D$30,[1]CURSOS!$E$30,(+IF($N137=[1]CURSOS!$D$31,[1]CURSOS!$E$31,(+IF($N137=[1]CURSOS!$D$32,[1]CURSOS!$E$32)))))))))))))))))))))))))))))))))))))))))))))))))))))))))))</f>
        <v xml:space="preserve">HUMANIZACION EN SALUD, BUENAS PRACTICAS EN PACIENTE </v>
      </c>
      <c r="T137" s="17" t="str">
        <f t="shared" si="67"/>
        <v>Pablo Andres Mena Botina</v>
      </c>
      <c r="U137" s="17" t="str">
        <f t="shared" si="68"/>
        <v>Pablo Andres Mena Botina</v>
      </c>
      <c r="V137" s="17" t="str">
        <f t="shared" si="69"/>
        <v>Pablo Andres Mena Botina-1085342693-HUMANIZACION</v>
      </c>
    </row>
    <row r="138" spans="1:22" x14ac:dyDescent="0.2">
      <c r="A138" s="17">
        <v>148</v>
      </c>
      <c r="B138" s="17">
        <v>1085342693</v>
      </c>
      <c r="C138" s="17" t="s">
        <v>315</v>
      </c>
      <c r="D138" s="17" t="s">
        <v>316</v>
      </c>
      <c r="E138" s="17" t="s">
        <v>317</v>
      </c>
      <c r="F138" s="18" t="s">
        <v>44</v>
      </c>
      <c r="G138" s="17">
        <v>17</v>
      </c>
      <c r="H138" s="17" t="s">
        <v>63</v>
      </c>
      <c r="J138" s="1">
        <v>20000</v>
      </c>
      <c r="L138" s="17" t="s">
        <v>222</v>
      </c>
      <c r="M138" s="17" t="s">
        <v>210</v>
      </c>
      <c r="N138" s="17" t="s">
        <v>27</v>
      </c>
      <c r="P138" s="21" t="s">
        <v>39</v>
      </c>
      <c r="S138" s="17" t="str">
        <f>+IF($N138=[1]CURSOS!$D$3,[1]CURSOS!$E$3,(+IF($N138=[1]CURSOS!$D$4,[1]CURSOS!$E$4,(+IF($N138=[1]CURSOS!$D$5,[1]CURSOS!$E$5,(+IF($N138=[1]CURSOS!$D$6,[1]CURSOS!$E$6,(+IF($N138=[1]CURSOS!$D$7,[1]CURSOS!$E$7,(+IF($N138=[1]CURSOS!$D$8,[1]CURSOS!$E$8,(+IF($N138=[1]CURSOS!$D$9,[1]CURSOS!$E$9,(+IF($N138=[1]CURSOS!$D$10,[1]CURSOS!$E$10,(+IF($N138=[1]CURSOS!$D$11,[1]CURSOS!$E$11,(+IF($N138=[1]CURSOS!$D$12,[1]CURSOS!$E$12,(+IF($N138=[1]CURSOS!$D$13,[1]CURSOS!$E$13,(+IF($N138=[1]CURSOS!$D$14,[1]CURSOS!$E$14,(+IF($N138=[1]CURSOS!$D$15,[1]CURSOS!$E$15,(+IF($N138=[1]CURSOS!$D$16,[1]CURSOS!$E$16,(+IF($N138=[1]CURSOS!$D$17,[1]CURSOS!$E$17,(+IF($N138=[1]CURSOS!$D$18,[1]CURSOS!$E$18,(+IF($N138=[1]CURSOS!$D$19,[1]CURSOS!$E$19,(+IF($N138=[1]CURSOS!$D$20,[1]CURSOS!$E$20,(+IF($N138=[1]CURSOS!$D$21,[1]CURSOS!$E$21,(+IF($N138=[1]CURSOS!$D$22,[1]CURSOS!$E$22,(+IF($N138=[1]CURSOS!$D$23,[1]CURSOS!$E$23,(+IF($N138=[1]CURSOS!$D$24,[1]CURSOS!$E$24,(+IF($N138=[1]CURSOS!$D$25,[1]CURSOS!$E$25,(+IF($N138=[1]CURSOS!$D$26,[1]CURSOS!$E$26,(+IF($N138=[1]CURSOS!$D$27,[1]CURSOS!$E$27,(+IF($N138=[1]CURSOS!$D$28,[1]CURSOS!$E$28,(+IF($N138=[1]CURSOS!$D$29,[1]CURSOS!$E$29,(+IF($N138=[1]CURSOS!$D$30,[1]CURSOS!$E$30,(+IF($N138=[1]CURSOS!$D$31,[1]CURSOS!$E$31,(+IF($N138=[1]CURSOS!$D$32,[1]CURSOS!$E$32)))))))))))))))))))))))))))))))))))))))))))))))))))))))))))</f>
        <v xml:space="preserve">ATENCION A VICTIMAS DE VIOLENCIA SEXUAL </v>
      </c>
      <c r="T138" s="17" t="str">
        <f t="shared" si="67"/>
        <v>Pablo Andres Mena Botina</v>
      </c>
      <c r="U138" s="17" t="str">
        <f t="shared" si="68"/>
        <v>Pablo Andres Mena Botina</v>
      </c>
      <c r="V138" s="17" t="str">
        <f t="shared" si="69"/>
        <v>Pablo Andres Mena Botina-1085342693-VIOLENCIA SEXUAL</v>
      </c>
    </row>
    <row r="139" spans="1:22" x14ac:dyDescent="0.2">
      <c r="A139" s="17">
        <v>149</v>
      </c>
      <c r="B139" s="17">
        <v>59814645</v>
      </c>
      <c r="C139" s="17" t="s">
        <v>318</v>
      </c>
      <c r="D139" s="17" t="s">
        <v>297</v>
      </c>
      <c r="E139" s="17" t="s">
        <v>319</v>
      </c>
      <c r="F139" s="18" t="s">
        <v>241</v>
      </c>
      <c r="G139" s="17">
        <v>17</v>
      </c>
      <c r="H139" s="17" t="s">
        <v>63</v>
      </c>
      <c r="J139" s="1">
        <v>20000</v>
      </c>
      <c r="L139" s="17" t="s">
        <v>222</v>
      </c>
      <c r="M139" s="17" t="s">
        <v>210</v>
      </c>
      <c r="N139" s="17" t="s">
        <v>20</v>
      </c>
      <c r="P139" s="21" t="s">
        <v>42</v>
      </c>
      <c r="S139" s="17" t="str">
        <f>+IF($N139=[1]CURSOS!$D$3,[1]CURSOS!$E$3,(+IF($N139=[1]CURSOS!$D$4,[1]CURSOS!$E$4,(+IF($N139=[1]CURSOS!$D$5,[1]CURSOS!$E$5,(+IF($N139=[1]CURSOS!$D$6,[1]CURSOS!$E$6,(+IF($N139=[1]CURSOS!$D$7,[1]CURSOS!$E$7,(+IF($N139=[1]CURSOS!$D$8,[1]CURSOS!$E$8,(+IF($N139=[1]CURSOS!$D$9,[1]CURSOS!$E$9,(+IF($N139=[1]CURSOS!$D$10,[1]CURSOS!$E$10,(+IF($N139=[1]CURSOS!$D$11,[1]CURSOS!$E$11,(+IF($N139=[1]CURSOS!$D$12,[1]CURSOS!$E$12,(+IF($N139=[1]CURSOS!$D$13,[1]CURSOS!$E$13,(+IF($N139=[1]CURSOS!$D$14,[1]CURSOS!$E$14,(+IF($N139=[1]CURSOS!$D$15,[1]CURSOS!$E$15,(+IF($N139=[1]CURSOS!$D$16,[1]CURSOS!$E$16,(+IF($N139=[1]CURSOS!$D$17,[1]CURSOS!$E$17,(+IF($N139=[1]CURSOS!$D$18,[1]CURSOS!$E$18,(+IF($N139=[1]CURSOS!$D$19,[1]CURSOS!$E$19,(+IF($N139=[1]CURSOS!$D$20,[1]CURSOS!$E$20,(+IF($N139=[1]CURSOS!$D$21,[1]CURSOS!$E$21,(+IF($N139=[1]CURSOS!$D$22,[1]CURSOS!$E$22,(+IF($N139=[1]CURSOS!$D$23,[1]CURSOS!$E$23,(+IF($N139=[1]CURSOS!$D$24,[1]CURSOS!$E$24,(+IF($N139=[1]CURSOS!$D$25,[1]CURSOS!$E$25,(+IF($N139=[1]CURSOS!$D$26,[1]CURSOS!$E$26,(+IF($N139=[1]CURSOS!$D$27,[1]CURSOS!$E$27,(+IF($N139=[1]CURSOS!$D$28,[1]CURSOS!$E$28,(+IF($N139=[1]CURSOS!$D$29,[1]CURSOS!$E$29,(+IF($N139=[1]CURSOS!$D$30,[1]CURSOS!$E$30,(+IF($N139=[1]CURSOS!$D$31,[1]CURSOS!$E$31,(+IF($N139=[1]CURSOS!$D$32,[1]CURSOS!$E$32)))))))))))))))))))))))))))))))))))))))))))))))))))))))))))</f>
        <v>ACOMPAÑAMIENTO Y MANEJO DEL DUELO</v>
      </c>
      <c r="T139" s="17" t="str">
        <f t="shared" si="67"/>
        <v>Lilia Adriana Molina Quenan</v>
      </c>
      <c r="U139" s="17" t="str">
        <f t="shared" si="68"/>
        <v>Lilia Adriana Molina Quenan</v>
      </c>
      <c r="V139" s="17" t="str">
        <f t="shared" si="69"/>
        <v>Lilia Adriana Molina Quenan-59814645-DUELO</v>
      </c>
    </row>
    <row r="140" spans="1:22" x14ac:dyDescent="0.2">
      <c r="A140" s="17">
        <v>150</v>
      </c>
      <c r="B140" s="17">
        <v>2721166</v>
      </c>
      <c r="C140" s="17" t="s">
        <v>320</v>
      </c>
      <c r="D140" s="17" t="s">
        <v>321</v>
      </c>
      <c r="E140" s="17" t="s">
        <v>121</v>
      </c>
      <c r="F140" s="18" t="s">
        <v>322</v>
      </c>
      <c r="G140" s="17">
        <v>17</v>
      </c>
      <c r="H140" s="17" t="s">
        <v>63</v>
      </c>
      <c r="J140" s="1">
        <v>20000</v>
      </c>
      <c r="L140" s="17" t="s">
        <v>222</v>
      </c>
      <c r="M140" s="17" t="s">
        <v>210</v>
      </c>
      <c r="N140" s="17" t="s">
        <v>20</v>
      </c>
      <c r="P140" s="21" t="s">
        <v>42</v>
      </c>
      <c r="S140" s="17" t="str">
        <f>+IF($N140=[1]CURSOS!$D$3,[1]CURSOS!$E$3,(+IF($N140=[1]CURSOS!$D$4,[1]CURSOS!$E$4,(+IF($N140=[1]CURSOS!$D$5,[1]CURSOS!$E$5,(+IF($N140=[1]CURSOS!$D$6,[1]CURSOS!$E$6,(+IF($N140=[1]CURSOS!$D$7,[1]CURSOS!$E$7,(+IF($N140=[1]CURSOS!$D$8,[1]CURSOS!$E$8,(+IF($N140=[1]CURSOS!$D$9,[1]CURSOS!$E$9,(+IF($N140=[1]CURSOS!$D$10,[1]CURSOS!$E$10,(+IF($N140=[1]CURSOS!$D$11,[1]CURSOS!$E$11,(+IF($N140=[1]CURSOS!$D$12,[1]CURSOS!$E$12,(+IF($N140=[1]CURSOS!$D$13,[1]CURSOS!$E$13,(+IF($N140=[1]CURSOS!$D$14,[1]CURSOS!$E$14,(+IF($N140=[1]CURSOS!$D$15,[1]CURSOS!$E$15,(+IF($N140=[1]CURSOS!$D$16,[1]CURSOS!$E$16,(+IF($N140=[1]CURSOS!$D$17,[1]CURSOS!$E$17,(+IF($N140=[1]CURSOS!$D$18,[1]CURSOS!$E$18,(+IF($N140=[1]CURSOS!$D$19,[1]CURSOS!$E$19,(+IF($N140=[1]CURSOS!$D$20,[1]CURSOS!$E$20,(+IF($N140=[1]CURSOS!$D$21,[1]CURSOS!$E$21,(+IF($N140=[1]CURSOS!$D$22,[1]CURSOS!$E$22,(+IF($N140=[1]CURSOS!$D$23,[1]CURSOS!$E$23,(+IF($N140=[1]CURSOS!$D$24,[1]CURSOS!$E$24,(+IF($N140=[1]CURSOS!$D$25,[1]CURSOS!$E$25,(+IF($N140=[1]CURSOS!$D$26,[1]CURSOS!$E$26,(+IF($N140=[1]CURSOS!$D$27,[1]CURSOS!$E$27,(+IF($N140=[1]CURSOS!$D$28,[1]CURSOS!$E$28,(+IF($N140=[1]CURSOS!$D$29,[1]CURSOS!$E$29,(+IF($N140=[1]CURSOS!$D$30,[1]CURSOS!$E$30,(+IF($N140=[1]CURSOS!$D$31,[1]CURSOS!$E$31,(+IF($N140=[1]CURSOS!$D$32,[1]CURSOS!$E$32)))))))))))))))))))))))))))))))))))))))))))))))))))))))))))</f>
        <v>ACOMPAÑAMIENTO Y MANEJO DEL DUELO</v>
      </c>
      <c r="T140" s="17" t="str">
        <f t="shared" si="67"/>
        <v>Nancy Edith Villacis Rueda</v>
      </c>
      <c r="U140" s="17" t="str">
        <f t="shared" si="68"/>
        <v>Nancy Edith Villacis Rueda</v>
      </c>
      <c r="V140" s="17" t="str">
        <f t="shared" si="69"/>
        <v>Nancy Edith Villacis Rueda-2721166-DUELO</v>
      </c>
    </row>
    <row r="141" spans="1:22" x14ac:dyDescent="0.2">
      <c r="A141" s="17">
        <v>151</v>
      </c>
      <c r="B141" s="17">
        <v>1085298039</v>
      </c>
      <c r="C141" s="17" t="s">
        <v>313</v>
      </c>
      <c r="D141" s="17" t="s">
        <v>323</v>
      </c>
      <c r="E141" s="17" t="s">
        <v>324</v>
      </c>
      <c r="F141" s="18" t="s">
        <v>325</v>
      </c>
      <c r="G141" s="17">
        <v>17</v>
      </c>
      <c r="H141" s="17" t="s">
        <v>63</v>
      </c>
      <c r="J141" s="1">
        <v>20000</v>
      </c>
      <c r="L141" s="17" t="s">
        <v>222</v>
      </c>
      <c r="M141" s="17" t="s">
        <v>210</v>
      </c>
      <c r="N141" s="17" t="s">
        <v>20</v>
      </c>
      <c r="P141" s="21" t="s">
        <v>42</v>
      </c>
      <c r="S141" s="17" t="str">
        <f>+IF($N141=[1]CURSOS!$D$3,[1]CURSOS!$E$3,(+IF($N141=[1]CURSOS!$D$4,[1]CURSOS!$E$4,(+IF($N141=[1]CURSOS!$D$5,[1]CURSOS!$E$5,(+IF($N141=[1]CURSOS!$D$6,[1]CURSOS!$E$6,(+IF($N141=[1]CURSOS!$D$7,[1]CURSOS!$E$7,(+IF($N141=[1]CURSOS!$D$8,[1]CURSOS!$E$8,(+IF($N141=[1]CURSOS!$D$9,[1]CURSOS!$E$9,(+IF($N141=[1]CURSOS!$D$10,[1]CURSOS!$E$10,(+IF($N141=[1]CURSOS!$D$11,[1]CURSOS!$E$11,(+IF($N141=[1]CURSOS!$D$12,[1]CURSOS!$E$12,(+IF($N141=[1]CURSOS!$D$13,[1]CURSOS!$E$13,(+IF($N141=[1]CURSOS!$D$14,[1]CURSOS!$E$14,(+IF($N141=[1]CURSOS!$D$15,[1]CURSOS!$E$15,(+IF($N141=[1]CURSOS!$D$16,[1]CURSOS!$E$16,(+IF($N141=[1]CURSOS!$D$17,[1]CURSOS!$E$17,(+IF($N141=[1]CURSOS!$D$18,[1]CURSOS!$E$18,(+IF($N141=[1]CURSOS!$D$19,[1]CURSOS!$E$19,(+IF($N141=[1]CURSOS!$D$20,[1]CURSOS!$E$20,(+IF($N141=[1]CURSOS!$D$21,[1]CURSOS!$E$21,(+IF($N141=[1]CURSOS!$D$22,[1]CURSOS!$E$22,(+IF($N141=[1]CURSOS!$D$23,[1]CURSOS!$E$23,(+IF($N141=[1]CURSOS!$D$24,[1]CURSOS!$E$24,(+IF($N141=[1]CURSOS!$D$25,[1]CURSOS!$E$25,(+IF($N141=[1]CURSOS!$D$26,[1]CURSOS!$E$26,(+IF($N141=[1]CURSOS!$D$27,[1]CURSOS!$E$27,(+IF($N141=[1]CURSOS!$D$28,[1]CURSOS!$E$28,(+IF($N141=[1]CURSOS!$D$29,[1]CURSOS!$E$29,(+IF($N141=[1]CURSOS!$D$30,[1]CURSOS!$E$30,(+IF($N141=[1]CURSOS!$D$31,[1]CURSOS!$E$31,(+IF($N141=[1]CURSOS!$D$32,[1]CURSOS!$E$32)))))))))))))))))))))))))))))))))))))))))))))))))))))))))))</f>
        <v>ACOMPAÑAMIENTO Y MANEJO DEL DUELO</v>
      </c>
      <c r="T141" s="17" t="str">
        <f t="shared" si="67"/>
        <v>Jheimy Lizel Patascoy Ortega</v>
      </c>
      <c r="U141" s="17" t="str">
        <f t="shared" si="68"/>
        <v>Jheimy Lizel Patascoy Ortega</v>
      </c>
      <c r="V141" s="17" t="str">
        <f t="shared" si="69"/>
        <v>Jheimy Lizel Patascoy Ortega-1085298039-DUELO</v>
      </c>
    </row>
    <row r="142" spans="1:22" x14ac:dyDescent="0.2">
      <c r="A142" s="17">
        <v>152</v>
      </c>
      <c r="B142" s="17">
        <v>98074156</v>
      </c>
      <c r="C142" s="17" t="s">
        <v>326</v>
      </c>
      <c r="D142" s="17" t="s">
        <v>327</v>
      </c>
      <c r="E142" s="17" t="s">
        <v>163</v>
      </c>
      <c r="F142" s="18" t="s">
        <v>162</v>
      </c>
      <c r="G142" s="17">
        <v>17</v>
      </c>
      <c r="H142" s="17" t="s">
        <v>63</v>
      </c>
      <c r="J142" s="1">
        <v>20000</v>
      </c>
      <c r="L142" s="17" t="s">
        <v>222</v>
      </c>
      <c r="M142" s="17" t="s">
        <v>210</v>
      </c>
      <c r="N142" s="17" t="s">
        <v>20</v>
      </c>
      <c r="P142" s="21" t="s">
        <v>39</v>
      </c>
      <c r="S142" s="17" t="str">
        <f>+IF($N142=[1]CURSOS!$D$3,[1]CURSOS!$E$3,(+IF($N142=[1]CURSOS!$D$4,[1]CURSOS!$E$4,(+IF($N142=[1]CURSOS!$D$5,[1]CURSOS!$E$5,(+IF($N142=[1]CURSOS!$D$6,[1]CURSOS!$E$6,(+IF($N142=[1]CURSOS!$D$7,[1]CURSOS!$E$7,(+IF($N142=[1]CURSOS!$D$8,[1]CURSOS!$E$8,(+IF($N142=[1]CURSOS!$D$9,[1]CURSOS!$E$9,(+IF($N142=[1]CURSOS!$D$10,[1]CURSOS!$E$10,(+IF($N142=[1]CURSOS!$D$11,[1]CURSOS!$E$11,(+IF($N142=[1]CURSOS!$D$12,[1]CURSOS!$E$12,(+IF($N142=[1]CURSOS!$D$13,[1]CURSOS!$E$13,(+IF($N142=[1]CURSOS!$D$14,[1]CURSOS!$E$14,(+IF($N142=[1]CURSOS!$D$15,[1]CURSOS!$E$15,(+IF($N142=[1]CURSOS!$D$16,[1]CURSOS!$E$16,(+IF($N142=[1]CURSOS!$D$17,[1]CURSOS!$E$17,(+IF($N142=[1]CURSOS!$D$18,[1]CURSOS!$E$18,(+IF($N142=[1]CURSOS!$D$19,[1]CURSOS!$E$19,(+IF($N142=[1]CURSOS!$D$20,[1]CURSOS!$E$20,(+IF($N142=[1]CURSOS!$D$21,[1]CURSOS!$E$21,(+IF($N142=[1]CURSOS!$D$22,[1]CURSOS!$E$22,(+IF($N142=[1]CURSOS!$D$23,[1]CURSOS!$E$23,(+IF($N142=[1]CURSOS!$D$24,[1]CURSOS!$E$24,(+IF($N142=[1]CURSOS!$D$25,[1]CURSOS!$E$25,(+IF($N142=[1]CURSOS!$D$26,[1]CURSOS!$E$26,(+IF($N142=[1]CURSOS!$D$27,[1]CURSOS!$E$27,(+IF($N142=[1]CURSOS!$D$28,[1]CURSOS!$E$28,(+IF($N142=[1]CURSOS!$D$29,[1]CURSOS!$E$29,(+IF($N142=[1]CURSOS!$D$30,[1]CURSOS!$E$30,(+IF($N142=[1]CURSOS!$D$31,[1]CURSOS!$E$31,(+IF($N142=[1]CURSOS!$D$32,[1]CURSOS!$E$32)))))))))))))))))))))))))))))))))))))))))))))))))))))))))))</f>
        <v>ACOMPAÑAMIENTO Y MANEJO DEL DUELO</v>
      </c>
      <c r="T142" s="17" t="str">
        <f t="shared" si="67"/>
        <v>Luis Antonio Pascuaza Acosta</v>
      </c>
      <c r="U142" s="17" t="str">
        <f t="shared" si="68"/>
        <v>Luis Antonio Pascuaza Acosta</v>
      </c>
      <c r="V142" s="17" t="str">
        <f t="shared" si="69"/>
        <v>Luis Antonio Pascuaza Acosta-98074156-DUELO</v>
      </c>
    </row>
    <row r="143" spans="1:22" x14ac:dyDescent="0.2">
      <c r="A143" s="17">
        <v>153</v>
      </c>
      <c r="B143" s="17">
        <v>25018630</v>
      </c>
      <c r="C143" s="17" t="s">
        <v>328</v>
      </c>
      <c r="D143" s="17" t="s">
        <v>329</v>
      </c>
      <c r="E143" s="17" t="s">
        <v>214</v>
      </c>
      <c r="G143" s="17">
        <v>21</v>
      </c>
      <c r="H143" s="17" t="s">
        <v>63</v>
      </c>
      <c r="L143" s="17" t="s">
        <v>222</v>
      </c>
      <c r="M143" s="17" t="s">
        <v>40</v>
      </c>
      <c r="N143" s="17" t="s">
        <v>27</v>
      </c>
      <c r="P143" s="21" t="s">
        <v>42</v>
      </c>
      <c r="S143" s="17" t="str">
        <f>+IF($N143=[1]CURSOS!$D$3,[1]CURSOS!$E$3,(+IF($N143=[1]CURSOS!$D$4,[1]CURSOS!$E$4,(+IF($N143=[1]CURSOS!$D$5,[1]CURSOS!$E$5,(+IF($N143=[1]CURSOS!$D$6,[1]CURSOS!$E$6,(+IF($N143=[1]CURSOS!$D$7,[1]CURSOS!$E$7,(+IF($N143=[1]CURSOS!$D$8,[1]CURSOS!$E$8,(+IF($N143=[1]CURSOS!$D$9,[1]CURSOS!$E$9,(+IF($N143=[1]CURSOS!$D$10,[1]CURSOS!$E$10,(+IF($N143=[1]CURSOS!$D$11,[1]CURSOS!$E$11,(+IF($N143=[1]CURSOS!$D$12,[1]CURSOS!$E$12,(+IF($N143=[1]CURSOS!$D$13,[1]CURSOS!$E$13,(+IF($N143=[1]CURSOS!$D$14,[1]CURSOS!$E$14,(+IF($N143=[1]CURSOS!$D$15,[1]CURSOS!$E$15,(+IF($N143=[1]CURSOS!$D$16,[1]CURSOS!$E$16,(+IF($N143=[1]CURSOS!$D$17,[1]CURSOS!$E$17,(+IF($N143=[1]CURSOS!$D$18,[1]CURSOS!$E$18,(+IF($N143=[1]CURSOS!$D$19,[1]CURSOS!$E$19,(+IF($N143=[1]CURSOS!$D$20,[1]CURSOS!$E$20,(+IF($N143=[1]CURSOS!$D$21,[1]CURSOS!$E$21,(+IF($N143=[1]CURSOS!$D$22,[1]CURSOS!$E$22,(+IF($N143=[1]CURSOS!$D$23,[1]CURSOS!$E$23,(+IF($N143=[1]CURSOS!$D$24,[1]CURSOS!$E$24,(+IF($N143=[1]CURSOS!$D$25,[1]CURSOS!$E$25,(+IF($N143=[1]CURSOS!$D$26,[1]CURSOS!$E$26,(+IF($N143=[1]CURSOS!$D$27,[1]CURSOS!$E$27,(+IF($N143=[1]CURSOS!$D$28,[1]CURSOS!$E$28,(+IF($N143=[1]CURSOS!$D$29,[1]CURSOS!$E$29,(+IF($N143=[1]CURSOS!$D$30,[1]CURSOS!$E$30,(+IF($N143=[1]CURSOS!$D$31,[1]CURSOS!$E$31,(+IF($N143=[1]CURSOS!$D$32,[1]CURSOS!$E$32)))))))))))))))))))))))))))))))))))))))))))))))))))))))))))</f>
        <v xml:space="preserve">ATENCION A VICTIMAS DE VIOLENCIA SEXUAL </v>
      </c>
      <c r="T143" s="17" t="str">
        <f t="shared" ref="T143:T144" si="70">CONCATENATE(E143," ",F143," ",C143," ",D143)</f>
        <v>Julieta  Zuluaga Arcila</v>
      </c>
      <c r="U143" s="17" t="str">
        <f t="shared" ref="U143:U144" si="71">+PROPER(T143)</f>
        <v>Julieta  Zuluaga Arcila</v>
      </c>
      <c r="V143" s="17" t="str">
        <f t="shared" ref="V143:V144" si="72">CONCATENATE(T143,"-",B143,"-",N143)</f>
        <v>Julieta  Zuluaga Arcila-25018630-VIOLENCIA SEXUAL</v>
      </c>
    </row>
    <row r="144" spans="1:22" x14ac:dyDescent="0.2">
      <c r="A144" s="17">
        <v>154</v>
      </c>
      <c r="B144" s="17">
        <v>25018630</v>
      </c>
      <c r="C144" s="17" t="s">
        <v>328</v>
      </c>
      <c r="D144" s="17" t="s">
        <v>329</v>
      </c>
      <c r="E144" s="17" t="s">
        <v>214</v>
      </c>
      <c r="G144" s="17">
        <v>21</v>
      </c>
      <c r="H144" s="17" t="s">
        <v>63</v>
      </c>
      <c r="L144" s="17" t="s">
        <v>222</v>
      </c>
      <c r="M144" s="17" t="s">
        <v>40</v>
      </c>
      <c r="N144" s="17" t="s">
        <v>23</v>
      </c>
      <c r="P144" s="21" t="s">
        <v>42</v>
      </c>
      <c r="S144" s="17" t="str">
        <f>+IF($N144=[1]CURSOS!$D$3,[1]CURSOS!$E$3,(+IF($N144=[1]CURSOS!$D$4,[1]CURSOS!$E$4,(+IF($N144=[1]CURSOS!$D$5,[1]CURSOS!$E$5,(+IF($N144=[1]CURSOS!$D$6,[1]CURSOS!$E$6,(+IF($N144=[1]CURSOS!$D$7,[1]CURSOS!$E$7,(+IF($N144=[1]CURSOS!$D$8,[1]CURSOS!$E$8,(+IF($N144=[1]CURSOS!$D$9,[1]CURSOS!$E$9,(+IF($N144=[1]CURSOS!$D$10,[1]CURSOS!$E$10,(+IF($N144=[1]CURSOS!$D$11,[1]CURSOS!$E$11,(+IF($N144=[1]CURSOS!$D$12,[1]CURSOS!$E$12,(+IF($N144=[1]CURSOS!$D$13,[1]CURSOS!$E$13,(+IF($N144=[1]CURSOS!$D$14,[1]CURSOS!$E$14,(+IF($N144=[1]CURSOS!$D$15,[1]CURSOS!$E$15,(+IF($N144=[1]CURSOS!$D$16,[1]CURSOS!$E$16,(+IF($N144=[1]CURSOS!$D$17,[1]CURSOS!$E$17,(+IF($N144=[1]CURSOS!$D$18,[1]CURSOS!$E$18,(+IF($N144=[1]CURSOS!$D$19,[1]CURSOS!$E$19,(+IF($N144=[1]CURSOS!$D$20,[1]CURSOS!$E$20,(+IF($N144=[1]CURSOS!$D$21,[1]CURSOS!$E$21,(+IF($N144=[1]CURSOS!$D$22,[1]CURSOS!$E$22,(+IF($N144=[1]CURSOS!$D$23,[1]CURSOS!$E$23,(+IF($N144=[1]CURSOS!$D$24,[1]CURSOS!$E$24,(+IF($N144=[1]CURSOS!$D$25,[1]CURSOS!$E$25,(+IF($N144=[1]CURSOS!$D$26,[1]CURSOS!$E$26,(+IF($N144=[1]CURSOS!$D$27,[1]CURSOS!$E$27,(+IF($N144=[1]CURSOS!$D$28,[1]CURSOS!$E$28,(+IF($N144=[1]CURSOS!$D$29,[1]CURSOS!$E$29,(+IF($N144=[1]CURSOS!$D$30,[1]CURSOS!$E$30,(+IF($N144=[1]CURSOS!$D$31,[1]CURSOS!$E$31,(+IF($N144=[1]CURSOS!$D$32,[1]CURSOS!$E$32)))))))))))))))))))))))))))))))))))))))))))))))))))))))))))</f>
        <v xml:space="preserve">HUMANIZACION EN SALUD, BUENAS PRACTICAS EN PACIENTE </v>
      </c>
      <c r="T144" s="17" t="str">
        <f t="shared" si="70"/>
        <v>Julieta  Zuluaga Arcila</v>
      </c>
      <c r="U144" s="17" t="str">
        <f t="shared" si="71"/>
        <v>Julieta  Zuluaga Arcila</v>
      </c>
      <c r="V144" s="17" t="str">
        <f t="shared" si="72"/>
        <v>Julieta  Zuluaga Arcila-25018630-HUMANIZACION</v>
      </c>
    </row>
    <row r="145" spans="1:22" x14ac:dyDescent="0.2">
      <c r="A145" s="17">
        <v>155</v>
      </c>
      <c r="B145" s="17">
        <v>1113646774</v>
      </c>
      <c r="C145" s="17" t="s">
        <v>154</v>
      </c>
      <c r="D145" s="17" t="s">
        <v>49</v>
      </c>
      <c r="E145" s="17" t="s">
        <v>330</v>
      </c>
      <c r="F145" s="18" t="s">
        <v>331</v>
      </c>
      <c r="G145" s="17">
        <v>20</v>
      </c>
      <c r="H145" s="17" t="s">
        <v>63</v>
      </c>
      <c r="I145" s="19">
        <v>45344</v>
      </c>
      <c r="J145" s="1">
        <v>32000</v>
      </c>
      <c r="K145" s="17" t="s">
        <v>45</v>
      </c>
      <c r="L145" s="17" t="s">
        <v>222</v>
      </c>
      <c r="M145" s="17" t="s">
        <v>75</v>
      </c>
      <c r="N145" s="17" t="s">
        <v>19</v>
      </c>
      <c r="O145" s="19">
        <v>33010</v>
      </c>
      <c r="P145" s="21" t="s">
        <v>39</v>
      </c>
      <c r="S145" s="17" t="str">
        <f>+IF($N145=[1]CURSOS!$D$3,[1]CURSOS!$E$3,(+IF($N145=[1]CURSOS!$D$4,[1]CURSOS!$E$4,(+IF($N145=[1]CURSOS!$D$5,[1]CURSOS!$E$5,(+IF($N145=[1]CURSOS!$D$6,[1]CURSOS!$E$6,(+IF($N145=[1]CURSOS!$D$7,[1]CURSOS!$E$7,(+IF($N145=[1]CURSOS!$D$8,[1]CURSOS!$E$8,(+IF($N145=[1]CURSOS!$D$9,[1]CURSOS!$E$9,(+IF($N145=[1]CURSOS!$D$10,[1]CURSOS!$E$10,(+IF($N145=[1]CURSOS!$D$11,[1]CURSOS!$E$11,(+IF($N145=[1]CURSOS!$D$12,[1]CURSOS!$E$12,(+IF($N145=[1]CURSOS!$D$13,[1]CURSOS!$E$13,(+IF($N145=[1]CURSOS!$D$14,[1]CURSOS!$E$14,(+IF($N145=[1]CURSOS!$D$15,[1]CURSOS!$E$15,(+IF($N145=[1]CURSOS!$D$16,[1]CURSOS!$E$16,(+IF($N145=[1]CURSOS!$D$17,[1]CURSOS!$E$17,(+IF($N145=[1]CURSOS!$D$18,[1]CURSOS!$E$18,(+IF($N145=[1]CURSOS!$D$19,[1]CURSOS!$E$19,(+IF($N145=[1]CURSOS!$D$20,[1]CURSOS!$E$20,(+IF($N145=[1]CURSOS!$D$21,[1]CURSOS!$E$21,(+IF($N145=[1]CURSOS!$D$22,[1]CURSOS!$E$22,(+IF($N145=[1]CURSOS!$D$23,[1]CURSOS!$E$23,(+IF($N145=[1]CURSOS!$D$24,[1]CURSOS!$E$24,(+IF($N145=[1]CURSOS!$D$25,[1]CURSOS!$E$25,(+IF($N145=[1]CURSOS!$D$26,[1]CURSOS!$E$26,(+IF($N145=[1]CURSOS!$D$27,[1]CURSOS!$E$27,(+IF($N145=[1]CURSOS!$D$28,[1]CURSOS!$E$28,(+IF($N145=[1]CURSOS!$D$29,[1]CURSOS!$E$29,(+IF($N145=[1]CURSOS!$D$30,[1]CURSOS!$E$30,(+IF($N145=[1]CURSOS!$D$31,[1]CURSOS!$E$31,(+IF($N145=[1]CURSOS!$D$32,[1]CURSOS!$E$32)))))))))))))))))))))))))))))))))))))))))))))))))))))))))))</f>
        <v>SOPORTE VITAL BASICO (BLS)</v>
      </c>
      <c r="T145" s="17" t="str">
        <f t="shared" ref="T145:T146" si="73">CONCATENATE(E145," ",F145," ",C145," ",D145)</f>
        <v>Edwin Estiv Mora Rosero</v>
      </c>
      <c r="U145" s="17" t="str">
        <f t="shared" ref="U145:U146" si="74">+PROPER(T145)</f>
        <v>Edwin Estiv Mora Rosero</v>
      </c>
      <c r="V145" s="17" t="str">
        <f t="shared" ref="V145:V146" si="75">CONCATENATE(T145,"-",B145,"-",N145)</f>
        <v>Edwin Estiv Mora Rosero-1113646774-BLS</v>
      </c>
    </row>
    <row r="146" spans="1:22" x14ac:dyDescent="0.2">
      <c r="A146" s="17">
        <v>156</v>
      </c>
      <c r="B146" s="17">
        <v>1113646774</v>
      </c>
      <c r="C146" s="17" t="s">
        <v>154</v>
      </c>
      <c r="D146" s="17" t="s">
        <v>49</v>
      </c>
      <c r="E146" s="17" t="s">
        <v>330</v>
      </c>
      <c r="F146" s="18" t="s">
        <v>331</v>
      </c>
      <c r="G146" s="17">
        <v>21</v>
      </c>
      <c r="H146" s="17" t="s">
        <v>63</v>
      </c>
      <c r="I146" s="19">
        <v>45344</v>
      </c>
      <c r="J146" s="1">
        <v>32000</v>
      </c>
      <c r="K146" s="17" t="s">
        <v>45</v>
      </c>
      <c r="L146" s="17" t="s">
        <v>222</v>
      </c>
      <c r="M146" s="17" t="s">
        <v>75</v>
      </c>
      <c r="N146" s="17" t="s">
        <v>27</v>
      </c>
      <c r="O146" s="19">
        <v>33010</v>
      </c>
      <c r="P146" s="21" t="s">
        <v>39</v>
      </c>
      <c r="S146" s="17" t="str">
        <f>+IF($N146=[1]CURSOS!$D$3,[1]CURSOS!$E$3,(+IF($N146=[1]CURSOS!$D$4,[1]CURSOS!$E$4,(+IF($N146=[1]CURSOS!$D$5,[1]CURSOS!$E$5,(+IF($N146=[1]CURSOS!$D$6,[1]CURSOS!$E$6,(+IF($N146=[1]CURSOS!$D$7,[1]CURSOS!$E$7,(+IF($N146=[1]CURSOS!$D$8,[1]CURSOS!$E$8,(+IF($N146=[1]CURSOS!$D$9,[1]CURSOS!$E$9,(+IF($N146=[1]CURSOS!$D$10,[1]CURSOS!$E$10,(+IF($N146=[1]CURSOS!$D$11,[1]CURSOS!$E$11,(+IF($N146=[1]CURSOS!$D$12,[1]CURSOS!$E$12,(+IF($N146=[1]CURSOS!$D$13,[1]CURSOS!$E$13,(+IF($N146=[1]CURSOS!$D$14,[1]CURSOS!$E$14,(+IF($N146=[1]CURSOS!$D$15,[1]CURSOS!$E$15,(+IF($N146=[1]CURSOS!$D$16,[1]CURSOS!$E$16,(+IF($N146=[1]CURSOS!$D$17,[1]CURSOS!$E$17,(+IF($N146=[1]CURSOS!$D$18,[1]CURSOS!$E$18,(+IF($N146=[1]CURSOS!$D$19,[1]CURSOS!$E$19,(+IF($N146=[1]CURSOS!$D$20,[1]CURSOS!$E$20,(+IF($N146=[1]CURSOS!$D$21,[1]CURSOS!$E$21,(+IF($N146=[1]CURSOS!$D$22,[1]CURSOS!$E$22,(+IF($N146=[1]CURSOS!$D$23,[1]CURSOS!$E$23,(+IF($N146=[1]CURSOS!$D$24,[1]CURSOS!$E$24,(+IF($N146=[1]CURSOS!$D$25,[1]CURSOS!$E$25,(+IF($N146=[1]CURSOS!$D$26,[1]CURSOS!$E$26,(+IF($N146=[1]CURSOS!$D$27,[1]CURSOS!$E$27,(+IF($N146=[1]CURSOS!$D$28,[1]CURSOS!$E$28,(+IF($N146=[1]CURSOS!$D$29,[1]CURSOS!$E$29,(+IF($N146=[1]CURSOS!$D$30,[1]CURSOS!$E$30,(+IF($N146=[1]CURSOS!$D$31,[1]CURSOS!$E$31,(+IF($N146=[1]CURSOS!$D$32,[1]CURSOS!$E$32)))))))))))))))))))))))))))))))))))))))))))))))))))))))))))</f>
        <v xml:space="preserve">ATENCION A VICTIMAS DE VIOLENCIA SEXUAL </v>
      </c>
      <c r="T146" s="17" t="str">
        <f t="shared" si="73"/>
        <v>Edwin Estiv Mora Rosero</v>
      </c>
      <c r="U146" s="17" t="str">
        <f t="shared" si="74"/>
        <v>Edwin Estiv Mora Rosero</v>
      </c>
      <c r="V146" s="17" t="str">
        <f t="shared" si="75"/>
        <v>Edwin Estiv Mora Rosero-1113646774-VIOLENCIA SEXUAL</v>
      </c>
    </row>
    <row r="147" spans="1:22" x14ac:dyDescent="0.2">
      <c r="A147" s="17">
        <v>157</v>
      </c>
      <c r="B147" s="17">
        <v>43537526</v>
      </c>
      <c r="C147" s="17" t="s">
        <v>333</v>
      </c>
      <c r="D147" s="17" t="s">
        <v>334</v>
      </c>
      <c r="E147" s="17" t="s">
        <v>310</v>
      </c>
      <c r="F147" s="18" t="s">
        <v>312</v>
      </c>
      <c r="G147" s="17">
        <v>21</v>
      </c>
      <c r="H147" s="17" t="s">
        <v>63</v>
      </c>
      <c r="I147" s="19">
        <v>45344</v>
      </c>
      <c r="J147" s="1">
        <v>32000</v>
      </c>
      <c r="K147" s="17" t="s">
        <v>45</v>
      </c>
      <c r="L147" s="17" t="s">
        <v>223</v>
      </c>
      <c r="M147" s="17" t="s">
        <v>75</v>
      </c>
      <c r="N147" s="17" t="s">
        <v>19</v>
      </c>
      <c r="O147" s="20">
        <v>25374</v>
      </c>
      <c r="P147" s="21" t="s">
        <v>42</v>
      </c>
      <c r="S147" s="17" t="str">
        <f>+IF($N147=[1]CURSOS!$D$3,[1]CURSOS!$E$3,(+IF($N147=[1]CURSOS!$D$4,[1]CURSOS!$E$4,(+IF($N147=[1]CURSOS!$D$5,[1]CURSOS!$E$5,(+IF($N147=[1]CURSOS!$D$6,[1]CURSOS!$E$6,(+IF($N147=[1]CURSOS!$D$7,[1]CURSOS!$E$7,(+IF($N147=[1]CURSOS!$D$8,[1]CURSOS!$E$8,(+IF($N147=[1]CURSOS!$D$9,[1]CURSOS!$E$9,(+IF($N147=[1]CURSOS!$D$10,[1]CURSOS!$E$10,(+IF($N147=[1]CURSOS!$D$11,[1]CURSOS!$E$11,(+IF($N147=[1]CURSOS!$D$12,[1]CURSOS!$E$12,(+IF($N147=[1]CURSOS!$D$13,[1]CURSOS!$E$13,(+IF($N147=[1]CURSOS!$D$14,[1]CURSOS!$E$14,(+IF($N147=[1]CURSOS!$D$15,[1]CURSOS!$E$15,(+IF($N147=[1]CURSOS!$D$16,[1]CURSOS!$E$16,(+IF($N147=[1]CURSOS!$D$17,[1]CURSOS!$E$17,(+IF($N147=[1]CURSOS!$D$18,[1]CURSOS!$E$18,(+IF($N147=[1]CURSOS!$D$19,[1]CURSOS!$E$19,(+IF($N147=[1]CURSOS!$D$20,[1]CURSOS!$E$20,(+IF($N147=[1]CURSOS!$D$21,[1]CURSOS!$E$21,(+IF($N147=[1]CURSOS!$D$22,[1]CURSOS!$E$22,(+IF($N147=[1]CURSOS!$D$23,[1]CURSOS!$E$23,(+IF($N147=[1]CURSOS!$D$24,[1]CURSOS!$E$24,(+IF($N147=[1]CURSOS!$D$25,[1]CURSOS!$E$25,(+IF($N147=[1]CURSOS!$D$26,[1]CURSOS!$E$26,(+IF($N147=[1]CURSOS!$D$27,[1]CURSOS!$E$27,(+IF($N147=[1]CURSOS!$D$28,[1]CURSOS!$E$28,(+IF($N147=[1]CURSOS!$D$29,[1]CURSOS!$E$29,(+IF($N147=[1]CURSOS!$D$30,[1]CURSOS!$E$30,(+IF($N147=[1]CURSOS!$D$31,[1]CURSOS!$E$31,(+IF($N147=[1]CURSOS!$D$32,[1]CURSOS!$E$32)))))))))))))))))))))))))))))))))))))))))))))))))))))))))))</f>
        <v>SOPORTE VITAL BASICO (BLS)</v>
      </c>
      <c r="T147" s="17" t="str">
        <f t="shared" ref="T147" si="76">CONCATENATE(E147," ",F147," ",C147," ",D147)</f>
        <v>Luz Bibiana Castro Parra</v>
      </c>
      <c r="U147" s="17" t="str">
        <f t="shared" ref="U147" si="77">+PROPER(T147)</f>
        <v>Luz Bibiana Castro Parra</v>
      </c>
      <c r="V147" s="17" t="str">
        <f t="shared" ref="V147" si="78">CONCATENATE(T147,"-",B147,"-",N147)</f>
        <v>Luz Bibiana Castro Parra-43537526-BLS</v>
      </c>
    </row>
    <row r="148" spans="1:22" x14ac:dyDescent="0.2">
      <c r="A148" s="17">
        <v>158</v>
      </c>
      <c r="B148" s="17">
        <v>1085326714</v>
      </c>
      <c r="C148" s="17" t="s">
        <v>249</v>
      </c>
      <c r="D148" s="17" t="s">
        <v>250</v>
      </c>
      <c r="E148" s="17" t="s">
        <v>206</v>
      </c>
      <c r="F148" s="18" t="s">
        <v>251</v>
      </c>
      <c r="G148" s="17">
        <v>15</v>
      </c>
      <c r="H148" s="17" t="s">
        <v>63</v>
      </c>
      <c r="I148" s="19">
        <v>45342</v>
      </c>
      <c r="J148" s="1">
        <v>60000</v>
      </c>
      <c r="K148" s="17" t="s">
        <v>208</v>
      </c>
      <c r="L148" s="17" t="s">
        <v>223</v>
      </c>
      <c r="M148" s="17" t="s">
        <v>40</v>
      </c>
      <c r="N148" s="17" t="s">
        <v>30</v>
      </c>
      <c r="O148" s="20">
        <v>35105</v>
      </c>
      <c r="P148" s="21" t="s">
        <v>42</v>
      </c>
      <c r="Q148" s="17" t="s">
        <v>43</v>
      </c>
      <c r="S148" s="17" t="str">
        <f>+IF($N148=[1]CURSOS!$D$3,[1]CURSOS!$E$3,(+IF($N148=[1]CURSOS!$D$4,[1]CURSOS!$E$4,(+IF($N148=[1]CURSOS!$D$5,[1]CURSOS!$E$5,(+IF($N148=[1]CURSOS!$D$6,[1]CURSOS!$E$6,(+IF($N148=[1]CURSOS!$D$7,[1]CURSOS!$E$7,(+IF($N148=[1]CURSOS!$D$8,[1]CURSOS!$E$8,(+IF($N148=[1]CURSOS!$D$9,[1]CURSOS!$E$9,(+IF($N148=[1]CURSOS!$D$10,[1]CURSOS!$E$10,(+IF($N148=[1]CURSOS!$D$11,[1]CURSOS!$E$11,(+IF($N148=[1]CURSOS!$D$12,[1]CURSOS!$E$12,(+IF($N148=[1]CURSOS!$D$13,[1]CURSOS!$E$13,(+IF($N148=[1]CURSOS!$D$14,[1]CURSOS!$E$14,(+IF($N148=[1]CURSOS!$D$15,[1]CURSOS!$E$15,(+IF($N148=[1]CURSOS!$D$16,[1]CURSOS!$E$16,(+IF($N148=[1]CURSOS!$D$17,[1]CURSOS!$E$17,(+IF($N148=[1]CURSOS!$D$18,[1]CURSOS!$E$18,(+IF($N148=[1]CURSOS!$D$19,[1]CURSOS!$E$19,(+IF($N148=[1]CURSOS!$D$20,[1]CURSOS!$E$20,(+IF($N148=[1]CURSOS!$D$21,[1]CURSOS!$E$21,(+IF($N148=[1]CURSOS!$D$22,[1]CURSOS!$E$22,(+IF($N148=[1]CURSOS!$D$23,[1]CURSOS!$E$23,(+IF($N148=[1]CURSOS!$D$24,[1]CURSOS!$E$24,(+IF($N148=[1]CURSOS!$D$25,[1]CURSOS!$E$25,(+IF($N148=[1]CURSOS!$D$26,[1]CURSOS!$E$26,(+IF($N148=[1]CURSOS!$D$27,[1]CURSOS!$E$27,(+IF($N148=[1]CURSOS!$D$28,[1]CURSOS!$E$28,(+IF($N148=[1]CURSOS!$D$29,[1]CURSOS!$E$29,(+IF($N148=[1]CURSOS!$D$30,[1]CURSOS!$E$30,(+IF($N148=[1]CURSOS!$D$31,[1]CURSOS!$E$31,(+IF($N148=[1]CURSOS!$D$32,[1]CURSOS!$E$32)))))))))))))))))))))))))))))))))))))))))))))))))))))))))))</f>
        <v xml:space="preserve">ADMINISTRACION DE MEDICAMENTOS, INYECTOLOGIA  Y CANALIZACION </v>
      </c>
      <c r="T148" s="17" t="str">
        <f t="shared" ref="T148:T149" si="79">CONCATENATE(E148," ",F148," ",C148," ",D148)</f>
        <v>Laura Kateryne Burbano Capacho</v>
      </c>
      <c r="U148" s="17" t="str">
        <f t="shared" ref="U148:U149" si="80">+PROPER(T148)</f>
        <v>Laura Kateryne Burbano Capacho</v>
      </c>
      <c r="V148" s="17" t="str">
        <f t="shared" ref="V148:V149" si="81">CONCATENATE(T148,"-",B148,"-",N148)</f>
        <v>Laura Kateryne Burbano Capacho-1085326714-ADMON DE MEDICAMENTOS</v>
      </c>
    </row>
    <row r="149" spans="1:22" x14ac:dyDescent="0.2">
      <c r="A149" s="17">
        <v>159</v>
      </c>
      <c r="B149" s="17">
        <v>1004189604</v>
      </c>
      <c r="C149" s="17" t="s">
        <v>336</v>
      </c>
      <c r="D149" s="17" t="s">
        <v>276</v>
      </c>
      <c r="E149" s="17" t="s">
        <v>335</v>
      </c>
      <c r="F149" s="18" t="s">
        <v>87</v>
      </c>
      <c r="G149" s="17">
        <v>22</v>
      </c>
      <c r="H149" s="17" t="s">
        <v>63</v>
      </c>
      <c r="I149" s="19">
        <v>45342</v>
      </c>
      <c r="J149" s="1">
        <v>60000</v>
      </c>
      <c r="K149" s="17" t="s">
        <v>208</v>
      </c>
      <c r="L149" s="17" t="s">
        <v>223</v>
      </c>
      <c r="M149" s="17" t="s">
        <v>40</v>
      </c>
      <c r="N149" s="17" t="s">
        <v>30</v>
      </c>
      <c r="P149" s="21" t="s">
        <v>42</v>
      </c>
      <c r="Q149" s="17" t="s">
        <v>43</v>
      </c>
      <c r="S149" s="17" t="str">
        <f>+IF($N149=[1]CURSOS!$D$3,[1]CURSOS!$E$3,(+IF($N149=[1]CURSOS!$D$4,[1]CURSOS!$E$4,(+IF($N149=[1]CURSOS!$D$5,[1]CURSOS!$E$5,(+IF($N149=[1]CURSOS!$D$6,[1]CURSOS!$E$6,(+IF($N149=[1]CURSOS!$D$7,[1]CURSOS!$E$7,(+IF($N149=[1]CURSOS!$D$8,[1]CURSOS!$E$8,(+IF($N149=[1]CURSOS!$D$9,[1]CURSOS!$E$9,(+IF($N149=[1]CURSOS!$D$10,[1]CURSOS!$E$10,(+IF($N149=[1]CURSOS!$D$11,[1]CURSOS!$E$11,(+IF($N149=[1]CURSOS!$D$12,[1]CURSOS!$E$12,(+IF($N149=[1]CURSOS!$D$13,[1]CURSOS!$E$13,(+IF($N149=[1]CURSOS!$D$14,[1]CURSOS!$E$14,(+IF($N149=[1]CURSOS!$D$15,[1]CURSOS!$E$15,(+IF($N149=[1]CURSOS!$D$16,[1]CURSOS!$E$16,(+IF($N149=[1]CURSOS!$D$17,[1]CURSOS!$E$17,(+IF($N149=[1]CURSOS!$D$18,[1]CURSOS!$E$18,(+IF($N149=[1]CURSOS!$D$19,[1]CURSOS!$E$19,(+IF($N149=[1]CURSOS!$D$20,[1]CURSOS!$E$20,(+IF($N149=[1]CURSOS!$D$21,[1]CURSOS!$E$21,(+IF($N149=[1]CURSOS!$D$22,[1]CURSOS!$E$22,(+IF($N149=[1]CURSOS!$D$23,[1]CURSOS!$E$23,(+IF($N149=[1]CURSOS!$D$24,[1]CURSOS!$E$24,(+IF($N149=[1]CURSOS!$D$25,[1]CURSOS!$E$25,(+IF($N149=[1]CURSOS!$D$26,[1]CURSOS!$E$26,(+IF($N149=[1]CURSOS!$D$27,[1]CURSOS!$E$27,(+IF($N149=[1]CURSOS!$D$28,[1]CURSOS!$E$28,(+IF($N149=[1]CURSOS!$D$29,[1]CURSOS!$E$29,(+IF($N149=[1]CURSOS!$D$30,[1]CURSOS!$E$30,(+IF($N149=[1]CURSOS!$D$31,[1]CURSOS!$E$31,(+IF($N149=[1]CURSOS!$D$32,[1]CURSOS!$E$32)))))))))))))))))))))))))))))))))))))))))))))))))))))))))))</f>
        <v xml:space="preserve">ADMINISTRACION DE MEDICAMENTOS, INYECTOLOGIA  Y CANALIZACION </v>
      </c>
      <c r="T149" s="17" t="str">
        <f t="shared" si="79"/>
        <v>Magda Lorena juajinoy Betancourt</v>
      </c>
      <c r="U149" s="17" t="str">
        <f t="shared" si="80"/>
        <v>Magda Lorena Juajinoy Betancourt</v>
      </c>
      <c r="V149" s="17" t="str">
        <f t="shared" si="81"/>
        <v>Magda Lorena juajinoy Betancourt-1004189604-ADMON DE MEDICAMENTOS</v>
      </c>
    </row>
    <row r="150" spans="1:22" x14ac:dyDescent="0.2">
      <c r="A150" s="17">
        <v>160</v>
      </c>
      <c r="B150" s="17">
        <v>1085277113</v>
      </c>
      <c r="C150" s="17" t="s">
        <v>337</v>
      </c>
      <c r="D150" s="17" t="s">
        <v>136</v>
      </c>
      <c r="E150" s="17" t="s">
        <v>338</v>
      </c>
      <c r="F150" s="18" t="s">
        <v>287</v>
      </c>
      <c r="G150" s="17">
        <v>22</v>
      </c>
      <c r="H150" s="17" t="s">
        <v>63</v>
      </c>
      <c r="I150" s="19">
        <v>45345</v>
      </c>
      <c r="J150" s="1">
        <v>30000</v>
      </c>
      <c r="K150" s="17" t="s">
        <v>339</v>
      </c>
      <c r="L150" s="17" t="s">
        <v>223</v>
      </c>
      <c r="M150" s="17" t="s">
        <v>40</v>
      </c>
      <c r="N150" s="17" t="s">
        <v>19</v>
      </c>
      <c r="O150" s="20">
        <v>32814</v>
      </c>
      <c r="P150" s="21" t="s">
        <v>42</v>
      </c>
      <c r="Q150" s="17" t="s">
        <v>43</v>
      </c>
      <c r="S150" s="17" t="str">
        <f>+IF($N150=[1]CURSOS!$D$3,[1]CURSOS!$E$3,(+IF($N150=[1]CURSOS!$D$4,[1]CURSOS!$E$4,(+IF($N150=[1]CURSOS!$D$5,[1]CURSOS!$E$5,(+IF($N150=[1]CURSOS!$D$6,[1]CURSOS!$E$6,(+IF($N150=[1]CURSOS!$D$7,[1]CURSOS!$E$7,(+IF($N150=[1]CURSOS!$D$8,[1]CURSOS!$E$8,(+IF($N150=[1]CURSOS!$D$9,[1]CURSOS!$E$9,(+IF($N150=[1]CURSOS!$D$10,[1]CURSOS!$E$10,(+IF($N150=[1]CURSOS!$D$11,[1]CURSOS!$E$11,(+IF($N150=[1]CURSOS!$D$12,[1]CURSOS!$E$12,(+IF($N150=[1]CURSOS!$D$13,[1]CURSOS!$E$13,(+IF($N150=[1]CURSOS!$D$14,[1]CURSOS!$E$14,(+IF($N150=[1]CURSOS!$D$15,[1]CURSOS!$E$15,(+IF($N150=[1]CURSOS!$D$16,[1]CURSOS!$E$16,(+IF($N150=[1]CURSOS!$D$17,[1]CURSOS!$E$17,(+IF($N150=[1]CURSOS!$D$18,[1]CURSOS!$E$18,(+IF($N150=[1]CURSOS!$D$19,[1]CURSOS!$E$19,(+IF($N150=[1]CURSOS!$D$20,[1]CURSOS!$E$20,(+IF($N150=[1]CURSOS!$D$21,[1]CURSOS!$E$21,(+IF($N150=[1]CURSOS!$D$22,[1]CURSOS!$E$22,(+IF($N150=[1]CURSOS!$D$23,[1]CURSOS!$E$23,(+IF($N150=[1]CURSOS!$D$24,[1]CURSOS!$E$24,(+IF($N150=[1]CURSOS!$D$25,[1]CURSOS!$E$25,(+IF($N150=[1]CURSOS!$D$26,[1]CURSOS!$E$26,(+IF($N150=[1]CURSOS!$D$27,[1]CURSOS!$E$27,(+IF($N150=[1]CURSOS!$D$28,[1]CURSOS!$E$28,(+IF($N150=[1]CURSOS!$D$29,[1]CURSOS!$E$29,(+IF($N150=[1]CURSOS!$D$30,[1]CURSOS!$E$30,(+IF($N150=[1]CURSOS!$D$31,[1]CURSOS!$E$31,(+IF($N150=[1]CURSOS!$D$32,[1]CURSOS!$E$32)))))))))))))))))))))))))))))))))))))))))))))))))))))))))))</f>
        <v>SOPORTE VITAL BASICO (BLS)</v>
      </c>
      <c r="T150" s="17" t="str">
        <f t="shared" ref="T150:T153" si="82">CONCATENATE(E150," ",F150," ",C150," ",D150)</f>
        <v>Ayde Marcela Miramag Delgado</v>
      </c>
      <c r="U150" s="17" t="str">
        <f t="shared" ref="U150:U153" si="83">+PROPER(T150)</f>
        <v>Ayde Marcela Miramag Delgado</v>
      </c>
      <c r="V150" s="17" t="str">
        <f t="shared" ref="V150:V153" si="84">CONCATENATE(T150,"-",B150,"-",N150)</f>
        <v>Ayde Marcela Miramag Delgado-1085277113-BLS</v>
      </c>
    </row>
    <row r="151" spans="1:22" x14ac:dyDescent="0.2">
      <c r="A151" s="17">
        <v>161</v>
      </c>
      <c r="B151" s="17">
        <v>1085277113</v>
      </c>
      <c r="C151" s="17" t="s">
        <v>337</v>
      </c>
      <c r="D151" s="17" t="s">
        <v>136</v>
      </c>
      <c r="E151" s="17" t="s">
        <v>338</v>
      </c>
      <c r="F151" s="18" t="s">
        <v>287</v>
      </c>
      <c r="G151" s="17">
        <v>22</v>
      </c>
      <c r="H151" s="17" t="s">
        <v>63</v>
      </c>
      <c r="I151" s="19">
        <v>45345</v>
      </c>
      <c r="J151" s="1">
        <v>30000</v>
      </c>
      <c r="K151" s="17" t="s">
        <v>339</v>
      </c>
      <c r="L151" s="17" t="s">
        <v>223</v>
      </c>
      <c r="M151" s="17" t="s">
        <v>40</v>
      </c>
      <c r="N151" s="17" t="s">
        <v>27</v>
      </c>
      <c r="O151" s="20">
        <v>32814</v>
      </c>
      <c r="P151" s="21" t="s">
        <v>42</v>
      </c>
      <c r="Q151" s="17" t="s">
        <v>43</v>
      </c>
      <c r="S151" s="17" t="str">
        <f>+IF($N151=[1]CURSOS!$D$3,[1]CURSOS!$E$3,(+IF($N151=[1]CURSOS!$D$4,[1]CURSOS!$E$4,(+IF($N151=[1]CURSOS!$D$5,[1]CURSOS!$E$5,(+IF($N151=[1]CURSOS!$D$6,[1]CURSOS!$E$6,(+IF($N151=[1]CURSOS!$D$7,[1]CURSOS!$E$7,(+IF($N151=[1]CURSOS!$D$8,[1]CURSOS!$E$8,(+IF($N151=[1]CURSOS!$D$9,[1]CURSOS!$E$9,(+IF($N151=[1]CURSOS!$D$10,[1]CURSOS!$E$10,(+IF($N151=[1]CURSOS!$D$11,[1]CURSOS!$E$11,(+IF($N151=[1]CURSOS!$D$12,[1]CURSOS!$E$12,(+IF($N151=[1]CURSOS!$D$13,[1]CURSOS!$E$13,(+IF($N151=[1]CURSOS!$D$14,[1]CURSOS!$E$14,(+IF($N151=[1]CURSOS!$D$15,[1]CURSOS!$E$15,(+IF($N151=[1]CURSOS!$D$16,[1]CURSOS!$E$16,(+IF($N151=[1]CURSOS!$D$17,[1]CURSOS!$E$17,(+IF($N151=[1]CURSOS!$D$18,[1]CURSOS!$E$18,(+IF($N151=[1]CURSOS!$D$19,[1]CURSOS!$E$19,(+IF($N151=[1]CURSOS!$D$20,[1]CURSOS!$E$20,(+IF($N151=[1]CURSOS!$D$21,[1]CURSOS!$E$21,(+IF($N151=[1]CURSOS!$D$22,[1]CURSOS!$E$22,(+IF($N151=[1]CURSOS!$D$23,[1]CURSOS!$E$23,(+IF($N151=[1]CURSOS!$D$24,[1]CURSOS!$E$24,(+IF($N151=[1]CURSOS!$D$25,[1]CURSOS!$E$25,(+IF($N151=[1]CURSOS!$D$26,[1]CURSOS!$E$26,(+IF($N151=[1]CURSOS!$D$27,[1]CURSOS!$E$27,(+IF($N151=[1]CURSOS!$D$28,[1]CURSOS!$E$28,(+IF($N151=[1]CURSOS!$D$29,[1]CURSOS!$E$29,(+IF($N151=[1]CURSOS!$D$30,[1]CURSOS!$E$30,(+IF($N151=[1]CURSOS!$D$31,[1]CURSOS!$E$31,(+IF($N151=[1]CURSOS!$D$32,[1]CURSOS!$E$32)))))))))))))))))))))))))))))))))))))))))))))))))))))))))))</f>
        <v xml:space="preserve">ATENCION A VICTIMAS DE VIOLENCIA SEXUAL </v>
      </c>
      <c r="T151" s="17" t="str">
        <f t="shared" si="82"/>
        <v>Ayde Marcela Miramag Delgado</v>
      </c>
      <c r="U151" s="17" t="str">
        <f t="shared" si="83"/>
        <v>Ayde Marcela Miramag Delgado</v>
      </c>
      <c r="V151" s="17" t="str">
        <f t="shared" si="84"/>
        <v>Ayde Marcela Miramag Delgado-1085277113-VIOLENCIA SEXUAL</v>
      </c>
    </row>
    <row r="152" spans="1:22" x14ac:dyDescent="0.2">
      <c r="A152" s="17">
        <v>162</v>
      </c>
      <c r="B152" s="17">
        <v>1085277113</v>
      </c>
      <c r="C152" s="17" t="s">
        <v>337</v>
      </c>
      <c r="D152" s="17" t="s">
        <v>136</v>
      </c>
      <c r="E152" s="17" t="s">
        <v>338</v>
      </c>
      <c r="F152" s="18" t="s">
        <v>287</v>
      </c>
      <c r="G152" s="17">
        <v>22</v>
      </c>
      <c r="H152" s="17" t="s">
        <v>63</v>
      </c>
      <c r="I152" s="19">
        <v>45345</v>
      </c>
      <c r="J152" s="1">
        <v>30000</v>
      </c>
      <c r="K152" s="17" t="s">
        <v>339</v>
      </c>
      <c r="L152" s="17" t="s">
        <v>223</v>
      </c>
      <c r="M152" s="17" t="s">
        <v>40</v>
      </c>
      <c r="N152" s="17" t="s">
        <v>20</v>
      </c>
      <c r="O152" s="20">
        <v>32814</v>
      </c>
      <c r="P152" s="21" t="s">
        <v>42</v>
      </c>
      <c r="Q152" s="17" t="s">
        <v>43</v>
      </c>
      <c r="S152" s="17" t="str">
        <f>+IF($N152=[1]CURSOS!$D$3,[1]CURSOS!$E$3,(+IF($N152=[1]CURSOS!$D$4,[1]CURSOS!$E$4,(+IF($N152=[1]CURSOS!$D$5,[1]CURSOS!$E$5,(+IF($N152=[1]CURSOS!$D$6,[1]CURSOS!$E$6,(+IF($N152=[1]CURSOS!$D$7,[1]CURSOS!$E$7,(+IF($N152=[1]CURSOS!$D$8,[1]CURSOS!$E$8,(+IF($N152=[1]CURSOS!$D$9,[1]CURSOS!$E$9,(+IF($N152=[1]CURSOS!$D$10,[1]CURSOS!$E$10,(+IF($N152=[1]CURSOS!$D$11,[1]CURSOS!$E$11,(+IF($N152=[1]CURSOS!$D$12,[1]CURSOS!$E$12,(+IF($N152=[1]CURSOS!$D$13,[1]CURSOS!$E$13,(+IF($N152=[1]CURSOS!$D$14,[1]CURSOS!$E$14,(+IF($N152=[1]CURSOS!$D$15,[1]CURSOS!$E$15,(+IF($N152=[1]CURSOS!$D$16,[1]CURSOS!$E$16,(+IF($N152=[1]CURSOS!$D$17,[1]CURSOS!$E$17,(+IF($N152=[1]CURSOS!$D$18,[1]CURSOS!$E$18,(+IF($N152=[1]CURSOS!$D$19,[1]CURSOS!$E$19,(+IF($N152=[1]CURSOS!$D$20,[1]CURSOS!$E$20,(+IF($N152=[1]CURSOS!$D$21,[1]CURSOS!$E$21,(+IF($N152=[1]CURSOS!$D$22,[1]CURSOS!$E$22,(+IF($N152=[1]CURSOS!$D$23,[1]CURSOS!$E$23,(+IF($N152=[1]CURSOS!$D$24,[1]CURSOS!$E$24,(+IF($N152=[1]CURSOS!$D$25,[1]CURSOS!$E$25,(+IF($N152=[1]CURSOS!$D$26,[1]CURSOS!$E$26,(+IF($N152=[1]CURSOS!$D$27,[1]CURSOS!$E$27,(+IF($N152=[1]CURSOS!$D$28,[1]CURSOS!$E$28,(+IF($N152=[1]CURSOS!$D$29,[1]CURSOS!$E$29,(+IF($N152=[1]CURSOS!$D$30,[1]CURSOS!$E$30,(+IF($N152=[1]CURSOS!$D$31,[1]CURSOS!$E$31,(+IF($N152=[1]CURSOS!$D$32,[1]CURSOS!$E$32)))))))))))))))))))))))))))))))))))))))))))))))))))))))))))</f>
        <v>ACOMPAÑAMIENTO Y MANEJO DEL DUELO</v>
      </c>
      <c r="T152" s="17" t="str">
        <f t="shared" si="82"/>
        <v>Ayde Marcela Miramag Delgado</v>
      </c>
      <c r="U152" s="17" t="str">
        <f t="shared" si="83"/>
        <v>Ayde Marcela Miramag Delgado</v>
      </c>
      <c r="V152" s="17" t="str">
        <f t="shared" si="84"/>
        <v>Ayde Marcela Miramag Delgado-1085277113-DUELO</v>
      </c>
    </row>
    <row r="153" spans="1:22" x14ac:dyDescent="0.2">
      <c r="A153" s="17">
        <v>163</v>
      </c>
      <c r="B153" s="17">
        <v>12754573</v>
      </c>
      <c r="C153" s="17" t="s">
        <v>340</v>
      </c>
      <c r="D153" s="17" t="s">
        <v>194</v>
      </c>
      <c r="E153" s="17" t="s">
        <v>163</v>
      </c>
      <c r="F153" s="18" t="s">
        <v>341</v>
      </c>
      <c r="G153" s="17">
        <v>25</v>
      </c>
      <c r="H153" s="17" t="s">
        <v>63</v>
      </c>
      <c r="I153" s="19">
        <v>45348</v>
      </c>
      <c r="J153" s="1">
        <v>30000</v>
      </c>
      <c r="K153" s="17" t="s">
        <v>83</v>
      </c>
      <c r="L153" s="17" t="s">
        <v>223</v>
      </c>
      <c r="M153" s="17" t="s">
        <v>40</v>
      </c>
      <c r="N153" s="17" t="s">
        <v>19</v>
      </c>
      <c r="O153" s="20">
        <v>33231</v>
      </c>
      <c r="P153" s="21" t="s">
        <v>39</v>
      </c>
      <c r="S153" s="17" t="str">
        <f>+IF($N153=[1]CURSOS!$D$3,[1]CURSOS!$E$3,(+IF($N153=[1]CURSOS!$D$4,[1]CURSOS!$E$4,(+IF($N153=[1]CURSOS!$D$5,[1]CURSOS!$E$5,(+IF($N153=[1]CURSOS!$D$6,[1]CURSOS!$E$6,(+IF($N153=[1]CURSOS!$D$7,[1]CURSOS!$E$7,(+IF($N153=[1]CURSOS!$D$8,[1]CURSOS!$E$8,(+IF($N153=[1]CURSOS!$D$9,[1]CURSOS!$E$9,(+IF($N153=[1]CURSOS!$D$10,[1]CURSOS!$E$10,(+IF($N153=[1]CURSOS!$D$11,[1]CURSOS!$E$11,(+IF($N153=[1]CURSOS!$D$12,[1]CURSOS!$E$12,(+IF($N153=[1]CURSOS!$D$13,[1]CURSOS!$E$13,(+IF($N153=[1]CURSOS!$D$14,[1]CURSOS!$E$14,(+IF($N153=[1]CURSOS!$D$15,[1]CURSOS!$E$15,(+IF($N153=[1]CURSOS!$D$16,[1]CURSOS!$E$16,(+IF($N153=[1]CURSOS!$D$17,[1]CURSOS!$E$17,(+IF($N153=[1]CURSOS!$D$18,[1]CURSOS!$E$18,(+IF($N153=[1]CURSOS!$D$19,[1]CURSOS!$E$19,(+IF($N153=[1]CURSOS!$D$20,[1]CURSOS!$E$20,(+IF($N153=[1]CURSOS!$D$21,[1]CURSOS!$E$21,(+IF($N153=[1]CURSOS!$D$22,[1]CURSOS!$E$22,(+IF($N153=[1]CURSOS!$D$23,[1]CURSOS!$E$23,(+IF($N153=[1]CURSOS!$D$24,[1]CURSOS!$E$24,(+IF($N153=[1]CURSOS!$D$25,[1]CURSOS!$E$25,(+IF($N153=[1]CURSOS!$D$26,[1]CURSOS!$E$26,(+IF($N153=[1]CURSOS!$D$27,[1]CURSOS!$E$27,(+IF($N153=[1]CURSOS!$D$28,[1]CURSOS!$E$28,(+IF($N153=[1]CURSOS!$D$29,[1]CURSOS!$E$29,(+IF($N153=[1]CURSOS!$D$30,[1]CURSOS!$E$30,(+IF($N153=[1]CURSOS!$D$31,[1]CURSOS!$E$31,(+IF($N153=[1]CURSOS!$D$32,[1]CURSOS!$E$32)))))))))))))))))))))))))))))))))))))))))))))))))))))))))))</f>
        <v>SOPORTE VITAL BASICO (BLS)</v>
      </c>
      <c r="T153" s="17" t="str">
        <f t="shared" si="82"/>
        <v>Luis Alirio janamejoy Muñoz</v>
      </c>
      <c r="U153" s="17" t="str">
        <f t="shared" si="83"/>
        <v>Luis Alirio Janamejoy Muñoz</v>
      </c>
      <c r="V153" s="17" t="str">
        <f t="shared" si="84"/>
        <v>Luis Alirio janamejoy Muñoz-12754573-BLS</v>
      </c>
    </row>
    <row r="154" spans="1:22" x14ac:dyDescent="0.2">
      <c r="A154" s="17">
        <v>164</v>
      </c>
      <c r="B154" s="17">
        <v>12754573</v>
      </c>
      <c r="C154" s="17" t="s">
        <v>340</v>
      </c>
      <c r="D154" s="17" t="s">
        <v>194</v>
      </c>
      <c r="E154" s="17" t="s">
        <v>163</v>
      </c>
      <c r="F154" s="18" t="s">
        <v>341</v>
      </c>
      <c r="G154" s="17">
        <v>25</v>
      </c>
      <c r="H154" s="17" t="s">
        <v>63</v>
      </c>
      <c r="I154" s="19">
        <v>45348</v>
      </c>
      <c r="J154" s="1">
        <v>30000</v>
      </c>
      <c r="K154" s="17" t="s">
        <v>83</v>
      </c>
      <c r="L154" s="17" t="s">
        <v>223</v>
      </c>
      <c r="M154" s="17" t="s">
        <v>40</v>
      </c>
      <c r="N154" s="17" t="s">
        <v>342</v>
      </c>
      <c r="O154" s="20">
        <v>33231</v>
      </c>
      <c r="P154" s="21" t="s">
        <v>39</v>
      </c>
      <c r="S154" s="17" t="s">
        <v>343</v>
      </c>
      <c r="T154" s="17" t="str">
        <f t="shared" ref="T154:T156" si="85">CONCATENATE(E154," ",F154," ",C154," ",D154)</f>
        <v>Luis Alirio janamejoy Muñoz</v>
      </c>
      <c r="U154" s="17" t="str">
        <f t="shared" ref="U154:U156" si="86">+PROPER(T154)</f>
        <v>Luis Alirio Janamejoy Muñoz</v>
      </c>
      <c r="V154" s="17" t="str">
        <f t="shared" ref="V154:V156" si="87">CONCATENATE(T154,"-",B154,"-",N154)</f>
        <v>Luis Alirio janamejoy Muñoz-12754573-DEA</v>
      </c>
    </row>
    <row r="155" spans="1:22" x14ac:dyDescent="0.2">
      <c r="A155" s="17">
        <v>165</v>
      </c>
      <c r="B155" s="17">
        <v>12754573</v>
      </c>
      <c r="C155" s="17" t="s">
        <v>340</v>
      </c>
      <c r="D155" s="17" t="s">
        <v>194</v>
      </c>
      <c r="E155" s="17" t="s">
        <v>163</v>
      </c>
      <c r="F155" s="18" t="s">
        <v>341</v>
      </c>
      <c r="G155" s="17">
        <v>25</v>
      </c>
      <c r="H155" s="17" t="s">
        <v>63</v>
      </c>
      <c r="I155" s="19">
        <v>45348</v>
      </c>
      <c r="J155" s="1">
        <v>30000</v>
      </c>
      <c r="K155" s="17" t="s">
        <v>83</v>
      </c>
      <c r="L155" s="17" t="s">
        <v>223</v>
      </c>
      <c r="M155" s="17" t="s">
        <v>40</v>
      </c>
      <c r="N155" s="17" t="s">
        <v>31</v>
      </c>
      <c r="O155" s="20">
        <v>33231</v>
      </c>
      <c r="P155" s="21" t="s">
        <v>39</v>
      </c>
      <c r="S155" s="17" t="str">
        <f>+IF($N155=[1]CURSOS!$D$3,[1]CURSOS!$E$3,(+IF($N155=[1]CURSOS!$D$4,[1]CURSOS!$E$4,(+IF($N155=[1]CURSOS!$D$5,[1]CURSOS!$E$5,(+IF($N155=[1]CURSOS!$D$6,[1]CURSOS!$E$6,(+IF($N155=[1]CURSOS!$D$7,[1]CURSOS!$E$7,(+IF($N155=[1]CURSOS!$D$8,[1]CURSOS!$E$8,(+IF($N155=[1]CURSOS!$D$9,[1]CURSOS!$E$9,(+IF($N155=[1]CURSOS!$D$10,[1]CURSOS!$E$10,(+IF($N155=[1]CURSOS!$D$11,[1]CURSOS!$E$11,(+IF($N155=[1]CURSOS!$D$12,[1]CURSOS!$E$12,(+IF($N155=[1]CURSOS!$D$13,[1]CURSOS!$E$13,(+IF($N155=[1]CURSOS!$D$14,[1]CURSOS!$E$14,(+IF($N155=[1]CURSOS!$D$15,[1]CURSOS!$E$15,(+IF($N155=[1]CURSOS!$D$16,[1]CURSOS!$E$16,(+IF($N155=[1]CURSOS!$D$17,[1]CURSOS!$E$17,(+IF($N155=[1]CURSOS!$D$18,[1]CURSOS!$E$18,(+IF($N155=[1]CURSOS!$D$19,[1]CURSOS!$E$19,(+IF($N155=[1]CURSOS!$D$20,[1]CURSOS!$E$20,(+IF($N155=[1]CURSOS!$D$21,[1]CURSOS!$E$21,(+IF($N155=[1]CURSOS!$D$22,[1]CURSOS!$E$22,(+IF($N155=[1]CURSOS!$D$23,[1]CURSOS!$E$23,(+IF($N155=[1]CURSOS!$D$24,[1]CURSOS!$E$24,(+IF($N155=[1]CURSOS!$D$25,[1]CURSOS!$E$25,(+IF($N155=[1]CURSOS!$D$26,[1]CURSOS!$E$26,(+IF($N155=[1]CURSOS!$D$27,[1]CURSOS!$E$27,(+IF($N155=[1]CURSOS!$D$28,[1]CURSOS!$E$28,(+IF($N155=[1]CURSOS!$D$29,[1]CURSOS!$E$29,(+IF($N155=[1]CURSOS!$D$30,[1]CURSOS!$E$30,(+IF($N155=[1]CURSOS!$D$31,[1]CURSOS!$E$31,(+IF($N155=[1]CURSOS!$D$32,[1]CURSOS!$E$32)))))))))))))))))))))))))))))))))))))))))))))))))))))))))))</f>
        <v>OPERADOR DE VEHICULOS DE EMERGENCIA (OVE)</v>
      </c>
      <c r="T155" s="17" t="str">
        <f t="shared" si="85"/>
        <v>Luis Alirio janamejoy Muñoz</v>
      </c>
      <c r="U155" s="17" t="str">
        <f t="shared" si="86"/>
        <v>Luis Alirio Janamejoy Muñoz</v>
      </c>
      <c r="V155" s="17" t="str">
        <f t="shared" si="87"/>
        <v>Luis Alirio janamejoy Muñoz-12754573-OVE</v>
      </c>
    </row>
    <row r="156" spans="1:22" x14ac:dyDescent="0.2">
      <c r="A156" s="17">
        <v>166</v>
      </c>
      <c r="B156" s="17">
        <v>1085344535</v>
      </c>
      <c r="C156" s="17" t="s">
        <v>344</v>
      </c>
      <c r="D156" s="17" t="s">
        <v>345</v>
      </c>
      <c r="E156" s="17" t="s">
        <v>163</v>
      </c>
      <c r="F156" s="18" t="s">
        <v>346</v>
      </c>
      <c r="G156" s="17">
        <v>25</v>
      </c>
      <c r="H156" s="17" t="s">
        <v>63</v>
      </c>
      <c r="I156" s="19" t="s">
        <v>67</v>
      </c>
      <c r="J156" s="1">
        <v>60000</v>
      </c>
      <c r="K156" s="17" t="s">
        <v>68</v>
      </c>
      <c r="L156" s="17" t="s">
        <v>223</v>
      </c>
      <c r="M156" s="17" t="s">
        <v>209</v>
      </c>
      <c r="N156" s="17" t="s">
        <v>22</v>
      </c>
      <c r="O156" s="20">
        <v>36238</v>
      </c>
      <c r="P156" s="21" t="s">
        <v>39</v>
      </c>
      <c r="Q156" s="17" t="s">
        <v>347</v>
      </c>
      <c r="R156" s="17">
        <v>3216950647</v>
      </c>
      <c r="S156" s="17" t="str">
        <f>+IF($N156=[1]CURSOS!$D$3,[1]CURSOS!$E$3,(+IF($N156=[1]CURSOS!$D$4,[1]CURSOS!$E$4,(+IF($N156=[1]CURSOS!$D$5,[1]CURSOS!$E$5,(+IF($N156=[1]CURSOS!$D$6,[1]CURSOS!$E$6,(+IF($N156=[1]CURSOS!$D$7,[1]CURSOS!$E$7,(+IF($N156=[1]CURSOS!$D$8,[1]CURSOS!$E$8,(+IF($N156=[1]CURSOS!$D$9,[1]CURSOS!$E$9,(+IF($N156=[1]CURSOS!$D$10,[1]CURSOS!$E$10,(+IF($N156=[1]CURSOS!$D$11,[1]CURSOS!$E$11,(+IF($N156=[1]CURSOS!$D$12,[1]CURSOS!$E$12,(+IF($N156=[1]CURSOS!$D$13,[1]CURSOS!$E$13,(+IF($N156=[1]CURSOS!$D$14,[1]CURSOS!$E$14,(+IF($N156=[1]CURSOS!$D$15,[1]CURSOS!$E$15,(+IF($N156=[1]CURSOS!$D$16,[1]CURSOS!$E$16,(+IF($N156=[1]CURSOS!$D$17,[1]CURSOS!$E$17,(+IF($N156=[1]CURSOS!$D$18,[1]CURSOS!$E$18,(+IF($N156=[1]CURSOS!$D$19,[1]CURSOS!$E$19,(+IF($N156=[1]CURSOS!$D$20,[1]CURSOS!$E$20,(+IF($N156=[1]CURSOS!$D$21,[1]CURSOS!$E$21,(+IF($N156=[1]CURSOS!$D$22,[1]CURSOS!$E$22,(+IF($N156=[1]CURSOS!$D$23,[1]CURSOS!$E$23,(+IF($N156=[1]CURSOS!$D$24,[1]CURSOS!$E$24,(+IF($N156=[1]CURSOS!$D$25,[1]CURSOS!$E$25,(+IF($N156=[1]CURSOS!$D$26,[1]CURSOS!$E$26,(+IF($N156=[1]CURSOS!$D$27,[1]CURSOS!$E$27,(+IF($N156=[1]CURSOS!$D$28,[1]CURSOS!$E$28,(+IF($N156=[1]CURSOS!$D$29,[1]CURSOS!$E$29,(+IF($N156=[1]CURSOS!$D$30,[1]CURSOS!$E$30,(+IF($N156=[1]CURSOS!$D$31,[1]CURSOS!$E$31,(+IF($N156=[1]CURSOS!$D$32,[1]CURSOS!$E$32)))))))))))))))))))))))))))))))))))))))))))))))))))))))))))</f>
        <v>PRIMEROS AUXILIOS</v>
      </c>
      <c r="T156" s="17" t="str">
        <f t="shared" si="85"/>
        <v>Luis Arturo Medina Samboni</v>
      </c>
      <c r="U156" s="17" t="str">
        <f t="shared" si="86"/>
        <v>Luis Arturo Medina Samboni</v>
      </c>
      <c r="V156" s="17" t="str">
        <f t="shared" si="87"/>
        <v>Luis Arturo Medina Samboni-1085344535-PRIMEROS AUXILIOS</v>
      </c>
    </row>
    <row r="157" spans="1:22" x14ac:dyDescent="0.2">
      <c r="A157" s="17">
        <v>167</v>
      </c>
      <c r="B157" s="17">
        <v>87062845</v>
      </c>
      <c r="C157" s="17" t="s">
        <v>95</v>
      </c>
      <c r="D157" s="17" t="s">
        <v>348</v>
      </c>
      <c r="E157" s="17" t="s">
        <v>349</v>
      </c>
      <c r="F157" s="18" t="s">
        <v>350</v>
      </c>
      <c r="G157" s="17">
        <v>26</v>
      </c>
      <c r="H157" s="17" t="s">
        <v>63</v>
      </c>
      <c r="I157" s="19">
        <v>45348</v>
      </c>
      <c r="J157" s="1">
        <v>80000</v>
      </c>
      <c r="K157" s="17" t="s">
        <v>45</v>
      </c>
      <c r="L157" s="17" t="s">
        <v>223</v>
      </c>
      <c r="M157" s="17" t="s">
        <v>40</v>
      </c>
      <c r="N157" s="17" t="s">
        <v>27</v>
      </c>
      <c r="O157" s="20">
        <v>30617</v>
      </c>
      <c r="P157" s="21" t="s">
        <v>39</v>
      </c>
      <c r="Q157" s="17" t="s">
        <v>351</v>
      </c>
      <c r="R157" s="17">
        <v>3137139095</v>
      </c>
      <c r="S157" s="17" t="str">
        <f>+IF($N157=[1]CURSOS!$D$3,[1]CURSOS!$E$3,(+IF($N157=[1]CURSOS!$D$4,[1]CURSOS!$E$4,(+IF($N157=[1]CURSOS!$D$5,[1]CURSOS!$E$5,(+IF($N157=[1]CURSOS!$D$6,[1]CURSOS!$E$6,(+IF($N157=[1]CURSOS!$D$7,[1]CURSOS!$E$7,(+IF($N157=[1]CURSOS!$D$8,[1]CURSOS!$E$8,(+IF($N157=[1]CURSOS!$D$9,[1]CURSOS!$E$9,(+IF($N157=[1]CURSOS!$D$10,[1]CURSOS!$E$10,(+IF($N157=[1]CURSOS!$D$11,[1]CURSOS!$E$11,(+IF($N157=[1]CURSOS!$D$12,[1]CURSOS!$E$12,(+IF($N157=[1]CURSOS!$D$13,[1]CURSOS!$E$13,(+IF($N157=[1]CURSOS!$D$14,[1]CURSOS!$E$14,(+IF($N157=[1]CURSOS!$D$15,[1]CURSOS!$E$15,(+IF($N157=[1]CURSOS!$D$16,[1]CURSOS!$E$16,(+IF($N157=[1]CURSOS!$D$17,[1]CURSOS!$E$17,(+IF($N157=[1]CURSOS!$D$18,[1]CURSOS!$E$18,(+IF($N157=[1]CURSOS!$D$19,[1]CURSOS!$E$19,(+IF($N157=[1]CURSOS!$D$20,[1]CURSOS!$E$20,(+IF($N157=[1]CURSOS!$D$21,[1]CURSOS!$E$21,(+IF($N157=[1]CURSOS!$D$22,[1]CURSOS!$E$22,(+IF($N157=[1]CURSOS!$D$23,[1]CURSOS!$E$23,(+IF($N157=[1]CURSOS!$D$24,[1]CURSOS!$E$24,(+IF($N157=[1]CURSOS!$D$25,[1]CURSOS!$E$25,(+IF($N157=[1]CURSOS!$D$26,[1]CURSOS!$E$26,(+IF($N157=[1]CURSOS!$D$27,[1]CURSOS!$E$27,(+IF($N157=[1]CURSOS!$D$28,[1]CURSOS!$E$28,(+IF($N157=[1]CURSOS!$D$29,[1]CURSOS!$E$29,(+IF($N157=[1]CURSOS!$D$30,[1]CURSOS!$E$30,(+IF($N157=[1]CURSOS!$D$31,[1]CURSOS!$E$31,(+IF($N157=[1]CURSOS!$D$32,[1]CURSOS!$E$32)))))))))))))))))))))))))))))))))))))))))))))))))))))))))))</f>
        <v xml:space="preserve">ATENCION A VICTIMAS DE VIOLENCIA SEXUAL </v>
      </c>
      <c r="T157" s="17" t="str">
        <f t="shared" ref="T157" si="88">CONCATENATE(E157," ",F157," ",C157," ",D157)</f>
        <v>Edmer Leonardo Ruales Ayala</v>
      </c>
      <c r="U157" s="17" t="str">
        <f t="shared" ref="U157" si="89">+PROPER(T157)</f>
        <v>Edmer Leonardo Ruales Ayala</v>
      </c>
      <c r="V157" s="17" t="str">
        <f t="shared" ref="V157" si="90">CONCATENATE(T157,"-",B157,"-",N157)</f>
        <v>Edmer Leonardo Ruales Ayala-87062845-VIOLENCIA SEXUAL</v>
      </c>
    </row>
    <row r="158" spans="1:22" x14ac:dyDescent="0.2">
      <c r="A158" s="17">
        <v>168</v>
      </c>
      <c r="B158" s="17">
        <v>38558508</v>
      </c>
      <c r="C158" s="17" t="s">
        <v>194</v>
      </c>
      <c r="D158" s="17" t="s">
        <v>149</v>
      </c>
      <c r="E158" s="17" t="s">
        <v>53</v>
      </c>
      <c r="F158" s="18" t="s">
        <v>296</v>
      </c>
      <c r="G158" s="17">
        <v>17</v>
      </c>
      <c r="H158" s="17" t="s">
        <v>63</v>
      </c>
      <c r="I158" s="19" t="s">
        <v>64</v>
      </c>
      <c r="J158" s="1" t="s">
        <v>64</v>
      </c>
      <c r="K158" s="17" t="s">
        <v>64</v>
      </c>
      <c r="L158" s="17" t="s">
        <v>223</v>
      </c>
      <c r="M158" s="17" t="s">
        <v>332</v>
      </c>
      <c r="N158" s="17" t="s">
        <v>20</v>
      </c>
      <c r="O158" s="20" t="s">
        <v>352</v>
      </c>
      <c r="P158" s="21" t="s">
        <v>42</v>
      </c>
      <c r="Q158" s="17" t="s">
        <v>353</v>
      </c>
      <c r="R158" s="17">
        <v>3113908354</v>
      </c>
      <c r="S158" s="17" t="str">
        <f>+IF($N158=[1]CURSOS!$D$3,[1]CURSOS!$E$3,(+IF($N158=[1]CURSOS!$D$4,[1]CURSOS!$E$4,(+IF($N158=[1]CURSOS!$D$5,[1]CURSOS!$E$5,(+IF($N158=[1]CURSOS!$D$6,[1]CURSOS!$E$6,(+IF($N158=[1]CURSOS!$D$7,[1]CURSOS!$E$7,(+IF($N158=[1]CURSOS!$D$8,[1]CURSOS!$E$8,(+IF($N158=[1]CURSOS!$D$9,[1]CURSOS!$E$9,(+IF($N158=[1]CURSOS!$D$10,[1]CURSOS!$E$10,(+IF($N158=[1]CURSOS!$D$11,[1]CURSOS!$E$11,(+IF($N158=[1]CURSOS!$D$12,[1]CURSOS!$E$12,(+IF($N158=[1]CURSOS!$D$13,[1]CURSOS!$E$13,(+IF($N158=[1]CURSOS!$D$14,[1]CURSOS!$E$14,(+IF($N158=[1]CURSOS!$D$15,[1]CURSOS!$E$15,(+IF($N158=[1]CURSOS!$D$16,[1]CURSOS!$E$16,(+IF($N158=[1]CURSOS!$D$17,[1]CURSOS!$E$17,(+IF($N158=[1]CURSOS!$D$18,[1]CURSOS!$E$18,(+IF($N158=[1]CURSOS!$D$19,[1]CURSOS!$E$19,(+IF($N158=[1]CURSOS!$D$20,[1]CURSOS!$E$20,(+IF($N158=[1]CURSOS!$D$21,[1]CURSOS!$E$21,(+IF($N158=[1]CURSOS!$D$22,[1]CURSOS!$E$22,(+IF($N158=[1]CURSOS!$D$23,[1]CURSOS!$E$23,(+IF($N158=[1]CURSOS!$D$24,[1]CURSOS!$E$24,(+IF($N158=[1]CURSOS!$D$25,[1]CURSOS!$E$25,(+IF($N158=[1]CURSOS!$D$26,[1]CURSOS!$E$26,(+IF($N158=[1]CURSOS!$D$27,[1]CURSOS!$E$27,(+IF($N158=[1]CURSOS!$D$28,[1]CURSOS!$E$28,(+IF($N158=[1]CURSOS!$D$29,[1]CURSOS!$E$29,(+IF($N158=[1]CURSOS!$D$30,[1]CURSOS!$E$30,(+IF($N158=[1]CURSOS!$D$31,[1]CURSOS!$E$31,(+IF($N158=[1]CURSOS!$D$32,[1]CURSOS!$E$32)))))))))))))))))))))))))))))))))))))))))))))))))))))))))))</f>
        <v>ACOMPAÑAMIENTO Y MANEJO DEL DUELO</v>
      </c>
      <c r="T158" s="17" t="str">
        <f t="shared" ref="T158" si="91">CONCATENATE(E158," ",F158," ",C158," ",D158)</f>
        <v>Maria Antonieta Muñoz Gomez</v>
      </c>
      <c r="U158" s="17" t="str">
        <f t="shared" ref="U158" si="92">+PROPER(T158)</f>
        <v>Maria Antonieta Muñoz Gomez</v>
      </c>
      <c r="V158" s="17" t="str">
        <f t="shared" ref="V158" si="93">CONCATENATE(T158,"-",B158,"-",N158)</f>
        <v>Maria Antonieta Muñoz Gomez-38558508-DUELO</v>
      </c>
    </row>
    <row r="159" spans="1:22" x14ac:dyDescent="0.2">
      <c r="A159" s="17">
        <v>169</v>
      </c>
      <c r="B159" s="17">
        <v>59794704</v>
      </c>
      <c r="C159" s="17" t="s">
        <v>120</v>
      </c>
      <c r="D159" s="17" t="s">
        <v>252</v>
      </c>
      <c r="E159" s="17" t="s">
        <v>86</v>
      </c>
      <c r="F159" s="18" t="s">
        <v>107</v>
      </c>
      <c r="G159" s="17">
        <v>26</v>
      </c>
      <c r="H159" s="17" t="s">
        <v>63</v>
      </c>
      <c r="I159" s="19">
        <v>45352</v>
      </c>
      <c r="J159" s="1">
        <v>32000</v>
      </c>
      <c r="K159" s="17" t="s">
        <v>45</v>
      </c>
      <c r="L159" s="17" t="s">
        <v>223</v>
      </c>
      <c r="M159" s="17" t="s">
        <v>75</v>
      </c>
      <c r="N159" s="17" t="s">
        <v>71</v>
      </c>
      <c r="O159" s="20">
        <v>26462</v>
      </c>
      <c r="P159" s="21" t="s">
        <v>42</v>
      </c>
      <c r="Q159" s="17" t="s">
        <v>354</v>
      </c>
      <c r="R159" s="17">
        <v>3136087623</v>
      </c>
      <c r="S159" s="17" t="str">
        <f>+IF($N159=[1]CURSOS!$D$3,[1]CURSOS!$E$3,(+IF($N159=[1]CURSOS!$D$4,[1]CURSOS!$E$4,(+IF($N159=[1]CURSOS!$D$5,[1]CURSOS!$E$5,(+IF($N159=[1]CURSOS!$D$6,[1]CURSOS!$E$6,(+IF($N159=[1]CURSOS!$D$7,[1]CURSOS!$E$7,(+IF($N159=[1]CURSOS!$D$8,[1]CURSOS!$E$8,(+IF($N159=[1]CURSOS!$D$9,[1]CURSOS!$E$9,(+IF($N159=[1]CURSOS!$D$10,[1]CURSOS!$E$10,(+IF($N159=[1]CURSOS!$D$11,[1]CURSOS!$E$11,(+IF($N159=[1]CURSOS!$D$12,[1]CURSOS!$E$12,(+IF($N159=[1]CURSOS!$D$13,[1]CURSOS!$E$13,(+IF($N159=[1]CURSOS!$D$14,[1]CURSOS!$E$14,(+IF($N159=[1]CURSOS!$D$15,[1]CURSOS!$E$15,(+IF($N159=[1]CURSOS!$D$16,[1]CURSOS!$E$16,(+IF($N159=[1]CURSOS!$D$17,[1]CURSOS!$E$17,(+IF($N159=[1]CURSOS!$D$18,[1]CURSOS!$E$18,(+IF($N159=[1]CURSOS!$D$19,[1]CURSOS!$E$19,(+IF($N159=[1]CURSOS!$D$20,[1]CURSOS!$E$20,(+IF($N159=[1]CURSOS!$D$21,[1]CURSOS!$E$21,(+IF($N159=[1]CURSOS!$D$22,[1]CURSOS!$E$22,(+IF($N159=[1]CURSOS!$D$23,[1]CURSOS!$E$23,(+IF($N159=[1]CURSOS!$D$24,[1]CURSOS!$E$24,(+IF($N159=[1]CURSOS!$D$25,[1]CURSOS!$E$25,(+IF($N159=[1]CURSOS!$D$26,[1]CURSOS!$E$26,(+IF($N159=[1]CURSOS!$D$27,[1]CURSOS!$E$27,(+IF($N159=[1]CURSOS!$D$28,[1]CURSOS!$E$28,(+IF($N159=[1]CURSOS!$D$29,[1]CURSOS!$E$29,(+IF($N159=[1]CURSOS!$D$30,[1]CURSOS!$E$30,(+IF($N159=[1]CURSOS!$D$31,[1]CURSOS!$E$31,(+IF($N159=[1]CURSOS!$D$32,[1]CURSOS!$E$32)))))))))))))))))))))))))))))))))))))))))))))))))))))))))))</f>
        <v xml:space="preserve">HUMANIZACION EN SALUD, BUENAS PRACTICAS EN PACIENTE </v>
      </c>
      <c r="T159" s="17" t="str">
        <f t="shared" ref="T159" si="94">CONCATENATE(E159," ",F159," ",C159," ",D159)</f>
        <v>Claudia Alejandra Melo Villota</v>
      </c>
      <c r="U159" s="17" t="str">
        <f t="shared" ref="U159" si="95">+PROPER(T159)</f>
        <v>Claudia Alejandra Melo Villota</v>
      </c>
      <c r="V159" s="17" t="str">
        <f t="shared" ref="V159" si="96">CONCATENATE(T159,"-",B159,"-",N159)</f>
        <v>Claudia Alejandra Melo Villota-59794704-Humanizacion</v>
      </c>
    </row>
    <row r="160" spans="1:22" x14ac:dyDescent="0.2">
      <c r="A160" s="17">
        <v>170</v>
      </c>
      <c r="B160" s="17">
        <v>1087959972</v>
      </c>
      <c r="C160" s="17" t="s">
        <v>355</v>
      </c>
      <c r="D160" s="17" t="s">
        <v>356</v>
      </c>
      <c r="E160" s="17" t="s">
        <v>123</v>
      </c>
      <c r="F160" s="18" t="s">
        <v>357</v>
      </c>
      <c r="G160" s="17">
        <v>27</v>
      </c>
      <c r="H160" s="17" t="s">
        <v>63</v>
      </c>
      <c r="I160" s="19" t="s">
        <v>67</v>
      </c>
      <c r="J160" s="1">
        <v>30000</v>
      </c>
      <c r="K160" s="17" t="s">
        <v>68</v>
      </c>
      <c r="L160" s="17" t="s">
        <v>223</v>
      </c>
      <c r="M160" s="17" t="s">
        <v>209</v>
      </c>
      <c r="N160" s="17" t="s">
        <v>27</v>
      </c>
      <c r="O160" s="20">
        <v>34354</v>
      </c>
      <c r="P160" s="21" t="s">
        <v>42</v>
      </c>
      <c r="Q160" s="17" t="s">
        <v>43</v>
      </c>
      <c r="R160" s="17">
        <v>3183894388</v>
      </c>
      <c r="S160" s="17" t="str">
        <f>+IF($N160=[1]CURSOS!$D$3,[1]CURSOS!$E$3,(+IF($N160=[1]CURSOS!$D$4,[1]CURSOS!$E$4,(+IF($N160=[1]CURSOS!$D$5,[1]CURSOS!$E$5,(+IF($N160=[1]CURSOS!$D$6,[1]CURSOS!$E$6,(+IF($N160=[1]CURSOS!$D$7,[1]CURSOS!$E$7,(+IF($N160=[1]CURSOS!$D$8,[1]CURSOS!$E$8,(+IF($N160=[1]CURSOS!$D$9,[1]CURSOS!$E$9,(+IF($N160=[1]CURSOS!$D$10,[1]CURSOS!$E$10,(+IF($N160=[1]CURSOS!$D$11,[1]CURSOS!$E$11,(+IF($N160=[1]CURSOS!$D$12,[1]CURSOS!$E$12,(+IF($N160=[1]CURSOS!$D$13,[1]CURSOS!$E$13,(+IF($N160=[1]CURSOS!$D$14,[1]CURSOS!$E$14,(+IF($N160=[1]CURSOS!$D$15,[1]CURSOS!$E$15,(+IF($N160=[1]CURSOS!$D$16,[1]CURSOS!$E$16,(+IF($N160=[1]CURSOS!$D$17,[1]CURSOS!$E$17,(+IF($N160=[1]CURSOS!$D$18,[1]CURSOS!$E$18,(+IF($N160=[1]CURSOS!$D$19,[1]CURSOS!$E$19,(+IF($N160=[1]CURSOS!$D$20,[1]CURSOS!$E$20,(+IF($N160=[1]CURSOS!$D$21,[1]CURSOS!$E$21,(+IF($N160=[1]CURSOS!$D$22,[1]CURSOS!$E$22,(+IF($N160=[1]CURSOS!$D$23,[1]CURSOS!$E$23,(+IF($N160=[1]CURSOS!$D$24,[1]CURSOS!$E$24,(+IF($N160=[1]CURSOS!$D$25,[1]CURSOS!$E$25,(+IF($N160=[1]CURSOS!$D$26,[1]CURSOS!$E$26,(+IF($N160=[1]CURSOS!$D$27,[1]CURSOS!$E$27,(+IF($N160=[1]CURSOS!$D$28,[1]CURSOS!$E$28,(+IF($N160=[1]CURSOS!$D$29,[1]CURSOS!$E$29,(+IF($N160=[1]CURSOS!$D$30,[1]CURSOS!$E$30,(+IF($N160=[1]CURSOS!$D$31,[1]CURSOS!$E$31,(+IF($N160=[1]CURSOS!$D$32,[1]CURSOS!$E$32)))))))))))))))))))))))))))))))))))))))))))))))))))))))))))</f>
        <v xml:space="preserve">ATENCION A VICTIMAS DE VIOLENCIA SEXUAL </v>
      </c>
      <c r="T160" s="17" t="str">
        <f t="shared" ref="T160:T161" si="97">CONCATENATE(E160," ",F160," ",C160," ",D160)</f>
        <v>Diana Beyanira Uyaque Insuasty</v>
      </c>
      <c r="U160" s="17" t="str">
        <f t="shared" ref="U160:U161" si="98">+PROPER(T160)</f>
        <v>Diana Beyanira Uyaque Insuasty</v>
      </c>
      <c r="V160" s="17" t="str">
        <f t="shared" ref="V160:V161" si="99">CONCATENATE(T160,"-",B160,"-",N160)</f>
        <v>Diana Beyanira Uyaque Insuasty-1087959972-VIOLENCIA SEXUAL</v>
      </c>
    </row>
    <row r="161" spans="1:22" x14ac:dyDescent="0.2">
      <c r="A161" s="17">
        <v>171</v>
      </c>
      <c r="B161" s="17">
        <v>27281824</v>
      </c>
      <c r="C161" s="17" t="s">
        <v>358</v>
      </c>
      <c r="D161" s="17" t="s">
        <v>359</v>
      </c>
      <c r="E161" s="17" t="s">
        <v>173</v>
      </c>
      <c r="F161" s="18" t="s">
        <v>167</v>
      </c>
      <c r="G161" s="17">
        <v>27</v>
      </c>
      <c r="H161" s="17" t="s">
        <v>63</v>
      </c>
      <c r="I161" s="19" t="s">
        <v>67</v>
      </c>
      <c r="J161" s="1">
        <v>20000</v>
      </c>
      <c r="K161" s="17" t="s">
        <v>68</v>
      </c>
      <c r="L161" s="17" t="s">
        <v>223</v>
      </c>
      <c r="M161" s="17" t="s">
        <v>209</v>
      </c>
      <c r="N161" s="17" t="s">
        <v>27</v>
      </c>
      <c r="O161" s="20">
        <v>30002</v>
      </c>
      <c r="P161" s="21" t="s">
        <v>42</v>
      </c>
      <c r="Q161" s="17" t="s">
        <v>43</v>
      </c>
      <c r="R161" s="17">
        <v>3046702656</v>
      </c>
      <c r="S161" s="17" t="str">
        <f>+IF($N161=[1]CURSOS!$D$3,[1]CURSOS!$E$3,(+IF($N161=[1]CURSOS!$D$4,[1]CURSOS!$E$4,(+IF($N161=[1]CURSOS!$D$5,[1]CURSOS!$E$5,(+IF($N161=[1]CURSOS!$D$6,[1]CURSOS!$E$6,(+IF($N161=[1]CURSOS!$D$7,[1]CURSOS!$E$7,(+IF($N161=[1]CURSOS!$D$8,[1]CURSOS!$E$8,(+IF($N161=[1]CURSOS!$D$9,[1]CURSOS!$E$9,(+IF($N161=[1]CURSOS!$D$10,[1]CURSOS!$E$10,(+IF($N161=[1]CURSOS!$D$11,[1]CURSOS!$E$11,(+IF($N161=[1]CURSOS!$D$12,[1]CURSOS!$E$12,(+IF($N161=[1]CURSOS!$D$13,[1]CURSOS!$E$13,(+IF($N161=[1]CURSOS!$D$14,[1]CURSOS!$E$14,(+IF($N161=[1]CURSOS!$D$15,[1]CURSOS!$E$15,(+IF($N161=[1]CURSOS!$D$16,[1]CURSOS!$E$16,(+IF($N161=[1]CURSOS!$D$17,[1]CURSOS!$E$17,(+IF($N161=[1]CURSOS!$D$18,[1]CURSOS!$E$18,(+IF($N161=[1]CURSOS!$D$19,[1]CURSOS!$E$19,(+IF($N161=[1]CURSOS!$D$20,[1]CURSOS!$E$20,(+IF($N161=[1]CURSOS!$D$21,[1]CURSOS!$E$21,(+IF($N161=[1]CURSOS!$D$22,[1]CURSOS!$E$22,(+IF($N161=[1]CURSOS!$D$23,[1]CURSOS!$E$23,(+IF($N161=[1]CURSOS!$D$24,[1]CURSOS!$E$24,(+IF($N161=[1]CURSOS!$D$25,[1]CURSOS!$E$25,(+IF($N161=[1]CURSOS!$D$26,[1]CURSOS!$E$26,(+IF($N161=[1]CURSOS!$D$27,[1]CURSOS!$E$27,(+IF($N161=[1]CURSOS!$D$28,[1]CURSOS!$E$28,(+IF($N161=[1]CURSOS!$D$29,[1]CURSOS!$E$29,(+IF($N161=[1]CURSOS!$D$30,[1]CURSOS!$E$30,(+IF($N161=[1]CURSOS!$D$31,[1]CURSOS!$E$31,(+IF($N161=[1]CURSOS!$D$32,[1]CURSOS!$E$32)))))))))))))))))))))))))))))))))))))))))))))))))))))))))))</f>
        <v xml:space="preserve">ATENCION A VICTIMAS DE VIOLENCIA SEXUAL </v>
      </c>
      <c r="T161" s="17" t="str">
        <f t="shared" si="97"/>
        <v>Sandra Patricia Realpe Imbachi</v>
      </c>
      <c r="U161" s="17" t="str">
        <f t="shared" si="98"/>
        <v>Sandra Patricia Realpe Imbachi</v>
      </c>
      <c r="V161" s="17" t="str">
        <f t="shared" si="99"/>
        <v>Sandra Patricia Realpe Imbachi-27281824-VIOLENCIA SEXUAL</v>
      </c>
    </row>
    <row r="162" spans="1:22" x14ac:dyDescent="0.2">
      <c r="A162" s="17">
        <v>172</v>
      </c>
      <c r="B162" s="17">
        <v>87712381</v>
      </c>
      <c r="C162" s="17" t="s">
        <v>360</v>
      </c>
      <c r="D162" s="17" t="s">
        <v>361</v>
      </c>
      <c r="E162" s="17" t="s">
        <v>362</v>
      </c>
      <c r="F162" s="18" t="s">
        <v>236</v>
      </c>
      <c r="G162" s="17">
        <v>27</v>
      </c>
      <c r="H162" s="17" t="s">
        <v>63</v>
      </c>
      <c r="I162" s="19">
        <v>45352</v>
      </c>
      <c r="J162" s="1">
        <v>32000</v>
      </c>
      <c r="K162" s="17" t="s">
        <v>45</v>
      </c>
      <c r="L162" s="17" t="s">
        <v>223</v>
      </c>
      <c r="M162" s="17" t="s">
        <v>75</v>
      </c>
      <c r="N162" s="17" t="s">
        <v>21</v>
      </c>
      <c r="O162" s="20">
        <v>26240</v>
      </c>
      <c r="P162" s="21" t="s">
        <v>39</v>
      </c>
      <c r="Q162" s="17" t="s">
        <v>43</v>
      </c>
      <c r="S162" s="17" t="str">
        <f>+IF($N162=[1]CURSOS!$D$3,[1]CURSOS!$E$3,(+IF($N162=[1]CURSOS!$D$4,[1]CURSOS!$E$4,(+IF($N162=[1]CURSOS!$D$5,[1]CURSOS!$E$5,(+IF($N162=[1]CURSOS!$D$6,[1]CURSOS!$E$6,(+IF($N162=[1]CURSOS!$D$7,[1]CURSOS!$E$7,(+IF($N162=[1]CURSOS!$D$8,[1]CURSOS!$E$8,(+IF($N162=[1]CURSOS!$D$9,[1]CURSOS!$E$9,(+IF($N162=[1]CURSOS!$D$10,[1]CURSOS!$E$10,(+IF($N162=[1]CURSOS!$D$11,[1]CURSOS!$E$11,(+IF($N162=[1]CURSOS!$D$12,[1]CURSOS!$E$12,(+IF($N162=[1]CURSOS!$D$13,[1]CURSOS!$E$13,(+IF($N162=[1]CURSOS!$D$14,[1]CURSOS!$E$14,(+IF($N162=[1]CURSOS!$D$15,[1]CURSOS!$E$15,(+IF($N162=[1]CURSOS!$D$16,[1]CURSOS!$E$16,(+IF($N162=[1]CURSOS!$D$17,[1]CURSOS!$E$17,(+IF($N162=[1]CURSOS!$D$18,[1]CURSOS!$E$18,(+IF($N162=[1]CURSOS!$D$19,[1]CURSOS!$E$19,(+IF($N162=[1]CURSOS!$D$20,[1]CURSOS!$E$20,(+IF($N162=[1]CURSOS!$D$21,[1]CURSOS!$E$21,(+IF($N162=[1]CURSOS!$D$22,[1]CURSOS!$E$22,(+IF($N162=[1]CURSOS!$D$23,[1]CURSOS!$E$23,(+IF($N162=[1]CURSOS!$D$24,[1]CURSOS!$E$24,(+IF($N162=[1]CURSOS!$D$25,[1]CURSOS!$E$25,(+IF($N162=[1]CURSOS!$D$26,[1]CURSOS!$E$26,(+IF($N162=[1]CURSOS!$D$27,[1]CURSOS!$E$27,(+IF($N162=[1]CURSOS!$D$28,[1]CURSOS!$E$28,(+IF($N162=[1]CURSOS!$D$29,[1]CURSOS!$E$29,(+IF($N162=[1]CURSOS!$D$30,[1]CURSOS!$E$30,(+IF($N162=[1]CURSOS!$D$31,[1]CURSOS!$E$31,(+IF($N162=[1]CURSOS!$D$32,[1]CURSOS!$E$32)))))))))))))))))))))))))))))))))))))))))))))))))))))))))))</f>
        <v xml:space="preserve">ATENCION A VICTIMAS DE ATAQUE CON AGENTES QUIMICOS </v>
      </c>
      <c r="T162" s="17" t="str">
        <f t="shared" ref="T162:T164" si="100">CONCATENATE(E162," ",F162," ",C162," ",D162)</f>
        <v>Jorge Humberto Fuertes Mejia</v>
      </c>
      <c r="U162" s="17" t="str">
        <f t="shared" ref="U162:U164" si="101">+PROPER(T162)</f>
        <v>Jorge Humberto Fuertes Mejia</v>
      </c>
      <c r="V162" s="17" t="str">
        <f t="shared" ref="V162:V164" si="102">CONCATENATE(T162,"-",B162,"-",N162)</f>
        <v>Jorge Humberto Fuertes Mejia-87712381-QUIMICOS</v>
      </c>
    </row>
    <row r="163" spans="1:22" x14ac:dyDescent="0.2">
      <c r="A163" s="17">
        <v>173</v>
      </c>
      <c r="B163" s="17">
        <v>87712381</v>
      </c>
      <c r="C163" s="17" t="s">
        <v>360</v>
      </c>
      <c r="D163" s="17" t="s">
        <v>361</v>
      </c>
      <c r="E163" s="17" t="s">
        <v>362</v>
      </c>
      <c r="F163" s="18" t="s">
        <v>236</v>
      </c>
      <c r="G163" s="17">
        <v>25</v>
      </c>
      <c r="H163" s="17" t="s">
        <v>63</v>
      </c>
      <c r="I163" s="19">
        <v>45352</v>
      </c>
      <c r="J163" s="1">
        <v>32000</v>
      </c>
      <c r="K163" s="17" t="s">
        <v>45</v>
      </c>
      <c r="L163" s="17" t="s">
        <v>223</v>
      </c>
      <c r="M163" s="17" t="s">
        <v>75</v>
      </c>
      <c r="N163" s="17" t="s">
        <v>27</v>
      </c>
      <c r="O163" s="20">
        <v>26240</v>
      </c>
      <c r="P163" s="21" t="s">
        <v>39</v>
      </c>
      <c r="Q163" s="17" t="s">
        <v>43</v>
      </c>
      <c r="S163" s="17" t="str">
        <f>+IF($N163=[1]CURSOS!$D$3,[1]CURSOS!$E$3,(+IF($N163=[1]CURSOS!$D$4,[1]CURSOS!$E$4,(+IF($N163=[1]CURSOS!$D$5,[1]CURSOS!$E$5,(+IF($N163=[1]CURSOS!$D$6,[1]CURSOS!$E$6,(+IF($N163=[1]CURSOS!$D$7,[1]CURSOS!$E$7,(+IF($N163=[1]CURSOS!$D$8,[1]CURSOS!$E$8,(+IF($N163=[1]CURSOS!$D$9,[1]CURSOS!$E$9,(+IF($N163=[1]CURSOS!$D$10,[1]CURSOS!$E$10,(+IF($N163=[1]CURSOS!$D$11,[1]CURSOS!$E$11,(+IF($N163=[1]CURSOS!$D$12,[1]CURSOS!$E$12,(+IF($N163=[1]CURSOS!$D$13,[1]CURSOS!$E$13,(+IF($N163=[1]CURSOS!$D$14,[1]CURSOS!$E$14,(+IF($N163=[1]CURSOS!$D$15,[1]CURSOS!$E$15,(+IF($N163=[1]CURSOS!$D$16,[1]CURSOS!$E$16,(+IF($N163=[1]CURSOS!$D$17,[1]CURSOS!$E$17,(+IF($N163=[1]CURSOS!$D$18,[1]CURSOS!$E$18,(+IF($N163=[1]CURSOS!$D$19,[1]CURSOS!$E$19,(+IF($N163=[1]CURSOS!$D$20,[1]CURSOS!$E$20,(+IF($N163=[1]CURSOS!$D$21,[1]CURSOS!$E$21,(+IF($N163=[1]CURSOS!$D$22,[1]CURSOS!$E$22,(+IF($N163=[1]CURSOS!$D$23,[1]CURSOS!$E$23,(+IF($N163=[1]CURSOS!$D$24,[1]CURSOS!$E$24,(+IF($N163=[1]CURSOS!$D$25,[1]CURSOS!$E$25,(+IF($N163=[1]CURSOS!$D$26,[1]CURSOS!$E$26,(+IF($N163=[1]CURSOS!$D$27,[1]CURSOS!$E$27,(+IF($N163=[1]CURSOS!$D$28,[1]CURSOS!$E$28,(+IF($N163=[1]CURSOS!$D$29,[1]CURSOS!$E$29,(+IF($N163=[1]CURSOS!$D$30,[1]CURSOS!$E$30,(+IF($N163=[1]CURSOS!$D$31,[1]CURSOS!$E$31,(+IF($N163=[1]CURSOS!$D$32,[1]CURSOS!$E$32)))))))))))))))))))))))))))))))))))))))))))))))))))))))))))</f>
        <v xml:space="preserve">ATENCION A VICTIMAS DE VIOLENCIA SEXUAL </v>
      </c>
      <c r="T163" s="17" t="str">
        <f t="shared" si="100"/>
        <v>Jorge Humberto Fuertes Mejia</v>
      </c>
      <c r="U163" s="17" t="str">
        <f t="shared" si="101"/>
        <v>Jorge Humberto Fuertes Mejia</v>
      </c>
      <c r="V163" s="17" t="str">
        <f t="shared" si="102"/>
        <v>Jorge Humberto Fuertes Mejia-87712381-VIOLENCIA SEXUAL</v>
      </c>
    </row>
    <row r="164" spans="1:22" x14ac:dyDescent="0.2">
      <c r="A164" s="17">
        <v>174</v>
      </c>
      <c r="B164" s="17">
        <v>87712381</v>
      </c>
      <c r="C164" s="17" t="s">
        <v>360</v>
      </c>
      <c r="D164" s="17" t="s">
        <v>361</v>
      </c>
      <c r="E164" s="17" t="s">
        <v>362</v>
      </c>
      <c r="F164" s="18" t="s">
        <v>236</v>
      </c>
      <c r="G164" s="17">
        <v>28</v>
      </c>
      <c r="H164" s="17" t="s">
        <v>63</v>
      </c>
      <c r="I164" s="19">
        <v>45352</v>
      </c>
      <c r="J164" s="1">
        <v>32000</v>
      </c>
      <c r="K164" s="17" t="s">
        <v>45</v>
      </c>
      <c r="L164" s="17" t="s">
        <v>223</v>
      </c>
      <c r="M164" s="17" t="s">
        <v>75</v>
      </c>
      <c r="N164" s="17" t="s">
        <v>20</v>
      </c>
      <c r="O164" s="20">
        <v>26240</v>
      </c>
      <c r="P164" s="21" t="s">
        <v>39</v>
      </c>
      <c r="Q164" s="17" t="s">
        <v>43</v>
      </c>
      <c r="S164" s="17" t="str">
        <f>+IF($N164=[1]CURSOS!$D$3,[1]CURSOS!$E$3,(+IF($N164=[1]CURSOS!$D$4,[1]CURSOS!$E$4,(+IF($N164=[1]CURSOS!$D$5,[1]CURSOS!$E$5,(+IF($N164=[1]CURSOS!$D$6,[1]CURSOS!$E$6,(+IF($N164=[1]CURSOS!$D$7,[1]CURSOS!$E$7,(+IF($N164=[1]CURSOS!$D$8,[1]CURSOS!$E$8,(+IF($N164=[1]CURSOS!$D$9,[1]CURSOS!$E$9,(+IF($N164=[1]CURSOS!$D$10,[1]CURSOS!$E$10,(+IF($N164=[1]CURSOS!$D$11,[1]CURSOS!$E$11,(+IF($N164=[1]CURSOS!$D$12,[1]CURSOS!$E$12,(+IF($N164=[1]CURSOS!$D$13,[1]CURSOS!$E$13,(+IF($N164=[1]CURSOS!$D$14,[1]CURSOS!$E$14,(+IF($N164=[1]CURSOS!$D$15,[1]CURSOS!$E$15,(+IF($N164=[1]CURSOS!$D$16,[1]CURSOS!$E$16,(+IF($N164=[1]CURSOS!$D$17,[1]CURSOS!$E$17,(+IF($N164=[1]CURSOS!$D$18,[1]CURSOS!$E$18,(+IF($N164=[1]CURSOS!$D$19,[1]CURSOS!$E$19,(+IF($N164=[1]CURSOS!$D$20,[1]CURSOS!$E$20,(+IF($N164=[1]CURSOS!$D$21,[1]CURSOS!$E$21,(+IF($N164=[1]CURSOS!$D$22,[1]CURSOS!$E$22,(+IF($N164=[1]CURSOS!$D$23,[1]CURSOS!$E$23,(+IF($N164=[1]CURSOS!$D$24,[1]CURSOS!$E$24,(+IF($N164=[1]CURSOS!$D$25,[1]CURSOS!$E$25,(+IF($N164=[1]CURSOS!$D$26,[1]CURSOS!$E$26,(+IF($N164=[1]CURSOS!$D$27,[1]CURSOS!$E$27,(+IF($N164=[1]CURSOS!$D$28,[1]CURSOS!$E$28,(+IF($N164=[1]CURSOS!$D$29,[1]CURSOS!$E$29,(+IF($N164=[1]CURSOS!$D$30,[1]CURSOS!$E$30,(+IF($N164=[1]CURSOS!$D$31,[1]CURSOS!$E$31,(+IF($N164=[1]CURSOS!$D$32,[1]CURSOS!$E$32)))))))))))))))))))))))))))))))))))))))))))))))))))))))))))</f>
        <v>ACOMPAÑAMIENTO Y MANEJO DEL DUELO</v>
      </c>
      <c r="T164" s="17" t="str">
        <f t="shared" si="100"/>
        <v>Jorge Humberto Fuertes Mejia</v>
      </c>
      <c r="U164" s="17" t="str">
        <f t="shared" si="101"/>
        <v>Jorge Humberto Fuertes Mejia</v>
      </c>
      <c r="V164" s="17" t="str">
        <f t="shared" si="102"/>
        <v>Jorge Humberto Fuertes Mejia-87712381-DUELO</v>
      </c>
    </row>
    <row r="165" spans="1:22" x14ac:dyDescent="0.2">
      <c r="A165" s="17">
        <v>175</v>
      </c>
      <c r="B165" s="17">
        <v>30732174</v>
      </c>
      <c r="C165" s="17" t="s">
        <v>363</v>
      </c>
      <c r="D165" s="17" t="s">
        <v>363</v>
      </c>
      <c r="E165" s="17" t="s">
        <v>364</v>
      </c>
      <c r="F165" s="18" t="s">
        <v>365</v>
      </c>
      <c r="G165" s="17">
        <v>28</v>
      </c>
      <c r="H165" s="17" t="s">
        <v>63</v>
      </c>
      <c r="I165" s="19">
        <v>45351</v>
      </c>
      <c r="J165" s="1">
        <v>20000</v>
      </c>
      <c r="K165" s="17" t="s">
        <v>83</v>
      </c>
      <c r="L165" s="17" t="s">
        <v>382</v>
      </c>
      <c r="M165" s="17" t="s">
        <v>210</v>
      </c>
      <c r="N165" s="17" t="s">
        <v>71</v>
      </c>
      <c r="O165" s="20" t="s">
        <v>366</v>
      </c>
      <c r="P165" s="21" t="s">
        <v>42</v>
      </c>
      <c r="Q165" s="17" t="s">
        <v>43</v>
      </c>
      <c r="S165" s="17" t="str">
        <f>+IF($N165=[1]CURSOS!$D$3,[1]CURSOS!$E$3,(+IF($N165=[1]CURSOS!$D$4,[1]CURSOS!$E$4,(+IF($N165=[1]CURSOS!$D$5,[1]CURSOS!$E$5,(+IF($N165=[1]CURSOS!$D$6,[1]CURSOS!$E$6,(+IF($N165=[1]CURSOS!$D$7,[1]CURSOS!$E$7,(+IF($N165=[1]CURSOS!$D$8,[1]CURSOS!$E$8,(+IF($N165=[1]CURSOS!$D$9,[1]CURSOS!$E$9,(+IF($N165=[1]CURSOS!$D$10,[1]CURSOS!$E$10,(+IF($N165=[1]CURSOS!$D$11,[1]CURSOS!$E$11,(+IF($N165=[1]CURSOS!$D$12,[1]CURSOS!$E$12,(+IF($N165=[1]CURSOS!$D$13,[1]CURSOS!$E$13,(+IF($N165=[1]CURSOS!$D$14,[1]CURSOS!$E$14,(+IF($N165=[1]CURSOS!$D$15,[1]CURSOS!$E$15,(+IF($N165=[1]CURSOS!$D$16,[1]CURSOS!$E$16,(+IF($N165=[1]CURSOS!$D$17,[1]CURSOS!$E$17,(+IF($N165=[1]CURSOS!$D$18,[1]CURSOS!$E$18,(+IF($N165=[1]CURSOS!$D$19,[1]CURSOS!$E$19,(+IF($N165=[1]CURSOS!$D$20,[1]CURSOS!$E$20,(+IF($N165=[1]CURSOS!$D$21,[1]CURSOS!$E$21,(+IF($N165=[1]CURSOS!$D$22,[1]CURSOS!$E$22,(+IF($N165=[1]CURSOS!$D$23,[1]CURSOS!$E$23,(+IF($N165=[1]CURSOS!$D$24,[1]CURSOS!$E$24,(+IF($N165=[1]CURSOS!$D$25,[1]CURSOS!$E$25,(+IF($N165=[1]CURSOS!$D$26,[1]CURSOS!$E$26,(+IF($N165=[1]CURSOS!$D$27,[1]CURSOS!$E$27,(+IF($N165=[1]CURSOS!$D$28,[1]CURSOS!$E$28,(+IF($N165=[1]CURSOS!$D$29,[1]CURSOS!$E$29,(+IF($N165=[1]CURSOS!$D$30,[1]CURSOS!$E$30,(+IF($N165=[1]CURSOS!$D$31,[1]CURSOS!$E$31,(+IF($N165=[1]CURSOS!$D$32,[1]CURSOS!$E$32)))))))))))))))))))))))))))))))))))))))))))))))))))))))))))</f>
        <v xml:space="preserve">HUMANIZACION EN SALUD, BUENAS PRACTICAS EN PACIENTE </v>
      </c>
      <c r="T165" s="17" t="str">
        <f t="shared" ref="T165:T174" si="103">CONCATENATE(E165," ",F165," ",C165," ",D165)</f>
        <v>Ana  Lucia Aguirre Aguirre</v>
      </c>
      <c r="U165" s="17" t="str">
        <f t="shared" ref="U165:U174" si="104">+PROPER(T165)</f>
        <v>Ana  Lucia Aguirre Aguirre</v>
      </c>
      <c r="V165" s="17" t="str">
        <f t="shared" ref="V165:V174" si="105">CONCATENATE(T165,"-",B165,"-",N165)</f>
        <v>Ana  Lucia Aguirre Aguirre-30732174-Humanizacion</v>
      </c>
    </row>
    <row r="166" spans="1:22" x14ac:dyDescent="0.2">
      <c r="A166" s="17">
        <v>176</v>
      </c>
      <c r="B166" s="17">
        <v>1083814635</v>
      </c>
      <c r="C166" s="17" t="s">
        <v>156</v>
      </c>
      <c r="D166" s="17" t="s">
        <v>51</v>
      </c>
      <c r="E166" s="17" t="s">
        <v>367</v>
      </c>
      <c r="F166" s="18" t="s">
        <v>107</v>
      </c>
      <c r="G166" s="17">
        <v>28</v>
      </c>
      <c r="H166" s="17" t="s">
        <v>63</v>
      </c>
      <c r="I166" s="19">
        <v>45351</v>
      </c>
      <c r="J166" s="1">
        <v>20000</v>
      </c>
      <c r="K166" s="17" t="s">
        <v>83</v>
      </c>
      <c r="L166" s="17" t="s">
        <v>223</v>
      </c>
      <c r="M166" s="17" t="s">
        <v>210</v>
      </c>
      <c r="N166" s="17" t="s">
        <v>71</v>
      </c>
      <c r="O166" s="20">
        <v>35956</v>
      </c>
      <c r="P166" s="21" t="s">
        <v>42</v>
      </c>
      <c r="Q166" s="17" t="s">
        <v>43</v>
      </c>
      <c r="S166" s="17" t="str">
        <f>+IF($N166=[1]CURSOS!$D$3,[1]CURSOS!$E$3,(+IF($N166=[1]CURSOS!$D$4,[1]CURSOS!$E$4,(+IF($N166=[1]CURSOS!$D$5,[1]CURSOS!$E$5,(+IF($N166=[1]CURSOS!$D$6,[1]CURSOS!$E$6,(+IF($N166=[1]CURSOS!$D$7,[1]CURSOS!$E$7,(+IF($N166=[1]CURSOS!$D$8,[1]CURSOS!$E$8,(+IF($N166=[1]CURSOS!$D$9,[1]CURSOS!$E$9,(+IF($N166=[1]CURSOS!$D$10,[1]CURSOS!$E$10,(+IF($N166=[1]CURSOS!$D$11,[1]CURSOS!$E$11,(+IF($N166=[1]CURSOS!$D$12,[1]CURSOS!$E$12,(+IF($N166=[1]CURSOS!$D$13,[1]CURSOS!$E$13,(+IF($N166=[1]CURSOS!$D$14,[1]CURSOS!$E$14,(+IF($N166=[1]CURSOS!$D$15,[1]CURSOS!$E$15,(+IF($N166=[1]CURSOS!$D$16,[1]CURSOS!$E$16,(+IF($N166=[1]CURSOS!$D$17,[1]CURSOS!$E$17,(+IF($N166=[1]CURSOS!$D$18,[1]CURSOS!$E$18,(+IF($N166=[1]CURSOS!$D$19,[1]CURSOS!$E$19,(+IF($N166=[1]CURSOS!$D$20,[1]CURSOS!$E$20,(+IF($N166=[1]CURSOS!$D$21,[1]CURSOS!$E$21,(+IF($N166=[1]CURSOS!$D$22,[1]CURSOS!$E$22,(+IF($N166=[1]CURSOS!$D$23,[1]CURSOS!$E$23,(+IF($N166=[1]CURSOS!$D$24,[1]CURSOS!$E$24,(+IF($N166=[1]CURSOS!$D$25,[1]CURSOS!$E$25,(+IF($N166=[1]CURSOS!$D$26,[1]CURSOS!$E$26,(+IF($N166=[1]CURSOS!$D$27,[1]CURSOS!$E$27,(+IF($N166=[1]CURSOS!$D$28,[1]CURSOS!$E$28,(+IF($N166=[1]CURSOS!$D$29,[1]CURSOS!$E$29,(+IF($N166=[1]CURSOS!$D$30,[1]CURSOS!$E$30,(+IF($N166=[1]CURSOS!$D$31,[1]CURSOS!$E$31,(+IF($N166=[1]CURSOS!$D$32,[1]CURSOS!$E$32)))))))))))))))))))))))))))))))))))))))))))))))))))))))))))</f>
        <v xml:space="preserve">HUMANIZACION EN SALUD, BUENAS PRACTICAS EN PACIENTE </v>
      </c>
      <c r="T166" s="17" t="str">
        <f t="shared" si="103"/>
        <v>Nayibe Alejandra Jurado Obando</v>
      </c>
      <c r="U166" s="17" t="str">
        <f t="shared" si="104"/>
        <v>Nayibe Alejandra Jurado Obando</v>
      </c>
      <c r="V166" s="17" t="str">
        <f t="shared" si="105"/>
        <v>Nayibe Alejandra Jurado Obando-1083814635-Humanizacion</v>
      </c>
    </row>
    <row r="167" spans="1:22" x14ac:dyDescent="0.2">
      <c r="A167" s="17">
        <v>177</v>
      </c>
      <c r="B167" s="17">
        <v>12979099</v>
      </c>
      <c r="C167" s="17" t="s">
        <v>57</v>
      </c>
      <c r="D167" s="17" t="s">
        <v>368</v>
      </c>
      <c r="E167" s="17" t="s">
        <v>369</v>
      </c>
      <c r="F167" s="18" t="s">
        <v>370</v>
      </c>
      <c r="G167" s="17">
        <v>28</v>
      </c>
      <c r="H167" s="17" t="s">
        <v>63</v>
      </c>
      <c r="I167" s="19">
        <v>45351</v>
      </c>
      <c r="J167" s="1">
        <v>20000</v>
      </c>
      <c r="K167" s="17" t="s">
        <v>83</v>
      </c>
      <c r="L167" s="17" t="s">
        <v>223</v>
      </c>
      <c r="M167" s="17" t="s">
        <v>210</v>
      </c>
      <c r="N167" s="17" t="s">
        <v>71</v>
      </c>
      <c r="O167" s="20">
        <v>23254</v>
      </c>
      <c r="P167" s="21" t="s">
        <v>39</v>
      </c>
      <c r="Q167" s="17" t="s">
        <v>43</v>
      </c>
      <c r="S167" s="17" t="str">
        <f>+IF($N167=[1]CURSOS!$D$3,[1]CURSOS!$E$3,(+IF($N167=[1]CURSOS!$D$4,[1]CURSOS!$E$4,(+IF($N167=[1]CURSOS!$D$5,[1]CURSOS!$E$5,(+IF($N167=[1]CURSOS!$D$6,[1]CURSOS!$E$6,(+IF($N167=[1]CURSOS!$D$7,[1]CURSOS!$E$7,(+IF($N167=[1]CURSOS!$D$8,[1]CURSOS!$E$8,(+IF($N167=[1]CURSOS!$D$9,[1]CURSOS!$E$9,(+IF($N167=[1]CURSOS!$D$10,[1]CURSOS!$E$10,(+IF($N167=[1]CURSOS!$D$11,[1]CURSOS!$E$11,(+IF($N167=[1]CURSOS!$D$12,[1]CURSOS!$E$12,(+IF($N167=[1]CURSOS!$D$13,[1]CURSOS!$E$13,(+IF($N167=[1]CURSOS!$D$14,[1]CURSOS!$E$14,(+IF($N167=[1]CURSOS!$D$15,[1]CURSOS!$E$15,(+IF($N167=[1]CURSOS!$D$16,[1]CURSOS!$E$16,(+IF($N167=[1]CURSOS!$D$17,[1]CURSOS!$E$17,(+IF($N167=[1]CURSOS!$D$18,[1]CURSOS!$E$18,(+IF($N167=[1]CURSOS!$D$19,[1]CURSOS!$E$19,(+IF($N167=[1]CURSOS!$D$20,[1]CURSOS!$E$20,(+IF($N167=[1]CURSOS!$D$21,[1]CURSOS!$E$21,(+IF($N167=[1]CURSOS!$D$22,[1]CURSOS!$E$22,(+IF($N167=[1]CURSOS!$D$23,[1]CURSOS!$E$23,(+IF($N167=[1]CURSOS!$D$24,[1]CURSOS!$E$24,(+IF($N167=[1]CURSOS!$D$25,[1]CURSOS!$E$25,(+IF($N167=[1]CURSOS!$D$26,[1]CURSOS!$E$26,(+IF($N167=[1]CURSOS!$D$27,[1]CURSOS!$E$27,(+IF($N167=[1]CURSOS!$D$28,[1]CURSOS!$E$28,(+IF($N167=[1]CURSOS!$D$29,[1]CURSOS!$E$29,(+IF($N167=[1]CURSOS!$D$30,[1]CURSOS!$E$30,(+IF($N167=[1]CURSOS!$D$31,[1]CURSOS!$E$31,(+IF($N167=[1]CURSOS!$D$32,[1]CURSOS!$E$32)))))))))))))))))))))))))))))))))))))))))))))))))))))))))))</f>
        <v xml:space="preserve">HUMANIZACION EN SALUD, BUENAS PRACTICAS EN PACIENTE </v>
      </c>
      <c r="T167" s="17" t="str">
        <f t="shared" si="103"/>
        <v>Edgar Ramiro Andrade Nieto</v>
      </c>
      <c r="U167" s="17" t="str">
        <f t="shared" si="104"/>
        <v>Edgar Ramiro Andrade Nieto</v>
      </c>
      <c r="V167" s="17" t="str">
        <f t="shared" si="105"/>
        <v>Edgar Ramiro Andrade Nieto-12979099-Humanizacion</v>
      </c>
    </row>
    <row r="168" spans="1:22" x14ac:dyDescent="0.2">
      <c r="A168" s="17">
        <v>178</v>
      </c>
      <c r="B168" s="17">
        <v>98387561</v>
      </c>
      <c r="C168" s="17" t="s">
        <v>371</v>
      </c>
      <c r="D168" s="17" t="s">
        <v>273</v>
      </c>
      <c r="E168" s="17" t="s">
        <v>127</v>
      </c>
      <c r="F168" s="18" t="s">
        <v>236</v>
      </c>
      <c r="G168" s="17">
        <v>28</v>
      </c>
      <c r="H168" s="17" t="s">
        <v>63</v>
      </c>
      <c r="I168" s="19">
        <v>45351</v>
      </c>
      <c r="J168" s="1">
        <v>20000</v>
      </c>
      <c r="K168" s="17" t="s">
        <v>83</v>
      </c>
      <c r="L168" s="17" t="s">
        <v>223</v>
      </c>
      <c r="M168" s="17" t="s">
        <v>210</v>
      </c>
      <c r="N168" s="17" t="s">
        <v>71</v>
      </c>
      <c r="O168" s="20">
        <v>27188</v>
      </c>
      <c r="P168" s="21" t="s">
        <v>39</v>
      </c>
      <c r="Q168" s="17" t="s">
        <v>43</v>
      </c>
      <c r="S168" s="17" t="str">
        <f>+IF($N168=[1]CURSOS!$D$3,[1]CURSOS!$E$3,(+IF($N168=[1]CURSOS!$D$4,[1]CURSOS!$E$4,(+IF($N168=[1]CURSOS!$D$5,[1]CURSOS!$E$5,(+IF($N168=[1]CURSOS!$D$6,[1]CURSOS!$E$6,(+IF($N168=[1]CURSOS!$D$7,[1]CURSOS!$E$7,(+IF($N168=[1]CURSOS!$D$8,[1]CURSOS!$E$8,(+IF($N168=[1]CURSOS!$D$9,[1]CURSOS!$E$9,(+IF($N168=[1]CURSOS!$D$10,[1]CURSOS!$E$10,(+IF($N168=[1]CURSOS!$D$11,[1]CURSOS!$E$11,(+IF($N168=[1]CURSOS!$D$12,[1]CURSOS!$E$12,(+IF($N168=[1]CURSOS!$D$13,[1]CURSOS!$E$13,(+IF($N168=[1]CURSOS!$D$14,[1]CURSOS!$E$14,(+IF($N168=[1]CURSOS!$D$15,[1]CURSOS!$E$15,(+IF($N168=[1]CURSOS!$D$16,[1]CURSOS!$E$16,(+IF($N168=[1]CURSOS!$D$17,[1]CURSOS!$E$17,(+IF($N168=[1]CURSOS!$D$18,[1]CURSOS!$E$18,(+IF($N168=[1]CURSOS!$D$19,[1]CURSOS!$E$19,(+IF($N168=[1]CURSOS!$D$20,[1]CURSOS!$E$20,(+IF($N168=[1]CURSOS!$D$21,[1]CURSOS!$E$21,(+IF($N168=[1]CURSOS!$D$22,[1]CURSOS!$E$22,(+IF($N168=[1]CURSOS!$D$23,[1]CURSOS!$E$23,(+IF($N168=[1]CURSOS!$D$24,[1]CURSOS!$E$24,(+IF($N168=[1]CURSOS!$D$25,[1]CURSOS!$E$25,(+IF($N168=[1]CURSOS!$D$26,[1]CURSOS!$E$26,(+IF($N168=[1]CURSOS!$D$27,[1]CURSOS!$E$27,(+IF($N168=[1]CURSOS!$D$28,[1]CURSOS!$E$28,(+IF($N168=[1]CURSOS!$D$29,[1]CURSOS!$E$29,(+IF($N168=[1]CURSOS!$D$30,[1]CURSOS!$E$30,(+IF($N168=[1]CURSOS!$D$31,[1]CURSOS!$E$31,(+IF($N168=[1]CURSOS!$D$32,[1]CURSOS!$E$32)))))))))))))))))))))))))))))))))))))))))))))))))))))))))))</f>
        <v xml:space="preserve">HUMANIZACION EN SALUD, BUENAS PRACTICAS EN PACIENTE </v>
      </c>
      <c r="T168" s="17" t="str">
        <f t="shared" si="103"/>
        <v>Fabian Humberto Calderon Hernandez</v>
      </c>
      <c r="U168" s="17" t="str">
        <f t="shared" si="104"/>
        <v>Fabian Humberto Calderon Hernandez</v>
      </c>
      <c r="V168" s="17" t="str">
        <f t="shared" si="105"/>
        <v>Fabian Humberto Calderon Hernandez-98387561-Humanizacion</v>
      </c>
    </row>
    <row r="169" spans="1:22" x14ac:dyDescent="0.2">
      <c r="A169" s="17">
        <v>179</v>
      </c>
      <c r="B169" s="17">
        <v>59814755</v>
      </c>
      <c r="C169" s="17" t="s">
        <v>372</v>
      </c>
      <c r="D169" s="17" t="s">
        <v>373</v>
      </c>
      <c r="E169" s="17" t="s">
        <v>374</v>
      </c>
      <c r="G169" s="17">
        <v>28</v>
      </c>
      <c r="H169" s="17" t="s">
        <v>63</v>
      </c>
      <c r="I169" s="19">
        <v>45351</v>
      </c>
      <c r="J169" s="1">
        <v>20000</v>
      </c>
      <c r="K169" s="17" t="s">
        <v>83</v>
      </c>
      <c r="L169" s="17" t="s">
        <v>223</v>
      </c>
      <c r="M169" s="17" t="s">
        <v>210</v>
      </c>
      <c r="N169" s="17" t="s">
        <v>71</v>
      </c>
      <c r="O169" s="20" t="s">
        <v>375</v>
      </c>
      <c r="P169" s="21" t="s">
        <v>42</v>
      </c>
      <c r="Q169" s="17" t="s">
        <v>43</v>
      </c>
      <c r="S169" s="17" t="str">
        <f>+IF($N169=[1]CURSOS!$D$3,[1]CURSOS!$E$3,(+IF($N169=[1]CURSOS!$D$4,[1]CURSOS!$E$4,(+IF($N169=[1]CURSOS!$D$5,[1]CURSOS!$E$5,(+IF($N169=[1]CURSOS!$D$6,[1]CURSOS!$E$6,(+IF($N169=[1]CURSOS!$D$7,[1]CURSOS!$E$7,(+IF($N169=[1]CURSOS!$D$8,[1]CURSOS!$E$8,(+IF($N169=[1]CURSOS!$D$9,[1]CURSOS!$E$9,(+IF($N169=[1]CURSOS!$D$10,[1]CURSOS!$E$10,(+IF($N169=[1]CURSOS!$D$11,[1]CURSOS!$E$11,(+IF($N169=[1]CURSOS!$D$12,[1]CURSOS!$E$12,(+IF($N169=[1]CURSOS!$D$13,[1]CURSOS!$E$13,(+IF($N169=[1]CURSOS!$D$14,[1]CURSOS!$E$14,(+IF($N169=[1]CURSOS!$D$15,[1]CURSOS!$E$15,(+IF($N169=[1]CURSOS!$D$16,[1]CURSOS!$E$16,(+IF($N169=[1]CURSOS!$D$17,[1]CURSOS!$E$17,(+IF($N169=[1]CURSOS!$D$18,[1]CURSOS!$E$18,(+IF($N169=[1]CURSOS!$D$19,[1]CURSOS!$E$19,(+IF($N169=[1]CURSOS!$D$20,[1]CURSOS!$E$20,(+IF($N169=[1]CURSOS!$D$21,[1]CURSOS!$E$21,(+IF($N169=[1]CURSOS!$D$22,[1]CURSOS!$E$22,(+IF($N169=[1]CURSOS!$D$23,[1]CURSOS!$E$23,(+IF($N169=[1]CURSOS!$D$24,[1]CURSOS!$E$24,(+IF($N169=[1]CURSOS!$D$25,[1]CURSOS!$E$25,(+IF($N169=[1]CURSOS!$D$26,[1]CURSOS!$E$26,(+IF($N169=[1]CURSOS!$D$27,[1]CURSOS!$E$27,(+IF($N169=[1]CURSOS!$D$28,[1]CURSOS!$E$28,(+IF($N169=[1]CURSOS!$D$29,[1]CURSOS!$E$29,(+IF($N169=[1]CURSOS!$D$30,[1]CURSOS!$E$30,(+IF($N169=[1]CURSOS!$D$31,[1]CURSOS!$E$31,(+IF($N169=[1]CURSOS!$D$32,[1]CURSOS!$E$32)))))))))))))))))))))))))))))))))))))))))))))))))))))))))))</f>
        <v xml:space="preserve">HUMANIZACION EN SALUD, BUENAS PRACTICAS EN PACIENTE </v>
      </c>
      <c r="T169" s="17" t="str">
        <f t="shared" si="103"/>
        <v>Clarisa  Eraso Santracruz</v>
      </c>
      <c r="U169" s="17" t="str">
        <f t="shared" si="104"/>
        <v>Clarisa  Eraso Santracruz</v>
      </c>
      <c r="V169" s="17" t="str">
        <f t="shared" si="105"/>
        <v>Clarisa  Eraso Santracruz-59814755-Humanizacion</v>
      </c>
    </row>
    <row r="170" spans="1:22" x14ac:dyDescent="0.2">
      <c r="A170" s="17">
        <v>180</v>
      </c>
      <c r="B170" s="17">
        <v>1085245552</v>
      </c>
      <c r="C170" s="17" t="s">
        <v>136</v>
      </c>
      <c r="D170" s="17" t="s">
        <v>120</v>
      </c>
      <c r="E170" s="17" t="s">
        <v>130</v>
      </c>
      <c r="F170" s="18" t="s">
        <v>257</v>
      </c>
      <c r="G170" s="17">
        <v>28</v>
      </c>
      <c r="H170" s="17" t="s">
        <v>63</v>
      </c>
      <c r="I170" s="19">
        <v>45351</v>
      </c>
      <c r="J170" s="1">
        <v>20000</v>
      </c>
      <c r="K170" s="17" t="s">
        <v>83</v>
      </c>
      <c r="L170" s="17" t="s">
        <v>223</v>
      </c>
      <c r="M170" s="17" t="s">
        <v>210</v>
      </c>
      <c r="N170" s="17" t="s">
        <v>71</v>
      </c>
      <c r="O170" s="20">
        <v>31413</v>
      </c>
      <c r="P170" s="21" t="s">
        <v>39</v>
      </c>
      <c r="Q170" s="17" t="s">
        <v>43</v>
      </c>
      <c r="S170" s="17" t="str">
        <f>+IF($N170=[1]CURSOS!$D$3,[1]CURSOS!$E$3,(+IF($N170=[1]CURSOS!$D$4,[1]CURSOS!$E$4,(+IF($N170=[1]CURSOS!$D$5,[1]CURSOS!$E$5,(+IF($N170=[1]CURSOS!$D$6,[1]CURSOS!$E$6,(+IF($N170=[1]CURSOS!$D$7,[1]CURSOS!$E$7,(+IF($N170=[1]CURSOS!$D$8,[1]CURSOS!$E$8,(+IF($N170=[1]CURSOS!$D$9,[1]CURSOS!$E$9,(+IF($N170=[1]CURSOS!$D$10,[1]CURSOS!$E$10,(+IF($N170=[1]CURSOS!$D$11,[1]CURSOS!$E$11,(+IF($N170=[1]CURSOS!$D$12,[1]CURSOS!$E$12,(+IF($N170=[1]CURSOS!$D$13,[1]CURSOS!$E$13,(+IF($N170=[1]CURSOS!$D$14,[1]CURSOS!$E$14,(+IF($N170=[1]CURSOS!$D$15,[1]CURSOS!$E$15,(+IF($N170=[1]CURSOS!$D$16,[1]CURSOS!$E$16,(+IF($N170=[1]CURSOS!$D$17,[1]CURSOS!$E$17,(+IF($N170=[1]CURSOS!$D$18,[1]CURSOS!$E$18,(+IF($N170=[1]CURSOS!$D$19,[1]CURSOS!$E$19,(+IF($N170=[1]CURSOS!$D$20,[1]CURSOS!$E$20,(+IF($N170=[1]CURSOS!$D$21,[1]CURSOS!$E$21,(+IF($N170=[1]CURSOS!$D$22,[1]CURSOS!$E$22,(+IF($N170=[1]CURSOS!$D$23,[1]CURSOS!$E$23,(+IF($N170=[1]CURSOS!$D$24,[1]CURSOS!$E$24,(+IF($N170=[1]CURSOS!$D$25,[1]CURSOS!$E$25,(+IF($N170=[1]CURSOS!$D$26,[1]CURSOS!$E$26,(+IF($N170=[1]CURSOS!$D$27,[1]CURSOS!$E$27,(+IF($N170=[1]CURSOS!$D$28,[1]CURSOS!$E$28,(+IF($N170=[1]CURSOS!$D$29,[1]CURSOS!$E$29,(+IF($N170=[1]CURSOS!$D$30,[1]CURSOS!$E$30,(+IF($N170=[1]CURSOS!$D$31,[1]CURSOS!$E$31,(+IF($N170=[1]CURSOS!$D$32,[1]CURSOS!$E$32)))))))))))))))))))))))))))))))))))))))))))))))))))))))))))</f>
        <v xml:space="preserve">HUMANIZACION EN SALUD, BUENAS PRACTICAS EN PACIENTE </v>
      </c>
      <c r="T170" s="17" t="str">
        <f t="shared" si="103"/>
        <v>David Fernando Delgado Melo</v>
      </c>
      <c r="U170" s="17" t="str">
        <f t="shared" si="104"/>
        <v>David Fernando Delgado Melo</v>
      </c>
      <c r="V170" s="17" t="str">
        <f t="shared" si="105"/>
        <v>David Fernando Delgado Melo-1085245552-Humanizacion</v>
      </c>
    </row>
    <row r="171" spans="1:22" x14ac:dyDescent="0.2">
      <c r="A171" s="17">
        <v>181</v>
      </c>
      <c r="B171" s="17">
        <v>1026288919</v>
      </c>
      <c r="C171" s="17" t="s">
        <v>376</v>
      </c>
      <c r="D171" s="17" t="s">
        <v>377</v>
      </c>
      <c r="E171" s="17" t="s">
        <v>181</v>
      </c>
      <c r="G171" s="17">
        <v>28</v>
      </c>
      <c r="H171" s="17" t="s">
        <v>63</v>
      </c>
      <c r="I171" s="19">
        <v>45351</v>
      </c>
      <c r="J171" s="1">
        <v>20000</v>
      </c>
      <c r="K171" s="17" t="s">
        <v>83</v>
      </c>
      <c r="L171" s="17" t="s">
        <v>223</v>
      </c>
      <c r="M171" s="17" t="s">
        <v>210</v>
      </c>
      <c r="N171" s="17" t="s">
        <v>71</v>
      </c>
      <c r="O171" s="20">
        <v>34552</v>
      </c>
      <c r="P171" s="21" t="s">
        <v>42</v>
      </c>
      <c r="Q171" s="17" t="s">
        <v>43</v>
      </c>
      <c r="S171" s="17" t="str">
        <f>+IF($N171=[1]CURSOS!$D$3,[1]CURSOS!$E$3,(+IF($N171=[1]CURSOS!$D$4,[1]CURSOS!$E$4,(+IF($N171=[1]CURSOS!$D$5,[1]CURSOS!$E$5,(+IF($N171=[1]CURSOS!$D$6,[1]CURSOS!$E$6,(+IF($N171=[1]CURSOS!$D$7,[1]CURSOS!$E$7,(+IF($N171=[1]CURSOS!$D$8,[1]CURSOS!$E$8,(+IF($N171=[1]CURSOS!$D$9,[1]CURSOS!$E$9,(+IF($N171=[1]CURSOS!$D$10,[1]CURSOS!$E$10,(+IF($N171=[1]CURSOS!$D$11,[1]CURSOS!$E$11,(+IF($N171=[1]CURSOS!$D$12,[1]CURSOS!$E$12,(+IF($N171=[1]CURSOS!$D$13,[1]CURSOS!$E$13,(+IF($N171=[1]CURSOS!$D$14,[1]CURSOS!$E$14,(+IF($N171=[1]CURSOS!$D$15,[1]CURSOS!$E$15,(+IF($N171=[1]CURSOS!$D$16,[1]CURSOS!$E$16,(+IF($N171=[1]CURSOS!$D$17,[1]CURSOS!$E$17,(+IF($N171=[1]CURSOS!$D$18,[1]CURSOS!$E$18,(+IF($N171=[1]CURSOS!$D$19,[1]CURSOS!$E$19,(+IF($N171=[1]CURSOS!$D$20,[1]CURSOS!$E$20,(+IF($N171=[1]CURSOS!$D$21,[1]CURSOS!$E$21,(+IF($N171=[1]CURSOS!$D$22,[1]CURSOS!$E$22,(+IF($N171=[1]CURSOS!$D$23,[1]CURSOS!$E$23,(+IF($N171=[1]CURSOS!$D$24,[1]CURSOS!$E$24,(+IF($N171=[1]CURSOS!$D$25,[1]CURSOS!$E$25,(+IF($N171=[1]CURSOS!$D$26,[1]CURSOS!$E$26,(+IF($N171=[1]CURSOS!$D$27,[1]CURSOS!$E$27,(+IF($N171=[1]CURSOS!$D$28,[1]CURSOS!$E$28,(+IF($N171=[1]CURSOS!$D$29,[1]CURSOS!$E$29,(+IF($N171=[1]CURSOS!$D$30,[1]CURSOS!$E$30,(+IF($N171=[1]CURSOS!$D$31,[1]CURSOS!$E$31,(+IF($N171=[1]CURSOS!$D$32,[1]CURSOS!$E$32)))))))))))))))))))))))))))))))))))))))))))))))))))))))))))</f>
        <v xml:space="preserve">HUMANIZACION EN SALUD, BUENAS PRACTICAS EN PACIENTE </v>
      </c>
      <c r="T171" s="17" t="str">
        <f t="shared" si="103"/>
        <v>Daniela  Ceballos Becerra</v>
      </c>
      <c r="U171" s="17" t="str">
        <f t="shared" si="104"/>
        <v>Daniela  Ceballos Becerra</v>
      </c>
      <c r="V171" s="17" t="str">
        <f t="shared" si="105"/>
        <v>Daniela  Ceballos Becerra-1026288919-Humanizacion</v>
      </c>
    </row>
    <row r="172" spans="1:22" x14ac:dyDescent="0.2">
      <c r="A172" s="17">
        <v>182</v>
      </c>
      <c r="B172" s="17">
        <v>30716953</v>
      </c>
      <c r="C172" s="17" t="s">
        <v>363</v>
      </c>
      <c r="D172" s="17" t="s">
        <v>363</v>
      </c>
      <c r="E172" s="17" t="s">
        <v>378</v>
      </c>
      <c r="F172" s="18" t="s">
        <v>379</v>
      </c>
      <c r="G172" s="17">
        <v>28</v>
      </c>
      <c r="H172" s="17" t="s">
        <v>63</v>
      </c>
      <c r="I172" s="19">
        <v>45351</v>
      </c>
      <c r="J172" s="1">
        <v>20000</v>
      </c>
      <c r="K172" s="17" t="s">
        <v>83</v>
      </c>
      <c r="L172" s="17" t="s">
        <v>223</v>
      </c>
      <c r="M172" s="17" t="s">
        <v>210</v>
      </c>
      <c r="N172" s="17" t="s">
        <v>71</v>
      </c>
      <c r="O172" s="20">
        <v>21782</v>
      </c>
      <c r="P172" s="21" t="s">
        <v>42</v>
      </c>
      <c r="Q172" s="17" t="s">
        <v>43</v>
      </c>
      <c r="S172" s="17" t="str">
        <f>+IF($N172=[1]CURSOS!$D$3,[1]CURSOS!$E$3,(+IF($N172=[1]CURSOS!$D$4,[1]CURSOS!$E$4,(+IF($N172=[1]CURSOS!$D$5,[1]CURSOS!$E$5,(+IF($N172=[1]CURSOS!$D$6,[1]CURSOS!$E$6,(+IF($N172=[1]CURSOS!$D$7,[1]CURSOS!$E$7,(+IF($N172=[1]CURSOS!$D$8,[1]CURSOS!$E$8,(+IF($N172=[1]CURSOS!$D$9,[1]CURSOS!$E$9,(+IF($N172=[1]CURSOS!$D$10,[1]CURSOS!$E$10,(+IF($N172=[1]CURSOS!$D$11,[1]CURSOS!$E$11,(+IF($N172=[1]CURSOS!$D$12,[1]CURSOS!$E$12,(+IF($N172=[1]CURSOS!$D$13,[1]CURSOS!$E$13,(+IF($N172=[1]CURSOS!$D$14,[1]CURSOS!$E$14,(+IF($N172=[1]CURSOS!$D$15,[1]CURSOS!$E$15,(+IF($N172=[1]CURSOS!$D$16,[1]CURSOS!$E$16,(+IF($N172=[1]CURSOS!$D$17,[1]CURSOS!$E$17,(+IF($N172=[1]CURSOS!$D$18,[1]CURSOS!$E$18,(+IF($N172=[1]CURSOS!$D$19,[1]CURSOS!$E$19,(+IF($N172=[1]CURSOS!$D$20,[1]CURSOS!$E$20,(+IF($N172=[1]CURSOS!$D$21,[1]CURSOS!$E$21,(+IF($N172=[1]CURSOS!$D$22,[1]CURSOS!$E$22,(+IF($N172=[1]CURSOS!$D$23,[1]CURSOS!$E$23,(+IF($N172=[1]CURSOS!$D$24,[1]CURSOS!$E$24,(+IF($N172=[1]CURSOS!$D$25,[1]CURSOS!$E$25,(+IF($N172=[1]CURSOS!$D$26,[1]CURSOS!$E$26,(+IF($N172=[1]CURSOS!$D$27,[1]CURSOS!$E$27,(+IF($N172=[1]CURSOS!$D$28,[1]CURSOS!$E$28,(+IF($N172=[1]CURSOS!$D$29,[1]CURSOS!$E$29,(+IF($N172=[1]CURSOS!$D$30,[1]CURSOS!$E$30,(+IF($N172=[1]CURSOS!$D$31,[1]CURSOS!$E$31,(+IF($N172=[1]CURSOS!$D$32,[1]CURSOS!$E$32)))))))))))))))))))))))))))))))))))))))))))))))))))))))))))</f>
        <v xml:space="preserve">HUMANIZACION EN SALUD, BUENAS PRACTICAS EN PACIENTE </v>
      </c>
      <c r="T172" s="17" t="str">
        <f t="shared" si="103"/>
        <v>Doris Raquel Aguirre Aguirre</v>
      </c>
      <c r="U172" s="17" t="str">
        <f t="shared" si="104"/>
        <v>Doris Raquel Aguirre Aguirre</v>
      </c>
      <c r="V172" s="17" t="str">
        <f t="shared" si="105"/>
        <v>Doris Raquel Aguirre Aguirre-30716953-Humanizacion</v>
      </c>
    </row>
    <row r="173" spans="1:22" x14ac:dyDescent="0.2">
      <c r="A173" s="17">
        <v>183</v>
      </c>
      <c r="B173" s="17">
        <v>1085246095</v>
      </c>
      <c r="C173" s="17" t="s">
        <v>144</v>
      </c>
      <c r="D173" s="17" t="s">
        <v>237</v>
      </c>
      <c r="E173" s="17" t="s">
        <v>380</v>
      </c>
      <c r="F173" s="18" t="s">
        <v>381</v>
      </c>
      <c r="G173" s="17">
        <v>28</v>
      </c>
      <c r="H173" s="17" t="s">
        <v>63</v>
      </c>
      <c r="I173" s="19">
        <v>45351</v>
      </c>
      <c r="J173" s="1">
        <v>20000</v>
      </c>
      <c r="K173" s="17" t="s">
        <v>83</v>
      </c>
      <c r="L173" s="17" t="s">
        <v>223</v>
      </c>
      <c r="M173" s="17" t="s">
        <v>210</v>
      </c>
      <c r="N173" s="17" t="s">
        <v>20</v>
      </c>
      <c r="O173" s="20">
        <v>31373</v>
      </c>
      <c r="P173" s="21" t="s">
        <v>39</v>
      </c>
      <c r="Q173" s="17" t="s">
        <v>43</v>
      </c>
      <c r="S173" s="17" t="str">
        <f>+IF($N173=[1]CURSOS!$D$3,[1]CURSOS!$E$3,(+IF($N173=[1]CURSOS!$D$4,[1]CURSOS!$E$4,(+IF($N173=[1]CURSOS!$D$5,[1]CURSOS!$E$5,(+IF($N173=[1]CURSOS!$D$6,[1]CURSOS!$E$6,(+IF($N173=[1]CURSOS!$D$7,[1]CURSOS!$E$7,(+IF($N173=[1]CURSOS!$D$8,[1]CURSOS!$E$8,(+IF($N173=[1]CURSOS!$D$9,[1]CURSOS!$E$9,(+IF($N173=[1]CURSOS!$D$10,[1]CURSOS!$E$10,(+IF($N173=[1]CURSOS!$D$11,[1]CURSOS!$E$11,(+IF($N173=[1]CURSOS!$D$12,[1]CURSOS!$E$12,(+IF($N173=[1]CURSOS!$D$13,[1]CURSOS!$E$13,(+IF($N173=[1]CURSOS!$D$14,[1]CURSOS!$E$14,(+IF($N173=[1]CURSOS!$D$15,[1]CURSOS!$E$15,(+IF($N173=[1]CURSOS!$D$16,[1]CURSOS!$E$16,(+IF($N173=[1]CURSOS!$D$17,[1]CURSOS!$E$17,(+IF($N173=[1]CURSOS!$D$18,[1]CURSOS!$E$18,(+IF($N173=[1]CURSOS!$D$19,[1]CURSOS!$E$19,(+IF($N173=[1]CURSOS!$D$20,[1]CURSOS!$E$20,(+IF($N173=[1]CURSOS!$D$21,[1]CURSOS!$E$21,(+IF($N173=[1]CURSOS!$D$22,[1]CURSOS!$E$22,(+IF($N173=[1]CURSOS!$D$23,[1]CURSOS!$E$23,(+IF($N173=[1]CURSOS!$D$24,[1]CURSOS!$E$24,(+IF($N173=[1]CURSOS!$D$25,[1]CURSOS!$E$25,(+IF($N173=[1]CURSOS!$D$26,[1]CURSOS!$E$26,(+IF($N173=[1]CURSOS!$D$27,[1]CURSOS!$E$27,(+IF($N173=[1]CURSOS!$D$28,[1]CURSOS!$E$28,(+IF($N173=[1]CURSOS!$D$29,[1]CURSOS!$E$29,(+IF($N173=[1]CURSOS!$D$30,[1]CURSOS!$E$30,(+IF($N173=[1]CURSOS!$D$31,[1]CURSOS!$E$31,(+IF($N173=[1]CURSOS!$D$32,[1]CURSOS!$E$32)))))))))))))))))))))))))))))))))))))))))))))))))))))))))))</f>
        <v>ACOMPAÑAMIENTO Y MANEJO DEL DUELO</v>
      </c>
      <c r="T173" s="17" t="str">
        <f t="shared" si="103"/>
        <v>Efren Dario Paz Zambrano</v>
      </c>
      <c r="U173" s="17" t="str">
        <f t="shared" si="104"/>
        <v>Efren Dario Paz Zambrano</v>
      </c>
      <c r="V173" s="17" t="str">
        <f t="shared" si="105"/>
        <v>Efren Dario Paz Zambrano-1085246095-DUELO</v>
      </c>
    </row>
    <row r="174" spans="1:22" x14ac:dyDescent="0.2">
      <c r="A174" s="17">
        <v>184</v>
      </c>
      <c r="B174" s="17">
        <v>1081053147</v>
      </c>
      <c r="C174" s="17" t="s">
        <v>371</v>
      </c>
      <c r="D174" s="17" t="s">
        <v>292</v>
      </c>
      <c r="E174" s="17" t="s">
        <v>207</v>
      </c>
      <c r="G174" s="17">
        <v>28</v>
      </c>
      <c r="H174" s="17" t="s">
        <v>63</v>
      </c>
      <c r="I174" s="19">
        <v>45351</v>
      </c>
      <c r="J174" s="1">
        <v>20000</v>
      </c>
      <c r="K174" s="17" t="s">
        <v>83</v>
      </c>
      <c r="L174" s="17" t="s">
        <v>223</v>
      </c>
      <c r="M174" s="17" t="s">
        <v>210</v>
      </c>
      <c r="N174" s="17" t="s">
        <v>71</v>
      </c>
      <c r="O174" s="20">
        <v>38223</v>
      </c>
      <c r="P174" s="21" t="s">
        <v>42</v>
      </c>
      <c r="Q174" s="17" t="s">
        <v>43</v>
      </c>
      <c r="S174" s="17" t="str">
        <f>+IF($N174=[1]CURSOS!$D$3,[1]CURSOS!$E$3,(+IF($N174=[1]CURSOS!$D$4,[1]CURSOS!$E$4,(+IF($N174=[1]CURSOS!$D$5,[1]CURSOS!$E$5,(+IF($N174=[1]CURSOS!$D$6,[1]CURSOS!$E$6,(+IF($N174=[1]CURSOS!$D$7,[1]CURSOS!$E$7,(+IF($N174=[1]CURSOS!$D$8,[1]CURSOS!$E$8,(+IF($N174=[1]CURSOS!$D$9,[1]CURSOS!$E$9,(+IF($N174=[1]CURSOS!$D$10,[1]CURSOS!$E$10,(+IF($N174=[1]CURSOS!$D$11,[1]CURSOS!$E$11,(+IF($N174=[1]CURSOS!$D$12,[1]CURSOS!$E$12,(+IF($N174=[1]CURSOS!$D$13,[1]CURSOS!$E$13,(+IF($N174=[1]CURSOS!$D$14,[1]CURSOS!$E$14,(+IF($N174=[1]CURSOS!$D$15,[1]CURSOS!$E$15,(+IF($N174=[1]CURSOS!$D$16,[1]CURSOS!$E$16,(+IF($N174=[1]CURSOS!$D$17,[1]CURSOS!$E$17,(+IF($N174=[1]CURSOS!$D$18,[1]CURSOS!$E$18,(+IF($N174=[1]CURSOS!$D$19,[1]CURSOS!$E$19,(+IF($N174=[1]CURSOS!$D$20,[1]CURSOS!$E$20,(+IF($N174=[1]CURSOS!$D$21,[1]CURSOS!$E$21,(+IF($N174=[1]CURSOS!$D$22,[1]CURSOS!$E$22,(+IF($N174=[1]CURSOS!$D$23,[1]CURSOS!$E$23,(+IF($N174=[1]CURSOS!$D$24,[1]CURSOS!$E$24,(+IF($N174=[1]CURSOS!$D$25,[1]CURSOS!$E$25,(+IF($N174=[1]CURSOS!$D$26,[1]CURSOS!$E$26,(+IF($N174=[1]CURSOS!$D$27,[1]CURSOS!$E$27,(+IF($N174=[1]CURSOS!$D$28,[1]CURSOS!$E$28,(+IF($N174=[1]CURSOS!$D$29,[1]CURSOS!$E$29,(+IF($N174=[1]CURSOS!$D$30,[1]CURSOS!$E$30,(+IF($N174=[1]CURSOS!$D$31,[1]CURSOS!$E$31,(+IF($N174=[1]CURSOS!$D$32,[1]CURSOS!$E$32)))))))))))))))))))))))))))))))))))))))))))))))))))))))))))</f>
        <v xml:space="preserve">HUMANIZACION EN SALUD, BUENAS PRACTICAS EN PACIENTE </v>
      </c>
      <c r="T174" s="17" t="str">
        <f t="shared" si="103"/>
        <v>Valentina  Calderon Ramirez</v>
      </c>
      <c r="U174" s="17" t="str">
        <f t="shared" si="104"/>
        <v>Valentina  Calderon Ramirez</v>
      </c>
      <c r="V174" s="17" t="str">
        <f t="shared" si="105"/>
        <v>Valentina  Calderon Ramirez-1081053147-Humanizacion</v>
      </c>
    </row>
    <row r="175" spans="1:22" x14ac:dyDescent="0.2">
      <c r="A175" s="17">
        <v>185</v>
      </c>
      <c r="B175" s="17">
        <v>12999896</v>
      </c>
      <c r="C175" s="17" t="s">
        <v>383</v>
      </c>
      <c r="D175" s="17" t="s">
        <v>384</v>
      </c>
      <c r="E175" s="17" t="s">
        <v>62</v>
      </c>
      <c r="F175" s="18" t="s">
        <v>385</v>
      </c>
      <c r="G175" s="17">
        <v>28</v>
      </c>
      <c r="H175" s="17" t="s">
        <v>63</v>
      </c>
      <c r="I175" s="19">
        <v>45351</v>
      </c>
      <c r="J175" s="1">
        <v>100000</v>
      </c>
      <c r="K175" s="17" t="s">
        <v>45</v>
      </c>
      <c r="L175" s="17" t="s">
        <v>223</v>
      </c>
      <c r="M175" s="17" t="s">
        <v>40</v>
      </c>
      <c r="N175" s="17" t="s">
        <v>24</v>
      </c>
      <c r="O175" s="20">
        <v>28073</v>
      </c>
      <c r="P175" s="21" t="s">
        <v>39</v>
      </c>
      <c r="Q175" s="17" t="s">
        <v>41</v>
      </c>
      <c r="R175" s="17">
        <v>3022887131</v>
      </c>
      <c r="S175" s="17" t="str">
        <f>+IF($N175=[1]CURSOS!$D$3,[1]CURSOS!$E$3,(+IF($N175=[1]CURSOS!$D$4,[1]CURSOS!$E$4,(+IF($N175=[1]CURSOS!$D$5,[1]CURSOS!$E$5,(+IF($N175=[1]CURSOS!$D$6,[1]CURSOS!$E$6,(+IF($N175=[1]CURSOS!$D$7,[1]CURSOS!$E$7,(+IF($N175=[1]CURSOS!$D$8,[1]CURSOS!$E$8,(+IF($N175=[1]CURSOS!$D$9,[1]CURSOS!$E$9,(+IF($N175=[1]CURSOS!$D$10,[1]CURSOS!$E$10,(+IF($N175=[1]CURSOS!$D$11,[1]CURSOS!$E$11,(+IF($N175=[1]CURSOS!$D$12,[1]CURSOS!$E$12,(+IF($N175=[1]CURSOS!$D$13,[1]CURSOS!$E$13,(+IF($N175=[1]CURSOS!$D$14,[1]CURSOS!$E$14,(+IF($N175=[1]CURSOS!$D$15,[1]CURSOS!$E$15,(+IF($N175=[1]CURSOS!$D$16,[1]CURSOS!$E$16,(+IF($N175=[1]CURSOS!$D$17,[1]CURSOS!$E$17,(+IF($N175=[1]CURSOS!$D$18,[1]CURSOS!$E$18,(+IF($N175=[1]CURSOS!$D$19,[1]CURSOS!$E$19,(+IF($N175=[1]CURSOS!$D$20,[1]CURSOS!$E$20,(+IF($N175=[1]CURSOS!$D$21,[1]CURSOS!$E$21,(+IF($N175=[1]CURSOS!$D$22,[1]CURSOS!$E$22,(+IF($N175=[1]CURSOS!$D$23,[1]CURSOS!$E$23,(+IF($N175=[1]CURSOS!$D$24,[1]CURSOS!$E$24,(+IF($N175=[1]CURSOS!$D$25,[1]CURSOS!$E$25,(+IF($N175=[1]CURSOS!$D$26,[1]CURSOS!$E$26,(+IF($N175=[1]CURSOS!$D$27,[1]CURSOS!$E$27,(+IF($N175=[1]CURSOS!$D$28,[1]CURSOS!$E$28,(+IF($N175=[1]CURSOS!$D$29,[1]CURSOS!$E$29,(+IF($N175=[1]CURSOS!$D$30,[1]CURSOS!$E$30,(+IF($N175=[1]CURSOS!$D$31,[1]CURSOS!$E$31,(+IF($N175=[1]CURSOS!$D$32,[1]CURSOS!$E$32)))))))))))))))))))))))))))))))))))))))))))))))))))))))))))</f>
        <v xml:space="preserve">SOPORTE CARDIOVASCULAR AVANZADO </v>
      </c>
      <c r="T175" s="17" t="str">
        <f t="shared" ref="T175:T182" si="106">CONCATENATE(E175," ",F175," ",C175," ",D175)</f>
        <v>Juan Manuel Diaz Del Castillo Garzon</v>
      </c>
      <c r="U175" s="17" t="str">
        <f t="shared" ref="U175:U182" si="107">+PROPER(T175)</f>
        <v>Juan Manuel Diaz Del Castillo Garzon</v>
      </c>
      <c r="V175" s="17" t="str">
        <f t="shared" ref="V175:V182" si="108">CONCATENATE(T175,"-",B175,"-",N175)</f>
        <v>Juan Manuel Diaz Del Castillo Garzon-12999896-ACLS</v>
      </c>
    </row>
    <row r="176" spans="1:22" x14ac:dyDescent="0.2">
      <c r="A176" s="17">
        <v>186</v>
      </c>
      <c r="B176" s="17">
        <v>12999896</v>
      </c>
      <c r="C176" s="17" t="s">
        <v>383</v>
      </c>
      <c r="D176" s="17" t="s">
        <v>384</v>
      </c>
      <c r="E176" s="17" t="s">
        <v>62</v>
      </c>
      <c r="F176" s="18" t="s">
        <v>385</v>
      </c>
      <c r="G176" s="17">
        <v>29</v>
      </c>
      <c r="H176" s="17" t="s">
        <v>63</v>
      </c>
      <c r="I176" s="19">
        <v>45351</v>
      </c>
      <c r="J176" s="1">
        <v>30000</v>
      </c>
      <c r="K176" s="17" t="s">
        <v>45</v>
      </c>
      <c r="L176" s="17" t="s">
        <v>223</v>
      </c>
      <c r="M176" s="17" t="s">
        <v>40</v>
      </c>
      <c r="N176" s="17" t="s">
        <v>27</v>
      </c>
      <c r="O176" s="20">
        <v>28073</v>
      </c>
      <c r="P176" s="21" t="s">
        <v>39</v>
      </c>
      <c r="Q176" s="17" t="s">
        <v>41</v>
      </c>
      <c r="R176" s="17">
        <v>3022887131</v>
      </c>
      <c r="S176" s="17" t="str">
        <f>+IF($N176=[1]CURSOS!$D$3,[1]CURSOS!$E$3,(+IF($N176=[1]CURSOS!$D$4,[1]CURSOS!$E$4,(+IF($N176=[1]CURSOS!$D$5,[1]CURSOS!$E$5,(+IF($N176=[1]CURSOS!$D$6,[1]CURSOS!$E$6,(+IF($N176=[1]CURSOS!$D$7,[1]CURSOS!$E$7,(+IF($N176=[1]CURSOS!$D$8,[1]CURSOS!$E$8,(+IF($N176=[1]CURSOS!$D$9,[1]CURSOS!$E$9,(+IF($N176=[1]CURSOS!$D$10,[1]CURSOS!$E$10,(+IF($N176=[1]CURSOS!$D$11,[1]CURSOS!$E$11,(+IF($N176=[1]CURSOS!$D$12,[1]CURSOS!$E$12,(+IF($N176=[1]CURSOS!$D$13,[1]CURSOS!$E$13,(+IF($N176=[1]CURSOS!$D$14,[1]CURSOS!$E$14,(+IF($N176=[1]CURSOS!$D$15,[1]CURSOS!$E$15,(+IF($N176=[1]CURSOS!$D$16,[1]CURSOS!$E$16,(+IF($N176=[1]CURSOS!$D$17,[1]CURSOS!$E$17,(+IF($N176=[1]CURSOS!$D$18,[1]CURSOS!$E$18,(+IF($N176=[1]CURSOS!$D$19,[1]CURSOS!$E$19,(+IF($N176=[1]CURSOS!$D$20,[1]CURSOS!$E$20,(+IF($N176=[1]CURSOS!$D$21,[1]CURSOS!$E$21,(+IF($N176=[1]CURSOS!$D$22,[1]CURSOS!$E$22,(+IF($N176=[1]CURSOS!$D$23,[1]CURSOS!$E$23,(+IF($N176=[1]CURSOS!$D$24,[1]CURSOS!$E$24,(+IF($N176=[1]CURSOS!$D$25,[1]CURSOS!$E$25,(+IF($N176=[1]CURSOS!$D$26,[1]CURSOS!$E$26,(+IF($N176=[1]CURSOS!$D$27,[1]CURSOS!$E$27,(+IF($N176=[1]CURSOS!$D$28,[1]CURSOS!$E$28,(+IF($N176=[1]CURSOS!$D$29,[1]CURSOS!$E$29,(+IF($N176=[1]CURSOS!$D$30,[1]CURSOS!$E$30,(+IF($N176=[1]CURSOS!$D$31,[1]CURSOS!$E$31,(+IF($N176=[1]CURSOS!$D$32,[1]CURSOS!$E$32)))))))))))))))))))))))))))))))))))))))))))))))))))))))))))</f>
        <v xml:space="preserve">ATENCION A VICTIMAS DE VIOLENCIA SEXUAL </v>
      </c>
      <c r="T176" s="17" t="str">
        <f t="shared" si="106"/>
        <v>Juan Manuel Diaz Del Castillo Garzon</v>
      </c>
      <c r="U176" s="17" t="str">
        <f t="shared" si="107"/>
        <v>Juan Manuel Diaz Del Castillo Garzon</v>
      </c>
      <c r="V176" s="17" t="str">
        <f t="shared" si="108"/>
        <v>Juan Manuel Diaz Del Castillo Garzon-12999896-VIOLENCIA SEXUAL</v>
      </c>
    </row>
    <row r="177" spans="1:22" x14ac:dyDescent="0.2">
      <c r="A177" s="17">
        <v>187</v>
      </c>
      <c r="B177" s="17">
        <v>12999896</v>
      </c>
      <c r="C177" s="17" t="s">
        <v>383</v>
      </c>
      <c r="D177" s="17" t="s">
        <v>384</v>
      </c>
      <c r="E177" s="17" t="s">
        <v>62</v>
      </c>
      <c r="F177" s="18" t="s">
        <v>385</v>
      </c>
      <c r="G177" s="17">
        <v>29</v>
      </c>
      <c r="H177" s="17" t="s">
        <v>63</v>
      </c>
      <c r="I177" s="19">
        <v>45351</v>
      </c>
      <c r="J177" s="1">
        <v>30000</v>
      </c>
      <c r="K177" s="17" t="s">
        <v>45</v>
      </c>
      <c r="L177" s="17" t="s">
        <v>223</v>
      </c>
      <c r="M177" s="17" t="s">
        <v>40</v>
      </c>
      <c r="N177" s="17" t="s">
        <v>21</v>
      </c>
      <c r="O177" s="20">
        <v>28073</v>
      </c>
      <c r="P177" s="21" t="s">
        <v>39</v>
      </c>
      <c r="Q177" s="17" t="s">
        <v>41</v>
      </c>
      <c r="R177" s="17">
        <v>3022887131</v>
      </c>
      <c r="S177" s="17" t="str">
        <f>+IF($N177=[1]CURSOS!$D$3,[1]CURSOS!$E$3,(+IF($N177=[1]CURSOS!$D$4,[1]CURSOS!$E$4,(+IF($N177=[1]CURSOS!$D$5,[1]CURSOS!$E$5,(+IF($N177=[1]CURSOS!$D$6,[1]CURSOS!$E$6,(+IF($N177=[1]CURSOS!$D$7,[1]CURSOS!$E$7,(+IF($N177=[1]CURSOS!$D$8,[1]CURSOS!$E$8,(+IF($N177=[1]CURSOS!$D$9,[1]CURSOS!$E$9,(+IF($N177=[1]CURSOS!$D$10,[1]CURSOS!$E$10,(+IF($N177=[1]CURSOS!$D$11,[1]CURSOS!$E$11,(+IF($N177=[1]CURSOS!$D$12,[1]CURSOS!$E$12,(+IF($N177=[1]CURSOS!$D$13,[1]CURSOS!$E$13,(+IF($N177=[1]CURSOS!$D$14,[1]CURSOS!$E$14,(+IF($N177=[1]CURSOS!$D$15,[1]CURSOS!$E$15,(+IF($N177=[1]CURSOS!$D$16,[1]CURSOS!$E$16,(+IF($N177=[1]CURSOS!$D$17,[1]CURSOS!$E$17,(+IF($N177=[1]CURSOS!$D$18,[1]CURSOS!$E$18,(+IF($N177=[1]CURSOS!$D$19,[1]CURSOS!$E$19,(+IF($N177=[1]CURSOS!$D$20,[1]CURSOS!$E$20,(+IF($N177=[1]CURSOS!$D$21,[1]CURSOS!$E$21,(+IF($N177=[1]CURSOS!$D$22,[1]CURSOS!$E$22,(+IF($N177=[1]CURSOS!$D$23,[1]CURSOS!$E$23,(+IF($N177=[1]CURSOS!$D$24,[1]CURSOS!$E$24,(+IF($N177=[1]CURSOS!$D$25,[1]CURSOS!$E$25,(+IF($N177=[1]CURSOS!$D$26,[1]CURSOS!$E$26,(+IF($N177=[1]CURSOS!$D$27,[1]CURSOS!$E$27,(+IF($N177=[1]CURSOS!$D$28,[1]CURSOS!$E$28,(+IF($N177=[1]CURSOS!$D$29,[1]CURSOS!$E$29,(+IF($N177=[1]CURSOS!$D$30,[1]CURSOS!$E$30,(+IF($N177=[1]CURSOS!$D$31,[1]CURSOS!$E$31,(+IF($N177=[1]CURSOS!$D$32,[1]CURSOS!$E$32)))))))))))))))))))))))))))))))))))))))))))))))))))))))))))</f>
        <v xml:space="preserve">ATENCION A VICTIMAS DE ATAQUE CON AGENTES QUIMICOS </v>
      </c>
      <c r="T177" s="17" t="str">
        <f t="shared" si="106"/>
        <v>Juan Manuel Diaz Del Castillo Garzon</v>
      </c>
      <c r="U177" s="17" t="str">
        <f t="shared" si="107"/>
        <v>Juan Manuel Diaz Del Castillo Garzon</v>
      </c>
      <c r="V177" s="17" t="str">
        <f t="shared" si="108"/>
        <v>Juan Manuel Diaz Del Castillo Garzon-12999896-QUIMICOS</v>
      </c>
    </row>
    <row r="178" spans="1:22" x14ac:dyDescent="0.2">
      <c r="A178" s="17">
        <v>188</v>
      </c>
      <c r="B178" s="17">
        <v>1085346205</v>
      </c>
      <c r="C178" s="17" t="s">
        <v>386</v>
      </c>
      <c r="D178" s="17" t="s">
        <v>387</v>
      </c>
      <c r="E178" s="17" t="s">
        <v>388</v>
      </c>
      <c r="F178" s="18" t="s">
        <v>115</v>
      </c>
      <c r="G178" s="17">
        <v>28</v>
      </c>
      <c r="H178" s="17" t="s">
        <v>63</v>
      </c>
      <c r="I178" s="19">
        <v>45351</v>
      </c>
      <c r="J178" s="1">
        <v>20000</v>
      </c>
      <c r="K178" s="17" t="s">
        <v>45</v>
      </c>
      <c r="L178" s="17" t="s">
        <v>223</v>
      </c>
      <c r="M178" s="17" t="s">
        <v>40</v>
      </c>
      <c r="N178" s="17" t="s">
        <v>20</v>
      </c>
      <c r="O178" s="20">
        <v>36328</v>
      </c>
      <c r="P178" s="21" t="s">
        <v>42</v>
      </c>
      <c r="Q178" s="17" t="s">
        <v>43</v>
      </c>
      <c r="R178" s="17">
        <v>3169929133</v>
      </c>
      <c r="S178" s="17" t="str">
        <f>+IF($N178=[1]CURSOS!$D$3,[1]CURSOS!$E$3,(+IF($N178=[1]CURSOS!$D$4,[1]CURSOS!$E$4,(+IF($N178=[1]CURSOS!$D$5,[1]CURSOS!$E$5,(+IF($N178=[1]CURSOS!$D$6,[1]CURSOS!$E$6,(+IF($N178=[1]CURSOS!$D$7,[1]CURSOS!$E$7,(+IF($N178=[1]CURSOS!$D$8,[1]CURSOS!$E$8,(+IF($N178=[1]CURSOS!$D$9,[1]CURSOS!$E$9,(+IF($N178=[1]CURSOS!$D$10,[1]CURSOS!$E$10,(+IF($N178=[1]CURSOS!$D$11,[1]CURSOS!$E$11,(+IF($N178=[1]CURSOS!$D$12,[1]CURSOS!$E$12,(+IF($N178=[1]CURSOS!$D$13,[1]CURSOS!$E$13,(+IF($N178=[1]CURSOS!$D$14,[1]CURSOS!$E$14,(+IF($N178=[1]CURSOS!$D$15,[1]CURSOS!$E$15,(+IF($N178=[1]CURSOS!$D$16,[1]CURSOS!$E$16,(+IF($N178=[1]CURSOS!$D$17,[1]CURSOS!$E$17,(+IF($N178=[1]CURSOS!$D$18,[1]CURSOS!$E$18,(+IF($N178=[1]CURSOS!$D$19,[1]CURSOS!$E$19,(+IF($N178=[1]CURSOS!$D$20,[1]CURSOS!$E$20,(+IF($N178=[1]CURSOS!$D$21,[1]CURSOS!$E$21,(+IF($N178=[1]CURSOS!$D$22,[1]CURSOS!$E$22,(+IF($N178=[1]CURSOS!$D$23,[1]CURSOS!$E$23,(+IF($N178=[1]CURSOS!$D$24,[1]CURSOS!$E$24,(+IF($N178=[1]CURSOS!$D$25,[1]CURSOS!$E$25,(+IF($N178=[1]CURSOS!$D$26,[1]CURSOS!$E$26,(+IF($N178=[1]CURSOS!$D$27,[1]CURSOS!$E$27,(+IF($N178=[1]CURSOS!$D$28,[1]CURSOS!$E$28,(+IF($N178=[1]CURSOS!$D$29,[1]CURSOS!$E$29,(+IF($N178=[1]CURSOS!$D$30,[1]CURSOS!$E$30,(+IF($N178=[1]CURSOS!$D$31,[1]CURSOS!$E$31,(+IF($N178=[1]CURSOS!$D$32,[1]CURSOS!$E$32)))))))))))))))))))))))))))))))))))))))))))))))))))))))))))</f>
        <v>ACOMPAÑAMIENTO Y MANEJO DEL DUELO</v>
      </c>
      <c r="T178" s="17" t="str">
        <f t="shared" si="106"/>
        <v>Lizeth Tatiana Diaz Alvarez</v>
      </c>
      <c r="U178" s="17" t="str">
        <f t="shared" si="107"/>
        <v>Lizeth Tatiana Diaz Alvarez</v>
      </c>
      <c r="V178" s="17" t="str">
        <f t="shared" si="108"/>
        <v>Lizeth Tatiana Diaz Alvarez-1085346205-DUELO</v>
      </c>
    </row>
    <row r="179" spans="1:22" x14ac:dyDescent="0.2">
      <c r="A179" s="17">
        <v>189</v>
      </c>
      <c r="B179" s="17">
        <v>1085346205</v>
      </c>
      <c r="C179" s="17" t="s">
        <v>386</v>
      </c>
      <c r="D179" s="17" t="s">
        <v>387</v>
      </c>
      <c r="E179" s="17" t="s">
        <v>388</v>
      </c>
      <c r="F179" s="18" t="s">
        <v>115</v>
      </c>
      <c r="G179" s="17">
        <v>28</v>
      </c>
      <c r="H179" s="17" t="s">
        <v>63</v>
      </c>
      <c r="I179" s="19">
        <v>45351</v>
      </c>
      <c r="J179" s="1">
        <v>20000</v>
      </c>
      <c r="K179" s="17" t="s">
        <v>45</v>
      </c>
      <c r="L179" s="17" t="s">
        <v>223</v>
      </c>
      <c r="M179" s="17" t="s">
        <v>40</v>
      </c>
      <c r="N179" s="17" t="s">
        <v>19</v>
      </c>
      <c r="O179" s="20">
        <v>36328</v>
      </c>
      <c r="P179" s="21" t="s">
        <v>42</v>
      </c>
      <c r="Q179" s="17" t="s">
        <v>43</v>
      </c>
      <c r="R179" s="17">
        <v>3169929133</v>
      </c>
      <c r="S179" s="17" t="str">
        <f>+IF($N179=[1]CURSOS!$D$3,[1]CURSOS!$E$3,(+IF($N179=[1]CURSOS!$D$4,[1]CURSOS!$E$4,(+IF($N179=[1]CURSOS!$D$5,[1]CURSOS!$E$5,(+IF($N179=[1]CURSOS!$D$6,[1]CURSOS!$E$6,(+IF($N179=[1]CURSOS!$D$7,[1]CURSOS!$E$7,(+IF($N179=[1]CURSOS!$D$8,[1]CURSOS!$E$8,(+IF($N179=[1]CURSOS!$D$9,[1]CURSOS!$E$9,(+IF($N179=[1]CURSOS!$D$10,[1]CURSOS!$E$10,(+IF($N179=[1]CURSOS!$D$11,[1]CURSOS!$E$11,(+IF($N179=[1]CURSOS!$D$12,[1]CURSOS!$E$12,(+IF($N179=[1]CURSOS!$D$13,[1]CURSOS!$E$13,(+IF($N179=[1]CURSOS!$D$14,[1]CURSOS!$E$14,(+IF($N179=[1]CURSOS!$D$15,[1]CURSOS!$E$15,(+IF($N179=[1]CURSOS!$D$16,[1]CURSOS!$E$16,(+IF($N179=[1]CURSOS!$D$17,[1]CURSOS!$E$17,(+IF($N179=[1]CURSOS!$D$18,[1]CURSOS!$E$18,(+IF($N179=[1]CURSOS!$D$19,[1]CURSOS!$E$19,(+IF($N179=[1]CURSOS!$D$20,[1]CURSOS!$E$20,(+IF($N179=[1]CURSOS!$D$21,[1]CURSOS!$E$21,(+IF($N179=[1]CURSOS!$D$22,[1]CURSOS!$E$22,(+IF($N179=[1]CURSOS!$D$23,[1]CURSOS!$E$23,(+IF($N179=[1]CURSOS!$D$24,[1]CURSOS!$E$24,(+IF($N179=[1]CURSOS!$D$25,[1]CURSOS!$E$25,(+IF($N179=[1]CURSOS!$D$26,[1]CURSOS!$E$26,(+IF($N179=[1]CURSOS!$D$27,[1]CURSOS!$E$27,(+IF($N179=[1]CURSOS!$D$28,[1]CURSOS!$E$28,(+IF($N179=[1]CURSOS!$D$29,[1]CURSOS!$E$29,(+IF($N179=[1]CURSOS!$D$30,[1]CURSOS!$E$30,(+IF($N179=[1]CURSOS!$D$31,[1]CURSOS!$E$31,(+IF($N179=[1]CURSOS!$D$32,[1]CURSOS!$E$32)))))))))))))))))))))))))))))))))))))))))))))))))))))))))))</f>
        <v>SOPORTE VITAL BASICO (BLS)</v>
      </c>
      <c r="T179" s="17" t="str">
        <f t="shared" si="106"/>
        <v>Lizeth Tatiana Diaz Alvarez</v>
      </c>
      <c r="U179" s="17" t="str">
        <f t="shared" si="107"/>
        <v>Lizeth Tatiana Diaz Alvarez</v>
      </c>
      <c r="V179" s="17" t="str">
        <f t="shared" si="108"/>
        <v>Lizeth Tatiana Diaz Alvarez-1085346205-BLS</v>
      </c>
    </row>
    <row r="180" spans="1:22" x14ac:dyDescent="0.2">
      <c r="A180" s="17">
        <v>190</v>
      </c>
      <c r="B180" s="17">
        <v>1085346205</v>
      </c>
      <c r="C180" s="17" t="s">
        <v>386</v>
      </c>
      <c r="D180" s="17" t="s">
        <v>387</v>
      </c>
      <c r="E180" s="17" t="s">
        <v>388</v>
      </c>
      <c r="F180" s="18" t="s">
        <v>115</v>
      </c>
      <c r="G180" s="17">
        <v>28</v>
      </c>
      <c r="H180" s="17" t="s">
        <v>63</v>
      </c>
      <c r="I180" s="19">
        <v>45351</v>
      </c>
      <c r="J180" s="1">
        <v>20000</v>
      </c>
      <c r="K180" s="17" t="s">
        <v>45</v>
      </c>
      <c r="L180" s="17" t="s">
        <v>223</v>
      </c>
      <c r="M180" s="17" t="s">
        <v>40</v>
      </c>
      <c r="N180" s="17" t="s">
        <v>71</v>
      </c>
      <c r="O180" s="20">
        <v>36328</v>
      </c>
      <c r="P180" s="21" t="s">
        <v>42</v>
      </c>
      <c r="Q180" s="17" t="s">
        <v>43</v>
      </c>
      <c r="R180" s="17">
        <v>3169929133</v>
      </c>
      <c r="S180" s="17" t="str">
        <f>+IF($N180=[1]CURSOS!$D$3,[1]CURSOS!$E$3,(+IF($N180=[1]CURSOS!$D$4,[1]CURSOS!$E$4,(+IF($N180=[1]CURSOS!$D$5,[1]CURSOS!$E$5,(+IF($N180=[1]CURSOS!$D$6,[1]CURSOS!$E$6,(+IF($N180=[1]CURSOS!$D$7,[1]CURSOS!$E$7,(+IF($N180=[1]CURSOS!$D$8,[1]CURSOS!$E$8,(+IF($N180=[1]CURSOS!$D$9,[1]CURSOS!$E$9,(+IF($N180=[1]CURSOS!$D$10,[1]CURSOS!$E$10,(+IF($N180=[1]CURSOS!$D$11,[1]CURSOS!$E$11,(+IF($N180=[1]CURSOS!$D$12,[1]CURSOS!$E$12,(+IF($N180=[1]CURSOS!$D$13,[1]CURSOS!$E$13,(+IF($N180=[1]CURSOS!$D$14,[1]CURSOS!$E$14,(+IF($N180=[1]CURSOS!$D$15,[1]CURSOS!$E$15,(+IF($N180=[1]CURSOS!$D$16,[1]CURSOS!$E$16,(+IF($N180=[1]CURSOS!$D$17,[1]CURSOS!$E$17,(+IF($N180=[1]CURSOS!$D$18,[1]CURSOS!$E$18,(+IF($N180=[1]CURSOS!$D$19,[1]CURSOS!$E$19,(+IF($N180=[1]CURSOS!$D$20,[1]CURSOS!$E$20,(+IF($N180=[1]CURSOS!$D$21,[1]CURSOS!$E$21,(+IF($N180=[1]CURSOS!$D$22,[1]CURSOS!$E$22,(+IF($N180=[1]CURSOS!$D$23,[1]CURSOS!$E$23,(+IF($N180=[1]CURSOS!$D$24,[1]CURSOS!$E$24,(+IF($N180=[1]CURSOS!$D$25,[1]CURSOS!$E$25,(+IF($N180=[1]CURSOS!$D$26,[1]CURSOS!$E$26,(+IF($N180=[1]CURSOS!$D$27,[1]CURSOS!$E$27,(+IF($N180=[1]CURSOS!$D$28,[1]CURSOS!$E$28,(+IF($N180=[1]CURSOS!$D$29,[1]CURSOS!$E$29,(+IF($N180=[1]CURSOS!$D$30,[1]CURSOS!$E$30,(+IF($N180=[1]CURSOS!$D$31,[1]CURSOS!$E$31,(+IF($N180=[1]CURSOS!$D$32,[1]CURSOS!$E$32)))))))))))))))))))))))))))))))))))))))))))))))))))))))))))</f>
        <v xml:space="preserve">HUMANIZACION EN SALUD, BUENAS PRACTICAS EN PACIENTE </v>
      </c>
      <c r="T180" s="17" t="str">
        <f t="shared" si="106"/>
        <v>Lizeth Tatiana Diaz Alvarez</v>
      </c>
      <c r="U180" s="17" t="str">
        <f t="shared" si="107"/>
        <v>Lizeth Tatiana Diaz Alvarez</v>
      </c>
      <c r="V180" s="17" t="str">
        <f t="shared" si="108"/>
        <v>Lizeth Tatiana Diaz Alvarez-1085346205-Humanizacion</v>
      </c>
    </row>
    <row r="181" spans="1:22" x14ac:dyDescent="0.2">
      <c r="A181" s="17">
        <v>191</v>
      </c>
      <c r="B181" s="17">
        <v>1085346205</v>
      </c>
      <c r="C181" s="17" t="s">
        <v>386</v>
      </c>
      <c r="D181" s="17" t="s">
        <v>387</v>
      </c>
      <c r="E181" s="17" t="s">
        <v>388</v>
      </c>
      <c r="F181" s="18" t="s">
        <v>115</v>
      </c>
      <c r="G181" s="17">
        <v>28</v>
      </c>
      <c r="H181" s="17" t="s">
        <v>63</v>
      </c>
      <c r="I181" s="19">
        <v>45351</v>
      </c>
      <c r="J181" s="1">
        <v>20000</v>
      </c>
      <c r="K181" s="17" t="s">
        <v>45</v>
      </c>
      <c r="L181" s="17" t="s">
        <v>223</v>
      </c>
      <c r="M181" s="17" t="s">
        <v>40</v>
      </c>
      <c r="N181" s="17" t="s">
        <v>21</v>
      </c>
      <c r="O181" s="20">
        <v>36328</v>
      </c>
      <c r="P181" s="21" t="s">
        <v>42</v>
      </c>
      <c r="Q181" s="17" t="s">
        <v>43</v>
      </c>
      <c r="R181" s="17">
        <v>3169929133</v>
      </c>
      <c r="S181" s="17" t="str">
        <f>+IF($N181=[1]CURSOS!$D$3,[1]CURSOS!$E$3,(+IF($N181=[1]CURSOS!$D$4,[1]CURSOS!$E$4,(+IF($N181=[1]CURSOS!$D$5,[1]CURSOS!$E$5,(+IF($N181=[1]CURSOS!$D$6,[1]CURSOS!$E$6,(+IF($N181=[1]CURSOS!$D$7,[1]CURSOS!$E$7,(+IF($N181=[1]CURSOS!$D$8,[1]CURSOS!$E$8,(+IF($N181=[1]CURSOS!$D$9,[1]CURSOS!$E$9,(+IF($N181=[1]CURSOS!$D$10,[1]CURSOS!$E$10,(+IF($N181=[1]CURSOS!$D$11,[1]CURSOS!$E$11,(+IF($N181=[1]CURSOS!$D$12,[1]CURSOS!$E$12,(+IF($N181=[1]CURSOS!$D$13,[1]CURSOS!$E$13,(+IF($N181=[1]CURSOS!$D$14,[1]CURSOS!$E$14,(+IF($N181=[1]CURSOS!$D$15,[1]CURSOS!$E$15,(+IF($N181=[1]CURSOS!$D$16,[1]CURSOS!$E$16,(+IF($N181=[1]CURSOS!$D$17,[1]CURSOS!$E$17,(+IF($N181=[1]CURSOS!$D$18,[1]CURSOS!$E$18,(+IF($N181=[1]CURSOS!$D$19,[1]CURSOS!$E$19,(+IF($N181=[1]CURSOS!$D$20,[1]CURSOS!$E$20,(+IF($N181=[1]CURSOS!$D$21,[1]CURSOS!$E$21,(+IF($N181=[1]CURSOS!$D$22,[1]CURSOS!$E$22,(+IF($N181=[1]CURSOS!$D$23,[1]CURSOS!$E$23,(+IF($N181=[1]CURSOS!$D$24,[1]CURSOS!$E$24,(+IF($N181=[1]CURSOS!$D$25,[1]CURSOS!$E$25,(+IF($N181=[1]CURSOS!$D$26,[1]CURSOS!$E$26,(+IF($N181=[1]CURSOS!$D$27,[1]CURSOS!$E$27,(+IF($N181=[1]CURSOS!$D$28,[1]CURSOS!$E$28,(+IF($N181=[1]CURSOS!$D$29,[1]CURSOS!$E$29,(+IF($N181=[1]CURSOS!$D$30,[1]CURSOS!$E$30,(+IF($N181=[1]CURSOS!$D$31,[1]CURSOS!$E$31,(+IF($N181=[1]CURSOS!$D$32,[1]CURSOS!$E$32)))))))))))))))))))))))))))))))))))))))))))))))))))))))))))</f>
        <v xml:space="preserve">ATENCION A VICTIMAS DE ATAQUE CON AGENTES QUIMICOS </v>
      </c>
      <c r="T181" s="17" t="str">
        <f t="shared" si="106"/>
        <v>Lizeth Tatiana Diaz Alvarez</v>
      </c>
      <c r="U181" s="17" t="str">
        <f t="shared" si="107"/>
        <v>Lizeth Tatiana Diaz Alvarez</v>
      </c>
      <c r="V181" s="17" t="str">
        <f t="shared" si="108"/>
        <v>Lizeth Tatiana Diaz Alvarez-1085346205-QUIMICOS</v>
      </c>
    </row>
    <row r="182" spans="1:22" x14ac:dyDescent="0.2">
      <c r="A182" s="17">
        <v>192</v>
      </c>
      <c r="B182" s="17">
        <v>1085346205</v>
      </c>
      <c r="C182" s="17" t="s">
        <v>386</v>
      </c>
      <c r="D182" s="17" t="s">
        <v>387</v>
      </c>
      <c r="E182" s="17" t="s">
        <v>388</v>
      </c>
      <c r="F182" s="18" t="s">
        <v>115</v>
      </c>
      <c r="G182" s="17">
        <v>28</v>
      </c>
      <c r="H182" s="17" t="s">
        <v>63</v>
      </c>
      <c r="I182" s="19">
        <v>45351</v>
      </c>
      <c r="J182" s="1">
        <v>20000</v>
      </c>
      <c r="K182" s="17" t="s">
        <v>45</v>
      </c>
      <c r="L182" s="17" t="s">
        <v>223</v>
      </c>
      <c r="M182" s="17" t="s">
        <v>40</v>
      </c>
      <c r="N182" s="17" t="s">
        <v>27</v>
      </c>
      <c r="O182" s="20">
        <v>36328</v>
      </c>
      <c r="P182" s="21" t="s">
        <v>42</v>
      </c>
      <c r="Q182" s="17" t="s">
        <v>43</v>
      </c>
      <c r="R182" s="17">
        <v>3169929133</v>
      </c>
      <c r="S182" s="17" t="str">
        <f>+IF($N182=[1]CURSOS!$D$3,[1]CURSOS!$E$3,(+IF($N182=[1]CURSOS!$D$4,[1]CURSOS!$E$4,(+IF($N182=[1]CURSOS!$D$5,[1]CURSOS!$E$5,(+IF($N182=[1]CURSOS!$D$6,[1]CURSOS!$E$6,(+IF($N182=[1]CURSOS!$D$7,[1]CURSOS!$E$7,(+IF($N182=[1]CURSOS!$D$8,[1]CURSOS!$E$8,(+IF($N182=[1]CURSOS!$D$9,[1]CURSOS!$E$9,(+IF($N182=[1]CURSOS!$D$10,[1]CURSOS!$E$10,(+IF($N182=[1]CURSOS!$D$11,[1]CURSOS!$E$11,(+IF($N182=[1]CURSOS!$D$12,[1]CURSOS!$E$12,(+IF($N182=[1]CURSOS!$D$13,[1]CURSOS!$E$13,(+IF($N182=[1]CURSOS!$D$14,[1]CURSOS!$E$14,(+IF($N182=[1]CURSOS!$D$15,[1]CURSOS!$E$15,(+IF($N182=[1]CURSOS!$D$16,[1]CURSOS!$E$16,(+IF($N182=[1]CURSOS!$D$17,[1]CURSOS!$E$17,(+IF($N182=[1]CURSOS!$D$18,[1]CURSOS!$E$18,(+IF($N182=[1]CURSOS!$D$19,[1]CURSOS!$E$19,(+IF($N182=[1]CURSOS!$D$20,[1]CURSOS!$E$20,(+IF($N182=[1]CURSOS!$D$21,[1]CURSOS!$E$21,(+IF($N182=[1]CURSOS!$D$22,[1]CURSOS!$E$22,(+IF($N182=[1]CURSOS!$D$23,[1]CURSOS!$E$23,(+IF($N182=[1]CURSOS!$D$24,[1]CURSOS!$E$24,(+IF($N182=[1]CURSOS!$D$25,[1]CURSOS!$E$25,(+IF($N182=[1]CURSOS!$D$26,[1]CURSOS!$E$26,(+IF($N182=[1]CURSOS!$D$27,[1]CURSOS!$E$27,(+IF($N182=[1]CURSOS!$D$28,[1]CURSOS!$E$28,(+IF($N182=[1]CURSOS!$D$29,[1]CURSOS!$E$29,(+IF($N182=[1]CURSOS!$D$30,[1]CURSOS!$E$30,(+IF($N182=[1]CURSOS!$D$31,[1]CURSOS!$E$31,(+IF($N182=[1]CURSOS!$D$32,[1]CURSOS!$E$32)))))))))))))))))))))))))))))))))))))))))))))))))))))))))))</f>
        <v xml:space="preserve">ATENCION A VICTIMAS DE VIOLENCIA SEXUAL </v>
      </c>
      <c r="T182" s="17" t="str">
        <f t="shared" si="106"/>
        <v>Lizeth Tatiana Diaz Alvarez</v>
      </c>
      <c r="U182" s="17" t="str">
        <f t="shared" si="107"/>
        <v>Lizeth Tatiana Diaz Alvarez</v>
      </c>
      <c r="V182" s="17" t="str">
        <f t="shared" si="108"/>
        <v>Lizeth Tatiana Diaz Alvarez-1085346205-VIOLENCIA SEXUAL</v>
      </c>
    </row>
    <row r="183" spans="1:22" x14ac:dyDescent="0.2">
      <c r="A183" s="17">
        <v>193</v>
      </c>
      <c r="B183" s="17">
        <v>1124860046</v>
      </c>
      <c r="C183" s="17" t="s">
        <v>389</v>
      </c>
      <c r="D183" s="17" t="s">
        <v>390</v>
      </c>
      <c r="E183" s="17" t="s">
        <v>391</v>
      </c>
      <c r="F183" s="18" t="s">
        <v>181</v>
      </c>
      <c r="G183" s="17">
        <v>28</v>
      </c>
      <c r="H183" s="17" t="s">
        <v>63</v>
      </c>
      <c r="I183" s="19" t="s">
        <v>64</v>
      </c>
      <c r="J183" s="1" t="s">
        <v>64</v>
      </c>
      <c r="K183" s="17" t="s">
        <v>64</v>
      </c>
      <c r="L183" s="17" t="s">
        <v>223</v>
      </c>
      <c r="M183" s="17" t="s">
        <v>93</v>
      </c>
      <c r="N183" s="17" t="s">
        <v>27</v>
      </c>
      <c r="O183" s="20">
        <v>34262</v>
      </c>
      <c r="P183" s="21" t="s">
        <v>42</v>
      </c>
      <c r="Q183" s="17" t="s">
        <v>43</v>
      </c>
      <c r="S183" s="17" t="str">
        <f>+IF($N183=[1]CURSOS!$D$3,[1]CURSOS!$E$3,(+IF($N183=[1]CURSOS!$D$4,[1]CURSOS!$E$4,(+IF($N183=[1]CURSOS!$D$5,[1]CURSOS!$E$5,(+IF($N183=[1]CURSOS!$D$6,[1]CURSOS!$E$6,(+IF($N183=[1]CURSOS!$D$7,[1]CURSOS!$E$7,(+IF($N183=[1]CURSOS!$D$8,[1]CURSOS!$E$8,(+IF($N183=[1]CURSOS!$D$9,[1]CURSOS!$E$9,(+IF($N183=[1]CURSOS!$D$10,[1]CURSOS!$E$10,(+IF($N183=[1]CURSOS!$D$11,[1]CURSOS!$E$11,(+IF($N183=[1]CURSOS!$D$12,[1]CURSOS!$E$12,(+IF($N183=[1]CURSOS!$D$13,[1]CURSOS!$E$13,(+IF($N183=[1]CURSOS!$D$14,[1]CURSOS!$E$14,(+IF($N183=[1]CURSOS!$D$15,[1]CURSOS!$E$15,(+IF($N183=[1]CURSOS!$D$16,[1]CURSOS!$E$16,(+IF($N183=[1]CURSOS!$D$17,[1]CURSOS!$E$17,(+IF($N183=[1]CURSOS!$D$18,[1]CURSOS!$E$18,(+IF($N183=[1]CURSOS!$D$19,[1]CURSOS!$E$19,(+IF($N183=[1]CURSOS!$D$20,[1]CURSOS!$E$20,(+IF($N183=[1]CURSOS!$D$21,[1]CURSOS!$E$21,(+IF($N183=[1]CURSOS!$D$22,[1]CURSOS!$E$22,(+IF($N183=[1]CURSOS!$D$23,[1]CURSOS!$E$23,(+IF($N183=[1]CURSOS!$D$24,[1]CURSOS!$E$24,(+IF($N183=[1]CURSOS!$D$25,[1]CURSOS!$E$25,(+IF($N183=[1]CURSOS!$D$26,[1]CURSOS!$E$26,(+IF($N183=[1]CURSOS!$D$27,[1]CURSOS!$E$27,(+IF($N183=[1]CURSOS!$D$28,[1]CURSOS!$E$28,(+IF($N183=[1]CURSOS!$D$29,[1]CURSOS!$E$29,(+IF($N183=[1]CURSOS!$D$30,[1]CURSOS!$E$30,(+IF($N183=[1]CURSOS!$D$31,[1]CURSOS!$E$31,(+IF($N183=[1]CURSOS!$D$32,[1]CURSOS!$E$32)))))))))))))))))))))))))))))))))))))))))))))))))))))))))))</f>
        <v xml:space="preserve">ATENCION A VICTIMAS DE VIOLENCIA SEXUAL </v>
      </c>
      <c r="T183" s="17" t="str">
        <f t="shared" ref="T183:T184" si="109">CONCATENATE(E183," ",F183," ",C183," ",D183)</f>
        <v>Gina Daniela Garcia Jamioy</v>
      </c>
      <c r="U183" s="17" t="str">
        <f t="shared" ref="U183:U184" si="110">+PROPER(T183)</f>
        <v>Gina Daniela Garcia Jamioy</v>
      </c>
      <c r="V183" s="17" t="str">
        <f t="shared" ref="V183:V184" si="111">CONCATENATE(T183,"-",B183,"-",N183)</f>
        <v>Gina Daniela Garcia Jamioy-1124860046-VIOLENCIA SEXUAL</v>
      </c>
    </row>
    <row r="184" spans="1:22" x14ac:dyDescent="0.2">
      <c r="A184" s="17">
        <v>194</v>
      </c>
      <c r="B184" s="17">
        <v>1124860046</v>
      </c>
      <c r="C184" s="17" t="s">
        <v>389</v>
      </c>
      <c r="D184" s="17" t="s">
        <v>390</v>
      </c>
      <c r="E184" s="17" t="s">
        <v>391</v>
      </c>
      <c r="F184" s="18" t="s">
        <v>181</v>
      </c>
      <c r="G184" s="17">
        <v>29</v>
      </c>
      <c r="H184" s="17" t="s">
        <v>63</v>
      </c>
      <c r="I184" s="19" t="s">
        <v>64</v>
      </c>
      <c r="J184" s="1" t="s">
        <v>64</v>
      </c>
      <c r="K184" s="17" t="s">
        <v>64</v>
      </c>
      <c r="L184" s="17" t="s">
        <v>223</v>
      </c>
      <c r="M184" s="17" t="s">
        <v>93</v>
      </c>
      <c r="N184" s="17" t="s">
        <v>32</v>
      </c>
      <c r="O184" s="20">
        <v>34262</v>
      </c>
      <c r="P184" s="21" t="s">
        <v>42</v>
      </c>
      <c r="Q184" s="17" t="s">
        <v>43</v>
      </c>
      <c r="S184" s="17" t="str">
        <f>+IF($N184=[1]CURSOS!$D$3,[1]CURSOS!$E$3,(+IF($N184=[1]CURSOS!$D$4,[1]CURSOS!$E$4,(+IF($N184=[1]CURSOS!$D$5,[1]CURSOS!$E$5,(+IF($N184=[1]CURSOS!$D$6,[1]CURSOS!$E$6,(+IF($N184=[1]CURSOS!$D$7,[1]CURSOS!$E$7,(+IF($N184=[1]CURSOS!$D$8,[1]CURSOS!$E$8,(+IF($N184=[1]CURSOS!$D$9,[1]CURSOS!$E$9,(+IF($N184=[1]CURSOS!$D$10,[1]CURSOS!$E$10,(+IF($N184=[1]CURSOS!$D$11,[1]CURSOS!$E$11,(+IF($N184=[1]CURSOS!$D$12,[1]CURSOS!$E$12,(+IF($N184=[1]CURSOS!$D$13,[1]CURSOS!$E$13,(+IF($N184=[1]CURSOS!$D$14,[1]CURSOS!$E$14,(+IF($N184=[1]CURSOS!$D$15,[1]CURSOS!$E$15,(+IF($N184=[1]CURSOS!$D$16,[1]CURSOS!$E$16,(+IF($N184=[1]CURSOS!$D$17,[1]CURSOS!$E$17,(+IF($N184=[1]CURSOS!$D$18,[1]CURSOS!$E$18,(+IF($N184=[1]CURSOS!$D$19,[1]CURSOS!$E$19,(+IF($N184=[1]CURSOS!$D$20,[1]CURSOS!$E$20,(+IF($N184=[1]CURSOS!$D$21,[1]CURSOS!$E$21,(+IF($N184=[1]CURSOS!$D$22,[1]CURSOS!$E$22,(+IF($N184=[1]CURSOS!$D$23,[1]CURSOS!$E$23,(+IF($N184=[1]CURSOS!$D$24,[1]CURSOS!$E$24,(+IF($N184=[1]CURSOS!$D$25,[1]CURSOS!$E$25,(+IF($N184=[1]CURSOS!$D$26,[1]CURSOS!$E$26,(+IF($N184=[1]CURSOS!$D$27,[1]CURSOS!$E$27,(+IF($N184=[1]CURSOS!$D$28,[1]CURSOS!$E$28,(+IF($N184=[1]CURSOS!$D$29,[1]CURSOS!$E$29,(+IF($N184=[1]CURSOS!$D$30,[1]CURSOS!$E$30,(+IF($N184=[1]CURSOS!$D$31,[1]CURSOS!$E$31,(+IF($N184=[1]CURSOS!$D$32,[1]CURSOS!$E$32)))))))))))))))))))))))))))))))))))))))))))))))))))))))))))</f>
        <v>ATENCION A VICTIMAS POR VIOLENCIA DE GENERO</v>
      </c>
      <c r="T184" s="17" t="str">
        <f t="shared" si="109"/>
        <v>Gina Daniela Garcia Jamioy</v>
      </c>
      <c r="U184" s="17" t="str">
        <f t="shared" si="110"/>
        <v>Gina Daniela Garcia Jamioy</v>
      </c>
      <c r="V184" s="17" t="str">
        <f t="shared" si="111"/>
        <v>Gina Daniela Garcia Jamioy-1124860046-VIOLENCIA DE GENERO</v>
      </c>
    </row>
    <row r="185" spans="1:22" x14ac:dyDescent="0.2">
      <c r="A185" s="17">
        <v>195</v>
      </c>
      <c r="B185" s="17">
        <v>1124860046</v>
      </c>
      <c r="C185" s="17" t="s">
        <v>389</v>
      </c>
      <c r="D185" s="17" t="s">
        <v>390</v>
      </c>
      <c r="E185" s="17" t="s">
        <v>391</v>
      </c>
      <c r="F185" s="18" t="s">
        <v>181</v>
      </c>
      <c r="G185" s="17">
        <v>27</v>
      </c>
      <c r="H185" s="17" t="s">
        <v>63</v>
      </c>
      <c r="I185" s="19" t="s">
        <v>64</v>
      </c>
      <c r="J185" s="1" t="s">
        <v>64</v>
      </c>
      <c r="K185" s="17" t="s">
        <v>64</v>
      </c>
      <c r="L185" s="17" t="s">
        <v>223</v>
      </c>
      <c r="M185" s="17" t="s">
        <v>93</v>
      </c>
      <c r="N185" s="17" t="s">
        <v>33</v>
      </c>
      <c r="O185" s="20">
        <v>34262</v>
      </c>
      <c r="P185" s="21" t="s">
        <v>42</v>
      </c>
      <c r="Q185" s="17" t="s">
        <v>43</v>
      </c>
      <c r="S185" s="17" t="str">
        <f>+IF($N185=[1]CURSOS!$D$3,[1]CURSOS!$E$3,(+IF($N185=[1]CURSOS!$D$4,[1]CURSOS!$E$4,(+IF($N185=[1]CURSOS!$D$5,[1]CURSOS!$E$5,(+IF($N185=[1]CURSOS!$D$6,[1]CURSOS!$E$6,(+IF($N185=[1]CURSOS!$D$7,[1]CURSOS!$E$7,(+IF($N185=[1]CURSOS!$D$8,[1]CURSOS!$E$8,(+IF($N185=[1]CURSOS!$D$9,[1]CURSOS!$E$9,(+IF($N185=[1]CURSOS!$D$10,[1]CURSOS!$E$10,(+IF($N185=[1]CURSOS!$D$11,[1]CURSOS!$E$11,(+IF($N185=[1]CURSOS!$D$12,[1]CURSOS!$E$12,(+IF($N185=[1]CURSOS!$D$13,[1]CURSOS!$E$13,(+IF($N185=[1]CURSOS!$D$14,[1]CURSOS!$E$14,(+IF($N185=[1]CURSOS!$D$15,[1]CURSOS!$E$15,(+IF($N185=[1]CURSOS!$D$16,[1]CURSOS!$E$16,(+IF($N185=[1]CURSOS!$D$17,[1]CURSOS!$E$17,(+IF($N185=[1]CURSOS!$D$18,[1]CURSOS!$E$18,(+IF($N185=[1]CURSOS!$D$19,[1]CURSOS!$E$19,(+IF($N185=[1]CURSOS!$D$20,[1]CURSOS!$E$20,(+IF($N185=[1]CURSOS!$D$21,[1]CURSOS!$E$21,(+IF($N185=[1]CURSOS!$D$22,[1]CURSOS!$E$22,(+IF($N185=[1]CURSOS!$D$23,[1]CURSOS!$E$23,(+IF($N185=[1]CURSOS!$D$24,[1]CURSOS!$E$24,(+IF($N185=[1]CURSOS!$D$25,[1]CURSOS!$E$25,(+IF($N185=[1]CURSOS!$D$26,[1]CURSOS!$E$26,(+IF($N185=[1]CURSOS!$D$27,[1]CURSOS!$E$27,(+IF($N185=[1]CURSOS!$D$28,[1]CURSOS!$E$28,(+IF($N185=[1]CURSOS!$D$29,[1]CURSOS!$E$29,(+IF($N185=[1]CURSOS!$D$30,[1]CURSOS!$E$30,(+IF($N185=[1]CURSOS!$D$31,[1]CURSOS!$E$31,(+IF($N185=[1]CURSOS!$D$32,[1]CURSOS!$E$32)))))))))))))))))))))))))))))))))))))))))))))))))))))))))))</f>
        <v>IGUALDAD DE GENERO EN LA SALUD</v>
      </c>
      <c r="T185" s="17" t="str">
        <f t="shared" ref="T185" si="112">CONCATENATE(E185," ",F185," ",C185," ",D185)</f>
        <v>Gina Daniela Garcia Jamioy</v>
      </c>
      <c r="U185" s="17" t="str">
        <f t="shared" ref="U185" si="113">+PROPER(T185)</f>
        <v>Gina Daniela Garcia Jamioy</v>
      </c>
      <c r="V185" s="17" t="str">
        <f t="shared" ref="V185" si="114">CONCATENATE(T185,"-",B185,"-",N185)</f>
        <v>Gina Daniela Garcia Jamioy-1124860046-IGUALDAD DE GENERO</v>
      </c>
    </row>
    <row r="186" spans="1:22" x14ac:dyDescent="0.2">
      <c r="B186" s="17">
        <v>1085325336</v>
      </c>
      <c r="C186" s="17" t="s">
        <v>395</v>
      </c>
      <c r="D186" s="17" t="s">
        <v>300</v>
      </c>
      <c r="E186" s="17" t="s">
        <v>394</v>
      </c>
      <c r="F186" s="18" t="s">
        <v>395</v>
      </c>
      <c r="G186" s="17">
        <v>24</v>
      </c>
      <c r="H186" s="17" t="s">
        <v>63</v>
      </c>
      <c r="I186" s="19" t="s">
        <v>64</v>
      </c>
      <c r="J186" s="1" t="s">
        <v>64</v>
      </c>
      <c r="K186" s="17" t="s">
        <v>64</v>
      </c>
      <c r="L186" s="17" t="s">
        <v>223</v>
      </c>
      <c r="M186" s="17" t="s">
        <v>394</v>
      </c>
      <c r="N186" s="17" t="s">
        <v>19</v>
      </c>
      <c r="O186" s="20" t="s">
        <v>352</v>
      </c>
      <c r="P186" s="21" t="s">
        <v>39</v>
      </c>
      <c r="Q186" s="17" t="s">
        <v>43</v>
      </c>
      <c r="R186" s="17">
        <v>3166012264</v>
      </c>
      <c r="S186" s="17" t="str">
        <f>+IF($N186=[1]CURSOS!$D$3,[1]CURSOS!$E$3,(+IF($N186=[1]CURSOS!$D$4,[1]CURSOS!$E$4,(+IF($N186=[1]CURSOS!$D$5,[1]CURSOS!$E$5,(+IF($N186=[1]CURSOS!$D$6,[1]CURSOS!$E$6,(+IF($N186=[1]CURSOS!$D$7,[1]CURSOS!$E$7,(+IF($N186=[1]CURSOS!$D$8,[1]CURSOS!$E$8,(+IF($N186=[1]CURSOS!$D$9,[1]CURSOS!$E$9,(+IF($N186=[1]CURSOS!$D$10,[1]CURSOS!$E$10,(+IF($N186=[1]CURSOS!$D$11,[1]CURSOS!$E$11,(+IF($N186=[1]CURSOS!$D$12,[1]CURSOS!$E$12,(+IF($N186=[1]CURSOS!$D$13,[1]CURSOS!$E$13,(+IF($N186=[1]CURSOS!$D$14,[1]CURSOS!$E$14,(+IF($N186=[1]CURSOS!$D$15,[1]CURSOS!$E$15,(+IF($N186=[1]CURSOS!$D$16,[1]CURSOS!$E$16,(+IF($N186=[1]CURSOS!$D$17,[1]CURSOS!$E$17,(+IF($N186=[1]CURSOS!$D$18,[1]CURSOS!$E$18,(+IF($N186=[1]CURSOS!$D$19,[1]CURSOS!$E$19,(+IF($N186=[1]CURSOS!$D$20,[1]CURSOS!$E$20,(+IF($N186=[1]CURSOS!$D$21,[1]CURSOS!$E$21,(+IF($N186=[1]CURSOS!$D$22,[1]CURSOS!$E$22,(+IF($N186=[1]CURSOS!$D$23,[1]CURSOS!$E$23,(+IF($N186=[1]CURSOS!$D$24,[1]CURSOS!$E$24,(+IF($N186=[1]CURSOS!$D$25,[1]CURSOS!$E$25,(+IF($N186=[1]CURSOS!$D$26,[1]CURSOS!$E$26,(+IF($N186=[1]CURSOS!$D$27,[1]CURSOS!$E$27,(+IF($N186=[1]CURSOS!$D$28,[1]CURSOS!$E$28,(+IF($N186=[1]CURSOS!$D$29,[1]CURSOS!$E$29,(+IF($N186=[1]CURSOS!$D$30,[1]CURSOS!$E$30,(+IF($N186=[1]CURSOS!$D$31,[1]CURSOS!$E$31,(+IF($N186=[1]CURSOS!$D$32,[1]CURSOS!$E$32)))))))))))))))))))))))))))))))))))))))))))))))))))))))))))</f>
        <v>SOPORTE VITAL BASICO (BLS)</v>
      </c>
      <c r="T186" s="17" t="str">
        <f t="shared" ref="T186" si="115">CONCATENATE(E186," ",F186," ",C186," ",D186)</f>
        <v>Brayan Chavez Chavez Romero</v>
      </c>
      <c r="U186" s="17" t="str">
        <f t="shared" ref="U186" si="116">+PROPER(T186)</f>
        <v>Brayan Chavez Chavez Romero</v>
      </c>
      <c r="V186" s="17" t="str">
        <f t="shared" ref="V186" si="117">CONCATENATE(T186,"-",B186,"-",N186)</f>
        <v>Brayan Chavez Chavez Romero-1085325336-BLS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Hugo Cabrera</cp:lastModifiedBy>
  <cp:lastPrinted>2023-10-09T20:56:18Z</cp:lastPrinted>
  <dcterms:created xsi:type="dcterms:W3CDTF">2023-09-02T16:45:54Z</dcterms:created>
  <dcterms:modified xsi:type="dcterms:W3CDTF">2025-08-02T13:09:20Z</dcterms:modified>
</cp:coreProperties>
</file>