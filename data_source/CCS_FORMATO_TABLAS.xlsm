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go\Documents\MEGA\PROYECTOS\CCS\Analisis CCS\Python-analisys\data_source\"/>
    </mc:Choice>
  </mc:AlternateContent>
  <xr:revisionPtr revIDLastSave="0" documentId="13_ncr:1_{F08B9A24-2CBB-49E3-ACD9-CEFF1548BECA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FORMULARIO" sheetId="13" r:id="rId1"/>
    <sheet name="DESCUENTO" sheetId="10" r:id="rId2"/>
    <sheet name="CURSOS" sheetId="7" r:id="rId3"/>
    <sheet name="CIUDAD-REGION" sheetId="4" r:id="rId4"/>
    <sheet name="PROFESION" sheetId="5" r:id="rId5"/>
    <sheet name="MODALIDAD" sheetId="8" r:id="rId6"/>
    <sheet name="FUENTE" sheetId="12" r:id="rId7"/>
    <sheet name="MEDIO DE PAGO" sheetId="11" r:id="rId8"/>
    <sheet name="SI - NO" sheetId="9" r:id="rId9"/>
    <sheet name="GENERO" sheetId="2" r:id="rId10"/>
    <sheet name="COLABORADORES" sheetId="3" r:id="rId11"/>
    <sheet name="MESES" sheetId="14" r:id="rId12"/>
  </sheets>
  <functionGroups builtInGroupCount="19"/>
  <definedNames>
    <definedName name="_xleta.NOT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" i="13" l="1"/>
  <c r="D26" i="13"/>
  <c r="D30" i="13"/>
  <c r="D10" i="13"/>
  <c r="G2" i="13"/>
  <c r="G3" i="13"/>
</calcChain>
</file>

<file path=xl/sharedStrings.xml><?xml version="1.0" encoding="utf-8"?>
<sst xmlns="http://schemas.openxmlformats.org/spreadsheetml/2006/main" count="536" uniqueCount="480">
  <si>
    <t>GENERO</t>
  </si>
  <si>
    <t>CORREO</t>
  </si>
  <si>
    <t>CURSO</t>
  </si>
  <si>
    <t>MODALIDAD</t>
  </si>
  <si>
    <t xml:space="preserve">CIUDAD/REGIÓN </t>
  </si>
  <si>
    <t>MEDIO DE PAGO</t>
  </si>
  <si>
    <t>DESCUENTO</t>
  </si>
  <si>
    <t>ID</t>
  </si>
  <si>
    <t>Masculino</t>
  </si>
  <si>
    <t>Femenino</t>
  </si>
  <si>
    <t>Otro</t>
  </si>
  <si>
    <t>TELEFONO</t>
  </si>
  <si>
    <t>DIRECCION</t>
  </si>
  <si>
    <t>NOMBRE COMPLETO</t>
  </si>
  <si>
    <t>FECHA DE NACIMINETO</t>
  </si>
  <si>
    <t>DOCUMENTO</t>
  </si>
  <si>
    <t>FECHA DE CONTRATACION</t>
  </si>
  <si>
    <t>FECHA DE ACTUALIZACION</t>
  </si>
  <si>
    <t>PROFESION</t>
  </si>
  <si>
    <t>Leticia - Amazonas</t>
  </si>
  <si>
    <t>Medellín - Antioquia</t>
  </si>
  <si>
    <t>Bello - Antioquia</t>
  </si>
  <si>
    <t>Envigado - Antioquia</t>
  </si>
  <si>
    <t>Itagüí - Antioquia</t>
  </si>
  <si>
    <t>Arauca - Arauca</t>
  </si>
  <si>
    <t>Barranquilla - Atlántico</t>
  </si>
  <si>
    <t>Soledad - Atlántico</t>
  </si>
  <si>
    <t>Cartagena - Bolívar</t>
  </si>
  <si>
    <t>Magangué - Bolívar</t>
  </si>
  <si>
    <t>Tunja - Boyacá</t>
  </si>
  <si>
    <t>Duitama - Boyacá</t>
  </si>
  <si>
    <t>Sogamoso - Boyacá</t>
  </si>
  <si>
    <t>Manizales - Caldas</t>
  </si>
  <si>
    <t>Florencia - Caquetá</t>
  </si>
  <si>
    <t>Yopal - Casanare</t>
  </si>
  <si>
    <t>Popayán - Cauca</t>
  </si>
  <si>
    <t>Santander de Quilichao - Cauca</t>
  </si>
  <si>
    <t>Puerto Tejada - Cauca</t>
  </si>
  <si>
    <t>El Tambo - Cauca</t>
  </si>
  <si>
    <t>Patía - Cauca</t>
  </si>
  <si>
    <t>Timbío - Cauca</t>
  </si>
  <si>
    <t>Caldono - Cauca</t>
  </si>
  <si>
    <t>Piendamó - Cauca</t>
  </si>
  <si>
    <t>Miranda - Cauca</t>
  </si>
  <si>
    <t>Silvia - Cauca</t>
  </si>
  <si>
    <t>Valledupar - Cesar</t>
  </si>
  <si>
    <t>Quibdó - Chocó</t>
  </si>
  <si>
    <t>Montería - Córdoba</t>
  </si>
  <si>
    <t>Bogotá - Distrito Capital</t>
  </si>
  <si>
    <t>Soacha - Cundinamarca</t>
  </si>
  <si>
    <t>Facatativá - Cundinamarca</t>
  </si>
  <si>
    <t>Zipaquirá - Cundinamarca</t>
  </si>
  <si>
    <t>Chía - Cundinamarca</t>
  </si>
  <si>
    <t>Inírida - Guainía</t>
  </si>
  <si>
    <t>San José del Guaviare - Guaviare</t>
  </si>
  <si>
    <t>Neiva - Huila</t>
  </si>
  <si>
    <t>Pitalito - Huila</t>
  </si>
  <si>
    <t>Riohacha - La Guajira</t>
  </si>
  <si>
    <t>Maicao - La Guajira</t>
  </si>
  <si>
    <t>Santa Marta - Magdalena</t>
  </si>
  <si>
    <t>Ciénaga - Magdalena</t>
  </si>
  <si>
    <t>Villavicencio - Meta</t>
  </si>
  <si>
    <t>Pasto - Nariño</t>
  </si>
  <si>
    <t>Tumaco - Nariño</t>
  </si>
  <si>
    <t>Ipiales - Nariño</t>
  </si>
  <si>
    <t>Túquerres - Nariño</t>
  </si>
  <si>
    <t>La Unión - Nariño</t>
  </si>
  <si>
    <t>Samaniego - Nariño</t>
  </si>
  <si>
    <t>Sandoná - Nariño</t>
  </si>
  <si>
    <t>Buesaco - Nariño</t>
  </si>
  <si>
    <t>Cumbal - Nariño</t>
  </si>
  <si>
    <t>El Charco - Nariño</t>
  </si>
  <si>
    <t>La Cruz - Nariño</t>
  </si>
  <si>
    <t>Ricaurte - Nariño</t>
  </si>
  <si>
    <t>Cúcuta - Norte de Santander</t>
  </si>
  <si>
    <t>Ocaña - Norte de Santander</t>
  </si>
  <si>
    <t>Mocoa - Putumayo</t>
  </si>
  <si>
    <t>Puerto Asís - Putumayo</t>
  </si>
  <si>
    <t>Orito - Putumayo</t>
  </si>
  <si>
    <t>Valle del Guamuez - Putumayo</t>
  </si>
  <si>
    <t>San Miguel - Putumayo</t>
  </si>
  <si>
    <t>Villagarzón - Putumayo</t>
  </si>
  <si>
    <t>Puerto Guzmán - Putumayo</t>
  </si>
  <si>
    <t>Puerto Caicedo - Putumayo</t>
  </si>
  <si>
    <t>Armenia - Quindío</t>
  </si>
  <si>
    <t>Pereira - Risaralda</t>
  </si>
  <si>
    <t>Dosquebradas - Risaralda</t>
  </si>
  <si>
    <t>San Andrés - San Andrés y Providencia</t>
  </si>
  <si>
    <t>Bucaramanga - Santander</t>
  </si>
  <si>
    <t>Floridablanca - Santander</t>
  </si>
  <si>
    <t>Girón - Santander</t>
  </si>
  <si>
    <t>Barrancabermeja - Santander</t>
  </si>
  <si>
    <t>Sincelejo - Sucre</t>
  </si>
  <si>
    <t>Ibagué - Tolima</t>
  </si>
  <si>
    <t>Cali - Valle del Cauca</t>
  </si>
  <si>
    <t>Buenaventura - Valle del Cauca</t>
  </si>
  <si>
    <t>Palmira - Valle del Cauca</t>
  </si>
  <si>
    <t>Tuluá - Valle del Cauca</t>
  </si>
  <si>
    <t>Cartago - Valle del Cauca</t>
  </si>
  <si>
    <t>Jamundí - Valle del Cauca</t>
  </si>
  <si>
    <t>Buga - Valle del Cauca</t>
  </si>
  <si>
    <t>Yumbo - Valle del Cauca</t>
  </si>
  <si>
    <t>Candelaria - Valle del Cauca</t>
  </si>
  <si>
    <t>Florida - Valle del Cauca</t>
  </si>
  <si>
    <t>Pradera - Valle del Cauca</t>
  </si>
  <si>
    <t>Dagua - Valle del Cauca</t>
  </si>
  <si>
    <t>Mitú - Vaupés</t>
  </si>
  <si>
    <t>Puerto Carreño - Vichada</t>
  </si>
  <si>
    <t>Auxiliar de enfermería</t>
  </si>
  <si>
    <t>Auxiliar de farmacia</t>
  </si>
  <si>
    <t>Epidemiólogo</t>
  </si>
  <si>
    <t>Fisioterapeuta</t>
  </si>
  <si>
    <t>Fonoaudiólogo</t>
  </si>
  <si>
    <t>Instrumentador quirúrgico</t>
  </si>
  <si>
    <t>Médico general</t>
  </si>
  <si>
    <t>Optómetra</t>
  </si>
  <si>
    <t>Paramédico</t>
  </si>
  <si>
    <t>Radiólogo</t>
  </si>
  <si>
    <t>Regente de farmacia</t>
  </si>
  <si>
    <t>Técnico en imagenología</t>
  </si>
  <si>
    <t>Terapeuta ocupacional</t>
  </si>
  <si>
    <t>Terapeuta respiratorio</t>
  </si>
  <si>
    <t>Trabajador social en salud</t>
  </si>
  <si>
    <t>DIPLOMADO EN ATENCION PRE-HOSPITALARIA</t>
  </si>
  <si>
    <t>ACOMPAÑAMIENTO Y MANEJO DEL DUELO</t>
  </si>
  <si>
    <t xml:space="preserve">ATENCIÓN A VÍCTIMAS DE ATAQUE CON AGENTES QUIMICOS </t>
  </si>
  <si>
    <t xml:space="preserve">PRIMEROS AUXILIOS </t>
  </si>
  <si>
    <t>DIPLOMADO DE UNIDAD DE CUIDADOS INTENSIVOS (UCI)</t>
  </si>
  <si>
    <t>MODELO DE ATENCION PARA EVENTOS EMERGENTES EN SALUD MENTAL (CODIGO VERDE)</t>
  </si>
  <si>
    <t xml:space="preserve">HUMANIZACIÓN EN EL SERVICIO DE LA SALUD Y BUENAS PRACTICAS EN PACIENTE </t>
  </si>
  <si>
    <t xml:space="preserve">CLINICA DE HERIDAS </t>
  </si>
  <si>
    <t xml:space="preserve">TOMA DE CITOLOGIA A CERVICO VAGINAL </t>
  </si>
  <si>
    <t>SOPORTE CARDIOVASCULAR AVANZADO (ACLS)</t>
  </si>
  <si>
    <t xml:space="preserve">CAMILLERO </t>
  </si>
  <si>
    <t>TOMA DE MUESTRAS Y LABORATORIO CLINICO</t>
  </si>
  <si>
    <t>SOPORTE VITAL BASICO (BLS)</t>
  </si>
  <si>
    <t xml:space="preserve">ATENCIÓN A VÍCTIMAS DE VIOLENCIA SEXUAL </t>
  </si>
  <si>
    <t>PROGRAMADO AMPLIADO DE INMUNIZACION (PAI - COVID 19)</t>
  </si>
  <si>
    <t>ATENCIÓN INTEGRAL EN ENFERMEDADES PREVALENTES EN PRIMERA INFANCIA (AIEPI)</t>
  </si>
  <si>
    <t xml:space="preserve">ADMINISTRACIÓN DE MEDICAMENTOS, INYECTOLOGIA  Y CANALIZACION </t>
  </si>
  <si>
    <t>OPERADOR DE VEHICULOS DE EMERGENCIA (OVE)</t>
  </si>
  <si>
    <t>INSTITUCIONES AMIGAS DE LA MUJER Y LA INFANCIA (IAMI)</t>
  </si>
  <si>
    <t>CUIDADO DEL DONANTE DE ORGANOS</t>
  </si>
  <si>
    <t>ATENCIÓN A VICTIMAS POR VIOLENCIA DE GENERO</t>
  </si>
  <si>
    <t>IGUALDAD DE GENERO EN LA SALUD</t>
  </si>
  <si>
    <t>BRIGADA DE EMERGENCIA</t>
  </si>
  <si>
    <t>MANEJO DEL DOLOR Y CUIDADOS PALIATIVOS</t>
  </si>
  <si>
    <t>TOMA DE MUESTRAS Y LABORATORIO POCT</t>
  </si>
  <si>
    <t>IMPLANTE SUBDERMICO DE DISPOSITIVO INTRAUTERINO</t>
  </si>
  <si>
    <t>SALUD MENTAL</t>
  </si>
  <si>
    <t>PRIMEROS AUXILIOS PSICOLOGICOS</t>
  </si>
  <si>
    <t>ATENCION A VICTIMAS POR CONFLICTO ARMADO</t>
  </si>
  <si>
    <t>MANIPULACION DE ALIMENTOS Y BPM</t>
  </si>
  <si>
    <t>ATENCION A PERSONAS CON DISCAPACIDAD</t>
  </si>
  <si>
    <t>CUIDADO INTEGRAL DEL PACIENTE ADULTO</t>
  </si>
  <si>
    <t>MANEJO DEFENSIVO</t>
  </si>
  <si>
    <t>SOPORTE CARDIOVASCULAR AVANZADO NEONATAL</t>
  </si>
  <si>
    <t>SEGURIDAD DEL PACIENTE</t>
  </si>
  <si>
    <t>MANEJO DE RESIDUOS HOSPITALARIOS</t>
  </si>
  <si>
    <t>NOMBRE CURSO</t>
  </si>
  <si>
    <t>PRECIO UNITARIO</t>
  </si>
  <si>
    <t>Presencial</t>
  </si>
  <si>
    <t>Virtual sincrónica</t>
  </si>
  <si>
    <t>Virtual asincrónica</t>
  </si>
  <si>
    <t>Simulación clínica</t>
  </si>
  <si>
    <t>Taller práctico</t>
  </si>
  <si>
    <t>Jornadas intensivas</t>
  </si>
  <si>
    <t>Webinar</t>
  </si>
  <si>
    <t>MOOC (Cursos abiertos masivos en línea)</t>
  </si>
  <si>
    <t>Entrenamiento en RV/RA (Realidad Virtual/Realidad Aumentada)</t>
  </si>
  <si>
    <t>Educación interprofesional</t>
  </si>
  <si>
    <t>Taller de certificación</t>
  </si>
  <si>
    <t>Mixta</t>
  </si>
  <si>
    <t>OPCIÓN</t>
  </si>
  <si>
    <t>SI</t>
  </si>
  <si>
    <t>NO</t>
  </si>
  <si>
    <t>DESCRIPCION</t>
  </si>
  <si>
    <t>Transferencia Bancaria Bancolombia</t>
  </si>
  <si>
    <t>Transferencia Bancaria Davivienda</t>
  </si>
  <si>
    <t>Transferencia Bancaria Banco de Bogotá</t>
  </si>
  <si>
    <t>Transferencia Bancaria Banco de Occidente</t>
  </si>
  <si>
    <t>Transferencia Bancaria Banco AV Villas</t>
  </si>
  <si>
    <t>Transferencia Bancaria BBVA Colombia</t>
  </si>
  <si>
    <t>Transferencia Bancaria Scotiabank Colpatria</t>
  </si>
  <si>
    <t>Transferencia Bancaria Banco Agrario</t>
  </si>
  <si>
    <t>Transferencia Bancaria GNB Sudameris</t>
  </si>
  <si>
    <t>Transferencia Bancaria Banco Popular</t>
  </si>
  <si>
    <t>Transferencia Bancaria Movii</t>
  </si>
  <si>
    <t>Tarjeta Débito Visa</t>
  </si>
  <si>
    <t>Tarjeta Débito Mastercard</t>
  </si>
  <si>
    <t>Tarjeta Débito Maestro</t>
  </si>
  <si>
    <t>Tarjeta Crédito Visa</t>
  </si>
  <si>
    <t>Tarjeta Crédito Mastercard</t>
  </si>
  <si>
    <t>Tarjeta Crédito American Express</t>
  </si>
  <si>
    <t>Tarjeta Crédito Diners Club</t>
  </si>
  <si>
    <t>Tarjeta Crédito Codensa</t>
  </si>
  <si>
    <t>Wompi (Bancolombia)</t>
  </si>
  <si>
    <t>Mercado Pago</t>
  </si>
  <si>
    <t>PayU Latam</t>
  </si>
  <si>
    <t>Place to Pay</t>
  </si>
  <si>
    <t>PSE (Pagos Seguros en Línea - ACH Colombia)</t>
  </si>
  <si>
    <t>Nequi</t>
  </si>
  <si>
    <t>Daviplata</t>
  </si>
  <si>
    <t>Movii</t>
  </si>
  <si>
    <t>Tpaga</t>
  </si>
  <si>
    <t>Bancolombia QR (Nequi - Wompi)</t>
  </si>
  <si>
    <t>Daviplata QR</t>
  </si>
  <si>
    <t>Mercado Pago QR</t>
  </si>
  <si>
    <t>Baloto</t>
  </si>
  <si>
    <t>Efecty</t>
  </si>
  <si>
    <t>SúperGIROS</t>
  </si>
  <si>
    <t>Puntored</t>
  </si>
  <si>
    <t>Gana</t>
  </si>
  <si>
    <t>Bitcoin (BTC)</t>
  </si>
  <si>
    <t>Ethereum (ETH)</t>
  </si>
  <si>
    <t>Tether (USDT - TRC20/ ERC20)</t>
  </si>
  <si>
    <t>Binance Pay</t>
  </si>
  <si>
    <t>Google</t>
  </si>
  <si>
    <t>Google Maps</t>
  </si>
  <si>
    <t>Facebook</t>
  </si>
  <si>
    <t>Instagram</t>
  </si>
  <si>
    <t>TikTok</t>
  </si>
  <si>
    <t>Twitter/X</t>
  </si>
  <si>
    <t>LinkedIn</t>
  </si>
  <si>
    <t>YouTube</t>
  </si>
  <si>
    <t>WhatsApp</t>
  </si>
  <si>
    <t>Telegram</t>
  </si>
  <si>
    <t>Google Ads</t>
  </si>
  <si>
    <t>Boca a boca</t>
  </si>
  <si>
    <t>Blogs y noticias</t>
  </si>
  <si>
    <t>Alianzas comerciales</t>
  </si>
  <si>
    <t>Ferias y eventos</t>
  </si>
  <si>
    <t>Publicidad impresa</t>
  </si>
  <si>
    <t>Radio</t>
  </si>
  <si>
    <t>Televisión y streaming</t>
  </si>
  <si>
    <t>Vehículos publicitarios</t>
  </si>
  <si>
    <t>Directorios online</t>
  </si>
  <si>
    <t>Email marketing</t>
  </si>
  <si>
    <t>SMS y WhatsApp Business</t>
  </si>
  <si>
    <t>Marketplaces</t>
  </si>
  <si>
    <t>Stands y puntos físicos</t>
  </si>
  <si>
    <t>Transporte público</t>
  </si>
  <si>
    <t>Concursos y sorteos</t>
  </si>
  <si>
    <t>Programas de referidos</t>
  </si>
  <si>
    <t>Podcasts</t>
  </si>
  <si>
    <t>Página web y SEO</t>
  </si>
  <si>
    <t>TikTok Live, Instagram Live, Facebook Live</t>
  </si>
  <si>
    <t>Apps móviles</t>
  </si>
  <si>
    <t>PROCEDENCIA</t>
  </si>
  <si>
    <t>Efectivo</t>
  </si>
  <si>
    <t xml:space="preserve">PRECIO ACTUALIZACION </t>
  </si>
  <si>
    <t>Luis Olivares pinta Lopez</t>
  </si>
  <si>
    <t xml:space="preserve">luispinta347@gmail.com </t>
  </si>
  <si>
    <t>Chachagui</t>
  </si>
  <si>
    <t>Auxiliar de enfermeria</t>
  </si>
  <si>
    <t>Lucio Francisco Rosero Muñoz</t>
  </si>
  <si>
    <t>fran3585@gmail.com</t>
  </si>
  <si>
    <t>Pasto</t>
  </si>
  <si>
    <t>Gerente</t>
  </si>
  <si>
    <t>Yurani Daniela Goyes Mora</t>
  </si>
  <si>
    <t>Samaniego</t>
  </si>
  <si>
    <t>CARGO</t>
  </si>
  <si>
    <t>NOMBRE DESCUENTO</t>
  </si>
  <si>
    <t>Vendedor</t>
  </si>
  <si>
    <t>Médico especialista</t>
  </si>
  <si>
    <t>Jefe de enfermería</t>
  </si>
  <si>
    <t>Enfermero especialista</t>
  </si>
  <si>
    <t>Odontólogo general</t>
  </si>
  <si>
    <t>Odontólogo especialista</t>
  </si>
  <si>
    <t>Psicólogo</t>
  </si>
  <si>
    <t>Bacteriólogo/Microbiólogo</t>
  </si>
  <si>
    <t>Técnico de laboratorio clínico</t>
  </si>
  <si>
    <t>Técnico en radiología</t>
  </si>
  <si>
    <t>Nutricionista-dietista</t>
  </si>
  <si>
    <t>Técnico en nutrición</t>
  </si>
  <si>
    <t>Químico farmacéutico</t>
  </si>
  <si>
    <t>Salubrista</t>
  </si>
  <si>
    <t>Promotor de salud</t>
  </si>
  <si>
    <t>Técnico en optometría</t>
  </si>
  <si>
    <t>Auditor médico</t>
  </si>
  <si>
    <t>Administrador hospitalario</t>
  </si>
  <si>
    <t>Bioingeniero</t>
  </si>
  <si>
    <t>Ingeniero biomédico</t>
  </si>
  <si>
    <t>Tecnólogo en atención prehospitalaria</t>
  </si>
  <si>
    <t>Técnico en salud ocupacional</t>
  </si>
  <si>
    <t>Químico puro (análisis clínicos)</t>
  </si>
  <si>
    <t>Gerontólogo</t>
  </si>
  <si>
    <t>Protesista/Ortesista</t>
  </si>
  <si>
    <t>Biólogo (investigación médica)</t>
  </si>
  <si>
    <t>Albán - Nariño</t>
  </si>
  <si>
    <t>Aldana - Nariño</t>
  </si>
  <si>
    <t>Ancuya - Nariño</t>
  </si>
  <si>
    <t>Arboleda - Nariño</t>
  </si>
  <si>
    <t>Barbacoas - Nariño</t>
  </si>
  <si>
    <t>Belén - Nariño</t>
  </si>
  <si>
    <t>Chachagüí - Nariño</t>
  </si>
  <si>
    <t>Colón - Nariño</t>
  </si>
  <si>
    <t>Consacá - Nariño</t>
  </si>
  <si>
    <t>Contadero - Nariño</t>
  </si>
  <si>
    <t>Córdoba - Nariño</t>
  </si>
  <si>
    <t>Cuaspud - Nariño</t>
  </si>
  <si>
    <t>El Peñol - Nariño</t>
  </si>
  <si>
    <t>El Rosario - Nariño</t>
  </si>
  <si>
    <t>El Tablón de Gómez - Nariño</t>
  </si>
  <si>
    <t>Francisco Pizarro - Nariño</t>
  </si>
  <si>
    <t>Funes - Nariño</t>
  </si>
  <si>
    <t>Guachucal - Nariño</t>
  </si>
  <si>
    <t>Guaitarilla - Nariño</t>
  </si>
  <si>
    <t>Gualmatán - Nariño</t>
  </si>
  <si>
    <t>Iles - Nariño</t>
  </si>
  <si>
    <t>Imués - Nariño</t>
  </si>
  <si>
    <t>La Florida - Nariño</t>
  </si>
  <si>
    <t>La Llanada - Nariño</t>
  </si>
  <si>
    <t>La Tola - Nariño</t>
  </si>
  <si>
    <t>Leiva - Nariño</t>
  </si>
  <si>
    <t>Linares - Nariño</t>
  </si>
  <si>
    <t>Los Andes - Nariño</t>
  </si>
  <si>
    <t>Magüí Payán - Nariño</t>
  </si>
  <si>
    <t>Mallama - Nariño</t>
  </si>
  <si>
    <t>Mosquera - Nariño</t>
  </si>
  <si>
    <t>Nariño - Nariño</t>
  </si>
  <si>
    <t>Olaya Herrera - Nariño</t>
  </si>
  <si>
    <t>Ospina - Nariño</t>
  </si>
  <si>
    <t>Policarpa - Nariño</t>
  </si>
  <si>
    <t>Potosí - Nariño</t>
  </si>
  <si>
    <t>Providencia - Nariño</t>
  </si>
  <si>
    <t>Puerres - Nariño</t>
  </si>
  <si>
    <t>Pupiales - Nariño</t>
  </si>
  <si>
    <t>Roberto Payán - Nariño</t>
  </si>
  <si>
    <t>Santa Bárbara - Nariño</t>
  </si>
  <si>
    <t>Santacruz - Nariño</t>
  </si>
  <si>
    <t>Sapuyes - Nariño</t>
  </si>
  <si>
    <t>Taminango - Nariño</t>
  </si>
  <si>
    <t>Tangua - Nariño</t>
  </si>
  <si>
    <t>San Pablo - Nariño</t>
  </si>
  <si>
    <t>San Pedro de Cartago - Nariño</t>
  </si>
  <si>
    <t>Yacuanquer - Nariño</t>
  </si>
  <si>
    <t>paquete 1 (Actualizacion)</t>
  </si>
  <si>
    <t xml:space="preserve">El cliente compro 2 cursos por actualizacion </t>
  </si>
  <si>
    <t>paquete 1 (Primera vez)</t>
  </si>
  <si>
    <t xml:space="preserve">El cliente compro 2 cursos por primera vez </t>
  </si>
  <si>
    <t>Paquete 2 (Actualizacion)</t>
  </si>
  <si>
    <t xml:space="preserve">El cliente compro 3 cursos por actualizacion </t>
  </si>
  <si>
    <t>paquete 2 (Primera vez)</t>
  </si>
  <si>
    <t xml:space="preserve">El cliente compro 3 cursos por primera vez </t>
  </si>
  <si>
    <t>Paquete 3 (Primera vez)</t>
  </si>
  <si>
    <t xml:space="preserve">El cliente compro 4 cursos por actualizacion </t>
  </si>
  <si>
    <t>Sin descuento</t>
  </si>
  <si>
    <t>El cliente compro 1 cursos sin esceunto</t>
  </si>
  <si>
    <t>Especial 1 (Primera vez)</t>
  </si>
  <si>
    <t xml:space="preserve">Paquete 3 (Actualizacion) </t>
  </si>
  <si>
    <t xml:space="preserve">Especial 2 (Actualizacion) </t>
  </si>
  <si>
    <t>Precio especial cuando varios clientes compran en grupo cursos</t>
  </si>
  <si>
    <t>Precio especial cuando varios clientes compran en grupo cursos para actualizacion</t>
  </si>
  <si>
    <t>Nicolas Rosero Patiño</t>
  </si>
  <si>
    <t>contabilidad.ccspasto@gmail.com</t>
  </si>
  <si>
    <t>Contador publico</t>
  </si>
  <si>
    <t xml:space="preserve">Contador publico </t>
  </si>
  <si>
    <t>Lina maria Guerrero Patiño</t>
  </si>
  <si>
    <t>linaguerrero@umariana.edu.co</t>
  </si>
  <si>
    <t>Mecadologa</t>
  </si>
  <si>
    <t>Mercadologa</t>
  </si>
  <si>
    <t>Juan Camilo Urbano Paredes</t>
  </si>
  <si>
    <t xml:space="preserve">camilo99051@gmail.com </t>
  </si>
  <si>
    <t>Ingeniero mecatronico</t>
  </si>
  <si>
    <t>Auxiliar administrativo</t>
  </si>
  <si>
    <t>Sebastian Rosero Patiño</t>
  </si>
  <si>
    <t>sebastian.rosero3585@gmail.com</t>
  </si>
  <si>
    <t>ATENCIÓN PRE-HOSPITALARIA</t>
  </si>
  <si>
    <t>DUELO</t>
  </si>
  <si>
    <t>QUÍMICOS</t>
  </si>
  <si>
    <t>PRIMEROS AUXILIOS</t>
  </si>
  <si>
    <t>UCI</t>
  </si>
  <si>
    <t>CÓDIGO VERDE</t>
  </si>
  <si>
    <t>HUMANIZACIÓN</t>
  </si>
  <si>
    <t>CLÍNICA DE HERIDAS</t>
  </si>
  <si>
    <t>CITOLOGÍA</t>
  </si>
  <si>
    <t>ACLS</t>
  </si>
  <si>
    <t>CAMILLERO</t>
  </si>
  <si>
    <t>TOMA DE MUESTRAS</t>
  </si>
  <si>
    <t>BLS</t>
  </si>
  <si>
    <t>VIOLENCIA SEXUAL</t>
  </si>
  <si>
    <t>PAI</t>
  </si>
  <si>
    <t>AIEPI</t>
  </si>
  <si>
    <t>ADMON DE MEDICAMENTOS</t>
  </si>
  <si>
    <t>OVE</t>
  </si>
  <si>
    <t>IAMI</t>
  </si>
  <si>
    <t>DONANTE</t>
  </si>
  <si>
    <t>VIOLENCIA DE GÉNERO</t>
  </si>
  <si>
    <t>IGUALDAD DE GÉNERO</t>
  </si>
  <si>
    <t>BRIGADA</t>
  </si>
  <si>
    <t>PALIATIVOS</t>
  </si>
  <si>
    <t>POCT</t>
  </si>
  <si>
    <t>IMPLANTE</t>
  </si>
  <si>
    <t>PRIMEROS AUXILIOS P</t>
  </si>
  <si>
    <t>CONFLICTO ARMADO</t>
  </si>
  <si>
    <t>MANIPULACIÓN DE ALIMENTOS</t>
  </si>
  <si>
    <t>DISCAPACIDAD</t>
  </si>
  <si>
    <t>ADULTO MAYOR</t>
  </si>
  <si>
    <t>ACLSN</t>
  </si>
  <si>
    <t>PACIENTE</t>
  </si>
  <si>
    <t>RESIDUOS</t>
  </si>
  <si>
    <t/>
  </si>
  <si>
    <t>Obsequio</t>
  </si>
  <si>
    <t>Curso de regalo</t>
  </si>
  <si>
    <t>Informacion personal</t>
  </si>
  <si>
    <t>Informacion del Curso</t>
  </si>
  <si>
    <t>Datos de Venta</t>
  </si>
  <si>
    <t>Seguimiento</t>
  </si>
  <si>
    <t>MAYO</t>
  </si>
  <si>
    <t>MES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</si>
  <si>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</si>
  <si>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</si>
  <si>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</si>
  <si>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</si>
  <si>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</si>
  <si>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</si>
  <si>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</si>
  <si>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</si>
  <si>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</si>
  <si>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</si>
  <si>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</si>
  <si>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</si>
  <si>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INDICE</t>
  </si>
  <si>
    <t>PRIMER APELLIDO</t>
  </si>
  <si>
    <t>SEGUNDO APELLIDO</t>
  </si>
  <si>
    <t>PRIMER NOMBRE</t>
  </si>
  <si>
    <t>SEGUNDO NOMBRE</t>
  </si>
  <si>
    <t>FECHA DE NACIMIENTO</t>
  </si>
  <si>
    <t>CELULAR</t>
  </si>
  <si>
    <t>CIUDAD/REGION</t>
  </si>
  <si>
    <t>RENOVACION</t>
  </si>
  <si>
    <t>RESPONSABLE VENTA</t>
  </si>
  <si>
    <t>FECHA DE VENTA</t>
  </si>
  <si>
    <t>VALOR UNITARIO</t>
  </si>
  <si>
    <t>PRECIO NETO</t>
  </si>
  <si>
    <t>FECHA DE PAGO</t>
  </si>
  <si>
    <t>ELABORO</t>
  </si>
  <si>
    <t>SEGUIMIENTO POST-VENTA</t>
  </si>
  <si>
    <t xml:space="preserve">       Fecha Actual</t>
  </si>
  <si>
    <t xml:space="preserve">       Primer apellido (*)</t>
  </si>
  <si>
    <t xml:space="preserve">       Segundo apellido</t>
  </si>
  <si>
    <t xml:space="preserve">       Primer nombre (*)</t>
  </si>
  <si>
    <t xml:space="preserve">       Segundo nombre</t>
  </si>
  <si>
    <t xml:space="preserve">       Fecha de Nacimiento</t>
  </si>
  <si>
    <t xml:space="preserve">       Genero (*) (B)</t>
  </si>
  <si>
    <t xml:space="preserve">       Cedula (*) (B)</t>
  </si>
  <si>
    <t xml:space="preserve">       Celular (*)</t>
  </si>
  <si>
    <t xml:space="preserve">       Correo (*)</t>
  </si>
  <si>
    <t xml:space="preserve">       Profesion</t>
  </si>
  <si>
    <t xml:space="preserve">       Curso (*) (B)</t>
  </si>
  <si>
    <t xml:space="preserve">       Modalidad (*)</t>
  </si>
  <si>
    <t xml:space="preserve">       Renovacion (*)</t>
  </si>
  <si>
    <t xml:space="preserve">       Valor unitario (*)</t>
  </si>
  <si>
    <t xml:space="preserve">       Descuento (*)</t>
  </si>
  <si>
    <t xml:space="preserve">       Precio neto (*)</t>
  </si>
  <si>
    <t xml:space="preserve">       Vendedor (*)</t>
  </si>
  <si>
    <t xml:space="preserve">        Medio de pago (*)</t>
  </si>
  <si>
    <t xml:space="preserve">       Fecha de pago (B)</t>
  </si>
  <si>
    <t xml:space="preserve">       Procedencia (*)</t>
  </si>
  <si>
    <t xml:space="preserve">       Descripcion</t>
  </si>
  <si>
    <t xml:space="preserve">       Ciudad / Region (B)</t>
  </si>
  <si>
    <t xml:space="preserve">       Fecha de venta (B)</t>
  </si>
  <si>
    <t>null</t>
  </si>
  <si>
    <t>Tipo_de Docuemnto</t>
  </si>
  <si>
    <t>REGISTROS</t>
  </si>
  <si>
    <t>CONSOLIDADO</t>
  </si>
  <si>
    <t>CEDULA</t>
  </si>
  <si>
    <t>DIA</t>
  </si>
  <si>
    <t>NOMBRE DEL CURSO</t>
  </si>
  <si>
    <t>NOMBRE DEL ARCHIVO</t>
  </si>
  <si>
    <t>Buscar en:</t>
  </si>
  <si>
    <t>Documento consolidado:</t>
  </si>
  <si>
    <t>Mes:</t>
  </si>
  <si>
    <t>Año:</t>
  </si>
  <si>
    <t>Documento Actual:</t>
  </si>
  <si>
    <t>Los campos con (*) son Obligatorios
Los Campos con (B) permiten la busqueda</t>
  </si>
  <si>
    <t>Auxiliar de Odontología</t>
  </si>
  <si>
    <t>Estudiante</t>
  </si>
  <si>
    <t>Técnico Laboral en Servicios Farmacéuticos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</si>
</sst>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[$$-240A]\ * #,##0_-;\-[$$-240A]\ * #,##0_-;_-[$$-240A]\ * &quot;-&quot;??_-;_-@_-"/>
    <numFmt numFmtId="166" formatCode="_-&quot;$&quot;\ * #,##0_-;\-&quot;$&quot;\ * #,##0_-;_-&quot;$&quot;\ * &quot;-&quot;??_-;_-@_-"/>
    <numFmt numFmtId="167" formatCode="0.0%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2A216E"/>
      </left>
      <right/>
      <top style="medium">
        <color rgb="FF2A216E"/>
      </top>
      <bottom/>
      <diagonal/>
    </border>
    <border>
      <left/>
      <right/>
      <top style="medium">
        <color rgb="FF2A216E"/>
      </top>
      <bottom/>
      <diagonal/>
    </border>
    <border>
      <left/>
      <right style="medium">
        <color rgb="FF2A216E"/>
      </right>
      <top style="medium">
        <color rgb="FF2A216E"/>
      </top>
      <bottom/>
      <diagonal/>
    </border>
    <border>
      <left style="medium">
        <color rgb="FF2A216E"/>
      </left>
      <right/>
      <top/>
      <bottom/>
      <diagonal/>
    </border>
    <border>
      <left/>
      <right style="medium">
        <color rgb="FF2A216E"/>
      </right>
      <top/>
      <bottom/>
      <diagonal/>
    </border>
    <border>
      <left style="medium">
        <color rgb="FF2A216E"/>
      </left>
      <right/>
      <top/>
      <bottom style="medium">
        <color rgb="FF2A216E"/>
      </bottom>
      <diagonal/>
    </border>
    <border>
      <left/>
      <right/>
      <top/>
      <bottom style="medium">
        <color rgb="FF2A216E"/>
      </bottom>
      <diagonal/>
    </border>
    <border>
      <left/>
      <right style="medium">
        <color rgb="FF2A216E"/>
      </right>
      <top/>
      <bottom style="medium">
        <color rgb="FF2A216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0" fontId="4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left" vertical="center" indent="1"/>
    </xf>
    <xf numFmtId="0" fontId="4" fillId="0" borderId="0" xfId="2" applyAlignment="1">
      <alignment horizontal="center" vertical="center"/>
    </xf>
    <xf numFmtId="0" fontId="4" fillId="0" borderId="0" xfId="2"/>
    <xf numFmtId="0" fontId="5" fillId="0" borderId="0" xfId="2" applyFont="1" applyAlignment="1">
      <alignment horizontal="center"/>
    </xf>
    <xf numFmtId="0" fontId="5" fillId="0" borderId="0" xfId="2" applyFont="1" applyAlignment="1">
      <alignment horizontal="left"/>
    </xf>
    <xf numFmtId="0" fontId="4" fillId="0" borderId="0" xfId="2" applyAlignment="1">
      <alignment horizontal="left"/>
    </xf>
    <xf numFmtId="0" fontId="4" fillId="0" borderId="0" xfId="2" applyAlignment="1">
      <alignment horizontal="center"/>
    </xf>
    <xf numFmtId="165" fontId="0" fillId="0" borderId="0" xfId="0" applyNumberFormat="1"/>
    <xf numFmtId="9" fontId="0" fillId="0" borderId="0" xfId="1" applyFont="1"/>
    <xf numFmtId="14" fontId="0" fillId="0" borderId="0" xfId="0" applyNumberFormat="1"/>
    <xf numFmtId="166" fontId="0" fillId="0" borderId="0" xfId="10" applyNumberFormat="1" applyFont="1"/>
    <xf numFmtId="0" fontId="7" fillId="0" borderId="0" xfId="11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1" xfId="0" applyBorder="1" applyAlignment="1">
      <alignment wrapText="1"/>
    </xf>
    <xf numFmtId="167" fontId="0" fillId="0" borderId="1" xfId="1" applyNumberFormat="1" applyFont="1" applyBorder="1"/>
    <xf numFmtId="9" fontId="0" fillId="0" borderId="1" xfId="1" applyFont="1" applyBorder="1"/>
    <xf numFmtId="10" fontId="0" fillId="0" borderId="1" xfId="1" applyNumberFormat="1" applyFont="1" applyBorder="1"/>
    <xf numFmtId="0" fontId="7" fillId="0" borderId="0" xfId="11" applyNumberFormat="1"/>
    <xf numFmtId="0" fontId="0" fillId="2" borderId="0" xfId="0" applyFill="1"/>
    <xf numFmtId="0" fontId="0" fillId="0" borderId="10" xfId="0" applyBorder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/>
    <xf numFmtId="0" fontId="0" fillId="0" borderId="15" xfId="0" applyBorder="1"/>
    <xf numFmtId="0" fontId="9" fillId="0" borderId="15" xfId="0" applyFont="1" applyBorder="1" applyAlignment="1">
      <alignment horizontal="left" vertical="top"/>
    </xf>
    <xf numFmtId="0" fontId="10" fillId="0" borderId="15" xfId="0" applyFont="1" applyBorder="1"/>
    <xf numFmtId="0" fontId="10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4" fontId="0" fillId="0" borderId="2" xfId="0" applyNumberFormat="1" applyBorder="1"/>
    <xf numFmtId="0" fontId="9" fillId="0" borderId="0" xfId="0" applyFont="1" applyAlignment="1">
      <alignment horizontal="left" vertical="center"/>
    </xf>
    <xf numFmtId="0" fontId="0" fillId="0" borderId="2" xfId="0" applyBorder="1"/>
    <xf numFmtId="1" fontId="0" fillId="0" borderId="2" xfId="0" applyNumberFormat="1" applyBorder="1"/>
    <xf numFmtId="165" fontId="0" fillId="0" borderId="2" xfId="0" applyNumberFormat="1" applyBorder="1"/>
    <xf numFmtId="0" fontId="8" fillId="0" borderId="0" xfId="0" applyFont="1" applyAlignment="1">
      <alignment horizontal="left" vertical="top"/>
    </xf>
    <xf numFmtId="0" fontId="6" fillId="0" borderId="0" xfId="0" applyFont="1"/>
    <xf numFmtId="0" fontId="6" fillId="0" borderId="1" xfId="0" applyFont="1" applyBorder="1"/>
    <xf numFmtId="14" fontId="6" fillId="0" borderId="0" xfId="0" applyNumberFormat="1" applyFont="1"/>
    <xf numFmtId="0" fontId="8" fillId="0" borderId="0" xfId="0" applyFont="1" applyAlignment="1">
      <alignment horizontal="left"/>
    </xf>
    <xf numFmtId="0" fontId="8" fillId="0" borderId="15" xfId="0" applyFont="1" applyBorder="1" applyAlignment="1">
      <alignment horizontal="left" vertical="top"/>
    </xf>
    <xf numFmtId="0" fontId="0" fillId="3" borderId="0" xfId="0" applyFill="1"/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right" vertical="top" wrapText="1"/>
    </xf>
    <xf numFmtId="0" fontId="8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6" fillId="0" borderId="15" xfId="0" applyFont="1" applyBorder="1" applyAlignment="1">
      <alignment horizontal="left" vertical="top"/>
    </xf>
  </cellXfs>
  <cellStyles count="12">
    <cellStyle name="Hipervínculo" xfId="11" builtinId="8"/>
    <cellStyle name="Millares [0] 2" xfId="6" xr:uid="{00000000-0005-0000-0000-000001000000}"/>
    <cellStyle name="Millares [0] 3" xfId="4" xr:uid="{00000000-0005-0000-0000-000002000000}"/>
    <cellStyle name="Millares 2" xfId="5" xr:uid="{00000000-0005-0000-0000-000003000000}"/>
    <cellStyle name="Millares 3" xfId="7" xr:uid="{00000000-0005-0000-0000-000004000000}"/>
    <cellStyle name="Millares 4" xfId="8" xr:uid="{00000000-0005-0000-0000-000005000000}"/>
    <cellStyle name="Millares 5" xfId="9" xr:uid="{00000000-0005-0000-0000-000006000000}"/>
    <cellStyle name="Millares 6" xfId="3" xr:uid="{00000000-0005-0000-0000-000007000000}"/>
    <cellStyle name="Moneda" xfId="10" builtinId="4"/>
    <cellStyle name="Normal" xfId="0" builtinId="0"/>
    <cellStyle name="Normal 2" xfId="2" xr:uid="{00000000-0005-0000-0000-00000A000000}"/>
    <cellStyle name="Porcentaje" xfId="1" builtinId="5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center" textRotation="0" wrapText="0" indent="1" justifyLastLine="0" shrinkToFit="0" readingOrder="0"/>
    </dxf>
    <dxf>
      <font>
        <b val="0"/>
      </font>
    </dxf>
    <dxf>
      <font>
        <b val="0"/>
      </font>
      <numFmt numFmtId="165" formatCode="_-[$$-240A]\ * #,##0_-;\-[$$-240A]\ * #,##0_-;_-[$$-240A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</font>
    </dxf>
    <dxf>
      <font>
        <b val="0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colors>
    <mruColors>
      <color rgb="FF0DBBBF"/>
      <color rgb="FF0DF4FB"/>
      <color rgb="FF705BFF"/>
      <color rgb="FFF7F7F7"/>
      <color rgb="FF2A21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21167</xdr:colOff>
      <xdr:row>4</xdr:row>
      <xdr:rowOff>264584</xdr:rowOff>
    </xdr:from>
    <xdr:to>
      <xdr:col>2</xdr:col>
      <xdr:colOff>1375833</xdr:colOff>
      <xdr:row>4</xdr:row>
      <xdr:rowOff>656230</xdr:rowOff>
    </xdr:to>
    <xdr:sp macro="[0]!CrearVent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735A5ED7-6C80-435F-90DA-F41E4B3419C4}"/>
            </a:ext>
          </a:extLst>
        </xdr:cNvPr>
        <xdr:cNvSpPr/>
      </xdr:nvSpPr>
      <xdr:spPr>
        <a:xfrm>
          <a:off x="1735667" y="2772834"/>
          <a:ext cx="1354666" cy="391646"/>
        </a:xfrm>
        <a:prstGeom prst="roundRect">
          <a:avLst/>
        </a:prstGeom>
        <a:solidFill>
          <a:srgbClr val="705BFF"/>
        </a:solidFill>
        <a:ln>
          <a:solidFill>
            <a:srgbClr val="705BF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400" b="1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rPr>
            <a:t>CREAR</a:t>
          </a:r>
        </a:p>
      </xdr:txBody>
    </xdr:sp>
    <xdr:clientData/>
  </xdr:twoCellAnchor>
  <xdr:twoCellAnchor>
    <xdr:from>
      <xdr:col>1</xdr:col>
      <xdr:colOff>549090</xdr:colOff>
      <xdr:row>39</xdr:row>
      <xdr:rowOff>63996</xdr:rowOff>
    </xdr:from>
    <xdr:to>
      <xdr:col>2</xdr:col>
      <xdr:colOff>52918</xdr:colOff>
      <xdr:row>41</xdr:row>
      <xdr:rowOff>111621</xdr:rowOff>
    </xdr:to>
    <xdr:sp macro="[0]!BotonNavegarArriba" textlink="">
      <xdr:nvSpPr>
        <xdr:cNvPr id="8" name="Flecha: a la derecha 7">
          <a:extLst>
            <a:ext uri="{FF2B5EF4-FFF2-40B4-BE49-F238E27FC236}">
              <a16:creationId xmlns:a16="http://schemas.microsoft.com/office/drawing/2014/main" id="{4058E7A4-7FD4-45BC-8939-47C227B35615}"/>
            </a:ext>
          </a:extLst>
        </xdr:cNvPr>
        <xdr:cNvSpPr/>
      </xdr:nvSpPr>
      <xdr:spPr>
        <a:xfrm rot="16200000">
          <a:off x="1324941" y="10950978"/>
          <a:ext cx="428625" cy="456328"/>
        </a:xfrm>
        <a:prstGeom prst="rightArrow">
          <a:avLst/>
        </a:prstGeom>
        <a:solidFill>
          <a:srgbClr val="0DF4FB"/>
        </a:solidFill>
        <a:ln>
          <a:solidFill>
            <a:srgbClr val="0DBB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559673</xdr:colOff>
      <xdr:row>40</xdr:row>
      <xdr:rowOff>79253</xdr:rowOff>
    </xdr:from>
    <xdr:to>
      <xdr:col>2</xdr:col>
      <xdr:colOff>983815</xdr:colOff>
      <xdr:row>42</xdr:row>
      <xdr:rowOff>126878</xdr:rowOff>
    </xdr:to>
    <xdr:sp macro="[0]!BotonNavegarAbajo" textlink="">
      <xdr:nvSpPr>
        <xdr:cNvPr id="9" name="Flecha: a la derecha 8">
          <a:extLst>
            <a:ext uri="{FF2B5EF4-FFF2-40B4-BE49-F238E27FC236}">
              <a16:creationId xmlns:a16="http://schemas.microsoft.com/office/drawing/2014/main" id="{F687DD46-8E6F-42B0-9C21-124E0EEAAE7C}"/>
            </a:ext>
          </a:extLst>
        </xdr:cNvPr>
        <xdr:cNvSpPr/>
      </xdr:nvSpPr>
      <xdr:spPr>
        <a:xfrm rot="5400000">
          <a:off x="1986181" y="10643662"/>
          <a:ext cx="428625" cy="424142"/>
        </a:xfrm>
        <a:prstGeom prst="rightArrow">
          <a:avLst/>
        </a:prstGeom>
        <a:solidFill>
          <a:srgbClr val="0DF4FB"/>
        </a:solidFill>
        <a:ln>
          <a:solidFill>
            <a:srgbClr val="0DBB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254312</xdr:colOff>
      <xdr:row>4</xdr:row>
      <xdr:rowOff>275167</xdr:rowOff>
    </xdr:from>
    <xdr:to>
      <xdr:col>8</xdr:col>
      <xdr:colOff>35237</xdr:colOff>
      <xdr:row>4</xdr:row>
      <xdr:rowOff>666750</xdr:rowOff>
    </xdr:to>
    <xdr:sp macro="[0]!EliminarVentaSeleccionad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BEB5D38-4246-443D-8F8C-FB9B6DFB5536}"/>
            </a:ext>
          </a:extLst>
        </xdr:cNvPr>
        <xdr:cNvSpPr/>
      </xdr:nvSpPr>
      <xdr:spPr>
        <a:xfrm>
          <a:off x="10551895" y="2783417"/>
          <a:ext cx="1495425" cy="391583"/>
        </a:xfrm>
        <a:prstGeom prst="roundRect">
          <a:avLst/>
        </a:prstGeom>
        <a:solidFill>
          <a:srgbClr val="0DF4FB"/>
        </a:solidFill>
        <a:ln>
          <a:solidFill>
            <a:srgbClr val="0DBBB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rgbClr val="2A216E"/>
              </a:solidFill>
            </a:rPr>
            <a:t>ELIMINAR</a:t>
          </a:r>
        </a:p>
      </xdr:txBody>
    </xdr:sp>
    <xdr:clientData/>
  </xdr:twoCellAnchor>
  <xdr:twoCellAnchor>
    <xdr:from>
      <xdr:col>2</xdr:col>
      <xdr:colOff>278156</xdr:colOff>
      <xdr:row>6</xdr:row>
      <xdr:rowOff>47065</xdr:rowOff>
    </xdr:from>
    <xdr:to>
      <xdr:col>2</xdr:col>
      <xdr:colOff>706781</xdr:colOff>
      <xdr:row>6</xdr:row>
      <xdr:rowOff>475690</xdr:rowOff>
    </xdr:to>
    <xdr:sp macro="[0]!BotonNavegarArriba" textlink="">
      <xdr:nvSpPr>
        <xdr:cNvPr id="5" name="Flecha: a la derecha 4">
          <a:extLst>
            <a:ext uri="{FF2B5EF4-FFF2-40B4-BE49-F238E27FC236}">
              <a16:creationId xmlns:a16="http://schemas.microsoft.com/office/drawing/2014/main" id="{5BF23799-39EB-4659-AA2F-55862980982F}"/>
            </a:ext>
          </a:extLst>
        </xdr:cNvPr>
        <xdr:cNvSpPr/>
      </xdr:nvSpPr>
      <xdr:spPr>
        <a:xfrm rot="16200000">
          <a:off x="1706906" y="1825065"/>
          <a:ext cx="428625" cy="428625"/>
        </a:xfrm>
        <a:prstGeom prst="rightArrow">
          <a:avLst/>
        </a:prstGeom>
        <a:solidFill>
          <a:srgbClr val="0DF4FB"/>
        </a:solidFill>
        <a:ln>
          <a:solidFill>
            <a:srgbClr val="0DBB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1177739</xdr:colOff>
      <xdr:row>6</xdr:row>
      <xdr:rowOff>62318</xdr:rowOff>
    </xdr:from>
    <xdr:to>
      <xdr:col>2</xdr:col>
      <xdr:colOff>1601881</xdr:colOff>
      <xdr:row>6</xdr:row>
      <xdr:rowOff>490943</xdr:rowOff>
    </xdr:to>
    <xdr:sp macro="[0]!BotonNavegarAbajo" textlink="">
      <xdr:nvSpPr>
        <xdr:cNvPr id="6" name="Flecha: a la derecha 5">
          <a:extLst>
            <a:ext uri="{FF2B5EF4-FFF2-40B4-BE49-F238E27FC236}">
              <a16:creationId xmlns:a16="http://schemas.microsoft.com/office/drawing/2014/main" id="{AA5A6BDB-1597-4623-8012-A137C19A4E74}"/>
            </a:ext>
          </a:extLst>
        </xdr:cNvPr>
        <xdr:cNvSpPr/>
      </xdr:nvSpPr>
      <xdr:spPr>
        <a:xfrm rot="5400000">
          <a:off x="2604247" y="1842560"/>
          <a:ext cx="428625" cy="424142"/>
        </a:xfrm>
        <a:prstGeom prst="rightArrow">
          <a:avLst/>
        </a:prstGeom>
        <a:solidFill>
          <a:srgbClr val="0DF4FB"/>
        </a:solidFill>
        <a:ln>
          <a:solidFill>
            <a:srgbClr val="0DBB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4</xdr:col>
      <xdr:colOff>814917</xdr:colOff>
      <xdr:row>0</xdr:row>
      <xdr:rowOff>84664</xdr:rowOff>
    </xdr:from>
    <xdr:to>
      <xdr:col>5</xdr:col>
      <xdr:colOff>1460500</xdr:colOff>
      <xdr:row>0</xdr:row>
      <xdr:rowOff>1480064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F7181E18-8227-57D7-3A3B-9A45FF240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84664"/>
          <a:ext cx="2360083" cy="1395400"/>
        </a:xfrm>
        <a:prstGeom prst="rect">
          <a:avLst/>
        </a:prstGeom>
      </xdr:spPr>
    </xdr:pic>
    <xdr:clientData/>
  </xdr:twoCellAnchor>
  <xdr:twoCellAnchor>
    <xdr:from>
      <xdr:col>7</xdr:col>
      <xdr:colOff>602316</xdr:colOff>
      <xdr:row>39</xdr:row>
      <xdr:rowOff>115919</xdr:rowOff>
    </xdr:from>
    <xdr:to>
      <xdr:col>8</xdr:col>
      <xdr:colOff>383241</xdr:colOff>
      <xdr:row>41</xdr:row>
      <xdr:rowOff>106394</xdr:rowOff>
    </xdr:to>
    <xdr:sp macro="[0]!EliminarVentaSeleccionada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76D858AE-6196-4456-9829-6772ED82D23F}"/>
            </a:ext>
          </a:extLst>
        </xdr:cNvPr>
        <xdr:cNvSpPr/>
      </xdr:nvSpPr>
      <xdr:spPr>
        <a:xfrm>
          <a:off x="10614149" y="10487586"/>
          <a:ext cx="1495425" cy="371475"/>
        </a:xfrm>
        <a:prstGeom prst="roundRect">
          <a:avLst/>
        </a:prstGeom>
        <a:solidFill>
          <a:srgbClr val="0DF4FB"/>
        </a:solidFill>
        <a:ln>
          <a:solidFill>
            <a:srgbClr val="0DBBB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rgbClr val="2A216E"/>
              </a:solidFill>
              <a:latin typeface="+mn-lt"/>
              <a:ea typeface="+mn-ea"/>
              <a:cs typeface="+mn-cs"/>
            </a:rPr>
            <a:t>ELIMINAR</a:t>
          </a:r>
        </a:p>
      </xdr:txBody>
    </xdr:sp>
    <xdr:clientData/>
  </xdr:twoCellAnchor>
  <xdr:twoCellAnchor>
    <xdr:from>
      <xdr:col>5</xdr:col>
      <xdr:colOff>983316</xdr:colOff>
      <xdr:row>4</xdr:row>
      <xdr:rowOff>274668</xdr:rowOff>
    </xdr:from>
    <xdr:to>
      <xdr:col>6</xdr:col>
      <xdr:colOff>764241</xdr:colOff>
      <xdr:row>4</xdr:row>
      <xdr:rowOff>666750</xdr:rowOff>
    </xdr:to>
    <xdr:sp macro="[0]!Consolidar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5F3395F3-73E2-480F-81EB-BEC2D7DF441B}"/>
            </a:ext>
          </a:extLst>
        </xdr:cNvPr>
        <xdr:cNvSpPr/>
      </xdr:nvSpPr>
      <xdr:spPr>
        <a:xfrm>
          <a:off x="7851899" y="2782918"/>
          <a:ext cx="1495425" cy="392082"/>
        </a:xfrm>
        <a:prstGeom prst="roundRect">
          <a:avLst/>
        </a:prstGeom>
        <a:solidFill>
          <a:srgbClr val="0DF4FB"/>
        </a:solidFill>
        <a:ln>
          <a:solidFill>
            <a:srgbClr val="0DBBB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>
              <a:solidFill>
                <a:srgbClr val="2A216E"/>
              </a:solidFill>
            </a:rPr>
            <a:t>CONSOLIDAR</a:t>
          </a:r>
        </a:p>
      </xdr:txBody>
    </xdr:sp>
    <xdr:clientData/>
  </xdr:twoCellAnchor>
  <xdr:twoCellAnchor>
    <xdr:from>
      <xdr:col>2</xdr:col>
      <xdr:colOff>1549400</xdr:colOff>
      <xdr:row>4</xdr:row>
      <xdr:rowOff>268817</xdr:rowOff>
    </xdr:from>
    <xdr:to>
      <xdr:col>3</xdr:col>
      <xdr:colOff>1189566</xdr:colOff>
      <xdr:row>4</xdr:row>
      <xdr:rowOff>660463</xdr:rowOff>
    </xdr:to>
    <xdr:sp macro="[0]!ConsultarVentaPorCedula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CD01EE66-ACA8-4917-9302-AF04A6B7DB7B}"/>
            </a:ext>
          </a:extLst>
        </xdr:cNvPr>
        <xdr:cNvSpPr/>
      </xdr:nvSpPr>
      <xdr:spPr>
        <a:xfrm>
          <a:off x="3263900" y="2777067"/>
          <a:ext cx="1354666" cy="391646"/>
        </a:xfrm>
        <a:prstGeom prst="roundRect">
          <a:avLst/>
        </a:prstGeom>
        <a:solidFill>
          <a:srgbClr val="705BFF"/>
        </a:solidFill>
        <a:ln>
          <a:solidFill>
            <a:srgbClr val="705BF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400" b="1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rPr>
            <a:t>CONSULTAR</a:t>
          </a:r>
        </a:p>
      </xdr:txBody>
    </xdr:sp>
    <xdr:clientData/>
  </xdr:twoCellAnchor>
  <xdr:twoCellAnchor>
    <xdr:from>
      <xdr:col>3</xdr:col>
      <xdr:colOff>1363133</xdr:colOff>
      <xdr:row>4</xdr:row>
      <xdr:rowOff>262468</xdr:rowOff>
    </xdr:from>
    <xdr:to>
      <xdr:col>4</xdr:col>
      <xdr:colOff>992716</xdr:colOff>
      <xdr:row>4</xdr:row>
      <xdr:rowOff>654114</xdr:rowOff>
    </xdr:to>
    <xdr:sp macro="[0]!ActualizarRegistroExterno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81E3DA45-0A28-482F-8817-DF9F7DF3DB43}"/>
            </a:ext>
          </a:extLst>
        </xdr:cNvPr>
        <xdr:cNvSpPr/>
      </xdr:nvSpPr>
      <xdr:spPr>
        <a:xfrm>
          <a:off x="4792133" y="2770718"/>
          <a:ext cx="1354666" cy="391646"/>
        </a:xfrm>
        <a:prstGeom prst="roundRect">
          <a:avLst/>
        </a:prstGeom>
        <a:solidFill>
          <a:srgbClr val="705BFF"/>
        </a:solidFill>
        <a:ln>
          <a:solidFill>
            <a:srgbClr val="705BF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400" b="1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rPr>
            <a:t>ACTUALIZAR</a:t>
          </a:r>
        </a:p>
      </xdr:txBody>
    </xdr:sp>
    <xdr:clientData/>
  </xdr:twoCellAnchor>
  <xdr:twoCellAnchor>
    <xdr:from>
      <xdr:col>4</xdr:col>
      <xdr:colOff>1166284</xdr:colOff>
      <xdr:row>4</xdr:row>
      <xdr:rowOff>266701</xdr:rowOff>
    </xdr:from>
    <xdr:to>
      <xdr:col>5</xdr:col>
      <xdr:colOff>806450</xdr:colOff>
      <xdr:row>4</xdr:row>
      <xdr:rowOff>658347</xdr:rowOff>
    </xdr:to>
    <xdr:sp macro="[0]!LimpiarFormularioVentasHoja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D9192A91-E515-412C-9293-81058A58D80F}"/>
            </a:ext>
          </a:extLst>
        </xdr:cNvPr>
        <xdr:cNvSpPr/>
      </xdr:nvSpPr>
      <xdr:spPr>
        <a:xfrm>
          <a:off x="6320367" y="2774951"/>
          <a:ext cx="1354666" cy="391646"/>
        </a:xfrm>
        <a:prstGeom prst="roundRect">
          <a:avLst/>
        </a:prstGeom>
        <a:solidFill>
          <a:srgbClr val="705BFF"/>
        </a:solidFill>
        <a:ln>
          <a:solidFill>
            <a:srgbClr val="705BFF"/>
          </a:solidFill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400" b="1"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rPr>
            <a:t>LIMPIAR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Tabla10" displayName="Tabla10" ref="A1:E12" totalsRowShown="0">
  <autoFilter ref="A1:E12" xr:uid="{00000000-0009-0000-0100-00000A000000}"/>
  <tableColumns count="5">
    <tableColumn id="1" xr3:uid="{00000000-0010-0000-0400-000001000000}" name="ID" dataDxfId="27"/>
    <tableColumn id="5" xr3:uid="{00000000-0010-0000-0400-000005000000}" name="NOMBRE DESCUENTO" dataDxfId="26"/>
    <tableColumn id="2" xr3:uid="{00000000-0010-0000-0400-000002000000}" name="DESCRIPCION" dataDxfId="25"/>
    <tableColumn id="3" xr3:uid="{00000000-0010-0000-0400-000003000000}" name="DESCUENTO" dataDxfId="24"/>
    <tableColumn id="4" xr3:uid="{00000000-0010-0000-0400-000004000000}" name="FECHA DE ACTUALIZACION" dataDxfId="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7" displayName="Tabla7" ref="A1:E38" totalsRowShown="0" headerRowDxfId="22" dataDxfId="21">
  <autoFilter ref="A1:E38" xr:uid="{00000000-0009-0000-0100-000007000000}"/>
  <tableColumns count="5">
    <tableColumn id="1" xr3:uid="{00000000-0010-0000-0300-000001000000}" name="ID" dataDxfId="20" dataCellStyle="Normal 2"/>
    <tableColumn id="2" xr3:uid="{00000000-0010-0000-0300-000002000000}" name="CURSO" dataDxfId="19" dataCellStyle="Normal 2"/>
    <tableColumn id="3" xr3:uid="{00000000-0010-0000-0300-000003000000}" name="NOMBRE CURSO" dataDxfId="18" dataCellStyle="Normal 2"/>
    <tableColumn id="4" xr3:uid="{00000000-0010-0000-0300-000004000000}" name="PRECIO UNITARIO" dataDxfId="17"/>
    <tableColumn id="5" xr3:uid="{00000000-0010-0000-0300-000005000000}" name="PRECIO ACTUALIZACION " dataDxfId="16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A1:C140" totalsRowShown="0">
  <autoFilter ref="A1:C140" xr:uid="{00000000-0009-0000-0100-000004000000}"/>
  <tableColumns count="3">
    <tableColumn id="1" xr3:uid="{00000000-0010-0000-0100-000001000000}" name="ID"/>
    <tableColumn id="2" xr3:uid="{00000000-0010-0000-0100-000002000000}" name="CIUDAD/REGIÓN "/>
    <tableColumn id="3" xr3:uid="{00000000-0010-0000-0100-000003000000}" name="DESCRIPCIO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5" displayName="Tabla5" ref="A1:C42" totalsRowShown="0">
  <autoFilter ref="A1:C42" xr:uid="{00000000-0009-0000-0100-000005000000}"/>
  <tableColumns count="3">
    <tableColumn id="1" xr3:uid="{00000000-0010-0000-0200-000001000000}" name="ID"/>
    <tableColumn id="2" xr3:uid="{00000000-0010-0000-0200-000002000000}" name="PROFESION"/>
    <tableColumn id="3" xr3:uid="{00000000-0010-0000-0200-000003000000}" name="DESCRIPCION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8" displayName="Tabla8" ref="A1:B14" totalsRowShown="0">
  <autoFilter ref="A1:B14" xr:uid="{00000000-0009-0000-0100-000008000000}"/>
  <tableColumns count="2">
    <tableColumn id="1" xr3:uid="{00000000-0010-0000-0500-000001000000}" name="ID"/>
    <tableColumn id="2" xr3:uid="{00000000-0010-0000-0500-000002000000}" name="MODALIDAD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la12" displayName="Tabla12" ref="A1:B33" totalsRowShown="0">
  <autoFilter ref="A1:B33" xr:uid="{00000000-0009-0000-0100-00000C000000}"/>
  <tableColumns count="2">
    <tableColumn id="1" xr3:uid="{00000000-0010-0000-0700-000001000000}" name="ID"/>
    <tableColumn id="2" xr3:uid="{00000000-0010-0000-0700-000002000000}" name="PROCEDENCIA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la11" displayName="Tabla11" ref="A1:B43" totalsRowShown="0">
  <autoFilter ref="A1:B43" xr:uid="{00000000-0009-0000-0100-00000B000000}"/>
  <tableColumns count="2">
    <tableColumn id="1" xr3:uid="{00000000-0010-0000-0600-000001000000}" name="ID"/>
    <tableColumn id="2" xr3:uid="{00000000-0010-0000-0600-000002000000}" name="MEDIO DE PAGO" dataDxfId="15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9" displayName="Tabla9" ref="A1:B4" totalsRowShown="0">
  <autoFilter ref="A1:B4" xr:uid="{00000000-0009-0000-0100-000009000000}"/>
  <tableColumns count="2">
    <tableColumn id="1" xr3:uid="{00000000-0010-0000-0800-000001000000}" name="ID"/>
    <tableColumn id="2" xr3:uid="{00000000-0010-0000-0800-000002000000}" name="OPCIÓN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B5" totalsRowShown="0" headerRowDxfId="14" dataDxfId="13">
  <autoFilter ref="A1:B5" xr:uid="{00000000-0009-0000-0100-000002000000}"/>
  <tableColumns count="2">
    <tableColumn id="1" xr3:uid="{00000000-0010-0000-0000-000001000000}" name="ID" dataDxfId="12"/>
    <tableColumn id="2" xr3:uid="{00000000-0010-0000-0000-000002000000}" name="GENERO" dataDxfId="1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Tabla3" displayName="Tabla3" ref="A1:K13" totalsRowShown="0" headerRowDxfId="10">
  <autoFilter ref="A1:K13" xr:uid="{00000000-0009-0000-0100-000003000000}"/>
  <tableColumns count="11">
    <tableColumn id="1" xr3:uid="{00000000-0010-0000-0900-000001000000}" name="ID" dataDxfId="9"/>
    <tableColumn id="2" xr3:uid="{00000000-0010-0000-0900-000002000000}" name="NOMBRE COMPLETO" dataDxfId="8"/>
    <tableColumn id="3" xr3:uid="{00000000-0010-0000-0900-000003000000}" name="FECHA DE NACIMINETO" dataDxfId="7"/>
    <tableColumn id="4" xr3:uid="{00000000-0010-0000-0900-000004000000}" name="DOCUMENTO" dataDxfId="6"/>
    <tableColumn id="5" xr3:uid="{00000000-0010-0000-0900-000005000000}" name="TELEFONO" dataDxfId="5"/>
    <tableColumn id="6" xr3:uid="{00000000-0010-0000-0900-000006000000}" name="CORREO" dataDxfId="4"/>
    <tableColumn id="7" xr3:uid="{00000000-0010-0000-0900-000007000000}" name="DIRECCION" dataDxfId="3"/>
    <tableColumn id="8" xr3:uid="{00000000-0010-0000-0900-000008000000}" name="PROFESION" dataDxfId="2"/>
    <tableColumn id="9" xr3:uid="{00000000-0010-0000-0900-000009000000}" name="FECHA DE CONTRATACION" dataDxfId="1"/>
    <tableColumn id="11" xr3:uid="{00000000-0010-0000-0900-00000B000000}" name="CARGO"/>
    <tableColumn id="10" xr3:uid="{00000000-0010-0000-0900-00000A000000}" name="FECHA DE ACTUALIZACION" dataDxfId="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FA8D41-2881-423A-BFEE-0861196E9D75}" name="Tabla1" displayName="Tabla1" ref="A1:B14" totalsRowShown="0">
  <autoFilter ref="A1:B14" xr:uid="{F0FA8D41-2881-423A-BFEE-0861196E9D75}"/>
  <tableColumns count="2">
    <tableColumn id="1" xr3:uid="{CF723CC3-B9A2-4846-9082-BAEEFABDA220}" name="ID"/>
    <tableColumn id="2" xr3:uid="{85CD87C8-40E7-43FA-B833-9AFDB52B78B4}" name="MES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3E6715-31F4-4CFE-9A86-E8F8A544A72F}" name="Tabla6" displayName="Tabla6" ref="E1:F22" totalsRowShown="0">
  <autoFilter ref="E1:F22" xr:uid="{0D3E6715-31F4-4CFE-9A86-E8F8A544A72F}"/>
  <tableColumns count="2">
    <tableColumn id="1" xr3:uid="{46A5A5F3-2C36-4FBA-A51C-A85F60CD9D8E}" name="ID"/>
    <tableColumn id="2" xr3:uid="{D41BA0B4-2C42-487F-A8C6-4DBEF361E7C6}" name="AÑO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6ADD9E7-EC31-4A72-8903-C985C658C608}" name="Tabla13" displayName="Tabla13" ref="I1:J4" totalsRowShown="0">
  <autoFilter ref="I1:J4" xr:uid="{26ADD9E7-EC31-4A72-8903-C985C658C608}"/>
  <tableColumns count="2">
    <tableColumn id="1" xr3:uid="{87F1F27B-6510-48D8-AD56-BDDCBFE3B3AE}" name="ID"/>
    <tableColumn id="2" xr3:uid="{67A2EAD7-A92D-4492-AF76-B238D54EB354}" name="Tipo_de Docuemnt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hyperlink" Target="mailto:fran3585@gmail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49CA1-9C76-4AC9-A0AA-C37D197C0E8D}">
  <sheetPr codeName="Hoja1"/>
  <dimension ref="A1:AD54"/>
  <sheetViews>
    <sheetView showGridLines="0" zoomScale="90" zoomScaleNormal="90" workbookViewId="0">
      <selection activeCell="I7" sqref="I7"/>
    </sheetView>
  </sheetViews>
  <sheetFormatPr baseColWidth="10" defaultRowHeight="15" x14ac:dyDescent="0.25"/>
  <cols>
    <col min="2" max="2" width="14.28515625" customWidth="1"/>
    <col min="3" max="3" width="25.7109375" customWidth="1"/>
    <col min="4" max="4" width="25.85546875" customWidth="1"/>
    <col min="5" max="8" width="25.7109375" customWidth="1"/>
    <col min="9" max="9" width="14.28515625" customWidth="1"/>
    <col min="10" max="10" width="24.140625" customWidth="1"/>
    <col min="11" max="11" width="27.7109375" customWidth="1"/>
    <col min="12" max="12" width="26.5703125" customWidth="1"/>
    <col min="13" max="13" width="31" customWidth="1"/>
    <col min="14" max="14" width="34.28515625" customWidth="1"/>
    <col min="15" max="15" width="25.7109375" customWidth="1"/>
    <col min="16" max="16" width="13.42578125" bestFit="1" customWidth="1"/>
    <col min="17" max="17" width="29.28515625" customWidth="1"/>
    <col min="18" max="18" width="20" customWidth="1"/>
    <col min="19" max="19" width="23.28515625" customWidth="1"/>
    <col min="20" max="20" width="24.7109375" customWidth="1"/>
    <col min="21" max="21" width="22" customWidth="1"/>
    <col min="22" max="22" width="17.5703125" customWidth="1"/>
    <col min="23" max="23" width="19.7109375" customWidth="1"/>
    <col min="24" max="24" width="21.5703125" customWidth="1"/>
    <col min="25" max="25" width="25.7109375" bestFit="1" customWidth="1"/>
    <col min="26" max="26" width="11.85546875" customWidth="1"/>
    <col min="27" max="27" width="9.140625" customWidth="1"/>
    <col min="28" max="28" width="75.42578125" customWidth="1"/>
    <col min="29" max="29" width="48.140625" customWidth="1"/>
    <col min="30" max="30" width="48.85546875" customWidth="1"/>
    <col min="31" max="31" width="41.5703125" bestFit="1" customWidth="1"/>
  </cols>
  <sheetData>
    <row r="1" spans="2:9" ht="127.5" customHeight="1" x14ac:dyDescent="0.25">
      <c r="B1" s="50"/>
      <c r="C1" s="51"/>
      <c r="D1" s="51"/>
      <c r="E1" s="51"/>
      <c r="F1" s="51"/>
      <c r="G1" s="51"/>
      <c r="H1" s="51"/>
      <c r="I1" s="52"/>
    </row>
    <row r="2" spans="2:9" ht="18.75" x14ac:dyDescent="0.3">
      <c r="B2" s="21"/>
      <c r="C2" s="58" t="s">
        <v>476</v>
      </c>
      <c r="D2" s="59"/>
      <c r="E2" s="22"/>
      <c r="F2" s="44" t="s">
        <v>472</v>
      </c>
      <c r="G2" s="23" t="str">
        <f>_xlfn.CONCAT("CCS_CONSOLIDADO_",H4,".xlsx")</f>
        <v>CCS_CONSOLIDADO_2025.xlsx</v>
      </c>
      <c r="H2" s="24"/>
      <c r="I2" s="25"/>
    </row>
    <row r="3" spans="2:9" ht="24" customHeight="1" x14ac:dyDescent="0.3">
      <c r="B3" s="21"/>
      <c r="C3" s="60"/>
      <c r="D3" s="60"/>
      <c r="E3" s="26"/>
      <c r="F3" s="45" t="s">
        <v>475</v>
      </c>
      <c r="G3" s="27" t="str">
        <f>IF(D4 = "REGISTROS",CONCATENATE("CCS_REGISTROS_",F4,"_",H4,".xlsx"),CONCATENATE("CCS_CONSOLIDADO_",H4,".xlsx"))</f>
        <v>CCS_CONSOLIDADO_2025.xlsx</v>
      </c>
      <c r="H3" s="28"/>
      <c r="I3" s="25"/>
    </row>
    <row r="4" spans="2:9" ht="27" customHeight="1" x14ac:dyDescent="0.25">
      <c r="B4" s="21"/>
      <c r="C4" s="29" t="s">
        <v>471</v>
      </c>
      <c r="D4" s="30" t="s">
        <v>466</v>
      </c>
      <c r="E4" s="29" t="s">
        <v>473</v>
      </c>
      <c r="F4" s="30" t="s">
        <v>411</v>
      </c>
      <c r="G4" s="29" t="s">
        <v>474</v>
      </c>
      <c r="H4" s="30">
        <v>2025</v>
      </c>
      <c r="I4" s="25"/>
    </row>
    <row r="5" spans="2:9" ht="69.75" customHeight="1" x14ac:dyDescent="0.25">
      <c r="B5" s="21"/>
      <c r="C5" s="31"/>
      <c r="D5" s="31"/>
      <c r="E5" s="31"/>
      <c r="G5" s="32"/>
      <c r="H5" s="33"/>
      <c r="I5" s="25"/>
    </row>
    <row r="6" spans="2:9" ht="7.5" customHeight="1" x14ac:dyDescent="0.25">
      <c r="B6" s="21"/>
      <c r="I6" s="25"/>
    </row>
    <row r="7" spans="2:9" ht="39.75" customHeight="1" x14ac:dyDescent="0.25">
      <c r="B7" s="21"/>
      <c r="C7" s="56"/>
      <c r="D7" s="56"/>
      <c r="E7" s="56"/>
      <c r="F7" s="56"/>
      <c r="G7" s="56"/>
      <c r="H7" s="56"/>
      <c r="I7" s="25"/>
    </row>
    <row r="8" spans="2:9" ht="16.5" thickBot="1" x14ac:dyDescent="0.3">
      <c r="B8" s="21"/>
      <c r="C8" s="57" t="s">
        <v>405</v>
      </c>
      <c r="D8" s="57"/>
      <c r="E8" s="57"/>
      <c r="F8" s="57"/>
      <c r="G8" s="57"/>
      <c r="H8" s="57"/>
      <c r="I8" s="25"/>
    </row>
    <row r="9" spans="2:9" ht="15.75" thickBot="1" x14ac:dyDescent="0.3">
      <c r="B9" s="21"/>
      <c r="I9" s="25"/>
    </row>
    <row r="10" spans="2:9" ht="16.5" thickBot="1" x14ac:dyDescent="0.3">
      <c r="B10" s="21"/>
      <c r="C10" s="34" t="s">
        <v>439</v>
      </c>
      <c r="D10" s="35">
        <f ca="1">TODAY()</f>
        <v>45874</v>
      </c>
      <c r="I10" s="25"/>
    </row>
    <row r="11" spans="2:9" ht="16.5" thickBot="1" x14ac:dyDescent="0.3">
      <c r="B11" s="21"/>
      <c r="C11" s="36"/>
      <c r="I11" s="25"/>
    </row>
    <row r="12" spans="2:9" ht="16.5" thickBot="1" x14ac:dyDescent="0.3">
      <c r="B12" s="21"/>
      <c r="C12" s="34" t="s">
        <v>446</v>
      </c>
      <c r="E12" s="34" t="s">
        <v>440</v>
      </c>
      <c r="F12" s="37"/>
      <c r="G12" s="34" t="s">
        <v>441</v>
      </c>
      <c r="H12" s="37"/>
      <c r="I12" s="25"/>
    </row>
    <row r="13" spans="2:9" ht="16.5" thickBot="1" x14ac:dyDescent="0.3">
      <c r="B13" s="21"/>
      <c r="C13" s="36"/>
      <c r="E13" s="36"/>
      <c r="G13" s="36"/>
      <c r="I13" s="25"/>
    </row>
    <row r="14" spans="2:9" ht="16.5" thickBot="1" x14ac:dyDescent="0.3">
      <c r="B14" s="21"/>
      <c r="C14" s="34" t="s">
        <v>444</v>
      </c>
      <c r="D14" s="35"/>
      <c r="E14" s="34" t="s">
        <v>442</v>
      </c>
      <c r="F14" s="37"/>
      <c r="G14" s="34" t="s">
        <v>443</v>
      </c>
      <c r="H14" s="37"/>
      <c r="I14" s="25"/>
    </row>
    <row r="15" spans="2:9" ht="16.5" thickBot="1" x14ac:dyDescent="0.3">
      <c r="B15" s="21"/>
      <c r="C15" s="36"/>
      <c r="E15" s="36"/>
      <c r="G15" s="36"/>
      <c r="I15" s="25"/>
    </row>
    <row r="16" spans="2:9" ht="16.5" thickBot="1" x14ac:dyDescent="0.3">
      <c r="B16" s="21"/>
      <c r="C16" s="34" t="s">
        <v>448</v>
      </c>
      <c r="D16" s="37"/>
      <c r="E16" s="34" t="s">
        <v>445</v>
      </c>
      <c r="F16" s="37"/>
      <c r="G16" s="34" t="s">
        <v>449</v>
      </c>
      <c r="H16" s="37"/>
      <c r="I16" s="25"/>
    </row>
    <row r="17" spans="2:9" ht="16.5" thickBot="1" x14ac:dyDescent="0.3">
      <c r="B17" s="21"/>
      <c r="C17" s="36"/>
      <c r="E17" s="36"/>
      <c r="G17" s="36"/>
      <c r="I17" s="25"/>
    </row>
    <row r="18" spans="2:9" ht="16.5" thickBot="1" x14ac:dyDescent="0.3">
      <c r="B18" s="21"/>
      <c r="C18" s="34" t="s">
        <v>447</v>
      </c>
      <c r="D18" s="38"/>
      <c r="E18" s="34" t="s">
        <v>461</v>
      </c>
      <c r="F18" s="37"/>
      <c r="I18" s="25"/>
    </row>
    <row r="19" spans="2:9" x14ac:dyDescent="0.25">
      <c r="B19" s="21"/>
      <c r="I19" s="25"/>
    </row>
    <row r="20" spans="2:9" ht="16.5" thickBot="1" x14ac:dyDescent="0.3">
      <c r="B20" s="21"/>
      <c r="C20" s="57" t="s">
        <v>406</v>
      </c>
      <c r="D20" s="57"/>
      <c r="E20" s="57"/>
      <c r="F20" s="57"/>
      <c r="G20" s="57"/>
      <c r="H20" s="57"/>
      <c r="I20" s="25"/>
    </row>
    <row r="21" spans="2:9" ht="15.75" thickBot="1" x14ac:dyDescent="0.3">
      <c r="B21" s="21"/>
      <c r="I21" s="25"/>
    </row>
    <row r="22" spans="2:9" ht="16.5" thickBot="1" x14ac:dyDescent="0.3">
      <c r="B22" s="21"/>
      <c r="C22" s="34" t="s">
        <v>450</v>
      </c>
      <c r="D22" s="37"/>
      <c r="E22" s="34" t="s">
        <v>451</v>
      </c>
      <c r="F22" s="37"/>
      <c r="G22" s="34" t="s">
        <v>452</v>
      </c>
      <c r="H22" s="37"/>
      <c r="I22" s="25"/>
    </row>
    <row r="23" spans="2:9" x14ac:dyDescent="0.25">
      <c r="B23" s="21"/>
      <c r="I23" s="25"/>
    </row>
    <row r="24" spans="2:9" ht="16.5" thickBot="1" x14ac:dyDescent="0.3">
      <c r="B24" s="21"/>
      <c r="C24" s="57" t="s">
        <v>407</v>
      </c>
      <c r="D24" s="57"/>
      <c r="E24" s="57"/>
      <c r="F24" s="57"/>
      <c r="G24" s="57"/>
      <c r="H24" s="57"/>
      <c r="I24" s="25"/>
    </row>
    <row r="25" spans="2:9" ht="15.75" thickBot="1" x14ac:dyDescent="0.3">
      <c r="B25" s="21"/>
      <c r="I25" s="25"/>
    </row>
    <row r="26" spans="2:9" ht="16.5" thickBot="1" x14ac:dyDescent="0.3">
      <c r="B26" s="21"/>
      <c r="C26" s="34" t="s">
        <v>453</v>
      </c>
      <c r="D26" s="39">
        <f>IF(ISBLANK($D22),0,VLOOKUP($D22,Tabla7[[#All],[CURSO]:[PRECIO UNITARIO]],3,FALSE))</f>
        <v>0</v>
      </c>
      <c r="E26" s="34" t="s">
        <v>454</v>
      </c>
      <c r="F26" s="37"/>
      <c r="G26" s="34" t="s">
        <v>455</v>
      </c>
      <c r="H26" s="39">
        <f>IF(ISBLANK($F26),0,$D26-($D26*VLOOKUP($F26,Tabla10[[#All],[NOMBRE DESCUENTO]:[DESCUENTO]],3,FALSE)))</f>
        <v>0</v>
      </c>
      <c r="I26" s="25"/>
    </row>
    <row r="27" spans="2:9" ht="16.5" thickBot="1" x14ac:dyDescent="0.3">
      <c r="B27" s="21"/>
      <c r="C27" s="34"/>
      <c r="E27" s="34"/>
      <c r="G27" s="34"/>
      <c r="I27" s="25"/>
    </row>
    <row r="28" spans="2:9" ht="16.5" thickBot="1" x14ac:dyDescent="0.3">
      <c r="B28" s="21"/>
      <c r="C28" s="34" t="s">
        <v>456</v>
      </c>
      <c r="D28" s="37"/>
      <c r="E28" s="34" t="s">
        <v>457</v>
      </c>
      <c r="F28" s="37"/>
      <c r="G28" s="34"/>
      <c r="I28" s="25"/>
    </row>
    <row r="29" spans="2:9" ht="16.5" thickBot="1" x14ac:dyDescent="0.3">
      <c r="B29" s="21"/>
      <c r="C29" s="34"/>
      <c r="E29" s="34"/>
      <c r="G29" s="34"/>
      <c r="I29" s="25"/>
    </row>
    <row r="30" spans="2:9" ht="16.5" thickBot="1" x14ac:dyDescent="0.3">
      <c r="B30" s="21"/>
      <c r="C30" s="34" t="s">
        <v>462</v>
      </c>
      <c r="D30" s="35">
        <f ca="1">TODAY()</f>
        <v>45874</v>
      </c>
      <c r="E30" s="34" t="s">
        <v>458</v>
      </c>
      <c r="F30" s="35"/>
      <c r="G30" s="34"/>
      <c r="I30" s="25"/>
    </row>
    <row r="31" spans="2:9" ht="15.75" x14ac:dyDescent="0.25">
      <c r="B31" s="21"/>
      <c r="C31" s="34"/>
      <c r="I31" s="25"/>
    </row>
    <row r="32" spans="2:9" ht="16.5" thickBot="1" x14ac:dyDescent="0.3">
      <c r="B32" s="21"/>
      <c r="C32" s="57" t="s">
        <v>408</v>
      </c>
      <c r="D32" s="57"/>
      <c r="E32" s="57"/>
      <c r="F32" s="57"/>
      <c r="G32" s="57"/>
      <c r="H32" s="57"/>
      <c r="I32" s="25"/>
    </row>
    <row r="33" spans="1:30" ht="15.75" thickBot="1" x14ac:dyDescent="0.3">
      <c r="B33" s="21"/>
      <c r="I33" s="25"/>
    </row>
    <row r="34" spans="1:30" ht="16.5" thickBot="1" x14ac:dyDescent="0.3">
      <c r="B34" s="21"/>
      <c r="C34" s="34" t="s">
        <v>459</v>
      </c>
      <c r="D34" s="37"/>
      <c r="I34" s="25"/>
    </row>
    <row r="35" spans="1:30" ht="16.5" thickBot="1" x14ac:dyDescent="0.3">
      <c r="B35" s="21"/>
      <c r="C35" s="34"/>
      <c r="I35" s="25"/>
    </row>
    <row r="36" spans="1:30" ht="54.75" customHeight="1" thickBot="1" x14ac:dyDescent="0.3">
      <c r="B36" s="21"/>
      <c r="C36" s="40" t="s">
        <v>460</v>
      </c>
      <c r="D36" s="47"/>
      <c r="E36" s="48"/>
      <c r="F36" s="48"/>
      <c r="G36" s="48"/>
      <c r="H36" s="49"/>
      <c r="I36" s="25"/>
    </row>
    <row r="37" spans="1:30" x14ac:dyDescent="0.25">
      <c r="B37" s="21"/>
      <c r="I37" s="25"/>
    </row>
    <row r="38" spans="1:30" ht="15.75" thickBot="1" x14ac:dyDescent="0.3">
      <c r="B38" s="53"/>
      <c r="C38" s="54"/>
      <c r="D38" s="54"/>
      <c r="E38" s="54"/>
      <c r="F38" s="54"/>
      <c r="G38" s="54"/>
      <c r="H38" s="54"/>
      <c r="I38" s="55"/>
    </row>
    <row r="41" spans="1:30" x14ac:dyDescent="0.25">
      <c r="C41" s="41"/>
    </row>
    <row r="44" spans="1:30" x14ac:dyDescent="0.25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</row>
    <row r="45" spans="1:30" x14ac:dyDescent="0.25">
      <c r="A45" s="42" t="s">
        <v>423</v>
      </c>
      <c r="B45" s="42" t="s">
        <v>467</v>
      </c>
      <c r="C45" s="42" t="s">
        <v>424</v>
      </c>
      <c r="D45" s="42" t="s">
        <v>425</v>
      </c>
      <c r="E45" s="42" t="s">
        <v>426</v>
      </c>
      <c r="F45" s="42" t="s">
        <v>427</v>
      </c>
      <c r="G45" s="42" t="s">
        <v>428</v>
      </c>
      <c r="H45" s="42" t="s">
        <v>0</v>
      </c>
      <c r="I45" s="42" t="s">
        <v>429</v>
      </c>
      <c r="J45" s="42" t="s">
        <v>1</v>
      </c>
      <c r="K45" s="42" t="s">
        <v>430</v>
      </c>
      <c r="L45" s="42" t="s">
        <v>18</v>
      </c>
      <c r="M45" s="42" t="s">
        <v>2</v>
      </c>
      <c r="N45" s="42" t="s">
        <v>3</v>
      </c>
      <c r="O45" s="42" t="s">
        <v>431</v>
      </c>
      <c r="P45" s="42" t="s">
        <v>432</v>
      </c>
      <c r="Q45" s="42" t="s">
        <v>433</v>
      </c>
      <c r="R45" s="42" t="s">
        <v>434</v>
      </c>
      <c r="S45" s="42" t="s">
        <v>6</v>
      </c>
      <c r="T45" s="42" t="s">
        <v>435</v>
      </c>
      <c r="U45" s="42" t="s">
        <v>5</v>
      </c>
      <c r="V45" s="42" t="s">
        <v>436</v>
      </c>
      <c r="W45" s="42" t="s">
        <v>437</v>
      </c>
      <c r="X45" s="42" t="s">
        <v>248</v>
      </c>
      <c r="Y45" s="42" t="s">
        <v>438</v>
      </c>
      <c r="Z45" s="42" t="s">
        <v>410</v>
      </c>
      <c r="AA45" s="42" t="s">
        <v>468</v>
      </c>
      <c r="AB45" s="42" t="s">
        <v>469</v>
      </c>
      <c r="AC45" s="42" t="s">
        <v>13</v>
      </c>
      <c r="AD45" s="42" t="s">
        <v>470</v>
      </c>
    </row>
    <row r="46" spans="1:30" x14ac:dyDescent="0.25">
      <c r="A46" s="41"/>
      <c r="B46" s="41"/>
      <c r="C46" s="41"/>
      <c r="D46" s="41"/>
      <c r="E46" s="41"/>
      <c r="F46" s="41"/>
      <c r="G46" s="43"/>
      <c r="H46" s="41"/>
      <c r="I46" s="41"/>
      <c r="J46" s="41"/>
      <c r="K46" s="41"/>
      <c r="L46" s="41"/>
      <c r="M46" s="41"/>
      <c r="N46" s="41"/>
      <c r="O46" s="41"/>
      <c r="P46" s="41"/>
      <c r="Q46" s="43"/>
      <c r="R46" s="41"/>
      <c r="S46" s="41"/>
      <c r="T46" s="41"/>
      <c r="U46" s="41"/>
      <c r="V46" s="43"/>
      <c r="W46" s="41"/>
      <c r="X46" s="41"/>
      <c r="Y46" s="41"/>
      <c r="Z46" s="41"/>
      <c r="AA46" s="41"/>
      <c r="AB46" s="41"/>
      <c r="AC46" s="41"/>
      <c r="AD46" s="41"/>
    </row>
    <row r="47" spans="1:30" s="20" customFormat="1" x14ac:dyDescent="0.25">
      <c r="A47" s="41"/>
      <c r="B47" s="41"/>
      <c r="C47" s="41"/>
      <c r="D47" s="41"/>
      <c r="E47" s="41"/>
      <c r="F47" s="41"/>
      <c r="G47" s="43"/>
      <c r="H47" s="41"/>
      <c r="I47" s="41"/>
      <c r="J47" s="41"/>
      <c r="K47" s="41"/>
      <c r="L47" s="41"/>
      <c r="M47" s="41"/>
      <c r="N47" s="41"/>
      <c r="O47" s="41"/>
      <c r="P47" s="41"/>
      <c r="Q47" s="43"/>
      <c r="R47" s="41"/>
      <c r="S47" s="41"/>
      <c r="T47" s="41"/>
      <c r="U47" s="41"/>
      <c r="V47" s="43"/>
      <c r="W47" s="41"/>
      <c r="X47" s="41"/>
      <c r="Y47" s="41"/>
      <c r="Z47" s="41"/>
      <c r="AA47" s="41"/>
      <c r="AB47" s="41"/>
      <c r="AC47" s="41"/>
      <c r="AD47" s="41"/>
    </row>
    <row r="48" spans="1:30" x14ac:dyDescent="0.25">
      <c r="A48" s="41"/>
      <c r="B48" s="41"/>
      <c r="C48" s="41"/>
      <c r="D48" s="41"/>
      <c r="E48" s="41"/>
      <c r="F48" s="41"/>
      <c r="G48" s="43"/>
      <c r="H48" s="41"/>
      <c r="I48" s="41"/>
      <c r="J48" s="41"/>
      <c r="K48" s="41"/>
      <c r="L48" s="41"/>
      <c r="M48" s="41"/>
      <c r="N48" s="41"/>
      <c r="O48" s="41"/>
      <c r="P48" s="41"/>
      <c r="Q48" s="43"/>
      <c r="R48" s="41"/>
      <c r="S48" s="41"/>
      <c r="T48" s="41"/>
      <c r="U48" s="41"/>
      <c r="V48" s="43"/>
      <c r="W48" s="41"/>
      <c r="X48" s="41"/>
      <c r="Y48" s="41"/>
      <c r="Z48" s="41"/>
      <c r="AA48" s="41"/>
      <c r="AB48" s="41"/>
      <c r="AC48" s="41"/>
      <c r="AD48" s="41"/>
    </row>
    <row r="49" spans="1:30" x14ac:dyDescent="0.25">
      <c r="A49" s="41"/>
      <c r="B49" s="41"/>
      <c r="C49" s="41"/>
      <c r="D49" s="41"/>
      <c r="E49" s="41"/>
      <c r="F49" s="41"/>
      <c r="G49" s="43"/>
      <c r="H49" s="41"/>
      <c r="I49" s="41"/>
      <c r="J49" s="41"/>
      <c r="K49" s="41"/>
      <c r="L49" s="41"/>
      <c r="M49" s="41"/>
      <c r="N49" s="41"/>
      <c r="O49" s="41"/>
      <c r="P49" s="41"/>
      <c r="Q49" s="43"/>
      <c r="R49" s="41"/>
      <c r="S49" s="41"/>
      <c r="T49" s="41"/>
      <c r="U49" s="41"/>
      <c r="V49" s="43"/>
      <c r="W49" s="41"/>
      <c r="X49" s="41"/>
      <c r="Y49" s="41"/>
      <c r="Z49" s="41"/>
      <c r="AA49" s="41"/>
      <c r="AB49" s="41"/>
      <c r="AC49" s="41"/>
      <c r="AD49" s="41"/>
    </row>
    <row r="50" spans="1:30" x14ac:dyDescent="0.25">
      <c r="A50" s="41"/>
      <c r="B50" s="41"/>
      <c r="C50" s="41"/>
      <c r="D50" s="41"/>
      <c r="E50" s="41"/>
      <c r="F50" s="41"/>
      <c r="G50" s="43"/>
      <c r="H50" s="41"/>
      <c r="I50" s="41"/>
      <c r="J50" s="41"/>
      <c r="K50" s="41"/>
      <c r="L50" s="41"/>
      <c r="M50" s="41"/>
      <c r="N50" s="41"/>
      <c r="O50" s="41"/>
      <c r="P50" s="41"/>
      <c r="Q50" s="43"/>
      <c r="R50" s="41"/>
      <c r="S50" s="41"/>
      <c r="T50" s="41"/>
      <c r="U50" s="41"/>
      <c r="V50" s="43"/>
      <c r="W50" s="41"/>
      <c r="X50" s="41"/>
      <c r="Y50" s="41"/>
      <c r="Z50" s="41"/>
      <c r="AA50" s="41"/>
      <c r="AB50" s="41"/>
      <c r="AC50" s="41"/>
      <c r="AD50" s="41"/>
    </row>
    <row r="51" spans="1:30" x14ac:dyDescent="0.25">
      <c r="G51" s="10"/>
      <c r="Q51" s="10"/>
      <c r="V51" s="10"/>
    </row>
    <row r="52" spans="1:30" x14ac:dyDescent="0.25">
      <c r="G52" s="10"/>
      <c r="Q52" s="10"/>
      <c r="V52" s="10"/>
    </row>
    <row r="53" spans="1:30" x14ac:dyDescent="0.25">
      <c r="G53" s="10"/>
      <c r="Q53" s="10"/>
      <c r="V53" s="10"/>
    </row>
    <row r="54" spans="1:30" x14ac:dyDescent="0.25">
      <c r="G54" s="10"/>
      <c r="Q54" s="10"/>
      <c r="V54" s="10"/>
    </row>
  </sheetData>
  <sheetProtection selectLockedCells="1" selectUnlockedCells="1"/>
  <mergeCells count="9">
    <mergeCell ref="D36:H36"/>
    <mergeCell ref="B1:I1"/>
    <mergeCell ref="B38:I38"/>
    <mergeCell ref="C7:H7"/>
    <mergeCell ref="C8:H8"/>
    <mergeCell ref="C20:H20"/>
    <mergeCell ref="C24:H24"/>
    <mergeCell ref="C32:H32"/>
    <mergeCell ref="C2:D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41A7CE31-86CD-44E3-AAC1-D93F2193BF81}">
          <x14:formula1>
            <xm:f>GENERO!$B$2:$B$5</xm:f>
          </x14:formula1>
          <xm:sqref>F16</xm:sqref>
        </x14:dataValidation>
        <x14:dataValidation type="list" allowBlank="1" showInputMessage="1" showErrorMessage="1" xr:uid="{468823DF-8376-46B5-9852-40444807F6BB}">
          <x14:formula1>
            <xm:f>PROFESION!$B$2:$B$42</xm:f>
          </x14:formula1>
          <xm:sqref>H16</xm:sqref>
        </x14:dataValidation>
        <x14:dataValidation type="list" allowBlank="1" showInputMessage="1" showErrorMessage="1" xr:uid="{CC86CD31-B73E-4368-867B-96B46820B30A}">
          <x14:formula1>
            <xm:f>CURSOS!$B$2:$B$38</xm:f>
          </x14:formula1>
          <xm:sqref>D22</xm:sqref>
        </x14:dataValidation>
        <x14:dataValidation type="list" allowBlank="1" showInputMessage="1" showErrorMessage="1" xr:uid="{6B6BE34E-1A93-4543-8514-7689036581C6}">
          <x14:formula1>
            <xm:f>MODALIDAD!$B$2:$B$14</xm:f>
          </x14:formula1>
          <xm:sqref>F22</xm:sqref>
        </x14:dataValidation>
        <x14:dataValidation type="list" allowBlank="1" showInputMessage="1" showErrorMessage="1" xr:uid="{993E466E-5A7F-4B16-8EE3-415242E12B93}">
          <x14:formula1>
            <xm:f>'SI - NO'!$B$2:$B$4</xm:f>
          </x14:formula1>
          <xm:sqref>H22</xm:sqref>
        </x14:dataValidation>
        <x14:dataValidation type="list" allowBlank="1" showInputMessage="1" showErrorMessage="1" xr:uid="{BA7C6983-7BB9-431B-A531-AD75D9C7B02C}">
          <x14:formula1>
            <xm:f>DESCUENTO!$B$2:$B$12</xm:f>
          </x14:formula1>
          <xm:sqref>F26</xm:sqref>
        </x14:dataValidation>
        <x14:dataValidation type="list" allowBlank="1" showInputMessage="1" showErrorMessage="1" xr:uid="{14FDC364-BC93-446C-A29A-C9B648869BEF}">
          <x14:formula1>
            <xm:f>COLABORADORES!$BA$2:$BA$9</xm:f>
          </x14:formula1>
          <xm:sqref>D28</xm:sqref>
        </x14:dataValidation>
        <x14:dataValidation type="list" allowBlank="1" showInputMessage="1" showErrorMessage="1" xr:uid="{9F91D839-AD1A-4E5D-B3B3-465F1D42766B}">
          <x14:formula1>
            <xm:f>'MEDIO DE PAGO'!$B$2:$B$43</xm:f>
          </x14:formula1>
          <xm:sqref>F28</xm:sqref>
        </x14:dataValidation>
        <x14:dataValidation type="list" allowBlank="1" showInputMessage="1" showErrorMessage="1" xr:uid="{BE50E464-9F31-48C3-8470-980008CC7F1C}">
          <x14:formula1>
            <xm:f>FUENTE!$B$2:$B$33</xm:f>
          </x14:formula1>
          <xm:sqref>D34</xm:sqref>
        </x14:dataValidation>
        <x14:dataValidation type="list" allowBlank="1" showInputMessage="1" showErrorMessage="1" xr:uid="{B5173EF3-582E-4C3B-900F-9D56966E5D71}">
          <x14:formula1>
            <xm:f>'CIUDAD-REGION'!$B$2:$B$140</xm:f>
          </x14:formula1>
          <xm:sqref>F18</xm:sqref>
        </x14:dataValidation>
        <x14:dataValidation type="list" allowBlank="1" showInputMessage="1" showErrorMessage="1" xr:uid="{864CF629-C366-4D98-86F2-C54F67D2E150}">
          <x14:formula1>
            <xm:f>MESES!$J$2:$J$3</xm:f>
          </x14:formula1>
          <xm:sqref>D4</xm:sqref>
        </x14:dataValidation>
        <x14:dataValidation type="list" allowBlank="1" showInputMessage="1" showErrorMessage="1" xr:uid="{9A186A0E-8D4B-4377-836A-3A04355603B1}">
          <x14:formula1>
            <xm:f>MESES!$F$2:$F$21</xm:f>
          </x14:formula1>
          <xm:sqref>H4</xm:sqref>
        </x14:dataValidation>
        <x14:dataValidation type="list" allowBlank="1" showInputMessage="1" showErrorMessage="1" xr:uid="{F15378FE-8F5A-4CD9-853C-BFCEC0EAF4C1}">
          <x14:formula1>
            <xm:f>MESES!$B$2:$B$13</xm:f>
          </x14:formula1>
          <xm:sqref>F4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/>
  <dimension ref="A1:E12"/>
  <sheetViews>
    <sheetView workbookViewId="0">
      <selection activeCell="B8" sqref="B8"/>
    </sheetView>
  </sheetViews>
  <sheetFormatPr baseColWidth="10" defaultColWidth="10.85546875" defaultRowHeight="15" x14ac:dyDescent="0.25"/>
  <cols>
    <col min="2" max="2" width="27.5703125" customWidth="1"/>
    <col min="3" max="3" width="49.140625" customWidth="1"/>
    <col min="4" max="4" width="14.7109375" style="9" bestFit="1" customWidth="1"/>
    <col min="5" max="5" width="27.7109375" bestFit="1" customWidth="1"/>
  </cols>
  <sheetData>
    <row r="1" spans="1:5" x14ac:dyDescent="0.25">
      <c r="A1" t="s">
        <v>7</v>
      </c>
      <c r="B1" t="s">
        <v>262</v>
      </c>
      <c r="C1" t="s">
        <v>176</v>
      </c>
      <c r="D1" s="9" t="s">
        <v>6</v>
      </c>
      <c r="E1" t="s">
        <v>17</v>
      </c>
    </row>
    <row r="2" spans="1:5" x14ac:dyDescent="0.25">
      <c r="A2" s="13">
        <v>1</v>
      </c>
      <c r="B2" s="14" t="s">
        <v>337</v>
      </c>
      <c r="C2" s="15" t="s">
        <v>338</v>
      </c>
      <c r="D2" s="16">
        <v>0.125</v>
      </c>
      <c r="E2" s="13"/>
    </row>
    <row r="3" spans="1:5" x14ac:dyDescent="0.25">
      <c r="A3" s="13">
        <v>2</v>
      </c>
      <c r="B3" s="13" t="s">
        <v>339</v>
      </c>
      <c r="C3" s="15" t="s">
        <v>340</v>
      </c>
      <c r="D3" s="16">
        <v>0.125</v>
      </c>
      <c r="E3" s="13"/>
    </row>
    <row r="4" spans="1:5" x14ac:dyDescent="0.25">
      <c r="A4" s="13">
        <v>3</v>
      </c>
      <c r="B4" s="13" t="s">
        <v>341</v>
      </c>
      <c r="C4" s="15" t="s">
        <v>342</v>
      </c>
      <c r="D4" s="17">
        <v>0.2</v>
      </c>
      <c r="E4" s="13"/>
    </row>
    <row r="5" spans="1:5" x14ac:dyDescent="0.25">
      <c r="A5" s="13">
        <v>4</v>
      </c>
      <c r="B5" s="13" t="s">
        <v>343</v>
      </c>
      <c r="C5" s="15" t="s">
        <v>344</v>
      </c>
      <c r="D5" s="16">
        <v>0.125</v>
      </c>
      <c r="E5" s="13"/>
    </row>
    <row r="6" spans="1:5" x14ac:dyDescent="0.25">
      <c r="A6" s="13">
        <v>5</v>
      </c>
      <c r="B6" s="13" t="s">
        <v>345</v>
      </c>
      <c r="C6" s="15" t="s">
        <v>346</v>
      </c>
      <c r="D6" s="18">
        <v>0.1875</v>
      </c>
      <c r="E6" s="13"/>
    </row>
    <row r="7" spans="1:5" x14ac:dyDescent="0.25">
      <c r="A7" s="13">
        <v>6</v>
      </c>
      <c r="B7" s="13" t="s">
        <v>350</v>
      </c>
      <c r="C7" s="15" t="s">
        <v>346</v>
      </c>
      <c r="D7" s="17">
        <v>0.2</v>
      </c>
      <c r="E7" s="13"/>
    </row>
    <row r="8" spans="1:5" x14ac:dyDescent="0.25">
      <c r="A8" s="13">
        <v>7</v>
      </c>
      <c r="B8" s="13" t="s">
        <v>347</v>
      </c>
      <c r="C8" s="15" t="s">
        <v>348</v>
      </c>
      <c r="D8" s="17">
        <v>0</v>
      </c>
      <c r="E8" s="13"/>
    </row>
    <row r="9" spans="1:5" ht="30" x14ac:dyDescent="0.25">
      <c r="A9" s="13">
        <v>8</v>
      </c>
      <c r="B9" s="13" t="s">
        <v>349</v>
      </c>
      <c r="C9" s="15" t="s">
        <v>352</v>
      </c>
      <c r="D9" s="17">
        <v>1</v>
      </c>
      <c r="E9" s="13"/>
    </row>
    <row r="10" spans="1:5" ht="30" x14ac:dyDescent="0.25">
      <c r="A10" s="13">
        <v>9</v>
      </c>
      <c r="B10" s="13" t="s">
        <v>351</v>
      </c>
      <c r="C10" s="15" t="s">
        <v>353</v>
      </c>
      <c r="D10" s="17">
        <v>1</v>
      </c>
      <c r="E10" s="13"/>
    </row>
    <row r="11" spans="1:5" x14ac:dyDescent="0.25">
      <c r="A11" s="13">
        <v>10</v>
      </c>
      <c r="B11" s="13" t="s">
        <v>403</v>
      </c>
      <c r="C11" s="15" t="s">
        <v>404</v>
      </c>
      <c r="D11" s="17">
        <v>1</v>
      </c>
      <c r="E11" s="13"/>
    </row>
    <row r="12" spans="1:5" x14ac:dyDescent="0.25">
      <c r="A12" s="13"/>
      <c r="B12" s="13"/>
      <c r="C12" s="13"/>
      <c r="D12" s="17"/>
      <c r="E12" s="13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3"/>
  <dimension ref="A1:E38"/>
  <sheetViews>
    <sheetView workbookViewId="0">
      <selection activeCell="I10" sqref="I10"/>
    </sheetView>
  </sheetViews>
  <sheetFormatPr baseColWidth="10" defaultColWidth="10.85546875" defaultRowHeight="15" x14ac:dyDescent="0.25"/>
  <cols>
    <col min="2" max="2" width="36" bestFit="1" customWidth="1"/>
    <col min="3" max="3" width="105.5703125" bestFit="1" customWidth="1"/>
    <col min="4" max="4" width="24" style="8" customWidth="1"/>
    <col min="5" max="5" width="27.7109375" bestFit="1" customWidth="1"/>
  </cols>
  <sheetData>
    <row r="1" spans="1:5" x14ac:dyDescent="0.25">
      <c r="A1" t="s">
        <v>7</v>
      </c>
      <c r="B1" t="s">
        <v>2</v>
      </c>
      <c r="C1" t="s">
        <v>159</v>
      </c>
      <c r="D1" s="8" t="s">
        <v>160</v>
      </c>
      <c r="E1" t="s">
        <v>250</v>
      </c>
    </row>
    <row r="2" spans="1:5" ht="15.75" x14ac:dyDescent="0.25">
      <c r="A2" s="2">
        <v>1</v>
      </c>
      <c r="B2" t="s">
        <v>368</v>
      </c>
      <c r="C2" s="3" t="s">
        <v>123</v>
      </c>
      <c r="D2" s="8">
        <v>250000</v>
      </c>
      <c r="E2" s="11"/>
    </row>
    <row r="3" spans="1:5" ht="15.75" x14ac:dyDescent="0.25">
      <c r="A3" s="4">
        <v>2</v>
      </c>
      <c r="B3" t="s">
        <v>369</v>
      </c>
      <c r="C3" s="3" t="s">
        <v>124</v>
      </c>
      <c r="D3" s="8">
        <v>80000</v>
      </c>
      <c r="E3" s="11">
        <v>40000</v>
      </c>
    </row>
    <row r="4" spans="1:5" ht="15.75" x14ac:dyDescent="0.25">
      <c r="A4" s="2">
        <v>3</v>
      </c>
      <c r="B4" t="s">
        <v>370</v>
      </c>
      <c r="C4" s="3" t="s">
        <v>125</v>
      </c>
      <c r="D4" s="8">
        <v>80000</v>
      </c>
      <c r="E4" s="11">
        <v>40000</v>
      </c>
    </row>
    <row r="5" spans="1:5" ht="15.75" x14ac:dyDescent="0.25">
      <c r="A5" s="4">
        <v>4</v>
      </c>
      <c r="B5" t="s">
        <v>371</v>
      </c>
      <c r="C5" s="3" t="s">
        <v>126</v>
      </c>
      <c r="D5" s="8">
        <v>80000</v>
      </c>
      <c r="E5" s="11">
        <v>40000</v>
      </c>
    </row>
    <row r="6" spans="1:5" ht="15.75" x14ac:dyDescent="0.25">
      <c r="A6" s="2">
        <v>5</v>
      </c>
      <c r="B6" t="s">
        <v>372</v>
      </c>
      <c r="C6" s="3" t="s">
        <v>127</v>
      </c>
      <c r="E6" s="11"/>
    </row>
    <row r="7" spans="1:5" ht="15.75" x14ac:dyDescent="0.25">
      <c r="A7" s="4">
        <v>6</v>
      </c>
      <c r="B7" t="s">
        <v>373</v>
      </c>
      <c r="C7" s="3" t="s">
        <v>128</v>
      </c>
      <c r="D7" s="8">
        <v>80000</v>
      </c>
      <c r="E7" s="11">
        <v>40000</v>
      </c>
    </row>
    <row r="8" spans="1:5" ht="15.75" x14ac:dyDescent="0.25">
      <c r="A8" s="2">
        <v>7</v>
      </c>
      <c r="B8" t="s">
        <v>374</v>
      </c>
      <c r="C8" s="3" t="s">
        <v>129</v>
      </c>
      <c r="D8" s="8">
        <v>80000</v>
      </c>
      <c r="E8" s="11">
        <v>40000</v>
      </c>
    </row>
    <row r="9" spans="1:5" ht="15.75" x14ac:dyDescent="0.25">
      <c r="A9" s="4">
        <v>8</v>
      </c>
      <c r="B9" t="s">
        <v>375</v>
      </c>
      <c r="C9" s="3" t="s">
        <v>130</v>
      </c>
      <c r="D9" s="8">
        <v>80000</v>
      </c>
      <c r="E9" s="11">
        <v>40000</v>
      </c>
    </row>
    <row r="10" spans="1:5" ht="15.75" x14ac:dyDescent="0.25">
      <c r="A10" s="2">
        <v>9</v>
      </c>
      <c r="B10" t="s">
        <v>376</v>
      </c>
      <c r="C10" s="3" t="s">
        <v>131</v>
      </c>
      <c r="D10" s="8">
        <v>80000</v>
      </c>
      <c r="E10" s="11">
        <v>40000</v>
      </c>
    </row>
    <row r="11" spans="1:5" ht="15.75" x14ac:dyDescent="0.25">
      <c r="A11" s="4">
        <v>10</v>
      </c>
      <c r="B11" t="s">
        <v>377</v>
      </c>
      <c r="C11" s="3" t="s">
        <v>132</v>
      </c>
      <c r="D11" s="8">
        <v>300000</v>
      </c>
      <c r="E11" s="11">
        <v>130000</v>
      </c>
    </row>
    <row r="12" spans="1:5" ht="15.75" x14ac:dyDescent="0.25">
      <c r="A12" s="2">
        <v>11</v>
      </c>
      <c r="B12" t="s">
        <v>378</v>
      </c>
      <c r="C12" s="3" t="s">
        <v>133</v>
      </c>
      <c r="D12" s="8">
        <v>80000</v>
      </c>
      <c r="E12" s="11">
        <v>40000</v>
      </c>
    </row>
    <row r="13" spans="1:5" ht="15.75" x14ac:dyDescent="0.25">
      <c r="A13" s="4">
        <v>12</v>
      </c>
      <c r="B13" t="s">
        <v>379</v>
      </c>
      <c r="C13" s="3" t="s">
        <v>134</v>
      </c>
      <c r="D13" s="8">
        <v>80000</v>
      </c>
      <c r="E13" s="11">
        <v>40000</v>
      </c>
    </row>
    <row r="14" spans="1:5" ht="15.75" x14ac:dyDescent="0.25">
      <c r="A14" s="2">
        <v>13</v>
      </c>
      <c r="B14" t="s">
        <v>380</v>
      </c>
      <c r="C14" s="3" t="s">
        <v>135</v>
      </c>
      <c r="D14" s="8">
        <v>80000</v>
      </c>
      <c r="E14" s="11">
        <v>40000</v>
      </c>
    </row>
    <row r="15" spans="1:5" ht="15.75" x14ac:dyDescent="0.25">
      <c r="A15" s="4">
        <v>14</v>
      </c>
      <c r="B15" t="s">
        <v>381</v>
      </c>
      <c r="C15" s="3" t="s">
        <v>136</v>
      </c>
      <c r="D15" s="8">
        <v>80000</v>
      </c>
      <c r="E15" s="11">
        <v>40000</v>
      </c>
    </row>
    <row r="16" spans="1:5" ht="15.75" x14ac:dyDescent="0.25">
      <c r="A16" s="2">
        <v>15</v>
      </c>
      <c r="B16" t="s">
        <v>382</v>
      </c>
      <c r="C16" s="3" t="s">
        <v>137</v>
      </c>
      <c r="D16" s="8">
        <v>80000</v>
      </c>
      <c r="E16" s="11">
        <v>40000</v>
      </c>
    </row>
    <row r="17" spans="1:5" ht="15.75" x14ac:dyDescent="0.25">
      <c r="A17" s="4">
        <v>16</v>
      </c>
      <c r="B17" t="s">
        <v>383</v>
      </c>
      <c r="C17" s="3" t="s">
        <v>138</v>
      </c>
      <c r="D17" s="8">
        <v>80000</v>
      </c>
      <c r="E17" s="11">
        <v>40000</v>
      </c>
    </row>
    <row r="18" spans="1:5" ht="15.75" x14ac:dyDescent="0.25">
      <c r="A18" s="2">
        <v>17</v>
      </c>
      <c r="B18" t="s">
        <v>384</v>
      </c>
      <c r="C18" s="3" t="s">
        <v>139</v>
      </c>
      <c r="D18" s="8">
        <v>80000</v>
      </c>
      <c r="E18" s="11">
        <v>40000</v>
      </c>
    </row>
    <row r="19" spans="1:5" ht="15.75" x14ac:dyDescent="0.25">
      <c r="A19" s="4">
        <v>18</v>
      </c>
      <c r="B19" t="s">
        <v>385</v>
      </c>
      <c r="C19" s="3" t="s">
        <v>140</v>
      </c>
      <c r="D19" s="8">
        <v>80000</v>
      </c>
      <c r="E19" s="11">
        <v>40000</v>
      </c>
    </row>
    <row r="20" spans="1:5" ht="15.75" x14ac:dyDescent="0.25">
      <c r="A20" s="2">
        <v>19</v>
      </c>
      <c r="B20" t="s">
        <v>386</v>
      </c>
      <c r="C20" s="5" t="s">
        <v>141</v>
      </c>
      <c r="D20" s="8">
        <v>80000</v>
      </c>
      <c r="E20" s="11">
        <v>40000</v>
      </c>
    </row>
    <row r="21" spans="1:5" ht="15.75" x14ac:dyDescent="0.25">
      <c r="A21" s="4">
        <v>20</v>
      </c>
      <c r="B21" t="s">
        <v>387</v>
      </c>
      <c r="C21" s="5" t="s">
        <v>142</v>
      </c>
      <c r="D21" s="8">
        <v>80000</v>
      </c>
      <c r="E21" s="11">
        <v>40000</v>
      </c>
    </row>
    <row r="22" spans="1:5" ht="15.75" x14ac:dyDescent="0.25">
      <c r="A22" s="2">
        <v>21</v>
      </c>
      <c r="B22" t="s">
        <v>388</v>
      </c>
      <c r="C22" s="5" t="s">
        <v>143</v>
      </c>
      <c r="D22" s="8">
        <v>80000</v>
      </c>
      <c r="E22" s="11">
        <v>40000</v>
      </c>
    </row>
    <row r="23" spans="1:5" ht="15.75" x14ac:dyDescent="0.25">
      <c r="A23" s="4">
        <v>22</v>
      </c>
      <c r="B23" t="s">
        <v>389</v>
      </c>
      <c r="C23" s="6" t="s">
        <v>144</v>
      </c>
      <c r="D23" s="8">
        <v>80000</v>
      </c>
      <c r="E23" s="11">
        <v>40000</v>
      </c>
    </row>
    <row r="24" spans="1:5" ht="15.75" x14ac:dyDescent="0.25">
      <c r="A24" s="7">
        <v>23</v>
      </c>
      <c r="B24" t="s">
        <v>390</v>
      </c>
      <c r="C24" s="3" t="s">
        <v>145</v>
      </c>
      <c r="D24" s="8">
        <v>80000</v>
      </c>
      <c r="E24" s="11">
        <v>40000</v>
      </c>
    </row>
    <row r="25" spans="1:5" ht="15.75" x14ac:dyDescent="0.25">
      <c r="A25" s="7">
        <v>24</v>
      </c>
      <c r="B25" t="s">
        <v>391</v>
      </c>
      <c r="C25" s="5" t="s">
        <v>146</v>
      </c>
      <c r="D25" s="8">
        <v>80000</v>
      </c>
      <c r="E25" s="11">
        <v>40000</v>
      </c>
    </row>
    <row r="26" spans="1:5" ht="15.75" x14ac:dyDescent="0.25">
      <c r="A26" s="7">
        <v>25</v>
      </c>
      <c r="B26" t="s">
        <v>392</v>
      </c>
      <c r="C26" s="3" t="s">
        <v>147</v>
      </c>
      <c r="D26" s="8">
        <v>80000</v>
      </c>
      <c r="E26" s="11">
        <v>40000</v>
      </c>
    </row>
    <row r="27" spans="1:5" ht="15.75" x14ac:dyDescent="0.25">
      <c r="A27" s="7">
        <v>26</v>
      </c>
      <c r="B27" t="s">
        <v>393</v>
      </c>
      <c r="C27" s="3" t="s">
        <v>148</v>
      </c>
      <c r="D27" s="8">
        <v>80000</v>
      </c>
      <c r="E27" s="11">
        <v>40000</v>
      </c>
    </row>
    <row r="28" spans="1:5" ht="15.75" x14ac:dyDescent="0.25">
      <c r="A28" s="7">
        <v>27</v>
      </c>
      <c r="B28" t="s">
        <v>149</v>
      </c>
      <c r="C28" s="3" t="s">
        <v>149</v>
      </c>
      <c r="D28" s="8">
        <v>80000</v>
      </c>
      <c r="E28" s="11">
        <v>40000</v>
      </c>
    </row>
    <row r="29" spans="1:5" ht="15.75" x14ac:dyDescent="0.25">
      <c r="A29" s="7">
        <v>28</v>
      </c>
      <c r="B29" t="s">
        <v>394</v>
      </c>
      <c r="C29" s="3" t="s">
        <v>150</v>
      </c>
      <c r="D29" s="8">
        <v>80000</v>
      </c>
      <c r="E29" s="11">
        <v>40000</v>
      </c>
    </row>
    <row r="30" spans="1:5" ht="15.75" x14ac:dyDescent="0.25">
      <c r="A30" s="7">
        <v>29</v>
      </c>
      <c r="B30" t="s">
        <v>395</v>
      </c>
      <c r="C30" s="3" t="s">
        <v>151</v>
      </c>
      <c r="D30" s="8">
        <v>80000</v>
      </c>
      <c r="E30" s="11">
        <v>40000</v>
      </c>
    </row>
    <row r="31" spans="1:5" ht="15.75" x14ac:dyDescent="0.25">
      <c r="A31" s="7">
        <v>30</v>
      </c>
      <c r="B31" t="s">
        <v>396</v>
      </c>
      <c r="C31" s="3" t="s">
        <v>152</v>
      </c>
      <c r="D31" s="8">
        <v>80000</v>
      </c>
      <c r="E31" s="11">
        <v>40000</v>
      </c>
    </row>
    <row r="32" spans="1:5" ht="15.75" x14ac:dyDescent="0.25">
      <c r="A32" s="7">
        <v>31</v>
      </c>
      <c r="B32" t="s">
        <v>397</v>
      </c>
      <c r="C32" s="3" t="s">
        <v>153</v>
      </c>
      <c r="D32" s="8">
        <v>80000</v>
      </c>
      <c r="E32" s="11">
        <v>40000</v>
      </c>
    </row>
    <row r="33" spans="1:5" ht="15.75" x14ac:dyDescent="0.25">
      <c r="A33" s="7">
        <v>32</v>
      </c>
      <c r="B33" t="s">
        <v>398</v>
      </c>
      <c r="C33" s="3" t="s">
        <v>154</v>
      </c>
      <c r="D33" s="8">
        <v>80000</v>
      </c>
      <c r="E33" s="11">
        <v>40000</v>
      </c>
    </row>
    <row r="34" spans="1:5" ht="15.75" x14ac:dyDescent="0.25">
      <c r="A34" s="7">
        <v>33</v>
      </c>
      <c r="B34" t="s">
        <v>155</v>
      </c>
      <c r="C34" s="3" t="s">
        <v>155</v>
      </c>
      <c r="D34" s="8">
        <v>80000</v>
      </c>
      <c r="E34" s="11">
        <v>40000</v>
      </c>
    </row>
    <row r="35" spans="1:5" ht="15.75" x14ac:dyDescent="0.25">
      <c r="A35" s="7">
        <v>34</v>
      </c>
      <c r="B35" t="s">
        <v>399</v>
      </c>
      <c r="C35" s="3" t="s">
        <v>156</v>
      </c>
      <c r="D35" s="8">
        <v>80000</v>
      </c>
      <c r="E35" s="11">
        <v>40000</v>
      </c>
    </row>
    <row r="36" spans="1:5" ht="15.75" x14ac:dyDescent="0.25">
      <c r="A36" s="7">
        <v>35</v>
      </c>
      <c r="B36" t="s">
        <v>400</v>
      </c>
      <c r="C36" s="3" t="s">
        <v>157</v>
      </c>
      <c r="D36" s="8">
        <v>80000</v>
      </c>
      <c r="E36" s="11">
        <v>40000</v>
      </c>
    </row>
    <row r="37" spans="1:5" ht="15.75" x14ac:dyDescent="0.25">
      <c r="A37" s="7">
        <v>36</v>
      </c>
      <c r="B37" t="s">
        <v>401</v>
      </c>
      <c r="C37" s="3" t="s">
        <v>158</v>
      </c>
      <c r="D37" s="8">
        <v>80000</v>
      </c>
      <c r="E37" s="11">
        <v>40000</v>
      </c>
    </row>
    <row r="38" spans="1:5" x14ac:dyDescent="0.25">
      <c r="B38" t="s">
        <v>402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139"/>
  <sheetViews>
    <sheetView topLeftCell="A2" workbookViewId="0">
      <selection activeCell="F134" sqref="F134"/>
    </sheetView>
  </sheetViews>
  <sheetFormatPr baseColWidth="10" defaultColWidth="10.85546875" defaultRowHeight="15" x14ac:dyDescent="0.25"/>
  <cols>
    <col min="2" max="2" width="35" bestFit="1" customWidth="1"/>
    <col min="3" max="3" width="17.85546875" customWidth="1"/>
  </cols>
  <sheetData>
    <row r="1" spans="1:3" x14ac:dyDescent="0.25">
      <c r="A1" t="s">
        <v>7</v>
      </c>
      <c r="B1" t="s">
        <v>4</v>
      </c>
      <c r="C1" t="s">
        <v>176</v>
      </c>
    </row>
    <row r="2" spans="1:3" x14ac:dyDescent="0.25">
      <c r="A2">
        <v>1</v>
      </c>
      <c r="B2" t="s">
        <v>62</v>
      </c>
    </row>
    <row r="3" spans="1:3" x14ac:dyDescent="0.25">
      <c r="A3">
        <v>2</v>
      </c>
      <c r="B3" t="s">
        <v>19</v>
      </c>
    </row>
    <row r="4" spans="1:3" x14ac:dyDescent="0.25">
      <c r="A4">
        <v>3</v>
      </c>
      <c r="B4" t="s">
        <v>20</v>
      </c>
    </row>
    <row r="5" spans="1:3" x14ac:dyDescent="0.25">
      <c r="A5">
        <v>4</v>
      </c>
      <c r="B5" t="s">
        <v>21</v>
      </c>
    </row>
    <row r="6" spans="1:3" x14ac:dyDescent="0.25">
      <c r="A6">
        <v>5</v>
      </c>
      <c r="B6" t="s">
        <v>22</v>
      </c>
    </row>
    <row r="7" spans="1:3" x14ac:dyDescent="0.25">
      <c r="A7">
        <v>6</v>
      </c>
      <c r="B7" t="s">
        <v>23</v>
      </c>
    </row>
    <row r="8" spans="1:3" x14ac:dyDescent="0.25">
      <c r="A8">
        <v>7</v>
      </c>
      <c r="B8" t="s">
        <v>24</v>
      </c>
    </row>
    <row r="9" spans="1:3" x14ac:dyDescent="0.25">
      <c r="A9">
        <v>8</v>
      </c>
      <c r="B9" t="s">
        <v>25</v>
      </c>
    </row>
    <row r="10" spans="1:3" x14ac:dyDescent="0.25">
      <c r="A10">
        <v>9</v>
      </c>
      <c r="B10" t="s">
        <v>26</v>
      </c>
    </row>
    <row r="11" spans="1:3" x14ac:dyDescent="0.25">
      <c r="A11">
        <v>10</v>
      </c>
      <c r="B11" t="s">
        <v>27</v>
      </c>
    </row>
    <row r="12" spans="1:3" x14ac:dyDescent="0.25">
      <c r="A12">
        <v>11</v>
      </c>
      <c r="B12" t="s">
        <v>28</v>
      </c>
    </row>
    <row r="13" spans="1:3" x14ac:dyDescent="0.25">
      <c r="A13">
        <v>12</v>
      </c>
      <c r="B13" t="s">
        <v>29</v>
      </c>
    </row>
    <row r="14" spans="1:3" x14ac:dyDescent="0.25">
      <c r="A14">
        <v>13</v>
      </c>
      <c r="B14" t="s">
        <v>30</v>
      </c>
    </row>
    <row r="15" spans="1:3" x14ac:dyDescent="0.25">
      <c r="A15">
        <v>14</v>
      </c>
      <c r="B15" t="s">
        <v>31</v>
      </c>
    </row>
    <row r="16" spans="1:3" x14ac:dyDescent="0.25">
      <c r="A16">
        <v>15</v>
      </c>
      <c r="B16" t="s">
        <v>32</v>
      </c>
    </row>
    <row r="17" spans="1:2" x14ac:dyDescent="0.25">
      <c r="A17">
        <v>16</v>
      </c>
      <c r="B17" t="s">
        <v>33</v>
      </c>
    </row>
    <row r="18" spans="1:2" x14ac:dyDescent="0.25">
      <c r="A18">
        <v>17</v>
      </c>
      <c r="B18" t="s">
        <v>34</v>
      </c>
    </row>
    <row r="19" spans="1:2" x14ac:dyDescent="0.25">
      <c r="A19">
        <v>18</v>
      </c>
      <c r="B19" t="s">
        <v>35</v>
      </c>
    </row>
    <row r="20" spans="1:2" x14ac:dyDescent="0.25">
      <c r="A20">
        <v>19</v>
      </c>
      <c r="B20" t="s">
        <v>36</v>
      </c>
    </row>
    <row r="21" spans="1:2" x14ac:dyDescent="0.25">
      <c r="A21">
        <v>20</v>
      </c>
      <c r="B21" t="s">
        <v>37</v>
      </c>
    </row>
    <row r="22" spans="1:2" x14ac:dyDescent="0.25">
      <c r="A22">
        <v>21</v>
      </c>
      <c r="B22" t="s">
        <v>38</v>
      </c>
    </row>
    <row r="23" spans="1:2" x14ac:dyDescent="0.25">
      <c r="A23">
        <v>22</v>
      </c>
      <c r="B23" t="s">
        <v>39</v>
      </c>
    </row>
    <row r="24" spans="1:2" x14ac:dyDescent="0.25">
      <c r="A24">
        <v>23</v>
      </c>
      <c r="B24" t="s">
        <v>40</v>
      </c>
    </row>
    <row r="25" spans="1:2" x14ac:dyDescent="0.25">
      <c r="A25">
        <v>24</v>
      </c>
      <c r="B25" t="s">
        <v>41</v>
      </c>
    </row>
    <row r="26" spans="1:2" x14ac:dyDescent="0.25">
      <c r="A26">
        <v>25</v>
      </c>
      <c r="B26" t="s">
        <v>42</v>
      </c>
    </row>
    <row r="27" spans="1:2" x14ac:dyDescent="0.25">
      <c r="A27">
        <v>26</v>
      </c>
      <c r="B27" t="s">
        <v>43</v>
      </c>
    </row>
    <row r="28" spans="1:2" x14ac:dyDescent="0.25">
      <c r="A28">
        <v>27</v>
      </c>
      <c r="B28" t="s">
        <v>44</v>
      </c>
    </row>
    <row r="29" spans="1:2" x14ac:dyDescent="0.25">
      <c r="A29">
        <v>28</v>
      </c>
      <c r="B29" t="s">
        <v>45</v>
      </c>
    </row>
    <row r="30" spans="1:2" x14ac:dyDescent="0.25">
      <c r="A30">
        <v>29</v>
      </c>
      <c r="B30" t="s">
        <v>46</v>
      </c>
    </row>
    <row r="31" spans="1:2" x14ac:dyDescent="0.25">
      <c r="A31">
        <v>30</v>
      </c>
      <c r="B31" t="s">
        <v>47</v>
      </c>
    </row>
    <row r="32" spans="1:2" x14ac:dyDescent="0.25">
      <c r="A32">
        <v>31</v>
      </c>
      <c r="B32" t="s">
        <v>48</v>
      </c>
    </row>
    <row r="33" spans="1:2" x14ac:dyDescent="0.25">
      <c r="A33">
        <v>32</v>
      </c>
      <c r="B33" t="s">
        <v>49</v>
      </c>
    </row>
    <row r="34" spans="1:2" x14ac:dyDescent="0.25">
      <c r="A34">
        <v>33</v>
      </c>
      <c r="B34" t="s">
        <v>50</v>
      </c>
    </row>
    <row r="35" spans="1:2" x14ac:dyDescent="0.25">
      <c r="A35">
        <v>34</v>
      </c>
      <c r="B35" t="s">
        <v>51</v>
      </c>
    </row>
    <row r="36" spans="1:2" x14ac:dyDescent="0.25">
      <c r="A36">
        <v>35</v>
      </c>
      <c r="B36" t="s">
        <v>52</v>
      </c>
    </row>
    <row r="37" spans="1:2" x14ac:dyDescent="0.25">
      <c r="A37">
        <v>36</v>
      </c>
      <c r="B37" t="s">
        <v>53</v>
      </c>
    </row>
    <row r="38" spans="1:2" x14ac:dyDescent="0.25">
      <c r="A38">
        <v>37</v>
      </c>
      <c r="B38" t="s">
        <v>54</v>
      </c>
    </row>
    <row r="39" spans="1:2" x14ac:dyDescent="0.25">
      <c r="A39">
        <v>38</v>
      </c>
      <c r="B39" t="s">
        <v>55</v>
      </c>
    </row>
    <row r="40" spans="1:2" x14ac:dyDescent="0.25">
      <c r="A40">
        <v>39</v>
      </c>
      <c r="B40" t="s">
        <v>56</v>
      </c>
    </row>
    <row r="41" spans="1:2" x14ac:dyDescent="0.25">
      <c r="A41">
        <v>40</v>
      </c>
      <c r="B41" t="s">
        <v>57</v>
      </c>
    </row>
    <row r="42" spans="1:2" x14ac:dyDescent="0.25">
      <c r="A42">
        <v>41</v>
      </c>
      <c r="B42" t="s">
        <v>58</v>
      </c>
    </row>
    <row r="43" spans="1:2" x14ac:dyDescent="0.25">
      <c r="A43">
        <v>42</v>
      </c>
      <c r="B43" t="s">
        <v>59</v>
      </c>
    </row>
    <row r="44" spans="1:2" x14ac:dyDescent="0.25">
      <c r="A44">
        <v>43</v>
      </c>
      <c r="B44" t="s">
        <v>60</v>
      </c>
    </row>
    <row r="45" spans="1:2" x14ac:dyDescent="0.25">
      <c r="A45">
        <v>44</v>
      </c>
      <c r="B45" t="s">
        <v>61</v>
      </c>
    </row>
    <row r="46" spans="1:2" x14ac:dyDescent="0.25">
      <c r="A46">
        <v>45</v>
      </c>
      <c r="B46" t="s">
        <v>63</v>
      </c>
    </row>
    <row r="47" spans="1:2" x14ac:dyDescent="0.25">
      <c r="A47">
        <v>46</v>
      </c>
      <c r="B47" t="s">
        <v>64</v>
      </c>
    </row>
    <row r="48" spans="1:2" x14ac:dyDescent="0.25">
      <c r="A48">
        <v>47</v>
      </c>
      <c r="B48" t="s">
        <v>65</v>
      </c>
    </row>
    <row r="49" spans="1:2" x14ac:dyDescent="0.25">
      <c r="A49">
        <v>48</v>
      </c>
      <c r="B49" t="s">
        <v>66</v>
      </c>
    </row>
    <row r="50" spans="1:2" x14ac:dyDescent="0.25">
      <c r="A50">
        <v>49</v>
      </c>
      <c r="B50" t="s">
        <v>67</v>
      </c>
    </row>
    <row r="51" spans="1:2" x14ac:dyDescent="0.25">
      <c r="A51">
        <v>50</v>
      </c>
      <c r="B51" t="s">
        <v>68</v>
      </c>
    </row>
    <row r="52" spans="1:2" x14ac:dyDescent="0.25">
      <c r="A52">
        <v>51</v>
      </c>
      <c r="B52" t="s">
        <v>69</v>
      </c>
    </row>
    <row r="53" spans="1:2" x14ac:dyDescent="0.25">
      <c r="A53">
        <v>52</v>
      </c>
      <c r="B53" t="s">
        <v>70</v>
      </c>
    </row>
    <row r="54" spans="1:2" x14ac:dyDescent="0.25">
      <c r="A54">
        <v>53</v>
      </c>
      <c r="B54" t="s">
        <v>71</v>
      </c>
    </row>
    <row r="55" spans="1:2" x14ac:dyDescent="0.25">
      <c r="A55">
        <v>54</v>
      </c>
      <c r="B55" t="s">
        <v>72</v>
      </c>
    </row>
    <row r="56" spans="1:2" x14ac:dyDescent="0.25">
      <c r="A56">
        <v>55</v>
      </c>
      <c r="B56" t="s">
        <v>73</v>
      </c>
    </row>
    <row r="57" spans="1:2" x14ac:dyDescent="0.25">
      <c r="A57">
        <v>56</v>
      </c>
      <c r="B57" t="s">
        <v>289</v>
      </c>
    </row>
    <row r="58" spans="1:2" x14ac:dyDescent="0.25">
      <c r="A58">
        <v>57</v>
      </c>
      <c r="B58" t="s">
        <v>290</v>
      </c>
    </row>
    <row r="59" spans="1:2" x14ac:dyDescent="0.25">
      <c r="A59">
        <v>58</v>
      </c>
      <c r="B59" t="s">
        <v>291</v>
      </c>
    </row>
    <row r="60" spans="1:2" x14ac:dyDescent="0.25">
      <c r="A60">
        <v>59</v>
      </c>
      <c r="B60" t="s">
        <v>292</v>
      </c>
    </row>
    <row r="61" spans="1:2" x14ac:dyDescent="0.25">
      <c r="A61">
        <v>60</v>
      </c>
      <c r="B61" t="s">
        <v>293</v>
      </c>
    </row>
    <row r="62" spans="1:2" x14ac:dyDescent="0.25">
      <c r="A62">
        <v>61</v>
      </c>
      <c r="B62" t="s">
        <v>294</v>
      </c>
    </row>
    <row r="63" spans="1:2" x14ac:dyDescent="0.25">
      <c r="A63">
        <v>62</v>
      </c>
      <c r="B63" t="s">
        <v>295</v>
      </c>
    </row>
    <row r="64" spans="1:2" x14ac:dyDescent="0.25">
      <c r="A64">
        <v>63</v>
      </c>
      <c r="B64" t="s">
        <v>296</v>
      </c>
    </row>
    <row r="65" spans="1:2" x14ac:dyDescent="0.25">
      <c r="A65">
        <v>64</v>
      </c>
      <c r="B65" t="s">
        <v>297</v>
      </c>
    </row>
    <row r="66" spans="1:2" x14ac:dyDescent="0.25">
      <c r="A66">
        <v>65</v>
      </c>
      <c r="B66" t="s">
        <v>298</v>
      </c>
    </row>
    <row r="67" spans="1:2" x14ac:dyDescent="0.25">
      <c r="A67">
        <v>66</v>
      </c>
      <c r="B67" t="s">
        <v>299</v>
      </c>
    </row>
    <row r="68" spans="1:2" x14ac:dyDescent="0.25">
      <c r="A68">
        <v>67</v>
      </c>
      <c r="B68" t="s">
        <v>300</v>
      </c>
    </row>
    <row r="69" spans="1:2" x14ac:dyDescent="0.25">
      <c r="A69">
        <v>68</v>
      </c>
      <c r="B69" t="s">
        <v>301</v>
      </c>
    </row>
    <row r="70" spans="1:2" x14ac:dyDescent="0.25">
      <c r="A70">
        <v>69</v>
      </c>
      <c r="B70" t="s">
        <v>302</v>
      </c>
    </row>
    <row r="71" spans="1:2" x14ac:dyDescent="0.25">
      <c r="A71">
        <v>70</v>
      </c>
      <c r="B71" t="s">
        <v>303</v>
      </c>
    </row>
    <row r="72" spans="1:2" x14ac:dyDescent="0.25">
      <c r="A72">
        <v>71</v>
      </c>
      <c r="B72" t="s">
        <v>304</v>
      </c>
    </row>
    <row r="73" spans="1:2" x14ac:dyDescent="0.25">
      <c r="A73">
        <v>72</v>
      </c>
      <c r="B73" t="s">
        <v>305</v>
      </c>
    </row>
    <row r="74" spans="1:2" x14ac:dyDescent="0.25">
      <c r="A74">
        <v>73</v>
      </c>
      <c r="B74" t="s">
        <v>306</v>
      </c>
    </row>
    <row r="75" spans="1:2" x14ac:dyDescent="0.25">
      <c r="A75">
        <v>74</v>
      </c>
      <c r="B75" t="s">
        <v>307</v>
      </c>
    </row>
    <row r="76" spans="1:2" x14ac:dyDescent="0.25">
      <c r="A76">
        <v>75</v>
      </c>
      <c r="B76" t="s">
        <v>308</v>
      </c>
    </row>
    <row r="77" spans="1:2" x14ac:dyDescent="0.25">
      <c r="A77">
        <v>76</v>
      </c>
      <c r="B77" t="s">
        <v>309</v>
      </c>
    </row>
    <row r="78" spans="1:2" x14ac:dyDescent="0.25">
      <c r="A78">
        <v>77</v>
      </c>
      <c r="B78" t="s">
        <v>310</v>
      </c>
    </row>
    <row r="79" spans="1:2" x14ac:dyDescent="0.25">
      <c r="A79">
        <v>78</v>
      </c>
      <c r="B79" t="s">
        <v>311</v>
      </c>
    </row>
    <row r="80" spans="1:2" x14ac:dyDescent="0.25">
      <c r="A80">
        <v>79</v>
      </c>
      <c r="B80" t="s">
        <v>312</v>
      </c>
    </row>
    <row r="81" spans="1:2" x14ac:dyDescent="0.25">
      <c r="A81">
        <v>80</v>
      </c>
      <c r="B81" t="s">
        <v>313</v>
      </c>
    </row>
    <row r="82" spans="1:2" x14ac:dyDescent="0.25">
      <c r="A82">
        <v>81</v>
      </c>
      <c r="B82" t="s">
        <v>314</v>
      </c>
    </row>
    <row r="83" spans="1:2" x14ac:dyDescent="0.25">
      <c r="A83">
        <v>82</v>
      </c>
      <c r="B83" t="s">
        <v>315</v>
      </c>
    </row>
    <row r="84" spans="1:2" x14ac:dyDescent="0.25">
      <c r="A84">
        <v>83</v>
      </c>
      <c r="B84" t="s">
        <v>316</v>
      </c>
    </row>
    <row r="85" spans="1:2" x14ac:dyDescent="0.25">
      <c r="A85">
        <v>84</v>
      </c>
      <c r="B85" t="s">
        <v>317</v>
      </c>
    </row>
    <row r="86" spans="1:2" x14ac:dyDescent="0.25">
      <c r="A86">
        <v>85</v>
      </c>
      <c r="B86" t="s">
        <v>318</v>
      </c>
    </row>
    <row r="87" spans="1:2" x14ac:dyDescent="0.25">
      <c r="A87">
        <v>86</v>
      </c>
      <c r="B87" t="s">
        <v>319</v>
      </c>
    </row>
    <row r="88" spans="1:2" x14ac:dyDescent="0.25">
      <c r="A88">
        <v>87</v>
      </c>
      <c r="B88" t="s">
        <v>320</v>
      </c>
    </row>
    <row r="89" spans="1:2" x14ac:dyDescent="0.25">
      <c r="A89">
        <v>88</v>
      </c>
      <c r="B89" t="s">
        <v>321</v>
      </c>
    </row>
    <row r="90" spans="1:2" x14ac:dyDescent="0.25">
      <c r="A90">
        <v>89</v>
      </c>
      <c r="B90" t="s">
        <v>322</v>
      </c>
    </row>
    <row r="91" spans="1:2" x14ac:dyDescent="0.25">
      <c r="A91">
        <v>90</v>
      </c>
      <c r="B91" t="s">
        <v>323</v>
      </c>
    </row>
    <row r="92" spans="1:2" x14ac:dyDescent="0.25">
      <c r="A92">
        <v>91</v>
      </c>
      <c r="B92" t="s">
        <v>324</v>
      </c>
    </row>
    <row r="93" spans="1:2" x14ac:dyDescent="0.25">
      <c r="A93">
        <v>92</v>
      </c>
      <c r="B93" t="s">
        <v>325</v>
      </c>
    </row>
    <row r="94" spans="1:2" x14ac:dyDescent="0.25">
      <c r="A94">
        <v>93</v>
      </c>
      <c r="B94" t="s">
        <v>326</v>
      </c>
    </row>
    <row r="95" spans="1:2" x14ac:dyDescent="0.25">
      <c r="A95">
        <v>94</v>
      </c>
      <c r="B95" t="s">
        <v>327</v>
      </c>
    </row>
    <row r="96" spans="1:2" x14ac:dyDescent="0.25">
      <c r="A96">
        <v>95</v>
      </c>
      <c r="B96" t="s">
        <v>328</v>
      </c>
    </row>
    <row r="97" spans="1:2" x14ac:dyDescent="0.25">
      <c r="A97">
        <v>96</v>
      </c>
      <c r="B97" t="s">
        <v>329</v>
      </c>
    </row>
    <row r="98" spans="1:2" x14ac:dyDescent="0.25">
      <c r="A98">
        <v>97</v>
      </c>
      <c r="B98" t="s">
        <v>330</v>
      </c>
    </row>
    <row r="99" spans="1:2" x14ac:dyDescent="0.25">
      <c r="A99">
        <v>98</v>
      </c>
      <c r="B99" t="s">
        <v>331</v>
      </c>
    </row>
    <row r="100" spans="1:2" x14ac:dyDescent="0.25">
      <c r="A100">
        <v>99</v>
      </c>
      <c r="B100" t="s">
        <v>332</v>
      </c>
    </row>
    <row r="101" spans="1:2" x14ac:dyDescent="0.25">
      <c r="A101">
        <v>100</v>
      </c>
      <c r="B101" t="s">
        <v>333</v>
      </c>
    </row>
    <row r="102" spans="1:2" x14ac:dyDescent="0.25">
      <c r="A102">
        <v>101</v>
      </c>
      <c r="B102" t="s">
        <v>334</v>
      </c>
    </row>
    <row r="103" spans="1:2" x14ac:dyDescent="0.25">
      <c r="A103">
        <v>102</v>
      </c>
      <c r="B103" t="s">
        <v>335</v>
      </c>
    </row>
    <row r="104" spans="1:2" x14ac:dyDescent="0.25">
      <c r="A104">
        <v>103</v>
      </c>
      <c r="B104" t="s">
        <v>336</v>
      </c>
    </row>
    <row r="105" spans="1:2" x14ac:dyDescent="0.25">
      <c r="A105">
        <v>104</v>
      </c>
      <c r="B105" t="s">
        <v>74</v>
      </c>
    </row>
    <row r="106" spans="1:2" x14ac:dyDescent="0.25">
      <c r="A106">
        <v>105</v>
      </c>
      <c r="B106" t="s">
        <v>75</v>
      </c>
    </row>
    <row r="107" spans="1:2" x14ac:dyDescent="0.25">
      <c r="A107">
        <v>106</v>
      </c>
      <c r="B107" t="s">
        <v>76</v>
      </c>
    </row>
    <row r="108" spans="1:2" x14ac:dyDescent="0.25">
      <c r="A108">
        <v>107</v>
      </c>
      <c r="B108" t="s">
        <v>77</v>
      </c>
    </row>
    <row r="109" spans="1:2" x14ac:dyDescent="0.25">
      <c r="A109">
        <v>108</v>
      </c>
      <c r="B109" t="s">
        <v>78</v>
      </c>
    </row>
    <row r="110" spans="1:2" x14ac:dyDescent="0.25">
      <c r="A110">
        <v>109</v>
      </c>
      <c r="B110" t="s">
        <v>79</v>
      </c>
    </row>
    <row r="111" spans="1:2" x14ac:dyDescent="0.25">
      <c r="A111">
        <v>110</v>
      </c>
      <c r="B111" t="s">
        <v>80</v>
      </c>
    </row>
    <row r="112" spans="1:2" x14ac:dyDescent="0.25">
      <c r="A112">
        <v>111</v>
      </c>
      <c r="B112" t="s">
        <v>81</v>
      </c>
    </row>
    <row r="113" spans="1:2" x14ac:dyDescent="0.25">
      <c r="A113">
        <v>112</v>
      </c>
      <c r="B113" t="s">
        <v>82</v>
      </c>
    </row>
    <row r="114" spans="1:2" x14ac:dyDescent="0.25">
      <c r="A114">
        <v>113</v>
      </c>
      <c r="B114" t="s">
        <v>83</v>
      </c>
    </row>
    <row r="115" spans="1:2" x14ac:dyDescent="0.25">
      <c r="A115">
        <v>114</v>
      </c>
      <c r="B115" t="s">
        <v>84</v>
      </c>
    </row>
    <row r="116" spans="1:2" x14ac:dyDescent="0.25">
      <c r="A116">
        <v>115</v>
      </c>
      <c r="B116" t="s">
        <v>85</v>
      </c>
    </row>
    <row r="117" spans="1:2" x14ac:dyDescent="0.25">
      <c r="A117">
        <v>116</v>
      </c>
      <c r="B117" t="s">
        <v>86</v>
      </c>
    </row>
    <row r="118" spans="1:2" x14ac:dyDescent="0.25">
      <c r="A118">
        <v>117</v>
      </c>
      <c r="B118" t="s">
        <v>87</v>
      </c>
    </row>
    <row r="119" spans="1:2" x14ac:dyDescent="0.25">
      <c r="A119">
        <v>118</v>
      </c>
      <c r="B119" t="s">
        <v>88</v>
      </c>
    </row>
    <row r="120" spans="1:2" x14ac:dyDescent="0.25">
      <c r="A120">
        <v>119</v>
      </c>
      <c r="B120" t="s">
        <v>89</v>
      </c>
    </row>
    <row r="121" spans="1:2" x14ac:dyDescent="0.25">
      <c r="A121">
        <v>120</v>
      </c>
      <c r="B121" t="s">
        <v>90</v>
      </c>
    </row>
    <row r="122" spans="1:2" x14ac:dyDescent="0.25">
      <c r="A122">
        <v>121</v>
      </c>
      <c r="B122" t="s">
        <v>91</v>
      </c>
    </row>
    <row r="123" spans="1:2" x14ac:dyDescent="0.25">
      <c r="A123">
        <v>122</v>
      </c>
      <c r="B123" t="s">
        <v>92</v>
      </c>
    </row>
    <row r="124" spans="1:2" x14ac:dyDescent="0.25">
      <c r="A124">
        <v>123</v>
      </c>
      <c r="B124" t="s">
        <v>93</v>
      </c>
    </row>
    <row r="125" spans="1:2" x14ac:dyDescent="0.25">
      <c r="A125">
        <v>124</v>
      </c>
      <c r="B125" t="s">
        <v>94</v>
      </c>
    </row>
    <row r="126" spans="1:2" x14ac:dyDescent="0.25">
      <c r="A126">
        <v>125</v>
      </c>
      <c r="B126" t="s">
        <v>95</v>
      </c>
    </row>
    <row r="127" spans="1:2" x14ac:dyDescent="0.25">
      <c r="A127">
        <v>126</v>
      </c>
      <c r="B127" t="s">
        <v>96</v>
      </c>
    </row>
    <row r="128" spans="1:2" x14ac:dyDescent="0.25">
      <c r="A128">
        <v>127</v>
      </c>
      <c r="B128" t="s">
        <v>97</v>
      </c>
    </row>
    <row r="129" spans="1:2" x14ac:dyDescent="0.25">
      <c r="A129">
        <v>128</v>
      </c>
      <c r="B129" t="s">
        <v>98</v>
      </c>
    </row>
    <row r="130" spans="1:2" x14ac:dyDescent="0.25">
      <c r="A130">
        <v>129</v>
      </c>
      <c r="B130" t="s">
        <v>99</v>
      </c>
    </row>
    <row r="131" spans="1:2" x14ac:dyDescent="0.25">
      <c r="A131">
        <v>130</v>
      </c>
      <c r="B131" t="s">
        <v>100</v>
      </c>
    </row>
    <row r="132" spans="1:2" x14ac:dyDescent="0.25">
      <c r="A132">
        <v>131</v>
      </c>
      <c r="B132" t="s">
        <v>101</v>
      </c>
    </row>
    <row r="133" spans="1:2" x14ac:dyDescent="0.25">
      <c r="A133">
        <v>132</v>
      </c>
      <c r="B133" t="s">
        <v>102</v>
      </c>
    </row>
    <row r="134" spans="1:2" x14ac:dyDescent="0.25">
      <c r="A134">
        <v>133</v>
      </c>
      <c r="B134" t="s">
        <v>103</v>
      </c>
    </row>
    <row r="135" spans="1:2" x14ac:dyDescent="0.25">
      <c r="A135">
        <v>134</v>
      </c>
      <c r="B135" t="s">
        <v>104</v>
      </c>
    </row>
    <row r="136" spans="1:2" x14ac:dyDescent="0.25">
      <c r="A136">
        <v>135</v>
      </c>
      <c r="B136" t="s">
        <v>105</v>
      </c>
    </row>
    <row r="137" spans="1:2" x14ac:dyDescent="0.25">
      <c r="A137">
        <v>136</v>
      </c>
      <c r="B137" t="s">
        <v>106</v>
      </c>
    </row>
    <row r="138" spans="1:2" x14ac:dyDescent="0.25">
      <c r="A138">
        <v>137</v>
      </c>
      <c r="B138" t="s">
        <v>107</v>
      </c>
    </row>
    <row r="139" spans="1:2" x14ac:dyDescent="0.25">
      <c r="A139">
        <v>138</v>
      </c>
      <c r="B139" t="s">
        <v>463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C47"/>
  <sheetViews>
    <sheetView tabSelected="1" topLeftCell="A7" workbookViewId="0">
      <selection activeCell="B36" sqref="B36"/>
    </sheetView>
  </sheetViews>
  <sheetFormatPr baseColWidth="10" defaultColWidth="10.85546875" defaultRowHeight="15" x14ac:dyDescent="0.25"/>
  <cols>
    <col min="1" max="1" width="6.28515625" customWidth="1"/>
    <col min="2" max="2" width="34.85546875" customWidth="1"/>
    <col min="3" max="3" width="17.140625" customWidth="1"/>
  </cols>
  <sheetData>
    <row r="1" spans="1:3" x14ac:dyDescent="0.25">
      <c r="A1" t="s">
        <v>7</v>
      </c>
      <c r="B1" t="s">
        <v>18</v>
      </c>
      <c r="C1" t="s">
        <v>176</v>
      </c>
    </row>
    <row r="2" spans="1:3" x14ac:dyDescent="0.25">
      <c r="A2">
        <v>1</v>
      </c>
      <c r="B2" t="s">
        <v>114</v>
      </c>
    </row>
    <row r="3" spans="1:3" x14ac:dyDescent="0.25">
      <c r="A3">
        <v>2</v>
      </c>
      <c r="B3" t="s">
        <v>264</v>
      </c>
    </row>
    <row r="4" spans="1:3" x14ac:dyDescent="0.25">
      <c r="A4">
        <v>3</v>
      </c>
      <c r="B4" t="s">
        <v>108</v>
      </c>
    </row>
    <row r="5" spans="1:3" x14ac:dyDescent="0.25">
      <c r="A5">
        <v>4</v>
      </c>
      <c r="B5" t="s">
        <v>265</v>
      </c>
    </row>
    <row r="6" spans="1:3" x14ac:dyDescent="0.25">
      <c r="A6">
        <v>5</v>
      </c>
      <c r="B6" t="s">
        <v>266</v>
      </c>
    </row>
    <row r="7" spans="1:3" x14ac:dyDescent="0.25">
      <c r="A7">
        <v>6</v>
      </c>
      <c r="B7" t="s">
        <v>267</v>
      </c>
    </row>
    <row r="8" spans="1:3" x14ac:dyDescent="0.25">
      <c r="A8">
        <v>7</v>
      </c>
      <c r="B8" t="s">
        <v>268</v>
      </c>
    </row>
    <row r="9" spans="1:3" x14ac:dyDescent="0.25">
      <c r="A9">
        <v>8</v>
      </c>
      <c r="B9" t="s">
        <v>269</v>
      </c>
    </row>
    <row r="10" spans="1:3" x14ac:dyDescent="0.25">
      <c r="A10">
        <v>9</v>
      </c>
      <c r="B10" t="s">
        <v>111</v>
      </c>
    </row>
    <row r="11" spans="1:3" x14ac:dyDescent="0.25">
      <c r="A11">
        <v>10</v>
      </c>
      <c r="B11" t="s">
        <v>120</v>
      </c>
    </row>
    <row r="12" spans="1:3" s="46" customFormat="1" x14ac:dyDescent="0.25">
      <c r="A12" s="46">
        <v>11</v>
      </c>
      <c r="B12" s="46" t="s">
        <v>112</v>
      </c>
    </row>
    <row r="13" spans="1:3" x14ac:dyDescent="0.25">
      <c r="A13">
        <v>12</v>
      </c>
      <c r="B13" t="s">
        <v>121</v>
      </c>
    </row>
    <row r="14" spans="1:3" x14ac:dyDescent="0.25">
      <c r="A14">
        <v>13</v>
      </c>
      <c r="B14" t="s">
        <v>270</v>
      </c>
    </row>
    <row r="15" spans="1:3" x14ac:dyDescent="0.25">
      <c r="A15">
        <v>14</v>
      </c>
      <c r="B15" t="s">
        <v>271</v>
      </c>
    </row>
    <row r="16" spans="1:3" s="46" customFormat="1" x14ac:dyDescent="0.25">
      <c r="A16" s="46">
        <v>15</v>
      </c>
      <c r="B16" s="46" t="s">
        <v>117</v>
      </c>
    </row>
    <row r="17" spans="1:2" x14ac:dyDescent="0.25">
      <c r="A17">
        <v>16</v>
      </c>
      <c r="B17" t="s">
        <v>272</v>
      </c>
    </row>
    <row r="18" spans="1:2" x14ac:dyDescent="0.25">
      <c r="A18">
        <v>17</v>
      </c>
      <c r="B18" t="s">
        <v>119</v>
      </c>
    </row>
    <row r="19" spans="1:2" x14ac:dyDescent="0.25">
      <c r="A19">
        <v>18</v>
      </c>
      <c r="B19" t="s">
        <v>273</v>
      </c>
    </row>
    <row r="20" spans="1:2" x14ac:dyDescent="0.25">
      <c r="A20">
        <v>19</v>
      </c>
      <c r="B20" t="s">
        <v>274</v>
      </c>
    </row>
    <row r="21" spans="1:2" x14ac:dyDescent="0.25">
      <c r="A21">
        <v>20</v>
      </c>
      <c r="B21" t="s">
        <v>275</v>
      </c>
    </row>
    <row r="22" spans="1:2" x14ac:dyDescent="0.25">
      <c r="A22">
        <v>21</v>
      </c>
      <c r="B22" t="s">
        <v>118</v>
      </c>
    </row>
    <row r="23" spans="1:2" x14ac:dyDescent="0.25">
      <c r="A23">
        <v>22</v>
      </c>
      <c r="B23" t="s">
        <v>109</v>
      </c>
    </row>
    <row r="24" spans="1:2" x14ac:dyDescent="0.25">
      <c r="A24">
        <v>23</v>
      </c>
      <c r="B24" t="s">
        <v>110</v>
      </c>
    </row>
    <row r="25" spans="1:2" x14ac:dyDescent="0.25">
      <c r="A25">
        <v>24</v>
      </c>
      <c r="B25" t="s">
        <v>276</v>
      </c>
    </row>
    <row r="26" spans="1:2" x14ac:dyDescent="0.25">
      <c r="A26">
        <v>25</v>
      </c>
      <c r="B26" t="s">
        <v>277</v>
      </c>
    </row>
    <row r="27" spans="1:2" x14ac:dyDescent="0.25">
      <c r="A27">
        <v>26</v>
      </c>
      <c r="B27" t="s">
        <v>113</v>
      </c>
    </row>
    <row r="28" spans="1:2" s="46" customFormat="1" x14ac:dyDescent="0.25">
      <c r="A28" s="46">
        <v>27</v>
      </c>
      <c r="B28" s="46" t="s">
        <v>115</v>
      </c>
    </row>
    <row r="29" spans="1:2" x14ac:dyDescent="0.25">
      <c r="A29">
        <v>28</v>
      </c>
      <c r="B29" t="s">
        <v>278</v>
      </c>
    </row>
    <row r="30" spans="1:2" x14ac:dyDescent="0.25">
      <c r="A30">
        <v>29</v>
      </c>
      <c r="B30" t="s">
        <v>122</v>
      </c>
    </row>
    <row r="31" spans="1:2" x14ac:dyDescent="0.25">
      <c r="A31">
        <v>30</v>
      </c>
      <c r="B31" t="s">
        <v>279</v>
      </c>
    </row>
    <row r="32" spans="1:2" x14ac:dyDescent="0.25">
      <c r="A32">
        <v>31</v>
      </c>
      <c r="B32" t="s">
        <v>280</v>
      </c>
    </row>
    <row r="33" spans="1:2" x14ac:dyDescent="0.25">
      <c r="A33">
        <v>32</v>
      </c>
      <c r="B33" t="s">
        <v>281</v>
      </c>
    </row>
    <row r="34" spans="1:2" x14ac:dyDescent="0.25">
      <c r="A34">
        <v>33</v>
      </c>
      <c r="B34" t="s">
        <v>282</v>
      </c>
    </row>
    <row r="35" spans="1:2" x14ac:dyDescent="0.25">
      <c r="A35">
        <v>34</v>
      </c>
      <c r="B35" t="s">
        <v>116</v>
      </c>
    </row>
    <row r="36" spans="1:2" x14ac:dyDescent="0.25">
      <c r="A36">
        <v>35</v>
      </c>
      <c r="B36" t="s">
        <v>283</v>
      </c>
    </row>
    <row r="37" spans="1:2" x14ac:dyDescent="0.25">
      <c r="A37">
        <v>36</v>
      </c>
      <c r="B37" t="s">
        <v>284</v>
      </c>
    </row>
    <row r="38" spans="1:2" x14ac:dyDescent="0.25">
      <c r="A38">
        <v>37</v>
      </c>
      <c r="B38" t="s">
        <v>285</v>
      </c>
    </row>
    <row r="39" spans="1:2" s="46" customFormat="1" x14ac:dyDescent="0.25">
      <c r="A39" s="46">
        <v>38</v>
      </c>
      <c r="B39" s="46" t="s">
        <v>286</v>
      </c>
    </row>
    <row r="40" spans="1:2" x14ac:dyDescent="0.25">
      <c r="A40">
        <v>39</v>
      </c>
      <c r="B40" t="s">
        <v>287</v>
      </c>
    </row>
    <row r="41" spans="1:2" x14ac:dyDescent="0.25">
      <c r="A41">
        <v>40</v>
      </c>
      <c r="B41" t="s">
        <v>288</v>
      </c>
    </row>
    <row r="45" spans="1:2" x14ac:dyDescent="0.25">
      <c r="B45" t="s">
        <v>477</v>
      </c>
    </row>
    <row r="46" spans="1:2" x14ac:dyDescent="0.25">
      <c r="B46" t="s">
        <v>478</v>
      </c>
    </row>
    <row r="47" spans="1:2" x14ac:dyDescent="0.25">
      <c r="B47" t="s">
        <v>479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B13"/>
  <sheetViews>
    <sheetView workbookViewId="0">
      <selection activeCell="B14" sqref="B14"/>
    </sheetView>
  </sheetViews>
  <sheetFormatPr baseColWidth="10" defaultColWidth="10.85546875" defaultRowHeight="15" x14ac:dyDescent="0.25"/>
  <cols>
    <col min="2" max="2" width="58.5703125" bestFit="1" customWidth="1"/>
  </cols>
  <sheetData>
    <row r="1" spans="1:2" x14ac:dyDescent="0.25">
      <c r="A1" t="s">
        <v>7</v>
      </c>
      <c r="B1" t="s">
        <v>3</v>
      </c>
    </row>
    <row r="2" spans="1:2" x14ac:dyDescent="0.25">
      <c r="A2">
        <v>1</v>
      </c>
      <c r="B2" t="s">
        <v>161</v>
      </c>
    </row>
    <row r="3" spans="1:2" x14ac:dyDescent="0.25">
      <c r="A3">
        <v>2</v>
      </c>
      <c r="B3" t="s">
        <v>162</v>
      </c>
    </row>
    <row r="4" spans="1:2" x14ac:dyDescent="0.25">
      <c r="A4">
        <v>3</v>
      </c>
      <c r="B4" t="s">
        <v>163</v>
      </c>
    </row>
    <row r="5" spans="1:2" x14ac:dyDescent="0.25">
      <c r="A5">
        <v>4</v>
      </c>
      <c r="B5" t="s">
        <v>172</v>
      </c>
    </row>
    <row r="6" spans="1:2" x14ac:dyDescent="0.25">
      <c r="A6">
        <v>5</v>
      </c>
      <c r="B6" t="s">
        <v>164</v>
      </c>
    </row>
    <row r="7" spans="1:2" x14ac:dyDescent="0.25">
      <c r="A7">
        <v>6</v>
      </c>
      <c r="B7" t="s">
        <v>165</v>
      </c>
    </row>
    <row r="8" spans="1:2" x14ac:dyDescent="0.25">
      <c r="A8">
        <v>7</v>
      </c>
      <c r="B8" t="s">
        <v>166</v>
      </c>
    </row>
    <row r="9" spans="1:2" x14ac:dyDescent="0.25">
      <c r="A9">
        <v>8</v>
      </c>
      <c r="B9" t="s">
        <v>167</v>
      </c>
    </row>
    <row r="10" spans="1:2" x14ac:dyDescent="0.25">
      <c r="A10">
        <v>9</v>
      </c>
      <c r="B10" t="s">
        <v>168</v>
      </c>
    </row>
    <row r="11" spans="1:2" x14ac:dyDescent="0.25">
      <c r="A11">
        <v>10</v>
      </c>
      <c r="B11" t="s">
        <v>169</v>
      </c>
    </row>
    <row r="12" spans="1:2" x14ac:dyDescent="0.25">
      <c r="A12">
        <v>11</v>
      </c>
      <c r="B12" t="s">
        <v>170</v>
      </c>
    </row>
    <row r="13" spans="1:2" x14ac:dyDescent="0.25">
      <c r="A13">
        <v>12</v>
      </c>
      <c r="B13" t="s">
        <v>171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7"/>
  <dimension ref="A1:B32"/>
  <sheetViews>
    <sheetView workbookViewId="0">
      <selection activeCell="B4" sqref="B4"/>
    </sheetView>
  </sheetViews>
  <sheetFormatPr baseColWidth="10" defaultColWidth="10.85546875" defaultRowHeight="15" x14ac:dyDescent="0.25"/>
  <cols>
    <col min="2" max="2" width="38.140625" bestFit="1" customWidth="1"/>
  </cols>
  <sheetData>
    <row r="1" spans="1:2" x14ac:dyDescent="0.25">
      <c r="A1" t="s">
        <v>7</v>
      </c>
      <c r="B1" t="s">
        <v>248</v>
      </c>
    </row>
    <row r="2" spans="1:2" x14ac:dyDescent="0.25">
      <c r="A2">
        <v>1</v>
      </c>
      <c r="B2" t="s">
        <v>217</v>
      </c>
    </row>
    <row r="3" spans="1:2" x14ac:dyDescent="0.25">
      <c r="A3">
        <v>2</v>
      </c>
      <c r="B3" t="s">
        <v>218</v>
      </c>
    </row>
    <row r="4" spans="1:2" x14ac:dyDescent="0.25">
      <c r="A4">
        <v>3</v>
      </c>
      <c r="B4" t="s">
        <v>219</v>
      </c>
    </row>
    <row r="5" spans="1:2" x14ac:dyDescent="0.25">
      <c r="A5">
        <v>4</v>
      </c>
      <c r="B5" t="s">
        <v>220</v>
      </c>
    </row>
    <row r="6" spans="1:2" x14ac:dyDescent="0.25">
      <c r="A6">
        <v>5</v>
      </c>
      <c r="B6" t="s">
        <v>221</v>
      </c>
    </row>
    <row r="7" spans="1:2" x14ac:dyDescent="0.25">
      <c r="A7">
        <v>6</v>
      </c>
      <c r="B7" t="s">
        <v>222</v>
      </c>
    </row>
    <row r="8" spans="1:2" x14ac:dyDescent="0.25">
      <c r="A8">
        <v>7</v>
      </c>
      <c r="B8" t="s">
        <v>223</v>
      </c>
    </row>
    <row r="9" spans="1:2" x14ac:dyDescent="0.25">
      <c r="A9">
        <v>8</v>
      </c>
      <c r="B9" t="s">
        <v>224</v>
      </c>
    </row>
    <row r="10" spans="1:2" x14ac:dyDescent="0.25">
      <c r="A10">
        <v>9</v>
      </c>
      <c r="B10" t="s">
        <v>225</v>
      </c>
    </row>
    <row r="11" spans="1:2" x14ac:dyDescent="0.25">
      <c r="A11">
        <v>10</v>
      </c>
      <c r="B11" t="s">
        <v>226</v>
      </c>
    </row>
    <row r="12" spans="1:2" x14ac:dyDescent="0.25">
      <c r="A12">
        <v>11</v>
      </c>
      <c r="B12" t="s">
        <v>227</v>
      </c>
    </row>
    <row r="13" spans="1:2" x14ac:dyDescent="0.25">
      <c r="A13">
        <v>12</v>
      </c>
      <c r="B13" t="s">
        <v>228</v>
      </c>
    </row>
    <row r="14" spans="1:2" x14ac:dyDescent="0.25">
      <c r="A14">
        <v>13</v>
      </c>
      <c r="B14" t="s">
        <v>229</v>
      </c>
    </row>
    <row r="15" spans="1:2" x14ac:dyDescent="0.25">
      <c r="A15">
        <v>14</v>
      </c>
      <c r="B15" t="s">
        <v>230</v>
      </c>
    </row>
    <row r="16" spans="1:2" x14ac:dyDescent="0.25">
      <c r="A16">
        <v>15</v>
      </c>
      <c r="B16" t="s">
        <v>231</v>
      </c>
    </row>
    <row r="17" spans="1:2" x14ac:dyDescent="0.25">
      <c r="A17">
        <v>16</v>
      </c>
      <c r="B17" t="s">
        <v>232</v>
      </c>
    </row>
    <row r="18" spans="1:2" x14ac:dyDescent="0.25">
      <c r="A18">
        <v>17</v>
      </c>
      <c r="B18" t="s">
        <v>233</v>
      </c>
    </row>
    <row r="19" spans="1:2" x14ac:dyDescent="0.25">
      <c r="A19">
        <v>18</v>
      </c>
      <c r="B19" t="s">
        <v>234</v>
      </c>
    </row>
    <row r="20" spans="1:2" x14ac:dyDescent="0.25">
      <c r="A20">
        <v>19</v>
      </c>
      <c r="B20" t="s">
        <v>235</v>
      </c>
    </row>
    <row r="21" spans="1:2" x14ac:dyDescent="0.25">
      <c r="A21">
        <v>20</v>
      </c>
      <c r="B21" t="s">
        <v>236</v>
      </c>
    </row>
    <row r="22" spans="1:2" x14ac:dyDescent="0.25">
      <c r="A22">
        <v>21</v>
      </c>
      <c r="B22" t="s">
        <v>237</v>
      </c>
    </row>
    <row r="23" spans="1:2" x14ac:dyDescent="0.25">
      <c r="A23">
        <v>22</v>
      </c>
      <c r="B23" t="s">
        <v>238</v>
      </c>
    </row>
    <row r="24" spans="1:2" x14ac:dyDescent="0.25">
      <c r="A24">
        <v>23</v>
      </c>
      <c r="B24" t="s">
        <v>239</v>
      </c>
    </row>
    <row r="25" spans="1:2" x14ac:dyDescent="0.25">
      <c r="A25">
        <v>24</v>
      </c>
      <c r="B25" t="s">
        <v>240</v>
      </c>
    </row>
    <row r="26" spans="1:2" x14ac:dyDescent="0.25">
      <c r="A26">
        <v>25</v>
      </c>
      <c r="B26" t="s">
        <v>241</v>
      </c>
    </row>
    <row r="27" spans="1:2" x14ac:dyDescent="0.25">
      <c r="A27">
        <v>26</v>
      </c>
      <c r="B27" t="s">
        <v>242</v>
      </c>
    </row>
    <row r="28" spans="1:2" x14ac:dyDescent="0.25">
      <c r="A28">
        <v>27</v>
      </c>
      <c r="B28" t="s">
        <v>243</v>
      </c>
    </row>
    <row r="29" spans="1:2" x14ac:dyDescent="0.25">
      <c r="A29">
        <v>28</v>
      </c>
      <c r="B29" t="s">
        <v>244</v>
      </c>
    </row>
    <row r="30" spans="1:2" x14ac:dyDescent="0.25">
      <c r="A30">
        <v>29</v>
      </c>
      <c r="B30" t="s">
        <v>245</v>
      </c>
    </row>
    <row r="31" spans="1:2" x14ac:dyDescent="0.25">
      <c r="A31">
        <v>30</v>
      </c>
      <c r="B31" t="s">
        <v>246</v>
      </c>
    </row>
    <row r="32" spans="1:2" x14ac:dyDescent="0.25">
      <c r="A32">
        <v>31</v>
      </c>
      <c r="B32" t="s">
        <v>247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42"/>
  <sheetViews>
    <sheetView topLeftCell="A4" workbookViewId="0">
      <selection activeCell="D13" sqref="D13"/>
    </sheetView>
  </sheetViews>
  <sheetFormatPr baseColWidth="10" defaultColWidth="10.85546875" defaultRowHeight="15" x14ac:dyDescent="0.25"/>
  <cols>
    <col min="2" max="2" width="44.140625" bestFit="1" customWidth="1"/>
  </cols>
  <sheetData>
    <row r="1" spans="1:2" x14ac:dyDescent="0.25">
      <c r="A1" t="s">
        <v>7</v>
      </c>
      <c r="B1" t="s">
        <v>5</v>
      </c>
    </row>
    <row r="2" spans="1:2" x14ac:dyDescent="0.25">
      <c r="A2">
        <v>1</v>
      </c>
      <c r="B2" s="1" t="s">
        <v>249</v>
      </c>
    </row>
    <row r="3" spans="1:2" x14ac:dyDescent="0.25">
      <c r="A3">
        <v>2</v>
      </c>
      <c r="B3" s="1" t="s">
        <v>177</v>
      </c>
    </row>
    <row r="4" spans="1:2" x14ac:dyDescent="0.25">
      <c r="A4">
        <v>3</v>
      </c>
      <c r="B4" s="1" t="s">
        <v>178</v>
      </c>
    </row>
    <row r="5" spans="1:2" x14ac:dyDescent="0.25">
      <c r="A5">
        <v>4</v>
      </c>
      <c r="B5" s="1" t="s">
        <v>179</v>
      </c>
    </row>
    <row r="6" spans="1:2" x14ac:dyDescent="0.25">
      <c r="A6">
        <v>5</v>
      </c>
      <c r="B6" s="1" t="s">
        <v>180</v>
      </c>
    </row>
    <row r="7" spans="1:2" x14ac:dyDescent="0.25">
      <c r="A7">
        <v>6</v>
      </c>
      <c r="B7" s="1" t="s">
        <v>181</v>
      </c>
    </row>
    <row r="8" spans="1:2" x14ac:dyDescent="0.25">
      <c r="A8">
        <v>7</v>
      </c>
      <c r="B8" s="1" t="s">
        <v>182</v>
      </c>
    </row>
    <row r="9" spans="1:2" x14ac:dyDescent="0.25">
      <c r="A9">
        <v>8</v>
      </c>
      <c r="B9" s="1" t="s">
        <v>183</v>
      </c>
    </row>
    <row r="10" spans="1:2" x14ac:dyDescent="0.25">
      <c r="A10">
        <v>9</v>
      </c>
      <c r="B10" s="1" t="s">
        <v>184</v>
      </c>
    </row>
    <row r="11" spans="1:2" x14ac:dyDescent="0.25">
      <c r="A11">
        <v>10</v>
      </c>
      <c r="B11" s="1" t="s">
        <v>185</v>
      </c>
    </row>
    <row r="12" spans="1:2" x14ac:dyDescent="0.25">
      <c r="A12">
        <v>11</v>
      </c>
      <c r="B12" s="1" t="s">
        <v>186</v>
      </c>
    </row>
    <row r="13" spans="1:2" x14ac:dyDescent="0.25">
      <c r="A13">
        <v>12</v>
      </c>
      <c r="B13" s="1" t="s">
        <v>187</v>
      </c>
    </row>
    <row r="14" spans="1:2" x14ac:dyDescent="0.25">
      <c r="A14">
        <v>13</v>
      </c>
      <c r="B14" s="1" t="s">
        <v>188</v>
      </c>
    </row>
    <row r="15" spans="1:2" x14ac:dyDescent="0.25">
      <c r="A15">
        <v>14</v>
      </c>
      <c r="B15" s="1" t="s">
        <v>189</v>
      </c>
    </row>
    <row r="16" spans="1:2" x14ac:dyDescent="0.25">
      <c r="A16">
        <v>15</v>
      </c>
      <c r="B16" s="1" t="s">
        <v>190</v>
      </c>
    </row>
    <row r="17" spans="1:2" x14ac:dyDescent="0.25">
      <c r="A17">
        <v>16</v>
      </c>
      <c r="B17" s="1" t="s">
        <v>191</v>
      </c>
    </row>
    <row r="18" spans="1:2" x14ac:dyDescent="0.25">
      <c r="A18">
        <v>17</v>
      </c>
      <c r="B18" s="1" t="s">
        <v>192</v>
      </c>
    </row>
    <row r="19" spans="1:2" x14ac:dyDescent="0.25">
      <c r="A19">
        <v>18</v>
      </c>
      <c r="B19" s="1" t="s">
        <v>193</v>
      </c>
    </row>
    <row r="20" spans="1:2" x14ac:dyDescent="0.25">
      <c r="A20">
        <v>19</v>
      </c>
      <c r="B20" s="1" t="s">
        <v>194</v>
      </c>
    </row>
    <row r="21" spans="1:2" x14ac:dyDescent="0.25">
      <c r="A21">
        <v>20</v>
      </c>
      <c r="B21" s="1" t="s">
        <v>195</v>
      </c>
    </row>
    <row r="22" spans="1:2" x14ac:dyDescent="0.25">
      <c r="A22">
        <v>21</v>
      </c>
      <c r="B22" s="1" t="s">
        <v>196</v>
      </c>
    </row>
    <row r="23" spans="1:2" x14ac:dyDescent="0.25">
      <c r="A23">
        <v>22</v>
      </c>
      <c r="B23" s="1" t="s">
        <v>197</v>
      </c>
    </row>
    <row r="24" spans="1:2" x14ac:dyDescent="0.25">
      <c r="A24">
        <v>23</v>
      </c>
      <c r="B24" s="1" t="s">
        <v>198</v>
      </c>
    </row>
    <row r="25" spans="1:2" x14ac:dyDescent="0.25">
      <c r="A25">
        <v>24</v>
      </c>
      <c r="B25" s="1" t="s">
        <v>199</v>
      </c>
    </row>
    <row r="26" spans="1:2" x14ac:dyDescent="0.25">
      <c r="A26">
        <v>25</v>
      </c>
      <c r="B26" s="1" t="s">
        <v>200</v>
      </c>
    </row>
    <row r="27" spans="1:2" x14ac:dyDescent="0.25">
      <c r="A27">
        <v>26</v>
      </c>
      <c r="B27" s="1" t="s">
        <v>201</v>
      </c>
    </row>
    <row r="28" spans="1:2" x14ac:dyDescent="0.25">
      <c r="A28">
        <v>27</v>
      </c>
      <c r="B28" s="1" t="s">
        <v>202</v>
      </c>
    </row>
    <row r="29" spans="1:2" x14ac:dyDescent="0.25">
      <c r="A29">
        <v>28</v>
      </c>
      <c r="B29" s="1" t="s">
        <v>203</v>
      </c>
    </row>
    <row r="30" spans="1:2" x14ac:dyDescent="0.25">
      <c r="A30">
        <v>29</v>
      </c>
      <c r="B30" s="1" t="s">
        <v>204</v>
      </c>
    </row>
    <row r="31" spans="1:2" x14ac:dyDescent="0.25">
      <c r="A31">
        <v>30</v>
      </c>
      <c r="B31" s="1" t="s">
        <v>205</v>
      </c>
    </row>
    <row r="32" spans="1:2" x14ac:dyDescent="0.25">
      <c r="A32">
        <v>31</v>
      </c>
      <c r="B32" s="1" t="s">
        <v>206</v>
      </c>
    </row>
    <row r="33" spans="1:2" x14ac:dyDescent="0.25">
      <c r="A33">
        <v>32</v>
      </c>
      <c r="B33" s="1" t="s">
        <v>207</v>
      </c>
    </row>
    <row r="34" spans="1:2" x14ac:dyDescent="0.25">
      <c r="A34">
        <v>33</v>
      </c>
      <c r="B34" s="1" t="s">
        <v>208</v>
      </c>
    </row>
    <row r="35" spans="1:2" x14ac:dyDescent="0.25">
      <c r="A35">
        <v>34</v>
      </c>
      <c r="B35" s="1" t="s">
        <v>209</v>
      </c>
    </row>
    <row r="36" spans="1:2" x14ac:dyDescent="0.25">
      <c r="A36">
        <v>35</v>
      </c>
      <c r="B36" s="1" t="s">
        <v>210</v>
      </c>
    </row>
    <row r="37" spans="1:2" x14ac:dyDescent="0.25">
      <c r="A37">
        <v>36</v>
      </c>
      <c r="B37" s="1" t="s">
        <v>211</v>
      </c>
    </row>
    <row r="38" spans="1:2" x14ac:dyDescent="0.25">
      <c r="A38">
        <v>37</v>
      </c>
      <c r="B38" s="1" t="s">
        <v>212</v>
      </c>
    </row>
    <row r="39" spans="1:2" x14ac:dyDescent="0.25">
      <c r="A39">
        <v>38</v>
      </c>
      <c r="B39" s="1" t="s">
        <v>213</v>
      </c>
    </row>
    <row r="40" spans="1:2" x14ac:dyDescent="0.25">
      <c r="A40">
        <v>39</v>
      </c>
      <c r="B40" s="1" t="s">
        <v>214</v>
      </c>
    </row>
    <row r="41" spans="1:2" x14ac:dyDescent="0.25">
      <c r="A41">
        <v>40</v>
      </c>
      <c r="B41" s="1" t="s">
        <v>215</v>
      </c>
    </row>
    <row r="42" spans="1:2" x14ac:dyDescent="0.25">
      <c r="A42">
        <v>41</v>
      </c>
      <c r="B42" s="1" t="s">
        <v>216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3"/>
  <sheetViews>
    <sheetView workbookViewId="0">
      <selection activeCell="C10" sqref="C10"/>
    </sheetView>
  </sheetViews>
  <sheetFormatPr baseColWidth="10" defaultColWidth="10.85546875" defaultRowHeight="15" x14ac:dyDescent="0.25"/>
  <sheetData>
    <row r="1" spans="1:2" x14ac:dyDescent="0.25">
      <c r="A1" t="s">
        <v>7</v>
      </c>
      <c r="B1" t="s">
        <v>173</v>
      </c>
    </row>
    <row r="2" spans="1:2" x14ac:dyDescent="0.25">
      <c r="A2">
        <v>1</v>
      </c>
      <c r="B2" t="s">
        <v>174</v>
      </c>
    </row>
    <row r="3" spans="1:2" x14ac:dyDescent="0.25">
      <c r="A3">
        <v>2</v>
      </c>
      <c r="B3" t="s">
        <v>175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9"/>
  <dimension ref="A1:B4"/>
  <sheetViews>
    <sheetView workbookViewId="0">
      <selection activeCell="D37" sqref="D37"/>
    </sheetView>
  </sheetViews>
  <sheetFormatPr baseColWidth="10" defaultColWidth="10.85546875" defaultRowHeight="15" x14ac:dyDescent="0.25"/>
  <cols>
    <col min="2" max="2" width="12.42578125" bestFit="1" customWidth="1"/>
  </cols>
  <sheetData>
    <row r="1" spans="1:2" x14ac:dyDescent="0.25">
      <c r="A1" t="s">
        <v>7</v>
      </c>
      <c r="B1" t="s">
        <v>0</v>
      </c>
    </row>
    <row r="2" spans="1:2" x14ac:dyDescent="0.25">
      <c r="A2">
        <v>1</v>
      </c>
      <c r="B2" t="s">
        <v>8</v>
      </c>
    </row>
    <row r="3" spans="1:2" x14ac:dyDescent="0.25">
      <c r="A3">
        <v>2</v>
      </c>
      <c r="B3" t="s">
        <v>9</v>
      </c>
    </row>
    <row r="4" spans="1:2" x14ac:dyDescent="0.25">
      <c r="A4">
        <v>3</v>
      </c>
      <c r="B4" t="s">
        <v>10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K13"/>
  <sheetViews>
    <sheetView workbookViewId="0">
      <selection activeCell="A14" sqref="A14"/>
    </sheetView>
  </sheetViews>
  <sheetFormatPr baseColWidth="10" defaultColWidth="10.85546875" defaultRowHeight="15" x14ac:dyDescent="0.25"/>
  <cols>
    <col min="1" max="1" width="9.5703125" customWidth="1"/>
    <col min="2" max="2" width="26.5703125" bestFit="1" customWidth="1"/>
    <col min="3" max="3" width="24.85546875" bestFit="1" customWidth="1"/>
    <col min="4" max="4" width="15.42578125" bestFit="1" customWidth="1"/>
    <col min="5" max="5" width="12.85546875" bestFit="1" customWidth="1"/>
    <col min="6" max="6" width="21.5703125" bestFit="1" customWidth="1"/>
    <col min="7" max="7" width="14" bestFit="1" customWidth="1"/>
    <col min="8" max="8" width="18.85546875" bestFit="1" customWidth="1"/>
    <col min="9" max="9" width="27.85546875" bestFit="1" customWidth="1"/>
    <col min="10" max="10" width="27.85546875" customWidth="1"/>
    <col min="11" max="11" width="25.7109375" customWidth="1"/>
    <col min="53" max="53" width="27.7109375" customWidth="1"/>
    <col min="63" max="63" width="27.5703125" customWidth="1"/>
  </cols>
  <sheetData>
    <row r="1" spans="1:11" x14ac:dyDescent="0.25">
      <c r="A1" t="s">
        <v>7</v>
      </c>
      <c r="B1" t="s">
        <v>13</v>
      </c>
      <c r="C1" t="s">
        <v>14</v>
      </c>
      <c r="D1" t="s">
        <v>15</v>
      </c>
      <c r="E1" t="s">
        <v>11</v>
      </c>
      <c r="F1" t="s">
        <v>1</v>
      </c>
      <c r="G1" t="s">
        <v>12</v>
      </c>
      <c r="H1" t="s">
        <v>18</v>
      </c>
      <c r="I1" t="s">
        <v>16</v>
      </c>
      <c r="J1" t="s">
        <v>261</v>
      </c>
      <c r="K1" t="s">
        <v>17</v>
      </c>
    </row>
    <row r="2" spans="1:11" x14ac:dyDescent="0.25">
      <c r="A2">
        <v>1</v>
      </c>
      <c r="B2" t="s">
        <v>251</v>
      </c>
      <c r="C2" s="10">
        <v>29488</v>
      </c>
      <c r="D2">
        <v>5205151</v>
      </c>
      <c r="E2">
        <v>3128235594</v>
      </c>
      <c r="F2" t="s">
        <v>252</v>
      </c>
      <c r="G2" t="s">
        <v>253</v>
      </c>
      <c r="H2" t="s">
        <v>254</v>
      </c>
      <c r="J2" t="s">
        <v>263</v>
      </c>
    </row>
    <row r="3" spans="1:11" x14ac:dyDescent="0.25">
      <c r="A3">
        <v>2</v>
      </c>
      <c r="B3" t="s">
        <v>255</v>
      </c>
      <c r="D3">
        <v>98379370</v>
      </c>
      <c r="E3">
        <v>3017218147</v>
      </c>
      <c r="F3" s="12" t="s">
        <v>256</v>
      </c>
      <c r="G3" t="s">
        <v>257</v>
      </c>
      <c r="J3" t="s">
        <v>258</v>
      </c>
    </row>
    <row r="4" spans="1:11" x14ac:dyDescent="0.25">
      <c r="A4">
        <v>3</v>
      </c>
      <c r="B4" t="s">
        <v>255</v>
      </c>
      <c r="D4">
        <v>98379370</v>
      </c>
      <c r="E4">
        <v>3017218147</v>
      </c>
      <c r="F4" s="12" t="s">
        <v>256</v>
      </c>
      <c r="G4" t="s">
        <v>257</v>
      </c>
      <c r="J4" t="s">
        <v>263</v>
      </c>
    </row>
    <row r="5" spans="1:11" x14ac:dyDescent="0.25">
      <c r="A5">
        <v>4</v>
      </c>
      <c r="B5" t="s">
        <v>259</v>
      </c>
      <c r="D5">
        <v>189245202</v>
      </c>
      <c r="E5">
        <v>3117951575</v>
      </c>
      <c r="G5" t="s">
        <v>260</v>
      </c>
      <c r="H5" t="s">
        <v>254</v>
      </c>
      <c r="J5" t="s">
        <v>263</v>
      </c>
    </row>
    <row r="6" spans="1:11" x14ac:dyDescent="0.25">
      <c r="A6">
        <v>5</v>
      </c>
      <c r="B6" t="s">
        <v>354</v>
      </c>
      <c r="C6" s="10">
        <v>35039</v>
      </c>
      <c r="D6">
        <v>1085325360</v>
      </c>
      <c r="E6">
        <v>31634351605</v>
      </c>
      <c r="F6" s="12" t="s">
        <v>355</v>
      </c>
      <c r="G6" t="s">
        <v>257</v>
      </c>
      <c r="H6" t="s">
        <v>356</v>
      </c>
      <c r="J6" t="s">
        <v>357</v>
      </c>
    </row>
    <row r="7" spans="1:11" x14ac:dyDescent="0.25">
      <c r="A7">
        <v>6</v>
      </c>
      <c r="B7" t="s">
        <v>354</v>
      </c>
      <c r="C7" s="10">
        <v>35039</v>
      </c>
      <c r="D7">
        <v>1085325360</v>
      </c>
      <c r="E7">
        <v>31634351605</v>
      </c>
      <c r="F7" s="12" t="s">
        <v>355</v>
      </c>
      <c r="G7" t="s">
        <v>257</v>
      </c>
      <c r="H7" t="s">
        <v>356</v>
      </c>
      <c r="J7" t="s">
        <v>263</v>
      </c>
    </row>
    <row r="8" spans="1:11" x14ac:dyDescent="0.25">
      <c r="A8">
        <v>7</v>
      </c>
      <c r="B8" t="s">
        <v>358</v>
      </c>
      <c r="C8" s="10">
        <v>37153</v>
      </c>
      <c r="D8">
        <v>1004236147</v>
      </c>
      <c r="E8">
        <v>3148632440</v>
      </c>
      <c r="F8" s="12" t="s">
        <v>359</v>
      </c>
      <c r="G8" t="s">
        <v>257</v>
      </c>
      <c r="H8" t="s">
        <v>360</v>
      </c>
      <c r="J8" t="s">
        <v>361</v>
      </c>
    </row>
    <row r="9" spans="1:11" x14ac:dyDescent="0.25">
      <c r="A9">
        <v>8</v>
      </c>
      <c r="B9" t="s">
        <v>358</v>
      </c>
      <c r="C9" s="10">
        <v>37153</v>
      </c>
      <c r="D9">
        <v>1004236147</v>
      </c>
      <c r="E9">
        <v>3148632440</v>
      </c>
      <c r="F9" s="12" t="s">
        <v>359</v>
      </c>
      <c r="G9" t="s">
        <v>257</v>
      </c>
      <c r="H9" t="s">
        <v>360</v>
      </c>
      <c r="J9" t="s">
        <v>263</v>
      </c>
    </row>
    <row r="10" spans="1:11" x14ac:dyDescent="0.25">
      <c r="A10">
        <v>9</v>
      </c>
      <c r="B10" t="s">
        <v>362</v>
      </c>
      <c r="C10" s="10">
        <v>36292</v>
      </c>
      <c r="D10">
        <v>1085345188</v>
      </c>
      <c r="E10">
        <v>3012303376</v>
      </c>
      <c r="F10" s="12" t="s">
        <v>363</v>
      </c>
      <c r="G10" t="s">
        <v>257</v>
      </c>
      <c r="H10" t="s">
        <v>364</v>
      </c>
      <c r="J10" t="s">
        <v>365</v>
      </c>
    </row>
    <row r="11" spans="1:11" x14ac:dyDescent="0.25">
      <c r="A11">
        <v>10</v>
      </c>
      <c r="B11" t="s">
        <v>366</v>
      </c>
      <c r="C11" s="10">
        <v>36775</v>
      </c>
      <c r="D11">
        <v>1193492651</v>
      </c>
      <c r="E11">
        <v>3508978351</v>
      </c>
      <c r="F11" s="12" t="s">
        <v>367</v>
      </c>
      <c r="G11" t="s">
        <v>257</v>
      </c>
      <c r="J11" t="s">
        <v>365</v>
      </c>
    </row>
    <row r="12" spans="1:11" x14ac:dyDescent="0.25">
      <c r="A12">
        <v>11</v>
      </c>
      <c r="B12" t="s">
        <v>366</v>
      </c>
      <c r="C12" s="10">
        <v>36775</v>
      </c>
      <c r="D12">
        <v>1193492651</v>
      </c>
      <c r="E12">
        <v>3508978351</v>
      </c>
      <c r="F12" s="12" t="s">
        <v>367</v>
      </c>
      <c r="G12" t="s">
        <v>257</v>
      </c>
      <c r="J12" t="s">
        <v>263</v>
      </c>
    </row>
    <row r="13" spans="1:11" x14ac:dyDescent="0.25">
      <c r="C13" s="10"/>
      <c r="F13" s="19"/>
    </row>
  </sheetData>
  <hyperlinks>
    <hyperlink ref="F3" r:id="rId1" xr:uid="{0D38CEFB-AD4E-457A-BDD7-904F5D2CAD69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20B9-DE0F-4ACB-9A39-87F2AAFBD4D8}">
  <sheetPr codeName="Hoja12"/>
  <dimension ref="A1:J21"/>
  <sheetViews>
    <sheetView workbookViewId="0">
      <selection activeCell="N6" sqref="N6"/>
    </sheetView>
  </sheetViews>
  <sheetFormatPr baseColWidth="10" defaultRowHeight="15" x14ac:dyDescent="0.25"/>
  <cols>
    <col min="10" max="10" width="21.140625" customWidth="1"/>
  </cols>
  <sheetData>
    <row r="1" spans="1:10" x14ac:dyDescent="0.25">
      <c r="A1" t="s">
        <v>7</v>
      </c>
      <c r="B1" t="s">
        <v>410</v>
      </c>
      <c r="E1" t="s">
        <v>7</v>
      </c>
      <c r="F1" t="s">
        <v>422</v>
      </c>
      <c r="I1" t="s">
        <v>7</v>
      </c>
      <c r="J1" t="s">
        <v>464</v>
      </c>
    </row>
    <row r="2" spans="1:10" x14ac:dyDescent="0.25">
      <c r="A2">
        <v>1</v>
      </c>
      <c r="B2" t="s">
        <v>411</v>
      </c>
      <c r="E2">
        <v>1</v>
      </c>
      <c r="F2">
        <v>2021</v>
      </c>
      <c r="I2">
        <v>1</v>
      </c>
      <c r="J2" t="s">
        <v>465</v>
      </c>
    </row>
    <row r="3" spans="1:10" x14ac:dyDescent="0.25">
      <c r="A3">
        <v>2</v>
      </c>
      <c r="B3" t="s">
        <v>412</v>
      </c>
      <c r="E3">
        <v>2</v>
      </c>
      <c r="F3">
        <v>2022</v>
      </c>
      <c r="I3">
        <v>2</v>
      </c>
      <c r="J3" t="s">
        <v>466</v>
      </c>
    </row>
    <row r="4" spans="1:10" x14ac:dyDescent="0.25">
      <c r="A4">
        <v>3</v>
      </c>
      <c r="B4" t="s">
        <v>413</v>
      </c>
      <c r="E4">
        <v>3</v>
      </c>
      <c r="F4">
        <v>2023</v>
      </c>
    </row>
    <row r="5" spans="1:10" x14ac:dyDescent="0.25">
      <c r="A5">
        <v>4</v>
      </c>
      <c r="B5" t="s">
        <v>414</v>
      </c>
      <c r="E5">
        <v>4</v>
      </c>
      <c r="F5">
        <v>2024</v>
      </c>
    </row>
    <row r="6" spans="1:10" x14ac:dyDescent="0.25">
      <c r="A6">
        <v>5</v>
      </c>
      <c r="B6" t="s">
        <v>409</v>
      </c>
      <c r="E6">
        <v>5</v>
      </c>
      <c r="F6">
        <v>2025</v>
      </c>
    </row>
    <row r="7" spans="1:10" x14ac:dyDescent="0.25">
      <c r="A7">
        <v>6</v>
      </c>
      <c r="B7" t="s">
        <v>415</v>
      </c>
      <c r="E7">
        <v>6</v>
      </c>
      <c r="F7">
        <v>2026</v>
      </c>
    </row>
    <row r="8" spans="1:10" x14ac:dyDescent="0.25">
      <c r="A8">
        <v>7</v>
      </c>
      <c r="B8" t="s">
        <v>416</v>
      </c>
      <c r="E8">
        <v>7</v>
      </c>
      <c r="F8">
        <v>2027</v>
      </c>
    </row>
    <row r="9" spans="1:10" x14ac:dyDescent="0.25">
      <c r="A9">
        <v>8</v>
      </c>
      <c r="B9" t="s">
        <v>417</v>
      </c>
      <c r="E9">
        <v>8</v>
      </c>
      <c r="F9">
        <v>2028</v>
      </c>
    </row>
    <row r="10" spans="1:10" x14ac:dyDescent="0.25">
      <c r="A10">
        <v>9</v>
      </c>
      <c r="B10" t="s">
        <v>418</v>
      </c>
      <c r="E10">
        <v>9</v>
      </c>
      <c r="F10">
        <v>2029</v>
      </c>
    </row>
    <row r="11" spans="1:10" x14ac:dyDescent="0.25">
      <c r="A11">
        <v>10</v>
      </c>
      <c r="B11" t="s">
        <v>419</v>
      </c>
      <c r="E11">
        <v>10</v>
      </c>
      <c r="F11">
        <v>2030</v>
      </c>
    </row>
    <row r="12" spans="1:10" x14ac:dyDescent="0.25">
      <c r="A12">
        <v>11</v>
      </c>
      <c r="B12" t="s">
        <v>420</v>
      </c>
      <c r="E12">
        <v>11</v>
      </c>
      <c r="F12">
        <v>2031</v>
      </c>
    </row>
    <row r="13" spans="1:10" x14ac:dyDescent="0.25">
      <c r="A13">
        <v>12</v>
      </c>
      <c r="B13" t="s">
        <v>421</v>
      </c>
      <c r="E13">
        <v>12</v>
      </c>
      <c r="F13">
        <v>2032</v>
      </c>
    </row>
    <row r="14" spans="1:10" x14ac:dyDescent="0.25">
      <c r="E14">
        <v>13</v>
      </c>
      <c r="F14">
        <v>2033</v>
      </c>
    </row>
    <row r="15" spans="1:10" x14ac:dyDescent="0.25">
      <c r="E15">
        <v>14</v>
      </c>
      <c r="F15">
        <v>2034</v>
      </c>
    </row>
    <row r="16" spans="1:10" x14ac:dyDescent="0.25">
      <c r="E16">
        <v>15</v>
      </c>
      <c r="F16">
        <v>2035</v>
      </c>
    </row>
    <row r="17" spans="5:6" x14ac:dyDescent="0.25">
      <c r="E17">
        <v>16</v>
      </c>
      <c r="F17">
        <v>2036</v>
      </c>
    </row>
    <row r="18" spans="5:6" x14ac:dyDescent="0.25">
      <c r="E18">
        <v>17</v>
      </c>
      <c r="F18">
        <v>2037</v>
      </c>
    </row>
    <row r="19" spans="5:6" x14ac:dyDescent="0.25">
      <c r="E19">
        <v>18</v>
      </c>
      <c r="F19">
        <v>2038</v>
      </c>
    </row>
    <row r="20" spans="5:6" x14ac:dyDescent="0.25">
      <c r="E20">
        <v>19</v>
      </c>
      <c r="F20">
        <v>2039</v>
      </c>
    </row>
    <row r="21" spans="5:6" x14ac:dyDescent="0.25">
      <c r="E21">
        <v>20</v>
      </c>
      <c r="F21">
        <v>2040</v>
      </c>
    </row>
  </sheetData>
  <phoneticPr fontId="3" type="noConversion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12</vt:i4>
      </vt:variant>
    </vt:vector>
  </HeadingPairs>
  <TitlesOfParts>
    <vt:vector size="12" baseType="lpstr">
      <vt:lpstr>FORMULARIO</vt:lpstr>
      <vt:lpstr>DESCUENTO</vt:lpstr>
      <vt:lpstr>CURSOS</vt:lpstr>
      <vt:lpstr>CIUDAD-REGION</vt:lpstr>
      <vt:lpstr>PROFESION</vt:lpstr>
      <vt:lpstr>MODALIDAD</vt:lpstr>
      <vt:lpstr>FUENTE</vt:lpstr>
      <vt:lpstr>MEDIO DE PAGO</vt:lpstr>
      <vt:lpstr>SI - NO</vt:lpstr>
      <vt:lpstr>GENERO</vt:lpstr>
      <vt:lpstr>COLABORADORES</vt:lpstr>
      <vt:lpstr>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Cabrera</dc:creator>
  <cp:lastModifiedBy>Hugo Cabrera</cp:lastModifiedBy>
  <dcterms:created xsi:type="dcterms:W3CDTF">2025-04-03T00:54:21Z</dcterms:created>
  <dcterms:modified xsi:type="dcterms:W3CDTF">2025-08-05T13:37:22Z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90973f-9e14-45d0-9678-6a581e48dba7_Enabled">
    <vt:lpwstr>true</vt:lpwstr>
  </property>
  <property fmtid="{D5CDD505-2E9C-101B-9397-08002B2CF9AE}" pid="3" name="MSIP_Label_9990973f-9e14-45d0-9678-6a581e48dba7_SetDate">
    <vt:lpwstr>2025-04-30T17:52:49Z</vt:lpwstr>
  </property>
  <property fmtid="{D5CDD505-2E9C-101B-9397-08002B2CF9AE}" pid="4" name="MSIP_Label_9990973f-9e14-45d0-9678-6a581e48dba7_Method">
    <vt:lpwstr>Standard</vt:lpwstr>
  </property>
  <property fmtid="{D5CDD505-2E9C-101B-9397-08002B2CF9AE}" pid="5" name="MSIP_Label_9990973f-9e14-45d0-9678-6a581e48dba7_Name">
    <vt:lpwstr>High Impact</vt:lpwstr>
  </property>
  <property fmtid="{D5CDD505-2E9C-101B-9397-08002B2CF9AE}" pid="6" name="MSIP_Label_9990973f-9e14-45d0-9678-6a581e48dba7_SiteId">
    <vt:lpwstr>194a267b-82ba-4fa6-b6b9-f95966ab3815</vt:lpwstr>
  </property>
  <property fmtid="{D5CDD505-2E9C-101B-9397-08002B2CF9AE}" pid="7" name="MSIP_Label_9990973f-9e14-45d0-9678-6a581e48dba7_ActionId">
    <vt:lpwstr>97218a12-e4e8-4bee-b31b-1ebbafd2ff2a</vt:lpwstr>
  </property>
  <property fmtid="{D5CDD505-2E9C-101B-9397-08002B2CF9AE}" pid="8" name="MSIP_Label_9990973f-9e14-45d0-9678-6a581e48dba7_ContentBits">
    <vt:lpwstr>0</vt:lpwstr>
  </property>
  <property fmtid="{D5CDD505-2E9C-101B-9397-08002B2CF9AE}" pid="9" name="MSIP_Label_9990973f-9e14-45d0-9678-6a581e48dba7_Tag">
    <vt:lpwstr>10, 1, 2, 1</vt:lpwstr>
  </property>
</Properties>
</file>